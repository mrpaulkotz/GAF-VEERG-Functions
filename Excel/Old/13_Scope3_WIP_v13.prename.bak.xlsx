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tables/table157.xml" ContentType="application/vnd.openxmlformats-officedocument.spreadsheetml.table+xml"/>
  <Override PartName="/xl/tables/table158.xml" ContentType="application/vnd.openxmlformats-officedocument.spreadsheetml.table+xml"/>
  <Override PartName="/xl/tables/table159.xml" ContentType="application/vnd.openxmlformats-officedocument.spreadsheetml.table+xml"/>
  <Override PartName="/xl/tables/table160.xml" ContentType="application/vnd.openxmlformats-officedocument.spreadsheetml.table+xml"/>
  <Override PartName="/xl/tables/table161.xml" ContentType="application/vnd.openxmlformats-officedocument.spreadsheetml.table+xml"/>
  <Override PartName="/xl/tables/table162.xml" ContentType="application/vnd.openxmlformats-officedocument.spreadsheetml.table+xml"/>
  <Override PartName="/xl/tables/table163.xml" ContentType="application/vnd.openxmlformats-officedocument.spreadsheetml.table+xml"/>
  <Override PartName="/xl/tables/table164.xml" ContentType="application/vnd.openxmlformats-officedocument.spreadsheetml.table+xml"/>
  <Override PartName="/xl/tables/table165.xml" ContentType="application/vnd.openxmlformats-officedocument.spreadsheetml.table+xml"/>
  <Override PartName="/xl/tables/table166.xml" ContentType="application/vnd.openxmlformats-officedocument.spreadsheetml.table+xml"/>
  <Override PartName="/xl/tables/table167.xml" ContentType="application/vnd.openxmlformats-officedocument.spreadsheetml.table+xml"/>
  <Override PartName="/xl/tables/table168.xml" ContentType="application/vnd.openxmlformats-officedocument.spreadsheetml.table+xml"/>
  <Override PartName="/xl/tables/table16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python.xml" ContentType="application/vnd.ms-excel.pyth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3E6B1C91-74A6-4DFF-AB82-CA0B56412C93}" xr6:coauthVersionLast="47" xr6:coauthVersionMax="47" xr10:uidLastSave="{00000000-0000-0000-0000-000000000000}"/>
  <bookViews>
    <workbookView xWindow="3120" yWindow="3120" windowWidth="28800" windowHeight="15345" firstSheet="22" activeTab="26" xr2:uid="{D37248E2-1193-4B5E-BE4F-D7532AB14CA0}"/>
  </bookViews>
  <sheets>
    <sheet name="Overview" sheetId="40" r:id="rId1"/>
    <sheet name="Results" sheetId="41" r:id="rId2"/>
    <sheet name="Input - Site" sheetId="55" r:id="rId3"/>
    <sheet name="Input - Fuel" sheetId="57" r:id="rId4"/>
    <sheet name="Input - Fertiliser" sheetId="56" r:id="rId5"/>
    <sheet name="Input - Farm Inputs" sheetId="13" r:id="rId6"/>
    <sheet name="Input - Beef cattle purchases" sheetId="48" r:id="rId7"/>
    <sheet name="Input - Dairy cattle purchases" sheetId="52" r:id="rId8"/>
    <sheet name="Input - Pig purchases" sheetId="53" r:id="rId9"/>
    <sheet name="Input - Poultry purchases" sheetId="54" r:id="rId10"/>
    <sheet name="Input - Freight" sheetId="39" r:id="rId11"/>
    <sheet name="Input - Solid waste" sheetId="58" r:id="rId12"/>
    <sheet name="Input - Manure sent off-site" sheetId="50" r:id="rId13"/>
    <sheet name="Input - Electricity" sheetId="59" r:id="rId14"/>
    <sheet name="15 Scope 3" sheetId="19" r:id="rId15"/>
    <sheet name="10.1.1-2 Solid waste treatment" sheetId="62" r:id="rId16"/>
    <sheet name="Calcs - Manure sent off-site" sheetId="34" r:id="rId17"/>
    <sheet name="8.1.1.1-2 Transport fuel" sheetId="60" r:id="rId18"/>
    <sheet name="8.2.1.1-2 Stationary fuel" sheetId="61" r:id="rId19"/>
    <sheet name="Constants - Scope 3" sheetId="20" r:id="rId20"/>
    <sheet name="Constants - Solid Waste" sheetId="64" r:id="rId21"/>
    <sheet name="Constants - Fuel" sheetId="63" r:id="rId22"/>
    <sheet name="Constants - Poultry" sheetId="70" r:id="rId23"/>
    <sheet name="Constants - Swine" sheetId="69" r:id="rId24"/>
    <sheet name="Constants - Dairy" sheetId="68" r:id="rId25"/>
    <sheet name="Constants - Pasture Beef" sheetId="67" r:id="rId26"/>
    <sheet name="Constants - Common Livestock" sheetId="71" r:id="rId27"/>
    <sheet name="Constants - Fertiliser" sheetId="65" r:id="rId28"/>
    <sheet name="Constants - Electricity" sheetId="66" r:id="rId29"/>
    <sheet name="Constants - Common" sheetId="51" r:id="rId30"/>
  </sheets>
  <definedNames>
    <definedName name="AgResidue_Equations_FieldBurning.VEERG_6_4_1_1__1__MethaneEmissionsFromBurningOfCropResidues">_xlfn.LAMBDA(_xlpm.Mburnc,_xlpm.CCc,_xlpm.EFCH4,_xlpm.C_CH4, _xlpm.Mburnc * _xlpm.CCc * _xlpm.EFCH4 * _xlpm.C_CH4 * 10 ^ (-3))</definedName>
    <definedName name="AgResidue_Equations_FieldBurning.VEERG_6_4_1_1__1__MethaneEmissionsFromBurningOfCropResidues_Arguments">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_xlfn.LAMBDA(_xlpm.Mburnc,_xlpm.NCAGc,_xlpm.EFN2O,_xlpm.CN2O, _xlpm.Mburnc * _xlpm.NCAGc * _xlpm.EFN2O * _xlpm.CN2O * 10 ^ (-3))</definedName>
    <definedName name="AgResidue_Equations_FieldBurning.VEERG_6_4_1_1__2__NitrousOxideEmissionsFromBurningOfCropResidues_Arguments">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_xlfn.LAMBDA(_xlpm.Pc,_xlpm.RAGc,_xlpm.Sc,_xlpm.DMc,_xlpm.Zc,_xlpm.Fc, _xlpm.Pc * _xlpm.RAGc * _xlpm.Sc * _xlpm.DMc * _xlpm.Zc * _xlpm.Fc)</definedName>
    <definedName name="AgResidue_Equations_FieldBurning.VEERG_6_4_1_1__3__MassOfCropResidueBurnt_Arguments">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_xlfn.LAMBDA("Mburnc")</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ResidueCropRatio">_xlfn.LAMBDA(_xlpm.HarvestIndex, (1 - _xlpm.HarvestIndex) / _xlpm.HarvestIndex)</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
  )</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
 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
)))</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
 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
)))</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
 _xlfn.MAKEARRAY(24,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
)))</definedName>
    <definedName name="Fertiliser_SourceData.Fertiliser_Products_Data2">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link";"Manganese Sulphate","","","","","","","","","","","","","","","","","","","Incitec Pivot Fertilisers";"MAP","","","","","","","","","","","","","","","","","","","Incitec Pivot Fertilisers";"MAP Impact","","","","","","","","","","","","","","","","","","","Impact fertilisers";"MAPSZC","","","","","","","","","","","","","","","","","","","Summit Fertilizers";"Maximum N-Pact 29-0-0","","","","","","","","","","","","","","","","","","","Maximum N-Pact | Loveland (lovelandagriproducts.com.au)";"Microsol 12-6-44","","","","","","","","","","","","","","","","","","","Rigbytaylor Microsol Range";"Microsol 16-32-16","","","","","","","","","","","","","","","","","","","Rigbytaylor Microsol Range";"Microsol 25-5-10","","","","","","","","","","","","","","","","","","","Rigbytaylor Microsol Range";"Microsol 28-0-14","","","","","","","","","","","","","","","","","","","Rigbytaylor Microsol Range";"Mono Potassium Phosphate MKP","","","","","","","","","","","","","","","","","","","Swancrop";"Muriate Of Potash MOP","","","","","","","","","","","","","","","","","","","MountCompass Fertilisers Blends";"NitroPlus","","","","","","","","","","","","","","","","","","","AgroStock Group Nitro Plus";"NutraGold","","","","","","","","","","","","","","","","","","","Swancrop";"Pro Performance 18-3-6","","","","","","","","","","","","","","","","","","","Pro Turf Formula";"SOA","","","","","","","","","","","","","","","","","","","MountCompass Fertilisers Blends";"SSP","","","","","","","","","","","","","","","","","","","Impact fertilisers";"Super Phos","","","","","","","","","","","","","","","","","","","CSBP Super PHOS";"Super SR Extra","","","","","","","","","","","","","","","","","","","CSBP Super Potash";"SuPerfect","","","","","","","","","","","","","","","","","","","Incitec Pivot Fertilisers";"SuperPasture Potash 5:1","","","","","","","","","","","","","","","","","","","CSBP Super Potash";"Trace-it Mn","","","","","","","","","","","","","","","","","","","Campbells fertilisers Australia";"UniSZon","","","","","","","","","","","","","","","","","","","WengfuAustralia uniSZon";"Urea","","","","","","","","","","","","","","","","","","","ProductCard_Adelaide_web.pdf (incitecpivotfertilisers.com.au)";"Wengfu Slam Granular","","","","","","","","","","","","","","","","","","","Straights (wengfu.com.au)";"Yara FlowPhos 10","","","","","","","","","","","","","","","","","","","Crop Nutrition Solutions (Yara Australia)";"Yara FlowPhos 13Z","","","","","","","","","","","","","","","","","","","Crop Nutrition Solutions (Yara Australia)";"Yara FlowPhos 15","","","","","","","","","","","","","","","","","","","Crop Nutrition Solutions (Yara Australia)";"Yara FlowPhos KZ","","","","","","","","","","","","","","","","","","","Crop Nutrition Solutions (Yara Australia)";"Yara KeyPro Trace","","","","","","","","","","","","","","","","","","","Crop Nutrition Solutions (Yara Australia)";"Yara KeyPro Zinc","","","","","","","","","","","","","","","","","","","Crop Nutrition Solutions (Yara Australia)"}, _xlpm.r, _xlpm.c))))</definedName>
    <definedName name="Fertiliser_SourceData.Fertiliser_Products_Data3">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 K-Flow 0-0-15","","","","","","","","","","","","","","","","","","","Crop Nutrition Solutions (Yara Australia)";"Yara K-Flow 0-14-30","","","","","","","","","","","","","","","","","","","Crop Nutrition Solutions (Yara Australia)";"Yara K-Flow 0-7-36","","","","","","","","","","","","","","","","","","","Crop Nutrition Solutions (Yara Australia)";"Yara K-Flow 13-0-7","","","","","","","","","","","","","","","","","","","Crop Nutrition Solutions (Yara Australia)";"Yara K-Flow 4-0-12","","","","","","","","","","","","","","","","","","","Crop Nutrition Solutions (Yara Australia)";"Yara Liquids MICRO-SUL","","","","","","","","","","","","","","","","","","","Crop Nutrition Solutions (Yara Australia)";"Yara Liquids N24","","","","","","","","","","","","","","","","","","","Crop Nutrition Solutions (Yara Australia)";"Yara Liquids N25","","","","","","","","","","","","","","","","","","","Crop Nutrition Solutions (Yara Australia)";"Yara Liquids N26","","","","","","","","","","","","","","","","","","","Crop Nutrition Solutions (Yara Australia)";"Yara Liquids N42","","","","","","","","","","","","","","","","","","","Crop Nutrition Solutions (Yara Australia)";"Yara Liquids N-CAL 15+18Ca","","","","","","","","","","","","","","","","","","","Crop Nutrition Solutions (Yara Australia)";"Yara Liquids N-CAL 20+10Ca+B","","","","","","","","","","","","","","","","","","","Crop Nutrition Solutions (Yara Australia)";"Yara Liquids N-CAL 35+6Ca","","","","","","","","","","","","","","","","","","","Crop Nutrition Solutions (Yara Australia)";"Yara Liquids N-FOL 24","","","","","","","","","","","","","","","","","","","Crop Nutrition Solutions (Yara Australia)";"Yara Liquids N-FOL 24+TE","","","","","","","","","","","","","","","","","","","Crop Nutrition Solutions (Yara Australia)";"Yara Liquids P-FOL Zinc","","","","","","","","","","","","","","","","","","","Crop Nutrition Solutions (Yara Australia)";"Yara Liquids SULSA 11-0-0+12S","","","","","","","","","","","","","","","","","","","Crop Nutrition Solutions (Yara Australia)";"Yara Liquids SULSA 24-3-0+6S","","","","","","","","","","","","","","","","","","","Crop Nutrition Solutions (Yara Australia)";"Yara Liquids SULSA 27-0-0+7S","","","","","","","","","","","","","","","","","","","Crop Nutrition Solutions (Yara Australia)";"Yara Liquids SULSA 36-0-0+3S","","","","","","","","","","","","","","","","","","","Crop Nutrition Solutions (Yara Australia)";"YaraLiva CALCINIT B","","","","","","","","","","","","","","","","","","","Crop Nutrition Solutions (Yara Australia)";"YaraLiva NITRABOR","","","","","","","","","","","","","","","","","","","YaraLiva NITRABOR | Yara Australia";"YaraLiva TROPICOTE","","","","","","","","","","","","","","","","","","","Crop Nutrition Solutions (Yara Australia)";"YaraMila Complex","","","","","","","","","","","","","","","","","","","Crop Nutrition Solutions (Yara Australia)";"YaraMila Complex 17-5-10(4)","","","","","","","","","","","","","","","","","","","Crop Nutrition Solutions (Yara Australia)";"YaraMila Complex 21-7-3(4)","","","","","","","","","","","","","","","","","","","Crop Nutrition Solutions (Yara Australia)";"YaraMila UNIVERSAL","","","","","","","","","","","","","","","","","","","Crop Nutrition Solutions (Yara Australia)";"YaraRega 13-2-21","","","","","","","","","","","","","","","","","","","Crop Nutrition Solutions (Yara Australia)";"YaraVita BORTRAC","","","","","","","","","","","","","","","","","","","Crop Nutrition Solutions (Yara Australia)";"YaraVita BRASSITREL DF","","","","","","","","","","","","","","","","","","","Crop Nutrition Solutions (Yara Australia)"}, _xlpm.r, _xlpm.c))))</definedName>
    <definedName name="Fertiliser_SourceData.Fertiliser_Products_Data4">_xlfn.LAMBDA(_xlfn.MAKEARRAY(16,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link";"YaraVita BRASSITREL PRO","","","","","","","","","","","","","","","","","","","Crop Nutrition Solutions (Yara Australia)";"YaraVita BUD BUILDER FL","","","","","","","","","","","","","","","","","","","Crop Nutrition Solutions (Yara Australia)";"YaraVita FRUTREL","","","","","","","","","","","","","","","","","","","Crop Nutrition Solutions (Yara Australia)";"YaraVita GLYTREL ZnP","","","","","","","","","","","","","","","","","","","Crop Nutrition Solutions (Yara Australia)";"YaraVita GRAMITREL","","","","","","","","","","","","","","","","","","","Crop Nutrition Solutions (Yara Australia)";"YaraVita KOMBIPHOS","","","","","","","","","","","","","","","","","","","Crop Nutrition Solutions (Yara Australia)";"YaraVita MANGZINC","","","","","","","","","","","","","","","","","","","Crop Nutrition Solutions (Yara Australia)";"YaraVita MOLYTRAC","","","","","","","","","","","","","","","","","","","Crop Nutrition Solutions (Yara Australia)";"YaraVita SENIPHOS","","","","","","","","","","","","","","","","","","","Crop Nutrition Solutions (Yara Australia)";"YaraVita ZINTRAC","","","","","","","","","","","","","","","","","","","Crop Nutrition Solutions (Yara Australia)";"Zinc Sulphate Monohydrate","","","","","","","","","","","","","","","","","","","Incitec Pivot Fertilisers";"Zincsol","","","","","","","","","","","","","","","","","","","Sulfate Zincsol";"ZincStar","","","","","","","","","","","","","","","","","","","Impact fertilisers";"ZMC-1","","","","","","","","","","","","","","","","","","","Kemgro ZMC-1";"Zn 7000","","","","","","","","","","","","","","","","","","","Rutec Zn 7000"},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 LEN(_xlpm.Cell) - FIND(", ", _xlpm.Cell)))</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
  )</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_xlfn.LAMBDA(_xlfn.MAKEARRAY(6,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4, _xlfn.LAMBDA(_xlpm.r,_xlpm.c, INDEX({"M_vol","mass of nitrogen volatilised from urine and faeces deposited on pasture","kg N","Calculated from 4.2.1.5 (2)";"EF_N2O","nitrous oxide emission factor for atmospheric deposition","kg N2O-N/kg N","Constant";"C_N2O","factor to convert elemental mass of N2O to molecular mass","","Constant";"j","production system","","Input";"i","irrigation method","","Input";"r","rainfall zone","","Input"},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4, _xlfn.LAMBDA(_xlpm.r,_xlpm.c, INDEX({"AE","total mass of nitrogen excreted on PRP for beef cattle","kg N","Calculated from 4.2.1.3 (2)";"FracGASMsoil","fraction of nitrogen volatilised from urine and faeces deposited on pasture ((kg NH3-N + NOx-N)/kg N)","fraction","Constant"},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4, _xlfn.LAMBDA(_xlpm.r,_xlpm.c, INDEX({"M_leach","mass of nitrogen lost to leaching and runoff","kg N","Calculated from 4.2.1.7 (2)";"EF_leach","emission factor for leaching and runoff","kg N2O-N/kg N","Constant";"C_N2O","factor to convert elemental mass of N2O to molecular mass","","Constant"},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4, _xlfn.LAMBDA(_xlpm.r,_xlpm.c, INDEX({"AE","total mass of nitrogen excreted on PRP for beef cattle","kg N","Calculated from 4.2.1.3 (2)";"FracWet","fraction of N available for leaching and runoff","fraction","Constant";"FracLEACH","fraction of all N that is lost through leaching and runoff","fraction","Constant";"z","location in leaching zone","","Input";"j","production system","","Input";"ir","irrigation method","","Input"},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4, _xlfn.LAMBDA(_xlpm.r,_xlpm.c, INDEX({"AE","total mass of nitrogen excreted on PRP for beef cattle","kg N","Calculated from 4.2.1.3 (2)";"EF_PRP","emission factor for nitrous oxide from urine and dung deposited to soil","kg N2O-N/kg N deposited","Constant";"C_N2O","factor to convert elemental mass of nitrous oxide to molecular mass","","Constant";"z","wet or dry climate zone","","Input"},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4, _xlfn.LAMBDA(_xlpm.r,_xlpm.c, INDEX({"N_jkl","number of beef cattle by time-period, class and subclass","head","Input";"NE_jkl","nitrogen excreted in each time-period, by each class and subclass","kg N/head/day","Calculated from 4.2.1.3 (3)";"D_j","number of days in each time-period (days)","days","Input"},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4, _xlfn.LAMBDA(_xlpm.r,_xlpm.c, INDEX({"I_jkl","dry matter intake as calculated in Chapter 3 Section 3.2.1 (kg DM/head/day)","kg DM/head/day","Calculated from 3.2.1.1 (3)";"CP_j","crude protein content of dry matter intake","fraction","Input";"MC_jk136","milk intake (kg/head/day)","kg/head/day","Constant";"NR_jkl","the amount of nitrogen retained by the body (kg N/head/day)","kg N/head/day","Calculated from 4.2.1.3 (4)";"W_jkl","liveweight (kg/head)","kg/head","Input";"b","breed of cattle","","Input";"s","Calving season","","Input"},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
  )</definedName>
    <definedName name="MMS_PastureBeef_Soil_N2ODirect_Equations.VEERG_4_2_1_3__4_NitrogenRetainedByBody_Arguments">_xlfn.LAMBDA(_xlfn.MAKEARRAY(4, 4, _xlfn.LAMBDA(_xlpm.r,_xlpm.c, INDEX({"MP_jk5","milk production (kg/head/day)","kg/head/day","Calculated from 4.2.1.3 (5)";"L_jkl","intake relative to that needed for maintenance","","Calculated from 4.2.1.3 (6)";"Z_jkl","relative size","","Calculated from 4.2.1.3 (7)";"LWG_jkl","liveweight gain (kg/head/day)","kg/head/day","Input"},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4, _xlfn.LAMBDA(_xlpm.r,_xlpm.c, INDEX({"LC_jk5","proportion of cows greater than 2 years lactating for the season of calving and season after calving expressed as a fraction","fraction","Input";"DMP_jk5","daily milk production (kg/head/day)","kg/head/day","Constant";"b","breed of cattle","","Input"}, _xlpm.r, _xlpm.c))))</definedName>
    <definedName name="MMS_PastureBeef_Soil_N2ODirect_Equations.VEERG_4_2_1_3__5_MilkProductionForCalvingSeason_ArgumentsVariation">_xlfn.LAMBDA(_xlfn.MAKEARRAY(5, 4, _xlfn.LAMBDA(_xlpm.r,_xlpm.c, INDEX({"LC_jk5curr","proportion of cows greater than 2 years lactating for the season of calving","fraction","Input";"LC_jk5prev","proportion of cows greater than 2 years lactating for the season after calving","fraction","Input";"DMP_jk5calv","daily milk production for the season of calving (kg/head/day)","kg/head/day","Constant";"DMP_jk5after","daily milk production for the season after calving (kg/head/day)","kg/head/day","Constant";"b","breed of cattle","","Input"},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4, _xlfn.LAMBDA(_xlpm.r,_xlpm.c, INDEX({"I_jkl","dry matter intake as calculated in Chapter 3 Section 3.2.1 (kg DM/head/day)","kg DM/head/day","Calculated from 3.2.1.1 (3)";"W_jkl","liveweight (kg/head)","kg/head","Input"},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4, _xlfn.LAMBDA(_xlpm.r,_xlpm.c, INDEX({"W_jkl","liveweight (kg)","kg","Input";"SRW_k","standard reference weight (kg)","kg","Constant";"i","state","","Input"},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ange_LivestockStartingValues">#REF!</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_xlfn.LAMBDA(_xlpm.E_N2O,_xlpm.E_ad,_xlpm.E_leach, _xlpm.E_N2O + _xlpm.E_ad + _xlpm.E_leach)</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Dairy_AshContent_Data">'Constants - Dairy'!$D$188</definedName>
    <definedName name="SourceData_Dairy_CrudeProtein_Data">'Constants - Dairy'!$D$153</definedName>
    <definedName name="SourceData_Dairy_DryMatterDigestibility_Data">'Constants - Dairy'!$D$160</definedName>
    <definedName name="SourceData_Dairy_EfficiencyOfUseOfMetabolizableEnergy_Data">'Constants - Dairy'!$D$181</definedName>
    <definedName name="SourceData_Dairy_EmissionFactorForLeachingAndRunoff_Data">'Constants - Dairy'!$D$202</definedName>
    <definedName name="SourceData_Dairy_FatContentInMilk_Data">'Constants - Dairy'!$D$221</definedName>
    <definedName name="SourceData_Dairy_FracGASMSoil_Data">'Constants - Dairy'!$D$215</definedName>
    <definedName name="SourceData_Dairy_FractionOfNitrogenLostThroughLeachingAndRunoff_Data">'Constants - Dairy'!$D$209</definedName>
    <definedName name="SourceData_Dairy_FractionOfNitrogenLostThroughLeachingAndRunoffSolidStorage_Data">'Constants - Dairy'!$D$215</definedName>
    <definedName name="SourceData_Dairy_GrossEnergyContent_Data">'Constants - Dairy'!$D$174</definedName>
    <definedName name="SourceData_Dairy_MethaneEmissionsPotential_Data">'Constants - Dairy'!$D$195</definedName>
    <definedName name="SourceData_Dairy_NetEnergy_Data">'Constants - Dairy'!$D$167</definedName>
    <definedName name="SourceData_Dairy_ProteinContentInMilk_Data">'Constants - Dairy'!$D$227</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astureBeef_AshContentOfFeedIntake_Data">'Constants - Pasture Beef'!$D$422</definedName>
    <definedName name="SourceData_PastureBeef_FracGASMSoil_Data">'Constants - Pasture Beef'!$D$434</definedName>
    <definedName name="SourceData_PastureBeef_FracLEACH_Data">'Constants - Pasture Beef'!$D$440</definedName>
    <definedName name="SourceData_PastureBeef_MethaneEmissionsPotential_Data">'Constants - Pasture Beef'!$D$428</definedName>
    <definedName name="SourceData_Poultry.SourceData_Poultry_DietProperties_Data">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_xlfn.LAMBDA(_xlfn.MAKEARRAY(9, 3, _xlfn.LAMBDA(_xlpm.r,_xlpm.c, INDEX({"Livestock Class j","Average Liveweight (kg)";"Chicken",1.3;"Hen &gt;/=1 yr",2;"Pullets",1.4;"Broilers",1.2}, _xlpm.r, _xlpm.c))))</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Poultry_FracGAMSSoil_Data">'Constants - Poultry'!$E$115</definedName>
    <definedName name="SourceData_Poultry_FractionOfNitrogenLostThroughLeachingAndRunoff_Data">'Constants - Poultry'!$E$110</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
    _xlfn.MAKEARRAY(5, 2,
      _xlfn.LAMBDA(_xlpm.r,_xlpm.c,
        INDEX({"Class","Ij";"Boars",2.62;"Sows",2.3;"Gilts",2.5;"Others",1.71}, _xlpm.r, _xlpm.c)
      )
    )
  )</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
    _xlfn.MAKEARRAY(5, 2,
      _xlfn.LAMBDA(_xlpm.r,_xlpm.c,
        INDEX({"Class","VSj";"Boars",0.4;"Sows",0.46;"Gilts",0.55;"Others",0.39}, _xlpm.r, _xlpm.c)
      )
    )
  )</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SourceData_Swine_FracLEACH_DrylotMMS_Data">'Constants - Swine'!$E$17</definedName>
    <definedName name="SourceData_Swine_MegajoulesPerKilogramMethane_Data">'Constants - Swine'!$E$122</definedName>
    <definedName name="SourceData_Swine_MethaneVolatileSolidsEmissionsPotential_Data">'Constants - Swine'!$E$21</definedName>
    <definedName name="Step1">#REF!</definedName>
    <definedName name="Step2">#REF!</definedName>
    <definedName name="Step3">#REF!</definedName>
    <definedName name="Table_E_g">'8.2.1.1-2 Stationary fuel'!$D$24:$Q$40</definedName>
    <definedName name="Table_E_g_Consumer_1">'8.1.1.1-2 Transport fuel'!$D$24:$Q$39</definedName>
    <definedName name="Table_E_g_offsite">'10.1.1-2 Solid waste treatment'!$D$114:$E$134</definedName>
    <definedName name="Table_E_g_onsite">'10.1.1-2 Solid waste treatment'!$D$87:$E$107</definedName>
    <definedName name="Table_V_w_t_offsite">'10.1.1-2 Solid waste treatment'!$D$44:$E$64</definedName>
    <definedName name="Table_V_w_t_onsite">'10.1.1-2 Solid waste treatment'!$D$20:$E$40</definedName>
    <definedName name="ValidLivestockClass">_xlfn.UNIQUE(_xlfn._xlws.FILTER(#REF!,#REF! =#REF!))</definedName>
    <definedName name="VEERG_10_1_1_1__1_EmissionsFromWasteManagement_Scope1_Result_Method1">'10.1.1-2 Solid waste treatment'!$E$151</definedName>
    <definedName name="VEERG_10_1_1_1__1_EmissionsFromWasteManagement_Scope3_Result_Method1">'10.1.1-2 Solid waste treatment'!$E$192</definedName>
    <definedName name="VEERG_15_1_1_1__1_EmissionsFromPurchasedLivestock_BeefCattle_Result_Method1">'15 Scope 3'!$E$34</definedName>
    <definedName name="VEERG_15_1_1_1__1_EmissionsFromPurchasedLivestock_BeefCattle_Result_Method2">'15 Scope 3'!$E$35</definedName>
    <definedName name="VEERG_15_1_1_1__1_EmissionsFromPurchasedLivestock_DairyCattle_Result_Method1">'15 Scope 3'!$E$53</definedName>
    <definedName name="VEERG_15_1_1_1__1_EmissionsFromPurchasedLivestock_DairyCattle_Result_Method2">'15 Scope 3'!$E$54</definedName>
    <definedName name="VEERG_15_1_1_1__1_EmissionsFromPurchasedLivestock_Pigs_Result_Method1">'15 Scope 3'!$E$72</definedName>
    <definedName name="VEERG_15_1_1_1__1_EmissionsFromPurchasedLivestock_Pigs_Result_Method2">'15 Scope 3'!$E$73</definedName>
    <definedName name="VEERG_15_1_1_1__1_EmissionsFromPurchasedLivestock_Poultry_Result_Method1">'15 Scope 3'!$E$90</definedName>
    <definedName name="VEERG_15_1_1_1__1_EmissionsFromPurchasedLivestock_Poultry_Result_Method2">'15 Scope 3'!$E$91</definedName>
    <definedName name="VEERG_15_10_1_1__1_OtherPurchasedGoodsAndServices_CleaningChemicals_Result_Method1">'15 Scope 3'!$E$441</definedName>
    <definedName name="VEERG_15_10_1_1__1_OtherPurchasedGoodsAndServices_CleaningChemicals_Result_Method2">'15 Scope 3'!$E$442</definedName>
    <definedName name="VEERG_15_10_1_1__1_OtherPurchasedGoodsAndServices_Misc_Result_Method1">'15 Scope 3'!$E$483</definedName>
    <definedName name="VEERG_15_10_1_1__1_OtherPurchasedGoodsAndServices_Misc_Result_Method2">'15 Scope 3'!$E$484</definedName>
    <definedName name="VEERG_15_10_1_1__1_OtherPurchasedGoodsAndServices_PharmacyChemicals_Result_Method1">'15 Scope 3'!$E$459</definedName>
    <definedName name="VEERG_15_10_1_1__1_OtherPurchasedGoodsAndServices_PharmacyChemicals_Result_Method2">'15 Scope 3'!$E$460</definedName>
    <definedName name="VEERG_15_10_1_1__1_OtherPurchasedGoodsAndServices_Seed_Result_Method1">'15 Scope 3'!$E$472</definedName>
    <definedName name="VEERG_15_10_1_1__1_OtherPurchasedGoodsAndServices_Seed_Result_Method2">'15 Scope 3'!$E$473</definedName>
    <definedName name="VEERG_15_10_1_1__1_OtherPurchasedGoodsAndServices_Uncategorised_Result_Method1">'15 Scope 3'!$E$501</definedName>
    <definedName name="VEERG_15_10_1_1__1_OtherPurchasedGoodsAndServices_Uncategorised_Result_Method2">'15 Scope 3'!$E$502</definedName>
    <definedName name="VEERG_15_11_1_1__1_TotalUpstreamEmissionsFromFuel_Result">'15 Scope 3'!$E$518</definedName>
    <definedName name="VEERG_15_12_1_1__1_UpstreamPurchasedElectricityLocationBased_Result">'15 Scope 3'!$E$533</definedName>
    <definedName name="VEERG_15_12_1_2__1_UpstreamPurchasedElectricityMarketBasedVariation_Result">'15 Scope 3'!$E$555</definedName>
    <definedName name="VEERG_15_13_1_1__1_EmissionsFromManureSentOffSite_Result_Method1_CO2e">'15 Scope 3'!$E$578</definedName>
    <definedName name="VEERG_15_13_1_1__1_EmissionsFromManureSentOffSite_Result_Method2_CO2e">'15 Scope 3'!$M$578</definedName>
    <definedName name="VEERG_15_14_1_1__1_EmbeddedEmissionsFromUpstreamFreight_Incoming_Result_Method1">'15 Scope 3'!$E$620</definedName>
    <definedName name="VEERG_15_14_1_1__1_EmbeddedEmissionsFromUpstreamFreight_Incoming_Result_Method2">'15 Scope 3'!$E$621</definedName>
    <definedName name="VEERG_15_14_1_1__1_EmbeddedEmissionsFromUpstreamFreight_Outgoing_Result_Method1">'15 Scope 3'!$E$638</definedName>
    <definedName name="VEERG_15_14_1_1__1_EmbeddedEmissionsFromUpstreamFreight_Outgoing_Result_Method2">'15 Scope 3'!$E$639</definedName>
    <definedName name="VEERG_15_2_1_1__1_EmissionsFromPurchasedFeed_Result_Method1">'15 Scope 3'!$E$144</definedName>
    <definedName name="VEERG_15_2_1_1__1_EmissionsFromPurchasedFeed_Result_Method2">'15 Scope 3'!$E$145</definedName>
    <definedName name="VEERG_15_3_1_1__1_EmissionsFromPurchasedMineralSupplements_Result_Method1">'15 Scope 3'!$E$166</definedName>
    <definedName name="VEERG_15_3_1_1__1_EmissionsFromPurchasedMineralSupplements_Result_Method2">'15 Scope 3'!$E$167</definedName>
    <definedName name="VEERG_15_4_1_1__2_EmissionsFromPurchasedFertiliserComponentsVariation_Result_Method1">'15 Scope 3'!$E$251</definedName>
    <definedName name="VEERG_15_4_1_1__2_EmissionsFromPurchasedFertiliserComponentsVariation_Result_Method2">'15 Scope 3'!$E$252</definedName>
    <definedName name="VEERG_15_5_1_1__1_EmissionsFromPurchasedAgrichemicals_Result_Method1">'15 Scope 3'!$E$283</definedName>
    <definedName name="VEERG_15_5_1_1__1_EmissionsFromPurchasedAgrichemicals_Result_Method2">'15 Scope 3'!$E$284</definedName>
    <definedName name="VEERG_15_6_1_1__1_EmissionsFromPurchasedLime_Result_Method1">'15 Scope 3'!$E$316</definedName>
    <definedName name="VEERG_15_6_1_1__1_EmissionsFromPurchasedLime_Result_Method2">'15 Scope 3'!$E$317</definedName>
    <definedName name="VEERG_15_7_1_1__1_EmissionsFromPurchasedServices_Result_Method1">'15 Scope 3'!$E$347</definedName>
    <definedName name="VEERG_15_7_1_1__1_EmissionsFromPurchasedServices_Result_Method2">'15 Scope 3'!$E$348</definedName>
    <definedName name="VEERG_15_8_1_1__1_EmissionsFromPurchasedPackaging_Result_Method1">'15 Scope 3'!$E$378</definedName>
    <definedName name="VEERG_15_8_1_1__1_EmissionsFromPurchasedPackaging_Result_Method2">'15 Scope 3'!$E$379</definedName>
    <definedName name="VEERG_15_9_1_1__1_EmissionsFromPurchasedGrowMedia_Result_Method1">'15 Scope 3'!$E$410</definedName>
    <definedName name="VEERG_15_9_1_1__1_EmissionsFromPurchasedGrowMedia_Result_Method2">'15 Scope 3'!$E$411</definedName>
    <definedName name="VEERG_5_2_1_1__1_OrganicFertiliserApplicationN2OEmissions_Result_Method1">'Calcs - Manure sent off-site'!$E$19</definedName>
    <definedName name="VEERG_5_2_1_1__1_OrganicFertiliserApplicationN2OEmissions_Result_Method2">'Calcs - Manure sent off-site'!$O$19</definedName>
    <definedName name="VEERG_5_4_1_3__1_OrganicFertiliserAtmosphericDepositionN2OEmissions_Result_Method1">'Calcs - Manure sent off-site'!$E$55</definedName>
    <definedName name="VEERG_5_4_1_3__1_OrganicFertiliserAtmosphericDepositionN2OEmissions_Result_Method2">'Calcs - Manure sent off-site'!$O$55</definedName>
    <definedName name="VEERG_5_5_1_1__1_FertiliserLeachingAndRunoffN2OEmissions_Result_Method1">'Calcs - Manure sent off-site'!$E$90</definedName>
    <definedName name="VEERG_5_5_1_1__1_FertiliserLeachingAndRunoffN2OEmissions_Result_Method2">'Calcs - Manure sent off-site'!$O$90</definedName>
    <definedName name="VEERG_8_1_1_1__1_FuelCombustionTransport_Result">'8.1.1.1-2 Transport fuel'!$E$70</definedName>
    <definedName name="VEERG_8_1_1_1__1_FuelCombustionTransport_Result_CH4">'8.1.1.1-2 Transport fuel'!$E$68</definedName>
    <definedName name="VEERG_8_1_1_1__1_FuelCombustionTransport_Result_CO2">'8.1.1.1-2 Transport fuel'!$E$67</definedName>
    <definedName name="VEERG_8_1_1_1__1_FuelCombustionTransport_Result_N2O">'8.1.1.1-2 Transport fuel'!$E$69</definedName>
    <definedName name="VEERG_8_1_1_1__1_FuelCombustionTransport_Result_Scope3">'8.1.1.1-2 Transport fuel'!$E$70</definedName>
    <definedName name="VEERG_8_2_1_1__1_FuelCombustionStationary_Result">'8.2.1.1-2 Stationary fuel'!$E$58</definedName>
    <definedName name="VEERG_8_2_1_1__1_FuelCombustionStationary_Result_CH4">'8.2.1.1-2 Stationary fuel'!$E$56</definedName>
    <definedName name="VEERG_8_2_1_1__1_FuelCombustionStationary_Result_CO2">'8.2.1.1-2 Stationary fuel'!$E$55</definedName>
    <definedName name="VEERG_8_2_1_1__1_FuelCombustionStationary_Result_N2O">'8.2.1.1-2 Stationary fuel'!$E$57</definedName>
    <definedName name="VEERG_8_2_1_1__1_FuelCombustionStationary_Result_Scope3">'8.2.1.1-2 Stationary fuel'!$E$58</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Electricity_CalculationMethod">'Input - Electricity'!$E$5</definedName>
    <definedName name="X_Cell_Electricity_Location_AmountPurchasedInkWh">'Input - Electricity'!$E$15</definedName>
    <definedName name="X_Cell_Electricity_Location_GridElectricityPurchasedFrom">'Input - Electricity'!$E$17</definedName>
    <definedName name="X_Cell_Electricity_Market_AmountPurchasedExcludingGreenPower">'Input - Electricity'!$E$23</definedName>
    <definedName name="X_Cell_Electricity_Market_AmountPurchasedGreenPower">'Input - Electricity'!$E$27</definedName>
    <definedName name="X_Cell_Electricity_Market_JurisdictionalRenewablePowerPercentage">'Input - Electricity'!$E$25</definedName>
    <definedName name="X_Cell_Electricity_Market_RenewablePowerPercentage">'Input - Electricity'!$E$24</definedName>
    <definedName name="X_Cell_FarmInputs_FeedRations_Chickens">'Input - Farm Inputs'!$E$56</definedName>
    <definedName name="X_Cell_FarmInputs_FeedRations_DairyCalves">'Input - Farm Inputs'!$E$57</definedName>
    <definedName name="X_Cell_FarmInputs_FeedRations_DairyCows">'Input - Farm Inputs'!$E$58</definedName>
    <definedName name="X_Cell_FarmInputs_FeedRations_Pigs">'Input - Farm Inputs'!$E$59</definedName>
    <definedName name="X_Cell_FarmInputs_LickBlocks_DrySeasonMix">'Input - Farm Inputs'!$E$51</definedName>
    <definedName name="X_Cell_FarmInputs_LickBlocks_Mineral">'Input - Farm Inputs'!$E$52</definedName>
    <definedName name="X_Cell_FarmInputs_LickBlocks_Weaner">'Input - Farm Inputs'!$E$53</definedName>
    <definedName name="X_Cell_FarmInputs_Misc_AnimalEarTagsLarge">'Input - Farm Inputs'!$E$128</definedName>
    <definedName name="X_Cell_FarmInputs_Misc_AnimalEarTagsSmall">'Input - Farm Inputs'!$E$129</definedName>
    <definedName name="X_Cell_FarmInputs_Misc_NylonNetting">'Input - Farm Inputs'!$E$130</definedName>
    <definedName name="X_Cell_FarmInputs_Seed_BarleyGrain">'Input - Farm Inputs'!$E$121</definedName>
    <definedName name="X_Cell_FarmInputs_Seed_MaizeGrain">'Input - Farm Inputs'!$E$122</definedName>
    <definedName name="X_Cell_FarmInputs_Seed_OatGrain">'Input - Farm Inputs'!$E$123</definedName>
    <definedName name="X_Cell_FarmInputs_Seed_SorghumGrain">'Input - Farm Inputs'!$E$124</definedName>
    <definedName name="X_Cell_FarmInputs_Seed_WheatGrain">'Input - Farm Inputs'!$E$125</definedName>
    <definedName name="X_Cell_Fertiliser_AreaUnderCropping">'Input - Fertiliser'!$E$9</definedName>
    <definedName name="X_Cell_Fertiliser_CropType">'Input - Fertiliser'!$E$7</definedName>
    <definedName name="X_Cell_Fertiliser_IrrigationMethod">'Input - Fertiliser'!$E$8</definedName>
    <definedName name="X_Cell_Fertiliser_ProductionSystem">'Input - Fertiliser'!$E$6</definedName>
    <definedName name="X_Cell_Fuel_IsMetroLocation">'Input - Fuel'!$E$11</definedName>
    <definedName name="X_Cell_ManureSentOffsite_ManureIrrigationMethod">'Input - Manure sent off-site'!$F$14</definedName>
    <definedName name="X_Cell_ManureSentOffsite_ManureProductionSystem">'Input - Manure sent off-site'!$F$13</definedName>
    <definedName name="X_Cell_ManureSentOffsite_MassNitrogenManure_Method1">'Input - Manure sent off-site'!$F$10</definedName>
    <definedName name="X_Cell_ManureSentOffsite_MassNitrogenManure_Method2">'Input - Manure sent off-site'!$F$11</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Cell_TotalElegibleRECsForElectricityProducedOnSite">'Input - Electricity'!$E$50</definedName>
    <definedName name="X_Cell_TotalElegibleVoluntarilySurrenderedRECs">'Input - Electricity'!$E$41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E642" i="19" l="1"/>
  <c r="E94" i="19"/>
  <c r="E93" i="19"/>
  <c r="E30" i="59"/>
  <c r="E29" i="59"/>
  <c r="E33" i="55"/>
  <c r="E32" i="55"/>
  <c r="E31" i="55"/>
  <c r="E30" i="55"/>
  <c r="E29" i="55"/>
  <c r="E13" i="55"/>
  <c r="A41" i="51"/>
  <c r="A40" i="51"/>
  <c r="A39" i="51"/>
  <c r="A38" i="51"/>
  <c r="A37" i="51"/>
  <c r="A36" i="51"/>
  <c r="A35" i="51"/>
  <c r="A34" i="51"/>
  <c r="A33" i="51"/>
  <c r="A32" i="51"/>
  <c r="A31" i="51"/>
  <c r="A27" i="51"/>
  <c r="A26" i="51"/>
  <c r="A25" i="51"/>
  <c r="A24" i="51"/>
  <c r="A23" i="51"/>
  <c r="A19" i="51"/>
  <c r="A18" i="51"/>
  <c r="A17" i="51"/>
  <c r="A16" i="51"/>
  <c r="A15" i="51"/>
  <c r="A14" i="51"/>
  <c r="A13" i="51"/>
  <c r="A12" i="51"/>
  <c r="A11" i="51"/>
  <c r="A10" i="51"/>
  <c r="A9" i="51"/>
  <c r="A8" i="51"/>
  <c r="A4" i="51"/>
  <c r="A3" i="51"/>
  <c r="A41" i="66"/>
  <c r="A40" i="66"/>
  <c r="A39" i="66"/>
  <c r="A38" i="66"/>
  <c r="A37" i="66"/>
  <c r="A36" i="66"/>
  <c r="A35" i="66"/>
  <c r="A34" i="66"/>
  <c r="A33" i="66"/>
  <c r="A32" i="66"/>
  <c r="A31" i="66"/>
  <c r="A27" i="66"/>
  <c r="A26" i="66"/>
  <c r="A25" i="66"/>
  <c r="A24" i="66"/>
  <c r="A23" i="66"/>
  <c r="A19" i="66"/>
  <c r="A18" i="66"/>
  <c r="A17" i="66"/>
  <c r="A16" i="66"/>
  <c r="A15" i="66"/>
  <c r="A14" i="66"/>
  <c r="A13" i="66"/>
  <c r="A12" i="66"/>
  <c r="A11" i="66"/>
  <c r="A10" i="66"/>
  <c r="A9" i="66"/>
  <c r="A8" i="66"/>
  <c r="A4" i="66"/>
  <c r="A3" i="66"/>
  <c r="A41" i="65"/>
  <c r="A40" i="65"/>
  <c r="A39" i="65"/>
  <c r="A38" i="65"/>
  <c r="A37" i="65"/>
  <c r="A36" i="65"/>
  <c r="A35" i="65"/>
  <c r="A34" i="65"/>
  <c r="A33" i="65"/>
  <c r="A32" i="65"/>
  <c r="A31" i="65"/>
  <c r="A27" i="65"/>
  <c r="A26" i="65"/>
  <c r="A25" i="65"/>
  <c r="A24" i="65"/>
  <c r="A23" i="65"/>
  <c r="A19" i="65"/>
  <c r="A18" i="65"/>
  <c r="A17" i="65"/>
  <c r="A16" i="65"/>
  <c r="A15" i="65"/>
  <c r="A14" i="65"/>
  <c r="A13" i="65"/>
  <c r="A12" i="65"/>
  <c r="A11" i="65"/>
  <c r="A10" i="65"/>
  <c r="A9" i="65"/>
  <c r="A8" i="65"/>
  <c r="A4" i="65"/>
  <c r="A3" i="65"/>
  <c r="A41" i="71"/>
  <c r="A40" i="71"/>
  <c r="A39" i="71"/>
  <c r="A38" i="71"/>
  <c r="A37" i="71"/>
  <c r="A36" i="71"/>
  <c r="A35" i="71"/>
  <c r="A34" i="71"/>
  <c r="A33" i="71"/>
  <c r="A32" i="71"/>
  <c r="A31" i="71"/>
  <c r="A27" i="71"/>
  <c r="A26" i="71"/>
  <c r="A25" i="71"/>
  <c r="A24" i="71"/>
  <c r="A23" i="71"/>
  <c r="A19" i="71"/>
  <c r="A18" i="71"/>
  <c r="A17" i="71"/>
  <c r="A16" i="71"/>
  <c r="A15" i="71"/>
  <c r="A14" i="71"/>
  <c r="A13" i="71"/>
  <c r="A12" i="71"/>
  <c r="A11" i="71"/>
  <c r="A10" i="71"/>
  <c r="A9" i="71"/>
  <c r="A8" i="71"/>
  <c r="A4" i="71"/>
  <c r="A3" i="71"/>
  <c r="A41" i="67"/>
  <c r="A40" i="67"/>
  <c r="A39" i="67"/>
  <c r="A38" i="67"/>
  <c r="A37" i="67"/>
  <c r="A36" i="67"/>
  <c r="A35" i="67"/>
  <c r="A34" i="67"/>
  <c r="A33" i="67"/>
  <c r="A32" i="67"/>
  <c r="A31" i="67"/>
  <c r="A27" i="67"/>
  <c r="A26" i="67"/>
  <c r="A25" i="67"/>
  <c r="A24" i="67"/>
  <c r="A23" i="67"/>
  <c r="A19" i="67"/>
  <c r="A18" i="67"/>
  <c r="A17" i="67"/>
  <c r="A16" i="67"/>
  <c r="A15" i="67"/>
  <c r="A14" i="67"/>
  <c r="A13" i="67"/>
  <c r="A12" i="67"/>
  <c r="A11" i="67"/>
  <c r="A10" i="67"/>
  <c r="A9" i="67"/>
  <c r="A8" i="67"/>
  <c r="A4" i="67"/>
  <c r="A3" i="67"/>
  <c r="A41" i="68"/>
  <c r="A40" i="68"/>
  <c r="A39" i="68"/>
  <c r="A38" i="68"/>
  <c r="A37" i="68"/>
  <c r="A36" i="68"/>
  <c r="A35" i="68"/>
  <c r="A34" i="68"/>
  <c r="A33" i="68"/>
  <c r="A32" i="68"/>
  <c r="A31" i="68"/>
  <c r="A27" i="68"/>
  <c r="A26" i="68"/>
  <c r="A25" i="68"/>
  <c r="A24" i="68"/>
  <c r="A23" i="68"/>
  <c r="A19" i="68"/>
  <c r="A18" i="68"/>
  <c r="A17" i="68"/>
  <c r="A16" i="68"/>
  <c r="A15" i="68"/>
  <c r="A14" i="68"/>
  <c r="A13" i="68"/>
  <c r="A12" i="68"/>
  <c r="A11" i="68"/>
  <c r="A10" i="68"/>
  <c r="A9" i="68"/>
  <c r="A8" i="68"/>
  <c r="A4" i="68"/>
  <c r="A3" i="68"/>
  <c r="A41" i="69"/>
  <c r="A40" i="69"/>
  <c r="A39" i="69"/>
  <c r="A38" i="69"/>
  <c r="A37" i="69"/>
  <c r="A36" i="69"/>
  <c r="A35" i="69"/>
  <c r="A34" i="69"/>
  <c r="A33" i="69"/>
  <c r="A32" i="69"/>
  <c r="A31" i="69"/>
  <c r="A27" i="69"/>
  <c r="A26" i="69"/>
  <c r="A25" i="69"/>
  <c r="A24" i="69"/>
  <c r="A23" i="69"/>
  <c r="A19" i="69"/>
  <c r="A18" i="69"/>
  <c r="A17" i="69"/>
  <c r="A16" i="69"/>
  <c r="A15" i="69"/>
  <c r="A14" i="69"/>
  <c r="A13" i="69"/>
  <c r="A12" i="69"/>
  <c r="A11" i="69"/>
  <c r="A10" i="69"/>
  <c r="A9" i="69"/>
  <c r="A8" i="69"/>
  <c r="A4" i="69"/>
  <c r="A3" i="69"/>
  <c r="A41" i="70"/>
  <c r="A40" i="70"/>
  <c r="A39" i="70"/>
  <c r="A38" i="70"/>
  <c r="A37" i="70"/>
  <c r="A36" i="70"/>
  <c r="A35" i="70"/>
  <c r="A34" i="70"/>
  <c r="A33" i="70"/>
  <c r="A32" i="70"/>
  <c r="A31" i="70"/>
  <c r="A27" i="70"/>
  <c r="A26" i="70"/>
  <c r="A25" i="70"/>
  <c r="A24" i="70"/>
  <c r="A23" i="70"/>
  <c r="A19" i="70"/>
  <c r="A18" i="70"/>
  <c r="A17" i="70"/>
  <c r="A16" i="70"/>
  <c r="A15" i="70"/>
  <c r="A14" i="70"/>
  <c r="A13" i="70"/>
  <c r="A12" i="70"/>
  <c r="A11" i="70"/>
  <c r="A10" i="70"/>
  <c r="A9" i="70"/>
  <c r="A8" i="70"/>
  <c r="A4" i="70"/>
  <c r="A3" i="70"/>
  <c r="A41" i="63"/>
  <c r="A40" i="63"/>
  <c r="A39" i="63"/>
  <c r="A38" i="63"/>
  <c r="A37" i="63"/>
  <c r="A36" i="63"/>
  <c r="A35" i="63"/>
  <c r="A34" i="63"/>
  <c r="A33" i="63"/>
  <c r="A32" i="63"/>
  <c r="A31" i="63"/>
  <c r="A27" i="63"/>
  <c r="A26" i="63"/>
  <c r="A25" i="63"/>
  <c r="A24" i="63"/>
  <c r="A23" i="63"/>
  <c r="A19" i="63"/>
  <c r="A18" i="63"/>
  <c r="A17" i="63"/>
  <c r="A16" i="63"/>
  <c r="A15" i="63"/>
  <c r="A14" i="63"/>
  <c r="A13" i="63"/>
  <c r="A12" i="63"/>
  <c r="A11" i="63"/>
  <c r="A10" i="63"/>
  <c r="A9" i="63"/>
  <c r="A8" i="63"/>
  <c r="A4" i="63"/>
  <c r="A3" i="63"/>
  <c r="A41" i="64"/>
  <c r="A40" i="64"/>
  <c r="A39" i="64"/>
  <c r="A38" i="64"/>
  <c r="A37" i="64"/>
  <c r="A36" i="64"/>
  <c r="A35" i="64"/>
  <c r="A34" i="64"/>
  <c r="A33" i="64"/>
  <c r="A32" i="64"/>
  <c r="A31" i="64"/>
  <c r="A27" i="64"/>
  <c r="A26" i="64"/>
  <c r="A25" i="64"/>
  <c r="A24" i="64"/>
  <c r="A23" i="64"/>
  <c r="A19" i="64"/>
  <c r="A18" i="64"/>
  <c r="A17" i="64"/>
  <c r="A16" i="64"/>
  <c r="A15" i="64"/>
  <c r="A14" i="64"/>
  <c r="A13" i="64"/>
  <c r="A12" i="64"/>
  <c r="A11" i="64"/>
  <c r="A10" i="64"/>
  <c r="A9" i="64"/>
  <c r="A8" i="64"/>
  <c r="A4" i="64"/>
  <c r="A3" i="64"/>
  <c r="A41" i="20"/>
  <c r="A40" i="20"/>
  <c r="A39" i="20"/>
  <c r="A38" i="20"/>
  <c r="A37" i="20"/>
  <c r="A36" i="20"/>
  <c r="A35" i="20"/>
  <c r="A34" i="20"/>
  <c r="A33" i="20"/>
  <c r="A32" i="20"/>
  <c r="A31" i="20"/>
  <c r="A27" i="20"/>
  <c r="A26" i="20"/>
  <c r="A25" i="20"/>
  <c r="A24" i="20"/>
  <c r="A23" i="20"/>
  <c r="A19" i="20"/>
  <c r="A18" i="20"/>
  <c r="A17" i="20"/>
  <c r="A16" i="20"/>
  <c r="A15" i="20"/>
  <c r="A14" i="20"/>
  <c r="A13" i="20"/>
  <c r="A12" i="20"/>
  <c r="A11" i="20"/>
  <c r="A10" i="20"/>
  <c r="A9" i="20"/>
  <c r="A8" i="20"/>
  <c r="A4" i="20"/>
  <c r="A3" i="20"/>
  <c r="A41" i="61"/>
  <c r="A40" i="61"/>
  <c r="A39" i="61"/>
  <c r="A38" i="61"/>
  <c r="A37" i="61"/>
  <c r="A36" i="61"/>
  <c r="A35" i="61"/>
  <c r="A34" i="61"/>
  <c r="A33" i="61"/>
  <c r="A32" i="61"/>
  <c r="A31" i="61"/>
  <c r="A27" i="61"/>
  <c r="A26" i="61"/>
  <c r="A25" i="61"/>
  <c r="A24" i="61"/>
  <c r="A23" i="61"/>
  <c r="A19" i="61"/>
  <c r="A18" i="61"/>
  <c r="A17" i="61"/>
  <c r="A16" i="61"/>
  <c r="A15" i="61"/>
  <c r="A14" i="61"/>
  <c r="A13" i="61"/>
  <c r="A12" i="61"/>
  <c r="A11" i="61"/>
  <c r="A10" i="61"/>
  <c r="A9" i="61"/>
  <c r="A8" i="61"/>
  <c r="A4" i="61"/>
  <c r="A3" i="61"/>
  <c r="A41" i="60"/>
  <c r="A40" i="60"/>
  <c r="A39" i="60"/>
  <c r="A38" i="60"/>
  <c r="A37" i="60"/>
  <c r="A36" i="60"/>
  <c r="A35" i="60"/>
  <c r="A34" i="60"/>
  <c r="A33" i="60"/>
  <c r="A32" i="60"/>
  <c r="A31" i="60"/>
  <c r="A27" i="60"/>
  <c r="A26" i="60"/>
  <c r="A25" i="60"/>
  <c r="A24" i="60"/>
  <c r="A23" i="60"/>
  <c r="A19" i="60"/>
  <c r="A18" i="60"/>
  <c r="A17" i="60"/>
  <c r="A16" i="60"/>
  <c r="A15" i="60"/>
  <c r="A14" i="60"/>
  <c r="A13" i="60"/>
  <c r="A12" i="60"/>
  <c r="A11" i="60"/>
  <c r="A10" i="60"/>
  <c r="A9" i="60"/>
  <c r="A8" i="60"/>
  <c r="A4" i="60"/>
  <c r="A3" i="60"/>
  <c r="A41" i="34"/>
  <c r="A40" i="34"/>
  <c r="A39" i="34"/>
  <c r="A38" i="34"/>
  <c r="A37" i="34"/>
  <c r="A36" i="34"/>
  <c r="A35" i="34"/>
  <c r="A34" i="34"/>
  <c r="A33" i="34"/>
  <c r="A32" i="34"/>
  <c r="A31" i="34"/>
  <c r="A27" i="34"/>
  <c r="A26" i="34"/>
  <c r="A25" i="34"/>
  <c r="A24" i="34"/>
  <c r="A23" i="34"/>
  <c r="A19" i="34"/>
  <c r="A18" i="34"/>
  <c r="A17" i="34"/>
  <c r="A16" i="34"/>
  <c r="A15" i="34"/>
  <c r="A14" i="34"/>
  <c r="A13" i="34"/>
  <c r="A12" i="34"/>
  <c r="A11" i="34"/>
  <c r="A10" i="34"/>
  <c r="A9" i="34"/>
  <c r="A8" i="34"/>
  <c r="A4" i="34"/>
  <c r="A3" i="34"/>
  <c r="A41" i="62"/>
  <c r="A40" i="62"/>
  <c r="A39" i="62"/>
  <c r="A38" i="62"/>
  <c r="A37" i="62"/>
  <c r="A36" i="62"/>
  <c r="A35" i="62"/>
  <c r="A34" i="62"/>
  <c r="A33" i="62"/>
  <c r="A32" i="62"/>
  <c r="A31" i="62"/>
  <c r="A27" i="62"/>
  <c r="A26" i="62"/>
  <c r="A25" i="62"/>
  <c r="A24" i="62"/>
  <c r="A23" i="62"/>
  <c r="A19" i="62"/>
  <c r="A18" i="62"/>
  <c r="A17" i="62"/>
  <c r="A16" i="62"/>
  <c r="A15" i="62"/>
  <c r="A14" i="62"/>
  <c r="A13" i="62"/>
  <c r="A12" i="62"/>
  <c r="A11" i="62"/>
  <c r="A10" i="62"/>
  <c r="A9" i="62"/>
  <c r="A8" i="62"/>
  <c r="A4" i="62"/>
  <c r="A3" i="62"/>
  <c r="A41" i="19"/>
  <c r="A40" i="19"/>
  <c r="A39" i="19"/>
  <c r="A38" i="19"/>
  <c r="A37" i="19"/>
  <c r="A36" i="19"/>
  <c r="A35" i="19"/>
  <c r="A34" i="19"/>
  <c r="A33" i="19"/>
  <c r="A32" i="19"/>
  <c r="A31" i="19"/>
  <c r="A27" i="19"/>
  <c r="A26" i="19"/>
  <c r="A25" i="19"/>
  <c r="A24" i="19"/>
  <c r="A23" i="19"/>
  <c r="A19" i="19"/>
  <c r="A18" i="19"/>
  <c r="A17" i="19"/>
  <c r="A16" i="19"/>
  <c r="A15" i="19"/>
  <c r="A14" i="19"/>
  <c r="A13" i="19"/>
  <c r="A12" i="19"/>
  <c r="A11" i="19"/>
  <c r="A10" i="19"/>
  <c r="A9" i="19"/>
  <c r="A8" i="19"/>
  <c r="A4" i="19"/>
  <c r="A3" i="19"/>
  <c r="A41" i="59"/>
  <c r="A40" i="59"/>
  <c r="A39" i="59"/>
  <c r="A38" i="59"/>
  <c r="A37" i="59"/>
  <c r="A36" i="59"/>
  <c r="A35" i="59"/>
  <c r="A34" i="59"/>
  <c r="A33" i="59"/>
  <c r="A32" i="59"/>
  <c r="A31" i="59"/>
  <c r="A27" i="59"/>
  <c r="A26" i="59"/>
  <c r="A25" i="59"/>
  <c r="A24" i="59"/>
  <c r="A23" i="59"/>
  <c r="A19" i="59"/>
  <c r="A18" i="59"/>
  <c r="A17" i="59"/>
  <c r="A16" i="59"/>
  <c r="A15" i="59"/>
  <c r="A14" i="59"/>
  <c r="A13" i="59"/>
  <c r="A12" i="59"/>
  <c r="A11" i="59"/>
  <c r="A10" i="59"/>
  <c r="A9" i="59"/>
  <c r="A8" i="59"/>
  <c r="A4" i="59"/>
  <c r="A3" i="59"/>
  <c r="A41" i="50"/>
  <c r="A40" i="50"/>
  <c r="A39" i="50"/>
  <c r="A38" i="50"/>
  <c r="A37" i="50"/>
  <c r="A36" i="50"/>
  <c r="A35" i="50"/>
  <c r="A34" i="50"/>
  <c r="A33" i="50"/>
  <c r="A32" i="50"/>
  <c r="A31" i="50"/>
  <c r="A27" i="50"/>
  <c r="A26" i="50"/>
  <c r="A25" i="50"/>
  <c r="A24" i="50"/>
  <c r="A23" i="50"/>
  <c r="A19" i="50"/>
  <c r="A18" i="50"/>
  <c r="A17" i="50"/>
  <c r="A16" i="50"/>
  <c r="A15" i="50"/>
  <c r="A14" i="50"/>
  <c r="A13" i="50"/>
  <c r="A12" i="50"/>
  <c r="A11" i="50"/>
  <c r="A10" i="50"/>
  <c r="A9" i="50"/>
  <c r="A8" i="50"/>
  <c r="A4" i="50"/>
  <c r="A3" i="50"/>
  <c r="A41" i="58"/>
  <c r="A40" i="58"/>
  <c r="A39" i="58"/>
  <c r="A38" i="58"/>
  <c r="A37" i="58"/>
  <c r="A36" i="58"/>
  <c r="A35" i="58"/>
  <c r="A34" i="58"/>
  <c r="A33" i="58"/>
  <c r="A32" i="58"/>
  <c r="A31" i="58"/>
  <c r="A27" i="58"/>
  <c r="A26" i="58"/>
  <c r="A25" i="58"/>
  <c r="A24" i="58"/>
  <c r="A23" i="58"/>
  <c r="A19" i="58"/>
  <c r="A18" i="58"/>
  <c r="A17" i="58"/>
  <c r="A16" i="58"/>
  <c r="A15" i="58"/>
  <c r="A14" i="58"/>
  <c r="A13" i="58"/>
  <c r="A12" i="58"/>
  <c r="A11" i="58"/>
  <c r="A10" i="58"/>
  <c r="A9" i="58"/>
  <c r="A8" i="58"/>
  <c r="A4" i="58"/>
  <c r="A3" i="58"/>
  <c r="A41" i="39"/>
  <c r="A40" i="39"/>
  <c r="A39" i="39"/>
  <c r="A38" i="39"/>
  <c r="A37" i="39"/>
  <c r="A36" i="39"/>
  <c r="A35" i="39"/>
  <c r="A34" i="39"/>
  <c r="A33" i="39"/>
  <c r="A32" i="39"/>
  <c r="A31" i="39"/>
  <c r="A27" i="39"/>
  <c r="A26" i="39"/>
  <c r="A25" i="39"/>
  <c r="A24" i="39"/>
  <c r="A23" i="39"/>
  <c r="A19" i="39"/>
  <c r="A18" i="39"/>
  <c r="A17" i="39"/>
  <c r="A16" i="39"/>
  <c r="A15" i="39"/>
  <c r="A14" i="39"/>
  <c r="A13" i="39"/>
  <c r="A12" i="39"/>
  <c r="A11" i="39"/>
  <c r="A10" i="39"/>
  <c r="A9" i="39"/>
  <c r="A8" i="39"/>
  <c r="A4" i="39"/>
  <c r="A3" i="39"/>
  <c r="A41" i="54"/>
  <c r="A40" i="54"/>
  <c r="A39" i="54"/>
  <c r="A38" i="54"/>
  <c r="A37" i="54"/>
  <c r="A36" i="54"/>
  <c r="A35" i="54"/>
  <c r="A34" i="54"/>
  <c r="A33" i="54"/>
  <c r="A32" i="54"/>
  <c r="A31" i="54"/>
  <c r="A27" i="54"/>
  <c r="A26" i="54"/>
  <c r="A25" i="54"/>
  <c r="A24" i="54"/>
  <c r="A23" i="54"/>
  <c r="A19" i="54"/>
  <c r="A18" i="54"/>
  <c r="A17" i="54"/>
  <c r="A16" i="54"/>
  <c r="A15" i="54"/>
  <c r="A14" i="54"/>
  <c r="A13" i="54"/>
  <c r="A12" i="54"/>
  <c r="A11" i="54"/>
  <c r="A10" i="54"/>
  <c r="A9" i="54"/>
  <c r="A8" i="54"/>
  <c r="A4" i="54"/>
  <c r="A3" i="54"/>
  <c r="A41" i="53"/>
  <c r="A40" i="53"/>
  <c r="A39" i="53"/>
  <c r="A38" i="53"/>
  <c r="A37" i="53"/>
  <c r="A36" i="53"/>
  <c r="A35" i="53"/>
  <c r="A34" i="53"/>
  <c r="A33" i="53"/>
  <c r="A32" i="53"/>
  <c r="A31" i="53"/>
  <c r="A27" i="53"/>
  <c r="A26" i="53"/>
  <c r="A25" i="53"/>
  <c r="A24" i="53"/>
  <c r="A23" i="53"/>
  <c r="A19" i="53"/>
  <c r="A18" i="53"/>
  <c r="A17" i="53"/>
  <c r="A16" i="53"/>
  <c r="A15" i="53"/>
  <c r="A14" i="53"/>
  <c r="A13" i="53"/>
  <c r="A12" i="53"/>
  <c r="A11" i="53"/>
  <c r="A10" i="53"/>
  <c r="A9" i="53"/>
  <c r="A8" i="53"/>
  <c r="A4" i="53"/>
  <c r="A3" i="53"/>
  <c r="A41" i="52"/>
  <c r="A40" i="52"/>
  <c r="A39" i="52"/>
  <c r="A38" i="52"/>
  <c r="A37" i="52"/>
  <c r="A36" i="52"/>
  <c r="A35" i="52"/>
  <c r="A34" i="52"/>
  <c r="A33" i="52"/>
  <c r="A32" i="52"/>
  <c r="A31" i="52"/>
  <c r="A27" i="52"/>
  <c r="A26" i="52"/>
  <c r="A25" i="52"/>
  <c r="A24" i="52"/>
  <c r="A23" i="52"/>
  <c r="A19" i="52"/>
  <c r="A18" i="52"/>
  <c r="A17" i="52"/>
  <c r="A16" i="52"/>
  <c r="A15" i="52"/>
  <c r="A14" i="52"/>
  <c r="A13" i="52"/>
  <c r="A12" i="52"/>
  <c r="A11" i="52"/>
  <c r="A10" i="52"/>
  <c r="A9" i="52"/>
  <c r="A8" i="52"/>
  <c r="A4" i="52"/>
  <c r="A3" i="52"/>
  <c r="A41" i="48"/>
  <c r="A40" i="48"/>
  <c r="A39" i="48"/>
  <c r="A38" i="48"/>
  <c r="A37" i="48"/>
  <c r="A36" i="48"/>
  <c r="A35" i="48"/>
  <c r="A34" i="48"/>
  <c r="A33" i="48"/>
  <c r="A32" i="48"/>
  <c r="A31" i="48"/>
  <c r="A27" i="48"/>
  <c r="A26" i="48"/>
  <c r="A25" i="48"/>
  <c r="A24" i="48"/>
  <c r="A23" i="48"/>
  <c r="A19" i="48"/>
  <c r="A18" i="48"/>
  <c r="A17" i="48"/>
  <c r="A16" i="48"/>
  <c r="A15" i="48"/>
  <c r="A14" i="48"/>
  <c r="A13" i="48"/>
  <c r="A12" i="48"/>
  <c r="A11" i="48"/>
  <c r="A10" i="48"/>
  <c r="A9" i="48"/>
  <c r="A8" i="48"/>
  <c r="A4" i="48"/>
  <c r="A3" i="48"/>
  <c r="A41" i="13"/>
  <c r="A40" i="13"/>
  <c r="A39" i="13"/>
  <c r="A38" i="13"/>
  <c r="A37" i="13"/>
  <c r="A36" i="13"/>
  <c r="A35" i="13"/>
  <c r="A34" i="13"/>
  <c r="A33" i="13"/>
  <c r="A32" i="13"/>
  <c r="A31" i="13"/>
  <c r="A27" i="13"/>
  <c r="A26" i="13"/>
  <c r="A25" i="13"/>
  <c r="A24" i="13"/>
  <c r="A23" i="13"/>
  <c r="A19" i="13"/>
  <c r="A18" i="13"/>
  <c r="A17" i="13"/>
  <c r="A16" i="13"/>
  <c r="A15" i="13"/>
  <c r="A14" i="13"/>
  <c r="A13" i="13"/>
  <c r="A12" i="13"/>
  <c r="A11" i="13"/>
  <c r="A10" i="13"/>
  <c r="A9" i="13"/>
  <c r="A8" i="13"/>
  <c r="A4" i="13"/>
  <c r="A3" i="13"/>
  <c r="A41" i="56"/>
  <c r="A40" i="56"/>
  <c r="A39" i="56"/>
  <c r="A38" i="56"/>
  <c r="A37" i="56"/>
  <c r="A36" i="56"/>
  <c r="A35" i="56"/>
  <c r="A34" i="56"/>
  <c r="A33" i="56"/>
  <c r="A32" i="56"/>
  <c r="A31" i="56"/>
  <c r="A27" i="56"/>
  <c r="A26" i="56"/>
  <c r="A25" i="56"/>
  <c r="A24" i="56"/>
  <c r="A23" i="56"/>
  <c r="A19" i="56"/>
  <c r="A18" i="56"/>
  <c r="A17" i="56"/>
  <c r="A16" i="56"/>
  <c r="A15" i="56"/>
  <c r="A14" i="56"/>
  <c r="A13" i="56"/>
  <c r="A12" i="56"/>
  <c r="A11" i="56"/>
  <c r="A10" i="56"/>
  <c r="A9" i="56"/>
  <c r="A8" i="56"/>
  <c r="A4" i="56"/>
  <c r="A3" i="56"/>
  <c r="A41" i="57"/>
  <c r="A40" i="57"/>
  <c r="A39" i="57"/>
  <c r="A38" i="57"/>
  <c r="A37" i="57"/>
  <c r="A36" i="57"/>
  <c r="A35" i="57"/>
  <c r="A34" i="57"/>
  <c r="A33" i="57"/>
  <c r="A32" i="57"/>
  <c r="A31" i="57"/>
  <c r="A27" i="57"/>
  <c r="A26" i="57"/>
  <c r="A25" i="57"/>
  <c r="A24" i="57"/>
  <c r="A23" i="57"/>
  <c r="A19" i="57"/>
  <c r="A18" i="57"/>
  <c r="A17" i="57"/>
  <c r="A16" i="57"/>
  <c r="A15" i="57"/>
  <c r="A14" i="57"/>
  <c r="A13" i="57"/>
  <c r="A12" i="57"/>
  <c r="A11" i="57"/>
  <c r="A10" i="57"/>
  <c r="A9" i="57"/>
  <c r="A8" i="57"/>
  <c r="A4" i="57"/>
  <c r="A3" i="57"/>
  <c r="A41" i="55"/>
  <c r="A40" i="55"/>
  <c r="A39" i="55"/>
  <c r="A38" i="55"/>
  <c r="A37" i="55"/>
  <c r="A36" i="55"/>
  <c r="A35" i="55"/>
  <c r="A34" i="55"/>
  <c r="A33" i="55"/>
  <c r="A32" i="55"/>
  <c r="A31" i="55"/>
  <c r="A27" i="55"/>
  <c r="A26" i="55"/>
  <c r="A25" i="55"/>
  <c r="A24" i="55"/>
  <c r="A23" i="55"/>
  <c r="A19" i="55"/>
  <c r="A18" i="55"/>
  <c r="A17" i="55"/>
  <c r="A16" i="55"/>
  <c r="A15" i="55"/>
  <c r="A14" i="55"/>
  <c r="A13" i="55"/>
  <c r="A12" i="55"/>
  <c r="A11" i="55"/>
  <c r="A10" i="55"/>
  <c r="A9" i="55"/>
  <c r="A8" i="55"/>
  <c r="A4" i="55"/>
  <c r="A3" i="55"/>
  <c r="A41" i="41"/>
  <c r="A40" i="41"/>
  <c r="A39" i="41"/>
  <c r="A38" i="41"/>
  <c r="A37" i="41"/>
  <c r="A36" i="41"/>
  <c r="A35" i="41"/>
  <c r="A34" i="41"/>
  <c r="A33" i="41"/>
  <c r="A32" i="41"/>
  <c r="A31" i="41"/>
  <c r="A27" i="41"/>
  <c r="A26" i="41"/>
  <c r="A25" i="41"/>
  <c r="A24" i="41"/>
  <c r="A23" i="41"/>
  <c r="A19" i="41"/>
  <c r="A18" i="41"/>
  <c r="A17" i="41"/>
  <c r="A16" i="41"/>
  <c r="A15" i="41"/>
  <c r="A14" i="41"/>
  <c r="A13" i="41"/>
  <c r="A12" i="41"/>
  <c r="A11" i="41"/>
  <c r="A10" i="41"/>
  <c r="A9" i="41"/>
  <c r="A8" i="41"/>
  <c r="A4" i="41"/>
  <c r="A3" i="41"/>
  <c r="A41" i="40"/>
  <c r="A40" i="40"/>
  <c r="A39" i="40"/>
  <c r="A38" i="40"/>
  <c r="A37" i="40"/>
  <c r="A36" i="40"/>
  <c r="A35" i="40"/>
  <c r="A34" i="40"/>
  <c r="A33" i="40"/>
  <c r="A32" i="40"/>
  <c r="A31" i="40"/>
  <c r="A27" i="40"/>
  <c r="A26" i="40"/>
  <c r="A25" i="40"/>
  <c r="A24" i="40"/>
  <c r="A23" i="40"/>
  <c r="A19" i="40"/>
  <c r="A18" i="40"/>
  <c r="A17" i="40"/>
  <c r="A16" i="40"/>
  <c r="A15" i="40"/>
  <c r="A14" i="40"/>
  <c r="A13" i="40"/>
  <c r="A12" i="40"/>
  <c r="A11" i="40"/>
  <c r="A10" i="40"/>
  <c r="A9" i="40"/>
  <c r="A8" i="40"/>
  <c r="A4" i="40"/>
  <c r="A3" i="40"/>
  <c r="D32" i="61"/>
  <c r="D25" i="61"/>
  <c r="M39" i="60" a="1"/>
  <c r="M39" i="60" s="1"/>
  <c r="F39" i="60"/>
  <c r="D37" i="60"/>
  <c r="D34" i="60"/>
  <c r="D33" i="60"/>
  <c r="D25" i="60"/>
  <c r="J21" i="57" a="1"/>
  <c r="J21" i="57" s="1"/>
  <c r="G21" i="57" a="1"/>
  <c r="G21" i="57" s="1"/>
  <c r="J20" i="57" a="1"/>
  <c r="J20" i="57" s="1"/>
  <c r="G20" i="57" a="1"/>
  <c r="G20" i="57" s="1"/>
  <c r="J19" i="57" a="1"/>
  <c r="J19" i="57" s="1"/>
  <c r="G19" i="57" a="1"/>
  <c r="G19" i="57" s="1"/>
  <c r="J18" i="57" a="1"/>
  <c r="J18" i="57" s="1"/>
  <c r="G18" i="57" a="1"/>
  <c r="G18" i="57" s="1"/>
  <c r="J17" i="57" a="1"/>
  <c r="J17" i="57" s="1"/>
  <c r="G17" i="57" a="1"/>
  <c r="G17" i="57" s="1"/>
  <c r="D305" i="19" a="1"/>
  <c r="D305" i="19" s="1"/>
  <c r="AD237" i="19" a="1"/>
  <c r="AD237" i="19" s="1"/>
  <c r="AC237" i="19" a="1"/>
  <c r="AC237" i="19" s="1"/>
  <c r="Z237" i="19" a="1"/>
  <c r="Z237" i="19" s="1"/>
  <c r="Y237" i="19" a="1"/>
  <c r="Y237" i="19" s="1"/>
  <c r="V237" i="19" a="1"/>
  <c r="V237" i="19" s="1"/>
  <c r="U237" i="19" a="1"/>
  <c r="U237" i="19" s="1"/>
  <c r="R237" i="19" a="1"/>
  <c r="R237" i="19" s="1"/>
  <c r="Q237" i="19" a="1"/>
  <c r="Q237" i="19" s="1"/>
  <c r="D237" i="19" a="1"/>
  <c r="D237" i="19" s="1"/>
  <c r="D221" i="19" a="1"/>
  <c r="D221" i="19" s="1"/>
  <c r="H16" i="52" a="1"/>
  <c r="H16" i="52" s="1"/>
  <c r="H15" i="52" a="1"/>
  <c r="H15" i="52" s="1"/>
  <c r="H14" i="52" a="1"/>
  <c r="H14" i="52" s="1"/>
  <c r="H13" i="52" a="1"/>
  <c r="H13" i="52" s="1"/>
  <c r="H12" i="52" a="1"/>
  <c r="H12" i="52" s="1"/>
  <c r="H11" i="52" a="1"/>
  <c r="H11" i="52" s="1"/>
  <c r="H10" i="52" a="1"/>
  <c r="H10" i="52" s="1"/>
  <c r="J17" i="48" a="1"/>
  <c r="J17" i="48" s="1"/>
  <c r="J16" i="48" a="1"/>
  <c r="J16" i="48" s="1"/>
  <c r="J15" i="48" a="1"/>
  <c r="J15" i="48" s="1"/>
  <c r="J14" i="48" a="1"/>
  <c r="J14" i="48" s="1"/>
  <c r="J13" i="48" a="1"/>
  <c r="J13" i="48" s="1"/>
  <c r="J12" i="48" a="1"/>
  <c r="J12" i="48" s="1"/>
  <c r="J11" i="48" a="1"/>
  <c r="J11" i="48" s="1"/>
  <c r="J10" i="48" a="1"/>
  <c r="J10" i="48" s="1"/>
  <c r="E65" i="71" a="1"/>
  <c r="E65" i="71" s="1"/>
  <c r="D65" i="71" a="1"/>
  <c r="D65" i="71" s="1"/>
  <c r="D63" i="71" a="1"/>
  <c r="D63" i="71" s="1"/>
  <c r="D62" i="71" a="1"/>
  <c r="D62" i="71" s="1"/>
  <c r="E60" i="71" a="1"/>
  <c r="E60" i="71" s="1"/>
  <c r="D60" i="71" a="1"/>
  <c r="D60" i="71" s="1"/>
  <c r="D58" i="71" a="1"/>
  <c r="D58" i="71" s="1"/>
  <c r="D57" i="71" a="1"/>
  <c r="D57" i="71" s="1"/>
  <c r="E55" i="71" a="1"/>
  <c r="E55" i="71" s="1"/>
  <c r="D55" i="71" a="1"/>
  <c r="D55" i="71" s="1"/>
  <c r="D53" i="71" a="1"/>
  <c r="D53" i="71" s="1"/>
  <c r="D52" i="71" a="1"/>
  <c r="D52" i="71" s="1"/>
  <c r="E50" i="71" a="1"/>
  <c r="E50" i="71" s="1"/>
  <c r="D50" i="71" a="1"/>
  <c r="D50" i="71" s="1"/>
  <c r="E49" i="71" a="1"/>
  <c r="E49" i="71" s="1"/>
  <c r="D49" i="71" a="1"/>
  <c r="D49" i="71" s="1"/>
  <c r="E48" i="71" a="1"/>
  <c r="E48" i="71" s="1"/>
  <c r="D48" i="71" a="1"/>
  <c r="D48" i="71" s="1"/>
  <c r="E47" i="71" a="1"/>
  <c r="E47" i="71" s="1"/>
  <c r="D47" i="71" a="1"/>
  <c r="D47" i="71" s="1"/>
  <c r="E46" i="71" a="1"/>
  <c r="E46" i="71" s="1"/>
  <c r="D46" i="71" a="1"/>
  <c r="D46" i="71" s="1"/>
  <c r="E45" i="71" a="1"/>
  <c r="E45" i="71" s="1"/>
  <c r="D45" i="71" a="1"/>
  <c r="D45" i="71" s="1"/>
  <c r="E44" i="71" a="1"/>
  <c r="E44" i="71" s="1"/>
  <c r="D44" i="71" a="1"/>
  <c r="D44" i="71" s="1"/>
  <c r="D42" i="71" a="1"/>
  <c r="D42" i="71" s="1"/>
  <c r="D41" i="71" a="1"/>
  <c r="D41" i="71" s="1"/>
  <c r="E39" i="71" a="1"/>
  <c r="E39" i="71" s="1"/>
  <c r="D39" i="71" a="1"/>
  <c r="D39" i="71" s="1"/>
  <c r="E38" i="71" a="1"/>
  <c r="E38" i="71" s="1"/>
  <c r="D38" i="71" a="1"/>
  <c r="D38" i="71" s="1"/>
  <c r="E37" i="71" a="1"/>
  <c r="E37" i="71" s="1"/>
  <c r="D37" i="71" a="1"/>
  <c r="D37" i="71" s="1"/>
  <c r="E36" i="71" a="1"/>
  <c r="E36" i="71" s="1"/>
  <c r="D36" i="71" a="1"/>
  <c r="D36" i="71" s="1"/>
  <c r="E35" i="71" a="1"/>
  <c r="E35" i="71" s="1"/>
  <c r="D35" i="71" a="1"/>
  <c r="D35" i="71" s="1"/>
  <c r="E34" i="71" a="1"/>
  <c r="E34" i="71" s="1"/>
  <c r="D34" i="71" a="1"/>
  <c r="D34" i="71" s="1"/>
  <c r="E33" i="71" a="1"/>
  <c r="E33" i="71" s="1"/>
  <c r="D33" i="71" a="1"/>
  <c r="D33" i="71" s="1"/>
  <c r="E32" i="71" a="1"/>
  <c r="E32" i="71" s="1"/>
  <c r="D32" i="71" a="1"/>
  <c r="D32" i="71" s="1"/>
  <c r="D30" i="71" a="1"/>
  <c r="D30" i="71" s="1"/>
  <c r="D29" i="71" a="1"/>
  <c r="D29" i="71" s="1"/>
  <c r="F27" i="71" a="1"/>
  <c r="F27" i="71" s="1"/>
  <c r="E27" i="71" a="1"/>
  <c r="E27" i="71" s="1"/>
  <c r="D27" i="71" a="1"/>
  <c r="D27" i="71" s="1"/>
  <c r="F26" i="71" a="1"/>
  <c r="F26" i="71" s="1"/>
  <c r="E26" i="71" a="1"/>
  <c r="E26" i="71" s="1"/>
  <c r="D26" i="71" a="1"/>
  <c r="D26" i="71" s="1"/>
  <c r="F25" i="71" a="1"/>
  <c r="F25" i="71" s="1"/>
  <c r="E25" i="71" a="1"/>
  <c r="E25" i="71" s="1"/>
  <c r="D25" i="71" a="1"/>
  <c r="D25" i="71" s="1"/>
  <c r="F24" i="71" a="1"/>
  <c r="F24" i="71" s="1"/>
  <c r="E24" i="71" a="1"/>
  <c r="E24" i="71" s="1"/>
  <c r="D24" i="71" a="1"/>
  <c r="D24" i="71" s="1"/>
  <c r="F23" i="71" a="1"/>
  <c r="F23" i="71" s="1"/>
  <c r="E23" i="71" a="1"/>
  <c r="E23" i="71" s="1"/>
  <c r="D23" i="71" a="1"/>
  <c r="D23" i="71" s="1"/>
  <c r="F22" i="71" a="1"/>
  <c r="F22" i="71" s="1"/>
  <c r="E22" i="71" a="1"/>
  <c r="E22" i="71" s="1"/>
  <c r="D22" i="71" a="1"/>
  <c r="D22" i="71" s="1"/>
  <c r="F21" i="71" a="1"/>
  <c r="F21" i="71" s="1"/>
  <c r="E21" i="71" a="1"/>
  <c r="E21" i="71" s="1"/>
  <c r="D21" i="71" a="1"/>
  <c r="D21" i="71" s="1"/>
  <c r="F20" i="71" a="1"/>
  <c r="F20" i="71" s="1"/>
  <c r="E20" i="71" a="1"/>
  <c r="E20" i="71" s="1"/>
  <c r="D20" i="71" a="1"/>
  <c r="D20" i="71" s="1"/>
  <c r="F19" i="71" a="1"/>
  <c r="F19" i="71" s="1"/>
  <c r="E19" i="71" a="1"/>
  <c r="E19" i="71" s="1"/>
  <c r="D19" i="71" a="1"/>
  <c r="D19" i="71" s="1"/>
  <c r="F18" i="71" a="1"/>
  <c r="F18" i="71" s="1"/>
  <c r="E18" i="71" a="1"/>
  <c r="E18" i="71" s="1"/>
  <c r="D18" i="71" a="1"/>
  <c r="D18" i="71" s="1"/>
  <c r="F17" i="71" a="1"/>
  <c r="F17" i="71" s="1"/>
  <c r="E17" i="71" a="1"/>
  <c r="E17" i="71" s="1"/>
  <c r="D17" i="71" a="1"/>
  <c r="D17" i="71" s="1"/>
  <c r="F16" i="71" a="1"/>
  <c r="F16" i="71" s="1"/>
  <c r="E16" i="71" a="1"/>
  <c r="E16" i="71" s="1"/>
  <c r="D16" i="71" a="1"/>
  <c r="D16" i="71" s="1"/>
  <c r="F15" i="71" a="1"/>
  <c r="F15" i="71" s="1"/>
  <c r="E15" i="71" a="1"/>
  <c r="E15" i="71" s="1"/>
  <c r="D15" i="71" a="1"/>
  <c r="D15" i="71" s="1"/>
  <c r="F14" i="71" a="1"/>
  <c r="F14" i="71" s="1"/>
  <c r="E14" i="71" a="1"/>
  <c r="E14" i="71" s="1"/>
  <c r="D14" i="71" a="1"/>
  <c r="D14" i="71" s="1"/>
  <c r="F13" i="71" a="1"/>
  <c r="F13" i="71" s="1"/>
  <c r="E13" i="71" a="1"/>
  <c r="E13" i="71" s="1"/>
  <c r="D13" i="71" a="1"/>
  <c r="D13" i="71" s="1"/>
  <c r="F12" i="71" a="1"/>
  <c r="F12" i="71" s="1"/>
  <c r="E12" i="71" a="1"/>
  <c r="E12" i="71" s="1"/>
  <c r="D12" i="71" a="1"/>
  <c r="D12" i="71" s="1"/>
  <c r="F11" i="71" a="1"/>
  <c r="F11" i="71" s="1"/>
  <c r="E11" i="71" a="1"/>
  <c r="E11" i="71" s="1"/>
  <c r="D11" i="71" a="1"/>
  <c r="D11" i="71" s="1"/>
  <c r="F10" i="71" a="1"/>
  <c r="F10" i="71" s="1"/>
  <c r="E10" i="71" a="1"/>
  <c r="E10" i="71" s="1"/>
  <c r="D10" i="71" a="1"/>
  <c r="D10" i="71" s="1"/>
  <c r="D8" i="71" a="1"/>
  <c r="D8" i="71" s="1"/>
  <c r="D7" i="71" a="1"/>
  <c r="D7" i="71" s="1"/>
  <c r="D6" i="71" a="1"/>
  <c r="D6" i="71" s="1"/>
  <c r="E123" i="70" a="1"/>
  <c r="E123" i="70" s="1"/>
  <c r="D123" i="70" a="1"/>
  <c r="D123" i="70" s="1"/>
  <c r="E122" i="70" a="1"/>
  <c r="E122" i="70" s="1"/>
  <c r="D122" i="70" a="1"/>
  <c r="D122" i="70" s="1"/>
  <c r="E121" i="70" a="1"/>
  <c r="E121" i="70" s="1"/>
  <c r="D121" i="70" a="1"/>
  <c r="D121" i="70" s="1"/>
  <c r="E120" i="70" a="1"/>
  <c r="E120" i="70" s="1"/>
  <c r="D120" i="70" a="1"/>
  <c r="D120" i="70" s="1"/>
  <c r="D118" i="70" a="1"/>
  <c r="D118" i="70" s="1"/>
  <c r="D117" i="70" a="1"/>
  <c r="D117" i="70" s="1"/>
  <c r="F115" i="70" a="1"/>
  <c r="F115" i="70" s="1"/>
  <c r="E115" i="70" a="1"/>
  <c r="E115" i="70" s="1"/>
  <c r="D115" i="70" a="1"/>
  <c r="D115" i="70" s="1"/>
  <c r="D114" i="70" a="1"/>
  <c r="D114" i="70" s="1"/>
  <c r="D113" i="70" a="1"/>
  <c r="D113" i="70" s="1"/>
  <c r="D112" i="70" a="1"/>
  <c r="D112" i="70" s="1"/>
  <c r="E110" i="70" a="1"/>
  <c r="E110" i="70" s="1"/>
  <c r="D110" i="70" a="1"/>
  <c r="D110" i="70" s="1"/>
  <c r="D109" i="70" a="1"/>
  <c r="D109" i="70" s="1"/>
  <c r="D108" i="70" a="1"/>
  <c r="D108" i="70" s="1"/>
  <c r="F105" i="70" a="1"/>
  <c r="F105" i="70" s="1"/>
  <c r="E105" i="70" a="1"/>
  <c r="E105" i="70" s="1"/>
  <c r="D105" i="70" a="1"/>
  <c r="D105" i="70" s="1"/>
  <c r="F104" i="70" a="1"/>
  <c r="F104" i="70" s="1"/>
  <c r="E104" i="70" a="1"/>
  <c r="E104" i="70" s="1"/>
  <c r="D104" i="70" a="1"/>
  <c r="D104" i="70" s="1"/>
  <c r="F103" i="70" a="1"/>
  <c r="F103" i="70" s="1"/>
  <c r="E103" i="70" a="1"/>
  <c r="E103" i="70" s="1"/>
  <c r="D103" i="70" a="1"/>
  <c r="D103" i="70" s="1"/>
  <c r="F102" i="70" a="1"/>
  <c r="F102" i="70" s="1"/>
  <c r="E102" i="70" a="1"/>
  <c r="E102" i="70" s="1"/>
  <c r="D102" i="70" a="1"/>
  <c r="D102" i="70" s="1"/>
  <c r="F101" i="70" a="1"/>
  <c r="F101" i="70" s="1"/>
  <c r="E101" i="70" a="1"/>
  <c r="E101" i="70" s="1"/>
  <c r="D101" i="70" a="1"/>
  <c r="D101" i="70" s="1"/>
  <c r="F100" i="70" a="1"/>
  <c r="F100" i="70" s="1"/>
  <c r="E100" i="70" a="1"/>
  <c r="E100" i="70" s="1"/>
  <c r="D100" i="70" a="1"/>
  <c r="D100" i="70" s="1"/>
  <c r="F99" i="70" a="1"/>
  <c r="F99" i="70" s="1"/>
  <c r="E99" i="70" a="1"/>
  <c r="E99" i="70" s="1"/>
  <c r="D99" i="70" a="1"/>
  <c r="D99" i="70" s="1"/>
  <c r="F98" i="70" a="1"/>
  <c r="F98" i="70" s="1"/>
  <c r="E98" i="70" a="1"/>
  <c r="E98" i="70" s="1"/>
  <c r="D98" i="70" a="1"/>
  <c r="D98" i="70" s="1"/>
  <c r="D96" i="70" a="1"/>
  <c r="D96" i="70" s="1"/>
  <c r="D95" i="70" a="1"/>
  <c r="D95" i="70" s="1"/>
  <c r="D94" i="70" a="1"/>
  <c r="D94" i="70" s="1"/>
  <c r="F91" i="70" a="1"/>
  <c r="F91" i="70" s="1"/>
  <c r="E91" i="70" a="1"/>
  <c r="E91" i="70" s="1"/>
  <c r="D91" i="70" a="1"/>
  <c r="D91" i="70" s="1"/>
  <c r="F90" i="70" a="1"/>
  <c r="F90" i="70" s="1"/>
  <c r="E90" i="70" a="1"/>
  <c r="E90" i="70" s="1"/>
  <c r="D90" i="70" a="1"/>
  <c r="D90" i="70" s="1"/>
  <c r="F89" i="70" a="1"/>
  <c r="F89" i="70" s="1"/>
  <c r="E89" i="70" a="1"/>
  <c r="E89" i="70" s="1"/>
  <c r="D89" i="70" a="1"/>
  <c r="D89" i="70" s="1"/>
  <c r="F88" i="70" a="1"/>
  <c r="F88" i="70" s="1"/>
  <c r="E88" i="70" a="1"/>
  <c r="E88" i="70" s="1"/>
  <c r="D88" i="70" a="1"/>
  <c r="D88" i="70" s="1"/>
  <c r="F87" i="70" a="1"/>
  <c r="F87" i="70" s="1"/>
  <c r="E87" i="70" a="1"/>
  <c r="E87" i="70" s="1"/>
  <c r="D87" i="70" a="1"/>
  <c r="D87" i="70" s="1"/>
  <c r="F86" i="70" a="1"/>
  <c r="F86" i="70" s="1"/>
  <c r="E86" i="70" a="1"/>
  <c r="E86" i="70" s="1"/>
  <c r="D86" i="70" a="1"/>
  <c r="D86" i="70" s="1"/>
  <c r="F85" i="70" a="1"/>
  <c r="F85" i="70" s="1"/>
  <c r="E85" i="70" a="1"/>
  <c r="E85" i="70" s="1"/>
  <c r="D85" i="70" a="1"/>
  <c r="D85" i="70" s="1"/>
  <c r="D83" i="70" a="1"/>
  <c r="D83" i="70" s="1"/>
  <c r="D82" i="70" a="1"/>
  <c r="D82" i="70" s="1"/>
  <c r="D81" i="70" a="1"/>
  <c r="D81" i="70" s="1"/>
  <c r="F78" i="70" a="1"/>
  <c r="F78" i="70" s="1"/>
  <c r="E78" i="70" a="1"/>
  <c r="E78" i="70" s="1"/>
  <c r="D78" i="70" a="1"/>
  <c r="D78" i="70" s="1"/>
  <c r="F77" i="70" a="1"/>
  <c r="F77" i="70" s="1"/>
  <c r="E77" i="70" a="1"/>
  <c r="E77" i="70" s="1"/>
  <c r="D77" i="70" a="1"/>
  <c r="D77" i="70" s="1"/>
  <c r="F76" i="70" a="1"/>
  <c r="F76" i="70" s="1"/>
  <c r="E76" i="70" a="1"/>
  <c r="E76" i="70" s="1"/>
  <c r="D76" i="70" a="1"/>
  <c r="D76" i="70" s="1"/>
  <c r="D74" i="70" a="1"/>
  <c r="D74" i="70" s="1"/>
  <c r="D73" i="70" a="1"/>
  <c r="D73" i="70" s="1"/>
  <c r="D72" i="70" a="1"/>
  <c r="D72" i="70" s="1"/>
  <c r="N68" i="70" a="1"/>
  <c r="N68" i="70" s="1"/>
  <c r="M68" i="70" a="1"/>
  <c r="M68" i="70" s="1"/>
  <c r="L68" i="70" a="1"/>
  <c r="L68" i="70" s="1"/>
  <c r="K68" i="70" a="1"/>
  <c r="K68" i="70" s="1"/>
  <c r="J68" i="70" a="1"/>
  <c r="J68" i="70" s="1"/>
  <c r="I68" i="70" a="1"/>
  <c r="I68" i="70" s="1"/>
  <c r="H68" i="70" a="1"/>
  <c r="H68" i="70" s="1"/>
  <c r="G68" i="70" a="1"/>
  <c r="G68" i="70" s="1"/>
  <c r="F68" i="70" a="1"/>
  <c r="F68" i="70" s="1"/>
  <c r="E68" i="70" a="1"/>
  <c r="E68" i="70" s="1"/>
  <c r="D68" i="70" a="1"/>
  <c r="D68" i="70" s="1"/>
  <c r="N67" i="70" a="1"/>
  <c r="N67" i="70" s="1"/>
  <c r="M67" i="70" a="1"/>
  <c r="M67" i="70" s="1"/>
  <c r="L67" i="70" a="1"/>
  <c r="L67" i="70" s="1"/>
  <c r="K67" i="70" a="1"/>
  <c r="K67" i="70" s="1"/>
  <c r="J67" i="70" a="1"/>
  <c r="J67" i="70" s="1"/>
  <c r="I67" i="70" a="1"/>
  <c r="I67" i="70" s="1"/>
  <c r="H67" i="70" a="1"/>
  <c r="H67" i="70" s="1"/>
  <c r="G67" i="70" a="1"/>
  <c r="G67" i="70" s="1"/>
  <c r="F67" i="70" a="1"/>
  <c r="F67" i="70" s="1"/>
  <c r="E67" i="70" a="1"/>
  <c r="E67" i="70" s="1"/>
  <c r="D67" i="70" a="1"/>
  <c r="D67" i="70" s="1"/>
  <c r="N66" i="70" a="1"/>
  <c r="N66" i="70" s="1"/>
  <c r="M66" i="70" a="1"/>
  <c r="M66" i="70" s="1"/>
  <c r="L66" i="70" a="1"/>
  <c r="L66" i="70" s="1"/>
  <c r="K66" i="70" a="1"/>
  <c r="K66" i="70" s="1"/>
  <c r="J66" i="70" a="1"/>
  <c r="J66" i="70" s="1"/>
  <c r="I66" i="70" a="1"/>
  <c r="I66" i="70" s="1"/>
  <c r="H66" i="70" a="1"/>
  <c r="H66" i="70" s="1"/>
  <c r="G66" i="70" a="1"/>
  <c r="G66" i="70" s="1"/>
  <c r="F66" i="70" a="1"/>
  <c r="F66" i="70" s="1"/>
  <c r="E66" i="70" a="1"/>
  <c r="E66" i="70" s="1"/>
  <c r="D66" i="70" a="1"/>
  <c r="D66" i="70" s="1"/>
  <c r="N65" i="70" a="1"/>
  <c r="N65" i="70" s="1"/>
  <c r="M65" i="70" a="1"/>
  <c r="M65" i="70" s="1"/>
  <c r="L65" i="70" a="1"/>
  <c r="L65" i="70" s="1"/>
  <c r="K65" i="70" a="1"/>
  <c r="K65" i="70" s="1"/>
  <c r="J65" i="70" a="1"/>
  <c r="J65" i="70" s="1"/>
  <c r="I65" i="70" a="1"/>
  <c r="I65" i="70" s="1"/>
  <c r="H65" i="70" a="1"/>
  <c r="H65" i="70" s="1"/>
  <c r="G65" i="70" a="1"/>
  <c r="G65" i="70" s="1"/>
  <c r="F65" i="70" a="1"/>
  <c r="F65" i="70" s="1"/>
  <c r="E65" i="70" a="1"/>
  <c r="E65" i="70" s="1"/>
  <c r="D65" i="70" a="1"/>
  <c r="D65" i="70" s="1"/>
  <c r="N64" i="70" a="1"/>
  <c r="N64" i="70" s="1"/>
  <c r="M64" i="70" a="1"/>
  <c r="M64" i="70" s="1"/>
  <c r="L64" i="70" a="1"/>
  <c r="L64" i="70" s="1"/>
  <c r="K64" i="70" a="1"/>
  <c r="K64" i="70" s="1"/>
  <c r="J64" i="70" a="1"/>
  <c r="J64" i="70" s="1"/>
  <c r="I64" i="70" a="1"/>
  <c r="I64" i="70" s="1"/>
  <c r="H64" i="70" a="1"/>
  <c r="H64" i="70" s="1"/>
  <c r="G64" i="70" a="1"/>
  <c r="G64" i="70" s="1"/>
  <c r="F64" i="70" a="1"/>
  <c r="F64" i="70" s="1"/>
  <c r="E64" i="70" a="1"/>
  <c r="E64" i="70" s="1"/>
  <c r="D64" i="70" a="1"/>
  <c r="D64" i="70" s="1"/>
  <c r="N63" i="70" a="1"/>
  <c r="N63" i="70" s="1"/>
  <c r="M63" i="70" a="1"/>
  <c r="M63" i="70" s="1"/>
  <c r="L63" i="70" a="1"/>
  <c r="L63" i="70" s="1"/>
  <c r="K63" i="70" a="1"/>
  <c r="K63" i="70" s="1"/>
  <c r="J63" i="70" a="1"/>
  <c r="J63" i="70" s="1"/>
  <c r="I63" i="70" a="1"/>
  <c r="I63" i="70" s="1"/>
  <c r="H63" i="70" a="1"/>
  <c r="H63" i="70" s="1"/>
  <c r="G63" i="70" a="1"/>
  <c r="G63" i="70" s="1"/>
  <c r="F63" i="70" a="1"/>
  <c r="F63" i="70" s="1"/>
  <c r="E63" i="70" a="1"/>
  <c r="E63" i="70" s="1"/>
  <c r="D63" i="70" a="1"/>
  <c r="D63" i="70" s="1"/>
  <c r="N62" i="70" a="1"/>
  <c r="N62" i="70" s="1"/>
  <c r="M62" i="70" a="1"/>
  <c r="M62" i="70" s="1"/>
  <c r="L62" i="70" a="1"/>
  <c r="L62" i="70" s="1"/>
  <c r="K62" i="70" a="1"/>
  <c r="K62" i="70" s="1"/>
  <c r="J62" i="70" a="1"/>
  <c r="J62" i="70" s="1"/>
  <c r="I62" i="70" a="1"/>
  <c r="I62" i="70" s="1"/>
  <c r="H62" i="70" a="1"/>
  <c r="H62" i="70" s="1"/>
  <c r="G62" i="70" a="1"/>
  <c r="G62" i="70" s="1"/>
  <c r="F62" i="70" a="1"/>
  <c r="F62" i="70" s="1"/>
  <c r="E62" i="70" a="1"/>
  <c r="E62" i="70" s="1"/>
  <c r="D62" i="70" a="1"/>
  <c r="D62" i="70" s="1"/>
  <c r="N61" i="70" a="1"/>
  <c r="N61" i="70" s="1"/>
  <c r="M61" i="70" a="1"/>
  <c r="M61" i="70" s="1"/>
  <c r="L61" i="70" a="1"/>
  <c r="L61" i="70" s="1"/>
  <c r="K61" i="70" a="1"/>
  <c r="K61" i="70" s="1"/>
  <c r="J61" i="70" a="1"/>
  <c r="J61" i="70" s="1"/>
  <c r="I61" i="70" a="1"/>
  <c r="I61" i="70" s="1"/>
  <c r="H61" i="70" a="1"/>
  <c r="H61" i="70" s="1"/>
  <c r="G61" i="70" a="1"/>
  <c r="G61" i="70" s="1"/>
  <c r="F61" i="70" a="1"/>
  <c r="F61" i="70" s="1"/>
  <c r="E61" i="70" a="1"/>
  <c r="E61" i="70" s="1"/>
  <c r="D61" i="70" a="1"/>
  <c r="D61" i="70" s="1"/>
  <c r="N60" i="70" a="1"/>
  <c r="N60" i="70" s="1"/>
  <c r="M60" i="70" a="1"/>
  <c r="M60" i="70" s="1"/>
  <c r="L60" i="70" a="1"/>
  <c r="L60" i="70" s="1"/>
  <c r="K60" i="70" a="1"/>
  <c r="K60" i="70" s="1"/>
  <c r="J60" i="70" a="1"/>
  <c r="J60" i="70" s="1"/>
  <c r="I60" i="70" a="1"/>
  <c r="I60" i="70" s="1"/>
  <c r="H60" i="70" a="1"/>
  <c r="H60" i="70" s="1"/>
  <c r="G60" i="70" a="1"/>
  <c r="G60" i="70" s="1"/>
  <c r="F60" i="70" a="1"/>
  <c r="F60" i="70" s="1"/>
  <c r="E60" i="70" a="1"/>
  <c r="E60" i="70" s="1"/>
  <c r="D60" i="70" a="1"/>
  <c r="D60" i="70" s="1"/>
  <c r="D53" i="70" a="1"/>
  <c r="D53" i="70" s="1"/>
  <c r="D52" i="70" a="1"/>
  <c r="D52" i="70" s="1"/>
  <c r="D51" i="70" a="1"/>
  <c r="D51" i="70" s="1"/>
  <c r="D47" i="70" a="1"/>
  <c r="D47" i="70" s="1"/>
  <c r="D46" i="70" a="1"/>
  <c r="D46" i="70" s="1"/>
  <c r="D45" i="70" a="1"/>
  <c r="D45" i="70" s="1"/>
  <c r="E21" i="70" a="1"/>
  <c r="E21" i="70" s="1"/>
  <c r="D21" i="70" a="1"/>
  <c r="D21" i="70" s="1"/>
  <c r="E20" i="70" a="1"/>
  <c r="E20" i="70" s="1"/>
  <c r="D20" i="70" a="1"/>
  <c r="D20" i="70" s="1"/>
  <c r="D18" i="70" a="1"/>
  <c r="D18" i="70" s="1"/>
  <c r="D17" i="70" a="1"/>
  <c r="D17" i="70" s="1"/>
  <c r="H13" i="70" a="1"/>
  <c r="H13" i="70" s="1"/>
  <c r="G13" i="70" a="1"/>
  <c r="G13" i="70" s="1"/>
  <c r="F13" i="70" a="1"/>
  <c r="F13" i="70" s="1"/>
  <c r="E13" i="70" a="1"/>
  <c r="E13" i="70" s="1"/>
  <c r="D13" i="70" a="1"/>
  <c r="D13" i="70" s="1"/>
  <c r="H12" i="70" a="1"/>
  <c r="H12" i="70" s="1"/>
  <c r="G12" i="70" a="1"/>
  <c r="G12" i="70" s="1"/>
  <c r="F12" i="70" a="1"/>
  <c r="F12" i="70" s="1"/>
  <c r="E12" i="70" a="1"/>
  <c r="E12" i="70" s="1"/>
  <c r="D12" i="70" a="1"/>
  <c r="D12" i="70" s="1"/>
  <c r="H11" i="70" a="1"/>
  <c r="H11" i="70" s="1"/>
  <c r="G11" i="70" a="1"/>
  <c r="G11" i="70" s="1"/>
  <c r="F11" i="70" a="1"/>
  <c r="F11" i="70" s="1"/>
  <c r="E11" i="70" a="1"/>
  <c r="E11" i="70" s="1"/>
  <c r="D11" i="70" a="1"/>
  <c r="D11" i="70" s="1"/>
  <c r="H10" i="70" a="1"/>
  <c r="H10" i="70" s="1"/>
  <c r="G10" i="70" a="1"/>
  <c r="G10" i="70" s="1"/>
  <c r="F10" i="70" a="1"/>
  <c r="F10" i="70" s="1"/>
  <c r="E10" i="70"/>
  <c r="E10" i="70" a="1"/>
  <c r="D10" i="70" a="1"/>
  <c r="D10" i="70" s="1"/>
  <c r="H9" i="70" a="1"/>
  <c r="H9" i="70" s="1"/>
  <c r="G9" i="70" a="1"/>
  <c r="G9" i="70" s="1"/>
  <c r="F9" i="70" a="1"/>
  <c r="F9" i="70" s="1"/>
  <c r="E9" i="70" a="1"/>
  <c r="E9" i="70" s="1"/>
  <c r="D9" i="70" a="1"/>
  <c r="D9" i="70" s="1"/>
  <c r="D6" i="70" a="1"/>
  <c r="D6" i="70" s="1"/>
  <c r="D5" i="70" a="1"/>
  <c r="D5" i="70" s="1"/>
  <c r="F117" i="69" a="1"/>
  <c r="F117" i="69" s="1"/>
  <c r="E117" i="69" a="1"/>
  <c r="E117" i="69" s="1"/>
  <c r="D117" i="69" a="1"/>
  <c r="D117" i="69" s="1"/>
  <c r="F116" i="69" a="1"/>
  <c r="F116" i="69" s="1"/>
  <c r="E116" i="69" a="1"/>
  <c r="E116" i="69" s="1"/>
  <c r="D116" i="69" a="1"/>
  <c r="D116" i="69" s="1"/>
  <c r="F115" i="69" a="1"/>
  <c r="F115" i="69" s="1"/>
  <c r="E115" i="69" a="1"/>
  <c r="E115" i="69" s="1"/>
  <c r="D115" i="69" a="1"/>
  <c r="D115" i="69" s="1"/>
  <c r="F114" i="69" a="1"/>
  <c r="F114" i="69" s="1"/>
  <c r="E114" i="69" a="1"/>
  <c r="E114" i="69" s="1"/>
  <c r="D114" i="69" a="1"/>
  <c r="D114" i="69" s="1"/>
  <c r="F113" i="69" a="1"/>
  <c r="F113" i="69" s="1"/>
  <c r="E113" i="69" a="1"/>
  <c r="E113" i="69" s="1"/>
  <c r="D113" i="69" a="1"/>
  <c r="D113" i="69" s="1"/>
  <c r="F112" i="69" a="1"/>
  <c r="F112" i="69" s="1"/>
  <c r="E112" i="69" a="1"/>
  <c r="E112" i="69" s="1"/>
  <c r="D112" i="69" a="1"/>
  <c r="D112" i="69" s="1"/>
  <c r="D110" i="69" a="1"/>
  <c r="D110" i="69" s="1"/>
  <c r="D109" i="69" a="1"/>
  <c r="D109" i="69" s="1"/>
  <c r="D108" i="69" a="1"/>
  <c r="D108" i="69" s="1"/>
  <c r="F105" i="69" a="1"/>
  <c r="F105" i="69" s="1"/>
  <c r="E105" i="69" a="1"/>
  <c r="E105" i="69" s="1"/>
  <c r="D105" i="69" a="1"/>
  <c r="D105" i="69" s="1"/>
  <c r="F104" i="69" a="1"/>
  <c r="F104" i="69" s="1"/>
  <c r="E104" i="69" a="1"/>
  <c r="E104" i="69" s="1"/>
  <c r="D104" i="69" a="1"/>
  <c r="D104" i="69" s="1"/>
  <c r="F103" i="69" a="1"/>
  <c r="F103" i="69" s="1"/>
  <c r="E103" i="69" a="1"/>
  <c r="E103" i="69" s="1"/>
  <c r="D103" i="69" a="1"/>
  <c r="D103" i="69" s="1"/>
  <c r="F102" i="69" a="1"/>
  <c r="F102" i="69" s="1"/>
  <c r="E102" i="69" a="1"/>
  <c r="E102" i="69" s="1"/>
  <c r="D102" i="69" a="1"/>
  <c r="D102" i="69" s="1"/>
  <c r="F101" i="69" a="1"/>
  <c r="F101" i="69" s="1"/>
  <c r="E101" i="69" a="1"/>
  <c r="E101" i="69" s="1"/>
  <c r="D101" i="69" a="1"/>
  <c r="D101" i="69" s="1"/>
  <c r="F100" i="69" a="1"/>
  <c r="F100" i="69" s="1"/>
  <c r="E100" i="69" a="1"/>
  <c r="E100" i="69" s="1"/>
  <c r="D100" i="69" a="1"/>
  <c r="D100" i="69" s="1"/>
  <c r="D98" i="69" a="1"/>
  <c r="D98" i="69" s="1"/>
  <c r="D97" i="69" a="1"/>
  <c r="D97" i="69" s="1"/>
  <c r="D96" i="69" a="1"/>
  <c r="D96" i="69" s="1"/>
  <c r="G93" i="69" a="1"/>
  <c r="G93" i="69" s="1"/>
  <c r="F93" i="69" a="1"/>
  <c r="F93" i="69" s="1"/>
  <c r="E93" i="69" a="1"/>
  <c r="E93" i="69" s="1"/>
  <c r="D93" i="69" a="1"/>
  <c r="D93" i="69" s="1"/>
  <c r="G92" i="69" a="1"/>
  <c r="G92" i="69" s="1"/>
  <c r="F92" i="69" a="1"/>
  <c r="F92" i="69" s="1"/>
  <c r="E92" i="69" a="1"/>
  <c r="E92" i="69" s="1"/>
  <c r="D92" i="69" a="1"/>
  <c r="D92" i="69" s="1"/>
  <c r="G91" i="69" a="1"/>
  <c r="G91" i="69" s="1"/>
  <c r="F91" i="69" a="1"/>
  <c r="F91" i="69" s="1"/>
  <c r="E91" i="69" a="1"/>
  <c r="E91" i="69" s="1"/>
  <c r="D91" i="69" a="1"/>
  <c r="D91" i="69" s="1"/>
  <c r="G90" i="69" a="1"/>
  <c r="G90" i="69" s="1"/>
  <c r="F90" i="69" a="1"/>
  <c r="F90" i="69" s="1"/>
  <c r="E90" i="69" a="1"/>
  <c r="E90" i="69" s="1"/>
  <c r="D90" i="69" a="1"/>
  <c r="D90" i="69" s="1"/>
  <c r="D87" i="69" a="1"/>
  <c r="D87" i="69" s="1"/>
  <c r="D86" i="69" a="1"/>
  <c r="D86" i="69" s="1"/>
  <c r="D85" i="69" a="1"/>
  <c r="D85" i="69" s="1"/>
  <c r="E82" i="69" a="1"/>
  <c r="E82" i="69" s="1"/>
  <c r="D82" i="69" a="1"/>
  <c r="D82" i="69" s="1"/>
  <c r="E81" i="69" a="1"/>
  <c r="E81" i="69" s="1"/>
  <c r="D81" i="69" a="1"/>
  <c r="D81" i="69" s="1"/>
  <c r="E80" i="69" a="1"/>
  <c r="E80" i="69" s="1"/>
  <c r="D80" i="69" a="1"/>
  <c r="D80" i="69" s="1"/>
  <c r="E79" i="69" a="1"/>
  <c r="E79" i="69" s="1"/>
  <c r="D79" i="69" a="1"/>
  <c r="D79" i="69" s="1"/>
  <c r="D76" i="69" a="1"/>
  <c r="D76" i="69" s="1"/>
  <c r="D75" i="69" a="1"/>
  <c r="D75" i="69" s="1"/>
  <c r="D74" i="69" a="1"/>
  <c r="D74" i="69" s="1"/>
  <c r="E71" i="69" a="1"/>
  <c r="E71" i="69" s="1"/>
  <c r="D71" i="69" a="1"/>
  <c r="D71" i="69" s="1"/>
  <c r="E70" i="69" a="1"/>
  <c r="E70" i="69" s="1"/>
  <c r="D70" i="69" a="1"/>
  <c r="D70" i="69" s="1"/>
  <c r="E69" i="69" a="1"/>
  <c r="E69" i="69" s="1"/>
  <c r="D69" i="69" a="1"/>
  <c r="D69" i="69" s="1"/>
  <c r="E68" i="69" a="1"/>
  <c r="E68" i="69" s="1"/>
  <c r="D68" i="69" a="1"/>
  <c r="D68" i="69" s="1"/>
  <c r="D65" i="69" a="1"/>
  <c r="D65" i="69" s="1"/>
  <c r="D64" i="69" a="1"/>
  <c r="D64" i="69" s="1"/>
  <c r="D63" i="69" a="1"/>
  <c r="D63" i="69" s="1"/>
  <c r="G56" i="69" a="1"/>
  <c r="G56" i="69" s="1"/>
  <c r="G55" i="69" a="1"/>
  <c r="G55" i="69" s="1"/>
  <c r="G54" i="69" a="1"/>
  <c r="G54" i="69" s="1"/>
  <c r="M35" i="69" a="1"/>
  <c r="M35" i="69" s="1"/>
  <c r="L35" i="69" a="1"/>
  <c r="L35" i="69" s="1"/>
  <c r="K35" i="69" a="1"/>
  <c r="K35" i="69" s="1"/>
  <c r="J35" i="69" a="1"/>
  <c r="J35" i="69" s="1"/>
  <c r="I35" i="69" a="1"/>
  <c r="I35" i="69" s="1"/>
  <c r="H35" i="69" a="1"/>
  <c r="H35" i="69" s="1"/>
  <c r="G35" i="69" a="1"/>
  <c r="G35" i="69" s="1"/>
  <c r="F35" i="69" a="1"/>
  <c r="F35" i="69" s="1"/>
  <c r="E35" i="69" a="1"/>
  <c r="E35" i="69" s="1"/>
  <c r="D35" i="69" a="1"/>
  <c r="D35" i="69" s="1"/>
  <c r="M34" i="69" a="1"/>
  <c r="M34" i="69" s="1"/>
  <c r="L34" i="69" a="1"/>
  <c r="L34" i="69" s="1"/>
  <c r="K34" i="69" a="1"/>
  <c r="K34" i="69" s="1"/>
  <c r="J34" i="69" a="1"/>
  <c r="J34" i="69" s="1"/>
  <c r="I34" i="69" a="1"/>
  <c r="I34" i="69" s="1"/>
  <c r="H34" i="69" a="1"/>
  <c r="H34" i="69" s="1"/>
  <c r="G34" i="69" a="1"/>
  <c r="G34" i="69" s="1"/>
  <c r="F34" i="69" a="1"/>
  <c r="F34" i="69" s="1"/>
  <c r="E34" i="69" a="1"/>
  <c r="E34" i="69" s="1"/>
  <c r="D34" i="69" a="1"/>
  <c r="D34" i="69" s="1"/>
  <c r="M33" i="69" a="1"/>
  <c r="M33" i="69" s="1"/>
  <c r="L33" i="69" a="1"/>
  <c r="L33" i="69" s="1"/>
  <c r="K33" i="69" a="1"/>
  <c r="K33" i="69" s="1"/>
  <c r="J33" i="69" a="1"/>
  <c r="J33" i="69" s="1"/>
  <c r="I33" i="69" a="1"/>
  <c r="I33" i="69" s="1"/>
  <c r="H33" i="69" a="1"/>
  <c r="H33" i="69" s="1"/>
  <c r="G33" i="69" a="1"/>
  <c r="G33" i="69" s="1"/>
  <c r="F33" i="69" a="1"/>
  <c r="F33" i="69" s="1"/>
  <c r="E33" i="69" a="1"/>
  <c r="E33" i="69" s="1"/>
  <c r="D33" i="69" a="1"/>
  <c r="D33" i="69" s="1"/>
  <c r="M32" i="69" a="1"/>
  <c r="M32" i="69" s="1"/>
  <c r="L32" i="69" a="1"/>
  <c r="L32" i="69" s="1"/>
  <c r="K32" i="69" a="1"/>
  <c r="K32" i="69" s="1"/>
  <c r="J32" i="69" a="1"/>
  <c r="J32" i="69" s="1"/>
  <c r="I32" i="69" a="1"/>
  <c r="I32" i="69" s="1"/>
  <c r="H32" i="69" a="1"/>
  <c r="H32" i="69" s="1"/>
  <c r="G32" i="69" a="1"/>
  <c r="G32" i="69" s="1"/>
  <c r="F32" i="69" a="1"/>
  <c r="F32" i="69" s="1"/>
  <c r="E32" i="69" a="1"/>
  <c r="E32" i="69" s="1"/>
  <c r="D32" i="69" a="1"/>
  <c r="D32" i="69" s="1"/>
  <c r="M31" i="69" a="1"/>
  <c r="M31" i="69" s="1"/>
  <c r="L31" i="69" a="1"/>
  <c r="L31" i="69" s="1"/>
  <c r="K31" i="69" a="1"/>
  <c r="K31" i="69" s="1"/>
  <c r="J31" i="69" a="1"/>
  <c r="J31" i="69" s="1"/>
  <c r="I31" i="69" a="1"/>
  <c r="I31" i="69" s="1"/>
  <c r="H31" i="69" a="1"/>
  <c r="H31" i="69" s="1"/>
  <c r="G31" i="69" a="1"/>
  <c r="G31" i="69" s="1"/>
  <c r="F31" i="69" a="1"/>
  <c r="F31" i="69" s="1"/>
  <c r="E31" i="69" a="1"/>
  <c r="E31" i="69" s="1"/>
  <c r="D31" i="69" a="1"/>
  <c r="D31" i="69" s="1"/>
  <c r="M30" i="69" a="1"/>
  <c r="M30" i="69" s="1"/>
  <c r="L30" i="69" a="1"/>
  <c r="L30" i="69" s="1"/>
  <c r="K30" i="69" a="1"/>
  <c r="K30" i="69" s="1"/>
  <c r="J30" i="69" a="1"/>
  <c r="J30" i="69" s="1"/>
  <c r="I30" i="69" a="1"/>
  <c r="I30" i="69" s="1"/>
  <c r="H30" i="69" a="1"/>
  <c r="H30" i="69" s="1"/>
  <c r="G30" i="69" a="1"/>
  <c r="G30" i="69" s="1"/>
  <c r="F30" i="69" a="1"/>
  <c r="F30" i="69" s="1"/>
  <c r="E30" i="69" a="1"/>
  <c r="E30" i="69" s="1"/>
  <c r="D30" i="69" a="1"/>
  <c r="D30" i="69" s="1"/>
  <c r="M29" i="69" a="1"/>
  <c r="M29" i="69" s="1"/>
  <c r="L29" i="69" a="1"/>
  <c r="L29" i="69" s="1"/>
  <c r="K29" i="69" a="1"/>
  <c r="K29" i="69" s="1"/>
  <c r="J29" i="69" a="1"/>
  <c r="J29" i="69" s="1"/>
  <c r="I29" i="69" a="1"/>
  <c r="I29" i="69" s="1"/>
  <c r="H29" i="69" a="1"/>
  <c r="H29" i="69" s="1"/>
  <c r="G29" i="69" a="1"/>
  <c r="G29" i="69" s="1"/>
  <c r="F29" i="69" a="1"/>
  <c r="F29" i="69" s="1"/>
  <c r="E29" i="69" a="1"/>
  <c r="E29" i="69" s="1"/>
  <c r="D29" i="69" a="1"/>
  <c r="D29" i="69" s="1"/>
  <c r="D26" i="69" a="1"/>
  <c r="D26" i="69" s="1"/>
  <c r="D25" i="69" a="1"/>
  <c r="D25" i="69" s="1"/>
  <c r="D24" i="69" a="1"/>
  <c r="D24" i="69" s="1"/>
  <c r="F21" i="69" a="1"/>
  <c r="F21" i="69" s="1"/>
  <c r="E21" i="69" a="1"/>
  <c r="E21" i="69" s="1"/>
  <c r="D21" i="69" a="1"/>
  <c r="D21" i="69" s="1"/>
  <c r="D20" i="69" a="1"/>
  <c r="D20" i="69" s="1"/>
  <c r="D19" i="69" a="1"/>
  <c r="D19" i="69" s="1"/>
  <c r="F17" i="69" a="1"/>
  <c r="F17" i="69" s="1"/>
  <c r="E17" i="69" a="1"/>
  <c r="E17" i="69" s="1"/>
  <c r="D17" i="69" a="1"/>
  <c r="D17" i="69" s="1"/>
  <c r="D16" i="69" a="1"/>
  <c r="D16" i="69" s="1"/>
  <c r="D15" i="69" a="1"/>
  <c r="D15" i="69" s="1"/>
  <c r="D14" i="69" a="1"/>
  <c r="D14" i="69" s="1"/>
  <c r="D233" i="68" a="1"/>
  <c r="D233" i="68" s="1"/>
  <c r="D232" i="68" a="1"/>
  <c r="D232" i="68" s="1"/>
  <c r="D231" i="68" a="1"/>
  <c r="D231" i="68" s="1"/>
  <c r="D230" i="68" a="1"/>
  <c r="D230" i="68" s="1"/>
  <c r="D229" i="68" a="1"/>
  <c r="D229" i="68" s="1"/>
  <c r="D227" i="68" a="1"/>
  <c r="D227" i="68" s="1"/>
  <c r="D226" i="68" a="1"/>
  <c r="D226" i="68" s="1"/>
  <c r="D225" i="68" a="1"/>
  <c r="D225" i="68" s="1"/>
  <c r="D224" i="68" a="1"/>
  <c r="D224" i="68" s="1"/>
  <c r="D223" i="68" a="1"/>
  <c r="D223" i="68" s="1"/>
  <c r="D221" i="68" a="1"/>
  <c r="D221" i="68" s="1"/>
  <c r="D220" i="68" a="1"/>
  <c r="D220" i="68" s="1"/>
  <c r="D219" i="68" a="1"/>
  <c r="D219" i="68" s="1"/>
  <c r="D218" i="68" a="1"/>
  <c r="D218" i="68" s="1"/>
  <c r="D217" i="68" a="1"/>
  <c r="D217" i="68" s="1"/>
  <c r="D215" i="68" a="1"/>
  <c r="D215" i="68" s="1"/>
  <c r="A215" i="68"/>
  <c r="D214" i="68" a="1"/>
  <c r="D214" i="68" s="1"/>
  <c r="D213" i="68" a="1"/>
  <c r="D213" i="68" s="1"/>
  <c r="D212" i="68" a="1"/>
  <c r="D212" i="68" s="1"/>
  <c r="D211" i="68" a="1"/>
  <c r="D211" i="68" s="1"/>
  <c r="D209" i="68" a="1"/>
  <c r="D209" i="68" s="1"/>
  <c r="D208" i="68" a="1"/>
  <c r="D208" i="68" s="1"/>
  <c r="D207" i="68" a="1"/>
  <c r="D207" i="68" s="1"/>
  <c r="D206" i="68" a="1"/>
  <c r="D206" i="68" s="1"/>
  <c r="D205" i="68" a="1"/>
  <c r="D205" i="68" s="1"/>
  <c r="D202" i="68" a="1"/>
  <c r="D202" i="68" s="1"/>
  <c r="D201" i="68" a="1"/>
  <c r="D201" i="68" s="1"/>
  <c r="D200" i="68" a="1"/>
  <c r="D200" i="68" s="1"/>
  <c r="D199" i="68" a="1"/>
  <c r="D199" i="68" s="1"/>
  <c r="D198" i="68" a="1"/>
  <c r="D198" i="68" s="1"/>
  <c r="D195" i="68" a="1"/>
  <c r="D195" i="68" s="1"/>
  <c r="D194" i="68" a="1"/>
  <c r="D194" i="68" s="1"/>
  <c r="D193" i="68" a="1"/>
  <c r="D193" i="68" s="1"/>
  <c r="D192" i="68" a="1"/>
  <c r="D192" i="68" s="1"/>
  <c r="D191" i="68" a="1"/>
  <c r="D191" i="68" s="1"/>
  <c r="D188" i="68" a="1"/>
  <c r="D188" i="68" s="1"/>
  <c r="D187" i="68" a="1"/>
  <c r="D187" i="68" s="1"/>
  <c r="D186" i="68" a="1"/>
  <c r="D186" i="68" s="1"/>
  <c r="D185" i="68" a="1"/>
  <c r="D185" i="68" s="1"/>
  <c r="D184" i="68" a="1"/>
  <c r="D184" i="68" s="1"/>
  <c r="D181" i="68" a="1"/>
  <c r="D181" i="68" s="1"/>
  <c r="D180" i="68" a="1"/>
  <c r="D180" i="68" s="1"/>
  <c r="D179" i="68" a="1"/>
  <c r="D179" i="68" s="1"/>
  <c r="D178" i="68" a="1"/>
  <c r="D178" i="68" s="1"/>
  <c r="D177" i="68" a="1"/>
  <c r="D177" i="68" s="1"/>
  <c r="D174" i="68" a="1"/>
  <c r="D174" i="68" s="1"/>
  <c r="A174" i="68"/>
  <c r="D173" i="68" a="1"/>
  <c r="D173" i="68" s="1"/>
  <c r="D172" i="68" a="1"/>
  <c r="D172" i="68" s="1"/>
  <c r="D171" i="68" a="1"/>
  <c r="D171" i="68" s="1"/>
  <c r="D170" i="68" a="1"/>
  <c r="D170" i="68" s="1"/>
  <c r="D167" i="68" a="1"/>
  <c r="D167" i="68" s="1"/>
  <c r="D166" i="68" a="1"/>
  <c r="D166" i="68" s="1"/>
  <c r="D165" i="68" a="1"/>
  <c r="D165" i="68" s="1"/>
  <c r="D164" i="68" a="1"/>
  <c r="D164" i="68" s="1"/>
  <c r="D163" i="68" a="1"/>
  <c r="D163" i="68" s="1"/>
  <c r="D160" i="68" a="1"/>
  <c r="D160" i="68" s="1"/>
  <c r="D159" i="68" a="1"/>
  <c r="D159" i="68" s="1"/>
  <c r="D158" i="68" a="1"/>
  <c r="D158" i="68" s="1"/>
  <c r="D157" i="68" a="1"/>
  <c r="D157" i="68" s="1"/>
  <c r="D156" i="68" a="1"/>
  <c r="D156" i="68" s="1"/>
  <c r="D153" i="68" a="1"/>
  <c r="D153" i="68" s="1"/>
  <c r="D152" i="68" a="1"/>
  <c r="D152" i="68" s="1"/>
  <c r="D151" i="68" a="1"/>
  <c r="D151" i="68" s="1"/>
  <c r="D150" i="68" a="1"/>
  <c r="D150" i="68" s="1"/>
  <c r="D149" i="68" a="1"/>
  <c r="D149" i="68" s="1"/>
  <c r="F146" i="68" a="1"/>
  <c r="F146" i="68" s="1"/>
  <c r="E146" i="68" a="1"/>
  <c r="E146" i="68" s="1"/>
  <c r="D146" i="68" a="1"/>
  <c r="D146" i="68" s="1"/>
  <c r="F145" i="68" a="1"/>
  <c r="F145" i="68" s="1"/>
  <c r="E145" i="68" a="1"/>
  <c r="E145" i="68" s="1"/>
  <c r="D145" i="68" a="1"/>
  <c r="D145" i="68" s="1"/>
  <c r="F144" i="68" a="1"/>
  <c r="F144" i="68" s="1"/>
  <c r="E144" i="68" a="1"/>
  <c r="E144" i="68" s="1"/>
  <c r="D144" i="68" a="1"/>
  <c r="D144" i="68" s="1"/>
  <c r="F143" i="68" a="1"/>
  <c r="F143" i="68" s="1"/>
  <c r="E143" i="68" a="1"/>
  <c r="E143" i="68" s="1"/>
  <c r="D143" i="68" a="1"/>
  <c r="D143" i="68" s="1"/>
  <c r="F142" i="68" a="1"/>
  <c r="F142" i="68" s="1"/>
  <c r="E142" i="68" a="1"/>
  <c r="E142" i="68" s="1"/>
  <c r="D142" i="68" a="1"/>
  <c r="D142" i="68" s="1"/>
  <c r="D140" i="68" a="1"/>
  <c r="D140" i="68" s="1"/>
  <c r="D139" i="68" a="1"/>
  <c r="D139" i="68" s="1"/>
  <c r="D138" i="68" a="1"/>
  <c r="D138" i="68" s="1"/>
  <c r="D137" i="68" a="1"/>
  <c r="D137" i="68" s="1"/>
  <c r="D136" i="68" a="1"/>
  <c r="D136" i="68" s="1"/>
  <c r="F133" i="68" a="1"/>
  <c r="F133" i="68" s="1"/>
  <c r="E133" i="68" a="1"/>
  <c r="E133" i="68" s="1"/>
  <c r="D133" i="68" a="1"/>
  <c r="D133" i="68" s="1"/>
  <c r="F132" i="68" a="1"/>
  <c r="F132" i="68" s="1"/>
  <c r="E132" i="68" a="1"/>
  <c r="E132" i="68" s="1"/>
  <c r="D132" i="68" a="1"/>
  <c r="D132" i="68" s="1"/>
  <c r="F131" i="68" a="1"/>
  <c r="F131" i="68" s="1"/>
  <c r="E131" i="68" a="1"/>
  <c r="E131" i="68" s="1"/>
  <c r="D131" i="68" a="1"/>
  <c r="D131" i="68" s="1"/>
  <c r="F130" i="68" a="1"/>
  <c r="F130" i="68" s="1"/>
  <c r="E130" i="68" a="1"/>
  <c r="E130" i="68" s="1"/>
  <c r="D130" i="68" a="1"/>
  <c r="D130" i="68" s="1"/>
  <c r="F129" i="68" a="1"/>
  <c r="F129" i="68" s="1"/>
  <c r="E129" i="68" a="1"/>
  <c r="E129" i="68" s="1"/>
  <c r="D129" i="68" a="1"/>
  <c r="D129" i="68" s="1"/>
  <c r="D127" i="68" a="1"/>
  <c r="D127" i="68" s="1"/>
  <c r="D126" i="68" a="1"/>
  <c r="D126" i="68" s="1"/>
  <c r="D125" i="68" a="1"/>
  <c r="D125" i="68" s="1"/>
  <c r="D124" i="68" a="1"/>
  <c r="D124" i="68" s="1"/>
  <c r="D123" i="68" a="1"/>
  <c r="D123" i="68" s="1"/>
  <c r="G120" i="68" a="1"/>
  <c r="G120" i="68" s="1"/>
  <c r="F120" i="68" a="1"/>
  <c r="F120" i="68" s="1"/>
  <c r="E120" i="68" a="1"/>
  <c r="E120" i="68" s="1"/>
  <c r="D120" i="68" a="1"/>
  <c r="D120" i="68" s="1"/>
  <c r="G119" i="68" a="1"/>
  <c r="G119" i="68" s="1"/>
  <c r="F119" i="68" a="1"/>
  <c r="F119" i="68" s="1"/>
  <c r="E119" i="68" a="1"/>
  <c r="E119" i="68" s="1"/>
  <c r="D119" i="68" a="1"/>
  <c r="D119" i="68" s="1"/>
  <c r="G118" i="68" a="1"/>
  <c r="G118" i="68" s="1"/>
  <c r="F118" i="68" a="1"/>
  <c r="F118" i="68" s="1"/>
  <c r="E118" i="68" a="1"/>
  <c r="E118" i="68" s="1"/>
  <c r="D118" i="68" a="1"/>
  <c r="D118" i="68" s="1"/>
  <c r="G117" i="68" a="1"/>
  <c r="G117" i="68" s="1"/>
  <c r="F117" i="68" a="1"/>
  <c r="F117" i="68" s="1"/>
  <c r="E117" i="68" a="1"/>
  <c r="E117" i="68" s="1"/>
  <c r="D117" i="68" a="1"/>
  <c r="D117" i="68" s="1"/>
  <c r="D115" i="68" a="1"/>
  <c r="D115" i="68" s="1"/>
  <c r="D114" i="68" a="1"/>
  <c r="D114" i="68" s="1"/>
  <c r="D113" i="68" a="1"/>
  <c r="D113" i="68" s="1"/>
  <c r="D112" i="68" a="1"/>
  <c r="D112" i="68" s="1"/>
  <c r="E109" i="68" a="1"/>
  <c r="E109" i="68" s="1"/>
  <c r="D109" i="68" a="1"/>
  <c r="D109" i="68" s="1"/>
  <c r="E108" i="68" a="1"/>
  <c r="E108" i="68" s="1"/>
  <c r="D108" i="68" a="1"/>
  <c r="D108" i="68" s="1"/>
  <c r="D106" i="68" a="1"/>
  <c r="D106" i="68" s="1"/>
  <c r="D105" i="68" a="1"/>
  <c r="D105" i="68" s="1"/>
  <c r="D104" i="68" a="1"/>
  <c r="D104" i="68" s="1"/>
  <c r="D103" i="68" a="1"/>
  <c r="D103" i="68" s="1"/>
  <c r="E100" i="68" a="1"/>
  <c r="E100" i="68" s="1"/>
  <c r="D100" i="68" a="1"/>
  <c r="D100" i="68" s="1"/>
  <c r="E99" i="68" a="1"/>
  <c r="E99" i="68" s="1"/>
  <c r="D99" i="68" a="1"/>
  <c r="D99" i="68" s="1"/>
  <c r="D97" i="68" a="1"/>
  <c r="D97" i="68" s="1"/>
  <c r="D96" i="68" a="1"/>
  <c r="D96" i="68" s="1"/>
  <c r="D95" i="68" a="1"/>
  <c r="D95" i="68" s="1"/>
  <c r="D94" i="68" a="1"/>
  <c r="D94" i="68" s="1"/>
  <c r="G91" i="68" a="1"/>
  <c r="G91" i="68" s="1"/>
  <c r="F91" i="68" a="1"/>
  <c r="F91" i="68" s="1"/>
  <c r="E91" i="68" a="1"/>
  <c r="E91" i="68" s="1"/>
  <c r="D91" i="68" a="1"/>
  <c r="D91" i="68" s="1"/>
  <c r="G90" i="68" a="1"/>
  <c r="G90" i="68" s="1"/>
  <c r="F90" i="68" a="1"/>
  <c r="F90" i="68" s="1"/>
  <c r="E90" i="68" a="1"/>
  <c r="E90" i="68" s="1"/>
  <c r="D90" i="68" a="1"/>
  <c r="D90" i="68" s="1"/>
  <c r="G89" i="68" a="1"/>
  <c r="G89" i="68" s="1"/>
  <c r="F89" i="68" a="1"/>
  <c r="F89" i="68" s="1"/>
  <c r="E89" i="68" a="1"/>
  <c r="E89" i="68" s="1"/>
  <c r="D89" i="68" a="1"/>
  <c r="D89" i="68" s="1"/>
  <c r="G88" i="68" a="1"/>
  <c r="G88" i="68" s="1"/>
  <c r="F88" i="68" a="1"/>
  <c r="F88" i="68" s="1"/>
  <c r="E88" i="68" a="1"/>
  <c r="E88" i="68" s="1"/>
  <c r="D88" i="68" a="1"/>
  <c r="D88" i="68" s="1"/>
  <c r="G87" i="68" a="1"/>
  <c r="G87" i="68" s="1"/>
  <c r="F87" i="68" a="1"/>
  <c r="F87" i="68" s="1"/>
  <c r="E87" i="68" a="1"/>
  <c r="E87" i="68" s="1"/>
  <c r="D87" i="68" a="1"/>
  <c r="D87" i="68" s="1"/>
  <c r="D85" i="68" a="1"/>
  <c r="D85" i="68" s="1"/>
  <c r="D84" i="68" a="1"/>
  <c r="D84" i="68" s="1"/>
  <c r="D83" i="68" a="1"/>
  <c r="D83" i="68" s="1"/>
  <c r="D82" i="68" a="1"/>
  <c r="D82" i="68" s="1"/>
  <c r="D81" i="68" a="1"/>
  <c r="D81" i="68" s="1"/>
  <c r="M78" i="68" a="1"/>
  <c r="M78" i="68" s="1"/>
  <c r="L78" i="68" a="1"/>
  <c r="L78" i="68" s="1"/>
  <c r="K78" i="68" a="1"/>
  <c r="K78" i="68" s="1"/>
  <c r="J78" i="68" a="1"/>
  <c r="J78" i="68" s="1"/>
  <c r="I78" i="68" a="1"/>
  <c r="I78" i="68" s="1"/>
  <c r="H78" i="68" a="1"/>
  <c r="H78" i="68" s="1"/>
  <c r="G78" i="68" a="1"/>
  <c r="G78" i="68" s="1"/>
  <c r="F78" i="68" a="1"/>
  <c r="F78" i="68" s="1"/>
  <c r="E78" i="68" a="1"/>
  <c r="E78" i="68" s="1"/>
  <c r="D78" i="68" a="1"/>
  <c r="D78" i="68" s="1"/>
  <c r="M77" i="68" a="1"/>
  <c r="M77" i="68" s="1"/>
  <c r="L77" i="68" a="1"/>
  <c r="L77" i="68" s="1"/>
  <c r="K77" i="68" a="1"/>
  <c r="K77" i="68" s="1"/>
  <c r="J77" i="68" a="1"/>
  <c r="J77" i="68" s="1"/>
  <c r="I77" i="68" a="1"/>
  <c r="I77" i="68" s="1"/>
  <c r="H77" i="68" a="1"/>
  <c r="H77" i="68" s="1"/>
  <c r="G77" i="68" a="1"/>
  <c r="G77" i="68" s="1"/>
  <c r="F77" i="68" a="1"/>
  <c r="F77" i="68" s="1"/>
  <c r="E77" i="68" a="1"/>
  <c r="E77" i="68" s="1"/>
  <c r="D77" i="68" a="1"/>
  <c r="D77" i="68" s="1"/>
  <c r="M76" i="68" a="1"/>
  <c r="M76" i="68" s="1"/>
  <c r="L76" i="68" a="1"/>
  <c r="L76" i="68" s="1"/>
  <c r="K76" i="68" a="1"/>
  <c r="K76" i="68" s="1"/>
  <c r="J76" i="68" a="1"/>
  <c r="J76" i="68" s="1"/>
  <c r="I76" i="68" a="1"/>
  <c r="I76" i="68" s="1"/>
  <c r="H76" i="68" a="1"/>
  <c r="H76" i="68" s="1"/>
  <c r="G76" i="68" a="1"/>
  <c r="G76" i="68" s="1"/>
  <c r="F76" i="68" a="1"/>
  <c r="F76" i="68" s="1"/>
  <c r="E76" i="68" a="1"/>
  <c r="E76" i="68" s="1"/>
  <c r="D76" i="68" a="1"/>
  <c r="D76" i="68" s="1"/>
  <c r="M75" i="68" a="1"/>
  <c r="M75" i="68" s="1"/>
  <c r="L75" i="68" a="1"/>
  <c r="L75" i="68" s="1"/>
  <c r="K75" i="68" a="1"/>
  <c r="K75" i="68" s="1"/>
  <c r="J75" i="68" a="1"/>
  <c r="J75" i="68" s="1"/>
  <c r="I75" i="68" a="1"/>
  <c r="I75" i="68" s="1"/>
  <c r="H75" i="68" a="1"/>
  <c r="H75" i="68" s="1"/>
  <c r="G75" i="68" a="1"/>
  <c r="G75" i="68" s="1"/>
  <c r="F75" i="68" a="1"/>
  <c r="F75" i="68" s="1"/>
  <c r="E75" i="68" a="1"/>
  <c r="E75" i="68" s="1"/>
  <c r="D75" i="68" a="1"/>
  <c r="D75" i="68" s="1"/>
  <c r="M74" i="68" a="1"/>
  <c r="M74" i="68" s="1"/>
  <c r="L74" i="68" a="1"/>
  <c r="L74" i="68" s="1"/>
  <c r="K74" i="68" a="1"/>
  <c r="K74" i="68" s="1"/>
  <c r="J74" i="68" a="1"/>
  <c r="J74" i="68" s="1"/>
  <c r="I74" i="68" a="1"/>
  <c r="I74" i="68" s="1"/>
  <c r="H74" i="68" a="1"/>
  <c r="H74" i="68" s="1"/>
  <c r="G74" i="68" a="1"/>
  <c r="G74" i="68" s="1"/>
  <c r="F74" i="68" a="1"/>
  <c r="F74" i="68" s="1"/>
  <c r="E74" i="68" a="1"/>
  <c r="E74" i="68" s="1"/>
  <c r="D74" i="68" a="1"/>
  <c r="D74" i="68" s="1"/>
  <c r="M73" i="68" a="1"/>
  <c r="M73" i="68" s="1"/>
  <c r="L73" i="68" a="1"/>
  <c r="L73" i="68" s="1"/>
  <c r="K73" i="68" a="1"/>
  <c r="K73" i="68" s="1"/>
  <c r="J73" i="68" a="1"/>
  <c r="J73" i="68" s="1"/>
  <c r="I73" i="68" a="1"/>
  <c r="I73" i="68" s="1"/>
  <c r="H73" i="68" a="1"/>
  <c r="H73" i="68" s="1"/>
  <c r="G73" i="68" a="1"/>
  <c r="G73" i="68" s="1"/>
  <c r="F73" i="68" a="1"/>
  <c r="F73" i="68" s="1"/>
  <c r="E73" i="68" a="1"/>
  <c r="E73" i="68" s="1"/>
  <c r="D73" i="68" a="1"/>
  <c r="D73" i="68" s="1"/>
  <c r="D71" i="68" a="1"/>
  <c r="D71" i="68" s="1"/>
  <c r="D70" i="68" a="1"/>
  <c r="D70" i="68" s="1"/>
  <c r="D69" i="68" a="1"/>
  <c r="D69" i="68" s="1"/>
  <c r="D68" i="68" a="1"/>
  <c r="D68" i="68" s="1"/>
  <c r="D67" i="68" a="1"/>
  <c r="D67" i="68" s="1"/>
  <c r="G64" i="68" a="1"/>
  <c r="G64" i="68" s="1"/>
  <c r="F64" i="68" a="1"/>
  <c r="F64" i="68" s="1"/>
  <c r="E64" i="68" a="1"/>
  <c r="E64" i="68" s="1"/>
  <c r="D64" i="68" a="1"/>
  <c r="D64" i="68" s="1"/>
  <c r="G63" i="68" a="1"/>
  <c r="G63" i="68" s="1"/>
  <c r="F63" i="68" a="1"/>
  <c r="F63" i="68" s="1"/>
  <c r="E63" i="68" a="1"/>
  <c r="E63" i="68" s="1"/>
  <c r="D63" i="68" a="1"/>
  <c r="D63" i="68" s="1"/>
  <c r="D61" i="68" a="1"/>
  <c r="D61" i="68" s="1"/>
  <c r="D60" i="68" a="1"/>
  <c r="D60" i="68" s="1"/>
  <c r="D59" i="68" a="1"/>
  <c r="D59" i="68" s="1"/>
  <c r="D58" i="68" a="1"/>
  <c r="D58" i="68" s="1"/>
  <c r="H55" i="68" a="1"/>
  <c r="H55" i="68" s="1"/>
  <c r="G55" i="68" a="1"/>
  <c r="G55" i="68" s="1"/>
  <c r="F55" i="68" a="1"/>
  <c r="F55" i="68" s="1"/>
  <c r="E55" i="68" a="1"/>
  <c r="E55" i="68" s="1"/>
  <c r="D55" i="68" a="1"/>
  <c r="D55" i="68" s="1"/>
  <c r="D53" i="68" a="1"/>
  <c r="D53" i="68" s="1"/>
  <c r="D52" i="68" a="1"/>
  <c r="D52" i="68" s="1"/>
  <c r="D51" i="68" a="1"/>
  <c r="D51" i="68" s="1"/>
  <c r="D50" i="68" a="1"/>
  <c r="D50" i="68" s="1"/>
  <c r="H47" i="68" a="1"/>
  <c r="H47" i="68" s="1"/>
  <c r="G47" i="68" a="1"/>
  <c r="G47" i="68" s="1"/>
  <c r="F47" i="68" a="1"/>
  <c r="F47" i="68" s="1"/>
  <c r="E47" i="68" a="1"/>
  <c r="E47" i="68" s="1"/>
  <c r="D47" i="68" a="1"/>
  <c r="D47" i="68" s="1"/>
  <c r="D45" i="68" a="1"/>
  <c r="D45" i="68" s="1"/>
  <c r="D44" i="68" a="1"/>
  <c r="D44" i="68" s="1"/>
  <c r="D43" i="68" a="1"/>
  <c r="D43" i="68" s="1"/>
  <c r="D42" i="68" a="1"/>
  <c r="D42" i="68" s="1"/>
  <c r="F39" i="68" a="1"/>
  <c r="F39" i="68" s="1"/>
  <c r="E39" i="68" a="1"/>
  <c r="E39" i="68" s="1"/>
  <c r="D39" i="68" a="1"/>
  <c r="D39" i="68" s="1"/>
  <c r="D37" i="68" a="1"/>
  <c r="D37" i="68" s="1"/>
  <c r="D36" i="68" a="1"/>
  <c r="D36" i="68" s="1"/>
  <c r="D35" i="68" a="1"/>
  <c r="D35" i="68" s="1"/>
  <c r="D34" i="68" a="1"/>
  <c r="D34" i="68" s="1"/>
  <c r="G31" i="68" a="1"/>
  <c r="G31" i="68" s="1"/>
  <c r="F31" i="68" a="1"/>
  <c r="F31" i="68" s="1"/>
  <c r="E31" i="68" a="1"/>
  <c r="E31" i="68" s="1"/>
  <c r="D31" i="68" a="1"/>
  <c r="D31" i="68" s="1"/>
  <c r="G30" i="68" a="1"/>
  <c r="G30" i="68" s="1"/>
  <c r="F30" i="68" a="1"/>
  <c r="F30" i="68" s="1"/>
  <c r="E30" i="68" a="1"/>
  <c r="E30" i="68" s="1"/>
  <c r="D30" i="68" a="1"/>
  <c r="D30" i="68" s="1"/>
  <c r="G29" i="68" a="1"/>
  <c r="G29" i="68" s="1"/>
  <c r="F29" i="68" a="1"/>
  <c r="F29" i="68" s="1"/>
  <c r="E29" i="68" a="1"/>
  <c r="E29" i="68" s="1"/>
  <c r="D29" i="68" a="1"/>
  <c r="D29" i="68" s="1"/>
  <c r="G28" i="68" a="1"/>
  <c r="G28" i="68" s="1"/>
  <c r="F28" i="68" a="1"/>
  <c r="F28" i="68" s="1"/>
  <c r="E28" i="68" a="1"/>
  <c r="E28" i="68" s="1"/>
  <c r="D28" i="68" a="1"/>
  <c r="D28" i="68" s="1"/>
  <c r="G27" i="68" a="1"/>
  <c r="G27" i="68" s="1"/>
  <c r="F27" i="68" a="1"/>
  <c r="F27" i="68" s="1"/>
  <c r="E27" i="68" a="1"/>
  <c r="E27" i="68" s="1"/>
  <c r="D27" i="68" a="1"/>
  <c r="D27" i="68" s="1"/>
  <c r="G26" i="68" a="1"/>
  <c r="G26" i="68" s="1"/>
  <c r="F26" i="68" a="1"/>
  <c r="F26" i="68" s="1"/>
  <c r="E26" i="68" a="1"/>
  <c r="E26" i="68" s="1"/>
  <c r="D26" i="68" a="1"/>
  <c r="D26" i="68" s="1"/>
  <c r="G25" i="68" a="1"/>
  <c r="G25" i="68" s="1"/>
  <c r="F25" i="68" a="1"/>
  <c r="F25" i="68" s="1"/>
  <c r="E25" i="68" a="1"/>
  <c r="E25" i="68" s="1"/>
  <c r="D25" i="68" a="1"/>
  <c r="D25" i="68" s="1"/>
  <c r="G24" i="68" a="1"/>
  <c r="G24" i="68" s="1"/>
  <c r="F24" i="68" a="1"/>
  <c r="F24" i="68" s="1"/>
  <c r="E24" i="68" a="1"/>
  <c r="E24" i="68" s="1"/>
  <c r="D24" i="68" a="1"/>
  <c r="D24" i="68" s="1"/>
  <c r="G23" i="68" a="1"/>
  <c r="G23" i="68" s="1"/>
  <c r="F23" i="68" a="1"/>
  <c r="F23" i="68" s="1"/>
  <c r="E23" i="68" a="1"/>
  <c r="E23" i="68" s="1"/>
  <c r="D23" i="68" a="1"/>
  <c r="D23" i="68" s="1"/>
  <c r="G22" i="68" a="1"/>
  <c r="G22" i="68" s="1"/>
  <c r="F22" i="68" a="1"/>
  <c r="F22" i="68" s="1"/>
  <c r="E22" i="68" a="1"/>
  <c r="E22" i="68" s="1"/>
  <c r="D22" i="68" a="1"/>
  <c r="D22" i="68" s="1"/>
  <c r="D20" i="68" a="1"/>
  <c r="D20" i="68" s="1"/>
  <c r="D19" i="68" a="1"/>
  <c r="D19" i="68" s="1"/>
  <c r="D18" i="68" a="1"/>
  <c r="D18" i="68" s="1"/>
  <c r="D17" i="68" a="1"/>
  <c r="D17" i="68" s="1"/>
  <c r="D16" i="68" a="1"/>
  <c r="D16" i="68" s="1"/>
  <c r="I483" i="67" a="1"/>
  <c r="I483" i="67" s="1"/>
  <c r="H483" i="67" a="1"/>
  <c r="H483" i="67" s="1"/>
  <c r="G483" i="67" a="1"/>
  <c r="G483" i="67" s="1"/>
  <c r="F483" i="67" a="1"/>
  <c r="F483" i="67" s="1"/>
  <c r="E483" i="67" a="1"/>
  <c r="E483" i="67" s="1"/>
  <c r="D483" i="67" a="1"/>
  <c r="D483" i="67" s="1"/>
  <c r="I482" i="67" a="1"/>
  <c r="I482" i="67" s="1"/>
  <c r="H482" i="67" a="1"/>
  <c r="H482" i="67" s="1"/>
  <c r="G482" i="67" a="1"/>
  <c r="G482" i="67" s="1"/>
  <c r="F482" i="67" a="1"/>
  <c r="F482" i="67" s="1"/>
  <c r="E482" i="67" a="1"/>
  <c r="E482" i="67" s="1"/>
  <c r="D482" i="67" a="1"/>
  <c r="D482" i="67" s="1"/>
  <c r="I481" i="67" a="1"/>
  <c r="I481" i="67" s="1"/>
  <c r="H481" i="67" a="1"/>
  <c r="H481" i="67" s="1"/>
  <c r="G481" i="67" a="1"/>
  <c r="G481" i="67" s="1"/>
  <c r="F481" i="67" a="1"/>
  <c r="F481" i="67" s="1"/>
  <c r="E481" i="67" a="1"/>
  <c r="E481" i="67" s="1"/>
  <c r="D481" i="67" a="1"/>
  <c r="D481" i="67" s="1"/>
  <c r="I480" i="67" a="1"/>
  <c r="I480" i="67" s="1"/>
  <c r="H480" i="67" a="1"/>
  <c r="H480" i="67" s="1"/>
  <c r="G480" i="67" a="1"/>
  <c r="G480" i="67" s="1"/>
  <c r="F480" i="67" a="1"/>
  <c r="F480" i="67" s="1"/>
  <c r="E480" i="67" a="1"/>
  <c r="E480" i="67" s="1"/>
  <c r="D480" i="67" a="1"/>
  <c r="D480" i="67" s="1"/>
  <c r="I479" i="67" a="1"/>
  <c r="I479" i="67" s="1"/>
  <c r="H479" i="67" a="1"/>
  <c r="H479" i="67" s="1"/>
  <c r="G479" i="67" a="1"/>
  <c r="G479" i="67" s="1"/>
  <c r="F479" i="67" a="1"/>
  <c r="F479" i="67" s="1"/>
  <c r="E479" i="67" a="1"/>
  <c r="E479" i="67" s="1"/>
  <c r="D479" i="67" a="1"/>
  <c r="D479" i="67" s="1"/>
  <c r="I478" i="67" a="1"/>
  <c r="I478" i="67" s="1"/>
  <c r="H478" i="67" a="1"/>
  <c r="H478" i="67" s="1"/>
  <c r="G478" i="67" a="1"/>
  <c r="G478" i="67" s="1"/>
  <c r="F478" i="67" a="1"/>
  <c r="F478" i="67" s="1"/>
  <c r="E478" i="67" a="1"/>
  <c r="E478" i="67" s="1"/>
  <c r="D478" i="67" a="1"/>
  <c r="D478" i="67" s="1"/>
  <c r="I477" i="67" a="1"/>
  <c r="I477" i="67" s="1"/>
  <c r="H477" i="67" a="1"/>
  <c r="H477" i="67" s="1"/>
  <c r="G477" i="67" a="1"/>
  <c r="G477" i="67" s="1"/>
  <c r="F477" i="67" a="1"/>
  <c r="F477" i="67" s="1"/>
  <c r="E477" i="67" a="1"/>
  <c r="E477" i="67" s="1"/>
  <c r="D477" i="67" a="1"/>
  <c r="D477" i="67" s="1"/>
  <c r="I476" i="67" a="1"/>
  <c r="I476" i="67" s="1"/>
  <c r="H476" i="67" a="1"/>
  <c r="H476" i="67" s="1"/>
  <c r="G476" i="67" a="1"/>
  <c r="G476" i="67" s="1"/>
  <c r="F476" i="67" a="1"/>
  <c r="F476" i="67" s="1"/>
  <c r="E476" i="67" a="1"/>
  <c r="E476" i="67" s="1"/>
  <c r="D476" i="67" a="1"/>
  <c r="D476" i="67" s="1"/>
  <c r="I475" i="67" a="1"/>
  <c r="I475" i="67" s="1"/>
  <c r="H475" i="67" a="1"/>
  <c r="H475" i="67" s="1"/>
  <c r="G475" i="67" a="1"/>
  <c r="G475" i="67" s="1"/>
  <c r="F475" i="67" a="1"/>
  <c r="F475" i="67" s="1"/>
  <c r="E475" i="67" a="1"/>
  <c r="E475" i="67" s="1"/>
  <c r="D475" i="67" a="1"/>
  <c r="D475" i="67" s="1"/>
  <c r="I474" i="67" a="1"/>
  <c r="I474" i="67" s="1"/>
  <c r="H474" i="67" a="1"/>
  <c r="H474" i="67" s="1"/>
  <c r="G474" i="67" a="1"/>
  <c r="G474" i="67" s="1"/>
  <c r="F474" i="67" a="1"/>
  <c r="F474" i="67" s="1"/>
  <c r="E474" i="67" a="1"/>
  <c r="E474" i="67" s="1"/>
  <c r="D474" i="67" a="1"/>
  <c r="D474" i="67" s="1"/>
  <c r="I473" i="67" a="1"/>
  <c r="I473" i="67" s="1"/>
  <c r="H473" i="67" a="1"/>
  <c r="H473" i="67" s="1"/>
  <c r="G473" i="67" a="1"/>
  <c r="G473" i="67" s="1"/>
  <c r="F473" i="67" a="1"/>
  <c r="F473" i="67" s="1"/>
  <c r="E473" i="67" a="1"/>
  <c r="E473" i="67" s="1"/>
  <c r="D473" i="67" a="1"/>
  <c r="D473" i="67" s="1"/>
  <c r="I472" i="67" a="1"/>
  <c r="I472" i="67" s="1"/>
  <c r="H472" i="67" a="1"/>
  <c r="H472" i="67" s="1"/>
  <c r="G472" i="67" a="1"/>
  <c r="G472" i="67" s="1"/>
  <c r="F472" i="67" a="1"/>
  <c r="F472" i="67" s="1"/>
  <c r="E472" i="67" a="1"/>
  <c r="E472" i="67" s="1"/>
  <c r="D472" i="67" a="1"/>
  <c r="D472" i="67" s="1"/>
  <c r="I471" i="67" a="1"/>
  <c r="I471" i="67" s="1"/>
  <c r="H471" i="67" a="1"/>
  <c r="H471" i="67" s="1"/>
  <c r="G471" i="67" a="1"/>
  <c r="G471" i="67" s="1"/>
  <c r="F471" i="67" a="1"/>
  <c r="F471" i="67" s="1"/>
  <c r="E471" i="67" a="1"/>
  <c r="E471" i="67" s="1"/>
  <c r="D471" i="67" a="1"/>
  <c r="D471" i="67" s="1"/>
  <c r="I470" i="67" a="1"/>
  <c r="I470" i="67" s="1"/>
  <c r="H470" i="67" a="1"/>
  <c r="H470" i="67" s="1"/>
  <c r="G470" i="67" a="1"/>
  <c r="G470" i="67" s="1"/>
  <c r="F470" i="67" a="1"/>
  <c r="F470" i="67" s="1"/>
  <c r="E470" i="67" a="1"/>
  <c r="E470" i="67" s="1"/>
  <c r="D470" i="67" a="1"/>
  <c r="D470" i="67" s="1"/>
  <c r="I469" i="67" a="1"/>
  <c r="I469" i="67" s="1"/>
  <c r="H469" i="67" a="1"/>
  <c r="H469" i="67" s="1"/>
  <c r="G469" i="67" a="1"/>
  <c r="G469" i="67" s="1"/>
  <c r="F469" i="67" a="1"/>
  <c r="F469" i="67" s="1"/>
  <c r="E469" i="67" a="1"/>
  <c r="E469" i="67" s="1"/>
  <c r="D469" i="67" a="1"/>
  <c r="D469" i="67" s="1"/>
  <c r="I468" i="67" a="1"/>
  <c r="I468" i="67" s="1"/>
  <c r="H468" i="67" a="1"/>
  <c r="H468" i="67" s="1"/>
  <c r="G468" i="67" a="1"/>
  <c r="G468" i="67" s="1"/>
  <c r="F468" i="67" a="1"/>
  <c r="F468" i="67" s="1"/>
  <c r="E468" i="67" a="1"/>
  <c r="E468" i="67" s="1"/>
  <c r="D468" i="67" a="1"/>
  <c r="D468" i="67" s="1"/>
  <c r="I467" i="67" a="1"/>
  <c r="I467" i="67" s="1"/>
  <c r="H467" i="67" a="1"/>
  <c r="H467" i="67" s="1"/>
  <c r="G467" i="67" a="1"/>
  <c r="G467" i="67" s="1"/>
  <c r="F467" i="67" a="1"/>
  <c r="F467" i="67" s="1"/>
  <c r="E467" i="67" a="1"/>
  <c r="E467" i="67" s="1"/>
  <c r="D467" i="67" a="1"/>
  <c r="D467" i="67" s="1"/>
  <c r="I466" i="67" a="1"/>
  <c r="I466" i="67" s="1"/>
  <c r="H466" i="67" a="1"/>
  <c r="H466" i="67" s="1"/>
  <c r="G466" i="67" a="1"/>
  <c r="G466" i="67" s="1"/>
  <c r="F466" i="67" a="1"/>
  <c r="F466" i="67" s="1"/>
  <c r="E466" i="67" a="1"/>
  <c r="E466" i="67" s="1"/>
  <c r="D466" i="67" a="1"/>
  <c r="D466" i="67" s="1"/>
  <c r="I465" i="67" a="1"/>
  <c r="I465" i="67" s="1"/>
  <c r="H465" i="67" a="1"/>
  <c r="H465" i="67" s="1"/>
  <c r="G465" i="67" a="1"/>
  <c r="G465" i="67" s="1"/>
  <c r="F465" i="67" a="1"/>
  <c r="F465" i="67" s="1"/>
  <c r="E465" i="67" a="1"/>
  <c r="E465" i="67" s="1"/>
  <c r="D465" i="67" a="1"/>
  <c r="D465" i="67" s="1"/>
  <c r="I464" i="67" a="1"/>
  <c r="I464" i="67" s="1"/>
  <c r="H464" i="67" a="1"/>
  <c r="H464" i="67" s="1"/>
  <c r="G464" i="67" a="1"/>
  <c r="G464" i="67" s="1"/>
  <c r="F464" i="67" a="1"/>
  <c r="F464" i="67" s="1"/>
  <c r="E464" i="67" a="1"/>
  <c r="E464" i="67" s="1"/>
  <c r="D464" i="67" a="1"/>
  <c r="D464" i="67" s="1"/>
  <c r="I463" i="67" a="1"/>
  <c r="I463" i="67" s="1"/>
  <c r="H463" i="67" a="1"/>
  <c r="H463" i="67" s="1"/>
  <c r="G463" i="67" a="1"/>
  <c r="G463" i="67" s="1"/>
  <c r="F463" i="67" a="1"/>
  <c r="F463" i="67" s="1"/>
  <c r="E463" i="67" a="1"/>
  <c r="E463" i="67" s="1"/>
  <c r="D463" i="67" a="1"/>
  <c r="D463" i="67" s="1"/>
  <c r="I462" i="67" a="1"/>
  <c r="I462" i="67" s="1"/>
  <c r="H462" i="67" a="1"/>
  <c r="H462" i="67" s="1"/>
  <c r="G462" i="67" a="1"/>
  <c r="G462" i="67" s="1"/>
  <c r="F462" i="67" a="1"/>
  <c r="F462" i="67" s="1"/>
  <c r="E462" i="67" a="1"/>
  <c r="E462" i="67" s="1"/>
  <c r="D462" i="67" a="1"/>
  <c r="D462" i="67" s="1"/>
  <c r="I461" i="67" a="1"/>
  <c r="I461" i="67" s="1"/>
  <c r="H461" i="67" a="1"/>
  <c r="H461" i="67" s="1"/>
  <c r="G461" i="67" a="1"/>
  <c r="G461" i="67" s="1"/>
  <c r="F461" i="67" a="1"/>
  <c r="F461" i="67" s="1"/>
  <c r="E461" i="67" a="1"/>
  <c r="E461" i="67" s="1"/>
  <c r="D461" i="67" a="1"/>
  <c r="D461" i="67" s="1"/>
  <c r="I460" i="67" a="1"/>
  <c r="I460" i="67" s="1"/>
  <c r="H460" i="67" a="1"/>
  <c r="H460" i="67" s="1"/>
  <c r="G460" i="67" a="1"/>
  <c r="G460" i="67" s="1"/>
  <c r="F460" i="67" a="1"/>
  <c r="F460" i="67" s="1"/>
  <c r="E460" i="67" a="1"/>
  <c r="E460" i="67" s="1"/>
  <c r="D460" i="67" a="1"/>
  <c r="D460" i="67" s="1"/>
  <c r="I459" i="67" a="1"/>
  <c r="I459" i="67" s="1"/>
  <c r="H459" i="67" a="1"/>
  <c r="H459" i="67" s="1"/>
  <c r="G459" i="67" a="1"/>
  <c r="G459" i="67" s="1"/>
  <c r="F459" i="67" a="1"/>
  <c r="F459" i="67" s="1"/>
  <c r="E459" i="67" a="1"/>
  <c r="E459" i="67" s="1"/>
  <c r="D459" i="67" a="1"/>
  <c r="D459" i="67" s="1"/>
  <c r="I458" i="67" a="1"/>
  <c r="I458" i="67" s="1"/>
  <c r="H458" i="67" a="1"/>
  <c r="H458" i="67" s="1"/>
  <c r="G458" i="67" a="1"/>
  <c r="G458" i="67" s="1"/>
  <c r="F458" i="67" a="1"/>
  <c r="F458" i="67" s="1"/>
  <c r="E458" i="67" a="1"/>
  <c r="E458" i="67" s="1"/>
  <c r="D458" i="67" a="1"/>
  <c r="D458" i="67" s="1"/>
  <c r="I457" i="67" a="1"/>
  <c r="I457" i="67" s="1"/>
  <c r="H457" i="67" a="1"/>
  <c r="H457" i="67" s="1"/>
  <c r="G457" i="67" a="1"/>
  <c r="G457" i="67" s="1"/>
  <c r="F457" i="67" a="1"/>
  <c r="F457" i="67" s="1"/>
  <c r="E457" i="67" a="1"/>
  <c r="E457" i="67" s="1"/>
  <c r="D457" i="67" a="1"/>
  <c r="D457" i="67" s="1"/>
  <c r="I456" i="67" a="1"/>
  <c r="I456" i="67" s="1"/>
  <c r="H456" i="67" a="1"/>
  <c r="H456" i="67" s="1"/>
  <c r="G456" i="67" a="1"/>
  <c r="G456" i="67" s="1"/>
  <c r="F456" i="67" a="1"/>
  <c r="F456" i="67" s="1"/>
  <c r="E456" i="67" a="1"/>
  <c r="E456" i="67" s="1"/>
  <c r="D456" i="67" a="1"/>
  <c r="D456" i="67" s="1"/>
  <c r="I455" i="67" a="1"/>
  <c r="I455" i="67" s="1"/>
  <c r="H455" i="67" a="1"/>
  <c r="H455" i="67" s="1"/>
  <c r="G455" i="67" a="1"/>
  <c r="G455" i="67" s="1"/>
  <c r="F455" i="67" a="1"/>
  <c r="F455" i="67" s="1"/>
  <c r="E455" i="67" a="1"/>
  <c r="E455" i="67" s="1"/>
  <c r="D455" i="67" a="1"/>
  <c r="D455" i="67" s="1"/>
  <c r="I454" i="67" a="1"/>
  <c r="I454" i="67" s="1"/>
  <c r="H454" i="67" a="1"/>
  <c r="H454" i="67" s="1"/>
  <c r="G454" i="67" a="1"/>
  <c r="G454" i="67" s="1"/>
  <c r="F454" i="67" a="1"/>
  <c r="F454" i="67" s="1"/>
  <c r="E454" i="67" a="1"/>
  <c r="E454" i="67" s="1"/>
  <c r="D454" i="67" a="1"/>
  <c r="D454" i="67" s="1"/>
  <c r="I453" i="67" a="1"/>
  <c r="I453" i="67" s="1"/>
  <c r="H453" i="67" a="1"/>
  <c r="H453" i="67" s="1"/>
  <c r="G453" i="67" a="1"/>
  <c r="G453" i="67" s="1"/>
  <c r="F453" i="67" a="1"/>
  <c r="F453" i="67" s="1"/>
  <c r="E453" i="67" a="1"/>
  <c r="E453" i="67" s="1"/>
  <c r="D453" i="67" a="1"/>
  <c r="D453" i="67" s="1"/>
  <c r="I452" i="67" a="1"/>
  <c r="I452" i="67" s="1"/>
  <c r="H452" i="67" a="1"/>
  <c r="H452" i="67" s="1"/>
  <c r="G452" i="67" a="1"/>
  <c r="G452" i="67" s="1"/>
  <c r="F452" i="67" a="1"/>
  <c r="F452" i="67" s="1"/>
  <c r="E452" i="67" a="1"/>
  <c r="E452" i="67" s="1"/>
  <c r="D452" i="67" a="1"/>
  <c r="D452" i="67" s="1"/>
  <c r="I451" i="67" a="1"/>
  <c r="I451" i="67" s="1"/>
  <c r="H451" i="67" a="1"/>
  <c r="H451" i="67" s="1"/>
  <c r="G451" i="67" a="1"/>
  <c r="G451" i="67" s="1"/>
  <c r="F451" i="67" a="1"/>
  <c r="F451" i="67" s="1"/>
  <c r="E451" i="67" a="1"/>
  <c r="E451" i="67" s="1"/>
  <c r="D451" i="67" a="1"/>
  <c r="D451" i="67" s="1"/>
  <c r="I450" i="67" a="1"/>
  <c r="I450" i="67" s="1"/>
  <c r="H450" i="67" a="1"/>
  <c r="H450" i="67" s="1"/>
  <c r="G450" i="67" a="1"/>
  <c r="G450" i="67" s="1"/>
  <c r="F450" i="67" a="1"/>
  <c r="F450" i="67" s="1"/>
  <c r="E450" i="67" a="1"/>
  <c r="E450" i="67" s="1"/>
  <c r="D450" i="67" a="1"/>
  <c r="D450" i="67" s="1"/>
  <c r="I449" i="67" a="1"/>
  <c r="I449" i="67" s="1"/>
  <c r="H449" i="67" a="1"/>
  <c r="H449" i="67" s="1"/>
  <c r="G449" i="67" a="1"/>
  <c r="G449" i="67" s="1"/>
  <c r="F449" i="67" a="1"/>
  <c r="F449" i="67" s="1"/>
  <c r="E449" i="67" a="1"/>
  <c r="E449" i="67" s="1"/>
  <c r="D449" i="67" a="1"/>
  <c r="D449" i="67" s="1"/>
  <c r="I448" i="67" a="1"/>
  <c r="I448" i="67" s="1"/>
  <c r="H448" i="67" a="1"/>
  <c r="H448" i="67" s="1"/>
  <c r="G448" i="67" a="1"/>
  <c r="G448" i="67" s="1"/>
  <c r="F448" i="67" a="1"/>
  <c r="F448" i="67" s="1"/>
  <c r="E448" i="67" a="1"/>
  <c r="E448" i="67" s="1"/>
  <c r="D448" i="67" a="1"/>
  <c r="D448" i="67" s="1"/>
  <c r="I447" i="67" a="1"/>
  <c r="I447" i="67" s="1"/>
  <c r="H447" i="67" a="1"/>
  <c r="H447" i="67" s="1"/>
  <c r="G447" i="67" a="1"/>
  <c r="G447" i="67" s="1"/>
  <c r="F447" i="67" a="1"/>
  <c r="F447" i="67" s="1"/>
  <c r="E447" i="67" a="1"/>
  <c r="E447" i="67" s="1"/>
  <c r="D447" i="67" a="1"/>
  <c r="D447" i="67" s="1"/>
  <c r="I446" i="67" a="1"/>
  <c r="I446" i="67" s="1"/>
  <c r="H446" i="67" a="1"/>
  <c r="H446" i="67" s="1"/>
  <c r="G446" i="67" a="1"/>
  <c r="G446" i="67" s="1"/>
  <c r="F446" i="67" a="1"/>
  <c r="F446" i="67" s="1"/>
  <c r="E446" i="67" a="1"/>
  <c r="E446" i="67" s="1"/>
  <c r="D446" i="67" a="1"/>
  <c r="D446" i="67" s="1"/>
  <c r="I445" i="67" a="1"/>
  <c r="I445" i="67" s="1"/>
  <c r="H445" i="67" a="1"/>
  <c r="H445" i="67" s="1"/>
  <c r="G445" i="67" a="1"/>
  <c r="G445" i="67" s="1"/>
  <c r="F445" i="67" a="1"/>
  <c r="F445" i="67" s="1"/>
  <c r="E445" i="67" a="1"/>
  <c r="E445" i="67" s="1"/>
  <c r="D445" i="67" a="1"/>
  <c r="D445" i="67" s="1"/>
  <c r="I444" i="67" a="1"/>
  <c r="I444" i="67" s="1"/>
  <c r="H444" i="67" a="1"/>
  <c r="H444" i="67" s="1"/>
  <c r="G444" i="67" a="1"/>
  <c r="G444" i="67" s="1"/>
  <c r="F444" i="67" a="1"/>
  <c r="F444" i="67" s="1"/>
  <c r="E444" i="67" a="1"/>
  <c r="E444" i="67" s="1"/>
  <c r="D444" i="67" a="1"/>
  <c r="D444" i="67" s="1"/>
  <c r="I443" i="67" a="1"/>
  <c r="I443" i="67" s="1"/>
  <c r="H443" i="67" a="1"/>
  <c r="H443" i="67" s="1"/>
  <c r="G443" i="67" a="1"/>
  <c r="G443" i="67" s="1"/>
  <c r="F443" i="67" a="1"/>
  <c r="F443" i="67" s="1"/>
  <c r="E443" i="67" a="1"/>
  <c r="E443" i="67" s="1"/>
  <c r="D443" i="67" a="1"/>
  <c r="D443" i="67" s="1"/>
  <c r="D440" i="67" a="1"/>
  <c r="D440" i="67" s="1"/>
  <c r="D439" i="67" a="1"/>
  <c r="D439" i="67" s="1"/>
  <c r="D438" i="67" a="1"/>
  <c r="D438" i="67" s="1"/>
  <c r="D437" i="67" a="1"/>
  <c r="D437" i="67" s="1"/>
  <c r="D436" i="67" a="1"/>
  <c r="D436" i="67" s="1"/>
  <c r="D434" i="67" a="1"/>
  <c r="D434" i="67" s="1"/>
  <c r="D433" i="67" a="1"/>
  <c r="D433" i="67" s="1"/>
  <c r="D432" i="67" a="1"/>
  <c r="D432" i="67" s="1"/>
  <c r="D431" i="67" a="1"/>
  <c r="D431" i="67" s="1"/>
  <c r="D430" i="67" a="1"/>
  <c r="D430" i="67" s="1"/>
  <c r="D428" i="67" a="1"/>
  <c r="D428" i="67" s="1"/>
  <c r="D427" i="67" a="1"/>
  <c r="D427" i="67" s="1"/>
  <c r="D426" i="67" a="1"/>
  <c r="D426" i="67" s="1"/>
  <c r="D425" i="67" a="1"/>
  <c r="D425" i="67" s="1"/>
  <c r="D424" i="67" a="1"/>
  <c r="D424" i="67" s="1"/>
  <c r="D422" i="67" a="1"/>
  <c r="D422" i="67" s="1"/>
  <c r="D421" i="67" a="1"/>
  <c r="D421" i="67" s="1"/>
  <c r="D420" i="67" a="1"/>
  <c r="D420" i="67" s="1"/>
  <c r="D419" i="67" a="1"/>
  <c r="D419" i="67" s="1"/>
  <c r="D418" i="67" a="1"/>
  <c r="D418" i="67" s="1"/>
  <c r="G415" i="67" a="1"/>
  <c r="G415" i="67" s="1"/>
  <c r="F415" i="67" a="1"/>
  <c r="F415" i="67" s="1"/>
  <c r="E415" i="67" a="1"/>
  <c r="E415" i="67" s="1"/>
  <c r="D415" i="67" a="1"/>
  <c r="D415" i="67" s="1"/>
  <c r="G414" i="67" a="1"/>
  <c r="G414" i="67" s="1"/>
  <c r="F414" i="67" a="1"/>
  <c r="F414" i="67" s="1"/>
  <c r="E414" i="67" a="1"/>
  <c r="E414" i="67" s="1"/>
  <c r="D414" i="67" a="1"/>
  <c r="D414" i="67" s="1"/>
  <c r="G413" i="67" a="1"/>
  <c r="G413" i="67" s="1"/>
  <c r="F413" i="67" a="1"/>
  <c r="F413" i="67" s="1"/>
  <c r="E413" i="67" a="1"/>
  <c r="E413" i="67" s="1"/>
  <c r="D413" i="67" a="1"/>
  <c r="D413" i="67" s="1"/>
  <c r="G412" i="67" a="1"/>
  <c r="G412" i="67" s="1"/>
  <c r="F412" i="67" a="1"/>
  <c r="F412" i="67" s="1"/>
  <c r="E412" i="67" a="1"/>
  <c r="E412" i="67" s="1"/>
  <c r="D412" i="67" a="1"/>
  <c r="D412" i="67" s="1"/>
  <c r="G411" i="67" a="1"/>
  <c r="G411" i="67" s="1"/>
  <c r="F411" i="67" a="1"/>
  <c r="F411" i="67" s="1"/>
  <c r="E411" i="67" a="1"/>
  <c r="E411" i="67" s="1"/>
  <c r="D411" i="67" a="1"/>
  <c r="D411" i="67" s="1"/>
  <c r="G410" i="67" a="1"/>
  <c r="G410" i="67" s="1"/>
  <c r="F410" i="67" a="1"/>
  <c r="F410" i="67" s="1"/>
  <c r="E410" i="67" a="1"/>
  <c r="E410" i="67" s="1"/>
  <c r="D410" i="67" a="1"/>
  <c r="D410" i="67" s="1"/>
  <c r="G409" i="67" a="1"/>
  <c r="G409" i="67" s="1"/>
  <c r="F409" i="67" a="1"/>
  <c r="F409" i="67" s="1"/>
  <c r="E409" i="67" a="1"/>
  <c r="E409" i="67" s="1"/>
  <c r="D409" i="67" a="1"/>
  <c r="D409" i="67" s="1"/>
  <c r="G408" i="67" a="1"/>
  <c r="G408" i="67" s="1"/>
  <c r="F408" i="67" a="1"/>
  <c r="F408" i="67" s="1"/>
  <c r="E408" i="67" a="1"/>
  <c r="E408" i="67" s="1"/>
  <c r="D408" i="67" a="1"/>
  <c r="D408" i="67" s="1"/>
  <c r="G407" i="67" a="1"/>
  <c r="G407" i="67" s="1"/>
  <c r="F407" i="67" a="1"/>
  <c r="F407" i="67" s="1"/>
  <c r="E407" i="67" a="1"/>
  <c r="E407" i="67" s="1"/>
  <c r="D407" i="67" a="1"/>
  <c r="D407" i="67" s="1"/>
  <c r="G406" i="67" a="1"/>
  <c r="G406" i="67" s="1"/>
  <c r="F406" i="67" a="1"/>
  <c r="F406" i="67" s="1"/>
  <c r="E406" i="67" a="1"/>
  <c r="E406" i="67" s="1"/>
  <c r="D406" i="67" a="1"/>
  <c r="D406" i="67" s="1"/>
  <c r="G405" i="67" a="1"/>
  <c r="G405" i="67" s="1"/>
  <c r="F405" i="67" a="1"/>
  <c r="F405" i="67" s="1"/>
  <c r="E405" i="67" a="1"/>
  <c r="E405" i="67" s="1"/>
  <c r="D405" i="67" a="1"/>
  <c r="D405" i="67" s="1"/>
  <c r="G404" i="67" a="1"/>
  <c r="G404" i="67" s="1"/>
  <c r="F404" i="67" a="1"/>
  <c r="F404" i="67" s="1"/>
  <c r="E404" i="67" a="1"/>
  <c r="E404" i="67" s="1"/>
  <c r="D404" i="67" a="1"/>
  <c r="D404" i="67" s="1"/>
  <c r="G403" i="67" a="1"/>
  <c r="G403" i="67" s="1"/>
  <c r="F403" i="67" a="1"/>
  <c r="F403" i="67" s="1"/>
  <c r="E403" i="67" a="1"/>
  <c r="E403" i="67" s="1"/>
  <c r="D403" i="67" a="1"/>
  <c r="D403" i="67" s="1"/>
  <c r="G402" i="67" a="1"/>
  <c r="G402" i="67" s="1"/>
  <c r="F402" i="67" a="1"/>
  <c r="F402" i="67" s="1"/>
  <c r="E402" i="67" a="1"/>
  <c r="E402" i="67" s="1"/>
  <c r="D402" i="67" a="1"/>
  <c r="D402" i="67" s="1"/>
  <c r="G401" i="67" a="1"/>
  <c r="G401" i="67" s="1"/>
  <c r="F401" i="67" a="1"/>
  <c r="F401" i="67" s="1"/>
  <c r="E401" i="67" a="1"/>
  <c r="E401" i="67" s="1"/>
  <c r="D401" i="67" a="1"/>
  <c r="D401" i="67" s="1"/>
  <c r="D399" i="67" a="1"/>
  <c r="D399" i="67" s="1"/>
  <c r="D398" i="67" a="1"/>
  <c r="D398" i="67" s="1"/>
  <c r="D397" i="67" a="1"/>
  <c r="D397" i="67" s="1"/>
  <c r="D396" i="67" a="1"/>
  <c r="D396" i="67" s="1"/>
  <c r="D395" i="67" a="1"/>
  <c r="D395" i="67" s="1"/>
  <c r="G392" i="67" a="1"/>
  <c r="G392" i="67" s="1"/>
  <c r="F392" i="67" a="1"/>
  <c r="F392" i="67" s="1"/>
  <c r="E392" i="67" a="1"/>
  <c r="E392" i="67" s="1"/>
  <c r="D392" i="67" a="1"/>
  <c r="D392" i="67" s="1"/>
  <c r="G391" i="67" a="1"/>
  <c r="G391" i="67" s="1"/>
  <c r="F391" i="67" a="1"/>
  <c r="F391" i="67" s="1"/>
  <c r="E391" i="67" a="1"/>
  <c r="E391" i="67" s="1"/>
  <c r="D391" i="67" a="1"/>
  <c r="D391" i="67" s="1"/>
  <c r="G390" i="67" a="1"/>
  <c r="G390" i="67" s="1"/>
  <c r="F390" i="67" a="1"/>
  <c r="F390" i="67" s="1"/>
  <c r="E390" i="67" a="1"/>
  <c r="E390" i="67" s="1"/>
  <c r="D390" i="67" a="1"/>
  <c r="D390" i="67" s="1"/>
  <c r="G389" i="67" a="1"/>
  <c r="G389" i="67" s="1"/>
  <c r="F389" i="67" a="1"/>
  <c r="F389" i="67" s="1"/>
  <c r="E389" i="67" a="1"/>
  <c r="E389" i="67" s="1"/>
  <c r="D389" i="67" a="1"/>
  <c r="D389" i="67" s="1"/>
  <c r="G388" i="67" a="1"/>
  <c r="G388" i="67" s="1"/>
  <c r="F388" i="67" a="1"/>
  <c r="F388" i="67" s="1"/>
  <c r="E388" i="67" a="1"/>
  <c r="E388" i="67" s="1"/>
  <c r="D388" i="67" a="1"/>
  <c r="D388" i="67" s="1"/>
  <c r="G387" i="67" a="1"/>
  <c r="G387" i="67" s="1"/>
  <c r="F387" i="67" a="1"/>
  <c r="F387" i="67" s="1"/>
  <c r="E387" i="67" a="1"/>
  <c r="E387" i="67" s="1"/>
  <c r="D387" i="67" a="1"/>
  <c r="D387" i="67" s="1"/>
  <c r="G386" i="67" a="1"/>
  <c r="G386" i="67" s="1"/>
  <c r="F386" i="67" a="1"/>
  <c r="F386" i="67" s="1"/>
  <c r="E386" i="67" a="1"/>
  <c r="E386" i="67" s="1"/>
  <c r="D386" i="67" a="1"/>
  <c r="D386" i="67" s="1"/>
  <c r="G385" i="67" a="1"/>
  <c r="G385" i="67" s="1"/>
  <c r="F385" i="67" a="1"/>
  <c r="F385" i="67" s="1"/>
  <c r="E385" i="67" a="1"/>
  <c r="E385" i="67" s="1"/>
  <c r="D385" i="67" a="1"/>
  <c r="D385" i="67" s="1"/>
  <c r="G384" i="67" a="1"/>
  <c r="G384" i="67" s="1"/>
  <c r="F384" i="67" a="1"/>
  <c r="F384" i="67" s="1"/>
  <c r="E384" i="67" a="1"/>
  <c r="E384" i="67" s="1"/>
  <c r="D384" i="67" a="1"/>
  <c r="D384" i="67" s="1"/>
  <c r="G383" i="67" a="1"/>
  <c r="G383" i="67" s="1"/>
  <c r="F383" i="67" a="1"/>
  <c r="F383" i="67" s="1"/>
  <c r="E383" i="67" a="1"/>
  <c r="E383" i="67" s="1"/>
  <c r="D383" i="67" a="1"/>
  <c r="D383" i="67" s="1"/>
  <c r="G382" i="67" a="1"/>
  <c r="G382" i="67" s="1"/>
  <c r="F382" i="67" a="1"/>
  <c r="F382" i="67" s="1"/>
  <c r="E382" i="67" a="1"/>
  <c r="E382" i="67" s="1"/>
  <c r="D382" i="67" a="1"/>
  <c r="D382" i="67" s="1"/>
  <c r="G381" i="67" a="1"/>
  <c r="G381" i="67" s="1"/>
  <c r="F381" i="67" a="1"/>
  <c r="F381" i="67" s="1"/>
  <c r="E381" i="67" a="1"/>
  <c r="E381" i="67" s="1"/>
  <c r="D381" i="67" a="1"/>
  <c r="D381" i="67" s="1"/>
  <c r="G380" i="67" a="1"/>
  <c r="G380" i="67" s="1"/>
  <c r="F380" i="67" a="1"/>
  <c r="F380" i="67" s="1"/>
  <c r="E380" i="67" a="1"/>
  <c r="E380" i="67" s="1"/>
  <c r="D380" i="67" a="1"/>
  <c r="D380" i="67" s="1"/>
  <c r="G379" i="67" a="1"/>
  <c r="G379" i="67" s="1"/>
  <c r="F379" i="67" a="1"/>
  <c r="F379" i="67" s="1"/>
  <c r="E379" i="67" a="1"/>
  <c r="E379" i="67" s="1"/>
  <c r="D379" i="67" a="1"/>
  <c r="D379" i="67" s="1"/>
  <c r="G378" i="67" a="1"/>
  <c r="G378" i="67" s="1"/>
  <c r="F378" i="67" a="1"/>
  <c r="F378" i="67" s="1"/>
  <c r="E378" i="67" a="1"/>
  <c r="E378" i="67" s="1"/>
  <c r="D378" i="67" a="1"/>
  <c r="D378" i="67" s="1"/>
  <c r="D376" i="67" a="1"/>
  <c r="D376" i="67" s="1"/>
  <c r="D375" i="67" a="1"/>
  <c r="D375" i="67" s="1"/>
  <c r="D374" i="67" a="1"/>
  <c r="D374" i="67" s="1"/>
  <c r="D373" i="67" a="1"/>
  <c r="D373" i="67" s="1"/>
  <c r="D372" i="67" a="1"/>
  <c r="D372" i="67" s="1"/>
  <c r="L358" i="67" a="1"/>
  <c r="L358" i="67" s="1"/>
  <c r="O369" i="67" s="1"/>
  <c r="K358" i="67" a="1"/>
  <c r="K358" i="67" s="1"/>
  <c r="N369" i="67" s="1"/>
  <c r="J358" i="67" a="1"/>
  <c r="J358" i="67" s="1"/>
  <c r="K369" i="67" s="1"/>
  <c r="I358" i="67" a="1"/>
  <c r="I358" i="67" s="1"/>
  <c r="H358" i="67" a="1"/>
  <c r="H358" i="67" s="1"/>
  <c r="H369" i="67" s="1"/>
  <c r="G358" i="67" a="1"/>
  <c r="G358" i="67" s="1"/>
  <c r="G369" i="67" s="1"/>
  <c r="F358" i="67" a="1"/>
  <c r="F358" i="67" s="1"/>
  <c r="F369" i="67" s="1"/>
  <c r="E358" i="67" a="1"/>
  <c r="E358" i="67" s="1"/>
  <c r="E369" i="67" s="1"/>
  <c r="D358" i="67" a="1"/>
  <c r="D358" i="67" s="1"/>
  <c r="D369" i="67" s="1"/>
  <c r="L357" i="67" a="1"/>
  <c r="L357" i="67" s="1"/>
  <c r="O368" i="67" s="1"/>
  <c r="K357" i="67" a="1"/>
  <c r="K357" i="67" s="1"/>
  <c r="J357" i="67" a="1"/>
  <c r="J357" i="67" s="1"/>
  <c r="K368" i="67" s="1"/>
  <c r="I357" i="67" a="1"/>
  <c r="I357" i="67" s="1"/>
  <c r="I368" i="67" s="1"/>
  <c r="H357" i="67" a="1"/>
  <c r="H357" i="67" s="1"/>
  <c r="H368" i="67" s="1"/>
  <c r="G357" i="67" a="1"/>
  <c r="G357" i="67" s="1"/>
  <c r="G368" i="67" s="1"/>
  <c r="F357" i="67" a="1"/>
  <c r="F357" i="67" s="1"/>
  <c r="F368" i="67" s="1"/>
  <c r="E357" i="67" a="1"/>
  <c r="E357" i="67" s="1"/>
  <c r="E368" i="67" s="1"/>
  <c r="D357" i="67" a="1"/>
  <c r="D357" i="67" s="1"/>
  <c r="D368" i="67" s="1"/>
  <c r="L356" i="67" a="1"/>
  <c r="L356" i="67" s="1"/>
  <c r="O367" i="67" s="1"/>
  <c r="K356" i="67" a="1"/>
  <c r="K356" i="67" s="1"/>
  <c r="J356" i="67" a="1"/>
  <c r="J356" i="67" s="1"/>
  <c r="K367" i="67" s="1"/>
  <c r="I356" i="67" a="1"/>
  <c r="I356" i="67" s="1"/>
  <c r="H356" i="67" a="1"/>
  <c r="H356" i="67" s="1"/>
  <c r="H367" i="67" s="1"/>
  <c r="G356" i="67" a="1"/>
  <c r="G356" i="67" s="1"/>
  <c r="G367" i="67" s="1"/>
  <c r="F356" i="67" a="1"/>
  <c r="F356" i="67" s="1"/>
  <c r="F367" i="67" s="1"/>
  <c r="E356" i="67" a="1"/>
  <c r="E356" i="67" s="1"/>
  <c r="E367" i="67" s="1"/>
  <c r="D356" i="67" a="1"/>
  <c r="D356" i="67" s="1"/>
  <c r="D367" i="67" s="1"/>
  <c r="L355" i="67" a="1"/>
  <c r="L355" i="67" s="1"/>
  <c r="O366" i="67" s="1"/>
  <c r="K355" i="67" a="1"/>
  <c r="K355" i="67" s="1"/>
  <c r="L366" i="67" s="1"/>
  <c r="J355" i="67" a="1"/>
  <c r="J355" i="67" s="1"/>
  <c r="K366" i="67" s="1"/>
  <c r="I355" i="67" a="1"/>
  <c r="I355" i="67" s="1"/>
  <c r="I366" i="67" s="1"/>
  <c r="H355" i="67" a="1"/>
  <c r="H355" i="67" s="1"/>
  <c r="H366" i="67" s="1"/>
  <c r="G355" i="67" a="1"/>
  <c r="G355" i="67" s="1"/>
  <c r="G366" i="67" s="1"/>
  <c r="F355" i="67" a="1"/>
  <c r="F355" i="67" s="1"/>
  <c r="F366" i="67" s="1"/>
  <c r="E355" i="67" a="1"/>
  <c r="E355" i="67" s="1"/>
  <c r="E366" i="67" s="1"/>
  <c r="D355" i="67" a="1"/>
  <c r="D355" i="67" s="1"/>
  <c r="D366" i="67" s="1"/>
  <c r="L354" i="67" a="1"/>
  <c r="L354" i="67" s="1"/>
  <c r="O365" i="67" s="1"/>
  <c r="K354" i="67" a="1"/>
  <c r="K354" i="67" s="1"/>
  <c r="J354" i="67" a="1"/>
  <c r="J354" i="67" s="1"/>
  <c r="K365" i="67" s="1"/>
  <c r="I354" i="67" a="1"/>
  <c r="I354" i="67" s="1"/>
  <c r="I365" i="67" s="1"/>
  <c r="H354" i="67" a="1"/>
  <c r="H354" i="67" s="1"/>
  <c r="H365" i="67" s="1"/>
  <c r="G354" i="67" a="1"/>
  <c r="G354" i="67" s="1"/>
  <c r="G365" i="67" s="1"/>
  <c r="F354" i="67" a="1"/>
  <c r="F354" i="67" s="1"/>
  <c r="F365" i="67" s="1"/>
  <c r="E354" i="67" a="1"/>
  <c r="E354" i="67" s="1"/>
  <c r="E365" i="67" s="1"/>
  <c r="D354" i="67" a="1"/>
  <c r="D354" i="67" s="1"/>
  <c r="D365" i="67" s="1"/>
  <c r="L353" i="67" a="1"/>
  <c r="L353" i="67" s="1"/>
  <c r="O364" i="67" s="1"/>
  <c r="K353" i="67" a="1"/>
  <c r="K353" i="67" s="1"/>
  <c r="M364" i="67" s="1"/>
  <c r="J353" i="67" a="1"/>
  <c r="J353" i="67" s="1"/>
  <c r="K364" i="67" s="1"/>
  <c r="I353" i="67" a="1"/>
  <c r="I353" i="67" s="1"/>
  <c r="H353" i="67" a="1"/>
  <c r="H353" i="67" s="1"/>
  <c r="H364" i="67" s="1"/>
  <c r="G353" i="67" a="1"/>
  <c r="G353" i="67" s="1"/>
  <c r="G364" i="67" s="1"/>
  <c r="F353" i="67" a="1"/>
  <c r="F353" i="67" s="1"/>
  <c r="F364" i="67" s="1"/>
  <c r="E353" i="67" a="1"/>
  <c r="E353" i="67" s="1"/>
  <c r="E364" i="67" s="1"/>
  <c r="D353" i="67" a="1"/>
  <c r="D353" i="67" s="1"/>
  <c r="D364" i="67" s="1"/>
  <c r="L352" i="67" a="1"/>
  <c r="L352" i="67" s="1"/>
  <c r="O363" i="67" s="1"/>
  <c r="K352" i="67" a="1"/>
  <c r="K352" i="67" s="1"/>
  <c r="J352" i="67" a="1"/>
  <c r="J352" i="67" s="1"/>
  <c r="K363" i="67" s="1"/>
  <c r="I352" i="67" a="1"/>
  <c r="I352" i="67" s="1"/>
  <c r="I363" i="67" s="1"/>
  <c r="H352" i="67" a="1"/>
  <c r="H352" i="67" s="1"/>
  <c r="H363" i="67" s="1"/>
  <c r="G352" i="67" a="1"/>
  <c r="G352" i="67" s="1"/>
  <c r="G363" i="67" s="1"/>
  <c r="F352" i="67" a="1"/>
  <c r="F352" i="67" s="1"/>
  <c r="F363" i="67" s="1"/>
  <c r="E352" i="67" a="1"/>
  <c r="E352" i="67" s="1"/>
  <c r="E363" i="67" s="1"/>
  <c r="D352" i="67" a="1"/>
  <c r="D352" i="67" s="1"/>
  <c r="D363" i="67" s="1"/>
  <c r="L351" i="67" a="1"/>
  <c r="L351" i="67" s="1"/>
  <c r="O362" i="67" s="1"/>
  <c r="K351" i="67" a="1"/>
  <c r="K351" i="67" s="1"/>
  <c r="J351" i="67" a="1"/>
  <c r="J351" i="67" s="1"/>
  <c r="K362" i="67" s="1"/>
  <c r="I351" i="67" a="1"/>
  <c r="I351" i="67" s="1"/>
  <c r="H351" i="67" a="1"/>
  <c r="H351" i="67" s="1"/>
  <c r="H362" i="67" s="1"/>
  <c r="G351" i="67" a="1"/>
  <c r="G351" i="67" s="1"/>
  <c r="G362" i="67" s="1"/>
  <c r="F351" i="67" a="1"/>
  <c r="F351" i="67" s="1"/>
  <c r="F362" i="67" s="1"/>
  <c r="E351" i="67" a="1"/>
  <c r="E351" i="67" s="1"/>
  <c r="E362" i="67" s="1"/>
  <c r="D351" i="67" a="1"/>
  <c r="D351" i="67" s="1"/>
  <c r="D362" i="67" s="1"/>
  <c r="D349" i="67" a="1"/>
  <c r="D349" i="67" s="1"/>
  <c r="D348" i="67" a="1"/>
  <c r="D348" i="67" s="1"/>
  <c r="D347" i="67" a="1"/>
  <c r="D347" i="67" s="1"/>
  <c r="D346" i="67" a="1"/>
  <c r="D346" i="67" s="1"/>
  <c r="D345" i="67" a="1"/>
  <c r="D345" i="67" s="1"/>
  <c r="G342" i="67" a="1"/>
  <c r="G342" i="67" s="1"/>
  <c r="F342" i="67" a="1"/>
  <c r="F342" i="67" s="1"/>
  <c r="E342" i="67" a="1"/>
  <c r="E342" i="67" s="1"/>
  <c r="D342" i="67" a="1"/>
  <c r="D342" i="67" s="1"/>
  <c r="G341" i="67" a="1"/>
  <c r="G341" i="67" s="1"/>
  <c r="L338" i="67" s="1"/>
  <c r="F341" i="67" a="1"/>
  <c r="F341" i="67" s="1"/>
  <c r="K338" i="67" s="1"/>
  <c r="E341" i="67" a="1"/>
  <c r="E341" i="67" s="1"/>
  <c r="D341" i="67" a="1"/>
  <c r="D341" i="67" s="1"/>
  <c r="I338" i="67" s="1"/>
  <c r="G340" i="67" a="1"/>
  <c r="G340" i="67" s="1"/>
  <c r="L337" i="67" s="1"/>
  <c r="F340" i="67" a="1"/>
  <c r="F340" i="67" s="1"/>
  <c r="K337" i="67" s="1"/>
  <c r="E340" i="67" a="1"/>
  <c r="E340" i="67" s="1"/>
  <c r="D340" i="67" a="1"/>
  <c r="D340" i="67" s="1"/>
  <c r="I337" i="67" s="1"/>
  <c r="G339" i="67" a="1"/>
  <c r="G339" i="67" s="1"/>
  <c r="F339" i="67" a="1"/>
  <c r="F339" i="67" s="1"/>
  <c r="E339" i="67" a="1"/>
  <c r="E339" i="67" s="1"/>
  <c r="D339" i="67" a="1"/>
  <c r="D339" i="67" s="1"/>
  <c r="G338" i="67" a="1"/>
  <c r="G338" i="67" s="1"/>
  <c r="F338" i="67" a="1"/>
  <c r="F338" i="67" s="1"/>
  <c r="E338" i="67" a="1"/>
  <c r="E338" i="67" s="1"/>
  <c r="D338" i="67" a="1"/>
  <c r="D338" i="67" s="1"/>
  <c r="G337" i="67" a="1"/>
  <c r="G337" i="67" s="1"/>
  <c r="F337" i="67" a="1"/>
  <c r="F337" i="67" s="1"/>
  <c r="E337" i="67" a="1"/>
  <c r="E337" i="67" s="1"/>
  <c r="D337" i="67" a="1"/>
  <c r="D337" i="67" s="1"/>
  <c r="G336" i="67" a="1"/>
  <c r="G336" i="67" s="1"/>
  <c r="L336" i="67" s="1"/>
  <c r="F336" i="67" a="1"/>
  <c r="F336" i="67" s="1"/>
  <c r="K336" i="67" s="1"/>
  <c r="E336" i="67" a="1"/>
  <c r="E336" i="67" s="1"/>
  <c r="D336" i="67" a="1"/>
  <c r="D336" i="67" s="1"/>
  <c r="I336" i="67" s="1"/>
  <c r="G335" i="67" a="1"/>
  <c r="G335" i="67" s="1"/>
  <c r="L335" i="67" s="1"/>
  <c r="F335" i="67" a="1"/>
  <c r="F335" i="67" s="1"/>
  <c r="K335" i="67" s="1"/>
  <c r="E335" i="67" a="1"/>
  <c r="E335" i="67" s="1"/>
  <c r="D335" i="67" a="1"/>
  <c r="D335" i="67" s="1"/>
  <c r="I335" i="67" s="1"/>
  <c r="D333" i="67" a="1"/>
  <c r="D333" i="67" s="1"/>
  <c r="D332" i="67" a="1"/>
  <c r="D332" i="67" s="1"/>
  <c r="D331" i="67" a="1"/>
  <c r="D331" i="67" s="1"/>
  <c r="I328" i="67" a="1"/>
  <c r="I328" i="67" s="1"/>
  <c r="H328" i="67" a="1"/>
  <c r="H328" i="67" s="1"/>
  <c r="G328" i="67" a="1"/>
  <c r="G328" i="67" s="1"/>
  <c r="F328" i="67" a="1"/>
  <c r="F328" i="67" s="1"/>
  <c r="E328" i="67" a="1"/>
  <c r="E328" i="67" s="1"/>
  <c r="D328" i="67" a="1"/>
  <c r="D328" i="67" s="1"/>
  <c r="I327" i="67" a="1"/>
  <c r="I327" i="67" s="1"/>
  <c r="H327" i="67" a="1"/>
  <c r="H327" i="67" s="1"/>
  <c r="G327" i="67" a="1"/>
  <c r="G327" i="67" s="1"/>
  <c r="F327" i="67" a="1"/>
  <c r="F327" i="67" s="1"/>
  <c r="E327" i="67" a="1"/>
  <c r="E327" i="67" s="1"/>
  <c r="D327" i="67" a="1"/>
  <c r="D327" i="67" s="1"/>
  <c r="I326" i="67" a="1"/>
  <c r="I326" i="67" s="1"/>
  <c r="H326" i="67" a="1"/>
  <c r="H326" i="67" s="1"/>
  <c r="G326" i="67" a="1"/>
  <c r="G326" i="67" s="1"/>
  <c r="F326" i="67" a="1"/>
  <c r="F326" i="67" s="1"/>
  <c r="E326" i="67" a="1"/>
  <c r="E326" i="67" s="1"/>
  <c r="D326" i="67" a="1"/>
  <c r="D326" i="67" s="1"/>
  <c r="I325" i="67" a="1"/>
  <c r="I325" i="67" s="1"/>
  <c r="H325" i="67" a="1"/>
  <c r="H325" i="67" s="1"/>
  <c r="G325" i="67" a="1"/>
  <c r="G325" i="67" s="1"/>
  <c r="F325" i="67" a="1"/>
  <c r="F325" i="67" s="1"/>
  <c r="E325" i="67" a="1"/>
  <c r="E325" i="67" s="1"/>
  <c r="D325" i="67" a="1"/>
  <c r="D325" i="67" s="1"/>
  <c r="I324" i="67" a="1"/>
  <c r="I324" i="67" s="1"/>
  <c r="H324" i="67" a="1"/>
  <c r="H324" i="67" s="1"/>
  <c r="G324" i="67" a="1"/>
  <c r="G324" i="67" s="1"/>
  <c r="F324" i="67" a="1"/>
  <c r="F324" i="67" s="1"/>
  <c r="E324" i="67" a="1"/>
  <c r="E324" i="67" s="1"/>
  <c r="D324" i="67" a="1"/>
  <c r="D324" i="67" s="1"/>
  <c r="I323" i="67" a="1"/>
  <c r="I323" i="67" s="1"/>
  <c r="H323" i="67" a="1"/>
  <c r="H323" i="67" s="1"/>
  <c r="G323" i="67" a="1"/>
  <c r="G323" i="67" s="1"/>
  <c r="F323" i="67" a="1"/>
  <c r="F323" i="67" s="1"/>
  <c r="E323" i="67" a="1"/>
  <c r="E323" i="67" s="1"/>
  <c r="D323" i="67" a="1"/>
  <c r="D323" i="67" s="1"/>
  <c r="I322" i="67" a="1"/>
  <c r="I322" i="67" s="1"/>
  <c r="H322" i="67" a="1"/>
  <c r="H322" i="67" s="1"/>
  <c r="G322" i="67" a="1"/>
  <c r="G322" i="67" s="1"/>
  <c r="F322" i="67" a="1"/>
  <c r="F322" i="67" s="1"/>
  <c r="E322" i="67" a="1"/>
  <c r="E322" i="67" s="1"/>
  <c r="D322" i="67" a="1"/>
  <c r="D322" i="67" s="1"/>
  <c r="I321" i="67" a="1"/>
  <c r="I321" i="67" s="1"/>
  <c r="H321" i="67" a="1"/>
  <c r="H321" i="67" s="1"/>
  <c r="G321" i="67" a="1"/>
  <c r="G321" i="67" s="1"/>
  <c r="F321" i="67" a="1"/>
  <c r="F321" i="67" s="1"/>
  <c r="E321" i="67" a="1"/>
  <c r="E321" i="67" s="1"/>
  <c r="D321" i="67" a="1"/>
  <c r="D321" i="67" s="1"/>
  <c r="I320" i="67" a="1"/>
  <c r="I320" i="67" s="1"/>
  <c r="H320" i="67" a="1"/>
  <c r="H320" i="67" s="1"/>
  <c r="G320" i="67" a="1"/>
  <c r="G320" i="67" s="1"/>
  <c r="F320" i="67" a="1"/>
  <c r="F320" i="67" s="1"/>
  <c r="E320" i="67" a="1"/>
  <c r="E320" i="67" s="1"/>
  <c r="D320" i="67" a="1"/>
  <c r="D320" i="67" s="1"/>
  <c r="I319" i="67" a="1"/>
  <c r="I319" i="67" s="1"/>
  <c r="H319" i="67" a="1"/>
  <c r="H319" i="67" s="1"/>
  <c r="G319" i="67" a="1"/>
  <c r="G319" i="67" s="1"/>
  <c r="F319" i="67" a="1"/>
  <c r="F319" i="67" s="1"/>
  <c r="E319" i="67" a="1"/>
  <c r="E319" i="67" s="1"/>
  <c r="D319" i="67" a="1"/>
  <c r="D319" i="67" s="1"/>
  <c r="I318" i="67" a="1"/>
  <c r="I318" i="67" s="1"/>
  <c r="H318" i="67" a="1"/>
  <c r="H318" i="67" s="1"/>
  <c r="G318" i="67" a="1"/>
  <c r="G318" i="67" s="1"/>
  <c r="F318" i="67" a="1"/>
  <c r="F318" i="67" s="1"/>
  <c r="E318" i="67" a="1"/>
  <c r="E318" i="67" s="1"/>
  <c r="D318" i="67" a="1"/>
  <c r="D318" i="67" s="1"/>
  <c r="I317" i="67" a="1"/>
  <c r="I317" i="67" s="1"/>
  <c r="H317" i="67" a="1"/>
  <c r="H317" i="67" s="1"/>
  <c r="G317" i="67" a="1"/>
  <c r="G317" i="67" s="1"/>
  <c r="F317" i="67" a="1"/>
  <c r="F317" i="67" s="1"/>
  <c r="E317" i="67" a="1"/>
  <c r="E317" i="67" s="1"/>
  <c r="D317" i="67" a="1"/>
  <c r="D317" i="67" s="1"/>
  <c r="I316" i="67" a="1"/>
  <c r="I316" i="67" s="1"/>
  <c r="H316" i="67" a="1"/>
  <c r="H316" i="67" s="1"/>
  <c r="G316" i="67" a="1"/>
  <c r="G316" i="67" s="1"/>
  <c r="F316" i="67" a="1"/>
  <c r="F316" i="67" s="1"/>
  <c r="E316" i="67" a="1"/>
  <c r="E316" i="67" s="1"/>
  <c r="D316" i="67" a="1"/>
  <c r="D316" i="67" s="1"/>
  <c r="I315" i="67" a="1"/>
  <c r="I315" i="67" s="1"/>
  <c r="H315" i="67" a="1"/>
  <c r="H315" i="67" s="1"/>
  <c r="G315" i="67" a="1"/>
  <c r="G315" i="67" s="1"/>
  <c r="F315" i="67" a="1"/>
  <c r="F315" i="67" s="1"/>
  <c r="E315" i="67" a="1"/>
  <c r="E315" i="67" s="1"/>
  <c r="D315" i="67" a="1"/>
  <c r="D315" i="67" s="1"/>
  <c r="I314" i="67" a="1"/>
  <c r="I314" i="67" s="1"/>
  <c r="H314" i="67" a="1"/>
  <c r="H314" i="67" s="1"/>
  <c r="G314" i="67" a="1"/>
  <c r="G314" i="67" s="1"/>
  <c r="F314" i="67" a="1"/>
  <c r="F314" i="67" s="1"/>
  <c r="E314" i="67" a="1"/>
  <c r="E314" i="67" s="1"/>
  <c r="D314" i="67" a="1"/>
  <c r="D314" i="67" s="1"/>
  <c r="D312" i="67" a="1"/>
  <c r="D312" i="67" s="1"/>
  <c r="D311" i="67" a="1"/>
  <c r="D311" i="67" s="1"/>
  <c r="D310" i="67" a="1"/>
  <c r="D310" i="67" s="1"/>
  <c r="D309" i="67" a="1"/>
  <c r="D309" i="67" s="1"/>
  <c r="D308" i="67" a="1"/>
  <c r="D308" i="67" s="1"/>
  <c r="I305" i="67" a="1"/>
  <c r="I305" i="67" s="1"/>
  <c r="H305" i="67" a="1"/>
  <c r="H305" i="67" s="1"/>
  <c r="G305" i="67" a="1"/>
  <c r="G305" i="67" s="1"/>
  <c r="F305" i="67" a="1"/>
  <c r="F305" i="67" s="1"/>
  <c r="E305" i="67" a="1"/>
  <c r="E305" i="67" s="1"/>
  <c r="D305" i="67" a="1"/>
  <c r="D305" i="67" s="1"/>
  <c r="I304" i="67" a="1"/>
  <c r="I304" i="67" s="1"/>
  <c r="H304" i="67" a="1"/>
  <c r="H304" i="67" s="1"/>
  <c r="G304" i="67" a="1"/>
  <c r="G304" i="67" s="1"/>
  <c r="F304" i="67" a="1"/>
  <c r="F304" i="67" s="1"/>
  <c r="E304" i="67" a="1"/>
  <c r="E304" i="67" s="1"/>
  <c r="D304" i="67" a="1"/>
  <c r="D304" i="67" s="1"/>
  <c r="I303" i="67" a="1"/>
  <c r="I303" i="67" s="1"/>
  <c r="H303" i="67" a="1"/>
  <c r="H303" i="67" s="1"/>
  <c r="G303" i="67" a="1"/>
  <c r="G303" i="67" s="1"/>
  <c r="F303" i="67" a="1"/>
  <c r="F303" i="67" s="1"/>
  <c r="E303" i="67" a="1"/>
  <c r="E303" i="67" s="1"/>
  <c r="D303" i="67" a="1"/>
  <c r="D303" i="67" s="1"/>
  <c r="I302" i="67" a="1"/>
  <c r="I302" i="67" s="1"/>
  <c r="H302" i="67" a="1"/>
  <c r="H302" i="67" s="1"/>
  <c r="G302" i="67" a="1"/>
  <c r="G302" i="67" s="1"/>
  <c r="F302" i="67" a="1"/>
  <c r="F302" i="67" s="1"/>
  <c r="E302" i="67" a="1"/>
  <c r="E302" i="67" s="1"/>
  <c r="D302" i="67" a="1"/>
  <c r="D302" i="67" s="1"/>
  <c r="I301" i="67" a="1"/>
  <c r="I301" i="67" s="1"/>
  <c r="H301" i="67" a="1"/>
  <c r="H301" i="67" s="1"/>
  <c r="G301" i="67" a="1"/>
  <c r="G301" i="67" s="1"/>
  <c r="F301" i="67" a="1"/>
  <c r="F301" i="67" s="1"/>
  <c r="E301" i="67" a="1"/>
  <c r="E301" i="67" s="1"/>
  <c r="D301" i="67" a="1"/>
  <c r="D301" i="67" s="1"/>
  <c r="I300" i="67" a="1"/>
  <c r="I300" i="67" s="1"/>
  <c r="H300" i="67" a="1"/>
  <c r="H300" i="67" s="1"/>
  <c r="G300" i="67" a="1"/>
  <c r="G300" i="67" s="1"/>
  <c r="F300" i="67" a="1"/>
  <c r="F300" i="67" s="1"/>
  <c r="E300" i="67" a="1"/>
  <c r="E300" i="67" s="1"/>
  <c r="D300" i="67" a="1"/>
  <c r="D300" i="67" s="1"/>
  <c r="I299" i="67" a="1"/>
  <c r="I299" i="67" s="1"/>
  <c r="H299" i="67" a="1"/>
  <c r="H299" i="67" s="1"/>
  <c r="G299" i="67" a="1"/>
  <c r="G299" i="67" s="1"/>
  <c r="F299" i="67" a="1"/>
  <c r="F299" i="67" s="1"/>
  <c r="E299" i="67" a="1"/>
  <c r="E299" i="67" s="1"/>
  <c r="D299" i="67" a="1"/>
  <c r="D299" i="67" s="1"/>
  <c r="I298" i="67" a="1"/>
  <c r="I298" i="67" s="1"/>
  <c r="H298" i="67" a="1"/>
  <c r="H298" i="67" s="1"/>
  <c r="G298" i="67" a="1"/>
  <c r="G298" i="67" s="1"/>
  <c r="F298" i="67" a="1"/>
  <c r="F298" i="67" s="1"/>
  <c r="E298" i="67" a="1"/>
  <c r="E298" i="67" s="1"/>
  <c r="D298" i="67" a="1"/>
  <c r="D298" i="67" s="1"/>
  <c r="I297" i="67" a="1"/>
  <c r="I297" i="67" s="1"/>
  <c r="H297" i="67" a="1"/>
  <c r="H297" i="67" s="1"/>
  <c r="G297" i="67" a="1"/>
  <c r="G297" i="67" s="1"/>
  <c r="F297" i="67" a="1"/>
  <c r="F297" i="67" s="1"/>
  <c r="E297" i="67" a="1"/>
  <c r="E297" i="67" s="1"/>
  <c r="D297" i="67" a="1"/>
  <c r="D297" i="67" s="1"/>
  <c r="I296" i="67" a="1"/>
  <c r="I296" i="67" s="1"/>
  <c r="H296" i="67" a="1"/>
  <c r="H296" i="67" s="1"/>
  <c r="G296" i="67" a="1"/>
  <c r="G296" i="67" s="1"/>
  <c r="F296" i="67" a="1"/>
  <c r="F296" i="67" s="1"/>
  <c r="E296" i="67" a="1"/>
  <c r="E296" i="67" s="1"/>
  <c r="D296" i="67" a="1"/>
  <c r="D296" i="67" s="1"/>
  <c r="I295" i="67" a="1"/>
  <c r="I295" i="67" s="1"/>
  <c r="H295" i="67" a="1"/>
  <c r="H295" i="67" s="1"/>
  <c r="G295" i="67" a="1"/>
  <c r="G295" i="67" s="1"/>
  <c r="F295" i="67" a="1"/>
  <c r="F295" i="67" s="1"/>
  <c r="E295" i="67" a="1"/>
  <c r="E295" i="67" s="1"/>
  <c r="D295" i="67" a="1"/>
  <c r="D295" i="67" s="1"/>
  <c r="I294" i="67" a="1"/>
  <c r="I294" i="67" s="1"/>
  <c r="H294" i="67" a="1"/>
  <c r="H294" i="67" s="1"/>
  <c r="G294" i="67" a="1"/>
  <c r="G294" i="67" s="1"/>
  <c r="F294" i="67" a="1"/>
  <c r="F294" i="67" s="1"/>
  <c r="E294" i="67" a="1"/>
  <c r="E294" i="67" s="1"/>
  <c r="D294" i="67" a="1"/>
  <c r="D294" i="67" s="1"/>
  <c r="I293" i="67" a="1"/>
  <c r="I293" i="67" s="1"/>
  <c r="H293" i="67" a="1"/>
  <c r="H293" i="67" s="1"/>
  <c r="G293" i="67" a="1"/>
  <c r="G293" i="67" s="1"/>
  <c r="F293" i="67" a="1"/>
  <c r="F293" i="67" s="1"/>
  <c r="E293" i="67" a="1"/>
  <c r="E293" i="67" s="1"/>
  <c r="D293" i="67" a="1"/>
  <c r="D293" i="67" s="1"/>
  <c r="I292" i="67" a="1"/>
  <c r="I292" i="67" s="1"/>
  <c r="H292" i="67" a="1"/>
  <c r="H292" i="67" s="1"/>
  <c r="G292" i="67" a="1"/>
  <c r="G292" i="67" s="1"/>
  <c r="F292" i="67" a="1"/>
  <c r="F292" i="67" s="1"/>
  <c r="E292" i="67" a="1"/>
  <c r="E292" i="67" s="1"/>
  <c r="D292" i="67" a="1"/>
  <c r="D292" i="67" s="1"/>
  <c r="I291" i="67" a="1"/>
  <c r="I291" i="67" s="1"/>
  <c r="H291" i="67" a="1"/>
  <c r="H291" i="67" s="1"/>
  <c r="G291" i="67" a="1"/>
  <c r="G291" i="67" s="1"/>
  <c r="F291" i="67" a="1"/>
  <c r="F291" i="67" s="1"/>
  <c r="E291" i="67" a="1"/>
  <c r="E291" i="67" s="1"/>
  <c r="D291" i="67" a="1"/>
  <c r="D291" i="67" s="1"/>
  <c r="D289" i="67" a="1"/>
  <c r="D289" i="67" s="1"/>
  <c r="D288" i="67" a="1"/>
  <c r="D288" i="67" s="1"/>
  <c r="D287" i="67" a="1"/>
  <c r="D287" i="67" s="1"/>
  <c r="D286" i="67" a="1"/>
  <c r="D286" i="67" s="1"/>
  <c r="D285" i="67" a="1"/>
  <c r="D285" i="67" s="1"/>
  <c r="P217" i="67" a="1"/>
  <c r="P217" i="67" s="1"/>
  <c r="P282" i="67" s="1"/>
  <c r="O217" i="67" a="1"/>
  <c r="O217" i="67" s="1"/>
  <c r="O282" i="67" s="1"/>
  <c r="N217" i="67" a="1"/>
  <c r="N217" i="67" s="1"/>
  <c r="N282" i="67" s="1"/>
  <c r="M217" i="67" a="1"/>
  <c r="M217" i="67" s="1"/>
  <c r="M282" i="67" s="1"/>
  <c r="L217" i="67" a="1"/>
  <c r="L217" i="67" s="1"/>
  <c r="L282" i="67" s="1"/>
  <c r="K217" i="67" a="1"/>
  <c r="K217" i="67" s="1"/>
  <c r="K282" i="67" s="1"/>
  <c r="J217" i="67" a="1"/>
  <c r="J217" i="67" s="1"/>
  <c r="J282" i="67" s="1"/>
  <c r="I217" i="67" a="1"/>
  <c r="I217" i="67" s="1"/>
  <c r="I282" i="67" s="1"/>
  <c r="H217" i="67" a="1"/>
  <c r="H217" i="67" s="1"/>
  <c r="H282" i="67" s="1"/>
  <c r="G217" i="67" a="1"/>
  <c r="G217" i="67" s="1"/>
  <c r="G282" i="67" s="1"/>
  <c r="F217" i="67" a="1"/>
  <c r="F217" i="67" s="1"/>
  <c r="F282" i="67" s="1"/>
  <c r="E217" i="67" a="1"/>
  <c r="E217" i="67" s="1"/>
  <c r="E282" i="67" s="1"/>
  <c r="D217" i="67" a="1"/>
  <c r="D217" i="67" s="1"/>
  <c r="P216" i="67" a="1"/>
  <c r="P216" i="67" s="1"/>
  <c r="P281" i="67" s="1"/>
  <c r="O216" i="67" a="1"/>
  <c r="O216" i="67" s="1"/>
  <c r="O281" i="67" s="1"/>
  <c r="N216" i="67" a="1"/>
  <c r="N216" i="67" s="1"/>
  <c r="N281" i="67" s="1"/>
  <c r="M216" i="67" a="1"/>
  <c r="M216" i="67" s="1"/>
  <c r="M281" i="67" s="1"/>
  <c r="L216" i="67" a="1"/>
  <c r="L216" i="67" s="1"/>
  <c r="L281" i="67" s="1"/>
  <c r="K216" i="67" a="1"/>
  <c r="K216" i="67" s="1"/>
  <c r="K281" i="67" s="1"/>
  <c r="J216" i="67" a="1"/>
  <c r="J216" i="67" s="1"/>
  <c r="J281" i="67" s="1"/>
  <c r="I216" i="67" a="1"/>
  <c r="I216" i="67" s="1"/>
  <c r="I281" i="67" s="1"/>
  <c r="H216" i="67" a="1"/>
  <c r="H216" i="67" s="1"/>
  <c r="H281" i="67" s="1"/>
  <c r="G216" i="67" a="1"/>
  <c r="G216" i="67" s="1"/>
  <c r="G281" i="67" s="1"/>
  <c r="F216" i="67" a="1"/>
  <c r="F216" i="67" s="1"/>
  <c r="F281" i="67" s="1"/>
  <c r="E216" i="67" a="1"/>
  <c r="E216" i="67" s="1"/>
  <c r="E281" i="67" s="1"/>
  <c r="D216" i="67" a="1"/>
  <c r="D216" i="67" s="1"/>
  <c r="P215" i="67" a="1"/>
  <c r="P215" i="67" s="1"/>
  <c r="P280" i="67" s="1"/>
  <c r="O215" i="67" a="1"/>
  <c r="O215" i="67" s="1"/>
  <c r="O280" i="67" s="1"/>
  <c r="N215" i="67" a="1"/>
  <c r="N215" i="67" s="1"/>
  <c r="N280" i="67" s="1"/>
  <c r="M215" i="67" a="1"/>
  <c r="M215" i="67" s="1"/>
  <c r="M280" i="67" s="1"/>
  <c r="L215" i="67" a="1"/>
  <c r="L215" i="67" s="1"/>
  <c r="L280" i="67" s="1"/>
  <c r="K215" i="67" a="1"/>
  <c r="K215" i="67" s="1"/>
  <c r="K280" i="67" s="1"/>
  <c r="J215" i="67" a="1"/>
  <c r="J215" i="67" s="1"/>
  <c r="J280" i="67" s="1"/>
  <c r="I215" i="67" a="1"/>
  <c r="I215" i="67" s="1"/>
  <c r="I280" i="67" s="1"/>
  <c r="H215" i="67" a="1"/>
  <c r="H215" i="67" s="1"/>
  <c r="H280" i="67" s="1"/>
  <c r="G215" i="67" a="1"/>
  <c r="G215" i="67" s="1"/>
  <c r="G280" i="67" s="1"/>
  <c r="F215" i="67" a="1"/>
  <c r="F215" i="67" s="1"/>
  <c r="F280" i="67" s="1"/>
  <c r="E215" i="67" a="1"/>
  <c r="E215" i="67" s="1"/>
  <c r="E280" i="67" s="1"/>
  <c r="D215" i="67" a="1"/>
  <c r="D215" i="67" s="1"/>
  <c r="P214" i="67" a="1"/>
  <c r="P214" i="67" s="1"/>
  <c r="P279" i="67" s="1"/>
  <c r="O214" i="67" a="1"/>
  <c r="O214" i="67" s="1"/>
  <c r="O279" i="67" s="1"/>
  <c r="N214" i="67" a="1"/>
  <c r="N214" i="67" s="1"/>
  <c r="N279" i="67" s="1"/>
  <c r="M214" i="67" a="1"/>
  <c r="M214" i="67" s="1"/>
  <c r="M279" i="67" s="1"/>
  <c r="L214" i="67" a="1"/>
  <c r="L214" i="67" s="1"/>
  <c r="L279" i="67" s="1"/>
  <c r="K214" i="67" a="1"/>
  <c r="K214" i="67" s="1"/>
  <c r="K279" i="67" s="1"/>
  <c r="J214" i="67" a="1"/>
  <c r="J214" i="67" s="1"/>
  <c r="J279" i="67" s="1"/>
  <c r="I214" i="67" a="1"/>
  <c r="I214" i="67" s="1"/>
  <c r="I279" i="67" s="1"/>
  <c r="H214" i="67" a="1"/>
  <c r="H214" i="67" s="1"/>
  <c r="H279" i="67" s="1"/>
  <c r="G214" i="67" a="1"/>
  <c r="G214" i="67" s="1"/>
  <c r="G279" i="67" s="1"/>
  <c r="F214" i="67" a="1"/>
  <c r="F214" i="67" s="1"/>
  <c r="F279" i="67" s="1"/>
  <c r="E214" i="67" a="1"/>
  <c r="E214" i="67" s="1"/>
  <c r="E279" i="67" s="1"/>
  <c r="D214" i="67" a="1"/>
  <c r="D214" i="67" s="1"/>
  <c r="P213" i="67" a="1"/>
  <c r="P213" i="67" s="1"/>
  <c r="P278" i="67" s="1"/>
  <c r="O213" i="67" a="1"/>
  <c r="O213" i="67" s="1"/>
  <c r="O278" i="67" s="1"/>
  <c r="N213" i="67" a="1"/>
  <c r="N213" i="67" s="1"/>
  <c r="N278" i="67" s="1"/>
  <c r="M213" i="67" a="1"/>
  <c r="M213" i="67" s="1"/>
  <c r="M278" i="67" s="1"/>
  <c r="L213" i="67" a="1"/>
  <c r="L213" i="67" s="1"/>
  <c r="L278" i="67" s="1"/>
  <c r="K213" i="67" a="1"/>
  <c r="K213" i="67" s="1"/>
  <c r="K278" i="67" s="1"/>
  <c r="J213" i="67" a="1"/>
  <c r="J213" i="67" s="1"/>
  <c r="J278" i="67" s="1"/>
  <c r="I213" i="67" a="1"/>
  <c r="I213" i="67" s="1"/>
  <c r="I278" i="67" s="1"/>
  <c r="H213" i="67" a="1"/>
  <c r="H213" i="67" s="1"/>
  <c r="H278" i="67" s="1"/>
  <c r="G213" i="67" a="1"/>
  <c r="G213" i="67" s="1"/>
  <c r="G278" i="67" s="1"/>
  <c r="F213" i="67" a="1"/>
  <c r="F213" i="67" s="1"/>
  <c r="F278" i="67" s="1"/>
  <c r="E213" i="67" a="1"/>
  <c r="E213" i="67" s="1"/>
  <c r="E278" i="67" s="1"/>
  <c r="D213" i="67" a="1"/>
  <c r="D213" i="67" s="1"/>
  <c r="P212" i="67" a="1"/>
  <c r="P212" i="67" s="1"/>
  <c r="P277" i="67" s="1"/>
  <c r="O212" i="67" a="1"/>
  <c r="O212" i="67" s="1"/>
  <c r="O277" i="67" s="1"/>
  <c r="N212" i="67" a="1"/>
  <c r="N212" i="67" s="1"/>
  <c r="N277" i="67" s="1"/>
  <c r="M212" i="67" a="1"/>
  <c r="M212" i="67" s="1"/>
  <c r="M277" i="67" s="1"/>
  <c r="L212" i="67" a="1"/>
  <c r="L212" i="67" s="1"/>
  <c r="L277" i="67" s="1"/>
  <c r="K212" i="67" a="1"/>
  <c r="K212" i="67" s="1"/>
  <c r="K277" i="67" s="1"/>
  <c r="J212" i="67" a="1"/>
  <c r="J212" i="67" s="1"/>
  <c r="J277" i="67" s="1"/>
  <c r="I212" i="67" a="1"/>
  <c r="I212" i="67" s="1"/>
  <c r="I277" i="67" s="1"/>
  <c r="H212" i="67" a="1"/>
  <c r="H212" i="67" s="1"/>
  <c r="H277" i="67" s="1"/>
  <c r="G212" i="67" a="1"/>
  <c r="G212" i="67" s="1"/>
  <c r="G277" i="67" s="1"/>
  <c r="F212" i="67" a="1"/>
  <c r="F212" i="67" s="1"/>
  <c r="F277" i="67" s="1"/>
  <c r="E212" i="67" a="1"/>
  <c r="E212" i="67" s="1"/>
  <c r="E277" i="67" s="1"/>
  <c r="D212" i="67" a="1"/>
  <c r="D212" i="67" s="1"/>
  <c r="P211" i="67" a="1"/>
  <c r="P211" i="67" s="1"/>
  <c r="P276" i="67" s="1"/>
  <c r="O211" i="67" a="1"/>
  <c r="O211" i="67" s="1"/>
  <c r="O276" i="67" s="1"/>
  <c r="N211" i="67" a="1"/>
  <c r="N211" i="67" s="1"/>
  <c r="N276" i="67" s="1"/>
  <c r="M211" i="67" a="1"/>
  <c r="M211" i="67" s="1"/>
  <c r="M276" i="67" s="1"/>
  <c r="L211" i="67" a="1"/>
  <c r="L211" i="67" s="1"/>
  <c r="L276" i="67" s="1"/>
  <c r="K211" i="67" a="1"/>
  <c r="K211" i="67" s="1"/>
  <c r="K276" i="67" s="1"/>
  <c r="J211" i="67" a="1"/>
  <c r="J211" i="67" s="1"/>
  <c r="J276" i="67" s="1"/>
  <c r="I211" i="67" a="1"/>
  <c r="I211" i="67" s="1"/>
  <c r="I276" i="67" s="1"/>
  <c r="H211" i="67" a="1"/>
  <c r="H211" i="67" s="1"/>
  <c r="H276" i="67" s="1"/>
  <c r="G211" i="67" a="1"/>
  <c r="G211" i="67" s="1"/>
  <c r="G276" i="67" s="1"/>
  <c r="F211" i="67" a="1"/>
  <c r="F211" i="67" s="1"/>
  <c r="F276" i="67" s="1"/>
  <c r="E211" i="67" a="1"/>
  <c r="E211" i="67" s="1"/>
  <c r="E276" i="67" s="1"/>
  <c r="D211" i="67" a="1"/>
  <c r="D211" i="67" s="1"/>
  <c r="P210" i="67" a="1"/>
  <c r="P210" i="67" s="1"/>
  <c r="P275" i="67" s="1"/>
  <c r="O210" i="67" a="1"/>
  <c r="O210" i="67" s="1"/>
  <c r="O275" i="67" s="1"/>
  <c r="N210" i="67" a="1"/>
  <c r="N210" i="67" s="1"/>
  <c r="N275" i="67" s="1"/>
  <c r="M210" i="67" a="1"/>
  <c r="M210" i="67" s="1"/>
  <c r="M275" i="67" s="1"/>
  <c r="L210" i="67" a="1"/>
  <c r="L210" i="67" s="1"/>
  <c r="L275" i="67" s="1"/>
  <c r="K210" i="67" a="1"/>
  <c r="K210" i="67" s="1"/>
  <c r="K275" i="67" s="1"/>
  <c r="J210" i="67" a="1"/>
  <c r="J210" i="67" s="1"/>
  <c r="J275" i="67" s="1"/>
  <c r="I210" i="67" a="1"/>
  <c r="I210" i="67" s="1"/>
  <c r="I275" i="67" s="1"/>
  <c r="H210" i="67" a="1"/>
  <c r="H210" i="67" s="1"/>
  <c r="H275" i="67" s="1"/>
  <c r="G210" i="67" a="1"/>
  <c r="G210" i="67" s="1"/>
  <c r="G275" i="67" s="1"/>
  <c r="F210" i="67" a="1"/>
  <c r="F210" i="67" s="1"/>
  <c r="F275" i="67" s="1"/>
  <c r="E210" i="67" a="1"/>
  <c r="E210" i="67" s="1"/>
  <c r="E275" i="67" s="1"/>
  <c r="D210" i="67" a="1"/>
  <c r="D210" i="67" s="1"/>
  <c r="P209" i="67" a="1"/>
  <c r="P209" i="67" s="1"/>
  <c r="P274" i="67" s="1"/>
  <c r="O209" i="67" a="1"/>
  <c r="O209" i="67" s="1"/>
  <c r="O274" i="67" s="1"/>
  <c r="N209" i="67" a="1"/>
  <c r="N209" i="67" s="1"/>
  <c r="N274" i="67" s="1"/>
  <c r="M209" i="67" a="1"/>
  <c r="M209" i="67" s="1"/>
  <c r="M274" i="67" s="1"/>
  <c r="L209" i="67" a="1"/>
  <c r="L209" i="67" s="1"/>
  <c r="L274" i="67" s="1"/>
  <c r="K209" i="67" a="1"/>
  <c r="K209" i="67" s="1"/>
  <c r="K274" i="67" s="1"/>
  <c r="J209" i="67" a="1"/>
  <c r="J209" i="67" s="1"/>
  <c r="J274" i="67" s="1"/>
  <c r="I209" i="67" a="1"/>
  <c r="I209" i="67" s="1"/>
  <c r="I274" i="67" s="1"/>
  <c r="H209" i="67" a="1"/>
  <c r="H209" i="67" s="1"/>
  <c r="H274" i="67" s="1"/>
  <c r="G209" i="67" a="1"/>
  <c r="G209" i="67" s="1"/>
  <c r="G274" i="67" s="1"/>
  <c r="F209" i="67" a="1"/>
  <c r="F209" i="67" s="1"/>
  <c r="F274" i="67" s="1"/>
  <c r="E209" i="67" a="1"/>
  <c r="E209" i="67" s="1"/>
  <c r="E274" i="67" s="1"/>
  <c r="D209" i="67" a="1"/>
  <c r="D209" i="67" s="1"/>
  <c r="P208" i="67" a="1"/>
  <c r="P208" i="67" s="1"/>
  <c r="P273" i="67" s="1"/>
  <c r="O208" i="67" a="1"/>
  <c r="O208" i="67" s="1"/>
  <c r="O273" i="67" s="1"/>
  <c r="N208" i="67" a="1"/>
  <c r="N208" i="67" s="1"/>
  <c r="N273" i="67" s="1"/>
  <c r="M208" i="67" a="1"/>
  <c r="M208" i="67" s="1"/>
  <c r="M273" i="67" s="1"/>
  <c r="L208" i="67" a="1"/>
  <c r="L208" i="67" s="1"/>
  <c r="L273" i="67" s="1"/>
  <c r="K208" i="67" a="1"/>
  <c r="K208" i="67" s="1"/>
  <c r="K273" i="67" s="1"/>
  <c r="J208" i="67" a="1"/>
  <c r="J208" i="67" s="1"/>
  <c r="J273" i="67" s="1"/>
  <c r="I208" i="67" a="1"/>
  <c r="I208" i="67" s="1"/>
  <c r="I273" i="67" s="1"/>
  <c r="H208" i="67" a="1"/>
  <c r="H208" i="67" s="1"/>
  <c r="H273" i="67" s="1"/>
  <c r="G208" i="67" a="1"/>
  <c r="G208" i="67" s="1"/>
  <c r="G273" i="67" s="1"/>
  <c r="F208" i="67" a="1"/>
  <c r="F208" i="67" s="1"/>
  <c r="F273" i="67" s="1"/>
  <c r="E208" i="67" a="1"/>
  <c r="E208" i="67" s="1"/>
  <c r="E273" i="67" s="1"/>
  <c r="D208" i="67" a="1"/>
  <c r="D208" i="67" s="1"/>
  <c r="P207" i="67" a="1"/>
  <c r="P207" i="67" s="1"/>
  <c r="P272" i="67" s="1"/>
  <c r="O207" i="67" a="1"/>
  <c r="O207" i="67" s="1"/>
  <c r="O272" i="67" s="1"/>
  <c r="N207" i="67" a="1"/>
  <c r="N207" i="67" s="1"/>
  <c r="N272" i="67" s="1"/>
  <c r="M207" i="67" a="1"/>
  <c r="M207" i="67" s="1"/>
  <c r="M272" i="67" s="1"/>
  <c r="L207" i="67" a="1"/>
  <c r="L207" i="67" s="1"/>
  <c r="L272" i="67" s="1"/>
  <c r="K207" i="67" a="1"/>
  <c r="K207" i="67" s="1"/>
  <c r="K272" i="67" s="1"/>
  <c r="J207" i="67" a="1"/>
  <c r="J207" i="67" s="1"/>
  <c r="J272" i="67" s="1"/>
  <c r="I207" i="67" a="1"/>
  <c r="I207" i="67" s="1"/>
  <c r="I272" i="67" s="1"/>
  <c r="H207" i="67" a="1"/>
  <c r="H207" i="67" s="1"/>
  <c r="H272" i="67" s="1"/>
  <c r="G207" i="67" a="1"/>
  <c r="G207" i="67" s="1"/>
  <c r="G272" i="67" s="1"/>
  <c r="F207" i="67" a="1"/>
  <c r="F207" i="67" s="1"/>
  <c r="F272" i="67" s="1"/>
  <c r="E207" i="67" a="1"/>
  <c r="E207" i="67" s="1"/>
  <c r="E272" i="67" s="1"/>
  <c r="D207" i="67" a="1"/>
  <c r="D207" i="67" s="1"/>
  <c r="P206" i="67" a="1"/>
  <c r="P206" i="67" s="1"/>
  <c r="P271" i="67" s="1"/>
  <c r="O206" i="67" a="1"/>
  <c r="O206" i="67" s="1"/>
  <c r="O271" i="67" s="1"/>
  <c r="N206" i="67" a="1"/>
  <c r="N206" i="67" s="1"/>
  <c r="N271" i="67" s="1"/>
  <c r="M206" i="67" a="1"/>
  <c r="M206" i="67" s="1"/>
  <c r="M271" i="67" s="1"/>
  <c r="L206" i="67" a="1"/>
  <c r="L206" i="67" s="1"/>
  <c r="L271" i="67" s="1"/>
  <c r="K206" i="67" a="1"/>
  <c r="K206" i="67" s="1"/>
  <c r="K271" i="67" s="1"/>
  <c r="J206" i="67" a="1"/>
  <c r="J206" i="67" s="1"/>
  <c r="J271" i="67" s="1"/>
  <c r="I206" i="67" a="1"/>
  <c r="I206" i="67" s="1"/>
  <c r="I271" i="67" s="1"/>
  <c r="H206" i="67" a="1"/>
  <c r="H206" i="67" s="1"/>
  <c r="H271" i="67" s="1"/>
  <c r="G206" i="67" a="1"/>
  <c r="G206" i="67" s="1"/>
  <c r="G271" i="67" s="1"/>
  <c r="F206" i="67" a="1"/>
  <c r="F206" i="67" s="1"/>
  <c r="F271" i="67" s="1"/>
  <c r="E206" i="67" a="1"/>
  <c r="E206" i="67" s="1"/>
  <c r="E271" i="67" s="1"/>
  <c r="D206" i="67" a="1"/>
  <c r="D206" i="67" s="1"/>
  <c r="P205" i="67" a="1"/>
  <c r="P205" i="67" s="1"/>
  <c r="P270" i="67" s="1"/>
  <c r="O205" i="67" a="1"/>
  <c r="O205" i="67" s="1"/>
  <c r="O270" i="67" s="1"/>
  <c r="N205" i="67" a="1"/>
  <c r="N205" i="67" s="1"/>
  <c r="N270" i="67" s="1"/>
  <c r="M205" i="67" a="1"/>
  <c r="M205" i="67" s="1"/>
  <c r="M270" i="67" s="1"/>
  <c r="L205" i="67" a="1"/>
  <c r="L205" i="67" s="1"/>
  <c r="L270" i="67" s="1"/>
  <c r="K205" i="67" a="1"/>
  <c r="K205" i="67" s="1"/>
  <c r="K270" i="67" s="1"/>
  <c r="J205" i="67" a="1"/>
  <c r="J205" i="67" s="1"/>
  <c r="J270" i="67" s="1"/>
  <c r="I205" i="67" a="1"/>
  <c r="I205" i="67" s="1"/>
  <c r="I270" i="67" s="1"/>
  <c r="H205" i="67" a="1"/>
  <c r="H205" i="67" s="1"/>
  <c r="H270" i="67" s="1"/>
  <c r="G205" i="67" a="1"/>
  <c r="G205" i="67" s="1"/>
  <c r="G270" i="67" s="1"/>
  <c r="F205" i="67" a="1"/>
  <c r="F205" i="67" s="1"/>
  <c r="F270" i="67" s="1"/>
  <c r="E205" i="67" a="1"/>
  <c r="E205" i="67" s="1"/>
  <c r="E270" i="67" s="1"/>
  <c r="D205" i="67" a="1"/>
  <c r="D205" i="67" s="1"/>
  <c r="P204" i="67" a="1"/>
  <c r="P204" i="67" s="1"/>
  <c r="P269" i="67" s="1"/>
  <c r="O204" i="67" a="1"/>
  <c r="O204" i="67" s="1"/>
  <c r="O269" i="67" s="1"/>
  <c r="N204" i="67" a="1"/>
  <c r="N204" i="67" s="1"/>
  <c r="N269" i="67" s="1"/>
  <c r="M204" i="67" a="1"/>
  <c r="M204" i="67" s="1"/>
  <c r="M269" i="67" s="1"/>
  <c r="L204" i="67" a="1"/>
  <c r="L204" i="67" s="1"/>
  <c r="L269" i="67" s="1"/>
  <c r="K204" i="67" a="1"/>
  <c r="K204" i="67" s="1"/>
  <c r="K269" i="67" s="1"/>
  <c r="J204" i="67" a="1"/>
  <c r="J204" i="67" s="1"/>
  <c r="J269" i="67" s="1"/>
  <c r="I204" i="67" a="1"/>
  <c r="I204" i="67" s="1"/>
  <c r="I269" i="67" s="1"/>
  <c r="H204" i="67" a="1"/>
  <c r="H204" i="67" s="1"/>
  <c r="H269" i="67" s="1"/>
  <c r="G204" i="67" a="1"/>
  <c r="G204" i="67" s="1"/>
  <c r="G269" i="67" s="1"/>
  <c r="F204" i="67" a="1"/>
  <c r="F204" i="67" s="1"/>
  <c r="F269" i="67" s="1"/>
  <c r="E204" i="67" a="1"/>
  <c r="E204" i="67" s="1"/>
  <c r="E269" i="67" s="1"/>
  <c r="D204" i="67" a="1"/>
  <c r="D204" i="67" s="1"/>
  <c r="P203" i="67" a="1"/>
  <c r="P203" i="67" s="1"/>
  <c r="P268" i="67" s="1"/>
  <c r="O203" i="67" a="1"/>
  <c r="O203" i="67" s="1"/>
  <c r="O268" i="67" s="1"/>
  <c r="N203" i="67" a="1"/>
  <c r="N203" i="67" s="1"/>
  <c r="N268" i="67" s="1"/>
  <c r="M203" i="67" a="1"/>
  <c r="M203" i="67" s="1"/>
  <c r="M268" i="67" s="1"/>
  <c r="L203" i="67" a="1"/>
  <c r="L203" i="67" s="1"/>
  <c r="L268" i="67" s="1"/>
  <c r="K203" i="67" a="1"/>
  <c r="K203" i="67" s="1"/>
  <c r="K268" i="67" s="1"/>
  <c r="J203" i="67" a="1"/>
  <c r="J203" i="67" s="1"/>
  <c r="J268" i="67" s="1"/>
  <c r="I203" i="67" a="1"/>
  <c r="I203" i="67" s="1"/>
  <c r="I268" i="67" s="1"/>
  <c r="H203" i="67" a="1"/>
  <c r="H203" i="67" s="1"/>
  <c r="H268" i="67" s="1"/>
  <c r="G203" i="67" a="1"/>
  <c r="G203" i="67" s="1"/>
  <c r="G268" i="67" s="1"/>
  <c r="F203" i="67" a="1"/>
  <c r="F203" i="67" s="1"/>
  <c r="F268" i="67" s="1"/>
  <c r="E203" i="67" a="1"/>
  <c r="E203" i="67" s="1"/>
  <c r="E268" i="67" s="1"/>
  <c r="D203" i="67" a="1"/>
  <c r="D203" i="67" s="1"/>
  <c r="P202" i="67" a="1"/>
  <c r="P202" i="67" s="1"/>
  <c r="P267" i="67" s="1"/>
  <c r="O202" i="67" a="1"/>
  <c r="O202" i="67" s="1"/>
  <c r="O267" i="67" s="1"/>
  <c r="N202" i="67" a="1"/>
  <c r="N202" i="67" s="1"/>
  <c r="N267" i="67" s="1"/>
  <c r="M202" i="67" a="1"/>
  <c r="M202" i="67" s="1"/>
  <c r="M267" i="67" s="1"/>
  <c r="L202" i="67" a="1"/>
  <c r="L202" i="67" s="1"/>
  <c r="L267" i="67" s="1"/>
  <c r="K202" i="67" a="1"/>
  <c r="K202" i="67" s="1"/>
  <c r="K267" i="67" s="1"/>
  <c r="J202" i="67" a="1"/>
  <c r="J202" i="67" s="1"/>
  <c r="J267" i="67" s="1"/>
  <c r="I202" i="67" a="1"/>
  <c r="I202" i="67" s="1"/>
  <c r="I267" i="67" s="1"/>
  <c r="H202" i="67" a="1"/>
  <c r="H202" i="67" s="1"/>
  <c r="H267" i="67" s="1"/>
  <c r="G202" i="67" a="1"/>
  <c r="G202" i="67" s="1"/>
  <c r="G267" i="67" s="1"/>
  <c r="F202" i="67" a="1"/>
  <c r="F202" i="67" s="1"/>
  <c r="F267" i="67" s="1"/>
  <c r="E202" i="67" a="1"/>
  <c r="E202" i="67" s="1"/>
  <c r="E267" i="67" s="1"/>
  <c r="D202" i="67" a="1"/>
  <c r="D202" i="67" s="1"/>
  <c r="P201" i="67" a="1"/>
  <c r="P201" i="67" s="1"/>
  <c r="P266" i="67" s="1"/>
  <c r="O201" i="67" a="1"/>
  <c r="O201" i="67" s="1"/>
  <c r="O266" i="67" s="1"/>
  <c r="N201" i="67" a="1"/>
  <c r="N201" i="67" s="1"/>
  <c r="N266" i="67" s="1"/>
  <c r="M201" i="67" a="1"/>
  <c r="M201" i="67" s="1"/>
  <c r="M266" i="67" s="1"/>
  <c r="L201" i="67" a="1"/>
  <c r="L201" i="67" s="1"/>
  <c r="L266" i="67" s="1"/>
  <c r="K201" i="67" a="1"/>
  <c r="K201" i="67" s="1"/>
  <c r="K266" i="67" s="1"/>
  <c r="J201" i="67" a="1"/>
  <c r="J201" i="67" s="1"/>
  <c r="J266" i="67" s="1"/>
  <c r="I201" i="67" a="1"/>
  <c r="I201" i="67" s="1"/>
  <c r="I266" i="67" s="1"/>
  <c r="H201" i="67" a="1"/>
  <c r="H201" i="67" s="1"/>
  <c r="H266" i="67" s="1"/>
  <c r="G201" i="67" a="1"/>
  <c r="G201" i="67" s="1"/>
  <c r="G266" i="67" s="1"/>
  <c r="F201" i="67" a="1"/>
  <c r="F201" i="67" s="1"/>
  <c r="F266" i="67" s="1"/>
  <c r="E201" i="67" a="1"/>
  <c r="E201" i="67" s="1"/>
  <c r="E266" i="67" s="1"/>
  <c r="D201" i="67" a="1"/>
  <c r="D201" i="67" s="1"/>
  <c r="P200" i="67" a="1"/>
  <c r="P200" i="67" s="1"/>
  <c r="P265" i="67" s="1"/>
  <c r="O200" i="67" a="1"/>
  <c r="O200" i="67" s="1"/>
  <c r="O265" i="67" s="1"/>
  <c r="N200" i="67" a="1"/>
  <c r="N200" i="67" s="1"/>
  <c r="N265" i="67" s="1"/>
  <c r="M200" i="67" a="1"/>
  <c r="M200" i="67" s="1"/>
  <c r="M265" i="67" s="1"/>
  <c r="L200" i="67" a="1"/>
  <c r="L200" i="67" s="1"/>
  <c r="L265" i="67" s="1"/>
  <c r="K200" i="67" a="1"/>
  <c r="K200" i="67" s="1"/>
  <c r="K265" i="67" s="1"/>
  <c r="J200" i="67" a="1"/>
  <c r="J200" i="67" s="1"/>
  <c r="J265" i="67" s="1"/>
  <c r="I200" i="67" a="1"/>
  <c r="I200" i="67" s="1"/>
  <c r="I265" i="67" s="1"/>
  <c r="H200" i="67" a="1"/>
  <c r="H200" i="67" s="1"/>
  <c r="H265" i="67" s="1"/>
  <c r="G200" i="67" a="1"/>
  <c r="G200" i="67" s="1"/>
  <c r="G265" i="67" s="1"/>
  <c r="F200" i="67" a="1"/>
  <c r="F200" i="67" s="1"/>
  <c r="F265" i="67" s="1"/>
  <c r="E200" i="67" a="1"/>
  <c r="E200" i="67" s="1"/>
  <c r="E265" i="67" s="1"/>
  <c r="D200" i="67" a="1"/>
  <c r="D200" i="67" s="1"/>
  <c r="P199" i="67" a="1"/>
  <c r="P199" i="67" s="1"/>
  <c r="P264" i="67" s="1"/>
  <c r="O199" i="67" a="1"/>
  <c r="O199" i="67" s="1"/>
  <c r="O264" i="67" s="1"/>
  <c r="N199" i="67" a="1"/>
  <c r="N199" i="67" s="1"/>
  <c r="N264" i="67" s="1"/>
  <c r="M199" i="67" a="1"/>
  <c r="M199" i="67" s="1"/>
  <c r="M264" i="67" s="1"/>
  <c r="L199" i="67" a="1"/>
  <c r="L199" i="67" s="1"/>
  <c r="L264" i="67" s="1"/>
  <c r="K199" i="67" a="1"/>
  <c r="K199" i="67" s="1"/>
  <c r="K264" i="67" s="1"/>
  <c r="J199" i="67" a="1"/>
  <c r="J199" i="67" s="1"/>
  <c r="J264" i="67" s="1"/>
  <c r="I199" i="67" a="1"/>
  <c r="I199" i="67" s="1"/>
  <c r="I264" i="67" s="1"/>
  <c r="H199" i="67" a="1"/>
  <c r="H199" i="67" s="1"/>
  <c r="H264" i="67" s="1"/>
  <c r="G199" i="67" a="1"/>
  <c r="G199" i="67" s="1"/>
  <c r="G264" i="67" s="1"/>
  <c r="F199" i="67" a="1"/>
  <c r="F199" i="67" s="1"/>
  <c r="F264" i="67" s="1"/>
  <c r="E199" i="67" a="1"/>
  <c r="E199" i="67" s="1"/>
  <c r="E264" i="67" s="1"/>
  <c r="D199" i="67" a="1"/>
  <c r="D199" i="67" s="1"/>
  <c r="P198" i="67" a="1"/>
  <c r="P198" i="67" s="1"/>
  <c r="P263" i="67" s="1"/>
  <c r="O198" i="67" a="1"/>
  <c r="O198" i="67" s="1"/>
  <c r="O263" i="67" s="1"/>
  <c r="N198" i="67" a="1"/>
  <c r="N198" i="67" s="1"/>
  <c r="N263" i="67" s="1"/>
  <c r="M198" i="67" a="1"/>
  <c r="M198" i="67" s="1"/>
  <c r="M263" i="67" s="1"/>
  <c r="L198" i="67" a="1"/>
  <c r="L198" i="67" s="1"/>
  <c r="L263" i="67" s="1"/>
  <c r="K198" i="67" a="1"/>
  <c r="K198" i="67" s="1"/>
  <c r="K263" i="67" s="1"/>
  <c r="J198" i="67" a="1"/>
  <c r="J198" i="67" s="1"/>
  <c r="J263" i="67" s="1"/>
  <c r="I198" i="67" a="1"/>
  <c r="I198" i="67" s="1"/>
  <c r="I263" i="67" s="1"/>
  <c r="H198" i="67" a="1"/>
  <c r="H198" i="67" s="1"/>
  <c r="H263" i="67" s="1"/>
  <c r="G198" i="67" a="1"/>
  <c r="G198" i="67" s="1"/>
  <c r="G263" i="67" s="1"/>
  <c r="F198" i="67" a="1"/>
  <c r="F198" i="67" s="1"/>
  <c r="F263" i="67" s="1"/>
  <c r="E198" i="67" a="1"/>
  <c r="E198" i="67" s="1"/>
  <c r="E263" i="67" s="1"/>
  <c r="D198" i="67" a="1"/>
  <c r="D198" i="67" s="1"/>
  <c r="P197" i="67" a="1"/>
  <c r="P197" i="67" s="1"/>
  <c r="P262" i="67" s="1"/>
  <c r="O197" i="67" a="1"/>
  <c r="O197" i="67" s="1"/>
  <c r="O262" i="67" s="1"/>
  <c r="N197" i="67" a="1"/>
  <c r="N197" i="67" s="1"/>
  <c r="N262" i="67" s="1"/>
  <c r="M197" i="67" a="1"/>
  <c r="M197" i="67" s="1"/>
  <c r="M262" i="67" s="1"/>
  <c r="L197" i="67" a="1"/>
  <c r="L197" i="67" s="1"/>
  <c r="L262" i="67" s="1"/>
  <c r="K197" i="67" a="1"/>
  <c r="K197" i="67" s="1"/>
  <c r="K262" i="67" s="1"/>
  <c r="J197" i="67" a="1"/>
  <c r="J197" i="67" s="1"/>
  <c r="J262" i="67" s="1"/>
  <c r="I197" i="67" a="1"/>
  <c r="I197" i="67" s="1"/>
  <c r="I262" i="67" s="1"/>
  <c r="H197" i="67" a="1"/>
  <c r="H197" i="67" s="1"/>
  <c r="H262" i="67" s="1"/>
  <c r="G197" i="67" a="1"/>
  <c r="G197" i="67" s="1"/>
  <c r="G262" i="67" s="1"/>
  <c r="F197" i="67" a="1"/>
  <c r="F197" i="67" s="1"/>
  <c r="F262" i="67" s="1"/>
  <c r="E197" i="67" a="1"/>
  <c r="E197" i="67" s="1"/>
  <c r="E262" i="67" s="1"/>
  <c r="D197" i="67" a="1"/>
  <c r="D197" i="67" s="1"/>
  <c r="P196" i="67" a="1"/>
  <c r="P196" i="67" s="1"/>
  <c r="P261" i="67" s="1"/>
  <c r="O196" i="67" a="1"/>
  <c r="O196" i="67" s="1"/>
  <c r="O261" i="67" s="1"/>
  <c r="N196" i="67" a="1"/>
  <c r="N196" i="67" s="1"/>
  <c r="N261" i="67" s="1"/>
  <c r="M196" i="67" a="1"/>
  <c r="M196" i="67" s="1"/>
  <c r="M261" i="67" s="1"/>
  <c r="L196" i="67" a="1"/>
  <c r="L196" i="67" s="1"/>
  <c r="L261" i="67" s="1"/>
  <c r="K196" i="67" a="1"/>
  <c r="K196" i="67" s="1"/>
  <c r="K261" i="67" s="1"/>
  <c r="J196" i="67" a="1"/>
  <c r="J196" i="67" s="1"/>
  <c r="J261" i="67" s="1"/>
  <c r="I196" i="67" a="1"/>
  <c r="I196" i="67" s="1"/>
  <c r="I261" i="67" s="1"/>
  <c r="H196" i="67" a="1"/>
  <c r="H196" i="67" s="1"/>
  <c r="H261" i="67" s="1"/>
  <c r="G196" i="67" a="1"/>
  <c r="G196" i="67" s="1"/>
  <c r="G261" i="67" s="1"/>
  <c r="F196" i="67" a="1"/>
  <c r="F196" i="67" s="1"/>
  <c r="F261" i="67" s="1"/>
  <c r="E196" i="67" a="1"/>
  <c r="E196" i="67" s="1"/>
  <c r="E261" i="67" s="1"/>
  <c r="D196" i="67" a="1"/>
  <c r="D196" i="67" s="1"/>
  <c r="P195" i="67" a="1"/>
  <c r="P195" i="67" s="1"/>
  <c r="P260" i="67" s="1"/>
  <c r="O195" i="67" a="1"/>
  <c r="O195" i="67" s="1"/>
  <c r="O260" i="67" s="1"/>
  <c r="N195" i="67" a="1"/>
  <c r="N195" i="67" s="1"/>
  <c r="N260" i="67" s="1"/>
  <c r="M195" i="67" a="1"/>
  <c r="M195" i="67" s="1"/>
  <c r="M260" i="67" s="1"/>
  <c r="L195" i="67" a="1"/>
  <c r="L195" i="67" s="1"/>
  <c r="L260" i="67" s="1"/>
  <c r="K195" i="67" a="1"/>
  <c r="K195" i="67" s="1"/>
  <c r="K260" i="67" s="1"/>
  <c r="J195" i="67" a="1"/>
  <c r="J195" i="67" s="1"/>
  <c r="J260" i="67" s="1"/>
  <c r="I195" i="67" a="1"/>
  <c r="I195" i="67" s="1"/>
  <c r="I260" i="67" s="1"/>
  <c r="H195" i="67" a="1"/>
  <c r="H195" i="67" s="1"/>
  <c r="H260" i="67" s="1"/>
  <c r="G195" i="67" a="1"/>
  <c r="G195" i="67" s="1"/>
  <c r="G260" i="67" s="1"/>
  <c r="F195" i="67" a="1"/>
  <c r="F195" i="67" s="1"/>
  <c r="F260" i="67" s="1"/>
  <c r="E195" i="67" a="1"/>
  <c r="E195" i="67" s="1"/>
  <c r="E260" i="67" s="1"/>
  <c r="D195" i="67" a="1"/>
  <c r="D195" i="67" s="1"/>
  <c r="P194" i="67" a="1"/>
  <c r="P194" i="67" s="1"/>
  <c r="P259" i="67" s="1"/>
  <c r="O194" i="67" a="1"/>
  <c r="O194" i="67" s="1"/>
  <c r="O259" i="67" s="1"/>
  <c r="N194" i="67" a="1"/>
  <c r="N194" i="67" s="1"/>
  <c r="N259" i="67" s="1"/>
  <c r="M194" i="67" a="1"/>
  <c r="M194" i="67" s="1"/>
  <c r="M259" i="67" s="1"/>
  <c r="L194" i="67" a="1"/>
  <c r="L194" i="67" s="1"/>
  <c r="L259" i="67" s="1"/>
  <c r="K194" i="67" a="1"/>
  <c r="K194" i="67" s="1"/>
  <c r="K259" i="67" s="1"/>
  <c r="J194" i="67" a="1"/>
  <c r="J194" i="67" s="1"/>
  <c r="J259" i="67" s="1"/>
  <c r="I194" i="67" a="1"/>
  <c r="I194" i="67" s="1"/>
  <c r="I259" i="67" s="1"/>
  <c r="H194" i="67" a="1"/>
  <c r="H194" i="67" s="1"/>
  <c r="H259" i="67" s="1"/>
  <c r="G194" i="67" a="1"/>
  <c r="G194" i="67" s="1"/>
  <c r="G259" i="67" s="1"/>
  <c r="F194" i="67" a="1"/>
  <c r="F194" i="67" s="1"/>
  <c r="F259" i="67" s="1"/>
  <c r="E194" i="67" a="1"/>
  <c r="E194" i="67" s="1"/>
  <c r="E259" i="67" s="1"/>
  <c r="D194" i="67" a="1"/>
  <c r="D194" i="67" s="1"/>
  <c r="P193" i="67" a="1"/>
  <c r="P193" i="67" s="1"/>
  <c r="P258" i="67" s="1"/>
  <c r="O193" i="67" a="1"/>
  <c r="O193" i="67" s="1"/>
  <c r="O258" i="67" s="1"/>
  <c r="N193" i="67" a="1"/>
  <c r="N193" i="67" s="1"/>
  <c r="N258" i="67" s="1"/>
  <c r="M193" i="67" a="1"/>
  <c r="M193" i="67" s="1"/>
  <c r="M258" i="67" s="1"/>
  <c r="L193" i="67" a="1"/>
  <c r="L193" i="67" s="1"/>
  <c r="L258" i="67" s="1"/>
  <c r="K193" i="67" a="1"/>
  <c r="K193" i="67" s="1"/>
  <c r="K258" i="67" s="1"/>
  <c r="J193" i="67" a="1"/>
  <c r="J193" i="67" s="1"/>
  <c r="J258" i="67" s="1"/>
  <c r="I193" i="67" a="1"/>
  <c r="I193" i="67" s="1"/>
  <c r="I258" i="67" s="1"/>
  <c r="H193" i="67" a="1"/>
  <c r="H193" i="67" s="1"/>
  <c r="H258" i="67" s="1"/>
  <c r="G193" i="67" a="1"/>
  <c r="G193" i="67" s="1"/>
  <c r="G258" i="67" s="1"/>
  <c r="F193" i="67" a="1"/>
  <c r="F193" i="67" s="1"/>
  <c r="F258" i="67" s="1"/>
  <c r="E193" i="67" a="1"/>
  <c r="E193" i="67" s="1"/>
  <c r="E258" i="67" s="1"/>
  <c r="D193" i="67" a="1"/>
  <c r="D193" i="67" s="1"/>
  <c r="P192" i="67" a="1"/>
  <c r="P192" i="67" s="1"/>
  <c r="P257" i="67" s="1"/>
  <c r="O192" i="67" a="1"/>
  <c r="O192" i="67" s="1"/>
  <c r="O257" i="67" s="1"/>
  <c r="N192" i="67" a="1"/>
  <c r="N192" i="67" s="1"/>
  <c r="N257" i="67" s="1"/>
  <c r="M192" i="67" a="1"/>
  <c r="M192" i="67" s="1"/>
  <c r="M257" i="67" s="1"/>
  <c r="L192" i="67" a="1"/>
  <c r="L192" i="67" s="1"/>
  <c r="L257" i="67" s="1"/>
  <c r="K192" i="67" a="1"/>
  <c r="K192" i="67" s="1"/>
  <c r="K257" i="67" s="1"/>
  <c r="J192" i="67" a="1"/>
  <c r="J192" i="67" s="1"/>
  <c r="J257" i="67" s="1"/>
  <c r="I192" i="67" a="1"/>
  <c r="I192" i="67" s="1"/>
  <c r="I257" i="67" s="1"/>
  <c r="H192" i="67" a="1"/>
  <c r="H192" i="67" s="1"/>
  <c r="H257" i="67" s="1"/>
  <c r="G192" i="67" a="1"/>
  <c r="G192" i="67" s="1"/>
  <c r="G257" i="67" s="1"/>
  <c r="F192" i="67" a="1"/>
  <c r="F192" i="67" s="1"/>
  <c r="F257" i="67" s="1"/>
  <c r="E192" i="67" a="1"/>
  <c r="E192" i="67" s="1"/>
  <c r="E257" i="67" s="1"/>
  <c r="D192" i="67" a="1"/>
  <c r="D192" i="67" s="1"/>
  <c r="P191" i="67" a="1"/>
  <c r="P191" i="67" s="1"/>
  <c r="P256" i="67" s="1"/>
  <c r="O191" i="67" a="1"/>
  <c r="O191" i="67" s="1"/>
  <c r="O256" i="67" s="1"/>
  <c r="N191" i="67" a="1"/>
  <c r="N191" i="67" s="1"/>
  <c r="N256" i="67" s="1"/>
  <c r="M191" i="67" a="1"/>
  <c r="M191" i="67" s="1"/>
  <c r="M256" i="67" s="1"/>
  <c r="L191" i="67" a="1"/>
  <c r="L191" i="67" s="1"/>
  <c r="L256" i="67" s="1"/>
  <c r="K191" i="67" a="1"/>
  <c r="K191" i="67" s="1"/>
  <c r="K256" i="67" s="1"/>
  <c r="J191" i="67" a="1"/>
  <c r="J191" i="67" s="1"/>
  <c r="J256" i="67" s="1"/>
  <c r="I191" i="67" a="1"/>
  <c r="I191" i="67" s="1"/>
  <c r="I256" i="67" s="1"/>
  <c r="H191" i="67" a="1"/>
  <c r="H191" i="67" s="1"/>
  <c r="H256" i="67" s="1"/>
  <c r="G191" i="67" a="1"/>
  <c r="G191" i="67" s="1"/>
  <c r="G256" i="67" s="1"/>
  <c r="F191" i="67" a="1"/>
  <c r="F191" i="67" s="1"/>
  <c r="F256" i="67" s="1"/>
  <c r="E191" i="67" a="1"/>
  <c r="E191" i="67" s="1"/>
  <c r="E256" i="67" s="1"/>
  <c r="D191" i="67" a="1"/>
  <c r="D191" i="67" s="1"/>
  <c r="P190" i="67" a="1"/>
  <c r="P190" i="67" s="1"/>
  <c r="P255" i="67" s="1"/>
  <c r="O190" i="67" a="1"/>
  <c r="O190" i="67" s="1"/>
  <c r="O255" i="67" s="1"/>
  <c r="N190" i="67" a="1"/>
  <c r="N190" i="67" s="1"/>
  <c r="N255" i="67" s="1"/>
  <c r="M190" i="67" a="1"/>
  <c r="M190" i="67" s="1"/>
  <c r="M255" i="67" s="1"/>
  <c r="L190" i="67" a="1"/>
  <c r="L190" i="67" s="1"/>
  <c r="L255" i="67" s="1"/>
  <c r="K190" i="67" a="1"/>
  <c r="K190" i="67" s="1"/>
  <c r="K255" i="67" s="1"/>
  <c r="J190" i="67" a="1"/>
  <c r="J190" i="67" s="1"/>
  <c r="J255" i="67" s="1"/>
  <c r="I190" i="67" a="1"/>
  <c r="I190" i="67" s="1"/>
  <c r="I255" i="67" s="1"/>
  <c r="H190" i="67" a="1"/>
  <c r="H190" i="67" s="1"/>
  <c r="H255" i="67" s="1"/>
  <c r="G190" i="67" a="1"/>
  <c r="G190" i="67" s="1"/>
  <c r="G255" i="67" s="1"/>
  <c r="F190" i="67" a="1"/>
  <c r="F190" i="67" s="1"/>
  <c r="F255" i="67" s="1"/>
  <c r="E190" i="67" a="1"/>
  <c r="E190" i="67" s="1"/>
  <c r="E255" i="67" s="1"/>
  <c r="D190" i="67" a="1"/>
  <c r="D190" i="67" s="1"/>
  <c r="D188" i="67" a="1"/>
  <c r="D188" i="67" s="1"/>
  <c r="D187" i="67" a="1"/>
  <c r="D187" i="67" s="1"/>
  <c r="D186" i="67" a="1"/>
  <c r="D186" i="67" s="1"/>
  <c r="D185" i="67" a="1"/>
  <c r="D185" i="67" s="1"/>
  <c r="M182" i="67" a="1"/>
  <c r="M182" i="67" s="1"/>
  <c r="L182" i="67" a="1"/>
  <c r="L182" i="67" s="1"/>
  <c r="M254" i="67" s="1"/>
  <c r="K182" i="67" a="1"/>
  <c r="K182" i="67" s="1"/>
  <c r="J182" i="67" a="1"/>
  <c r="J182" i="67" s="1"/>
  <c r="J254" i="67" s="1"/>
  <c r="I182" i="67" a="1"/>
  <c r="I182" i="67" s="1"/>
  <c r="I254" i="67" s="1"/>
  <c r="H182" i="67" a="1"/>
  <c r="H182" i="67" s="1"/>
  <c r="H254" i="67" s="1"/>
  <c r="G182" i="67" a="1"/>
  <c r="G182" i="67" s="1"/>
  <c r="G254" i="67" s="1"/>
  <c r="F182" i="67" a="1"/>
  <c r="F182" i="67" s="1"/>
  <c r="F254" i="67" s="1"/>
  <c r="E182" i="67" a="1"/>
  <c r="E182" i="67" s="1"/>
  <c r="E254" i="67" s="1"/>
  <c r="D182" i="67" a="1"/>
  <c r="D182" i="67" s="1"/>
  <c r="M181" i="67" a="1"/>
  <c r="M181" i="67" s="1"/>
  <c r="L181" i="67" a="1"/>
  <c r="L181" i="67" s="1"/>
  <c r="M253" i="67" s="1"/>
  <c r="K181" i="67" a="1"/>
  <c r="K181" i="67" s="1"/>
  <c r="L253" i="67" s="1"/>
  <c r="J181" i="67" a="1"/>
  <c r="J181" i="67" s="1"/>
  <c r="J253" i="67" s="1"/>
  <c r="I181" i="67" a="1"/>
  <c r="I181" i="67" s="1"/>
  <c r="I253" i="67" s="1"/>
  <c r="H181" i="67" a="1"/>
  <c r="H181" i="67" s="1"/>
  <c r="H253" i="67" s="1"/>
  <c r="G181" i="67" a="1"/>
  <c r="G181" i="67" s="1"/>
  <c r="G253" i="67" s="1"/>
  <c r="F181" i="67" a="1"/>
  <c r="F181" i="67" s="1"/>
  <c r="F253" i="67" s="1"/>
  <c r="E181" i="67" a="1"/>
  <c r="E181" i="67" s="1"/>
  <c r="E253" i="67" s="1"/>
  <c r="D181" i="67" a="1"/>
  <c r="D181" i="67" s="1"/>
  <c r="M180" i="67" a="1"/>
  <c r="M180" i="67" s="1"/>
  <c r="L180" i="67" a="1"/>
  <c r="L180" i="67" s="1"/>
  <c r="M252" i="67" s="1"/>
  <c r="K180" i="67" a="1"/>
  <c r="K180" i="67" s="1"/>
  <c r="J180" i="67" a="1"/>
  <c r="J180" i="67" s="1"/>
  <c r="J252" i="67" s="1"/>
  <c r="I180" i="67" a="1"/>
  <c r="I180" i="67" s="1"/>
  <c r="I252" i="67" s="1"/>
  <c r="H180" i="67" a="1"/>
  <c r="H180" i="67" s="1"/>
  <c r="H252" i="67" s="1"/>
  <c r="G180" i="67" a="1"/>
  <c r="G180" i="67" s="1"/>
  <c r="G252" i="67" s="1"/>
  <c r="F180" i="67" a="1"/>
  <c r="F180" i="67" s="1"/>
  <c r="F252" i="67" s="1"/>
  <c r="E180" i="67" a="1"/>
  <c r="E180" i="67" s="1"/>
  <c r="E252" i="67" s="1"/>
  <c r="D180" i="67" a="1"/>
  <c r="D180" i="67" s="1"/>
  <c r="M179" i="67" a="1"/>
  <c r="M179" i="67" s="1"/>
  <c r="L179" i="67" a="1"/>
  <c r="L179" i="67" s="1"/>
  <c r="M251" i="67" s="1"/>
  <c r="K179" i="67" a="1"/>
  <c r="K179" i="67" s="1"/>
  <c r="J179" i="67" a="1"/>
  <c r="J179" i="67" s="1"/>
  <c r="J251" i="67" s="1"/>
  <c r="I179" i="67" a="1"/>
  <c r="I179" i="67" s="1"/>
  <c r="I251" i="67" s="1"/>
  <c r="H179" i="67" a="1"/>
  <c r="H179" i="67" s="1"/>
  <c r="H251" i="67" s="1"/>
  <c r="G179" i="67" a="1"/>
  <c r="G179" i="67" s="1"/>
  <c r="G251" i="67" s="1"/>
  <c r="F179" i="67" a="1"/>
  <c r="F179" i="67" s="1"/>
  <c r="F251" i="67" s="1"/>
  <c r="E179" i="67" a="1"/>
  <c r="E179" i="67" s="1"/>
  <c r="E251" i="67" s="1"/>
  <c r="D179" i="67" a="1"/>
  <c r="D179" i="67" s="1"/>
  <c r="M178" i="67" a="1"/>
  <c r="M178" i="67" s="1"/>
  <c r="P250" i="67" s="1"/>
  <c r="L178" i="67" a="1"/>
  <c r="L178" i="67" s="1"/>
  <c r="M250" i="67" s="1"/>
  <c r="K178" i="67" a="1"/>
  <c r="K178" i="67" s="1"/>
  <c r="J178" i="67" a="1"/>
  <c r="J178" i="67" s="1"/>
  <c r="J250" i="67" s="1"/>
  <c r="I178" i="67" a="1"/>
  <c r="I178" i="67" s="1"/>
  <c r="I250" i="67" s="1"/>
  <c r="H178" i="67" a="1"/>
  <c r="H178" i="67" s="1"/>
  <c r="H250" i="67" s="1"/>
  <c r="G178" i="67" a="1"/>
  <c r="G178" i="67" s="1"/>
  <c r="G250" i="67" s="1"/>
  <c r="F178" i="67" a="1"/>
  <c r="F178" i="67" s="1"/>
  <c r="F250" i="67" s="1"/>
  <c r="E178" i="67" a="1"/>
  <c r="E178" i="67" s="1"/>
  <c r="E250" i="67" s="1"/>
  <c r="D178" i="67" a="1"/>
  <c r="D178" i="67" s="1"/>
  <c r="M177" i="67" a="1"/>
  <c r="M177" i="67" s="1"/>
  <c r="L177" i="67" a="1"/>
  <c r="L177" i="67" s="1"/>
  <c r="M249" i="67" s="1"/>
  <c r="K177" i="67" a="1"/>
  <c r="K177" i="67" s="1"/>
  <c r="J177" i="67" a="1"/>
  <c r="J177" i="67" s="1"/>
  <c r="J249" i="67" s="1"/>
  <c r="I177" i="67" a="1"/>
  <c r="I177" i="67" s="1"/>
  <c r="I249" i="67" s="1"/>
  <c r="H177" i="67" a="1"/>
  <c r="H177" i="67" s="1"/>
  <c r="H249" i="67" s="1"/>
  <c r="G177" i="67" a="1"/>
  <c r="G177" i="67" s="1"/>
  <c r="G249" i="67" s="1"/>
  <c r="F177" i="67" a="1"/>
  <c r="F177" i="67" s="1"/>
  <c r="F249" i="67" s="1"/>
  <c r="E177" i="67" a="1"/>
  <c r="E177" i="67" s="1"/>
  <c r="E249" i="67" s="1"/>
  <c r="D177" i="67" a="1"/>
  <c r="D177" i="67" s="1"/>
  <c r="M176" i="67" a="1"/>
  <c r="M176" i="67" s="1"/>
  <c r="L176" i="67" a="1"/>
  <c r="L176" i="67" s="1"/>
  <c r="M248" i="67" s="1"/>
  <c r="K176" i="67" a="1"/>
  <c r="K176" i="67" s="1"/>
  <c r="J176" i="67" a="1"/>
  <c r="J176" i="67" s="1"/>
  <c r="J248" i="67" s="1"/>
  <c r="I176" i="67" a="1"/>
  <c r="I176" i="67" s="1"/>
  <c r="I248" i="67" s="1"/>
  <c r="H176" i="67" a="1"/>
  <c r="H176" i="67" s="1"/>
  <c r="H248" i="67" s="1"/>
  <c r="G176" i="67" a="1"/>
  <c r="G176" i="67" s="1"/>
  <c r="G248" i="67" s="1"/>
  <c r="F176" i="67" a="1"/>
  <c r="F176" i="67" s="1"/>
  <c r="F248" i="67" s="1"/>
  <c r="E176" i="67" a="1"/>
  <c r="E176" i="67" s="1"/>
  <c r="E248" i="67" s="1"/>
  <c r="D176" i="67" a="1"/>
  <c r="D176" i="67" s="1"/>
  <c r="M175" i="67" a="1"/>
  <c r="M175" i="67" s="1"/>
  <c r="L175" i="67" a="1"/>
  <c r="L175" i="67" s="1"/>
  <c r="M247" i="67" s="1"/>
  <c r="K175" i="67" a="1"/>
  <c r="K175" i="67" s="1"/>
  <c r="J175" i="67" a="1"/>
  <c r="J175" i="67" s="1"/>
  <c r="J247" i="67" s="1"/>
  <c r="I175" i="67" a="1"/>
  <c r="I175" i="67" s="1"/>
  <c r="I247" i="67" s="1"/>
  <c r="H175" i="67" a="1"/>
  <c r="H175" i="67" s="1"/>
  <c r="H247" i="67" s="1"/>
  <c r="G175" i="67" a="1"/>
  <c r="G175" i="67" s="1"/>
  <c r="G247" i="67" s="1"/>
  <c r="F175" i="67" a="1"/>
  <c r="F175" i="67" s="1"/>
  <c r="F247" i="67" s="1"/>
  <c r="E175" i="67" a="1"/>
  <c r="E175" i="67" s="1"/>
  <c r="E247" i="67" s="1"/>
  <c r="D175" i="67" a="1"/>
  <c r="D175" i="67" s="1"/>
  <c r="M174" i="67" a="1"/>
  <c r="M174" i="67" s="1"/>
  <c r="L174" i="67" a="1"/>
  <c r="L174" i="67" s="1"/>
  <c r="M246" i="67" s="1"/>
  <c r="K174" i="67" a="1"/>
  <c r="K174" i="67" s="1"/>
  <c r="J174" i="67" a="1"/>
  <c r="J174" i="67" s="1"/>
  <c r="J246" i="67" s="1"/>
  <c r="I174" i="67" a="1"/>
  <c r="I174" i="67" s="1"/>
  <c r="I246" i="67" s="1"/>
  <c r="H174" i="67" a="1"/>
  <c r="H174" i="67" s="1"/>
  <c r="H246" i="67" s="1"/>
  <c r="G174" i="67" a="1"/>
  <c r="G174" i="67" s="1"/>
  <c r="G246" i="67" s="1"/>
  <c r="F174" i="67" a="1"/>
  <c r="F174" i="67" s="1"/>
  <c r="F246" i="67" s="1"/>
  <c r="E174" i="67" a="1"/>
  <c r="E174" i="67" s="1"/>
  <c r="E246" i="67" s="1"/>
  <c r="D174" i="67" a="1"/>
  <c r="D174" i="67" s="1"/>
  <c r="M173" i="67" a="1"/>
  <c r="M173" i="67" s="1"/>
  <c r="L173" i="67" a="1"/>
  <c r="L173" i="67" s="1"/>
  <c r="M245" i="67" s="1"/>
  <c r="K173" i="67" a="1"/>
  <c r="K173" i="67" s="1"/>
  <c r="J173" i="67" a="1"/>
  <c r="J173" i="67" s="1"/>
  <c r="J245" i="67" s="1"/>
  <c r="I173" i="67" a="1"/>
  <c r="I173" i="67" s="1"/>
  <c r="I245" i="67" s="1"/>
  <c r="H173" i="67" a="1"/>
  <c r="H173" i="67" s="1"/>
  <c r="H245" i="67" s="1"/>
  <c r="G173" i="67" a="1"/>
  <c r="G173" i="67" s="1"/>
  <c r="G245" i="67" s="1"/>
  <c r="F173" i="67" a="1"/>
  <c r="F173" i="67" s="1"/>
  <c r="F245" i="67" s="1"/>
  <c r="E173" i="67" a="1"/>
  <c r="E173" i="67" s="1"/>
  <c r="E245" i="67" s="1"/>
  <c r="D173" i="67" a="1"/>
  <c r="D173" i="67" s="1"/>
  <c r="M172" i="67" a="1"/>
  <c r="M172" i="67" s="1"/>
  <c r="L172" i="67" a="1"/>
  <c r="L172" i="67" s="1"/>
  <c r="M244" i="67" s="1"/>
  <c r="K172" i="67" a="1"/>
  <c r="K172" i="67" s="1"/>
  <c r="J172" i="67" a="1"/>
  <c r="J172" i="67" s="1"/>
  <c r="J244" i="67" s="1"/>
  <c r="I172" i="67" a="1"/>
  <c r="I172" i="67" s="1"/>
  <c r="I244" i="67" s="1"/>
  <c r="H172" i="67" a="1"/>
  <c r="H172" i="67" s="1"/>
  <c r="H244" i="67" s="1"/>
  <c r="G172" i="67" a="1"/>
  <c r="G172" i="67" s="1"/>
  <c r="G244" i="67" s="1"/>
  <c r="F172" i="67" a="1"/>
  <c r="F172" i="67" s="1"/>
  <c r="F244" i="67" s="1"/>
  <c r="E172" i="67" a="1"/>
  <c r="E172" i="67" s="1"/>
  <c r="E244" i="67" s="1"/>
  <c r="D172" i="67" a="1"/>
  <c r="D172" i="67" s="1"/>
  <c r="M171" i="67" a="1"/>
  <c r="M171" i="67" s="1"/>
  <c r="L171" i="67" a="1"/>
  <c r="L171" i="67" s="1"/>
  <c r="M243" i="67" s="1"/>
  <c r="K171" i="67" a="1"/>
  <c r="K171" i="67" s="1"/>
  <c r="J171" i="67" a="1"/>
  <c r="J171" i="67" s="1"/>
  <c r="J243" i="67" s="1"/>
  <c r="I171" i="67" a="1"/>
  <c r="I171" i="67" s="1"/>
  <c r="I243" i="67" s="1"/>
  <c r="H171" i="67" a="1"/>
  <c r="H171" i="67" s="1"/>
  <c r="H243" i="67" s="1"/>
  <c r="G171" i="67" a="1"/>
  <c r="G171" i="67" s="1"/>
  <c r="G243" i="67" s="1"/>
  <c r="F171" i="67" a="1"/>
  <c r="F171" i="67" s="1"/>
  <c r="F243" i="67" s="1"/>
  <c r="E171" i="67" a="1"/>
  <c r="E171" i="67" s="1"/>
  <c r="E243" i="67" s="1"/>
  <c r="D171" i="67" a="1"/>
  <c r="D171" i="67" s="1"/>
  <c r="M170" i="67" a="1"/>
  <c r="M170" i="67" s="1"/>
  <c r="L170" i="67" a="1"/>
  <c r="L170" i="67" s="1"/>
  <c r="M242" i="67" s="1"/>
  <c r="K170" i="67" a="1"/>
  <c r="K170" i="67" s="1"/>
  <c r="J170" i="67" a="1"/>
  <c r="J170" i="67" s="1"/>
  <c r="J242" i="67" s="1"/>
  <c r="I170" i="67" a="1"/>
  <c r="I170" i="67" s="1"/>
  <c r="I242" i="67" s="1"/>
  <c r="H170" i="67" a="1"/>
  <c r="H170" i="67" s="1"/>
  <c r="H242" i="67" s="1"/>
  <c r="G170" i="67" a="1"/>
  <c r="G170" i="67" s="1"/>
  <c r="G242" i="67" s="1"/>
  <c r="F170" i="67" a="1"/>
  <c r="F170" i="67" s="1"/>
  <c r="F242" i="67" s="1"/>
  <c r="E170" i="67" a="1"/>
  <c r="E170" i="67" s="1"/>
  <c r="D170" i="67" a="1"/>
  <c r="D170" i="67" s="1"/>
  <c r="M169" i="67" a="1"/>
  <c r="M169" i="67" s="1"/>
  <c r="L169" i="67" a="1"/>
  <c r="L169" i="67" s="1"/>
  <c r="M241" i="67" s="1"/>
  <c r="K169" i="67" a="1"/>
  <c r="K169" i="67" s="1"/>
  <c r="J169" i="67" a="1"/>
  <c r="J169" i="67" s="1"/>
  <c r="J241" i="67" s="1"/>
  <c r="I169" i="67" a="1"/>
  <c r="I169" i="67" s="1"/>
  <c r="I241" i="67" s="1"/>
  <c r="H169" i="67" a="1"/>
  <c r="H169" i="67" s="1"/>
  <c r="H241" i="67" s="1"/>
  <c r="G169" i="67" a="1"/>
  <c r="G169" i="67" s="1"/>
  <c r="G241" i="67" s="1"/>
  <c r="F169" i="67" a="1"/>
  <c r="F169" i="67" s="1"/>
  <c r="F241" i="67" s="1"/>
  <c r="E169" i="67" a="1"/>
  <c r="E169" i="67" s="1"/>
  <c r="D169" i="67" a="1"/>
  <c r="D169" i="67" s="1"/>
  <c r="M168" i="67" a="1"/>
  <c r="M168" i="67" s="1"/>
  <c r="L168" i="67" a="1"/>
  <c r="L168" i="67" s="1"/>
  <c r="M240" i="67" s="1"/>
  <c r="K168" i="67" a="1"/>
  <c r="K168" i="67" s="1"/>
  <c r="J168" i="67" a="1"/>
  <c r="J168" i="67" s="1"/>
  <c r="J240" i="67" s="1"/>
  <c r="I168" i="67" a="1"/>
  <c r="I168" i="67" s="1"/>
  <c r="I240" i="67" s="1"/>
  <c r="H168" i="67" a="1"/>
  <c r="H168" i="67" s="1"/>
  <c r="H240" i="67" s="1"/>
  <c r="G168" i="67" a="1"/>
  <c r="G168" i="67" s="1"/>
  <c r="G240" i="67" s="1"/>
  <c r="F168" i="67" a="1"/>
  <c r="F168" i="67" s="1"/>
  <c r="F240" i="67" s="1"/>
  <c r="E168" i="67" a="1"/>
  <c r="E168" i="67" s="1"/>
  <c r="D168" i="67" a="1"/>
  <c r="D168" i="67" s="1"/>
  <c r="M167" i="67" a="1"/>
  <c r="M167" i="67" s="1"/>
  <c r="L167" i="67" a="1"/>
  <c r="L167" i="67" s="1"/>
  <c r="M239" i="67" s="1"/>
  <c r="K167" i="67" a="1"/>
  <c r="K167" i="67" s="1"/>
  <c r="J167" i="67" a="1"/>
  <c r="J167" i="67" s="1"/>
  <c r="J239" i="67" s="1"/>
  <c r="I167" i="67" a="1"/>
  <c r="I167" i="67" s="1"/>
  <c r="I239" i="67" s="1"/>
  <c r="H167" i="67" a="1"/>
  <c r="H167" i="67" s="1"/>
  <c r="H239" i="67" s="1"/>
  <c r="G167" i="67" a="1"/>
  <c r="G167" i="67" s="1"/>
  <c r="G239" i="67" s="1"/>
  <c r="F167" i="67" a="1"/>
  <c r="F167" i="67" s="1"/>
  <c r="F239" i="67" s="1"/>
  <c r="E167" i="67" a="1"/>
  <c r="E167" i="67" s="1"/>
  <c r="D167" i="67" a="1"/>
  <c r="D167" i="67" s="1"/>
  <c r="M166" i="67" a="1"/>
  <c r="M166" i="67" s="1"/>
  <c r="L166" i="67" a="1"/>
  <c r="L166" i="67" s="1"/>
  <c r="M238" i="67" s="1"/>
  <c r="K166" i="67" a="1"/>
  <c r="K166" i="67" s="1"/>
  <c r="J166" i="67" a="1"/>
  <c r="J166" i="67" s="1"/>
  <c r="J238" i="67" s="1"/>
  <c r="I166" i="67" a="1"/>
  <c r="I166" i="67" s="1"/>
  <c r="I238" i="67" s="1"/>
  <c r="H166" i="67" a="1"/>
  <c r="H166" i="67" s="1"/>
  <c r="H238" i="67" s="1"/>
  <c r="G166" i="67" a="1"/>
  <c r="G166" i="67" s="1"/>
  <c r="G238" i="67" s="1"/>
  <c r="F166" i="67" a="1"/>
  <c r="F166" i="67" s="1"/>
  <c r="F238" i="67" s="1"/>
  <c r="E166" i="67" a="1"/>
  <c r="E166" i="67" s="1"/>
  <c r="D166" i="67" a="1"/>
  <c r="D166" i="67" s="1"/>
  <c r="M165" i="67" a="1"/>
  <c r="M165" i="67" s="1"/>
  <c r="L165" i="67" a="1"/>
  <c r="L165" i="67" s="1"/>
  <c r="M237" i="67" s="1"/>
  <c r="K165" i="67" a="1"/>
  <c r="K165" i="67" s="1"/>
  <c r="J165" i="67" a="1"/>
  <c r="J165" i="67" s="1"/>
  <c r="J237" i="67" s="1"/>
  <c r="I165" i="67" a="1"/>
  <c r="I165" i="67" s="1"/>
  <c r="I237" i="67" s="1"/>
  <c r="H165" i="67" a="1"/>
  <c r="H165" i="67" s="1"/>
  <c r="H237" i="67" s="1"/>
  <c r="G165" i="67" a="1"/>
  <c r="G165" i="67" s="1"/>
  <c r="G237" i="67" s="1"/>
  <c r="F165" i="67" a="1"/>
  <c r="F165" i="67" s="1"/>
  <c r="F237" i="67" s="1"/>
  <c r="E165" i="67" a="1"/>
  <c r="E165" i="67" s="1"/>
  <c r="D165" i="67" a="1"/>
  <c r="D165" i="67" s="1"/>
  <c r="M164" i="67" a="1"/>
  <c r="M164" i="67" s="1"/>
  <c r="L164" i="67" a="1"/>
  <c r="L164" i="67" s="1"/>
  <c r="M236" i="67" s="1"/>
  <c r="K164" i="67" a="1"/>
  <c r="K164" i="67" s="1"/>
  <c r="J164" i="67" a="1"/>
  <c r="J164" i="67" s="1"/>
  <c r="J236" i="67" s="1"/>
  <c r="I164" i="67" a="1"/>
  <c r="I164" i="67" s="1"/>
  <c r="I236" i="67" s="1"/>
  <c r="H164" i="67" a="1"/>
  <c r="H164" i="67" s="1"/>
  <c r="H236" i="67" s="1"/>
  <c r="G164" i="67" a="1"/>
  <c r="G164" i="67" s="1"/>
  <c r="G236" i="67" s="1"/>
  <c r="F164" i="67" a="1"/>
  <c r="F164" i="67" s="1"/>
  <c r="F236" i="67" s="1"/>
  <c r="E164" i="67" a="1"/>
  <c r="E164" i="67" s="1"/>
  <c r="D164" i="67" a="1"/>
  <c r="D164" i="67" s="1"/>
  <c r="M163" i="67" a="1"/>
  <c r="M163" i="67" s="1"/>
  <c r="L163" i="67" a="1"/>
  <c r="L163" i="67" s="1"/>
  <c r="M235" i="67" s="1"/>
  <c r="K163" i="67" a="1"/>
  <c r="K163" i="67" s="1"/>
  <c r="J163" i="67" a="1"/>
  <c r="J163" i="67" s="1"/>
  <c r="J235" i="67" s="1"/>
  <c r="I163" i="67" a="1"/>
  <c r="I163" i="67" s="1"/>
  <c r="I235" i="67" s="1"/>
  <c r="H163" i="67" a="1"/>
  <c r="H163" i="67" s="1"/>
  <c r="H235" i="67" s="1"/>
  <c r="G163" i="67" a="1"/>
  <c r="G163" i="67" s="1"/>
  <c r="G235" i="67" s="1"/>
  <c r="F163" i="67" a="1"/>
  <c r="F163" i="67" s="1"/>
  <c r="F235" i="67" s="1"/>
  <c r="E163" i="67" a="1"/>
  <c r="E163" i="67" s="1"/>
  <c r="D163" i="67" a="1"/>
  <c r="D163" i="67" s="1"/>
  <c r="M162" i="67" a="1"/>
  <c r="M162" i="67" s="1"/>
  <c r="L162" i="67" a="1"/>
  <c r="L162" i="67" s="1"/>
  <c r="M234" i="67" s="1"/>
  <c r="K162" i="67" a="1"/>
  <c r="K162" i="67" s="1"/>
  <c r="J162" i="67" a="1"/>
  <c r="J162" i="67" s="1"/>
  <c r="J234" i="67" s="1"/>
  <c r="I162" i="67" a="1"/>
  <c r="I162" i="67" s="1"/>
  <c r="I234" i="67" s="1"/>
  <c r="H162" i="67" a="1"/>
  <c r="H162" i="67" s="1"/>
  <c r="H234" i="67" s="1"/>
  <c r="G162" i="67" a="1"/>
  <c r="G162" i="67" s="1"/>
  <c r="G234" i="67" s="1"/>
  <c r="F162" i="67" a="1"/>
  <c r="F162" i="67" s="1"/>
  <c r="F234" i="67" s="1"/>
  <c r="E162" i="67" a="1"/>
  <c r="E162" i="67" s="1"/>
  <c r="D162" i="67" a="1"/>
  <c r="D162" i="67" s="1"/>
  <c r="M161" i="67" a="1"/>
  <c r="M161" i="67" s="1"/>
  <c r="L161" i="67" a="1"/>
  <c r="L161" i="67" s="1"/>
  <c r="M233" i="67" s="1"/>
  <c r="K161" i="67" a="1"/>
  <c r="K161" i="67" s="1"/>
  <c r="J161" i="67" a="1"/>
  <c r="J161" i="67" s="1"/>
  <c r="J233" i="67" s="1"/>
  <c r="I161" i="67" a="1"/>
  <c r="I161" i="67" s="1"/>
  <c r="I233" i="67" s="1"/>
  <c r="H161" i="67" a="1"/>
  <c r="H161" i="67" s="1"/>
  <c r="H233" i="67" s="1"/>
  <c r="G161" i="67" a="1"/>
  <c r="G161" i="67" s="1"/>
  <c r="G233" i="67" s="1"/>
  <c r="F161" i="67" a="1"/>
  <c r="F161" i="67" s="1"/>
  <c r="F233" i="67" s="1"/>
  <c r="E161" i="67" a="1"/>
  <c r="E161" i="67" s="1"/>
  <c r="D161" i="67" a="1"/>
  <c r="D161" i="67" s="1"/>
  <c r="M160" i="67" a="1"/>
  <c r="M160" i="67" s="1"/>
  <c r="L160" i="67" a="1"/>
  <c r="L160" i="67" s="1"/>
  <c r="M232" i="67" s="1"/>
  <c r="K160" i="67" a="1"/>
  <c r="K160" i="67" s="1"/>
  <c r="J160" i="67" a="1"/>
  <c r="J160" i="67" s="1"/>
  <c r="J232" i="67" s="1"/>
  <c r="I160" i="67" a="1"/>
  <c r="I160" i="67" s="1"/>
  <c r="I232" i="67" s="1"/>
  <c r="H160" i="67" a="1"/>
  <c r="H160" i="67" s="1"/>
  <c r="H232" i="67" s="1"/>
  <c r="G160" i="67" a="1"/>
  <c r="G160" i="67" s="1"/>
  <c r="G232" i="67" s="1"/>
  <c r="F160" i="67" a="1"/>
  <c r="F160" i="67" s="1"/>
  <c r="F232" i="67" s="1"/>
  <c r="E160" i="67" a="1"/>
  <c r="E160" i="67" s="1"/>
  <c r="D160" i="67" a="1"/>
  <c r="D160" i="67" s="1"/>
  <c r="M159" i="67" a="1"/>
  <c r="M159" i="67" s="1"/>
  <c r="L159" i="67" a="1"/>
  <c r="L159" i="67" s="1"/>
  <c r="M231" i="67" s="1"/>
  <c r="K159" i="67" a="1"/>
  <c r="K159" i="67" s="1"/>
  <c r="J159" i="67" a="1"/>
  <c r="J159" i="67" s="1"/>
  <c r="J231" i="67" s="1"/>
  <c r="I159" i="67" a="1"/>
  <c r="I159" i="67" s="1"/>
  <c r="I231" i="67" s="1"/>
  <c r="H159" i="67" a="1"/>
  <c r="H159" i="67" s="1"/>
  <c r="H231" i="67" s="1"/>
  <c r="G159" i="67" a="1"/>
  <c r="G159" i="67" s="1"/>
  <c r="G231" i="67" s="1"/>
  <c r="F159" i="67" a="1"/>
  <c r="F159" i="67" s="1"/>
  <c r="F231" i="67" s="1"/>
  <c r="E159" i="67" a="1"/>
  <c r="E159" i="67" s="1"/>
  <c r="D159" i="67" a="1"/>
  <c r="D159" i="67" s="1"/>
  <c r="M158" i="67" a="1"/>
  <c r="M158" i="67" s="1"/>
  <c r="L158" i="67" a="1"/>
  <c r="L158" i="67" s="1"/>
  <c r="K158" i="67" a="1"/>
  <c r="K158" i="67" s="1"/>
  <c r="J158" i="67" a="1"/>
  <c r="J158" i="67" s="1"/>
  <c r="I158" i="67" a="1"/>
  <c r="I158" i="67" s="1"/>
  <c r="H158" i="67" a="1"/>
  <c r="H158" i="67" s="1"/>
  <c r="G158" i="67" a="1"/>
  <c r="G158" i="67" s="1"/>
  <c r="F158" i="67" a="1"/>
  <c r="F158" i="67" s="1"/>
  <c r="E158" i="67" a="1"/>
  <c r="E158" i="67" s="1"/>
  <c r="D158" i="67" a="1"/>
  <c r="D158" i="67" s="1"/>
  <c r="M157" i="67" a="1"/>
  <c r="M157" i="67" s="1"/>
  <c r="L157" i="67" a="1"/>
  <c r="L157" i="67" s="1"/>
  <c r="K157" i="67" a="1"/>
  <c r="K157" i="67" s="1"/>
  <c r="J157" i="67" a="1"/>
  <c r="J157" i="67" s="1"/>
  <c r="I157" i="67" a="1"/>
  <c r="I157" i="67" s="1"/>
  <c r="H157" i="67" a="1"/>
  <c r="H157" i="67" s="1"/>
  <c r="G157" i="67" a="1"/>
  <c r="G157" i="67" s="1"/>
  <c r="F157" i="67" a="1"/>
  <c r="F157" i="67" s="1"/>
  <c r="E157" i="67" a="1"/>
  <c r="E157" i="67" s="1"/>
  <c r="D157" i="67" a="1"/>
  <c r="D157" i="67" s="1"/>
  <c r="M156" i="67" a="1"/>
  <c r="M156" i="67" s="1"/>
  <c r="L156" i="67" a="1"/>
  <c r="L156" i="67" s="1"/>
  <c r="K156" i="67" a="1"/>
  <c r="K156" i="67" s="1"/>
  <c r="J156" i="67" a="1"/>
  <c r="J156" i="67" s="1"/>
  <c r="I156" i="67" a="1"/>
  <c r="I156" i="67" s="1"/>
  <c r="H156" i="67" a="1"/>
  <c r="H156" i="67" s="1"/>
  <c r="G156" i="67" a="1"/>
  <c r="G156" i="67" s="1"/>
  <c r="F156" i="67" a="1"/>
  <c r="F156" i="67" s="1"/>
  <c r="E156" i="67" a="1"/>
  <c r="E156" i="67" s="1"/>
  <c r="D156" i="67" a="1"/>
  <c r="D156" i="67" s="1"/>
  <c r="M155" i="67" a="1"/>
  <c r="M155" i="67" s="1"/>
  <c r="L155" i="67" a="1"/>
  <c r="L155" i="67" s="1"/>
  <c r="K155" i="67" a="1"/>
  <c r="K155" i="67" s="1"/>
  <c r="J155" i="67" a="1"/>
  <c r="J155" i="67" s="1"/>
  <c r="I155" i="67" a="1"/>
  <c r="I155" i="67" s="1"/>
  <c r="H155" i="67" a="1"/>
  <c r="H155" i="67" s="1"/>
  <c r="G155" i="67" a="1"/>
  <c r="G155" i="67" s="1"/>
  <c r="F155" i="67" a="1"/>
  <c r="F155" i="67" s="1"/>
  <c r="E155" i="67" a="1"/>
  <c r="E155" i="67" s="1"/>
  <c r="D155" i="67" a="1"/>
  <c r="D155" i="67" s="1"/>
  <c r="D153" i="67" a="1"/>
  <c r="D153" i="67" s="1"/>
  <c r="D152" i="67" a="1"/>
  <c r="D152" i="67" s="1"/>
  <c r="D151" i="67" a="1"/>
  <c r="D151" i="67" s="1"/>
  <c r="D150" i="67" a="1"/>
  <c r="D150" i="67" s="1"/>
  <c r="P81" i="67" a="1"/>
  <c r="P81" i="67" s="1"/>
  <c r="P145" i="67" s="1"/>
  <c r="O81" i="67" a="1"/>
  <c r="O81" i="67" s="1"/>
  <c r="O145" i="67" s="1"/>
  <c r="N81" i="67" a="1"/>
  <c r="N81" i="67" s="1"/>
  <c r="N145" i="67" s="1"/>
  <c r="M81" i="67" a="1"/>
  <c r="M81" i="67" s="1"/>
  <c r="M145" i="67" s="1"/>
  <c r="L81" i="67" a="1"/>
  <c r="L81" i="67" s="1"/>
  <c r="L145" i="67" s="1"/>
  <c r="K81" i="67" a="1"/>
  <c r="K81" i="67" s="1"/>
  <c r="K145" i="67" s="1"/>
  <c r="J81" i="67" a="1"/>
  <c r="J81" i="67" s="1"/>
  <c r="J145" i="67" s="1"/>
  <c r="I81" i="67" a="1"/>
  <c r="I81" i="67" s="1"/>
  <c r="I145" i="67" s="1"/>
  <c r="H81" i="67" a="1"/>
  <c r="H81" i="67" s="1"/>
  <c r="H145" i="67" s="1"/>
  <c r="G81" i="67" a="1"/>
  <c r="G81" i="67" s="1"/>
  <c r="G145" i="67" s="1"/>
  <c r="F81" i="67" a="1"/>
  <c r="F81" i="67" s="1"/>
  <c r="F145" i="67" s="1"/>
  <c r="F149" i="67" s="1"/>
  <c r="E81" i="67" a="1"/>
  <c r="E81" i="67" s="1"/>
  <c r="E145" i="67" s="1"/>
  <c r="D81" i="67" a="1"/>
  <c r="D81" i="67" s="1"/>
  <c r="P80" i="67" a="1"/>
  <c r="P80" i="67" s="1"/>
  <c r="P144" i="67" s="1"/>
  <c r="O80" i="67" a="1"/>
  <c r="O80" i="67" s="1"/>
  <c r="O144" i="67" s="1"/>
  <c r="N80" i="67" a="1"/>
  <c r="N80" i="67" s="1"/>
  <c r="N144" i="67" s="1"/>
  <c r="M80" i="67" a="1"/>
  <c r="M80" i="67" s="1"/>
  <c r="M144" i="67" s="1"/>
  <c r="L80" i="67" a="1"/>
  <c r="L80" i="67" s="1"/>
  <c r="L144" i="67" s="1"/>
  <c r="K80" i="67" a="1"/>
  <c r="K80" i="67" s="1"/>
  <c r="K144" i="67" s="1"/>
  <c r="J80" i="67" a="1"/>
  <c r="J80" i="67" s="1"/>
  <c r="J144" i="67" s="1"/>
  <c r="I80" i="67" a="1"/>
  <c r="I80" i="67" s="1"/>
  <c r="I144" i="67" s="1"/>
  <c r="H80" i="67" a="1"/>
  <c r="H80" i="67" s="1"/>
  <c r="H144" i="67" s="1"/>
  <c r="G80" i="67" a="1"/>
  <c r="G80" i="67" s="1"/>
  <c r="G144" i="67" s="1"/>
  <c r="F80" i="67" a="1"/>
  <c r="F80" i="67" s="1"/>
  <c r="F144" i="67" s="1"/>
  <c r="F148" i="67" s="1"/>
  <c r="E80" i="67" a="1"/>
  <c r="E80" i="67" s="1"/>
  <c r="E144" i="67" s="1"/>
  <c r="D80" i="67" a="1"/>
  <c r="D80" i="67" s="1"/>
  <c r="P79" i="67" a="1"/>
  <c r="P79" i="67" s="1"/>
  <c r="P143" i="67" s="1"/>
  <c r="O79" i="67" a="1"/>
  <c r="O79" i="67" s="1"/>
  <c r="O143" i="67" s="1"/>
  <c r="N79" i="67" a="1"/>
  <c r="N79" i="67" s="1"/>
  <c r="N143" i="67" s="1"/>
  <c r="M79" i="67" a="1"/>
  <c r="M79" i="67" s="1"/>
  <c r="M143" i="67" s="1"/>
  <c r="L79" i="67" a="1"/>
  <c r="L79" i="67" s="1"/>
  <c r="L143" i="67" s="1"/>
  <c r="K79" i="67" a="1"/>
  <c r="K79" i="67" s="1"/>
  <c r="K143" i="67" s="1"/>
  <c r="J79" i="67" a="1"/>
  <c r="J79" i="67" s="1"/>
  <c r="J143" i="67" s="1"/>
  <c r="I79" i="67" a="1"/>
  <c r="I79" i="67" s="1"/>
  <c r="I143" i="67" s="1"/>
  <c r="H79" i="67" a="1"/>
  <c r="H79" i="67" s="1"/>
  <c r="H143" i="67" s="1"/>
  <c r="G79" i="67" a="1"/>
  <c r="G79" i="67" s="1"/>
  <c r="G143" i="67" s="1"/>
  <c r="F79" i="67" a="1"/>
  <c r="F79" i="67" s="1"/>
  <c r="F143" i="67" s="1"/>
  <c r="F147" i="67" s="1"/>
  <c r="E79" i="67" a="1"/>
  <c r="E79" i="67" s="1"/>
  <c r="E143" i="67" s="1"/>
  <c r="D79" i="67" a="1"/>
  <c r="D79" i="67" s="1"/>
  <c r="P78" i="67" a="1"/>
  <c r="P78" i="67" s="1"/>
  <c r="P142" i="67" s="1"/>
  <c r="O78" i="67" a="1"/>
  <c r="O78" i="67" s="1"/>
  <c r="O142" i="67" s="1"/>
  <c r="N78" i="67" a="1"/>
  <c r="N78" i="67" s="1"/>
  <c r="N142" i="67" s="1"/>
  <c r="M78" i="67" a="1"/>
  <c r="M78" i="67" s="1"/>
  <c r="M142" i="67" s="1"/>
  <c r="L78" i="67" a="1"/>
  <c r="L78" i="67" s="1"/>
  <c r="L142" i="67" s="1"/>
  <c r="K78" i="67" a="1"/>
  <c r="K78" i="67" s="1"/>
  <c r="K142" i="67" s="1"/>
  <c r="J78" i="67" a="1"/>
  <c r="J78" i="67" s="1"/>
  <c r="J142" i="67" s="1"/>
  <c r="I78" i="67" a="1"/>
  <c r="I78" i="67" s="1"/>
  <c r="I142" i="67" s="1"/>
  <c r="H78" i="67" a="1"/>
  <c r="H78" i="67" s="1"/>
  <c r="H142" i="67" s="1"/>
  <c r="G78" i="67" a="1"/>
  <c r="G78" i="67" s="1"/>
  <c r="G142" i="67" s="1"/>
  <c r="F78" i="67" a="1"/>
  <c r="F78" i="67" s="1"/>
  <c r="F142" i="67" s="1"/>
  <c r="F146" i="67" s="1"/>
  <c r="E78" i="67" a="1"/>
  <c r="E78" i="67" s="1"/>
  <c r="E142" i="67" s="1"/>
  <c r="D78" i="67" a="1"/>
  <c r="D78" i="67" s="1"/>
  <c r="P77" i="67" a="1"/>
  <c r="P77" i="67" s="1"/>
  <c r="P141" i="67" s="1"/>
  <c r="O77" i="67" a="1"/>
  <c r="O77" i="67" s="1"/>
  <c r="O141" i="67" s="1"/>
  <c r="N77" i="67" a="1"/>
  <c r="N77" i="67" s="1"/>
  <c r="N141" i="67" s="1"/>
  <c r="M77" i="67" a="1"/>
  <c r="M77" i="67" s="1"/>
  <c r="M141" i="67" s="1"/>
  <c r="L77" i="67" a="1"/>
  <c r="L77" i="67" s="1"/>
  <c r="L141" i="67" s="1"/>
  <c r="K77" i="67" a="1"/>
  <c r="K77" i="67" s="1"/>
  <c r="K141" i="67" s="1"/>
  <c r="J77" i="67" a="1"/>
  <c r="J77" i="67" s="1"/>
  <c r="J141" i="67" s="1"/>
  <c r="I77" i="67" a="1"/>
  <c r="I77" i="67" s="1"/>
  <c r="I141" i="67" s="1"/>
  <c r="H77" i="67" a="1"/>
  <c r="H77" i="67" s="1"/>
  <c r="H141" i="67" s="1"/>
  <c r="G77" i="67" a="1"/>
  <c r="G77" i="67" s="1"/>
  <c r="G141" i="67" s="1"/>
  <c r="F77" i="67" a="1"/>
  <c r="F77" i="67" s="1"/>
  <c r="F141" i="67" s="1"/>
  <c r="E77" i="67" a="1"/>
  <c r="E77" i="67" s="1"/>
  <c r="E141" i="67" s="1"/>
  <c r="D77" i="67" a="1"/>
  <c r="D77" i="67" s="1"/>
  <c r="P76" i="67" a="1"/>
  <c r="P76" i="67" s="1"/>
  <c r="P140" i="67" s="1"/>
  <c r="O76" i="67" a="1"/>
  <c r="O76" i="67" s="1"/>
  <c r="O140" i="67" s="1"/>
  <c r="N76" i="67" a="1"/>
  <c r="N76" i="67" s="1"/>
  <c r="N140" i="67" s="1"/>
  <c r="M76" i="67" a="1"/>
  <c r="M76" i="67" s="1"/>
  <c r="M140" i="67" s="1"/>
  <c r="L76" i="67" a="1"/>
  <c r="L76" i="67" s="1"/>
  <c r="L140" i="67" s="1"/>
  <c r="K76" i="67" a="1"/>
  <c r="K76" i="67" s="1"/>
  <c r="K140" i="67" s="1"/>
  <c r="J76" i="67" a="1"/>
  <c r="J76" i="67" s="1"/>
  <c r="J140" i="67" s="1"/>
  <c r="I76" i="67" a="1"/>
  <c r="I76" i="67" s="1"/>
  <c r="I140" i="67" s="1"/>
  <c r="H76" i="67" a="1"/>
  <c r="H76" i="67" s="1"/>
  <c r="H140" i="67" s="1"/>
  <c r="G76" i="67" a="1"/>
  <c r="G76" i="67" s="1"/>
  <c r="G140" i="67" s="1"/>
  <c r="F76" i="67" a="1"/>
  <c r="F76" i="67" s="1"/>
  <c r="F140" i="67" s="1"/>
  <c r="E76" i="67" a="1"/>
  <c r="E76" i="67" s="1"/>
  <c r="E140" i="67" s="1"/>
  <c r="D76" i="67" a="1"/>
  <c r="D76" i="67" s="1"/>
  <c r="P75" i="67" a="1"/>
  <c r="P75" i="67" s="1"/>
  <c r="P139" i="67" s="1"/>
  <c r="O75" i="67" a="1"/>
  <c r="O75" i="67" s="1"/>
  <c r="O139" i="67" s="1"/>
  <c r="N75" i="67" a="1"/>
  <c r="N75" i="67" s="1"/>
  <c r="N139" i="67" s="1"/>
  <c r="M75" i="67" a="1"/>
  <c r="M75" i="67" s="1"/>
  <c r="M139" i="67" s="1"/>
  <c r="L75" i="67" a="1"/>
  <c r="L75" i="67" s="1"/>
  <c r="L139" i="67" s="1"/>
  <c r="K75" i="67" a="1"/>
  <c r="K75" i="67" s="1"/>
  <c r="K139" i="67" s="1"/>
  <c r="J75" i="67" a="1"/>
  <c r="J75" i="67" s="1"/>
  <c r="J139" i="67" s="1"/>
  <c r="I75" i="67" a="1"/>
  <c r="I75" i="67" s="1"/>
  <c r="I139" i="67" s="1"/>
  <c r="H75" i="67" a="1"/>
  <c r="H75" i="67" s="1"/>
  <c r="H139" i="67" s="1"/>
  <c r="G75" i="67" a="1"/>
  <c r="G75" i="67" s="1"/>
  <c r="G139" i="67" s="1"/>
  <c r="F75" i="67" a="1"/>
  <c r="F75" i="67" s="1"/>
  <c r="F139" i="67" s="1"/>
  <c r="E75" i="67" a="1"/>
  <c r="E75" i="67" s="1"/>
  <c r="E139" i="67" s="1"/>
  <c r="D75" i="67" a="1"/>
  <c r="D75" i="67" s="1"/>
  <c r="P74" i="67" a="1"/>
  <c r="P74" i="67" s="1"/>
  <c r="P138" i="67" s="1"/>
  <c r="O74" i="67" a="1"/>
  <c r="O74" i="67" s="1"/>
  <c r="O138" i="67" s="1"/>
  <c r="N74" i="67" a="1"/>
  <c r="N74" i="67" s="1"/>
  <c r="N138" i="67" s="1"/>
  <c r="M74" i="67" a="1"/>
  <c r="M74" i="67" s="1"/>
  <c r="M138" i="67" s="1"/>
  <c r="L74" i="67" a="1"/>
  <c r="L74" i="67" s="1"/>
  <c r="L138" i="67" s="1"/>
  <c r="K74" i="67" a="1"/>
  <c r="K74" i="67" s="1"/>
  <c r="K138" i="67" s="1"/>
  <c r="J74" i="67" a="1"/>
  <c r="J74" i="67" s="1"/>
  <c r="J138" i="67" s="1"/>
  <c r="I74" i="67" a="1"/>
  <c r="I74" i="67" s="1"/>
  <c r="I138" i="67" s="1"/>
  <c r="H74" i="67" a="1"/>
  <c r="H74" i="67" s="1"/>
  <c r="H138" i="67" s="1"/>
  <c r="G74" i="67" a="1"/>
  <c r="G74" i="67" s="1"/>
  <c r="G138" i="67" s="1"/>
  <c r="F74" i="67" a="1"/>
  <c r="F74" i="67" s="1"/>
  <c r="F138" i="67" s="1"/>
  <c r="E74" i="67" a="1"/>
  <c r="E74" i="67" s="1"/>
  <c r="E138" i="67" s="1"/>
  <c r="D74" i="67" a="1"/>
  <c r="D74" i="67" s="1"/>
  <c r="P73" i="67" a="1"/>
  <c r="P73" i="67" s="1"/>
  <c r="P137" i="67" s="1"/>
  <c r="O73" i="67" a="1"/>
  <c r="O73" i="67" s="1"/>
  <c r="O137" i="67" s="1"/>
  <c r="N73" i="67" a="1"/>
  <c r="N73" i="67" s="1"/>
  <c r="N137" i="67" s="1"/>
  <c r="M73" i="67" a="1"/>
  <c r="M73" i="67" s="1"/>
  <c r="M137" i="67" s="1"/>
  <c r="L73" i="67" a="1"/>
  <c r="L73" i="67" s="1"/>
  <c r="L137" i="67" s="1"/>
  <c r="K73" i="67" a="1"/>
  <c r="K73" i="67" s="1"/>
  <c r="K137" i="67" s="1"/>
  <c r="J73" i="67" a="1"/>
  <c r="J73" i="67" s="1"/>
  <c r="J137" i="67" s="1"/>
  <c r="I73" i="67" a="1"/>
  <c r="I73" i="67" s="1"/>
  <c r="I137" i="67" s="1"/>
  <c r="H73" i="67" a="1"/>
  <c r="H73" i="67" s="1"/>
  <c r="H137" i="67" s="1"/>
  <c r="G73" i="67" a="1"/>
  <c r="G73" i="67" s="1"/>
  <c r="G137" i="67" s="1"/>
  <c r="F73" i="67" a="1"/>
  <c r="F73" i="67" s="1"/>
  <c r="F137" i="67" s="1"/>
  <c r="E73" i="67" a="1"/>
  <c r="E73" i="67" s="1"/>
  <c r="E137" i="67" s="1"/>
  <c r="D73" i="67" a="1"/>
  <c r="D73" i="67" s="1"/>
  <c r="P72" i="67" a="1"/>
  <c r="P72" i="67" s="1"/>
  <c r="P136" i="67" s="1"/>
  <c r="O72" i="67" a="1"/>
  <c r="O72" i="67" s="1"/>
  <c r="O136" i="67" s="1"/>
  <c r="N72" i="67" a="1"/>
  <c r="N72" i="67" s="1"/>
  <c r="N136" i="67" s="1"/>
  <c r="M72" i="67" a="1"/>
  <c r="M72" i="67" s="1"/>
  <c r="M136" i="67" s="1"/>
  <c r="L72" i="67" a="1"/>
  <c r="L72" i="67" s="1"/>
  <c r="L136" i="67" s="1"/>
  <c r="K72" i="67" a="1"/>
  <c r="K72" i="67" s="1"/>
  <c r="K136" i="67" s="1"/>
  <c r="J72" i="67" a="1"/>
  <c r="J72" i="67" s="1"/>
  <c r="J136" i="67" s="1"/>
  <c r="I72" i="67" a="1"/>
  <c r="I72" i="67" s="1"/>
  <c r="I136" i="67" s="1"/>
  <c r="H72" i="67" a="1"/>
  <c r="H72" i="67" s="1"/>
  <c r="H136" i="67" s="1"/>
  <c r="G72" i="67" a="1"/>
  <c r="G72" i="67" s="1"/>
  <c r="G136" i="67" s="1"/>
  <c r="F72" i="67" a="1"/>
  <c r="F72" i="67" s="1"/>
  <c r="F136" i="67" s="1"/>
  <c r="E72" i="67" a="1"/>
  <c r="E72" i="67" s="1"/>
  <c r="E136" i="67" s="1"/>
  <c r="D72" i="67" a="1"/>
  <c r="D72" i="67" s="1"/>
  <c r="P71" i="67" a="1"/>
  <c r="P71" i="67" s="1"/>
  <c r="P135" i="67" s="1"/>
  <c r="O71" i="67" a="1"/>
  <c r="O71" i="67" s="1"/>
  <c r="O135" i="67" s="1"/>
  <c r="N71" i="67" a="1"/>
  <c r="N71" i="67" s="1"/>
  <c r="N135" i="67" s="1"/>
  <c r="M71" i="67" a="1"/>
  <c r="M71" i="67" s="1"/>
  <c r="M135" i="67" s="1"/>
  <c r="L71" i="67" a="1"/>
  <c r="L71" i="67" s="1"/>
  <c r="L135" i="67" s="1"/>
  <c r="K71" i="67" a="1"/>
  <c r="K71" i="67" s="1"/>
  <c r="K135" i="67" s="1"/>
  <c r="J71" i="67" a="1"/>
  <c r="J71" i="67" s="1"/>
  <c r="J135" i="67" s="1"/>
  <c r="I71" i="67" a="1"/>
  <c r="I71" i="67" s="1"/>
  <c r="I135" i="67" s="1"/>
  <c r="H71" i="67" a="1"/>
  <c r="H71" i="67" s="1"/>
  <c r="H135" i="67" s="1"/>
  <c r="G71" i="67" a="1"/>
  <c r="G71" i="67" s="1"/>
  <c r="G135" i="67" s="1"/>
  <c r="F71" i="67" a="1"/>
  <c r="F71" i="67" s="1"/>
  <c r="F135" i="67" s="1"/>
  <c r="E71" i="67" a="1"/>
  <c r="E71" i="67" s="1"/>
  <c r="E135" i="67" s="1"/>
  <c r="D71" i="67" a="1"/>
  <c r="D71" i="67" s="1"/>
  <c r="P70" i="67" a="1"/>
  <c r="P70" i="67" s="1"/>
  <c r="P134" i="67" s="1"/>
  <c r="O70" i="67" a="1"/>
  <c r="O70" i="67" s="1"/>
  <c r="O134" i="67" s="1"/>
  <c r="N70" i="67" a="1"/>
  <c r="N70" i="67" s="1"/>
  <c r="N134" i="67" s="1"/>
  <c r="M70" i="67" a="1"/>
  <c r="M70" i="67" s="1"/>
  <c r="M134" i="67" s="1"/>
  <c r="L70" i="67" a="1"/>
  <c r="L70" i="67" s="1"/>
  <c r="L134" i="67" s="1"/>
  <c r="K70" i="67" a="1"/>
  <c r="K70" i="67" s="1"/>
  <c r="K134" i="67" s="1"/>
  <c r="J70" i="67" a="1"/>
  <c r="J70" i="67" s="1"/>
  <c r="J134" i="67" s="1"/>
  <c r="I70" i="67" a="1"/>
  <c r="I70" i="67" s="1"/>
  <c r="I134" i="67" s="1"/>
  <c r="H70" i="67" a="1"/>
  <c r="H70" i="67" s="1"/>
  <c r="H134" i="67" s="1"/>
  <c r="G70" i="67" a="1"/>
  <c r="G70" i="67" s="1"/>
  <c r="G134" i="67" s="1"/>
  <c r="F70" i="67" a="1"/>
  <c r="F70" i="67" s="1"/>
  <c r="F134" i="67" s="1"/>
  <c r="E70" i="67" a="1"/>
  <c r="E70" i="67" s="1"/>
  <c r="E134" i="67" s="1"/>
  <c r="D70" i="67" a="1"/>
  <c r="D70" i="67" s="1"/>
  <c r="P69" i="67" a="1"/>
  <c r="P69" i="67" s="1"/>
  <c r="P133" i="67" s="1"/>
  <c r="O69" i="67" a="1"/>
  <c r="O69" i="67" s="1"/>
  <c r="O133" i="67" s="1"/>
  <c r="N69" i="67" a="1"/>
  <c r="N69" i="67" s="1"/>
  <c r="N133" i="67" s="1"/>
  <c r="M69" i="67" a="1"/>
  <c r="M69" i="67" s="1"/>
  <c r="M133" i="67" s="1"/>
  <c r="L69" i="67" a="1"/>
  <c r="L69" i="67" s="1"/>
  <c r="L133" i="67" s="1"/>
  <c r="K69" i="67" a="1"/>
  <c r="K69" i="67" s="1"/>
  <c r="K133" i="67" s="1"/>
  <c r="J69" i="67" a="1"/>
  <c r="J69" i="67" s="1"/>
  <c r="J133" i="67" s="1"/>
  <c r="I69" i="67" a="1"/>
  <c r="I69" i="67" s="1"/>
  <c r="I133" i="67" s="1"/>
  <c r="H69" i="67" a="1"/>
  <c r="H69" i="67" s="1"/>
  <c r="H133" i="67" s="1"/>
  <c r="G69" i="67" a="1"/>
  <c r="G69" i="67" s="1"/>
  <c r="G133" i="67" s="1"/>
  <c r="F69" i="67" a="1"/>
  <c r="F69" i="67" s="1"/>
  <c r="F133" i="67" s="1"/>
  <c r="E69" i="67" a="1"/>
  <c r="E69" i="67" s="1"/>
  <c r="E133" i="67" s="1"/>
  <c r="D69" i="67" a="1"/>
  <c r="D69" i="67" s="1"/>
  <c r="P68" i="67" a="1"/>
  <c r="P68" i="67" s="1"/>
  <c r="P132" i="67" s="1"/>
  <c r="O68" i="67" a="1"/>
  <c r="O68" i="67" s="1"/>
  <c r="O132" i="67" s="1"/>
  <c r="N68" i="67" a="1"/>
  <c r="N68" i="67" s="1"/>
  <c r="N132" i="67" s="1"/>
  <c r="M68" i="67" a="1"/>
  <c r="M68" i="67" s="1"/>
  <c r="M132" i="67" s="1"/>
  <c r="L68" i="67" a="1"/>
  <c r="L68" i="67" s="1"/>
  <c r="L132" i="67" s="1"/>
  <c r="K68" i="67" a="1"/>
  <c r="K68" i="67" s="1"/>
  <c r="K132" i="67" s="1"/>
  <c r="J68" i="67" a="1"/>
  <c r="J68" i="67" s="1"/>
  <c r="J132" i="67" s="1"/>
  <c r="I68" i="67" a="1"/>
  <c r="I68" i="67" s="1"/>
  <c r="I132" i="67" s="1"/>
  <c r="H68" i="67" a="1"/>
  <c r="H68" i="67" s="1"/>
  <c r="H132" i="67" s="1"/>
  <c r="G68" i="67" a="1"/>
  <c r="G68" i="67" s="1"/>
  <c r="G132" i="67" s="1"/>
  <c r="F68" i="67" a="1"/>
  <c r="F68" i="67" s="1"/>
  <c r="F132" i="67" s="1"/>
  <c r="E68" i="67" a="1"/>
  <c r="E68" i="67" s="1"/>
  <c r="E132" i="67" s="1"/>
  <c r="D68" i="67" a="1"/>
  <c r="D68" i="67" s="1"/>
  <c r="P67" i="67" a="1"/>
  <c r="P67" i="67" s="1"/>
  <c r="P131" i="67" s="1"/>
  <c r="O67" i="67" a="1"/>
  <c r="O67" i="67" s="1"/>
  <c r="O131" i="67" s="1"/>
  <c r="N67" i="67" a="1"/>
  <c r="N67" i="67" s="1"/>
  <c r="N131" i="67" s="1"/>
  <c r="M67" i="67" a="1"/>
  <c r="M67" i="67" s="1"/>
  <c r="M131" i="67" s="1"/>
  <c r="L67" i="67" a="1"/>
  <c r="L67" i="67" s="1"/>
  <c r="L131" i="67" s="1"/>
  <c r="K67" i="67" a="1"/>
  <c r="K67" i="67" s="1"/>
  <c r="K131" i="67" s="1"/>
  <c r="J67" i="67" a="1"/>
  <c r="J67" i="67" s="1"/>
  <c r="J131" i="67" s="1"/>
  <c r="I67" i="67" a="1"/>
  <c r="I67" i="67" s="1"/>
  <c r="I131" i="67" s="1"/>
  <c r="H67" i="67" a="1"/>
  <c r="H67" i="67" s="1"/>
  <c r="H131" i="67" s="1"/>
  <c r="G67" i="67" a="1"/>
  <c r="G67" i="67" s="1"/>
  <c r="G131" i="67" s="1"/>
  <c r="F67" i="67" a="1"/>
  <c r="F67" i="67" s="1"/>
  <c r="F131" i="67" s="1"/>
  <c r="E67" i="67" a="1"/>
  <c r="E67" i="67" s="1"/>
  <c r="E131" i="67" s="1"/>
  <c r="D67" i="67" a="1"/>
  <c r="D67" i="67" s="1"/>
  <c r="P66" i="67" a="1"/>
  <c r="P66" i="67" s="1"/>
  <c r="P130" i="67" s="1"/>
  <c r="O66" i="67" a="1"/>
  <c r="O66" i="67" s="1"/>
  <c r="O130" i="67" s="1"/>
  <c r="N66" i="67" a="1"/>
  <c r="N66" i="67" s="1"/>
  <c r="N130" i="67" s="1"/>
  <c r="M66" i="67" a="1"/>
  <c r="M66" i="67" s="1"/>
  <c r="M130" i="67" s="1"/>
  <c r="L66" i="67" a="1"/>
  <c r="L66" i="67" s="1"/>
  <c r="L130" i="67" s="1"/>
  <c r="K66" i="67" a="1"/>
  <c r="K66" i="67" s="1"/>
  <c r="K130" i="67" s="1"/>
  <c r="J66" i="67" a="1"/>
  <c r="J66" i="67" s="1"/>
  <c r="J130" i="67" s="1"/>
  <c r="I66" i="67" a="1"/>
  <c r="I66" i="67" s="1"/>
  <c r="I130" i="67" s="1"/>
  <c r="H66" i="67" a="1"/>
  <c r="H66" i="67" s="1"/>
  <c r="H130" i="67" s="1"/>
  <c r="G66" i="67" a="1"/>
  <c r="G66" i="67" s="1"/>
  <c r="G130" i="67" s="1"/>
  <c r="F66" i="67" a="1"/>
  <c r="F66" i="67" s="1"/>
  <c r="F130" i="67" s="1"/>
  <c r="E66" i="67" a="1"/>
  <c r="E66" i="67" s="1"/>
  <c r="E130" i="67" s="1"/>
  <c r="D66" i="67" a="1"/>
  <c r="D66" i="67" s="1"/>
  <c r="P65" i="67" a="1"/>
  <c r="P65" i="67" s="1"/>
  <c r="P129" i="67" s="1"/>
  <c r="O65" i="67" a="1"/>
  <c r="O65" i="67" s="1"/>
  <c r="O129" i="67" s="1"/>
  <c r="N65" i="67" a="1"/>
  <c r="N65" i="67" s="1"/>
  <c r="N129" i="67" s="1"/>
  <c r="M65" i="67" a="1"/>
  <c r="M65" i="67" s="1"/>
  <c r="M129" i="67" s="1"/>
  <c r="L65" i="67" a="1"/>
  <c r="L65" i="67" s="1"/>
  <c r="L129" i="67" s="1"/>
  <c r="K65" i="67" a="1"/>
  <c r="K65" i="67" s="1"/>
  <c r="K129" i="67" s="1"/>
  <c r="J65" i="67" a="1"/>
  <c r="J65" i="67" s="1"/>
  <c r="J129" i="67" s="1"/>
  <c r="I65" i="67" a="1"/>
  <c r="I65" i="67" s="1"/>
  <c r="I129" i="67" s="1"/>
  <c r="H65" i="67" a="1"/>
  <c r="H65" i="67" s="1"/>
  <c r="H129" i="67" s="1"/>
  <c r="G65" i="67" a="1"/>
  <c r="G65" i="67" s="1"/>
  <c r="G129" i="67" s="1"/>
  <c r="F65" i="67" a="1"/>
  <c r="F65" i="67" s="1"/>
  <c r="F129" i="67" s="1"/>
  <c r="E65" i="67" a="1"/>
  <c r="E65" i="67" s="1"/>
  <c r="E129" i="67" s="1"/>
  <c r="D65" i="67" a="1"/>
  <c r="D65" i="67" s="1"/>
  <c r="P64" i="67" a="1"/>
  <c r="P64" i="67" s="1"/>
  <c r="P128" i="67" s="1"/>
  <c r="O64" i="67" a="1"/>
  <c r="O64" i="67" s="1"/>
  <c r="O128" i="67" s="1"/>
  <c r="N64" i="67" a="1"/>
  <c r="N64" i="67" s="1"/>
  <c r="N128" i="67" s="1"/>
  <c r="M64" i="67" a="1"/>
  <c r="M64" i="67" s="1"/>
  <c r="M128" i="67" s="1"/>
  <c r="L64" i="67" a="1"/>
  <c r="L64" i="67" s="1"/>
  <c r="L128" i="67" s="1"/>
  <c r="K64" i="67" a="1"/>
  <c r="K64" i="67" s="1"/>
  <c r="K128" i="67" s="1"/>
  <c r="J64" i="67" a="1"/>
  <c r="J64" i="67" s="1"/>
  <c r="J128" i="67" s="1"/>
  <c r="I64" i="67" a="1"/>
  <c r="I64" i="67" s="1"/>
  <c r="I128" i="67" s="1"/>
  <c r="H64" i="67" a="1"/>
  <c r="H64" i="67" s="1"/>
  <c r="H128" i="67" s="1"/>
  <c r="G64" i="67" a="1"/>
  <c r="G64" i="67" s="1"/>
  <c r="G128" i="67" s="1"/>
  <c r="F64" i="67" a="1"/>
  <c r="F64" i="67" s="1"/>
  <c r="F128" i="67" s="1"/>
  <c r="E64" i="67" a="1"/>
  <c r="E64" i="67" s="1"/>
  <c r="E128" i="67" s="1"/>
  <c r="D64" i="67" a="1"/>
  <c r="D64" i="67" s="1"/>
  <c r="P63" i="67" a="1"/>
  <c r="P63" i="67" s="1"/>
  <c r="P127" i="67" s="1"/>
  <c r="O63" i="67" a="1"/>
  <c r="O63" i="67" s="1"/>
  <c r="O127" i="67" s="1"/>
  <c r="N63" i="67" a="1"/>
  <c r="N63" i="67" s="1"/>
  <c r="N127" i="67" s="1"/>
  <c r="M63" i="67" a="1"/>
  <c r="M63" i="67" s="1"/>
  <c r="M127" i="67" s="1"/>
  <c r="L63" i="67" a="1"/>
  <c r="L63" i="67" s="1"/>
  <c r="L127" i="67" s="1"/>
  <c r="K63" i="67" a="1"/>
  <c r="K63" i="67" s="1"/>
  <c r="K127" i="67" s="1"/>
  <c r="J63" i="67" a="1"/>
  <c r="J63" i="67" s="1"/>
  <c r="J127" i="67" s="1"/>
  <c r="I63" i="67" a="1"/>
  <c r="I63" i="67" s="1"/>
  <c r="I127" i="67" s="1"/>
  <c r="H63" i="67" a="1"/>
  <c r="H63" i="67" s="1"/>
  <c r="H127" i="67" s="1"/>
  <c r="G63" i="67" a="1"/>
  <c r="G63" i="67" s="1"/>
  <c r="G127" i="67" s="1"/>
  <c r="F63" i="67" a="1"/>
  <c r="F63" i="67" s="1"/>
  <c r="F127" i="67" s="1"/>
  <c r="E63" i="67" a="1"/>
  <c r="E63" i="67" s="1"/>
  <c r="E127" i="67" s="1"/>
  <c r="D63" i="67" a="1"/>
  <c r="D63" i="67" s="1"/>
  <c r="P62" i="67" a="1"/>
  <c r="P62" i="67" s="1"/>
  <c r="P126" i="67" s="1"/>
  <c r="O62" i="67" a="1"/>
  <c r="O62" i="67" s="1"/>
  <c r="O126" i="67" s="1"/>
  <c r="N62" i="67" a="1"/>
  <c r="N62" i="67" s="1"/>
  <c r="N126" i="67" s="1"/>
  <c r="M62" i="67" a="1"/>
  <c r="M62" i="67" s="1"/>
  <c r="M126" i="67" s="1"/>
  <c r="L62" i="67" a="1"/>
  <c r="L62" i="67" s="1"/>
  <c r="L126" i="67" s="1"/>
  <c r="K62" i="67" a="1"/>
  <c r="K62" i="67" s="1"/>
  <c r="K126" i="67" s="1"/>
  <c r="J62" i="67" a="1"/>
  <c r="J62" i="67" s="1"/>
  <c r="J126" i="67" s="1"/>
  <c r="I62" i="67" a="1"/>
  <c r="I62" i="67" s="1"/>
  <c r="I126" i="67" s="1"/>
  <c r="H62" i="67" a="1"/>
  <c r="H62" i="67" s="1"/>
  <c r="H126" i="67" s="1"/>
  <c r="G62" i="67" a="1"/>
  <c r="G62" i="67" s="1"/>
  <c r="G126" i="67" s="1"/>
  <c r="F62" i="67" a="1"/>
  <c r="F62" i="67" s="1"/>
  <c r="F126" i="67" s="1"/>
  <c r="E62" i="67" a="1"/>
  <c r="E62" i="67" s="1"/>
  <c r="E126" i="67" s="1"/>
  <c r="D62" i="67" a="1"/>
  <c r="D62" i="67" s="1"/>
  <c r="P61" i="67" a="1"/>
  <c r="P61" i="67" s="1"/>
  <c r="P125" i="67" s="1"/>
  <c r="O61" i="67" a="1"/>
  <c r="O61" i="67" s="1"/>
  <c r="O125" i="67" s="1"/>
  <c r="N61" i="67" a="1"/>
  <c r="N61" i="67" s="1"/>
  <c r="N125" i="67" s="1"/>
  <c r="M61" i="67" a="1"/>
  <c r="M61" i="67" s="1"/>
  <c r="M125" i="67" s="1"/>
  <c r="L61" i="67" a="1"/>
  <c r="L61" i="67" s="1"/>
  <c r="L125" i="67" s="1"/>
  <c r="K61" i="67" a="1"/>
  <c r="K61" i="67" s="1"/>
  <c r="K125" i="67" s="1"/>
  <c r="J61" i="67" a="1"/>
  <c r="J61" i="67" s="1"/>
  <c r="J125" i="67" s="1"/>
  <c r="I61" i="67" a="1"/>
  <c r="I61" i="67" s="1"/>
  <c r="I125" i="67" s="1"/>
  <c r="H61" i="67" a="1"/>
  <c r="H61" i="67" s="1"/>
  <c r="H125" i="67" s="1"/>
  <c r="G61" i="67" a="1"/>
  <c r="G61" i="67" s="1"/>
  <c r="G125" i="67" s="1"/>
  <c r="F61" i="67" a="1"/>
  <c r="F61" i="67" s="1"/>
  <c r="F125" i="67" s="1"/>
  <c r="E61" i="67" a="1"/>
  <c r="E61" i="67" s="1"/>
  <c r="E125" i="67" s="1"/>
  <c r="D61" i="67" a="1"/>
  <c r="D61" i="67" s="1"/>
  <c r="P60" i="67" a="1"/>
  <c r="P60" i="67" s="1"/>
  <c r="P124" i="67" s="1"/>
  <c r="O60" i="67" a="1"/>
  <c r="O60" i="67" s="1"/>
  <c r="O124" i="67" s="1"/>
  <c r="N60" i="67" a="1"/>
  <c r="N60" i="67" s="1"/>
  <c r="N124" i="67" s="1"/>
  <c r="M60" i="67" a="1"/>
  <c r="M60" i="67" s="1"/>
  <c r="M124" i="67" s="1"/>
  <c r="L60" i="67" a="1"/>
  <c r="L60" i="67" s="1"/>
  <c r="L124" i="67" s="1"/>
  <c r="K60" i="67" a="1"/>
  <c r="K60" i="67" s="1"/>
  <c r="K124" i="67" s="1"/>
  <c r="J60" i="67" a="1"/>
  <c r="J60" i="67" s="1"/>
  <c r="J124" i="67" s="1"/>
  <c r="I60" i="67" a="1"/>
  <c r="I60" i="67" s="1"/>
  <c r="I124" i="67" s="1"/>
  <c r="H60" i="67" a="1"/>
  <c r="H60" i="67" s="1"/>
  <c r="H124" i="67" s="1"/>
  <c r="G60" i="67" a="1"/>
  <c r="G60" i="67" s="1"/>
  <c r="G124" i="67" s="1"/>
  <c r="F60" i="67" a="1"/>
  <c r="F60" i="67" s="1"/>
  <c r="F124" i="67" s="1"/>
  <c r="E60" i="67" a="1"/>
  <c r="E60" i="67" s="1"/>
  <c r="E124" i="67" s="1"/>
  <c r="D60" i="67" a="1"/>
  <c r="D60" i="67" s="1"/>
  <c r="P59" i="67" a="1"/>
  <c r="P59" i="67" s="1"/>
  <c r="P123" i="67" s="1"/>
  <c r="O59" i="67" a="1"/>
  <c r="O59" i="67" s="1"/>
  <c r="O123" i="67" s="1"/>
  <c r="N59" i="67" a="1"/>
  <c r="N59" i="67" s="1"/>
  <c r="N123" i="67" s="1"/>
  <c r="M59" i="67" a="1"/>
  <c r="M59" i="67" s="1"/>
  <c r="M123" i="67" s="1"/>
  <c r="L59" i="67" a="1"/>
  <c r="L59" i="67" s="1"/>
  <c r="L123" i="67" s="1"/>
  <c r="K59" i="67" a="1"/>
  <c r="K59" i="67" s="1"/>
  <c r="K123" i="67" s="1"/>
  <c r="J59" i="67" a="1"/>
  <c r="J59" i="67" s="1"/>
  <c r="J123" i="67" s="1"/>
  <c r="I59" i="67" a="1"/>
  <c r="I59" i="67" s="1"/>
  <c r="I123" i="67" s="1"/>
  <c r="H59" i="67" a="1"/>
  <c r="H59" i="67" s="1"/>
  <c r="H123" i="67" s="1"/>
  <c r="G59" i="67" a="1"/>
  <c r="G59" i="67" s="1"/>
  <c r="G123" i="67" s="1"/>
  <c r="F59" i="67" a="1"/>
  <c r="F59" i="67" s="1"/>
  <c r="F123" i="67" s="1"/>
  <c r="E59" i="67" a="1"/>
  <c r="E59" i="67" s="1"/>
  <c r="E123" i="67" s="1"/>
  <c r="D59" i="67" a="1"/>
  <c r="D59" i="67" s="1"/>
  <c r="P58" i="67" a="1"/>
  <c r="P58" i="67" s="1"/>
  <c r="P122" i="67" s="1"/>
  <c r="O58" i="67" a="1"/>
  <c r="O58" i="67" s="1"/>
  <c r="O122" i="67" s="1"/>
  <c r="N58" i="67" a="1"/>
  <c r="N58" i="67" s="1"/>
  <c r="N122" i="67" s="1"/>
  <c r="M58" i="67" a="1"/>
  <c r="M58" i="67" s="1"/>
  <c r="M122" i="67" s="1"/>
  <c r="L58" i="67" a="1"/>
  <c r="L58" i="67" s="1"/>
  <c r="L122" i="67" s="1"/>
  <c r="K58" i="67" a="1"/>
  <c r="K58" i="67" s="1"/>
  <c r="K122" i="67" s="1"/>
  <c r="J58" i="67" a="1"/>
  <c r="J58" i="67" s="1"/>
  <c r="J122" i="67" s="1"/>
  <c r="I58" i="67" a="1"/>
  <c r="I58" i="67" s="1"/>
  <c r="I122" i="67" s="1"/>
  <c r="H58" i="67" a="1"/>
  <c r="H58" i="67" s="1"/>
  <c r="H122" i="67" s="1"/>
  <c r="G58" i="67" a="1"/>
  <c r="G58" i="67" s="1"/>
  <c r="G122" i="67" s="1"/>
  <c r="F58" i="67" a="1"/>
  <c r="F58" i="67" s="1"/>
  <c r="F122" i="67" s="1"/>
  <c r="E58" i="67" a="1"/>
  <c r="E58" i="67" s="1"/>
  <c r="E122" i="67" s="1"/>
  <c r="D58" i="67" a="1"/>
  <c r="D58" i="67" s="1"/>
  <c r="P57" i="67" a="1"/>
  <c r="P57" i="67" s="1"/>
  <c r="P121" i="67" s="1"/>
  <c r="O57" i="67" a="1"/>
  <c r="O57" i="67" s="1"/>
  <c r="O121" i="67" s="1"/>
  <c r="N57" i="67" a="1"/>
  <c r="N57" i="67" s="1"/>
  <c r="N121" i="67" s="1"/>
  <c r="M57" i="67" a="1"/>
  <c r="M57" i="67" s="1"/>
  <c r="M121" i="67" s="1"/>
  <c r="L57" i="67" a="1"/>
  <c r="L57" i="67" s="1"/>
  <c r="L121" i="67" s="1"/>
  <c r="K57" i="67" a="1"/>
  <c r="K57" i="67" s="1"/>
  <c r="K121" i="67" s="1"/>
  <c r="J57" i="67" a="1"/>
  <c r="J57" i="67" s="1"/>
  <c r="J121" i="67" s="1"/>
  <c r="I57" i="67" a="1"/>
  <c r="I57" i="67" s="1"/>
  <c r="I121" i="67" s="1"/>
  <c r="H57" i="67" a="1"/>
  <c r="H57" i="67" s="1"/>
  <c r="H121" i="67" s="1"/>
  <c r="G57" i="67" a="1"/>
  <c r="G57" i="67" s="1"/>
  <c r="G121" i="67" s="1"/>
  <c r="F57" i="67" a="1"/>
  <c r="F57" i="67" s="1"/>
  <c r="F121" i="67" s="1"/>
  <c r="E57" i="67" a="1"/>
  <c r="E57" i="67" s="1"/>
  <c r="E121" i="67" s="1"/>
  <c r="D57" i="67" a="1"/>
  <c r="D57" i="67" s="1"/>
  <c r="P56" i="67" a="1"/>
  <c r="P56" i="67" s="1"/>
  <c r="P120" i="67" s="1"/>
  <c r="O56" i="67" a="1"/>
  <c r="O56" i="67" s="1"/>
  <c r="O120" i="67" s="1"/>
  <c r="N56" i="67" a="1"/>
  <c r="N56" i="67" s="1"/>
  <c r="N120" i="67" s="1"/>
  <c r="M56" i="67" a="1"/>
  <c r="M56" i="67" s="1"/>
  <c r="M120" i="67" s="1"/>
  <c r="L56" i="67" a="1"/>
  <c r="L56" i="67" s="1"/>
  <c r="L120" i="67" s="1"/>
  <c r="K56" i="67" a="1"/>
  <c r="K56" i="67" s="1"/>
  <c r="K120" i="67" s="1"/>
  <c r="J56" i="67" a="1"/>
  <c r="J56" i="67" s="1"/>
  <c r="J120" i="67" s="1"/>
  <c r="I56" i="67" a="1"/>
  <c r="I56" i="67" s="1"/>
  <c r="I120" i="67" s="1"/>
  <c r="H56" i="67" a="1"/>
  <c r="H56" i="67" s="1"/>
  <c r="H120" i="67" s="1"/>
  <c r="G56" i="67" a="1"/>
  <c r="G56" i="67" s="1"/>
  <c r="G120" i="67" s="1"/>
  <c r="F56" i="67" a="1"/>
  <c r="F56" i="67" s="1"/>
  <c r="F120" i="67" s="1"/>
  <c r="E56" i="67" a="1"/>
  <c r="E56" i="67" s="1"/>
  <c r="E120" i="67" s="1"/>
  <c r="D56" i="67" a="1"/>
  <c r="D56" i="67" s="1"/>
  <c r="P55" i="67" a="1"/>
  <c r="P55" i="67" s="1"/>
  <c r="P119" i="67" s="1"/>
  <c r="O55" i="67" a="1"/>
  <c r="O55" i="67" s="1"/>
  <c r="O119" i="67" s="1"/>
  <c r="N55" i="67" a="1"/>
  <c r="N55" i="67" s="1"/>
  <c r="N119" i="67" s="1"/>
  <c r="M55" i="67" a="1"/>
  <c r="M55" i="67" s="1"/>
  <c r="M119" i="67" s="1"/>
  <c r="L55" i="67" a="1"/>
  <c r="L55" i="67" s="1"/>
  <c r="L119" i="67" s="1"/>
  <c r="K55" i="67" a="1"/>
  <c r="K55" i="67" s="1"/>
  <c r="K119" i="67" s="1"/>
  <c r="J55" i="67" a="1"/>
  <c r="J55" i="67" s="1"/>
  <c r="J119" i="67" s="1"/>
  <c r="I55" i="67" a="1"/>
  <c r="I55" i="67" s="1"/>
  <c r="I119" i="67" s="1"/>
  <c r="H55" i="67" a="1"/>
  <c r="H55" i="67" s="1"/>
  <c r="H119" i="67" s="1"/>
  <c r="G55" i="67" a="1"/>
  <c r="G55" i="67" s="1"/>
  <c r="G119" i="67" s="1"/>
  <c r="F55" i="67" a="1"/>
  <c r="F55" i="67" s="1"/>
  <c r="F119" i="67" s="1"/>
  <c r="E55" i="67" a="1"/>
  <c r="E55" i="67" s="1"/>
  <c r="E119" i="67" s="1"/>
  <c r="D55" i="67" a="1"/>
  <c r="D55" i="67" s="1"/>
  <c r="P54" i="67" a="1"/>
  <c r="P54" i="67" s="1"/>
  <c r="P118" i="67" s="1"/>
  <c r="O54" i="67" a="1"/>
  <c r="O54" i="67" s="1"/>
  <c r="O118" i="67" s="1"/>
  <c r="N54" i="67" a="1"/>
  <c r="N54" i="67" s="1"/>
  <c r="N118" i="67" s="1"/>
  <c r="M54" i="67" a="1"/>
  <c r="M54" i="67" s="1"/>
  <c r="M118" i="67" s="1"/>
  <c r="L54" i="67" a="1"/>
  <c r="L54" i="67" s="1"/>
  <c r="L118" i="67" s="1"/>
  <c r="K54" i="67" a="1"/>
  <c r="K54" i="67" s="1"/>
  <c r="K118" i="67" s="1"/>
  <c r="J54" i="67" a="1"/>
  <c r="J54" i="67" s="1"/>
  <c r="J118" i="67" s="1"/>
  <c r="I54" i="67" a="1"/>
  <c r="I54" i="67" s="1"/>
  <c r="I118" i="67" s="1"/>
  <c r="H54" i="67" a="1"/>
  <c r="H54" i="67" s="1"/>
  <c r="H118" i="67" s="1"/>
  <c r="G54" i="67" a="1"/>
  <c r="G54" i="67" s="1"/>
  <c r="G118" i="67" s="1"/>
  <c r="F54" i="67" a="1"/>
  <c r="F54" i="67" s="1"/>
  <c r="F118" i="67" s="1"/>
  <c r="E54" i="67" a="1"/>
  <c r="E54" i="67" s="1"/>
  <c r="E118" i="67" s="1"/>
  <c r="D54" i="67" a="1"/>
  <c r="D54" i="67" s="1"/>
  <c r="D52" i="67" a="1"/>
  <c r="D52" i="67" s="1"/>
  <c r="D51" i="67" a="1"/>
  <c r="D51" i="67" s="1"/>
  <c r="D50" i="67" a="1"/>
  <c r="D50" i="67" s="1"/>
  <c r="D49" i="67" a="1"/>
  <c r="D49" i="67" s="1"/>
  <c r="M46" i="67" a="1"/>
  <c r="M46" i="67" s="1"/>
  <c r="L46" i="67" a="1"/>
  <c r="L46" i="67" s="1"/>
  <c r="M117" i="67" s="1"/>
  <c r="K46" i="67" a="1"/>
  <c r="K46" i="67" s="1"/>
  <c r="J46" i="67" a="1"/>
  <c r="J46" i="67" s="1"/>
  <c r="J117" i="67" s="1"/>
  <c r="I46" i="67" a="1"/>
  <c r="I46" i="67" s="1"/>
  <c r="I117" i="67" s="1"/>
  <c r="H46" i="67" a="1"/>
  <c r="H46" i="67" s="1"/>
  <c r="H117" i="67" s="1"/>
  <c r="G46" i="67" a="1"/>
  <c r="G46" i="67" s="1"/>
  <c r="G117" i="67" s="1"/>
  <c r="F46" i="67" a="1"/>
  <c r="F46" i="67" s="1"/>
  <c r="F117" i="67" s="1"/>
  <c r="E46" i="67" a="1"/>
  <c r="E46" i="67" s="1"/>
  <c r="E117" i="67" s="1"/>
  <c r="D46" i="67" a="1"/>
  <c r="D46" i="67" s="1"/>
  <c r="M45" i="67" a="1"/>
  <c r="M45" i="67" s="1"/>
  <c r="L45" i="67" a="1"/>
  <c r="L45" i="67" s="1"/>
  <c r="M116" i="67" s="1"/>
  <c r="K45" i="67" a="1"/>
  <c r="K45" i="67" s="1"/>
  <c r="J45" i="67" a="1"/>
  <c r="J45" i="67" s="1"/>
  <c r="J116" i="67" s="1"/>
  <c r="I45" i="67" a="1"/>
  <c r="I45" i="67" s="1"/>
  <c r="I116" i="67" s="1"/>
  <c r="H45" i="67" a="1"/>
  <c r="H45" i="67" s="1"/>
  <c r="H116" i="67" s="1"/>
  <c r="G45" i="67" a="1"/>
  <c r="G45" i="67" s="1"/>
  <c r="G116" i="67" s="1"/>
  <c r="F45" i="67" a="1"/>
  <c r="F45" i="67" s="1"/>
  <c r="F116" i="67" s="1"/>
  <c r="E45" i="67" a="1"/>
  <c r="E45" i="67" s="1"/>
  <c r="E116" i="67" s="1"/>
  <c r="D45" i="67" a="1"/>
  <c r="D45" i="67" s="1"/>
  <c r="M44" i="67" a="1"/>
  <c r="M44" i="67" s="1"/>
  <c r="L44" i="67" a="1"/>
  <c r="L44" i="67" s="1"/>
  <c r="M115" i="67" s="1"/>
  <c r="K44" i="67" a="1"/>
  <c r="K44" i="67" s="1"/>
  <c r="J44" i="67" a="1"/>
  <c r="J44" i="67" s="1"/>
  <c r="J115" i="67" s="1"/>
  <c r="I44" i="67" a="1"/>
  <c r="I44" i="67" s="1"/>
  <c r="I115" i="67" s="1"/>
  <c r="H44" i="67" a="1"/>
  <c r="H44" i="67" s="1"/>
  <c r="H115" i="67" s="1"/>
  <c r="G44" i="67" a="1"/>
  <c r="G44" i="67" s="1"/>
  <c r="G115" i="67" s="1"/>
  <c r="F44" i="67" a="1"/>
  <c r="F44" i="67" s="1"/>
  <c r="F115" i="67" s="1"/>
  <c r="E44" i="67" a="1"/>
  <c r="E44" i="67" s="1"/>
  <c r="E115" i="67" s="1"/>
  <c r="D44" i="67" a="1"/>
  <c r="D44" i="67" s="1"/>
  <c r="M43" i="67" a="1"/>
  <c r="M43" i="67" s="1"/>
  <c r="L43" i="67" a="1"/>
  <c r="L43" i="67" s="1"/>
  <c r="M114" i="67" s="1"/>
  <c r="K43" i="67" a="1"/>
  <c r="K43" i="67" s="1"/>
  <c r="J43" i="67" a="1"/>
  <c r="J43" i="67" s="1"/>
  <c r="J114" i="67" s="1"/>
  <c r="I43" i="67" a="1"/>
  <c r="I43" i="67" s="1"/>
  <c r="I114" i="67" s="1"/>
  <c r="H43" i="67" a="1"/>
  <c r="H43" i="67" s="1"/>
  <c r="H114" i="67" s="1"/>
  <c r="G43" i="67" a="1"/>
  <c r="G43" i="67" s="1"/>
  <c r="G114" i="67" s="1"/>
  <c r="F43" i="67" a="1"/>
  <c r="F43" i="67" s="1"/>
  <c r="F114" i="67" s="1"/>
  <c r="E43" i="67" a="1"/>
  <c r="E43" i="67" s="1"/>
  <c r="E114" i="67" s="1"/>
  <c r="D43" i="67" a="1"/>
  <c r="D43" i="67" s="1"/>
  <c r="M42" i="67" a="1"/>
  <c r="M42" i="67" s="1"/>
  <c r="L42" i="67" a="1"/>
  <c r="L42" i="67" s="1"/>
  <c r="M113" i="67" s="1"/>
  <c r="K42" i="67" a="1"/>
  <c r="K42" i="67" s="1"/>
  <c r="J42" i="67" a="1"/>
  <c r="J42" i="67" s="1"/>
  <c r="J113" i="67" s="1"/>
  <c r="I42" i="67" a="1"/>
  <c r="I42" i="67" s="1"/>
  <c r="I113" i="67" s="1"/>
  <c r="H42" i="67" a="1"/>
  <c r="H42" i="67" s="1"/>
  <c r="H113" i="67" s="1"/>
  <c r="G42" i="67" a="1"/>
  <c r="G42" i="67" s="1"/>
  <c r="G113" i="67" s="1"/>
  <c r="F42" i="67" a="1"/>
  <c r="F42" i="67" s="1"/>
  <c r="F113" i="67" s="1"/>
  <c r="E42" i="67" a="1"/>
  <c r="E42" i="67" s="1"/>
  <c r="E113" i="67" s="1"/>
  <c r="D42" i="67" a="1"/>
  <c r="D42" i="67" s="1"/>
  <c r="M41" i="67" a="1"/>
  <c r="M41" i="67" s="1"/>
  <c r="L41" i="67" a="1"/>
  <c r="L41" i="67" s="1"/>
  <c r="M112" i="67" s="1"/>
  <c r="K41" i="67" a="1"/>
  <c r="K41" i="67" s="1"/>
  <c r="J41" i="67" a="1"/>
  <c r="J41" i="67" s="1"/>
  <c r="J112" i="67" s="1"/>
  <c r="I41" i="67" a="1"/>
  <c r="I41" i="67" s="1"/>
  <c r="I112" i="67" s="1"/>
  <c r="H41" i="67" a="1"/>
  <c r="H41" i="67" s="1"/>
  <c r="H112" i="67" s="1"/>
  <c r="G41" i="67" a="1"/>
  <c r="G41" i="67" s="1"/>
  <c r="G112" i="67" s="1"/>
  <c r="F41" i="67" a="1"/>
  <c r="F41" i="67" s="1"/>
  <c r="F112" i="67" s="1"/>
  <c r="E41" i="67" a="1"/>
  <c r="E41" i="67" s="1"/>
  <c r="E112" i="67" s="1"/>
  <c r="D41" i="67" a="1"/>
  <c r="D41" i="67" s="1"/>
  <c r="M40" i="67" a="1"/>
  <c r="M40" i="67" s="1"/>
  <c r="L40" i="67" a="1"/>
  <c r="L40" i="67" s="1"/>
  <c r="M111" i="67" s="1"/>
  <c r="K40" i="67" a="1"/>
  <c r="K40" i="67" s="1"/>
  <c r="J40" i="67" a="1"/>
  <c r="J40" i="67" s="1"/>
  <c r="J111" i="67" s="1"/>
  <c r="I40" i="67" a="1"/>
  <c r="I40" i="67" s="1"/>
  <c r="I111" i="67" s="1"/>
  <c r="H40" i="67" a="1"/>
  <c r="H40" i="67" s="1"/>
  <c r="H111" i="67" s="1"/>
  <c r="G40" i="67" a="1"/>
  <c r="G40" i="67" s="1"/>
  <c r="G111" i="67" s="1"/>
  <c r="F40" i="67" a="1"/>
  <c r="F40" i="67" s="1"/>
  <c r="F111" i="67" s="1"/>
  <c r="E40" i="67" a="1"/>
  <c r="E40" i="67" s="1"/>
  <c r="E111" i="67" s="1"/>
  <c r="D40" i="67" a="1"/>
  <c r="D40" i="67" s="1"/>
  <c r="M39" i="67" a="1"/>
  <c r="M39" i="67" s="1"/>
  <c r="L39" i="67" a="1"/>
  <c r="L39" i="67" s="1"/>
  <c r="M110" i="67" s="1"/>
  <c r="K39" i="67" a="1"/>
  <c r="K39" i="67" s="1"/>
  <c r="J39" i="67" a="1"/>
  <c r="J39" i="67" s="1"/>
  <c r="J110" i="67" s="1"/>
  <c r="I39" i="67" a="1"/>
  <c r="I39" i="67" s="1"/>
  <c r="I110" i="67" s="1"/>
  <c r="H39" i="67" a="1"/>
  <c r="H39" i="67" s="1"/>
  <c r="H110" i="67" s="1"/>
  <c r="G39" i="67" a="1"/>
  <c r="G39" i="67" s="1"/>
  <c r="G110" i="67" s="1"/>
  <c r="F39" i="67" a="1"/>
  <c r="F39" i="67" s="1"/>
  <c r="F110" i="67" s="1"/>
  <c r="E39" i="67" a="1"/>
  <c r="E39" i="67" s="1"/>
  <c r="E110" i="67" s="1"/>
  <c r="D39" i="67" a="1"/>
  <c r="D39" i="67" s="1"/>
  <c r="M38" i="67" a="1"/>
  <c r="M38" i="67" s="1"/>
  <c r="L38" i="67" a="1"/>
  <c r="L38" i="67" s="1"/>
  <c r="M109" i="67" s="1"/>
  <c r="K38" i="67" a="1"/>
  <c r="K38" i="67" s="1"/>
  <c r="J38" i="67" a="1"/>
  <c r="J38" i="67" s="1"/>
  <c r="J109" i="67" s="1"/>
  <c r="I38" i="67" a="1"/>
  <c r="I38" i="67" s="1"/>
  <c r="I109" i="67" s="1"/>
  <c r="H38" i="67" a="1"/>
  <c r="H38" i="67" s="1"/>
  <c r="H109" i="67" s="1"/>
  <c r="G38" i="67" a="1"/>
  <c r="G38" i="67" s="1"/>
  <c r="G109" i="67" s="1"/>
  <c r="F38" i="67" a="1"/>
  <c r="F38" i="67" s="1"/>
  <c r="F109" i="67" s="1"/>
  <c r="E38" i="67" a="1"/>
  <c r="E38" i="67" s="1"/>
  <c r="E109" i="67" s="1"/>
  <c r="D38" i="67" a="1"/>
  <c r="D38" i="67" s="1"/>
  <c r="M37" i="67" a="1"/>
  <c r="M37" i="67" s="1"/>
  <c r="L37" i="67" a="1"/>
  <c r="L37" i="67" s="1"/>
  <c r="M108" i="67" s="1"/>
  <c r="K37" i="67" a="1"/>
  <c r="K37" i="67" s="1"/>
  <c r="J37" i="67" a="1"/>
  <c r="J37" i="67" s="1"/>
  <c r="J108" i="67" s="1"/>
  <c r="I37" i="67" a="1"/>
  <c r="I37" i="67" s="1"/>
  <c r="I108" i="67" s="1"/>
  <c r="H37" i="67" a="1"/>
  <c r="H37" i="67" s="1"/>
  <c r="H108" i="67" s="1"/>
  <c r="G37" i="67" a="1"/>
  <c r="G37" i="67" s="1"/>
  <c r="G108" i="67" s="1"/>
  <c r="F37" i="67" a="1"/>
  <c r="F37" i="67" s="1"/>
  <c r="F108" i="67" s="1"/>
  <c r="E37" i="67" a="1"/>
  <c r="E37" i="67" s="1"/>
  <c r="E108" i="67" s="1"/>
  <c r="D37" i="67" a="1"/>
  <c r="D37" i="67" s="1"/>
  <c r="M36" i="67" a="1"/>
  <c r="M36" i="67" s="1"/>
  <c r="L36" i="67" a="1"/>
  <c r="L36" i="67" s="1"/>
  <c r="M107" i="67" s="1"/>
  <c r="K36" i="67" a="1"/>
  <c r="K36" i="67" s="1"/>
  <c r="J36" i="67" a="1"/>
  <c r="J36" i="67" s="1"/>
  <c r="J107" i="67" s="1"/>
  <c r="I36" i="67" a="1"/>
  <c r="I36" i="67" s="1"/>
  <c r="I107" i="67" s="1"/>
  <c r="H36" i="67" a="1"/>
  <c r="H36" i="67" s="1"/>
  <c r="H107" i="67" s="1"/>
  <c r="G36" i="67" a="1"/>
  <c r="G36" i="67" s="1"/>
  <c r="G107" i="67" s="1"/>
  <c r="F36" i="67" a="1"/>
  <c r="F36" i="67" s="1"/>
  <c r="F107" i="67" s="1"/>
  <c r="E36" i="67" a="1"/>
  <c r="E36" i="67" s="1"/>
  <c r="E107" i="67" s="1"/>
  <c r="D36" i="67" a="1"/>
  <c r="D36" i="67" s="1"/>
  <c r="M35" i="67" a="1"/>
  <c r="M35" i="67" s="1"/>
  <c r="L35" i="67" a="1"/>
  <c r="L35" i="67" s="1"/>
  <c r="M106" i="67" s="1"/>
  <c r="K35" i="67" a="1"/>
  <c r="K35" i="67" s="1"/>
  <c r="J35" i="67" a="1"/>
  <c r="J35" i="67" s="1"/>
  <c r="J106" i="67" s="1"/>
  <c r="I35" i="67" a="1"/>
  <c r="I35" i="67" s="1"/>
  <c r="I106" i="67" s="1"/>
  <c r="H35" i="67" a="1"/>
  <c r="H35" i="67" s="1"/>
  <c r="H106" i="67" s="1"/>
  <c r="G35" i="67" a="1"/>
  <c r="G35" i="67" s="1"/>
  <c r="G106" i="67" s="1"/>
  <c r="F35" i="67" a="1"/>
  <c r="F35" i="67" s="1"/>
  <c r="E35" i="67" a="1"/>
  <c r="E35" i="67" s="1"/>
  <c r="E106" i="67" s="1"/>
  <c r="D35" i="67" a="1"/>
  <c r="D35" i="67" s="1"/>
  <c r="M34" i="67" a="1"/>
  <c r="M34" i="67" s="1"/>
  <c r="L34" i="67" a="1"/>
  <c r="L34" i="67" s="1"/>
  <c r="M105" i="67" s="1"/>
  <c r="K34" i="67" a="1"/>
  <c r="K34" i="67" s="1"/>
  <c r="J34" i="67" a="1"/>
  <c r="J34" i="67" s="1"/>
  <c r="J105" i="67" s="1"/>
  <c r="I34" i="67" a="1"/>
  <c r="I34" i="67" s="1"/>
  <c r="I105" i="67" s="1"/>
  <c r="H34" i="67" a="1"/>
  <c r="H34" i="67" s="1"/>
  <c r="H105" i="67" s="1"/>
  <c r="G34" i="67" a="1"/>
  <c r="G34" i="67" s="1"/>
  <c r="G105" i="67" s="1"/>
  <c r="F34" i="67" a="1"/>
  <c r="F34" i="67" s="1"/>
  <c r="E34" i="67" a="1"/>
  <c r="E34" i="67" s="1"/>
  <c r="D34" i="67" a="1"/>
  <c r="D34" i="67" s="1"/>
  <c r="M33" i="67" a="1"/>
  <c r="M33" i="67" s="1"/>
  <c r="L33" i="67" a="1"/>
  <c r="L33" i="67" s="1"/>
  <c r="M104" i="67" s="1"/>
  <c r="K33" i="67" a="1"/>
  <c r="K33" i="67" s="1"/>
  <c r="J33" i="67" a="1"/>
  <c r="J33" i="67" s="1"/>
  <c r="J104" i="67" s="1"/>
  <c r="I33" i="67" a="1"/>
  <c r="I33" i="67" s="1"/>
  <c r="I104" i="67" s="1"/>
  <c r="H33" i="67" a="1"/>
  <c r="H33" i="67" s="1"/>
  <c r="H104" i="67" s="1"/>
  <c r="G33" i="67" a="1"/>
  <c r="G33" i="67" s="1"/>
  <c r="G104" i="67" s="1"/>
  <c r="F33" i="67" a="1"/>
  <c r="F33" i="67" s="1"/>
  <c r="E33" i="67" a="1"/>
  <c r="E33" i="67" s="1"/>
  <c r="D33" i="67" a="1"/>
  <c r="D33" i="67" s="1"/>
  <c r="M32" i="67" a="1"/>
  <c r="M32" i="67" s="1"/>
  <c r="L32" i="67" a="1"/>
  <c r="L32" i="67" s="1"/>
  <c r="M103" i="67" s="1"/>
  <c r="K32" i="67" a="1"/>
  <c r="K32" i="67" s="1"/>
  <c r="J32" i="67" a="1"/>
  <c r="J32" i="67" s="1"/>
  <c r="J103" i="67" s="1"/>
  <c r="I32" i="67" a="1"/>
  <c r="I32" i="67" s="1"/>
  <c r="I103" i="67" s="1"/>
  <c r="H32" i="67" a="1"/>
  <c r="H32" i="67" s="1"/>
  <c r="H103" i="67" s="1"/>
  <c r="G32" i="67" a="1"/>
  <c r="G32" i="67" s="1"/>
  <c r="G103" i="67" s="1"/>
  <c r="F32" i="67" a="1"/>
  <c r="F32" i="67" s="1"/>
  <c r="E32" i="67" a="1"/>
  <c r="E32" i="67" s="1"/>
  <c r="D32" i="67" a="1"/>
  <c r="D32" i="67" s="1"/>
  <c r="M31" i="67" a="1"/>
  <c r="M31" i="67" s="1"/>
  <c r="L31" i="67" a="1"/>
  <c r="L31" i="67" s="1"/>
  <c r="M102" i="67" s="1"/>
  <c r="K31" i="67" a="1"/>
  <c r="K31" i="67" s="1"/>
  <c r="J31" i="67" a="1"/>
  <c r="J31" i="67" s="1"/>
  <c r="J102" i="67" s="1"/>
  <c r="I31" i="67" a="1"/>
  <c r="I31" i="67" s="1"/>
  <c r="I102" i="67" s="1"/>
  <c r="H31" i="67" a="1"/>
  <c r="H31" i="67" s="1"/>
  <c r="H102" i="67" s="1"/>
  <c r="G31" i="67" a="1"/>
  <c r="G31" i="67" s="1"/>
  <c r="G102" i="67" s="1"/>
  <c r="F31" i="67" a="1"/>
  <c r="F31" i="67" s="1"/>
  <c r="F98" i="67" s="1"/>
  <c r="E31" i="67" a="1"/>
  <c r="E31" i="67" s="1"/>
  <c r="D31" i="67" a="1"/>
  <c r="D31" i="67" s="1"/>
  <c r="M30" i="67" a="1"/>
  <c r="M30" i="67" s="1"/>
  <c r="N101" i="67" s="1"/>
  <c r="L30" i="67" a="1"/>
  <c r="L30" i="67" s="1"/>
  <c r="M101" i="67" s="1"/>
  <c r="K30" i="67" a="1"/>
  <c r="K30" i="67" s="1"/>
  <c r="J30" i="67" a="1"/>
  <c r="J30" i="67" s="1"/>
  <c r="J101" i="67" s="1"/>
  <c r="I30" i="67" a="1"/>
  <c r="I30" i="67" s="1"/>
  <c r="I101" i="67" s="1"/>
  <c r="H30" i="67" a="1"/>
  <c r="H30" i="67" s="1"/>
  <c r="H101" i="67" s="1"/>
  <c r="G30" i="67" a="1"/>
  <c r="G30" i="67" s="1"/>
  <c r="G101" i="67" s="1"/>
  <c r="F30" i="67" a="1"/>
  <c r="F30" i="67" s="1"/>
  <c r="E30" i="67" a="1"/>
  <c r="E30" i="67" s="1"/>
  <c r="D30" i="67" a="1"/>
  <c r="D30" i="67" s="1"/>
  <c r="M29" i="67" a="1"/>
  <c r="M29" i="67" s="1"/>
  <c r="L29" i="67" a="1"/>
  <c r="L29" i="67" s="1"/>
  <c r="M100" i="67" s="1"/>
  <c r="K29" i="67" a="1"/>
  <c r="K29" i="67" s="1"/>
  <c r="J29" i="67" a="1"/>
  <c r="J29" i="67" s="1"/>
  <c r="J100" i="67" s="1"/>
  <c r="I29" i="67" a="1"/>
  <c r="I29" i="67" s="1"/>
  <c r="I100" i="67" s="1"/>
  <c r="H29" i="67" a="1"/>
  <c r="H29" i="67" s="1"/>
  <c r="H100" i="67" s="1"/>
  <c r="G29" i="67" a="1"/>
  <c r="G29" i="67" s="1"/>
  <c r="G100" i="67" s="1"/>
  <c r="F29" i="67" a="1"/>
  <c r="F29" i="67" s="1"/>
  <c r="E29" i="67" a="1"/>
  <c r="E29" i="67" s="1"/>
  <c r="D29" i="67" a="1"/>
  <c r="D29" i="67" s="1"/>
  <c r="M28" i="67" a="1"/>
  <c r="M28" i="67" s="1"/>
  <c r="L28" i="67" a="1"/>
  <c r="L28" i="67" s="1"/>
  <c r="M99" i="67" s="1"/>
  <c r="K28" i="67" a="1"/>
  <c r="K28" i="67" s="1"/>
  <c r="J28" i="67" a="1"/>
  <c r="J28" i="67" s="1"/>
  <c r="J99" i="67" s="1"/>
  <c r="I28" i="67" a="1"/>
  <c r="I28" i="67" s="1"/>
  <c r="I99" i="67" s="1"/>
  <c r="H28" i="67" a="1"/>
  <c r="H28" i="67" s="1"/>
  <c r="H99" i="67" s="1"/>
  <c r="G28" i="67" a="1"/>
  <c r="G28" i="67" s="1"/>
  <c r="G99" i="67" s="1"/>
  <c r="F28" i="67" a="1"/>
  <c r="F28" i="67" s="1"/>
  <c r="E28" i="67" a="1"/>
  <c r="E28" i="67" s="1"/>
  <c r="D28" i="67" a="1"/>
  <c r="D28" i="67" s="1"/>
  <c r="M27" i="67" a="1"/>
  <c r="M27" i="67" s="1"/>
  <c r="L27" i="67" a="1"/>
  <c r="L27" i="67" s="1"/>
  <c r="M98" i="67" s="1"/>
  <c r="K27" i="67" a="1"/>
  <c r="K27" i="67" s="1"/>
  <c r="J27" i="67" a="1"/>
  <c r="J27" i="67" s="1"/>
  <c r="J98" i="67" s="1"/>
  <c r="I27" i="67" a="1"/>
  <c r="I27" i="67" s="1"/>
  <c r="I98" i="67" s="1"/>
  <c r="H27" i="67" a="1"/>
  <c r="H27" i="67" s="1"/>
  <c r="H98" i="67" s="1"/>
  <c r="G27" i="67" a="1"/>
  <c r="G27" i="67" s="1"/>
  <c r="G98" i="67" s="1"/>
  <c r="F27" i="67" a="1"/>
  <c r="F27" i="67" s="1"/>
  <c r="F94" i="67" s="1"/>
  <c r="E27" i="67" a="1"/>
  <c r="E27" i="67" s="1"/>
  <c r="D27" i="67" a="1"/>
  <c r="D27" i="67" s="1"/>
  <c r="M26" i="67" a="1"/>
  <c r="M26" i="67" s="1"/>
  <c r="L26" i="67" a="1"/>
  <c r="L26" i="67" s="1"/>
  <c r="M97" i="67" s="1"/>
  <c r="K26" i="67" a="1"/>
  <c r="K26" i="67" s="1"/>
  <c r="J26" i="67" a="1"/>
  <c r="J26" i="67" s="1"/>
  <c r="J97" i="67" s="1"/>
  <c r="I26" i="67" a="1"/>
  <c r="I26" i="67" s="1"/>
  <c r="I97" i="67" s="1"/>
  <c r="H26" i="67" a="1"/>
  <c r="H26" i="67" s="1"/>
  <c r="H97" i="67" s="1"/>
  <c r="G26" i="67" a="1"/>
  <c r="G26" i="67" s="1"/>
  <c r="G97" i="67" s="1"/>
  <c r="F26" i="67" a="1"/>
  <c r="F26" i="67" s="1"/>
  <c r="E26" i="67" a="1"/>
  <c r="E26" i="67" s="1"/>
  <c r="D26" i="67" a="1"/>
  <c r="D26" i="67" s="1"/>
  <c r="M25" i="67" a="1"/>
  <c r="M25" i="67" s="1"/>
  <c r="L25" i="67" a="1"/>
  <c r="L25" i="67" s="1"/>
  <c r="M96" i="67" s="1"/>
  <c r="K25" i="67" a="1"/>
  <c r="K25" i="67" s="1"/>
  <c r="J25" i="67" a="1"/>
  <c r="J25" i="67" s="1"/>
  <c r="J96" i="67" s="1"/>
  <c r="I25" i="67" a="1"/>
  <c r="I25" i="67" s="1"/>
  <c r="I96" i="67" s="1"/>
  <c r="H25" i="67" a="1"/>
  <c r="H25" i="67" s="1"/>
  <c r="H96" i="67" s="1"/>
  <c r="G25" i="67" a="1"/>
  <c r="G25" i="67" s="1"/>
  <c r="G96" i="67" s="1"/>
  <c r="F25" i="67" a="1"/>
  <c r="F25" i="67" s="1"/>
  <c r="E25" i="67" a="1"/>
  <c r="E25" i="67" s="1"/>
  <c r="D25" i="67" a="1"/>
  <c r="D25" i="67" s="1"/>
  <c r="M24" i="67" a="1"/>
  <c r="M24" i="67" s="1"/>
  <c r="L24" i="67" a="1"/>
  <c r="L24" i="67" s="1"/>
  <c r="M95" i="67" s="1"/>
  <c r="K24" i="67" a="1"/>
  <c r="K24" i="67" s="1"/>
  <c r="J24" i="67" a="1"/>
  <c r="J24" i="67" s="1"/>
  <c r="J95" i="67" s="1"/>
  <c r="I24" i="67" a="1"/>
  <c r="I24" i="67" s="1"/>
  <c r="I95" i="67" s="1"/>
  <c r="H24" i="67" a="1"/>
  <c r="H24" i="67" s="1"/>
  <c r="H95" i="67" s="1"/>
  <c r="G24" i="67" a="1"/>
  <c r="G24" i="67" s="1"/>
  <c r="G95" i="67" s="1"/>
  <c r="F24" i="67" a="1"/>
  <c r="F24" i="67" s="1"/>
  <c r="E24" i="67" a="1"/>
  <c r="E24" i="67" s="1"/>
  <c r="D24" i="67" a="1"/>
  <c r="D24" i="67" s="1"/>
  <c r="M23" i="67" a="1"/>
  <c r="M23" i="67" s="1"/>
  <c r="L23" i="67" a="1"/>
  <c r="L23" i="67" s="1"/>
  <c r="M94" i="67" s="1"/>
  <c r="K23" i="67" a="1"/>
  <c r="K23" i="67" s="1"/>
  <c r="J23" i="67" a="1"/>
  <c r="J23" i="67" s="1"/>
  <c r="J94" i="67" s="1"/>
  <c r="I23" i="67" a="1"/>
  <c r="I23" i="67" s="1"/>
  <c r="I94" i="67" s="1"/>
  <c r="H23" i="67" a="1"/>
  <c r="H23" i="67" s="1"/>
  <c r="H94" i="67" s="1"/>
  <c r="G23" i="67" a="1"/>
  <c r="G23" i="67" s="1"/>
  <c r="G94" i="67" s="1"/>
  <c r="F23" i="67" a="1"/>
  <c r="F23" i="67" s="1"/>
  <c r="F90" i="67" s="1"/>
  <c r="E23" i="67" a="1"/>
  <c r="E23" i="67" s="1"/>
  <c r="D23" i="67" a="1"/>
  <c r="D23" i="67" s="1"/>
  <c r="M22" i="67" a="1"/>
  <c r="M22" i="67" s="1"/>
  <c r="L22" i="67" a="1"/>
  <c r="L22" i="67" s="1"/>
  <c r="K22" i="67" a="1"/>
  <c r="K22" i="67" s="1"/>
  <c r="J22" i="67" a="1"/>
  <c r="J22" i="67" s="1"/>
  <c r="I22" i="67" a="1"/>
  <c r="I22" i="67" s="1"/>
  <c r="H22" i="67" a="1"/>
  <c r="H22" i="67" s="1"/>
  <c r="G22" i="67" a="1"/>
  <c r="G22" i="67" s="1"/>
  <c r="F22" i="67" a="1"/>
  <c r="F22" i="67" s="1"/>
  <c r="E22" i="67" a="1"/>
  <c r="E22" i="67" s="1"/>
  <c r="D22" i="67" a="1"/>
  <c r="D22" i="67" s="1"/>
  <c r="M21" i="67" a="1"/>
  <c r="M21" i="67" s="1"/>
  <c r="L21" i="67" a="1"/>
  <c r="L21" i="67" s="1"/>
  <c r="K21" i="67" a="1"/>
  <c r="K21" i="67" s="1"/>
  <c r="J21" i="67" a="1"/>
  <c r="J21" i="67" s="1"/>
  <c r="I21" i="67" a="1"/>
  <c r="I21" i="67" s="1"/>
  <c r="I88" i="67" s="1"/>
  <c r="H21" i="67" a="1"/>
  <c r="H21" i="67" s="1"/>
  <c r="G21" i="67" a="1"/>
  <c r="G21" i="67" s="1"/>
  <c r="F21" i="67" a="1"/>
  <c r="F21" i="67" s="1"/>
  <c r="E21" i="67" a="1"/>
  <c r="E21" i="67" s="1"/>
  <c r="D21" i="67" a="1"/>
  <c r="D21" i="67" s="1"/>
  <c r="M20" i="67" a="1"/>
  <c r="M20" i="67" s="1"/>
  <c r="L20" i="67" a="1"/>
  <c r="L20" i="67" s="1"/>
  <c r="K20" i="67" a="1"/>
  <c r="K20" i="67" s="1"/>
  <c r="J20" i="67" a="1"/>
  <c r="J20" i="67" s="1"/>
  <c r="I20" i="67" a="1"/>
  <c r="I20" i="67" s="1"/>
  <c r="H20" i="67" a="1"/>
  <c r="H20" i="67" s="1"/>
  <c r="G20" i="67" a="1"/>
  <c r="G20" i="67" s="1"/>
  <c r="F20" i="67" a="1"/>
  <c r="F20" i="67" s="1"/>
  <c r="E20" i="67" a="1"/>
  <c r="E20" i="67" s="1"/>
  <c r="D20" i="67" a="1"/>
  <c r="D20" i="67" s="1"/>
  <c r="M19" i="67" a="1"/>
  <c r="M19" i="67" s="1"/>
  <c r="L19" i="67" a="1"/>
  <c r="L19" i="67" s="1"/>
  <c r="K19" i="67" a="1"/>
  <c r="K19" i="67" s="1"/>
  <c r="L90" i="67" s="1"/>
  <c r="J19" i="67" a="1"/>
  <c r="J19" i="67" s="1"/>
  <c r="I19" i="67" a="1"/>
  <c r="I19" i="67" s="1"/>
  <c r="H19" i="67" a="1"/>
  <c r="H19" i="67" s="1"/>
  <c r="G19" i="67" a="1"/>
  <c r="G19" i="67" s="1"/>
  <c r="F19" i="67" a="1"/>
  <c r="F19" i="67" s="1"/>
  <c r="F86" i="67" s="1"/>
  <c r="E19" i="67" a="1"/>
  <c r="E19" i="67" s="1"/>
  <c r="D19" i="67" a="1"/>
  <c r="D19" i="67" s="1"/>
  <c r="D17" i="67" a="1"/>
  <c r="D17" i="67" s="1"/>
  <c r="D16" i="67" a="1"/>
  <c r="D16" i="67" s="1"/>
  <c r="D15" i="67" a="1"/>
  <c r="D15" i="67" s="1"/>
  <c r="D14" i="67" a="1"/>
  <c r="D14" i="67" s="1"/>
  <c r="H25" i="66" a="1"/>
  <c r="H25" i="66" s="1"/>
  <c r="G25" i="66" a="1"/>
  <c r="G25" i="66" s="1"/>
  <c r="I552" i="19" s="1" a="1"/>
  <c r="I552" i="19" s="1"/>
  <c r="F25" i="66" a="1"/>
  <c r="F25" i="66" s="1"/>
  <c r="E25" i="66" a="1"/>
  <c r="E25" i="66" s="1"/>
  <c r="D25" i="66" a="1"/>
  <c r="D25" i="66" s="1"/>
  <c r="D22" i="66" a="1"/>
  <c r="D22" i="66" s="1"/>
  <c r="D21" i="66" a="1"/>
  <c r="D21" i="66" s="1"/>
  <c r="F19" i="66" a="1"/>
  <c r="F19" i="66" s="1"/>
  <c r="E19" i="66" a="1"/>
  <c r="E19" i="66" s="1"/>
  <c r="D19" i="66" a="1"/>
  <c r="D19" i="66" s="1"/>
  <c r="F18" i="66" a="1"/>
  <c r="F18" i="66" s="1"/>
  <c r="E18" i="66" a="1"/>
  <c r="E18" i="66" s="1"/>
  <c r="D18" i="66" a="1"/>
  <c r="D18" i="66" s="1"/>
  <c r="F17" i="66" a="1"/>
  <c r="F17" i="66" s="1"/>
  <c r="E17" i="66" a="1"/>
  <c r="E17" i="66" s="1"/>
  <c r="D17" i="66" a="1"/>
  <c r="D17" i="66" s="1"/>
  <c r="F16" i="66" a="1"/>
  <c r="F16" i="66" s="1"/>
  <c r="E16" i="66" a="1"/>
  <c r="E16" i="66" s="1"/>
  <c r="D16" i="66" a="1"/>
  <c r="D16" i="66" s="1"/>
  <c r="F15" i="66" a="1"/>
  <c r="F15" i="66" s="1"/>
  <c r="E15" i="66" a="1"/>
  <c r="E15" i="66" s="1"/>
  <c r="D15" i="66" a="1"/>
  <c r="D15" i="66" s="1"/>
  <c r="F14" i="66" a="1"/>
  <c r="F14" i="66" s="1"/>
  <c r="E14" i="66" a="1"/>
  <c r="E14" i="66" s="1"/>
  <c r="D14" i="66" a="1"/>
  <c r="D14" i="66" s="1"/>
  <c r="F13" i="66" a="1"/>
  <c r="F13" i="66" s="1"/>
  <c r="E13" i="66" a="1"/>
  <c r="E13" i="66" s="1"/>
  <c r="D13" i="66" a="1"/>
  <c r="D13" i="66" s="1"/>
  <c r="F12" i="66" a="1"/>
  <c r="F12" i="66" s="1"/>
  <c r="E12" i="66" a="1"/>
  <c r="E12" i="66" s="1"/>
  <c r="D12" i="66" a="1"/>
  <c r="D12" i="66" s="1"/>
  <c r="F11" i="66" a="1"/>
  <c r="F11" i="66" s="1"/>
  <c r="E11" i="66" a="1"/>
  <c r="E11" i="66" s="1"/>
  <c r="D11" i="66" a="1"/>
  <c r="D11" i="66" s="1"/>
  <c r="F10" i="66" a="1"/>
  <c r="F10" i="66" s="1"/>
  <c r="E10" i="66" a="1"/>
  <c r="E10" i="66" s="1"/>
  <c r="D10" i="66" a="1"/>
  <c r="D10" i="66" s="1"/>
  <c r="D7" i="66" a="1"/>
  <c r="D7" i="66" s="1"/>
  <c r="D6" i="66" a="1"/>
  <c r="D6" i="66" s="1"/>
  <c r="D5" i="66" a="1"/>
  <c r="D5" i="66" s="1"/>
  <c r="AE153" i="65" a="1"/>
  <c r="AE153" i="65" s="1"/>
  <c r="AD153" i="65" a="1"/>
  <c r="AD153" i="65" s="1"/>
  <c r="AC153" i="65" a="1"/>
  <c r="AC153" i="65" s="1"/>
  <c r="AB153" i="65" a="1"/>
  <c r="AB153" i="65" s="1"/>
  <c r="AA153" i="65" a="1"/>
  <c r="AA153" i="65" s="1"/>
  <c r="Z153" i="65" a="1"/>
  <c r="Z153" i="65" s="1"/>
  <c r="Y153" i="65" a="1"/>
  <c r="Y153" i="65" s="1"/>
  <c r="X153" i="65" a="1"/>
  <c r="X153" i="65" s="1"/>
  <c r="W153" i="65" a="1"/>
  <c r="W153" i="65" s="1"/>
  <c r="V153" i="65" a="1"/>
  <c r="V153" i="65" s="1"/>
  <c r="U153" i="65" a="1"/>
  <c r="U153" i="65" s="1"/>
  <c r="T153" i="65" a="1"/>
  <c r="T153" i="65" s="1"/>
  <c r="S153" i="65" a="1"/>
  <c r="S153" i="65" s="1"/>
  <c r="R153" i="65" a="1"/>
  <c r="R153" i="65" s="1"/>
  <c r="Q153" i="65" a="1"/>
  <c r="Q153" i="65" s="1"/>
  <c r="P153" i="65" a="1"/>
  <c r="P153" i="65" s="1"/>
  <c r="O153" i="65" a="1"/>
  <c r="O153" i="65" s="1"/>
  <c r="N153" i="65" a="1"/>
  <c r="N153" i="65" s="1"/>
  <c r="M153" i="65" a="1"/>
  <c r="M153" i="65" s="1"/>
  <c r="L153" i="65" a="1"/>
  <c r="L153" i="65" s="1"/>
  <c r="K153" i="65" a="1"/>
  <c r="K153" i="65" s="1"/>
  <c r="J153" i="65" a="1"/>
  <c r="J153" i="65" s="1"/>
  <c r="I153" i="65" a="1"/>
  <c r="I153" i="65" s="1"/>
  <c r="H153" i="65" a="1"/>
  <c r="H153" i="65" s="1"/>
  <c r="G153" i="65" a="1"/>
  <c r="G153" i="65" s="1"/>
  <c r="F153" i="65" a="1"/>
  <c r="F153" i="65" s="1"/>
  <c r="E153" i="65" a="1"/>
  <c r="E153" i="65" s="1"/>
  <c r="D153" i="65" a="1"/>
  <c r="D153" i="65" s="1"/>
  <c r="AE152" i="65" a="1"/>
  <c r="AE152" i="65" s="1"/>
  <c r="AD152" i="65" a="1"/>
  <c r="AD152" i="65" s="1"/>
  <c r="AC152" i="65" a="1"/>
  <c r="AC152" i="65" s="1"/>
  <c r="AB152" i="65" a="1"/>
  <c r="AB152" i="65" s="1"/>
  <c r="AA152" i="65" a="1"/>
  <c r="AA152" i="65" s="1"/>
  <c r="Z152" i="65" a="1"/>
  <c r="Z152" i="65" s="1"/>
  <c r="Y152" i="65" a="1"/>
  <c r="Y152" i="65" s="1"/>
  <c r="X152" i="65" a="1"/>
  <c r="X152" i="65" s="1"/>
  <c r="W152" i="65" a="1"/>
  <c r="W152" i="65" s="1"/>
  <c r="V152" i="65" a="1"/>
  <c r="V152" i="65" s="1"/>
  <c r="U152" i="65" a="1"/>
  <c r="U152" i="65" s="1"/>
  <c r="T152" i="65" a="1"/>
  <c r="T152" i="65" s="1"/>
  <c r="S152" i="65" a="1"/>
  <c r="S152" i="65" s="1"/>
  <c r="R152" i="65" a="1"/>
  <c r="R152" i="65" s="1"/>
  <c r="Q152" i="65" a="1"/>
  <c r="Q152" i="65" s="1"/>
  <c r="P152" i="65" a="1"/>
  <c r="P152" i="65" s="1"/>
  <c r="O152" i="65" a="1"/>
  <c r="O152" i="65" s="1"/>
  <c r="N152" i="65" a="1"/>
  <c r="N152" i="65" s="1"/>
  <c r="M152" i="65" a="1"/>
  <c r="M152" i="65" s="1"/>
  <c r="L152" i="65" a="1"/>
  <c r="L152" i="65" s="1"/>
  <c r="K152" i="65" a="1"/>
  <c r="K152" i="65" s="1"/>
  <c r="J152" i="65" a="1"/>
  <c r="J152" i="65" s="1"/>
  <c r="I152" i="65" a="1"/>
  <c r="I152" i="65" s="1"/>
  <c r="H152" i="65" a="1"/>
  <c r="H152" i="65" s="1"/>
  <c r="G152" i="65" a="1"/>
  <c r="G152" i="65" s="1"/>
  <c r="F152" i="65" a="1"/>
  <c r="F152" i="65" s="1"/>
  <c r="E152" i="65" a="1"/>
  <c r="E152" i="65" s="1"/>
  <c r="D152" i="65" a="1"/>
  <c r="D152" i="65" s="1"/>
  <c r="AE151" i="65" a="1"/>
  <c r="AE151" i="65" s="1"/>
  <c r="AD151" i="65" a="1"/>
  <c r="AD151" i="65" s="1"/>
  <c r="AC151" i="65" a="1"/>
  <c r="AC151" i="65" s="1"/>
  <c r="AB151" i="65" a="1"/>
  <c r="AB151" i="65" s="1"/>
  <c r="AA151" i="65" a="1"/>
  <c r="AA151" i="65" s="1"/>
  <c r="Z151" i="65" a="1"/>
  <c r="Z151" i="65" s="1"/>
  <c r="Y151" i="65" a="1"/>
  <c r="Y151" i="65" s="1"/>
  <c r="X151" i="65" a="1"/>
  <c r="X151" i="65" s="1"/>
  <c r="W151" i="65" a="1"/>
  <c r="W151" i="65" s="1"/>
  <c r="V151" i="65" a="1"/>
  <c r="V151" i="65" s="1"/>
  <c r="U151" i="65" a="1"/>
  <c r="U151" i="65" s="1"/>
  <c r="T151" i="65" a="1"/>
  <c r="T151" i="65" s="1"/>
  <c r="S151" i="65" a="1"/>
  <c r="S151" i="65" s="1"/>
  <c r="R151" i="65" a="1"/>
  <c r="R151" i="65" s="1"/>
  <c r="Q151" i="65" a="1"/>
  <c r="Q151" i="65" s="1"/>
  <c r="P151" i="65" a="1"/>
  <c r="P151" i="65" s="1"/>
  <c r="O151" i="65" a="1"/>
  <c r="O151" i="65" s="1"/>
  <c r="N151" i="65" a="1"/>
  <c r="N151" i="65" s="1"/>
  <c r="M151" i="65" a="1"/>
  <c r="M151" i="65" s="1"/>
  <c r="L151" i="65" a="1"/>
  <c r="L151" i="65" s="1"/>
  <c r="K151" i="65" a="1"/>
  <c r="K151" i="65" s="1"/>
  <c r="J151" i="65" a="1"/>
  <c r="J151" i="65" s="1"/>
  <c r="I151" i="65" a="1"/>
  <c r="I151" i="65" s="1"/>
  <c r="H151" i="65" a="1"/>
  <c r="H151" i="65" s="1"/>
  <c r="G151" i="65" a="1"/>
  <c r="G151" i="65" s="1"/>
  <c r="F151" i="65" a="1"/>
  <c r="F151" i="65" s="1"/>
  <c r="E151" i="65" a="1"/>
  <c r="E151" i="65" s="1"/>
  <c r="D151" i="65" a="1"/>
  <c r="D151" i="65" s="1"/>
  <c r="AE150" i="65" a="1"/>
  <c r="AE150" i="65" s="1"/>
  <c r="AD150" i="65" a="1"/>
  <c r="AD150" i="65" s="1"/>
  <c r="AC150" i="65" a="1"/>
  <c r="AC150" i="65" s="1"/>
  <c r="AB150" i="65" a="1"/>
  <c r="AB150" i="65" s="1"/>
  <c r="AA150" i="65" a="1"/>
  <c r="AA150" i="65" s="1"/>
  <c r="Z150" i="65" a="1"/>
  <c r="Z150" i="65" s="1"/>
  <c r="Y150" i="65" a="1"/>
  <c r="Y150" i="65" s="1"/>
  <c r="X150" i="65" a="1"/>
  <c r="X150" i="65" s="1"/>
  <c r="W150" i="65" a="1"/>
  <c r="W150" i="65" s="1"/>
  <c r="V150" i="65" a="1"/>
  <c r="V150" i="65" s="1"/>
  <c r="U150" i="65" a="1"/>
  <c r="U150" i="65" s="1"/>
  <c r="T150" i="65" a="1"/>
  <c r="T150" i="65" s="1"/>
  <c r="S150" i="65" a="1"/>
  <c r="S150" i="65" s="1"/>
  <c r="R150" i="65" a="1"/>
  <c r="R150" i="65" s="1"/>
  <c r="Q150" i="65" a="1"/>
  <c r="Q150" i="65" s="1"/>
  <c r="P150" i="65" a="1"/>
  <c r="P150" i="65" s="1"/>
  <c r="O150" i="65" a="1"/>
  <c r="O150" i="65" s="1"/>
  <c r="N150" i="65" a="1"/>
  <c r="N150" i="65" s="1"/>
  <c r="M150" i="65" a="1"/>
  <c r="M150" i="65" s="1"/>
  <c r="L150" i="65" a="1"/>
  <c r="L150" i="65" s="1"/>
  <c r="K150" i="65" a="1"/>
  <c r="K150" i="65" s="1"/>
  <c r="J150" i="65" a="1"/>
  <c r="J150" i="65" s="1"/>
  <c r="I150" i="65" a="1"/>
  <c r="I150" i="65" s="1"/>
  <c r="H150" i="65" a="1"/>
  <c r="H150" i="65" s="1"/>
  <c r="G150" i="65" a="1"/>
  <c r="G150" i="65" s="1"/>
  <c r="F150" i="65" a="1"/>
  <c r="F150" i="65" s="1"/>
  <c r="E150" i="65" a="1"/>
  <c r="E150" i="65" s="1"/>
  <c r="D150" i="65" a="1"/>
  <c r="D150" i="65" s="1"/>
  <c r="AE149" i="65" a="1"/>
  <c r="AE149" i="65" s="1"/>
  <c r="AD149" i="65" a="1"/>
  <c r="AD149" i="65" s="1"/>
  <c r="AC149" i="65" a="1"/>
  <c r="AC149" i="65" s="1"/>
  <c r="AB149" i="65" a="1"/>
  <c r="AB149" i="65" s="1"/>
  <c r="AA149" i="65" a="1"/>
  <c r="AA149" i="65" s="1"/>
  <c r="Z149" i="65" a="1"/>
  <c r="Z149" i="65" s="1"/>
  <c r="Y149" i="65" a="1"/>
  <c r="Y149" i="65" s="1"/>
  <c r="X149" i="65" a="1"/>
  <c r="X149" i="65" s="1"/>
  <c r="W149" i="65" a="1"/>
  <c r="W149" i="65" s="1"/>
  <c r="V149" i="65" a="1"/>
  <c r="V149" i="65" s="1"/>
  <c r="U149" i="65" a="1"/>
  <c r="U149" i="65" s="1"/>
  <c r="T149" i="65" a="1"/>
  <c r="T149" i="65" s="1"/>
  <c r="S149" i="65" a="1"/>
  <c r="S149" i="65" s="1"/>
  <c r="R149" i="65" a="1"/>
  <c r="R149" i="65" s="1"/>
  <c r="Q149" i="65" a="1"/>
  <c r="Q149" i="65" s="1"/>
  <c r="P149" i="65" a="1"/>
  <c r="P149" i="65" s="1"/>
  <c r="O149" i="65" a="1"/>
  <c r="O149" i="65" s="1"/>
  <c r="N149" i="65" a="1"/>
  <c r="N149" i="65" s="1"/>
  <c r="M149" i="65" a="1"/>
  <c r="M149" i="65" s="1"/>
  <c r="L149" i="65" a="1"/>
  <c r="L149" i="65" s="1"/>
  <c r="K149" i="65" a="1"/>
  <c r="K149" i="65" s="1"/>
  <c r="J149" i="65" a="1"/>
  <c r="J149" i="65" s="1"/>
  <c r="I149" i="65" a="1"/>
  <c r="I149" i="65" s="1"/>
  <c r="H149" i="65" a="1"/>
  <c r="H149" i="65" s="1"/>
  <c r="G149" i="65" a="1"/>
  <c r="G149" i="65" s="1"/>
  <c r="F149" i="65" a="1"/>
  <c r="F149" i="65" s="1"/>
  <c r="E149" i="65" a="1"/>
  <c r="E149" i="65" s="1"/>
  <c r="D149" i="65" a="1"/>
  <c r="D149" i="65" s="1"/>
  <c r="AE148" i="65" a="1"/>
  <c r="AE148" i="65" s="1"/>
  <c r="AD148" i="65" a="1"/>
  <c r="AD148" i="65" s="1"/>
  <c r="AC148" i="65" a="1"/>
  <c r="AC148" i="65" s="1"/>
  <c r="AB148" i="65" a="1"/>
  <c r="AB148" i="65" s="1"/>
  <c r="AA148" i="65" a="1"/>
  <c r="AA148" i="65" s="1"/>
  <c r="Z148" i="65" a="1"/>
  <c r="Z148" i="65" s="1"/>
  <c r="Y148" i="65" a="1"/>
  <c r="Y148" i="65" s="1"/>
  <c r="X148" i="65" a="1"/>
  <c r="X148" i="65" s="1"/>
  <c r="W148" i="65" a="1"/>
  <c r="W148" i="65" s="1"/>
  <c r="V148" i="65" a="1"/>
  <c r="V148" i="65" s="1"/>
  <c r="U148" i="65" a="1"/>
  <c r="U148" i="65" s="1"/>
  <c r="T148" i="65" a="1"/>
  <c r="T148" i="65" s="1"/>
  <c r="S148" i="65" a="1"/>
  <c r="S148" i="65" s="1"/>
  <c r="R148" i="65" a="1"/>
  <c r="R148" i="65" s="1"/>
  <c r="Q148" i="65" a="1"/>
  <c r="Q148" i="65" s="1"/>
  <c r="P148" i="65" a="1"/>
  <c r="P148" i="65" s="1"/>
  <c r="O148" i="65" a="1"/>
  <c r="O148" i="65" s="1"/>
  <c r="N148" i="65" a="1"/>
  <c r="N148" i="65" s="1"/>
  <c r="M148" i="65" a="1"/>
  <c r="M148" i="65" s="1"/>
  <c r="L148" i="65" a="1"/>
  <c r="L148" i="65" s="1"/>
  <c r="K148" i="65" a="1"/>
  <c r="K148" i="65" s="1"/>
  <c r="J148" i="65" a="1"/>
  <c r="J148" i="65" s="1"/>
  <c r="I148" i="65" a="1"/>
  <c r="I148" i="65" s="1"/>
  <c r="H148" i="65" a="1"/>
  <c r="H148" i="65" s="1"/>
  <c r="G148" i="65" a="1"/>
  <c r="G148" i="65" s="1"/>
  <c r="F148" i="65" a="1"/>
  <c r="F148" i="65" s="1"/>
  <c r="E148" i="65" a="1"/>
  <c r="E148" i="65" s="1"/>
  <c r="D148" i="65" a="1"/>
  <c r="D148" i="65" s="1"/>
  <c r="AE147" i="65" a="1"/>
  <c r="AE147" i="65" s="1"/>
  <c r="AD147" i="65" a="1"/>
  <c r="AD147" i="65" s="1"/>
  <c r="AC147" i="65" a="1"/>
  <c r="AC147" i="65" s="1"/>
  <c r="AB147" i="65" a="1"/>
  <c r="AB147" i="65" s="1"/>
  <c r="AA147" i="65" a="1"/>
  <c r="AA147" i="65" s="1"/>
  <c r="Z147" i="65" a="1"/>
  <c r="Z147" i="65" s="1"/>
  <c r="Y147" i="65" a="1"/>
  <c r="Y147" i="65" s="1"/>
  <c r="X147" i="65" a="1"/>
  <c r="X147" i="65" s="1"/>
  <c r="W147" i="65" a="1"/>
  <c r="W147" i="65" s="1"/>
  <c r="V147" i="65" a="1"/>
  <c r="V147" i="65" s="1"/>
  <c r="U147" i="65" a="1"/>
  <c r="U147" i="65" s="1"/>
  <c r="T147" i="65" a="1"/>
  <c r="T147" i="65" s="1"/>
  <c r="S147" i="65" a="1"/>
  <c r="S147" i="65" s="1"/>
  <c r="R147" i="65" a="1"/>
  <c r="R147" i="65" s="1"/>
  <c r="Q147" i="65" a="1"/>
  <c r="Q147" i="65" s="1"/>
  <c r="P147" i="65" a="1"/>
  <c r="P147" i="65" s="1"/>
  <c r="O147" i="65" a="1"/>
  <c r="O147" i="65" s="1"/>
  <c r="N147" i="65" a="1"/>
  <c r="N147" i="65" s="1"/>
  <c r="M147" i="65" a="1"/>
  <c r="M147" i="65" s="1"/>
  <c r="L147" i="65" a="1"/>
  <c r="L147" i="65" s="1"/>
  <c r="K147" i="65" a="1"/>
  <c r="K147" i="65" s="1"/>
  <c r="J147" i="65" a="1"/>
  <c r="J147" i="65" s="1"/>
  <c r="I147" i="65" a="1"/>
  <c r="I147" i="65" s="1"/>
  <c r="H147" i="65" a="1"/>
  <c r="H147" i="65" s="1"/>
  <c r="G147" i="65" a="1"/>
  <c r="G147" i="65" s="1"/>
  <c r="F147" i="65" a="1"/>
  <c r="F147" i="65" s="1"/>
  <c r="E147" i="65" a="1"/>
  <c r="E147" i="65" s="1"/>
  <c r="D147" i="65" a="1"/>
  <c r="D147" i="65" s="1"/>
  <c r="AE146" i="65" a="1"/>
  <c r="AE146" i="65" s="1"/>
  <c r="AD146" i="65" a="1"/>
  <c r="AD146" i="65" s="1"/>
  <c r="AC146" i="65" a="1"/>
  <c r="AC146" i="65" s="1"/>
  <c r="AB146" i="65" a="1"/>
  <c r="AB146" i="65" s="1"/>
  <c r="AA146" i="65" a="1"/>
  <c r="AA146" i="65" s="1"/>
  <c r="Z146" i="65" a="1"/>
  <c r="Z146" i="65" s="1"/>
  <c r="Y146" i="65" a="1"/>
  <c r="Y146" i="65" s="1"/>
  <c r="X146" i="65" a="1"/>
  <c r="X146" i="65" s="1"/>
  <c r="W146" i="65" a="1"/>
  <c r="W146" i="65" s="1"/>
  <c r="V146" i="65" a="1"/>
  <c r="V146" i="65" s="1"/>
  <c r="U146" i="65" a="1"/>
  <c r="U146" i="65" s="1"/>
  <c r="T146" i="65" a="1"/>
  <c r="T146" i="65" s="1"/>
  <c r="S146" i="65" a="1"/>
  <c r="S146" i="65" s="1"/>
  <c r="R146" i="65" a="1"/>
  <c r="R146" i="65" s="1"/>
  <c r="Q146" i="65" a="1"/>
  <c r="Q146" i="65" s="1"/>
  <c r="P146" i="65" a="1"/>
  <c r="P146" i="65" s="1"/>
  <c r="O146" i="65" a="1"/>
  <c r="O146" i="65" s="1"/>
  <c r="N146" i="65" a="1"/>
  <c r="N146" i="65" s="1"/>
  <c r="M146" i="65" a="1"/>
  <c r="M146" i="65" s="1"/>
  <c r="L146" i="65" a="1"/>
  <c r="L146" i="65" s="1"/>
  <c r="K146" i="65" a="1"/>
  <c r="K146" i="65" s="1"/>
  <c r="J146" i="65" a="1"/>
  <c r="J146" i="65" s="1"/>
  <c r="I146" i="65" a="1"/>
  <c r="I146" i="65" s="1"/>
  <c r="H146" i="65" a="1"/>
  <c r="H146" i="65" s="1"/>
  <c r="G146" i="65" a="1"/>
  <c r="G146" i="65" s="1"/>
  <c r="F146" i="65" a="1"/>
  <c r="F146" i="65" s="1"/>
  <c r="E146" i="65" a="1"/>
  <c r="E146" i="65" s="1"/>
  <c r="D146" i="65" a="1"/>
  <c r="D146" i="65" s="1"/>
  <c r="AE145" i="65" a="1"/>
  <c r="AE145" i="65" s="1"/>
  <c r="AD145" i="65" a="1"/>
  <c r="AD145" i="65" s="1"/>
  <c r="AC145" i="65" a="1"/>
  <c r="AC145" i="65" s="1"/>
  <c r="AB145" i="65" a="1"/>
  <c r="AB145" i="65" s="1"/>
  <c r="AA145" i="65" a="1"/>
  <c r="AA145" i="65" s="1"/>
  <c r="Z145" i="65" a="1"/>
  <c r="Z145" i="65" s="1"/>
  <c r="Y145" i="65" a="1"/>
  <c r="Y145" i="65" s="1"/>
  <c r="X145" i="65" a="1"/>
  <c r="X145" i="65" s="1"/>
  <c r="W145" i="65" a="1"/>
  <c r="W145" i="65" s="1"/>
  <c r="V145" i="65" a="1"/>
  <c r="V145" i="65" s="1"/>
  <c r="U145" i="65" a="1"/>
  <c r="U145" i="65" s="1"/>
  <c r="T145" i="65" a="1"/>
  <c r="T145" i="65" s="1"/>
  <c r="S145" i="65" a="1"/>
  <c r="S145" i="65" s="1"/>
  <c r="R145" i="65" a="1"/>
  <c r="R145" i="65" s="1"/>
  <c r="Q145" i="65" a="1"/>
  <c r="Q145" i="65" s="1"/>
  <c r="P145" i="65" a="1"/>
  <c r="P145" i="65" s="1"/>
  <c r="O145" i="65" a="1"/>
  <c r="O145" i="65" s="1"/>
  <c r="N145" i="65" a="1"/>
  <c r="N145" i="65" s="1"/>
  <c r="M145" i="65" a="1"/>
  <c r="M145" i="65" s="1"/>
  <c r="L145" i="65" a="1"/>
  <c r="L145" i="65" s="1"/>
  <c r="K145" i="65" a="1"/>
  <c r="K145" i="65" s="1"/>
  <c r="J145" i="65" a="1"/>
  <c r="J145" i="65" s="1"/>
  <c r="I145" i="65" a="1"/>
  <c r="I145" i="65" s="1"/>
  <c r="H145" i="65" a="1"/>
  <c r="H145" i="65" s="1"/>
  <c r="G145" i="65" a="1"/>
  <c r="G145" i="65" s="1"/>
  <c r="F145" i="65" a="1"/>
  <c r="F145" i="65" s="1"/>
  <c r="E145" i="65" a="1"/>
  <c r="E145" i="65" s="1"/>
  <c r="D145" i="65" a="1"/>
  <c r="D145" i="65" s="1"/>
  <c r="AE144" i="65" a="1"/>
  <c r="AE144" i="65" s="1"/>
  <c r="AD144" i="65" a="1"/>
  <c r="AD144" i="65" s="1"/>
  <c r="AC144" i="65" a="1"/>
  <c r="AC144" i="65" s="1"/>
  <c r="AB144" i="65" a="1"/>
  <c r="AB144" i="65" s="1"/>
  <c r="AA144" i="65" a="1"/>
  <c r="AA144" i="65" s="1"/>
  <c r="Z144" i="65" a="1"/>
  <c r="Z144" i="65" s="1"/>
  <c r="Y144" i="65" a="1"/>
  <c r="Y144" i="65" s="1"/>
  <c r="X144" i="65" a="1"/>
  <c r="X144" i="65" s="1"/>
  <c r="W144" i="65" a="1"/>
  <c r="W144" i="65" s="1"/>
  <c r="V144" i="65" a="1"/>
  <c r="V144" i="65" s="1"/>
  <c r="U144" i="65" a="1"/>
  <c r="U144" i="65" s="1"/>
  <c r="T144" i="65" a="1"/>
  <c r="T144" i="65" s="1"/>
  <c r="S144" i="65" a="1"/>
  <c r="S144" i="65" s="1"/>
  <c r="R144" i="65" a="1"/>
  <c r="R144" i="65" s="1"/>
  <c r="Q144" i="65" a="1"/>
  <c r="Q144" i="65" s="1"/>
  <c r="P144" i="65" a="1"/>
  <c r="P144" i="65" s="1"/>
  <c r="O144" i="65" a="1"/>
  <c r="O144" i="65" s="1"/>
  <c r="N144" i="65" a="1"/>
  <c r="N144" i="65" s="1"/>
  <c r="M144" i="65" a="1"/>
  <c r="M144" i="65" s="1"/>
  <c r="L144" i="65" a="1"/>
  <c r="L144" i="65" s="1"/>
  <c r="K144" i="65" a="1"/>
  <c r="K144" i="65" s="1"/>
  <c r="J144" i="65" a="1"/>
  <c r="J144" i="65" s="1"/>
  <c r="I144" i="65" a="1"/>
  <c r="I144" i="65" s="1"/>
  <c r="H144" i="65" a="1"/>
  <c r="H144" i="65" s="1"/>
  <c r="G144" i="65" a="1"/>
  <c r="G144" i="65" s="1"/>
  <c r="F144" i="65" a="1"/>
  <c r="F144" i="65" s="1"/>
  <c r="E144" i="65" a="1"/>
  <c r="E144" i="65" s="1"/>
  <c r="D144" i="65" a="1"/>
  <c r="D144" i="65" s="1"/>
  <c r="AE143" i="65" a="1"/>
  <c r="AE143" i="65" s="1"/>
  <c r="AD143" i="65" a="1"/>
  <c r="AD143" i="65" s="1"/>
  <c r="AC143" i="65" a="1"/>
  <c r="AC143" i="65" s="1"/>
  <c r="AB143" i="65" a="1"/>
  <c r="AB143" i="65" s="1"/>
  <c r="AA143" i="65" a="1"/>
  <c r="AA143" i="65" s="1"/>
  <c r="Z143" i="65" a="1"/>
  <c r="Z143" i="65" s="1"/>
  <c r="Y143" i="65" a="1"/>
  <c r="Y143" i="65" s="1"/>
  <c r="X143" i="65" a="1"/>
  <c r="X143" i="65" s="1"/>
  <c r="W143" i="65" a="1"/>
  <c r="W143" i="65" s="1"/>
  <c r="V143" i="65" a="1"/>
  <c r="V143" i="65" s="1"/>
  <c r="U143" i="65" a="1"/>
  <c r="U143" i="65" s="1"/>
  <c r="T143" i="65" a="1"/>
  <c r="T143" i="65" s="1"/>
  <c r="S143" i="65" a="1"/>
  <c r="S143" i="65" s="1"/>
  <c r="R143" i="65" a="1"/>
  <c r="R143" i="65" s="1"/>
  <c r="Q143" i="65" a="1"/>
  <c r="Q143" i="65" s="1"/>
  <c r="P143" i="65" a="1"/>
  <c r="P143" i="65" s="1"/>
  <c r="O143" i="65" a="1"/>
  <c r="O143" i="65" s="1"/>
  <c r="N143" i="65" a="1"/>
  <c r="N143" i="65" s="1"/>
  <c r="M143" i="65" a="1"/>
  <c r="M143" i="65" s="1"/>
  <c r="L143" i="65" a="1"/>
  <c r="L143" i="65" s="1"/>
  <c r="K143" i="65" a="1"/>
  <c r="K143" i="65" s="1"/>
  <c r="J143" i="65" a="1"/>
  <c r="J143" i="65" s="1"/>
  <c r="I143" i="65" a="1"/>
  <c r="I143" i="65" s="1"/>
  <c r="H143" i="65" a="1"/>
  <c r="H143" i="65" s="1"/>
  <c r="G143" i="65" a="1"/>
  <c r="G143" i="65" s="1"/>
  <c r="F143" i="65" a="1"/>
  <c r="F143" i="65" s="1"/>
  <c r="E143" i="65" a="1"/>
  <c r="E143" i="65" s="1"/>
  <c r="D143" i="65" a="1"/>
  <c r="D143" i="65" s="1"/>
  <c r="AE142" i="65" a="1"/>
  <c r="AE142" i="65" s="1"/>
  <c r="AD142" i="65" a="1"/>
  <c r="AD142" i="65" s="1"/>
  <c r="AC142" i="65" a="1"/>
  <c r="AC142" i="65" s="1"/>
  <c r="AB142" i="65" a="1"/>
  <c r="AB142" i="65" s="1"/>
  <c r="AA142" i="65" a="1"/>
  <c r="AA142" i="65" s="1"/>
  <c r="Z142" i="65" a="1"/>
  <c r="Z142" i="65" s="1"/>
  <c r="Y142" i="65" a="1"/>
  <c r="Y142" i="65" s="1"/>
  <c r="X142" i="65" a="1"/>
  <c r="X142" i="65" s="1"/>
  <c r="W142" i="65" a="1"/>
  <c r="W142" i="65" s="1"/>
  <c r="V142" i="65" a="1"/>
  <c r="V142" i="65" s="1"/>
  <c r="U142" i="65" a="1"/>
  <c r="U142" i="65" s="1"/>
  <c r="T142" i="65" a="1"/>
  <c r="T142" i="65" s="1"/>
  <c r="S142" i="65" a="1"/>
  <c r="S142" i="65" s="1"/>
  <c r="R142" i="65" a="1"/>
  <c r="R142" i="65" s="1"/>
  <c r="Q142" i="65" a="1"/>
  <c r="Q142" i="65" s="1"/>
  <c r="P142" i="65" a="1"/>
  <c r="P142" i="65" s="1"/>
  <c r="O142" i="65" a="1"/>
  <c r="O142" i="65" s="1"/>
  <c r="N142" i="65" a="1"/>
  <c r="N142" i="65" s="1"/>
  <c r="M142" i="65" a="1"/>
  <c r="M142" i="65" s="1"/>
  <c r="L142" i="65" a="1"/>
  <c r="L142" i="65" s="1"/>
  <c r="K142" i="65" a="1"/>
  <c r="K142" i="65" s="1"/>
  <c r="J142" i="65" a="1"/>
  <c r="J142" i="65" s="1"/>
  <c r="I142" i="65" a="1"/>
  <c r="I142" i="65" s="1"/>
  <c r="H142" i="65" a="1"/>
  <c r="H142" i="65" s="1"/>
  <c r="G142" i="65" a="1"/>
  <c r="G142" i="65" s="1"/>
  <c r="F142" i="65" a="1"/>
  <c r="F142" i="65" s="1"/>
  <c r="E142" i="65" a="1"/>
  <c r="E142" i="65" s="1"/>
  <c r="D142" i="65" a="1"/>
  <c r="D142" i="65" s="1"/>
  <c r="AE141" i="65" a="1"/>
  <c r="AE141" i="65" s="1"/>
  <c r="AD141" i="65" a="1"/>
  <c r="AD141" i="65" s="1"/>
  <c r="AC141" i="65" a="1"/>
  <c r="AC141" i="65" s="1"/>
  <c r="AB141" i="65" a="1"/>
  <c r="AB141" i="65" s="1"/>
  <c r="AA141" i="65" a="1"/>
  <c r="AA141" i="65" s="1"/>
  <c r="Z141" i="65" a="1"/>
  <c r="Z141" i="65" s="1"/>
  <c r="Y141" i="65" a="1"/>
  <c r="Y141" i="65" s="1"/>
  <c r="X141" i="65" a="1"/>
  <c r="X141" i="65" s="1"/>
  <c r="W141" i="65" a="1"/>
  <c r="W141" i="65" s="1"/>
  <c r="V141" i="65" a="1"/>
  <c r="V141" i="65" s="1"/>
  <c r="U141" i="65" a="1"/>
  <c r="U141" i="65" s="1"/>
  <c r="T141" i="65" a="1"/>
  <c r="T141" i="65" s="1"/>
  <c r="S141" i="65" a="1"/>
  <c r="S141" i="65" s="1"/>
  <c r="R141" i="65" a="1"/>
  <c r="R141" i="65" s="1"/>
  <c r="Q141" i="65" a="1"/>
  <c r="Q141" i="65" s="1"/>
  <c r="P141" i="65" a="1"/>
  <c r="P141" i="65" s="1"/>
  <c r="O141" i="65" a="1"/>
  <c r="O141" i="65" s="1"/>
  <c r="N141" i="65" a="1"/>
  <c r="N141" i="65" s="1"/>
  <c r="M141" i="65" a="1"/>
  <c r="M141" i="65" s="1"/>
  <c r="L141" i="65" a="1"/>
  <c r="L141" i="65" s="1"/>
  <c r="K141" i="65" a="1"/>
  <c r="K141" i="65" s="1"/>
  <c r="J141" i="65" a="1"/>
  <c r="J141" i="65" s="1"/>
  <c r="I141" i="65" a="1"/>
  <c r="I141" i="65" s="1"/>
  <c r="H141" i="65" a="1"/>
  <c r="H141" i="65" s="1"/>
  <c r="G141" i="65" a="1"/>
  <c r="G141" i="65" s="1"/>
  <c r="F141" i="65" a="1"/>
  <c r="F141" i="65" s="1"/>
  <c r="E141" i="65" a="1"/>
  <c r="E141" i="65" s="1"/>
  <c r="D141" i="65" a="1"/>
  <c r="D141" i="65" s="1"/>
  <c r="AE140" i="65" a="1"/>
  <c r="AE140" i="65" s="1"/>
  <c r="AD140" i="65" a="1"/>
  <c r="AD140" i="65" s="1"/>
  <c r="AC140" i="65" a="1"/>
  <c r="AC140" i="65" s="1"/>
  <c r="AB140" i="65" a="1"/>
  <c r="AB140" i="65" s="1"/>
  <c r="AA140" i="65" a="1"/>
  <c r="AA140" i="65" s="1"/>
  <c r="Z140" i="65" a="1"/>
  <c r="Z140" i="65" s="1"/>
  <c r="Y140" i="65" a="1"/>
  <c r="Y140" i="65" s="1"/>
  <c r="X140" i="65" a="1"/>
  <c r="X140" i="65" s="1"/>
  <c r="W140" i="65" a="1"/>
  <c r="W140" i="65" s="1"/>
  <c r="V140" i="65" a="1"/>
  <c r="V140" i="65" s="1"/>
  <c r="U140" i="65" a="1"/>
  <c r="U140" i="65" s="1"/>
  <c r="T140" i="65" a="1"/>
  <c r="T140" i="65" s="1"/>
  <c r="S140" i="65" a="1"/>
  <c r="S140" i="65" s="1"/>
  <c r="R140" i="65" a="1"/>
  <c r="R140" i="65" s="1"/>
  <c r="Q140" i="65" a="1"/>
  <c r="Q140" i="65" s="1"/>
  <c r="P140" i="65" a="1"/>
  <c r="P140" i="65" s="1"/>
  <c r="O140" i="65" a="1"/>
  <c r="O140" i="65" s="1"/>
  <c r="N140" i="65" a="1"/>
  <c r="N140" i="65" s="1"/>
  <c r="M140" i="65" a="1"/>
  <c r="M140" i="65" s="1"/>
  <c r="L140" i="65" a="1"/>
  <c r="L140" i="65" s="1"/>
  <c r="K140" i="65" a="1"/>
  <c r="K140" i="65" s="1"/>
  <c r="J140" i="65" a="1"/>
  <c r="J140" i="65" s="1"/>
  <c r="I140" i="65" a="1"/>
  <c r="I140" i="65" s="1"/>
  <c r="H140" i="65" a="1"/>
  <c r="H140" i="65" s="1"/>
  <c r="G140" i="65" a="1"/>
  <c r="G140" i="65" s="1"/>
  <c r="F140" i="65" a="1"/>
  <c r="F140" i="65" s="1"/>
  <c r="E140" i="65" a="1"/>
  <c r="E140" i="65" s="1"/>
  <c r="D140" i="65" a="1"/>
  <c r="D140" i="65" s="1"/>
  <c r="AE139" i="65" a="1"/>
  <c r="AE139" i="65" s="1"/>
  <c r="AD139" i="65" a="1"/>
  <c r="AD139" i="65" s="1"/>
  <c r="AC139" i="65" a="1"/>
  <c r="AC139" i="65" s="1"/>
  <c r="AB139" i="65" a="1"/>
  <c r="AB139" i="65" s="1"/>
  <c r="AA139" i="65" a="1"/>
  <c r="AA139" i="65" s="1"/>
  <c r="Z139" i="65" a="1"/>
  <c r="Z139" i="65" s="1"/>
  <c r="Y139" i="65" a="1"/>
  <c r="Y139" i="65" s="1"/>
  <c r="X139" i="65" a="1"/>
  <c r="X139" i="65" s="1"/>
  <c r="W139" i="65" a="1"/>
  <c r="W139" i="65" s="1"/>
  <c r="V139" i="65" a="1"/>
  <c r="V139" i="65" s="1"/>
  <c r="U139" i="65" a="1"/>
  <c r="U139" i="65" s="1"/>
  <c r="T139" i="65" a="1"/>
  <c r="T139" i="65" s="1"/>
  <c r="S139" i="65" a="1"/>
  <c r="S139" i="65" s="1"/>
  <c r="R139" i="65" a="1"/>
  <c r="R139" i="65" s="1"/>
  <c r="Q139" i="65" a="1"/>
  <c r="Q139" i="65" s="1"/>
  <c r="P139" i="65" a="1"/>
  <c r="P139" i="65" s="1"/>
  <c r="O139" i="65" a="1"/>
  <c r="O139" i="65" s="1"/>
  <c r="N139" i="65" a="1"/>
  <c r="N139" i="65" s="1"/>
  <c r="M139" i="65" a="1"/>
  <c r="M139" i="65" s="1"/>
  <c r="L139" i="65" a="1"/>
  <c r="L139" i="65" s="1"/>
  <c r="K139" i="65" a="1"/>
  <c r="K139" i="65" s="1"/>
  <c r="J139" i="65" a="1"/>
  <c r="J139" i="65" s="1"/>
  <c r="I139" i="65" a="1"/>
  <c r="I139" i="65" s="1"/>
  <c r="H139" i="65" a="1"/>
  <c r="H139" i="65" s="1"/>
  <c r="G139" i="65" a="1"/>
  <c r="G139" i="65" s="1"/>
  <c r="F139" i="65" a="1"/>
  <c r="F139" i="65" s="1"/>
  <c r="E139" i="65" a="1"/>
  <c r="E139" i="65" s="1"/>
  <c r="D139" i="65" a="1"/>
  <c r="D139" i="65" s="1"/>
  <c r="AE138" i="65" a="1"/>
  <c r="AE138" i="65" s="1"/>
  <c r="AD138" i="65" a="1"/>
  <c r="AD138" i="65" s="1"/>
  <c r="AC138" i="65" a="1"/>
  <c r="AC138" i="65" s="1"/>
  <c r="AB138" i="65" a="1"/>
  <c r="AB138" i="65" s="1"/>
  <c r="AA138" i="65" a="1"/>
  <c r="AA138" i="65" s="1"/>
  <c r="Z138" i="65" a="1"/>
  <c r="Z138" i="65" s="1"/>
  <c r="Y138" i="65" a="1"/>
  <c r="Y138" i="65" s="1"/>
  <c r="X138" i="65" a="1"/>
  <c r="X138" i="65" s="1"/>
  <c r="W138" i="65" a="1"/>
  <c r="W138" i="65" s="1"/>
  <c r="V138" i="65" a="1"/>
  <c r="V138" i="65" s="1"/>
  <c r="U138" i="65" a="1"/>
  <c r="U138" i="65" s="1"/>
  <c r="T138" i="65" a="1"/>
  <c r="T138" i="65" s="1"/>
  <c r="S138" i="65" a="1"/>
  <c r="S138" i="65" s="1"/>
  <c r="R138" i="65" a="1"/>
  <c r="R138" i="65" s="1"/>
  <c r="Q138" i="65" a="1"/>
  <c r="Q138" i="65" s="1"/>
  <c r="P138" i="65" a="1"/>
  <c r="P138" i="65" s="1"/>
  <c r="O138" i="65" a="1"/>
  <c r="O138" i="65" s="1"/>
  <c r="N138" i="65" a="1"/>
  <c r="N138" i="65" s="1"/>
  <c r="M138" i="65" a="1"/>
  <c r="M138" i="65" s="1"/>
  <c r="L138" i="65" a="1"/>
  <c r="L138" i="65" s="1"/>
  <c r="K138" i="65" a="1"/>
  <c r="K138" i="65" s="1"/>
  <c r="J138" i="65" a="1"/>
  <c r="J138" i="65" s="1"/>
  <c r="I138" i="65" a="1"/>
  <c r="I138" i="65" s="1"/>
  <c r="H138" i="65" a="1"/>
  <c r="H138" i="65" s="1"/>
  <c r="G138" i="65" a="1"/>
  <c r="G138" i="65" s="1"/>
  <c r="F138" i="65" a="1"/>
  <c r="F138" i="65" s="1"/>
  <c r="E138" i="65" a="1"/>
  <c r="E138" i="65" s="1"/>
  <c r="D138" i="65" a="1"/>
  <c r="D138" i="65" s="1"/>
  <c r="AE137" i="65" a="1"/>
  <c r="AE137" i="65" s="1"/>
  <c r="AD137" i="65" a="1"/>
  <c r="AD137" i="65" s="1"/>
  <c r="AC137" i="65" a="1"/>
  <c r="AC137" i="65" s="1"/>
  <c r="AB137" i="65" a="1"/>
  <c r="AB137" i="65" s="1"/>
  <c r="AA137" i="65" a="1"/>
  <c r="AA137" i="65" s="1"/>
  <c r="Z137" i="65" a="1"/>
  <c r="Z137" i="65" s="1"/>
  <c r="Y137" i="65" a="1"/>
  <c r="Y137" i="65" s="1"/>
  <c r="X137" i="65" a="1"/>
  <c r="X137" i="65" s="1"/>
  <c r="W137" i="65" a="1"/>
  <c r="W137" i="65" s="1"/>
  <c r="V137" i="65" a="1"/>
  <c r="V137" i="65" s="1"/>
  <c r="U137" i="65" a="1"/>
  <c r="U137" i="65" s="1"/>
  <c r="T137" i="65" a="1"/>
  <c r="T137" i="65" s="1"/>
  <c r="S137" i="65" a="1"/>
  <c r="S137" i="65" s="1"/>
  <c r="R137" i="65" a="1"/>
  <c r="R137" i="65" s="1"/>
  <c r="Q137" i="65" a="1"/>
  <c r="Q137" i="65" s="1"/>
  <c r="P137" i="65" a="1"/>
  <c r="P137" i="65" s="1"/>
  <c r="O137" i="65" a="1"/>
  <c r="O137" i="65" s="1"/>
  <c r="N137" i="65" a="1"/>
  <c r="N137" i="65" s="1"/>
  <c r="M137" i="65" a="1"/>
  <c r="M137" i="65" s="1"/>
  <c r="L137" i="65" a="1"/>
  <c r="L137" i="65" s="1"/>
  <c r="K137" i="65" a="1"/>
  <c r="K137" i="65" s="1"/>
  <c r="J137" i="65" a="1"/>
  <c r="J137" i="65" s="1"/>
  <c r="I137" i="65" a="1"/>
  <c r="I137" i="65" s="1"/>
  <c r="H137" i="65" a="1"/>
  <c r="H137" i="65" s="1"/>
  <c r="G137" i="65" a="1"/>
  <c r="G137" i="65" s="1"/>
  <c r="F137" i="65" a="1"/>
  <c r="F137" i="65" s="1"/>
  <c r="E137" i="65" a="1"/>
  <c r="E137" i="65" s="1"/>
  <c r="D137" i="65" a="1"/>
  <c r="D137" i="65" s="1"/>
  <c r="AE136" i="65" a="1"/>
  <c r="AE136" i="65" s="1"/>
  <c r="AD136" i="65" a="1"/>
  <c r="AD136" i="65" s="1"/>
  <c r="AC136" i="65" a="1"/>
  <c r="AC136" i="65" s="1"/>
  <c r="AB136" i="65" a="1"/>
  <c r="AB136" i="65" s="1"/>
  <c r="AA136" i="65" a="1"/>
  <c r="AA136" i="65" s="1"/>
  <c r="Z136" i="65" a="1"/>
  <c r="Z136" i="65" s="1"/>
  <c r="Y136" i="65" a="1"/>
  <c r="Y136" i="65" s="1"/>
  <c r="X136" i="65" a="1"/>
  <c r="X136" i="65" s="1"/>
  <c r="W136" i="65" a="1"/>
  <c r="W136" i="65" s="1"/>
  <c r="V136" i="65" a="1"/>
  <c r="V136" i="65" s="1"/>
  <c r="U136" i="65" a="1"/>
  <c r="U136" i="65" s="1"/>
  <c r="T136" i="65" a="1"/>
  <c r="T136" i="65" s="1"/>
  <c r="S136" i="65" a="1"/>
  <c r="S136" i="65" s="1"/>
  <c r="R136" i="65" a="1"/>
  <c r="R136" i="65" s="1"/>
  <c r="Q136" i="65" a="1"/>
  <c r="Q136" i="65" s="1"/>
  <c r="P136" i="65" a="1"/>
  <c r="P136" i="65" s="1"/>
  <c r="O136" i="65" a="1"/>
  <c r="O136" i="65" s="1"/>
  <c r="N136" i="65" a="1"/>
  <c r="N136" i="65" s="1"/>
  <c r="M136" i="65" a="1"/>
  <c r="M136" i="65" s="1"/>
  <c r="L136" i="65" a="1"/>
  <c r="L136" i="65" s="1"/>
  <c r="K136" i="65" a="1"/>
  <c r="K136" i="65" s="1"/>
  <c r="J136" i="65" a="1"/>
  <c r="J136" i="65" s="1"/>
  <c r="I136" i="65" a="1"/>
  <c r="I136" i="65" s="1"/>
  <c r="H136" i="65" a="1"/>
  <c r="H136" i="65" s="1"/>
  <c r="G136" i="65" a="1"/>
  <c r="G136" i="65" s="1"/>
  <c r="F136" i="65" a="1"/>
  <c r="F136" i="65" s="1"/>
  <c r="E136" i="65" a="1"/>
  <c r="E136" i="65" s="1"/>
  <c r="D136" i="65" a="1"/>
  <c r="D136" i="65" s="1"/>
  <c r="AE135" i="65" a="1"/>
  <c r="AE135" i="65" s="1"/>
  <c r="AD135" i="65" a="1"/>
  <c r="AD135" i="65" s="1"/>
  <c r="AC135" i="65" a="1"/>
  <c r="AC135" i="65" s="1"/>
  <c r="AB135" i="65" a="1"/>
  <c r="AB135" i="65" s="1"/>
  <c r="AA135" i="65" a="1"/>
  <c r="AA135" i="65" s="1"/>
  <c r="Z135" i="65" a="1"/>
  <c r="Z135" i="65" s="1"/>
  <c r="Y135" i="65" a="1"/>
  <c r="Y135" i="65" s="1"/>
  <c r="X135" i="65" a="1"/>
  <c r="X135" i="65" s="1"/>
  <c r="W135" i="65" a="1"/>
  <c r="W135" i="65" s="1"/>
  <c r="V135" i="65" a="1"/>
  <c r="V135" i="65" s="1"/>
  <c r="U135" i="65" a="1"/>
  <c r="U135" i="65" s="1"/>
  <c r="T135" i="65" a="1"/>
  <c r="T135" i="65" s="1"/>
  <c r="S135" i="65" a="1"/>
  <c r="S135" i="65" s="1"/>
  <c r="R135" i="65" a="1"/>
  <c r="R135" i="65" s="1"/>
  <c r="Q135" i="65" a="1"/>
  <c r="Q135" i="65" s="1"/>
  <c r="P135" i="65" a="1"/>
  <c r="P135" i="65" s="1"/>
  <c r="O135" i="65" a="1"/>
  <c r="O135" i="65" s="1"/>
  <c r="N135" i="65" a="1"/>
  <c r="N135" i="65" s="1"/>
  <c r="M135" i="65" a="1"/>
  <c r="M135" i="65" s="1"/>
  <c r="L135" i="65" a="1"/>
  <c r="L135" i="65" s="1"/>
  <c r="K135" i="65" a="1"/>
  <c r="K135" i="65" s="1"/>
  <c r="J135" i="65" a="1"/>
  <c r="J135" i="65" s="1"/>
  <c r="I135" i="65" a="1"/>
  <c r="I135" i="65" s="1"/>
  <c r="H135" i="65" a="1"/>
  <c r="H135" i="65" s="1"/>
  <c r="G135" i="65" a="1"/>
  <c r="G135" i="65" s="1"/>
  <c r="F135" i="65" a="1"/>
  <c r="F135" i="65" s="1"/>
  <c r="E135" i="65" a="1"/>
  <c r="E135" i="65" s="1"/>
  <c r="D135" i="65" a="1"/>
  <c r="D135" i="65" s="1"/>
  <c r="AE134" i="65" a="1"/>
  <c r="AE134" i="65" s="1"/>
  <c r="AD134" i="65" a="1"/>
  <c r="AD134" i="65" s="1"/>
  <c r="AC134" i="65" a="1"/>
  <c r="AC134" i="65" s="1"/>
  <c r="AB134" i="65" a="1"/>
  <c r="AB134" i="65" s="1"/>
  <c r="AA134" i="65" a="1"/>
  <c r="AA134" i="65" s="1"/>
  <c r="Z134" i="65" a="1"/>
  <c r="Z134" i="65" s="1"/>
  <c r="Y134" i="65" a="1"/>
  <c r="Y134" i="65" s="1"/>
  <c r="X134" i="65" a="1"/>
  <c r="X134" i="65" s="1"/>
  <c r="W134" i="65" a="1"/>
  <c r="W134" i="65" s="1"/>
  <c r="V134" i="65" a="1"/>
  <c r="V134" i="65" s="1"/>
  <c r="U134" i="65" a="1"/>
  <c r="U134" i="65" s="1"/>
  <c r="T134" i="65" a="1"/>
  <c r="T134" i="65" s="1"/>
  <c r="S134" i="65" a="1"/>
  <c r="S134" i="65" s="1"/>
  <c r="R134" i="65" a="1"/>
  <c r="R134" i="65" s="1"/>
  <c r="Q134" i="65" a="1"/>
  <c r="Q134" i="65" s="1"/>
  <c r="P134" i="65" a="1"/>
  <c r="P134" i="65" s="1"/>
  <c r="O134" i="65" a="1"/>
  <c r="O134" i="65" s="1"/>
  <c r="N134" i="65" a="1"/>
  <c r="N134" i="65" s="1"/>
  <c r="M134" i="65" a="1"/>
  <c r="M134" i="65" s="1"/>
  <c r="L134" i="65" a="1"/>
  <c r="L134" i="65" s="1"/>
  <c r="K134" i="65" a="1"/>
  <c r="K134" i="65" s="1"/>
  <c r="J134" i="65" a="1"/>
  <c r="J134" i="65" s="1"/>
  <c r="I134" i="65" a="1"/>
  <c r="I134" i="65" s="1"/>
  <c r="H134" i="65" a="1"/>
  <c r="H134" i="65" s="1"/>
  <c r="G134" i="65" a="1"/>
  <c r="G134" i="65" s="1"/>
  <c r="F134" i="65" a="1"/>
  <c r="F134" i="65" s="1"/>
  <c r="E134" i="65" a="1"/>
  <c r="E134" i="65" s="1"/>
  <c r="D134" i="65" a="1"/>
  <c r="D134" i="65" s="1"/>
  <c r="AE133" i="65" a="1"/>
  <c r="AE133" i="65" s="1"/>
  <c r="AD133" i="65" a="1"/>
  <c r="AD133" i="65" s="1"/>
  <c r="AC133" i="65" a="1"/>
  <c r="AC133" i="65" s="1"/>
  <c r="AB133" i="65" a="1"/>
  <c r="AB133" i="65" s="1"/>
  <c r="AA133" i="65" a="1"/>
  <c r="AA133" i="65" s="1"/>
  <c r="Z133" i="65" a="1"/>
  <c r="Z133" i="65" s="1"/>
  <c r="Y133" i="65" a="1"/>
  <c r="Y133" i="65" s="1"/>
  <c r="X133" i="65" a="1"/>
  <c r="X133" i="65" s="1"/>
  <c r="W133" i="65" a="1"/>
  <c r="W133" i="65" s="1"/>
  <c r="V133" i="65" a="1"/>
  <c r="V133" i="65" s="1"/>
  <c r="U133" i="65" a="1"/>
  <c r="U133" i="65" s="1"/>
  <c r="T133" i="65" a="1"/>
  <c r="T133" i="65" s="1"/>
  <c r="S133" i="65" a="1"/>
  <c r="S133" i="65" s="1"/>
  <c r="R133" i="65" a="1"/>
  <c r="R133" i="65" s="1"/>
  <c r="Q133" i="65" a="1"/>
  <c r="Q133" i="65" s="1"/>
  <c r="P133" i="65" a="1"/>
  <c r="P133" i="65" s="1"/>
  <c r="O133" i="65" a="1"/>
  <c r="O133" i="65" s="1"/>
  <c r="N133" i="65" a="1"/>
  <c r="N133" i="65" s="1"/>
  <c r="M133" i="65" a="1"/>
  <c r="M133" i="65" s="1"/>
  <c r="L133" i="65" a="1"/>
  <c r="L133" i="65" s="1"/>
  <c r="K133" i="65" a="1"/>
  <c r="K133" i="65" s="1"/>
  <c r="J133" i="65" a="1"/>
  <c r="J133" i="65" s="1"/>
  <c r="I133" i="65" a="1"/>
  <c r="I133" i="65" s="1"/>
  <c r="H133" i="65" a="1"/>
  <c r="H133" i="65" s="1"/>
  <c r="G133" i="65" a="1"/>
  <c r="G133" i="65" s="1"/>
  <c r="F133" i="65" a="1"/>
  <c r="F133" i="65" s="1"/>
  <c r="E133" i="65" a="1"/>
  <c r="E133" i="65" s="1"/>
  <c r="D133" i="65" a="1"/>
  <c r="D133" i="65" s="1"/>
  <c r="AE132" i="65" a="1"/>
  <c r="AE132" i="65" s="1"/>
  <c r="AD132" i="65" a="1"/>
  <c r="AD132" i="65" s="1"/>
  <c r="AC132" i="65" a="1"/>
  <c r="AC132" i="65" s="1"/>
  <c r="AB132" i="65" a="1"/>
  <c r="AB132" i="65" s="1"/>
  <c r="AA132" i="65" a="1"/>
  <c r="AA132" i="65" s="1"/>
  <c r="Z132" i="65" a="1"/>
  <c r="Z132" i="65" s="1"/>
  <c r="Y132" i="65" a="1"/>
  <c r="Y132" i="65" s="1"/>
  <c r="X132" i="65" a="1"/>
  <c r="X132" i="65" s="1"/>
  <c r="W132" i="65" a="1"/>
  <c r="W132" i="65" s="1"/>
  <c r="V132" i="65" a="1"/>
  <c r="V132" i="65" s="1"/>
  <c r="U132" i="65" a="1"/>
  <c r="U132" i="65" s="1"/>
  <c r="T132" i="65" a="1"/>
  <c r="T132" i="65" s="1"/>
  <c r="S132" i="65" a="1"/>
  <c r="S132" i="65" s="1"/>
  <c r="R132" i="65" a="1"/>
  <c r="R132" i="65" s="1"/>
  <c r="Q132" i="65" a="1"/>
  <c r="Q132" i="65" s="1"/>
  <c r="P132" i="65" a="1"/>
  <c r="P132" i="65" s="1"/>
  <c r="O132" i="65" a="1"/>
  <c r="O132" i="65" s="1"/>
  <c r="N132" i="65" a="1"/>
  <c r="N132" i="65" s="1"/>
  <c r="M132" i="65" a="1"/>
  <c r="M132" i="65" s="1"/>
  <c r="L132" i="65" a="1"/>
  <c r="L132" i="65" s="1"/>
  <c r="K132" i="65" a="1"/>
  <c r="K132" i="65" s="1"/>
  <c r="J132" i="65" a="1"/>
  <c r="J132" i="65" s="1"/>
  <c r="I132" i="65" a="1"/>
  <c r="I132" i="65" s="1"/>
  <c r="H132" i="65" a="1"/>
  <c r="H132" i="65" s="1"/>
  <c r="G132" i="65" a="1"/>
  <c r="G132" i="65" s="1"/>
  <c r="F132" i="65" a="1"/>
  <c r="F132" i="65" s="1"/>
  <c r="E132" i="65" a="1"/>
  <c r="E132" i="65" s="1"/>
  <c r="D132" i="65" a="1"/>
  <c r="D132" i="65" s="1"/>
  <c r="AE131" i="65" a="1"/>
  <c r="AE131" i="65" s="1"/>
  <c r="AD131" i="65" a="1"/>
  <c r="AD131" i="65" s="1"/>
  <c r="AC131" i="65" a="1"/>
  <c r="AC131" i="65" s="1"/>
  <c r="AB131" i="65" a="1"/>
  <c r="AB131" i="65" s="1"/>
  <c r="AA131" i="65" a="1"/>
  <c r="AA131" i="65" s="1"/>
  <c r="Z131" i="65" a="1"/>
  <c r="Z131" i="65" s="1"/>
  <c r="Y131" i="65" a="1"/>
  <c r="Y131" i="65" s="1"/>
  <c r="X131" i="65" a="1"/>
  <c r="X131" i="65" s="1"/>
  <c r="W131" i="65" a="1"/>
  <c r="W131" i="65" s="1"/>
  <c r="V131" i="65" a="1"/>
  <c r="V131" i="65" s="1"/>
  <c r="U131" i="65" a="1"/>
  <c r="U131" i="65" s="1"/>
  <c r="T131" i="65" a="1"/>
  <c r="T131" i="65" s="1"/>
  <c r="S131" i="65" a="1"/>
  <c r="S131" i="65" s="1"/>
  <c r="R131" i="65" a="1"/>
  <c r="R131" i="65" s="1"/>
  <c r="Q131" i="65" a="1"/>
  <c r="Q131" i="65" s="1"/>
  <c r="P131" i="65" a="1"/>
  <c r="P131" i="65" s="1"/>
  <c r="O131" i="65" a="1"/>
  <c r="O131" i="65" s="1"/>
  <c r="N131" i="65" a="1"/>
  <c r="N131" i="65" s="1"/>
  <c r="M131" i="65" a="1"/>
  <c r="M131" i="65" s="1"/>
  <c r="L131" i="65" a="1"/>
  <c r="L131" i="65" s="1"/>
  <c r="K131" i="65" a="1"/>
  <c r="K131" i="65" s="1"/>
  <c r="J131" i="65" a="1"/>
  <c r="J131" i="65" s="1"/>
  <c r="I131" i="65" a="1"/>
  <c r="I131" i="65" s="1"/>
  <c r="H131" i="65" a="1"/>
  <c r="H131" i="65" s="1"/>
  <c r="G131" i="65" a="1"/>
  <c r="G131" i="65" s="1"/>
  <c r="F131" i="65" a="1"/>
  <c r="F131" i="65" s="1"/>
  <c r="E131" i="65" a="1"/>
  <c r="E131" i="65" s="1"/>
  <c r="D131" i="65" a="1"/>
  <c r="D131" i="65" s="1"/>
  <c r="AE130" i="65" a="1"/>
  <c r="AE130" i="65" s="1"/>
  <c r="AD130" i="65" a="1"/>
  <c r="AD130" i="65" s="1"/>
  <c r="AC130" i="65" a="1"/>
  <c r="AC130" i="65" s="1"/>
  <c r="AB130" i="65" a="1"/>
  <c r="AB130" i="65" s="1"/>
  <c r="AA130" i="65" a="1"/>
  <c r="AA130" i="65" s="1"/>
  <c r="Z130" i="65" a="1"/>
  <c r="Z130" i="65" s="1"/>
  <c r="Y130" i="65" a="1"/>
  <c r="Y130" i="65" s="1"/>
  <c r="X130" i="65" a="1"/>
  <c r="X130" i="65" s="1"/>
  <c r="W130" i="65" a="1"/>
  <c r="W130" i="65" s="1"/>
  <c r="V130" i="65" a="1"/>
  <c r="V130" i="65" s="1"/>
  <c r="U130" i="65" a="1"/>
  <c r="U130" i="65" s="1"/>
  <c r="T130" i="65" a="1"/>
  <c r="T130" i="65" s="1"/>
  <c r="S130" i="65" a="1"/>
  <c r="S130" i="65" s="1"/>
  <c r="R130" i="65" a="1"/>
  <c r="R130" i="65" s="1"/>
  <c r="Q130" i="65" a="1"/>
  <c r="Q130" i="65" s="1"/>
  <c r="P130" i="65" a="1"/>
  <c r="P130" i="65" s="1"/>
  <c r="O130" i="65" a="1"/>
  <c r="O130" i="65" s="1"/>
  <c r="N130" i="65" a="1"/>
  <c r="N130" i="65" s="1"/>
  <c r="M130" i="65" a="1"/>
  <c r="M130" i="65" s="1"/>
  <c r="L130" i="65" a="1"/>
  <c r="L130" i="65" s="1"/>
  <c r="K130" i="65" a="1"/>
  <c r="K130" i="65" s="1"/>
  <c r="J130" i="65" a="1"/>
  <c r="J130" i="65" s="1"/>
  <c r="I130" i="65" a="1"/>
  <c r="I130" i="65" s="1"/>
  <c r="H130" i="65" a="1"/>
  <c r="H130" i="65" s="1"/>
  <c r="G130" i="65" a="1"/>
  <c r="G130" i="65" s="1"/>
  <c r="F130" i="65" a="1"/>
  <c r="F130" i="65" s="1"/>
  <c r="E130" i="65" a="1"/>
  <c r="E130" i="65" s="1"/>
  <c r="D130" i="65" a="1"/>
  <c r="D130" i="65" s="1"/>
  <c r="AE129" i="65" a="1"/>
  <c r="AE129" i="65" s="1"/>
  <c r="AD129" i="65" a="1"/>
  <c r="AD129" i="65" s="1"/>
  <c r="AC129" i="65" a="1"/>
  <c r="AC129" i="65" s="1"/>
  <c r="AB129" i="65" a="1"/>
  <c r="AB129" i="65" s="1"/>
  <c r="AA129" i="65" a="1"/>
  <c r="AA129" i="65" s="1"/>
  <c r="Z129" i="65" a="1"/>
  <c r="Z129" i="65" s="1"/>
  <c r="Y129" i="65" a="1"/>
  <c r="Y129" i="65" s="1"/>
  <c r="X129" i="65" a="1"/>
  <c r="X129" i="65" s="1"/>
  <c r="W129" i="65" a="1"/>
  <c r="W129" i="65" s="1"/>
  <c r="V129" i="65" a="1"/>
  <c r="V129" i="65" s="1"/>
  <c r="U129" i="65" a="1"/>
  <c r="U129" i="65" s="1"/>
  <c r="T129" i="65" a="1"/>
  <c r="T129" i="65" s="1"/>
  <c r="S129" i="65" a="1"/>
  <c r="S129" i="65" s="1"/>
  <c r="R129" i="65" a="1"/>
  <c r="R129" i="65" s="1"/>
  <c r="Q129" i="65" a="1"/>
  <c r="Q129" i="65" s="1"/>
  <c r="P129" i="65" a="1"/>
  <c r="P129" i="65" s="1"/>
  <c r="O129" i="65" a="1"/>
  <c r="O129" i="65" s="1"/>
  <c r="N129" i="65" a="1"/>
  <c r="N129" i="65" s="1"/>
  <c r="M129" i="65" a="1"/>
  <c r="M129" i="65" s="1"/>
  <c r="L129" i="65" a="1"/>
  <c r="L129" i="65" s="1"/>
  <c r="K129" i="65" a="1"/>
  <c r="K129" i="65" s="1"/>
  <c r="J129" i="65" a="1"/>
  <c r="J129" i="65" s="1"/>
  <c r="I129" i="65" a="1"/>
  <c r="I129" i="65" s="1"/>
  <c r="H129" i="65" a="1"/>
  <c r="H129" i="65" s="1"/>
  <c r="G129" i="65" a="1"/>
  <c r="G129" i="65" s="1"/>
  <c r="F129" i="65" a="1"/>
  <c r="F129" i="65" s="1"/>
  <c r="E129" i="65" a="1"/>
  <c r="E129" i="65" s="1"/>
  <c r="D129" i="65" a="1"/>
  <c r="D129" i="65" s="1"/>
  <c r="AE128" i="65" a="1"/>
  <c r="AE128" i="65" s="1"/>
  <c r="AD128" i="65" a="1"/>
  <c r="AD128" i="65" s="1"/>
  <c r="AC128" i="65" a="1"/>
  <c r="AC128" i="65" s="1"/>
  <c r="AB128" i="65" a="1"/>
  <c r="AB128" i="65" s="1"/>
  <c r="AA128" i="65" a="1"/>
  <c r="AA128" i="65" s="1"/>
  <c r="Z128" i="65" a="1"/>
  <c r="Z128" i="65" s="1"/>
  <c r="Y128" i="65" a="1"/>
  <c r="Y128" i="65" s="1"/>
  <c r="X128" i="65" a="1"/>
  <c r="X128" i="65" s="1"/>
  <c r="W128" i="65" a="1"/>
  <c r="W128" i="65" s="1"/>
  <c r="V128" i="65" a="1"/>
  <c r="V128" i="65" s="1"/>
  <c r="U128" i="65" a="1"/>
  <c r="U128" i="65" s="1"/>
  <c r="T128" i="65" a="1"/>
  <c r="T128" i="65" s="1"/>
  <c r="S128" i="65" a="1"/>
  <c r="S128" i="65" s="1"/>
  <c r="R128" i="65" a="1"/>
  <c r="R128" i="65" s="1"/>
  <c r="Q128" i="65" a="1"/>
  <c r="Q128" i="65" s="1"/>
  <c r="P128" i="65" a="1"/>
  <c r="P128" i="65" s="1"/>
  <c r="O128" i="65" a="1"/>
  <c r="O128" i="65" s="1"/>
  <c r="N128" i="65" a="1"/>
  <c r="N128" i="65" s="1"/>
  <c r="M128" i="65" a="1"/>
  <c r="M128" i="65" s="1"/>
  <c r="L128" i="65" a="1"/>
  <c r="L128" i="65" s="1"/>
  <c r="K128" i="65" a="1"/>
  <c r="K128" i="65" s="1"/>
  <c r="J128" i="65" a="1"/>
  <c r="J128" i="65" s="1"/>
  <c r="I128" i="65" a="1"/>
  <c r="I128" i="65" s="1"/>
  <c r="H128" i="65" a="1"/>
  <c r="H128" i="65" s="1"/>
  <c r="G128" i="65" a="1"/>
  <c r="G128" i="65" s="1"/>
  <c r="F128" i="65" a="1"/>
  <c r="F128" i="65" s="1"/>
  <c r="E128" i="65" a="1"/>
  <c r="E128" i="65" s="1"/>
  <c r="D128" i="65" a="1"/>
  <c r="D128" i="65" s="1"/>
  <c r="AE127" i="65" a="1"/>
  <c r="AE127" i="65" s="1"/>
  <c r="AD127" i="65" a="1"/>
  <c r="AD127" i="65" s="1"/>
  <c r="AC127" i="65" a="1"/>
  <c r="AC127" i="65" s="1"/>
  <c r="AB127" i="65" a="1"/>
  <c r="AB127" i="65" s="1"/>
  <c r="AA127" i="65" a="1"/>
  <c r="AA127" i="65" s="1"/>
  <c r="Z127" i="65" a="1"/>
  <c r="Z127" i="65" s="1"/>
  <c r="Y127" i="65" a="1"/>
  <c r="Y127" i="65" s="1"/>
  <c r="X127" i="65" a="1"/>
  <c r="X127" i="65" s="1"/>
  <c r="W127" i="65" a="1"/>
  <c r="W127" i="65" s="1"/>
  <c r="V127" i="65" a="1"/>
  <c r="V127" i="65" s="1"/>
  <c r="U127" i="65" a="1"/>
  <c r="U127" i="65" s="1"/>
  <c r="T127" i="65" a="1"/>
  <c r="T127" i="65" s="1"/>
  <c r="S127" i="65" a="1"/>
  <c r="S127" i="65" s="1"/>
  <c r="R127" i="65" a="1"/>
  <c r="R127" i="65" s="1"/>
  <c r="Q127" i="65" a="1"/>
  <c r="Q127" i="65" s="1"/>
  <c r="P127" i="65" a="1"/>
  <c r="P127" i="65" s="1"/>
  <c r="O127" i="65" a="1"/>
  <c r="O127" i="65" s="1"/>
  <c r="N127" i="65" a="1"/>
  <c r="N127" i="65" s="1"/>
  <c r="M127" i="65" a="1"/>
  <c r="M127" i="65" s="1"/>
  <c r="L127" i="65" a="1"/>
  <c r="L127" i="65" s="1"/>
  <c r="K127" i="65" a="1"/>
  <c r="K127" i="65" s="1"/>
  <c r="J127" i="65" a="1"/>
  <c r="J127" i="65" s="1"/>
  <c r="I127" i="65" a="1"/>
  <c r="I127" i="65" s="1"/>
  <c r="H127" i="65" a="1"/>
  <c r="H127" i="65" s="1"/>
  <c r="G127" i="65" a="1"/>
  <c r="G127" i="65" s="1"/>
  <c r="F127" i="65" a="1"/>
  <c r="F127" i="65" s="1"/>
  <c r="E127" i="65" a="1"/>
  <c r="E127" i="65" s="1"/>
  <c r="D127" i="65" a="1"/>
  <c r="D127" i="65" s="1"/>
  <c r="AE126" i="65" a="1"/>
  <c r="AE126" i="65" s="1"/>
  <c r="AD126" i="65" a="1"/>
  <c r="AD126" i="65" s="1"/>
  <c r="AC126" i="65" a="1"/>
  <c r="AC126" i="65" s="1"/>
  <c r="AB126" i="65" a="1"/>
  <c r="AB126" i="65" s="1"/>
  <c r="AA126" i="65" a="1"/>
  <c r="AA126" i="65" s="1"/>
  <c r="Z126" i="65" a="1"/>
  <c r="Z126" i="65" s="1"/>
  <c r="Y126" i="65" a="1"/>
  <c r="Y126" i="65" s="1"/>
  <c r="X126" i="65" a="1"/>
  <c r="X126" i="65" s="1"/>
  <c r="W126" i="65" a="1"/>
  <c r="W126" i="65" s="1"/>
  <c r="V126" i="65" a="1"/>
  <c r="V126" i="65" s="1"/>
  <c r="U126" i="65" a="1"/>
  <c r="U126" i="65" s="1"/>
  <c r="T126" i="65" a="1"/>
  <c r="T126" i="65" s="1"/>
  <c r="S126" i="65" a="1"/>
  <c r="S126" i="65" s="1"/>
  <c r="R126" i="65" a="1"/>
  <c r="R126" i="65" s="1"/>
  <c r="Q126" i="65" a="1"/>
  <c r="Q126" i="65" s="1"/>
  <c r="P126" i="65" a="1"/>
  <c r="P126" i="65" s="1"/>
  <c r="O126" i="65" a="1"/>
  <c r="O126" i="65" s="1"/>
  <c r="N126" i="65" a="1"/>
  <c r="N126" i="65" s="1"/>
  <c r="M126" i="65" a="1"/>
  <c r="M126" i="65" s="1"/>
  <c r="L126" i="65" a="1"/>
  <c r="L126" i="65" s="1"/>
  <c r="K126" i="65" a="1"/>
  <c r="K126" i="65" s="1"/>
  <c r="J126" i="65" a="1"/>
  <c r="J126" i="65" s="1"/>
  <c r="I126" i="65" a="1"/>
  <c r="I126" i="65" s="1"/>
  <c r="H126" i="65" a="1"/>
  <c r="H126" i="65" s="1"/>
  <c r="G126" i="65" a="1"/>
  <c r="G126" i="65" s="1"/>
  <c r="F126" i="65" a="1"/>
  <c r="F126" i="65" s="1"/>
  <c r="E126" i="65" a="1"/>
  <c r="E126" i="65" s="1"/>
  <c r="D126" i="65" a="1"/>
  <c r="D126" i="65" s="1"/>
  <c r="AE125" i="65" a="1"/>
  <c r="AE125" i="65" s="1"/>
  <c r="AD125" i="65" a="1"/>
  <c r="AD125" i="65" s="1"/>
  <c r="AC125" i="65" a="1"/>
  <c r="AC125" i="65" s="1"/>
  <c r="AB125" i="65" a="1"/>
  <c r="AB125" i="65" s="1"/>
  <c r="AA125" i="65" a="1"/>
  <c r="AA125" i="65" s="1"/>
  <c r="Z125" i="65" a="1"/>
  <c r="Z125" i="65" s="1"/>
  <c r="Y125" i="65" a="1"/>
  <c r="Y125" i="65" s="1"/>
  <c r="X125" i="65" a="1"/>
  <c r="X125" i="65" s="1"/>
  <c r="W125" i="65" a="1"/>
  <c r="W125" i="65" s="1"/>
  <c r="V125" i="65" a="1"/>
  <c r="V125" i="65" s="1"/>
  <c r="U125" i="65" a="1"/>
  <c r="U125" i="65" s="1"/>
  <c r="T125" i="65" a="1"/>
  <c r="T125" i="65" s="1"/>
  <c r="S125" i="65" a="1"/>
  <c r="S125" i="65" s="1"/>
  <c r="R125" i="65" a="1"/>
  <c r="R125" i="65" s="1"/>
  <c r="Q125" i="65" a="1"/>
  <c r="Q125" i="65" s="1"/>
  <c r="P125" i="65" a="1"/>
  <c r="P125" i="65" s="1"/>
  <c r="O125" i="65" a="1"/>
  <c r="O125" i="65" s="1"/>
  <c r="N125" i="65" a="1"/>
  <c r="N125" i="65" s="1"/>
  <c r="M125" i="65" a="1"/>
  <c r="M125" i="65" s="1"/>
  <c r="L125" i="65" a="1"/>
  <c r="L125" i="65" s="1"/>
  <c r="K125" i="65" a="1"/>
  <c r="K125" i="65" s="1"/>
  <c r="J125" i="65" a="1"/>
  <c r="J125" i="65" s="1"/>
  <c r="I125" i="65" a="1"/>
  <c r="I125" i="65" s="1"/>
  <c r="H125" i="65" a="1"/>
  <c r="H125" i="65" s="1"/>
  <c r="G125" i="65" a="1"/>
  <c r="G125" i="65" s="1"/>
  <c r="F125" i="65" a="1"/>
  <c r="F125" i="65" s="1"/>
  <c r="E125" i="65" a="1"/>
  <c r="E125" i="65" s="1"/>
  <c r="D125" i="65" a="1"/>
  <c r="D125" i="65" s="1"/>
  <c r="AE124" i="65" a="1"/>
  <c r="AE124" i="65" s="1"/>
  <c r="AD124" i="65" a="1"/>
  <c r="AD124" i="65" s="1"/>
  <c r="AC124" i="65" a="1"/>
  <c r="AC124" i="65" s="1"/>
  <c r="AB124" i="65" a="1"/>
  <c r="AB124" i="65" s="1"/>
  <c r="AA124" i="65" a="1"/>
  <c r="AA124" i="65" s="1"/>
  <c r="Z124" i="65" a="1"/>
  <c r="Z124" i="65" s="1"/>
  <c r="Y124" i="65" a="1"/>
  <c r="Y124" i="65" s="1"/>
  <c r="X124" i="65" a="1"/>
  <c r="X124" i="65" s="1"/>
  <c r="W124" i="65" a="1"/>
  <c r="W124" i="65" s="1"/>
  <c r="V124" i="65" a="1"/>
  <c r="V124" i="65" s="1"/>
  <c r="U124" i="65" a="1"/>
  <c r="U124" i="65" s="1"/>
  <c r="T124" i="65" a="1"/>
  <c r="T124" i="65" s="1"/>
  <c r="S124" i="65" a="1"/>
  <c r="S124" i="65" s="1"/>
  <c r="R124" i="65" a="1"/>
  <c r="R124" i="65" s="1"/>
  <c r="Q124" i="65" a="1"/>
  <c r="Q124" i="65" s="1"/>
  <c r="P124" i="65" a="1"/>
  <c r="P124" i="65" s="1"/>
  <c r="O124" i="65" a="1"/>
  <c r="O124" i="65" s="1"/>
  <c r="N124" i="65" a="1"/>
  <c r="N124" i="65" s="1"/>
  <c r="M124" i="65" a="1"/>
  <c r="M124" i="65" s="1"/>
  <c r="L124" i="65" a="1"/>
  <c r="L124" i="65" s="1"/>
  <c r="K124" i="65" a="1"/>
  <c r="K124" i="65" s="1"/>
  <c r="J124" i="65" a="1"/>
  <c r="J124" i="65" s="1"/>
  <c r="I124" i="65" a="1"/>
  <c r="I124" i="65" s="1"/>
  <c r="H124" i="65" a="1"/>
  <c r="H124" i="65" s="1"/>
  <c r="G124" i="65" a="1"/>
  <c r="G124" i="65" s="1"/>
  <c r="F124" i="65" a="1"/>
  <c r="F124" i="65" s="1"/>
  <c r="E124" i="65" a="1"/>
  <c r="E124" i="65" s="1"/>
  <c r="D124" i="65" a="1"/>
  <c r="D124" i="65" s="1"/>
  <c r="AE123" i="65" a="1"/>
  <c r="AE123" i="65" s="1"/>
  <c r="AD123" i="65" a="1"/>
  <c r="AD123" i="65" s="1"/>
  <c r="AC123" i="65" a="1"/>
  <c r="AC123" i="65" s="1"/>
  <c r="AB123" i="65" a="1"/>
  <c r="AB123" i="65" s="1"/>
  <c r="AA123" i="65" a="1"/>
  <c r="AA123" i="65" s="1"/>
  <c r="Z123" i="65" a="1"/>
  <c r="Z123" i="65" s="1"/>
  <c r="Y123" i="65" a="1"/>
  <c r="Y123" i="65" s="1"/>
  <c r="X123" i="65" a="1"/>
  <c r="X123" i="65" s="1"/>
  <c r="W123" i="65" a="1"/>
  <c r="W123" i="65" s="1"/>
  <c r="V123" i="65" a="1"/>
  <c r="V123" i="65" s="1"/>
  <c r="U123" i="65" a="1"/>
  <c r="U123" i="65" s="1"/>
  <c r="T123" i="65" a="1"/>
  <c r="T123" i="65" s="1"/>
  <c r="S123" i="65" a="1"/>
  <c r="S123" i="65" s="1"/>
  <c r="R123" i="65" a="1"/>
  <c r="R123" i="65" s="1"/>
  <c r="Q123" i="65" a="1"/>
  <c r="Q123" i="65" s="1"/>
  <c r="P123" i="65" a="1"/>
  <c r="P123" i="65" s="1"/>
  <c r="O123" i="65" a="1"/>
  <c r="O123" i="65" s="1"/>
  <c r="N123" i="65" a="1"/>
  <c r="N123" i="65" s="1"/>
  <c r="M123" i="65" a="1"/>
  <c r="M123" i="65" s="1"/>
  <c r="L123" i="65" a="1"/>
  <c r="L123" i="65" s="1"/>
  <c r="K123" i="65" a="1"/>
  <c r="K123" i="65" s="1"/>
  <c r="J123" i="65" a="1"/>
  <c r="J123" i="65" s="1"/>
  <c r="I123" i="65" a="1"/>
  <c r="I123" i="65" s="1"/>
  <c r="H123" i="65" a="1"/>
  <c r="H123" i="65" s="1"/>
  <c r="G123" i="65" a="1"/>
  <c r="G123" i="65" s="1"/>
  <c r="F123" i="65" a="1"/>
  <c r="F123" i="65" s="1"/>
  <c r="E123" i="65" a="1"/>
  <c r="E123" i="65" s="1"/>
  <c r="D123" i="65" a="1"/>
  <c r="D123" i="65" s="1"/>
  <c r="AE122" i="65" a="1"/>
  <c r="AE122" i="65" s="1"/>
  <c r="AD122" i="65" a="1"/>
  <c r="AD122" i="65" s="1"/>
  <c r="AC122" i="65" a="1"/>
  <c r="AC122" i="65" s="1"/>
  <c r="AB122" i="65" a="1"/>
  <c r="AB122" i="65" s="1"/>
  <c r="AA122" i="65" a="1"/>
  <c r="AA122" i="65" s="1"/>
  <c r="Z122" i="65" a="1"/>
  <c r="Z122" i="65" s="1"/>
  <c r="Y122" i="65" a="1"/>
  <c r="Y122" i="65" s="1"/>
  <c r="X122" i="65" a="1"/>
  <c r="X122" i="65" s="1"/>
  <c r="W122" i="65" a="1"/>
  <c r="W122" i="65" s="1"/>
  <c r="V122" i="65" a="1"/>
  <c r="V122" i="65" s="1"/>
  <c r="U122" i="65" a="1"/>
  <c r="U122" i="65" s="1"/>
  <c r="T122" i="65" a="1"/>
  <c r="T122" i="65" s="1"/>
  <c r="S122" i="65" a="1"/>
  <c r="S122" i="65" s="1"/>
  <c r="R122" i="65" a="1"/>
  <c r="R122" i="65" s="1"/>
  <c r="Q122" i="65" a="1"/>
  <c r="Q122" i="65" s="1"/>
  <c r="P122" i="65" a="1"/>
  <c r="P122" i="65" s="1"/>
  <c r="O122" i="65" a="1"/>
  <c r="O122" i="65" s="1"/>
  <c r="N122" i="65" a="1"/>
  <c r="N122" i="65" s="1"/>
  <c r="M122" i="65" a="1"/>
  <c r="M122" i="65" s="1"/>
  <c r="L122" i="65" a="1"/>
  <c r="L122" i="65" s="1"/>
  <c r="K122" i="65" a="1"/>
  <c r="K122" i="65" s="1"/>
  <c r="J122" i="65" a="1"/>
  <c r="J122" i="65" s="1"/>
  <c r="I122" i="65" a="1"/>
  <c r="I122" i="65" s="1"/>
  <c r="H122" i="65" a="1"/>
  <c r="H122" i="65" s="1"/>
  <c r="G122" i="65" a="1"/>
  <c r="G122" i="65" s="1"/>
  <c r="F122" i="65" a="1"/>
  <c r="F122" i="65" s="1"/>
  <c r="E122" i="65" a="1"/>
  <c r="E122" i="65" s="1"/>
  <c r="D122" i="65" a="1"/>
  <c r="D122" i="65" s="1"/>
  <c r="AE121" i="65" a="1"/>
  <c r="AE121" i="65" s="1"/>
  <c r="AD121" i="65" a="1"/>
  <c r="AD121" i="65" s="1"/>
  <c r="AC121" i="65" a="1"/>
  <c r="AC121" i="65" s="1"/>
  <c r="AB121" i="65" a="1"/>
  <c r="AB121" i="65" s="1"/>
  <c r="AA121" i="65" a="1"/>
  <c r="AA121" i="65" s="1"/>
  <c r="Z121" i="65" a="1"/>
  <c r="Z121" i="65" s="1"/>
  <c r="Y121" i="65" a="1"/>
  <c r="Y121" i="65" s="1"/>
  <c r="X121" i="65" a="1"/>
  <c r="X121" i="65" s="1"/>
  <c r="W121" i="65" a="1"/>
  <c r="W121" i="65" s="1"/>
  <c r="V121" i="65" a="1"/>
  <c r="V121" i="65" s="1"/>
  <c r="U121" i="65" a="1"/>
  <c r="U121" i="65" s="1"/>
  <c r="T121" i="65" a="1"/>
  <c r="T121" i="65" s="1"/>
  <c r="S121" i="65" a="1"/>
  <c r="S121" i="65" s="1"/>
  <c r="R121" i="65" a="1"/>
  <c r="R121" i="65" s="1"/>
  <c r="Q121" i="65" a="1"/>
  <c r="Q121" i="65" s="1"/>
  <c r="P121" i="65" a="1"/>
  <c r="P121" i="65" s="1"/>
  <c r="O121" i="65" a="1"/>
  <c r="O121" i="65" s="1"/>
  <c r="N121" i="65" a="1"/>
  <c r="N121" i="65" s="1"/>
  <c r="M121" i="65" a="1"/>
  <c r="M121" i="65" s="1"/>
  <c r="L121" i="65" a="1"/>
  <c r="L121" i="65" s="1"/>
  <c r="K121" i="65" a="1"/>
  <c r="K121" i="65" s="1"/>
  <c r="J121" i="65" a="1"/>
  <c r="J121" i="65" s="1"/>
  <c r="I121" i="65" a="1"/>
  <c r="I121" i="65" s="1"/>
  <c r="H121" i="65" a="1"/>
  <c r="H121" i="65" s="1"/>
  <c r="G121" i="65" a="1"/>
  <c r="G121" i="65" s="1"/>
  <c r="F121" i="65" a="1"/>
  <c r="F121" i="65" s="1"/>
  <c r="E121" i="65" a="1"/>
  <c r="E121" i="65" s="1"/>
  <c r="D121" i="65" a="1"/>
  <c r="D121" i="65" s="1"/>
  <c r="AE120" i="65" a="1"/>
  <c r="AE120" i="65" s="1"/>
  <c r="AD120" i="65" a="1"/>
  <c r="AD120" i="65" s="1"/>
  <c r="AC120" i="65" a="1"/>
  <c r="AC120" i="65" s="1"/>
  <c r="AB120" i="65" a="1"/>
  <c r="AB120" i="65" s="1"/>
  <c r="AA120" i="65" a="1"/>
  <c r="AA120" i="65" s="1"/>
  <c r="Z120" i="65" a="1"/>
  <c r="Z120" i="65" s="1"/>
  <c r="Y120" i="65" a="1"/>
  <c r="Y120" i="65" s="1"/>
  <c r="X120" i="65" a="1"/>
  <c r="X120" i="65" s="1"/>
  <c r="W120" i="65" a="1"/>
  <c r="W120" i="65" s="1"/>
  <c r="V120" i="65" a="1"/>
  <c r="V120" i="65" s="1"/>
  <c r="U120" i="65" a="1"/>
  <c r="U120" i="65" s="1"/>
  <c r="T120" i="65" a="1"/>
  <c r="T120" i="65" s="1"/>
  <c r="S120" i="65" a="1"/>
  <c r="S120" i="65" s="1"/>
  <c r="R120" i="65" a="1"/>
  <c r="R120" i="65" s="1"/>
  <c r="Q120" i="65" a="1"/>
  <c r="Q120" i="65" s="1"/>
  <c r="P120" i="65" a="1"/>
  <c r="P120" i="65" s="1"/>
  <c r="O120" i="65" a="1"/>
  <c r="O120" i="65" s="1"/>
  <c r="N120" i="65" a="1"/>
  <c r="N120" i="65" s="1"/>
  <c r="M120" i="65" a="1"/>
  <c r="M120" i="65" s="1"/>
  <c r="L120" i="65" a="1"/>
  <c r="L120" i="65" s="1"/>
  <c r="K120" i="65" a="1"/>
  <c r="K120" i="65" s="1"/>
  <c r="J120" i="65" a="1"/>
  <c r="J120" i="65" s="1"/>
  <c r="I120" i="65" a="1"/>
  <c r="I120" i="65" s="1"/>
  <c r="H120" i="65" a="1"/>
  <c r="H120" i="65" s="1"/>
  <c r="G120" i="65" a="1"/>
  <c r="G120" i="65" s="1"/>
  <c r="F120" i="65" a="1"/>
  <c r="F120" i="65" s="1"/>
  <c r="E120" i="65" a="1"/>
  <c r="E120" i="65" s="1"/>
  <c r="D120" i="65" a="1"/>
  <c r="D120" i="65" s="1"/>
  <c r="AE119" i="65" a="1"/>
  <c r="AE119" i="65" s="1"/>
  <c r="AD119" i="65" a="1"/>
  <c r="AD119" i="65" s="1"/>
  <c r="AC119" i="65" a="1"/>
  <c r="AC119" i="65" s="1"/>
  <c r="AB119" i="65" a="1"/>
  <c r="AB119" i="65" s="1"/>
  <c r="AA119" i="65" a="1"/>
  <c r="AA119" i="65" s="1"/>
  <c r="Z119" i="65" a="1"/>
  <c r="Z119" i="65" s="1"/>
  <c r="Y119" i="65" a="1"/>
  <c r="Y119" i="65" s="1"/>
  <c r="X119" i="65" a="1"/>
  <c r="X119" i="65" s="1"/>
  <c r="W119" i="65" a="1"/>
  <c r="W119" i="65" s="1"/>
  <c r="V119" i="65" a="1"/>
  <c r="V119" i="65" s="1"/>
  <c r="U119" i="65" a="1"/>
  <c r="U119" i="65" s="1"/>
  <c r="T119" i="65" a="1"/>
  <c r="T119" i="65" s="1"/>
  <c r="S119" i="65" a="1"/>
  <c r="S119" i="65" s="1"/>
  <c r="R119" i="65" a="1"/>
  <c r="R119" i="65" s="1"/>
  <c r="Q119" i="65" a="1"/>
  <c r="Q119" i="65" s="1"/>
  <c r="P119" i="65" a="1"/>
  <c r="P119" i="65" s="1"/>
  <c r="O119" i="65" a="1"/>
  <c r="O119" i="65" s="1"/>
  <c r="N119" i="65" a="1"/>
  <c r="N119" i="65" s="1"/>
  <c r="M119" i="65" a="1"/>
  <c r="M119" i="65" s="1"/>
  <c r="L119" i="65" a="1"/>
  <c r="L119" i="65" s="1"/>
  <c r="K119" i="65" a="1"/>
  <c r="K119" i="65" s="1"/>
  <c r="J119" i="65" a="1"/>
  <c r="J119" i="65" s="1"/>
  <c r="I119" i="65" a="1"/>
  <c r="I119" i="65" s="1"/>
  <c r="H119" i="65" a="1"/>
  <c r="H119" i="65" s="1"/>
  <c r="G119" i="65" a="1"/>
  <c r="G119" i="65" s="1"/>
  <c r="F119" i="65" a="1"/>
  <c r="F119" i="65" s="1"/>
  <c r="E119" i="65" a="1"/>
  <c r="E119" i="65" s="1"/>
  <c r="D119" i="65" a="1"/>
  <c r="D119" i="65" s="1"/>
  <c r="AE118" i="65" a="1"/>
  <c r="AE118" i="65" s="1"/>
  <c r="AD118" i="65" a="1"/>
  <c r="AD118" i="65" s="1"/>
  <c r="AC118" i="65" a="1"/>
  <c r="AC118" i="65" s="1"/>
  <c r="AB118" i="65" a="1"/>
  <c r="AB118" i="65" s="1"/>
  <c r="AA118" i="65" a="1"/>
  <c r="AA118" i="65" s="1"/>
  <c r="Z118" i="65" a="1"/>
  <c r="Z118" i="65" s="1"/>
  <c r="Y118" i="65" a="1"/>
  <c r="Y118" i="65" s="1"/>
  <c r="X118" i="65" a="1"/>
  <c r="X118" i="65" s="1"/>
  <c r="W118" i="65" a="1"/>
  <c r="W118" i="65" s="1"/>
  <c r="V118" i="65" a="1"/>
  <c r="V118" i="65" s="1"/>
  <c r="U118" i="65" a="1"/>
  <c r="U118" i="65" s="1"/>
  <c r="T118" i="65" a="1"/>
  <c r="T118" i="65" s="1"/>
  <c r="S118" i="65" a="1"/>
  <c r="S118" i="65" s="1"/>
  <c r="R118" i="65" a="1"/>
  <c r="R118" i="65" s="1"/>
  <c r="Q118" i="65" a="1"/>
  <c r="Q118" i="65" s="1"/>
  <c r="P118" i="65" a="1"/>
  <c r="P118" i="65" s="1"/>
  <c r="O118" i="65" a="1"/>
  <c r="O118" i="65" s="1"/>
  <c r="N118" i="65" a="1"/>
  <c r="N118" i="65" s="1"/>
  <c r="M118" i="65" a="1"/>
  <c r="M118" i="65" s="1"/>
  <c r="L118" i="65" a="1"/>
  <c r="L118" i="65" s="1"/>
  <c r="K118" i="65" a="1"/>
  <c r="K118" i="65" s="1"/>
  <c r="J118" i="65" a="1"/>
  <c r="J118" i="65" s="1"/>
  <c r="I118" i="65" a="1"/>
  <c r="I118" i="65" s="1"/>
  <c r="H118" i="65" a="1"/>
  <c r="H118" i="65" s="1"/>
  <c r="G118" i="65" a="1"/>
  <c r="G118" i="65" s="1"/>
  <c r="F118" i="65" a="1"/>
  <c r="F118" i="65" s="1"/>
  <c r="E118" i="65" a="1"/>
  <c r="E118" i="65" s="1"/>
  <c r="D118" i="65" a="1"/>
  <c r="D118" i="65" s="1"/>
  <c r="AE117" i="65" a="1"/>
  <c r="AE117" i="65" s="1"/>
  <c r="AD117" i="65" a="1"/>
  <c r="AD117" i="65" s="1"/>
  <c r="AC117" i="65" a="1"/>
  <c r="AC117" i="65" s="1"/>
  <c r="AB117" i="65" a="1"/>
  <c r="AB117" i="65" s="1"/>
  <c r="AA117" i="65" a="1"/>
  <c r="AA117" i="65" s="1"/>
  <c r="Z117" i="65" a="1"/>
  <c r="Z117" i="65" s="1"/>
  <c r="Y117" i="65" a="1"/>
  <c r="Y117" i="65" s="1"/>
  <c r="X117" i="65" a="1"/>
  <c r="X117" i="65" s="1"/>
  <c r="W117" i="65" a="1"/>
  <c r="W117" i="65" s="1"/>
  <c r="V117" i="65" a="1"/>
  <c r="V117" i="65" s="1"/>
  <c r="U117" i="65" a="1"/>
  <c r="U117" i="65" s="1"/>
  <c r="T117" i="65" a="1"/>
  <c r="T117" i="65" s="1"/>
  <c r="S117" i="65" a="1"/>
  <c r="S117" i="65" s="1"/>
  <c r="R117" i="65" a="1"/>
  <c r="R117" i="65" s="1"/>
  <c r="Q117" i="65" a="1"/>
  <c r="Q117" i="65" s="1"/>
  <c r="P117" i="65" a="1"/>
  <c r="P117" i="65" s="1"/>
  <c r="O117" i="65" a="1"/>
  <c r="O117" i="65" s="1"/>
  <c r="N117" i="65" a="1"/>
  <c r="N117" i="65" s="1"/>
  <c r="M117" i="65" a="1"/>
  <c r="M117" i="65" s="1"/>
  <c r="L117" i="65" a="1"/>
  <c r="L117" i="65" s="1"/>
  <c r="K117" i="65" a="1"/>
  <c r="K117" i="65" s="1"/>
  <c r="J117" i="65" a="1"/>
  <c r="J117" i="65" s="1"/>
  <c r="I117" i="65" a="1"/>
  <c r="I117" i="65" s="1"/>
  <c r="H117" i="65" a="1"/>
  <c r="H117" i="65" s="1"/>
  <c r="G117" i="65" a="1"/>
  <c r="G117" i="65" s="1"/>
  <c r="F117" i="65" a="1"/>
  <c r="F117" i="65" s="1"/>
  <c r="E117" i="65" a="1"/>
  <c r="E117" i="65" s="1"/>
  <c r="D117" i="65" a="1"/>
  <c r="D117" i="65" s="1"/>
  <c r="AE116" i="65" a="1"/>
  <c r="AE116" i="65" s="1"/>
  <c r="AD116" i="65" a="1"/>
  <c r="AD116" i="65" s="1"/>
  <c r="AC116" i="65" a="1"/>
  <c r="AC116" i="65" s="1"/>
  <c r="AB116" i="65" a="1"/>
  <c r="AB116" i="65" s="1"/>
  <c r="AA116" i="65" a="1"/>
  <c r="AA116" i="65" s="1"/>
  <c r="Z116" i="65" a="1"/>
  <c r="Z116" i="65" s="1"/>
  <c r="Y116" i="65" a="1"/>
  <c r="Y116" i="65" s="1"/>
  <c r="X116" i="65" a="1"/>
  <c r="X116" i="65" s="1"/>
  <c r="W116" i="65" a="1"/>
  <c r="W116" i="65" s="1"/>
  <c r="V116" i="65" a="1"/>
  <c r="V116" i="65" s="1"/>
  <c r="U116" i="65" a="1"/>
  <c r="U116" i="65" s="1"/>
  <c r="T116" i="65" a="1"/>
  <c r="T116" i="65" s="1"/>
  <c r="S116" i="65" a="1"/>
  <c r="S116" i="65" s="1"/>
  <c r="R116" i="65" a="1"/>
  <c r="R116" i="65" s="1"/>
  <c r="Q116" i="65" a="1"/>
  <c r="Q116" i="65" s="1"/>
  <c r="P116" i="65" a="1"/>
  <c r="P116" i="65" s="1"/>
  <c r="O116" i="65" a="1"/>
  <c r="O116" i="65" s="1"/>
  <c r="N116" i="65" a="1"/>
  <c r="N116" i="65" s="1"/>
  <c r="M116" i="65" a="1"/>
  <c r="M116" i="65" s="1"/>
  <c r="L116" i="65" a="1"/>
  <c r="L116" i="65" s="1"/>
  <c r="K116" i="65" a="1"/>
  <c r="K116" i="65" s="1"/>
  <c r="J116" i="65" a="1"/>
  <c r="J116" i="65" s="1"/>
  <c r="I116" i="65" a="1"/>
  <c r="I116" i="65" s="1"/>
  <c r="H116" i="65" a="1"/>
  <c r="H116" i="65" s="1"/>
  <c r="G116" i="65" a="1"/>
  <c r="G116" i="65" s="1"/>
  <c r="F116" i="65" a="1"/>
  <c r="F116" i="65" s="1"/>
  <c r="E116" i="65" a="1"/>
  <c r="E116" i="65" s="1"/>
  <c r="D116" i="65" a="1"/>
  <c r="D116" i="65" s="1"/>
  <c r="AE115" i="65" a="1"/>
  <c r="AE115" i="65" s="1"/>
  <c r="AD115" i="65" a="1"/>
  <c r="AD115" i="65" s="1"/>
  <c r="AC115" i="65" a="1"/>
  <c r="AC115" i="65" s="1"/>
  <c r="AB115" i="65" a="1"/>
  <c r="AB115" i="65" s="1"/>
  <c r="AA115" i="65" a="1"/>
  <c r="AA115" i="65" s="1"/>
  <c r="Z115" i="65" a="1"/>
  <c r="Z115" i="65" s="1"/>
  <c r="Y115" i="65" a="1"/>
  <c r="Y115" i="65" s="1"/>
  <c r="X115" i="65" a="1"/>
  <c r="X115" i="65" s="1"/>
  <c r="W115" i="65" a="1"/>
  <c r="W115" i="65" s="1"/>
  <c r="V115" i="65" a="1"/>
  <c r="V115" i="65" s="1"/>
  <c r="U115" i="65" a="1"/>
  <c r="U115" i="65" s="1"/>
  <c r="T115" i="65" a="1"/>
  <c r="T115" i="65" s="1"/>
  <c r="S115" i="65" a="1"/>
  <c r="S115" i="65" s="1"/>
  <c r="R115" i="65" a="1"/>
  <c r="R115" i="65" s="1"/>
  <c r="Q115" i="65" a="1"/>
  <c r="Q115" i="65" s="1"/>
  <c r="P115" i="65" a="1"/>
  <c r="P115" i="65" s="1"/>
  <c r="O115" i="65" a="1"/>
  <c r="O115" i="65" s="1"/>
  <c r="N115" i="65" a="1"/>
  <c r="N115" i="65" s="1"/>
  <c r="M115" i="65" a="1"/>
  <c r="M115" i="65" s="1"/>
  <c r="L115" i="65" a="1"/>
  <c r="L115" i="65" s="1"/>
  <c r="K115" i="65" a="1"/>
  <c r="K115" i="65" s="1"/>
  <c r="J115" i="65" a="1"/>
  <c r="J115" i="65" s="1"/>
  <c r="I115" i="65" a="1"/>
  <c r="I115" i="65" s="1"/>
  <c r="H115" i="65" a="1"/>
  <c r="H115" i="65" s="1"/>
  <c r="G115" i="65" a="1"/>
  <c r="G115" i="65" s="1"/>
  <c r="F115" i="65" a="1"/>
  <c r="F115" i="65" s="1"/>
  <c r="E115" i="65" a="1"/>
  <c r="E115" i="65" s="1"/>
  <c r="D115" i="65" a="1"/>
  <c r="D115" i="65" s="1"/>
  <c r="AE114" i="65" a="1"/>
  <c r="AE114" i="65" s="1"/>
  <c r="AD114" i="65" a="1"/>
  <c r="AD114" i="65" s="1"/>
  <c r="AC114" i="65" a="1"/>
  <c r="AC114" i="65" s="1"/>
  <c r="AB114" i="65" a="1"/>
  <c r="AB114" i="65" s="1"/>
  <c r="AA114" i="65" a="1"/>
  <c r="AA114" i="65" s="1"/>
  <c r="Z114" i="65" a="1"/>
  <c r="Z114" i="65" s="1"/>
  <c r="Y114" i="65" a="1"/>
  <c r="Y114" i="65" s="1"/>
  <c r="X114" i="65" a="1"/>
  <c r="X114" i="65" s="1"/>
  <c r="W114" i="65" a="1"/>
  <c r="W114" i="65" s="1"/>
  <c r="V114" i="65" a="1"/>
  <c r="V114" i="65" s="1"/>
  <c r="U114" i="65" a="1"/>
  <c r="U114" i="65" s="1"/>
  <c r="T114" i="65" a="1"/>
  <c r="T114" i="65" s="1"/>
  <c r="S114" i="65" a="1"/>
  <c r="S114" i="65" s="1"/>
  <c r="R114" i="65" a="1"/>
  <c r="R114" i="65" s="1"/>
  <c r="Q114" i="65" a="1"/>
  <c r="Q114" i="65" s="1"/>
  <c r="P114" i="65" a="1"/>
  <c r="P114" i="65" s="1"/>
  <c r="O114" i="65" a="1"/>
  <c r="O114" i="65" s="1"/>
  <c r="N114" i="65" a="1"/>
  <c r="N114" i="65" s="1"/>
  <c r="M114" i="65" a="1"/>
  <c r="M114" i="65" s="1"/>
  <c r="L114" i="65" a="1"/>
  <c r="L114" i="65" s="1"/>
  <c r="K114" i="65" a="1"/>
  <c r="K114" i="65" s="1"/>
  <c r="J114" i="65" a="1"/>
  <c r="J114" i="65" s="1"/>
  <c r="I114" i="65" a="1"/>
  <c r="I114" i="65" s="1"/>
  <c r="H114" i="65" a="1"/>
  <c r="H114" i="65" s="1"/>
  <c r="G114" i="65" a="1"/>
  <c r="G114" i="65" s="1"/>
  <c r="F114" i="65" a="1"/>
  <c r="F114" i="65" s="1"/>
  <c r="E114" i="65" a="1"/>
  <c r="E114" i="65" s="1"/>
  <c r="D114" i="65" a="1"/>
  <c r="D114" i="65" s="1"/>
  <c r="AE113" i="65" a="1"/>
  <c r="AE113" i="65" s="1"/>
  <c r="AD113" i="65" a="1"/>
  <c r="AD113" i="65" s="1"/>
  <c r="AC113" i="65" a="1"/>
  <c r="AC113" i="65" s="1"/>
  <c r="AB113" i="65" a="1"/>
  <c r="AB113" i="65" s="1"/>
  <c r="AA113" i="65" a="1"/>
  <c r="AA113" i="65" s="1"/>
  <c r="Z113" i="65" a="1"/>
  <c r="Z113" i="65" s="1"/>
  <c r="Y113" i="65" a="1"/>
  <c r="Y113" i="65" s="1"/>
  <c r="X113" i="65" a="1"/>
  <c r="X113" i="65" s="1"/>
  <c r="W113" i="65" a="1"/>
  <c r="W113" i="65" s="1"/>
  <c r="V113" i="65" a="1"/>
  <c r="V113" i="65" s="1"/>
  <c r="U113" i="65" a="1"/>
  <c r="U113" i="65" s="1"/>
  <c r="T113" i="65" a="1"/>
  <c r="T113" i="65" s="1"/>
  <c r="S113" i="65" a="1"/>
  <c r="S113" i="65" s="1"/>
  <c r="R113" i="65" a="1"/>
  <c r="R113" i="65" s="1"/>
  <c r="Q113" i="65" a="1"/>
  <c r="Q113" i="65" s="1"/>
  <c r="P113" i="65" a="1"/>
  <c r="P113" i="65" s="1"/>
  <c r="O113" i="65" a="1"/>
  <c r="O113" i="65" s="1"/>
  <c r="N113" i="65" a="1"/>
  <c r="N113" i="65" s="1"/>
  <c r="M113" i="65" a="1"/>
  <c r="M113" i="65" s="1"/>
  <c r="L113" i="65" a="1"/>
  <c r="L113" i="65" s="1"/>
  <c r="K113" i="65" a="1"/>
  <c r="K113" i="65" s="1"/>
  <c r="J113" i="65" a="1"/>
  <c r="J113" i="65" s="1"/>
  <c r="I113" i="65" a="1"/>
  <c r="I113" i="65" s="1"/>
  <c r="H113" i="65" a="1"/>
  <c r="H113" i="65" s="1"/>
  <c r="G113" i="65" a="1"/>
  <c r="G113" i="65" s="1"/>
  <c r="F113" i="65" a="1"/>
  <c r="F113" i="65" s="1"/>
  <c r="E113" i="65" a="1"/>
  <c r="E113" i="65" s="1"/>
  <c r="D113" i="65" a="1"/>
  <c r="D113" i="65" s="1"/>
  <c r="AE112" i="65" a="1"/>
  <c r="AE112" i="65" s="1"/>
  <c r="AD112" i="65" a="1"/>
  <c r="AD112" i="65" s="1"/>
  <c r="AC112" i="65" a="1"/>
  <c r="AC112" i="65" s="1"/>
  <c r="AB112" i="65" a="1"/>
  <c r="AB112" i="65" s="1"/>
  <c r="AA112" i="65" a="1"/>
  <c r="AA112" i="65" s="1"/>
  <c r="Z112" i="65" a="1"/>
  <c r="Z112" i="65" s="1"/>
  <c r="Y112" i="65" a="1"/>
  <c r="Y112" i="65" s="1"/>
  <c r="X112" i="65" a="1"/>
  <c r="X112" i="65" s="1"/>
  <c r="W112" i="65" a="1"/>
  <c r="W112" i="65" s="1"/>
  <c r="V112" i="65" a="1"/>
  <c r="V112" i="65" s="1"/>
  <c r="U112" i="65" a="1"/>
  <c r="U112" i="65" s="1"/>
  <c r="T112" i="65" a="1"/>
  <c r="T112" i="65" s="1"/>
  <c r="S112" i="65" a="1"/>
  <c r="S112" i="65" s="1"/>
  <c r="R112" i="65" a="1"/>
  <c r="R112" i="65" s="1"/>
  <c r="Q112" i="65" a="1"/>
  <c r="Q112" i="65" s="1"/>
  <c r="P112" i="65" a="1"/>
  <c r="P112" i="65" s="1"/>
  <c r="O112" i="65" a="1"/>
  <c r="O112" i="65" s="1"/>
  <c r="N112" i="65" a="1"/>
  <c r="N112" i="65" s="1"/>
  <c r="M112" i="65" a="1"/>
  <c r="M112" i="65" s="1"/>
  <c r="L112" i="65" a="1"/>
  <c r="L112" i="65" s="1"/>
  <c r="K112" i="65" a="1"/>
  <c r="K112" i="65" s="1"/>
  <c r="J112" i="65" a="1"/>
  <c r="J112" i="65" s="1"/>
  <c r="I112" i="65" a="1"/>
  <c r="I112" i="65" s="1"/>
  <c r="H112" i="65" a="1"/>
  <c r="H112" i="65" s="1"/>
  <c r="G112" i="65" a="1"/>
  <c r="G112" i="65" s="1"/>
  <c r="F112" i="65" a="1"/>
  <c r="F112" i="65" s="1"/>
  <c r="E112" i="65" a="1"/>
  <c r="E112" i="65" s="1"/>
  <c r="D112" i="65" a="1"/>
  <c r="D112" i="65" s="1"/>
  <c r="AE111" i="65" a="1"/>
  <c r="AE111" i="65" s="1"/>
  <c r="AD111" i="65" a="1"/>
  <c r="AD111" i="65" s="1"/>
  <c r="AC111" i="65" a="1"/>
  <c r="AC111" i="65" s="1"/>
  <c r="AB111" i="65" a="1"/>
  <c r="AB111" i="65" s="1"/>
  <c r="AA111" i="65" a="1"/>
  <c r="AA111" i="65" s="1"/>
  <c r="Z111" i="65" a="1"/>
  <c r="Z111" i="65" s="1"/>
  <c r="Y111" i="65" a="1"/>
  <c r="Y111" i="65" s="1"/>
  <c r="X111" i="65" a="1"/>
  <c r="X111" i="65" s="1"/>
  <c r="W111" i="65" a="1"/>
  <c r="W111" i="65" s="1"/>
  <c r="V111" i="65" a="1"/>
  <c r="V111" i="65" s="1"/>
  <c r="U111" i="65" a="1"/>
  <c r="U111" i="65" s="1"/>
  <c r="T111" i="65" a="1"/>
  <c r="T111" i="65" s="1"/>
  <c r="S111" i="65" a="1"/>
  <c r="S111" i="65" s="1"/>
  <c r="R111" i="65" a="1"/>
  <c r="R111" i="65" s="1"/>
  <c r="Q111" i="65" a="1"/>
  <c r="Q111" i="65" s="1"/>
  <c r="P111" i="65" a="1"/>
  <c r="P111" i="65" s="1"/>
  <c r="O111" i="65" a="1"/>
  <c r="O111" i="65" s="1"/>
  <c r="N111" i="65" a="1"/>
  <c r="N111" i="65" s="1"/>
  <c r="M111" i="65" a="1"/>
  <c r="M111" i="65" s="1"/>
  <c r="L111" i="65" a="1"/>
  <c r="L111" i="65" s="1"/>
  <c r="K111" i="65" a="1"/>
  <c r="K111" i="65" s="1"/>
  <c r="J111" i="65" a="1"/>
  <c r="J111" i="65" s="1"/>
  <c r="I111" i="65" a="1"/>
  <c r="I111" i="65" s="1"/>
  <c r="H111" i="65" a="1"/>
  <c r="H111" i="65" s="1"/>
  <c r="G111" i="65" a="1"/>
  <c r="G111" i="65" s="1"/>
  <c r="F111" i="65" a="1"/>
  <c r="F111" i="65" s="1"/>
  <c r="E111" i="65" a="1"/>
  <c r="E111" i="65" s="1"/>
  <c r="D111" i="65" a="1"/>
  <c r="D111" i="65" s="1"/>
  <c r="AE110" i="65" a="1"/>
  <c r="AE110" i="65" s="1"/>
  <c r="AD110" i="65" a="1"/>
  <c r="AD110" i="65" s="1"/>
  <c r="AC110" i="65" a="1"/>
  <c r="AC110" i="65" s="1"/>
  <c r="AB110" i="65" a="1"/>
  <c r="AB110" i="65" s="1"/>
  <c r="AA110" i="65" a="1"/>
  <c r="AA110" i="65" s="1"/>
  <c r="Z110" i="65" a="1"/>
  <c r="Z110" i="65" s="1"/>
  <c r="Y110" i="65" a="1"/>
  <c r="Y110" i="65" s="1"/>
  <c r="X110" i="65" a="1"/>
  <c r="X110" i="65" s="1"/>
  <c r="W110" i="65" a="1"/>
  <c r="W110" i="65" s="1"/>
  <c r="V110" i="65" a="1"/>
  <c r="V110" i="65" s="1"/>
  <c r="U110" i="65" a="1"/>
  <c r="U110" i="65" s="1"/>
  <c r="T110" i="65" a="1"/>
  <c r="T110" i="65" s="1"/>
  <c r="S110" i="65" a="1"/>
  <c r="S110" i="65" s="1"/>
  <c r="R110" i="65" a="1"/>
  <c r="R110" i="65" s="1"/>
  <c r="Q110" i="65" a="1"/>
  <c r="Q110" i="65" s="1"/>
  <c r="P110" i="65" a="1"/>
  <c r="P110" i="65" s="1"/>
  <c r="O110" i="65" a="1"/>
  <c r="O110" i="65" s="1"/>
  <c r="N110" i="65" a="1"/>
  <c r="N110" i="65" s="1"/>
  <c r="M110" i="65" a="1"/>
  <c r="M110" i="65" s="1"/>
  <c r="L110" i="65" a="1"/>
  <c r="L110" i="65" s="1"/>
  <c r="K110" i="65" a="1"/>
  <c r="K110" i="65" s="1"/>
  <c r="J110" i="65" a="1"/>
  <c r="J110" i="65" s="1"/>
  <c r="I110" i="65" a="1"/>
  <c r="I110" i="65" s="1"/>
  <c r="H110" i="65" a="1"/>
  <c r="H110" i="65" s="1"/>
  <c r="G110" i="65" a="1"/>
  <c r="G110" i="65" s="1"/>
  <c r="F110" i="65" a="1"/>
  <c r="F110" i="65" s="1"/>
  <c r="E110" i="65" a="1"/>
  <c r="E110" i="65" s="1"/>
  <c r="D110" i="65" a="1"/>
  <c r="D110" i="65" s="1"/>
  <c r="AE109" i="65" a="1"/>
  <c r="AE109" i="65" s="1"/>
  <c r="AD109" i="65" a="1"/>
  <c r="AD109" i="65" s="1"/>
  <c r="AC109" i="65" a="1"/>
  <c r="AC109" i="65" s="1"/>
  <c r="AB109" i="65" a="1"/>
  <c r="AB109" i="65" s="1"/>
  <c r="AA109" i="65" a="1"/>
  <c r="AA109" i="65" s="1"/>
  <c r="Z109" i="65" a="1"/>
  <c r="Z109" i="65" s="1"/>
  <c r="Y109" i="65" a="1"/>
  <c r="Y109" i="65" s="1"/>
  <c r="X109" i="65" a="1"/>
  <c r="X109" i="65" s="1"/>
  <c r="W109" i="65" a="1"/>
  <c r="W109" i="65" s="1"/>
  <c r="V109" i="65" a="1"/>
  <c r="V109" i="65" s="1"/>
  <c r="U109" i="65" a="1"/>
  <c r="U109" i="65" s="1"/>
  <c r="T109" i="65" a="1"/>
  <c r="T109" i="65" s="1"/>
  <c r="S109" i="65" a="1"/>
  <c r="S109" i="65" s="1"/>
  <c r="R109" i="65" a="1"/>
  <c r="R109" i="65" s="1"/>
  <c r="Q109" i="65" a="1"/>
  <c r="Q109" i="65" s="1"/>
  <c r="P109" i="65" a="1"/>
  <c r="P109" i="65" s="1"/>
  <c r="O109" i="65" a="1"/>
  <c r="O109" i="65" s="1"/>
  <c r="N109" i="65" a="1"/>
  <c r="N109" i="65" s="1"/>
  <c r="M109" i="65" a="1"/>
  <c r="M109" i="65" s="1"/>
  <c r="L109" i="65" a="1"/>
  <c r="L109" i="65" s="1"/>
  <c r="K109" i="65" a="1"/>
  <c r="K109" i="65" s="1"/>
  <c r="J109" i="65" a="1"/>
  <c r="J109" i="65" s="1"/>
  <c r="I109" i="65" a="1"/>
  <c r="I109" i="65" s="1"/>
  <c r="H109" i="65" a="1"/>
  <c r="H109" i="65" s="1"/>
  <c r="G109" i="65" a="1"/>
  <c r="G109" i="65" s="1"/>
  <c r="F109" i="65" a="1"/>
  <c r="F109" i="65" s="1"/>
  <c r="E109" i="65" a="1"/>
  <c r="E109" i="65" s="1"/>
  <c r="D109" i="65" a="1"/>
  <c r="D109" i="65" s="1"/>
  <c r="AE108" i="65" a="1"/>
  <c r="AE108" i="65" s="1"/>
  <c r="AD108" i="65" a="1"/>
  <c r="AD108" i="65" s="1"/>
  <c r="AC108" i="65" a="1"/>
  <c r="AC108" i="65" s="1"/>
  <c r="AB108" i="65" a="1"/>
  <c r="AB108" i="65" s="1"/>
  <c r="AA108" i="65" a="1"/>
  <c r="AA108" i="65" s="1"/>
  <c r="Z108" i="65" a="1"/>
  <c r="Z108" i="65" s="1"/>
  <c r="Y108" i="65" a="1"/>
  <c r="Y108" i="65" s="1"/>
  <c r="X108" i="65" a="1"/>
  <c r="X108" i="65" s="1"/>
  <c r="W108" i="65" a="1"/>
  <c r="W108" i="65" s="1"/>
  <c r="V108" i="65" a="1"/>
  <c r="V108" i="65" s="1"/>
  <c r="U108" i="65" a="1"/>
  <c r="U108" i="65" s="1"/>
  <c r="T108" i="65" a="1"/>
  <c r="T108" i="65" s="1"/>
  <c r="S108" i="65" a="1"/>
  <c r="S108" i="65" s="1"/>
  <c r="R108" i="65" a="1"/>
  <c r="R108" i="65" s="1"/>
  <c r="Q108" i="65" a="1"/>
  <c r="Q108" i="65" s="1"/>
  <c r="P108" i="65" a="1"/>
  <c r="P108" i="65" s="1"/>
  <c r="O108" i="65" a="1"/>
  <c r="O108" i="65" s="1"/>
  <c r="N108" i="65" a="1"/>
  <c r="N108" i="65" s="1"/>
  <c r="M108" i="65" a="1"/>
  <c r="M108" i="65" s="1"/>
  <c r="L108" i="65" a="1"/>
  <c r="L108" i="65" s="1"/>
  <c r="K108" i="65" a="1"/>
  <c r="K108" i="65" s="1"/>
  <c r="J108" i="65" a="1"/>
  <c r="J108" i="65" s="1"/>
  <c r="I108" i="65" a="1"/>
  <c r="I108" i="65" s="1"/>
  <c r="H108" i="65" a="1"/>
  <c r="H108" i="65" s="1"/>
  <c r="G108" i="65" a="1"/>
  <c r="G108" i="65" s="1"/>
  <c r="F108" i="65" a="1"/>
  <c r="F108" i="65" s="1"/>
  <c r="E108" i="65" a="1"/>
  <c r="E108" i="65" s="1"/>
  <c r="D108" i="65" a="1"/>
  <c r="D108" i="65" s="1"/>
  <c r="AE107" i="65" a="1"/>
  <c r="AE107" i="65" s="1"/>
  <c r="AD107" i="65" a="1"/>
  <c r="AD107" i="65" s="1"/>
  <c r="AC107" i="65" a="1"/>
  <c r="AC107" i="65" s="1"/>
  <c r="AB107" i="65" a="1"/>
  <c r="AB107" i="65" s="1"/>
  <c r="AA107" i="65" a="1"/>
  <c r="AA107" i="65" s="1"/>
  <c r="Z107" i="65" a="1"/>
  <c r="Z107" i="65" s="1"/>
  <c r="Y107" i="65" a="1"/>
  <c r="Y107" i="65" s="1"/>
  <c r="X107" i="65" a="1"/>
  <c r="X107" i="65" s="1"/>
  <c r="W107" i="65" a="1"/>
  <c r="W107" i="65" s="1"/>
  <c r="V107" i="65" a="1"/>
  <c r="V107" i="65" s="1"/>
  <c r="U107" i="65" a="1"/>
  <c r="U107" i="65" s="1"/>
  <c r="T107" i="65" a="1"/>
  <c r="T107" i="65" s="1"/>
  <c r="S107" i="65" a="1"/>
  <c r="S107" i="65" s="1"/>
  <c r="R107" i="65" a="1"/>
  <c r="R107" i="65" s="1"/>
  <c r="Q107" i="65" a="1"/>
  <c r="Q107" i="65" s="1"/>
  <c r="P107" i="65" a="1"/>
  <c r="P107" i="65" s="1"/>
  <c r="O107" i="65" a="1"/>
  <c r="O107" i="65" s="1"/>
  <c r="N107" i="65" a="1"/>
  <c r="N107" i="65" s="1"/>
  <c r="M107" i="65" a="1"/>
  <c r="M107" i="65" s="1"/>
  <c r="L107" i="65" a="1"/>
  <c r="L107" i="65" s="1"/>
  <c r="K107" i="65" a="1"/>
  <c r="K107" i="65" s="1"/>
  <c r="J107" i="65" a="1"/>
  <c r="J107" i="65" s="1"/>
  <c r="I107" i="65" a="1"/>
  <c r="I107" i="65" s="1"/>
  <c r="H107" i="65" a="1"/>
  <c r="H107" i="65" s="1"/>
  <c r="G107" i="65" a="1"/>
  <c r="G107" i="65" s="1"/>
  <c r="F107" i="65" a="1"/>
  <c r="F107" i="65" s="1"/>
  <c r="E107" i="65" a="1"/>
  <c r="E107" i="65" s="1"/>
  <c r="D107" i="65" a="1"/>
  <c r="D107" i="65" s="1"/>
  <c r="AE106" i="65" a="1"/>
  <c r="AE106" i="65" s="1"/>
  <c r="AD106" i="65" a="1"/>
  <c r="AD106" i="65" s="1"/>
  <c r="AC106" i="65" a="1"/>
  <c r="AC106" i="65" s="1"/>
  <c r="AB106" i="65" a="1"/>
  <c r="AB106" i="65" s="1"/>
  <c r="AA106" i="65" a="1"/>
  <c r="AA106" i="65" s="1"/>
  <c r="Z106" i="65" a="1"/>
  <c r="Z106" i="65" s="1"/>
  <c r="Y106" i="65" a="1"/>
  <c r="Y106" i="65" s="1"/>
  <c r="X106" i="65" a="1"/>
  <c r="X106" i="65" s="1"/>
  <c r="W106" i="65" a="1"/>
  <c r="W106" i="65" s="1"/>
  <c r="V106" i="65" a="1"/>
  <c r="V106" i="65" s="1"/>
  <c r="U106" i="65" a="1"/>
  <c r="U106" i="65" s="1"/>
  <c r="T106" i="65" a="1"/>
  <c r="T106" i="65" s="1"/>
  <c r="S106" i="65" a="1"/>
  <c r="S106" i="65" s="1"/>
  <c r="R106" i="65" a="1"/>
  <c r="R106" i="65" s="1"/>
  <c r="Q106" i="65" a="1"/>
  <c r="Q106" i="65" s="1"/>
  <c r="P106" i="65" a="1"/>
  <c r="P106" i="65" s="1"/>
  <c r="O106" i="65" a="1"/>
  <c r="O106" i="65" s="1"/>
  <c r="N106" i="65" a="1"/>
  <c r="N106" i="65" s="1"/>
  <c r="M106" i="65" a="1"/>
  <c r="M106" i="65" s="1"/>
  <c r="L106" i="65" a="1"/>
  <c r="L106" i="65" s="1"/>
  <c r="K106" i="65" a="1"/>
  <c r="K106" i="65" s="1"/>
  <c r="J106" i="65" a="1"/>
  <c r="J106" i="65" s="1"/>
  <c r="I106" i="65" a="1"/>
  <c r="I106" i="65" s="1"/>
  <c r="H106" i="65" a="1"/>
  <c r="H106" i="65" s="1"/>
  <c r="G106" i="65" a="1"/>
  <c r="G106" i="65" s="1"/>
  <c r="F106" i="65" a="1"/>
  <c r="F106" i="65" s="1"/>
  <c r="E106" i="65" a="1"/>
  <c r="E106" i="65" s="1"/>
  <c r="D106" i="65" a="1"/>
  <c r="D106" i="65" s="1"/>
  <c r="AE105" i="65" a="1"/>
  <c r="AE105" i="65" s="1"/>
  <c r="AD105" i="65" a="1"/>
  <c r="AD105" i="65" s="1"/>
  <c r="AC105" i="65" a="1"/>
  <c r="AC105" i="65" s="1"/>
  <c r="AB105" i="65" a="1"/>
  <c r="AB105" i="65" s="1"/>
  <c r="AA105" i="65" a="1"/>
  <c r="AA105" i="65" s="1"/>
  <c r="Z105" i="65" a="1"/>
  <c r="Z105" i="65" s="1"/>
  <c r="Y105" i="65" a="1"/>
  <c r="Y105" i="65" s="1"/>
  <c r="X105" i="65" a="1"/>
  <c r="X105" i="65" s="1"/>
  <c r="W105" i="65" a="1"/>
  <c r="W105" i="65" s="1"/>
  <c r="V105" i="65" a="1"/>
  <c r="V105" i="65" s="1"/>
  <c r="U105" i="65" a="1"/>
  <c r="U105" i="65" s="1"/>
  <c r="T105" i="65" a="1"/>
  <c r="T105" i="65" s="1"/>
  <c r="S105" i="65" a="1"/>
  <c r="S105" i="65" s="1"/>
  <c r="R105" i="65" a="1"/>
  <c r="R105" i="65" s="1"/>
  <c r="Q105" i="65" a="1"/>
  <c r="Q105" i="65" s="1"/>
  <c r="P105" i="65" a="1"/>
  <c r="P105" i="65" s="1"/>
  <c r="O105" i="65" a="1"/>
  <c r="O105" i="65" s="1"/>
  <c r="N105" i="65" a="1"/>
  <c r="N105" i="65" s="1"/>
  <c r="M105" i="65" a="1"/>
  <c r="M105" i="65" s="1"/>
  <c r="L105" i="65" a="1"/>
  <c r="L105" i="65" s="1"/>
  <c r="K105" i="65" a="1"/>
  <c r="K105" i="65" s="1"/>
  <c r="J105" i="65" a="1"/>
  <c r="J105" i="65" s="1"/>
  <c r="I105" i="65" a="1"/>
  <c r="I105" i="65" s="1"/>
  <c r="H105" i="65" a="1"/>
  <c r="H105" i="65" s="1"/>
  <c r="G105" i="65" a="1"/>
  <c r="G105" i="65" s="1"/>
  <c r="F105" i="65" a="1"/>
  <c r="F105" i="65" s="1"/>
  <c r="E105" i="65" a="1"/>
  <c r="E105" i="65" s="1"/>
  <c r="D105" i="65" a="1"/>
  <c r="D105" i="65" s="1"/>
  <c r="AE104" i="65" a="1"/>
  <c r="AE104" i="65" s="1"/>
  <c r="AD104" i="65" a="1"/>
  <c r="AD104" i="65" s="1"/>
  <c r="AC104" i="65" a="1"/>
  <c r="AC104" i="65" s="1"/>
  <c r="AB104" i="65" a="1"/>
  <c r="AB104" i="65" s="1"/>
  <c r="AA104" i="65" a="1"/>
  <c r="AA104" i="65" s="1"/>
  <c r="Z104" i="65" a="1"/>
  <c r="Z104" i="65" s="1"/>
  <c r="Y104" i="65" a="1"/>
  <c r="Y104" i="65" s="1"/>
  <c r="X104" i="65" a="1"/>
  <c r="X104" i="65" s="1"/>
  <c r="W104" i="65" a="1"/>
  <c r="W104" i="65" s="1"/>
  <c r="V104" i="65" a="1"/>
  <c r="V104" i="65" s="1"/>
  <c r="U104" i="65" a="1"/>
  <c r="U104" i="65" s="1"/>
  <c r="T104" i="65" a="1"/>
  <c r="T104" i="65" s="1"/>
  <c r="S104" i="65" a="1"/>
  <c r="S104" i="65" s="1"/>
  <c r="R104" i="65" a="1"/>
  <c r="R104" i="65" s="1"/>
  <c r="Q104" i="65" a="1"/>
  <c r="Q104" i="65" s="1"/>
  <c r="P104" i="65" a="1"/>
  <c r="P104" i="65" s="1"/>
  <c r="O104" i="65" a="1"/>
  <c r="O104" i="65" s="1"/>
  <c r="N104" i="65" a="1"/>
  <c r="N104" i="65" s="1"/>
  <c r="M104" i="65" a="1"/>
  <c r="M104" i="65" s="1"/>
  <c r="L104" i="65" a="1"/>
  <c r="L104" i="65" s="1"/>
  <c r="K104" i="65" a="1"/>
  <c r="K104" i="65" s="1"/>
  <c r="J104" i="65" a="1"/>
  <c r="J104" i="65" s="1"/>
  <c r="I104" i="65" a="1"/>
  <c r="I104" i="65" s="1"/>
  <c r="H104" i="65" a="1"/>
  <c r="H104" i="65" s="1"/>
  <c r="G104" i="65" a="1"/>
  <c r="G104" i="65" s="1"/>
  <c r="F104" i="65" a="1"/>
  <c r="F104" i="65" s="1"/>
  <c r="E104" i="65" a="1"/>
  <c r="E104" i="65" s="1"/>
  <c r="D104" i="65" a="1"/>
  <c r="D104" i="65" s="1"/>
  <c r="AE103" i="65" a="1"/>
  <c r="AE103" i="65" s="1"/>
  <c r="AD103" i="65" a="1"/>
  <c r="AD103" i="65" s="1"/>
  <c r="AC103" i="65" a="1"/>
  <c r="AC103" i="65" s="1"/>
  <c r="AB103" i="65" a="1"/>
  <c r="AB103" i="65" s="1"/>
  <c r="AA103" i="65" a="1"/>
  <c r="AA103" i="65" s="1"/>
  <c r="Z103" i="65" a="1"/>
  <c r="Z103" i="65" s="1"/>
  <c r="Y103" i="65" a="1"/>
  <c r="Y103" i="65" s="1"/>
  <c r="X103" i="65" a="1"/>
  <c r="X103" i="65" s="1"/>
  <c r="W103" i="65" a="1"/>
  <c r="W103" i="65" s="1"/>
  <c r="V103" i="65" a="1"/>
  <c r="V103" i="65" s="1"/>
  <c r="U103" i="65" a="1"/>
  <c r="U103" i="65" s="1"/>
  <c r="T103" i="65" a="1"/>
  <c r="T103" i="65" s="1"/>
  <c r="S103" i="65" a="1"/>
  <c r="S103" i="65" s="1"/>
  <c r="R103" i="65" a="1"/>
  <c r="R103" i="65" s="1"/>
  <c r="Q103" i="65" a="1"/>
  <c r="Q103" i="65" s="1"/>
  <c r="P103" i="65" a="1"/>
  <c r="P103" i="65" s="1"/>
  <c r="O103" i="65" a="1"/>
  <c r="O103" i="65" s="1"/>
  <c r="N103" i="65" a="1"/>
  <c r="N103" i="65" s="1"/>
  <c r="M103" i="65" a="1"/>
  <c r="M103" i="65" s="1"/>
  <c r="L103" i="65" a="1"/>
  <c r="L103" i="65" s="1"/>
  <c r="K103" i="65" a="1"/>
  <c r="K103" i="65" s="1"/>
  <c r="J103" i="65" a="1"/>
  <c r="J103" i="65" s="1"/>
  <c r="I103" i="65" a="1"/>
  <c r="I103" i="65" s="1"/>
  <c r="H103" i="65" a="1"/>
  <c r="H103" i="65" s="1"/>
  <c r="G103" i="65" a="1"/>
  <c r="G103" i="65" s="1"/>
  <c r="F103" i="65" a="1"/>
  <c r="F103" i="65" s="1"/>
  <c r="E103" i="65" a="1"/>
  <c r="E103" i="65" s="1"/>
  <c r="D103" i="65" a="1"/>
  <c r="D103" i="65" s="1"/>
  <c r="AE102" i="65" a="1"/>
  <c r="AE102" i="65" s="1"/>
  <c r="AD102" i="65" a="1"/>
  <c r="AD102" i="65" s="1"/>
  <c r="AC102" i="65" a="1"/>
  <c r="AC102" i="65" s="1"/>
  <c r="AB102" i="65" a="1"/>
  <c r="AB102" i="65" s="1"/>
  <c r="AA102" i="65" a="1"/>
  <c r="AA102" i="65" s="1"/>
  <c r="Z102" i="65" a="1"/>
  <c r="Z102" i="65" s="1"/>
  <c r="Y102" i="65" a="1"/>
  <c r="Y102" i="65" s="1"/>
  <c r="X102" i="65" a="1"/>
  <c r="X102" i="65" s="1"/>
  <c r="W102" i="65" a="1"/>
  <c r="W102" i="65" s="1"/>
  <c r="V102" i="65" a="1"/>
  <c r="V102" i="65" s="1"/>
  <c r="U102" i="65" a="1"/>
  <c r="U102" i="65" s="1"/>
  <c r="T102" i="65" a="1"/>
  <c r="T102" i="65" s="1"/>
  <c r="S102" i="65" a="1"/>
  <c r="S102" i="65" s="1"/>
  <c r="R102" i="65" a="1"/>
  <c r="R102" i="65" s="1"/>
  <c r="Q102" i="65" a="1"/>
  <c r="Q102" i="65" s="1"/>
  <c r="P102" i="65" a="1"/>
  <c r="P102" i="65" s="1"/>
  <c r="O102" i="65" a="1"/>
  <c r="O102" i="65" s="1"/>
  <c r="N102" i="65" a="1"/>
  <c r="N102" i="65" s="1"/>
  <c r="M102" i="65" a="1"/>
  <c r="M102" i="65" s="1"/>
  <c r="L102" i="65" a="1"/>
  <c r="L102" i="65" s="1"/>
  <c r="K102" i="65" a="1"/>
  <c r="K102" i="65" s="1"/>
  <c r="J102" i="65" a="1"/>
  <c r="J102" i="65" s="1"/>
  <c r="I102" i="65" a="1"/>
  <c r="I102" i="65" s="1"/>
  <c r="H102" i="65" a="1"/>
  <c r="H102" i="65" s="1"/>
  <c r="G102" i="65" a="1"/>
  <c r="G102" i="65" s="1"/>
  <c r="F102" i="65" a="1"/>
  <c r="F102" i="65" s="1"/>
  <c r="E102" i="65" a="1"/>
  <c r="E102" i="65" s="1"/>
  <c r="D102" i="65" a="1"/>
  <c r="D102" i="65" s="1"/>
  <c r="AE101" i="65" a="1"/>
  <c r="AE101" i="65" s="1"/>
  <c r="AD101" i="65" a="1"/>
  <c r="AD101" i="65" s="1"/>
  <c r="AC101" i="65" a="1"/>
  <c r="AC101" i="65" s="1"/>
  <c r="AB101" i="65" a="1"/>
  <c r="AB101" i="65" s="1"/>
  <c r="AA101" i="65" a="1"/>
  <c r="AA101" i="65" s="1"/>
  <c r="Z101" i="65" a="1"/>
  <c r="Z101" i="65" s="1"/>
  <c r="Y101" i="65" a="1"/>
  <c r="Y101" i="65" s="1"/>
  <c r="X101" i="65" a="1"/>
  <c r="X101" i="65" s="1"/>
  <c r="W101" i="65" a="1"/>
  <c r="W101" i="65" s="1"/>
  <c r="V101" i="65" a="1"/>
  <c r="V101" i="65" s="1"/>
  <c r="U101" i="65" a="1"/>
  <c r="U101" i="65" s="1"/>
  <c r="T101" i="65" a="1"/>
  <c r="T101" i="65" s="1"/>
  <c r="S101" i="65" a="1"/>
  <c r="S101" i="65" s="1"/>
  <c r="R101" i="65" a="1"/>
  <c r="R101" i="65" s="1"/>
  <c r="Q101" i="65" a="1"/>
  <c r="Q101" i="65" s="1"/>
  <c r="P101" i="65" a="1"/>
  <c r="P101" i="65" s="1"/>
  <c r="O101" i="65" a="1"/>
  <c r="O101" i="65" s="1"/>
  <c r="N101" i="65" a="1"/>
  <c r="N101" i="65" s="1"/>
  <c r="M101" i="65" a="1"/>
  <c r="M101" i="65" s="1"/>
  <c r="L101" i="65" a="1"/>
  <c r="L101" i="65" s="1"/>
  <c r="K101" i="65" a="1"/>
  <c r="K101" i="65" s="1"/>
  <c r="J101" i="65" a="1"/>
  <c r="J101" i="65" s="1"/>
  <c r="I101" i="65" a="1"/>
  <c r="I101" i="65" s="1"/>
  <c r="H101" i="65" a="1"/>
  <c r="H101" i="65" s="1"/>
  <c r="G101" i="65" a="1"/>
  <c r="G101" i="65" s="1"/>
  <c r="F101" i="65" a="1"/>
  <c r="F101" i="65" s="1"/>
  <c r="E101" i="65" a="1"/>
  <c r="E101" i="65" s="1"/>
  <c r="D101" i="65" a="1"/>
  <c r="D101" i="65" s="1"/>
  <c r="AE100" i="65" a="1"/>
  <c r="AE100" i="65" s="1"/>
  <c r="AD100" i="65" a="1"/>
  <c r="AD100" i="65" s="1"/>
  <c r="AC100" i="65" a="1"/>
  <c r="AC100" i="65" s="1"/>
  <c r="AB100" i="65" a="1"/>
  <c r="AB100" i="65" s="1"/>
  <c r="AA100" i="65" a="1"/>
  <c r="AA100" i="65" s="1"/>
  <c r="Z100" i="65" a="1"/>
  <c r="Z100" i="65" s="1"/>
  <c r="Y100" i="65" a="1"/>
  <c r="Y100" i="65" s="1"/>
  <c r="X100" i="65" a="1"/>
  <c r="X100" i="65" s="1"/>
  <c r="W100" i="65" a="1"/>
  <c r="W100" i="65" s="1"/>
  <c r="V100" i="65" a="1"/>
  <c r="V100" i="65" s="1"/>
  <c r="U100" i="65" a="1"/>
  <c r="U100" i="65" s="1"/>
  <c r="T100" i="65" a="1"/>
  <c r="T100" i="65" s="1"/>
  <c r="S100" i="65" a="1"/>
  <c r="S100" i="65" s="1"/>
  <c r="R100" i="65" a="1"/>
  <c r="R100" i="65" s="1"/>
  <c r="Q100" i="65" a="1"/>
  <c r="Q100" i="65" s="1"/>
  <c r="P100" i="65" a="1"/>
  <c r="P100" i="65" s="1"/>
  <c r="O100" i="65" a="1"/>
  <c r="O100" i="65" s="1"/>
  <c r="N100" i="65" a="1"/>
  <c r="N100" i="65" s="1"/>
  <c r="M100" i="65" a="1"/>
  <c r="M100" i="65" s="1"/>
  <c r="L100" i="65" a="1"/>
  <c r="L100" i="65" s="1"/>
  <c r="K100" i="65" a="1"/>
  <c r="K100" i="65" s="1"/>
  <c r="J100" i="65" a="1"/>
  <c r="J100" i="65" s="1"/>
  <c r="I100" i="65" a="1"/>
  <c r="I100" i="65" s="1"/>
  <c r="H100" i="65" a="1"/>
  <c r="H100" i="65" s="1"/>
  <c r="G100" i="65" a="1"/>
  <c r="G100" i="65" s="1"/>
  <c r="F100" i="65" a="1"/>
  <c r="F100" i="65" s="1"/>
  <c r="E100" i="65" a="1"/>
  <c r="E100" i="65" s="1"/>
  <c r="D100" i="65" a="1"/>
  <c r="D100" i="65" s="1"/>
  <c r="AE99" i="65" a="1"/>
  <c r="AE99" i="65" s="1"/>
  <c r="AD99" i="65" a="1"/>
  <c r="AD99" i="65" s="1"/>
  <c r="AC99" i="65" a="1"/>
  <c r="AC99" i="65" s="1"/>
  <c r="AB99" i="65" a="1"/>
  <c r="AB99" i="65" s="1"/>
  <c r="AA99" i="65" a="1"/>
  <c r="AA99" i="65" s="1"/>
  <c r="Z99" i="65" a="1"/>
  <c r="Z99" i="65" s="1"/>
  <c r="Y99" i="65" a="1"/>
  <c r="Y99" i="65" s="1"/>
  <c r="X99" i="65" a="1"/>
  <c r="X99" i="65" s="1"/>
  <c r="W99" i="65" a="1"/>
  <c r="W99" i="65" s="1"/>
  <c r="V99" i="65" a="1"/>
  <c r="V99" i="65" s="1"/>
  <c r="U99" i="65" a="1"/>
  <c r="U99" i="65" s="1"/>
  <c r="T99" i="65" a="1"/>
  <c r="T99" i="65" s="1"/>
  <c r="S99" i="65" a="1"/>
  <c r="S99" i="65" s="1"/>
  <c r="R99" i="65" a="1"/>
  <c r="R99" i="65" s="1"/>
  <c r="Q99" i="65" a="1"/>
  <c r="Q99" i="65" s="1"/>
  <c r="P99" i="65" a="1"/>
  <c r="P99" i="65" s="1"/>
  <c r="O99" i="65" a="1"/>
  <c r="O99" i="65" s="1"/>
  <c r="N99" i="65" a="1"/>
  <c r="N99" i="65" s="1"/>
  <c r="M99" i="65" a="1"/>
  <c r="M99" i="65" s="1"/>
  <c r="L99" i="65" a="1"/>
  <c r="L99" i="65" s="1"/>
  <c r="K99" i="65" a="1"/>
  <c r="K99" i="65" s="1"/>
  <c r="J99" i="65" a="1"/>
  <c r="J99" i="65" s="1"/>
  <c r="I99" i="65" a="1"/>
  <c r="I99" i="65" s="1"/>
  <c r="H99" i="65" a="1"/>
  <c r="H99" i="65" s="1"/>
  <c r="G99" i="65" a="1"/>
  <c r="G99" i="65" s="1"/>
  <c r="F99" i="65" a="1"/>
  <c r="F99" i="65" s="1"/>
  <c r="E99" i="65" a="1"/>
  <c r="E99" i="65" s="1"/>
  <c r="D99" i="65" a="1"/>
  <c r="D99" i="65" s="1"/>
  <c r="AE98" i="65" a="1"/>
  <c r="AE98" i="65" s="1"/>
  <c r="AD98" i="65" a="1"/>
  <c r="AD98" i="65" s="1"/>
  <c r="AC98" i="65" a="1"/>
  <c r="AC98" i="65" s="1"/>
  <c r="AB98" i="65" a="1"/>
  <c r="AB98" i="65" s="1"/>
  <c r="AA98" i="65" a="1"/>
  <c r="AA98" i="65" s="1"/>
  <c r="Z98" i="65" a="1"/>
  <c r="Z98" i="65" s="1"/>
  <c r="Y98" i="65" a="1"/>
  <c r="Y98" i="65" s="1"/>
  <c r="X98" i="65" a="1"/>
  <c r="X98" i="65" s="1"/>
  <c r="W98" i="65" a="1"/>
  <c r="W98" i="65" s="1"/>
  <c r="V98" i="65" a="1"/>
  <c r="V98" i="65" s="1"/>
  <c r="U98" i="65" a="1"/>
  <c r="U98" i="65" s="1"/>
  <c r="T98" i="65" a="1"/>
  <c r="T98" i="65" s="1"/>
  <c r="S98" i="65" a="1"/>
  <c r="S98" i="65" s="1"/>
  <c r="R98" i="65" a="1"/>
  <c r="R98" i="65" s="1"/>
  <c r="Q98" i="65" a="1"/>
  <c r="Q98" i="65" s="1"/>
  <c r="P98" i="65" a="1"/>
  <c r="P98" i="65" s="1"/>
  <c r="O98" i="65" a="1"/>
  <c r="O98" i="65" s="1"/>
  <c r="N98" i="65" a="1"/>
  <c r="N98" i="65" s="1"/>
  <c r="M98" i="65" a="1"/>
  <c r="M98" i="65" s="1"/>
  <c r="L98" i="65" a="1"/>
  <c r="L98" i="65" s="1"/>
  <c r="K98" i="65" a="1"/>
  <c r="K98" i="65" s="1"/>
  <c r="J98" i="65" a="1"/>
  <c r="J98" i="65" s="1"/>
  <c r="I98" i="65" a="1"/>
  <c r="I98" i="65" s="1"/>
  <c r="H98" i="65" a="1"/>
  <c r="H98" i="65" s="1"/>
  <c r="G98" i="65" a="1"/>
  <c r="G98" i="65" s="1"/>
  <c r="F98" i="65" a="1"/>
  <c r="F98" i="65" s="1"/>
  <c r="E98" i="65" a="1"/>
  <c r="E98" i="65" s="1"/>
  <c r="D98" i="65" a="1"/>
  <c r="D98" i="65" s="1"/>
  <c r="AE97" i="65" a="1"/>
  <c r="AE97" i="65" s="1"/>
  <c r="AD97" i="65" a="1"/>
  <c r="AD97" i="65" s="1"/>
  <c r="AC97" i="65" a="1"/>
  <c r="AC97" i="65" s="1"/>
  <c r="AB97" i="65" a="1"/>
  <c r="AB97" i="65" s="1"/>
  <c r="AA97" i="65" a="1"/>
  <c r="AA97" i="65" s="1"/>
  <c r="Z97" i="65" a="1"/>
  <c r="Z97" i="65" s="1"/>
  <c r="Y97" i="65" a="1"/>
  <c r="Y97" i="65" s="1"/>
  <c r="X97" i="65" a="1"/>
  <c r="X97" i="65" s="1"/>
  <c r="W97" i="65" a="1"/>
  <c r="W97" i="65" s="1"/>
  <c r="V97" i="65" a="1"/>
  <c r="V97" i="65" s="1"/>
  <c r="U97" i="65" a="1"/>
  <c r="U97" i="65" s="1"/>
  <c r="T97" i="65" a="1"/>
  <c r="T97" i="65" s="1"/>
  <c r="S97" i="65" a="1"/>
  <c r="S97" i="65" s="1"/>
  <c r="R97" i="65" a="1"/>
  <c r="R97" i="65" s="1"/>
  <c r="Q97" i="65" a="1"/>
  <c r="Q97" i="65" s="1"/>
  <c r="P97" i="65" a="1"/>
  <c r="P97" i="65" s="1"/>
  <c r="O97" i="65" a="1"/>
  <c r="O97" i="65" s="1"/>
  <c r="N97" i="65" a="1"/>
  <c r="N97" i="65" s="1"/>
  <c r="M97" i="65" a="1"/>
  <c r="M97" i="65" s="1"/>
  <c r="L97" i="65" a="1"/>
  <c r="L97" i="65" s="1"/>
  <c r="K97" i="65" a="1"/>
  <c r="K97" i="65" s="1"/>
  <c r="J97" i="65" a="1"/>
  <c r="J97" i="65" s="1"/>
  <c r="I97" i="65" a="1"/>
  <c r="I97" i="65" s="1"/>
  <c r="H97" i="65" a="1"/>
  <c r="H97" i="65" s="1"/>
  <c r="G97" i="65" a="1"/>
  <c r="G97" i="65" s="1"/>
  <c r="F97" i="65" a="1"/>
  <c r="F97" i="65" s="1"/>
  <c r="E97" i="65" a="1"/>
  <c r="E97" i="65" s="1"/>
  <c r="D97" i="65" a="1"/>
  <c r="D97" i="65" s="1"/>
  <c r="AE96" i="65" a="1"/>
  <c r="AE96" i="65" s="1"/>
  <c r="AD96" i="65" a="1"/>
  <c r="AD96" i="65" s="1"/>
  <c r="AC96" i="65" a="1"/>
  <c r="AC96" i="65" s="1"/>
  <c r="AB96" i="65" a="1"/>
  <c r="AB96" i="65" s="1"/>
  <c r="AA96" i="65" a="1"/>
  <c r="AA96" i="65" s="1"/>
  <c r="Z96" i="65" a="1"/>
  <c r="Z96" i="65" s="1"/>
  <c r="Y96" i="65" a="1"/>
  <c r="Y96" i="65" s="1"/>
  <c r="X96" i="65" a="1"/>
  <c r="X96" i="65" s="1"/>
  <c r="W96" i="65" a="1"/>
  <c r="W96" i="65" s="1"/>
  <c r="V96" i="65" a="1"/>
  <c r="V96" i="65" s="1"/>
  <c r="U96" i="65" a="1"/>
  <c r="U96" i="65" s="1"/>
  <c r="T96" i="65" a="1"/>
  <c r="T96" i="65" s="1"/>
  <c r="S96" i="65" a="1"/>
  <c r="S96" i="65" s="1"/>
  <c r="R96" i="65" a="1"/>
  <c r="R96" i="65" s="1"/>
  <c r="Q96" i="65" a="1"/>
  <c r="Q96" i="65" s="1"/>
  <c r="P96" i="65" a="1"/>
  <c r="P96" i="65" s="1"/>
  <c r="O96" i="65" a="1"/>
  <c r="O96" i="65" s="1"/>
  <c r="N96" i="65" a="1"/>
  <c r="N96" i="65" s="1"/>
  <c r="M96" i="65" a="1"/>
  <c r="M96" i="65" s="1"/>
  <c r="L96" i="65" a="1"/>
  <c r="L96" i="65" s="1"/>
  <c r="K96" i="65" a="1"/>
  <c r="K96" i="65" s="1"/>
  <c r="J96" i="65" a="1"/>
  <c r="J96" i="65" s="1"/>
  <c r="I96" i="65" a="1"/>
  <c r="I96" i="65" s="1"/>
  <c r="H96" i="65" a="1"/>
  <c r="H96" i="65" s="1"/>
  <c r="G96" i="65" a="1"/>
  <c r="G96" i="65" s="1"/>
  <c r="F96" i="65" a="1"/>
  <c r="F96" i="65" s="1"/>
  <c r="E96" i="65" a="1"/>
  <c r="E96" i="65" s="1"/>
  <c r="D96" i="65" a="1"/>
  <c r="D96" i="65" s="1"/>
  <c r="AE95" i="65" a="1"/>
  <c r="AE95" i="65" s="1"/>
  <c r="AD95" i="65" a="1"/>
  <c r="AD95" i="65" s="1"/>
  <c r="AC95" i="65" a="1"/>
  <c r="AC95" i="65" s="1"/>
  <c r="AB95" i="65" a="1"/>
  <c r="AB95" i="65" s="1"/>
  <c r="AA95" i="65" a="1"/>
  <c r="AA95" i="65" s="1"/>
  <c r="Z95" i="65" a="1"/>
  <c r="Z95" i="65" s="1"/>
  <c r="Y95" i="65" a="1"/>
  <c r="Y95" i="65" s="1"/>
  <c r="X95" i="65" a="1"/>
  <c r="X95" i="65" s="1"/>
  <c r="W95" i="65" a="1"/>
  <c r="W95" i="65" s="1"/>
  <c r="V95" i="65" a="1"/>
  <c r="V95" i="65" s="1"/>
  <c r="U95" i="65" a="1"/>
  <c r="U95" i="65" s="1"/>
  <c r="T95" i="65" a="1"/>
  <c r="T95" i="65" s="1"/>
  <c r="S95" i="65" a="1"/>
  <c r="S95" i="65" s="1"/>
  <c r="R95" i="65" a="1"/>
  <c r="R95" i="65" s="1"/>
  <c r="Q95" i="65" a="1"/>
  <c r="Q95" i="65" s="1"/>
  <c r="P95" i="65" a="1"/>
  <c r="P95" i="65" s="1"/>
  <c r="O95" i="65" a="1"/>
  <c r="O95" i="65" s="1"/>
  <c r="N95" i="65" a="1"/>
  <c r="N95" i="65" s="1"/>
  <c r="M95" i="65" a="1"/>
  <c r="M95" i="65" s="1"/>
  <c r="L95" i="65" a="1"/>
  <c r="L95" i="65" s="1"/>
  <c r="K95" i="65" a="1"/>
  <c r="K95" i="65" s="1"/>
  <c r="J95" i="65" a="1"/>
  <c r="J95" i="65" s="1"/>
  <c r="I95" i="65" a="1"/>
  <c r="I95" i="65" s="1"/>
  <c r="H95" i="65" a="1"/>
  <c r="H95" i="65" s="1"/>
  <c r="G95" i="65" a="1"/>
  <c r="G95" i="65" s="1"/>
  <c r="F95" i="65" a="1"/>
  <c r="F95" i="65" s="1"/>
  <c r="E95" i="65" a="1"/>
  <c r="E95" i="65" s="1"/>
  <c r="D95" i="65" a="1"/>
  <c r="D95" i="65" s="1"/>
  <c r="AE94" i="65" a="1"/>
  <c r="AE94" i="65" s="1"/>
  <c r="AD94" i="65" a="1"/>
  <c r="AD94" i="65" s="1"/>
  <c r="AC94" i="65" a="1"/>
  <c r="AC94" i="65" s="1"/>
  <c r="AB94" i="65" a="1"/>
  <c r="AB94" i="65" s="1"/>
  <c r="AA94" i="65" a="1"/>
  <c r="AA94" i="65" s="1"/>
  <c r="Z94" i="65" a="1"/>
  <c r="Z94" i="65" s="1"/>
  <c r="Y94" i="65" a="1"/>
  <c r="Y94" i="65" s="1"/>
  <c r="X94" i="65" a="1"/>
  <c r="X94" i="65" s="1"/>
  <c r="W94" i="65" a="1"/>
  <c r="W94" i="65" s="1"/>
  <c r="V94" i="65" a="1"/>
  <c r="V94" i="65" s="1"/>
  <c r="U94" i="65" a="1"/>
  <c r="U94" i="65" s="1"/>
  <c r="T94" i="65" a="1"/>
  <c r="T94" i="65" s="1"/>
  <c r="S94" i="65" a="1"/>
  <c r="S94" i="65" s="1"/>
  <c r="R94" i="65" a="1"/>
  <c r="R94" i="65" s="1"/>
  <c r="Q94" i="65" a="1"/>
  <c r="Q94" i="65" s="1"/>
  <c r="P94" i="65" a="1"/>
  <c r="P94" i="65" s="1"/>
  <c r="O94" i="65" a="1"/>
  <c r="O94" i="65" s="1"/>
  <c r="N94" i="65" a="1"/>
  <c r="N94" i="65" s="1"/>
  <c r="M94" i="65" a="1"/>
  <c r="M94" i="65" s="1"/>
  <c r="L94" i="65" a="1"/>
  <c r="L94" i="65" s="1"/>
  <c r="K94" i="65" a="1"/>
  <c r="K94" i="65" s="1"/>
  <c r="J94" i="65" a="1"/>
  <c r="J94" i="65" s="1"/>
  <c r="I94" i="65" a="1"/>
  <c r="I94" i="65" s="1"/>
  <c r="H94" i="65" a="1"/>
  <c r="H94" i="65" s="1"/>
  <c r="G94" i="65" a="1"/>
  <c r="G94" i="65" s="1"/>
  <c r="F94" i="65" a="1"/>
  <c r="F94" i="65" s="1"/>
  <c r="E94" i="65" a="1"/>
  <c r="E94" i="65" s="1"/>
  <c r="D94" i="65" a="1"/>
  <c r="D94" i="65" s="1"/>
  <c r="AE93" i="65" a="1"/>
  <c r="AE93" i="65" s="1"/>
  <c r="AD93" i="65" a="1"/>
  <c r="AD93" i="65" s="1"/>
  <c r="AC93" i="65" a="1"/>
  <c r="AC93" i="65" s="1"/>
  <c r="AB93" i="65" a="1"/>
  <c r="AB93" i="65" s="1"/>
  <c r="AA93" i="65" a="1"/>
  <c r="AA93" i="65" s="1"/>
  <c r="Z93" i="65" a="1"/>
  <c r="Z93" i="65" s="1"/>
  <c r="Y93" i="65" a="1"/>
  <c r="Y93" i="65" s="1"/>
  <c r="X93" i="65" a="1"/>
  <c r="X93" i="65" s="1"/>
  <c r="W93" i="65" a="1"/>
  <c r="W93" i="65" s="1"/>
  <c r="V93" i="65" a="1"/>
  <c r="V93" i="65" s="1"/>
  <c r="U93" i="65" a="1"/>
  <c r="U93" i="65" s="1"/>
  <c r="T93" i="65" a="1"/>
  <c r="T93" i="65" s="1"/>
  <c r="S93" i="65" a="1"/>
  <c r="S93" i="65" s="1"/>
  <c r="R93" i="65" a="1"/>
  <c r="R93" i="65" s="1"/>
  <c r="Q93" i="65" a="1"/>
  <c r="Q93" i="65" s="1"/>
  <c r="P93" i="65" a="1"/>
  <c r="P93" i="65" s="1"/>
  <c r="O93" i="65" a="1"/>
  <c r="O93" i="65" s="1"/>
  <c r="N93" i="65" a="1"/>
  <c r="N93" i="65" s="1"/>
  <c r="M93" i="65" a="1"/>
  <c r="M93" i="65" s="1"/>
  <c r="L93" i="65" a="1"/>
  <c r="L93" i="65" s="1"/>
  <c r="K93" i="65" a="1"/>
  <c r="K93" i="65" s="1"/>
  <c r="J93" i="65" a="1"/>
  <c r="J93" i="65" s="1"/>
  <c r="I93" i="65" a="1"/>
  <c r="I93" i="65" s="1"/>
  <c r="H93" i="65" a="1"/>
  <c r="H93" i="65" s="1"/>
  <c r="G93" i="65" a="1"/>
  <c r="G93" i="65" s="1"/>
  <c r="F93" i="65" a="1"/>
  <c r="F93" i="65" s="1"/>
  <c r="E93" i="65" a="1"/>
  <c r="E93" i="65" s="1"/>
  <c r="D93" i="65" a="1"/>
  <c r="D93" i="65" s="1"/>
  <c r="AE92" i="65" a="1"/>
  <c r="AE92" i="65" s="1"/>
  <c r="AD92" i="65" a="1"/>
  <c r="AD92" i="65" s="1"/>
  <c r="AC92" i="65" a="1"/>
  <c r="AC92" i="65" s="1"/>
  <c r="AB92" i="65" a="1"/>
  <c r="AB92" i="65" s="1"/>
  <c r="AA92" i="65" a="1"/>
  <c r="AA92" i="65" s="1"/>
  <c r="Z92" i="65" a="1"/>
  <c r="Z92" i="65" s="1"/>
  <c r="Y92" i="65" a="1"/>
  <c r="Y92" i="65" s="1"/>
  <c r="X92" i="65" a="1"/>
  <c r="X92" i="65" s="1"/>
  <c r="W92" i="65" a="1"/>
  <c r="W92" i="65" s="1"/>
  <c r="V92" i="65" a="1"/>
  <c r="V92" i="65" s="1"/>
  <c r="U92" i="65" a="1"/>
  <c r="U92" i="65" s="1"/>
  <c r="T92" i="65" a="1"/>
  <c r="T92" i="65" s="1"/>
  <c r="S92" i="65" a="1"/>
  <c r="S92" i="65" s="1"/>
  <c r="R92" i="65" a="1"/>
  <c r="R92" i="65" s="1"/>
  <c r="Q92" i="65" a="1"/>
  <c r="Q92" i="65" s="1"/>
  <c r="P92" i="65" a="1"/>
  <c r="P92" i="65" s="1"/>
  <c r="O92" i="65" a="1"/>
  <c r="O92" i="65" s="1"/>
  <c r="N92" i="65" a="1"/>
  <c r="N92" i="65" s="1"/>
  <c r="M92" i="65" a="1"/>
  <c r="M92" i="65" s="1"/>
  <c r="L92" i="65" a="1"/>
  <c r="L92" i="65" s="1"/>
  <c r="K92" i="65" a="1"/>
  <c r="K92" i="65" s="1"/>
  <c r="J92" i="65" a="1"/>
  <c r="J92" i="65" s="1"/>
  <c r="I92" i="65" a="1"/>
  <c r="I92" i="65" s="1"/>
  <c r="H92" i="65" a="1"/>
  <c r="H92" i="65" s="1"/>
  <c r="G92" i="65" a="1"/>
  <c r="G92" i="65" s="1"/>
  <c r="F92" i="65" a="1"/>
  <c r="F92" i="65" s="1"/>
  <c r="E92" i="65" a="1"/>
  <c r="E92" i="65" s="1"/>
  <c r="D92" i="65" a="1"/>
  <c r="D92" i="65" s="1"/>
  <c r="AE91" i="65" a="1"/>
  <c r="AE91" i="65" s="1"/>
  <c r="AD91" i="65" a="1"/>
  <c r="AD91" i="65" s="1"/>
  <c r="AC91" i="65" a="1"/>
  <c r="AC91" i="65" s="1"/>
  <c r="AB91" i="65" a="1"/>
  <c r="AB91" i="65" s="1"/>
  <c r="AA91" i="65" a="1"/>
  <c r="AA91" i="65" s="1"/>
  <c r="Z91" i="65" a="1"/>
  <c r="Z91" i="65" s="1"/>
  <c r="Y91" i="65" a="1"/>
  <c r="Y91" i="65" s="1"/>
  <c r="X91" i="65" a="1"/>
  <c r="X91" i="65" s="1"/>
  <c r="W91" i="65" a="1"/>
  <c r="W91" i="65" s="1"/>
  <c r="V91" i="65" a="1"/>
  <c r="V91" i="65" s="1"/>
  <c r="U91" i="65" a="1"/>
  <c r="U91" i="65" s="1"/>
  <c r="T91" i="65" a="1"/>
  <c r="T91" i="65" s="1"/>
  <c r="S91" i="65" a="1"/>
  <c r="S91" i="65" s="1"/>
  <c r="R91" i="65" a="1"/>
  <c r="R91" i="65" s="1"/>
  <c r="Q91" i="65" a="1"/>
  <c r="Q91" i="65" s="1"/>
  <c r="P91" i="65" a="1"/>
  <c r="P91" i="65" s="1"/>
  <c r="O91" i="65" a="1"/>
  <c r="O91" i="65" s="1"/>
  <c r="N91" i="65" a="1"/>
  <c r="N91" i="65" s="1"/>
  <c r="M91" i="65" a="1"/>
  <c r="M91" i="65" s="1"/>
  <c r="L91" i="65" a="1"/>
  <c r="L91" i="65" s="1"/>
  <c r="K91" i="65" a="1"/>
  <c r="K91" i="65" s="1"/>
  <c r="J91" i="65" a="1"/>
  <c r="J91" i="65" s="1"/>
  <c r="I91" i="65" a="1"/>
  <c r="I91" i="65" s="1"/>
  <c r="H91" i="65" a="1"/>
  <c r="H91" i="65" s="1"/>
  <c r="G91" i="65" a="1"/>
  <c r="G91" i="65" s="1"/>
  <c r="F91" i="65" a="1"/>
  <c r="F91" i="65" s="1"/>
  <c r="E91" i="65" a="1"/>
  <c r="E91" i="65" s="1"/>
  <c r="D91" i="65" a="1"/>
  <c r="D91" i="65" s="1"/>
  <c r="AE90" i="65" a="1"/>
  <c r="AE90" i="65" s="1"/>
  <c r="AD90" i="65" a="1"/>
  <c r="AD90" i="65" s="1"/>
  <c r="AC90" i="65" a="1"/>
  <c r="AC90" i="65" s="1"/>
  <c r="AB90" i="65" a="1"/>
  <c r="AB90" i="65" s="1"/>
  <c r="AA90" i="65" a="1"/>
  <c r="AA90" i="65" s="1"/>
  <c r="Z90" i="65" a="1"/>
  <c r="Z90" i="65" s="1"/>
  <c r="Y90" i="65" a="1"/>
  <c r="Y90" i="65" s="1"/>
  <c r="X90" i="65" a="1"/>
  <c r="X90" i="65" s="1"/>
  <c r="W90" i="65" a="1"/>
  <c r="W90" i="65" s="1"/>
  <c r="V90" i="65" a="1"/>
  <c r="V90" i="65" s="1"/>
  <c r="U90" i="65" a="1"/>
  <c r="U90" i="65" s="1"/>
  <c r="T90" i="65" a="1"/>
  <c r="T90" i="65" s="1"/>
  <c r="S90" i="65" a="1"/>
  <c r="S90" i="65" s="1"/>
  <c r="R90" i="65" a="1"/>
  <c r="R90" i="65" s="1"/>
  <c r="Q90" i="65" a="1"/>
  <c r="Q90" i="65" s="1"/>
  <c r="P90" i="65" a="1"/>
  <c r="P90" i="65" s="1"/>
  <c r="O90" i="65" a="1"/>
  <c r="O90" i="65" s="1"/>
  <c r="N90" i="65" a="1"/>
  <c r="N90" i="65" s="1"/>
  <c r="M90" i="65" a="1"/>
  <c r="M90" i="65" s="1"/>
  <c r="L90" i="65" a="1"/>
  <c r="L90" i="65" s="1"/>
  <c r="K90" i="65" a="1"/>
  <c r="K90" i="65" s="1"/>
  <c r="J90" i="65" a="1"/>
  <c r="J90" i="65" s="1"/>
  <c r="I90" i="65" a="1"/>
  <c r="I90" i="65" s="1"/>
  <c r="H90" i="65" a="1"/>
  <c r="H90" i="65" s="1"/>
  <c r="G90" i="65" a="1"/>
  <c r="G90" i="65" s="1"/>
  <c r="F90" i="65" a="1"/>
  <c r="F90" i="65" s="1"/>
  <c r="E90" i="65" a="1"/>
  <c r="E90" i="65" s="1"/>
  <c r="D90" i="65" a="1"/>
  <c r="D90" i="65" s="1"/>
  <c r="F83" i="65" a="1"/>
  <c r="F83" i="65" s="1"/>
  <c r="E83" i="65" a="1"/>
  <c r="E83" i="65" s="1"/>
  <c r="J87" i="34" s="1"/>
  <c r="D83" i="65" a="1"/>
  <c r="D83" i="65" s="1"/>
  <c r="D82" i="65" a="1"/>
  <c r="D82" i="65" s="1"/>
  <c r="D81" i="65" a="1"/>
  <c r="D81" i="65" s="1"/>
  <c r="F78" i="65" a="1"/>
  <c r="F78" i="65" s="1"/>
  <c r="E78" i="65" a="1"/>
  <c r="E78" i="65" s="1"/>
  <c r="I69" i="34" s="1"/>
  <c r="D78" i="65" a="1"/>
  <c r="D78" i="65" s="1"/>
  <c r="D77" i="65" a="1"/>
  <c r="D77" i="65" s="1"/>
  <c r="D76" i="65" a="1"/>
  <c r="D76" i="65" s="1"/>
  <c r="F73" i="65" a="1"/>
  <c r="F73" i="65" s="1"/>
  <c r="E73" i="65" a="1"/>
  <c r="E73" i="65" s="1"/>
  <c r="I33" i="34" s="1"/>
  <c r="D73" i="65" a="1"/>
  <c r="D73" i="65" s="1"/>
  <c r="D72" i="65" a="1"/>
  <c r="D72" i="65" s="1"/>
  <c r="D71" i="65" a="1"/>
  <c r="D71" i="65" s="1"/>
  <c r="F68" i="65" a="1"/>
  <c r="F68" i="65" s="1"/>
  <c r="E68" i="65" a="1"/>
  <c r="E68" i="65" s="1"/>
  <c r="D68" i="65" a="1"/>
  <c r="D68" i="65" s="1"/>
  <c r="F67" i="65" a="1"/>
  <c r="F67" i="65" s="1"/>
  <c r="E67" i="65" a="1"/>
  <c r="E67" i="65" s="1"/>
  <c r="D67" i="65" a="1"/>
  <c r="D67" i="65" s="1"/>
  <c r="F66" i="65" a="1"/>
  <c r="F66" i="65" s="1"/>
  <c r="E66" i="65" a="1"/>
  <c r="E66" i="65" s="1"/>
  <c r="D66" i="65" a="1"/>
  <c r="D66" i="65" s="1"/>
  <c r="D64" i="65" a="1"/>
  <c r="D64" i="65" s="1"/>
  <c r="D63" i="65" a="1"/>
  <c r="D63" i="65" s="1"/>
  <c r="F60" i="65" a="1"/>
  <c r="F60" i="65" s="1"/>
  <c r="E60" i="65" a="1"/>
  <c r="E60" i="65" s="1"/>
  <c r="D60" i="65" a="1"/>
  <c r="D60" i="65" s="1"/>
  <c r="D59" i="65" a="1"/>
  <c r="D59" i="65" s="1"/>
  <c r="D58" i="65" a="1"/>
  <c r="D58" i="65" s="1"/>
  <c r="E55" i="65" a="1"/>
  <c r="E55" i="65" s="1"/>
  <c r="D55" i="65" a="1"/>
  <c r="D55" i="65" s="1"/>
  <c r="E54" i="65" a="1"/>
  <c r="E54" i="65" s="1"/>
  <c r="D54" i="65" a="1"/>
  <c r="D54" i="65" s="1"/>
  <c r="E53" i="65" a="1"/>
  <c r="E53" i="65" s="1"/>
  <c r="D53" i="65" a="1"/>
  <c r="D53" i="65" s="1"/>
  <c r="E52" i="65" a="1"/>
  <c r="E52" i="65" s="1"/>
  <c r="D52" i="65" a="1"/>
  <c r="D52" i="65" s="1"/>
  <c r="E51" i="65" a="1"/>
  <c r="E51" i="65" s="1"/>
  <c r="D51" i="65" a="1"/>
  <c r="D51" i="65" s="1"/>
  <c r="D49" i="65" a="1"/>
  <c r="D49" i="65" s="1"/>
  <c r="D48" i="65" a="1"/>
  <c r="D48" i="65" s="1"/>
  <c r="I38" i="65" a="1"/>
  <c r="I38" i="65" s="1"/>
  <c r="H38" i="65" a="1"/>
  <c r="H38" i="65" s="1"/>
  <c r="G38" i="65" a="1"/>
  <c r="G38" i="65" s="1"/>
  <c r="F38" i="65" a="1"/>
  <c r="F38" i="65" s="1"/>
  <c r="E38" i="65" a="1"/>
  <c r="E38" i="65" s="1"/>
  <c r="D38" i="65" a="1"/>
  <c r="D38" i="65" s="1"/>
  <c r="G180" i="20" s="1"/>
  <c r="I37" i="65" a="1"/>
  <c r="I37" i="65" s="1"/>
  <c r="H37" i="65" a="1"/>
  <c r="H37" i="65" s="1"/>
  <c r="G37" i="65" a="1"/>
  <c r="G37" i="65" s="1"/>
  <c r="F37" i="65" a="1"/>
  <c r="F37" i="65" s="1"/>
  <c r="E37" i="65" a="1"/>
  <c r="E37" i="65" s="1"/>
  <c r="D37" i="65" a="1"/>
  <c r="D37" i="65" s="1"/>
  <c r="G177" i="20" s="1"/>
  <c r="I36" i="65" a="1"/>
  <c r="I36" i="65" s="1"/>
  <c r="H36" i="65" a="1"/>
  <c r="H36" i="65" s="1"/>
  <c r="G36" i="65" a="1"/>
  <c r="G36" i="65" s="1"/>
  <c r="F36" i="65" a="1"/>
  <c r="F36" i="65" s="1"/>
  <c r="E36" i="65" a="1"/>
  <c r="E36" i="65" s="1"/>
  <c r="D36" i="65" a="1"/>
  <c r="D36" i="65" s="1"/>
  <c r="G190" i="20" s="1"/>
  <c r="I35" i="65" a="1"/>
  <c r="I35" i="65" s="1"/>
  <c r="H35" i="65" a="1"/>
  <c r="H35" i="65" s="1"/>
  <c r="G35" i="65" a="1"/>
  <c r="G35" i="65" s="1"/>
  <c r="F35" i="65" a="1"/>
  <c r="F35" i="65" s="1"/>
  <c r="E35" i="65" a="1"/>
  <c r="E35" i="65" s="1"/>
  <c r="D35" i="65" a="1"/>
  <c r="D35" i="65" s="1"/>
  <c r="G182" i="20" s="1"/>
  <c r="I34" i="65" a="1"/>
  <c r="I34" i="65" s="1"/>
  <c r="H34" i="65" a="1"/>
  <c r="H34" i="65" s="1"/>
  <c r="G34" i="65" a="1"/>
  <c r="G34" i="65" s="1"/>
  <c r="F34" i="65" a="1"/>
  <c r="F34" i="65" s="1"/>
  <c r="E34" i="65" a="1"/>
  <c r="E34" i="65" s="1"/>
  <c r="D34" i="65" a="1"/>
  <c r="D34" i="65" s="1"/>
  <c r="G184" i="20" s="1"/>
  <c r="I33" i="65" a="1"/>
  <c r="I33" i="65" s="1"/>
  <c r="H33" i="65" a="1"/>
  <c r="H33" i="65" s="1"/>
  <c r="G33" i="65" a="1"/>
  <c r="G33" i="65" s="1"/>
  <c r="F33" i="65" a="1"/>
  <c r="F33" i="65" s="1"/>
  <c r="E33" i="65" a="1"/>
  <c r="E33" i="65" s="1"/>
  <c r="D33" i="65" a="1"/>
  <c r="D33" i="65" s="1"/>
  <c r="G198" i="20" s="1"/>
  <c r="I32" i="65" a="1"/>
  <c r="I32" i="65" s="1"/>
  <c r="H32" i="65" a="1"/>
  <c r="H32" i="65" s="1"/>
  <c r="G32" i="65" a="1"/>
  <c r="G32" i="65" s="1"/>
  <c r="F32" i="65" a="1"/>
  <c r="F32" i="65" s="1"/>
  <c r="E32" i="65" a="1"/>
  <c r="E32" i="65" s="1"/>
  <c r="D32" i="65" a="1"/>
  <c r="D32" i="65" s="1"/>
  <c r="G191" i="20" s="1"/>
  <c r="I31" i="65" a="1"/>
  <c r="I31" i="65" s="1"/>
  <c r="H31" i="65" a="1"/>
  <c r="H31" i="65" s="1"/>
  <c r="G31" i="65" a="1"/>
  <c r="G31" i="65" s="1"/>
  <c r="F31" i="65" a="1"/>
  <c r="F31" i="65" s="1"/>
  <c r="E31" i="65" a="1"/>
  <c r="E31" i="65" s="1"/>
  <c r="D31" i="65" a="1"/>
  <c r="D31" i="65" s="1"/>
  <c r="G189" i="20" s="1"/>
  <c r="I30" i="65" a="1"/>
  <c r="I30" i="65" s="1"/>
  <c r="H30" i="65" a="1"/>
  <c r="H30" i="65" s="1"/>
  <c r="G30" i="65" a="1"/>
  <c r="G30" i="65" s="1"/>
  <c r="F30" i="65" a="1"/>
  <c r="F30" i="65" s="1"/>
  <c r="E30" i="65" a="1"/>
  <c r="E30" i="65" s="1"/>
  <c r="D30" i="65" a="1"/>
  <c r="D30" i="65" s="1"/>
  <c r="G188" i="20" s="1"/>
  <c r="I29" i="65" a="1"/>
  <c r="I29" i="65" s="1"/>
  <c r="H29" i="65" a="1"/>
  <c r="H29" i="65" s="1"/>
  <c r="G29" i="65" a="1"/>
  <c r="G29" i="65" s="1"/>
  <c r="F29" i="65" a="1"/>
  <c r="F29" i="65" s="1"/>
  <c r="E29" i="65" a="1"/>
  <c r="E29" i="65" s="1"/>
  <c r="D29" i="65" a="1"/>
  <c r="D29" i="65" s="1"/>
  <c r="G186" i="20" s="1"/>
  <c r="R28" i="65" a="1"/>
  <c r="R28" i="65" s="1"/>
  <c r="Q28" i="65" a="1"/>
  <c r="Q28" i="65" s="1"/>
  <c r="L28" i="65" a="1"/>
  <c r="L28" i="65" s="1"/>
  <c r="K28" i="65" a="1"/>
  <c r="K28" i="65" s="1"/>
  <c r="I28" i="65" a="1"/>
  <c r="I28" i="65" s="1"/>
  <c r="H28" i="65" a="1"/>
  <c r="H28" i="65" s="1"/>
  <c r="G28" i="65" a="1"/>
  <c r="G28" i="65" s="1"/>
  <c r="F28" i="65" a="1"/>
  <c r="F28" i="65" s="1"/>
  <c r="E28" i="65" a="1"/>
  <c r="E28" i="65" s="1"/>
  <c r="D28" i="65" a="1"/>
  <c r="D28" i="65" s="1"/>
  <c r="G187" i="20" s="1"/>
  <c r="R27" i="65" a="1"/>
  <c r="R27" i="65" s="1"/>
  <c r="Q27" i="65" a="1"/>
  <c r="Q27" i="65" s="1"/>
  <c r="L27" i="65" a="1"/>
  <c r="L27" i="65" s="1"/>
  <c r="K27" i="65" a="1"/>
  <c r="K27" i="65" s="1"/>
  <c r="I27" i="65" a="1"/>
  <c r="I27" i="65" s="1"/>
  <c r="H27" i="65" a="1"/>
  <c r="H27" i="65" s="1"/>
  <c r="G27" i="65" a="1"/>
  <c r="G27" i="65" s="1"/>
  <c r="F27" i="65" a="1"/>
  <c r="F27" i="65" s="1"/>
  <c r="E27" i="65" a="1"/>
  <c r="E27" i="65" s="1"/>
  <c r="D27" i="65" a="1"/>
  <c r="D27" i="65" s="1"/>
  <c r="G185" i="20" s="1"/>
  <c r="R26" i="65" a="1"/>
  <c r="R26" i="65" s="1"/>
  <c r="Q26" i="65" a="1"/>
  <c r="Q26" i="65" s="1"/>
  <c r="L26" i="65" a="1"/>
  <c r="L26" i="65" s="1"/>
  <c r="K26" i="65" a="1"/>
  <c r="K26" i="65" s="1"/>
  <c r="I26" i="65" a="1"/>
  <c r="I26" i="65" s="1"/>
  <c r="H26" i="65" a="1"/>
  <c r="H26" i="65" s="1"/>
  <c r="G26" i="65" a="1"/>
  <c r="G26" i="65" s="1"/>
  <c r="F26" i="65" a="1"/>
  <c r="F26" i="65" s="1"/>
  <c r="E26" i="65" a="1"/>
  <c r="E26" i="65" s="1"/>
  <c r="D26" i="65" a="1"/>
  <c r="D26" i="65" s="1"/>
  <c r="G179" i="20" s="1"/>
  <c r="R25" i="65" a="1"/>
  <c r="R25" i="65" s="1"/>
  <c r="Q25" i="65" a="1"/>
  <c r="Q25" i="65" s="1"/>
  <c r="L25" i="65" a="1"/>
  <c r="L25" i="65" s="1"/>
  <c r="K25" i="65" a="1"/>
  <c r="K25" i="65" s="1"/>
  <c r="I25" i="65" a="1"/>
  <c r="I25" i="65" s="1"/>
  <c r="H25" i="65" a="1"/>
  <c r="H25" i="65" s="1"/>
  <c r="G25" i="65" a="1"/>
  <c r="G25" i="65" s="1"/>
  <c r="F25" i="65" a="1"/>
  <c r="F25" i="65" s="1"/>
  <c r="E25" i="65" a="1"/>
  <c r="E25" i="65" s="1"/>
  <c r="D25" i="65" a="1"/>
  <c r="D25" i="65" s="1"/>
  <c r="G178" i="20" s="1"/>
  <c r="R24" i="65" a="1"/>
  <c r="R24" i="65" s="1"/>
  <c r="Q24" i="65" a="1"/>
  <c r="Q24" i="65" s="1"/>
  <c r="L24" i="65" a="1"/>
  <c r="L24" i="65" s="1"/>
  <c r="K24" i="65" a="1"/>
  <c r="K24" i="65" s="1"/>
  <c r="I24" i="65" a="1"/>
  <c r="I24" i="65" s="1"/>
  <c r="H24" i="65" a="1"/>
  <c r="H24" i="65" s="1"/>
  <c r="G24" i="65" a="1"/>
  <c r="G24" i="65" s="1"/>
  <c r="F24" i="65" a="1"/>
  <c r="F24" i="65" s="1"/>
  <c r="E24" i="65" a="1"/>
  <c r="E24" i="65" s="1"/>
  <c r="D24" i="65" a="1"/>
  <c r="D24" i="65" s="1"/>
  <c r="G193" i="20" s="1"/>
  <c r="V23" i="65" a="1"/>
  <c r="V23" i="65" s="1"/>
  <c r="I177" i="20" s="1"/>
  <c r="R23" i="65" a="1"/>
  <c r="R23" i="65" s="1"/>
  <c r="Q23" i="65" a="1"/>
  <c r="Q23" i="65" s="1"/>
  <c r="L23" i="65" a="1"/>
  <c r="L23" i="65" s="1"/>
  <c r="K23" i="65" a="1"/>
  <c r="K23" i="65" s="1"/>
  <c r="I23" i="65" a="1"/>
  <c r="I23" i="65" s="1"/>
  <c r="H23" i="65" a="1"/>
  <c r="H23" i="65" s="1"/>
  <c r="G23" i="65" a="1"/>
  <c r="G23" i="65" s="1"/>
  <c r="F23" i="65" a="1"/>
  <c r="F23" i="65" s="1"/>
  <c r="E23" i="65" a="1"/>
  <c r="E23" i="65" s="1"/>
  <c r="D23" i="65" a="1"/>
  <c r="D23" i="65" s="1"/>
  <c r="G192" i="20" s="1"/>
  <c r="V22" i="65" a="1"/>
  <c r="V22" i="65" s="1"/>
  <c r="I176" i="20" s="1"/>
  <c r="R22" i="65" a="1"/>
  <c r="R22" i="65" s="1"/>
  <c r="Q22" i="65" a="1"/>
  <c r="Q22" i="65" s="1"/>
  <c r="L22" i="65" a="1"/>
  <c r="L22" i="65" s="1"/>
  <c r="K22" i="65" a="1"/>
  <c r="K22" i="65" s="1"/>
  <c r="I22" i="65" a="1"/>
  <c r="I22" i="65" s="1"/>
  <c r="H22" i="65" a="1"/>
  <c r="H22" i="65" s="1"/>
  <c r="G22" i="65" a="1"/>
  <c r="G22" i="65" s="1"/>
  <c r="F22" i="65" a="1"/>
  <c r="F22" i="65" s="1"/>
  <c r="E22" i="65" a="1"/>
  <c r="E22" i="65" s="1"/>
  <c r="D22" i="65" a="1"/>
  <c r="D22" i="65" s="1"/>
  <c r="G194" i="20" s="1"/>
  <c r="V21" i="65" a="1"/>
  <c r="V21" i="65" s="1"/>
  <c r="I175" i="20" s="1"/>
  <c r="R21" i="65" a="1"/>
  <c r="R21" i="65" s="1"/>
  <c r="Q21" i="65" a="1"/>
  <c r="Q21" i="65" s="1"/>
  <c r="L21" i="65" a="1"/>
  <c r="L21" i="65" s="1"/>
  <c r="K21" i="65" a="1"/>
  <c r="K21" i="65" s="1"/>
  <c r="I21" i="65" a="1"/>
  <c r="I21" i="65" s="1"/>
  <c r="H21" i="65" a="1"/>
  <c r="H21" i="65" s="1"/>
  <c r="G21" i="65" a="1"/>
  <c r="G21" i="65" s="1"/>
  <c r="F21" i="65" a="1"/>
  <c r="F21" i="65" s="1"/>
  <c r="E21" i="65" a="1"/>
  <c r="E21" i="65" s="1"/>
  <c r="D21" i="65" a="1"/>
  <c r="D21" i="65" s="1"/>
  <c r="G181" i="20" s="1"/>
  <c r="V20" i="65" a="1"/>
  <c r="V20" i="65" s="1"/>
  <c r="I174" i="20" s="1"/>
  <c r="R20" i="65" a="1"/>
  <c r="R20" i="65" s="1"/>
  <c r="Q20" i="65" a="1"/>
  <c r="Q20" i="65" s="1"/>
  <c r="L20" i="65" a="1"/>
  <c r="L20" i="65" s="1"/>
  <c r="K20" i="65" a="1"/>
  <c r="K20" i="65" s="1"/>
  <c r="I20" i="65" a="1"/>
  <c r="I20" i="65" s="1"/>
  <c r="H20" i="65" a="1"/>
  <c r="H20" i="65" s="1"/>
  <c r="G20" i="65" a="1"/>
  <c r="G20" i="65" s="1"/>
  <c r="F20" i="65" a="1"/>
  <c r="F20" i="65" s="1"/>
  <c r="E20" i="65" a="1"/>
  <c r="E20" i="65" s="1"/>
  <c r="D20" i="65" a="1"/>
  <c r="D20" i="65" s="1"/>
  <c r="V18" i="65" a="1"/>
  <c r="V18" i="65" s="1"/>
  <c r="Q18" i="65" a="1"/>
  <c r="Q18" i="65" s="1"/>
  <c r="K18" i="65" a="1"/>
  <c r="K18" i="65" s="1"/>
  <c r="V17" i="65" a="1"/>
  <c r="V17" i="65" s="1"/>
  <c r="Q17" i="65" a="1"/>
  <c r="Q17" i="65" s="1"/>
  <c r="K17" i="65" a="1"/>
  <c r="K17" i="65" s="1"/>
  <c r="D7" i="65" a="1"/>
  <c r="D7" i="65" s="1"/>
  <c r="D6" i="65" a="1"/>
  <c r="D6" i="65" s="1"/>
  <c r="D5" i="65" a="1"/>
  <c r="D5" i="65" s="1"/>
  <c r="E68" i="64" a="1"/>
  <c r="E68" i="64" s="1"/>
  <c r="D68" i="64" a="1"/>
  <c r="D68" i="64" s="1"/>
  <c r="E67" i="64" a="1"/>
  <c r="E67" i="64" s="1"/>
  <c r="D67" i="64" a="1"/>
  <c r="D67" i="64" s="1"/>
  <c r="E66" i="64" a="1"/>
  <c r="E66" i="64" s="1"/>
  <c r="D66" i="64" a="1"/>
  <c r="D66" i="64" s="1"/>
  <c r="E65" i="64" a="1"/>
  <c r="E65" i="64" s="1"/>
  <c r="D65" i="64" a="1"/>
  <c r="D65" i="64" s="1"/>
  <c r="E64" i="64" a="1"/>
  <c r="E64" i="64" s="1"/>
  <c r="D64" i="64" a="1"/>
  <c r="D64" i="64" s="1"/>
  <c r="E63" i="64" a="1"/>
  <c r="E63" i="64" s="1"/>
  <c r="D63" i="64" a="1"/>
  <c r="D63" i="64" s="1"/>
  <c r="E62" i="64" a="1"/>
  <c r="E62" i="64" s="1"/>
  <c r="D62" i="64" a="1"/>
  <c r="D62" i="64" s="1"/>
  <c r="E61" i="64" a="1"/>
  <c r="E61" i="64" s="1"/>
  <c r="D61" i="64" a="1"/>
  <c r="D61" i="64" s="1"/>
  <c r="E60" i="64" a="1"/>
  <c r="E60" i="64" s="1"/>
  <c r="D60" i="64" a="1"/>
  <c r="D60" i="64" s="1"/>
  <c r="E59" i="64" a="1"/>
  <c r="E59" i="64" s="1"/>
  <c r="D59" i="64" a="1"/>
  <c r="D59" i="64" s="1"/>
  <c r="E58" i="64" a="1"/>
  <c r="E58" i="64" s="1"/>
  <c r="D58" i="64" a="1"/>
  <c r="D58" i="64" s="1"/>
  <c r="D56" i="64" a="1"/>
  <c r="D56" i="64" s="1"/>
  <c r="D55" i="64" a="1"/>
  <c r="D55" i="64" s="1"/>
  <c r="D54" i="64" a="1"/>
  <c r="D54" i="64" s="1"/>
  <c r="D53" i="64" a="1"/>
  <c r="D53" i="64" s="1"/>
  <c r="D52" i="64" a="1"/>
  <c r="D52" i="64" s="1"/>
  <c r="G50" i="64" a="1"/>
  <c r="G50" i="64" s="1"/>
  <c r="F50" i="64" a="1"/>
  <c r="F50" i="64" s="1"/>
  <c r="E50" i="64" a="1"/>
  <c r="E50" i="64" s="1"/>
  <c r="O21" i="64" s="1"/>
  <c r="D50" i="64" a="1"/>
  <c r="D50" i="64" s="1"/>
  <c r="G49" i="64" a="1"/>
  <c r="G49" i="64" s="1"/>
  <c r="F49" i="64" a="1"/>
  <c r="F49" i="64" s="1"/>
  <c r="E49" i="64" a="1"/>
  <c r="E49" i="64" s="1"/>
  <c r="O20" i="64" s="1"/>
  <c r="D49" i="64" a="1"/>
  <c r="D49" i="64" s="1"/>
  <c r="G48" i="64" a="1"/>
  <c r="G48" i="64" s="1"/>
  <c r="F48" i="64" a="1"/>
  <c r="F48" i="64" s="1"/>
  <c r="E48" i="64" a="1"/>
  <c r="E48" i="64" s="1"/>
  <c r="O19" i="64" s="1"/>
  <c r="D48" i="64" a="1"/>
  <c r="D48" i="64" s="1"/>
  <c r="G47" i="64" a="1"/>
  <c r="G47" i="64" s="1"/>
  <c r="F47" i="64" a="1"/>
  <c r="F47" i="64" s="1"/>
  <c r="E47" i="64" a="1"/>
  <c r="E47" i="64" s="1"/>
  <c r="O18" i="64" s="1"/>
  <c r="D47" i="64" a="1"/>
  <c r="D47" i="64" s="1"/>
  <c r="G46" i="64" a="1"/>
  <c r="G46" i="64" s="1"/>
  <c r="F46" i="64" a="1"/>
  <c r="F46" i="64" s="1"/>
  <c r="E46" i="64" a="1"/>
  <c r="E46" i="64" s="1"/>
  <c r="O17" i="64" s="1"/>
  <c r="D46" i="64" a="1"/>
  <c r="D46" i="64" s="1"/>
  <c r="G45" i="64" a="1"/>
  <c r="G45" i="64" s="1"/>
  <c r="F45" i="64" a="1"/>
  <c r="F45" i="64" s="1"/>
  <c r="E45" i="64" a="1"/>
  <c r="E45" i="64" s="1"/>
  <c r="D45" i="64" a="1"/>
  <c r="D45" i="64" s="1"/>
  <c r="G44" i="64" a="1"/>
  <c r="G44" i="64" s="1"/>
  <c r="F44" i="64" a="1"/>
  <c r="F44" i="64" s="1"/>
  <c r="E44" i="64" a="1"/>
  <c r="E44" i="64" s="1"/>
  <c r="M21" i="64" s="1"/>
  <c r="D44" i="64" a="1"/>
  <c r="D44" i="64" s="1"/>
  <c r="G43" i="64" a="1"/>
  <c r="G43" i="64" s="1"/>
  <c r="F43" i="64" a="1"/>
  <c r="F43" i="64" s="1"/>
  <c r="E43" i="64" a="1"/>
  <c r="E43" i="64" s="1"/>
  <c r="M20" i="64" s="1"/>
  <c r="D43" i="64" a="1"/>
  <c r="D43" i="64" s="1"/>
  <c r="G42" i="64" a="1"/>
  <c r="G42" i="64" s="1"/>
  <c r="F42" i="64" a="1"/>
  <c r="F42" i="64" s="1"/>
  <c r="E42" i="64" a="1"/>
  <c r="E42" i="64" s="1"/>
  <c r="M19" i="64" s="1"/>
  <c r="D42" i="64" a="1"/>
  <c r="D42" i="64" s="1"/>
  <c r="G41" i="64" a="1"/>
  <c r="G41" i="64" s="1"/>
  <c r="F41" i="64" a="1"/>
  <c r="F41" i="64" s="1"/>
  <c r="E41" i="64" a="1"/>
  <c r="E41" i="64" s="1"/>
  <c r="M18" i="64" s="1"/>
  <c r="D41" i="64" a="1"/>
  <c r="D41" i="64" s="1"/>
  <c r="G40" i="64" a="1"/>
  <c r="G40" i="64" s="1"/>
  <c r="F40" i="64" a="1"/>
  <c r="F40" i="64" s="1"/>
  <c r="E40" i="64" a="1"/>
  <c r="E40" i="64" s="1"/>
  <c r="M17" i="64" s="1"/>
  <c r="D40" i="64" a="1"/>
  <c r="D40" i="64" s="1"/>
  <c r="G39" i="64" a="1"/>
  <c r="G39" i="64" s="1"/>
  <c r="F39" i="64" a="1"/>
  <c r="F39" i="64" s="1"/>
  <c r="E39" i="64" a="1"/>
  <c r="E39" i="64" s="1"/>
  <c r="D39" i="64" a="1"/>
  <c r="D39" i="64" s="1"/>
  <c r="G38" i="64" a="1"/>
  <c r="G38" i="64" s="1"/>
  <c r="F38" i="64" a="1"/>
  <c r="F38" i="64" s="1"/>
  <c r="E38" i="64" a="1"/>
  <c r="E38" i="64" s="1"/>
  <c r="K26" i="64" s="1"/>
  <c r="D38" i="64" a="1"/>
  <c r="D38" i="64" s="1"/>
  <c r="G37" i="64" a="1"/>
  <c r="G37" i="64" s="1"/>
  <c r="F37" i="64" a="1"/>
  <c r="F37" i="64" s="1"/>
  <c r="E37" i="64" a="1"/>
  <c r="E37" i="64" s="1"/>
  <c r="K25" i="64" s="1"/>
  <c r="D37" i="64" a="1"/>
  <c r="D37" i="64" s="1"/>
  <c r="G36" i="64" a="1"/>
  <c r="G36" i="64" s="1"/>
  <c r="F36" i="64" a="1"/>
  <c r="F36" i="64" s="1"/>
  <c r="E36" i="64" a="1"/>
  <c r="E36" i="64" s="1"/>
  <c r="K24" i="64" s="1"/>
  <c r="D36" i="64" a="1"/>
  <c r="D36" i="64" s="1"/>
  <c r="G35" i="64" a="1"/>
  <c r="G35" i="64" s="1"/>
  <c r="F35" i="64" a="1"/>
  <c r="F35" i="64" s="1"/>
  <c r="E35" i="64" a="1"/>
  <c r="E35" i="64" s="1"/>
  <c r="K23" i="64" s="1"/>
  <c r="D35" i="64" a="1"/>
  <c r="D35" i="64" s="1"/>
  <c r="G34" i="64" a="1"/>
  <c r="G34" i="64" s="1"/>
  <c r="F34" i="64" a="1"/>
  <c r="F34" i="64" s="1"/>
  <c r="E34" i="64" a="1"/>
  <c r="E34" i="64" s="1"/>
  <c r="K22" i="64" s="1"/>
  <c r="D34" i="64" a="1"/>
  <c r="D34" i="64" s="1"/>
  <c r="G33" i="64" a="1"/>
  <c r="G33" i="64" s="1"/>
  <c r="F33" i="64" a="1"/>
  <c r="F33" i="64" s="1"/>
  <c r="E33" i="64" a="1"/>
  <c r="E33" i="64" s="1"/>
  <c r="K21" i="64" s="1"/>
  <c r="D33" i="64" a="1"/>
  <c r="D33" i="64" s="1"/>
  <c r="G32" i="64" a="1"/>
  <c r="G32" i="64" s="1"/>
  <c r="F32" i="64" a="1"/>
  <c r="F32" i="64" s="1"/>
  <c r="E32" i="64" a="1"/>
  <c r="E32" i="64" s="1"/>
  <c r="K20" i="64" s="1"/>
  <c r="D32" i="64" a="1"/>
  <c r="D32" i="64" s="1"/>
  <c r="G31" i="64" a="1"/>
  <c r="G31" i="64" s="1"/>
  <c r="F31" i="64" a="1"/>
  <c r="F31" i="64" s="1"/>
  <c r="E31" i="64" a="1"/>
  <c r="E31" i="64" s="1"/>
  <c r="K19" i="64" s="1"/>
  <c r="D31" i="64" a="1"/>
  <c r="D31" i="64" s="1"/>
  <c r="G30" i="64" a="1"/>
  <c r="G30" i="64" s="1"/>
  <c r="F30" i="64" a="1"/>
  <c r="F30" i="64" s="1"/>
  <c r="E30" i="64" a="1"/>
  <c r="E30" i="64" s="1"/>
  <c r="K18" i="64" s="1"/>
  <c r="D30" i="64" a="1"/>
  <c r="D30" i="64" s="1"/>
  <c r="G29" i="64" a="1"/>
  <c r="G29" i="64" s="1"/>
  <c r="F29" i="64" a="1"/>
  <c r="F29" i="64" s="1"/>
  <c r="E29" i="64" a="1"/>
  <c r="E29" i="64" s="1"/>
  <c r="K17" i="64" s="1"/>
  <c r="D29" i="64" a="1"/>
  <c r="D29" i="64" s="1"/>
  <c r="G28" i="64" a="1"/>
  <c r="G28" i="64" s="1"/>
  <c r="F28" i="64" a="1"/>
  <c r="F28" i="64" s="1"/>
  <c r="E28" i="64" a="1"/>
  <c r="E28" i="64" s="1"/>
  <c r="D28" i="64" a="1"/>
  <c r="D28" i="64" s="1"/>
  <c r="G27" i="64" a="1"/>
  <c r="G27" i="64" s="1"/>
  <c r="F27" i="64" a="1"/>
  <c r="F27" i="64" s="1"/>
  <c r="E27" i="64" a="1"/>
  <c r="E27" i="64" s="1"/>
  <c r="I27" i="64" s="1"/>
  <c r="D27" i="64" a="1"/>
  <c r="D27" i="64" s="1"/>
  <c r="G26" i="64" a="1"/>
  <c r="G26" i="64" s="1"/>
  <c r="F26" i="64" a="1"/>
  <c r="F26" i="64" s="1"/>
  <c r="E26" i="64" a="1"/>
  <c r="E26" i="64" s="1"/>
  <c r="I26" i="64" s="1"/>
  <c r="D26" i="64" a="1"/>
  <c r="D26" i="64" s="1"/>
  <c r="G25" i="64" a="1"/>
  <c r="G25" i="64" s="1"/>
  <c r="F25" i="64" a="1"/>
  <c r="F25" i="64" s="1"/>
  <c r="E25" i="64" a="1"/>
  <c r="E25" i="64" s="1"/>
  <c r="I25" i="64" s="1"/>
  <c r="D25" i="64" a="1"/>
  <c r="D25" i="64" s="1"/>
  <c r="G24" i="64" a="1"/>
  <c r="G24" i="64" s="1"/>
  <c r="F24" i="64" a="1"/>
  <c r="F24" i="64" s="1"/>
  <c r="E24" i="64" a="1"/>
  <c r="E24" i="64" s="1"/>
  <c r="I24" i="64" s="1"/>
  <c r="D24" i="64" a="1"/>
  <c r="D24" i="64" s="1"/>
  <c r="G23" i="64" a="1"/>
  <c r="G23" i="64" s="1"/>
  <c r="F23" i="64" a="1"/>
  <c r="F23" i="64" s="1"/>
  <c r="E23" i="64" a="1"/>
  <c r="E23" i="64" s="1"/>
  <c r="I23" i="64" s="1"/>
  <c r="D23" i="64" a="1"/>
  <c r="D23" i="64" s="1"/>
  <c r="G22" i="64" a="1"/>
  <c r="G22" i="64" s="1"/>
  <c r="F22" i="64" a="1"/>
  <c r="F22" i="64" s="1"/>
  <c r="E22" i="64" a="1"/>
  <c r="E22" i="64" s="1"/>
  <c r="I22" i="64" s="1"/>
  <c r="D22" i="64" a="1"/>
  <c r="D22" i="64" s="1"/>
  <c r="G21" i="64" a="1"/>
  <c r="G21" i="64" s="1"/>
  <c r="F21" i="64" a="1"/>
  <c r="F21" i="64" s="1"/>
  <c r="E21" i="64" a="1"/>
  <c r="E21" i="64" s="1"/>
  <c r="I21" i="64" s="1"/>
  <c r="D21" i="64" a="1"/>
  <c r="D21" i="64" s="1"/>
  <c r="G20" i="64" a="1"/>
  <c r="G20" i="64" s="1"/>
  <c r="F20" i="64" a="1"/>
  <c r="F20" i="64" s="1"/>
  <c r="E20" i="64" a="1"/>
  <c r="E20" i="64" s="1"/>
  <c r="I20" i="64" s="1"/>
  <c r="D20" i="64" a="1"/>
  <c r="D20" i="64" s="1"/>
  <c r="G19" i="64" a="1"/>
  <c r="G19" i="64" s="1"/>
  <c r="F19" i="64" a="1"/>
  <c r="F19" i="64" s="1"/>
  <c r="E19" i="64" a="1"/>
  <c r="E19" i="64" s="1"/>
  <c r="I19" i="64" s="1"/>
  <c r="D19" i="64" a="1"/>
  <c r="D19" i="64" s="1"/>
  <c r="G18" i="64" a="1"/>
  <c r="G18" i="64" s="1"/>
  <c r="F18" i="64" a="1"/>
  <c r="F18" i="64" s="1"/>
  <c r="E18" i="64" a="1"/>
  <c r="E18" i="64" s="1"/>
  <c r="I18" i="64" s="1"/>
  <c r="D18" i="64" a="1"/>
  <c r="D18" i="64" s="1"/>
  <c r="G17" i="64" a="1"/>
  <c r="G17" i="64" s="1"/>
  <c r="F17" i="64" a="1"/>
  <c r="F17" i="64" s="1"/>
  <c r="E17" i="64" a="1"/>
  <c r="E17" i="64" s="1"/>
  <c r="I17" i="64" s="1"/>
  <c r="D17" i="64" a="1"/>
  <c r="D17" i="64" s="1"/>
  <c r="D15" i="64" a="1"/>
  <c r="D15" i="64" s="1"/>
  <c r="D14" i="64" a="1"/>
  <c r="D14" i="64" s="1"/>
  <c r="D7" i="64" a="1"/>
  <c r="D7" i="64" s="1"/>
  <c r="D6" i="64" a="1"/>
  <c r="D6" i="64" s="1"/>
  <c r="D5" i="64" a="1"/>
  <c r="D5" i="64" s="1"/>
  <c r="E139" i="63"/>
  <c r="F40" i="61" s="1"/>
  <c r="G138" i="63"/>
  <c r="F32" i="60" s="1"/>
  <c r="E138" i="63"/>
  <c r="F39" i="61" s="1"/>
  <c r="G137" i="63"/>
  <c r="F31" i="60" s="1"/>
  <c r="E137" i="63"/>
  <c r="F38" i="61" s="1"/>
  <c r="D137" i="63"/>
  <c r="F31" i="61" s="1"/>
  <c r="G136" i="63"/>
  <c r="F30" i="60" s="1"/>
  <c r="E136" i="63"/>
  <c r="F37" i="61" s="1"/>
  <c r="D136" i="63"/>
  <c r="F30" i="61" s="1"/>
  <c r="G135" i="63"/>
  <c r="F29" i="60" s="1"/>
  <c r="E135" i="63"/>
  <c r="F36" i="61" s="1"/>
  <c r="D135" i="63"/>
  <c r="F29" i="61" s="1"/>
  <c r="G134" i="63"/>
  <c r="F28" i="60" s="1"/>
  <c r="E134" i="63"/>
  <c r="F35" i="61" s="1"/>
  <c r="D134" i="63"/>
  <c r="F28" i="61" s="1"/>
  <c r="G133" i="63"/>
  <c r="F27" i="60" s="1"/>
  <c r="F133" i="63"/>
  <c r="F36" i="60" s="1"/>
  <c r="E133" i="63"/>
  <c r="F34" i="61" s="1"/>
  <c r="D133" i="63"/>
  <c r="F27" i="61" s="1"/>
  <c r="I132" i="63"/>
  <c r="F38" i="60" s="1"/>
  <c r="G132" i="63"/>
  <c r="F26" i="60" s="1"/>
  <c r="F132" i="63"/>
  <c r="F35" i="60" s="1"/>
  <c r="E132" i="63"/>
  <c r="F33" i="61" s="1"/>
  <c r="D132" i="63"/>
  <c r="F26" i="61" s="1"/>
  <c r="I131" i="63"/>
  <c r="F37" i="60" s="1"/>
  <c r="H131" i="63"/>
  <c r="F33" i="60" s="1"/>
  <c r="G131" i="63"/>
  <c r="F25" i="60" s="1"/>
  <c r="F131" i="63"/>
  <c r="F34" i="60" s="1"/>
  <c r="E131" i="63"/>
  <c r="F32" i="61" s="1"/>
  <c r="D131" i="63"/>
  <c r="F25" i="61" s="1"/>
  <c r="F120" i="63" a="1"/>
  <c r="F120" i="63" s="1"/>
  <c r="E120" i="63" a="1"/>
  <c r="E120" i="63" s="1"/>
  <c r="D120" i="63" a="1"/>
  <c r="D120" i="63" s="1"/>
  <c r="F119" i="63" a="1"/>
  <c r="F119" i="63" s="1"/>
  <c r="E119" i="63" a="1"/>
  <c r="E119" i="63" s="1"/>
  <c r="D119" i="63" a="1"/>
  <c r="D119" i="63" s="1"/>
  <c r="F118" i="63" a="1"/>
  <c r="F118" i="63" s="1"/>
  <c r="E118" i="63" a="1"/>
  <c r="E118" i="63" s="1"/>
  <c r="D118" i="63" a="1"/>
  <c r="D118" i="63" s="1"/>
  <c r="F117" i="63" a="1"/>
  <c r="F117" i="63" s="1"/>
  <c r="E117" i="63" a="1"/>
  <c r="E117" i="63" s="1"/>
  <c r="D117" i="63" a="1"/>
  <c r="D117" i="63" s="1"/>
  <c r="F116" i="63" a="1"/>
  <c r="F116" i="63" s="1"/>
  <c r="E116" i="63" a="1"/>
  <c r="E116" i="63" s="1"/>
  <c r="D116" i="63" a="1"/>
  <c r="D116" i="63" s="1"/>
  <c r="F115" i="63" a="1"/>
  <c r="F115" i="63" s="1"/>
  <c r="E115" i="63" a="1"/>
  <c r="E115" i="63" s="1"/>
  <c r="D115" i="63" a="1"/>
  <c r="D115" i="63" s="1"/>
  <c r="F114" i="63" a="1"/>
  <c r="F114" i="63" s="1"/>
  <c r="E114" i="63" a="1"/>
  <c r="E114" i="63" s="1"/>
  <c r="D114" i="63" a="1"/>
  <c r="D114" i="63" s="1"/>
  <c r="G113" i="63" a="1"/>
  <c r="G113" i="63" s="1"/>
  <c r="F113" i="63" a="1"/>
  <c r="F113" i="63" s="1"/>
  <c r="E113" i="63" a="1"/>
  <c r="E113" i="63" s="1"/>
  <c r="D113" i="63" a="1"/>
  <c r="D113" i="63" s="1"/>
  <c r="D110" i="63" a="1"/>
  <c r="D110" i="63" s="1"/>
  <c r="D109" i="63" a="1"/>
  <c r="D109" i="63" s="1"/>
  <c r="D108" i="63" a="1"/>
  <c r="D108" i="63" s="1"/>
  <c r="D107" i="63" a="1"/>
  <c r="D107" i="63" s="1"/>
  <c r="J104" i="63" a="1"/>
  <c r="J104" i="63" s="1"/>
  <c r="I104" i="63" a="1"/>
  <c r="I104" i="63" s="1"/>
  <c r="H104" i="63" a="1"/>
  <c r="H104" i="63" s="1"/>
  <c r="G104" i="63" a="1"/>
  <c r="G104" i="63" s="1"/>
  <c r="F104" i="63" a="1"/>
  <c r="F104" i="63" s="1"/>
  <c r="E104" i="63" a="1"/>
  <c r="E104" i="63" s="1"/>
  <c r="D104" i="63" a="1"/>
  <c r="D104" i="63" s="1"/>
  <c r="E40" i="61" s="1"/>
  <c r="J103" i="63" a="1"/>
  <c r="J103" i="63" s="1"/>
  <c r="I103" i="63" a="1"/>
  <c r="I103" i="63" s="1"/>
  <c r="H103" i="63" a="1"/>
  <c r="H103" i="63" s="1"/>
  <c r="G103" i="63" a="1"/>
  <c r="G103" i="63" s="1"/>
  <c r="F103" i="63" a="1"/>
  <c r="F103" i="63" s="1"/>
  <c r="E103" i="63" a="1"/>
  <c r="E103" i="63" s="1"/>
  <c r="D103" i="63" a="1"/>
  <c r="D103" i="63" s="1"/>
  <c r="E39" i="61" s="1"/>
  <c r="J102" i="63" a="1"/>
  <c r="J102" i="63" s="1"/>
  <c r="I102" i="63" a="1"/>
  <c r="I102" i="63" s="1"/>
  <c r="H102" i="63" a="1"/>
  <c r="H102" i="63" s="1"/>
  <c r="G102" i="63" a="1"/>
  <c r="G102" i="63" s="1"/>
  <c r="F102" i="63" a="1"/>
  <c r="F102" i="63" s="1"/>
  <c r="E102" i="63" a="1"/>
  <c r="E102" i="63" s="1"/>
  <c r="D102" i="63" a="1"/>
  <c r="D102" i="63" s="1"/>
  <c r="J101" i="63" a="1"/>
  <c r="J101" i="63" s="1"/>
  <c r="I101" i="63" a="1"/>
  <c r="I101" i="63" s="1"/>
  <c r="H101" i="63" a="1"/>
  <c r="H101" i="63" s="1"/>
  <c r="G101" i="63" a="1"/>
  <c r="G101" i="63" s="1"/>
  <c r="F101" i="63" a="1"/>
  <c r="F101" i="63" s="1"/>
  <c r="E101" i="63" a="1"/>
  <c r="E101" i="63" s="1"/>
  <c r="D101" i="63" a="1"/>
  <c r="D101" i="63" s="1"/>
  <c r="J100" i="63" a="1"/>
  <c r="J100" i="63" s="1"/>
  <c r="I100" i="63" a="1"/>
  <c r="I100" i="63" s="1"/>
  <c r="H100" i="63" a="1"/>
  <c r="H100" i="63" s="1"/>
  <c r="G100" i="63" a="1"/>
  <c r="G100" i="63" s="1"/>
  <c r="F100" i="63" a="1"/>
  <c r="F100" i="63" s="1"/>
  <c r="E100" i="63" a="1"/>
  <c r="E100" i="63" s="1"/>
  <c r="D100" i="63" a="1"/>
  <c r="D100" i="63" s="1"/>
  <c r="J99" i="63" a="1"/>
  <c r="J99" i="63" s="1"/>
  <c r="I99" i="63" a="1"/>
  <c r="I99" i="63" s="1"/>
  <c r="H99" i="63" a="1"/>
  <c r="H99" i="63" s="1"/>
  <c r="G99" i="63" a="1"/>
  <c r="G99" i="63" s="1"/>
  <c r="F99" i="63" a="1"/>
  <c r="F99" i="63" s="1"/>
  <c r="E99" i="63" a="1"/>
  <c r="E99" i="63" s="1"/>
  <c r="D99" i="63" a="1"/>
  <c r="D99" i="63" s="1"/>
  <c r="J98" i="63" a="1"/>
  <c r="J98" i="63" s="1"/>
  <c r="I98" i="63" a="1"/>
  <c r="I98" i="63" s="1"/>
  <c r="H98" i="63" a="1"/>
  <c r="H98" i="63" s="1"/>
  <c r="G98" i="63" a="1"/>
  <c r="G98" i="63" s="1"/>
  <c r="F98" i="63" a="1"/>
  <c r="F98" i="63" s="1"/>
  <c r="E98" i="63" a="1"/>
  <c r="E98" i="63" s="1"/>
  <c r="D98" i="63" a="1"/>
  <c r="D98" i="63" s="1"/>
  <c r="J97" i="63" a="1"/>
  <c r="J97" i="63" s="1"/>
  <c r="I97" i="63" a="1"/>
  <c r="I97" i="63" s="1"/>
  <c r="H97" i="63" a="1"/>
  <c r="H97" i="63" s="1"/>
  <c r="G97" i="63" a="1"/>
  <c r="G97" i="63" s="1"/>
  <c r="F97" i="63" a="1"/>
  <c r="F97" i="63" s="1"/>
  <c r="E97" i="63" a="1"/>
  <c r="E97" i="63" s="1"/>
  <c r="D97" i="63" a="1"/>
  <c r="D97" i="63" s="1"/>
  <c r="J96" i="63" a="1"/>
  <c r="J96" i="63" s="1"/>
  <c r="I96" i="63" a="1"/>
  <c r="I96" i="63" s="1"/>
  <c r="H96" i="63" a="1"/>
  <c r="H96" i="63" s="1"/>
  <c r="G96" i="63" a="1"/>
  <c r="G96" i="63" s="1"/>
  <c r="F96" i="63" a="1"/>
  <c r="F96" i="63" s="1"/>
  <c r="E96" i="63" a="1"/>
  <c r="E96" i="63" s="1"/>
  <c r="D96" i="63" a="1"/>
  <c r="D96" i="63" s="1"/>
  <c r="J95" i="63" a="1"/>
  <c r="J95" i="63" s="1"/>
  <c r="I95" i="63" a="1"/>
  <c r="I95" i="63" s="1"/>
  <c r="H95" i="63" a="1"/>
  <c r="H95" i="63" s="1"/>
  <c r="G95" i="63" a="1"/>
  <c r="G95" i="63" s="1"/>
  <c r="F95" i="63" a="1"/>
  <c r="F95" i="63" s="1"/>
  <c r="E95" i="63" a="1"/>
  <c r="E95" i="63" s="1"/>
  <c r="D95" i="63" a="1"/>
  <c r="D95" i="63" s="1"/>
  <c r="J94" i="63" a="1"/>
  <c r="J94" i="63" s="1"/>
  <c r="I94" i="63" a="1"/>
  <c r="I94" i="63" s="1"/>
  <c r="H94" i="63" a="1"/>
  <c r="H94" i="63" s="1"/>
  <c r="G94" i="63" a="1"/>
  <c r="G94" i="63" s="1"/>
  <c r="F94" i="63" a="1"/>
  <c r="F94" i="63" s="1"/>
  <c r="E94" i="63" a="1"/>
  <c r="E94" i="63" s="1"/>
  <c r="D94" i="63" a="1"/>
  <c r="D94" i="63" s="1"/>
  <c r="J93" i="63" a="1"/>
  <c r="J93" i="63" s="1"/>
  <c r="I93" i="63" a="1"/>
  <c r="I93" i="63" s="1"/>
  <c r="H93" i="63" a="1"/>
  <c r="H93" i="63" s="1"/>
  <c r="G93" i="63" a="1"/>
  <c r="G93" i="63" s="1"/>
  <c r="F93" i="63" a="1"/>
  <c r="F93" i="63" s="1"/>
  <c r="E93" i="63" a="1"/>
  <c r="E93" i="63" s="1"/>
  <c r="D93" i="63" a="1"/>
  <c r="D93" i="63" s="1"/>
  <c r="J92" i="63" a="1"/>
  <c r="J92" i="63" s="1"/>
  <c r="I92" i="63" a="1"/>
  <c r="I92" i="63" s="1"/>
  <c r="H92" i="63" a="1"/>
  <c r="H92" i="63" s="1"/>
  <c r="G92" i="63" a="1"/>
  <c r="G92" i="63" s="1"/>
  <c r="F92" i="63" a="1"/>
  <c r="F92" i="63" s="1"/>
  <c r="E92" i="63" a="1"/>
  <c r="E92" i="63" s="1"/>
  <c r="D92" i="63" a="1"/>
  <c r="D92" i="63" s="1"/>
  <c r="J91" i="63" a="1"/>
  <c r="J91" i="63" s="1"/>
  <c r="I91" i="63" a="1"/>
  <c r="I91" i="63" s="1"/>
  <c r="H91" i="63" a="1"/>
  <c r="H91" i="63" s="1"/>
  <c r="G91" i="63" a="1"/>
  <c r="G91" i="63" s="1"/>
  <c r="F91" i="63" a="1"/>
  <c r="F91" i="63" s="1"/>
  <c r="E91" i="63" a="1"/>
  <c r="E91" i="63" s="1"/>
  <c r="D91" i="63" a="1"/>
  <c r="D91" i="63" s="1"/>
  <c r="J90" i="63" a="1"/>
  <c r="J90" i="63" s="1"/>
  <c r="I90" i="63" a="1"/>
  <c r="I90" i="63" s="1"/>
  <c r="H90" i="63" a="1"/>
  <c r="H90" i="63" s="1"/>
  <c r="G90" i="63" a="1"/>
  <c r="G90" i="63" s="1"/>
  <c r="F90" i="63" a="1"/>
  <c r="F90" i="63" s="1"/>
  <c r="E90" i="63" a="1"/>
  <c r="E90" i="63" s="1"/>
  <c r="D90" i="63" a="1"/>
  <c r="D90" i="63" s="1"/>
  <c r="J89" i="63" a="1"/>
  <c r="J89" i="63" s="1"/>
  <c r="I89" i="63" a="1"/>
  <c r="I89" i="63" s="1"/>
  <c r="H89" i="63" a="1"/>
  <c r="H89" i="63" s="1"/>
  <c r="G89" i="63" a="1"/>
  <c r="G89" i="63" s="1"/>
  <c r="F89" i="63" a="1"/>
  <c r="F89" i="63" s="1"/>
  <c r="E89" i="63" a="1"/>
  <c r="E89" i="63" s="1"/>
  <c r="D89" i="63" a="1"/>
  <c r="D89" i="63" s="1"/>
  <c r="J88" i="63" a="1"/>
  <c r="J88" i="63" s="1"/>
  <c r="I88" i="63" a="1"/>
  <c r="I88" i="63" s="1"/>
  <c r="H88" i="63" a="1"/>
  <c r="H88" i="63" s="1"/>
  <c r="G88" i="63" a="1"/>
  <c r="G88" i="63" s="1"/>
  <c r="F88" i="63" a="1"/>
  <c r="F88" i="63" s="1"/>
  <c r="E88" i="63" a="1"/>
  <c r="E88" i="63" s="1"/>
  <c r="D88" i="63" a="1"/>
  <c r="D88" i="63" s="1"/>
  <c r="J87" i="63" a="1"/>
  <c r="J87" i="63" s="1"/>
  <c r="I87" i="63" a="1"/>
  <c r="I87" i="63" s="1"/>
  <c r="H87" i="63" a="1"/>
  <c r="H87" i="63" s="1"/>
  <c r="G87" i="63" a="1"/>
  <c r="G87" i="63" s="1"/>
  <c r="F87" i="63" a="1"/>
  <c r="F87" i="63" s="1"/>
  <c r="E87" i="63" a="1"/>
  <c r="E87" i="63" s="1"/>
  <c r="D87" i="63" a="1"/>
  <c r="D87" i="63" s="1"/>
  <c r="D84" i="63" a="1"/>
  <c r="D84" i="63" s="1"/>
  <c r="D83" i="63" a="1"/>
  <c r="D83" i="63" s="1"/>
  <c r="D82" i="63" a="1"/>
  <c r="D82" i="63" s="1"/>
  <c r="D81" i="63" a="1"/>
  <c r="D81" i="63" s="1"/>
  <c r="K77" i="63" a="1"/>
  <c r="K77" i="63" s="1"/>
  <c r="J77" i="63" a="1"/>
  <c r="J77" i="63" s="1"/>
  <c r="I77" i="63" a="1"/>
  <c r="I77" i="63" s="1"/>
  <c r="H77" i="63" a="1"/>
  <c r="H77" i="63" s="1"/>
  <c r="G77" i="63" a="1"/>
  <c r="G77" i="63" s="1"/>
  <c r="F77" i="63" a="1"/>
  <c r="F77" i="63" s="1"/>
  <c r="E77" i="63" a="1"/>
  <c r="E77" i="63" s="1"/>
  <c r="D77" i="63" a="1"/>
  <c r="D77" i="63" s="1"/>
  <c r="E31" i="61" s="1"/>
  <c r="K76" i="63" a="1"/>
  <c r="K76" i="63" s="1"/>
  <c r="J76" i="63" a="1"/>
  <c r="J76" i="63" s="1"/>
  <c r="I76" i="63" a="1"/>
  <c r="I76" i="63" s="1"/>
  <c r="H76" i="63" a="1"/>
  <c r="H76" i="63" s="1"/>
  <c r="G76" i="63" a="1"/>
  <c r="G76" i="63" s="1"/>
  <c r="F76" i="63" a="1"/>
  <c r="F76" i="63" s="1"/>
  <c r="E76" i="63" a="1"/>
  <c r="E76" i="63" s="1"/>
  <c r="D76" i="63" a="1"/>
  <c r="D76" i="63" s="1"/>
  <c r="K75" i="63" a="1"/>
  <c r="K75" i="63" s="1"/>
  <c r="J75" i="63" a="1"/>
  <c r="J75" i="63" s="1"/>
  <c r="I75" i="63" a="1"/>
  <c r="I75" i="63" s="1"/>
  <c r="H75" i="63" a="1"/>
  <c r="H75" i="63" s="1"/>
  <c r="G75" i="63" a="1"/>
  <c r="G75" i="63" s="1"/>
  <c r="F75" i="63" a="1"/>
  <c r="F75" i="63" s="1"/>
  <c r="E75" i="63" a="1"/>
  <c r="E75" i="63" s="1"/>
  <c r="D75" i="63" a="1"/>
  <c r="D75" i="63" s="1"/>
  <c r="E37" i="61" s="1"/>
  <c r="K74" i="63" a="1"/>
  <c r="K74" i="63" s="1"/>
  <c r="J74" i="63" a="1"/>
  <c r="J74" i="63" s="1"/>
  <c r="I74" i="63" a="1"/>
  <c r="I74" i="63" s="1"/>
  <c r="H74" i="63" a="1"/>
  <c r="H74" i="63" s="1"/>
  <c r="G74" i="63" a="1"/>
  <c r="G74" i="63" s="1"/>
  <c r="F74" i="63" a="1"/>
  <c r="F74" i="63" s="1"/>
  <c r="E74" i="63" a="1"/>
  <c r="E74" i="63" s="1"/>
  <c r="D74" i="63" a="1"/>
  <c r="D74" i="63" s="1"/>
  <c r="E29" i="61" s="1"/>
  <c r="K73" i="63" a="1"/>
  <c r="K73" i="63" s="1"/>
  <c r="J73" i="63" a="1"/>
  <c r="J73" i="63" s="1"/>
  <c r="I73" i="63" a="1"/>
  <c r="I73" i="63" s="1"/>
  <c r="H73" i="63" a="1"/>
  <c r="H73" i="63" s="1"/>
  <c r="G73" i="63" a="1"/>
  <c r="G73" i="63" s="1"/>
  <c r="F73" i="63" a="1"/>
  <c r="F73" i="63" s="1"/>
  <c r="E73" i="63" a="1"/>
  <c r="E73" i="63" s="1"/>
  <c r="D73" i="63" a="1"/>
  <c r="D73" i="63" s="1"/>
  <c r="E35" i="61" s="1"/>
  <c r="K72" i="63" a="1"/>
  <c r="K72" i="63" s="1"/>
  <c r="J72" i="63" a="1"/>
  <c r="J72" i="63" s="1"/>
  <c r="I72" i="63" a="1"/>
  <c r="I72" i="63" s="1"/>
  <c r="H72" i="63" a="1"/>
  <c r="H72" i="63" s="1"/>
  <c r="G72" i="63" a="1"/>
  <c r="G72" i="63" s="1"/>
  <c r="F72" i="63" a="1"/>
  <c r="F72" i="63" s="1"/>
  <c r="E72" i="63" a="1"/>
  <c r="E72" i="63" s="1"/>
  <c r="D72" i="63" a="1"/>
  <c r="D72" i="63" s="1"/>
  <c r="K71" i="63" a="1"/>
  <c r="K71" i="63" s="1"/>
  <c r="J71" i="63" a="1"/>
  <c r="J71" i="63" s="1"/>
  <c r="I71" i="63" a="1"/>
  <c r="I71" i="63" s="1"/>
  <c r="H71" i="63" a="1"/>
  <c r="H71" i="63" s="1"/>
  <c r="G71" i="63" a="1"/>
  <c r="G71" i="63" s="1"/>
  <c r="F71" i="63" a="1"/>
  <c r="F71" i="63" s="1"/>
  <c r="E71" i="63" a="1"/>
  <c r="E71" i="63" s="1"/>
  <c r="D71" i="63" a="1"/>
  <c r="D71" i="63" s="1"/>
  <c r="K70" i="63" a="1"/>
  <c r="K70" i="63" s="1"/>
  <c r="J70" i="63" a="1"/>
  <c r="J70" i="63" s="1"/>
  <c r="I70" i="63" a="1"/>
  <c r="I70" i="63" s="1"/>
  <c r="H70" i="63" a="1"/>
  <c r="H70" i="63" s="1"/>
  <c r="G70" i="63" a="1"/>
  <c r="G70" i="63" s="1"/>
  <c r="F70" i="63" a="1"/>
  <c r="F70" i="63" s="1"/>
  <c r="E70" i="63" a="1"/>
  <c r="E70" i="63" s="1"/>
  <c r="D70" i="63" a="1"/>
  <c r="D70" i="63" s="1"/>
  <c r="K69" i="63" a="1"/>
  <c r="K69" i="63" s="1"/>
  <c r="J69" i="63" a="1"/>
  <c r="J69" i="63" s="1"/>
  <c r="I69" i="63" a="1"/>
  <c r="I69" i="63" s="1"/>
  <c r="H69" i="63" a="1"/>
  <c r="H69" i="63" s="1"/>
  <c r="G69" i="63" a="1"/>
  <c r="G69" i="63" s="1"/>
  <c r="F69" i="63" a="1"/>
  <c r="F69" i="63" s="1"/>
  <c r="E69" i="63" a="1"/>
  <c r="E69" i="63" s="1"/>
  <c r="D69" i="63" a="1"/>
  <c r="D69" i="63" s="1"/>
  <c r="K68" i="63" a="1"/>
  <c r="K68" i="63" s="1"/>
  <c r="J68" i="63" a="1"/>
  <c r="J68" i="63" s="1"/>
  <c r="I68" i="63" a="1"/>
  <c r="I68" i="63" s="1"/>
  <c r="H68" i="63" a="1"/>
  <c r="H68" i="63" s="1"/>
  <c r="G68" i="63" a="1"/>
  <c r="G68" i="63" s="1"/>
  <c r="F68" i="63" a="1"/>
  <c r="F68" i="63" s="1"/>
  <c r="E68" i="63" a="1"/>
  <c r="E68" i="63" s="1"/>
  <c r="D68" i="63" a="1"/>
  <c r="D68" i="63" s="1"/>
  <c r="K67" i="63" a="1"/>
  <c r="K67" i="63" s="1"/>
  <c r="J67" i="63" a="1"/>
  <c r="J67" i="63" s="1"/>
  <c r="I67" i="63" a="1"/>
  <c r="I67" i="63" s="1"/>
  <c r="H67" i="63" a="1"/>
  <c r="H67" i="63" s="1"/>
  <c r="G67" i="63" a="1"/>
  <c r="G67" i="63" s="1"/>
  <c r="F67" i="63" a="1"/>
  <c r="F67" i="63" s="1"/>
  <c r="E67" i="63" a="1"/>
  <c r="E67" i="63" s="1"/>
  <c r="D67" i="63" a="1"/>
  <c r="D67" i="63" s="1"/>
  <c r="E34" i="61" s="1"/>
  <c r="K66" i="63" a="1"/>
  <c r="K66" i="63" s="1"/>
  <c r="J66" i="63" a="1"/>
  <c r="J66" i="63" s="1"/>
  <c r="I66" i="63" a="1"/>
  <c r="I66" i="63" s="1"/>
  <c r="H66" i="63" a="1"/>
  <c r="H66" i="63" s="1"/>
  <c r="G66" i="63" a="1"/>
  <c r="G66" i="63" s="1"/>
  <c r="F66" i="63" a="1"/>
  <c r="F66" i="63" s="1"/>
  <c r="E66" i="63" a="1"/>
  <c r="E66" i="63" s="1"/>
  <c r="D66" i="63" a="1"/>
  <c r="D66" i="63" s="1"/>
  <c r="K65" i="63" a="1"/>
  <c r="K65" i="63" s="1"/>
  <c r="J65" i="63" a="1"/>
  <c r="J65" i="63" s="1"/>
  <c r="I65" i="63" a="1"/>
  <c r="I65" i="63" s="1"/>
  <c r="H65" i="63" a="1"/>
  <c r="H65" i="63" s="1"/>
  <c r="G65" i="63" a="1"/>
  <c r="G65" i="63" s="1"/>
  <c r="F65" i="63" a="1"/>
  <c r="F65" i="63" s="1"/>
  <c r="E65" i="63" a="1"/>
  <c r="E65" i="63" s="1"/>
  <c r="D65" i="63" a="1"/>
  <c r="D65" i="63" s="1"/>
  <c r="K64" i="63" a="1"/>
  <c r="K64" i="63" s="1"/>
  <c r="J64" i="63" a="1"/>
  <c r="J64" i="63" s="1"/>
  <c r="I64" i="63" a="1"/>
  <c r="I64" i="63" s="1"/>
  <c r="H64" i="63" a="1"/>
  <c r="H64" i="63" s="1"/>
  <c r="G64" i="63" a="1"/>
  <c r="G64" i="63" s="1"/>
  <c r="F64" i="63" a="1"/>
  <c r="F64" i="63" s="1"/>
  <c r="E64" i="63" a="1"/>
  <c r="E64" i="63" s="1"/>
  <c r="D64" i="63" a="1"/>
  <c r="D64" i="63" s="1"/>
  <c r="K63" i="63" a="1"/>
  <c r="K63" i="63" s="1"/>
  <c r="J63" i="63" a="1"/>
  <c r="J63" i="63" s="1"/>
  <c r="I63" i="63" a="1"/>
  <c r="I63" i="63" s="1"/>
  <c r="H63" i="63" a="1"/>
  <c r="H63" i="63" s="1"/>
  <c r="G63" i="63" a="1"/>
  <c r="G63" i="63" s="1"/>
  <c r="F63" i="63" a="1"/>
  <c r="F63" i="63" s="1"/>
  <c r="E63" i="63" a="1"/>
  <c r="E63" i="63" s="1"/>
  <c r="D63" i="63" a="1"/>
  <c r="D63" i="63" s="1"/>
  <c r="E26" i="61" s="1"/>
  <c r="K62" i="63" a="1"/>
  <c r="K62" i="63" s="1"/>
  <c r="J62" i="63" a="1"/>
  <c r="J62" i="63" s="1"/>
  <c r="I62" i="63" a="1"/>
  <c r="I62" i="63" s="1"/>
  <c r="H62" i="63" a="1"/>
  <c r="H62" i="63" s="1"/>
  <c r="G62" i="63" a="1"/>
  <c r="G62" i="63" s="1"/>
  <c r="F62" i="63" a="1"/>
  <c r="F62" i="63" s="1"/>
  <c r="E62" i="63" a="1"/>
  <c r="E62" i="63" s="1"/>
  <c r="D62" i="63" a="1"/>
  <c r="D62" i="63" s="1"/>
  <c r="K61" i="63" a="1"/>
  <c r="K61" i="63" s="1"/>
  <c r="J61" i="63" a="1"/>
  <c r="J61" i="63" s="1"/>
  <c r="I61" i="63" a="1"/>
  <c r="I61" i="63" s="1"/>
  <c r="H61" i="63" a="1"/>
  <c r="H61" i="63" s="1"/>
  <c r="G61" i="63" a="1"/>
  <c r="G61" i="63" s="1"/>
  <c r="F61" i="63" a="1"/>
  <c r="F61" i="63" s="1"/>
  <c r="E61" i="63" a="1"/>
  <c r="E61" i="63" s="1"/>
  <c r="D61" i="63" a="1"/>
  <c r="D61" i="63" s="1"/>
  <c r="K60" i="63" a="1"/>
  <c r="K60" i="63" s="1"/>
  <c r="J60" i="63" a="1"/>
  <c r="J60" i="63" s="1"/>
  <c r="I60" i="63" a="1"/>
  <c r="I60" i="63" s="1"/>
  <c r="H60" i="63" a="1"/>
  <c r="H60" i="63" s="1"/>
  <c r="G60" i="63" a="1"/>
  <c r="G60" i="63" s="1"/>
  <c r="F60" i="63" a="1"/>
  <c r="F60" i="63" s="1"/>
  <c r="E60" i="63" a="1"/>
  <c r="E60" i="63" s="1"/>
  <c r="D60" i="63" a="1"/>
  <c r="D60" i="63" s="1"/>
  <c r="K59" i="63" a="1"/>
  <c r="K59" i="63" s="1"/>
  <c r="J59" i="63" a="1"/>
  <c r="J59" i="63" s="1"/>
  <c r="I59" i="63" a="1"/>
  <c r="I59" i="63" s="1"/>
  <c r="H59" i="63" a="1"/>
  <c r="H59" i="63" s="1"/>
  <c r="G59" i="63" a="1"/>
  <c r="G59" i="63" s="1"/>
  <c r="F59" i="63" a="1"/>
  <c r="F59" i="63" s="1"/>
  <c r="E59" i="63" a="1"/>
  <c r="E59" i="63" s="1"/>
  <c r="D59" i="63" a="1"/>
  <c r="D59" i="63" s="1"/>
  <c r="K58" i="63" a="1"/>
  <c r="K58" i="63" s="1"/>
  <c r="J58" i="63" a="1"/>
  <c r="J58" i="63" s="1"/>
  <c r="I58" i="63" a="1"/>
  <c r="I58" i="63" s="1"/>
  <c r="H58" i="63" a="1"/>
  <c r="H58" i="63" s="1"/>
  <c r="G58" i="63" a="1"/>
  <c r="G58" i="63" s="1"/>
  <c r="F58" i="63" a="1"/>
  <c r="F58" i="63" s="1"/>
  <c r="E58" i="63" a="1"/>
  <c r="E58" i="63" s="1"/>
  <c r="D58" i="63" a="1"/>
  <c r="D58" i="63" s="1"/>
  <c r="E32" i="61" s="1"/>
  <c r="K57" i="63" a="1"/>
  <c r="K57" i="63" s="1"/>
  <c r="J57" i="63" a="1"/>
  <c r="J57" i="63" s="1"/>
  <c r="I57" i="63" a="1"/>
  <c r="I57" i="63" s="1"/>
  <c r="H57" i="63" a="1"/>
  <c r="H57" i="63" s="1"/>
  <c r="G57" i="63" a="1"/>
  <c r="G57" i="63" s="1"/>
  <c r="F57" i="63" a="1"/>
  <c r="F57" i="63" s="1"/>
  <c r="E57" i="63" a="1"/>
  <c r="E57" i="63" s="1"/>
  <c r="D57" i="63" a="1"/>
  <c r="D57" i="63" s="1"/>
  <c r="K56" i="63" a="1"/>
  <c r="K56" i="63" s="1"/>
  <c r="J56" i="63" a="1"/>
  <c r="J56" i="63" s="1"/>
  <c r="I56" i="63" a="1"/>
  <c r="I56" i="63" s="1"/>
  <c r="H56" i="63" a="1"/>
  <c r="H56" i="63" s="1"/>
  <c r="G56" i="63" a="1"/>
  <c r="G56" i="63" s="1"/>
  <c r="F56" i="63" a="1"/>
  <c r="F56" i="63" s="1"/>
  <c r="E56" i="63" a="1"/>
  <c r="E56" i="63" s="1"/>
  <c r="D56" i="63" a="1"/>
  <c r="D56" i="63" s="1"/>
  <c r="K55" i="63" a="1"/>
  <c r="K55" i="63" s="1"/>
  <c r="J55" i="63" a="1"/>
  <c r="J55" i="63" s="1"/>
  <c r="I55" i="63" a="1"/>
  <c r="I55" i="63" s="1"/>
  <c r="H55" i="63" a="1"/>
  <c r="H55" i="63" s="1"/>
  <c r="G55" i="63" a="1"/>
  <c r="G55" i="63" s="1"/>
  <c r="F55" i="63" a="1"/>
  <c r="F55" i="63" s="1"/>
  <c r="E55" i="63" a="1"/>
  <c r="E55" i="63" s="1"/>
  <c r="D55" i="63" a="1"/>
  <c r="D55" i="63" s="1"/>
  <c r="K54" i="63" a="1"/>
  <c r="K54" i="63" s="1"/>
  <c r="J54" i="63" a="1"/>
  <c r="J54" i="63" s="1"/>
  <c r="I54" i="63" a="1"/>
  <c r="I54" i="63" s="1"/>
  <c r="H54" i="63" a="1"/>
  <c r="H54" i="63" s="1"/>
  <c r="G54" i="63" a="1"/>
  <c r="G54" i="63" s="1"/>
  <c r="F54" i="63" a="1"/>
  <c r="F54" i="63" s="1"/>
  <c r="E54" i="63" a="1"/>
  <c r="E54" i="63" s="1"/>
  <c r="D54" i="63" a="1"/>
  <c r="D54" i="63" s="1"/>
  <c r="D52" i="63" a="1"/>
  <c r="D52" i="63" s="1"/>
  <c r="D51" i="63" a="1"/>
  <c r="D51" i="63" s="1"/>
  <c r="D50" i="63" a="1"/>
  <c r="D50" i="63" s="1"/>
  <c r="D49" i="63" a="1"/>
  <c r="D49" i="63" s="1"/>
  <c r="J43" i="63" a="1"/>
  <c r="J43" i="63" s="1"/>
  <c r="I43" i="63" a="1"/>
  <c r="I43" i="63" s="1"/>
  <c r="H43" i="63" a="1"/>
  <c r="H43" i="63" s="1"/>
  <c r="G43" i="63" a="1"/>
  <c r="G43" i="63" s="1"/>
  <c r="F43" i="63" a="1"/>
  <c r="F43" i="63" s="1"/>
  <c r="E43" i="63" a="1"/>
  <c r="E43" i="63" s="1"/>
  <c r="D43" i="63" a="1"/>
  <c r="D43" i="63" s="1"/>
  <c r="J42" i="63" a="1"/>
  <c r="J42" i="63" s="1"/>
  <c r="I42" i="63" a="1"/>
  <c r="I42" i="63" s="1"/>
  <c r="H42" i="63" a="1"/>
  <c r="H42" i="63" s="1"/>
  <c r="G42" i="63" a="1"/>
  <c r="G42" i="63" s="1"/>
  <c r="F42" i="63" a="1"/>
  <c r="F42" i="63" s="1"/>
  <c r="E42" i="63" a="1"/>
  <c r="E42" i="63" s="1"/>
  <c r="D42" i="63" a="1"/>
  <c r="D42" i="63" s="1"/>
  <c r="J41" i="63" a="1"/>
  <c r="J41" i="63" s="1"/>
  <c r="I41" i="63" a="1"/>
  <c r="I41" i="63" s="1"/>
  <c r="H41" i="63" a="1"/>
  <c r="H41" i="63" s="1"/>
  <c r="G41" i="63" a="1"/>
  <c r="G41" i="63" s="1"/>
  <c r="F41" i="63" a="1"/>
  <c r="F41" i="63" s="1"/>
  <c r="E41" i="63" a="1"/>
  <c r="E41" i="63" s="1"/>
  <c r="D41" i="63" a="1"/>
  <c r="D41" i="63" s="1"/>
  <c r="J40" i="63" a="1"/>
  <c r="J40" i="63" s="1"/>
  <c r="I40" i="63" a="1"/>
  <c r="I40" i="63" s="1"/>
  <c r="H40" i="63" a="1"/>
  <c r="H40" i="63" s="1"/>
  <c r="G40" i="63" a="1"/>
  <c r="G40" i="63" s="1"/>
  <c r="F40" i="63" a="1"/>
  <c r="F40" i="63" s="1"/>
  <c r="E40" i="63" a="1"/>
  <c r="E40" i="63" s="1"/>
  <c r="D40" i="63" a="1"/>
  <c r="D40" i="63" s="1"/>
  <c r="D38" i="63" a="1"/>
  <c r="D38" i="63" s="1"/>
  <c r="D37" i="63" a="1"/>
  <c r="D37" i="63" s="1"/>
  <c r="L34" i="63" a="1"/>
  <c r="L34" i="63" s="1"/>
  <c r="K34" i="63" a="1"/>
  <c r="K34" i="63" s="1"/>
  <c r="J34" i="63" a="1"/>
  <c r="J34" i="63" s="1"/>
  <c r="I34" i="63" a="1"/>
  <c r="I34" i="63" s="1"/>
  <c r="H34" i="63" a="1"/>
  <c r="H34" i="63" s="1"/>
  <c r="G34" i="63" a="1"/>
  <c r="G34" i="63" s="1"/>
  <c r="F34" i="63" a="1"/>
  <c r="F34" i="63" s="1"/>
  <c r="E34" i="63" a="1"/>
  <c r="E34" i="63" s="1"/>
  <c r="D34" i="63" a="1"/>
  <c r="D34" i="63" s="1"/>
  <c r="L33" i="63" a="1"/>
  <c r="L33" i="63" s="1"/>
  <c r="K33" i="63" a="1"/>
  <c r="K33" i="63" s="1"/>
  <c r="J33" i="63" a="1"/>
  <c r="J33" i="63" s="1"/>
  <c r="I33" i="63" a="1"/>
  <c r="I33" i="63" s="1"/>
  <c r="H33" i="63" a="1"/>
  <c r="H33" i="63" s="1"/>
  <c r="G33" i="63" a="1"/>
  <c r="G33" i="63" s="1"/>
  <c r="F33" i="63" a="1"/>
  <c r="F33" i="63" s="1"/>
  <c r="E33" i="63" a="1"/>
  <c r="E33" i="63" s="1"/>
  <c r="E39" i="60" s="1"/>
  <c r="D33" i="63" a="1"/>
  <c r="D33" i="63" s="1"/>
  <c r="L32" i="63" a="1"/>
  <c r="L32" i="63" s="1"/>
  <c r="K32" i="63" a="1"/>
  <c r="K32" i="63" s="1"/>
  <c r="J32" i="63" a="1"/>
  <c r="J32" i="63" s="1"/>
  <c r="I32" i="63" a="1"/>
  <c r="I32" i="63" s="1"/>
  <c r="H32" i="63" a="1"/>
  <c r="H32" i="63" s="1"/>
  <c r="G32" i="63" a="1"/>
  <c r="G32" i="63" s="1"/>
  <c r="F32" i="63" a="1"/>
  <c r="F32" i="63" s="1"/>
  <c r="E32" i="63" a="1"/>
  <c r="E32" i="63" s="1"/>
  <c r="D32" i="63" a="1"/>
  <c r="D32" i="63" s="1"/>
  <c r="L31" i="63" a="1"/>
  <c r="L31" i="63" s="1"/>
  <c r="K31" i="63" a="1"/>
  <c r="K31" i="63" s="1"/>
  <c r="J31" i="63" a="1"/>
  <c r="J31" i="63" s="1"/>
  <c r="I31" i="63" a="1"/>
  <c r="I31" i="63" s="1"/>
  <c r="H31" i="63" a="1"/>
  <c r="H31" i="63" s="1"/>
  <c r="G31" i="63" a="1"/>
  <c r="G31" i="63" s="1"/>
  <c r="F31" i="63" a="1"/>
  <c r="F31" i="63" s="1"/>
  <c r="E31" i="63" a="1"/>
  <c r="E31" i="63" s="1"/>
  <c r="D31" i="63" a="1"/>
  <c r="D31" i="63" s="1"/>
  <c r="L30" i="63" a="1"/>
  <c r="L30" i="63" s="1"/>
  <c r="K30" i="63" a="1"/>
  <c r="K30" i="63" s="1"/>
  <c r="J30" i="63" a="1"/>
  <c r="J30" i="63" s="1"/>
  <c r="I30" i="63" a="1"/>
  <c r="I30" i="63" s="1"/>
  <c r="H30" i="63" a="1"/>
  <c r="H30" i="63" s="1"/>
  <c r="G30" i="63" a="1"/>
  <c r="G30" i="63" s="1"/>
  <c r="F30" i="63" a="1"/>
  <c r="F30" i="63" s="1"/>
  <c r="E30" i="63" a="1"/>
  <c r="E30" i="63" s="1"/>
  <c r="E36" i="60" s="1"/>
  <c r="D30" i="63" a="1"/>
  <c r="D30" i="63" s="1"/>
  <c r="L29" i="63" a="1"/>
  <c r="L29" i="63" s="1"/>
  <c r="K29" i="63" a="1"/>
  <c r="K29" i="63" s="1"/>
  <c r="J29" i="63" a="1"/>
  <c r="J29" i="63" s="1"/>
  <c r="I29" i="63" a="1"/>
  <c r="I29" i="63" s="1"/>
  <c r="H29" i="63" a="1"/>
  <c r="H29" i="63" s="1"/>
  <c r="G29" i="63" a="1"/>
  <c r="G29" i="63" s="1"/>
  <c r="F29" i="63" a="1"/>
  <c r="F29" i="63" s="1"/>
  <c r="E29" i="63" a="1"/>
  <c r="E29" i="63" s="1"/>
  <c r="E35" i="60" s="1"/>
  <c r="D29" i="63" a="1"/>
  <c r="D29" i="63" s="1"/>
  <c r="L28" i="63" a="1"/>
  <c r="L28" i="63" s="1"/>
  <c r="K28" i="63" a="1"/>
  <c r="K28" i="63" s="1"/>
  <c r="J28" i="63" a="1"/>
  <c r="J28" i="63" s="1"/>
  <c r="I28" i="63" a="1"/>
  <c r="I28" i="63" s="1"/>
  <c r="H28" i="63" a="1"/>
  <c r="H28" i="63" s="1"/>
  <c r="G28" i="63" a="1"/>
  <c r="G28" i="63" s="1"/>
  <c r="F28" i="63" a="1"/>
  <c r="F28" i="63" s="1"/>
  <c r="E28" i="63" a="1"/>
  <c r="E28" i="63" s="1"/>
  <c r="E34" i="60" s="1"/>
  <c r="D28" i="63" a="1"/>
  <c r="D28" i="63" s="1"/>
  <c r="L27" i="63" a="1"/>
  <c r="L27" i="63" s="1"/>
  <c r="K27" i="63" a="1"/>
  <c r="K27" i="63" s="1"/>
  <c r="J27" i="63" a="1"/>
  <c r="J27" i="63" s="1"/>
  <c r="I27" i="63" a="1"/>
  <c r="I27" i="63" s="1"/>
  <c r="H27" i="63" a="1"/>
  <c r="H27" i="63" s="1"/>
  <c r="G27" i="63" a="1"/>
  <c r="G27" i="63" s="1"/>
  <c r="F27" i="63" a="1"/>
  <c r="F27" i="63" s="1"/>
  <c r="E27" i="63" a="1"/>
  <c r="E27" i="63" s="1"/>
  <c r="D27" i="63" a="1"/>
  <c r="D27" i="63" s="1"/>
  <c r="L26" i="63" a="1"/>
  <c r="L26" i="63" s="1"/>
  <c r="K26" i="63" a="1"/>
  <c r="K26" i="63" s="1"/>
  <c r="J26" i="63" a="1"/>
  <c r="J26" i="63" s="1"/>
  <c r="I26" i="63" a="1"/>
  <c r="I26" i="63" s="1"/>
  <c r="H26" i="63" a="1"/>
  <c r="H26" i="63" s="1"/>
  <c r="G26" i="63" a="1"/>
  <c r="G26" i="63" s="1"/>
  <c r="F26" i="63" a="1"/>
  <c r="F26" i="63" s="1"/>
  <c r="E26" i="63" a="1"/>
  <c r="E26" i="63" s="1"/>
  <c r="D26" i="63" a="1"/>
  <c r="D26" i="63" s="1"/>
  <c r="L25" i="63" a="1"/>
  <c r="L25" i="63" s="1"/>
  <c r="K25" i="63" a="1"/>
  <c r="K25" i="63" s="1"/>
  <c r="J25" i="63" a="1"/>
  <c r="J25" i="63" s="1"/>
  <c r="I25" i="63" a="1"/>
  <c r="I25" i="63" s="1"/>
  <c r="H25" i="63" a="1"/>
  <c r="H25" i="63" s="1"/>
  <c r="G25" i="63" a="1"/>
  <c r="G25" i="63" s="1"/>
  <c r="F25" i="63" a="1"/>
  <c r="F25" i="63" s="1"/>
  <c r="E25" i="63" a="1"/>
  <c r="E25" i="63" s="1"/>
  <c r="D25" i="63" a="1"/>
  <c r="D25" i="63" s="1"/>
  <c r="L24" i="63" a="1"/>
  <c r="L24" i="63" s="1"/>
  <c r="K24" i="63" a="1"/>
  <c r="K24" i="63" s="1"/>
  <c r="J24" i="63" a="1"/>
  <c r="J24" i="63" s="1"/>
  <c r="I24" i="63" a="1"/>
  <c r="I24" i="63" s="1"/>
  <c r="H24" i="63" a="1"/>
  <c r="H24" i="63" s="1"/>
  <c r="G24" i="63" a="1"/>
  <c r="G24" i="63" s="1"/>
  <c r="F24" i="63" a="1"/>
  <c r="F24" i="63" s="1"/>
  <c r="E24" i="63" a="1"/>
  <c r="E24" i="63" s="1"/>
  <c r="D24" i="63" a="1"/>
  <c r="D24" i="63" s="1"/>
  <c r="L23" i="63" a="1"/>
  <c r="L23" i="63" s="1"/>
  <c r="K23" i="63" a="1"/>
  <c r="K23" i="63" s="1"/>
  <c r="J23" i="63" a="1"/>
  <c r="J23" i="63" s="1"/>
  <c r="I23" i="63" a="1"/>
  <c r="I23" i="63" s="1"/>
  <c r="H23" i="63" a="1"/>
  <c r="H23" i="63" s="1"/>
  <c r="G23" i="63" a="1"/>
  <c r="G23" i="63" s="1"/>
  <c r="F23" i="63" a="1"/>
  <c r="F23" i="63" s="1"/>
  <c r="E23" i="63" a="1"/>
  <c r="E23" i="63" s="1"/>
  <c r="D23" i="63" a="1"/>
  <c r="D23" i="63" s="1"/>
  <c r="L22" i="63" a="1"/>
  <c r="L22" i="63" s="1"/>
  <c r="K22" i="63" a="1"/>
  <c r="K22" i="63" s="1"/>
  <c r="J22" i="63" a="1"/>
  <c r="J22" i="63" s="1"/>
  <c r="I22" i="63" a="1"/>
  <c r="I22" i="63" s="1"/>
  <c r="H22" i="63" a="1"/>
  <c r="H22" i="63" s="1"/>
  <c r="G22" i="63" a="1"/>
  <c r="G22" i="63" s="1"/>
  <c r="F22" i="63" a="1"/>
  <c r="F22" i="63" s="1"/>
  <c r="E22" i="63" a="1"/>
  <c r="E22" i="63" s="1"/>
  <c r="D22" i="63" a="1"/>
  <c r="D22" i="63" s="1"/>
  <c r="L21" i="63" a="1"/>
  <c r="L21" i="63" s="1"/>
  <c r="K21" i="63" a="1"/>
  <c r="K21" i="63" s="1"/>
  <c r="J21" i="63" a="1"/>
  <c r="J21" i="63" s="1"/>
  <c r="I21" i="63" a="1"/>
  <c r="I21" i="63" s="1"/>
  <c r="H21" i="63" a="1"/>
  <c r="H21" i="63" s="1"/>
  <c r="G21" i="63" a="1"/>
  <c r="G21" i="63" s="1"/>
  <c r="F21" i="63" a="1"/>
  <c r="F21" i="63" s="1"/>
  <c r="E21" i="63" a="1"/>
  <c r="E21" i="63" s="1"/>
  <c r="D21" i="63" a="1"/>
  <c r="D21" i="63" s="1"/>
  <c r="L20" i="63" a="1"/>
  <c r="L20" i="63" s="1"/>
  <c r="K20" i="63" a="1"/>
  <c r="K20" i="63" s="1"/>
  <c r="J20" i="63" a="1"/>
  <c r="J20" i="63" s="1"/>
  <c r="I20" i="63" a="1"/>
  <c r="I20" i="63" s="1"/>
  <c r="H20" i="63" a="1"/>
  <c r="H20" i="63" s="1"/>
  <c r="G20" i="63" a="1"/>
  <c r="G20" i="63" s="1"/>
  <c r="F20" i="63" a="1"/>
  <c r="F20" i="63" s="1"/>
  <c r="E20" i="63" a="1"/>
  <c r="E20" i="63" s="1"/>
  <c r="D20" i="63" a="1"/>
  <c r="D20" i="63" s="1"/>
  <c r="L19" i="63" a="1"/>
  <c r="L19" i="63" s="1"/>
  <c r="K19" i="63" a="1"/>
  <c r="K19" i="63" s="1"/>
  <c r="J19" i="63" a="1"/>
  <c r="J19" i="63" s="1"/>
  <c r="I19" i="63" a="1"/>
  <c r="I19" i="63" s="1"/>
  <c r="H19" i="63" a="1"/>
  <c r="H19" i="63" s="1"/>
  <c r="G19" i="63" a="1"/>
  <c r="G19" i="63" s="1"/>
  <c r="F19" i="63" a="1"/>
  <c r="F19" i="63" s="1"/>
  <c r="E19" i="63" a="1"/>
  <c r="E19" i="63" s="1"/>
  <c r="D19" i="63" a="1"/>
  <c r="D19" i="63" s="1"/>
  <c r="L18" i="63" a="1"/>
  <c r="L18" i="63" s="1"/>
  <c r="K18" i="63" a="1"/>
  <c r="K18" i="63" s="1"/>
  <c r="J18" i="63" a="1"/>
  <c r="J18" i="63" s="1"/>
  <c r="I18" i="63" a="1"/>
  <c r="I18" i="63" s="1"/>
  <c r="H18" i="63" a="1"/>
  <c r="H18" i="63" s="1"/>
  <c r="G18" i="63" a="1"/>
  <c r="G18" i="63" s="1"/>
  <c r="F18" i="63" a="1"/>
  <c r="F18" i="63" s="1"/>
  <c r="E18" i="63" a="1"/>
  <c r="E18" i="63" s="1"/>
  <c r="D18" i="63" a="1"/>
  <c r="D18" i="63" s="1"/>
  <c r="L17" i="63" a="1"/>
  <c r="L17" i="63" s="1"/>
  <c r="K17" i="63" a="1"/>
  <c r="K17" i="63" s="1"/>
  <c r="J17" i="63" a="1"/>
  <c r="J17" i="63" s="1"/>
  <c r="I17" i="63" a="1"/>
  <c r="I17" i="63" s="1"/>
  <c r="H17" i="63" a="1"/>
  <c r="H17" i="63" s="1"/>
  <c r="G17" i="63" a="1"/>
  <c r="G17" i="63" s="1"/>
  <c r="F17" i="63" a="1"/>
  <c r="F17" i="63" s="1"/>
  <c r="E17" i="63" a="1"/>
  <c r="E17" i="63" s="1"/>
  <c r="E32" i="60" s="1"/>
  <c r="D17" i="63" a="1"/>
  <c r="D17" i="63" s="1"/>
  <c r="L16" i="63" a="1"/>
  <c r="L16" i="63" s="1"/>
  <c r="K16" i="63" a="1"/>
  <c r="K16" i="63" s="1"/>
  <c r="J16" i="63" a="1"/>
  <c r="J16" i="63" s="1"/>
  <c r="I16" i="63" a="1"/>
  <c r="I16" i="63" s="1"/>
  <c r="H16" i="63" a="1"/>
  <c r="H16" i="63" s="1"/>
  <c r="G16" i="63" a="1"/>
  <c r="G16" i="63" s="1"/>
  <c r="F16" i="63" a="1"/>
  <c r="F16" i="63" s="1"/>
  <c r="E16" i="63" a="1"/>
  <c r="E16" i="63" s="1"/>
  <c r="E31" i="60" s="1"/>
  <c r="D16" i="63" a="1"/>
  <c r="D16" i="63" s="1"/>
  <c r="L15" i="63" a="1"/>
  <c r="L15" i="63" s="1"/>
  <c r="K15" i="63" a="1"/>
  <c r="K15" i="63" s="1"/>
  <c r="J15" i="63" a="1"/>
  <c r="J15" i="63" s="1"/>
  <c r="I15" i="63" a="1"/>
  <c r="I15" i="63" s="1"/>
  <c r="H15" i="63" a="1"/>
  <c r="H15" i="63" s="1"/>
  <c r="G15" i="63" a="1"/>
  <c r="G15" i="63" s="1"/>
  <c r="F15" i="63" a="1"/>
  <c r="F15" i="63" s="1"/>
  <c r="E15" i="63" a="1"/>
  <c r="E15" i="63" s="1"/>
  <c r="E30" i="60" s="1"/>
  <c r="D15" i="63" a="1"/>
  <c r="D15" i="63" s="1"/>
  <c r="L14" i="63" a="1"/>
  <c r="L14" i="63" s="1"/>
  <c r="K14" i="63" a="1"/>
  <c r="K14" i="63" s="1"/>
  <c r="J14" i="63" a="1"/>
  <c r="J14" i="63" s="1"/>
  <c r="I14" i="63" a="1"/>
  <c r="I14" i="63" s="1"/>
  <c r="H14" i="63" a="1"/>
  <c r="H14" i="63" s="1"/>
  <c r="G14" i="63" a="1"/>
  <c r="G14" i="63" s="1"/>
  <c r="F14" i="63" a="1"/>
  <c r="F14" i="63" s="1"/>
  <c r="E14" i="63" a="1"/>
  <c r="E14" i="63" s="1"/>
  <c r="E29" i="60" s="1"/>
  <c r="D14" i="63" a="1"/>
  <c r="D14" i="63" s="1"/>
  <c r="L13" i="63" a="1"/>
  <c r="L13" i="63" s="1"/>
  <c r="K13" i="63" a="1"/>
  <c r="K13" i="63" s="1"/>
  <c r="J13" i="63" a="1"/>
  <c r="J13" i="63" s="1"/>
  <c r="I13" i="63" a="1"/>
  <c r="I13" i="63" s="1"/>
  <c r="H13" i="63" a="1"/>
  <c r="H13" i="63" s="1"/>
  <c r="G13" i="63" a="1"/>
  <c r="G13" i="63" s="1"/>
  <c r="F13" i="63" a="1"/>
  <c r="F13" i="63" s="1"/>
  <c r="E13" i="63" a="1"/>
  <c r="E13" i="63" s="1"/>
  <c r="E28" i="60" s="1"/>
  <c r="D13" i="63" a="1"/>
  <c r="D13" i="63" s="1"/>
  <c r="L12" i="63" a="1"/>
  <c r="L12" i="63" s="1"/>
  <c r="K12" i="63" a="1"/>
  <c r="K12" i="63" s="1"/>
  <c r="J12" i="63" a="1"/>
  <c r="J12" i="63" s="1"/>
  <c r="I12" i="63" a="1"/>
  <c r="I12" i="63" s="1"/>
  <c r="H12" i="63" a="1"/>
  <c r="H12" i="63" s="1"/>
  <c r="G12" i="63" a="1"/>
  <c r="G12" i="63" s="1"/>
  <c r="F12" i="63" a="1"/>
  <c r="F12" i="63" s="1"/>
  <c r="E12" i="63" a="1"/>
  <c r="E12" i="63" s="1"/>
  <c r="E27" i="60" s="1"/>
  <c r="D12" i="63" a="1"/>
  <c r="D12" i="63" s="1"/>
  <c r="L11" i="63" a="1"/>
  <c r="L11" i="63" s="1"/>
  <c r="K11" i="63" a="1"/>
  <c r="K11" i="63" s="1"/>
  <c r="J11" i="63" a="1"/>
  <c r="J11" i="63" s="1"/>
  <c r="I11" i="63" a="1"/>
  <c r="I11" i="63" s="1"/>
  <c r="H11" i="63" a="1"/>
  <c r="H11" i="63" s="1"/>
  <c r="G11" i="63" a="1"/>
  <c r="G11" i="63" s="1"/>
  <c r="F11" i="63" a="1"/>
  <c r="F11" i="63" s="1"/>
  <c r="E11" i="63" a="1"/>
  <c r="E11" i="63" s="1"/>
  <c r="E26" i="60" s="1"/>
  <c r="D11" i="63" a="1"/>
  <c r="D11" i="63" s="1"/>
  <c r="L10" i="63" a="1"/>
  <c r="L10" i="63" s="1"/>
  <c r="K10" i="63" a="1"/>
  <c r="K10" i="63" s="1"/>
  <c r="J10" i="63" a="1"/>
  <c r="J10" i="63" s="1"/>
  <c r="I10" i="63" a="1"/>
  <c r="I10" i="63" s="1"/>
  <c r="H10" i="63" a="1"/>
  <c r="H10" i="63" s="1"/>
  <c r="G10" i="63" a="1"/>
  <c r="G10" i="63" s="1"/>
  <c r="F10" i="63" a="1"/>
  <c r="F10" i="63" s="1"/>
  <c r="E10" i="63" a="1"/>
  <c r="E10" i="63" s="1"/>
  <c r="D10" i="63" a="1"/>
  <c r="D10" i="63" s="1"/>
  <c r="D8" i="63" a="1"/>
  <c r="D8" i="63" s="1"/>
  <c r="D7" i="63" a="1"/>
  <c r="D7" i="63" s="1"/>
  <c r="D6" i="63" a="1"/>
  <c r="D6" i="63" s="1"/>
  <c r="D5" i="63" a="1"/>
  <c r="D5" i="63" s="1"/>
  <c r="H185" i="62"/>
  <c r="H179" i="62"/>
  <c r="H168" i="62"/>
  <c r="H144" i="62"/>
  <c r="H138" i="62"/>
  <c r="H127" i="62"/>
  <c r="H105" i="62" a="1"/>
  <c r="H105" i="62" s="1"/>
  <c r="D105" i="62" a="1"/>
  <c r="D105" i="62" s="1"/>
  <c r="E103" i="62" a="1"/>
  <c r="E103" i="62" s="1"/>
  <c r="E102" i="62" a="1"/>
  <c r="E102" i="62" s="1"/>
  <c r="D98" i="62" a="1"/>
  <c r="D98" i="62" s="1"/>
  <c r="D97" i="62" a="1"/>
  <c r="D97" i="62" s="1"/>
  <c r="D96" i="62" a="1"/>
  <c r="D96" i="62" s="1"/>
  <c r="J16" i="62" a="1"/>
  <c r="J16" i="62" s="1"/>
  <c r="I16" i="62" a="1"/>
  <c r="I16" i="62" s="1"/>
  <c r="J15" i="62" a="1"/>
  <c r="J15" i="62" s="1"/>
  <c r="I15" i="62" a="1"/>
  <c r="I15" i="62" s="1"/>
  <c r="J14" i="62" a="1"/>
  <c r="J14" i="62" s="1"/>
  <c r="I14" i="62" a="1"/>
  <c r="I14" i="62" s="1"/>
  <c r="J13" i="62" a="1"/>
  <c r="J13" i="62" s="1"/>
  <c r="I13" i="62" a="1"/>
  <c r="I13" i="62" s="1"/>
  <c r="G13" i="62" a="1"/>
  <c r="G13" i="62" s="1"/>
  <c r="D13" i="62" a="1"/>
  <c r="D13" i="62" s="1"/>
  <c r="E11" i="62" a="1"/>
  <c r="E11" i="62" s="1"/>
  <c r="E10" i="62" a="1"/>
  <c r="E10" i="62" s="1"/>
  <c r="D6" i="62" a="1"/>
  <c r="D6" i="62" s="1"/>
  <c r="D5" i="62" a="1"/>
  <c r="D5" i="62" s="1"/>
  <c r="D40" i="61"/>
  <c r="D38" i="61"/>
  <c r="D35" i="61"/>
  <c r="D33" i="61"/>
  <c r="D36" i="61"/>
  <c r="D31" i="61"/>
  <c r="D28" i="61"/>
  <c r="D26" i="61"/>
  <c r="D29" i="61"/>
  <c r="P18" i="61"/>
  <c r="P17" i="61"/>
  <c r="P16" i="61" a="1"/>
  <c r="P16" i="61" s="1"/>
  <c r="I16" i="61" a="1"/>
  <c r="I16" i="61" s="1"/>
  <c r="P15" i="61" a="1"/>
  <c r="P15" i="61" s="1"/>
  <c r="I15" i="61" a="1"/>
  <c r="I15" i="61" s="1"/>
  <c r="P14" i="61" a="1"/>
  <c r="P14" i="61" s="1"/>
  <c r="N14" i="61" a="1"/>
  <c r="N14" i="61" s="1"/>
  <c r="K14" i="61" a="1"/>
  <c r="K14" i="61" s="1"/>
  <c r="I14" i="61" a="1"/>
  <c r="I14" i="61" s="1"/>
  <c r="G14" i="61" a="1"/>
  <c r="G14" i="61" s="1"/>
  <c r="D14" i="61" a="1"/>
  <c r="D14" i="61" s="1"/>
  <c r="L12" i="61" a="1"/>
  <c r="L12" i="61" s="1"/>
  <c r="E12" i="61" a="1"/>
  <c r="E12" i="61" s="1"/>
  <c r="L11" i="61" a="1"/>
  <c r="L11" i="61" s="1"/>
  <c r="E11" i="61" a="1"/>
  <c r="E11" i="61" s="1"/>
  <c r="K7" i="61" a="1"/>
  <c r="K7" i="61" s="1"/>
  <c r="K6" i="61" a="1"/>
  <c r="K6" i="61" s="1"/>
  <c r="D6" i="61" a="1"/>
  <c r="D6" i="61" s="1"/>
  <c r="K5" i="61" a="1"/>
  <c r="K5" i="61" s="1"/>
  <c r="D5" i="61" a="1"/>
  <c r="D5" i="61" s="1"/>
  <c r="D38" i="60"/>
  <c r="D60" i="60"/>
  <c r="D36" i="60"/>
  <c r="D35" i="60"/>
  <c r="D54" i="60"/>
  <c r="D48" i="60"/>
  <c r="D29" i="60"/>
  <c r="D27" i="60"/>
  <c r="D42" i="60"/>
  <c r="P16" i="60" a="1"/>
  <c r="P16" i="60" s="1"/>
  <c r="I16" i="60" a="1"/>
  <c r="I16" i="60" s="1"/>
  <c r="P15" i="60" a="1"/>
  <c r="P15" i="60" s="1"/>
  <c r="I15" i="60" a="1"/>
  <c r="I15" i="60" s="1"/>
  <c r="P14" i="60" a="1"/>
  <c r="P14" i="60" s="1"/>
  <c r="N14" i="60" a="1"/>
  <c r="N14" i="60" s="1"/>
  <c r="K14" i="60" a="1"/>
  <c r="K14" i="60" s="1"/>
  <c r="I14" i="60" a="1"/>
  <c r="I14" i="60" s="1"/>
  <c r="G14" i="60" a="1"/>
  <c r="G14" i="60" s="1"/>
  <c r="D14" i="60" a="1"/>
  <c r="D14" i="60" s="1"/>
  <c r="L12" i="60" a="1"/>
  <c r="L12" i="60" s="1"/>
  <c r="E12" i="60" a="1"/>
  <c r="E12" i="60" s="1"/>
  <c r="L11" i="60" a="1"/>
  <c r="L11" i="60" s="1"/>
  <c r="E11" i="60" a="1"/>
  <c r="E11" i="60" s="1"/>
  <c r="K6" i="60" a="1"/>
  <c r="K6" i="60" s="1"/>
  <c r="D6" i="60" a="1"/>
  <c r="D6" i="60" s="1"/>
  <c r="K5" i="60" a="1"/>
  <c r="K5" i="60" s="1"/>
  <c r="D5" i="60" a="1"/>
  <c r="D5" i="60" s="1"/>
  <c r="H48" i="59"/>
  <c r="E48" i="59"/>
  <c r="H47" i="59"/>
  <c r="E47" i="59"/>
  <c r="H46" i="59"/>
  <c r="E46" i="59"/>
  <c r="H39" i="59"/>
  <c r="H38" i="59"/>
  <c r="H37" i="59"/>
  <c r="E16" i="59"/>
  <c r="E22" i="59" s="1"/>
  <c r="E6" i="59"/>
  <c r="H21" i="57"/>
  <c r="H20" i="57"/>
  <c r="H19" i="57"/>
  <c r="H18" i="57"/>
  <c r="H17" i="57"/>
  <c r="G44" i="56"/>
  <c r="J44" i="56" s="1"/>
  <c r="G43" i="56"/>
  <c r="J43" i="56" s="1"/>
  <c r="I42" i="56"/>
  <c r="G42" i="56"/>
  <c r="K33" i="56"/>
  <c r="G33" i="56"/>
  <c r="K32" i="56"/>
  <c r="G32" i="56"/>
  <c r="K31" i="56"/>
  <c r="G31" i="56"/>
  <c r="E305" i="19" s="1" a="1"/>
  <c r="E305" i="19" s="1"/>
  <c r="G22" i="56"/>
  <c r="G21" i="56"/>
  <c r="G20" i="56"/>
  <c r="E237" i="19" s="1" a="1"/>
  <c r="E237" i="19" s="1"/>
  <c r="I37" i="59"/>
  <c r="E259" i="51" a="1"/>
  <c r="E259" i="51" s="1"/>
  <c r="D259" i="51" a="1"/>
  <c r="D259" i="51" s="1"/>
  <c r="E258" i="51" a="1"/>
  <c r="E258" i="51" s="1"/>
  <c r="D258" i="51" a="1"/>
  <c r="D258" i="51" s="1"/>
  <c r="D256" i="51" a="1"/>
  <c r="D256" i="51" s="1"/>
  <c r="D255" i="51" a="1"/>
  <c r="D255" i="51" s="1"/>
  <c r="D254" i="51" a="1"/>
  <c r="D254" i="51" s="1"/>
  <c r="D253" i="51" a="1"/>
  <c r="D253" i="51" s="1"/>
  <c r="S250" i="51" a="1"/>
  <c r="S250" i="51" s="1"/>
  <c r="R250" i="51" a="1"/>
  <c r="R250" i="51" s="1"/>
  <c r="Q250" i="51" a="1"/>
  <c r="Q250" i="51" s="1"/>
  <c r="P250" i="51" a="1"/>
  <c r="P250" i="51" s="1"/>
  <c r="O250" i="51" a="1"/>
  <c r="O250" i="51" s="1"/>
  <c r="N250" i="51" a="1"/>
  <c r="N250" i="51" s="1"/>
  <c r="M250" i="51" a="1"/>
  <c r="M250" i="51" s="1"/>
  <c r="L250" i="51" a="1"/>
  <c r="L250" i="51" s="1"/>
  <c r="K250" i="51" a="1"/>
  <c r="K250" i="51" s="1"/>
  <c r="J250" i="51" a="1"/>
  <c r="J250" i="51" s="1"/>
  <c r="I250" i="51" a="1"/>
  <c r="I250" i="51" s="1"/>
  <c r="H250" i="51" a="1"/>
  <c r="H250" i="51" s="1"/>
  <c r="G250" i="51" a="1"/>
  <c r="G250" i="51" s="1"/>
  <c r="F250" i="51" a="1"/>
  <c r="F250" i="51" s="1"/>
  <c r="E250" i="51" a="1"/>
  <c r="E250" i="51" s="1"/>
  <c r="D250" i="51" a="1"/>
  <c r="D250" i="51" s="1"/>
  <c r="S249" i="51" a="1"/>
  <c r="S249" i="51" s="1"/>
  <c r="R249" i="51" a="1"/>
  <c r="R249" i="51" s="1"/>
  <c r="Q249" i="51" a="1"/>
  <c r="Q249" i="51" s="1"/>
  <c r="P249" i="51" a="1"/>
  <c r="P249" i="51" s="1"/>
  <c r="O249" i="51" a="1"/>
  <c r="O249" i="51" s="1"/>
  <c r="N249" i="51" a="1"/>
  <c r="N249" i="51" s="1"/>
  <c r="M249" i="51" a="1"/>
  <c r="M249" i="51" s="1"/>
  <c r="L249" i="51" a="1"/>
  <c r="L249" i="51" s="1"/>
  <c r="K249" i="51" a="1"/>
  <c r="K249" i="51" s="1"/>
  <c r="J249" i="51" a="1"/>
  <c r="J249" i="51" s="1"/>
  <c r="I249" i="51" a="1"/>
  <c r="I249" i="51" s="1"/>
  <c r="H249" i="51" a="1"/>
  <c r="H249" i="51" s="1"/>
  <c r="G249" i="51" a="1"/>
  <c r="G249" i="51" s="1"/>
  <c r="F249" i="51" a="1"/>
  <c r="F249" i="51" s="1"/>
  <c r="E249" i="51" a="1"/>
  <c r="E249" i="51" s="1"/>
  <c r="D249" i="51" a="1"/>
  <c r="D249" i="51" s="1"/>
  <c r="S248" i="51" a="1"/>
  <c r="S248" i="51" s="1"/>
  <c r="R248" i="51" a="1"/>
  <c r="R248" i="51" s="1"/>
  <c r="Q248" i="51" a="1"/>
  <c r="Q248" i="51" s="1"/>
  <c r="P248" i="51" a="1"/>
  <c r="P248" i="51" s="1"/>
  <c r="O248" i="51" a="1"/>
  <c r="O248" i="51" s="1"/>
  <c r="N248" i="51" a="1"/>
  <c r="N248" i="51" s="1"/>
  <c r="M248" i="51" a="1"/>
  <c r="M248" i="51" s="1"/>
  <c r="L248" i="51" a="1"/>
  <c r="L248" i="51" s="1"/>
  <c r="K248" i="51" a="1"/>
  <c r="K248" i="51" s="1"/>
  <c r="J248" i="51" a="1"/>
  <c r="J248" i="51" s="1"/>
  <c r="I248" i="51" a="1"/>
  <c r="I248" i="51" s="1"/>
  <c r="H248" i="51" a="1"/>
  <c r="H248" i="51" s="1"/>
  <c r="G248" i="51" a="1"/>
  <c r="G248" i="51" s="1"/>
  <c r="F248" i="51" a="1"/>
  <c r="F248" i="51" s="1"/>
  <c r="E248" i="51" a="1"/>
  <c r="E248" i="51" s="1"/>
  <c r="D248" i="51" a="1"/>
  <c r="D248" i="51" s="1"/>
  <c r="S247" i="51" a="1"/>
  <c r="S247" i="51" s="1"/>
  <c r="R247" i="51" a="1"/>
  <c r="R247" i="51" s="1"/>
  <c r="Q247" i="51" a="1"/>
  <c r="Q247" i="51" s="1"/>
  <c r="P247" i="51" a="1"/>
  <c r="P247" i="51" s="1"/>
  <c r="O247" i="51" a="1"/>
  <c r="O247" i="51" s="1"/>
  <c r="N247" i="51" a="1"/>
  <c r="N247" i="51" s="1"/>
  <c r="M247" i="51" a="1"/>
  <c r="M247" i="51" s="1"/>
  <c r="L247" i="51" a="1"/>
  <c r="L247" i="51" s="1"/>
  <c r="K247" i="51" a="1"/>
  <c r="K247" i="51" s="1"/>
  <c r="J247" i="51" a="1"/>
  <c r="J247" i="51" s="1"/>
  <c r="I247" i="51" a="1"/>
  <c r="I247" i="51" s="1"/>
  <c r="H247" i="51" a="1"/>
  <c r="H247" i="51" s="1"/>
  <c r="G247" i="51" a="1"/>
  <c r="G247" i="51" s="1"/>
  <c r="F247" i="51" a="1"/>
  <c r="F247" i="51" s="1"/>
  <c r="E247" i="51" a="1"/>
  <c r="E247" i="51" s="1"/>
  <c r="D247" i="51" a="1"/>
  <c r="D247" i="51" s="1"/>
  <c r="S246" i="51" a="1"/>
  <c r="S246" i="51" s="1"/>
  <c r="R246" i="51" a="1"/>
  <c r="R246" i="51" s="1"/>
  <c r="Q246" i="51" a="1"/>
  <c r="Q246" i="51" s="1"/>
  <c r="P246" i="51" a="1"/>
  <c r="P246" i="51" s="1"/>
  <c r="O246" i="51" a="1"/>
  <c r="O246" i="51" s="1"/>
  <c r="N246" i="51" a="1"/>
  <c r="N246" i="51" s="1"/>
  <c r="M246" i="51" a="1"/>
  <c r="M246" i="51" s="1"/>
  <c r="L246" i="51" a="1"/>
  <c r="L246" i="51" s="1"/>
  <c r="K246" i="51" a="1"/>
  <c r="K246" i="51" s="1"/>
  <c r="J246" i="51" a="1"/>
  <c r="J246" i="51" s="1"/>
  <c r="I246" i="51" a="1"/>
  <c r="I246" i="51" s="1"/>
  <c r="H246" i="51" a="1"/>
  <c r="H246" i="51" s="1"/>
  <c r="G246" i="51" a="1"/>
  <c r="G246" i="51" s="1"/>
  <c r="F246" i="51" a="1"/>
  <c r="F246" i="51" s="1"/>
  <c r="E246" i="51" a="1"/>
  <c r="E246" i="51" s="1"/>
  <c r="D246" i="51" a="1"/>
  <c r="D246" i="51" s="1"/>
  <c r="S245" i="51" a="1"/>
  <c r="S245" i="51" s="1"/>
  <c r="R245" i="51" a="1"/>
  <c r="R245" i="51" s="1"/>
  <c r="Q245" i="51" a="1"/>
  <c r="Q245" i="51" s="1"/>
  <c r="P245" i="51" a="1"/>
  <c r="P245" i="51" s="1"/>
  <c r="O245" i="51" a="1"/>
  <c r="O245" i="51" s="1"/>
  <c r="N245" i="51" a="1"/>
  <c r="N245" i="51" s="1"/>
  <c r="M245" i="51" a="1"/>
  <c r="M245" i="51" s="1"/>
  <c r="L245" i="51" a="1"/>
  <c r="L245" i="51" s="1"/>
  <c r="K245" i="51" a="1"/>
  <c r="K245" i="51" s="1"/>
  <c r="J245" i="51" a="1"/>
  <c r="J245" i="51" s="1"/>
  <c r="I245" i="51" a="1"/>
  <c r="I245" i="51" s="1"/>
  <c r="H245" i="51" a="1"/>
  <c r="H245" i="51" s="1"/>
  <c r="G245" i="51" a="1"/>
  <c r="G245" i="51" s="1"/>
  <c r="F245" i="51" a="1"/>
  <c r="F245" i="51" s="1"/>
  <c r="E245" i="51" a="1"/>
  <c r="E245" i="51" s="1"/>
  <c r="D245" i="51" a="1"/>
  <c r="D245" i="51" s="1"/>
  <c r="S244" i="51" a="1"/>
  <c r="S244" i="51" s="1"/>
  <c r="R244" i="51" a="1"/>
  <c r="R244" i="51" s="1"/>
  <c r="Q244" i="51" a="1"/>
  <c r="Q244" i="51" s="1"/>
  <c r="P244" i="51" a="1"/>
  <c r="P244" i="51" s="1"/>
  <c r="O244" i="51" a="1"/>
  <c r="O244" i="51" s="1"/>
  <c r="N244" i="51" a="1"/>
  <c r="N244" i="51" s="1"/>
  <c r="M244" i="51" a="1"/>
  <c r="M244" i="51" s="1"/>
  <c r="L244" i="51" a="1"/>
  <c r="L244" i="51" s="1"/>
  <c r="K244" i="51" a="1"/>
  <c r="K244" i="51" s="1"/>
  <c r="J244" i="51" a="1"/>
  <c r="J244" i="51" s="1"/>
  <c r="I244" i="51" a="1"/>
  <c r="I244" i="51" s="1"/>
  <c r="H244" i="51" a="1"/>
  <c r="H244" i="51" s="1"/>
  <c r="G244" i="51" a="1"/>
  <c r="G244" i="51" s="1"/>
  <c r="F244" i="51" a="1"/>
  <c r="F244" i="51" s="1"/>
  <c r="E244" i="51" a="1"/>
  <c r="E244" i="51" s="1"/>
  <c r="D244" i="51" a="1"/>
  <c r="D244" i="51" s="1"/>
  <c r="S243" i="51" a="1"/>
  <c r="S243" i="51" s="1"/>
  <c r="R243" i="51" a="1"/>
  <c r="R243" i="51" s="1"/>
  <c r="Q243" i="51" a="1"/>
  <c r="Q243" i="51" s="1"/>
  <c r="P243" i="51" a="1"/>
  <c r="P243" i="51" s="1"/>
  <c r="O243" i="51" a="1"/>
  <c r="O243" i="51" s="1"/>
  <c r="N243" i="51" a="1"/>
  <c r="N243" i="51" s="1"/>
  <c r="M243" i="51" a="1"/>
  <c r="M243" i="51" s="1"/>
  <c r="L243" i="51" a="1"/>
  <c r="L243" i="51" s="1"/>
  <c r="K243" i="51" a="1"/>
  <c r="K243" i="51" s="1"/>
  <c r="J243" i="51" a="1"/>
  <c r="J243" i="51" s="1"/>
  <c r="I243" i="51" a="1"/>
  <c r="I243" i="51" s="1"/>
  <c r="H243" i="51" a="1"/>
  <c r="H243" i="51" s="1"/>
  <c r="G243" i="51" a="1"/>
  <c r="G243" i="51" s="1"/>
  <c r="F243" i="51" a="1"/>
  <c r="F243" i="51" s="1"/>
  <c r="E243" i="51" a="1"/>
  <c r="E243" i="51" s="1"/>
  <c r="D243" i="51" a="1"/>
  <c r="D243" i="51" s="1"/>
  <c r="S242" i="51" a="1"/>
  <c r="S242" i="51" s="1"/>
  <c r="R242" i="51" a="1"/>
  <c r="R242" i="51" s="1"/>
  <c r="Q242" i="51" a="1"/>
  <c r="Q242" i="51" s="1"/>
  <c r="P242" i="51" a="1"/>
  <c r="P242" i="51" s="1"/>
  <c r="O242" i="51" a="1"/>
  <c r="O242" i="51" s="1"/>
  <c r="N242" i="51" a="1"/>
  <c r="N242" i="51" s="1"/>
  <c r="M242" i="51" a="1"/>
  <c r="M242" i="51" s="1"/>
  <c r="L242" i="51" a="1"/>
  <c r="L242" i="51" s="1"/>
  <c r="K242" i="51" a="1"/>
  <c r="K242" i="51" s="1"/>
  <c r="J242" i="51" a="1"/>
  <c r="J242" i="51" s="1"/>
  <c r="I242" i="51" a="1"/>
  <c r="I242" i="51" s="1"/>
  <c r="H242" i="51" a="1"/>
  <c r="H242" i="51" s="1"/>
  <c r="G242" i="51" a="1"/>
  <c r="G242" i="51" s="1"/>
  <c r="F242" i="51" a="1"/>
  <c r="F242" i="51" s="1"/>
  <c r="E242" i="51" a="1"/>
  <c r="E242" i="51" s="1"/>
  <c r="D242" i="51" a="1"/>
  <c r="D242" i="51" s="1"/>
  <c r="S241" i="51" a="1"/>
  <c r="S241" i="51" s="1"/>
  <c r="R241" i="51" a="1"/>
  <c r="R241" i="51" s="1"/>
  <c r="Q241" i="51" a="1"/>
  <c r="Q241" i="51" s="1"/>
  <c r="P241" i="51" a="1"/>
  <c r="P241" i="51" s="1"/>
  <c r="O241" i="51" a="1"/>
  <c r="O241" i="51" s="1"/>
  <c r="N241" i="51" a="1"/>
  <c r="N241" i="51" s="1"/>
  <c r="M241" i="51" a="1"/>
  <c r="M241" i="51" s="1"/>
  <c r="L241" i="51" a="1"/>
  <c r="L241" i="51" s="1"/>
  <c r="K241" i="51" a="1"/>
  <c r="K241" i="51" s="1"/>
  <c r="J241" i="51" a="1"/>
  <c r="J241" i="51" s="1"/>
  <c r="I241" i="51" a="1"/>
  <c r="I241" i="51" s="1"/>
  <c r="H241" i="51" a="1"/>
  <c r="H241" i="51" s="1"/>
  <c r="G241" i="51" a="1"/>
  <c r="G241" i="51" s="1"/>
  <c r="F241" i="51" a="1"/>
  <c r="F241" i="51" s="1"/>
  <c r="E241" i="51" a="1"/>
  <c r="E241" i="51" s="1"/>
  <c r="D241" i="51" a="1"/>
  <c r="D241" i="51" s="1"/>
  <c r="S240" i="51" a="1"/>
  <c r="S240" i="51" s="1"/>
  <c r="R240" i="51" a="1"/>
  <c r="R240" i="51" s="1"/>
  <c r="Q240" i="51" a="1"/>
  <c r="Q240" i="51" s="1"/>
  <c r="P240" i="51" a="1"/>
  <c r="P240" i="51" s="1"/>
  <c r="O240" i="51" a="1"/>
  <c r="O240" i="51" s="1"/>
  <c r="N240" i="51" a="1"/>
  <c r="N240" i="51" s="1"/>
  <c r="M240" i="51" a="1"/>
  <c r="M240" i="51" s="1"/>
  <c r="L240" i="51" a="1"/>
  <c r="L240" i="51" s="1"/>
  <c r="K240" i="51" a="1"/>
  <c r="K240" i="51" s="1"/>
  <c r="J240" i="51" a="1"/>
  <c r="J240" i="51" s="1"/>
  <c r="I240" i="51" a="1"/>
  <c r="I240" i="51" s="1"/>
  <c r="H240" i="51" a="1"/>
  <c r="H240" i="51" s="1"/>
  <c r="G240" i="51" a="1"/>
  <c r="G240" i="51" s="1"/>
  <c r="F240" i="51" a="1"/>
  <c r="F240" i="51" s="1"/>
  <c r="E240" i="51" a="1"/>
  <c r="E240" i="51" s="1"/>
  <c r="D240" i="51" a="1"/>
  <c r="D240" i="51" s="1"/>
  <c r="S239" i="51" a="1"/>
  <c r="S239" i="51" s="1"/>
  <c r="R239" i="51" a="1"/>
  <c r="R239" i="51" s="1"/>
  <c r="Q239" i="51" a="1"/>
  <c r="Q239" i="51" s="1"/>
  <c r="P239" i="51" a="1"/>
  <c r="P239" i="51" s="1"/>
  <c r="O239" i="51" a="1"/>
  <c r="O239" i="51" s="1"/>
  <c r="N239" i="51" a="1"/>
  <c r="N239" i="51" s="1"/>
  <c r="M239" i="51" a="1"/>
  <c r="M239" i="51" s="1"/>
  <c r="L239" i="51" a="1"/>
  <c r="L239" i="51" s="1"/>
  <c r="K239" i="51" a="1"/>
  <c r="K239" i="51" s="1"/>
  <c r="J239" i="51" a="1"/>
  <c r="J239" i="51" s="1"/>
  <c r="I239" i="51" a="1"/>
  <c r="I239" i="51" s="1"/>
  <c r="H239" i="51" a="1"/>
  <c r="H239" i="51" s="1"/>
  <c r="G239" i="51" a="1"/>
  <c r="G239" i="51" s="1"/>
  <c r="F239" i="51" a="1"/>
  <c r="F239" i="51" s="1"/>
  <c r="E239" i="51" a="1"/>
  <c r="E239" i="51" s="1"/>
  <c r="D239" i="51" a="1"/>
  <c r="D239" i="51" s="1"/>
  <c r="S238" i="51" a="1"/>
  <c r="S238" i="51" s="1"/>
  <c r="R238" i="51" a="1"/>
  <c r="R238" i="51" s="1"/>
  <c r="Q238" i="51" a="1"/>
  <c r="Q238" i="51" s="1"/>
  <c r="P238" i="51" a="1"/>
  <c r="P238" i="51" s="1"/>
  <c r="O238" i="51" a="1"/>
  <c r="O238" i="51" s="1"/>
  <c r="N238" i="51" a="1"/>
  <c r="N238" i="51" s="1"/>
  <c r="M238" i="51" a="1"/>
  <c r="M238" i="51" s="1"/>
  <c r="L238" i="51" a="1"/>
  <c r="L238" i="51" s="1"/>
  <c r="K238" i="51" a="1"/>
  <c r="K238" i="51" s="1"/>
  <c r="J238" i="51" a="1"/>
  <c r="J238" i="51" s="1"/>
  <c r="I238" i="51" a="1"/>
  <c r="I238" i="51" s="1"/>
  <c r="H238" i="51" a="1"/>
  <c r="H238" i="51" s="1"/>
  <c r="G238" i="51" a="1"/>
  <c r="G238" i="51" s="1"/>
  <c r="F238" i="51" a="1"/>
  <c r="F238" i="51" s="1"/>
  <c r="E238" i="51" a="1"/>
  <c r="E238" i="51" s="1"/>
  <c r="D238" i="51" a="1"/>
  <c r="D238" i="51" s="1"/>
  <c r="S237" i="51" a="1"/>
  <c r="S237" i="51" s="1"/>
  <c r="R237" i="51" a="1"/>
  <c r="R237" i="51" s="1"/>
  <c r="Q237" i="51" a="1"/>
  <c r="Q237" i="51" s="1"/>
  <c r="P237" i="51" a="1"/>
  <c r="P237" i="51" s="1"/>
  <c r="O237" i="51" a="1"/>
  <c r="O237" i="51" s="1"/>
  <c r="N237" i="51" a="1"/>
  <c r="N237" i="51" s="1"/>
  <c r="M237" i="51" a="1"/>
  <c r="M237" i="51" s="1"/>
  <c r="L237" i="51" a="1"/>
  <c r="L237" i="51" s="1"/>
  <c r="K237" i="51" a="1"/>
  <c r="K237" i="51" s="1"/>
  <c r="J237" i="51" a="1"/>
  <c r="J237" i="51" s="1"/>
  <c r="I237" i="51" a="1"/>
  <c r="I237" i="51" s="1"/>
  <c r="H237" i="51" a="1"/>
  <c r="H237" i="51" s="1"/>
  <c r="G237" i="51" a="1"/>
  <c r="G237" i="51" s="1"/>
  <c r="F237" i="51" a="1"/>
  <c r="F237" i="51" s="1"/>
  <c r="E237" i="51" a="1"/>
  <c r="E237" i="51" s="1"/>
  <c r="D237" i="51" a="1"/>
  <c r="D237" i="51" s="1"/>
  <c r="S236" i="51" a="1"/>
  <c r="S236" i="51" s="1"/>
  <c r="R236" i="51" a="1"/>
  <c r="R236" i="51" s="1"/>
  <c r="Q236" i="51" a="1"/>
  <c r="Q236" i="51" s="1"/>
  <c r="P236" i="51" a="1"/>
  <c r="P236" i="51" s="1"/>
  <c r="O236" i="51" a="1"/>
  <c r="O236" i="51" s="1"/>
  <c r="N236" i="51" a="1"/>
  <c r="N236" i="51" s="1"/>
  <c r="M236" i="51" a="1"/>
  <c r="M236" i="51" s="1"/>
  <c r="L236" i="51" a="1"/>
  <c r="L236" i="51" s="1"/>
  <c r="K236" i="51" a="1"/>
  <c r="K236" i="51" s="1"/>
  <c r="J236" i="51" a="1"/>
  <c r="J236" i="51" s="1"/>
  <c r="I236" i="51" a="1"/>
  <c r="I236" i="51" s="1"/>
  <c r="H236" i="51" a="1"/>
  <c r="H236" i="51" s="1"/>
  <c r="G236" i="51" a="1"/>
  <c r="G236" i="51" s="1"/>
  <c r="F236" i="51" a="1"/>
  <c r="F236" i="51" s="1"/>
  <c r="E236" i="51" a="1"/>
  <c r="E236" i="51" s="1"/>
  <c r="D236" i="51" a="1"/>
  <c r="D236" i="51" s="1"/>
  <c r="S235" i="51" a="1"/>
  <c r="S235" i="51" s="1"/>
  <c r="R235" i="51" a="1"/>
  <c r="R235" i="51" s="1"/>
  <c r="Q235" i="51" a="1"/>
  <c r="Q235" i="51" s="1"/>
  <c r="P235" i="51" a="1"/>
  <c r="P235" i="51" s="1"/>
  <c r="O235" i="51" a="1"/>
  <c r="O235" i="51" s="1"/>
  <c r="N235" i="51" a="1"/>
  <c r="N235" i="51" s="1"/>
  <c r="M235" i="51" a="1"/>
  <c r="M235" i="51" s="1"/>
  <c r="L235" i="51" a="1"/>
  <c r="L235" i="51" s="1"/>
  <c r="K235" i="51" a="1"/>
  <c r="K235" i="51" s="1"/>
  <c r="J235" i="51" a="1"/>
  <c r="J235" i="51" s="1"/>
  <c r="I235" i="51" a="1"/>
  <c r="I235" i="51" s="1"/>
  <c r="H235" i="51" a="1"/>
  <c r="H235" i="51" s="1"/>
  <c r="G235" i="51" a="1"/>
  <c r="G235" i="51" s="1"/>
  <c r="F235" i="51" a="1"/>
  <c r="F235" i="51" s="1"/>
  <c r="E235" i="51" a="1"/>
  <c r="E235" i="51" s="1"/>
  <c r="D235" i="51" a="1"/>
  <c r="D235" i="51" s="1"/>
  <c r="S234" i="51" a="1"/>
  <c r="S234" i="51" s="1"/>
  <c r="R234" i="51" a="1"/>
  <c r="R234" i="51" s="1"/>
  <c r="Q234" i="51" a="1"/>
  <c r="Q234" i="51" s="1"/>
  <c r="P234" i="51" a="1"/>
  <c r="P234" i="51" s="1"/>
  <c r="O234" i="51" a="1"/>
  <c r="O234" i="51" s="1"/>
  <c r="N234" i="51" a="1"/>
  <c r="N234" i="51" s="1"/>
  <c r="M234" i="51" a="1"/>
  <c r="M234" i="51" s="1"/>
  <c r="L234" i="51" a="1"/>
  <c r="L234" i="51" s="1"/>
  <c r="K234" i="51" a="1"/>
  <c r="K234" i="51" s="1"/>
  <c r="J234" i="51" a="1"/>
  <c r="J234" i="51" s="1"/>
  <c r="I234" i="51" a="1"/>
  <c r="I234" i="51" s="1"/>
  <c r="H234" i="51" a="1"/>
  <c r="H234" i="51" s="1"/>
  <c r="G234" i="51" a="1"/>
  <c r="G234" i="51" s="1"/>
  <c r="F234" i="51" a="1"/>
  <c r="F234" i="51" s="1"/>
  <c r="E234" i="51" a="1"/>
  <c r="E234" i="51" s="1"/>
  <c r="D234" i="51" a="1"/>
  <c r="D234" i="51" s="1"/>
  <c r="S233" i="51" a="1"/>
  <c r="S233" i="51" s="1"/>
  <c r="R233" i="51" a="1"/>
  <c r="R233" i="51" s="1"/>
  <c r="Q233" i="51" a="1"/>
  <c r="Q233" i="51" s="1"/>
  <c r="P233" i="51" a="1"/>
  <c r="P233" i="51" s="1"/>
  <c r="O233" i="51" a="1"/>
  <c r="O233" i="51" s="1"/>
  <c r="N233" i="51" a="1"/>
  <c r="N233" i="51" s="1"/>
  <c r="M233" i="51" a="1"/>
  <c r="M233" i="51" s="1"/>
  <c r="L233" i="51" a="1"/>
  <c r="L233" i="51" s="1"/>
  <c r="K233" i="51" a="1"/>
  <c r="K233" i="51" s="1"/>
  <c r="J233" i="51" a="1"/>
  <c r="J233" i="51" s="1"/>
  <c r="I233" i="51" a="1"/>
  <c r="I233" i="51" s="1"/>
  <c r="H233" i="51" a="1"/>
  <c r="H233" i="51" s="1"/>
  <c r="G233" i="51" a="1"/>
  <c r="G233" i="51" s="1"/>
  <c r="F233" i="51" a="1"/>
  <c r="F233" i="51" s="1"/>
  <c r="E233" i="51" a="1"/>
  <c r="E233" i="51" s="1"/>
  <c r="D233" i="51" a="1"/>
  <c r="D233" i="51" s="1"/>
  <c r="S232" i="51" a="1"/>
  <c r="S232" i="51" s="1"/>
  <c r="R232" i="51" a="1"/>
  <c r="R232" i="51" s="1"/>
  <c r="Q232" i="51" a="1"/>
  <c r="Q232" i="51" s="1"/>
  <c r="P232" i="51" a="1"/>
  <c r="P232" i="51" s="1"/>
  <c r="O232" i="51" a="1"/>
  <c r="O232" i="51" s="1"/>
  <c r="N232" i="51" a="1"/>
  <c r="N232" i="51" s="1"/>
  <c r="M232" i="51" a="1"/>
  <c r="M232" i="51" s="1"/>
  <c r="L232" i="51" a="1"/>
  <c r="L232" i="51" s="1"/>
  <c r="K232" i="51" a="1"/>
  <c r="K232" i="51" s="1"/>
  <c r="J232" i="51" a="1"/>
  <c r="J232" i="51" s="1"/>
  <c r="I232" i="51" a="1"/>
  <c r="I232" i="51" s="1"/>
  <c r="H232" i="51" a="1"/>
  <c r="H232" i="51" s="1"/>
  <c r="G232" i="51" a="1"/>
  <c r="G232" i="51" s="1"/>
  <c r="F232" i="51" a="1"/>
  <c r="F232" i="51" s="1"/>
  <c r="E232" i="51" a="1"/>
  <c r="E232" i="51" s="1"/>
  <c r="D232" i="51" a="1"/>
  <c r="D232" i="51" s="1"/>
  <c r="D229" i="51" a="1"/>
  <c r="D229" i="51" s="1"/>
  <c r="D228" i="51" a="1"/>
  <c r="D228" i="51" s="1"/>
  <c r="D227" i="51" a="1"/>
  <c r="D227" i="51" s="1"/>
  <c r="E224" i="51" a="1"/>
  <c r="E224" i="51" s="1"/>
  <c r="D224" i="51" a="1"/>
  <c r="D224" i="51" s="1"/>
  <c r="E223" i="51" a="1"/>
  <c r="E223" i="51" s="1"/>
  <c r="D223" i="51" a="1"/>
  <c r="D223" i="51" s="1"/>
  <c r="E222" i="51" a="1"/>
  <c r="E222" i="51" s="1"/>
  <c r="D222" i="51" a="1"/>
  <c r="D222" i="51" s="1"/>
  <c r="E221" i="51" a="1"/>
  <c r="E221" i="51" s="1"/>
  <c r="D221" i="51" a="1"/>
  <c r="D221" i="51" s="1"/>
  <c r="E220" i="51" a="1"/>
  <c r="E220" i="51" s="1"/>
  <c r="D220" i="51" a="1"/>
  <c r="D220" i="51" s="1"/>
  <c r="E219" i="51" a="1"/>
  <c r="E219" i="51" s="1"/>
  <c r="D219" i="51" a="1"/>
  <c r="D219" i="51" s="1"/>
  <c r="E218" i="51" a="1"/>
  <c r="E218" i="51" s="1"/>
  <c r="D218" i="51" a="1"/>
  <c r="D218" i="51" s="1"/>
  <c r="E217" i="51" a="1"/>
  <c r="E217" i="51" s="1"/>
  <c r="D217" i="51" a="1"/>
  <c r="D217" i="51" s="1"/>
  <c r="E216" i="51" a="1"/>
  <c r="E216" i="51" s="1"/>
  <c r="D216" i="51" a="1"/>
  <c r="D216" i="51" s="1"/>
  <c r="E215" i="51" a="1"/>
  <c r="E215" i="51" s="1"/>
  <c r="D215" i="51" a="1"/>
  <c r="D215" i="51" s="1"/>
  <c r="E214" i="51" a="1"/>
  <c r="E214" i="51" s="1"/>
  <c r="D214" i="51" a="1"/>
  <c r="D214" i="51" s="1"/>
  <c r="E213" i="51" a="1"/>
  <c r="E213" i="51" s="1"/>
  <c r="D213" i="51" a="1"/>
  <c r="D213" i="51" s="1"/>
  <c r="D211" i="51" a="1"/>
  <c r="D211" i="51" s="1"/>
  <c r="E208" i="51" a="1"/>
  <c r="E208" i="51" s="1"/>
  <c r="D208" i="51" a="1"/>
  <c r="D208" i="51" s="1"/>
  <c r="E207" i="51" a="1"/>
  <c r="E207" i="51" s="1"/>
  <c r="D207" i="51" a="1"/>
  <c r="D207" i="51" s="1"/>
  <c r="D205" i="51" a="1"/>
  <c r="D205" i="51" s="1"/>
  <c r="D204" i="51" a="1"/>
  <c r="D204" i="51" s="1"/>
  <c r="D203" i="51" a="1"/>
  <c r="D203" i="51" s="1"/>
  <c r="D202" i="51" a="1"/>
  <c r="D202" i="51" s="1"/>
  <c r="H199" i="51" a="1"/>
  <c r="H199" i="51" s="1"/>
  <c r="G199" i="51" a="1"/>
  <c r="G199" i="51" s="1"/>
  <c r="F199" i="51" a="1"/>
  <c r="F199" i="51" s="1"/>
  <c r="E199" i="51" a="1"/>
  <c r="E199" i="51" s="1"/>
  <c r="D199" i="51" a="1"/>
  <c r="D199" i="51" s="1"/>
  <c r="H198" i="51" a="1"/>
  <c r="H198" i="51" s="1"/>
  <c r="G198" i="51" a="1"/>
  <c r="G198" i="51" s="1"/>
  <c r="F198" i="51" a="1"/>
  <c r="F198" i="51" s="1"/>
  <c r="E198" i="51" a="1"/>
  <c r="E198" i="51" s="1"/>
  <c r="D198" i="51" a="1"/>
  <c r="D198" i="51" s="1"/>
  <c r="H197" i="51" a="1"/>
  <c r="H197" i="51" s="1"/>
  <c r="G197" i="51" a="1"/>
  <c r="G197" i="51" s="1"/>
  <c r="F197" i="51" a="1"/>
  <c r="F197" i="51" s="1"/>
  <c r="E197" i="51" a="1"/>
  <c r="E197" i="51" s="1"/>
  <c r="D197" i="51" a="1"/>
  <c r="D197" i="51" s="1"/>
  <c r="H196" i="51" a="1"/>
  <c r="H196" i="51" s="1"/>
  <c r="G196" i="51" a="1"/>
  <c r="G196" i="51" s="1"/>
  <c r="F196" i="51" a="1"/>
  <c r="F196" i="51" s="1"/>
  <c r="E196" i="51" a="1"/>
  <c r="E196" i="51" s="1"/>
  <c r="D196" i="51" a="1"/>
  <c r="D196" i="51" s="1"/>
  <c r="H195" i="51" a="1"/>
  <c r="H195" i="51" s="1"/>
  <c r="G195" i="51" a="1"/>
  <c r="G195" i="51" s="1"/>
  <c r="F195" i="51" a="1"/>
  <c r="F195" i="51" s="1"/>
  <c r="E195" i="51" a="1"/>
  <c r="E195" i="51" s="1"/>
  <c r="D195" i="51" a="1"/>
  <c r="D195" i="51" s="1"/>
  <c r="H194" i="51" a="1"/>
  <c r="H194" i="51" s="1"/>
  <c r="G194" i="51" a="1"/>
  <c r="G194" i="51" s="1"/>
  <c r="F194" i="51" a="1"/>
  <c r="F194" i="51" s="1"/>
  <c r="E194" i="51" a="1"/>
  <c r="E194" i="51" s="1"/>
  <c r="D194" i="51" a="1"/>
  <c r="D194" i="51" s="1"/>
  <c r="H193" i="51" a="1"/>
  <c r="H193" i="51" s="1"/>
  <c r="G193" i="51" a="1"/>
  <c r="G193" i="51" s="1"/>
  <c r="F193" i="51" a="1"/>
  <c r="F193" i="51" s="1"/>
  <c r="E193" i="51" a="1"/>
  <c r="E193" i="51" s="1"/>
  <c r="D193" i="51" a="1"/>
  <c r="D193" i="51" s="1"/>
  <c r="H192" i="51" a="1"/>
  <c r="H192" i="51" s="1"/>
  <c r="G192" i="51" a="1"/>
  <c r="G192" i="51" s="1"/>
  <c r="F192" i="51" a="1"/>
  <c r="F192" i="51" s="1"/>
  <c r="E192" i="51" a="1"/>
  <c r="E192" i="51" s="1"/>
  <c r="D192" i="51" a="1"/>
  <c r="D192" i="51" s="1"/>
  <c r="H191" i="51" a="1"/>
  <c r="H191" i="51" s="1"/>
  <c r="G191" i="51" a="1"/>
  <c r="G191" i="51" s="1"/>
  <c r="F191" i="51" a="1"/>
  <c r="F191" i="51" s="1"/>
  <c r="E191" i="51" a="1"/>
  <c r="E191" i="51" s="1"/>
  <c r="D191" i="51" a="1"/>
  <c r="D191" i="51" s="1"/>
  <c r="H190" i="51" a="1"/>
  <c r="H190" i="51" s="1"/>
  <c r="G190" i="51" a="1"/>
  <c r="G190" i="51" s="1"/>
  <c r="F190" i="51" a="1"/>
  <c r="F190" i="51" s="1"/>
  <c r="E190" i="51" a="1"/>
  <c r="E190" i="51" s="1"/>
  <c r="D190" i="51" a="1"/>
  <c r="D190" i="51" s="1"/>
  <c r="H189" i="51" a="1"/>
  <c r="H189" i="51" s="1"/>
  <c r="G189" i="51" a="1"/>
  <c r="G189" i="51" s="1"/>
  <c r="F189" i="51" a="1"/>
  <c r="F189" i="51" s="1"/>
  <c r="E189" i="51" a="1"/>
  <c r="E189" i="51" s="1"/>
  <c r="D189" i="51" a="1"/>
  <c r="D189" i="51" s="1"/>
  <c r="H188" i="51" a="1"/>
  <c r="H188" i="51" s="1"/>
  <c r="G188" i="51" a="1"/>
  <c r="G188" i="51" s="1"/>
  <c r="F188" i="51" a="1"/>
  <c r="F188" i="51" s="1"/>
  <c r="D9" i="67" s="1"/>
  <c r="E188" i="51" a="1"/>
  <c r="E188" i="51" s="1"/>
  <c r="D188" i="51" a="1"/>
  <c r="D188" i="51" s="1"/>
  <c r="H187" i="51" a="1"/>
  <c r="H187" i="51" s="1"/>
  <c r="G187" i="51" a="1"/>
  <c r="G187" i="51" s="1"/>
  <c r="F187" i="51" a="1"/>
  <c r="F187" i="51" s="1"/>
  <c r="D8" i="67" s="1"/>
  <c r="E187" i="51" a="1"/>
  <c r="E187" i="51" s="1"/>
  <c r="D187" i="51" a="1"/>
  <c r="D187" i="51" s="1"/>
  <c r="D181" i="51" a="1"/>
  <c r="D181" i="51" s="1"/>
  <c r="D180" i="51" a="1"/>
  <c r="D180" i="51" s="1"/>
  <c r="D179" i="51" a="1"/>
  <c r="D179" i="51" s="1"/>
  <c r="D178" i="51" a="1"/>
  <c r="D178" i="51" s="1"/>
  <c r="E175" i="51" a="1"/>
  <c r="E175" i="51" s="1"/>
  <c r="D175" i="51" a="1"/>
  <c r="D175" i="51" s="1"/>
  <c r="D174" i="51" a="1"/>
  <c r="D174" i="51" s="1"/>
  <c r="D173" i="51" a="1"/>
  <c r="D173" i="51" s="1"/>
  <c r="D170" i="51" a="1"/>
  <c r="D170" i="51" s="1"/>
  <c r="D169" i="51" a="1"/>
  <c r="D169" i="51" s="1"/>
  <c r="D168" i="51" a="1"/>
  <c r="D168" i="51" s="1"/>
  <c r="D167" i="51" a="1"/>
  <c r="D167" i="51" s="1"/>
  <c r="D164" i="51" a="1"/>
  <c r="D164" i="51" s="1"/>
  <c r="D163" i="51" a="1"/>
  <c r="D163" i="51" s="1"/>
  <c r="D162" i="51" a="1"/>
  <c r="D162" i="51" s="1"/>
  <c r="D161" i="51" a="1"/>
  <c r="D161" i="51" s="1"/>
  <c r="E158" i="51" a="1"/>
  <c r="E158" i="51" s="1"/>
  <c r="D158" i="51" a="1"/>
  <c r="D158" i="51" s="1"/>
  <c r="E157" i="51" a="1"/>
  <c r="E157" i="51" s="1"/>
  <c r="D157" i="51" a="1"/>
  <c r="D157" i="51" s="1"/>
  <c r="E156" i="51" a="1"/>
  <c r="E156" i="51" s="1"/>
  <c r="D156" i="51" a="1"/>
  <c r="D156" i="51" s="1"/>
  <c r="E155" i="51" a="1"/>
  <c r="E155" i="51" s="1"/>
  <c r="D155" i="51" a="1"/>
  <c r="D155" i="51" s="1"/>
  <c r="E154" i="51" a="1"/>
  <c r="E154" i="51" s="1"/>
  <c r="D154" i="51" a="1"/>
  <c r="D154" i="51" s="1"/>
  <c r="D151" i="51" a="1"/>
  <c r="D151" i="51" s="1"/>
  <c r="D150" i="51" a="1"/>
  <c r="D150" i="51" s="1"/>
  <c r="E147" i="51" a="1"/>
  <c r="E147" i="51" s="1"/>
  <c r="D147" i="51" a="1"/>
  <c r="D147" i="51" s="1"/>
  <c r="E146" i="51" a="1"/>
  <c r="E146" i="51" s="1"/>
  <c r="D146" i="51" a="1"/>
  <c r="D146" i="51" s="1"/>
  <c r="E145" i="51" a="1"/>
  <c r="E145" i="51" s="1"/>
  <c r="D145" i="51" a="1"/>
  <c r="D145" i="51" s="1"/>
  <c r="E144" i="51" a="1"/>
  <c r="E144" i="51" s="1"/>
  <c r="D144" i="51" a="1"/>
  <c r="D144" i="51" s="1"/>
  <c r="E143" i="51" a="1"/>
  <c r="E143" i="51" s="1"/>
  <c r="D143" i="51" a="1"/>
  <c r="D143" i="51" s="1"/>
  <c r="D141" i="51" a="1"/>
  <c r="D141" i="51" s="1"/>
  <c r="D140" i="51" a="1"/>
  <c r="D140" i="51" s="1"/>
  <c r="D139" i="51" a="1"/>
  <c r="D139" i="51" s="1"/>
  <c r="E136" i="51" a="1"/>
  <c r="E136" i="51" s="1"/>
  <c r="D136" i="51" a="1"/>
  <c r="D136" i="51" s="1"/>
  <c r="E135" i="51" a="1"/>
  <c r="E135" i="51" s="1"/>
  <c r="D135" i="51" a="1"/>
  <c r="D135" i="51" s="1"/>
  <c r="D133" i="51" a="1"/>
  <c r="D133" i="51" s="1"/>
  <c r="D132" i="51" a="1"/>
  <c r="D132" i="51" s="1"/>
  <c r="E129" i="51" a="1"/>
  <c r="E129" i="51" s="1"/>
  <c r="D129" i="51" a="1"/>
  <c r="D129" i="51" s="1"/>
  <c r="E128" i="51" a="1"/>
  <c r="E128" i="51" s="1"/>
  <c r="D128" i="51" a="1"/>
  <c r="D128" i="51" s="1"/>
  <c r="D125" i="51" a="1"/>
  <c r="D125" i="51" s="1"/>
  <c r="D124" i="51" a="1"/>
  <c r="D124" i="51" s="1"/>
  <c r="G121" i="51" a="1"/>
  <c r="G121" i="51" s="1"/>
  <c r="F121" i="51" a="1"/>
  <c r="F121" i="51" s="1"/>
  <c r="E121" i="51" a="1"/>
  <c r="E121" i="51" s="1"/>
  <c r="D121" i="51" a="1"/>
  <c r="D121" i="51" s="1"/>
  <c r="G120" i="51" a="1"/>
  <c r="G120" i="51" s="1"/>
  <c r="F120" i="51" a="1"/>
  <c r="F120" i="51" s="1"/>
  <c r="E120" i="51" a="1"/>
  <c r="E120" i="51" s="1"/>
  <c r="D120" i="51" a="1"/>
  <c r="D120" i="51" s="1"/>
  <c r="D117" i="51" a="1"/>
  <c r="D117" i="51" s="1"/>
  <c r="D116" i="51" a="1"/>
  <c r="D116" i="51" s="1"/>
  <c r="D115" i="51" a="1"/>
  <c r="D115" i="51" s="1"/>
  <c r="G112" i="51" a="1"/>
  <c r="G112" i="51" s="1"/>
  <c r="F112" i="51" a="1"/>
  <c r="F112" i="51" s="1"/>
  <c r="E112" i="51" a="1"/>
  <c r="E112" i="51" s="1"/>
  <c r="D112" i="51" a="1"/>
  <c r="D112" i="51" s="1"/>
  <c r="G111" i="51" a="1"/>
  <c r="G111" i="51" s="1"/>
  <c r="F111" i="51" a="1"/>
  <c r="F111" i="51" s="1"/>
  <c r="E111" i="51" a="1"/>
  <c r="E111" i="51" s="1"/>
  <c r="D111" i="51" a="1"/>
  <c r="D111" i="51" s="1"/>
  <c r="G110" i="51" a="1"/>
  <c r="G110" i="51" s="1"/>
  <c r="F110" i="51" a="1"/>
  <c r="F110" i="51" s="1"/>
  <c r="E110" i="51" a="1"/>
  <c r="E110" i="51" s="1"/>
  <c r="D110" i="51" a="1"/>
  <c r="D110" i="51" s="1"/>
  <c r="D107" i="51" a="1"/>
  <c r="D107" i="51" s="1"/>
  <c r="D106" i="51" a="1"/>
  <c r="D106" i="51" s="1"/>
  <c r="D105" i="51" a="1"/>
  <c r="D105" i="51" s="1"/>
  <c r="D99" i="51" a="1"/>
  <c r="D99" i="51" s="1"/>
  <c r="S97" i="51" a="1"/>
  <c r="S97" i="51" s="1"/>
  <c r="R97" i="51" a="1"/>
  <c r="R97" i="51" s="1"/>
  <c r="Q97" i="51" a="1"/>
  <c r="Q97" i="51" s="1"/>
  <c r="P97" i="51" a="1"/>
  <c r="P97" i="51" s="1"/>
  <c r="O97" i="51" a="1"/>
  <c r="O97" i="51" s="1"/>
  <c r="N97" i="51" a="1"/>
  <c r="N97" i="51" s="1"/>
  <c r="M97" i="51" a="1"/>
  <c r="M97" i="51" s="1"/>
  <c r="L97" i="51" a="1"/>
  <c r="L97" i="51" s="1"/>
  <c r="K97" i="51" a="1"/>
  <c r="K97" i="51" s="1"/>
  <c r="J97" i="51" a="1"/>
  <c r="J97" i="51" s="1"/>
  <c r="I97" i="51" a="1"/>
  <c r="I97" i="51" s="1"/>
  <c r="H97" i="51" a="1"/>
  <c r="H97" i="51" s="1"/>
  <c r="G97" i="51" a="1"/>
  <c r="G97" i="51" s="1"/>
  <c r="F97" i="51" a="1"/>
  <c r="F97" i="51" s="1"/>
  <c r="E97" i="51" a="1"/>
  <c r="E97" i="51" s="1"/>
  <c r="D97" i="51" a="1"/>
  <c r="D97" i="51" s="1"/>
  <c r="S96" i="51" a="1"/>
  <c r="S96" i="51" s="1"/>
  <c r="R96" i="51" a="1"/>
  <c r="R96" i="51" s="1"/>
  <c r="Q96" i="51" a="1"/>
  <c r="Q96" i="51" s="1"/>
  <c r="P96" i="51" a="1"/>
  <c r="P96" i="51" s="1"/>
  <c r="O96" i="51" a="1"/>
  <c r="O96" i="51" s="1"/>
  <c r="N96" i="51" a="1"/>
  <c r="N96" i="51" s="1"/>
  <c r="M96" i="51" a="1"/>
  <c r="M96" i="51" s="1"/>
  <c r="L96" i="51" a="1"/>
  <c r="L96" i="51" s="1"/>
  <c r="K96" i="51" a="1"/>
  <c r="K96" i="51" s="1"/>
  <c r="J96" i="51" a="1"/>
  <c r="J96" i="51" s="1"/>
  <c r="I96" i="51" a="1"/>
  <c r="I96" i="51" s="1"/>
  <c r="H96" i="51" a="1"/>
  <c r="H96" i="51" s="1"/>
  <c r="G96" i="51" a="1"/>
  <c r="G96" i="51" s="1"/>
  <c r="F96" i="51" a="1"/>
  <c r="F96" i="51" s="1"/>
  <c r="E96" i="51" a="1"/>
  <c r="E96" i="51" s="1"/>
  <c r="D96" i="51" a="1"/>
  <c r="D96" i="51" s="1"/>
  <c r="S95" i="51" a="1"/>
  <c r="S95" i="51" s="1"/>
  <c r="R95" i="51" a="1"/>
  <c r="R95" i="51" s="1"/>
  <c r="Q95" i="51" a="1"/>
  <c r="Q95" i="51" s="1"/>
  <c r="P95" i="51" a="1"/>
  <c r="P95" i="51" s="1"/>
  <c r="O95" i="51" a="1"/>
  <c r="O95" i="51" s="1"/>
  <c r="N95" i="51" a="1"/>
  <c r="N95" i="51" s="1"/>
  <c r="M95" i="51" a="1"/>
  <c r="M95" i="51" s="1"/>
  <c r="L95" i="51" a="1"/>
  <c r="L95" i="51" s="1"/>
  <c r="K95" i="51" a="1"/>
  <c r="K95" i="51" s="1"/>
  <c r="J95" i="51" a="1"/>
  <c r="J95" i="51" s="1"/>
  <c r="I95" i="51" a="1"/>
  <c r="I95" i="51" s="1"/>
  <c r="H95" i="51" a="1"/>
  <c r="H95" i="51" s="1"/>
  <c r="G95" i="51" a="1"/>
  <c r="G95" i="51" s="1"/>
  <c r="F95" i="51" a="1"/>
  <c r="F95" i="51" s="1"/>
  <c r="E95" i="51" a="1"/>
  <c r="E95" i="51" s="1"/>
  <c r="D95" i="51" a="1"/>
  <c r="D95" i="51" s="1"/>
  <c r="S94" i="51" a="1"/>
  <c r="S94" i="51" s="1"/>
  <c r="R94" i="51" a="1"/>
  <c r="R94" i="51" s="1"/>
  <c r="Q94" i="51" a="1"/>
  <c r="Q94" i="51" s="1"/>
  <c r="P94" i="51" a="1"/>
  <c r="P94" i="51" s="1"/>
  <c r="O94" i="51" a="1"/>
  <c r="O94" i="51" s="1"/>
  <c r="N94" i="51" a="1"/>
  <c r="N94" i="51" s="1"/>
  <c r="M94" i="51" a="1"/>
  <c r="M94" i="51" s="1"/>
  <c r="L94" i="51" a="1"/>
  <c r="L94" i="51" s="1"/>
  <c r="K94" i="51" a="1"/>
  <c r="K94" i="51" s="1"/>
  <c r="J94" i="51" a="1"/>
  <c r="J94" i="51" s="1"/>
  <c r="I94" i="51" a="1"/>
  <c r="I94" i="51" s="1"/>
  <c r="H94" i="51" a="1"/>
  <c r="H94" i="51" s="1"/>
  <c r="G94" i="51" a="1"/>
  <c r="G94" i="51" s="1"/>
  <c r="F94" i="51" a="1"/>
  <c r="F94" i="51" s="1"/>
  <c r="E94" i="51" a="1"/>
  <c r="E94" i="51" s="1"/>
  <c r="D94" i="51" a="1"/>
  <c r="D94" i="51" s="1"/>
  <c r="S93" i="51" a="1"/>
  <c r="S93" i="51" s="1"/>
  <c r="R93" i="51" a="1"/>
  <c r="R93" i="51" s="1"/>
  <c r="Q93" i="51" a="1"/>
  <c r="Q93" i="51" s="1"/>
  <c r="P93" i="51" a="1"/>
  <c r="P93" i="51" s="1"/>
  <c r="O93" i="51" a="1"/>
  <c r="O93" i="51" s="1"/>
  <c r="N93" i="51" a="1"/>
  <c r="N93" i="51" s="1"/>
  <c r="M93" i="51" a="1"/>
  <c r="M93" i="51" s="1"/>
  <c r="L93" i="51" a="1"/>
  <c r="L93" i="51" s="1"/>
  <c r="K93" i="51" a="1"/>
  <c r="K93" i="51" s="1"/>
  <c r="J93" i="51" a="1"/>
  <c r="J93" i="51" s="1"/>
  <c r="I93" i="51" a="1"/>
  <c r="I93" i="51" s="1"/>
  <c r="H93" i="51" a="1"/>
  <c r="H93" i="51" s="1"/>
  <c r="G93" i="51" a="1"/>
  <c r="G93" i="51" s="1"/>
  <c r="F93" i="51" a="1"/>
  <c r="F93" i="51" s="1"/>
  <c r="E93" i="51" a="1"/>
  <c r="E93" i="51" s="1"/>
  <c r="D93" i="51" a="1"/>
  <c r="D93" i="51" s="1"/>
  <c r="S92" i="51" a="1"/>
  <c r="S92" i="51" s="1"/>
  <c r="R92" i="51" a="1"/>
  <c r="R92" i="51" s="1"/>
  <c r="Q92" i="51" a="1"/>
  <c r="Q92" i="51" s="1"/>
  <c r="P92" i="51" a="1"/>
  <c r="P92" i="51" s="1"/>
  <c r="O92" i="51" a="1"/>
  <c r="O92" i="51" s="1"/>
  <c r="N92" i="51" a="1"/>
  <c r="N92" i="51" s="1"/>
  <c r="M92" i="51" a="1"/>
  <c r="M92" i="51" s="1"/>
  <c r="L92" i="51" a="1"/>
  <c r="L92" i="51" s="1"/>
  <c r="K92" i="51" a="1"/>
  <c r="K92" i="51" s="1"/>
  <c r="J92" i="51" a="1"/>
  <c r="J92" i="51" s="1"/>
  <c r="I92" i="51" a="1"/>
  <c r="I92" i="51" s="1"/>
  <c r="H92" i="51" a="1"/>
  <c r="H92" i="51" s="1"/>
  <c r="G92" i="51" a="1"/>
  <c r="G92" i="51" s="1"/>
  <c r="F92" i="51" a="1"/>
  <c r="F92" i="51" s="1"/>
  <c r="E92" i="51" a="1"/>
  <c r="E92" i="51" s="1"/>
  <c r="D92" i="51" a="1"/>
  <c r="D92" i="51" s="1"/>
  <c r="S91" i="51" a="1"/>
  <c r="S91" i="51" s="1"/>
  <c r="R91" i="51" a="1"/>
  <c r="R91" i="51" s="1"/>
  <c r="Q91" i="51" a="1"/>
  <c r="Q91" i="51" s="1"/>
  <c r="P91" i="51" a="1"/>
  <c r="P91" i="51" s="1"/>
  <c r="O91" i="51" a="1"/>
  <c r="O91" i="51" s="1"/>
  <c r="N91" i="51" a="1"/>
  <c r="N91" i="51" s="1"/>
  <c r="M91" i="51" a="1"/>
  <c r="M91" i="51" s="1"/>
  <c r="L91" i="51" a="1"/>
  <c r="L91" i="51" s="1"/>
  <c r="K91" i="51" a="1"/>
  <c r="K91" i="51" s="1"/>
  <c r="J91" i="51" a="1"/>
  <c r="J91" i="51" s="1"/>
  <c r="I91" i="51" a="1"/>
  <c r="I91" i="51" s="1"/>
  <c r="H91" i="51" a="1"/>
  <c r="H91" i="51" s="1"/>
  <c r="G91" i="51" a="1"/>
  <c r="G91" i="51" s="1"/>
  <c r="F91" i="51" a="1"/>
  <c r="F91" i="51" s="1"/>
  <c r="E91" i="51" a="1"/>
  <c r="E91" i="51" s="1"/>
  <c r="D91" i="51" a="1"/>
  <c r="D91" i="51" s="1"/>
  <c r="S90" i="51" a="1"/>
  <c r="S90" i="51" s="1"/>
  <c r="R90" i="51" a="1"/>
  <c r="R90" i="51" s="1"/>
  <c r="Q90" i="51" a="1"/>
  <c r="Q90" i="51" s="1"/>
  <c r="P90" i="51" a="1"/>
  <c r="P90" i="51" s="1"/>
  <c r="O90" i="51" a="1"/>
  <c r="O90" i="51" s="1"/>
  <c r="N90" i="51" a="1"/>
  <c r="N90" i="51" s="1"/>
  <c r="M90" i="51" a="1"/>
  <c r="M90" i="51" s="1"/>
  <c r="L90" i="51" a="1"/>
  <c r="L90" i="51" s="1"/>
  <c r="K90" i="51" a="1"/>
  <c r="K90" i="51" s="1"/>
  <c r="J90" i="51" a="1"/>
  <c r="J90" i="51" s="1"/>
  <c r="I90" i="51" a="1"/>
  <c r="I90" i="51" s="1"/>
  <c r="H90" i="51" a="1"/>
  <c r="H90" i="51" s="1"/>
  <c r="G90" i="51" a="1"/>
  <c r="G90" i="51" s="1"/>
  <c r="F90" i="51" a="1"/>
  <c r="F90" i="51" s="1"/>
  <c r="E90" i="51" a="1"/>
  <c r="E90" i="51" s="1"/>
  <c r="D90" i="51" a="1"/>
  <c r="D90" i="51" s="1"/>
  <c r="D83" i="51" a="1"/>
  <c r="D83" i="51" s="1"/>
  <c r="D82" i="51" a="1"/>
  <c r="D82" i="51" s="1"/>
  <c r="D81" i="51" a="1"/>
  <c r="D81" i="51" s="1"/>
  <c r="E77" i="51" a="1"/>
  <c r="E77" i="51" s="1"/>
  <c r="D77" i="51" a="1"/>
  <c r="D77" i="51" s="1"/>
  <c r="E76" i="51" a="1"/>
  <c r="E76" i="51" s="1"/>
  <c r="D76" i="51" a="1"/>
  <c r="D76" i="51" s="1"/>
  <c r="E75" i="51" a="1"/>
  <c r="E75" i="51" s="1"/>
  <c r="D75" i="51" a="1"/>
  <c r="D75" i="51" s="1"/>
  <c r="E74" i="51" a="1"/>
  <c r="E74" i="51" s="1"/>
  <c r="D74" i="51" a="1"/>
  <c r="D74" i="51" s="1"/>
  <c r="E73" i="51" a="1"/>
  <c r="E73" i="51" s="1"/>
  <c r="D73" i="51" a="1"/>
  <c r="D73" i="51" s="1"/>
  <c r="E72" i="51" a="1"/>
  <c r="E72" i="51" s="1"/>
  <c r="D72" i="51" a="1"/>
  <c r="D72" i="51" s="1"/>
  <c r="E71" i="51" a="1"/>
  <c r="E71" i="51" s="1"/>
  <c r="D71" i="51" a="1"/>
  <c r="D71" i="51" s="1"/>
  <c r="E70" i="51" a="1"/>
  <c r="E70" i="51" s="1"/>
  <c r="D70" i="51" a="1"/>
  <c r="D70" i="51" s="1"/>
  <c r="E69" i="51" a="1"/>
  <c r="E69" i="51" s="1"/>
  <c r="D69" i="51" a="1"/>
  <c r="D69" i="51" s="1"/>
  <c r="E68" i="51" a="1"/>
  <c r="E68" i="51" s="1"/>
  <c r="D68" i="51" a="1"/>
  <c r="D68" i="51" s="1"/>
  <c r="E67" i="51" a="1"/>
  <c r="E67" i="51" s="1"/>
  <c r="D67" i="51" a="1"/>
  <c r="D67" i="51" s="1"/>
  <c r="E66" i="51" a="1"/>
  <c r="E66" i="51" s="1"/>
  <c r="D66" i="51" a="1"/>
  <c r="D66" i="51" s="1"/>
  <c r="E65" i="51" a="1"/>
  <c r="E65" i="51" s="1"/>
  <c r="D65" i="51" a="1"/>
  <c r="D65" i="51" s="1"/>
  <c r="E64" i="51" a="1"/>
  <c r="E64" i="51" s="1"/>
  <c r="D64" i="51" a="1"/>
  <c r="D64" i="51" s="1"/>
  <c r="D59" i="51" a="1"/>
  <c r="D59" i="51" s="1"/>
  <c r="D58" i="51" a="1"/>
  <c r="D58" i="51" s="1"/>
  <c r="D57" i="51" a="1"/>
  <c r="D57" i="51" s="1"/>
  <c r="G54" i="51" a="1"/>
  <c r="G54" i="51" s="1"/>
  <c r="F54" i="51" a="1"/>
  <c r="F54" i="51" s="1"/>
  <c r="E54" i="51" a="1"/>
  <c r="E54" i="51" s="1"/>
  <c r="D54" i="51" a="1"/>
  <c r="D54" i="51" s="1"/>
  <c r="G53" i="51" a="1"/>
  <c r="G53" i="51" s="1"/>
  <c r="F53" i="51" a="1"/>
  <c r="F53" i="51" s="1"/>
  <c r="E53" i="51" a="1"/>
  <c r="E53" i="51" s="1"/>
  <c r="D53" i="51" a="1"/>
  <c r="D53" i="51" s="1"/>
  <c r="G52" i="51" a="1"/>
  <c r="G52" i="51" s="1"/>
  <c r="F52" i="51" a="1"/>
  <c r="F52" i="51" s="1"/>
  <c r="E52" i="51" a="1"/>
  <c r="E52" i="51" s="1"/>
  <c r="D52" i="51" a="1"/>
  <c r="D52" i="51" s="1"/>
  <c r="G51" i="51" a="1"/>
  <c r="G51" i="51" s="1"/>
  <c r="F51" i="51" a="1"/>
  <c r="F51" i="51" s="1"/>
  <c r="E51" i="51" a="1"/>
  <c r="E51" i="51" s="1"/>
  <c r="D51" i="51" a="1"/>
  <c r="D51" i="51" s="1"/>
  <c r="G50" i="51" a="1"/>
  <c r="G50" i="51" s="1"/>
  <c r="F50" i="51" a="1"/>
  <c r="F50" i="51" s="1"/>
  <c r="E50" i="51" a="1"/>
  <c r="E50" i="51" s="1"/>
  <c r="D50" i="51" a="1"/>
  <c r="D50" i="51" s="1"/>
  <c r="G49" i="51" a="1"/>
  <c r="G49" i="51" s="1"/>
  <c r="F49" i="51" a="1"/>
  <c r="F49" i="51" s="1"/>
  <c r="E49" i="51" a="1"/>
  <c r="E49" i="51" s="1"/>
  <c r="D49" i="51" a="1"/>
  <c r="D49" i="51" s="1"/>
  <c r="G48" i="51" a="1"/>
  <c r="G48" i="51" s="1"/>
  <c r="F48" i="51" a="1"/>
  <c r="F48" i="51" s="1"/>
  <c r="E48" i="51" a="1"/>
  <c r="E48" i="51" s="1"/>
  <c r="D48" i="51" a="1"/>
  <c r="D48" i="51" s="1"/>
  <c r="D46" i="51" a="1"/>
  <c r="D46" i="51" s="1"/>
  <c r="D45" i="51" a="1"/>
  <c r="D45" i="51" s="1"/>
  <c r="E43" i="51" a="1"/>
  <c r="E43" i="51" s="1"/>
  <c r="D43" i="51" a="1"/>
  <c r="D43" i="51" s="1"/>
  <c r="E42" i="51" a="1"/>
  <c r="E42" i="51" s="1"/>
  <c r="D42" i="51" a="1"/>
  <c r="D42" i="51" s="1"/>
  <c r="E41" i="51" a="1"/>
  <c r="E41" i="51" s="1"/>
  <c r="D41" i="51" a="1"/>
  <c r="D41" i="51" s="1"/>
  <c r="E40" i="51" a="1"/>
  <c r="E40" i="51" s="1"/>
  <c r="D40" i="51" a="1"/>
  <c r="D40" i="51" s="1"/>
  <c r="E39" i="51" a="1"/>
  <c r="E39" i="51" s="1"/>
  <c r="D39" i="51" a="1"/>
  <c r="D39" i="51" s="1"/>
  <c r="E38" i="51" a="1"/>
  <c r="E38" i="51" s="1"/>
  <c r="D38" i="51" a="1"/>
  <c r="D38" i="51" s="1"/>
  <c r="E37" i="51" a="1"/>
  <c r="E37" i="51" s="1"/>
  <c r="D37" i="51" a="1"/>
  <c r="D37" i="51" s="1"/>
  <c r="D35" i="51" a="1"/>
  <c r="D35" i="51" s="1"/>
  <c r="D34" i="51" a="1"/>
  <c r="D34" i="51" s="1"/>
  <c r="D30" i="51" a="1"/>
  <c r="D30" i="51" s="1"/>
  <c r="D29" i="51" a="1"/>
  <c r="D29" i="51" s="1"/>
  <c r="D28" i="51" a="1"/>
  <c r="D28" i="51" s="1"/>
  <c r="D27" i="51" a="1"/>
  <c r="D27" i="51" s="1"/>
  <c r="D26" i="51" a="1"/>
  <c r="D26" i="51" s="1"/>
  <c r="D25" i="51" a="1"/>
  <c r="D25" i="51" s="1"/>
  <c r="D24" i="51" a="1"/>
  <c r="D24" i="51" s="1"/>
  <c r="D23" i="51" a="1"/>
  <c r="D23" i="51" s="1"/>
  <c r="D22" i="51" a="1"/>
  <c r="D22" i="51" s="1"/>
  <c r="D21" i="51" a="1"/>
  <c r="D21" i="51" s="1"/>
  <c r="D19" i="51" a="1"/>
  <c r="D19" i="51" s="1"/>
  <c r="D18" i="51" a="1"/>
  <c r="D18" i="51" s="1"/>
  <c r="F14" i="51" a="1"/>
  <c r="F14" i="51" s="1"/>
  <c r="E14" i="51" a="1"/>
  <c r="E14" i="51" s="1"/>
  <c r="D14" i="51" a="1"/>
  <c r="D14" i="51" s="1"/>
  <c r="F13" i="51" a="1"/>
  <c r="F13" i="51" s="1"/>
  <c r="E13" i="51" a="1"/>
  <c r="E13" i="51" s="1"/>
  <c r="D13" i="51" a="1"/>
  <c r="D13" i="51" s="1"/>
  <c r="F12" i="51" a="1"/>
  <c r="F12" i="51" s="1"/>
  <c r="E12" i="51" a="1"/>
  <c r="E12" i="51" s="1"/>
  <c r="D12" i="51" a="1"/>
  <c r="D12" i="51" s="1"/>
  <c r="F11" i="51" a="1"/>
  <c r="F11" i="51" s="1"/>
  <c r="E11" i="51" a="1"/>
  <c r="E11" i="51" s="1"/>
  <c r="D11" i="51" a="1"/>
  <c r="D11" i="51" s="1"/>
  <c r="F10" i="51" a="1"/>
  <c r="F10" i="51" s="1"/>
  <c r="E10" i="51" a="1"/>
  <c r="E10" i="51" s="1"/>
  <c r="D10" i="51" a="1"/>
  <c r="D10" i="51" s="1"/>
  <c r="F9" i="51" a="1"/>
  <c r="F9" i="51" s="1"/>
  <c r="E9" i="51" a="1"/>
  <c r="E9" i="51" s="1"/>
  <c r="D9" i="51" a="1"/>
  <c r="D9" i="51" s="1"/>
  <c r="F8" i="51" a="1"/>
  <c r="F8" i="51" s="1"/>
  <c r="E8" i="51" a="1"/>
  <c r="E8" i="51" s="1"/>
  <c r="D8" i="51" a="1"/>
  <c r="D8" i="51" s="1"/>
  <c r="F7" i="51" a="1"/>
  <c r="F7" i="51" s="1"/>
  <c r="E7" i="51" a="1"/>
  <c r="E7" i="51" s="1"/>
  <c r="D7" i="51" a="1"/>
  <c r="D7" i="51" s="1"/>
  <c r="D5" i="51" a="1"/>
  <c r="D5" i="51" s="1"/>
  <c r="E20" i="41"/>
  <c r="E22" i="41"/>
  <c r="E28" i="41"/>
  <c r="E36" i="41"/>
  <c r="E35" i="41"/>
  <c r="N578" i="19" a="1"/>
  <c r="N578" i="19" s="1"/>
  <c r="L575" i="19" a="1"/>
  <c r="L575" i="19" s="1"/>
  <c r="P569" i="19" a="1"/>
  <c r="P569" i="19" s="1"/>
  <c r="L569" i="19" a="1"/>
  <c r="L569" i="19" s="1"/>
  <c r="O79" i="34"/>
  <c r="E79" i="34"/>
  <c r="O42" i="34"/>
  <c r="E42" i="34"/>
  <c r="O7" i="34"/>
  <c r="E7" i="34"/>
  <c r="E540" i="19"/>
  <c r="E523" i="19"/>
  <c r="E508" i="19"/>
  <c r="E99" i="62" a="1"/>
  <c r="E7" i="62" a="1"/>
  <c r="L7" i="60" a="1"/>
  <c r="L8" i="61" a="1"/>
  <c r="E7" i="60" a="1"/>
  <c r="E7" i="61" a="1"/>
  <c r="G16" i="54" l="1" a="1"/>
  <c r="G16" i="54" s="1"/>
  <c r="P22" i="56"/>
  <c r="I19" i="57"/>
  <c r="H9" i="52" a="1"/>
  <c r="H9" i="52" s="1"/>
  <c r="K40" i="61" a="1"/>
  <c r="K40" i="61" s="1"/>
  <c r="M16" i="56" a="1"/>
  <c r="M16" i="56" s="1"/>
  <c r="M35" i="60" a="1"/>
  <c r="M35" i="60" s="1"/>
  <c r="L35" i="60" a="1"/>
  <c r="L35" i="60" s="1"/>
  <c r="M37" i="61" a="1"/>
  <c r="M37" i="61" s="1"/>
  <c r="M26" i="60" a="1"/>
  <c r="M26" i="60" s="1"/>
  <c r="M30" i="60" a="1"/>
  <c r="M30" i="60" s="1"/>
  <c r="M38" i="60" a="1"/>
  <c r="M38" i="60" s="1"/>
  <c r="L38" i="60" a="1"/>
  <c r="L38" i="60" s="1"/>
  <c r="M31" i="61" a="1"/>
  <c r="M31" i="61" s="1"/>
  <c r="L31" i="61" a="1"/>
  <c r="L31" i="61" s="1"/>
  <c r="J35" i="61"/>
  <c r="I35" i="61"/>
  <c r="H35" i="61"/>
  <c r="G35" i="61"/>
  <c r="K35" i="61"/>
  <c r="M27" i="61" a="1"/>
  <c r="M27" i="61" s="1"/>
  <c r="M38" i="61" a="1"/>
  <c r="M38" i="61" s="1"/>
  <c r="L38" i="61" a="1"/>
  <c r="L38" i="61" s="1"/>
  <c r="K37" i="61"/>
  <c r="J37" i="61"/>
  <c r="I37" i="61"/>
  <c r="H37" i="61"/>
  <c r="G37" i="61"/>
  <c r="J39" i="61"/>
  <c r="I39" i="61"/>
  <c r="H39" i="61"/>
  <c r="G39" i="61"/>
  <c r="M36" i="60" a="1"/>
  <c r="M36" i="60" s="1"/>
  <c r="L36" i="60" a="1"/>
  <c r="L36" i="60" s="1"/>
  <c r="M39" i="61" a="1"/>
  <c r="M39" i="61" s="1"/>
  <c r="M25" i="61" a="1"/>
  <c r="M25" i="61" s="1"/>
  <c r="L25" i="61" a="1"/>
  <c r="L25" i="61" s="1"/>
  <c r="L27" i="60" a="1"/>
  <c r="L27" i="60" s="1"/>
  <c r="M27" i="60" a="1"/>
  <c r="M27" i="60" s="1"/>
  <c r="M32" i="60" a="1"/>
  <c r="M32" i="60" s="1"/>
  <c r="H26" i="61"/>
  <c r="G26" i="61"/>
  <c r="K26" i="61"/>
  <c r="J26" i="61"/>
  <c r="I26" i="61"/>
  <c r="K31" i="61"/>
  <c r="J31" i="61"/>
  <c r="I31" i="61"/>
  <c r="H31" i="61"/>
  <c r="G31" i="61"/>
  <c r="M32" i="61" a="1"/>
  <c r="M32" i="61" s="1"/>
  <c r="M28" i="61" a="1"/>
  <c r="M28" i="61" s="1"/>
  <c r="L28" i="61" a="1"/>
  <c r="L28" i="61" s="1"/>
  <c r="M40" i="61" a="1"/>
  <c r="M40" i="61" s="1"/>
  <c r="M34" i="60" a="1"/>
  <c r="M34" i="60" s="1"/>
  <c r="L34" i="60" a="1"/>
  <c r="L34" i="60" s="1"/>
  <c r="H305" i="19" a="1"/>
  <c r="H305" i="19" s="1"/>
  <c r="G305" i="19" a="1"/>
  <c r="G305" i="19" s="1"/>
  <c r="F305" i="19" a="1"/>
  <c r="F305" i="19" s="1"/>
  <c r="M28" i="60" a="1"/>
  <c r="M28" i="60" s="1"/>
  <c r="M33" i="60" a="1"/>
  <c r="M33" i="60" s="1"/>
  <c r="M29" i="61" a="1"/>
  <c r="M29" i="61" s="1"/>
  <c r="L29" i="61" a="1"/>
  <c r="L29" i="61" s="1"/>
  <c r="Q29" i="61" s="1" a="1"/>
  <c r="Q29" i="61" s="1"/>
  <c r="K34" i="61"/>
  <c r="J34" i="61"/>
  <c r="I34" i="61"/>
  <c r="H34" i="61"/>
  <c r="G34" i="61"/>
  <c r="I29" i="61"/>
  <c r="H29" i="61"/>
  <c r="G29" i="61"/>
  <c r="K29" i="61"/>
  <c r="J29" i="61"/>
  <c r="M37" i="60" a="1"/>
  <c r="M37" i="60" s="1"/>
  <c r="L37" i="60" a="1"/>
  <c r="L37" i="60" s="1"/>
  <c r="M36" i="61" a="1"/>
  <c r="M36" i="61" s="1"/>
  <c r="L36" i="61" a="1"/>
  <c r="L36" i="61" s="1"/>
  <c r="H40" i="61"/>
  <c r="G40" i="61"/>
  <c r="J40" i="61"/>
  <c r="I40" i="61"/>
  <c r="M26" i="61" a="1"/>
  <c r="M26" i="61" s="1"/>
  <c r="L26" i="61" a="1"/>
  <c r="L26" i="61" s="1"/>
  <c r="M29" i="60" a="1"/>
  <c r="M29" i="60" s="1"/>
  <c r="L29" i="60" a="1"/>
  <c r="L29" i="60" s="1"/>
  <c r="O29" i="60" s="1" a="1"/>
  <c r="O29" i="60" s="1"/>
  <c r="M34" i="61" a="1"/>
  <c r="M34" i="61" s="1"/>
  <c r="M31" i="60" a="1"/>
  <c r="M31" i="60" s="1"/>
  <c r="M35" i="61" a="1"/>
  <c r="M35" i="61" s="1"/>
  <c r="L35" i="61" a="1"/>
  <c r="L35" i="61" s="1"/>
  <c r="Q35" i="61" s="1" a="1"/>
  <c r="Q35" i="61" s="1"/>
  <c r="I32" i="61"/>
  <c r="H32" i="61"/>
  <c r="G32" i="61"/>
  <c r="K32" i="61"/>
  <c r="J32" i="61"/>
  <c r="M25" i="60" a="1"/>
  <c r="M25" i="60" s="1"/>
  <c r="L25" i="60" a="1"/>
  <c r="L25" i="60" s="1"/>
  <c r="M33" i="61" a="1"/>
  <c r="M33" i="61" s="1"/>
  <c r="L33" i="61" a="1"/>
  <c r="L33" i="61" s="1"/>
  <c r="M30" i="61" a="1"/>
  <c r="M30" i="61" s="1"/>
  <c r="H194" i="20"/>
  <c r="L12" i="56" a="1"/>
  <c r="L12" i="56" s="1"/>
  <c r="G13" i="56"/>
  <c r="W13" i="56"/>
  <c r="T14" i="56" a="1"/>
  <c r="T14" i="56" s="1"/>
  <c r="Q15" i="56" a="1"/>
  <c r="Q15" i="56" s="1"/>
  <c r="N16" i="56" a="1"/>
  <c r="N16" i="56" s="1"/>
  <c r="I48" i="59"/>
  <c r="E59" i="62" a="1"/>
  <c r="H26" i="60" a="1"/>
  <c r="H26" i="60" s="1"/>
  <c r="I29" i="60" a="1"/>
  <c r="I29" i="60" s="1"/>
  <c r="J32" i="60" a="1"/>
  <c r="J32" i="60" s="1"/>
  <c r="I35" i="60" a="1"/>
  <c r="I35" i="60" s="1"/>
  <c r="E28" i="61"/>
  <c r="G7" i="54" a="1"/>
  <c r="G7" i="54" s="1"/>
  <c r="G195" i="20"/>
  <c r="M12" i="56" a="1"/>
  <c r="M12" i="56" s="1"/>
  <c r="J13" i="56" a="1"/>
  <c r="J13" i="56" s="1"/>
  <c r="X13" i="56"/>
  <c r="U14" i="56" a="1"/>
  <c r="U14" i="56" s="1"/>
  <c r="R15" i="56" a="1"/>
  <c r="R15" i="56" s="1"/>
  <c r="O16" i="56" a="1"/>
  <c r="O16" i="56" s="1"/>
  <c r="I26" i="60" a="1"/>
  <c r="I26" i="60" s="1"/>
  <c r="J29" i="60" a="1"/>
  <c r="J29" i="60" s="1"/>
  <c r="K32" i="60" a="1"/>
  <c r="K32" i="60" s="1"/>
  <c r="J35" i="60" a="1"/>
  <c r="J35" i="60" s="1"/>
  <c r="E37" i="60"/>
  <c r="H37" i="60" s="1" a="1"/>
  <c r="H37" i="60" s="1"/>
  <c r="E25" i="61"/>
  <c r="G8" i="54" a="1"/>
  <c r="G8" i="54" s="1"/>
  <c r="G183" i="20"/>
  <c r="H195" i="20"/>
  <c r="N12" i="56" a="1"/>
  <c r="N12" i="56" s="1"/>
  <c r="K13" i="56" a="1"/>
  <c r="K13" i="56" s="1"/>
  <c r="F14" i="56"/>
  <c r="S15" i="56" a="1"/>
  <c r="S15" i="56" s="1"/>
  <c r="P16" i="56" a="1"/>
  <c r="P16" i="56" s="1"/>
  <c r="D21" i="62" a="1"/>
  <c r="E25" i="60"/>
  <c r="J25" i="60" s="1" a="1"/>
  <c r="J25" i="60" s="1"/>
  <c r="J26" i="60" a="1"/>
  <c r="J26" i="60" s="1"/>
  <c r="K29" i="60" a="1"/>
  <c r="K29" i="60" s="1"/>
  <c r="G31" i="60" a="1"/>
  <c r="G31" i="60" s="1"/>
  <c r="K35" i="60" a="1"/>
  <c r="K35" i="60" s="1"/>
  <c r="G9" i="54" a="1"/>
  <c r="G9" i="54" s="1"/>
  <c r="G174" i="20"/>
  <c r="G196" i="20"/>
  <c r="O12" i="56" a="1"/>
  <c r="O12" i="56" s="1"/>
  <c r="Z221" i="19" s="1" a="1"/>
  <c r="Z221" i="19" s="1"/>
  <c r="L13" i="56" a="1"/>
  <c r="L13" i="56" s="1"/>
  <c r="G14" i="56"/>
  <c r="W14" i="56"/>
  <c r="T15" i="56" a="1"/>
  <c r="T15" i="56" s="1"/>
  <c r="Q16" i="56" a="1"/>
  <c r="Q16" i="56" s="1"/>
  <c r="E21" i="62" a="1"/>
  <c r="K26" i="60" a="1"/>
  <c r="K26" i="60" s="1"/>
  <c r="G28" i="60" a="1"/>
  <c r="G28" i="60" s="1"/>
  <c r="H31" i="60" a="1"/>
  <c r="H31" i="60" s="1"/>
  <c r="G34" i="60" a="1"/>
  <c r="G34" i="60" s="1"/>
  <c r="G37" i="60" a="1"/>
  <c r="G37" i="60" s="1"/>
  <c r="E36" i="61"/>
  <c r="G10" i="54" a="1"/>
  <c r="G10" i="54" s="1"/>
  <c r="H196" i="20"/>
  <c r="P12" i="56" a="1"/>
  <c r="P12" i="56" s="1"/>
  <c r="M13" i="56" a="1"/>
  <c r="M13" i="56" s="1"/>
  <c r="V221" i="19" s="1" a="1"/>
  <c r="V221" i="19" s="1"/>
  <c r="J14" i="56" a="1"/>
  <c r="J14" i="56" s="1"/>
  <c r="X14" i="56"/>
  <c r="U15" i="56" a="1"/>
  <c r="U15" i="56" s="1"/>
  <c r="R16" i="56" a="1"/>
  <c r="R16" i="56" s="1"/>
  <c r="J120" i="62" a="1"/>
  <c r="J120" i="62" s="1"/>
  <c r="D157" i="62" a="1"/>
  <c r="D157" i="62" s="1"/>
  <c r="H28" i="60" a="1"/>
  <c r="H28" i="60" s="1"/>
  <c r="I31" i="60" a="1"/>
  <c r="I31" i="60" s="1"/>
  <c r="H34" i="60" a="1"/>
  <c r="H34" i="60" s="1"/>
  <c r="E30" i="61"/>
  <c r="E33" i="61"/>
  <c r="G45" i="70"/>
  <c r="H7" i="52" a="1"/>
  <c r="H7" i="52" s="1"/>
  <c r="G11" i="54" a="1"/>
  <c r="G11" i="54" s="1"/>
  <c r="G175" i="20"/>
  <c r="G197" i="20"/>
  <c r="Q12" i="56" a="1"/>
  <c r="Q12" i="56" s="1"/>
  <c r="N13" i="56" a="1"/>
  <c r="N13" i="56" s="1"/>
  <c r="Y221" i="19" s="1" a="1"/>
  <c r="Y221" i="19" s="1"/>
  <c r="K14" i="56" a="1"/>
  <c r="K14" i="56" s="1"/>
  <c r="F15" i="56"/>
  <c r="S16" i="56" a="1"/>
  <c r="S16" i="56" s="1"/>
  <c r="E157" i="62" a="1"/>
  <c r="E157" i="62" s="1"/>
  <c r="I28" i="60" a="1"/>
  <c r="I28" i="60" s="1"/>
  <c r="J31" i="60" a="1"/>
  <c r="J31" i="60" s="1"/>
  <c r="E33" i="60"/>
  <c r="J33" i="60" s="1" a="1"/>
  <c r="J33" i="60" s="1"/>
  <c r="I34" i="60" a="1"/>
  <c r="I34" i="60" s="1"/>
  <c r="E27" i="61"/>
  <c r="G46" i="70"/>
  <c r="H8" i="52" a="1"/>
  <c r="H8" i="52" s="1"/>
  <c r="G12" i="54" a="1"/>
  <c r="G12" i="54" s="1"/>
  <c r="H197" i="20"/>
  <c r="R12" i="56" a="1"/>
  <c r="R12" i="56" s="1"/>
  <c r="O13" i="56" a="1"/>
  <c r="O13" i="56" s="1"/>
  <c r="L14" i="56" a="1"/>
  <c r="L14" i="56" s="1"/>
  <c r="G15" i="56"/>
  <c r="W15" i="56"/>
  <c r="T16" i="56" a="1"/>
  <c r="T16" i="56" s="1"/>
  <c r="J28" i="60" a="1"/>
  <c r="J28" i="60" s="1"/>
  <c r="K31" i="60" a="1"/>
  <c r="K31" i="60" s="1"/>
  <c r="J34" i="60" a="1"/>
  <c r="J34" i="60" s="1"/>
  <c r="J37" i="60" a="1"/>
  <c r="J37" i="60" s="1"/>
  <c r="G8" i="68"/>
  <c r="G13" i="54" a="1"/>
  <c r="G13" i="54" s="1"/>
  <c r="G176" i="20"/>
  <c r="S12" i="56" a="1"/>
  <c r="S12" i="56" s="1"/>
  <c r="P13" i="56" a="1"/>
  <c r="P13" i="56" s="1"/>
  <c r="M14" i="56" a="1"/>
  <c r="M14" i="56" s="1"/>
  <c r="J15" i="56" a="1"/>
  <c r="J15" i="56" s="1"/>
  <c r="X15" i="56"/>
  <c r="U16" i="56" a="1"/>
  <c r="U16" i="56" s="1"/>
  <c r="D116" i="62" a="1"/>
  <c r="D116" i="62" s="1"/>
  <c r="J157" i="62" a="1"/>
  <c r="J157" i="62" s="1"/>
  <c r="J164" i="62" a="1"/>
  <c r="J164" i="62" s="1"/>
  <c r="K28" i="60" a="1"/>
  <c r="K28" i="60" s="1"/>
  <c r="G30" i="60" a="1"/>
  <c r="G30" i="60" s="1"/>
  <c r="G33" i="60" a="1"/>
  <c r="G33" i="60" s="1"/>
  <c r="K34" i="60" a="1"/>
  <c r="K34" i="60" s="1"/>
  <c r="G36" i="60" a="1"/>
  <c r="G36" i="60" s="1"/>
  <c r="K37" i="60" a="1"/>
  <c r="K37" i="60" s="1"/>
  <c r="G39" i="60" a="1"/>
  <c r="G39" i="60" s="1"/>
  <c r="E38" i="61"/>
  <c r="G9" i="68"/>
  <c r="K39" i="61" a="1"/>
  <c r="K39" i="61" s="1"/>
  <c r="G14" i="54" a="1"/>
  <c r="G14" i="54" s="1"/>
  <c r="T12" i="56" a="1"/>
  <c r="T12" i="56" s="1"/>
  <c r="Q13" i="56" a="1"/>
  <c r="Q13" i="56" s="1"/>
  <c r="N14" i="56" a="1"/>
  <c r="N14" i="56" s="1"/>
  <c r="K15" i="56" a="1"/>
  <c r="K15" i="56" s="1"/>
  <c r="F16" i="56"/>
  <c r="E116" i="62" a="1"/>
  <c r="E116" i="62" s="1"/>
  <c r="J116" i="62" s="1" a="1"/>
  <c r="J116" i="62" s="1"/>
  <c r="K25" i="60" a="1"/>
  <c r="K25" i="60" s="1"/>
  <c r="G27" i="60" a="1"/>
  <c r="G27" i="60" s="1"/>
  <c r="H30" i="60" a="1"/>
  <c r="H30" i="60" s="1"/>
  <c r="H36" i="60" a="1"/>
  <c r="H36" i="60" s="1"/>
  <c r="H39" i="60" a="1"/>
  <c r="H39" i="60" s="1"/>
  <c r="G15" i="54" a="1"/>
  <c r="G15" i="54" s="1"/>
  <c r="U12" i="56" a="1"/>
  <c r="U12" i="56" s="1"/>
  <c r="R13" i="56" a="1"/>
  <c r="R13" i="56" s="1"/>
  <c r="O14" i="56" a="1"/>
  <c r="O14" i="56" s="1"/>
  <c r="L15" i="56" a="1"/>
  <c r="L15" i="56" s="1"/>
  <c r="G16" i="56"/>
  <c r="W16" i="56"/>
  <c r="J132" i="62" a="1"/>
  <c r="J132" i="62" s="1"/>
  <c r="H27" i="60" a="1"/>
  <c r="H27" i="60" s="1"/>
  <c r="I30" i="60" a="1"/>
  <c r="I30" i="60" s="1"/>
  <c r="I36" i="60" a="1"/>
  <c r="I36" i="60" s="1"/>
  <c r="O36" i="60" s="1" a="1"/>
  <c r="O36" i="60" s="1"/>
  <c r="I39" i="60" a="1"/>
  <c r="I39" i="60" s="1"/>
  <c r="F12" i="56"/>
  <c r="S13" i="56" a="1"/>
  <c r="S13" i="56" s="1"/>
  <c r="P14" i="56" a="1"/>
  <c r="P14" i="56" s="1"/>
  <c r="M15" i="56" a="1"/>
  <c r="M15" i="56" s="1"/>
  <c r="J16" i="56" a="1"/>
  <c r="J16" i="56" s="1"/>
  <c r="X16" i="56"/>
  <c r="I27" i="60" a="1"/>
  <c r="I27" i="60" s="1"/>
  <c r="J30" i="60" a="1"/>
  <c r="J30" i="60" s="1"/>
  <c r="J36" i="60" a="1"/>
  <c r="J36" i="60" s="1"/>
  <c r="E38" i="60"/>
  <c r="I38" i="60" s="1" a="1"/>
  <c r="I38" i="60" s="1"/>
  <c r="J39" i="60" a="1"/>
  <c r="J39" i="60" s="1"/>
  <c r="G12" i="56"/>
  <c r="I12" i="56" s="1"/>
  <c r="W12" i="56"/>
  <c r="T13" i="56" a="1"/>
  <c r="T13" i="56" s="1"/>
  <c r="Q14" i="56" a="1"/>
  <c r="Q14" i="56" s="1"/>
  <c r="N15" i="56" a="1"/>
  <c r="N15" i="56" s="1"/>
  <c r="K16" i="56" a="1"/>
  <c r="K16" i="56" s="1"/>
  <c r="P20" i="56"/>
  <c r="J27" i="60" a="1"/>
  <c r="J27" i="60" s="1"/>
  <c r="K30" i="60" a="1"/>
  <c r="K30" i="60" s="1"/>
  <c r="G32" i="60" a="1"/>
  <c r="G32" i="60" s="1"/>
  <c r="K36" i="60" a="1"/>
  <c r="K36" i="60" s="1"/>
  <c r="K39" i="60" a="1"/>
  <c r="K39" i="60" s="1"/>
  <c r="J12" i="56" a="1"/>
  <c r="J12" i="56" s="1"/>
  <c r="Q221" i="19" s="1" a="1"/>
  <c r="Q221" i="19" s="1"/>
  <c r="X12" i="56"/>
  <c r="U13" i="56" a="1"/>
  <c r="U13" i="56" s="1"/>
  <c r="R14" i="56" a="1"/>
  <c r="R14" i="56" s="1"/>
  <c r="O15" i="56" a="1"/>
  <c r="O15" i="56" s="1"/>
  <c r="L16" i="56" a="1"/>
  <c r="L16" i="56" s="1"/>
  <c r="P21" i="56"/>
  <c r="J124" i="62" a="1"/>
  <c r="J124" i="62" s="1"/>
  <c r="J144" i="62" a="1"/>
  <c r="J144" i="62" s="1"/>
  <c r="K27" i="60" a="1"/>
  <c r="K27" i="60" s="1"/>
  <c r="G29" i="60" a="1"/>
  <c r="G29" i="60" s="1"/>
  <c r="H32" i="60" a="1"/>
  <c r="H32" i="60" s="1"/>
  <c r="G35" i="60" a="1"/>
  <c r="G35" i="60" s="1"/>
  <c r="Q35" i="60" s="1" a="1"/>
  <c r="Q35" i="60" s="1"/>
  <c r="K12" i="56" a="1"/>
  <c r="K12" i="56" s="1"/>
  <c r="F13" i="56"/>
  <c r="S14" i="56" a="1"/>
  <c r="S14" i="56" s="1"/>
  <c r="P15" i="56" a="1"/>
  <c r="P15" i="56" s="1"/>
  <c r="D59" i="62" a="1"/>
  <c r="J160" i="62" a="1"/>
  <c r="J160" i="62" s="1"/>
  <c r="G26" i="60" a="1"/>
  <c r="G26" i="60" s="1"/>
  <c r="H29" i="60" a="1"/>
  <c r="H29" i="60" s="1"/>
  <c r="I32" i="60" a="1"/>
  <c r="I32" i="60" s="1"/>
  <c r="H35" i="60" a="1"/>
  <c r="H35" i="60" s="1"/>
  <c r="J368" i="67"/>
  <c r="M363" i="67"/>
  <c r="N363" i="67"/>
  <c r="L363" i="67"/>
  <c r="L364" i="67"/>
  <c r="N364" i="67"/>
  <c r="M366" i="67"/>
  <c r="N366" i="67"/>
  <c r="H87" i="67"/>
  <c r="H91" i="67"/>
  <c r="P98" i="67"/>
  <c r="O98" i="67"/>
  <c r="N98" i="67"/>
  <c r="K101" i="67"/>
  <c r="L101" i="67"/>
  <c r="P105" i="67"/>
  <c r="O105" i="67"/>
  <c r="N105" i="67"/>
  <c r="L108" i="67"/>
  <c r="K108" i="67"/>
  <c r="O112" i="67"/>
  <c r="N112" i="67"/>
  <c r="P112" i="67"/>
  <c r="L115" i="67"/>
  <c r="K115" i="67"/>
  <c r="M91" i="67"/>
  <c r="M87" i="67"/>
  <c r="H93" i="67"/>
  <c r="H89" i="67"/>
  <c r="F106" i="67"/>
  <c r="J8" i="48" s="1" a="1"/>
  <c r="J8" i="48" s="1"/>
  <c r="F102" i="67"/>
  <c r="N87" i="67"/>
  <c r="O91" i="67"/>
  <c r="N91" i="67"/>
  <c r="P87" i="67"/>
  <c r="O87" i="67"/>
  <c r="P91" i="67"/>
  <c r="P97" i="67"/>
  <c r="O97" i="67"/>
  <c r="N97" i="67"/>
  <c r="L100" i="67"/>
  <c r="K100" i="67"/>
  <c r="N104" i="67"/>
  <c r="O104" i="67"/>
  <c r="P104" i="67"/>
  <c r="K107" i="67"/>
  <c r="L107" i="67"/>
  <c r="P111" i="67"/>
  <c r="N111" i="67"/>
  <c r="O111" i="67"/>
  <c r="K114" i="67"/>
  <c r="L114" i="67"/>
  <c r="K93" i="67"/>
  <c r="L89" i="67"/>
  <c r="K89" i="67"/>
  <c r="L93" i="67"/>
  <c r="L96" i="67"/>
  <c r="K96" i="67"/>
  <c r="P100" i="67"/>
  <c r="O100" i="67"/>
  <c r="N100" i="67"/>
  <c r="L103" i="67"/>
  <c r="K103" i="67"/>
  <c r="P107" i="67"/>
  <c r="O107" i="67"/>
  <c r="N107" i="67"/>
  <c r="K110" i="67"/>
  <c r="L110" i="67"/>
  <c r="P114" i="67"/>
  <c r="O114" i="67"/>
  <c r="N114" i="67"/>
  <c r="L117" i="67"/>
  <c r="K117" i="67"/>
  <c r="M93" i="67"/>
  <c r="M89" i="67"/>
  <c r="G93" i="67"/>
  <c r="G89" i="67"/>
  <c r="O93" i="67"/>
  <c r="N89" i="67"/>
  <c r="P89" i="67"/>
  <c r="O89" i="67"/>
  <c r="N93" i="67"/>
  <c r="P93" i="67"/>
  <c r="L95" i="67"/>
  <c r="K95" i="67"/>
  <c r="O99" i="67"/>
  <c r="N99" i="67"/>
  <c r="P99" i="67"/>
  <c r="K102" i="67"/>
  <c r="L102" i="67"/>
  <c r="N106" i="67"/>
  <c r="P106" i="67"/>
  <c r="O106" i="67"/>
  <c r="L109" i="67"/>
  <c r="K109" i="67"/>
  <c r="P113" i="67"/>
  <c r="O113" i="67"/>
  <c r="N113" i="67"/>
  <c r="L116" i="67"/>
  <c r="K116" i="67"/>
  <c r="L91" i="67"/>
  <c r="K91" i="67"/>
  <c r="L87" i="67"/>
  <c r="K87" i="67"/>
  <c r="G91" i="67"/>
  <c r="G87" i="67"/>
  <c r="G147" i="67" s="1"/>
  <c r="P95" i="67"/>
  <c r="O95" i="67"/>
  <c r="N95" i="67"/>
  <c r="K98" i="67"/>
  <c r="L98" i="67"/>
  <c r="P102" i="67"/>
  <c r="O102" i="67"/>
  <c r="N102" i="67"/>
  <c r="K105" i="67"/>
  <c r="L105" i="67"/>
  <c r="P109" i="67"/>
  <c r="O109" i="67"/>
  <c r="N109" i="67"/>
  <c r="L112" i="67"/>
  <c r="K112" i="67"/>
  <c r="O116" i="67"/>
  <c r="P116" i="67"/>
  <c r="N116" i="67"/>
  <c r="L238" i="67"/>
  <c r="K238" i="67"/>
  <c r="L97" i="67"/>
  <c r="K97" i="67"/>
  <c r="L237" i="67"/>
  <c r="K237" i="67"/>
  <c r="P101" i="67"/>
  <c r="O101" i="67"/>
  <c r="K111" i="67"/>
  <c r="L111" i="67"/>
  <c r="L244" i="67"/>
  <c r="K244" i="67"/>
  <c r="N96" i="67"/>
  <c r="P96" i="67"/>
  <c r="O96" i="67"/>
  <c r="L94" i="67"/>
  <c r="K94" i="67"/>
  <c r="F224" i="67"/>
  <c r="F228" i="67"/>
  <c r="G230" i="67"/>
  <c r="G226" i="67"/>
  <c r="G90" i="67"/>
  <c r="G86" i="67"/>
  <c r="O115" i="67"/>
  <c r="N115" i="67"/>
  <c r="F223" i="67"/>
  <c r="F227" i="67"/>
  <c r="G225" i="67"/>
  <c r="G229" i="67"/>
  <c r="L243" i="67"/>
  <c r="K243" i="67"/>
  <c r="G223" i="67"/>
  <c r="G227" i="67"/>
  <c r="K233" i="67"/>
  <c r="L233" i="67"/>
  <c r="H227" i="67"/>
  <c r="H223" i="67"/>
  <c r="L106" i="67"/>
  <c r="K106" i="67"/>
  <c r="N251" i="67"/>
  <c r="P251" i="67"/>
  <c r="O251" i="67"/>
  <c r="I86" i="67"/>
  <c r="I90" i="67"/>
  <c r="N110" i="67"/>
  <c r="P110" i="67"/>
  <c r="O110" i="67"/>
  <c r="L99" i="67"/>
  <c r="K99" i="67"/>
  <c r="J93" i="67"/>
  <c r="J89" i="67"/>
  <c r="L104" i="67"/>
  <c r="K104" i="67"/>
  <c r="I92" i="67"/>
  <c r="I148" i="67" s="1"/>
  <c r="L226" i="67"/>
  <c r="K226" i="67"/>
  <c r="L230" i="67"/>
  <c r="K230" i="67"/>
  <c r="P232" i="67"/>
  <c r="O232" i="67"/>
  <c r="N232" i="67"/>
  <c r="L240" i="67"/>
  <c r="K240" i="67"/>
  <c r="N242" i="67"/>
  <c r="P242" i="67"/>
  <c r="O242" i="67"/>
  <c r="J227" i="67"/>
  <c r="J223" i="67"/>
  <c r="M230" i="67"/>
  <c r="M226" i="67"/>
  <c r="P241" i="67"/>
  <c r="O241" i="67"/>
  <c r="N241" i="67"/>
  <c r="O253" i="67"/>
  <c r="N253" i="67"/>
  <c r="P253" i="67"/>
  <c r="J86" i="67"/>
  <c r="J90" i="67"/>
  <c r="I89" i="67"/>
  <c r="I93" i="67"/>
  <c r="P94" i="67"/>
  <c r="O94" i="67"/>
  <c r="N94" i="67"/>
  <c r="J91" i="67"/>
  <c r="J87" i="67"/>
  <c r="O108" i="67"/>
  <c r="N108" i="67"/>
  <c r="P108" i="67"/>
  <c r="P115" i="67"/>
  <c r="K229" i="67"/>
  <c r="L225" i="67"/>
  <c r="K225" i="67"/>
  <c r="L229" i="67"/>
  <c r="N230" i="67"/>
  <c r="P226" i="67"/>
  <c r="O226" i="67"/>
  <c r="N226" i="67"/>
  <c r="P230" i="67"/>
  <c r="O230" i="67"/>
  <c r="L247" i="67"/>
  <c r="K247" i="67"/>
  <c r="L86" i="67"/>
  <c r="K86" i="67"/>
  <c r="K90" i="67"/>
  <c r="M90" i="67"/>
  <c r="M86" i="67"/>
  <c r="G88" i="67"/>
  <c r="G92" i="67"/>
  <c r="H92" i="67"/>
  <c r="H88" i="67"/>
  <c r="H90" i="67"/>
  <c r="H86" i="67"/>
  <c r="J88" i="67"/>
  <c r="J92" i="67"/>
  <c r="K92" i="67"/>
  <c r="L88" i="67"/>
  <c r="K88" i="67"/>
  <c r="L92" i="67"/>
  <c r="M88" i="67"/>
  <c r="M92" i="67"/>
  <c r="I91" i="67"/>
  <c r="I87" i="67"/>
  <c r="N88" i="67"/>
  <c r="P92" i="67"/>
  <c r="O92" i="67"/>
  <c r="N92" i="67"/>
  <c r="P88" i="67"/>
  <c r="O88" i="67"/>
  <c r="P103" i="67"/>
  <c r="O103" i="67"/>
  <c r="N103" i="67"/>
  <c r="L113" i="67"/>
  <c r="K113" i="67"/>
  <c r="P86" i="67"/>
  <c r="O86" i="67"/>
  <c r="N86" i="67"/>
  <c r="P90" i="67"/>
  <c r="O90" i="67"/>
  <c r="N90" i="67"/>
  <c r="N117" i="67"/>
  <c r="P117" i="67"/>
  <c r="O117" i="67"/>
  <c r="L224" i="67"/>
  <c r="K224" i="67"/>
  <c r="L228" i="67"/>
  <c r="K228" i="67"/>
  <c r="H230" i="67"/>
  <c r="H226" i="67"/>
  <c r="L249" i="67"/>
  <c r="K249" i="67"/>
  <c r="L250" i="67"/>
  <c r="K250" i="67"/>
  <c r="P223" i="67"/>
  <c r="O223" i="67"/>
  <c r="N223" i="67"/>
  <c r="P227" i="67"/>
  <c r="O227" i="67"/>
  <c r="N227" i="67"/>
  <c r="J229" i="67"/>
  <c r="J225" i="67"/>
  <c r="I230" i="67"/>
  <c r="I226" i="67"/>
  <c r="P233" i="67"/>
  <c r="O233" i="67"/>
  <c r="N233" i="67"/>
  <c r="L235" i="67"/>
  <c r="K235" i="67"/>
  <c r="P240" i="67"/>
  <c r="O240" i="67"/>
  <c r="N240" i="67"/>
  <c r="L254" i="67"/>
  <c r="K254" i="67"/>
  <c r="M228" i="67"/>
  <c r="M224" i="67"/>
  <c r="J230" i="67"/>
  <c r="J226" i="67"/>
  <c r="P234" i="67"/>
  <c r="O234" i="67"/>
  <c r="N234" i="67"/>
  <c r="L242" i="67"/>
  <c r="K242" i="67"/>
  <c r="P247" i="67"/>
  <c r="O247" i="67"/>
  <c r="N247" i="67"/>
  <c r="O248" i="67"/>
  <c r="N248" i="67"/>
  <c r="P248" i="67"/>
  <c r="P249" i="67"/>
  <c r="O249" i="67"/>
  <c r="N249" i="67"/>
  <c r="L236" i="67"/>
  <c r="K236" i="67"/>
  <c r="P228" i="67"/>
  <c r="O228" i="67"/>
  <c r="N228" i="67"/>
  <c r="P224" i="67"/>
  <c r="O224" i="67"/>
  <c r="N224" i="67"/>
  <c r="M225" i="67"/>
  <c r="M229" i="67"/>
  <c r="O235" i="67"/>
  <c r="N235" i="67"/>
  <c r="P235" i="67"/>
  <c r="K251" i="67"/>
  <c r="L251" i="67"/>
  <c r="P225" i="67"/>
  <c r="O225" i="67"/>
  <c r="N225" i="67"/>
  <c r="P229" i="67"/>
  <c r="O229" i="67"/>
  <c r="N229" i="67"/>
  <c r="P236" i="67"/>
  <c r="O236" i="67"/>
  <c r="N236" i="67"/>
  <c r="P254" i="67"/>
  <c r="O254" i="67"/>
  <c r="N254" i="67"/>
  <c r="L231" i="67"/>
  <c r="K231" i="67"/>
  <c r="O243" i="67"/>
  <c r="N243" i="67"/>
  <c r="P243" i="67"/>
  <c r="F225" i="67"/>
  <c r="F229" i="67"/>
  <c r="L245" i="67"/>
  <c r="K245" i="67"/>
  <c r="L252" i="67"/>
  <c r="K252" i="67"/>
  <c r="I227" i="67"/>
  <c r="I223" i="67"/>
  <c r="G228" i="67"/>
  <c r="G224" i="67"/>
  <c r="P231" i="67"/>
  <c r="O231" i="67"/>
  <c r="N231" i="67"/>
  <c r="O237" i="67"/>
  <c r="N237" i="67"/>
  <c r="P237" i="67"/>
  <c r="L239" i="67"/>
  <c r="K239" i="67"/>
  <c r="N244" i="67"/>
  <c r="P244" i="67"/>
  <c r="O244" i="67"/>
  <c r="L246" i="67"/>
  <c r="K246" i="67"/>
  <c r="H228" i="67"/>
  <c r="H224" i="67"/>
  <c r="F226" i="67"/>
  <c r="F230" i="67"/>
  <c r="I224" i="67"/>
  <c r="I228" i="67"/>
  <c r="H225" i="67"/>
  <c r="H229" i="67"/>
  <c r="P238" i="67"/>
  <c r="O238" i="67"/>
  <c r="N238" i="67"/>
  <c r="P245" i="67"/>
  <c r="O245" i="67"/>
  <c r="N245" i="67"/>
  <c r="K227" i="67"/>
  <c r="L223" i="67"/>
  <c r="K223" i="67"/>
  <c r="L227" i="67"/>
  <c r="J224" i="67"/>
  <c r="J228" i="67"/>
  <c r="I225" i="67"/>
  <c r="I229" i="67"/>
  <c r="L234" i="67"/>
  <c r="K234" i="67"/>
  <c r="O239" i="67"/>
  <c r="N239" i="67"/>
  <c r="P239" i="67"/>
  <c r="L241" i="67"/>
  <c r="K241" i="67"/>
  <c r="P246" i="67"/>
  <c r="O246" i="67"/>
  <c r="N246" i="67"/>
  <c r="K248" i="67"/>
  <c r="L248" i="67"/>
  <c r="J364" i="67"/>
  <c r="I364" i="67"/>
  <c r="M223" i="67"/>
  <c r="M227" i="67"/>
  <c r="L232" i="67"/>
  <c r="K232" i="67"/>
  <c r="P252" i="67"/>
  <c r="O252" i="67"/>
  <c r="N252" i="67"/>
  <c r="I362" i="67"/>
  <c r="J362" i="67"/>
  <c r="M365" i="67"/>
  <c r="N365" i="67"/>
  <c r="J366" i="67"/>
  <c r="J363" i="67"/>
  <c r="I369" i="67"/>
  <c r="J369" i="67"/>
  <c r="K253" i="67"/>
  <c r="M362" i="67"/>
  <c r="L362" i="67"/>
  <c r="N250" i="67"/>
  <c r="O250" i="67"/>
  <c r="J367" i="67"/>
  <c r="I367" i="67"/>
  <c r="N368" i="67"/>
  <c r="M368" i="67"/>
  <c r="M369" i="67"/>
  <c r="L369" i="67"/>
  <c r="L368" i="67"/>
  <c r="M367" i="67"/>
  <c r="N367" i="67"/>
  <c r="L367" i="67"/>
  <c r="J365" i="67"/>
  <c r="N362" i="67"/>
  <c r="L365" i="67"/>
  <c r="E99" i="62"/>
  <c r="E7" i="62"/>
  <c r="F192" i="62"/>
  <c r="F151" i="62"/>
  <c r="E7" i="61"/>
  <c r="L8" i="61"/>
  <c r="F58" i="61"/>
  <c r="F49" i="61"/>
  <c r="F57" i="61"/>
  <c r="F46" i="61"/>
  <c r="F56" i="61"/>
  <c r="F45" i="61"/>
  <c r="F55" i="61"/>
  <c r="F44" i="61"/>
  <c r="F52" i="61"/>
  <c r="F43" i="61"/>
  <c r="F51" i="61"/>
  <c r="F50" i="61"/>
  <c r="O29" i="61" a="1"/>
  <c r="O29" i="61" s="1"/>
  <c r="N29" i="61" a="1"/>
  <c r="N29" i="61" s="1"/>
  <c r="D27" i="61"/>
  <c r="D34" i="61"/>
  <c r="L34" i="61" s="1" a="1"/>
  <c r="L34" i="61" s="1"/>
  <c r="D39" i="61"/>
  <c r="L39" i="61" s="1" a="1"/>
  <c r="L39" i="61" s="1"/>
  <c r="D42" i="61"/>
  <c r="D30" i="61"/>
  <c r="L30" i="61" s="1" a="1"/>
  <c r="L30" i="61" s="1"/>
  <c r="D37" i="61"/>
  <c r="L37" i="61" s="1" a="1"/>
  <c r="L37" i="61" s="1"/>
  <c r="D48" i="61"/>
  <c r="E7" i="60"/>
  <c r="L7" i="60"/>
  <c r="N36" i="60" a="1"/>
  <c r="N36" i="60" s="1"/>
  <c r="Q36" i="60" a="1"/>
  <c r="Q36" i="60" s="1"/>
  <c r="F70" i="60"/>
  <c r="F61" i="60"/>
  <c r="F51" i="60"/>
  <c r="F69" i="60"/>
  <c r="F50" i="60"/>
  <c r="F58" i="60"/>
  <c r="F68" i="60"/>
  <c r="F49" i="60"/>
  <c r="F57" i="60"/>
  <c r="F67" i="60"/>
  <c r="F56" i="60"/>
  <c r="F46" i="60"/>
  <c r="F64" i="60"/>
  <c r="F55" i="60"/>
  <c r="F45" i="60"/>
  <c r="F63" i="60"/>
  <c r="F44" i="60"/>
  <c r="F62" i="60"/>
  <c r="F52" i="60"/>
  <c r="F43" i="60"/>
  <c r="N27" i="60" a="1"/>
  <c r="N27" i="60" s="1"/>
  <c r="D30" i="60"/>
  <c r="L30" i="60" s="1" a="1"/>
  <c r="L30" i="60" s="1"/>
  <c r="D39" i="60"/>
  <c r="D28" i="60"/>
  <c r="L28" i="60" s="1" a="1"/>
  <c r="L28" i="60" s="1"/>
  <c r="D32" i="60"/>
  <c r="L32" i="60" s="1" a="1"/>
  <c r="L32" i="60" s="1"/>
  <c r="D31" i="60"/>
  <c r="L31" i="60" s="1" a="1"/>
  <c r="L31" i="60" s="1"/>
  <c r="D26" i="60"/>
  <c r="L26" i="60" s="1" a="1"/>
  <c r="L26" i="60" s="1"/>
  <c r="I18" i="57"/>
  <c r="L32" i="61" s="1" a="1"/>
  <c r="L32" i="61" s="1"/>
  <c r="D29" i="56"/>
  <c r="I39" i="59"/>
  <c r="I46" i="59"/>
  <c r="I38" i="59"/>
  <c r="I47" i="59"/>
  <c r="I17" i="57"/>
  <c r="L40" i="61" s="1" a="1"/>
  <c r="L40" i="61" s="1"/>
  <c r="I21" i="57"/>
  <c r="I20" i="57"/>
  <c r="L33" i="60" s="1" a="1"/>
  <c r="L33" i="60" s="1"/>
  <c r="J42" i="56"/>
  <c r="I43" i="56"/>
  <c r="O576" i="19"/>
  <c r="I44" i="56"/>
  <c r="G576" i="19"/>
  <c r="H52" i="51"/>
  <c r="H49" i="51"/>
  <c r="H54" i="51"/>
  <c r="H48" i="51"/>
  <c r="H51" i="51"/>
  <c r="H53" i="51"/>
  <c r="H50" i="51"/>
  <c r="J88" i="34" s="1"/>
  <c r="S67" i="34"/>
  <c r="S32" i="34"/>
  <c r="T13" i="34"/>
  <c r="R85" i="34" a="1"/>
  <c r="R85" i="34" s="1"/>
  <c r="N85" i="34" a="1"/>
  <c r="N85" i="34" s="1"/>
  <c r="O83" i="34" a="1"/>
  <c r="O83" i="34" s="1"/>
  <c r="O82" i="34" a="1"/>
  <c r="O82" i="34" s="1"/>
  <c r="N78" i="34" a="1"/>
  <c r="N78" i="34" s="1"/>
  <c r="N77" i="34" a="1"/>
  <c r="N77" i="34" s="1"/>
  <c r="Q67" i="34" a="1"/>
  <c r="Q67" i="34" s="1"/>
  <c r="N67" i="34" a="1"/>
  <c r="N67" i="34" s="1"/>
  <c r="O65" i="34" a="1"/>
  <c r="O65" i="34" s="1"/>
  <c r="O64" i="34" a="1"/>
  <c r="O64" i="34" s="1"/>
  <c r="N60" i="34" a="1"/>
  <c r="N60" i="34" s="1"/>
  <c r="N59" i="34" a="1"/>
  <c r="N59" i="34" s="1"/>
  <c r="Q48" i="34" a="1"/>
  <c r="Q48" i="34" s="1"/>
  <c r="N48" i="34" a="1"/>
  <c r="N48" i="34" s="1"/>
  <c r="O46" i="34" a="1"/>
  <c r="O46" i="34" s="1"/>
  <c r="O45" i="34" a="1"/>
  <c r="O45" i="34" s="1"/>
  <c r="N41" i="34" a="1"/>
  <c r="N41" i="34" s="1"/>
  <c r="N40" i="34" a="1"/>
  <c r="N40" i="34" s="1"/>
  <c r="Q32" i="34" a="1"/>
  <c r="Q32" i="34" s="1"/>
  <c r="N32" i="34" a="1"/>
  <c r="N32" i="34" s="1"/>
  <c r="O30" i="34" a="1"/>
  <c r="O30" i="34" s="1"/>
  <c r="P35" i="34" s="1"/>
  <c r="O29" i="34" a="1"/>
  <c r="O29" i="34" s="1"/>
  <c r="N25" i="34" a="1"/>
  <c r="N25" i="34" s="1"/>
  <c r="N24" i="34" a="1"/>
  <c r="N24" i="34" s="1"/>
  <c r="R13" i="34" a="1"/>
  <c r="R13" i="34" s="1"/>
  <c r="N13" i="34" a="1"/>
  <c r="N13" i="34" s="1"/>
  <c r="O11" i="34" a="1"/>
  <c r="O11" i="34" s="1"/>
  <c r="O10" i="34" a="1"/>
  <c r="O10" i="34" s="1"/>
  <c r="N6" i="34" a="1"/>
  <c r="N6" i="34" s="1"/>
  <c r="N5" i="34" a="1"/>
  <c r="N5" i="34" s="1"/>
  <c r="I67" i="34"/>
  <c r="I32" i="34"/>
  <c r="J13" i="34"/>
  <c r="O61" i="34" a="1"/>
  <c r="O26" i="34" a="1"/>
  <c r="AL221" i="19" l="1" a="1"/>
  <c r="AL221" i="19" s="1"/>
  <c r="AK221" i="19" a="1"/>
  <c r="AK221" i="19" s="1"/>
  <c r="I25" i="60" a="1"/>
  <c r="I25" i="60" s="1"/>
  <c r="J9" i="48" a="1"/>
  <c r="J9" i="48" s="1"/>
  <c r="J147" i="67"/>
  <c r="P36" i="60" a="1"/>
  <c r="P36" i="60" s="1"/>
  <c r="H33" i="60" a="1"/>
  <c r="H33" i="60" s="1"/>
  <c r="O34" i="60" a="1"/>
  <c r="O34" i="60" s="1"/>
  <c r="V13" i="56"/>
  <c r="O221" i="19" a="1"/>
  <c r="O221" i="19" s="1"/>
  <c r="H25" i="60" a="1"/>
  <c r="H25" i="60" s="1"/>
  <c r="I33" i="60" a="1"/>
  <c r="I33" i="60" s="1"/>
  <c r="E41" i="59"/>
  <c r="K33" i="60" a="1"/>
  <c r="K33" i="60" s="1"/>
  <c r="AC221" i="19" a="1"/>
  <c r="AC221" i="19" s="1"/>
  <c r="G25" i="60" a="1"/>
  <c r="G25" i="60" s="1"/>
  <c r="U221" i="19" a="1"/>
  <c r="U221" i="19" s="1"/>
  <c r="E50" i="59"/>
  <c r="P29" i="61" a="1"/>
  <c r="P29" i="61" s="1"/>
  <c r="J176" i="62" a="1"/>
  <c r="J176" i="62" s="1"/>
  <c r="J158" i="62" a="1"/>
  <c r="J158" i="62" s="1"/>
  <c r="O27" i="60" a="1"/>
  <c r="O27" i="60" s="1"/>
  <c r="AD221" i="19" a="1"/>
  <c r="AD221" i="19" s="1"/>
  <c r="J127" i="62" a="1"/>
  <c r="J127" i="62" s="1"/>
  <c r="J117" i="62" a="1"/>
  <c r="J117" i="62" s="1"/>
  <c r="P31" i="61" a="1"/>
  <c r="P31" i="61" s="1"/>
  <c r="J134" i="62" a="1"/>
  <c r="J134" i="62" s="1"/>
  <c r="R221" i="19" a="1"/>
  <c r="R221" i="19" s="1"/>
  <c r="J161" i="62" a="1"/>
  <c r="J161" i="62" s="1"/>
  <c r="AG221" i="19" a="1"/>
  <c r="AG221" i="19" s="1"/>
  <c r="AH221" i="19" a="1"/>
  <c r="AH221" i="19" s="1"/>
  <c r="J135" i="62" a="1"/>
  <c r="J135" i="62" s="1"/>
  <c r="N32" i="61" a="1"/>
  <c r="N32" i="61" s="1"/>
  <c r="O32" i="61" a="1"/>
  <c r="O32" i="61" s="1"/>
  <c r="Q32" i="61" a="1"/>
  <c r="Q32" i="61" s="1"/>
  <c r="P32" i="61" a="1"/>
  <c r="P32" i="61" s="1"/>
  <c r="J167" i="62" a="1"/>
  <c r="J167" i="62" s="1"/>
  <c r="J177" i="62" a="1"/>
  <c r="J177" i="62" s="1"/>
  <c r="D59" i="62"/>
  <c r="G89" i="62" a="1"/>
  <c r="G89" i="62" s="1"/>
  <c r="G80" i="62" a="1"/>
  <c r="G80" i="62" s="1"/>
  <c r="G73" i="62" a="1"/>
  <c r="G73" i="62" s="1"/>
  <c r="G65" i="62" a="1"/>
  <c r="G65" i="62" s="1"/>
  <c r="G88" i="62" a="1"/>
  <c r="G88" i="62" s="1"/>
  <c r="I88" i="62" s="1" a="1"/>
  <c r="I88" i="62" s="1"/>
  <c r="H186" i="62" s="1"/>
  <c r="G79" i="62" a="1"/>
  <c r="G79" i="62" s="1"/>
  <c r="G72" i="62" a="1"/>
  <c r="G72" i="62" s="1"/>
  <c r="G64" i="62" a="1"/>
  <c r="G64" i="62" s="1"/>
  <c r="I64" i="62" s="1" a="1"/>
  <c r="I64" i="62" s="1"/>
  <c r="H162" i="62" s="1"/>
  <c r="I162" i="62" s="1"/>
  <c r="K162" i="62" s="1" a="1"/>
  <c r="K162" i="62" s="1"/>
  <c r="G86" i="62" a="1"/>
  <c r="G86" i="62" s="1"/>
  <c r="I86" i="62" s="1" a="1"/>
  <c r="I86" i="62" s="1"/>
  <c r="H184" i="62" s="1"/>
  <c r="G78" i="62" a="1"/>
  <c r="G78" i="62" s="1"/>
  <c r="I78" i="62" s="1" a="1"/>
  <c r="I78" i="62" s="1"/>
  <c r="H176" i="62" s="1"/>
  <c r="I176" i="62" s="1"/>
  <c r="K176" i="62" s="1" a="1"/>
  <c r="K176" i="62" s="1"/>
  <c r="G71" i="62" a="1"/>
  <c r="G71" i="62" s="1"/>
  <c r="G63" i="62" a="1"/>
  <c r="G63" i="62" s="1"/>
  <c r="I63" i="62" s="1" a="1"/>
  <c r="I63" i="62" s="1"/>
  <c r="H161" i="62" s="1"/>
  <c r="I161" i="62" s="1"/>
  <c r="K161" i="62" s="1" a="1"/>
  <c r="K161" i="62" s="1"/>
  <c r="G85" i="62" a="1"/>
  <c r="G85" i="62" s="1"/>
  <c r="G77" i="62" a="1"/>
  <c r="G77" i="62" s="1"/>
  <c r="G69" i="62" a="1"/>
  <c r="G69" i="62" s="1"/>
  <c r="G62" i="62" a="1"/>
  <c r="G62" i="62" s="1"/>
  <c r="G92" i="62" a="1"/>
  <c r="G92" i="62" s="1"/>
  <c r="G84" i="62" a="1"/>
  <c r="G84" i="62" s="1"/>
  <c r="G76" i="62" a="1"/>
  <c r="G76" i="62" s="1"/>
  <c r="I76" i="62" s="1" a="1"/>
  <c r="I76" i="62" s="1"/>
  <c r="H174" i="62" s="1"/>
  <c r="G68" i="62" a="1"/>
  <c r="G68" i="62" s="1"/>
  <c r="G61" i="62" a="1"/>
  <c r="G61" i="62" s="1"/>
  <c r="G91" i="62" a="1"/>
  <c r="G91" i="62" s="1"/>
  <c r="G83" i="62" a="1"/>
  <c r="G83" i="62" s="1"/>
  <c r="G75" i="62" a="1"/>
  <c r="G75" i="62" s="1"/>
  <c r="I75" i="62" s="1" a="1"/>
  <c r="I75" i="62" s="1"/>
  <c r="H173" i="62" s="1"/>
  <c r="I173" i="62" s="1"/>
  <c r="G67" i="62" a="1"/>
  <c r="G67" i="62" s="1"/>
  <c r="G60" i="62" a="1"/>
  <c r="G60" i="62" s="1"/>
  <c r="G90" i="62" a="1"/>
  <c r="G90" i="62" s="1"/>
  <c r="G82" i="62" a="1"/>
  <c r="G82" i="62" s="1"/>
  <c r="G74" i="62" a="1"/>
  <c r="G74" i="62" s="1"/>
  <c r="G66" i="62" a="1"/>
  <c r="G66" i="62" s="1"/>
  <c r="J159" i="62" a="1"/>
  <c r="J159" i="62" s="1"/>
  <c r="J173" i="62" a="1"/>
  <c r="J173" i="62" s="1"/>
  <c r="I37" i="60" a="1"/>
  <c r="I37" i="60" s="1"/>
  <c r="O37" i="60" s="1" a="1"/>
  <c r="O37" i="60" s="1"/>
  <c r="J179" i="62" a="1"/>
  <c r="J179" i="62" s="1"/>
  <c r="K38" i="60" a="1"/>
  <c r="K38" i="60" s="1"/>
  <c r="J168" i="62" a="1"/>
  <c r="J168" i="62" s="1"/>
  <c r="J166" i="62" a="1"/>
  <c r="J166" i="62" s="1"/>
  <c r="J133" i="62" a="1"/>
  <c r="J133" i="62" s="1"/>
  <c r="J175" i="62" a="1"/>
  <c r="J175" i="62" s="1"/>
  <c r="J185" i="62" a="1"/>
  <c r="J185" i="62" s="1"/>
  <c r="J138" i="62" a="1"/>
  <c r="J138" i="62" s="1"/>
  <c r="J162" i="62" a="1"/>
  <c r="J162" i="62" s="1"/>
  <c r="J125" i="62" a="1"/>
  <c r="J125" i="62" s="1"/>
  <c r="K27" i="61"/>
  <c r="J27" i="61"/>
  <c r="I27" i="61"/>
  <c r="H27" i="61"/>
  <c r="G27" i="61"/>
  <c r="I13" i="56"/>
  <c r="Q27" i="60" a="1"/>
  <c r="Q27" i="60" s="1"/>
  <c r="J149" i="67"/>
  <c r="G146" i="67"/>
  <c r="G149" i="67"/>
  <c r="J123" i="62" a="1"/>
  <c r="J123" i="62" s="1"/>
  <c r="J165" i="62" a="1"/>
  <c r="J165" i="62" s="1"/>
  <c r="K38" i="61"/>
  <c r="J38" i="61"/>
  <c r="I38" i="61"/>
  <c r="H38" i="61"/>
  <c r="G38" i="61"/>
  <c r="J121" i="62" a="1"/>
  <c r="J121" i="62" s="1"/>
  <c r="P221" i="19" a="1"/>
  <c r="P221" i="19" s="1"/>
  <c r="J136" i="62" a="1"/>
  <c r="J136" i="62" s="1"/>
  <c r="J118" i="62" a="1"/>
  <c r="J118" i="62" s="1"/>
  <c r="D21" i="62"/>
  <c r="G189" i="62" a="1"/>
  <c r="G189" i="62" s="1"/>
  <c r="G177" i="62" a="1"/>
  <c r="G177" i="62" s="1"/>
  <c r="G145" i="62" a="1"/>
  <c r="G145" i="62" s="1"/>
  <c r="G125" i="62" a="1"/>
  <c r="G125" i="62" s="1"/>
  <c r="G118" i="62" a="1"/>
  <c r="G118" i="62" s="1"/>
  <c r="G40" i="62" a="1"/>
  <c r="G40" i="62" s="1"/>
  <c r="I40" i="62" s="1" a="1"/>
  <c r="I40" i="62" s="1"/>
  <c r="H135" i="62" s="1"/>
  <c r="G33" i="62" a="1"/>
  <c r="G33" i="62" s="1"/>
  <c r="G188" i="62" a="1"/>
  <c r="G188" i="62" s="1"/>
  <c r="G167" i="62" a="1"/>
  <c r="G167" i="62" s="1"/>
  <c r="G160" i="62" a="1"/>
  <c r="G160" i="62" s="1"/>
  <c r="G134" i="62" a="1"/>
  <c r="G134" i="62" s="1"/>
  <c r="G25" i="62" a="1"/>
  <c r="G25" i="62" s="1"/>
  <c r="G187" i="62" a="1"/>
  <c r="G187" i="62" s="1"/>
  <c r="G176" i="62" a="1"/>
  <c r="G176" i="62" s="1"/>
  <c r="G143" i="62" a="1"/>
  <c r="G143" i="62" s="1"/>
  <c r="G124" i="62" a="1"/>
  <c r="G124" i="62" s="1"/>
  <c r="G117" i="62" a="1"/>
  <c r="G117" i="62" s="1"/>
  <c r="G54" i="62" a="1"/>
  <c r="G54" i="62" s="1"/>
  <c r="I54" i="62" s="1" a="1"/>
  <c r="I54" i="62" s="1"/>
  <c r="H149" i="62" s="1"/>
  <c r="G47" i="62" a="1"/>
  <c r="G47" i="62" s="1"/>
  <c r="G39" i="62" a="1"/>
  <c r="G39" i="62" s="1"/>
  <c r="I39" i="62" s="1" a="1"/>
  <c r="I39" i="62" s="1"/>
  <c r="H134" i="62" s="1"/>
  <c r="I134" i="62" s="1"/>
  <c r="K134" i="62" s="1" a="1"/>
  <c r="K134" i="62" s="1"/>
  <c r="G31" i="62" a="1"/>
  <c r="G31" i="62" s="1"/>
  <c r="G186" i="62" a="1"/>
  <c r="G186" i="62" s="1"/>
  <c r="G166" i="62" a="1"/>
  <c r="G166" i="62" s="1"/>
  <c r="G159" i="62" a="1"/>
  <c r="G159" i="62" s="1"/>
  <c r="G142" i="62" a="1"/>
  <c r="G142" i="62" s="1"/>
  <c r="G133" i="62" a="1"/>
  <c r="G133" i="62" s="1"/>
  <c r="G24" i="62" a="1"/>
  <c r="G24" i="62" s="1"/>
  <c r="I24" i="62" s="1" a="1"/>
  <c r="I24" i="62" s="1"/>
  <c r="H119" i="62" s="1"/>
  <c r="I119" i="62" s="1"/>
  <c r="G175" i="62" a="1"/>
  <c r="G175" i="62" s="1"/>
  <c r="G141" i="62" a="1"/>
  <c r="G141" i="62" s="1"/>
  <c r="G123" i="62" a="1"/>
  <c r="G123" i="62" s="1"/>
  <c r="G53" i="62" a="1"/>
  <c r="G53" i="62" s="1"/>
  <c r="G46" i="62" a="1"/>
  <c r="G46" i="62" s="1"/>
  <c r="I46" i="62" s="1" a="1"/>
  <c r="I46" i="62" s="1"/>
  <c r="H141" i="62" s="1"/>
  <c r="G38" i="62" a="1"/>
  <c r="G38" i="62" s="1"/>
  <c r="G30" i="62" a="1"/>
  <c r="G30" i="62" s="1"/>
  <c r="I30" i="62" s="1" a="1"/>
  <c r="I30" i="62" s="1"/>
  <c r="H125" i="62" s="1"/>
  <c r="I125" i="62" s="1"/>
  <c r="K125" i="62" s="1" a="1"/>
  <c r="K125" i="62" s="1"/>
  <c r="G184" i="62" a="1"/>
  <c r="G184" i="62" s="1"/>
  <c r="G165" i="62" a="1"/>
  <c r="G165" i="62" s="1"/>
  <c r="G158" i="62" a="1"/>
  <c r="G158" i="62" s="1"/>
  <c r="G140" i="62" a="1"/>
  <c r="G140" i="62" s="1"/>
  <c r="G132" i="62" a="1"/>
  <c r="G132" i="62" s="1"/>
  <c r="G23" i="62" a="1"/>
  <c r="G23" i="62" s="1"/>
  <c r="G183" i="62" a="1"/>
  <c r="G183" i="62" s="1"/>
  <c r="G174" i="62" a="1"/>
  <c r="G174" i="62" s="1"/>
  <c r="G139" i="62" a="1"/>
  <c r="G139" i="62" s="1"/>
  <c r="G131" i="62" a="1"/>
  <c r="G131" i="62" s="1"/>
  <c r="G122" i="62" a="1"/>
  <c r="G122" i="62" s="1"/>
  <c r="G52" i="62" a="1"/>
  <c r="G52" i="62" s="1"/>
  <c r="I52" i="62" s="1" a="1"/>
  <c r="I52" i="62" s="1"/>
  <c r="H147" i="62" s="1"/>
  <c r="G45" i="62" a="1"/>
  <c r="G45" i="62" s="1"/>
  <c r="G37" i="62" a="1"/>
  <c r="G37" i="62" s="1"/>
  <c r="I37" i="62" s="1" a="1"/>
  <c r="I37" i="62" s="1"/>
  <c r="H132" i="62" s="1"/>
  <c r="I132" i="62" s="1"/>
  <c r="K132" i="62" s="1" a="1"/>
  <c r="K132" i="62" s="1"/>
  <c r="G29" i="62" a="1"/>
  <c r="G29" i="62" s="1"/>
  <c r="G182" i="62" a="1"/>
  <c r="G182" i="62" s="1"/>
  <c r="G164" i="62" a="1"/>
  <c r="G164" i="62" s="1"/>
  <c r="G130" i="62" a="1"/>
  <c r="G130" i="62" s="1"/>
  <c r="G22" i="62" a="1"/>
  <c r="G22" i="62" s="1"/>
  <c r="G181" i="62" a="1"/>
  <c r="G181" i="62" s="1"/>
  <c r="G173" i="62" a="1"/>
  <c r="G173" i="62" s="1"/>
  <c r="G129" i="62" a="1"/>
  <c r="G129" i="62" s="1"/>
  <c r="G121" i="62" a="1"/>
  <c r="G121" i="62" s="1"/>
  <c r="G51" i="62" a="1"/>
  <c r="G51" i="62" s="1"/>
  <c r="G44" i="62" a="1"/>
  <c r="G44" i="62" s="1"/>
  <c r="G36" i="62" a="1"/>
  <c r="G36" i="62" s="1"/>
  <c r="G28" i="62" a="1"/>
  <c r="G28" i="62" s="1"/>
  <c r="G180" i="62" a="1"/>
  <c r="G180" i="62" s="1"/>
  <c r="G172" i="62" a="1"/>
  <c r="G172" i="62" s="1"/>
  <c r="G163" i="62" a="1"/>
  <c r="G163" i="62" s="1"/>
  <c r="G137" i="62" a="1"/>
  <c r="G137" i="62" s="1"/>
  <c r="G128" i="62" a="1"/>
  <c r="G128" i="62" s="1"/>
  <c r="G171" i="62" a="1"/>
  <c r="G171" i="62" s="1"/>
  <c r="G149" i="62" a="1"/>
  <c r="G149" i="62" s="1"/>
  <c r="G120" i="62" a="1"/>
  <c r="G120" i="62" s="1"/>
  <c r="G50" i="62" a="1"/>
  <c r="G50" i="62" s="1"/>
  <c r="G42" i="62" a="1"/>
  <c r="G42" i="62" s="1"/>
  <c r="G35" i="62" a="1"/>
  <c r="G35" i="62" s="1"/>
  <c r="G27" i="62" a="1"/>
  <c r="G27" i="62" s="1"/>
  <c r="G170" i="62" a="1"/>
  <c r="G170" i="62" s="1"/>
  <c r="G162" i="62" a="1"/>
  <c r="G162" i="62" s="1"/>
  <c r="G148" i="62" a="1"/>
  <c r="G148" i="62" s="1"/>
  <c r="G136" i="62" a="1"/>
  <c r="G136" i="62" s="1"/>
  <c r="G178" i="62" a="1"/>
  <c r="G178" i="62" s="1"/>
  <c r="G169" i="62" a="1"/>
  <c r="G169" i="62" s="1"/>
  <c r="G147" i="62" a="1"/>
  <c r="G147" i="62" s="1"/>
  <c r="G126" i="62" a="1"/>
  <c r="G126" i="62" s="1"/>
  <c r="G119" i="62" a="1"/>
  <c r="G119" i="62" s="1"/>
  <c r="G41" i="62" a="1"/>
  <c r="G41" i="62" s="1"/>
  <c r="I41" i="62" s="1" a="1"/>
  <c r="I41" i="62" s="1"/>
  <c r="H136" i="62" s="1"/>
  <c r="I136" i="62" s="1"/>
  <c r="K136" i="62" s="1" a="1"/>
  <c r="K136" i="62" s="1"/>
  <c r="G34" i="62" a="1"/>
  <c r="G34" i="62" s="1"/>
  <c r="G190" i="62" a="1"/>
  <c r="G190" i="62" s="1"/>
  <c r="G161" i="62" a="1"/>
  <c r="G161" i="62" s="1"/>
  <c r="G146" i="62" a="1"/>
  <c r="G146" i="62" s="1"/>
  <c r="G135" i="62" a="1"/>
  <c r="G135" i="62" s="1"/>
  <c r="G48" i="62" a="1"/>
  <c r="G48" i="62" s="1"/>
  <c r="I48" i="62" s="1" a="1"/>
  <c r="I48" i="62" s="1"/>
  <c r="H143" i="62" s="1"/>
  <c r="G26" i="62" a="1"/>
  <c r="G26" i="62" s="1"/>
  <c r="I26" i="62" s="1" a="1"/>
  <c r="I26" i="62" s="1"/>
  <c r="H121" i="62" s="1"/>
  <c r="I121" i="62" s="1"/>
  <c r="K121" i="62" s="1" a="1"/>
  <c r="K121" i="62" s="1"/>
  <c r="E59" i="62"/>
  <c r="H59" i="62" s="1" a="1"/>
  <c r="H59" i="62" s="1"/>
  <c r="H88" i="62" a="1"/>
  <c r="H88" i="62" s="1"/>
  <c r="H79" i="62" a="1"/>
  <c r="H79" i="62" s="1"/>
  <c r="H72" i="62" a="1"/>
  <c r="H72" i="62" s="1"/>
  <c r="H64" i="62" a="1"/>
  <c r="H64" i="62" s="1"/>
  <c r="H86" i="62" a="1"/>
  <c r="H86" i="62" s="1"/>
  <c r="H78" i="62" a="1"/>
  <c r="H78" i="62" s="1"/>
  <c r="H71" i="62" a="1"/>
  <c r="H71" i="62" s="1"/>
  <c r="H63" i="62" a="1"/>
  <c r="H63" i="62" s="1"/>
  <c r="H85" i="62" a="1"/>
  <c r="H85" i="62" s="1"/>
  <c r="H77" i="62" a="1"/>
  <c r="H77" i="62" s="1"/>
  <c r="H69" i="62" a="1"/>
  <c r="H69" i="62" s="1"/>
  <c r="I69" i="62" s="1" a="1"/>
  <c r="I69" i="62" s="1"/>
  <c r="H167" i="62" s="1"/>
  <c r="I167" i="62" s="1"/>
  <c r="K167" i="62" s="1" a="1"/>
  <c r="K167" i="62" s="1"/>
  <c r="H62" i="62" a="1"/>
  <c r="H62" i="62" s="1"/>
  <c r="H92" i="62" a="1"/>
  <c r="H92" i="62" s="1"/>
  <c r="H84" i="62" a="1"/>
  <c r="H84" i="62" s="1"/>
  <c r="H76" i="62" a="1"/>
  <c r="H76" i="62" s="1"/>
  <c r="H68" i="62" a="1"/>
  <c r="H68" i="62" s="1"/>
  <c r="H61" i="62" a="1"/>
  <c r="H61" i="62" s="1"/>
  <c r="I61" i="62" s="1" a="1"/>
  <c r="I61" i="62" s="1"/>
  <c r="H159" i="62" s="1"/>
  <c r="I159" i="62" s="1"/>
  <c r="K159" i="62" s="1" a="1"/>
  <c r="K159" i="62" s="1"/>
  <c r="H91" i="62" a="1"/>
  <c r="H91" i="62" s="1"/>
  <c r="I91" i="62" s="1" a="1"/>
  <c r="I91" i="62" s="1"/>
  <c r="H189" i="62" s="1"/>
  <c r="H83" i="62" a="1"/>
  <c r="H83" i="62" s="1"/>
  <c r="H75" i="62" a="1"/>
  <c r="H75" i="62" s="1"/>
  <c r="H67" i="62" a="1"/>
  <c r="H67" i="62" s="1"/>
  <c r="I67" i="62" s="1" a="1"/>
  <c r="I67" i="62" s="1"/>
  <c r="H165" i="62" s="1"/>
  <c r="H60" i="62" a="1"/>
  <c r="H60" i="62" s="1"/>
  <c r="I60" i="62" s="1" a="1"/>
  <c r="I60" i="62" s="1"/>
  <c r="H158" i="62" s="1"/>
  <c r="I158" i="62" s="1"/>
  <c r="K158" i="62" s="1" a="1"/>
  <c r="K158" i="62" s="1"/>
  <c r="H90" i="62" a="1"/>
  <c r="H90" i="62" s="1"/>
  <c r="H82" i="62" a="1"/>
  <c r="H82" i="62" s="1"/>
  <c r="I82" i="62" s="1" a="1"/>
  <c r="I82" i="62" s="1"/>
  <c r="H180" i="62" s="1"/>
  <c r="H74" i="62" a="1"/>
  <c r="H74" i="62" s="1"/>
  <c r="I74" i="62" s="1" a="1"/>
  <c r="I74" i="62" s="1"/>
  <c r="H172" i="62" s="1"/>
  <c r="H66" i="62" a="1"/>
  <c r="H66" i="62" s="1"/>
  <c r="I66" i="62" s="1" a="1"/>
  <c r="I66" i="62" s="1"/>
  <c r="H164" i="62" s="1"/>
  <c r="H89" i="62" a="1"/>
  <c r="H89" i="62" s="1"/>
  <c r="H80" i="62" a="1"/>
  <c r="H80" i="62" s="1"/>
  <c r="H73" i="62" a="1"/>
  <c r="H73" i="62" s="1"/>
  <c r="H65" i="62" a="1"/>
  <c r="H65" i="62" s="1"/>
  <c r="H38" i="60" a="1"/>
  <c r="H38" i="60" s="1"/>
  <c r="P27" i="60" a="1"/>
  <c r="P27" i="60" s="1"/>
  <c r="E21" i="62"/>
  <c r="H21" i="62" s="1" a="1"/>
  <c r="H21" i="62" s="1"/>
  <c r="H25" i="62" a="1"/>
  <c r="H25" i="62" s="1"/>
  <c r="I25" i="62" s="1" a="1"/>
  <c r="I25" i="62" s="1"/>
  <c r="H120" i="62" s="1"/>
  <c r="I120" i="62" s="1"/>
  <c r="K120" i="62" s="1" a="1"/>
  <c r="K120" i="62" s="1"/>
  <c r="H54" i="62" a="1"/>
  <c r="H54" i="62" s="1"/>
  <c r="H47" i="62" a="1"/>
  <c r="H47" i="62" s="1"/>
  <c r="I47" i="62" s="1" a="1"/>
  <c r="I47" i="62" s="1"/>
  <c r="H142" i="62" s="1"/>
  <c r="H39" i="62" a="1"/>
  <c r="H39" i="62" s="1"/>
  <c r="H31" i="62" a="1"/>
  <c r="H31" i="62" s="1"/>
  <c r="H24" i="62" a="1"/>
  <c r="H24" i="62" s="1"/>
  <c r="H53" i="62" a="1"/>
  <c r="H53" i="62" s="1"/>
  <c r="H46" i="62" a="1"/>
  <c r="H46" i="62" s="1"/>
  <c r="H38" i="62" a="1"/>
  <c r="H38" i="62" s="1"/>
  <c r="H30" i="62" a="1"/>
  <c r="H30" i="62" s="1"/>
  <c r="H23" i="62" a="1"/>
  <c r="H23" i="62" s="1"/>
  <c r="I23" i="62" s="1" a="1"/>
  <c r="I23" i="62" s="1"/>
  <c r="H118" i="62" s="1"/>
  <c r="H52" i="62" a="1"/>
  <c r="H52" i="62" s="1"/>
  <c r="H45" i="62" a="1"/>
  <c r="H45" i="62" s="1"/>
  <c r="I45" i="62" s="1" a="1"/>
  <c r="I45" i="62" s="1"/>
  <c r="H140" i="62" s="1"/>
  <c r="H37" i="62" a="1"/>
  <c r="H37" i="62" s="1"/>
  <c r="H29" i="62" a="1"/>
  <c r="H29" i="62" s="1"/>
  <c r="H22" i="62" a="1"/>
  <c r="H22" i="62" s="1"/>
  <c r="H51" i="62" a="1"/>
  <c r="H51" i="62" s="1"/>
  <c r="H44" i="62" a="1"/>
  <c r="H44" i="62" s="1"/>
  <c r="H36" i="62" a="1"/>
  <c r="H36" i="62" s="1"/>
  <c r="H28" i="62" a="1"/>
  <c r="H28" i="62" s="1"/>
  <c r="I28" i="62" s="1" a="1"/>
  <c r="I28" i="62" s="1"/>
  <c r="H123" i="62" s="1"/>
  <c r="I123" i="62" s="1"/>
  <c r="K123" i="62" s="1" a="1"/>
  <c r="K123" i="62" s="1"/>
  <c r="H50" i="62" a="1"/>
  <c r="H50" i="62" s="1"/>
  <c r="H42" i="62" a="1"/>
  <c r="H42" i="62" s="1"/>
  <c r="I42" i="62" s="1" a="1"/>
  <c r="I42" i="62" s="1"/>
  <c r="H137" i="62" s="1"/>
  <c r="I137" i="62" s="1"/>
  <c r="K137" i="62" s="1" a="1"/>
  <c r="K137" i="62" s="1"/>
  <c r="H35" i="62" a="1"/>
  <c r="H35" i="62" s="1"/>
  <c r="H27" i="62" a="1"/>
  <c r="H27" i="62" s="1"/>
  <c r="H48" i="62" a="1"/>
  <c r="H48" i="62" s="1"/>
  <c r="H41" i="62" a="1"/>
  <c r="H41" i="62" s="1"/>
  <c r="H34" i="62" a="1"/>
  <c r="H34" i="62" s="1"/>
  <c r="H26" i="62" a="1"/>
  <c r="H26" i="62" s="1"/>
  <c r="H40" i="62" a="1"/>
  <c r="H40" i="62" s="1"/>
  <c r="H33" i="62" a="1"/>
  <c r="H33" i="62" s="1"/>
  <c r="K25" i="61"/>
  <c r="J25" i="61"/>
  <c r="I25" i="61"/>
  <c r="H25" i="61"/>
  <c r="G25" i="61"/>
  <c r="L27" i="61" a="1"/>
  <c r="L27" i="61" s="1"/>
  <c r="N27" i="61" s="1" a="1"/>
  <c r="N27" i="61" s="1"/>
  <c r="Q31" i="61" a="1"/>
  <c r="Q31" i="61" s="1"/>
  <c r="G38" i="60" a="1"/>
  <c r="G38" i="60" s="1"/>
  <c r="J174" i="62" a="1"/>
  <c r="J174" i="62" s="1"/>
  <c r="I15" i="56"/>
  <c r="V15" i="56"/>
  <c r="K33" i="61"/>
  <c r="J33" i="61"/>
  <c r="I33" i="61"/>
  <c r="H33" i="61"/>
  <c r="G33" i="61"/>
  <c r="Q33" i="61" s="1" a="1"/>
  <c r="Q33" i="61" s="1"/>
  <c r="J38" i="60" a="1"/>
  <c r="J38" i="60" s="1"/>
  <c r="N31" i="61" a="1"/>
  <c r="N31" i="61" s="1"/>
  <c r="J163" i="62" a="1"/>
  <c r="J163" i="62" s="1"/>
  <c r="L39" i="60" a="1"/>
  <c r="L39" i="60" s="1"/>
  <c r="P39" i="60" s="1" a="1"/>
  <c r="P39" i="60" s="1"/>
  <c r="O31" i="61" a="1"/>
  <c r="O31" i="61" s="1"/>
  <c r="J126" i="62" a="1"/>
  <c r="J126" i="62" s="1"/>
  <c r="K28" i="61"/>
  <c r="J28" i="61"/>
  <c r="I28" i="61"/>
  <c r="H28" i="61"/>
  <c r="G28" i="61"/>
  <c r="O28" i="61" s="1" a="1"/>
  <c r="O28" i="61" s="1"/>
  <c r="I16" i="56"/>
  <c r="V16" i="56"/>
  <c r="J122" i="62" a="1"/>
  <c r="J122" i="62" s="1"/>
  <c r="K30" i="61"/>
  <c r="Q30" i="61" s="1" a="1"/>
  <c r="Q30" i="61" s="1"/>
  <c r="J30" i="61"/>
  <c r="I30" i="61"/>
  <c r="O30" i="61" s="1" a="1"/>
  <c r="O30" i="61" s="1"/>
  <c r="H30" i="61"/>
  <c r="G30" i="61"/>
  <c r="J178" i="62" a="1"/>
  <c r="J178" i="62" s="1"/>
  <c r="V12" i="56"/>
  <c r="J137" i="62" a="1"/>
  <c r="J137" i="62" s="1"/>
  <c r="K36" i="61"/>
  <c r="J36" i="61"/>
  <c r="I36" i="61"/>
  <c r="H36" i="61"/>
  <c r="G36" i="61"/>
  <c r="O36" i="61" s="1" a="1"/>
  <c r="O36" i="61" s="1"/>
  <c r="I14" i="56"/>
  <c r="V14" i="56"/>
  <c r="J119" i="62" a="1"/>
  <c r="J119" i="62" s="1"/>
  <c r="N34" i="60" a="1"/>
  <c r="N34" i="60" s="1"/>
  <c r="Q34" i="60" a="1"/>
  <c r="Q34" i="60" s="1"/>
  <c r="E58" i="60" s="1"/>
  <c r="Q33" i="60" a="1"/>
  <c r="Q33" i="60" s="1"/>
  <c r="E52" i="60" s="1"/>
  <c r="P33" i="60" a="1"/>
  <c r="P33" i="60" s="1"/>
  <c r="E51" i="60" s="1"/>
  <c r="O33" i="60" a="1"/>
  <c r="O33" i="60" s="1"/>
  <c r="E50" i="60" s="1"/>
  <c r="P29" i="60" a="1"/>
  <c r="P29" i="60" s="1"/>
  <c r="N29" i="60" a="1"/>
  <c r="N29" i="60" s="1"/>
  <c r="M146" i="67"/>
  <c r="P148" i="67"/>
  <c r="J148" i="67"/>
  <c r="H149" i="67"/>
  <c r="O146" i="67"/>
  <c r="G148" i="67"/>
  <c r="I149" i="67"/>
  <c r="O147" i="67"/>
  <c r="M149" i="67"/>
  <c r="P146" i="67"/>
  <c r="P147" i="67"/>
  <c r="M148" i="67"/>
  <c r="J146" i="67"/>
  <c r="K147" i="67"/>
  <c r="L147" i="67"/>
  <c r="K148" i="67"/>
  <c r="K146" i="67"/>
  <c r="N147" i="67"/>
  <c r="L148" i="67"/>
  <c r="L146" i="67"/>
  <c r="O148" i="67"/>
  <c r="I146" i="67"/>
  <c r="H146" i="67"/>
  <c r="K149" i="67"/>
  <c r="M147" i="67"/>
  <c r="L149" i="67"/>
  <c r="H148" i="67"/>
  <c r="O149" i="67"/>
  <c r="N148" i="67"/>
  <c r="P149" i="67"/>
  <c r="N146" i="67"/>
  <c r="I147" i="67"/>
  <c r="N149" i="67"/>
  <c r="H147" i="67"/>
  <c r="I77" i="62" a="1"/>
  <c r="I77" i="62" s="1"/>
  <c r="H175" i="62" s="1"/>
  <c r="I175" i="62" s="1"/>
  <c r="K175" i="62" s="1" a="1"/>
  <c r="K175" i="62" s="1"/>
  <c r="I53" i="62" a="1"/>
  <c r="I53" i="62" s="1"/>
  <c r="H148" i="62" s="1"/>
  <c r="I34" i="62" a="1"/>
  <c r="I34" i="62" s="1"/>
  <c r="H129" i="62" s="1"/>
  <c r="I80" i="62" a="1"/>
  <c r="I80" i="62" s="1"/>
  <c r="H178" i="62" s="1"/>
  <c r="I178" i="62" s="1"/>
  <c r="K178" i="62" s="1" a="1"/>
  <c r="K178" i="62" s="1"/>
  <c r="I73" i="62" a="1"/>
  <c r="I73" i="62" s="1"/>
  <c r="H171" i="62" s="1"/>
  <c r="I85" i="62" a="1"/>
  <c r="I85" i="62" s="1"/>
  <c r="H183" i="62" s="1"/>
  <c r="I22" i="62" a="1"/>
  <c r="I22" i="62" s="1"/>
  <c r="H117" i="62" s="1"/>
  <c r="I117" i="62" s="1"/>
  <c r="K117" i="62" s="1" a="1"/>
  <c r="K117" i="62" s="1"/>
  <c r="I35" i="62" a="1"/>
  <c r="I35" i="62" s="1"/>
  <c r="H130" i="62" s="1"/>
  <c r="I71" i="62" a="1"/>
  <c r="I71" i="62" s="1"/>
  <c r="H169" i="62" s="1"/>
  <c r="Q40" i="61" a="1"/>
  <c r="Q40" i="61" s="1"/>
  <c r="Q28" i="61" a="1"/>
  <c r="Q28" i="61" s="1"/>
  <c r="P37" i="61" a="1"/>
  <c r="P37" i="61" s="1"/>
  <c r="O37" i="61" a="1"/>
  <c r="O37" i="61" s="1"/>
  <c r="N37" i="61" a="1"/>
  <c r="N37" i="61" s="1"/>
  <c r="Q37" i="61" a="1"/>
  <c r="Q37" i="61" s="1"/>
  <c r="N34" i="61" a="1"/>
  <c r="N34" i="61" s="1"/>
  <c r="P34" i="61" a="1"/>
  <c r="P34" i="61" s="1"/>
  <c r="O34" i="61" a="1"/>
  <c r="O34" i="61" s="1"/>
  <c r="N40" i="61" a="1"/>
  <c r="N40" i="61" s="1"/>
  <c r="O40" i="61" a="1"/>
  <c r="O40" i="61" s="1"/>
  <c r="P28" i="61" a="1"/>
  <c r="P28" i="61" s="1"/>
  <c r="N28" i="61" a="1"/>
  <c r="N28" i="61" s="1"/>
  <c r="P40" i="61" a="1"/>
  <c r="P40" i="61" s="1"/>
  <c r="P39" i="61" a="1"/>
  <c r="P39" i="61" s="1"/>
  <c r="O39" i="61" a="1"/>
  <c r="O39" i="61" s="1"/>
  <c r="N39" i="61" a="1"/>
  <c r="N39" i="61" s="1"/>
  <c r="P26" i="61" a="1"/>
  <c r="P26" i="61" s="1"/>
  <c r="O26" i="61" a="1"/>
  <c r="O26" i="61" s="1"/>
  <c r="N26" i="61" a="1"/>
  <c r="N26" i="61" s="1"/>
  <c r="P30" i="61" a="1"/>
  <c r="P30" i="61" s="1"/>
  <c r="Q34" i="61" a="1"/>
  <c r="Q34" i="61" s="1"/>
  <c r="Q26" i="61" a="1"/>
  <c r="Q26" i="61" s="1"/>
  <c r="Q39" i="61" a="1"/>
  <c r="Q39" i="61" s="1"/>
  <c r="P35" i="61" a="1"/>
  <c r="P35" i="61" s="1"/>
  <c r="O35" i="61" a="1"/>
  <c r="O35" i="61" s="1"/>
  <c r="N35" i="61" a="1"/>
  <c r="N35" i="61" s="1"/>
  <c r="O32" i="60" a="1"/>
  <c r="O32" i="60" s="1"/>
  <c r="N32" i="60" a="1"/>
  <c r="N32" i="60" s="1"/>
  <c r="P32" i="60" a="1"/>
  <c r="P32" i="60" s="1"/>
  <c r="P34" i="60" a="1"/>
  <c r="P34" i="60" s="1"/>
  <c r="Q26" i="60" a="1"/>
  <c r="Q26" i="60" s="1"/>
  <c r="P26" i="60" a="1"/>
  <c r="P26" i="60" s="1"/>
  <c r="O26" i="60" a="1"/>
  <c r="O26" i="60" s="1"/>
  <c r="N26" i="60" a="1"/>
  <c r="N26" i="60" s="1"/>
  <c r="P30" i="60" a="1"/>
  <c r="P30" i="60" s="1"/>
  <c r="O30" i="60" a="1"/>
  <c r="O30" i="60" s="1"/>
  <c r="N30" i="60" a="1"/>
  <c r="N30" i="60" s="1"/>
  <c r="Q29" i="60" a="1"/>
  <c r="Q29" i="60" s="1"/>
  <c r="N33" i="60" a="1"/>
  <c r="N33" i="60" s="1"/>
  <c r="E49" i="60" s="1"/>
  <c r="P31" i="60" a="1"/>
  <c r="P31" i="60" s="1"/>
  <c r="O31" i="60" a="1"/>
  <c r="O31" i="60" s="1"/>
  <c r="N31" i="60" a="1"/>
  <c r="N31" i="60" s="1"/>
  <c r="Q25" i="60" a="1"/>
  <c r="Q25" i="60" s="1"/>
  <c r="P25" i="60" a="1"/>
  <c r="P25" i="60" s="1"/>
  <c r="O25" i="60" a="1"/>
  <c r="O25" i="60" s="1"/>
  <c r="N25" i="60" a="1"/>
  <c r="N25" i="60" s="1"/>
  <c r="P28" i="60" a="1"/>
  <c r="P28" i="60" s="1"/>
  <c r="O28" i="60" a="1"/>
  <c r="O28" i="60" s="1"/>
  <c r="N28" i="60" a="1"/>
  <c r="N28" i="60" s="1"/>
  <c r="Q28" i="60" a="1"/>
  <c r="Q28" i="60" s="1"/>
  <c r="N35" i="60" a="1"/>
  <c r="N35" i="60" s="1"/>
  <c r="Q30" i="60" a="1"/>
  <c r="Q30" i="60" s="1"/>
  <c r="Q31" i="60" a="1"/>
  <c r="Q31" i="60" s="1"/>
  <c r="N37" i="60" a="1"/>
  <c r="N37" i="60" s="1"/>
  <c r="Q37" i="60" a="1"/>
  <c r="Q37" i="60" s="1"/>
  <c r="P37" i="60" a="1"/>
  <c r="P37" i="60" s="1"/>
  <c r="O35" i="60" a="1"/>
  <c r="O35" i="60" s="1"/>
  <c r="E56" i="60" s="1"/>
  <c r="P35" i="60" a="1"/>
  <c r="P35" i="60" s="1"/>
  <c r="Q32" i="60" a="1"/>
  <c r="Q32" i="60" s="1"/>
  <c r="I50" i="34"/>
  <c r="J15" i="34"/>
  <c r="O61" i="34"/>
  <c r="O26" i="34"/>
  <c r="N30" i="61" l="1" a="1"/>
  <c r="N30" i="61" s="1"/>
  <c r="I27" i="62" a="1"/>
  <c r="I27" i="62" s="1"/>
  <c r="H122" i="62" s="1"/>
  <c r="I122" i="62" s="1"/>
  <c r="K122" i="62" s="1" a="1"/>
  <c r="K122" i="62" s="1"/>
  <c r="I92" i="62" a="1"/>
  <c r="I92" i="62" s="1"/>
  <c r="H190" i="62" s="1"/>
  <c r="I38" i="62" a="1"/>
  <c r="I38" i="62" s="1"/>
  <c r="H133" i="62" s="1"/>
  <c r="I133" i="62" s="1"/>
  <c r="K133" i="62" s="1" a="1"/>
  <c r="K133" i="62" s="1"/>
  <c r="I29" i="62" a="1"/>
  <c r="I29" i="62" s="1"/>
  <c r="H124" i="62" s="1"/>
  <c r="I124" i="62" s="1"/>
  <c r="K124" i="62" s="1" a="1"/>
  <c r="K124" i="62" s="1"/>
  <c r="I31" i="62" a="1"/>
  <c r="I31" i="62" s="1"/>
  <c r="H126" i="62" s="1"/>
  <c r="I126" i="62" s="1"/>
  <c r="K126" i="62" s="1" a="1"/>
  <c r="K126" i="62" s="1"/>
  <c r="I33" i="62" a="1"/>
  <c r="I33" i="62" s="1"/>
  <c r="H128" i="62" s="1"/>
  <c r="I127" i="62" s="1"/>
  <c r="K127" i="62" s="1" a="1"/>
  <c r="K127" i="62" s="1"/>
  <c r="Q27" i="61" a="1"/>
  <c r="Q27" i="61" s="1"/>
  <c r="I62" i="62" a="1"/>
  <c r="I62" i="62" s="1"/>
  <c r="H160" i="62" s="1"/>
  <c r="I160" i="62" s="1"/>
  <c r="K160" i="62" s="1" a="1"/>
  <c r="K160" i="62" s="1"/>
  <c r="I89" i="62" a="1"/>
  <c r="I89" i="62" s="1"/>
  <c r="H187" i="62" s="1"/>
  <c r="I185" i="62" s="1"/>
  <c r="K185" i="62" s="1" a="1"/>
  <c r="K185" i="62" s="1"/>
  <c r="I135" i="62"/>
  <c r="K135" i="62" s="1" a="1"/>
  <c r="K135" i="62" s="1"/>
  <c r="I50" i="62" a="1"/>
  <c r="I50" i="62" s="1"/>
  <c r="H145" i="62" s="1"/>
  <c r="I144" i="62" s="1"/>
  <c r="K144" i="62" s="1" a="1"/>
  <c r="K144" i="62" s="1"/>
  <c r="I36" i="62" a="1"/>
  <c r="I36" i="62" s="1"/>
  <c r="H131" i="62" s="1"/>
  <c r="P36" i="61" a="1"/>
  <c r="P36" i="61" s="1"/>
  <c r="I44" i="62" a="1"/>
  <c r="I44" i="62" s="1"/>
  <c r="H139" i="62" s="1"/>
  <c r="I83" i="62" a="1"/>
  <c r="I83" i="62" s="1"/>
  <c r="H181" i="62" s="1"/>
  <c r="E221" i="19" a="1"/>
  <c r="E221" i="19" s="1"/>
  <c r="I174" i="62"/>
  <c r="K174" i="62" s="1" a="1"/>
  <c r="K174" i="62" s="1"/>
  <c r="P38" i="60" a="1"/>
  <c r="P38" i="60" s="1"/>
  <c r="I118" i="62"/>
  <c r="K118" i="62" s="1" a="1"/>
  <c r="K118" i="62" s="1"/>
  <c r="I68" i="62" a="1"/>
  <c r="I68" i="62" s="1"/>
  <c r="H166" i="62" s="1"/>
  <c r="I166" i="62" s="1"/>
  <c r="K166" i="62" s="1" a="1"/>
  <c r="K166" i="62" s="1"/>
  <c r="I79" i="62" a="1"/>
  <c r="I79" i="62" s="1"/>
  <c r="H177" i="62" s="1"/>
  <c r="I177" i="62" s="1"/>
  <c r="K177" i="62" s="1" a="1"/>
  <c r="K177" i="62" s="1"/>
  <c r="I84" i="62" a="1"/>
  <c r="I84" i="62" s="1"/>
  <c r="H182" i="62" s="1"/>
  <c r="I179" i="62" s="1"/>
  <c r="K179" i="62" s="1" a="1"/>
  <c r="K179" i="62" s="1"/>
  <c r="I65" i="62" a="1"/>
  <c r="I65" i="62" s="1"/>
  <c r="H163" i="62" s="1"/>
  <c r="I163" i="62" s="1"/>
  <c r="K163" i="62" s="1" a="1"/>
  <c r="K163" i="62" s="1"/>
  <c r="I164" i="62"/>
  <c r="K164" i="62" s="1" a="1"/>
  <c r="K164" i="62" s="1"/>
  <c r="Q38" i="61" a="1"/>
  <c r="Q38" i="61" s="1"/>
  <c r="K119" i="62" a="1"/>
  <c r="K119" i="62" s="1"/>
  <c r="G59" i="62" a="1"/>
  <c r="G59" i="62" s="1"/>
  <c r="I59" i="62" s="1" a="1"/>
  <c r="I59" i="62" s="1"/>
  <c r="H157" i="62" s="1"/>
  <c r="I157" i="62" s="1"/>
  <c r="K157" i="62" s="1" a="1"/>
  <c r="K157" i="62" s="1"/>
  <c r="O39" i="60" a="1"/>
  <c r="O39" i="60" s="1"/>
  <c r="P25" i="61" a="1"/>
  <c r="P25" i="61" s="1"/>
  <c r="O25" i="61" a="1"/>
  <c r="O25" i="61" s="1"/>
  <c r="N25" i="61" a="1"/>
  <c r="N25" i="61" s="1"/>
  <c r="Q39" i="60" a="1"/>
  <c r="Q39" i="60" s="1"/>
  <c r="I90" i="62" a="1"/>
  <c r="I90" i="62" s="1"/>
  <c r="H188" i="62" s="1"/>
  <c r="N38" i="60" a="1"/>
  <c r="N38" i="60" s="1"/>
  <c r="E61" i="60" s="1"/>
  <c r="O38" i="60" a="1"/>
  <c r="O38" i="60" s="1"/>
  <c r="E62" i="60" s="1"/>
  <c r="Q38" i="60" a="1"/>
  <c r="Q38" i="60" s="1"/>
  <c r="E64" i="60" s="1"/>
  <c r="N33" i="61" a="1"/>
  <c r="N33" i="61" s="1"/>
  <c r="K173" i="62" a="1"/>
  <c r="K173" i="62" s="1"/>
  <c r="Q25" i="61" a="1"/>
  <c r="Q25" i="61" s="1"/>
  <c r="E46" i="61" s="1"/>
  <c r="I51" i="62" a="1"/>
  <c r="I51" i="62" s="1"/>
  <c r="H146" i="62" s="1"/>
  <c r="N39" i="60" a="1"/>
  <c r="N39" i="60" s="1"/>
  <c r="O33" i="61" a="1"/>
  <c r="O33" i="61" s="1"/>
  <c r="P33" i="61" a="1"/>
  <c r="P33" i="61" s="1"/>
  <c r="Q36" i="61" a="1"/>
  <c r="Q36" i="61" s="1"/>
  <c r="G116" i="62" a="1"/>
  <c r="G116" i="62" s="1"/>
  <c r="G157" i="62" a="1"/>
  <c r="G157" i="62" s="1"/>
  <c r="G21" i="62" a="1"/>
  <c r="G21" i="62" s="1"/>
  <c r="I21" i="62" s="1" a="1"/>
  <c r="I21" i="62" s="1"/>
  <c r="H116" i="62" s="1"/>
  <c r="O27" i="61" a="1"/>
  <c r="O27" i="61" s="1"/>
  <c r="P27" i="61" a="1"/>
  <c r="P27" i="61" s="1"/>
  <c r="N36" i="61" a="1"/>
  <c r="N36" i="61" s="1"/>
  <c r="P38" i="61" a="1"/>
  <c r="P38" i="61" s="1"/>
  <c r="N38" i="61" a="1"/>
  <c r="N38" i="61" s="1"/>
  <c r="O38" i="61" a="1"/>
  <c r="O38" i="61" s="1"/>
  <c r="E50" i="61" s="1"/>
  <c r="I165" i="62"/>
  <c r="K165" i="62" s="1" a="1"/>
  <c r="K165" i="62" s="1"/>
  <c r="I72" i="62" a="1"/>
  <c r="I72" i="62" s="1"/>
  <c r="H170" i="62" s="1"/>
  <c r="I168" i="62" s="1"/>
  <c r="K168" i="62" s="1" a="1"/>
  <c r="K168" i="62" s="1"/>
  <c r="E55" i="60"/>
  <c r="I138" i="62"/>
  <c r="K138" i="62" s="1" a="1"/>
  <c r="K138" i="62" s="1"/>
  <c r="E43" i="61"/>
  <c r="E44" i="60"/>
  <c r="E45" i="60"/>
  <c r="E63" i="60"/>
  <c r="E46" i="60"/>
  <c r="E43" i="60"/>
  <c r="E57" i="60"/>
  <c r="E51" i="61" l="1"/>
  <c r="E57" i="61" s="1"/>
  <c r="I116" i="62"/>
  <c r="K116" i="62" s="1" a="1"/>
  <c r="K116" i="62" s="1"/>
  <c r="E49" i="61"/>
  <c r="E52" i="61"/>
  <c r="E58" i="61" s="1"/>
  <c r="E44" i="61"/>
  <c r="E45" i="61"/>
  <c r="E192" i="62"/>
  <c r="E55" i="61"/>
  <c r="E151" i="62"/>
  <c r="E56" i="61"/>
  <c r="E67" i="60"/>
  <c r="E70" i="60"/>
  <c r="E69" i="60"/>
  <c r="E68" i="60"/>
  <c r="I72" i="34"/>
  <c r="I71" i="34"/>
  <c r="I70" i="34"/>
  <c r="I52" i="34"/>
  <c r="I51" i="34"/>
  <c r="J16" i="34"/>
  <c r="I553" i="19"/>
  <c r="I549" i="19"/>
  <c r="I548" i="19"/>
  <c r="I547" i="19"/>
  <c r="I531" i="19"/>
  <c r="I530" i="19" s="1" a="1"/>
  <c r="I530" i="19" s="1"/>
  <c r="I529" i="19"/>
  <c r="E481" i="19"/>
  <c r="E480" i="19"/>
  <c r="E479" i="19"/>
  <c r="E470" i="19"/>
  <c r="E469" i="19"/>
  <c r="E468" i="19"/>
  <c r="E467" i="19"/>
  <c r="E466" i="19"/>
  <c r="E164" i="19"/>
  <c r="E163" i="19"/>
  <c r="E162" i="19"/>
  <c r="E139" i="19"/>
  <c r="E138" i="19"/>
  <c r="E137" i="19"/>
  <c r="E136" i="19"/>
  <c r="I68" i="34" l="1"/>
  <c r="I49" i="34"/>
  <c r="D36" i="41"/>
  <c r="D35" i="41"/>
  <c r="D28" i="41"/>
  <c r="D27" i="41"/>
  <c r="D26" i="41"/>
  <c r="D25" i="41"/>
  <c r="D24" i="41"/>
  <c r="D14" i="41"/>
  <c r="D13" i="41"/>
  <c r="D12" i="41"/>
  <c r="D11" i="41"/>
  <c r="I53" i="34" l="1"/>
  <c r="H102" i="13"/>
  <c r="H101" i="13"/>
  <c r="H100" i="13"/>
  <c r="H99" i="13"/>
  <c r="H98" i="13"/>
  <c r="H97" i="13"/>
  <c r="H96" i="13"/>
  <c r="H95" i="13"/>
  <c r="H94" i="13"/>
  <c r="H93" i="13"/>
  <c r="F627" i="19" a="1"/>
  <c r="F627" i="19" s="1"/>
  <c r="E627" i="19" a="1"/>
  <c r="E627" i="19" s="1"/>
  <c r="D627" i="19" a="1"/>
  <c r="D627" i="19" s="1"/>
  <c r="F609" i="19" a="1"/>
  <c r="F609" i="19" s="1"/>
  <c r="E609" i="19" a="1"/>
  <c r="E609" i="19" s="1"/>
  <c r="J609" i="19" s="1" a="1"/>
  <c r="J609" i="19" s="1"/>
  <c r="D609" i="19" a="1"/>
  <c r="D609" i="19" s="1"/>
  <c r="G601" i="19" a="1"/>
  <c r="G601" i="19" s="1"/>
  <c r="D601" i="19" a="1"/>
  <c r="D601" i="19" s="1"/>
  <c r="E599" i="19" a="1"/>
  <c r="E599" i="19" s="1"/>
  <c r="E598" i="19" a="1"/>
  <c r="E598" i="19" s="1"/>
  <c r="D593" i="19" a="1"/>
  <c r="D593" i="19" s="1"/>
  <c r="D592" i="19" a="1"/>
  <c r="D592" i="19" s="1"/>
  <c r="E594" i="19" a="1"/>
  <c r="J613" i="19" l="1" a="1"/>
  <c r="J613" i="19" s="1"/>
  <c r="J635" i="19" a="1"/>
  <c r="J635" i="19" s="1"/>
  <c r="J627" i="19" a="1"/>
  <c r="J627" i="19" s="1"/>
  <c r="J636" i="19" a="1"/>
  <c r="J636" i="19" s="1"/>
  <c r="J615" i="19" a="1"/>
  <c r="J615" i="19" s="1"/>
  <c r="J617" i="19" a="1"/>
  <c r="J617" i="19" s="1"/>
  <c r="J618" i="19" a="1"/>
  <c r="J618" i="19" s="1"/>
  <c r="J628" i="19" a="1"/>
  <c r="J628" i="19" s="1"/>
  <c r="J629" i="19" a="1"/>
  <c r="J629" i="19" s="1"/>
  <c r="J630" i="19" a="1"/>
  <c r="J630" i="19" s="1"/>
  <c r="J631" i="19" a="1"/>
  <c r="J631" i="19" s="1"/>
  <c r="J614" i="19" a="1"/>
  <c r="J614" i="19" s="1"/>
  <c r="J616" i="19" a="1"/>
  <c r="J616" i="19" s="1"/>
  <c r="J610" i="19" a="1"/>
  <c r="J610" i="19" s="1"/>
  <c r="J632" i="19" a="1"/>
  <c r="J632" i="19" s="1"/>
  <c r="J611" i="19" a="1"/>
  <c r="J611" i="19" s="1"/>
  <c r="J633" i="19" a="1"/>
  <c r="J633" i="19" s="1"/>
  <c r="J612" i="19" a="1"/>
  <c r="J612" i="19" s="1"/>
  <c r="J634" i="19" a="1"/>
  <c r="J634" i="19" s="1"/>
  <c r="D34" i="41" a="1"/>
  <c r="D34" i="41" s="1"/>
  <c r="E594" i="19"/>
  <c r="E586" i="19" a="1"/>
  <c r="E586" i="19" s="1"/>
  <c r="F588" i="19" s="1"/>
  <c r="E585" i="19" a="1"/>
  <c r="E585" i="19" s="1"/>
  <c r="D583" i="19" a="1"/>
  <c r="D583" i="19" s="1"/>
  <c r="D582" i="19" a="1"/>
  <c r="D582" i="19" s="1"/>
  <c r="E588" i="19" l="1"/>
  <c r="E639" i="19"/>
  <c r="F36" i="41" s="1"/>
  <c r="E621" i="19"/>
  <c r="F35" i="41" s="1"/>
  <c r="D33" i="41" a="1"/>
  <c r="D33" i="41" s="1"/>
  <c r="E33" i="41" l="1"/>
  <c r="F33" i="41" s="1"/>
  <c r="H569" i="19" a="1"/>
  <c r="H569" i="19" s="1"/>
  <c r="D569" i="19" a="1"/>
  <c r="D569" i="19" s="1"/>
  <c r="E565" i="19" a="1"/>
  <c r="E565" i="19" s="1"/>
  <c r="E564" i="19" a="1"/>
  <c r="E564" i="19" s="1"/>
  <c r="D560" i="19" a="1"/>
  <c r="D560" i="19" s="1"/>
  <c r="D559" i="19" a="1"/>
  <c r="D559" i="19" s="1"/>
  <c r="H85" i="34" a="1"/>
  <c r="H85" i="34" s="1"/>
  <c r="D85" i="34" a="1"/>
  <c r="E83" i="34" a="1"/>
  <c r="E83" i="34" s="1"/>
  <c r="E82" i="34" a="1"/>
  <c r="E82" i="34" s="1"/>
  <c r="D78" i="34" a="1"/>
  <c r="D78" i="34" s="1"/>
  <c r="D77" i="34" a="1"/>
  <c r="D77" i="34" s="1"/>
  <c r="G67" i="34" a="1"/>
  <c r="G67" i="34" s="1"/>
  <c r="D67" i="34" a="1"/>
  <c r="D67" i="34" s="1"/>
  <c r="E65" i="34" a="1"/>
  <c r="E65" i="34" s="1"/>
  <c r="E64" i="34" a="1"/>
  <c r="E64" i="34" s="1"/>
  <c r="D60" i="34" a="1"/>
  <c r="D60" i="34" s="1"/>
  <c r="D59" i="34" a="1"/>
  <c r="D59" i="34" s="1"/>
  <c r="J17" i="34"/>
  <c r="G48" i="34" a="1"/>
  <c r="G48" i="34" s="1"/>
  <c r="D48" i="34" a="1"/>
  <c r="D48" i="34" s="1"/>
  <c r="E46" i="34" a="1"/>
  <c r="E46" i="34" s="1"/>
  <c r="E45" i="34" a="1"/>
  <c r="E45" i="34" s="1"/>
  <c r="D41" i="34" a="1"/>
  <c r="D41" i="34" s="1"/>
  <c r="D40" i="34" a="1"/>
  <c r="D40" i="34" s="1"/>
  <c r="G32" i="34" a="1"/>
  <c r="G32" i="34" s="1"/>
  <c r="D32" i="34" a="1"/>
  <c r="D32" i="34" s="1"/>
  <c r="E30" i="34" a="1"/>
  <c r="E30" i="34" s="1"/>
  <c r="F35" i="34" s="1"/>
  <c r="E29" i="34" a="1"/>
  <c r="E29" i="34" s="1"/>
  <c r="D25" i="34" a="1"/>
  <c r="D25" i="34" s="1"/>
  <c r="D24" i="34" a="1"/>
  <c r="D24" i="34" s="1"/>
  <c r="D575" i="19" a="1"/>
  <c r="D575" i="19" s="1"/>
  <c r="F578" i="19" a="1"/>
  <c r="F578" i="19" s="1"/>
  <c r="H13" i="34" a="1"/>
  <c r="H13" i="34" s="1"/>
  <c r="D13" i="34" a="1"/>
  <c r="D13" i="34" s="1"/>
  <c r="E11" i="34" a="1"/>
  <c r="E11" i="34" s="1"/>
  <c r="E10" i="34" a="1"/>
  <c r="E10" i="34" s="1"/>
  <c r="D6" i="34" a="1"/>
  <c r="D6" i="34" s="1"/>
  <c r="D5" i="34" a="1"/>
  <c r="D5" i="34" s="1"/>
  <c r="E561" i="19" a="1"/>
  <c r="E26" i="34" a="1"/>
  <c r="E61" i="34" a="1"/>
  <c r="J14" i="34" l="1"/>
  <c r="O19" i="34" s="1" a="1"/>
  <c r="O19" i="34" s="1"/>
  <c r="R569" i="19" s="1"/>
  <c r="F19" i="34"/>
  <c r="P19" i="34"/>
  <c r="F55" i="34"/>
  <c r="P55" i="34"/>
  <c r="F573" i="19"/>
  <c r="N573" i="19"/>
  <c r="F74" i="34"/>
  <c r="P74" i="34"/>
  <c r="F90" i="34"/>
  <c r="P90" i="34"/>
  <c r="D32" i="41" a="1"/>
  <c r="D32" i="41" s="1"/>
  <c r="E561" i="19"/>
  <c r="D85" i="34"/>
  <c r="E61" i="34"/>
  <c r="E26" i="34"/>
  <c r="G547" i="19" l="1" a="1"/>
  <c r="G547" i="19" s="1"/>
  <c r="D547" i="19" a="1"/>
  <c r="D547" i="19" s="1"/>
  <c r="E545" i="19" a="1"/>
  <c r="E545" i="19" s="1"/>
  <c r="E544" i="19" a="1"/>
  <c r="E544" i="19" s="1"/>
  <c r="D539" i="19" a="1"/>
  <c r="D539" i="19" s="1"/>
  <c r="D538" i="19" a="1"/>
  <c r="D538" i="19" s="1"/>
  <c r="D537" i="19" a="1"/>
  <c r="D537" i="19" s="1"/>
  <c r="G529" i="19" a="1"/>
  <c r="G529" i="19" s="1"/>
  <c r="D529" i="19" a="1"/>
  <c r="D529" i="19" s="1"/>
  <c r="E527" i="19" a="1"/>
  <c r="E527" i="19" s="1"/>
  <c r="E526" i="19" a="1"/>
  <c r="E526" i="19" s="1"/>
  <c r="D522" i="19" a="1"/>
  <c r="D522" i="19" s="1"/>
  <c r="D521" i="19" a="1"/>
  <c r="D521" i="19" s="1"/>
  <c r="D31" i="41" l="1" a="1"/>
  <c r="D31" i="41" s="1"/>
  <c r="D30" i="41" a="1"/>
  <c r="D30" i="41" s="1"/>
  <c r="G515" i="19" l="1" a="1"/>
  <c r="G515" i="19" s="1"/>
  <c r="D515" i="19" a="1"/>
  <c r="D515" i="19" s="1"/>
  <c r="E513" i="19" a="1"/>
  <c r="E513" i="19" s="1"/>
  <c r="E512" i="19" a="1"/>
  <c r="E512" i="19" s="1"/>
  <c r="D507" i="19" a="1"/>
  <c r="D507" i="19" s="1"/>
  <c r="D506" i="19" a="1"/>
  <c r="D506" i="19" s="1"/>
  <c r="D29" i="41" l="1" a="1"/>
  <c r="D29" i="41" s="1"/>
  <c r="I516" i="19" l="1"/>
  <c r="I515" i="19" l="1"/>
  <c r="E518" i="19" s="1" a="1"/>
  <c r="E518" i="19" s="1"/>
  <c r="I481" i="19" a="1"/>
  <c r="I481" i="19" s="1"/>
  <c r="I479" i="19" a="1"/>
  <c r="I479" i="19" s="1"/>
  <c r="I470" i="19" a="1"/>
  <c r="I470" i="19" s="1"/>
  <c r="I468" i="19" a="1"/>
  <c r="I468" i="19" s="1"/>
  <c r="I466" i="19" a="1"/>
  <c r="I466" i="19" s="1"/>
  <c r="G424" i="19" a="1"/>
  <c r="G424" i="19" s="1"/>
  <c r="D424" i="19" a="1"/>
  <c r="D424" i="19" s="1"/>
  <c r="E422" i="19" a="1"/>
  <c r="E422" i="19" s="1"/>
  <c r="E421" i="19" a="1"/>
  <c r="E421" i="19" s="1"/>
  <c r="D416" i="19" a="1"/>
  <c r="D416" i="19" s="1"/>
  <c r="D415" i="19" a="1"/>
  <c r="D415" i="19" s="1"/>
  <c r="F399" i="19" a="1"/>
  <c r="F399" i="19" s="1"/>
  <c r="E399" i="19" a="1"/>
  <c r="E399" i="19" s="1"/>
  <c r="J399" i="19" s="1" a="1"/>
  <c r="J399" i="19" s="1"/>
  <c r="D399" i="19" a="1"/>
  <c r="D399" i="19" s="1"/>
  <c r="F392" i="19" a="1"/>
  <c r="F392" i="19" s="1"/>
  <c r="D392" i="19" a="1"/>
  <c r="D392" i="19" s="1"/>
  <c r="E390" i="19" a="1"/>
  <c r="E390" i="19" s="1"/>
  <c r="E389" i="19" a="1"/>
  <c r="E389" i="19" s="1"/>
  <c r="D384" i="19" a="1"/>
  <c r="D384" i="19" s="1"/>
  <c r="D383" i="19" a="1"/>
  <c r="D383" i="19" s="1"/>
  <c r="D354" i="19" a="1"/>
  <c r="D354" i="19" s="1"/>
  <c r="F362" i="19" a="1"/>
  <c r="F362" i="19" s="1"/>
  <c r="D362" i="19" a="1"/>
  <c r="D362" i="19" s="1"/>
  <c r="E360" i="19" a="1"/>
  <c r="E360" i="19" s="1"/>
  <c r="E359" i="19" a="1"/>
  <c r="E359" i="19" s="1"/>
  <c r="D353" i="19" a="1"/>
  <c r="D353" i="19" s="1"/>
  <c r="D352" i="19" a="1"/>
  <c r="D352" i="19" s="1"/>
  <c r="G329" i="19" a="1"/>
  <c r="G329" i="19" s="1"/>
  <c r="D329" i="19" a="1"/>
  <c r="D329" i="19" s="1"/>
  <c r="E327" i="19" a="1"/>
  <c r="E327" i="19" s="1"/>
  <c r="E326" i="19" a="1"/>
  <c r="E326" i="19" s="1"/>
  <c r="D322" i="19" a="1"/>
  <c r="D322" i="19" s="1"/>
  <c r="D321" i="19" a="1"/>
  <c r="D321" i="19" s="1"/>
  <c r="F296" i="19" a="1"/>
  <c r="F296" i="19" s="1"/>
  <c r="D296" i="19" a="1"/>
  <c r="D296" i="19" s="1"/>
  <c r="E294" i="19" a="1"/>
  <c r="E294" i="19" s="1"/>
  <c r="E293" i="19" a="1"/>
  <c r="E293" i="19" s="1"/>
  <c r="D289" i="19" a="1"/>
  <c r="D289" i="19" s="1"/>
  <c r="D288" i="19" a="1"/>
  <c r="D288" i="19" s="1"/>
  <c r="G265" i="19" a="1"/>
  <c r="G265" i="19" s="1"/>
  <c r="D265" i="19" a="1"/>
  <c r="D265" i="19" s="1"/>
  <c r="E263" i="19" a="1"/>
  <c r="E263" i="19" s="1"/>
  <c r="E262" i="19" a="1"/>
  <c r="E262" i="19" s="1"/>
  <c r="D257" i="19" a="1"/>
  <c r="D257" i="19" s="1"/>
  <c r="D256" i="19" a="1"/>
  <c r="D256" i="19" s="1"/>
  <c r="G180" i="19" a="1"/>
  <c r="G180" i="19" s="1"/>
  <c r="D180" i="19" a="1"/>
  <c r="D180" i="19" s="1"/>
  <c r="G194" i="19" a="1"/>
  <c r="G194" i="19" s="1"/>
  <c r="D194" i="19" a="1"/>
  <c r="D194" i="19" s="1"/>
  <c r="G209" i="19" a="1"/>
  <c r="G209" i="19" s="1"/>
  <c r="D209" i="19" a="1"/>
  <c r="D209" i="19" s="1"/>
  <c r="E178" i="19" a="1"/>
  <c r="E178" i="19" s="1"/>
  <c r="E177" i="19" a="1"/>
  <c r="E177" i="19" s="1"/>
  <c r="D173" i="19" a="1"/>
  <c r="D173" i="19" s="1"/>
  <c r="D172" i="19" a="1"/>
  <c r="D172" i="19" s="1"/>
  <c r="D171" i="19" a="1"/>
  <c r="D171" i="19" s="1"/>
  <c r="P237" i="19" a="1"/>
  <c r="P237" i="19" s="1"/>
  <c r="O237" i="19" a="1"/>
  <c r="O237" i="19" s="1"/>
  <c r="D202" i="19" a="1"/>
  <c r="D202" i="19" s="1"/>
  <c r="E207" i="19" a="1"/>
  <c r="E207" i="19" s="1"/>
  <c r="E206" i="19" a="1"/>
  <c r="E206" i="19" s="1"/>
  <c r="D201" i="19" a="1"/>
  <c r="D201" i="19" s="1"/>
  <c r="D200" i="19" a="1"/>
  <c r="D200" i="19" s="1"/>
  <c r="D430" i="19" a="1"/>
  <c r="D430" i="19" s="1"/>
  <c r="E430" i="19" a="1"/>
  <c r="F430" i="19" a="1"/>
  <c r="J435" i="19" s="1" a="1"/>
  <c r="J435" i="19" s="1"/>
  <c r="E100" i="19" a="1"/>
  <c r="E418" i="19" a="1"/>
  <c r="E323" i="19" a="1"/>
  <c r="E355" i="19" a="1"/>
  <c r="E203" i="19" a="1"/>
  <c r="E385" i="19" a="1"/>
  <c r="E290" i="19" a="1"/>
  <c r="E258" i="19" a="1"/>
  <c r="E188" i="19" a="1"/>
  <c r="E174" i="19" a="1"/>
  <c r="E29" i="41" l="1"/>
  <c r="F29" i="41" s="1"/>
  <c r="D23" i="41" a="1"/>
  <c r="D23" i="41" s="1"/>
  <c r="D18" i="41" a="1"/>
  <c r="D18" i="41" s="1"/>
  <c r="D21" i="41" a="1"/>
  <c r="D21" i="41" s="1"/>
  <c r="D22" i="41" a="1"/>
  <c r="D22" i="41" s="1"/>
  <c r="D20" i="41" a="1"/>
  <c r="D20" i="41" s="1"/>
  <c r="D19" i="41" a="1"/>
  <c r="D19" i="41" s="1"/>
  <c r="E418" i="19"/>
  <c r="J408" i="19" a="1"/>
  <c r="J408" i="19" s="1"/>
  <c r="J431" i="19" a="1"/>
  <c r="J431" i="19" s="1"/>
  <c r="G300" i="19"/>
  <c r="J432" i="19" a="1"/>
  <c r="J432" i="19" s="1"/>
  <c r="J433" i="19" a="1"/>
  <c r="J433" i="19" s="1"/>
  <c r="J434" i="19" a="1"/>
  <c r="J434" i="19" s="1"/>
  <c r="K405" i="19"/>
  <c r="K406" i="19"/>
  <c r="J400" i="19" a="1"/>
  <c r="J400" i="19" s="1"/>
  <c r="J402" i="19" a="1"/>
  <c r="J402" i="19" s="1"/>
  <c r="K408" i="19"/>
  <c r="J404" i="19" a="1"/>
  <c r="J404" i="19" s="1"/>
  <c r="K400" i="19"/>
  <c r="J405" i="19" a="1"/>
  <c r="J405" i="19" s="1"/>
  <c r="J403" i="19" a="1"/>
  <c r="J403" i="19" s="1"/>
  <c r="K401" i="19"/>
  <c r="J406" i="19" a="1"/>
  <c r="J406" i="19" s="1"/>
  <c r="J401" i="19" a="1"/>
  <c r="J401" i="19" s="1"/>
  <c r="K404" i="19"/>
  <c r="J407" i="19" a="1"/>
  <c r="J407" i="19" s="1"/>
  <c r="E385" i="19"/>
  <c r="K402" i="19"/>
  <c r="K403" i="19"/>
  <c r="K407" i="19"/>
  <c r="K399" i="19"/>
  <c r="E355" i="19"/>
  <c r="E323" i="19"/>
  <c r="E290" i="19"/>
  <c r="E258" i="19"/>
  <c r="E174" i="19"/>
  <c r="E188" i="19"/>
  <c r="E203" i="19"/>
  <c r="F430" i="19"/>
  <c r="J430" i="19" s="1" a="1"/>
  <c r="J430" i="19" s="1"/>
  <c r="E430" i="19"/>
  <c r="E100" i="19"/>
  <c r="E103" i="19" a="1"/>
  <c r="E103" i="19" s="1"/>
  <c r="E104" i="19" a="1"/>
  <c r="E104" i="19" s="1"/>
  <c r="G106" i="19" a="1"/>
  <c r="G106" i="19" s="1"/>
  <c r="E119" i="19" a="1"/>
  <c r="M119" i="19" a="1"/>
  <c r="N119" i="19" a="1"/>
  <c r="N119" i="19" s="1"/>
  <c r="O119" i="19" a="1"/>
  <c r="Q119" i="19" a="1"/>
  <c r="R119" i="19" a="1"/>
  <c r="R119" i="19" s="1"/>
  <c r="S119" i="19" a="1"/>
  <c r="S119" i="19" s="1"/>
  <c r="U119" i="19" a="1"/>
  <c r="V119" i="19" a="1"/>
  <c r="V119" i="19" s="1"/>
  <c r="W119" i="19" a="1"/>
  <c r="W119" i="19" s="1"/>
  <c r="Y119" i="19" a="1"/>
  <c r="Y119" i="19" s="1"/>
  <c r="Z119" i="19" a="1"/>
  <c r="Z119" i="19" s="1"/>
  <c r="AA119" i="19" a="1"/>
  <c r="AA119" i="19" s="1"/>
  <c r="I136" i="19" a="1"/>
  <c r="I136" i="19" s="1"/>
  <c r="I137" i="19" a="1"/>
  <c r="I137" i="19" s="1"/>
  <c r="E151" i="19" a="1"/>
  <c r="F621" i="19" l="1"/>
  <c r="F620" i="19"/>
  <c r="F642" i="19"/>
  <c r="F638" i="19"/>
  <c r="F641" i="19"/>
  <c r="F639" i="19"/>
  <c r="E411" i="19"/>
  <c r="F22" i="41" s="1"/>
  <c r="U119" i="19"/>
  <c r="F141" i="19"/>
  <c r="F130" i="19"/>
  <c r="F142" i="19"/>
  <c r="F144" i="19"/>
  <c r="F145" i="19"/>
  <c r="F131" i="19"/>
  <c r="M119" i="19"/>
  <c r="E119" i="19"/>
  <c r="Q119" i="19"/>
  <c r="O119" i="19"/>
  <c r="I120" i="19" a="1"/>
  <c r="I120" i="19" s="1"/>
  <c r="I121" i="19" a="1"/>
  <c r="I121" i="19" s="1"/>
  <c r="E151" i="19"/>
  <c r="E154" i="19" a="1"/>
  <c r="E154" i="19" s="1"/>
  <c r="E155" i="19" a="1"/>
  <c r="E155" i="19" s="1"/>
  <c r="G157" i="19" a="1"/>
  <c r="G157" i="19" s="1"/>
  <c r="I162" i="19" a="1"/>
  <c r="I162" i="19" s="1"/>
  <c r="I163" i="19" a="1"/>
  <c r="I163" i="19" s="1"/>
  <c r="I164" i="19" a="1"/>
  <c r="I164" i="19" s="1"/>
  <c r="E192" i="19" a="1"/>
  <c r="E192" i="19" s="1"/>
  <c r="E191" i="19" a="1"/>
  <c r="E191" i="19" s="1"/>
  <c r="D187" i="19" a="1"/>
  <c r="D187" i="19" s="1"/>
  <c r="D186" i="19" a="1"/>
  <c r="D186" i="19" s="1"/>
  <c r="D157" i="19" a="1"/>
  <c r="D157" i="19" s="1"/>
  <c r="D150" i="19" a="1"/>
  <c r="D150" i="19" s="1"/>
  <c r="D149" i="19" a="1"/>
  <c r="D149" i="19" s="1"/>
  <c r="D106" i="19" a="1"/>
  <c r="D106" i="19" s="1"/>
  <c r="D99" i="19" a="1"/>
  <c r="D99" i="19" s="1"/>
  <c r="D98" i="19" a="1"/>
  <c r="D98" i="19" s="1"/>
  <c r="H61" i="19" a="1"/>
  <c r="H61" i="19" s="1"/>
  <c r="E61" i="19" a="1"/>
  <c r="E61" i="19" s="1"/>
  <c r="E42" i="19" a="1"/>
  <c r="E42" i="19" s="1"/>
  <c r="E11" i="19" a="1"/>
  <c r="E11" i="19" s="1"/>
  <c r="F91" i="19" s="1"/>
  <c r="E10" i="19" a="1"/>
  <c r="E10" i="19" s="1"/>
  <c r="G13" i="19" a="1"/>
  <c r="G13" i="19" s="1"/>
  <c r="D13" i="19" a="1"/>
  <c r="D13" i="19" s="1"/>
  <c r="D6" i="19" a="1"/>
  <c r="D6" i="19" s="1"/>
  <c r="D5" i="19" a="1"/>
  <c r="D5" i="19" s="1"/>
  <c r="E7" i="19" a="1"/>
  <c r="D16" i="41" l="1" a="1"/>
  <c r="D16" i="41" s="1"/>
  <c r="D15" i="41" a="1"/>
  <c r="D15" i="41" s="1"/>
  <c r="D10" i="41" a="1"/>
  <c r="D10" i="41" s="1"/>
  <c r="D17" i="41" a="1"/>
  <c r="D17" i="41" s="1"/>
  <c r="F555" i="19"/>
  <c r="F533" i="19"/>
  <c r="F518" i="19"/>
  <c r="F166" i="19"/>
  <c r="F459" i="19"/>
  <c r="F473" i="19"/>
  <c r="F502" i="19"/>
  <c r="F248" i="19"/>
  <c r="F472" i="19"/>
  <c r="F501" i="19"/>
  <c r="F348" i="19"/>
  <c r="F347" i="19"/>
  <c r="F284" i="19"/>
  <c r="F283" i="19"/>
  <c r="F411" i="19"/>
  <c r="F410" i="19"/>
  <c r="F484" i="19"/>
  <c r="F379" i="19"/>
  <c r="F249" i="19"/>
  <c r="F483" i="19"/>
  <c r="F378" i="19"/>
  <c r="F442" i="19"/>
  <c r="F317" i="19"/>
  <c r="F441" i="19"/>
  <c r="F316" i="19"/>
  <c r="F252" i="19"/>
  <c r="F251" i="19"/>
  <c r="F460" i="19"/>
  <c r="E167" i="19"/>
  <c r="F16" i="41" s="1"/>
  <c r="F167" i="19"/>
  <c r="I119" i="19" a="1"/>
  <c r="I119" i="19" s="1"/>
  <c r="F35" i="19"/>
  <c r="F34" i="19"/>
  <c r="F93" i="19"/>
  <c r="F94" i="19"/>
  <c r="J61" i="19" a="1"/>
  <c r="J61" i="19" s="1"/>
  <c r="F72" i="19"/>
  <c r="F73" i="19"/>
  <c r="F53" i="19"/>
  <c r="F54" i="19"/>
  <c r="F90" i="19"/>
  <c r="J62" i="19" a="1"/>
  <c r="J62" i="19" s="1"/>
  <c r="E7" i="19"/>
  <c r="H20" i="13" l="1"/>
  <c r="L20" i="13" s="1"/>
  <c r="H19" i="13"/>
  <c r="L19" i="13" s="1"/>
  <c r="H18" i="13"/>
  <c r="L18" i="13" s="1"/>
  <c r="H17" i="13"/>
  <c r="L17" i="13" s="1"/>
  <c r="H16" i="13"/>
  <c r="L16" i="13" s="1"/>
  <c r="H15" i="13"/>
  <c r="L15" i="13" s="1"/>
  <c r="H14" i="13"/>
  <c r="L14" i="13" s="1"/>
  <c r="H79" i="19" a="1"/>
  <c r="H79" i="19" s="1"/>
  <c r="E79" i="19" a="1"/>
  <c r="H42" i="19" a="1"/>
  <c r="H42" i="19" s="1"/>
  <c r="J42" i="19" s="1" a="1"/>
  <c r="J42" i="19" s="1"/>
  <c r="G23" i="19" a="1"/>
  <c r="K23" i="19" a="1"/>
  <c r="K23" i="19" s="1"/>
  <c r="G336" i="19" a="1"/>
  <c r="G336" i="19" s="1"/>
  <c r="L336" i="19" s="1"/>
  <c r="F336" i="19" a="1"/>
  <c r="E336" i="19" a="1"/>
  <c r="E336" i="19" s="1"/>
  <c r="D336" i="19" a="1"/>
  <c r="D336" i="19" s="1"/>
  <c r="F490" i="19" a="1"/>
  <c r="F490" i="19" s="1"/>
  <c r="E490" i="19" a="1"/>
  <c r="D490" i="19" a="1"/>
  <c r="D490" i="19" s="1"/>
  <c r="K499" i="19" l="1" a="1"/>
  <c r="K499" i="19" s="1"/>
  <c r="K498" i="19" a="1"/>
  <c r="K498" i="19" s="1"/>
  <c r="K497" i="19" a="1"/>
  <c r="K497" i="19" s="1"/>
  <c r="K496" i="19" a="1"/>
  <c r="K496" i="19" s="1"/>
  <c r="K495" i="19" a="1"/>
  <c r="K495" i="19" s="1"/>
  <c r="K494" i="19" a="1"/>
  <c r="K494" i="19" s="1"/>
  <c r="K493" i="19" a="1"/>
  <c r="K493" i="19" s="1"/>
  <c r="K492" i="19" a="1"/>
  <c r="K492" i="19" s="1"/>
  <c r="K491" i="19" a="1"/>
  <c r="K491" i="19" s="1"/>
  <c r="F336" i="19"/>
  <c r="K336" i="19" s="1" a="1"/>
  <c r="K336" i="19" s="1"/>
  <c r="K340" i="19" a="1"/>
  <c r="K340" i="19" s="1"/>
  <c r="K345" i="19" a="1"/>
  <c r="K345" i="19" s="1"/>
  <c r="K344" i="19" a="1"/>
  <c r="K344" i="19" s="1"/>
  <c r="K341" i="19" a="1"/>
  <c r="K341" i="19" s="1"/>
  <c r="K339" i="19" a="1"/>
  <c r="K339" i="19" s="1"/>
  <c r="K342" i="19" a="1"/>
  <c r="K342" i="19" s="1"/>
  <c r="K338" i="19" a="1"/>
  <c r="K338" i="19" s="1"/>
  <c r="K337" i="19" a="1"/>
  <c r="K337" i="19" s="1"/>
  <c r="K343" i="19" a="1"/>
  <c r="K343" i="19" s="1"/>
  <c r="E79" i="19"/>
  <c r="G23" i="19"/>
  <c r="M23" i="19" s="1" a="1"/>
  <c r="M23" i="19" s="1"/>
  <c r="M24" i="19" a="1"/>
  <c r="M24" i="19" s="1"/>
  <c r="R16" i="13"/>
  <c r="R19" i="13"/>
  <c r="R20" i="13"/>
  <c r="O20" i="13"/>
  <c r="R18" i="13"/>
  <c r="O18" i="13"/>
  <c r="O19" i="13"/>
  <c r="R17" i="13"/>
  <c r="O17" i="13"/>
  <c r="O15" i="13"/>
  <c r="O16" i="13"/>
  <c r="R14" i="13"/>
  <c r="R15" i="13"/>
  <c r="O14" i="13"/>
  <c r="L341" i="19"/>
  <c r="L337" i="19"/>
  <c r="L339" i="19"/>
  <c r="L338" i="19"/>
  <c r="L340" i="19"/>
  <c r="L342" i="19"/>
  <c r="L343" i="19"/>
  <c r="L344" i="19"/>
  <c r="L345" i="19"/>
  <c r="E490" i="19"/>
  <c r="K490" i="19" s="1" a="1"/>
  <c r="K490" i="19" s="1"/>
  <c r="E502" i="19" l="1"/>
  <c r="F28" i="41" s="1"/>
  <c r="E348" i="19"/>
  <c r="F20" i="41" s="1"/>
  <c r="J79" i="19" a="1"/>
  <c r="J79" i="19" s="1"/>
  <c r="D79" i="19" l="1" a="1"/>
  <c r="D79" i="19" s="1"/>
  <c r="D61" i="19" l="1" a="1"/>
  <c r="D61" i="19" s="1"/>
  <c r="G12" i="53" l="1" a="1"/>
  <c r="G12" i="53" s="1"/>
  <c r="G11" i="53" a="1"/>
  <c r="G11" i="53" s="1"/>
  <c r="G10" i="53" a="1"/>
  <c r="G10" i="53" s="1"/>
  <c r="G9" i="53" a="1"/>
  <c r="G9" i="53" s="1"/>
  <c r="G8" i="53" a="1"/>
  <c r="G8" i="53" s="1"/>
  <c r="G7" i="53" a="1"/>
  <c r="G7" i="53" s="1"/>
  <c r="G16" i="53" a="1"/>
  <c r="G16" i="53" s="1"/>
  <c r="G15" i="53" a="1"/>
  <c r="G15" i="53" s="1"/>
  <c r="G14" i="53" a="1"/>
  <c r="G14" i="53" s="1"/>
  <c r="G13" i="53" a="1"/>
  <c r="G13" i="53" s="1"/>
  <c r="F79" i="19" a="1"/>
  <c r="D42" i="19" a="1"/>
  <c r="D42" i="19" s="1"/>
  <c r="F79" i="19" l="1"/>
  <c r="F61" i="19" a="1"/>
  <c r="F42" i="19" l="1" a="1"/>
  <c r="F61" i="19"/>
  <c r="F23" i="19" a="1"/>
  <c r="F23" i="19" s="1"/>
  <c r="E23" i="19" a="1"/>
  <c r="D23" i="19" a="1"/>
  <c r="D23" i="19" s="1"/>
  <c r="H23" i="19" l="1" a="1"/>
  <c r="F42" i="19"/>
  <c r="E23" i="19"/>
  <c r="H23" i="19" l="1"/>
  <c r="Q9" i="13" a="1"/>
  <c r="Q9" i="13" s="1"/>
  <c r="K9" i="13" a="1"/>
  <c r="K9" i="13" s="1"/>
  <c r="N9" i="13" a="1"/>
  <c r="N9" i="13" s="1"/>
  <c r="H13" i="13" l="1"/>
  <c r="L13" i="13" s="1"/>
  <c r="H12" i="13"/>
  <c r="L12" i="13" s="1"/>
  <c r="H11" i="13"/>
  <c r="R11" i="13" s="1"/>
  <c r="E367" i="19" a="1"/>
  <c r="E367" i="19" s="1"/>
  <c r="D367" i="19" a="1"/>
  <c r="D367" i="19" s="1"/>
  <c r="D119" i="19" a="1"/>
  <c r="D119" i="19" s="1"/>
  <c r="D168" i="20" a="1"/>
  <c r="D168" i="20" s="1"/>
  <c r="E168" i="20" a="1"/>
  <c r="E168" i="20" s="1"/>
  <c r="F168" i="20" a="1"/>
  <c r="F168" i="20" s="1"/>
  <c r="G168" i="20" a="1"/>
  <c r="G168" i="20" s="1"/>
  <c r="H168" i="20" a="1"/>
  <c r="H168" i="20" s="1"/>
  <c r="I168" i="20" a="1"/>
  <c r="I168" i="20" s="1"/>
  <c r="D169" i="20" a="1"/>
  <c r="D169" i="20" s="1"/>
  <c r="E169" i="20" a="1"/>
  <c r="E169" i="20" s="1"/>
  <c r="F169" i="20" a="1"/>
  <c r="F169" i="20" s="1"/>
  <c r="G169" i="20" a="1"/>
  <c r="G169" i="20" s="1"/>
  <c r="H169" i="20" a="1"/>
  <c r="H169" i="20" s="1"/>
  <c r="I169" i="20" a="1"/>
  <c r="I169" i="20" s="1"/>
  <c r="D170" i="20" a="1"/>
  <c r="D170" i="20" s="1"/>
  <c r="E170" i="20" a="1"/>
  <c r="E170" i="20" s="1"/>
  <c r="F170" i="20" a="1"/>
  <c r="F170" i="20" s="1"/>
  <c r="G170" i="20" a="1"/>
  <c r="G170" i="20" s="1"/>
  <c r="H170" i="20" a="1"/>
  <c r="H170" i="20" s="1"/>
  <c r="I170" i="20" a="1"/>
  <c r="I170" i="20" s="1"/>
  <c r="I159" i="20" a="1"/>
  <c r="I159" i="20" s="1"/>
  <c r="H159" i="20" a="1"/>
  <c r="H159" i="20" s="1"/>
  <c r="G159" i="20" a="1"/>
  <c r="G159" i="20" s="1"/>
  <c r="F159" i="20" a="1"/>
  <c r="F159" i="20" s="1"/>
  <c r="O159" i="20" s="1"/>
  <c r="I158" i="20" a="1"/>
  <c r="I158" i="20" s="1"/>
  <c r="H158" i="20" a="1"/>
  <c r="H158" i="20" s="1"/>
  <c r="G158" i="20" a="1"/>
  <c r="G158" i="20" s="1"/>
  <c r="F158" i="20" a="1"/>
  <c r="F158" i="20" s="1"/>
  <c r="L158" i="20" s="1"/>
  <c r="I157" i="20" a="1"/>
  <c r="I157" i="20" s="1"/>
  <c r="H157" i="20" a="1"/>
  <c r="H157" i="20" s="1"/>
  <c r="G157" i="20" a="1"/>
  <c r="G157" i="20" s="1"/>
  <c r="F157" i="20" a="1"/>
  <c r="F157" i="20" s="1"/>
  <c r="O157" i="20" s="1"/>
  <c r="I156" i="20" a="1"/>
  <c r="I156" i="20" s="1"/>
  <c r="H156" i="20" a="1"/>
  <c r="H156" i="20" s="1"/>
  <c r="G156" i="20" a="1"/>
  <c r="G156" i="20" s="1"/>
  <c r="F156" i="20" a="1"/>
  <c r="F156" i="20" s="1"/>
  <c r="L156" i="20" s="1"/>
  <c r="D159" i="20" a="1"/>
  <c r="D159" i="20" s="1"/>
  <c r="D158" i="20" a="1"/>
  <c r="D158" i="20" s="1"/>
  <c r="D157" i="20" a="1"/>
  <c r="D157" i="20" s="1"/>
  <c r="D156" i="20" a="1"/>
  <c r="D156" i="20" s="1"/>
  <c r="E159" i="20" a="1"/>
  <c r="E159" i="20" s="1"/>
  <c r="N159" i="20" s="1"/>
  <c r="P158" i="20" s="1"/>
  <c r="E158" i="20" a="1"/>
  <c r="E158" i="20" s="1"/>
  <c r="K158" i="20" s="1"/>
  <c r="M157" i="20" s="1"/>
  <c r="E156" i="20" a="1"/>
  <c r="E156" i="20" s="1"/>
  <c r="K156" i="20" s="1"/>
  <c r="M155" i="20" s="1"/>
  <c r="E157" i="20" a="1"/>
  <c r="E157" i="20" s="1"/>
  <c r="N157" i="20" s="1"/>
  <c r="P156" i="20" s="1"/>
  <c r="I165" i="20" a="1"/>
  <c r="I165" i="20" s="1"/>
  <c r="H165" i="20" a="1"/>
  <c r="H165" i="20" s="1"/>
  <c r="G165" i="20" a="1"/>
  <c r="G165" i="20" s="1"/>
  <c r="F165" i="20" a="1"/>
  <c r="F165" i="20" s="1"/>
  <c r="I164" i="20" a="1"/>
  <c r="I164" i="20" s="1"/>
  <c r="H164" i="20" a="1"/>
  <c r="H164" i="20" s="1"/>
  <c r="G164" i="20" a="1"/>
  <c r="G164" i="20" s="1"/>
  <c r="F164" i="20" a="1"/>
  <c r="F164" i="20" s="1"/>
  <c r="I163" i="20" a="1"/>
  <c r="I163" i="20" s="1"/>
  <c r="H163" i="20" a="1"/>
  <c r="H163" i="20" s="1"/>
  <c r="G163" i="20" a="1"/>
  <c r="G163" i="20" s="1"/>
  <c r="F163" i="20" a="1"/>
  <c r="F163" i="20" s="1"/>
  <c r="I162" i="20" a="1"/>
  <c r="I162" i="20" s="1"/>
  <c r="H162" i="20" a="1"/>
  <c r="H162" i="20" s="1"/>
  <c r="G162" i="20" a="1"/>
  <c r="G162" i="20" s="1"/>
  <c r="F162" i="20" a="1"/>
  <c r="F162" i="20" s="1"/>
  <c r="D165" i="20" a="1"/>
  <c r="D165" i="20" s="1"/>
  <c r="D164" i="20" a="1"/>
  <c r="D164" i="20" s="1"/>
  <c r="D163" i="20" a="1"/>
  <c r="D163" i="20" s="1"/>
  <c r="D162" i="20" a="1"/>
  <c r="D162" i="20" s="1"/>
  <c r="E165" i="20" a="1"/>
  <c r="E165" i="20" s="1"/>
  <c r="E164" i="20" a="1"/>
  <c r="E164" i="20" s="1"/>
  <c r="E163" i="20" a="1"/>
  <c r="E163" i="20" s="1"/>
  <c r="E162" i="20" a="1"/>
  <c r="E162" i="20" s="1"/>
  <c r="D56" i="13" l="1" a="1"/>
  <c r="D56" i="13" s="1"/>
  <c r="D51" i="13" a="1"/>
  <c r="D51" i="13" s="1"/>
  <c r="D162" i="19" s="1"/>
  <c r="F162" i="19" s="1" a="1"/>
  <c r="F162" i="19" s="1"/>
  <c r="G162" i="19" s="1" a="1"/>
  <c r="G162" i="19" s="1"/>
  <c r="R13" i="13"/>
  <c r="O13" i="13"/>
  <c r="R12" i="13"/>
  <c r="L11" i="13"/>
  <c r="O11" i="13"/>
  <c r="O12" i="13"/>
  <c r="F367" i="19" a="1"/>
  <c r="J314" i="19" l="1" a="1"/>
  <c r="J314" i="19" s="1"/>
  <c r="J309" i="19" a="1"/>
  <c r="J309" i="19" s="1"/>
  <c r="J313" i="19" a="1"/>
  <c r="J313" i="19" s="1"/>
  <c r="J310" i="19" a="1"/>
  <c r="J310" i="19" s="1"/>
  <c r="J311" i="19" a="1"/>
  <c r="J311" i="19" s="1"/>
  <c r="J305" i="19" a="1"/>
  <c r="J305" i="19" s="1"/>
  <c r="J312" i="19" a="1"/>
  <c r="J312" i="19" s="1"/>
  <c r="J308" i="19" a="1"/>
  <c r="J308" i="19" s="1"/>
  <c r="J306" i="19" a="1"/>
  <c r="J306" i="19" s="1"/>
  <c r="J307" i="19" a="1"/>
  <c r="J307" i="19" s="1"/>
  <c r="F367" i="19"/>
  <c r="J367" i="19" s="1" a="1"/>
  <c r="J367" i="19" s="1"/>
  <c r="D163" i="19"/>
  <c r="F163" i="19" s="1" a="1"/>
  <c r="F163" i="19" s="1"/>
  <c r="G163" i="19" s="1" a="1"/>
  <c r="G163" i="19" s="1"/>
  <c r="D164" i="19"/>
  <c r="F164" i="19" s="1" a="1"/>
  <c r="F164" i="19" s="1"/>
  <c r="G164" i="19" s="1" a="1"/>
  <c r="G164" i="19" s="1"/>
  <c r="D136" i="19"/>
  <c r="F136" i="19" s="1" a="1"/>
  <c r="F136" i="19" s="1"/>
  <c r="G136" i="19" s="1" a="1"/>
  <c r="G136" i="19" s="1"/>
  <c r="D139" i="19"/>
  <c r="F139" i="19" s="1" a="1"/>
  <c r="F139" i="19" s="1"/>
  <c r="D138" i="19"/>
  <c r="F138" i="19" s="1" a="1"/>
  <c r="F138" i="19" s="1"/>
  <c r="D137" i="19"/>
  <c r="F137" i="19" s="1" a="1"/>
  <c r="F137" i="19" s="1"/>
  <c r="G137" i="19" s="1" a="1"/>
  <c r="G137" i="19" s="1"/>
  <c r="E317" i="19" l="1"/>
  <c r="F19" i="41" s="1"/>
  <c r="I138" i="19" a="1"/>
  <c r="I138" i="19" s="1"/>
  <c r="G138" i="19" a="1"/>
  <c r="G138" i="19" s="1"/>
  <c r="G139" i="19" a="1"/>
  <c r="G139" i="19" s="1"/>
  <c r="I139" i="19" a="1"/>
  <c r="I139" i="19" s="1"/>
  <c r="E166" i="19"/>
  <c r="E16" i="41" s="1"/>
  <c r="E448" i="19" a="1"/>
  <c r="E448" i="19" s="1"/>
  <c r="D448" i="19" a="1"/>
  <c r="D448" i="19" s="1"/>
  <c r="F448" i="19" a="1"/>
  <c r="I86" i="20" a="1"/>
  <c r="I86" i="20" s="1"/>
  <c r="H86" i="20" a="1"/>
  <c r="H86" i="20" s="1"/>
  <c r="G86" i="20" a="1"/>
  <c r="G86" i="20" s="1"/>
  <c r="F86" i="20" a="1"/>
  <c r="F86" i="20" s="1"/>
  <c r="E86" i="20" a="1"/>
  <c r="E86" i="20" s="1"/>
  <c r="D86" i="20" a="1"/>
  <c r="D86" i="20" s="1"/>
  <c r="I85" i="20" a="1"/>
  <c r="I85" i="20" s="1"/>
  <c r="H85" i="20" a="1"/>
  <c r="H85" i="20" s="1"/>
  <c r="G85" i="20" a="1"/>
  <c r="G85" i="20" s="1"/>
  <c r="F85" i="20" a="1"/>
  <c r="F85" i="20" s="1"/>
  <c r="E85" i="20" a="1"/>
  <c r="E85" i="20" s="1"/>
  <c r="D85" i="20" a="1"/>
  <c r="D85" i="20" s="1"/>
  <c r="I84" i="20" a="1"/>
  <c r="I84" i="20" s="1"/>
  <c r="H84" i="20" a="1"/>
  <c r="H84" i="20" s="1"/>
  <c r="G84" i="20" a="1"/>
  <c r="G84" i="20" s="1"/>
  <c r="F84" i="20" a="1"/>
  <c r="F84" i="20" s="1"/>
  <c r="E84" i="20" a="1"/>
  <c r="E84" i="20" s="1"/>
  <c r="D84" i="20" a="1"/>
  <c r="D84" i="20" s="1"/>
  <c r="I83" i="20" a="1"/>
  <c r="I83" i="20" s="1"/>
  <c r="H83" i="20" a="1"/>
  <c r="H83" i="20" s="1"/>
  <c r="G83" i="20" a="1"/>
  <c r="G83" i="20" s="1"/>
  <c r="F83" i="20" a="1"/>
  <c r="F83" i="20" s="1"/>
  <c r="E83" i="20" a="1"/>
  <c r="E83" i="20" s="1"/>
  <c r="D83" i="20" a="1"/>
  <c r="D83" i="20" s="1"/>
  <c r="D174" i="20" a="1"/>
  <c r="D174" i="20" s="1"/>
  <c r="E174" i="20" a="1"/>
  <c r="E174" i="20" s="1"/>
  <c r="F174" i="20" a="1"/>
  <c r="F174" i="20" s="1"/>
  <c r="K174" i="20" a="1"/>
  <c r="K174" i="20" s="1"/>
  <c r="L174" i="20" a="1"/>
  <c r="L174" i="20" s="1"/>
  <c r="M174" i="20" a="1"/>
  <c r="M174" i="20" s="1"/>
  <c r="D175" i="20" a="1"/>
  <c r="D175" i="20" s="1"/>
  <c r="E175" i="20" a="1"/>
  <c r="E175" i="20" s="1"/>
  <c r="F175" i="20" a="1"/>
  <c r="F175" i="20" s="1"/>
  <c r="K175" i="20" a="1"/>
  <c r="K175" i="20" s="1"/>
  <c r="L175" i="20" a="1"/>
  <c r="L175" i="20" s="1"/>
  <c r="M175" i="20" a="1"/>
  <c r="M175" i="20" s="1"/>
  <c r="D176" i="20" a="1"/>
  <c r="D176" i="20" s="1"/>
  <c r="E176" i="20" a="1"/>
  <c r="E176" i="20" s="1"/>
  <c r="F176" i="20" a="1"/>
  <c r="F176" i="20" s="1"/>
  <c r="K176" i="20" a="1"/>
  <c r="K176" i="20" s="1"/>
  <c r="L176" i="20" a="1"/>
  <c r="L176" i="20" s="1"/>
  <c r="M176" i="20" a="1"/>
  <c r="M176" i="20" s="1"/>
  <c r="D177" i="20" a="1"/>
  <c r="D177" i="20" s="1"/>
  <c r="E177" i="20" a="1"/>
  <c r="E177" i="20" s="1"/>
  <c r="F177" i="20" a="1"/>
  <c r="F177" i="20" s="1"/>
  <c r="K177" i="20" a="1"/>
  <c r="K177" i="20" s="1"/>
  <c r="L177" i="20" a="1"/>
  <c r="L177" i="20" s="1"/>
  <c r="M177" i="20" a="1"/>
  <c r="M177" i="20" s="1"/>
  <c r="D178" i="20" a="1"/>
  <c r="D178" i="20" s="1"/>
  <c r="E178" i="20" a="1"/>
  <c r="E178" i="20" s="1"/>
  <c r="F178" i="20" a="1"/>
  <c r="F178" i="20" s="1"/>
  <c r="K178" i="20" a="1"/>
  <c r="K178" i="20" s="1"/>
  <c r="L178" i="20" a="1"/>
  <c r="L178" i="20" s="1"/>
  <c r="M178" i="20" a="1"/>
  <c r="M178" i="20" s="1"/>
  <c r="D179" i="20" a="1"/>
  <c r="D179" i="20" s="1"/>
  <c r="E179" i="20" a="1"/>
  <c r="E179" i="20" s="1"/>
  <c r="F179" i="20" a="1"/>
  <c r="F179" i="20" s="1"/>
  <c r="K179" i="20" a="1"/>
  <c r="K179" i="20" s="1"/>
  <c r="L179" i="20" a="1"/>
  <c r="L179" i="20" s="1"/>
  <c r="M179" i="20" a="1"/>
  <c r="M179" i="20" s="1"/>
  <c r="D180" i="20" a="1"/>
  <c r="D180" i="20" s="1"/>
  <c r="E180" i="20" a="1"/>
  <c r="E180" i="20" s="1"/>
  <c r="F180" i="20" a="1"/>
  <c r="F180" i="20" s="1"/>
  <c r="K180" i="20" a="1"/>
  <c r="K180" i="20" s="1"/>
  <c r="L180" i="20" a="1"/>
  <c r="L180" i="20" s="1"/>
  <c r="M180" i="20" a="1"/>
  <c r="M180" i="20" s="1"/>
  <c r="D181" i="20" a="1"/>
  <c r="D181" i="20" s="1"/>
  <c r="E181" i="20" a="1"/>
  <c r="E181" i="20" s="1"/>
  <c r="F181" i="20" a="1"/>
  <c r="F181" i="20" s="1"/>
  <c r="K181" i="20" a="1"/>
  <c r="K181" i="20" s="1"/>
  <c r="L181" i="20" a="1"/>
  <c r="L181" i="20" s="1"/>
  <c r="M181" i="20" a="1"/>
  <c r="M181" i="20" s="1"/>
  <c r="D182" i="20" a="1"/>
  <c r="D182" i="20" s="1"/>
  <c r="E182" i="20" a="1"/>
  <c r="E182" i="20" s="1"/>
  <c r="F182" i="20" a="1"/>
  <c r="F182" i="20" s="1"/>
  <c r="K182" i="20" a="1"/>
  <c r="K182" i="20" s="1"/>
  <c r="L182" i="20" a="1"/>
  <c r="L182" i="20" s="1"/>
  <c r="M182" i="20" a="1"/>
  <c r="M182" i="20" s="1"/>
  <c r="D183" i="20" a="1"/>
  <c r="D183" i="20" s="1"/>
  <c r="E183" i="20" a="1"/>
  <c r="E183" i="20" s="1"/>
  <c r="F183" i="20" a="1"/>
  <c r="F183" i="20" s="1"/>
  <c r="K183" i="20" a="1"/>
  <c r="K183" i="20" s="1"/>
  <c r="L183" i="20" a="1"/>
  <c r="L183" i="20" s="1"/>
  <c r="M183" i="20" a="1"/>
  <c r="M183" i="20" s="1"/>
  <c r="D184" i="20" a="1"/>
  <c r="D184" i="20" s="1"/>
  <c r="E184" i="20" a="1"/>
  <c r="E184" i="20" s="1"/>
  <c r="F184" i="20" a="1"/>
  <c r="F184" i="20" s="1"/>
  <c r="K184" i="20" a="1"/>
  <c r="K184" i="20" s="1"/>
  <c r="L184" i="20" a="1"/>
  <c r="L184" i="20" s="1"/>
  <c r="M184" i="20" a="1"/>
  <c r="M184" i="20" s="1"/>
  <c r="D185" i="20" a="1"/>
  <c r="D185" i="20" s="1"/>
  <c r="E185" i="20" a="1"/>
  <c r="E185" i="20" s="1"/>
  <c r="F185" i="20" a="1"/>
  <c r="F185" i="20" s="1"/>
  <c r="K185" i="20" a="1"/>
  <c r="K185" i="20" s="1"/>
  <c r="L185" i="20" a="1"/>
  <c r="L185" i="20" s="1"/>
  <c r="M185" i="20" a="1"/>
  <c r="M185" i="20" s="1"/>
  <c r="D186" i="20" a="1"/>
  <c r="D186" i="20" s="1"/>
  <c r="E186" i="20" a="1"/>
  <c r="E186" i="20" s="1"/>
  <c r="F186" i="20" a="1"/>
  <c r="F186" i="20" s="1"/>
  <c r="K186" i="20" a="1"/>
  <c r="K186" i="20" s="1"/>
  <c r="L186" i="20" a="1"/>
  <c r="L186" i="20" s="1"/>
  <c r="M186" i="20" a="1"/>
  <c r="M186" i="20" s="1"/>
  <c r="D187" i="20" a="1"/>
  <c r="D187" i="20" s="1"/>
  <c r="E187" i="20" a="1"/>
  <c r="E187" i="20" s="1"/>
  <c r="F187" i="20" a="1"/>
  <c r="F187" i="20" s="1"/>
  <c r="K187" i="20" a="1"/>
  <c r="K187" i="20" s="1"/>
  <c r="L187" i="20" a="1"/>
  <c r="L187" i="20" s="1"/>
  <c r="M187" i="20" a="1"/>
  <c r="M187" i="20" s="1"/>
  <c r="D188" i="20" a="1"/>
  <c r="D188" i="20" s="1"/>
  <c r="E188" i="20" a="1"/>
  <c r="E188" i="20" s="1"/>
  <c r="F188" i="20" a="1"/>
  <c r="F188" i="20" s="1"/>
  <c r="K188" i="20" a="1"/>
  <c r="K188" i="20" s="1"/>
  <c r="L188" i="20" a="1"/>
  <c r="L188" i="20" s="1"/>
  <c r="M188" i="20" a="1"/>
  <c r="M188" i="20" s="1"/>
  <c r="D189" i="20" a="1"/>
  <c r="D189" i="20" s="1"/>
  <c r="E189" i="20" a="1"/>
  <c r="E189" i="20" s="1"/>
  <c r="F189" i="20" a="1"/>
  <c r="F189" i="20" s="1"/>
  <c r="K189" i="20" a="1"/>
  <c r="K189" i="20" s="1"/>
  <c r="L189" i="20" a="1"/>
  <c r="L189" i="20" s="1"/>
  <c r="M189" i="20" a="1"/>
  <c r="M189" i="20" s="1"/>
  <c r="D190" i="20" a="1"/>
  <c r="D190" i="20" s="1"/>
  <c r="E190" i="20" a="1"/>
  <c r="E190" i="20" s="1"/>
  <c r="F190" i="20" a="1"/>
  <c r="F190" i="20" s="1"/>
  <c r="K190" i="20" a="1"/>
  <c r="K190" i="20" s="1"/>
  <c r="L190" i="20" a="1"/>
  <c r="L190" i="20" s="1"/>
  <c r="M190" i="20" a="1"/>
  <c r="M190" i="20" s="1"/>
  <c r="D191" i="20" a="1"/>
  <c r="D191" i="20" s="1"/>
  <c r="E191" i="20" a="1"/>
  <c r="E191" i="20" s="1"/>
  <c r="F191" i="20" a="1"/>
  <c r="F191" i="20" s="1"/>
  <c r="K191" i="20" a="1"/>
  <c r="K191" i="20" s="1"/>
  <c r="L191" i="20" a="1"/>
  <c r="L191" i="20" s="1"/>
  <c r="M191" i="20" a="1"/>
  <c r="M191" i="20" s="1"/>
  <c r="D192" i="20" a="1"/>
  <c r="D192" i="20" s="1"/>
  <c r="E192" i="20" a="1"/>
  <c r="E192" i="20" s="1"/>
  <c r="F192" i="20" a="1"/>
  <c r="F192" i="20" s="1"/>
  <c r="K192" i="20" a="1"/>
  <c r="K192" i="20" s="1"/>
  <c r="L192" i="20" a="1"/>
  <c r="L192" i="20" s="1"/>
  <c r="M192" i="20" a="1"/>
  <c r="M192" i="20" s="1"/>
  <c r="D193" i="20" a="1"/>
  <c r="D193" i="20" s="1"/>
  <c r="E193" i="20" a="1"/>
  <c r="E193" i="20" s="1"/>
  <c r="F193" i="20" a="1"/>
  <c r="F193" i="20" s="1"/>
  <c r="K193" i="20" a="1"/>
  <c r="K193" i="20" s="1"/>
  <c r="L193" i="20" a="1"/>
  <c r="L193" i="20" s="1"/>
  <c r="M193" i="20" a="1"/>
  <c r="M193" i="20" s="1"/>
  <c r="D194" i="20" a="1"/>
  <c r="D194" i="20" s="1"/>
  <c r="E194" i="20" a="1"/>
  <c r="E194" i="20" s="1"/>
  <c r="F194" i="20" a="1"/>
  <c r="F194" i="20" s="1"/>
  <c r="K194" i="20" a="1"/>
  <c r="K194" i="20" s="1"/>
  <c r="L194" i="20" a="1"/>
  <c r="L194" i="20" s="1"/>
  <c r="M194" i="20" a="1"/>
  <c r="M194" i="20" s="1"/>
  <c r="D195" i="20" a="1"/>
  <c r="D195" i="20" s="1"/>
  <c r="E195" i="20" a="1"/>
  <c r="E195" i="20" s="1"/>
  <c r="F195" i="20" a="1"/>
  <c r="F195" i="20" s="1"/>
  <c r="K195" i="20" a="1"/>
  <c r="K195" i="20" s="1"/>
  <c r="L195" i="20" a="1"/>
  <c r="L195" i="20" s="1"/>
  <c r="M195" i="20" a="1"/>
  <c r="M195" i="20" s="1"/>
  <c r="D196" i="20" a="1"/>
  <c r="D196" i="20" s="1"/>
  <c r="E196" i="20" a="1"/>
  <c r="E196" i="20" s="1"/>
  <c r="F196" i="20" a="1"/>
  <c r="F196" i="20" s="1"/>
  <c r="K196" i="20" a="1"/>
  <c r="K196" i="20" s="1"/>
  <c r="L196" i="20" a="1"/>
  <c r="L196" i="20" s="1"/>
  <c r="M196" i="20" a="1"/>
  <c r="M196" i="20" s="1"/>
  <c r="D197" i="20" a="1"/>
  <c r="D197" i="20" s="1"/>
  <c r="E197" i="20" a="1"/>
  <c r="E197" i="20" s="1"/>
  <c r="F197" i="20" a="1"/>
  <c r="F197" i="20" s="1"/>
  <c r="K197" i="20" a="1"/>
  <c r="K197" i="20" s="1"/>
  <c r="L197" i="20" a="1"/>
  <c r="L197" i="20" s="1"/>
  <c r="M197" i="20" a="1"/>
  <c r="M197" i="20" s="1"/>
  <c r="D198" i="20" a="1"/>
  <c r="D198" i="20" s="1"/>
  <c r="E198" i="20" a="1"/>
  <c r="E198" i="20" s="1"/>
  <c r="F198" i="20" a="1"/>
  <c r="F198" i="20" s="1"/>
  <c r="K198" i="20" a="1"/>
  <c r="K198" i="20" s="1"/>
  <c r="L198" i="20" a="1"/>
  <c r="L198" i="20" s="1"/>
  <c r="M198" i="20" a="1"/>
  <c r="M198" i="20" s="1"/>
  <c r="D202" i="20" a="1"/>
  <c r="D202" i="20" s="1"/>
  <c r="E202" i="20" a="1"/>
  <c r="E202" i="20" s="1"/>
  <c r="D128" i="13" s="1"/>
  <c r="D479" i="19" s="1"/>
  <c r="F202" i="20" a="1"/>
  <c r="F202" i="20" s="1"/>
  <c r="G202" i="20" a="1"/>
  <c r="G202" i="20" s="1"/>
  <c r="H202" i="20" a="1"/>
  <c r="H202" i="20" s="1"/>
  <c r="I202" i="20" a="1"/>
  <c r="I202" i="20" s="1"/>
  <c r="D203" i="20" a="1"/>
  <c r="D203" i="20" s="1"/>
  <c r="E203" i="20" a="1"/>
  <c r="E203" i="20" s="1"/>
  <c r="D129" i="13" s="1"/>
  <c r="D480" i="19" s="1"/>
  <c r="F203" i="20" a="1"/>
  <c r="F203" i="20" s="1"/>
  <c r="G203" i="20" a="1"/>
  <c r="G203" i="20" s="1"/>
  <c r="H203" i="20" a="1"/>
  <c r="H203" i="20" s="1"/>
  <c r="I203" i="20" a="1"/>
  <c r="I203" i="20" s="1"/>
  <c r="D204" i="20" a="1"/>
  <c r="D204" i="20" s="1"/>
  <c r="E204" i="20" a="1"/>
  <c r="E204" i="20" s="1"/>
  <c r="D121" i="13" s="1"/>
  <c r="D466" i="19" s="1"/>
  <c r="F204" i="20" a="1"/>
  <c r="F204" i="20" s="1"/>
  <c r="G204" i="20" a="1"/>
  <c r="G204" i="20" s="1"/>
  <c r="H204" i="20" a="1"/>
  <c r="H204" i="20" s="1"/>
  <c r="I204" i="20" a="1"/>
  <c r="I204" i="20" s="1"/>
  <c r="D205" i="20" a="1"/>
  <c r="D205" i="20" s="1"/>
  <c r="E205" i="20" a="1"/>
  <c r="E205" i="20" s="1"/>
  <c r="D122" i="13" s="1"/>
  <c r="D467" i="19" s="1"/>
  <c r="F205" i="20" a="1"/>
  <c r="F205" i="20" s="1"/>
  <c r="G205" i="20" a="1"/>
  <c r="G205" i="20" s="1"/>
  <c r="H205" i="20" a="1"/>
  <c r="H205" i="20" s="1"/>
  <c r="I205" i="20" a="1"/>
  <c r="I205" i="20" s="1"/>
  <c r="D206" i="20" a="1"/>
  <c r="D206" i="20" s="1"/>
  <c r="E206" i="20" a="1"/>
  <c r="E206" i="20" s="1"/>
  <c r="D130" i="13" s="1"/>
  <c r="D481" i="19" s="1"/>
  <c r="F206" i="20" a="1"/>
  <c r="F206" i="20" s="1"/>
  <c r="G206" i="20" a="1"/>
  <c r="G206" i="20" s="1"/>
  <c r="H206" i="20" a="1"/>
  <c r="H206" i="20" s="1"/>
  <c r="I206" i="20" a="1"/>
  <c r="I206" i="20" s="1"/>
  <c r="D207" i="20" a="1"/>
  <c r="D207" i="20" s="1"/>
  <c r="E207" i="20" a="1"/>
  <c r="E207" i="20" s="1"/>
  <c r="D123" i="13" s="1"/>
  <c r="D468" i="19" s="1"/>
  <c r="F207" i="20" a="1"/>
  <c r="F207" i="20" s="1"/>
  <c r="G207" i="20" a="1"/>
  <c r="G207" i="20" s="1"/>
  <c r="H207" i="20" a="1"/>
  <c r="H207" i="20" s="1"/>
  <c r="I207" i="20" a="1"/>
  <c r="I207" i="20" s="1"/>
  <c r="D208" i="20" a="1"/>
  <c r="D208" i="20" s="1"/>
  <c r="E208" i="20" a="1"/>
  <c r="E208" i="20" s="1"/>
  <c r="D124" i="13" s="1"/>
  <c r="D469" i="19" s="1"/>
  <c r="F208" i="20" a="1"/>
  <c r="F208" i="20" s="1"/>
  <c r="G208" i="20" a="1"/>
  <c r="G208" i="20" s="1"/>
  <c r="H208" i="20" a="1"/>
  <c r="H208" i="20" s="1"/>
  <c r="I208" i="20" a="1"/>
  <c r="I208" i="20" s="1"/>
  <c r="D209" i="20" a="1"/>
  <c r="D209" i="20" s="1"/>
  <c r="E209" i="20" a="1"/>
  <c r="E209" i="20" s="1"/>
  <c r="D125" i="13" s="1"/>
  <c r="D470" i="19" s="1"/>
  <c r="F209" i="20" a="1"/>
  <c r="F209" i="20" s="1"/>
  <c r="G209" i="20" a="1"/>
  <c r="G209" i="20" s="1"/>
  <c r="H209" i="20" a="1"/>
  <c r="H209" i="20" s="1"/>
  <c r="I209" i="20" a="1"/>
  <c r="I209" i="20" s="1"/>
  <c r="D213" i="20" a="1"/>
  <c r="D213" i="20" s="1"/>
  <c r="E213" i="20" a="1"/>
  <c r="E213" i="20" s="1"/>
  <c r="F213" i="20" a="1"/>
  <c r="F213" i="20" s="1"/>
  <c r="G213" i="20" a="1"/>
  <c r="G213" i="20" s="1"/>
  <c r="H213" i="20" a="1"/>
  <c r="H213" i="20" s="1"/>
  <c r="I213" i="20" a="1"/>
  <c r="I213" i="20" s="1"/>
  <c r="D214" i="20" a="1"/>
  <c r="D214" i="20" s="1"/>
  <c r="E214" i="20" a="1"/>
  <c r="E214" i="20" s="1"/>
  <c r="F214" i="20" a="1"/>
  <c r="F214" i="20" s="1"/>
  <c r="G214" i="20" a="1"/>
  <c r="G214" i="20" s="1"/>
  <c r="H214" i="20" a="1"/>
  <c r="H214" i="20" s="1"/>
  <c r="I214" i="20" a="1"/>
  <c r="I214" i="20" s="1"/>
  <c r="D215" i="20" a="1"/>
  <c r="D215" i="20" s="1"/>
  <c r="E215" i="20" a="1"/>
  <c r="E215" i="20" s="1"/>
  <c r="F215" i="20" a="1"/>
  <c r="F215" i="20" s="1"/>
  <c r="G215" i="20" a="1"/>
  <c r="G215" i="20" s="1"/>
  <c r="H215" i="20" a="1"/>
  <c r="H215" i="20" s="1"/>
  <c r="I215" i="20" a="1"/>
  <c r="I215" i="20" s="1"/>
  <c r="D216" i="20" a="1"/>
  <c r="D216" i="20" s="1"/>
  <c r="E216" i="20" a="1"/>
  <c r="E216" i="20" s="1"/>
  <c r="F216" i="20" a="1"/>
  <c r="F216" i="20" s="1"/>
  <c r="G216" i="20" a="1"/>
  <c r="G216" i="20" s="1"/>
  <c r="H216" i="20" a="1"/>
  <c r="H216" i="20" s="1"/>
  <c r="I216" i="20" a="1"/>
  <c r="I216" i="20" s="1"/>
  <c r="D220" i="20" a="1"/>
  <c r="D220" i="20" s="1"/>
  <c r="E220" i="20" a="1"/>
  <c r="E220" i="20" s="1"/>
  <c r="F220" i="20" a="1"/>
  <c r="F220" i="20" s="1"/>
  <c r="G220" i="20" a="1"/>
  <c r="G220" i="20" s="1"/>
  <c r="H220" i="20" a="1"/>
  <c r="H220" i="20" s="1"/>
  <c r="I220" i="20" a="1"/>
  <c r="I220" i="20" s="1"/>
  <c r="D221" i="20" a="1"/>
  <c r="D221" i="20" s="1"/>
  <c r="E221" i="20" a="1"/>
  <c r="E221" i="20" s="1"/>
  <c r="F221" i="20" a="1"/>
  <c r="F221" i="20" s="1"/>
  <c r="G221" i="20" a="1"/>
  <c r="G221" i="20" s="1"/>
  <c r="H221" i="20" a="1"/>
  <c r="H221" i="20" s="1"/>
  <c r="I221" i="20" a="1"/>
  <c r="I221" i="20" s="1"/>
  <c r="D222" i="20" a="1"/>
  <c r="D222" i="20" s="1"/>
  <c r="E222" i="20" a="1"/>
  <c r="E222" i="20" s="1"/>
  <c r="F222" i="20" a="1"/>
  <c r="F222" i="20" s="1"/>
  <c r="G222" i="20" a="1"/>
  <c r="G222" i="20" s="1"/>
  <c r="H222" i="20" a="1"/>
  <c r="H222" i="20" s="1"/>
  <c r="I222" i="20" a="1"/>
  <c r="I222" i="20" s="1"/>
  <c r="D223" i="20" a="1"/>
  <c r="D223" i="20" s="1"/>
  <c r="E223" i="20" a="1"/>
  <c r="E223" i="20" s="1"/>
  <c r="F223" i="20" a="1"/>
  <c r="F223" i="20" s="1"/>
  <c r="G223" i="20" a="1"/>
  <c r="G223" i="20" s="1"/>
  <c r="H223" i="20" a="1"/>
  <c r="H223" i="20" s="1"/>
  <c r="I223" i="20" a="1"/>
  <c r="I223" i="20" s="1"/>
  <c r="D224" i="20" a="1"/>
  <c r="D224" i="20" s="1"/>
  <c r="E224" i="20" a="1"/>
  <c r="E224" i="20" s="1"/>
  <c r="F224" i="20" a="1"/>
  <c r="F224" i="20" s="1"/>
  <c r="G224" i="20" a="1"/>
  <c r="G224" i="20" s="1"/>
  <c r="H224" i="20" a="1"/>
  <c r="H224" i="20" s="1"/>
  <c r="I224" i="20" a="1"/>
  <c r="I224" i="20" s="1"/>
  <c r="D225" i="20" a="1"/>
  <c r="D225" i="20" s="1"/>
  <c r="E225" i="20" a="1"/>
  <c r="E225" i="20" s="1"/>
  <c r="F225" i="20" a="1"/>
  <c r="F225" i="20" s="1"/>
  <c r="G225" i="20" a="1"/>
  <c r="G225" i="20" s="1"/>
  <c r="H225" i="20" a="1"/>
  <c r="H225" i="20" s="1"/>
  <c r="I225" i="20" a="1"/>
  <c r="I225" i="20" s="1"/>
  <c r="D226" i="20" a="1"/>
  <c r="D226" i="20" s="1"/>
  <c r="E226" i="20" a="1"/>
  <c r="E226" i="20" s="1"/>
  <c r="F226" i="20" a="1"/>
  <c r="F226" i="20" s="1"/>
  <c r="G226" i="20" a="1"/>
  <c r="G226" i="20" s="1"/>
  <c r="H226" i="20" a="1"/>
  <c r="H226" i="20" s="1"/>
  <c r="I226" i="20" a="1"/>
  <c r="I226" i="20" s="1"/>
  <c r="D227" i="20" a="1"/>
  <c r="D227" i="20" s="1"/>
  <c r="E227" i="20" a="1"/>
  <c r="E227" i="20" s="1"/>
  <c r="F227" i="20" a="1"/>
  <c r="F227" i="20" s="1"/>
  <c r="G227" i="20" a="1"/>
  <c r="G227" i="20" s="1"/>
  <c r="H227" i="20" a="1"/>
  <c r="H227" i="20" s="1"/>
  <c r="I227" i="20" a="1"/>
  <c r="I227" i="20" s="1"/>
  <c r="D228" i="20" a="1"/>
  <c r="D228" i="20" s="1"/>
  <c r="E228" i="20" a="1"/>
  <c r="E228" i="20" s="1"/>
  <c r="F228" i="20" a="1"/>
  <c r="F228" i="20" s="1"/>
  <c r="G228" i="20" a="1"/>
  <c r="G228" i="20" s="1"/>
  <c r="H228" i="20" a="1"/>
  <c r="H228" i="20" s="1"/>
  <c r="I228" i="20" a="1"/>
  <c r="I228" i="20" s="1"/>
  <c r="D229" i="20" a="1"/>
  <c r="D229" i="20" s="1"/>
  <c r="E229" i="20" a="1"/>
  <c r="E229" i="20" s="1"/>
  <c r="F229" i="20" a="1"/>
  <c r="F229" i="20" s="1"/>
  <c r="G229" i="20" a="1"/>
  <c r="G229" i="20" s="1"/>
  <c r="H229" i="20" a="1"/>
  <c r="H229" i="20" s="1"/>
  <c r="I229" i="20" a="1"/>
  <c r="I229" i="20" s="1"/>
  <c r="D230" i="20" a="1"/>
  <c r="D230" i="20" s="1"/>
  <c r="E230" i="20" a="1"/>
  <c r="E230" i="20" s="1"/>
  <c r="F230" i="20" a="1"/>
  <c r="F230" i="20" s="1"/>
  <c r="G230" i="20" a="1"/>
  <c r="G230" i="20" s="1"/>
  <c r="H230" i="20" a="1"/>
  <c r="H230" i="20" s="1"/>
  <c r="I230" i="20" a="1"/>
  <c r="I230" i="20" s="1"/>
  <c r="D231" i="20" a="1"/>
  <c r="D231" i="20" s="1"/>
  <c r="E231" i="20" a="1"/>
  <c r="E231" i="20" s="1"/>
  <c r="F231" i="20" a="1"/>
  <c r="F231" i="20" s="1"/>
  <c r="G231" i="20" a="1"/>
  <c r="G231" i="20" s="1"/>
  <c r="H231" i="20" a="1"/>
  <c r="H231" i="20" s="1"/>
  <c r="I231" i="20" a="1"/>
  <c r="I231" i="20" s="1"/>
  <c r="D235" i="20" a="1"/>
  <c r="D235" i="20" s="1"/>
  <c r="E235" i="20" a="1"/>
  <c r="E235" i="20" s="1"/>
  <c r="F235" i="20" a="1"/>
  <c r="F235" i="20" s="1"/>
  <c r="G235" i="20" a="1"/>
  <c r="G235" i="20" s="1"/>
  <c r="H235" i="20" a="1"/>
  <c r="H235" i="20" s="1"/>
  <c r="I235" i="20" a="1"/>
  <c r="I235" i="20" s="1"/>
  <c r="D236" i="20" a="1"/>
  <c r="D236" i="20" s="1"/>
  <c r="E236" i="20" a="1"/>
  <c r="E236" i="20" s="1"/>
  <c r="F236" i="20" a="1"/>
  <c r="F236" i="20" s="1"/>
  <c r="G236" i="20" a="1"/>
  <c r="G236" i="20" s="1"/>
  <c r="H236" i="20" a="1"/>
  <c r="H236" i="20" s="1"/>
  <c r="I236" i="20" a="1"/>
  <c r="I236" i="20" s="1"/>
  <c r="D237" i="20" a="1"/>
  <c r="D237" i="20" s="1"/>
  <c r="E237" i="20" a="1"/>
  <c r="E237" i="20" s="1"/>
  <c r="F237" i="20" a="1"/>
  <c r="F237" i="20" s="1"/>
  <c r="G237" i="20" a="1"/>
  <c r="G237" i="20" s="1"/>
  <c r="H237" i="20" a="1"/>
  <c r="H237" i="20" s="1"/>
  <c r="I237" i="20" a="1"/>
  <c r="I237" i="20" s="1"/>
  <c r="D155" i="20" a="1"/>
  <c r="D155" i="20" s="1"/>
  <c r="E155" i="20" a="1"/>
  <c r="E155" i="20" s="1"/>
  <c r="N155" i="20" s="1"/>
  <c r="P154" i="20" s="1"/>
  <c r="F155" i="20" a="1"/>
  <c r="F155" i="20" s="1"/>
  <c r="O155" i="20" s="1"/>
  <c r="G155" i="20" a="1"/>
  <c r="G155" i="20" s="1"/>
  <c r="H155" i="20" a="1"/>
  <c r="H155" i="20" s="1"/>
  <c r="I155" i="20" a="1"/>
  <c r="I155" i="20" s="1"/>
  <c r="D154" i="20" a="1"/>
  <c r="D154" i="20" s="1"/>
  <c r="E154" i="20" a="1"/>
  <c r="E154" i="20" s="1"/>
  <c r="K154" i="20" s="1"/>
  <c r="M153" i="20" s="1"/>
  <c r="F154" i="20" a="1"/>
  <c r="F154" i="20" s="1"/>
  <c r="L154" i="20" s="1"/>
  <c r="G154" i="20" a="1"/>
  <c r="G154" i="20" s="1"/>
  <c r="H154" i="20" a="1"/>
  <c r="H154" i="20" s="1"/>
  <c r="I154" i="20" a="1"/>
  <c r="I154" i="20" s="1"/>
  <c r="D153" i="20" a="1"/>
  <c r="D153" i="20" s="1"/>
  <c r="E153" i="20" a="1"/>
  <c r="E153" i="20" s="1"/>
  <c r="N153" i="20" s="1"/>
  <c r="P152" i="20" s="1"/>
  <c r="F153" i="20" a="1"/>
  <c r="F153" i="20" s="1"/>
  <c r="O153" i="20" s="1"/>
  <c r="G153" i="20" a="1"/>
  <c r="G153" i="20" s="1"/>
  <c r="H153" i="20" a="1"/>
  <c r="H153" i="20" s="1"/>
  <c r="I153" i="20" a="1"/>
  <c r="I153" i="20" s="1"/>
  <c r="D152" i="20" a="1"/>
  <c r="D152" i="20" s="1"/>
  <c r="E152" i="20" a="1"/>
  <c r="E152" i="20" s="1"/>
  <c r="K152" i="20" s="1"/>
  <c r="M151" i="20" s="1"/>
  <c r="F152" i="20" a="1"/>
  <c r="F152" i="20" s="1"/>
  <c r="L152" i="20" s="1"/>
  <c r="G152" i="20" a="1"/>
  <c r="G152" i="20" s="1"/>
  <c r="H152" i="20" a="1"/>
  <c r="H152" i="20" s="1"/>
  <c r="I152" i="20" a="1"/>
  <c r="I152" i="20" s="1"/>
  <c r="D151" i="20" a="1"/>
  <c r="D151" i="20" s="1"/>
  <c r="E151" i="20" a="1"/>
  <c r="E151" i="20" s="1"/>
  <c r="N151" i="20" s="1"/>
  <c r="F151" i="20" a="1"/>
  <c r="F151" i="20" s="1"/>
  <c r="O151" i="20" s="1"/>
  <c r="G151" i="20" a="1"/>
  <c r="G151" i="20" s="1"/>
  <c r="H151" i="20" a="1"/>
  <c r="H151" i="20" s="1"/>
  <c r="I151" i="20" a="1"/>
  <c r="I151" i="20" s="1"/>
  <c r="D150" i="20" a="1"/>
  <c r="D150" i="20" s="1"/>
  <c r="E150" i="20" a="1"/>
  <c r="E150" i="20" s="1"/>
  <c r="N150" i="20" s="1"/>
  <c r="F150" i="20" a="1"/>
  <c r="F150" i="20" s="1"/>
  <c r="O150" i="20" s="1"/>
  <c r="G150" i="20" a="1"/>
  <c r="G150" i="20" s="1"/>
  <c r="H150" i="20" a="1"/>
  <c r="H150" i="20" s="1"/>
  <c r="I150" i="20" a="1"/>
  <c r="I150" i="20" s="1"/>
  <c r="D149" i="20" a="1"/>
  <c r="D149" i="20" s="1"/>
  <c r="E149" i="20" a="1"/>
  <c r="E149" i="20" s="1"/>
  <c r="N149" i="20" s="1"/>
  <c r="F149" i="20" a="1"/>
  <c r="F149" i="20" s="1"/>
  <c r="O149" i="20" s="1"/>
  <c r="G149" i="20" a="1"/>
  <c r="G149" i="20" s="1"/>
  <c r="H149" i="20" a="1"/>
  <c r="H149" i="20" s="1"/>
  <c r="I149" i="20" a="1"/>
  <c r="I149" i="20" s="1"/>
  <c r="D148" i="20" a="1"/>
  <c r="D148" i="20" s="1"/>
  <c r="E148" i="20" a="1"/>
  <c r="E148" i="20" s="1"/>
  <c r="N148" i="20" s="1"/>
  <c r="F148" i="20" a="1"/>
  <c r="F148" i="20" s="1"/>
  <c r="O148" i="20" s="1"/>
  <c r="G148" i="20" a="1"/>
  <c r="G148" i="20" s="1"/>
  <c r="H148" i="20" a="1"/>
  <c r="H148" i="20" s="1"/>
  <c r="I148" i="20" a="1"/>
  <c r="I148" i="20" s="1"/>
  <c r="D147" i="20" a="1"/>
  <c r="D147" i="20" s="1"/>
  <c r="E147" i="20" a="1"/>
  <c r="E147" i="20" s="1"/>
  <c r="N147" i="20" s="1"/>
  <c r="F147" i="20" a="1"/>
  <c r="F147" i="20" s="1"/>
  <c r="O147" i="20" s="1"/>
  <c r="G147" i="20" a="1"/>
  <c r="G147" i="20" s="1"/>
  <c r="H147" i="20" a="1"/>
  <c r="H147" i="20" s="1"/>
  <c r="I147" i="20" a="1"/>
  <c r="I147" i="20" s="1"/>
  <c r="D146" i="20" a="1"/>
  <c r="D146" i="20" s="1"/>
  <c r="E146" i="20" a="1"/>
  <c r="E146" i="20" s="1"/>
  <c r="N146" i="20" s="1"/>
  <c r="F146" i="20" a="1"/>
  <c r="F146" i="20" s="1"/>
  <c r="O146" i="20" s="1"/>
  <c r="G146" i="20" a="1"/>
  <c r="G146" i="20" s="1"/>
  <c r="H146" i="20" a="1"/>
  <c r="H146" i="20" s="1"/>
  <c r="I146" i="20" a="1"/>
  <c r="I146" i="20" s="1"/>
  <c r="D145" i="20" a="1"/>
  <c r="D145" i="20" s="1"/>
  <c r="E145" i="20" a="1"/>
  <c r="E145" i="20" s="1"/>
  <c r="N145" i="20" s="1"/>
  <c r="P144" i="20" s="1"/>
  <c r="F145" i="20" a="1"/>
  <c r="F145" i="20" s="1"/>
  <c r="O145" i="20" s="1"/>
  <c r="G145" i="20" a="1"/>
  <c r="G145" i="20" s="1"/>
  <c r="H145" i="20" a="1"/>
  <c r="H145" i="20" s="1"/>
  <c r="I145" i="20" a="1"/>
  <c r="I145" i="20" s="1"/>
  <c r="D144" i="20" a="1"/>
  <c r="D144" i="20" s="1"/>
  <c r="E144" i="20" a="1"/>
  <c r="E144" i="20" s="1"/>
  <c r="K144" i="20" s="1"/>
  <c r="F144" i="20" a="1"/>
  <c r="F144" i="20" s="1"/>
  <c r="L144" i="20" s="1"/>
  <c r="G144" i="20" a="1"/>
  <c r="G144" i="20" s="1"/>
  <c r="H144" i="20" a="1"/>
  <c r="H144" i="20" s="1"/>
  <c r="I144" i="20" a="1"/>
  <c r="I144" i="20" s="1"/>
  <c r="D143" i="20" a="1"/>
  <c r="D143" i="20" s="1"/>
  <c r="E143" i="20" a="1"/>
  <c r="E143" i="20" s="1"/>
  <c r="K143" i="20" s="1"/>
  <c r="F143" i="20" a="1"/>
  <c r="F143" i="20" s="1"/>
  <c r="L143" i="20" s="1"/>
  <c r="G143" i="20" a="1"/>
  <c r="G143" i="20" s="1"/>
  <c r="H143" i="20" a="1"/>
  <c r="H143" i="20" s="1"/>
  <c r="I143" i="20" a="1"/>
  <c r="I143" i="20" s="1"/>
  <c r="D142" i="20" a="1"/>
  <c r="D142" i="20" s="1"/>
  <c r="E142" i="20" a="1"/>
  <c r="E142" i="20" s="1"/>
  <c r="K142" i="20" s="1"/>
  <c r="F142" i="20" a="1"/>
  <c r="F142" i="20" s="1"/>
  <c r="L142" i="20" s="1"/>
  <c r="G142" i="20" a="1"/>
  <c r="G142" i="20" s="1"/>
  <c r="H142" i="20" a="1"/>
  <c r="H142" i="20" s="1"/>
  <c r="I142" i="20" a="1"/>
  <c r="I142" i="20" s="1"/>
  <c r="D141" i="20" a="1"/>
  <c r="D141" i="20" s="1"/>
  <c r="E141" i="20" a="1"/>
  <c r="E141" i="20" s="1"/>
  <c r="K141" i="20" s="1"/>
  <c r="F141" i="20" a="1"/>
  <c r="F141" i="20" s="1"/>
  <c r="L141" i="20" s="1"/>
  <c r="G141" i="20" a="1"/>
  <c r="G141" i="20" s="1"/>
  <c r="H141" i="20" a="1"/>
  <c r="H141" i="20" s="1"/>
  <c r="I141" i="20" a="1"/>
  <c r="I141" i="20" s="1"/>
  <c r="D140" i="20" a="1"/>
  <c r="D140" i="20" s="1"/>
  <c r="E140" i="20" a="1"/>
  <c r="E140" i="20" s="1"/>
  <c r="K140" i="20" s="1"/>
  <c r="F140" i="20" a="1"/>
  <c r="F140" i="20" s="1"/>
  <c r="L140" i="20" s="1"/>
  <c r="G140" i="20" a="1"/>
  <c r="G140" i="20" s="1"/>
  <c r="H140" i="20" a="1"/>
  <c r="H140" i="20" s="1"/>
  <c r="I140" i="20" a="1"/>
  <c r="I140" i="20" s="1"/>
  <c r="D139" i="20" a="1"/>
  <c r="D139" i="20" s="1"/>
  <c r="E139" i="20" a="1"/>
  <c r="E139" i="20" s="1"/>
  <c r="K139" i="20" s="1"/>
  <c r="M138" i="20" s="1"/>
  <c r="F139" i="20" a="1"/>
  <c r="F139" i="20" s="1"/>
  <c r="L139" i="20" s="1"/>
  <c r="G139" i="20" a="1"/>
  <c r="G139" i="20" s="1"/>
  <c r="H139" i="20" a="1"/>
  <c r="H139" i="20" s="1"/>
  <c r="I139" i="20" a="1"/>
  <c r="I139" i="20" s="1"/>
  <c r="D138" i="20" a="1"/>
  <c r="D138" i="20" s="1"/>
  <c r="E138" i="20" a="1"/>
  <c r="E138" i="20" s="1"/>
  <c r="N138" i="20" s="1"/>
  <c r="F138" i="20" a="1"/>
  <c r="F138" i="20" s="1"/>
  <c r="O138" i="20" s="1"/>
  <c r="G138" i="20" a="1"/>
  <c r="G138" i="20" s="1"/>
  <c r="H138" i="20" a="1"/>
  <c r="H138" i="20" s="1"/>
  <c r="I138" i="20" a="1"/>
  <c r="I138" i="20" s="1"/>
  <c r="D137" i="20" a="1"/>
  <c r="D137" i="20" s="1"/>
  <c r="E137" i="20" a="1"/>
  <c r="E137" i="20" s="1"/>
  <c r="N137" i="20" s="1"/>
  <c r="F137" i="20" a="1"/>
  <c r="F137" i="20" s="1"/>
  <c r="O137" i="20" s="1"/>
  <c r="G137" i="20" a="1"/>
  <c r="G137" i="20" s="1"/>
  <c r="H137" i="20" a="1"/>
  <c r="H137" i="20" s="1"/>
  <c r="I137" i="20" a="1"/>
  <c r="I137" i="20" s="1"/>
  <c r="D136" i="20" a="1"/>
  <c r="D136" i="20" s="1"/>
  <c r="E136" i="20" a="1"/>
  <c r="E136" i="20" s="1"/>
  <c r="N136" i="20" s="1"/>
  <c r="F136" i="20" a="1"/>
  <c r="F136" i="20" s="1"/>
  <c r="O136" i="20" s="1"/>
  <c r="G136" i="20" a="1"/>
  <c r="G136" i="20" s="1"/>
  <c r="H136" i="20" a="1"/>
  <c r="H136" i="20" s="1"/>
  <c r="I136" i="20" a="1"/>
  <c r="I136" i="20" s="1"/>
  <c r="D135" i="20" a="1"/>
  <c r="D135" i="20" s="1"/>
  <c r="E135" i="20" a="1"/>
  <c r="E135" i="20" s="1"/>
  <c r="N135" i="20" s="1"/>
  <c r="F135" i="20" a="1"/>
  <c r="F135" i="20" s="1"/>
  <c r="O135" i="20" s="1"/>
  <c r="G135" i="20" a="1"/>
  <c r="G135" i="20" s="1"/>
  <c r="H135" i="20" a="1"/>
  <c r="H135" i="20" s="1"/>
  <c r="I135" i="20" a="1"/>
  <c r="I135" i="20" s="1"/>
  <c r="D134" i="20" a="1"/>
  <c r="D134" i="20" s="1"/>
  <c r="E134" i="20" a="1"/>
  <c r="E134" i="20" s="1"/>
  <c r="N134" i="20" s="1"/>
  <c r="F134" i="20" a="1"/>
  <c r="F134" i="20" s="1"/>
  <c r="O134" i="20" s="1"/>
  <c r="G134" i="20" a="1"/>
  <c r="G134" i="20" s="1"/>
  <c r="H134" i="20" a="1"/>
  <c r="H134" i="20" s="1"/>
  <c r="I134" i="20" a="1"/>
  <c r="I134" i="20" s="1"/>
  <c r="D133" i="20" a="1"/>
  <c r="D133" i="20" s="1"/>
  <c r="E133" i="20" a="1"/>
  <c r="E133" i="20" s="1"/>
  <c r="N133" i="20" s="1"/>
  <c r="F133" i="20" a="1"/>
  <c r="F133" i="20" s="1"/>
  <c r="O133" i="20" s="1"/>
  <c r="G133" i="20" a="1"/>
  <c r="G133" i="20" s="1"/>
  <c r="H133" i="20" a="1"/>
  <c r="H133" i="20" s="1"/>
  <c r="I133" i="20" a="1"/>
  <c r="I133" i="20" s="1"/>
  <c r="D132" i="20" a="1"/>
  <c r="D132" i="20" s="1"/>
  <c r="E132" i="20" a="1"/>
  <c r="E132" i="20" s="1"/>
  <c r="N132" i="20" s="1"/>
  <c r="P131" i="20" s="1"/>
  <c r="F132" i="20" a="1"/>
  <c r="F132" i="20" s="1"/>
  <c r="O132" i="20" s="1"/>
  <c r="G132" i="20" a="1"/>
  <c r="G132" i="20" s="1"/>
  <c r="H132" i="20" a="1"/>
  <c r="H132" i="20" s="1"/>
  <c r="I132" i="20" a="1"/>
  <c r="I132" i="20" s="1"/>
  <c r="D131" i="20" a="1"/>
  <c r="D131" i="20" s="1"/>
  <c r="E131" i="20" a="1"/>
  <c r="E131" i="20" s="1"/>
  <c r="K131" i="20" s="1"/>
  <c r="F131" i="20" a="1"/>
  <c r="F131" i="20" s="1"/>
  <c r="L131" i="20" s="1"/>
  <c r="G131" i="20" a="1"/>
  <c r="G131" i="20" s="1"/>
  <c r="H131" i="20" a="1"/>
  <c r="H131" i="20" s="1"/>
  <c r="I131" i="20" a="1"/>
  <c r="I131" i="20" s="1"/>
  <c r="D130" i="20" a="1"/>
  <c r="D130" i="20" s="1"/>
  <c r="E130" i="20" a="1"/>
  <c r="E130" i="20" s="1"/>
  <c r="K130" i="20" s="1"/>
  <c r="F130" i="20" a="1"/>
  <c r="F130" i="20" s="1"/>
  <c r="L130" i="20" s="1"/>
  <c r="G130" i="20" a="1"/>
  <c r="G130" i="20" s="1"/>
  <c r="H130" i="20" a="1"/>
  <c r="H130" i="20" s="1"/>
  <c r="I130" i="20" a="1"/>
  <c r="I130" i="20" s="1"/>
  <c r="D129" i="20" a="1"/>
  <c r="D129" i="20" s="1"/>
  <c r="E129" i="20" a="1"/>
  <c r="E129" i="20" s="1"/>
  <c r="K129" i="20" s="1"/>
  <c r="F129" i="20" a="1"/>
  <c r="F129" i="20" s="1"/>
  <c r="L129" i="20" s="1"/>
  <c r="G129" i="20" a="1"/>
  <c r="G129" i="20" s="1"/>
  <c r="H129" i="20" a="1"/>
  <c r="H129" i="20" s="1"/>
  <c r="I129" i="20" a="1"/>
  <c r="I129" i="20" s="1"/>
  <c r="D128" i="20" a="1"/>
  <c r="D128" i="20" s="1"/>
  <c r="E128" i="20" a="1"/>
  <c r="E128" i="20" s="1"/>
  <c r="K128" i="20" s="1"/>
  <c r="F128" i="20" a="1"/>
  <c r="F128" i="20" s="1"/>
  <c r="L128" i="20" s="1"/>
  <c r="G128" i="20" a="1"/>
  <c r="G128" i="20" s="1"/>
  <c r="H128" i="20" a="1"/>
  <c r="H128" i="20" s="1"/>
  <c r="I128" i="20" a="1"/>
  <c r="I128" i="20" s="1"/>
  <c r="D127" i="20" a="1"/>
  <c r="D127" i="20" s="1"/>
  <c r="E127" i="20" a="1"/>
  <c r="E127" i="20" s="1"/>
  <c r="K127" i="20" s="1"/>
  <c r="F127" i="20" a="1"/>
  <c r="F127" i="20" s="1"/>
  <c r="L127" i="20" s="1"/>
  <c r="G127" i="20" a="1"/>
  <c r="G127" i="20" s="1"/>
  <c r="H127" i="20" a="1"/>
  <c r="H127" i="20" s="1"/>
  <c r="I127" i="20" a="1"/>
  <c r="I127" i="20" s="1"/>
  <c r="D126" i="20" a="1"/>
  <c r="D126" i="20" s="1"/>
  <c r="E126" i="20" a="1"/>
  <c r="E126" i="20" s="1"/>
  <c r="K126" i="20" s="1"/>
  <c r="M125" i="20" s="1"/>
  <c r="F126" i="20" a="1"/>
  <c r="F126" i="20" s="1"/>
  <c r="L126" i="20" s="1"/>
  <c r="G126" i="20" a="1"/>
  <c r="G126" i="20" s="1"/>
  <c r="H126" i="20" a="1"/>
  <c r="H126" i="20" s="1"/>
  <c r="I126" i="20" a="1"/>
  <c r="I126" i="20" s="1"/>
  <c r="D125" i="20" a="1"/>
  <c r="D125" i="20" s="1"/>
  <c r="E125" i="20" a="1"/>
  <c r="E125" i="20" s="1"/>
  <c r="N125" i="20" s="1"/>
  <c r="F125" i="20" a="1"/>
  <c r="F125" i="20" s="1"/>
  <c r="O125" i="20" s="1"/>
  <c r="G125" i="20" a="1"/>
  <c r="G125" i="20" s="1"/>
  <c r="H125" i="20" a="1"/>
  <c r="H125" i="20" s="1"/>
  <c r="I125" i="20" a="1"/>
  <c r="I125" i="20" s="1"/>
  <c r="D124" i="20" a="1"/>
  <c r="D124" i="20" s="1"/>
  <c r="E124" i="20" a="1"/>
  <c r="E124" i="20" s="1"/>
  <c r="N124" i="20" s="1"/>
  <c r="F124" i="20" a="1"/>
  <c r="F124" i="20" s="1"/>
  <c r="O124" i="20" s="1"/>
  <c r="G124" i="20" a="1"/>
  <c r="G124" i="20" s="1"/>
  <c r="H124" i="20" a="1"/>
  <c r="H124" i="20" s="1"/>
  <c r="I124" i="20" a="1"/>
  <c r="I124" i="20" s="1"/>
  <c r="D123" i="20" a="1"/>
  <c r="D123" i="20" s="1"/>
  <c r="E123" i="20" a="1"/>
  <c r="E123" i="20" s="1"/>
  <c r="N123" i="20" s="1"/>
  <c r="F123" i="20" a="1"/>
  <c r="F123" i="20" s="1"/>
  <c r="O123" i="20" s="1"/>
  <c r="G123" i="20" a="1"/>
  <c r="G123" i="20" s="1"/>
  <c r="H123" i="20" a="1"/>
  <c r="H123" i="20" s="1"/>
  <c r="I123" i="20" a="1"/>
  <c r="I123" i="20" s="1"/>
  <c r="D122" i="20" a="1"/>
  <c r="D122" i="20" s="1"/>
  <c r="E122" i="20" a="1"/>
  <c r="E122" i="20" s="1"/>
  <c r="N122" i="20" s="1"/>
  <c r="F122" i="20" a="1"/>
  <c r="F122" i="20" s="1"/>
  <c r="O122" i="20" s="1"/>
  <c r="G122" i="20" a="1"/>
  <c r="G122" i="20" s="1"/>
  <c r="H122" i="20" a="1"/>
  <c r="H122" i="20" s="1"/>
  <c r="I122" i="20" a="1"/>
  <c r="I122" i="20" s="1"/>
  <c r="D121" i="20" a="1"/>
  <c r="D121" i="20" s="1"/>
  <c r="E121" i="20" a="1"/>
  <c r="E121" i="20" s="1"/>
  <c r="N121" i="20" s="1"/>
  <c r="F121" i="20" a="1"/>
  <c r="F121" i="20" s="1"/>
  <c r="O121" i="20" s="1"/>
  <c r="G121" i="20" a="1"/>
  <c r="G121" i="20" s="1"/>
  <c r="H121" i="20" a="1"/>
  <c r="H121" i="20" s="1"/>
  <c r="I121" i="20" a="1"/>
  <c r="I121" i="20" s="1"/>
  <c r="D120" i="20" a="1"/>
  <c r="D120" i="20" s="1"/>
  <c r="E120" i="20" a="1"/>
  <c r="E120" i="20" s="1"/>
  <c r="N120" i="20" s="1"/>
  <c r="F120" i="20" a="1"/>
  <c r="F120" i="20" s="1"/>
  <c r="O120" i="20" s="1"/>
  <c r="G120" i="20" a="1"/>
  <c r="G120" i="20" s="1"/>
  <c r="H120" i="20" a="1"/>
  <c r="H120" i="20" s="1"/>
  <c r="I120" i="20" a="1"/>
  <c r="I120" i="20" s="1"/>
  <c r="D119" i="20" a="1"/>
  <c r="D119" i="20" s="1"/>
  <c r="E119" i="20" a="1"/>
  <c r="E119" i="20" s="1"/>
  <c r="N119" i="20" s="1"/>
  <c r="P118" i="20" s="1"/>
  <c r="F119" i="20" a="1"/>
  <c r="F119" i="20" s="1"/>
  <c r="O119" i="20" s="1"/>
  <c r="G119" i="20" a="1"/>
  <c r="G119" i="20" s="1"/>
  <c r="H119" i="20" a="1"/>
  <c r="H119" i="20" s="1"/>
  <c r="I119" i="20" a="1"/>
  <c r="I119" i="20" s="1"/>
  <c r="D118" i="20" a="1"/>
  <c r="D118" i="20" s="1"/>
  <c r="E118" i="20" a="1"/>
  <c r="E118" i="20" s="1"/>
  <c r="K118" i="20" s="1"/>
  <c r="F118" i="20" a="1"/>
  <c r="F118" i="20" s="1"/>
  <c r="L118" i="20" s="1"/>
  <c r="G118" i="20" a="1"/>
  <c r="G118" i="20" s="1"/>
  <c r="H118" i="20" a="1"/>
  <c r="H118" i="20" s="1"/>
  <c r="I118" i="20" a="1"/>
  <c r="I118" i="20" s="1"/>
  <c r="D117" i="20" a="1"/>
  <c r="D117" i="20" s="1"/>
  <c r="E117" i="20" a="1"/>
  <c r="E117" i="20" s="1"/>
  <c r="K117" i="20" s="1"/>
  <c r="F117" i="20" a="1"/>
  <c r="F117" i="20" s="1"/>
  <c r="L117" i="20" s="1"/>
  <c r="G117" i="20" a="1"/>
  <c r="G117" i="20" s="1"/>
  <c r="H117" i="20" a="1"/>
  <c r="H117" i="20" s="1"/>
  <c r="I117" i="20" a="1"/>
  <c r="I117" i="20" s="1"/>
  <c r="D116" i="20" a="1"/>
  <c r="D116" i="20" s="1"/>
  <c r="E116" i="20" a="1"/>
  <c r="E116" i="20" s="1"/>
  <c r="K116" i="20" s="1"/>
  <c r="F116" i="20" a="1"/>
  <c r="F116" i="20" s="1"/>
  <c r="L116" i="20" s="1"/>
  <c r="G116" i="20" a="1"/>
  <c r="G116" i="20" s="1"/>
  <c r="H116" i="20" a="1"/>
  <c r="H116" i="20" s="1"/>
  <c r="I116" i="20" a="1"/>
  <c r="I116" i="20" s="1"/>
  <c r="D115" i="20" a="1"/>
  <c r="D115" i="20" s="1"/>
  <c r="E115" i="20" a="1"/>
  <c r="E115" i="20" s="1"/>
  <c r="K115" i="20" s="1"/>
  <c r="F115" i="20" a="1"/>
  <c r="F115" i="20" s="1"/>
  <c r="L115" i="20" s="1"/>
  <c r="G115" i="20" a="1"/>
  <c r="G115" i="20" s="1"/>
  <c r="H115" i="20" a="1"/>
  <c r="H115" i="20" s="1"/>
  <c r="I115" i="20" a="1"/>
  <c r="I115" i="20" s="1"/>
  <c r="D114" i="20" a="1"/>
  <c r="D114" i="20" s="1"/>
  <c r="E114" i="20" a="1"/>
  <c r="E114" i="20" s="1"/>
  <c r="K114" i="20" s="1"/>
  <c r="F114" i="20" a="1"/>
  <c r="F114" i="20" s="1"/>
  <c r="L114" i="20" s="1"/>
  <c r="G114" i="20" a="1"/>
  <c r="G114" i="20" s="1"/>
  <c r="H114" i="20" a="1"/>
  <c r="H114" i="20" s="1"/>
  <c r="I114" i="20" a="1"/>
  <c r="I114" i="20" s="1"/>
  <c r="D113" i="20" a="1"/>
  <c r="D113" i="20" s="1"/>
  <c r="E113" i="20" a="1"/>
  <c r="E113" i="20" s="1"/>
  <c r="K113" i="20" s="1"/>
  <c r="F113" i="20" a="1"/>
  <c r="F113" i="20" s="1"/>
  <c r="L113" i="20" s="1"/>
  <c r="G113" i="20" a="1"/>
  <c r="G113" i="20" s="1"/>
  <c r="H113" i="20" a="1"/>
  <c r="H113" i="20" s="1"/>
  <c r="I113" i="20" a="1"/>
  <c r="I113" i="20" s="1"/>
  <c r="D112" i="20" a="1"/>
  <c r="D112" i="20" s="1"/>
  <c r="E112" i="20" a="1"/>
  <c r="E112" i="20" s="1"/>
  <c r="K112" i="20" s="1"/>
  <c r="F112" i="20" a="1"/>
  <c r="F112" i="20" s="1"/>
  <c r="L112" i="20" s="1"/>
  <c r="G112" i="20" a="1"/>
  <c r="G112" i="20" s="1"/>
  <c r="H112" i="20" a="1"/>
  <c r="H112" i="20" s="1"/>
  <c r="I112" i="20" a="1"/>
  <c r="I112" i="20" s="1"/>
  <c r="D111" i="20" a="1"/>
  <c r="D111" i="20" s="1"/>
  <c r="E111" i="20" a="1"/>
  <c r="E111" i="20" s="1"/>
  <c r="K111" i="20" s="1"/>
  <c r="M110" i="20" s="1"/>
  <c r="F111" i="20" a="1"/>
  <c r="F111" i="20" s="1"/>
  <c r="L111" i="20" s="1"/>
  <c r="G111" i="20" a="1"/>
  <c r="G111" i="20" s="1"/>
  <c r="H111" i="20" a="1"/>
  <c r="H111" i="20" s="1"/>
  <c r="I111" i="20" a="1"/>
  <c r="I111" i="20" s="1"/>
  <c r="D110" i="20" a="1"/>
  <c r="D110" i="20" s="1"/>
  <c r="E110" i="20" a="1"/>
  <c r="E110" i="20" s="1"/>
  <c r="N110" i="20" s="1"/>
  <c r="F110" i="20" a="1"/>
  <c r="F110" i="20" s="1"/>
  <c r="O110" i="20" s="1"/>
  <c r="G110" i="20" a="1"/>
  <c r="G110" i="20" s="1"/>
  <c r="H110" i="20" a="1"/>
  <c r="H110" i="20" s="1"/>
  <c r="I110" i="20" a="1"/>
  <c r="I110" i="20" s="1"/>
  <c r="D109" i="20" a="1"/>
  <c r="D109" i="20" s="1"/>
  <c r="E109" i="20" a="1"/>
  <c r="E109" i="20" s="1"/>
  <c r="N109" i="20" s="1"/>
  <c r="F109" i="20" a="1"/>
  <c r="F109" i="20" s="1"/>
  <c r="O109" i="20" s="1"/>
  <c r="G109" i="20" a="1"/>
  <c r="G109" i="20" s="1"/>
  <c r="H109" i="20" a="1"/>
  <c r="H109" i="20" s="1"/>
  <c r="I109" i="20" a="1"/>
  <c r="I109" i="20" s="1"/>
  <c r="D108" i="20" a="1"/>
  <c r="D108" i="20" s="1"/>
  <c r="E108" i="20" a="1"/>
  <c r="E108" i="20" s="1"/>
  <c r="N108" i="20" s="1"/>
  <c r="F108" i="20" a="1"/>
  <c r="F108" i="20" s="1"/>
  <c r="O108" i="20" s="1"/>
  <c r="G108" i="20" a="1"/>
  <c r="G108" i="20" s="1"/>
  <c r="H108" i="20" a="1"/>
  <c r="H108" i="20" s="1"/>
  <c r="I108" i="20" a="1"/>
  <c r="I108" i="20" s="1"/>
  <c r="D107" i="20" a="1"/>
  <c r="D107" i="20" s="1"/>
  <c r="E107" i="20" a="1"/>
  <c r="E107" i="20" s="1"/>
  <c r="N107" i="20" s="1"/>
  <c r="F107" i="20" a="1"/>
  <c r="F107" i="20" s="1"/>
  <c r="O107" i="20" s="1"/>
  <c r="G107" i="20" a="1"/>
  <c r="G107" i="20" s="1"/>
  <c r="H107" i="20" a="1"/>
  <c r="H107" i="20" s="1"/>
  <c r="I107" i="20" a="1"/>
  <c r="I107" i="20" s="1"/>
  <c r="D106" i="20" a="1"/>
  <c r="D106" i="20" s="1"/>
  <c r="E106" i="20" a="1"/>
  <c r="E106" i="20" s="1"/>
  <c r="N106" i="20" s="1"/>
  <c r="P105" i="20" s="1"/>
  <c r="F106" i="20" a="1"/>
  <c r="F106" i="20" s="1"/>
  <c r="O106" i="20" s="1"/>
  <c r="G106" i="20" a="1"/>
  <c r="G106" i="20" s="1"/>
  <c r="H106" i="20" a="1"/>
  <c r="H106" i="20" s="1"/>
  <c r="I106" i="20" a="1"/>
  <c r="I106" i="20" s="1"/>
  <c r="D105" i="20" a="1"/>
  <c r="D105" i="20" s="1"/>
  <c r="E105" i="20" a="1"/>
  <c r="E105" i="20" s="1"/>
  <c r="K105" i="20" s="1"/>
  <c r="F105" i="20" a="1"/>
  <c r="F105" i="20" s="1"/>
  <c r="L105" i="20" s="1"/>
  <c r="G105" i="20" a="1"/>
  <c r="G105" i="20" s="1"/>
  <c r="H105" i="20" a="1"/>
  <c r="H105" i="20" s="1"/>
  <c r="I105" i="20" a="1"/>
  <c r="I105" i="20" s="1"/>
  <c r="D104" i="20" a="1"/>
  <c r="D104" i="20" s="1"/>
  <c r="E104" i="20" a="1"/>
  <c r="E104" i="20" s="1"/>
  <c r="K104" i="20" s="1"/>
  <c r="F104" i="20" a="1"/>
  <c r="F104" i="20" s="1"/>
  <c r="L104" i="20" s="1"/>
  <c r="G104" i="20" a="1"/>
  <c r="G104" i="20" s="1"/>
  <c r="H104" i="20" a="1"/>
  <c r="H104" i="20" s="1"/>
  <c r="I104" i="20" a="1"/>
  <c r="I104" i="20" s="1"/>
  <c r="D103" i="20" a="1"/>
  <c r="D103" i="20" s="1"/>
  <c r="E103" i="20" a="1"/>
  <c r="E103" i="20" s="1"/>
  <c r="K103" i="20" s="1"/>
  <c r="F103" i="20" a="1"/>
  <c r="F103" i="20" s="1"/>
  <c r="L103" i="20" s="1"/>
  <c r="G103" i="20" a="1"/>
  <c r="G103" i="20" s="1"/>
  <c r="H103" i="20" a="1"/>
  <c r="H103" i="20" s="1"/>
  <c r="I103" i="20" a="1"/>
  <c r="I103" i="20" s="1"/>
  <c r="D102" i="20" a="1"/>
  <c r="D102" i="20" s="1"/>
  <c r="E102" i="20" a="1"/>
  <c r="E102" i="20" s="1"/>
  <c r="K102" i="20" s="1"/>
  <c r="F102" i="20" a="1"/>
  <c r="F102" i="20" s="1"/>
  <c r="L102" i="20" s="1"/>
  <c r="G102" i="20" a="1"/>
  <c r="G102" i="20" s="1"/>
  <c r="H102" i="20" a="1"/>
  <c r="H102" i="20" s="1"/>
  <c r="I102" i="20" a="1"/>
  <c r="I102" i="20" s="1"/>
  <c r="D101" i="20" a="1"/>
  <c r="D101" i="20" s="1"/>
  <c r="E101" i="20" a="1"/>
  <c r="E101" i="20" s="1"/>
  <c r="K101" i="20" s="1"/>
  <c r="F101" i="20" a="1"/>
  <c r="F101" i="20" s="1"/>
  <c r="L101" i="20" s="1"/>
  <c r="G101" i="20" a="1"/>
  <c r="G101" i="20" s="1"/>
  <c r="H101" i="20" a="1"/>
  <c r="H101" i="20" s="1"/>
  <c r="I101" i="20" a="1"/>
  <c r="I101" i="20" s="1"/>
  <c r="D100" i="20" a="1"/>
  <c r="D100" i="20" s="1"/>
  <c r="E100" i="20" a="1"/>
  <c r="E100" i="20" s="1"/>
  <c r="K100" i="20" s="1"/>
  <c r="F100" i="20" a="1"/>
  <c r="F100" i="20" s="1"/>
  <c r="L100" i="20" s="1"/>
  <c r="G100" i="20" a="1"/>
  <c r="G100" i="20" s="1"/>
  <c r="H100" i="20" a="1"/>
  <c r="H100" i="20" s="1"/>
  <c r="I100" i="20" a="1"/>
  <c r="I100" i="20" s="1"/>
  <c r="D99" i="20" a="1"/>
  <c r="D99" i="20" s="1"/>
  <c r="E99" i="20" a="1"/>
  <c r="E99" i="20" s="1"/>
  <c r="K99" i="20" s="1"/>
  <c r="M98" i="20" s="1"/>
  <c r="F99" i="20" a="1"/>
  <c r="F99" i="20" s="1"/>
  <c r="L99" i="20" s="1"/>
  <c r="G99" i="20" a="1"/>
  <c r="G99" i="20" s="1"/>
  <c r="H99" i="20" a="1"/>
  <c r="H99" i="20" s="1"/>
  <c r="I99" i="20" a="1"/>
  <c r="I99" i="20" s="1"/>
  <c r="D98" i="20" a="1"/>
  <c r="D98" i="20" s="1"/>
  <c r="E98" i="20" a="1"/>
  <c r="E98" i="20" s="1"/>
  <c r="N98" i="20" s="1"/>
  <c r="F98" i="20" a="1"/>
  <c r="F98" i="20" s="1"/>
  <c r="O98" i="20" s="1"/>
  <c r="G98" i="20" a="1"/>
  <c r="G98" i="20" s="1"/>
  <c r="H98" i="20" a="1"/>
  <c r="H98" i="20" s="1"/>
  <c r="I98" i="20" a="1"/>
  <c r="I98" i="20" s="1"/>
  <c r="D97" i="20" a="1"/>
  <c r="D97" i="20" s="1"/>
  <c r="E97" i="20" a="1"/>
  <c r="E97" i="20" s="1"/>
  <c r="N97" i="20" s="1"/>
  <c r="F97" i="20" a="1"/>
  <c r="F97" i="20" s="1"/>
  <c r="O97" i="20" s="1"/>
  <c r="G97" i="20" a="1"/>
  <c r="G97" i="20" s="1"/>
  <c r="H97" i="20" a="1"/>
  <c r="H97" i="20" s="1"/>
  <c r="I97" i="20" a="1"/>
  <c r="I97" i="20" s="1"/>
  <c r="I96" i="20" a="1"/>
  <c r="I96" i="20" s="1"/>
  <c r="H96" i="20" a="1"/>
  <c r="H96" i="20" s="1"/>
  <c r="G96" i="20" a="1"/>
  <c r="G96" i="20" s="1"/>
  <c r="F96" i="20" a="1"/>
  <c r="F96" i="20" s="1"/>
  <c r="O96" i="20" s="1"/>
  <c r="E96" i="20" a="1"/>
  <c r="E96" i="20" s="1"/>
  <c r="N96" i="20" s="1"/>
  <c r="D96" i="20" a="1"/>
  <c r="D96" i="20" s="1"/>
  <c r="I95" i="20" a="1"/>
  <c r="I95" i="20" s="1"/>
  <c r="H95" i="20" a="1"/>
  <c r="H95" i="20" s="1"/>
  <c r="G95" i="20" a="1"/>
  <c r="G95" i="20" s="1"/>
  <c r="F95" i="20" a="1"/>
  <c r="F95" i="20" s="1"/>
  <c r="O95" i="20" s="1"/>
  <c r="E95" i="20" a="1"/>
  <c r="E95" i="20" s="1"/>
  <c r="N95" i="20" s="1"/>
  <c r="D95" i="20" a="1"/>
  <c r="D95" i="20" s="1"/>
  <c r="I94" i="20" a="1"/>
  <c r="I94" i="20" s="1"/>
  <c r="H94" i="20" a="1"/>
  <c r="H94" i="20" s="1"/>
  <c r="G94" i="20" a="1"/>
  <c r="G94" i="20" s="1"/>
  <c r="F94" i="20" a="1"/>
  <c r="F94" i="20" s="1"/>
  <c r="O94" i="20" s="1"/>
  <c r="E94" i="20" a="1"/>
  <c r="E94" i="20" s="1"/>
  <c r="N94" i="20" s="1"/>
  <c r="D94" i="20" a="1"/>
  <c r="D94" i="20" s="1"/>
  <c r="I93" i="20" a="1"/>
  <c r="I93" i="20" s="1"/>
  <c r="H93" i="20" a="1"/>
  <c r="H93" i="20" s="1"/>
  <c r="G93" i="20" a="1"/>
  <c r="G93" i="20" s="1"/>
  <c r="F93" i="20" a="1"/>
  <c r="F93" i="20" s="1"/>
  <c r="O93" i="20" s="1"/>
  <c r="E93" i="20" a="1"/>
  <c r="E93" i="20" s="1"/>
  <c r="N93" i="20" s="1"/>
  <c r="D93" i="20" a="1"/>
  <c r="D93" i="20" s="1"/>
  <c r="I92" i="20" a="1"/>
  <c r="I92" i="20" s="1"/>
  <c r="H92" i="20" a="1"/>
  <c r="H92" i="20" s="1"/>
  <c r="G92" i="20" a="1"/>
  <c r="G92" i="20" s="1"/>
  <c r="F92" i="20" a="1"/>
  <c r="F92" i="20" s="1"/>
  <c r="O92" i="20" s="1"/>
  <c r="E92" i="20" a="1"/>
  <c r="E92" i="20" s="1"/>
  <c r="N92" i="20" s="1"/>
  <c r="D92" i="20" a="1"/>
  <c r="D92" i="20" s="1"/>
  <c r="I91" i="20" a="1"/>
  <c r="I91" i="20" s="1"/>
  <c r="H91" i="20" a="1"/>
  <c r="H91" i="20" s="1"/>
  <c r="G91" i="20" a="1"/>
  <c r="G91" i="20" s="1"/>
  <c r="F91" i="20" a="1"/>
  <c r="F91" i="20" s="1"/>
  <c r="O91" i="20" s="1"/>
  <c r="E91" i="20" a="1"/>
  <c r="E91" i="20" s="1"/>
  <c r="N91" i="20" s="1"/>
  <c r="P90" i="20" s="1"/>
  <c r="D91" i="20" a="1"/>
  <c r="D91" i="20" s="1"/>
  <c r="I90" i="20" a="1"/>
  <c r="I90" i="20" s="1"/>
  <c r="H90" i="20" a="1"/>
  <c r="H90" i="20" s="1"/>
  <c r="G90" i="20" a="1"/>
  <c r="G90" i="20" s="1"/>
  <c r="F90" i="20" a="1"/>
  <c r="F90" i="20" s="1"/>
  <c r="L90" i="20" s="1"/>
  <c r="E90" i="20" a="1"/>
  <c r="E90" i="20" s="1"/>
  <c r="D90" i="20" a="1"/>
  <c r="D90" i="20" s="1"/>
  <c r="I80" i="20" a="1"/>
  <c r="I80" i="20" s="1"/>
  <c r="H80" i="20" a="1"/>
  <c r="H80" i="20" s="1"/>
  <c r="G80" i="20" a="1"/>
  <c r="G80" i="20" s="1"/>
  <c r="I79" i="20" a="1"/>
  <c r="I79" i="20" s="1"/>
  <c r="H79" i="20" a="1"/>
  <c r="H79" i="20" s="1"/>
  <c r="G79" i="20" a="1"/>
  <c r="G79" i="20" s="1"/>
  <c r="I78" i="20" a="1"/>
  <c r="I78" i="20" s="1"/>
  <c r="H78" i="20" a="1"/>
  <c r="H78" i="20" s="1"/>
  <c r="G78" i="20" a="1"/>
  <c r="G78" i="20" s="1"/>
  <c r="I74" i="20" a="1"/>
  <c r="I74" i="20" s="1"/>
  <c r="H74" i="20" a="1"/>
  <c r="H74" i="20" s="1"/>
  <c r="G74" i="20" a="1"/>
  <c r="G74" i="20" s="1"/>
  <c r="I73" i="20" a="1"/>
  <c r="I73" i="20" s="1"/>
  <c r="H73" i="20" a="1"/>
  <c r="H73" i="20" s="1"/>
  <c r="G73" i="20" a="1"/>
  <c r="G73" i="20" s="1"/>
  <c r="I72" i="20" a="1"/>
  <c r="I72" i="20" s="1"/>
  <c r="H72" i="20" a="1"/>
  <c r="H72" i="20" s="1"/>
  <c r="G72" i="20" a="1"/>
  <c r="G72" i="20" s="1"/>
  <c r="I71" i="20" a="1"/>
  <c r="I71" i="20" s="1"/>
  <c r="H71" i="20" a="1"/>
  <c r="H71" i="20" s="1"/>
  <c r="G71" i="20" a="1"/>
  <c r="G71" i="20" s="1"/>
  <c r="I70" i="20" a="1"/>
  <c r="I70" i="20" s="1"/>
  <c r="H70" i="20" a="1"/>
  <c r="H70" i="20" s="1"/>
  <c r="G70" i="20" a="1"/>
  <c r="G70" i="20" s="1"/>
  <c r="I69" i="20" a="1"/>
  <c r="I69" i="20" s="1"/>
  <c r="H69" i="20" a="1"/>
  <c r="H69" i="20" s="1"/>
  <c r="G69" i="20" a="1"/>
  <c r="G69" i="20" s="1"/>
  <c r="I68" i="20" a="1"/>
  <c r="I68" i="20" s="1"/>
  <c r="H68" i="20" a="1"/>
  <c r="H68" i="20" s="1"/>
  <c r="G68" i="20" a="1"/>
  <c r="G68" i="20" s="1"/>
  <c r="I67" i="20" a="1"/>
  <c r="I67" i="20" s="1"/>
  <c r="H67" i="20" a="1"/>
  <c r="H67" i="20" s="1"/>
  <c r="G67" i="20" a="1"/>
  <c r="G67" i="20" s="1"/>
  <c r="I66" i="20" a="1"/>
  <c r="I66" i="20" s="1"/>
  <c r="H66" i="20" a="1"/>
  <c r="H66" i="20" s="1"/>
  <c r="G66" i="20" a="1"/>
  <c r="G66" i="20" s="1"/>
  <c r="I65" i="20" a="1"/>
  <c r="I65" i="20" s="1"/>
  <c r="H65" i="20" a="1"/>
  <c r="H65" i="20" s="1"/>
  <c r="G65" i="20" a="1"/>
  <c r="G65" i="20" s="1"/>
  <c r="I64" i="20" a="1"/>
  <c r="I64" i="20" s="1"/>
  <c r="H64" i="20" a="1"/>
  <c r="H64" i="20" s="1"/>
  <c r="G64" i="20" a="1"/>
  <c r="G64" i="20" s="1"/>
  <c r="I63" i="20" a="1"/>
  <c r="I63" i="20" s="1"/>
  <c r="H63" i="20" a="1"/>
  <c r="H63" i="20" s="1"/>
  <c r="G63" i="20" a="1"/>
  <c r="G63" i="20" s="1"/>
  <c r="I62" i="20" a="1"/>
  <c r="I62" i="20" s="1"/>
  <c r="H62" i="20" a="1"/>
  <c r="H62" i="20" s="1"/>
  <c r="G62" i="20" a="1"/>
  <c r="G62" i="20" s="1"/>
  <c r="I61" i="20" a="1"/>
  <c r="I61" i="20" s="1"/>
  <c r="H61" i="20" a="1"/>
  <c r="H61" i="20" s="1"/>
  <c r="G61" i="20" a="1"/>
  <c r="G61" i="20" s="1"/>
  <c r="I60" i="20" a="1"/>
  <c r="I60" i="20" s="1"/>
  <c r="H60" i="20" a="1"/>
  <c r="H60" i="20" s="1"/>
  <c r="G60" i="20" a="1"/>
  <c r="G60" i="20" s="1"/>
  <c r="I59" i="20" a="1"/>
  <c r="I59" i="20" s="1"/>
  <c r="H59" i="20" a="1"/>
  <c r="H59" i="20" s="1"/>
  <c r="G59" i="20" a="1"/>
  <c r="G59" i="20" s="1"/>
  <c r="I58" i="20" a="1"/>
  <c r="I58" i="20" s="1"/>
  <c r="H58" i="20" a="1"/>
  <c r="H58" i="20" s="1"/>
  <c r="G58" i="20" a="1"/>
  <c r="G58" i="20" s="1"/>
  <c r="I57" i="20" a="1"/>
  <c r="I57" i="20" s="1"/>
  <c r="H57" i="20" a="1"/>
  <c r="H57" i="20" s="1"/>
  <c r="G57" i="20" a="1"/>
  <c r="G57" i="20" s="1"/>
  <c r="I56" i="20" a="1"/>
  <c r="I56" i="20" s="1"/>
  <c r="H56" i="20" a="1"/>
  <c r="H56" i="20" s="1"/>
  <c r="G56" i="20" a="1"/>
  <c r="G56" i="20" s="1"/>
  <c r="I55" i="20" a="1"/>
  <c r="I55" i="20" s="1"/>
  <c r="H55" i="20" a="1"/>
  <c r="H55" i="20" s="1"/>
  <c r="G55" i="20" a="1"/>
  <c r="G55" i="20" s="1"/>
  <c r="I54" i="20" a="1"/>
  <c r="I54" i="20" s="1"/>
  <c r="H54" i="20" a="1"/>
  <c r="H54" i="20" s="1"/>
  <c r="G54" i="20" a="1"/>
  <c r="G54" i="20" s="1"/>
  <c r="I53" i="20" a="1"/>
  <c r="I53" i="20" s="1"/>
  <c r="H53" i="20" a="1"/>
  <c r="H53" i="20" s="1"/>
  <c r="G53" i="20" a="1"/>
  <c r="G53" i="20" s="1"/>
  <c r="I52" i="20" a="1"/>
  <c r="I52" i="20" s="1"/>
  <c r="H52" i="20" a="1"/>
  <c r="H52" i="20" s="1"/>
  <c r="G52" i="20" a="1"/>
  <c r="G52" i="20" s="1"/>
  <c r="I51" i="20" a="1"/>
  <c r="I51" i="20" s="1"/>
  <c r="H51" i="20" a="1"/>
  <c r="H51" i="20" s="1"/>
  <c r="G51" i="20" a="1"/>
  <c r="G51" i="20" s="1"/>
  <c r="I50" i="20" a="1"/>
  <c r="I50" i="20" s="1"/>
  <c r="H50" i="20" a="1"/>
  <c r="H50" i="20" s="1"/>
  <c r="G50" i="20" a="1"/>
  <c r="G50" i="20" s="1"/>
  <c r="I49" i="20" a="1"/>
  <c r="I49" i="20" s="1"/>
  <c r="H49" i="20" a="1"/>
  <c r="H49" i="20" s="1"/>
  <c r="G49" i="20" a="1"/>
  <c r="G49" i="20" s="1"/>
  <c r="I48" i="20" a="1"/>
  <c r="I48" i="20" s="1"/>
  <c r="H48" i="20" a="1"/>
  <c r="H48" i="20" s="1"/>
  <c r="G48" i="20" a="1"/>
  <c r="G48" i="20" s="1"/>
  <c r="I47" i="20" a="1"/>
  <c r="I47" i="20" s="1"/>
  <c r="H47" i="20" a="1"/>
  <c r="H47" i="20" s="1"/>
  <c r="G47" i="20" a="1"/>
  <c r="G47" i="20" s="1"/>
  <c r="I46" i="20" a="1"/>
  <c r="I46" i="20" s="1"/>
  <c r="H46" i="20" a="1"/>
  <c r="H46" i="20" s="1"/>
  <c r="G46" i="20" a="1"/>
  <c r="G46" i="20" s="1"/>
  <c r="I45" i="20" a="1"/>
  <c r="I45" i="20" s="1"/>
  <c r="H45" i="20" a="1"/>
  <c r="H45" i="20" s="1"/>
  <c r="G45" i="20" a="1"/>
  <c r="G45" i="20" s="1"/>
  <c r="I44" i="20" a="1"/>
  <c r="I44" i="20" s="1"/>
  <c r="H44" i="20" a="1"/>
  <c r="H44" i="20" s="1"/>
  <c r="G44" i="20" a="1"/>
  <c r="G44" i="20" s="1"/>
  <c r="I43" i="20" a="1"/>
  <c r="I43" i="20" s="1"/>
  <c r="H43" i="20" a="1"/>
  <c r="H43" i="20" s="1"/>
  <c r="G43" i="20" a="1"/>
  <c r="G43" i="20" s="1"/>
  <c r="I42" i="20" a="1"/>
  <c r="I42" i="20" s="1"/>
  <c r="H42" i="20" a="1"/>
  <c r="H42" i="20" s="1"/>
  <c r="G42" i="20" a="1"/>
  <c r="G42" i="20" s="1"/>
  <c r="I41" i="20" a="1"/>
  <c r="I41" i="20" s="1"/>
  <c r="H41" i="20" a="1"/>
  <c r="H41" i="20" s="1"/>
  <c r="G41" i="20" a="1"/>
  <c r="G41" i="20" s="1"/>
  <c r="I40" i="20" a="1"/>
  <c r="I40" i="20" s="1"/>
  <c r="H40" i="20" a="1"/>
  <c r="H40" i="20" s="1"/>
  <c r="G40" i="20" a="1"/>
  <c r="G40" i="20" s="1"/>
  <c r="I39" i="20" a="1"/>
  <c r="I39" i="20" s="1"/>
  <c r="H39" i="20" a="1"/>
  <c r="H39" i="20" s="1"/>
  <c r="G39" i="20" a="1"/>
  <c r="G39" i="20" s="1"/>
  <c r="I38" i="20" a="1"/>
  <c r="I38" i="20" s="1"/>
  <c r="H38" i="20" a="1"/>
  <c r="H38" i="20" s="1"/>
  <c r="G38" i="20" a="1"/>
  <c r="G38" i="20" s="1"/>
  <c r="I37" i="20" a="1"/>
  <c r="I37" i="20" s="1"/>
  <c r="H37" i="20" a="1"/>
  <c r="H37" i="20" s="1"/>
  <c r="G37" i="20" a="1"/>
  <c r="G37" i="20" s="1"/>
  <c r="I36" i="20" a="1"/>
  <c r="I36" i="20" s="1"/>
  <c r="H36" i="20" a="1"/>
  <c r="H36" i="20" s="1"/>
  <c r="G36" i="20" a="1"/>
  <c r="G36" i="20" s="1"/>
  <c r="I35" i="20" a="1"/>
  <c r="I35" i="20" s="1"/>
  <c r="H35" i="20" a="1"/>
  <c r="H35" i="20" s="1"/>
  <c r="G35" i="20" a="1"/>
  <c r="G35" i="20" s="1"/>
  <c r="I34" i="20" a="1"/>
  <c r="I34" i="20" s="1"/>
  <c r="H34" i="20" a="1"/>
  <c r="H34" i="20" s="1"/>
  <c r="G34" i="20" a="1"/>
  <c r="G34" i="20" s="1"/>
  <c r="F80" i="20" a="1"/>
  <c r="F80" i="20" s="1"/>
  <c r="E80" i="20" a="1"/>
  <c r="E80" i="20" s="1"/>
  <c r="D80" i="20" a="1"/>
  <c r="D80" i="20" s="1"/>
  <c r="F79" i="20" a="1"/>
  <c r="F79" i="20" s="1"/>
  <c r="E79" i="20" a="1"/>
  <c r="E79" i="20" s="1"/>
  <c r="D79" i="20" a="1"/>
  <c r="D79" i="20" s="1"/>
  <c r="F78" i="20" a="1"/>
  <c r="F78" i="20" s="1"/>
  <c r="E78" i="20" a="1"/>
  <c r="E78" i="20" s="1"/>
  <c r="D78" i="20" a="1"/>
  <c r="D78" i="20" s="1"/>
  <c r="D74" i="20" a="1"/>
  <c r="D74" i="20" s="1"/>
  <c r="E74" i="20" a="1"/>
  <c r="E74" i="20" s="1"/>
  <c r="F74" i="20" a="1"/>
  <c r="F74" i="20" s="1"/>
  <c r="D73" i="20" a="1"/>
  <c r="D73" i="20" s="1"/>
  <c r="E73" i="20" a="1"/>
  <c r="E73" i="20" s="1"/>
  <c r="F73" i="20" a="1"/>
  <c r="F73" i="20" s="1"/>
  <c r="D72" i="20" a="1"/>
  <c r="D72" i="20" s="1"/>
  <c r="E72" i="20" a="1"/>
  <c r="E72" i="20" s="1"/>
  <c r="F72" i="20" a="1"/>
  <c r="F72" i="20" s="1"/>
  <c r="D71" i="20" a="1"/>
  <c r="D71" i="20" s="1"/>
  <c r="E71" i="20" a="1"/>
  <c r="E71" i="20" s="1"/>
  <c r="F71" i="20" a="1"/>
  <c r="F71" i="20" s="1"/>
  <c r="D70" i="20" a="1"/>
  <c r="D70" i="20" s="1"/>
  <c r="E70" i="20" a="1"/>
  <c r="E70" i="20" s="1"/>
  <c r="F70" i="20" a="1"/>
  <c r="F70" i="20" s="1"/>
  <c r="D69" i="20" a="1"/>
  <c r="D69" i="20" s="1"/>
  <c r="E69" i="20" a="1"/>
  <c r="E69" i="20" s="1"/>
  <c r="F69" i="20" a="1"/>
  <c r="F69" i="20" s="1"/>
  <c r="D68" i="20" a="1"/>
  <c r="D68" i="20" s="1"/>
  <c r="E68" i="20" a="1"/>
  <c r="E68" i="20" s="1"/>
  <c r="F68" i="20" a="1"/>
  <c r="F68" i="20" s="1"/>
  <c r="D67" i="20" a="1"/>
  <c r="D67" i="20" s="1"/>
  <c r="E67" i="20" a="1"/>
  <c r="E67" i="20" s="1"/>
  <c r="F67" i="20" a="1"/>
  <c r="F67" i="20" s="1"/>
  <c r="D66" i="20" a="1"/>
  <c r="D66" i="20" s="1"/>
  <c r="E66" i="20" a="1"/>
  <c r="E66" i="20" s="1"/>
  <c r="F66" i="20" a="1"/>
  <c r="F66" i="20" s="1"/>
  <c r="D65" i="20" a="1"/>
  <c r="D65" i="20" s="1"/>
  <c r="E65" i="20" a="1"/>
  <c r="E65" i="20" s="1"/>
  <c r="F65" i="20" a="1"/>
  <c r="F65" i="20" s="1"/>
  <c r="D64" i="20" a="1"/>
  <c r="D64" i="20" s="1"/>
  <c r="E64" i="20" a="1"/>
  <c r="E64" i="20" s="1"/>
  <c r="F64" i="20" a="1"/>
  <c r="F64" i="20" s="1"/>
  <c r="D63" i="20" a="1"/>
  <c r="D63" i="20" s="1"/>
  <c r="E63" i="20" a="1"/>
  <c r="E63" i="20" s="1"/>
  <c r="F63" i="20" a="1"/>
  <c r="F63" i="20" s="1"/>
  <c r="D62" i="20" a="1"/>
  <c r="D62" i="20" s="1"/>
  <c r="E62" i="20" a="1"/>
  <c r="E62" i="20" s="1"/>
  <c r="F62" i="20" a="1"/>
  <c r="F62" i="20" s="1"/>
  <c r="D61" i="20" a="1"/>
  <c r="D61" i="20" s="1"/>
  <c r="E61" i="20" a="1"/>
  <c r="E61" i="20" s="1"/>
  <c r="F61" i="20" a="1"/>
  <c r="F61" i="20" s="1"/>
  <c r="D60" i="20" a="1"/>
  <c r="D60" i="20" s="1"/>
  <c r="E60" i="20" a="1"/>
  <c r="E60" i="20" s="1"/>
  <c r="F60" i="20" a="1"/>
  <c r="F60" i="20" s="1"/>
  <c r="D59" i="20" a="1"/>
  <c r="D59" i="20" s="1"/>
  <c r="E59" i="20" a="1"/>
  <c r="E59" i="20" s="1"/>
  <c r="F59" i="20" a="1"/>
  <c r="F59" i="20" s="1"/>
  <c r="F58" i="20" a="1"/>
  <c r="F58" i="20" s="1"/>
  <c r="E58" i="20" a="1"/>
  <c r="E58" i="20" s="1"/>
  <c r="D58" i="20" a="1"/>
  <c r="D58" i="20" s="1"/>
  <c r="F57" i="20" a="1"/>
  <c r="F57" i="20" s="1"/>
  <c r="E57" i="20" a="1"/>
  <c r="E57" i="20" s="1"/>
  <c r="D57" i="20" a="1"/>
  <c r="D57" i="20" s="1"/>
  <c r="F56" i="20" a="1"/>
  <c r="F56" i="20" s="1"/>
  <c r="E56" i="20" a="1"/>
  <c r="E56" i="20" s="1"/>
  <c r="D56" i="20" a="1"/>
  <c r="D56" i="20" s="1"/>
  <c r="F55" i="20" a="1"/>
  <c r="F55" i="20" s="1"/>
  <c r="E55" i="20" a="1"/>
  <c r="E55" i="20" s="1"/>
  <c r="D55" i="20" a="1"/>
  <c r="D55" i="20" s="1"/>
  <c r="F54" i="20" a="1"/>
  <c r="F54" i="20" s="1"/>
  <c r="E54" i="20" a="1"/>
  <c r="E54" i="20" s="1"/>
  <c r="D54" i="20" a="1"/>
  <c r="D54" i="20" s="1"/>
  <c r="F53" i="20" a="1"/>
  <c r="F53" i="20" s="1"/>
  <c r="E53" i="20" a="1"/>
  <c r="E53" i="20" s="1"/>
  <c r="D53" i="20" a="1"/>
  <c r="D53" i="20" s="1"/>
  <c r="F52" i="20" a="1"/>
  <c r="F52" i="20" s="1"/>
  <c r="E52" i="20" a="1"/>
  <c r="E52" i="20" s="1"/>
  <c r="D52" i="20" a="1"/>
  <c r="D52" i="20" s="1"/>
  <c r="F51" i="20" a="1"/>
  <c r="F51" i="20" s="1"/>
  <c r="E51" i="20" a="1"/>
  <c r="E51" i="20" s="1"/>
  <c r="D51" i="20" a="1"/>
  <c r="D51" i="20" s="1"/>
  <c r="F50" i="20" a="1"/>
  <c r="F50" i="20" s="1"/>
  <c r="E50" i="20" a="1"/>
  <c r="E50" i="20" s="1"/>
  <c r="D50" i="20" a="1"/>
  <c r="D50" i="20" s="1"/>
  <c r="F49" i="20" a="1"/>
  <c r="F49" i="20" s="1"/>
  <c r="E49" i="20" a="1"/>
  <c r="E49" i="20" s="1"/>
  <c r="D49" i="20" a="1"/>
  <c r="D49" i="20" s="1"/>
  <c r="F48" i="20" a="1"/>
  <c r="F48" i="20" s="1"/>
  <c r="E48" i="20" a="1"/>
  <c r="E48" i="20" s="1"/>
  <c r="D48" i="20" a="1"/>
  <c r="D48" i="20" s="1"/>
  <c r="F47" i="20" a="1"/>
  <c r="F47" i="20" s="1"/>
  <c r="E47" i="20" a="1"/>
  <c r="E47" i="20" s="1"/>
  <c r="D47" i="20" a="1"/>
  <c r="D47" i="20" s="1"/>
  <c r="F46" i="20" a="1"/>
  <c r="F46" i="20" s="1"/>
  <c r="E46" i="20" a="1"/>
  <c r="E46" i="20" s="1"/>
  <c r="D46" i="20" a="1"/>
  <c r="D46" i="20" s="1"/>
  <c r="F45" i="20" a="1"/>
  <c r="F45" i="20" s="1"/>
  <c r="E45" i="20" a="1"/>
  <c r="E45" i="20" s="1"/>
  <c r="D45" i="20" a="1"/>
  <c r="D45" i="20" s="1"/>
  <c r="F44" i="20" a="1"/>
  <c r="F44" i="20" s="1"/>
  <c r="E44" i="20" a="1"/>
  <c r="E44" i="20" s="1"/>
  <c r="D44" i="20" a="1"/>
  <c r="D44" i="20" s="1"/>
  <c r="F43" i="20" a="1"/>
  <c r="F43" i="20" s="1"/>
  <c r="E43" i="20" a="1"/>
  <c r="E43" i="20" s="1"/>
  <c r="D43" i="20" a="1"/>
  <c r="D43" i="20" s="1"/>
  <c r="F42" i="20" a="1"/>
  <c r="F42" i="20" s="1"/>
  <c r="E42" i="20" a="1"/>
  <c r="E42" i="20" s="1"/>
  <c r="D42" i="20" a="1"/>
  <c r="D42" i="20" s="1"/>
  <c r="F41" i="20" a="1"/>
  <c r="F41" i="20" s="1"/>
  <c r="E41" i="20" a="1"/>
  <c r="E41" i="20" s="1"/>
  <c r="D41" i="20" a="1"/>
  <c r="D41" i="20" s="1"/>
  <c r="F40" i="20" a="1"/>
  <c r="F40" i="20" s="1"/>
  <c r="E40" i="20" a="1"/>
  <c r="E40" i="20" s="1"/>
  <c r="D40" i="20" a="1"/>
  <c r="D40" i="20" s="1"/>
  <c r="F39" i="20" a="1"/>
  <c r="F39" i="20" s="1"/>
  <c r="E39" i="20" a="1"/>
  <c r="E39" i="20" s="1"/>
  <c r="D39" i="20" a="1"/>
  <c r="D39" i="20" s="1"/>
  <c r="F38" i="20" a="1"/>
  <c r="F38" i="20" s="1"/>
  <c r="E38" i="20" a="1"/>
  <c r="E38" i="20" s="1"/>
  <c r="D38" i="20" a="1"/>
  <c r="D38" i="20" s="1"/>
  <c r="F37" i="20" a="1"/>
  <c r="F37" i="20" s="1"/>
  <c r="E37" i="20" a="1"/>
  <c r="E37" i="20" s="1"/>
  <c r="D37" i="20" a="1"/>
  <c r="D37" i="20" s="1"/>
  <c r="F36" i="20" a="1"/>
  <c r="F36" i="20" s="1"/>
  <c r="E36" i="20" a="1"/>
  <c r="E36" i="20" s="1"/>
  <c r="D36" i="20" a="1"/>
  <c r="D36" i="20" s="1"/>
  <c r="F35" i="20" a="1"/>
  <c r="F35" i="20" s="1"/>
  <c r="E35" i="20" a="1"/>
  <c r="E35" i="20" s="1"/>
  <c r="D35" i="20" a="1"/>
  <c r="D35" i="20" s="1"/>
  <c r="F34" i="20" a="1"/>
  <c r="F34" i="20" s="1"/>
  <c r="E34" i="20" a="1"/>
  <c r="E34" i="20" s="1"/>
  <c r="D34" i="20" a="1"/>
  <c r="D34" i="20" s="1"/>
  <c r="F481" i="19" l="1" a="1"/>
  <c r="F481" i="19" s="1"/>
  <c r="G481" i="19" s="1" a="1"/>
  <c r="G481" i="19" s="1"/>
  <c r="F479" i="19" a="1"/>
  <c r="F479" i="19" s="1"/>
  <c r="G479" i="19" s="1" a="1"/>
  <c r="G479" i="19" s="1"/>
  <c r="F466" i="19" a="1"/>
  <c r="F466" i="19" s="1"/>
  <c r="G466" i="19" s="1" a="1"/>
  <c r="G466" i="19" s="1"/>
  <c r="F469" i="19" a="1"/>
  <c r="F469" i="19" s="1"/>
  <c r="F480" i="19" a="1"/>
  <c r="F480" i="19" s="1"/>
  <c r="F467" i="19" a="1"/>
  <c r="F467" i="19" s="1"/>
  <c r="F468" i="19" a="1"/>
  <c r="F468" i="19" s="1"/>
  <c r="G468" i="19" s="1" a="1"/>
  <c r="G468" i="19" s="1"/>
  <c r="F470" i="19" a="1"/>
  <c r="F470" i="19" s="1"/>
  <c r="G470" i="19" s="1" a="1"/>
  <c r="G470" i="19" s="1"/>
  <c r="J452" i="19" a="1"/>
  <c r="J452" i="19" s="1"/>
  <c r="J451" i="19" a="1"/>
  <c r="J451" i="19" s="1"/>
  <c r="J450" i="19" a="1"/>
  <c r="J450" i="19" s="1"/>
  <c r="J449" i="19" a="1"/>
  <c r="J449" i="19" s="1"/>
  <c r="J453" i="19" a="1"/>
  <c r="J453" i="19" s="1"/>
  <c r="E142" i="19"/>
  <c r="G433" i="19" a="1"/>
  <c r="G433" i="19" s="1"/>
  <c r="H433" i="19" s="1" a="1"/>
  <c r="H433" i="19" s="1"/>
  <c r="G432" i="19" a="1"/>
  <c r="G432" i="19" s="1"/>
  <c r="H432" i="19" s="1" a="1"/>
  <c r="H432" i="19" s="1"/>
  <c r="G431" i="19" a="1"/>
  <c r="G431" i="19" s="1"/>
  <c r="H431" i="19" s="1" a="1"/>
  <c r="H431" i="19" s="1"/>
  <c r="G430" i="19" a="1"/>
  <c r="G430" i="19" s="1"/>
  <c r="H430" i="19" s="1" a="1"/>
  <c r="H430" i="19" s="1"/>
  <c r="P128" i="19" a="1"/>
  <c r="P128" i="19" s="1"/>
  <c r="P124" i="19" a="1"/>
  <c r="P124" i="19" s="1"/>
  <c r="P125" i="19" a="1"/>
  <c r="P125" i="19" s="1"/>
  <c r="P123" i="19" a="1"/>
  <c r="P123" i="19" s="1"/>
  <c r="P126" i="19" a="1"/>
  <c r="P126" i="19" s="1"/>
  <c r="P121" i="19" a="1"/>
  <c r="P121" i="19" s="1"/>
  <c r="P122" i="19" a="1"/>
  <c r="P122" i="19" s="1"/>
  <c r="P127" i="19" a="1"/>
  <c r="P127" i="19" s="1"/>
  <c r="P120" i="19" a="1"/>
  <c r="P120" i="19" s="1"/>
  <c r="P119" i="19" a="1"/>
  <c r="P119" i="19" s="1"/>
  <c r="E300" i="19" a="1"/>
  <c r="E300" i="19" s="1"/>
  <c r="E302" i="19" a="1"/>
  <c r="E302" i="19" s="1"/>
  <c r="E301" i="19" a="1"/>
  <c r="E301" i="19" s="1"/>
  <c r="D270" i="19" a="1"/>
  <c r="E141" i="19"/>
  <c r="I26" i="19" a="1"/>
  <c r="I26" i="19" s="1"/>
  <c r="M26" i="19" s="1" a="1"/>
  <c r="M26" i="19" s="1"/>
  <c r="I24" i="19" a="1"/>
  <c r="I24" i="19" s="1"/>
  <c r="J24" i="19" s="1" a="1"/>
  <c r="J24" i="19" s="1"/>
  <c r="I30" i="19" a="1"/>
  <c r="I30" i="19" s="1"/>
  <c r="M30" i="19" s="1" a="1"/>
  <c r="M30" i="19" s="1"/>
  <c r="I28" i="19" a="1"/>
  <c r="I28" i="19" s="1"/>
  <c r="M28" i="19" s="1" a="1"/>
  <c r="M28" i="19" s="1"/>
  <c r="I32" i="19" a="1"/>
  <c r="I32" i="19" s="1"/>
  <c r="M32" i="19" s="1" a="1"/>
  <c r="M32" i="19" s="1"/>
  <c r="I31" i="19" a="1"/>
  <c r="I31" i="19" s="1"/>
  <c r="M31" i="19" s="1" a="1"/>
  <c r="M31" i="19" s="1"/>
  <c r="I29" i="19" a="1"/>
  <c r="I29" i="19" s="1"/>
  <c r="M29" i="19" s="1" a="1"/>
  <c r="M29" i="19" s="1"/>
  <c r="I25" i="19" a="1"/>
  <c r="I25" i="19" s="1"/>
  <c r="M25" i="19" s="1" a="1"/>
  <c r="M25" i="19" s="1"/>
  <c r="I27" i="19" a="1"/>
  <c r="I27" i="19" s="1"/>
  <c r="M27" i="19" s="1" a="1"/>
  <c r="M27" i="19" s="1"/>
  <c r="I23" i="19" a="1"/>
  <c r="I23" i="19" s="1"/>
  <c r="J23" i="19" s="1" a="1"/>
  <c r="J23" i="19" s="1"/>
  <c r="E76" i="19" a="1"/>
  <c r="E76" i="19" s="1"/>
  <c r="E39" i="19" a="1"/>
  <c r="E39" i="19" s="1"/>
  <c r="E58" i="19" a="1"/>
  <c r="E58" i="19" s="1"/>
  <c r="K90" i="20"/>
  <c r="M89" i="20" s="1"/>
  <c r="G375" i="19" a="1"/>
  <c r="G375" i="19" s="1"/>
  <c r="G376" i="19" a="1"/>
  <c r="G376" i="19" s="1"/>
  <c r="G368" i="19" a="1"/>
  <c r="G368" i="19" s="1"/>
  <c r="G374" i="19" a="1"/>
  <c r="G374" i="19" s="1"/>
  <c r="G370" i="19" a="1"/>
  <c r="G370" i="19" s="1"/>
  <c r="G369" i="19" a="1"/>
  <c r="G369" i="19" s="1"/>
  <c r="G371" i="19" a="1"/>
  <c r="G371" i="19" s="1"/>
  <c r="G367" i="19" a="1"/>
  <c r="G367" i="19" s="1"/>
  <c r="H367" i="19" s="1" a="1"/>
  <c r="H367" i="19" s="1"/>
  <c r="G372" i="19" a="1"/>
  <c r="G372" i="19" s="1"/>
  <c r="G373" i="19" a="1"/>
  <c r="G373" i="19" s="1"/>
  <c r="G449" i="19" a="1"/>
  <c r="G449" i="19" s="1"/>
  <c r="H449" i="19" s="1" a="1"/>
  <c r="H449" i="19" s="1"/>
  <c r="G434" i="19" a="1"/>
  <c r="G434" i="19" s="1"/>
  <c r="H434" i="19" s="1" a="1"/>
  <c r="H434" i="19" s="1"/>
  <c r="G450" i="19" a="1"/>
  <c r="G450" i="19" s="1"/>
  <c r="H450" i="19" s="1" a="1"/>
  <c r="H450" i="19" s="1"/>
  <c r="G435" i="19" a="1"/>
  <c r="G435" i="19" s="1"/>
  <c r="H435" i="19" s="1" a="1"/>
  <c r="H435" i="19" s="1"/>
  <c r="G451" i="19" a="1"/>
  <c r="G451" i="19" s="1"/>
  <c r="H451" i="19" s="1" a="1"/>
  <c r="H451" i="19" s="1"/>
  <c r="G436" i="19" a="1"/>
  <c r="G436" i="19" s="1"/>
  <c r="G452" i="19" a="1"/>
  <c r="G452" i="19" s="1"/>
  <c r="H452" i="19" s="1" a="1"/>
  <c r="H452" i="19" s="1"/>
  <c r="G437" i="19" a="1"/>
  <c r="G437" i="19" s="1"/>
  <c r="G453" i="19" a="1"/>
  <c r="G453" i="19" s="1"/>
  <c r="H453" i="19" s="1" a="1"/>
  <c r="H453" i="19" s="1"/>
  <c r="G454" i="19" a="1"/>
  <c r="G454" i="19" s="1"/>
  <c r="G438" i="19" a="1"/>
  <c r="G438" i="19" s="1"/>
  <c r="G455" i="19" a="1"/>
  <c r="G455" i="19" s="1"/>
  <c r="G456" i="19" a="1"/>
  <c r="G456" i="19" s="1"/>
  <c r="G439" i="19" a="1"/>
  <c r="G439" i="19" s="1"/>
  <c r="G457" i="19" a="1"/>
  <c r="G457" i="19" s="1"/>
  <c r="G448" i="19" a="1"/>
  <c r="G448" i="19" s="1"/>
  <c r="F448" i="19"/>
  <c r="J448" i="19" s="1" a="1"/>
  <c r="J448" i="19" s="1"/>
  <c r="I467" i="19" l="1" a="1"/>
  <c r="I467" i="19" s="1"/>
  <c r="G467" i="19" a="1"/>
  <c r="G467" i="19" s="1"/>
  <c r="I480" i="19" a="1"/>
  <c r="I480" i="19" s="1"/>
  <c r="E484" i="19" s="1"/>
  <c r="F27" i="41" s="1"/>
  <c r="G480" i="19" a="1"/>
  <c r="G480" i="19" s="1"/>
  <c r="E483" i="19" s="1"/>
  <c r="E27" i="41" s="1"/>
  <c r="G469" i="19" a="1"/>
  <c r="G469" i="19" s="1"/>
  <c r="I469" i="19" a="1"/>
  <c r="I469" i="19" s="1"/>
  <c r="H448" i="19" a="1"/>
  <c r="H448" i="19" s="1"/>
  <c r="H436" i="19" a="1"/>
  <c r="H436" i="19" s="1"/>
  <c r="J436" i="19" a="1"/>
  <c r="J436" i="19" s="1"/>
  <c r="J437" i="19" a="1"/>
  <c r="J437" i="19" s="1"/>
  <c r="H437" i="19" a="1"/>
  <c r="H437" i="19" s="1"/>
  <c r="H457" i="19" a="1"/>
  <c r="H457" i="19" s="1"/>
  <c r="J457" i="19" a="1"/>
  <c r="J457" i="19" s="1"/>
  <c r="J439" i="19" a="1"/>
  <c r="J439" i="19" s="1"/>
  <c r="H439" i="19" a="1"/>
  <c r="H439" i="19" s="1"/>
  <c r="J455" i="19" a="1"/>
  <c r="J455" i="19" s="1"/>
  <c r="H455" i="19" a="1"/>
  <c r="H455" i="19" s="1"/>
  <c r="H438" i="19" a="1"/>
  <c r="H438" i="19" s="1"/>
  <c r="J438" i="19" a="1"/>
  <c r="J438" i="19" s="1"/>
  <c r="H456" i="19" a="1"/>
  <c r="H456" i="19" s="1"/>
  <c r="J456" i="19" a="1"/>
  <c r="J456" i="19" s="1"/>
  <c r="H454" i="19" a="1"/>
  <c r="H454" i="19" s="1"/>
  <c r="J454" i="19" a="1"/>
  <c r="J454" i="19" s="1"/>
  <c r="J376" i="19" a="1"/>
  <c r="J376" i="19" s="1"/>
  <c r="H376" i="19" a="1"/>
  <c r="H376" i="19" s="1"/>
  <c r="H368" i="19" a="1"/>
  <c r="H368" i="19" s="1"/>
  <c r="J368" i="19" a="1"/>
  <c r="J368" i="19" s="1"/>
  <c r="J373" i="19" a="1"/>
  <c r="J373" i="19" s="1"/>
  <c r="H373" i="19" a="1"/>
  <c r="H373" i="19" s="1"/>
  <c r="H372" i="19" a="1"/>
  <c r="H372" i="19" s="1"/>
  <c r="J372" i="19" a="1"/>
  <c r="J372" i="19" s="1"/>
  <c r="H374" i="19" a="1"/>
  <c r="H374" i="19" s="1"/>
  <c r="J374" i="19" a="1"/>
  <c r="J374" i="19" s="1"/>
  <c r="H371" i="19" a="1"/>
  <c r="H371" i="19" s="1"/>
  <c r="J371" i="19" a="1"/>
  <c r="J371" i="19" s="1"/>
  <c r="J370" i="19" a="1"/>
  <c r="J370" i="19" s="1"/>
  <c r="H370" i="19" a="1"/>
  <c r="H370" i="19" s="1"/>
  <c r="H375" i="19" a="1"/>
  <c r="H375" i="19" s="1"/>
  <c r="J375" i="19" a="1"/>
  <c r="J375" i="19" s="1"/>
  <c r="H369" i="19" a="1"/>
  <c r="H369" i="19" s="1"/>
  <c r="J369" i="19" a="1"/>
  <c r="J369" i="19" s="1"/>
  <c r="D270" i="19"/>
  <c r="F281" i="19" a="1"/>
  <c r="F281" i="19" s="1"/>
  <c r="F279" i="19" a="1"/>
  <c r="F279" i="19" s="1"/>
  <c r="F278" i="19" a="1"/>
  <c r="F278" i="19" s="1"/>
  <c r="F272" i="19" a="1"/>
  <c r="F272" i="19" s="1"/>
  <c r="F271" i="19" a="1"/>
  <c r="F271" i="19" s="1"/>
  <c r="E279" i="19"/>
  <c r="F280" i="19" a="1"/>
  <c r="F280" i="19" s="1"/>
  <c r="F273" i="19" a="1"/>
  <c r="F273" i="19" s="1"/>
  <c r="E275" i="19"/>
  <c r="F277" i="19" a="1"/>
  <c r="F277" i="19" s="1"/>
  <c r="E277" i="19"/>
  <c r="E271" i="19"/>
  <c r="E272" i="19"/>
  <c r="E274" i="19"/>
  <c r="F274" i="19" a="1"/>
  <c r="F274" i="19" s="1"/>
  <c r="F275" i="19" a="1"/>
  <c r="F275" i="19" s="1"/>
  <c r="F276" i="19" a="1"/>
  <c r="F276" i="19" s="1"/>
  <c r="E273" i="19"/>
  <c r="E276" i="19"/>
  <c r="E281" i="19"/>
  <c r="E278" i="19"/>
  <c r="E280" i="19"/>
  <c r="I307" i="19" a="1"/>
  <c r="I307" i="19" s="1"/>
  <c r="I314" i="19" a="1"/>
  <c r="I314" i="19" s="1"/>
  <c r="I306" i="19" a="1"/>
  <c r="I306" i="19" s="1"/>
  <c r="I305" i="19" a="1"/>
  <c r="I305" i="19" s="1"/>
  <c r="I313" i="19" a="1"/>
  <c r="I313" i="19" s="1"/>
  <c r="I311" i="19" a="1"/>
  <c r="I311" i="19" s="1"/>
  <c r="I312" i="19" a="1"/>
  <c r="I312" i="19" s="1"/>
  <c r="I310" i="19" a="1"/>
  <c r="I310" i="19" s="1"/>
  <c r="I308" i="19" a="1"/>
  <c r="I308" i="19" s="1"/>
  <c r="I309" i="19" a="1"/>
  <c r="I309" i="19" s="1"/>
  <c r="J26" i="19" a="1"/>
  <c r="J26" i="19" s="1"/>
  <c r="E35" i="19"/>
  <c r="F11" i="41" s="1"/>
  <c r="J25" i="19" a="1"/>
  <c r="J25" i="19" s="1"/>
  <c r="J66" i="19" a="1"/>
  <c r="J66" i="19" s="1"/>
  <c r="J67" i="19" a="1"/>
  <c r="J67" i="19" s="1"/>
  <c r="J64" i="19" a="1"/>
  <c r="J64" i="19" s="1"/>
  <c r="J65" i="19" a="1"/>
  <c r="J65" i="19" s="1"/>
  <c r="J63" i="19" a="1"/>
  <c r="J63" i="19" s="1"/>
  <c r="J68" i="19" a="1"/>
  <c r="J68" i="19" s="1"/>
  <c r="J69" i="19" a="1"/>
  <c r="J69" i="19" s="1"/>
  <c r="J70" i="19" a="1"/>
  <c r="J70" i="19" s="1"/>
  <c r="J88" i="19" a="1"/>
  <c r="J88" i="19" s="1"/>
  <c r="J85" i="19" a="1"/>
  <c r="J85" i="19" s="1"/>
  <c r="J87" i="19" a="1"/>
  <c r="J87" i="19" s="1"/>
  <c r="J82" i="19" a="1"/>
  <c r="J82" i="19" s="1"/>
  <c r="J81" i="19" a="1"/>
  <c r="J81" i="19" s="1"/>
  <c r="J84" i="19" a="1"/>
  <c r="J84" i="19" s="1"/>
  <c r="J80" i="19" a="1"/>
  <c r="J80" i="19" s="1"/>
  <c r="J83" i="19" a="1"/>
  <c r="J83" i="19" s="1"/>
  <c r="J86" i="19" a="1"/>
  <c r="J86" i="19" s="1"/>
  <c r="G82" i="19" a="1"/>
  <c r="G82" i="19" s="1"/>
  <c r="G88" i="19" a="1"/>
  <c r="G88" i="19" s="1"/>
  <c r="G85" i="19" a="1"/>
  <c r="G85" i="19" s="1"/>
  <c r="G83" i="19" a="1"/>
  <c r="G83" i="19" s="1"/>
  <c r="G80" i="19" a="1"/>
  <c r="G80" i="19" s="1"/>
  <c r="G86" i="19" a="1"/>
  <c r="G86" i="19" s="1"/>
  <c r="G84" i="19" a="1"/>
  <c r="G84" i="19" s="1"/>
  <c r="G87" i="19" a="1"/>
  <c r="G87" i="19" s="1"/>
  <c r="G81" i="19" a="1"/>
  <c r="G81" i="19" s="1"/>
  <c r="G79" i="19" a="1"/>
  <c r="G79" i="19" s="1"/>
  <c r="J32" i="19" a="1"/>
  <c r="J32" i="19" s="1"/>
  <c r="J27" i="19" a="1"/>
  <c r="J27" i="19" s="1"/>
  <c r="J31" i="19" a="1"/>
  <c r="J31" i="19" s="1"/>
  <c r="J28" i="19" a="1"/>
  <c r="J28" i="19" s="1"/>
  <c r="J30" i="19" a="1"/>
  <c r="J30" i="19" s="1"/>
  <c r="J29" i="19" a="1"/>
  <c r="J29" i="19" s="1"/>
  <c r="G70" i="19" a="1"/>
  <c r="G70" i="19" s="1"/>
  <c r="G69" i="19" a="1"/>
  <c r="G69" i="19" s="1"/>
  <c r="G62" i="19" a="1"/>
  <c r="G62" i="19" s="1"/>
  <c r="G68" i="19" a="1"/>
  <c r="G68" i="19" s="1"/>
  <c r="G67" i="19" a="1"/>
  <c r="G67" i="19" s="1"/>
  <c r="G65" i="19" a="1"/>
  <c r="G65" i="19" s="1"/>
  <c r="G63" i="19" a="1"/>
  <c r="G63" i="19" s="1"/>
  <c r="G66" i="19" a="1"/>
  <c r="G66" i="19" s="1"/>
  <c r="G64" i="19" a="1"/>
  <c r="G64" i="19" s="1"/>
  <c r="G61" i="19" a="1"/>
  <c r="G61" i="19" s="1"/>
  <c r="J50" i="19" a="1"/>
  <c r="J50" i="19" s="1"/>
  <c r="J46" i="19" a="1"/>
  <c r="J46" i="19" s="1"/>
  <c r="J45" i="19" a="1"/>
  <c r="J45" i="19" s="1"/>
  <c r="J49" i="19" a="1"/>
  <c r="J49" i="19" s="1"/>
  <c r="J48" i="19" a="1"/>
  <c r="J48" i="19" s="1"/>
  <c r="J47" i="19" a="1"/>
  <c r="J47" i="19" s="1"/>
  <c r="J44" i="19" a="1"/>
  <c r="J44" i="19" s="1"/>
  <c r="J43" i="19" a="1"/>
  <c r="J43" i="19" s="1"/>
  <c r="J51" i="19" a="1"/>
  <c r="J51" i="19" s="1"/>
  <c r="G43" i="19" a="1"/>
  <c r="G43" i="19" s="1"/>
  <c r="G51" i="19" a="1"/>
  <c r="G51" i="19" s="1"/>
  <c r="G48" i="19" a="1"/>
  <c r="G48" i="19" s="1"/>
  <c r="G45" i="19" a="1"/>
  <c r="G45" i="19" s="1"/>
  <c r="G44" i="19" a="1"/>
  <c r="G44" i="19" s="1"/>
  <c r="G49" i="19" a="1"/>
  <c r="G49" i="19" s="1"/>
  <c r="G50" i="19" a="1"/>
  <c r="G50" i="19" s="1"/>
  <c r="G47" i="19" a="1"/>
  <c r="G47" i="19" s="1"/>
  <c r="G46" i="19" a="1"/>
  <c r="G46" i="19" s="1"/>
  <c r="G42" i="19" a="1"/>
  <c r="G42" i="19" s="1"/>
  <c r="E378" i="19" l="1"/>
  <c r="E21" i="41" s="1"/>
  <c r="E472" i="19"/>
  <c r="E26" i="41" s="1"/>
  <c r="E441" i="19"/>
  <c r="E24" i="41" s="1"/>
  <c r="E473" i="19"/>
  <c r="F26" i="41" s="1"/>
  <c r="I274" i="19" a="1"/>
  <c r="I274" i="19" s="1"/>
  <c r="I277" i="19" a="1"/>
  <c r="I277" i="19" s="1"/>
  <c r="G275" i="19" a="1"/>
  <c r="G275" i="19" s="1"/>
  <c r="E459" i="19"/>
  <c r="E25" i="41" s="1"/>
  <c r="E460" i="19"/>
  <c r="F25" i="41" s="1"/>
  <c r="E442" i="19"/>
  <c r="F24" i="41" s="1"/>
  <c r="E379" i="19"/>
  <c r="F21" i="41" s="1"/>
  <c r="I272" i="19" a="1"/>
  <c r="I272" i="19" s="1"/>
  <c r="G272" i="19" a="1"/>
  <c r="G272" i="19" s="1"/>
  <c r="I271" i="19" a="1"/>
  <c r="I271" i="19" s="1"/>
  <c r="G271" i="19" a="1"/>
  <c r="G271" i="19" s="1"/>
  <c r="E316" i="19"/>
  <c r="E19" i="41" s="1"/>
  <c r="G277" i="19" a="1"/>
  <c r="G277" i="19" s="1"/>
  <c r="G278" i="19" a="1"/>
  <c r="G278" i="19" s="1"/>
  <c r="I278" i="19" a="1"/>
  <c r="I278" i="19" s="1"/>
  <c r="G279" i="19" a="1"/>
  <c r="G279" i="19" s="1"/>
  <c r="I279" i="19" a="1"/>
  <c r="I279" i="19" s="1"/>
  <c r="G276" i="19" a="1"/>
  <c r="G276" i="19" s="1"/>
  <c r="I276" i="19" a="1"/>
  <c r="I276" i="19" s="1"/>
  <c r="G273" i="19" a="1"/>
  <c r="G273" i="19" s="1"/>
  <c r="I273" i="19" a="1"/>
  <c r="I273" i="19" s="1"/>
  <c r="G280" i="19" a="1"/>
  <c r="G280" i="19" s="1"/>
  <c r="I280" i="19" a="1"/>
  <c r="I280" i="19" s="1"/>
  <c r="I275" i="19" a="1"/>
  <c r="I275" i="19" s="1"/>
  <c r="I281" i="19" a="1"/>
  <c r="I281" i="19" s="1"/>
  <c r="G281" i="19" a="1"/>
  <c r="G281" i="19" s="1"/>
  <c r="G274" i="19" a="1"/>
  <c r="G274" i="19" s="1"/>
  <c r="F270" i="19" a="1"/>
  <c r="F270" i="19" s="1"/>
  <c r="E270" i="19"/>
  <c r="E34" i="19"/>
  <c r="E11" i="41" s="1"/>
  <c r="E53" i="19"/>
  <c r="E12" i="41" s="1"/>
  <c r="E54" i="19"/>
  <c r="F12" i="41" s="1"/>
  <c r="E73" i="19"/>
  <c r="F13" i="41" s="1"/>
  <c r="E72" i="19"/>
  <c r="E13" i="41" s="1"/>
  <c r="E90" i="19"/>
  <c r="E14" i="41" s="1"/>
  <c r="E91" i="19"/>
  <c r="F14" i="41" s="1"/>
  <c r="G270" i="19" l="1" a="1"/>
  <c r="G270" i="19" s="1"/>
  <c r="E283" i="19" s="1"/>
  <c r="E18" i="41" s="1"/>
  <c r="I270" i="19" a="1"/>
  <c r="I270" i="19" s="1"/>
  <c r="E284" i="19" s="1"/>
  <c r="F18" i="41" s="1"/>
  <c r="E533" i="19" l="1" a="1"/>
  <c r="E533" i="19" s="1"/>
  <c r="E30" i="41" l="1"/>
  <c r="F30" i="41" s="1"/>
  <c r="I550" i="19"/>
  <c r="I551" i="19"/>
  <c r="O74" i="34" a="1"/>
  <c r="O74" i="34" s="1"/>
  <c r="T86" i="34" s="1"/>
  <c r="O90" i="34" s="1" a="1"/>
  <c r="O90" i="34" s="1"/>
  <c r="R571" i="19" s="1"/>
  <c r="E555" i="19" l="1" a="1"/>
  <c r="E555" i="19" s="1"/>
  <c r="E31" i="41" s="1"/>
  <c r="F31" i="41" s="1"/>
  <c r="E35" i="34" a="1"/>
  <c r="E35" i="34" s="1"/>
  <c r="I48" i="34" s="1"/>
  <c r="O35" i="34" a="1"/>
  <c r="O35" i="34" s="1"/>
  <c r="S48" i="34" s="1"/>
  <c r="O55" i="34" s="1" a="1"/>
  <c r="O55" i="34" s="1"/>
  <c r="R570" i="19" s="1"/>
  <c r="M573" i="19" s="1" a="1"/>
  <c r="M573" i="19" s="1"/>
  <c r="O575" i="19" s="1"/>
  <c r="M578" i="19" s="1" a="1"/>
  <c r="M578" i="19" s="1"/>
  <c r="F32" i="41" s="1"/>
  <c r="J237" i="19" a="1"/>
  <c r="J237" i="19" s="1"/>
  <c r="J245" i="19" a="1"/>
  <c r="J245" i="19" s="1"/>
  <c r="J238" i="19" a="1"/>
  <c r="J238" i="19" s="1"/>
  <c r="J240" i="19" a="1"/>
  <c r="J240" i="19" s="1"/>
  <c r="J242" i="19" a="1"/>
  <c r="J242" i="19" s="1"/>
  <c r="J244" i="19" a="1"/>
  <c r="J244" i="19" s="1"/>
  <c r="J246" i="19" a="1"/>
  <c r="J246" i="19" s="1"/>
  <c r="J241" i="19" a="1"/>
  <c r="J241" i="19" s="1"/>
  <c r="J239" i="19" a="1"/>
  <c r="J239" i="19" s="1"/>
  <c r="J243" i="19" a="1"/>
  <c r="J243" i="19" s="1"/>
  <c r="AE242" i="19" l="1" a="1"/>
  <c r="AE242" i="19" s="1"/>
  <c r="AE243" i="19" a="1"/>
  <c r="AE243" i="19" s="1"/>
  <c r="S244" i="19" a="1"/>
  <c r="S244" i="19" s="1"/>
  <c r="T122" i="19" a="1"/>
  <c r="T122" i="19" s="1"/>
  <c r="AB125" i="19" a="1"/>
  <c r="AB125" i="19" s="1"/>
  <c r="AB119" i="19" a="1"/>
  <c r="AB119" i="19" s="1"/>
  <c r="AB122" i="19" a="1"/>
  <c r="AB122" i="19" s="1"/>
  <c r="W242" i="19" a="1"/>
  <c r="W242" i="19" s="1"/>
  <c r="AE245" i="19" a="1"/>
  <c r="AE245" i="19" s="1"/>
  <c r="S246" i="19" a="1"/>
  <c r="S246" i="19" s="1"/>
  <c r="S237" i="19" a="1"/>
  <c r="S237" i="19" s="1"/>
  <c r="S241" i="19" a="1"/>
  <c r="S241" i="19" s="1"/>
  <c r="AA242" i="19" a="1"/>
  <c r="AA242" i="19" s="1"/>
  <c r="AB120" i="19" a="1"/>
  <c r="AB120" i="19" s="1"/>
  <c r="X126" i="19" a="1"/>
  <c r="X126" i="19" s="1"/>
  <c r="AE239" i="19" a="1"/>
  <c r="AE239" i="19" s="1"/>
  <c r="AA241" i="19" a="1"/>
  <c r="AA241" i="19" s="1"/>
  <c r="W243" i="19" a="1"/>
  <c r="W243" i="19" s="1"/>
  <c r="AB128" i="19" a="1"/>
  <c r="AB128" i="19" s="1"/>
  <c r="T123" i="19" a="1"/>
  <c r="T123" i="19" s="1"/>
  <c r="AE241" i="19" a="1"/>
  <c r="AE241" i="19" s="1"/>
  <c r="AA243" i="19" a="1"/>
  <c r="AA243" i="19" s="1"/>
  <c r="AA244" i="19" a="1"/>
  <c r="AA244" i="19" s="1"/>
  <c r="AB121" i="19" a="1"/>
  <c r="AB121" i="19" s="1"/>
  <c r="X125" i="19" a="1"/>
  <c r="X125" i="19" s="1"/>
  <c r="AE246" i="19" a="1"/>
  <c r="AE246" i="19" s="1"/>
  <c r="S245" i="19" a="1"/>
  <c r="S245" i="19" s="1"/>
  <c r="W245" i="19" a="1"/>
  <c r="W245" i="19" s="1"/>
  <c r="AB127" i="19" a="1"/>
  <c r="AB127" i="19" s="1"/>
  <c r="T127" i="19" a="1"/>
  <c r="T127" i="19" s="1"/>
  <c r="W238" i="19" a="1"/>
  <c r="W238" i="19" s="1"/>
  <c r="S239" i="19" a="1"/>
  <c r="S239" i="19" s="1"/>
  <c r="AA245" i="19" a="1"/>
  <c r="AA245" i="19" s="1"/>
  <c r="AA246" i="19" a="1"/>
  <c r="AA246" i="19" s="1"/>
  <c r="X120" i="19" a="1"/>
  <c r="X120" i="19" s="1"/>
  <c r="T121" i="19" a="1"/>
  <c r="T121" i="19" s="1"/>
  <c r="W241" i="19" a="1"/>
  <c r="W241" i="19" s="1"/>
  <c r="AA239" i="19" a="1"/>
  <c r="AA239" i="19" s="1"/>
  <c r="S238" i="19" a="1"/>
  <c r="S238" i="19" s="1"/>
  <c r="W246" i="19" a="1"/>
  <c r="W246" i="19" s="1"/>
  <c r="X123" i="19" a="1"/>
  <c r="X123" i="19" s="1"/>
  <c r="AB124" i="19" a="1"/>
  <c r="AB124" i="19" s="1"/>
  <c r="S242" i="19" a="1"/>
  <c r="S242" i="19" s="1"/>
  <c r="X127" i="19" a="1"/>
  <c r="X127" i="19" s="1"/>
  <c r="T120" i="19" a="1"/>
  <c r="T120" i="19" s="1"/>
  <c r="S243" i="19" a="1"/>
  <c r="S243" i="19" s="1"/>
  <c r="S240" i="19" a="1"/>
  <c r="S240" i="19" s="1"/>
  <c r="AE237" i="19" a="1"/>
  <c r="AE237" i="19" s="1"/>
  <c r="K237" i="19" s="1" a="1"/>
  <c r="K237" i="19" s="1"/>
  <c r="T124" i="19" a="1"/>
  <c r="T124" i="19" s="1"/>
  <c r="AB126" i="19" a="1"/>
  <c r="AB126" i="19" s="1"/>
  <c r="T126" i="19" a="1"/>
  <c r="T126" i="19" s="1"/>
  <c r="X124" i="19" a="1"/>
  <c r="X124" i="19" s="1"/>
  <c r="X121" i="19" a="1"/>
  <c r="X121" i="19" s="1"/>
  <c r="W237" i="19" a="1"/>
  <c r="W237" i="19" s="1"/>
  <c r="AE240" i="19" a="1"/>
  <c r="AE240" i="19" s="1"/>
  <c r="W244" i="19" a="1"/>
  <c r="W244" i="19" s="1"/>
  <c r="T128" i="19" a="1"/>
  <c r="T128" i="19" s="1"/>
  <c r="AA237" i="19" a="1"/>
  <c r="AA237" i="19" s="1"/>
  <c r="AA238" i="19" a="1"/>
  <c r="AA238" i="19" s="1"/>
  <c r="T125" i="19" a="1"/>
  <c r="T125" i="19" s="1"/>
  <c r="X122" i="19" a="1"/>
  <c r="X122" i="19" s="1"/>
  <c r="T119" i="19" a="1"/>
  <c r="T119" i="19" s="1"/>
  <c r="X128" i="19" a="1"/>
  <c r="X128" i="19" s="1"/>
  <c r="X119" i="19" a="1"/>
  <c r="X119" i="19" s="1"/>
  <c r="AE238" i="19" a="1"/>
  <c r="AE238" i="19" s="1"/>
  <c r="W239" i="19" a="1"/>
  <c r="W239" i="19" s="1"/>
  <c r="AB123" i="19" a="1"/>
  <c r="AB123" i="19" s="1"/>
  <c r="AA240" i="19" a="1"/>
  <c r="AA240" i="19" s="1"/>
  <c r="W240" i="19" a="1"/>
  <c r="W240" i="19" s="1"/>
  <c r="AE244" i="19" a="1"/>
  <c r="AE244" i="19" s="1"/>
  <c r="F119" i="19" l="1"/>
  <c r="G119" i="19" s="1" a="1"/>
  <c r="G119" i="19" s="1"/>
  <c r="J229" i="19" a="1"/>
  <c r="J229" i="19" s="1"/>
  <c r="F241" i="19" a="1"/>
  <c r="F241" i="19" s="1"/>
  <c r="G241" i="19" s="1" a="1"/>
  <c r="G241" i="19" s="1"/>
  <c r="H241" i="19" a="1"/>
  <c r="H241" i="19" s="1"/>
  <c r="K241" i="19" a="1"/>
  <c r="K241" i="19" s="1"/>
  <c r="K245" i="19" a="1"/>
  <c r="K245" i="19" s="1"/>
  <c r="H245" i="19" a="1"/>
  <c r="H245" i="19" s="1"/>
  <c r="F245" i="19" a="1"/>
  <c r="F245" i="19" s="1"/>
  <c r="G245" i="19" s="1" a="1"/>
  <c r="G245" i="19" s="1"/>
  <c r="F246" i="19" a="1"/>
  <c r="F246" i="19" s="1"/>
  <c r="G246" i="19" s="1" a="1"/>
  <c r="G246" i="19" s="1"/>
  <c r="K246" i="19" a="1"/>
  <c r="K246" i="19" s="1"/>
  <c r="H246" i="19" a="1"/>
  <c r="H246" i="19" s="1"/>
  <c r="F126" i="19"/>
  <c r="F121" i="19"/>
  <c r="G121" i="19" s="1" a="1"/>
  <c r="G121" i="19" s="1"/>
  <c r="H238" i="19" a="1"/>
  <c r="H238" i="19" s="1"/>
  <c r="F238" i="19" a="1"/>
  <c r="F238" i="19" s="1"/>
  <c r="G238" i="19" s="1" a="1"/>
  <c r="G238" i="19" s="1"/>
  <c r="K238" i="19" a="1"/>
  <c r="K238" i="19" s="1"/>
  <c r="F240" i="19" a="1"/>
  <c r="F240" i="19" s="1"/>
  <c r="G240" i="19" s="1" a="1"/>
  <c r="G240" i="19" s="1"/>
  <c r="K240" i="19" a="1"/>
  <c r="K240" i="19" s="1"/>
  <c r="H240" i="19" a="1"/>
  <c r="H240" i="19" s="1"/>
  <c r="F237" i="19" a="1"/>
  <c r="F237" i="19" s="1"/>
  <c r="G237" i="19" s="1" a="1"/>
  <c r="G237" i="19" s="1"/>
  <c r="H237" i="19" a="1"/>
  <c r="H237" i="19" s="1"/>
  <c r="K243" i="19" a="1"/>
  <c r="K243" i="19" s="1"/>
  <c r="H243" i="19" a="1"/>
  <c r="H243" i="19" s="1"/>
  <c r="F243" i="19" a="1"/>
  <c r="F243" i="19" s="1"/>
  <c r="G243" i="19" s="1" a="1"/>
  <c r="G243" i="19" s="1"/>
  <c r="F239" i="19" a="1"/>
  <c r="F239" i="19" s="1"/>
  <c r="G239" i="19" s="1" a="1"/>
  <c r="G239" i="19" s="1"/>
  <c r="H239" i="19" a="1"/>
  <c r="H239" i="19" s="1"/>
  <c r="K239" i="19" a="1"/>
  <c r="K239" i="19" s="1"/>
  <c r="F122" i="19"/>
  <c r="F123" i="19"/>
  <c r="F120" i="19"/>
  <c r="G120" i="19" s="1" a="1"/>
  <c r="G120" i="19" s="1"/>
  <c r="F244" i="19" a="1"/>
  <c r="F244" i="19" s="1"/>
  <c r="G244" i="19" s="1" a="1"/>
  <c r="G244" i="19" s="1"/>
  <c r="K244" i="19" a="1"/>
  <c r="K244" i="19" s="1"/>
  <c r="H244" i="19" a="1"/>
  <c r="H244" i="19" s="1"/>
  <c r="F124" i="19"/>
  <c r="F125" i="19"/>
  <c r="F127" i="19"/>
  <c r="F128" i="19"/>
  <c r="K242" i="19" a="1"/>
  <c r="K242" i="19" s="1"/>
  <c r="H242" i="19" a="1"/>
  <c r="H242" i="19" s="1"/>
  <c r="F242" i="19" a="1"/>
  <c r="F242" i="19" s="1"/>
  <c r="G242" i="19" s="1" a="1"/>
  <c r="G242" i="19" s="1"/>
  <c r="AI227" i="19" a="1"/>
  <c r="AI227" i="19" s="1"/>
  <c r="AI228" i="19" a="1"/>
  <c r="AI228" i="19" s="1"/>
  <c r="AI226" i="19" a="1"/>
  <c r="AI226" i="19" s="1"/>
  <c r="AI222" i="19" a="1"/>
  <c r="AI222" i="19" s="1"/>
  <c r="AI229" i="19" a="1"/>
  <c r="AI229" i="19" s="1"/>
  <c r="AI230" i="19" a="1"/>
  <c r="AI230" i="19" s="1"/>
  <c r="AI221" i="19" a="1"/>
  <c r="AI221" i="19" s="1"/>
  <c r="AI223" i="19" a="1"/>
  <c r="AI223" i="19" s="1"/>
  <c r="AI224" i="19" a="1"/>
  <c r="AI224" i="19" s="1"/>
  <c r="AI225" i="19" a="1"/>
  <c r="AI225" i="19" s="1"/>
  <c r="AA226" i="19" a="1"/>
  <c r="AA226" i="19" s="1"/>
  <c r="AA221" i="19" a="1"/>
  <c r="AA221" i="19" s="1"/>
  <c r="AA230" i="19" a="1"/>
  <c r="AA230" i="19" s="1"/>
  <c r="AA223" i="19" a="1"/>
  <c r="AA223" i="19" s="1"/>
  <c r="AA225" i="19" a="1"/>
  <c r="AA225" i="19" s="1"/>
  <c r="AA227" i="19" a="1"/>
  <c r="AA227" i="19" s="1"/>
  <c r="AA228" i="19" a="1"/>
  <c r="AA228" i="19" s="1"/>
  <c r="AA229" i="19" a="1"/>
  <c r="AA229" i="19" s="1"/>
  <c r="W228" i="19" a="1"/>
  <c r="W228" i="19" s="1"/>
  <c r="W230" i="19" a="1"/>
  <c r="W230" i="19" s="1"/>
  <c r="W225" i="19" a="1"/>
  <c r="W225" i="19" s="1"/>
  <c r="W223" i="19" a="1"/>
  <c r="W223" i="19" s="1"/>
  <c r="W226" i="19" a="1"/>
  <c r="W226" i="19" s="1"/>
  <c r="W224" i="19" a="1"/>
  <c r="W224" i="19" s="1"/>
  <c r="W227" i="19" a="1"/>
  <c r="W227" i="19" s="1"/>
  <c r="W229" i="19" a="1"/>
  <c r="W229" i="19" s="1"/>
  <c r="AA222" i="19" a="1"/>
  <c r="AA222" i="19" s="1"/>
  <c r="AA224" i="19" a="1"/>
  <c r="AA224" i="19" s="1"/>
  <c r="W221" i="19" a="1"/>
  <c r="W221" i="19" s="1"/>
  <c r="W222" i="19" a="1"/>
  <c r="W222" i="19" s="1"/>
  <c r="AM221" i="19" a="1"/>
  <c r="AM221" i="19" s="1"/>
  <c r="AM225" i="19" a="1"/>
  <c r="AM225" i="19" s="1"/>
  <c r="AM224" i="19" a="1"/>
  <c r="AM224" i="19" s="1"/>
  <c r="AM229" i="19" a="1"/>
  <c r="AM229" i="19" s="1"/>
  <c r="AM226" i="19" a="1"/>
  <c r="AM226" i="19" s="1"/>
  <c r="AM223" i="19" a="1"/>
  <c r="AM223" i="19" s="1"/>
  <c r="AM230" i="19" a="1"/>
  <c r="AM230" i="19" s="1"/>
  <c r="AM227" i="19" a="1"/>
  <c r="AM227" i="19" s="1"/>
  <c r="AM228" i="19" a="1"/>
  <c r="AM228" i="19" s="1"/>
  <c r="S221" i="19" a="1"/>
  <c r="S221" i="19" s="1"/>
  <c r="S228" i="19" a="1"/>
  <c r="S228" i="19" s="1"/>
  <c r="S227" i="19" a="1"/>
  <c r="S227" i="19" s="1"/>
  <c r="S226" i="19" a="1"/>
  <c r="S226" i="19" s="1"/>
  <c r="S225" i="19" a="1"/>
  <c r="S225" i="19" s="1"/>
  <c r="S224" i="19" a="1"/>
  <c r="S224" i="19" s="1"/>
  <c r="S223" i="19" a="1"/>
  <c r="S223" i="19" s="1"/>
  <c r="S229" i="19" a="1"/>
  <c r="S229" i="19" s="1"/>
  <c r="S230" i="19" a="1"/>
  <c r="S230" i="19" s="1"/>
  <c r="AE221" i="19" a="1"/>
  <c r="AE221" i="19" s="1"/>
  <c r="AE224" i="19" a="1"/>
  <c r="AE224" i="19" s="1"/>
  <c r="AE223" i="19" a="1"/>
  <c r="AE223" i="19" s="1"/>
  <c r="AE226" i="19" a="1"/>
  <c r="AE226" i="19" s="1"/>
  <c r="AE225" i="19" a="1"/>
  <c r="AE225" i="19" s="1"/>
  <c r="AE230" i="19" a="1"/>
  <c r="AE230" i="19" s="1"/>
  <c r="AE229" i="19" a="1"/>
  <c r="AE229" i="19" s="1"/>
  <c r="AE228" i="19" a="1"/>
  <c r="AE228" i="19" s="1"/>
  <c r="AE227" i="19" a="1"/>
  <c r="AE227" i="19" s="1"/>
  <c r="S222" i="19" a="1"/>
  <c r="S222" i="19" s="1"/>
  <c r="AM222" i="19" a="1"/>
  <c r="AM222" i="19" s="1"/>
  <c r="AE222" i="19" a="1"/>
  <c r="AE222" i="19" s="1"/>
  <c r="J223" i="19" l="1" a="1"/>
  <c r="J223" i="19" s="1"/>
  <c r="J230" i="19" a="1"/>
  <c r="J230" i="19" s="1"/>
  <c r="J226" i="19" a="1"/>
  <c r="J226" i="19" s="1"/>
  <c r="J221" i="19" a="1"/>
  <c r="J221" i="19" s="1"/>
  <c r="J224" i="19" a="1"/>
  <c r="J224" i="19" s="1"/>
  <c r="J227" i="19" a="1"/>
  <c r="J227" i="19" s="1"/>
  <c r="J225" i="19" a="1"/>
  <c r="J225" i="19" s="1"/>
  <c r="J222" i="19" a="1"/>
  <c r="J222" i="19" s="1"/>
  <c r="J228" i="19" a="1"/>
  <c r="J228" i="19" s="1"/>
  <c r="G124" i="19" a="1"/>
  <c r="G124" i="19" s="1"/>
  <c r="I124" i="19" a="1"/>
  <c r="I124" i="19" s="1"/>
  <c r="G126" i="19" a="1"/>
  <c r="G126" i="19" s="1"/>
  <c r="I126" i="19" a="1"/>
  <c r="I126" i="19" s="1"/>
  <c r="I122" i="19" a="1"/>
  <c r="I122" i="19" s="1"/>
  <c r="G122" i="19" a="1"/>
  <c r="G122" i="19" s="1"/>
  <c r="G123" i="19" a="1"/>
  <c r="G123" i="19" s="1"/>
  <c r="I123" i="19" a="1"/>
  <c r="I123" i="19" s="1"/>
  <c r="I128" i="19" a="1"/>
  <c r="I128" i="19" s="1"/>
  <c r="G128" i="19" a="1"/>
  <c r="G128" i="19" s="1"/>
  <c r="I127" i="19" a="1"/>
  <c r="I127" i="19" s="1"/>
  <c r="G127" i="19" a="1"/>
  <c r="G127" i="19" s="1"/>
  <c r="I125" i="19" a="1"/>
  <c r="I125" i="19" s="1"/>
  <c r="G125" i="19" a="1"/>
  <c r="G125" i="19" s="1"/>
  <c r="F226" i="19" a="1"/>
  <c r="F226" i="19" s="1"/>
  <c r="G226" i="19" s="1" a="1"/>
  <c r="G226" i="19" s="1"/>
  <c r="F229" i="19" a="1"/>
  <c r="F229" i="19" s="1"/>
  <c r="G229" i="19" s="1" a="1"/>
  <c r="G229" i="19" s="1"/>
  <c r="F221" i="19" a="1"/>
  <c r="F221" i="19" s="1"/>
  <c r="F222" i="19" a="1"/>
  <c r="F222" i="19" s="1"/>
  <c r="G222" i="19" s="1" a="1"/>
  <c r="G222" i="19" s="1"/>
  <c r="F224" i="19" a="1"/>
  <c r="F224" i="19" s="1"/>
  <c r="G224" i="19" s="1" a="1"/>
  <c r="G224" i="19" s="1"/>
  <c r="F225" i="19" a="1"/>
  <c r="F225" i="19" s="1"/>
  <c r="G225" i="19" s="1" a="1"/>
  <c r="G225" i="19" s="1"/>
  <c r="F230" i="19" a="1"/>
  <c r="F230" i="19" s="1"/>
  <c r="G230" i="19" s="1" a="1"/>
  <c r="G230" i="19" s="1"/>
  <c r="F227" i="19" a="1"/>
  <c r="F227" i="19" s="1"/>
  <c r="G227" i="19" s="1" a="1"/>
  <c r="G227" i="19" s="1"/>
  <c r="F228" i="19" a="1"/>
  <c r="F228" i="19" s="1"/>
  <c r="G228" i="19" s="1" a="1"/>
  <c r="G228" i="19" s="1"/>
  <c r="F223" i="19" a="1"/>
  <c r="F223" i="19" s="1"/>
  <c r="G223" i="19" s="1" a="1"/>
  <c r="G223" i="19" s="1"/>
  <c r="K227" i="19" a="1"/>
  <c r="K227" i="19" s="1"/>
  <c r="H227" i="19" a="1"/>
  <c r="H227" i="19" s="1"/>
  <c r="K225" i="19" a="1"/>
  <c r="K225" i="19" s="1"/>
  <c r="H225" i="19" a="1"/>
  <c r="H225" i="19" s="1"/>
  <c r="H222" i="19" a="1"/>
  <c r="H222" i="19" s="1"/>
  <c r="K222" i="19" a="1"/>
  <c r="K222" i="19" s="1"/>
  <c r="K223" i="19" a="1"/>
  <c r="K223" i="19" s="1"/>
  <c r="H223" i="19" a="1"/>
  <c r="H223" i="19" s="1"/>
  <c r="K226" i="19" a="1"/>
  <c r="K226" i="19" s="1"/>
  <c r="H226" i="19" a="1"/>
  <c r="H226" i="19" s="1"/>
  <c r="H228" i="19" a="1"/>
  <c r="H228" i="19" s="1"/>
  <c r="K228" i="19" a="1"/>
  <c r="K228" i="19" s="1"/>
  <c r="H229" i="19" a="1"/>
  <c r="H229" i="19" s="1"/>
  <c r="K229" i="19" a="1"/>
  <c r="K229" i="19" s="1"/>
  <c r="H230" i="19" a="1"/>
  <c r="H230" i="19" s="1"/>
  <c r="K230" i="19" a="1"/>
  <c r="K230" i="19" s="1"/>
  <c r="K224" i="19" a="1"/>
  <c r="K224" i="19" s="1"/>
  <c r="H224" i="19" a="1"/>
  <c r="H224" i="19" s="1"/>
  <c r="H221" i="19" l="1" a="1"/>
  <c r="H221" i="19" s="1"/>
  <c r="E251" i="19" s="1"/>
  <c r="E17" i="41" s="1"/>
  <c r="G221" i="19" a="1"/>
  <c r="G221" i="19" s="1"/>
  <c r="E248" i="19" s="1"/>
  <c r="K221" i="19" a="1"/>
  <c r="K221" i="19" s="1"/>
  <c r="E252" i="19" s="1"/>
  <c r="F17" i="41" s="1"/>
  <c r="E249" i="19"/>
  <c r="E74" i="34" a="1"/>
  <c r="E74" i="34" s="1"/>
  <c r="J86" i="34" s="1"/>
  <c r="E130" i="19"/>
  <c r="E144" i="19" s="1"/>
  <c r="E15" i="41" s="1"/>
  <c r="E131" i="19"/>
  <c r="E145" i="19" s="1"/>
  <c r="F15" i="41" s="1"/>
  <c r="E19" i="34" l="1" a="1"/>
  <c r="E19" i="34" s="1"/>
  <c r="J569" i="19" s="1"/>
  <c r="E90" i="34" a="1"/>
  <c r="E90" i="34" s="1"/>
  <c r="J571" i="19" s="1"/>
  <c r="E55" i="34" a="1"/>
  <c r="E55" i="34" s="1"/>
  <c r="J570" i="19" s="1"/>
  <c r="E573" i="19" l="1" a="1"/>
  <c r="E573" i="19" s="1"/>
  <c r="G575" i="19" s="1"/>
  <c r="E578" i="19" s="1" a="1"/>
  <c r="E578" i="19" s="1"/>
  <c r="E32" i="41" s="1"/>
  <c r="F37" i="41" l="1"/>
  <c r="E37" i="4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<sst xmlns="http://schemas.openxmlformats.org/spreadsheetml/2006/main" count="2614" uniqueCount="918">
  <si>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</si>
  <si>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</si>
  <si>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</si>
  <si>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</si>
  <si>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</si>
  <si>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</si>
  <si>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</si>
  <si>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</si>
  <si>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</si>
  <si>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</si>
  <si>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</si>
  <si>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</si>
  <si>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</si>
  <si>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</si>
  <si>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</si>
  <si>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</si>
  <si>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</si>
  <si>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</si>
  <si>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</si>
  <si>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</si>
  <si>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</si>
  <si>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</si>
  <si>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</si>
  <si>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</si>
  <si>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</si>
  <si>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</si>
  <si>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</si>
  <si>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</si>
  <si>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</si>
  <si>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</si>
  <si>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</si>
  <si>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</si>
  <si>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</si>
  <si>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</si>
  <si>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</si>
  <si>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</si>
  <si>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</si>
  <si>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</si>
  <si>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</si>
  <si>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</si>
  <si>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</si>
  <si>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</si>
  <si>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</si>
  <si>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</si>
  <si>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</si>
  <si>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</si>
  <si>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</si>
  <si>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</si>
  <si>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</si>
  <si>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</si>
  <si>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</si>
  <si>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</si>
  <si>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</si>
  <si>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</si>
  <si>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</si>
  <si>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</si>
  <si>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</si>
  <si>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</si>
  <si>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</si>
  <si>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</si>
  <si>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</si>
  <si>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</si>
  <si>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</si>
  <si>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</si>
  <si>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</si>
  <si>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</si>
  <si>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Constants - Fuel</t>
  </si>
  <si>
    <t>INPUTS</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</si>
  <si>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</si>
  <si>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</si>
  <si>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</si>
  <si>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</si>
  <si>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</si>
  <si>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</si>
  <si>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</si>
  <si>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</si>
  <si>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</si>
  <si>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CALCULATIONS</t>
  </si>
  <si>
    <t>APPENDICES</t>
  </si>
  <si>
    <t>Transport type t</t>
  </si>
  <si>
    <t>Fuel type q</t>
  </si>
  <si>
    <t>ECTrans,q (GJ/kL)</t>
  </si>
  <si>
    <t>Scope 1 CO2 EFTran,1,tqg (kg CO2-e/GJ)</t>
  </si>
  <si>
    <t>Scope 1 CH4 EFTran,1,tgg (kg CO2-e/GJ)</t>
  </si>
  <si>
    <t>Scope 1 N2O EFTran,1,tgg (kg CO2-e/GJ)</t>
  </si>
  <si>
    <t>Scope 3 EFTrans,3,q (kg CO2-e/GJ)</t>
  </si>
  <si>
    <t>State or territory</t>
  </si>
  <si>
    <t>Appendices</t>
  </si>
  <si>
    <t>Generators</t>
  </si>
  <si>
    <t>Power standalone machinery or heating</t>
  </si>
  <si>
    <t>Aviation</t>
  </si>
  <si>
    <t>Cars and light commercial vehicles</t>
  </si>
  <si>
    <t>Off-road Agriculture and forestry equipment</t>
  </si>
  <si>
    <t>Vessels</t>
  </si>
  <si>
    <t>Fuel oil</t>
  </si>
  <si>
    <t>Fuel type</t>
  </si>
  <si>
    <t>Unit</t>
  </si>
  <si>
    <t>Petrol</t>
  </si>
  <si>
    <t>kL</t>
  </si>
  <si>
    <t>Diesel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</si>
  <si>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</si>
  <si>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</si>
  <si>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</si>
  <si>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</si>
  <si>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</si>
  <si>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</si>
  <si>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</si>
  <si>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</si>
  <si>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</si>
  <si>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</si>
  <si>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</si>
  <si>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</si>
  <si>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</si>
  <si>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</si>
  <si>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</si>
  <si>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</si>
  <si>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</si>
  <si>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Town gas in GJ</t>
  </si>
  <si>
    <t>Input - Fuel</t>
  </si>
  <si>
    <t>Fuel purchases and consumption</t>
  </si>
  <si>
    <t>💡 You can add more rows to the table by right-clicking on the table and selecting "Insert &gt; Table rows above/below"</t>
  </si>
  <si>
    <t>💡 'Percent consumed" is 100% by default. If you purchased more fuel than was consumed you can edit this field.</t>
  </si>
  <si>
    <t>Fuel use (select)</t>
  </si>
  <si>
    <t>Fuel type (select)</t>
  </si>
  <si>
    <t>Amount purchased</t>
  </si>
  <si>
    <t>Amount unit</t>
  </si>
  <si>
    <t>Percent consumed</t>
  </si>
  <si>
    <t>Amount consumed</t>
  </si>
  <si>
    <t>Table_E_g</t>
  </si>
  <si>
    <t>Emissions for transport fuel combustion</t>
  </si>
  <si>
    <t>Fuel use</t>
  </si>
  <si>
    <t>Fuel type (NGAF terminology)</t>
  </si>
  <si>
    <t>Fuel type (q)</t>
  </si>
  <si>
    <t>Constants - Fertiliser</t>
  </si>
  <si>
    <t>Fertiliser type f</t>
  </si>
  <si>
    <t>FNinorganic f</t>
  </si>
  <si>
    <t>FU f</t>
  </si>
  <si>
    <t>Basis</t>
  </si>
  <si>
    <t>Lifecycles Scope 3 definition</t>
  </si>
  <si>
    <t>Source</t>
  </si>
  <si>
    <t>Production systems</t>
  </si>
  <si>
    <t>Crop types</t>
  </si>
  <si>
    <t>Irrigation methods</t>
  </si>
  <si>
    <t>Organic fertiliser types</t>
  </si>
  <si>
    <t>Production system</t>
  </si>
  <si>
    <t>Organic fertiliser type</t>
  </si>
  <si>
    <t>Pasture</t>
  </si>
  <si>
    <t>Not irrigated</t>
  </si>
  <si>
    <t>Manure - Cattle</t>
  </si>
  <si>
    <t>Crop</t>
  </si>
  <si>
    <t>Grains</t>
  </si>
  <si>
    <t>Drip irrigation</t>
  </si>
  <si>
    <t>Manure - Poultry</t>
  </si>
  <si>
    <t>Maize</t>
  </si>
  <si>
    <t>Sprinkler irrigation</t>
  </si>
  <si>
    <t>Manure - Swine</t>
  </si>
  <si>
    <t>Cotton</t>
  </si>
  <si>
    <t>Surface irrigation</t>
  </si>
  <si>
    <t>Manure - Other</t>
  </si>
  <si>
    <t>Other irrigation</t>
  </si>
  <si>
    <t>Other organic fertiliser</t>
  </si>
  <si>
    <t>FracGASF f</t>
  </si>
  <si>
    <t>Element</t>
  </si>
  <si>
    <t>P</t>
  </si>
  <si>
    <t>EF</t>
  </si>
  <si>
    <t>Fertiliser products</t>
  </si>
  <si>
    <t>Include or Exclude</t>
  </si>
  <si>
    <t>Notes</t>
  </si>
  <si>
    <t>Company</t>
  </si>
  <si>
    <t>Product name</t>
  </si>
  <si>
    <t>Density / gravity</t>
  </si>
  <si>
    <t>Urea source</t>
  </si>
  <si>
    <t>Ammonia source</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</si>
  <si>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</si>
  <si>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</si>
  <si>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</si>
  <si>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</si>
  <si>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</si>
  <si>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</si>
  <si>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</si>
  <si>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</si>
  <si>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</si>
  <si>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</si>
  <si>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</si>
  <si>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</si>
  <si>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Ingredient 7</t>
  </si>
  <si>
    <t>Ingredient 7 percent</t>
  </si>
  <si>
    <t>Ingredient 8</t>
  </si>
  <si>
    <t>Ingredient 8 percent</t>
  </si>
  <si>
    <t>Ingredient 9</t>
  </si>
  <si>
    <t>Ingredient 9 percent</t>
  </si>
  <si>
    <t>Imngredient 10</t>
  </si>
  <si>
    <t>Ingredient 10 percent</t>
  </si>
  <si>
    <t>Input - Fertiliser</t>
  </si>
  <si>
    <r>
      <rPr>
        <sz val="12"/>
        <color theme="1" tint="0.34998626667073579"/>
        <rFont val="Times New Roman"/>
        <family val="1"/>
      </rPr>
      <t xml:space="preserve">← </t>
    </r>
    <r>
      <rPr>
        <i/>
        <sz val="12"/>
        <color theme="1" tint="0.34998626667073579"/>
        <rFont val="Times New Roman"/>
        <family val="1"/>
      </rPr>
      <t>Please select</t>
    </r>
  </si>
  <si>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</si>
  <si>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</si>
  <si>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</si>
  <si>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</si>
  <si>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</si>
  <si>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t>Application area (ha)</t>
  </si>
  <si>
    <t>Total applied (kg)</t>
  </si>
  <si>
    <t>N application rate (kg/ha)</t>
  </si>
  <si>
    <t>Custom fertiliser blends</t>
  </si>
  <si>
    <t>Custom blend name</t>
  </si>
  <si>
    <t>Ingredient 1 (select)</t>
  </si>
  <si>
    <t>My first custom blend</t>
  </si>
  <si>
    <t>Urea</t>
  </si>
  <si>
    <t>Potassium - Generic</t>
  </si>
  <si>
    <t>Sulfur - Generic</t>
  </si>
  <si>
    <t>💡 You can add more rows to the table by right-clicking on the table and selecting "Insert &gt; Table rows above/below".</t>
  </si>
  <si>
    <t>💡 'Lime' refers to calcium carbonate - CaCO3. 'Dolomite' refers to calcium magnesium carbonate - CaMg(CO3)2</t>
  </si>
  <si>
    <t>Product</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</si>
  <si>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</si>
  <si>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</si>
  <si>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</si>
  <si>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</si>
  <si>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</si>
  <si>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Total</t>
  </si>
  <si>
    <t>Lime product 1</t>
  </si>
  <si>
    <t>Lime product 2</t>
  </si>
  <si>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</si>
  <si>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</si>
  <si>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</si>
  <si>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</si>
  <si>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</si>
  <si>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</si>
  <si>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</si>
  <si>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</si>
  <si>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Electricity</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</si>
  <si>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</si>
  <si>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</si>
  <si>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</si>
  <si>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</si>
  <si>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</si>
  <si>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</si>
  <si>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</si>
  <si>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Option 2: Market-based electricity</t>
  </si>
  <si>
    <t>Electricity purchased in kWh (excluding GreenPower providers)</t>
  </si>
  <si>
    <t xml:space="preserve">Renewable Power Percentage </t>
  </si>
  <si>
    <t>percent</t>
  </si>
  <si>
    <t>Jurisdictional renewable power percentage (ACT only)</t>
  </si>
  <si>
    <t>Electricity purchased from an accredited GreenPower provider</t>
  </si>
  <si>
    <t>Start of reporting year</t>
  </si>
  <si>
    <t>End of reporting year</t>
  </si>
  <si>
    <t>Voluntarily surrendered Renewable Energy Certificates (RECs)</t>
  </si>
  <si>
    <t>Description</t>
  </si>
  <si>
    <t>Source (select)</t>
  </si>
  <si>
    <t>Generation date</t>
  </si>
  <si>
    <t>Number of certificates</t>
  </si>
  <si>
    <t>MWh</t>
  </si>
  <si>
    <t>Elegibility</t>
  </si>
  <si>
    <t>Purchased certificate</t>
  </si>
  <si>
    <t>Issued for generated electricity</t>
  </si>
  <si>
    <t>Total elegible voluntarily surrendered RECs</t>
  </si>
  <si>
    <t>Renewable Energy Certificates (RECs) for electricity produced on-site and consumed by the entity</t>
  </si>
  <si>
    <t xml:space="preserve"> </t>
  </si>
  <si>
    <t>May 2022 generated</t>
  </si>
  <si>
    <t>Total elegible RECs for electricity produced on-site and consumed by entity</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</si>
  <si>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</si>
  <si>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</si>
  <si>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</si>
  <si>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</si>
  <si>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</si>
  <si>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</si>
  <si>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</si>
  <si>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t>Emissions calculation period start date</t>
  </si>
  <si>
    <r>
      <rPr>
        <sz val="12"/>
        <color theme="1" tint="0.34998626667073579"/>
        <rFont val="Times New Roman"/>
        <family val="1"/>
      </rPr>
      <t xml:space="preserve">← </t>
    </r>
    <r>
      <rPr>
        <i/>
        <sz val="12"/>
        <color theme="1" tint="0.34998626667073579"/>
        <rFont val="Times New Roman"/>
        <family val="1"/>
      </rPr>
      <t>DD/MM/YYYY or DD Month YYYY</t>
    </r>
  </si>
  <si>
    <t>Emissions calculation period end date</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</si>
  <si>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</si>
  <si>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</si>
  <si>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</si>
  <si>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</si>
  <si>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</si>
  <si>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Region (ABS Statistical area level 4) if state is WA</t>
  </si>
  <si>
    <t>Western Australia - Outback (South)</t>
  </si>
  <si>
    <t>Chemical compound</t>
  </si>
  <si>
    <t>Quantity</t>
  </si>
  <si>
    <t>Quantity Unit</t>
  </si>
  <si>
    <t>AusLCI Emissions intensity</t>
  </si>
  <si>
    <t>Livestock class</t>
  </si>
  <si>
    <t>Type</t>
  </si>
  <si>
    <t>Packaging name</t>
  </si>
  <si>
    <t>Quantity purchased</t>
  </si>
  <si>
    <t>Cleaning chemicals</t>
  </si>
  <si>
    <t>White king</t>
  </si>
  <si>
    <t>Bleach</t>
  </si>
  <si>
    <t>Lick blocks</t>
  </si>
  <si>
    <t>Feed blends</t>
  </si>
  <si>
    <t>Feed blend name</t>
  </si>
  <si>
    <t>Amount fed (kg)</t>
  </si>
  <si>
    <t>Ingredient 2 (select)</t>
  </si>
  <si>
    <t>Ingredient 3 (select)</t>
  </si>
  <si>
    <t>Ingredient 4 (select)</t>
  </si>
  <si>
    <t>Canola oil</t>
  </si>
  <si>
    <t>Hay bales in paddock</t>
  </si>
  <si>
    <t xml:space="preserve">💡You can find specific product information in the Australian Government's 'PubCRIS' database search. </t>
  </si>
  <si>
    <t>Click here to find instructions on how to use the PubCRIS database</t>
  </si>
  <si>
    <t>Amount applied per ha</t>
  </si>
  <si>
    <t>Application unit (select)</t>
  </si>
  <si>
    <t>Total applied</t>
  </si>
  <si>
    <t>Active ingredient 1 (select)</t>
  </si>
  <si>
    <t>Active ingredient 1 amount</t>
  </si>
  <si>
    <t>Active ingredient 2 (select)</t>
  </si>
  <si>
    <t>Active ingredient 2 amount</t>
  </si>
  <si>
    <t>Active ingredient 3 (select)</t>
  </si>
  <si>
    <t>Active ingredient 3 amount</t>
  </si>
  <si>
    <t>litre / hectare</t>
  </si>
  <si>
    <t>ACT</t>
  </si>
  <si>
    <t>Application unit</t>
  </si>
  <si>
    <t>Density</t>
  </si>
  <si>
    <t>Category</t>
  </si>
  <si>
    <t>Region of origin</t>
  </si>
  <si>
    <t>Calcium nitrate</t>
  </si>
  <si>
    <t>Ammonia</t>
  </si>
  <si>
    <t>Class</t>
  </si>
  <si>
    <t>Class (select)</t>
  </si>
  <si>
    <t>Quantity (head)</t>
  </si>
  <si>
    <t>Beef cattle</t>
  </si>
  <si>
    <t>Source region (Select)</t>
  </si>
  <si>
    <t>Symbol</t>
  </si>
  <si>
    <t>Manure management system</t>
  </si>
  <si>
    <t>Symbol and MMS</t>
  </si>
  <si>
    <t>Source region</t>
  </si>
  <si>
    <t>Table_SourceData_LivestockProduct_Beefcattle</t>
  </si>
  <si>
    <t>Table_SourceData_LivestockProduct_Sheep</t>
  </si>
  <si>
    <t>Cattle, for manufacturing beef</t>
  </si>
  <si>
    <t>Cattle, for prime beef</t>
  </si>
  <si>
    <t>Australia</t>
  </si>
  <si>
    <t>NSW</t>
  </si>
  <si>
    <t>QLD</t>
  </si>
  <si>
    <t>Table_SourceData_LivestockProduct_Chickens</t>
  </si>
  <si>
    <t>Table_SourceData_LivestockProduct_Dairycattle</t>
  </si>
  <si>
    <t>Table_SourceData_LivestockProduct_Pigs</t>
  </si>
  <si>
    <t>Dairy cattle</t>
  </si>
  <si>
    <t>VIC</t>
  </si>
  <si>
    <t>WA</t>
  </si>
  <si>
    <t>Type (select)</t>
  </si>
  <si>
    <t>Alkaline cleaner</t>
  </si>
  <si>
    <t>Phosphoric acid</t>
  </si>
  <si>
    <t>Quantity purchased (kg)</t>
  </si>
  <si>
    <t>Ingredient 1 EF</t>
  </si>
  <si>
    <t>Inorganic fertilisers</t>
  </si>
  <si>
    <t>kg</t>
  </si>
  <si>
    <t>Ingredient 2 EF</t>
  </si>
  <si>
    <t>Ingredient 3 EF</t>
  </si>
  <si>
    <t>Ingredient 4 EF</t>
  </si>
  <si>
    <t>Scope 3 (Method 1)</t>
  </si>
  <si>
    <t>Scope 3 (Method 2)</t>
  </si>
  <si>
    <t>Emissions intensity (Method 1)</t>
  </si>
  <si>
    <t>Total amount (kg)</t>
  </si>
  <si>
    <t>Transaction name</t>
  </si>
  <si>
    <t>Emissions intensity (Method 2)</t>
  </si>
  <si>
    <t>Animals</t>
  </si>
  <si>
    <t>System boundary</t>
  </si>
  <si>
    <t>Transaction description</t>
  </si>
  <si>
    <t>Chemicals</t>
  </si>
  <si>
    <t>Feed</t>
  </si>
  <si>
    <t>Other agricultural inputs</t>
  </si>
  <si>
    <t>Packaging</t>
  </si>
  <si>
    <t>Pesticides</t>
  </si>
  <si>
    <t>Soil ameliorants</t>
  </si>
  <si>
    <t>Scope 3 emissions are calculated on a maximum of 20 branded fertiliser product purchases</t>
  </si>
  <si>
    <t>Branded fertiliser product purchases</t>
  </si>
  <si>
    <t>Parasite control for cattle (external), dipping</t>
  </si>
  <si>
    <t>Parasite control for cattle (internal)</t>
  </si>
  <si>
    <t>Parasite control for sheep (external)</t>
  </si>
  <si>
    <t>Parasite control for sheep (internal)</t>
  </si>
  <si>
    <t>Number of head treated</t>
  </si>
  <si>
    <t>Cleaning chemical purchases</t>
  </si>
  <si>
    <t>Pharmacy chemical purchases</t>
  </si>
  <si>
    <t>Amount purcahsed (kg)</t>
  </si>
  <si>
    <t>Cow bug off</t>
  </si>
  <si>
    <t>Cow worm-away</t>
  </si>
  <si>
    <t>Sheep bug off</t>
  </si>
  <si>
    <t>Sheep worm-away</t>
  </si>
  <si>
    <t>Kleen alk</t>
  </si>
  <si>
    <t>Acid kleen</t>
  </si>
  <si>
    <t>Region</t>
  </si>
  <si>
    <t>Ingredient 1 source</t>
  </si>
  <si>
    <t>Cereal hay</t>
  </si>
  <si>
    <t>Soybean meal</t>
  </si>
  <si>
    <t>TAS</t>
  </si>
  <si>
    <t>Ingredient 1 source region</t>
  </si>
  <si>
    <t>Sardines (whole)</t>
  </si>
  <si>
    <t>SA</t>
  </si>
  <si>
    <t>Lucerne hay</t>
  </si>
  <si>
    <t>Brazil</t>
  </si>
  <si>
    <t>Ingredient 2 source region</t>
  </si>
  <si>
    <t>Ingredient 3 source region</t>
  </si>
  <si>
    <t>Ingredient 4 source region</t>
  </si>
  <si>
    <t>Molasses</t>
  </si>
  <si>
    <t>Feed rations</t>
  </si>
  <si>
    <t>Pasture hay</t>
  </si>
  <si>
    <t>Scope 3 emissions are calculated on a maximum of 10 feed blends</t>
  </si>
  <si>
    <t>Ingredient 2 source</t>
  </si>
  <si>
    <t>Ingredient 3 source</t>
  </si>
  <si>
    <t>Ingredient 4 source</t>
  </si>
  <si>
    <t>Blend name</t>
  </si>
  <si>
    <t>tags</t>
  </si>
  <si>
    <t>Primary material</t>
  </si>
  <si>
    <t>Weight per unit (kg)</t>
  </si>
  <si>
    <t>250g punnet</t>
  </si>
  <si>
    <t>Plastic sheet HDPE</t>
  </si>
  <si>
    <t>Method 1</t>
  </si>
  <si>
    <t>Method 2</t>
  </si>
  <si>
    <t>Seed</t>
  </si>
  <si>
    <t>Pesticides (generic)</t>
  </si>
  <si>
    <t>grams/litre or grams/kg</t>
  </si>
  <si>
    <t>kg / hectare</t>
  </si>
  <si>
    <t>Product EF (Method 1)</t>
  </si>
  <si>
    <t>Product EF (Method 2)</t>
  </si>
  <si>
    <t>Miscellaneous inputs</t>
  </si>
  <si>
    <t>Total active ingredient 1 (kg)</t>
  </si>
  <si>
    <t>Total active ingredient 2 (kg)</t>
  </si>
  <si>
    <t>Total active ingredient 3 (kg)</t>
  </si>
  <si>
    <t>NovaGuard Boscalid 500 WG Fungicide</t>
  </si>
  <si>
    <t>Constituent unit (select)</t>
  </si>
  <si>
    <t>Heben Propiconazole 550EC Fungicide</t>
  </si>
  <si>
    <t>QA MCPA + Picloram SL Herbicide</t>
  </si>
  <si>
    <t>Livestock</t>
  </si>
  <si>
    <t>Purchase class (select)</t>
  </si>
  <si>
    <t>Liveweight (kg/head) Method 1</t>
  </si>
  <si>
    <t>Liveweight (kg/head) Method 2</t>
  </si>
  <si>
    <t>Purchase date</t>
  </si>
  <si>
    <t>Table_ProductRegions_Beefcattle</t>
  </si>
  <si>
    <t>n/a</t>
  </si>
  <si>
    <t>NT</t>
  </si>
  <si>
    <t>WA - Pilbara</t>
  </si>
  <si>
    <t>WA - South west</t>
  </si>
  <si>
    <t>WA - Kimberley</t>
  </si>
  <si>
    <t>NT - Alice Springs</t>
  </si>
  <si>
    <t>NT - Barkly</t>
  </si>
  <si>
    <t>NT - Northern</t>
  </si>
  <si>
    <t>QLD - High</t>
  </si>
  <si>
    <t>QLD - Moderate/High</t>
  </si>
  <si>
    <t>QLD - Moderate/Low</t>
  </si>
  <si>
    <t>QLD - Low</t>
  </si>
  <si>
    <t>Constants - Pasture Beef</t>
  </si>
  <si>
    <t>Pasture beefcrop or pasture production systems</t>
  </si>
  <si>
    <t>Table_SourceData_PastureBeef_Region_WesternAustralia</t>
  </si>
  <si>
    <t>Table_SourceData_PastureBeef_Region_Queensland</t>
  </si>
  <si>
    <t>Table_SourceData_PastureBeef_Region_NorthernTerritory</t>
  </si>
  <si>
    <t>Table_SourceData_PastureBeef_Region_Victoria</t>
  </si>
  <si>
    <t>South West</t>
  </si>
  <si>
    <t>Alice Springs</t>
  </si>
  <si>
    <t>High</t>
  </si>
  <si>
    <t>Pilbara</t>
  </si>
  <si>
    <t>Barkly</t>
  </si>
  <si>
    <t>Moderate/High</t>
  </si>
  <si>
    <t>Kimberley</t>
  </si>
  <si>
    <t>Northern</t>
  </si>
  <si>
    <t>Moderate/Low</t>
  </si>
  <si>
    <t>Table_SourceData_PastureBeef_Region_NewSouthWales</t>
  </si>
  <si>
    <t>Low</t>
  </si>
  <si>
    <t>Table_SourceData_PastureBeef_Region_SouthAustralia</t>
  </si>
  <si>
    <t>Bull &lt; 1</t>
  </si>
  <si>
    <t>Bull &gt; 1</t>
  </si>
  <si>
    <t>Cow &lt; 1</t>
  </si>
  <si>
    <t>Cow 1-2</t>
  </si>
  <si>
    <t>Cow &gt; 2</t>
  </si>
  <si>
    <t>Steer &lt; 1</t>
  </si>
  <si>
    <t>Steer &gt; 1</t>
  </si>
  <si>
    <t>Table_SourceData_PastureBeef_Region_Tasmania</t>
  </si>
  <si>
    <t>Table_SourceData_PastureBeef_Region_ACT</t>
  </si>
  <si>
    <t>Bull &lt;1</t>
  </si>
  <si>
    <t>Bull &gt;1</t>
  </si>
  <si>
    <t>Cows &lt;1</t>
  </si>
  <si>
    <t>Cows 1-2</t>
  </si>
  <si>
    <t>Cows 2-3</t>
  </si>
  <si>
    <t>Cows &gt;3</t>
  </si>
  <si>
    <t>Steer &lt;1</t>
  </si>
  <si>
    <t>Steer 1-2</t>
  </si>
  <si>
    <t>Steer 2-3</t>
  </si>
  <si>
    <t>Steer &gt;3</t>
  </si>
  <si>
    <t>Beef pasture cattle - Liveweight (kg) (Wjkl) all states</t>
  </si>
  <si>
    <t>Bulls &lt; 1 year</t>
  </si>
  <si>
    <t>Bulls &gt; 1 year</t>
  </si>
  <si>
    <t>Cows &lt; 1 year</t>
  </si>
  <si>
    <t>Cows 1-2 years</t>
  </si>
  <si>
    <t>Cows 2-3 years</t>
  </si>
  <si>
    <t>Cows &gt; 3 years</t>
  </si>
  <si>
    <t>Steers &lt; 1 year</t>
  </si>
  <si>
    <t>Steers 1-2 years</t>
  </si>
  <si>
    <t>Steers 2-3 years</t>
  </si>
  <si>
    <t>Steers &gt;3 years</t>
  </si>
  <si>
    <t>Summer</t>
  </si>
  <si>
    <t>Autumn</t>
  </si>
  <si>
    <t>Winter</t>
  </si>
  <si>
    <t>Cow &lt;1</t>
  </si>
  <si>
    <t>Cow &gt;2</t>
  </si>
  <si>
    <t>Steer &gt;1</t>
  </si>
  <si>
    <t>Cow 2-3</t>
  </si>
  <si>
    <t>Cow &gt;3</t>
  </si>
  <si>
    <t>Spring</t>
  </si>
  <si>
    <t>VARIATION ON SOURCE: Changed 'Season' values from season names to 'Calving season' and 'Season after calving' to acommodate cases where calving happens outside spring or summer</t>
  </si>
  <si>
    <t>Breed</t>
  </si>
  <si>
    <t>Feed adjustment</t>
  </si>
  <si>
    <t>Milk intake/production</t>
  </si>
  <si>
    <t>Calving season</t>
  </si>
  <si>
    <t>Season after calving</t>
  </si>
  <si>
    <t>Bulls &lt;1</t>
  </si>
  <si>
    <t>Bulls &gt;1</t>
  </si>
  <si>
    <t>Cows &gt;2</t>
  </si>
  <si>
    <t>State abbreviation</t>
  </si>
  <si>
    <t>Typo in VEERG declares unit as fraction when values are percent</t>
  </si>
  <si>
    <t>Uncovered Anaerobic lagoon</t>
  </si>
  <si>
    <t>Table_LivestockClasses_Beefcattle</t>
  </si>
  <si>
    <t>Scope3 region</t>
  </si>
  <si>
    <t>Milking cows</t>
  </si>
  <si>
    <t>Heifers &lt; 1 (weaned)</t>
  </si>
  <si>
    <t>Cows from Barry</t>
  </si>
  <si>
    <t>Dairy cows from Denise</t>
  </si>
  <si>
    <t>Breed (select)</t>
  </si>
  <si>
    <t>Source Data - Dairy</t>
  </si>
  <si>
    <t>Dairy manure management systems</t>
  </si>
  <si>
    <t>Dairy crop or pasture production systems</t>
  </si>
  <si>
    <t>MMS</t>
  </si>
  <si>
    <t>Heifers &gt; 1</t>
  </si>
  <si>
    <t>Bulls &gt; 1</t>
  </si>
  <si>
    <t>Bulls &lt; 1 (weaned)</t>
  </si>
  <si>
    <t>Animal class j</t>
  </si>
  <si>
    <t>CH4 production</t>
  </si>
  <si>
    <t>Volatile solids (VSj=3,5)</t>
  </si>
  <si>
    <t>Nitrogen Excreted (NPWj=3,5)</t>
  </si>
  <si>
    <t>MMS m</t>
  </si>
  <si>
    <t>NIR reference</t>
  </si>
  <si>
    <t>EFm</t>
  </si>
  <si>
    <t>FracGASMm</t>
  </si>
  <si>
    <t>MPW ENTERIC</t>
  </si>
  <si>
    <t>MRj</t>
  </si>
  <si>
    <t>Area</t>
  </si>
  <si>
    <t>Milking shed</t>
  </si>
  <si>
    <t>Feedpad</t>
  </si>
  <si>
    <t>Duplicate of data in table 1.3.7</t>
  </si>
  <si>
    <t>Duration (weaned)</t>
  </si>
  <si>
    <t>Duration (pre-weaned)</t>
  </si>
  <si>
    <t>Pigs</t>
  </si>
  <si>
    <t>Constants - Swine</t>
  </si>
  <si>
    <t>Swine crop or pasture production systems</t>
  </si>
  <si>
    <t>CHange title to match source</t>
  </si>
  <si>
    <t>CHange source</t>
  </si>
  <si>
    <t>NIR definition</t>
  </si>
  <si>
    <t>Swine Manure management systems</t>
  </si>
  <si>
    <t>Swine Manure management systems excl. solid storage and direct application</t>
  </si>
  <si>
    <t>Swine Manure management systems excl. direct application</t>
  </si>
  <si>
    <t>Fraction volatile solids lost during storage in primary system</t>
  </si>
  <si>
    <t>Swine housing</t>
  </si>
  <si>
    <t>VSL</t>
  </si>
  <si>
    <t>VSj</t>
  </si>
  <si>
    <t>Ij</t>
  </si>
  <si>
    <t>NWj</t>
  </si>
  <si>
    <t>NWj Daily</t>
  </si>
  <si>
    <t>Class name</t>
  </si>
  <si>
    <t>MMSm</t>
  </si>
  <si>
    <t>FracGASMmT</t>
  </si>
  <si>
    <t>EFmT</t>
  </si>
  <si>
    <t>Average liveweight (kg)</t>
  </si>
  <si>
    <t>Pigs from Pam</t>
  </si>
  <si>
    <t>Sows</t>
  </si>
  <si>
    <t>Slaughter pigs</t>
  </si>
  <si>
    <t>Swine from Samantha</t>
  </si>
  <si>
    <t>Scope 3 emissions are calculated on a maximum of 10 livestock purchases for each category</t>
  </si>
  <si>
    <t>Poultry</t>
  </si>
  <si>
    <t>Chooks from Carolyn</t>
  </si>
  <si>
    <t>Roosters from Raj</t>
  </si>
  <si>
    <t>Constants - Poultry</t>
  </si>
  <si>
    <t>Nutrient analysis</t>
  </si>
  <si>
    <t>Layers</t>
  </si>
  <si>
    <t>Meat chicken growers</t>
  </si>
  <si>
    <t>Meat chicken breeder</t>
  </si>
  <si>
    <t>Meat other</t>
  </si>
  <si>
    <t>Poultry class</t>
  </si>
  <si>
    <t>B0</t>
  </si>
  <si>
    <t>Poultry manure management systems</t>
  </si>
  <si>
    <t>Poultry manure management systems - Stage 1</t>
  </si>
  <si>
    <t>Poultry manure management systems - Stage 2</t>
  </si>
  <si>
    <t>Poultry manure with bedding (m=10)</t>
  </si>
  <si>
    <t>Solid storage (m=4)</t>
  </si>
  <si>
    <t>Belt manure removal</t>
  </si>
  <si>
    <t>Belt manure removal (m=11a)</t>
  </si>
  <si>
    <t>Composting (passive windrow) (m=6)</t>
  </si>
  <si>
    <t>Manure stored in house</t>
  </si>
  <si>
    <t>Manure stored in house (m=11b)</t>
  </si>
  <si>
    <t>Digester / covered lagoons (m=7)</t>
  </si>
  <si>
    <t>Pasture range and paddock (m=14)</t>
  </si>
  <si>
    <t>Direct processing (m=12)</t>
  </si>
  <si>
    <t>No MMS</t>
  </si>
  <si>
    <t>Direct application (m=13)</t>
  </si>
  <si>
    <t>Poultry production systems</t>
  </si>
  <si>
    <t>All states</t>
  </si>
  <si>
    <t>Livestock class j</t>
  </si>
  <si>
    <t>Chicken</t>
  </si>
  <si>
    <t>Pullets</t>
  </si>
  <si>
    <t>Amount</t>
  </si>
  <si>
    <t>Product / service name</t>
  </si>
  <si>
    <t>Total weight purchased (kg)</t>
  </si>
  <si>
    <t>Verified credential matching ISO14067</t>
  </si>
  <si>
    <t>Denise did a full LCA</t>
  </si>
  <si>
    <t>http://denisesdairy.com/LCA2024.pdf</t>
  </si>
  <si>
    <t>Uncategorised products</t>
  </si>
  <si>
    <t>Services and contractors</t>
  </si>
  <si>
    <t>Service provider / contractor</t>
  </si>
  <si>
    <t>Pete's Pickers</t>
  </si>
  <si>
    <t>Fruit picking</t>
  </si>
  <si>
    <t>Harini's Harvesting Services Pty Ltd</t>
  </si>
  <si>
    <t>Total amount</t>
  </si>
  <si>
    <t>Scope 3 unit</t>
  </si>
  <si>
    <t>Hour</t>
  </si>
  <si>
    <t>Hectare</t>
  </si>
  <si>
    <t>Wheat harvesting</t>
  </si>
  <si>
    <t>Activity</t>
  </si>
  <si>
    <t>Purchased feed blends</t>
  </si>
  <si>
    <t>EF (Method 1)</t>
  </si>
  <si>
    <t>EF (Method 2)</t>
  </si>
  <si>
    <t>Origin o</t>
  </si>
  <si>
    <t>Livestock type c</t>
  </si>
  <si>
    <r>
      <t>N</t>
    </r>
    <r>
      <rPr>
        <b/>
        <vertAlign val="subscript"/>
        <sz val="12"/>
        <color theme="1"/>
        <rFont val="Times New Roman"/>
        <family val="1"/>
      </rPr>
      <t>co</t>
    </r>
  </si>
  <si>
    <r>
      <t>W</t>
    </r>
    <r>
      <rPr>
        <b/>
        <vertAlign val="subscript"/>
        <sz val="12"/>
        <color theme="1"/>
        <rFont val="Times New Roman"/>
        <family val="1"/>
      </rPr>
      <t>co</t>
    </r>
    <r>
      <rPr>
        <b/>
        <sz val="12"/>
        <color theme="1"/>
        <rFont val="Times New Roman"/>
        <family val="2"/>
      </rPr>
      <t xml:space="preserve"> - Method 1 (kg/head)</t>
    </r>
  </si>
  <si>
    <r>
      <t>W</t>
    </r>
    <r>
      <rPr>
        <b/>
        <vertAlign val="subscript"/>
        <sz val="12"/>
        <color theme="1"/>
        <rFont val="Times New Roman"/>
        <family val="1"/>
      </rPr>
      <t>co</t>
    </r>
    <r>
      <rPr>
        <b/>
        <sz val="12"/>
        <color theme="1"/>
        <rFont val="Times New Roman"/>
        <family val="2"/>
      </rPr>
      <t xml:space="preserve"> - Method 2 (kg/head)</t>
    </r>
  </si>
  <si>
    <r>
      <t>EF</t>
    </r>
    <r>
      <rPr>
        <b/>
        <vertAlign val="subscript"/>
        <sz val="11"/>
        <color rgb="FF183C1B"/>
        <rFont val="Times New Roman"/>
        <family val="1"/>
      </rPr>
      <t>co</t>
    </r>
    <r>
      <rPr>
        <b/>
        <sz val="11"/>
        <color rgb="FF183C1B"/>
        <rFont val="Times New Roman"/>
        <family val="1"/>
      </rPr>
      <t xml:space="preserve"> (Method 1)</t>
    </r>
  </si>
  <si>
    <r>
      <t>EF</t>
    </r>
    <r>
      <rPr>
        <b/>
        <vertAlign val="subscript"/>
        <sz val="11"/>
        <color rgb="FF533001"/>
        <rFont val="Times New Roman"/>
        <family val="1"/>
      </rPr>
      <t>co</t>
    </r>
    <r>
      <rPr>
        <b/>
        <sz val="11"/>
        <color rgb="FF533001"/>
        <rFont val="Times New Roman"/>
        <family val="1"/>
      </rPr>
      <t xml:space="preserve"> (Method 2)</t>
    </r>
  </si>
  <si>
    <t>Function name</t>
  </si>
  <si>
    <t>Variable</t>
  </si>
  <si>
    <r>
      <t>EF</t>
    </r>
    <r>
      <rPr>
        <vertAlign val="subscript"/>
        <sz val="10"/>
        <color theme="1" tint="0.34998626667073579"/>
        <rFont val="Times New Roman"/>
        <family val="1"/>
      </rPr>
      <t>co</t>
    </r>
    <r>
      <rPr>
        <sz val="10"/>
        <color theme="1" tint="0.34998626667073579"/>
        <rFont val="Times New Roman"/>
        <family val="1"/>
      </rPr>
      <t xml:space="preserve"> (Method 1)</t>
    </r>
  </si>
  <si>
    <t>Method 2 EF source</t>
  </si>
  <si>
    <t>Method 2 EF source type (Select)</t>
  </si>
  <si>
    <t>Method 2 EF proof link</t>
  </si>
  <si>
    <r>
      <t>Q</t>
    </r>
    <r>
      <rPr>
        <b/>
        <vertAlign val="subscript"/>
        <sz val="11"/>
        <color rgb="FF533001"/>
        <rFont val="Times New Roman"/>
        <family val="1"/>
      </rPr>
      <t>j</t>
    </r>
  </si>
  <si>
    <t>E (Method 1)</t>
  </si>
  <si>
    <r>
      <t>EF</t>
    </r>
    <r>
      <rPr>
        <b/>
        <vertAlign val="subscript"/>
        <sz val="11"/>
        <color rgb="FF533001"/>
        <rFont val="Times New Roman"/>
        <family val="1"/>
      </rPr>
      <t>j</t>
    </r>
    <r>
      <rPr>
        <b/>
        <sz val="11"/>
        <color rgb="FF533001"/>
        <rFont val="Times New Roman"/>
        <family val="1"/>
      </rPr>
      <t xml:space="preserve"> (Method 2)</t>
    </r>
  </si>
  <si>
    <t>E (Method 2)</t>
  </si>
  <si>
    <r>
      <t>EF</t>
    </r>
    <r>
      <rPr>
        <b/>
        <vertAlign val="subscript"/>
        <sz val="11"/>
        <color rgb="FF183C1B"/>
        <rFont val="Times New Roman"/>
        <family val="1"/>
      </rPr>
      <t>j</t>
    </r>
    <r>
      <rPr>
        <b/>
        <sz val="11"/>
        <color rgb="FF183C1B"/>
        <rFont val="Times New Roman"/>
        <family val="1"/>
      </rPr>
      <t xml:space="preserve"> (Method 1)</t>
    </r>
  </si>
  <si>
    <t xml:space="preserve">The method 1 product EF is calculated by multiplying the EF of each ingredient by the fraction of that ingredient in the product, then adding them all together. </t>
  </si>
  <si>
    <t>This is to allow for comparison with a method 2 product EF that might be provided by the supplier.</t>
  </si>
  <si>
    <t>If using an EF value from the manufacturer, make sure theirs is derived from the ingredients only to ensure a valid comparison with method 1 EF</t>
  </si>
  <si>
    <r>
      <t>Q</t>
    </r>
    <r>
      <rPr>
        <b/>
        <vertAlign val="subscript"/>
        <sz val="11"/>
        <color rgb="FF533001"/>
        <rFont val="Times New Roman"/>
        <family val="1"/>
      </rPr>
      <t>m</t>
    </r>
  </si>
  <si>
    <r>
      <t>EF</t>
    </r>
    <r>
      <rPr>
        <b/>
        <vertAlign val="subscript"/>
        <sz val="11"/>
        <color rgb="FF183C1B"/>
        <rFont val="Times New Roman"/>
        <family val="1"/>
      </rPr>
      <t>m</t>
    </r>
    <r>
      <rPr>
        <b/>
        <sz val="11"/>
        <color rgb="FF183C1B"/>
        <rFont val="Times New Roman"/>
        <family val="1"/>
      </rPr>
      <t xml:space="preserve"> (Method 1)</t>
    </r>
  </si>
  <si>
    <r>
      <t>EF</t>
    </r>
    <r>
      <rPr>
        <b/>
        <vertAlign val="subscript"/>
        <sz val="11"/>
        <color rgb="FF533001"/>
        <rFont val="Times New Roman"/>
        <family val="1"/>
      </rPr>
      <t>m</t>
    </r>
    <r>
      <rPr>
        <b/>
        <sz val="11"/>
        <color rgb="FF533001"/>
        <rFont val="Times New Roman"/>
        <family val="1"/>
      </rPr>
      <t xml:space="preserve"> (Method 2)</t>
    </r>
  </si>
  <si>
    <t>E - Poultry (Method 1)</t>
  </si>
  <si>
    <t>E - Poultry (Method 2)</t>
  </si>
  <si>
    <t>E - Pigs (Method 1)</t>
  </si>
  <si>
    <t>E - Pigs (Method 2)</t>
  </si>
  <si>
    <t>E - Dairy cattle (Method 1)</t>
  </si>
  <si>
    <t>E - Dairy cattle (Method 2)</t>
  </si>
  <si>
    <t>E - Beef cattle (Method 1)</t>
  </si>
  <si>
    <t>E - Beef cattle (Method 2)</t>
  </si>
  <si>
    <t>E - Fertiliser components (Method 1)</t>
  </si>
  <si>
    <t>E- Product (Method 1)</t>
  </si>
  <si>
    <t>E- Product (Method 2)</t>
  </si>
  <si>
    <t>E - Fertiliser components (Method 2)</t>
  </si>
  <si>
    <t>Fertiliser custom blends</t>
  </si>
  <si>
    <r>
      <t>EF</t>
    </r>
    <r>
      <rPr>
        <b/>
        <vertAlign val="subscript"/>
        <sz val="11"/>
        <color rgb="FF183C1B"/>
        <rFont val="Times New Roman"/>
        <family val="1"/>
      </rPr>
      <t xml:space="preserve">c - </t>
    </r>
    <r>
      <rPr>
        <b/>
        <sz val="11"/>
        <color rgb="FF183C1B"/>
        <rFont val="Times New Roman"/>
        <family val="1"/>
      </rPr>
      <t>Ingredient 1 (Method 1)</t>
    </r>
  </si>
  <si>
    <r>
      <t>EF</t>
    </r>
    <r>
      <rPr>
        <b/>
        <vertAlign val="subscript"/>
        <sz val="11"/>
        <color rgb="FF533001"/>
        <rFont val="Times New Roman"/>
        <family val="1"/>
      </rPr>
      <t>c</t>
    </r>
    <r>
      <rPr>
        <b/>
        <sz val="11"/>
        <color rgb="FF533001"/>
        <rFont val="Times New Roman"/>
        <family val="1"/>
      </rPr>
      <t xml:space="preserve"> - Ingredient 1 (Method 2)</t>
    </r>
  </si>
  <si>
    <r>
      <t>EF</t>
    </r>
    <r>
      <rPr>
        <b/>
        <vertAlign val="subscript"/>
        <sz val="11"/>
        <color rgb="FF183C1B"/>
        <rFont val="Times New Roman"/>
        <family val="1"/>
      </rPr>
      <t xml:space="preserve">c - </t>
    </r>
    <r>
      <rPr>
        <b/>
        <sz val="11"/>
        <color rgb="FF183C1B"/>
        <rFont val="Times New Roman"/>
        <family val="1"/>
      </rPr>
      <t>Ingredient 2 (Method 1)</t>
    </r>
  </si>
  <si>
    <r>
      <t>EF</t>
    </r>
    <r>
      <rPr>
        <b/>
        <vertAlign val="subscript"/>
        <sz val="11"/>
        <color rgb="FF533001"/>
        <rFont val="Times New Roman"/>
        <family val="1"/>
      </rPr>
      <t>c</t>
    </r>
    <r>
      <rPr>
        <b/>
        <sz val="11"/>
        <color rgb="FF533001"/>
        <rFont val="Times New Roman"/>
        <family val="1"/>
      </rPr>
      <t xml:space="preserve"> - Ingredient 2 (Method 2)</t>
    </r>
  </si>
  <si>
    <r>
      <t>EF</t>
    </r>
    <r>
      <rPr>
        <b/>
        <vertAlign val="subscript"/>
        <sz val="11"/>
        <color rgb="FF183C1B"/>
        <rFont val="Times New Roman"/>
        <family val="1"/>
      </rPr>
      <t xml:space="preserve">c - </t>
    </r>
    <r>
      <rPr>
        <b/>
        <sz val="11"/>
        <color rgb="FF183C1B"/>
        <rFont val="Times New Roman"/>
        <family val="1"/>
      </rPr>
      <t>Ingredient 3 (Method 1)</t>
    </r>
  </si>
  <si>
    <r>
      <t>EF</t>
    </r>
    <r>
      <rPr>
        <b/>
        <vertAlign val="subscript"/>
        <sz val="11"/>
        <color rgb="FF533001"/>
        <rFont val="Times New Roman"/>
        <family val="1"/>
      </rPr>
      <t>c</t>
    </r>
    <r>
      <rPr>
        <b/>
        <sz val="11"/>
        <color rgb="FF533001"/>
        <rFont val="Times New Roman"/>
        <family val="1"/>
      </rPr>
      <t xml:space="preserve"> - Ingredient 3 (Method 2)</t>
    </r>
  </si>
  <si>
    <r>
      <t>EF</t>
    </r>
    <r>
      <rPr>
        <b/>
        <vertAlign val="subscript"/>
        <sz val="11"/>
        <color rgb="FF183C1B"/>
        <rFont val="Times New Roman"/>
        <family val="1"/>
      </rPr>
      <t xml:space="preserve">c - </t>
    </r>
    <r>
      <rPr>
        <b/>
        <sz val="11"/>
        <color rgb="FF183C1B"/>
        <rFont val="Times New Roman"/>
        <family val="1"/>
      </rPr>
      <t>Ingredient 4 (Method 1)</t>
    </r>
  </si>
  <si>
    <r>
      <t>EF</t>
    </r>
    <r>
      <rPr>
        <b/>
        <vertAlign val="subscript"/>
        <sz val="11"/>
        <color rgb="FF533001"/>
        <rFont val="Times New Roman"/>
        <family val="1"/>
      </rPr>
      <t>c</t>
    </r>
    <r>
      <rPr>
        <b/>
        <sz val="11"/>
        <color rgb="FF533001"/>
        <rFont val="Times New Roman"/>
        <family val="1"/>
      </rPr>
      <t xml:space="preserve"> - Ingredient 4 (Method 2)</t>
    </r>
  </si>
  <si>
    <r>
      <t>EF</t>
    </r>
    <r>
      <rPr>
        <b/>
        <vertAlign val="subscript"/>
        <sz val="11"/>
        <color rgb="FF183C1B"/>
        <rFont val="Times New Roman"/>
        <family val="1"/>
      </rPr>
      <t xml:space="preserve">c - </t>
    </r>
    <r>
      <rPr>
        <b/>
        <sz val="11"/>
        <color rgb="FF183C1B"/>
        <rFont val="Times New Roman"/>
        <family val="1"/>
      </rPr>
      <t>Ingredient 5 (Method 1)</t>
    </r>
  </si>
  <si>
    <r>
      <t>EF</t>
    </r>
    <r>
      <rPr>
        <b/>
        <vertAlign val="subscript"/>
        <sz val="11"/>
        <color rgb="FF533001"/>
        <rFont val="Times New Roman"/>
        <family val="1"/>
      </rPr>
      <t>c</t>
    </r>
    <r>
      <rPr>
        <b/>
        <sz val="11"/>
        <color rgb="FF533001"/>
        <rFont val="Times New Roman"/>
        <family val="1"/>
      </rPr>
      <t xml:space="preserve"> - Ingredient 5 (Method 2)</t>
    </r>
  </si>
  <si>
    <r>
      <t>EF</t>
    </r>
    <r>
      <rPr>
        <b/>
        <vertAlign val="subscript"/>
        <sz val="11"/>
        <color rgb="FF183C1B"/>
        <rFont val="Times New Roman"/>
        <family val="1"/>
      </rPr>
      <t xml:space="preserve">c - </t>
    </r>
    <r>
      <rPr>
        <b/>
        <sz val="11"/>
        <color rgb="FF183C1B"/>
        <rFont val="Times New Roman"/>
        <family val="1"/>
      </rPr>
      <t>Ingredient 6 (Method 1)</t>
    </r>
  </si>
  <si>
    <r>
      <t>EF</t>
    </r>
    <r>
      <rPr>
        <b/>
        <vertAlign val="subscript"/>
        <sz val="11"/>
        <color rgb="FF533001"/>
        <rFont val="Times New Roman"/>
        <family val="1"/>
      </rPr>
      <t>c</t>
    </r>
    <r>
      <rPr>
        <b/>
        <sz val="11"/>
        <color rgb="FF533001"/>
        <rFont val="Times New Roman"/>
        <family val="1"/>
      </rPr>
      <t xml:space="preserve"> - Ingredient 6 (Method 2)</t>
    </r>
  </si>
  <si>
    <r>
      <t>EF</t>
    </r>
    <r>
      <rPr>
        <b/>
        <vertAlign val="subscript"/>
        <sz val="11"/>
        <color rgb="FF183C1B"/>
        <rFont val="Times New Roman"/>
        <family val="1"/>
      </rPr>
      <t>f</t>
    </r>
    <r>
      <rPr>
        <b/>
        <sz val="11"/>
        <color rgb="FF183C1B"/>
        <rFont val="Times New Roman"/>
        <family val="1"/>
      </rPr>
      <t xml:space="preserve"> (Method 1)</t>
    </r>
  </si>
  <si>
    <r>
      <t>EF</t>
    </r>
    <r>
      <rPr>
        <b/>
        <vertAlign val="subscript"/>
        <sz val="11"/>
        <color rgb="FF533001"/>
        <rFont val="Times New Roman"/>
        <family val="1"/>
      </rPr>
      <t>f</t>
    </r>
    <r>
      <rPr>
        <b/>
        <sz val="11"/>
        <color rgb="FF533001"/>
        <rFont val="Times New Roman"/>
        <family val="1"/>
      </rPr>
      <t xml:space="preserve"> (Method 2)</t>
    </r>
  </si>
  <si>
    <t>Scope 3 emissions are calculated on a maximum of 20 custom fertiliser blends</t>
  </si>
  <si>
    <t>E (Method 1) - Product EF</t>
  </si>
  <si>
    <t>E (Method 2) - Product EF</t>
  </si>
  <si>
    <t>E (Method 1) - Component EF</t>
  </si>
  <si>
    <t>E (Method 2) - Component EF</t>
  </si>
  <si>
    <t>2,4-D</t>
  </si>
  <si>
    <t>Metolachlor</t>
  </si>
  <si>
    <t>Glyphosate</t>
  </si>
  <si>
    <t>Tribenuron methyl</t>
  </si>
  <si>
    <t>Trifluralin</t>
  </si>
  <si>
    <t>Active ingredient type</t>
  </si>
  <si>
    <r>
      <t>EF</t>
    </r>
    <r>
      <rPr>
        <b/>
        <vertAlign val="subscript"/>
        <sz val="11"/>
        <color rgb="FF183C1B"/>
        <rFont val="Times New Roman"/>
        <family val="1"/>
      </rPr>
      <t>h</t>
    </r>
    <r>
      <rPr>
        <b/>
        <sz val="11"/>
        <color rgb="FF183C1B"/>
        <rFont val="Times New Roman"/>
        <family val="1"/>
      </rPr>
      <t xml:space="preserve"> (Method 1)</t>
    </r>
  </si>
  <si>
    <r>
      <t>EF</t>
    </r>
    <r>
      <rPr>
        <b/>
        <vertAlign val="subscript"/>
        <sz val="11"/>
        <color rgb="FF533001"/>
        <rFont val="Times New Roman"/>
        <family val="1"/>
      </rPr>
      <t>h</t>
    </r>
    <r>
      <rPr>
        <b/>
        <sz val="11"/>
        <color rgb="FF533001"/>
        <rFont val="Times New Roman"/>
        <family val="1"/>
      </rPr>
      <t xml:space="preserve"> (Method 2)</t>
    </r>
  </si>
  <si>
    <t>Total amount (t)</t>
  </si>
  <si>
    <t>E(Method 2)</t>
  </si>
  <si>
    <r>
      <t>EF</t>
    </r>
    <r>
      <rPr>
        <vertAlign val="subscript"/>
        <sz val="12"/>
        <color theme="1" tint="0.24994659260841701"/>
        <rFont val="Times New Roman"/>
        <family val="1"/>
      </rPr>
      <t>l</t>
    </r>
    <r>
      <rPr>
        <sz val="12"/>
        <color theme="1" tint="0.24994659260841701"/>
        <rFont val="Times New Roman"/>
        <family val="1"/>
      </rPr>
      <t xml:space="preserve"> - Lime</t>
    </r>
  </si>
  <si>
    <r>
      <t>EF</t>
    </r>
    <r>
      <rPr>
        <vertAlign val="subscript"/>
        <sz val="12"/>
        <color theme="1" tint="0.24994659260841701"/>
        <rFont val="Times New Roman"/>
        <family val="1"/>
      </rPr>
      <t>l</t>
    </r>
    <r>
      <rPr>
        <sz val="12"/>
        <color theme="1" tint="0.24994659260841701"/>
        <rFont val="Times New Roman"/>
        <family val="1"/>
      </rPr>
      <t xml:space="preserve"> - Dolomite</t>
    </r>
  </si>
  <si>
    <r>
      <t>EF</t>
    </r>
    <r>
      <rPr>
        <vertAlign val="subscript"/>
        <sz val="12"/>
        <color theme="1" tint="0.24994659260841701"/>
        <rFont val="Times New Roman"/>
        <family val="1"/>
      </rPr>
      <t>l</t>
    </r>
    <r>
      <rPr>
        <sz val="12"/>
        <color theme="1" tint="0.24994659260841701"/>
        <rFont val="Times New Roman"/>
        <family val="1"/>
      </rPr>
      <t xml:space="preserve"> - Gypsum</t>
    </r>
  </si>
  <si>
    <r>
      <t>M</t>
    </r>
    <r>
      <rPr>
        <b/>
        <vertAlign val="subscript"/>
        <sz val="11"/>
        <color rgb="FF533001"/>
        <rFont val="Times New Roman"/>
        <family val="1"/>
      </rPr>
      <t>lime</t>
    </r>
    <r>
      <rPr>
        <b/>
        <sz val="11"/>
        <color rgb="FF533001"/>
        <rFont val="Times New Roman"/>
        <family val="1"/>
      </rPr>
      <t xml:space="preserve"> - Lime</t>
    </r>
  </si>
  <si>
    <r>
      <t>M</t>
    </r>
    <r>
      <rPr>
        <b/>
        <vertAlign val="subscript"/>
        <sz val="11"/>
        <color rgb="FF533001"/>
        <rFont val="Times New Roman"/>
        <family val="1"/>
      </rPr>
      <t>lime</t>
    </r>
    <r>
      <rPr>
        <b/>
        <sz val="11"/>
        <color rgb="FF533001"/>
        <rFont val="Times New Roman"/>
        <family val="1"/>
      </rPr>
      <t xml:space="preserve"> - Dolomite</t>
    </r>
  </si>
  <si>
    <r>
      <t>M</t>
    </r>
    <r>
      <rPr>
        <b/>
        <vertAlign val="subscript"/>
        <sz val="11"/>
        <color rgb="FF533001"/>
        <rFont val="Times New Roman"/>
        <family val="1"/>
      </rPr>
      <t>lime</t>
    </r>
    <r>
      <rPr>
        <b/>
        <sz val="11"/>
        <color rgb="FF533001"/>
        <rFont val="Times New Roman"/>
        <family val="1"/>
      </rPr>
      <t xml:space="preserve"> - Gypsum</t>
    </r>
  </si>
  <si>
    <r>
      <t xml:space="preserve">⚠️ </t>
    </r>
    <r>
      <rPr>
        <b/>
        <sz val="12"/>
        <color rgb="FFC44340"/>
        <rFont val="Times New Roman"/>
        <family val="1"/>
      </rPr>
      <t>ALERT:</t>
    </r>
    <r>
      <rPr>
        <sz val="12"/>
        <color rgb="FFC44340"/>
        <rFont val="Times New Roman"/>
        <family val="1"/>
      </rPr>
      <t xml:space="preserve"> No Method 1 EF data for purchased services and contractor operations is in </t>
    </r>
    <r>
      <rPr>
        <i/>
        <sz val="12"/>
        <color rgb="FFC44340"/>
        <rFont val="Times New Roman"/>
        <family val="1"/>
      </rPr>
      <t>Greenhouse Gas Emission Intensities for Material Inputs to Australian Agriculture, Fisheries and Forestry</t>
    </r>
    <r>
      <rPr>
        <sz val="12"/>
        <color rgb="FFC44340"/>
        <rFont val="Times New Roman"/>
        <family val="1"/>
      </rPr>
      <t>. Use method 2 EF values from your chosen data source.</t>
    </r>
  </si>
  <si>
    <r>
      <t>Q</t>
    </r>
    <r>
      <rPr>
        <b/>
        <vertAlign val="subscript"/>
        <sz val="12"/>
        <color theme="1"/>
        <rFont val="Times New Roman"/>
        <family val="1"/>
      </rPr>
      <t>p</t>
    </r>
    <r>
      <rPr>
        <b/>
        <sz val="12"/>
        <color theme="1"/>
        <rFont val="Times New Roman"/>
        <family val="2"/>
      </rPr>
      <t xml:space="preserve"> (kg)</t>
    </r>
  </si>
  <si>
    <r>
      <t>EF</t>
    </r>
    <r>
      <rPr>
        <b/>
        <vertAlign val="subscript"/>
        <sz val="11"/>
        <color rgb="FF183C1B"/>
        <rFont val="Times New Roman"/>
        <family val="1"/>
      </rPr>
      <t xml:space="preserve">p </t>
    </r>
    <r>
      <rPr>
        <b/>
        <sz val="11"/>
        <color rgb="FF183C1B"/>
        <rFont val="Times New Roman"/>
        <family val="1"/>
      </rPr>
      <t>(Method 1)</t>
    </r>
  </si>
  <si>
    <r>
      <t>EF</t>
    </r>
    <r>
      <rPr>
        <b/>
        <vertAlign val="subscript"/>
        <sz val="11"/>
        <color rgb="FF533001"/>
        <rFont val="Times New Roman"/>
        <family val="1"/>
      </rPr>
      <t>p</t>
    </r>
    <r>
      <rPr>
        <b/>
        <sz val="11"/>
        <color rgb="FF533001"/>
        <rFont val="Times New Roman"/>
        <family val="1"/>
      </rPr>
      <t xml:space="preserve"> (Method 2)</t>
    </r>
  </si>
  <si>
    <t>Grow Media</t>
  </si>
  <si>
    <t>Grow media type</t>
  </si>
  <si>
    <t>m3</t>
  </si>
  <si>
    <t>Coir</t>
  </si>
  <si>
    <t>Peat moss</t>
  </si>
  <si>
    <t>tiny gravel</t>
  </si>
  <si>
    <t>Something</t>
  </si>
  <si>
    <t>EF (Method 2) Unit</t>
  </si>
  <si>
    <t>t / amount unit</t>
  </si>
  <si>
    <t>VARIATION ON SOURCE: In order for result to be in t CO2e, convert known EF kg values to tonnes by multiplying by 10^-3, and added a check for EF unit where EF is not constant.</t>
  </si>
  <si>
    <t>Amount (kg)</t>
  </si>
  <si>
    <t>Miscellaneous Inputs</t>
  </si>
  <si>
    <t>Uncategorised products with no Method 1 EF data</t>
  </si>
  <si>
    <t>Metro</t>
  </si>
  <si>
    <t>Non-metro</t>
  </si>
  <si>
    <t>8.1.1.1-2 Transport fuel combustion</t>
  </si>
  <si>
    <r>
      <t>EC</t>
    </r>
    <r>
      <rPr>
        <b/>
        <vertAlign val="subscript"/>
        <sz val="11"/>
        <color rgb="FF183C1B"/>
        <rFont val="Times New Roman"/>
        <family val="1"/>
      </rPr>
      <t>Trans,q</t>
    </r>
  </si>
  <si>
    <r>
      <t>EF</t>
    </r>
    <r>
      <rPr>
        <b/>
        <vertAlign val="subscript"/>
        <sz val="11"/>
        <color rgb="FF183C1B"/>
        <rFont val="Times New Roman"/>
        <family val="1"/>
      </rPr>
      <t>Trans,1,q,g=CO2</t>
    </r>
  </si>
  <si>
    <r>
      <t>EF</t>
    </r>
    <r>
      <rPr>
        <b/>
        <vertAlign val="subscript"/>
        <sz val="11"/>
        <color rgb="FF183C1B"/>
        <rFont val="Times New Roman"/>
        <family val="1"/>
      </rPr>
      <t>Trans,1,q,g=CH4</t>
    </r>
  </si>
  <si>
    <r>
      <t>EF</t>
    </r>
    <r>
      <rPr>
        <b/>
        <vertAlign val="subscript"/>
        <sz val="11"/>
        <color rgb="FF183C1B"/>
        <rFont val="Times New Roman"/>
        <family val="1"/>
      </rPr>
      <t>Trans,1,q,g=N20</t>
    </r>
  </si>
  <si>
    <r>
      <t>EF</t>
    </r>
    <r>
      <rPr>
        <b/>
        <vertAlign val="subscript"/>
        <sz val="11"/>
        <color rgb="FF183C1B"/>
        <rFont val="Times New Roman"/>
        <family val="1"/>
      </rPr>
      <t>Trans,3,q</t>
    </r>
  </si>
  <si>
    <r>
      <t>Q</t>
    </r>
    <r>
      <rPr>
        <b/>
        <vertAlign val="subscript"/>
        <sz val="11"/>
        <color rgb="FF533001"/>
        <rFont val="Times New Roman"/>
        <family val="1"/>
      </rPr>
      <t>Trans,q</t>
    </r>
  </si>
  <si>
    <t>Q unit</t>
  </si>
  <si>
    <r>
      <t>E</t>
    </r>
    <r>
      <rPr>
        <b/>
        <vertAlign val="subscript"/>
        <sz val="11"/>
        <color rgb="FF183C1B"/>
        <rFont val="Times New Roman"/>
        <family val="1"/>
      </rPr>
      <t>g=CO2</t>
    </r>
  </si>
  <si>
    <r>
      <t>E</t>
    </r>
    <r>
      <rPr>
        <b/>
        <vertAlign val="subscript"/>
        <sz val="11"/>
        <color rgb="FF183C1B"/>
        <rFont val="Times New Roman"/>
        <family val="1"/>
      </rPr>
      <t>g=CH4</t>
    </r>
  </si>
  <si>
    <r>
      <t>E</t>
    </r>
    <r>
      <rPr>
        <b/>
        <vertAlign val="subscript"/>
        <sz val="11"/>
        <color rgb="FF183C1B"/>
        <rFont val="Times New Roman"/>
        <family val="1"/>
      </rPr>
      <t>g=N20</t>
    </r>
  </si>
  <si>
    <r>
      <t>E</t>
    </r>
    <r>
      <rPr>
        <b/>
        <vertAlign val="subscript"/>
        <sz val="11"/>
        <color rgb="FF183C1B"/>
        <rFont val="Times New Roman"/>
        <family val="1"/>
      </rPr>
      <t>3WTT,trans,q</t>
    </r>
  </si>
  <si>
    <t>CO2</t>
  </si>
  <si>
    <t>CH4</t>
  </si>
  <si>
    <t>N2O</t>
  </si>
  <si>
    <t>Scope 3</t>
  </si>
  <si>
    <t>Total sope 1 - All transport fuel combustion</t>
  </si>
  <si>
    <t>8.2.1.1-2 Stationary fuel combustion</t>
  </si>
  <si>
    <t>Emissions for stationary fuel combustion</t>
  </si>
  <si>
    <r>
      <t>EC</t>
    </r>
    <r>
      <rPr>
        <b/>
        <vertAlign val="subscript"/>
        <sz val="11"/>
        <color rgb="FF183C1B"/>
        <rFont val="Times New Roman"/>
        <family val="1"/>
      </rPr>
      <t>SC,q</t>
    </r>
  </si>
  <si>
    <r>
      <t>EF</t>
    </r>
    <r>
      <rPr>
        <b/>
        <vertAlign val="subscript"/>
        <sz val="11"/>
        <color rgb="FF183C1B"/>
        <rFont val="Times New Roman"/>
        <family val="1"/>
      </rPr>
      <t>SC,1,q,g=CO2</t>
    </r>
  </si>
  <si>
    <r>
      <t>EF</t>
    </r>
    <r>
      <rPr>
        <b/>
        <vertAlign val="subscript"/>
        <sz val="11"/>
        <color rgb="FF183C1B"/>
        <rFont val="Times New Roman"/>
        <family val="1"/>
      </rPr>
      <t>SC,1,q,g=CH4</t>
    </r>
  </si>
  <si>
    <r>
      <t>EF</t>
    </r>
    <r>
      <rPr>
        <b/>
        <vertAlign val="subscript"/>
        <sz val="11"/>
        <color rgb="FF183C1B"/>
        <rFont val="Times New Roman"/>
        <family val="1"/>
      </rPr>
      <t>SC,1,q,g=N20</t>
    </r>
  </si>
  <si>
    <r>
      <t>EF</t>
    </r>
    <r>
      <rPr>
        <b/>
        <vertAlign val="subscript"/>
        <sz val="11"/>
        <color rgb="FF183C1B"/>
        <rFont val="Times New Roman"/>
        <family val="1"/>
      </rPr>
      <t>SC,3,q</t>
    </r>
  </si>
  <si>
    <r>
      <t>Q</t>
    </r>
    <r>
      <rPr>
        <b/>
        <vertAlign val="subscript"/>
        <sz val="11"/>
        <color rgb="FF533001"/>
        <rFont val="Times New Roman"/>
        <family val="1"/>
      </rPr>
      <t>SC,q</t>
    </r>
  </si>
  <si>
    <r>
      <t>E</t>
    </r>
    <r>
      <rPr>
        <b/>
        <vertAlign val="subscript"/>
        <sz val="11"/>
        <color rgb="FF183C1B"/>
        <rFont val="Times New Roman"/>
        <family val="1"/>
      </rPr>
      <t>WTT,SC,q=N20</t>
    </r>
  </si>
  <si>
    <t>Total scope 1 - All stationary fuel use</t>
  </si>
  <si>
    <t>A 'Metropolitan' location is:</t>
  </si>
  <si>
    <t>● On or east of the dividing range in NSW (including Canberra and Queanbeyan)</t>
  </si>
  <si>
    <t>● In Melbourne, Brisbane, Adelaide or Perth</t>
  </si>
  <si>
    <t>Is the property in a Metropolitan location?</t>
  </si>
  <si>
    <t>E</t>
  </si>
  <si>
    <r>
      <t>E</t>
    </r>
    <r>
      <rPr>
        <b/>
        <vertAlign val="subscript"/>
        <sz val="14"/>
        <color theme="1" tint="0.24994659260841701"/>
        <rFont val="Times New Roman"/>
        <family val="1"/>
      </rPr>
      <t>3,elec</t>
    </r>
  </si>
  <si>
    <t>Manure sent off-site</t>
  </si>
  <si>
    <t>kg N</t>
  </si>
  <si>
    <t>Production system where manure is anticipated to be deposited</t>
  </si>
  <si>
    <r>
      <t>E</t>
    </r>
    <r>
      <rPr>
        <b/>
        <vertAlign val="subscript"/>
        <sz val="16"/>
        <color theme="1" tint="0.24994659260841701"/>
        <rFont val="Times New Roman"/>
        <family val="1"/>
      </rPr>
      <t>N2O</t>
    </r>
  </si>
  <si>
    <r>
      <t>E</t>
    </r>
    <r>
      <rPr>
        <vertAlign val="subscript"/>
        <sz val="12"/>
        <color theme="1" tint="0.24994659260841701"/>
        <rFont val="Times New Roman"/>
        <family val="1"/>
      </rPr>
      <t>CO2e</t>
    </r>
  </si>
  <si>
    <r>
      <t>M</t>
    </r>
    <r>
      <rPr>
        <b/>
        <vertAlign val="subscript"/>
        <sz val="12"/>
        <color theme="1" tint="0.24994659260841701"/>
        <rFont val="Times New Roman"/>
        <family val="1"/>
      </rPr>
      <t>vol,inorganic,jf</t>
    </r>
  </si>
  <si>
    <t>Irrigation method where manure is anticipated to be deposited</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</si>
  <si>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</si>
  <si>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</si>
  <si>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</si>
  <si>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</si>
  <si>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</si>
  <si>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</si>
  <si>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</si>
  <si>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</si>
  <si>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</si>
  <si>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</si>
  <si>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</si>
  <si>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</si>
  <si>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r>
      <t>E</t>
    </r>
    <r>
      <rPr>
        <b/>
        <vertAlign val="subscript"/>
        <sz val="16"/>
        <color theme="1" tint="0.24994659260841701"/>
        <rFont val="Times New Roman"/>
        <family val="1"/>
      </rPr>
      <t>ad,inorganic</t>
    </r>
  </si>
  <si>
    <r>
      <t>M</t>
    </r>
    <r>
      <rPr>
        <b/>
        <vertAlign val="subscript"/>
        <sz val="12"/>
        <color theme="1" tint="0.24994659260841701"/>
        <rFont val="Times New Roman"/>
        <family val="1"/>
      </rPr>
      <t>leach,inorganic,jf</t>
    </r>
  </si>
  <si>
    <r>
      <t>E</t>
    </r>
    <r>
      <rPr>
        <b/>
        <vertAlign val="subscript"/>
        <sz val="16"/>
        <color theme="1" tint="0.24994659260841701"/>
        <rFont val="Times New Roman"/>
        <family val="1"/>
      </rPr>
      <t>fert,leach</t>
    </r>
  </si>
  <si>
    <t>For each relevant livestock type:</t>
  </si>
  <si>
    <r>
      <t>Use the 'Mass of nitrogen applied to soil for scope 3 emissions (MNSoil</t>
    </r>
    <r>
      <rPr>
        <vertAlign val="subscript"/>
        <sz val="12"/>
        <color theme="1" tint="0.24994659260841701"/>
        <rFont val="Times New Roman"/>
        <family val="1"/>
      </rPr>
      <t>scope3</t>
    </r>
    <r>
      <rPr>
        <sz val="12"/>
        <color theme="1" tint="0.24994659260841701"/>
        <rFont val="Times New Roman"/>
        <family val="1"/>
      </rPr>
      <t>)' value calculated in the 'Manure applied to soils' equations (Chapter 4 of VEERG)</t>
    </r>
  </si>
  <si>
    <t>Constants - Solid Waste</t>
  </si>
  <si>
    <t>Table_WasteTypes_Landfill</t>
  </si>
  <si>
    <t>Table_WasteTypes_Incineration</t>
  </si>
  <si>
    <t>Table_WasteTypes_Composting</t>
  </si>
  <si>
    <t>Table_WasteTypes_Anaerobicdigestion</t>
  </si>
  <si>
    <t>Treatment type t</t>
  </si>
  <si>
    <t>Waste type w</t>
  </si>
  <si>
    <t>EFwt</t>
  </si>
  <si>
    <t>EF source</t>
  </si>
  <si>
    <t>VTMw</t>
  </si>
  <si>
    <t>Treatment type (select)</t>
  </si>
  <si>
    <t>Waste type (select)</t>
  </si>
  <si>
    <t>Treatment location (select)</t>
  </si>
  <si>
    <t>Amount unit (select)</t>
  </si>
  <si>
    <t>Incineration</t>
  </si>
  <si>
    <t>Paper and cardboard</t>
  </si>
  <si>
    <t>Removed and treated off-site</t>
  </si>
  <si>
    <t>cubic metres m3</t>
  </si>
  <si>
    <t>tonnes</t>
  </si>
  <si>
    <t>Landfill</t>
  </si>
  <si>
    <t>Food waste (including animal carcasses, spoiled animal feed or crop)</t>
  </si>
  <si>
    <t>10.1.1-2 Solid waste treatment</t>
  </si>
  <si>
    <t>Table_V_w_t_onsite</t>
  </si>
  <si>
    <t>Volume of solid waste treated on-site (scope 1)</t>
  </si>
  <si>
    <t>Treatment</t>
  </si>
  <si>
    <t>Waste type</t>
  </si>
  <si>
    <t>Vwt</t>
  </si>
  <si>
    <r>
      <t>VTM</t>
    </r>
    <r>
      <rPr>
        <b/>
        <vertAlign val="subscript"/>
        <sz val="11"/>
        <color rgb="FF183C1B"/>
        <rFont val="Times New Roman"/>
        <family val="1"/>
      </rPr>
      <t>w</t>
    </r>
  </si>
  <si>
    <r>
      <t>Q</t>
    </r>
    <r>
      <rPr>
        <b/>
        <vertAlign val="subscript"/>
        <sz val="11"/>
        <color rgb="FF183C1B"/>
        <rFont val="Times New Roman"/>
        <family val="1"/>
      </rPr>
      <t>wt</t>
    </r>
  </si>
  <si>
    <t>Table_V_w_t_offsite</t>
  </si>
  <si>
    <t>Volume of solid waste sent offsite for treatment by third party (scope 3)</t>
  </si>
  <si>
    <t>Table_E_g_onsite</t>
  </si>
  <si>
    <t>Emissions from waste management of waste treated on-site (scope 1)</t>
  </si>
  <si>
    <r>
      <rPr>
        <b/>
        <sz val="16"/>
        <color theme="1" tint="0.24994659260841701"/>
        <rFont val="Times New Roman"/>
        <family val="1"/>
      </rPr>
      <t>E</t>
    </r>
    <r>
      <rPr>
        <b/>
        <vertAlign val="subscript"/>
        <sz val="16"/>
        <color theme="1" tint="0.24994659260841701"/>
        <rFont val="Times New Roman"/>
        <family val="1"/>
      </rPr>
      <t>g</t>
    </r>
  </si>
  <si>
    <t>Table_E_g_offsite</t>
  </si>
  <si>
    <t>Emissions from waste management of waste taken off-site (scope 3)</t>
  </si>
  <si>
    <t>Incoming freight</t>
  </si>
  <si>
    <t>Route</t>
  </si>
  <si>
    <t>Route name</t>
  </si>
  <si>
    <t>Average weight of freight per trip (t)</t>
  </si>
  <si>
    <t>Number of trips taken</t>
  </si>
  <si>
    <t>Freight type (select)</t>
  </si>
  <si>
    <t>Route distance (km)</t>
  </si>
  <si>
    <t>Transport in truck</t>
  </si>
  <si>
    <t>Outgoing freight</t>
  </si>
  <si>
    <t>Melbourne depot to farm depot weekly</t>
  </si>
  <si>
    <t>Farm to bulk handler</t>
  </si>
  <si>
    <t>Fertiliser supplier to farm</t>
  </si>
  <si>
    <t>Rail</t>
  </si>
  <si>
    <r>
      <t>W</t>
    </r>
    <r>
      <rPr>
        <b/>
        <vertAlign val="subscript"/>
        <sz val="11"/>
        <color rgb="FF533001"/>
        <rFont val="Times New Roman"/>
        <family val="1"/>
      </rPr>
      <t>f</t>
    </r>
    <r>
      <rPr>
        <b/>
        <sz val="11"/>
        <color rgb="FF533001"/>
        <rFont val="Times New Roman"/>
        <family val="1"/>
      </rPr>
      <t xml:space="preserve"> (t)</t>
    </r>
  </si>
  <si>
    <r>
      <t>D</t>
    </r>
    <r>
      <rPr>
        <b/>
        <vertAlign val="subscript"/>
        <sz val="11"/>
        <color rgb="FF533001"/>
        <rFont val="Times New Roman"/>
        <family val="1"/>
      </rPr>
      <t>f</t>
    </r>
    <r>
      <rPr>
        <b/>
        <sz val="11"/>
        <color rgb="FF533001"/>
        <rFont val="Times New Roman"/>
        <family val="1"/>
      </rPr>
      <t xml:space="preserve"> (km)</t>
    </r>
  </si>
  <si>
    <r>
      <t>EF</t>
    </r>
    <r>
      <rPr>
        <b/>
        <vertAlign val="superscript"/>
        <sz val="11"/>
        <color rgb="FF183C1B"/>
        <rFont val="Times New Roman"/>
        <family val="1"/>
      </rPr>
      <t>f</t>
    </r>
    <r>
      <rPr>
        <b/>
        <sz val="11"/>
        <color rgb="FF183C1B"/>
        <rFont val="Times New Roman"/>
        <family val="1"/>
      </rPr>
      <t xml:space="preserve"> (Method 1)</t>
    </r>
  </si>
  <si>
    <t>No data</t>
  </si>
  <si>
    <t>E - Outgoing freight (Method 1)</t>
  </si>
  <si>
    <t>E - Outgoing freight (Method 2)</t>
  </si>
  <si>
    <t>E - Incoming freight (Method 1)</t>
  </si>
  <si>
    <t>E - Incoming freight (Method 2)</t>
  </si>
  <si>
    <t>Livestock pharmacy chemicals</t>
  </si>
  <si>
    <t>Input - Farm inputs</t>
  </si>
  <si>
    <t>Input - Freight</t>
  </si>
  <si>
    <t>Soil ameliorants (lime)</t>
  </si>
  <si>
    <t>15 Scope 3 emissions</t>
  </si>
  <si>
    <t>13: Sope 3 emissions: Overview</t>
  </si>
  <si>
    <t>13: Sope 3 emissions: Results</t>
  </si>
  <si>
    <t>Emissions breakdown</t>
  </si>
  <si>
    <t>💡 NOTE: When there is no Method 2, the Method 2 result are the same as Method 1</t>
  </si>
  <si>
    <t>Scope 1 source</t>
  </si>
  <si>
    <t>CO2-e emissions method 1</t>
  </si>
  <si>
    <t>CO2-e emissions method 2</t>
  </si>
  <si>
    <t>t CO2e</t>
  </si>
  <si>
    <t>How do you want to calculate electricity emissions?</t>
  </si>
  <si>
    <t>Location-based (simpler)</t>
  </si>
  <si>
    <t>Jersey crossbred</t>
  </si>
  <si>
    <t>Ayrshire</t>
  </si>
  <si>
    <t>Cereal silage</t>
  </si>
  <si>
    <t>Not used</t>
  </si>
  <si>
    <r>
      <t>Q</t>
    </r>
    <r>
      <rPr>
        <b/>
        <vertAlign val="subscript"/>
        <sz val="11"/>
        <color rgb="FF533001"/>
        <rFont val="Times New Roman"/>
        <family val="1"/>
      </rPr>
      <t>masswt</t>
    </r>
  </si>
  <si>
    <r>
      <t>Q</t>
    </r>
    <r>
      <rPr>
        <b/>
        <vertAlign val="subscript"/>
        <sz val="11"/>
        <color rgb="FF183C1B"/>
        <rFont val="Times New Roman"/>
        <family val="1"/>
      </rPr>
      <t>volwt</t>
    </r>
  </si>
  <si>
    <r>
      <t>EF</t>
    </r>
    <r>
      <rPr>
        <b/>
        <vertAlign val="subscript"/>
        <sz val="11"/>
        <color rgb="FF183C1B"/>
        <rFont val="Times New Roman"/>
        <family val="1"/>
      </rPr>
      <t>wtg</t>
    </r>
  </si>
  <si>
    <r>
      <t>E</t>
    </r>
    <r>
      <rPr>
        <b/>
        <vertAlign val="subscript"/>
        <sz val="11"/>
        <color rgb="FF183C1B"/>
        <rFont val="Times New Roman"/>
        <family val="1"/>
      </rPr>
      <t>g</t>
    </r>
  </si>
  <si>
    <t>Summed above</t>
  </si>
  <si>
    <t>-</t>
  </si>
  <si>
    <t>Input - Manure sent off-site</t>
  </si>
  <si>
    <t>Mass of Nitrogen from manure sent offsite (MNSoil) - Method 1</t>
  </si>
  <si>
    <t>Mass of Nitrogen from manure sent offsite (MNSoil) - Method 2</t>
  </si>
  <si>
    <t>Calcs - Manure sent off-site</t>
  </si>
  <si>
    <t>VEERG_15_7_1_1__1_EmissionsFromPurchasedServices_Result_Method1</t>
  </si>
  <si>
    <t>Input - Livestock Purchases</t>
  </si>
  <si>
    <t>Western Australia</t>
  </si>
  <si>
    <r>
      <t xml:space="preserve">Amount applied </t>
    </r>
    <r>
      <rPr>
        <sz val="11"/>
        <color theme="1"/>
        <rFont val="Times New Roman"/>
        <family val="1"/>
      </rPr>
      <t>per hectare</t>
    </r>
  </si>
  <si>
    <t>Aqua Finish</t>
  </si>
  <si>
    <t>CalPhos</t>
  </si>
  <si>
    <t>Aqua Grow</t>
  </si>
  <si>
    <t>Aqua NitroCal</t>
  </si>
  <si>
    <r>
      <t xml:space="preserve">Amount applied </t>
    </r>
    <r>
      <rPr>
        <sz val="11"/>
        <color theme="1"/>
        <rFont val="Times New Roman"/>
        <family val="1"/>
      </rPr>
      <t>(kg / ha)</t>
    </r>
  </si>
  <si>
    <t>Urea source (Select)</t>
  </si>
  <si>
    <t>Ammonia source (select)</t>
  </si>
  <si>
    <t>Zinc - Generic</t>
  </si>
  <si>
    <t>My second custom blend</t>
  </si>
  <si>
    <t>My third custom blend</t>
  </si>
  <si>
    <t>Lime product 3</t>
  </si>
  <si>
    <t>Organic fertiliser applied</t>
  </si>
  <si>
    <t>Organic fertiliser type (select)</t>
  </si>
  <si>
    <t>Percentage of N in fertiliser</t>
  </si>
  <si>
    <t>Amount applied (kg/hectare)</t>
  </si>
  <si>
    <t>Amount N applied (kg/hectare)</t>
  </si>
  <si>
    <t>Total organic fertliser applied</t>
  </si>
  <si>
    <t>Total nitrogen applied (kg)</t>
  </si>
  <si>
    <t>Amount consumed unit</t>
  </si>
  <si>
    <t>Input - Solid waste</t>
  </si>
  <si>
    <t>Solid waste treatment</t>
  </si>
  <si>
    <t>Compost paper and cardboard on site (tonnes)</t>
  </si>
  <si>
    <t>Composting</t>
  </si>
  <si>
    <t>Compost paper and cardboard on site (m3)</t>
  </si>
  <si>
    <t>Treated on-site</t>
  </si>
  <si>
    <t>Compost food waste on site (tonnes)</t>
  </si>
  <si>
    <t>Compost food waste on site (m3)</t>
  </si>
  <si>
    <t>Landfill food waste offsite (tonnes)</t>
  </si>
  <si>
    <t>Landfill food waste offsite (m3)</t>
  </si>
  <si>
    <t>Landfill food waste on site (tonnes)</t>
  </si>
  <si>
    <t>Landfill food waste on site (m3)</t>
  </si>
  <si>
    <t>Landfill Paper offsite (tonnes)</t>
  </si>
  <si>
    <t>Landfill Paper waste offsite (m3)</t>
  </si>
  <si>
    <t>Landfill Paper waste on site (tonnes)</t>
  </si>
  <si>
    <t>Landfill Paper on site (m3)</t>
  </si>
  <si>
    <t>Landfill Green waste offsite (tonnes)</t>
  </si>
  <si>
    <t>Green waste (including crop residues or prunings)</t>
  </si>
  <si>
    <t>Landfill Green waste offsite (m3)</t>
  </si>
  <si>
    <t>Landfill Green waste on site (tonnes)</t>
  </si>
  <si>
    <t>Landfill Green waste on site (m3)</t>
  </si>
  <si>
    <t>Incineration paper and cardboard on site (tonnes)</t>
  </si>
  <si>
    <t>Incineration paper and cardboard on site (m3)</t>
  </si>
  <si>
    <t>Incineration green waste on site (tonnes)</t>
  </si>
  <si>
    <t>Incineration green waste on site (m3)</t>
  </si>
  <si>
    <t>Incineration green waste offsite (tonnes)</t>
  </si>
  <si>
    <t>Incineration green waste offsite (m3)</t>
  </si>
  <si>
    <t>Western Australia - North Western Interconnected System (NWIS)</t>
  </si>
  <si>
    <t>Dec 2020 certs</t>
  </si>
  <si>
    <t>Jan 2022 certs</t>
  </si>
  <si>
    <t>2024 certs</t>
  </si>
  <si>
    <t>Jul 24 certs generated</t>
  </si>
  <si>
    <t>Input Unit</t>
  </si>
  <si>
    <t>L</t>
  </si>
  <si>
    <t xml:space="preserve">Nitrogen - Generic </t>
  </si>
  <si>
    <t>Poultry crop or pasture production systems</t>
  </si>
  <si>
    <t>Constants - Livestock</t>
  </si>
  <si>
    <t>Anaerobic lagoon (m=1)</t>
  </si>
  <si>
    <t>Sump and dispersal system</t>
  </si>
  <si>
    <t>Sump and dispersal system (m=3a)</t>
  </si>
  <si>
    <t>Drains to paddock</t>
  </si>
  <si>
    <t>Drains to paddock (m=3b)</t>
  </si>
  <si>
    <t>Drylot (feed pad)</t>
  </si>
  <si>
    <t>Drylot (feed pad) (m=5)</t>
  </si>
  <si>
    <t>Deep litter (m=8)</t>
  </si>
  <si>
    <t>Pit storage (m=9)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</si>
</sst>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d/mm/yyyy;@"/>
    <numFmt numFmtId="165" formatCode="[$-C09]d\ mmmm\ yyyy;@"/>
    <numFmt numFmtId="166" formatCode="[$-C09]dd\-mmmm\-yyyy;@"/>
    <numFmt numFmtId="167" formatCode="0.000"/>
    <numFmt numFmtId="168" formatCode="_-* #,##0_-;\-* #,##0_-;_-* &quot;-&quot;??_-;_-@_-"/>
    <numFmt numFmtId="169" formatCode="0.00000"/>
    <numFmt numFmtId="170" formatCode="#,##0.000"/>
    <numFmt numFmtId="171" formatCode="#,##0.000000"/>
  </numFmts>
  <fonts count="81" x14ac:knownFonts="1">
    <font>
      <sz val="12"/>
      <color theme="1"/>
      <name val="Times New Roman"/>
      <family val="2"/>
    </font>
    <font>
      <b/>
      <sz val="20"/>
      <color rgb="FF183C1B"/>
      <name val="Times New Roman"/>
      <family val="1"/>
    </font>
    <font>
      <i/>
      <sz val="12"/>
      <color theme="1" tint="0.499984740745262"/>
      <name val="Times New Roman"/>
      <family val="1"/>
    </font>
    <font>
      <sz val="11"/>
      <color theme="1"/>
      <name val="Aptos Narrow"/>
      <family val="2"/>
      <scheme val="minor"/>
    </font>
    <font>
      <b/>
      <sz val="12"/>
      <color theme="1" tint="0.14999847407452621"/>
      <name val="Times New Roman"/>
      <family val="1"/>
    </font>
    <font>
      <b/>
      <sz val="16"/>
      <color theme="0"/>
      <name val="Times New Roman"/>
      <family val="1"/>
    </font>
    <font>
      <sz val="12"/>
      <color theme="1" tint="0.24994659260841701"/>
      <name val="Times New Roman"/>
      <family val="1"/>
    </font>
    <font>
      <sz val="18"/>
      <color theme="1" tint="0.14996795556505021"/>
      <name val="Times New Roman"/>
      <family val="1"/>
    </font>
    <font>
      <sz val="12"/>
      <color rgb="FF008000"/>
      <name val="Times New Roman"/>
      <family val="1"/>
    </font>
    <font>
      <sz val="12"/>
      <color rgb="FFC44340"/>
      <name val="Times New Roman"/>
      <family val="1"/>
    </font>
    <font>
      <i/>
      <sz val="12"/>
      <color theme="1" tint="0.34998626667073579"/>
      <name val="Times New Roman"/>
      <family val="1"/>
    </font>
    <font>
      <sz val="12"/>
      <color theme="1" tint="0.14999847407452621"/>
      <name val="Times New Roman"/>
      <family val="1"/>
    </font>
    <font>
      <sz val="9"/>
      <name val="Times New Roman"/>
      <family val="1"/>
    </font>
    <font>
      <sz val="9"/>
      <color theme="1" tint="0.249977111117893"/>
      <name val="Times New Roman"/>
      <family val="1"/>
    </font>
    <font>
      <sz val="9"/>
      <color rgb="FFCC6600"/>
      <name val="Times New Roman"/>
      <family val="1"/>
    </font>
    <font>
      <sz val="9"/>
      <color theme="1"/>
      <name val="Aptos Narrow"/>
      <family val="2"/>
      <scheme val="minor"/>
    </font>
    <font>
      <sz val="9"/>
      <color rgb="FF008000"/>
      <name val="Times New Roman"/>
      <family val="1"/>
    </font>
    <font>
      <sz val="10"/>
      <color theme="1"/>
      <name val="Aptos Narrow"/>
      <family val="2"/>
      <scheme val="minor"/>
    </font>
    <font>
      <sz val="12"/>
      <color theme="0"/>
      <name val="Times New Roman"/>
      <family val="1"/>
    </font>
    <font>
      <b/>
      <sz val="12"/>
      <color theme="1" tint="0.24994659260841701"/>
      <name val="Times New Roman"/>
      <family val="1"/>
    </font>
    <font>
      <b/>
      <sz val="9"/>
      <name val="Times New Roman"/>
      <family val="1"/>
    </font>
    <font>
      <b/>
      <sz val="20"/>
      <color rgb="FFCC6600"/>
      <name val="Times New Roman"/>
      <family val="1"/>
    </font>
    <font>
      <sz val="12"/>
      <color rgb="FF0070C0"/>
      <name val="Times New Roman"/>
      <family val="1"/>
    </font>
    <font>
      <b/>
      <sz val="11"/>
      <color rgb="FF533001"/>
      <name val="Times New Roman"/>
      <family val="1"/>
    </font>
    <font>
      <sz val="10"/>
      <color theme="1" tint="0.34998626667073579"/>
      <name val="Times New Roman"/>
      <family val="1"/>
    </font>
    <font>
      <i/>
      <sz val="10"/>
      <color theme="1" tint="0.14999847407452621"/>
      <name val="Aptos Narrow"/>
      <family val="1"/>
      <scheme val="minor"/>
    </font>
    <font>
      <b/>
      <sz val="12"/>
      <color rgb="FFCC6600"/>
      <name val="Times New Roman"/>
      <family val="1"/>
    </font>
    <font>
      <b/>
      <sz val="12"/>
      <color theme="0" tint="-0.499984740745262"/>
      <name val="Times New Roman"/>
      <family val="1"/>
    </font>
    <font>
      <sz val="10"/>
      <color theme="0" tint="-0.499984740745262"/>
      <name val="Times New Roman"/>
      <family val="1"/>
    </font>
    <font>
      <b/>
      <sz val="11"/>
      <color rgb="FF183C1B"/>
      <name val="Times New Roman"/>
      <family val="1"/>
    </font>
    <font>
      <sz val="10"/>
      <color theme="1" tint="0.34998626667073579"/>
      <name val="Aptos Narrow"/>
      <family val="2"/>
      <scheme val="minor"/>
    </font>
    <font>
      <sz val="12"/>
      <color theme="0" tint="-4.9989318521683403E-2"/>
      <name val="Times New Roman"/>
      <family val="1"/>
    </font>
    <font>
      <sz val="12"/>
      <color theme="1" tint="0.34998626667073579"/>
      <name val="Times New Roman"/>
      <family val="1"/>
    </font>
    <font>
      <sz val="11"/>
      <name val="Times New Roman"/>
      <family val="1"/>
    </font>
    <font>
      <sz val="12"/>
      <name val="Times New Roman"/>
      <family val="1"/>
    </font>
    <font>
      <sz val="14"/>
      <color theme="1" tint="0.34998626667073579"/>
      <name val="Times New Roman"/>
      <family val="1"/>
    </font>
    <font>
      <sz val="11"/>
      <color theme="1"/>
      <name val="Times New Roman"/>
      <family val="1"/>
    </font>
    <font>
      <b/>
      <sz val="10"/>
      <color theme="1" tint="0.14999847407452621"/>
      <name val="Times New Roman"/>
      <family val="1"/>
    </font>
    <font>
      <b/>
      <vertAlign val="subscript"/>
      <sz val="11"/>
      <color rgb="FF533001"/>
      <name val="Times New Roman"/>
      <family val="1"/>
    </font>
    <font>
      <i/>
      <sz val="12"/>
      <color rgb="FFCC6600"/>
      <name val="Times New Roman"/>
      <family val="1"/>
    </font>
    <font>
      <i/>
      <sz val="10"/>
      <color theme="1" tint="0.34998626667073579"/>
      <name val="Times New Roman"/>
      <family val="1"/>
    </font>
    <font>
      <b/>
      <sz val="12"/>
      <color rgb="FF0070C0"/>
      <name val="Times New Roman"/>
      <family val="1"/>
    </font>
    <font>
      <sz val="12"/>
      <color theme="1"/>
      <name val="Times New Roman"/>
      <family val="1"/>
    </font>
    <font>
      <sz val="12"/>
      <color theme="1" tint="0.1499679555650502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u/>
      <sz val="11"/>
      <color theme="10"/>
      <name val="Aptos Narrow"/>
      <family val="2"/>
      <scheme val="minor"/>
    </font>
    <font>
      <sz val="11"/>
      <color rgb="FF242424"/>
      <name val="Consolas"/>
      <family val="3"/>
    </font>
    <font>
      <sz val="14"/>
      <color theme="5"/>
      <name val="Times New Roman"/>
      <family val="1"/>
    </font>
    <font>
      <b/>
      <sz val="12"/>
      <color theme="1"/>
      <name val="Times New Roman"/>
      <family val="2"/>
    </font>
    <font>
      <sz val="8"/>
      <name val="Times New Roman"/>
      <family val="2"/>
    </font>
    <font>
      <b/>
      <sz val="10"/>
      <color theme="1" tint="0.34998626667073579"/>
      <name val="Times New Roman"/>
      <family val="1"/>
    </font>
    <font>
      <b/>
      <sz val="11"/>
      <color theme="1"/>
      <name val="Aptos Narrow"/>
      <family val="2"/>
      <scheme val="minor"/>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vertAlign val="subscript"/>
      <sz val="12"/>
      <color theme="1"/>
      <name val="Times New Roman"/>
      <family val="1"/>
    </font>
    <font>
      <b/>
      <vertAlign val="subscript"/>
      <sz val="11"/>
      <color rgb="FF183C1B"/>
      <name val="Times New Roman"/>
      <family val="1"/>
    </font>
    <font>
      <sz val="9"/>
      <color theme="1" tint="0.499984740745262"/>
      <name val="Courier New"/>
      <family val="3"/>
    </font>
    <font>
      <vertAlign val="subscript"/>
      <sz val="12"/>
      <color theme="1" tint="0.24994659260841701"/>
      <name val="Times New Roman"/>
      <family val="1"/>
    </font>
    <font>
      <b/>
      <vertAlign val="subscript"/>
      <sz val="12"/>
      <color theme="1" tint="0.24994659260841701"/>
      <name val="Times New Roman"/>
      <family val="1"/>
    </font>
    <font>
      <vertAlign val="subscript"/>
      <sz val="10"/>
      <color theme="1" tint="0.34998626667073579"/>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b/>
      <sz val="14"/>
      <color theme="1" tint="0.24994659260841701"/>
      <name val="Times New Roman"/>
      <family val="1"/>
    </font>
    <font>
      <b/>
      <sz val="12"/>
      <color rgb="FFC44340"/>
      <name val="Times New Roman"/>
      <family val="1"/>
    </font>
    <font>
      <i/>
      <sz val="12"/>
      <color rgb="FFC44340"/>
      <name val="Times New Roman"/>
      <family val="1"/>
    </font>
    <font>
      <sz val="16"/>
      <name val="Times New Roman"/>
      <family val="1"/>
    </font>
    <font>
      <b/>
      <vertAlign val="subscript"/>
      <sz val="14"/>
      <color theme="1" tint="0.24994659260841701"/>
      <name val="Times New Roman"/>
      <family val="1"/>
    </font>
    <font>
      <b/>
      <vertAlign val="subscript"/>
      <sz val="16"/>
      <color theme="1" tint="0.24994659260841701"/>
      <name val="Times New Roman"/>
      <family val="1"/>
    </font>
    <font>
      <b/>
      <vertAlign val="superscript"/>
      <sz val="11"/>
      <color rgb="FF183C1B"/>
      <name val="Times New Roman"/>
      <family val="1"/>
    </font>
    <font>
      <u/>
      <sz val="12"/>
      <color theme="10"/>
      <name val="Times New Roman"/>
      <family val="2"/>
    </font>
    <font>
      <b/>
      <sz val="20"/>
      <color theme="7" tint="-0.499984740745262"/>
      <name val="Times New Roman"/>
      <family val="1"/>
    </font>
    <font>
      <b/>
      <sz val="11"/>
      <color theme="1"/>
      <name val="Aptos Narrow"/>
      <family val="1"/>
      <scheme val="minor"/>
    </font>
    <font>
      <b/>
      <sz val="14"/>
      <color theme="1"/>
      <name val="Aptos Narrow"/>
      <family val="1"/>
      <scheme val="minor"/>
    </font>
    <font>
      <b/>
      <sz val="12"/>
      <color theme="0"/>
      <name val="Times New Roman"/>
      <family val="1"/>
    </font>
    <font>
      <b/>
      <sz val="11"/>
      <color theme="1"/>
      <name val="Times New Roman"/>
      <family val="2"/>
    </font>
    <font>
      <sz val="9"/>
      <color rgb="FF404040"/>
      <name val="Times New Roman"/>
      <family val="1"/>
    </font>
  </fonts>
  <fills count="19">
    <fill>
      <patternFill patternType="none"/>
    </fill>
    <fill>
      <patternFill patternType="gray125"/>
    </fill>
    <fill>
      <patternFill patternType="solid">
        <fgColor theme="0" tint="-4.9989318521683403E-2"/>
        <bgColor indexed="64"/>
      </patternFill>
    </fill>
    <fill>
      <patternFill patternType="solid">
        <fgColor rgb="FF183C1B"/>
        <bgColor indexed="64"/>
      </patternFill>
    </fill>
    <fill>
      <patternFill patternType="solid">
        <fgColor rgb="FFB2D498"/>
        <bgColor indexed="64"/>
      </patternFill>
    </fill>
    <fill>
      <patternFill patternType="solid">
        <fgColor theme="0"/>
        <bgColor indexed="64"/>
      </patternFill>
    </fill>
    <fill>
      <patternFill patternType="solid">
        <fgColor theme="1" tint="0.499984740745262"/>
        <bgColor indexed="64"/>
      </patternFill>
    </fill>
    <fill>
      <patternFill patternType="solid">
        <fgColor rgb="FF533001"/>
        <bgColor indexed="64"/>
      </patternFill>
    </fill>
    <fill>
      <patternFill patternType="solid">
        <fgColor theme="3" tint="0.89996032593768116"/>
        <bgColor indexed="64"/>
      </patternFill>
    </fill>
    <fill>
      <patternFill patternType="solid">
        <fgColor rgb="FFCC6600"/>
        <bgColor indexed="64"/>
      </patternFill>
    </fill>
    <fill>
      <patternFill patternType="solid">
        <fgColor rgb="FFFFCC66"/>
        <bgColor indexed="64"/>
      </patternFill>
    </fill>
    <fill>
      <gradientFill degree="90">
        <stop position="0">
          <color theme="0"/>
        </stop>
        <stop position="1">
          <color theme="0" tint="-5.0965910824915313E-2"/>
        </stop>
      </gradientFill>
    </fill>
    <fill>
      <patternFill patternType="solid">
        <fgColor rgb="FF008000"/>
        <bgColor indexed="64"/>
      </patternFill>
    </fill>
    <fill>
      <patternFill patternType="solid">
        <fgColor rgb="FFFFFF00"/>
        <bgColor indexed="64"/>
      </patternFill>
    </fill>
    <fill>
      <patternFill patternType="solid">
        <fgColor theme="9" tint="0.59999389629810485"/>
        <bgColor indexed="64"/>
      </patternFill>
    </fill>
    <fill>
      <patternFill patternType="solid">
        <fgColor rgb="FFDCECD0"/>
        <bgColor indexed="64"/>
      </patternFill>
    </fill>
    <fill>
      <patternFill patternType="solid">
        <fgColor rgb="FFFFEBC1"/>
        <bgColor indexed="64"/>
      </patternFill>
    </fill>
    <fill>
      <patternFill patternType="solid">
        <fgColor theme="7" tint="-0.499984740745262"/>
        <bgColor indexed="64"/>
      </patternFill>
    </fill>
    <fill>
      <patternFill patternType="solid">
        <fgColor theme="4" tint="-0.249977111117893"/>
        <bgColor indexed="64"/>
      </patternFill>
    </fill>
  </fills>
  <borders count="30">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right/>
      <top style="thin">
        <color indexed="64"/>
      </top>
      <bottom/>
      <diagonal/>
    </border>
    <border>
      <left style="thin">
        <color theme="3" tint="0.749961851863155"/>
      </left>
      <right style="thin">
        <color theme="3" tint="0.749961851863155"/>
      </right>
      <top/>
      <bottom style="thin">
        <color theme="3" tint="0.749961851863155"/>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1" tint="0.499984740745262"/>
      </top>
      <bottom/>
      <diagonal/>
    </border>
    <border>
      <left style="thin">
        <color theme="0" tint="-0.34998626667073579"/>
      </left>
      <right style="thin">
        <color theme="0" tint="-0.34998626667073579"/>
      </right>
      <top style="thin">
        <color theme="0" tint="-0.34998626667073579"/>
      </top>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
      <left/>
      <right/>
      <top/>
      <bottom style="thin">
        <color indexed="64"/>
      </bottom>
      <diagonal/>
    </border>
    <border>
      <left/>
      <right/>
      <top style="thin">
        <color theme="0" tint="-0.34998626667073579"/>
      </top>
      <bottom style="thin">
        <color theme="0" tint="-0.34998626667073579"/>
      </bottom>
      <diagonal/>
    </border>
  </borders>
  <cellStyleXfs count="58">
    <xf numFmtId="0" fontId="0" fillId="0" borderId="0"/>
    <xf numFmtId="0" fontId="1" fillId="0" borderId="0"/>
    <xf numFmtId="0" fontId="2" fillId="0" borderId="0">
      <alignment vertical="center"/>
    </xf>
    <xf numFmtId="0" fontId="3" fillId="0" borderId="0"/>
    <xf numFmtId="0" fontId="4" fillId="2" borderId="0">
      <alignment horizontal="left" vertical="center"/>
    </xf>
    <xf numFmtId="0" fontId="5" fillId="3" borderId="0">
      <alignment vertical="center"/>
    </xf>
    <xf numFmtId="0" fontId="6" fillId="2" borderId="0">
      <alignment horizontal="left" vertical="center"/>
    </xf>
    <xf numFmtId="0" fontId="7" fillId="2" borderId="0">
      <alignment horizontal="left" vertical="center"/>
    </xf>
    <xf numFmtId="0" fontId="8" fillId="2" borderId="0">
      <alignment vertical="center"/>
    </xf>
    <xf numFmtId="0" fontId="9" fillId="2" borderId="0">
      <alignment horizontal="left" vertical="center"/>
    </xf>
    <xf numFmtId="0" fontId="10" fillId="2" borderId="0">
      <alignment horizontal="left" vertical="center"/>
    </xf>
    <xf numFmtId="0" fontId="11" fillId="0" borderId="0">
      <alignment horizontal="left" vertical="center" indent="1"/>
    </xf>
    <xf numFmtId="0" fontId="13" fillId="5" borderId="2">
      <alignment horizontal="left" vertical="center" indent="1"/>
    </xf>
    <xf numFmtId="0" fontId="18" fillId="6" borderId="0">
      <alignment horizontal="left" vertical="center" indent="1"/>
    </xf>
    <xf numFmtId="0" fontId="21" fillId="0" borderId="0"/>
    <xf numFmtId="0" fontId="5" fillId="7" borderId="0">
      <alignment vertical="center"/>
    </xf>
    <xf numFmtId="0" fontId="22" fillId="8" borderId="3">
      <alignment horizontal="left" vertical="center"/>
    </xf>
    <xf numFmtId="0" fontId="18" fillId="9" borderId="0">
      <alignment horizontal="left" vertical="center" indent="1"/>
    </xf>
    <xf numFmtId="0" fontId="23" fillId="10" borderId="0">
      <alignment horizontal="center" vertical="center"/>
      <protection locked="0"/>
    </xf>
    <xf numFmtId="0" fontId="4" fillId="11" borderId="1">
      <alignment horizontal="center" vertical="center"/>
    </xf>
    <xf numFmtId="0" fontId="24" fillId="2" borderId="1">
      <alignment horizontal="center" vertical="center"/>
    </xf>
    <xf numFmtId="9" fontId="11" fillId="0" borderId="1">
      <alignment horizontal="center" vertical="center"/>
    </xf>
    <xf numFmtId="0" fontId="25" fillId="0" borderId="0"/>
    <xf numFmtId="0" fontId="26" fillId="2" borderId="0">
      <alignment horizontal="left" vertical="center"/>
    </xf>
    <xf numFmtId="0" fontId="27" fillId="2" borderId="0">
      <alignment horizontal="left" vertical="center"/>
    </xf>
    <xf numFmtId="0" fontId="28" fillId="2" borderId="0">
      <alignment horizontal="left" vertical="center"/>
    </xf>
    <xf numFmtId="0" fontId="29" fillId="4" borderId="0">
      <alignment horizontal="center" vertical="center"/>
    </xf>
    <xf numFmtId="0" fontId="30" fillId="2" borderId="0" applyNumberFormat="0">
      <alignment horizontal="center" vertical="center"/>
    </xf>
    <xf numFmtId="0" fontId="31" fillId="2" borderId="0">
      <alignment horizontal="left" vertical="center"/>
    </xf>
    <xf numFmtId="0" fontId="10" fillId="2" borderId="0">
      <alignment horizontal="left" vertical="center" indent="1"/>
    </xf>
    <xf numFmtId="0" fontId="11" fillId="0" borderId="1">
      <alignment horizontal="center" vertical="center"/>
    </xf>
    <xf numFmtId="0" fontId="35" fillId="2" borderId="0">
      <alignment horizontal="left" vertical="center"/>
    </xf>
    <xf numFmtId="4" fontId="11" fillId="0" borderId="1">
      <alignment horizontal="center" vertical="center"/>
    </xf>
    <xf numFmtId="0" fontId="3" fillId="0" borderId="0"/>
    <xf numFmtId="43" fontId="3" fillId="0" borderId="0" applyFont="0" applyFill="0" applyBorder="0" applyAlignment="0" applyProtection="0"/>
    <xf numFmtId="0" fontId="11" fillId="0" borderId="1">
      <alignment horizontal="center" vertical="center"/>
    </xf>
    <xf numFmtId="9" fontId="3" fillId="0" borderId="0" applyFont="0" applyFill="0" applyBorder="0" applyAlignment="0" applyProtection="0"/>
    <xf numFmtId="164" fontId="24" fillId="2" borderId="1">
      <alignment horizontal="center" vertical="center"/>
    </xf>
    <xf numFmtId="0" fontId="39" fillId="2" borderId="0">
      <alignment vertical="center"/>
    </xf>
    <xf numFmtId="166" fontId="11" fillId="0" borderId="1">
      <alignment horizontal="center" vertical="center"/>
    </xf>
    <xf numFmtId="3" fontId="24" fillId="2" borderId="1">
      <alignment horizontal="center" vertical="center"/>
    </xf>
    <xf numFmtId="167" fontId="43" fillId="2" borderId="20">
      <alignment horizontal="center" vertical="center"/>
    </xf>
    <xf numFmtId="0" fontId="48" fillId="0" borderId="0" applyNumberFormat="0" applyFill="0" applyBorder="0" applyAlignment="0" applyProtection="0"/>
    <xf numFmtId="3" fontId="11" fillId="0" borderId="1">
      <alignment horizontal="center" vertical="center"/>
    </xf>
    <xf numFmtId="0" fontId="29" fillId="4" borderId="0">
      <alignment horizontal="left" vertical="center" indent="1"/>
      <protection locked="0"/>
    </xf>
    <xf numFmtId="0" fontId="18" fillId="12" borderId="0">
      <alignment horizontal="left" vertical="center" indent="1"/>
    </xf>
    <xf numFmtId="0" fontId="50" fillId="2" borderId="0">
      <alignment horizontal="left" vertical="center"/>
    </xf>
    <xf numFmtId="0" fontId="23" fillId="10" borderId="0">
      <alignment horizontal="left" vertical="center" indent="1"/>
    </xf>
    <xf numFmtId="0" fontId="24" fillId="2" borderId="1">
      <alignment horizontal="left" vertical="center"/>
    </xf>
    <xf numFmtId="0" fontId="55" fillId="16" borderId="1">
      <alignment horizontal="center" vertical="center"/>
    </xf>
    <xf numFmtId="0" fontId="56" fillId="15" borderId="1">
      <alignment horizontal="center" vertical="center"/>
    </xf>
    <xf numFmtId="0" fontId="57" fillId="2" borderId="1">
      <alignment horizontal="left" vertical="center"/>
    </xf>
    <xf numFmtId="0" fontId="60" fillId="2" borderId="0">
      <alignment horizontal="left" vertical="center"/>
    </xf>
    <xf numFmtId="0" fontId="55" fillId="14" borderId="1">
      <alignment horizontal="center" vertical="center"/>
    </xf>
    <xf numFmtId="4" fontId="24" fillId="2" borderId="1">
      <alignment horizontal="center" vertical="center"/>
    </xf>
    <xf numFmtId="0" fontId="74" fillId="0" borderId="0" applyNumberFormat="0" applyFill="0" applyBorder="0" applyAlignment="0" applyProtection="0"/>
    <xf numFmtId="0" fontId="78" fillId="18" borderId="0">
      <alignment horizontal="center" vertical="center"/>
    </xf>
    <xf numFmtId="167" fontId="43" fillId="2" borderId="0">
      <alignment horizontal="center" vertical="center"/>
    </xf>
  </cellStyleXfs>
  <cellXfs count="231">
    <xf numFmtId="0" fontId="0" fillId="0" borderId="0" xfId="0"/>
    <xf numFmtId="0" fontId="1" fillId="0" borderId="0" xfId="1"/>
    <xf numFmtId="0" fontId="2" fillId="0" borderId="0" xfId="2">
      <alignment vertical="center"/>
    </xf>
    <xf numFmtId="0" fontId="3" fillId="0" borderId="0" xfId="3"/>
    <xf numFmtId="0" fontId="4" fillId="0" borderId="0" xfId="4" applyFill="1">
      <alignment horizontal="left" vertical="center"/>
    </xf>
    <xf numFmtId="0" fontId="5" fillId="3" borderId="0" xfId="5">
      <alignment vertical="center"/>
    </xf>
    <xf numFmtId="0" fontId="5" fillId="0" borderId="0" xfId="5" applyFill="1">
      <alignment vertical="center"/>
    </xf>
    <xf numFmtId="0" fontId="4" fillId="2" borderId="0" xfId="4">
      <alignment horizontal="left" vertical="center"/>
    </xf>
    <xf numFmtId="0" fontId="6" fillId="2" borderId="0" xfId="6">
      <alignment horizontal="left" vertical="center"/>
    </xf>
    <xf numFmtId="0" fontId="7" fillId="2" borderId="0" xfId="7">
      <alignment horizontal="left" vertical="center"/>
    </xf>
    <xf numFmtId="0" fontId="0" fillId="0" borderId="0" xfId="6" applyFont="1" applyFill="1">
      <alignment horizontal="left" vertical="center"/>
    </xf>
    <xf numFmtId="0" fontId="8" fillId="2" borderId="0" xfId="8">
      <alignment vertical="center"/>
    </xf>
    <xf numFmtId="0" fontId="9" fillId="2" borderId="0" xfId="9">
      <alignment horizontal="left" vertical="center"/>
    </xf>
    <xf numFmtId="0" fontId="10" fillId="2" borderId="0" xfId="10">
      <alignment horizontal="left" vertical="center"/>
    </xf>
    <xf numFmtId="0" fontId="3" fillId="2" borderId="0" xfId="3" applyFill="1"/>
    <xf numFmtId="0" fontId="0" fillId="0" borderId="0" xfId="4" applyFont="1" applyFill="1">
      <alignment horizontal="left" vertical="center"/>
    </xf>
    <xf numFmtId="0" fontId="11" fillId="0" borderId="0" xfId="11">
      <alignment horizontal="left" vertical="center" indent="1"/>
    </xf>
    <xf numFmtId="0" fontId="12" fillId="2" borderId="0" xfId="3" applyFont="1" applyFill="1"/>
    <xf numFmtId="0" fontId="11" fillId="5" borderId="0" xfId="4" applyFont="1" applyFill="1" applyAlignment="1">
      <alignment horizontal="left" vertical="center" indent="1"/>
    </xf>
    <xf numFmtId="0" fontId="14" fillId="5" borderId="2" xfId="12" applyFont="1">
      <alignment horizontal="left" vertical="center" indent="1"/>
    </xf>
    <xf numFmtId="0" fontId="15" fillId="0" borderId="0" xfId="3" applyFont="1" applyAlignment="1">
      <alignment vertical="center" wrapText="1"/>
    </xf>
    <xf numFmtId="0" fontId="16" fillId="5" borderId="2" xfId="12" applyFont="1">
      <alignment horizontal="left" vertical="center" indent="1"/>
    </xf>
    <xf numFmtId="0" fontId="17" fillId="0" borderId="0" xfId="3" applyFont="1" applyAlignment="1">
      <alignment horizontal="left" vertical="center"/>
    </xf>
    <xf numFmtId="0" fontId="18" fillId="6" borderId="0" xfId="13">
      <alignment horizontal="left" vertical="center" indent="1"/>
    </xf>
    <xf numFmtId="0" fontId="17" fillId="0" borderId="0" xfId="6" applyFont="1" applyFill="1">
      <alignment horizontal="left" vertical="center"/>
    </xf>
    <xf numFmtId="0" fontId="15" fillId="0" borderId="0" xfId="3" applyFont="1" applyAlignment="1">
      <alignment vertical="center"/>
    </xf>
    <xf numFmtId="0" fontId="15" fillId="0" borderId="0" xfId="3" applyFont="1" applyAlignment="1">
      <alignment horizontal="left" vertical="center"/>
    </xf>
    <xf numFmtId="0" fontId="19" fillId="2" borderId="0" xfId="6" applyFont="1">
      <alignment horizontal="left" vertical="center"/>
    </xf>
    <xf numFmtId="0" fontId="3" fillId="0" borderId="0" xfId="3" applyAlignment="1">
      <alignment horizontal="left" vertical="center"/>
    </xf>
    <xf numFmtId="0" fontId="6" fillId="2" borderId="0" xfId="6" applyAlignment="1">
      <alignment horizontal="right" vertical="center"/>
    </xf>
    <xf numFmtId="0" fontId="15" fillId="2" borderId="0" xfId="3" applyFont="1" applyFill="1" applyAlignment="1">
      <alignment horizontal="left" vertical="center"/>
    </xf>
    <xf numFmtId="0" fontId="19" fillId="2" borderId="0" xfId="6" applyFont="1" applyAlignment="1">
      <alignment horizontal="right" vertical="center"/>
    </xf>
    <xf numFmtId="0" fontId="20" fillId="2" borderId="0" xfId="3" applyFont="1" applyFill="1"/>
    <xf numFmtId="0" fontId="15" fillId="0" borderId="0" xfId="3" applyFont="1"/>
    <xf numFmtId="0" fontId="15" fillId="0" borderId="0" xfId="4" applyFont="1" applyFill="1">
      <alignment horizontal="left" vertical="center"/>
    </xf>
    <xf numFmtId="0" fontId="15" fillId="2" borderId="0" xfId="3" applyFont="1" applyFill="1"/>
    <xf numFmtId="0" fontId="15" fillId="2" borderId="0" xfId="4" applyFont="1">
      <alignment horizontal="left" vertical="center"/>
    </xf>
    <xf numFmtId="0" fontId="21" fillId="0" borderId="0" xfId="14"/>
    <xf numFmtId="0" fontId="5" fillId="7" borderId="0" xfId="15">
      <alignment vertical="center"/>
    </xf>
    <xf numFmtId="0" fontId="22" fillId="8" borderId="4" xfId="16" applyBorder="1">
      <alignment horizontal="left" vertical="center"/>
    </xf>
    <xf numFmtId="0" fontId="22" fillId="8" borderId="5" xfId="16" applyBorder="1">
      <alignment horizontal="left" vertical="center"/>
    </xf>
    <xf numFmtId="0" fontId="22" fillId="8" borderId="6" xfId="16" applyBorder="1">
      <alignment horizontal="left" vertical="center"/>
    </xf>
    <xf numFmtId="0" fontId="18" fillId="9" borderId="0" xfId="17">
      <alignment horizontal="left" vertical="center" indent="1"/>
    </xf>
    <xf numFmtId="0" fontId="22" fillId="8" borderId="7" xfId="16" applyBorder="1">
      <alignment horizontal="left" vertical="center"/>
    </xf>
    <xf numFmtId="0" fontId="22" fillId="8" borderId="8" xfId="16" applyBorder="1">
      <alignment horizontal="left" vertical="center"/>
    </xf>
    <xf numFmtId="0" fontId="22" fillId="8" borderId="9" xfId="16" applyBorder="1">
      <alignment horizontal="left" vertical="center"/>
    </xf>
    <xf numFmtId="0" fontId="23" fillId="10" borderId="0" xfId="18">
      <alignment horizontal="center" vertical="center"/>
      <protection locked="0"/>
    </xf>
    <xf numFmtId="0" fontId="4" fillId="11" borderId="1" xfId="19">
      <alignment horizontal="center" vertical="center"/>
    </xf>
    <xf numFmtId="0" fontId="0" fillId="0" borderId="0" xfId="4" applyFont="1" applyFill="1" applyAlignment="1">
      <alignment horizontal="center" vertical="center"/>
    </xf>
    <xf numFmtId="0" fontId="24" fillId="2" borderId="1" xfId="20">
      <alignment horizontal="center" vertical="center"/>
    </xf>
    <xf numFmtId="9" fontId="0" fillId="0" borderId="0" xfId="21" applyFont="1" applyBorder="1">
      <alignment horizontal="center" vertical="center"/>
    </xf>
    <xf numFmtId="0" fontId="6" fillId="2" borderId="0" xfId="6" applyAlignment="1">
      <alignment horizontal="left" vertical="center" wrapText="1"/>
    </xf>
    <xf numFmtId="0" fontId="3" fillId="0" borderId="0" xfId="3" applyAlignment="1">
      <alignment wrapText="1"/>
    </xf>
    <xf numFmtId="0" fontId="25" fillId="0" borderId="0" xfId="22"/>
    <xf numFmtId="0" fontId="26" fillId="2" borderId="0" xfId="23">
      <alignment horizontal="left" vertical="center"/>
    </xf>
    <xf numFmtId="0" fontId="27" fillId="2" borderId="0" xfId="24">
      <alignment horizontal="left" vertical="center"/>
    </xf>
    <xf numFmtId="0" fontId="28" fillId="2" borderId="0" xfId="25">
      <alignment horizontal="left" vertical="center"/>
    </xf>
    <xf numFmtId="0" fontId="29" fillId="4" borderId="0" xfId="26">
      <alignment horizontal="center" vertical="center"/>
    </xf>
    <xf numFmtId="0" fontId="30" fillId="2" borderId="0" xfId="27" applyAlignment="1">
      <alignment horizontal="left" vertical="center"/>
    </xf>
    <xf numFmtId="0" fontId="31" fillId="2" borderId="0" xfId="28">
      <alignment horizontal="left" vertical="center"/>
    </xf>
    <xf numFmtId="0" fontId="4" fillId="2" borderId="10" xfId="4" applyBorder="1">
      <alignment horizontal="left" vertical="center"/>
    </xf>
    <xf numFmtId="0" fontId="30" fillId="2" borderId="10" xfId="27" applyBorder="1" applyAlignment="1">
      <alignment horizontal="left" vertical="center"/>
    </xf>
    <xf numFmtId="0" fontId="3" fillId="0" borderId="0" xfId="3" applyAlignment="1">
      <alignment vertical="center"/>
    </xf>
    <xf numFmtId="0" fontId="3" fillId="0" borderId="0" xfId="3" applyAlignment="1">
      <alignment vertical="center" wrapText="1"/>
    </xf>
    <xf numFmtId="0" fontId="3" fillId="0" borderId="0" xfId="3" applyAlignment="1">
      <alignment horizontal="center" vertical="center" wrapText="1"/>
    </xf>
    <xf numFmtId="0" fontId="10" fillId="2" borderId="0" xfId="29">
      <alignment horizontal="left" vertical="center" indent="1"/>
    </xf>
    <xf numFmtId="0" fontId="11" fillId="0" borderId="1" xfId="30">
      <alignment horizontal="center" vertical="center"/>
    </xf>
    <xf numFmtId="0" fontId="33" fillId="2" borderId="0" xfId="3" applyFont="1" applyFill="1" applyAlignment="1">
      <alignment horizontal="center" vertical="center"/>
    </xf>
    <xf numFmtId="0" fontId="33" fillId="2" borderId="0" xfId="3" applyFont="1" applyFill="1"/>
    <xf numFmtId="0" fontId="34" fillId="2" borderId="0" xfId="3" applyFont="1" applyFill="1"/>
    <xf numFmtId="0" fontId="22" fillId="8" borderId="11" xfId="16" applyBorder="1">
      <alignment horizontal="left" vertical="center"/>
    </xf>
    <xf numFmtId="0" fontId="35" fillId="2" borderId="0" xfId="31">
      <alignment horizontal="left" vertical="center"/>
    </xf>
    <xf numFmtId="0" fontId="4" fillId="11" borderId="1" xfId="19" applyAlignment="1">
      <alignment horizontal="center" vertical="center" wrapText="1"/>
    </xf>
    <xf numFmtId="4" fontId="0" fillId="0" borderId="0" xfId="32" applyFont="1" applyBorder="1" applyAlignment="1">
      <alignment horizontal="center" vertical="center" wrapText="1"/>
    </xf>
    <xf numFmtId="0" fontId="24" fillId="2" borderId="1" xfId="20" applyAlignment="1">
      <alignment horizontal="center" vertical="center" wrapText="1"/>
    </xf>
    <xf numFmtId="0" fontId="36" fillId="2" borderId="0" xfId="33" applyFont="1" applyFill="1" applyAlignment="1">
      <alignment horizontal="left" vertical="center" wrapText="1"/>
    </xf>
    <xf numFmtId="2" fontId="33" fillId="2" borderId="0" xfId="34" applyNumberFormat="1" applyFont="1" applyFill="1" applyBorder="1" applyAlignment="1" applyProtection="1">
      <alignment horizontal="center" wrapText="1"/>
      <protection locked="0"/>
    </xf>
    <xf numFmtId="1" fontId="33" fillId="2" borderId="0" xfId="34" applyNumberFormat="1" applyFont="1" applyFill="1" applyBorder="1" applyAlignment="1" applyProtection="1">
      <alignment horizontal="center" wrapText="1"/>
      <protection locked="0"/>
    </xf>
    <xf numFmtId="0" fontId="33" fillId="2" borderId="0" xfId="3" applyFont="1" applyFill="1" applyAlignment="1">
      <alignment horizontal="left" wrapText="1"/>
    </xf>
    <xf numFmtId="0" fontId="34" fillId="2" borderId="0" xfId="3" applyFont="1" applyFill="1" applyAlignment="1">
      <alignment wrapText="1"/>
    </xf>
    <xf numFmtId="0" fontId="35" fillId="2" borderId="0" xfId="31" applyAlignment="1">
      <alignment horizontal="left" vertical="center" wrapText="1"/>
    </xf>
    <xf numFmtId="0" fontId="3" fillId="2" borderId="0" xfId="3" applyFill="1" applyAlignment="1">
      <alignment wrapText="1"/>
    </xf>
    <xf numFmtId="0" fontId="11" fillId="0" borderId="1" xfId="35">
      <alignment horizontal="center" vertical="center"/>
    </xf>
    <xf numFmtId="0" fontId="37" fillId="11" borderId="1" xfId="19" applyFont="1" applyAlignment="1">
      <alignment horizontal="center" vertical="center" wrapText="1"/>
    </xf>
    <xf numFmtId="9" fontId="0" fillId="0" borderId="0" xfId="36" applyFont="1" applyFill="1" applyBorder="1" applyAlignment="1">
      <alignment horizontal="center" vertical="center" wrapText="1"/>
    </xf>
    <xf numFmtId="0" fontId="37" fillId="11" borderId="1" xfId="19" applyFont="1">
      <alignment horizontal="center" vertical="center"/>
    </xf>
    <xf numFmtId="9" fontId="11" fillId="0" borderId="1" xfId="21">
      <alignment horizontal="center" vertical="center"/>
    </xf>
    <xf numFmtId="9" fontId="0" fillId="0" borderId="12" xfId="36" applyFont="1" applyFill="1" applyBorder="1" applyAlignment="1">
      <alignment horizontal="center" vertical="center" wrapText="1"/>
    </xf>
    <xf numFmtId="0" fontId="22" fillId="8" borderId="13" xfId="16" applyBorder="1">
      <alignment horizontal="left" vertical="center"/>
    </xf>
    <xf numFmtId="0" fontId="22" fillId="8" borderId="0" xfId="16" applyBorder="1">
      <alignment horizontal="left" vertical="center"/>
    </xf>
    <xf numFmtId="0" fontId="22" fillId="8" borderId="14" xfId="16" applyBorder="1">
      <alignment horizontal="left" vertical="center"/>
    </xf>
    <xf numFmtId="0" fontId="23" fillId="10" borderId="0" xfId="18" applyAlignment="1">
      <alignment horizontal="center" vertical="center" wrapText="1"/>
      <protection locked="0"/>
    </xf>
    <xf numFmtId="0" fontId="0" fillId="0" borderId="0" xfId="35" applyFont="1" applyBorder="1" applyAlignment="1">
      <alignment horizontal="center" vertical="center" wrapText="1"/>
    </xf>
    <xf numFmtId="9" fontId="4" fillId="2" borderId="0" xfId="36" applyFont="1" applyFill="1" applyAlignment="1">
      <alignment horizontal="center" vertical="center" wrapText="1"/>
    </xf>
    <xf numFmtId="9" fontId="3" fillId="2" borderId="0" xfId="3" applyNumberFormat="1" applyFill="1"/>
    <xf numFmtId="0" fontId="22" fillId="8" borderId="15" xfId="16" applyBorder="1">
      <alignment horizontal="left" vertical="center"/>
    </xf>
    <xf numFmtId="0" fontId="22" fillId="8" borderId="16" xfId="16" applyBorder="1">
      <alignment horizontal="left" vertical="center"/>
    </xf>
    <xf numFmtId="4" fontId="11" fillId="0" borderId="1" xfId="32">
      <alignment horizontal="center" vertical="center"/>
    </xf>
    <xf numFmtId="0" fontId="6" fillId="2" borderId="10" xfId="6" applyBorder="1">
      <alignment horizontal="left" vertical="center"/>
    </xf>
    <xf numFmtId="164" fontId="24" fillId="2" borderId="1" xfId="37">
      <alignment horizontal="center" vertical="center"/>
    </xf>
    <xf numFmtId="165" fontId="0" fillId="0" borderId="0" xfId="6" applyNumberFormat="1" applyFont="1" applyFill="1">
      <alignment horizontal="left" vertical="center"/>
    </xf>
    <xf numFmtId="43" fontId="6" fillId="2" borderId="0" xfId="6" applyNumberFormat="1">
      <alignment horizontal="left" vertical="center"/>
    </xf>
    <xf numFmtId="0" fontId="21" fillId="0" borderId="0" xfId="1" applyFont="1"/>
    <xf numFmtId="0" fontId="4" fillId="2" borderId="17" xfId="4" applyBorder="1">
      <alignment horizontal="left" vertical="center"/>
    </xf>
    <xf numFmtId="0" fontId="7" fillId="0" borderId="0" xfId="7" applyFill="1">
      <alignment horizontal="left" vertical="center"/>
    </xf>
    <xf numFmtId="0" fontId="39" fillId="2" borderId="0" xfId="38">
      <alignment vertical="center"/>
    </xf>
    <xf numFmtId="0" fontId="8" fillId="0" borderId="0" xfId="8" applyFill="1">
      <alignment vertical="center"/>
    </xf>
    <xf numFmtId="0" fontId="11" fillId="2" borderId="0" xfId="4" applyFont="1">
      <alignment horizontal="left" vertical="center"/>
    </xf>
    <xf numFmtId="0" fontId="6" fillId="0" borderId="0" xfId="6" applyFill="1">
      <alignment horizontal="left" vertical="center"/>
    </xf>
    <xf numFmtId="0" fontId="22" fillId="8" borderId="18" xfId="16" applyBorder="1">
      <alignment horizontal="left" vertical="center"/>
    </xf>
    <xf numFmtId="0" fontId="22" fillId="8" borderId="19" xfId="16" applyBorder="1">
      <alignment horizontal="left" vertical="center"/>
    </xf>
    <xf numFmtId="0" fontId="40" fillId="0" borderId="0" xfId="29" applyFont="1" applyFill="1" applyAlignment="1">
      <alignment horizontal="left" vertical="center"/>
    </xf>
    <xf numFmtId="166" fontId="11" fillId="0" borderId="1" xfId="39">
      <alignment horizontal="center" vertical="center"/>
    </xf>
    <xf numFmtId="164" fontId="24" fillId="2" borderId="1" xfId="40" applyNumberFormat="1">
      <alignment horizontal="center" vertical="center"/>
    </xf>
    <xf numFmtId="0" fontId="11" fillId="0" borderId="0" xfId="4" applyFont="1" applyFill="1">
      <alignment horizontal="left" vertical="center"/>
    </xf>
    <xf numFmtId="0" fontId="41" fillId="8" borderId="4" xfId="16" applyFont="1" applyBorder="1">
      <alignment horizontal="left" vertical="center"/>
    </xf>
    <xf numFmtId="4" fontId="11" fillId="2" borderId="0" xfId="32" applyFill="1" applyBorder="1">
      <alignment horizontal="center" vertical="center"/>
    </xf>
    <xf numFmtId="0" fontId="23" fillId="2" borderId="0" xfId="18" applyFill="1">
      <alignment horizontal="center" vertical="center"/>
      <protection locked="0"/>
    </xf>
    <xf numFmtId="0" fontId="36" fillId="0" borderId="0" xfId="3" applyFont="1" applyAlignment="1" applyProtection="1">
      <alignment horizontal="center" vertical="center"/>
      <protection locked="0"/>
    </xf>
    <xf numFmtId="4" fontId="42" fillId="0" borderId="0" xfId="32" applyFont="1" applyBorder="1">
      <alignment horizontal="center" vertical="center"/>
    </xf>
    <xf numFmtId="167" fontId="43" fillId="2" borderId="0" xfId="41" applyBorder="1">
      <alignment horizontal="center" vertical="center"/>
    </xf>
    <xf numFmtId="4" fontId="42" fillId="2" borderId="0" xfId="32" applyFont="1" applyFill="1" applyBorder="1">
      <alignment horizontal="center" vertical="center"/>
    </xf>
    <xf numFmtId="0" fontId="42" fillId="2" borderId="0" xfId="29" applyFont="1" applyAlignment="1">
      <alignment horizontal="center" vertical="center"/>
    </xf>
    <xf numFmtId="0" fontId="42" fillId="2" borderId="0" xfId="6" applyFont="1" applyAlignment="1">
      <alignment horizontal="center" vertical="center"/>
    </xf>
    <xf numFmtId="164" fontId="42" fillId="2" borderId="0" xfId="6" applyNumberFormat="1" applyFont="1" applyAlignment="1">
      <alignment horizontal="center" vertical="center"/>
    </xf>
    <xf numFmtId="9" fontId="42" fillId="2" borderId="0" xfId="36" applyFont="1" applyFill="1" applyBorder="1" applyAlignment="1">
      <alignment horizontal="center" vertical="center"/>
    </xf>
    <xf numFmtId="0" fontId="44" fillId="2" borderId="0" xfId="3" applyFont="1" applyFill="1" applyAlignment="1">
      <alignment horizontal="center" vertical="center"/>
    </xf>
    <xf numFmtId="0" fontId="44" fillId="2" borderId="0" xfId="3" applyFont="1" applyFill="1"/>
    <xf numFmtId="0" fontId="42" fillId="2" borderId="0" xfId="3" applyFont="1" applyFill="1"/>
    <xf numFmtId="0" fontId="42" fillId="0" borderId="0" xfId="3" applyFont="1"/>
    <xf numFmtId="0" fontId="45" fillId="2" borderId="0" xfId="4" applyFont="1" applyAlignment="1">
      <alignment horizontal="center" vertical="center"/>
    </xf>
    <xf numFmtId="0" fontId="46" fillId="2" borderId="0" xfId="4" applyFont="1" applyAlignment="1">
      <alignment horizontal="center" vertical="center"/>
    </xf>
    <xf numFmtId="164" fontId="46" fillId="2" borderId="0" xfId="4" applyNumberFormat="1" applyFont="1" applyAlignment="1">
      <alignment horizontal="center" vertical="center"/>
    </xf>
    <xf numFmtId="0" fontId="46" fillId="2" borderId="0" xfId="3" applyFont="1" applyFill="1" applyAlignment="1">
      <alignment horizontal="center" vertical="center"/>
    </xf>
    <xf numFmtId="0" fontId="47" fillId="2" borderId="0" xfId="3" applyFont="1" applyFill="1" applyAlignment="1">
      <alignment horizontal="center" vertical="center"/>
    </xf>
    <xf numFmtId="0" fontId="47" fillId="2" borderId="0" xfId="3" applyFont="1" applyFill="1" applyAlignment="1">
      <alignment horizontal="left" vertical="center"/>
    </xf>
    <xf numFmtId="14" fontId="4" fillId="2" borderId="0" xfId="4" applyNumberFormat="1">
      <alignment horizontal="left" vertical="center"/>
    </xf>
    <xf numFmtId="0" fontId="22" fillId="8" borderId="3" xfId="16">
      <alignment horizontal="left" vertical="center"/>
    </xf>
    <xf numFmtId="0" fontId="48" fillId="2" borderId="0" xfId="42" applyFill="1" applyBorder="1"/>
    <xf numFmtId="164" fontId="11" fillId="2" borderId="0" xfId="43" applyNumberFormat="1" applyFill="1" applyBorder="1">
      <alignment horizontal="center" vertical="center"/>
    </xf>
    <xf numFmtId="168" fontId="4" fillId="2" borderId="0" xfId="34" applyNumberFormat="1" applyFont="1" applyFill="1" applyBorder="1" applyAlignment="1">
      <alignment horizontal="center" vertical="center"/>
    </xf>
    <xf numFmtId="0" fontId="0" fillId="2" borderId="0" xfId="4" applyFont="1">
      <alignment horizontal="left" vertical="center"/>
    </xf>
    <xf numFmtId="0" fontId="49" fillId="2" borderId="0" xfId="3" applyFont="1" applyFill="1"/>
    <xf numFmtId="0" fontId="0" fillId="0" borderId="0" xfId="35" applyFont="1" applyBorder="1">
      <alignment horizontal="center" vertical="center"/>
    </xf>
    <xf numFmtId="0" fontId="50" fillId="2" borderId="0" xfId="46">
      <alignment horizontal="left" vertical="center"/>
    </xf>
    <xf numFmtId="0" fontId="33" fillId="2" borderId="0" xfId="3" applyFont="1" applyFill="1" applyAlignment="1" applyProtection="1">
      <alignment horizontal="center"/>
      <protection locked="0"/>
    </xf>
    <xf numFmtId="0" fontId="0" fillId="0" borderId="0" xfId="32" applyNumberFormat="1" applyFont="1" applyBorder="1">
      <alignment horizontal="center" vertical="center"/>
    </xf>
    <xf numFmtId="0" fontId="0" fillId="2" borderId="0" xfId="0" applyFill="1"/>
    <xf numFmtId="0" fontId="4" fillId="11" borderId="21" xfId="19" applyBorder="1">
      <alignment horizontal="center" vertical="center"/>
    </xf>
    <xf numFmtId="0" fontId="11" fillId="0" borderId="21" xfId="30" applyBorder="1">
      <alignment horizontal="center" vertical="center"/>
    </xf>
    <xf numFmtId="0" fontId="53" fillId="2" borderId="1" xfId="20" applyFont="1">
      <alignment horizontal="center" vertical="center"/>
    </xf>
    <xf numFmtId="0" fontId="51" fillId="10" borderId="0" xfId="6" applyFont="1" applyFill="1">
      <alignment horizontal="left" vertical="center"/>
    </xf>
    <xf numFmtId="0" fontId="51" fillId="4" borderId="0" xfId="6" applyFont="1" applyFill="1">
      <alignment horizontal="left" vertical="center"/>
    </xf>
    <xf numFmtId="0" fontId="0" fillId="0" borderId="0" xfId="0" applyAlignment="1">
      <alignment horizontal="center" vertical="center" wrapText="1"/>
    </xf>
    <xf numFmtId="4" fontId="0" fillId="0" borderId="0" xfId="32" applyFont="1" applyBorder="1">
      <alignment horizontal="center" vertical="center"/>
    </xf>
    <xf numFmtId="0" fontId="0" fillId="0" borderId="0" xfId="47" applyFont="1" applyFill="1">
      <alignment horizontal="left" vertical="center" indent="1"/>
    </xf>
    <xf numFmtId="0" fontId="6" fillId="13" borderId="0" xfId="6" applyFill="1">
      <alignment horizontal="left" vertical="center"/>
    </xf>
    <xf numFmtId="15" fontId="11" fillId="0" borderId="1" xfId="35" applyNumberFormat="1">
      <alignment horizontal="center" vertical="center"/>
    </xf>
    <xf numFmtId="0" fontId="0" fillId="0" borderId="0" xfId="44" applyFont="1" applyFill="1">
      <alignment horizontal="left" vertical="center" indent="1"/>
      <protection locked="0"/>
    </xf>
    <xf numFmtId="0" fontId="54" fillId="4" borderId="0" xfId="6" applyFont="1" applyFill="1">
      <alignment horizontal="left" vertical="center"/>
    </xf>
    <xf numFmtId="0" fontId="24" fillId="2" borderId="21" xfId="20" applyBorder="1">
      <alignment horizontal="center" vertical="center"/>
    </xf>
    <xf numFmtId="0" fontId="0" fillId="0" borderId="0" xfId="6" applyFont="1" applyFill="1" applyAlignment="1">
      <alignment horizontal="left" vertical="center" wrapText="1"/>
    </xf>
    <xf numFmtId="0" fontId="4" fillId="11" borderId="21" xfId="19" applyBorder="1" applyAlignment="1">
      <alignment horizontal="center" vertical="center" wrapText="1"/>
    </xf>
    <xf numFmtId="0" fontId="0" fillId="0" borderId="0" xfId="18" applyFont="1" applyFill="1" applyProtection="1">
      <alignment horizontal="center" vertical="center"/>
    </xf>
    <xf numFmtId="0" fontId="0" fillId="0" borderId="1" xfId="30" applyFont="1">
      <alignment horizontal="center" vertical="center"/>
    </xf>
    <xf numFmtId="0" fontId="24" fillId="2" borderId="22" xfId="48" applyBorder="1">
      <alignment horizontal="left" vertical="center"/>
    </xf>
    <xf numFmtId="0" fontId="24" fillId="2" borderId="1" xfId="48">
      <alignment horizontal="left" vertical="center"/>
    </xf>
    <xf numFmtId="0" fontId="55" fillId="16" borderId="1" xfId="49">
      <alignment horizontal="center" vertical="center"/>
    </xf>
    <xf numFmtId="0" fontId="56" fillId="15" borderId="1" xfId="50">
      <alignment horizontal="center" vertical="center"/>
    </xf>
    <xf numFmtId="0" fontId="57" fillId="2" borderId="1" xfId="51">
      <alignment horizontal="left" vertical="center"/>
    </xf>
    <xf numFmtId="0" fontId="24" fillId="2" borderId="23" xfId="48" applyBorder="1">
      <alignment horizontal="left" vertical="center"/>
    </xf>
    <xf numFmtId="0" fontId="60" fillId="2" borderId="0" xfId="52">
      <alignment horizontal="left" vertical="center"/>
    </xf>
    <xf numFmtId="0" fontId="22" fillId="8" borderId="24" xfId="16" applyBorder="1">
      <alignment horizontal="left" vertical="center"/>
    </xf>
    <xf numFmtId="0" fontId="19" fillId="2" borderId="10" xfId="6" applyFont="1" applyBorder="1">
      <alignment horizontal="left" vertical="center"/>
    </xf>
    <xf numFmtId="0" fontId="10" fillId="2" borderId="10" xfId="10" applyBorder="1">
      <alignment horizontal="left" vertical="center"/>
    </xf>
    <xf numFmtId="0" fontId="64" fillId="2" borderId="10" xfId="6" applyFont="1" applyBorder="1">
      <alignment horizontal="left" vertical="center"/>
    </xf>
    <xf numFmtId="0" fontId="65" fillId="2" borderId="10" xfId="6" applyFont="1" applyBorder="1">
      <alignment horizontal="left" vertical="center"/>
    </xf>
    <xf numFmtId="0" fontId="66" fillId="2" borderId="10" xfId="10" applyFont="1" applyBorder="1">
      <alignment horizontal="left" vertical="center"/>
    </xf>
    <xf numFmtId="0" fontId="67" fillId="2" borderId="10" xfId="6" applyFont="1" applyBorder="1">
      <alignment horizontal="left" vertical="center"/>
    </xf>
    <xf numFmtId="0" fontId="18" fillId="12" borderId="0" xfId="45">
      <alignment horizontal="left" vertical="center" indent="1"/>
    </xf>
    <xf numFmtId="4" fontId="24" fillId="2" borderId="1" xfId="54">
      <alignment horizontal="center" vertical="center"/>
    </xf>
    <xf numFmtId="169" fontId="53" fillId="2" borderId="1" xfId="20" applyNumberFormat="1" applyFont="1">
      <alignment horizontal="center" vertical="center"/>
    </xf>
    <xf numFmtId="4" fontId="24" fillId="2" borderId="21" xfId="54" applyBorder="1">
      <alignment horizontal="center" vertical="center"/>
    </xf>
    <xf numFmtId="169" fontId="53" fillId="2" borderId="21" xfId="20" applyNumberFormat="1" applyFont="1" applyBorder="1">
      <alignment horizontal="center" vertical="center"/>
    </xf>
    <xf numFmtId="0" fontId="24" fillId="2" borderId="25" xfId="20" applyBorder="1">
      <alignment horizontal="center" vertical="center"/>
    </xf>
    <xf numFmtId="0" fontId="24" fillId="2" borderId="26" xfId="20" applyBorder="1">
      <alignment horizontal="center" vertical="center"/>
    </xf>
    <xf numFmtId="4" fontId="24" fillId="2" borderId="25" xfId="54" applyBorder="1">
      <alignment horizontal="center" vertical="center"/>
    </xf>
    <xf numFmtId="4" fontId="24" fillId="2" borderId="27" xfId="54" applyBorder="1">
      <alignment horizontal="center" vertical="center"/>
    </xf>
    <xf numFmtId="169" fontId="53" fillId="2" borderId="27" xfId="20" applyNumberFormat="1" applyFont="1" applyBorder="1">
      <alignment horizontal="center" vertical="center"/>
    </xf>
    <xf numFmtId="169" fontId="53" fillId="2" borderId="25" xfId="20" applyNumberFormat="1" applyFont="1" applyBorder="1">
      <alignment horizontal="center" vertical="center"/>
    </xf>
    <xf numFmtId="0" fontId="24" fillId="2" borderId="27" xfId="20" applyBorder="1">
      <alignment horizontal="center" vertical="center"/>
    </xf>
    <xf numFmtId="0" fontId="53" fillId="2" borderId="27" xfId="20" applyFont="1" applyBorder="1">
      <alignment horizontal="center" vertical="center"/>
    </xf>
    <xf numFmtId="0" fontId="4" fillId="2" borderId="28" xfId="4" applyBorder="1">
      <alignment horizontal="left" vertical="center"/>
    </xf>
    <xf numFmtId="170" fontId="12" fillId="2" borderId="28" xfId="3" applyNumberFormat="1" applyFont="1" applyFill="1" applyBorder="1"/>
    <xf numFmtId="0" fontId="10" fillId="2" borderId="28" xfId="29" applyBorder="1">
      <alignment horizontal="left" vertical="center" indent="1"/>
    </xf>
    <xf numFmtId="171" fontId="12" fillId="2" borderId="0" xfId="3" applyNumberFormat="1" applyFont="1" applyFill="1" applyAlignment="1">
      <alignment vertical="center"/>
    </xf>
    <xf numFmtId="170" fontId="12" fillId="2" borderId="28" xfId="3" applyNumberFormat="1" applyFont="1" applyFill="1" applyBorder="1" applyAlignment="1">
      <alignment vertical="center"/>
    </xf>
    <xf numFmtId="0" fontId="12" fillId="2" borderId="0" xfId="3" applyFont="1" applyFill="1" applyAlignment="1">
      <alignment vertical="center"/>
    </xf>
    <xf numFmtId="170" fontId="70" fillId="2" borderId="28" xfId="3" applyNumberFormat="1" applyFont="1" applyFill="1" applyBorder="1" applyAlignment="1">
      <alignment vertical="center"/>
    </xf>
    <xf numFmtId="171" fontId="53" fillId="2" borderId="1" xfId="54" applyNumberFormat="1" applyFont="1">
      <alignment horizontal="center" vertical="center"/>
    </xf>
    <xf numFmtId="171" fontId="53" fillId="2" borderId="21" xfId="54" applyNumberFormat="1" applyFont="1" applyBorder="1">
      <alignment horizontal="center" vertical="center"/>
    </xf>
    <xf numFmtId="171" fontId="53" fillId="2" borderId="27" xfId="54" applyNumberFormat="1" applyFont="1" applyBorder="1">
      <alignment horizontal="center" vertical="center"/>
    </xf>
    <xf numFmtId="9" fontId="24" fillId="2" borderId="1" xfId="48" applyNumberFormat="1">
      <alignment horizontal="left" vertical="center"/>
    </xf>
    <xf numFmtId="4" fontId="24" fillId="2" borderId="1" xfId="48" applyNumberFormat="1">
      <alignment horizontal="left" vertical="center"/>
    </xf>
    <xf numFmtId="0" fontId="24" fillId="2" borderId="29" xfId="48" applyBorder="1">
      <alignment horizontal="left" vertical="center"/>
    </xf>
    <xf numFmtId="0" fontId="24" fillId="2" borderId="1" xfId="20" applyAlignment="1">
      <alignment horizontal="left" vertical="center"/>
    </xf>
    <xf numFmtId="0" fontId="24" fillId="2" borderId="23" xfId="20" applyBorder="1" applyAlignment="1">
      <alignment horizontal="left" vertical="center"/>
    </xf>
    <xf numFmtId="0" fontId="24" fillId="2" borderId="29" xfId="20" applyBorder="1">
      <alignment horizontal="center" vertical="center"/>
    </xf>
    <xf numFmtId="0" fontId="24" fillId="2" borderId="22" xfId="20" applyBorder="1">
      <alignment horizontal="center" vertical="center"/>
    </xf>
    <xf numFmtId="0" fontId="75" fillId="0" borderId="0" xfId="1" applyFont="1"/>
    <xf numFmtId="0" fontId="5" fillId="17" borderId="0" xfId="5" applyFill="1">
      <alignment vertical="center"/>
    </xf>
    <xf numFmtId="2" fontId="0" fillId="2" borderId="0" xfId="0" applyNumberFormat="1" applyFill="1" applyAlignment="1">
      <alignment vertical="center"/>
    </xf>
    <xf numFmtId="0" fontId="76" fillId="2" borderId="0" xfId="0" applyFont="1" applyFill="1"/>
    <xf numFmtId="2" fontId="77" fillId="2" borderId="0" xfId="0" applyNumberFormat="1" applyFont="1" applyFill="1"/>
    <xf numFmtId="0" fontId="78" fillId="18" borderId="0" xfId="56">
      <alignment horizontal="center" vertical="center"/>
    </xf>
    <xf numFmtId="167" fontId="43" fillId="2" borderId="0" xfId="57">
      <alignment horizontal="center" vertical="center"/>
    </xf>
    <xf numFmtId="0" fontId="6" fillId="2" borderId="0" xfId="6" applyAlignment="1">
      <alignment horizontal="left" vertical="center" indent="2"/>
    </xf>
    <xf numFmtId="0" fontId="74" fillId="2" borderId="0" xfId="55" applyFill="1" applyAlignment="1">
      <alignment horizontal="left" vertical="center"/>
    </xf>
    <xf numFmtId="0" fontId="4" fillId="2" borderId="10" xfId="4" applyBorder="1" applyAlignment="1">
      <alignment horizontal="center" vertical="center"/>
    </xf>
    <xf numFmtId="0" fontId="79" fillId="0" borderId="0" xfId="6" applyFont="1" applyFill="1">
      <alignment horizontal="left" vertical="center"/>
    </xf>
    <xf numFmtId="0" fontId="74" fillId="0" borderId="0" xfId="55"/>
    <xf numFmtId="0" fontId="80" fillId="5" borderId="2" xfId="12" applyFont="1">
      <alignment horizontal="left" vertical="center" indent="1"/>
    </xf>
    <xf numFmtId="0" fontId="3" fillId="0" borderId="0" xfId="3" applyAlignment="1" applyProtection="1">
      <alignment horizontal="center" vertical="center" wrapText="1"/>
      <protection locked="0"/>
    </xf>
    <xf numFmtId="0" fontId="4" fillId="5" borderId="1" xfId="19" applyFill="1" applyAlignment="1">
      <alignment horizontal="center" vertical="center" wrapText="1"/>
    </xf>
    <xf numFmtId="4" fontId="0" fillId="0" borderId="1" xfId="32" applyFont="1" applyAlignment="1">
      <alignment horizontal="center" vertical="center" wrapText="1"/>
    </xf>
    <xf numFmtId="9" fontId="0" fillId="0" borderId="0" xfId="21" applyFont="1" applyBorder="1" applyAlignment="1">
      <alignment horizontal="center" vertical="center" wrapText="1"/>
    </xf>
    <xf numFmtId="9" fontId="0" fillId="0" borderId="1" xfId="21" applyFont="1">
      <alignment horizontal="center" vertical="center"/>
    </xf>
    <xf numFmtId="9" fontId="0" fillId="0" borderId="21" xfId="21" applyFont="1" applyBorder="1">
      <alignment horizontal="center" vertical="center"/>
    </xf>
    <xf numFmtId="0" fontId="30" fillId="2" borderId="0" xfId="27">
      <alignment horizontal="center" vertical="center"/>
    </xf>
    <xf numFmtId="17" fontId="0" fillId="0" borderId="0" xfId="6" applyNumberFormat="1" applyFont="1" applyFill="1">
      <alignment horizontal="left" vertical="center"/>
    </xf>
    <xf numFmtId="0" fontId="55" fillId="14" borderId="1" xfId="53">
      <alignment horizontal="center" vertical="center"/>
    </xf>
  </cellXfs>
  <cellStyles count="58">
    <cellStyle name="Alert" xfId="23" xr:uid="{3F39CD44-D56D-45C9-A246-A65A1A3ADBF4}"/>
    <cellStyle name="Arguments" xfId="48" xr:uid="{24FB24F0-9395-431F-861C-79F133E7A9D9}"/>
    <cellStyle name="Arguments hyperlink" xfId="51" xr:uid="{4123AA26-F349-48FA-BB41-6EEAFE5BA85E}"/>
    <cellStyle name="Back to top link" xfId="22" xr:uid="{230A9A7E-DA97-4E33-8E5F-4D7839FBA039}"/>
    <cellStyle name="Block heading" xfId="7" xr:uid="{A6EDDAFA-B8D8-40FF-B101-8BFE28D1701A}"/>
    <cellStyle name="Block subheading" xfId="31" xr:uid="{52BE2BB4-1BDC-40FE-93FB-1C649469BD47}"/>
    <cellStyle name="Block subheading 2" xfId="46" xr:uid="{06FDAC58-57FB-4E73-B1C1-226CF25C2091}"/>
    <cellStyle name="Code" xfId="52" xr:uid="{58E3E973-4813-4B7D-9C77-114331E30D35}"/>
    <cellStyle name="Comma 2" xfId="34" xr:uid="{609B8DE8-4A36-4FAD-9F34-0622FEFB85FB}"/>
    <cellStyle name="Content bold" xfId="4" xr:uid="{0E72D19E-A55B-4AF2-923A-4CDF3C6E2299}"/>
    <cellStyle name="Content hidden" xfId="28" xr:uid="{22412800-3532-4AA7-9F07-A6D4EF63A552}"/>
    <cellStyle name="Content normal" xfId="6" xr:uid="{13BC567A-D662-4805-8468-BBBA4C8CE7AA}"/>
    <cellStyle name="Equation column header" xfId="26" xr:uid="{BD920EFB-2043-4B8A-93F9-9A30F615DB41}"/>
    <cellStyle name="Equation source" xfId="8" xr:uid="{3FE2BBF2-F7FD-4E95-839B-AA2C60524E83}"/>
    <cellStyle name="Equation table header" xfId="44" xr:uid="{3730BD44-BE27-45B0-8628-0B6EF06E3F06}"/>
    <cellStyle name="Hyperlink" xfId="55" builtinId="8"/>
    <cellStyle name="Hyperlink 2" xfId="42" xr:uid="{6331474C-FF18-4032-8996-D62E369D274F}"/>
    <cellStyle name="Information tip" xfId="16" xr:uid="{CB83DB3A-186D-4F78-8454-E39BB6213725}"/>
    <cellStyle name="Information variation" xfId="9" xr:uid="{7B4B3E2F-BD1C-423C-B5E5-F42A08AF87FE}"/>
    <cellStyle name="Input block subheading" xfId="38" xr:uid="{FFC685BD-16E1-4120-B221-39364EB49624}"/>
    <cellStyle name="Input date" xfId="39" xr:uid="{B26C7C63-2887-4AC8-B43C-4ED1A5222E87}"/>
    <cellStyle name="Input date calculated" xfId="37" xr:uid="{C0471CB8-A147-4E5D-BC85-348602DA6CBA}"/>
    <cellStyle name="Input number 2 decimal places" xfId="32" xr:uid="{FB11183C-5A35-4D81-905A-36B31D00BA07}"/>
    <cellStyle name="Input number 2 decimal places calculated" xfId="54" xr:uid="{8CA4580B-4705-4E32-8D78-1EC1848820D3}"/>
    <cellStyle name="Input number general" xfId="30" xr:uid="{F144A91F-473D-40A6-80BC-69EC36DAA1AE}"/>
    <cellStyle name="Input number general calculated" xfId="20" xr:uid="{28E33A90-6B18-417F-985C-8F32F5C341AC}"/>
    <cellStyle name="Input number no decimals" xfId="43" xr:uid="{E4A720FB-A01C-494A-8241-331D9CD6F3F9}"/>
    <cellStyle name="Input number no decimals calculated" xfId="40" xr:uid="{49839C83-1160-43F0-B067-C883847BADA1}"/>
    <cellStyle name="Input page heading" xfId="14" xr:uid="{002C4E50-A1DF-4F48-804E-9110F90F895D}"/>
    <cellStyle name="Input page section heading" xfId="15" xr:uid="{65BEFEE5-64B9-45FB-AF4B-705EE84E7B42}"/>
    <cellStyle name="Input percent" xfId="21" xr:uid="{81441AE7-28B7-49A0-9365-81227A151AAB}"/>
    <cellStyle name="Input select" xfId="19" xr:uid="{8D07982F-DD01-4626-9FC8-407C3172080E}"/>
    <cellStyle name="Input table column header" xfId="18" xr:uid="{1048E30E-4383-4B00-AB9C-A777C4301E89}"/>
    <cellStyle name="Input table header" xfId="47" xr:uid="{673B15DE-C2D0-434D-83B9-CD3D7019ED1C}"/>
    <cellStyle name="Input text" xfId="35" xr:uid="{34DA19AB-8A2A-4875-AB42-979F7532C680}"/>
    <cellStyle name="Input text calculated" xfId="27" xr:uid="{D8F24774-CE10-4868-8D45-130F1396B33B}"/>
    <cellStyle name="Menu link default" xfId="11" xr:uid="{5B03F5CA-1390-467D-92E0-9C0973ECD325}"/>
    <cellStyle name="Menu link selected" xfId="13" xr:uid="{2FB4DD61-277A-4579-903E-3643B3657DEA}"/>
    <cellStyle name="Menu link selected equations" xfId="45" xr:uid="{0EF2D13B-FB95-424D-8B50-DB19D1B4EA2C}"/>
    <cellStyle name="Menu link selected input" xfId="17" xr:uid="{1392EBB3-3DAA-4789-A6F8-0F21992B6DE6}"/>
    <cellStyle name="Menu section title" xfId="12" xr:uid="{8613DA8D-2F36-47DC-9C1C-22FEF7B30D82}"/>
    <cellStyle name="Normal" xfId="0" builtinId="0"/>
    <cellStyle name="Normal 2" xfId="3" xr:uid="{3A2ABD8B-BF95-4BBB-9F70-6EC0CEA3F871}"/>
    <cellStyle name="Normal 5" xfId="33" xr:uid="{35E1632E-D030-4DF1-ADCF-D90F88AB5A48}"/>
    <cellStyle name="Number display decimal" xfId="57" xr:uid="{444F09E9-2EAC-4F43-A3C1-FCD243E068F4}"/>
    <cellStyle name="Number display decimal total" xfId="41" xr:uid="{7D95B024-688E-4E17-AE6D-00BF1716D684}"/>
    <cellStyle name="Page heading" xfId="1" xr:uid="{7ECDF026-866A-4104-A47C-CB3C015E15CC}"/>
    <cellStyle name="Page section heading" xfId="5" xr:uid="{A5B93EEA-2671-4987-B857-11DE83318923}"/>
    <cellStyle name="Page source" xfId="2" xr:uid="{897BB173-377C-46AE-A9E1-A7548CDB8D85}"/>
    <cellStyle name="Percent 2" xfId="36" xr:uid="{696FBCF0-1CD4-465A-B673-5D1A79E7FFF8}"/>
    <cellStyle name="Results table column header" xfId="56" xr:uid="{9B838750-C1C1-4CE7-9F5B-2FBD02D107E0}"/>
    <cellStyle name="Table description" xfId="25" xr:uid="{98689949-4D68-421E-812A-DB7E70967469}"/>
    <cellStyle name="Table name" xfId="24" xr:uid="{2B817CE6-D5D1-4F43-808A-9743A93B9101}"/>
    <cellStyle name="Unit" xfId="29" xr:uid="{A9E710DA-2149-473D-BCA1-E80B7CB7A628}"/>
    <cellStyle name="Unit no indent" xfId="10" xr:uid="{77A8303D-9926-4E03-8003-7AF2E2F6EC6A}"/>
    <cellStyle name="Variable type input" xfId="49" xr:uid="{50B6B78E-61DD-482A-9F1C-914F808F60B4}"/>
    <cellStyle name="Variable type input 2" xfId="53" xr:uid="{9959B7F9-DB8C-4969-B25D-267339AC17C3}"/>
    <cellStyle name="Variable type other" xfId="50" xr:uid="{9FB6C20B-1F98-4C86-8B64-373BD10A7B73}"/>
  </cellStyles>
  <dxfs count="601">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Aptos Narrow"/>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alignment horizontal="general"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ill>
        <patternFill patternType="solid">
          <fgColor indexed="64"/>
          <bgColor theme="0" tint="-4.9989318521683403E-2"/>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Times New Roman"/>
        <family val="1"/>
        <scheme val="none"/>
      </font>
    </dxf>
    <dxf>
      <fill>
        <patternFill>
          <fgColor indexed="64"/>
          <bgColor theme="0" tint="-4.9989318521683403E-2"/>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tint="0.24994659260841701"/>
        <name val="Times New Roman"/>
        <family val="1"/>
        <scheme val="none"/>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sz val="11"/>
        <color theme="1"/>
        <family val="2"/>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i val="0"/>
        <strike val="0"/>
        <condense val="0"/>
        <extend val="0"/>
        <outline val="0"/>
        <shadow val="0"/>
        <u val="none"/>
        <vertAlign val="baseline"/>
        <sz val="12"/>
        <color theme="1"/>
        <name val="Times New Roman"/>
        <family val="2"/>
        <scheme val="none"/>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numFmt numFmtId="165" formatCode="[$-C09]d\ mmmm\ yyyy;@"/>
    </dxf>
    <dxf>
      <numFmt numFmtId="165" formatCode="[$-C09]d\ mmmm\ yyyy;@"/>
    </dxf>
    <dxf>
      <border diagonalUp="0" diagonalDown="0">
        <left style="thin">
          <color theme="0" tint="-0.34998626667073579"/>
        </left>
        <right style="thin">
          <color theme="0" tint="-0.34998626667073579"/>
        </right>
        <top style="thin">
          <color theme="0" tint="-0.34998626667073579"/>
        </top>
        <bottom/>
        <vertical/>
        <horizontal/>
      </border>
    </dxf>
    <dxf>
      <border diagonalUp="0" diagonalDown="0">
        <left style="thin">
          <color theme="0" tint="-0.34998626667073579"/>
        </left>
        <right style="thin">
          <color theme="0" tint="-0.34998626667073579"/>
        </right>
        <top style="thin">
          <color theme="0" tint="-0.34998626667073579"/>
        </top>
        <bottom/>
        <vertical/>
        <horizontal/>
      </border>
    </dxf>
    <dxf>
      <alignment horizontal="left" vertical="center" textRotation="0" wrapText="1" indent="0" justifyLastLine="0" shrinkToFit="0" readingOrder="0"/>
    </dxf>
    <dxf>
      <border diagonalUp="0" diagonalDown="0">
        <left style="thin">
          <color theme="0" tint="-0.34998626667073579"/>
        </left>
        <right style="thin">
          <color theme="0" tint="-0.34998626667073579"/>
        </right>
        <top style="thin">
          <color theme="0" tint="-0.34998626667073579"/>
        </top>
        <bottom/>
        <vertical/>
        <horizontal/>
      </border>
    </dxf>
    <dxf>
      <alignment horizontal="left" vertical="center" textRotation="0" wrapText="1" indent="0" justifyLastLine="0" shrinkToFit="0" readingOrder="0"/>
    </dxf>
    <dxf>
      <border outline="0">
        <left style="thin">
          <color theme="0" tint="-0.34998626667073579"/>
        </left>
      </border>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border outline="0">
        <left style="thin">
          <color theme="0" tint="-0.34998626667073579"/>
        </left>
      </border>
    </dxf>
    <dxf>
      <alignment horizontal="center" vertical="center" textRotation="0" wrapText="1"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12"/>
        <color theme="1"/>
        <name val="Times New Roman"/>
        <family val="2"/>
        <scheme val="none"/>
      </font>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ont>
        <sz val="11"/>
        <color theme="1"/>
        <family val="2"/>
      </font>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2"/>
        <color theme="1" tint="0.249977111117893"/>
        <name val="Times New Roman"/>
        <family val="1"/>
        <scheme val="none"/>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2"/>
        <color theme="1" tint="0.14999847407452621"/>
        <name val="Times New Roman"/>
        <family val="1"/>
        <scheme val="none"/>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2" defaultTableStyle="TableStyleMedium2" defaultPivotStyle="PivotStyleLight16">
    <tableStyle name="Editable table" pivot="0" count="6" xr9:uid="{DB9E75D0-AC98-4E75-8418-4F7F41C898DD}">
      <tableStyleElement type="wholeTable" dxfId="600"/>
      <tableStyleElement type="headerRow" dxfId="599"/>
      <tableStyleElement type="totalRow" dxfId="598"/>
      <tableStyleElement type="firstColumn" dxfId="597"/>
      <tableStyleElement type="firstRowStripe" dxfId="596"/>
      <tableStyleElement type="secondRowStripe" dxfId="595"/>
    </tableStyle>
    <tableStyle name="Equation table" pivot="0" count="6" xr9:uid="{0B4491E8-4F2C-4EE8-9336-DC99561B4B77}">
      <tableStyleElement type="wholeTable" dxfId="594"/>
      <tableStyleElement type="headerRow" dxfId="593"/>
      <tableStyleElement type="totalRow" dxfId="592"/>
      <tableStyleElement type="firstColumn" dxfId="591"/>
      <tableStyleElement type="firstRowStripe" dxfId="590"/>
      <tableStyleElement type="secondRowStripe" dxfId="589"/>
    </tableStyle>
  </tableStyles>
  <colors>
    <mruColors>
      <color rgb="FFFFEB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microsoft.com/office/2023/09/relationships/Python" Target="pyth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microsoft.com/office/2017/06/relationships/rdRichValueStructure" Target="richData/rdrichvaluestructure.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microsoft.com/office/2022/10/relationships/richValueRel" Target="richData/richValueRel.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38" Type="http://schemas.microsoft.com/office/2017/06/relationships/rdRichValueTypes" Target="richData/rdRichValueTypes.xml"/></Relationships>
</file>

<file path=xl/drawings/drawing1.xml><?xml version="1.0" encoding="utf-8"?>
<xdr:wsDr xmlns:xdr="http://schemas.openxmlformats.org/drawingml/2006/spreadsheetDrawing" xmlns:a="http://schemas.openxmlformats.org/drawingml/2006/main">
  <xdr:oneCellAnchor>
    <xdr:from>
      <xdr:col>3</xdr:col>
      <xdr:colOff>43237</xdr:colOff>
      <xdr:row>7</xdr:row>
      <xdr:rowOff>61924</xdr:rowOff>
    </xdr:from>
    <xdr:ext cx="2433230" cy="312906"/>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C6459FB4-F1A8-1CEB-02A7-CC4FB826FCF9}"/>
                </a:ext>
              </a:extLst>
            </xdr:cNvPr>
            <xdr:cNvSpPr txBox="1"/>
          </xdr:nvSpPr>
          <xdr:spPr>
            <a:xfrm>
              <a:off x="3091237" y="14854663"/>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𝑜</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𝑐𝑜</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𝑐𝑜</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𝑐𝑜</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5" name="TextBox 14">
              <a:extLst>
                <a:ext uri="{FF2B5EF4-FFF2-40B4-BE49-F238E27FC236}">
                  <a16:creationId xmlns:a16="http://schemas.microsoft.com/office/drawing/2014/main" id="{C6459FB4-F1A8-1CEB-02A7-CC4FB826FCF9}"/>
                </a:ext>
              </a:extLst>
            </xdr:cNvPr>
            <xdr:cNvSpPr txBox="1"/>
          </xdr:nvSpPr>
          <xdr:spPr>
            <a:xfrm>
              <a:off x="3091237" y="14854663"/>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𝐸=∑10_𝑐▒∑10_𝑜▒(𝑁_𝑐𝑜×𝑊_𝑐𝑜×𝐸𝐹_𝑐𝑜 ) ×10^(−3)</a:t>
              </a:r>
              <a:endParaRPr lang="en-AU" sz="1100"/>
            </a:p>
          </xdr:txBody>
        </xdr:sp>
      </mc:Fallback>
    </mc:AlternateContent>
    <xdr:clientData/>
  </xdr:oneCellAnchor>
  <xdr:oneCellAnchor>
    <xdr:from>
      <xdr:col>3</xdr:col>
      <xdr:colOff>43237</xdr:colOff>
      <xdr:row>100</xdr:row>
      <xdr:rowOff>61924</xdr:rowOff>
    </xdr:from>
    <xdr:ext cx="1191032" cy="332079"/>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1E1A6FD5-2521-49CB-97C6-5EE2870F398C}"/>
                </a:ext>
              </a:extLst>
            </xdr:cNvPr>
            <xdr:cNvSpPr txBox="1"/>
          </xdr:nvSpPr>
          <xdr:spPr>
            <a:xfrm>
              <a:off x="3073919" y="40447924"/>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e>
                    </m:nary>
                  </m:oMath>
                </m:oMathPara>
              </a14:m>
              <a:endParaRPr lang="en-AU" sz="1100"/>
            </a:p>
          </xdr:txBody>
        </xdr:sp>
      </mc:Choice>
      <mc:Fallback xmlns="">
        <xdr:sp macro="" textlink="">
          <xdr:nvSpPr>
            <xdr:cNvPr id="17" name="TextBox 16">
              <a:extLst>
                <a:ext uri="{FF2B5EF4-FFF2-40B4-BE49-F238E27FC236}">
                  <a16:creationId xmlns:a16="http://schemas.microsoft.com/office/drawing/2014/main" id="{1E1A6FD5-2521-49CB-97C6-5EE2870F398C}"/>
                </a:ext>
              </a:extLst>
            </xdr:cNvPr>
            <xdr:cNvSpPr txBox="1"/>
          </xdr:nvSpPr>
          <xdr:spPr>
            <a:xfrm>
              <a:off x="3073919" y="40447924"/>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𝐸=∑10_𝑗▒(𝑄_𝑗×𝐸𝐹_𝑗 ) </a:t>
              </a:r>
              <a:endParaRPr lang="en-AU" sz="1100"/>
            </a:p>
          </xdr:txBody>
        </xdr:sp>
      </mc:Fallback>
    </mc:AlternateContent>
    <xdr:clientData/>
  </xdr:oneCellAnchor>
  <xdr:oneCellAnchor>
    <xdr:from>
      <xdr:col>3</xdr:col>
      <xdr:colOff>43237</xdr:colOff>
      <xdr:row>151</xdr:row>
      <xdr:rowOff>61924</xdr:rowOff>
    </xdr:from>
    <xdr:ext cx="1320297" cy="312906"/>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261B1EBC-7BB3-4755-8A01-A90A0F4BBB33}"/>
                </a:ext>
              </a:extLst>
            </xdr:cNvPr>
            <xdr:cNvSpPr txBox="1"/>
          </xdr:nvSpPr>
          <xdr:spPr>
            <a:xfrm>
              <a:off x="3081712" y="51211174"/>
              <a:ext cx="1320297"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e>
                        </m:d>
                      </m:e>
                    </m:nary>
                  </m:oMath>
                </m:oMathPara>
              </a14:m>
              <a:endParaRPr lang="en-AU" sz="1100"/>
            </a:p>
          </xdr:txBody>
        </xdr:sp>
      </mc:Choice>
      <mc:Fallback xmlns="">
        <xdr:sp macro="" textlink="">
          <xdr:nvSpPr>
            <xdr:cNvPr id="20" name="TextBox 19">
              <a:extLst>
                <a:ext uri="{FF2B5EF4-FFF2-40B4-BE49-F238E27FC236}">
                  <a16:creationId xmlns:a16="http://schemas.microsoft.com/office/drawing/2014/main" id="{261B1EBC-7BB3-4755-8A01-A90A0F4BBB33}"/>
                </a:ext>
              </a:extLst>
            </xdr:cNvPr>
            <xdr:cNvSpPr txBox="1"/>
          </xdr:nvSpPr>
          <xdr:spPr>
            <a:xfrm>
              <a:off x="3081712" y="51211174"/>
              <a:ext cx="1320297"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𝐸=∑10_𝑚▒(𝑄_𝑚×𝐸𝐹_𝑚 ) </a:t>
              </a:r>
              <a:endParaRPr lang="en-AU" sz="1100"/>
            </a:p>
          </xdr:txBody>
        </xdr:sp>
      </mc:Fallback>
    </mc:AlternateContent>
    <xdr:clientData/>
  </xdr:oneCellAnchor>
  <xdr:oneCellAnchor>
    <xdr:from>
      <xdr:col>3</xdr:col>
      <xdr:colOff>43237</xdr:colOff>
      <xdr:row>188</xdr:row>
      <xdr:rowOff>61924</xdr:rowOff>
    </xdr:from>
    <xdr:ext cx="2099229" cy="332079"/>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C681DC4C-8560-4555-B935-48D8A5B7025B}"/>
                </a:ext>
              </a:extLst>
            </xdr:cNvPr>
            <xdr:cNvSpPr txBox="1"/>
          </xdr:nvSpPr>
          <xdr:spPr>
            <a:xfrm>
              <a:off x="3091237" y="65566710"/>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2" name="TextBox 21">
              <a:extLst>
                <a:ext uri="{FF2B5EF4-FFF2-40B4-BE49-F238E27FC236}">
                  <a16:creationId xmlns:a16="http://schemas.microsoft.com/office/drawing/2014/main" id="{C681DC4C-8560-4555-B935-48D8A5B7025B}"/>
                </a:ext>
              </a:extLst>
            </xdr:cNvPr>
            <xdr:cNvSpPr txBox="1"/>
          </xdr:nvSpPr>
          <xdr:spPr>
            <a:xfrm>
              <a:off x="3091237" y="65566710"/>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𝐸=∑10_𝑓▒∑10_𝑗▒(𝑇𝑀_𝑗𝑓×𝐸𝐹_𝑓 ) ×10^(−3)</a:t>
              </a:r>
              <a:endParaRPr lang="en-AU" sz="1100"/>
            </a:p>
          </xdr:txBody>
        </xdr:sp>
      </mc:Fallback>
    </mc:AlternateContent>
    <xdr:clientData/>
  </xdr:oneCellAnchor>
  <xdr:oneCellAnchor>
    <xdr:from>
      <xdr:col>4</xdr:col>
      <xdr:colOff>1999881</xdr:colOff>
      <xdr:row>203</xdr:row>
      <xdr:rowOff>51204</xdr:rowOff>
    </xdr:from>
    <xdr:ext cx="2458430" cy="256032"/>
    <mc:AlternateContent xmlns:mc="http://schemas.openxmlformats.org/markup-compatibility/2006" xmlns:a14="http://schemas.microsoft.com/office/drawing/2010/main">
      <mc:Choice Requires="a14">
        <xdr:sp macro="" textlink="">
          <xdr:nvSpPr>
            <xdr:cNvPr id="71" name="TextBox 70">
              <a:extLst>
                <a:ext uri="{FF2B5EF4-FFF2-40B4-BE49-F238E27FC236}">
                  <a16:creationId xmlns:a16="http://schemas.microsoft.com/office/drawing/2014/main" id="{51ACC906-F062-4AD4-86C3-1AAFDFBD3120}"/>
                </a:ext>
              </a:extLst>
            </xdr:cNvPr>
            <xdr:cNvSpPr txBox="1"/>
          </xdr:nvSpPr>
          <xdr:spPr>
            <a:xfrm>
              <a:off x="7356293" y="64036792"/>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14:m>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num>
                                    <m:den>
                                      <m:r>
                                        <a:rPr lang="en-AU" sz="1100" i="1">
                                          <a:latin typeface="Cambria Math" panose="02040503050406030204" pitchFamily="18" charset="0"/>
                                        </a:rPr>
                                        <m:t>100</m:t>
                                      </m:r>
                                    </m:den>
                                  </m:f>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oMath>
              </a14:m>
              <a:endParaRPr lang="en-AU" sz="1100"/>
            </a:p>
          </xdr:txBody>
        </xdr:sp>
      </mc:Choice>
      <mc:Fallback xmlns="">
        <xdr:sp macro="" textlink="">
          <xdr:nvSpPr>
            <xdr:cNvPr id="71" name="TextBox 70">
              <a:extLst>
                <a:ext uri="{FF2B5EF4-FFF2-40B4-BE49-F238E27FC236}">
                  <a16:creationId xmlns:a16="http://schemas.microsoft.com/office/drawing/2014/main" id="{51ACC906-F062-4AD4-86C3-1AAFDFBD3120}"/>
                </a:ext>
              </a:extLst>
            </xdr:cNvPr>
            <xdr:cNvSpPr txBox="1"/>
          </xdr:nvSpPr>
          <xdr:spPr>
            <a:xfrm>
              <a:off x="7356293" y="64036792"/>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b="1">
                  <a:solidFill>
                    <a:srgbClr val="C00000"/>
                  </a:solidFill>
                </a:rPr>
                <a:t>ORIGINAL:</a:t>
              </a:r>
              <a:r>
                <a:rPr lang="en-AU" sz="1100" baseline="0"/>
                <a:t> </a:t>
              </a:r>
              <a:r>
                <a:rPr lang="en-AU" sz="1100" i="0">
                  <a:latin typeface="Cambria Math" panose="02040503050406030204" pitchFamily="18" charset="0"/>
                </a:rPr>
                <a:t>𝐸=∑10_𝑓▒∑10_𝑐▒∑10_𝑗▒((𝐹_𝑐𝑓×𝑇𝑀_𝑗𝑓)/100×𝐸𝐹_𝑐 ) </a:t>
              </a:r>
              <a:endParaRPr lang="en-AU" sz="1100"/>
            </a:p>
          </xdr:txBody>
        </xdr:sp>
      </mc:Fallback>
    </mc:AlternateContent>
    <xdr:clientData/>
  </xdr:oneCellAnchor>
  <xdr:oneCellAnchor>
    <xdr:from>
      <xdr:col>3</xdr:col>
      <xdr:colOff>2070</xdr:colOff>
      <xdr:row>203</xdr:row>
      <xdr:rowOff>60464</xdr:rowOff>
    </xdr:from>
    <xdr:ext cx="2708818" cy="332079"/>
    <mc:AlternateContent xmlns:mc="http://schemas.openxmlformats.org/markup-compatibility/2006" xmlns:a14="http://schemas.microsoft.com/office/drawing/2010/main">
      <mc:Choice Requires="a14">
        <xdr:sp macro="" textlink="">
          <xdr:nvSpPr>
            <xdr:cNvPr id="73" name="TextBox 72">
              <a:extLst>
                <a:ext uri="{FF2B5EF4-FFF2-40B4-BE49-F238E27FC236}">
                  <a16:creationId xmlns:a16="http://schemas.microsoft.com/office/drawing/2014/main" id="{AB9B5182-C48B-A1DA-007A-35765698E706}"/>
                </a:ext>
              </a:extLst>
            </xdr:cNvPr>
            <xdr:cNvSpPr txBox="1"/>
          </xdr:nvSpPr>
          <xdr:spPr>
            <a:xfrm>
              <a:off x="3040545" y="6433516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3" name="TextBox 72">
              <a:extLst>
                <a:ext uri="{FF2B5EF4-FFF2-40B4-BE49-F238E27FC236}">
                  <a16:creationId xmlns:a16="http://schemas.microsoft.com/office/drawing/2014/main" id="{AB9B5182-C48B-A1DA-007A-35765698E706}"/>
                </a:ext>
              </a:extLst>
            </xdr:cNvPr>
            <xdr:cNvSpPr txBox="1"/>
          </xdr:nvSpPr>
          <xdr:spPr>
            <a:xfrm>
              <a:off x="3040545" y="6433516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𝐸=∑10_𝑓▒∑10_𝑐▒∑10_𝑗▒(𝐹_𝑐𝑓×𝑇𝑀_𝑗𝑓×𝐸𝐹_𝑐 ) ×10^(−3)</a:t>
              </a:r>
              <a:endParaRPr lang="en-AU" sz="1100"/>
            </a:p>
          </xdr:txBody>
        </xdr:sp>
      </mc:Fallback>
    </mc:AlternateContent>
    <xdr:clientData/>
  </xdr:oneCellAnchor>
  <xdr:oneCellAnchor>
    <xdr:from>
      <xdr:col>3</xdr:col>
      <xdr:colOff>19050</xdr:colOff>
      <xdr:row>174</xdr:row>
      <xdr:rowOff>114300</xdr:rowOff>
    </xdr:from>
    <xdr:ext cx="1375312" cy="312906"/>
    <mc:AlternateContent xmlns:mc="http://schemas.openxmlformats.org/markup-compatibility/2006" xmlns:a14="http://schemas.microsoft.com/office/drawing/2010/main">
      <mc:Choice Requires="a14">
        <xdr:sp macro="" textlink="">
          <xdr:nvSpPr>
            <xdr:cNvPr id="74" name="TextBox 73">
              <a:extLst>
                <a:ext uri="{FF2B5EF4-FFF2-40B4-BE49-F238E27FC236}">
                  <a16:creationId xmlns:a16="http://schemas.microsoft.com/office/drawing/2014/main" id="{CEEF8554-F0AF-1947-0538-3FF1820215E2}"/>
                </a:ext>
              </a:extLst>
            </xdr:cNvPr>
            <xdr:cNvSpPr txBox="1"/>
          </xdr:nvSpPr>
          <xdr:spPr>
            <a:xfrm>
              <a:off x="3057525" y="629031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e>
                        </m:d>
                      </m:e>
                    </m:nary>
                  </m:oMath>
                </m:oMathPara>
              </a14:m>
              <a:endParaRPr lang="en-AU" sz="1100"/>
            </a:p>
          </xdr:txBody>
        </xdr:sp>
      </mc:Choice>
      <mc:Fallback xmlns="">
        <xdr:sp macro="" textlink="">
          <xdr:nvSpPr>
            <xdr:cNvPr id="74" name="TextBox 73">
              <a:extLst>
                <a:ext uri="{FF2B5EF4-FFF2-40B4-BE49-F238E27FC236}">
                  <a16:creationId xmlns:a16="http://schemas.microsoft.com/office/drawing/2014/main" id="{CEEF8554-F0AF-1947-0538-3FF1820215E2}"/>
                </a:ext>
              </a:extLst>
            </xdr:cNvPr>
            <xdr:cNvSpPr txBox="1"/>
          </xdr:nvSpPr>
          <xdr:spPr>
            <a:xfrm>
              <a:off x="3057525" y="629031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𝐸𝐹_𝑓=∑10_𝑐▒(𝐹_𝑐𝑓×𝐸𝐹_𝑐 ) </a:t>
              </a:r>
              <a:endParaRPr lang="en-AU" sz="1100"/>
            </a:p>
          </xdr:txBody>
        </xdr:sp>
      </mc:Fallback>
    </mc:AlternateContent>
    <xdr:clientData/>
  </xdr:oneCellAnchor>
  <xdr:oneCellAnchor>
    <xdr:from>
      <xdr:col>3</xdr:col>
      <xdr:colOff>19051</xdr:colOff>
      <xdr:row>258</xdr:row>
      <xdr:rowOff>153521</xdr:rowOff>
    </xdr:from>
    <xdr:ext cx="1698157" cy="312971"/>
    <mc:AlternateContent xmlns:mc="http://schemas.openxmlformats.org/markup-compatibility/2006" xmlns:a14="http://schemas.microsoft.com/office/drawing/2010/main">
      <mc:Choice Requires="a14">
        <xdr:sp macro="" textlink="">
          <xdr:nvSpPr>
            <xdr:cNvPr id="75" name="TextBox 74">
              <a:extLst>
                <a:ext uri="{FF2B5EF4-FFF2-40B4-BE49-F238E27FC236}">
                  <a16:creationId xmlns:a16="http://schemas.microsoft.com/office/drawing/2014/main" id="{9B27B467-355C-E5F4-75E4-3FC7CD52C265}"/>
                </a:ext>
              </a:extLst>
            </xdr:cNvPr>
            <xdr:cNvSpPr txBox="1"/>
          </xdr:nvSpPr>
          <xdr:spPr>
            <a:xfrm>
              <a:off x="3044639" y="65976874"/>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h</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h</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h</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5" name="TextBox 74">
              <a:extLst>
                <a:ext uri="{FF2B5EF4-FFF2-40B4-BE49-F238E27FC236}">
                  <a16:creationId xmlns:a16="http://schemas.microsoft.com/office/drawing/2014/main" id="{9B27B467-355C-E5F4-75E4-3FC7CD52C265}"/>
                </a:ext>
              </a:extLst>
            </xdr:cNvPr>
            <xdr:cNvSpPr txBox="1"/>
          </xdr:nvSpPr>
          <xdr:spPr>
            <a:xfrm>
              <a:off x="3044639" y="65976874"/>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𝐸=∑10_ℎ▒(𝑄_ℎ×𝐸𝐹_ℎ ) ×10^(−3)</a:t>
              </a:r>
              <a:endParaRPr lang="en-AU" sz="1100"/>
            </a:p>
          </xdr:txBody>
        </xdr:sp>
      </mc:Fallback>
    </mc:AlternateContent>
    <xdr:clientData/>
  </xdr:oneCellAnchor>
  <xdr:oneCellAnchor>
    <xdr:from>
      <xdr:col>3</xdr:col>
      <xdr:colOff>30256</xdr:colOff>
      <xdr:row>290</xdr:row>
      <xdr:rowOff>97491</xdr:rowOff>
    </xdr:from>
    <xdr:ext cx="1022459" cy="173766"/>
    <mc:AlternateContent xmlns:mc="http://schemas.openxmlformats.org/markup-compatibility/2006" xmlns:a14="http://schemas.microsoft.com/office/drawing/2010/main">
      <mc:Choice Requires="a14">
        <xdr:sp macro="" textlink="">
          <xdr:nvSpPr>
            <xdr:cNvPr id="77" name="TextBox 76">
              <a:extLst>
                <a:ext uri="{FF2B5EF4-FFF2-40B4-BE49-F238E27FC236}">
                  <a16:creationId xmlns:a16="http://schemas.microsoft.com/office/drawing/2014/main" id="{EFEA2CAD-A731-65C7-CA86-D32D3DF0F3EC}"/>
                </a:ext>
              </a:extLst>
            </xdr:cNvPr>
            <xdr:cNvSpPr txBox="1"/>
          </xdr:nvSpPr>
          <xdr:spPr>
            <a:xfrm>
              <a:off x="3055844" y="72890903"/>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m:t>
                        </m:r>
                      </m:sub>
                    </m:sSub>
                  </m:oMath>
                </m:oMathPara>
              </a14:m>
              <a:endParaRPr lang="en-AU" sz="1100"/>
            </a:p>
          </xdr:txBody>
        </xdr:sp>
      </mc:Choice>
      <mc:Fallback xmlns="">
        <xdr:sp macro="" textlink="">
          <xdr:nvSpPr>
            <xdr:cNvPr id="77" name="TextBox 76">
              <a:extLst>
                <a:ext uri="{FF2B5EF4-FFF2-40B4-BE49-F238E27FC236}">
                  <a16:creationId xmlns:a16="http://schemas.microsoft.com/office/drawing/2014/main" id="{EFEA2CAD-A731-65C7-CA86-D32D3DF0F3EC}"/>
                </a:ext>
              </a:extLst>
            </xdr:cNvPr>
            <xdr:cNvSpPr txBox="1"/>
          </xdr:nvSpPr>
          <xdr:spPr>
            <a:xfrm>
              <a:off x="3055844" y="72890903"/>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𝐸=𝑀_𝑙𝑖𝑚𝑒×𝐸𝐹_𝑙</a:t>
              </a:r>
              <a:endParaRPr lang="en-AU" sz="1100"/>
            </a:p>
          </xdr:txBody>
        </xdr:sp>
      </mc:Fallback>
    </mc:AlternateContent>
    <xdr:clientData/>
  </xdr:oneCellAnchor>
  <xdr:oneCellAnchor>
    <xdr:from>
      <xdr:col>3</xdr:col>
      <xdr:colOff>97491</xdr:colOff>
      <xdr:row>323</xdr:row>
      <xdr:rowOff>75080</xdr:rowOff>
    </xdr:from>
    <xdr:ext cx="1692515" cy="331501"/>
    <mc:AlternateContent xmlns:mc="http://schemas.openxmlformats.org/markup-compatibility/2006" xmlns:a14="http://schemas.microsoft.com/office/drawing/2010/main">
      <mc:Choice Requires="a14">
        <xdr:sp macro="" textlink="">
          <xdr:nvSpPr>
            <xdr:cNvPr id="79" name="TextBox 78">
              <a:extLst>
                <a:ext uri="{FF2B5EF4-FFF2-40B4-BE49-F238E27FC236}">
                  <a16:creationId xmlns:a16="http://schemas.microsoft.com/office/drawing/2014/main" id="{6D907051-F99F-71F3-5584-0CA3225DA9BC}"/>
                </a:ext>
              </a:extLst>
            </xdr:cNvPr>
            <xdr:cNvSpPr txBox="1"/>
          </xdr:nvSpPr>
          <xdr:spPr>
            <a:xfrm>
              <a:off x="3123079" y="79849756"/>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79" name="TextBox 78">
              <a:extLst>
                <a:ext uri="{FF2B5EF4-FFF2-40B4-BE49-F238E27FC236}">
                  <a16:creationId xmlns:a16="http://schemas.microsoft.com/office/drawing/2014/main" id="{6D907051-F99F-71F3-5584-0CA3225DA9BC}"/>
                </a:ext>
              </a:extLst>
            </xdr:cNvPr>
            <xdr:cNvSpPr txBox="1"/>
          </xdr:nvSpPr>
          <xdr:spPr>
            <a:xfrm>
              <a:off x="3123079" y="79849756"/>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𝐸=∑10_𝑝▒(𝐴_𝑝×𝐸𝐹_𝑝 ) ×10^(−3)</a:t>
              </a:r>
              <a:endParaRPr lang="en-AU" sz="1100"/>
            </a:p>
          </xdr:txBody>
        </xdr:sp>
      </mc:Fallback>
    </mc:AlternateContent>
    <xdr:clientData/>
  </xdr:oneCellAnchor>
  <xdr:oneCellAnchor>
    <xdr:from>
      <xdr:col>3</xdr:col>
      <xdr:colOff>63874</xdr:colOff>
      <xdr:row>355</xdr:row>
      <xdr:rowOff>119902</xdr:rowOff>
    </xdr:from>
    <xdr:ext cx="1694117" cy="331501"/>
    <mc:AlternateContent xmlns:mc="http://schemas.openxmlformats.org/markup-compatibility/2006" xmlns:a14="http://schemas.microsoft.com/office/drawing/2010/main">
      <mc:Choice Requires="a14">
        <xdr:sp macro="" textlink="">
          <xdr:nvSpPr>
            <xdr:cNvPr id="81" name="TextBox 80">
              <a:extLst>
                <a:ext uri="{FF2B5EF4-FFF2-40B4-BE49-F238E27FC236}">
                  <a16:creationId xmlns:a16="http://schemas.microsoft.com/office/drawing/2014/main" id="{46C6F75C-1B5E-30FB-B77B-D6043954D8B1}"/>
                </a:ext>
              </a:extLst>
            </xdr:cNvPr>
            <xdr:cNvSpPr txBox="1"/>
          </xdr:nvSpPr>
          <xdr:spPr>
            <a:xfrm>
              <a:off x="3089462" y="86550873"/>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𝑝</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1" name="TextBox 80">
              <a:extLst>
                <a:ext uri="{FF2B5EF4-FFF2-40B4-BE49-F238E27FC236}">
                  <a16:creationId xmlns:a16="http://schemas.microsoft.com/office/drawing/2014/main" id="{46C6F75C-1B5E-30FB-B77B-D6043954D8B1}"/>
                </a:ext>
              </a:extLst>
            </xdr:cNvPr>
            <xdr:cNvSpPr txBox="1"/>
          </xdr:nvSpPr>
          <xdr:spPr>
            <a:xfrm>
              <a:off x="3089462" y="86550873"/>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𝐸=∑10_𝑝▒(𝑄_𝑝×𝐸𝐹_𝑝 ) ×10^(−3)</a:t>
              </a:r>
              <a:endParaRPr lang="en-AU" sz="1100"/>
            </a:p>
          </xdr:txBody>
        </xdr:sp>
      </mc:Fallback>
    </mc:AlternateContent>
    <xdr:clientData/>
  </xdr:oneCellAnchor>
  <xdr:oneCellAnchor>
    <xdr:from>
      <xdr:col>3</xdr:col>
      <xdr:colOff>41461</xdr:colOff>
      <xdr:row>385</xdr:row>
      <xdr:rowOff>131109</xdr:rowOff>
    </xdr:from>
    <xdr:ext cx="1698863" cy="332207"/>
    <mc:AlternateContent xmlns:mc="http://schemas.openxmlformats.org/markup-compatibility/2006" xmlns:a14="http://schemas.microsoft.com/office/drawing/2010/main">
      <mc:Choice Requires="a14">
        <xdr:sp macro="" textlink="">
          <xdr:nvSpPr>
            <xdr:cNvPr id="82" name="TextBox 81">
              <a:extLst>
                <a:ext uri="{FF2B5EF4-FFF2-40B4-BE49-F238E27FC236}">
                  <a16:creationId xmlns:a16="http://schemas.microsoft.com/office/drawing/2014/main" id="{04746F7A-D77B-595B-4573-70F2E33DC01D}"/>
                </a:ext>
              </a:extLst>
            </xdr:cNvPr>
            <xdr:cNvSpPr txBox="1"/>
          </xdr:nvSpPr>
          <xdr:spPr>
            <a:xfrm>
              <a:off x="3067049" y="92120197"/>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𝑔</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𝑔</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𝑔</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2" name="TextBox 81">
              <a:extLst>
                <a:ext uri="{FF2B5EF4-FFF2-40B4-BE49-F238E27FC236}">
                  <a16:creationId xmlns:a16="http://schemas.microsoft.com/office/drawing/2014/main" id="{04746F7A-D77B-595B-4573-70F2E33DC01D}"/>
                </a:ext>
              </a:extLst>
            </xdr:cNvPr>
            <xdr:cNvSpPr txBox="1"/>
          </xdr:nvSpPr>
          <xdr:spPr>
            <a:xfrm>
              <a:off x="3067049" y="92120197"/>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𝐸=∑10_𝑔▒(𝑄_𝑔×𝐸𝐹_𝑔 ) ×10^(−3)</a:t>
              </a:r>
              <a:endParaRPr lang="en-AU" sz="1100"/>
            </a:p>
          </xdr:txBody>
        </xdr:sp>
      </mc:Fallback>
    </mc:AlternateContent>
    <xdr:clientData/>
  </xdr:oneCellAnchor>
  <xdr:oneCellAnchor>
    <xdr:from>
      <xdr:col>3</xdr:col>
      <xdr:colOff>28575</xdr:colOff>
      <xdr:row>418</xdr:row>
      <xdr:rowOff>114299</xdr:rowOff>
    </xdr:from>
    <xdr:ext cx="2929969" cy="173766"/>
    <mc:AlternateContent xmlns:mc="http://schemas.openxmlformats.org/markup-compatibility/2006" xmlns:a14="http://schemas.microsoft.com/office/drawing/2010/main">
      <mc:Choice Requires="a14">
        <xdr:sp macro="" textlink="">
          <xdr:nvSpPr>
            <xdr:cNvPr id="83" name="TextBox 82">
              <a:extLst>
                <a:ext uri="{FF2B5EF4-FFF2-40B4-BE49-F238E27FC236}">
                  <a16:creationId xmlns:a16="http://schemas.microsoft.com/office/drawing/2014/main" id="{9CB0C24E-AD05-2E45-37B4-6127CA13F956}"/>
                </a:ext>
              </a:extLst>
            </xdr:cNvPr>
            <xdr:cNvSpPr txBox="1"/>
          </xdr:nvSpPr>
          <xdr:spPr>
            <a:xfrm>
              <a:off x="3067050" y="997457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𝑒𝑚𝑖𝑠𝑠𝑖𝑜𝑛𝑠</m:t>
                    </m:r>
                    <m:r>
                      <a:rPr lang="en-AU" sz="1100" i="1">
                        <a:latin typeface="Cambria Math" panose="02040503050406030204" pitchFamily="18" charset="0"/>
                      </a:rPr>
                      <m:t>=</m:t>
                    </m:r>
                    <m:r>
                      <a:rPr lang="en-AU" sz="1100" i="1">
                        <a:latin typeface="Cambria Math" panose="02040503050406030204" pitchFamily="18" charset="0"/>
                      </a:rPr>
                      <m:t>𝑎𝑐𝑡𝑖𝑣𝑖𝑡𝑦</m:t>
                    </m:r>
                    <m:r>
                      <m:rPr>
                        <m:lit/>
                      </m:rPr>
                      <a:rPr lang="en-AU" sz="1100" i="1">
                        <a:latin typeface="Cambria Math" panose="02040503050406030204" pitchFamily="18" charset="0"/>
                      </a:rPr>
                      <m:t>_</m:t>
                    </m:r>
                    <m:r>
                      <a:rPr lang="en-AU" sz="1100" i="1">
                        <a:latin typeface="Cambria Math" panose="02040503050406030204" pitchFamily="18" charset="0"/>
                      </a:rPr>
                      <m:t>𝑑𝑎𝑡𝑎</m:t>
                    </m:r>
                    <m:r>
                      <a:rPr lang="en-AU" sz="1100" i="1">
                        <a:latin typeface="Cambria Math" panose="02040503050406030204" pitchFamily="18" charset="0"/>
                      </a:rPr>
                      <m:t>×</m:t>
                    </m:r>
                    <m:r>
                      <a:rPr lang="en-AU" sz="1100" i="1">
                        <a:latin typeface="Cambria Math" panose="02040503050406030204" pitchFamily="18" charset="0"/>
                      </a:rPr>
                      <m:t>𝑒𝑚𝑖𝑠𝑠𝑖𝑜𝑛</m:t>
                    </m:r>
                    <m:r>
                      <m:rPr>
                        <m:lit/>
                      </m:rPr>
                      <a:rPr lang="en-AU" sz="1100" i="1">
                        <a:latin typeface="Cambria Math" panose="02040503050406030204" pitchFamily="18" charset="0"/>
                      </a:rPr>
                      <m:t>_</m:t>
                    </m:r>
                    <m:r>
                      <a:rPr lang="en-AU" sz="1100" i="1">
                        <a:latin typeface="Cambria Math" panose="02040503050406030204" pitchFamily="18" charset="0"/>
                      </a:rPr>
                      <m:t>𝑓𝑎𝑐𝑡𝑜𝑟</m:t>
                    </m:r>
                    <m:r>
                      <a:rPr lang="en-AU" sz="1100" i="1">
                        <a:latin typeface="Cambria Math" panose="02040503050406030204" pitchFamily="18" charset="0"/>
                      </a:rPr>
                      <m:t> </m:t>
                    </m:r>
                  </m:oMath>
                </m:oMathPara>
              </a14:m>
              <a:endParaRPr lang="en-AU" sz="1100"/>
            </a:p>
          </xdr:txBody>
        </xdr:sp>
      </mc:Choice>
      <mc:Fallback xmlns="">
        <xdr:sp macro="" textlink="">
          <xdr:nvSpPr>
            <xdr:cNvPr id="83" name="TextBox 82">
              <a:extLst>
                <a:ext uri="{FF2B5EF4-FFF2-40B4-BE49-F238E27FC236}">
                  <a16:creationId xmlns:a16="http://schemas.microsoft.com/office/drawing/2014/main" id="{9CB0C24E-AD05-2E45-37B4-6127CA13F956}"/>
                </a:ext>
              </a:extLst>
            </xdr:cNvPr>
            <xdr:cNvSpPr txBox="1"/>
          </xdr:nvSpPr>
          <xdr:spPr>
            <a:xfrm>
              <a:off x="3067050" y="997457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𝑒𝑚𝑖𝑠𝑠𝑖𝑜𝑛𝑠=𝑎𝑐𝑡𝑖𝑣𝑖𝑡𝑦\_𝑑𝑎𝑡𝑎×𝑒𝑚𝑖𝑠𝑠𝑖𝑜𝑛\_𝑓𝑎𝑐𝑡𝑜𝑟 </a:t>
              </a:r>
              <a:endParaRPr lang="en-AU" sz="1100"/>
            </a:p>
          </xdr:txBody>
        </xdr:sp>
      </mc:Fallback>
    </mc:AlternateContent>
    <xdr:clientData/>
  </xdr:oneCellAnchor>
  <xdr:oneCellAnchor>
    <xdr:from>
      <xdr:col>3</xdr:col>
      <xdr:colOff>30257</xdr:colOff>
      <xdr:row>508</xdr:row>
      <xdr:rowOff>103094</xdr:rowOff>
    </xdr:from>
    <xdr:ext cx="2229713" cy="331501"/>
    <mc:AlternateContent xmlns:mc="http://schemas.openxmlformats.org/markup-compatibility/2006" xmlns:a14="http://schemas.microsoft.com/office/drawing/2010/main">
      <mc:Choice Requires="a14">
        <xdr:sp macro="" textlink="">
          <xdr:nvSpPr>
            <xdr:cNvPr id="84" name="TextBox 83">
              <a:extLst>
                <a:ext uri="{FF2B5EF4-FFF2-40B4-BE49-F238E27FC236}">
                  <a16:creationId xmlns:a16="http://schemas.microsoft.com/office/drawing/2014/main" id="{808B04DA-D691-FF0E-70CA-0E47AC6B2252}"/>
                </a:ext>
              </a:extLst>
            </xdr:cNvPr>
            <xdr:cNvSpPr txBox="1"/>
          </xdr:nvSpPr>
          <xdr:spPr>
            <a:xfrm>
              <a:off x="3055845" y="116532212"/>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𝑡𝑟𝑎𝑛𝑠</m:t>
                            </m:r>
                            <m:r>
                              <a:rPr lang="en-AU" sz="1100" i="1">
                                <a:latin typeface="Cambria Math" panose="02040503050406030204" pitchFamily="18" charset="0"/>
                              </a:rPr>
                              <m:t>,</m:t>
                            </m:r>
                            <m:r>
                              <a:rPr lang="en-AU" sz="1100" i="1">
                                <a:latin typeface="Cambria Math" panose="02040503050406030204" pitchFamily="18" charset="0"/>
                              </a:rPr>
                              <m:t>𝑞</m:t>
                            </m:r>
                          </m:sub>
                        </m:sSub>
                      </m:e>
                    </m:nary>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𝑞</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𝑊𝑇𝑇</m:t>
                            </m:r>
                            <m:r>
                              <a:rPr lang="en-AU" sz="1100" i="1">
                                <a:latin typeface="Cambria Math" panose="02040503050406030204" pitchFamily="18" charset="0"/>
                              </a:rPr>
                              <m:t>,</m:t>
                            </m:r>
                            <m:r>
                              <a:rPr lang="en-AU" sz="1100" i="1">
                                <a:latin typeface="Cambria Math" panose="02040503050406030204" pitchFamily="18" charset="0"/>
                              </a:rPr>
                              <m:t>𝑆𝐶</m:t>
                            </m:r>
                            <m:r>
                              <a:rPr lang="en-AU" sz="1100" i="1">
                                <a:latin typeface="Cambria Math" panose="02040503050406030204" pitchFamily="18" charset="0"/>
                              </a:rPr>
                              <m:t>,</m:t>
                            </m:r>
                            <m:r>
                              <a:rPr lang="en-AU" sz="1100" i="1">
                                <a:latin typeface="Cambria Math" panose="02040503050406030204" pitchFamily="18" charset="0"/>
                              </a:rPr>
                              <m:t>𝑞</m:t>
                            </m:r>
                          </m:sub>
                        </m:sSub>
                      </m:e>
                    </m:nary>
                  </m:oMath>
                </m:oMathPara>
              </a14:m>
              <a:endParaRPr lang="en-AU" sz="1100"/>
            </a:p>
          </xdr:txBody>
        </xdr:sp>
      </mc:Choice>
      <mc:Fallback xmlns="">
        <xdr:sp macro="" textlink="">
          <xdr:nvSpPr>
            <xdr:cNvPr id="84" name="TextBox 83">
              <a:extLst>
                <a:ext uri="{FF2B5EF4-FFF2-40B4-BE49-F238E27FC236}">
                  <a16:creationId xmlns:a16="http://schemas.microsoft.com/office/drawing/2014/main" id="{808B04DA-D691-FF0E-70CA-0E47AC6B2252}"/>
                </a:ext>
              </a:extLst>
            </xdr:cNvPr>
            <xdr:cNvSpPr txBox="1"/>
          </xdr:nvSpPr>
          <xdr:spPr>
            <a:xfrm>
              <a:off x="3055845" y="116532212"/>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𝐸=∑10_𝑞▒𝐸_(𝑊𝑇𝑇,𝑡𝑟𝑎𝑛𝑠,𝑞) +∑10_𝑞▒𝐸_(𝑊𝑇𝑇,𝑆𝐶,𝑞) </a:t>
              </a:r>
              <a:endParaRPr lang="en-AU" sz="1100"/>
            </a:p>
          </xdr:txBody>
        </xdr:sp>
      </mc:Fallback>
    </mc:AlternateContent>
    <xdr:clientData/>
  </xdr:oneCellAnchor>
  <xdr:oneCellAnchor>
    <xdr:from>
      <xdr:col>3</xdr:col>
      <xdr:colOff>30256</xdr:colOff>
      <xdr:row>523</xdr:row>
      <xdr:rowOff>80682</xdr:rowOff>
    </xdr:from>
    <xdr:ext cx="1958037" cy="180114"/>
    <mc:AlternateContent xmlns:mc="http://schemas.openxmlformats.org/markup-compatibility/2006" xmlns:a14="http://schemas.microsoft.com/office/drawing/2010/main">
      <mc:Choice Requires="a14">
        <xdr:sp macro="" textlink="">
          <xdr:nvSpPr>
            <xdr:cNvPr id="85" name="TextBox 84">
              <a:extLst>
                <a:ext uri="{FF2B5EF4-FFF2-40B4-BE49-F238E27FC236}">
                  <a16:creationId xmlns:a16="http://schemas.microsoft.com/office/drawing/2014/main" id="{D4D13A80-1822-3BD1-7E3D-2EFE46A1B07C}"/>
                </a:ext>
              </a:extLst>
            </xdr:cNvPr>
            <xdr:cNvSpPr txBox="1"/>
          </xdr:nvSpPr>
          <xdr:spPr>
            <a:xfrm>
              <a:off x="3055844" y="119681064"/>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5" name="TextBox 84">
              <a:extLst>
                <a:ext uri="{FF2B5EF4-FFF2-40B4-BE49-F238E27FC236}">
                  <a16:creationId xmlns:a16="http://schemas.microsoft.com/office/drawing/2014/main" id="{D4D13A80-1822-3BD1-7E3D-2EFE46A1B07C}"/>
                </a:ext>
              </a:extLst>
            </xdr:cNvPr>
            <xdr:cNvSpPr txBox="1"/>
          </xdr:nvSpPr>
          <xdr:spPr>
            <a:xfrm>
              <a:off x="3055844" y="119681064"/>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𝐸_(3,𝑒𝑙𝑒𝑐)=𝑄_𝑒𝑙𝑒𝑐×𝐸𝐹_(3,𝑒𝑙𝑒𝑐)×10^(−3)</a:t>
              </a:r>
              <a:endParaRPr lang="en-AU" sz="1100"/>
            </a:p>
          </xdr:txBody>
        </xdr:sp>
      </mc:Fallback>
    </mc:AlternateContent>
    <xdr:clientData/>
  </xdr:oneCellAnchor>
  <xdr:oneCellAnchor>
    <xdr:from>
      <xdr:col>5</xdr:col>
      <xdr:colOff>2137393</xdr:colOff>
      <xdr:row>540</xdr:row>
      <xdr:rowOff>162570</xdr:rowOff>
    </xdr:from>
    <xdr:ext cx="6938886" cy="191078"/>
    <mc:AlternateContent xmlns:mc="http://schemas.openxmlformats.org/markup-compatibility/2006" xmlns:a14="http://schemas.microsoft.com/office/drawing/2010/main">
      <mc:Choice Requires="a14">
        <xdr:sp macro="" textlink="">
          <xdr:nvSpPr>
            <xdr:cNvPr id="87" name="TextBox 86">
              <a:extLst>
                <a:ext uri="{FF2B5EF4-FFF2-40B4-BE49-F238E27FC236}">
                  <a16:creationId xmlns:a16="http://schemas.microsoft.com/office/drawing/2014/main" id="{33C73E23-A5CE-48C5-3C8C-22A83CCA818E}"/>
                </a:ext>
              </a:extLst>
            </xdr:cNvPr>
            <xdr:cNvSpPr txBox="1"/>
          </xdr:nvSpPr>
          <xdr:spPr>
            <a:xfrm>
              <a:off x="9852643" y="12313032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m:rPr>
                            <m:sty m:val="p"/>
                          </m:rPr>
                          <a:rPr lang="en-AU" sz="1100" b="0" i="1">
                            <a:solidFill>
                              <a:srgbClr val="C00000"/>
                            </a:solidFill>
                            <a:latin typeface="Cambria Math" panose="02040503050406030204" pitchFamily="18" charset="0"/>
                          </a:rPr>
                          <m:t>ORIGINAL</m:t>
                        </m:r>
                        <m:r>
                          <a:rPr lang="en-AU" sz="1100" b="0" i="1">
                            <a:solidFill>
                              <a:srgbClr val="C0000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7" name="TextBox 86">
              <a:extLst>
                <a:ext uri="{FF2B5EF4-FFF2-40B4-BE49-F238E27FC236}">
                  <a16:creationId xmlns:a16="http://schemas.microsoft.com/office/drawing/2014/main" id="{33C73E23-A5CE-48C5-3C8C-22A83CCA818E}"/>
                </a:ext>
              </a:extLst>
            </xdr:cNvPr>
            <xdr:cNvSpPr txBox="1"/>
          </xdr:nvSpPr>
          <xdr:spPr>
            <a:xfrm>
              <a:off x="9852643" y="12313032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a:t>
              </a:r>
              <a:r>
                <a:rPr lang="en-AU" sz="1100" b="0" i="0">
                  <a:solidFill>
                    <a:srgbClr val="C00000"/>
                  </a:solidFill>
                  <a:latin typeface="Cambria Math" panose="02040503050406030204" pitchFamily="18" charset="0"/>
                </a:rPr>
                <a:t>ORIGINAL:</a:t>
              </a:r>
              <a:r>
                <a:rPr lang="en-AU" sz="1100" b="0" i="0">
                  <a:latin typeface="Cambria Math" panose="02040503050406030204" pitchFamily="18" charset="0"/>
                </a:rPr>
                <a:t> </a:t>
              </a:r>
              <a:r>
                <a:rPr lang="en-AU" sz="11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3</xdr:col>
      <xdr:colOff>5351</xdr:colOff>
      <xdr:row>540</xdr:row>
      <xdr:rowOff>182789</xdr:rowOff>
    </xdr:from>
    <xdr:ext cx="6155275" cy="191078"/>
    <mc:AlternateContent xmlns:mc="http://schemas.openxmlformats.org/markup-compatibility/2006" xmlns:a14="http://schemas.microsoft.com/office/drawing/2010/main">
      <mc:Choice Requires="a14">
        <xdr:sp macro="" textlink="">
          <xdr:nvSpPr>
            <xdr:cNvPr id="88" name="TextBox 87">
              <a:extLst>
                <a:ext uri="{FF2B5EF4-FFF2-40B4-BE49-F238E27FC236}">
                  <a16:creationId xmlns:a16="http://schemas.microsoft.com/office/drawing/2014/main" id="{3C903432-AC8C-8204-101F-AE898265BAA1}"/>
                </a:ext>
              </a:extLst>
            </xdr:cNvPr>
            <xdr:cNvSpPr txBox="1"/>
          </xdr:nvSpPr>
          <xdr:spPr>
            <a:xfrm>
              <a:off x="3046024" y="12315053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𝑒𝑙𝑒𝑐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𝑅𝑃𝑃</m:t>
                            </m:r>
                            <m:r>
                              <a:rPr lang="en-AU" sz="1100" i="1">
                                <a:latin typeface="Cambria Math" panose="02040503050406030204" pitchFamily="18" charset="0"/>
                              </a:rPr>
                              <m:t>+</m:t>
                            </m:r>
                            <m:r>
                              <a:rPr lang="en-AU" sz="1100" i="1">
                                <a:latin typeface="Cambria Math" panose="02040503050406030204" pitchFamily="18" charset="0"/>
                              </a:rPr>
                              <m:t>𝐽𝑅𝑃𝑃</m:t>
                            </m:r>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𝑠𝑢𝑟𝑟𝑒𝑛𝑑𝑒𝑟𝑒𝑑</m:t>
                                    </m:r>
                                  </m:sub>
                                </m:sSub>
                                <m:r>
                                  <a:rPr lang="en-AU" sz="1100" i="1">
                                    <a:latin typeface="Cambria Math" panose="02040503050406030204" pitchFamily="18" charset="0"/>
                                  </a:rPr>
                                  <m:t>−</m:t>
                                </m:r>
                                <m:r>
                                  <a:rPr lang="en-AU" sz="1100" i="1">
                                    <a:latin typeface="Cambria Math" panose="02040503050406030204" pitchFamily="18" charset="0"/>
                                  </a:rPr>
                                  <m:t>𝑅𝐸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𝑜𝑛𝑠𝑖𝑡𝑒</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𝑅𝑀𝐹</m:t>
                        </m:r>
                        <m:r>
                          <a:rPr lang="en-AU" sz="1100" i="1">
                            <a:latin typeface="Cambria Math" panose="02040503050406030204" pitchFamily="18" charset="0"/>
                          </a:rPr>
                          <m:t>3,</m:t>
                        </m:r>
                        <m:r>
                          <a:rPr lang="en-AU" sz="1100" i="1">
                            <a:latin typeface="Cambria Math" panose="02040503050406030204" pitchFamily="18" charset="0"/>
                          </a:rPr>
                          <m:t>𝑒𝑙𝑒𝑐</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8" name="TextBox 87">
              <a:extLst>
                <a:ext uri="{FF2B5EF4-FFF2-40B4-BE49-F238E27FC236}">
                  <a16:creationId xmlns:a16="http://schemas.microsoft.com/office/drawing/2014/main" id="{3C903432-AC8C-8204-101F-AE898265BAA1}"/>
                </a:ext>
              </a:extLst>
            </xdr:cNvPr>
            <xdr:cNvSpPr txBox="1"/>
          </xdr:nvSpPr>
          <xdr:spPr>
            <a:xfrm>
              <a:off x="3046024" y="12315053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100"/>
            </a:p>
          </xdr:txBody>
        </xdr:sp>
      </mc:Fallback>
    </mc:AlternateContent>
    <xdr:clientData/>
  </xdr:oneCellAnchor>
  <xdr:oneCellAnchor>
    <xdr:from>
      <xdr:col>2</xdr:col>
      <xdr:colOff>344020</xdr:colOff>
      <xdr:row>561</xdr:row>
      <xdr:rowOff>114299</xdr:rowOff>
    </xdr:from>
    <xdr:ext cx="1519327" cy="173766"/>
    <mc:AlternateContent xmlns:mc="http://schemas.openxmlformats.org/markup-compatibility/2006" xmlns:a14="http://schemas.microsoft.com/office/drawing/2010/main">
      <mc:Choice Requires="a14">
        <xdr:sp macro="" textlink="">
          <xdr:nvSpPr>
            <xdr:cNvPr id="92" name="TextBox 91">
              <a:extLst>
                <a:ext uri="{FF2B5EF4-FFF2-40B4-BE49-F238E27FC236}">
                  <a16:creationId xmlns:a16="http://schemas.microsoft.com/office/drawing/2014/main" id="{0B499CE5-B20B-780D-BA69-4BF8FFC15279}"/>
                </a:ext>
              </a:extLst>
            </xdr:cNvPr>
            <xdr:cNvSpPr txBox="1"/>
          </xdr:nvSpPr>
          <xdr:spPr>
            <a:xfrm>
              <a:off x="3022226" y="127670858"/>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𝑙𝑒𝑎𝑐h</m:t>
                        </m:r>
                      </m:sub>
                    </m:sSub>
                  </m:oMath>
                </m:oMathPara>
              </a14:m>
              <a:endParaRPr lang="en-AU" sz="1100"/>
            </a:p>
          </xdr:txBody>
        </xdr:sp>
      </mc:Choice>
      <mc:Fallback xmlns="">
        <xdr:sp macro="" textlink="">
          <xdr:nvSpPr>
            <xdr:cNvPr id="92" name="TextBox 91">
              <a:extLst>
                <a:ext uri="{FF2B5EF4-FFF2-40B4-BE49-F238E27FC236}">
                  <a16:creationId xmlns:a16="http://schemas.microsoft.com/office/drawing/2014/main" id="{0B499CE5-B20B-780D-BA69-4BF8FFC15279}"/>
                </a:ext>
              </a:extLst>
            </xdr:cNvPr>
            <xdr:cNvSpPr txBox="1"/>
          </xdr:nvSpPr>
          <xdr:spPr>
            <a:xfrm>
              <a:off x="3022226" y="127670858"/>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𝐸=𝐸_𝑁2𝑂+𝐸_𝑎𝑑+𝐸_𝑙𝑒𝑎𝑐ℎ</a:t>
              </a:r>
              <a:endParaRPr lang="en-AU" sz="1100"/>
            </a:p>
          </xdr:txBody>
        </xdr:sp>
      </mc:Fallback>
    </mc:AlternateContent>
    <xdr:clientData/>
  </xdr:oneCellAnchor>
  <xdr:oneCellAnchor>
    <xdr:from>
      <xdr:col>3</xdr:col>
      <xdr:colOff>30257</xdr:colOff>
      <xdr:row>594</xdr:row>
      <xdr:rowOff>136712</xdr:rowOff>
    </xdr:from>
    <xdr:ext cx="1725537" cy="332014"/>
    <mc:AlternateContent xmlns:mc="http://schemas.openxmlformats.org/markup-compatibility/2006" xmlns:a14="http://schemas.microsoft.com/office/drawing/2010/main">
      <mc:Choice Requires="a14">
        <xdr:sp macro="" textlink="">
          <xdr:nvSpPr>
            <xdr:cNvPr id="93" name="TextBox 92">
              <a:extLst>
                <a:ext uri="{FF2B5EF4-FFF2-40B4-BE49-F238E27FC236}">
                  <a16:creationId xmlns:a16="http://schemas.microsoft.com/office/drawing/2014/main" id="{0788B87A-DB2E-A83E-B759-F5A486316971}"/>
                </a:ext>
              </a:extLst>
            </xdr:cNvPr>
            <xdr:cNvSpPr txBox="1"/>
          </xdr:nvSpPr>
          <xdr:spPr>
            <a:xfrm>
              <a:off x="3055845" y="134271124"/>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𝑓</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e>
                        </m:d>
                      </m:e>
                    </m:nary>
                  </m:oMath>
                </m:oMathPara>
              </a14:m>
              <a:endParaRPr lang="en-AU" sz="1100"/>
            </a:p>
          </xdr:txBody>
        </xdr:sp>
      </mc:Choice>
      <mc:Fallback xmlns="">
        <xdr:sp macro="" textlink="">
          <xdr:nvSpPr>
            <xdr:cNvPr id="93" name="TextBox 92">
              <a:extLst>
                <a:ext uri="{FF2B5EF4-FFF2-40B4-BE49-F238E27FC236}">
                  <a16:creationId xmlns:a16="http://schemas.microsoft.com/office/drawing/2014/main" id="{0788B87A-DB2E-A83E-B759-F5A486316971}"/>
                </a:ext>
              </a:extLst>
            </xdr:cNvPr>
            <xdr:cNvSpPr txBox="1"/>
          </xdr:nvSpPr>
          <xdr:spPr>
            <a:xfrm>
              <a:off x="3055845" y="134271124"/>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𝐸=∑2_𝑓▒((𝑊_𝑓×𝐷_𝑓 )×𝐸𝐹_𝑓 ) </a:t>
              </a:r>
              <a:endParaRPr lang="en-AU" sz="1100"/>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oneCellAnchor>
    <xdr:from>
      <xdr:col>3</xdr:col>
      <xdr:colOff>13447</xdr:colOff>
      <xdr:row>7</xdr:row>
      <xdr:rowOff>109818</xdr:rowOff>
    </xdr:from>
    <xdr:ext cx="1199046"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B7584CF-A851-4A28-A697-AFFAAE1746FB}"/>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𝑉</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𝑉𝑇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𝑤</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9B7584CF-A851-4A28-A697-AFFAAE1746FB}"/>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𝑄_𝑤𝑡=𝑉_𝑤𝑡×𝑉𝑇𝑀_𝑤</a:t>
              </a:r>
              <a:endParaRPr lang="en-AU" sz="1100"/>
            </a:p>
          </xdr:txBody>
        </xdr:sp>
      </mc:Fallback>
    </mc:AlternateContent>
    <xdr:clientData/>
  </xdr:oneCellAnchor>
  <xdr:oneCellAnchor>
    <xdr:from>
      <xdr:col>3</xdr:col>
      <xdr:colOff>4762</xdr:colOff>
      <xdr:row>99</xdr:row>
      <xdr:rowOff>114300</xdr:rowOff>
    </xdr:from>
    <xdr:ext cx="1790426" cy="31290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5F5F9DF-2BE1-4E4A-B171-8909FB240178}"/>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𝑔</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𝑡</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𝑤</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𝑤𝑡𝑔</m:t>
                                    </m:r>
                                  </m:sub>
                                </m:sSub>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5F5F9DF-2BE1-4E4A-B171-8909FB240178}"/>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𝐸_𝑔=∑2_𝑡▒∑2_𝑤▒(𝑄_𝑤𝑡×𝐸𝐹_𝑤𝑡𝑔 ) </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F559BD6-0D8E-4804-BA08-E274183EBB00}"/>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EF559BD6-0D8E-4804-BA08-E274183EBB00}"/>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oneCellAnchor>
    <xdr:from>
      <xdr:col>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99C928A-9393-40E6-BE77-DFCC839B2AEC}"/>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299C928A-9393-40E6-BE77-DFCC839B2AEC}"/>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22C4993-4BE4-41FF-9A8D-E84A67959803}"/>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B22C4993-4BE4-41FF-9A8D-E84A67959803}"/>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oneCellAnchor>
    <xdr:from>
      <xdr:col>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C957D00D-D21E-4A5E-956B-B4B2180DC37D}"/>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C957D00D-D21E-4A5E-956B-B4B2180DC37D}"/>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549A9F06-496C-4FE6-AAD6-5008B59A5906}"/>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549A9F06-496C-4FE6-AAD6-5008B59A5906}"/>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oneCellAnchor>
    <xdr:from>
      <xdr:col>13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B7781B4-D310-4353-8550-4D3F805EBB65}"/>
                </a:ext>
              </a:extLst>
            </xdr:cNvPr>
            <xdr:cNvSpPr txBox="1"/>
          </xdr:nvSpPr>
          <xdr:spPr>
            <a:xfrm>
              <a:off x="3030350" y="1926851"/>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AB7781B4-D310-4353-8550-4D3F805EBB65}"/>
                </a:ext>
              </a:extLst>
            </xdr:cNvPr>
            <xdr:cNvSpPr txBox="1"/>
          </xdr:nvSpPr>
          <xdr:spPr>
            <a:xfrm>
              <a:off x="3030350" y="1926851"/>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𝐸_𝑁2𝑂=∑_𝑗▒∑_𝑓▒((𝑀𝑁𝑆𝑜𝑖𝑙_𝑗𝑓×𝐸𝐹_(𝑁2𝑂,𝑖)×𝐶_𝑁2𝑂 )×10^(−3) ) </a:t>
              </a:r>
              <a:endParaRPr lang="en-AU" sz="1100"/>
            </a:p>
          </xdr:txBody>
        </xdr:sp>
      </mc:Fallback>
    </mc:AlternateContent>
    <xdr:clientData/>
  </xdr:oneCellAnchor>
  <xdr:oneCellAnchor>
    <xdr:from>
      <xdr:col>13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072A6189-AD67-4864-AAA8-4C2FC7C3C228}"/>
                </a:ext>
              </a:extLst>
            </xdr:cNvPr>
            <xdr:cNvSpPr txBox="1"/>
          </xdr:nvSpPr>
          <xdr:spPr>
            <a:xfrm>
              <a:off x="3030350" y="6610910"/>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8" name="TextBox 7">
              <a:extLst>
                <a:ext uri="{FF2B5EF4-FFF2-40B4-BE49-F238E27FC236}">
                  <a16:creationId xmlns:a16="http://schemas.microsoft.com/office/drawing/2014/main" id="{072A6189-AD67-4864-AAA8-4C2FC7C3C228}"/>
                </a:ext>
              </a:extLst>
            </xdr:cNvPr>
            <xdr:cNvSpPr txBox="1"/>
          </xdr:nvSpPr>
          <xdr:spPr>
            <a:xfrm>
              <a:off x="3030350" y="6610910"/>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13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D84357B9-2A0E-4C67-B629-2D0F02227AA9}"/>
                </a:ext>
              </a:extLst>
            </xdr:cNvPr>
            <xdr:cNvSpPr txBox="1"/>
          </xdr:nvSpPr>
          <xdr:spPr>
            <a:xfrm>
              <a:off x="3039875" y="10545856"/>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9" name="TextBox 8">
              <a:extLst>
                <a:ext uri="{FF2B5EF4-FFF2-40B4-BE49-F238E27FC236}">
                  <a16:creationId xmlns:a16="http://schemas.microsoft.com/office/drawing/2014/main" id="{D84357B9-2A0E-4C67-B629-2D0F02227AA9}"/>
                </a:ext>
              </a:extLst>
            </xdr:cNvPr>
            <xdr:cNvSpPr txBox="1"/>
          </xdr:nvSpPr>
          <xdr:spPr>
            <a:xfrm>
              <a:off x="3039875" y="10545856"/>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oneCellAnchor>
    <xdr:from>
      <xdr:col>12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1FD52618-2F6A-4DAD-BD80-647BFB60EA53}"/>
                </a:ext>
              </a:extLst>
            </xdr:cNvPr>
            <xdr:cNvSpPr txBox="1"/>
          </xdr:nvSpPr>
          <xdr:spPr>
            <a:xfrm>
              <a:off x="2930618" y="15244202"/>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10" name="TextBox 9">
              <a:extLst>
                <a:ext uri="{FF2B5EF4-FFF2-40B4-BE49-F238E27FC236}">
                  <a16:creationId xmlns:a16="http://schemas.microsoft.com/office/drawing/2014/main" id="{1FD52618-2F6A-4DAD-BD80-647BFB60EA53}"/>
                </a:ext>
              </a:extLst>
            </xdr:cNvPr>
            <xdr:cNvSpPr txBox="1"/>
          </xdr:nvSpPr>
          <xdr:spPr>
            <a:xfrm>
              <a:off x="2930618" y="15244202"/>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13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7F705BC0-9FC1-4ECB-B685-70FE529CA139}"/>
                </a:ext>
              </a:extLst>
            </xdr:cNvPr>
            <xdr:cNvSpPr txBox="1"/>
          </xdr:nvSpPr>
          <xdr:spPr>
            <a:xfrm>
              <a:off x="3039875" y="19672206"/>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11" name="TextBox 10">
              <a:extLst>
                <a:ext uri="{FF2B5EF4-FFF2-40B4-BE49-F238E27FC236}">
                  <a16:creationId xmlns:a16="http://schemas.microsoft.com/office/drawing/2014/main" id="{7F705BC0-9FC1-4ECB-B685-70FE529CA139}"/>
                </a:ext>
              </a:extLst>
            </xdr:cNvPr>
            <xdr:cNvSpPr txBox="1"/>
          </xdr:nvSpPr>
          <xdr:spPr>
            <a:xfrm>
              <a:off x="3039875" y="19672206"/>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ACD90F3-E2CB-4878-8480-78E9072C40CF}"/>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BACD90F3-E2CB-4878-8480-78E9072C40CF}"/>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328712B6-86C9-47A7-A214-790F75D17C04}"/>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𝑡𝑞𝑔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328712B6-86C9-47A7-A214-790F75D17C04}"/>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1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3CF48537-B903-4ED8-B399-0BFD656D2C29}"/>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𝑡𝑟𝑎𝑛𝑠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𝑇𝑟𝑎𝑛𝑠</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3CF48537-B903-4ED8-B399-0BFD656D2C29}"/>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41E0601-B56A-41C9-8647-44C4CCE3249E}"/>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𝑔</m:t>
                        </m:r>
                      </m:sub>
                    </m:sSub>
                    <m:r>
                      <a:rPr lang="en-AU" sz="1100" i="1">
                        <a:solidFill>
                          <a:schemeClr val="tx1"/>
                        </a:solidFill>
                        <a:effectLst/>
                        <a:latin typeface="Cambria Math" panose="02040503050406030204" pitchFamily="18" charset="0"/>
                        <a:ea typeface="+mn-ea"/>
                        <a:cs typeface="+mn-cs"/>
                      </a:rPr>
                      <m:t>=</m:t>
                    </m:r>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100" i="1">
                                <a:solidFill>
                                  <a:schemeClr val="tx1"/>
                                </a:solidFill>
                                <a:effectLst/>
                                <a:latin typeface="Cambria Math" panose="02040503050406030204" pitchFamily="18" charset="0"/>
                                <a:ea typeface="+mn-ea"/>
                                <a:cs typeface="+mn-cs"/>
                              </a:rPr>
                            </m:ctrlPr>
                          </m:naryPr>
                          <m:sub>
                            <m:r>
                              <a:rPr lang="en-AU" sz="1100" i="1">
                                <a:solidFill>
                                  <a:schemeClr val="tx1"/>
                                </a:solidFill>
                                <a:effectLst/>
                                <a:latin typeface="Cambria Math" panose="02040503050406030204" pitchFamily="18" charset="0"/>
                                <a:ea typeface="+mn-ea"/>
                                <a:cs typeface="+mn-cs"/>
                              </a:rPr>
                              <m:t>𝑞</m:t>
                            </m:r>
                          </m:sub>
                          <m:sup/>
                          <m:e>
                            <m:d>
                              <m:dPr>
                                <m:ctrlPr>
                                  <a:rPr lang="en-AU" sz="1100" i="1">
                                    <a:solidFill>
                                      <a:schemeClr val="tx1"/>
                                    </a:solidFill>
                                    <a:effectLst/>
                                    <a:latin typeface="Cambria Math" panose="02040503050406030204" pitchFamily="18" charset="0"/>
                                    <a:ea typeface="+mn-ea"/>
                                    <a:cs typeface="+mn-cs"/>
                                  </a:rPr>
                                </m:ctrlPr>
                              </m:dPr>
                              <m:e>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,1,</m:t>
                                    </m:r>
                                    <m:r>
                                      <a:rPr lang="en-AU" sz="1100" i="1">
                                        <a:solidFill>
                                          <a:schemeClr val="tx1"/>
                                        </a:solidFill>
                                        <a:effectLst/>
                                        <a:latin typeface="Cambria Math" panose="02040503050406030204" pitchFamily="18" charset="0"/>
                                        <a:ea typeface="+mn-ea"/>
                                        <a:cs typeface="+mn-cs"/>
                                      </a:rPr>
                                      <m:t>𝑞𝑔</m:t>
                                    </m:r>
                                  </m:sub>
                                </m:sSub>
                              </m:e>
                            </m:d>
                          </m:e>
                        </m:nary>
                      </m:e>
                    </m:nary>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741E0601-B56A-41C9-8647-44C4CCE3249E}"/>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𝐸_𝑔=∑2_𝑡▒∑2_𝑞▒(𝑄_(𝑆𝐶,𝑞)×𝐸𝐶_(𝑆𝐶,𝑞)×𝐸𝐹_(𝑆𝐶,1,𝑞𝑔) ) ×10^(−3)</a:t>
              </a:r>
              <a:endParaRPr lang="en-AU" sz="11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7890321-BC68-4E03-802D-125EFE3CCEFC}"/>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𝐸</m:t>
                        </m:r>
                      </m:e>
                      <m:sub>
                        <m:r>
                          <a:rPr lang="en-AU" sz="1100" i="1">
                            <a:solidFill>
                              <a:schemeClr val="tx1"/>
                            </a:solidFill>
                            <a:effectLst/>
                            <a:latin typeface="Cambria Math" panose="02040503050406030204" pitchFamily="18" charset="0"/>
                            <a:ea typeface="+mn-ea"/>
                            <a:cs typeface="+mn-cs"/>
                          </a:rPr>
                          <m:t>𝑊𝑇𝑇</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𝑄</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𝐶</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r>
                      <a:rPr lang="en-AU" sz="1100" i="1">
                        <a:solidFill>
                          <a:schemeClr val="tx1"/>
                        </a:solidFill>
                        <a:effectLst/>
                        <a:latin typeface="Cambria Math" panose="02040503050406030204" pitchFamily="18" charset="0"/>
                        <a:ea typeface="+mn-ea"/>
                        <a:cs typeface="+mn-cs"/>
                      </a:rPr>
                      <m:t>𝐸</m:t>
                    </m:r>
                    <m:sSub>
                      <m:sSubPr>
                        <m:ctrlPr>
                          <a:rPr lang="en-AU" sz="1100" i="1">
                            <a:solidFill>
                              <a:schemeClr val="tx1"/>
                            </a:solidFill>
                            <a:effectLst/>
                            <a:latin typeface="Cambria Math" panose="02040503050406030204" pitchFamily="18" charset="0"/>
                            <a:ea typeface="+mn-ea"/>
                            <a:cs typeface="+mn-cs"/>
                          </a:rPr>
                        </m:ctrlPr>
                      </m:sSubPr>
                      <m:e>
                        <m:r>
                          <a:rPr lang="en-AU" sz="1100" i="1">
                            <a:solidFill>
                              <a:schemeClr val="tx1"/>
                            </a:solidFill>
                            <a:effectLst/>
                            <a:latin typeface="Cambria Math" panose="02040503050406030204" pitchFamily="18" charset="0"/>
                            <a:ea typeface="+mn-ea"/>
                            <a:cs typeface="+mn-cs"/>
                          </a:rPr>
                          <m:t>𝐹</m:t>
                        </m:r>
                      </m:e>
                      <m:sub>
                        <m:r>
                          <a:rPr lang="en-AU" sz="1100" i="1">
                            <a:solidFill>
                              <a:schemeClr val="tx1"/>
                            </a:solidFill>
                            <a:effectLst/>
                            <a:latin typeface="Cambria Math" panose="02040503050406030204" pitchFamily="18" charset="0"/>
                            <a:ea typeface="+mn-ea"/>
                            <a:cs typeface="+mn-cs"/>
                          </a:rPr>
                          <m:t>𝑆𝐶</m:t>
                        </m:r>
                        <m:r>
                          <a:rPr lang="en-AU" sz="1100" i="1">
                            <a:solidFill>
                              <a:schemeClr val="tx1"/>
                            </a:solidFill>
                            <a:effectLst/>
                            <a:latin typeface="Cambria Math" panose="02040503050406030204" pitchFamily="18" charset="0"/>
                            <a:ea typeface="+mn-ea"/>
                            <a:cs typeface="+mn-cs"/>
                          </a:rPr>
                          <m:t>,3,</m:t>
                        </m:r>
                        <m:r>
                          <a:rPr lang="en-AU" sz="1100" i="1">
                            <a:solidFill>
                              <a:schemeClr val="tx1"/>
                            </a:solidFill>
                            <a:effectLst/>
                            <a:latin typeface="Cambria Math" panose="02040503050406030204" pitchFamily="18" charset="0"/>
                            <a:ea typeface="+mn-ea"/>
                            <a:cs typeface="+mn-cs"/>
                          </a:rPr>
                          <m:t>𝑞</m:t>
                        </m:r>
                      </m:sub>
                    </m:sSub>
                    <m:r>
                      <a:rPr lang="en-AU" sz="1100" i="1">
                        <a:solidFill>
                          <a:schemeClr val="tx1"/>
                        </a:solidFill>
                        <a:effectLst/>
                        <a:latin typeface="Cambria Math" panose="02040503050406030204" pitchFamily="18" charset="0"/>
                        <a:ea typeface="+mn-ea"/>
                        <a:cs typeface="+mn-cs"/>
                      </a:rPr>
                      <m:t>×</m:t>
                    </m:r>
                    <m:sSup>
                      <m:sSupPr>
                        <m:ctrlPr>
                          <a:rPr lang="en-AU" sz="1100" i="1">
                            <a:solidFill>
                              <a:schemeClr val="tx1"/>
                            </a:solidFill>
                            <a:effectLst/>
                            <a:latin typeface="Cambria Math" panose="02040503050406030204" pitchFamily="18" charset="0"/>
                            <a:ea typeface="+mn-ea"/>
                            <a:cs typeface="+mn-cs"/>
                          </a:rPr>
                        </m:ctrlPr>
                      </m:sSupPr>
                      <m:e>
                        <m:r>
                          <a:rPr lang="en-AU" sz="1100" i="1">
                            <a:solidFill>
                              <a:schemeClr val="tx1"/>
                            </a:solidFill>
                            <a:effectLst/>
                            <a:latin typeface="Cambria Math" panose="02040503050406030204" pitchFamily="18" charset="0"/>
                            <a:ea typeface="+mn-ea"/>
                            <a:cs typeface="+mn-cs"/>
                          </a:rPr>
                          <m:t>10</m:t>
                        </m:r>
                      </m:e>
                      <m:sup>
                        <m:r>
                          <a:rPr lang="en-AU" sz="1100" i="1">
                            <a:solidFill>
                              <a:schemeClr val="tx1"/>
                            </a:solidFill>
                            <a:effectLst/>
                            <a:latin typeface="Cambria Math" panose="02040503050406030204" pitchFamily="18" charset="0"/>
                            <a:ea typeface="+mn-ea"/>
                            <a:cs typeface="+mn-cs"/>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A7890321-BC68-4E03-802D-125EFE3CCEFC}"/>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1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8A6B574-D641-4C1E-BBB5-33A45AA5FD24}" name="Table_Input_Fuel" displayName="Table_Input_Fuel" ref="D16:J21" totalsRowDxfId="575" headerRowCellStyle="Input table column header">
  <autoFilter ref="D16:J21" xr:uid="{6E44059A-C219-4316-A7A0-AD77B0121F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1F3A6E1B-54B6-4F08-8C03-0D9C38A193E9}" name="Fuel use (select)" totalsRowFunction="average" totalsRowDxfId="574" dataCellStyle="Input select" totalsRowCellStyle="Input select"/>
    <tableColumn id="3" xr3:uid="{F3B22F5F-32AB-4AB4-9D92-291079B0E009}" name="Fuel type (select)" totalsRowDxfId="573" dataCellStyle="Input select" totalsRowCellStyle="Input select"/>
    <tableColumn id="4" xr3:uid="{B83BA05B-8760-41BD-AC6B-D6F258C4B2A6}" name="Amount purchased" totalsRowDxfId="572" totalsRowCellStyle="Content bold"/>
    <tableColumn id="6" xr3:uid="{C72790B1-D545-4434-9C66-BD6EDE1431D4}" name="Amount unit" totalsRowDxfId="571" dataCellStyle="Input number general calculated" totalsRowCellStyle="Input text calculated"/>
    <tableColumn id="5" xr3:uid="{DED2B6A8-8871-4F82-BF68-0123EE33E6D3}" name="Percent consumed" totalsRowDxfId="570" totalsRowCellStyle="Input percent">
      <calculatedColumnFormula>1</calculatedColumnFormula>
    </tableColumn>
    <tableColumn id="1" xr3:uid="{420FBA2E-73D2-4D10-9D6F-40A070E92B94}" name="Amount consumed" totalsRowFunction="custom" totalsRowDxfId="569" dataCellStyle="Input number general calculated">
      <calculatedColumnFormula>Table_Input_Fuel[[#This Row],[Amount purchased]]*Table_Input_Fuel[[#This Row],[Percent consumed]]*IF(Table_Input_Fuel[[#This Row],[Amount unit]]="L", 10^-3, 1)</calculatedColumnFormula>
      <totalsRowFormula>SUM(Table_Input_Fuel[Amount consumed])</totalsRowFormula>
    </tableColumn>
    <tableColumn id="7" xr3:uid="{43A60E53-73D2-4522-A3E6-1EE0023DA763}" name="Amount consumed unit" totalsRowDxfId="568" dataCellStyle="Input number general calculated"/>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4E397E-5796-4647-B505-ED29964DA7BC}" name="Table_Input_InorganicFertiliser_Brands" displayName="Table_Input_InorganicFertiliser_Brands" ref="D11:X16" headerRowDxfId="567" dataDxfId="566" totalsRowDxfId="565">
  <autoFilter ref="D11:X16"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49A01597-CBDF-4920-B6F9-73ECD80F754D}" name="Product (select)" dataDxfId="564" totalsRowDxfId="563" dataCellStyle="Input select"/>
    <tableColumn id="23" xr3:uid="{AB23DA3E-DEBD-4FBE-82CF-6CB30C3E71B8}" name="Amount applied per hectare" totalsRowFunction="custom" dataDxfId="562" totalsRowDxfId="561">
      <totalsRowFormula>SUM(Table_Input_InorganicFertiliser_Brands[[#Headers],[#Data],[Amount applied per hectare]])</totalsRowFormula>
    </tableColumn>
    <tableColumn id="12" xr3:uid="{18AF7A4E-8C5A-436D-9731-7560EC6BBF77}" name="Application unit" dataDxfId="560" totalsRowDxfId="559" dataCellStyle="Input number 2 decimal places"/>
    <tableColumn id="9" xr3:uid="{7082C3E6-B56C-419C-862E-725D49AC2E37}" name="Density" dataDxfId="558" totalsRowDxfId="557" dataCellStyle="Input number 2 decimal places"/>
    <tableColumn id="6" xr3:uid="{16DFF96E-FA84-40A3-8489-80A6419902FE}" name="Application area (ha)" dataDxfId="556" totalsRowDxfId="555"/>
    <tableColumn id="1" xr3:uid="{F3E2130B-8CA6-4823-A5F5-680515D3CDE2}" name="Total applied (kg)" dataDxfId="554" totalsRowDxfId="553"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D91466F2-4778-4902-935F-E01AF56539AF}" name="Ingredient 1" dataDxfId="552" totalsRowDxfId="551" dataCellStyle="Input number general calculated"/>
    <tableColumn id="4" xr3:uid="{6567688D-BA71-41F4-B8BE-F1306ED7A1C9}" name="Ingredient 1 percent" dataDxfId="550" totalsRowDxfId="549" dataCellStyle="Input number general calculated"/>
    <tableColumn id="7" xr3:uid="{2BA7BD61-550F-470B-BF94-3D19584324D9}" name="Ingredient 2" dataDxfId="548" dataCellStyle="Input number general calculated"/>
    <tableColumn id="8" xr3:uid="{145735F6-E57C-4A7D-9E8F-5C169DC3E9CF}" name="Ingredient 2 percent" dataDxfId="547" totalsRowDxfId="546" dataCellStyle="Input number general calculated"/>
    <tableColumn id="10" xr3:uid="{0A1B4289-E4AD-47AC-AB7E-4D2EC2A9F9F3}" name="Ingredient 3" dataDxfId="545" totalsRowDxfId="544" dataCellStyle="Input number general calculated"/>
    <tableColumn id="11" xr3:uid="{E2992782-C67C-4D71-B4BB-FABFBFF26EC8}" name="Ingredient 3 percent" dataDxfId="543" totalsRowDxfId="542" dataCellStyle="Input number general calculated"/>
    <tableColumn id="13" xr3:uid="{9D0C7F1B-13A1-4030-8124-E1722921E4A7}" name="Ingredient 4" dataDxfId="541" totalsRowDxfId="540" dataCellStyle="Input number general calculated"/>
    <tableColumn id="14" xr3:uid="{4C9D8859-A934-4E37-A660-2BD882BF4125}" name="Ingredient 4 percent" dataDxfId="539" dataCellStyle="Input number general calculated"/>
    <tableColumn id="16" xr3:uid="{C5CDA41D-1C75-4167-8308-6E21407D407F}" name="Ingredient 5" dataDxfId="538" dataCellStyle="Input number general calculated"/>
    <tableColumn id="17" xr3:uid="{84572289-5DBA-4E2C-99BD-E13B1A156266}" name="Ingredient 5 percent" dataDxfId="537" dataCellStyle="Input number general calculated"/>
    <tableColumn id="19" xr3:uid="{EFC1F2EA-3644-43AB-84B3-130FB7522EB6}" name="Ingredient 6" dataDxfId="536" dataCellStyle="Input number general calculated"/>
    <tableColumn id="20" xr3:uid="{C6B44DCC-F02A-4AC8-897F-9680DEF965C5}" name="Ingredient 6 percent" dataDxfId="535" dataCellStyle="Input number general calculated"/>
    <tableColumn id="5" xr3:uid="{11998F4F-9C7F-4BA8-8749-2C9C5EAF9FFD}" name="N application rate (kg/ha)" dataDxfId="534" totalsRowDxfId="533" dataCellStyle="Input number general calculated"/>
    <tableColumn id="15" xr3:uid="{2EF052D6-D6B9-4895-920C-BA2D601AE6E4}" name="Urea source" dataDxfId="532" totalsRowDxfId="531" dataCellStyle="Input number general calculated"/>
    <tableColumn id="18" xr3:uid="{14454ACA-4761-4BF3-A8D3-7FFB32BBAE90}" name="Ammonia source" dataDxfId="530" totalsRowDxfId="529" dataCellStyle="Input number general calculated"/>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3098518-89E7-4688-99E9-9D63E2BFE930}" name="Table_Input_InorganicFertiliser_Custom" displayName="Table_Input_InorganicFertiliser_Custom" ref="D19:R22" totalsRowShown="0" headerRowDxfId="528" dataDxfId="527">
  <autoFilter ref="D19:R22"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9C3C40D8-037F-4D4D-A569-99C3B5E48188}" name="Custom blend name" dataCellStyle="Input text"/>
    <tableColumn id="2" xr3:uid="{94E4A98D-4C21-4B75-9B4B-4063F0BD9D23}" name="Amount applied (kg / ha)" dataDxfId="526"/>
    <tableColumn id="3" xr3:uid="{9317B0C5-24FD-4910-816B-6925938529AB}" name="Application area (ha)" dataDxfId="525" dataCellStyle="Input number 2 decimal places"/>
    <tableColumn id="4" xr3:uid="{FF84BF07-0983-4D90-BE0C-BB04F4556C9A}" name="Total applied (kg)" dataDxfId="524" dataCellStyle="Input number general calculated">
      <calculatedColumnFormula>Table_Input_InorganicFertiliser_Custom[[#This Row],[Amount applied (kg / ha)]]*Table_Input_InorganicFertiliser_Custom[[#This Row],[Application area (ha)]]</calculatedColumnFormula>
    </tableColumn>
    <tableColumn id="5" xr3:uid="{DB0887F8-992F-4EDB-93DB-19525D538A2E}" name="Ingredient 1 (select)" dataDxfId="523" dataCellStyle="Input select"/>
    <tableColumn id="6" xr3:uid="{6ED10138-A07A-4840-AB59-7A25A5F609B6}" name="Ingredient 1 percent" dataDxfId="522"/>
    <tableColumn id="8" xr3:uid="{C75326F5-5EEC-4C92-9D0E-D0F9671FCB47}" name="Ingredient 2" dataDxfId="521" dataCellStyle="Input select"/>
    <tableColumn id="9" xr3:uid="{497A6A6A-A7AD-4952-98F4-855563F3EAE5}" name="Ingredient 2 percent" dataDxfId="520"/>
    <tableColumn id="11" xr3:uid="{C44AB45C-A730-4849-8419-D3E8E4050FD8}" name="Ingredient 3" dataDxfId="519" dataCellStyle="Input select"/>
    <tableColumn id="12" xr3:uid="{63812E8B-3479-4B33-8754-51D44572B655}" name="Ingredient 3 percent" dataDxfId="518"/>
    <tableColumn id="14" xr3:uid="{7C7A536C-3F11-415F-B0C5-94EF79615E8F}" name="Ingredient 4" dataDxfId="517" dataCellStyle="Input select"/>
    <tableColumn id="15" xr3:uid="{568F78E6-0414-4595-BFEE-3BDD32BE650F}" name="Ingredient 4 percent" dataCellStyle="Input percent"/>
    <tableColumn id="7" xr3:uid="{ADBE0230-07EE-4B13-8177-69875A36F112}" name="N application rate (kg/ha)" dataDxfId="516" dataCellStyle="Input number general calculated"/>
    <tableColumn id="10" xr3:uid="{874651A1-84E3-41E4-A001-80F0F93E768E}" name="Urea source (Select)" dataCellStyle="Input select"/>
    <tableColumn id="13" xr3:uid="{E9297C5A-5FE2-4C9B-8463-CFACBA31D523}" name="Ammonia source (select)" dataCellStyle="Input select"/>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E80B157-6769-4AE2-B612-4F7D190228EA}" name="Table_Input_Lime" displayName="Table_Input_Lime" ref="D30:K33" totalsRowShown="0" headerRowDxfId="515" dataDxfId="514" headerRowCellStyle="Input table column header">
  <autoFilter ref="D30:K33"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228E99A2-30C0-4DE9-9589-7720FA21DF36}" name="Product" dataDxfId="513"/>
    <tableColumn id="2" xr3:uid="{3E4C76D4-A9E4-49C2-A64C-CC59F620FE6E}" name="Amount applied (t/hectare)" dataDxfId="512"/>
    <tableColumn id="4" xr3:uid="{9FAC43C1-05C8-42BF-BDFD-D2F108E31C38}" name="Application area (ha)" dataDxfId="511" dataCellStyle="Input number 2 decimal places"/>
    <tableColumn id="3" xr3:uid="{B2139156-86FA-4253-9C8B-89B3FE7459FB}" name="Total amount applied (t)" dataDxfId="510" dataCellStyle="Input number general calculated">
      <calculatedColumnFormula>IFERROR(Table_Input_Lime[[#This Row],[Amount applied (t/hectare)]]*Table_Input_Lime[[#This Row],[Application area (ha)]], 0)</calculatedColumnFormula>
    </tableColumn>
    <tableColumn id="6" xr3:uid="{E87CD9A4-42DF-4604-8283-A9FF0D7B13D1}" name="Percent Lime CaCO3" dataDxfId="509"/>
    <tableColumn id="8" xr3:uid="{51F1C864-871C-4B7A-9357-BF4F34013F60}" name="Percent Dolomite CaMg(CO3)2" dataDxfId="508"/>
    <tableColumn id="7" xr3:uid="{1EFC18C5-7A4E-4020-BC68-A871CA205C17}" name="Percent Gypsum" dataDxfId="507"/>
    <tableColumn id="10" xr3:uid="{4C7D4595-8B33-409C-BBD0-2478A48CFBFD}" name="Total" dataDxfId="506">
      <calculatedColumnFormula>SUM(Table_Input_Lime[[#This Row],[Percent Lime CaCO3]:[Percent Gypsum]])</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FFE779E-0C69-42B9-9CBD-CB8E904381BA}" name="Table_Input_OrganicFertiliser" displayName="Table_Input_OrganicFertiliser" ref="D41:J44" totalsRowShown="0" headerRowDxfId="505" dataDxfId="504" headerRowCellStyle="Input table column header">
  <autoFilter ref="D41:J44"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376C42-23D4-42D8-8736-48DC46621229}" name="Organic fertiliser type (select)" dataDxfId="503" dataCellStyle="Input select"/>
    <tableColumn id="5" xr3:uid="{D6C798A9-E90B-4E42-BAE9-79E674DF9282}" name="Percentage of N in fertiliser" dataDxfId="502"/>
    <tableColumn id="2" xr3:uid="{F3297107-69C5-4912-8629-85A12B66B717}" name="Amount applied (kg/hectare)" dataDxfId="501"/>
    <tableColumn id="11" xr3:uid="{653E495A-7B48-43BF-ABAA-3A26DA7E2D0B}" name="Amount N applied (kg/hectare)" dataDxfId="500" dataCellStyle="Input number general calculated">
      <calculatedColumnFormula>Table_Input_OrganicFertiliser[[#This Row],[Amount applied (kg/hectare)]]*Table_Input_OrganicFertiliser[[#This Row],[Percentage of N in fertiliser]]</calculatedColumnFormula>
    </tableColumn>
    <tableColumn id="4" xr3:uid="{197F4E2F-3007-452B-9965-0F7E1A2CE88C}" name="Application area (ha)" dataDxfId="499" dataCellStyle="Input number 2 decimal places"/>
    <tableColumn id="7" xr3:uid="{BAC8AC21-22C8-4123-AC3F-E3E3F31F37C2}" name="Total organic fertliser applied" dataDxfId="498" dataCellStyle="Input number general calculated">
      <calculatedColumnFormula>Table_Input_OrganicFertiliser[[#This Row],[Amount applied (kg/hectare)]]*Table_Input_OrganicFertiliser[[#This Row],[Application area (ha)]]</calculatedColumnFormula>
    </tableColumn>
    <tableColumn id="3" xr3:uid="{2B93F603-9107-4C12-B496-68BBCDA9A720}" name="Total nitrogen applied (kg)" dataDxfId="497"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381BE8E1-0CE6-4823-BA74-D6DC54EAB95F}" name="Table_Input_ChemicalsCleaning" displayName="Table_Input_ChemicalsCleaning" ref="D23:F33" totalsRowShown="0" headerRowCellStyle="Input table column header">
  <autoFilter ref="D23:F33" xr:uid="{4FE24B05-BD40-4784-8F98-E98038ED84BF}">
    <filterColumn colId="0" hiddenButton="1"/>
    <filterColumn colId="1" hiddenButton="1"/>
    <filterColumn colId="2" hiddenButton="1"/>
  </autoFilter>
  <tableColumns count="3">
    <tableColumn id="3" xr3:uid="{E67DFCD7-C12B-4EA2-8140-D78C5ABDB407}" name="Product name" dataCellStyle="Input text"/>
    <tableColumn id="1" xr3:uid="{87D126BF-005E-4246-BF36-6C26A15AD99A}" name="Type (select)" dataCellStyle="Input select"/>
    <tableColumn id="2" xr3:uid="{56461109-5CAC-43CC-94E5-D96155D01EEF}" name="Quantity purchased (kg)" dataCellStyle="Input number general"/>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FF1E66EC-E531-4017-8817-C2DA9174CA8C}" name="Table_Input_Packaging" displayName="Table_Input_Packaging" ref="D92:H102" totalsRowShown="0" headerRowDxfId="496" headerRowCellStyle="Input table column header">
  <autoFilter ref="D92:H102" xr:uid="{3E433F59-4BF1-4341-8498-3E5DACCDF2D3}">
    <filterColumn colId="0" hiddenButton="1"/>
    <filterColumn colId="1" hiddenButton="1"/>
    <filterColumn colId="2" hiddenButton="1"/>
    <filterColumn colId="3" hiddenButton="1"/>
    <filterColumn colId="4" hiddenButton="1"/>
  </autoFilter>
  <tableColumns count="5">
    <tableColumn id="1" xr3:uid="{8E849261-8F35-48DE-BE22-FE2C6971C01F}" name="Packaging name"/>
    <tableColumn id="3" xr3:uid="{14ED4487-F547-485F-9AFB-212F5584207F}" name="Quantity purchased" dataDxfId="495" dataCellStyle="Input number general"/>
    <tableColumn id="2" xr3:uid="{360D1B02-386E-49B9-8B92-E9676AD4A378}" name="Primary material" dataCellStyle="Input select"/>
    <tableColumn id="4" xr3:uid="{BBF04413-741D-4D84-88D9-1F89896D7D6F}" name="Weight per unit (kg)" dataCellStyle="Input number general"/>
    <tableColumn id="6" xr3:uid="{AC9E24A5-6B19-4DB6-9EB4-4D59E5AF1CC1}" name="Total weight purchased (kg)" dataCellStyle="Input number general calculated">
      <calculatedColumnFormula>Table_Input_Packaging[[#This Row],[Quantity purchased]]*Table_Input_Packaging[[#This Row],[Weight per unit (kg)]]</calculatedColumnFormula>
    </tableColumn>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BA52E4BB-C3D1-441A-A568-0AD50449E880}" name="Table_Input_Pesticides" displayName="Table_Input_Pesticides" ref="D10:R20" totalsRowShown="0" headerRowDxfId="494">
  <autoFilter ref="D10:R20" xr:uid="{BA52E4BB-C3D1-441A-A568-0AD50449E88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A72BC848-73BB-4B46-B499-37E30C638D3A}" name="Product name"/>
    <tableColumn id="2" xr3:uid="{53230D96-4E84-460D-9046-7CE32E68C856}" name="Amount applied per ha"/>
    <tableColumn id="7" xr3:uid="{69498A75-62A6-484D-B013-ED14417EEBB4}" name="Application unit (select)" dataCellStyle="Input select"/>
    <tableColumn id="6" xr3:uid="{209ECDF7-51D4-4C0E-850D-19BAB4D0D3B8}" name="Application area (ha)" dataCellStyle="Input number general"/>
    <tableColumn id="3" xr3:uid="{DEE684A7-4E1A-46AA-B0D4-02E9625D315A}" name="Total applied" dataCellStyle="Input number general calculated">
      <calculatedColumnFormula>Table_Input_Pesticides[[#This Row],[Amount applied per ha]]*Table_Input_Pesticides[[#This Row],[Application area (ha)]]</calculatedColumnFormula>
    </tableColumn>
    <tableColumn id="5" xr3:uid="{1DB0C7A3-E8B5-4E6D-AA5F-8D94DC978EA5}" name="Constituent unit (select)" dataCellStyle="Input select"/>
    <tableColumn id="4" xr3:uid="{EC89C89A-4D36-451B-BCBE-1C016D3F8F34}" name="Active ingredient 1 (select)" dataCellStyle="Input select"/>
    <tableColumn id="8" xr3:uid="{F058D2A6-41E8-4384-8586-262C5EAC5D9F}" name="Active ingredient 1 amount" dataCellStyle="Input number general"/>
    <tableColumn id="16" xr3:uid="{A66238D5-4B02-4AE6-9B82-39B311474CB9}" name="Total active ingredient 1 (kg)" dataCellStyle="Input number general calculated">
      <calculatedColumnFormula>Table_Input_Pesticides[[#This Row],[Total applied]]*Table_Input_Pesticides[[#This Row],[Active ingredient 1 amount]]*IF(Table_Input_Pesticides[[#This Row],[Constituent unit (select)]]="fraction of product", 1, 10^-3)</calculatedColumnFormula>
    </tableColumn>
    <tableColumn id="9" xr3:uid="{74F84648-C9E3-4305-994A-7D3B973043A9}" name="Active ingredient 2 (select)" dataCellStyle="Input select"/>
    <tableColumn id="11" xr3:uid="{78375E20-4985-4634-B5B1-6B81635A6FC6}" name="Active ingredient 2 amount" dataCellStyle="Input number general"/>
    <tableColumn id="17" xr3:uid="{7F10D940-6D4E-4FDA-BB70-FADFA55567B9}" name="Total active ingredient 2 (kg)" dataCellStyle="Input number general calculated">
      <calculatedColumnFormula>Table_Input_Pesticides[[#This Row],[Total applied]]*Table_Input_Pesticides[[#This Row],[Active ingredient 2 amount]]*IF(Table_Input_Pesticides[[#This Row],[Constituent unit (select)]]="fraction of product", 1, 10^-3)</calculatedColumnFormula>
    </tableColumn>
    <tableColumn id="12" xr3:uid="{7449CB84-4B0D-4B55-95E5-3523F3590622}" name="Active ingredient 3 (select)" dataCellStyle="Input select"/>
    <tableColumn id="14" xr3:uid="{71087BB0-6CBC-4FB4-9C30-2409748F8A46}" name="Active ingredient 3 amount" dataCellStyle="Input number general"/>
    <tableColumn id="18" xr3:uid="{39769269-F9C2-47A9-B5D1-C33CAAC70EB3}" name="Total active ingredient 3 (kg)" dataCellStyle="Input number general calculated">
      <calculatedColumnFormula>Table_Input_Pesticides[[#This Row],[Total applied]]*Table_Input_Pesticides[[#This Row],[Active ingredient 3 amount]]*IF(Table_Input_Pesticides[[#This Row],[Constituent unit (select)]]="fraction of product", 1, 10^-3)</calculatedColumnFormula>
    </tableColumn>
  </tableColumns>
  <tableStyleInfo name="Editable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F7DA8543-C7DE-49A8-A739-D82C85B7B828}" name="Table_Input_ChemicalsPharmacy" displayName="Table_Input_ChemicalsPharmacy" ref="D36:F46" totalsRowShown="0" headerRowCellStyle="Input table column header">
  <autoFilter ref="D36:F46" xr:uid="{F7DA8543-C7DE-49A8-A739-D82C85B7B828}">
    <filterColumn colId="0" hiddenButton="1"/>
    <filterColumn colId="1" hiddenButton="1"/>
    <filterColumn colId="2" hiddenButton="1"/>
  </autoFilter>
  <tableColumns count="3">
    <tableColumn id="3" xr3:uid="{69ECF868-4B84-4E9A-96F5-1BDF565F3FD3}" name="Product name" dataCellStyle="Input text"/>
    <tableColumn id="1" xr3:uid="{34C48247-DCDF-4B93-B49D-A318288E0686}" name="Type (select)" dataDxfId="493" dataCellStyle="Input select"/>
    <tableColumn id="2" xr3:uid="{5B0AEBA4-AB33-4382-8634-3F4C8D3B2A9B}" name="Number of head treated" dataDxfId="492" dataCellStyle="Input number general"/>
  </tableColumns>
  <tableStyleInfo name="Editable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1E43041F-45A9-4FE7-B27E-F3B8135FFECA}" name="Table_Input_UncategorisedProductsServices" displayName="Table_Input_UncategorisedProductsServices" ref="D135:F145" totalsRowShown="0" headerRowCellStyle="Input table column header">
  <autoFilter ref="D135:F145" xr:uid="{1E43041F-45A9-4FE7-B27E-F3B8135FFECA}">
    <filterColumn colId="0" hiddenButton="1"/>
    <filterColumn colId="1" hiddenButton="1"/>
    <filterColumn colId="2" hiddenButton="1"/>
  </autoFilter>
  <tableColumns count="3">
    <tableColumn id="1" xr3:uid="{C9DABE86-112C-48BA-9B35-4DCACFE914E2}" name="Product / service name" dataCellStyle="Input text"/>
    <tableColumn id="2" xr3:uid="{50E86AEF-5C1B-4309-BE70-732F98A8045E}" name="Amount" dataCellStyle="Input number general"/>
    <tableColumn id="3" xr3:uid="{6C7442D1-1A53-49AD-8C75-5BC7F8E9560B}" name="Amount unit" dataCellStyle="Input text"/>
  </tableColumns>
  <tableStyleInfo name="Editable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3A687F40-24AA-48CE-B552-C2CDB0CD3F28}" name="Table_Input_FeedBlends" displayName="Table_Input_FeedBlends" ref="D62:Q72" totalsRowShown="0">
  <autoFilter ref="D62:Q72" xr:uid="{6EC3622A-9CA1-4931-8AAA-6FC289090D2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9491CF8-20F0-4FE5-B2E5-824F35323759}" name="Feed blend name"/>
    <tableColumn id="2" xr3:uid="{B20486A1-6FF2-452C-92CA-CCED9D67FD05}" name="Amount fed (kg)"/>
    <tableColumn id="4" xr3:uid="{47465BD2-065D-4E8F-9CB3-6E6F67E11E4D}" name="Ingredient 1 (select)" dataCellStyle="Input select"/>
    <tableColumn id="3" xr3:uid="{D39DE387-9895-40E5-8A6F-34EA79F87278}" name="Ingredient 1 source region" dataCellStyle="Input select"/>
    <tableColumn id="5" xr3:uid="{1B19298C-F8E3-4AF0-9B9E-CE0CD24308C3}" name="Ingredient 1 percent"/>
    <tableColumn id="6" xr3:uid="{250D764C-1759-4C06-9C17-CD1C40A86BF4}" name="Ingredient 2 (select)" dataCellStyle="Input select"/>
    <tableColumn id="14" xr3:uid="{EAB9458F-B5E6-4B8A-BFAD-D581295FE7DA}" name="Ingredient 2 source region" dataCellStyle="Input select"/>
    <tableColumn id="7" xr3:uid="{F61D43DF-B902-4B65-AB44-E98C6D51FD13}" name="Ingredient 2 percent"/>
    <tableColumn id="8" xr3:uid="{B9F5222F-9F2A-4E26-931C-754BB15D7CDC}" name="Ingredient 3 (select)" dataCellStyle="Input select"/>
    <tableColumn id="15" xr3:uid="{02019D1A-37BE-4E6F-9893-0A5120C9809F}" name="Ingredient 3 source region" dataCellStyle="Input select"/>
    <tableColumn id="9" xr3:uid="{30B89A53-F667-4FBE-AF8B-FB021EB3D926}" name="Ingredient 3 percent"/>
    <tableColumn id="10" xr3:uid="{51F803AC-A802-43FA-8B0E-24B789B98A9C}" name="Ingredient 4 (select)" dataCellStyle="Input select"/>
    <tableColumn id="16" xr3:uid="{844B4AC3-BB5A-4E7E-9741-41A8F6359DA9}" name="Ingredient 4 source region" dataCellStyle="Input select"/>
    <tableColumn id="11" xr3:uid="{33104403-8828-4357-9E7C-9063DE9C33A5}" name="Ingredient 4 percent"/>
  </tableColumns>
  <tableStyleInfo name="Editable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EAE4AE15-2AB9-4C21-9268-5CB94316E6E4}" name="Table_Input_ServicesAndContractors" displayName="Table_Input_ServicesAndContractors" ref="D77:G87" totalsRowShown="0">
  <autoFilter ref="D77:G87" xr:uid="{EAE4AE15-2AB9-4C21-9268-5CB94316E6E4}">
    <filterColumn colId="0" hiddenButton="1"/>
    <filterColumn colId="1" hiddenButton="1"/>
    <filterColumn colId="2" hiddenButton="1"/>
    <filterColumn colId="3" hiddenButton="1"/>
  </autoFilter>
  <tableColumns count="4">
    <tableColumn id="1" xr3:uid="{9281456D-867C-4846-B641-A8EECC1DBAD5}" name="Service provider / contractor" dataCellStyle="Input text"/>
    <tableColumn id="4" xr3:uid="{798B5CBB-1D7E-4B13-B905-48D9B44BD67F}" name="Activity" dataCellStyle="Input text"/>
    <tableColumn id="2" xr3:uid="{90DA38AD-9751-4A3D-9BDD-C8704FB16E3B}" name="Total amount" dataCellStyle="Input number general"/>
    <tableColumn id="3" xr3:uid="{4ADABFE0-313C-4348-902B-64A435F363CD}" name="Amount unit" dataCellStyle="Input select"/>
  </tableColumns>
  <tableStyleInfo name="Editable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206BD78F-05E0-445B-A064-B487D1B996EF}" name="Table_Input_GrowMedia" displayName="Table_Input_GrowMedia" ref="D107:F117" totalsRowShown="0">
  <autoFilter ref="D107:F117" xr:uid="{206BD78F-05E0-445B-A064-B487D1B996EF}">
    <filterColumn colId="0" hiddenButton="1"/>
    <filterColumn colId="1" hiddenButton="1"/>
    <filterColumn colId="2" hiddenButton="1"/>
  </autoFilter>
  <tableColumns count="3">
    <tableColumn id="1" xr3:uid="{453CA40C-351D-4648-AF5D-0F77CC14CEE6}" name="Grow media type" dataCellStyle="Input text"/>
    <tableColumn id="2" xr3:uid="{CA239B18-BD35-484E-9175-FD2EF36ECE05}" name="Total amount" dataCellStyle="Input number general"/>
    <tableColumn id="3" xr3:uid="{89E58910-139E-4C76-9427-72FBEC387E22}" name="Amount unit" dataCellStyle="Input select"/>
  </tableColumns>
  <tableStyleInfo name="Editable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A524718C-D2DE-4743-911C-43AE3F1EAEE3}" name="Table_Input_LivestockPurchases_Beefcattle" displayName="Table_Input_LivestockPurchases_Beefcattle" ref="D7:K17" totalsRowShown="0">
  <autoFilter ref="D7:K17" xr:uid="{A524718C-D2DE-4743-911C-43AE3F1EAEE3}">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9" xr3:uid="{F430BBF1-FC37-41CB-95CB-3C2A47D98412}" name="Transaction name" dataCellStyle="Input text"/>
    <tableColumn id="13" xr3:uid="{4AA7C354-6022-4667-845A-5C5B5AC16AEA}" name="Purchase date" dataCellStyle="Input text"/>
    <tableColumn id="11" xr3:uid="{3CA0DC87-5E8A-4D8A-983D-0FC00A3468A6}" name="Class (select)" dataDxfId="491" dataCellStyle="Input select"/>
    <tableColumn id="2" xr3:uid="{FA43F52A-7609-4014-A6D3-CAC2C970F57C}" name="Purchase class (select)" dataDxfId="490" dataCellStyle="Input select"/>
    <tableColumn id="6" xr3:uid="{41EDEC1E-1793-4BBD-B0C8-66DE9A0925D5}" name="Source region (Select)" dataDxfId="489" dataCellStyle="Input select"/>
    <tableColumn id="3" xr3:uid="{34B46AEC-F18A-4C32-831B-7206C405BBE6}" name="Quantity (head)" dataCellStyle="Input number general"/>
    <tableColumn id="12" xr3:uid="{082E5DA0-F3B6-4FEC-9489-68F80D455B30}" name="Liveweight (kg/head) Method 1" dataCellStyle="Input number general calculated">
      <calculatedColumnFormula array="1">Scope3_InputFunctions.GetLiveweight_PastureBeef(Table_Input_LivestockPurchases_Beefcattle[[#This Row],[Purchase date]],Table_Input_LivestockPurchases_Beefcattle[[#This Row],[Class (select)]],Table_Input_LivestockPurchases_Beefcattle[[#This Row],[Source region (Select)]],#REF!,#REF!,#REF!,#REF!,#REF!)</calculatedColumnFormula>
    </tableColumn>
    <tableColumn id="4" xr3:uid="{FCB04E36-ABA4-4D11-99EF-B10E5BE997E4}" name="Liveweight (kg/head) Method 2" dataCellStyle="Input number general"/>
  </tableColumns>
  <tableStyleInfo name="Editable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1" xr:uid="{E938BFB3-949A-45DE-8033-0682BC494B81}" name="Table_Input_LivestockPurchases_Dairy" displayName="Table_Input_LivestockPurchases_Dairy" ref="D6:I16" totalsRowShown="0" headerRowDxfId="488">
  <autoFilter ref="D6:I16" xr:uid="{E938BFB3-949A-45DE-8033-0682BC494B81}"/>
  <tableColumns count="6">
    <tableColumn id="9" xr3:uid="{9915AEA9-40DA-4CFD-B08A-11FBE10BE9CF}" name="Transaction name" dataCellStyle="Input text"/>
    <tableColumn id="11" xr3:uid="{7A96FDED-4DC0-48EE-B346-DC4E5D93138D}" name="Class (select)" dataDxfId="487" dataCellStyle="Input select"/>
    <tableColumn id="2" xr3:uid="{30A8F022-FC97-45FB-A8E3-5EA3F43C945A}" name="Breed (select)" dataCellStyle="Input select"/>
    <tableColumn id="3" xr3:uid="{DC03B1BF-C6CC-47B4-817D-39FA8BFF3A08}" name="Quantity (head)" dataCellStyle="Input number general"/>
    <tableColumn id="12" xr3:uid="{5E964CA5-2FA3-42B9-9ADF-004216CC5915}" name="Liveweight (kg/head) Method 1" dataCellStyle="Input number general calculated">
      <calculatedColumnFormula array="1">Common_InputFunctions.Utility_LookupValueInTableOneColumnAndHeader(Table_Input_LivestockPurchases_Dairy[[#This Row],[Breed (select)]],Table_Input_LivestockPurchases_Dairy[[#This Row],[Class (select)]],#REF!,#REF!,#REF!, 0)</calculatedColumnFormula>
    </tableColumn>
    <tableColumn id="4" xr3:uid="{3EB8F618-6435-4043-9718-F3A1ED5E7927}" name="Liveweight (kg/head) Method 2" dataCellStyle="Input number general"/>
  </tableColumns>
  <tableStyleInfo name="Editable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14ED7533-62DD-410F-8832-CD98B0CD652B}" name="Table_Input_LivestockPurchases_Pigs" displayName="Table_Input_LivestockPurchases_Pigs" ref="D6:H16" totalsRowShown="0" headerRowDxfId="486">
  <autoFilter ref="D6:H16" xr:uid="{14ED7533-62DD-410F-8832-CD98B0CD652B}"/>
  <tableColumns count="5">
    <tableColumn id="9" xr3:uid="{FC1CEF00-A0CC-4545-ADAB-9F52D190F90C}" name="Transaction name" dataCellStyle="Input text"/>
    <tableColumn id="11" xr3:uid="{45625588-179B-4EE3-98B4-2E94FA489CC5}" name="Class (select)" dataDxfId="485" dataCellStyle="Input select"/>
    <tableColumn id="3" xr3:uid="{085943B1-441E-4997-B5CB-DC1B487421BC}" name="Quantity (head)" dataCellStyle="Input number general"/>
    <tableColumn id="12" xr3:uid="{AD16FE79-BCDB-4A0E-B9F6-D00BE49C5895}" name="Liveweight (kg/head) Method 1" dataCellStyle="Input number general calculated">
      <calculatedColumnFormula array="1">Common_InputFunctions.Utility_LookupValueInTableNumber(Table_Input_LivestockPurchases_Pigs[[#This Row],[Class (select)]],#REF!,#REF!)</calculatedColumnFormula>
    </tableColumn>
    <tableColumn id="4" xr3:uid="{BD9ED95C-0B9E-40FD-A95D-F779A9238D47}" name="Liveweight (kg/head) Method 2" dataCellStyle="Input number general"/>
  </tableColumns>
  <tableStyleInfo name="Editable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7DCBF554-869B-4226-8D02-B0F5F866C92B}" name="Table_Input_LivestockPurchases_Poultry" displayName="Table_Input_LivestockPurchases_Poultry" ref="D6:H16" totalsRowShown="0">
  <autoFilter ref="D6:H16" xr:uid="{7DCBF554-869B-4226-8D02-B0F5F866C92B}"/>
  <tableColumns count="5">
    <tableColumn id="9" xr3:uid="{D6ADF99B-6024-404D-ADE3-4453D96F9A44}" name="Transaction name" dataCellStyle="Input text"/>
    <tableColumn id="11" xr3:uid="{4ED1C819-CD4A-4EB7-A045-069B468B975F}" name="Class (select)" dataDxfId="484" dataCellStyle="Input select"/>
    <tableColumn id="3" xr3:uid="{B88ABA8A-BCE4-4052-926B-B791435D32BA}" name="Quantity (head)" dataCellStyle="Input number general"/>
    <tableColumn id="12" xr3:uid="{09185C80-5CE8-4D2C-AFA3-32FC4E7697E4}" name="Liveweight (kg/head) Method 1" dataCellStyle="Input number general calculated">
      <calculatedColumnFormula array="1">Common_InputFunctions.Utility_LookupValueInTableNumber(Table_Input_LivestockPurchases_Poultry[[#This Row],[Class (select)]],#REF!,#REF!)</calculatedColumnFormula>
    </tableColumn>
    <tableColumn id="4" xr3:uid="{8DF858F5-F15E-47CF-BDC4-8F046EADF36F}" name="Liveweight (kg/head) Method 2" dataCellStyle="Input number general"/>
  </tableColumns>
  <tableStyleInfo name="Editable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4DDF930F-94B2-4B93-B728-B92082E231C7}" name="Table_Input_FreightIncoming" displayName="Table_Input_FreightIncoming" ref="D8:H18" totalsRowShown="0">
  <autoFilter ref="D8:H18" xr:uid="{4DDF930F-94B2-4B93-B728-B92082E231C7}">
    <filterColumn colId="0" hiddenButton="1"/>
    <filterColumn colId="1" hiddenButton="1"/>
    <filterColumn colId="2" hiddenButton="1"/>
    <filterColumn colId="3" hiddenButton="1"/>
    <filterColumn colId="4" hiddenButton="1"/>
  </autoFilter>
  <tableColumns count="5">
    <tableColumn id="1" xr3:uid="{451197CD-364D-4096-93BC-D35169E581EF}" name="Route name"/>
    <tableColumn id="2" xr3:uid="{BDEA6771-F0E6-411F-A590-60A5FBF788D5}" name="Freight type (select)" dataCellStyle="Input select"/>
    <tableColumn id="3" xr3:uid="{935D6370-098D-4492-B609-F6E90DBD7D7F}" name="Route distance (km)"/>
    <tableColumn id="4" xr3:uid="{29A2AC3C-E9F3-41F8-B367-E3EDC584BD5B}" name="Average weight of freight per trip (t)"/>
    <tableColumn id="5" xr3:uid="{0BE405AD-2303-4BC9-9DCD-3BB2867897A7}" name="Number of trips taken"/>
  </tableColumns>
  <tableStyleInfo name="Editable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C8AEF287-0BE7-46A0-967D-68ED52A309D6}" name="Table_Input_FreightOutgoing" displayName="Table_Input_FreightOutgoing" ref="D24:H34" totalsRowShown="0">
  <autoFilter ref="D24:H34" xr:uid="{C8AEF287-0BE7-46A0-967D-68ED52A309D6}">
    <filterColumn colId="0" hiddenButton="1"/>
    <filterColumn colId="1" hiddenButton="1"/>
    <filterColumn colId="2" hiddenButton="1"/>
    <filterColumn colId="3" hiddenButton="1"/>
    <filterColumn colId="4" hiddenButton="1"/>
  </autoFilter>
  <tableColumns count="5">
    <tableColumn id="1" xr3:uid="{E58AD939-0F9E-43A7-B273-336ACFC58706}" name="Route name"/>
    <tableColumn id="2" xr3:uid="{6DC09C8A-7D77-4775-8484-F1ED29A59DCF}" name="Freight type (select)" dataCellStyle="Input select"/>
    <tableColumn id="3" xr3:uid="{AF3E3012-6B4A-4BCB-A87F-7B643BBFB822}" name="Route distance (km)"/>
    <tableColumn id="4" xr3:uid="{FC6AE936-B2CB-402E-911B-FFFF9E440BF5}" name="Average weight of freight per trip (t)"/>
    <tableColumn id="5" xr3:uid="{65ED731F-4C40-4833-B528-65781F27F7F4}" name="Number of trips taken"/>
  </tableColumns>
  <tableStyleInfo name="Editable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A8F3A3F-8F06-4DAA-A2B4-73F45132536F}" name="Table_Input_SolidWaste" displayName="Table_Input_SolidWaste" ref="D9:I32" totalsRowShown="0" headerRowCellStyle="Input table column header">
  <autoFilter ref="D9:I32"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74924C41-E9B3-4253-80E9-3FA5E5F76964}" name="Description"/>
    <tableColumn id="5" xr3:uid="{89B043D5-8925-4AC4-B5F4-9087B6FD7AB9}" name="Treatment type (select)" dataCellStyle="Input select"/>
    <tableColumn id="2" xr3:uid="{A792CE96-8884-4BDB-A8BF-81BBA66C2DCD}" name="Waste type (select)" dataCellStyle="Input select"/>
    <tableColumn id="3" xr3:uid="{7D30120A-F7AB-4C8A-960C-E90F9CC45440}" name="Treatment location (select)" dataCellStyle="Input select"/>
    <tableColumn id="4" xr3:uid="{634A174A-915C-4828-94D5-1DEF9676AB5E}" name="Amount" dataCellStyle="Input number general"/>
    <tableColumn id="7" xr3:uid="{3E986D34-114C-4B06-B875-B7BF9399B52C}" name="Amount unit (select)" dataCellStyle="Input select"/>
  </tableColumns>
  <tableStyleInfo name="Editable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AA8F71C-FAC0-44DF-8FCA-0CD54100ECA5}" name="Table_Input_RECSurrendered" displayName="Table_Input_RECSurrendered" ref="D36:I39" totalsRowShown="0" headerRowCellStyle="Input table column header">
  <autoFilter ref="D36:I3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D18C3E9D-9260-46D2-877D-1E3E4F2F6105}" name="Description"/>
    <tableColumn id="5" xr3:uid="{1282F40A-9566-4610-94C3-B5D1F024EFA3}" name="Source (select)" dataCellStyle="Input select"/>
    <tableColumn id="2" xr3:uid="{1FBB5EDE-0173-4163-B774-BF7006AB6A5B}" name="Generation date" dataDxfId="483"/>
    <tableColumn id="3" xr3:uid="{997A9C57-BE49-4168-B5CE-B28BCEA8673D}" name="Number of certificates"/>
    <tableColumn id="4" xr3:uid="{125919D8-D42F-4288-97EF-4EF8C8BF4198}" name="MWh" dataCellStyle="Input number general calculated">
      <calculatedColumnFormula>Table_Input_RECSurrendered[[#This Row],[Number of certificates]]</calculatedColumnFormula>
    </tableColumn>
    <tableColumn id="7" xr3:uid="{F3E1A664-78C2-4085-A09D-B0DBEC2DF1E8}" name="Elegibility" dataCellStyle="Input number general calculated">
      <calculatedColumnFormula>IF(DATEDIF(Table_Input_RECSurrendered[[#This Row],[Generation date]],DATEVALUE($E$30),"M")&gt;36,"Ineligible - older than 36 months","Elegible")</calculatedColumnFormula>
    </tableColumn>
  </tableColumns>
  <tableStyleInfo name="Editable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C4F64FC-955F-4CB3-B58D-6F226B94D3FC}" name="Table_Input_RECConsumedByEntity" displayName="Table_Input_RECConsumedByEntity" ref="D45:I48" totalsRowShown="0" headerRowCellStyle="Input table column header">
  <autoFilter ref="D45:I48"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D7C2BEEB-0AEB-4B3A-829B-7DDEEC287E5D}" name="Description"/>
    <tableColumn id="5" xr3:uid="{1F02C4F8-BFFF-4AF8-9970-09436BC5C75B}" name="Source" dataCellStyle="Input text calculated">
      <calculatedColumnFormula>"Issued for generated electricity"</calculatedColumnFormula>
    </tableColumn>
    <tableColumn id="2" xr3:uid="{FF172C79-6AAC-47D6-B8D1-2FD6210D1FD2}" name="Generation date" dataDxfId="482"/>
    <tableColumn id="3" xr3:uid="{51EEF9AD-1AE9-46A6-9F74-380F519EEEF8}" name="Number of certificates"/>
    <tableColumn id="4" xr3:uid="{CA46ABBA-2A11-443C-A3D2-5499E52B7ABC}" name="MWh" dataCellStyle="Input number general calculated">
      <calculatedColumnFormula>Table_Input_RECConsumedByEntity[[#This Row],[Number of certificates]]</calculatedColumnFormula>
    </tableColumn>
    <tableColumn id="7" xr3:uid="{10BF1B2C-1B9B-45EB-825B-144C764C8898}" name="Elegibility" dataCellStyle="Input number general calculated">
      <calculatedColumnFormula>IF(AND(Table_Input_RECConsumedByEntity[[#This Row],[Generation date]]&gt;=DATEVALUE($E$29), Table_Input_RECConsumedByEntity[[#This Row],[Generation date]]&lt;= DATEVALUE($E$30)), "Elegible", "Ineligible - outside reporting year")</calculatedColumnFormula>
    </tableColumn>
  </tableColumns>
  <tableStyleInfo name="Editable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50CD25E-51AF-4085-A595-601E6358D38C}" name="Table_SourceData_Scope3_Animals" displayName="Table_SourceData_Scope3_Animals" ref="D33:I74" totalsRowShown="0">
  <autoFilter ref="D33:I74" xr:uid="{750CD25E-51AF-4085-A595-601E6358D38C}">
    <filterColumn colId="0" hiddenButton="1"/>
    <filterColumn colId="1" hiddenButton="1"/>
    <filterColumn colId="2" hiddenButton="1"/>
    <filterColumn colId="3" hiddenButton="1"/>
    <filterColumn colId="4" hiddenButton="1"/>
    <filterColumn colId="5" hiddenButton="1"/>
  </autoFilter>
  <tableColumns count="6">
    <tableColumn id="1" xr3:uid="{3A99DCC2-6F33-4657-9001-AFDF50840919}" name="Category" dataDxfId="481" dataCellStyle="Content normal">
      <calculatedColumnFormula array="1">Common_InputFunctions.Utility_DisplayArrayInTable(Scope3_SourceData.Scope3_Livestock_Data(), Table_SourceData_Scope3_Animals[[#Headers],[Category]], 0, 2)</calculatedColumnFormula>
    </tableColumn>
    <tableColumn id="2" xr3:uid="{5EDCE202-53EC-41E4-84C0-7AE61822B5AF}" name="Product" dataDxfId="480" dataCellStyle="Content normal">
      <calculatedColumnFormula array="1">Common_InputFunctions.Utility_DisplayArrayInTable(Scope3_SourceData.Scope3_Livestock_Data(), Table_SourceData_Scope3_Animals[[#Headers],[Category]], 0, 2)</calculatedColumnFormula>
    </tableColumn>
    <tableColumn id="3" xr3:uid="{EF4D2E11-73A6-4DF6-BC34-C66B12311899}" name="Region of origin" dataDxfId="479" dataCellStyle="Content normal">
      <calculatedColumnFormula array="1">Common_InputFunctions.Utility_DisplayArrayInTable(Scope3_SourceData.Scope3_Livestock_Data(), Table_SourceData_Scope3_Animals[[#Headers],[Category]], 0, 2)</calculatedColumnFormula>
    </tableColumn>
    <tableColumn id="8" xr3:uid="{20BA4310-E1DE-441F-A4E0-BC6B990972AD}" name="Quantity Unit" dataDxfId="478" dataCellStyle="Content normal">
      <calculatedColumnFormula array="1">Common_InputFunctions.Utility_DisplayArrayInTable(Scope3_SourceData.Scope3_Livestock_Data(), Table_SourceData_Scope3_Animals[[#Headers],[Category]], 0, 2)</calculatedColumnFormula>
    </tableColumn>
    <tableColumn id="9" xr3:uid="{C3859335-7D06-4B62-81A5-5625AFFBA634}" name="AusLCI Emissions intensity" dataDxfId="477" dataCellStyle="Content normal">
      <calculatedColumnFormula array="1">Common_InputFunctions.Utility_DisplayArrayInTable(Scope3_SourceData.Scope3_Livestock_Data(), Table_SourceData_Scope3_Animals[[#Headers],[Category]], 0, 2)</calculatedColumnFormula>
    </tableColumn>
    <tableColumn id="10" xr3:uid="{B8398D6F-AD80-4B48-B718-DF0B2B1E6C4C}" name="System boundary" dataDxfId="476" dataCellStyle="Content normal">
      <calculatedColumnFormula array="1">Common_InputFunctions.Utility_DisplayArrayInTable(Scope3_SourceData.Scope3_Livestock_Data(), Table_SourceData_Scope3_Animals[[#Headers],[Category]], 0, 2)</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10291E5F-4512-44BD-934A-80D446AD4B71}" name="Table_SourceData_Scope3_ChemicalsCleaning" displayName="Table_SourceData_Scope3_ChemicalsCleaning" ref="D77:I80" totalsRowShown="0">
  <autoFilter ref="D77:I80" xr:uid="{10291E5F-4512-44BD-934A-80D446AD4B71}">
    <filterColumn colId="0" hiddenButton="1"/>
    <filterColumn colId="1" hiddenButton="1"/>
    <filterColumn colId="2" hiddenButton="1"/>
    <filterColumn colId="3" hiddenButton="1"/>
    <filterColumn colId="4" hiddenButton="1"/>
    <filterColumn colId="5" hiddenButton="1"/>
  </autoFilter>
  <tableColumns count="6">
    <tableColumn id="1" xr3:uid="{EE00DA67-2268-4285-B0B6-C8E6F88FC55E}" name="Category" dataDxfId="475" dataCellStyle="Content normal">
      <calculatedColumnFormula array="1">Common_InputFunctions.Utility_DisplayArrayInTable(Scope3_SourceData.Scope3_Chemicals_Data(), Table_SourceData_Scope3_ChemicalsCleaning[[#Headers],[Category]], 0, 2)</calculatedColumnFormula>
    </tableColumn>
    <tableColumn id="2" xr3:uid="{3F9C435E-0B62-4C9D-9FEA-8C98A415F5B0}" name="Product" dataDxfId="474" dataCellStyle="Content normal">
      <calculatedColumnFormula array="1">Common_InputFunctions.Utility_DisplayArrayInTable(Scope3_SourceData.Scope3_Chemicals_Data(), Table_SourceData_Scope3_ChemicalsCleaning[[#Headers],[Category]], 0, 2)</calculatedColumnFormula>
    </tableColumn>
    <tableColumn id="3" xr3:uid="{3F5A70C5-28BD-4264-9EC4-934DE712597B}" name="Region of origin" dataDxfId="473" dataCellStyle="Content normal">
      <calculatedColumnFormula array="1">Common_InputFunctions.Utility_DisplayArrayInTable(Scope3_SourceData.Scope3_Chemicals_Data(), Table_SourceData_Scope3_ChemicalsCleaning[[#Headers],[Category]], 0, 2)</calculatedColumnFormula>
    </tableColumn>
    <tableColumn id="8" xr3:uid="{05B9C167-74C1-41A2-9237-AEC23C7F32BE}" name="Quantity Unit" dataDxfId="472" dataCellStyle="Content normal">
      <calculatedColumnFormula array="1">Common_InputFunctions.Utility_DisplayArrayInTable(Scope3_SourceData.Scope3_Chemicals_Data(), Table_SourceData_Scope3_ChemicalsCleaning[[#Headers],[Category]], 0, 2)</calculatedColumnFormula>
    </tableColumn>
    <tableColumn id="9" xr3:uid="{A696718C-53A9-4FC3-B198-DB7B399F8F71}" name="AusLCI Emissions intensity" dataDxfId="471" dataCellStyle="Content normal">
      <calculatedColumnFormula array="1">Common_InputFunctions.Utility_DisplayArrayInTable(Scope3_SourceData.Scope3_Chemicals_Data(), Table_SourceData_Scope3_ChemicalsCleaning[[#Headers],[Category]], 0, 2)</calculatedColumnFormula>
    </tableColumn>
    <tableColumn id="10" xr3:uid="{8DC81B97-0164-4172-A9AB-F72EB01E79E4}" name="System boundary" dataDxfId="470" dataCellStyle="Content normal">
      <calculatedColumnFormula array="1">Common_InputFunctions.Utility_DisplayArrayInTable(Scope3_SourceData.Scope3_Chemicals_Data(), Table_SourceData_Scope3_ChemicalsCleaning[[#Headers],[Category]], 0, 2)</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7C99A3AF-4B60-47B5-BB9C-19833DBDFFC5}" name="Table_SourceData_Scope3_Feed" displayName="Table_SourceData_Scope3_Feed" ref="D89:I159" totalsRowShown="0" dataDxfId="469" dataCellStyle="Content normal">
  <autoFilter ref="D89:I159" xr:uid="{7C99A3AF-4B60-47B5-BB9C-19833DBDFFC5}">
    <filterColumn colId="0" hiddenButton="1"/>
    <filterColumn colId="1" hiddenButton="1"/>
    <filterColumn colId="2" hiddenButton="1"/>
    <filterColumn colId="3" hiddenButton="1"/>
    <filterColumn colId="4" hiddenButton="1"/>
    <filterColumn colId="5" hiddenButton="1"/>
  </autoFilter>
  <tableColumns count="6">
    <tableColumn id="1" xr3:uid="{219F2701-68F1-480A-8D9E-12C627CAC316}" name="Category" dataDxfId="468" dataCellStyle="Content normal">
      <calculatedColumnFormula array="1">Common_InputFunctions.Utility_DisplayArrayInTable(Scope3_SourceData.Scope3_Feed_Data(), Table_SourceData_Scope3_Feed[[#Headers],[Category]], 0, 2)</calculatedColumnFormula>
    </tableColumn>
    <tableColumn id="2" xr3:uid="{EC66DCC6-8100-4F11-A8A8-539664BA4ACD}" name="Product" dataDxfId="467" dataCellStyle="Content normal">
      <calculatedColumnFormula array="1">Common_InputFunctions.Utility_DisplayArrayInTable(Scope3_SourceData.Scope3_Feed_Data(), Table_SourceData_Scope3_Feed[[#Headers],[Category]], 0, 2)</calculatedColumnFormula>
    </tableColumn>
    <tableColumn id="3" xr3:uid="{A985E658-3F73-4AD9-B19C-0CAEAD42BEE8}" name="Region of origin" dataDxfId="466" dataCellStyle="Content normal">
      <calculatedColumnFormula array="1">Common_InputFunctions.Utility_DisplayArrayInTable(Scope3_SourceData.Scope3_Feed_Data(), Table_SourceData_Scope3_Feed[[#Headers],[Category]], 0, 2)</calculatedColumnFormula>
    </tableColumn>
    <tableColumn id="8" xr3:uid="{7006E028-9383-4657-93CA-9F7D8B66AA38}" name="Quantity Unit" dataDxfId="465" dataCellStyle="Content normal">
      <calculatedColumnFormula array="1">Common_InputFunctions.Utility_DisplayArrayInTable(Scope3_SourceData.Scope3_Feed_Data(), Table_SourceData_Scope3_Feed[[#Headers],[Category]], 0, 2)</calculatedColumnFormula>
    </tableColumn>
    <tableColumn id="9" xr3:uid="{1C50D81A-129A-4BDA-881C-9E65EF792CE6}" name="AusLCI Emissions intensity" dataDxfId="464" dataCellStyle="Content normal">
      <calculatedColumnFormula array="1">Common_InputFunctions.Utility_DisplayArrayInTable(Scope3_SourceData.Scope3_Feed_Data(), Table_SourceData_Scope3_Feed[[#Headers],[Category]], 0, 2)</calculatedColumnFormula>
    </tableColumn>
    <tableColumn id="10" xr3:uid="{DAF99126-21EE-4F42-8379-91D5DC8AA914}" name="System boundary" dataDxfId="463" dataCellStyle="Content normal">
      <calculatedColumnFormula array="1">Common_InputFunctions.Utility_DisplayArrayInTable(Scope3_SourceData.Scope3_Feed_Data(), Table_SourceData_Scope3_Feed[[#Headers],[Category]], 0, 2)</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DD1C989-E9CA-4596-81C6-3E0390BF715B}" name="Table_SourceData_Scope3_InorganicFertiliser" displayName="Table_SourceData_Scope3_InorganicFertiliser" ref="D173:M198" totalsRowShown="0">
  <autoFilter ref="D173:M198" xr:uid="{0DD1C989-E9CA-4596-81C6-3E0390BF71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ADC9456-B260-42A6-93B3-9ADE837F96FD}" name="Category">
      <calculatedColumnFormula array="1">Common_InputFunctions.Utility_DisplayArrayInTable(Scope3_SourceData.Scope3_InorganicFertilisers_Data(), Table_SourceData_Scope3_InorganicFertiliser[[#Headers],[Category]], 0, 2)</calculatedColumnFormula>
    </tableColumn>
    <tableColumn id="2" xr3:uid="{E4F3D10D-DC00-40A0-8434-F17EE5B57E50}" name="Product">
      <calculatedColumnFormula array="1">Common_InputFunctions.Utility_DisplayArrayInTable(Scope3_SourceData.Scope3_InorganicFertilisers_Data(), Table_SourceData_Scope3_InorganicFertiliser[[#Headers],[Category]], 0, 2)</calculatedColumnFormula>
    </tableColumn>
    <tableColumn id="3" xr3:uid="{FF493BEC-C7CF-4C48-9291-4807906A20BE}" name="Region of origin">
      <calculatedColumnFormula array="1">Common_InputFunctions.Utility_DisplayArrayInTable(Scope3_SourceData.Scope3_InorganicFertilisers_Data(), Table_SourceData_Scope3_InorganicFertiliser[[#Headers],[Category]], 0, 2)</calculatedColumnFormula>
    </tableColumn>
    <tableColumn id="4" xr3:uid="{0466E451-1D9D-432C-B88C-8496C46220CD}" name="Chemical compound"/>
    <tableColumn id="5" xr3:uid="{62C74D66-B31B-4F39-BD69-4511684CC376}" name="Urea source"/>
    <tableColumn id="6" xr3:uid="{B7F18DB3-9507-4C23-A645-C1C85198A9FD}" name="Ammonia source"/>
    <tableColumn id="7" xr3:uid="{EC8ABD26-808F-4DF3-BDFB-D67018191946}" name="Quantity"/>
    <tableColumn id="8" xr3:uid="{D5CB092C-897E-422F-866E-CCAFFC3877E8}" name="Quantity Unit">
      <calculatedColumnFormula array="1">Common_InputFunctions.Utility_DisplayArrayInTable(Scope3_SourceData.Scope3_InorganicFertilisers_Data(), Table_SourceData_Scope3_InorganicFertiliser[[#Headers],[Category]], 0, -2)</calculatedColumnFormula>
    </tableColumn>
    <tableColumn id="9" xr3:uid="{97D864D7-A555-47CD-B067-79C62FA7AF96}" name="AusLCI Emissions intensity">
      <calculatedColumnFormula array="1">Common_InputFunctions.Utility_DisplayArrayInTable(Scope3_SourceData.Scope3_InorganicFertilisers_Data(), Table_SourceData_Scope3_InorganicFertiliser[[#Headers],[Category]], 0, -2)</calculatedColumnFormula>
    </tableColumn>
    <tableColumn id="10" xr3:uid="{20335230-DDB8-4D56-B660-812F58B13DB8}" name="System boundary" dataDxfId="462" dataCellStyle="Content normal">
      <calculatedColumnFormula array="1">Common_InputFunctions.Utility_DisplayArrayInTable(Scope3_SourceData.Scope3_InorganicFertilisers_Data(), Table_SourceData_Scope3_InorganicFertiliser[[#Headers],[Category]], 0, -2)</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C703DCE8-2DA9-4607-8111-1323D636A81C}" name="Table_SourceData_Scope3_Other" displayName="Table_SourceData_Scope3_Other" ref="D201:I209" totalsRowShown="0" dataDxfId="461" dataCellStyle="Content normal">
  <autoFilter ref="D201:I209" xr:uid="{C703DCE8-2DA9-4607-8111-1323D636A81C}">
    <filterColumn colId="0" hiddenButton="1"/>
    <filterColumn colId="1" hiddenButton="1"/>
    <filterColumn colId="2" hiddenButton="1"/>
    <filterColumn colId="3" hiddenButton="1"/>
    <filterColumn colId="4" hiddenButton="1"/>
    <filterColumn colId="5" hiddenButton="1"/>
  </autoFilter>
  <tableColumns count="6">
    <tableColumn id="1" xr3:uid="{CCEB3E78-BC5A-4FFC-A3DE-61DDB731CC23}" name="Category" dataDxfId="460" dataCellStyle="Content normal">
      <calculatedColumnFormula array="1">Common_InputFunctions.Utility_DisplayArrayInTable(Scope3_SourceData.Scope3_Other_Data(), Table_SourceData_Scope3_Other[[#Headers],[Category]], 0, 2)</calculatedColumnFormula>
    </tableColumn>
    <tableColumn id="2" xr3:uid="{C078A088-981E-4568-A807-7F4E7771DFE7}" name="Product" dataDxfId="459" dataCellStyle="Content normal">
      <calculatedColumnFormula array="1">Common_InputFunctions.Utility_DisplayArrayInTable(Scope3_SourceData.Scope3_Other_Data(), Table_SourceData_Scope3_Other[[#Headers],[Category]], 0, 2)</calculatedColumnFormula>
    </tableColumn>
    <tableColumn id="3" xr3:uid="{21AE868B-2401-4DAA-B871-AEC622AE30FD}" name="Region of origin" dataDxfId="458" dataCellStyle="Content normal">
      <calculatedColumnFormula array="1">Common_InputFunctions.Utility_DisplayArrayInTable(Scope3_SourceData.Scope3_Other_Data(), Table_SourceData_Scope3_Other[[#Headers],[Category]], 0, 2)</calculatedColumnFormula>
    </tableColumn>
    <tableColumn id="8" xr3:uid="{4E401C7F-B5F8-4408-BDBC-62E919775F42}" name="Quantity Unit" dataDxfId="457" dataCellStyle="Content normal">
      <calculatedColumnFormula array="1">Common_InputFunctions.Utility_DisplayArrayInTable(Scope3_SourceData.Scope3_Other_Data(), Table_SourceData_Scope3_Other[[#Headers],[Category]], 0, 2)</calculatedColumnFormula>
    </tableColumn>
    <tableColumn id="9" xr3:uid="{A92654D8-13A7-4223-A91A-03F7CA0B2E9A}" name="AusLCI Emissions intensity" dataDxfId="456" dataCellStyle="Content normal">
      <calculatedColumnFormula array="1">Common_InputFunctions.Utility_DisplayArrayInTable(Scope3_SourceData.Scope3_Other_Data(), Table_SourceData_Scope3_Other[[#Headers],[Category]], 0, 2)</calculatedColumnFormula>
    </tableColumn>
    <tableColumn id="10" xr3:uid="{ED73B88C-2B3F-4CC1-90D8-09EC7A9FC7F3}" name="System boundary" dataDxfId="455" dataCellStyle="Content normal">
      <calculatedColumnFormula array="1">Common_InputFunctions.Utility_DisplayArrayInTable(Scope3_SourceData.Scope3_Other_Data(), Table_SourceData_Scope3_Other[[#Headers],[Category]], 0, 2)</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B95A04D9-DAAA-402E-80F2-94850F70AD8D}" name="Table_SourceData_Scope3_Packaging" displayName="Table_SourceData_Scope3_Packaging" ref="D212:I216" totalsRowShown="0" dataDxfId="454" dataCellStyle="Content normal">
  <autoFilter ref="D212:I216" xr:uid="{B95A04D9-DAAA-402E-80F2-94850F70AD8D}">
    <filterColumn colId="0" hiddenButton="1"/>
    <filterColumn colId="1" hiddenButton="1"/>
    <filterColumn colId="2" hiddenButton="1"/>
    <filterColumn colId="3" hiddenButton="1"/>
    <filterColumn colId="4" hiddenButton="1"/>
    <filterColumn colId="5" hiddenButton="1"/>
  </autoFilter>
  <tableColumns count="6">
    <tableColumn id="1" xr3:uid="{43362DD2-0B33-4BCB-B827-7C4A89047CC0}" name="Category" dataDxfId="453" dataCellStyle="Content normal">
      <calculatedColumnFormula array="1">Common_InputFunctions.Utility_DisplayArrayInTable(Scope3_SourceData.Scope3_Packaging_Data(), Table_SourceData_Scope3_Packaging[[#Headers],[Category]], 0, 2)</calculatedColumnFormula>
    </tableColumn>
    <tableColumn id="2" xr3:uid="{98D48E77-23FE-4E89-B706-CBF3CCC71DEA}" name="Product" dataDxfId="452" dataCellStyle="Content normal">
      <calculatedColumnFormula array="1">Common_InputFunctions.Utility_DisplayArrayInTable(Scope3_SourceData.Scope3_Packaging_Data(), Table_SourceData_Scope3_Packaging[[#Headers],[Category]], 0, 2)</calculatedColumnFormula>
    </tableColumn>
    <tableColumn id="3" xr3:uid="{FC9DDCF2-2AFB-4EAB-B426-29A6AED8DCE1}" name="Region of origin" dataDxfId="451" dataCellStyle="Content normal">
      <calculatedColumnFormula array="1">Common_InputFunctions.Utility_DisplayArrayInTable(Scope3_SourceData.Scope3_Packaging_Data(), Table_SourceData_Scope3_Packaging[[#Headers],[Category]], 0, 2)</calculatedColumnFormula>
    </tableColumn>
    <tableColumn id="8" xr3:uid="{E320AECA-EA4E-47EE-8707-E2868FA5CC36}" name="Quantity Unit" dataDxfId="450" dataCellStyle="Content normal">
      <calculatedColumnFormula array="1">Common_InputFunctions.Utility_DisplayArrayInTable(Scope3_SourceData.Scope3_Packaging_Data(), Table_SourceData_Scope3_Packaging[[#Headers],[Category]], 0, 2)</calculatedColumnFormula>
    </tableColumn>
    <tableColumn id="9" xr3:uid="{DFADF880-34BE-416D-884B-9E60C98B34B1}" name="AusLCI Emissions intensity" dataDxfId="449" dataCellStyle="Content normal">
      <calculatedColumnFormula array="1">Common_InputFunctions.Utility_DisplayArrayInTable(Scope3_SourceData.Scope3_Packaging_Data(), Table_SourceData_Scope3_Packaging[[#Headers],[Category]], 0, 2)</calculatedColumnFormula>
    </tableColumn>
    <tableColumn id="10" xr3:uid="{9FBFB70C-65BB-4CED-B001-32FFCE26A494}" name="System boundary" dataDxfId="448" dataCellStyle="Content normal">
      <calculatedColumnFormula array="1">Common_InputFunctions.Utility_DisplayArrayInTable(Scope3_SourceData.Scope3_Packaging_Data(), Table_SourceData_Scope3_Packaging[[#Headers],[Category]], 0,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C77460DE-4B5B-491B-885F-B6A288A52BB9}" name="Table_SourceData_Scope3_Pesticides" displayName="Table_SourceData_Scope3_Pesticides" ref="D219:I231" totalsRowShown="0" dataDxfId="447" dataCellStyle="Content normal">
  <autoFilter ref="D219:I231" xr:uid="{C77460DE-4B5B-491B-885F-B6A288A52BB9}">
    <filterColumn colId="0" hiddenButton="1"/>
    <filterColumn colId="1" hiddenButton="1"/>
    <filterColumn colId="2" hiddenButton="1"/>
    <filterColumn colId="3" hiddenButton="1"/>
    <filterColumn colId="4" hiddenButton="1"/>
    <filterColumn colId="5" hiddenButton="1"/>
  </autoFilter>
  <tableColumns count="6">
    <tableColumn id="1" xr3:uid="{304510F4-8D3C-4FA5-882C-E108FA075567}" name="Category" dataDxfId="446" dataCellStyle="Content normal">
      <calculatedColumnFormula array="1">Common_InputFunctions.Utility_DisplayArrayInTable(Scope3_SourceData.Scope3_Pesticides_Data(), Table_SourceData_Scope3_Pesticides[[#Headers],[Category]], 0, 2)</calculatedColumnFormula>
    </tableColumn>
    <tableColumn id="2" xr3:uid="{7195912D-C772-4E3F-B3A1-812C5CA9924D}" name="Product" dataDxfId="445" dataCellStyle="Content normal">
      <calculatedColumnFormula array="1">Common_InputFunctions.Utility_DisplayArrayInTable(Scope3_SourceData.Scope3_Pesticides_Data(), Table_SourceData_Scope3_Pesticides[[#Headers],[Category]], 0, 2)</calculatedColumnFormula>
    </tableColumn>
    <tableColumn id="3" xr3:uid="{10459461-5A6E-470B-8F52-6DEA48500C2B}" name="Region of origin" dataDxfId="444" dataCellStyle="Content normal">
      <calculatedColumnFormula array="1">Common_InputFunctions.Utility_DisplayArrayInTable(Scope3_SourceData.Scope3_Pesticides_Data(), Table_SourceData_Scope3_Pesticides[[#Headers],[Category]], 0, 2)</calculatedColumnFormula>
    </tableColumn>
    <tableColumn id="8" xr3:uid="{B0C083D6-95D1-4DFD-862E-81B659B2C6F6}" name="Quantity Unit" dataDxfId="443" dataCellStyle="Content normal">
      <calculatedColumnFormula array="1">Common_InputFunctions.Utility_DisplayArrayInTable(Scope3_SourceData.Scope3_Pesticides_Data(), Table_SourceData_Scope3_Pesticides[[#Headers],[Category]], 0, 2)</calculatedColumnFormula>
    </tableColumn>
    <tableColumn id="9" xr3:uid="{D5E71001-66D4-47E1-BC9B-1F898406BC43}" name="AusLCI Emissions intensity" dataDxfId="442" dataCellStyle="Content normal">
      <calculatedColumnFormula array="1">Common_InputFunctions.Utility_DisplayArrayInTable(Scope3_SourceData.Scope3_Pesticides_Data(), Table_SourceData_Scope3_Pesticides[[#Headers],[Category]], 0, 2)</calculatedColumnFormula>
    </tableColumn>
    <tableColumn id="10" xr3:uid="{5666E262-3E12-44FE-8C83-CF8EA536D29C}" name="System boundary" dataDxfId="441" dataCellStyle="Content normal">
      <calculatedColumnFormula array="1">Common_InputFunctions.Utility_DisplayArrayInTable(Scope3_SourceData.Scope3_Pesticides_Data(), Table_SourceData_Scope3_Pesticides[[#Headers],[Category]], 0, 2)</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E06B8FD7-21E4-417D-AAFE-EA3785475B05}" name="Table_SourceData_Scope3_SoilAmeliorants" displayName="Table_SourceData_Scope3_SoilAmeliorants" ref="D234:I237" totalsRowShown="0" dataDxfId="440" dataCellStyle="Content normal">
  <autoFilter ref="D234:I237" xr:uid="{E06B8FD7-21E4-417D-AAFE-EA3785475B05}">
    <filterColumn colId="0" hiddenButton="1"/>
    <filterColumn colId="1" hiddenButton="1"/>
    <filterColumn colId="2" hiddenButton="1"/>
    <filterColumn colId="3" hiddenButton="1"/>
    <filterColumn colId="4" hiddenButton="1"/>
    <filterColumn colId="5" hiddenButton="1"/>
  </autoFilter>
  <tableColumns count="6">
    <tableColumn id="1" xr3:uid="{72F3917D-29C8-409C-92F6-F329885A0AC6}" name="Category" dataDxfId="439" dataCellStyle="Content normal">
      <calculatedColumnFormula array="1">Common_InputFunctions.Utility_DisplayArrayInTable(Scope3_SourceData.Scope3_SoilAmendments_Data(), Table_SourceData_Scope3_SoilAmeliorants[[#Headers],[Category]], 0, 2)</calculatedColumnFormula>
    </tableColumn>
    <tableColumn id="2" xr3:uid="{1C3D640A-29DA-4147-92A2-60696B5A4C71}" name="Product" dataDxfId="438" dataCellStyle="Content normal">
      <calculatedColumnFormula array="1">Common_InputFunctions.Utility_DisplayArrayInTable(Scope3_SourceData.Scope3_SoilAmendments_Data(), Table_SourceData_Scope3_SoilAmeliorants[[#Headers],[Category]], 0, 2)</calculatedColumnFormula>
    </tableColumn>
    <tableColumn id="3" xr3:uid="{C3D2F8FF-B32F-4518-BC0C-DB4081FCA79C}" name="Region of origin" dataDxfId="437" dataCellStyle="Content normal">
      <calculatedColumnFormula array="1">Common_InputFunctions.Utility_DisplayArrayInTable(Scope3_SourceData.Scope3_SoilAmendments_Data(), Table_SourceData_Scope3_SoilAmeliorants[[#Headers],[Category]], 0, 2)</calculatedColumnFormula>
    </tableColumn>
    <tableColumn id="8" xr3:uid="{90A728DE-D127-473A-AD75-98598E22E83F}" name="Quantity Unit" dataDxfId="436" dataCellStyle="Content normal">
      <calculatedColumnFormula array="1">Common_InputFunctions.Utility_DisplayArrayInTable(Scope3_SourceData.Scope3_SoilAmendments_Data(), Table_SourceData_Scope3_SoilAmeliorants[[#Headers],[Category]], 0, 2)</calculatedColumnFormula>
    </tableColumn>
    <tableColumn id="9" xr3:uid="{D980A953-159D-4ABD-A38A-09890342F668}" name="AusLCI Emissions intensity" dataDxfId="435" dataCellStyle="Content normal">
      <calculatedColumnFormula array="1">Common_InputFunctions.Utility_DisplayArrayInTable(Scope3_SourceData.Scope3_SoilAmendments_Data(), Table_SourceData_Scope3_SoilAmeliorants[[#Headers],[Category]], 0, 2)</calculatedColumnFormula>
    </tableColumn>
    <tableColumn id="10" xr3:uid="{3A668D95-29B4-4FE6-9D44-D43521B82BC2}" name="System boundary" dataDxfId="434" dataCellStyle="Content normal">
      <calculatedColumnFormula array="1">Common_InputFunctions.Utility_DisplayArrayInTable(Scope3_SourceData.Scope3_SoilAmendments_Data(), Table_SourceData_Scope3_SoilAmeliorants[[#Headers],[Category]], 0, 2)</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C4160DCA-2AAF-4965-B3AD-B53F778A6499}" name="Table_SourceData_Scope3_ChemicalsPharmacy" displayName="Table_SourceData_Scope3_ChemicalsPharmacy" ref="D82:I86" totalsRowShown="0" dataDxfId="433" dataCellStyle="Content normal">
  <autoFilter ref="D82:I86" xr:uid="{C4160DCA-2AAF-4965-B3AD-B53F778A6499}">
    <filterColumn colId="0" hiddenButton="1"/>
    <filterColumn colId="1" hiddenButton="1"/>
    <filterColumn colId="2" hiddenButton="1"/>
    <filterColumn colId="3" hiddenButton="1"/>
    <filterColumn colId="4" hiddenButton="1"/>
    <filterColumn colId="5" hiddenButton="1"/>
  </autoFilter>
  <tableColumns count="6">
    <tableColumn id="1" xr3:uid="{8E805F0F-13EB-444A-AFA4-AC66F45058CE}" name="Category" dataDxfId="432" dataCellStyle="Content normal">
      <calculatedColumnFormula array="1">Common_InputFunctions.Utility_DisplayArrayInTable(Scope3_SourceData.Scope3_Chemicals_Data(), Table_SourceData_Scope3_ChemicalsPharmacy[[#Headers],[Category]], -3, 2)</calculatedColumnFormula>
    </tableColumn>
    <tableColumn id="2" xr3:uid="{BA0C9E19-0CF8-40D8-BDAE-09E8ADB0DDEF}" name="Product" dataDxfId="431" dataCellStyle="Content normal">
      <calculatedColumnFormula array="1">Common_InputFunctions.Utility_DisplayArrayInTable(Scope3_SourceData.Scope3_Chemicals_Data(), Table_SourceData_Scope3_ChemicalsPharmacy[[#Headers],[Category]], -3, 2)</calculatedColumnFormula>
    </tableColumn>
    <tableColumn id="3" xr3:uid="{58071090-BBC5-47B9-B141-D3FD62AAA81D}" name="Region of origin" dataDxfId="430" dataCellStyle="Content normal">
      <calculatedColumnFormula array="1">Common_InputFunctions.Utility_DisplayArrayInTable(Scope3_SourceData.Scope3_Chemicals_Data(), Table_SourceData_Scope3_ChemicalsPharmacy[[#Headers],[Category]], -3, 2)</calculatedColumnFormula>
    </tableColumn>
    <tableColumn id="8" xr3:uid="{7B4EEA6E-85AF-47B1-80AF-4DC20EF896E9}" name="Quantity Unit" dataDxfId="429" dataCellStyle="Content normal">
      <calculatedColumnFormula array="1">Common_InputFunctions.Utility_DisplayArrayInTable(Scope3_SourceData.Scope3_Chemicals_Data(), Table_SourceData_Scope3_ChemicalsPharmacy[[#Headers],[Category]], -3, 2)</calculatedColumnFormula>
    </tableColumn>
    <tableColumn id="9" xr3:uid="{25A49A9F-40A2-4614-9E17-9668E9645C55}" name="AusLCI Emissions intensity" dataDxfId="428" dataCellStyle="Content normal">
      <calculatedColumnFormula array="1">Common_InputFunctions.Utility_DisplayArrayInTable(Scope3_SourceData.Scope3_Chemicals_Data(), Table_SourceData_Scope3_ChemicalsPharmacy[[#Headers],[Category]], -3, 2)</calculatedColumnFormula>
    </tableColumn>
    <tableColumn id="10" xr3:uid="{21AA5226-63FD-4A56-A1D0-1D053B04A373}" name="System boundary" dataDxfId="427" dataCellStyle="Content normal">
      <calculatedColumnFormula array="1">Common_InputFunctions.Utility_DisplayArrayInTable(Scope3_SourceData.Scope3_Chemicals_Data(), Table_SourceData_Scope3_ChemicalsPharmacy[[#Headers],[Category]], -3, 2)</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606CCDDA-2BB2-4AA5-B657-09AAAA73295A}" name="Table_SourceData_Scope3_LickBlocks" displayName="Table_SourceData_Scope3_LickBlocks" ref="D167:I170" totalsRowShown="0" headerRowDxfId="426" headerRowCellStyle="Content normal">
  <autoFilter ref="D167:I170" xr:uid="{606CCDDA-2BB2-4AA5-B657-09AAAA73295A}">
    <filterColumn colId="0" hiddenButton="1"/>
    <filterColumn colId="1" hiddenButton="1"/>
    <filterColumn colId="2" hiddenButton="1"/>
    <filterColumn colId="3" hiddenButton="1"/>
    <filterColumn colId="4" hiddenButton="1"/>
    <filterColumn colId="5" hiddenButton="1"/>
  </autoFilter>
  <tableColumns count="6">
    <tableColumn id="1" xr3:uid="{6D76B938-08A2-4094-AEB0-8C3161774DD1}" name="Category" dataDxfId="425" dataCellStyle="Content normal">
      <calculatedColumnFormula array="1">Common_InputFunctions.Utility_DisplayArrayInTable(Scope3_SourceData.Scope3_Feed_Data(), Table_SourceData_Scope3_LickBlocks[[#Headers],[Category]], -73, 2)</calculatedColumnFormula>
    </tableColumn>
    <tableColumn id="2" xr3:uid="{3FF84858-750C-4566-9D71-0F23E5C2D255}" name="Product" dataDxfId="424" dataCellStyle="Content normal">
      <calculatedColumnFormula array="1">Common_InputFunctions.Utility_DisplayArrayInTable(Scope3_SourceData.Scope3_Feed_Data(), Table_SourceData_Scope3_LickBlocks[[#Headers],[Category]], -73, 2)</calculatedColumnFormula>
    </tableColumn>
    <tableColumn id="3" xr3:uid="{6CD3EF44-E799-4588-9C98-DC37352A45C1}" name="Region of origin" dataDxfId="423" dataCellStyle="Content normal">
      <calculatedColumnFormula array="1">Common_InputFunctions.Utility_DisplayArrayInTable(Scope3_SourceData.Scope3_Feed_Data(), Table_SourceData_Scope3_LickBlocks[[#Headers],[Category]], -73, 2)</calculatedColumnFormula>
    </tableColumn>
    <tableColumn id="4" xr3:uid="{D4514306-67FC-494E-BDED-91C48A086011}" name="Quantity Unit" dataDxfId="422" dataCellStyle="Content normal">
      <calculatedColumnFormula array="1">Common_InputFunctions.Utility_DisplayArrayInTable(Scope3_SourceData.Scope3_Feed_Data(), Table_SourceData_Scope3_LickBlocks[[#Headers],[Category]], -73, 2)</calculatedColumnFormula>
    </tableColumn>
    <tableColumn id="5" xr3:uid="{1F62073E-6981-4292-896E-AD87710B0F89}" name="AusLCI Emissions intensity" dataDxfId="421" dataCellStyle="Content normal">
      <calculatedColumnFormula array="1">Common_InputFunctions.Utility_DisplayArrayInTable(Scope3_SourceData.Scope3_Feed_Data(), Table_SourceData_Scope3_LickBlocks[[#Headers],[Category]], -73, 2)</calculatedColumnFormula>
    </tableColumn>
    <tableColumn id="6" xr3:uid="{8B747B0B-1D64-4B8C-8FFD-6931FC5878CC}" name="System boundary" dataDxfId="420" dataCellStyle="Content normal">
      <calculatedColumnFormula array="1">Common_InputFunctions.Utility_DisplayArrayInTable(Scope3_SourceData.Scope3_Feed_Data(), Table_SourceData_Scope3_LickBlocks[[#Headers],[Category]], -73, 2)</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D958255-6879-4BEB-9F61-8AFE685165BB}" name="Table_SourceData_Scope3_MixedRations" displayName="Table_SourceData_Scope3_MixedRations" ref="D161:I165" totalsRowShown="0" headerRowDxfId="419" headerRowCellStyle="Content normal">
  <autoFilter ref="D161:I165" xr:uid="{1D958255-6879-4BEB-9F61-8AFE685165BB}">
    <filterColumn colId="0" hiddenButton="1"/>
    <filterColumn colId="1" hiddenButton="1"/>
    <filterColumn colId="2" hiddenButton="1"/>
    <filterColumn colId="3" hiddenButton="1"/>
    <filterColumn colId="4" hiddenButton="1"/>
    <filterColumn colId="5" hiddenButton="1"/>
  </autoFilter>
  <tableColumns count="6">
    <tableColumn id="1" xr3:uid="{F8F83081-CECF-4A9D-9DDF-0E7F39862E23}" name="Category" dataDxfId="418" dataCellStyle="Content normal">
      <calculatedColumnFormula array="1">Common_InputFunctions.Utility_DisplayArrayInTable(Scope3_SourceData.Scope3_Feed_Data(), Table_SourceData_Scope3_MixedRations[[#Headers],[Category]], -66, 2)</calculatedColumnFormula>
    </tableColumn>
    <tableColumn id="2" xr3:uid="{17F6ADBB-F5DB-4374-89F5-BF77C115DB64}" name="Product" dataDxfId="417" dataCellStyle="Content normal">
      <calculatedColumnFormula array="1">Common_InputFunctions.Utility_DisplayArrayInTable(Scope3_SourceData.Scope3_Feed_Data(), Table_SourceData_Scope3_MixedRations[[#Headers],[Category]], -66, 2)</calculatedColumnFormula>
    </tableColumn>
    <tableColumn id="3" xr3:uid="{3F3E2E49-2911-41A8-9D6B-70B6444FC1D6}" name="Region of origin" dataDxfId="416" dataCellStyle="Content normal">
      <calculatedColumnFormula array="1">Common_InputFunctions.Utility_DisplayArrayInTable(Scope3_SourceData.Scope3_Feed_Data(), Table_SourceData_Scope3_MixedRations[[#Headers],[Category]], -66, 2)</calculatedColumnFormula>
    </tableColumn>
    <tableColumn id="4" xr3:uid="{6ED78C2B-2414-41EB-8B66-3CBB3FB19983}" name="Quantity Unit" dataDxfId="415" dataCellStyle="Content normal">
      <calculatedColumnFormula array="1">Common_InputFunctions.Utility_DisplayArrayInTable(Scope3_SourceData.Scope3_Feed_Data(), Table_SourceData_Scope3_MixedRations[[#Headers],[Category]], -66, 2)</calculatedColumnFormula>
    </tableColumn>
    <tableColumn id="5" xr3:uid="{DCFC09BB-3FD0-4ECF-8514-5711C9A62B23}" name="AusLCI Emissions intensity" dataDxfId="414" dataCellStyle="Content normal">
      <calculatedColumnFormula array="1">Common_InputFunctions.Utility_DisplayArrayInTable(Scope3_SourceData.Scope3_Feed_Data(), Table_SourceData_Scope3_MixedRations[[#Headers],[Category]], -66, 2)</calculatedColumnFormula>
    </tableColumn>
    <tableColumn id="6" xr3:uid="{0E4567CD-8A41-4411-9344-50A2F142C06F}" name="System boundary" dataDxfId="413" dataCellStyle="Content normal">
      <calculatedColumnFormula array="1">Common_InputFunctions.Utility_DisplayArrayInTable(Scope3_SourceData.Scope3_Feed_Data(), Table_SourceData_Scope3_MixedRations[[#Headers],[Category]], -66, 2)</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CE347908-ACBC-4A97-A54B-325F495C7F74}" name="Table_ProductRegions_Sardineswhole" displayName="Table_ProductRegions_Sardineswhole" ref="K89:L90" totalsRowShown="0">
  <autoFilter ref="K89:L90" xr:uid="{CE347908-ACBC-4A97-A54B-325F495C7F74}">
    <filterColumn colId="0" hiddenButton="1"/>
    <filterColumn colId="1" hiddenButton="1"/>
  </autoFilter>
  <tableColumns count="2">
    <tableColumn id="1" xr3:uid="{945C1647-7F59-469D-9ECC-C1CE89C4CF51}" name="Product">
      <calculatedColumnFormula>Table_SourceData_Scope3_Feed[[#This Row],[Product]]</calculatedColumnFormula>
    </tableColumn>
    <tableColumn id="2" xr3:uid="{81A311AA-D3A2-4081-9131-FB76E5401064}" name="Region">
      <calculatedColumnFormula>Table_SourceData_Scope3_Feed[[#This Row],[Region of origin]]</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CC6C9C2-1CED-45A7-AB1B-72FD8DBB4178}" name="Table_ProductRegions_Barleygrain" displayName="Table_ProductRegions_Barleygrain" ref="N90:O98" totalsRowShown="0">
  <autoFilter ref="N90:O98" xr:uid="{4CC6C9C2-1CED-45A7-AB1B-72FD8DBB4178}">
    <filterColumn colId="0" hiddenButton="1"/>
    <filterColumn colId="1" hiddenButton="1"/>
  </autoFilter>
  <tableColumns count="2">
    <tableColumn id="1" xr3:uid="{5664F718-42BA-4223-9181-A77E546BAE1D}" name="Product">
      <calculatedColumnFormula>Table_SourceData_Scope3_Feed[[#This Row],[Product]]</calculatedColumnFormula>
    </tableColumn>
    <tableColumn id="2" xr3:uid="{D58DAB78-4739-4D37-BD60-9386C4FB3DF1}" name="Region">
      <calculatedColumnFormula>Table_SourceData_Scope3_Feed[[#This Row],[Region of origin]]</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70F320A7-5DBE-4A83-91E4-C9B3BDA564BD}" name="Table_ProductRegions_Maizegrain" displayName="Table_ProductRegions_Maizegrain" ref="K98:L105" totalsRowShown="0" headerRowDxfId="412" headerRowCellStyle="Content normal">
  <autoFilter ref="K98:L105" xr:uid="{70F320A7-5DBE-4A83-91E4-C9B3BDA564BD}">
    <filterColumn colId="0" hiddenButton="1"/>
    <filterColumn colId="1" hiddenButton="1"/>
  </autoFilter>
  <tableColumns count="2">
    <tableColumn id="1" xr3:uid="{8A513684-3B15-4728-8FF7-B75E1C46FDFF}" name="Product">
      <calculatedColumnFormula>Table_SourceData_Scope3_Feed[[#This Row],[Product]]</calculatedColumnFormula>
    </tableColumn>
    <tableColumn id="2" xr3:uid="{1D4B4388-F864-4F7C-9BA6-6EDD17344E99}" name="Region">
      <calculatedColumnFormula>Table_SourceData_Scope3_Feed[[#This Row],[Region of origin]]</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90205417-8A77-41A3-A4E2-624BD92B7269}" name="Table_ProductRegions_Sorghumgrain" displayName="Table_ProductRegions_Sorghumgrain" ref="N105:O110" totalsRowShown="0" headerRowDxfId="411" headerRowCellStyle="Content normal">
  <autoFilter ref="N105:O110" xr:uid="{90205417-8A77-41A3-A4E2-624BD92B7269}">
    <filterColumn colId="0" hiddenButton="1"/>
    <filterColumn colId="1" hiddenButton="1"/>
  </autoFilter>
  <tableColumns count="2">
    <tableColumn id="1" xr3:uid="{8CAF71D4-F198-470E-B0AD-32BACC7F74B7}" name="Product">
      <calculatedColumnFormula>Table_SourceData_Scope3_Feed[[#This Row],[Product]]</calculatedColumnFormula>
    </tableColumn>
    <tableColumn id="2" xr3:uid="{A4BF9C0A-17AA-403A-B5FE-F13D886421DA}" name="Region">
      <calculatedColumnFormula>Table_SourceData_Scope3_Feed[[#This Row],[Region of origin]]</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9DD7D3AD-59A1-48FC-B80D-99C25A2A79F5}" name="Table_ProductRegions_Wheatgrain" displayName="Table_ProductRegions_Wheatgrain" ref="K110:L118" totalsRowShown="0" headerRowDxfId="410" headerRowCellStyle="Content normal">
  <autoFilter ref="K110:L118" xr:uid="{9DD7D3AD-59A1-48FC-B80D-99C25A2A79F5}">
    <filterColumn colId="0" hiddenButton="1"/>
    <filterColumn colId="1" hiddenButton="1"/>
  </autoFilter>
  <tableColumns count="2">
    <tableColumn id="1" xr3:uid="{BCFAAD99-5F01-425C-B95B-E16E8C36199D}" name="Product">
      <calculatedColumnFormula>Table_SourceData_Scope3_Feed[[#This Row],[Product]]</calculatedColumnFormula>
    </tableColumn>
    <tableColumn id="2" xr3:uid="{E4C47197-8F10-484C-A4A1-777A12716EA4}" name="Region">
      <calculatedColumnFormula>Table_SourceData_Scope3_Feed[[#This Row],[Region of origin]]</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245CC575-8EB6-4B35-B4B5-B1CE9D9C39F8}" name="Table_ProductRegions_Cerealhay" displayName="Table_ProductRegions_Cerealhay" ref="N118:O125" totalsRowShown="0">
  <autoFilter ref="N118:O125" xr:uid="{245CC575-8EB6-4B35-B4B5-B1CE9D9C39F8}">
    <filterColumn colId="0" hiddenButton="1"/>
    <filterColumn colId="1" hiddenButton="1"/>
  </autoFilter>
  <tableColumns count="2">
    <tableColumn id="1" xr3:uid="{232AC097-A016-4FDE-8772-4DAA515FE7D7}" name="Product">
      <calculatedColumnFormula>Table_SourceData_Scope3_Feed[[#This Row],[Product]]</calculatedColumnFormula>
    </tableColumn>
    <tableColumn id="2" xr3:uid="{38E00CDB-2FD4-4256-AA61-D24E378A3D11}" name="Region">
      <calculatedColumnFormula>Table_SourceData_Scope3_Feed[[#This Row],[Region of origin]]</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FD45B7F5-0F1B-474D-A048-21B8C1E86239}" name="Table_ProductRegions_Cerealsilage" displayName="Table_ProductRegions_Cerealsilage" ref="K125:L131" totalsRowShown="0">
  <autoFilter ref="K125:L131" xr:uid="{FD45B7F5-0F1B-474D-A048-21B8C1E86239}">
    <filterColumn colId="0" hiddenButton="1"/>
    <filterColumn colId="1" hiddenButton="1"/>
  </autoFilter>
  <tableColumns count="2">
    <tableColumn id="1" xr3:uid="{1BC2DAF2-75FA-45FD-A340-D1CDA2E025AF}" name="Product">
      <calculatedColumnFormula>Table_SourceData_Scope3_Feed[[#This Row],[Product]]</calculatedColumnFormula>
    </tableColumn>
    <tableColumn id="2" xr3:uid="{10904676-673E-40F4-A580-C2352762A9A9}" name="Region">
      <calculatedColumnFormula>Table_SourceData_Scope3_Feed[[#This Row],[Region of origin]]</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4DF6C49E-FF29-4EC2-AABA-1FE3CF552A22}" name="Table_ProductRegions_Lucernehay" displayName="Table_ProductRegions_Lucernehay" ref="N131:O138" totalsRowShown="0">
  <autoFilter ref="N131:O138" xr:uid="{4DF6C49E-FF29-4EC2-AABA-1FE3CF552A22}">
    <filterColumn colId="0" hiddenButton="1"/>
    <filterColumn colId="1" hiddenButton="1"/>
  </autoFilter>
  <tableColumns count="2">
    <tableColumn id="1" xr3:uid="{44569DEA-8769-46B9-A341-EE1B83363294}" name="Product">
      <calculatedColumnFormula>Table_SourceData_Scope3_Feed[[#This Row],[Product]]</calculatedColumnFormula>
    </tableColumn>
    <tableColumn id="2" xr3:uid="{D8700C5D-7929-4241-92AF-CF01E9881424}" name="Region">
      <calculatedColumnFormula>Table_SourceData_Scope3_Feed[[#This Row],[Region of origin]]</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CE14642-4488-4D3C-A2B0-48CEF5738148}" name="Table_ProductRegions_Oatenhay" displayName="Table_ProductRegions_Oatenhay" ref="K138:L144" totalsRowShown="0">
  <autoFilter ref="K138:L144" xr:uid="{5CE14642-4488-4D3C-A2B0-48CEF5738148}">
    <filterColumn colId="0" hiddenButton="1"/>
    <filterColumn colId="1" hiddenButton="1"/>
  </autoFilter>
  <tableColumns count="2">
    <tableColumn id="1" xr3:uid="{AF0926BC-52D3-4298-A3CE-4E5AD5ACE599}" name="Product">
      <calculatedColumnFormula>Table_SourceData_Scope3_Feed[[#This Row],[Product]]</calculatedColumnFormula>
    </tableColumn>
    <tableColumn id="2" xr3:uid="{22EDBA27-6916-4D05-9240-A8FFBC5F3963}" name="Region">
      <calculatedColumnFormula>Table_SourceData_Scope3_Feed[[#This Row],[Region of origin]]</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BD72E544-66B7-4CC1-B2C8-F2136AAB32F7}" name="Table_ProductRegions_Pasturehay" displayName="Table_ProductRegions_Pasturehay" ref="N144:O151" totalsRowShown="0">
  <autoFilter ref="N144:O151" xr:uid="{BD72E544-66B7-4CC1-B2C8-F2136AAB32F7}">
    <filterColumn colId="0" hiddenButton="1"/>
    <filterColumn colId="1" hiddenButton="1"/>
  </autoFilter>
  <tableColumns count="2">
    <tableColumn id="1" xr3:uid="{47833BE6-BC36-4E64-A9B0-E7F4E81D1CB2}" name="Product">
      <calculatedColumnFormula>Table_SourceData_Scope3_Feed[[#This Row],[Product]]</calculatedColumnFormula>
    </tableColumn>
    <tableColumn id="2" xr3:uid="{97D465EB-64C0-4F64-A782-549ABD7ACA4D}" name="Region">
      <calculatedColumnFormula>Table_SourceData_Scope3_Feed[[#This Row],[Region of origin]]</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58F78B6F-294E-4D4E-8E3B-BFE4FA85583E}" name="Table_ProductRegions_Canolameal" displayName="Table_ProductRegions_Canolameal" ref="K151:L152" totalsRowShown="0" headerRowDxfId="409" headerRowCellStyle="Content normal" dataCellStyle="Content normal">
  <autoFilter ref="K151:L152" xr:uid="{58F78B6F-294E-4D4E-8E3B-BFE4FA85583E}">
    <filterColumn colId="0" hiddenButton="1"/>
    <filterColumn colId="1" hiddenButton="1"/>
  </autoFilter>
  <tableColumns count="2">
    <tableColumn id="1" xr3:uid="{67D1AABE-BAD4-447B-93B8-EBF6341081D3}" name="Product" dataCellStyle="Content normal">
      <calculatedColumnFormula>Table_SourceData_Scope3_Feed[[#This Row],[Product]]</calculatedColumnFormula>
    </tableColumn>
    <tableColumn id="2" xr3:uid="{B64DE0AB-200D-482D-87A5-6B0F7AAB72A3}" name="Region" dataCellStyle="Content normal">
      <calculatedColumnFormula>Table_SourceData_Scope3_Feed[[#This Row],[Region of origin]]</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D9ACC97D-5A56-40C9-A49D-02AE70D1528F}" name="Table_ProductRegions_Meatmeal" displayName="Table_ProductRegions_Meatmeal" ref="N152:O153" totalsRowShown="0">
  <autoFilter ref="N152:O153" xr:uid="{D9ACC97D-5A56-40C9-A49D-02AE70D1528F}">
    <filterColumn colId="0" hiddenButton="1"/>
    <filterColumn colId="1" hiddenButton="1"/>
  </autoFilter>
  <tableColumns count="2">
    <tableColumn id="1" xr3:uid="{5C61A0C9-D6E2-4399-A917-6247DEA787B6}" name="Product">
      <calculatedColumnFormula>Table_SourceData_Scope3_Feed[[#This Row],[Product]]</calculatedColumnFormula>
    </tableColumn>
    <tableColumn id="2" xr3:uid="{FB39D82B-1915-4127-B8DC-BB6CDD37C69F}" name="Region">
      <calculatedColumnFormula>Table_SourceData_Scope3_Feed[[#This Row],[Region of origin]]</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1C990ACD-1539-48DE-9CB9-7E6ABD45F865}" name="Table_ProductRegions_Soybeanmeal" displayName="Table_ProductRegions_Soybeanmeal" ref="K153:L154" totalsRowShown="0">
  <autoFilter ref="K153:L154" xr:uid="{1C990ACD-1539-48DE-9CB9-7E6ABD45F865}">
    <filterColumn colId="0" hiddenButton="1"/>
    <filterColumn colId="1" hiddenButton="1"/>
  </autoFilter>
  <tableColumns count="2">
    <tableColumn id="1" xr3:uid="{4552E057-14F0-4DD6-AEC3-5F3FC817A074}" name="Product">
      <calculatedColumnFormula>Table_SourceData_Scope3_Feed[[#This Row],[Product]]</calculatedColumnFormula>
    </tableColumn>
    <tableColumn id="2" xr3:uid="{CB8228EF-CA06-4F23-8AC2-FD9606615F4E}" name="Region">
      <calculatedColumnFormula>Table_SourceData_Scope3_Feed[[#This Row],[Region of origin]]</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27F97D39-363D-44DD-BCB4-6C8D8B6B10B7}" name="Table_ProductRegions_Wheatbran" displayName="Table_ProductRegions_Wheatbran" ref="N154:O155" totalsRowShown="0">
  <autoFilter ref="N154:O155" xr:uid="{27F97D39-363D-44DD-BCB4-6C8D8B6B10B7}">
    <filterColumn colId="0" hiddenButton="1"/>
    <filterColumn colId="1" hiddenButton="1"/>
  </autoFilter>
  <tableColumns count="2">
    <tableColumn id="1" xr3:uid="{E4E4F2C5-E9E9-4E83-9AB8-3D7BAB445C7C}" name="Product">
      <calculatedColumnFormula>Table_SourceData_Scope3_Feed[[#This Row],[Product]]</calculatedColumnFormula>
    </tableColumn>
    <tableColumn id="2" xr3:uid="{0CBFE8FA-A486-4EC2-A650-280D23D0085D}" name="Region">
      <calculatedColumnFormula>Table_SourceData_Scope3_Feed[[#This Row],[Region of origin]]</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09E4264E-4E86-40F1-AA3A-76335558A05D}" name="Table_ProductRegions_Bentonite" displayName="Table_ProductRegions_Bentonite" ref="K155:L156" totalsRowShown="0">
  <autoFilter ref="K155:L156" xr:uid="{09E4264E-4E86-40F1-AA3A-76335558A05D}">
    <filterColumn colId="0" hiddenButton="1"/>
    <filterColumn colId="1" hiddenButton="1"/>
  </autoFilter>
  <tableColumns count="2">
    <tableColumn id="1" xr3:uid="{8F709C97-D69A-46E4-8CDD-41528AEF31DC}" name="Product">
      <calculatedColumnFormula>Table_SourceData_Scope3_Feed[[#This Row],[Product]]</calculatedColumnFormula>
    </tableColumn>
    <tableColumn id="2" xr3:uid="{F700D495-AFC3-490A-B7A9-A4D96953AF14}" name="Region">
      <calculatedColumnFormula>Table_SourceData_Scope3_Feed[[#This Row],[Region of origin]]</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A0E0877F-5B97-438A-89BF-391F139E6C20}" name="Table_ProductRegions_Canolaoil" displayName="Table_ProductRegions_Canolaoil" ref="N156:O157" totalsRowShown="0">
  <autoFilter ref="N156:O157" xr:uid="{A0E0877F-5B97-438A-89BF-391F139E6C20}">
    <filterColumn colId="0" hiddenButton="1"/>
    <filterColumn colId="1" hiddenButton="1"/>
  </autoFilter>
  <tableColumns count="2">
    <tableColumn id="1" xr3:uid="{5BD08D66-236B-4A21-8EE3-0DC05650C30D}" name="Product">
      <calculatedColumnFormula>Table_SourceData_Scope3_Feed[[#This Row],[Product]]</calculatedColumnFormula>
    </tableColumn>
    <tableColumn id="2" xr3:uid="{CEB44EDC-668C-4405-9A4D-8B87223BF718}" name="Region">
      <calculatedColumnFormula>Table_SourceData_Scope3_Feed[[#This Row],[Region of origin]]</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77EE7649-CF58-45FA-964C-E4A392F4902C}" name="Table_ProductRegions_Cottonseed" displayName="Table_ProductRegions_Cottonseed" ref="K157:L158" totalsRowShown="0">
  <autoFilter ref="K157:L158" xr:uid="{77EE7649-CF58-45FA-964C-E4A392F4902C}">
    <filterColumn colId="0" hiddenButton="1"/>
    <filterColumn colId="1" hiddenButton="1"/>
  </autoFilter>
  <tableColumns count="2">
    <tableColumn id="1" xr3:uid="{F6AEA5C7-0F9B-4957-BC46-0C4126158420}" name="Product">
      <calculatedColumnFormula>Table_SourceData_Scope3_Feed[[#This Row],[Product]]</calculatedColumnFormula>
    </tableColumn>
    <tableColumn id="2" xr3:uid="{4AA3B134-144F-4D6D-B0EA-9E96E73FAC81}" name="Region">
      <calculatedColumnFormula>Table_SourceData_Scope3_Feed[[#This Row],[Region of origin]]</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EBEFFF0B-F932-4AFC-ABDF-6907D5107FE5}" name="Table_ProductRegions_Molasses" displayName="Table_ProductRegions_Molasses" ref="N158:O159" totalsRowShown="0">
  <autoFilter ref="N158:O159" xr:uid="{EBEFFF0B-F932-4AFC-ABDF-6907D5107FE5}">
    <filterColumn colId="0" hiddenButton="1"/>
    <filterColumn colId="1" hiddenButton="1"/>
  </autoFilter>
  <tableColumns count="2">
    <tableColumn id="1" xr3:uid="{1BF93CE1-17D7-44CC-B5BD-89CA52F56749}" name="Product">
      <calculatedColumnFormula>Table_SourceData_Scope3_Feed[[#This Row],[Product]]</calculatedColumnFormula>
    </tableColumn>
    <tableColumn id="2" xr3:uid="{DAF1C44E-ABB4-4659-AD12-6A7CE97EFAC4}" name="Region">
      <calculatedColumnFormula>Table_SourceData_Scope3_Feed[[#This Row],[Region of origin]]</calculatedColumnFormula>
    </tableColumn>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9" xr:uid="{77539992-728B-4655-965B-FB28372E4BBC}" name="Table_ProductRegions_Beefcattle" displayName="Table_ProductRegions_Beefcattle" ref="K33:L49" totalsRowShown="0">
  <autoFilter ref="K33:L49" xr:uid="{77539992-728B-4655-965B-FB28372E4BBC}">
    <filterColumn colId="0" hiddenButton="1"/>
    <filterColumn colId="1" hiddenButton="1"/>
  </autoFilter>
  <tableColumns count="2">
    <tableColumn id="1" xr3:uid="{EA6D5E06-7386-4DA6-AC11-D24B4D31B806}" name="Region"/>
    <tableColumn id="2" xr3:uid="{192E343D-FA92-4130-88B1-0764C1C5107A}" name="Scope3 region"/>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2DBCDD8-93C2-4468-A992-F8AA73831CF3}" name="Table_SourceData_WasteSolid_WasteTreatmentEFs" displayName="Table_SourceData_WasteSolid_WasteTreatmentEFs" ref="D16:G50" totalsRowShown="0">
  <autoFilter ref="D16:G50" xr:uid="{4AF52C87-665B-4565-984D-010681CEE8B6}">
    <filterColumn colId="0" hiddenButton="1"/>
    <filterColumn colId="1" hiddenButton="1"/>
    <filterColumn colId="2" hiddenButton="1"/>
    <filterColumn colId="3" hiddenButton="1"/>
  </autoFilter>
  <tableColumns count="4">
    <tableColumn id="1" xr3:uid="{7048F3F7-1D2E-493B-B1B0-DE44E4EA65FD}" name="Treatment type t">
      <calculatedColumnFormula array="1">Common_InputFunctions.Utility_DisplayArrayInTable(WasteSolid_SourceData.Waste_EmissionFactorsForWasteTreatment_Data(), Table_SourceData_WasteSolid_WasteTreatmentEFs[[#Headers],[Treatment type t]], 0)</calculatedColumnFormula>
    </tableColumn>
    <tableColumn id="2" xr3:uid="{38DF6A07-466B-4FFD-8896-A1636B32F5C4}" name="Waste type w" dataDxfId="408"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3" xr3:uid="{2783A4E0-FE63-4365-8DB5-96A0ED3E67E7}" name="EFwt" dataDxfId="407"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4" xr3:uid="{28D51028-9337-47DD-8EA9-B85DB8140B21}" name="EF source" dataDxfId="406"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D84B430-D43F-40ED-8537-F291099C09F7}" name="Table_SourceData_WasteSolid_VolumeToMassConversion" displayName="Table_SourceData_WasteSolid_VolumeToMassConversion" ref="D57:E68" totalsRowShown="0">
  <autoFilter ref="D57:E68" xr:uid="{7322750E-D63A-47D8-AB88-7693F1AFBB78}">
    <filterColumn colId="0" hiddenButton="1"/>
    <filterColumn colId="1" hiddenButton="1"/>
  </autoFilter>
  <tableColumns count="2">
    <tableColumn id="1" xr3:uid="{26B3B6CE-B78C-44D0-B9A7-A6995F05B981}" name="Waste type w">
      <calculatedColumnFormula array="1">Common_InputFunctions.Utility_DisplayArrayInTable(WasteSolid_SourceData.Waste_WasteVolumeToMassConversion_Data(), Table_SourceData_WasteSolid_VolumeToMassConversion[[#Headers],[Waste type w]], 0)</calculatedColumnFormula>
    </tableColumn>
    <tableColumn id="2" xr3:uid="{757E3C20-65D3-4F4A-908F-10AB285F45FB}" name="VTMw" dataDxfId="405" dataCellStyle="Content normal">
      <calculatedColumnFormula array="1">Common_InputFunctions.Utility_DisplayArrayInTable(WasteSolid_SourceData.Waste_WasteVolumeToMassConversion_Data(), Table_SourceData_WasteSolid_VolumeToMassConversion[[#Headers],[Waste type w]], 0)</calculatedColumnFormula>
    </tableColumn>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805A6E4-01D4-4C5E-B0EF-EFDDDB56E4B8}" name="Table_WasteTypes_Landfill" displayName="Table_WasteTypes_Landfill" ref="I16:I27" totalsRowShown="0">
  <autoFilter ref="I16:I27" xr:uid="{99B942E3-1D24-4166-921C-DCC10960718D}">
    <filterColumn colId="0" hiddenButton="1"/>
  </autoFilter>
  <tableColumns count="1">
    <tableColumn id="1" xr3:uid="{4E03EB4F-13F3-409E-BC89-2A60B2A3C869}" name="Waste type w">
      <calculatedColumnFormula>Table_SourceData_WasteSolid_WasteTreatmentEFs[[#This Row],[Waste type w]]</calculatedColumnFormula>
    </tableColumn>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4464868E-F713-4662-8401-8A430BB4D969}" name="Table_WasteTypes_Incineration" displayName="Table_WasteTypes_Incineration" ref="K16:K26" totalsRowShown="0" headerRowDxfId="404" headerRowCellStyle="Content normal" dataCellStyle="Content normal">
  <autoFilter ref="K16:K26" xr:uid="{9A900595-7035-4239-9059-ACC16835BF72}">
    <filterColumn colId="0" hiddenButton="1"/>
  </autoFilter>
  <tableColumns count="1">
    <tableColumn id="1" xr3:uid="{5B94E92F-7EEC-4F49-B1AD-23AB6CE0D769}" name="Waste type w" dataCellStyle="Content normal">
      <calculatedColumnFormula>E29</calculatedColumnFormula>
    </tableColumn>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35E4D830-7272-493E-A2BF-6157AABE7DAE}" name="Table_WasteTypes_Composting" displayName="Table_WasteTypes_Composting" ref="M16:M21" totalsRowShown="0" headerRowDxfId="403" headerRowCellStyle="Content normal" dataCellStyle="Content normal">
  <autoFilter ref="M16:M21" xr:uid="{5C8D39D3-1330-49EB-B431-1B2B8C8238DC}">
    <filterColumn colId="0" hiddenButton="1"/>
  </autoFilter>
  <tableColumns count="1">
    <tableColumn id="1" xr3:uid="{48A9F6B6-C4C2-497F-927B-F8594D934ED4}" name="Waste type w" totalsRowDxfId="402" dataCellStyle="Content normal">
      <calculatedColumnFormula>E40</calculatedColumnFormula>
    </tableColumn>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F994E626-0D31-4F63-97F0-EEA1F3C32FB6}" name="Table_WasteTypes_Anaerobicdigestion" displayName="Table_WasteTypes_Anaerobicdigestion" ref="O16:O21" totalsRowShown="0" headerRowDxfId="401" headerRowCellStyle="Content normal" dataCellStyle="Content normal">
  <autoFilter ref="O16:O21" xr:uid="{331EC43E-DF68-429F-A2A4-58BFE6216EC3}">
    <filterColumn colId="0" hiddenButton="1"/>
  </autoFilter>
  <tableColumns count="1">
    <tableColumn id="1" xr3:uid="{38BBAE05-6DA1-4AA0-A146-03E766C50A53}" name="Waste type w" totalsRowDxfId="400" dataCellStyle="Content normal">
      <calculatedColumnFormula>E46</calculatedColumnFormula>
    </tableColumn>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EDD7071-6ABB-4740-88A0-4C3AAE73A34F}" name="Table_Fuel_EFs_StationaryLiquid" displayName="Table_Fuel_EFs_StationaryLiquid" ref="D53:K77" totalsRowShown="0" headerRowDxfId="399" dataDxfId="398">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5BD81BA1-F16A-424C-A5BA-34123FD368CE}" name="Fuel combusted" dataDxfId="397">
      <calculatedColumnFormula array="1">Common_InputFunctions.Utility_DisplayArrayInTable(Fuel_SourceData.Fuel_Scope1Scope3EmissionFactorsStationaryLiquid_Data(), Table_Fuel_EFs_StationaryLiquid[[#Headers],[Fuel combusted]],0)</calculatedColumnFormula>
    </tableColumn>
    <tableColumn id="2" xr3:uid="{7EAC2878-235C-4148-9A84-7614A4C7B3C7}" name="Energy Content Factor (GJ per unit of fuel)" dataDxfId="396">
      <calculatedColumnFormula array="1">Common_InputFunctions.Utility_DisplayArrayInTable(Fuel_SourceData.Fuel_Scope1Scope3EmissionFactorsStationaryLiquid_Data(), Table_Fuel_EFs_StationaryLiquid[[#Headers],[Fuel combusted]],0)</calculatedColumnFormula>
    </tableColumn>
    <tableColumn id="3" xr3:uid="{D68F9C70-B0C4-455D-BC83-2360D2795CF6}" name="Fuel unit" dataDxfId="395">
      <calculatedColumnFormula array="1">Common_InputFunctions.Utility_DisplayArrayInTable(Fuel_SourceData.Fuel_Scope1Scope3EmissionFactorsStationaryLiquid_Data(), Table_Fuel_EFs_StationaryLiquid[[#Headers],[Fuel combusted]],0)</calculatedColumnFormula>
    </tableColumn>
    <tableColumn id="4" xr3:uid="{CF5248B8-D62D-4B8A-9C10-B1A0D65F823D}" name="Scope 1 Emission Factor (kg CO2 - e / GJ) CO2" dataDxfId="394">
      <calculatedColumnFormula array="1">Common_InputFunctions.Utility_DisplayArrayInTable(Fuel_SourceData.Fuel_Scope1Scope3EmissionFactorsStationaryLiquid_Data(), Table_Fuel_EFs_StationaryLiquid[[#Headers],[Fuel combusted]],0)</calculatedColumnFormula>
    </tableColumn>
    <tableColumn id="5" xr3:uid="{54559FB3-5271-474C-B0DA-FB78B7BD0754}" name="Scope 1 Emission Factor (kg CO2 - e / GJ) CH4" dataDxfId="393">
      <calculatedColumnFormula array="1">Common_InputFunctions.Utility_DisplayArrayInTable(Fuel_SourceData.Fuel_Scope1Scope3EmissionFactorsStationaryLiquid_Data(), Table_Fuel_EFs_StationaryLiquid[[#Headers],[Fuel combusted]],0)</calculatedColumnFormula>
    </tableColumn>
    <tableColumn id="6" xr3:uid="{0FD993C0-4C57-4C92-A36D-D580A20DECAB}" name="Scope 1 Emission Factor (kg CO2 - e / GJ) N2O" dataDxfId="392">
      <calculatedColumnFormula array="1">Common_InputFunctions.Utility_DisplayArrayInTable(Fuel_SourceData.Fuel_Scope1Scope3EmissionFactorsStationaryLiquid_Data(), Table_Fuel_EFs_StationaryLiquid[[#Headers],[Fuel combusted]],0)</calculatedColumnFormula>
    </tableColumn>
    <tableColumn id="7" xr3:uid="{E9B5CF99-ACA1-428E-851E-AADCC0261CE0}" name="Scope 1 Emission Factor (kg CO2 - e / GJ) Combined gases" dataDxfId="391">
      <calculatedColumnFormula array="1">Common_InputFunctions.Utility_DisplayArrayInTable(Fuel_SourceData.Fuel_Scope1Scope3EmissionFactorsStationaryLiquid_Data(), Table_Fuel_EFs_StationaryLiquid[[#Headers],[Fuel combusted]],0)</calculatedColumnFormula>
    </tableColumn>
    <tableColumn id="8" xr3:uid="{5AC21AB7-1324-497E-9BA2-600FF837D6CE}" name="Scope 3 Emission Factor (kg CO2 - e / GJ)" dataDxfId="390">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3EF40D5-E046-4520-9C1D-507F36CBA168}" name="Table_Fuel_EFs_Transport" displayName="Table_Fuel_EFs_Transport" ref="D9:L34" totalsRowShown="0" headerRowDxfId="389" dataDxfId="388">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9379F8AF-E7CD-4F1D-9020-1FD7FB6ABAE5}" name="Transport type" dataDxfId="387">
      <calculatedColumnFormula array="1">Common_InputFunctions.Utility_DisplayArrayInTable(Fuel_SourceData.Fuel_Scope1Scope3EmissionFactorsTransport_Data(), Table_Fuel_EFs_Transport[[#Headers],[Transport type]], 0)</calculatedColumnFormula>
    </tableColumn>
    <tableColumn id="2" xr3:uid="{2460FCB0-2416-45BA-9AF5-5DD470B04EFF}" name="Fuel combusted" dataDxfId="386">
      <calculatedColumnFormula array="1">Common_InputFunctions.Utility_DisplayArrayInTable(Fuel_SourceData.Fuel_Scope1Scope3EmissionFactorsTransport_Data(), Table_Fuel_EFs_Transport[[#Headers],[Transport type]], 0)</calculatedColumnFormula>
    </tableColumn>
    <tableColumn id="3" xr3:uid="{7766F4A8-97D4-4121-A209-6F6CC7FCBEFC}" name="Energy Content Factor (GJ per unit of fuel)" dataDxfId="385">
      <calculatedColumnFormula array="1">Common_InputFunctions.Utility_DisplayArrayInTable(Fuel_SourceData.Fuel_Scope1Scope3EmissionFactorsTransport_Data(), Table_Fuel_EFs_Transport[[#Headers],[Transport type]], 0)</calculatedColumnFormula>
    </tableColumn>
    <tableColumn id="4" xr3:uid="{436D89A9-6D65-4D72-BADB-0F0F5EB1E218}" name="Fuel unit" dataDxfId="384">
      <calculatedColumnFormula array="1">Common_InputFunctions.Utility_DisplayArrayInTable(Fuel_SourceData.Fuel_Scope1Scope3EmissionFactorsTransport_Data(), Table_Fuel_EFs_Transport[[#Headers],[Transport type]], 0)</calculatedColumnFormula>
    </tableColumn>
    <tableColumn id="8" xr3:uid="{B1E82776-2880-4CC7-ADB3-5AA5A7A3BB92}" name="Scope 1 Emission Factor (kg CO2 - e / GJ) CO2" dataDxfId="383">
      <calculatedColumnFormula array="1">Common_InputFunctions.Utility_DisplayArrayInTable(Fuel_SourceData.Fuel_Scope1Scope3EmissionFactorsTransport_Data(), Table_Fuel_EFs_Transport[[#Headers],[Transport type]], 0)</calculatedColumnFormula>
    </tableColumn>
    <tableColumn id="9" xr3:uid="{53432114-CF21-4F21-8BD0-2F272DE62529}" name="Scope 1 Emission Factor (kg CO2 - e / GJ) CH4" dataDxfId="382">
      <calculatedColumnFormula array="1">Common_InputFunctions.Utility_DisplayArrayInTable(Fuel_SourceData.Fuel_Scope1Scope3EmissionFactorsTransport_Data(), Table_Fuel_EFs_Transport[[#Headers],[Transport type]], 0)</calculatedColumnFormula>
    </tableColumn>
    <tableColumn id="10" xr3:uid="{9F064582-03CD-467C-B3AC-E66523B2385C}" name="Scope 1 Emission Factor (kg CO2 - e / GJ) N2O" dataDxfId="381">
      <calculatedColumnFormula array="1">Common_InputFunctions.Utility_DisplayArrayInTable(Fuel_SourceData.Fuel_Scope1Scope3EmissionFactorsTransport_Data(), Table_Fuel_EFs_Transport[[#Headers],[Transport type]], 0)</calculatedColumnFormula>
    </tableColumn>
    <tableColumn id="11" xr3:uid="{3B914974-B8B2-4525-8289-1F00DC1D0530}" name="Scope 1 Emission Factor (kg CO2 - e / GJ) Combined gases" dataDxfId="380">
      <calculatedColumnFormula array="1">Common_InputFunctions.Utility_DisplayArrayInTable(Fuel_SourceData.Fuel_Scope1Scope3EmissionFactorsTransport_Data(), Table_Fuel_EFs_Transport[[#Headers],[Transport type]], 0)</calculatedColumnFormula>
    </tableColumn>
    <tableColumn id="12" xr3:uid="{BC60C8CE-97C7-4A12-B1E2-7B53C70625D9}" name="Scope 3 Emission Factor (kg CO2 - e / GJ)" dataDxfId="379">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319A444-0620-4607-8D67-75B84CFDB0F6}" name="Table_FuelTypesPerUse" displayName="Table_FuelTypesPerUse" ref="D130:I139" totalsRowShown="0" headerRowDxfId="378" dataDxfId="377">
  <autoFilter ref="D130:I139" xr:uid="{5CE27F6B-DBAC-48D7-85B3-77E92E77D6C0}">
    <filterColumn colId="0" hiddenButton="1"/>
    <filterColumn colId="1" hiddenButton="1"/>
    <filterColumn colId="2" hiddenButton="1"/>
    <filterColumn colId="3" hiddenButton="1"/>
    <filterColumn colId="4" hiddenButton="1"/>
    <filterColumn colId="5" hiddenButton="1"/>
  </autoFilter>
  <tableColumns count="6">
    <tableColumn id="1" xr3:uid="{DD3F924E-9D8A-4DB0-BB02-8C9FC15DB7BC}" name="Generators" dataDxfId="376"/>
    <tableColumn id="2" xr3:uid="{137AD0D6-971A-443C-94D6-7F5BE423C34F}" name="Power standalone machinery or heating" dataDxfId="375"/>
    <tableColumn id="3" xr3:uid="{D4712709-7FD6-4457-987D-64B164054A44}" name="Aviation" dataDxfId="374"/>
    <tableColumn id="5" xr3:uid="{64BC57A6-CC25-434D-8AF4-2649F58F5608}" name="Cars and light commercial vehicles" dataDxfId="373"/>
    <tableColumn id="7" xr3:uid="{E36B40BF-755F-4B2A-8561-BFB2A7625644}" name="Off-road Agriculture and forestry equipment" dataDxfId="372" dataCellStyle="Content bold"/>
    <tableColumn id="8" xr3:uid="{5588F13B-3C15-43B9-A20F-57DD09E0F8EF}" name="Vessels" dataDxfId="371" dataCellStyle="Content bold"/>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5485F95-9E92-436E-8675-068FEDEAAB6A}" name="Table_Fuel_EFs_StationaryGaseous" displayName="Table_Fuel_EFs_StationaryGaseous" ref="D86:J104" totalsRowShown="0" headerRowDxfId="370" dataDxfId="369">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E73DE08-2EF5-48D3-9035-2DD8777A591F}" name="Fuel combusted" dataDxfId="368">
      <calculatedColumnFormula array="1">Common_InputFunctions.Utility_DisplayArrayInTable(Fuel_SourceData.Fuel_Scope1EmissionFactorsStationaryGaseous_Data(), Table_Fuel_EFs_StationaryGaseous[[#Headers],[Fuel combusted]],0)</calculatedColumnFormula>
    </tableColumn>
    <tableColumn id="2" xr3:uid="{43D0576A-F27F-474B-9885-15B03FA5E53F}" name="Energy Content Factor (GJ per unit of fuel)" dataDxfId="367">
      <calculatedColumnFormula array="1">Common_InputFunctions.Utility_DisplayArrayInTable(Fuel_SourceData.Fuel_Scope1EmissionFactorsStationaryGaseous_Data(), Table_Fuel_EFs_StationaryGaseous[[#Headers],[Fuel combusted]],0)</calculatedColumnFormula>
    </tableColumn>
    <tableColumn id="3" xr3:uid="{55CFA6EC-021B-4579-9B3F-BD1528B2987D}" name="Fuel unit" dataDxfId="366">
      <calculatedColumnFormula array="1">Common_InputFunctions.Utility_DisplayArrayInTable(Fuel_SourceData.Fuel_Scope1EmissionFactorsStationaryGaseous_Data(), Table_Fuel_EFs_StationaryGaseous[[#Headers],[Fuel combusted]],0)</calculatedColumnFormula>
    </tableColumn>
    <tableColumn id="4" xr3:uid="{DC7A7259-3EA0-4EB8-A661-8070715A7E3C}" name="Scope 1 Emission Factor (kg CO2 - e / GJ) CO2" dataDxfId="365">
      <calculatedColumnFormula array="1">Common_InputFunctions.Utility_DisplayArrayInTable(Fuel_SourceData.Fuel_Scope1EmissionFactorsStationaryGaseous_Data(), Table_Fuel_EFs_StationaryGaseous[[#Headers],[Fuel combusted]],0)</calculatedColumnFormula>
    </tableColumn>
    <tableColumn id="5" xr3:uid="{2218EBB6-E717-4AC1-BF1E-C31D7DE5E723}" name="Scope 1 Emission Factor (kg CO2 - e / GJ) CH4" dataDxfId="364">
      <calculatedColumnFormula array="1">Common_InputFunctions.Utility_DisplayArrayInTable(Fuel_SourceData.Fuel_Scope1EmissionFactorsStationaryGaseous_Data(), Table_Fuel_EFs_StationaryGaseous[[#Headers],[Fuel combusted]],0)</calculatedColumnFormula>
    </tableColumn>
    <tableColumn id="6" xr3:uid="{A3F0A2AF-D3C9-452B-A018-8E37911B643F}" name="Scope 1 Emission Factor (kg CO2 - e / GJ) N2O" dataDxfId="363">
      <calculatedColumnFormula array="1">Common_InputFunctions.Utility_DisplayArrayInTable(Fuel_SourceData.Fuel_Scope1EmissionFactorsStationaryGaseous_Data(), Table_Fuel_EFs_StationaryGaseous[[#Headers],[Fuel combusted]],0)</calculatedColumnFormula>
    </tableColumn>
    <tableColumn id="7" xr3:uid="{D1C4BA01-6895-4E40-94CF-E60782B8E4BF}" name="Scope 1 Emission Factor (kg CO2 - e / GJ) Combined gases" dataDxfId="362">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BF19FD6-46A9-4BA7-8171-AE7F261DCEA0}" name="Table_Fuel_EFs_StationaryGaseous34" displayName="Table_Fuel_EFs_StationaryGaseous34" ref="D112:F120" headerRowDxfId="361" totalsRowDxfId="360">
  <autoFilter ref="D112:F120" xr:uid="{7D6CE29D-2354-4FAC-9965-9A66FFA42416}">
    <filterColumn colId="0" hiddenButton="1"/>
    <filterColumn colId="1" hiddenButton="1"/>
    <filterColumn colId="2" hiddenButton="1"/>
  </autoFilter>
  <tableColumns count="3">
    <tableColumn id="1" xr3:uid="{B0907965-F4B0-48E5-A082-FF2D0FD7AA8C}" name="State or territory" totalsRowDxfId="359">
      <calculatedColumnFormula array="1">Common_InputFunctions.Utility_DisplayArrayInTable(Fuel_SourceData.Fuel_Scope3EmissionFactorsStationaryGaseous_Data(), Table_Fuel_EFs_StationaryGaseous34[[#Headers],[State or territory]],0)</calculatedColumnFormula>
    </tableColumn>
    <tableColumn id="2" xr3:uid="{58C6F686-F906-4CC6-B49C-12BC0771E95C}" name="Metro" totalsRowDxfId="358">
      <calculatedColumnFormula array="1">Common_InputFunctions.Utility_DisplayArrayInTable(Fuel_SourceData.Fuel_Scope3EmissionFactorsStationaryGaseous_Data(), Table_Fuel_EFs_StationaryGaseous34[[#Headers],[State or territory]],0)</calculatedColumnFormula>
    </tableColumn>
    <tableColumn id="3" xr3:uid="{456676C8-542D-4671-9CB1-8080BE415BF0}" name="Non-metro" totalsRowDxfId="357">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DBF385F-54E9-47F7-89C0-50D6D15C503B}" name="Table_FuelTypes_Units" displayName="Table_FuelTypes_Units" ref="D142:F162" totalsRowShown="0">
  <autoFilter ref="D142:F162" xr:uid="{74386805-E5CF-44F9-982C-CBCADB323E30}">
    <filterColumn colId="0" hiddenButton="1"/>
    <filterColumn colId="1" hiddenButton="1"/>
    <filterColumn colId="2" hiddenButton="1"/>
  </autoFilter>
  <tableColumns count="3">
    <tableColumn id="1" xr3:uid="{119F08F5-D970-4967-BFC8-5C3CE0677591}" name="Fuel type"/>
    <tableColumn id="2" xr3:uid="{DF7FE105-CF61-4BAC-AFB8-F426E1ECF94D}" name="Unit"/>
    <tableColumn id="3" xr3:uid="{68C4D15B-958F-4F11-B737-69A09BE6E9B8}" name="Input Unit" dataDxfId="356"/>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CBFA840-A1BD-4613-89E8-291C5D6B87A4}"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56ECFB7-E9F8-44E3-8D90-4EADE6E021E5}"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BEBF7D6F-C44C-453E-848D-C2E820831CB0}" name="Fuel type q" dataDxfId="355"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1FF3B211-0413-4E72-98FB-550FD70596DC}" name="ECTrans,q (GJ/kL)" dataDxfId="354"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2D3832F1-26A7-41CB-8FA1-A31F19B09BBC}" name="Scope 1 CO2 EFTran,1,tqg (kg CO2-e/GJ)" dataDxfId="353"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76F30B90-8F31-42FD-9010-15F92E9B4D0A}" name="Scope 1 CH4 EFTran,1,tgg (kg CO2-e/GJ)" dataDxfId="352"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F572896E-49A3-44A1-8DBD-BD5C8C474CBC}" name="Scope 1 N2O EFTran,1,tgg (kg CO2-e/GJ)" dataDxfId="351"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0932A880-C8F4-4EA2-A481-990F31BC93A4}" name="Scope 3 EFTrans,3,q (kg CO2-e/GJ)" dataDxfId="350"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2" xr:uid="{B767E073-DBC4-4055-8A92-376C92DAC9F5}" name="Table_SourceData_Poultry_DietProperties" displayName="Table_SourceData_Poultry_DietProperties" ref="D8:H13" totalsRowShown="0">
  <autoFilter ref="D8:H13" xr:uid="{C0EBB88F-78E2-4301-A115-5D57142F74BA}">
    <filterColumn colId="0" hiddenButton="1"/>
    <filterColumn colId="1" hiddenButton="1"/>
    <filterColumn colId="2" hiddenButton="1"/>
    <filterColumn colId="3" hiddenButton="1"/>
    <filterColumn colId="4" hiddenButton="1"/>
  </autoFilter>
  <tableColumns count="5">
    <tableColumn id="1" xr3:uid="{46D61E0E-8794-47A1-BC08-4691426B1C0D}" name="Nutrient analysis">
      <calculatedColumnFormula array="1">Common_InputFunctions.Utility_DisplayArrayInTable(SourceData_Poultry.SourceData_Poultry_DietProperties_Data(), Table_SourceData_Poultry_DietProperties[[#Headers],[Nutrient analysis]], 0)</calculatedColumnFormula>
    </tableColumn>
    <tableColumn id="2" xr3:uid="{EDC64F76-3006-410A-B26B-6DF85D440370}" name="Layers" dataDxfId="349" dataCellStyle="Content normal">
      <calculatedColumnFormula array="1">Common_InputFunctions.Utility_DisplayArrayInTable(SourceData_Poultry.SourceData_Poultry_DietProperties_Data(), Table_SourceData_Poultry_DietProperties[[#Headers],[Nutrient analysis]], 0)</calculatedColumnFormula>
    </tableColumn>
    <tableColumn id="3" xr3:uid="{733AD3B8-CF78-4BF4-8BBF-6DDDF8F18F13}" name="Meat chicken growers" dataDxfId="348" dataCellStyle="Content normal">
      <calculatedColumnFormula array="1">Common_InputFunctions.Utility_DisplayArrayInTable(SourceData_Poultry.SourceData_Poultry_DietProperties_Data(), Table_SourceData_Poultry_DietProperties[[#Headers],[Nutrient analysis]], 0)</calculatedColumnFormula>
    </tableColumn>
    <tableColumn id="4" xr3:uid="{0DC44FD8-95EF-4D10-BC8C-671A3D267E55}" name="Meat chicken breeder" dataDxfId="347" dataCellStyle="Content normal">
      <calculatedColumnFormula array="1">Common_InputFunctions.Utility_DisplayArrayInTable(SourceData_Poultry.SourceData_Poultry_DietProperties_Data(), Table_SourceData_Poultry_DietProperties[[#Headers],[Nutrient analysis]], 0)</calculatedColumnFormula>
    </tableColumn>
    <tableColumn id="5" xr3:uid="{0E22136A-DA24-4685-AFA9-4CECE520D2B0}" name="Meat other" dataDxfId="346" dataCellStyle="Content normal">
      <calculatedColumnFormula array="1">Common_InputFunctions.Utility_DisplayArrayInTable(SourceData_Poultry.SourceData_Poultry_DietProperties_Data(), Table_SourceData_Poultry_DietProperties[[#Headers],[Nutrient analysis]], 0)</calculatedColumnFormula>
    </tableColumn>
  </tableColumns>
  <tableStyleInfo name="Equation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3" xr:uid="{55065417-E17F-4A9A-811F-70EA078B2D19}" name="Table_SourceData_Poultry_MethaneEmissionsPotential" displayName="Table_SourceData_Poultry_MethaneEmissionsPotential" ref="D19:E21" totalsRowShown="0">
  <autoFilter ref="D19:E21" xr:uid="{B337049C-2437-4EFA-AAFD-35A825C8877D}">
    <filterColumn colId="0" hiddenButton="1"/>
    <filterColumn colId="1" hiddenButton="1"/>
  </autoFilter>
  <tableColumns count="2">
    <tableColumn id="1" xr3:uid="{321FAB88-9B78-43B8-A5BE-712C67E3E578}" name="Poultry class">
      <calculatedColumnFormula array="1">Common_InputFunctions.Utility_DisplayArrayInTable(SourceData_Poultry.SourceData_Poultry_MethaneEmissionsPotential_Data(), Table_SourceData_Poultry_MethaneEmissionsPotential[[#Headers],[Poultry class]], 0)</calculatedColumnFormula>
    </tableColumn>
    <tableColumn id="2" xr3:uid="{55788CE0-3B56-4B39-8725-203198D97967}" name="B0" dataDxfId="345" dataCellStyle="Content normal">
      <calculatedColumnFormula array="1">Common_InputFunctions.Utility_DisplayArrayInTable(SourceData_Poultry.SourceData_Poultry_MethaneEmissionsPotential_Data(), Table_SourceData_Poultry_MethaneEmissionsPotential[[#Headers],[Poultry class]], 0)</calculatedColumnFormula>
    </tableColumn>
  </tableColumns>
  <tableStyleInfo name="Equation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4" xr:uid="{2A465D37-0C57-4DC8-9D13-54BF8BCF99FE}" name="Table_SourceData_PoultryMMS" displayName="Table_SourceData_PoultryMMS" ref="D28:E38" totalsRowShown="0">
  <autoFilter ref="D28:E38" xr:uid="{AF7090B5-6718-41B7-9B26-A00EDB46BAC3}">
    <filterColumn colId="0" hiddenButton="1"/>
    <filterColumn colId="1" hiddenButton="1"/>
  </autoFilter>
  <tableColumns count="2">
    <tableColumn id="1" xr3:uid="{506DD6A3-884F-47C9-95A0-329991A8595E}" name="MMS"/>
    <tableColumn id="2" xr3:uid="{8F824F97-F4F6-45B2-A5B6-353DCAD0E980}" name="Symbol and MMS" dataDxfId="344" dataCellStyle="Content normal"/>
  </tableColumns>
  <tableStyleInfo name="Equation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5" xr:uid="{C6F6F473-A05D-472A-AEC2-1BA5979BB1C4}" name="Table_SourceData_Poultry_ProductionSystems" displayName="Table_SourceData_Poultry_ProductionSystems" ref="D44:D47" totalsRowShown="0">
  <autoFilter ref="D44:D47" xr:uid="{5810106E-36C6-489E-8962-5DE08C5F2EAC}">
    <filterColumn colId="0" hiddenButton="1"/>
  </autoFilter>
  <tableColumns count="1">
    <tableColumn id="1" xr3:uid="{9CF22791-BB5B-40A6-8D2C-85F13D91E4B7}" name="Production system">
      <calculatedColumnFormula array="1">Common_InputFunctions.Utility_DisplayArrayInTable(SourceData_Poultry.SourceData_Poultry_ProductionSystems_Data(), Table_SourceData_Poultry_ProductionSystems[[#Headers],[Production system]], 0)</calculatedColumnFormula>
    </tableColumn>
  </tableColumns>
  <tableStyleInfo name="Equation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6" xr:uid="{C2FB1A0C-4BE2-4E7D-B336-24FE54C7175D}" name="Table_SourceData_Poultry_MMSMCF" displayName="Table_SourceData_Poultry_MMSMCF" ref="D59:N68" totalsRowShown="0">
  <autoFilter ref="D59:N68" xr:uid="{F26BAEA5-5A43-49B7-A0AB-1CF0D30AA7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2C612FA2-799C-4C49-B0A4-5E0093D710B2}" name="MMS m">
      <calculatedColumnFormula array="1">Common_InputFunctions.Utility_DisplayArrayInTable(SourceData_Poultry.SourceData_Poultry_MCF_Data(), Table_SourceData_Poultry_MMSMCF[[#Headers],[MMS m]], 0)</calculatedColumnFormula>
    </tableColumn>
    <tableColumn id="2" xr3:uid="{4C471221-3EF9-4544-8FC7-6B6476F953E0}" name="All states" dataDxfId="343" dataCellStyle="Content normal">
      <calculatedColumnFormula array="1">Common_InputFunctions.Utility_DisplayArrayInTable(SourceData_Poultry.SourceData_Poultry_MCF_Data(), Table_SourceData_Poultry_MMSMCF[[#Headers],[MMS m]], 0)</calculatedColumnFormula>
    </tableColumn>
    <tableColumn id="3" xr3:uid="{D9E901BA-2693-493E-9F43-D5E7B408FB06}" name="NSW" dataDxfId="342" dataCellStyle="Content normal">
      <calculatedColumnFormula array="1">Common_InputFunctions.Utility_DisplayArrayInTable(SourceData_Poultry.SourceData_Poultry_MCF_Data(), Table_SourceData_Poultry_MMSMCF[[#Headers],[MMS m]], 0)</calculatedColumnFormula>
    </tableColumn>
    <tableColumn id="4" xr3:uid="{E37CAEEA-CC05-4B01-B6BB-EF5BC3EB140D}" name="ACT" dataDxfId="341" dataCellStyle="Content normal">
      <calculatedColumnFormula array="1">Common_InputFunctions.Utility_DisplayArrayInTable(SourceData_Poultry.SourceData_Poultry_MCF_Data(), Table_SourceData_Poultry_MMSMCF[[#Headers],[MMS m]], 0)</calculatedColumnFormula>
    </tableColumn>
    <tableColumn id="5" xr3:uid="{A5CD5339-25D8-4537-854B-74CA576506AC}" name="QLD" dataDxfId="340" dataCellStyle="Content normal">
      <calculatedColumnFormula array="1">Common_InputFunctions.Utility_DisplayArrayInTable(SourceData_Poultry.SourceData_Poultry_MCF_Data(), Table_SourceData_Poultry_MMSMCF[[#Headers],[MMS m]], 0)</calculatedColumnFormula>
    </tableColumn>
    <tableColumn id="6" xr3:uid="{17AB0594-A3E1-460D-BACF-9B511AB9D8A8}" name="NT" dataDxfId="339" dataCellStyle="Content normal">
      <calculatedColumnFormula array="1">Common_InputFunctions.Utility_DisplayArrayInTable(SourceData_Poultry.SourceData_Poultry_MCF_Data(), Table_SourceData_Poultry_MMSMCF[[#Headers],[MMS m]], 0)</calculatedColumnFormula>
    </tableColumn>
    <tableColumn id="7" xr3:uid="{1A2E0296-57E3-4C2E-9A36-17804C954859}" name="VIC" dataDxfId="338" dataCellStyle="Content normal">
      <calculatedColumnFormula array="1">Common_InputFunctions.Utility_DisplayArrayInTable(SourceData_Poultry.SourceData_Poultry_MCF_Data(), Table_SourceData_Poultry_MMSMCF[[#Headers],[MMS m]], 0)</calculatedColumnFormula>
    </tableColumn>
    <tableColumn id="8" xr3:uid="{267038E1-30D9-4F25-AC4A-FC1681E356DE}" name="SA" dataDxfId="337" dataCellStyle="Content normal">
      <calculatedColumnFormula array="1">Common_InputFunctions.Utility_DisplayArrayInTable(SourceData_Poultry.SourceData_Poultry_MCF_Data(), Table_SourceData_Poultry_MMSMCF[[#Headers],[MMS m]], 0)</calculatedColumnFormula>
    </tableColumn>
    <tableColumn id="9" xr3:uid="{E12D4A88-C51B-4B83-AFE4-3192DCEA89AA}" name="WA" dataDxfId="336" dataCellStyle="Content normal">
      <calculatedColumnFormula array="1">Common_InputFunctions.Utility_DisplayArrayInTable(SourceData_Poultry.SourceData_Poultry_MCF_Data(), Table_SourceData_Poultry_MMSMCF[[#Headers],[MMS m]], 0)</calculatedColumnFormula>
    </tableColumn>
    <tableColumn id="10" xr3:uid="{28F3C659-FBBA-4B2B-B478-849C7A2C738F}" name="TAS" dataDxfId="335" dataCellStyle="Content normal">
      <calculatedColumnFormula array="1">Common_InputFunctions.Utility_DisplayArrayInTable(SourceData_Poultry.SourceData_Poultry_MCF_Data(), Table_SourceData_Poultry_MMSMCF[[#Headers],[MMS m]], 0)</calculatedColumnFormula>
    </tableColumn>
    <tableColumn id="11" xr3:uid="{3396127B-01AF-457C-93D4-33D3A1D2ED67}" name="NIR definition" dataDxfId="334" dataCellStyle="Content normal">
      <calculatedColumnFormula array="1">Common_InputFunctions.Utility_DisplayArrayInTable(SourceData_Poultry.SourceData_Poultry_MCF_Data(), Table_SourceData_Poultry_MMSMCF[[#Headers],[MMS m]], 0)</calculatedColumnFormula>
    </tableColumn>
  </tableColumns>
  <tableStyleInfo name="Equation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7" xr:uid="{4DF41D5F-C23E-4569-813B-968EED5E77F0}" name="Table_SourceData_PoultryMMSSTage1" displayName="Table_SourceData_PoultryMMSSTage1" ref="G28:H33" totalsRowShown="0">
  <autoFilter ref="G28:H33" xr:uid="{DEE6EA5E-2B4D-4BFE-9875-EACD468C453A}">
    <filterColumn colId="0" hiddenButton="1"/>
    <filterColumn colId="1" hiddenButton="1"/>
  </autoFilter>
  <tableColumns count="2">
    <tableColumn id="1" xr3:uid="{33CDFCD1-1BC9-48D4-AFF8-7C48D9FAC118}" name="MMS"/>
    <tableColumn id="2" xr3:uid="{AE110FBA-CB34-40AA-9F90-94B8C80A2B68}" name="Symbol and MMS" dataDxfId="333" dataCellStyle="Content normal"/>
  </tableColumns>
  <tableStyleInfo name="Equation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8" xr:uid="{347ACDA8-23DE-4C65-BA32-DF7A411EC9A6}" name="Table_SourceData_PoultryMMSStage2" displayName="Table_SourceData_PoultryMMSStage2" ref="J28:K34" totalsRowShown="0">
  <autoFilter ref="J28:K34" xr:uid="{EC4CB048-5E1F-4D26-9F6C-B04ADADF31C3}">
    <filterColumn colId="0" hiddenButton="1"/>
    <filterColumn colId="1" hiddenButton="1"/>
  </autoFilter>
  <tableColumns count="2">
    <tableColumn id="1" xr3:uid="{383EFCEA-4B23-4C72-BDC0-D9597A9B85D2}" name="MMS"/>
    <tableColumn id="2" xr3:uid="{BE03992B-BD94-4CA7-9986-5779D02EDA47}" name="Symbol and MMS" dataDxfId="332" dataCellStyle="Content normal"/>
  </tableColumns>
  <tableStyleInfo name="Equation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9" xr:uid="{5E006354-8427-4CF8-8AA4-FA6F9DE7BD8F}" name="Table_SourceData_Poultry_MMSVSL" displayName="Table_SourceData_Poultry_MMSVSL" ref="D75:F78" totalsRowShown="0">
  <autoFilter ref="D75:F78" xr:uid="{9227BAFF-4BC8-4D7F-BDAE-6BC460B8A0CA}">
    <filterColumn colId="0" hiddenButton="1"/>
    <filterColumn colId="1" hiddenButton="1"/>
    <filterColumn colId="2" hiddenButton="1"/>
  </autoFilter>
  <tableColumns count="3">
    <tableColumn id="1" xr3:uid="{E3628AD0-99F2-4EE1-9C33-AD0723AC3D37}" name="MMS">
      <calculatedColumnFormula array="1">Common_InputFunctions.Utility_DisplayArrayInTable(SourceData_Poultry.SourceData_Poultry_VSL_Data(), Table_SourceData_Poultry_MMSVSL[[#Headers],[MMS]], 0)</calculatedColumnFormula>
    </tableColumn>
    <tableColumn id="2" xr3:uid="{AFF6B17E-68AB-44E7-8343-C229C16A2325}" name="VSL" dataDxfId="331" dataCellStyle="Content normal">
      <calculatedColumnFormula array="1">Common_InputFunctions.Utility_DisplayArrayInTable(SourceData_Poultry.SourceData_Poultry_VSL_Data(), Table_SourceData_Poultry_MMSVSL[[#Headers],[MMS]], 0)</calculatedColumnFormula>
    </tableColumn>
    <tableColumn id="3" xr3:uid="{0162C2DD-6EC6-49FC-93FD-695BBD688843}" name="NIR definition" dataDxfId="330" dataCellStyle="Content normal">
      <calculatedColumnFormula array="1">Common_InputFunctions.Utility_DisplayArrayInTable(SourceData_Poultry.SourceData_Poultry_VSL_Data(), Table_SourceData_Poultry_MMSVSL[[#Headers],[MMS]], 0)</calculatedColumnFormula>
    </tableColumn>
  </tableColumns>
  <tableStyleInfo name="Equation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0" xr:uid="{0B469894-022E-486B-BD25-AF535B1585B0}" name="Table_SourceData_Poultry_FracGASM" displayName="Table_SourceData_Poultry_FracGASM" ref="D84:F91" totalsRowShown="0">
  <autoFilter ref="D84:F91" xr:uid="{9BA131A3-0B04-413F-9D7A-86F5FB660776}">
    <filterColumn colId="0" hiddenButton="1"/>
    <filterColumn colId="1" hiddenButton="1"/>
    <filterColumn colId="2" hiddenButton="1"/>
  </autoFilter>
  <tableColumns count="3">
    <tableColumn id="1" xr3:uid="{FE38ED51-BAEF-4C13-B6C0-39AED7707206}" name="MMSm">
      <calculatedColumnFormula array="1">Common_InputFunctions.Utility_DisplayArrayInTable(SourceData_Poultry.SourceData_Poultry_FracGASMmT_Data(), Table_SourceData_Poultry_FracGASM[[#Headers],[MMSm]], 0)</calculatedColumnFormula>
    </tableColumn>
    <tableColumn id="2" xr3:uid="{7533CCFD-788E-4255-AC65-6FF8360A6B8A}" name="FracGASMmT" dataDxfId="329" dataCellStyle="Content normal">
      <calculatedColumnFormula array="1">Common_InputFunctions.Utility_DisplayArrayInTable(SourceData_Poultry.SourceData_Poultry_FracGASMmT_Data(), Table_SourceData_Poultry_FracGASM[[#Headers],[MMSm]], 0)</calculatedColumnFormula>
    </tableColumn>
    <tableColumn id="3" xr3:uid="{5756F79C-8731-4C2C-99B8-1291851C7F34}" name="NIR reference" dataDxfId="328" dataCellStyle="Content normal">
      <calculatedColumnFormula array="1">Common_InputFunctions.Utility_DisplayArrayInTable(SourceData_Poultry.SourceData_Poultry_FracGASMmT_Data(), Table_SourceData_Poultry_FracGASM[[#Headers],[MMSm]], 0)</calculatedColumnFormula>
    </tableColumn>
  </tableColumns>
  <tableStyleInfo name="Equation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1" xr:uid="{64ACF707-F52C-430B-A4C0-592E4173F721}" name="Table_SourceData_Poultry_EFmT" displayName="Table_SourceData_Poultry_EFmT" ref="D97:F105" totalsRowShown="0">
  <autoFilter ref="D97:F105" xr:uid="{1DCEB6AC-6595-49CF-B6BF-C7F6309D3288}">
    <filterColumn colId="0" hiddenButton="1"/>
    <filterColumn colId="1" hiddenButton="1"/>
    <filterColumn colId="2" hiddenButton="1"/>
  </autoFilter>
  <tableColumns count="3">
    <tableColumn id="1" xr3:uid="{BEC1188A-76CE-4814-9F3C-F7B582C3B594}" name="MMSm">
      <calculatedColumnFormula array="1">Common_InputFunctions.Utility_DisplayArrayInTable(SourceData_Poultry.SourceData_Poultry_EFmT_Data(),Table_SourceData_Poultry_EFmT[[#Headers],[MMSm]], 0)</calculatedColumnFormula>
    </tableColumn>
    <tableColumn id="2" xr3:uid="{538CB4F9-55FB-4F25-8088-B378DDD8137C}" name="EFmT" dataDxfId="327" dataCellStyle="Content normal">
      <calculatedColumnFormula array="1">Common_InputFunctions.Utility_DisplayArrayInTable(SourceData_Poultry.SourceData_Poultry_EFmT_Data(),Table_SourceData_Poultry_EFmT[[#Headers],[MMSm]], 0)</calculatedColumnFormula>
    </tableColumn>
    <tableColumn id="3" xr3:uid="{2E1F6587-83FD-4091-BED4-D7602936E03E}" name="NIR reference" dataDxfId="326" dataCellStyle="Content normal">
      <calculatedColumnFormula array="1">Common_InputFunctions.Utility_DisplayArrayInTable(SourceData_Poultry.SourceData_Poultry_EFmT_Data(),Table_SourceData_Poultry_EFmT[[#Headers],[MMSm]], 0)</calculatedColumnFormula>
    </tableColumn>
  </tableColumns>
  <tableStyleInfo name="Equation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2" xr:uid="{7ADE5081-C1CF-40A7-9446-7907A282CF95}" name="Table_SourceData_Poultry_Liveweights" displayName="Table_SourceData_Poultry_Liveweights" ref="D119:E123" totalsRowShown="0">
  <autoFilter ref="D119:E123" xr:uid="{B73BE2B0-042A-4533-9ECF-5538D80194F7}">
    <filterColumn colId="0" hiddenButton="1"/>
    <filterColumn colId="1" hiddenButton="1"/>
  </autoFilter>
  <tableColumns count="2">
    <tableColumn id="1" xr3:uid="{81C11626-7A0B-4508-8337-0285E2CBF422}" name="Livestock class j">
      <calculatedColumnFormula array="1">Common_InputFunctions.Utility_DisplayArrayInTable(SourceData_Poultry.SourceData_Poultry_Liveweights_Data(),Table_SourceData_Poultry_Liveweights[[#Headers],[Livestock class j]],0)</calculatedColumnFormula>
    </tableColumn>
    <tableColumn id="2" xr3:uid="{E0BC9C47-BCE7-4DA7-8605-1601405AE4ED}" name="Average liveweight (kg)" dataDxfId="325" dataCellStyle="Content normal">
      <calculatedColumnFormula array="1">Common_InputFunctions.Utility_DisplayArrayInTable(SourceData_Poultry.SourceData_Poultry_Liveweights_Data(),Table_SourceData_Poultry_Liveweights[[#Headers],[Livestock class j]],0)</calculatedColumnFormula>
    </tableColumn>
  </tableColumns>
  <tableStyleInfo name="Equation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3" xr:uid="{1FAF01F9-1F00-42CF-B4D5-52F98D00F311}" name="Table_SourceData_Poultry_CropProdSystems" displayName="Table_SourceData_Poultry_CropProdSystems" ref="G44:G46" totalsRowShown="0">
  <autoFilter ref="G44:G46" xr:uid="{8EDB544D-AFFC-41EF-8AD9-9AD07200476D}"/>
  <tableColumns count="1">
    <tableColumn id="1" xr3:uid="{92AADCB2-7215-4F76-A099-2851C660A564}" name="Production system">
      <calculatedColumnFormula>#REF!</calculatedColumnFormula>
    </tableColumn>
  </tableColumns>
  <tableStyleInfo name="Equation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4" xr:uid="{10A6D905-4521-45D1-87E7-3CFB7579A8A0}" name="Table_SourceData_Poultry_IrrigationMethods" displayName="Table_SourceData_Poultry_IrrigationMethods" ref="J44:J49" totalsRowShown="0">
  <autoFilter ref="J44:J49" xr:uid="{C0841426-764B-45EC-B52F-AFA2B3E2A193}"/>
  <tableColumns count="1">
    <tableColumn id="1" xr3:uid="{CC658A58-6D8E-4691-B169-41C8E91FAC97}" name="Irrigation method"/>
  </tableColumns>
  <tableStyleInfo name="Equation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9" xr:uid="{C85DF2F5-7F0C-4F95-AEC4-0539FD144669}" name="Table_SourceData_Swine_VolatileSolids" displayName="Table_SourceData_Swine_VolatileSolids" ref="D67:E71" totalsRowShown="0">
  <autoFilter ref="D67:E71" xr:uid="{9DEEF5DA-4392-40D7-9550-EA401E64C221}">
    <filterColumn colId="0" hiddenButton="1"/>
    <filterColumn colId="1" hiddenButton="1"/>
  </autoFilter>
  <tableColumns count="2">
    <tableColumn id="1" xr3:uid="{18493504-FF51-41B7-A670-1F5D9C7AC5A7}" name="Class">
      <calculatedColumnFormula array="1">Common_InputFunctions.Utility_DisplayArrayInTable(SourceData_Swine.SourceData_Swine_VolatileSolids_Data(), Table_SourceData_Swine_VolatileSolids[[#Headers],[Class]], 0)</calculatedColumnFormula>
    </tableColumn>
    <tableColumn id="2" xr3:uid="{C725129A-DBD8-408D-8B7D-47EBF02F2AB4}" name="VSj" dataDxfId="324" dataCellStyle="Content normal">
      <calculatedColumnFormula array="1">Common_InputFunctions.Utility_DisplayArrayInTable(SourceData_Swine.SourceData_Swine_VolatileSolids_Data(), Table_SourceData_Swine_VolatileSolids[[#Headers],[Class]], 0)</calculatedColumnFormula>
    </tableColumn>
  </tableColumns>
  <tableStyleInfo name="Equation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0" xr:uid="{87B8F17B-95E6-4ADD-89F2-64C9CC098228}" name="Table_SourceData_Swine_MMSMCF" displayName="Table_SourceData_Swine_MMSMCF" ref="D28:M35" totalsRowShown="0">
  <autoFilter ref="D28:M35" xr:uid="{8BFD9E79-6224-4B04-B002-84DC46086D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4BD71EFC-6ADE-40A4-A66C-0B37DADE67F6}" name="MMS">
      <calculatedColumnFormula array="1">Common_InputFunctions.Utility_DisplayArrayInTable(SourceData_Swine.SourceData_Swine_MMS_MCFs_Data(),Table_SourceData_Swine_MMSMCF[[#Headers],[MMS]],0)</calculatedColumnFormula>
    </tableColumn>
    <tableColumn id="2" xr3:uid="{BCD5D347-62C9-4DA3-80C6-78338C41D896}" name="NSW" dataDxfId="323" dataCellStyle="Content normal">
      <calculatedColumnFormula array="1">Common_InputFunctions.Utility_DisplayArrayInTable(SourceData_Swine.SourceData_Swine_MMS_MCFs_Data(),Table_SourceData_Swine_MMSMCF[[#Headers],[MMS]],0)</calculatedColumnFormula>
    </tableColumn>
    <tableColumn id="3" xr3:uid="{C690A017-28A3-49C3-BA4F-1EC381658C8C}" name="ACT" dataDxfId="322" dataCellStyle="Content normal">
      <calculatedColumnFormula array="1">Common_InputFunctions.Utility_DisplayArrayInTable(SourceData_Swine.SourceData_Swine_MMS_MCFs_Data(),Table_SourceData_Swine_MMSMCF[[#Headers],[MMS]],0)</calculatedColumnFormula>
    </tableColumn>
    <tableColumn id="4" xr3:uid="{97A533D9-7E2D-41EF-9290-ABCDD56F7B39}" name="QLD" dataDxfId="321" dataCellStyle="Content normal">
      <calculatedColumnFormula array="1">Common_InputFunctions.Utility_DisplayArrayInTable(SourceData_Swine.SourceData_Swine_MMS_MCFs_Data(),Table_SourceData_Swine_MMSMCF[[#Headers],[MMS]],0)</calculatedColumnFormula>
    </tableColumn>
    <tableColumn id="5" xr3:uid="{5768B222-461F-4660-9A5D-D9110FE9EE92}" name="NT" dataDxfId="320" dataCellStyle="Content normal">
      <calculatedColumnFormula array="1">Common_InputFunctions.Utility_DisplayArrayInTable(SourceData_Swine.SourceData_Swine_MMS_MCFs_Data(),Table_SourceData_Swine_MMSMCF[[#Headers],[MMS]],0)</calculatedColumnFormula>
    </tableColumn>
    <tableColumn id="6" xr3:uid="{4B950FA6-407B-4420-81F3-2BF3110712B5}" name="SA" dataDxfId="319" dataCellStyle="Content normal">
      <calculatedColumnFormula array="1">Common_InputFunctions.Utility_DisplayArrayInTable(SourceData_Swine.SourceData_Swine_MMS_MCFs_Data(),Table_SourceData_Swine_MMSMCF[[#Headers],[MMS]],0)</calculatedColumnFormula>
    </tableColumn>
    <tableColumn id="7" xr3:uid="{57851AF8-0BB6-4FE3-AC81-09B56CE3835F}" name="TAS" dataDxfId="318" dataCellStyle="Content normal">
      <calculatedColumnFormula array="1">Common_InputFunctions.Utility_DisplayArrayInTable(SourceData_Swine.SourceData_Swine_MMS_MCFs_Data(),Table_SourceData_Swine_MMSMCF[[#Headers],[MMS]],0)</calculatedColumnFormula>
    </tableColumn>
    <tableColumn id="8" xr3:uid="{DC9A5A27-AC1C-4AD3-A120-845C4058D05C}" name="VIC" dataDxfId="317" dataCellStyle="Content normal">
      <calculatedColumnFormula array="1">Common_InputFunctions.Utility_DisplayArrayInTable(SourceData_Swine.SourceData_Swine_MMS_MCFs_Data(),Table_SourceData_Swine_MMSMCF[[#Headers],[MMS]],0)</calculatedColumnFormula>
    </tableColumn>
    <tableColumn id="9" xr3:uid="{9AE7FEDB-4745-40ED-A44A-37A9DB06AC6F}" name="WA" dataDxfId="316" dataCellStyle="Content normal">
      <calculatedColumnFormula array="1">Common_InputFunctions.Utility_DisplayArrayInTable(SourceData_Swine.SourceData_Swine_MMS_MCFs_Data(),Table_SourceData_Swine_MMSMCF[[#Headers],[MMS]],0)</calculatedColumnFormula>
    </tableColumn>
    <tableColumn id="10" xr3:uid="{C8A3CB1F-2F09-4313-AEA7-2678E2B8D731}" name="NIR definition" dataDxfId="315" dataCellStyle="Content normal">
      <calculatedColumnFormula array="1">Common_InputFunctions.Utility_DisplayArrayInTable(SourceData_Swine.SourceData_Swine_MMS_MCFs_Data(),Table_SourceData_Swine_MMSMCF[[#Headers],[MMS]],0)</calculatedColumnFormula>
    </tableColumn>
  </tableColumns>
  <tableStyleInfo name="Equation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1" xr:uid="{0D576C27-B136-4D86-BAEF-652970FBAAA8}" name="Table_SourceData_SwineMMS" displayName="Table_SourceData_SwineMMS" ref="D40:E47" totalsRowShown="0">
  <autoFilter ref="D40:E47" xr:uid="{42F7033B-606B-4A24-9223-A30737FDC1FE}">
    <filterColumn colId="0" hiddenButton="1"/>
    <filterColumn colId="1" hiddenButton="1"/>
  </autoFilter>
  <tableColumns count="2">
    <tableColumn id="1" xr3:uid="{1082C0F3-0385-4F0D-BC51-8E5205C8A118}" name="MMS"/>
    <tableColumn id="2" xr3:uid="{1C9145CB-B44F-46D2-BC92-642A12E00F44}" name="Symbol and MMS"/>
  </tableColumns>
  <tableStyleInfo name="Equation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2" xr:uid="{29843868-0FB0-4482-88B2-66FA6F63D13B}" name="Table_SourceData_SwineVSL" displayName="Table_SourceData_SwineVSL" ref="D53:E60" totalsRowShown="0">
  <autoFilter ref="D53:E60" xr:uid="{079C074C-6E98-47B5-B4E5-F8A1F12104F2}">
    <filterColumn colId="0" hiddenButton="1"/>
    <filterColumn colId="1" hiddenButton="1"/>
  </autoFilter>
  <tableColumns count="2">
    <tableColumn id="1" xr3:uid="{79EFB8D0-06C0-47AC-B506-2EFF0B3212EC}" name="MMS"/>
    <tableColumn id="2" xr3:uid="{FAB79CE2-CDCE-4ED5-908C-C0B966A3D6C4}" name="VSL"/>
  </tableColumns>
  <tableStyleInfo name="Equation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3" xr:uid="{E37DE3C6-C201-4200-AE61-3532D17E9A1A}" name="Table_SourceData_SwineMMSExcSolidStorage" displayName="Table_SourceData_SwineMMSExcSolidStorage" ref="G40:H45" totalsRowShown="0">
  <autoFilter ref="G40:H45" xr:uid="{171229DD-CBF4-4099-8199-8A23112B275F}">
    <filterColumn colId="0" hiddenButton="1"/>
    <filterColumn colId="1" hiddenButton="1"/>
  </autoFilter>
  <tableColumns count="2">
    <tableColumn id="1" xr3:uid="{E86DE1C3-4967-4DAE-9503-A284637BE07A}" name="MMS"/>
    <tableColumn id="2" xr3:uid="{069E811E-A5E1-4C4E-BB30-1ACB6DFFD308}" name="Symbol and MMS"/>
  </tableColumns>
  <tableStyleInfo name="Equation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4" xr:uid="{784F616A-E017-4A44-A5C2-F1D60805D67C}" name="Table_SourceData_SwineExclDirectApplicationMMS" displayName="Table_SourceData_SwineExclDirectApplicationMMS" ref="K40:L46" totalsRowShown="0">
  <autoFilter ref="K40:L46" xr:uid="{363E0626-9932-4FCA-A861-C95F26E527BC}">
    <filterColumn colId="0" hiddenButton="1"/>
    <filterColumn colId="1" hiddenButton="1"/>
  </autoFilter>
  <tableColumns count="2">
    <tableColumn id="1" xr3:uid="{FC57628D-D41C-4971-9A4C-DC6FA5AC7C8D}" name="MMS"/>
    <tableColumn id="2" xr3:uid="{28F53057-A522-48EB-BB90-D15B60763ED7}" name="Symbol and MMS"/>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5" xr:uid="{01A77653-4530-47F1-8061-C3DCE949FB41}" name="Table_SourceData_Swine_ProductionSystems" displayName="Table_SourceData_Swine_ProductionSystems" ref="G53:G56" totalsRowShown="0">
  <autoFilter ref="G53:G56" xr:uid="{A6BE3FFD-EB90-45EB-8756-16A72E0C6869}">
    <filterColumn colId="0" hiddenButton="1"/>
  </autoFilter>
  <tableColumns count="1">
    <tableColumn id="1" xr3:uid="{2159DEC9-E5B7-422D-9091-7363CC587E65}" name="Production system">
      <calculatedColumnFormula array="1">Common_InputFunctions.Utility_DisplayArrayInTable(SourceData_Swine.SourceData_Swine_ProductionSystems_Data(), Table_SourceData_Swine_ProductionSystems[[#Headers],[Production system]], 0)</calculatedColumnFormula>
    </tableColumn>
  </tableColumns>
  <tableStyleInfo name="Equation table"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6" xr:uid="{507D3582-2EDC-45B2-B7CD-D7B5338319CC}" name="Table_SourceData_Swine_NitrogenInWaste" displayName="Table_SourceData_Swine_NitrogenInWaste" ref="D89:G93" totalsRowShown="0" dataDxfId="314" dataCellStyle="Content normal">
  <autoFilter ref="D89:G93" xr:uid="{61D86DCB-D80D-4593-96F3-A897FC93073F}">
    <filterColumn colId="0" hiddenButton="1"/>
    <filterColumn colId="1" hiddenButton="1"/>
    <filterColumn colId="2" hiddenButton="1"/>
    <filterColumn colId="3" hiddenButton="1"/>
  </autoFilter>
  <tableColumns count="4">
    <tableColumn id="1" xr3:uid="{45BDE086-34D1-4A03-9D34-43E5204241C4}" name="Class" dataDxfId="313" dataCellStyle="Content normal">
      <calculatedColumnFormula array="1">Common_InputFunctions.Utility_DisplayArrayInTable(SourceData_Swine.SourceData_Swine_NitrogenInWaste_Data(), Table_SourceData_Swine_NitrogenInWaste[[#Headers],[Class]], 0)</calculatedColumnFormula>
    </tableColumn>
    <tableColumn id="2" xr3:uid="{A45B13D6-6649-43AD-BE80-DC6C170336AF}" name="NWj" dataDxfId="312" dataCellStyle="Content normal">
      <calculatedColumnFormula array="1">Common_InputFunctions.Utility_DisplayArrayInTable(SourceData_Swine.SourceData_Swine_NitrogenInWaste_Data(), Table_SourceData_Swine_NitrogenInWaste[[#Headers],[Class]], 0)</calculatedColumnFormula>
    </tableColumn>
    <tableColumn id="3" xr3:uid="{2C94EBF1-822A-49B8-9180-E5A0C02AA119}" name="NWj Daily" dataDxfId="311" dataCellStyle="Content normal">
      <calculatedColumnFormula array="1">Common_InputFunctions.Utility_DisplayArrayInTable(SourceData_Swine.SourceData_Swine_NitrogenInWaste_Data(), Table_SourceData_Swine_NitrogenInWaste[[#Headers],[Class]], 0)</calculatedColumnFormula>
    </tableColumn>
    <tableColumn id="4" xr3:uid="{60F1F482-A5F7-4904-8A57-47E4FB25E715}" name="Class name" dataDxfId="310" dataCellStyle="Content normal">
      <calculatedColumnFormula array="1">Common_InputFunctions.Utility_DisplayArrayInTable(SourceData_Swine.SourceData_Swine_NitrogenInWaste_Data(), Table_SourceData_Swine_NitrogenInWaste[[#Headers],[Class]], 0)</calculatedColumnFormula>
    </tableColumn>
  </tableColumns>
  <tableStyleInfo name="Equation table"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7" xr:uid="{008C9C42-B4BF-48F7-8E74-9571BEB33EB4}" name="Table_SourceData_Swine_FeedIntake" displayName="Table_SourceData_Swine_FeedIntake" ref="D78:E82" totalsRowShown="0" dataDxfId="309" dataCellStyle="Content normal">
  <autoFilter ref="D78:E82" xr:uid="{E34928EB-73E5-43B2-830B-089F30DA4EF0}">
    <filterColumn colId="0" hiddenButton="1"/>
    <filterColumn colId="1" hiddenButton="1"/>
  </autoFilter>
  <tableColumns count="2">
    <tableColumn id="1" xr3:uid="{070A5DA4-5A77-42EE-9F2E-0DA9648BCB83}" name="Class" dataDxfId="308" dataCellStyle="Content normal">
      <calculatedColumnFormula array="1">Common_InputFunctions.Utility_DisplayArrayInTable(SourceData_Swine.SourceData_Swine_FeedIntake_Data(), Table_SourceData_Swine_FeedIntake[[#Headers],[Class]], 0)</calculatedColumnFormula>
    </tableColumn>
    <tableColumn id="2" xr3:uid="{E2BEA915-9A0C-4158-8538-8CF58E56EC03}" name="Ij" dataDxfId="307" dataCellStyle="Content normal">
      <calculatedColumnFormula array="1">Common_InputFunctions.Utility_DisplayArrayInTable(SourceData_Swine.SourceData_Swine_FeedIntake_Data(), Table_SourceData_Swine_FeedIntake[[#Headers],[Class]], 0)</calculatedColumnFormula>
    </tableColumn>
  </tableColumns>
  <tableStyleInfo name="Equation table"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8" xr:uid="{82B8942E-6618-4CA2-8784-901164A009A3}" name="Table_SourceData_Swine_FracGASM" displayName="Table_SourceData_Swine_FracGASM" ref="D99:F105" totalsRowShown="0">
  <autoFilter ref="D99:F105" xr:uid="{11184525-440F-427A-8F5F-F24C51E83194}">
    <filterColumn colId="0" hiddenButton="1"/>
    <filterColumn colId="1" hiddenButton="1"/>
    <filterColumn colId="2" hiddenButton="1"/>
  </autoFilter>
  <tableColumns count="3">
    <tableColumn id="1" xr3:uid="{58C817D5-E972-4ED0-93A7-8FD28EC80AE1}" name="MMSm">
      <calculatedColumnFormula array="1">Common_InputFunctions.Utility_DisplayArrayInTable(SourceData_Swine.SourceData_Swine_FractionNVolatilised_Data(), Table_SourceData_Swine_FracGASM[[#Headers],[MMSm]],0)</calculatedColumnFormula>
    </tableColumn>
    <tableColumn id="2" xr3:uid="{AFD6DE39-26D6-47FC-A807-F46F60884138}" name="FracGASMmT">
      <calculatedColumnFormula array="1">Common_InputFunctions.Utility_DisplayArrayInTable(SourceData_Swine.SourceData_Swine_FractionNVolatilised_Data(), Table_SourceData_Swine_FracGASM[[#Headers],[MMSm]],0)</calculatedColumnFormula>
    </tableColumn>
    <tableColumn id="3" xr3:uid="{A90760B7-E5CE-49FB-AF25-314798E54E3D}" name="NIR reference">
      <calculatedColumnFormula array="1">Common_InputFunctions.Utility_DisplayArrayInTable(SourceData_Swine.SourceData_Swine_FractionNVolatilised_Data(), Table_SourceData_Swine_FracGASM[[#Headers],[MMSm]],0)</calculatedColumnFormula>
    </tableColumn>
  </tableColumns>
  <tableStyleInfo name="Equation table"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9" xr:uid="{982835C8-FB98-4104-AEE3-0F9ACF28639A}" name="Table_SourceData_Swine_FracGASM28" displayName="Table_SourceData_Swine_FracGASM28" ref="D111:F117" totalsRowShown="0" dataDxfId="306" dataCellStyle="Content normal">
  <autoFilter ref="D111:F117" xr:uid="{1333872B-E46C-4DC7-8E2D-1F3D704794C8}">
    <filterColumn colId="0" hiddenButton="1"/>
    <filterColumn colId="1" hiddenButton="1"/>
    <filterColumn colId="2" hiddenButton="1"/>
  </autoFilter>
  <tableColumns count="3">
    <tableColumn id="1" xr3:uid="{79BE25D2-AC98-4196-AF5E-88CAF8B33E29}" name="MMSm" dataDxfId="305" dataCellStyle="Content normal">
      <calculatedColumnFormula array="1">Common_InputFunctions.Utility_DisplayArrayInTable(SourceData_Swine.SourceData_Swine_NitrousOxideEFs_Data(), Table_SourceData_Swine_FracGASM28[[#Headers],[MMSm]],0)</calculatedColumnFormula>
    </tableColumn>
    <tableColumn id="2" xr3:uid="{0C0BC0DA-FB98-4206-B3A1-0AA603B124A5}" name="EFmT" dataDxfId="304" dataCellStyle="Content normal">
      <calculatedColumnFormula array="1">Common_InputFunctions.Utility_DisplayArrayInTable(SourceData_Swine.SourceData_Swine_NitrousOxideEFs_Data(), Table_SourceData_Swine_FracGASM28[[#Headers],[MMSm]],0)</calculatedColumnFormula>
    </tableColumn>
    <tableColumn id="3" xr3:uid="{0DDAB840-9014-4495-8307-979CB85708D1}" name="NIR reference" dataDxfId="303" dataCellStyle="Content normal">
      <calculatedColumnFormula array="1">Common_InputFunctions.Utility_DisplayArrayInTable(SourceData_Swine.SourceData_Swine_NitrousOxideEFs_Data(), Table_SourceData_Swine_FracGASM28[[#Headers],[MMSm]],0)</calculatedColumnFormula>
    </tableColumn>
  </tableColumns>
  <tableStyleInfo name="Equation table"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0" xr:uid="{C7EDAAD8-52F5-46E4-ADDB-8B3D3D9F96D5}" name="Table_SourceData_Swine_CropProdSystems" displayName="Table_SourceData_Swine_CropProdSystems" ref="D8:D10" totalsRowShown="0">
  <autoFilter ref="D8:D10" xr:uid="{1DC3FD95-46BB-428C-8DAB-6CC542C27F2F}">
    <filterColumn colId="0" hiddenButton="1"/>
  </autoFilter>
  <tableColumns count="1">
    <tableColumn id="1" xr3:uid="{9F82257D-B03C-45AA-B9DC-785C80247EE9}" name="Production system">
      <calculatedColumnFormula>#REF!</calculatedColumnFormula>
    </tableColumn>
  </tableColumns>
  <tableStyleInfo name="Equation table"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1" xr:uid="{D4B556ED-677E-487A-9C73-CB49F6C00007}" name="Table_SourceData_Swine_IrrigationMethods" displayName="Table_SourceData_Swine_IrrigationMethods" ref="G8:G13" totalsRowShown="0">
  <autoFilter ref="G8:G13" xr:uid="{AA6B756B-6FF9-48AC-BC54-06A8937EFD12}">
    <filterColumn colId="0" hiddenButton="1"/>
  </autoFilter>
  <tableColumns count="1">
    <tableColumn id="1" xr3:uid="{AA9F7325-DCF3-4AE7-B126-8591E5C6DFDA}" name="Irrigation method"/>
  </tableColumns>
  <tableStyleInfo name="Equation table"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4" xr:uid="{FC82AA18-56B8-41C3-88BE-E85C3C6601E0}" name="Table_SourceData_Dairy_MMS" displayName="Table_SourceData_Dairy_MMS" ref="D7:E11" totalsRowShown="0">
  <autoFilter ref="D7:E11" xr:uid="{D5C443B2-EDE2-4250-B2EE-016878D19AD9}">
    <filterColumn colId="0" hiddenButton="1"/>
    <filterColumn colId="1" hiddenButton="1"/>
  </autoFilter>
  <tableColumns count="2">
    <tableColumn id="1" xr3:uid="{E8A890AF-9846-42DA-B166-2CDBAE7E9921}" name="MMS"/>
    <tableColumn id="2" xr3:uid="{8110984F-4478-4F00-BBE5-3686BD7AC640}" name="Symbol and MMS" dataDxfId="302" dataCellStyle="Content normal"/>
  </tableColumns>
  <tableStyleInfo name="Equation table"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5" xr:uid="{7A1E993D-6972-4521-A1B8-D941248230CE}" name="Table_SourceData_Dairy_CropProdSystems" displayName="Table_SourceData_Dairy_CropProdSystems" ref="G7:G9" totalsRowShown="0">
  <autoFilter ref="G7:G9" xr:uid="{B6F3FE3A-A0B5-47E7-85B2-8426FB75A7C8}">
    <filterColumn colId="0" hiddenButton="1"/>
  </autoFilter>
  <tableColumns count="1">
    <tableColumn id="1" xr3:uid="{B6BFE7CA-C9A8-4756-AECD-1A6D2C4B1D72}" name="Production system">
      <calculatedColumnFormula>#REF!</calculatedColumnFormula>
    </tableColumn>
  </tableColumns>
  <tableStyleInfo name="Equation table"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6" xr:uid="{3095E266-208B-40AA-86F0-6FC1E38913C4}" name="Table_SourceData_Dairy_IrrigationMethods" displayName="Table_SourceData_Dairy_IrrigationMethods" ref="J7:J12" totalsRowShown="0">
  <autoFilter ref="J7:J12" xr:uid="{FE172B77-CEA3-430C-84BC-392A64D0B8FF}">
    <filterColumn colId="0" hiddenButton="1"/>
  </autoFilter>
  <tableColumns count="1">
    <tableColumn id="1" xr3:uid="{92A29078-9C43-459B-9EE6-4A5696405FB4}" name="Irrigation method"/>
  </tableColumns>
  <tableStyleInfo name="Equation table"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7" xr:uid="{6B1B4AF9-6538-4BAB-A058-6AD5DCB24835}"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9C3E79DB-A4B8-423E-982A-FFEDB4BFC1B5}" name="Breed">
      <calculatedColumnFormula array="1">Common_InputFunctions.Utility_DisplayArrayInTable(SourceData_Dairy.SourceData_Dairy_LiveweightCowsAndHeifers_Data(), Table_SourceData_Dairy_WjCowsHeifers[[#Headers],[Breed]], 0)</calculatedColumnFormula>
    </tableColumn>
    <tableColumn id="2" xr3:uid="{9109B7D2-ABFB-4BBD-A347-D1D154C79AAA}" name="Milking cows" dataDxfId="301" dataCellStyle="Content normal">
      <calculatedColumnFormula array="1">Common_InputFunctions.Utility_DisplayArrayInTable(SourceData_Dairy.SourceData_Dairy_LiveweightCowsAndHeifers_Data(), Table_SourceData_Dairy_WjCowsHeifers[[#Headers],[Breed]], 0)</calculatedColumnFormula>
    </tableColumn>
    <tableColumn id="3" xr3:uid="{5C10E9D8-DC59-4FC0-B30C-29A7BE28067D}" name="Heifers &gt; 1" dataDxfId="300" dataCellStyle="Content normal">
      <calculatedColumnFormula array="1">Common_InputFunctions.Utility_DisplayArrayInTable(SourceData_Dairy.SourceData_Dairy_LiveweightCowsAndHeifers_Data(), Table_SourceData_Dairy_WjCowsHeifers[[#Headers],[Breed]], 0)</calculatedColumnFormula>
    </tableColumn>
    <tableColumn id="4" xr3:uid="{9440E997-0A75-459D-9C34-50A12C81489D}" name="Heifers &lt; 1 (weaned)" dataDxfId="299"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8" xr:uid="{FA9CD4F8-60C5-4A77-9E2F-D3C235C770A8}"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D498294-6B7D-48FE-A45B-E6AD4E26AAAD}" name="Breed">
      <calculatedColumnFormula array="1">Common_InputFunctions.Utility_DisplayArrayInTable(SourceData_Dairy.SourceData_Dairy_LiveweightBulls_Data(), Table_SourceData_Dairy_WjBulls[[#Headers],[Breed]], 0)</calculatedColumnFormula>
    </tableColumn>
    <tableColumn id="2" xr3:uid="{2B56750C-2FB6-450B-A792-D4722130C5CB}" name="Bulls &gt; 1" dataDxfId="298" dataCellStyle="Content normal">
      <calculatedColumnFormula array="1">Common_InputFunctions.Utility_DisplayArrayInTable(SourceData_Dairy.SourceData_Dairy_LiveweightBulls_Data(), Table_SourceData_Dairy_WjBulls[[#Headers],[Breed]], 0)</calculatedColumnFormula>
    </tableColumn>
    <tableColumn id="3" xr3:uid="{2529D91E-07F5-4760-9188-E0AFF183BD9A}" name="Bulls &lt; 1 (weaned)" dataDxfId="297"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9" xr:uid="{1CAEAB3E-00CB-4318-B08B-E46F7C01797F}"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4E812AF8-04C7-4A76-944C-7C9A5D8A87B5}" name="Milking cows">
      <calculatedColumnFormula array="1">Common_InputFunctions.Utility_DisplayArrayInTable(SourceData_Dairy.SourceData_Dairy_LiveweightGain_Data(), Table_SourceData_Dairy_LWGj[[#Headers],[Milking cows]], 0)</calculatedColumnFormula>
    </tableColumn>
    <tableColumn id="2" xr3:uid="{CDE3444B-EE6B-4788-85C3-53408D714329}" name="Heifers &gt; 1" dataDxfId="296" dataCellStyle="Content normal">
      <calculatedColumnFormula array="1">Common_InputFunctions.Utility_DisplayArrayInTable(SourceData_Dairy.SourceData_Dairy_LiveweightGain_Data(), Table_SourceData_Dairy_LWGj[[#Headers],[Milking cows]], 0)</calculatedColumnFormula>
    </tableColumn>
    <tableColumn id="3" xr3:uid="{D58010B4-6B87-49BD-9071-FA0D1FE40A36}" name="Heifers &lt; 1 (weaned)" dataDxfId="295" dataCellStyle="Content normal">
      <calculatedColumnFormula array="1">Common_InputFunctions.Utility_DisplayArrayInTable(SourceData_Dairy.SourceData_Dairy_LiveweightGain_Data(), Table_SourceData_Dairy_LWGj[[#Headers],[Milking cows]], 0)</calculatedColumnFormula>
    </tableColumn>
    <tableColumn id="4" xr3:uid="{84AFB612-70CC-4A33-9940-AF1D42DCBC19}" name="Bulls &gt; 1" dataDxfId="294" dataCellStyle="Content normal">
      <calculatedColumnFormula array="1">Common_InputFunctions.Utility_DisplayArrayInTable(SourceData_Dairy.SourceData_Dairy_LiveweightGain_Data(), Table_SourceData_Dairy_LWGj[[#Headers],[Milking cows]], 0)</calculatedColumnFormula>
    </tableColumn>
    <tableColumn id="5" xr3:uid="{05B11EC5-A260-416B-8F63-D7365AB3488F}" name="Bulls &lt; 1 (weaned)" dataDxfId="293"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0" xr:uid="{F3F1B85D-B0A1-489C-8564-15CC46B128B1}" name="Table_SourceData_Dairy_WRj" displayName="Table_SourceData_Dairy_WRj" ref="D54:H55" totalsRowShown="0" headerRowDxfId="292"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141251B3-9581-4A68-8CD3-0BB533AA12FA}"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69792D40-2AD9-4F24-A0C7-08DB6FE30A9D}"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E7C5BBA5-CB04-4550-A23E-1BCE6673D246}"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046AE96E-466E-4ECC-B59A-A6FF2CBC7CD1}"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711DBC07-DE78-401B-B0FD-07AFD67CF76D}"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1" xr:uid="{56F8D4B0-7688-4C48-B644-5A16A741C06C}" name="Table_SourceData_Dairy_DataPreWeaned" displayName="Table_SourceData_Dairy_DataPreWeaned" ref="D62:G64" totalsRowShown="0" dataDxfId="291" dataCellStyle="Content normal">
  <autoFilter ref="D62:G64" xr:uid="{968BB314-DB2C-4CA2-BAA9-E66557777E59}">
    <filterColumn colId="0" hiddenButton="1"/>
    <filterColumn colId="1" hiddenButton="1"/>
    <filterColumn colId="2" hiddenButton="1"/>
    <filterColumn colId="3" hiddenButton="1"/>
  </autoFilter>
  <tableColumns count="4">
    <tableColumn id="1" xr3:uid="{262F0DDC-8247-461F-91A0-11EFB22715C0}" name="Animal class j" dataDxfId="290" dataCellStyle="Content normal">
      <calculatedColumnFormula array="1">Common_InputFunctions.Utility_DisplayArrayInTable(SourceData_Dairy.SourceData_Dairy_PreWeanedCalves_Data(), Table_SourceData_Dairy_DataPreWeaned[[#Headers],[Animal class j]], -1)</calculatedColumnFormula>
    </tableColumn>
    <tableColumn id="2" xr3:uid="{2D9EDED7-EFEF-4FDA-B30D-38D7A36ADFF3}" name="CH4 production" dataDxfId="289" dataCellStyle="Content normal">
      <calculatedColumnFormula array="1">Common_InputFunctions.Utility_DisplayArrayInTable(SourceData_Dairy.SourceData_Dairy_PreWeanedCalves_Data(), Table_SourceData_Dairy_DataPreWeaned[[#Headers],[Animal class j]], -1)</calculatedColumnFormula>
    </tableColumn>
    <tableColumn id="3" xr3:uid="{F1B5F525-21EE-4FA4-A0B1-7ADC9F18172A}" name="Volatile solids (VSj=3,5)" dataDxfId="288" dataCellStyle="Content normal">
      <calculatedColumnFormula array="1">Common_InputFunctions.Utility_DisplayArrayInTable(SourceData_Dairy.SourceData_Dairy_PreWeanedCalves_Data(), Table_SourceData_Dairy_DataPreWeaned[[#Headers],[Animal class j]], -1)</calculatedColumnFormula>
    </tableColumn>
    <tableColumn id="4" xr3:uid="{6581D8D6-7E90-41B9-9B39-E3F10AE80F48}" name="Nitrogen Excreted (NPWj=3,5)" dataDxfId="287" dataCellStyle="Content normal">
      <calculatedColumnFormula array="1">Common_InputFunctions.Utility_DisplayArrayInTable(SourceData_Dairy.SourceData_Dairy_PreWeanedCalves_Data(), Table_SourceData_Dairy_DataPreWeaned[[#Headers],[Animal class j]], -1)</calculatedColumnFormula>
    </tableColumn>
  </tableColumns>
  <tableStyleInfo name="Equation table"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2" xr:uid="{F811BD56-BCD6-47EE-8CFC-CFEB1E8AD748}"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51644018-381E-4AE2-A73E-0D1DBE63189C}" name="MMS m">
      <calculatedColumnFormula array="1">Common_InputFunctions.Utility_DisplayArrayInTable(SourceData_Dairy.SourceData_Dairy_MCF_Data(), Table_SourceData_Dairy_MCFjm[[#Headers],[MMS m]], 0)</calculatedColumnFormula>
    </tableColumn>
    <tableColumn id="2" xr3:uid="{C520CD5B-220C-4AD8-8A08-6BC0AE9A1FF4}" name="ACT" dataDxfId="286" dataCellStyle="Content normal">
      <calculatedColumnFormula array="1">Common_InputFunctions.Utility_DisplayArrayInTable(SourceData_Dairy.SourceData_Dairy_MCF_Data(), Table_SourceData_Dairy_MCFjm[[#Headers],[MMS m]], 0)</calculatedColumnFormula>
    </tableColumn>
    <tableColumn id="3" xr3:uid="{051AD914-7DC3-46D5-9836-27902E9C3BAD}" name="NSW" dataDxfId="285" dataCellStyle="Content normal">
      <calculatedColumnFormula array="1">Common_InputFunctions.Utility_DisplayArrayInTable(SourceData_Dairy.SourceData_Dairy_MCF_Data(), Table_SourceData_Dairy_MCFjm[[#Headers],[MMS m]], 0)</calculatedColumnFormula>
    </tableColumn>
    <tableColumn id="4" xr3:uid="{D2A955DE-707E-49C3-A3E6-4D54FC2AFDB7}" name="NT" dataDxfId="284" dataCellStyle="Content normal">
      <calculatedColumnFormula array="1">Common_InputFunctions.Utility_DisplayArrayInTable(SourceData_Dairy.SourceData_Dairy_MCF_Data(), Table_SourceData_Dairy_MCFjm[[#Headers],[MMS m]], 0)</calculatedColumnFormula>
    </tableColumn>
    <tableColumn id="5" xr3:uid="{A68E04AF-0273-4A46-8F59-6BFB7368CBBA}" name="QLD" dataDxfId="283" dataCellStyle="Content normal">
      <calculatedColumnFormula array="1">Common_InputFunctions.Utility_DisplayArrayInTable(SourceData_Dairy.SourceData_Dairy_MCF_Data(), Table_SourceData_Dairy_MCFjm[[#Headers],[MMS m]], 0)</calculatedColumnFormula>
    </tableColumn>
    <tableColumn id="6" xr3:uid="{6130DB63-E338-4D80-A264-C1337EA43852}" name="SA" dataDxfId="282" dataCellStyle="Content normal">
      <calculatedColumnFormula array="1">Common_InputFunctions.Utility_DisplayArrayInTable(SourceData_Dairy.SourceData_Dairy_MCF_Data(), Table_SourceData_Dairy_MCFjm[[#Headers],[MMS m]], 0)</calculatedColumnFormula>
    </tableColumn>
    <tableColumn id="7" xr3:uid="{4686B8BF-E23D-418F-9FF6-C850E5709A82}" name="TAS" dataDxfId="281" dataCellStyle="Content normal">
      <calculatedColumnFormula array="1">Common_InputFunctions.Utility_DisplayArrayInTable(SourceData_Dairy.SourceData_Dairy_MCF_Data(), Table_SourceData_Dairy_MCFjm[[#Headers],[MMS m]], 0)</calculatedColumnFormula>
    </tableColumn>
    <tableColumn id="8" xr3:uid="{68B73B9E-CD96-4FF0-B4E7-8A83D0FCD3A6}" name="VIC" dataDxfId="280" dataCellStyle="Content normal">
      <calculatedColumnFormula array="1">Common_InputFunctions.Utility_DisplayArrayInTable(SourceData_Dairy.SourceData_Dairy_MCF_Data(), Table_SourceData_Dairy_MCFjm[[#Headers],[MMS m]], 0)</calculatedColumnFormula>
    </tableColumn>
    <tableColumn id="9" xr3:uid="{7201A2BF-13E2-4C72-845C-42E660B746A5}" name="WA" dataDxfId="279" dataCellStyle="Content normal">
      <calculatedColumnFormula array="1">Common_InputFunctions.Utility_DisplayArrayInTable(SourceData_Dairy.SourceData_Dairy_MCF_Data(), Table_SourceData_Dairy_MCFjm[[#Headers],[MMS m]], 0)</calculatedColumnFormula>
    </tableColumn>
    <tableColumn id="10" xr3:uid="{7C85C687-22FD-4A52-BBFD-AE6CBA952FDC}" name="NIR reference" dataDxfId="278"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3" xr:uid="{C85F6507-6573-49F6-842F-BAF33AEB45EC}"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9F12896B-F4B7-4AA3-8804-DCAAF3451B6D}" name="MMS m">
      <calculatedColumnFormula array="1">Common_InputFunctions.Utility_DisplayArrayInTable(SourceData_Dairy.SourceData_Dairy_NitrousOxideEFsAndFracGASM_Data(), Table_SourceData_Dairy_EFmFracGASM[[#Headers],[MMS m]], 0)</calculatedColumnFormula>
    </tableColumn>
    <tableColumn id="2" xr3:uid="{7DFA8E1A-3464-46C7-8C54-C4E1A42BE380}" name="EFm" dataDxfId="277" dataCellStyle="Content normal">
      <calculatedColumnFormula array="1">Common_InputFunctions.Utility_DisplayArrayInTable(SourceData_Dairy.SourceData_Dairy_NitrousOxideEFsAndFracGASM_Data(), Table_SourceData_Dairy_EFmFracGASM[[#Headers],[MMS m]], 0)</calculatedColumnFormula>
    </tableColumn>
    <tableColumn id="3" xr3:uid="{01066B3A-8F9B-4D69-89C5-B35E5A182A81}" name="FracGASMm" dataDxfId="276" dataCellStyle="Content normal">
      <calculatedColumnFormula array="1">Common_InputFunctions.Utility_DisplayArrayInTable(SourceData_Dairy.SourceData_Dairy_NitrousOxideEFsAndFracGASM_Data(), Table_SourceData_Dairy_EFmFracGASM[[#Headers],[MMS m]], 0)</calculatedColumnFormula>
    </tableColumn>
    <tableColumn id="4" xr3:uid="{BBA9D6FE-F9E3-451B-8340-4690A9D36A23}" name="NIR reference" dataDxfId="275"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4" xr:uid="{BEDD2D85-E02D-473C-AC7B-292F7DD012F7}"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93F9F05C-24C9-480A-BD0C-6B862EA89BC2}"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CCC2BAF-D290-4864-AC0E-3100E2FFF724}" name="MPW ENTERIC" dataDxfId="274"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5" xr:uid="{F0C822E0-1B36-44AE-8BC0-354902CA29D7}"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A6E7F29E-51CE-4C6F-89BF-E1545E3FCC22}" name="Animal class j">
      <calculatedColumnFormula array="1">Common_InputFunctions.Utility_DisplayArrayInTable(SourceData_Dairy.SourceData_Dairy_IncreasedMetabolicRateMilk_Data(), Table_SourceData_Dairy_MRj[[#Headers],[Animal class j]], 0)</calculatedColumnFormula>
    </tableColumn>
    <tableColumn id="2" xr3:uid="{0BE9C84D-68D5-4F35-BF07-3E4ABD2369CD}" name="MRj" dataDxfId="273"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6" xr:uid="{3ADA4E68-0F3A-40EC-B545-5A40B7039B29}"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B3DD8A-016F-4B2F-8F3B-26C93224F32B}" name="Area">
      <calculatedColumnFormula array="1">Common_InputFunctions.Utility_DisplayArrayInTable(SourceData_Dairy.SourceData_Dairy_FractionVolatileSolidsVoidedMMS_Data(), Table_SourceData_Dairy_ProductionSystemTemplates[[#Headers],[Area]], 0)</calculatedColumnFormula>
    </tableColumn>
    <tableColumn id="2" xr3:uid="{DB0D7127-0AAE-4A00-BE02-49136DD5C813}" name="Pasture" dataDxfId="272"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4B5C3144-8AA0-4DB4-906A-12F8BFCB084E}" name="Milking shed" dataDxfId="271"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6273B409-408D-4D62-A3AC-5AA72E16F3D5}" name="Feedpad" dataDxfId="270"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7" xr:uid="{B780EF83-3E5E-4EB0-AF35-88532A15399B}"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45E2D142-3747-4684-BFDB-9161E2B951FB}" name="MMS m">
      <calculatedColumnFormula array="1">Common_InputFunctions.Utility_DisplayArrayInTable(SourceData_Dairy.SourceData_Dairy_EFNitrousOxidePerMMS_Data(), Table_SourceData_Dairy_EFm[[#Headers],[MMS m]], 0)</calculatedColumnFormula>
    </tableColumn>
    <tableColumn id="2" xr3:uid="{EA088719-BB82-4821-BB56-A314B830ED7D}" name="EFm" dataDxfId="269" dataCellStyle="Content normal">
      <calculatedColumnFormula array="1">Common_InputFunctions.Utility_DisplayArrayInTable(SourceData_Dairy.SourceData_Dairy_EFNitrousOxidePerMMS_Data(), Table_SourceData_Dairy_EFm[[#Headers],[MMS m]], 0)</calculatedColumnFormula>
    </tableColumn>
    <tableColumn id="3" xr3:uid="{1A0FB567-AA76-47ED-9228-01F29B56C984}" name="NIR reference" dataDxfId="268"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8" xr:uid="{E90409F3-F7FA-4C93-AF1B-30D1BA5E2771}"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46543E9C-5380-429A-9912-3F3791C60117}" name="Animal class j">
      <calculatedColumnFormula array="1">Common_InputFunctions.Utility_DisplayArrayInTable(SourceData_Dairy.SourceData_Dairy_DurationOfStay_Data(), Table_SourceData_Dairy_Duration[[#Headers],[Animal class j]], 0)</calculatedColumnFormula>
    </tableColumn>
    <tableColumn id="2" xr3:uid="{2822A62D-AD43-43B2-BA97-CE0CA0A43E3A}" name="Duration (weaned)" dataDxfId="267" dataCellStyle="Content normal">
      <calculatedColumnFormula array="1">Common_InputFunctions.Utility_DisplayArrayInTable(SourceData_Dairy.SourceData_Dairy_DurationOfStay_Data(), Table_SourceData_Dairy_Duration[[#Headers],[Animal class j]], 0)</calculatedColumnFormula>
    </tableColumn>
    <tableColumn id="3" xr3:uid="{276C1038-1DDF-47FB-919A-DAAA1FE8E8A4}" name="Duration (pre-weaned)" dataDxfId="266"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3D82B021-430D-4BEF-9E1A-C7D54E095886}" name="Table_SourceData_PastureBeef_CropProdSystems" displayName="Table_SourceData_PastureBeef_CropProdSystems" ref="D7:D9" totalsRowShown="0">
  <autoFilter ref="D7:D9" xr:uid="{B6F3FE3A-A0B5-47E7-85B2-8426FB75A7C8}">
    <filterColumn colId="0" hiddenButton="1"/>
  </autoFilter>
  <tableColumns count="1">
    <tableColumn id="1" xr3:uid="{2A73F18D-25CE-42ED-BEC5-65EA631747B0}" name="Production system">
      <calculatedColumnFormula>#REF!</calculatedColumnFormula>
    </tableColumn>
  </tableColumns>
  <tableStyleInfo name="Equation table"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13A6C177-4668-47BC-B738-D43DD8993893}"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8D23FE23-5448-4568-A6AD-EE951E8A54DE}" name="Irrigation method"/>
  </tableColumns>
  <tableStyleInfo name="Equation table"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ED2E0FAB-EFE2-46D1-A8EE-14895BA757A6}"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B9F9118E-6ADE-495F-8F76-40234D3781E0}" name="State">
      <calculatedColumnFormula array="1">Common_InputFunctions.Utility_DisplayArrayInTable(SourceData_PastureBeef.SourceData_PastureBeef_Liveweight_Data(), Table_SourceData_PastureBeef_Liveweight[[#Headers],[State]], 0)</calculatedColumnFormula>
    </tableColumn>
    <tableColumn id="2" xr3:uid="{A66543BF-BF84-45AC-AA0B-B9906FC87566}" name="Region" dataDxfId="265" dataCellStyle="Content normal">
      <calculatedColumnFormula array="1">Common_InputFunctions.Utility_DisplayArrayInTable(SourceData_PastureBeef.SourceData_PastureBeef_Liveweight_Data(), Table_SourceData_PastureBeef_Liveweight[[#Headers],[State]], 0)</calculatedColumnFormula>
    </tableColumn>
    <tableColumn id="3" xr3:uid="{BC0D3518-35BB-44CE-AE5B-912BDFB9EBB7}" name="Season" dataDxfId="264" dataCellStyle="Content normal">
      <calculatedColumnFormula array="1">Common_InputFunctions.Utility_DisplayArrayInTable(SourceData_PastureBeef.SourceData_PastureBeef_Liveweight_Data(), Table_SourceData_PastureBeef_Liveweight[[#Headers],[State]], 0)</calculatedColumnFormula>
    </tableColumn>
    <tableColumn id="4" xr3:uid="{6BBF3FD0-3586-4BE3-B11F-49D3EFCD1232}" name="Bull &lt; 1" dataDxfId="263" dataCellStyle="Content normal">
      <calculatedColumnFormula array="1">Common_InputFunctions.Utility_DisplayArrayInTable(SourceData_PastureBeef.SourceData_PastureBeef_Liveweight_Data(), Table_SourceData_PastureBeef_Liveweight[[#Headers],[State]], 0)</calculatedColumnFormula>
    </tableColumn>
    <tableColumn id="5" xr3:uid="{A948FEF8-0E83-4E53-8873-B02F1A0921B6}" name="Bull &gt; 1" dataDxfId="262"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C7B5096-72F6-44F9-B79B-8044B4990214}" name="Cow &lt; 1" dataDxfId="261" dataCellStyle="Content normal">
      <calculatedColumnFormula array="1">Common_InputFunctions.Utility_DisplayArrayInTable(SourceData_PastureBeef.SourceData_PastureBeef_Liveweight_Data(), Table_SourceData_PastureBeef_Liveweight[[#Headers],[State]], 0)</calculatedColumnFormula>
    </tableColumn>
    <tableColumn id="7" xr3:uid="{84CB187B-8008-45BA-9EAF-86EA2042D761}" name="Cow 1-2" dataDxfId="260" dataCellStyle="Content normal">
      <calculatedColumnFormula array="1">Common_InputFunctions.Utility_DisplayArrayInTable(SourceData_PastureBeef.SourceData_PastureBeef_Liveweight_Data(), Table_SourceData_PastureBeef_Liveweight[[#Headers],[State]], 0)</calculatedColumnFormula>
    </tableColumn>
    <tableColumn id="8" xr3:uid="{77CFBF69-0F50-486F-B9FA-00EFC96F4078}" name="Cow &gt; 2" dataDxfId="259" dataCellStyle="Content normal">
      <calculatedColumnFormula array="1">Common_InputFunctions.Utility_DisplayArrayInTable(SourceData_PastureBeef.SourceData_PastureBeef_Liveweight_Data(), Table_SourceData_PastureBeef_Liveweight[[#Headers],[State]], 0)</calculatedColumnFormula>
    </tableColumn>
    <tableColumn id="9" xr3:uid="{D370F665-2852-4D3C-A8DF-6BEB1DAAB96A}" name="Steer &lt; 1" dataDxfId="258"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EB81762E-1FDB-4E77-B329-4AA1625D07AB}" name="Steer &gt; 1" dataDxfId="257"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BBEEFBCC-E4FC-4078-9014-61B68B87A3FE}"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50189C0-5BC7-4942-8501-B445F937ABAF}" name="State">
      <calculatedColumnFormula array="1">Common_InputFunctions.Utility_DisplayArrayInTable(SourceData_PastureBeef.SourceData_PastureBeef_LiveweightNTQLD_Data(),Table_SourceData_PastureBeef_LiveweightNTQD[[#Headers],[State]], 0)</calculatedColumnFormula>
    </tableColumn>
    <tableColumn id="2" xr3:uid="{A13868B4-1427-4A18-9956-48954E67894E}" name="Region" dataDxfId="25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1393044B-89FD-4C0D-A22A-A2FA3D985775}" name="Season" dataDxfId="25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532E5AC9-84A3-400B-941A-B7C74FC62B87}" name="Bull &lt;1" dataDxfId="25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4EE9314D-5D3D-4200-8281-1EA18468C816}" name="Bull &gt;1" dataDxfId="25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88A2FF3E-AF19-4121-B889-19AE12D8255F}" name="Cows &lt;1" dataDxfId="25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8BC5CD70-DD15-420B-982B-B1ADAB5BEB7B}" name="Cows 1-2" dataDxfId="25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414E355-B36F-4F64-87C2-10AFA3F1A861}" name="Cows 2-3" dataDxfId="25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0AEB9666-4898-4BA7-87C6-EE1612810AD2}" name="Cows &gt;3" dataDxfId="24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9638D75-888A-44AD-9360-4FA021F917DF}" name="Steer &lt;1" dataDxfId="24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61E0B1D3-C34C-4F9B-841E-46EEBF5930FE}" name="Steer 1-2" dataDxfId="24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5F66C63-500D-4C60-AB1B-631233483809}" name="Steer 2-3" dataDxfId="24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4F58BC39-B862-4EC7-B0E7-467934F1801D}" name="Steer &gt;3" dataDxfId="245"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136BC9AC-99AD-44D2-B428-EC61CD7299EB}"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C3567A3E-84B3-427D-B1F2-E0C84630E4AB}" name="State"/>
    <tableColumn id="2" xr3:uid="{49E50501-A977-4DC8-8227-5C7DCAF2DA5D}" name="Region">
      <calculatedColumnFormula>E22</calculatedColumnFormula>
    </tableColumn>
    <tableColumn id="3" xr3:uid="{098AB665-CF9D-46CC-93A8-2C3FCE2A4B84}" name="Season">
      <calculatedColumnFormula>F22</calculatedColumnFormula>
    </tableColumn>
    <tableColumn id="4" xr3:uid="{6BA0CD88-B24B-4BB1-86BF-D28B233FE6F7}" name="Bulls &lt; 1 year">
      <calculatedColumnFormula>G22</calculatedColumnFormula>
    </tableColumn>
    <tableColumn id="5" xr3:uid="{ED45F866-5683-483D-82BA-5230C58A138B}" name="Bulls &gt; 1 year">
      <calculatedColumnFormula>H22</calculatedColumnFormula>
    </tableColumn>
    <tableColumn id="6" xr3:uid="{42A0CADD-281E-4D32-9A4B-7747CCDCD8A5}" name="Cows &lt; 1 year">
      <calculatedColumnFormula>I22</calculatedColumnFormula>
    </tableColumn>
    <tableColumn id="7" xr3:uid="{F444D1A6-4A8F-4DF6-85A8-E2A1EF6F8ED4}" name="Cows 1-2 years">
      <calculatedColumnFormula>J22</calculatedColumnFormula>
    </tableColumn>
    <tableColumn id="8" xr3:uid="{8F043A6B-E862-4713-A0B2-99F7C3FFAE60}" name="Cows 2-3 years">
      <calculatedColumnFormula>K22</calculatedColumnFormula>
    </tableColumn>
    <tableColumn id="9" xr3:uid="{608A5D25-A8E3-4A8A-8DAB-005C95EC7D25}" name="Cows &gt; 3 years">
      <calculatedColumnFormula>L22</calculatedColumnFormula>
    </tableColumn>
    <tableColumn id="10" xr3:uid="{D6B540A4-4576-4DBF-918C-8AFE54B625EA}" name="Steers &lt; 1 year">
      <calculatedColumnFormula>M22</calculatedColumnFormula>
    </tableColumn>
    <tableColumn id="11" xr3:uid="{41B924F1-D172-453F-9877-8E840510162F}" name="Steers 1-2 years">
      <calculatedColumnFormula>N22</calculatedColumnFormula>
    </tableColumn>
    <tableColumn id="12" xr3:uid="{CB7409B0-C833-4137-9C9D-DFBC2707EC93}" name="Steers 2-3 years">
      <calculatedColumnFormula>#REF!</calculatedColumnFormula>
    </tableColumn>
    <tableColumn id="13" xr3:uid="{9339E621-062B-4EA7-86C2-81C808DFAA28}" name="Steers &gt;3 years">
      <calculatedColumnFormula>P22</calculatedColumnFormula>
    </tableColumn>
  </tableColumns>
  <tableStyleInfo name="Equation table"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44F00271-C648-40B5-B9B7-98CC65FB2BA7}"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81F29028-1320-4474-8CF0-158464978140}" name="Region"/>
  </tableColumns>
  <tableStyleInfo name="Equation table"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885879B0-342B-474B-94E4-195C85164FDC}"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D40F9513-69F7-4E78-B255-CA420C5BC6C4}" name="Region"/>
  </tableColumns>
  <tableStyleInfo name="Equation table"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CC578583-E8F6-4658-8557-9948DD1BC937}"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2A11F315-C71C-4D40-BA33-1D77D2119486}" name="Region"/>
  </tableColumns>
  <tableStyleInfo name="Equation table"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1EACE79E-3020-4CC8-98EA-BC564DF01A5F}" name="Table_SourceData_PastureBeef_Region_Victoria" displayName="Table_SourceData_PastureBeef_Region_Victoria" ref="S7:S8" totalsRowShown="0">
  <autoFilter ref="S7:S8" xr:uid="{7D474D93-C1E0-4898-A434-69585070D0B9}">
    <filterColumn colId="0" hiddenButton="1"/>
  </autoFilter>
  <tableColumns count="1">
    <tableColumn id="1" xr3:uid="{F43D2B67-D0E2-40E0-B716-1E5966803F82}" name="Region"/>
  </tableColumns>
  <tableStyleInfo name="Equation table"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15D2E20B-F1D0-46A5-B4A3-026E200F25CA}"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50BDEC8B-C11D-4059-AE57-C5AFAF3278BA}" name="Region"/>
  </tableColumns>
  <tableStyleInfo name="Equation table"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C00CA43A-13E3-492D-A89E-D58E39F75298}"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8B3B5E1C-10FE-4E46-9AF1-01338688E1C2}" name="Region"/>
  </tableColumns>
  <tableStyleInfo name="Equation table"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E5923B0B-3E55-4DA4-A117-96ADD0F44622}" name="Table_SourceData_PastureBeef_Region_Tasmania" displayName="Table_SourceData_PastureBeef_Region_Tasmania" ref="S22:S23" totalsRowShown="0">
  <autoFilter ref="S22:S23" xr:uid="{4E5A7E40-F6AE-4323-873A-9AB20571A18A}">
    <filterColumn colId="0" hiddenButton="1"/>
  </autoFilter>
  <tableColumns count="1">
    <tableColumn id="1" xr3:uid="{A0B14B02-007B-49F0-8A50-D50A9F0DB05D}" name="Region"/>
  </tableColumns>
  <tableStyleInfo name="Equation table"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A339A4D6-9107-4BE9-88EA-572E7581BDA6}" name="Table_SourceData_PastureBeef_Region_ACT" displayName="Table_SourceData_PastureBeef_Region_ACT" ref="S27:S28" totalsRowShown="0">
  <autoFilter ref="S27:S28" xr:uid="{3655B7FD-A2CC-4B05-9668-16F7A54ED6C1}">
    <filterColumn colId="0" hiddenButton="1"/>
  </autoFilter>
  <tableColumns count="1">
    <tableColumn id="1" xr3:uid="{A565EFDF-4C86-4EB8-A03A-ED0E675E9B4A}" name="Region"/>
  </tableColumns>
  <tableStyleInfo name="Equation table"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0A514496-AB0E-46C3-930C-AA8AAD5161D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C146671-7151-4147-9947-6B31D2556B56}" name="State">
      <calculatedColumnFormula array="1">Common_InputFunctions.Utility_DisplayArrayInTable(SourceData_PastureBeef.SourceData_PastureBeef_LiveweightGain_Data(), Table_SourceData_PastureBeef_LiveweightGain[[#Headers],[State]],0)</calculatedColumnFormula>
    </tableColumn>
    <tableColumn id="2" xr3:uid="{56023DEE-383C-4C1B-8A44-7CACA6BA2485}" name="Region" dataDxfId="244"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5CEE0B93-AF7E-44D2-8BC0-38B543420AE7}" name="Season" dataDxfId="243"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787923F6-277D-45DA-97AB-E7F082F2430B}" name="Bull &lt;1" dataDxfId="242"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BA46837F-72C0-4AE1-9CA3-2803066F50BE}" name="Bull &gt;1" dataDxfId="241"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F67B146D-FE34-4916-9245-968BA430BA2A}" name="Cow &lt;1" dataDxfId="240"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8E0582A9-9AE8-40E7-8EB7-1A8763FE992D}" name="Cow 1-2" dataDxfId="239"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37F30A6C-8D15-4EC6-B126-8AAC00B1D3DE}" name="Cow &gt;2" dataDxfId="238"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FAC59FAF-F50B-4764-A4B9-CEE7844401C6}" name="Steer &lt;1" dataDxfId="237"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26809FEB-7772-413E-9A30-8DA05A0FA45B}" name="Steer &gt;1" dataDxfId="236"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23E2AAAE-0A27-48E9-A9E9-CE9A8C20928A}"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15011C2-B6ED-41DC-9193-4248D234A84C}" name="State">
      <calculatedColumnFormula array="1">Common_InputFunctions.Utility_DisplayArrayInTable(SourceData_PastureBeef.SourceData_PastureBeef_LiveweightGainNTQLD_Data(),Table_SourceData_PastureBeef_LiveweightGainNTQLD[[#Headers],[State]],0)</calculatedColumnFormula>
    </tableColumn>
    <tableColumn id="2" xr3:uid="{1572BFD7-9733-4844-8A73-E5563DBDDF42}" name="Region" dataDxfId="23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77EFD8F6-31C7-4421-8791-40BAED8A19D6}" name="Season" dataDxfId="23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2D5A789F-1204-4FE6-9417-53EF67FD241E}" name="Bull &lt;1" dataDxfId="23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618C4DE6-CE52-40FA-9D5A-8C8ED49EB535}" name="Bull &gt;1" dataDxfId="23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5F3C9563-A483-4B31-9A44-7D615CB09BC3}" name="Cow &lt;1" dataDxfId="23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7C017C18-C0D0-46C8-87DE-35866461E8B0}" name="Cow 1-2" dataDxfId="23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4B61FC-D763-45BC-80F4-65029B1CE355}" name="Cow 2-3" dataDxfId="22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811A8EF6-5900-4ACC-83EA-44C6FF47BF34}" name="Cow &gt;3" dataDxfId="22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E6F631DC-4633-4C09-B089-D7C1FF6C3A28}" name="Steer &lt;1" dataDxfId="22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157DDB5B-A0AB-43E8-BFB3-D22E162E236D}" name="Steer 1-2" dataDxfId="22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323FFCAE-C873-4354-A943-E79B75F539CD}" name="Steer 2-3" dataDxfId="22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FB210A10-6923-4FC8-91ED-954353433220}" name="Steer &gt;3" dataDxfId="22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978B9968-BCAF-4A19-9C7B-D39AAC272407}"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BAF33353-46E1-4637-BC25-8EACBDBC0CED}" name="State"/>
    <tableColumn id="2" xr3:uid="{3A779565-023E-462F-B29F-9E93A0E30AED}" name="Region">
      <calculatedColumnFormula>E159</calculatedColumnFormula>
    </tableColumn>
    <tableColumn id="3" xr3:uid="{9692B987-E5D8-4410-BA85-DAFEF9E200AB}" name="Season">
      <calculatedColumnFormula>F159</calculatedColumnFormula>
    </tableColumn>
    <tableColumn id="4" xr3:uid="{397A7FDE-AE68-472D-BEDD-01574766AA72}" name="Bulls &lt; 1 year">
      <calculatedColumnFormula>G159</calculatedColumnFormula>
    </tableColumn>
    <tableColumn id="5" xr3:uid="{F72B75EE-A140-467F-8EB4-635842165578}" name="Bulls &gt; 1 year">
      <calculatedColumnFormula>H159</calculatedColumnFormula>
    </tableColumn>
    <tableColumn id="6" xr3:uid="{B600DB83-C519-4BB8-85C3-1F635DA42204}" name="Cows &lt; 1 year">
      <calculatedColumnFormula>I159</calculatedColumnFormula>
    </tableColumn>
    <tableColumn id="7" xr3:uid="{510F6108-77A5-44B3-8D75-CE7B029B0CDA}" name="Cows 1-2 years">
      <calculatedColumnFormula>J159</calculatedColumnFormula>
    </tableColumn>
    <tableColumn id="8" xr3:uid="{0AD4F4B2-F467-4B97-93DA-FA6A4CF6EB8E}" name="Cows 2-3 years">
      <calculatedColumnFormula>K159</calculatedColumnFormula>
    </tableColumn>
    <tableColumn id="9" xr3:uid="{1963A824-81CC-412B-8A44-C678BF458157}" name="Cows &gt; 3 years">
      <calculatedColumnFormula>L159</calculatedColumnFormula>
    </tableColumn>
    <tableColumn id="10" xr3:uid="{915DF40C-EADB-4964-BD49-04618EA70B79}" name="Steers &lt; 1 year">
      <calculatedColumnFormula>M159</calculatedColumnFormula>
    </tableColumn>
    <tableColumn id="11" xr3:uid="{D6FF5CFC-2173-4FC3-8F70-72159D4D7CA0}" name="Steers 1-2 years">
      <calculatedColumnFormula>N159</calculatedColumnFormula>
    </tableColumn>
    <tableColumn id="12" xr3:uid="{18E7049B-C5EA-4E33-B406-E10202B69C49}" name="Steers 2-3 years">
      <calculatedColumnFormula>O159</calculatedColumnFormula>
    </tableColumn>
    <tableColumn id="13" xr3:uid="{427864BC-CF57-4A7C-9301-5D4F204D5CED}" name="Steers &gt;3 years">
      <calculatedColumnFormula>P159</calculatedColumnFormula>
    </tableColumn>
  </tableColumns>
  <tableStyleInfo name="Equation table"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1" xr:uid="{F94EA1EC-A36A-4CFE-9EAD-48F6E55B5925}"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F9A0F4A0-0FB3-4AC9-9C32-F48033F518DD}"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2417F20F-9216-4848-A952-C2AAD2BB9890}" name="Region" dataDxfId="22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BED2CB00-1A4E-4315-A4AE-66773645CBAA}" name="Spring" dataDxfId="22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247FF7BB-F220-47EE-BD02-EBE20A9D6158}" name="Summer" dataDxfId="22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80F6F6E5-FE31-44ED-B949-2482DDEAB1BE}" name="Autumn" dataDxfId="22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90EA3BD-AA2E-4C4C-AE7E-C169247C0B61}" name="Winter" dataDxfId="21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2" xr:uid="{35042CC3-A28A-430F-8B1B-512DF090B260}" name="Table_SourceData_PastureBeef_CrudeProtein" displayName="Table_SourceData_PastureBeef_CrudeProtein" ref="D313:I328" totalsRowShown="0" dataDxfId="218"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736EE4E2-845F-4FEC-9A0C-ADC853C042D1}" name="State" dataDxfId="21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809060B1-05BC-45D3-98C7-3D9660663F7A}" name="Region" dataDxfId="21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1C972F9D-09ED-4636-B5E7-11A5BCF5305D}" name="Spring" dataDxfId="21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45958B65-79B2-4BD8-9700-511350665C5D}" name="Summer" dataDxfId="21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1B2AB9C1-522C-476B-BB45-58B3CE405EA3}" name="Autumn" dataDxfId="21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656412EB-00BF-4CA6-9C32-5A046160ED75}" name="Winter" dataDxfId="21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3" xr:uid="{1C8CCC08-3B6C-4CA5-B0FD-F72113C0DBF5}"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8AF7705A-0B05-4B8B-87C6-D2FBDA6A9893}"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0E5A1340-609D-4A56-875D-12E309FAFC7A}" name="Season" dataDxfId="21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F2555534-4FB1-4D67-A7A7-ADC944475BDB}" name="Feed adjustment" dataDxfId="21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CBF6FC6B-3801-4A38-88ED-DE3AEE9B13F6}" name="Milk intake/production" dataDxfId="20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4" xr:uid="{ACF376F9-75DD-41F8-BFD3-C8D7A41ABE89}"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A3A4DC4-CD57-4486-9E1E-003BD3F131BC}"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C7D878C-3144-461D-9559-4F722A22EAC5}" name="Bulls &lt;1" dataDxfId="20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26125DB1-9AAD-4573-B0A7-D09E6313747D}" name="Bulls &gt;1" dataDxfId="20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F66CF3B3-4B87-4E88-8469-38FE5CC9C188}" name="Cows &lt;1" dataDxfId="20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BCEDECA9-3CAA-4BC5-8F76-6B96399BC140}" name="Cows 1-2" dataDxfId="20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25C2331-B9E1-41C0-9611-1D7D1D127904}" name="Cows &gt;2" dataDxfId="20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9EEEBCED-9316-48B3-909D-B76474A8F396}" name="Steer &lt;1" dataDxfId="20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81800002-1BB7-45C7-B8F7-891440FD982F}" name="Steer &gt;1" dataDxfId="20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0B06FE75-EBCE-4CB0-AC8C-DF75381E0FF3}" name="State abbreviation" dataDxfId="20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5" xr:uid="{0CA48566-F409-4F7C-AA70-88FE32384AB4}"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9CE42A65-F975-42AE-9C09-0C032FEC1A54}" name="State" dataDxfId="200" dataCellStyle="Content normal">
      <calculatedColumnFormula>D351</calculatedColumnFormula>
    </tableColumn>
    <tableColumn id="2" xr3:uid="{E89D7C7D-7543-4947-9D4E-78532E03F95C}" name="Bulls &lt; 1 year" dataDxfId="199" dataCellStyle="Content normal">
      <calculatedColumnFormula>E351</calculatedColumnFormula>
    </tableColumn>
    <tableColumn id="3" xr3:uid="{EA042284-DED8-4BCC-8C64-F6A3EA3A72BC}" name="Bulls &gt; 1 year" dataDxfId="198" dataCellStyle="Content normal">
      <calculatedColumnFormula>F351</calculatedColumnFormula>
    </tableColumn>
    <tableColumn id="4" xr3:uid="{DEEF68DB-E6A3-441C-B2F6-F21EA9C21B80}" name="Cows &lt; 1 year" dataDxfId="197" dataCellStyle="Content normal">
      <calculatedColumnFormula>G351</calculatedColumnFormula>
    </tableColumn>
    <tableColumn id="5" xr3:uid="{B2378F01-F7E7-4B1D-AAA1-3222B7103645}" name="Cows 1-2 years" dataDxfId="196" dataCellStyle="Content normal">
      <calculatedColumnFormula>H351</calculatedColumnFormula>
    </tableColumn>
    <tableColumn id="6" xr3:uid="{42C18EDC-CB4B-4033-AE63-7D3E52772E4D}" name="Cows 2-3 years" dataDxfId="195" dataCellStyle="Content normal">
      <calculatedColumnFormula>I351</calculatedColumnFormula>
    </tableColumn>
    <tableColumn id="7" xr3:uid="{3C471A7A-F02E-4CF5-AF3C-D76D8F0C05FF}" name="Cows &gt; 3 years" dataDxfId="194" dataCellStyle="Content normal">
      <calculatedColumnFormula>I351</calculatedColumnFormula>
    </tableColumn>
    <tableColumn id="8" xr3:uid="{02AA85FB-38BF-4DB4-8CEC-5920FDD6CCF0}" name="Steers &lt; 1 year" dataDxfId="193" dataCellStyle="Content normal">
      <calculatedColumnFormula>J351</calculatedColumnFormula>
    </tableColumn>
    <tableColumn id="9" xr3:uid="{2F245764-9CA2-4B41-92BF-64F9438B0B16}" name="Steers 1-2 years" dataDxfId="192" dataCellStyle="Content normal">
      <calculatedColumnFormula>K351</calculatedColumnFormula>
    </tableColumn>
    <tableColumn id="10" xr3:uid="{AEA8FE2B-897E-4311-9AA9-2D104D25663D}" name="Steers 2-3 years" dataDxfId="191" dataCellStyle="Content normal">
      <calculatedColumnFormula>K351</calculatedColumnFormula>
    </tableColumn>
    <tableColumn id="11" xr3:uid="{4AEB3629-E569-4AA2-B135-BC9310F921FA}" name="Steers &gt;3 years" dataDxfId="190" dataCellStyle="Content normal">
      <calculatedColumnFormula>K351</calculatedColumnFormula>
    </tableColumn>
    <tableColumn id="12" xr3:uid="{3561B4C8-E3D2-4FE9-A84C-5DA20EF6E8C2}" name="State abbreviation" dataDxfId="189" dataCellStyle="Content normal">
      <calculatedColumnFormula>L351</calculatedColumnFormula>
    </tableColumn>
  </tableColumns>
  <tableStyleInfo name="Equation table"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6" xr:uid="{DE3D9ABB-0B3B-4581-A7DA-9D160623974F}"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A1EDA295-936B-46B8-909E-80179AFDB28A}"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478CDC48-1E9B-45A0-82EC-298189239B29}" name="Region" dataDxfId="18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059B3356-A0F7-46E2-9712-300AD6D49A5A}" name="Pasture range and paddock" dataDxfId="18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E68DF343-FF55-4C1C-966B-FED14FE4A5DA}" name="Uncovered Anaerobic lagoon" dataDxfId="18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7" xr:uid="{2A76D215-A8BF-4DC7-9AB1-7A497BC8CB8D}" name="Table_SourceData_PastureBeef_MethaneConversionFactor" displayName="Table_SourceData_PastureBeef_MethaneConversionFactor" ref="D400:G415" totalsRowShown="0" dataDxfId="185" dataCellStyle="Content normal">
  <autoFilter ref="D400:G415" xr:uid="{4418AC31-F58F-4AB7-B02E-51D846B94E9A}">
    <filterColumn colId="0" hiddenButton="1"/>
    <filterColumn colId="1" hiddenButton="1"/>
    <filterColumn colId="2" hiddenButton="1"/>
    <filterColumn colId="3" hiddenButton="1"/>
  </autoFilter>
  <tableColumns count="4">
    <tableColumn id="1" xr3:uid="{A89E9B94-397A-4CC0-8E5F-AB5DE4A80E9A}" name="State" dataDxfId="18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1CDF551F-E8AD-4F96-AE0C-E6CB8B0EFDA6}" name="Region" dataDxfId="18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6DF848F8-2B68-4A13-8B65-AFEF9FCB1706}" name="Pasture range and paddock" dataDxfId="18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611518F5-DD3B-4BEA-994D-224EC347D4DF}" name="Uncovered Anaerobic lagoon" dataDxfId="18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8" xr:uid="{93B44934-CE91-4A15-AA17-2A4DCDE5371E}"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84BBA0D7-F5B6-4669-8A89-F7AD6CC7C82C}"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C9F69068-4972-453E-9D92-471077F2AD46}" name="Season" dataDxfId="18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46AC0A61-6483-4AF0-B1BF-383218E97C21}" name="Feed adjustment" dataDxfId="17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4D65C032-5359-4C3B-BA4B-07AF2E8C7B7E}" name="Milk intake/production" dataDxfId="17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A8A91643-AD20-4476-A98B-B5399184BEE3}" name="Table_LivestockClasses_Beefcattle" displayName="Table_LivestockClasses_Beefcattle" ref="O18:O28" totalsRowShown="0">
  <autoFilter ref="O18:O28" xr:uid="{13BB371D-1A6A-420B-8F76-A006E7FBF483}">
    <filterColumn colId="0" hiddenButton="1"/>
  </autoFilter>
  <tableColumns count="1">
    <tableColumn id="1" xr3:uid="{5D60E1E6-9856-46B5-AB88-A43E36B64209}" name="Livestock class"/>
  </tableColumns>
  <tableStyleInfo name="Equation table"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2" xr:uid="{4119E9DE-FC5A-4325-8CAE-E0D1CC403F7E}" name="Table_ProductRegions_Beefcattle153" displayName="Table_ProductRegions_Beefcattle153" ref="O32:P48" totalsRowShown="0">
  <autoFilter ref="O32:P48" xr:uid="{7E277F33-A0AF-471E-A609-92C95103FA9F}">
    <filterColumn colId="0" hiddenButton="1"/>
    <filterColumn colId="1" hiddenButton="1"/>
  </autoFilter>
  <tableColumns count="2">
    <tableColumn id="1" xr3:uid="{F4422472-6DBD-4408-8C71-037EE38B9661}" name="Region"/>
    <tableColumn id="2" xr3:uid="{7ABEDC58-DF3D-40E0-9C76-EB63019BF36C}" name="Scope3 region"/>
  </tableColumns>
  <tableStyleInfo name="Equation table"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3" xr:uid="{C7D9269D-D88E-4421-8A86-03081FA501D3}" name="Table_SourceData_Scope3_Animals154" displayName="Table_SourceData_Scope3_Animals154" ref="D442:I483" totalsRowShown="0">
  <autoFilter ref="D442:I483" xr:uid="{D9DE3C9D-252C-4C13-8DB7-2ED55FA88044}">
    <filterColumn colId="0" hiddenButton="1"/>
    <filterColumn colId="1" hiddenButton="1"/>
    <filterColumn colId="2" hiddenButton="1"/>
    <filterColumn colId="3" hiddenButton="1"/>
    <filterColumn colId="4" hiddenButton="1"/>
    <filterColumn colId="5" hiddenButton="1"/>
  </autoFilter>
  <tableColumns count="6">
    <tableColumn id="1" xr3:uid="{D3496E59-675C-4EA2-B0A6-64C81D48F71C}" name="Category" dataDxfId="177" dataCellStyle="Content normal">
      <calculatedColumnFormula array="1">Common_InputFunctions.Utility_DisplayArrayInTable(Scope3_SourceData.Scope3_Livestock_Data(), Table_SourceData_Scope3_Animals154[[#Headers],[Category]], 0, 2)</calculatedColumnFormula>
    </tableColumn>
    <tableColumn id="2" xr3:uid="{3792F2D0-554A-4593-875F-18DBB91BC1FE}" name="Product" dataDxfId="176" dataCellStyle="Content normal">
      <calculatedColumnFormula array="1">Common_InputFunctions.Utility_DisplayArrayInTable(Scope3_SourceData.Scope3_Livestock_Data(), Table_SourceData_Scope3_Animals154[[#Headers],[Category]], 0, 2)</calculatedColumnFormula>
    </tableColumn>
    <tableColumn id="3" xr3:uid="{77FCDE14-7C25-40B6-90F4-143A2FF1B229}" name="Region of origin" dataDxfId="175" dataCellStyle="Content normal">
      <calculatedColumnFormula array="1">Common_InputFunctions.Utility_DisplayArrayInTable(Scope3_SourceData.Scope3_Livestock_Data(), Table_SourceData_Scope3_Animals154[[#Headers],[Category]], 0, 2)</calculatedColumnFormula>
    </tableColumn>
    <tableColumn id="8" xr3:uid="{F2900B47-8D1D-48E9-93AD-93999B084DE2}" name="Quantity Unit" dataDxfId="174" dataCellStyle="Content normal">
      <calculatedColumnFormula array="1">Common_InputFunctions.Utility_DisplayArrayInTable(Scope3_SourceData.Scope3_Livestock_Data(), Table_SourceData_Scope3_Animals154[[#Headers],[Category]], 0, 2)</calculatedColumnFormula>
    </tableColumn>
    <tableColumn id="9" xr3:uid="{1F332EA5-8A10-46D9-A9FB-A7E58EAB455E}" name="AusLCI Emissions intensity" dataDxfId="173" dataCellStyle="Content normal">
      <calculatedColumnFormula array="1">Common_InputFunctions.Utility_DisplayArrayInTable(Scope3_SourceData.Scope3_Livestock_Data(), Table_SourceData_Scope3_Animals154[[#Headers],[Category]], 0, 2)</calculatedColumnFormula>
    </tableColumn>
    <tableColumn id="10" xr3:uid="{9F2BA56B-9BB8-439A-B38F-90E21868292E}" name="System boundary" dataDxfId="172" dataCellStyle="Content normal">
      <calculatedColumnFormula array="1">Common_InputFunctions.Utility_DisplayArrayInTable(Scope3_SourceData.Scope3_Livestock_Data(), Table_SourceData_Scope3_Animals154[[#Headers],[Category]], 0, 2)</calculatedColumnFormula>
    </tableColumn>
  </tableColumns>
  <tableStyleInfo name="Equation table"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5" xr:uid="{14536F0E-1F94-4D29-8AD5-52E19B968819}"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B14B00CA-C270-46A5-882A-E5121A4DEE5D}" name="Symbol">
      <calculatedColumnFormula array="1">Common_InputFunctions.Utility_DisplayArrayInTable(CommonLivestock_SourceData.SourceData_Livestock_Common_SymbolsMMS_Data(), Table_Data_MMSSymbols[[#Headers],[Symbol]], 0)</calculatedColumnFormula>
    </tableColumn>
    <tableColumn id="2" xr3:uid="{087E212C-95C1-4A2A-9D99-3014F9F8E59C}" name="Manure management system">
      <calculatedColumnFormula array="1">Common_InputFunctions.Utility_DisplayArrayInTable(CommonLivestock_SourceData.SourceData_Livestock_Common_SymbolsMMS_Data(), Table_Data_MMSSymbols[[#Headers],[Symbol]], 0)</calculatedColumnFormula>
    </tableColumn>
    <tableColumn id="3" xr3:uid="{4CFDF9A2-4629-498D-A789-DD51DB887413}"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6" xr:uid="{EBCF18F1-CCE2-4338-A300-DB0BC6FE2A94}" name="Table_SourceData_LivestockProduct_Beefcattle" displayName="Table_SourceData_LivestockProduct_Beefcattle" ref="D31:E39" totalsRowShown="0">
  <autoFilter ref="D31:E39" xr:uid="{953E8E36-CE90-4001-9CFA-9307A0C836A9}"/>
  <tableColumns count="2">
    <tableColumn id="1" xr3:uid="{A9013461-7A3A-4BB8-871D-FC0070D2D3D0}" name="Product">
      <calculatedColumnFormula array="1">Common_InputFunctions.Utility_DisplayArrayInTable(CommonLivestock_SourceData.SourceData_Livestock_Product_BeefCattle_Data(),Table_SourceData_LivestockProduct_Beefcattle[[#Headers],[Product]],0)</calculatedColumnFormula>
    </tableColumn>
    <tableColumn id="2" xr3:uid="{D8C8D461-B50A-4BBF-8802-19BBAEC8586B}" name="Source region" dataDxfId="588"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7" xr:uid="{BD3A2D3E-E226-4441-B4E6-7008A5081978}" name="Table_SourceData_LivestockProduct_Sheep" displayName="Table_SourceData_LivestockProduct_Sheep" ref="D43:E50" totalsRowShown="0" dataDxfId="587" dataCellStyle="Content normal">
  <autoFilter ref="D43:E50" xr:uid="{995536B5-6CA5-4D7D-A704-9B6B595C2491}"/>
  <tableColumns count="2">
    <tableColumn id="1" xr3:uid="{8C10888A-6AD2-4797-90CE-BA42137BA259}" name="Product" dataDxfId="586"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85C569EA-9B5E-49E2-90CD-E10B6B27AA28}" name="Source region" dataDxfId="585"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8" xr:uid="{A65B9DD9-0CCE-4A9C-BD8B-806EBD6D1B39}" name="Table_SourceData_LivestockProduct_Chickens" displayName="Table_SourceData_LivestockProduct_Chickens" ref="D54:E55" totalsRowShown="0" dataDxfId="584" dataCellStyle="Content normal">
  <autoFilter ref="D54:E55" xr:uid="{257D8456-031C-4EEF-A8C4-474F215C3208}"/>
  <tableColumns count="2">
    <tableColumn id="1" xr3:uid="{C9BD9879-938B-4299-B860-EEC59F04616F}" name="Product" dataDxfId="583" dataCellStyle="Content normal">
      <calculatedColumnFormula array="1">Common_InputFunctions.Utility_DisplayArrayInTable(CommonLivestock_SourceData.SourceData_Livestock_Product_Chickens_Data(),Table_SourceData_LivestockProduct_Chickens[[#Headers],[Product]],0)</calculatedColumnFormula>
    </tableColumn>
    <tableColumn id="2" xr3:uid="{9CE88D7C-1B21-4842-A035-A3DD4FCD3D1D}" name="Source region" dataDxfId="582" dataCellStyle="Content normal">
      <calculatedColumnFormula array="1">Common_InputFunctions.Utility_DisplayArrayInTable(CommonLivestock_SourceData.SourceData_Livestock_Product_Chickens_Data(),Table_SourceData_LivestockProduct_Chickens[[#Headers],[Product]],0)</calculatedColumnFormula>
    </tableColumn>
  </tableColumns>
  <tableStyleInfo name="Equation table" showFirstColumn="0" showLastColumn="0"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9" xr:uid="{8C40F421-631C-4D35-90EE-B9EA10FC8572}" name="Table_SourceData_LivestockProduct_Dairycattle" displayName="Table_SourceData_LivestockProduct_Dairycattle" ref="D59:E60" totalsRowShown="0" dataDxfId="581" dataCellStyle="Content normal">
  <autoFilter ref="D59:E60" xr:uid="{71833C62-BA2B-4519-92E0-B189E393D12F}"/>
  <tableColumns count="2">
    <tableColumn id="1" xr3:uid="{4761750C-B12C-4488-8CA0-7A86EE5D8E7C}" name="Product" dataDxfId="580"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296BBD66-754F-47B9-9899-491CF54C6DA0}" name="Source region" dataDxfId="579"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0" xr:uid="{1F76D625-640B-4F91-B409-4B631614EE0B}" name="Table_SourceData_LivestockProduct_Pigs" displayName="Table_SourceData_LivestockProduct_Pigs" ref="D64:E65" totalsRowShown="0" dataDxfId="578" dataCellStyle="Content normal">
  <autoFilter ref="D64:E65" xr:uid="{65FF5EF6-2A75-4137-9345-8328E2DA8F9C}"/>
  <tableColumns count="2">
    <tableColumn id="1" xr3:uid="{88A75088-6DB0-45D4-9FA4-3F6ECB3956E2}" name="Product" dataDxfId="577"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5D350A86-F622-4249-BC8E-11B45736F380}" name="Source region" dataDxfId="576"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4E448CC-A6B9-44CE-8E91-600B1C4A6D9D}"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847ECCEA-37E9-4096-A3E4-8183CD9A9441}"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9057C136-4C78-4C06-9ABB-798A21303839}" name="FNinorganic f">
      <calculatedColumnFormula array="1">Common_InputFunctions.Utility_DisplayArrayInTable(Fertiliser_SourceData.Fertiliser_ChemicalCompoundElements_Data(),Table_Fertiliser_ChemicalCompounds[[#Headers],[Fertiliser type f]], 0)</calculatedColumnFormula>
    </tableColumn>
    <tableColumn id="3" xr3:uid="{9D38B3A2-0FAD-48A1-80D0-34EF0C1DDEB4}" name="FU f">
      <calculatedColumnFormula array="1">Common_InputFunctions.Utility_DisplayArrayInTable(Fertiliser_SourceData.Fertiliser_ChemicalCompoundElements_Data(),Table_Fertiliser_ChemicalCompounds[[#Headers],[Fertiliser type f]], 0)</calculatedColumnFormula>
    </tableColumn>
    <tableColumn id="4" xr3:uid="{EC03AD34-F1E3-4266-92CD-06F0977097DE}" name="Basis">
      <calculatedColumnFormula array="1">Common_InputFunctions.Utility_DisplayArrayInTable(Fertiliser_SourceData.Fertiliser_ChemicalCompoundElements_Data(),Table_Fertiliser_ChemicalCompounds[[#Headers],[Fertiliser type f]], 0)</calculatedColumnFormula>
    </tableColumn>
    <tableColumn id="5" xr3:uid="{F5875325-E31A-494D-A82A-F7F6DB7D9570}"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82A41A0F-3F57-49B7-903B-E77C3C11081B}"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7F9C74F1-997F-437A-A912-5CF775A6A12C}"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609ED99F-4146-470A-BE59-BB57C0DF90E7}" name="Include or Exclude" dataDxfId="171" totalsRowDxfId="170">
      <calculatedColumnFormula array="1">Common_InputFunctions.Utility_DisplayArrayInTable(Fertiliser_SourceData.Fertiliser_Products_Data1(),FertiliserProducts[[#Headers],[Include or Exclude]], -1)</calculatedColumnFormula>
    </tableColumn>
    <tableColumn id="2" xr3:uid="{FB565EC4-A68C-41AD-9FE0-0B325209C7E0}" name="Notes" dataDxfId="169" totalsRowDxfId="168">
      <calculatedColumnFormula array="1">Common_InputFunctions.Utility_DisplayArrayInTable(Fertiliser_SourceData.Fertiliser_Products_Data1(),FertiliserProducts[[#Headers],[Include or Exclude]], 0)</calculatedColumnFormula>
    </tableColumn>
    <tableColumn id="3" xr3:uid="{DB586351-B6A7-4265-8D2B-C0347F8B461F}" name="Company" dataDxfId="167" totalsRowDxfId="166">
      <calculatedColumnFormula array="1">Common_InputFunctions.Utility_DisplayArrayInTable(Fertiliser_SourceData.Fertiliser_Products_Data1(),FertiliserProducts[[#Headers],[Include or Exclude]], 0)</calculatedColumnFormula>
    </tableColumn>
    <tableColumn id="4" xr3:uid="{8A96CA77-1D2F-423E-AA73-5CFAD899A174}" name="Product name" dataDxfId="165" totalsRowDxfId="164">
      <calculatedColumnFormula array="1">Common_InputFunctions.Utility_DisplayArrayInTable(Fertiliser_SourceData.Fertiliser_Products_Data1(),FertiliserProducts[[#Headers],[Include or Exclude]], 0)</calculatedColumnFormula>
    </tableColumn>
    <tableColumn id="5" xr3:uid="{4C5F9A06-89C9-4D9F-8B7F-6396DD576FCA}" name="Unit" dataDxfId="163" totalsRowDxfId="162">
      <calculatedColumnFormula array="1">Common_InputFunctions.Utility_DisplayArrayInTable(Fertiliser_SourceData.Fertiliser_Products_Data1(),FertiliserProducts[[#Headers],[Include or Exclude]], 0,4)</calculatedColumnFormula>
    </tableColumn>
    <tableColumn id="6" xr3:uid="{B2E13AA7-FDB4-40E1-8BD7-340B8998E3DA}" name="Density / gravity" dataDxfId="161" totalsRowDxfId="160">
      <calculatedColumnFormula array="1">Common_InputFunctions.Utility_DisplayArrayInTable(Fertiliser_SourceData.Fertiliser_Products_Data1(),FertiliserProducts[[#Headers],[Include or Exclude]], 0,4)</calculatedColumnFormula>
    </tableColumn>
    <tableColumn id="7" xr3:uid="{2C089971-3DB3-482F-8C71-E70969CF1DD5}" name="Urea source" dataDxfId="159" totalsRowDxfId="158">
      <calculatedColumnFormula array="1">Common_InputFunctions.Utility_DisplayArrayInTable(Fertiliser_SourceData.Fertiliser_Products_Data1(),FertiliserProducts[[#Headers],[Include or Exclude]], 0,4)</calculatedColumnFormula>
    </tableColumn>
    <tableColumn id="8" xr3:uid="{E65274ED-EF42-48B5-9483-CC5E727A2B6B}" name="Ammonia source" dataDxfId="157" totalsRowDxfId="156">
      <calculatedColumnFormula array="1">Common_InputFunctions.Utility_DisplayArrayInTable(Fertiliser_SourceData.Fertiliser_Products_Data1(),FertiliserProducts[[#Headers],[Include or Exclude]], 0,4)</calculatedColumnFormula>
    </tableColumn>
    <tableColumn id="9" xr3:uid="{C336820A-ABC4-40C3-B347-0DE3FD117C84}" name="Ingredient 1" dataDxfId="155" totalsRowDxfId="154">
      <calculatedColumnFormula array="1">Common_InputFunctions.Utility_DisplayArrayInTable(Fertiliser_SourceData.Fertiliser_Products_Data1(),FertiliserProducts[[#Headers],[Include or Exclude]], 0,4)</calculatedColumnFormula>
    </tableColumn>
    <tableColumn id="10" xr3:uid="{6C5E867F-81E7-4BB2-978C-D8361D49FFEE}" name="Ingredient 1 percent" dataDxfId="153" totalsRowDxfId="152">
      <calculatedColumnFormula array="1">Common_InputFunctions.Utility_DisplayArrayInTable(Fertiliser_SourceData.Fertiliser_Products_Data1(),FertiliserProducts[[#Headers],[Include or Exclude]], 0,4)</calculatedColumnFormula>
    </tableColumn>
    <tableColumn id="11" xr3:uid="{E4D3070F-5223-41BD-90DA-8BF13711B02C}" name="Ingredient 2" dataDxfId="151" totalsRowDxfId="150">
      <calculatedColumnFormula array="1">Common_InputFunctions.Utility_DisplayArrayInTable(Fertiliser_SourceData.Fertiliser_Products_Data1(),FertiliserProducts[[#Headers],[Include or Exclude]], 0,4)</calculatedColumnFormula>
    </tableColumn>
    <tableColumn id="12" xr3:uid="{F8E99635-D449-4D98-9528-1E2D69A827F7}" name="Ingredient 2 percent" dataDxfId="149" totalsRowDxfId="148">
      <calculatedColumnFormula array="1">Common_InputFunctions.Utility_DisplayArrayInTable(Fertiliser_SourceData.Fertiliser_Products_Data1(),FertiliserProducts[[#Headers],[Include or Exclude]], 0,4)</calculatedColumnFormula>
    </tableColumn>
    <tableColumn id="13" xr3:uid="{824B66A4-44BF-4A09-84A1-5E92E451E162}" name="Ingredient 3" dataDxfId="147" totalsRowDxfId="146">
      <calculatedColumnFormula array="1">Common_InputFunctions.Utility_DisplayArrayInTable(Fertiliser_SourceData.Fertiliser_Products_Data1(),FertiliserProducts[[#Headers],[Include or Exclude]], 0,4)</calculatedColumnFormula>
    </tableColumn>
    <tableColumn id="14" xr3:uid="{316A0A41-1F2E-4A90-BFE8-A4CF52DDEE91}" name="Ingredient 3 percent" dataDxfId="145" totalsRowDxfId="144">
      <calculatedColumnFormula array="1">Common_InputFunctions.Utility_DisplayArrayInTable(Fertiliser_SourceData.Fertiliser_Products_Data1(),FertiliserProducts[[#Headers],[Include or Exclude]], 0,4)</calculatedColumnFormula>
    </tableColumn>
    <tableColumn id="15" xr3:uid="{24880B72-1F73-4A69-A5FE-FA6FFDB29EC2}" name="Ingredient 4" dataDxfId="143" totalsRowDxfId="142">
      <calculatedColumnFormula array="1">Common_InputFunctions.Utility_DisplayArrayInTable(Fertiliser_SourceData.Fertiliser_Products_Data1(),FertiliserProducts[[#Headers],[Include or Exclude]], 0,4)</calculatedColumnFormula>
    </tableColumn>
    <tableColumn id="16" xr3:uid="{7EA80D50-F014-446C-AD51-00D40E475350}" name="Ingredient 4 percent" dataDxfId="141" totalsRowDxfId="140">
      <calculatedColumnFormula array="1">Common_InputFunctions.Utility_DisplayArrayInTable(Fertiliser_SourceData.Fertiliser_Products_Data1(),FertiliserProducts[[#Headers],[Include or Exclude]], 0,4)</calculatedColumnFormula>
    </tableColumn>
    <tableColumn id="17" xr3:uid="{676E8928-0CB1-47DB-8487-2CF7A61FFEF1}" name="Ingredient 5" dataDxfId="139" totalsRowDxfId="138">
      <calculatedColumnFormula array="1">Common_InputFunctions.Utility_DisplayArrayInTable(Fertiliser_SourceData.Fertiliser_Products_Data1(),FertiliserProducts[[#Headers],[Include or Exclude]], 0,4)</calculatedColumnFormula>
    </tableColumn>
    <tableColumn id="18" xr3:uid="{817DD0E4-9AAD-405D-99F8-20DF449094DC}" name="Ingredient 5 percent" dataDxfId="137" totalsRowDxfId="136">
      <calculatedColumnFormula array="1">Common_InputFunctions.Utility_DisplayArrayInTable(Fertiliser_SourceData.Fertiliser_Products_Data1(),FertiliserProducts[[#Headers],[Include or Exclude]], 0,4)</calculatedColumnFormula>
    </tableColumn>
    <tableColumn id="19" xr3:uid="{790D5713-2935-477F-AC1D-16DEEB94D564}" name="Ingredient 6" dataDxfId="135" totalsRowDxfId="134">
      <calculatedColumnFormula array="1">Common_InputFunctions.Utility_DisplayArrayInTable(Fertiliser_SourceData.Fertiliser_Products_Data1(),FertiliserProducts[[#Headers],[Include or Exclude]], 0,4)</calculatedColumnFormula>
    </tableColumn>
    <tableColumn id="37" xr3:uid="{1757D094-7144-416B-9E51-5FD33CE881E4}" name="Ingredient 6 percent" dataDxfId="133" totalsRowDxfId="132">
      <calculatedColumnFormula array="1">Common_InputFunctions.Utility_DisplayArrayInTable(Fertiliser_SourceData.Fertiliser_Products_Data1(),FertiliserProducts[[#Headers],[Include or Exclude]], 0,4)</calculatedColumnFormula>
    </tableColumn>
    <tableColumn id="20" xr3:uid="{0847D751-AD2A-433B-B1F7-6511F6703924}" name="Ingredient 7" dataDxfId="131">
      <calculatedColumnFormula array="1">Common_InputFunctions.Utility_DisplayArrayInTable(Fertiliser_SourceData.Fertiliser_Products_Data1(),FertiliserProducts[[#Headers],[Include or Exclude]], 0,4)</calculatedColumnFormula>
    </tableColumn>
    <tableColumn id="24" xr3:uid="{E69C07E3-20C9-45F5-B9E0-23D5F0F412A4}" name="Ingredient 7 percent" dataDxfId="130">
      <calculatedColumnFormula array="1">Common_InputFunctions.Utility_DisplayArrayInTable(Fertiliser_SourceData.Fertiliser_Products_Data1(),FertiliserProducts[[#Headers],[Include or Exclude]], 0,4)</calculatedColumnFormula>
    </tableColumn>
    <tableColumn id="23" xr3:uid="{25249029-B401-4223-9B9F-B6CF948B6009}" name="Ingredient 8" dataDxfId="129">
      <calculatedColumnFormula array="1">Common_InputFunctions.Utility_DisplayArrayInTable(Fertiliser_SourceData.Fertiliser_Products_Data1(),FertiliserProducts[[#Headers],[Include or Exclude]], 0,4)</calculatedColumnFormula>
    </tableColumn>
    <tableColumn id="26" xr3:uid="{CF08E276-8EF2-4FED-805D-FA5A62F7149E}" name="Ingredient 8 percent" dataDxfId="128">
      <calculatedColumnFormula array="1">Common_InputFunctions.Utility_DisplayArrayInTable(Fertiliser_SourceData.Fertiliser_Products_Data1(),FertiliserProducts[[#Headers],[Include or Exclude]], 0,4)</calculatedColumnFormula>
    </tableColumn>
    <tableColumn id="25" xr3:uid="{9DE9587B-D51B-406F-BE6A-AE6A13527AFE}" name="Ingredient 9" dataDxfId="127">
      <calculatedColumnFormula array="1">Common_InputFunctions.Utility_DisplayArrayInTable(Fertiliser_SourceData.Fertiliser_Products_Data1(),FertiliserProducts[[#Headers],[Include or Exclude]], 0,4)</calculatedColumnFormula>
    </tableColumn>
    <tableColumn id="30" xr3:uid="{4A7651DC-0FEE-48C8-8639-B0C61A667074}" name="Ingredient 9 percent" dataDxfId="126">
      <calculatedColumnFormula array="1">Common_InputFunctions.Utility_DisplayArrayInTable(Fertiliser_SourceData.Fertiliser_Products_Data1(),FertiliserProducts[[#Headers],[Include or Exclude]], 0,4)</calculatedColumnFormula>
    </tableColumn>
    <tableColumn id="29" xr3:uid="{63FE15C9-FC5E-4D5B-8616-82CC4605307E}" name="Imngredient 10" dataDxfId="125">
      <calculatedColumnFormula array="1">Common_InputFunctions.Utility_DisplayArrayInTable(Fertiliser_SourceData.Fertiliser_Products_Data1(),FertiliserProducts[[#Headers],[Include or Exclude]], 0,4)</calculatedColumnFormula>
    </tableColumn>
    <tableColumn id="28" xr3:uid="{EE4DD2C3-5739-40E1-80A6-5E01605E7381}" name="Ingredient 10 percent" dataDxfId="124">
      <calculatedColumnFormula array="1">Common_InputFunctions.Utility_DisplayArrayInTable(Fertiliser_SourceData.Fertiliser_Products_Data1(),FertiliserProducts[[#Headers],[Include or Exclude]], 0,4)</calculatedColumnFormula>
    </tableColumn>
  </tableColumns>
  <tableStyleInfo name="Equation table" showFirstColumn="0" showLastColumn="0" showRowStripes="1"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DF86EF34-7C91-4447-8681-3DAF4A59D74D}"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374A24C4-6BC0-4310-A328-9A40C84F9B7D}" name="Fertiliser type f">
      <calculatedColumnFormula array="1">Common_InputFunctions.Utility_DisplayArrayInTable(Fertiliser_SourceData.Fertiliser_FracGASF_Data(), Table_SourceData_Fertiliser_FracGASF[[#Headers],[Fertiliser type f]], 0)</calculatedColumnFormula>
    </tableColumn>
    <tableColumn id="2" xr3:uid="{3CFA35DD-558E-4D48-88EA-36A0329D22FF}" name="FracGASF f" dataDxfId="123"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8AA2EA71-A44C-4EDF-BCC2-6B510BE22E67}" name="Table_SourceData_Fertiliser_CropProdSystems" displayName="Table_SourceData_Fertiliser_CropProdSystems" ref="D41:D43" totalsRowShown="0">
  <autoFilter ref="D41:D43" xr:uid="{24F3A11E-40F5-4BB9-BFF4-A71FA2ADA0EF}">
    <filterColumn colId="0" hiddenButton="1"/>
  </autoFilter>
  <tableColumns count="1">
    <tableColumn id="1" xr3:uid="{4113A7DF-44E8-406B-B24D-1C77AC61B1B6}" name="Production system">
      <calculatedColumnFormula>#REF!</calculatedColumnFormula>
    </tableColumn>
  </tableColumns>
  <tableStyleInfo name="Equation table" showFirstColumn="0" showLastColumn="0" showRowStripes="1"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401D924-B1BC-43B1-8365-B466C1928A76}"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18D78949-D28A-4271-931D-6C156E0C9F44}" name="Irrigation method"/>
  </tableColumns>
  <tableStyleInfo name="Equation table" showFirstColumn="0" showLastColumn="0" showRowStripes="1"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40A1EE4B-EC13-454E-A178-A2FA50A3DD9C}" name="Table_SourceData_Fertiliser_CropTypes" displayName="Table_SourceData_Fertiliser_CropTypes" ref="F41:F45" totalsRowShown="0">
  <autoFilter ref="F41:F45" xr:uid="{CB5044B5-FA3C-4AA2-B1AB-72F7E61D072F}">
    <filterColumn colId="0" hiddenButton="1"/>
  </autoFilter>
  <tableColumns count="1">
    <tableColumn id="1" xr3:uid="{083336A3-62EA-4FD5-A1CE-FBF9071F4E86}" name="Production system"/>
  </tableColumns>
  <tableStyleInfo name="Equation table" showFirstColumn="0" showLastColumn="0" showRowStripes="1" showColumnStripes="0"/>
</table>
</file>

<file path=xl/tables/table1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1289C28C-92A2-40CD-A691-62F2903BED04}" name="Table_SourceData_OrganicFertiliserTypes" displayName="Table_SourceData_OrganicFertiliserTypes" ref="J41:J46" totalsRowShown="0">
  <autoFilter ref="J41:J46" xr:uid="{B44627B1-537E-4ABC-92C3-57282CEE5B40}">
    <filterColumn colId="0" hiddenButton="1"/>
  </autoFilter>
  <tableColumns count="1">
    <tableColumn id="1" xr3:uid="{BCA5E44F-C977-460E-BFE2-FD2B47C47036}" name="Organic fertiliser type"/>
  </tableColumns>
  <tableStyleInfo name="Equation table" showFirstColumn="0" showLastColumn="0" showRowStripes="1" showColumnStripes="0"/>
</table>
</file>

<file path=xl/tables/table1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6953A683-14DE-4907-B4E5-15A8CA0D2874}"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24887A6E-B089-4BBC-8504-BBCB76D37B5E}" name="Element">
      <calculatedColumnFormula array="1">Common_InputFunctions.Utility_DisplayArrayInTable(Fertiliser_SourceData.Fertiliser_LimeDolomiteGypsumConstants_Data(), Table_SourceData_Fertiliser_LimeDolomiteConstants[[#Headers],[Element]], 0)</calculatedColumnFormula>
    </tableColumn>
    <tableColumn id="2" xr3:uid="{4A10B596-3D6A-4DCE-BA1A-70F582E7A099}" name="P" dataDxfId="122"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55A6337B-AC27-4C87-B85E-658A8B6C5703}" name="EF" dataDxfId="121"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BFF3BD11-508E-4A1A-9308-6964EC9F8B91}" name="Table2" displayName="Table2" ref="K19:L28" totalsRowShown="0" dataDxfId="120" dataCellStyle="Content normal">
  <autoFilter ref="K19:L28" xr:uid="{27B93029-EB1F-4C4A-A946-CD673A8A6C46}">
    <filterColumn colId="0" hiddenButton="1"/>
    <filterColumn colId="1" hiddenButton="1"/>
  </autoFilter>
  <tableColumns count="2">
    <tableColumn id="1" xr3:uid="{66177B69-DF20-4D13-BF5C-C78C8670A355}" name="Fertiliser type f" dataDxfId="119" dataCellStyle="Content normal">
      <calculatedColumnFormula array="1">Common_InputFunctions.Utility_DisplayArrayInTable(Fertiliser_SourceData.Fertiliser_FractionNCommonFertilisers_Data(), Table2[[#Headers],[Fertiliser type f]], 0)</calculatedColumnFormula>
    </tableColumn>
    <tableColumn id="2" xr3:uid="{3CF3D580-30A5-4260-A8CC-C444744CD26A}" name="FNinorganic f" dataDxfId="118"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58545FD-F22A-48F5-926A-A2D42E20FB1E}" name="Table28" displayName="Table28" ref="Q19:R28" totalsRowShown="0" dataDxfId="117" dataCellStyle="Content normal">
  <autoFilter ref="Q19:R28" xr:uid="{791CEA59-796C-47AB-86BC-41E8F699030C}">
    <filterColumn colId="0" hiddenButton="1"/>
    <filterColumn colId="1" hiddenButton="1"/>
  </autoFilter>
  <tableColumns count="2">
    <tableColumn id="1" xr3:uid="{AE209ADA-F6E2-4690-8C87-917238E1F317}" name="Fertiliser type f" dataDxfId="116" dataCellStyle="Content normal">
      <calculatedColumnFormula array="1">Common_InputFunctions.Utility_DisplayArrayInTable(Fertiliser_SourceData.Fertiliser_FractionUreaCommonFertilisers_Data(), Table28[[#Headers],[Fertiliser type f]], 0)</calculatedColumnFormula>
    </tableColumn>
    <tableColumn id="2" xr3:uid="{B0756CAB-F8DD-422E-BD54-2891DA512DC6}" name="FNinorganic f" dataDxfId="115"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352B5A7E-81FA-437E-8134-7B4A83F86762}"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04CD0C80-8CC3-476E-BADA-58F839F5BA40}"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B3A46C3-6743-490F-8359-344F8CB7035D}" name="Table_SourceData_ElectricityEFs" displayName="Table_SourceData_ElectricityEFs" ref="D9:F19" totalsRowShown="0" headerRowDxfId="114">
  <autoFilter ref="D9:F19" xr:uid="{3144A982-7A4D-4CF2-8790-1A30DAE3E0A4}">
    <filterColumn colId="0" hiddenButton="1"/>
    <filterColumn colId="1" hiddenButton="1"/>
    <filterColumn colId="2" hiddenButton="1"/>
  </autoFilter>
  <tableColumns count="3">
    <tableColumn id="1" xr3:uid="{5ECE81E0-3E13-461A-98FE-51BD947DB0AC}"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C8EE018B-BCE8-4A9E-BDBD-1FFC3EBFC10D}"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6FF48D4E-CCB7-4E6D-BAE0-16939A2EB341}"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1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14C8D1E9-03DE-4582-8D8A-37A58275C1A8}"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C228312C-16E1-4993-A5B3-0A4D5EFA3EB6}"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27CF37EE-C0E5-454D-A9B2-57E8007CF4F0}"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5845E8E8-B658-4044-AE39-FA8A651D5940}"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69C2AD65-CFC7-4BEE-86AB-15346073811F}"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3BC2377B-F014-4DD9-BBC1-D93ABA8E2C9A}"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1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3C3788E-1037-4E0E-B2D5-4BCFE19060D4}"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CAD5F504-2BE5-40BC-9A25-060DA89D5211}" name="State/Territory">
      <calculatedColumnFormula array="1">Common_InputFunctions.Utility_DisplayArrayInTable(Common_SourceData.Common_SourceData_AustralianStatesTerritories_Data(),Table_AustralianStates[[#Headers],[State/Territory]],0)</calculatedColumnFormula>
    </tableColumn>
    <tableColumn id="2" xr3:uid="{12AADB66-97F1-4935-B818-F8227F11A045}" name="Common Name">
      <calculatedColumnFormula array="1">Common_InputFunctions.Utility_DisplayArrayInTable(Common_SourceData.Common_SourceData_AustralianStatesTerritories_Data(),Table_AustralianStates[[#Headers],[State/Territory]],0)</calculatedColumnFormula>
    </tableColumn>
    <tableColumn id="3" xr3:uid="{5B29D6E3-5A98-4754-989A-4E3E8FD5FA80}"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3480814-E3B2-40E5-A86D-68202E7CC2E7}" name="Table_WASA4Areas" displayName="Table_WASA4Areas" ref="D20:D30" totalsRowShown="0">
  <autoFilter ref="D20:D30" xr:uid="{5FA81339-C6C8-4D36-BEEA-6C4AEDD9E676}">
    <filterColumn colId="0" hiddenButton="1"/>
  </autoFilter>
  <tableColumns count="1">
    <tableColumn id="1" xr3:uid="{FE7E90B3-37E8-49C3-AA9D-9831373D693B}"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3C3555A1-FD66-4621-9CB0-C0CC25F67CA9}" name="Table_GWPData" displayName="Table_GWPData" ref="D36:E43" totalsRowShown="0">
  <autoFilter ref="D36:E43" xr:uid="{B8E87A66-3E41-4AD3-925D-01EE21B43D7A}">
    <filterColumn colId="0" hiddenButton="1"/>
    <filterColumn colId="1" hiddenButton="1"/>
  </autoFilter>
  <tableColumns count="2">
    <tableColumn id="1" xr3:uid="{08DEB31E-C012-4B16-BE86-067B2799FDDF}" name="Gas">
      <calculatedColumnFormula array="1">Common_InputFunctions.Utility_DisplayArrayInTable(Common_SourceData.Common_SourceData_GWP_Data(), Table_GWPData[[#Headers],[Gas]], 0)</calculatedColumnFormula>
    </tableColumn>
    <tableColumn id="2" xr3:uid="{5C3B0D3F-0CFA-4A1B-8276-839082A7870E}"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32291212-6CCE-4AF5-9E2E-75C3817593CB}"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AF93F1C4-61A5-4F54-A7AC-A0FC584DEC35}" name="Gas">
      <calculatedColumnFormula array="1">Common_InputFunctions.Utility_DisplayArrayInTable(Common_SourceData.Common_SourceData_ConvertGasElementalToMolecular_Data(),Table_GasToMolecularConversionFactor[[#Headers],[Gas]], 0)</calculatedColumnFormula>
    </tableColumn>
    <tableColumn id="5" xr3:uid="{2AA0E612-7EC2-4665-BD22-174A7CAE501E}" name="Conversion factor">
      <calculatedColumnFormula array="1">Common_InputFunctions.Utility_DisplayArrayInTable(Common_SourceData.Common_SourceData_ConvertGasElementalToMolecular_Data(),Table_GasToMolecularConversionFactor[[#Headers],[Gas]], 0)</calculatedColumnFormula>
    </tableColumn>
    <tableColumn id="2" xr3:uid="{B3D1BF3E-A977-4E46-A463-1B778340A08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8EDB49E2-C8F6-4C35-A980-A084A44C82C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3B07A478-1076-4AAF-A56E-86B6EB238636}"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510BCD0A-3008-462B-A5AA-F2AC9ED54D2A}"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F0B5CCF6-99CA-49CB-AE3A-A2EC4669AAF3}"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1B48A0CB-E8BC-47E5-8A55-35C654054879}" name="MAT" totalsRowDxfId="113" totalsRowCellStyle="Content bold">
      <calculatedColumnFormula array="1">Common_InputFunctions.Utility_DisplayArrayInTable(Common_SourceData.Common_SourceData_ClimateZones_Data(), Table_SourceData_ClimateZones[[#Headers],[Climate zone]], 0)</calculatedColumnFormula>
    </tableColumn>
    <tableColumn id="3" xr3:uid="{864CE57E-2512-45EA-8DFB-B4864F4BD0E9}" name="MAP" totalsRowDxfId="112" totalsRowCellStyle="Content bold">
      <calculatedColumnFormula array="1">Common_InputFunctions.Utility_DisplayArrayInTable(Common_SourceData.Common_SourceData_ClimateZones_Data(), Table_SourceData_ClimateZones[[#Headers],[Climate zone]], 0)</calculatedColumnFormula>
    </tableColumn>
    <tableColumn id="4" xr3:uid="{208B0D89-0B0D-4A86-959F-BA77A39C433B}" name="Frost days per year" totalsRowDxfId="111" totalsRowCellStyle="Content bold">
      <calculatedColumnFormula array="1">Common_InputFunctions.Utility_DisplayArrayInTable(Common_SourceData.Common_SourceData_ClimateZones_Data(), Table_SourceData_ClimateZones[[#Headers],[Climate zone]], 0)</calculatedColumnFormula>
    </tableColumn>
    <tableColumn id="5" xr3:uid="{E2B0E15C-6AF6-40DB-967F-5FAE08A97304}" name="Elevation" totalsRowDxfId="110" totalsRowCellStyle="Content bold">
      <calculatedColumnFormula array="1">Common_InputFunctions.Utility_DisplayArrayInTable(Common_SourceData.Common_SourceData_ClimateZones_Data(), Table_SourceData_ClimateZones[[#Headers],[Climate zone]], 0)</calculatedColumnFormula>
    </tableColumn>
    <tableColumn id="6" xr3:uid="{63D9EAEE-1745-40D8-AAD0-1F551A0485ED}" name="MAP:PET" totalsRowDxfId="109" totalsRowCellStyle="Content bold">
      <calculatedColumnFormula array="1">Common_InputFunctions.Utility_DisplayArrayInTable(Common_SourceData.Common_SourceData_ClimateZones_Data(), Table_SourceData_ClimateZones[[#Headers],[Climate zone]], 0)</calculatedColumnFormula>
    </tableColumn>
    <tableColumn id="7" xr3:uid="{D2696539-33F5-4714-B88A-170A99B924DC}" name="Min temp" totalsRowDxfId="108" totalsRowCellStyle="Content bold">
      <calculatedColumnFormula array="1">Common_InputFunctions.Utility_DisplayArrayInTable(Common_SourceData.Common_SourceData_ClimateZones_Data(), Table_SourceData_ClimateZones[[#Headers],[Climate zone]], 0)</calculatedColumnFormula>
    </tableColumn>
    <tableColumn id="8" xr3:uid="{636F5E30-C204-49D9-9535-4CE0E3F1B966}" name="Max temp" totalsRowDxfId="107" totalsRowCellStyle="Content bold">
      <calculatedColumnFormula array="1">Common_InputFunctions.Utility_DisplayArrayInTable(Common_SourceData.Common_SourceData_ClimateZones_Data(), Table_SourceData_ClimateZones[[#Headers],[Climate zone]], 0)</calculatedColumnFormula>
    </tableColumn>
    <tableColumn id="9" xr3:uid="{55A379B6-3B2D-4A9D-833B-D80F90E19BF6}" name="Min rainfall" totalsRowDxfId="106" totalsRowCellStyle="Content bold">
      <calculatedColumnFormula array="1">Common_InputFunctions.Utility_DisplayArrayInTable(Common_SourceData.Common_SourceData_ClimateZones_Data(), Table_SourceData_ClimateZones[[#Headers],[Climate zone]], 0)</calculatedColumnFormula>
    </tableColumn>
    <tableColumn id="10" xr3:uid="{43D337C7-577D-4839-9B1F-07FA0AFC4708}" name="Max rainfall" totalsRowDxfId="105" totalsRowCellStyle="Content bold">
      <calculatedColumnFormula array="1">Common_InputFunctions.Utility_DisplayArrayInTable(Common_SourceData.Common_SourceData_ClimateZones_Data(), Table_SourceData_ClimateZones[[#Headers],[Climate zone]], 0)</calculatedColumnFormula>
    </tableColumn>
    <tableColumn id="11" xr3:uid="{494F2D03-FD30-494D-80D7-1974195926F3}" name="Min frost days" totalsRowDxfId="104" totalsRowCellStyle="Content bold">
      <calculatedColumnFormula array="1">Common_InputFunctions.Utility_DisplayArrayInTable(Common_SourceData.Common_SourceData_ClimateZones_Data(), Table_SourceData_ClimateZones[[#Headers],[Climate zone]], 0)</calculatedColumnFormula>
    </tableColumn>
    <tableColumn id="15" xr3:uid="{05AC206D-16CC-4407-BBDF-2C994200AF37}" name="Max frost days" totalsRowDxfId="103" totalsRowCellStyle="Content bold">
      <calculatedColumnFormula array="1">Common_InputFunctions.Utility_DisplayArrayInTable(Common_SourceData.Common_SourceData_ClimateZones_Data(), Table_SourceData_ClimateZones[[#Headers],[Climate zone]], 0)</calculatedColumnFormula>
    </tableColumn>
    <tableColumn id="12" xr3:uid="{A8557557-F38D-4A8B-961F-8B7804883924}" name="Min elevation" totalsRowDxfId="102" totalsRowCellStyle="Content bold">
      <calculatedColumnFormula array="1">Common_InputFunctions.Utility_DisplayArrayInTable(Common_SourceData.Common_SourceData_ClimateZones_Data(), Table_SourceData_ClimateZones[[#Headers],[Climate zone]], 0)</calculatedColumnFormula>
    </tableColumn>
    <tableColumn id="16" xr3:uid="{E2C40F44-4D8C-44F0-979B-602FD2849B6B}" name="Max elevation" totalsRowDxfId="101" totalsRowCellStyle="Content bold">
      <calculatedColumnFormula array="1">Common_InputFunctions.Utility_DisplayArrayInTable(Common_SourceData.Common_SourceData_ClimateZones_Data(), Table_SourceData_ClimateZones[[#Headers],[Climate zone]], 0)</calculatedColumnFormula>
    </tableColumn>
    <tableColumn id="13" xr3:uid="{AF6EE1CC-8BC3-4827-B530-322998322CD5}" name="Min MAP:PET" totalsRowDxfId="100" totalsRowCellStyle="Content bold">
      <calculatedColumnFormula array="1">Common_InputFunctions.Utility_DisplayArrayInTable(Common_SourceData.Common_SourceData_ClimateZones_Data(), Table_SourceData_ClimateZones[[#Headers],[Climate zone]], 0)</calculatedColumnFormula>
    </tableColumn>
    <tableColumn id="17" xr3:uid="{A6B2BE6D-843E-4B70-9B32-5189EF6C53CC}" name="Max MAP:PET" totalsRowDxfId="99"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38FC980B-3BD6-4C56-B551-6D48F10048D3}"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94F5416D-10B6-4694-AFD6-50BFEBF27157}"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07519F4D-2447-46DD-AB4A-0F8B9226AE7C}" name="Wet or Dry Zone" totalsRowDxfId="98"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F7CD96E2-F819-4A45-81B4-A8BF8B81AAFA}"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4A72109A-9862-4A1B-A063-3D9338902BFF}" name="Temperature Zone">
      <calculatedColumnFormula array="1">Common_InputFunctions.Utility_DisplayArrayInTable(Common_SourceData.Common_SourceData_TemperatureZones_Data(),Table_SourceData_TemperatureZones[[#Headers],[Temperature Zone]],0)</calculatedColumnFormula>
    </tableColumn>
    <tableColumn id="2" xr3:uid="{195B0FAA-2169-4BAC-AE8C-82CD6DF3A0BA}" name="MAT">
      <calculatedColumnFormula array="1">Common_InputFunctions.Utility_DisplayArrayInTable(Common_SourceData.Common_SourceData_TemperatureZones_Data(),Table_SourceData_TemperatureZones[[#Headers],[Temperature Zone]],0)</calculatedColumnFormula>
    </tableColumn>
    <tableColumn id="3" xr3:uid="{926E1254-C939-40E3-9C4A-2ACE4162413C}" name="Min MAT">
      <calculatedColumnFormula array="1">Common_InputFunctions.Utility_DisplayArrayInTable(Common_SourceData.Common_SourceData_TemperatureZones_Data(),Table_SourceData_TemperatureZones[[#Headers],[Temperature Zone]],0)</calculatedColumnFormula>
    </tableColumn>
    <tableColumn id="4" xr3:uid="{4B0F1B66-7CA8-4F19-979D-C1ED4BC22A7D}"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C95D8807-ED73-48CC-814A-0A6013D08A4E}"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029CF4C2-54BA-412C-8382-69C01D3CFC2C}" name="Rainfall Zone">
      <calculatedColumnFormula array="1">Common_InputFunctions.Utility_DisplayArrayInTable(Common_SourceData.Common_SourceData_RainfallZones_Data(),Table_SourceData_RainfallZones[[#Headers],[Rainfall Zone]],0)</calculatedColumnFormula>
    </tableColumn>
    <tableColumn id="2" xr3:uid="{B86C41C8-E220-49AD-95D3-5F55765878D6}" name="Annual rainfall">
      <calculatedColumnFormula array="1">Common_InputFunctions.Utility_DisplayArrayInTable(Common_SourceData.Common_SourceData_RainfallZones_Data(),Table_SourceData_RainfallZones[[#Headers],[Rainfall Zone]],0)</calculatedColumnFormula>
    </tableColumn>
    <tableColumn id="3" xr3:uid="{EFFE8202-3158-4888-9193-2A37D3695078}" name="Min rainfall">
      <calculatedColumnFormula array="1">Common_InputFunctions.Utility_DisplayArrayInTable(Common_SourceData.Common_SourceData_RainfallZones_Data(),Table_SourceData_RainfallZones[[#Headers],[Rainfall Zone]],0)</calculatedColumnFormula>
    </tableColumn>
    <tableColumn id="4" xr3:uid="{50D2A8A4-FDAF-4F80-95C6-A472E7699284}"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669E91CC-D84F-41AC-85CE-6673337B4993}"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7140A797-B020-43D0-AD56-A83FEA3063ED}" name="Leaching Zone">
      <calculatedColumnFormula array="1">Common_InputFunctions.Utility_DisplayArrayInTable(Common_SourceData.Common_SourceData_LeachingZones_Data(), Table_SourceData_LeachingZones[[#Headers],[Leaching Zone]], 0)</calculatedColumnFormula>
    </tableColumn>
    <tableColumn id="2" xr3:uid="{0FD31FE6-DD01-463B-B390-1D757EE08324}"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D7F0162A-D385-4E74-89E6-2D72A15087E8}"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E1A62843-2151-43EC-9707-A76588D3F278}" name="Data source">
      <calculatedColumnFormula array="1">Common_InputFunctions.Utility_DisplayArrayInTable(Common_SourceData.Common_SourceData_DataScores_Scope3_Data(), Table_SourceData_DataScores_Scope3[[#Headers],[Data source]], 0)</calculatedColumnFormula>
    </tableColumn>
    <tableColumn id="2" xr3:uid="{F4F59334-47CD-473A-BBCB-9635047E9275}"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389FEC5F-2063-41D0-ADA3-96799BAAC5D1}" name="Table_SourceData_FracWET" displayName="Table_SourceData_FracWET" ref="D134:E136" totalsRowShown="0">
  <autoFilter ref="D134:E136" xr:uid="{308E99BE-FE1F-47A4-B2CA-97217277C4E9}">
    <filterColumn colId="0" hiddenButton="1"/>
    <filterColumn colId="1" hiddenButton="1"/>
  </autoFilter>
  <tableColumns count="2">
    <tableColumn id="1" xr3:uid="{A25F9007-342C-41A4-B0BC-178405948EAC}" name="Is in leaching zone">
      <calculatedColumnFormula array="1">Common_InputFunctions.Utility_DisplayArrayInTable(Common_SourceData.Common_SourceData_FracWET_Data(),Table_SourceData_FracWET[[#Headers],[Is in leaching zone]],0)</calculatedColumnFormula>
    </tableColumn>
    <tableColumn id="2" xr3:uid="{6E87349D-53BC-43D1-8534-B248D3A373A8}" name="FracWET" dataDxfId="97">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606DA0F0-14B5-4C80-9943-F9349D108B6D}"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52379485-6CA1-414A-9244-F3FD936BB3A5}" name="Production system j">
      <calculatedColumnFormula array="1">Common_InputFunctions.Utility_DisplayArrayInTable(Common_SourceData.Common_SourceData_EFN2O_Data(), Table_SourceData_Common_EFN2O[[#Headers],[Production system j]], 0)</calculatedColumnFormula>
    </tableColumn>
    <tableColumn id="2" xr3:uid="{6C46810C-2711-4B2B-B681-805D91F777D8}" name="EFN2O">
      <calculatedColumnFormula array="1">Common_InputFunctions.Utility_DisplayArrayInTable(Common_SourceData.Common_SourceData_EFN2O_Data(), Table_SourceData_Common_EFN2O[[#Headers],[Production system j]], 0)</calculatedColumnFormula>
    </tableColumn>
    <tableColumn id="3" xr3:uid="{F3FE01CD-7A91-4563-8B74-10002CFC25C0}" name="Production system only">
      <calculatedColumnFormula array="1">Common_InputFunctions.Utility_DisplayArrayInTable(Common_SourceData.Common_SourceData_EFN2O_Data(), Table_SourceData_Common_EFN2O[[#Headers],[Production system j]], 0)</calculatedColumnFormula>
    </tableColumn>
    <tableColumn id="4" xr3:uid="{83CB8EFF-C765-4867-B9D1-7DE1AA722EF8}" name="Irrigation method">
      <calculatedColumnFormula array="1">Common_InputFunctions.Utility_DisplayArrayInTable(Common_SourceData.Common_SourceData_EFN2O_Data(), Table_SourceData_Common_EFN2O[[#Headers],[Production system j]], 0)</calculatedColumnFormula>
    </tableColumn>
    <tableColumn id="5" xr3:uid="{6E336C64-77B6-4CD1-A4DC-5B9D9EAFA8CB}"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B29D61FB-5B0F-4449-8A4D-F5E3E847825C}"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38E90EA-F334-4FE0-8BF6-7F4C5264B0E9}" name="Irrigation type i">
      <calculatedColumnFormula array="1">Common_InputFunctions.Utility_DisplayArrayInTable(Common_SourceData.Common_SourceData_FracWETIrrigation_Data(), Table_SourceData_FracWETIrrigation[[#Headers],[Irrigation type i]], 0)</calculatedColumnFormula>
    </tableColumn>
    <tableColumn id="2" xr3:uid="{BFEB5B3C-B96F-4912-9739-693506C58F05}" name="FracWET" dataDxfId="96"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39830618-1611-4135-BC83-B13E1171607A}"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6BD84E8-027C-4BEB-B562-94B07ACC5C27}"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54BF228B-4DD4-4874-9902-0288814563B9}" name="EFPRP" dataDxfId="95"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83FCF844-75C1-466C-8970-800BE328E224}"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D6BBB319-5105-4369-BC55-FBE33CAA0ACB}" name="Month">
      <calculatedColumnFormula array="1">Common_InputFunctions.Utility_DisplayArrayInTable(Common_SourceData.Common_SourceData_MonthsToSeasons_Data(), Table_SourceData_Common_MonthToSeason[[#Headers],[Month]], 0)</calculatedColumnFormula>
    </tableColumn>
    <tableColumn id="2" xr3:uid="{DD91C481-3060-4F39-9E5D-15F7525CB3FE}" name="Season" dataDxfId="94"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D41F891F-7F6F-4B62-93B8-7A2B012CD08B}"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94221D0-CDE7-4EB5-AF99-4CEA15E824AD}"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E4C8B9DF-6BBC-468B-9706-1BC2D36C4569}" name="MAT (ºC)" dataDxfId="9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86FA119A-8338-481E-9D21-063FC4FAEB69}" name="Anaerobic lagoon" dataDxfId="9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4CCAFF05-DF3C-4B8F-BA21-13D9CFE3649F}" name="Digester / covered lagoons" dataDxfId="9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71772889-86F0-48A6-A3A9-2C0401F7289F}" name="Liquid systems" dataDxfId="9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E91881A2-E673-4BD8-93A2-E81E8C169722}" name="Daily spread" dataDxfId="8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2C55A50D-83EC-40BF-951A-50334AEBCE98}" name="Composting (passive windrow)" dataDxfId="8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9FB68D54-B8C0-48A3-A35C-149723E4ACF5}" name="Solid storage" dataDxfId="8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E7DCB17F-D549-4A2B-84C1-08EDA81BC8F0}" name="Pit storage" dataDxfId="8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F1A2A9A9-591A-489A-800D-89D842FCD6DF}" name="Deep litter" dataDxfId="8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79BDF013-89AD-48A5-87AD-E7D0AAB5CA51}" name="Poultry manure with bedding" dataDxfId="8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2282E559-4554-4961-9660-964FF49AEA8A}" name="Poultry manure without bedding" dataDxfId="8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DDEC7F74-B656-4004-9268-9DBB39F1E536}" name="Direct processing" dataDxfId="8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7BBA0965-0864-4873-9653-E1F36EE4A6A9}" name="Direct application" dataDxfId="8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AD4F58DF-4D29-40D4-B963-39B47DBBA33D}" name="Pasture range and paddock" dataDxfId="8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CE876B1D-3FBB-48CF-BE39-CBEE840E452F}" name="MAT raw" dataDxfId="79"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0" xr:uid="{F344D8CD-9AB9-4D87-8CA1-D4E25EBD44A8}"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A3B72189-359C-4F53-BD78-CB71D6493191}"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8D67BCB7-F21E-4988-BDAE-63E29182DA37}" name="EFNi &amp; EFN2Oi" dataDxfId="78"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7"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05792E4-89C0-41CC-9A16-4B96A36E5E1B}">
  <we:reference id="WA200003696" version="1.3.0.0" store="Omex" storeType="OMEX"/>
  <we:alternateReferences>
    <we:reference id="WA200003696" version="1.3.0.0" store="WA200003696" storeType="OMEX"/>
  </we:alternateReferences>
  <we:properties>
    <we:property name="projectV0_1-56c6e055-265e-4713-816e-a646dbb708de" value="{&quot;kind&quot;:&quot;AFEJSONBlobNode&quot;,&quot;id&quot;:&quot;{8523A1ED-64A4-4F28-87AE-B321FB11927F}&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 Id="rId5" Type="http://schemas.openxmlformats.org/officeDocument/2006/relationships/table" Target="../tables/table5.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table" Target="../tables/table12.xml"/><Relationship Id="rId3" Type="http://schemas.openxmlformats.org/officeDocument/2006/relationships/table" Target="../tables/table7.xml"/><Relationship Id="rId7" Type="http://schemas.openxmlformats.org/officeDocument/2006/relationships/table" Target="../tables/table11.xml"/><Relationship Id="rId2" Type="http://schemas.openxmlformats.org/officeDocument/2006/relationships/table" Target="../tables/table6.xml"/><Relationship Id="rId1" Type="http://schemas.openxmlformats.org/officeDocument/2006/relationships/printerSettings" Target="../printerSettings/printerSettings3.bin"/><Relationship Id="rId6" Type="http://schemas.openxmlformats.org/officeDocument/2006/relationships/table" Target="../tables/table10.xml"/><Relationship Id="rId5" Type="http://schemas.openxmlformats.org/officeDocument/2006/relationships/table" Target="../tables/table9.xml"/><Relationship Id="rId4" Type="http://schemas.openxmlformats.org/officeDocument/2006/relationships/table" Target="../tables/table8.xml"/><Relationship Id="rId9" Type="http://schemas.openxmlformats.org/officeDocument/2006/relationships/table" Target="../tables/table1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table" Target="../tables/table18.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0.xml.rels><?xml version="1.0" encoding="UTF-8" standalone="yes"?>
<Relationships xmlns="http://schemas.openxmlformats.org/package/2006/relationships"><Relationship Id="rId8" Type="http://schemas.openxmlformats.org/officeDocument/2006/relationships/table" Target="../tables/table30.xml"/><Relationship Id="rId13" Type="http://schemas.openxmlformats.org/officeDocument/2006/relationships/table" Target="../tables/table35.xml"/><Relationship Id="rId18" Type="http://schemas.openxmlformats.org/officeDocument/2006/relationships/table" Target="../tables/table40.xml"/><Relationship Id="rId26" Type="http://schemas.openxmlformats.org/officeDocument/2006/relationships/table" Target="../tables/table48.xml"/><Relationship Id="rId3" Type="http://schemas.openxmlformats.org/officeDocument/2006/relationships/table" Target="../tables/table25.xml"/><Relationship Id="rId21" Type="http://schemas.openxmlformats.org/officeDocument/2006/relationships/table" Target="../tables/table43.xml"/><Relationship Id="rId7" Type="http://schemas.openxmlformats.org/officeDocument/2006/relationships/table" Target="../tables/table29.xml"/><Relationship Id="rId12" Type="http://schemas.openxmlformats.org/officeDocument/2006/relationships/table" Target="../tables/table34.xml"/><Relationship Id="rId17" Type="http://schemas.openxmlformats.org/officeDocument/2006/relationships/table" Target="../tables/table39.xml"/><Relationship Id="rId25" Type="http://schemas.openxmlformats.org/officeDocument/2006/relationships/table" Target="../tables/table47.xml"/><Relationship Id="rId2" Type="http://schemas.openxmlformats.org/officeDocument/2006/relationships/table" Target="../tables/table24.xml"/><Relationship Id="rId16" Type="http://schemas.openxmlformats.org/officeDocument/2006/relationships/table" Target="../tables/table38.xml"/><Relationship Id="rId20" Type="http://schemas.openxmlformats.org/officeDocument/2006/relationships/table" Target="../tables/table42.xml"/><Relationship Id="rId29" Type="http://schemas.openxmlformats.org/officeDocument/2006/relationships/table" Target="../tables/table51.xml"/><Relationship Id="rId1" Type="http://schemas.openxmlformats.org/officeDocument/2006/relationships/table" Target="../tables/table23.xml"/><Relationship Id="rId6" Type="http://schemas.openxmlformats.org/officeDocument/2006/relationships/table" Target="../tables/table28.xml"/><Relationship Id="rId11" Type="http://schemas.openxmlformats.org/officeDocument/2006/relationships/table" Target="../tables/table33.xml"/><Relationship Id="rId24" Type="http://schemas.openxmlformats.org/officeDocument/2006/relationships/table" Target="../tables/table46.xml"/><Relationship Id="rId5" Type="http://schemas.openxmlformats.org/officeDocument/2006/relationships/table" Target="../tables/table27.xml"/><Relationship Id="rId15" Type="http://schemas.openxmlformats.org/officeDocument/2006/relationships/table" Target="../tables/table37.xml"/><Relationship Id="rId23" Type="http://schemas.openxmlformats.org/officeDocument/2006/relationships/table" Target="../tables/table45.xml"/><Relationship Id="rId28" Type="http://schemas.openxmlformats.org/officeDocument/2006/relationships/table" Target="../tables/table50.xml"/><Relationship Id="rId10" Type="http://schemas.openxmlformats.org/officeDocument/2006/relationships/table" Target="../tables/table32.xml"/><Relationship Id="rId19" Type="http://schemas.openxmlformats.org/officeDocument/2006/relationships/table" Target="../tables/table41.xml"/><Relationship Id="rId4" Type="http://schemas.openxmlformats.org/officeDocument/2006/relationships/table" Target="../tables/table26.xml"/><Relationship Id="rId9" Type="http://schemas.openxmlformats.org/officeDocument/2006/relationships/table" Target="../tables/table31.xml"/><Relationship Id="rId14" Type="http://schemas.openxmlformats.org/officeDocument/2006/relationships/table" Target="../tables/table36.xml"/><Relationship Id="rId22" Type="http://schemas.openxmlformats.org/officeDocument/2006/relationships/table" Target="../tables/table44.xml"/><Relationship Id="rId27" Type="http://schemas.openxmlformats.org/officeDocument/2006/relationships/table" Target="../tables/table49.xml"/><Relationship Id="rId30" Type="http://schemas.openxmlformats.org/officeDocument/2006/relationships/table" Target="../tables/table52.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54.xml"/><Relationship Id="rId7" Type="http://schemas.openxmlformats.org/officeDocument/2006/relationships/table" Target="../tables/table58.xml"/><Relationship Id="rId2" Type="http://schemas.openxmlformats.org/officeDocument/2006/relationships/table" Target="../tables/table53.xml"/><Relationship Id="rId1" Type="http://schemas.openxmlformats.org/officeDocument/2006/relationships/printerSettings" Target="../printerSettings/printerSettings9.bin"/><Relationship Id="rId6" Type="http://schemas.openxmlformats.org/officeDocument/2006/relationships/table" Target="../tables/table57.xml"/><Relationship Id="rId5" Type="http://schemas.openxmlformats.org/officeDocument/2006/relationships/table" Target="../tables/table56.xml"/><Relationship Id="rId4" Type="http://schemas.openxmlformats.org/officeDocument/2006/relationships/table" Target="../tables/table5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61.xml"/><Relationship Id="rId7" Type="http://schemas.openxmlformats.org/officeDocument/2006/relationships/table" Target="../tables/table65.xml"/><Relationship Id="rId2" Type="http://schemas.openxmlformats.org/officeDocument/2006/relationships/table" Target="../tables/table60.xml"/><Relationship Id="rId1" Type="http://schemas.openxmlformats.org/officeDocument/2006/relationships/table" Target="../tables/table59.xml"/><Relationship Id="rId6" Type="http://schemas.openxmlformats.org/officeDocument/2006/relationships/table" Target="../tables/table64.xml"/><Relationship Id="rId5" Type="http://schemas.openxmlformats.org/officeDocument/2006/relationships/table" Target="../tables/table63.xml"/><Relationship Id="rId4" Type="http://schemas.openxmlformats.org/officeDocument/2006/relationships/table" Target="../tables/table62.xml"/></Relationships>
</file>

<file path=xl/worksheets/_rels/sheet23.xml.rels><?xml version="1.0" encoding="UTF-8" standalone="yes"?>
<Relationships xmlns="http://schemas.openxmlformats.org/package/2006/relationships"><Relationship Id="rId8" Type="http://schemas.openxmlformats.org/officeDocument/2006/relationships/table" Target="../tables/table72.xml"/><Relationship Id="rId13" Type="http://schemas.openxmlformats.org/officeDocument/2006/relationships/table" Target="../tables/table77.xml"/><Relationship Id="rId3" Type="http://schemas.openxmlformats.org/officeDocument/2006/relationships/table" Target="../tables/table67.xml"/><Relationship Id="rId7" Type="http://schemas.openxmlformats.org/officeDocument/2006/relationships/table" Target="../tables/table71.xml"/><Relationship Id="rId12" Type="http://schemas.openxmlformats.org/officeDocument/2006/relationships/table" Target="../tables/table76.xml"/><Relationship Id="rId2" Type="http://schemas.openxmlformats.org/officeDocument/2006/relationships/table" Target="../tables/table66.xml"/><Relationship Id="rId1" Type="http://schemas.openxmlformats.org/officeDocument/2006/relationships/printerSettings" Target="../printerSettings/printerSettings10.bin"/><Relationship Id="rId6" Type="http://schemas.openxmlformats.org/officeDocument/2006/relationships/table" Target="../tables/table70.xml"/><Relationship Id="rId11" Type="http://schemas.openxmlformats.org/officeDocument/2006/relationships/table" Target="../tables/table75.xml"/><Relationship Id="rId5" Type="http://schemas.openxmlformats.org/officeDocument/2006/relationships/table" Target="../tables/table69.xml"/><Relationship Id="rId10" Type="http://schemas.openxmlformats.org/officeDocument/2006/relationships/table" Target="../tables/table74.xml"/><Relationship Id="rId4" Type="http://schemas.openxmlformats.org/officeDocument/2006/relationships/table" Target="../tables/table68.xml"/><Relationship Id="rId9" Type="http://schemas.openxmlformats.org/officeDocument/2006/relationships/table" Target="../tables/table73.xml"/><Relationship Id="rId14" Type="http://schemas.openxmlformats.org/officeDocument/2006/relationships/table" Target="../tables/table78.xml"/></Relationships>
</file>

<file path=xl/worksheets/_rels/sheet24.xml.rels><?xml version="1.0" encoding="UTF-8" standalone="yes"?>
<Relationships xmlns="http://schemas.openxmlformats.org/package/2006/relationships"><Relationship Id="rId8" Type="http://schemas.openxmlformats.org/officeDocument/2006/relationships/table" Target="../tables/table86.xml"/><Relationship Id="rId13" Type="http://schemas.openxmlformats.org/officeDocument/2006/relationships/table" Target="../tables/table91.xml"/><Relationship Id="rId3" Type="http://schemas.openxmlformats.org/officeDocument/2006/relationships/table" Target="../tables/table81.xml"/><Relationship Id="rId7" Type="http://schemas.openxmlformats.org/officeDocument/2006/relationships/table" Target="../tables/table85.xml"/><Relationship Id="rId12" Type="http://schemas.openxmlformats.org/officeDocument/2006/relationships/table" Target="../tables/table90.xml"/><Relationship Id="rId2" Type="http://schemas.openxmlformats.org/officeDocument/2006/relationships/table" Target="../tables/table80.xml"/><Relationship Id="rId1" Type="http://schemas.openxmlformats.org/officeDocument/2006/relationships/table" Target="../tables/table79.xml"/><Relationship Id="rId6" Type="http://schemas.openxmlformats.org/officeDocument/2006/relationships/table" Target="../tables/table84.xml"/><Relationship Id="rId11" Type="http://schemas.openxmlformats.org/officeDocument/2006/relationships/table" Target="../tables/table89.xml"/><Relationship Id="rId5" Type="http://schemas.openxmlformats.org/officeDocument/2006/relationships/table" Target="../tables/table83.xml"/><Relationship Id="rId10" Type="http://schemas.openxmlformats.org/officeDocument/2006/relationships/table" Target="../tables/table88.xml"/><Relationship Id="rId4" Type="http://schemas.openxmlformats.org/officeDocument/2006/relationships/table" Target="../tables/table82.xml"/><Relationship Id="rId9" Type="http://schemas.openxmlformats.org/officeDocument/2006/relationships/table" Target="../tables/table87.xml"/></Relationships>
</file>

<file path=xl/worksheets/_rels/sheet25.xml.rels><?xml version="1.0" encoding="UTF-8" standalone="yes"?>
<Relationships xmlns="http://schemas.openxmlformats.org/package/2006/relationships"><Relationship Id="rId8" Type="http://schemas.openxmlformats.org/officeDocument/2006/relationships/table" Target="../tables/table99.xml"/><Relationship Id="rId13" Type="http://schemas.openxmlformats.org/officeDocument/2006/relationships/table" Target="../tables/table104.xml"/><Relationship Id="rId3" Type="http://schemas.openxmlformats.org/officeDocument/2006/relationships/table" Target="../tables/table94.xml"/><Relationship Id="rId7" Type="http://schemas.openxmlformats.org/officeDocument/2006/relationships/table" Target="../tables/table98.xml"/><Relationship Id="rId12" Type="http://schemas.openxmlformats.org/officeDocument/2006/relationships/table" Target="../tables/table103.xml"/><Relationship Id="rId2" Type="http://schemas.openxmlformats.org/officeDocument/2006/relationships/table" Target="../tables/table93.xml"/><Relationship Id="rId1" Type="http://schemas.openxmlformats.org/officeDocument/2006/relationships/table" Target="../tables/table92.xml"/><Relationship Id="rId6" Type="http://schemas.openxmlformats.org/officeDocument/2006/relationships/table" Target="../tables/table97.xml"/><Relationship Id="rId11" Type="http://schemas.openxmlformats.org/officeDocument/2006/relationships/table" Target="../tables/table102.xml"/><Relationship Id="rId5" Type="http://schemas.openxmlformats.org/officeDocument/2006/relationships/table" Target="../tables/table96.xml"/><Relationship Id="rId15" Type="http://schemas.openxmlformats.org/officeDocument/2006/relationships/table" Target="../tables/table106.xml"/><Relationship Id="rId10" Type="http://schemas.openxmlformats.org/officeDocument/2006/relationships/table" Target="../tables/table101.xml"/><Relationship Id="rId4" Type="http://schemas.openxmlformats.org/officeDocument/2006/relationships/table" Target="../tables/table95.xml"/><Relationship Id="rId9" Type="http://schemas.openxmlformats.org/officeDocument/2006/relationships/table" Target="../tables/table100.xml"/><Relationship Id="rId14" Type="http://schemas.openxmlformats.org/officeDocument/2006/relationships/table" Target="../tables/table105.xml"/></Relationships>
</file>

<file path=xl/worksheets/_rels/sheet26.xml.rels><?xml version="1.0" encoding="UTF-8" standalone="yes"?>
<Relationships xmlns="http://schemas.openxmlformats.org/package/2006/relationships"><Relationship Id="rId8" Type="http://schemas.openxmlformats.org/officeDocument/2006/relationships/table" Target="../tables/table114.xml"/><Relationship Id="rId13" Type="http://schemas.openxmlformats.org/officeDocument/2006/relationships/table" Target="../tables/table119.xml"/><Relationship Id="rId18" Type="http://schemas.openxmlformats.org/officeDocument/2006/relationships/table" Target="../tables/table124.xml"/><Relationship Id="rId26" Type="http://schemas.openxmlformats.org/officeDocument/2006/relationships/table" Target="../tables/table132.xml"/><Relationship Id="rId3" Type="http://schemas.openxmlformats.org/officeDocument/2006/relationships/table" Target="../tables/table109.xml"/><Relationship Id="rId21" Type="http://schemas.openxmlformats.org/officeDocument/2006/relationships/table" Target="../tables/table127.xml"/><Relationship Id="rId7" Type="http://schemas.openxmlformats.org/officeDocument/2006/relationships/table" Target="../tables/table113.xml"/><Relationship Id="rId12" Type="http://schemas.openxmlformats.org/officeDocument/2006/relationships/table" Target="../tables/table118.xml"/><Relationship Id="rId17" Type="http://schemas.openxmlformats.org/officeDocument/2006/relationships/table" Target="../tables/table123.xml"/><Relationship Id="rId25" Type="http://schemas.openxmlformats.org/officeDocument/2006/relationships/table" Target="../tables/table131.xml"/><Relationship Id="rId2" Type="http://schemas.openxmlformats.org/officeDocument/2006/relationships/table" Target="../tables/table108.xml"/><Relationship Id="rId16" Type="http://schemas.openxmlformats.org/officeDocument/2006/relationships/table" Target="../tables/table122.xml"/><Relationship Id="rId20" Type="http://schemas.openxmlformats.org/officeDocument/2006/relationships/table" Target="../tables/table126.xml"/><Relationship Id="rId1" Type="http://schemas.openxmlformats.org/officeDocument/2006/relationships/table" Target="../tables/table107.xml"/><Relationship Id="rId6" Type="http://schemas.openxmlformats.org/officeDocument/2006/relationships/table" Target="../tables/table112.xml"/><Relationship Id="rId11" Type="http://schemas.openxmlformats.org/officeDocument/2006/relationships/table" Target="../tables/table117.xml"/><Relationship Id="rId24" Type="http://schemas.openxmlformats.org/officeDocument/2006/relationships/table" Target="../tables/table130.xml"/><Relationship Id="rId5" Type="http://schemas.openxmlformats.org/officeDocument/2006/relationships/table" Target="../tables/table111.xml"/><Relationship Id="rId15" Type="http://schemas.openxmlformats.org/officeDocument/2006/relationships/table" Target="../tables/table121.xml"/><Relationship Id="rId23" Type="http://schemas.openxmlformats.org/officeDocument/2006/relationships/table" Target="../tables/table129.xml"/><Relationship Id="rId10" Type="http://schemas.openxmlformats.org/officeDocument/2006/relationships/table" Target="../tables/table116.xml"/><Relationship Id="rId19" Type="http://schemas.openxmlformats.org/officeDocument/2006/relationships/table" Target="../tables/table125.xml"/><Relationship Id="rId4" Type="http://schemas.openxmlformats.org/officeDocument/2006/relationships/table" Target="../tables/table110.xml"/><Relationship Id="rId9" Type="http://schemas.openxmlformats.org/officeDocument/2006/relationships/table" Target="../tables/table115.xml"/><Relationship Id="rId14" Type="http://schemas.openxmlformats.org/officeDocument/2006/relationships/table" Target="../tables/table120.xml"/><Relationship Id="rId22" Type="http://schemas.openxmlformats.org/officeDocument/2006/relationships/table" Target="../tables/table128.xml"/><Relationship Id="rId27" Type="http://schemas.openxmlformats.org/officeDocument/2006/relationships/table" Target="../tables/table133.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135.xml"/><Relationship Id="rId7" Type="http://schemas.openxmlformats.org/officeDocument/2006/relationships/table" Target="../tables/table139.xml"/><Relationship Id="rId2" Type="http://schemas.openxmlformats.org/officeDocument/2006/relationships/table" Target="../tables/table134.xml"/><Relationship Id="rId1" Type="http://schemas.openxmlformats.org/officeDocument/2006/relationships/printerSettings" Target="../printerSettings/printerSettings11.bin"/><Relationship Id="rId6" Type="http://schemas.openxmlformats.org/officeDocument/2006/relationships/table" Target="../tables/table138.xml"/><Relationship Id="rId5" Type="http://schemas.openxmlformats.org/officeDocument/2006/relationships/table" Target="../tables/table137.xml"/><Relationship Id="rId4" Type="http://schemas.openxmlformats.org/officeDocument/2006/relationships/table" Target="../tables/table136.xml"/></Relationships>
</file>

<file path=xl/worksheets/_rels/sheet28.xml.rels><?xml version="1.0" encoding="UTF-8" standalone="yes"?>
<Relationships xmlns="http://schemas.openxmlformats.org/package/2006/relationships"><Relationship Id="rId8" Type="http://schemas.openxmlformats.org/officeDocument/2006/relationships/table" Target="../tables/table146.xml"/><Relationship Id="rId3" Type="http://schemas.openxmlformats.org/officeDocument/2006/relationships/table" Target="../tables/table141.xml"/><Relationship Id="rId7" Type="http://schemas.openxmlformats.org/officeDocument/2006/relationships/table" Target="../tables/table145.xml"/><Relationship Id="rId12" Type="http://schemas.openxmlformats.org/officeDocument/2006/relationships/table" Target="../tables/table150.xml"/><Relationship Id="rId2" Type="http://schemas.openxmlformats.org/officeDocument/2006/relationships/table" Target="../tables/table140.xml"/><Relationship Id="rId1" Type="http://schemas.openxmlformats.org/officeDocument/2006/relationships/printerSettings" Target="../printerSettings/printerSettings12.bin"/><Relationship Id="rId6" Type="http://schemas.openxmlformats.org/officeDocument/2006/relationships/table" Target="../tables/table144.xml"/><Relationship Id="rId11" Type="http://schemas.openxmlformats.org/officeDocument/2006/relationships/table" Target="../tables/table149.xml"/><Relationship Id="rId5" Type="http://schemas.openxmlformats.org/officeDocument/2006/relationships/table" Target="../tables/table143.xml"/><Relationship Id="rId10" Type="http://schemas.openxmlformats.org/officeDocument/2006/relationships/table" Target="../tables/table148.xml"/><Relationship Id="rId4" Type="http://schemas.openxmlformats.org/officeDocument/2006/relationships/table" Target="../tables/table142.xml"/><Relationship Id="rId9" Type="http://schemas.openxmlformats.org/officeDocument/2006/relationships/table" Target="../tables/table147.xml"/></Relationships>
</file>

<file path=xl/worksheets/_rels/sheet29.xml.rels><?xml version="1.0" encoding="UTF-8" standalone="yes"?>
<Relationships xmlns="http://schemas.openxmlformats.org/package/2006/relationships"><Relationship Id="rId2" Type="http://schemas.openxmlformats.org/officeDocument/2006/relationships/table" Target="../tables/table152.xml"/><Relationship Id="rId1" Type="http://schemas.openxmlformats.org/officeDocument/2006/relationships/table" Target="../tables/table151.xml"/></Relationships>
</file>

<file path=xl/worksheets/_rels/sheet30.xml.rels><?xml version="1.0" encoding="UTF-8" standalone="yes"?>
<Relationships xmlns="http://schemas.openxmlformats.org/package/2006/relationships"><Relationship Id="rId8" Type="http://schemas.openxmlformats.org/officeDocument/2006/relationships/table" Target="../tables/table159.xml"/><Relationship Id="rId13" Type="http://schemas.openxmlformats.org/officeDocument/2006/relationships/table" Target="../tables/table164.xml"/><Relationship Id="rId18" Type="http://schemas.openxmlformats.org/officeDocument/2006/relationships/table" Target="../tables/table169.xml"/><Relationship Id="rId3" Type="http://schemas.openxmlformats.org/officeDocument/2006/relationships/table" Target="../tables/table154.xml"/><Relationship Id="rId7" Type="http://schemas.openxmlformats.org/officeDocument/2006/relationships/table" Target="../tables/table158.xml"/><Relationship Id="rId12" Type="http://schemas.openxmlformats.org/officeDocument/2006/relationships/table" Target="../tables/table163.xml"/><Relationship Id="rId17" Type="http://schemas.openxmlformats.org/officeDocument/2006/relationships/table" Target="../tables/table168.xml"/><Relationship Id="rId2" Type="http://schemas.openxmlformats.org/officeDocument/2006/relationships/table" Target="../tables/table153.xml"/><Relationship Id="rId16" Type="http://schemas.openxmlformats.org/officeDocument/2006/relationships/table" Target="../tables/table167.xml"/><Relationship Id="rId1" Type="http://schemas.openxmlformats.org/officeDocument/2006/relationships/printerSettings" Target="../printerSettings/printerSettings13.bin"/><Relationship Id="rId6" Type="http://schemas.openxmlformats.org/officeDocument/2006/relationships/table" Target="../tables/table157.xml"/><Relationship Id="rId11" Type="http://schemas.openxmlformats.org/officeDocument/2006/relationships/table" Target="../tables/table162.xml"/><Relationship Id="rId5" Type="http://schemas.openxmlformats.org/officeDocument/2006/relationships/table" Target="../tables/table156.xml"/><Relationship Id="rId15" Type="http://schemas.openxmlformats.org/officeDocument/2006/relationships/table" Target="../tables/table166.xml"/><Relationship Id="rId10" Type="http://schemas.openxmlformats.org/officeDocument/2006/relationships/table" Target="../tables/table161.xml"/><Relationship Id="rId4" Type="http://schemas.openxmlformats.org/officeDocument/2006/relationships/table" Target="../tables/table155.xml"/><Relationship Id="rId9" Type="http://schemas.openxmlformats.org/officeDocument/2006/relationships/table" Target="../tables/table160.xml"/><Relationship Id="rId14" Type="http://schemas.openxmlformats.org/officeDocument/2006/relationships/table" Target="../tables/table16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4CB3C-8AFA-4296-8DD8-68AEFBB1DCAF}">
  <sheetPr>
    <tabColor theme="7" tint="-0.249977111117893"/>
  </sheetPr>
  <dimension ref="A1:L50"/>
  <sheetViews>
    <sheetView showGridLines="0" zoomScaleNormal="100" workbookViewId="0">
      <selection activeCell="A41" sqref="A41"/>
    </sheetView>
  </sheetViews>
  <sheetFormatPr defaultRowHeight="15.75" x14ac:dyDescent="0.25"/>
  <cols>
    <col min="1" max="1" width="30.625" customWidth="1"/>
    <col min="2" max="2" width="4.625" customWidth="1"/>
    <col min="3" max="3" width="4.625" style="8" customWidth="1"/>
    <col min="4" max="11" width="30.625" style="8" customWidth="1"/>
    <col min="12" max="12" width="4.625" style="8" customWidth="1"/>
  </cols>
  <sheetData>
    <row r="1" spans="1:12" s="1" customFormat="1" ht="30" customHeight="1" x14ac:dyDescent="0.35">
      <c r="A1" s="37" t="e" vm="1">
        <v>#VALUE!</v>
      </c>
      <c r="C1" s="209" t="s">
        <v>825</v>
      </c>
    </row>
    <row r="2" spans="1:12" s="2" customFormat="1" ht="20.100000000000001" customHeight="1" x14ac:dyDescent="0.25">
      <c r="A2"/>
    </row>
    <row r="3" spans="1:12" ht="20.100000000000001" customHeight="1" x14ac:dyDescent="0.25">
      <c r="A3" s="220" t="str">
        <f>HYPERLINK("#'Overview'!A1", "Overview")</f>
        <v>Overview</v>
      </c>
      <c r="C3" s="210"/>
      <c r="D3" s="210"/>
      <c r="E3" s="210"/>
      <c r="F3" s="210"/>
      <c r="G3" s="210"/>
      <c r="H3" s="210"/>
      <c r="I3" s="210"/>
      <c r="J3" s="210"/>
      <c r="K3" s="210"/>
      <c r="L3" s="210"/>
    </row>
    <row r="4" spans="1:12" ht="20.100000000000001" customHeight="1" x14ac:dyDescent="0.25">
      <c r="A4" s="16" t="str">
        <f>HYPERLINK("#'Results'!A1", "Results")</f>
        <v>Results</v>
      </c>
    </row>
    <row r="5" spans="1:12" ht="20.100000000000001" customHeight="1" x14ac:dyDescent="0.25"/>
    <row r="6" spans="1:12" ht="20.100000000000001" customHeight="1" x14ac:dyDescent="0.25"/>
    <row r="7" spans="1:12" ht="20.100000000000001" customHeight="1" x14ac:dyDescent="0.25">
      <c r="A7" s="19" t="s">
        <v>67</v>
      </c>
    </row>
    <row r="8" spans="1:12" ht="20.100000000000001" customHeight="1" x14ac:dyDescent="0.25">
      <c r="A8" s="16" t="str">
        <f>HYPERLINK("#'Input - Site'!A1", "Site")</f>
        <v>Site</v>
      </c>
    </row>
    <row r="9" spans="1:12" ht="20.100000000000001" customHeight="1" x14ac:dyDescent="0.25">
      <c r="A9" s="16" t="str">
        <f>HYPERLINK("#'Input - Fuel'!A1", "Fuel")</f>
        <v>Fuel</v>
      </c>
    </row>
    <row r="10" spans="1:12" ht="20.100000000000001" customHeight="1" x14ac:dyDescent="0.25">
      <c r="A10" s="16" t="str">
        <f>HYPERLINK("#'Input - Fertiliser'!A1", "Fertiliser")</f>
        <v>Fertiliser</v>
      </c>
    </row>
    <row r="11" spans="1:12" ht="20.100000000000001" customHeight="1" x14ac:dyDescent="0.25">
      <c r="A11" s="16" t="str">
        <f>HYPERLINK("#'Input - Farm Inputs'!A1", "Farm Inputs")</f>
        <v>Farm Inputs</v>
      </c>
    </row>
    <row r="12" spans="1:12" ht="20.100000000000001" customHeight="1" x14ac:dyDescent="0.25">
      <c r="A12" s="16" t="str">
        <f>HYPERLINK("#'Input - Beef cattle purchases'!A1", "Beef cattle purchases")</f>
        <v>Beef cattle purchases</v>
      </c>
    </row>
    <row r="13" spans="1:12" ht="20.100000000000001" customHeight="1" x14ac:dyDescent="0.25">
      <c r="A13" s="16" t="str">
        <f>HYPERLINK("#'Input - Dairy cattle purchases'!A1", "Dairy cattle purchases")</f>
        <v>Dairy cattle purchases</v>
      </c>
    </row>
    <row r="14" spans="1:12" ht="20.100000000000001" customHeight="1" x14ac:dyDescent="0.25">
      <c r="A14" s="16" t="str">
        <f>HYPERLINK("#'Input - Pig purchases'!A1", "Pig purchases")</f>
        <v>Pig purchases</v>
      </c>
    </row>
    <row r="15" spans="1:12" ht="20.100000000000001" customHeight="1" x14ac:dyDescent="0.25">
      <c r="A15" s="16" t="str">
        <f>HYPERLINK("#'Input - Poultry purchases'!A1", "Poultry purchases")</f>
        <v>Poultry purchases</v>
      </c>
    </row>
    <row r="16" spans="1:12" ht="20.100000000000001" customHeight="1" x14ac:dyDescent="0.25">
      <c r="A16" s="16" t="str">
        <f>HYPERLINK("#'Input - Freight'!A1", "Freight")</f>
        <v>Freight</v>
      </c>
    </row>
    <row r="17" spans="1:1" ht="20.100000000000001" customHeight="1" x14ac:dyDescent="0.25">
      <c r="A17" s="16" t="str">
        <f>HYPERLINK("#'Input - Solid waste'!A1", "Solid waste")</f>
        <v>Solid waste</v>
      </c>
    </row>
    <row r="18" spans="1:1" ht="20.100000000000001" customHeight="1" x14ac:dyDescent="0.25">
      <c r="A18" s="16" t="str">
        <f>HYPERLINK("#'Input - Manure sent off-site'!A1", "Manure sent off-site")</f>
        <v>Manure sent off-site</v>
      </c>
    </row>
    <row r="19" spans="1:1" ht="20.100000000000001" customHeight="1" x14ac:dyDescent="0.25">
      <c r="A19" s="16" t="str">
        <f>HYPERLINK("#'Input - Electricity'!A1", "Electricity")</f>
        <v>Electricity</v>
      </c>
    </row>
    <row r="20" spans="1:1" ht="20.100000000000001" customHeight="1" x14ac:dyDescent="0.25"/>
    <row r="21" spans="1:1" ht="20.100000000000001" customHeight="1" x14ac:dyDescent="0.25"/>
    <row r="22" spans="1:1" ht="20.100000000000001" customHeight="1" x14ac:dyDescent="0.25">
      <c r="A22" s="21" t="s">
        <v>77</v>
      </c>
    </row>
    <row r="23" spans="1:1" ht="20.100000000000001" customHeight="1" x14ac:dyDescent="0.25">
      <c r="A23" s="16" t="str">
        <f>HYPERLINK("#'15 Scope 3'!A1", "15 Scope 3")</f>
        <v>15 Scope 3</v>
      </c>
    </row>
    <row r="24" spans="1:1" ht="20.100000000000001" customHeight="1" x14ac:dyDescent="0.25">
      <c r="A24" s="16" t="str">
        <f>HYPERLINK("#'10.1.1-2 Solid waste treatment'!A1", "10.1.1-2 Solid waste treatment")</f>
        <v>10.1.1-2 Solid waste treatment</v>
      </c>
    </row>
    <row r="25" spans="1:1" ht="20.100000000000001" customHeight="1" x14ac:dyDescent="0.25">
      <c r="A25" s="16" t="str">
        <f>HYPERLINK("#'Calcs - Manure sent off-site'!A1", "Calcs - Manure sent off-site")</f>
        <v>Calcs - Manure sent off-site</v>
      </c>
    </row>
    <row r="26" spans="1:1" ht="20.100000000000001" customHeight="1" x14ac:dyDescent="0.25">
      <c r="A26" s="16" t="str">
        <f>HYPERLINK("#'8.1.1.1-2 Transport fuel'!A1", "8.1.1.1-2 Transport fuel")</f>
        <v>8.1.1.1-2 Transport fuel</v>
      </c>
    </row>
    <row r="27" spans="1:1" ht="20.100000000000001" customHeight="1" x14ac:dyDescent="0.25">
      <c r="A27" s="16" t="str">
        <f>HYPERLINK("#'8.2.1.1-2 Stationary fuel'!A1", "8.2.1.1-2 Stationary fuel")</f>
        <v>8.2.1.1-2 Stationary fuel</v>
      </c>
    </row>
    <row r="28" spans="1:1" ht="20.100000000000001" customHeight="1" x14ac:dyDescent="0.25"/>
    <row r="29" spans="1:1" ht="20.100000000000001" customHeight="1" x14ac:dyDescent="0.25"/>
    <row r="30" spans="1:1" ht="20.100000000000001" customHeight="1" x14ac:dyDescent="0.25">
      <c r="A30" s="221" t="s">
        <v>78</v>
      </c>
    </row>
    <row r="31" spans="1:1" ht="20.100000000000001" customHeight="1" x14ac:dyDescent="0.25">
      <c r="A31" s="16" t="str">
        <f>HYPERLINK("#'Constants - Scope 3'!A1", "Constants - Scope 3")</f>
        <v>Constants - Scope 3</v>
      </c>
    </row>
    <row r="32" spans="1:1" ht="20.100000000000001" customHeight="1" x14ac:dyDescent="0.25">
      <c r="A32" s="16" t="str">
        <f>HYPERLINK("#'Constants - Solid Waste'!A1", "Constants - Solid Waste")</f>
        <v>Constants - Solid Waste</v>
      </c>
    </row>
    <row r="33" spans="1:1" ht="20.100000000000001" customHeight="1" x14ac:dyDescent="0.25">
      <c r="A33" s="16" t="str">
        <f>HYPERLINK("#'Constants - Fuel'!A1", "Constants - Fuel")</f>
        <v>Constants - Fuel</v>
      </c>
    </row>
    <row r="34" spans="1:1" ht="20.100000000000001" customHeight="1" x14ac:dyDescent="0.25">
      <c r="A34" s="16" t="str">
        <f>HYPERLINK("#'Constants - Poultry'!A1", "Constants - Poultry")</f>
        <v>Constants - Poultry</v>
      </c>
    </row>
    <row r="35" spans="1:1" ht="20.100000000000001" customHeight="1" x14ac:dyDescent="0.25">
      <c r="A35" s="16" t="str">
        <f>HYPERLINK("#'Constants - Swine'!A1", "Constants - Swine")</f>
        <v>Constants - Swine</v>
      </c>
    </row>
    <row r="36" spans="1:1" ht="20.100000000000001" customHeight="1" x14ac:dyDescent="0.25">
      <c r="A36" s="16" t="str">
        <f>HYPERLINK("#'Constants - Dairy'!A1", "Constants - Dairy")</f>
        <v>Constants - Dairy</v>
      </c>
    </row>
    <row r="37" spans="1:1" ht="20.100000000000001" customHeight="1" x14ac:dyDescent="0.25">
      <c r="A37" s="16" t="str">
        <f>HYPERLINK("#'Constants - Pasture Beef'!A1", "Constants - Pasture Beef")</f>
        <v>Constants - Pasture Beef</v>
      </c>
    </row>
    <row r="38" spans="1:1" ht="20.100000000000001" customHeight="1" x14ac:dyDescent="0.25">
      <c r="A38" s="16" t="str">
        <f>HYPERLINK("#'Constants - Common Livestock'!A1", "Constants - Common Livestock")</f>
        <v>Constants - Common Livestock</v>
      </c>
    </row>
    <row r="39" spans="1:1" ht="20.100000000000001" customHeight="1" x14ac:dyDescent="0.25">
      <c r="A39" s="16" t="str">
        <f>HYPERLINK("#'Constants - Fertiliser'!A1", "Constants - Fertiliser")</f>
        <v>Constants - Fertiliser</v>
      </c>
    </row>
    <row r="40" spans="1:1" ht="20.100000000000001" customHeight="1" x14ac:dyDescent="0.25">
      <c r="A40" s="16" t="str">
        <f>HYPERLINK("#'Constants - Electricity'!A1", "Constants - Electricity")</f>
        <v>Constants - Electricity</v>
      </c>
    </row>
    <row r="41" spans="1:1" ht="20.100000000000001" customHeight="1" x14ac:dyDescent="0.25">
      <c r="A41" s="16" t="str">
        <f>HYPERLINK("#'Constants - Common'!A1", "Constants - Common")</f>
        <v>Constants - Common</v>
      </c>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68BCE-33F5-40AE-A982-A30D5BED1CC9}">
  <sheetPr>
    <tabColor theme="7" tint="-0.249977111117893"/>
  </sheetPr>
  <dimension ref="A1:L50"/>
  <sheetViews>
    <sheetView showGridLines="0" topLeftCell="A6" zoomScaleNormal="100" workbookViewId="0">
      <selection activeCell="A41" sqref="A41"/>
    </sheetView>
  </sheetViews>
  <sheetFormatPr defaultRowHeight="15.75" x14ac:dyDescent="0.25"/>
  <cols>
    <col min="1" max="1" width="30.625" customWidth="1"/>
    <col min="2" max="2" width="4.625" customWidth="1"/>
    <col min="3" max="3" width="4.625" style="8" customWidth="1"/>
    <col min="4" max="4" width="72.75" style="8" customWidth="1"/>
    <col min="5" max="11" width="30.625" style="8" customWidth="1"/>
    <col min="12" max="12" width="4.625" style="8" customWidth="1"/>
  </cols>
  <sheetData>
    <row r="1" spans="1:12" s="1" customFormat="1" ht="30" customHeight="1" x14ac:dyDescent="0.35">
      <c r="A1" s="37" t="e" vm="1">
        <v>#VALUE!</v>
      </c>
      <c r="C1" s="209" t="s">
        <v>826</v>
      </c>
    </row>
    <row r="2" spans="1:12" s="2" customFormat="1" ht="20.100000000000001" customHeight="1" x14ac:dyDescent="0.25">
      <c r="A2"/>
    </row>
    <row r="3" spans="1:12" ht="20.100000000000001" customHeight="1" x14ac:dyDescent="0.25">
      <c r="A3" s="16" t="str">
        <f>HYPERLINK("#'Overview'!A1", "Overview")</f>
        <v>Overview</v>
      </c>
      <c r="C3" s="210"/>
      <c r="D3" s="210"/>
      <c r="E3" s="210"/>
      <c r="F3" s="210"/>
      <c r="G3" s="210"/>
      <c r="H3" s="210"/>
      <c r="I3" s="210"/>
      <c r="J3" s="210"/>
      <c r="K3" s="210"/>
      <c r="L3" s="210"/>
    </row>
    <row r="4" spans="1:12" ht="20.100000000000001" customHeight="1" x14ac:dyDescent="0.25">
      <c r="A4" s="220" t="str">
        <f>HYPERLINK("#'Results'!A1", "Results")</f>
        <v>Results</v>
      </c>
    </row>
    <row r="5" spans="1:12" ht="20.100000000000001" customHeight="1" x14ac:dyDescent="0.25">
      <c r="D5" s="9" t="s">
        <v>827</v>
      </c>
      <c r="E5" s="211"/>
      <c r="F5" s="211"/>
      <c r="G5" s="211"/>
      <c r="H5" s="9"/>
      <c r="I5" s="9"/>
      <c r="J5" s="9"/>
    </row>
    <row r="6" spans="1:12" ht="20.100000000000001" customHeight="1" x14ac:dyDescent="0.3">
      <c r="D6" s="212"/>
      <c r="E6" s="213"/>
      <c r="F6" s="213"/>
      <c r="G6" s="213"/>
      <c r="H6" s="211"/>
      <c r="I6" s="147"/>
      <c r="J6" s="147"/>
    </row>
    <row r="7" spans="1:12" ht="20.100000000000001" customHeight="1" x14ac:dyDescent="0.25">
      <c r="A7" s="19" t="s">
        <v>67</v>
      </c>
      <c r="D7" s="95" t="s">
        <v>828</v>
      </c>
      <c r="E7" s="110"/>
      <c r="F7" s="96"/>
      <c r="G7" s="147"/>
      <c r="H7" s="147"/>
      <c r="I7" s="147"/>
      <c r="J7" s="147"/>
    </row>
    <row r="8" spans="1:12" ht="20.100000000000001" customHeight="1" x14ac:dyDescent="0.25">
      <c r="A8" s="16" t="str">
        <f>HYPERLINK("#'Input - Site'!A1", "Site")</f>
        <v>Site</v>
      </c>
      <c r="D8" s="147"/>
      <c r="E8" s="147"/>
      <c r="F8" s="147"/>
      <c r="G8" s="147"/>
      <c r="H8" s="147"/>
      <c r="I8" s="147"/>
      <c r="J8" s="147"/>
    </row>
    <row r="9" spans="1:12" ht="20.100000000000001" customHeight="1" x14ac:dyDescent="0.25">
      <c r="A9" s="16" t="str">
        <f>HYPERLINK("#'Input - Fuel'!A1", "Fuel")</f>
        <v>Fuel</v>
      </c>
      <c r="D9" s="214" t="s">
        <v>829</v>
      </c>
      <c r="E9" s="214" t="s">
        <v>830</v>
      </c>
      <c r="F9" s="214" t="s">
        <v>831</v>
      </c>
      <c r="G9" s="214"/>
    </row>
    <row r="10" spans="1:12" ht="20.100000000000001" customHeight="1" x14ac:dyDescent="0.25">
      <c r="A10" s="16" t="str">
        <f>HYPERLINK("#'Input - Fertiliser'!A1", "Fertiliser")</f>
        <v>Fertiliser</v>
      </c>
      <c r="D10" s="8" t="str" cm="1">
        <f t="array" ref="D10">Common_InputFunctions.Utility_ResultsItemFromEquationTitleAndSource('15 Scope 3'!D5,'15 Scope 3'!D6)</f>
        <v>15.1.1.1 Total emissions from purchased livestock</v>
      </c>
      <c r="E10" s="215" t="s">
        <v>844</v>
      </c>
      <c r="F10" s="215" t="s">
        <v>844</v>
      </c>
      <c r="G10" s="13" t="s">
        <v>832</v>
      </c>
    </row>
    <row r="11" spans="1:12" ht="20.100000000000001" customHeight="1" x14ac:dyDescent="0.25">
      <c r="A11" s="16" t="str">
        <f>HYPERLINK("#'Input - Farm Inputs'!A1", "Farm Inputs")</f>
        <v>Farm Inputs</v>
      </c>
      <c r="D11" s="216" t="str">
        <f>'15 Scope 3'!D21</f>
        <v>Beef cattle</v>
      </c>
      <c r="E11" s="215">
        <f>VEERG_15_1_1_1__1_EmissionsFromPurchasedLivestock_BeefCattle_Result_Method1</f>
        <v>1052.5</v>
      </c>
      <c r="F11" s="215">
        <f>VEERG_15_1_1_1__1_EmissionsFromPurchasedLivestock_BeefCattle_Result_Method2</f>
        <v>1014.5</v>
      </c>
      <c r="G11" s="13" t="s">
        <v>832</v>
      </c>
    </row>
    <row r="12" spans="1:12" ht="20.100000000000001" customHeight="1" x14ac:dyDescent="0.25">
      <c r="A12" s="16" t="str">
        <f>HYPERLINK("#'Input - Beef cattle purchases'!A1", "Beef cattle purchases")</f>
        <v>Beef cattle purchases</v>
      </c>
      <c r="D12" s="216" t="str">
        <f>'15 Scope 3'!D38</f>
        <v>Dairy cattle</v>
      </c>
      <c r="E12" s="215">
        <f>VEERG_15_1_1_1__1_EmissionsFromPurchasedLivestock_DairyCattle_Result_Method1</f>
        <v>295.47000000000003</v>
      </c>
      <c r="F12" s="215">
        <f>VEERG_15_1_1_1__1_EmissionsFromPurchasedLivestock_DairyCattle_Result_Method2</f>
        <v>415.625</v>
      </c>
      <c r="G12" s="13" t="s">
        <v>832</v>
      </c>
    </row>
    <row r="13" spans="1:12" ht="20.100000000000001" customHeight="1" x14ac:dyDescent="0.25">
      <c r="A13" s="16" t="str">
        <f>HYPERLINK("#'Input - Dairy cattle purchases'!A1", "Dairy cattle purchases")</f>
        <v>Dairy cattle purchases</v>
      </c>
      <c r="D13" s="216" t="str">
        <f>'15 Scope 3'!D57</f>
        <v>Pigs</v>
      </c>
      <c r="E13" s="215">
        <f>VEERG_15_1_1_1__1_EmissionsFromPurchasedLivestock_Pigs_Result_Method1</f>
        <v>0</v>
      </c>
      <c r="F13" s="215">
        <f>VEERG_15_1_1_1__1_EmissionsFromPurchasedLivestock_Pigs_Result_Method2</f>
        <v>73.38000000000001</v>
      </c>
      <c r="G13" s="13" t="s">
        <v>832</v>
      </c>
    </row>
    <row r="14" spans="1:12" ht="20.100000000000001" customHeight="1" x14ac:dyDescent="0.25">
      <c r="A14" s="16" t="str">
        <f>HYPERLINK("#'Input - Pig purchases'!A1", "Pig purchases")</f>
        <v>Pig purchases</v>
      </c>
      <c r="D14" s="216" t="str">
        <f>'15 Scope 3'!D75</f>
        <v>Poultry</v>
      </c>
      <c r="E14" s="215">
        <f>VEERG_15_1_1_1__1_EmissionsFromPurchasedLivestock_Poultry_Result_Method1</f>
        <v>0.36720000000000003</v>
      </c>
      <c r="F14" s="215">
        <f>VEERG_15_1_1_1__1_EmissionsFromPurchasedLivestock_Poultry_Result_Method2</f>
        <v>0.35940000000000005</v>
      </c>
      <c r="G14" s="13" t="s">
        <v>832</v>
      </c>
    </row>
    <row r="15" spans="1:12" ht="20.100000000000001" customHeight="1" x14ac:dyDescent="0.25">
      <c r="A15" s="16" t="str">
        <f>HYPERLINK("#'Input - Poultry purchases'!A1", "Poultry purchases")</f>
        <v>Poultry purchases</v>
      </c>
      <c r="C15" s="217"/>
      <c r="D15" s="8" t="str" cm="1">
        <f t="array" ref="D15">Common_InputFunctions.Utility_ResultsItemFromEquationTitleAndSource('15 Scope 3'!D98,'15 Scope 3'!D99)</f>
        <v>15.2.1.1 Emissions from purchased feed</v>
      </c>
      <c r="E15" s="215">
        <f>VEERG_15_2_1_1__1_EmissionsFromPurchasedFeed_Result_Method1</f>
        <v>377.05200000000002</v>
      </c>
      <c r="F15" s="215">
        <f>VEERG_15_2_1_1__1_EmissionsFromPurchasedFeed_Result_Method2</f>
        <v>529.78</v>
      </c>
      <c r="G15" s="13" t="s">
        <v>832</v>
      </c>
    </row>
    <row r="16" spans="1:12" ht="20.100000000000001" customHeight="1" x14ac:dyDescent="0.25">
      <c r="A16" s="16" t="str">
        <f>HYPERLINK("#'Input - Freight'!A1", "Freight")</f>
        <v>Freight</v>
      </c>
      <c r="C16" s="217"/>
      <c r="D16" s="8" t="str" cm="1">
        <f t="array" ref="D16">Common_InputFunctions.Utility_ResultsItemFromEquationTitleAndSource('15 Scope 3'!D149,'15 Scope 3'!D150)</f>
        <v>15.3.1.1 Total emissions from purchased mineral supplements</v>
      </c>
      <c r="E16" s="215">
        <f>VEERG_15_3_1_1__1_EmissionsFromPurchasedMineralSupplements_Result_Method1</f>
        <v>178.9</v>
      </c>
      <c r="F16" s="215">
        <f>VEERG_15_3_1_1__1_EmissionsFromPurchasedMineralSupplements_Result_Method2</f>
        <v>160</v>
      </c>
      <c r="G16" s="13" t="s">
        <v>832</v>
      </c>
    </row>
    <row r="17" spans="1:8" ht="20.100000000000001" customHeight="1" x14ac:dyDescent="0.25">
      <c r="A17" s="16" t="str">
        <f>HYPERLINK("#'Input - Solid waste'!A1", "Solid waste")</f>
        <v>Solid waste</v>
      </c>
      <c r="D17" s="8" t="str" cm="1">
        <f t="array" ref="D17">Common_InputFunctions.Utility_ResultsItemFromEquationTitleAndSource('15 Scope 3'!D186,'15 Scope 3'!D187)</f>
        <v>15.4.1.1 Emissions from purchased fertiliser</v>
      </c>
      <c r="E17" s="215">
        <f>VEERG_15_4_1_1__2_EmissionsFromPurchasedFertiliserComponentsVariation_Result_Method1</f>
        <v>78.284322000000003</v>
      </c>
      <c r="F17" s="215">
        <f>VEERG_15_4_1_1__2_EmissionsFromPurchasedFertiliserComponentsVariation_Result_Method2</f>
        <v>75.743047000000004</v>
      </c>
      <c r="G17" s="13" t="s">
        <v>832</v>
      </c>
    </row>
    <row r="18" spans="1:8" ht="20.100000000000001" customHeight="1" x14ac:dyDescent="0.25">
      <c r="A18" s="16" t="str">
        <f>HYPERLINK("#'Input - Manure sent off-site'!A1", "Manure sent off-site")</f>
        <v>Manure sent off-site</v>
      </c>
      <c r="D18" s="8" t="str" cm="1">
        <f t="array" ref="D18">Common_InputFunctions.Utility_ResultsItemFromEquationTitleAndSource('15 Scope 3'!D256,'15 Scope 3'!D257)</f>
        <v>15.5.1.1 Total emissions from purchased agrichemicals</v>
      </c>
      <c r="E18" s="215">
        <f>VEERG_15_5_1_1__1_EmissionsFromPurchasedAgrichemicals_Result_Method1</f>
        <v>7.5159999999999991</v>
      </c>
      <c r="F18" s="215">
        <f>VEERG_15_5_1_1__1_EmissionsFromPurchasedAgrichemicals_Result_Method2</f>
        <v>7.4959999999999996</v>
      </c>
      <c r="G18" s="13" t="s">
        <v>832</v>
      </c>
    </row>
    <row r="19" spans="1:8" ht="20.100000000000001" customHeight="1" x14ac:dyDescent="0.25">
      <c r="A19" s="16" t="str">
        <f>HYPERLINK("#'Input - Electricity'!A1", "Electricity")</f>
        <v>Electricity</v>
      </c>
      <c r="D19" s="8" t="str" cm="1">
        <f t="array" ref="D19">Common_InputFunctions.Utility_ResultsItemFromEquationTitleAndSource('15 Scope 3'!D288,'15 Scope 3'!D289)</f>
        <v>15.6.1.1 Embedded emissions for purchased lime</v>
      </c>
      <c r="E19" s="215">
        <f>VEERG_15_6_1_1__1_EmissionsFromPurchasedLime_Result_Method1</f>
        <v>1.6553999999999999E-2</v>
      </c>
      <c r="F19" s="215">
        <f>VEERG_15_6_1_1__1_EmissionsFromPurchasedLime_Result_Method2</f>
        <v>1.4400000000000001E-2</v>
      </c>
      <c r="G19" s="13" t="s">
        <v>832</v>
      </c>
    </row>
    <row r="20" spans="1:8" ht="20.100000000000001" customHeight="1" x14ac:dyDescent="0.25">
      <c r="D20" s="8" t="str" cm="1">
        <f t="array" ref="D20">Common_InputFunctions.Utility_ResultsItemFromEquationTitleAndSource('15 Scope 3'!D321,'15 Scope 3'!D322)</f>
        <v>15.7.1.1 Emissions of purchased services and contractor operations</v>
      </c>
      <c r="E20" s="215" t="str">
        <f>VEERG_15_7_1_1__1_EmissionsFromPurchasedServices_Result_Method1</f>
        <v>No data</v>
      </c>
      <c r="F20" s="215">
        <f>VEERG_15_7_1_1__1_EmissionsFromPurchasedServices_Result_Method2</f>
        <v>42</v>
      </c>
      <c r="G20" s="13" t="s">
        <v>832</v>
      </c>
      <c r="H20" s="217"/>
    </row>
    <row r="21" spans="1:8" ht="20.100000000000001" customHeight="1" x14ac:dyDescent="0.25">
      <c r="D21" s="8" t="str" cm="1">
        <f t="array" ref="D21">Common_InputFunctions.Utility_ResultsItemFromEquationTitleAndSource('15 Scope 3'!D352,'15 Scope 3'!D353)</f>
        <v>15.8.1.1 Embedded emissions from use of packaging materials</v>
      </c>
      <c r="E21" s="215">
        <f>VEERG_15_8_1_1__1_EmissionsFromPurchasedPackaging_Result_Method1</f>
        <v>7.44</v>
      </c>
      <c r="F21" s="215">
        <f>VEERG_15_8_1_1__1_EmissionsFromPurchasedPackaging_Result_Method2</f>
        <v>6</v>
      </c>
      <c r="G21" s="13" t="s">
        <v>832</v>
      </c>
    </row>
    <row r="22" spans="1:8" ht="20.100000000000001" customHeight="1" x14ac:dyDescent="0.25">
      <c r="A22" s="21" t="s">
        <v>77</v>
      </c>
      <c r="D22" s="8" t="str" cm="1">
        <f t="array" ref="D22">Common_InputFunctions.Utility_ResultsItemFromEquationTitleAndSource('15 Scope 3'!D383,'15 Scope 3'!D384)</f>
        <v>15.9.1.1 Embedded emissions from use of grow media products</v>
      </c>
      <c r="E22" s="215" t="str">
        <f>VEERG_15_9_1_1__1_EmissionsFromPurchasedGrowMedia_Result_Method1</f>
        <v>No data</v>
      </c>
      <c r="F22" s="215">
        <f>VEERG_15_9_1_1__1_EmissionsFromPurchasedGrowMedia_Result_Method2</f>
        <v>40.200000000000003</v>
      </c>
      <c r="G22" s="13" t="s">
        <v>832</v>
      </c>
    </row>
    <row r="23" spans="1:8" ht="20.100000000000001" customHeight="1" x14ac:dyDescent="0.25">
      <c r="A23" s="16" t="str">
        <f>HYPERLINK("#'15 Scope 3'!A1", "15 Scope 3")</f>
        <v>15 Scope 3</v>
      </c>
      <c r="D23" s="8" t="str" cm="1">
        <f t="array" ref="D23">Common_InputFunctions.Utility_ResultsItemFromEquationTitleAndSource('15 Scope 3'!D415,'15 Scope 3'!D416)</f>
        <v>15.10 Other purchased goods and services generic estimate</v>
      </c>
      <c r="E23" s="215" t="s">
        <v>844</v>
      </c>
      <c r="F23" s="215" t="s">
        <v>844</v>
      </c>
      <c r="G23" s="13" t="s">
        <v>832</v>
      </c>
    </row>
    <row r="24" spans="1:8" ht="20.100000000000001" customHeight="1" x14ac:dyDescent="0.25">
      <c r="A24" s="16" t="str">
        <f>HYPERLINK("#'10.1.1-2 Solid waste treatment'!A1", "10.1.1-2 Solid waste treatment")</f>
        <v>10.1.1-2 Solid waste treatment</v>
      </c>
      <c r="D24" s="216" t="str">
        <f>'15 Scope 3'!D427</f>
        <v>Cleaning chemical purchases</v>
      </c>
      <c r="E24" s="215">
        <f>VEERG_15_10_1_1__1_OtherPurchasedGoodsAndServices_CleaningChemicals_Result_Method1</f>
        <v>0.50509999999999999</v>
      </c>
      <c r="F24" s="215">
        <f>VEERG_15_10_1_1__1_OtherPurchasedGoodsAndServices_CleaningChemicals_Result_Method2</f>
        <v>2.73</v>
      </c>
      <c r="G24" s="13" t="s">
        <v>832</v>
      </c>
    </row>
    <row r="25" spans="1:8" ht="20.100000000000001" customHeight="1" x14ac:dyDescent="0.25">
      <c r="A25" s="16" t="str">
        <f>HYPERLINK("#'Calcs - Manure sent off-site'!A1", "Calcs - Manure sent off-site")</f>
        <v>Calcs - Manure sent off-site</v>
      </c>
      <c r="D25" s="216" t="str">
        <f>'15 Scope 3'!D445</f>
        <v>Pharmacy chemical purchases</v>
      </c>
      <c r="E25" s="215">
        <f>VEERG_15_10_1_1__1_OtherPurchasedGoodsAndServices_PharmacyChemicals_Result_Method1</f>
        <v>1.5636000000000001E-2</v>
      </c>
      <c r="F25" s="215">
        <f>VEERG_15_10_1_1__1_OtherPurchasedGoodsAndServices_PharmacyChemicals_Result_Method2</f>
        <v>1.3400000000000002E-2</v>
      </c>
      <c r="G25" s="13" t="s">
        <v>832</v>
      </c>
    </row>
    <row r="26" spans="1:8" ht="20.100000000000001" customHeight="1" x14ac:dyDescent="0.25">
      <c r="A26" s="16" t="str">
        <f>HYPERLINK("#'8.1.1.1-2 Transport fuel'!A1", "8.1.1.1-2 Transport fuel")</f>
        <v>8.1.1.1-2 Transport fuel</v>
      </c>
      <c r="D26" s="216" t="str">
        <f>'15 Scope 3'!D463</f>
        <v>Seed</v>
      </c>
      <c r="E26" s="215">
        <f>VEERG_15_10_1_1__1_OtherPurchasedGoodsAndServices_Seed_Result_Method1</f>
        <v>0.84389999999999998</v>
      </c>
      <c r="F26" s="215">
        <f>VEERG_15_10_1_1__1_OtherPurchasedGoodsAndServices_Seed_Result_Method2</f>
        <v>0.71420000000000006</v>
      </c>
      <c r="G26" s="13" t="s">
        <v>832</v>
      </c>
    </row>
    <row r="27" spans="1:8" ht="20.100000000000001" customHeight="1" x14ac:dyDescent="0.25">
      <c r="A27" s="16" t="str">
        <f>HYPERLINK("#'8.2.1.1-2 Stationary fuel'!A1", "8.2.1.1-2 Stationary fuel")</f>
        <v>8.2.1.1-2 Stationary fuel</v>
      </c>
      <c r="D27" s="216" t="str">
        <f>'15 Scope 3'!D476</f>
        <v>Miscellaneous Inputs</v>
      </c>
      <c r="E27" s="215">
        <f>VEERG_15_10_1_1__1_OtherPurchasedGoodsAndServices_Misc_Result_Method1</f>
        <v>2.9531000000000005</v>
      </c>
      <c r="F27" s="215">
        <f>VEERG_15_10_1_1__1_OtherPurchasedGoodsAndServices_Misc_Result_Method2</f>
        <v>8.5860000000000006E-2</v>
      </c>
      <c r="G27" s="13" t="s">
        <v>832</v>
      </c>
    </row>
    <row r="28" spans="1:8" ht="20.100000000000001" customHeight="1" x14ac:dyDescent="0.25">
      <c r="D28" s="216" t="str">
        <f>'15 Scope 3'!D487</f>
        <v>Uncategorised products with no Method 1 EF data</v>
      </c>
      <c r="E28" s="215" t="str">
        <f>VEERG_15_10_1_1__1_OtherPurchasedGoodsAndServices_Uncategorised_Result_Method1</f>
        <v>No data</v>
      </c>
      <c r="F28" s="215">
        <f>VEERG_15_10_1_1__1_OtherPurchasedGoodsAndServices_Uncategorised_Result_Method2</f>
        <v>4000</v>
      </c>
      <c r="G28" s="13" t="s">
        <v>832</v>
      </c>
    </row>
    <row r="29" spans="1:8" ht="20.100000000000001" customHeight="1" x14ac:dyDescent="0.25">
      <c r="D29" s="8" t="str" cm="1">
        <f t="array" ref="D29">Common_InputFunctions.Utility_ResultsItemFromEquationTitleAndSource('15 Scope 3'!D506,'15 Scope 3'!D507)</f>
        <v>15.11.1.1 Total upstream emissions from scope 1 fuel consumption</v>
      </c>
      <c r="E29" s="215">
        <f>VEERG_15_11_1_1__1_TotalUpstreamEmissionsFromFuel_Result</f>
        <v>26.794</v>
      </c>
      <c r="F29" s="215">
        <f>E29</f>
        <v>26.794</v>
      </c>
      <c r="G29" s="13" t="s">
        <v>832</v>
      </c>
    </row>
    <row r="30" spans="1:8" ht="20.100000000000001" customHeight="1" x14ac:dyDescent="0.25">
      <c r="A30" s="221" t="s">
        <v>78</v>
      </c>
      <c r="D30" s="8" t="str" cm="1">
        <f t="array" ref="D30">Common_InputFunctions.Utility_ResultsItemFromEquationTitleAndSource('15 Scope 3'!D521,'15 Scope 3'!D522)</f>
        <v>15.12.1.1 Scope 3 emissions from purchased electricity location based</v>
      </c>
      <c r="E30" s="215">
        <f>VEERG_15_12_1_1__1_UpstreamPurchasedElectricityLocationBased_Result</f>
        <v>2.7</v>
      </c>
      <c r="F30" s="215">
        <f>E30</f>
        <v>2.7</v>
      </c>
      <c r="G30" s="13" t="s">
        <v>832</v>
      </c>
    </row>
    <row r="31" spans="1:8" ht="20.100000000000001" customHeight="1" x14ac:dyDescent="0.25">
      <c r="A31" s="16" t="str">
        <f>HYPERLINK("#'Constants - Scope 3'!A1", "Constants - Scope 3")</f>
        <v>Constants - Scope 3</v>
      </c>
      <c r="D31" s="8" t="str" cm="1">
        <f t="array" ref="D31">Common_InputFunctions.Utility_ResultsItemFromEquationTitleAndSource('15 Scope 3'!D537,'15 Scope 3'!D538)</f>
        <v>15.12.1.2 Scope 3 emissions from purchased electricity market based</v>
      </c>
      <c r="E31" s="215">
        <f>VEERG_15_12_1_2__1_UpstreamPurchasedElectricityMarketBasedVariation_Result</f>
        <v>1.5</v>
      </c>
      <c r="F31" s="215">
        <f>E31</f>
        <v>1.5</v>
      </c>
      <c r="G31" s="13" t="s">
        <v>832</v>
      </c>
    </row>
    <row r="32" spans="1:8" ht="20.100000000000001" customHeight="1" x14ac:dyDescent="0.25">
      <c r="A32" s="16" t="str">
        <f>HYPERLINK("#'Constants - Solid Waste'!A1", "Constants - Solid Waste")</f>
        <v>Constants - Solid Waste</v>
      </c>
      <c r="D32" s="8" t="str" cm="1">
        <f t="array" ref="D32">Common_InputFunctions.Utility_ResultsItemFromEquationTitleAndSource('15 Scope 3'!D559,'15 Scope 3'!D560)</f>
        <v>15.13.1.1 Emissions from manure sent off site applied to soils in another farming system or enterprise</v>
      </c>
      <c r="E32" s="215">
        <f>VEERG_15_13_1_1__1_EmissionsFromManureSentOffSite_Result_Method1_CO2e</f>
        <v>3.7936642857142857</v>
      </c>
      <c r="F32" s="215">
        <f>VEERG_15_13_1_1__1_EmissionsFromManureSentOffSite_Result_Method2_CO2e</f>
        <v>7.5873285714285714</v>
      </c>
      <c r="G32" s="13" t="s">
        <v>832</v>
      </c>
    </row>
    <row r="33" spans="1:7" ht="20.100000000000001" customHeight="1" x14ac:dyDescent="0.25">
      <c r="A33" s="16" t="str">
        <f>HYPERLINK("#'Constants - Fuel'!A1", "Constants - Fuel")</f>
        <v>Constants - Fuel</v>
      </c>
      <c r="D33" s="8" t="str" cm="1">
        <f t="array" ref="D33">Common_InputFunctions.Utility_ResultsItemFromEquationTitleAndSource('15 Scope 3'!D582,'15 Scope 3'!D583&amp;",")</f>
        <v>15.13.1.3 Emissions from solid waste sent to a treatment facility</v>
      </c>
      <c r="E33" s="215">
        <f>VEERG_10_1_1_1__1_EmissionsFromWasteManagement_Scope3_Result_Method1</f>
        <v>441.15000000000003</v>
      </c>
      <c r="F33" s="215">
        <f>E33</f>
        <v>441.15000000000003</v>
      </c>
      <c r="G33" s="13" t="s">
        <v>832</v>
      </c>
    </row>
    <row r="34" spans="1:7" ht="20.100000000000001" customHeight="1" x14ac:dyDescent="0.25">
      <c r="A34" s="16" t="str">
        <f>HYPERLINK("#'Constants - Poultry'!A1", "Constants - Poultry")</f>
        <v>Constants - Poultry</v>
      </c>
      <c r="D34" s="8" t="str" cm="1">
        <f t="array" ref="D34">Common_InputFunctions.Utility_ResultsItemFromEquationTitleAndSource('15 Scope 3'!D592,'15 Scope 3'!D593)</f>
        <v>15.14.1.1 Embedded emissions from upstream freight</v>
      </c>
      <c r="E34" s="215" t="s">
        <v>844</v>
      </c>
      <c r="F34" s="215" t="s">
        <v>844</v>
      </c>
      <c r="G34" s="13" t="s">
        <v>832</v>
      </c>
    </row>
    <row r="35" spans="1:7" ht="20.100000000000001" customHeight="1" x14ac:dyDescent="0.25">
      <c r="A35" s="16" t="str">
        <f>HYPERLINK("#'Constants - Swine'!A1", "Constants - Swine")</f>
        <v>Constants - Swine</v>
      </c>
      <c r="D35" s="216" t="str">
        <f>'15 Scope 3'!D606</f>
        <v>Incoming freight</v>
      </c>
      <c r="E35" s="215" t="str">
        <f>VEERG_15_14_1_1__1_EmbeddedEmissionsFromUpstreamFreight_Incoming_Result_Method1</f>
        <v>No data</v>
      </c>
      <c r="F35" s="215">
        <f>VEERG_15_14_1_1__1_EmbeddedEmissionsFromUpstreamFreight_Incoming_Result_Method2</f>
        <v>5146700</v>
      </c>
      <c r="G35" s="13" t="s">
        <v>832</v>
      </c>
    </row>
    <row r="36" spans="1:7" ht="20.100000000000001" customHeight="1" x14ac:dyDescent="0.25">
      <c r="A36" s="16" t="str">
        <f>HYPERLINK("#'Constants - Dairy'!A1", "Constants - Dairy")</f>
        <v>Constants - Dairy</v>
      </c>
      <c r="D36" s="216" t="str">
        <f>'15 Scope 3'!D624</f>
        <v>Outgoing freight</v>
      </c>
      <c r="E36" s="215" t="str">
        <f>VEERG_15_14_1_1__1_EmbeddedEmissionsFromUpstreamFreight_Outgoing_Result_Method1</f>
        <v>No data</v>
      </c>
      <c r="F36" s="215">
        <f>VEERG_15_14_1_1__1_EmbeddedEmissionsFromUpstreamFreight_Outgoing_Result_Method2</f>
        <v>432640</v>
      </c>
      <c r="G36" s="13" t="s">
        <v>832</v>
      </c>
    </row>
    <row r="37" spans="1:7" ht="20.100000000000001" customHeight="1" x14ac:dyDescent="0.25">
      <c r="A37" s="16" t="str">
        <f>HYPERLINK("#'Constants - Pasture Beef'!A1", "Constants - Pasture Beef")</f>
        <v>Constants - Pasture Beef</v>
      </c>
      <c r="D37" s="60" t="s">
        <v>218</v>
      </c>
      <c r="E37" s="218">
        <f>SUM(E10:E36)</f>
        <v>2477.8014762857151</v>
      </c>
      <c r="F37" s="218">
        <f>SUM(F10:F36)</f>
        <v>5586188.3726355713</v>
      </c>
      <c r="G37" s="174" t="s">
        <v>832</v>
      </c>
    </row>
    <row r="38" spans="1:7" ht="20.100000000000001" customHeight="1" x14ac:dyDescent="0.25">
      <c r="A38" s="16" t="str">
        <f>HYPERLINK("#'Constants - Common Livestock'!A1", "Constants - Common Livestock")</f>
        <v>Constants - Common Livestock</v>
      </c>
    </row>
    <row r="39" spans="1:7" ht="20.100000000000001" customHeight="1" x14ac:dyDescent="0.25">
      <c r="A39" s="16" t="str">
        <f>HYPERLINK("#'Constants - Fertiliser'!A1", "Constants - Fertiliser")</f>
        <v>Constants - Fertiliser</v>
      </c>
    </row>
    <row r="40" spans="1:7" ht="20.100000000000001" customHeight="1" x14ac:dyDescent="0.25">
      <c r="A40" s="16" t="str">
        <f>HYPERLINK("#'Constants - Electricity'!A1", "Constants - Electricity")</f>
        <v>Constants - Electricity</v>
      </c>
    </row>
    <row r="41" spans="1:7" ht="20.100000000000001" customHeight="1" x14ac:dyDescent="0.25">
      <c r="A41" s="16" t="str">
        <f>HYPERLINK("#'Constants - Common'!A1", "Constants - Common")</f>
        <v>Constants - Common</v>
      </c>
    </row>
    <row r="42" spans="1:7" ht="20.100000000000001" customHeight="1" x14ac:dyDescent="0.25"/>
    <row r="43" spans="1:7" ht="20.100000000000001" customHeight="1" x14ac:dyDescent="0.25"/>
    <row r="44" spans="1:7" ht="20.100000000000001" customHeight="1" x14ac:dyDescent="0.25"/>
    <row r="45" spans="1:7" ht="20.100000000000001" customHeight="1" x14ac:dyDescent="0.25"/>
    <row r="46" spans="1:7" ht="20.100000000000001" customHeight="1" x14ac:dyDescent="0.25"/>
    <row r="47" spans="1:7" ht="20.100000000000001" customHeight="1" x14ac:dyDescent="0.25"/>
    <row r="48" spans="1:7" ht="20.100000000000001" customHeight="1" x14ac:dyDescent="0.25"/>
    <row r="49" ht="20.100000000000001" customHeight="1" x14ac:dyDescent="0.25"/>
    <row r="50" ht="20.100000000000001"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9D2D7-2466-41E1-8008-B78684068F40}">
  <sheetPr>
    <pageSetUpPr autoPageBreaks="0"/>
  </sheetPr>
  <dimension ref="A1:AA160"/>
  <sheetViews>
    <sheetView showGridLines="0" zoomScaleNormal="100" workbookViewId="0">
      <selection activeCell="A41" sqref="A41"/>
    </sheetView>
  </sheetViews>
  <sheetFormatPr defaultColWidth="8" defaultRowHeight="15.75" x14ac:dyDescent="0.25"/>
  <cols>
    <col min="1" max="1" width="26.875" style="18" customWidth="1"/>
    <col min="2" max="2" width="4.125" style="4" customWidth="1"/>
    <col min="3" max="3" width="4.125" style="7" customWidth="1"/>
    <col min="4" max="4" width="53.125" style="7" customWidth="1"/>
    <col min="5" max="5" width="44.375" style="7" customWidth="1"/>
    <col min="6" max="11" width="25.125" style="7" customWidth="1"/>
    <col min="12" max="25" width="25.125" style="4" customWidth="1"/>
    <col min="26" max="27" width="8" style="4"/>
    <col min="28" max="16384" width="8" style="7"/>
  </cols>
  <sheetData>
    <row r="1" spans="1:24" s="4" customFormat="1" ht="30" customHeight="1" x14ac:dyDescent="0.35">
      <c r="A1" s="37" t="e" vm="1">
        <v>#VALUE!</v>
      </c>
      <c r="C1" s="102" t="s">
        <v>259</v>
      </c>
    </row>
    <row r="2" spans="1:24" s="4" customFormat="1" ht="20.100000000000001" customHeight="1" x14ac:dyDescent="0.25">
      <c r="A2"/>
      <c r="C2" s="2"/>
      <c r="D2" s="2"/>
      <c r="E2" s="2"/>
      <c r="F2" s="2"/>
      <c r="G2" s="2"/>
      <c r="H2" s="2"/>
      <c r="I2" s="2"/>
      <c r="J2" s="2"/>
    </row>
    <row r="3" spans="1:24" ht="20.100000000000001" customHeight="1" x14ac:dyDescent="0.25">
      <c r="A3" s="16" t="str">
        <f>HYPERLINK("#'Overview'!A1", "Overview")</f>
        <v>Overview</v>
      </c>
      <c r="C3" s="38"/>
      <c r="D3" s="38"/>
      <c r="E3" s="38"/>
      <c r="F3" s="38"/>
      <c r="G3" s="38"/>
      <c r="H3" s="38"/>
      <c r="I3" s="38"/>
      <c r="J3" s="38"/>
      <c r="K3" s="38"/>
      <c r="M3" s="6"/>
      <c r="N3" s="6"/>
      <c r="O3" s="6"/>
      <c r="P3" s="6"/>
      <c r="Q3" s="6"/>
      <c r="R3" s="6"/>
      <c r="S3" s="6"/>
      <c r="T3" s="6"/>
      <c r="U3" s="6"/>
      <c r="V3" s="6"/>
      <c r="W3" s="6"/>
      <c r="X3" s="6"/>
    </row>
    <row r="4" spans="1:24" ht="20.100000000000001" customHeight="1" x14ac:dyDescent="0.25">
      <c r="A4" s="16" t="str">
        <f>HYPERLINK("#'Results'!A1", "Results")</f>
        <v>Results</v>
      </c>
      <c r="C4" s="103"/>
      <c r="D4" s="103"/>
      <c r="E4" s="103"/>
      <c r="F4" s="103"/>
      <c r="G4" s="103"/>
      <c r="H4" s="103"/>
      <c r="I4" s="103"/>
      <c r="J4" s="103"/>
      <c r="K4" s="103"/>
    </row>
    <row r="5" spans="1:24" ht="20.100000000000001" customHeight="1" x14ac:dyDescent="0.25">
      <c r="A5"/>
      <c r="D5" s="9" t="s">
        <v>260</v>
      </c>
      <c r="N5" s="104"/>
    </row>
    <row r="6" spans="1:24" ht="20.100000000000001" customHeight="1" x14ac:dyDescent="0.25">
      <c r="A6"/>
      <c r="D6" s="105"/>
      <c r="N6" s="106"/>
    </row>
    <row r="7" spans="1:24" ht="20.100000000000001" customHeight="1" x14ac:dyDescent="0.25">
      <c r="A7" s="19" t="s">
        <v>67</v>
      </c>
      <c r="D7" s="8" t="s">
        <v>261</v>
      </c>
      <c r="E7" s="82" t="s">
        <v>262</v>
      </c>
      <c r="F7" s="65"/>
    </row>
    <row r="8" spans="1:24" ht="20.100000000000001" customHeight="1" x14ac:dyDescent="0.25">
      <c r="A8" s="42" t="str">
        <f>HYPERLINK("#'Input - Site'!A1", "Site")</f>
        <v>Site</v>
      </c>
      <c r="D8" s="107" t="s">
        <v>263</v>
      </c>
      <c r="E8" s="82" t="s">
        <v>264</v>
      </c>
    </row>
    <row r="9" spans="1:24" ht="20.100000000000001" customHeight="1" x14ac:dyDescent="0.25">
      <c r="A9" s="16" t="str">
        <f>HYPERLINK("#'Input - Fuel'!A1", "Fuel")</f>
        <v>Fuel</v>
      </c>
      <c r="N9" s="108"/>
    </row>
    <row r="10" spans="1:24" ht="20.100000000000001" customHeight="1" x14ac:dyDescent="0.25">
      <c r="A10" s="16" t="str">
        <f>HYPERLINK("#'Input - Fertiliser'!A1", "Fertiliser")</f>
        <v>Fertiliser</v>
      </c>
      <c r="D10" s="95" t="s">
        <v>265</v>
      </c>
      <c r="E10" s="109"/>
      <c r="F10" s="110"/>
      <c r="G10" s="96"/>
      <c r="N10" s="108"/>
    </row>
    <row r="11" spans="1:24" ht="20.100000000000001" customHeight="1" x14ac:dyDescent="0.25">
      <c r="A11" s="16" t="str">
        <f>HYPERLINK("#'Input - Farm Inputs'!A1", "Farm Inputs")</f>
        <v>Farm Inputs</v>
      </c>
      <c r="N11" s="111"/>
    </row>
    <row r="12" spans="1:24" ht="20.100000000000001" customHeight="1" x14ac:dyDescent="0.25">
      <c r="A12" s="16" t="str">
        <f>HYPERLINK("#'Input - Beef cattle purchases'!A1", "Beef cattle purchases")</f>
        <v>Beef cattle purchases</v>
      </c>
      <c r="D12" s="107" t="s">
        <v>266</v>
      </c>
      <c r="E12" s="112">
        <v>45292</v>
      </c>
      <c r="F12" s="65" t="s">
        <v>267</v>
      </c>
    </row>
    <row r="13" spans="1:24" ht="20.100000000000001" customHeight="1" x14ac:dyDescent="0.25">
      <c r="A13" s="16" t="str">
        <f>HYPERLINK("#'Input - Dairy cattle purchases'!A1", "Dairy cattle purchases")</f>
        <v>Dairy cattle purchases</v>
      </c>
      <c r="D13" s="107" t="s">
        <v>268</v>
      </c>
      <c r="E13" s="113">
        <f>DATE(YEAR(X_Cell_Site_StartDate)+1,MONTH(X_Cell_Site_StartDate),DAY(X_Cell_Site_StartDate))-1</f>
        <v>45657</v>
      </c>
      <c r="F13" s="65" t="s">
        <v>269</v>
      </c>
      <c r="N13" s="114"/>
      <c r="O13" s="114"/>
    </row>
    <row r="14" spans="1:24" ht="20.100000000000001" customHeight="1" x14ac:dyDescent="0.25">
      <c r="A14" s="16" t="str">
        <f>HYPERLINK("#'Input - Pig purchases'!A1", "Pig purchases")</f>
        <v>Pig purchases</v>
      </c>
      <c r="N14" s="114"/>
      <c r="O14" s="114"/>
    </row>
    <row r="15" spans="1:24" ht="20.100000000000001" customHeight="1" x14ac:dyDescent="0.25">
      <c r="A15" s="16" t="str">
        <f>HYPERLINK("#'Input - Poultry purchases'!A1", "Poultry purchases")</f>
        <v>Poultry purchases</v>
      </c>
      <c r="N15" s="114"/>
      <c r="O15" s="114"/>
    </row>
    <row r="16" spans="1:24" ht="20.100000000000001" customHeight="1" x14ac:dyDescent="0.25">
      <c r="A16" s="16" t="str">
        <f>HYPERLINK("#'Input - Freight'!A1", "Freight")</f>
        <v>Freight</v>
      </c>
      <c r="D16" s="9" t="s">
        <v>270</v>
      </c>
      <c r="N16" s="114"/>
      <c r="O16" s="114"/>
    </row>
    <row r="17" spans="1:25" ht="20.100000000000001" customHeight="1" x14ac:dyDescent="0.25">
      <c r="A17" s="16" t="str">
        <f>HYPERLINK("#'Input - Solid waste'!A1", "Solid waste")</f>
        <v>Solid waste</v>
      </c>
    </row>
    <row r="18" spans="1:25" ht="20.100000000000001" customHeight="1" x14ac:dyDescent="0.25">
      <c r="A18" s="16" t="str">
        <f>HYPERLINK("#'Input - Manure sent off-site'!A1", "Manure sent off-site")</f>
        <v>Manure sent off-site</v>
      </c>
      <c r="D18" s="115" t="s">
        <v>271</v>
      </c>
      <c r="E18" s="40"/>
      <c r="F18" s="40"/>
      <c r="G18" s="41"/>
    </row>
    <row r="19" spans="1:25" ht="20.100000000000001" customHeight="1" x14ac:dyDescent="0.25">
      <c r="A19" s="16" t="str">
        <f>HYPERLINK("#'Input - Electricity'!A1", "Electricity")</f>
        <v>Electricity</v>
      </c>
      <c r="D19" s="43" t="s">
        <v>272</v>
      </c>
      <c r="E19" s="44"/>
      <c r="F19" s="44"/>
      <c r="G19" s="45"/>
      <c r="N19" s="104"/>
    </row>
    <row r="20" spans="1:25" ht="20.100000000000001" customHeight="1" x14ac:dyDescent="0.25">
      <c r="A20"/>
      <c r="D20" s="8"/>
      <c r="E20" s="116"/>
      <c r="F20" s="65"/>
      <c r="N20" s="106"/>
    </row>
    <row r="21" spans="1:25" ht="20.100000000000001" customHeight="1" x14ac:dyDescent="0.25">
      <c r="A21"/>
      <c r="D21" s="8" t="s">
        <v>273</v>
      </c>
      <c r="E21" s="47" t="s">
        <v>851</v>
      </c>
      <c r="F21" s="65" t="s">
        <v>194</v>
      </c>
    </row>
    <row r="22" spans="1:25" ht="20.100000000000001" customHeight="1" x14ac:dyDescent="0.25">
      <c r="A22" s="21" t="s">
        <v>77</v>
      </c>
      <c r="D22" s="8" t="s">
        <v>274</v>
      </c>
      <c r="E22" s="47" t="s">
        <v>275</v>
      </c>
      <c r="F22" s="65" t="s">
        <v>194</v>
      </c>
      <c r="G22" s="8"/>
    </row>
    <row r="23" spans="1:25" ht="20.100000000000001" customHeight="1" x14ac:dyDescent="0.25">
      <c r="A23" s="16" t="str">
        <f>HYPERLINK("#'15 Scope 3'!A1", "15 Scope 3")</f>
        <v>15 Scope 3</v>
      </c>
      <c r="D23" s="8" t="s">
        <v>746</v>
      </c>
      <c r="E23" s="47" t="s">
        <v>747</v>
      </c>
      <c r="F23" s="65" t="s">
        <v>194</v>
      </c>
    </row>
    <row r="24" spans="1:25" ht="20.100000000000001" customHeight="1" x14ac:dyDescent="0.25">
      <c r="A24" s="16" t="str">
        <f>HYPERLINK("#'10.1.1-2 Solid waste treatment'!A1", "10.1.1-2 Solid waste treatment")</f>
        <v>10.1.1-2 Solid waste treatment</v>
      </c>
      <c r="D24" s="8" t="s">
        <v>16</v>
      </c>
      <c r="E24" s="82">
        <v>307.7</v>
      </c>
      <c r="F24" s="65" t="s">
        <v>748</v>
      </c>
    </row>
    <row r="25" spans="1:25" ht="20.100000000000001" customHeight="1" x14ac:dyDescent="0.25">
      <c r="A25" s="16" t="str">
        <f>HYPERLINK("#'Calcs - Manure sent off-site'!A1", "Calcs - Manure sent off-site")</f>
        <v>Calcs - Manure sent off-site</v>
      </c>
      <c r="D25" s="8" t="s">
        <v>749</v>
      </c>
      <c r="E25" s="82">
        <v>18</v>
      </c>
      <c r="F25" s="65" t="s">
        <v>750</v>
      </c>
      <c r="N25" s="106"/>
    </row>
    <row r="26" spans="1:25" ht="20.100000000000001" customHeight="1" x14ac:dyDescent="0.25">
      <c r="A26" s="16" t="str">
        <f>HYPERLINK("#'8.1.1.1-2 Transport fuel'!A1", "8.1.1.1-2 Transport fuel")</f>
        <v>8.1.1.1-2 Transport fuel</v>
      </c>
      <c r="D26" s="8" t="s">
        <v>751</v>
      </c>
      <c r="E26" s="82">
        <v>599</v>
      </c>
      <c r="F26" s="65" t="s">
        <v>752</v>
      </c>
    </row>
    <row r="27" spans="1:25" ht="20.100000000000001" customHeight="1" x14ac:dyDescent="0.25">
      <c r="A27" s="16" t="str">
        <f>HYPERLINK("#'8.2.1.1-2 Stationary fuel'!A1", "8.2.1.1-2 Stationary fuel")</f>
        <v>8.2.1.1-2 Stationary fuel</v>
      </c>
      <c r="D27" s="107" t="s">
        <v>753</v>
      </c>
      <c r="E27" s="82">
        <v>1326</v>
      </c>
      <c r="F27" s="65" t="s">
        <v>752</v>
      </c>
    </row>
    <row r="28" spans="1:25" ht="20.100000000000001" customHeight="1" x14ac:dyDescent="0.25">
      <c r="A28"/>
      <c r="D28" s="8" t="s">
        <v>754</v>
      </c>
      <c r="E28" s="82">
        <v>7</v>
      </c>
      <c r="F28" s="65" t="s">
        <v>755</v>
      </c>
    </row>
    <row r="29" spans="1:25" ht="20.100000000000001" customHeight="1" x14ac:dyDescent="0.25">
      <c r="A29"/>
      <c r="D29" s="107" t="s">
        <v>756</v>
      </c>
      <c r="E29" s="49">
        <f>X_Cell_Site_TotalRainfall/X_Cell_Site_PotentialEvapotranspiration</f>
        <v>0.45173453996983409</v>
      </c>
      <c r="F29" s="65"/>
    </row>
    <row r="30" spans="1:25" ht="20.100000000000001" customHeight="1" x14ac:dyDescent="0.25">
      <c r="A30" s="221" t="s">
        <v>78</v>
      </c>
      <c r="D30" s="107" t="s">
        <v>44</v>
      </c>
      <c r="E30" s="49" t="str">
        <f>Common_InputFunctions.Utility_LookupItemFromMinMax(X_Cell_Site_TotalRainfall,Table_SourceData_RainfallZones[Min rainfall],Table_SourceData_RainfallZones[Max rainfall],Table_SourceData_RainfallZones[Rainfall Zone])</f>
        <v>Low rainfall</v>
      </c>
      <c r="G30" s="117"/>
      <c r="L30" s="118"/>
      <c r="M30" s="118"/>
      <c r="N30" s="118"/>
      <c r="O30" s="118"/>
      <c r="P30" s="118"/>
      <c r="Q30" s="118"/>
      <c r="R30" s="118"/>
      <c r="S30" s="118"/>
      <c r="T30" s="118"/>
      <c r="U30" s="118"/>
      <c r="V30" s="118"/>
      <c r="W30" s="118"/>
      <c r="X30" s="118"/>
      <c r="Y30" s="118"/>
    </row>
    <row r="31" spans="1:25" ht="20.100000000000001" customHeight="1" x14ac:dyDescent="0.25">
      <c r="A31" s="16" t="str">
        <f>HYPERLINK("#'Constants - Scope 3'!A1", "Constants - Scope 3")</f>
        <v>Constants - Scope 3</v>
      </c>
      <c r="D31" s="8" t="s">
        <v>11</v>
      </c>
      <c r="E31" s="49" t="str">
        <f>Common_InputFunctions.Utility_GetClimateZone(X_Cell_Site_AverageTemperature,X_Cell_Site_TotalRainfall,X_Cell_Site_FrostDays,X_Cell_Site_Elevation,X_Cell_Site_MapPetRatio,Table_SourceData_ClimateZones[Min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8"/>
      <c r="G31" s="116"/>
      <c r="L31" s="119"/>
      <c r="M31" s="119"/>
      <c r="N31" s="119"/>
      <c r="O31" s="119"/>
      <c r="P31" s="119"/>
      <c r="Q31" s="119"/>
      <c r="R31" s="119"/>
      <c r="S31" s="119"/>
      <c r="T31" s="119"/>
      <c r="U31" s="119"/>
      <c r="V31" s="119"/>
      <c r="W31" s="119"/>
      <c r="X31" s="119"/>
      <c r="Y31" s="119"/>
    </row>
    <row r="32" spans="1:25" ht="20.100000000000001" customHeight="1" x14ac:dyDescent="0.25">
      <c r="A32" s="16" t="str">
        <f>HYPERLINK("#'Constants - Solid Waste'!A1", "Constants - Solid Waste")</f>
        <v>Constants - Solid Waste</v>
      </c>
      <c r="D32" s="8" t="s">
        <v>757</v>
      </c>
      <c r="E32" s="49" t="str">
        <f>Common_InputFunctions.Utility_LookupValueInTable(X_Cell_Site_ClimateZone,Table_SourceData_WetDryZones[Climate zone],Table_SourceData_WetDryZones[Wet or Dry Zone])</f>
        <v>Dry climate zone</v>
      </c>
      <c r="F32" s="8"/>
      <c r="G32" s="116"/>
      <c r="L32" s="119"/>
      <c r="M32" s="119"/>
      <c r="N32" s="119"/>
      <c r="O32" s="119"/>
      <c r="P32" s="119"/>
      <c r="Q32" s="119"/>
      <c r="R32" s="119"/>
      <c r="S32" s="119"/>
      <c r="T32" s="119"/>
      <c r="U32" s="119"/>
      <c r="V32" s="119"/>
      <c r="W32" s="119"/>
      <c r="X32" s="119"/>
      <c r="Y32" s="119"/>
    </row>
    <row r="33" spans="1:25" ht="20.100000000000001" customHeight="1" x14ac:dyDescent="0.25">
      <c r="A33" s="16" t="str">
        <f>HYPERLINK("#'Constants - Fuel'!A1", "Constants - Fuel")</f>
        <v>Constants - Fuel</v>
      </c>
      <c r="D33" s="8" t="s">
        <v>48</v>
      </c>
      <c r="E33" s="49" t="str">
        <f>Common_InputFunctions.Utility_LookupItemFromMinMax(X_Cell_Site_AverageTemperature,Table_SourceData_TemperatureZones[Min MAT],Table_SourceData_TemperatureZones[Max MAT],Table_SourceData_TemperatureZones[Temperature Zone])</f>
        <v>Temperate</v>
      </c>
      <c r="G33" s="120"/>
      <c r="L33" s="119"/>
      <c r="M33" s="119"/>
      <c r="N33" s="119"/>
      <c r="O33" s="119"/>
      <c r="P33" s="119"/>
      <c r="Q33" s="119"/>
      <c r="R33" s="119"/>
      <c r="S33" s="119"/>
      <c r="T33" s="119"/>
      <c r="U33" s="119"/>
      <c r="V33" s="119"/>
      <c r="W33" s="119"/>
      <c r="X33" s="119"/>
      <c r="Y33" s="119"/>
    </row>
    <row r="34" spans="1:25" ht="20.100000000000001" customHeight="1" x14ac:dyDescent="0.25">
      <c r="A34" s="16" t="str">
        <f>HYPERLINK("#'Constants - Poultry'!A1", "Constants - Poultry")</f>
        <v>Constants - Poultry</v>
      </c>
      <c r="J34" s="121"/>
      <c r="K34" s="122"/>
      <c r="L34" s="119"/>
      <c r="M34" s="119"/>
      <c r="N34" s="119"/>
      <c r="O34" s="119"/>
      <c r="P34" s="119"/>
      <c r="Q34" s="119"/>
      <c r="R34" s="119"/>
      <c r="S34" s="119"/>
      <c r="T34" s="119"/>
      <c r="U34" s="119"/>
      <c r="V34" s="119"/>
      <c r="W34" s="119"/>
      <c r="X34" s="119"/>
      <c r="Y34" s="119"/>
    </row>
    <row r="35" spans="1:25" ht="20.100000000000001" customHeight="1" x14ac:dyDescent="0.25">
      <c r="A35" s="16" t="str">
        <f>HYPERLINK("#'Constants - Swine'!A1", "Constants - Swine")</f>
        <v>Constants - Swine</v>
      </c>
      <c r="J35" s="121"/>
      <c r="K35" s="122"/>
      <c r="L35" s="119"/>
      <c r="M35" s="119"/>
      <c r="N35" s="119"/>
      <c r="O35" s="119"/>
      <c r="P35" s="119"/>
      <c r="Q35" s="119"/>
      <c r="R35" s="119"/>
      <c r="S35" s="119"/>
      <c r="T35" s="119"/>
      <c r="U35" s="119"/>
      <c r="V35" s="119"/>
      <c r="W35" s="119"/>
      <c r="X35" s="119"/>
      <c r="Y35" s="119"/>
    </row>
    <row r="36" spans="1:25" ht="20.100000000000001" customHeight="1" x14ac:dyDescent="0.25">
      <c r="A36" s="16" t="str">
        <f>HYPERLINK("#'Constants - Dairy'!A1", "Constants - Dairy")</f>
        <v>Constants - Dairy</v>
      </c>
      <c r="D36" s="123"/>
      <c r="E36" s="123"/>
      <c r="F36" s="124"/>
      <c r="G36" s="121"/>
      <c r="H36" s="121"/>
      <c r="I36" s="125"/>
      <c r="J36" s="121"/>
      <c r="K36" s="122"/>
      <c r="L36" s="119"/>
      <c r="M36" s="119"/>
      <c r="N36" s="119"/>
      <c r="O36" s="119"/>
      <c r="P36" s="119"/>
      <c r="Q36" s="119"/>
      <c r="R36" s="119"/>
      <c r="S36" s="119"/>
      <c r="T36" s="119"/>
      <c r="U36" s="119"/>
      <c r="V36" s="119"/>
      <c r="W36" s="119"/>
      <c r="X36" s="119"/>
      <c r="Y36" s="119"/>
    </row>
    <row r="37" spans="1:25" ht="20.100000000000001" customHeight="1" x14ac:dyDescent="0.25">
      <c r="A37" s="16" t="str">
        <f>HYPERLINK("#'Constants - Pasture Beef'!A1", "Constants - Pasture Beef")</f>
        <v>Constants - Pasture Beef</v>
      </c>
      <c r="D37" s="123"/>
      <c r="E37" s="123"/>
      <c r="F37" s="124"/>
      <c r="G37" s="121"/>
      <c r="H37" s="121"/>
      <c r="I37" s="125"/>
      <c r="J37" s="121"/>
      <c r="K37" s="122"/>
      <c r="L37" s="119"/>
      <c r="M37" s="119"/>
      <c r="N37" s="119"/>
      <c r="O37" s="119"/>
      <c r="P37" s="119"/>
      <c r="Q37" s="119"/>
      <c r="R37" s="119"/>
      <c r="S37" s="119"/>
      <c r="T37" s="119"/>
      <c r="U37" s="119"/>
      <c r="V37" s="119"/>
      <c r="W37" s="119"/>
      <c r="X37" s="119"/>
      <c r="Y37" s="119"/>
    </row>
    <row r="38" spans="1:25" ht="20.100000000000001" customHeight="1" x14ac:dyDescent="0.25">
      <c r="A38" s="16" t="str">
        <f>HYPERLINK("#'Constants - Common Livestock'!A1", "Constants - Common Livestock")</f>
        <v>Constants - Common Livestock</v>
      </c>
      <c r="D38" s="123"/>
      <c r="E38" s="123"/>
      <c r="F38" s="124"/>
      <c r="G38" s="121"/>
      <c r="H38" s="121"/>
      <c r="I38" s="125"/>
      <c r="J38" s="121"/>
      <c r="K38" s="122"/>
      <c r="L38" s="119"/>
      <c r="M38" s="119"/>
      <c r="N38" s="119"/>
      <c r="O38" s="119"/>
      <c r="P38" s="119"/>
      <c r="Q38" s="119"/>
      <c r="R38" s="119"/>
      <c r="S38" s="119"/>
      <c r="T38" s="119"/>
      <c r="U38" s="119"/>
      <c r="V38" s="119"/>
      <c r="W38" s="119"/>
      <c r="X38" s="119"/>
      <c r="Y38" s="119"/>
    </row>
    <row r="39" spans="1:25" ht="20.100000000000001" customHeight="1" x14ac:dyDescent="0.25">
      <c r="A39" s="16" t="str">
        <f>HYPERLINK("#'Constants - Fertiliser'!A1", "Constants - Fertiliser")</f>
        <v>Constants - Fertiliser</v>
      </c>
      <c r="D39" s="123"/>
      <c r="E39" s="123"/>
      <c r="F39" s="124"/>
      <c r="G39" s="121"/>
      <c r="H39" s="121"/>
      <c r="I39" s="125"/>
      <c r="J39" s="121"/>
      <c r="K39" s="122"/>
      <c r="L39" s="119"/>
      <c r="M39" s="119"/>
      <c r="N39" s="119"/>
      <c r="O39" s="119"/>
      <c r="P39" s="119"/>
      <c r="Q39" s="119"/>
      <c r="R39" s="119"/>
      <c r="S39" s="119"/>
      <c r="T39" s="119"/>
      <c r="U39" s="119"/>
      <c r="V39" s="119"/>
      <c r="W39" s="119"/>
      <c r="X39" s="119"/>
      <c r="Y39" s="119"/>
    </row>
    <row r="40" spans="1:25" ht="20.100000000000001" customHeight="1" x14ac:dyDescent="0.25">
      <c r="A40" s="16" t="str">
        <f>HYPERLINK("#'Constants - Electricity'!A1", "Constants - Electricity")</f>
        <v>Constants - Electricity</v>
      </c>
      <c r="D40" s="126"/>
      <c r="E40" s="126"/>
      <c r="F40" s="126"/>
      <c r="G40" s="127"/>
      <c r="H40" s="128"/>
      <c r="I40" s="128"/>
      <c r="J40" s="128"/>
      <c r="K40" s="128"/>
      <c r="L40" s="129"/>
      <c r="M40" s="129"/>
      <c r="N40" s="129"/>
      <c r="O40" s="129"/>
      <c r="P40" s="129"/>
      <c r="Q40" s="129"/>
      <c r="R40" s="129"/>
      <c r="S40" s="129"/>
      <c r="T40" s="129"/>
      <c r="U40" s="129"/>
      <c r="V40" s="129"/>
      <c r="W40" s="129"/>
      <c r="X40" s="129"/>
      <c r="Y40" s="129"/>
    </row>
    <row r="41" spans="1:25" ht="20.100000000000001" customHeight="1" x14ac:dyDescent="0.25">
      <c r="A41" s="16" t="str">
        <f>HYPERLINK("#'Constants - Common'!A1", "Constants - Common")</f>
        <v>Constants - Common</v>
      </c>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9"/>
    </row>
    <row r="46" spans="1:25" ht="20.100000000000001" customHeight="1" x14ac:dyDescent="0.25">
      <c r="A46"/>
      <c r="D46" s="9"/>
    </row>
    <row r="47" spans="1:25" ht="20.100000000000001" customHeight="1" x14ac:dyDescent="0.25">
      <c r="A47"/>
      <c r="D47" s="130"/>
      <c r="E47" s="130"/>
      <c r="F47" s="130"/>
      <c r="G47" s="130"/>
      <c r="H47" s="130"/>
    </row>
    <row r="48" spans="1:25" ht="20.100000000000001" customHeight="1" x14ac:dyDescent="0.25">
      <c r="A48"/>
      <c r="D48" s="131"/>
      <c r="E48" s="131"/>
      <c r="F48" s="132"/>
      <c r="G48" s="132"/>
      <c r="H48" s="131"/>
    </row>
    <row r="49" spans="1:8" ht="20.100000000000001" customHeight="1" x14ac:dyDescent="0.25">
      <c r="A49"/>
      <c r="D49" s="131"/>
      <c r="E49" s="131"/>
      <c r="F49" s="132"/>
      <c r="G49" s="132"/>
      <c r="H49" s="131"/>
    </row>
    <row r="50" spans="1:8" ht="20.100000000000001" customHeight="1" x14ac:dyDescent="0.25">
      <c r="A50"/>
      <c r="D50" s="131"/>
      <c r="E50" s="131"/>
      <c r="F50" s="132"/>
      <c r="G50" s="132"/>
      <c r="H50" s="131"/>
    </row>
    <row r="51" spans="1:8" ht="20.100000000000001" customHeight="1" x14ac:dyDescent="0.25">
      <c r="A51"/>
      <c r="D51" s="133"/>
      <c r="E51" s="134"/>
      <c r="F51" s="134"/>
      <c r="G51" s="134"/>
      <c r="H51" s="135"/>
    </row>
    <row r="52" spans="1:8" ht="20.100000000000001" customHeight="1" x14ac:dyDescent="0.25">
      <c r="A52"/>
    </row>
    <row r="53" spans="1:8" ht="20.100000000000001" customHeight="1" x14ac:dyDescent="0.25">
      <c r="A53"/>
    </row>
    <row r="54" spans="1:8" ht="20.100000000000001" customHeight="1" x14ac:dyDescent="0.25">
      <c r="A54"/>
      <c r="G54" s="136"/>
    </row>
    <row r="55" spans="1:8" ht="20.100000000000001" customHeight="1" x14ac:dyDescent="0.25">
      <c r="A55"/>
      <c r="D55" s="9"/>
    </row>
    <row r="56" spans="1:8" ht="20.100000000000001" customHeight="1" x14ac:dyDescent="0.25">
      <c r="A56"/>
    </row>
    <row r="57" spans="1:8" ht="20.100000000000001" customHeight="1" x14ac:dyDescent="0.25">
      <c r="A57"/>
      <c r="D57" s="137"/>
      <c r="F57" s="138"/>
    </row>
    <row r="58" spans="1:8" ht="20.100000000000001" customHeight="1" x14ac:dyDescent="0.25">
      <c r="A58"/>
      <c r="D58" s="8"/>
      <c r="E58" s="139"/>
    </row>
    <row r="59" spans="1:8" ht="20.100000000000001" customHeight="1" x14ac:dyDescent="0.25">
      <c r="A59"/>
      <c r="D59" s="8"/>
      <c r="E59" s="139"/>
    </row>
    <row r="60" spans="1:8" ht="20.100000000000001" customHeight="1" x14ac:dyDescent="0.25">
      <c r="A60"/>
      <c r="D60" s="8"/>
      <c r="E60" s="140"/>
    </row>
    <row r="61" spans="1:8" ht="20.100000000000001" customHeight="1" x14ac:dyDescent="0.25">
      <c r="A61"/>
      <c r="D61" s="8"/>
    </row>
    <row r="62" spans="1:8" ht="20.100000000000001" customHeight="1" x14ac:dyDescent="0.25">
      <c r="A62"/>
    </row>
    <row r="63" spans="1:8" ht="20.100000000000001" customHeight="1" x14ac:dyDescent="0.25">
      <c r="A63"/>
      <c r="D63" s="137"/>
    </row>
    <row r="64" spans="1:8" ht="20.100000000000001" customHeight="1" x14ac:dyDescent="0.25">
      <c r="A64"/>
      <c r="D64" s="8"/>
      <c r="E64" s="139"/>
    </row>
    <row r="65" spans="1:9" ht="20.100000000000001" customHeight="1" x14ac:dyDescent="0.25">
      <c r="A65"/>
      <c r="D65" s="8"/>
      <c r="E65" s="139"/>
    </row>
    <row r="66" spans="1:9" ht="20.100000000000001" customHeight="1" x14ac:dyDescent="0.25">
      <c r="A66"/>
      <c r="D66" s="8"/>
      <c r="E66" s="140"/>
    </row>
    <row r="67" spans="1:9" ht="20.100000000000001" customHeight="1" x14ac:dyDescent="0.25">
      <c r="A67"/>
    </row>
    <row r="68" spans="1:9" ht="20.100000000000001" customHeight="1" x14ac:dyDescent="0.25">
      <c r="A68"/>
    </row>
    <row r="69" spans="1:9" ht="20.100000000000001" customHeight="1" x14ac:dyDescent="0.25">
      <c r="A69"/>
      <c r="D69" s="141"/>
      <c r="E69" s="141"/>
      <c r="F69" s="141"/>
      <c r="G69" s="141"/>
      <c r="H69" s="141"/>
      <c r="I69" s="141"/>
    </row>
    <row r="70" spans="1:9" ht="20.100000000000001" customHeight="1" x14ac:dyDescent="0.25">
      <c r="A70"/>
      <c r="D70" s="141"/>
      <c r="E70" s="141"/>
      <c r="F70" s="141"/>
      <c r="G70" s="141"/>
      <c r="H70" s="141"/>
      <c r="I70" s="141"/>
    </row>
    <row r="71" spans="1:9" ht="20.100000000000001" customHeight="1" x14ac:dyDescent="0.25">
      <c r="A71"/>
      <c r="D71" s="141"/>
      <c r="E71" s="141"/>
      <c r="F71" s="141"/>
      <c r="G71" s="141"/>
      <c r="H71" s="141"/>
      <c r="I71" s="141"/>
    </row>
    <row r="72" spans="1:9" ht="20.100000000000001" customHeight="1" x14ac:dyDescent="0.25">
      <c r="A72"/>
      <c r="D72" s="141"/>
      <c r="E72" s="141"/>
      <c r="F72" s="141"/>
      <c r="G72" s="141"/>
      <c r="H72" s="141"/>
      <c r="I72" s="141"/>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142"/>
    </row>
    <row r="79" spans="1:9" ht="20.100000000000001" customHeight="1" x14ac:dyDescent="0.25">
      <c r="A79"/>
      <c r="D79" s="142"/>
    </row>
    <row r="80" spans="1:9" ht="20.100000000000001" customHeight="1" x14ac:dyDescent="0.25">
      <c r="A80"/>
      <c r="D80" s="142"/>
    </row>
    <row r="81" spans="1:4" ht="20.100000000000001" customHeight="1" x14ac:dyDescent="0.25">
      <c r="A81"/>
      <c r="D81" s="142"/>
    </row>
    <row r="82" spans="1:4" ht="20.100000000000001" customHeight="1" x14ac:dyDescent="0.25">
      <c r="A82"/>
      <c r="D82" s="142"/>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dataValidations count="4">
    <dataValidation type="list" allowBlank="1" showInputMessage="1" showErrorMessage="1" sqref="E23" xr:uid="{60C0EFD0-5B53-4EF6-8989-D439C46D350D}">
      <formula1>"YES - In leaching zone, NO - Not in leaching zone"</formula1>
    </dataValidation>
    <dataValidation type="list" allowBlank="1" showInputMessage="1" showErrorMessage="1" sqref="G36:G39" xr:uid="{D02D4EEB-3C98-4967-9B1F-4C03DA15CDAB}">
      <formula1>$D$41:$D$43</formula1>
    </dataValidation>
    <dataValidation type="list" allowBlank="1" showInputMessage="1" showErrorMessage="1" sqref="E22" xr:uid="{2859FD92-2574-43C9-9BF5-8611D9E218DE}">
      <formula1>INDIRECT("Table_WASA4Areas[SA 4 Name]")</formula1>
    </dataValidation>
    <dataValidation type="list" allowBlank="1" showInputMessage="1" showErrorMessage="1" sqref="E21" xr:uid="{8FF8DBAB-9421-4A5E-94B8-305B0F7C731B}">
      <formula1>INDIRECT("Table_AustralianStates[Common Name]")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F5B45-8D77-47CA-8A6B-BB743B13D086}">
  <dimension ref="A1:K346"/>
  <sheetViews>
    <sheetView showGridLines="0" topLeftCell="A2" zoomScaleNormal="100" workbookViewId="0">
      <selection activeCell="A41" sqref="A41"/>
    </sheetView>
  </sheetViews>
  <sheetFormatPr defaultRowHeight="15.75" x14ac:dyDescent="0.25"/>
  <cols>
    <col min="1" max="1" width="26.875" style="3" customWidth="1"/>
    <col min="2" max="2" width="4.125" style="3" customWidth="1"/>
    <col min="3" max="3" width="4.125" style="8" customWidth="1"/>
    <col min="4" max="4" width="45.625" style="8" customWidth="1"/>
    <col min="5" max="5" width="41.125" style="8" customWidth="1"/>
    <col min="6" max="10" width="21.75" style="8" customWidth="1"/>
    <col min="11" max="11" width="4.125" style="8" customWidth="1"/>
    <col min="12" max="12" width="4.125" style="3" customWidth="1"/>
    <col min="13" max="16384" width="9" style="3"/>
  </cols>
  <sheetData>
    <row r="1" spans="1:11" s="37" customFormat="1" ht="30" customHeight="1" x14ac:dyDescent="0.35">
      <c r="A1" s="37" t="e" vm="1">
        <v>#VALUE!</v>
      </c>
      <c r="C1" s="37" t="s">
        <v>118</v>
      </c>
    </row>
    <row r="2" spans="1:11" s="2" customFormat="1" ht="20.100000000000001" customHeight="1" x14ac:dyDescent="0.25">
      <c r="A2"/>
    </row>
    <row r="3" spans="1:11" ht="20.100000000000001" customHeight="1" x14ac:dyDescent="0.25">
      <c r="A3" s="16" t="str">
        <f>HYPERLINK("#'Overview'!A1", "Overview")</f>
        <v>Overview</v>
      </c>
      <c r="C3" s="38"/>
      <c r="D3" s="38"/>
      <c r="E3" s="38"/>
      <c r="F3" s="38"/>
      <c r="G3" s="38"/>
      <c r="H3" s="38"/>
      <c r="I3" s="38"/>
      <c r="J3" s="38"/>
      <c r="K3" s="38"/>
    </row>
    <row r="4" spans="1:11" ht="20.100000000000001" customHeight="1" x14ac:dyDescent="0.25">
      <c r="A4" s="16" t="str">
        <f>HYPERLINK("#'Results'!A1", "Results")</f>
        <v>Results</v>
      </c>
    </row>
    <row r="5" spans="1:11" ht="20.100000000000001" customHeight="1" x14ac:dyDescent="0.25">
      <c r="A5"/>
      <c r="D5" s="9" t="s">
        <v>119</v>
      </c>
      <c r="E5" s="7"/>
      <c r="F5" s="7"/>
      <c r="G5" s="7"/>
      <c r="H5" s="7"/>
    </row>
    <row r="6" spans="1:11" ht="20.100000000000001" customHeight="1" x14ac:dyDescent="0.25">
      <c r="A6"/>
      <c r="D6" s="14"/>
      <c r="E6" s="14"/>
      <c r="F6" s="14"/>
      <c r="G6" s="14"/>
      <c r="H6" s="14"/>
      <c r="I6" s="14"/>
      <c r="J6" s="14"/>
    </row>
    <row r="7" spans="1:11" ht="20.100000000000001" customHeight="1" x14ac:dyDescent="0.25">
      <c r="A7" s="19" t="s">
        <v>67</v>
      </c>
      <c r="D7" s="8" t="s">
        <v>733</v>
      </c>
    </row>
    <row r="8" spans="1:11" ht="20.100000000000001" customHeight="1" x14ac:dyDescent="0.25">
      <c r="A8" s="16" t="str">
        <f>HYPERLINK("#'Input - Site'!A1", "Site")</f>
        <v>Site</v>
      </c>
      <c r="D8" s="8" t="s">
        <v>734</v>
      </c>
    </row>
    <row r="9" spans="1:11" ht="20.100000000000001" customHeight="1" x14ac:dyDescent="0.25">
      <c r="A9" s="42" t="str">
        <f>HYPERLINK("#'Input - Fuel'!A1", "Fuel")</f>
        <v>Fuel</v>
      </c>
      <c r="D9" s="8" t="s">
        <v>735</v>
      </c>
    </row>
    <row r="10" spans="1:11" ht="20.100000000000001" customHeight="1" x14ac:dyDescent="0.25">
      <c r="A10" s="16" t="str">
        <f>HYPERLINK("#'Input - Fertiliser'!A1", "Fertiliser")</f>
        <v>Fertiliser</v>
      </c>
    </row>
    <row r="11" spans="1:11" ht="20.100000000000001" customHeight="1" x14ac:dyDescent="0.25">
      <c r="A11" s="16" t="str">
        <f>HYPERLINK("#'Input - Farm Inputs'!A1", "Farm Inputs")</f>
        <v>Farm Inputs</v>
      </c>
      <c r="D11" s="8" t="s">
        <v>736</v>
      </c>
      <c r="E11" s="47" t="s">
        <v>704</v>
      </c>
      <c r="F11" s="65" t="s">
        <v>194</v>
      </c>
    </row>
    <row r="12" spans="1:11" ht="20.100000000000001" customHeight="1" x14ac:dyDescent="0.25">
      <c r="A12" s="16" t="str">
        <f>HYPERLINK("#'Input - Beef cattle purchases'!A1", "Beef cattle purchases")</f>
        <v>Beef cattle purchases</v>
      </c>
    </row>
    <row r="13" spans="1:11" ht="20.100000000000001" customHeight="1" x14ac:dyDescent="0.25">
      <c r="A13" s="16" t="str">
        <f>HYPERLINK("#'Input - Dairy cattle purchases'!A1", "Dairy cattle purchases")</f>
        <v>Dairy cattle purchases</v>
      </c>
      <c r="D13" s="39" t="s">
        <v>120</v>
      </c>
      <c r="E13" s="40"/>
      <c r="F13" s="40"/>
      <c r="G13" s="40"/>
      <c r="H13" s="41"/>
    </row>
    <row r="14" spans="1:11" ht="20.100000000000001" customHeight="1" x14ac:dyDescent="0.25">
      <c r="A14" s="16" t="str">
        <f>HYPERLINK("#'Input - Pig purchases'!A1", "Pig purchases")</f>
        <v>Pig purchases</v>
      </c>
      <c r="D14" s="43" t="s">
        <v>121</v>
      </c>
      <c r="E14" s="44"/>
      <c r="F14" s="44"/>
      <c r="G14" s="44"/>
      <c r="H14" s="45"/>
    </row>
    <row r="15" spans="1:11" ht="20.100000000000001" customHeight="1" x14ac:dyDescent="0.25">
      <c r="A15" s="16" t="str">
        <f>HYPERLINK("#'Input - Poultry purchases'!A1", "Poultry purchases")</f>
        <v>Poultry purchases</v>
      </c>
      <c r="D15" s="14"/>
      <c r="E15" s="14"/>
      <c r="F15" s="14"/>
      <c r="G15" s="14"/>
      <c r="H15" s="14"/>
      <c r="I15" s="14"/>
      <c r="J15" s="14"/>
    </row>
    <row r="16" spans="1:11" ht="20.100000000000001" customHeight="1" x14ac:dyDescent="0.25">
      <c r="A16" s="16" t="str">
        <f>HYPERLINK("#'Input - Freight'!A1", "Freight")</f>
        <v>Freight</v>
      </c>
      <c r="D16" s="46" t="s">
        <v>122</v>
      </c>
      <c r="E16" s="46" t="s">
        <v>123</v>
      </c>
      <c r="F16" s="46" t="s">
        <v>124</v>
      </c>
      <c r="G16" s="46" t="s">
        <v>125</v>
      </c>
      <c r="H16" s="46" t="s">
        <v>126</v>
      </c>
      <c r="I16" s="46" t="s">
        <v>127</v>
      </c>
      <c r="J16" s="46" t="s">
        <v>871</v>
      </c>
    </row>
    <row r="17" spans="1:10" ht="20.100000000000001" customHeight="1" x14ac:dyDescent="0.25">
      <c r="A17" s="16" t="str">
        <f>HYPERLINK("#'Input - Solid waste'!A1", "Solid waste")</f>
        <v>Solid waste</v>
      </c>
      <c r="D17" s="47" t="s">
        <v>89</v>
      </c>
      <c r="E17" s="47" t="s">
        <v>117</v>
      </c>
      <c r="F17" s="48">
        <v>100</v>
      </c>
      <c r="G17" s="49" t="str" cm="1">
        <f t="array" ref="G17">Common_InputFunctions.Utility_LookupValueInTable(Table_Input_Fuel[[#This Row],[Fuel type (select)]],Table_FuelTypes_Units[Fuel type], Table_FuelTypes_Units[Input Unit])</f>
        <v>GJ</v>
      </c>
      <c r="H17" s="50">
        <f>1</f>
        <v>1</v>
      </c>
      <c r="I17" s="49">
        <f>Table_Input_Fuel[[#This Row],[Amount purchased]]*Table_Input_Fuel[[#This Row],[Percent consumed]]*IF(Table_Input_Fuel[[#This Row],[Amount unit]]="L", 10^-3, 1)</f>
        <v>100</v>
      </c>
      <c r="J17" s="49" t="str" cm="1">
        <f t="array" ref="J17">Common_InputFunctions.Utility_LookupValueInTable(Table_Input_Fuel[[#This Row],[Fuel type (select)]],Table_FuelTypes_Units[Fuel type], Table_FuelTypes_Units[Unit])</f>
        <v>GJ</v>
      </c>
    </row>
    <row r="18" spans="1:10" ht="20.100000000000001" customHeight="1" x14ac:dyDescent="0.25">
      <c r="A18" s="16" t="str">
        <f>HYPERLINK("#'Input - Manure sent off-site'!A1", "Manure sent off-site")</f>
        <v>Manure sent off-site</v>
      </c>
      <c r="D18" s="47" t="s">
        <v>89</v>
      </c>
      <c r="E18" s="47" t="s">
        <v>97</v>
      </c>
      <c r="F18" s="48">
        <v>10000</v>
      </c>
      <c r="G18" s="49" t="str" cm="1">
        <f t="array" ref="G18">Common_InputFunctions.Utility_LookupValueInTable(Table_Input_Fuel[[#This Row],[Fuel type (select)]],Table_FuelTypes_Units[Fuel type], Table_FuelTypes_Units[Input Unit])</f>
        <v>L</v>
      </c>
      <c r="H18" s="226">
        <f>1</f>
        <v>1</v>
      </c>
      <c r="I18" s="49">
        <f>Table_Input_Fuel[[#This Row],[Amount purchased]]*Table_Input_Fuel[[#This Row],[Percent consumed]]*IF(Table_Input_Fuel[[#This Row],[Amount unit]]="L", 10^-3, 1)</f>
        <v>10</v>
      </c>
      <c r="J18" s="49" t="str" cm="1">
        <f t="array" ref="J18">Common_InputFunctions.Utility_LookupValueInTable(Table_Input_Fuel[[#This Row],[Fuel type (select)]],Table_FuelTypes_Units[Fuel type], Table_FuelTypes_Units[Unit])</f>
        <v>kL</v>
      </c>
    </row>
    <row r="19" spans="1:10" ht="20.100000000000001" customHeight="1" x14ac:dyDescent="0.25">
      <c r="A19" s="16" t="str">
        <f>HYPERLINK("#'Input - Electricity'!A1", "Electricity")</f>
        <v>Electricity</v>
      </c>
      <c r="D19" s="47" t="s">
        <v>91</v>
      </c>
      <c r="E19" s="47" t="s">
        <v>99</v>
      </c>
      <c r="F19" s="48">
        <v>10000</v>
      </c>
      <c r="G19" s="49" t="str" cm="1">
        <f t="array" ref="G19">Common_InputFunctions.Utility_LookupValueInTable(Table_Input_Fuel[[#This Row],[Fuel type (select)]],Table_FuelTypes_Units[Fuel type], Table_FuelTypes_Units[Input Unit])</f>
        <v>L</v>
      </c>
      <c r="H19" s="226">
        <f>1</f>
        <v>1</v>
      </c>
      <c r="I19" s="49">
        <f>Table_Input_Fuel[[#This Row],[Amount purchased]]*Table_Input_Fuel[[#This Row],[Percent consumed]]*IF(Table_Input_Fuel[[#This Row],[Amount unit]]="L", 10^-3, 1)</f>
        <v>10</v>
      </c>
      <c r="J19" s="49" t="str" cm="1">
        <f t="array" ref="J19">Common_InputFunctions.Utility_LookupValueInTable(Table_Input_Fuel[[#This Row],[Fuel type (select)]],Table_FuelTypes_Units[Fuel type], Table_FuelTypes_Units[Unit])</f>
        <v>kL</v>
      </c>
    </row>
    <row r="20" spans="1:10" ht="20.100000000000001" customHeight="1" x14ac:dyDescent="0.25">
      <c r="A20"/>
      <c r="D20" s="47" t="s">
        <v>92</v>
      </c>
      <c r="E20" s="47" t="s">
        <v>99</v>
      </c>
      <c r="F20" s="48">
        <v>10000</v>
      </c>
      <c r="G20" s="49" t="str" cm="1">
        <f t="array" ref="G20">Common_InputFunctions.Utility_LookupValueInTable(Table_Input_Fuel[[#This Row],[Fuel type (select)]],Table_FuelTypes_Units[Fuel type], Table_FuelTypes_Units[Input Unit])</f>
        <v>L</v>
      </c>
      <c r="H20" s="226">
        <f>1</f>
        <v>1</v>
      </c>
      <c r="I20" s="49">
        <f>Table_Input_Fuel[[#This Row],[Amount purchased]]*Table_Input_Fuel[[#This Row],[Percent consumed]]*IF(Table_Input_Fuel[[#This Row],[Amount unit]]="L", 10^-3, 1)</f>
        <v>10</v>
      </c>
      <c r="J20" s="49" t="str" cm="1">
        <f t="array" ref="J20">Common_InputFunctions.Utility_LookupValueInTable(Table_Input_Fuel[[#This Row],[Fuel type (select)]],Table_FuelTypes_Units[Fuel type], Table_FuelTypes_Units[Unit])</f>
        <v>kL</v>
      </c>
    </row>
    <row r="21" spans="1:10" ht="20.100000000000001" customHeight="1" x14ac:dyDescent="0.25">
      <c r="A21"/>
      <c r="D21" s="148" t="s">
        <v>93</v>
      </c>
      <c r="E21" s="148" t="s">
        <v>94</v>
      </c>
      <c r="F21" s="48">
        <v>10000</v>
      </c>
      <c r="G21" s="160" t="str" cm="1">
        <f t="array" ref="G21">Common_InputFunctions.Utility_LookupValueInTable(Table_Input_Fuel[[#This Row],[Fuel type (select)]],Table_FuelTypes_Units[Fuel type], Table_FuelTypes_Units[Input Unit])</f>
        <v>L</v>
      </c>
      <c r="H21" s="227">
        <f>1</f>
        <v>1</v>
      </c>
      <c r="I21" s="160">
        <f>Table_Input_Fuel[[#This Row],[Amount purchased]]*Table_Input_Fuel[[#This Row],[Percent consumed]]*IF(Table_Input_Fuel[[#This Row],[Amount unit]]="L", 10^-3, 1)</f>
        <v>10</v>
      </c>
      <c r="J21" s="49" t="str" cm="1">
        <f t="array" ref="J21">Common_InputFunctions.Utility_LookupValueInTable(Table_Input_Fuel[[#This Row],[Fuel type (select)]],Table_FuelTypes_Units[Fuel type], Table_FuelTypes_Units[Unit])</f>
        <v>kL</v>
      </c>
    </row>
    <row r="22" spans="1:10" ht="20.100000000000001" customHeight="1" x14ac:dyDescent="0.25">
      <c r="A22" s="21" t="s">
        <v>77</v>
      </c>
    </row>
    <row r="23" spans="1:10" ht="20.100000000000001" customHeight="1" x14ac:dyDescent="0.25">
      <c r="A23" s="16" t="str">
        <f>HYPERLINK("#'15 Scope 3'!A1", "15 Scope 3")</f>
        <v>15 Scope 3</v>
      </c>
    </row>
    <row r="24" spans="1:10" ht="20.100000000000001" customHeight="1" x14ac:dyDescent="0.25">
      <c r="A24" s="16" t="str">
        <f>HYPERLINK("#'10.1.1-2 Solid waste treatment'!A1", "10.1.1-2 Solid waste treatment")</f>
        <v>10.1.1-2 Solid waste treatment</v>
      </c>
    </row>
    <row r="25" spans="1:10" ht="20.100000000000001" customHeight="1" x14ac:dyDescent="0.25">
      <c r="A25" s="16" t="str">
        <f>HYPERLINK("#'Calcs - Manure sent off-site'!A1", "Calcs - Manure sent off-site")</f>
        <v>Calcs - Manure sent off-site</v>
      </c>
    </row>
    <row r="26" spans="1:10" ht="20.100000000000001" customHeight="1" x14ac:dyDescent="0.25">
      <c r="A26" s="16" t="str">
        <f>HYPERLINK("#'8.1.1.1-2 Transport fuel'!A1", "8.1.1.1-2 Transport fuel")</f>
        <v>8.1.1.1-2 Transport fuel</v>
      </c>
    </row>
    <row r="27" spans="1:10" ht="20.100000000000001" customHeight="1" x14ac:dyDescent="0.25">
      <c r="A27" s="16" t="str">
        <f>HYPERLINK("#'8.2.1.1-2 Stationary fuel'!A1", "8.2.1.1-2 Stationary fuel")</f>
        <v>8.2.1.1-2 Stationary fuel</v>
      </c>
    </row>
    <row r="28" spans="1:10" ht="20.100000000000001" customHeight="1" x14ac:dyDescent="0.25">
      <c r="A28"/>
    </row>
    <row r="29" spans="1:10" ht="20.100000000000001" customHeight="1" x14ac:dyDescent="0.25">
      <c r="A29"/>
    </row>
    <row r="30" spans="1:10" ht="20.100000000000001" customHeight="1" x14ac:dyDescent="0.25">
      <c r="A30" s="221" t="s">
        <v>78</v>
      </c>
    </row>
    <row r="31" spans="1:10" ht="20.100000000000001" customHeight="1" x14ac:dyDescent="0.25">
      <c r="A31" s="16" t="str">
        <f>HYPERLINK("#'Constants - Scope 3'!A1", "Constants - Scope 3")</f>
        <v>Constants - Scope 3</v>
      </c>
    </row>
    <row r="32" spans="1:10" ht="20.100000000000001" customHeight="1" x14ac:dyDescent="0.25">
      <c r="A32" s="16" t="str">
        <f>HYPERLINK("#'Constants - Solid Waste'!A1", "Constants - Solid Waste")</f>
        <v>Constants - Solid Waste</v>
      </c>
    </row>
    <row r="33" spans="1:11" ht="20.100000000000001" customHeight="1" x14ac:dyDescent="0.25">
      <c r="A33" s="16" t="str">
        <f>HYPERLINK("#'Constants - Fuel'!A1", "Constants - Fuel")</f>
        <v>Constants - Fuel</v>
      </c>
    </row>
    <row r="34" spans="1:11" ht="20.100000000000001" customHeight="1" x14ac:dyDescent="0.25">
      <c r="A34" s="16" t="str">
        <f>HYPERLINK("#'Constants - Poultry'!A1", "Constants - Poultry")</f>
        <v>Constants - Poultry</v>
      </c>
    </row>
    <row r="35" spans="1:11" ht="20.100000000000001" customHeight="1" x14ac:dyDescent="0.25">
      <c r="A35" s="16" t="str">
        <f>HYPERLINK("#'Constants - Swine'!A1", "Constants - Swine")</f>
        <v>Constants - Swine</v>
      </c>
    </row>
    <row r="36" spans="1:11" ht="20.100000000000001" customHeight="1" x14ac:dyDescent="0.25">
      <c r="A36" s="16" t="str">
        <f>HYPERLINK("#'Constants - Dairy'!A1", "Constants - Dairy")</f>
        <v>Constants - Dairy</v>
      </c>
    </row>
    <row r="37" spans="1:11" ht="20.100000000000001" customHeight="1" x14ac:dyDescent="0.25">
      <c r="A37" s="16" t="str">
        <f>HYPERLINK("#'Constants - Pasture Beef'!A1", "Constants - Pasture Beef")</f>
        <v>Constants - Pasture Beef</v>
      </c>
    </row>
    <row r="38" spans="1:11" ht="20.100000000000001" customHeight="1" x14ac:dyDescent="0.25">
      <c r="A38" s="16" t="str">
        <f>HYPERLINK("#'Constants - Common Livestock'!A1", "Constants - Common Livestock")</f>
        <v>Constants - Common Livestock</v>
      </c>
      <c r="C38" s="51"/>
      <c r="K38" s="51"/>
    </row>
    <row r="39" spans="1:11" ht="20.100000000000001" customHeight="1" x14ac:dyDescent="0.25">
      <c r="A39" s="16" t="str">
        <f>HYPERLINK("#'Constants - Fertiliser'!A1", "Constants - Fertiliser")</f>
        <v>Constants - Fertiliser</v>
      </c>
      <c r="C39" s="51"/>
      <c r="K39" s="51"/>
    </row>
    <row r="40" spans="1:11" s="52" customFormat="1" ht="20.100000000000001" customHeight="1" x14ac:dyDescent="0.25">
      <c r="A40" s="16" t="str">
        <f>HYPERLINK("#'Constants - Electricity'!A1", "Constants - Electricity")</f>
        <v>Constants - Electricity</v>
      </c>
      <c r="C40" s="8"/>
      <c r="D40" s="8"/>
      <c r="E40" s="8"/>
      <c r="F40" s="8"/>
      <c r="G40" s="8"/>
      <c r="H40" s="8"/>
      <c r="I40" s="8"/>
      <c r="J40" s="8"/>
      <c r="K40" s="8"/>
    </row>
    <row r="41" spans="1:11" s="52" customFormat="1" ht="20.100000000000001" customHeight="1" x14ac:dyDescent="0.25">
      <c r="A41" s="16" t="str">
        <f>HYPERLINK("#'Constants - Common'!A1", "Constants - Common")</f>
        <v>Constants - Common</v>
      </c>
      <c r="C41" s="8"/>
      <c r="D41" s="8"/>
      <c r="E41" s="8"/>
      <c r="F41" s="8"/>
      <c r="G41" s="8"/>
      <c r="H41" s="8"/>
      <c r="I41" s="8"/>
      <c r="J41" s="8"/>
      <c r="K41" s="8"/>
    </row>
    <row r="42" spans="1:11" ht="20.100000000000001" customHeight="1" x14ac:dyDescent="0.25">
      <c r="A42"/>
    </row>
    <row r="43" spans="1:11" ht="20.100000000000001" customHeight="1" x14ac:dyDescent="0.25">
      <c r="A43"/>
    </row>
    <row r="44" spans="1:11" ht="20.100000000000001" customHeight="1" x14ac:dyDescent="0.25">
      <c r="A44"/>
    </row>
    <row r="45" spans="1:11" ht="20.100000000000001" customHeight="1" x14ac:dyDescent="0.25">
      <c r="A45"/>
    </row>
    <row r="46" spans="1:11" ht="20.100000000000001" customHeight="1" x14ac:dyDescent="0.25">
      <c r="A46"/>
    </row>
    <row r="47" spans="1:11" ht="20.100000000000001" customHeight="1" x14ac:dyDescent="0.25">
      <c r="A47"/>
    </row>
    <row r="48" spans="1:11" ht="20.100000000000001" customHeight="1" x14ac:dyDescent="0.25">
      <c r="A48"/>
    </row>
    <row r="49" spans="1:1" ht="20.100000000000001" customHeight="1" x14ac:dyDescent="0.25">
      <c r="A49"/>
    </row>
    <row r="50" spans="1:1" ht="20.100000000000001" customHeight="1" x14ac:dyDescent="0.25">
      <c r="A50"/>
    </row>
    <row r="51" spans="1:1" ht="20.100000000000001" customHeight="1" x14ac:dyDescent="0.25">
      <c r="A51"/>
    </row>
    <row r="52" spans="1:1" ht="20.100000000000001" customHeight="1" x14ac:dyDescent="0.25">
      <c r="A52"/>
    </row>
    <row r="53" spans="1:1" ht="20.100000000000001" customHeight="1" x14ac:dyDescent="0.25">
      <c r="A53"/>
    </row>
    <row r="54" spans="1:1" ht="20.100000000000001" customHeight="1" x14ac:dyDescent="0.25">
      <c r="A54"/>
    </row>
    <row r="55" spans="1:1" ht="20.100000000000001" customHeight="1" x14ac:dyDescent="0.25">
      <c r="A55"/>
    </row>
    <row r="56" spans="1:1" ht="20.100000000000001" customHeight="1" x14ac:dyDescent="0.25">
      <c r="A56"/>
    </row>
    <row r="57" spans="1:1" ht="20.100000000000001" customHeight="1" x14ac:dyDescent="0.25">
      <c r="A57"/>
    </row>
    <row r="58" spans="1:1" ht="20.100000000000001" customHeight="1" x14ac:dyDescent="0.25">
      <c r="A58"/>
    </row>
    <row r="59" spans="1:1" ht="20.100000000000001" customHeight="1" x14ac:dyDescent="0.25">
      <c r="A59"/>
    </row>
    <row r="60" spans="1:1" ht="20.100000000000001" customHeight="1" x14ac:dyDescent="0.25">
      <c r="A60"/>
    </row>
    <row r="61" spans="1:1" ht="20.100000000000001" customHeight="1" x14ac:dyDescent="0.25">
      <c r="A61"/>
    </row>
    <row r="62" spans="1:1" ht="20.100000000000001" customHeight="1" x14ac:dyDescent="0.25">
      <c r="A62"/>
    </row>
    <row r="63" spans="1:1" ht="20.100000000000001" customHeight="1" x14ac:dyDescent="0.25">
      <c r="A63"/>
    </row>
    <row r="64" spans="1:1"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46" spans="4:4" x14ac:dyDescent="0.25">
      <c r="D346" s="54"/>
    </row>
  </sheetData>
  <conditionalFormatting sqref="F32">
    <cfRule type="cellIs" dxfId="77" priority="9" operator="lessThan">
      <formula>0</formula>
    </cfRule>
  </conditionalFormatting>
  <conditionalFormatting sqref="F111:F112">
    <cfRule type="cellIs" dxfId="76" priority="8" operator="lessThan">
      <formula>0</formula>
    </cfRule>
  </conditionalFormatting>
  <conditionalFormatting sqref="F123:F124">
    <cfRule type="cellIs" dxfId="75" priority="7" operator="lessThan">
      <formula>0</formula>
    </cfRule>
  </conditionalFormatting>
  <conditionalFormatting sqref="F135:F136">
    <cfRule type="cellIs" dxfId="74" priority="6" operator="lessThan">
      <formula>0</formula>
    </cfRule>
  </conditionalFormatting>
  <conditionalFormatting sqref="F147:F148">
    <cfRule type="cellIs" dxfId="73" priority="5" operator="lessThan">
      <formula>0</formula>
    </cfRule>
  </conditionalFormatting>
  <conditionalFormatting sqref="F235:F236">
    <cfRule type="cellIs" dxfId="72" priority="17" operator="lessThan">
      <formula>0</formula>
    </cfRule>
  </conditionalFormatting>
  <conditionalFormatting sqref="F240:F241">
    <cfRule type="cellIs" dxfId="71" priority="16" operator="lessThan">
      <formula>0</formula>
    </cfRule>
  </conditionalFormatting>
  <conditionalFormatting sqref="F245:F246">
    <cfRule type="cellIs" dxfId="70" priority="15" operator="lessThan">
      <formula>0</formula>
    </cfRule>
  </conditionalFormatting>
  <conditionalFormatting sqref="F269:F270">
    <cfRule type="cellIs" dxfId="69" priority="14" operator="lessThan">
      <formula>0</formula>
    </cfRule>
  </conditionalFormatting>
  <conditionalFormatting sqref="F274:F275">
    <cfRule type="cellIs" dxfId="68" priority="13" operator="lessThan">
      <formula>0</formula>
    </cfRule>
  </conditionalFormatting>
  <conditionalFormatting sqref="F279:F280">
    <cfRule type="cellIs" dxfId="67" priority="12" operator="lessThan">
      <formula>0</formula>
    </cfRule>
  </conditionalFormatting>
  <conditionalFormatting sqref="I26:J27 H28:H30 I31:J31 I33:J35 I37:J38 I189:J189 E195:G195 I195:J195">
    <cfRule type="cellIs" dxfId="66" priority="11" operator="lessThan">
      <formula>0</formula>
    </cfRule>
  </conditionalFormatting>
  <conditionalFormatting sqref="I42:J46">
    <cfRule type="cellIs" dxfId="65" priority="4" operator="lessThan">
      <formula>0</formula>
    </cfRule>
  </conditionalFormatting>
  <conditionalFormatting sqref="I50:J50 I109:J109">
    <cfRule type="cellIs" dxfId="64" priority="10" operator="lessThan">
      <formula>0</formula>
    </cfRule>
  </conditionalFormatting>
  <conditionalFormatting sqref="I61:J63">
    <cfRule type="cellIs" dxfId="63" priority="3" operator="lessThan">
      <formula>0</formula>
    </cfRule>
  </conditionalFormatting>
  <conditionalFormatting sqref="I67:J70">
    <cfRule type="cellIs" dxfId="62" priority="2" operator="lessThan">
      <formula>0</formula>
    </cfRule>
  </conditionalFormatting>
  <conditionalFormatting sqref="I74:J78">
    <cfRule type="cellIs" dxfId="61" priority="1" operator="lessThan">
      <formula>0</formula>
    </cfRule>
  </conditionalFormatting>
  <dataValidations count="9">
    <dataValidation type="list" allowBlank="1" showInputMessage="1" showErrorMessage="1" sqref="E17:E21" xr:uid="{923F3FAF-3893-4BC0-AD6F-54F390D0EDCB}">
      <formula1>_xlfn.TRIMRANGE(INDIRECT("Table_FuelTypesPerUse["&amp;D17&amp;"]"))</formula1>
    </dataValidation>
    <dataValidation type="list" allowBlank="1" showInputMessage="1" showErrorMessage="1" sqref="D17:D21" xr:uid="{88567D18-6B2B-4F12-B18E-73D2C51BB109}">
      <formula1>INDIRECT("Table_FuelTypesPerUse[#Headers]")</formula1>
    </dataValidation>
    <dataValidation type="list" allowBlank="1" showInputMessage="1" showErrorMessage="1" sqref="E11" xr:uid="{ED24D86A-BAD1-4D90-A955-93D60223EFDA}">
      <formula1>"Metro, Non-metro"</formula1>
    </dataValidation>
    <dataValidation type="list" allowBlank="1" showInputMessage="1" showErrorMessage="1" sqref="D29:D30" xr:uid="{599EDEDC-E224-4C04-802B-2E4E05ED3CC1}">
      <formula1>INDIRECT("Table_SourceData_OrganicFertiliserTypes[Organic fertiliser type]")</formula1>
    </dataValidation>
    <dataValidation type="list" allowBlank="1" showInputMessage="1" showErrorMessage="1" sqref="E49" xr:uid="{56E7BB38-858D-4D05-9DC1-3532671B3F23}">
      <formula1>INDIRECT("Table_SourceData_Swine_CropProdSystems[Production system]")</formula1>
    </dataValidation>
    <dataValidation type="list" allowBlank="1" showInputMessage="1" showErrorMessage="1" sqref="E50" xr:uid="{8D0B5A34-C731-4A9C-B22A-200827D36B4B}">
      <formula1>INDIRECT("Table_SourceData_Swine_IrrigationMethods[Irrigation method]")</formula1>
    </dataValidation>
    <dataValidation type="list" allowBlank="1" showInputMessage="1" showErrorMessage="1" sqref="E234 E239 E244 E278 E273 E268 E146 E134 E110 E122" xr:uid="{BA68B382-32F2-40EF-8124-5D3328FA8C17}">
      <formula1>"Yes, No"</formula1>
    </dataValidation>
    <dataValidation type="list" allowBlank="1" showInputMessage="1" showErrorMessage="1" sqref="E210" xr:uid="{A41D239C-7564-4B69-981A-35C1648B575A}">
      <formula1>INDIRECT("Table_SourceData_Dairy_ProductionSystemTemplates[Area]")</formula1>
    </dataValidation>
    <dataValidation type="list" allowBlank="1" showInputMessage="1" showErrorMessage="1" sqref="D262" xr:uid="{AA7A5BB9-E4E0-4252-BD8F-C6B171EB6CAD}">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08C21-5D1B-49F5-AAFD-4D5E7619E107}">
  <dimension ref="A1:Y366"/>
  <sheetViews>
    <sheetView showGridLines="0" topLeftCell="A23" zoomScaleNormal="100" workbookViewId="0">
      <selection activeCell="A41" sqref="A41"/>
    </sheetView>
  </sheetViews>
  <sheetFormatPr defaultRowHeight="15.75" x14ac:dyDescent="0.25"/>
  <cols>
    <col min="1" max="1" width="26.875" style="3" customWidth="1"/>
    <col min="2" max="2" width="4.125" style="3" customWidth="1"/>
    <col min="3" max="3" width="4.125" style="8" customWidth="1"/>
    <col min="4" max="4" width="45.625" style="8" customWidth="1"/>
    <col min="5" max="5" width="26.875" style="8" customWidth="1"/>
    <col min="6" max="24" width="13.75" style="8" customWidth="1"/>
    <col min="25" max="25" width="4.125" style="8" customWidth="1"/>
    <col min="26" max="26" width="4.125" style="3" customWidth="1"/>
    <col min="27" max="16384" width="9" style="3"/>
  </cols>
  <sheetData>
    <row r="1" spans="1:25" s="37" customFormat="1" ht="30" customHeight="1" x14ac:dyDescent="0.35">
      <c r="A1" s="37" t="e" vm="1">
        <v>#VALUE!</v>
      </c>
      <c r="C1" s="37" t="s">
        <v>193</v>
      </c>
    </row>
    <row r="2" spans="1:25" s="2" customFormat="1" ht="20.100000000000001" customHeight="1" x14ac:dyDescent="0.25">
      <c r="A2"/>
    </row>
    <row r="3" spans="1:25" ht="20.100000000000001" customHeight="1" x14ac:dyDescent="0.25">
      <c r="A3" s="16" t="str">
        <f>HYPERLINK("#'Overview'!A1", "Overview")</f>
        <v>Overview</v>
      </c>
      <c r="C3" s="38"/>
      <c r="D3" s="38"/>
      <c r="E3" s="38"/>
      <c r="F3" s="38"/>
      <c r="G3" s="38"/>
      <c r="H3" s="38"/>
      <c r="I3" s="38"/>
      <c r="J3" s="38"/>
      <c r="K3" s="38"/>
      <c r="L3" s="38"/>
      <c r="M3" s="38"/>
      <c r="N3" s="38"/>
      <c r="O3" s="38"/>
      <c r="P3" s="38"/>
      <c r="Q3" s="38"/>
      <c r="R3" s="38"/>
      <c r="S3" s="38"/>
      <c r="T3" s="38"/>
      <c r="U3" s="38"/>
      <c r="V3" s="38"/>
      <c r="W3" s="38"/>
      <c r="X3" s="38"/>
      <c r="Y3" s="38"/>
    </row>
    <row r="4" spans="1:25" ht="20.100000000000001" customHeight="1" x14ac:dyDescent="0.25">
      <c r="A4" s="16" t="str">
        <f>HYPERLINK("#'Results'!A1", "Results")</f>
        <v>Results</v>
      </c>
    </row>
    <row r="5" spans="1:25" ht="20.100000000000001" customHeight="1" x14ac:dyDescent="0.25">
      <c r="A5"/>
      <c r="D5" s="9" t="s">
        <v>195</v>
      </c>
      <c r="E5" s="7"/>
      <c r="F5" s="7"/>
      <c r="G5" s="7"/>
      <c r="H5" s="7"/>
      <c r="I5" s="7"/>
      <c r="J5" s="7"/>
      <c r="K5" s="7"/>
      <c r="L5" s="7"/>
      <c r="M5" s="7"/>
    </row>
    <row r="6" spans="1:25" ht="20.100000000000001" customHeight="1" x14ac:dyDescent="0.25">
      <c r="A6"/>
      <c r="D6" s="14"/>
      <c r="E6" s="14"/>
      <c r="F6" s="14"/>
      <c r="G6" s="14"/>
      <c r="H6" s="14"/>
      <c r="I6" s="14"/>
      <c r="J6" s="14"/>
      <c r="K6" s="14"/>
      <c r="L6" s="14"/>
      <c r="M6" s="14"/>
    </row>
    <row r="7" spans="1:25" ht="20.100000000000001" customHeight="1" x14ac:dyDescent="0.25">
      <c r="A7" s="19" t="s">
        <v>67</v>
      </c>
      <c r="D7" s="39" t="s">
        <v>196</v>
      </c>
      <c r="E7" s="40"/>
      <c r="F7" s="40"/>
      <c r="G7" s="40"/>
      <c r="H7" s="41"/>
      <c r="I7" s="67"/>
      <c r="J7" s="68"/>
      <c r="K7" s="69"/>
      <c r="L7" s="69"/>
      <c r="M7" s="69"/>
    </row>
    <row r="8" spans="1:25" ht="20.100000000000001" customHeight="1" x14ac:dyDescent="0.25">
      <c r="A8" s="16" t="str">
        <f>HYPERLINK("#'Input - Site'!A1", "Site")</f>
        <v>Site</v>
      </c>
      <c r="D8" s="43" t="s">
        <v>197</v>
      </c>
      <c r="E8" s="44"/>
      <c r="F8" s="44"/>
      <c r="G8" s="45"/>
      <c r="H8" s="70"/>
      <c r="I8" s="14"/>
      <c r="J8" s="14"/>
      <c r="K8" s="14"/>
      <c r="L8" s="14"/>
      <c r="M8" s="14"/>
    </row>
    <row r="9" spans="1:25" ht="20.100000000000001" customHeight="1" x14ac:dyDescent="0.25">
      <c r="A9" s="16" t="str">
        <f>HYPERLINK("#'Input - Fuel'!A1", "Fuel")</f>
        <v>Fuel</v>
      </c>
      <c r="D9" s="14"/>
      <c r="E9" s="14"/>
      <c r="F9" s="14"/>
      <c r="G9" s="14"/>
      <c r="H9" s="14"/>
      <c r="I9" s="14"/>
      <c r="J9" s="14"/>
      <c r="K9" s="14"/>
      <c r="L9" s="14"/>
      <c r="M9" s="14"/>
    </row>
    <row r="10" spans="1:25" ht="20.100000000000001" customHeight="1" x14ac:dyDescent="0.25">
      <c r="A10" s="42" t="str">
        <f>HYPERLINK("#'Input - Fertiliser'!A1", "Fertiliser")</f>
        <v>Fertiliser</v>
      </c>
      <c r="D10" s="71" t="s">
        <v>198</v>
      </c>
      <c r="E10" s="14"/>
      <c r="F10" s="14"/>
      <c r="G10" s="14"/>
      <c r="H10" s="14"/>
      <c r="I10" s="14"/>
      <c r="J10" s="14"/>
      <c r="K10" s="14"/>
      <c r="L10" s="14"/>
      <c r="M10" s="14"/>
    </row>
    <row r="11" spans="1:25" ht="20.100000000000001" customHeight="1" x14ac:dyDescent="0.25">
      <c r="A11" s="16" t="str">
        <f>HYPERLINK("#'Input - Farm Inputs'!A1", "Farm Inputs")</f>
        <v>Farm Inputs</v>
      </c>
      <c r="D11" s="222" t="s">
        <v>199</v>
      </c>
      <c r="E11" s="64" t="s">
        <v>852</v>
      </c>
      <c r="F11" s="64" t="s">
        <v>309</v>
      </c>
      <c r="G11" s="64" t="s">
        <v>310</v>
      </c>
      <c r="H11" s="64" t="s">
        <v>200</v>
      </c>
      <c r="I11" s="64" t="s">
        <v>201</v>
      </c>
      <c r="J11" s="222" t="s">
        <v>173</v>
      </c>
      <c r="K11" s="222" t="s">
        <v>174</v>
      </c>
      <c r="L11" s="222" t="s">
        <v>175</v>
      </c>
      <c r="M11" s="222" t="s">
        <v>176</v>
      </c>
      <c r="N11" s="222" t="s">
        <v>177</v>
      </c>
      <c r="O11" s="222" t="s">
        <v>178</v>
      </c>
      <c r="P11" s="222" t="s">
        <v>179</v>
      </c>
      <c r="Q11" s="222" t="s">
        <v>180</v>
      </c>
      <c r="R11" s="222" t="s">
        <v>181</v>
      </c>
      <c r="S11" s="222" t="s">
        <v>182</v>
      </c>
      <c r="T11" s="222" t="s">
        <v>183</v>
      </c>
      <c r="U11" s="222" t="s">
        <v>184</v>
      </c>
      <c r="V11" s="222" t="s">
        <v>202</v>
      </c>
      <c r="W11" s="222" t="s">
        <v>171</v>
      </c>
      <c r="X11" s="222" t="s">
        <v>172</v>
      </c>
    </row>
    <row r="12" spans="1:25" ht="20.100000000000001" customHeight="1" x14ac:dyDescent="0.25">
      <c r="A12" s="16" t="str">
        <f>HYPERLINK("#'Input - Beef cattle purchases'!A1", "Beef cattle purchases")</f>
        <v>Beef cattle purchases</v>
      </c>
      <c r="D12" s="72" t="s">
        <v>853</v>
      </c>
      <c r="E12" s="73">
        <v>100</v>
      </c>
      <c r="F12" s="49" t="str">
        <f>_xlfn.XLOOKUP(Table_Input_InorganicFertiliser_Brands[[#This Row],[Product (select)]],FertiliserProducts[Product name],FertiliserProducts[Unit])</f>
        <v>L</v>
      </c>
      <c r="G12" s="49">
        <f>_xlfn.XLOOKUP(Table_Input_InorganicFertiliser_Brands[[#This Row],[Product (select)]],FertiliserProducts[Product name],FertiliserProducts[Density / gravity])</f>
        <v>1.26</v>
      </c>
      <c r="H12" s="73">
        <v>100</v>
      </c>
      <c r="I12" s="74">
        <f>(Table_Input_InorganicFertiliser_Brands[[#This Row],[Amount applied per hectare]]*Table_Input_InorganicFertiliser_Brands[[#This Row],[Density]])*Table_Input_InorganicFertiliser_Brands[[#This Row],[Application area (ha)]]</f>
        <v>12600</v>
      </c>
      <c r="J12" s="74" t="str" cm="1">
        <f t="array" ref="J12">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K12" s="74" cm="1">
        <f t="array" ref="K12">Fertiliser_InputFunctions.Fertiliser_FertiliserProductLookup(Table_Input_InorganicFertiliser_Brands[[#This Row],[Product (select)]], Table_Input_InorganicFertiliser_Brands[[#Headers],[Ingredient 1 percent]], FertiliserProducts[#Data], FertiliserProducts[Product name], FertiliserProducts[#Headers])</f>
        <v>0.22500000000000001</v>
      </c>
      <c r="L12" s="74" t="str" cm="1">
        <f t="array" ref="L12">Fertiliser_InputFunctions.Fertiliser_FertiliserProductLookup(Table_Input_InorganicFertiliser_Brands[[#This Row],[Product (select)]], Table_Input_InorganicFertiliser_Brands[[#Headers],[Ingredient 2]], FertiliserProducts[#Data], FertiliserProducts[Product name], FertiliserProducts[#Headers])</f>
        <v>Phosphorus - Generic</v>
      </c>
      <c r="M12" s="74" cm="1">
        <f t="array" ref="M12">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2" s="74" t="str" cm="1">
        <f t="array" ref="N12">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O12" s="74" cm="1">
        <f t="array" ref="O12">Fertiliser_InputFunctions.Fertiliser_FertiliserProductLookup(Table_Input_InorganicFertiliser_Brands[[#This Row],[Product (select)]], Table_Input_InorganicFertiliser_Brands[[#Headers],[Ingredient 3 percent]], FertiliserProducts[#Data], FertiliserProducts[Product name], FertiliserProducts[#Headers])</f>
        <v>2.5999999999999999E-2</v>
      </c>
      <c r="P12" s="74" t="str" cm="1">
        <f t="array" ref="P12">Fertiliser_InputFunctions.Fertiliser_FertiliserProductLookup(Table_Input_InorganicFertiliser_Brands[[#This Row],[Product (select)]], Table_Input_InorganicFertiliser_Brands[[#Headers],[Ingredient 4]], FertiliserProducts[#Data], FertiliserProducts[Product name], FertiliserProducts[#Headers])</f>
        <v/>
      </c>
      <c r="Q12" s="74" t="str" cm="1">
        <f t="array" ref="Q12">Fertiliser_InputFunctions.Fertiliser_FertiliserProductLookup(Table_Input_InorganicFertiliser_Brands[[#This Row],[Product (select)]], Table_Input_InorganicFertiliser_Brands[[#Headers],[Ingredient 4 percent]], FertiliserProducts[#Data], FertiliserProducts[Product name], FertiliserProducts[#Headers])</f>
        <v/>
      </c>
      <c r="R12" s="74" t="str" cm="1">
        <f t="array" ref="R12">Fertiliser_InputFunctions.Fertiliser_FertiliserProductLookup(Table_Input_InorganicFertiliser_Brands[[#This Row],[Product (select)]], Table_Input_InorganicFertiliser_Brands[[#Headers],[Ingredient 5]], FertiliserProducts[#Data], FertiliserProducts[Product name], FertiliserProducts[#Headers])</f>
        <v/>
      </c>
      <c r="S12" s="74" t="str" cm="1">
        <f t="array" ref="S12">Fertiliser_InputFunctions.Fertiliser_FertiliserProductLookup(Table_Input_InorganicFertiliser_Brands[[#This Row],[Product (select)]], Table_Input_InorganicFertiliser_Brands[[#Headers],[Ingredient 5 percent]], FertiliserProducts[#Data], FertiliserProducts[Product name], FertiliserProducts[#Headers])</f>
        <v/>
      </c>
      <c r="T12" s="74" t="str" cm="1">
        <f t="array" ref="T12">Fertiliser_InputFunctions.Fertiliser_FertiliserProductLookup(Table_Input_InorganicFertiliser_Brands[[#This Row],[Product (select)]], Table_Input_InorganicFertiliser_Brands[[#Headers],[Ingredient 6]], FertiliserProducts[#Data], FertiliserProducts[Product name], FertiliserProducts[#Headers])</f>
        <v/>
      </c>
      <c r="U12" s="74" t="str" cm="1">
        <f t="array" ref="U12">Fertiliser_InputFunctions.Fertiliser_FertiliserProductLookup(Table_Input_InorganicFertiliser_Brands[[#This Row],[Product (select)]], Table_Input_InorganicFertiliser_Brands[[#Headers],[Ingredient 6 percent]], FertiliserProducts[#Data], FertiliserProducts[Product name], FertiliserProducts[#Headers])</f>
        <v/>
      </c>
      <c r="V12" s="7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3.2759999999999998</v>
      </c>
      <c r="W12" s="49" t="str">
        <f>_xlfn.XLOOKUP(Table_Input_InorganicFertiliser_Brands[[#This Row],[Product (select)]],FertiliserProducts[Product name],FertiliserProducts[Urea source])</f>
        <v/>
      </c>
      <c r="X12" s="49" t="str">
        <f>_xlfn.XLOOKUP(Table_Input_InorganicFertiliser_Brands[[#This Row],[Product (select)]],FertiliserProducts[Product name],FertiliserProducts[Ammonia source])</f>
        <v/>
      </c>
    </row>
    <row r="13" spans="1:25" ht="20.100000000000001" customHeight="1" x14ac:dyDescent="0.25">
      <c r="A13" s="16" t="str">
        <f>HYPERLINK("#'Input - Dairy cattle purchases'!A1", "Dairy cattle purchases")</f>
        <v>Dairy cattle purchases</v>
      </c>
      <c r="D13" s="223" t="s">
        <v>854</v>
      </c>
      <c r="E13" s="224">
        <v>100</v>
      </c>
      <c r="F13" s="49" t="str">
        <f>_xlfn.XLOOKUP(Table_Input_InorganicFertiliser_Brands[[#This Row],[Product (select)]],FertiliserProducts[Product name],FertiliserProducts[Unit])</f>
        <v>L</v>
      </c>
      <c r="G13" s="49">
        <f>_xlfn.XLOOKUP(Table_Input_InorganicFertiliser_Brands[[#This Row],[Product (select)]],FertiliserProducts[Product name],FertiliserProducts[Density / gravity])</f>
        <v>1.2849999999999999</v>
      </c>
      <c r="H13" s="224">
        <v>100</v>
      </c>
      <c r="I13" s="74">
        <f>(Table_Input_InorganicFertiliser_Brands[[#This Row],[Amount applied per hectare]]*Table_Input_InorganicFertiliser_Brands[[#This Row],[Density]])*Table_Input_InorganicFertiliser_Brands[[#This Row],[Application area (ha)]]</f>
        <v>12850</v>
      </c>
      <c r="J13" s="74" t="str" cm="1">
        <f t="array" ref="J13">Fertiliser_InputFunctions.Fertiliser_FertiliserProductLookup(Table_Input_InorganicFertiliser_Brands[[#This Row],[Product (select)]], Table_Input_InorganicFertiliser_Brands[[#Headers],[Ingredient 1]], FertiliserProducts[#Data], FertiliserProducts[Product name], FertiliserProducts[#Headers])</f>
        <v>Phosphorus - Generic</v>
      </c>
      <c r="K13" s="74" cm="1">
        <f t="array" ref="K13">Fertiliser_InputFunctions.Fertiliser_FertiliserProductLookup(Table_Input_InorganicFertiliser_Brands[[#This Row],[Product (select)]], Table_Input_InorganicFertiliser_Brands[[#Headers],[Ingredient 1 percent]], FertiliserProducts[#Data], FertiliserProducts[Product name], FertiliserProducts[#Headers])</f>
        <v>0.13500000000000001</v>
      </c>
      <c r="L13" s="74" t="str" cm="1">
        <f t="array" ref="L13">Fertiliser_InputFunctions.Fertiliser_FertiliserProductLookup(Table_Input_InorganicFertiliser_Brands[[#This Row],[Product (select)]], Table_Input_InorganicFertiliser_Brands[[#Headers],[Ingredient 2]], FertiliserProducts[#Data], FertiliserProducts[Product name], FertiliserProducts[#Headers])</f>
        <v>Calcium - Generic</v>
      </c>
      <c r="M13" s="74" cm="1">
        <f t="array" ref="M13">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3" s="74" t="str" cm="1">
        <f t="array" ref="N13">Fertiliser_InputFunctions.Fertiliser_FertiliserProductLookup(Table_Input_InorganicFertiliser_Brands[[#This Row],[Product (select)]], Table_Input_InorganicFertiliser_Brands[[#Headers],[Ingredient 3]], FertiliserProducts[#Data], FertiliserProducts[Product name], FertiliserProducts[#Headers])</f>
        <v/>
      </c>
      <c r="O13" s="74" t="str" cm="1">
        <f t="array" ref="O13">Fertiliser_InputFunctions.Fertiliser_FertiliserProductLookup(Table_Input_InorganicFertiliser_Brands[[#This Row],[Product (select)]], Table_Input_InorganicFertiliser_Brands[[#Headers],[Ingredient 3 percent]], FertiliserProducts[#Data], FertiliserProducts[Product name], FertiliserProducts[#Headers])</f>
        <v/>
      </c>
      <c r="P13" s="74" t="str" cm="1">
        <f t="array" ref="P13">Fertiliser_InputFunctions.Fertiliser_FertiliserProductLookup(Table_Input_InorganicFertiliser_Brands[[#This Row],[Product (select)]], Table_Input_InorganicFertiliser_Brands[[#Headers],[Ingredient 4]], FertiliserProducts[#Data], FertiliserProducts[Product name], FertiliserProducts[#Headers])</f>
        <v/>
      </c>
      <c r="Q13" s="74" t="str" cm="1">
        <f t="array" ref="Q13">Fertiliser_InputFunctions.Fertiliser_FertiliserProductLookup(Table_Input_InorganicFertiliser_Brands[[#This Row],[Product (select)]], Table_Input_InorganicFertiliser_Brands[[#Headers],[Ingredient 4 percent]], FertiliserProducts[#Data], FertiliserProducts[Product name], FertiliserProducts[#Headers])</f>
        <v/>
      </c>
      <c r="R13" s="74" t="str" cm="1">
        <f t="array" ref="R13">Fertiliser_InputFunctions.Fertiliser_FertiliserProductLookup(Table_Input_InorganicFertiliser_Brands[[#This Row],[Product (select)]], Table_Input_InorganicFertiliser_Brands[[#Headers],[Ingredient 5]], FertiliserProducts[#Data], FertiliserProducts[Product name], FertiliserProducts[#Headers])</f>
        <v/>
      </c>
      <c r="S13" s="74" t="str" cm="1">
        <f t="array" ref="S13">Fertiliser_InputFunctions.Fertiliser_FertiliserProductLookup(Table_Input_InorganicFertiliser_Brands[[#This Row],[Product (select)]], Table_Input_InorganicFertiliser_Brands[[#Headers],[Ingredient 5 percent]], FertiliserProducts[#Data], FertiliserProducts[Product name], FertiliserProducts[#Headers])</f>
        <v/>
      </c>
      <c r="T13" s="74" t="str" cm="1">
        <f t="array" ref="T13">Fertiliser_InputFunctions.Fertiliser_FertiliserProductLookup(Table_Input_InorganicFertiliser_Brands[[#This Row],[Product (select)]], Table_Input_InorganicFertiliser_Brands[[#Headers],[Ingredient 6]], FertiliserProducts[#Data], FertiliserProducts[Product name], FertiliserProducts[#Headers])</f>
        <v/>
      </c>
      <c r="U13" s="74" t="str" cm="1">
        <f t="array" ref="U13">Fertiliser_InputFunctions.Fertiliser_FertiliserProductLookup(Table_Input_InorganicFertiliser_Brands[[#This Row],[Product (select)]], Table_Input_InorganicFertiliser_Brands[[#Headers],[Ingredient 6 percent]], FertiliserProducts[#Data], FertiliserProducts[Product name], FertiliserProducts[#Headers])</f>
        <v/>
      </c>
      <c r="V13" s="7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3" s="74" t="str">
        <f>_xlfn.XLOOKUP(Table_Input_InorganicFertiliser_Brands[[#This Row],[Product (select)]],FertiliserProducts[Product name],FertiliserProducts[Urea source])</f>
        <v/>
      </c>
      <c r="X13" s="74" t="str">
        <f>_xlfn.XLOOKUP(Table_Input_InorganicFertiliser_Brands[[#This Row],[Product (select)]],FertiliserProducts[Product name],FertiliserProducts[Ammonia source])</f>
        <v/>
      </c>
    </row>
    <row r="14" spans="1:25" ht="20.100000000000001" customHeight="1" x14ac:dyDescent="0.25">
      <c r="A14" s="16" t="str">
        <f>HYPERLINK("#'Input - Pig purchases'!A1", "Pig purchases")</f>
        <v>Pig purchases</v>
      </c>
      <c r="D14" s="223" t="s">
        <v>854</v>
      </c>
      <c r="E14" s="224">
        <v>100</v>
      </c>
      <c r="F14" s="49" t="str">
        <f>_xlfn.XLOOKUP(Table_Input_InorganicFertiliser_Brands[[#This Row],[Product (select)]],FertiliserProducts[Product name],FertiliserProducts[Unit])</f>
        <v>L</v>
      </c>
      <c r="G14" s="49">
        <f>_xlfn.XLOOKUP(Table_Input_InorganicFertiliser_Brands[[#This Row],[Product (select)]],FertiliserProducts[Product name],FertiliserProducts[Density / gravity])</f>
        <v>1.2849999999999999</v>
      </c>
      <c r="H14" s="224">
        <v>100</v>
      </c>
      <c r="I14" s="74">
        <f>(Table_Input_InorganicFertiliser_Brands[[#This Row],[Amount applied per hectare]]*Table_Input_InorganicFertiliser_Brands[[#This Row],[Density]])*Table_Input_InorganicFertiliser_Brands[[#This Row],[Application area (ha)]]</f>
        <v>12850</v>
      </c>
      <c r="J14" s="74" t="str" cm="1">
        <f t="array" ref="J14">Fertiliser_InputFunctions.Fertiliser_FertiliserProductLookup(Table_Input_InorganicFertiliser_Brands[[#This Row],[Product (select)]], Table_Input_InorganicFertiliser_Brands[[#Headers],[Ingredient 1]], FertiliserProducts[#Data], FertiliserProducts[Product name], FertiliserProducts[#Headers])</f>
        <v>Phosphorus - Generic</v>
      </c>
      <c r="K14" s="74" cm="1">
        <f t="array" ref="K14">Fertiliser_InputFunctions.Fertiliser_FertiliserProductLookup(Table_Input_InorganicFertiliser_Brands[[#This Row],[Product (select)]], Table_Input_InorganicFertiliser_Brands[[#Headers],[Ingredient 1 percent]], FertiliserProducts[#Data], FertiliserProducts[Product name], FertiliserProducts[#Headers])</f>
        <v>0.13500000000000001</v>
      </c>
      <c r="L14" s="74" t="str" cm="1">
        <f t="array" ref="L14">Fertiliser_InputFunctions.Fertiliser_FertiliserProductLookup(Table_Input_InorganicFertiliser_Brands[[#This Row],[Product (select)]], Table_Input_InorganicFertiliser_Brands[[#Headers],[Ingredient 2]], FertiliserProducts[#Data], FertiliserProducts[Product name], FertiliserProducts[#Headers])</f>
        <v>Calcium - Generic</v>
      </c>
      <c r="M14" s="74" cm="1">
        <f t="array" ref="M14">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4" s="74" t="str" cm="1">
        <f t="array" ref="N14">Fertiliser_InputFunctions.Fertiliser_FertiliserProductLookup(Table_Input_InorganicFertiliser_Brands[[#This Row],[Product (select)]], Table_Input_InorganicFertiliser_Brands[[#Headers],[Ingredient 3]], FertiliserProducts[#Data], FertiliserProducts[Product name], FertiliserProducts[#Headers])</f>
        <v/>
      </c>
      <c r="O14" s="74" t="str" cm="1">
        <f t="array" ref="O14">Fertiliser_InputFunctions.Fertiliser_FertiliserProductLookup(Table_Input_InorganicFertiliser_Brands[[#This Row],[Product (select)]], Table_Input_InorganicFertiliser_Brands[[#Headers],[Ingredient 3 percent]], FertiliserProducts[#Data], FertiliserProducts[Product name], FertiliserProducts[#Headers])</f>
        <v/>
      </c>
      <c r="P14" s="74" t="str" cm="1">
        <f t="array" ref="P14">Fertiliser_InputFunctions.Fertiliser_FertiliserProductLookup(Table_Input_InorganicFertiliser_Brands[[#This Row],[Product (select)]], Table_Input_InorganicFertiliser_Brands[[#Headers],[Ingredient 4]], FertiliserProducts[#Data], FertiliserProducts[Product name], FertiliserProducts[#Headers])</f>
        <v/>
      </c>
      <c r="Q14" s="74" t="str" cm="1">
        <f t="array" ref="Q14">Fertiliser_InputFunctions.Fertiliser_FertiliserProductLookup(Table_Input_InorganicFertiliser_Brands[[#This Row],[Product (select)]], Table_Input_InorganicFertiliser_Brands[[#Headers],[Ingredient 4 percent]], FertiliserProducts[#Data], FertiliserProducts[Product name], FertiliserProducts[#Headers])</f>
        <v/>
      </c>
      <c r="R14" s="74" t="str" cm="1">
        <f t="array" ref="R14">Fertiliser_InputFunctions.Fertiliser_FertiliserProductLookup(Table_Input_InorganicFertiliser_Brands[[#This Row],[Product (select)]], Table_Input_InorganicFertiliser_Brands[[#Headers],[Ingredient 5]], FertiliserProducts[#Data], FertiliserProducts[Product name], FertiliserProducts[#Headers])</f>
        <v/>
      </c>
      <c r="S14" s="74" t="str" cm="1">
        <f t="array" ref="S14">Fertiliser_InputFunctions.Fertiliser_FertiliserProductLookup(Table_Input_InorganicFertiliser_Brands[[#This Row],[Product (select)]], Table_Input_InorganicFertiliser_Brands[[#Headers],[Ingredient 5 percent]], FertiliserProducts[#Data], FertiliserProducts[Product name], FertiliserProducts[#Headers])</f>
        <v/>
      </c>
      <c r="T14" s="74" t="str" cm="1">
        <f t="array" ref="T14">Fertiliser_InputFunctions.Fertiliser_FertiliserProductLookup(Table_Input_InorganicFertiliser_Brands[[#This Row],[Product (select)]], Table_Input_InorganicFertiliser_Brands[[#Headers],[Ingredient 6]], FertiliserProducts[#Data], FertiliserProducts[Product name], FertiliserProducts[#Headers])</f>
        <v/>
      </c>
      <c r="U14" s="74" t="str" cm="1">
        <f t="array" ref="U14">Fertiliser_InputFunctions.Fertiliser_FertiliserProductLookup(Table_Input_InorganicFertiliser_Brands[[#This Row],[Product (select)]], Table_Input_InorganicFertiliser_Brands[[#Headers],[Ingredient 6 percent]], FertiliserProducts[#Data], FertiliserProducts[Product name], FertiliserProducts[#Headers])</f>
        <v/>
      </c>
      <c r="V14" s="7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4" s="74" t="str">
        <f>_xlfn.XLOOKUP(Table_Input_InorganicFertiliser_Brands[[#This Row],[Product (select)]],FertiliserProducts[Product name],FertiliserProducts[Urea source])</f>
        <v/>
      </c>
      <c r="X14" s="74" t="str">
        <f>_xlfn.XLOOKUP(Table_Input_InorganicFertiliser_Brands[[#This Row],[Product (select)]],FertiliserProducts[Product name],FertiliserProducts[Ammonia source])</f>
        <v/>
      </c>
    </row>
    <row r="15" spans="1:25" ht="20.100000000000001" customHeight="1" x14ac:dyDescent="0.25">
      <c r="A15" s="16" t="str">
        <f>HYPERLINK("#'Input - Poultry purchases'!A1", "Poultry purchases")</f>
        <v>Poultry purchases</v>
      </c>
      <c r="D15" s="223" t="s">
        <v>855</v>
      </c>
      <c r="E15" s="224">
        <v>100</v>
      </c>
      <c r="F15" s="49" t="str">
        <f>_xlfn.XLOOKUP(Table_Input_InorganicFertiliser_Brands[[#This Row],[Product (select)]],FertiliserProducts[Product name],FertiliserProducts[Unit])</f>
        <v>L</v>
      </c>
      <c r="G15" s="49">
        <f>_xlfn.XLOOKUP(Table_Input_InorganicFertiliser_Brands[[#This Row],[Product (select)]],FertiliserProducts[Product name],FertiliserProducts[Density / gravity])</f>
        <v>1.26</v>
      </c>
      <c r="H15" s="224">
        <v>100</v>
      </c>
      <c r="I15" s="74">
        <f>(Table_Input_InorganicFertiliser_Brands[[#This Row],[Amount applied per hectare]]*Table_Input_InorganicFertiliser_Brands[[#This Row],[Density]])*Table_Input_InorganicFertiliser_Brands[[#This Row],[Application area (ha)]]</f>
        <v>12600</v>
      </c>
      <c r="J15" s="74" t="str" cm="1">
        <f t="array" ref="J15">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K15" s="74" cm="1">
        <f t="array" ref="K15">Fertiliser_InputFunctions.Fertiliser_FertiliserProductLookup(Table_Input_InorganicFertiliser_Brands[[#This Row],[Product (select)]], Table_Input_InorganicFertiliser_Brands[[#Headers],[Ingredient 1 percent]], FertiliserProducts[#Data], FertiliserProducts[Product name], FertiliserProducts[#Headers])</f>
        <v>0.105</v>
      </c>
      <c r="L15" s="74" t="str" cm="1">
        <f t="array" ref="L15">Fertiliser_InputFunctions.Fertiliser_FertiliserProductLookup(Table_Input_InorganicFertiliser_Brands[[#This Row],[Product (select)]], Table_Input_InorganicFertiliser_Brands[[#Headers],[Ingredient 2]], FertiliserProducts[#Data], FertiliserProducts[Product name], FertiliserProducts[#Headers])</f>
        <v>Nitrogen - Generic</v>
      </c>
      <c r="M15" s="74" cm="1">
        <f t="array" ref="M15">Fertiliser_InputFunctions.Fertiliser_FertiliserProductLookup(Table_Input_InorganicFertiliser_Brands[[#This Row],[Product (select)]], Table_Input_InorganicFertiliser_Brands[[#Headers],[Ingredient 2 percent]], FertiliserProducts[#Data], FertiliserProducts[Product name], FertiliserProducts[#Headers])</f>
        <v>9.6000000000000002E-2</v>
      </c>
      <c r="N15" s="74" t="str" cm="1">
        <f t="array" ref="N15">Fertiliser_InputFunctions.Fertiliser_FertiliserProductLookup(Table_Input_InorganicFertiliser_Brands[[#This Row],[Product (select)]], Table_Input_InorganicFertiliser_Brands[[#Headers],[Ingredient 3]], FertiliserProducts[#Data], FertiliserProducts[Product name], FertiliserProducts[#Headers])</f>
        <v>Phosphorus - Generic</v>
      </c>
      <c r="O15" s="74" cm="1">
        <f t="array" ref="O15">Fertiliser_InputFunctions.Fertiliser_FertiliserProductLookup(Table_Input_InorganicFertiliser_Brands[[#This Row],[Product (select)]], Table_Input_InorganicFertiliser_Brands[[#Headers],[Ingredient 3 percent]], FertiliserProducts[#Data], FertiliserProducts[Product name], FertiliserProducts[#Headers])</f>
        <v>0.05</v>
      </c>
      <c r="P15" s="74" t="str" cm="1">
        <f t="array" ref="P15">Fertiliser_InputFunctions.Fertiliser_FertiliserProductLookup(Table_Input_InorganicFertiliser_Brands[[#This Row],[Product (select)]], Table_Input_InorganicFertiliser_Brands[[#Headers],[Ingredient 4]], FertiliserProducts[#Data], FertiliserProducts[Product name], FertiliserProducts[#Headers])</f>
        <v/>
      </c>
      <c r="Q15" s="74" t="str" cm="1">
        <f t="array" ref="Q15">Fertiliser_InputFunctions.Fertiliser_FertiliserProductLookup(Table_Input_InorganicFertiliser_Brands[[#This Row],[Product (select)]], Table_Input_InorganicFertiliser_Brands[[#Headers],[Ingredient 4 percent]], FertiliserProducts[#Data], FertiliserProducts[Product name], FertiliserProducts[#Headers])</f>
        <v/>
      </c>
      <c r="R15" s="74" t="str" cm="1">
        <f t="array" ref="R15">Fertiliser_InputFunctions.Fertiliser_FertiliserProductLookup(Table_Input_InorganicFertiliser_Brands[[#This Row],[Product (select)]], Table_Input_InorganicFertiliser_Brands[[#Headers],[Ingredient 5]], FertiliserProducts[#Data], FertiliserProducts[Product name], FertiliserProducts[#Headers])</f>
        <v/>
      </c>
      <c r="S15" s="74" t="str" cm="1">
        <f t="array" ref="S15">Fertiliser_InputFunctions.Fertiliser_FertiliserProductLookup(Table_Input_InorganicFertiliser_Brands[[#This Row],[Product (select)]], Table_Input_InorganicFertiliser_Brands[[#Headers],[Ingredient 5 percent]], FertiliserProducts[#Data], FertiliserProducts[Product name], FertiliserProducts[#Headers])</f>
        <v/>
      </c>
      <c r="T15" s="74" t="str" cm="1">
        <f t="array" ref="T15">Fertiliser_InputFunctions.Fertiliser_FertiliserProductLookup(Table_Input_InorganicFertiliser_Brands[[#This Row],[Product (select)]], Table_Input_InorganicFertiliser_Brands[[#Headers],[Ingredient 6]], FertiliserProducts[#Data], FertiliserProducts[Product name], FertiliserProducts[#Headers])</f>
        <v/>
      </c>
      <c r="U15" s="74" t="str" cm="1">
        <f t="array" ref="U15">Fertiliser_InputFunctions.Fertiliser_FertiliserProductLookup(Table_Input_InorganicFertiliser_Brands[[#This Row],[Product (select)]], Table_Input_InorganicFertiliser_Brands[[#Headers],[Ingredient 6 percent]], FertiliserProducts[#Data], FertiliserProducts[Product name], FertiliserProducts[#Headers])</f>
        <v/>
      </c>
      <c r="V15" s="7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12.096</v>
      </c>
      <c r="W15" s="74" t="str">
        <f>_xlfn.XLOOKUP(Table_Input_InorganicFertiliser_Brands[[#This Row],[Product (select)]],FertiliserProducts[Product name],FertiliserProducts[Urea source])</f>
        <v/>
      </c>
      <c r="X15" s="74" t="str">
        <f>_xlfn.XLOOKUP(Table_Input_InorganicFertiliser_Brands[[#This Row],[Product (select)]],FertiliserProducts[Product name],FertiliserProducts[Ammonia source])</f>
        <v/>
      </c>
    </row>
    <row r="16" spans="1:25" ht="20.100000000000001" customHeight="1" x14ac:dyDescent="0.25">
      <c r="A16" s="16" t="str">
        <f>HYPERLINK("#'Input - Freight'!A1", "Freight")</f>
        <v>Freight</v>
      </c>
      <c r="D16" s="223" t="s">
        <v>856</v>
      </c>
      <c r="E16" s="224">
        <v>100</v>
      </c>
      <c r="F16" s="49" t="str">
        <f>_xlfn.XLOOKUP(Table_Input_InorganicFertiliser_Brands[[#This Row],[Product (select)]],FertiliserProducts[Product name],FertiliserProducts[Unit])</f>
        <v>L</v>
      </c>
      <c r="G16" s="49">
        <f>_xlfn.XLOOKUP(Table_Input_InorganicFertiliser_Brands[[#This Row],[Product (select)]],FertiliserProducts[Product name],FertiliserProducts[Density / gravity])</f>
        <v>1.5</v>
      </c>
      <c r="H16" s="224">
        <v>100</v>
      </c>
      <c r="I16" s="74">
        <f>(Table_Input_InorganicFertiliser_Brands[[#This Row],[Amount applied per hectare]]*Table_Input_InorganicFertiliser_Brands[[#This Row],[Density]])*Table_Input_InorganicFertiliser_Brands[[#This Row],[Application area (ha)]]</f>
        <v>15000</v>
      </c>
      <c r="J16" s="74" t="str" cm="1">
        <f t="array" ref="J16">Fertiliser_InputFunctions.Fertiliser_FertiliserProductLookup(Table_Input_InorganicFertiliser_Brands[[#This Row],[Product (select)]], Table_Input_InorganicFertiliser_Brands[[#Headers],[Ingredient 1]], FertiliserProducts[#Data], FertiliserProducts[Product name], FertiliserProducts[#Headers])</f>
        <v>Calcium - Generic</v>
      </c>
      <c r="K16" s="74" cm="1">
        <f t="array" ref="K16">Fertiliser_InputFunctions.Fertiliser_FertiliserProductLookup(Table_Input_InorganicFertiliser_Brands[[#This Row],[Product (select)]], Table_Input_InorganicFertiliser_Brands[[#Headers],[Ingredient 1 percent]], FertiliserProducts[#Data], FertiliserProducts[Product name], FertiliserProducts[#Headers])</f>
        <v>0.16200000000000001</v>
      </c>
      <c r="L16" s="74" t="str" cm="1">
        <f t="array" ref="L16">Fertiliser_InputFunctions.Fertiliser_FertiliserProductLookup(Table_Input_InorganicFertiliser_Brands[[#This Row],[Product (select)]], Table_Input_InorganicFertiliser_Brands[[#Headers],[Ingredient 2]], FertiliserProducts[#Data], FertiliserProducts[Product name], FertiliserProducts[#Headers])</f>
        <v>Nitrogen - Nitrate</v>
      </c>
      <c r="M16" s="74" cm="1">
        <f t="array" ref="M16">Fertiliser_InputFunctions.Fertiliser_FertiliserProductLookup(Table_Input_InorganicFertiliser_Brands[[#This Row],[Product (select)]], Table_Input_InorganicFertiliser_Brands[[#Headers],[Ingredient 2 percent]], FertiliserProducts[#Data], FertiliserProducts[Product name], FertiliserProducts[#Headers])</f>
        <v>0.13200000000000001</v>
      </c>
      <c r="N16" s="74" t="str" cm="1">
        <f t="array" ref="N16">Fertiliser_InputFunctions.Fertiliser_FertiliserProductLookup(Table_Input_InorganicFertiliser_Brands[[#This Row],[Product (select)]], Table_Input_InorganicFertiliser_Brands[[#Headers],[Ingredient 3]], FertiliserProducts[#Data], FertiliserProducts[Product name], FertiliserProducts[#Headers])</f>
        <v/>
      </c>
      <c r="O16" s="74" t="str" cm="1">
        <f t="array" ref="O16">Fertiliser_InputFunctions.Fertiliser_FertiliserProductLookup(Table_Input_InorganicFertiliser_Brands[[#This Row],[Product (select)]], Table_Input_InorganicFertiliser_Brands[[#Headers],[Ingredient 3 percent]], FertiliserProducts[#Data], FertiliserProducts[Product name], FertiliserProducts[#Headers])</f>
        <v/>
      </c>
      <c r="P16" s="74" t="str" cm="1">
        <f t="array" ref="P16">Fertiliser_InputFunctions.Fertiliser_FertiliserProductLookup(Table_Input_InorganicFertiliser_Brands[[#This Row],[Product (select)]], Table_Input_InorganicFertiliser_Brands[[#Headers],[Ingredient 4]], FertiliserProducts[#Data], FertiliserProducts[Product name], FertiliserProducts[#Headers])</f>
        <v/>
      </c>
      <c r="Q16" s="74" t="str" cm="1">
        <f t="array" ref="Q16">Fertiliser_InputFunctions.Fertiliser_FertiliserProductLookup(Table_Input_InorganicFertiliser_Brands[[#This Row],[Product (select)]], Table_Input_InorganicFertiliser_Brands[[#Headers],[Ingredient 4 percent]], FertiliserProducts[#Data], FertiliserProducts[Product name], FertiliserProducts[#Headers])</f>
        <v/>
      </c>
      <c r="R16" s="74" t="str" cm="1">
        <f t="array" ref="R16">Fertiliser_InputFunctions.Fertiliser_FertiliserProductLookup(Table_Input_InorganicFertiliser_Brands[[#This Row],[Product (select)]], Table_Input_InorganicFertiliser_Brands[[#Headers],[Ingredient 5]], FertiliserProducts[#Data], FertiliserProducts[Product name], FertiliserProducts[#Headers])</f>
        <v/>
      </c>
      <c r="S16" s="74" t="str" cm="1">
        <f t="array" ref="S16">Fertiliser_InputFunctions.Fertiliser_FertiliserProductLookup(Table_Input_InorganicFertiliser_Brands[[#This Row],[Product (select)]], Table_Input_InorganicFertiliser_Brands[[#Headers],[Ingredient 5 percent]], FertiliserProducts[#Data], FertiliserProducts[Product name], FertiliserProducts[#Headers])</f>
        <v/>
      </c>
      <c r="T16" s="74" t="str" cm="1">
        <f t="array" ref="T16">Fertiliser_InputFunctions.Fertiliser_FertiliserProductLookup(Table_Input_InorganicFertiliser_Brands[[#This Row],[Product (select)]], Table_Input_InorganicFertiliser_Brands[[#Headers],[Ingredient 6]], FertiliserProducts[#Data], FertiliserProducts[Product name], FertiliserProducts[#Headers])</f>
        <v/>
      </c>
      <c r="U16" s="74" t="str" cm="1">
        <f t="array" ref="U16">Fertiliser_InputFunctions.Fertiliser_FertiliserProductLookup(Table_Input_InorganicFertiliser_Brands[[#This Row],[Product (select)]], Table_Input_InorganicFertiliser_Brands[[#Headers],[Ingredient 6 percent]], FertiliserProducts[#Data], FertiliserProducts[Product name], FertiliserProducts[#Headers])</f>
        <v/>
      </c>
      <c r="V16" s="7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19.8</v>
      </c>
      <c r="W16" s="74" t="str">
        <f>_xlfn.XLOOKUP(Table_Input_InorganicFertiliser_Brands[[#This Row],[Product (select)]],FertiliserProducts[Product name],FertiliserProducts[Urea source])</f>
        <v/>
      </c>
      <c r="X16" s="74" t="str">
        <f>_xlfn.XLOOKUP(Table_Input_InorganicFertiliser_Brands[[#This Row],[Product (select)]],FertiliserProducts[Product name],FertiliserProducts[Ammonia source])</f>
        <v/>
      </c>
    </row>
    <row r="17" spans="1:24" ht="36" customHeight="1" x14ac:dyDescent="0.25">
      <c r="A17" s="16" t="str">
        <f>HYPERLINK("#'Input - Solid waste'!A1", "Solid waste")</f>
        <v>Solid waste</v>
      </c>
      <c r="D17" s="75"/>
      <c r="E17" s="76"/>
      <c r="F17" s="77"/>
      <c r="G17" s="77"/>
      <c r="H17" s="77"/>
      <c r="I17" s="77"/>
      <c r="J17" s="78"/>
      <c r="K17" s="78"/>
      <c r="L17" s="79"/>
      <c r="M17" s="79"/>
      <c r="N17" s="51"/>
      <c r="O17" s="51"/>
      <c r="P17" s="51"/>
      <c r="Q17" s="51"/>
      <c r="R17" s="51"/>
      <c r="S17" s="51"/>
      <c r="T17" s="51"/>
      <c r="U17" s="51"/>
      <c r="V17" s="51"/>
      <c r="W17" s="51"/>
      <c r="X17" s="51"/>
    </row>
    <row r="18" spans="1:24" ht="36" customHeight="1" x14ac:dyDescent="0.25">
      <c r="A18" s="16" t="str">
        <f>HYPERLINK("#'Input - Manure sent off-site'!A1", "Manure sent off-site")</f>
        <v>Manure sent off-site</v>
      </c>
      <c r="D18" s="80" t="s">
        <v>203</v>
      </c>
      <c r="E18" s="81"/>
      <c r="F18" s="81"/>
      <c r="G18" s="81"/>
      <c r="H18" s="81"/>
      <c r="I18" s="81"/>
      <c r="J18" s="81"/>
      <c r="K18" s="81"/>
      <c r="L18" s="81"/>
      <c r="M18" s="81"/>
      <c r="N18" s="51"/>
      <c r="O18" s="51"/>
      <c r="P18" s="51"/>
      <c r="Q18" s="51"/>
      <c r="R18" s="51"/>
      <c r="S18" s="51"/>
      <c r="T18" s="51"/>
      <c r="V18" s="51"/>
      <c r="W18" s="51"/>
      <c r="X18" s="51"/>
    </row>
    <row r="19" spans="1:24" ht="36" customHeight="1" x14ac:dyDescent="0.25">
      <c r="A19" s="16" t="str">
        <f>HYPERLINK("#'Input - Electricity'!A1", "Electricity")</f>
        <v>Electricity</v>
      </c>
      <c r="D19" s="64" t="s">
        <v>204</v>
      </c>
      <c r="E19" s="64" t="s">
        <v>857</v>
      </c>
      <c r="F19" s="64" t="s">
        <v>200</v>
      </c>
      <c r="G19" s="64" t="s">
        <v>201</v>
      </c>
      <c r="H19" s="64" t="s">
        <v>205</v>
      </c>
      <c r="I19" s="64" t="s">
        <v>174</v>
      </c>
      <c r="J19" s="64" t="s">
        <v>175</v>
      </c>
      <c r="K19" s="64" t="s">
        <v>176</v>
      </c>
      <c r="L19" s="64" t="s">
        <v>177</v>
      </c>
      <c r="M19" s="64" t="s">
        <v>178</v>
      </c>
      <c r="N19" s="64" t="s">
        <v>179</v>
      </c>
      <c r="O19" s="64" t="s">
        <v>180</v>
      </c>
      <c r="P19" s="64" t="s">
        <v>202</v>
      </c>
      <c r="Q19" s="222" t="s">
        <v>858</v>
      </c>
      <c r="R19" s="222" t="s">
        <v>859</v>
      </c>
      <c r="S19" s="51"/>
      <c r="T19" s="51"/>
      <c r="V19" s="51"/>
      <c r="W19" s="51"/>
      <c r="X19" s="51"/>
    </row>
    <row r="20" spans="1:24" ht="36" customHeight="1" x14ac:dyDescent="0.25">
      <c r="A20"/>
      <c r="D20" s="82" t="s">
        <v>206</v>
      </c>
      <c r="E20" s="64">
        <v>100</v>
      </c>
      <c r="F20" s="73">
        <v>100</v>
      </c>
      <c r="G20" s="74">
        <f>Table_Input_InorganicFertiliser_Custom[[#This Row],[Amount applied (kg / ha)]]*Table_Input_InorganicFertiliser_Custom[[#This Row],[Application area (ha)]]</f>
        <v>10000</v>
      </c>
      <c r="H20" s="83" t="s">
        <v>313</v>
      </c>
      <c r="I20" s="84">
        <v>0.5</v>
      </c>
      <c r="J20" s="83" t="s">
        <v>860</v>
      </c>
      <c r="K20" s="84">
        <v>0.2</v>
      </c>
      <c r="L20" s="83" t="s">
        <v>208</v>
      </c>
      <c r="M20" s="84">
        <v>0.2</v>
      </c>
      <c r="N20" s="85" t="s">
        <v>209</v>
      </c>
      <c r="O20" s="86">
        <v>0.1</v>
      </c>
      <c r="P20" s="7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7.75</v>
      </c>
      <c r="Q20" s="47"/>
      <c r="R20" s="47"/>
      <c r="T20" s="27"/>
    </row>
    <row r="21" spans="1:24" ht="36" customHeight="1" x14ac:dyDescent="0.25">
      <c r="A21"/>
      <c r="D21" s="82" t="s">
        <v>861</v>
      </c>
      <c r="E21" s="64">
        <v>100</v>
      </c>
      <c r="F21" s="73">
        <v>100</v>
      </c>
      <c r="G21" s="74">
        <f>Table_Input_InorganicFertiliser_Custom[[#This Row],[Amount applied (kg / ha)]]*Table_Input_InorganicFertiliser_Custom[[#This Row],[Application area (ha)]]</f>
        <v>10000</v>
      </c>
      <c r="H21" s="83" t="s">
        <v>207</v>
      </c>
      <c r="I21" s="87">
        <v>1</v>
      </c>
      <c r="J21" s="83"/>
      <c r="K21" s="87"/>
      <c r="L21" s="83"/>
      <c r="M21" s="87"/>
      <c r="N21" s="85"/>
      <c r="O21" s="86"/>
      <c r="P21" s="7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46</v>
      </c>
      <c r="Q21" s="47"/>
      <c r="R21" s="47"/>
      <c r="W21" s="27"/>
    </row>
    <row r="22" spans="1:24" ht="36" customHeight="1" x14ac:dyDescent="0.25">
      <c r="A22" s="21" t="s">
        <v>77</v>
      </c>
      <c r="D22" s="82" t="s">
        <v>862</v>
      </c>
      <c r="E22" s="64">
        <v>100</v>
      </c>
      <c r="F22" s="73">
        <v>100</v>
      </c>
      <c r="G22" s="74">
        <f>Table_Input_InorganicFertiliser_Custom[[#This Row],[Amount applied (kg / ha)]]*Table_Input_InorganicFertiliser_Custom[[#This Row],[Application area (ha)]]</f>
        <v>10000</v>
      </c>
      <c r="H22" s="83" t="s">
        <v>314</v>
      </c>
      <c r="I22" s="87">
        <v>0.5</v>
      </c>
      <c r="J22" s="83"/>
      <c r="K22" s="87"/>
      <c r="L22" s="83"/>
      <c r="M22" s="87"/>
      <c r="N22" s="85"/>
      <c r="O22" s="86"/>
      <c r="P22" s="7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41.174999999999997</v>
      </c>
      <c r="Q22" s="47"/>
      <c r="R22" s="47"/>
    </row>
    <row r="23" spans="1:24" ht="36" customHeight="1" x14ac:dyDescent="0.25">
      <c r="A23" s="16" t="str">
        <f>HYPERLINK("#'15 Scope 3'!A1", "15 Scope 3")</f>
        <v>15 Scope 3</v>
      </c>
      <c r="V23" s="27"/>
    </row>
    <row r="24" spans="1:24" ht="36" customHeight="1" x14ac:dyDescent="0.25">
      <c r="A24" s="16" t="str">
        <f>HYPERLINK("#'10.1.1-2 Solid waste treatment'!A1", "10.1.1-2 Solid waste treatment")</f>
        <v>10.1.1-2 Solid waste treatment</v>
      </c>
      <c r="D24" s="9" t="s">
        <v>823</v>
      </c>
      <c r="E24" s="7"/>
      <c r="F24" s="7"/>
      <c r="G24" s="7"/>
      <c r="H24" s="7"/>
      <c r="I24" s="7"/>
      <c r="J24" s="7"/>
      <c r="K24" s="14"/>
      <c r="L24" s="14"/>
      <c r="M24" s="14"/>
    </row>
    <row r="25" spans="1:24" ht="36" customHeight="1" x14ac:dyDescent="0.25">
      <c r="A25" s="16" t="str">
        <f>HYPERLINK("#'Calcs - Manure sent off-site'!A1", "Calcs - Manure sent off-site")</f>
        <v>Calcs - Manure sent off-site</v>
      </c>
      <c r="D25" s="14"/>
      <c r="E25" s="14"/>
      <c r="F25" s="14"/>
      <c r="G25" s="14"/>
      <c r="H25" s="14"/>
      <c r="I25" s="14"/>
      <c r="J25" s="14"/>
      <c r="K25" s="14"/>
      <c r="L25" s="14"/>
      <c r="M25" s="7"/>
    </row>
    <row r="26" spans="1:24" ht="36" customHeight="1" x14ac:dyDescent="0.25">
      <c r="A26" s="16" t="str">
        <f>HYPERLINK("#'8.1.1.1-2 Transport fuel'!A1", "8.1.1.1-2 Transport fuel")</f>
        <v>8.1.1.1-2 Transport fuel</v>
      </c>
      <c r="D26" s="39" t="s">
        <v>210</v>
      </c>
      <c r="E26" s="40"/>
      <c r="F26" s="41"/>
      <c r="G26" s="39"/>
      <c r="H26" s="41"/>
      <c r="I26" s="7"/>
      <c r="J26" s="7"/>
      <c r="K26" s="14"/>
      <c r="L26" s="14"/>
      <c r="M26" s="14"/>
    </row>
    <row r="27" spans="1:24" ht="20.100000000000001" customHeight="1" x14ac:dyDescent="0.25">
      <c r="A27" s="16" t="str">
        <f>HYPERLINK("#'8.2.1.1-2 Stationary fuel'!A1", "8.2.1.1-2 Stationary fuel")</f>
        <v>8.2.1.1-2 Stationary fuel</v>
      </c>
      <c r="D27" s="88" t="s">
        <v>211</v>
      </c>
      <c r="E27" s="89"/>
      <c r="F27" s="90"/>
      <c r="G27" s="88"/>
      <c r="H27" s="90"/>
      <c r="I27" s="14"/>
      <c r="J27" s="14"/>
      <c r="K27" s="14"/>
      <c r="L27" s="14"/>
      <c r="M27" s="7"/>
    </row>
    <row r="28" spans="1:24" ht="20.100000000000001" customHeight="1" x14ac:dyDescent="0.25">
      <c r="A28"/>
      <c r="D28" s="43" t="s">
        <v>197</v>
      </c>
      <c r="E28" s="44"/>
      <c r="F28" s="44"/>
      <c r="G28" s="44"/>
      <c r="H28" s="45"/>
      <c r="I28" s="14"/>
      <c r="J28" s="14"/>
      <c r="K28" s="14"/>
      <c r="L28" s="14"/>
      <c r="M28" s="7"/>
    </row>
    <row r="29" spans="1:24" ht="20.100000000000001" customHeight="1" x14ac:dyDescent="0.25">
      <c r="A29"/>
      <c r="D29" s="54" t="str">
        <f>IF(MAX(Table_Input_Lime[Total]) &gt; 1, "There can not be more than 100% ingredients in a product. Check the table below.", "")</f>
        <v/>
      </c>
    </row>
    <row r="30" spans="1:24" ht="20.100000000000001" customHeight="1" x14ac:dyDescent="0.25">
      <c r="A30" s="221" t="s">
        <v>78</v>
      </c>
      <c r="D30" s="91" t="s">
        <v>212</v>
      </c>
      <c r="E30" s="91" t="s">
        <v>213</v>
      </c>
      <c r="F30" s="91" t="s">
        <v>200</v>
      </c>
      <c r="G30" s="91" t="s">
        <v>214</v>
      </c>
      <c r="H30" s="91" t="s">
        <v>215</v>
      </c>
      <c r="I30" s="91" t="s">
        <v>216</v>
      </c>
      <c r="J30" s="91" t="s">
        <v>217</v>
      </c>
      <c r="K30" s="91" t="s">
        <v>218</v>
      </c>
    </row>
    <row r="31" spans="1:24" ht="20.100000000000001" customHeight="1" x14ac:dyDescent="0.25">
      <c r="A31" s="16" t="str">
        <f>HYPERLINK("#'Constants - Scope 3'!A1", "Constants - Scope 3")</f>
        <v>Constants - Scope 3</v>
      </c>
      <c r="D31" s="92" t="s">
        <v>219</v>
      </c>
      <c r="E31" s="73">
        <v>1</v>
      </c>
      <c r="F31" s="73">
        <v>100</v>
      </c>
      <c r="G31" s="74">
        <f>IFERROR(Table_Input_Lime[[#This Row],[Amount applied (t/hectare)]]*Table_Input_Lime[[#This Row],[Application area (ha)]], 0)</f>
        <v>100</v>
      </c>
      <c r="H31" s="225">
        <v>0.8</v>
      </c>
      <c r="I31" s="225">
        <v>0.1</v>
      </c>
      <c r="J31" s="225">
        <v>0.1</v>
      </c>
      <c r="K31" s="93">
        <f>SUM(Table_Input_Lime[[#This Row],[Percent Lime CaCO3]:[Percent Gypsum]])</f>
        <v>1</v>
      </c>
    </row>
    <row r="32" spans="1:24" ht="30" customHeight="1" x14ac:dyDescent="0.25">
      <c r="A32" s="16" t="str">
        <f>HYPERLINK("#'Constants - Solid Waste'!A1", "Constants - Solid Waste")</f>
        <v>Constants - Solid Waste</v>
      </c>
      <c r="D32" s="92" t="s">
        <v>220</v>
      </c>
      <c r="E32" s="73">
        <v>1</v>
      </c>
      <c r="F32" s="73">
        <v>100</v>
      </c>
      <c r="G32" s="74">
        <f>IFERROR(Table_Input_Lime[[#This Row],[Amount applied (t/hectare)]]*Table_Input_Lime[[#This Row],[Application area (ha)]], 0)</f>
        <v>100</v>
      </c>
      <c r="H32" s="225">
        <v>1</v>
      </c>
      <c r="I32" s="225"/>
      <c r="J32" s="225"/>
      <c r="K32" s="93">
        <f>SUM(Table_Input_Lime[[#This Row],[Percent Lime CaCO3]:[Percent Gypsum]])</f>
        <v>1</v>
      </c>
      <c r="L32" s="7"/>
    </row>
    <row r="33" spans="1:25" ht="36" customHeight="1" x14ac:dyDescent="0.25">
      <c r="A33" s="16" t="str">
        <f>HYPERLINK("#'Constants - Fuel'!A1", "Constants - Fuel")</f>
        <v>Constants - Fuel</v>
      </c>
      <c r="D33" s="92" t="s">
        <v>863</v>
      </c>
      <c r="E33" s="73">
        <v>1</v>
      </c>
      <c r="F33" s="73">
        <v>100</v>
      </c>
      <c r="G33" s="74">
        <f>IFERROR(Table_Input_Lime[[#This Row],[Amount applied (t/hectare)]]*Table_Input_Lime[[#This Row],[Application area (ha)]], 0)</f>
        <v>100</v>
      </c>
      <c r="H33" s="225">
        <v>0</v>
      </c>
      <c r="I33" s="225"/>
      <c r="J33" s="225">
        <v>1</v>
      </c>
      <c r="K33" s="93">
        <f>SUM(Table_Input_Lime[[#This Row],[Percent Lime CaCO3]:[Percent Gypsum]])</f>
        <v>1</v>
      </c>
      <c r="L33" s="7"/>
      <c r="M33" s="7"/>
    </row>
    <row r="34" spans="1:25" ht="36" customHeight="1" x14ac:dyDescent="0.25">
      <c r="A34" s="16" t="str">
        <f>HYPERLINK("#'Constants - Poultry'!A1", "Constants - Poultry")</f>
        <v>Constants - Poultry</v>
      </c>
      <c r="D34" s="14"/>
      <c r="E34" s="14"/>
      <c r="F34" s="14"/>
      <c r="G34" s="14"/>
      <c r="H34" s="14"/>
      <c r="I34" s="14"/>
      <c r="J34" s="14"/>
      <c r="L34" s="14"/>
      <c r="M34" s="7"/>
    </row>
    <row r="35" spans="1:25" ht="36" customHeight="1" x14ac:dyDescent="0.25">
      <c r="A35" s="16" t="str">
        <f>HYPERLINK("#'Constants - Swine'!A1", "Constants - Swine")</f>
        <v>Constants - Swine</v>
      </c>
      <c r="D35" s="14"/>
      <c r="E35" s="14"/>
      <c r="F35" s="14"/>
      <c r="G35" s="14"/>
      <c r="H35" s="14"/>
      <c r="I35" s="14"/>
      <c r="J35" s="94"/>
      <c r="K35" s="7"/>
      <c r="L35" s="14"/>
      <c r="M35" s="14"/>
    </row>
    <row r="36" spans="1:25" ht="36" customHeight="1" x14ac:dyDescent="0.25">
      <c r="A36" s="16" t="str">
        <f>HYPERLINK("#'Constants - Dairy'!A1", "Constants - Dairy")</f>
        <v>Constants - Dairy</v>
      </c>
      <c r="D36" s="9" t="s">
        <v>864</v>
      </c>
      <c r="E36" s="7"/>
      <c r="F36" s="7"/>
      <c r="G36" s="7"/>
      <c r="H36" s="14"/>
      <c r="I36" s="14"/>
      <c r="J36" s="14"/>
      <c r="K36" s="14"/>
      <c r="L36" s="14"/>
      <c r="M36" s="14"/>
      <c r="S36" s="51"/>
    </row>
    <row r="37" spans="1:25" ht="20.100000000000001" customHeight="1" x14ac:dyDescent="0.25">
      <c r="A37" s="16" t="str">
        <f>HYPERLINK("#'Constants - Pasture Beef'!A1", "Constants - Pasture Beef")</f>
        <v>Constants - Pasture Beef</v>
      </c>
      <c r="D37" s="14"/>
      <c r="E37" s="14"/>
      <c r="F37" s="14"/>
      <c r="G37" s="14"/>
      <c r="H37" s="14"/>
      <c r="I37" s="14"/>
      <c r="J37" s="14"/>
      <c r="K37" s="14"/>
      <c r="L37" s="14"/>
      <c r="M37" s="14"/>
      <c r="Q37" s="51"/>
      <c r="R37" s="51"/>
      <c r="S37" s="51"/>
    </row>
    <row r="38" spans="1:25" ht="20.100000000000001" customHeight="1" x14ac:dyDescent="0.25">
      <c r="A38" s="16" t="str">
        <f>HYPERLINK("#'Constants - Common Livestock'!A1", "Constants - Common Livestock")</f>
        <v>Constants - Common Livestock</v>
      </c>
      <c r="C38" s="51"/>
      <c r="D38" s="39" t="s">
        <v>210</v>
      </c>
      <c r="E38" s="40"/>
      <c r="F38" s="40"/>
      <c r="G38" s="40"/>
      <c r="H38" s="41"/>
      <c r="I38" s="14"/>
      <c r="J38" s="14"/>
      <c r="K38" s="14"/>
      <c r="L38" s="14"/>
      <c r="M38" s="14"/>
      <c r="O38" s="51"/>
      <c r="P38" s="51"/>
      <c r="Q38" s="51"/>
      <c r="R38" s="51"/>
    </row>
    <row r="39" spans="1:25" ht="20.100000000000001" customHeight="1" x14ac:dyDescent="0.25">
      <c r="A39" s="16" t="str">
        <f>HYPERLINK("#'Constants - Fertiliser'!A1", "Constants - Fertiliser")</f>
        <v>Constants - Fertiliser</v>
      </c>
      <c r="C39" s="51"/>
      <c r="D39" s="43" t="s">
        <v>197</v>
      </c>
      <c r="E39" s="44"/>
      <c r="F39" s="44"/>
      <c r="G39" s="44"/>
      <c r="H39" s="45"/>
      <c r="I39" s="14"/>
      <c r="J39" s="14"/>
      <c r="K39" s="14"/>
      <c r="L39" s="81"/>
      <c r="M39" s="51"/>
      <c r="N39" s="51"/>
      <c r="O39" s="51"/>
      <c r="P39" s="51"/>
    </row>
    <row r="40" spans="1:25" s="52" customFormat="1" ht="20.100000000000001" customHeight="1" x14ac:dyDescent="0.25">
      <c r="A40" s="16" t="str">
        <f>HYPERLINK("#'Constants - Electricity'!A1", "Constants - Electricity")</f>
        <v>Constants - Electricity</v>
      </c>
      <c r="C40" s="8"/>
      <c r="D40" s="14"/>
      <c r="E40" s="14"/>
      <c r="F40" s="14"/>
      <c r="G40" s="14"/>
      <c r="H40" s="14"/>
      <c r="I40" s="14"/>
      <c r="J40" s="14"/>
      <c r="K40" s="14"/>
      <c r="L40" s="81"/>
      <c r="M40" s="51"/>
      <c r="N40" s="51"/>
      <c r="O40" s="8"/>
      <c r="P40" s="8"/>
      <c r="Q40" s="8"/>
      <c r="R40" s="8"/>
      <c r="S40" s="8"/>
      <c r="T40" s="8"/>
      <c r="U40" s="8"/>
      <c r="V40" s="8"/>
      <c r="W40" s="8"/>
      <c r="X40" s="8"/>
      <c r="Y40" s="8"/>
    </row>
    <row r="41" spans="1:25" s="52" customFormat="1" ht="20.100000000000001" customHeight="1" x14ac:dyDescent="0.25">
      <c r="A41" s="16" t="str">
        <f>HYPERLINK("#'Constants - Common'!A1", "Constants - Common")</f>
        <v>Constants - Common</v>
      </c>
      <c r="C41" s="8"/>
      <c r="D41" s="91" t="s">
        <v>865</v>
      </c>
      <c r="E41" s="91" t="s">
        <v>866</v>
      </c>
      <c r="F41" s="91" t="s">
        <v>867</v>
      </c>
      <c r="G41" s="91" t="s">
        <v>868</v>
      </c>
      <c r="H41" s="91" t="s">
        <v>200</v>
      </c>
      <c r="I41" s="91" t="s">
        <v>869</v>
      </c>
      <c r="J41" s="91" t="s">
        <v>870</v>
      </c>
      <c r="K41" s="81"/>
      <c r="L41" s="8"/>
      <c r="M41" s="8"/>
      <c r="N41" s="8"/>
      <c r="O41" s="8"/>
      <c r="P41" s="8"/>
      <c r="Q41" s="8"/>
      <c r="R41" s="8"/>
      <c r="S41" s="8"/>
      <c r="T41" s="8"/>
      <c r="U41" s="8"/>
      <c r="V41" s="8"/>
      <c r="W41" s="8"/>
      <c r="X41" s="8"/>
      <c r="Y41" s="8"/>
    </row>
    <row r="42" spans="1:25" ht="30" customHeight="1" x14ac:dyDescent="0.25">
      <c r="A42"/>
      <c r="D42" s="72" t="s">
        <v>158</v>
      </c>
      <c r="E42" s="225">
        <v>0.3</v>
      </c>
      <c r="F42" s="73">
        <v>10</v>
      </c>
      <c r="G42" s="74">
        <f>Table_Input_OrganicFertiliser[[#This Row],[Amount applied (kg/hectare)]]*Table_Input_OrganicFertiliser[[#This Row],[Percentage of N in fertiliser]]</f>
        <v>3</v>
      </c>
      <c r="H42" s="73">
        <v>100</v>
      </c>
      <c r="I42" s="74">
        <f>Table_Input_OrganicFertiliser[[#This Row],[Amount applied (kg/hectare)]]*Table_Input_OrganicFertiliser[[#This Row],[Application area (ha)]]</f>
        <v>1000</v>
      </c>
      <c r="J42" s="74">
        <f>IFERROR(Table_Input_OrganicFertiliser[[#This Row],[Amount N applied (kg/hectare)]]*Table_Input_OrganicFertiliser[[#This Row],[Application area (ha)]], 0)</f>
        <v>300</v>
      </c>
      <c r="K42" s="81"/>
    </row>
    <row r="43" spans="1:25" ht="36" customHeight="1" x14ac:dyDescent="0.25">
      <c r="A43"/>
      <c r="D43" s="72" t="s">
        <v>152</v>
      </c>
      <c r="E43" s="225">
        <v>0.25</v>
      </c>
      <c r="F43" s="73">
        <v>10</v>
      </c>
      <c r="G43" s="74">
        <f>Table_Input_OrganicFertiliser[[#This Row],[Amount applied (kg/hectare)]]*Table_Input_OrganicFertiliser[[#This Row],[Percentage of N in fertiliser]]</f>
        <v>2.5</v>
      </c>
      <c r="H43" s="73">
        <v>100</v>
      </c>
      <c r="I43" s="74">
        <f>Table_Input_OrganicFertiliser[[#This Row],[Amount applied (kg/hectare)]]*Table_Input_OrganicFertiliser[[#This Row],[Application area (ha)]]</f>
        <v>1000</v>
      </c>
      <c r="J43" s="74">
        <f>IFERROR(Table_Input_OrganicFertiliser[[#This Row],[Amount N applied (kg/hectare)]]*Table_Input_OrganicFertiliser[[#This Row],[Application area (ha)]], 0)</f>
        <v>250</v>
      </c>
    </row>
    <row r="44" spans="1:25" ht="36" customHeight="1" x14ac:dyDescent="0.25">
      <c r="A44"/>
      <c r="D44" s="72" t="s">
        <v>160</v>
      </c>
      <c r="E44" s="225">
        <v>0.16</v>
      </c>
      <c r="F44" s="73">
        <v>10</v>
      </c>
      <c r="G44" s="74">
        <f>Table_Input_OrganicFertiliser[[#This Row],[Amount applied (kg/hectare)]]*Table_Input_OrganicFertiliser[[#This Row],[Percentage of N in fertiliser]]</f>
        <v>1.6</v>
      </c>
      <c r="H44" s="73">
        <v>100</v>
      </c>
      <c r="I44" s="74">
        <f>Table_Input_OrganicFertiliser[[#This Row],[Amount applied (kg/hectare)]]*Table_Input_OrganicFertiliser[[#This Row],[Application area (ha)]]</f>
        <v>1000</v>
      </c>
      <c r="J44" s="74">
        <f>IFERROR(Table_Input_OrganicFertiliser[[#This Row],[Amount N applied (kg/hectare)]]*Table_Input_OrganicFertiliser[[#This Row],[Application area (ha)]], 0)</f>
        <v>160</v>
      </c>
    </row>
    <row r="45" spans="1:25" ht="36" customHeight="1" x14ac:dyDescent="0.25">
      <c r="A45"/>
    </row>
    <row r="46" spans="1:25" ht="36" customHeight="1" x14ac:dyDescent="0.25">
      <c r="A46"/>
    </row>
    <row r="47" spans="1:25" ht="20.100000000000001" customHeight="1" x14ac:dyDescent="0.25">
      <c r="A47"/>
    </row>
    <row r="48" spans="1:25" ht="20.100000000000001" customHeight="1" x14ac:dyDescent="0.25">
      <c r="A48"/>
    </row>
    <row r="49" spans="1:1" ht="20.100000000000001" customHeight="1" x14ac:dyDescent="0.25">
      <c r="A49"/>
    </row>
    <row r="50" spans="1:1" ht="20.100000000000001" customHeight="1" x14ac:dyDescent="0.25">
      <c r="A50"/>
    </row>
    <row r="51" spans="1:1" ht="20.100000000000001" customHeight="1" x14ac:dyDescent="0.25">
      <c r="A51"/>
    </row>
    <row r="52" spans="1:1" ht="20.100000000000001" customHeight="1" x14ac:dyDescent="0.25">
      <c r="A52"/>
    </row>
    <row r="53" spans="1:1" ht="20.100000000000001" customHeight="1" x14ac:dyDescent="0.25">
      <c r="A53"/>
    </row>
    <row r="54" spans="1:1" ht="20.100000000000001" customHeight="1" x14ac:dyDescent="0.25">
      <c r="A54"/>
    </row>
    <row r="55" spans="1:1" ht="20.100000000000001" customHeight="1" x14ac:dyDescent="0.25">
      <c r="A55"/>
    </row>
    <row r="56" spans="1:1" ht="20.100000000000001" customHeight="1" x14ac:dyDescent="0.25">
      <c r="A56"/>
    </row>
    <row r="57" spans="1:1" ht="20.100000000000001" customHeight="1" x14ac:dyDescent="0.25">
      <c r="A57"/>
    </row>
    <row r="58" spans="1:1" ht="20.100000000000001" customHeight="1" x14ac:dyDescent="0.25">
      <c r="A58"/>
    </row>
    <row r="59" spans="1:1" ht="20.100000000000001" customHeight="1" x14ac:dyDescent="0.25">
      <c r="A59"/>
    </row>
    <row r="60" spans="1:1" ht="20.100000000000001" customHeight="1" x14ac:dyDescent="0.25">
      <c r="A60"/>
    </row>
    <row r="61" spans="1:1" ht="20.100000000000001" customHeight="1" x14ac:dyDescent="0.25">
      <c r="A61"/>
    </row>
    <row r="62" spans="1:1" ht="20.100000000000001" customHeight="1" x14ac:dyDescent="0.25">
      <c r="A62"/>
    </row>
    <row r="63" spans="1:1" ht="20.100000000000001" customHeight="1" x14ac:dyDescent="0.25">
      <c r="A63"/>
    </row>
    <row r="64" spans="1:1"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3" ht="20.100000000000001" customHeight="1" x14ac:dyDescent="0.25">
      <c r="A113"/>
    </row>
    <row r="114" spans="1:13" ht="20.100000000000001" customHeight="1" x14ac:dyDescent="0.25">
      <c r="A114"/>
      <c r="M114" s="7"/>
    </row>
    <row r="115" spans="1:13" ht="20.100000000000001" customHeight="1" x14ac:dyDescent="0.25">
      <c r="A115"/>
      <c r="M115" s="7"/>
    </row>
    <row r="116" spans="1:13" ht="20.100000000000001" customHeight="1" x14ac:dyDescent="0.25">
      <c r="A116"/>
      <c r="M116" s="7"/>
    </row>
    <row r="117" spans="1:13" ht="20.100000000000001" customHeight="1" x14ac:dyDescent="0.25">
      <c r="A117"/>
      <c r="M117" s="7"/>
    </row>
    <row r="118" spans="1:13" ht="20.100000000000001" customHeight="1" x14ac:dyDescent="0.25">
      <c r="A118"/>
      <c r="M118" s="7"/>
    </row>
    <row r="119" spans="1:13" ht="20.100000000000001" customHeight="1" x14ac:dyDescent="0.25">
      <c r="A119"/>
      <c r="M119" s="7"/>
    </row>
    <row r="120" spans="1:13" ht="20.100000000000001" customHeight="1" x14ac:dyDescent="0.25">
      <c r="A120"/>
      <c r="M120" s="7"/>
    </row>
    <row r="121" spans="1:13" ht="20.100000000000001" customHeight="1" x14ac:dyDescent="0.25">
      <c r="A121"/>
      <c r="M121" s="7"/>
    </row>
    <row r="122" spans="1:13" ht="20.100000000000001" customHeight="1" x14ac:dyDescent="0.25">
      <c r="A122"/>
      <c r="M122" s="7"/>
    </row>
    <row r="123" spans="1:13" ht="20.100000000000001" customHeight="1" x14ac:dyDescent="0.25">
      <c r="A123"/>
      <c r="M123" s="7"/>
    </row>
    <row r="124" spans="1:13" ht="20.100000000000001" customHeight="1" x14ac:dyDescent="0.25">
      <c r="A124"/>
      <c r="M124" s="7"/>
    </row>
    <row r="125" spans="1:13" ht="20.100000000000001" customHeight="1" x14ac:dyDescent="0.25">
      <c r="A125"/>
      <c r="M125" s="7"/>
    </row>
    <row r="126" spans="1:13" ht="20.100000000000001" customHeight="1" x14ac:dyDescent="0.25">
      <c r="A126"/>
      <c r="M126" s="7"/>
    </row>
    <row r="127" spans="1:13" ht="20.100000000000001" customHeight="1" x14ac:dyDescent="0.25">
      <c r="A127"/>
      <c r="M127" s="7"/>
    </row>
    <row r="128" spans="1:13" ht="20.100000000000001" customHeight="1" x14ac:dyDescent="0.25">
      <c r="A128"/>
      <c r="M128" s="7"/>
    </row>
    <row r="129" spans="1:13" ht="20.100000000000001" customHeight="1" x14ac:dyDescent="0.25">
      <c r="A129"/>
      <c r="M129" s="7"/>
    </row>
    <row r="130" spans="1:13" ht="20.100000000000001" customHeight="1" x14ac:dyDescent="0.25">
      <c r="A130"/>
      <c r="M130" s="7"/>
    </row>
    <row r="131" spans="1:13" ht="20.100000000000001" customHeight="1" x14ac:dyDescent="0.25">
      <c r="A131"/>
      <c r="M131" s="7"/>
    </row>
    <row r="132" spans="1:13" ht="20.100000000000001" customHeight="1" x14ac:dyDescent="0.25">
      <c r="A132"/>
      <c r="M132" s="7"/>
    </row>
    <row r="133" spans="1:13" ht="20.100000000000001" customHeight="1" x14ac:dyDescent="0.25">
      <c r="A133"/>
      <c r="M133" s="7"/>
    </row>
    <row r="134" spans="1:13" ht="20.100000000000001" customHeight="1" x14ac:dyDescent="0.25">
      <c r="A134"/>
      <c r="M134" s="7"/>
    </row>
    <row r="135" spans="1:13" ht="20.100000000000001" customHeight="1" x14ac:dyDescent="0.25">
      <c r="A135"/>
      <c r="M135" s="7"/>
    </row>
    <row r="136" spans="1:13" ht="20.100000000000001" customHeight="1" x14ac:dyDescent="0.25">
      <c r="A136"/>
    </row>
    <row r="137" spans="1:13" ht="20.100000000000001" customHeight="1" x14ac:dyDescent="0.25">
      <c r="A137"/>
    </row>
    <row r="138" spans="1:13" ht="20.100000000000001" customHeight="1" x14ac:dyDescent="0.25">
      <c r="A138"/>
    </row>
    <row r="139" spans="1:13" ht="20.100000000000001" customHeight="1" x14ac:dyDescent="0.25">
      <c r="A139"/>
    </row>
    <row r="140" spans="1:13" ht="20.100000000000001" customHeight="1" x14ac:dyDescent="0.25">
      <c r="A140"/>
    </row>
    <row r="141" spans="1:13" ht="20.100000000000001" customHeight="1" x14ac:dyDescent="0.25">
      <c r="A141"/>
    </row>
    <row r="142" spans="1:13" ht="20.100000000000001" customHeight="1" x14ac:dyDescent="0.25">
      <c r="A142"/>
    </row>
    <row r="143" spans="1:13" ht="20.100000000000001" customHeight="1" x14ac:dyDescent="0.25">
      <c r="A143"/>
    </row>
    <row r="144" spans="1:13"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2" spans="12:12" x14ac:dyDescent="0.25">
      <c r="L212" s="65"/>
    </row>
    <row r="213" spans="12:12" x14ac:dyDescent="0.25">
      <c r="L213" s="65"/>
    </row>
    <row r="214" spans="12:12" x14ac:dyDescent="0.25">
      <c r="L214" s="65"/>
    </row>
    <row r="215" spans="12:12" x14ac:dyDescent="0.25">
      <c r="L215" s="65"/>
    </row>
    <row r="216" spans="12:12" x14ac:dyDescent="0.25">
      <c r="L216" s="65"/>
    </row>
    <row r="218" spans="12:12" x14ac:dyDescent="0.25">
      <c r="L218" s="65"/>
    </row>
    <row r="220" spans="12:12" x14ac:dyDescent="0.25">
      <c r="L220" s="65"/>
    </row>
    <row r="221" spans="12:12" x14ac:dyDescent="0.25">
      <c r="L221" s="65"/>
    </row>
    <row r="222" spans="12:12" x14ac:dyDescent="0.25">
      <c r="L222" s="65"/>
    </row>
    <row r="223" spans="12:12" x14ac:dyDescent="0.25">
      <c r="L223" s="65"/>
    </row>
    <row r="225" spans="12:12" x14ac:dyDescent="0.25">
      <c r="L225" s="65"/>
    </row>
    <row r="233" spans="12:12" x14ac:dyDescent="0.25">
      <c r="L233" s="65"/>
    </row>
    <row r="234" spans="12:12" x14ac:dyDescent="0.25">
      <c r="L234" s="65"/>
    </row>
    <row r="235" spans="12:12" x14ac:dyDescent="0.25">
      <c r="L235" s="65"/>
    </row>
    <row r="238" spans="12:12" x14ac:dyDescent="0.25">
      <c r="L238" s="65"/>
    </row>
    <row r="239" spans="12:12" x14ac:dyDescent="0.25">
      <c r="L239" s="65"/>
    </row>
    <row r="240" spans="12:12" x14ac:dyDescent="0.25">
      <c r="L240" s="65"/>
    </row>
    <row r="243" spans="11:12" x14ac:dyDescent="0.25">
      <c r="L243" s="65"/>
    </row>
    <row r="244" spans="11:12" x14ac:dyDescent="0.25">
      <c r="L244" s="65"/>
    </row>
    <row r="245" spans="11:12" x14ac:dyDescent="0.25">
      <c r="L245" s="65"/>
    </row>
    <row r="248" spans="11:12" x14ac:dyDescent="0.25">
      <c r="L248" s="65"/>
    </row>
    <row r="249" spans="11:12" x14ac:dyDescent="0.25">
      <c r="L249" s="65"/>
    </row>
    <row r="250" spans="11:12" x14ac:dyDescent="0.25">
      <c r="L250" s="65"/>
    </row>
    <row r="251" spans="11:12" x14ac:dyDescent="0.25">
      <c r="K251" s="65"/>
    </row>
    <row r="256" spans="11:12" x14ac:dyDescent="0.25">
      <c r="K256" s="65"/>
    </row>
    <row r="257" spans="11:12" x14ac:dyDescent="0.25">
      <c r="L257" s="65"/>
    </row>
    <row r="258" spans="11:12" x14ac:dyDescent="0.25">
      <c r="L258" s="65"/>
    </row>
    <row r="259" spans="11:12" x14ac:dyDescent="0.25">
      <c r="L259" s="65"/>
    </row>
    <row r="261" spans="11:12" x14ac:dyDescent="0.25">
      <c r="K261" s="65"/>
    </row>
    <row r="262" spans="11:12" x14ac:dyDescent="0.25">
      <c r="L262" s="65"/>
    </row>
    <row r="263" spans="11:12" x14ac:dyDescent="0.25">
      <c r="L263" s="65"/>
    </row>
    <row r="264" spans="11:12" x14ac:dyDescent="0.25">
      <c r="L264" s="65"/>
    </row>
    <row r="266" spans="11:12" x14ac:dyDescent="0.25">
      <c r="K266" s="65"/>
    </row>
    <row r="267" spans="11:12" x14ac:dyDescent="0.25">
      <c r="K267" s="65"/>
      <c r="L267" s="65"/>
    </row>
    <row r="268" spans="11:12" x14ac:dyDescent="0.25">
      <c r="K268" s="65"/>
      <c r="L268" s="65"/>
    </row>
    <row r="269" spans="11:12" x14ac:dyDescent="0.25">
      <c r="K269" s="65"/>
      <c r="L269" s="65"/>
    </row>
    <row r="270" spans="11:12" x14ac:dyDescent="0.25">
      <c r="K270" s="65"/>
    </row>
    <row r="272" spans="11:12" x14ac:dyDescent="0.25">
      <c r="K272" s="65"/>
      <c r="L272" s="65"/>
    </row>
    <row r="273" spans="11:12" x14ac:dyDescent="0.25">
      <c r="L273" s="65"/>
    </row>
    <row r="274" spans="11:12" x14ac:dyDescent="0.25">
      <c r="K274" s="65"/>
      <c r="L274" s="65"/>
    </row>
    <row r="275" spans="11:12" x14ac:dyDescent="0.25">
      <c r="K275" s="65"/>
    </row>
    <row r="276" spans="11:12" x14ac:dyDescent="0.25">
      <c r="K276" s="65"/>
    </row>
    <row r="277" spans="11:12" x14ac:dyDescent="0.25">
      <c r="K277" s="65"/>
    </row>
    <row r="279" spans="11:12" x14ac:dyDescent="0.25">
      <c r="K279" s="65"/>
    </row>
    <row r="285" spans="11:12" x14ac:dyDescent="0.25">
      <c r="K285" s="65"/>
    </row>
    <row r="290" spans="11:11" x14ac:dyDescent="0.25">
      <c r="K290" s="65"/>
    </row>
    <row r="295" spans="11:11" x14ac:dyDescent="0.25">
      <c r="K295" s="65"/>
    </row>
    <row r="300" spans="11:11" x14ac:dyDescent="0.25">
      <c r="K300" s="65"/>
    </row>
    <row r="301" spans="11:11" x14ac:dyDescent="0.25">
      <c r="K301" s="65"/>
    </row>
    <row r="302" spans="11:11" x14ac:dyDescent="0.25">
      <c r="K302" s="65"/>
    </row>
    <row r="303" spans="11:11" x14ac:dyDescent="0.25">
      <c r="K303" s="65"/>
    </row>
    <row r="304" spans="11:11" x14ac:dyDescent="0.25">
      <c r="K304" s="65"/>
    </row>
    <row r="306" spans="11:11" x14ac:dyDescent="0.25">
      <c r="K306" s="65"/>
    </row>
    <row r="308" spans="11:11" x14ac:dyDescent="0.25">
      <c r="K308" s="65"/>
    </row>
    <row r="309" spans="11:11" x14ac:dyDescent="0.25">
      <c r="K309" s="65"/>
    </row>
    <row r="310" spans="11:11" x14ac:dyDescent="0.25">
      <c r="K310" s="65"/>
    </row>
    <row r="311" spans="11:11" x14ac:dyDescent="0.25">
      <c r="K311" s="65"/>
    </row>
    <row r="313" spans="11:11" x14ac:dyDescent="0.25">
      <c r="K313" s="65"/>
    </row>
    <row r="321" spans="11:11" x14ac:dyDescent="0.25">
      <c r="K321" s="65"/>
    </row>
    <row r="322" spans="11:11" x14ac:dyDescent="0.25">
      <c r="K322" s="65"/>
    </row>
    <row r="323" spans="11:11" x14ac:dyDescent="0.25">
      <c r="K323" s="65"/>
    </row>
    <row r="326" spans="11:11" x14ac:dyDescent="0.25">
      <c r="K326" s="65"/>
    </row>
    <row r="327" spans="11:11" x14ac:dyDescent="0.25">
      <c r="K327" s="65"/>
    </row>
    <row r="328" spans="11:11" x14ac:dyDescent="0.25">
      <c r="K328" s="65"/>
    </row>
    <row r="331" spans="11:11" x14ac:dyDescent="0.25">
      <c r="K331" s="65"/>
    </row>
    <row r="332" spans="11:11" x14ac:dyDescent="0.25">
      <c r="K332" s="65"/>
    </row>
    <row r="333" spans="11:11" x14ac:dyDescent="0.25">
      <c r="K333" s="65"/>
    </row>
    <row r="336" spans="11:11" x14ac:dyDescent="0.25">
      <c r="K336" s="65"/>
    </row>
    <row r="337" spans="11:11" x14ac:dyDescent="0.25">
      <c r="K337" s="65"/>
    </row>
    <row r="338" spans="11:11" x14ac:dyDescent="0.25">
      <c r="K338" s="65"/>
    </row>
    <row r="345" spans="11:11" x14ac:dyDescent="0.25">
      <c r="K345" s="65"/>
    </row>
    <row r="346" spans="11:11" x14ac:dyDescent="0.25">
      <c r="K346" s="65"/>
    </row>
    <row r="347" spans="11:11" x14ac:dyDescent="0.25">
      <c r="K347" s="65"/>
    </row>
    <row r="350" spans="11:11" x14ac:dyDescent="0.25">
      <c r="K350" s="65"/>
    </row>
    <row r="351" spans="11:11" x14ac:dyDescent="0.25">
      <c r="K351" s="65"/>
    </row>
    <row r="352" spans="11:11" x14ac:dyDescent="0.25">
      <c r="K352" s="65"/>
    </row>
    <row r="355" spans="4:11" x14ac:dyDescent="0.25">
      <c r="K355" s="65"/>
    </row>
    <row r="356" spans="4:11" x14ac:dyDescent="0.25">
      <c r="K356" s="65"/>
    </row>
    <row r="357" spans="4:11" x14ac:dyDescent="0.25">
      <c r="K357" s="65"/>
    </row>
    <row r="360" spans="4:11" x14ac:dyDescent="0.25">
      <c r="K360" s="65"/>
    </row>
    <row r="361" spans="4:11" x14ac:dyDescent="0.25">
      <c r="K361" s="65"/>
    </row>
    <row r="362" spans="4:11" x14ac:dyDescent="0.25">
      <c r="K362" s="65"/>
    </row>
    <row r="366" spans="4:11" x14ac:dyDescent="0.25">
      <c r="D366" s="54"/>
    </row>
  </sheetData>
  <conditionalFormatting sqref="F46 I63:I66 L186 K188 L190:L191 K192:K193 L194:L195 K196:K197 L200:L201 K202:K203 L204:L205 K206:K207 L211:L216 K213">
    <cfRule type="cellIs" dxfId="60" priority="18" operator="lessThan">
      <formula>0</formula>
    </cfRule>
  </conditionalFormatting>
  <conditionalFormatting sqref="F155:F156">
    <cfRule type="cellIs" dxfId="59" priority="14" operator="lessThan">
      <formula>0</formula>
    </cfRule>
  </conditionalFormatting>
  <conditionalFormatting sqref="F167:F168">
    <cfRule type="cellIs" dxfId="58" priority="13" operator="lessThan">
      <formula>0</formula>
    </cfRule>
  </conditionalFormatting>
  <conditionalFormatting sqref="F255:F256">
    <cfRule type="cellIs" dxfId="57" priority="26" operator="lessThan">
      <formula>0</formula>
    </cfRule>
  </conditionalFormatting>
  <conditionalFormatting sqref="F260:F261">
    <cfRule type="cellIs" dxfId="56" priority="25" operator="lessThan">
      <formula>0</formula>
    </cfRule>
  </conditionalFormatting>
  <conditionalFormatting sqref="F265:F266">
    <cfRule type="cellIs" dxfId="55" priority="24" operator="lessThan">
      <formula>0</formula>
    </cfRule>
  </conditionalFormatting>
  <conditionalFormatting sqref="F289:F290">
    <cfRule type="cellIs" dxfId="54" priority="23" operator="lessThan">
      <formula>0</formula>
    </cfRule>
  </conditionalFormatting>
  <conditionalFormatting sqref="F294:F295">
    <cfRule type="cellIs" dxfId="53" priority="22" operator="lessThan">
      <formula>0</formula>
    </cfRule>
  </conditionalFormatting>
  <conditionalFormatting sqref="F299:F300">
    <cfRule type="cellIs" dxfId="52" priority="21" operator="lessThan">
      <formula>0</formula>
    </cfRule>
  </conditionalFormatting>
  <conditionalFormatting sqref="H41 F131:F132">
    <cfRule type="cellIs" dxfId="51" priority="16" operator="lessThan">
      <formula>0</formula>
    </cfRule>
  </conditionalFormatting>
  <conditionalFormatting sqref="I28 I39:I40 O41 N42 I45 I47:I49 I51:I52 I209:J209 E215:G215 I215:J215 K251 J253 K256 J258 K261 J263 K266:K270 J268:J272 K272 J274 K274:K277 J276:J279 K279 J281 K285 J287 K290 J292 K295 J297 K300:K304 J302:J306 K306 J308 K308:K311 J310:J313 K313 J315">
    <cfRule type="cellIs" dxfId="50" priority="20" operator="lessThan">
      <formula>0</formula>
    </cfRule>
  </conditionalFormatting>
  <conditionalFormatting sqref="I30:I35 F143:F144">
    <cfRule type="cellIs" dxfId="49" priority="15" operator="lessThan">
      <formula>0</formula>
    </cfRule>
  </conditionalFormatting>
  <conditionalFormatting sqref="I70 M107 I129:J129">
    <cfRule type="cellIs" dxfId="48" priority="19" operator="lessThan">
      <formula>0</formula>
    </cfRule>
  </conditionalFormatting>
  <conditionalFormatting sqref="I81:I83">
    <cfRule type="cellIs" dxfId="47" priority="3" operator="lessThan">
      <formula>0</formula>
    </cfRule>
  </conditionalFormatting>
  <conditionalFormatting sqref="I87:I90">
    <cfRule type="cellIs" dxfId="46" priority="2" operator="lessThan">
      <formula>0</formula>
    </cfRule>
  </conditionalFormatting>
  <conditionalFormatting sqref="I94:I98">
    <cfRule type="cellIs" dxfId="45" priority="1" operator="lessThan">
      <formula>0</formula>
    </cfRule>
  </conditionalFormatting>
  <conditionalFormatting sqref="J157">
    <cfRule type="cellIs" dxfId="44" priority="17" operator="lessThan">
      <formula>0</formula>
    </cfRule>
  </conditionalFormatting>
  <conditionalFormatting sqref="L119:L122">
    <cfRule type="cellIs" dxfId="43" priority="7" operator="lessThan">
      <formula>0</formula>
    </cfRule>
  </conditionalFormatting>
  <conditionalFormatting sqref="L125">
    <cfRule type="cellIs" dxfId="42" priority="12" operator="lessThan">
      <formula>0</formula>
    </cfRule>
  </conditionalFormatting>
  <conditionalFormatting sqref="L131:L134">
    <cfRule type="cellIs" dxfId="41" priority="6" operator="lessThan">
      <formula>0</formula>
    </cfRule>
  </conditionalFormatting>
  <conditionalFormatting sqref="L137">
    <cfRule type="cellIs" dxfId="40" priority="11" operator="lessThan">
      <formula>0</formula>
    </cfRule>
  </conditionalFormatting>
  <conditionalFormatting sqref="L143:L146">
    <cfRule type="cellIs" dxfId="39" priority="5" operator="lessThan">
      <formula>0</formula>
    </cfRule>
  </conditionalFormatting>
  <conditionalFormatting sqref="L149">
    <cfRule type="cellIs" dxfId="38" priority="10" operator="lessThan">
      <formula>0</formula>
    </cfRule>
  </conditionalFormatting>
  <conditionalFormatting sqref="L155:L158">
    <cfRule type="cellIs" dxfId="37" priority="4" operator="lessThan">
      <formula>0</formula>
    </cfRule>
  </conditionalFormatting>
  <conditionalFormatting sqref="L161">
    <cfRule type="cellIs" dxfId="36" priority="9" operator="lessThan">
      <formula>0</formula>
    </cfRule>
  </conditionalFormatting>
  <conditionalFormatting sqref="L165:L166">
    <cfRule type="cellIs" dxfId="35" priority="8" operator="lessThan">
      <formula>0</formula>
    </cfRule>
  </conditionalFormatting>
  <conditionalFormatting sqref="L218 L220:L223 L225 J233:J235 J238:J240">
    <cfRule type="cellIs" dxfId="34" priority="27" operator="lessThan">
      <formula>0</formula>
    </cfRule>
  </conditionalFormatting>
  <dataValidations count="9">
    <dataValidation type="list" allowBlank="1" showInputMessage="1" showErrorMessage="1" sqref="Q20:R22" xr:uid="{46808B7F-821B-4D1D-B7A2-2606F768F7DD}">
      <formula1>INDIRECT("Table_SourceData_Fertiliser_UreaAmmoniaSources[Source]")</formula1>
    </dataValidation>
    <dataValidation type="list" allowBlank="1" showInputMessage="1" showErrorMessage="1" sqref="D12:D16" xr:uid="{689BE099-E112-446E-BEFE-E3C58FFFFF59}">
      <formula1>INDIRECT("FertiliserProducts[Product Name]")</formula1>
    </dataValidation>
    <dataValidation type="list" allowBlank="1" showInputMessage="1" showErrorMessage="1" sqref="D42:D44" xr:uid="{B473B6E8-90EE-4C5A-90E1-B670D83A404C}">
      <formula1>INDIRECT("Table_SourceData_OrganicFertiliserTypes[Organic fertiliser type]")</formula1>
    </dataValidation>
    <dataValidation type="list" allowBlank="1" showInputMessage="1" showErrorMessage="1" sqref="H20:H22 J20:J22 L20:L22 N20:N22" xr:uid="{9324AC23-04CF-434B-BC3B-761E9CF2B1E2}">
      <formula1>INDIRECT("Table_Fertiliser_ChemicalCompounds[Fertiliser type f]")</formula1>
    </dataValidation>
    <dataValidation type="list" allowBlank="1" showInputMessage="1" showErrorMessage="1" sqref="E69" xr:uid="{A6271EE2-2F75-41E2-8799-1710792EFF4C}">
      <formula1>INDIRECT("Table_SourceData_Swine_CropProdSystems[Production system]")</formula1>
    </dataValidation>
    <dataValidation type="list" allowBlank="1" showInputMessage="1" showErrorMessage="1" sqref="E70" xr:uid="{D82A448F-3BE3-4183-9333-42F6FF38294B}">
      <formula1>INDIRECT("Table_SourceData_Swine_IrrigationMethods[Irrigation method]")</formula1>
    </dataValidation>
    <dataValidation type="list" allowBlank="1" showInputMessage="1" showErrorMessage="1" sqref="E254 E259 E264 E298 E293 E288 E166 E154 E130 E142" xr:uid="{3851210E-167C-4959-BB8F-4D285F94C1A0}">
      <formula1>"Yes, No"</formula1>
    </dataValidation>
    <dataValidation type="list" allowBlank="1" showInputMessage="1" showErrorMessage="1" sqref="E230" xr:uid="{1A1F6AE3-DA0B-4681-A8FD-54F29B4FCBD8}">
      <formula1>INDIRECT("Table_SourceData_Dairy_ProductionSystemTemplates[Area]")</formula1>
    </dataValidation>
    <dataValidation type="list" allowBlank="1" showInputMessage="1" showErrorMessage="1" sqref="D282" xr:uid="{A85C3AD3-3FB5-4E5B-8768-3D48C7136B5C}">
      <formula1>INDIRECT("Table_SourceData_PoultryMMSStage1[MMS]")</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AC87D-2E9B-4211-951E-4673B391B123}">
  <sheetPr>
    <tabColor theme="5" tint="-0.249977111117893"/>
  </sheetPr>
  <dimension ref="A1:S227"/>
  <sheetViews>
    <sheetView showGridLines="0" topLeftCell="A72" zoomScaleNormal="100" workbookViewId="0">
      <selection activeCell="A41" sqref="A41"/>
    </sheetView>
  </sheetViews>
  <sheetFormatPr defaultRowHeight="15.75" x14ac:dyDescent="0.25"/>
  <cols>
    <col min="1" max="1" width="26.875" style="3" customWidth="1"/>
    <col min="2" max="2" width="4.125" style="3" customWidth="1"/>
    <col min="3" max="3" width="4.125" style="14" customWidth="1"/>
    <col min="4" max="4" width="41.25" style="14" customWidth="1"/>
    <col min="5" max="10" width="26.875" style="14" customWidth="1"/>
    <col min="11" max="18" width="30.625" style="8" customWidth="1"/>
    <col min="19" max="19" width="4.625" style="8" customWidth="1"/>
    <col min="20" max="16384" width="9" style="3"/>
  </cols>
  <sheetData>
    <row r="1" spans="1:19" ht="30" customHeight="1" x14ac:dyDescent="0.35">
      <c r="A1" s="37" t="e" vm="1">
        <v>#VALUE!</v>
      </c>
      <c r="C1" s="102" t="s">
        <v>821</v>
      </c>
      <c r="D1" s="4"/>
      <c r="E1" s="4"/>
      <c r="F1" s="4"/>
      <c r="G1" s="4"/>
      <c r="H1" s="4"/>
      <c r="I1" s="4"/>
      <c r="J1" s="4"/>
      <c r="K1" s="4"/>
      <c r="L1" s="4"/>
      <c r="M1" s="4"/>
      <c r="N1" s="4"/>
      <c r="O1" s="4"/>
      <c r="P1" s="4"/>
      <c r="Q1" s="4"/>
      <c r="R1" s="4"/>
      <c r="S1" s="4"/>
    </row>
    <row r="2" spans="1:19" ht="20.100000000000001" customHeight="1" x14ac:dyDescent="0.25">
      <c r="A2"/>
      <c r="C2" s="2"/>
      <c r="D2" s="2"/>
      <c r="E2" s="2"/>
      <c r="F2" s="2"/>
      <c r="G2" s="2"/>
      <c r="H2" s="2"/>
      <c r="I2" s="2"/>
      <c r="J2" s="2"/>
      <c r="K2" s="2"/>
      <c r="L2" s="2"/>
      <c r="M2" s="2"/>
      <c r="N2" s="2"/>
      <c r="O2" s="2"/>
      <c r="P2" s="2"/>
      <c r="Q2" s="2"/>
      <c r="R2" s="2"/>
      <c r="S2" s="2"/>
    </row>
    <row r="3" spans="1:19" ht="20.100000000000001" customHeight="1" x14ac:dyDescent="0.25">
      <c r="A3" s="16" t="str">
        <f>HYPERLINK("#'Overview'!A1", "Overview")</f>
        <v>Overview</v>
      </c>
      <c r="C3" s="38"/>
      <c r="D3" s="38"/>
      <c r="E3" s="38"/>
      <c r="F3" s="38"/>
      <c r="G3" s="38"/>
      <c r="H3" s="38"/>
      <c r="I3" s="38"/>
      <c r="J3" s="38"/>
      <c r="K3" s="38"/>
      <c r="L3" s="38"/>
      <c r="M3" s="38"/>
      <c r="N3" s="38"/>
      <c r="O3" s="38"/>
      <c r="P3" s="38"/>
      <c r="Q3" s="38"/>
      <c r="R3" s="38"/>
      <c r="S3" s="38"/>
    </row>
    <row r="4" spans="1:19" ht="20.100000000000001" customHeight="1" x14ac:dyDescent="0.25">
      <c r="A4" s="16" t="str">
        <f>HYPERLINK("#'Results'!A1", "Results")</f>
        <v>Results</v>
      </c>
      <c r="C4" s="7"/>
      <c r="D4" s="7"/>
      <c r="E4" s="7"/>
      <c r="F4" s="7"/>
      <c r="G4" s="7"/>
      <c r="H4" s="7"/>
      <c r="I4" s="7"/>
      <c r="J4" s="7"/>
    </row>
    <row r="5" spans="1:19" ht="20.100000000000001" customHeight="1" x14ac:dyDescent="0.25">
      <c r="A5"/>
      <c r="C5" s="8"/>
      <c r="D5" s="9" t="s">
        <v>356</v>
      </c>
      <c r="E5" s="7"/>
      <c r="F5" s="7"/>
      <c r="G5" s="7"/>
      <c r="H5" s="7"/>
      <c r="I5" s="7"/>
      <c r="J5" s="7"/>
    </row>
    <row r="6" spans="1:19" ht="20.100000000000001" customHeight="1" x14ac:dyDescent="0.25">
      <c r="A6"/>
      <c r="C6" s="8"/>
      <c r="D6" s="144" t="s">
        <v>360</v>
      </c>
      <c r="E6" s="147"/>
      <c r="F6" s="147"/>
      <c r="G6" s="147"/>
      <c r="H6" s="147"/>
      <c r="I6" s="147"/>
      <c r="J6" s="147"/>
    </row>
    <row r="7" spans="1:19" ht="20.100000000000001" customHeight="1" x14ac:dyDescent="0.25">
      <c r="A7" s="19" t="s">
        <v>67</v>
      </c>
      <c r="C7" s="8"/>
      <c r="D7" s="172" t="s">
        <v>296</v>
      </c>
      <c r="E7" s="172"/>
      <c r="F7" s="39"/>
      <c r="G7" s="41"/>
      <c r="H7" s="7"/>
      <c r="I7" s="7"/>
      <c r="J7" s="7"/>
    </row>
    <row r="8" spans="1:19" ht="20.100000000000001" customHeight="1" x14ac:dyDescent="0.25">
      <c r="A8" s="16" t="str">
        <f>HYPERLINK("#'Input - Site'!A1", "Site")</f>
        <v>Site</v>
      </c>
      <c r="C8" s="8"/>
      <c r="D8" s="43" t="s">
        <v>297</v>
      </c>
      <c r="E8" s="44"/>
      <c r="F8" s="44"/>
      <c r="G8" s="45"/>
      <c r="H8" s="7"/>
      <c r="I8" s="7"/>
      <c r="J8" s="7"/>
    </row>
    <row r="9" spans="1:19" ht="20.100000000000001" customHeight="1" x14ac:dyDescent="0.25">
      <c r="A9" s="16" t="str">
        <f>HYPERLINK("#'Input - Fuel'!A1", "Fuel")</f>
        <v>Fuel</v>
      </c>
      <c r="C9" s="8"/>
      <c r="D9" s="147"/>
      <c r="E9" s="147"/>
      <c r="F9" s="147"/>
      <c r="G9" s="147"/>
      <c r="H9" s="147"/>
      <c r="I9" s="147"/>
      <c r="J9" s="147"/>
      <c r="K9" s="54" t="str" cm="1">
        <f t="array" ref="K9">IF(
  SUMPRODUCT((Table_Input_Pesticides[Constituent unit (select)]="fraction of product")*(Table_Input_Pesticides[Active ingredient 1 amount]&gt;1)*(Table_Input_Pesticides[Active ingredient 2 amount]&lt;&gt;""))&gt;0,
  "Alert: If constituent unit is fraction of product, amount cannot exceed 1",
  IF(
    SUMPRODUCT((Table_Input_Pesticides[Constituent unit (select)]="grams/litre or grams/kg")*(Table_Input_Pesticides[Active ingredient 1 amount]&lt;1)*(Table_Input_Pesticides[Active ingredient 2 amount]&lt;&gt;""))&gt;0,
    "Alert: If constituent unit is grams/kg or litre, amount cannot be less than 1",
    ""
  )
)</f>
        <v/>
      </c>
      <c r="N9" s="54" t="str" cm="1">
        <f t="array" ref="N9">IF(
  SUMPRODUCT((Table_Input_Pesticides[Constituent unit (select)]="fraction of product")*(Table_Input_Pesticides[Active ingredient 2 amount]&gt;1)*(Table_Input_Pesticides[Active ingredient 2 amount]&lt;&gt;""))&gt;0,
  "Alert: If constituent unit is fraction of product, amount cannot exceed 1",
  IF(
    SUMPRODUCT((Table_Input_Pesticides[Constituent unit (select)]="grams/litre or grams/kg")*(Table_Input_Pesticides[Active ingredient 2 amount]&lt;1)*(Table_Input_Pesticides[Active ingredient 2 amount]&lt;&gt;""))&gt;0,
    "Alert: If constituent unit is grams/kg or litre, amount cannot be less than 1",
    ""
  )
)</f>
        <v/>
      </c>
      <c r="Q9" s="54" t="str" cm="1">
        <f t="array" ref="Q9">IF(
  SUMPRODUCT((Table_Input_Pesticides[Constituent unit (select)]="fraction of product")*(Table_Input_Pesticides[Active ingredient 3 amount]&gt;1)*(Table_Input_Pesticides[Active ingredient 3 amount]&lt;&gt;""))&gt;0,
  "Alert: If constituent unit is fraction of product, amount cannot exceed 1",
  IF(
    SUMPRODUCT((Table_Input_Pesticides[Constituent unit (select)]="grams/litre or grams/kg")*(Table_Input_Pesticides[Active ingredient 3 amount]&lt;1)*(Table_Input_Pesticides[Active ingredient 3 amount]&lt;&gt;""))&gt;0,
    "Alert: If constituent unit is grams/kg or litre, amount cannot be less than 1",
    ""
  )
)</f>
        <v/>
      </c>
    </row>
    <row r="10" spans="1:19" ht="20.100000000000001" customHeight="1" x14ac:dyDescent="0.25">
      <c r="A10" s="16" t="str">
        <f>HYPERLINK("#'Input - Fertiliser'!A1", "Fertiliser")</f>
        <v>Fertiliser</v>
      </c>
      <c r="D10" s="153" t="s">
        <v>169</v>
      </c>
      <c r="E10" s="153" t="s">
        <v>298</v>
      </c>
      <c r="F10" s="153" t="s">
        <v>299</v>
      </c>
      <c r="G10" s="153" t="s">
        <v>200</v>
      </c>
      <c r="H10" s="153" t="s">
        <v>300</v>
      </c>
      <c r="I10" s="153" t="s">
        <v>417</v>
      </c>
      <c r="J10" s="153" t="s">
        <v>301</v>
      </c>
      <c r="K10" s="161" t="s">
        <v>302</v>
      </c>
      <c r="L10" s="161" t="s">
        <v>413</v>
      </c>
      <c r="M10" s="161" t="s">
        <v>303</v>
      </c>
      <c r="N10" s="161" t="s">
        <v>304</v>
      </c>
      <c r="O10" s="161" t="s">
        <v>414</v>
      </c>
      <c r="P10" s="161" t="s">
        <v>305</v>
      </c>
      <c r="Q10" s="161" t="s">
        <v>306</v>
      </c>
      <c r="R10" s="161" t="s">
        <v>415</v>
      </c>
    </row>
    <row r="11" spans="1:19" ht="20.100000000000001" customHeight="1" x14ac:dyDescent="0.25">
      <c r="A11" s="42" t="str">
        <f>HYPERLINK("#'Input - Farm Inputs'!A1", "Farm Inputs")</f>
        <v>Farm Inputs</v>
      </c>
      <c r="D11" s="143" t="s">
        <v>419</v>
      </c>
      <c r="E11" s="154">
        <v>10</v>
      </c>
      <c r="F11" s="47" t="s">
        <v>409</v>
      </c>
      <c r="G11" s="66">
        <v>100</v>
      </c>
      <c r="H11" s="49">
        <f>Table_Input_Pesticides[[#This Row],[Amount applied per ha]]*Table_Input_Pesticides[[#This Row],[Application area (ha)]]</f>
        <v>1000</v>
      </c>
      <c r="I11" s="47" t="s">
        <v>408</v>
      </c>
      <c r="J11" s="47" t="s">
        <v>407</v>
      </c>
      <c r="K11" s="66">
        <v>100</v>
      </c>
      <c r="L11" s="49">
        <f>Table_Input_Pesticides[[#This Row],[Total applied]]*Table_Input_Pesticides[[#This Row],[Active ingredient 1 amount]]*IF(Table_Input_Pesticides[[#This Row],[Constituent unit (select)]]="fraction of product", 1, 10^-3)</f>
        <v>100</v>
      </c>
      <c r="M11" s="47" t="s">
        <v>407</v>
      </c>
      <c r="N11" s="66">
        <v>100</v>
      </c>
      <c r="O11" s="49">
        <f>Table_Input_Pesticides[[#This Row],[Total applied]]*Table_Input_Pesticides[[#This Row],[Active ingredient 2 amount]]*IF(Table_Input_Pesticides[[#This Row],[Constituent unit (select)]]="fraction of product", 1, 10^-3)</f>
        <v>100</v>
      </c>
      <c r="P11" s="47" t="s">
        <v>673</v>
      </c>
      <c r="Q11" s="66">
        <v>100</v>
      </c>
      <c r="R11" s="49">
        <f>Table_Input_Pesticides[[#This Row],[Total applied]]*Table_Input_Pesticides[[#This Row],[Active ingredient 3 amount]]*IF(Table_Input_Pesticides[[#This Row],[Constituent unit (select)]]="fraction of product", 1, 10^-3)</f>
        <v>100</v>
      </c>
    </row>
    <row r="12" spans="1:19" ht="20.100000000000001" customHeight="1" x14ac:dyDescent="0.25">
      <c r="A12" s="16" t="str">
        <f>HYPERLINK("#'Input - Beef cattle purchases'!A1", "Beef cattle purchases")</f>
        <v>Beef cattle purchases</v>
      </c>
      <c r="C12" s="8"/>
      <c r="D12" s="143" t="s">
        <v>418</v>
      </c>
      <c r="E12" s="154">
        <v>10</v>
      </c>
      <c r="F12" s="47" t="s">
        <v>307</v>
      </c>
      <c r="G12" s="66">
        <v>100</v>
      </c>
      <c r="H12" s="49">
        <f>Table_Input_Pesticides[[#This Row],[Amount applied per ha]]*Table_Input_Pesticides[[#This Row],[Application area (ha)]]</f>
        <v>1000</v>
      </c>
      <c r="I12" s="47" t="s">
        <v>408</v>
      </c>
      <c r="J12" s="47" t="s">
        <v>407</v>
      </c>
      <c r="K12" s="66">
        <v>100</v>
      </c>
      <c r="L12" s="49">
        <f>Table_Input_Pesticides[[#This Row],[Total applied]]*Table_Input_Pesticides[[#This Row],[Active ingredient 1 amount]]*IF(Table_Input_Pesticides[[#This Row],[Constituent unit (select)]]="fraction of product", 1, 10^-3)</f>
        <v>100</v>
      </c>
      <c r="M12" s="47" t="s">
        <v>671</v>
      </c>
      <c r="N12" s="66">
        <v>100</v>
      </c>
      <c r="O12" s="49">
        <f>Table_Input_Pesticides[[#This Row],[Total applied]]*Table_Input_Pesticides[[#This Row],[Active ingredient 2 amount]]*IF(Table_Input_Pesticides[[#This Row],[Constituent unit (select)]]="fraction of product", 1, 10^-3)</f>
        <v>100</v>
      </c>
      <c r="P12" s="47" t="s">
        <v>674</v>
      </c>
      <c r="Q12" s="66">
        <v>100</v>
      </c>
      <c r="R12" s="49">
        <f>Table_Input_Pesticides[[#This Row],[Total applied]]*Table_Input_Pesticides[[#This Row],[Active ingredient 3 amount]]*IF(Table_Input_Pesticides[[#This Row],[Constituent unit (select)]]="fraction of product", 1, 10^-3)</f>
        <v>100</v>
      </c>
    </row>
    <row r="13" spans="1:19" ht="20.100000000000001" customHeight="1" x14ac:dyDescent="0.25">
      <c r="A13" s="16" t="str">
        <f>HYPERLINK("#'Input - Dairy cattle purchases'!A1", "Dairy cattle purchases")</f>
        <v>Dairy cattle purchases</v>
      </c>
      <c r="C13" s="8"/>
      <c r="D13" s="143" t="s">
        <v>416</v>
      </c>
      <c r="E13" s="154">
        <v>10</v>
      </c>
      <c r="F13" s="47" t="s">
        <v>409</v>
      </c>
      <c r="G13" s="66">
        <v>100</v>
      </c>
      <c r="H13" s="49">
        <f>Table_Input_Pesticides[[#This Row],[Amount applied per ha]]*Table_Input_Pesticides[[#This Row],[Application area (ha)]]</f>
        <v>1000</v>
      </c>
      <c r="I13" s="47" t="s">
        <v>408</v>
      </c>
      <c r="J13" s="47" t="s">
        <v>407</v>
      </c>
      <c r="K13" s="66">
        <v>100</v>
      </c>
      <c r="L13" s="49">
        <f>Table_Input_Pesticides[[#This Row],[Total applied]]*Table_Input_Pesticides[[#This Row],[Active ingredient 1 amount]]*IF(Table_Input_Pesticides[[#This Row],[Constituent unit (select)]]="fraction of product", 1, 10^-3)</f>
        <v>100</v>
      </c>
      <c r="M13" s="47" t="s">
        <v>672</v>
      </c>
      <c r="N13" s="66">
        <v>100</v>
      </c>
      <c r="O13" s="49">
        <f>Table_Input_Pesticides[[#This Row],[Total applied]]*Table_Input_Pesticides[[#This Row],[Active ingredient 2 amount]]*IF(Table_Input_Pesticides[[#This Row],[Constituent unit (select)]]="fraction of product", 1, 10^-3)</f>
        <v>100</v>
      </c>
      <c r="P13" s="47" t="s">
        <v>675</v>
      </c>
      <c r="Q13" s="66">
        <v>100</v>
      </c>
      <c r="R13" s="49">
        <f>Table_Input_Pesticides[[#This Row],[Total applied]]*Table_Input_Pesticides[[#This Row],[Active ingredient 3 amount]]*IF(Table_Input_Pesticides[[#This Row],[Constituent unit (select)]]="fraction of product", 1, 10^-3)</f>
        <v>100</v>
      </c>
    </row>
    <row r="14" spans="1:19" ht="20.100000000000001" customHeight="1" x14ac:dyDescent="0.25">
      <c r="A14" s="16" t="str">
        <f>HYPERLINK("#'Input - Pig purchases'!A1", "Pig purchases")</f>
        <v>Pig purchases</v>
      </c>
      <c r="D14" s="143"/>
      <c r="E14" s="154"/>
      <c r="F14" s="47"/>
      <c r="G14" s="66"/>
      <c r="H14" s="49">
        <f>Table_Input_Pesticides[[#This Row],[Amount applied per ha]]*Table_Input_Pesticides[[#This Row],[Application area (ha)]]</f>
        <v>0</v>
      </c>
      <c r="I14" s="47"/>
      <c r="J14" s="47"/>
      <c r="K14" s="66"/>
      <c r="L14" s="49">
        <f>Table_Input_Pesticides[[#This Row],[Total applied]]*Table_Input_Pesticides[[#This Row],[Active ingredient 1 amount]]*IF(Table_Input_Pesticides[[#This Row],[Constituent unit (select)]]="fraction of product", 1, 10^-3)</f>
        <v>0</v>
      </c>
      <c r="M14" s="47"/>
      <c r="N14" s="66"/>
      <c r="O14" s="49">
        <f>Table_Input_Pesticides[[#This Row],[Total applied]]*Table_Input_Pesticides[[#This Row],[Active ingredient 2 amount]]*IF(Table_Input_Pesticides[[#This Row],[Constituent unit (select)]]="fraction of product", 1, 10^-3)</f>
        <v>0</v>
      </c>
      <c r="P14" s="47"/>
      <c r="Q14" s="66"/>
      <c r="R14" s="49">
        <f>Table_Input_Pesticides[[#This Row],[Total applied]]*Table_Input_Pesticides[[#This Row],[Active ingredient 3 amount]]*IF(Table_Input_Pesticides[[#This Row],[Constituent unit (select)]]="fraction of product", 1, 10^-3)</f>
        <v>0</v>
      </c>
    </row>
    <row r="15" spans="1:19" ht="20.100000000000001" customHeight="1" x14ac:dyDescent="0.25">
      <c r="A15" s="16" t="str">
        <f>HYPERLINK("#'Input - Poultry purchases'!A1", "Poultry purchases")</f>
        <v>Poultry purchases</v>
      </c>
      <c r="D15" s="143"/>
      <c r="E15" s="154"/>
      <c r="F15" s="47"/>
      <c r="G15" s="66"/>
      <c r="H15" s="49">
        <f>Table_Input_Pesticides[[#This Row],[Amount applied per ha]]*Table_Input_Pesticides[[#This Row],[Application area (ha)]]</f>
        <v>0</v>
      </c>
      <c r="I15" s="47"/>
      <c r="J15" s="47"/>
      <c r="K15" s="66"/>
      <c r="L15" s="49">
        <f>Table_Input_Pesticides[[#This Row],[Total applied]]*Table_Input_Pesticides[[#This Row],[Active ingredient 1 amount]]*IF(Table_Input_Pesticides[[#This Row],[Constituent unit (select)]]="fraction of product", 1, 10^-3)</f>
        <v>0</v>
      </c>
      <c r="M15" s="47"/>
      <c r="N15" s="66"/>
      <c r="O15" s="49">
        <f>Table_Input_Pesticides[[#This Row],[Total applied]]*Table_Input_Pesticides[[#This Row],[Active ingredient 2 amount]]*IF(Table_Input_Pesticides[[#This Row],[Constituent unit (select)]]="fraction of product", 1, 10^-3)</f>
        <v>0</v>
      </c>
      <c r="P15" s="47"/>
      <c r="Q15" s="66"/>
      <c r="R15" s="49">
        <f>Table_Input_Pesticides[[#This Row],[Total applied]]*Table_Input_Pesticides[[#This Row],[Active ingredient 3 amount]]*IF(Table_Input_Pesticides[[#This Row],[Constituent unit (select)]]="fraction of product", 1, 10^-3)</f>
        <v>0</v>
      </c>
    </row>
    <row r="16" spans="1:19" ht="20.100000000000001" customHeight="1" x14ac:dyDescent="0.25">
      <c r="A16" s="16" t="str">
        <f>HYPERLINK("#'Input - Freight'!A1", "Freight")</f>
        <v>Freight</v>
      </c>
      <c r="D16" s="143"/>
      <c r="E16" s="154"/>
      <c r="F16" s="47"/>
      <c r="G16" s="66"/>
      <c r="H16" s="49">
        <f>Table_Input_Pesticides[[#This Row],[Amount applied per ha]]*Table_Input_Pesticides[[#This Row],[Application area (ha)]]</f>
        <v>0</v>
      </c>
      <c r="I16" s="47"/>
      <c r="J16" s="47"/>
      <c r="K16" s="66"/>
      <c r="L16" s="49">
        <f>Table_Input_Pesticides[[#This Row],[Total applied]]*Table_Input_Pesticides[[#This Row],[Active ingredient 1 amount]]*IF(Table_Input_Pesticides[[#This Row],[Constituent unit (select)]]="fraction of product", 1, 10^-3)</f>
        <v>0</v>
      </c>
      <c r="M16" s="47"/>
      <c r="N16" s="66"/>
      <c r="O16" s="49">
        <f>Table_Input_Pesticides[[#This Row],[Total applied]]*Table_Input_Pesticides[[#This Row],[Active ingredient 2 amount]]*IF(Table_Input_Pesticides[[#This Row],[Constituent unit (select)]]="fraction of product", 1, 10^-3)</f>
        <v>0</v>
      </c>
      <c r="P16" s="47"/>
      <c r="Q16" s="66"/>
      <c r="R16" s="49">
        <f>Table_Input_Pesticides[[#This Row],[Total applied]]*Table_Input_Pesticides[[#This Row],[Active ingredient 3 amount]]*IF(Table_Input_Pesticides[[#This Row],[Constituent unit (select)]]="fraction of product", 1, 10^-3)</f>
        <v>0</v>
      </c>
    </row>
    <row r="17" spans="1:18" ht="20.100000000000001" customHeight="1" x14ac:dyDescent="0.25">
      <c r="A17" s="16" t="str">
        <f>HYPERLINK("#'Input - Solid waste'!A1", "Solid waste")</f>
        <v>Solid waste</v>
      </c>
      <c r="C17" s="8"/>
      <c r="D17" s="143"/>
      <c r="E17" s="154"/>
      <c r="F17" s="47"/>
      <c r="G17" s="66"/>
      <c r="H17" s="49">
        <f>Table_Input_Pesticides[[#This Row],[Amount applied per ha]]*Table_Input_Pesticides[[#This Row],[Application area (ha)]]</f>
        <v>0</v>
      </c>
      <c r="I17" s="47"/>
      <c r="J17" s="47"/>
      <c r="K17" s="66"/>
      <c r="L17" s="49">
        <f>Table_Input_Pesticides[[#This Row],[Total applied]]*Table_Input_Pesticides[[#This Row],[Active ingredient 1 amount]]*IF(Table_Input_Pesticides[[#This Row],[Constituent unit (select)]]="fraction of product", 1, 10^-3)</f>
        <v>0</v>
      </c>
      <c r="M17" s="47"/>
      <c r="N17" s="66"/>
      <c r="O17" s="49">
        <f>Table_Input_Pesticides[[#This Row],[Total applied]]*Table_Input_Pesticides[[#This Row],[Active ingredient 2 amount]]*IF(Table_Input_Pesticides[[#This Row],[Constituent unit (select)]]="fraction of product", 1, 10^-3)</f>
        <v>0</v>
      </c>
      <c r="P17" s="47"/>
      <c r="Q17" s="66"/>
      <c r="R17" s="49">
        <f>Table_Input_Pesticides[[#This Row],[Total applied]]*Table_Input_Pesticides[[#This Row],[Active ingredient 3 amount]]*IF(Table_Input_Pesticides[[#This Row],[Constituent unit (select)]]="fraction of product", 1, 10^-3)</f>
        <v>0</v>
      </c>
    </row>
    <row r="18" spans="1:18" ht="20.100000000000001" customHeight="1" x14ac:dyDescent="0.25">
      <c r="A18" s="16" t="str">
        <f>HYPERLINK("#'Input - Manure sent off-site'!A1", "Manure sent off-site")</f>
        <v>Manure sent off-site</v>
      </c>
      <c r="C18" s="8"/>
      <c r="D18" s="143"/>
      <c r="E18" s="154"/>
      <c r="F18" s="47"/>
      <c r="G18" s="66"/>
      <c r="H18" s="49">
        <f>Table_Input_Pesticides[[#This Row],[Amount applied per ha]]*Table_Input_Pesticides[[#This Row],[Application area (ha)]]</f>
        <v>0</v>
      </c>
      <c r="I18" s="47"/>
      <c r="J18" s="47"/>
      <c r="K18" s="66"/>
      <c r="L18" s="49">
        <f>Table_Input_Pesticides[[#This Row],[Total applied]]*Table_Input_Pesticides[[#This Row],[Active ingredient 1 amount]]*IF(Table_Input_Pesticides[[#This Row],[Constituent unit (select)]]="fraction of product", 1, 10^-3)</f>
        <v>0</v>
      </c>
      <c r="M18" s="47"/>
      <c r="N18" s="66"/>
      <c r="O18" s="49">
        <f>Table_Input_Pesticides[[#This Row],[Total applied]]*Table_Input_Pesticides[[#This Row],[Active ingredient 2 amount]]*IF(Table_Input_Pesticides[[#This Row],[Constituent unit (select)]]="fraction of product", 1, 10^-3)</f>
        <v>0</v>
      </c>
      <c r="P18" s="47"/>
      <c r="Q18" s="66"/>
      <c r="R18" s="49">
        <f>Table_Input_Pesticides[[#This Row],[Total applied]]*Table_Input_Pesticides[[#This Row],[Active ingredient 3 amount]]*IF(Table_Input_Pesticides[[#This Row],[Constituent unit (select)]]="fraction of product", 1, 10^-3)</f>
        <v>0</v>
      </c>
    </row>
    <row r="19" spans="1:18" ht="20.100000000000001" customHeight="1" x14ac:dyDescent="0.25">
      <c r="A19" s="16" t="str">
        <f>HYPERLINK("#'Input - Electricity'!A1", "Electricity")</f>
        <v>Electricity</v>
      </c>
      <c r="D19" s="143"/>
      <c r="E19" s="154"/>
      <c r="F19" s="47"/>
      <c r="G19" s="66"/>
      <c r="H19" s="49">
        <f>Table_Input_Pesticides[[#This Row],[Amount applied per ha]]*Table_Input_Pesticides[[#This Row],[Application area (ha)]]</f>
        <v>0</v>
      </c>
      <c r="I19" s="47"/>
      <c r="J19" s="47"/>
      <c r="K19" s="66"/>
      <c r="L19" s="49">
        <f>Table_Input_Pesticides[[#This Row],[Total applied]]*Table_Input_Pesticides[[#This Row],[Active ingredient 1 amount]]*IF(Table_Input_Pesticides[[#This Row],[Constituent unit (select)]]="fraction of product", 1, 10^-3)</f>
        <v>0</v>
      </c>
      <c r="M19" s="47"/>
      <c r="N19" s="66"/>
      <c r="O19" s="49">
        <f>Table_Input_Pesticides[[#This Row],[Total applied]]*Table_Input_Pesticides[[#This Row],[Active ingredient 2 amount]]*IF(Table_Input_Pesticides[[#This Row],[Constituent unit (select)]]="fraction of product", 1, 10^-3)</f>
        <v>0</v>
      </c>
      <c r="P19" s="47"/>
      <c r="Q19" s="66"/>
      <c r="R19" s="49">
        <f>Table_Input_Pesticides[[#This Row],[Total applied]]*Table_Input_Pesticides[[#This Row],[Active ingredient 3 amount]]*IF(Table_Input_Pesticides[[#This Row],[Constituent unit (select)]]="fraction of product", 1, 10^-3)</f>
        <v>0</v>
      </c>
    </row>
    <row r="20" spans="1:18" ht="20.100000000000001" customHeight="1" x14ac:dyDescent="0.25">
      <c r="A20"/>
      <c r="D20" s="143"/>
      <c r="E20" s="154"/>
      <c r="F20" s="47"/>
      <c r="G20" s="66"/>
      <c r="H20" s="49">
        <f>Table_Input_Pesticides[[#This Row],[Amount applied per ha]]*Table_Input_Pesticides[[#This Row],[Application area (ha)]]</f>
        <v>0</v>
      </c>
      <c r="I20" s="47"/>
      <c r="J20" s="47"/>
      <c r="K20" s="66"/>
      <c r="L20" s="49">
        <f>Table_Input_Pesticides[[#This Row],[Total applied]]*Table_Input_Pesticides[[#This Row],[Active ingredient 1 amount]]*IF(Table_Input_Pesticides[[#This Row],[Constituent unit (select)]]="fraction of product", 1, 10^-3)</f>
        <v>0</v>
      </c>
      <c r="M20" s="47"/>
      <c r="N20" s="66"/>
      <c r="O20" s="49">
        <f>Table_Input_Pesticides[[#This Row],[Total applied]]*Table_Input_Pesticides[[#This Row],[Active ingredient 2 amount]]*IF(Table_Input_Pesticides[[#This Row],[Constituent unit (select)]]="fraction of product", 1, 10^-3)</f>
        <v>0</v>
      </c>
      <c r="P20" s="47"/>
      <c r="Q20" s="66"/>
      <c r="R20" s="49">
        <f>Table_Input_Pesticides[[#This Row],[Total applied]]*Table_Input_Pesticides[[#This Row],[Active ingredient 3 amount]]*IF(Table_Input_Pesticides[[#This Row],[Constituent unit (select)]]="fraction of product", 1, 10^-3)</f>
        <v>0</v>
      </c>
    </row>
    <row r="21" spans="1:18" ht="20.100000000000001" customHeight="1" x14ac:dyDescent="0.25">
      <c r="A21"/>
      <c r="D21" s="7"/>
      <c r="E21" s="7"/>
      <c r="F21" s="7"/>
      <c r="G21" s="7"/>
      <c r="H21" s="7"/>
      <c r="I21" s="7"/>
      <c r="J21" s="7"/>
    </row>
    <row r="22" spans="1:18" ht="20.100000000000001" customHeight="1" x14ac:dyDescent="0.25">
      <c r="A22" s="21" t="s">
        <v>77</v>
      </c>
      <c r="D22" s="144" t="s">
        <v>284</v>
      </c>
      <c r="E22" s="8"/>
      <c r="F22" s="8"/>
    </row>
    <row r="23" spans="1:18" ht="20.100000000000001" customHeight="1" x14ac:dyDescent="0.25">
      <c r="A23" s="16" t="str">
        <f>HYPERLINK("#'15 Scope 3'!A1", "15 Scope 3")</f>
        <v>15 Scope 3</v>
      </c>
      <c r="D23" s="46" t="s">
        <v>169</v>
      </c>
      <c r="E23" s="46" t="s">
        <v>337</v>
      </c>
      <c r="F23" s="46" t="s">
        <v>340</v>
      </c>
    </row>
    <row r="24" spans="1:18" ht="20.100000000000001" customHeight="1" x14ac:dyDescent="0.25">
      <c r="A24" s="16" t="str">
        <f>HYPERLINK("#'10.1.1-2 Solid waste treatment'!A1", "10.1.1-2 Solid waste treatment")</f>
        <v>10.1.1-2 Solid waste treatment</v>
      </c>
      <c r="D24" s="82" t="s">
        <v>377</v>
      </c>
      <c r="E24" s="47" t="s">
        <v>339</v>
      </c>
      <c r="F24" s="66">
        <v>100</v>
      </c>
    </row>
    <row r="25" spans="1:18" ht="20.100000000000001" customHeight="1" x14ac:dyDescent="0.25">
      <c r="A25" s="16" t="str">
        <f>HYPERLINK("#'Calcs - Manure sent off-site'!A1", "Calcs - Manure sent off-site")</f>
        <v>Calcs - Manure sent off-site</v>
      </c>
      <c r="C25" s="8"/>
      <c r="D25" s="82" t="s">
        <v>376</v>
      </c>
      <c r="E25" s="148" t="s">
        <v>338</v>
      </c>
      <c r="F25" s="149">
        <v>100</v>
      </c>
    </row>
    <row r="26" spans="1:18" ht="20.100000000000001" customHeight="1" x14ac:dyDescent="0.25">
      <c r="A26" s="16" t="str">
        <f>HYPERLINK("#'8.1.1.1-2 Transport fuel'!A1", "8.1.1.1-2 Transport fuel")</f>
        <v>8.1.1.1-2 Transport fuel</v>
      </c>
      <c r="C26" s="8"/>
      <c r="D26" s="82" t="s">
        <v>285</v>
      </c>
      <c r="E26" s="148" t="s">
        <v>286</v>
      </c>
      <c r="F26" s="149">
        <v>100</v>
      </c>
    </row>
    <row r="27" spans="1:18" ht="20.100000000000001" customHeight="1" x14ac:dyDescent="0.25">
      <c r="A27" s="16" t="str">
        <f>HYPERLINK("#'8.2.1.1-2 Stationary fuel'!A1", "8.2.1.1-2 Stationary fuel")</f>
        <v>8.2.1.1-2 Stationary fuel</v>
      </c>
      <c r="C27" s="8"/>
      <c r="D27" s="82" t="s">
        <v>285</v>
      </c>
      <c r="E27" s="148" t="s">
        <v>286</v>
      </c>
      <c r="F27" s="149">
        <v>100</v>
      </c>
    </row>
    <row r="28" spans="1:18" ht="20.100000000000001" customHeight="1" x14ac:dyDescent="0.25">
      <c r="A28"/>
      <c r="D28" s="82" t="s">
        <v>377</v>
      </c>
      <c r="E28" s="148" t="s">
        <v>339</v>
      </c>
      <c r="F28" s="149">
        <v>100</v>
      </c>
    </row>
    <row r="29" spans="1:18" ht="20.100000000000001" customHeight="1" x14ac:dyDescent="0.25">
      <c r="A29"/>
      <c r="D29" s="82" t="s">
        <v>377</v>
      </c>
      <c r="E29" s="148" t="s">
        <v>339</v>
      </c>
      <c r="F29" s="149">
        <v>100</v>
      </c>
    </row>
    <row r="30" spans="1:18" ht="20.100000000000001" customHeight="1" x14ac:dyDescent="0.25">
      <c r="A30" s="221" t="s">
        <v>78</v>
      </c>
      <c r="D30" s="82"/>
      <c r="E30" s="47"/>
      <c r="F30" s="66"/>
    </row>
    <row r="31" spans="1:18" ht="20.100000000000001" customHeight="1" x14ac:dyDescent="0.25">
      <c r="A31" s="16" t="str">
        <f>HYPERLINK("#'Constants - Scope 3'!A1", "Constants - Scope 3")</f>
        <v>Constants - Scope 3</v>
      </c>
      <c r="D31" s="82"/>
      <c r="E31" s="47"/>
      <c r="F31" s="66"/>
    </row>
    <row r="32" spans="1:18" ht="20.100000000000001" customHeight="1" x14ac:dyDescent="0.25">
      <c r="A32" s="16" t="str">
        <f>HYPERLINK("#'Constants - Solid Waste'!A1", "Constants - Solid Waste")</f>
        <v>Constants - Solid Waste</v>
      </c>
      <c r="D32" s="82"/>
      <c r="E32" s="47"/>
      <c r="F32" s="66"/>
    </row>
    <row r="33" spans="1:6" ht="20.100000000000001" customHeight="1" x14ac:dyDescent="0.25">
      <c r="A33" s="16" t="str">
        <f>HYPERLINK("#'Constants - Fuel'!A1", "Constants - Fuel")</f>
        <v>Constants - Fuel</v>
      </c>
      <c r="D33" s="82"/>
      <c r="E33" s="47"/>
      <c r="F33" s="66"/>
    </row>
    <row r="34" spans="1:6" ht="20.100000000000001" customHeight="1" x14ac:dyDescent="0.25">
      <c r="A34" s="16" t="str">
        <f>HYPERLINK("#'Constants - Poultry'!A1", "Constants - Poultry")</f>
        <v>Constants - Poultry</v>
      </c>
    </row>
    <row r="35" spans="1:6" ht="20.100000000000001" customHeight="1" x14ac:dyDescent="0.25">
      <c r="A35" s="16" t="str">
        <f>HYPERLINK("#'Constants - Swine'!A1", "Constants - Swine")</f>
        <v>Constants - Swine</v>
      </c>
      <c r="D35" s="144" t="s">
        <v>820</v>
      </c>
      <c r="E35" s="8"/>
      <c r="F35" s="8"/>
    </row>
    <row r="36" spans="1:6" ht="20.100000000000001" customHeight="1" x14ac:dyDescent="0.25">
      <c r="A36" s="16" t="str">
        <f>HYPERLINK("#'Constants - Dairy'!A1", "Constants - Dairy")</f>
        <v>Constants - Dairy</v>
      </c>
      <c r="D36" s="46" t="s">
        <v>169</v>
      </c>
      <c r="E36" s="46" t="s">
        <v>337</v>
      </c>
      <c r="F36" s="46" t="s">
        <v>368</v>
      </c>
    </row>
    <row r="37" spans="1:6" ht="20.100000000000001" customHeight="1" x14ac:dyDescent="0.25">
      <c r="A37" s="16" t="str">
        <f>HYPERLINK("#'Constants - Pasture Beef'!A1", "Constants - Pasture Beef")</f>
        <v>Constants - Pasture Beef</v>
      </c>
      <c r="D37" s="82" t="s">
        <v>372</v>
      </c>
      <c r="E37" s="72" t="s">
        <v>364</v>
      </c>
      <c r="F37" s="66">
        <v>100</v>
      </c>
    </row>
    <row r="38" spans="1:6" ht="20.100000000000001" customHeight="1" x14ac:dyDescent="0.25">
      <c r="A38" s="16" t="str">
        <f>HYPERLINK("#'Constants - Common Livestock'!A1", "Constants - Common Livestock")</f>
        <v>Constants - Common Livestock</v>
      </c>
      <c r="D38" s="82" t="s">
        <v>373</v>
      </c>
      <c r="E38" s="162" t="s">
        <v>365</v>
      </c>
      <c r="F38" s="149">
        <v>100</v>
      </c>
    </row>
    <row r="39" spans="1:6" ht="20.100000000000001" customHeight="1" x14ac:dyDescent="0.25">
      <c r="A39" s="16" t="str">
        <f>HYPERLINK("#'Constants - Fertiliser'!A1", "Constants - Fertiliser")</f>
        <v>Constants - Fertiliser</v>
      </c>
      <c r="D39" s="82" t="s">
        <v>374</v>
      </c>
      <c r="E39" s="162" t="s">
        <v>366</v>
      </c>
      <c r="F39" s="149">
        <v>100</v>
      </c>
    </row>
    <row r="40" spans="1:6" ht="20.100000000000001" customHeight="1" x14ac:dyDescent="0.25">
      <c r="A40" s="16" t="str">
        <f>HYPERLINK("#'Constants - Electricity'!A1", "Constants - Electricity")</f>
        <v>Constants - Electricity</v>
      </c>
      <c r="D40" s="82" t="s">
        <v>375</v>
      </c>
      <c r="E40" s="162" t="s">
        <v>367</v>
      </c>
      <c r="F40" s="149">
        <v>100</v>
      </c>
    </row>
    <row r="41" spans="1:6" ht="20.100000000000001" customHeight="1" x14ac:dyDescent="0.25">
      <c r="A41" s="16" t="str">
        <f>HYPERLINK("#'Constants - Common'!A1", "Constants - Common")</f>
        <v>Constants - Common</v>
      </c>
      <c r="D41" s="82" t="s">
        <v>372</v>
      </c>
      <c r="E41" s="162" t="s">
        <v>364</v>
      </c>
      <c r="F41" s="149">
        <v>100</v>
      </c>
    </row>
    <row r="42" spans="1:6" ht="20.100000000000001" customHeight="1" x14ac:dyDescent="0.25">
      <c r="A42"/>
      <c r="D42" s="82" t="s">
        <v>373</v>
      </c>
      <c r="E42" s="162" t="s">
        <v>365</v>
      </c>
      <c r="F42" s="149">
        <v>100</v>
      </c>
    </row>
    <row r="43" spans="1:6" ht="20.100000000000001" customHeight="1" x14ac:dyDescent="0.25">
      <c r="A43"/>
      <c r="D43" s="82"/>
      <c r="E43" s="72"/>
      <c r="F43" s="66"/>
    </row>
    <row r="44" spans="1:6" ht="20.100000000000001" customHeight="1" x14ac:dyDescent="0.25">
      <c r="A44"/>
      <c r="C44" s="8"/>
      <c r="D44" s="82"/>
      <c r="E44" s="72"/>
      <c r="F44" s="66"/>
    </row>
    <row r="45" spans="1:6" ht="20.100000000000001" customHeight="1" x14ac:dyDescent="0.25">
      <c r="A45"/>
      <c r="C45" s="8"/>
      <c r="D45" s="82"/>
      <c r="E45" s="72"/>
      <c r="F45" s="66"/>
    </row>
    <row r="46" spans="1:6" ht="20.100000000000001" customHeight="1" x14ac:dyDescent="0.25">
      <c r="A46"/>
      <c r="C46" s="8"/>
      <c r="D46" s="82"/>
      <c r="E46" s="72"/>
      <c r="F46" s="66"/>
    </row>
    <row r="47" spans="1:6" ht="20.100000000000001" customHeight="1" x14ac:dyDescent="0.25">
      <c r="A47"/>
      <c r="C47" s="8"/>
    </row>
    <row r="48" spans="1:6" ht="20.100000000000001" customHeight="1" x14ac:dyDescent="0.25">
      <c r="A48"/>
      <c r="C48" s="8"/>
    </row>
    <row r="49" spans="1:17" ht="20.100000000000001" customHeight="1" x14ac:dyDescent="0.25">
      <c r="A49"/>
      <c r="C49" s="8"/>
      <c r="D49" s="9" t="s">
        <v>357</v>
      </c>
    </row>
    <row r="50" spans="1:17" ht="20.100000000000001" customHeight="1" x14ac:dyDescent="0.25">
      <c r="A50"/>
      <c r="D50" s="144" t="s">
        <v>287</v>
      </c>
      <c r="E50" s="145"/>
      <c r="F50" s="67"/>
    </row>
    <row r="51" spans="1:17" ht="20.100000000000001" customHeight="1" x14ac:dyDescent="0.25">
      <c r="A51"/>
      <c r="D51" s="8" t="str" cm="1">
        <f t="array" ref="D51:D53">Table_SourceData_Scope3_LickBlocks[Product]</f>
        <v>Lick block, dry season mix</v>
      </c>
      <c r="E51" s="66">
        <v>100</v>
      </c>
      <c r="F51" s="65" t="s">
        <v>343</v>
      </c>
    </row>
    <row r="52" spans="1:17" ht="20.100000000000001" customHeight="1" x14ac:dyDescent="0.25">
      <c r="A52"/>
      <c r="D52" s="8" t="str">
        <v>Lick block, mineral</v>
      </c>
      <c r="E52" s="66">
        <v>100</v>
      </c>
      <c r="F52" s="65" t="s">
        <v>343</v>
      </c>
    </row>
    <row r="53" spans="1:17" ht="20.100000000000001" customHeight="1" x14ac:dyDescent="0.25">
      <c r="A53"/>
      <c r="D53" s="8" t="str">
        <v>Lick block, weaner</v>
      </c>
      <c r="E53" s="66">
        <v>100</v>
      </c>
      <c r="F53" s="65" t="s">
        <v>343</v>
      </c>
    </row>
    <row r="54" spans="1:17" ht="20.100000000000001" customHeight="1" x14ac:dyDescent="0.25">
      <c r="A54"/>
      <c r="D54" s="8"/>
      <c r="E54" s="8"/>
      <c r="F54" s="8"/>
    </row>
    <row r="55" spans="1:17" ht="20.100000000000001" customHeight="1" x14ac:dyDescent="0.25">
      <c r="A55"/>
      <c r="D55" s="144" t="s">
        <v>392</v>
      </c>
      <c r="E55" s="7"/>
      <c r="F55" s="7"/>
    </row>
    <row r="56" spans="1:17" ht="20.100000000000001" customHeight="1" x14ac:dyDescent="0.25">
      <c r="A56"/>
      <c r="D56" s="8" t="str" cm="1">
        <f t="array" ref="D56:D59">Table_SourceData_Scope3_MixedRations[Product]</f>
        <v>Feed for chickens</v>
      </c>
      <c r="E56" s="66">
        <v>100</v>
      </c>
      <c r="F56" s="65" t="s">
        <v>343</v>
      </c>
    </row>
    <row r="57" spans="1:17" ht="20.100000000000001" customHeight="1" x14ac:dyDescent="0.25">
      <c r="A57"/>
      <c r="D57" s="8" t="str">
        <v>Feed for dairy calves</v>
      </c>
      <c r="E57" s="66">
        <v>100</v>
      </c>
      <c r="F57" s="65" t="s">
        <v>343</v>
      </c>
    </row>
    <row r="58" spans="1:17" ht="20.100000000000001" customHeight="1" x14ac:dyDescent="0.25">
      <c r="A58"/>
      <c r="D58" s="8" t="str">
        <v>Feed for dairy cows</v>
      </c>
      <c r="E58" s="66">
        <v>100</v>
      </c>
      <c r="F58" s="65" t="s">
        <v>343</v>
      </c>
    </row>
    <row r="59" spans="1:17" ht="20.100000000000001" customHeight="1" x14ac:dyDescent="0.25">
      <c r="A59"/>
      <c r="D59" s="8" t="str">
        <v>Feed for pigs</v>
      </c>
      <c r="E59" s="66">
        <v>100</v>
      </c>
      <c r="F59" s="65" t="s">
        <v>343</v>
      </c>
    </row>
    <row r="60" spans="1:17" ht="20.100000000000001" customHeight="1" x14ac:dyDescent="0.25">
      <c r="A60"/>
      <c r="D60" s="7"/>
      <c r="E60" s="7"/>
      <c r="F60" s="7"/>
    </row>
    <row r="61" spans="1:17" ht="20.100000000000001" customHeight="1" x14ac:dyDescent="0.25">
      <c r="A61"/>
      <c r="D61" s="144" t="s">
        <v>612</v>
      </c>
      <c r="E61" s="7"/>
      <c r="F61" s="7"/>
    </row>
    <row r="62" spans="1:17" ht="20.100000000000001" customHeight="1" x14ac:dyDescent="0.25">
      <c r="A62"/>
      <c r="D62" s="48" t="s">
        <v>289</v>
      </c>
      <c r="E62" s="48" t="s">
        <v>290</v>
      </c>
      <c r="F62" s="48" t="s">
        <v>205</v>
      </c>
      <c r="G62" s="48" t="s">
        <v>383</v>
      </c>
      <c r="H62" s="48" t="s">
        <v>174</v>
      </c>
      <c r="I62" s="48" t="s">
        <v>291</v>
      </c>
      <c r="J62" s="48" t="s">
        <v>388</v>
      </c>
      <c r="K62" s="48" t="s">
        <v>176</v>
      </c>
      <c r="L62" s="48" t="s">
        <v>292</v>
      </c>
      <c r="M62" s="48" t="s">
        <v>389</v>
      </c>
      <c r="N62" s="48" t="s">
        <v>178</v>
      </c>
      <c r="O62" s="48" t="s">
        <v>293</v>
      </c>
      <c r="P62" s="48" t="s">
        <v>390</v>
      </c>
      <c r="Q62" s="48" t="s">
        <v>180</v>
      </c>
    </row>
    <row r="63" spans="1:17" ht="20.100000000000001" customHeight="1" x14ac:dyDescent="0.25">
      <c r="A63"/>
      <c r="D63" s="15"/>
      <c r="E63" s="146">
        <v>1200</v>
      </c>
      <c r="F63" s="47" t="s">
        <v>837</v>
      </c>
      <c r="G63" s="47" t="s">
        <v>385</v>
      </c>
      <c r="H63" s="50">
        <v>0.35</v>
      </c>
      <c r="I63" s="47" t="s">
        <v>380</v>
      </c>
      <c r="J63" s="47" t="s">
        <v>385</v>
      </c>
      <c r="K63" s="50">
        <v>0.22</v>
      </c>
      <c r="L63" s="47" t="s">
        <v>294</v>
      </c>
      <c r="M63" s="47" t="s">
        <v>328</v>
      </c>
      <c r="N63" s="50">
        <v>0.12</v>
      </c>
      <c r="O63" s="47" t="s">
        <v>391</v>
      </c>
      <c r="P63" s="47" t="s">
        <v>330</v>
      </c>
      <c r="Q63" s="50">
        <v>0.05</v>
      </c>
    </row>
    <row r="64" spans="1:17" ht="20.100000000000001" customHeight="1" x14ac:dyDescent="0.25">
      <c r="A64"/>
      <c r="D64" s="15"/>
      <c r="E64" s="146">
        <v>3456</v>
      </c>
      <c r="F64" s="47" t="s">
        <v>386</v>
      </c>
      <c r="G64" s="47" t="s">
        <v>336</v>
      </c>
      <c r="H64" s="50">
        <v>0.2</v>
      </c>
      <c r="I64" s="47" t="s">
        <v>386</v>
      </c>
      <c r="J64" s="47" t="s">
        <v>329</v>
      </c>
      <c r="K64" s="50">
        <v>0.2</v>
      </c>
      <c r="L64" s="47"/>
      <c r="M64" s="47"/>
      <c r="N64" s="50"/>
      <c r="O64" s="47"/>
      <c r="P64" s="47"/>
      <c r="Q64" s="50"/>
    </row>
    <row r="65" spans="1:17" ht="20.100000000000001" customHeight="1" x14ac:dyDescent="0.25">
      <c r="A65"/>
      <c r="D65" s="15" t="s">
        <v>295</v>
      </c>
      <c r="E65" s="146">
        <v>300</v>
      </c>
      <c r="F65" s="47" t="s">
        <v>384</v>
      </c>
      <c r="G65" s="47" t="s">
        <v>335</v>
      </c>
      <c r="H65" s="50">
        <v>0.8</v>
      </c>
      <c r="I65" s="47" t="s">
        <v>381</v>
      </c>
      <c r="J65" s="47" t="s">
        <v>387</v>
      </c>
      <c r="K65" s="50">
        <v>0.2</v>
      </c>
      <c r="L65" s="47"/>
      <c r="M65" s="47"/>
      <c r="N65" s="50"/>
      <c r="O65" s="47"/>
      <c r="P65" s="47"/>
      <c r="Q65" s="50"/>
    </row>
    <row r="66" spans="1:17" ht="20.100000000000001" customHeight="1" x14ac:dyDescent="0.25">
      <c r="A66"/>
      <c r="D66" s="15"/>
      <c r="E66" s="146">
        <v>500</v>
      </c>
      <c r="F66" s="47" t="s">
        <v>393</v>
      </c>
      <c r="G66" s="47" t="s">
        <v>335</v>
      </c>
      <c r="H66" s="50">
        <v>1</v>
      </c>
      <c r="I66" s="47"/>
      <c r="J66" s="47"/>
      <c r="K66" s="50"/>
      <c r="L66" s="47"/>
      <c r="M66" s="47"/>
      <c r="N66" s="50"/>
      <c r="O66" s="47"/>
      <c r="P66" s="47"/>
      <c r="Q66" s="50"/>
    </row>
    <row r="67" spans="1:17" ht="20.100000000000001" customHeight="1" x14ac:dyDescent="0.25">
      <c r="A67"/>
      <c r="D67" s="15"/>
      <c r="E67" s="146"/>
      <c r="F67" s="47"/>
      <c r="G67" s="47"/>
      <c r="H67" s="50"/>
      <c r="I67" s="47"/>
      <c r="J67" s="47"/>
      <c r="K67" s="50"/>
      <c r="L67" s="47"/>
      <c r="M67" s="47"/>
      <c r="N67" s="50"/>
      <c r="O67" s="47"/>
      <c r="P67" s="47"/>
      <c r="Q67" s="50"/>
    </row>
    <row r="68" spans="1:17" ht="20.100000000000001" customHeight="1" x14ac:dyDescent="0.25">
      <c r="A68"/>
      <c r="D68" s="15"/>
      <c r="E68" s="146"/>
      <c r="F68" s="47"/>
      <c r="G68" s="47"/>
      <c r="H68" s="50"/>
      <c r="I68" s="47"/>
      <c r="J68" s="47"/>
      <c r="K68" s="50"/>
      <c r="L68" s="47"/>
      <c r="M68" s="47"/>
      <c r="N68" s="50"/>
      <c r="O68" s="47"/>
      <c r="P68" s="47"/>
      <c r="Q68" s="50"/>
    </row>
    <row r="69" spans="1:17" ht="20.100000000000001" customHeight="1" x14ac:dyDescent="0.25">
      <c r="A69"/>
      <c r="D69" s="15"/>
      <c r="E69" s="146"/>
      <c r="F69" s="47"/>
      <c r="G69" s="47"/>
      <c r="H69" s="50"/>
      <c r="I69" s="47"/>
      <c r="J69" s="47"/>
      <c r="K69" s="50"/>
      <c r="L69" s="47"/>
      <c r="M69" s="47"/>
      <c r="N69" s="50"/>
      <c r="O69" s="47"/>
      <c r="P69" s="47"/>
      <c r="Q69" s="50"/>
    </row>
    <row r="70" spans="1:17" ht="20.100000000000001" customHeight="1" x14ac:dyDescent="0.25">
      <c r="A70"/>
      <c r="D70" s="15"/>
      <c r="E70" s="146"/>
      <c r="F70" s="47"/>
      <c r="G70" s="47"/>
      <c r="H70" s="50"/>
      <c r="I70" s="47"/>
      <c r="J70" s="47"/>
      <c r="K70" s="50"/>
      <c r="L70" s="47"/>
      <c r="M70" s="47"/>
      <c r="N70" s="50"/>
      <c r="O70" s="47"/>
      <c r="P70" s="47"/>
      <c r="Q70" s="50"/>
    </row>
    <row r="71" spans="1:17" ht="20.100000000000001" customHeight="1" x14ac:dyDescent="0.25">
      <c r="A71"/>
      <c r="D71" s="15"/>
      <c r="E71" s="146"/>
      <c r="F71" s="47"/>
      <c r="G71" s="47"/>
      <c r="H71" s="50"/>
      <c r="I71" s="47"/>
      <c r="J71" s="47"/>
      <c r="K71" s="50"/>
      <c r="L71" s="47"/>
      <c r="M71" s="47"/>
      <c r="N71" s="50"/>
      <c r="O71" s="47"/>
      <c r="P71" s="47"/>
      <c r="Q71" s="50"/>
    </row>
    <row r="72" spans="1:17" ht="20.100000000000001" customHeight="1" x14ac:dyDescent="0.25">
      <c r="A72"/>
      <c r="D72" s="15"/>
      <c r="E72" s="146"/>
      <c r="F72" s="47"/>
      <c r="G72" s="47"/>
      <c r="H72" s="50"/>
      <c r="I72" s="47"/>
      <c r="J72" s="47"/>
      <c r="K72" s="50"/>
      <c r="L72" s="47"/>
      <c r="M72" s="47"/>
      <c r="N72" s="50"/>
      <c r="O72" s="47"/>
      <c r="P72" s="47"/>
      <c r="Q72" s="50"/>
    </row>
    <row r="73" spans="1:17" ht="20.100000000000001" customHeight="1" x14ac:dyDescent="0.25">
      <c r="A73"/>
    </row>
    <row r="74" spans="1:17" ht="20.100000000000001" customHeight="1" x14ac:dyDescent="0.25">
      <c r="A74"/>
      <c r="K74" s="14"/>
    </row>
    <row r="75" spans="1:17" ht="20.100000000000001" customHeight="1" x14ac:dyDescent="0.25">
      <c r="A75"/>
      <c r="D75" s="9" t="s">
        <v>601</v>
      </c>
    </row>
    <row r="76" spans="1:17" ht="20.100000000000001" customHeight="1" x14ac:dyDescent="0.25">
      <c r="A76"/>
      <c r="D76" s="12"/>
    </row>
    <row r="77" spans="1:17" ht="20.100000000000001" customHeight="1" x14ac:dyDescent="0.25">
      <c r="A77"/>
      <c r="D77" s="163" t="s">
        <v>602</v>
      </c>
      <c r="E77" s="163" t="s">
        <v>611</v>
      </c>
      <c r="F77" s="163" t="s">
        <v>606</v>
      </c>
      <c r="G77" s="163" t="s">
        <v>125</v>
      </c>
    </row>
    <row r="78" spans="1:17" ht="20.100000000000001" customHeight="1" x14ac:dyDescent="0.25">
      <c r="A78"/>
      <c r="D78" s="82" t="s">
        <v>603</v>
      </c>
      <c r="E78" s="82" t="s">
        <v>604</v>
      </c>
      <c r="F78" s="66">
        <v>10000</v>
      </c>
      <c r="G78" s="47" t="s">
        <v>608</v>
      </c>
    </row>
    <row r="79" spans="1:17" ht="20.100000000000001" customHeight="1" x14ac:dyDescent="0.25">
      <c r="A79"/>
      <c r="D79" s="82" t="s">
        <v>605</v>
      </c>
      <c r="E79" s="82" t="s">
        <v>610</v>
      </c>
      <c r="F79" s="66">
        <v>1000</v>
      </c>
      <c r="G79" s="47" t="s">
        <v>609</v>
      </c>
    </row>
    <row r="80" spans="1:17" ht="20.100000000000001" customHeight="1" x14ac:dyDescent="0.25">
      <c r="A80"/>
      <c r="D80" s="82"/>
      <c r="E80" s="82"/>
      <c r="F80" s="66"/>
      <c r="G80" s="47"/>
    </row>
    <row r="81" spans="1:10" ht="20.100000000000001" customHeight="1" x14ac:dyDescent="0.25">
      <c r="A81"/>
      <c r="D81" s="82"/>
      <c r="E81" s="82"/>
      <c r="F81" s="66"/>
      <c r="G81" s="47"/>
    </row>
    <row r="82" spans="1:10" ht="20.100000000000001" customHeight="1" x14ac:dyDescent="0.25">
      <c r="A82"/>
      <c r="D82" s="82"/>
      <c r="E82" s="82"/>
      <c r="F82" s="66"/>
      <c r="G82" s="47"/>
    </row>
    <row r="83" spans="1:10" ht="20.100000000000001" customHeight="1" x14ac:dyDescent="0.25">
      <c r="A83"/>
      <c r="D83" s="82"/>
      <c r="E83" s="82"/>
      <c r="F83" s="66"/>
      <c r="G83" s="47"/>
    </row>
    <row r="84" spans="1:10" ht="20.100000000000001" customHeight="1" x14ac:dyDescent="0.25">
      <c r="A84"/>
      <c r="D84" s="82"/>
      <c r="E84" s="82"/>
      <c r="F84" s="66"/>
      <c r="G84" s="47"/>
    </row>
    <row r="85" spans="1:10" ht="20.100000000000001" customHeight="1" x14ac:dyDescent="0.25">
      <c r="A85"/>
      <c r="D85" s="82"/>
      <c r="E85" s="82"/>
      <c r="F85" s="66"/>
      <c r="G85" s="47"/>
    </row>
    <row r="86" spans="1:10" ht="20.100000000000001" customHeight="1" x14ac:dyDescent="0.25">
      <c r="A86"/>
      <c r="D86" s="82"/>
      <c r="E86" s="82"/>
      <c r="F86" s="66"/>
      <c r="G86" s="47"/>
    </row>
    <row r="87" spans="1:10" ht="20.100000000000001" customHeight="1" x14ac:dyDescent="0.25">
      <c r="A87"/>
      <c r="D87" s="82"/>
      <c r="E87" s="82"/>
      <c r="F87" s="66"/>
      <c r="G87" s="47"/>
    </row>
    <row r="88" spans="1:10" ht="20.100000000000001" customHeight="1" x14ac:dyDescent="0.25">
      <c r="A88"/>
    </row>
    <row r="89" spans="1:10" ht="20.100000000000001" customHeight="1" x14ac:dyDescent="0.25">
      <c r="A89"/>
    </row>
    <row r="90" spans="1:10" ht="20.100000000000001" customHeight="1" x14ac:dyDescent="0.25">
      <c r="A90"/>
      <c r="D90" s="9" t="s">
        <v>359</v>
      </c>
    </row>
    <row r="91" spans="1:10" ht="20.100000000000001" customHeight="1" x14ac:dyDescent="0.25">
      <c r="A91"/>
    </row>
    <row r="92" spans="1:10" ht="20.100000000000001" customHeight="1" x14ac:dyDescent="0.25">
      <c r="A92"/>
      <c r="D92" s="91" t="s">
        <v>282</v>
      </c>
      <c r="E92" s="91" t="s">
        <v>283</v>
      </c>
      <c r="F92" s="91" t="s">
        <v>400</v>
      </c>
      <c r="G92" s="91" t="s">
        <v>401</v>
      </c>
      <c r="H92" s="91" t="s">
        <v>596</v>
      </c>
      <c r="J92" s="7"/>
    </row>
    <row r="93" spans="1:10" ht="20.100000000000001" customHeight="1" x14ac:dyDescent="0.25">
      <c r="A93"/>
      <c r="D93" s="143" t="s">
        <v>402</v>
      </c>
      <c r="E93" s="66">
        <v>100000</v>
      </c>
      <c r="F93" s="47" t="s">
        <v>403</v>
      </c>
      <c r="G93" s="66">
        <v>0.02</v>
      </c>
      <c r="H93" s="49">
        <f>Table_Input_Packaging[[#This Row],[Quantity purchased]]*Table_Input_Packaging[[#This Row],[Weight per unit (kg)]]</f>
        <v>2000</v>
      </c>
      <c r="J93" s="7"/>
    </row>
    <row r="94" spans="1:10" ht="20.100000000000001" customHeight="1" x14ac:dyDescent="0.25">
      <c r="A94"/>
      <c r="D94" s="143"/>
      <c r="E94" s="164"/>
      <c r="F94" s="47"/>
      <c r="G94" s="66"/>
      <c r="H94" s="49">
        <f>Table_Input_Packaging[[#This Row],[Quantity purchased]]*Table_Input_Packaging[[#This Row],[Weight per unit (kg)]]</f>
        <v>0</v>
      </c>
      <c r="J94" s="7"/>
    </row>
    <row r="95" spans="1:10" ht="20.100000000000001" customHeight="1" x14ac:dyDescent="0.25">
      <c r="A95"/>
      <c r="D95" s="143"/>
      <c r="E95" s="164"/>
      <c r="F95" s="47"/>
      <c r="G95" s="66"/>
      <c r="H95" s="49">
        <f>Table_Input_Packaging[[#This Row],[Quantity purchased]]*Table_Input_Packaging[[#This Row],[Weight per unit (kg)]]</f>
        <v>0</v>
      </c>
      <c r="J95" s="7"/>
    </row>
    <row r="96" spans="1:10" ht="20.100000000000001" customHeight="1" x14ac:dyDescent="0.25">
      <c r="A96"/>
      <c r="D96" s="143"/>
      <c r="E96" s="164"/>
      <c r="F96" s="47"/>
      <c r="G96" s="66"/>
      <c r="H96" s="49">
        <f>Table_Input_Packaging[[#This Row],[Quantity purchased]]*Table_Input_Packaging[[#This Row],[Weight per unit (kg)]]</f>
        <v>0</v>
      </c>
      <c r="J96" s="7"/>
    </row>
    <row r="97" spans="1:10" ht="20.100000000000001" customHeight="1" x14ac:dyDescent="0.25">
      <c r="A97"/>
      <c r="D97" s="143"/>
      <c r="E97" s="164"/>
      <c r="F97" s="47"/>
      <c r="G97" s="66"/>
      <c r="H97" s="49">
        <f>Table_Input_Packaging[[#This Row],[Quantity purchased]]*Table_Input_Packaging[[#This Row],[Weight per unit (kg)]]</f>
        <v>0</v>
      </c>
      <c r="J97" s="9"/>
    </row>
    <row r="98" spans="1:10" ht="20.100000000000001" customHeight="1" x14ac:dyDescent="0.25">
      <c r="A98"/>
      <c r="D98" s="143"/>
      <c r="E98" s="164"/>
      <c r="F98" s="47"/>
      <c r="G98" s="66"/>
      <c r="H98" s="49">
        <f>Table_Input_Packaging[[#This Row],[Quantity purchased]]*Table_Input_Packaging[[#This Row],[Weight per unit (kg)]]</f>
        <v>0</v>
      </c>
      <c r="J98" s="8"/>
    </row>
    <row r="99" spans="1:10" ht="20.100000000000001" customHeight="1" x14ac:dyDescent="0.25">
      <c r="A99"/>
      <c r="D99" s="143"/>
      <c r="E99" s="164"/>
      <c r="F99" s="47"/>
      <c r="G99" s="66"/>
      <c r="H99" s="49">
        <f>Table_Input_Packaging[[#This Row],[Quantity purchased]]*Table_Input_Packaging[[#This Row],[Weight per unit (kg)]]</f>
        <v>0</v>
      </c>
      <c r="J99" s="8"/>
    </row>
    <row r="100" spans="1:10" ht="20.100000000000001" customHeight="1" x14ac:dyDescent="0.25">
      <c r="A100"/>
      <c r="D100" s="143"/>
      <c r="E100" s="164"/>
      <c r="F100" s="47"/>
      <c r="G100" s="66"/>
      <c r="H100" s="49">
        <f>Table_Input_Packaging[[#This Row],[Quantity purchased]]*Table_Input_Packaging[[#This Row],[Weight per unit (kg)]]</f>
        <v>0</v>
      </c>
      <c r="J100" s="8"/>
    </row>
    <row r="101" spans="1:10" ht="20.100000000000001" customHeight="1" x14ac:dyDescent="0.25">
      <c r="A101"/>
      <c r="D101" s="143"/>
      <c r="E101" s="164"/>
      <c r="F101" s="47"/>
      <c r="G101" s="66"/>
      <c r="H101" s="49">
        <f>Table_Input_Packaging[[#This Row],[Quantity purchased]]*Table_Input_Packaging[[#This Row],[Weight per unit (kg)]]</f>
        <v>0</v>
      </c>
      <c r="J101" s="8"/>
    </row>
    <row r="102" spans="1:10" ht="20.100000000000001" customHeight="1" x14ac:dyDescent="0.25">
      <c r="A102"/>
      <c r="D102" s="143"/>
      <c r="E102" s="164"/>
      <c r="F102" s="47"/>
      <c r="G102" s="66"/>
      <c r="H102" s="49">
        <f>Table_Input_Packaging[[#This Row],[Quantity purchased]]*Table_Input_Packaging[[#This Row],[Weight per unit (kg)]]</f>
        <v>0</v>
      </c>
      <c r="J102" s="8"/>
    </row>
    <row r="103" spans="1:10" ht="20.100000000000001" customHeight="1" x14ac:dyDescent="0.25">
      <c r="A103"/>
    </row>
    <row r="104" spans="1:10" ht="20.100000000000001" customHeight="1" x14ac:dyDescent="0.25">
      <c r="A104"/>
    </row>
    <row r="105" spans="1:10" ht="20.100000000000001" customHeight="1" x14ac:dyDescent="0.25">
      <c r="A105"/>
      <c r="D105" s="9" t="s">
        <v>691</v>
      </c>
    </row>
    <row r="106" spans="1:10" ht="20.100000000000001" customHeight="1" x14ac:dyDescent="0.25">
      <c r="A106"/>
      <c r="D106" s="12"/>
    </row>
    <row r="107" spans="1:10" ht="20.100000000000001" customHeight="1" x14ac:dyDescent="0.25">
      <c r="A107"/>
      <c r="D107" s="163" t="s">
        <v>692</v>
      </c>
      <c r="E107" s="163" t="s">
        <v>606</v>
      </c>
      <c r="F107" s="163" t="s">
        <v>125</v>
      </c>
      <c r="J107" s="8"/>
    </row>
    <row r="108" spans="1:10" ht="20.100000000000001" customHeight="1" x14ac:dyDescent="0.25">
      <c r="A108"/>
      <c r="D108" s="82" t="s">
        <v>694</v>
      </c>
      <c r="E108" s="66">
        <v>10000</v>
      </c>
      <c r="F108" s="47" t="s">
        <v>343</v>
      </c>
      <c r="J108" s="8"/>
    </row>
    <row r="109" spans="1:10" ht="20.100000000000001" customHeight="1" x14ac:dyDescent="0.25">
      <c r="A109"/>
      <c r="D109" s="82" t="s">
        <v>695</v>
      </c>
      <c r="E109" s="66">
        <v>100</v>
      </c>
      <c r="F109" s="47" t="s">
        <v>693</v>
      </c>
      <c r="J109" s="8"/>
    </row>
    <row r="110" spans="1:10" ht="20.100000000000001" customHeight="1" x14ac:dyDescent="0.25">
      <c r="A110"/>
      <c r="D110" s="82" t="s">
        <v>696</v>
      </c>
      <c r="E110" s="66">
        <v>10000</v>
      </c>
      <c r="F110" s="47" t="s">
        <v>343</v>
      </c>
      <c r="J110" s="8"/>
    </row>
    <row r="111" spans="1:10" ht="20.100000000000001" customHeight="1" x14ac:dyDescent="0.25">
      <c r="A111"/>
      <c r="D111" s="82"/>
      <c r="E111" s="66"/>
      <c r="F111" s="47"/>
      <c r="J111" s="8"/>
    </row>
    <row r="112" spans="1:10" ht="20.100000000000001" customHeight="1" x14ac:dyDescent="0.25">
      <c r="A112"/>
      <c r="D112" s="82"/>
      <c r="E112" s="66"/>
      <c r="F112" s="47"/>
      <c r="J112" s="8"/>
    </row>
    <row r="113" spans="1:16" ht="20.100000000000001" customHeight="1" x14ac:dyDescent="0.25">
      <c r="A113"/>
      <c r="D113" s="82"/>
      <c r="E113" s="66"/>
      <c r="F113" s="47"/>
      <c r="J113" s="8"/>
      <c r="L113" s="7"/>
      <c r="M113" s="7"/>
      <c r="N113" s="7"/>
      <c r="O113" s="7"/>
      <c r="P113" s="7"/>
    </row>
    <row r="114" spans="1:16" ht="20.100000000000001" customHeight="1" x14ac:dyDescent="0.25">
      <c r="A114"/>
      <c r="D114" s="82"/>
      <c r="E114" s="66"/>
      <c r="F114" s="47"/>
      <c r="J114" s="8"/>
      <c r="L114" s="7"/>
      <c r="M114" s="7"/>
      <c r="N114" s="7"/>
      <c r="O114" s="7"/>
      <c r="P114" s="7"/>
    </row>
    <row r="115" spans="1:16" ht="20.100000000000001" customHeight="1" x14ac:dyDescent="0.25">
      <c r="A115"/>
      <c r="D115" s="82"/>
      <c r="E115" s="66"/>
      <c r="F115" s="47"/>
      <c r="J115" s="8"/>
      <c r="L115" s="7"/>
      <c r="M115" s="7"/>
      <c r="N115" s="7"/>
      <c r="O115" s="7"/>
      <c r="P115" s="7"/>
    </row>
    <row r="116" spans="1:16" ht="20.100000000000001" customHeight="1" x14ac:dyDescent="0.25">
      <c r="A116"/>
      <c r="D116" s="82"/>
      <c r="E116" s="66"/>
      <c r="F116" s="47"/>
      <c r="I116" s="7"/>
      <c r="J116" s="8"/>
      <c r="N116" s="7"/>
      <c r="O116" s="7"/>
      <c r="P116" s="7"/>
    </row>
    <row r="117" spans="1:16" ht="20.100000000000001" customHeight="1" x14ac:dyDescent="0.25">
      <c r="A117"/>
      <c r="D117" s="82"/>
      <c r="E117" s="66"/>
      <c r="F117" s="47"/>
      <c r="I117" s="7"/>
      <c r="J117" s="8"/>
      <c r="N117" s="7"/>
      <c r="O117" s="7"/>
      <c r="P117" s="7"/>
    </row>
    <row r="118" spans="1:16" ht="20.100000000000001" customHeight="1" x14ac:dyDescent="0.25">
      <c r="A118"/>
      <c r="J118" s="7"/>
      <c r="N118" s="9"/>
      <c r="O118" s="9"/>
      <c r="P118" s="7"/>
    </row>
    <row r="119" spans="1:16" ht="20.100000000000001" customHeight="1" x14ac:dyDescent="0.25">
      <c r="A119"/>
      <c r="J119" s="7"/>
      <c r="P119" s="147"/>
    </row>
    <row r="120" spans="1:16" ht="20.100000000000001" customHeight="1" x14ac:dyDescent="0.25">
      <c r="A120"/>
      <c r="D120" s="9" t="s">
        <v>406</v>
      </c>
      <c r="J120" s="7"/>
      <c r="P120" s="147"/>
    </row>
    <row r="121" spans="1:16" ht="20.100000000000001" customHeight="1" x14ac:dyDescent="0.25">
      <c r="A121"/>
      <c r="D121" s="8" t="str">
        <f>'Constants - Scope 3'!E204</f>
        <v>Barley grain (for seed)</v>
      </c>
      <c r="E121" s="66">
        <v>500</v>
      </c>
      <c r="F121" s="65" t="s">
        <v>343</v>
      </c>
      <c r="J121" s="9"/>
      <c r="P121" s="147"/>
    </row>
    <row r="122" spans="1:16" ht="20.100000000000001" customHeight="1" x14ac:dyDescent="0.25">
      <c r="A122"/>
      <c r="D122" s="8" t="str">
        <f>'Constants - Scope 3'!E205</f>
        <v>Maize grain (for seed)</v>
      </c>
      <c r="E122" s="66">
        <v>600</v>
      </c>
      <c r="F122" s="65" t="s">
        <v>343</v>
      </c>
      <c r="G122" s="7"/>
      <c r="H122" s="8"/>
      <c r="J122" s="8"/>
      <c r="P122" s="147"/>
    </row>
    <row r="123" spans="1:16" ht="20.100000000000001" customHeight="1" x14ac:dyDescent="0.25">
      <c r="A123"/>
      <c r="D123" s="8" t="str">
        <f>'Constants - Scope 3'!E207</f>
        <v>Oat grain (for seed)</v>
      </c>
      <c r="E123" s="66">
        <v>700</v>
      </c>
      <c r="F123" s="65" t="s">
        <v>343</v>
      </c>
      <c r="G123" s="7"/>
      <c r="H123" s="8"/>
      <c r="J123" s="8"/>
      <c r="P123" s="147"/>
    </row>
    <row r="124" spans="1:16" ht="20.100000000000001" customHeight="1" x14ac:dyDescent="0.25">
      <c r="A124"/>
      <c r="D124" s="8" t="str">
        <f>'Constants - Scope 3'!E208</f>
        <v>Sorghum grain (for seed)</v>
      </c>
      <c r="E124" s="66">
        <v>800</v>
      </c>
      <c r="F124" s="65" t="s">
        <v>343</v>
      </c>
      <c r="G124" s="7"/>
      <c r="H124" s="7"/>
      <c r="J124" s="8"/>
      <c r="N124" s="7"/>
      <c r="O124" s="7"/>
      <c r="P124" s="7"/>
    </row>
    <row r="125" spans="1:16" ht="20.100000000000001" customHeight="1" x14ac:dyDescent="0.25">
      <c r="A125"/>
      <c r="D125" s="8" t="str">
        <f>'Constants - Scope 3'!E209</f>
        <v>Wheat grain (for seed)</v>
      </c>
      <c r="E125" s="66">
        <v>900</v>
      </c>
      <c r="F125" s="65" t="s">
        <v>343</v>
      </c>
      <c r="G125" s="7"/>
      <c r="H125" s="7"/>
      <c r="I125" s="7"/>
      <c r="J125" s="8"/>
      <c r="N125" s="7"/>
      <c r="O125" s="7"/>
      <c r="P125" s="7"/>
    </row>
    <row r="126" spans="1:16" ht="20.100000000000001" customHeight="1" x14ac:dyDescent="0.25">
      <c r="A126"/>
      <c r="G126" s="7"/>
      <c r="I126" s="7"/>
      <c r="J126" s="8"/>
    </row>
    <row r="127" spans="1:16" ht="20.100000000000001" customHeight="1" x14ac:dyDescent="0.25">
      <c r="A127"/>
      <c r="D127" s="9" t="s">
        <v>412</v>
      </c>
      <c r="G127" s="8"/>
      <c r="I127" s="7"/>
      <c r="J127" s="7"/>
    </row>
    <row r="128" spans="1:16" ht="20.100000000000001" customHeight="1" x14ac:dyDescent="0.25">
      <c r="A128"/>
      <c r="D128" s="8" t="str">
        <f>'Constants - Scope 3'!E202</f>
        <v>Animal ear tags (large)</v>
      </c>
      <c r="E128" s="66">
        <v>100</v>
      </c>
      <c r="F128" s="65" t="s">
        <v>399</v>
      </c>
      <c r="G128" s="8"/>
      <c r="I128" s="7"/>
      <c r="J128" s="7"/>
    </row>
    <row r="129" spans="1:13" ht="20.100000000000001" customHeight="1" x14ac:dyDescent="0.25">
      <c r="A129"/>
      <c r="D129" s="8" t="str">
        <f>'Constants - Scope 3'!E203</f>
        <v>Animal ear tags (small)</v>
      </c>
      <c r="E129" s="66">
        <v>200</v>
      </c>
      <c r="F129" s="65" t="s">
        <v>399</v>
      </c>
      <c r="G129" s="8"/>
      <c r="I129" s="7"/>
      <c r="L129" s="7"/>
      <c r="M129" s="7"/>
    </row>
    <row r="130" spans="1:13" ht="20.100000000000001" customHeight="1" x14ac:dyDescent="0.25">
      <c r="A130"/>
      <c r="D130" s="8" t="str">
        <f>'Constants - Scope 3'!E206</f>
        <v>Nylon netting</v>
      </c>
      <c r="E130" s="66">
        <v>300</v>
      </c>
      <c r="F130" s="65" t="s">
        <v>343</v>
      </c>
      <c r="G130" s="8"/>
      <c r="I130" s="7"/>
      <c r="L130" s="7"/>
      <c r="M130" s="7"/>
    </row>
    <row r="131" spans="1:13" ht="20.100000000000001" customHeight="1" x14ac:dyDescent="0.25">
      <c r="A131"/>
      <c r="G131" s="8"/>
      <c r="I131" s="8"/>
      <c r="L131" s="9"/>
      <c r="M131" s="9"/>
    </row>
    <row r="132" spans="1:13" ht="20.100000000000001" customHeight="1" x14ac:dyDescent="0.25">
      <c r="A132"/>
      <c r="G132" s="7"/>
      <c r="I132" s="8"/>
    </row>
    <row r="133" spans="1:13" ht="20.100000000000001" customHeight="1" x14ac:dyDescent="0.25">
      <c r="A133"/>
      <c r="D133" s="9" t="s">
        <v>600</v>
      </c>
      <c r="G133" s="7"/>
      <c r="I133" s="8"/>
    </row>
    <row r="134" spans="1:13" ht="20.100000000000001" customHeight="1" x14ac:dyDescent="0.25">
      <c r="A134"/>
      <c r="D134" s="12"/>
      <c r="I134" s="8"/>
    </row>
    <row r="135" spans="1:13" ht="20.100000000000001" customHeight="1" x14ac:dyDescent="0.25">
      <c r="A135"/>
      <c r="D135" s="46" t="s">
        <v>595</v>
      </c>
      <c r="E135" s="46" t="s">
        <v>594</v>
      </c>
      <c r="F135" s="46" t="s">
        <v>125</v>
      </c>
      <c r="I135" s="8"/>
    </row>
    <row r="136" spans="1:13" ht="20.100000000000001" customHeight="1" x14ac:dyDescent="0.25">
      <c r="A136"/>
      <c r="D136" s="82" t="s">
        <v>697</v>
      </c>
      <c r="E136" s="66">
        <v>1000</v>
      </c>
      <c r="F136" s="82" t="s">
        <v>343</v>
      </c>
      <c r="I136" s="7"/>
    </row>
    <row r="137" spans="1:13" ht="20.100000000000001" customHeight="1" x14ac:dyDescent="0.25">
      <c r="A137"/>
      <c r="D137" s="82"/>
      <c r="E137" s="66"/>
      <c r="F137" s="82"/>
      <c r="I137" s="7"/>
      <c r="L137" s="7"/>
      <c r="M137" s="7"/>
    </row>
    <row r="138" spans="1:13" ht="20.100000000000001" customHeight="1" x14ac:dyDescent="0.25">
      <c r="A138"/>
      <c r="D138" s="82"/>
      <c r="E138" s="66"/>
      <c r="F138" s="82"/>
      <c r="L138" s="7"/>
      <c r="M138" s="7"/>
    </row>
    <row r="139" spans="1:13" ht="20.100000000000001" customHeight="1" x14ac:dyDescent="0.25">
      <c r="A139"/>
      <c r="D139" s="82"/>
      <c r="E139" s="66"/>
      <c r="F139" s="82"/>
    </row>
    <row r="140" spans="1:13" ht="20.100000000000001" customHeight="1" x14ac:dyDescent="0.25">
      <c r="A140"/>
      <c r="D140" s="82"/>
      <c r="E140" s="66"/>
      <c r="F140" s="82"/>
    </row>
    <row r="141" spans="1:13" ht="20.100000000000001" customHeight="1" x14ac:dyDescent="0.25">
      <c r="A141"/>
      <c r="D141" s="82"/>
      <c r="E141" s="66"/>
      <c r="F141" s="82"/>
    </row>
    <row r="142" spans="1:13" ht="20.100000000000001" customHeight="1" x14ac:dyDescent="0.25">
      <c r="A142"/>
      <c r="D142" s="82"/>
      <c r="E142" s="66"/>
      <c r="F142" s="82"/>
    </row>
    <row r="143" spans="1:13" ht="20.100000000000001" customHeight="1" x14ac:dyDescent="0.25">
      <c r="A143"/>
      <c r="D143" s="82"/>
      <c r="E143" s="66"/>
      <c r="F143" s="82"/>
    </row>
    <row r="144" spans="1:13" ht="20.100000000000001" customHeight="1" x14ac:dyDescent="0.25">
      <c r="A144"/>
      <c r="D144" s="82"/>
      <c r="E144" s="66"/>
      <c r="F144" s="82"/>
    </row>
    <row r="145" spans="1:6" ht="20.100000000000001" customHeight="1" x14ac:dyDescent="0.25">
      <c r="A145"/>
      <c r="D145" s="82"/>
      <c r="E145" s="66"/>
      <c r="F145" s="82"/>
    </row>
    <row r="146" spans="1:6" ht="20.100000000000001" customHeight="1" x14ac:dyDescent="0.25">
      <c r="A146"/>
    </row>
    <row r="147" spans="1:6" ht="20.100000000000001" customHeight="1" x14ac:dyDescent="0.25">
      <c r="A147"/>
    </row>
    <row r="148" spans="1:6" ht="20.100000000000001" customHeight="1" x14ac:dyDescent="0.25">
      <c r="A148"/>
    </row>
    <row r="149" spans="1:6" ht="20.100000000000001" customHeight="1" x14ac:dyDescent="0.25">
      <c r="A149"/>
    </row>
    <row r="150" spans="1:6" ht="20.100000000000001" customHeight="1" x14ac:dyDescent="0.25">
      <c r="A150"/>
    </row>
    <row r="151" spans="1:6" ht="20.100000000000001" customHeight="1" x14ac:dyDescent="0.25">
      <c r="A151"/>
    </row>
    <row r="152" spans="1:6" ht="20.100000000000001" customHeight="1" x14ac:dyDescent="0.25">
      <c r="A152"/>
    </row>
    <row r="153" spans="1:6" ht="20.100000000000001" customHeight="1" x14ac:dyDescent="0.25">
      <c r="A153"/>
    </row>
    <row r="154" spans="1:6" ht="20.100000000000001" customHeight="1" x14ac:dyDescent="0.25">
      <c r="A154"/>
    </row>
    <row r="155" spans="1:6" ht="20.100000000000001" customHeight="1" x14ac:dyDescent="0.25">
      <c r="A155"/>
    </row>
    <row r="156" spans="1:6" ht="20.100000000000001" customHeight="1" x14ac:dyDescent="0.25">
      <c r="A156"/>
    </row>
    <row r="157" spans="1:6" ht="20.100000000000001" customHeight="1" x14ac:dyDescent="0.25">
      <c r="A157"/>
    </row>
    <row r="158" spans="1:6" ht="20.100000000000001" customHeight="1" x14ac:dyDescent="0.25">
      <c r="A158"/>
    </row>
    <row r="159" spans="1:6" ht="20.100000000000001" customHeight="1" x14ac:dyDescent="0.25">
      <c r="A159"/>
    </row>
    <row r="160" spans="1:6" ht="20.100000000000001" customHeight="1" x14ac:dyDescent="0.25">
      <c r="A160"/>
    </row>
    <row r="161" spans="11:19" ht="20.100000000000001" customHeight="1" x14ac:dyDescent="0.25"/>
    <row r="162" spans="11:19" ht="20.100000000000001" customHeight="1" x14ac:dyDescent="0.25"/>
    <row r="163" spans="11:19" ht="20.100000000000001" customHeight="1" x14ac:dyDescent="0.25"/>
    <row r="164" spans="11:19" ht="20.100000000000001" customHeight="1" x14ac:dyDescent="0.25"/>
    <row r="165" spans="11:19" ht="20.100000000000001" customHeight="1" x14ac:dyDescent="0.25">
      <c r="S165" s="3"/>
    </row>
    <row r="166" spans="11:19" ht="20.100000000000001" customHeight="1" x14ac:dyDescent="0.25">
      <c r="S166" s="3"/>
    </row>
    <row r="167" spans="11:19" ht="20.100000000000001" customHeight="1" x14ac:dyDescent="0.25">
      <c r="S167" s="3"/>
    </row>
    <row r="168" spans="11:19" ht="20.100000000000001" customHeight="1" x14ac:dyDescent="0.25">
      <c r="S168" s="3"/>
    </row>
    <row r="169" spans="11:19" ht="20.100000000000001" customHeight="1" x14ac:dyDescent="0.25">
      <c r="S169" s="3"/>
    </row>
    <row r="170" spans="11:19" ht="20.100000000000001" customHeight="1" x14ac:dyDescent="0.25">
      <c r="S170" s="3"/>
    </row>
    <row r="171" spans="11:19" ht="20.100000000000001" customHeight="1" x14ac:dyDescent="0.25">
      <c r="S171" s="3"/>
    </row>
    <row r="172" spans="11:19" ht="20.100000000000001" customHeight="1" x14ac:dyDescent="0.25">
      <c r="S172" s="3"/>
    </row>
    <row r="173" spans="11:19" ht="20.100000000000001" customHeight="1" x14ac:dyDescent="0.25">
      <c r="S173" s="3"/>
    </row>
    <row r="174" spans="11:19" ht="20.100000000000001" customHeight="1" x14ac:dyDescent="0.25">
      <c r="S174" s="3"/>
    </row>
    <row r="175" spans="11:19" ht="20.100000000000001" customHeight="1" x14ac:dyDescent="0.25">
      <c r="S175" s="3"/>
    </row>
    <row r="176" spans="11:19" ht="20.100000000000001" customHeight="1" x14ac:dyDescent="0.25">
      <c r="K176" s="7"/>
    </row>
    <row r="177" spans="11:19" ht="20.100000000000001" customHeight="1" x14ac:dyDescent="0.25">
      <c r="K177" s="7"/>
    </row>
    <row r="178" spans="11:19" ht="20.100000000000001" customHeight="1" x14ac:dyDescent="0.25"/>
    <row r="179" spans="11:19" ht="20.100000000000001" customHeight="1" x14ac:dyDescent="0.25"/>
    <row r="180" spans="11:19" ht="20.100000000000001" customHeight="1" x14ac:dyDescent="0.25">
      <c r="S180" s="3"/>
    </row>
    <row r="181" spans="11:19" ht="20.100000000000001" customHeight="1" x14ac:dyDescent="0.25">
      <c r="S181" s="3"/>
    </row>
    <row r="182" spans="11:19" ht="20.100000000000001" customHeight="1" x14ac:dyDescent="0.25">
      <c r="S182" s="3"/>
    </row>
    <row r="183" spans="11:19" ht="20.100000000000001" customHeight="1" x14ac:dyDescent="0.25">
      <c r="S183" s="3"/>
    </row>
    <row r="184" spans="11:19" ht="20.100000000000001" customHeight="1" x14ac:dyDescent="0.25">
      <c r="S184" s="3"/>
    </row>
    <row r="185" spans="11:19" ht="20.100000000000001" customHeight="1" x14ac:dyDescent="0.25">
      <c r="S185" s="3"/>
    </row>
    <row r="186" spans="11:19" ht="20.100000000000001" customHeight="1" x14ac:dyDescent="0.25">
      <c r="S186" s="3"/>
    </row>
    <row r="187" spans="11:19" ht="20.100000000000001" customHeight="1" x14ac:dyDescent="0.25">
      <c r="S187" s="3"/>
    </row>
    <row r="188" spans="11:19" ht="20.100000000000001" customHeight="1" x14ac:dyDescent="0.25">
      <c r="S188" s="3"/>
    </row>
    <row r="189" spans="11:19" ht="20.100000000000001" customHeight="1" x14ac:dyDescent="0.25">
      <c r="S189" s="3"/>
    </row>
    <row r="190" spans="11:19" ht="20.100000000000001" customHeight="1" x14ac:dyDescent="0.25">
      <c r="S190" s="3"/>
    </row>
    <row r="191" spans="11:19" ht="20.100000000000001" customHeight="1" x14ac:dyDescent="0.25"/>
    <row r="192" spans="11:19"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sheetData>
  <phoneticPr fontId="52" type="noConversion"/>
  <dataValidations count="11">
    <dataValidation type="list" allowBlank="1" showInputMessage="1" showErrorMessage="1" sqref="E24:E33" xr:uid="{C432D3D7-90B5-49EB-9686-44E33AA46DF7}">
      <formula1>INDIRECT("Table_SourceData_Scope3_ChemicalsCleaning[Product]")</formula1>
    </dataValidation>
    <dataValidation type="list" allowBlank="1" showInputMessage="1" showErrorMessage="1" sqref="F93:F102" xr:uid="{C1194F4C-B4BA-4C6C-9335-96226E3C874D}">
      <formula1>INDIRECT("Table_SourceData_Scope3_Packaging[Product]")</formula1>
    </dataValidation>
    <dataValidation type="list" allowBlank="1" showInputMessage="1" showErrorMessage="1" sqref="J11:J20 M11:M20 P11:P20" xr:uid="{4EB7609B-9081-416E-B296-83CB5579804F}">
      <formula1>INDIRECT("Table_SourceData_Scope3_Pesticides[Product]")</formula1>
    </dataValidation>
    <dataValidation type="list" allowBlank="1" showInputMessage="1" showErrorMessage="1" sqref="I11:I20" xr:uid="{8108ECDB-1F4C-43F2-85A5-19117852A987}">
      <formula1>"grams/litre or grams/kg, fraction of product"</formula1>
    </dataValidation>
    <dataValidation type="list" allowBlank="1" showInputMessage="1" showErrorMessage="1" sqref="F11:F20" xr:uid="{3E384BB8-0CCC-45EA-83A2-5F436B025D10}">
      <formula1>"kg / hectare, litre / hectare"</formula1>
    </dataValidation>
    <dataValidation type="list" allowBlank="1" showInputMessage="1" showErrorMessage="1" sqref="E37:E46" xr:uid="{F14848CE-F457-49B7-A95E-514E2B530B92}">
      <formula1>INDIRECT("Table_SourceData_Scope3_ChemicalsPharmacy[Product]")</formula1>
    </dataValidation>
    <dataValidation type="list" allowBlank="1" showInputMessage="1" showErrorMessage="1" sqref="G78:G87" xr:uid="{92F419C3-BB6B-4ED0-BE3F-195DAC4808A6}">
      <formula1>"Hour, Hectare"</formula1>
    </dataValidation>
    <dataValidation type="list" allowBlank="1" showInputMessage="1" showErrorMessage="1" sqref="M63:M72 P63:P72 J63:J72 G63:G72" xr:uid="{299DE751-C45B-453E-A22E-D9874EC037B6}">
      <formula1>INDIRECT("Table_ProductRegions_" &amp; SUBSTITUTE(SUBSTITUTE(SUBSTITUTE(SUBSTITUTE(F63, " ", ""), ",", ""), "(", ""), ")", "") &amp; "[Region]")</formula1>
    </dataValidation>
    <dataValidation type="list" allowBlank="1" showInputMessage="1" showErrorMessage="1" sqref="F63:F72 I63:I72 L63:L72 O63:O72" xr:uid="{1054A587-AE3C-4093-8FA5-82F7F165672F}">
      <formula1>INDIRECT(_xlfn.UNIQUE("Table_SourceData_Scope3_Feed[Product]"))</formula1>
    </dataValidation>
    <dataValidation type="list" allowBlank="1" showInputMessage="1" showErrorMessage="1" sqref="N122:N123 H122:H123 J125:J126 L135:L136" xr:uid="{0AD8851A-09E8-483B-9827-926349C05F01}">
      <formula1>INDIRECT("Table_Scope3_AquacultureFeedBait[Feed / Bait ingredient]")</formula1>
    </dataValidation>
    <dataValidation type="list" allowBlank="1" showInputMessage="1" showErrorMessage="1" sqref="F108:F117" xr:uid="{9C8B3973-FAC4-43D3-9591-1F01F0AB4558}">
      <formula1>"kg, m3"</formula1>
    </dataValidation>
  </dataValidations>
  <pageMargins left="0.7" right="0.7" top="0.75" bottom="0.75" header="0.3" footer="0.3"/>
  <pageSetup orientation="portrait" r:id="rId1"/>
  <tableParts count="8">
    <tablePart r:id="rId2"/>
    <tablePart r:id="rId3"/>
    <tablePart r:id="rId4"/>
    <tablePart r:id="rId5"/>
    <tablePart r:id="rId6"/>
    <tablePart r:id="rId7"/>
    <tablePart r:id="rId8"/>
    <tablePart r:id="rId9"/>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4AF18-D064-4E84-8820-6C85F9EE7D8E}">
  <sheetPr>
    <tabColor theme="5" tint="-0.249977111117893"/>
  </sheetPr>
  <dimension ref="A1:L63"/>
  <sheetViews>
    <sheetView showGridLines="0" zoomScaleNormal="100" workbookViewId="0">
      <selection activeCell="A41" sqref="A41"/>
    </sheetView>
  </sheetViews>
  <sheetFormatPr defaultRowHeight="15.75" x14ac:dyDescent="0.25"/>
  <cols>
    <col min="1" max="1" width="30.625" customWidth="1"/>
    <col min="2" max="2" width="4.625" customWidth="1"/>
    <col min="3" max="3" width="4.625" style="8" customWidth="1"/>
    <col min="4" max="11" width="30.625" style="8" customWidth="1"/>
    <col min="12" max="12" width="4.625" style="8" customWidth="1"/>
    <col min="13" max="16" width="30.625" customWidth="1"/>
  </cols>
  <sheetData>
    <row r="1" spans="1:12" ht="25.5" x14ac:dyDescent="0.35">
      <c r="A1" s="37" t="e" vm="1">
        <v>#VALUE!</v>
      </c>
      <c r="B1" s="3"/>
      <c r="C1" s="37" t="s">
        <v>850</v>
      </c>
      <c r="D1" s="37"/>
      <c r="E1" s="37"/>
      <c r="F1" s="37"/>
      <c r="G1" s="37"/>
      <c r="H1" s="37"/>
      <c r="I1" s="37"/>
      <c r="J1" s="37"/>
      <c r="K1" s="37"/>
      <c r="L1" s="37"/>
    </row>
    <row r="2" spans="1:12" x14ac:dyDescent="0.25">
      <c r="C2" s="2"/>
      <c r="D2" s="2"/>
      <c r="E2" s="2"/>
      <c r="F2" s="2"/>
      <c r="G2" s="2"/>
      <c r="H2" s="2"/>
      <c r="I2" s="2"/>
      <c r="J2" s="2"/>
      <c r="K2" s="2"/>
      <c r="L2" s="2"/>
    </row>
    <row r="3" spans="1:12" ht="20.25" x14ac:dyDescent="0.25">
      <c r="A3" s="16" t="str">
        <f>HYPERLINK("#'Overview'!A1", "Overview")</f>
        <v>Overview</v>
      </c>
      <c r="C3" s="38"/>
      <c r="D3" s="38"/>
      <c r="E3" s="38"/>
      <c r="F3" s="38"/>
      <c r="G3" s="38"/>
      <c r="H3" s="38"/>
      <c r="I3" s="38"/>
      <c r="J3" s="38"/>
      <c r="K3" s="38"/>
      <c r="L3" s="38"/>
    </row>
    <row r="4" spans="1:12" x14ac:dyDescent="0.25">
      <c r="A4" s="16" t="str">
        <f>HYPERLINK("#'Results'!A1", "Results")</f>
        <v>Results</v>
      </c>
    </row>
    <row r="5" spans="1:12" ht="23.25" x14ac:dyDescent="0.25">
      <c r="D5" s="9" t="s">
        <v>420</v>
      </c>
      <c r="E5" s="14"/>
      <c r="F5" s="14"/>
      <c r="G5" s="14"/>
      <c r="H5" s="14"/>
      <c r="I5" s="14"/>
      <c r="J5" s="14"/>
    </row>
    <row r="6" spans="1:12" ht="18.75" x14ac:dyDescent="0.25">
      <c r="D6" s="144" t="s">
        <v>318</v>
      </c>
      <c r="E6" s="14"/>
      <c r="F6" s="14"/>
      <c r="G6" s="14"/>
      <c r="H6" s="14"/>
      <c r="I6" s="14"/>
      <c r="J6" s="14"/>
    </row>
    <row r="7" spans="1:12" x14ac:dyDescent="0.25">
      <c r="A7" s="19" t="s">
        <v>67</v>
      </c>
      <c r="D7" s="10" t="s">
        <v>351</v>
      </c>
      <c r="E7" s="10" t="s">
        <v>424</v>
      </c>
      <c r="F7" s="10" t="s">
        <v>316</v>
      </c>
      <c r="G7" s="10" t="s">
        <v>421</v>
      </c>
      <c r="H7" s="10" t="s">
        <v>319</v>
      </c>
      <c r="I7" s="10" t="s">
        <v>317</v>
      </c>
      <c r="J7" s="161" t="s">
        <v>422</v>
      </c>
      <c r="K7" s="161" t="s">
        <v>423</v>
      </c>
    </row>
    <row r="8" spans="1:12" x14ac:dyDescent="0.25">
      <c r="A8" s="16" t="str">
        <f>HYPERLINK("#'Input - Site'!A1", "Site")</f>
        <v>Site</v>
      </c>
      <c r="D8" s="82" t="s">
        <v>511</v>
      </c>
      <c r="E8" s="157">
        <v>45547</v>
      </c>
      <c r="F8" s="47" t="s">
        <v>482</v>
      </c>
      <c r="G8" s="72" t="s">
        <v>327</v>
      </c>
      <c r="H8" s="47" t="s">
        <v>430</v>
      </c>
      <c r="I8" s="66">
        <v>100</v>
      </c>
      <c r="J8" s="49" cm="1">
        <f t="array" ref="J8">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210</v>
      </c>
      <c r="K8" s="66">
        <v>205</v>
      </c>
    </row>
    <row r="9" spans="1:12" x14ac:dyDescent="0.25">
      <c r="A9" s="16" t="str">
        <f>HYPERLINK("#'Input - Fuel'!A1", "Fuel")</f>
        <v>Fuel</v>
      </c>
      <c r="D9" s="82"/>
      <c r="E9" s="157">
        <v>45292</v>
      </c>
      <c r="F9" s="148" t="s">
        <v>483</v>
      </c>
      <c r="G9" s="72" t="s">
        <v>326</v>
      </c>
      <c r="H9" s="47" t="s">
        <v>429</v>
      </c>
      <c r="I9" s="66">
        <v>100</v>
      </c>
      <c r="J9" s="49" cm="1">
        <f t="array" ref="J9">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470</v>
      </c>
      <c r="K9" s="66">
        <v>465</v>
      </c>
    </row>
    <row r="10" spans="1:12" x14ac:dyDescent="0.25">
      <c r="A10" s="16" t="str">
        <f>HYPERLINK("#'Input - Fertiliser'!A1", "Fertiliser")</f>
        <v>Fertiliser</v>
      </c>
      <c r="D10" s="82"/>
      <c r="E10" s="82"/>
      <c r="F10" s="148"/>
      <c r="G10" s="72"/>
      <c r="H10" s="47"/>
      <c r="I10" s="66"/>
      <c r="J10" s="49" cm="1">
        <f t="array" ref="J10">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0" s="66"/>
    </row>
    <row r="11" spans="1:12" x14ac:dyDescent="0.25">
      <c r="A11" s="16" t="str">
        <f>HYPERLINK("#'Input - Farm Inputs'!A1", "Farm Inputs")</f>
        <v>Farm Inputs</v>
      </c>
      <c r="D11" s="82"/>
      <c r="E11" s="82"/>
      <c r="F11" s="148"/>
      <c r="G11" s="72"/>
      <c r="H11" s="47"/>
      <c r="I11" s="66"/>
      <c r="J11" s="49" cm="1">
        <f t="array" ref="J1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1" s="66"/>
    </row>
    <row r="12" spans="1:12" x14ac:dyDescent="0.25">
      <c r="A12" s="42" t="str">
        <f>HYPERLINK("#'Input - Beef cattle purchases'!A1", "Beef cattle purchases")</f>
        <v>Beef cattle purchases</v>
      </c>
      <c r="D12" s="82"/>
      <c r="E12" s="82"/>
      <c r="F12" s="148"/>
      <c r="G12" s="72"/>
      <c r="H12" s="47"/>
      <c r="I12" s="66"/>
      <c r="J12" s="49" cm="1">
        <f t="array" ref="J12">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2" s="66"/>
    </row>
    <row r="13" spans="1:12" x14ac:dyDescent="0.25">
      <c r="A13" s="16" t="str">
        <f>HYPERLINK("#'Input - Dairy cattle purchases'!A1", "Dairy cattle purchases")</f>
        <v>Dairy cattle purchases</v>
      </c>
      <c r="D13" s="82"/>
      <c r="E13" s="82"/>
      <c r="F13" s="148"/>
      <c r="G13" s="72"/>
      <c r="H13" s="47"/>
      <c r="I13" s="66"/>
      <c r="J13" s="49" cm="1">
        <f t="array" ref="J13">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3" s="66"/>
    </row>
    <row r="14" spans="1:12" x14ac:dyDescent="0.25">
      <c r="A14" s="16" t="str">
        <f>HYPERLINK("#'Input - Pig purchases'!A1", "Pig purchases")</f>
        <v>Pig purchases</v>
      </c>
      <c r="D14" s="82"/>
      <c r="E14" s="82"/>
      <c r="F14" s="148"/>
      <c r="G14" s="72"/>
      <c r="H14" s="47"/>
      <c r="I14" s="66"/>
      <c r="J14" s="49" cm="1">
        <f t="array" ref="J14">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4" s="66"/>
    </row>
    <row r="15" spans="1:12" x14ac:dyDescent="0.25">
      <c r="A15" s="16" t="str">
        <f>HYPERLINK("#'Input - Poultry purchases'!A1", "Poultry purchases")</f>
        <v>Poultry purchases</v>
      </c>
      <c r="D15" s="82"/>
      <c r="E15" s="82"/>
      <c r="F15" s="148"/>
      <c r="G15" s="72"/>
      <c r="H15" s="47"/>
      <c r="I15" s="66"/>
      <c r="J15" s="49" cm="1">
        <f t="array" ref="J15">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5" s="66"/>
    </row>
    <row r="16" spans="1:12" x14ac:dyDescent="0.25">
      <c r="A16" s="16" t="str">
        <f>HYPERLINK("#'Input - Freight'!A1", "Freight")</f>
        <v>Freight</v>
      </c>
      <c r="D16" s="82"/>
      <c r="E16" s="82"/>
      <c r="F16" s="148"/>
      <c r="G16" s="72"/>
      <c r="H16" s="47"/>
      <c r="I16" s="66"/>
      <c r="J16" s="49" cm="1">
        <f t="array" ref="J16">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6" s="66"/>
    </row>
    <row r="17" spans="1:11" x14ac:dyDescent="0.25">
      <c r="A17" s="16" t="str">
        <f>HYPERLINK("#'Input - Solid waste'!A1", "Solid waste")</f>
        <v>Solid waste</v>
      </c>
      <c r="D17" s="82"/>
      <c r="E17" s="82"/>
      <c r="F17" s="148"/>
      <c r="G17" s="72"/>
      <c r="H17" s="47"/>
      <c r="I17" s="66"/>
      <c r="J17" s="49" cm="1">
        <f t="array" ref="J17">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f>
        <v>0</v>
      </c>
      <c r="K17" s="66"/>
    </row>
    <row r="18" spans="1:11" x14ac:dyDescent="0.25">
      <c r="A18" s="16" t="str">
        <f>HYPERLINK("#'Input - Manure sent off-site'!A1", "Manure sent off-site")</f>
        <v>Manure sent off-site</v>
      </c>
      <c r="D18" s="14"/>
      <c r="E18" s="14"/>
      <c r="F18" s="14"/>
      <c r="G18" s="14"/>
      <c r="H18" s="14"/>
      <c r="I18" s="14"/>
      <c r="J18" s="14"/>
    </row>
    <row r="19" spans="1:11" x14ac:dyDescent="0.25">
      <c r="A19" s="16" t="str">
        <f>HYPERLINK("#'Input - Electricity'!A1", "Electricity")</f>
        <v>Electricity</v>
      </c>
      <c r="J19" s="14"/>
    </row>
    <row r="20" spans="1:11" x14ac:dyDescent="0.25">
      <c r="J20" s="14"/>
    </row>
    <row r="21" spans="1:11" x14ac:dyDescent="0.25">
      <c r="J21" s="14"/>
    </row>
    <row r="22" spans="1:11" x14ac:dyDescent="0.25">
      <c r="A22" s="21" t="s">
        <v>77</v>
      </c>
      <c r="J22" s="14"/>
    </row>
    <row r="23" spans="1:11" x14ac:dyDescent="0.25">
      <c r="A23" s="16" t="str">
        <f>HYPERLINK("#'15 Scope 3'!A1", "15 Scope 3")</f>
        <v>15 Scope 3</v>
      </c>
      <c r="J23" s="14"/>
    </row>
    <row r="24" spans="1:11" x14ac:dyDescent="0.25">
      <c r="A24" s="16" t="str">
        <f>HYPERLINK("#'10.1.1-2 Solid waste treatment'!A1", "10.1.1-2 Solid waste treatment")</f>
        <v>10.1.1-2 Solid waste treatment</v>
      </c>
      <c r="J24" s="14"/>
    </row>
    <row r="25" spans="1:11" x14ac:dyDescent="0.25">
      <c r="A25" s="16" t="str">
        <f>HYPERLINK("#'Calcs - Manure sent off-site'!A1", "Calcs - Manure sent off-site")</f>
        <v>Calcs - Manure sent off-site</v>
      </c>
      <c r="J25" s="14"/>
    </row>
    <row r="26" spans="1:11" x14ac:dyDescent="0.25">
      <c r="A26" s="16" t="str">
        <f>HYPERLINK("#'8.1.1.1-2 Transport fuel'!A1", "8.1.1.1-2 Transport fuel")</f>
        <v>8.1.1.1-2 Transport fuel</v>
      </c>
      <c r="J26" s="14"/>
    </row>
    <row r="27" spans="1:11" x14ac:dyDescent="0.25">
      <c r="A27" s="16" t="str">
        <f>HYPERLINK("#'8.2.1.1-2 Stationary fuel'!A1", "8.2.1.1-2 Stationary fuel")</f>
        <v>8.2.1.1-2 Stationary fuel</v>
      </c>
      <c r="J27" s="14"/>
    </row>
    <row r="28" spans="1:11" x14ac:dyDescent="0.25">
      <c r="J28" s="14"/>
    </row>
    <row r="29" spans="1:11" x14ac:dyDescent="0.25">
      <c r="J29" s="14"/>
    </row>
    <row r="30" spans="1:11" x14ac:dyDescent="0.25">
      <c r="A30" s="221" t="s">
        <v>78</v>
      </c>
      <c r="J30" s="14"/>
    </row>
    <row r="31" spans="1:11" x14ac:dyDescent="0.25">
      <c r="A31" s="16" t="str">
        <f>HYPERLINK("#'Constants - Scope 3'!A1", "Constants - Scope 3")</f>
        <v>Constants - Scope 3</v>
      </c>
      <c r="D31" s="14"/>
      <c r="E31" s="14"/>
      <c r="F31" s="14"/>
      <c r="G31" s="14"/>
      <c r="H31" s="14"/>
      <c r="I31" s="14"/>
      <c r="J31" s="14"/>
    </row>
    <row r="32" spans="1:11" x14ac:dyDescent="0.25">
      <c r="A32" s="16" t="str">
        <f>HYPERLINK("#'Constants - Solid Waste'!A1", "Constants - Solid Waste")</f>
        <v>Constants - Solid Waste</v>
      </c>
      <c r="I32" s="14"/>
      <c r="J32" s="14"/>
    </row>
    <row r="33" spans="1:10" x14ac:dyDescent="0.25">
      <c r="A33" s="16" t="str">
        <f>HYPERLINK("#'Constants - Fuel'!A1", "Constants - Fuel")</f>
        <v>Constants - Fuel</v>
      </c>
      <c r="I33" s="14"/>
      <c r="J33" s="14"/>
    </row>
    <row r="34" spans="1:10" x14ac:dyDescent="0.25">
      <c r="A34" s="16" t="str">
        <f>HYPERLINK("#'Constants - Poultry'!A1", "Constants - Poultry")</f>
        <v>Constants - Poultry</v>
      </c>
      <c r="I34" s="14"/>
      <c r="J34" s="14"/>
    </row>
    <row r="35" spans="1:10" x14ac:dyDescent="0.25">
      <c r="A35" s="16" t="str">
        <f>HYPERLINK("#'Constants - Swine'!A1", "Constants - Swine")</f>
        <v>Constants - Swine</v>
      </c>
      <c r="I35" s="14"/>
      <c r="J35" s="14"/>
    </row>
    <row r="36" spans="1:10" x14ac:dyDescent="0.25">
      <c r="A36" s="16" t="str">
        <f>HYPERLINK("#'Constants - Dairy'!A1", "Constants - Dairy")</f>
        <v>Constants - Dairy</v>
      </c>
      <c r="I36" s="14"/>
      <c r="J36" s="14"/>
    </row>
    <row r="37" spans="1:10" x14ac:dyDescent="0.25">
      <c r="A37" s="16" t="str">
        <f>HYPERLINK("#'Constants - Pasture Beef'!A1", "Constants - Pasture Beef")</f>
        <v>Constants - Pasture Beef</v>
      </c>
      <c r="I37" s="14"/>
      <c r="J37" s="14"/>
    </row>
    <row r="38" spans="1:10" x14ac:dyDescent="0.25">
      <c r="A38" s="16" t="str">
        <f>HYPERLINK("#'Constants - Common Livestock'!A1", "Constants - Common Livestock")</f>
        <v>Constants - Common Livestock</v>
      </c>
      <c r="I38" s="14"/>
      <c r="J38" s="14"/>
    </row>
    <row r="39" spans="1:10" x14ac:dyDescent="0.25">
      <c r="A39" s="16" t="str">
        <f>HYPERLINK("#'Constants - Fertiliser'!A1", "Constants - Fertiliser")</f>
        <v>Constants - Fertiliser</v>
      </c>
      <c r="I39" s="14"/>
      <c r="J39" s="14"/>
    </row>
    <row r="40" spans="1:10" x14ac:dyDescent="0.25">
      <c r="A40" s="16" t="str">
        <f>HYPERLINK("#'Constants - Electricity'!A1", "Constants - Electricity")</f>
        <v>Constants - Electricity</v>
      </c>
      <c r="I40" s="14"/>
      <c r="J40" s="14"/>
    </row>
    <row r="41" spans="1:10" x14ac:dyDescent="0.25">
      <c r="A41" s="16" t="str">
        <f>HYPERLINK("#'Constants - Common'!A1", "Constants - Common")</f>
        <v>Constants - Common</v>
      </c>
      <c r="I41" s="14"/>
      <c r="J41" s="14"/>
    </row>
    <row r="42" spans="1:10" x14ac:dyDescent="0.25">
      <c r="I42" s="14"/>
      <c r="J42" s="14"/>
    </row>
    <row r="43" spans="1:10" x14ac:dyDescent="0.25">
      <c r="I43" s="14"/>
      <c r="J43" s="14"/>
    </row>
    <row r="44" spans="1:10" x14ac:dyDescent="0.25">
      <c r="D44" s="14"/>
      <c r="E44" s="14"/>
      <c r="F44" s="14"/>
      <c r="G44" s="14"/>
      <c r="H44" s="14"/>
      <c r="I44" s="14"/>
      <c r="J44" s="14"/>
    </row>
    <row r="45" spans="1:10" x14ac:dyDescent="0.25">
      <c r="I45" s="14"/>
      <c r="J45" s="14"/>
    </row>
    <row r="46" spans="1:10" x14ac:dyDescent="0.25">
      <c r="I46" s="14"/>
      <c r="J46" s="14"/>
    </row>
    <row r="47" spans="1:10" x14ac:dyDescent="0.25">
      <c r="I47" s="14"/>
      <c r="J47" s="14"/>
    </row>
    <row r="48" spans="1:10" x14ac:dyDescent="0.25">
      <c r="I48" s="14"/>
      <c r="J48" s="14"/>
    </row>
    <row r="49" spans="4:10" x14ac:dyDescent="0.25">
      <c r="I49" s="14"/>
      <c r="J49" s="14"/>
    </row>
    <row r="50" spans="4:10" x14ac:dyDescent="0.25">
      <c r="I50" s="14"/>
      <c r="J50" s="14"/>
    </row>
    <row r="51" spans="4:10" x14ac:dyDescent="0.25">
      <c r="I51" s="14"/>
      <c r="J51" s="14"/>
    </row>
    <row r="52" spans="4:10" x14ac:dyDescent="0.25">
      <c r="I52" s="14"/>
      <c r="J52" s="14"/>
    </row>
    <row r="53" spans="4:10" x14ac:dyDescent="0.25">
      <c r="I53" s="14"/>
      <c r="J53" s="14"/>
    </row>
    <row r="54" spans="4:10" x14ac:dyDescent="0.25">
      <c r="I54" s="14"/>
      <c r="J54" s="14"/>
    </row>
    <row r="55" spans="4:10" x14ac:dyDescent="0.25">
      <c r="I55" s="14"/>
      <c r="J55" s="14"/>
    </row>
    <row r="56" spans="4:10" x14ac:dyDescent="0.25">
      <c r="I56" s="14"/>
      <c r="J56" s="14"/>
    </row>
    <row r="57" spans="4:10" x14ac:dyDescent="0.25">
      <c r="D57" s="14"/>
      <c r="E57" s="14"/>
      <c r="F57" s="14"/>
      <c r="G57" s="14"/>
      <c r="H57" s="14"/>
      <c r="I57" s="14"/>
      <c r="J57" s="14"/>
    </row>
    <row r="58" spans="4:10" ht="18.75" x14ac:dyDescent="0.25">
      <c r="D58" s="144"/>
      <c r="E58" s="14"/>
      <c r="F58" s="14"/>
      <c r="G58" s="14"/>
      <c r="H58" s="14"/>
      <c r="I58" s="14"/>
      <c r="J58" s="14"/>
    </row>
    <row r="59" spans="4:10" x14ac:dyDescent="0.25">
      <c r="D59" s="14"/>
      <c r="E59" s="14"/>
      <c r="F59" s="14"/>
      <c r="G59" s="14"/>
      <c r="H59" s="14"/>
      <c r="I59" s="14"/>
      <c r="J59" s="14"/>
    </row>
    <row r="60" spans="4:10" x14ac:dyDescent="0.25">
      <c r="D60" s="14"/>
      <c r="E60" s="14"/>
      <c r="F60" s="14"/>
      <c r="G60" s="14"/>
      <c r="H60" s="14"/>
      <c r="I60" s="14"/>
      <c r="J60" s="14"/>
    </row>
    <row r="61" spans="4:10" x14ac:dyDescent="0.25">
      <c r="D61" s="14"/>
      <c r="E61" s="14"/>
      <c r="F61" s="14"/>
      <c r="G61" s="14"/>
      <c r="H61" s="14"/>
      <c r="I61" s="14"/>
      <c r="J61" s="14"/>
    </row>
    <row r="62" spans="4:10" x14ac:dyDescent="0.25">
      <c r="D62" s="14"/>
      <c r="E62" s="14"/>
      <c r="F62" s="14"/>
      <c r="G62" s="14"/>
      <c r="H62" s="14"/>
      <c r="I62" s="14"/>
      <c r="J62" s="14"/>
    </row>
    <row r="63" spans="4:10" x14ac:dyDescent="0.25">
      <c r="D63" s="14"/>
      <c r="E63" s="14"/>
      <c r="F63" s="14"/>
      <c r="G63" s="14"/>
      <c r="H63" s="14"/>
      <c r="I63" s="14"/>
      <c r="J63" s="14"/>
    </row>
  </sheetData>
  <dataValidations count="3">
    <dataValidation type="list" allowBlank="1" showInputMessage="1" showErrorMessage="1" sqref="F8:F17" xr:uid="{E820CFC8-651A-4AAE-8CFC-0434A22A2CFE}">
      <formula1>INDIRECT("Table_LivestockClasses_Beefcattle[Livestock class]")</formula1>
    </dataValidation>
    <dataValidation type="list" allowBlank="1" showInputMessage="1" showErrorMessage="1" sqref="G8:G17" xr:uid="{D038D161-4CB4-4F66-9EA9-1B3DFD795E64}">
      <formula1>INDIRECT(TRIM("Table_SourceData_LivestockProduct_Beefcattle[Product]"))</formula1>
    </dataValidation>
    <dataValidation type="list" allowBlank="1" showInputMessage="1" showErrorMessage="1" sqref="H8:H17" xr:uid="{579B6E80-B21D-49A6-A5CC-E0740A79C06C}">
      <formula1>INDIRECT("Table_ProductRegions_Beefcattle[Region]")</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85AB-6202-448E-860E-DDB3E9B12826}">
  <sheetPr>
    <tabColor theme="5" tint="-0.249977111117893"/>
  </sheetPr>
  <dimension ref="A1:J41"/>
  <sheetViews>
    <sheetView showGridLines="0" zoomScaleNormal="100" workbookViewId="0">
      <selection activeCell="A41" sqref="A41"/>
    </sheetView>
  </sheetViews>
  <sheetFormatPr defaultRowHeight="15.75" x14ac:dyDescent="0.25"/>
  <cols>
    <col min="1" max="1" width="30.625" customWidth="1"/>
    <col min="2" max="2" width="4.625" customWidth="1"/>
    <col min="3" max="3" width="4.625" style="8" customWidth="1"/>
    <col min="4" max="9" width="30.625" style="8" customWidth="1"/>
    <col min="10" max="10" width="4.625" style="8" customWidth="1"/>
  </cols>
  <sheetData>
    <row r="1" spans="1:10" ht="25.5" x14ac:dyDescent="0.35">
      <c r="A1" s="37" t="e" vm="1">
        <v>#VALUE!</v>
      </c>
      <c r="C1" s="37"/>
      <c r="D1" s="37"/>
      <c r="E1" s="37"/>
      <c r="F1" s="37"/>
      <c r="G1" s="37"/>
      <c r="H1" s="37"/>
      <c r="I1" s="37"/>
      <c r="J1" s="37"/>
    </row>
    <row r="2" spans="1:10" x14ac:dyDescent="0.25">
      <c r="C2" s="2"/>
      <c r="D2" s="2"/>
      <c r="E2" s="2"/>
      <c r="F2" s="2"/>
      <c r="G2" s="2"/>
      <c r="H2" s="2"/>
      <c r="I2" s="2"/>
      <c r="J2" s="2"/>
    </row>
    <row r="3" spans="1:10" ht="20.25" x14ac:dyDescent="0.25">
      <c r="A3" s="16" t="str">
        <f>HYPERLINK("#'Overview'!A1", "Overview")</f>
        <v>Overview</v>
      </c>
      <c r="C3" s="38"/>
      <c r="D3" s="38"/>
      <c r="E3" s="38"/>
      <c r="F3" s="38"/>
      <c r="G3" s="38"/>
      <c r="H3" s="38"/>
      <c r="I3" s="38"/>
      <c r="J3" s="38"/>
    </row>
    <row r="4" spans="1:10" x14ac:dyDescent="0.25">
      <c r="A4" s="16" t="str">
        <f>HYPERLINK("#'Results'!A1", "Results")</f>
        <v>Results</v>
      </c>
    </row>
    <row r="5" spans="1:10" ht="18.75" x14ac:dyDescent="0.25">
      <c r="D5" s="144" t="s">
        <v>334</v>
      </c>
      <c r="E5" s="14"/>
      <c r="F5" s="14"/>
      <c r="G5" s="14"/>
      <c r="H5" s="14"/>
      <c r="I5" s="14"/>
    </row>
    <row r="6" spans="1:10" x14ac:dyDescent="0.25">
      <c r="D6" s="161" t="s">
        <v>351</v>
      </c>
      <c r="E6" s="161" t="s">
        <v>316</v>
      </c>
      <c r="F6" s="161" t="s">
        <v>513</v>
      </c>
      <c r="G6" s="161" t="s">
        <v>317</v>
      </c>
      <c r="H6" s="161" t="s">
        <v>422</v>
      </c>
      <c r="I6" s="161" t="s">
        <v>423</v>
      </c>
    </row>
    <row r="7" spans="1:10" x14ac:dyDescent="0.25">
      <c r="A7" s="19" t="s">
        <v>67</v>
      </c>
      <c r="D7" s="82" t="s">
        <v>512</v>
      </c>
      <c r="E7" s="47" t="s">
        <v>510</v>
      </c>
      <c r="F7" s="47" t="s">
        <v>835</v>
      </c>
      <c r="G7" s="66">
        <v>100</v>
      </c>
      <c r="H7" s="49" cm="1">
        <f t="array" ref="H7">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130</v>
      </c>
      <c r="I7" s="66">
        <v>350</v>
      </c>
    </row>
    <row r="8" spans="1:10" x14ac:dyDescent="0.25">
      <c r="A8" s="16" t="str">
        <f>HYPERLINK("#'Input - Site'!A1", "Site")</f>
        <v>Site</v>
      </c>
      <c r="D8" s="82"/>
      <c r="E8" s="148" t="s">
        <v>509</v>
      </c>
      <c r="F8" s="47" t="s">
        <v>836</v>
      </c>
      <c r="G8" s="66">
        <v>100</v>
      </c>
      <c r="H8" s="49" cm="1">
        <f t="array" ref="H8">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540</v>
      </c>
      <c r="I8" s="66">
        <v>625</v>
      </c>
    </row>
    <row r="9" spans="1:10" x14ac:dyDescent="0.25">
      <c r="A9" s="16" t="str">
        <f>HYPERLINK("#'Input - Fuel'!A1", "Fuel")</f>
        <v>Fuel</v>
      </c>
      <c r="D9" s="82"/>
      <c r="E9" s="148" t="s">
        <v>518</v>
      </c>
      <c r="F9" s="47" t="s">
        <v>835</v>
      </c>
      <c r="G9" s="66"/>
      <c r="H9" s="49" cm="1">
        <f t="array" ref="H9">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315</v>
      </c>
      <c r="I9" s="66"/>
    </row>
    <row r="10" spans="1:10" x14ac:dyDescent="0.25">
      <c r="A10" s="16" t="str">
        <f>HYPERLINK("#'Input - Fertiliser'!A1", "Fertiliser")</f>
        <v>Fertiliser</v>
      </c>
      <c r="D10" s="82"/>
      <c r="E10" s="148"/>
      <c r="F10" s="47"/>
      <c r="G10" s="66"/>
      <c r="H10" s="49" cm="1">
        <f t="array" ref="H10">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0" s="66"/>
    </row>
    <row r="11" spans="1:10" x14ac:dyDescent="0.25">
      <c r="A11" s="16" t="str">
        <f>HYPERLINK("#'Input - Farm Inputs'!A1", "Farm Inputs")</f>
        <v>Farm Inputs</v>
      </c>
      <c r="D11" s="82"/>
      <c r="E11" s="148"/>
      <c r="F11" s="47"/>
      <c r="G11" s="66"/>
      <c r="H11" s="49" cm="1">
        <f t="array" ref="H11">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1" s="66"/>
    </row>
    <row r="12" spans="1:10" x14ac:dyDescent="0.25">
      <c r="A12" s="16" t="str">
        <f>HYPERLINK("#'Input - Beef cattle purchases'!A1", "Beef cattle purchases")</f>
        <v>Beef cattle purchases</v>
      </c>
      <c r="D12" s="82"/>
      <c r="E12" s="148"/>
      <c r="F12" s="47"/>
      <c r="G12" s="66"/>
      <c r="H12" s="49" cm="1">
        <f t="array" ref="H12">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2" s="66"/>
    </row>
    <row r="13" spans="1:10" x14ac:dyDescent="0.25">
      <c r="A13" s="42" t="str">
        <f>HYPERLINK("#'Input - Dairy cattle purchases'!A1", "Dairy cattle purchases")</f>
        <v>Dairy cattle purchases</v>
      </c>
      <c r="D13" s="82"/>
      <c r="E13" s="148"/>
      <c r="F13" s="47"/>
      <c r="G13" s="66"/>
      <c r="H13" s="49" cm="1">
        <f t="array" ref="H13">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3" s="66"/>
    </row>
    <row r="14" spans="1:10" x14ac:dyDescent="0.25">
      <c r="A14" s="16" t="str">
        <f>HYPERLINK("#'Input - Pig purchases'!A1", "Pig purchases")</f>
        <v>Pig purchases</v>
      </c>
      <c r="D14" s="82"/>
      <c r="E14" s="148"/>
      <c r="F14" s="47"/>
      <c r="G14" s="66"/>
      <c r="H14" s="49" cm="1">
        <f t="array" ref="H14">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4" s="66"/>
    </row>
    <row r="15" spans="1:10" x14ac:dyDescent="0.25">
      <c r="A15" s="16" t="str">
        <f>HYPERLINK("#'Input - Poultry purchases'!A1", "Poultry purchases")</f>
        <v>Poultry purchases</v>
      </c>
      <c r="D15" s="82"/>
      <c r="E15" s="148"/>
      <c r="F15" s="47"/>
      <c r="G15" s="66"/>
      <c r="H15" s="49" cm="1">
        <f t="array" ref="H15">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5" s="66"/>
    </row>
    <row r="16" spans="1:10" x14ac:dyDescent="0.25">
      <c r="A16" s="16" t="str">
        <f>HYPERLINK("#'Input - Freight'!A1", "Freight")</f>
        <v>Freight</v>
      </c>
      <c r="D16" s="82"/>
      <c r="E16" s="148"/>
      <c r="F16" s="47"/>
      <c r="G16" s="66"/>
      <c r="H16" s="49" cm="1">
        <f t="array" ref="H16">Common_InputFunctions.Utility_LookupValueInTableOneColumnAndHeader(Table_Input_LivestockPurchases_Dairy[[#This Row],[Breed (select)]],Table_Input_LivestockPurchases_Dairy[[#This Row],[Class (select)]],Table_SourceData_Dairy_WjCowsHeifers[Breed],Table_SourceData_Dairy_WjCowsHeifers[#Headers],Table_SourceData_Dairy_WjCowsHeifers[], 0)</f>
        <v>0</v>
      </c>
      <c r="I16" s="66"/>
    </row>
    <row r="17" spans="1:1" x14ac:dyDescent="0.25">
      <c r="A17" s="16" t="str">
        <f>HYPERLINK("#'Input - Solid waste'!A1", "Solid waste")</f>
        <v>Solid waste</v>
      </c>
    </row>
    <row r="18" spans="1:1" x14ac:dyDescent="0.25">
      <c r="A18" s="16" t="str">
        <f>HYPERLINK("#'Input - Manure sent off-site'!A1", "Manure sent off-site")</f>
        <v>Manure sent off-site</v>
      </c>
    </row>
    <row r="19" spans="1:1" x14ac:dyDescent="0.25">
      <c r="A19" s="16" t="str">
        <f>HYPERLINK("#'Input - Electricity'!A1", "Electricity")</f>
        <v>Electricity</v>
      </c>
    </row>
    <row r="22" spans="1:1" x14ac:dyDescent="0.25">
      <c r="A22" s="21" t="s">
        <v>77</v>
      </c>
    </row>
    <row r="23" spans="1:1" x14ac:dyDescent="0.25">
      <c r="A23" s="16" t="str">
        <f>HYPERLINK("#'15 Scope 3'!A1", "15 Scope 3")</f>
        <v>15 Scope 3</v>
      </c>
    </row>
    <row r="24" spans="1:1" x14ac:dyDescent="0.25">
      <c r="A24" s="16" t="str">
        <f>HYPERLINK("#'10.1.1-2 Solid waste treatment'!A1", "10.1.1-2 Solid waste treatment")</f>
        <v>10.1.1-2 Solid waste treatment</v>
      </c>
    </row>
    <row r="25" spans="1:1" x14ac:dyDescent="0.25">
      <c r="A25" s="16" t="str">
        <f>HYPERLINK("#'Calcs - Manure sent off-site'!A1", "Calcs - Manure sent off-site")</f>
        <v>Calcs - Manure sent off-site</v>
      </c>
    </row>
    <row r="26" spans="1:1" x14ac:dyDescent="0.25">
      <c r="A26" s="16" t="str">
        <f>HYPERLINK("#'8.1.1.1-2 Transport fuel'!A1", "8.1.1.1-2 Transport fuel")</f>
        <v>8.1.1.1-2 Transport fuel</v>
      </c>
    </row>
    <row r="27" spans="1:1" x14ac:dyDescent="0.25">
      <c r="A27" s="16" t="str">
        <f>HYPERLINK("#'8.2.1.1-2 Stationary fuel'!A1", "8.2.1.1-2 Stationary fuel")</f>
        <v>8.2.1.1-2 Stationary fuel</v>
      </c>
    </row>
    <row r="30" spans="1:1" x14ac:dyDescent="0.25">
      <c r="A30" s="221" t="s">
        <v>78</v>
      </c>
    </row>
    <row r="31" spans="1:1" x14ac:dyDescent="0.25">
      <c r="A31" s="16" t="str">
        <f>HYPERLINK("#'Constants - Scope 3'!A1", "Constants - Scope 3")</f>
        <v>Constants - Scope 3</v>
      </c>
    </row>
    <row r="32" spans="1:1" x14ac:dyDescent="0.25">
      <c r="A32" s="16" t="str">
        <f>HYPERLINK("#'Constants - Solid Waste'!A1", "Constants - Solid Waste")</f>
        <v>Constants - Solid Waste</v>
      </c>
    </row>
    <row r="33" spans="1:1" x14ac:dyDescent="0.25">
      <c r="A33" s="16" t="str">
        <f>HYPERLINK("#'Constants - Fuel'!A1", "Constants - Fuel")</f>
        <v>Constants - Fuel</v>
      </c>
    </row>
    <row r="34" spans="1:1" x14ac:dyDescent="0.25">
      <c r="A34" s="16" t="str">
        <f>HYPERLINK("#'Constants - Poultry'!A1", "Constants - Poultry")</f>
        <v>Constants - Poultry</v>
      </c>
    </row>
    <row r="35" spans="1:1" x14ac:dyDescent="0.25">
      <c r="A35" s="16" t="str">
        <f>HYPERLINK("#'Constants - Swine'!A1", "Constants - Swine")</f>
        <v>Constants - Swine</v>
      </c>
    </row>
    <row r="36" spans="1:1" x14ac:dyDescent="0.25">
      <c r="A36" s="16" t="str">
        <f>HYPERLINK("#'Constants - Dairy'!A1", "Constants - Dairy")</f>
        <v>Constants - Dairy</v>
      </c>
    </row>
    <row r="37" spans="1:1" x14ac:dyDescent="0.25">
      <c r="A37" s="16" t="str">
        <f>HYPERLINK("#'Constants - Pasture Beef'!A1", "Constants - Pasture Beef")</f>
        <v>Constants - Pasture Beef</v>
      </c>
    </row>
    <row r="38" spans="1:1" x14ac:dyDescent="0.25">
      <c r="A38" s="16" t="str">
        <f>HYPERLINK("#'Constants - Common Livestock'!A1", "Constants - Common Livestock")</f>
        <v>Constants - Common Livestock</v>
      </c>
    </row>
    <row r="39" spans="1:1" x14ac:dyDescent="0.25">
      <c r="A39" s="16" t="str">
        <f>HYPERLINK("#'Constants - Fertiliser'!A1", "Constants - Fertiliser")</f>
        <v>Constants - Fertiliser</v>
      </c>
    </row>
    <row r="40" spans="1:1" x14ac:dyDescent="0.25">
      <c r="A40" s="16" t="str">
        <f>HYPERLINK("#'Constants - Electricity'!A1", "Constants - Electricity")</f>
        <v>Constants - Electricity</v>
      </c>
    </row>
    <row r="41" spans="1:1" x14ac:dyDescent="0.25">
      <c r="A41" s="16" t="str">
        <f>HYPERLINK("#'Constants - Common'!A1", "Constants - Common")</f>
        <v>Constants - Common</v>
      </c>
    </row>
  </sheetData>
  <dataValidations count="2">
    <dataValidation type="list" allowBlank="1" showInputMessage="1" showErrorMessage="1" sqref="F7:F16" xr:uid="{6C01C856-27C6-4CD3-9F44-CB174DFAC047}">
      <formula1>INDIRECT("Table_SourceData_Dairy_WjCowsHeifers[Breed]")</formula1>
    </dataValidation>
    <dataValidation type="list" allowBlank="1" showInputMessage="1" showErrorMessage="1" sqref="E7:E16" xr:uid="{5781C060-ED70-4962-97D0-9C205A1D4D9A}">
      <formula1>INDIRECT("Table_SourceData_Dairy_WjCowsHeifers[[#Headers],[Milking cows]:[Heifers &lt; 1 (weaned)]]")</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B7189-D8E7-45FA-AE6D-92AD001C72EC}">
  <sheetPr>
    <tabColor theme="5" tint="-0.249977111117893"/>
  </sheetPr>
  <dimension ref="A1:J41"/>
  <sheetViews>
    <sheetView showGridLines="0" zoomScaleNormal="100" workbookViewId="0">
      <selection activeCell="A41" sqref="A41"/>
    </sheetView>
  </sheetViews>
  <sheetFormatPr defaultRowHeight="15.75" x14ac:dyDescent="0.25"/>
  <cols>
    <col min="1" max="1" width="30.625" customWidth="1"/>
    <col min="2" max="2" width="4.625" customWidth="1"/>
    <col min="3" max="3" width="4.625" style="8" customWidth="1"/>
    <col min="4" max="9" width="30.625" style="8" customWidth="1"/>
    <col min="10" max="10" width="4.625" style="8" customWidth="1"/>
  </cols>
  <sheetData>
    <row r="1" spans="1:10" ht="25.5" x14ac:dyDescent="0.35">
      <c r="A1" s="37" t="e" vm="1">
        <v>#VALUE!</v>
      </c>
      <c r="C1" s="37"/>
      <c r="D1" s="37"/>
      <c r="E1" s="37"/>
      <c r="F1" s="37"/>
      <c r="G1" s="37"/>
      <c r="H1" s="37"/>
      <c r="I1" s="37"/>
      <c r="J1" s="37"/>
    </row>
    <row r="2" spans="1:10" x14ac:dyDescent="0.25">
      <c r="C2" s="2"/>
      <c r="D2" s="2"/>
      <c r="E2" s="2"/>
      <c r="F2" s="2"/>
      <c r="G2" s="2"/>
      <c r="H2" s="2"/>
      <c r="I2" s="2"/>
      <c r="J2" s="2"/>
    </row>
    <row r="3" spans="1:10" ht="20.25" x14ac:dyDescent="0.25">
      <c r="A3" s="16" t="str">
        <f>HYPERLINK("#'Overview'!A1", "Overview")</f>
        <v>Overview</v>
      </c>
      <c r="C3" s="38"/>
      <c r="D3" s="38"/>
      <c r="E3" s="38"/>
      <c r="F3" s="38"/>
      <c r="G3" s="38"/>
      <c r="H3" s="38"/>
      <c r="I3" s="38"/>
      <c r="J3" s="38"/>
    </row>
    <row r="4" spans="1:10" x14ac:dyDescent="0.25">
      <c r="A4" s="16" t="str">
        <f>HYPERLINK("#'Results'!A1", "Results")</f>
        <v>Results</v>
      </c>
    </row>
    <row r="5" spans="1:10" ht="18.75" x14ac:dyDescent="0.25">
      <c r="D5" s="144" t="s">
        <v>537</v>
      </c>
      <c r="E5" s="14"/>
      <c r="F5" s="14"/>
      <c r="G5" s="14"/>
      <c r="H5" s="14"/>
    </row>
    <row r="6" spans="1:10" x14ac:dyDescent="0.25">
      <c r="D6" s="161" t="s">
        <v>351</v>
      </c>
      <c r="E6" s="161" t="s">
        <v>316</v>
      </c>
      <c r="F6" s="161" t="s">
        <v>317</v>
      </c>
      <c r="G6" s="161" t="s">
        <v>422</v>
      </c>
      <c r="H6" s="161" t="s">
        <v>423</v>
      </c>
    </row>
    <row r="7" spans="1:10" x14ac:dyDescent="0.25">
      <c r="A7" s="19" t="s">
        <v>67</v>
      </c>
      <c r="D7" s="82" t="s">
        <v>558</v>
      </c>
      <c r="E7" s="47" t="s">
        <v>559</v>
      </c>
      <c r="F7" s="66">
        <v>100</v>
      </c>
      <c r="G7" s="49" cm="1">
        <f t="array" ref="G7">Common_InputFunctions.Utility_LookupValueInTableNumber(Table_Input_LivestockPurchases_Pigs[[#This Row],[Class (select)]],#REF!,#REF!)</f>
        <v>0</v>
      </c>
      <c r="H7" s="66">
        <v>180</v>
      </c>
    </row>
    <row r="8" spans="1:10" x14ac:dyDescent="0.25">
      <c r="A8" s="16" t="str">
        <f>HYPERLINK("#'Input - Site'!A1", "Site")</f>
        <v>Site</v>
      </c>
      <c r="D8" s="82" t="s">
        <v>561</v>
      </c>
      <c r="E8" s="148" t="s">
        <v>560</v>
      </c>
      <c r="F8" s="66">
        <v>100</v>
      </c>
      <c r="G8" s="49" cm="1">
        <f t="array" ref="G8">Common_InputFunctions.Utility_LookupValueInTableNumber(Table_Input_LivestockPurchases_Pigs[[#This Row],[Class (select)]],#REF!,#REF!)</f>
        <v>0</v>
      </c>
      <c r="H8" s="66">
        <v>38</v>
      </c>
    </row>
    <row r="9" spans="1:10" x14ac:dyDescent="0.25">
      <c r="A9" s="16" t="str">
        <f>HYPERLINK("#'Input - Fuel'!A1", "Fuel")</f>
        <v>Fuel</v>
      </c>
      <c r="D9" s="82"/>
      <c r="E9" s="148"/>
      <c r="F9" s="66"/>
      <c r="G9" s="49" cm="1">
        <f t="array" ref="G9">Common_InputFunctions.Utility_LookupValueInTableNumber(Table_Input_LivestockPurchases_Pigs[[#This Row],[Class (select)]],#REF!,#REF!)</f>
        <v>0</v>
      </c>
      <c r="H9" s="66"/>
    </row>
    <row r="10" spans="1:10" x14ac:dyDescent="0.25">
      <c r="A10" s="16" t="str">
        <f>HYPERLINK("#'Input - Fertiliser'!A1", "Fertiliser")</f>
        <v>Fertiliser</v>
      </c>
      <c r="D10" s="82"/>
      <c r="E10" s="148"/>
      <c r="F10" s="66"/>
      <c r="G10" s="49" cm="1">
        <f t="array" ref="G10">Common_InputFunctions.Utility_LookupValueInTableNumber(Table_Input_LivestockPurchases_Pigs[[#This Row],[Class (select)]],#REF!,#REF!)</f>
        <v>0</v>
      </c>
      <c r="H10" s="66"/>
    </row>
    <row r="11" spans="1:10" x14ac:dyDescent="0.25">
      <c r="A11" s="16" t="str">
        <f>HYPERLINK("#'Input - Farm Inputs'!A1", "Farm Inputs")</f>
        <v>Farm Inputs</v>
      </c>
      <c r="D11" s="82"/>
      <c r="E11" s="148"/>
      <c r="F11" s="66"/>
      <c r="G11" s="49" cm="1">
        <f t="array" ref="G11">Common_InputFunctions.Utility_LookupValueInTableNumber(Table_Input_LivestockPurchases_Pigs[[#This Row],[Class (select)]],#REF!,#REF!)</f>
        <v>0</v>
      </c>
      <c r="H11" s="66"/>
    </row>
    <row r="12" spans="1:10" x14ac:dyDescent="0.25">
      <c r="A12" s="16" t="str">
        <f>HYPERLINK("#'Input - Beef cattle purchases'!A1", "Beef cattle purchases")</f>
        <v>Beef cattle purchases</v>
      </c>
      <c r="D12" s="82"/>
      <c r="E12" s="148"/>
      <c r="F12" s="66"/>
      <c r="G12" s="49" cm="1">
        <f t="array" ref="G12">Common_InputFunctions.Utility_LookupValueInTableNumber(Table_Input_LivestockPurchases_Pigs[[#This Row],[Class (select)]],#REF!,#REF!)</f>
        <v>0</v>
      </c>
      <c r="H12" s="66"/>
    </row>
    <row r="13" spans="1:10" x14ac:dyDescent="0.25">
      <c r="A13" s="16" t="str">
        <f>HYPERLINK("#'Input - Dairy cattle purchases'!A1", "Dairy cattle purchases")</f>
        <v>Dairy cattle purchases</v>
      </c>
      <c r="D13" s="82"/>
      <c r="E13" s="148"/>
      <c r="F13" s="66"/>
      <c r="G13" s="49" cm="1">
        <f t="array" ref="G13">Common_InputFunctions.Utility_LookupValueInTableNumber(Table_Input_LivestockPurchases_Pigs[[#This Row],[Class (select)]],#REF!,#REF!)</f>
        <v>0</v>
      </c>
      <c r="H13" s="66"/>
    </row>
    <row r="14" spans="1:10" x14ac:dyDescent="0.25">
      <c r="A14" s="42" t="str">
        <f>HYPERLINK("#'Input - Pig purchases'!A1", "Pig purchases")</f>
        <v>Pig purchases</v>
      </c>
      <c r="D14" s="82"/>
      <c r="E14" s="148"/>
      <c r="F14" s="66"/>
      <c r="G14" s="49" cm="1">
        <f t="array" ref="G14">Common_InputFunctions.Utility_LookupValueInTableNumber(Table_Input_LivestockPurchases_Pigs[[#This Row],[Class (select)]],#REF!,#REF!)</f>
        <v>0</v>
      </c>
      <c r="H14" s="66"/>
    </row>
    <row r="15" spans="1:10" x14ac:dyDescent="0.25">
      <c r="A15" s="16" t="str">
        <f>HYPERLINK("#'Input - Poultry purchases'!A1", "Poultry purchases")</f>
        <v>Poultry purchases</v>
      </c>
      <c r="D15" s="82"/>
      <c r="E15" s="148"/>
      <c r="F15" s="66"/>
      <c r="G15" s="49" cm="1">
        <f t="array" ref="G15">Common_InputFunctions.Utility_LookupValueInTableNumber(Table_Input_LivestockPurchases_Pigs[[#This Row],[Class (select)]],#REF!,#REF!)</f>
        <v>0</v>
      </c>
      <c r="H15" s="66"/>
    </row>
    <row r="16" spans="1:10" x14ac:dyDescent="0.25">
      <c r="A16" s="16" t="str">
        <f>HYPERLINK("#'Input - Freight'!A1", "Freight")</f>
        <v>Freight</v>
      </c>
      <c r="D16" s="82"/>
      <c r="E16" s="148"/>
      <c r="F16" s="66"/>
      <c r="G16" s="49" cm="1">
        <f t="array" ref="G16">Common_InputFunctions.Utility_LookupValueInTableNumber(Table_Input_LivestockPurchases_Pigs[[#This Row],[Class (select)]],#REF!,#REF!)</f>
        <v>0</v>
      </c>
      <c r="H16" s="66"/>
    </row>
    <row r="17" spans="1:1" x14ac:dyDescent="0.25">
      <c r="A17" s="16" t="str">
        <f>HYPERLINK("#'Input - Solid waste'!A1", "Solid waste")</f>
        <v>Solid waste</v>
      </c>
    </row>
    <row r="18" spans="1:1" x14ac:dyDescent="0.25">
      <c r="A18" s="16" t="str">
        <f>HYPERLINK("#'Input - Manure sent off-site'!A1", "Manure sent off-site")</f>
        <v>Manure sent off-site</v>
      </c>
    </row>
    <row r="19" spans="1:1" x14ac:dyDescent="0.25">
      <c r="A19" s="16" t="str">
        <f>HYPERLINK("#'Input - Electricity'!A1", "Electricity")</f>
        <v>Electricity</v>
      </c>
    </row>
    <row r="22" spans="1:1" x14ac:dyDescent="0.25">
      <c r="A22" s="21" t="s">
        <v>77</v>
      </c>
    </row>
    <row r="23" spans="1:1" x14ac:dyDescent="0.25">
      <c r="A23" s="16" t="str">
        <f>HYPERLINK("#'15 Scope 3'!A1", "15 Scope 3")</f>
        <v>15 Scope 3</v>
      </c>
    </row>
    <row r="24" spans="1:1" x14ac:dyDescent="0.25">
      <c r="A24" s="16" t="str">
        <f>HYPERLINK("#'10.1.1-2 Solid waste treatment'!A1", "10.1.1-2 Solid waste treatment")</f>
        <v>10.1.1-2 Solid waste treatment</v>
      </c>
    </row>
    <row r="25" spans="1:1" x14ac:dyDescent="0.25">
      <c r="A25" s="16" t="str">
        <f>HYPERLINK("#'Calcs - Manure sent off-site'!A1", "Calcs - Manure sent off-site")</f>
        <v>Calcs - Manure sent off-site</v>
      </c>
    </row>
    <row r="26" spans="1:1" x14ac:dyDescent="0.25">
      <c r="A26" s="16" t="str">
        <f>HYPERLINK("#'8.1.1.1-2 Transport fuel'!A1", "8.1.1.1-2 Transport fuel")</f>
        <v>8.1.1.1-2 Transport fuel</v>
      </c>
    </row>
    <row r="27" spans="1:1" x14ac:dyDescent="0.25">
      <c r="A27" s="16" t="str">
        <f>HYPERLINK("#'8.2.1.1-2 Stationary fuel'!A1", "8.2.1.1-2 Stationary fuel")</f>
        <v>8.2.1.1-2 Stationary fuel</v>
      </c>
    </row>
    <row r="30" spans="1:1" x14ac:dyDescent="0.25">
      <c r="A30" s="221" t="s">
        <v>78</v>
      </c>
    </row>
    <row r="31" spans="1:1" x14ac:dyDescent="0.25">
      <c r="A31" s="16" t="str">
        <f>HYPERLINK("#'Constants - Scope 3'!A1", "Constants - Scope 3")</f>
        <v>Constants - Scope 3</v>
      </c>
    </row>
    <row r="32" spans="1:1" x14ac:dyDescent="0.25">
      <c r="A32" s="16" t="str">
        <f>HYPERLINK("#'Constants - Solid Waste'!A1", "Constants - Solid Waste")</f>
        <v>Constants - Solid Waste</v>
      </c>
    </row>
    <row r="33" spans="1:1" x14ac:dyDescent="0.25">
      <c r="A33" s="16" t="str">
        <f>HYPERLINK("#'Constants - Fuel'!A1", "Constants - Fuel")</f>
        <v>Constants - Fuel</v>
      </c>
    </row>
    <row r="34" spans="1:1" x14ac:dyDescent="0.25">
      <c r="A34" s="16" t="str">
        <f>HYPERLINK("#'Constants - Poultry'!A1", "Constants - Poultry")</f>
        <v>Constants - Poultry</v>
      </c>
    </row>
    <row r="35" spans="1:1" x14ac:dyDescent="0.25">
      <c r="A35" s="16" t="str">
        <f>HYPERLINK("#'Constants - Swine'!A1", "Constants - Swine")</f>
        <v>Constants - Swine</v>
      </c>
    </row>
    <row r="36" spans="1:1" x14ac:dyDescent="0.25">
      <c r="A36" s="16" t="str">
        <f>HYPERLINK("#'Constants - Dairy'!A1", "Constants - Dairy")</f>
        <v>Constants - Dairy</v>
      </c>
    </row>
    <row r="37" spans="1:1" x14ac:dyDescent="0.25">
      <c r="A37" s="16" t="str">
        <f>HYPERLINK("#'Constants - Pasture Beef'!A1", "Constants - Pasture Beef")</f>
        <v>Constants - Pasture Beef</v>
      </c>
    </row>
    <row r="38" spans="1:1" x14ac:dyDescent="0.25">
      <c r="A38" s="16" t="str">
        <f>HYPERLINK("#'Constants - Common Livestock'!A1", "Constants - Common Livestock")</f>
        <v>Constants - Common Livestock</v>
      </c>
    </row>
    <row r="39" spans="1:1" x14ac:dyDescent="0.25">
      <c r="A39" s="16" t="str">
        <f>HYPERLINK("#'Constants - Fertiliser'!A1", "Constants - Fertiliser")</f>
        <v>Constants - Fertiliser</v>
      </c>
    </row>
    <row r="40" spans="1:1" x14ac:dyDescent="0.25">
      <c r="A40" s="16" t="str">
        <f>HYPERLINK("#'Constants - Electricity'!A1", "Constants - Electricity")</f>
        <v>Constants - Electricity</v>
      </c>
    </row>
    <row r="41" spans="1:1" x14ac:dyDescent="0.25">
      <c r="A41" s="16" t="str">
        <f>HYPERLINK("#'Constants - Common'!A1", "Constants - Common")</f>
        <v>Constants - Common</v>
      </c>
    </row>
  </sheetData>
  <dataValidations count="1">
    <dataValidation type="list" allowBlank="1" showInputMessage="1" showErrorMessage="1" sqref="E7:E16" xr:uid="{F5AB456D-7F9C-4165-97C1-CAA2ABA57C96}">
      <formula1>INDIRECT("Table_SourceData_Swine_Liveweight[Livestock type j]")</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E3FA9-AC33-4EC0-8F0E-A1D128249FE0}">
  <sheetPr>
    <tabColor theme="5" tint="-0.249977111117893"/>
  </sheetPr>
  <dimension ref="A1:J41"/>
  <sheetViews>
    <sheetView showGridLines="0" zoomScaleNormal="100" workbookViewId="0">
      <selection activeCell="A41" sqref="A41"/>
    </sheetView>
  </sheetViews>
  <sheetFormatPr defaultRowHeight="15.75" x14ac:dyDescent="0.25"/>
  <cols>
    <col min="1" max="1" width="30.625" customWidth="1"/>
    <col min="2" max="2" width="4.625" customWidth="1"/>
    <col min="3" max="3" width="4.625" style="8" customWidth="1"/>
    <col min="4" max="9" width="30.625" style="8" customWidth="1"/>
    <col min="10" max="10" width="4.625" style="8" customWidth="1"/>
  </cols>
  <sheetData>
    <row r="1" spans="1:10" ht="25.5" x14ac:dyDescent="0.35">
      <c r="A1" s="37" t="e" vm="1">
        <v>#VALUE!</v>
      </c>
      <c r="C1" s="37"/>
      <c r="D1" s="37"/>
      <c r="E1" s="37"/>
      <c r="F1" s="37"/>
      <c r="G1" s="37"/>
      <c r="H1" s="37"/>
      <c r="I1" s="37"/>
      <c r="J1" s="37"/>
    </row>
    <row r="2" spans="1:10" x14ac:dyDescent="0.25">
      <c r="C2" s="2"/>
      <c r="D2" s="2"/>
      <c r="E2" s="2"/>
      <c r="F2" s="2"/>
      <c r="G2" s="2"/>
      <c r="H2" s="2"/>
      <c r="I2" s="2"/>
      <c r="J2" s="2"/>
    </row>
    <row r="3" spans="1:10" ht="20.25" x14ac:dyDescent="0.25">
      <c r="A3" s="16" t="str">
        <f>HYPERLINK("#'Overview'!A1", "Overview")</f>
        <v>Overview</v>
      </c>
      <c r="C3" s="38"/>
      <c r="D3" s="38"/>
      <c r="E3" s="38"/>
      <c r="F3" s="38"/>
      <c r="G3" s="38"/>
      <c r="H3" s="38"/>
      <c r="I3" s="38"/>
      <c r="J3" s="38"/>
    </row>
    <row r="4" spans="1:10" x14ac:dyDescent="0.25">
      <c r="A4" s="16" t="str">
        <f>HYPERLINK("#'Results'!A1", "Results")</f>
        <v>Results</v>
      </c>
    </row>
    <row r="5" spans="1:10" ht="18.75" x14ac:dyDescent="0.25">
      <c r="D5" s="144" t="s">
        <v>563</v>
      </c>
      <c r="E5" s="14"/>
      <c r="F5" s="14"/>
      <c r="G5" s="14"/>
      <c r="H5" s="14"/>
    </row>
    <row r="6" spans="1:10" x14ac:dyDescent="0.25">
      <c r="D6" s="161" t="s">
        <v>351</v>
      </c>
      <c r="E6" s="161" t="s">
        <v>316</v>
      </c>
      <c r="F6" s="161" t="s">
        <v>317</v>
      </c>
      <c r="G6" s="161" t="s">
        <v>422</v>
      </c>
      <c r="H6" s="161" t="s">
        <v>423</v>
      </c>
    </row>
    <row r="7" spans="1:10" x14ac:dyDescent="0.25">
      <c r="A7" s="19" t="s">
        <v>67</v>
      </c>
      <c r="D7" s="82" t="s">
        <v>564</v>
      </c>
      <c r="E7" s="47" t="s">
        <v>592</v>
      </c>
      <c r="F7" s="66">
        <v>100</v>
      </c>
      <c r="G7" s="49" cm="1">
        <f t="array" ref="G7">Common_InputFunctions.Utility_LookupValueInTableNumber(Table_Input_LivestockPurchases_Poultry[[#This Row],[Class (select)]], Table_SourceData_Poultry_Liveweights[Livestock class j],Table_SourceData_Poultry_Liveweights[Average liveweight (kg)])</f>
        <v>1.3</v>
      </c>
      <c r="H7" s="66">
        <v>1.3</v>
      </c>
    </row>
    <row r="8" spans="1:10" x14ac:dyDescent="0.25">
      <c r="A8" s="16" t="str">
        <f>HYPERLINK("#'Input - Site'!A1", "Site")</f>
        <v>Site</v>
      </c>
      <c r="D8" s="82" t="s">
        <v>565</v>
      </c>
      <c r="E8" s="148" t="s">
        <v>593</v>
      </c>
      <c r="F8" s="66">
        <v>100</v>
      </c>
      <c r="G8" s="49" cm="1">
        <f t="array" ref="G8">Common_InputFunctions.Utility_LookupValueInTableNumber(Table_Input_LivestockPurchases_Poultry[[#This Row],[Class (select)]], Table_SourceData_Poultry_Liveweights[Livestock class j],Table_SourceData_Poultry_Liveweights[Average liveweight (kg)])</f>
        <v>1.4</v>
      </c>
      <c r="H8" s="66">
        <v>1.4</v>
      </c>
    </row>
    <row r="9" spans="1:10" x14ac:dyDescent="0.25">
      <c r="A9" s="16" t="str">
        <f>HYPERLINK("#'Input - Fuel'!A1", "Fuel")</f>
        <v>Fuel</v>
      </c>
      <c r="D9" s="82"/>
      <c r="E9" s="148"/>
      <c r="F9" s="66"/>
      <c r="G9" s="49" cm="1">
        <f t="array" ref="G9">Common_InputFunctions.Utility_LookupValueInTableNumber(Table_Input_LivestockPurchases_Poultry[[#This Row],[Class (select)]], Table_SourceData_Poultry_Liveweights[Livestock class j],Table_SourceData_Poultry_Liveweights[Average liveweight (kg)])</f>
        <v>0</v>
      </c>
      <c r="H9" s="66"/>
    </row>
    <row r="10" spans="1:10" x14ac:dyDescent="0.25">
      <c r="A10" s="16" t="str">
        <f>HYPERLINK("#'Input - Fertiliser'!A1", "Fertiliser")</f>
        <v>Fertiliser</v>
      </c>
      <c r="D10" s="82"/>
      <c r="E10" s="148"/>
      <c r="F10" s="66"/>
      <c r="G10" s="49" cm="1">
        <f t="array" ref="G10">Common_InputFunctions.Utility_LookupValueInTableNumber(Table_Input_LivestockPurchases_Poultry[[#This Row],[Class (select)]], Table_SourceData_Poultry_Liveweights[Livestock class j],Table_SourceData_Poultry_Liveweights[Average liveweight (kg)])</f>
        <v>0</v>
      </c>
      <c r="H10" s="66"/>
    </row>
    <row r="11" spans="1:10" x14ac:dyDescent="0.25">
      <c r="A11" s="16" t="str">
        <f>HYPERLINK("#'Input - Farm Inputs'!A1", "Farm Inputs")</f>
        <v>Farm Inputs</v>
      </c>
      <c r="D11" s="82"/>
      <c r="E11" s="148"/>
      <c r="F11" s="66"/>
      <c r="G11" s="49" cm="1">
        <f t="array" ref="G11">Common_InputFunctions.Utility_LookupValueInTableNumber(Table_Input_LivestockPurchases_Poultry[[#This Row],[Class (select)]], Table_SourceData_Poultry_Liveweights[Livestock class j],Table_SourceData_Poultry_Liveweights[Average liveweight (kg)])</f>
        <v>0</v>
      </c>
      <c r="H11" s="66"/>
    </row>
    <row r="12" spans="1:10" x14ac:dyDescent="0.25">
      <c r="A12" s="16" t="str">
        <f>HYPERLINK("#'Input - Beef cattle purchases'!A1", "Beef cattle purchases")</f>
        <v>Beef cattle purchases</v>
      </c>
      <c r="D12" s="82"/>
      <c r="E12" s="148"/>
      <c r="F12" s="66"/>
      <c r="G12" s="49" cm="1">
        <f t="array" ref="G12">Common_InputFunctions.Utility_LookupValueInTableNumber(Table_Input_LivestockPurchases_Poultry[[#This Row],[Class (select)]], Table_SourceData_Poultry_Liveweights[Livestock class j],Table_SourceData_Poultry_Liveweights[Average liveweight (kg)])</f>
        <v>0</v>
      </c>
      <c r="H12" s="66"/>
    </row>
    <row r="13" spans="1:10" x14ac:dyDescent="0.25">
      <c r="A13" s="16" t="str">
        <f>HYPERLINK("#'Input - Dairy cattle purchases'!A1", "Dairy cattle purchases")</f>
        <v>Dairy cattle purchases</v>
      </c>
      <c r="D13" s="82"/>
      <c r="E13" s="148"/>
      <c r="F13" s="66"/>
      <c r="G13" s="49" cm="1">
        <f t="array" ref="G13">Common_InputFunctions.Utility_LookupValueInTableNumber(Table_Input_LivestockPurchases_Poultry[[#This Row],[Class (select)]], Table_SourceData_Poultry_Liveweights[Livestock class j],Table_SourceData_Poultry_Liveweights[Average liveweight (kg)])</f>
        <v>0</v>
      </c>
      <c r="H13" s="66"/>
    </row>
    <row r="14" spans="1:10" x14ac:dyDescent="0.25">
      <c r="A14" s="16" t="str">
        <f>HYPERLINK("#'Input - Pig purchases'!A1", "Pig purchases")</f>
        <v>Pig purchases</v>
      </c>
      <c r="D14" s="82"/>
      <c r="E14" s="148"/>
      <c r="F14" s="66"/>
      <c r="G14" s="49" cm="1">
        <f t="array" ref="G14">Common_InputFunctions.Utility_LookupValueInTableNumber(Table_Input_LivestockPurchases_Poultry[[#This Row],[Class (select)]], Table_SourceData_Poultry_Liveweights[Livestock class j],Table_SourceData_Poultry_Liveweights[Average liveweight (kg)])</f>
        <v>0</v>
      </c>
      <c r="H14" s="66"/>
    </row>
    <row r="15" spans="1:10" x14ac:dyDescent="0.25">
      <c r="A15" s="42" t="str">
        <f>HYPERLINK("#'Input - Poultry purchases'!A1", "Poultry purchases")</f>
        <v>Poultry purchases</v>
      </c>
      <c r="D15" s="82"/>
      <c r="E15" s="148"/>
      <c r="F15" s="66"/>
      <c r="G15" s="49" cm="1">
        <f t="array" ref="G15">Common_InputFunctions.Utility_LookupValueInTableNumber(Table_Input_LivestockPurchases_Poultry[[#This Row],[Class (select)]], Table_SourceData_Poultry_Liveweights[Livestock class j],Table_SourceData_Poultry_Liveweights[Average liveweight (kg)])</f>
        <v>0</v>
      </c>
      <c r="H15" s="66"/>
    </row>
    <row r="16" spans="1:10" x14ac:dyDescent="0.25">
      <c r="A16" s="16" t="str">
        <f>HYPERLINK("#'Input - Freight'!A1", "Freight")</f>
        <v>Freight</v>
      </c>
      <c r="D16" s="82"/>
      <c r="E16" s="148"/>
      <c r="F16" s="66"/>
      <c r="G16" s="49" cm="1">
        <f t="array" ref="G16">Common_InputFunctions.Utility_LookupValueInTableNumber(Table_Input_LivestockPurchases_Poultry[[#This Row],[Class (select)]], Table_SourceData_Poultry_Liveweights[Livestock class j],Table_SourceData_Poultry_Liveweights[Average liveweight (kg)])</f>
        <v>0</v>
      </c>
      <c r="H16" s="66"/>
    </row>
    <row r="17" spans="1:1" x14ac:dyDescent="0.25">
      <c r="A17" s="16" t="str">
        <f>HYPERLINK("#'Input - Solid waste'!A1", "Solid waste")</f>
        <v>Solid waste</v>
      </c>
    </row>
    <row r="18" spans="1:1" x14ac:dyDescent="0.25">
      <c r="A18" s="16" t="str">
        <f>HYPERLINK("#'Input - Manure sent off-site'!A1", "Manure sent off-site")</f>
        <v>Manure sent off-site</v>
      </c>
    </row>
    <row r="19" spans="1:1" x14ac:dyDescent="0.25">
      <c r="A19" s="16" t="str">
        <f>HYPERLINK("#'Input - Electricity'!A1", "Electricity")</f>
        <v>Electricity</v>
      </c>
    </row>
    <row r="22" spans="1:1" x14ac:dyDescent="0.25">
      <c r="A22" s="21" t="s">
        <v>77</v>
      </c>
    </row>
    <row r="23" spans="1:1" x14ac:dyDescent="0.25">
      <c r="A23" s="16" t="str">
        <f>HYPERLINK("#'15 Scope 3'!A1", "15 Scope 3")</f>
        <v>15 Scope 3</v>
      </c>
    </row>
    <row r="24" spans="1:1" x14ac:dyDescent="0.25">
      <c r="A24" s="16" t="str">
        <f>HYPERLINK("#'10.1.1-2 Solid waste treatment'!A1", "10.1.1-2 Solid waste treatment")</f>
        <v>10.1.1-2 Solid waste treatment</v>
      </c>
    </row>
    <row r="25" spans="1:1" x14ac:dyDescent="0.25">
      <c r="A25" s="16" t="str">
        <f>HYPERLINK("#'Calcs - Manure sent off-site'!A1", "Calcs - Manure sent off-site")</f>
        <v>Calcs - Manure sent off-site</v>
      </c>
    </row>
    <row r="26" spans="1:1" x14ac:dyDescent="0.25">
      <c r="A26" s="16" t="str">
        <f>HYPERLINK("#'8.1.1.1-2 Transport fuel'!A1", "8.1.1.1-2 Transport fuel")</f>
        <v>8.1.1.1-2 Transport fuel</v>
      </c>
    </row>
    <row r="27" spans="1:1" x14ac:dyDescent="0.25">
      <c r="A27" s="16" t="str">
        <f>HYPERLINK("#'8.2.1.1-2 Stationary fuel'!A1", "8.2.1.1-2 Stationary fuel")</f>
        <v>8.2.1.1-2 Stationary fuel</v>
      </c>
    </row>
    <row r="30" spans="1:1" x14ac:dyDescent="0.25">
      <c r="A30" s="221" t="s">
        <v>78</v>
      </c>
    </row>
    <row r="31" spans="1:1" x14ac:dyDescent="0.25">
      <c r="A31" s="16" t="str">
        <f>HYPERLINK("#'Constants - Scope 3'!A1", "Constants - Scope 3")</f>
        <v>Constants - Scope 3</v>
      </c>
    </row>
    <row r="32" spans="1:1" x14ac:dyDescent="0.25">
      <c r="A32" s="16" t="str">
        <f>HYPERLINK("#'Constants - Solid Waste'!A1", "Constants - Solid Waste")</f>
        <v>Constants - Solid Waste</v>
      </c>
    </row>
    <row r="33" spans="1:1" x14ac:dyDescent="0.25">
      <c r="A33" s="16" t="str">
        <f>HYPERLINK("#'Constants - Fuel'!A1", "Constants - Fuel")</f>
        <v>Constants - Fuel</v>
      </c>
    </row>
    <row r="34" spans="1:1" x14ac:dyDescent="0.25">
      <c r="A34" s="16" t="str">
        <f>HYPERLINK("#'Constants - Poultry'!A1", "Constants - Poultry")</f>
        <v>Constants - Poultry</v>
      </c>
    </row>
    <row r="35" spans="1:1" x14ac:dyDescent="0.25">
      <c r="A35" s="16" t="str">
        <f>HYPERLINK("#'Constants - Swine'!A1", "Constants - Swine")</f>
        <v>Constants - Swine</v>
      </c>
    </row>
    <row r="36" spans="1:1" x14ac:dyDescent="0.25">
      <c r="A36" s="16" t="str">
        <f>HYPERLINK("#'Constants - Dairy'!A1", "Constants - Dairy")</f>
        <v>Constants - Dairy</v>
      </c>
    </row>
    <row r="37" spans="1:1" x14ac:dyDescent="0.25">
      <c r="A37" s="16" t="str">
        <f>HYPERLINK("#'Constants - Pasture Beef'!A1", "Constants - Pasture Beef")</f>
        <v>Constants - Pasture Beef</v>
      </c>
    </row>
    <row r="38" spans="1:1" x14ac:dyDescent="0.25">
      <c r="A38" s="16" t="str">
        <f>HYPERLINK("#'Constants - Common Livestock'!A1", "Constants - Common Livestock")</f>
        <v>Constants - Common Livestock</v>
      </c>
    </row>
    <row r="39" spans="1:1" x14ac:dyDescent="0.25">
      <c r="A39" s="16" t="str">
        <f>HYPERLINK("#'Constants - Fertiliser'!A1", "Constants - Fertiliser")</f>
        <v>Constants - Fertiliser</v>
      </c>
    </row>
    <row r="40" spans="1:1" x14ac:dyDescent="0.25">
      <c r="A40" s="16" t="str">
        <f>HYPERLINK("#'Constants - Electricity'!A1", "Constants - Electricity")</f>
        <v>Constants - Electricity</v>
      </c>
    </row>
    <row r="41" spans="1:1" x14ac:dyDescent="0.25">
      <c r="A41" s="16" t="str">
        <f>HYPERLINK("#'Constants - Common'!A1", "Constants - Common")</f>
        <v>Constants - Common</v>
      </c>
    </row>
  </sheetData>
  <dataValidations count="1">
    <dataValidation type="list" allowBlank="1" showInputMessage="1" showErrorMessage="1" sqref="E7:E16" xr:uid="{EF3323C3-C624-43FE-8DC3-2DC12C1B5DDD}">
      <formula1>INDIRECT("Table_SourceData_Poultry_Liveweights[Livestock class j]")</formula1>
    </dataValidation>
  </dataValidation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74F34-C2DB-4D1E-B108-087CBF296A49}">
  <sheetPr>
    <tabColor theme="5" tint="-0.249977111117893"/>
  </sheetPr>
  <dimension ref="A1:J51"/>
  <sheetViews>
    <sheetView showGridLines="0" zoomScaleNormal="100" workbookViewId="0">
      <selection activeCell="A41" sqref="A41"/>
    </sheetView>
  </sheetViews>
  <sheetFormatPr defaultRowHeight="15.75" x14ac:dyDescent="0.25"/>
  <cols>
    <col min="1" max="1" width="30.625" customWidth="1"/>
    <col min="2" max="2" width="4.625" customWidth="1"/>
    <col min="3" max="3" width="4.625" style="8" customWidth="1"/>
    <col min="4" max="4" width="40.75" style="8" customWidth="1"/>
    <col min="5" max="9" width="30.625" style="8" customWidth="1"/>
    <col min="10" max="10" width="4.625" style="8" customWidth="1"/>
  </cols>
  <sheetData>
    <row r="1" spans="1:10" s="37" customFormat="1" ht="30" customHeight="1" x14ac:dyDescent="0.35">
      <c r="C1" s="37" t="s">
        <v>822</v>
      </c>
    </row>
    <row r="2" spans="1:10" s="2" customFormat="1" ht="20.100000000000001" customHeight="1" x14ac:dyDescent="0.25">
      <c r="A2"/>
    </row>
    <row r="3" spans="1:10" ht="20.100000000000001" customHeight="1" x14ac:dyDescent="0.25">
      <c r="A3" s="16" t="str">
        <f>HYPERLINK("#'Overview'!A1", "Overview")</f>
        <v>Overview</v>
      </c>
      <c r="C3" s="38"/>
      <c r="D3" s="38"/>
      <c r="E3" s="38"/>
      <c r="F3" s="38"/>
      <c r="G3" s="38"/>
      <c r="H3" s="38"/>
      <c r="I3" s="38"/>
      <c r="J3" s="38"/>
    </row>
    <row r="4" spans="1:10" ht="20.100000000000001" customHeight="1" x14ac:dyDescent="0.25">
      <c r="A4" s="16" t="str">
        <f>HYPERLINK("#'Results'!A1", "Results")</f>
        <v>Results</v>
      </c>
    </row>
    <row r="5" spans="1:10" ht="20.100000000000001" customHeight="1" x14ac:dyDescent="0.25"/>
    <row r="6" spans="1:10" ht="20.100000000000001" customHeight="1" x14ac:dyDescent="0.25">
      <c r="D6" s="9" t="s">
        <v>799</v>
      </c>
    </row>
    <row r="7" spans="1:10" ht="20.100000000000001" customHeight="1" x14ac:dyDescent="0.25">
      <c r="A7" s="19" t="s">
        <v>67</v>
      </c>
    </row>
    <row r="8" spans="1:10" ht="20.100000000000001" customHeight="1" x14ac:dyDescent="0.25">
      <c r="A8" s="16" t="str">
        <f>HYPERLINK("#'Input - Site'!A1", "Site")</f>
        <v>Site</v>
      </c>
      <c r="D8" s="10" t="s">
        <v>801</v>
      </c>
      <c r="E8" s="10" t="s">
        <v>804</v>
      </c>
      <c r="F8" s="10" t="s">
        <v>805</v>
      </c>
      <c r="G8" s="10" t="s">
        <v>802</v>
      </c>
      <c r="H8" s="10" t="s">
        <v>803</v>
      </c>
    </row>
    <row r="9" spans="1:10" ht="20.100000000000001" customHeight="1" x14ac:dyDescent="0.25">
      <c r="A9" s="16" t="str">
        <f>HYPERLINK("#'Input - Fuel'!A1", "Fuel")</f>
        <v>Fuel</v>
      </c>
      <c r="D9" s="10" t="s">
        <v>808</v>
      </c>
      <c r="E9" s="47" t="s">
        <v>806</v>
      </c>
      <c r="F9" s="10">
        <v>986</v>
      </c>
      <c r="G9" s="10">
        <v>10</v>
      </c>
      <c r="H9" s="10">
        <v>52</v>
      </c>
    </row>
    <row r="10" spans="1:10" ht="20.100000000000001" customHeight="1" x14ac:dyDescent="0.25">
      <c r="A10" s="16" t="str">
        <f>HYPERLINK("#'Input - Fertiliser'!A1", "Fertiliser")</f>
        <v>Fertiliser</v>
      </c>
      <c r="D10" s="10" t="s">
        <v>810</v>
      </c>
      <c r="E10" s="47" t="s">
        <v>811</v>
      </c>
      <c r="F10" s="10">
        <v>65</v>
      </c>
      <c r="G10" s="10">
        <v>10</v>
      </c>
      <c r="H10" s="10">
        <v>6</v>
      </c>
    </row>
    <row r="11" spans="1:10" ht="20.100000000000001" customHeight="1" x14ac:dyDescent="0.25">
      <c r="A11" s="16" t="str">
        <f>HYPERLINK("#'Input - Farm Inputs'!A1", "Farm Inputs")</f>
        <v>Farm Inputs</v>
      </c>
      <c r="D11" s="10"/>
      <c r="E11" s="47"/>
      <c r="F11" s="10"/>
      <c r="G11" s="10"/>
      <c r="H11" s="10"/>
    </row>
    <row r="12" spans="1:10" ht="20.100000000000001" customHeight="1" x14ac:dyDescent="0.25">
      <c r="A12" s="16" t="str">
        <f>HYPERLINK("#'Input - Beef cattle purchases'!A1", "Beef cattle purchases")</f>
        <v>Beef cattle purchases</v>
      </c>
      <c r="D12" s="10"/>
      <c r="E12" s="47"/>
      <c r="F12" s="10"/>
      <c r="G12" s="10"/>
      <c r="H12" s="10"/>
    </row>
    <row r="13" spans="1:10" ht="20.100000000000001" customHeight="1" x14ac:dyDescent="0.25">
      <c r="A13" s="16" t="str">
        <f>HYPERLINK("#'Input - Dairy cattle purchases'!A1", "Dairy cattle purchases")</f>
        <v>Dairy cattle purchases</v>
      </c>
      <c r="D13" s="10"/>
      <c r="E13" s="47"/>
      <c r="F13" s="10"/>
      <c r="G13" s="10"/>
      <c r="H13" s="10"/>
    </row>
    <row r="14" spans="1:10" ht="20.100000000000001" customHeight="1" x14ac:dyDescent="0.25">
      <c r="A14" s="16" t="str">
        <f>HYPERLINK("#'Input - Pig purchases'!A1", "Pig purchases")</f>
        <v>Pig purchases</v>
      </c>
      <c r="D14" s="10"/>
      <c r="E14" s="47"/>
      <c r="F14" s="10"/>
      <c r="G14" s="10"/>
      <c r="H14" s="10"/>
    </row>
    <row r="15" spans="1:10" ht="20.100000000000001" customHeight="1" x14ac:dyDescent="0.25">
      <c r="A15" s="16" t="str">
        <f>HYPERLINK("#'Input - Poultry purchases'!A1", "Poultry purchases")</f>
        <v>Poultry purchases</v>
      </c>
      <c r="D15" s="10"/>
      <c r="E15" s="47"/>
      <c r="F15" s="10"/>
      <c r="G15" s="10"/>
      <c r="H15" s="10"/>
    </row>
    <row r="16" spans="1:10" ht="20.100000000000001" customHeight="1" x14ac:dyDescent="0.25">
      <c r="A16" s="42" t="str">
        <f>HYPERLINK("#'Input - Freight'!A1", "Freight")</f>
        <v>Freight</v>
      </c>
      <c r="D16" s="10"/>
      <c r="E16" s="47"/>
      <c r="F16" s="10"/>
      <c r="G16" s="10"/>
      <c r="H16" s="10"/>
    </row>
    <row r="17" spans="1:8" ht="20.100000000000001" customHeight="1" x14ac:dyDescent="0.25">
      <c r="A17" s="16" t="str">
        <f>HYPERLINK("#'Input - Solid waste'!A1", "Solid waste")</f>
        <v>Solid waste</v>
      </c>
      <c r="D17" s="10"/>
      <c r="E17" s="47"/>
      <c r="F17" s="10"/>
      <c r="G17" s="10"/>
      <c r="H17" s="10"/>
    </row>
    <row r="18" spans="1:8" ht="20.100000000000001" customHeight="1" x14ac:dyDescent="0.25">
      <c r="A18" s="16" t="str">
        <f>HYPERLINK("#'Input - Manure sent off-site'!A1", "Manure sent off-site")</f>
        <v>Manure sent off-site</v>
      </c>
      <c r="D18" s="10"/>
      <c r="E18" s="47"/>
      <c r="F18" s="10"/>
      <c r="G18" s="10"/>
      <c r="H18" s="10"/>
    </row>
    <row r="19" spans="1:8" ht="20.100000000000001" customHeight="1" x14ac:dyDescent="0.25">
      <c r="A19" s="16" t="str">
        <f>HYPERLINK("#'Input - Electricity'!A1", "Electricity")</f>
        <v>Electricity</v>
      </c>
    </row>
    <row r="20" spans="1:8" ht="20.100000000000001" customHeight="1" x14ac:dyDescent="0.25"/>
    <row r="21" spans="1:8" ht="20.100000000000001" customHeight="1" x14ac:dyDescent="0.25"/>
    <row r="22" spans="1:8" ht="20.100000000000001" customHeight="1" x14ac:dyDescent="0.25">
      <c r="A22" s="21" t="s">
        <v>77</v>
      </c>
      <c r="D22" s="9" t="s">
        <v>807</v>
      </c>
    </row>
    <row r="23" spans="1:8" ht="20.100000000000001" customHeight="1" x14ac:dyDescent="0.25">
      <c r="A23" s="16" t="str">
        <f>HYPERLINK("#'15 Scope 3'!A1", "15 Scope 3")</f>
        <v>15 Scope 3</v>
      </c>
    </row>
    <row r="24" spans="1:8" ht="20.100000000000001" customHeight="1" x14ac:dyDescent="0.25">
      <c r="A24" s="16" t="str">
        <f>HYPERLINK("#'10.1.1-2 Solid waste treatment'!A1", "10.1.1-2 Solid waste treatment")</f>
        <v>10.1.1-2 Solid waste treatment</v>
      </c>
      <c r="D24" s="10" t="s">
        <v>801</v>
      </c>
      <c r="E24" s="10" t="s">
        <v>804</v>
      </c>
      <c r="F24" s="10" t="s">
        <v>805</v>
      </c>
      <c r="G24" s="10" t="s">
        <v>802</v>
      </c>
      <c r="H24" s="10" t="s">
        <v>803</v>
      </c>
    </row>
    <row r="25" spans="1:8" ht="20.100000000000001" customHeight="1" x14ac:dyDescent="0.25">
      <c r="A25" s="16" t="str">
        <f>HYPERLINK("#'Calcs - Manure sent off-site'!A1", "Calcs - Manure sent off-site")</f>
        <v>Calcs - Manure sent off-site</v>
      </c>
      <c r="D25" s="10" t="s">
        <v>809</v>
      </c>
      <c r="E25" s="47" t="s">
        <v>806</v>
      </c>
      <c r="F25" s="10">
        <v>65</v>
      </c>
      <c r="G25" s="10">
        <v>20</v>
      </c>
      <c r="H25" s="10">
        <v>52</v>
      </c>
    </row>
    <row r="26" spans="1:8" ht="20.100000000000001" customHeight="1" x14ac:dyDescent="0.25">
      <c r="A26" s="16" t="str">
        <f>HYPERLINK("#'8.1.1.1-2 Transport fuel'!A1", "8.1.1.1-2 Transport fuel")</f>
        <v>8.1.1.1-2 Transport fuel</v>
      </c>
      <c r="D26" s="10"/>
      <c r="E26" s="47"/>
      <c r="F26" s="10"/>
      <c r="G26" s="10"/>
      <c r="H26" s="10"/>
    </row>
    <row r="27" spans="1:8" ht="20.100000000000001" customHeight="1" x14ac:dyDescent="0.25">
      <c r="A27" s="16" t="str">
        <f>HYPERLINK("#'8.2.1.1-2 Stationary fuel'!A1", "8.2.1.1-2 Stationary fuel")</f>
        <v>8.2.1.1-2 Stationary fuel</v>
      </c>
      <c r="D27" s="10"/>
      <c r="E27" s="47"/>
      <c r="F27" s="10"/>
      <c r="G27" s="10"/>
      <c r="H27" s="10"/>
    </row>
    <row r="28" spans="1:8" ht="20.100000000000001" customHeight="1" x14ac:dyDescent="0.25">
      <c r="D28" s="10"/>
      <c r="E28" s="47"/>
      <c r="F28" s="10"/>
      <c r="G28" s="10"/>
      <c r="H28" s="10"/>
    </row>
    <row r="29" spans="1:8" ht="20.100000000000001" customHeight="1" x14ac:dyDescent="0.25">
      <c r="D29" s="10"/>
      <c r="E29" s="47"/>
      <c r="F29" s="10"/>
      <c r="G29" s="10"/>
      <c r="H29" s="10"/>
    </row>
    <row r="30" spans="1:8" ht="20.100000000000001" customHeight="1" x14ac:dyDescent="0.25">
      <c r="A30" s="221" t="s">
        <v>78</v>
      </c>
      <c r="D30" s="10"/>
      <c r="E30" s="47"/>
      <c r="F30" s="10"/>
      <c r="G30" s="10"/>
      <c r="H30" s="10"/>
    </row>
    <row r="31" spans="1:8" ht="20.100000000000001" customHeight="1" x14ac:dyDescent="0.25">
      <c r="A31" s="16" t="str">
        <f>HYPERLINK("#'Constants - Scope 3'!A1", "Constants - Scope 3")</f>
        <v>Constants - Scope 3</v>
      </c>
      <c r="D31" s="10"/>
      <c r="E31" s="47"/>
      <c r="F31" s="10"/>
      <c r="G31" s="10"/>
      <c r="H31" s="10"/>
    </row>
    <row r="32" spans="1:8" ht="20.100000000000001" customHeight="1" x14ac:dyDescent="0.25">
      <c r="A32" s="16" t="str">
        <f>HYPERLINK("#'Constants - Solid Waste'!A1", "Constants - Solid Waste")</f>
        <v>Constants - Solid Waste</v>
      </c>
      <c r="D32" s="10"/>
      <c r="E32" s="47"/>
      <c r="F32" s="10"/>
      <c r="G32" s="10"/>
      <c r="H32" s="10"/>
    </row>
    <row r="33" spans="1:8" ht="20.100000000000001" customHeight="1" x14ac:dyDescent="0.25">
      <c r="A33" s="16" t="str">
        <f>HYPERLINK("#'Constants - Fuel'!A1", "Constants - Fuel")</f>
        <v>Constants - Fuel</v>
      </c>
      <c r="D33" s="10"/>
      <c r="E33" s="47"/>
      <c r="F33" s="10"/>
      <c r="G33" s="10"/>
      <c r="H33" s="10"/>
    </row>
    <row r="34" spans="1:8" ht="20.100000000000001" customHeight="1" x14ac:dyDescent="0.25">
      <c r="A34" s="16" t="str">
        <f>HYPERLINK("#'Constants - Poultry'!A1", "Constants - Poultry")</f>
        <v>Constants - Poultry</v>
      </c>
      <c r="D34" s="10"/>
      <c r="E34" s="47"/>
      <c r="F34" s="10"/>
      <c r="G34" s="10"/>
      <c r="H34" s="10"/>
    </row>
    <row r="35" spans="1:8" ht="20.100000000000001" customHeight="1" x14ac:dyDescent="0.25">
      <c r="A35" s="16" t="str">
        <f>HYPERLINK("#'Constants - Swine'!A1", "Constants - Swine")</f>
        <v>Constants - Swine</v>
      </c>
    </row>
    <row r="36" spans="1:8" ht="20.100000000000001" customHeight="1" x14ac:dyDescent="0.25">
      <c r="A36" s="16" t="str">
        <f>HYPERLINK("#'Constants - Dairy'!A1", "Constants - Dairy")</f>
        <v>Constants - Dairy</v>
      </c>
    </row>
    <row r="37" spans="1:8" ht="20.100000000000001" customHeight="1" x14ac:dyDescent="0.25">
      <c r="A37" s="16" t="str">
        <f>HYPERLINK("#'Constants - Pasture Beef'!A1", "Constants - Pasture Beef")</f>
        <v>Constants - Pasture Beef</v>
      </c>
    </row>
    <row r="38" spans="1:8" ht="20.100000000000001" customHeight="1" x14ac:dyDescent="0.25">
      <c r="A38" s="16" t="str">
        <f>HYPERLINK("#'Constants - Common Livestock'!A1", "Constants - Common Livestock")</f>
        <v>Constants - Common Livestock</v>
      </c>
    </row>
    <row r="39" spans="1:8" ht="20.100000000000001" customHeight="1" x14ac:dyDescent="0.25">
      <c r="A39" s="16" t="str">
        <f>HYPERLINK("#'Constants - Fertiliser'!A1", "Constants - Fertiliser")</f>
        <v>Constants - Fertiliser</v>
      </c>
    </row>
    <row r="40" spans="1:8" ht="20.100000000000001" customHeight="1" x14ac:dyDescent="0.25">
      <c r="A40" s="16" t="str">
        <f>HYPERLINK("#'Constants - Electricity'!A1", "Constants - Electricity")</f>
        <v>Constants - Electricity</v>
      </c>
    </row>
    <row r="41" spans="1:8" ht="20.100000000000001" customHeight="1" x14ac:dyDescent="0.25">
      <c r="A41" s="16" t="str">
        <f>HYPERLINK("#'Constants - Common'!A1", "Constants - Common")</f>
        <v>Constants - Common</v>
      </c>
    </row>
    <row r="42" spans="1:8" ht="20.100000000000001" customHeight="1" x14ac:dyDescent="0.25"/>
    <row r="43" spans="1:8" ht="20.100000000000001" customHeight="1" x14ac:dyDescent="0.25"/>
    <row r="44" spans="1:8" ht="20.100000000000001" customHeight="1" x14ac:dyDescent="0.25"/>
    <row r="45" spans="1:8" ht="20.100000000000001" customHeight="1" x14ac:dyDescent="0.25"/>
    <row r="46" spans="1:8" ht="20.100000000000001" customHeight="1" x14ac:dyDescent="0.25"/>
    <row r="47" spans="1:8" ht="20.100000000000001" customHeight="1" x14ac:dyDescent="0.25"/>
    <row r="48" spans="1:8" ht="20.100000000000001" customHeight="1" x14ac:dyDescent="0.25"/>
    <row r="49" ht="20.100000000000001" customHeight="1" x14ac:dyDescent="0.25"/>
    <row r="50" ht="20.100000000000001" customHeight="1" x14ac:dyDescent="0.25"/>
    <row r="51" ht="20.100000000000001" customHeight="1" x14ac:dyDescent="0.25"/>
  </sheetData>
  <dataValidations count="1">
    <dataValidation type="list" allowBlank="1" showInputMessage="1" showErrorMessage="1" sqref="E9:E18 E25:E34" xr:uid="{E5599834-00AF-4A23-A24E-801FCFC13438}">
      <formula1>"Transport in truck, Rail, Long haul flight, medium haul flight, Small container ship, Large container ship"</formula1>
    </dataValidation>
  </dataValidations>
  <pageMargins left="0.7" right="0.7" top="0.75" bottom="0.75" header="0.3" footer="0.3"/>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2E129-2514-436A-B239-96858FB239A4}">
  <sheetPr>
    <tabColor theme="5" tint="-0.249977111117893"/>
  </sheetPr>
  <dimension ref="A1:L385"/>
  <sheetViews>
    <sheetView showGridLines="0" zoomScaleNormal="100" workbookViewId="0">
      <selection activeCell="A41" sqref="A41"/>
    </sheetView>
  </sheetViews>
  <sheetFormatPr defaultRowHeight="15.75" x14ac:dyDescent="0.25"/>
  <cols>
    <col min="1" max="1" width="26.875" style="3" customWidth="1"/>
    <col min="2" max="2" width="4.125" style="3" customWidth="1"/>
    <col min="3" max="3" width="4.125" style="8" customWidth="1"/>
    <col min="4" max="4" width="58.375" style="8" customWidth="1"/>
    <col min="5" max="5" width="41.125" style="8" customWidth="1"/>
    <col min="6" max="6" width="59.25" style="8" customWidth="1"/>
    <col min="7" max="7" width="27" style="8" customWidth="1"/>
    <col min="8" max="8" width="21.75" style="8" customWidth="1"/>
    <col min="9" max="9" width="26" style="8" customWidth="1"/>
    <col min="10" max="10" width="4.125" style="8" customWidth="1"/>
    <col min="11" max="11" width="4.125" style="3" customWidth="1"/>
    <col min="12" max="16384" width="9" style="3"/>
  </cols>
  <sheetData>
    <row r="1" spans="1:10" s="37" customFormat="1" ht="30" customHeight="1" x14ac:dyDescent="0.35">
      <c r="A1" s="37" t="e" vm="1">
        <v>#VALUE!</v>
      </c>
      <c r="C1" s="37" t="s">
        <v>872</v>
      </c>
    </row>
    <row r="2" spans="1:10" s="2" customFormat="1" ht="20.100000000000001" customHeight="1" x14ac:dyDescent="0.25">
      <c r="A2"/>
    </row>
    <row r="3" spans="1:10" ht="20.100000000000001" customHeight="1" x14ac:dyDescent="0.25">
      <c r="A3" s="16" t="str">
        <f>HYPERLINK("#'Overview'!A1", "Overview")</f>
        <v>Overview</v>
      </c>
      <c r="C3" s="38"/>
      <c r="D3" s="38"/>
      <c r="E3" s="38"/>
      <c r="F3" s="38"/>
      <c r="G3" s="38"/>
      <c r="H3" s="38"/>
      <c r="I3" s="38"/>
      <c r="J3" s="38"/>
    </row>
    <row r="4" spans="1:10" ht="20.100000000000001" customHeight="1" x14ac:dyDescent="0.25">
      <c r="A4" s="16" t="str">
        <f>HYPERLINK("#'Results'!A1", "Results")</f>
        <v>Results</v>
      </c>
    </row>
    <row r="5" spans="1:10" ht="20.100000000000001" customHeight="1" x14ac:dyDescent="0.25">
      <c r="A5"/>
      <c r="D5" s="9" t="s">
        <v>873</v>
      </c>
    </row>
    <row r="6" spans="1:10" ht="20.100000000000001" customHeight="1" x14ac:dyDescent="0.25">
      <c r="A6"/>
    </row>
    <row r="7" spans="1:10" ht="20.100000000000001" customHeight="1" x14ac:dyDescent="0.25">
      <c r="A7" s="19" t="s">
        <v>67</v>
      </c>
      <c r="D7" s="95" t="s">
        <v>120</v>
      </c>
      <c r="E7" s="96"/>
    </row>
    <row r="8" spans="1:10" ht="20.100000000000001" customHeight="1" x14ac:dyDescent="0.25">
      <c r="A8" s="16" t="str">
        <f>HYPERLINK("#'Input - Site'!A1", "Site")</f>
        <v>Site</v>
      </c>
    </row>
    <row r="9" spans="1:10" ht="20.100000000000001" customHeight="1" x14ac:dyDescent="0.25">
      <c r="A9" s="16" t="str">
        <f>HYPERLINK("#'Input - Fuel'!A1", "Fuel")</f>
        <v>Fuel</v>
      </c>
      <c r="D9" s="46" t="s">
        <v>246</v>
      </c>
      <c r="E9" s="46" t="s">
        <v>773</v>
      </c>
      <c r="F9" s="46" t="s">
        <v>774</v>
      </c>
      <c r="G9" s="46" t="s">
        <v>775</v>
      </c>
      <c r="H9" s="46" t="s">
        <v>594</v>
      </c>
      <c r="I9" s="46" t="s">
        <v>776</v>
      </c>
    </row>
    <row r="10" spans="1:10" ht="20.100000000000001" customHeight="1" x14ac:dyDescent="0.25">
      <c r="A10" s="16" t="str">
        <f>HYPERLINK("#'Input - Fertiliser'!A1", "Fertiliser")</f>
        <v>Fertiliser</v>
      </c>
      <c r="D10" s="10" t="s">
        <v>874</v>
      </c>
      <c r="E10" s="47" t="s">
        <v>875</v>
      </c>
      <c r="F10" s="47" t="s">
        <v>778</v>
      </c>
      <c r="G10" s="47" t="s">
        <v>779</v>
      </c>
      <c r="H10" s="66">
        <v>50</v>
      </c>
      <c r="I10" s="47" t="s">
        <v>781</v>
      </c>
    </row>
    <row r="11" spans="1:10" ht="20.100000000000001" customHeight="1" x14ac:dyDescent="0.25">
      <c r="A11" s="16" t="str">
        <f>HYPERLINK("#'Input - Farm Inputs'!A1", "Farm Inputs")</f>
        <v>Farm Inputs</v>
      </c>
      <c r="D11" s="10" t="s">
        <v>876</v>
      </c>
      <c r="E11" s="47" t="s">
        <v>875</v>
      </c>
      <c r="F11" s="47" t="s">
        <v>778</v>
      </c>
      <c r="G11" s="47" t="s">
        <v>877</v>
      </c>
      <c r="H11" s="66">
        <v>50</v>
      </c>
      <c r="I11" s="47" t="s">
        <v>780</v>
      </c>
    </row>
    <row r="12" spans="1:10" ht="20.100000000000001" customHeight="1" x14ac:dyDescent="0.25">
      <c r="A12" s="16" t="str">
        <f>HYPERLINK("#'Input - Beef cattle purchases'!A1", "Beef cattle purchases")</f>
        <v>Beef cattle purchases</v>
      </c>
      <c r="D12" s="10" t="s">
        <v>878</v>
      </c>
      <c r="E12" s="47" t="s">
        <v>875</v>
      </c>
      <c r="F12" s="47" t="s">
        <v>783</v>
      </c>
      <c r="G12" s="47" t="s">
        <v>779</v>
      </c>
      <c r="H12" s="66">
        <v>50</v>
      </c>
      <c r="I12" s="47" t="s">
        <v>781</v>
      </c>
    </row>
    <row r="13" spans="1:10" ht="20.100000000000001" customHeight="1" x14ac:dyDescent="0.25">
      <c r="A13" s="16" t="str">
        <f>HYPERLINK("#'Input - Dairy cattle purchases'!A1", "Dairy cattle purchases")</f>
        <v>Dairy cattle purchases</v>
      </c>
      <c r="D13" s="10" t="s">
        <v>879</v>
      </c>
      <c r="E13" s="47" t="s">
        <v>875</v>
      </c>
      <c r="F13" s="47" t="s">
        <v>783</v>
      </c>
      <c r="G13" s="47" t="s">
        <v>877</v>
      </c>
      <c r="H13" s="66">
        <v>50</v>
      </c>
      <c r="I13" s="47" t="s">
        <v>780</v>
      </c>
    </row>
    <row r="14" spans="1:10" ht="20.100000000000001" customHeight="1" x14ac:dyDescent="0.25">
      <c r="A14" s="16" t="str">
        <f>HYPERLINK("#'Input - Pig purchases'!A1", "Pig purchases")</f>
        <v>Pig purchases</v>
      </c>
      <c r="D14" s="10" t="s">
        <v>880</v>
      </c>
      <c r="E14" s="47" t="s">
        <v>782</v>
      </c>
      <c r="F14" s="47" t="s">
        <v>783</v>
      </c>
      <c r="G14" s="47" t="s">
        <v>779</v>
      </c>
      <c r="H14" s="66">
        <v>50</v>
      </c>
      <c r="I14" s="47" t="s">
        <v>781</v>
      </c>
    </row>
    <row r="15" spans="1:10" ht="20.100000000000001" customHeight="1" x14ac:dyDescent="0.25">
      <c r="A15" s="16" t="str">
        <f>HYPERLINK("#'Input - Poultry purchases'!A1", "Poultry purchases")</f>
        <v>Poultry purchases</v>
      </c>
      <c r="D15" s="10" t="s">
        <v>881</v>
      </c>
      <c r="E15" s="47" t="s">
        <v>782</v>
      </c>
      <c r="F15" s="47" t="s">
        <v>783</v>
      </c>
      <c r="G15" s="47" t="s">
        <v>779</v>
      </c>
      <c r="H15" s="66">
        <v>50</v>
      </c>
      <c r="I15" s="47" t="s">
        <v>780</v>
      </c>
    </row>
    <row r="16" spans="1:10" ht="20.100000000000001" customHeight="1" x14ac:dyDescent="0.25">
      <c r="A16" s="16" t="str">
        <f>HYPERLINK("#'Input - Freight'!A1", "Freight")</f>
        <v>Freight</v>
      </c>
      <c r="D16" s="10" t="s">
        <v>882</v>
      </c>
      <c r="E16" s="47" t="s">
        <v>782</v>
      </c>
      <c r="F16" s="47" t="s">
        <v>783</v>
      </c>
      <c r="G16" s="47" t="s">
        <v>877</v>
      </c>
      <c r="H16" s="66">
        <v>50</v>
      </c>
      <c r="I16" s="47" t="s">
        <v>781</v>
      </c>
    </row>
    <row r="17" spans="1:11" ht="20.100000000000001" customHeight="1" x14ac:dyDescent="0.25">
      <c r="A17" s="42" t="str">
        <f>HYPERLINK("#'Input - Solid waste'!A1", "Solid waste")</f>
        <v>Solid waste</v>
      </c>
      <c r="D17" s="10" t="s">
        <v>883</v>
      </c>
      <c r="E17" s="47" t="s">
        <v>782</v>
      </c>
      <c r="F17" s="47" t="s">
        <v>783</v>
      </c>
      <c r="G17" s="47" t="s">
        <v>877</v>
      </c>
      <c r="H17" s="66">
        <v>50</v>
      </c>
      <c r="I17" s="47" t="s">
        <v>780</v>
      </c>
    </row>
    <row r="18" spans="1:11" ht="20.100000000000001" customHeight="1" x14ac:dyDescent="0.25">
      <c r="A18" s="16" t="str">
        <f>HYPERLINK("#'Input - Manure sent off-site'!A1", "Manure sent off-site")</f>
        <v>Manure sent off-site</v>
      </c>
      <c r="D18" s="10" t="s">
        <v>884</v>
      </c>
      <c r="E18" s="47" t="s">
        <v>782</v>
      </c>
      <c r="F18" s="47" t="s">
        <v>778</v>
      </c>
      <c r="G18" s="47" t="s">
        <v>779</v>
      </c>
      <c r="H18" s="66">
        <v>50</v>
      </c>
      <c r="I18" s="47" t="s">
        <v>781</v>
      </c>
    </row>
    <row r="19" spans="1:11" ht="20.100000000000001" customHeight="1" x14ac:dyDescent="0.25">
      <c r="A19" s="16" t="str">
        <f>HYPERLINK("#'Input - Electricity'!A1", "Electricity")</f>
        <v>Electricity</v>
      </c>
      <c r="D19" s="10" t="s">
        <v>885</v>
      </c>
      <c r="E19" s="47" t="s">
        <v>782</v>
      </c>
      <c r="F19" s="47" t="s">
        <v>778</v>
      </c>
      <c r="G19" s="47" t="s">
        <v>779</v>
      </c>
      <c r="H19" s="66">
        <v>50</v>
      </c>
      <c r="I19" s="47" t="s">
        <v>780</v>
      </c>
    </row>
    <row r="20" spans="1:11" ht="20.100000000000001" customHeight="1" x14ac:dyDescent="0.25">
      <c r="A20"/>
      <c r="D20" s="10" t="s">
        <v>886</v>
      </c>
      <c r="E20" s="47" t="s">
        <v>782</v>
      </c>
      <c r="F20" s="47" t="s">
        <v>778</v>
      </c>
      <c r="G20" s="47" t="s">
        <v>877</v>
      </c>
      <c r="H20" s="66">
        <v>50</v>
      </c>
      <c r="I20" s="47" t="s">
        <v>781</v>
      </c>
    </row>
    <row r="21" spans="1:11" ht="20.100000000000001" customHeight="1" x14ac:dyDescent="0.25">
      <c r="A21"/>
      <c r="D21" s="10" t="s">
        <v>887</v>
      </c>
      <c r="E21" s="47" t="s">
        <v>782</v>
      </c>
      <c r="F21" s="47" t="s">
        <v>778</v>
      </c>
      <c r="G21" s="47" t="s">
        <v>877</v>
      </c>
      <c r="H21" s="66">
        <v>50</v>
      </c>
      <c r="I21" s="47" t="s">
        <v>780</v>
      </c>
    </row>
    <row r="22" spans="1:11" ht="20.100000000000001" customHeight="1" x14ac:dyDescent="0.25">
      <c r="A22" s="21" t="s">
        <v>77</v>
      </c>
      <c r="D22" s="10" t="s">
        <v>888</v>
      </c>
      <c r="E22" s="47" t="s">
        <v>782</v>
      </c>
      <c r="F22" s="47" t="s">
        <v>889</v>
      </c>
      <c r="G22" s="47" t="s">
        <v>779</v>
      </c>
      <c r="H22" s="66">
        <v>50</v>
      </c>
      <c r="I22" s="47" t="s">
        <v>781</v>
      </c>
    </row>
    <row r="23" spans="1:11" ht="20.100000000000001" customHeight="1" x14ac:dyDescent="0.25">
      <c r="A23" s="16" t="str">
        <f>HYPERLINK("#'15 Scope 3'!A1", "15 Scope 3")</f>
        <v>15 Scope 3</v>
      </c>
      <c r="D23" s="10" t="s">
        <v>890</v>
      </c>
      <c r="E23" s="47" t="s">
        <v>782</v>
      </c>
      <c r="F23" s="47" t="s">
        <v>889</v>
      </c>
      <c r="G23" s="47" t="s">
        <v>779</v>
      </c>
      <c r="H23" s="66">
        <v>50</v>
      </c>
      <c r="I23" s="47" t="s">
        <v>780</v>
      </c>
    </row>
    <row r="24" spans="1:11" ht="20.100000000000001" customHeight="1" x14ac:dyDescent="0.25">
      <c r="A24" s="16" t="str">
        <f>HYPERLINK("#'10.1.1-2 Solid waste treatment'!A1", "10.1.1-2 Solid waste treatment")</f>
        <v>10.1.1-2 Solid waste treatment</v>
      </c>
      <c r="D24" s="10" t="s">
        <v>891</v>
      </c>
      <c r="E24" s="47" t="s">
        <v>782</v>
      </c>
      <c r="F24" s="47" t="s">
        <v>889</v>
      </c>
      <c r="G24" s="47" t="s">
        <v>877</v>
      </c>
      <c r="H24" s="66">
        <v>50</v>
      </c>
      <c r="I24" s="47" t="s">
        <v>781</v>
      </c>
    </row>
    <row r="25" spans="1:11" ht="20.100000000000001" customHeight="1" x14ac:dyDescent="0.25">
      <c r="A25" s="16" t="str">
        <f>HYPERLINK("#'Calcs - Manure sent off-site'!A1", "Calcs - Manure sent off-site")</f>
        <v>Calcs - Manure sent off-site</v>
      </c>
      <c r="D25" s="10" t="s">
        <v>892</v>
      </c>
      <c r="E25" s="47" t="s">
        <v>782</v>
      </c>
      <c r="F25" s="47" t="s">
        <v>889</v>
      </c>
      <c r="G25" s="47" t="s">
        <v>877</v>
      </c>
      <c r="H25" s="66">
        <v>50</v>
      </c>
      <c r="I25" s="47" t="s">
        <v>780</v>
      </c>
    </row>
    <row r="26" spans="1:11" ht="20.100000000000001" customHeight="1" x14ac:dyDescent="0.25">
      <c r="A26" s="16" t="str">
        <f>HYPERLINK("#'8.1.1.1-2 Transport fuel'!A1", "8.1.1.1-2 Transport fuel")</f>
        <v>8.1.1.1-2 Transport fuel</v>
      </c>
      <c r="D26" s="10" t="s">
        <v>893</v>
      </c>
      <c r="E26" s="47" t="s">
        <v>777</v>
      </c>
      <c r="F26" s="47" t="s">
        <v>778</v>
      </c>
      <c r="G26" s="47" t="s">
        <v>877</v>
      </c>
      <c r="H26" s="66">
        <v>50</v>
      </c>
      <c r="I26" s="47" t="s">
        <v>781</v>
      </c>
    </row>
    <row r="27" spans="1:11" ht="20.100000000000001" customHeight="1" x14ac:dyDescent="0.25">
      <c r="A27" s="16" t="str">
        <f>HYPERLINK("#'8.2.1.1-2 Stationary fuel'!A1", "8.2.1.1-2 Stationary fuel")</f>
        <v>8.2.1.1-2 Stationary fuel</v>
      </c>
      <c r="D27" s="10" t="s">
        <v>894</v>
      </c>
      <c r="E27" s="47" t="s">
        <v>777</v>
      </c>
      <c r="F27" s="47" t="s">
        <v>778</v>
      </c>
      <c r="G27" s="47" t="s">
        <v>877</v>
      </c>
      <c r="H27" s="66">
        <v>50</v>
      </c>
      <c r="I27" s="47" t="s">
        <v>780</v>
      </c>
    </row>
    <row r="28" spans="1:11" ht="20.100000000000001" customHeight="1" x14ac:dyDescent="0.25">
      <c r="A28"/>
      <c r="D28" s="10" t="s">
        <v>895</v>
      </c>
      <c r="E28" s="47" t="s">
        <v>777</v>
      </c>
      <c r="F28" s="47" t="s">
        <v>889</v>
      </c>
      <c r="G28" s="47" t="s">
        <v>877</v>
      </c>
      <c r="H28" s="66">
        <v>50</v>
      </c>
      <c r="I28" s="47" t="s">
        <v>781</v>
      </c>
    </row>
    <row r="29" spans="1:11" ht="20.100000000000001" customHeight="1" x14ac:dyDescent="0.25">
      <c r="A29"/>
      <c r="D29" s="10" t="s">
        <v>896</v>
      </c>
      <c r="E29" s="47" t="s">
        <v>777</v>
      </c>
      <c r="F29" s="47" t="s">
        <v>889</v>
      </c>
      <c r="G29" s="47" t="s">
        <v>877</v>
      </c>
      <c r="H29" s="66">
        <v>50</v>
      </c>
      <c r="I29" s="47" t="s">
        <v>780</v>
      </c>
      <c r="K29" s="52"/>
    </row>
    <row r="30" spans="1:11" ht="20.100000000000001" customHeight="1" x14ac:dyDescent="0.25">
      <c r="A30" s="221" t="s">
        <v>78</v>
      </c>
      <c r="D30" s="10" t="s">
        <v>897</v>
      </c>
      <c r="E30" s="47" t="s">
        <v>777</v>
      </c>
      <c r="F30" s="47" t="s">
        <v>889</v>
      </c>
      <c r="G30" s="47" t="s">
        <v>779</v>
      </c>
      <c r="H30" s="66">
        <v>50</v>
      </c>
      <c r="I30" s="47" t="s">
        <v>781</v>
      </c>
      <c r="K30" s="52"/>
    </row>
    <row r="31" spans="1:11" ht="20.100000000000001" customHeight="1" x14ac:dyDescent="0.25">
      <c r="A31" s="16" t="str">
        <f>HYPERLINK("#'Constants - Scope 3'!A1", "Constants - Scope 3")</f>
        <v>Constants - Scope 3</v>
      </c>
      <c r="D31" s="10" t="s">
        <v>898</v>
      </c>
      <c r="E31" s="47" t="s">
        <v>777</v>
      </c>
      <c r="F31" s="47" t="s">
        <v>889</v>
      </c>
      <c r="G31" s="47" t="s">
        <v>779</v>
      </c>
      <c r="H31" s="66">
        <v>50</v>
      </c>
      <c r="I31" s="47" t="s">
        <v>780</v>
      </c>
      <c r="K31" s="52"/>
    </row>
    <row r="32" spans="1:11" ht="20.100000000000001" customHeight="1" x14ac:dyDescent="0.25">
      <c r="A32" s="16" t="str">
        <f>HYPERLINK("#'Constants - Solid Waste'!A1", "Constants - Solid Waste")</f>
        <v>Constants - Solid Waste</v>
      </c>
      <c r="D32" s="10" t="s">
        <v>896</v>
      </c>
      <c r="E32" s="47" t="s">
        <v>777</v>
      </c>
      <c r="F32" s="47" t="s">
        <v>889</v>
      </c>
      <c r="G32" s="47" t="s">
        <v>877</v>
      </c>
      <c r="H32" s="66">
        <v>50</v>
      </c>
      <c r="I32" s="47" t="s">
        <v>780</v>
      </c>
      <c r="K32" s="52"/>
    </row>
    <row r="33" spans="1:12" ht="20.100000000000001" customHeight="1" x14ac:dyDescent="0.25">
      <c r="A33" s="16" t="str">
        <f>HYPERLINK("#'Constants - Fuel'!A1", "Constants - Fuel")</f>
        <v>Constants - Fuel</v>
      </c>
      <c r="K33" s="52"/>
    </row>
    <row r="34" spans="1:12" ht="20.100000000000001" customHeight="1" x14ac:dyDescent="0.25">
      <c r="A34" s="16" t="str">
        <f>HYPERLINK("#'Constants - Poultry'!A1", "Constants - Poultry")</f>
        <v>Constants - Poultry</v>
      </c>
      <c r="K34" s="52"/>
    </row>
    <row r="35" spans="1:12" ht="20.100000000000001" customHeight="1" x14ac:dyDescent="0.25">
      <c r="A35" s="16" t="str">
        <f>HYPERLINK("#'Constants - Swine'!A1", "Constants - Swine")</f>
        <v>Constants - Swine</v>
      </c>
    </row>
    <row r="36" spans="1:12" ht="20.100000000000001" customHeight="1" x14ac:dyDescent="0.25">
      <c r="A36" s="16" t="str">
        <f>HYPERLINK("#'Constants - Dairy'!A1", "Constants - Dairy")</f>
        <v>Constants - Dairy</v>
      </c>
      <c r="L36" s="52"/>
    </row>
    <row r="37" spans="1:12" ht="20.100000000000001" customHeight="1" x14ac:dyDescent="0.25">
      <c r="A37" s="16" t="str">
        <f>HYPERLINK("#'Constants - Pasture Beef'!A1", "Constants - Pasture Beef")</f>
        <v>Constants - Pasture Beef</v>
      </c>
      <c r="L37" s="52"/>
    </row>
    <row r="38" spans="1:12" ht="20.100000000000001" customHeight="1" x14ac:dyDescent="0.25">
      <c r="A38" s="16" t="str">
        <f>HYPERLINK("#'Constants - Common Livestock'!A1", "Constants - Common Livestock")</f>
        <v>Constants - Common Livestock</v>
      </c>
      <c r="C38" s="51"/>
    </row>
    <row r="39" spans="1:12" ht="20.100000000000001" customHeight="1" x14ac:dyDescent="0.25">
      <c r="A39" s="16" t="str">
        <f>HYPERLINK("#'Constants - Fertiliser'!A1", "Constants - Fertiliser")</f>
        <v>Constants - Fertiliser</v>
      </c>
      <c r="C39" s="51"/>
      <c r="J39" s="51"/>
    </row>
    <row r="40" spans="1:12" s="52" customFormat="1" ht="20.100000000000001" customHeight="1" x14ac:dyDescent="0.25">
      <c r="A40" s="16" t="str">
        <f>HYPERLINK("#'Constants - Electricity'!A1", "Constants - Electricity")</f>
        <v>Constants - Electricity</v>
      </c>
      <c r="C40" s="8"/>
      <c r="D40" s="8"/>
      <c r="E40" s="8"/>
      <c r="F40" s="8"/>
      <c r="G40" s="8"/>
      <c r="H40" s="8"/>
      <c r="I40" s="8"/>
      <c r="J40" s="8"/>
    </row>
    <row r="41" spans="1:12" s="52" customFormat="1" ht="20.100000000000001" customHeight="1" x14ac:dyDescent="0.25">
      <c r="A41" s="16" t="str">
        <f>HYPERLINK("#'Constants - Common'!A1", "Constants - Common")</f>
        <v>Constants - Common</v>
      </c>
      <c r="C41" s="8"/>
      <c r="D41" s="8"/>
      <c r="E41" s="8"/>
      <c r="F41" s="8"/>
      <c r="G41" s="8"/>
      <c r="H41" s="8"/>
      <c r="I41" s="8"/>
      <c r="J41" s="8"/>
      <c r="L41" s="52" t="s">
        <v>256</v>
      </c>
    </row>
    <row r="42" spans="1:12" ht="20.100000000000001" customHeight="1" x14ac:dyDescent="0.25">
      <c r="A42"/>
    </row>
    <row r="43" spans="1:12" ht="20.100000000000001" customHeight="1" x14ac:dyDescent="0.25">
      <c r="A43"/>
    </row>
    <row r="44" spans="1:12" ht="20.100000000000001" customHeight="1" x14ac:dyDescent="0.25">
      <c r="A44"/>
    </row>
    <row r="45" spans="1:12" ht="20.100000000000001" customHeight="1" x14ac:dyDescent="0.25">
      <c r="A45"/>
    </row>
    <row r="46" spans="1:12" ht="20.100000000000001" customHeight="1" x14ac:dyDescent="0.25">
      <c r="A46"/>
    </row>
    <row r="47" spans="1:12" ht="20.100000000000001" customHeight="1" x14ac:dyDescent="0.25">
      <c r="A47"/>
    </row>
    <row r="48" spans="1:12" ht="20.100000000000001" customHeight="1" x14ac:dyDescent="0.25">
      <c r="A48"/>
    </row>
    <row r="49" spans="1:1" ht="20.100000000000001" customHeight="1" x14ac:dyDescent="0.25">
      <c r="A49"/>
    </row>
    <row r="50" spans="1:1" ht="20.100000000000001" customHeight="1" x14ac:dyDescent="0.25">
      <c r="A50"/>
    </row>
    <row r="51" spans="1:1" ht="20.100000000000001" customHeight="1" x14ac:dyDescent="0.25">
      <c r="A51"/>
    </row>
    <row r="52" spans="1:1" ht="20.100000000000001" customHeight="1" x14ac:dyDescent="0.25">
      <c r="A52"/>
    </row>
    <row r="53" spans="1:1" ht="20.100000000000001" customHeight="1" x14ac:dyDescent="0.25">
      <c r="A53"/>
    </row>
    <row r="54" spans="1:1" ht="20.100000000000001" customHeight="1" x14ac:dyDescent="0.25">
      <c r="A54"/>
    </row>
    <row r="55" spans="1:1" ht="20.100000000000001" customHeight="1" x14ac:dyDescent="0.25">
      <c r="A55"/>
    </row>
    <row r="56" spans="1:1" ht="20.100000000000001" customHeight="1" x14ac:dyDescent="0.25">
      <c r="A56"/>
    </row>
    <row r="57" spans="1:1" ht="20.100000000000001" customHeight="1" x14ac:dyDescent="0.25">
      <c r="A57"/>
    </row>
    <row r="58" spans="1:1" ht="20.100000000000001" customHeight="1" x14ac:dyDescent="0.25">
      <c r="A58"/>
    </row>
    <row r="59" spans="1:1" ht="20.100000000000001" customHeight="1" x14ac:dyDescent="0.25">
      <c r="A59"/>
    </row>
    <row r="60" spans="1:1" ht="20.100000000000001" customHeight="1" x14ac:dyDescent="0.25">
      <c r="A60"/>
    </row>
    <row r="61" spans="1:1" ht="20.100000000000001" customHeight="1" x14ac:dyDescent="0.25">
      <c r="A61"/>
    </row>
    <row r="62" spans="1:1" ht="20.100000000000001" customHeight="1" x14ac:dyDescent="0.25">
      <c r="A62"/>
    </row>
    <row r="63" spans="1:1" ht="20.100000000000001" customHeight="1" x14ac:dyDescent="0.25">
      <c r="A63"/>
    </row>
    <row r="64" spans="1:1" ht="20.100000000000001" customHeight="1" x14ac:dyDescent="0.25">
      <c r="A64"/>
    </row>
    <row r="65" spans="1:4" ht="20.100000000000001" customHeight="1" x14ac:dyDescent="0.25">
      <c r="A65"/>
    </row>
    <row r="66" spans="1:4" ht="20.100000000000001" customHeight="1" x14ac:dyDescent="0.25">
      <c r="A66"/>
    </row>
    <row r="67" spans="1:4" ht="20.100000000000001" customHeight="1" x14ac:dyDescent="0.25">
      <c r="A67"/>
    </row>
    <row r="68" spans="1:4" ht="20.100000000000001" customHeight="1" x14ac:dyDescent="0.25">
      <c r="A68"/>
    </row>
    <row r="69" spans="1:4" ht="20.100000000000001" customHeight="1" x14ac:dyDescent="0.25">
      <c r="A69"/>
    </row>
    <row r="70" spans="1:4" ht="20.100000000000001" customHeight="1" x14ac:dyDescent="0.25">
      <c r="A70"/>
    </row>
    <row r="71" spans="1:4" ht="20.100000000000001" customHeight="1" x14ac:dyDescent="0.25">
      <c r="A71"/>
    </row>
    <row r="72" spans="1:4" ht="20.100000000000001" customHeight="1" x14ac:dyDescent="0.25">
      <c r="A72"/>
    </row>
    <row r="73" spans="1:4" ht="20.100000000000001" customHeight="1" x14ac:dyDescent="0.25">
      <c r="A73"/>
      <c r="D73" s="101"/>
    </row>
    <row r="74" spans="1:4" ht="20.100000000000001" customHeight="1" x14ac:dyDescent="0.25">
      <c r="A74"/>
    </row>
    <row r="75" spans="1:4" ht="20.100000000000001" customHeight="1" x14ac:dyDescent="0.25">
      <c r="A75"/>
      <c r="D75" s="101"/>
    </row>
    <row r="76" spans="1:4" ht="20.100000000000001" customHeight="1" x14ac:dyDescent="0.25">
      <c r="A76"/>
      <c r="D76" s="101"/>
    </row>
    <row r="77" spans="1:4" ht="20.100000000000001" customHeight="1" x14ac:dyDescent="0.25">
      <c r="A77"/>
    </row>
    <row r="78" spans="1:4" ht="20.100000000000001" customHeight="1" x14ac:dyDescent="0.25">
      <c r="A78"/>
    </row>
    <row r="79" spans="1:4" ht="20.100000000000001" customHeight="1" x14ac:dyDescent="0.25">
      <c r="A79"/>
    </row>
    <row r="80" spans="1:4"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85" spans="4:4" x14ac:dyDescent="0.25">
      <c r="D385" s="54"/>
    </row>
  </sheetData>
  <conditionalFormatting sqref="F162:F163">
    <cfRule type="cellIs" dxfId="33" priority="7" operator="lessThan">
      <formula>0</formula>
    </cfRule>
  </conditionalFormatting>
  <conditionalFormatting sqref="F174:F175">
    <cfRule type="cellIs" dxfId="32" priority="6" operator="lessThan">
      <formula>0</formula>
    </cfRule>
  </conditionalFormatting>
  <conditionalFormatting sqref="F186:F187">
    <cfRule type="cellIs" dxfId="31" priority="5" operator="lessThan">
      <formula>0</formula>
    </cfRule>
  </conditionalFormatting>
  <conditionalFormatting sqref="F274:F275">
    <cfRule type="cellIs" dxfId="30" priority="17" operator="lessThan">
      <formula>0</formula>
    </cfRule>
  </conditionalFormatting>
  <conditionalFormatting sqref="F279:F280">
    <cfRule type="cellIs" dxfId="29" priority="16" operator="lessThan">
      <formula>0</formula>
    </cfRule>
  </conditionalFormatting>
  <conditionalFormatting sqref="F284:F285">
    <cfRule type="cellIs" dxfId="28" priority="15" operator="lessThan">
      <formula>0</formula>
    </cfRule>
  </conditionalFormatting>
  <conditionalFormatting sqref="F308:F309">
    <cfRule type="cellIs" dxfId="27" priority="14" operator="lessThan">
      <formula>0</formula>
    </cfRule>
  </conditionalFormatting>
  <conditionalFormatting sqref="F313:F314">
    <cfRule type="cellIs" dxfId="26" priority="13" operator="lessThan">
      <formula>0</formula>
    </cfRule>
  </conditionalFormatting>
  <conditionalFormatting sqref="F318:F319">
    <cfRule type="cellIs" dxfId="25" priority="12" operator="lessThan">
      <formula>0</formula>
    </cfRule>
  </conditionalFormatting>
  <conditionalFormatting sqref="I33 F71">
    <cfRule type="cellIs" dxfId="24" priority="9" operator="lessThan">
      <formula>0</formula>
    </cfRule>
  </conditionalFormatting>
  <conditionalFormatting sqref="I79:I83">
    <cfRule type="cellIs" dxfId="23" priority="4" operator="lessThan">
      <formula>0</formula>
    </cfRule>
  </conditionalFormatting>
  <conditionalFormatting sqref="I87 I146">
    <cfRule type="cellIs" dxfId="22" priority="10" operator="lessThan">
      <formula>0</formula>
    </cfRule>
  </conditionalFormatting>
  <conditionalFormatting sqref="I98:I100">
    <cfRule type="cellIs" dxfId="21" priority="3" operator="lessThan">
      <formula>0</formula>
    </cfRule>
  </conditionalFormatting>
  <conditionalFormatting sqref="I104:I107">
    <cfRule type="cellIs" dxfId="20" priority="2" operator="lessThan">
      <formula>0</formula>
    </cfRule>
  </conditionalFormatting>
  <conditionalFormatting sqref="I111:I115">
    <cfRule type="cellIs" dxfId="19" priority="1" operator="lessThan">
      <formula>0</formula>
    </cfRule>
  </conditionalFormatting>
  <conditionalFormatting sqref="J8 I65:I66 H67:H69 I68 I70:I72 I74:I75 I226 I232 E234:G234">
    <cfRule type="cellIs" dxfId="18" priority="11" operator="lessThan">
      <formula>0</formula>
    </cfRule>
  </conditionalFormatting>
  <conditionalFormatting sqref="J37 I59 F150:F151">
    <cfRule type="cellIs" dxfId="17" priority="8" operator="lessThan">
      <formula>0</formula>
    </cfRule>
  </conditionalFormatting>
  <dataValidations count="9">
    <dataValidation type="list" allowBlank="1" showInputMessage="1" showErrorMessage="1" sqref="F10:F32" xr:uid="{3C413EC2-E519-4C16-927A-775B2F03F55D}">
      <formula1>INDIRECT("Table_WasteTypes_" &amp; SUBSTITUTE(E10, " ", "") &amp; "[Waste type w]")</formula1>
    </dataValidation>
    <dataValidation type="list" allowBlank="1" showInputMessage="1" showErrorMessage="1" sqref="I10:I32" xr:uid="{55BF224D-9E13-4B63-91BE-14937480276D}">
      <formula1>"tonnes, cubic metres m3"</formula1>
    </dataValidation>
    <dataValidation type="list" allowBlank="1" showInputMessage="1" showErrorMessage="1" sqref="G10:G32" xr:uid="{9E13BF69-219D-45CB-8B6A-F0E3E56B7894}">
      <formula1>"Treated on-site, Removed and treated off-site"</formula1>
    </dataValidation>
    <dataValidation type="list" allowBlank="1" showInputMessage="1" showErrorMessage="1" sqref="E10:E32" xr:uid="{B23FB1DB-B0B7-4F94-A1DF-755860D816DF}">
      <formula1>INDIRECT(_xlfn.UNIQUE("Table_SourceData_WasteSolid_WasteTreatmentEFs[Treatment type t]"))</formula1>
    </dataValidation>
    <dataValidation type="list" allowBlank="1" showInputMessage="1" showErrorMessage="1" sqref="E35" xr:uid="{336E09E6-76F1-4704-B252-BEC3BB6168E8}">
      <formula1>INDIRECT("Table_SourceData_ElectricityEFs[State, Territory or grid description]")</formula1>
    </dataValidation>
    <dataValidation type="list" allowBlank="1" showInputMessage="1" showErrorMessage="1" sqref="E89" xr:uid="{D0ABCFCA-B3DF-4E44-9F3A-8112FC9D73DE}">
      <formula1>INDIRECT("Table_SourceData_Swine_IrrigationMethods[Irrigation method]")</formula1>
    </dataValidation>
    <dataValidation type="list" allowBlank="1" showInputMessage="1" showErrorMessage="1" sqref="E273 E278 E283 E317 E312 E307 E185 E173 E149 E161" xr:uid="{6B9C586A-50DB-47CC-BFFB-B01C5EE21E6F}">
      <formula1>"Yes, No"</formula1>
    </dataValidation>
    <dataValidation type="list" allowBlank="1" showInputMessage="1" showErrorMessage="1" sqref="E249" xr:uid="{087188E3-5FD5-4C1D-BDF4-E34D82E83294}">
      <formula1>INDIRECT("Table_SourceData_Dairy_ProductionSystemTemplates[Area]")</formula1>
    </dataValidation>
    <dataValidation type="list" allowBlank="1" showInputMessage="1" showErrorMessage="1" sqref="D301" xr:uid="{1B6757E0-BD18-4C7A-8A3A-F95F768ADA60}">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7247E-4D4E-4FCB-91D2-0BBB5F8DD794}">
  <sheetPr>
    <tabColor theme="5" tint="-0.249977111117893"/>
  </sheetPr>
  <dimension ref="A1:K41"/>
  <sheetViews>
    <sheetView showGridLines="0" zoomScaleNormal="100" workbookViewId="0">
      <selection activeCell="A41" sqref="A41"/>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s>
  <sheetData>
    <row r="1" spans="1:11" ht="25.5" x14ac:dyDescent="0.35">
      <c r="A1" s="37" t="e" vm="1">
        <v>#VALUE!</v>
      </c>
      <c r="C1" s="37" t="s">
        <v>845</v>
      </c>
      <c r="D1" s="37"/>
      <c r="E1" s="37"/>
      <c r="F1" s="37"/>
      <c r="G1" s="37"/>
      <c r="H1" s="37"/>
      <c r="I1" s="37"/>
      <c r="J1" s="37"/>
      <c r="K1" s="37"/>
    </row>
    <row r="2" spans="1:11" s="2" customFormat="1" x14ac:dyDescent="0.25">
      <c r="A2"/>
    </row>
    <row r="3" spans="1:11" ht="20.25" x14ac:dyDescent="0.25">
      <c r="A3" s="16" t="str">
        <f>HYPERLINK("#'Overview'!A1", "Overview")</f>
        <v>Overview</v>
      </c>
      <c r="C3" s="38"/>
      <c r="D3" s="38"/>
      <c r="E3" s="38"/>
      <c r="F3" s="38"/>
      <c r="G3" s="38"/>
      <c r="H3" s="38"/>
      <c r="I3" s="38"/>
      <c r="J3" s="38"/>
      <c r="K3" s="38"/>
    </row>
    <row r="4" spans="1:11" x14ac:dyDescent="0.25">
      <c r="A4" s="16" t="str">
        <f>HYPERLINK("#'Results'!A1", "Results")</f>
        <v>Results</v>
      </c>
    </row>
    <row r="5" spans="1:11" ht="23.25" x14ac:dyDescent="0.25">
      <c r="D5" s="9" t="s">
        <v>739</v>
      </c>
    </row>
    <row r="7" spans="1:11" x14ac:dyDescent="0.25">
      <c r="A7" s="19" t="s">
        <v>67</v>
      </c>
      <c r="D7" s="8" t="s">
        <v>761</v>
      </c>
    </row>
    <row r="8" spans="1:11" ht="18.75" x14ac:dyDescent="0.25">
      <c r="A8" s="16" t="str">
        <f>HYPERLINK("#'Input - Site'!A1", "Site")</f>
        <v>Site</v>
      </c>
      <c r="D8" s="8" t="s">
        <v>762</v>
      </c>
    </row>
    <row r="9" spans="1:11" x14ac:dyDescent="0.25">
      <c r="A9" s="16" t="str">
        <f>HYPERLINK("#'Input - Fuel'!A1", "Fuel")</f>
        <v>Fuel</v>
      </c>
    </row>
    <row r="10" spans="1:11" x14ac:dyDescent="0.25">
      <c r="A10" s="16" t="str">
        <f>HYPERLINK("#'Input - Fertiliser'!A1", "Fertiliser")</f>
        <v>Fertiliser</v>
      </c>
      <c r="D10" s="8" t="s">
        <v>846</v>
      </c>
      <c r="F10" s="66">
        <v>1000</v>
      </c>
      <c r="G10" s="65" t="s">
        <v>740</v>
      </c>
    </row>
    <row r="11" spans="1:11" x14ac:dyDescent="0.25">
      <c r="A11" s="16" t="str">
        <f>HYPERLINK("#'Input - Farm Inputs'!A1", "Farm Inputs")</f>
        <v>Farm Inputs</v>
      </c>
      <c r="D11" s="8" t="s">
        <v>847</v>
      </c>
      <c r="F11" s="66">
        <v>2000</v>
      </c>
      <c r="G11" s="65" t="s">
        <v>740</v>
      </c>
    </row>
    <row r="12" spans="1:11" x14ac:dyDescent="0.25">
      <c r="A12" s="16" t="str">
        <f>HYPERLINK("#'Input - Beef cattle purchases'!A1", "Beef cattle purchases")</f>
        <v>Beef cattle purchases</v>
      </c>
    </row>
    <row r="13" spans="1:11" x14ac:dyDescent="0.25">
      <c r="A13" s="16" t="str">
        <f>HYPERLINK("#'Input - Dairy cattle purchases'!A1", "Dairy cattle purchases")</f>
        <v>Dairy cattle purchases</v>
      </c>
      <c r="D13" s="8" t="s">
        <v>741</v>
      </c>
      <c r="F13" s="47" t="s">
        <v>149</v>
      </c>
      <c r="G13" s="65" t="s">
        <v>194</v>
      </c>
    </row>
    <row r="14" spans="1:11" x14ac:dyDescent="0.25">
      <c r="A14" s="16" t="str">
        <f>HYPERLINK("#'Input - Pig purchases'!A1", "Pig purchases")</f>
        <v>Pig purchases</v>
      </c>
      <c r="D14" s="8" t="s">
        <v>745</v>
      </c>
      <c r="F14" s="47" t="s">
        <v>154</v>
      </c>
      <c r="G14" s="65" t="s">
        <v>194</v>
      </c>
    </row>
    <row r="15" spans="1:11" x14ac:dyDescent="0.25">
      <c r="A15" s="16" t="str">
        <f>HYPERLINK("#'Input - Poultry purchases'!A1", "Poultry purchases")</f>
        <v>Poultry purchases</v>
      </c>
    </row>
    <row r="16" spans="1:11" x14ac:dyDescent="0.25">
      <c r="A16" s="16" t="str">
        <f>HYPERLINK("#'Input - Freight'!A1", "Freight")</f>
        <v>Freight</v>
      </c>
    </row>
    <row r="17" spans="1:1" x14ac:dyDescent="0.25">
      <c r="A17" s="16" t="str">
        <f>HYPERLINK("#'Input - Solid waste'!A1", "Solid waste")</f>
        <v>Solid waste</v>
      </c>
    </row>
    <row r="18" spans="1:1" x14ac:dyDescent="0.25">
      <c r="A18" s="42" t="str">
        <f>HYPERLINK("#'Input - Manure sent off-site'!A1", "Manure sent off-site")</f>
        <v>Manure sent off-site</v>
      </c>
    </row>
    <row r="19" spans="1:1" x14ac:dyDescent="0.25">
      <c r="A19" s="16" t="str">
        <f>HYPERLINK("#'Input - Electricity'!A1", "Electricity")</f>
        <v>Electricity</v>
      </c>
    </row>
    <row r="22" spans="1:1" x14ac:dyDescent="0.25">
      <c r="A22" s="21" t="s">
        <v>77</v>
      </c>
    </row>
    <row r="23" spans="1:1" x14ac:dyDescent="0.25">
      <c r="A23" s="16" t="str">
        <f>HYPERLINK("#'15 Scope 3'!A1", "15 Scope 3")</f>
        <v>15 Scope 3</v>
      </c>
    </row>
    <row r="24" spans="1:1" x14ac:dyDescent="0.25">
      <c r="A24" s="16" t="str">
        <f>HYPERLINK("#'10.1.1-2 Solid waste treatment'!A1", "10.1.1-2 Solid waste treatment")</f>
        <v>10.1.1-2 Solid waste treatment</v>
      </c>
    </row>
    <row r="25" spans="1:1" x14ac:dyDescent="0.25">
      <c r="A25" s="16" t="str">
        <f>HYPERLINK("#'Calcs - Manure sent off-site'!A1", "Calcs - Manure sent off-site")</f>
        <v>Calcs - Manure sent off-site</v>
      </c>
    </row>
    <row r="26" spans="1:1" x14ac:dyDescent="0.25">
      <c r="A26" s="16" t="str">
        <f>HYPERLINK("#'8.1.1.1-2 Transport fuel'!A1", "8.1.1.1-2 Transport fuel")</f>
        <v>8.1.1.1-2 Transport fuel</v>
      </c>
    </row>
    <row r="27" spans="1:1" x14ac:dyDescent="0.25">
      <c r="A27" s="16" t="str">
        <f>HYPERLINK("#'8.2.1.1-2 Stationary fuel'!A1", "8.2.1.1-2 Stationary fuel")</f>
        <v>8.2.1.1-2 Stationary fuel</v>
      </c>
    </row>
    <row r="30" spans="1:1" x14ac:dyDescent="0.25">
      <c r="A30" s="221" t="s">
        <v>78</v>
      </c>
    </row>
    <row r="31" spans="1:1" x14ac:dyDescent="0.25">
      <c r="A31" s="16" t="str">
        <f>HYPERLINK("#'Constants - Scope 3'!A1", "Constants - Scope 3")</f>
        <v>Constants - Scope 3</v>
      </c>
    </row>
    <row r="32" spans="1:1" x14ac:dyDescent="0.25">
      <c r="A32" s="16" t="str">
        <f>HYPERLINK("#'Constants - Solid Waste'!A1", "Constants - Solid Waste")</f>
        <v>Constants - Solid Waste</v>
      </c>
    </row>
    <row r="33" spans="1:1" x14ac:dyDescent="0.25">
      <c r="A33" s="16" t="str">
        <f>HYPERLINK("#'Constants - Fuel'!A1", "Constants - Fuel")</f>
        <v>Constants - Fuel</v>
      </c>
    </row>
    <row r="34" spans="1:1" x14ac:dyDescent="0.25">
      <c r="A34" s="16" t="str">
        <f>HYPERLINK("#'Constants - Poultry'!A1", "Constants - Poultry")</f>
        <v>Constants - Poultry</v>
      </c>
    </row>
    <row r="35" spans="1:1" x14ac:dyDescent="0.25">
      <c r="A35" s="16" t="str">
        <f>HYPERLINK("#'Constants - Swine'!A1", "Constants - Swine")</f>
        <v>Constants - Swine</v>
      </c>
    </row>
    <row r="36" spans="1:1" x14ac:dyDescent="0.25">
      <c r="A36" s="16" t="str">
        <f>HYPERLINK("#'Constants - Dairy'!A1", "Constants - Dairy")</f>
        <v>Constants - Dairy</v>
      </c>
    </row>
    <row r="37" spans="1:1" x14ac:dyDescent="0.25">
      <c r="A37" s="16" t="str">
        <f>HYPERLINK("#'Constants - Pasture Beef'!A1", "Constants - Pasture Beef")</f>
        <v>Constants - Pasture Beef</v>
      </c>
    </row>
    <row r="38" spans="1:1" x14ac:dyDescent="0.25">
      <c r="A38" s="16" t="str">
        <f>HYPERLINK("#'Constants - Common Livestock'!A1", "Constants - Common Livestock")</f>
        <v>Constants - Common Livestock</v>
      </c>
    </row>
    <row r="39" spans="1:1" x14ac:dyDescent="0.25">
      <c r="A39" s="16" t="str">
        <f>HYPERLINK("#'Constants - Fertiliser'!A1", "Constants - Fertiliser")</f>
        <v>Constants - Fertiliser</v>
      </c>
    </row>
    <row r="40" spans="1:1" x14ac:dyDescent="0.25">
      <c r="A40" s="16" t="str">
        <f>HYPERLINK("#'Constants - Electricity'!A1", "Constants - Electricity")</f>
        <v>Constants - Electricity</v>
      </c>
    </row>
    <row r="41" spans="1:1" x14ac:dyDescent="0.25">
      <c r="A41" s="16" t="str">
        <f>HYPERLINK("#'Constants - Common'!A1", "Constants - Common")</f>
        <v>Constants - Common</v>
      </c>
    </row>
  </sheetData>
  <dataValidations count="2">
    <dataValidation type="list" allowBlank="1" showInputMessage="1" showErrorMessage="1" sqref="F13" xr:uid="{F53F4331-B6CB-4FFE-8E82-663561C8DD8D}">
      <formula1>INDIRECT("Table_SourceData_Fertiliser_CropProdSystems[Production system]")</formula1>
    </dataValidation>
    <dataValidation type="list" allowBlank="1" showInputMessage="1" showErrorMessage="1" sqref="F14" xr:uid="{6070C71B-330E-4E19-BC5E-8182BE003281}">
      <formula1>INDIRECT("Table_SourceData_Fertiliser_IrrigationMethods[Irrigation method]")</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5BF05-88E1-44EE-8040-ED9359CEFBED}">
  <dimension ref="A1:L365"/>
  <sheetViews>
    <sheetView showGridLines="0" topLeftCell="A24" zoomScaleNormal="100" workbookViewId="0">
      <selection activeCell="A41" sqref="A41"/>
    </sheetView>
  </sheetViews>
  <sheetFormatPr defaultRowHeight="15.75" x14ac:dyDescent="0.25"/>
  <cols>
    <col min="1" max="1" width="26.875" style="3" customWidth="1"/>
    <col min="2" max="2" width="4.125" style="3" customWidth="1"/>
    <col min="3" max="3" width="4.125" style="8" customWidth="1"/>
    <col min="4" max="4" width="58.375" style="8" customWidth="1"/>
    <col min="5" max="5" width="41.125" style="8" customWidth="1"/>
    <col min="6" max="8" width="21.75" style="8" customWidth="1"/>
    <col min="9" max="9" width="26" style="8" customWidth="1"/>
    <col min="10" max="10" width="4.125" style="8" customWidth="1"/>
    <col min="11" max="11" width="4.125" style="3" customWidth="1"/>
    <col min="12" max="16384" width="9" style="3"/>
  </cols>
  <sheetData>
    <row r="1" spans="1:10" s="37" customFormat="1" ht="30" customHeight="1" x14ac:dyDescent="0.35">
      <c r="A1" s="37" t="e" vm="1">
        <v>#VALUE!</v>
      </c>
      <c r="C1" s="37" t="s">
        <v>229</v>
      </c>
    </row>
    <row r="2" spans="1:10" s="2" customFormat="1" ht="20.100000000000001" customHeight="1" x14ac:dyDescent="0.25">
      <c r="A2"/>
    </row>
    <row r="3" spans="1:10" ht="20.100000000000001" customHeight="1" x14ac:dyDescent="0.25">
      <c r="A3" s="16" t="str">
        <f>HYPERLINK("#'Overview'!A1", "Overview")</f>
        <v>Overview</v>
      </c>
      <c r="C3" s="38"/>
      <c r="D3" s="38"/>
      <c r="E3" s="38"/>
      <c r="F3" s="38"/>
      <c r="G3" s="38"/>
      <c r="H3" s="38"/>
      <c r="I3" s="38"/>
      <c r="J3" s="38"/>
    </row>
    <row r="4" spans="1:10" ht="20.100000000000001" customHeight="1" x14ac:dyDescent="0.25">
      <c r="A4" s="16" t="str">
        <f>HYPERLINK("#'Results'!A1", "Results")</f>
        <v>Results</v>
      </c>
    </row>
    <row r="5" spans="1:10" ht="20.100000000000001" customHeight="1" x14ac:dyDescent="0.25">
      <c r="A5"/>
      <c r="D5" s="8" t="s">
        <v>833</v>
      </c>
      <c r="E5" s="47" t="s">
        <v>834</v>
      </c>
      <c r="F5" s="65" t="s">
        <v>194</v>
      </c>
    </row>
    <row r="6" spans="1:10" ht="20.100000000000001" customHeight="1" x14ac:dyDescent="0.25">
      <c r="A6"/>
      <c r="E6" s="54" t="str">
        <f>IF(X_Cell_Electricity_CalculationMethod="Location-based (simpler)", "Complete the fields in the Location-based section", "Complete the fields in the Market-based section")</f>
        <v>Complete the fields in the Location-based section</v>
      </c>
    </row>
    <row r="7" spans="1:10" ht="20.100000000000001" customHeight="1" x14ac:dyDescent="0.25">
      <c r="A7" s="19" t="s">
        <v>67</v>
      </c>
    </row>
    <row r="8" spans="1:10" ht="20.100000000000001" customHeight="1" x14ac:dyDescent="0.25">
      <c r="A8" s="16" t="str">
        <f>HYPERLINK("#'Input - Site'!A1", "Site")</f>
        <v>Site</v>
      </c>
      <c r="C8" s="98"/>
      <c r="D8" s="98"/>
      <c r="E8" s="98"/>
      <c r="F8" s="98"/>
      <c r="G8" s="98"/>
      <c r="H8" s="98"/>
      <c r="I8" s="98"/>
      <c r="J8" s="98"/>
    </row>
    <row r="9" spans="1:10" ht="20.100000000000001" customHeight="1" x14ac:dyDescent="0.25">
      <c r="A9" s="16" t="str">
        <f>HYPERLINK("#'Input - Fuel'!A1", "Fuel")</f>
        <v>Fuel</v>
      </c>
      <c r="D9" s="9" t="s">
        <v>230</v>
      </c>
    </row>
    <row r="10" spans="1:10" ht="20.100000000000001" customHeight="1" x14ac:dyDescent="0.25">
      <c r="A10" s="16" t="str">
        <f>HYPERLINK("#'Input - Fertiliser'!A1", "Fertiliser")</f>
        <v>Fertiliser</v>
      </c>
    </row>
    <row r="11" spans="1:10" ht="20.100000000000001" customHeight="1" x14ac:dyDescent="0.25">
      <c r="A11" s="16" t="str">
        <f>HYPERLINK("#'Input - Farm Inputs'!A1", "Farm Inputs")</f>
        <v>Farm Inputs</v>
      </c>
      <c r="D11" s="71" t="s">
        <v>231</v>
      </c>
    </row>
    <row r="12" spans="1:10" ht="20.100000000000001" customHeight="1" x14ac:dyDescent="0.25">
      <c r="A12" s="16" t="str">
        <f>HYPERLINK("#'Input - Beef cattle purchases'!A1", "Beef cattle purchases")</f>
        <v>Beef cattle purchases</v>
      </c>
    </row>
    <row r="13" spans="1:10" ht="20.100000000000001" customHeight="1" x14ac:dyDescent="0.25">
      <c r="A13" s="16" t="str">
        <f>HYPERLINK("#'Input - Dairy cattle purchases'!A1", "Dairy cattle purchases")</f>
        <v>Dairy cattle purchases</v>
      </c>
      <c r="D13" s="95" t="s">
        <v>232</v>
      </c>
      <c r="E13" s="96"/>
      <c r="F13" s="14"/>
    </row>
    <row r="14" spans="1:10" ht="20.100000000000001" customHeight="1" x14ac:dyDescent="0.25">
      <c r="A14" s="16" t="str">
        <f>HYPERLINK("#'Input - Pig purchases'!A1", "Pig purchases")</f>
        <v>Pig purchases</v>
      </c>
      <c r="D14" s="14"/>
      <c r="E14" s="14"/>
      <c r="F14" s="14"/>
    </row>
    <row r="15" spans="1:10" ht="20.100000000000001" customHeight="1" x14ac:dyDescent="0.25">
      <c r="A15" s="16" t="str">
        <f>HYPERLINK("#'Input - Poultry purchases'!A1", "Poultry purchases")</f>
        <v>Poultry purchases</v>
      </c>
      <c r="D15" s="8" t="s">
        <v>233</v>
      </c>
      <c r="E15" s="97">
        <v>30000</v>
      </c>
      <c r="F15" s="65" t="s">
        <v>234</v>
      </c>
    </row>
    <row r="16" spans="1:10" ht="20.100000000000001" customHeight="1" x14ac:dyDescent="0.25">
      <c r="A16" s="16" t="str">
        <f>HYPERLINK("#'Input - Freight'!A1", "Freight")</f>
        <v>Freight</v>
      </c>
      <c r="D16" s="8" t="s">
        <v>235</v>
      </c>
      <c r="E16" s="49" t="str">
        <f>IF(X_Cell_Site_State="Western Australia", X_Cell_Site_Region, X_Cell_Site_State)</f>
        <v>Western Australia - Outback (South)</v>
      </c>
      <c r="F16" s="14"/>
    </row>
    <row r="17" spans="1:11" ht="20.100000000000001" customHeight="1" x14ac:dyDescent="0.25">
      <c r="A17" s="16" t="str">
        <f>HYPERLINK("#'Input - Solid waste'!A1", "Solid waste")</f>
        <v>Solid waste</v>
      </c>
      <c r="D17" s="8" t="s">
        <v>236</v>
      </c>
      <c r="E17" s="47" t="s">
        <v>899</v>
      </c>
      <c r="F17" s="65" t="s">
        <v>194</v>
      </c>
    </row>
    <row r="18" spans="1:11" ht="20.100000000000001" customHeight="1" x14ac:dyDescent="0.25">
      <c r="A18" s="16" t="str">
        <f>HYPERLINK("#'Input - Manure sent off-site'!A1", "Manure sent off-site")</f>
        <v>Manure sent off-site</v>
      </c>
    </row>
    <row r="19" spans="1:11" ht="20.100000000000001" customHeight="1" x14ac:dyDescent="0.25">
      <c r="A19" s="42" t="str">
        <f>HYPERLINK("#'Input - Electricity'!A1", "Electricity")</f>
        <v>Electricity</v>
      </c>
    </row>
    <row r="20" spans="1:11" ht="20.100000000000001" customHeight="1" x14ac:dyDescent="0.25">
      <c r="A20"/>
      <c r="C20" s="98"/>
      <c r="D20" s="98"/>
      <c r="E20" s="98"/>
      <c r="F20" s="98"/>
      <c r="G20" s="98"/>
      <c r="H20" s="98"/>
      <c r="I20" s="98"/>
      <c r="J20" s="98"/>
    </row>
    <row r="21" spans="1:11" ht="20.100000000000001" customHeight="1" x14ac:dyDescent="0.25">
      <c r="A21"/>
      <c r="D21" s="9" t="s">
        <v>237</v>
      </c>
    </row>
    <row r="22" spans="1:11" ht="20.100000000000001" customHeight="1" x14ac:dyDescent="0.25">
      <c r="A22" s="21" t="s">
        <v>77</v>
      </c>
      <c r="E22" s="54" t="str">
        <f>IF(E16="ACT", "", "ALERT: Your farm is not in the ACT, so the JRPP is not applicable")</f>
        <v>ALERT: Your farm is not in the ACT, so the JRPP is not applicable</v>
      </c>
    </row>
    <row r="23" spans="1:11" ht="20.100000000000001" customHeight="1" x14ac:dyDescent="0.25">
      <c r="A23" s="16" t="str">
        <f>HYPERLINK("#'15 Scope 3'!A1", "15 Scope 3")</f>
        <v>15 Scope 3</v>
      </c>
      <c r="D23" s="8" t="s">
        <v>238</v>
      </c>
      <c r="E23" s="97">
        <v>30000</v>
      </c>
      <c r="F23" s="65" t="s">
        <v>234</v>
      </c>
    </row>
    <row r="24" spans="1:11" ht="20.100000000000001" customHeight="1" x14ac:dyDescent="0.25">
      <c r="A24" s="16" t="str">
        <f>HYPERLINK("#'10.1.1-2 Solid waste treatment'!A1", "10.1.1-2 Solid waste treatment")</f>
        <v>10.1.1-2 Solid waste treatment</v>
      </c>
      <c r="D24" s="8" t="s">
        <v>239</v>
      </c>
      <c r="E24" s="86">
        <v>0.1</v>
      </c>
      <c r="F24" s="65" t="s">
        <v>240</v>
      </c>
    </row>
    <row r="25" spans="1:11" ht="20.100000000000001" customHeight="1" x14ac:dyDescent="0.25">
      <c r="A25" s="16" t="str">
        <f>HYPERLINK("#'Calcs - Manure sent off-site'!A1", "Calcs - Manure sent off-site")</f>
        <v>Calcs - Manure sent off-site</v>
      </c>
      <c r="D25" s="8" t="s">
        <v>241</v>
      </c>
      <c r="E25" s="86">
        <v>0.1</v>
      </c>
      <c r="F25" s="65" t="s">
        <v>240</v>
      </c>
    </row>
    <row r="26" spans="1:11" ht="20.100000000000001" customHeight="1" x14ac:dyDescent="0.25">
      <c r="A26" s="16" t="str">
        <f>HYPERLINK("#'8.1.1.1-2 Transport fuel'!A1", "8.1.1.1-2 Transport fuel")</f>
        <v>8.1.1.1-2 Transport fuel</v>
      </c>
    </row>
    <row r="27" spans="1:11" ht="20.100000000000001" customHeight="1" x14ac:dyDescent="0.25">
      <c r="A27" s="16" t="str">
        <f>HYPERLINK("#'8.2.1.1-2 Stationary fuel'!A1", "8.2.1.1-2 Stationary fuel")</f>
        <v>8.2.1.1-2 Stationary fuel</v>
      </c>
      <c r="D27" s="8" t="s">
        <v>242</v>
      </c>
      <c r="E27" s="97">
        <v>10000</v>
      </c>
      <c r="F27" s="65" t="s">
        <v>234</v>
      </c>
    </row>
    <row r="28" spans="1:11" ht="20.100000000000001" customHeight="1" x14ac:dyDescent="0.25">
      <c r="A28"/>
    </row>
    <row r="29" spans="1:11" ht="20.100000000000001" customHeight="1" x14ac:dyDescent="0.25">
      <c r="A29"/>
      <c r="D29" s="8" t="s">
        <v>243</v>
      </c>
      <c r="E29" s="99" t="str">
        <f>TEXT(X_Cell_Site_StartDate, "dd mmm yyyy")</f>
        <v>01 Jan 2024</v>
      </c>
      <c r="K29" s="52"/>
    </row>
    <row r="30" spans="1:11" ht="20.100000000000001" customHeight="1" x14ac:dyDescent="0.25">
      <c r="A30" s="221" t="s">
        <v>78</v>
      </c>
      <c r="D30" s="8" t="s">
        <v>244</v>
      </c>
      <c r="E30" s="99" t="str">
        <f>TEXT(X_Cell_Site_EndDate, "dd mmm yyyy")</f>
        <v>31 Dec 2024</v>
      </c>
      <c r="K30" s="52"/>
    </row>
    <row r="31" spans="1:11" ht="20.100000000000001" customHeight="1" x14ac:dyDescent="0.25">
      <c r="A31" s="16" t="str">
        <f>HYPERLINK("#'Constants - Scope 3'!A1", "Constants - Scope 3")</f>
        <v>Constants - Scope 3</v>
      </c>
      <c r="K31" s="52"/>
    </row>
    <row r="32" spans="1:11" ht="20.100000000000001" customHeight="1" x14ac:dyDescent="0.25">
      <c r="A32" s="16" t="str">
        <f>HYPERLINK("#'Constants - Solid Waste'!A1", "Constants - Solid Waste")</f>
        <v>Constants - Solid Waste</v>
      </c>
      <c r="D32" s="71" t="s">
        <v>245</v>
      </c>
      <c r="K32" s="52"/>
    </row>
    <row r="33" spans="1:12" ht="20.100000000000001" customHeight="1" x14ac:dyDescent="0.25">
      <c r="A33" s="16" t="str">
        <f>HYPERLINK("#'Constants - Fuel'!A1", "Constants - Fuel")</f>
        <v>Constants - Fuel</v>
      </c>
      <c r="K33" s="52"/>
    </row>
    <row r="34" spans="1:12" ht="20.100000000000001" customHeight="1" x14ac:dyDescent="0.25">
      <c r="A34" s="16" t="str">
        <f>HYPERLINK("#'Constants - Poultry'!A1", "Constants - Poultry")</f>
        <v>Constants - Poultry</v>
      </c>
      <c r="D34" s="95" t="s">
        <v>120</v>
      </c>
      <c r="E34" s="96"/>
      <c r="K34" s="52"/>
    </row>
    <row r="35" spans="1:12" ht="20.100000000000001" customHeight="1" x14ac:dyDescent="0.25">
      <c r="A35" s="16" t="str">
        <f>HYPERLINK("#'Constants - Swine'!A1", "Constants - Swine")</f>
        <v>Constants - Swine</v>
      </c>
    </row>
    <row r="36" spans="1:12" ht="20.100000000000001" customHeight="1" x14ac:dyDescent="0.25">
      <c r="A36" s="16" t="str">
        <f>HYPERLINK("#'Constants - Dairy'!A1", "Constants - Dairy")</f>
        <v>Constants - Dairy</v>
      </c>
      <c r="D36" s="46" t="s">
        <v>246</v>
      </c>
      <c r="E36" s="46" t="s">
        <v>247</v>
      </c>
      <c r="F36" s="46" t="s">
        <v>248</v>
      </c>
      <c r="G36" s="46" t="s">
        <v>249</v>
      </c>
      <c r="H36" s="46" t="s">
        <v>250</v>
      </c>
      <c r="I36" s="46" t="s">
        <v>251</v>
      </c>
      <c r="L36" s="52"/>
    </row>
    <row r="37" spans="1:12" ht="20.100000000000001" customHeight="1" x14ac:dyDescent="0.25">
      <c r="A37" s="16" t="str">
        <f>HYPERLINK("#'Constants - Pasture Beef'!A1", "Constants - Pasture Beef")</f>
        <v>Constants - Pasture Beef</v>
      </c>
      <c r="D37" s="10" t="s">
        <v>900</v>
      </c>
      <c r="E37" s="47" t="s">
        <v>252</v>
      </c>
      <c r="F37" s="100">
        <v>44185</v>
      </c>
      <c r="G37" s="10">
        <v>12</v>
      </c>
      <c r="H37" s="49">
        <f>Table_Input_RECSurrendered[[#This Row],[Number of certificates]]</f>
        <v>12</v>
      </c>
      <c r="I37" s="49" t="str">
        <f>IF(DATEDIF(Table_Input_RECSurrendered[[#This Row],[Generation date]],DATEVALUE($E$30),"M")&gt;36,"Ineligible - older than 36 months","Elegible")</f>
        <v>Ineligible - older than 36 months</v>
      </c>
      <c r="L37" s="52"/>
    </row>
    <row r="38" spans="1:12" ht="20.100000000000001" customHeight="1" x14ac:dyDescent="0.25">
      <c r="A38" s="16" t="str">
        <f>HYPERLINK("#'Constants - Common Livestock'!A1", "Constants - Common Livestock")</f>
        <v>Constants - Common Livestock</v>
      </c>
      <c r="D38" s="10" t="s">
        <v>901</v>
      </c>
      <c r="E38" s="47" t="s">
        <v>253</v>
      </c>
      <c r="F38" s="100">
        <v>44575</v>
      </c>
      <c r="G38" s="10">
        <v>5</v>
      </c>
      <c r="H38" s="49">
        <f>Table_Input_RECSurrendered[[#This Row],[Number of certificates]]</f>
        <v>5</v>
      </c>
      <c r="I38" s="49" t="str">
        <f>IF(DATEDIF(Table_Input_RECSurrendered[[#This Row],[Generation date]],DATEVALUE($E$30),"M")&gt;36,"Ineligible - older than 36 months","Elegible")</f>
        <v>Elegible</v>
      </c>
    </row>
    <row r="39" spans="1:12" ht="20.100000000000001" customHeight="1" x14ac:dyDescent="0.25">
      <c r="A39" s="16" t="str">
        <f>HYPERLINK("#'Constants - Fertiliser'!A1", "Constants - Fertiliser")</f>
        <v>Constants - Fertiliser</v>
      </c>
      <c r="D39" s="10" t="s">
        <v>902</v>
      </c>
      <c r="E39" s="47" t="s">
        <v>252</v>
      </c>
      <c r="F39" s="100">
        <v>45438</v>
      </c>
      <c r="G39" s="10">
        <v>5</v>
      </c>
      <c r="H39" s="49">
        <f>Table_Input_RECSurrendered[[#This Row],[Number of certificates]]</f>
        <v>5</v>
      </c>
      <c r="I39" s="49" t="str">
        <f>IF(DATEDIF(Table_Input_RECSurrendered[[#This Row],[Generation date]],DATEVALUE($E$30),"M")&gt;36,"Ineligible - older than 36 months","Elegible")</f>
        <v>Elegible</v>
      </c>
    </row>
    <row r="40" spans="1:12" s="52" customFormat="1" ht="20.100000000000001" customHeight="1" x14ac:dyDescent="0.25">
      <c r="A40" s="16" t="str">
        <f>HYPERLINK("#'Constants - Electricity'!A1", "Constants - Electricity")</f>
        <v>Constants - Electricity</v>
      </c>
      <c r="C40" s="8"/>
      <c r="D40" s="8"/>
      <c r="E40" s="8"/>
      <c r="F40" s="8"/>
      <c r="G40" s="8"/>
      <c r="H40" s="8"/>
      <c r="I40" s="8"/>
      <c r="J40" s="8"/>
    </row>
    <row r="41" spans="1:12" s="52" customFormat="1" ht="20.100000000000001" customHeight="1" x14ac:dyDescent="0.25">
      <c r="A41" s="16" t="str">
        <f>HYPERLINK("#'Constants - Common'!A1", "Constants - Common")</f>
        <v>Constants - Common</v>
      </c>
      <c r="C41" s="8"/>
      <c r="D41" s="8" t="s">
        <v>254</v>
      </c>
      <c r="E41" s="49">
        <f>SUMIF(Table_Input_RECSurrendered[Elegibility], "Elegible", Table_Input_RECSurrendered[MWh])</f>
        <v>10</v>
      </c>
      <c r="F41" s="65" t="s">
        <v>250</v>
      </c>
      <c r="G41" s="8"/>
      <c r="H41" s="8"/>
      <c r="I41" s="8"/>
      <c r="J41" s="8"/>
      <c r="L41" s="52" t="s">
        <v>256</v>
      </c>
    </row>
    <row r="42" spans="1:12" ht="20.100000000000001" customHeight="1" x14ac:dyDescent="0.25">
      <c r="A42"/>
      <c r="C42" s="51"/>
    </row>
    <row r="43" spans="1:12" ht="20.100000000000001" customHeight="1" x14ac:dyDescent="0.25">
      <c r="A43"/>
      <c r="C43" s="51"/>
      <c r="D43" s="71" t="s">
        <v>255</v>
      </c>
      <c r="J43" s="51"/>
    </row>
    <row r="44" spans="1:12" ht="20.100000000000001" customHeight="1" x14ac:dyDescent="0.25">
      <c r="A44"/>
    </row>
    <row r="45" spans="1:12" ht="20.100000000000001" customHeight="1" x14ac:dyDescent="0.25">
      <c r="A45"/>
      <c r="D45" s="46" t="s">
        <v>246</v>
      </c>
      <c r="E45" s="46" t="s">
        <v>139</v>
      </c>
      <c r="F45" s="46" t="s">
        <v>248</v>
      </c>
      <c r="G45" s="46" t="s">
        <v>249</v>
      </c>
      <c r="H45" s="46" t="s">
        <v>250</v>
      </c>
      <c r="I45" s="46" t="s">
        <v>251</v>
      </c>
    </row>
    <row r="46" spans="1:12" ht="20.100000000000001" customHeight="1" x14ac:dyDescent="0.25">
      <c r="A46"/>
      <c r="D46" s="10" t="s">
        <v>257</v>
      </c>
      <c r="E46" s="228" t="str">
        <f>"Issued for generated electricity"</f>
        <v>Issued for generated electricity</v>
      </c>
      <c r="F46" s="100">
        <v>44697</v>
      </c>
      <c r="G46" s="10">
        <v>10</v>
      </c>
      <c r="H46" s="49">
        <f>Table_Input_RECConsumedByEntity[[#This Row],[Number of certificates]]</f>
        <v>10</v>
      </c>
      <c r="I46" s="49" t="str">
        <f>IF(AND(Table_Input_RECConsumedByEntity[[#This Row],[Generation date]]&gt;=DATEVALUE($E$29), Table_Input_RECConsumedByEntity[[#This Row],[Generation date]]&lt;= DATEVALUE($E$30)), "Elegible", "Ineligible - outside reporting year")</f>
        <v>Ineligible - outside reporting year</v>
      </c>
    </row>
    <row r="47" spans="1:12" ht="20.100000000000001" customHeight="1" x14ac:dyDescent="0.25">
      <c r="A47"/>
      <c r="D47" s="10" t="s">
        <v>903</v>
      </c>
      <c r="E47" s="228" t="str">
        <f>"Issued for generated electricity"</f>
        <v>Issued for generated electricity</v>
      </c>
      <c r="F47" s="100">
        <v>45483</v>
      </c>
      <c r="G47" s="10">
        <v>4</v>
      </c>
      <c r="H47" s="49">
        <f>Table_Input_RECConsumedByEntity[[#This Row],[Number of certificates]]</f>
        <v>4</v>
      </c>
      <c r="I47" s="49" t="str">
        <f>IF(AND(Table_Input_RECConsumedByEntity[[#This Row],[Generation date]]&gt;=DATEVALUE($E$29), Table_Input_RECConsumedByEntity[[#This Row],[Generation date]]&lt;= DATEVALUE($E$30)), "Elegible", "Ineligible - outside reporting year")</f>
        <v>Elegible</v>
      </c>
    </row>
    <row r="48" spans="1:12" ht="20.100000000000001" customHeight="1" x14ac:dyDescent="0.25">
      <c r="A48"/>
      <c r="D48" s="229">
        <v>45597</v>
      </c>
      <c r="E48" s="228" t="str">
        <f>"Issued for generated electricity"</f>
        <v>Issued for generated electricity</v>
      </c>
      <c r="F48" s="100">
        <v>45607</v>
      </c>
      <c r="G48" s="10">
        <v>7</v>
      </c>
      <c r="H48" s="49">
        <f>Table_Input_RECConsumedByEntity[[#This Row],[Number of certificates]]</f>
        <v>7</v>
      </c>
      <c r="I48" s="49" t="str">
        <f>IF(AND(Table_Input_RECConsumedByEntity[[#This Row],[Generation date]]&gt;=DATEVALUE($E$29), Table_Input_RECConsumedByEntity[[#This Row],[Generation date]]&lt;= DATEVALUE($E$30)), "Elegible", "Ineligible - outside reporting year")</f>
        <v>Elegible</v>
      </c>
    </row>
    <row r="49" spans="1:6" ht="20.100000000000001" customHeight="1" x14ac:dyDescent="0.25">
      <c r="A49"/>
    </row>
    <row r="50" spans="1:6" ht="20.100000000000001" customHeight="1" x14ac:dyDescent="0.25">
      <c r="A50"/>
      <c r="D50" s="8" t="s">
        <v>258</v>
      </c>
      <c r="E50" s="49">
        <f>SUMIF(Table_Input_RECConsumedByEntity[Elegibility], "Elegible", Table_Input_RECConsumedByEntity[Number of certificates])</f>
        <v>11</v>
      </c>
      <c r="F50" s="65" t="s">
        <v>250</v>
      </c>
    </row>
    <row r="51" spans="1:6" ht="20.100000000000001" customHeight="1" x14ac:dyDescent="0.25">
      <c r="A51"/>
    </row>
    <row r="52" spans="1:6" ht="20.100000000000001" customHeight="1" x14ac:dyDescent="0.25">
      <c r="A52"/>
    </row>
    <row r="53" spans="1:6" ht="20.100000000000001" customHeight="1" x14ac:dyDescent="0.25">
      <c r="A53"/>
    </row>
    <row r="54" spans="1:6" ht="20.100000000000001" customHeight="1" x14ac:dyDescent="0.25">
      <c r="A54"/>
    </row>
    <row r="55" spans="1:6" ht="20.100000000000001" customHeight="1" x14ac:dyDescent="0.25">
      <c r="A55"/>
      <c r="D55" s="101"/>
    </row>
    <row r="56" spans="1:6" ht="20.100000000000001" customHeight="1" x14ac:dyDescent="0.25">
      <c r="A56"/>
      <c r="D56" s="101"/>
    </row>
    <row r="57" spans="1:6" ht="20.100000000000001" customHeight="1" x14ac:dyDescent="0.25">
      <c r="A57"/>
    </row>
    <row r="58" spans="1:6" ht="20.100000000000001" customHeight="1" x14ac:dyDescent="0.25">
      <c r="A58"/>
    </row>
    <row r="59" spans="1:6" ht="20.100000000000001" customHeight="1" x14ac:dyDescent="0.25">
      <c r="A59"/>
    </row>
    <row r="60" spans="1:6" ht="20.100000000000001" customHeight="1" x14ac:dyDescent="0.25">
      <c r="A60"/>
    </row>
    <row r="61" spans="1:6" ht="20.100000000000001" customHeight="1" x14ac:dyDescent="0.25">
      <c r="A61"/>
    </row>
    <row r="62" spans="1:6" ht="20.100000000000001" customHeight="1" x14ac:dyDescent="0.25">
      <c r="A62"/>
    </row>
    <row r="63" spans="1:6" ht="20.100000000000001" customHeight="1" x14ac:dyDescent="0.25">
      <c r="A63"/>
    </row>
    <row r="64" spans="1:6"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5" spans="4:4" x14ac:dyDescent="0.25">
      <c r="D365" s="54"/>
    </row>
  </sheetData>
  <conditionalFormatting sqref="F130:F131">
    <cfRule type="cellIs" dxfId="16" priority="8" operator="lessThan">
      <formula>0</formula>
    </cfRule>
  </conditionalFormatting>
  <conditionalFormatting sqref="F142:F143">
    <cfRule type="cellIs" dxfId="15" priority="7" operator="lessThan">
      <formula>0</formula>
    </cfRule>
  </conditionalFormatting>
  <conditionalFormatting sqref="F154:F155">
    <cfRule type="cellIs" dxfId="14" priority="6" operator="lessThan">
      <formula>0</formula>
    </cfRule>
  </conditionalFormatting>
  <conditionalFormatting sqref="F166:F167">
    <cfRule type="cellIs" dxfId="13" priority="5" operator="lessThan">
      <formula>0</formula>
    </cfRule>
  </conditionalFormatting>
  <conditionalFormatting sqref="F254:F255">
    <cfRule type="cellIs" dxfId="12" priority="17" operator="lessThan">
      <formula>0</formula>
    </cfRule>
  </conditionalFormatting>
  <conditionalFormatting sqref="F259:F260">
    <cfRule type="cellIs" dxfId="11" priority="16" operator="lessThan">
      <formula>0</formula>
    </cfRule>
  </conditionalFormatting>
  <conditionalFormatting sqref="F264:F265">
    <cfRule type="cellIs" dxfId="10" priority="15" operator="lessThan">
      <formula>0</formula>
    </cfRule>
  </conditionalFormatting>
  <conditionalFormatting sqref="F288:F289">
    <cfRule type="cellIs" dxfId="9" priority="14" operator="lessThan">
      <formula>0</formula>
    </cfRule>
  </conditionalFormatting>
  <conditionalFormatting sqref="F293:F294">
    <cfRule type="cellIs" dxfId="8" priority="13" operator="lessThan">
      <formula>0</formula>
    </cfRule>
  </conditionalFormatting>
  <conditionalFormatting sqref="F298:F299">
    <cfRule type="cellIs" dxfId="7" priority="12" operator="lessThan">
      <formula>0</formula>
    </cfRule>
  </conditionalFormatting>
  <conditionalFormatting sqref="I59:I63">
    <cfRule type="cellIs" dxfId="6" priority="4" operator="lessThan">
      <formula>0</formula>
    </cfRule>
  </conditionalFormatting>
  <conditionalFormatting sqref="I67 I126">
    <cfRule type="cellIs" dxfId="5" priority="10" operator="lessThan">
      <formula>0</formula>
    </cfRule>
  </conditionalFormatting>
  <conditionalFormatting sqref="I78:I80">
    <cfRule type="cellIs" dxfId="4" priority="3" operator="lessThan">
      <formula>0</formula>
    </cfRule>
  </conditionalFormatting>
  <conditionalFormatting sqref="I84:I87">
    <cfRule type="cellIs" dxfId="3" priority="2" operator="lessThan">
      <formula>0</formula>
    </cfRule>
  </conditionalFormatting>
  <conditionalFormatting sqref="I91:I95">
    <cfRule type="cellIs" dxfId="2" priority="1" operator="lessThan">
      <formula>0</formula>
    </cfRule>
  </conditionalFormatting>
  <conditionalFormatting sqref="J35 I49:I50 H51:H53 I52 I54:I55 I206 I212 E214:G214">
    <cfRule type="cellIs" dxfId="1" priority="11" operator="lessThan">
      <formula>0</formula>
    </cfRule>
  </conditionalFormatting>
  <conditionalFormatting sqref="J39 I40 J41 I43">
    <cfRule type="cellIs" dxfId="0" priority="9" operator="lessThan">
      <formula>0</formula>
    </cfRule>
  </conditionalFormatting>
  <dataValidations count="7">
    <dataValidation type="list" allowBlank="1" showInputMessage="1" showErrorMessage="1" sqref="E5" xr:uid="{ACCD07D0-AB5B-4A91-A42F-D00629AFD055}">
      <formula1>"Location-based (simpler), Market-based (more complex)"</formula1>
    </dataValidation>
    <dataValidation type="list" allowBlank="1" showInputMessage="1" showErrorMessage="1" sqref="E37:E39" xr:uid="{A6B144D4-DCA4-42E0-AB43-801B476B2E93}">
      <formula1>"Purchased certificate, Issued for generated electricity"</formula1>
    </dataValidation>
    <dataValidation type="list" allowBlank="1" showInputMessage="1" showErrorMessage="1" sqref="E17" xr:uid="{47AE6E3F-15FE-4E87-BCAB-820A490F5862}">
      <formula1>INDIRECT("Table_SourceData_ElectricityEFs[State, Territory or grid description]")</formula1>
    </dataValidation>
    <dataValidation type="list" allowBlank="1" showInputMessage="1" showErrorMessage="1" sqref="E69" xr:uid="{1461C3A0-AF8C-446D-A6F9-C0B9B63854A9}">
      <formula1>INDIRECT("Table_SourceData_Swine_IrrigationMethods[Irrigation method]")</formula1>
    </dataValidation>
    <dataValidation type="list" allowBlank="1" showInputMessage="1" showErrorMessage="1" sqref="E253 E258 E263 E297 E292 E287 E165 E153 E129 E141" xr:uid="{7E30D949-ABC9-4B4E-9324-2426AD860B19}">
      <formula1>"Yes, No"</formula1>
    </dataValidation>
    <dataValidation type="list" allowBlank="1" showInputMessage="1" showErrorMessage="1" sqref="E229" xr:uid="{FEE4AEF7-C694-4ECC-9612-15D9970A5D6F}">
      <formula1>INDIRECT("Table_SourceData_Dairy_ProductionSystemTemplates[Area]")</formula1>
    </dataValidation>
    <dataValidation type="list" allowBlank="1" showInputMessage="1" showErrorMessage="1" sqref="D281" xr:uid="{672FE66E-B334-41B3-B609-D6DCFDEA1915}">
      <formula1>INDIRECT("Table_SourceData_PoultryMMSStage1[MMS]")</formula1>
    </dataValidation>
  </dataValidations>
  <pageMargins left="0.7" right="0.7" top="0.75" bottom="0.75" header="0.3" footer="0.3"/>
  <pageSetup paperSize="9" orientation="portrait"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1147D-A830-4473-A3AF-93B3D933246B}">
  <sheetPr>
    <tabColor theme="9" tint="-0.249977111117893"/>
  </sheetPr>
  <dimension ref="A1:AO642"/>
  <sheetViews>
    <sheetView showGridLines="0" zoomScaleNormal="100" workbookViewId="0">
      <selection activeCell="A41" sqref="A41"/>
    </sheetView>
  </sheetViews>
  <sheetFormatPr defaultRowHeight="15.75" x14ac:dyDescent="0.25"/>
  <cols>
    <col min="1" max="1" width="30.625" customWidth="1"/>
    <col min="2" max="2" width="4.625" customWidth="1"/>
    <col min="3" max="3" width="4.625" style="8" customWidth="1"/>
    <col min="4" max="40" width="30.625" style="8" customWidth="1"/>
    <col min="41" max="41" width="4.625" style="8" customWidth="1"/>
  </cols>
  <sheetData>
    <row r="1" spans="1:41" s="1" customFormat="1" ht="30" customHeight="1" x14ac:dyDescent="0.35">
      <c r="A1" s="37" t="e" vm="1">
        <v>#VALUE!</v>
      </c>
      <c r="C1" s="1" t="s">
        <v>824</v>
      </c>
    </row>
    <row r="2" spans="1:41" s="2" customFormat="1" ht="20.100000000000001" customHeight="1" x14ac:dyDescent="0.25">
      <c r="A2"/>
    </row>
    <row r="3" spans="1:41"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row>
    <row r="4" spans="1:41" ht="20.100000000000001" customHeight="1" x14ac:dyDescent="0.25">
      <c r="A4" s="16" t="str">
        <f>HYPERLINK("#'Results'!A1", "Results")</f>
        <v>Results</v>
      </c>
    </row>
    <row r="5" spans="1:41" ht="20.100000000000001" customHeight="1" x14ac:dyDescent="0.25">
      <c r="D5" s="9" t="str" cm="1">
        <f t="array" ref="D5">Scope3_Equations.VEERG_15_1_1_1__1_EmissionsFromPurchasedLivestock_Title()</f>
        <v>Total emissions from purchased livestock</v>
      </c>
    </row>
    <row r="6" spans="1:41" ht="20.100000000000001" customHeight="1" x14ac:dyDescent="0.25">
      <c r="D6" s="11" t="str" cm="1">
        <f t="array" ref="D6">Scope3_Equations.VEERG_15_1_1_1__1_EmissionsFromPurchasedLivestock_Source()</f>
        <v>VEERG 2026: 15.1.1.1, Equation (1)</v>
      </c>
    </row>
    <row r="7" spans="1:41" ht="20.100000000000001" customHeight="1" x14ac:dyDescent="0.25">
      <c r="A7" s="19" t="s">
        <v>67</v>
      </c>
      <c r="D7" s="171" t="s">
        <v>622</v>
      </c>
      <c r="E7" s="171" t="str" cm="1">
        <f t="array" aca="1" ref="E7" ca="1">Common_InputFunctions.Utility_DisplayFunctionName(J23)</f>
        <v>=Scope3_Equations.VEERG_15_1_1_1__1_EmissionsFromPurchasedLivestock</v>
      </c>
    </row>
    <row r="8" spans="1:41" ht="20.100000000000001" customHeight="1" x14ac:dyDescent="0.25">
      <c r="A8" s="16" t="str">
        <f>HYPERLINK("#'Input - Site'!A1", "Site")</f>
        <v>Site</v>
      </c>
    </row>
    <row r="9" spans="1:41" ht="20.100000000000001" customHeight="1" x14ac:dyDescent="0.25">
      <c r="A9" s="16" t="str">
        <f>HYPERLINK("#'Input - Fuel'!A1", "Fuel")</f>
        <v>Fuel</v>
      </c>
      <c r="H9" s="171"/>
    </row>
    <row r="10" spans="1:41" ht="20.100000000000001" customHeight="1" x14ac:dyDescent="0.25">
      <c r="A10" s="16" t="str">
        <f>HYPERLINK("#'Input - Fertiliser'!A1", "Fertiliser")</f>
        <v>Fertiliser</v>
      </c>
      <c r="D10" s="27" t="s">
        <v>623</v>
      </c>
      <c r="E10" s="8" t="str" cm="1">
        <f t="array" ref="E10">Scope3_Equations.VEERG_15_1_1_1__1_EmissionsFromPurchasedLivestock_Variable()</f>
        <v>E</v>
      </c>
    </row>
    <row r="11" spans="1:41" ht="20.100000000000001" customHeight="1" x14ac:dyDescent="0.25">
      <c r="A11" s="16" t="str">
        <f>HYPERLINK("#'Input - Farm Inputs'!A1", "Farm Inputs")</f>
        <v>Farm Inputs</v>
      </c>
      <c r="D11" s="27" t="s">
        <v>96</v>
      </c>
      <c r="E11" s="13" t="str" cm="1">
        <f t="array" ref="E11">Scope3_Equations.VEERG_15_1_1_1__1_EmissionsFromPurchasedLivestock_Unit()</f>
        <v>t CO2e</v>
      </c>
    </row>
    <row r="12" spans="1:41" ht="20.100000000000001" customHeight="1" x14ac:dyDescent="0.25">
      <c r="A12" s="16" t="str">
        <f>HYPERLINK("#'Input - Beef cattle purchases'!A1", "Beef cattle purchases")</f>
        <v>Beef cattle purchases</v>
      </c>
    </row>
    <row r="13" spans="1:41" ht="20.100000000000001" customHeight="1" x14ac:dyDescent="0.25">
      <c r="A13" s="16" t="str">
        <f>HYPERLINK("#'Input - Dairy cattle purchases'!A1", "Dairy cattle purchases")</f>
        <v>Dairy cattle purchases</v>
      </c>
      <c r="D13" s="166" t="str" cm="1">
        <f t="array" ref="D13:E17">_xlfn.CHOOSECOLS(Scope3_Equations.VEERG_15_1_1_1__1_EmissionsFromPurchasedLivestock_Arguments(),1,2)</f>
        <v>N_co</v>
      </c>
      <c r="E13" s="170" t="str">
        <v>number of animals purchased in livestock type c from origin o</v>
      </c>
      <c r="F13" s="165"/>
      <c r="G13" s="166" t="str" cm="1">
        <f t="array" ref="G13:H17">_xlfn.CHOOSECOLS(Scope3_Equations.VEERG_15_1_1_1__1_EmissionsFromPurchasedLivestock_Arguments(),3,4)</f>
        <v>head</v>
      </c>
      <c r="H13" s="167" t="str">
        <v>Input</v>
      </c>
    </row>
    <row r="14" spans="1:41" ht="20.100000000000001" customHeight="1" x14ac:dyDescent="0.25">
      <c r="A14" s="16" t="str">
        <f>HYPERLINK("#'Input - Pig purchases'!A1", "Pig purchases")</f>
        <v>Pig purchases</v>
      </c>
      <c r="D14" s="166" t="str">
        <v>W_co</v>
      </c>
      <c r="E14" s="170" t="str">
        <v>average liveweight of purchased livestock at point of purchase</v>
      </c>
      <c r="F14" s="165"/>
      <c r="G14" s="166" t="str">
        <v>kg/head</v>
      </c>
      <c r="H14" s="167" t="str">
        <v>Input</v>
      </c>
    </row>
    <row r="15" spans="1:41" ht="20.100000000000001" customHeight="1" x14ac:dyDescent="0.25">
      <c r="A15" s="16" t="str">
        <f>HYPERLINK("#'Input - Poultry purchases'!A1", "Poultry purchases")</f>
        <v>Poultry purchases</v>
      </c>
      <c r="D15" s="166" t="str">
        <v>EF_co</v>
      </c>
      <c r="E15" s="170" t="str">
        <v>emission factor per livestock type and origin</v>
      </c>
      <c r="F15" s="165"/>
      <c r="G15" s="166" t="str">
        <v>kg CO2e/kg</v>
      </c>
      <c r="H15" s="168" t="str">
        <v>Constant</v>
      </c>
    </row>
    <row r="16" spans="1:41" ht="20.100000000000001" customHeight="1" x14ac:dyDescent="0.25">
      <c r="A16" s="16" t="str">
        <f>HYPERLINK("#'Input - Freight'!A1", "Freight")</f>
        <v>Freight</v>
      </c>
      <c r="D16" s="166" t="str">
        <v>c</v>
      </c>
      <c r="E16" s="170" t="str">
        <v>livestock type</v>
      </c>
      <c r="F16" s="165"/>
      <c r="G16" s="166" t="str">
        <v/>
      </c>
      <c r="H16" s="167" t="str">
        <v>Input</v>
      </c>
    </row>
    <row r="17" spans="1:16" ht="20.100000000000001" customHeight="1" x14ac:dyDescent="0.25">
      <c r="A17" s="16" t="str">
        <f>HYPERLINK("#'Input - Solid waste'!A1", "Solid waste")</f>
        <v>Solid waste</v>
      </c>
      <c r="D17" s="166" t="str">
        <v>o</v>
      </c>
      <c r="E17" s="170" t="str">
        <v>origin</v>
      </c>
      <c r="F17" s="165"/>
      <c r="G17" s="166" t="str">
        <v/>
      </c>
      <c r="H17" s="167" t="str">
        <v>Input</v>
      </c>
    </row>
    <row r="18" spans="1:16" ht="20.100000000000001" customHeight="1" x14ac:dyDescent="0.25">
      <c r="A18" s="16" t="str">
        <f>HYPERLINK("#'Input - Manure sent off-site'!A1", "Manure sent off-site")</f>
        <v>Manure sent off-site</v>
      </c>
    </row>
    <row r="19" spans="1:16" ht="20.100000000000001" customHeight="1" x14ac:dyDescent="0.25">
      <c r="A19" s="16" t="str">
        <f>HYPERLINK("#'Input - Electricity'!A1", "Electricity")</f>
        <v>Electricity</v>
      </c>
      <c r="D19" s="95" t="s">
        <v>562</v>
      </c>
      <c r="E19" s="110"/>
      <c r="F19" s="96"/>
    </row>
    <row r="20" spans="1:16" ht="20.100000000000001" customHeight="1" x14ac:dyDescent="0.25"/>
    <row r="21" spans="1:16" ht="20.100000000000001" customHeight="1" x14ac:dyDescent="0.25">
      <c r="D21" s="144" t="s">
        <v>318</v>
      </c>
    </row>
    <row r="22" spans="1:16" ht="20.100000000000001" customHeight="1" x14ac:dyDescent="0.25">
      <c r="A22" s="21" t="s">
        <v>77</v>
      </c>
      <c r="D22" s="46" t="s">
        <v>355</v>
      </c>
      <c r="E22" s="151" t="s">
        <v>616</v>
      </c>
      <c r="F22" s="151" t="s">
        <v>615</v>
      </c>
      <c r="G22" s="151" t="s">
        <v>617</v>
      </c>
      <c r="H22" s="151" t="s">
        <v>618</v>
      </c>
      <c r="I22" s="57" t="s">
        <v>620</v>
      </c>
      <c r="J22" s="57" t="s">
        <v>629</v>
      </c>
      <c r="K22" s="151" t="s">
        <v>619</v>
      </c>
      <c r="L22" s="46" t="s">
        <v>621</v>
      </c>
      <c r="M22" s="57" t="s">
        <v>631</v>
      </c>
      <c r="N22" s="46" t="s">
        <v>625</v>
      </c>
      <c r="O22" s="46" t="s">
        <v>626</v>
      </c>
      <c r="P22" s="46" t="s">
        <v>627</v>
      </c>
    </row>
    <row r="23" spans="1:16" ht="20.100000000000001" customHeight="1" x14ac:dyDescent="0.25">
      <c r="A23" s="179" t="str">
        <f>HYPERLINK("#'15 Scope 3'!A1", "15 Scope 3")</f>
        <v>15 Scope 3</v>
      </c>
      <c r="D23" s="49" t="str" cm="1">
        <f t="array" ref="D23:D32">IFERROR(INDEX(Table_Input_LivestockPurchases_Beefcattle[Transaction name], _xlfn.SEQUENCE(10)), "")</f>
        <v>Cows from Barry</v>
      </c>
      <c r="E23" s="49" t="str" cm="1">
        <f t="array" ref="E23:E32">IFERROR(INDEX(Table_Input_LivestockPurchases_Beefcattle[Purchase class (select)], _xlfn.SEQUENCE(10)), "")</f>
        <v>Cattle, for prime beef</v>
      </c>
      <c r="F23" s="49" t="str" cm="1">
        <f t="array" ref="F23:F32">IFERROR(_xlfn.XLOOKUP(INDEX(Table_Input_LivestockPurchases_Beefcattle[Source region (Select)], _xlfn.SEQUENCE(10)), Table_ProductRegions_Beefcattle[Region],Table_ProductRegions_Beefcattle[Scope3 region]), "")</f>
        <v>WA</v>
      </c>
      <c r="G23" s="49" cm="1">
        <f t="array" ref="G23:G32">IFERROR(INDEX(Table_Input_LivestockPurchases_Beefcattle[Quantity (head)], _xlfn.SEQUENCE(10)), "")</f>
        <v>100</v>
      </c>
      <c r="H23" s="49" cm="1">
        <f t="array" ref="H23:H32">IFERROR(INDEX(Table_Input_LivestockPurchases_Beefcattle[Liveweight (kg/head) Method 1], _xlfn.SEQUENCE(10)), 0)</f>
        <v>210</v>
      </c>
      <c r="I23" s="49" cm="1">
        <f t="array" ref="I23">Common_InputFunctions.Utility_LookupValueInTableTwoColumns(E23,F23,Table_SourceData_Scope3_Animals[Product],Table_SourceData_Scope3_Animals[Region of origin],Table_SourceData_Scope3_Animals[AusLCI Emissions intensity], 0)</f>
        <v>20.8</v>
      </c>
      <c r="J23" s="150" cm="1">
        <f t="array" ref="J23">Scope3_Equations.VEERG_15_1_1_1__1_EmissionsFromPurchasedLivestock(G23,H23,I23)</f>
        <v>436.8</v>
      </c>
      <c r="K23" s="49" cm="1">
        <f t="array" ref="K23:K32">IFERROR(INDEX(Table_Input_LivestockPurchases_Beefcattle[Liveweight (kg/head) Method 2], _xlfn.SEQUENCE(10)), "")</f>
        <v>205</v>
      </c>
      <c r="L23" s="66">
        <v>20</v>
      </c>
      <c r="M23" s="150" cm="1">
        <f t="array" ref="M23">Scope3_Equations.VEERG_15_1_1_1__1_EmissionsFromPurchasedLivestock(G23,K23,IF(L23, L23, I23))</f>
        <v>410</v>
      </c>
      <c r="N23" s="82" t="s">
        <v>598</v>
      </c>
      <c r="O23" s="47" t="s">
        <v>597</v>
      </c>
      <c r="P23" t="s">
        <v>599</v>
      </c>
    </row>
    <row r="24" spans="1:16" ht="20.100000000000001" customHeight="1" x14ac:dyDescent="0.25">
      <c r="A24" s="16" t="str">
        <f>HYPERLINK("#'10.1.1-2 Solid waste treatment'!A1", "10.1.1-2 Solid waste treatment")</f>
        <v>10.1.1-2 Solid waste treatment</v>
      </c>
      <c r="D24" s="49">
        <v>0</v>
      </c>
      <c r="E24" s="49" t="str">
        <v>Cattle, for manufacturing beef</v>
      </c>
      <c r="F24" s="49" t="str">
        <v>WA</v>
      </c>
      <c r="G24" s="49">
        <v>100</v>
      </c>
      <c r="H24" s="49">
        <v>470</v>
      </c>
      <c r="I24" s="49" cm="1">
        <f t="array" ref="I24">Common_InputFunctions.Utility_LookupValueInTableTwoColumns(E24,F24,Table_SourceData_Scope3_Animals[Product],Table_SourceData_Scope3_Animals[Region of origin],Table_SourceData_Scope3_Animals[AusLCI Emissions intensity], 0)</f>
        <v>13.1</v>
      </c>
      <c r="J24" s="150" cm="1">
        <f t="array" ref="J24">Scope3_Equations.VEERG_15_1_1_1__1_EmissionsFromPurchasedLivestock(G24,H24,I24)</f>
        <v>615.70000000000005</v>
      </c>
      <c r="K24" s="49">
        <v>465</v>
      </c>
      <c r="L24" s="66">
        <v>13</v>
      </c>
      <c r="M24" s="150" cm="1">
        <f t="array" ref="M24">Scope3_Equations.VEERG_15_1_1_1__1_EmissionsFromPurchasedLivestock(G24,K24,IF(L24, L24, I24))</f>
        <v>604.5</v>
      </c>
      <c r="N24" s="82"/>
      <c r="O24" s="47"/>
      <c r="P24" s="82"/>
    </row>
    <row r="25" spans="1:16" ht="20.100000000000001" customHeight="1" x14ac:dyDescent="0.25">
      <c r="A25" s="16" t="str">
        <f>HYPERLINK("#'Calcs - Manure sent off-site'!A1", "Calcs - Manure sent off-site")</f>
        <v>Calcs - Manure sent off-site</v>
      </c>
      <c r="D25" s="49">
        <v>0</v>
      </c>
      <c r="E25" s="49">
        <v>0</v>
      </c>
      <c r="F25" s="49" t="str">
        <v/>
      </c>
      <c r="G25" s="49">
        <v>0</v>
      </c>
      <c r="H25" s="49">
        <v>0</v>
      </c>
      <c r="I25" s="49" cm="1">
        <f t="array" ref="I25">Common_InputFunctions.Utility_LookupValueInTableTwoColumns(E25,F25,Table_SourceData_Scope3_Animals[Product],Table_SourceData_Scope3_Animals[Region of origin],Table_SourceData_Scope3_Animals[AusLCI Emissions intensity], 0)</f>
        <v>0</v>
      </c>
      <c r="J25" s="150" cm="1">
        <f t="array" ref="J25">Scope3_Equations.VEERG_15_1_1_1__1_EmissionsFromPurchasedLivestock(G25,H25,I25)</f>
        <v>0</v>
      </c>
      <c r="K25" s="49">
        <v>0</v>
      </c>
      <c r="L25" s="66"/>
      <c r="M25" s="150" cm="1">
        <f t="array" ref="M25">Scope3_Equations.VEERG_15_1_1_1__1_EmissionsFromPurchasedLivestock(G25,K25,IF(L25, L25, I25))</f>
        <v>0</v>
      </c>
      <c r="N25" s="82"/>
      <c r="O25" s="47"/>
      <c r="P25" s="82"/>
    </row>
    <row r="26" spans="1:16" ht="20.100000000000001" customHeight="1" x14ac:dyDescent="0.25">
      <c r="A26" s="16" t="str">
        <f>HYPERLINK("#'8.1.1.1-2 Transport fuel'!A1", "8.1.1.1-2 Transport fuel")</f>
        <v>8.1.1.1-2 Transport fuel</v>
      </c>
      <c r="D26" s="49">
        <v>0</v>
      </c>
      <c r="E26" s="49">
        <v>0</v>
      </c>
      <c r="F26" s="49" t="str">
        <v/>
      </c>
      <c r="G26" s="49">
        <v>0</v>
      </c>
      <c r="H26" s="49">
        <v>0</v>
      </c>
      <c r="I26" s="49" cm="1">
        <f t="array" ref="I26">Common_InputFunctions.Utility_LookupValueInTableTwoColumns(E26,F26,Table_SourceData_Scope3_Animals[Product],Table_SourceData_Scope3_Animals[Region of origin],Table_SourceData_Scope3_Animals[AusLCI Emissions intensity], 0)</f>
        <v>0</v>
      </c>
      <c r="J26" s="150" cm="1">
        <f t="array" ref="J26">Scope3_Equations.VEERG_15_1_1_1__1_EmissionsFromPurchasedLivestock(G26,H26,I26)</f>
        <v>0</v>
      </c>
      <c r="K26" s="49">
        <v>0</v>
      </c>
      <c r="L26" s="66"/>
      <c r="M26" s="150" cm="1">
        <f t="array" ref="M26">Scope3_Equations.VEERG_15_1_1_1__1_EmissionsFromPurchasedLivestock(G26,K26,IF(L26, L26, I26))</f>
        <v>0</v>
      </c>
      <c r="N26" s="82"/>
      <c r="O26" s="47"/>
      <c r="P26" s="82"/>
    </row>
    <row r="27" spans="1:16" ht="20.100000000000001" customHeight="1" x14ac:dyDescent="0.25">
      <c r="A27" s="16" t="str">
        <f>HYPERLINK("#'8.2.1.1-2 Stationary fuel'!A1", "8.2.1.1-2 Stationary fuel")</f>
        <v>8.2.1.1-2 Stationary fuel</v>
      </c>
      <c r="D27" s="49">
        <v>0</v>
      </c>
      <c r="E27" s="49">
        <v>0</v>
      </c>
      <c r="F27" s="49" t="str">
        <v/>
      </c>
      <c r="G27" s="49">
        <v>0</v>
      </c>
      <c r="H27" s="49">
        <v>0</v>
      </c>
      <c r="I27" s="49" cm="1">
        <f t="array" ref="I27">Common_InputFunctions.Utility_LookupValueInTableTwoColumns(E27,F27,Table_SourceData_Scope3_Animals[Product],Table_SourceData_Scope3_Animals[Region of origin],Table_SourceData_Scope3_Animals[AusLCI Emissions intensity], 0)</f>
        <v>0</v>
      </c>
      <c r="J27" s="150" cm="1">
        <f t="array" ref="J27">Scope3_Equations.VEERG_15_1_1_1__1_EmissionsFromPurchasedLivestock(G27,H27,I27)</f>
        <v>0</v>
      </c>
      <c r="K27" s="49">
        <v>0</v>
      </c>
      <c r="L27" s="66"/>
      <c r="M27" s="150" cm="1">
        <f t="array" ref="M27">Scope3_Equations.VEERG_15_1_1_1__1_EmissionsFromPurchasedLivestock(G27,K27,IF(L27, L27, I27))</f>
        <v>0</v>
      </c>
      <c r="N27" s="82"/>
      <c r="O27" s="47"/>
      <c r="P27" s="82"/>
    </row>
    <row r="28" spans="1:16" ht="20.100000000000001" customHeight="1" x14ac:dyDescent="0.25">
      <c r="D28" s="49">
        <v>0</v>
      </c>
      <c r="E28" s="49">
        <v>0</v>
      </c>
      <c r="F28" s="49" t="str">
        <v/>
      </c>
      <c r="G28" s="49">
        <v>0</v>
      </c>
      <c r="H28" s="49">
        <v>0</v>
      </c>
      <c r="I28" s="49" cm="1">
        <f t="array" ref="I28">Common_InputFunctions.Utility_LookupValueInTableTwoColumns(E28,F28,Table_SourceData_Scope3_Animals[Product],Table_SourceData_Scope3_Animals[Region of origin],Table_SourceData_Scope3_Animals[AusLCI Emissions intensity], 0)</f>
        <v>0</v>
      </c>
      <c r="J28" s="150" cm="1">
        <f t="array" ref="J28">Scope3_Equations.VEERG_15_1_1_1__1_EmissionsFromPurchasedLivestock(G28,H28,I28)</f>
        <v>0</v>
      </c>
      <c r="K28" s="49">
        <v>0</v>
      </c>
      <c r="L28" s="66"/>
      <c r="M28" s="150" cm="1">
        <f t="array" ref="M28">Scope3_Equations.VEERG_15_1_1_1__1_EmissionsFromPurchasedLivestock(G28,K28,IF(L28, L28, I28))</f>
        <v>0</v>
      </c>
      <c r="N28" s="82"/>
      <c r="O28" s="47"/>
      <c r="P28" s="82"/>
    </row>
    <row r="29" spans="1:16" ht="20.100000000000001" customHeight="1" x14ac:dyDescent="0.25">
      <c r="D29" s="49">
        <v>0</v>
      </c>
      <c r="E29" s="49">
        <v>0</v>
      </c>
      <c r="F29" s="49" t="str">
        <v/>
      </c>
      <c r="G29" s="49">
        <v>0</v>
      </c>
      <c r="H29" s="49">
        <v>0</v>
      </c>
      <c r="I29" s="49" cm="1">
        <f t="array" ref="I29">Common_InputFunctions.Utility_LookupValueInTableTwoColumns(E29,F29,Table_SourceData_Scope3_Animals[Product],Table_SourceData_Scope3_Animals[Region of origin],Table_SourceData_Scope3_Animals[AusLCI Emissions intensity], 0)</f>
        <v>0</v>
      </c>
      <c r="J29" s="150" cm="1">
        <f t="array" ref="J29">Scope3_Equations.VEERG_15_1_1_1__1_EmissionsFromPurchasedLivestock(G29,H29,I29)</f>
        <v>0</v>
      </c>
      <c r="K29" s="49">
        <v>0</v>
      </c>
      <c r="L29" s="66"/>
      <c r="M29" s="150" cm="1">
        <f t="array" ref="M29">Scope3_Equations.VEERG_15_1_1_1__1_EmissionsFromPurchasedLivestock(G29,K29,IF(L29, L29, I29))</f>
        <v>0</v>
      </c>
      <c r="N29" s="82"/>
      <c r="O29" s="47"/>
      <c r="P29" s="82"/>
    </row>
    <row r="30" spans="1:16" ht="20.100000000000001" customHeight="1" x14ac:dyDescent="0.25">
      <c r="A30" s="221" t="s">
        <v>78</v>
      </c>
      <c r="D30" s="49">
        <v>0</v>
      </c>
      <c r="E30" s="49">
        <v>0</v>
      </c>
      <c r="F30" s="49" t="str">
        <v/>
      </c>
      <c r="G30" s="49">
        <v>0</v>
      </c>
      <c r="H30" s="49">
        <v>0</v>
      </c>
      <c r="I30" s="49" cm="1">
        <f t="array" ref="I30">Common_InputFunctions.Utility_LookupValueInTableTwoColumns(E30,F30,Table_SourceData_Scope3_Animals[Product],Table_SourceData_Scope3_Animals[Region of origin],Table_SourceData_Scope3_Animals[AusLCI Emissions intensity], 0)</f>
        <v>0</v>
      </c>
      <c r="J30" s="150" cm="1">
        <f t="array" ref="J30">Scope3_Equations.VEERG_15_1_1_1__1_EmissionsFromPurchasedLivestock(G30,H30,I30)</f>
        <v>0</v>
      </c>
      <c r="K30" s="49">
        <v>0</v>
      </c>
      <c r="L30" s="66"/>
      <c r="M30" s="150" cm="1">
        <f t="array" ref="M30">Scope3_Equations.VEERG_15_1_1_1__1_EmissionsFromPurchasedLivestock(G30,K30,IF(L30, L30, I30))</f>
        <v>0</v>
      </c>
      <c r="N30" s="82"/>
      <c r="O30" s="47"/>
      <c r="P30" s="82"/>
    </row>
    <row r="31" spans="1:16" ht="20.100000000000001" customHeight="1" x14ac:dyDescent="0.25">
      <c r="A31" s="16" t="str">
        <f>HYPERLINK("#'Constants - Scope 3'!A1", "Constants - Scope 3")</f>
        <v>Constants - Scope 3</v>
      </c>
      <c r="D31" s="49">
        <v>0</v>
      </c>
      <c r="E31" s="49">
        <v>0</v>
      </c>
      <c r="F31" s="49" t="str">
        <v/>
      </c>
      <c r="G31" s="49">
        <v>0</v>
      </c>
      <c r="H31" s="49">
        <v>0</v>
      </c>
      <c r="I31" s="49" cm="1">
        <f t="array" ref="I31">Common_InputFunctions.Utility_LookupValueInTableTwoColumns(E31,F31,Table_SourceData_Scope3_Animals[Product],Table_SourceData_Scope3_Animals[Region of origin],Table_SourceData_Scope3_Animals[AusLCI Emissions intensity], 0)</f>
        <v>0</v>
      </c>
      <c r="J31" s="150" cm="1">
        <f t="array" ref="J31">Scope3_Equations.VEERG_15_1_1_1__1_EmissionsFromPurchasedLivestock(G31,H31,I31)</f>
        <v>0</v>
      </c>
      <c r="K31" s="49">
        <v>0</v>
      </c>
      <c r="L31" s="66"/>
      <c r="M31" s="150" cm="1">
        <f t="array" ref="M31">Scope3_Equations.VEERG_15_1_1_1__1_EmissionsFromPurchasedLivestock(G31,K31,IF(L31, L31, I31))</f>
        <v>0</v>
      </c>
      <c r="N31" s="82"/>
      <c r="O31" s="47"/>
      <c r="P31" s="82"/>
    </row>
    <row r="32" spans="1:16" ht="20.100000000000001" customHeight="1" x14ac:dyDescent="0.25">
      <c r="A32" s="16" t="str">
        <f>HYPERLINK("#'Constants - Solid Waste'!A1", "Constants - Solid Waste")</f>
        <v>Constants - Solid Waste</v>
      </c>
      <c r="D32" s="49">
        <v>0</v>
      </c>
      <c r="E32" s="49">
        <v>0</v>
      </c>
      <c r="F32" s="49" t="str">
        <v/>
      </c>
      <c r="G32" s="49">
        <v>0</v>
      </c>
      <c r="H32" s="49">
        <v>0</v>
      </c>
      <c r="I32" s="49" cm="1">
        <f t="array" ref="I32">Common_InputFunctions.Utility_LookupValueInTableTwoColumns(E32,F32,Table_SourceData_Scope3_Animals[Product],Table_SourceData_Scope3_Animals[Region of origin],Table_SourceData_Scope3_Animals[AusLCI Emissions intensity], 0)</f>
        <v>0</v>
      </c>
      <c r="J32" s="150" cm="1">
        <f t="array" ref="J32">Scope3_Equations.VEERG_15_1_1_1__1_EmissionsFromPurchasedLivestock(G32,H32,I32)</f>
        <v>0</v>
      </c>
      <c r="K32" s="49">
        <v>0</v>
      </c>
      <c r="L32" s="66"/>
      <c r="M32" s="150" cm="1">
        <f t="array" ref="M32">Scope3_Equations.VEERG_15_1_1_1__1_EmissionsFromPurchasedLivestock(G32,K32,IF(L32, L32, I32))</f>
        <v>0</v>
      </c>
      <c r="N32" s="82"/>
      <c r="O32" s="47"/>
      <c r="P32" s="82"/>
    </row>
    <row r="33" spans="1:13" ht="20.100000000000001" customHeight="1" x14ac:dyDescent="0.25">
      <c r="A33" s="16" t="str">
        <f>HYPERLINK("#'Constants - Fuel'!A1", "Constants - Fuel")</f>
        <v>Constants - Fuel</v>
      </c>
    </row>
    <row r="34" spans="1:13" ht="20.100000000000001" customHeight="1" x14ac:dyDescent="0.25">
      <c r="A34" s="16" t="str">
        <f>HYPERLINK("#'Constants - Poultry'!A1", "Constants - Poultry")</f>
        <v>Constants - Poultry</v>
      </c>
      <c r="D34" s="173" t="s">
        <v>645</v>
      </c>
      <c r="E34" s="98">
        <f>SUM(J23:J32)</f>
        <v>1052.5</v>
      </c>
      <c r="F34" s="174" t="str">
        <f>$E$11</f>
        <v>t CO2e</v>
      </c>
    </row>
    <row r="35" spans="1:13" ht="20.100000000000001" customHeight="1" x14ac:dyDescent="0.25">
      <c r="A35" s="16" t="str">
        <f>HYPERLINK("#'Constants - Swine'!A1", "Constants - Swine")</f>
        <v>Constants - Swine</v>
      </c>
      <c r="D35" s="173" t="s">
        <v>646</v>
      </c>
      <c r="E35" s="98">
        <f>SUM(M23:M32)</f>
        <v>1014.5</v>
      </c>
      <c r="F35" s="174" t="str">
        <f>$E$11</f>
        <v>t CO2e</v>
      </c>
    </row>
    <row r="36" spans="1:13" ht="20.100000000000001" customHeight="1" x14ac:dyDescent="0.25">
      <c r="A36" s="16" t="str">
        <f>HYPERLINK("#'Constants - Dairy'!A1", "Constants - Dairy")</f>
        <v>Constants - Dairy</v>
      </c>
    </row>
    <row r="37" spans="1:13" ht="20.100000000000001" customHeight="1" x14ac:dyDescent="0.25">
      <c r="A37" s="16" t="str">
        <f>HYPERLINK("#'Constants - Pasture Beef'!A1", "Constants - Pasture Beef")</f>
        <v>Constants - Pasture Beef</v>
      </c>
    </row>
    <row r="38" spans="1:13" ht="20.100000000000001" customHeight="1" x14ac:dyDescent="0.25">
      <c r="A38" s="16" t="str">
        <f>HYPERLINK("#'Constants - Common Livestock'!A1", "Constants - Common Livestock")</f>
        <v>Constants - Common Livestock</v>
      </c>
      <c r="D38" s="144" t="s">
        <v>334</v>
      </c>
    </row>
    <row r="39" spans="1:13" ht="20.100000000000001" customHeight="1" x14ac:dyDescent="0.25">
      <c r="A39" s="16" t="str">
        <f>HYPERLINK("#'Constants - Fertiliser'!A1", "Constants - Fertiliser")</f>
        <v>Constants - Fertiliser</v>
      </c>
      <c r="D39" s="166" t="s">
        <v>624</v>
      </c>
      <c r="E39" s="49" cm="1">
        <f t="array" ref="E39">Common_InputFunctions.Utility_LookupValueInTableNumber("Dairy cows", Table_SourceData_Scope3_Animals[Product],Table_SourceData_Scope3_Animals[AusLCI Emissions intensity])</f>
        <v>4.41</v>
      </c>
    </row>
    <row r="40" spans="1:13" ht="20.100000000000001" customHeight="1" x14ac:dyDescent="0.25">
      <c r="A40" s="16" t="str">
        <f>HYPERLINK("#'Constants - Electricity'!A1", "Constants - Electricity")</f>
        <v>Constants - Electricity</v>
      </c>
    </row>
    <row r="41" spans="1:13" ht="20.100000000000001" customHeight="1" x14ac:dyDescent="0.25">
      <c r="A41" s="16" t="str">
        <f>HYPERLINK("#'Constants - Common'!A1", "Constants - Common")</f>
        <v>Constants - Common</v>
      </c>
      <c r="D41" s="46" t="s">
        <v>355</v>
      </c>
      <c r="E41" s="151" t="s">
        <v>617</v>
      </c>
      <c r="F41" s="151" t="s">
        <v>618</v>
      </c>
      <c r="G41" s="57" t="s">
        <v>629</v>
      </c>
      <c r="H41" s="151" t="s">
        <v>619</v>
      </c>
      <c r="I41" s="46" t="s">
        <v>621</v>
      </c>
      <c r="J41" s="57" t="s">
        <v>631</v>
      </c>
      <c r="K41" s="46" t="s">
        <v>625</v>
      </c>
      <c r="L41" s="46" t="s">
        <v>626</v>
      </c>
      <c r="M41" s="46" t="s">
        <v>627</v>
      </c>
    </row>
    <row r="42" spans="1:13" ht="20.100000000000001" customHeight="1" x14ac:dyDescent="0.25">
      <c r="D42" s="49" t="str" cm="1">
        <f t="array" ref="D42:D51">IFERROR(INDEX(Table_Input_LivestockPurchases_Dairy[Transaction name], _xlfn.SEQUENCE(10)), "")</f>
        <v>Dairy cows from Denise</v>
      </c>
      <c r="E42" s="49" cm="1">
        <f t="array" ref="E42:E51">IFERROR(INDEX(Table_Input_LivestockPurchases_Dairy[Quantity (head)], _xlfn.SEQUENCE(10)), 0)</f>
        <v>100</v>
      </c>
      <c r="F42" s="49" cm="1">
        <f t="array" ref="F42:F51">IFERROR(INDEX(Table_Input_LivestockPurchases_Dairy[Liveweight (kg/head) Method 1], _xlfn.SEQUENCE(10)), 0)</f>
        <v>130</v>
      </c>
      <c r="G42" s="150" cm="1">
        <f t="array" ref="G42">Scope3_Equations.VEERG_15_1_1_1__1_EmissionsFromPurchasedLivestock(E42,F42,$E$39)</f>
        <v>57.33</v>
      </c>
      <c r="H42" s="49" cm="1">
        <f t="array" ref="H42:H51">IFERROR(INDEX(Table_Input_LivestockPurchases_Dairy[Liveweight (kg/head) Method 2], _xlfn.SEQUENCE(10)), "")</f>
        <v>350</v>
      </c>
      <c r="I42" s="66">
        <v>4</v>
      </c>
      <c r="J42" s="150" cm="1">
        <f t="array" ref="J42">Scope3_Equations.VEERG_15_1_1_1__1_EmissionsFromPurchasedLivestock(E42,H42,IF(I42,I42,$E$39))</f>
        <v>140</v>
      </c>
      <c r="K42" s="82" t="s">
        <v>598</v>
      </c>
      <c r="L42" s="47" t="s">
        <v>597</v>
      </c>
      <c r="M42" t="s">
        <v>599</v>
      </c>
    </row>
    <row r="43" spans="1:13" ht="20.100000000000001" customHeight="1" x14ac:dyDescent="0.25">
      <c r="D43" s="49">
        <v>0</v>
      </c>
      <c r="E43" s="49">
        <v>100</v>
      </c>
      <c r="F43" s="49">
        <v>540</v>
      </c>
      <c r="G43" s="150" cm="1">
        <f t="array" ref="G43">Scope3_Equations.VEERG_15_1_1_1__1_EmissionsFromPurchasedLivestock(E43,F43,$E$39)</f>
        <v>238.14000000000001</v>
      </c>
      <c r="H43" s="49">
        <v>625</v>
      </c>
      <c r="I43" s="66"/>
      <c r="J43" s="150" cm="1">
        <f t="array" ref="J43">Scope3_Equations.VEERG_15_1_1_1__1_EmissionsFromPurchasedLivestock(E43,H43,IF(I43,I43,$E$39))</f>
        <v>275.625</v>
      </c>
      <c r="K43" s="82"/>
      <c r="L43" s="47"/>
      <c r="M43" s="82"/>
    </row>
    <row r="44" spans="1:13" ht="20.100000000000001" customHeight="1" x14ac:dyDescent="0.25">
      <c r="D44" s="49">
        <v>0</v>
      </c>
      <c r="E44" s="49">
        <v>0</v>
      </c>
      <c r="F44" s="49">
        <v>315</v>
      </c>
      <c r="G44" s="150" cm="1">
        <f t="array" ref="G44">Scope3_Equations.VEERG_15_1_1_1__1_EmissionsFromPurchasedLivestock(E44,F44,$E$39)</f>
        <v>0</v>
      </c>
      <c r="H44" s="49">
        <v>0</v>
      </c>
      <c r="I44" s="66"/>
      <c r="J44" s="150" cm="1">
        <f t="array" ref="J44">Scope3_Equations.VEERG_15_1_1_1__1_EmissionsFromPurchasedLivestock(E44,H44,IF(I44,I44,$E$39))</f>
        <v>0</v>
      </c>
      <c r="K44" s="82"/>
      <c r="L44" s="47"/>
      <c r="M44" s="82"/>
    </row>
    <row r="45" spans="1:13" ht="20.100000000000001" customHeight="1" x14ac:dyDescent="0.25">
      <c r="D45" s="49">
        <v>0</v>
      </c>
      <c r="E45" s="49">
        <v>0</v>
      </c>
      <c r="F45" s="49">
        <v>0</v>
      </c>
      <c r="G45" s="150" cm="1">
        <f t="array" ref="G45">Scope3_Equations.VEERG_15_1_1_1__1_EmissionsFromPurchasedLivestock(E45,F45,$E$39)</f>
        <v>0</v>
      </c>
      <c r="H45" s="49">
        <v>0</v>
      </c>
      <c r="I45" s="66"/>
      <c r="J45" s="150" cm="1">
        <f t="array" ref="J45">Scope3_Equations.VEERG_15_1_1_1__1_EmissionsFromPurchasedLivestock(E45,H45,IF(I45,I45,$E$39))</f>
        <v>0</v>
      </c>
      <c r="K45" s="82"/>
      <c r="L45" s="47"/>
      <c r="M45" s="82"/>
    </row>
    <row r="46" spans="1:13" ht="20.100000000000001" customHeight="1" x14ac:dyDescent="0.25">
      <c r="D46" s="49">
        <v>0</v>
      </c>
      <c r="E46" s="49">
        <v>0</v>
      </c>
      <c r="F46" s="49">
        <v>0</v>
      </c>
      <c r="G46" s="150" cm="1">
        <f t="array" ref="G46">Scope3_Equations.VEERG_15_1_1_1__1_EmissionsFromPurchasedLivestock(E46,F46,$E$39)</f>
        <v>0</v>
      </c>
      <c r="H46" s="49">
        <v>0</v>
      </c>
      <c r="I46" s="66"/>
      <c r="J46" s="150" cm="1">
        <f t="array" ref="J46">Scope3_Equations.VEERG_15_1_1_1__1_EmissionsFromPurchasedLivestock(E46,H46,IF(I46,I46,$E$39))</f>
        <v>0</v>
      </c>
      <c r="K46" s="82"/>
      <c r="L46" s="47"/>
      <c r="M46" s="82"/>
    </row>
    <row r="47" spans="1:13" ht="20.100000000000001" customHeight="1" x14ac:dyDescent="0.25">
      <c r="D47" s="49">
        <v>0</v>
      </c>
      <c r="E47" s="49">
        <v>0</v>
      </c>
      <c r="F47" s="49">
        <v>0</v>
      </c>
      <c r="G47" s="150" cm="1">
        <f t="array" ref="G47">Scope3_Equations.VEERG_15_1_1_1__1_EmissionsFromPurchasedLivestock(E47,F47,$E$39)</f>
        <v>0</v>
      </c>
      <c r="H47" s="49">
        <v>0</v>
      </c>
      <c r="I47" s="66"/>
      <c r="J47" s="150" cm="1">
        <f t="array" ref="J47">Scope3_Equations.VEERG_15_1_1_1__1_EmissionsFromPurchasedLivestock(E47,H47,IF(I47,I47,$E$39))</f>
        <v>0</v>
      </c>
      <c r="K47" s="82"/>
      <c r="L47" s="47"/>
      <c r="M47" s="82"/>
    </row>
    <row r="48" spans="1:13" ht="20.100000000000001" customHeight="1" x14ac:dyDescent="0.25">
      <c r="D48" s="49">
        <v>0</v>
      </c>
      <c r="E48" s="49">
        <v>0</v>
      </c>
      <c r="F48" s="49">
        <v>0</v>
      </c>
      <c r="G48" s="150" cm="1">
        <f t="array" ref="G48">Scope3_Equations.VEERG_15_1_1_1__1_EmissionsFromPurchasedLivestock(E48,F48,$E$39)</f>
        <v>0</v>
      </c>
      <c r="H48" s="49">
        <v>0</v>
      </c>
      <c r="I48" s="66"/>
      <c r="J48" s="150" cm="1">
        <f t="array" ref="J48">Scope3_Equations.VEERG_15_1_1_1__1_EmissionsFromPurchasedLivestock(E48,H48,IF(I48,I48,$E$39))</f>
        <v>0</v>
      </c>
      <c r="K48" s="82"/>
      <c r="L48" s="47"/>
      <c r="M48" s="82"/>
    </row>
    <row r="49" spans="4:13" ht="20.100000000000001" customHeight="1" x14ac:dyDescent="0.25">
      <c r="D49" s="49">
        <v>0</v>
      </c>
      <c r="E49" s="49">
        <v>0</v>
      </c>
      <c r="F49" s="49">
        <v>0</v>
      </c>
      <c r="G49" s="150" cm="1">
        <f t="array" ref="G49">Scope3_Equations.VEERG_15_1_1_1__1_EmissionsFromPurchasedLivestock(E49,F49,$E$39)</f>
        <v>0</v>
      </c>
      <c r="H49" s="49">
        <v>0</v>
      </c>
      <c r="I49" s="66"/>
      <c r="J49" s="150" cm="1">
        <f t="array" ref="J49">Scope3_Equations.VEERG_15_1_1_1__1_EmissionsFromPurchasedLivestock(E49,H49,IF(I49,I49,$E$39))</f>
        <v>0</v>
      </c>
      <c r="K49" s="82"/>
      <c r="L49" s="47"/>
      <c r="M49" s="82"/>
    </row>
    <row r="50" spans="4:13" ht="20.100000000000001" customHeight="1" x14ac:dyDescent="0.25">
      <c r="D50" s="49">
        <v>0</v>
      </c>
      <c r="E50" s="49">
        <v>0</v>
      </c>
      <c r="F50" s="49">
        <v>0</v>
      </c>
      <c r="G50" s="150" cm="1">
        <f t="array" ref="G50">Scope3_Equations.VEERG_15_1_1_1__1_EmissionsFromPurchasedLivestock(E50,F50,$E$39)</f>
        <v>0</v>
      </c>
      <c r="H50" s="49">
        <v>0</v>
      </c>
      <c r="I50" s="66"/>
      <c r="J50" s="150" cm="1">
        <f t="array" ref="J50">Scope3_Equations.VEERG_15_1_1_1__1_EmissionsFromPurchasedLivestock(E50,H50,IF(I50,I50,$E$39))</f>
        <v>0</v>
      </c>
      <c r="K50" s="82"/>
      <c r="L50" s="47"/>
      <c r="M50" s="82"/>
    </row>
    <row r="51" spans="4:13" ht="20.100000000000001" customHeight="1" x14ac:dyDescent="0.25">
      <c r="D51" s="49">
        <v>0</v>
      </c>
      <c r="E51" s="49">
        <v>0</v>
      </c>
      <c r="F51" s="49">
        <v>0</v>
      </c>
      <c r="G51" s="150" cm="1">
        <f t="array" ref="G51">Scope3_Equations.VEERG_15_1_1_1__1_EmissionsFromPurchasedLivestock(E51,F51,$E$39)</f>
        <v>0</v>
      </c>
      <c r="H51" s="49">
        <v>0</v>
      </c>
      <c r="I51" s="66"/>
      <c r="J51" s="150" cm="1">
        <f t="array" ref="J51">Scope3_Equations.VEERG_15_1_1_1__1_EmissionsFromPurchasedLivestock(E51,H51,IF(I51,I51,$E$39))</f>
        <v>0</v>
      </c>
      <c r="K51" s="82"/>
      <c r="L51" s="47"/>
      <c r="M51" s="82"/>
    </row>
    <row r="52" spans="4:13" ht="20.100000000000001" customHeight="1" x14ac:dyDescent="0.25"/>
    <row r="53" spans="4:13" ht="20.100000000000001" customHeight="1" x14ac:dyDescent="0.25">
      <c r="D53" s="173" t="s">
        <v>643</v>
      </c>
      <c r="E53" s="98">
        <f>SUM(G42:G51)</f>
        <v>295.47000000000003</v>
      </c>
      <c r="F53" s="174" t="str">
        <f>$E$11</f>
        <v>t CO2e</v>
      </c>
    </row>
    <row r="54" spans="4:13" ht="20.100000000000001" customHeight="1" x14ac:dyDescent="0.25">
      <c r="D54" s="173" t="s">
        <v>644</v>
      </c>
      <c r="E54" s="98">
        <f>SUM(J42:J51)</f>
        <v>415.625</v>
      </c>
      <c r="F54" s="174" t="str">
        <f>$E$11</f>
        <v>t CO2e</v>
      </c>
    </row>
    <row r="55" spans="4:13" ht="20.100000000000001" customHeight="1" x14ac:dyDescent="0.25"/>
    <row r="56" spans="4:13" ht="20.100000000000001" customHeight="1" x14ac:dyDescent="0.25"/>
    <row r="57" spans="4:13" ht="20.100000000000001" customHeight="1" x14ac:dyDescent="0.25">
      <c r="D57" s="144" t="s">
        <v>537</v>
      </c>
    </row>
    <row r="58" spans="4:13" ht="20.100000000000001" customHeight="1" x14ac:dyDescent="0.25">
      <c r="D58" s="166" t="s">
        <v>624</v>
      </c>
      <c r="E58" s="49" cm="1">
        <f t="array" ref="E58">Common_InputFunctions.Utility_LookupValueInTableNumber("Pigs", Table_SourceData_Scope3_Animals[Product],Table_SourceData_Scope3_Animals[AusLCI Emissions intensity])</f>
        <v>3.38</v>
      </c>
    </row>
    <row r="59" spans="4:13" ht="20.100000000000001" customHeight="1" x14ac:dyDescent="0.25"/>
    <row r="60" spans="4:13" ht="20.100000000000001" customHeight="1" x14ac:dyDescent="0.25">
      <c r="D60" s="46" t="s">
        <v>355</v>
      </c>
      <c r="E60" s="151" t="s">
        <v>617</v>
      </c>
      <c r="F60" s="151" t="s">
        <v>618</v>
      </c>
      <c r="G60" s="57" t="s">
        <v>629</v>
      </c>
      <c r="H60" s="151" t="s">
        <v>619</v>
      </c>
      <c r="I60" s="46" t="s">
        <v>621</v>
      </c>
      <c r="J60" s="57" t="s">
        <v>631</v>
      </c>
      <c r="K60" s="46" t="s">
        <v>625</v>
      </c>
      <c r="L60" s="46" t="s">
        <v>626</v>
      </c>
      <c r="M60" s="46" t="s">
        <v>627</v>
      </c>
    </row>
    <row r="61" spans="4:13" ht="20.100000000000001" customHeight="1" x14ac:dyDescent="0.25">
      <c r="D61" s="49" t="str" cm="1">
        <f t="array" ref="D61:D70">IFERROR(INDEX(Table_Input_LivestockPurchases_Pigs[Transaction name], _xlfn.SEQUENCE(10)), "")</f>
        <v>Pigs from Pam</v>
      </c>
      <c r="E61" s="49" cm="1">
        <f t="array" ref="E61:E70">IFERROR(INDEX(Table_Input_LivestockPurchases_Pigs[Quantity (head)], _xlfn.SEQUENCE(10)), 0)</f>
        <v>100</v>
      </c>
      <c r="F61" s="49" cm="1">
        <f t="array" ref="F61:F70">IFERROR(INDEX(Table_Input_LivestockPurchases_Pigs[Liveweight (kg/head) Method 1], _xlfn.SEQUENCE(10)), 0)</f>
        <v>0</v>
      </c>
      <c r="G61" s="150" cm="1">
        <f t="array" ref="G61">Scope3_Equations.VEERG_15_1_1_1__1_EmissionsFromPurchasedLivestock(E61,F61,$E$58)</f>
        <v>0</v>
      </c>
      <c r="H61" s="49" cm="1">
        <f t="array" ref="H61:H70">IFERROR(INDEX(Table_Input_LivestockPurchases_Pigs[Liveweight (kg/head) Method 2], _xlfn.SEQUENCE(10)), 0)</f>
        <v>180</v>
      </c>
      <c r="I61" s="66">
        <v>3.38</v>
      </c>
      <c r="J61" s="150" cm="1">
        <f t="array" ref="J61">Scope3_Equations.VEERG_15_1_1_1__1_EmissionsFromPurchasedLivestock(E61,H61,IF(I61, I61,$E$58))</f>
        <v>60.84</v>
      </c>
      <c r="K61" s="82"/>
      <c r="L61" s="47"/>
      <c r="M61"/>
    </row>
    <row r="62" spans="4:13" ht="20.100000000000001" customHeight="1" x14ac:dyDescent="0.25">
      <c r="D62" s="49" t="str">
        <v>Swine from Samantha</v>
      </c>
      <c r="E62" s="49">
        <v>100</v>
      </c>
      <c r="F62" s="49">
        <v>0</v>
      </c>
      <c r="G62" s="150" cm="1">
        <f t="array" ref="G62">Scope3_Equations.VEERG_15_1_1_1__1_EmissionsFromPurchasedLivestock(E62,F62,$E$58)</f>
        <v>0</v>
      </c>
      <c r="H62" s="49">
        <v>38</v>
      </c>
      <c r="I62" s="66">
        <v>3.3</v>
      </c>
      <c r="J62" s="150" cm="1">
        <f t="array" ref="J62">Scope3_Equations.VEERG_15_1_1_1__1_EmissionsFromPurchasedLivestock(E62,H62,IF(I62, I62,$E$58))</f>
        <v>12.540000000000001</v>
      </c>
      <c r="K62" s="82"/>
      <c r="L62" s="47"/>
      <c r="M62" s="82"/>
    </row>
    <row r="63" spans="4:13" ht="20.100000000000001" customHeight="1" x14ac:dyDescent="0.25">
      <c r="D63" s="49">
        <v>0</v>
      </c>
      <c r="E63" s="49">
        <v>0</v>
      </c>
      <c r="F63" s="49">
        <v>0</v>
      </c>
      <c r="G63" s="150" cm="1">
        <f t="array" ref="G63">Scope3_Equations.VEERG_15_1_1_1__1_EmissionsFromPurchasedLivestock(E63,F63,$E$58)</f>
        <v>0</v>
      </c>
      <c r="H63" s="49">
        <v>0</v>
      </c>
      <c r="I63" s="66"/>
      <c r="J63" s="150" cm="1">
        <f t="array" ref="J63">Scope3_Equations.VEERG_15_1_1_1__1_EmissionsFromPurchasedLivestock(E63,H63,IF(I63, I63,$E$58))</f>
        <v>0</v>
      </c>
      <c r="K63" s="82"/>
      <c r="L63" s="47"/>
      <c r="M63" s="82"/>
    </row>
    <row r="64" spans="4:13" ht="20.100000000000001" customHeight="1" x14ac:dyDescent="0.25">
      <c r="D64" s="49">
        <v>0</v>
      </c>
      <c r="E64" s="49">
        <v>0</v>
      </c>
      <c r="F64" s="49">
        <v>0</v>
      </c>
      <c r="G64" s="150" cm="1">
        <f t="array" ref="G64">Scope3_Equations.VEERG_15_1_1_1__1_EmissionsFromPurchasedLivestock(E64,F64,$E$58)</f>
        <v>0</v>
      </c>
      <c r="H64" s="49">
        <v>0</v>
      </c>
      <c r="I64" s="66"/>
      <c r="J64" s="150" cm="1">
        <f t="array" ref="J64">Scope3_Equations.VEERG_15_1_1_1__1_EmissionsFromPurchasedLivestock(E64,H64,IF(I64, I64,$E$58))</f>
        <v>0</v>
      </c>
      <c r="K64" s="82"/>
      <c r="L64" s="47"/>
      <c r="M64" s="82"/>
    </row>
    <row r="65" spans="4:13" ht="20.100000000000001" customHeight="1" x14ac:dyDescent="0.25">
      <c r="D65" s="49">
        <v>0</v>
      </c>
      <c r="E65" s="49">
        <v>0</v>
      </c>
      <c r="F65" s="49">
        <v>0</v>
      </c>
      <c r="G65" s="150" cm="1">
        <f t="array" ref="G65">Scope3_Equations.VEERG_15_1_1_1__1_EmissionsFromPurchasedLivestock(E65,F65,$E$58)</f>
        <v>0</v>
      </c>
      <c r="H65" s="49">
        <v>0</v>
      </c>
      <c r="I65" s="66"/>
      <c r="J65" s="150" cm="1">
        <f t="array" ref="J65">Scope3_Equations.VEERG_15_1_1_1__1_EmissionsFromPurchasedLivestock(E65,H65,IF(I65, I65,$E$58))</f>
        <v>0</v>
      </c>
      <c r="K65" s="82"/>
      <c r="L65" s="47"/>
      <c r="M65" s="82"/>
    </row>
    <row r="66" spans="4:13" ht="20.100000000000001" customHeight="1" x14ac:dyDescent="0.25">
      <c r="D66" s="49">
        <v>0</v>
      </c>
      <c r="E66" s="49">
        <v>0</v>
      </c>
      <c r="F66" s="49">
        <v>0</v>
      </c>
      <c r="G66" s="150" cm="1">
        <f t="array" ref="G66">Scope3_Equations.VEERG_15_1_1_1__1_EmissionsFromPurchasedLivestock(E66,F66,$E$58)</f>
        <v>0</v>
      </c>
      <c r="H66" s="49">
        <v>0</v>
      </c>
      <c r="I66" s="66"/>
      <c r="J66" s="150" cm="1">
        <f t="array" ref="J66">Scope3_Equations.VEERG_15_1_1_1__1_EmissionsFromPurchasedLivestock(E66,H66,IF(I66, I66,$E$58))</f>
        <v>0</v>
      </c>
      <c r="K66" s="82"/>
      <c r="L66" s="47"/>
      <c r="M66" s="82"/>
    </row>
    <row r="67" spans="4:13" ht="20.100000000000001" customHeight="1" x14ac:dyDescent="0.25">
      <c r="D67" s="49">
        <v>0</v>
      </c>
      <c r="E67" s="49">
        <v>0</v>
      </c>
      <c r="F67" s="49">
        <v>0</v>
      </c>
      <c r="G67" s="150" cm="1">
        <f t="array" ref="G67">Scope3_Equations.VEERG_15_1_1_1__1_EmissionsFromPurchasedLivestock(E67,F67,$E$58)</f>
        <v>0</v>
      </c>
      <c r="H67" s="49">
        <v>0</v>
      </c>
      <c r="I67" s="66"/>
      <c r="J67" s="150" cm="1">
        <f t="array" ref="J67">Scope3_Equations.VEERG_15_1_1_1__1_EmissionsFromPurchasedLivestock(E67,H67,IF(I67, I67,$E$58))</f>
        <v>0</v>
      </c>
      <c r="K67" s="82"/>
      <c r="L67" s="47"/>
      <c r="M67" s="82"/>
    </row>
    <row r="68" spans="4:13" ht="20.100000000000001" customHeight="1" x14ac:dyDescent="0.25">
      <c r="D68" s="49">
        <v>0</v>
      </c>
      <c r="E68" s="49">
        <v>0</v>
      </c>
      <c r="F68" s="49">
        <v>0</v>
      </c>
      <c r="G68" s="150" cm="1">
        <f t="array" ref="G68">Scope3_Equations.VEERG_15_1_1_1__1_EmissionsFromPurchasedLivestock(E68,F68,$E$58)</f>
        <v>0</v>
      </c>
      <c r="H68" s="49">
        <v>0</v>
      </c>
      <c r="I68" s="66"/>
      <c r="J68" s="150" cm="1">
        <f t="array" ref="J68">Scope3_Equations.VEERG_15_1_1_1__1_EmissionsFromPurchasedLivestock(E68,H68,IF(I68, I68,$E$58))</f>
        <v>0</v>
      </c>
      <c r="K68" s="82"/>
      <c r="L68" s="47"/>
      <c r="M68" s="82"/>
    </row>
    <row r="69" spans="4:13" ht="20.100000000000001" customHeight="1" x14ac:dyDescent="0.25">
      <c r="D69" s="49">
        <v>0</v>
      </c>
      <c r="E69" s="49">
        <v>0</v>
      </c>
      <c r="F69" s="49">
        <v>0</v>
      </c>
      <c r="G69" s="150" cm="1">
        <f t="array" ref="G69">Scope3_Equations.VEERG_15_1_1_1__1_EmissionsFromPurchasedLivestock(E69,F69,$E$58)</f>
        <v>0</v>
      </c>
      <c r="H69" s="49">
        <v>0</v>
      </c>
      <c r="I69" s="66"/>
      <c r="J69" s="150" cm="1">
        <f t="array" ref="J69">Scope3_Equations.VEERG_15_1_1_1__1_EmissionsFromPurchasedLivestock(E69,H69,IF(I69, I69,$E$58))</f>
        <v>0</v>
      </c>
      <c r="K69" s="82"/>
      <c r="L69" s="47"/>
      <c r="M69" s="82"/>
    </row>
    <row r="70" spans="4:13" ht="20.100000000000001" customHeight="1" x14ac:dyDescent="0.25">
      <c r="D70" s="49">
        <v>0</v>
      </c>
      <c r="E70" s="49">
        <v>0</v>
      </c>
      <c r="F70" s="49">
        <v>0</v>
      </c>
      <c r="G70" s="150" cm="1">
        <f t="array" ref="G70">Scope3_Equations.VEERG_15_1_1_1__1_EmissionsFromPurchasedLivestock(E70,F70,$E$58)</f>
        <v>0</v>
      </c>
      <c r="H70" s="49">
        <v>0</v>
      </c>
      <c r="I70" s="66"/>
      <c r="J70" s="150" cm="1">
        <f t="array" ref="J70">Scope3_Equations.VEERG_15_1_1_1__1_EmissionsFromPurchasedLivestock(E70,H70,IF(I70, I70,$E$58))</f>
        <v>0</v>
      </c>
      <c r="K70" s="82"/>
      <c r="L70" s="47"/>
      <c r="M70" s="82"/>
    </row>
    <row r="71" spans="4:13" ht="20.100000000000001" customHeight="1" x14ac:dyDescent="0.25"/>
    <row r="72" spans="4:13" ht="20.100000000000001" customHeight="1" x14ac:dyDescent="0.25">
      <c r="D72" s="173" t="s">
        <v>641</v>
      </c>
      <c r="E72" s="98">
        <f>SUM(G61:G70)</f>
        <v>0</v>
      </c>
      <c r="F72" s="174" t="str">
        <f>$E$11</f>
        <v>t CO2e</v>
      </c>
    </row>
    <row r="73" spans="4:13" ht="20.100000000000001" customHeight="1" x14ac:dyDescent="0.25">
      <c r="D73" s="173" t="s">
        <v>642</v>
      </c>
      <c r="E73" s="98">
        <f>SUM(J61:J70)</f>
        <v>73.38000000000001</v>
      </c>
      <c r="F73" s="174" t="str">
        <f>$E$11</f>
        <v>t CO2e</v>
      </c>
    </row>
    <row r="74" spans="4:13" ht="20.100000000000001" customHeight="1" x14ac:dyDescent="0.25"/>
    <row r="75" spans="4:13" ht="20.100000000000001" customHeight="1" x14ac:dyDescent="0.25">
      <c r="D75" s="144" t="s">
        <v>563</v>
      </c>
    </row>
    <row r="76" spans="4:13" ht="20.100000000000001" customHeight="1" x14ac:dyDescent="0.25">
      <c r="D76" s="166" t="s">
        <v>624</v>
      </c>
      <c r="E76" s="49" cm="1">
        <f t="array" ref="E76">Common_InputFunctions.Utility_LookupValueInTableNumber("Chickens", Table_SourceData_Scope3_Animals[Product],Table_SourceData_Scope3_Animals[AusLCI Emissions intensity])</f>
        <v>1.36</v>
      </c>
    </row>
    <row r="77" spans="4:13" ht="20.100000000000001" customHeight="1" x14ac:dyDescent="0.25"/>
    <row r="78" spans="4:13" ht="20.100000000000001" customHeight="1" x14ac:dyDescent="0.25">
      <c r="D78" s="46" t="s">
        <v>355</v>
      </c>
      <c r="E78" s="151" t="s">
        <v>617</v>
      </c>
      <c r="F78" s="151" t="s">
        <v>618</v>
      </c>
      <c r="G78" s="57" t="s">
        <v>629</v>
      </c>
      <c r="H78" s="151" t="s">
        <v>619</v>
      </c>
      <c r="I78" s="46" t="s">
        <v>621</v>
      </c>
      <c r="J78" s="57" t="s">
        <v>631</v>
      </c>
      <c r="K78" s="46" t="s">
        <v>625</v>
      </c>
      <c r="L78" s="46" t="s">
        <v>626</v>
      </c>
      <c r="M78" s="46" t="s">
        <v>627</v>
      </c>
    </row>
    <row r="79" spans="4:13" ht="20.100000000000001" customHeight="1" x14ac:dyDescent="0.25">
      <c r="D79" s="49" t="str" cm="1">
        <f t="array" ref="D79:D88">IFERROR(INDEX(Table_Input_LivestockPurchases_Poultry[Transaction name], _xlfn.SEQUENCE(10)), "")</f>
        <v>Chooks from Carolyn</v>
      </c>
      <c r="E79" s="49" cm="1">
        <f t="array" ref="E79:E88">IFERROR(INDEX(Table_Input_LivestockPurchases_Poultry[Quantity (head)], _xlfn.SEQUENCE(10)), "")</f>
        <v>100</v>
      </c>
      <c r="F79" s="49" cm="1">
        <f t="array" ref="F79:F88">IFERROR(INDEX(Table_Input_LivestockPurchases_Poultry[Liveweight (kg/head) Method 1], _xlfn.SEQUENCE(10)), "")</f>
        <v>1.3</v>
      </c>
      <c r="G79" s="150" cm="1">
        <f t="array" ref="G79">Scope3_Equations.VEERG_15_1_1_1__1_EmissionsFromPurchasedLivestock(E79,F79,$E$76)</f>
        <v>0.17680000000000001</v>
      </c>
      <c r="H79" s="49" cm="1">
        <f t="array" ref="H79:H88">IFERROR(INDEX(Table_Input_LivestockPurchases_Poultry[Liveweight (kg/head) Method 2], _xlfn.SEQUENCE(10)), "")</f>
        <v>1.3</v>
      </c>
      <c r="I79" s="66">
        <v>1.3</v>
      </c>
      <c r="J79" s="150" cm="1">
        <f t="array" ref="J79">Scope3_Equations.VEERG_15_1_1_1__1_EmissionsFromPurchasedLivestock(E79,H79,IF(I79, I79,$E$76))</f>
        <v>0.16900000000000001</v>
      </c>
      <c r="K79" s="82"/>
      <c r="L79" s="47"/>
      <c r="M79"/>
    </row>
    <row r="80" spans="4:13" ht="20.100000000000001" customHeight="1" x14ac:dyDescent="0.25">
      <c r="D80" s="49" t="str">
        <v>Roosters from Raj</v>
      </c>
      <c r="E80" s="49">
        <v>100</v>
      </c>
      <c r="F80" s="49">
        <v>1.4</v>
      </c>
      <c r="G80" s="150" cm="1">
        <f t="array" ref="G80">Scope3_Equations.VEERG_15_1_1_1__1_EmissionsFromPurchasedLivestock(E80,F80,$E$76)</f>
        <v>0.19040000000000001</v>
      </c>
      <c r="H80" s="49">
        <v>1.4</v>
      </c>
      <c r="I80" s="66"/>
      <c r="J80" s="150" cm="1">
        <f t="array" ref="J80">Scope3_Equations.VEERG_15_1_1_1__1_EmissionsFromPurchasedLivestock(E80,H80,IF(I80, I80,$E$76))</f>
        <v>0.19040000000000001</v>
      </c>
      <c r="K80" s="82"/>
      <c r="L80" s="47"/>
      <c r="M80" s="82"/>
    </row>
    <row r="81" spans="4:13" ht="20.100000000000001" customHeight="1" x14ac:dyDescent="0.25">
      <c r="D81" s="49">
        <v>0</v>
      </c>
      <c r="E81" s="49">
        <v>0</v>
      </c>
      <c r="F81" s="49">
        <v>0</v>
      </c>
      <c r="G81" s="150" cm="1">
        <f t="array" ref="G81">Scope3_Equations.VEERG_15_1_1_1__1_EmissionsFromPurchasedLivestock(E81,F81,$E$76)</f>
        <v>0</v>
      </c>
      <c r="H81" s="49">
        <v>0</v>
      </c>
      <c r="I81" s="66"/>
      <c r="J81" s="150" cm="1">
        <f t="array" ref="J81">Scope3_Equations.VEERG_15_1_1_1__1_EmissionsFromPurchasedLivestock(E81,H81,IF(I81, I81,$E$76))</f>
        <v>0</v>
      </c>
      <c r="K81" s="82"/>
      <c r="L81" s="47"/>
      <c r="M81" s="82"/>
    </row>
    <row r="82" spans="4:13" ht="20.100000000000001" customHeight="1" x14ac:dyDescent="0.25">
      <c r="D82" s="49">
        <v>0</v>
      </c>
      <c r="E82" s="49">
        <v>0</v>
      </c>
      <c r="F82" s="49">
        <v>0</v>
      </c>
      <c r="G82" s="150" cm="1">
        <f t="array" ref="G82">Scope3_Equations.VEERG_15_1_1_1__1_EmissionsFromPurchasedLivestock(E82,F82,$E$76)</f>
        <v>0</v>
      </c>
      <c r="H82" s="49">
        <v>0</v>
      </c>
      <c r="I82" s="66"/>
      <c r="J82" s="150" cm="1">
        <f t="array" ref="J82">Scope3_Equations.VEERG_15_1_1_1__1_EmissionsFromPurchasedLivestock(E82,H82,IF(I82, I82,$E$76))</f>
        <v>0</v>
      </c>
      <c r="K82" s="82"/>
      <c r="L82" s="47"/>
      <c r="M82" s="82"/>
    </row>
    <row r="83" spans="4:13" ht="20.100000000000001" customHeight="1" x14ac:dyDescent="0.25">
      <c r="D83" s="49">
        <v>0</v>
      </c>
      <c r="E83" s="49">
        <v>0</v>
      </c>
      <c r="F83" s="49">
        <v>0</v>
      </c>
      <c r="G83" s="150" cm="1">
        <f t="array" ref="G83">Scope3_Equations.VEERG_15_1_1_1__1_EmissionsFromPurchasedLivestock(E83,F83,$E$76)</f>
        <v>0</v>
      </c>
      <c r="H83" s="49">
        <v>0</v>
      </c>
      <c r="I83" s="66"/>
      <c r="J83" s="150" cm="1">
        <f t="array" ref="J83">Scope3_Equations.VEERG_15_1_1_1__1_EmissionsFromPurchasedLivestock(E83,H83,IF(I83, I83,$E$76))</f>
        <v>0</v>
      </c>
      <c r="K83" s="82"/>
      <c r="L83" s="47"/>
      <c r="M83" s="82"/>
    </row>
    <row r="84" spans="4:13" ht="20.100000000000001" customHeight="1" x14ac:dyDescent="0.25">
      <c r="D84" s="49">
        <v>0</v>
      </c>
      <c r="E84" s="49">
        <v>0</v>
      </c>
      <c r="F84" s="49">
        <v>0</v>
      </c>
      <c r="G84" s="150" cm="1">
        <f t="array" ref="G84">Scope3_Equations.VEERG_15_1_1_1__1_EmissionsFromPurchasedLivestock(E84,F84,$E$76)</f>
        <v>0</v>
      </c>
      <c r="H84" s="49">
        <v>0</v>
      </c>
      <c r="I84" s="66"/>
      <c r="J84" s="150" cm="1">
        <f t="array" ref="J84">Scope3_Equations.VEERG_15_1_1_1__1_EmissionsFromPurchasedLivestock(E84,H84,IF(I84, I84,$E$76))</f>
        <v>0</v>
      </c>
      <c r="K84" s="82"/>
      <c r="L84" s="47"/>
      <c r="M84" s="82"/>
    </row>
    <row r="85" spans="4:13" ht="20.100000000000001" customHeight="1" x14ac:dyDescent="0.25">
      <c r="D85" s="49">
        <v>0</v>
      </c>
      <c r="E85" s="49">
        <v>0</v>
      </c>
      <c r="F85" s="49">
        <v>0</v>
      </c>
      <c r="G85" s="150" cm="1">
        <f t="array" ref="G85">Scope3_Equations.VEERG_15_1_1_1__1_EmissionsFromPurchasedLivestock(E85,F85,$E$76)</f>
        <v>0</v>
      </c>
      <c r="H85" s="49">
        <v>0</v>
      </c>
      <c r="I85" s="66"/>
      <c r="J85" s="150" cm="1">
        <f t="array" ref="J85">Scope3_Equations.VEERG_15_1_1_1__1_EmissionsFromPurchasedLivestock(E85,H85,IF(I85, I85,$E$76))</f>
        <v>0</v>
      </c>
      <c r="K85" s="82"/>
      <c r="L85" s="47"/>
      <c r="M85" s="82"/>
    </row>
    <row r="86" spans="4:13" ht="20.100000000000001" customHeight="1" x14ac:dyDescent="0.25">
      <c r="D86" s="49">
        <v>0</v>
      </c>
      <c r="E86" s="49">
        <v>0</v>
      </c>
      <c r="F86" s="49">
        <v>0</v>
      </c>
      <c r="G86" s="150" cm="1">
        <f t="array" ref="G86">Scope3_Equations.VEERG_15_1_1_1__1_EmissionsFromPurchasedLivestock(E86,F86,$E$76)</f>
        <v>0</v>
      </c>
      <c r="H86" s="49">
        <v>0</v>
      </c>
      <c r="I86" s="66"/>
      <c r="J86" s="150" cm="1">
        <f t="array" ref="J86">Scope3_Equations.VEERG_15_1_1_1__1_EmissionsFromPurchasedLivestock(E86,H86,IF(I86, I86,$E$76))</f>
        <v>0</v>
      </c>
      <c r="K86" s="82"/>
      <c r="L86" s="47"/>
      <c r="M86" s="82"/>
    </row>
    <row r="87" spans="4:13" ht="20.100000000000001" customHeight="1" x14ac:dyDescent="0.25">
      <c r="D87" s="49">
        <v>0</v>
      </c>
      <c r="E87" s="49">
        <v>0</v>
      </c>
      <c r="F87" s="49">
        <v>0</v>
      </c>
      <c r="G87" s="150" cm="1">
        <f t="array" ref="G87">Scope3_Equations.VEERG_15_1_1_1__1_EmissionsFromPurchasedLivestock(E87,F87,$E$76)</f>
        <v>0</v>
      </c>
      <c r="H87" s="49">
        <v>0</v>
      </c>
      <c r="I87" s="66"/>
      <c r="J87" s="150" cm="1">
        <f t="array" ref="J87">Scope3_Equations.VEERG_15_1_1_1__1_EmissionsFromPurchasedLivestock(E87,H87,IF(I87, I87,$E$76))</f>
        <v>0</v>
      </c>
      <c r="K87" s="82"/>
      <c r="L87" s="47"/>
      <c r="M87" s="82"/>
    </row>
    <row r="88" spans="4:13" ht="20.100000000000001" customHeight="1" x14ac:dyDescent="0.25">
      <c r="D88" s="49">
        <v>0</v>
      </c>
      <c r="E88" s="49">
        <v>0</v>
      </c>
      <c r="F88" s="49">
        <v>0</v>
      </c>
      <c r="G88" s="150" cm="1">
        <f t="array" ref="G88">Scope3_Equations.VEERG_15_1_1_1__1_EmissionsFromPurchasedLivestock(E88,F88,$E$76)</f>
        <v>0</v>
      </c>
      <c r="H88" s="49">
        <v>0</v>
      </c>
      <c r="I88" s="66"/>
      <c r="J88" s="150" cm="1">
        <f t="array" ref="J88">Scope3_Equations.VEERG_15_1_1_1__1_EmissionsFromPurchasedLivestock(E88,H88,IF(I88, I88,$E$76))</f>
        <v>0</v>
      </c>
      <c r="K88" s="82"/>
      <c r="L88" s="47"/>
      <c r="M88" s="82"/>
    </row>
    <row r="89" spans="4:13" ht="20.100000000000001" customHeight="1" x14ac:dyDescent="0.25"/>
    <row r="90" spans="4:13" ht="20.100000000000001" customHeight="1" x14ac:dyDescent="0.25">
      <c r="D90" s="173" t="s">
        <v>639</v>
      </c>
      <c r="E90" s="98">
        <f>SUM(G79:G88)</f>
        <v>0.36720000000000003</v>
      </c>
      <c r="F90" s="174" t="str">
        <f>$E$11</f>
        <v>t CO2e</v>
      </c>
    </row>
    <row r="91" spans="4:13" ht="20.100000000000001" customHeight="1" x14ac:dyDescent="0.25">
      <c r="D91" s="173" t="s">
        <v>640</v>
      </c>
      <c r="E91" s="98">
        <f>SUM(J79:J88)</f>
        <v>0.35940000000000005</v>
      </c>
      <c r="F91" s="174" t="str">
        <f>$E$11</f>
        <v>t CO2e</v>
      </c>
    </row>
    <row r="92" spans="4:13" ht="20.100000000000001" customHeight="1" x14ac:dyDescent="0.25"/>
    <row r="93" spans="4:13" ht="20.100000000000001" customHeight="1" x14ac:dyDescent="0.25">
      <c r="D93" s="175" t="s">
        <v>629</v>
      </c>
      <c r="E93" s="176">
        <f>VEERG_15_1_1_1__1_EmissionsFromPurchasedLivestock_BeefCattle_Result_Method1+VEERG_15_1_1_1__1_EmissionsFromPurchasedLivestock_DairyCattle_Result_Method1+VEERG_15_1_1_1__1_EmissionsFromPurchasedLivestock_Pigs_Result_Method1+VEERG_15_1_1_1__1_EmissionsFromPurchasedLivestock_Poultry_Result_Method1</f>
        <v>1348.3371999999999</v>
      </c>
      <c r="F93" s="177" t="str">
        <f>$E$11</f>
        <v>t CO2e</v>
      </c>
    </row>
    <row r="94" spans="4:13" ht="20.100000000000001" customHeight="1" x14ac:dyDescent="0.25">
      <c r="D94" s="175" t="s">
        <v>631</v>
      </c>
      <c r="E94" s="176">
        <f>VEERG_15_1_1_1__1_EmissionsFromPurchasedLivestock_BeefCattle_Result_Method2+VEERG_15_1_1_1__1_EmissionsFromPurchasedLivestock_DairyCattle_Result_Method2+VEERG_15_1_1_1__1_EmissionsFromPurchasedLivestock_Pigs_Result_Method2+VEERG_15_1_1_1__1_EmissionsFromPurchasedLivestock_Poultry_Result_Method2</f>
        <v>1503.8644000000002</v>
      </c>
      <c r="F94" s="177" t="str">
        <f>$E$11</f>
        <v>t CO2e</v>
      </c>
    </row>
    <row r="95" spans="4:13" ht="20.100000000000001" customHeight="1" x14ac:dyDescent="0.25"/>
    <row r="96" spans="4:13" ht="20.100000000000001" customHeight="1" x14ac:dyDescent="0.25"/>
    <row r="97" spans="3:41" ht="20.100000000000001" customHeight="1" x14ac:dyDescent="0.25">
      <c r="C97" s="98"/>
      <c r="D97" s="98"/>
      <c r="E97" s="98"/>
      <c r="F97" s="98"/>
      <c r="G97" s="98"/>
      <c r="H97" s="98"/>
      <c r="I97" s="98"/>
      <c r="J97" s="98"/>
      <c r="K97" s="98"/>
      <c r="L97" s="98"/>
      <c r="M97" s="98"/>
      <c r="N97" s="98"/>
      <c r="O97" s="98"/>
      <c r="P97" s="98"/>
      <c r="Q97" s="98"/>
      <c r="R97" s="98"/>
      <c r="S97" s="98"/>
      <c r="T97" s="98"/>
      <c r="U97" s="98"/>
      <c r="V97" s="98"/>
      <c r="W97" s="98"/>
      <c r="X97" s="98"/>
      <c r="Y97" s="98"/>
      <c r="Z97" s="98"/>
      <c r="AA97" s="98"/>
      <c r="AB97" s="98"/>
      <c r="AC97" s="98"/>
      <c r="AD97" s="98"/>
      <c r="AE97" s="98"/>
      <c r="AF97" s="98"/>
      <c r="AG97" s="98"/>
      <c r="AH97" s="98"/>
      <c r="AI97" s="98"/>
      <c r="AJ97" s="98"/>
      <c r="AK97" s="98"/>
      <c r="AL97" s="98"/>
      <c r="AM97" s="98"/>
      <c r="AN97" s="98"/>
      <c r="AO97" s="98"/>
    </row>
    <row r="98" spans="3:41" ht="20.100000000000001" customHeight="1" x14ac:dyDescent="0.25">
      <c r="D98" s="9" t="str" cm="1">
        <f t="array" ref="D98">Scope3_Equations.VEERG_15_2_1_1__1_EmissionsFromPurchasedFeed_Title()</f>
        <v>Emissions from purchased feed</v>
      </c>
    </row>
    <row r="99" spans="3:41" ht="20.100000000000001" customHeight="1" x14ac:dyDescent="0.25">
      <c r="D99" s="11" t="str" cm="1">
        <f t="array" ref="D99">Scope3_Equations.VEERG_15_2_1_1__1_EmissionsFromPurchasedFeed_Source()</f>
        <v>VEERG 2026: 15.2.1.1, Equation (1)</v>
      </c>
    </row>
    <row r="100" spans="3:41" ht="20.100000000000001" customHeight="1" x14ac:dyDescent="0.25">
      <c r="D100" s="171" t="s">
        <v>622</v>
      </c>
      <c r="E100" s="171" t="str" cm="1">
        <f t="array" aca="1" ref="E100" ca="1">Common_InputFunctions.Utility_DisplayFunctionName(G119)</f>
        <v>=Scope3_Equations.VEERG_15_2_1_1__1_EmissionsFromPurchasedFeed</v>
      </c>
    </row>
    <row r="101" spans="3:41" ht="20.100000000000001" customHeight="1" x14ac:dyDescent="0.25"/>
    <row r="102" spans="3:41" ht="20.100000000000001" customHeight="1" x14ac:dyDescent="0.25">
      <c r="H102" s="171"/>
    </row>
    <row r="103" spans="3:41" ht="20.100000000000001" customHeight="1" x14ac:dyDescent="0.25">
      <c r="D103" s="27" t="s">
        <v>623</v>
      </c>
      <c r="E103" s="8" t="str" cm="1">
        <f t="array" ref="E103">Scope3_Equations.VEERG_15_2_1_1__1_EmissionsFromPurchasedFeed_Variable()</f>
        <v>E</v>
      </c>
    </row>
    <row r="104" spans="3:41" ht="20.100000000000001" customHeight="1" x14ac:dyDescent="0.25">
      <c r="D104" s="27" t="s">
        <v>96</v>
      </c>
      <c r="E104" s="13" t="str" cm="1">
        <f t="array" ref="E104">Scope3_Equations.VEERG_15_2_1_1__1_EmissionsFromPurchasedFeed_Unit()</f>
        <v>t CO2e</v>
      </c>
    </row>
    <row r="105" spans="3:41" ht="20.100000000000001" customHeight="1" x14ac:dyDescent="0.25"/>
    <row r="106" spans="3:41" ht="20.100000000000001" customHeight="1" x14ac:dyDescent="0.25">
      <c r="D106" s="166" t="str" cm="1">
        <f t="array" ref="D106:E108">_xlfn.CHOOSECOLS(Scope3_Equations.VEERG_15_2_1_1__1_EmissionsFromPurchasedFeed_Arguments(),1,2)</f>
        <v>Q_j</v>
      </c>
      <c r="E106" s="170" t="str">
        <v>quantity of feed type j purchased</v>
      </c>
      <c r="F106" s="165"/>
      <c r="G106" s="166" t="str" cm="1">
        <f t="array" ref="G106:H108">_xlfn.CHOOSECOLS(Scope3_Equations.VEERG_15_2_1_1__1_EmissionsFromPurchasedFeed_Arguments(),3,4)</f>
        <v>t</v>
      </c>
      <c r="H106" s="167" t="str">
        <v>Input</v>
      </c>
    </row>
    <row r="107" spans="3:41" ht="20.100000000000001" customHeight="1" x14ac:dyDescent="0.25">
      <c r="D107" s="166" t="str">
        <v>EF_j</v>
      </c>
      <c r="E107" s="170" t="str">
        <v>emission factor of purchased feed</v>
      </c>
      <c r="F107" s="165"/>
      <c r="G107" s="166" t="str">
        <v>kg CO2e/kg</v>
      </c>
      <c r="H107" s="167" t="str">
        <v>Constant</v>
      </c>
    </row>
    <row r="108" spans="3:41" ht="20.100000000000001" customHeight="1" x14ac:dyDescent="0.25">
      <c r="D108" s="166" t="str">
        <v>j</v>
      </c>
      <c r="E108" s="170" t="str">
        <v>feed type</v>
      </c>
      <c r="F108" s="165"/>
      <c r="G108" s="166" t="str">
        <v/>
      </c>
      <c r="H108" s="168" t="str">
        <v>Input</v>
      </c>
    </row>
    <row r="109" spans="3:41" ht="20.100000000000001" customHeight="1" x14ac:dyDescent="0.25"/>
    <row r="110" spans="3:41" ht="20.100000000000001" customHeight="1" x14ac:dyDescent="0.25">
      <c r="D110" s="144" t="s">
        <v>288</v>
      </c>
    </row>
    <row r="111" spans="3:41" ht="20.100000000000001" customHeight="1" x14ac:dyDescent="0.25"/>
    <row r="112" spans="3:41" ht="20.100000000000001" customHeight="1" x14ac:dyDescent="0.25">
      <c r="D112" s="39" t="s">
        <v>633</v>
      </c>
      <c r="E112" s="41"/>
      <c r="F112" s="39"/>
      <c r="G112" s="40"/>
      <c r="H112" s="41"/>
    </row>
    <row r="113" spans="4:28" ht="20.100000000000001" customHeight="1" x14ac:dyDescent="0.25">
      <c r="D113" s="88" t="s">
        <v>634</v>
      </c>
      <c r="E113" s="90"/>
      <c r="F113" s="88"/>
      <c r="G113" s="89"/>
      <c r="H113" s="90"/>
    </row>
    <row r="114" spans="4:28" ht="20.100000000000001" customHeight="1" x14ac:dyDescent="0.25">
      <c r="D114" s="43" t="s">
        <v>635</v>
      </c>
      <c r="E114" s="45"/>
      <c r="F114" s="43"/>
      <c r="G114" s="44"/>
      <c r="H114" s="45"/>
    </row>
    <row r="115" spans="4:28" ht="20.100000000000001" customHeight="1" x14ac:dyDescent="0.25"/>
    <row r="116" spans="4:28" ht="20.100000000000001" customHeight="1" x14ac:dyDescent="0.25">
      <c r="D116" s="95" t="s">
        <v>394</v>
      </c>
      <c r="E116" s="110"/>
      <c r="F116" s="96"/>
    </row>
    <row r="117" spans="4:28" ht="20.100000000000001" customHeight="1" x14ac:dyDescent="0.25"/>
    <row r="118" spans="4:28" ht="20.100000000000001" customHeight="1" x14ac:dyDescent="0.25">
      <c r="D118" s="46" t="s">
        <v>398</v>
      </c>
      <c r="E118" s="46" t="s">
        <v>628</v>
      </c>
      <c r="F118" s="57" t="s">
        <v>632</v>
      </c>
      <c r="G118" s="57" t="s">
        <v>629</v>
      </c>
      <c r="H118" s="46" t="s">
        <v>630</v>
      </c>
      <c r="I118" s="57" t="s">
        <v>631</v>
      </c>
      <c r="J118" s="46" t="s">
        <v>625</v>
      </c>
      <c r="K118" s="46" t="s">
        <v>626</v>
      </c>
      <c r="L118" s="46" t="s">
        <v>627</v>
      </c>
      <c r="M118" s="57" t="s">
        <v>173</v>
      </c>
      <c r="N118" s="57" t="s">
        <v>379</v>
      </c>
      <c r="O118" s="57" t="s">
        <v>174</v>
      </c>
      <c r="P118" s="57" t="s">
        <v>341</v>
      </c>
      <c r="Q118" s="57" t="s">
        <v>175</v>
      </c>
      <c r="R118" s="57" t="s">
        <v>395</v>
      </c>
      <c r="S118" s="57" t="s">
        <v>176</v>
      </c>
      <c r="T118" s="57" t="s">
        <v>344</v>
      </c>
      <c r="U118" s="57" t="s">
        <v>177</v>
      </c>
      <c r="V118" s="57" t="s">
        <v>396</v>
      </c>
      <c r="W118" s="57" t="s">
        <v>178</v>
      </c>
      <c r="X118" s="57" t="s">
        <v>345</v>
      </c>
      <c r="Y118" s="57" t="s">
        <v>179</v>
      </c>
      <c r="Z118" s="57" t="s">
        <v>397</v>
      </c>
      <c r="AA118" s="57" t="s">
        <v>180</v>
      </c>
      <c r="AB118" s="57" t="s">
        <v>346</v>
      </c>
    </row>
    <row r="119" spans="4:28" ht="20.100000000000001" customHeight="1" x14ac:dyDescent="0.25">
      <c r="D119" s="49" cm="1">
        <f t="array" ref="D119:D128">IFERROR(INDEX(Table_Input_FeedBlends[Feed blend name], _xlfn.SEQUENCE(10)), "")</f>
        <v>0</v>
      </c>
      <c r="E119" s="49" cm="1">
        <f t="array" ref="E119:E128">IFERROR(INDEX(Table_Input_FeedBlends[Amount fed (kg)], _xlfn.SEQUENCE(10)), "")</f>
        <v>1200</v>
      </c>
      <c r="F119" s="49">
        <f t="shared" ref="F119:F128" si="0">IFERROR((O119*P119)+(S119*T119)+(W119*X119)+(AA119*AB119), 0)</f>
        <v>2.4709999999999996E-2</v>
      </c>
      <c r="G119" s="150" cm="1">
        <f t="array" ref="G119">Scope3_Equations.VEERG_15_2_1_1__1_EmissionsFromPurchasedFeed(E119,F119)</f>
        <v>29.651999999999994</v>
      </c>
      <c r="H119" s="66">
        <v>0.04</v>
      </c>
      <c r="I119" s="150" cm="1">
        <f t="array" ref="I119">Scope3_Equations.VEERG_15_2_1_1__1_EmissionsFromPurchasedFeed(E119,IF(H119,H119, F119))</f>
        <v>48</v>
      </c>
      <c r="J119" s="82"/>
      <c r="K119" s="47"/>
      <c r="L119"/>
      <c r="M119" s="49" t="str" cm="1">
        <f t="array" ref="M119:M128">IFERROR(INDEX(Table_Input_FeedBlends[Ingredient 1 (select)], _xlfn.SEQUENCE(10)), "")</f>
        <v>Cereal silage</v>
      </c>
      <c r="N119" s="49" t="str" cm="1">
        <f t="array" ref="N119:N128">IFERROR(INDEX(Table_Input_FeedBlends[Ingredient 1 source region], _xlfn.SEQUENCE(10)), "")</f>
        <v>SA</v>
      </c>
      <c r="O119" s="49" cm="1">
        <f t="array" ref="O119:O128">IFERROR(INDEX(Table_Input_FeedBlends[Ingredient 1 percent], _xlfn.SEQUENCE(10)), "")</f>
        <v>0.35</v>
      </c>
      <c r="P119" s="49" cm="1">
        <f t="array" ref="P119">_xlfn.LET(_xlpm.result, Common_InputFunctions.Utility_LookupValueInTableTwoColumns(M119, N119, Table_SourceData_Scope3_Feed[Product], Table_SourceData_Scope3_Feed[Region of origin], Table_SourceData_Scope3_Feed[AusLCI Emissions intensity]), IF(_xlpm.result="", 0, _xlpm.result))</f>
        <v>7.0599999999999996E-2</v>
      </c>
      <c r="Q119" s="49" t="str" cm="1">
        <f t="array" ref="Q119:Q128">IFERROR(INDEX(Table_Input_FeedBlends[Ingredient 2 (select)], _xlfn.SEQUENCE(10)), "")</f>
        <v>Cereal hay</v>
      </c>
      <c r="R119" s="49" t="str" cm="1">
        <f t="array" ref="R119:R128">IFERROR(INDEX(Table_Input_FeedBlends[Ingredient 2 source region], _xlfn.SEQUENCE(10)), "")</f>
        <v>SA</v>
      </c>
      <c r="S119" s="49" cm="1">
        <f t="array" ref="S119:S128">IFERROR(INDEX(Table_Input_FeedBlends[Ingredient 2 percent], _xlfn.SEQUENCE(10)), "")</f>
        <v>0.22</v>
      </c>
      <c r="T119" s="49" cm="1">
        <f t="array" ref="T119">_xlfn.LET(_xlpm.result, Common_InputFunctions.Utility_LookupValueInTableTwoColumns(Q119, _xlfn.IFS(Q119="Urea", IF(#REF!="", "Global",#REF!), Q119="Ammonia", IF(#REF!="", "Global",#REF!), TRUE, "Global"), Table_SourceData_Scope3_InorganicFertiliser[Chemical compound],Table_SourceData_Scope3_InorganicFertiliser[Region of origin],Table_SourceData_Scope3_InorganicFertiliser[AusLCI Emissions intensity]), IF(_xlpm.result="", 0, _xlpm.result))</f>
        <v>0</v>
      </c>
      <c r="U119" s="49" t="str" cm="1">
        <f t="array" ref="U119:U128">IFERROR(INDEX(Table_Input_FeedBlends[Ingredient 3 (select)], _xlfn.SEQUENCE(10)), "")</f>
        <v>Canola oil</v>
      </c>
      <c r="V119" s="49" t="str" cm="1">
        <f t="array" ref="V119:V128">IFERROR(INDEX(Table_Input_FeedBlends[Ingredient 3 source region], _xlfn.SEQUENCE(10)), "")</f>
        <v>Australia</v>
      </c>
      <c r="W119" s="49" cm="1">
        <f t="array" ref="W119:W128">IFERROR(INDEX(Table_Input_FeedBlends[Ingredient 3 percent], _xlfn.SEQUENCE(10)), "")</f>
        <v>0.12</v>
      </c>
      <c r="X119" s="49" cm="1">
        <f t="array" ref="X119">_xlfn.LET(_xlpm.result, Common_InputFunctions.Utility_LookupValueInTableTwoColumns(U119, _xlfn.IFS(U119="Urea", IF(#REF!="", "Global",#REF!), U119="Ammonia", IF(#REF!="", "Global",#REF!), TRUE, "Global"), Table_SourceData_Scope3_InorganicFertiliser[Chemical compound],Table_SourceData_Scope3_InorganicFertiliser[Region of origin],Table_SourceData_Scope3_InorganicFertiliser[AusLCI Emissions intensity]), IF(_xlpm.result="", 0, _xlpm.result))</f>
        <v>0</v>
      </c>
      <c r="Y119" s="49" t="str" cm="1">
        <f t="array" ref="Y119:Y128">IFERROR(INDEX(Table_Input_FeedBlends[Ingredient 4 (select)], _xlfn.SEQUENCE(10)), "")</f>
        <v>Molasses</v>
      </c>
      <c r="Z119" s="49" t="str" cm="1">
        <f t="array" ref="Z119:Z128">IFERROR(INDEX(Table_Input_FeedBlends[Ingredient 4 source region], _xlfn.SEQUENCE(10)), "")</f>
        <v>QLD</v>
      </c>
      <c r="AA119" s="49" cm="1">
        <f t="array" ref="AA119:AA128">IFERROR(INDEX(Table_Input_FeedBlends[Ingredient 4 percent], _xlfn.SEQUENCE(10)), "")</f>
        <v>0.05</v>
      </c>
      <c r="AB119" s="49" cm="1">
        <f t="array" ref="AB119">_xlfn.LET(_xlpm.result, Common_InputFunctions.Utility_LookupValueInTableTwoColumns(Y119, _xlfn.IFS(Y119="Urea", IF(#REF!="", "Global",#REF!), Y119="Ammonia", IF(#REF!="", "Global",#REF!), TRUE, "Global"), Table_SourceData_Scope3_InorganicFertiliser[Chemical compound],Table_SourceData_Scope3_InorganicFertiliser[Region of origin],Table_SourceData_Scope3_InorganicFertiliser[AusLCI Emissions intensity]), IF(_xlpm.result="", 0, _xlpm.result))</f>
        <v>0</v>
      </c>
    </row>
    <row r="120" spans="4:28" ht="20.100000000000001" customHeight="1" x14ac:dyDescent="0.25">
      <c r="D120" s="49">
        <v>0</v>
      </c>
      <c r="E120" s="49">
        <v>3456</v>
      </c>
      <c r="F120" s="49">
        <f t="shared" si="0"/>
        <v>0</v>
      </c>
      <c r="G120" s="150" cm="1">
        <f t="array" ref="G120">Scope3_Equations.VEERG_15_2_1_1__1_EmissionsFromPurchasedFeed(E120,F120)</f>
        <v>0</v>
      </c>
      <c r="H120" s="66">
        <v>0.03</v>
      </c>
      <c r="I120" s="150" cm="1">
        <f t="array" ref="I120">Scope3_Equations.VEERG_15_2_1_1__1_EmissionsFromPurchasedFeed(E120,IF(H120,H120, F120))</f>
        <v>103.67999999999999</v>
      </c>
      <c r="J120" s="82"/>
      <c r="K120" s="47"/>
      <c r="L120" s="82"/>
      <c r="M120" s="49" t="str">
        <v>Lucerne hay</v>
      </c>
      <c r="N120" s="49" t="str">
        <v>WA</v>
      </c>
      <c r="O120" s="49">
        <v>0.2</v>
      </c>
      <c r="P120" s="49" cm="1">
        <f t="array" ref="P120">_xlfn.LET(_xlpm.result, Common_InputFunctions.Utility_LookupValueInTableTwoColumns(M120, N120, Table_SourceData_Scope3_Feed[Product], Table_SourceData_Scope3_Feed[Region of origin], Table_SourceData_Scope3_Feed[AusLCI Emissions intensity]), IF(_xlpm.result="", 0, _xlpm.result))</f>
        <v>0</v>
      </c>
      <c r="Q120" s="49" t="str">
        <v>Lucerne hay</v>
      </c>
      <c r="R120" s="49" t="str">
        <v>NSW</v>
      </c>
      <c r="S120" s="49">
        <v>0.2</v>
      </c>
      <c r="T120" s="49" cm="1">
        <f t="array" ref="T120">_xlfn.LET(_xlpm.result, Common_InputFunctions.Utility_LookupValueInTableTwoColumns(Q120, _xlfn.IFS(Q120="Urea", IF(#REF!="", "Global",#REF!), Q120="Ammonia", IF(#REF!="", "Global",#REF!), TRUE, "Global"), Table_SourceData_Scope3_InorganicFertiliser[Chemical compound],Table_SourceData_Scope3_InorganicFertiliser[Region of origin],Table_SourceData_Scope3_InorganicFertiliser[AusLCI Emissions intensity]), IF(_xlpm.result="", 0, _xlpm.result))</f>
        <v>0</v>
      </c>
      <c r="U120" s="49">
        <v>0</v>
      </c>
      <c r="V120" s="49">
        <v>0</v>
      </c>
      <c r="W120" s="49">
        <v>0</v>
      </c>
      <c r="X120" s="49" cm="1">
        <f t="array" ref="X120">_xlfn.LET(_xlpm.result, Common_InputFunctions.Utility_LookupValueInTableTwoColumns(U120, _xlfn.IFS(U120="Urea", IF(#REF!="", "Global",#REF!), U120="Ammonia", IF(#REF!="", "Global",#REF!), TRUE, "Global"), Table_SourceData_Scope3_InorganicFertiliser[Chemical compound],Table_SourceData_Scope3_InorganicFertiliser[Region of origin],Table_SourceData_Scope3_InorganicFertiliser[AusLCI Emissions intensity]), IF(_xlpm.result="", 0, _xlpm.result))</f>
        <v>0</v>
      </c>
      <c r="Y120" s="49">
        <v>0</v>
      </c>
      <c r="Z120" s="49">
        <v>0</v>
      </c>
      <c r="AA120" s="49">
        <v>0</v>
      </c>
      <c r="AB120" s="49" cm="1">
        <f t="array" ref="AB120">_xlfn.LET(_xlpm.result, Common_InputFunctions.Utility_LookupValueInTableTwoColumns(Y120, _xlfn.IFS(Y120="Urea", IF(#REF!="", "Global",#REF!), Y120="Ammonia", IF(#REF!="", "Global",#REF!), TRUE, "Global"), Table_SourceData_Scope3_InorganicFertiliser[Chemical compound],Table_SourceData_Scope3_InorganicFertiliser[Region of origin],Table_SourceData_Scope3_InorganicFertiliser[AusLCI Emissions intensity]), IF(_xlpm.result="", 0, _xlpm.result))</f>
        <v>0</v>
      </c>
    </row>
    <row r="121" spans="4:28" ht="20.100000000000001" customHeight="1" x14ac:dyDescent="0.25">
      <c r="D121" s="49" t="str">
        <v>Hay bales in paddock</v>
      </c>
      <c r="E121" s="49">
        <v>300</v>
      </c>
      <c r="F121" s="49">
        <f t="shared" si="0"/>
        <v>0</v>
      </c>
      <c r="G121" s="150" cm="1">
        <f t="array" ref="G121">Scope3_Equations.VEERG_15_2_1_1__1_EmissionsFromPurchasedFeed(E121,F121)</f>
        <v>0</v>
      </c>
      <c r="H121" s="66">
        <v>0.14000000000000001</v>
      </c>
      <c r="I121" s="150" cm="1">
        <f t="array" ref="I121">Scope3_Equations.VEERG_15_2_1_1__1_EmissionsFromPurchasedFeed(E121,IF(H121,H121, F121))</f>
        <v>42.000000000000007</v>
      </c>
      <c r="J121" s="82"/>
      <c r="K121" s="47"/>
      <c r="L121" s="82"/>
      <c r="M121" s="49" t="str">
        <v>Sardines (whole)</v>
      </c>
      <c r="N121" s="49" t="str">
        <v>VIC</v>
      </c>
      <c r="O121" s="49">
        <v>0.8</v>
      </c>
      <c r="P121" s="49" cm="1">
        <f t="array" ref="P121">_xlfn.LET(_xlpm.result, Common_InputFunctions.Utility_LookupValueInTableTwoColumns(M121, N121, Table_SourceData_Scope3_Feed[Product], Table_SourceData_Scope3_Feed[Region of origin], Table_SourceData_Scope3_Feed[AusLCI Emissions intensity]), IF(_xlpm.result="", 0, _xlpm.result))</f>
        <v>0</v>
      </c>
      <c r="Q121" s="49" t="str">
        <v>Soybean meal</v>
      </c>
      <c r="R121" s="49" t="str">
        <v>Brazil</v>
      </c>
      <c r="S121" s="49">
        <v>0.2</v>
      </c>
      <c r="T121" s="49" cm="1">
        <f t="array" ref="T121">_xlfn.LET(_xlpm.result, Common_InputFunctions.Utility_LookupValueInTableTwoColumns(Q121, _xlfn.IFS(Q121="Urea", IF(#REF!="", "Global",#REF!), Q121="Ammonia", IF(#REF!="", "Global",#REF!), TRUE, "Global"), Table_SourceData_Scope3_InorganicFertiliser[Chemical compound],Table_SourceData_Scope3_InorganicFertiliser[Region of origin],Table_SourceData_Scope3_InorganicFertiliser[AusLCI Emissions intensity]), IF(_xlpm.result="", 0, _xlpm.result))</f>
        <v>0</v>
      </c>
      <c r="U121" s="49">
        <v>0</v>
      </c>
      <c r="V121" s="49">
        <v>0</v>
      </c>
      <c r="W121" s="49">
        <v>0</v>
      </c>
      <c r="X121" s="49" cm="1">
        <f t="array" ref="X121">_xlfn.LET(_xlpm.result, Common_InputFunctions.Utility_LookupValueInTableTwoColumns(U121, _xlfn.IFS(U121="Urea", IF(#REF!="", "Global",#REF!), U121="Ammonia", IF(#REF!="", "Global",#REF!), TRUE, "Global"), Table_SourceData_Scope3_InorganicFertiliser[Chemical compound],Table_SourceData_Scope3_InorganicFertiliser[Region of origin],Table_SourceData_Scope3_InorganicFertiliser[AusLCI Emissions intensity]), IF(_xlpm.result="", 0, _xlpm.result))</f>
        <v>0</v>
      </c>
      <c r="Y121" s="49">
        <v>0</v>
      </c>
      <c r="Z121" s="49">
        <v>0</v>
      </c>
      <c r="AA121" s="49">
        <v>0</v>
      </c>
      <c r="AB121" s="49" cm="1">
        <f t="array" ref="AB121">_xlfn.LET(_xlpm.result, Common_InputFunctions.Utility_LookupValueInTableTwoColumns(Y121, _xlfn.IFS(Y121="Urea", IF(#REF!="", "Global",#REF!), Y121="Ammonia", IF(#REF!="", "Global",#REF!), TRUE, "Global"), Table_SourceData_Scope3_InorganicFertiliser[Chemical compound],Table_SourceData_Scope3_InorganicFertiliser[Region of origin],Table_SourceData_Scope3_InorganicFertiliser[AusLCI Emissions intensity]), IF(_xlpm.result="", 0, _xlpm.result))</f>
        <v>0</v>
      </c>
    </row>
    <row r="122" spans="4:28" ht="20.100000000000001" customHeight="1" x14ac:dyDescent="0.25">
      <c r="D122" s="49">
        <v>0</v>
      </c>
      <c r="E122" s="49">
        <v>500</v>
      </c>
      <c r="F122" s="49">
        <f t="shared" si="0"/>
        <v>0.34499999999999997</v>
      </c>
      <c r="G122" s="150" cm="1">
        <f t="array" ref="G122">Scope3_Equations.VEERG_15_2_1_1__1_EmissionsFromPurchasedFeed(E122,F122)</f>
        <v>172.5</v>
      </c>
      <c r="H122" s="66"/>
      <c r="I122" s="150" cm="1">
        <f t="array" ref="I122">Scope3_Equations.VEERG_15_2_1_1__1_EmissionsFromPurchasedFeed(E122,IF(H122,H122, F122))</f>
        <v>172.5</v>
      </c>
      <c r="J122" s="82"/>
      <c r="K122" s="47"/>
      <c r="L122" s="82"/>
      <c r="M122" s="49" t="str">
        <v>Pasture hay</v>
      </c>
      <c r="N122" s="49" t="str">
        <v>VIC</v>
      </c>
      <c r="O122" s="49">
        <v>1</v>
      </c>
      <c r="P122" s="49" cm="1">
        <f t="array" ref="P122">_xlfn.LET(_xlpm.result, Common_InputFunctions.Utility_LookupValueInTableTwoColumns(M122, N122, Table_SourceData_Scope3_Feed[Product], Table_SourceData_Scope3_Feed[Region of origin], Table_SourceData_Scope3_Feed[AusLCI Emissions intensity]), IF(_xlpm.result="", 0, _xlpm.result))</f>
        <v>0.34499999999999997</v>
      </c>
      <c r="Q122" s="49">
        <v>0</v>
      </c>
      <c r="R122" s="49">
        <v>0</v>
      </c>
      <c r="S122" s="49">
        <v>0</v>
      </c>
      <c r="T122" s="49" cm="1">
        <f t="array" ref="T122">_xlfn.LET(_xlpm.result, Common_InputFunctions.Utility_LookupValueInTableTwoColumns(Q122, _xlfn.IFS(Q122="Urea", IF(#REF!="", "Global",#REF!), Q122="Ammonia", IF(#REF!="", "Global",#REF!), TRUE, "Global"), Table_SourceData_Scope3_InorganicFertiliser[Chemical compound],Table_SourceData_Scope3_InorganicFertiliser[Region of origin],Table_SourceData_Scope3_InorganicFertiliser[AusLCI Emissions intensity]), IF(_xlpm.result="", 0, _xlpm.result))</f>
        <v>0</v>
      </c>
      <c r="U122" s="49">
        <v>0</v>
      </c>
      <c r="V122" s="49">
        <v>0</v>
      </c>
      <c r="W122" s="49">
        <v>0</v>
      </c>
      <c r="X122" s="49" cm="1">
        <f t="array" ref="X122">_xlfn.LET(_xlpm.result, Common_InputFunctions.Utility_LookupValueInTableTwoColumns(U122, _xlfn.IFS(U122="Urea", IF(#REF!="", "Global",#REF!), U122="Ammonia", IF(#REF!="", "Global",#REF!), TRUE, "Global"), Table_SourceData_Scope3_InorganicFertiliser[Chemical compound],Table_SourceData_Scope3_InorganicFertiliser[Region of origin],Table_SourceData_Scope3_InorganicFertiliser[AusLCI Emissions intensity]), IF(_xlpm.result="", 0, _xlpm.result))</f>
        <v>0</v>
      </c>
      <c r="Y122" s="49">
        <v>0</v>
      </c>
      <c r="Z122" s="49">
        <v>0</v>
      </c>
      <c r="AA122" s="49">
        <v>0</v>
      </c>
      <c r="AB122" s="49" cm="1">
        <f t="array" ref="AB122">_xlfn.LET(_xlpm.result, Common_InputFunctions.Utility_LookupValueInTableTwoColumns(Y122, _xlfn.IFS(Y122="Urea", IF(#REF!="", "Global",#REF!), Y122="Ammonia", IF(#REF!="", "Global",#REF!), TRUE, "Global"), Table_SourceData_Scope3_InorganicFertiliser[Chemical compound],Table_SourceData_Scope3_InorganicFertiliser[Region of origin],Table_SourceData_Scope3_InorganicFertiliser[AusLCI Emissions intensity]), IF(_xlpm.result="", 0, _xlpm.result))</f>
        <v>0</v>
      </c>
    </row>
    <row r="123" spans="4:28" ht="20.100000000000001" customHeight="1" x14ac:dyDescent="0.25">
      <c r="D123" s="49">
        <v>0</v>
      </c>
      <c r="E123" s="49">
        <v>0</v>
      </c>
      <c r="F123" s="49">
        <f t="shared" si="0"/>
        <v>0</v>
      </c>
      <c r="G123" s="150" cm="1">
        <f t="array" ref="G123">Scope3_Equations.VEERG_15_2_1_1__1_EmissionsFromPurchasedFeed(E123,F123)</f>
        <v>0</v>
      </c>
      <c r="H123" s="66"/>
      <c r="I123" s="150" cm="1">
        <f t="array" ref="I123">Scope3_Equations.VEERG_15_2_1_1__1_EmissionsFromPurchasedFeed(E123,IF(H123,H123, F123))</f>
        <v>0</v>
      </c>
      <c r="J123" s="82"/>
      <c r="K123" s="47"/>
      <c r="L123" s="82"/>
      <c r="M123" s="49">
        <v>0</v>
      </c>
      <c r="N123" s="49">
        <v>0</v>
      </c>
      <c r="O123" s="49">
        <v>0</v>
      </c>
      <c r="P123" s="49" cm="1">
        <f t="array" ref="P123">_xlfn.LET(_xlpm.result, Common_InputFunctions.Utility_LookupValueInTableTwoColumns(M123, N123, Table_SourceData_Scope3_Feed[Product], Table_SourceData_Scope3_Feed[Region of origin], Table_SourceData_Scope3_Feed[AusLCI Emissions intensity]), IF(_xlpm.result="", 0, _xlpm.result))</f>
        <v>0</v>
      </c>
      <c r="Q123" s="49">
        <v>0</v>
      </c>
      <c r="R123" s="49">
        <v>0</v>
      </c>
      <c r="S123" s="49">
        <v>0</v>
      </c>
      <c r="T123" s="49" cm="1">
        <f t="array" ref="T123">_xlfn.LET(_xlpm.result, Common_InputFunctions.Utility_LookupValueInTableTwoColumns(Q123, _xlfn.IFS(Q123="Urea", IF(#REF!="", "Global",#REF!), Q123="Ammonia", IF(#REF!="", "Global",#REF!), TRUE, "Global"), Table_SourceData_Scope3_InorganicFertiliser[Chemical compound],Table_SourceData_Scope3_InorganicFertiliser[Region of origin],Table_SourceData_Scope3_InorganicFertiliser[AusLCI Emissions intensity]), IF(_xlpm.result="", 0, _xlpm.result))</f>
        <v>0</v>
      </c>
      <c r="U123" s="49">
        <v>0</v>
      </c>
      <c r="V123" s="49">
        <v>0</v>
      </c>
      <c r="W123" s="49">
        <v>0</v>
      </c>
      <c r="X123" s="49" cm="1">
        <f t="array" ref="X123">_xlfn.LET(_xlpm.result, Common_InputFunctions.Utility_LookupValueInTableTwoColumns(U123, _xlfn.IFS(U123="Urea", IF(#REF!="", "Global",#REF!), U123="Ammonia", IF(#REF!="", "Global",#REF!), TRUE, "Global"), Table_SourceData_Scope3_InorganicFertiliser[Chemical compound],Table_SourceData_Scope3_InorganicFertiliser[Region of origin],Table_SourceData_Scope3_InorganicFertiliser[AusLCI Emissions intensity]), IF(_xlpm.result="", 0, _xlpm.result))</f>
        <v>0</v>
      </c>
      <c r="Y123" s="49">
        <v>0</v>
      </c>
      <c r="Z123" s="49">
        <v>0</v>
      </c>
      <c r="AA123" s="49">
        <v>0</v>
      </c>
      <c r="AB123" s="49" cm="1">
        <f t="array" ref="AB123">_xlfn.LET(_xlpm.result, Common_InputFunctions.Utility_LookupValueInTableTwoColumns(Y123, _xlfn.IFS(Y123="Urea", IF(#REF!="", "Global",#REF!), Y123="Ammonia", IF(#REF!="", "Global",#REF!), TRUE, "Global"), Table_SourceData_Scope3_InorganicFertiliser[Chemical compound],Table_SourceData_Scope3_InorganicFertiliser[Region of origin],Table_SourceData_Scope3_InorganicFertiliser[AusLCI Emissions intensity]), IF(_xlpm.result="", 0, _xlpm.result))</f>
        <v>0</v>
      </c>
    </row>
    <row r="124" spans="4:28" ht="20.100000000000001" customHeight="1" x14ac:dyDescent="0.25">
      <c r="D124" s="49">
        <v>0</v>
      </c>
      <c r="E124" s="49">
        <v>0</v>
      </c>
      <c r="F124" s="49">
        <f t="shared" si="0"/>
        <v>0</v>
      </c>
      <c r="G124" s="150" cm="1">
        <f t="array" ref="G124">Scope3_Equations.VEERG_15_2_1_1__1_EmissionsFromPurchasedFeed(E124,F124)</f>
        <v>0</v>
      </c>
      <c r="H124" s="66"/>
      <c r="I124" s="150" cm="1">
        <f t="array" ref="I124">Scope3_Equations.VEERG_15_2_1_1__1_EmissionsFromPurchasedFeed(E124,IF(H124,H124, F124))</f>
        <v>0</v>
      </c>
      <c r="J124" s="82"/>
      <c r="K124" s="47"/>
      <c r="L124" s="82"/>
      <c r="M124" s="49">
        <v>0</v>
      </c>
      <c r="N124" s="49">
        <v>0</v>
      </c>
      <c r="O124" s="49">
        <v>0</v>
      </c>
      <c r="P124" s="49" cm="1">
        <f t="array" ref="P124">_xlfn.LET(_xlpm.result, Common_InputFunctions.Utility_LookupValueInTableTwoColumns(M124, N124, Table_SourceData_Scope3_Feed[Product], Table_SourceData_Scope3_Feed[Region of origin], Table_SourceData_Scope3_Feed[AusLCI Emissions intensity]), IF(_xlpm.result="", 0, _xlpm.result))</f>
        <v>0</v>
      </c>
      <c r="Q124" s="49">
        <v>0</v>
      </c>
      <c r="R124" s="49">
        <v>0</v>
      </c>
      <c r="S124" s="49">
        <v>0</v>
      </c>
      <c r="T124" s="49" cm="1">
        <f t="array" ref="T124">_xlfn.LET(_xlpm.result, Common_InputFunctions.Utility_LookupValueInTableTwoColumns(Q124, _xlfn.IFS(Q124="Urea", IF(#REF!="", "Global",#REF!), Q124="Ammonia", IF(#REF!="", "Global",#REF!), TRUE, "Global"), Table_SourceData_Scope3_InorganicFertiliser[Chemical compound],Table_SourceData_Scope3_InorganicFertiliser[Region of origin],Table_SourceData_Scope3_InorganicFertiliser[AusLCI Emissions intensity]), IF(_xlpm.result="", 0, _xlpm.result))</f>
        <v>0</v>
      </c>
      <c r="U124" s="49">
        <v>0</v>
      </c>
      <c r="V124" s="49">
        <v>0</v>
      </c>
      <c r="W124" s="49">
        <v>0</v>
      </c>
      <c r="X124" s="49" cm="1">
        <f t="array" ref="X124">_xlfn.LET(_xlpm.result, Common_InputFunctions.Utility_LookupValueInTableTwoColumns(U124, _xlfn.IFS(U124="Urea", IF(#REF!="", "Global",#REF!), U124="Ammonia", IF(#REF!="", "Global",#REF!), TRUE, "Global"), Table_SourceData_Scope3_InorganicFertiliser[Chemical compound],Table_SourceData_Scope3_InorganicFertiliser[Region of origin],Table_SourceData_Scope3_InorganicFertiliser[AusLCI Emissions intensity]), IF(_xlpm.result="", 0, _xlpm.result))</f>
        <v>0</v>
      </c>
      <c r="Y124" s="49">
        <v>0</v>
      </c>
      <c r="Z124" s="49">
        <v>0</v>
      </c>
      <c r="AA124" s="49">
        <v>0</v>
      </c>
      <c r="AB124" s="49" cm="1">
        <f t="array" ref="AB124">_xlfn.LET(_xlpm.result, Common_InputFunctions.Utility_LookupValueInTableTwoColumns(Y124, _xlfn.IFS(Y124="Urea", IF(#REF!="", "Global",#REF!), Y124="Ammonia", IF(#REF!="", "Global",#REF!), TRUE, "Global"), Table_SourceData_Scope3_InorganicFertiliser[Chemical compound],Table_SourceData_Scope3_InorganicFertiliser[Region of origin],Table_SourceData_Scope3_InorganicFertiliser[AusLCI Emissions intensity]), IF(_xlpm.result="", 0, _xlpm.result))</f>
        <v>0</v>
      </c>
    </row>
    <row r="125" spans="4:28" ht="20.100000000000001" customHeight="1" x14ac:dyDescent="0.25">
      <c r="D125" s="49">
        <v>0</v>
      </c>
      <c r="E125" s="49">
        <v>0</v>
      </c>
      <c r="F125" s="49">
        <f t="shared" si="0"/>
        <v>0</v>
      </c>
      <c r="G125" s="150" cm="1">
        <f t="array" ref="G125">Scope3_Equations.VEERG_15_2_1_1__1_EmissionsFromPurchasedFeed(E125,F125)</f>
        <v>0</v>
      </c>
      <c r="H125" s="66"/>
      <c r="I125" s="150" cm="1">
        <f t="array" ref="I125">Scope3_Equations.VEERG_15_2_1_1__1_EmissionsFromPurchasedFeed(E125,IF(H125,H125, F125))</f>
        <v>0</v>
      </c>
      <c r="J125" s="82"/>
      <c r="K125" s="47"/>
      <c r="L125" s="82"/>
      <c r="M125" s="49">
        <v>0</v>
      </c>
      <c r="N125" s="49">
        <v>0</v>
      </c>
      <c r="O125" s="49">
        <v>0</v>
      </c>
      <c r="P125" s="49" cm="1">
        <f t="array" ref="P125">_xlfn.LET(_xlpm.result, Common_InputFunctions.Utility_LookupValueInTableTwoColumns(M125, N125, Table_SourceData_Scope3_Feed[Product], Table_SourceData_Scope3_Feed[Region of origin], Table_SourceData_Scope3_Feed[AusLCI Emissions intensity]), IF(_xlpm.result="", 0, _xlpm.result))</f>
        <v>0</v>
      </c>
      <c r="Q125" s="49">
        <v>0</v>
      </c>
      <c r="R125" s="49">
        <v>0</v>
      </c>
      <c r="S125" s="49">
        <v>0</v>
      </c>
      <c r="T125" s="49" cm="1">
        <f t="array" ref="T125">_xlfn.LET(_xlpm.result, Common_InputFunctions.Utility_LookupValueInTableTwoColumns(Q125, _xlfn.IFS(Q125="Urea", IF(#REF!="", "Global",#REF!), Q125="Ammonia", IF(#REF!="", "Global",#REF!), TRUE, "Global"), Table_SourceData_Scope3_InorganicFertiliser[Chemical compound],Table_SourceData_Scope3_InorganicFertiliser[Region of origin],Table_SourceData_Scope3_InorganicFertiliser[AusLCI Emissions intensity]), IF(_xlpm.result="", 0, _xlpm.result))</f>
        <v>0</v>
      </c>
      <c r="U125" s="49">
        <v>0</v>
      </c>
      <c r="V125" s="49">
        <v>0</v>
      </c>
      <c r="W125" s="49">
        <v>0</v>
      </c>
      <c r="X125" s="49" cm="1">
        <f t="array" ref="X125">_xlfn.LET(_xlpm.result, Common_InputFunctions.Utility_LookupValueInTableTwoColumns(U125, _xlfn.IFS(U125="Urea", IF(#REF!="", "Global",#REF!), U125="Ammonia", IF(#REF!="", "Global",#REF!), TRUE, "Global"), Table_SourceData_Scope3_InorganicFertiliser[Chemical compound],Table_SourceData_Scope3_InorganicFertiliser[Region of origin],Table_SourceData_Scope3_InorganicFertiliser[AusLCI Emissions intensity]), IF(_xlpm.result="", 0, _xlpm.result))</f>
        <v>0</v>
      </c>
      <c r="Y125" s="49">
        <v>0</v>
      </c>
      <c r="Z125" s="49">
        <v>0</v>
      </c>
      <c r="AA125" s="49">
        <v>0</v>
      </c>
      <c r="AB125" s="49" cm="1">
        <f t="array" ref="AB125">_xlfn.LET(_xlpm.result, Common_InputFunctions.Utility_LookupValueInTableTwoColumns(Y125, _xlfn.IFS(Y125="Urea", IF(#REF!="", "Global",#REF!), Y125="Ammonia", IF(#REF!="", "Global",#REF!), TRUE, "Global"), Table_SourceData_Scope3_InorganicFertiliser[Chemical compound],Table_SourceData_Scope3_InorganicFertiliser[Region of origin],Table_SourceData_Scope3_InorganicFertiliser[AusLCI Emissions intensity]), IF(_xlpm.result="", 0, _xlpm.result))</f>
        <v>0</v>
      </c>
    </row>
    <row r="126" spans="4:28" ht="20.100000000000001" customHeight="1" x14ac:dyDescent="0.25">
      <c r="D126" s="49">
        <v>0</v>
      </c>
      <c r="E126" s="49">
        <v>0</v>
      </c>
      <c r="F126" s="49">
        <f t="shared" si="0"/>
        <v>0</v>
      </c>
      <c r="G126" s="150" cm="1">
        <f t="array" ref="G126">Scope3_Equations.VEERG_15_2_1_1__1_EmissionsFromPurchasedFeed(E126,F126)</f>
        <v>0</v>
      </c>
      <c r="H126" s="66"/>
      <c r="I126" s="150" cm="1">
        <f t="array" ref="I126">Scope3_Equations.VEERG_15_2_1_1__1_EmissionsFromPurchasedFeed(E126,IF(H126,H126, F126))</f>
        <v>0</v>
      </c>
      <c r="J126" s="82"/>
      <c r="K126" s="47"/>
      <c r="L126" s="82"/>
      <c r="M126" s="49">
        <v>0</v>
      </c>
      <c r="N126" s="49">
        <v>0</v>
      </c>
      <c r="O126" s="49">
        <v>0</v>
      </c>
      <c r="P126" s="49" cm="1">
        <f t="array" ref="P126">_xlfn.LET(_xlpm.result, Common_InputFunctions.Utility_LookupValueInTableTwoColumns(M126, N126, Table_SourceData_Scope3_Feed[Product], Table_SourceData_Scope3_Feed[Region of origin], Table_SourceData_Scope3_Feed[AusLCI Emissions intensity]), IF(_xlpm.result="", 0, _xlpm.result))</f>
        <v>0</v>
      </c>
      <c r="Q126" s="49">
        <v>0</v>
      </c>
      <c r="R126" s="49">
        <v>0</v>
      </c>
      <c r="S126" s="49">
        <v>0</v>
      </c>
      <c r="T126" s="49" cm="1">
        <f t="array" ref="T126">_xlfn.LET(_xlpm.result, Common_InputFunctions.Utility_LookupValueInTableTwoColumns(Q126, _xlfn.IFS(Q126="Urea", IF(#REF!="", "Global",#REF!), Q126="Ammonia", IF(#REF!="", "Global",#REF!), TRUE, "Global"), Table_SourceData_Scope3_InorganicFertiliser[Chemical compound],Table_SourceData_Scope3_InorganicFertiliser[Region of origin],Table_SourceData_Scope3_InorganicFertiliser[AusLCI Emissions intensity]), IF(_xlpm.result="", 0, _xlpm.result))</f>
        <v>0</v>
      </c>
      <c r="U126" s="49">
        <v>0</v>
      </c>
      <c r="V126" s="49">
        <v>0</v>
      </c>
      <c r="W126" s="49">
        <v>0</v>
      </c>
      <c r="X126" s="49" cm="1">
        <f t="array" ref="X126">_xlfn.LET(_xlpm.result, Common_InputFunctions.Utility_LookupValueInTableTwoColumns(U126, _xlfn.IFS(U126="Urea", IF(#REF!="", "Global",#REF!), U126="Ammonia", IF(#REF!="", "Global",#REF!), TRUE, "Global"), Table_SourceData_Scope3_InorganicFertiliser[Chemical compound],Table_SourceData_Scope3_InorganicFertiliser[Region of origin],Table_SourceData_Scope3_InorganicFertiliser[AusLCI Emissions intensity]), IF(_xlpm.result="", 0, _xlpm.result))</f>
        <v>0</v>
      </c>
      <c r="Y126" s="49">
        <v>0</v>
      </c>
      <c r="Z126" s="49">
        <v>0</v>
      </c>
      <c r="AA126" s="49">
        <v>0</v>
      </c>
      <c r="AB126" s="49" cm="1">
        <f t="array" ref="AB126">_xlfn.LET(_xlpm.result, Common_InputFunctions.Utility_LookupValueInTableTwoColumns(Y126, _xlfn.IFS(Y126="Urea", IF(#REF!="", "Global",#REF!), Y126="Ammonia", IF(#REF!="", "Global",#REF!), TRUE, "Global"), Table_SourceData_Scope3_InorganicFertiliser[Chemical compound],Table_SourceData_Scope3_InorganicFertiliser[Region of origin],Table_SourceData_Scope3_InorganicFertiliser[AusLCI Emissions intensity]), IF(_xlpm.result="", 0, _xlpm.result))</f>
        <v>0</v>
      </c>
    </row>
    <row r="127" spans="4:28" ht="20.100000000000001" customHeight="1" x14ac:dyDescent="0.25">
      <c r="D127" s="49">
        <v>0</v>
      </c>
      <c r="E127" s="49">
        <v>0</v>
      </c>
      <c r="F127" s="49">
        <f t="shared" si="0"/>
        <v>0</v>
      </c>
      <c r="G127" s="150" cm="1">
        <f t="array" ref="G127">Scope3_Equations.VEERG_15_2_1_1__1_EmissionsFromPurchasedFeed(E127,F127)</f>
        <v>0</v>
      </c>
      <c r="H127" s="66"/>
      <c r="I127" s="150" cm="1">
        <f t="array" ref="I127">Scope3_Equations.VEERG_15_2_1_1__1_EmissionsFromPurchasedFeed(E127,IF(H127,H127, F127))</f>
        <v>0</v>
      </c>
      <c r="J127" s="82"/>
      <c r="K127" s="47"/>
      <c r="L127" s="82"/>
      <c r="M127" s="49">
        <v>0</v>
      </c>
      <c r="N127" s="49">
        <v>0</v>
      </c>
      <c r="O127" s="49">
        <v>0</v>
      </c>
      <c r="P127" s="49" cm="1">
        <f t="array" ref="P127">_xlfn.LET(_xlpm.result, Common_InputFunctions.Utility_LookupValueInTableTwoColumns(M127, N127, Table_SourceData_Scope3_Feed[Product], Table_SourceData_Scope3_Feed[Region of origin], Table_SourceData_Scope3_Feed[AusLCI Emissions intensity]), IF(_xlpm.result="", 0, _xlpm.result))</f>
        <v>0</v>
      </c>
      <c r="Q127" s="49">
        <v>0</v>
      </c>
      <c r="R127" s="49">
        <v>0</v>
      </c>
      <c r="S127" s="49">
        <v>0</v>
      </c>
      <c r="T127" s="49" cm="1">
        <f t="array" ref="T127">_xlfn.LET(_xlpm.result, Common_InputFunctions.Utility_LookupValueInTableTwoColumns(Q127, _xlfn.IFS(Q127="Urea", IF(#REF!="", "Global",#REF!), Q127="Ammonia", IF(#REF!="", "Global",#REF!), TRUE, "Global"), Table_SourceData_Scope3_InorganicFertiliser[Chemical compound],Table_SourceData_Scope3_InorganicFertiliser[Region of origin],Table_SourceData_Scope3_InorganicFertiliser[AusLCI Emissions intensity]), IF(_xlpm.result="", 0, _xlpm.result))</f>
        <v>0</v>
      </c>
      <c r="U127" s="49">
        <v>0</v>
      </c>
      <c r="V127" s="49">
        <v>0</v>
      </c>
      <c r="W127" s="49">
        <v>0</v>
      </c>
      <c r="X127" s="49" cm="1">
        <f t="array" ref="X127">_xlfn.LET(_xlpm.result, Common_InputFunctions.Utility_LookupValueInTableTwoColumns(U127, _xlfn.IFS(U127="Urea", IF(#REF!="", "Global",#REF!), U127="Ammonia", IF(#REF!="", "Global",#REF!), TRUE, "Global"), Table_SourceData_Scope3_InorganicFertiliser[Chemical compound],Table_SourceData_Scope3_InorganicFertiliser[Region of origin],Table_SourceData_Scope3_InorganicFertiliser[AusLCI Emissions intensity]), IF(_xlpm.result="", 0, _xlpm.result))</f>
        <v>0</v>
      </c>
      <c r="Y127" s="49">
        <v>0</v>
      </c>
      <c r="Z127" s="49">
        <v>0</v>
      </c>
      <c r="AA127" s="49">
        <v>0</v>
      </c>
      <c r="AB127" s="49" cm="1">
        <f t="array" ref="AB127">_xlfn.LET(_xlpm.result, Common_InputFunctions.Utility_LookupValueInTableTwoColumns(Y127, _xlfn.IFS(Y127="Urea", IF(#REF!="", "Global",#REF!), Y127="Ammonia", IF(#REF!="", "Global",#REF!), TRUE, "Global"), Table_SourceData_Scope3_InorganicFertiliser[Chemical compound],Table_SourceData_Scope3_InorganicFertiliser[Region of origin],Table_SourceData_Scope3_InorganicFertiliser[AusLCI Emissions intensity]), IF(_xlpm.result="", 0, _xlpm.result))</f>
        <v>0</v>
      </c>
    </row>
    <row r="128" spans="4:28" ht="20.100000000000001" customHeight="1" x14ac:dyDescent="0.25">
      <c r="D128" s="49">
        <v>0</v>
      </c>
      <c r="E128" s="49">
        <v>0</v>
      </c>
      <c r="F128" s="49">
        <f t="shared" si="0"/>
        <v>0</v>
      </c>
      <c r="G128" s="150" cm="1">
        <f t="array" ref="G128">Scope3_Equations.VEERG_15_2_1_1__1_EmissionsFromPurchasedFeed(E128,F128)</f>
        <v>0</v>
      </c>
      <c r="H128" s="66"/>
      <c r="I128" s="150" cm="1">
        <f t="array" ref="I128">Scope3_Equations.VEERG_15_2_1_1__1_EmissionsFromPurchasedFeed(E128,IF(H128,H128, F128))</f>
        <v>0</v>
      </c>
      <c r="J128" s="82"/>
      <c r="K128" s="47"/>
      <c r="L128" s="82"/>
      <c r="M128" s="49">
        <v>0</v>
      </c>
      <c r="N128" s="49">
        <v>0</v>
      </c>
      <c r="O128" s="49">
        <v>0</v>
      </c>
      <c r="P128" s="49" cm="1">
        <f t="array" ref="P128">_xlfn.LET(_xlpm.result, Common_InputFunctions.Utility_LookupValueInTableTwoColumns(M128, N128, Table_SourceData_Scope3_Feed[Product], Table_SourceData_Scope3_Feed[Region of origin], Table_SourceData_Scope3_Feed[AusLCI Emissions intensity]), IF(_xlpm.result="", 0, _xlpm.result))</f>
        <v>0</v>
      </c>
      <c r="Q128" s="49">
        <v>0</v>
      </c>
      <c r="R128" s="49">
        <v>0</v>
      </c>
      <c r="S128" s="49">
        <v>0</v>
      </c>
      <c r="T128" s="49" cm="1">
        <f t="array" ref="T128">_xlfn.LET(_xlpm.result, Common_InputFunctions.Utility_LookupValueInTableTwoColumns(Q128, _xlfn.IFS(Q128="Urea", IF(#REF!="", "Global",#REF!), Q128="Ammonia", IF(#REF!="", "Global",#REF!), TRUE, "Global"), Table_SourceData_Scope3_InorganicFertiliser[Chemical compound],Table_SourceData_Scope3_InorganicFertiliser[Region of origin],Table_SourceData_Scope3_InorganicFertiliser[AusLCI Emissions intensity]), IF(_xlpm.result="", 0, _xlpm.result))</f>
        <v>0</v>
      </c>
      <c r="U128" s="49">
        <v>0</v>
      </c>
      <c r="V128" s="49">
        <v>0</v>
      </c>
      <c r="W128" s="49">
        <v>0</v>
      </c>
      <c r="X128" s="49" cm="1">
        <f t="array" ref="X128">_xlfn.LET(_xlpm.result, Common_InputFunctions.Utility_LookupValueInTableTwoColumns(U128, _xlfn.IFS(U128="Urea", IF(#REF!="", "Global",#REF!), U128="Ammonia", IF(#REF!="", "Global",#REF!), TRUE, "Global"), Table_SourceData_Scope3_InorganicFertiliser[Chemical compound],Table_SourceData_Scope3_InorganicFertiliser[Region of origin],Table_SourceData_Scope3_InorganicFertiliser[AusLCI Emissions intensity]), IF(_xlpm.result="", 0, _xlpm.result))</f>
        <v>0</v>
      </c>
      <c r="Y128" s="49">
        <v>0</v>
      </c>
      <c r="Z128" s="49">
        <v>0</v>
      </c>
      <c r="AA128" s="49">
        <v>0</v>
      </c>
      <c r="AB128" s="49" cm="1">
        <f t="array" ref="AB128">_xlfn.LET(_xlpm.result, Common_InputFunctions.Utility_LookupValueInTableTwoColumns(Y128, _xlfn.IFS(Y128="Urea", IF(#REF!="", "Global",#REF!), Y128="Ammonia", IF(#REF!="", "Global",#REF!), TRUE, "Global"), Table_SourceData_Scope3_InorganicFertiliser[Chemical compound],Table_SourceData_Scope3_InorganicFertiliser[Region of origin],Table_SourceData_Scope3_InorganicFertiliser[AusLCI Emissions intensity]), IF(_xlpm.result="", 0, _xlpm.result))</f>
        <v>0</v>
      </c>
    </row>
    <row r="129" spans="4:12" ht="20.100000000000001" customHeight="1" x14ac:dyDescent="0.25"/>
    <row r="130" spans="4:12" ht="20.100000000000001" customHeight="1" x14ac:dyDescent="0.25">
      <c r="D130" s="173" t="s">
        <v>629</v>
      </c>
      <c r="E130" s="98">
        <f>SUM(G119:G128)</f>
        <v>202.15199999999999</v>
      </c>
      <c r="F130" s="174" t="str">
        <f>$E$104</f>
        <v>t CO2e</v>
      </c>
    </row>
    <row r="131" spans="4:12" ht="20.100000000000001" customHeight="1" x14ac:dyDescent="0.25">
      <c r="D131" s="173" t="s">
        <v>631</v>
      </c>
      <c r="E131" s="98">
        <f>SUM(I119:I128)</f>
        <v>366.18</v>
      </c>
      <c r="F131" s="174" t="str">
        <f>$E$104</f>
        <v>t CO2e</v>
      </c>
    </row>
    <row r="132" spans="4:12" ht="20.100000000000001" customHeight="1" x14ac:dyDescent="0.25"/>
    <row r="133" spans="4:12" ht="20.100000000000001" customHeight="1" x14ac:dyDescent="0.25"/>
    <row r="134" spans="4:12" ht="20.100000000000001" customHeight="1" x14ac:dyDescent="0.25">
      <c r="D134" s="144" t="s">
        <v>392</v>
      </c>
    </row>
    <row r="135" spans="4:12" ht="20.100000000000001" customHeight="1" x14ac:dyDescent="0.25">
      <c r="D135" s="46" t="s">
        <v>212</v>
      </c>
      <c r="E135" s="46" t="s">
        <v>628</v>
      </c>
      <c r="F135" s="57" t="s">
        <v>632</v>
      </c>
      <c r="G135" s="57" t="s">
        <v>629</v>
      </c>
      <c r="H135" s="46" t="s">
        <v>630</v>
      </c>
      <c r="I135" s="57" t="s">
        <v>631</v>
      </c>
      <c r="J135" s="46" t="s">
        <v>625</v>
      </c>
      <c r="K135" s="46" t="s">
        <v>626</v>
      </c>
      <c r="L135" s="46" t="s">
        <v>627</v>
      </c>
    </row>
    <row r="136" spans="4:12" ht="20.100000000000001" customHeight="1" x14ac:dyDescent="0.25">
      <c r="D136" s="49" t="str">
        <f>'Input - Farm Inputs'!D56</f>
        <v>Feed for chickens</v>
      </c>
      <c r="E136" s="49">
        <f>X_Cell_FarmInputs_FeedRations_Chickens</f>
        <v>100</v>
      </c>
      <c r="F136" s="49" cm="1">
        <f t="array" ref="F136">Common_InputFunctions.Utility_LookupValueInTableNumber(D136,Table_SourceData_Scope3_MixedRations[Product],Table_SourceData_Scope3_MixedRations[AusLCI Emissions intensity])</f>
        <v>0.59399999999999997</v>
      </c>
      <c r="G136" s="150" cm="1">
        <f t="array" ref="G136">Scope3_Equations.VEERG_15_2_1_1__1_EmissionsFromPurchasedFeed(E136,F136)</f>
        <v>59.4</v>
      </c>
      <c r="H136" s="66">
        <v>0.5</v>
      </c>
      <c r="I136" s="150" cm="1">
        <f t="array" ref="I136">Scope3_Equations.VEERG_15_2_1_1__1_EmissionsFromPurchasedFeed(E136,IF(H136,H136, F136))</f>
        <v>50</v>
      </c>
      <c r="J136" s="82"/>
      <c r="K136" s="47"/>
      <c r="L136"/>
    </row>
    <row r="137" spans="4:12" ht="20.100000000000001" customHeight="1" x14ac:dyDescent="0.25">
      <c r="D137" s="49" t="str">
        <f>'Input - Farm Inputs'!D57</f>
        <v>Feed for dairy calves</v>
      </c>
      <c r="E137" s="49">
        <f>X_Cell_FarmInputs_FeedRations_DairyCalves</f>
        <v>100</v>
      </c>
      <c r="F137" s="49" cm="1">
        <f t="array" ref="F137">Common_InputFunctions.Utility_LookupValueInTableNumber(D137,Table_SourceData_Scope3_MixedRations[Product],Table_SourceData_Scope3_MixedRations[AusLCI Emissions intensity])</f>
        <v>0.41899999999999998</v>
      </c>
      <c r="G137" s="150" cm="1">
        <f t="array" ref="G137">Scope3_Equations.VEERG_15_2_1_1__1_EmissionsFromPurchasedFeed(E137,F137)</f>
        <v>41.9</v>
      </c>
      <c r="H137" s="66">
        <v>0.4</v>
      </c>
      <c r="I137" s="150" cm="1">
        <f t="array" ref="I137">Scope3_Equations.VEERG_15_2_1_1__1_EmissionsFromPurchasedFeed(E137,IF(H137,H137, F137))</f>
        <v>40</v>
      </c>
      <c r="J137" s="82"/>
      <c r="K137" s="47"/>
      <c r="L137" s="82"/>
    </row>
    <row r="138" spans="4:12" ht="20.100000000000001" customHeight="1" x14ac:dyDescent="0.25">
      <c r="D138" s="49" t="str">
        <f>'Input - Farm Inputs'!D58</f>
        <v>Feed for dairy cows</v>
      </c>
      <c r="E138" s="49">
        <f>X_Cell_FarmInputs_FeedRations_DairyCows</f>
        <v>100</v>
      </c>
      <c r="F138" s="49" cm="1">
        <f t="array" ref="F138">Common_InputFunctions.Utility_LookupValueInTableNumber(D138,Table_SourceData_Scope3_MixedRations[Product],Table_SourceData_Scope3_MixedRations[AusLCI Emissions intensity])</f>
        <v>0.33300000000000002</v>
      </c>
      <c r="G138" s="150" cm="1">
        <f t="array" ref="G138">Scope3_Equations.VEERG_15_2_1_1__1_EmissionsFromPurchasedFeed(E138,F138)</f>
        <v>33.300000000000004</v>
      </c>
      <c r="H138" s="66">
        <v>0</v>
      </c>
      <c r="I138" s="150" cm="1">
        <f t="array" ref="I138">Scope3_Equations.VEERG_15_2_1_1__1_EmissionsFromPurchasedFeed(E138,IF(H138,H138, F138))</f>
        <v>33.300000000000004</v>
      </c>
      <c r="J138" s="82"/>
      <c r="K138" s="47"/>
      <c r="L138" s="82"/>
    </row>
    <row r="139" spans="4:12" ht="20.100000000000001" customHeight="1" x14ac:dyDescent="0.25">
      <c r="D139" s="49" t="str">
        <f>'Input - Farm Inputs'!D59</f>
        <v>Feed for pigs</v>
      </c>
      <c r="E139" s="49">
        <f>X_Cell_FarmInputs_FeedRations_Pigs</f>
        <v>100</v>
      </c>
      <c r="F139" s="49" cm="1">
        <f t="array" ref="F139">Common_InputFunctions.Utility_LookupValueInTableNumber(D139,Table_SourceData_Scope3_MixedRations[Product],Table_SourceData_Scope3_MixedRations[AusLCI Emissions intensity])</f>
        <v>0.40300000000000002</v>
      </c>
      <c r="G139" s="150" cm="1">
        <f t="array" ref="G139">Scope3_Equations.VEERG_15_2_1_1__1_EmissionsFromPurchasedFeed(E139,F139)</f>
        <v>40.300000000000004</v>
      </c>
      <c r="H139" s="66">
        <v>0</v>
      </c>
      <c r="I139" s="150" cm="1">
        <f t="array" ref="I139">Scope3_Equations.VEERG_15_2_1_1__1_EmissionsFromPurchasedFeed(E139,IF(H139,H139, F139))</f>
        <v>40.300000000000004</v>
      </c>
      <c r="J139" s="82"/>
      <c r="K139" s="47"/>
      <c r="L139" s="82"/>
    </row>
    <row r="140" spans="4:12" ht="20.100000000000001" customHeight="1" x14ac:dyDescent="0.25"/>
    <row r="141" spans="4:12" ht="20.100000000000001" customHeight="1" x14ac:dyDescent="0.25">
      <c r="D141" s="173" t="s">
        <v>629</v>
      </c>
      <c r="E141" s="98">
        <f>SUM(G136:G139)</f>
        <v>174.9</v>
      </c>
      <c r="F141" s="174" t="str">
        <f>$E$104</f>
        <v>t CO2e</v>
      </c>
    </row>
    <row r="142" spans="4:12" ht="20.100000000000001" customHeight="1" x14ac:dyDescent="0.25">
      <c r="D142" s="173" t="s">
        <v>631</v>
      </c>
      <c r="E142" s="98">
        <f>SUM(I136:I139)</f>
        <v>163.60000000000002</v>
      </c>
      <c r="F142" s="174" t="str">
        <f>$E$104</f>
        <v>t CO2e</v>
      </c>
    </row>
    <row r="143" spans="4:12" ht="20.100000000000001" customHeight="1" x14ac:dyDescent="0.25"/>
    <row r="144" spans="4:12" ht="20.100000000000001" customHeight="1" x14ac:dyDescent="0.25">
      <c r="D144" s="175" t="s">
        <v>629</v>
      </c>
      <c r="E144" s="176">
        <f>E130+E141</f>
        <v>377.05200000000002</v>
      </c>
      <c r="F144" s="177" t="str">
        <f>$E$104</f>
        <v>t CO2e</v>
      </c>
    </row>
    <row r="145" spans="3:41" ht="20.100000000000001" customHeight="1" x14ac:dyDescent="0.25">
      <c r="D145" s="175" t="s">
        <v>631</v>
      </c>
      <c r="E145" s="176">
        <f>E131+E142</f>
        <v>529.78</v>
      </c>
      <c r="F145" s="177" t="str">
        <f>$E$104</f>
        <v>t CO2e</v>
      </c>
    </row>
    <row r="146" spans="3:41" ht="20.100000000000001" customHeight="1" x14ac:dyDescent="0.25"/>
    <row r="147" spans="3:41" ht="20.100000000000001" customHeight="1" x14ac:dyDescent="0.25"/>
    <row r="148" spans="3:41" ht="20.100000000000001" customHeight="1" x14ac:dyDescent="0.25">
      <c r="C148" s="98"/>
      <c r="D148" s="98"/>
      <c r="E148" s="98"/>
      <c r="F148" s="98"/>
      <c r="G148" s="98"/>
      <c r="H148" s="98"/>
      <c r="I148" s="98"/>
      <c r="J148" s="98"/>
      <c r="K148" s="98"/>
      <c r="L148" s="98"/>
      <c r="M148" s="98"/>
      <c r="N148" s="98"/>
      <c r="O148" s="98"/>
      <c r="P148" s="98"/>
      <c r="Q148" s="98"/>
      <c r="R148" s="98"/>
      <c r="S148" s="98"/>
      <c r="T148" s="98"/>
      <c r="U148" s="98"/>
      <c r="V148" s="98"/>
      <c r="W148" s="98"/>
      <c r="X148" s="98"/>
      <c r="Y148" s="98"/>
      <c r="Z148" s="98"/>
      <c r="AA148" s="98"/>
      <c r="AB148" s="98"/>
      <c r="AC148" s="98"/>
      <c r="AD148" s="98"/>
      <c r="AE148" s="98"/>
      <c r="AF148" s="98"/>
      <c r="AG148" s="98"/>
      <c r="AH148" s="98"/>
      <c r="AI148" s="98"/>
      <c r="AJ148" s="98"/>
      <c r="AK148" s="98"/>
      <c r="AL148" s="98"/>
      <c r="AM148" s="98"/>
      <c r="AN148" s="98"/>
      <c r="AO148" s="98"/>
    </row>
    <row r="149" spans="3:41" ht="20.100000000000001" customHeight="1" x14ac:dyDescent="0.25">
      <c r="D149" s="9" t="str" cm="1">
        <f t="array" ref="D149">Scope3_Equations.VEERG_15_3_1_1__1_EmissionsFromPurchasedMineralSupplements_Title()</f>
        <v>Total emissions from purchased mineral supplements</v>
      </c>
    </row>
    <row r="150" spans="3:41" ht="20.100000000000001" customHeight="1" x14ac:dyDescent="0.25">
      <c r="D150" s="11" t="str" cm="1">
        <f t="array" ref="D150">Scope3_Equations.VEERG_15_3_1_1__1_EmissionsFromPurchasedMineralSupplements_Source()</f>
        <v>VEERG 2026: 15.3.1.1, Equation (1)</v>
      </c>
    </row>
    <row r="151" spans="3:41" ht="20.100000000000001" customHeight="1" x14ac:dyDescent="0.25">
      <c r="D151" s="171" t="s">
        <v>622</v>
      </c>
      <c r="E151" s="171" t="str" cm="1">
        <f t="array" aca="1" ref="E151" ca="1">Common_InputFunctions.Utility_DisplayFunctionName(G162)</f>
        <v>=Scope3_Equations.VEERG_15_3_1_1__1_EmissionsFromPurchasedMineralSupplements</v>
      </c>
    </row>
    <row r="152" spans="3:41" ht="20.100000000000001" customHeight="1" x14ac:dyDescent="0.25"/>
    <row r="153" spans="3:41" ht="20.100000000000001" customHeight="1" x14ac:dyDescent="0.25">
      <c r="H153" s="171"/>
    </row>
    <row r="154" spans="3:41" ht="20.100000000000001" customHeight="1" x14ac:dyDescent="0.25">
      <c r="D154" s="27" t="s">
        <v>623</v>
      </c>
      <c r="E154" s="8" t="str" cm="1">
        <f t="array" ref="E154">Scope3_Equations.VEERG_15_3_1_1__1_EmissionsFromPurchasedMineralSupplements_Variable()</f>
        <v>E</v>
      </c>
    </row>
    <row r="155" spans="3:41" ht="20.100000000000001" customHeight="1" x14ac:dyDescent="0.25">
      <c r="D155" s="27" t="s">
        <v>96</v>
      </c>
      <c r="E155" s="13" t="str" cm="1">
        <f t="array" ref="E155">Scope3_Equations.VEERG_15_3_1_1__1_EmissionsFromPurchasedMineralSupplements_Unit()</f>
        <v>t CO2e</v>
      </c>
    </row>
    <row r="156" spans="3:41" ht="20.100000000000001" customHeight="1" x14ac:dyDescent="0.25"/>
    <row r="157" spans="3:41" ht="20.100000000000001" customHeight="1" x14ac:dyDescent="0.25">
      <c r="D157" s="166" t="str" cm="1">
        <f t="array" ref="D157:E159">_xlfn.CHOOSECOLS(Scope3_Equations.VEERG_15_3_1_1__1_EmissionsFromPurchasedMineralSupplements_Arguments(),1,2)</f>
        <v>Q_m</v>
      </c>
      <c r="E157" s="170" t="str">
        <v>total quantity of mineral supplement type m used</v>
      </c>
      <c r="F157" s="165"/>
      <c r="G157" s="166" t="str" cm="1">
        <f t="array" ref="G157:H159">_xlfn.CHOOSECOLS(Scope3_Equations.VEERG_15_3_1_1__1_EmissionsFromPurchasedMineralSupplements_Arguments(),3,4)</f>
        <v>t</v>
      </c>
      <c r="H157" s="167" t="str">
        <v>Input</v>
      </c>
    </row>
    <row r="158" spans="3:41" ht="20.100000000000001" customHeight="1" x14ac:dyDescent="0.25">
      <c r="D158" s="166" t="str">
        <v>EF_m</v>
      </c>
      <c r="E158" s="170" t="str">
        <v>emission factor of purchased mineral supplement</v>
      </c>
      <c r="F158" s="165"/>
      <c r="G158" s="166" t="str">
        <v>kg CO2e/kg</v>
      </c>
      <c r="H158" s="167" t="str">
        <v>Constant</v>
      </c>
    </row>
    <row r="159" spans="3:41" ht="20.100000000000001" customHeight="1" x14ac:dyDescent="0.25">
      <c r="D159" s="166" t="str">
        <v>m</v>
      </c>
      <c r="E159" s="170" t="str">
        <v>mineral supplement type</v>
      </c>
      <c r="F159" s="165"/>
      <c r="G159" s="166" t="str">
        <v/>
      </c>
      <c r="H159" s="168" t="str">
        <v>Input</v>
      </c>
    </row>
    <row r="160" spans="3:41" ht="20.100000000000001" customHeight="1" x14ac:dyDescent="0.25"/>
    <row r="161" spans="3:41" ht="20.100000000000001" customHeight="1" x14ac:dyDescent="0.25">
      <c r="D161" s="46" t="s">
        <v>212</v>
      </c>
      <c r="E161" s="46" t="s">
        <v>636</v>
      </c>
      <c r="F161" s="57" t="s">
        <v>637</v>
      </c>
      <c r="G161" s="57" t="s">
        <v>629</v>
      </c>
      <c r="H161" s="46" t="s">
        <v>638</v>
      </c>
      <c r="I161" s="57" t="s">
        <v>631</v>
      </c>
      <c r="J161" s="46" t="s">
        <v>625</v>
      </c>
      <c r="K161" s="46" t="s">
        <v>626</v>
      </c>
      <c r="L161" s="46" t="s">
        <v>627</v>
      </c>
    </row>
    <row r="162" spans="3:41" ht="20.100000000000001" customHeight="1" x14ac:dyDescent="0.25">
      <c r="D162" s="49" t="str">
        <f>'Input - Farm Inputs'!D51</f>
        <v>Lick block, dry season mix</v>
      </c>
      <c r="E162" s="49">
        <f>X_Cell_FarmInputs_LickBlocks_DrySeasonMix</f>
        <v>100</v>
      </c>
      <c r="F162" s="49" cm="1">
        <f t="array" ref="F162">Common_InputFunctions.Utility_LookupValueInTableNumber(D162,Table_SourceData_Scope3_LickBlocks[Product],Table_SourceData_Scope3_LickBlocks[AusLCI Emissions intensity])</f>
        <v>0.88100000000000001</v>
      </c>
      <c r="G162" s="150" cm="1">
        <f t="array" ref="G162">Scope3_Equations.VEERG_15_3_1_1__1_EmissionsFromPurchasedMineralSupplements(E162,F162)</f>
        <v>88.1</v>
      </c>
      <c r="H162" s="66">
        <v>0.8</v>
      </c>
      <c r="I162" s="150" cm="1">
        <f t="array" ref="I162">Scope3_Equations.VEERG_15_3_1_1__1_EmissionsFromPurchasedMineralSupplements(E162,IF(H162, H162, F162))</f>
        <v>80</v>
      </c>
      <c r="J162" s="82"/>
      <c r="K162" s="47"/>
      <c r="L162"/>
    </row>
    <row r="163" spans="3:41" ht="20.100000000000001" customHeight="1" x14ac:dyDescent="0.25">
      <c r="D163" s="49" t="str">
        <f>'Input - Farm Inputs'!D52</f>
        <v>Lick block, mineral</v>
      </c>
      <c r="E163" s="49">
        <f>X_Cell_FarmInputs_LickBlocks_Mineral</f>
        <v>100</v>
      </c>
      <c r="F163" s="49" cm="1">
        <f t="array" ref="F163">Common_InputFunctions.Utility_LookupValueInTableNumber(D163,Table_SourceData_Scope3_LickBlocks[Product],Table_SourceData_Scope3_LickBlocks[AusLCI Emissions intensity])</f>
        <v>0.67700000000000005</v>
      </c>
      <c r="G163" s="150" cm="1">
        <f t="array" ref="G163">Scope3_Equations.VEERG_15_3_1_1__1_EmissionsFromPurchasedMineralSupplements(E163,F163)</f>
        <v>67.7</v>
      </c>
      <c r="H163" s="66">
        <v>0.6</v>
      </c>
      <c r="I163" s="150" cm="1">
        <f t="array" ref="I163">Scope3_Equations.VEERG_15_3_1_1__1_EmissionsFromPurchasedMineralSupplements(E163,IF(H163, H163, F163))</f>
        <v>60</v>
      </c>
      <c r="J163" s="82"/>
      <c r="K163" s="47"/>
      <c r="L163" s="82"/>
    </row>
    <row r="164" spans="3:41" ht="20.100000000000001" customHeight="1" x14ac:dyDescent="0.25">
      <c r="D164" s="49" t="str">
        <f>'Input - Farm Inputs'!D53</f>
        <v>Lick block, weaner</v>
      </c>
      <c r="E164" s="49">
        <f>X_Cell_FarmInputs_LickBlocks_Weaner</f>
        <v>100</v>
      </c>
      <c r="F164" s="49" cm="1">
        <f t="array" ref="F164">Common_InputFunctions.Utility_LookupValueInTableNumber(D164,Table_SourceData_Scope3_LickBlocks[Product],Table_SourceData_Scope3_LickBlocks[AusLCI Emissions intensity])</f>
        <v>0.23100000000000001</v>
      </c>
      <c r="G164" s="150" cm="1">
        <f t="array" ref="G164">Scope3_Equations.VEERG_15_3_1_1__1_EmissionsFromPurchasedMineralSupplements(E164,F164)</f>
        <v>23.1</v>
      </c>
      <c r="H164" s="66">
        <v>0.2</v>
      </c>
      <c r="I164" s="150" cm="1">
        <f t="array" ref="I164">Scope3_Equations.VEERG_15_3_1_1__1_EmissionsFromPurchasedMineralSupplements(E164,IF(H164, H164, F164))</f>
        <v>20</v>
      </c>
      <c r="J164" s="82"/>
      <c r="K164" s="47"/>
      <c r="L164" s="82"/>
    </row>
    <row r="165" spans="3:41" ht="20.100000000000001" customHeight="1" x14ac:dyDescent="0.25"/>
    <row r="166" spans="3:41" ht="20.100000000000001" customHeight="1" x14ac:dyDescent="0.25">
      <c r="D166" s="175" t="s">
        <v>629</v>
      </c>
      <c r="E166" s="176">
        <f>SUM(G162:G164)</f>
        <v>178.9</v>
      </c>
      <c r="F166" s="177" t="str">
        <f>$E$155</f>
        <v>t CO2e</v>
      </c>
    </row>
    <row r="167" spans="3:41" ht="20.100000000000001" customHeight="1" x14ac:dyDescent="0.25">
      <c r="D167" s="175" t="s">
        <v>631</v>
      </c>
      <c r="E167" s="176">
        <f>SUM(I162:I164)</f>
        <v>160</v>
      </c>
      <c r="F167" s="177" t="str">
        <f>$E$155</f>
        <v>t CO2e</v>
      </c>
    </row>
    <row r="168" spans="3:41" ht="20.100000000000001" customHeight="1" x14ac:dyDescent="0.25"/>
    <row r="169" spans="3:41" ht="20.100000000000001" customHeight="1" x14ac:dyDescent="0.25"/>
    <row r="170" spans="3:41" ht="20.100000000000001" customHeight="1" x14ac:dyDescent="0.25">
      <c r="C170" s="98"/>
      <c r="D170" s="98"/>
      <c r="E170" s="98"/>
      <c r="F170" s="98"/>
      <c r="G170" s="98"/>
      <c r="H170" s="98"/>
      <c r="I170" s="98"/>
      <c r="J170" s="98"/>
      <c r="K170" s="98"/>
      <c r="L170" s="98"/>
      <c r="M170" s="98"/>
      <c r="N170" s="98"/>
      <c r="O170" s="98"/>
      <c r="P170" s="98"/>
      <c r="Q170" s="98"/>
      <c r="R170" s="98"/>
      <c r="S170" s="98"/>
      <c r="T170" s="98"/>
      <c r="U170" s="98"/>
      <c r="V170" s="98"/>
      <c r="W170" s="98"/>
      <c r="X170" s="98"/>
      <c r="Y170" s="98"/>
      <c r="Z170" s="98"/>
      <c r="AA170" s="98"/>
      <c r="AB170" s="98"/>
      <c r="AC170" s="98"/>
      <c r="AD170" s="98"/>
      <c r="AE170" s="98"/>
      <c r="AF170" s="98"/>
      <c r="AG170" s="98"/>
      <c r="AH170" s="98"/>
      <c r="AI170" s="98"/>
      <c r="AJ170" s="98"/>
      <c r="AK170" s="98"/>
      <c r="AL170" s="98"/>
      <c r="AM170" s="98"/>
      <c r="AN170" s="98"/>
      <c r="AO170" s="98"/>
    </row>
    <row r="171" spans="3:41" ht="20.100000000000001" customHeight="1" x14ac:dyDescent="0.25">
      <c r="D171" s="9" t="str" cm="1">
        <f t="array" ref="D171">Scope3_Equations.VEERG_15_4_1_1__X_EmissionFactorFromPurchasedFertiliserComponents_Title()</f>
        <v>Emission factor for fertiliser product derived from components</v>
      </c>
    </row>
    <row r="172" spans="3:41" ht="20.100000000000001" customHeight="1" x14ac:dyDescent="0.25">
      <c r="D172" s="11" t="str" cm="1">
        <f t="array" ref="D172">Scope3_Equations.VEERG_15_4_1_1__X_EmissionFactorFromPurchasedFertiliserComponents_Source()</f>
        <v>GAF</v>
      </c>
    </row>
    <row r="173" spans="3:41" ht="20.100000000000001" customHeight="1" x14ac:dyDescent="0.25">
      <c r="D173" s="12" t="str" cm="1">
        <f t="array" ref="D173">Scope3_Equations.VEERG_15_4_1_1__X_EmissionFactorFromPurchasedFertiliserComponents_Variation()</f>
        <v>VARIATION ON SOURCE: This equation is added to calculate an EF value from fertiliser components that can be used in 15.4.1.1 (1)</v>
      </c>
    </row>
    <row r="174" spans="3:41" ht="20.100000000000001" customHeight="1" x14ac:dyDescent="0.25">
      <c r="D174" s="171" t="s">
        <v>622</v>
      </c>
      <c r="E174" s="171" t="str" cm="1">
        <f t="array" aca="1" ref="E174" ca="1">Common_InputFunctions.Utility_DisplayFunctionName(F221)</f>
        <v>=Scope3_Equations.VEERG_15_4_1_1__X_EmissionFactorFromPurchasedFertiliserComponents</v>
      </c>
    </row>
    <row r="175" spans="3:41" ht="20.100000000000001" customHeight="1" x14ac:dyDescent="0.25"/>
    <row r="176" spans="3:41" ht="20.100000000000001" customHeight="1" x14ac:dyDescent="0.25"/>
    <row r="177" spans="4:8" ht="20.100000000000001" customHeight="1" x14ac:dyDescent="0.25">
      <c r="D177" s="27" t="s">
        <v>623</v>
      </c>
      <c r="E177" s="8" t="str" cm="1">
        <f t="array" ref="E177">Scope3_Equations.VEERG_15_4_1_1__X_EmissionFactorFromPurchasedFertiliserComponents_Variable()</f>
        <v>EF_f</v>
      </c>
    </row>
    <row r="178" spans="4:8" ht="20.100000000000001" customHeight="1" x14ac:dyDescent="0.25">
      <c r="D178" s="27" t="s">
        <v>96</v>
      </c>
      <c r="E178" s="13" t="str" cm="1">
        <f t="array" ref="E178">Scope3_Equations.VEERG_15_4_1_1__X_EmissionFactorFromPurchasedFertiliserComponents_Unit()</f>
        <v>kg CO2e/kg fertiliser</v>
      </c>
    </row>
    <row r="179" spans="4:8" ht="20.100000000000001" customHeight="1" x14ac:dyDescent="0.25"/>
    <row r="180" spans="4:8" ht="20.100000000000001" customHeight="1" x14ac:dyDescent="0.25">
      <c r="D180" s="166" t="str" cm="1">
        <f t="array" ref="D180:E183">_xlfn.CHOOSECOLS(Scope3_Equations.VEERG_15_4_1_1__X_EmissionFactorFromPurchasedFertiliserComponents_Arguments(),1,2)</f>
        <v>F_cf</v>
      </c>
      <c r="E180" s="170" t="str">
        <v>fraction of component c contained within the inorganic fertiliser f</v>
      </c>
      <c r="F180" s="165"/>
      <c r="G180" s="166" t="str" cm="1">
        <f t="array" ref="G180:H183">_xlfn.CHOOSECOLS(Scope3_Equations.VEERG_15_4_1_1__X_EmissionFactorFromPurchasedFertiliserComponents_Arguments(),3,4)</f>
        <v>wt%</v>
      </c>
      <c r="H180" s="167" t="str">
        <v>Input</v>
      </c>
    </row>
    <row r="181" spans="4:8" ht="20.100000000000001" customHeight="1" x14ac:dyDescent="0.25">
      <c r="D181" s="166" t="str">
        <v>EF_c</v>
      </c>
      <c r="E181" s="170" t="str">
        <v>emission factor for the production of component c</v>
      </c>
      <c r="F181" s="165"/>
      <c r="G181" s="166" t="str">
        <v>kg CO2e/kg component</v>
      </c>
      <c r="H181" s="168" t="str">
        <v>Constant</v>
      </c>
    </row>
    <row r="182" spans="4:8" ht="20.100000000000001" customHeight="1" x14ac:dyDescent="0.25">
      <c r="D182" s="166" t="str">
        <v>c</v>
      </c>
      <c r="E182" s="170" t="str">
        <v>fertiliser component</v>
      </c>
      <c r="F182" s="165"/>
      <c r="G182" s="166" t="str">
        <v/>
      </c>
      <c r="H182" s="167" t="str">
        <v>Input</v>
      </c>
    </row>
    <row r="183" spans="4:8" ht="20.100000000000001" customHeight="1" x14ac:dyDescent="0.25">
      <c r="D183" s="166" t="str">
        <v>f</v>
      </c>
      <c r="E183" s="170" t="str">
        <v>inorganic fertiliser type</v>
      </c>
      <c r="F183" s="165"/>
      <c r="G183" s="166" t="str">
        <v/>
      </c>
      <c r="H183" s="167" t="str">
        <v>Input</v>
      </c>
    </row>
    <row r="184" spans="4:8" ht="20.100000000000001" customHeight="1" x14ac:dyDescent="0.25"/>
    <row r="185" spans="4:8" ht="20.100000000000001" customHeight="1" x14ac:dyDescent="0.25"/>
    <row r="186" spans="4:8" ht="20.100000000000001" customHeight="1" x14ac:dyDescent="0.25">
      <c r="D186" s="9" t="str" cm="1">
        <f t="array" ref="D186">Scope3_Equations.VEERG_15_4_1_1__1_EmissionsFromPurchasedFertiliser_Title()</f>
        <v>Emissions from purchased fertiliser</v>
      </c>
    </row>
    <row r="187" spans="4:8" ht="20.100000000000001" customHeight="1" x14ac:dyDescent="0.25">
      <c r="D187" s="11" t="str" cm="1">
        <f t="array" ref="D187">Scope3_Equations.VEERG_15_4_1_1__1_EmissionsFromPurchasedFertiliser_Source()</f>
        <v>VEERG 2026: 15.4.1.1, Equation (1)</v>
      </c>
    </row>
    <row r="188" spans="4:8" ht="20.100000000000001" customHeight="1" x14ac:dyDescent="0.25">
      <c r="D188" s="171" t="s">
        <v>622</v>
      </c>
      <c r="E188" s="171" t="str" cm="1">
        <f t="array" aca="1" ref="E188" ca="1">Common_InputFunctions.Utility_DisplayFunctionName(G221)</f>
        <v>=Scope3_Equations.VEERG_15_4_1_1__1_EmissionsFromPurchasedFertiliser</v>
      </c>
    </row>
    <row r="189" spans="4:8" ht="20.100000000000001" customHeight="1" x14ac:dyDescent="0.25"/>
    <row r="190" spans="4:8" ht="20.100000000000001" customHeight="1" x14ac:dyDescent="0.25"/>
    <row r="191" spans="4:8" ht="20.100000000000001" customHeight="1" x14ac:dyDescent="0.25">
      <c r="D191" s="27" t="s">
        <v>623</v>
      </c>
      <c r="E191" s="8" t="str" cm="1">
        <f t="array" ref="E191">Scope3_Equations.VEERG_15_4_1_1__1_EmissionsFromPurchasedFertiliser_Variable()</f>
        <v>E</v>
      </c>
    </row>
    <row r="192" spans="4:8" ht="20.100000000000001" customHeight="1" x14ac:dyDescent="0.25">
      <c r="D192" s="27" t="s">
        <v>96</v>
      </c>
      <c r="E192" s="13" t="str" cm="1">
        <f t="array" ref="E192">Scope3_Equations.VEERG_15_4_1_1__1_EmissionsFromPurchasedFertiliser_Unit()</f>
        <v>t CO2e</v>
      </c>
    </row>
    <row r="193" spans="4:8" ht="20.100000000000001" customHeight="1" x14ac:dyDescent="0.25"/>
    <row r="194" spans="4:8" ht="20.100000000000001" customHeight="1" x14ac:dyDescent="0.25">
      <c r="D194" s="166" t="str" cm="1">
        <f t="array" ref="D194:E197">_xlfn.CHOOSECOLS(Scope3_Equations.VEERG_15_4_1_1__1_EmissionsFromPurchasedFertiliser_Arguments(),1,2)</f>
        <v>TM_jf</v>
      </c>
      <c r="E194" s="166" t="str">
        <v>quantity of inorganic fertiliser type f purchased and applied to production system j</v>
      </c>
      <c r="F194" s="166"/>
      <c r="G194" s="166" t="str" cm="1">
        <f t="array" ref="G194:H197">_xlfn.CHOOSECOLS(Scope3_Equations.VEERG_15_4_1_1__1_EmissionsFromPurchasedFertiliser_Arguments(),3,4)</f>
        <v>kg</v>
      </c>
      <c r="H194" s="167" t="str">
        <v>Input</v>
      </c>
    </row>
    <row r="195" spans="4:8" ht="20.100000000000001" customHeight="1" x14ac:dyDescent="0.25">
      <c r="D195" s="166" t="str">
        <v>EF_f</v>
      </c>
      <c r="E195" s="166" t="str">
        <v>emission factor of purchased inorganic fertiliser</v>
      </c>
      <c r="F195" s="166"/>
      <c r="G195" s="166" t="str">
        <v>kg CO2e/kg</v>
      </c>
      <c r="H195" s="168" t="str">
        <v>Constant</v>
      </c>
    </row>
    <row r="196" spans="4:8" ht="20.100000000000001" customHeight="1" x14ac:dyDescent="0.25">
      <c r="D196" s="166" t="str">
        <v>j</v>
      </c>
      <c r="E196" s="166" t="str">
        <v>production system</v>
      </c>
      <c r="F196" s="166"/>
      <c r="G196" s="166" t="str">
        <v/>
      </c>
      <c r="H196" s="167" t="str">
        <v>Input</v>
      </c>
    </row>
    <row r="197" spans="4:8" ht="20.100000000000001" customHeight="1" x14ac:dyDescent="0.25">
      <c r="D197" s="166" t="str">
        <v>f</v>
      </c>
      <c r="E197" s="166" t="str">
        <v>inorganic fertiliser type</v>
      </c>
      <c r="F197" s="166"/>
      <c r="G197" s="166" t="str">
        <v/>
      </c>
      <c r="H197" s="167" t="str">
        <v>Input</v>
      </c>
    </row>
    <row r="198" spans="4:8" ht="20.100000000000001" customHeight="1" x14ac:dyDescent="0.25"/>
    <row r="199" spans="4:8" ht="20.100000000000001" customHeight="1" x14ac:dyDescent="0.25"/>
    <row r="200" spans="4:8" ht="20.100000000000001" customHeight="1" x14ac:dyDescent="0.25">
      <c r="D200" s="9" t="str" cm="1">
        <f t="array" ref="D200">Scope3_Equations.VEERG_15_4_1_1__2_EmissionsFromPurchasedFertiliserComponents_Title()</f>
        <v>Emissions from purchased fertiliser components</v>
      </c>
    </row>
    <row r="201" spans="4:8" ht="20.100000000000001" customHeight="1" x14ac:dyDescent="0.25">
      <c r="D201" s="11" t="str" cm="1">
        <f t="array" ref="D201">Scope3_Equations.VEERG_15_4_1_1__2_EmissionsFromPurchasedFertiliserComponents_Source()</f>
        <v>VEERG 2026: 15.4.1.1, Equation (2)</v>
      </c>
    </row>
    <row r="202" spans="4:8" ht="20.100000000000001" customHeight="1" x14ac:dyDescent="0.25">
      <c r="D202" s="12" t="str" cm="1">
        <f t="array" ref="D202">Scope3_Equations.VEERG_15_4_1_1__2_EmissionsFromPurchasedFertiliserComponents_Variation()</f>
        <v>VARIATION ON SOURCE: removes division by 100 for F_cf, treating F_cf as fraction instead of percent because it is a fraction in scope 1 equations. Convert kg to tonnes by mutiplying by 10^-3.</v>
      </c>
    </row>
    <row r="203" spans="4:8" ht="20.100000000000001" customHeight="1" x14ac:dyDescent="0.25">
      <c r="D203" s="171" t="s">
        <v>622</v>
      </c>
      <c r="E203" s="171" t="str" cm="1">
        <f t="array" aca="1" ref="E203" ca="1">Common_InputFunctions.Utility_DisplayFunctionName(H221)</f>
        <v>=Scope3_Equations.VEERG_15_4_1_1__2_EmissionsFromPurchasedFertiliserComponentsVariation</v>
      </c>
    </row>
    <row r="204" spans="4:8" ht="20.100000000000001" customHeight="1" x14ac:dyDescent="0.25"/>
    <row r="205" spans="4:8" ht="20.100000000000001" customHeight="1" x14ac:dyDescent="0.25"/>
    <row r="206" spans="4:8" ht="20.100000000000001" customHeight="1" x14ac:dyDescent="0.25">
      <c r="D206" s="27" t="s">
        <v>623</v>
      </c>
      <c r="E206" s="8" t="str" cm="1">
        <f t="array" ref="E206">Scope3_Equations.VEERG_15_4_1_1__2_EmissionsFromPurchasedFertiliserComponents_Variable()</f>
        <v>E</v>
      </c>
    </row>
    <row r="207" spans="4:8" ht="20.100000000000001" customHeight="1" x14ac:dyDescent="0.25">
      <c r="D207" s="27" t="s">
        <v>96</v>
      </c>
      <c r="E207" s="13" t="str" cm="1">
        <f t="array" ref="E207">Scope3_Equations.VEERG_15_4_1_1__2_EmissionsFromPurchasedFertiliserComponents_Unit()</f>
        <v>t CO2e</v>
      </c>
    </row>
    <row r="208" spans="4:8" ht="20.100000000000001" customHeight="1" x14ac:dyDescent="0.25"/>
    <row r="209" spans="4:40" ht="20.100000000000001" customHeight="1" x14ac:dyDescent="0.25">
      <c r="D209" s="166" t="str" cm="1">
        <f t="array" ref="D209:E214">_xlfn.CHOOSECOLS(Scope3_Equations.VEERG_15_4_1_1__2_EmissionsFromPurchasedFertiliserComponents_Arguments(),1,2)</f>
        <v>F_cf</v>
      </c>
      <c r="E209" s="170" t="str">
        <v>fraction of component c contained within the inorganic fertiliser f</v>
      </c>
      <c r="F209" s="165"/>
      <c r="G209" s="166" t="str" cm="1">
        <f t="array" ref="G209:H214">_xlfn.CHOOSECOLS(Scope3_Equations.VEERG_15_4_1_1__2_EmissionsFromPurchasedFertiliserComponents_Arguments(),3,4)</f>
        <v>wt%</v>
      </c>
      <c r="H209" s="167" t="str">
        <v>Input</v>
      </c>
    </row>
    <row r="210" spans="4:40" ht="20.100000000000001" customHeight="1" x14ac:dyDescent="0.25">
      <c r="D210" s="166" t="str">
        <v>TM_jf</v>
      </c>
      <c r="E210" s="170" t="str">
        <v>quantity of inorganic fertiliser type f purchased and applied to production system j</v>
      </c>
      <c r="F210" s="165"/>
      <c r="G210" s="166" t="str">
        <v>kg</v>
      </c>
      <c r="H210" s="168" t="str">
        <v>Input</v>
      </c>
    </row>
    <row r="211" spans="4:40" ht="20.100000000000001" customHeight="1" x14ac:dyDescent="0.25">
      <c r="D211" s="166" t="str">
        <v>EF_c</v>
      </c>
      <c r="E211" s="170" t="str">
        <v>emission factor for the production of component c</v>
      </c>
      <c r="F211" s="165"/>
      <c r="G211" s="166" t="str">
        <v>kg CO2e/kg component</v>
      </c>
      <c r="H211" s="168" t="str">
        <v>Constant</v>
      </c>
    </row>
    <row r="212" spans="4:40" ht="20.100000000000001" customHeight="1" x14ac:dyDescent="0.25">
      <c r="D212" s="166" t="str">
        <v>c</v>
      </c>
      <c r="E212" s="170" t="str">
        <v>fertiliser component</v>
      </c>
      <c r="F212" s="165"/>
      <c r="G212" s="166" t="str">
        <v/>
      </c>
      <c r="H212" s="167" t="str">
        <v>Input</v>
      </c>
    </row>
    <row r="213" spans="4:40" ht="20.100000000000001" customHeight="1" x14ac:dyDescent="0.25">
      <c r="D213" s="166" t="str">
        <v>f</v>
      </c>
      <c r="E213" s="170" t="str">
        <v>inorganic fertiliser type</v>
      </c>
      <c r="F213" s="165"/>
      <c r="G213" s="166" t="str">
        <v/>
      </c>
      <c r="H213" s="167" t="str">
        <v>Input</v>
      </c>
    </row>
    <row r="214" spans="4:40" ht="20.100000000000001" customHeight="1" x14ac:dyDescent="0.25">
      <c r="D214" s="166" t="str">
        <v>j</v>
      </c>
      <c r="E214" s="170" t="str">
        <v>production system</v>
      </c>
      <c r="F214" s="165"/>
      <c r="G214" s="166" t="str">
        <v/>
      </c>
      <c r="H214" s="167" t="str">
        <v>Input</v>
      </c>
    </row>
    <row r="215" spans="4:40" ht="20.100000000000001" customHeight="1" x14ac:dyDescent="0.25"/>
    <row r="216" spans="4:40" ht="20.100000000000001" customHeight="1" x14ac:dyDescent="0.25">
      <c r="D216" s="144" t="s">
        <v>363</v>
      </c>
    </row>
    <row r="217" spans="4:40" ht="20.100000000000001" customHeight="1" x14ac:dyDescent="0.25"/>
    <row r="218" spans="4:40" ht="20.100000000000001" customHeight="1" x14ac:dyDescent="0.25">
      <c r="D218" s="95" t="s">
        <v>362</v>
      </c>
      <c r="E218" s="110"/>
      <c r="F218" s="96"/>
    </row>
    <row r="219" spans="4:40" ht="20.100000000000001" customHeight="1" x14ac:dyDescent="0.25"/>
    <row r="220" spans="4:40" ht="20.100000000000001" customHeight="1" x14ac:dyDescent="0.25">
      <c r="D220" s="46" t="s">
        <v>212</v>
      </c>
      <c r="E220" s="46" t="s">
        <v>350</v>
      </c>
      <c r="F220" s="57" t="s">
        <v>664</v>
      </c>
      <c r="G220" s="57" t="s">
        <v>648</v>
      </c>
      <c r="H220" s="57" t="s">
        <v>647</v>
      </c>
      <c r="I220" s="46" t="s">
        <v>665</v>
      </c>
      <c r="J220" s="57" t="s">
        <v>649</v>
      </c>
      <c r="K220" s="57" t="s">
        <v>650</v>
      </c>
      <c r="L220" s="46" t="s">
        <v>625</v>
      </c>
      <c r="M220" s="46" t="s">
        <v>626</v>
      </c>
      <c r="N220" s="46" t="s">
        <v>627</v>
      </c>
      <c r="O220" s="57" t="s">
        <v>171</v>
      </c>
      <c r="P220" s="57" t="s">
        <v>172</v>
      </c>
      <c r="Q220" s="57" t="s">
        <v>173</v>
      </c>
      <c r="R220" s="57" t="s">
        <v>174</v>
      </c>
      <c r="S220" s="57" t="s">
        <v>652</v>
      </c>
      <c r="T220" s="46" t="s">
        <v>653</v>
      </c>
      <c r="U220" s="57" t="s">
        <v>175</v>
      </c>
      <c r="V220" s="57" t="s">
        <v>176</v>
      </c>
      <c r="W220" s="57" t="s">
        <v>654</v>
      </c>
      <c r="X220" s="46" t="s">
        <v>655</v>
      </c>
      <c r="Y220" s="57" t="s">
        <v>177</v>
      </c>
      <c r="Z220" s="57" t="s">
        <v>178</v>
      </c>
      <c r="AA220" s="57" t="s">
        <v>656</v>
      </c>
      <c r="AB220" s="46" t="s">
        <v>657</v>
      </c>
      <c r="AC220" s="57" t="s">
        <v>179</v>
      </c>
      <c r="AD220" s="57" t="s">
        <v>180</v>
      </c>
      <c r="AE220" s="57" t="s">
        <v>658</v>
      </c>
      <c r="AF220" s="46" t="s">
        <v>659</v>
      </c>
      <c r="AG220" s="57" t="s">
        <v>181</v>
      </c>
      <c r="AH220" s="57" t="s">
        <v>182</v>
      </c>
      <c r="AI220" s="57" t="s">
        <v>660</v>
      </c>
      <c r="AJ220" s="46" t="s">
        <v>661</v>
      </c>
      <c r="AK220" s="57" t="s">
        <v>183</v>
      </c>
      <c r="AL220" s="57" t="s">
        <v>184</v>
      </c>
      <c r="AM220" s="57" t="s">
        <v>662</v>
      </c>
      <c r="AN220" s="46" t="s">
        <v>663</v>
      </c>
    </row>
    <row r="221" spans="4:40" ht="20.100000000000001" customHeight="1" x14ac:dyDescent="0.25">
      <c r="D221" s="49" t="str" cm="1">
        <f t="array" ref="D221:D230">IFERROR(INDEX(Table_Input_InorganicFertiliser_Brands[Product (select)], _xlfn.SEQUENCE(10)), "")</f>
        <v>Aqua Finish</v>
      </c>
      <c r="E221" s="49" cm="1">
        <f t="array" ref="E221:E230">IFERROR(INDEX(Table_Input_InorganicFertiliser_Brands[Total applied (kg)], _xlfn.SEQUENCE(10)), 0)</f>
        <v>12600</v>
      </c>
      <c r="F221" s="49" cm="1">
        <f t="array" ref="F221">Scope3_Equations.VEERG_15_4_1_1__X_EmissionFactorFromPurchasedFertiliserComponents(R221,S221)+
Scope3_Equations.VEERG_15_4_1_1__X_EmissionFactorFromPurchasedFertiliserComponents(V221,W221)+
Scope3_Equations.VEERG_15_4_1_1__X_EmissionFactorFromPurchasedFertiliserComponents(Z221,AA221)+
Scope3_Equations.VEERG_15_4_1_1__X_EmissionFactorFromPurchasedFertiliserComponents(AD221,AE221)+
Scope3_Equations.VEERG_15_4_1_1__X_EmissionFactorFromPurchasedFertiliserComponents(AH221,AI221)+
Scope3_Equations.VEERG_15_4_1_1__X_EmissionFactorFromPurchasedFertiliserComponents(AL221,AM221)</f>
        <v>0.47212500000000007</v>
      </c>
      <c r="G221" s="150" cm="1">
        <f t="array" ref="G221">Scope3_Equations.VEERG_15_4_1_1__1_EmissionsFromPurchasedFertiliser(E221,F221)</f>
        <v>5.9487750000000004</v>
      </c>
      <c r="H221" s="49" cm="1">
        <f t="array" ref="H221">Scope3_Equations.VEERG_15_4_1_1__2_EmissionsFromPurchasedFertiliserComponentsVariation(R221, $E221,S221)+
Scope3_Equations.VEERG_15_4_1_1__2_EmissionsFromPurchasedFertiliserComponentsVariation(V221, $E221,W221)+
Scope3_Equations.VEERG_15_4_1_1__2_EmissionsFromPurchasedFertiliserComponentsVariation(Z221, $E221,AA221)+
Scope3_Equations.VEERG_15_4_1_1__2_EmissionsFromPurchasedFertiliserComponentsVariation(AD221, $E221,AE221)+
Scope3_Equations.VEERG_15_4_1_1__2_EmissionsFromPurchasedFertiliserComponentsVariation(AH221, $E221,AI221)+
Scope3_Equations.VEERG_15_4_1_1__2_EmissionsFromPurchasedFertiliserComponentsVariation(AL221, $E221,AM221)</f>
        <v>5.9487749999999995</v>
      </c>
      <c r="I221" s="66">
        <v>0.4</v>
      </c>
      <c r="J221" s="150" cm="1">
        <f t="array" ref="J221">Scope3_Equations.VEERG_15_4_1_1__1_EmissionsFromPurchasedFertiliser(E221,I221)</f>
        <v>5.04</v>
      </c>
      <c r="K221" s="150" cm="1">
        <f t="array" ref="K221">Scope3_Equations.VEERG_15_4_1_1__2_EmissionsFromPurchasedFertiliserComponentsVariation(R221, $E221,IF(T221,T221,S221))+
Scope3_Equations.VEERG_15_4_1_1__2_EmissionsFromPurchasedFertiliserComponentsVariation(V221, $E221,IF(X221,X221,W221))+
Scope3_Equations.VEERG_15_4_1_1__2_EmissionsFromPurchasedFertiliserComponentsVariation(Z221, $E221,IF(AB221,AB221,AA221))+
Scope3_Equations.VEERG_15_4_1_1__2_EmissionsFromPurchasedFertiliserComponentsVariation(AD221, $E221,IF(AF221,AF221,AE221))+
Scope3_Equations.VEERG_15_4_1_1__2_EmissionsFromPurchasedFertiliserComponentsVariation(AH221, $E221,IF(AJ221,AJ221,AI221))+
Scope3_Equations.VEERG_15_4_1_1__2_EmissionsFromPurchasedFertiliserComponentsVariation(AL221, $E221,IF(AN221,AN221,AM221))</f>
        <v>4.3155000000000001</v>
      </c>
      <c r="L221" s="82"/>
      <c r="M221" s="47"/>
      <c r="N221"/>
      <c r="O221" s="49" t="str" cm="1">
        <f t="array" ref="O221:O230">IFERROR(INDEX(Table_Input_InorganicFertiliser_Brands[Urea source], _xlfn.SEQUENCE(10)), "")</f>
        <v/>
      </c>
      <c r="P221" s="49" t="str" cm="1">
        <f t="array" ref="P221:P230">IFERROR(INDEX(Table_Input_InorganicFertiliser_Brands[Ammonia source], _xlfn.SEQUENCE(10)), "")</f>
        <v/>
      </c>
      <c r="Q221" s="49" t="str" cm="1">
        <f t="array" ref="Q221:Q230">IFERROR(INDEX(Table_Input_InorganicFertiliser_Brands[Ingredient 1], _xlfn.SEQUENCE(10)), "")</f>
        <v>Potassium - Generic</v>
      </c>
      <c r="R221" s="49" cm="1">
        <f t="array" ref="R221:R230">IFERROR(INDEX(_xlfn.LET(_xlpm.result, Table_Input_InorganicFertiliser_Brands[Ingredient 1 percent], IF(_xlpm.result="", 0, _xlpm.result)), _xlfn.SEQUENCE(10)), 0)</f>
        <v>0.22500000000000001</v>
      </c>
      <c r="S221" s="49" cm="1">
        <f t="array" ref="S221">_xlfn.LET(_xlpm.result, Common_InputFunctions.Utility_LookupValueInTableTwoColumns(Q221, _xlfn.IFS(Q221="Urea",IF($O221="", "Global", $O221), Q221="Ammonia", IF($P221="", "Global", $P221), TRUE, "Global"), Table_SourceData_Scope3_InorganicFertiliser[Chemical compound],Table_SourceData_Scope3_InorganicFertiliser[Region of origin],Table_SourceData_Scope3_InorganicFertiliser[AusLCI Emissions intensity]), IF(_xlpm.result="", 0, _xlpm.result))</f>
        <v>0.90900000000000003</v>
      </c>
      <c r="T221" s="66">
        <v>0.9</v>
      </c>
      <c r="U221" s="49" t="str" cm="1">
        <f t="array" ref="U221:U230">IFERROR(INDEX(Table_Input_InorganicFertiliser_Brands[Ingredient 2], _xlfn.SEQUENCE(10)), "")</f>
        <v>Phosphorus - Generic</v>
      </c>
      <c r="V221" s="49" cm="1">
        <f t="array" ref="V221:V230">IFERROR(INDEX(_xlfn.LET(_xlpm.result, Table_Input_InorganicFertiliser_Brands[Ingredient 2 percent], IF(_xlpm.result="", 0, _xlpm.result)), _xlfn.SEQUENCE(10)), 0)</f>
        <v>0.04</v>
      </c>
      <c r="W221" s="49" cm="1">
        <f t="array" ref="W221">_xlfn.LET(_xlpm.result, Common_InputFunctions.Utility_LookupValueInTableTwoColumns(U221, _xlfn.IFS(U221="Urea",IF($O221="", "Global", $O221), U221="Ammonia", IF($P221="", "Global", $P221), TRUE, "Global"), Table_SourceData_Scope3_InorganicFertiliser[Chemical compound],Table_SourceData_Scope3_InorganicFertiliser[Region of origin],Table_SourceData_Scope3_InorganicFertiliser[AusLCI Emissions intensity]), IF(_xlpm.result="", 0, _xlpm.result))</f>
        <v>3.96</v>
      </c>
      <c r="X221" s="66">
        <v>0.9</v>
      </c>
      <c r="Y221" s="49" t="str" cm="1">
        <f t="array" ref="Y221:Y230">IFERROR(INDEX(Table_Input_InorganicFertiliser_Brands[Ingredient 3], _xlfn.SEQUENCE(10)), "")</f>
        <v>Nitrogen - Generic</v>
      </c>
      <c r="Z221" s="49" cm="1">
        <f t="array" ref="Z221:Z230">IFERROR(INDEX(_xlfn.LET(_xlpm.result, Table_Input_InorganicFertiliser_Brands[Ingredient 3 percent], IF(_xlpm.result="", 0, _xlpm.result)), _xlfn.SEQUENCE(10)), 0)</f>
        <v>2.5999999999999999E-2</v>
      </c>
      <c r="AA221" s="49" cm="1">
        <f t="array" ref="AA221">_xlfn.LET(_xlpm.result, Common_InputFunctions.Utility_LookupValueInTableTwoColumns(Y221, _xlfn.IFS(Y221="Urea",IF($O221="", "Global", $O221), Y221="Ammonia", IF($P221="", "Global", $P221), TRUE, "Global"), Table_SourceData_Scope3_InorganicFertiliser[Chemical compound],Table_SourceData_Scope3_InorganicFertiliser[Region of origin],Table_SourceData_Scope3_InorganicFertiliser[AusLCI Emissions intensity]), IF(_xlpm.result="", 0, _xlpm.result))</f>
        <v>4.2</v>
      </c>
      <c r="AB221" s="66">
        <v>4</v>
      </c>
      <c r="AC221" s="49" t="str" cm="1">
        <f t="array" ref="AC221:AC230">IFERROR(INDEX(Table_Input_InorganicFertiliser_Brands[Ingredient 4], _xlfn.SEQUENCE(10)), "")</f>
        <v/>
      </c>
      <c r="AD221" s="49" cm="1">
        <f t="array" ref="AD221:AD230">IFERROR(INDEX(_xlfn.LET(_xlpm.result, Table_Input_InorganicFertiliser_Brands[Ingredient 4 percent], IF(_xlpm.result="", 0, _xlpm.result)), _xlfn.SEQUENCE(10)), 0)</f>
        <v>0</v>
      </c>
      <c r="AE221" s="49" cm="1">
        <f t="array" ref="AE221">_xlfn.LET(_xlpm.result, Common_InputFunctions.Utility_LookupValueInTableTwoColumns(AC221, _xlfn.IFS(AC221="Urea",IF($O221="", "Global", $O221), AC221="Ammonia", IF($P221="", "Global", $P221), TRUE, "Global"), Table_SourceData_Scope3_InorganicFertiliser[Chemical compound],Table_SourceData_Scope3_InorganicFertiliser[Region of origin],Table_SourceData_Scope3_InorganicFertiliser[AusLCI Emissions intensity]), IF(_xlpm.result="", 0, _xlpm.result))</f>
        <v>0</v>
      </c>
      <c r="AF221" s="66">
        <v>0</v>
      </c>
      <c r="AG221" s="49" t="str" cm="1">
        <f t="array" ref="AG221:AG230">IFERROR(INDEX(Table_Input_InorganicFertiliser_Brands[Ingredient 5], _xlfn.SEQUENCE(10)), "")</f>
        <v/>
      </c>
      <c r="AH221" s="49" cm="1">
        <f t="array" ref="AH221:AH230">IFERROR(INDEX(_xlfn.LET(_xlpm.result, Table_Input_InorganicFertiliser_Brands[Ingredient 5 percent], IF(_xlpm.result="", 0, _xlpm.result)), _xlfn.SEQUENCE(10)), 0)</f>
        <v>0</v>
      </c>
      <c r="AI221" s="49" cm="1">
        <f t="array" ref="AI221">_xlfn.LET(_xlpm.result, Common_InputFunctions.Utility_LookupValueInTableTwoColumns(AG221, _xlfn.IFS(AG221="Urea",IF($O221="", "Global", $O221), AG221="Ammonia", IF($P221="", "Global", $P221), TRUE, "Global"), Table_SourceData_Scope3_InorganicFertiliser[Chemical compound],Table_SourceData_Scope3_InorganicFertiliser[Region of origin],Table_SourceData_Scope3_InorganicFertiliser[AusLCI Emissions intensity]), IF(_xlpm.result="", 0, _xlpm.result))</f>
        <v>0</v>
      </c>
      <c r="AJ221" s="66">
        <v>0</v>
      </c>
      <c r="AK221" s="49" t="str" cm="1">
        <f t="array" ref="AK221:AK230">IFERROR(INDEX(Table_Input_InorganicFertiliser_Brands[Ingredient 6], _xlfn.SEQUENCE(10)), "")</f>
        <v/>
      </c>
      <c r="AL221" s="49" cm="1">
        <f t="array" ref="AL221:AL230">IFERROR(INDEX(_xlfn.LET(_xlpm.result, Table_Input_InorganicFertiliser_Brands[Ingredient 6 percent], IF(_xlpm.result="", 0, _xlpm.result)), _xlfn.SEQUENCE(10)), 0)</f>
        <v>0</v>
      </c>
      <c r="AM221" s="49" cm="1">
        <f t="array" ref="AM221">_xlfn.LET(_xlpm.result, Common_InputFunctions.Utility_LookupValueInTableTwoColumns(AK221, _xlfn.IFS(AK221="Urea",IF($O221="", "Global", $O221), AK221="Ammonia", IF($P221="", "Global", $P221), TRUE, "Global"), Table_SourceData_Scope3_InorganicFertiliser[Chemical compound],Table_SourceData_Scope3_InorganicFertiliser[Region of origin],Table_SourceData_Scope3_InorganicFertiliser[AusLCI Emissions intensity]), IF(_xlpm.result="", 0, _xlpm.result))</f>
        <v>0</v>
      </c>
      <c r="AN221" s="66"/>
    </row>
    <row r="222" spans="4:40" ht="20.100000000000001" customHeight="1" x14ac:dyDescent="0.25">
      <c r="D222" s="49" t="str">
        <v>CalPhos</v>
      </c>
      <c r="E222" s="49">
        <v>12850</v>
      </c>
      <c r="F222" s="49" cm="1">
        <f t="array" ref="F222">Scope3_Equations.VEERG_15_4_1_1__X_EmissionFactorFromPurchasedFertiliserComponents(R222,S222)+
Scope3_Equations.VEERG_15_4_1_1__X_EmissionFactorFromPurchasedFertiliserComponents(V222,W222)+
Scope3_Equations.VEERG_15_4_1_1__X_EmissionFactorFromPurchasedFertiliserComponents(Z222,AA222)+
Scope3_Equations.VEERG_15_4_1_1__X_EmissionFactorFromPurchasedFertiliserComponents(AD222,AE222)+
Scope3_Equations.VEERG_15_4_1_1__X_EmissionFactorFromPurchasedFertiliserComponents(AH222,AI222)+
Scope3_Equations.VEERG_15_4_1_1__X_EmissionFactorFromPurchasedFertiliserComponents(AL222,AM222)</f>
        <v>0.53460000000000008</v>
      </c>
      <c r="G222" s="150" cm="1">
        <f t="array" ref="G222">Scope3_Equations.VEERG_15_4_1_1__1_EmissionsFromPurchasedFertiliser(E222,F222)</f>
        <v>6.8696100000000007</v>
      </c>
      <c r="H222" s="49" cm="1">
        <f t="array" ref="H222">Scope3_Equations.VEERG_15_4_1_1__2_EmissionsFromPurchasedFertiliserComponentsVariation(R222, $E222,S222)+
Scope3_Equations.VEERG_15_4_1_1__2_EmissionsFromPurchasedFertiliserComponentsVariation(V222, $E222,W222)+
Scope3_Equations.VEERG_15_4_1_1__2_EmissionsFromPurchasedFertiliserComponentsVariation(Z222, $E222,AA222)+
Scope3_Equations.VEERG_15_4_1_1__2_EmissionsFromPurchasedFertiliserComponentsVariation(AD222, $E222,AE222)+
Scope3_Equations.VEERG_15_4_1_1__2_EmissionsFromPurchasedFertiliserComponentsVariation(AH222, $E222,AI222)+
Scope3_Equations.VEERG_15_4_1_1__2_EmissionsFromPurchasedFertiliserComponentsVariation(AL222, $E222,AM222)</f>
        <v>6.8696100000000007</v>
      </c>
      <c r="I222" s="66">
        <v>0.9</v>
      </c>
      <c r="J222" s="150" cm="1">
        <f t="array" ref="J222">Scope3_Equations.VEERG_15_4_1_1__1_EmissionsFromPurchasedFertiliser(E222,I222)</f>
        <v>11.565</v>
      </c>
      <c r="K222" s="150" cm="1">
        <f t="array" ref="K222">Scope3_Equations.VEERG_15_4_1_1__2_EmissionsFromPurchasedFertiliserComponentsVariation(R222, $E222,IF(T222,T222,S222))+
Scope3_Equations.VEERG_15_4_1_1__2_EmissionsFromPurchasedFertiliserComponentsVariation(V222, $E222,IF(X222,X222,W222))+
Scope3_Equations.VEERG_15_4_1_1__2_EmissionsFromPurchasedFertiliserComponentsVariation(Z222, $E222,IF(AB222,AB222,AA222))+
Scope3_Equations.VEERG_15_4_1_1__2_EmissionsFromPurchasedFertiliserComponentsVariation(AD222, $E222,IF(AF222,AF222,AE222))+
Scope3_Equations.VEERG_15_4_1_1__2_EmissionsFromPurchasedFertiliserComponentsVariation(AH222, $E222,IF(AJ222,AJ222,AI222))+
Scope3_Equations.VEERG_15_4_1_1__2_EmissionsFromPurchasedFertiliserComponentsVariation(AL222, $E222,IF(AN222,AN222,AM222))</f>
        <v>6.8696100000000007</v>
      </c>
      <c r="L222" s="82"/>
      <c r="M222" s="47"/>
      <c r="N222" s="82"/>
      <c r="O222" s="49" t="str">
        <v/>
      </c>
      <c r="P222" s="49" t="str">
        <v/>
      </c>
      <c r="Q222" s="49" t="str">
        <v>Phosphorus - Generic</v>
      </c>
      <c r="R222" s="49">
        <v>0.13500000000000001</v>
      </c>
      <c r="S222" s="49" cm="1">
        <f t="array" ref="S222">_xlfn.LET(_xlpm.result, Common_InputFunctions.Utility_LookupValueInTableTwoColumns(Q222, _xlfn.IFS(Q222="Urea",IF($O222="", "Global", $O222), Q222="Ammonia", IF($P222="", "Global", $P222), TRUE, "Global"), Table_SourceData_Scope3_InorganicFertiliser[Chemical compound],Table_SourceData_Scope3_InorganicFertiliser[Region of origin],Table_SourceData_Scope3_InorganicFertiliser[AusLCI Emissions intensity]), IF(_xlpm.result="", 0, _xlpm.result))</f>
        <v>3.96</v>
      </c>
      <c r="T222" s="66"/>
      <c r="U222" s="49" t="str">
        <v>Calcium - Generic</v>
      </c>
      <c r="V222" s="49">
        <v>0.04</v>
      </c>
      <c r="W222" s="49" cm="1">
        <f t="array" ref="W222">_xlfn.LET(_xlpm.result, Common_InputFunctions.Utility_LookupValueInTableTwoColumns(U222, _xlfn.IFS(U222="Urea",IF($O222="", "Global", $O222), U222="Ammonia", IF($P222="", "Global", $P222), TRUE, "Global"), Table_SourceData_Scope3_InorganicFertiliser[Chemical compound],Table_SourceData_Scope3_InorganicFertiliser[Region of origin],Table_SourceData_Scope3_InorganicFertiliser[AusLCI Emissions intensity]), IF(_xlpm.result="", 0, _xlpm.result))</f>
        <v>0</v>
      </c>
      <c r="X222" s="66"/>
      <c r="Y222" s="49" t="str">
        <v/>
      </c>
      <c r="Z222" s="49">
        <v>0</v>
      </c>
      <c r="AA222" s="49" cm="1">
        <f t="array" ref="AA222">_xlfn.LET(_xlpm.result, Common_InputFunctions.Utility_LookupValueInTableTwoColumns(Y222, _xlfn.IFS(Y222="Urea",IF($O222="", "Global", $O222), Y222="Ammonia", IF($P222="", "Global", $P222), TRUE, "Global"), Table_SourceData_Scope3_InorganicFertiliser[Chemical compound],Table_SourceData_Scope3_InorganicFertiliser[Region of origin],Table_SourceData_Scope3_InorganicFertiliser[AusLCI Emissions intensity]), IF(_xlpm.result="", 0, _xlpm.result))</f>
        <v>0</v>
      </c>
      <c r="AB222" s="66"/>
      <c r="AC222" s="49" t="str">
        <v/>
      </c>
      <c r="AD222" s="49">
        <v>0</v>
      </c>
      <c r="AE222" s="49" cm="1">
        <f t="array" ref="AE222">_xlfn.LET(_xlpm.result, Common_InputFunctions.Utility_LookupValueInTableTwoColumns(AC222, _xlfn.IFS(AC222="Urea",IF($O222="", "Global", $O222), AC222="Ammonia", IF($P222="", "Global", $P222), TRUE, "Global"), Table_SourceData_Scope3_InorganicFertiliser[Chemical compound],Table_SourceData_Scope3_InorganicFertiliser[Region of origin],Table_SourceData_Scope3_InorganicFertiliser[AusLCI Emissions intensity]), IF(_xlpm.result="", 0, _xlpm.result))</f>
        <v>0</v>
      </c>
      <c r="AF222" s="66"/>
      <c r="AG222" s="49" t="str">
        <v/>
      </c>
      <c r="AH222" s="49">
        <v>0</v>
      </c>
      <c r="AI222" s="49" cm="1">
        <f t="array" ref="AI222">_xlfn.LET(_xlpm.result, Common_InputFunctions.Utility_LookupValueInTableTwoColumns(AG222, _xlfn.IFS(AG222="Urea",IF($O222="", "Global", $O222), AG222="Ammonia", IF($P222="", "Global", $P222), TRUE, "Global"), Table_SourceData_Scope3_InorganicFertiliser[Chemical compound],Table_SourceData_Scope3_InorganicFertiliser[Region of origin],Table_SourceData_Scope3_InorganicFertiliser[AusLCI Emissions intensity]), IF(_xlpm.result="", 0, _xlpm.result))</f>
        <v>0</v>
      </c>
      <c r="AJ222" s="66"/>
      <c r="AK222" s="49" t="str">
        <v/>
      </c>
      <c r="AL222" s="49">
        <v>0</v>
      </c>
      <c r="AM222" s="49" cm="1">
        <f t="array" ref="AM222">_xlfn.LET(_xlpm.result, Common_InputFunctions.Utility_LookupValueInTableTwoColumns(AK222, _xlfn.IFS(AK222="Urea",IF($O222="", "Global", $O222), AK222="Ammonia", IF($P222="", "Global", $P222), TRUE, "Global"), Table_SourceData_Scope3_InorganicFertiliser[Chemical compound],Table_SourceData_Scope3_InorganicFertiliser[Region of origin],Table_SourceData_Scope3_InorganicFertiliser[AusLCI Emissions intensity]), IF(_xlpm.result="", 0, _xlpm.result))</f>
        <v>0</v>
      </c>
      <c r="AN222" s="66"/>
    </row>
    <row r="223" spans="4:40" ht="20.100000000000001" customHeight="1" x14ac:dyDescent="0.25">
      <c r="D223" s="49" t="str">
        <v>CalPhos</v>
      </c>
      <c r="E223" s="49">
        <v>12850</v>
      </c>
      <c r="F223" s="49" cm="1">
        <f t="array" ref="F223">Scope3_Equations.VEERG_15_4_1_1__X_EmissionFactorFromPurchasedFertiliserComponents(R223,S223)+
Scope3_Equations.VEERG_15_4_1_1__X_EmissionFactorFromPurchasedFertiliserComponents(V223,W223)+
Scope3_Equations.VEERG_15_4_1_1__X_EmissionFactorFromPurchasedFertiliserComponents(Z223,AA223)+
Scope3_Equations.VEERG_15_4_1_1__X_EmissionFactorFromPurchasedFertiliserComponents(AD223,AE223)+
Scope3_Equations.VEERG_15_4_1_1__X_EmissionFactorFromPurchasedFertiliserComponents(AH223,AI223)+
Scope3_Equations.VEERG_15_4_1_1__X_EmissionFactorFromPurchasedFertiliserComponents(AL223,AM223)</f>
        <v>0.53460000000000008</v>
      </c>
      <c r="G223" s="150" cm="1">
        <f t="array" ref="G223">Scope3_Equations.VEERG_15_4_1_1__1_EmissionsFromPurchasedFertiliser(E223,F223)</f>
        <v>6.8696100000000007</v>
      </c>
      <c r="H223" s="49" cm="1">
        <f t="array" ref="H223">Scope3_Equations.VEERG_15_4_1_1__2_EmissionsFromPurchasedFertiliserComponentsVariation(R223, $E223,S223)+
Scope3_Equations.VEERG_15_4_1_1__2_EmissionsFromPurchasedFertiliserComponentsVariation(V223, $E223,W223)+
Scope3_Equations.VEERG_15_4_1_1__2_EmissionsFromPurchasedFertiliserComponentsVariation(Z223, $E223,AA223)+
Scope3_Equations.VEERG_15_4_1_1__2_EmissionsFromPurchasedFertiliserComponentsVariation(AD223, $E223,AE223)+
Scope3_Equations.VEERG_15_4_1_1__2_EmissionsFromPurchasedFertiliserComponentsVariation(AH223, $E223,AI223)+
Scope3_Equations.VEERG_15_4_1_1__2_EmissionsFromPurchasedFertiliserComponentsVariation(AL223, $E223,AM223)</f>
        <v>6.8696100000000007</v>
      </c>
      <c r="I223" s="66">
        <v>0.4</v>
      </c>
      <c r="J223" s="150" cm="1">
        <f t="array" ref="J223">Scope3_Equations.VEERG_15_4_1_1__1_EmissionsFromPurchasedFertiliser(E223,I223)</f>
        <v>5.14</v>
      </c>
      <c r="K223" s="150" cm="1">
        <f t="array" ref="K223">Scope3_Equations.VEERG_15_4_1_1__2_EmissionsFromPurchasedFertiliserComponentsVariation(R223, $E223,IF(T223,T223,S223))+
Scope3_Equations.VEERG_15_4_1_1__2_EmissionsFromPurchasedFertiliserComponentsVariation(V223, $E223,IF(X223,X223,W223))+
Scope3_Equations.VEERG_15_4_1_1__2_EmissionsFromPurchasedFertiliserComponentsVariation(Z223, $E223,IF(AB223,AB223,AA223))+
Scope3_Equations.VEERG_15_4_1_1__2_EmissionsFromPurchasedFertiliserComponentsVariation(AD223, $E223,IF(AF223,AF223,AE223))+
Scope3_Equations.VEERG_15_4_1_1__2_EmissionsFromPurchasedFertiliserComponentsVariation(AH223, $E223,IF(AJ223,AJ223,AI223))+
Scope3_Equations.VEERG_15_4_1_1__2_EmissionsFromPurchasedFertiliserComponentsVariation(AL223, $E223,IF(AN223,AN223,AM223))</f>
        <v>6.8696100000000007</v>
      </c>
      <c r="L223" s="82"/>
      <c r="M223" s="47"/>
      <c r="N223" s="82"/>
      <c r="O223" s="49" t="str">
        <v/>
      </c>
      <c r="P223" s="49" t="str">
        <v/>
      </c>
      <c r="Q223" s="49" t="str">
        <v>Phosphorus - Generic</v>
      </c>
      <c r="R223" s="49">
        <v>0.13500000000000001</v>
      </c>
      <c r="S223" s="49" cm="1">
        <f t="array" ref="S223">_xlfn.LET(_xlpm.result, Common_InputFunctions.Utility_LookupValueInTableTwoColumns(Q223, _xlfn.IFS(Q223="Urea",IF($O223="", "Global", $O223), Q223="Ammonia", IF($P223="", "Global", $P223), TRUE, "Global"), Table_SourceData_Scope3_InorganicFertiliser[Chemical compound],Table_SourceData_Scope3_InorganicFertiliser[Region of origin],Table_SourceData_Scope3_InorganicFertiliser[AusLCI Emissions intensity]), IF(_xlpm.result="", 0, _xlpm.result))</f>
        <v>3.96</v>
      </c>
      <c r="T223" s="66"/>
      <c r="U223" s="49" t="str">
        <v>Calcium - Generic</v>
      </c>
      <c r="V223" s="49">
        <v>0.04</v>
      </c>
      <c r="W223" s="49" cm="1">
        <f t="array" ref="W223">_xlfn.LET(_xlpm.result, Common_InputFunctions.Utility_LookupValueInTableTwoColumns(U223, _xlfn.IFS(U223="Urea",IF($O223="", "Global", $O223), U223="Ammonia", IF($P223="", "Global", $P223), TRUE, "Global"), Table_SourceData_Scope3_InorganicFertiliser[Chemical compound],Table_SourceData_Scope3_InorganicFertiliser[Region of origin],Table_SourceData_Scope3_InorganicFertiliser[AusLCI Emissions intensity]), IF(_xlpm.result="", 0, _xlpm.result))</f>
        <v>0</v>
      </c>
      <c r="X223" s="66"/>
      <c r="Y223" s="49" t="str">
        <v/>
      </c>
      <c r="Z223" s="49">
        <v>0</v>
      </c>
      <c r="AA223" s="49" cm="1">
        <f t="array" ref="AA223">_xlfn.LET(_xlpm.result, Common_InputFunctions.Utility_LookupValueInTableTwoColumns(Y223, _xlfn.IFS(Y223="Urea",IF($O223="", "Global", $O223), Y223="Ammonia", IF($P223="", "Global", $P223), TRUE, "Global"), Table_SourceData_Scope3_InorganicFertiliser[Chemical compound],Table_SourceData_Scope3_InorganicFertiliser[Region of origin],Table_SourceData_Scope3_InorganicFertiliser[AusLCI Emissions intensity]), IF(_xlpm.result="", 0, _xlpm.result))</f>
        <v>0</v>
      </c>
      <c r="AB223" s="66"/>
      <c r="AC223" s="49" t="str">
        <v/>
      </c>
      <c r="AD223" s="49">
        <v>0</v>
      </c>
      <c r="AE223" s="49" cm="1">
        <f t="array" ref="AE223">_xlfn.LET(_xlpm.result, Common_InputFunctions.Utility_LookupValueInTableTwoColumns(AC223, _xlfn.IFS(AC223="Urea",IF($O223="", "Global", $O223), AC223="Ammonia", IF($P223="", "Global", $P223), TRUE, "Global"), Table_SourceData_Scope3_InorganicFertiliser[Chemical compound],Table_SourceData_Scope3_InorganicFertiliser[Region of origin],Table_SourceData_Scope3_InorganicFertiliser[AusLCI Emissions intensity]), IF(_xlpm.result="", 0, _xlpm.result))</f>
        <v>0</v>
      </c>
      <c r="AF223" s="66"/>
      <c r="AG223" s="49" t="str">
        <v/>
      </c>
      <c r="AH223" s="49">
        <v>0</v>
      </c>
      <c r="AI223" s="49" cm="1">
        <f t="array" ref="AI223">_xlfn.LET(_xlpm.result, Common_InputFunctions.Utility_LookupValueInTableTwoColumns(AG223, _xlfn.IFS(AG223="Urea",IF($O223="", "Global", $O223), AG223="Ammonia", IF($P223="", "Global", $P223), TRUE, "Global"), Table_SourceData_Scope3_InorganicFertiliser[Chemical compound],Table_SourceData_Scope3_InorganicFertiliser[Region of origin],Table_SourceData_Scope3_InorganicFertiliser[AusLCI Emissions intensity]), IF(_xlpm.result="", 0, _xlpm.result))</f>
        <v>0</v>
      </c>
      <c r="AJ223" s="66"/>
      <c r="AK223" s="49" t="str">
        <v/>
      </c>
      <c r="AL223" s="49">
        <v>0</v>
      </c>
      <c r="AM223" s="49" cm="1">
        <f t="array" ref="AM223">_xlfn.LET(_xlpm.result, Common_InputFunctions.Utility_LookupValueInTableTwoColumns(AK223, _xlfn.IFS(AK223="Urea",IF($O223="", "Global", $O223), AK223="Ammonia", IF($P223="", "Global", $P223), TRUE, "Global"), Table_SourceData_Scope3_InorganicFertiliser[Chemical compound],Table_SourceData_Scope3_InorganicFertiliser[Region of origin],Table_SourceData_Scope3_InorganicFertiliser[AusLCI Emissions intensity]), IF(_xlpm.result="", 0, _xlpm.result))</f>
        <v>0</v>
      </c>
      <c r="AN223" s="66"/>
    </row>
    <row r="224" spans="4:40" ht="20.100000000000001" customHeight="1" x14ac:dyDescent="0.25">
      <c r="D224" s="49" t="str">
        <v>Aqua Grow</v>
      </c>
      <c r="E224" s="49">
        <v>12600</v>
      </c>
      <c r="F224" s="49" cm="1">
        <f t="array" ref="F224">Scope3_Equations.VEERG_15_4_1_1__X_EmissionFactorFromPurchasedFertiliserComponents(R224,S224)+
Scope3_Equations.VEERG_15_4_1_1__X_EmissionFactorFromPurchasedFertiliserComponents(V224,W224)+
Scope3_Equations.VEERG_15_4_1_1__X_EmissionFactorFromPurchasedFertiliserComponents(Z224,AA224)+
Scope3_Equations.VEERG_15_4_1_1__X_EmissionFactorFromPurchasedFertiliserComponents(AD224,AE224)+
Scope3_Equations.VEERG_15_4_1_1__X_EmissionFactorFromPurchasedFertiliserComponents(AH224,AI224)+
Scope3_Equations.VEERG_15_4_1_1__X_EmissionFactorFromPurchasedFertiliserComponents(AL224,AM224)</f>
        <v>0.69664499999999996</v>
      </c>
      <c r="G224" s="150" cm="1">
        <f t="array" ref="G224">Scope3_Equations.VEERG_15_4_1_1__1_EmissionsFromPurchasedFertiliser(E224,F224)</f>
        <v>8.7777269999999987</v>
      </c>
      <c r="H224" s="49" cm="1">
        <f t="array" ref="H224">Scope3_Equations.VEERG_15_4_1_1__2_EmissionsFromPurchasedFertiliserComponentsVariation(R224, $E224,S224)+
Scope3_Equations.VEERG_15_4_1_1__2_EmissionsFromPurchasedFertiliserComponentsVariation(V224, $E224,W224)+
Scope3_Equations.VEERG_15_4_1_1__2_EmissionsFromPurchasedFertiliserComponentsVariation(Z224, $E224,AA224)+
Scope3_Equations.VEERG_15_4_1_1__2_EmissionsFromPurchasedFertiliserComponentsVariation(AD224, $E224,AE224)+
Scope3_Equations.VEERG_15_4_1_1__2_EmissionsFromPurchasedFertiliserComponentsVariation(AH224, $E224,AI224)+
Scope3_Equations.VEERG_15_4_1_1__2_EmissionsFromPurchasedFertiliserComponentsVariation(AL224, $E224,AM224)</f>
        <v>8.7777270000000005</v>
      </c>
      <c r="I224" s="66"/>
      <c r="J224" s="150" cm="1">
        <f t="array" ref="J224">Scope3_Equations.VEERG_15_4_1_1__1_EmissionsFromPurchasedFertiliser(E224,I224)</f>
        <v>0</v>
      </c>
      <c r="K224" s="150" cm="1">
        <f t="array" ref="K224">Scope3_Equations.VEERG_15_4_1_1__2_EmissionsFromPurchasedFertiliserComponentsVariation(R224, $E224,IF(T224,T224,S224))+
Scope3_Equations.VEERG_15_4_1_1__2_EmissionsFromPurchasedFertiliserComponentsVariation(V224, $E224,IF(X224,X224,W224))+
Scope3_Equations.VEERG_15_4_1_1__2_EmissionsFromPurchasedFertiliserComponentsVariation(Z224, $E224,IF(AB224,AB224,AA224))+
Scope3_Equations.VEERG_15_4_1_1__2_EmissionsFromPurchasedFertiliserComponentsVariation(AD224, $E224,IF(AF224,AF224,AE224))+
Scope3_Equations.VEERG_15_4_1_1__2_EmissionsFromPurchasedFertiliserComponentsVariation(AH224, $E224,IF(AJ224,AJ224,AI224))+
Scope3_Equations.VEERG_15_4_1_1__2_EmissionsFromPurchasedFertiliserComponentsVariation(AL224, $E224,IF(AN224,AN224,AM224))</f>
        <v>8.7777270000000005</v>
      </c>
      <c r="L224" s="82"/>
      <c r="M224" s="47"/>
      <c r="N224" s="82"/>
      <c r="O224" s="49" t="str">
        <v/>
      </c>
      <c r="P224" s="49" t="str">
        <v/>
      </c>
      <c r="Q224" s="49" t="str">
        <v>Potassium - Generic</v>
      </c>
      <c r="R224" s="49">
        <v>0.105</v>
      </c>
      <c r="S224" s="49" cm="1">
        <f t="array" ref="S224">_xlfn.LET(_xlpm.result, Common_InputFunctions.Utility_LookupValueInTableTwoColumns(Q224, _xlfn.IFS(Q224="Urea",IF($O224="", "Global", $O224), Q224="Ammonia", IF($P224="", "Global", $P224), TRUE, "Global"), Table_SourceData_Scope3_InorganicFertiliser[Chemical compound],Table_SourceData_Scope3_InorganicFertiliser[Region of origin],Table_SourceData_Scope3_InorganicFertiliser[AusLCI Emissions intensity]), IF(_xlpm.result="", 0, _xlpm.result))</f>
        <v>0.90900000000000003</v>
      </c>
      <c r="T224" s="66"/>
      <c r="U224" s="49" t="str">
        <v>Nitrogen - Generic</v>
      </c>
      <c r="V224" s="49">
        <v>9.6000000000000002E-2</v>
      </c>
      <c r="W224" s="49" cm="1">
        <f t="array" ref="W224">_xlfn.LET(_xlpm.result, Common_InputFunctions.Utility_LookupValueInTableTwoColumns(U224, _xlfn.IFS(U224="Urea",IF($O224="", "Global", $O224), U224="Ammonia", IF($P224="", "Global", $P224), TRUE, "Global"), Table_SourceData_Scope3_InorganicFertiliser[Chemical compound],Table_SourceData_Scope3_InorganicFertiliser[Region of origin],Table_SourceData_Scope3_InorganicFertiliser[AusLCI Emissions intensity]), IF(_xlpm.result="", 0, _xlpm.result))</f>
        <v>4.2</v>
      </c>
      <c r="X224" s="66"/>
      <c r="Y224" s="49" t="str">
        <v>Phosphorus - Generic</v>
      </c>
      <c r="Z224" s="49">
        <v>0.05</v>
      </c>
      <c r="AA224" s="49" cm="1">
        <f t="array" ref="AA224">_xlfn.LET(_xlpm.result, Common_InputFunctions.Utility_LookupValueInTableTwoColumns(Y224, _xlfn.IFS(Y224="Urea",IF($O224="", "Global", $O224), Y224="Ammonia", IF($P224="", "Global", $P224), TRUE, "Global"), Table_SourceData_Scope3_InorganicFertiliser[Chemical compound],Table_SourceData_Scope3_InorganicFertiliser[Region of origin],Table_SourceData_Scope3_InorganicFertiliser[AusLCI Emissions intensity]), IF(_xlpm.result="", 0, _xlpm.result))</f>
        <v>3.96</v>
      </c>
      <c r="AB224" s="66"/>
      <c r="AC224" s="49" t="str">
        <v/>
      </c>
      <c r="AD224" s="49">
        <v>0</v>
      </c>
      <c r="AE224" s="49" cm="1">
        <f t="array" ref="AE224">_xlfn.LET(_xlpm.result, Common_InputFunctions.Utility_LookupValueInTableTwoColumns(AC224, _xlfn.IFS(AC224="Urea",IF($O224="", "Global", $O224), AC224="Ammonia", IF($P224="", "Global", $P224), TRUE, "Global"), Table_SourceData_Scope3_InorganicFertiliser[Chemical compound],Table_SourceData_Scope3_InorganicFertiliser[Region of origin],Table_SourceData_Scope3_InorganicFertiliser[AusLCI Emissions intensity]), IF(_xlpm.result="", 0, _xlpm.result))</f>
        <v>0</v>
      </c>
      <c r="AF224" s="66"/>
      <c r="AG224" s="49" t="str">
        <v/>
      </c>
      <c r="AH224" s="49">
        <v>0</v>
      </c>
      <c r="AI224" s="49" cm="1">
        <f t="array" ref="AI224">_xlfn.LET(_xlpm.result, Common_InputFunctions.Utility_LookupValueInTableTwoColumns(AG224, _xlfn.IFS(AG224="Urea",IF($O224="", "Global", $O224), AG224="Ammonia", IF($P224="", "Global", $P224), TRUE, "Global"), Table_SourceData_Scope3_InorganicFertiliser[Chemical compound],Table_SourceData_Scope3_InorganicFertiliser[Region of origin],Table_SourceData_Scope3_InorganicFertiliser[AusLCI Emissions intensity]), IF(_xlpm.result="", 0, _xlpm.result))</f>
        <v>0</v>
      </c>
      <c r="AJ224" s="66"/>
      <c r="AK224" s="49" t="str">
        <v/>
      </c>
      <c r="AL224" s="49">
        <v>0</v>
      </c>
      <c r="AM224" s="49" cm="1">
        <f t="array" ref="AM224">_xlfn.LET(_xlpm.result, Common_InputFunctions.Utility_LookupValueInTableTwoColumns(AK224, _xlfn.IFS(AK224="Urea",IF($O224="", "Global", $O224), AK224="Ammonia", IF($P224="", "Global", $P224), TRUE, "Global"), Table_SourceData_Scope3_InorganicFertiliser[Chemical compound],Table_SourceData_Scope3_InorganicFertiliser[Region of origin],Table_SourceData_Scope3_InorganicFertiliser[AusLCI Emissions intensity]), IF(_xlpm.result="", 0, _xlpm.result))</f>
        <v>0</v>
      </c>
      <c r="AN224" s="66"/>
    </row>
    <row r="225" spans="4:40" ht="20.100000000000001" customHeight="1" x14ac:dyDescent="0.25">
      <c r="D225" s="49" t="str">
        <v>Aqua NitroCal</v>
      </c>
      <c r="E225" s="49">
        <v>15000</v>
      </c>
      <c r="F225" s="49" cm="1">
        <f t="array" ref="F225">Scope3_Equations.VEERG_15_4_1_1__X_EmissionFactorFromPurchasedFertiliserComponents(R225,S225)+
Scope3_Equations.VEERG_15_4_1_1__X_EmissionFactorFromPurchasedFertiliserComponents(V225,W225)+
Scope3_Equations.VEERG_15_4_1_1__X_EmissionFactorFromPurchasedFertiliserComponents(Z225,AA225)+
Scope3_Equations.VEERG_15_4_1_1__X_EmissionFactorFromPurchasedFertiliserComponents(AD225,AE225)+
Scope3_Equations.VEERG_15_4_1_1__X_EmissionFactorFromPurchasedFertiliserComponents(AH225,AI225)+
Scope3_Equations.VEERG_15_4_1_1__X_EmissionFactorFromPurchasedFertiliserComponents(AL225,AM225)</f>
        <v>0.72204000000000002</v>
      </c>
      <c r="G225" s="150" cm="1">
        <f t="array" ref="G225">Scope3_Equations.VEERG_15_4_1_1__1_EmissionsFromPurchasedFertiliser(E225,F225)</f>
        <v>10.8306</v>
      </c>
      <c r="H225" s="49" cm="1">
        <f t="array" ref="H225">Scope3_Equations.VEERG_15_4_1_1__2_EmissionsFromPurchasedFertiliserComponentsVariation(R225, $E225,S225)+
Scope3_Equations.VEERG_15_4_1_1__2_EmissionsFromPurchasedFertiliserComponentsVariation(V225, $E225,W225)+
Scope3_Equations.VEERG_15_4_1_1__2_EmissionsFromPurchasedFertiliserComponentsVariation(Z225, $E225,AA225)+
Scope3_Equations.VEERG_15_4_1_1__2_EmissionsFromPurchasedFertiliserComponentsVariation(AD225, $E225,AE225)+
Scope3_Equations.VEERG_15_4_1_1__2_EmissionsFromPurchasedFertiliserComponentsVariation(AH225, $E225,AI225)+
Scope3_Equations.VEERG_15_4_1_1__2_EmissionsFromPurchasedFertiliserComponentsVariation(AL225, $E225,AM225)</f>
        <v>10.8306</v>
      </c>
      <c r="I225" s="66"/>
      <c r="J225" s="150" cm="1">
        <f t="array" ref="J225">Scope3_Equations.VEERG_15_4_1_1__1_EmissionsFromPurchasedFertiliser(E225,I225)</f>
        <v>0</v>
      </c>
      <c r="K225" s="150" cm="1">
        <f t="array" ref="K225">Scope3_Equations.VEERG_15_4_1_1__2_EmissionsFromPurchasedFertiliserComponentsVariation(R225, $E225,IF(T225,T225,S225))+
Scope3_Equations.VEERG_15_4_1_1__2_EmissionsFromPurchasedFertiliserComponentsVariation(V225, $E225,IF(X225,X225,W225))+
Scope3_Equations.VEERG_15_4_1_1__2_EmissionsFromPurchasedFertiliserComponentsVariation(Z225, $E225,IF(AB225,AB225,AA225))+
Scope3_Equations.VEERG_15_4_1_1__2_EmissionsFromPurchasedFertiliserComponentsVariation(AD225, $E225,IF(AF225,AF225,AE225))+
Scope3_Equations.VEERG_15_4_1_1__2_EmissionsFromPurchasedFertiliserComponentsVariation(AH225, $E225,IF(AJ225,AJ225,AI225))+
Scope3_Equations.VEERG_15_4_1_1__2_EmissionsFromPurchasedFertiliserComponentsVariation(AL225, $E225,IF(AN225,AN225,AM225))</f>
        <v>10.8306</v>
      </c>
      <c r="L225" s="82"/>
      <c r="M225" s="47"/>
      <c r="N225" s="82"/>
      <c r="O225" s="49" t="str">
        <v/>
      </c>
      <c r="P225" s="49" t="str">
        <v/>
      </c>
      <c r="Q225" s="49" t="str">
        <v>Calcium - Generic</v>
      </c>
      <c r="R225" s="49">
        <v>0.16200000000000001</v>
      </c>
      <c r="S225" s="49" cm="1">
        <f t="array" ref="S225">_xlfn.LET(_xlpm.result, Common_InputFunctions.Utility_LookupValueInTableTwoColumns(Q225, _xlfn.IFS(Q225="Urea",IF($O225="", "Global", $O225), Q225="Ammonia", IF($P225="", "Global", $P225), TRUE, "Global"), Table_SourceData_Scope3_InorganicFertiliser[Chemical compound],Table_SourceData_Scope3_InorganicFertiliser[Region of origin],Table_SourceData_Scope3_InorganicFertiliser[AusLCI Emissions intensity]), IF(_xlpm.result="", 0, _xlpm.result))</f>
        <v>0</v>
      </c>
      <c r="T225" s="66"/>
      <c r="U225" s="49" t="str">
        <v>Nitrogen - Nitrate</v>
      </c>
      <c r="V225" s="49">
        <v>0.13200000000000001</v>
      </c>
      <c r="W225" s="49" cm="1">
        <f t="array" ref="W225">_xlfn.LET(_xlpm.result, Common_InputFunctions.Utility_LookupValueInTableTwoColumns(U225, _xlfn.IFS(U225="Urea",IF($O225="", "Global", $O225), U225="Ammonia", IF($P225="", "Global", $P225), TRUE, "Global"), Table_SourceData_Scope3_InorganicFertiliser[Chemical compound],Table_SourceData_Scope3_InorganicFertiliser[Region of origin],Table_SourceData_Scope3_InorganicFertiliser[AusLCI Emissions intensity]), IF(_xlpm.result="", 0, _xlpm.result))</f>
        <v>5.47</v>
      </c>
      <c r="X225" s="66"/>
      <c r="Y225" s="49" t="str">
        <v/>
      </c>
      <c r="Z225" s="49">
        <v>0</v>
      </c>
      <c r="AA225" s="49" cm="1">
        <f t="array" ref="AA225">_xlfn.LET(_xlpm.result, Common_InputFunctions.Utility_LookupValueInTableTwoColumns(Y225, _xlfn.IFS(Y225="Urea",IF($O225="", "Global", $O225), Y225="Ammonia", IF($P225="", "Global", $P225), TRUE, "Global"), Table_SourceData_Scope3_InorganicFertiliser[Chemical compound],Table_SourceData_Scope3_InorganicFertiliser[Region of origin],Table_SourceData_Scope3_InorganicFertiliser[AusLCI Emissions intensity]), IF(_xlpm.result="", 0, _xlpm.result))</f>
        <v>0</v>
      </c>
      <c r="AB225" s="66"/>
      <c r="AC225" s="49" t="str">
        <v/>
      </c>
      <c r="AD225" s="49">
        <v>0</v>
      </c>
      <c r="AE225" s="49" cm="1">
        <f t="array" ref="AE225">_xlfn.LET(_xlpm.result, Common_InputFunctions.Utility_LookupValueInTableTwoColumns(AC225, _xlfn.IFS(AC225="Urea",IF($O225="", "Global", $O225), AC225="Ammonia", IF($P225="", "Global", $P225), TRUE, "Global"), Table_SourceData_Scope3_InorganicFertiliser[Chemical compound],Table_SourceData_Scope3_InorganicFertiliser[Region of origin],Table_SourceData_Scope3_InorganicFertiliser[AusLCI Emissions intensity]), IF(_xlpm.result="", 0, _xlpm.result))</f>
        <v>0</v>
      </c>
      <c r="AF225" s="66"/>
      <c r="AG225" s="49" t="str">
        <v/>
      </c>
      <c r="AH225" s="49">
        <v>0</v>
      </c>
      <c r="AI225" s="49" cm="1">
        <f t="array" ref="AI225">_xlfn.LET(_xlpm.result, Common_InputFunctions.Utility_LookupValueInTableTwoColumns(AG225, _xlfn.IFS(AG225="Urea",IF($O225="", "Global", $O225), AG225="Ammonia", IF($P225="", "Global", $P225), TRUE, "Global"), Table_SourceData_Scope3_InorganicFertiliser[Chemical compound],Table_SourceData_Scope3_InorganicFertiliser[Region of origin],Table_SourceData_Scope3_InorganicFertiliser[AusLCI Emissions intensity]), IF(_xlpm.result="", 0, _xlpm.result))</f>
        <v>0</v>
      </c>
      <c r="AJ225" s="66"/>
      <c r="AK225" s="49" t="str">
        <v/>
      </c>
      <c r="AL225" s="49">
        <v>0</v>
      </c>
      <c r="AM225" s="49" cm="1">
        <f t="array" ref="AM225">_xlfn.LET(_xlpm.result, Common_InputFunctions.Utility_LookupValueInTableTwoColumns(AK225, _xlfn.IFS(AK225="Urea",IF($O225="", "Global", $O225), AK225="Ammonia", IF($P225="", "Global", $P225), TRUE, "Global"), Table_SourceData_Scope3_InorganicFertiliser[Chemical compound],Table_SourceData_Scope3_InorganicFertiliser[Region of origin],Table_SourceData_Scope3_InorganicFertiliser[AusLCI Emissions intensity]), IF(_xlpm.result="", 0, _xlpm.result))</f>
        <v>0</v>
      </c>
      <c r="AN225" s="66"/>
    </row>
    <row r="226" spans="4:40" ht="20.100000000000001" customHeight="1" x14ac:dyDescent="0.25">
      <c r="D226" s="49" t="str">
        <v/>
      </c>
      <c r="E226" s="49">
        <v>0</v>
      </c>
      <c r="F226" s="49" cm="1">
        <f t="array" ref="F226">Scope3_Equations.VEERG_15_4_1_1__X_EmissionFactorFromPurchasedFertiliserComponents(R226,S226)+
Scope3_Equations.VEERG_15_4_1_1__X_EmissionFactorFromPurchasedFertiliserComponents(V226,W226)+
Scope3_Equations.VEERG_15_4_1_1__X_EmissionFactorFromPurchasedFertiliserComponents(Z226,AA226)+
Scope3_Equations.VEERG_15_4_1_1__X_EmissionFactorFromPurchasedFertiliserComponents(AD226,AE226)+
Scope3_Equations.VEERG_15_4_1_1__X_EmissionFactorFromPurchasedFertiliserComponents(AH226,AI226)+
Scope3_Equations.VEERG_15_4_1_1__X_EmissionFactorFromPurchasedFertiliserComponents(AL226,AM226)</f>
        <v>0</v>
      </c>
      <c r="G226" s="150" cm="1">
        <f t="array" ref="G226">Scope3_Equations.VEERG_15_4_1_1__1_EmissionsFromPurchasedFertiliser(E226,F226)</f>
        <v>0</v>
      </c>
      <c r="H226" s="49" cm="1">
        <f t="array" ref="H226">Scope3_Equations.VEERG_15_4_1_1__2_EmissionsFromPurchasedFertiliserComponentsVariation(R226, $E226,S226)+
Scope3_Equations.VEERG_15_4_1_1__2_EmissionsFromPurchasedFertiliserComponentsVariation(V226, $E226,W226)+
Scope3_Equations.VEERG_15_4_1_1__2_EmissionsFromPurchasedFertiliserComponentsVariation(Z226, $E226,AA226)+
Scope3_Equations.VEERG_15_4_1_1__2_EmissionsFromPurchasedFertiliserComponentsVariation(AD226, $E226,AE226)+
Scope3_Equations.VEERG_15_4_1_1__2_EmissionsFromPurchasedFertiliserComponentsVariation(AH226, $E226,AI226)+
Scope3_Equations.VEERG_15_4_1_1__2_EmissionsFromPurchasedFertiliserComponentsVariation(AL226, $E226,AM226)</f>
        <v>0</v>
      </c>
      <c r="I226" s="66"/>
      <c r="J226" s="150" cm="1">
        <f t="array" ref="J226">Scope3_Equations.VEERG_15_4_1_1__1_EmissionsFromPurchasedFertiliser(E226,I226)</f>
        <v>0</v>
      </c>
      <c r="K226" s="150" cm="1">
        <f t="array" ref="K226">Scope3_Equations.VEERG_15_4_1_1__2_EmissionsFromPurchasedFertiliserComponentsVariation(R226, $E226,IF(T226,T226,S226))+
Scope3_Equations.VEERG_15_4_1_1__2_EmissionsFromPurchasedFertiliserComponentsVariation(V226, $E226,IF(X226,X226,W226))+
Scope3_Equations.VEERG_15_4_1_1__2_EmissionsFromPurchasedFertiliserComponentsVariation(Z226, $E226,IF(AB226,AB226,AA226))+
Scope3_Equations.VEERG_15_4_1_1__2_EmissionsFromPurchasedFertiliserComponentsVariation(AD226, $E226,IF(AF226,AF226,AE226))+
Scope3_Equations.VEERG_15_4_1_1__2_EmissionsFromPurchasedFertiliserComponentsVariation(AH226, $E226,IF(AJ226,AJ226,AI226))+
Scope3_Equations.VEERG_15_4_1_1__2_EmissionsFromPurchasedFertiliserComponentsVariation(AL226, $E226,IF(AN226,AN226,AM226))</f>
        <v>0</v>
      </c>
      <c r="L226" s="82"/>
      <c r="M226" s="47"/>
      <c r="N226" s="82"/>
      <c r="O226" s="49" t="str">
        <v/>
      </c>
      <c r="P226" s="49" t="str">
        <v/>
      </c>
      <c r="Q226" s="49" t="str">
        <v/>
      </c>
      <c r="R226" s="49">
        <v>0</v>
      </c>
      <c r="S226" s="49" cm="1">
        <f t="array" ref="S226">_xlfn.LET(_xlpm.result, Common_InputFunctions.Utility_LookupValueInTableTwoColumns(Q226, _xlfn.IFS(Q226="Urea",IF($O226="", "Global", $O226), Q226="Ammonia", IF($P226="", "Global", $P226), TRUE, "Global"), Table_SourceData_Scope3_InorganicFertiliser[Chemical compound],Table_SourceData_Scope3_InorganicFertiliser[Region of origin],Table_SourceData_Scope3_InorganicFertiliser[AusLCI Emissions intensity]), IF(_xlpm.result="", 0, _xlpm.result))</f>
        <v>0</v>
      </c>
      <c r="T226" s="66"/>
      <c r="U226" s="49" t="str">
        <v/>
      </c>
      <c r="V226" s="49">
        <v>0</v>
      </c>
      <c r="W226" s="49" cm="1">
        <f t="array" ref="W226">_xlfn.LET(_xlpm.result, Common_InputFunctions.Utility_LookupValueInTableTwoColumns(U226, _xlfn.IFS(U226="Urea",IF($O226="", "Global", $O226), U226="Ammonia", IF($P226="", "Global", $P226), TRUE, "Global"), Table_SourceData_Scope3_InorganicFertiliser[Chemical compound],Table_SourceData_Scope3_InorganicFertiliser[Region of origin],Table_SourceData_Scope3_InorganicFertiliser[AusLCI Emissions intensity]), IF(_xlpm.result="", 0, _xlpm.result))</f>
        <v>0</v>
      </c>
      <c r="X226" s="66"/>
      <c r="Y226" s="49" t="str">
        <v/>
      </c>
      <c r="Z226" s="49">
        <v>0</v>
      </c>
      <c r="AA226" s="49" cm="1">
        <f t="array" ref="AA226">_xlfn.LET(_xlpm.result, Common_InputFunctions.Utility_LookupValueInTableTwoColumns(Y226, _xlfn.IFS(Y226="Urea",IF($O226="", "Global", $O226), Y226="Ammonia", IF($P226="", "Global", $P226), TRUE, "Global"), Table_SourceData_Scope3_InorganicFertiliser[Chemical compound],Table_SourceData_Scope3_InorganicFertiliser[Region of origin],Table_SourceData_Scope3_InorganicFertiliser[AusLCI Emissions intensity]), IF(_xlpm.result="", 0, _xlpm.result))</f>
        <v>0</v>
      </c>
      <c r="AB226" s="66"/>
      <c r="AC226" s="49" t="str">
        <v/>
      </c>
      <c r="AD226" s="49">
        <v>0</v>
      </c>
      <c r="AE226" s="49" cm="1">
        <f t="array" ref="AE226">_xlfn.LET(_xlpm.result, Common_InputFunctions.Utility_LookupValueInTableTwoColumns(AC226, _xlfn.IFS(AC226="Urea",IF($O226="", "Global", $O226), AC226="Ammonia", IF($P226="", "Global", $P226), TRUE, "Global"), Table_SourceData_Scope3_InorganicFertiliser[Chemical compound],Table_SourceData_Scope3_InorganicFertiliser[Region of origin],Table_SourceData_Scope3_InorganicFertiliser[AusLCI Emissions intensity]), IF(_xlpm.result="", 0, _xlpm.result))</f>
        <v>0</v>
      </c>
      <c r="AF226" s="66"/>
      <c r="AG226" s="49" t="str">
        <v/>
      </c>
      <c r="AH226" s="49">
        <v>0</v>
      </c>
      <c r="AI226" s="49" cm="1">
        <f t="array" ref="AI226">_xlfn.LET(_xlpm.result, Common_InputFunctions.Utility_LookupValueInTableTwoColumns(AG226, _xlfn.IFS(AG226="Urea",IF($O226="", "Global", $O226), AG226="Ammonia", IF($P226="", "Global", $P226), TRUE, "Global"), Table_SourceData_Scope3_InorganicFertiliser[Chemical compound],Table_SourceData_Scope3_InorganicFertiliser[Region of origin],Table_SourceData_Scope3_InorganicFertiliser[AusLCI Emissions intensity]), IF(_xlpm.result="", 0, _xlpm.result))</f>
        <v>0</v>
      </c>
      <c r="AJ226" s="66"/>
      <c r="AK226" s="49" t="str">
        <v/>
      </c>
      <c r="AL226" s="49">
        <v>0</v>
      </c>
      <c r="AM226" s="49" cm="1">
        <f t="array" ref="AM226">_xlfn.LET(_xlpm.result, Common_InputFunctions.Utility_LookupValueInTableTwoColumns(AK226, _xlfn.IFS(AK226="Urea",IF($O226="", "Global", $O226), AK226="Ammonia", IF($P226="", "Global", $P226), TRUE, "Global"), Table_SourceData_Scope3_InorganicFertiliser[Chemical compound],Table_SourceData_Scope3_InorganicFertiliser[Region of origin],Table_SourceData_Scope3_InorganicFertiliser[AusLCI Emissions intensity]), IF(_xlpm.result="", 0, _xlpm.result))</f>
        <v>0</v>
      </c>
      <c r="AN226" s="66"/>
    </row>
    <row r="227" spans="4:40" ht="20.100000000000001" customHeight="1" x14ac:dyDescent="0.25">
      <c r="D227" s="49" t="str">
        <v/>
      </c>
      <c r="E227" s="49">
        <v>0</v>
      </c>
      <c r="F227" s="49" cm="1">
        <f t="array" ref="F227">Scope3_Equations.VEERG_15_4_1_1__X_EmissionFactorFromPurchasedFertiliserComponents(R227,S227)+
Scope3_Equations.VEERG_15_4_1_1__X_EmissionFactorFromPurchasedFertiliserComponents(V227,W227)+
Scope3_Equations.VEERG_15_4_1_1__X_EmissionFactorFromPurchasedFertiliserComponents(Z227,AA227)+
Scope3_Equations.VEERG_15_4_1_1__X_EmissionFactorFromPurchasedFertiliserComponents(AD227,AE227)+
Scope3_Equations.VEERG_15_4_1_1__X_EmissionFactorFromPurchasedFertiliserComponents(AH227,AI227)+
Scope3_Equations.VEERG_15_4_1_1__X_EmissionFactorFromPurchasedFertiliserComponents(AL227,AM227)</f>
        <v>0</v>
      </c>
      <c r="G227" s="150" cm="1">
        <f t="array" ref="G227">Scope3_Equations.VEERG_15_4_1_1__1_EmissionsFromPurchasedFertiliser(E227,F227)</f>
        <v>0</v>
      </c>
      <c r="H227" s="49" cm="1">
        <f t="array" ref="H227">Scope3_Equations.VEERG_15_4_1_1__2_EmissionsFromPurchasedFertiliserComponentsVariation(R227, $E227,S227)+
Scope3_Equations.VEERG_15_4_1_1__2_EmissionsFromPurchasedFertiliserComponentsVariation(V227, $E227,W227)+
Scope3_Equations.VEERG_15_4_1_1__2_EmissionsFromPurchasedFertiliserComponentsVariation(Z227, $E227,AA227)+
Scope3_Equations.VEERG_15_4_1_1__2_EmissionsFromPurchasedFertiliserComponentsVariation(AD227, $E227,AE227)+
Scope3_Equations.VEERG_15_4_1_1__2_EmissionsFromPurchasedFertiliserComponentsVariation(AH227, $E227,AI227)+
Scope3_Equations.VEERG_15_4_1_1__2_EmissionsFromPurchasedFertiliserComponentsVariation(AL227, $E227,AM227)</f>
        <v>0</v>
      </c>
      <c r="I227" s="66"/>
      <c r="J227" s="150" cm="1">
        <f t="array" ref="J227">Scope3_Equations.VEERG_15_4_1_1__1_EmissionsFromPurchasedFertiliser(E227,I227)</f>
        <v>0</v>
      </c>
      <c r="K227" s="150" cm="1">
        <f t="array" ref="K227">Scope3_Equations.VEERG_15_4_1_1__2_EmissionsFromPurchasedFertiliserComponentsVariation(R227, $E227,IF(T227,T227,S227))+
Scope3_Equations.VEERG_15_4_1_1__2_EmissionsFromPurchasedFertiliserComponentsVariation(V227, $E227,IF(X227,X227,W227))+
Scope3_Equations.VEERG_15_4_1_1__2_EmissionsFromPurchasedFertiliserComponentsVariation(Z227, $E227,IF(AB227,AB227,AA227))+
Scope3_Equations.VEERG_15_4_1_1__2_EmissionsFromPurchasedFertiliserComponentsVariation(AD227, $E227,IF(AF227,AF227,AE227))+
Scope3_Equations.VEERG_15_4_1_1__2_EmissionsFromPurchasedFertiliserComponentsVariation(AH227, $E227,IF(AJ227,AJ227,AI227))+
Scope3_Equations.VEERG_15_4_1_1__2_EmissionsFromPurchasedFertiliserComponentsVariation(AL227, $E227,IF(AN227,AN227,AM227))</f>
        <v>0</v>
      </c>
      <c r="L227" s="82"/>
      <c r="M227" s="47"/>
      <c r="N227" s="82"/>
      <c r="O227" s="49" t="str">
        <v/>
      </c>
      <c r="P227" s="49" t="str">
        <v/>
      </c>
      <c r="Q227" s="49" t="str">
        <v/>
      </c>
      <c r="R227" s="49">
        <v>0</v>
      </c>
      <c r="S227" s="49" cm="1">
        <f t="array" ref="S227">_xlfn.LET(_xlpm.result, Common_InputFunctions.Utility_LookupValueInTableTwoColumns(Q227, _xlfn.IFS(Q227="Urea",IF($O227="", "Global", $O227), Q227="Ammonia", IF($P227="", "Global", $P227), TRUE, "Global"), Table_SourceData_Scope3_InorganicFertiliser[Chemical compound],Table_SourceData_Scope3_InorganicFertiliser[Region of origin],Table_SourceData_Scope3_InorganicFertiliser[AusLCI Emissions intensity]), IF(_xlpm.result="", 0, _xlpm.result))</f>
        <v>0</v>
      </c>
      <c r="T227" s="66"/>
      <c r="U227" s="49" t="str">
        <v/>
      </c>
      <c r="V227" s="49">
        <v>0</v>
      </c>
      <c r="W227" s="49" cm="1">
        <f t="array" ref="W227">_xlfn.LET(_xlpm.result, Common_InputFunctions.Utility_LookupValueInTableTwoColumns(U227, _xlfn.IFS(U227="Urea",IF($O227="", "Global", $O227), U227="Ammonia", IF($P227="", "Global", $P227), TRUE, "Global"), Table_SourceData_Scope3_InorganicFertiliser[Chemical compound],Table_SourceData_Scope3_InorganicFertiliser[Region of origin],Table_SourceData_Scope3_InorganicFertiliser[AusLCI Emissions intensity]), IF(_xlpm.result="", 0, _xlpm.result))</f>
        <v>0</v>
      </c>
      <c r="X227" s="66"/>
      <c r="Y227" s="49" t="str">
        <v/>
      </c>
      <c r="Z227" s="49">
        <v>0</v>
      </c>
      <c r="AA227" s="49" cm="1">
        <f t="array" ref="AA227">_xlfn.LET(_xlpm.result, Common_InputFunctions.Utility_LookupValueInTableTwoColumns(Y227, _xlfn.IFS(Y227="Urea",IF($O227="", "Global", $O227), Y227="Ammonia", IF($P227="", "Global", $P227), TRUE, "Global"), Table_SourceData_Scope3_InorganicFertiliser[Chemical compound],Table_SourceData_Scope3_InorganicFertiliser[Region of origin],Table_SourceData_Scope3_InorganicFertiliser[AusLCI Emissions intensity]), IF(_xlpm.result="", 0, _xlpm.result))</f>
        <v>0</v>
      </c>
      <c r="AB227" s="66"/>
      <c r="AC227" s="49" t="str">
        <v/>
      </c>
      <c r="AD227" s="49">
        <v>0</v>
      </c>
      <c r="AE227" s="49" cm="1">
        <f t="array" ref="AE227">_xlfn.LET(_xlpm.result, Common_InputFunctions.Utility_LookupValueInTableTwoColumns(AC227, _xlfn.IFS(AC227="Urea",IF($O227="", "Global", $O227), AC227="Ammonia", IF($P227="", "Global", $P227), TRUE, "Global"), Table_SourceData_Scope3_InorganicFertiliser[Chemical compound],Table_SourceData_Scope3_InorganicFertiliser[Region of origin],Table_SourceData_Scope3_InorganicFertiliser[AusLCI Emissions intensity]), IF(_xlpm.result="", 0, _xlpm.result))</f>
        <v>0</v>
      </c>
      <c r="AF227" s="66"/>
      <c r="AG227" s="49" t="str">
        <v/>
      </c>
      <c r="AH227" s="49">
        <v>0</v>
      </c>
      <c r="AI227" s="49" cm="1">
        <f t="array" ref="AI227">_xlfn.LET(_xlpm.result, Common_InputFunctions.Utility_LookupValueInTableTwoColumns(AG227, _xlfn.IFS(AG227="Urea",IF($O227="", "Global", $O227), AG227="Ammonia", IF($P227="", "Global", $P227), TRUE, "Global"), Table_SourceData_Scope3_InorganicFertiliser[Chemical compound],Table_SourceData_Scope3_InorganicFertiliser[Region of origin],Table_SourceData_Scope3_InorganicFertiliser[AusLCI Emissions intensity]), IF(_xlpm.result="", 0, _xlpm.result))</f>
        <v>0</v>
      </c>
      <c r="AJ227" s="66"/>
      <c r="AK227" s="49" t="str">
        <v/>
      </c>
      <c r="AL227" s="49">
        <v>0</v>
      </c>
      <c r="AM227" s="49" cm="1">
        <f t="array" ref="AM227">_xlfn.LET(_xlpm.result, Common_InputFunctions.Utility_LookupValueInTableTwoColumns(AK227, _xlfn.IFS(AK227="Urea",IF($O227="", "Global", $O227), AK227="Ammonia", IF($P227="", "Global", $P227), TRUE, "Global"), Table_SourceData_Scope3_InorganicFertiliser[Chemical compound],Table_SourceData_Scope3_InorganicFertiliser[Region of origin],Table_SourceData_Scope3_InorganicFertiliser[AusLCI Emissions intensity]), IF(_xlpm.result="", 0, _xlpm.result))</f>
        <v>0</v>
      </c>
      <c r="AN227" s="66"/>
    </row>
    <row r="228" spans="4:40" ht="20.100000000000001" customHeight="1" x14ac:dyDescent="0.25">
      <c r="D228" s="49" t="str">
        <v/>
      </c>
      <c r="E228" s="49">
        <v>0</v>
      </c>
      <c r="F228" s="49" cm="1">
        <f t="array" ref="F228">Scope3_Equations.VEERG_15_4_1_1__X_EmissionFactorFromPurchasedFertiliserComponents(R228,S228)+
Scope3_Equations.VEERG_15_4_1_1__X_EmissionFactorFromPurchasedFertiliserComponents(V228,W228)+
Scope3_Equations.VEERG_15_4_1_1__X_EmissionFactorFromPurchasedFertiliserComponents(Z228,AA228)+
Scope3_Equations.VEERG_15_4_1_1__X_EmissionFactorFromPurchasedFertiliserComponents(AD228,AE228)+
Scope3_Equations.VEERG_15_4_1_1__X_EmissionFactorFromPurchasedFertiliserComponents(AH228,AI228)+
Scope3_Equations.VEERG_15_4_1_1__X_EmissionFactorFromPurchasedFertiliserComponents(AL228,AM228)</f>
        <v>0</v>
      </c>
      <c r="G228" s="150" cm="1">
        <f t="array" ref="G228">Scope3_Equations.VEERG_15_4_1_1__1_EmissionsFromPurchasedFertiliser(E228,F228)</f>
        <v>0</v>
      </c>
      <c r="H228" s="49" cm="1">
        <f t="array" ref="H228">Scope3_Equations.VEERG_15_4_1_1__2_EmissionsFromPurchasedFertiliserComponentsVariation(R228, $E228,S228)+
Scope3_Equations.VEERG_15_4_1_1__2_EmissionsFromPurchasedFertiliserComponentsVariation(V228, $E228,W228)+
Scope3_Equations.VEERG_15_4_1_1__2_EmissionsFromPurchasedFertiliserComponentsVariation(Z228, $E228,AA228)+
Scope3_Equations.VEERG_15_4_1_1__2_EmissionsFromPurchasedFertiliserComponentsVariation(AD228, $E228,AE228)+
Scope3_Equations.VEERG_15_4_1_1__2_EmissionsFromPurchasedFertiliserComponentsVariation(AH228, $E228,AI228)+
Scope3_Equations.VEERG_15_4_1_1__2_EmissionsFromPurchasedFertiliserComponentsVariation(AL228, $E228,AM228)</f>
        <v>0</v>
      </c>
      <c r="I228" s="66"/>
      <c r="J228" s="150" cm="1">
        <f t="array" ref="J228">Scope3_Equations.VEERG_15_4_1_1__1_EmissionsFromPurchasedFertiliser(E228,I228)</f>
        <v>0</v>
      </c>
      <c r="K228" s="150" cm="1">
        <f t="array" ref="K228">Scope3_Equations.VEERG_15_4_1_1__2_EmissionsFromPurchasedFertiliserComponentsVariation(R228, $E228,IF(T228,T228,S228))+
Scope3_Equations.VEERG_15_4_1_1__2_EmissionsFromPurchasedFertiliserComponentsVariation(V228, $E228,IF(X228,X228,W228))+
Scope3_Equations.VEERG_15_4_1_1__2_EmissionsFromPurchasedFertiliserComponentsVariation(Z228, $E228,IF(AB228,AB228,AA228))+
Scope3_Equations.VEERG_15_4_1_1__2_EmissionsFromPurchasedFertiliserComponentsVariation(AD228, $E228,IF(AF228,AF228,AE228))+
Scope3_Equations.VEERG_15_4_1_1__2_EmissionsFromPurchasedFertiliserComponentsVariation(AH228, $E228,IF(AJ228,AJ228,AI228))+
Scope3_Equations.VEERG_15_4_1_1__2_EmissionsFromPurchasedFertiliserComponentsVariation(AL228, $E228,IF(AN228,AN228,AM228))</f>
        <v>0</v>
      </c>
      <c r="L228" s="82"/>
      <c r="M228" s="47"/>
      <c r="N228" s="82"/>
      <c r="O228" s="49" t="str">
        <v/>
      </c>
      <c r="P228" s="49" t="str">
        <v/>
      </c>
      <c r="Q228" s="49" t="str">
        <v/>
      </c>
      <c r="R228" s="49">
        <v>0</v>
      </c>
      <c r="S228" s="49" cm="1">
        <f t="array" ref="S228">_xlfn.LET(_xlpm.result, Common_InputFunctions.Utility_LookupValueInTableTwoColumns(Q228, _xlfn.IFS(Q228="Urea",IF($O228="", "Global", $O228), Q228="Ammonia", IF($P228="", "Global", $P228), TRUE, "Global"), Table_SourceData_Scope3_InorganicFertiliser[Chemical compound],Table_SourceData_Scope3_InorganicFertiliser[Region of origin],Table_SourceData_Scope3_InorganicFertiliser[AusLCI Emissions intensity]), IF(_xlpm.result="", 0, _xlpm.result))</f>
        <v>0</v>
      </c>
      <c r="T228" s="66"/>
      <c r="U228" s="49" t="str">
        <v/>
      </c>
      <c r="V228" s="49">
        <v>0</v>
      </c>
      <c r="W228" s="49" cm="1">
        <f t="array" ref="W228">_xlfn.LET(_xlpm.result, Common_InputFunctions.Utility_LookupValueInTableTwoColumns(U228, _xlfn.IFS(U228="Urea",IF($O228="", "Global", $O228), U228="Ammonia", IF($P228="", "Global", $P228), TRUE, "Global"), Table_SourceData_Scope3_InorganicFertiliser[Chemical compound],Table_SourceData_Scope3_InorganicFertiliser[Region of origin],Table_SourceData_Scope3_InorganicFertiliser[AusLCI Emissions intensity]), IF(_xlpm.result="", 0, _xlpm.result))</f>
        <v>0</v>
      </c>
      <c r="X228" s="66"/>
      <c r="Y228" s="49" t="str">
        <v/>
      </c>
      <c r="Z228" s="49">
        <v>0</v>
      </c>
      <c r="AA228" s="49" cm="1">
        <f t="array" ref="AA228">_xlfn.LET(_xlpm.result, Common_InputFunctions.Utility_LookupValueInTableTwoColumns(Y228, _xlfn.IFS(Y228="Urea",IF($O228="", "Global", $O228), Y228="Ammonia", IF($P228="", "Global", $P228), TRUE, "Global"), Table_SourceData_Scope3_InorganicFertiliser[Chemical compound],Table_SourceData_Scope3_InorganicFertiliser[Region of origin],Table_SourceData_Scope3_InorganicFertiliser[AusLCI Emissions intensity]), IF(_xlpm.result="", 0, _xlpm.result))</f>
        <v>0</v>
      </c>
      <c r="AB228" s="66"/>
      <c r="AC228" s="49" t="str">
        <v/>
      </c>
      <c r="AD228" s="49">
        <v>0</v>
      </c>
      <c r="AE228" s="49" cm="1">
        <f t="array" ref="AE228">_xlfn.LET(_xlpm.result, Common_InputFunctions.Utility_LookupValueInTableTwoColumns(AC228, _xlfn.IFS(AC228="Urea",IF($O228="", "Global", $O228), AC228="Ammonia", IF($P228="", "Global", $P228), TRUE, "Global"), Table_SourceData_Scope3_InorganicFertiliser[Chemical compound],Table_SourceData_Scope3_InorganicFertiliser[Region of origin],Table_SourceData_Scope3_InorganicFertiliser[AusLCI Emissions intensity]), IF(_xlpm.result="", 0, _xlpm.result))</f>
        <v>0</v>
      </c>
      <c r="AF228" s="66"/>
      <c r="AG228" s="49" t="str">
        <v/>
      </c>
      <c r="AH228" s="49">
        <v>0</v>
      </c>
      <c r="AI228" s="49" cm="1">
        <f t="array" ref="AI228">_xlfn.LET(_xlpm.result, Common_InputFunctions.Utility_LookupValueInTableTwoColumns(AG228, _xlfn.IFS(AG228="Urea",IF($O228="", "Global", $O228), AG228="Ammonia", IF($P228="", "Global", $P228), TRUE, "Global"), Table_SourceData_Scope3_InorganicFertiliser[Chemical compound],Table_SourceData_Scope3_InorganicFertiliser[Region of origin],Table_SourceData_Scope3_InorganicFertiliser[AusLCI Emissions intensity]), IF(_xlpm.result="", 0, _xlpm.result))</f>
        <v>0</v>
      </c>
      <c r="AJ228" s="66"/>
      <c r="AK228" s="49" t="str">
        <v/>
      </c>
      <c r="AL228" s="49">
        <v>0</v>
      </c>
      <c r="AM228" s="49" cm="1">
        <f t="array" ref="AM228">_xlfn.LET(_xlpm.result, Common_InputFunctions.Utility_LookupValueInTableTwoColumns(AK228, _xlfn.IFS(AK228="Urea",IF($O228="", "Global", $O228), AK228="Ammonia", IF($P228="", "Global", $P228), TRUE, "Global"), Table_SourceData_Scope3_InorganicFertiliser[Chemical compound],Table_SourceData_Scope3_InorganicFertiliser[Region of origin],Table_SourceData_Scope3_InorganicFertiliser[AusLCI Emissions intensity]), IF(_xlpm.result="", 0, _xlpm.result))</f>
        <v>0</v>
      </c>
      <c r="AN228" s="66"/>
    </row>
    <row r="229" spans="4:40" ht="20.100000000000001" customHeight="1" x14ac:dyDescent="0.25">
      <c r="D229" s="49" t="str">
        <v/>
      </c>
      <c r="E229" s="49">
        <v>0</v>
      </c>
      <c r="F229" s="49" cm="1">
        <f t="array" ref="F229">Scope3_Equations.VEERG_15_4_1_1__X_EmissionFactorFromPurchasedFertiliserComponents(R229,S229)+
Scope3_Equations.VEERG_15_4_1_1__X_EmissionFactorFromPurchasedFertiliserComponents(V229,W229)+
Scope3_Equations.VEERG_15_4_1_1__X_EmissionFactorFromPurchasedFertiliserComponents(Z229,AA229)+
Scope3_Equations.VEERG_15_4_1_1__X_EmissionFactorFromPurchasedFertiliserComponents(AD229,AE229)+
Scope3_Equations.VEERG_15_4_1_1__X_EmissionFactorFromPurchasedFertiliserComponents(AH229,AI229)+
Scope3_Equations.VEERG_15_4_1_1__X_EmissionFactorFromPurchasedFertiliserComponents(AL229,AM229)</f>
        <v>0</v>
      </c>
      <c r="G229" s="150" cm="1">
        <f t="array" ref="G229">Scope3_Equations.VEERG_15_4_1_1__1_EmissionsFromPurchasedFertiliser(E229,F229)</f>
        <v>0</v>
      </c>
      <c r="H229" s="49" cm="1">
        <f t="array" ref="H229">Scope3_Equations.VEERG_15_4_1_1__2_EmissionsFromPurchasedFertiliserComponentsVariation(R229, $E229,S229)+
Scope3_Equations.VEERG_15_4_1_1__2_EmissionsFromPurchasedFertiliserComponentsVariation(V229, $E229,W229)+
Scope3_Equations.VEERG_15_4_1_1__2_EmissionsFromPurchasedFertiliserComponentsVariation(Z229, $E229,AA229)+
Scope3_Equations.VEERG_15_4_1_1__2_EmissionsFromPurchasedFertiliserComponentsVariation(AD229, $E229,AE229)+
Scope3_Equations.VEERG_15_4_1_1__2_EmissionsFromPurchasedFertiliserComponentsVariation(AH229, $E229,AI229)+
Scope3_Equations.VEERG_15_4_1_1__2_EmissionsFromPurchasedFertiliserComponentsVariation(AL229, $E229,AM229)</f>
        <v>0</v>
      </c>
      <c r="I229" s="66"/>
      <c r="J229" s="150" cm="1">
        <f t="array" ref="J229">Scope3_Equations.VEERG_15_4_1_1__1_EmissionsFromPurchasedFertiliser(E229,I229)</f>
        <v>0</v>
      </c>
      <c r="K229" s="150" cm="1">
        <f t="array" ref="K229">Scope3_Equations.VEERG_15_4_1_1__2_EmissionsFromPurchasedFertiliserComponentsVariation(R229, $E229,IF(T229,T229,S229))+
Scope3_Equations.VEERG_15_4_1_1__2_EmissionsFromPurchasedFertiliserComponentsVariation(V229, $E229,IF(X229,X229,W229))+
Scope3_Equations.VEERG_15_4_1_1__2_EmissionsFromPurchasedFertiliserComponentsVariation(Z229, $E229,IF(AB229,AB229,AA229))+
Scope3_Equations.VEERG_15_4_1_1__2_EmissionsFromPurchasedFertiliserComponentsVariation(AD229, $E229,IF(AF229,AF229,AE229))+
Scope3_Equations.VEERG_15_4_1_1__2_EmissionsFromPurchasedFertiliserComponentsVariation(AH229, $E229,IF(AJ229,AJ229,AI229))+
Scope3_Equations.VEERG_15_4_1_1__2_EmissionsFromPurchasedFertiliserComponentsVariation(AL229, $E229,IF(AN229,AN229,AM229))</f>
        <v>0</v>
      </c>
      <c r="L229" s="82"/>
      <c r="M229" s="47"/>
      <c r="N229" s="82"/>
      <c r="O229" s="49" t="str">
        <v/>
      </c>
      <c r="P229" s="49" t="str">
        <v/>
      </c>
      <c r="Q229" s="49" t="str">
        <v/>
      </c>
      <c r="R229" s="49">
        <v>0</v>
      </c>
      <c r="S229" s="49" cm="1">
        <f t="array" ref="S229">_xlfn.LET(_xlpm.result, Common_InputFunctions.Utility_LookupValueInTableTwoColumns(Q229, _xlfn.IFS(Q229="Urea",IF($O229="", "Global", $O229), Q229="Ammonia", IF($P229="", "Global", $P229), TRUE, "Global"), Table_SourceData_Scope3_InorganicFertiliser[Chemical compound],Table_SourceData_Scope3_InorganicFertiliser[Region of origin],Table_SourceData_Scope3_InorganicFertiliser[AusLCI Emissions intensity]), IF(_xlpm.result="", 0, _xlpm.result))</f>
        <v>0</v>
      </c>
      <c r="T229" s="66"/>
      <c r="U229" s="49" t="str">
        <v/>
      </c>
      <c r="V229" s="49">
        <v>0</v>
      </c>
      <c r="W229" s="49" cm="1">
        <f t="array" ref="W229">_xlfn.LET(_xlpm.result, Common_InputFunctions.Utility_LookupValueInTableTwoColumns(U229, _xlfn.IFS(U229="Urea",IF($O229="", "Global", $O229), U229="Ammonia", IF($P229="", "Global", $P229), TRUE, "Global"), Table_SourceData_Scope3_InorganicFertiliser[Chemical compound],Table_SourceData_Scope3_InorganicFertiliser[Region of origin],Table_SourceData_Scope3_InorganicFertiliser[AusLCI Emissions intensity]), IF(_xlpm.result="", 0, _xlpm.result))</f>
        <v>0</v>
      </c>
      <c r="X229" s="66"/>
      <c r="Y229" s="49" t="str">
        <v/>
      </c>
      <c r="Z229" s="49">
        <v>0</v>
      </c>
      <c r="AA229" s="49" cm="1">
        <f t="array" ref="AA229">_xlfn.LET(_xlpm.result, Common_InputFunctions.Utility_LookupValueInTableTwoColumns(Y229, _xlfn.IFS(Y229="Urea",IF($O229="", "Global", $O229), Y229="Ammonia", IF($P229="", "Global", $P229), TRUE, "Global"), Table_SourceData_Scope3_InorganicFertiliser[Chemical compound],Table_SourceData_Scope3_InorganicFertiliser[Region of origin],Table_SourceData_Scope3_InorganicFertiliser[AusLCI Emissions intensity]), IF(_xlpm.result="", 0, _xlpm.result))</f>
        <v>0</v>
      </c>
      <c r="AB229" s="66"/>
      <c r="AC229" s="49" t="str">
        <v/>
      </c>
      <c r="AD229" s="49">
        <v>0</v>
      </c>
      <c r="AE229" s="49" cm="1">
        <f t="array" ref="AE229">_xlfn.LET(_xlpm.result, Common_InputFunctions.Utility_LookupValueInTableTwoColumns(AC229, _xlfn.IFS(AC229="Urea",IF($O229="", "Global", $O229), AC229="Ammonia", IF($P229="", "Global", $P229), TRUE, "Global"), Table_SourceData_Scope3_InorganicFertiliser[Chemical compound],Table_SourceData_Scope3_InorganicFertiliser[Region of origin],Table_SourceData_Scope3_InorganicFertiliser[AusLCI Emissions intensity]), IF(_xlpm.result="", 0, _xlpm.result))</f>
        <v>0</v>
      </c>
      <c r="AF229" s="66"/>
      <c r="AG229" s="49" t="str">
        <v/>
      </c>
      <c r="AH229" s="49">
        <v>0</v>
      </c>
      <c r="AI229" s="49" cm="1">
        <f t="array" ref="AI229">_xlfn.LET(_xlpm.result, Common_InputFunctions.Utility_LookupValueInTableTwoColumns(AG229, _xlfn.IFS(AG229="Urea",IF($O229="", "Global", $O229), AG229="Ammonia", IF($P229="", "Global", $P229), TRUE, "Global"), Table_SourceData_Scope3_InorganicFertiliser[Chemical compound],Table_SourceData_Scope3_InorganicFertiliser[Region of origin],Table_SourceData_Scope3_InorganicFertiliser[AusLCI Emissions intensity]), IF(_xlpm.result="", 0, _xlpm.result))</f>
        <v>0</v>
      </c>
      <c r="AJ229" s="66"/>
      <c r="AK229" s="49" t="str">
        <v/>
      </c>
      <c r="AL229" s="49">
        <v>0</v>
      </c>
      <c r="AM229" s="49" cm="1">
        <f t="array" ref="AM229">_xlfn.LET(_xlpm.result, Common_InputFunctions.Utility_LookupValueInTableTwoColumns(AK229, _xlfn.IFS(AK229="Urea",IF($O229="", "Global", $O229), AK229="Ammonia", IF($P229="", "Global", $P229), TRUE, "Global"), Table_SourceData_Scope3_InorganicFertiliser[Chemical compound],Table_SourceData_Scope3_InorganicFertiliser[Region of origin],Table_SourceData_Scope3_InorganicFertiliser[AusLCI Emissions intensity]), IF(_xlpm.result="", 0, _xlpm.result))</f>
        <v>0</v>
      </c>
      <c r="AN229" s="66"/>
    </row>
    <row r="230" spans="4:40" ht="20.100000000000001" customHeight="1" x14ac:dyDescent="0.25">
      <c r="D230" s="49" t="str">
        <v/>
      </c>
      <c r="E230" s="49">
        <v>0</v>
      </c>
      <c r="F230" s="49" cm="1">
        <f t="array" ref="F230">Scope3_Equations.VEERG_15_4_1_1__X_EmissionFactorFromPurchasedFertiliserComponents(R230,S230)+
Scope3_Equations.VEERG_15_4_1_1__X_EmissionFactorFromPurchasedFertiliserComponents(V230,W230)+
Scope3_Equations.VEERG_15_4_1_1__X_EmissionFactorFromPurchasedFertiliserComponents(Z230,AA230)+
Scope3_Equations.VEERG_15_4_1_1__X_EmissionFactorFromPurchasedFertiliserComponents(AD230,AE230)+
Scope3_Equations.VEERG_15_4_1_1__X_EmissionFactorFromPurchasedFertiliserComponents(AH230,AI230)+
Scope3_Equations.VEERG_15_4_1_1__X_EmissionFactorFromPurchasedFertiliserComponents(AL230,AM230)</f>
        <v>0</v>
      </c>
      <c r="G230" s="150" cm="1">
        <f t="array" ref="G230">Scope3_Equations.VEERG_15_4_1_1__1_EmissionsFromPurchasedFertiliser(E230,F230)</f>
        <v>0</v>
      </c>
      <c r="H230" s="49" cm="1">
        <f t="array" ref="H230">Scope3_Equations.VEERG_15_4_1_1__2_EmissionsFromPurchasedFertiliserComponentsVariation(R230, $E230,S230)+
Scope3_Equations.VEERG_15_4_1_1__2_EmissionsFromPurchasedFertiliserComponentsVariation(V230, $E230,W230)+
Scope3_Equations.VEERG_15_4_1_1__2_EmissionsFromPurchasedFertiliserComponentsVariation(Z230, $E230,AA230)+
Scope3_Equations.VEERG_15_4_1_1__2_EmissionsFromPurchasedFertiliserComponentsVariation(AD230, $E230,AE230)+
Scope3_Equations.VEERG_15_4_1_1__2_EmissionsFromPurchasedFertiliserComponentsVariation(AH230, $E230,AI230)+
Scope3_Equations.VEERG_15_4_1_1__2_EmissionsFromPurchasedFertiliserComponentsVariation(AL230, $E230,AM230)</f>
        <v>0</v>
      </c>
      <c r="I230" s="66"/>
      <c r="J230" s="150" cm="1">
        <f t="array" ref="J230">Scope3_Equations.VEERG_15_4_1_1__1_EmissionsFromPurchasedFertiliser(E230,I230)</f>
        <v>0</v>
      </c>
      <c r="K230" s="150" cm="1">
        <f t="array" ref="K230">Scope3_Equations.VEERG_15_4_1_1__2_EmissionsFromPurchasedFertiliserComponentsVariation(R230, $E230,IF(T230,T230,S230))+
Scope3_Equations.VEERG_15_4_1_1__2_EmissionsFromPurchasedFertiliserComponentsVariation(V230, $E230,IF(X230,X230,W230))+
Scope3_Equations.VEERG_15_4_1_1__2_EmissionsFromPurchasedFertiliserComponentsVariation(Z230, $E230,IF(AB230,AB230,AA230))+
Scope3_Equations.VEERG_15_4_1_1__2_EmissionsFromPurchasedFertiliserComponentsVariation(AD230, $E230,IF(AF230,AF230,AE230))+
Scope3_Equations.VEERG_15_4_1_1__2_EmissionsFromPurchasedFertiliserComponentsVariation(AH230, $E230,IF(AJ230,AJ230,AI230))+
Scope3_Equations.VEERG_15_4_1_1__2_EmissionsFromPurchasedFertiliserComponentsVariation(AL230, $E230,IF(AN230,AN230,AM230))</f>
        <v>0</v>
      </c>
      <c r="L230" s="82"/>
      <c r="M230" s="47"/>
      <c r="N230" s="82"/>
      <c r="O230" s="49" t="str">
        <v/>
      </c>
      <c r="P230" s="49" t="str">
        <v/>
      </c>
      <c r="Q230" s="49" t="str">
        <v/>
      </c>
      <c r="R230" s="49">
        <v>0</v>
      </c>
      <c r="S230" s="49" cm="1">
        <f t="array" ref="S230">_xlfn.LET(_xlpm.result, Common_InputFunctions.Utility_LookupValueInTableTwoColumns(Q230, _xlfn.IFS(Q230="Urea",IF($O230="", "Global", $O230), Q230="Ammonia", IF($P230="", "Global", $P230), TRUE, "Global"), Table_SourceData_Scope3_InorganicFertiliser[Chemical compound],Table_SourceData_Scope3_InorganicFertiliser[Region of origin],Table_SourceData_Scope3_InorganicFertiliser[AusLCI Emissions intensity]), IF(_xlpm.result="", 0, _xlpm.result))</f>
        <v>0</v>
      </c>
      <c r="T230" s="66"/>
      <c r="U230" s="49" t="str">
        <v/>
      </c>
      <c r="V230" s="49">
        <v>0</v>
      </c>
      <c r="W230" s="49" cm="1">
        <f t="array" ref="W230">_xlfn.LET(_xlpm.result, Common_InputFunctions.Utility_LookupValueInTableTwoColumns(U230, _xlfn.IFS(U230="Urea",IF($O230="", "Global", $O230), U230="Ammonia", IF($P230="", "Global", $P230), TRUE, "Global"), Table_SourceData_Scope3_InorganicFertiliser[Chemical compound],Table_SourceData_Scope3_InorganicFertiliser[Region of origin],Table_SourceData_Scope3_InorganicFertiliser[AusLCI Emissions intensity]), IF(_xlpm.result="", 0, _xlpm.result))</f>
        <v>0</v>
      </c>
      <c r="X230" s="66"/>
      <c r="Y230" s="49" t="str">
        <v/>
      </c>
      <c r="Z230" s="49">
        <v>0</v>
      </c>
      <c r="AA230" s="49" cm="1">
        <f t="array" ref="AA230">_xlfn.LET(_xlpm.result, Common_InputFunctions.Utility_LookupValueInTableTwoColumns(Y230, _xlfn.IFS(Y230="Urea",IF($O230="", "Global", $O230), Y230="Ammonia", IF($P230="", "Global", $P230), TRUE, "Global"), Table_SourceData_Scope3_InorganicFertiliser[Chemical compound],Table_SourceData_Scope3_InorganicFertiliser[Region of origin],Table_SourceData_Scope3_InorganicFertiliser[AusLCI Emissions intensity]), IF(_xlpm.result="", 0, _xlpm.result))</f>
        <v>0</v>
      </c>
      <c r="AB230" s="66"/>
      <c r="AC230" s="49" t="str">
        <v/>
      </c>
      <c r="AD230" s="49">
        <v>0</v>
      </c>
      <c r="AE230" s="49" cm="1">
        <f t="array" ref="AE230">_xlfn.LET(_xlpm.result, Common_InputFunctions.Utility_LookupValueInTableTwoColumns(AC230, _xlfn.IFS(AC230="Urea",IF($O230="", "Global", $O230), AC230="Ammonia", IF($P230="", "Global", $P230), TRUE, "Global"), Table_SourceData_Scope3_InorganicFertiliser[Chemical compound],Table_SourceData_Scope3_InorganicFertiliser[Region of origin],Table_SourceData_Scope3_InorganicFertiliser[AusLCI Emissions intensity]), IF(_xlpm.result="", 0, _xlpm.result))</f>
        <v>0</v>
      </c>
      <c r="AF230" s="66"/>
      <c r="AG230" s="49" t="str">
        <v/>
      </c>
      <c r="AH230" s="49">
        <v>0</v>
      </c>
      <c r="AI230" s="49" cm="1">
        <f t="array" ref="AI230">_xlfn.LET(_xlpm.result, Common_InputFunctions.Utility_LookupValueInTableTwoColumns(AG230, _xlfn.IFS(AG230="Urea",IF($O230="", "Global", $O230), AG230="Ammonia", IF($P230="", "Global", $P230), TRUE, "Global"), Table_SourceData_Scope3_InorganicFertiliser[Chemical compound],Table_SourceData_Scope3_InorganicFertiliser[Region of origin],Table_SourceData_Scope3_InorganicFertiliser[AusLCI Emissions intensity]), IF(_xlpm.result="", 0, _xlpm.result))</f>
        <v>0</v>
      </c>
      <c r="AJ230" s="66"/>
      <c r="AK230" s="49" t="str">
        <v/>
      </c>
      <c r="AL230" s="49">
        <v>0</v>
      </c>
      <c r="AM230" s="49" cm="1">
        <f t="array" ref="AM230">_xlfn.LET(_xlpm.result, Common_InputFunctions.Utility_LookupValueInTableTwoColumns(AK230, _xlfn.IFS(AK230="Urea",IF($O230="", "Global", $O230), AK230="Ammonia", IF($P230="", "Global", $P230), TRUE, "Global"), Table_SourceData_Scope3_InorganicFertiliser[Chemical compound],Table_SourceData_Scope3_InorganicFertiliser[Region of origin],Table_SourceData_Scope3_InorganicFertiliser[AusLCI Emissions intensity]), IF(_xlpm.result="", 0, _xlpm.result))</f>
        <v>0</v>
      </c>
      <c r="AN230" s="66"/>
    </row>
    <row r="231" spans="4:40" ht="20.100000000000001" customHeight="1" x14ac:dyDescent="0.25"/>
    <row r="232" spans="4:40" ht="20.100000000000001" customHeight="1" x14ac:dyDescent="0.25">
      <c r="D232" s="144" t="s">
        <v>651</v>
      </c>
    </row>
    <row r="233" spans="4:40" ht="20.100000000000001" customHeight="1" x14ac:dyDescent="0.25"/>
    <row r="234" spans="4:40" ht="20.100000000000001" customHeight="1" x14ac:dyDescent="0.25">
      <c r="D234" s="95" t="s">
        <v>666</v>
      </c>
      <c r="E234" s="110"/>
      <c r="F234" s="96"/>
    </row>
    <row r="235" spans="4:40" ht="20.100000000000001" customHeight="1" x14ac:dyDescent="0.25"/>
    <row r="236" spans="4:40" ht="20.100000000000001" customHeight="1" x14ac:dyDescent="0.25">
      <c r="D236" s="46" t="s">
        <v>398</v>
      </c>
      <c r="E236" s="46" t="s">
        <v>350</v>
      </c>
      <c r="F236" s="57" t="s">
        <v>664</v>
      </c>
      <c r="G236" s="57" t="s">
        <v>648</v>
      </c>
      <c r="H236" s="57" t="s">
        <v>647</v>
      </c>
      <c r="I236" s="46" t="s">
        <v>665</v>
      </c>
      <c r="J236" s="57" t="s">
        <v>649</v>
      </c>
      <c r="K236" s="57" t="s">
        <v>650</v>
      </c>
      <c r="L236" s="46" t="s">
        <v>625</v>
      </c>
      <c r="M236" s="46" t="s">
        <v>626</v>
      </c>
      <c r="N236" s="46" t="s">
        <v>627</v>
      </c>
      <c r="O236" s="57" t="s">
        <v>171</v>
      </c>
      <c r="P236" s="57" t="s">
        <v>172</v>
      </c>
      <c r="Q236" s="57" t="s">
        <v>173</v>
      </c>
      <c r="R236" s="57" t="s">
        <v>174</v>
      </c>
      <c r="S236" s="57" t="s">
        <v>652</v>
      </c>
      <c r="T236" s="46" t="s">
        <v>653</v>
      </c>
      <c r="U236" s="57" t="s">
        <v>175</v>
      </c>
      <c r="V236" s="57" t="s">
        <v>176</v>
      </c>
      <c r="W236" s="57" t="s">
        <v>654</v>
      </c>
      <c r="X236" s="46" t="s">
        <v>655</v>
      </c>
      <c r="Y236" s="57" t="s">
        <v>177</v>
      </c>
      <c r="Z236" s="57" t="s">
        <v>178</v>
      </c>
      <c r="AA236" s="57" t="s">
        <v>656</v>
      </c>
      <c r="AB236" s="46" t="s">
        <v>657</v>
      </c>
      <c r="AC236" s="57" t="s">
        <v>179</v>
      </c>
      <c r="AD236" s="57" t="s">
        <v>180</v>
      </c>
      <c r="AE236" s="57" t="s">
        <v>658</v>
      </c>
      <c r="AF236" s="46" t="s">
        <v>659</v>
      </c>
    </row>
    <row r="237" spans="4:40" ht="20.100000000000001" customHeight="1" x14ac:dyDescent="0.25">
      <c r="D237" s="49" t="str" cm="1">
        <f t="array" ref="D237:D246">IFERROR(INDEX(Table_Input_InorganicFertiliser_Custom[Custom blend name], _xlfn.SEQUENCE(10)), "")</f>
        <v>My first custom blend</v>
      </c>
      <c r="E237" s="49" cm="1">
        <f t="array" ref="E237:E246">IFERROR(INDEX(Table_Input_InorganicFertiliser_Custom[Total applied (kg)], _xlfn.SEQUENCE(10)), 0)</f>
        <v>10000</v>
      </c>
      <c r="F237" s="49" cm="1">
        <f t="array" ref="F237">Scope3_Equations.VEERG_15_4_1_1__X_EmissionFactorFromPurchasedFertiliserComponents(R237,S237)+
Scope3_Equations.VEERG_15_4_1_1__X_EmissionFactorFromPurchasedFertiliserComponents(V237,W237)+
Scope3_Equations.VEERG_15_4_1_1__X_EmissionFactorFromPurchasedFertiliserComponents(Z237,AA237)+
Scope3_Equations.VEERG_15_4_1_1__X_EmissionFactorFromPurchasedFertiliserComponents(AD237,AE237)</f>
        <v>1.7707999999999999</v>
      </c>
      <c r="G237" s="150" cm="1">
        <f t="array" ref="G237">Scope3_Equations.VEERG_15_4_1_1__1_EmissionsFromPurchasedFertiliser(E237,F237)</f>
        <v>17.708000000000002</v>
      </c>
      <c r="H237" s="49" cm="1">
        <f t="array" ref="H237">Scope3_Equations.VEERG_15_4_1_1__2_EmissionsFromPurchasedFertiliserComponentsVariation(R237, $E237,S237)+
Scope3_Equations.VEERG_15_4_1_1__2_EmissionsFromPurchasedFertiliserComponentsVariation(V237, $E237,W237)+
Scope3_Equations.VEERG_15_4_1_1__2_EmissionsFromPurchasedFertiliserComponentsVariation(Z237, $E237,AA237)+
Scope3_Equations.VEERG_15_4_1_1__2_EmissionsFromPurchasedFertiliserComponentsVariation(AD237, $E237,AE237)</f>
        <v>17.707999999999998</v>
      </c>
      <c r="I237" s="66">
        <v>0.4</v>
      </c>
      <c r="J237" s="150" cm="1">
        <f t="array" ref="J237">Scope3_Equations.VEERG_15_4_1_1__1_EmissionsFromPurchasedFertiliser(E237,I237)</f>
        <v>4</v>
      </c>
      <c r="K237" s="150" cm="1">
        <f t="array" ref="K237">Scope3_Equations.VEERG_15_4_1_1__2_EmissionsFromPurchasedFertiliserComponentsVariation(R237, $E237,IF(T237,T237,S237))+
Scope3_Equations.VEERG_15_4_1_1__2_EmissionsFromPurchasedFertiliserComponentsVariation(V237, $E237,IF(X237,X237,W237))+
Scope3_Equations.VEERG_15_4_1_1__2_EmissionsFromPurchasedFertiliserComponentsVariation(Z237, $E237,IF(AB237,AB237,AA237))+
Scope3_Equations.VEERG_15_4_1_1__2_EmissionsFromPurchasedFertiliserComponentsVariation(AD237, $E237,IF(AF237,AF237,AE237))</f>
        <v>16.8</v>
      </c>
      <c r="L237" s="82"/>
      <c r="M237" s="47"/>
      <c r="N237"/>
      <c r="O237" s="49" t="str" cm="1">
        <f t="array" ref="O237:O246">IFERROR(INDEX(#REF!, _xlfn.SEQUENCE(10)), "")</f>
        <v/>
      </c>
      <c r="P237" s="49" t="str" cm="1">
        <f t="array" ref="P237:P246">IFERROR(INDEX(#REF!, _xlfn.SEQUENCE(10)), "")</f>
        <v/>
      </c>
      <c r="Q237" s="49" t="str" cm="1">
        <f t="array" ref="Q237:Q246">IFERROR(INDEX(Table_Input_InorganicFertiliser_Custom[Ingredient 1 (select)], _xlfn.SEQUENCE(10)), "")</f>
        <v>Calcium nitrate</v>
      </c>
      <c r="R237" s="49" cm="1">
        <f t="array" ref="R237:R246">IFERROR(INDEX(_xlfn.LET(_xlpm.result, Table_Input_InorganicFertiliser_Custom[Ingredient 1 percent], IF(_xlpm.result="", 0, _xlpm.result)), _xlfn.SEQUENCE(10)), 0)</f>
        <v>0.5</v>
      </c>
      <c r="S237" s="49" cm="1">
        <f t="array" ref="S237">_xlfn.LET(_xlpm.result, Common_InputFunctions.Utility_LookupValueInTableTwoColumns(Q237, _xlfn.IFS(Q237="Urea",IF($O237="", "Global", $O237), Q237="Ammonia", IF($P237="", "Global", $P237), TRUE, "Global"), Table_SourceData_Scope3_InorganicFertiliser[Chemical compound],Table_SourceData_Scope3_InorganicFertiliser[Region of origin],Table_SourceData_Scope3_InorganicFertiliser[AusLCI Emissions intensity]), IF(_xlpm.result="", 0, _xlpm.result))</f>
        <v>0.75</v>
      </c>
      <c r="T237" s="66">
        <v>0.9</v>
      </c>
      <c r="U237" s="49" t="str" cm="1">
        <f t="array" ref="U237:U246">IFERROR(INDEX(Table_Input_InorganicFertiliser_Custom[Ingredient 2], _xlfn.SEQUENCE(10)), "")</f>
        <v>Zinc - Generic</v>
      </c>
      <c r="V237" s="49" cm="1">
        <f t="array" ref="V237:V246">IFERROR(INDEX(_xlfn.LET(_xlpm.result, Table_Input_InorganicFertiliser_Custom[Ingredient 2 percent], IF(_xlpm.result="", 0, _xlpm.result)), _xlfn.SEQUENCE(10)), 0)</f>
        <v>0.2</v>
      </c>
      <c r="W237" s="49" cm="1">
        <f t="array" ref="W237">_xlfn.LET(_xlpm.result, Common_InputFunctions.Utility_LookupValueInTableTwoColumns(U237, _xlfn.IFS(U237="Urea",IF($O237="", "Global", $O237), U237="Ammonia", IF($P237="", "Global", $P237), TRUE, "Global"), Table_SourceData_Scope3_InorganicFertiliser[Chemical compound],Table_SourceData_Scope3_InorganicFertiliser[Region of origin],Table_SourceData_Scope3_InorganicFertiliser[AusLCI Emissions intensity]), IF(_xlpm.result="", 0, _xlpm.result))</f>
        <v>4.82</v>
      </c>
      <c r="X237" s="66">
        <v>0.9</v>
      </c>
      <c r="Y237" s="49" t="str" cm="1">
        <f t="array" ref="Y237:Y246">IFERROR(INDEX(Table_Input_InorganicFertiliser_Custom[Ingredient 3], _xlfn.SEQUENCE(10)), "")</f>
        <v>Potassium - Generic</v>
      </c>
      <c r="Z237" s="49" cm="1">
        <f t="array" ref="Z237:Z246">IFERROR(INDEX(_xlfn.LET(_xlpm.result, Table_Input_InorganicFertiliser_Custom[Ingredient 3 percent], IF(_xlpm.result="", 0, _xlpm.result)), _xlfn.SEQUENCE(10)), 0)</f>
        <v>0.2</v>
      </c>
      <c r="AA237" s="49" cm="1">
        <f t="array" ref="AA237">_xlfn.LET(_xlpm.result, Common_InputFunctions.Utility_LookupValueInTableTwoColumns(Y237, _xlfn.IFS(Y237="Urea",IF($O237="", "Global", $O237), Y237="Ammonia", IF($P237="", "Global", $P237), TRUE, "Global"), Table_SourceData_Scope3_InorganicFertiliser[Chemical compound],Table_SourceData_Scope3_InorganicFertiliser[Region of origin],Table_SourceData_Scope3_InorganicFertiliser[AusLCI Emissions intensity]), IF(_xlpm.result="", 0, _xlpm.result))</f>
        <v>0.90900000000000003</v>
      </c>
      <c r="AB237" s="66">
        <v>4</v>
      </c>
      <c r="AC237" s="49" t="str" cm="1">
        <f t="array" ref="AC237:AC246">IFERROR(INDEX(Table_Input_InorganicFertiliser_Custom[Ingredient 4], _xlfn.SEQUENCE(10)), "")</f>
        <v>Sulfur - Generic</v>
      </c>
      <c r="AD237" s="49" cm="1">
        <f t="array" ref="AD237:AD246">IFERROR(INDEX(_xlfn.LET(_xlpm.result, Table_Input_InorganicFertiliser_Custom[Ingredient 4 percent], IF(_xlpm.result="", 0, _xlpm.result)), _xlfn.SEQUENCE(10)), 0)</f>
        <v>0.1</v>
      </c>
      <c r="AE237" s="49" cm="1">
        <f t="array" ref="AE237">_xlfn.LET(_xlpm.result, Common_InputFunctions.Utility_LookupValueInTableTwoColumns(AC237, _xlfn.IFS(AC237="Urea",IF($O237="", "Global", $O237), AC237="Ammonia", IF($P237="", "Global", $P237), TRUE, "Global"), Table_SourceData_Scope3_InorganicFertiliser[Chemical compound],Table_SourceData_Scope3_InorganicFertiliser[Region of origin],Table_SourceData_Scope3_InorganicFertiliser[AusLCI Emissions intensity]), IF(_xlpm.result="", 0, _xlpm.result))</f>
        <v>2.5</v>
      </c>
      <c r="AF237" s="66">
        <v>0</v>
      </c>
    </row>
    <row r="238" spans="4:40" ht="20.100000000000001" customHeight="1" x14ac:dyDescent="0.25">
      <c r="D238" s="49" t="str">
        <v>My second custom blend</v>
      </c>
      <c r="E238" s="49">
        <v>10000</v>
      </c>
      <c r="F238" s="49" cm="1">
        <f t="array" ref="F238">Scope3_Equations.VEERG_15_4_1_1__X_EmissionFactorFromPurchasedFertiliserComponents(R238,S238)+
Scope3_Equations.VEERG_15_4_1_1__X_EmissionFactorFromPurchasedFertiliserComponents(V238,W238)+
Scope3_Equations.VEERG_15_4_1_1__X_EmissionFactorFromPurchasedFertiliserComponents(Z238,AA238)+
Scope3_Equations.VEERG_15_4_1_1__X_EmissionFactorFromPurchasedFertiliserComponents(AD238,AE238)</f>
        <v>0.96799999999999997</v>
      </c>
      <c r="G238" s="150" cm="1">
        <f t="array" ref="G238">Scope3_Equations.VEERG_15_4_1_1__1_EmissionsFromPurchasedFertiliser(E238,F238)</f>
        <v>9.68</v>
      </c>
      <c r="H238" s="49" cm="1">
        <f t="array" ref="H238">Scope3_Equations.VEERG_15_4_1_1__2_EmissionsFromPurchasedFertiliserComponentsVariation(R238, $E238,S238)+
Scope3_Equations.VEERG_15_4_1_1__2_EmissionsFromPurchasedFertiliserComponentsVariation(V238, $E238,W238)+
Scope3_Equations.VEERG_15_4_1_1__2_EmissionsFromPurchasedFertiliserComponentsVariation(Z238, $E238,AA238)+
Scope3_Equations.VEERG_15_4_1_1__2_EmissionsFromPurchasedFertiliserComponentsVariation(AD238, $E238,AE238)</f>
        <v>9.68</v>
      </c>
      <c r="I238" s="66">
        <v>0.9</v>
      </c>
      <c r="J238" s="150" cm="1">
        <f t="array" ref="J238">Scope3_Equations.VEERG_15_4_1_1__1_EmissionsFromPurchasedFertiliser(E238,I238)</f>
        <v>9</v>
      </c>
      <c r="K238" s="150" cm="1">
        <f t="array" ref="K238">Scope3_Equations.VEERG_15_4_1_1__2_EmissionsFromPurchasedFertiliserComponentsVariation(R238, $E238,IF(T238,T238,S238))+
Scope3_Equations.VEERG_15_4_1_1__2_EmissionsFromPurchasedFertiliserComponentsVariation(V238, $E238,IF(X238,X238,W238))+
Scope3_Equations.VEERG_15_4_1_1__2_EmissionsFromPurchasedFertiliserComponentsVariation(Z238, $E238,IF(AB238,AB238,AA238))+
Scope3_Equations.VEERG_15_4_1_1__2_EmissionsFromPurchasedFertiliserComponentsVariation(AD238, $E238,IF(AF238,AF238,AE238))</f>
        <v>9.68</v>
      </c>
      <c r="L238" s="82"/>
      <c r="M238" s="47"/>
      <c r="N238" s="82"/>
      <c r="O238" s="49" t="str">
        <v/>
      </c>
      <c r="P238" s="49" t="str">
        <v/>
      </c>
      <c r="Q238" s="49" t="str">
        <v>Urea</v>
      </c>
      <c r="R238" s="49">
        <v>1</v>
      </c>
      <c r="S238" s="49" cm="1">
        <f t="array" ref="S238">_xlfn.LET(_xlpm.result, Common_InputFunctions.Utility_LookupValueInTableTwoColumns(Q238, _xlfn.IFS(Q238="Urea",IF($O238="", "Global", $O238), Q238="Ammonia", IF($P238="", "Global", $P238), TRUE, "Global"), Table_SourceData_Scope3_InorganicFertiliser[Chemical compound],Table_SourceData_Scope3_InorganicFertiliser[Region of origin],Table_SourceData_Scope3_InorganicFertiliser[AusLCI Emissions intensity]), IF(_xlpm.result="", 0, _xlpm.result))</f>
        <v>0.96799999999999997</v>
      </c>
      <c r="T238" s="66"/>
      <c r="U238" s="49">
        <v>0</v>
      </c>
      <c r="V238" s="49">
        <v>0</v>
      </c>
      <c r="W238" s="49" cm="1">
        <f t="array" ref="W238">_xlfn.LET(_xlpm.result, Common_InputFunctions.Utility_LookupValueInTableTwoColumns(U238, _xlfn.IFS(U238="Urea",IF($O238="", "Global", $O238), U238="Ammonia", IF($P238="", "Global", $P238), TRUE, "Global"), Table_SourceData_Scope3_InorganicFertiliser[Chemical compound],Table_SourceData_Scope3_InorganicFertiliser[Region of origin],Table_SourceData_Scope3_InorganicFertiliser[AusLCI Emissions intensity]), IF(_xlpm.result="", 0, _xlpm.result))</f>
        <v>0</v>
      </c>
      <c r="X238" s="66"/>
      <c r="Y238" s="49">
        <v>0</v>
      </c>
      <c r="Z238" s="49">
        <v>0</v>
      </c>
      <c r="AA238" s="49" cm="1">
        <f t="array" ref="AA238">_xlfn.LET(_xlpm.result, Common_InputFunctions.Utility_LookupValueInTableTwoColumns(Y238, _xlfn.IFS(Y238="Urea",IF($O238="", "Global", $O238), Y238="Ammonia", IF($P238="", "Global", $P238), TRUE, "Global"), Table_SourceData_Scope3_InorganicFertiliser[Chemical compound],Table_SourceData_Scope3_InorganicFertiliser[Region of origin],Table_SourceData_Scope3_InorganicFertiliser[AusLCI Emissions intensity]), IF(_xlpm.result="", 0, _xlpm.result))</f>
        <v>0</v>
      </c>
      <c r="AB238" s="66"/>
      <c r="AC238" s="49">
        <v>0</v>
      </c>
      <c r="AD238" s="49">
        <v>0</v>
      </c>
      <c r="AE238" s="49" cm="1">
        <f t="array" ref="AE238">_xlfn.LET(_xlpm.result, Common_InputFunctions.Utility_LookupValueInTableTwoColumns(AC238, _xlfn.IFS(AC238="Urea",IF($O238="", "Global", $O238), AC238="Ammonia", IF($P238="", "Global", $P238), TRUE, "Global"), Table_SourceData_Scope3_InorganicFertiliser[Chemical compound],Table_SourceData_Scope3_InorganicFertiliser[Region of origin],Table_SourceData_Scope3_InorganicFertiliser[AusLCI Emissions intensity]), IF(_xlpm.result="", 0, _xlpm.result))</f>
        <v>0</v>
      </c>
      <c r="AF238" s="66"/>
    </row>
    <row r="239" spans="4:40" ht="20.100000000000001" customHeight="1" x14ac:dyDescent="0.25">
      <c r="D239" s="49" t="str">
        <v>My third custom blend</v>
      </c>
      <c r="E239" s="49">
        <v>10000</v>
      </c>
      <c r="F239" s="49" cm="1">
        <f t="array" ref="F239">Scope3_Equations.VEERG_15_4_1_1__X_EmissionFactorFromPurchasedFertiliserComponents(R239,S239)+
Scope3_Equations.VEERG_15_4_1_1__X_EmissionFactorFromPurchasedFertiliserComponents(V239,W239)+
Scope3_Equations.VEERG_15_4_1_1__X_EmissionFactorFromPurchasedFertiliserComponents(Z239,AA239)+
Scope3_Equations.VEERG_15_4_1_1__X_EmissionFactorFromPurchasedFertiliserComponents(AD239,AE239)</f>
        <v>1.1599999999999999</v>
      </c>
      <c r="G239" s="150" cm="1">
        <f t="array" ref="G239">Scope3_Equations.VEERG_15_4_1_1__1_EmissionsFromPurchasedFertiliser(E239,F239)</f>
        <v>11.6</v>
      </c>
      <c r="H239" s="49" cm="1">
        <f t="array" ref="H239">Scope3_Equations.VEERG_15_4_1_1__2_EmissionsFromPurchasedFertiliserComponentsVariation(R239, $E239,S239)+
Scope3_Equations.VEERG_15_4_1_1__2_EmissionsFromPurchasedFertiliserComponentsVariation(V239, $E239,W239)+
Scope3_Equations.VEERG_15_4_1_1__2_EmissionsFromPurchasedFertiliserComponentsVariation(Z239, $E239,AA239)+
Scope3_Equations.VEERG_15_4_1_1__2_EmissionsFromPurchasedFertiliserComponentsVariation(AD239, $E239,AE239)</f>
        <v>11.6</v>
      </c>
      <c r="I239" s="66">
        <v>0.4</v>
      </c>
      <c r="J239" s="150" cm="1">
        <f t="array" ref="J239">Scope3_Equations.VEERG_15_4_1_1__1_EmissionsFromPurchasedFertiliser(E239,I239)</f>
        <v>4</v>
      </c>
      <c r="K239" s="150" cm="1">
        <f t="array" ref="K239">Scope3_Equations.VEERG_15_4_1_1__2_EmissionsFromPurchasedFertiliserComponentsVariation(R239, $E239,IF(T239,T239,S239))+
Scope3_Equations.VEERG_15_4_1_1__2_EmissionsFromPurchasedFertiliserComponentsVariation(V239, $E239,IF(X239,X239,W239))+
Scope3_Equations.VEERG_15_4_1_1__2_EmissionsFromPurchasedFertiliserComponentsVariation(Z239, $E239,IF(AB239,AB239,AA239))+
Scope3_Equations.VEERG_15_4_1_1__2_EmissionsFromPurchasedFertiliserComponentsVariation(AD239, $E239,IF(AF239,AF239,AE239))</f>
        <v>11.6</v>
      </c>
      <c r="L239" s="82"/>
      <c r="M239" s="47"/>
      <c r="N239" s="82"/>
      <c r="O239" s="49" t="str">
        <v/>
      </c>
      <c r="P239" s="49" t="str">
        <v/>
      </c>
      <c r="Q239" s="49" t="str">
        <v>Ammonia</v>
      </c>
      <c r="R239" s="49">
        <v>0.5</v>
      </c>
      <c r="S239" s="49" cm="1">
        <f t="array" ref="S239">_xlfn.LET(_xlpm.result, Common_InputFunctions.Utility_LookupValueInTableTwoColumns(Q239, _xlfn.IFS(Q239="Urea",IF($O239="", "Global", $O239), Q239="Ammonia", IF($P239="", "Global", $P239), TRUE, "Global"), Table_SourceData_Scope3_InorganicFertiliser[Chemical compound],Table_SourceData_Scope3_InorganicFertiliser[Region of origin],Table_SourceData_Scope3_InorganicFertiliser[AusLCI Emissions intensity]), IF(_xlpm.result="", 0, _xlpm.result))</f>
        <v>2.3199999999999998</v>
      </c>
      <c r="T239" s="66"/>
      <c r="U239" s="49">
        <v>0</v>
      </c>
      <c r="V239" s="49">
        <v>0</v>
      </c>
      <c r="W239" s="49" cm="1">
        <f t="array" ref="W239">_xlfn.LET(_xlpm.result, Common_InputFunctions.Utility_LookupValueInTableTwoColumns(U239, _xlfn.IFS(U239="Urea",IF($O239="", "Global", $O239), U239="Ammonia", IF($P239="", "Global", $P239), TRUE, "Global"), Table_SourceData_Scope3_InorganicFertiliser[Chemical compound],Table_SourceData_Scope3_InorganicFertiliser[Region of origin],Table_SourceData_Scope3_InorganicFertiliser[AusLCI Emissions intensity]), IF(_xlpm.result="", 0, _xlpm.result))</f>
        <v>0</v>
      </c>
      <c r="X239" s="66"/>
      <c r="Y239" s="49">
        <v>0</v>
      </c>
      <c r="Z239" s="49">
        <v>0</v>
      </c>
      <c r="AA239" s="49" cm="1">
        <f t="array" ref="AA239">_xlfn.LET(_xlpm.result, Common_InputFunctions.Utility_LookupValueInTableTwoColumns(Y239, _xlfn.IFS(Y239="Urea",IF($O239="", "Global", $O239), Y239="Ammonia", IF($P239="", "Global", $P239), TRUE, "Global"), Table_SourceData_Scope3_InorganicFertiliser[Chemical compound],Table_SourceData_Scope3_InorganicFertiliser[Region of origin],Table_SourceData_Scope3_InorganicFertiliser[AusLCI Emissions intensity]), IF(_xlpm.result="", 0, _xlpm.result))</f>
        <v>0</v>
      </c>
      <c r="AB239" s="66"/>
      <c r="AC239" s="49">
        <v>0</v>
      </c>
      <c r="AD239" s="49">
        <v>0</v>
      </c>
      <c r="AE239" s="49" cm="1">
        <f t="array" ref="AE239">_xlfn.LET(_xlpm.result, Common_InputFunctions.Utility_LookupValueInTableTwoColumns(AC239, _xlfn.IFS(AC239="Urea",IF($O239="", "Global", $O239), AC239="Ammonia", IF($P239="", "Global", $P239), TRUE, "Global"), Table_SourceData_Scope3_InorganicFertiliser[Chemical compound],Table_SourceData_Scope3_InorganicFertiliser[Region of origin],Table_SourceData_Scope3_InorganicFertiliser[AusLCI Emissions intensity]), IF(_xlpm.result="", 0, _xlpm.result))</f>
        <v>0</v>
      </c>
      <c r="AF239" s="66"/>
    </row>
    <row r="240" spans="4:40" ht="20.100000000000001" customHeight="1" x14ac:dyDescent="0.25">
      <c r="D240" s="49" t="str">
        <v/>
      </c>
      <c r="E240" s="49">
        <v>0</v>
      </c>
      <c r="F240" s="49" cm="1">
        <f t="array" ref="F240">Scope3_Equations.VEERG_15_4_1_1__X_EmissionFactorFromPurchasedFertiliserComponents(R240,S240)+
Scope3_Equations.VEERG_15_4_1_1__X_EmissionFactorFromPurchasedFertiliserComponents(V240,W240)+
Scope3_Equations.VEERG_15_4_1_1__X_EmissionFactorFromPurchasedFertiliserComponents(Z240,AA240)+
Scope3_Equations.VEERG_15_4_1_1__X_EmissionFactorFromPurchasedFertiliserComponents(AD240,AE240)</f>
        <v>0</v>
      </c>
      <c r="G240" s="150" cm="1">
        <f t="array" ref="G240">Scope3_Equations.VEERG_15_4_1_1__1_EmissionsFromPurchasedFertiliser(E240,F240)</f>
        <v>0</v>
      </c>
      <c r="H240" s="49" cm="1">
        <f t="array" ref="H240">Scope3_Equations.VEERG_15_4_1_1__2_EmissionsFromPurchasedFertiliserComponentsVariation(R240, $E240,S240)+
Scope3_Equations.VEERG_15_4_1_1__2_EmissionsFromPurchasedFertiliserComponentsVariation(V240, $E240,W240)+
Scope3_Equations.VEERG_15_4_1_1__2_EmissionsFromPurchasedFertiliserComponentsVariation(Z240, $E240,AA240)+
Scope3_Equations.VEERG_15_4_1_1__2_EmissionsFromPurchasedFertiliserComponentsVariation(AD240, $E240,AE240)</f>
        <v>0</v>
      </c>
      <c r="I240" s="66"/>
      <c r="J240" s="150" cm="1">
        <f t="array" ref="J240">Scope3_Equations.VEERG_15_4_1_1__1_EmissionsFromPurchasedFertiliser(E240,I240)</f>
        <v>0</v>
      </c>
      <c r="K240" s="150" cm="1">
        <f t="array" ref="K240">Scope3_Equations.VEERG_15_4_1_1__2_EmissionsFromPurchasedFertiliserComponentsVariation(R240, $E240,IF(T240,T240,S240))+
Scope3_Equations.VEERG_15_4_1_1__2_EmissionsFromPurchasedFertiliserComponentsVariation(V240, $E240,IF(X240,X240,W240))+
Scope3_Equations.VEERG_15_4_1_1__2_EmissionsFromPurchasedFertiliserComponentsVariation(Z240, $E240,IF(AB240,AB240,AA240))+
Scope3_Equations.VEERG_15_4_1_1__2_EmissionsFromPurchasedFertiliserComponentsVariation(AD240, $E240,IF(AF240,AF240,AE240))</f>
        <v>0</v>
      </c>
      <c r="L240" s="82"/>
      <c r="M240" s="47"/>
      <c r="N240" s="82"/>
      <c r="O240" s="49" t="str">
        <v/>
      </c>
      <c r="P240" s="49" t="str">
        <v/>
      </c>
      <c r="Q240" s="49" t="str">
        <v/>
      </c>
      <c r="R240" s="49">
        <v>0</v>
      </c>
      <c r="S240" s="49" cm="1">
        <f t="array" ref="S240">_xlfn.LET(_xlpm.result, Common_InputFunctions.Utility_LookupValueInTableTwoColumns(Q240, _xlfn.IFS(Q240="Urea",IF($O240="", "Global", $O240), Q240="Ammonia", IF($P240="", "Global", $P240), TRUE, "Global"), Table_SourceData_Scope3_InorganicFertiliser[Chemical compound],Table_SourceData_Scope3_InorganicFertiliser[Region of origin],Table_SourceData_Scope3_InorganicFertiliser[AusLCI Emissions intensity]), IF(_xlpm.result="", 0, _xlpm.result))</f>
        <v>0</v>
      </c>
      <c r="T240" s="66"/>
      <c r="U240" s="49" t="str">
        <v/>
      </c>
      <c r="V240" s="49">
        <v>0</v>
      </c>
      <c r="W240" s="49" cm="1">
        <f t="array" ref="W240">_xlfn.LET(_xlpm.result, Common_InputFunctions.Utility_LookupValueInTableTwoColumns(U240, _xlfn.IFS(U240="Urea",IF($O240="", "Global", $O240), U240="Ammonia", IF($P240="", "Global", $P240), TRUE, "Global"), Table_SourceData_Scope3_InorganicFertiliser[Chemical compound],Table_SourceData_Scope3_InorganicFertiliser[Region of origin],Table_SourceData_Scope3_InorganicFertiliser[AusLCI Emissions intensity]), IF(_xlpm.result="", 0, _xlpm.result))</f>
        <v>0</v>
      </c>
      <c r="X240" s="66"/>
      <c r="Y240" s="49" t="str">
        <v/>
      </c>
      <c r="Z240" s="49">
        <v>0</v>
      </c>
      <c r="AA240" s="49" cm="1">
        <f t="array" ref="AA240">_xlfn.LET(_xlpm.result, Common_InputFunctions.Utility_LookupValueInTableTwoColumns(Y240, _xlfn.IFS(Y240="Urea",IF($O240="", "Global", $O240), Y240="Ammonia", IF($P240="", "Global", $P240), TRUE, "Global"), Table_SourceData_Scope3_InorganicFertiliser[Chemical compound],Table_SourceData_Scope3_InorganicFertiliser[Region of origin],Table_SourceData_Scope3_InorganicFertiliser[AusLCI Emissions intensity]), IF(_xlpm.result="", 0, _xlpm.result))</f>
        <v>0</v>
      </c>
      <c r="AB240" s="66"/>
      <c r="AC240" s="49" t="str">
        <v/>
      </c>
      <c r="AD240" s="49">
        <v>0</v>
      </c>
      <c r="AE240" s="49" cm="1">
        <f t="array" ref="AE240">_xlfn.LET(_xlpm.result, Common_InputFunctions.Utility_LookupValueInTableTwoColumns(AC240, _xlfn.IFS(AC240="Urea",IF($O240="", "Global", $O240), AC240="Ammonia", IF($P240="", "Global", $P240), TRUE, "Global"), Table_SourceData_Scope3_InorganicFertiliser[Chemical compound],Table_SourceData_Scope3_InorganicFertiliser[Region of origin],Table_SourceData_Scope3_InorganicFertiliser[AusLCI Emissions intensity]), IF(_xlpm.result="", 0, _xlpm.result))</f>
        <v>0</v>
      </c>
      <c r="AF240" s="66"/>
    </row>
    <row r="241" spans="3:41" ht="20.100000000000001" customHeight="1" x14ac:dyDescent="0.25">
      <c r="D241" s="49" t="str">
        <v/>
      </c>
      <c r="E241" s="49">
        <v>0</v>
      </c>
      <c r="F241" s="49" cm="1">
        <f t="array" ref="F241">Scope3_Equations.VEERG_15_4_1_1__X_EmissionFactorFromPurchasedFertiliserComponents(R241,S241)+
Scope3_Equations.VEERG_15_4_1_1__X_EmissionFactorFromPurchasedFertiliserComponents(V241,W241)+
Scope3_Equations.VEERG_15_4_1_1__X_EmissionFactorFromPurchasedFertiliserComponents(Z241,AA241)+
Scope3_Equations.VEERG_15_4_1_1__X_EmissionFactorFromPurchasedFertiliserComponents(AD241,AE241)</f>
        <v>0</v>
      </c>
      <c r="G241" s="150" cm="1">
        <f t="array" ref="G241">Scope3_Equations.VEERG_15_4_1_1__1_EmissionsFromPurchasedFertiliser(E241,F241)</f>
        <v>0</v>
      </c>
      <c r="H241" s="49" cm="1">
        <f t="array" ref="H241">Scope3_Equations.VEERG_15_4_1_1__2_EmissionsFromPurchasedFertiliserComponentsVariation(R241, $E241,S241)+
Scope3_Equations.VEERG_15_4_1_1__2_EmissionsFromPurchasedFertiliserComponentsVariation(V241, $E241,W241)+
Scope3_Equations.VEERG_15_4_1_1__2_EmissionsFromPurchasedFertiliserComponentsVariation(Z241, $E241,AA241)+
Scope3_Equations.VEERG_15_4_1_1__2_EmissionsFromPurchasedFertiliserComponentsVariation(AD241, $E241,AE241)</f>
        <v>0</v>
      </c>
      <c r="I241" s="66"/>
      <c r="J241" s="150" cm="1">
        <f t="array" ref="J241">Scope3_Equations.VEERG_15_4_1_1__1_EmissionsFromPurchasedFertiliser(E241,I241)</f>
        <v>0</v>
      </c>
      <c r="K241" s="150" cm="1">
        <f t="array" ref="K241">Scope3_Equations.VEERG_15_4_1_1__2_EmissionsFromPurchasedFertiliserComponentsVariation(R241, $E241,IF(T241,T241,S241))+
Scope3_Equations.VEERG_15_4_1_1__2_EmissionsFromPurchasedFertiliserComponentsVariation(V241, $E241,IF(X241,X241,W241))+
Scope3_Equations.VEERG_15_4_1_1__2_EmissionsFromPurchasedFertiliserComponentsVariation(Z241, $E241,IF(AB241,AB241,AA241))+
Scope3_Equations.VEERG_15_4_1_1__2_EmissionsFromPurchasedFertiliserComponentsVariation(AD241, $E241,IF(AF241,AF241,AE241))</f>
        <v>0</v>
      </c>
      <c r="L241" s="82"/>
      <c r="M241" s="47"/>
      <c r="N241" s="82"/>
      <c r="O241" s="49" t="str">
        <v/>
      </c>
      <c r="P241" s="49" t="str">
        <v/>
      </c>
      <c r="Q241" s="49" t="str">
        <v/>
      </c>
      <c r="R241" s="49">
        <v>0</v>
      </c>
      <c r="S241" s="49" cm="1">
        <f t="array" ref="S241">_xlfn.LET(_xlpm.result, Common_InputFunctions.Utility_LookupValueInTableTwoColumns(Q241, _xlfn.IFS(Q241="Urea",IF($O241="", "Global", $O241), Q241="Ammonia", IF($P241="", "Global", $P241), TRUE, "Global"), Table_SourceData_Scope3_InorganicFertiliser[Chemical compound],Table_SourceData_Scope3_InorganicFertiliser[Region of origin],Table_SourceData_Scope3_InorganicFertiliser[AusLCI Emissions intensity]), IF(_xlpm.result="", 0, _xlpm.result))</f>
        <v>0</v>
      </c>
      <c r="T241" s="66"/>
      <c r="U241" s="49" t="str">
        <v/>
      </c>
      <c r="V241" s="49">
        <v>0</v>
      </c>
      <c r="W241" s="49" cm="1">
        <f t="array" ref="W241">_xlfn.LET(_xlpm.result, Common_InputFunctions.Utility_LookupValueInTableTwoColumns(U241, _xlfn.IFS(U241="Urea",IF($O241="", "Global", $O241), U241="Ammonia", IF($P241="", "Global", $P241), TRUE, "Global"), Table_SourceData_Scope3_InorganicFertiliser[Chemical compound],Table_SourceData_Scope3_InorganicFertiliser[Region of origin],Table_SourceData_Scope3_InorganicFertiliser[AusLCI Emissions intensity]), IF(_xlpm.result="", 0, _xlpm.result))</f>
        <v>0</v>
      </c>
      <c r="X241" s="66"/>
      <c r="Y241" s="49" t="str">
        <v/>
      </c>
      <c r="Z241" s="49">
        <v>0</v>
      </c>
      <c r="AA241" s="49" cm="1">
        <f t="array" ref="AA241">_xlfn.LET(_xlpm.result, Common_InputFunctions.Utility_LookupValueInTableTwoColumns(Y241, _xlfn.IFS(Y241="Urea",IF($O241="", "Global", $O241), Y241="Ammonia", IF($P241="", "Global", $P241), TRUE, "Global"), Table_SourceData_Scope3_InorganicFertiliser[Chemical compound],Table_SourceData_Scope3_InorganicFertiliser[Region of origin],Table_SourceData_Scope3_InorganicFertiliser[AusLCI Emissions intensity]), IF(_xlpm.result="", 0, _xlpm.result))</f>
        <v>0</v>
      </c>
      <c r="AB241" s="66"/>
      <c r="AC241" s="49" t="str">
        <v/>
      </c>
      <c r="AD241" s="49">
        <v>0</v>
      </c>
      <c r="AE241" s="49" cm="1">
        <f t="array" ref="AE241">_xlfn.LET(_xlpm.result, Common_InputFunctions.Utility_LookupValueInTableTwoColumns(AC241, _xlfn.IFS(AC241="Urea",IF($O241="", "Global", $O241), AC241="Ammonia", IF($P241="", "Global", $P241), TRUE, "Global"), Table_SourceData_Scope3_InorganicFertiliser[Chemical compound],Table_SourceData_Scope3_InorganicFertiliser[Region of origin],Table_SourceData_Scope3_InorganicFertiliser[AusLCI Emissions intensity]), IF(_xlpm.result="", 0, _xlpm.result))</f>
        <v>0</v>
      </c>
      <c r="AF241" s="66"/>
    </row>
    <row r="242" spans="3:41" ht="20.100000000000001" customHeight="1" x14ac:dyDescent="0.25">
      <c r="D242" s="49" t="str">
        <v/>
      </c>
      <c r="E242" s="49">
        <v>0</v>
      </c>
      <c r="F242" s="49" cm="1">
        <f t="array" ref="F242">Scope3_Equations.VEERG_15_4_1_1__X_EmissionFactorFromPurchasedFertiliserComponents(R242,S242)+
Scope3_Equations.VEERG_15_4_1_1__X_EmissionFactorFromPurchasedFertiliserComponents(V242,W242)+
Scope3_Equations.VEERG_15_4_1_1__X_EmissionFactorFromPurchasedFertiliserComponents(Z242,AA242)+
Scope3_Equations.VEERG_15_4_1_1__X_EmissionFactorFromPurchasedFertiliserComponents(AD242,AE242)</f>
        <v>0</v>
      </c>
      <c r="G242" s="150" cm="1">
        <f t="array" ref="G242">Scope3_Equations.VEERG_15_4_1_1__1_EmissionsFromPurchasedFertiliser(E242,F242)</f>
        <v>0</v>
      </c>
      <c r="H242" s="49" cm="1">
        <f t="array" ref="H242">Scope3_Equations.VEERG_15_4_1_1__2_EmissionsFromPurchasedFertiliserComponentsVariation(R242, $E242,S242)+
Scope3_Equations.VEERG_15_4_1_1__2_EmissionsFromPurchasedFertiliserComponentsVariation(V242, $E242,W242)+
Scope3_Equations.VEERG_15_4_1_1__2_EmissionsFromPurchasedFertiliserComponentsVariation(Z242, $E242,AA242)+
Scope3_Equations.VEERG_15_4_1_1__2_EmissionsFromPurchasedFertiliserComponentsVariation(AD242, $E242,AE242)</f>
        <v>0</v>
      </c>
      <c r="I242" s="66"/>
      <c r="J242" s="150" cm="1">
        <f t="array" ref="J242">Scope3_Equations.VEERG_15_4_1_1__1_EmissionsFromPurchasedFertiliser(E242,I242)</f>
        <v>0</v>
      </c>
      <c r="K242" s="150" cm="1">
        <f t="array" ref="K242">Scope3_Equations.VEERG_15_4_1_1__2_EmissionsFromPurchasedFertiliserComponentsVariation(R242, $E242,IF(T242,T242,S242))+
Scope3_Equations.VEERG_15_4_1_1__2_EmissionsFromPurchasedFertiliserComponentsVariation(V242, $E242,IF(X242,X242,W242))+
Scope3_Equations.VEERG_15_4_1_1__2_EmissionsFromPurchasedFertiliserComponentsVariation(Z242, $E242,IF(AB242,AB242,AA242))+
Scope3_Equations.VEERG_15_4_1_1__2_EmissionsFromPurchasedFertiliserComponentsVariation(AD242, $E242,IF(AF242,AF242,AE242))</f>
        <v>0</v>
      </c>
      <c r="L242" s="82"/>
      <c r="M242" s="47"/>
      <c r="N242" s="82"/>
      <c r="O242" s="49" t="str">
        <v/>
      </c>
      <c r="P242" s="49" t="str">
        <v/>
      </c>
      <c r="Q242" s="49" t="str">
        <v/>
      </c>
      <c r="R242" s="49">
        <v>0</v>
      </c>
      <c r="S242" s="49" cm="1">
        <f t="array" ref="S242">_xlfn.LET(_xlpm.result, Common_InputFunctions.Utility_LookupValueInTableTwoColumns(Q242, _xlfn.IFS(Q242="Urea",IF($O242="", "Global", $O242), Q242="Ammonia", IF($P242="", "Global", $P242), TRUE, "Global"), Table_SourceData_Scope3_InorganicFertiliser[Chemical compound],Table_SourceData_Scope3_InorganicFertiliser[Region of origin],Table_SourceData_Scope3_InorganicFertiliser[AusLCI Emissions intensity]), IF(_xlpm.result="", 0, _xlpm.result))</f>
        <v>0</v>
      </c>
      <c r="T242" s="66"/>
      <c r="U242" s="49" t="str">
        <v/>
      </c>
      <c r="V242" s="49">
        <v>0</v>
      </c>
      <c r="W242" s="49" cm="1">
        <f t="array" ref="W242">_xlfn.LET(_xlpm.result, Common_InputFunctions.Utility_LookupValueInTableTwoColumns(U242, _xlfn.IFS(U242="Urea",IF($O242="", "Global", $O242), U242="Ammonia", IF($P242="", "Global", $P242), TRUE, "Global"), Table_SourceData_Scope3_InorganicFertiliser[Chemical compound],Table_SourceData_Scope3_InorganicFertiliser[Region of origin],Table_SourceData_Scope3_InorganicFertiliser[AusLCI Emissions intensity]), IF(_xlpm.result="", 0, _xlpm.result))</f>
        <v>0</v>
      </c>
      <c r="X242" s="66"/>
      <c r="Y242" s="49" t="str">
        <v/>
      </c>
      <c r="Z242" s="49">
        <v>0</v>
      </c>
      <c r="AA242" s="49" cm="1">
        <f t="array" ref="AA242">_xlfn.LET(_xlpm.result, Common_InputFunctions.Utility_LookupValueInTableTwoColumns(Y242, _xlfn.IFS(Y242="Urea",IF($O242="", "Global", $O242), Y242="Ammonia", IF($P242="", "Global", $P242), TRUE, "Global"), Table_SourceData_Scope3_InorganicFertiliser[Chemical compound],Table_SourceData_Scope3_InorganicFertiliser[Region of origin],Table_SourceData_Scope3_InorganicFertiliser[AusLCI Emissions intensity]), IF(_xlpm.result="", 0, _xlpm.result))</f>
        <v>0</v>
      </c>
      <c r="AB242" s="66"/>
      <c r="AC242" s="49" t="str">
        <v/>
      </c>
      <c r="AD242" s="49">
        <v>0</v>
      </c>
      <c r="AE242" s="49" cm="1">
        <f t="array" ref="AE242">_xlfn.LET(_xlpm.result, Common_InputFunctions.Utility_LookupValueInTableTwoColumns(AC242, _xlfn.IFS(AC242="Urea",IF($O242="", "Global", $O242), AC242="Ammonia", IF($P242="", "Global", $P242), TRUE, "Global"), Table_SourceData_Scope3_InorganicFertiliser[Chemical compound],Table_SourceData_Scope3_InorganicFertiliser[Region of origin],Table_SourceData_Scope3_InorganicFertiliser[AusLCI Emissions intensity]), IF(_xlpm.result="", 0, _xlpm.result))</f>
        <v>0</v>
      </c>
      <c r="AF242" s="66"/>
    </row>
    <row r="243" spans="3:41" ht="20.100000000000001" customHeight="1" x14ac:dyDescent="0.25">
      <c r="D243" s="49" t="str">
        <v/>
      </c>
      <c r="E243" s="49">
        <v>0</v>
      </c>
      <c r="F243" s="49" cm="1">
        <f t="array" ref="F243">Scope3_Equations.VEERG_15_4_1_1__X_EmissionFactorFromPurchasedFertiliserComponents(R243,S243)+
Scope3_Equations.VEERG_15_4_1_1__X_EmissionFactorFromPurchasedFertiliserComponents(V243,W243)+
Scope3_Equations.VEERG_15_4_1_1__X_EmissionFactorFromPurchasedFertiliserComponents(Z243,AA243)+
Scope3_Equations.VEERG_15_4_1_1__X_EmissionFactorFromPurchasedFertiliserComponents(AD243,AE243)</f>
        <v>0</v>
      </c>
      <c r="G243" s="150" cm="1">
        <f t="array" ref="G243">Scope3_Equations.VEERG_15_4_1_1__1_EmissionsFromPurchasedFertiliser(E243,F243)</f>
        <v>0</v>
      </c>
      <c r="H243" s="49" cm="1">
        <f t="array" ref="H243">Scope3_Equations.VEERG_15_4_1_1__2_EmissionsFromPurchasedFertiliserComponentsVariation(R243, $E243,S243)+
Scope3_Equations.VEERG_15_4_1_1__2_EmissionsFromPurchasedFertiliserComponentsVariation(V243, $E243,W243)+
Scope3_Equations.VEERG_15_4_1_1__2_EmissionsFromPurchasedFertiliserComponentsVariation(Z243, $E243,AA243)+
Scope3_Equations.VEERG_15_4_1_1__2_EmissionsFromPurchasedFertiliserComponentsVariation(AD243, $E243,AE243)</f>
        <v>0</v>
      </c>
      <c r="I243" s="66"/>
      <c r="J243" s="150" cm="1">
        <f t="array" ref="J243">Scope3_Equations.VEERG_15_4_1_1__1_EmissionsFromPurchasedFertiliser(E243,I243)</f>
        <v>0</v>
      </c>
      <c r="K243" s="150" cm="1">
        <f t="array" ref="K243">Scope3_Equations.VEERG_15_4_1_1__2_EmissionsFromPurchasedFertiliserComponentsVariation(R243, $E243,IF(T243,T243,S243))+
Scope3_Equations.VEERG_15_4_1_1__2_EmissionsFromPurchasedFertiliserComponentsVariation(V243, $E243,IF(X243,X243,W243))+
Scope3_Equations.VEERG_15_4_1_1__2_EmissionsFromPurchasedFertiliserComponentsVariation(Z243, $E243,IF(AB243,AB243,AA243))+
Scope3_Equations.VEERG_15_4_1_1__2_EmissionsFromPurchasedFertiliserComponentsVariation(AD243, $E243,IF(AF243,AF243,AE243))</f>
        <v>0</v>
      </c>
      <c r="L243" s="82"/>
      <c r="M243" s="47"/>
      <c r="N243" s="82"/>
      <c r="O243" s="49" t="str">
        <v/>
      </c>
      <c r="P243" s="49" t="str">
        <v/>
      </c>
      <c r="Q243" s="49" t="str">
        <v/>
      </c>
      <c r="R243" s="49">
        <v>0</v>
      </c>
      <c r="S243" s="49" cm="1">
        <f t="array" ref="S243">_xlfn.LET(_xlpm.result, Common_InputFunctions.Utility_LookupValueInTableTwoColumns(Q243, _xlfn.IFS(Q243="Urea",IF($O243="", "Global", $O243), Q243="Ammonia", IF($P243="", "Global", $P243), TRUE, "Global"), Table_SourceData_Scope3_InorganicFertiliser[Chemical compound],Table_SourceData_Scope3_InorganicFertiliser[Region of origin],Table_SourceData_Scope3_InorganicFertiliser[AusLCI Emissions intensity]), IF(_xlpm.result="", 0, _xlpm.result))</f>
        <v>0</v>
      </c>
      <c r="T243" s="66"/>
      <c r="U243" s="49" t="str">
        <v/>
      </c>
      <c r="V243" s="49">
        <v>0</v>
      </c>
      <c r="W243" s="49" cm="1">
        <f t="array" ref="W243">_xlfn.LET(_xlpm.result, Common_InputFunctions.Utility_LookupValueInTableTwoColumns(U243, _xlfn.IFS(U243="Urea",IF($O243="", "Global", $O243), U243="Ammonia", IF($P243="", "Global", $P243), TRUE, "Global"), Table_SourceData_Scope3_InorganicFertiliser[Chemical compound],Table_SourceData_Scope3_InorganicFertiliser[Region of origin],Table_SourceData_Scope3_InorganicFertiliser[AusLCI Emissions intensity]), IF(_xlpm.result="", 0, _xlpm.result))</f>
        <v>0</v>
      </c>
      <c r="X243" s="66"/>
      <c r="Y243" s="49" t="str">
        <v/>
      </c>
      <c r="Z243" s="49">
        <v>0</v>
      </c>
      <c r="AA243" s="49" cm="1">
        <f t="array" ref="AA243">_xlfn.LET(_xlpm.result, Common_InputFunctions.Utility_LookupValueInTableTwoColumns(Y243, _xlfn.IFS(Y243="Urea",IF($O243="", "Global", $O243), Y243="Ammonia", IF($P243="", "Global", $P243), TRUE, "Global"), Table_SourceData_Scope3_InorganicFertiliser[Chemical compound],Table_SourceData_Scope3_InorganicFertiliser[Region of origin],Table_SourceData_Scope3_InorganicFertiliser[AusLCI Emissions intensity]), IF(_xlpm.result="", 0, _xlpm.result))</f>
        <v>0</v>
      </c>
      <c r="AB243" s="66"/>
      <c r="AC243" s="49" t="str">
        <v/>
      </c>
      <c r="AD243" s="49">
        <v>0</v>
      </c>
      <c r="AE243" s="49" cm="1">
        <f t="array" ref="AE243">_xlfn.LET(_xlpm.result, Common_InputFunctions.Utility_LookupValueInTableTwoColumns(AC243, _xlfn.IFS(AC243="Urea",IF($O243="", "Global", $O243), AC243="Ammonia", IF($P243="", "Global", $P243), TRUE, "Global"), Table_SourceData_Scope3_InorganicFertiliser[Chemical compound],Table_SourceData_Scope3_InorganicFertiliser[Region of origin],Table_SourceData_Scope3_InorganicFertiliser[AusLCI Emissions intensity]), IF(_xlpm.result="", 0, _xlpm.result))</f>
        <v>0</v>
      </c>
      <c r="AF243" s="66"/>
    </row>
    <row r="244" spans="3:41" ht="20.100000000000001" customHeight="1" x14ac:dyDescent="0.25">
      <c r="D244" s="49" t="str">
        <v/>
      </c>
      <c r="E244" s="49">
        <v>0</v>
      </c>
      <c r="F244" s="49" cm="1">
        <f t="array" ref="F244">Scope3_Equations.VEERG_15_4_1_1__X_EmissionFactorFromPurchasedFertiliserComponents(R244,S244)+
Scope3_Equations.VEERG_15_4_1_1__X_EmissionFactorFromPurchasedFertiliserComponents(V244,W244)+
Scope3_Equations.VEERG_15_4_1_1__X_EmissionFactorFromPurchasedFertiliserComponents(Z244,AA244)+
Scope3_Equations.VEERG_15_4_1_1__X_EmissionFactorFromPurchasedFertiliserComponents(AD244,AE244)</f>
        <v>0</v>
      </c>
      <c r="G244" s="150" cm="1">
        <f t="array" ref="G244">Scope3_Equations.VEERG_15_4_1_1__1_EmissionsFromPurchasedFertiliser(E244,F244)</f>
        <v>0</v>
      </c>
      <c r="H244" s="49" cm="1">
        <f t="array" ref="H244">Scope3_Equations.VEERG_15_4_1_1__2_EmissionsFromPurchasedFertiliserComponentsVariation(R244, $E244,S244)+
Scope3_Equations.VEERG_15_4_1_1__2_EmissionsFromPurchasedFertiliserComponentsVariation(V244, $E244,W244)+
Scope3_Equations.VEERG_15_4_1_1__2_EmissionsFromPurchasedFertiliserComponentsVariation(Z244, $E244,AA244)+
Scope3_Equations.VEERG_15_4_1_1__2_EmissionsFromPurchasedFertiliserComponentsVariation(AD244, $E244,AE244)</f>
        <v>0</v>
      </c>
      <c r="I244" s="66"/>
      <c r="J244" s="150" cm="1">
        <f t="array" ref="J244">Scope3_Equations.VEERG_15_4_1_1__1_EmissionsFromPurchasedFertiliser(E244,I244)</f>
        <v>0</v>
      </c>
      <c r="K244" s="150" cm="1">
        <f t="array" ref="K244">Scope3_Equations.VEERG_15_4_1_1__2_EmissionsFromPurchasedFertiliserComponentsVariation(R244, $E244,IF(T244,T244,S244))+
Scope3_Equations.VEERG_15_4_1_1__2_EmissionsFromPurchasedFertiliserComponentsVariation(V244, $E244,IF(X244,X244,W244))+
Scope3_Equations.VEERG_15_4_1_1__2_EmissionsFromPurchasedFertiliserComponentsVariation(Z244, $E244,IF(AB244,AB244,AA244))+
Scope3_Equations.VEERG_15_4_1_1__2_EmissionsFromPurchasedFertiliserComponentsVariation(AD244, $E244,IF(AF244,AF244,AE244))</f>
        <v>0</v>
      </c>
      <c r="L244" s="82"/>
      <c r="M244" s="47"/>
      <c r="N244" s="82"/>
      <c r="O244" s="49" t="str">
        <v/>
      </c>
      <c r="P244" s="49" t="str">
        <v/>
      </c>
      <c r="Q244" s="49" t="str">
        <v/>
      </c>
      <c r="R244" s="49">
        <v>0</v>
      </c>
      <c r="S244" s="49" cm="1">
        <f t="array" ref="S244">_xlfn.LET(_xlpm.result, Common_InputFunctions.Utility_LookupValueInTableTwoColumns(Q244, _xlfn.IFS(Q244="Urea",IF($O244="", "Global", $O244), Q244="Ammonia", IF($P244="", "Global", $P244), TRUE, "Global"), Table_SourceData_Scope3_InorganicFertiliser[Chemical compound],Table_SourceData_Scope3_InorganicFertiliser[Region of origin],Table_SourceData_Scope3_InorganicFertiliser[AusLCI Emissions intensity]), IF(_xlpm.result="", 0, _xlpm.result))</f>
        <v>0</v>
      </c>
      <c r="T244" s="66"/>
      <c r="U244" s="49" t="str">
        <v/>
      </c>
      <c r="V244" s="49">
        <v>0</v>
      </c>
      <c r="W244" s="49" cm="1">
        <f t="array" ref="W244">_xlfn.LET(_xlpm.result, Common_InputFunctions.Utility_LookupValueInTableTwoColumns(U244, _xlfn.IFS(U244="Urea",IF($O244="", "Global", $O244), U244="Ammonia", IF($P244="", "Global", $P244), TRUE, "Global"), Table_SourceData_Scope3_InorganicFertiliser[Chemical compound],Table_SourceData_Scope3_InorganicFertiliser[Region of origin],Table_SourceData_Scope3_InorganicFertiliser[AusLCI Emissions intensity]), IF(_xlpm.result="", 0, _xlpm.result))</f>
        <v>0</v>
      </c>
      <c r="X244" s="66"/>
      <c r="Y244" s="49" t="str">
        <v/>
      </c>
      <c r="Z244" s="49">
        <v>0</v>
      </c>
      <c r="AA244" s="49" cm="1">
        <f t="array" ref="AA244">_xlfn.LET(_xlpm.result, Common_InputFunctions.Utility_LookupValueInTableTwoColumns(Y244, _xlfn.IFS(Y244="Urea",IF($O244="", "Global", $O244), Y244="Ammonia", IF($P244="", "Global", $P244), TRUE, "Global"), Table_SourceData_Scope3_InorganicFertiliser[Chemical compound],Table_SourceData_Scope3_InorganicFertiliser[Region of origin],Table_SourceData_Scope3_InorganicFertiliser[AusLCI Emissions intensity]), IF(_xlpm.result="", 0, _xlpm.result))</f>
        <v>0</v>
      </c>
      <c r="AB244" s="66"/>
      <c r="AC244" s="49" t="str">
        <v/>
      </c>
      <c r="AD244" s="49">
        <v>0</v>
      </c>
      <c r="AE244" s="49" cm="1">
        <f t="array" ref="AE244">_xlfn.LET(_xlpm.result, Common_InputFunctions.Utility_LookupValueInTableTwoColumns(AC244, _xlfn.IFS(AC244="Urea",IF($O244="", "Global", $O244), AC244="Ammonia", IF($P244="", "Global", $P244), TRUE, "Global"), Table_SourceData_Scope3_InorganicFertiliser[Chemical compound],Table_SourceData_Scope3_InorganicFertiliser[Region of origin],Table_SourceData_Scope3_InorganicFertiliser[AusLCI Emissions intensity]), IF(_xlpm.result="", 0, _xlpm.result))</f>
        <v>0</v>
      </c>
      <c r="AF244" s="66"/>
    </row>
    <row r="245" spans="3:41" ht="20.100000000000001" customHeight="1" x14ac:dyDescent="0.25">
      <c r="D245" s="49" t="str">
        <v/>
      </c>
      <c r="E245" s="49">
        <v>0</v>
      </c>
      <c r="F245" s="49" cm="1">
        <f t="array" ref="F245">Scope3_Equations.VEERG_15_4_1_1__X_EmissionFactorFromPurchasedFertiliserComponents(R245,S245)+
Scope3_Equations.VEERG_15_4_1_1__X_EmissionFactorFromPurchasedFertiliserComponents(V245,W245)+
Scope3_Equations.VEERG_15_4_1_1__X_EmissionFactorFromPurchasedFertiliserComponents(Z245,AA245)+
Scope3_Equations.VEERG_15_4_1_1__X_EmissionFactorFromPurchasedFertiliserComponents(AD245,AE245)</f>
        <v>0</v>
      </c>
      <c r="G245" s="150" cm="1">
        <f t="array" ref="G245">Scope3_Equations.VEERG_15_4_1_1__1_EmissionsFromPurchasedFertiliser(E245,F245)</f>
        <v>0</v>
      </c>
      <c r="H245" s="49" cm="1">
        <f t="array" ref="H245">Scope3_Equations.VEERG_15_4_1_1__2_EmissionsFromPurchasedFertiliserComponentsVariation(R245, $E245,S245)+
Scope3_Equations.VEERG_15_4_1_1__2_EmissionsFromPurchasedFertiliserComponentsVariation(V245, $E245,W245)+
Scope3_Equations.VEERG_15_4_1_1__2_EmissionsFromPurchasedFertiliserComponentsVariation(Z245, $E245,AA245)+
Scope3_Equations.VEERG_15_4_1_1__2_EmissionsFromPurchasedFertiliserComponentsVariation(AD245, $E245,AE245)</f>
        <v>0</v>
      </c>
      <c r="I245" s="66"/>
      <c r="J245" s="150" cm="1">
        <f t="array" ref="J245">Scope3_Equations.VEERG_15_4_1_1__1_EmissionsFromPurchasedFertiliser(E245,I245)</f>
        <v>0</v>
      </c>
      <c r="K245" s="150" cm="1">
        <f t="array" ref="K245">Scope3_Equations.VEERG_15_4_1_1__2_EmissionsFromPurchasedFertiliserComponentsVariation(R245, $E245,IF(T245,T245,S245))+
Scope3_Equations.VEERG_15_4_1_1__2_EmissionsFromPurchasedFertiliserComponentsVariation(V245, $E245,IF(X245,X245,W245))+
Scope3_Equations.VEERG_15_4_1_1__2_EmissionsFromPurchasedFertiliserComponentsVariation(Z245, $E245,IF(AB245,AB245,AA245))+
Scope3_Equations.VEERG_15_4_1_1__2_EmissionsFromPurchasedFertiliserComponentsVariation(AD245, $E245,IF(AF245,AF245,AE245))</f>
        <v>0</v>
      </c>
      <c r="L245" s="82"/>
      <c r="M245" s="47"/>
      <c r="N245" s="82"/>
      <c r="O245" s="49" t="str">
        <v/>
      </c>
      <c r="P245" s="49" t="str">
        <v/>
      </c>
      <c r="Q245" s="49" t="str">
        <v/>
      </c>
      <c r="R245" s="49">
        <v>0</v>
      </c>
      <c r="S245" s="49" cm="1">
        <f t="array" ref="S245">_xlfn.LET(_xlpm.result, Common_InputFunctions.Utility_LookupValueInTableTwoColumns(Q245, _xlfn.IFS(Q245="Urea",IF($O245="", "Global", $O245), Q245="Ammonia", IF($P245="", "Global", $P245), TRUE, "Global"), Table_SourceData_Scope3_InorganicFertiliser[Chemical compound],Table_SourceData_Scope3_InorganicFertiliser[Region of origin],Table_SourceData_Scope3_InorganicFertiliser[AusLCI Emissions intensity]), IF(_xlpm.result="", 0, _xlpm.result))</f>
        <v>0</v>
      </c>
      <c r="T245" s="66"/>
      <c r="U245" s="49" t="str">
        <v/>
      </c>
      <c r="V245" s="49">
        <v>0</v>
      </c>
      <c r="W245" s="49" cm="1">
        <f t="array" ref="W245">_xlfn.LET(_xlpm.result, Common_InputFunctions.Utility_LookupValueInTableTwoColumns(U245, _xlfn.IFS(U245="Urea",IF($O245="", "Global", $O245), U245="Ammonia", IF($P245="", "Global", $P245), TRUE, "Global"), Table_SourceData_Scope3_InorganicFertiliser[Chemical compound],Table_SourceData_Scope3_InorganicFertiliser[Region of origin],Table_SourceData_Scope3_InorganicFertiliser[AusLCI Emissions intensity]), IF(_xlpm.result="", 0, _xlpm.result))</f>
        <v>0</v>
      </c>
      <c r="X245" s="66"/>
      <c r="Y245" s="49" t="str">
        <v/>
      </c>
      <c r="Z245" s="49">
        <v>0</v>
      </c>
      <c r="AA245" s="49" cm="1">
        <f t="array" ref="AA245">_xlfn.LET(_xlpm.result, Common_InputFunctions.Utility_LookupValueInTableTwoColumns(Y245, _xlfn.IFS(Y245="Urea",IF($O245="", "Global", $O245), Y245="Ammonia", IF($P245="", "Global", $P245), TRUE, "Global"), Table_SourceData_Scope3_InorganicFertiliser[Chemical compound],Table_SourceData_Scope3_InorganicFertiliser[Region of origin],Table_SourceData_Scope3_InorganicFertiliser[AusLCI Emissions intensity]), IF(_xlpm.result="", 0, _xlpm.result))</f>
        <v>0</v>
      </c>
      <c r="AB245" s="66"/>
      <c r="AC245" s="49" t="str">
        <v/>
      </c>
      <c r="AD245" s="49">
        <v>0</v>
      </c>
      <c r="AE245" s="49" cm="1">
        <f t="array" ref="AE245">_xlfn.LET(_xlpm.result, Common_InputFunctions.Utility_LookupValueInTableTwoColumns(AC245, _xlfn.IFS(AC245="Urea",IF($O245="", "Global", $O245), AC245="Ammonia", IF($P245="", "Global", $P245), TRUE, "Global"), Table_SourceData_Scope3_InorganicFertiliser[Chemical compound],Table_SourceData_Scope3_InorganicFertiliser[Region of origin],Table_SourceData_Scope3_InorganicFertiliser[AusLCI Emissions intensity]), IF(_xlpm.result="", 0, _xlpm.result))</f>
        <v>0</v>
      </c>
      <c r="AF245" s="66"/>
    </row>
    <row r="246" spans="3:41" ht="20.100000000000001" customHeight="1" x14ac:dyDescent="0.25">
      <c r="D246" s="49" t="str">
        <v/>
      </c>
      <c r="E246" s="49">
        <v>0</v>
      </c>
      <c r="F246" s="49" cm="1">
        <f t="array" ref="F246">Scope3_Equations.VEERG_15_4_1_1__X_EmissionFactorFromPurchasedFertiliserComponents(R246,S246)+
Scope3_Equations.VEERG_15_4_1_1__X_EmissionFactorFromPurchasedFertiliserComponents(V246,W246)+
Scope3_Equations.VEERG_15_4_1_1__X_EmissionFactorFromPurchasedFertiliserComponents(Z246,AA246)+
Scope3_Equations.VEERG_15_4_1_1__X_EmissionFactorFromPurchasedFertiliserComponents(AD246,AE246)</f>
        <v>0</v>
      </c>
      <c r="G246" s="150" cm="1">
        <f t="array" ref="G246">Scope3_Equations.VEERG_15_4_1_1__1_EmissionsFromPurchasedFertiliser(E246,F246)</f>
        <v>0</v>
      </c>
      <c r="H246" s="49" cm="1">
        <f t="array" ref="H246">Scope3_Equations.VEERG_15_4_1_1__2_EmissionsFromPurchasedFertiliserComponentsVariation(R246, $E246,S246)+
Scope3_Equations.VEERG_15_4_1_1__2_EmissionsFromPurchasedFertiliserComponentsVariation(V246, $E246,W246)+
Scope3_Equations.VEERG_15_4_1_1__2_EmissionsFromPurchasedFertiliserComponentsVariation(Z246, $E246,AA246)+
Scope3_Equations.VEERG_15_4_1_1__2_EmissionsFromPurchasedFertiliserComponentsVariation(AD246, $E246,AE246)</f>
        <v>0</v>
      </c>
      <c r="I246" s="66"/>
      <c r="J246" s="150" cm="1">
        <f t="array" ref="J246">Scope3_Equations.VEERG_15_4_1_1__1_EmissionsFromPurchasedFertiliser(E246,I246)</f>
        <v>0</v>
      </c>
      <c r="K246" s="150" cm="1">
        <f t="array" ref="K246">Scope3_Equations.VEERG_15_4_1_1__2_EmissionsFromPurchasedFertiliserComponentsVariation(R246, $E246,IF(T246,T246,S246))+
Scope3_Equations.VEERG_15_4_1_1__2_EmissionsFromPurchasedFertiliserComponentsVariation(V246, $E246,IF(X246,X246,W246))+
Scope3_Equations.VEERG_15_4_1_1__2_EmissionsFromPurchasedFertiliserComponentsVariation(Z246, $E246,IF(AB246,AB246,AA246))+
Scope3_Equations.VEERG_15_4_1_1__2_EmissionsFromPurchasedFertiliserComponentsVariation(AD246, $E246,IF(AF246,AF246,AE246))</f>
        <v>0</v>
      </c>
      <c r="L246" s="82"/>
      <c r="M246" s="47"/>
      <c r="N246" s="82"/>
      <c r="O246" s="49" t="str">
        <v/>
      </c>
      <c r="P246" s="49" t="str">
        <v/>
      </c>
      <c r="Q246" s="49" t="str">
        <v/>
      </c>
      <c r="R246" s="49">
        <v>0</v>
      </c>
      <c r="S246" s="49" cm="1">
        <f t="array" ref="S246">_xlfn.LET(_xlpm.result, Common_InputFunctions.Utility_LookupValueInTableTwoColumns(Q246, _xlfn.IFS(Q246="Urea",IF($O246="", "Global", $O246), Q246="Ammonia", IF($P246="", "Global", $P246), TRUE, "Global"), Table_SourceData_Scope3_InorganicFertiliser[Chemical compound],Table_SourceData_Scope3_InorganicFertiliser[Region of origin],Table_SourceData_Scope3_InorganicFertiliser[AusLCI Emissions intensity]), IF(_xlpm.result="", 0, _xlpm.result))</f>
        <v>0</v>
      </c>
      <c r="T246" s="66"/>
      <c r="U246" s="49" t="str">
        <v/>
      </c>
      <c r="V246" s="49">
        <v>0</v>
      </c>
      <c r="W246" s="49" cm="1">
        <f t="array" ref="W246">_xlfn.LET(_xlpm.result, Common_InputFunctions.Utility_LookupValueInTableTwoColumns(U246, _xlfn.IFS(U246="Urea",IF($O246="", "Global", $O246), U246="Ammonia", IF($P246="", "Global", $P246), TRUE, "Global"), Table_SourceData_Scope3_InorganicFertiliser[Chemical compound],Table_SourceData_Scope3_InorganicFertiliser[Region of origin],Table_SourceData_Scope3_InorganicFertiliser[AusLCI Emissions intensity]), IF(_xlpm.result="", 0, _xlpm.result))</f>
        <v>0</v>
      </c>
      <c r="X246" s="66"/>
      <c r="Y246" s="49" t="str">
        <v/>
      </c>
      <c r="Z246" s="49">
        <v>0</v>
      </c>
      <c r="AA246" s="49" cm="1">
        <f t="array" ref="AA246">_xlfn.LET(_xlpm.result, Common_InputFunctions.Utility_LookupValueInTableTwoColumns(Y246, _xlfn.IFS(Y246="Urea",IF($O246="", "Global", $O246), Y246="Ammonia", IF($P246="", "Global", $P246), TRUE, "Global"), Table_SourceData_Scope3_InorganicFertiliser[Chemical compound],Table_SourceData_Scope3_InorganicFertiliser[Region of origin],Table_SourceData_Scope3_InorganicFertiliser[AusLCI Emissions intensity]), IF(_xlpm.result="", 0, _xlpm.result))</f>
        <v>0</v>
      </c>
      <c r="AB246" s="66"/>
      <c r="AC246" s="49" t="str">
        <v/>
      </c>
      <c r="AD246" s="49">
        <v>0</v>
      </c>
      <c r="AE246" s="49" cm="1">
        <f t="array" ref="AE246">_xlfn.LET(_xlpm.result, Common_InputFunctions.Utility_LookupValueInTableTwoColumns(AC246, _xlfn.IFS(AC246="Urea",IF($O246="", "Global", $O246), AC246="Ammonia", IF($P246="", "Global", $P246), TRUE, "Global"), Table_SourceData_Scope3_InorganicFertiliser[Chemical compound],Table_SourceData_Scope3_InorganicFertiliser[Region of origin],Table_SourceData_Scope3_InorganicFertiliser[AusLCI Emissions intensity]), IF(_xlpm.result="", 0, _xlpm.result))</f>
        <v>0</v>
      </c>
      <c r="AF246" s="66"/>
    </row>
    <row r="247" spans="3:41" ht="20.100000000000001" customHeight="1" x14ac:dyDescent="0.25"/>
    <row r="248" spans="3:41" ht="20.100000000000001" customHeight="1" x14ac:dyDescent="0.25">
      <c r="D248" s="178" t="s">
        <v>667</v>
      </c>
      <c r="E248" s="176">
        <f>SUM(G221:G230)+SUM(G237:G246)</f>
        <v>78.284322000000003</v>
      </c>
      <c r="F248" s="177" t="str">
        <f>$E$155</f>
        <v>t CO2e</v>
      </c>
    </row>
    <row r="249" spans="3:41" ht="20.100000000000001" customHeight="1" x14ac:dyDescent="0.25">
      <c r="D249" s="178" t="s">
        <v>668</v>
      </c>
      <c r="E249" s="176">
        <f>SUM(J221:J230)+SUM(J237:J246)</f>
        <v>38.745000000000005</v>
      </c>
      <c r="F249" s="177" t="str">
        <f>$E$155</f>
        <v>t CO2e</v>
      </c>
    </row>
    <row r="250" spans="3:41" ht="20.100000000000001" customHeight="1" x14ac:dyDescent="0.25"/>
    <row r="251" spans="3:41" ht="20.100000000000001" customHeight="1" x14ac:dyDescent="0.25">
      <c r="D251" s="178" t="s">
        <v>669</v>
      </c>
      <c r="E251" s="176">
        <f>SUM(H221:H230)+SUM(H237:H246)</f>
        <v>78.284322000000003</v>
      </c>
      <c r="F251" s="177" t="str">
        <f>$E$155</f>
        <v>t CO2e</v>
      </c>
    </row>
    <row r="252" spans="3:41" ht="20.100000000000001" customHeight="1" x14ac:dyDescent="0.25">
      <c r="D252" s="178" t="s">
        <v>670</v>
      </c>
      <c r="E252" s="176">
        <f>SUM(K221:K230)+SUM(K237:K246)</f>
        <v>75.743047000000004</v>
      </c>
      <c r="F252" s="177" t="str">
        <f>$E$155</f>
        <v>t CO2e</v>
      </c>
    </row>
    <row r="253" spans="3:41" ht="20.100000000000001" customHeight="1" x14ac:dyDescent="0.25"/>
    <row r="254" spans="3:41" ht="20.100000000000001" customHeight="1" x14ac:dyDescent="0.25"/>
    <row r="255" spans="3:41" ht="20.100000000000001" customHeight="1" x14ac:dyDescent="0.25">
      <c r="C255" s="98"/>
      <c r="D255" s="98"/>
      <c r="E255" s="98"/>
      <c r="F255" s="98"/>
      <c r="G255" s="98"/>
      <c r="H255" s="98"/>
      <c r="I255" s="98"/>
      <c r="J255" s="98"/>
      <c r="K255" s="98"/>
      <c r="L255" s="98"/>
      <c r="M255" s="98"/>
      <c r="N255" s="98"/>
      <c r="O255" s="98"/>
      <c r="P255" s="98"/>
      <c r="Q255" s="98"/>
      <c r="R255" s="98"/>
      <c r="S255" s="98"/>
      <c r="T255" s="98"/>
      <c r="U255" s="98"/>
      <c r="V255" s="98"/>
      <c r="W255" s="98"/>
      <c r="X255" s="98"/>
      <c r="Y255" s="98"/>
      <c r="Z255" s="98"/>
      <c r="AA255" s="98"/>
      <c r="AB255" s="98"/>
      <c r="AC255" s="98"/>
      <c r="AD255" s="98"/>
      <c r="AE255" s="98"/>
      <c r="AF255" s="98"/>
      <c r="AG255" s="98"/>
      <c r="AH255" s="98"/>
      <c r="AI255" s="98"/>
      <c r="AJ255" s="98"/>
      <c r="AK255" s="98"/>
      <c r="AL255" s="98"/>
      <c r="AM255" s="98"/>
      <c r="AN255" s="98"/>
      <c r="AO255" s="98"/>
    </row>
    <row r="256" spans="3:41" ht="20.100000000000001" customHeight="1" x14ac:dyDescent="0.25">
      <c r="D256" s="9" t="str" cm="1">
        <f t="array" ref="D256">Scope3_Equations.VEERG_15_5_1_1__1_EmissionsFromPurchasedAgrichemicals_Title()</f>
        <v>Total emissions from purchased agrichemicals</v>
      </c>
    </row>
    <row r="257" spans="4:9" ht="20.100000000000001" customHeight="1" x14ac:dyDescent="0.25">
      <c r="D257" s="11" t="str" cm="1">
        <f t="array" ref="D257">Scope3_Equations.VEERG_15_5_1_1__1_EmissionsFromPurchasedAgrichemicals_Source()</f>
        <v>VEERG 2026: 15.5.1.1, Equation (1)</v>
      </c>
    </row>
    <row r="258" spans="4:9" ht="20.100000000000001" customHeight="1" x14ac:dyDescent="0.25">
      <c r="D258" s="171" t="s">
        <v>622</v>
      </c>
      <c r="E258" s="171" t="str" cm="1">
        <f t="array" aca="1" ref="E258" ca="1">Common_InputFunctions.Utility_DisplayFunctionName(G270)</f>
        <v>=Scope3_Equations.VEERG_15_5_1_1__1_EmissionsFromPurchasedAgrichemicals</v>
      </c>
    </row>
    <row r="259" spans="4:9" ht="20.100000000000001" customHeight="1" x14ac:dyDescent="0.25"/>
    <row r="260" spans="4:9" ht="20.100000000000001" customHeight="1" x14ac:dyDescent="0.25"/>
    <row r="261" spans="4:9" ht="20.100000000000001" customHeight="1" x14ac:dyDescent="0.25"/>
    <row r="262" spans="4:9" ht="20.100000000000001" customHeight="1" x14ac:dyDescent="0.25">
      <c r="D262" s="27" t="s">
        <v>623</v>
      </c>
      <c r="E262" s="8" t="str" cm="1">
        <f t="array" ref="E262">Scope3_Equations.VEERG_15_5_1_1__1_EmissionsFromPurchasedAgrichemicals_Variable()</f>
        <v>E</v>
      </c>
    </row>
    <row r="263" spans="4:9" ht="20.100000000000001" customHeight="1" x14ac:dyDescent="0.25">
      <c r="D263" s="27" t="s">
        <v>96</v>
      </c>
      <c r="E263" s="13" t="str" cm="1">
        <f t="array" ref="E263">Scope3_Equations.VEERG_15_5_1_1__1_EmissionsFromPurchasedAgrichemicals_Unit()</f>
        <v>t CO2e</v>
      </c>
    </row>
    <row r="264" spans="4:9" ht="20.100000000000001" customHeight="1" x14ac:dyDescent="0.25"/>
    <row r="265" spans="4:9" x14ac:dyDescent="0.25">
      <c r="D265" s="166" t="str" cm="1">
        <f t="array" ref="D265:E267">_xlfn.CHOOSECOLS(Scope3_Equations.VEERG_15_5_1_1__1_EmissionsFromPurchasedAgrichemicals_Arguments(),1,2)</f>
        <v>Q_h</v>
      </c>
      <c r="E265" s="170" t="str">
        <v>quantity of active ingredients in agrichemical type h purchased and applied to soils</v>
      </c>
      <c r="F265" s="165"/>
      <c r="G265" s="166" t="str" cm="1">
        <f t="array" ref="G265:H267">_xlfn.CHOOSECOLS(Scope3_Equations.VEERG_15_5_1_1__1_EmissionsFromPurchasedAgrichemicals_Arguments(),3,4)</f>
        <v>kg ai</v>
      </c>
      <c r="H265" s="167" t="str">
        <v>Input</v>
      </c>
    </row>
    <row r="266" spans="4:9" x14ac:dyDescent="0.25">
      <c r="D266" s="166" t="str">
        <v>EF_h</v>
      </c>
      <c r="E266" s="170" t="str">
        <v>emission factor for purchased agrichemical active ingredient</v>
      </c>
      <c r="F266" s="165"/>
      <c r="G266" s="166" t="str">
        <v>kg CO2e/kg ai</v>
      </c>
      <c r="H266" s="168" t="str">
        <v>Constant</v>
      </c>
    </row>
    <row r="267" spans="4:9" x14ac:dyDescent="0.25">
      <c r="D267" s="166" t="str">
        <v>h</v>
      </c>
      <c r="E267" s="170" t="str">
        <v>agrichemical type</v>
      </c>
      <c r="F267" s="165"/>
      <c r="G267" s="166" t="str">
        <v/>
      </c>
      <c r="H267" s="167" t="str">
        <v>Input</v>
      </c>
    </row>
    <row r="269" spans="4:9" ht="17.25" x14ac:dyDescent="0.25">
      <c r="D269" s="46" t="s">
        <v>676</v>
      </c>
      <c r="E269" s="46" t="s">
        <v>201</v>
      </c>
      <c r="F269" s="57" t="s">
        <v>677</v>
      </c>
      <c r="G269" s="57" t="s">
        <v>629</v>
      </c>
      <c r="H269" s="46" t="s">
        <v>678</v>
      </c>
      <c r="I269" s="57" t="s">
        <v>631</v>
      </c>
    </row>
    <row r="270" spans="4:9" x14ac:dyDescent="0.25">
      <c r="D270" s="49" t="str" cm="1">
        <f t="array" ref="D270:D281">Table_SourceData_Scope3_Pesticides[Product]</f>
        <v>2,4-D</v>
      </c>
      <c r="E270" s="49">
        <f>SUMIF(Table_Input_Pesticides[Active ingredient 1 (select)],D270,Table_Input_Pesticides[Total active ingredient 1 (kg)])+
SUMIF(Table_Input_Pesticides[Active ingredient 2 (select)],D270,Table_Input_Pesticides[Total active ingredient 2 (kg)])+
SUMIF(Table_Input_Pesticides[Active ingredient 3 (select)],D270,Table_Input_Pesticides[Total active ingredient 3 (kg)])</f>
        <v>100</v>
      </c>
      <c r="F270" s="49" cm="1">
        <f t="array" ref="F270">Common_InputFunctions.Utility_LookupValueInTableNumber(D270,Table_SourceData_Scope3_Pesticides[Product],Table_SourceData_Scope3_Pesticides[AusLCI Emissions intensity])</f>
        <v>5.2</v>
      </c>
      <c r="G270" s="49" cm="1">
        <f t="array" ref="G270">Scope3_Equations.VEERG_15_5_1_1__1_EmissionsFromPurchasedAgrichemicals($E270,F270)</f>
        <v>0.52</v>
      </c>
      <c r="H270" s="66">
        <v>5</v>
      </c>
      <c r="I270" s="49" cm="1">
        <f t="array" ref="I270">Scope3_Equations.VEERG_15_5_1_1__1_EmissionsFromPurchasedAgrichemicals($E270,IF(H270,H270,F270))</f>
        <v>0.5</v>
      </c>
    </row>
    <row r="271" spans="4:9" x14ac:dyDescent="0.25">
      <c r="D271" s="49" t="str">
        <v>Atrazine</v>
      </c>
      <c r="E271" s="49">
        <f>SUMIF(Table_Input_Pesticides[Active ingredient 1 (select)],D271,Table_Input_Pesticides[Total active ingredient 1 (kg)])+
SUMIF(Table_Input_Pesticides[Active ingredient 2 (select)],D271,Table_Input_Pesticides[Total active ingredient 2 (kg)])+
SUMIF(Table_Input_Pesticides[Active ingredient 3 (select)],D271,Table_Input_Pesticides[Total active ingredient 3 (kg)])</f>
        <v>0</v>
      </c>
      <c r="F271" s="49" cm="1">
        <f t="array" ref="F271">Common_InputFunctions.Utility_LookupValueInTableNumber(D271,Table_SourceData_Scope3_Pesticides[Product],Table_SourceData_Scope3_Pesticides[AusLCI Emissions intensity])</f>
        <v>8.3800000000000008</v>
      </c>
      <c r="G271" s="49" cm="1">
        <f t="array" ref="G271">Scope3_Equations.VEERG_15_5_1_1__1_EmissionsFromPurchasedAgrichemicals($E271,F271)</f>
        <v>0</v>
      </c>
      <c r="H271" s="66">
        <v>8</v>
      </c>
      <c r="I271" s="49" cm="1">
        <f t="array" ref="I271">Scope3_Equations.VEERG_15_5_1_1__1_EmissionsFromPurchasedAgrichemicals($E271,IF(H271,H271,F271))</f>
        <v>0</v>
      </c>
    </row>
    <row r="272" spans="4:9" x14ac:dyDescent="0.25">
      <c r="D272" s="49" t="str">
        <v>Diuron</v>
      </c>
      <c r="E272" s="49">
        <f>SUMIF(Table_Input_Pesticides[Active ingredient 1 (select)],D272,Table_Input_Pesticides[Total active ingredient 1 (kg)])+
SUMIF(Table_Input_Pesticides[Active ingredient 2 (select)],D272,Table_Input_Pesticides[Total active ingredient 2 (kg)])+
SUMIF(Table_Input_Pesticides[Active ingredient 3 (select)],D272,Table_Input_Pesticides[Total active ingredient 3 (kg)])</f>
        <v>0</v>
      </c>
      <c r="F272" s="49" cm="1">
        <f t="array" ref="F272">Common_InputFunctions.Utility_LookupValueInTableNumber(D272,Table_SourceData_Scope3_Pesticides[Product],Table_SourceData_Scope3_Pesticides[AusLCI Emissions intensity])</f>
        <v>8.8000000000000007</v>
      </c>
      <c r="G272" s="49" cm="1">
        <f t="array" ref="G272">Scope3_Equations.VEERG_15_5_1_1__1_EmissionsFromPurchasedAgrichemicals($E272,F272)</f>
        <v>0</v>
      </c>
      <c r="H272" s="66"/>
      <c r="I272" s="49" cm="1">
        <f t="array" ref="I272">Scope3_Equations.VEERG_15_5_1_1__1_EmissionsFromPurchasedAgrichemicals($E272,IF(H272,H272,F272))</f>
        <v>0</v>
      </c>
    </row>
    <row r="273" spans="3:41" x14ac:dyDescent="0.25">
      <c r="D273" s="49" t="str">
        <v>Glyphosate</v>
      </c>
      <c r="E273" s="49">
        <f>SUMIF(Table_Input_Pesticides[Active ingredient 1 (select)],D273,Table_Input_Pesticides[Total active ingredient 1 (kg)])+
SUMIF(Table_Input_Pesticides[Active ingredient 2 (select)],D273,Table_Input_Pesticides[Total active ingredient 2 (kg)])+
SUMIF(Table_Input_Pesticides[Active ingredient 3 (select)],D273,Table_Input_Pesticides[Total active ingredient 3 (kg)])</f>
        <v>100</v>
      </c>
      <c r="F273" s="49" cm="1">
        <f t="array" ref="F273">Common_InputFunctions.Utility_LookupValueInTableNumber(D273,Table_SourceData_Scope3_Pesticides[Product],Table_SourceData_Scope3_Pesticides[AusLCI Emissions intensity])</f>
        <v>10.3</v>
      </c>
      <c r="G273" s="49" cm="1">
        <f t="array" ref="G273">Scope3_Equations.VEERG_15_5_1_1__1_EmissionsFromPurchasedAgrichemicals($E273,F273)</f>
        <v>1.03</v>
      </c>
      <c r="H273" s="66"/>
      <c r="I273" s="49" cm="1">
        <f t="array" ref="I273">Scope3_Equations.VEERG_15_5_1_1__1_EmissionsFromPurchasedAgrichemicals($E273,IF(H273,H273,F273))</f>
        <v>1.03</v>
      </c>
    </row>
    <row r="274" spans="3:41" x14ac:dyDescent="0.25">
      <c r="D274" s="49" t="str">
        <v>Mancozeb</v>
      </c>
      <c r="E274" s="49">
        <f>SUMIF(Table_Input_Pesticides[Active ingredient 1 (select)],D274,Table_Input_Pesticides[Total active ingredient 1 (kg)])+
SUMIF(Table_Input_Pesticides[Active ingredient 2 (select)],D274,Table_Input_Pesticides[Total active ingredient 2 (kg)])+
SUMIF(Table_Input_Pesticides[Active ingredient 3 (select)],D274,Table_Input_Pesticides[Total active ingredient 3 (kg)])</f>
        <v>0</v>
      </c>
      <c r="F274" s="49" cm="1">
        <f t="array" ref="F274">Common_InputFunctions.Utility_LookupValueInTableNumber(D274,Table_SourceData_Scope3_Pesticides[Product],Table_SourceData_Scope3_Pesticides[AusLCI Emissions intensity])</f>
        <v>4.55</v>
      </c>
      <c r="G274" s="49" cm="1">
        <f t="array" ref="G274">Scope3_Equations.VEERG_15_5_1_1__1_EmissionsFromPurchasedAgrichemicals($E274,F274)</f>
        <v>0</v>
      </c>
      <c r="H274" s="66"/>
      <c r="I274" s="49" cm="1">
        <f t="array" ref="I274">Scope3_Equations.VEERG_15_5_1_1__1_EmissionsFromPurchasedAgrichemicals($E274,IF(H274,H274,F274))</f>
        <v>0</v>
      </c>
    </row>
    <row r="275" spans="3:41" x14ac:dyDescent="0.25">
      <c r="D275" s="49" t="str">
        <v>MCPA</v>
      </c>
      <c r="E275" s="49">
        <f>SUMIF(Table_Input_Pesticides[Active ingredient 1 (select)],D275,Table_Input_Pesticides[Total active ingredient 1 (kg)])+
SUMIF(Table_Input_Pesticides[Active ingredient 2 (select)],D275,Table_Input_Pesticides[Total active ingredient 2 (kg)])+
SUMIF(Table_Input_Pesticides[Active ingredient 3 (select)],D275,Table_Input_Pesticides[Total active ingredient 3 (kg)])</f>
        <v>0</v>
      </c>
      <c r="F275" s="49" cm="1">
        <f t="array" ref="F275">Common_InputFunctions.Utility_LookupValueInTableNumber(D275,Table_SourceData_Scope3_Pesticides[Product],Table_SourceData_Scope3_Pesticides[AusLCI Emissions intensity])</f>
        <v>5.6</v>
      </c>
      <c r="G275" s="49" cm="1">
        <f t="array" ref="G275">Scope3_Equations.VEERG_15_5_1_1__1_EmissionsFromPurchasedAgrichemicals($E275,F275)</f>
        <v>0</v>
      </c>
      <c r="H275" s="66"/>
      <c r="I275" s="49" cm="1">
        <f t="array" ref="I275">Scope3_Equations.VEERG_15_5_1_1__1_EmissionsFromPurchasedAgrichemicals($E275,IF(H275,H275,F275))</f>
        <v>0</v>
      </c>
    </row>
    <row r="276" spans="3:41" x14ac:dyDescent="0.25">
      <c r="D276" s="49" t="str">
        <v>Metolachlor</v>
      </c>
      <c r="E276" s="49">
        <f>SUMIF(Table_Input_Pesticides[Active ingredient 1 (select)],D276,Table_Input_Pesticides[Total active ingredient 1 (kg)])+
SUMIF(Table_Input_Pesticides[Active ingredient 2 (select)],D276,Table_Input_Pesticides[Total active ingredient 2 (kg)])+
SUMIF(Table_Input_Pesticides[Active ingredient 3 (select)],D276,Table_Input_Pesticides[Total active ingredient 3 (kg)])</f>
        <v>100</v>
      </c>
      <c r="F276" s="49" cm="1">
        <f t="array" ref="F276">Common_InputFunctions.Utility_LookupValueInTableNumber(D276,Table_SourceData_Scope3_Pesticides[Product],Table_SourceData_Scope3_Pesticides[AusLCI Emissions intensity])</f>
        <v>8.06</v>
      </c>
      <c r="G276" s="49" cm="1">
        <f t="array" ref="G276">Scope3_Equations.VEERG_15_5_1_1__1_EmissionsFromPurchasedAgrichemicals($E276,F276)</f>
        <v>0.80600000000000005</v>
      </c>
      <c r="H276" s="66"/>
      <c r="I276" s="49" cm="1">
        <f t="array" ref="I276">Scope3_Equations.VEERG_15_5_1_1__1_EmissionsFromPurchasedAgrichemicals($E276,IF(H276,H276,F276))</f>
        <v>0.80600000000000005</v>
      </c>
    </row>
    <row r="277" spans="3:41" x14ac:dyDescent="0.25">
      <c r="D277" s="49" t="str">
        <v>Metsulfuron-methyl</v>
      </c>
      <c r="E277" s="49">
        <f>SUMIF(Table_Input_Pesticides[Active ingredient 1 (select)],D277,Table_Input_Pesticides[Total active ingredient 1 (kg)])+
SUMIF(Table_Input_Pesticides[Active ingredient 2 (select)],D277,Table_Input_Pesticides[Total active ingredient 2 (kg)])+
SUMIF(Table_Input_Pesticides[Active ingredient 3 (select)],D277,Table_Input_Pesticides[Total active ingredient 3 (kg)])</f>
        <v>0</v>
      </c>
      <c r="F277" s="49" cm="1">
        <f t="array" ref="F277">Common_InputFunctions.Utility_LookupValueInTableNumber(D277,Table_SourceData_Scope3_Pesticides[Product],Table_SourceData_Scope3_Pesticides[AusLCI Emissions intensity])</f>
        <v>8.8000000000000007</v>
      </c>
      <c r="G277" s="49" cm="1">
        <f t="array" ref="G277">Scope3_Equations.VEERG_15_5_1_1__1_EmissionsFromPurchasedAgrichemicals($E277,F277)</f>
        <v>0</v>
      </c>
      <c r="H277" s="66"/>
      <c r="I277" s="49" cm="1">
        <f t="array" ref="I277">Scope3_Equations.VEERG_15_5_1_1__1_EmissionsFromPurchasedAgrichemicals($E277,IF(H277,H277,F277))</f>
        <v>0</v>
      </c>
    </row>
    <row r="278" spans="3:41" x14ac:dyDescent="0.25">
      <c r="D278" s="49" t="str">
        <v>Pesticides (generic)</v>
      </c>
      <c r="E278" s="49">
        <f>SUMIF(Table_Input_Pesticides[Active ingredient 1 (select)],D278,Table_Input_Pesticides[Total active ingredient 1 (kg)])+
SUMIF(Table_Input_Pesticides[Active ingredient 2 (select)],D278,Table_Input_Pesticides[Total active ingredient 2 (kg)])+
SUMIF(Table_Input_Pesticides[Active ingredient 3 (select)],D278,Table_Input_Pesticides[Total active ingredient 3 (kg)])</f>
        <v>400</v>
      </c>
      <c r="F278" s="49" cm="1">
        <f t="array" ref="F278">Common_InputFunctions.Utility_LookupValueInTableNumber(D278,Table_SourceData_Scope3_Pesticides[Product],Table_SourceData_Scope3_Pesticides[AusLCI Emissions intensity])</f>
        <v>9.16</v>
      </c>
      <c r="G278" s="49" cm="1">
        <f t="array" ref="G278">Scope3_Equations.VEERG_15_5_1_1__1_EmissionsFromPurchasedAgrichemicals($E278,F278)</f>
        <v>3.6640000000000001</v>
      </c>
      <c r="H278" s="66"/>
      <c r="I278" s="49" cm="1">
        <f t="array" ref="I278">Scope3_Equations.VEERG_15_5_1_1__1_EmissionsFromPurchasedAgrichemicals($E278,IF(H278,H278,F278))</f>
        <v>3.6640000000000001</v>
      </c>
    </row>
    <row r="279" spans="3:41" x14ac:dyDescent="0.25">
      <c r="D279" s="49" t="str">
        <v>Tri-allate</v>
      </c>
      <c r="E279" s="49">
        <f>SUMIF(Table_Input_Pesticides[Active ingredient 1 (select)],D279,Table_Input_Pesticides[Total active ingredient 1 (kg)])+
SUMIF(Table_Input_Pesticides[Active ingredient 2 (select)],D279,Table_Input_Pesticides[Total active ingredient 2 (kg)])+
SUMIF(Table_Input_Pesticides[Active ingredient 3 (select)],D279,Table_Input_Pesticides[Total active ingredient 3 (kg)])</f>
        <v>0</v>
      </c>
      <c r="F279" s="49" cm="1">
        <f t="array" ref="F279">Common_InputFunctions.Utility_LookupValueInTableNumber(D279,Table_SourceData_Scope3_Pesticides[Product],Table_SourceData_Scope3_Pesticides[AusLCI Emissions intensity])</f>
        <v>8.57</v>
      </c>
      <c r="G279" s="49" cm="1">
        <f t="array" ref="G279">Scope3_Equations.VEERG_15_5_1_1__1_EmissionsFromPurchasedAgrichemicals($E279,F279)</f>
        <v>0</v>
      </c>
      <c r="H279" s="66"/>
      <c r="I279" s="49" cm="1">
        <f t="array" ref="I279">Scope3_Equations.VEERG_15_5_1_1__1_EmissionsFromPurchasedAgrichemicals($E279,IF(H279,H279,F279))</f>
        <v>0</v>
      </c>
    </row>
    <row r="280" spans="3:41" x14ac:dyDescent="0.25">
      <c r="D280" s="49" t="str">
        <v>Tribenuron methyl</v>
      </c>
      <c r="E280" s="49">
        <f>SUMIF(Table_Input_Pesticides[Active ingredient 1 (select)],D280,Table_Input_Pesticides[Total active ingredient 1 (kg)])+
SUMIF(Table_Input_Pesticides[Active ingredient 2 (select)],D280,Table_Input_Pesticides[Total active ingredient 2 (kg)])+
SUMIF(Table_Input_Pesticides[Active ingredient 3 (select)],D280,Table_Input_Pesticides[Total active ingredient 3 (kg)])</f>
        <v>100</v>
      </c>
      <c r="F280" s="49" cm="1">
        <f t="array" ref="F280">Common_InputFunctions.Utility_LookupValueInTableNumber(D280,Table_SourceData_Scope3_Pesticides[Product],Table_SourceData_Scope3_Pesticides[AusLCI Emissions intensity])</f>
        <v>8.8000000000000007</v>
      </c>
      <c r="G280" s="49" cm="1">
        <f t="array" ref="G280">Scope3_Equations.VEERG_15_5_1_1__1_EmissionsFromPurchasedAgrichemicals($E280,F280)</f>
        <v>0.88000000000000012</v>
      </c>
      <c r="H280" s="66"/>
      <c r="I280" s="49" cm="1">
        <f t="array" ref="I280">Scope3_Equations.VEERG_15_5_1_1__1_EmissionsFromPurchasedAgrichemicals($E280,IF(H280,H280,F280))</f>
        <v>0.88000000000000012</v>
      </c>
    </row>
    <row r="281" spans="3:41" x14ac:dyDescent="0.25">
      <c r="D281" s="49" t="str">
        <v>Trifluralin</v>
      </c>
      <c r="E281" s="49">
        <f>SUMIF(Table_Input_Pesticides[Active ingredient 1 (select)],D281,Table_Input_Pesticides[Total active ingredient 1 (kg)])+
SUMIF(Table_Input_Pesticides[Active ingredient 2 (select)],D281,Table_Input_Pesticides[Total active ingredient 2 (kg)])+
SUMIF(Table_Input_Pesticides[Active ingredient 3 (select)],D281,Table_Input_Pesticides[Total active ingredient 3 (kg)])</f>
        <v>100</v>
      </c>
      <c r="F281" s="49" cm="1">
        <f t="array" ref="F281">Common_InputFunctions.Utility_LookupValueInTableNumber(D281,Table_SourceData_Scope3_Pesticides[Product],Table_SourceData_Scope3_Pesticides[AusLCI Emissions intensity])</f>
        <v>6.16</v>
      </c>
      <c r="G281" s="49" cm="1">
        <f t="array" ref="G281">Scope3_Equations.VEERG_15_5_1_1__1_EmissionsFromPurchasedAgrichemicals($E281,F281)</f>
        <v>0.61599999999999999</v>
      </c>
      <c r="H281" s="66"/>
      <c r="I281" s="49" cm="1">
        <f t="array" ref="I281">Scope3_Equations.VEERG_15_5_1_1__1_EmissionsFromPurchasedAgrichemicals($E281,IF(H281,H281,F281))</f>
        <v>0.61599999999999999</v>
      </c>
    </row>
    <row r="283" spans="3:41" ht="20.25" x14ac:dyDescent="0.25">
      <c r="D283" s="178" t="s">
        <v>629</v>
      </c>
      <c r="E283" s="176">
        <f>SUM(G270:G281)</f>
        <v>7.5159999999999991</v>
      </c>
      <c r="F283" s="177" t="str">
        <f>$E$155</f>
        <v>t CO2e</v>
      </c>
    </row>
    <row r="284" spans="3:41" ht="20.25" x14ac:dyDescent="0.25">
      <c r="D284" s="178" t="s">
        <v>631</v>
      </c>
      <c r="E284" s="176">
        <f>SUM(I270:I281)</f>
        <v>7.4959999999999996</v>
      </c>
      <c r="F284" s="177" t="str">
        <f>$E$155</f>
        <v>t CO2e</v>
      </c>
    </row>
    <row r="287" spans="3:41" x14ac:dyDescent="0.25">
      <c r="C287" s="98"/>
      <c r="D287" s="98"/>
      <c r="E287" s="98"/>
      <c r="F287" s="98"/>
      <c r="G287" s="98"/>
      <c r="H287" s="98"/>
      <c r="I287" s="98"/>
      <c r="J287" s="98"/>
      <c r="K287" s="98"/>
      <c r="L287" s="98"/>
      <c r="M287" s="98"/>
      <c r="N287" s="98"/>
      <c r="O287" s="98"/>
      <c r="P287" s="98"/>
      <c r="Q287" s="98"/>
      <c r="R287" s="98"/>
      <c r="S287" s="98"/>
      <c r="T287" s="98"/>
      <c r="U287" s="98"/>
      <c r="V287" s="98"/>
      <c r="W287" s="98"/>
      <c r="X287" s="98"/>
      <c r="Y287" s="98"/>
      <c r="Z287" s="98"/>
      <c r="AA287" s="98"/>
      <c r="AB287" s="98"/>
      <c r="AC287" s="98"/>
      <c r="AD287" s="98"/>
      <c r="AE287" s="98"/>
      <c r="AF287" s="98"/>
      <c r="AG287" s="98"/>
      <c r="AH287" s="98"/>
      <c r="AI287" s="98"/>
      <c r="AJ287" s="98"/>
      <c r="AK287" s="98"/>
      <c r="AL287" s="98"/>
      <c r="AM287" s="98"/>
      <c r="AN287" s="98"/>
      <c r="AO287" s="98"/>
    </row>
    <row r="288" spans="3:41" ht="23.25" x14ac:dyDescent="0.25">
      <c r="D288" s="9" t="str" cm="1">
        <f t="array" ref="D288">Scope3_Equations.VEERG_15_6_1_1__1_EmissionsFromPurchasedLime_Title()</f>
        <v>Embedded emissions for purchased lime</v>
      </c>
    </row>
    <row r="289" spans="4:13" x14ac:dyDescent="0.25">
      <c r="D289" s="11" t="str" cm="1">
        <f t="array" ref="D289">Scope3_Equations.VEERG_15_6_1_1__1_EmissionsFromPurchasedLime_Source()</f>
        <v>VEERG 2026: 15.6.1.1, Equation (1)</v>
      </c>
    </row>
    <row r="290" spans="4:13" x14ac:dyDescent="0.25">
      <c r="D290" s="171" t="s">
        <v>622</v>
      </c>
      <c r="E290" s="171" t="str" cm="1">
        <f t="array" aca="1" ref="E290" ca="1">Common_InputFunctions.Utility_DisplayFunctionName(I305)</f>
        <v>=Scope3_Equations.VEERG_15_6_1_1__1_EmissionsFromPurchasedLime</v>
      </c>
    </row>
    <row r="293" spans="4:13" x14ac:dyDescent="0.25">
      <c r="D293" s="27" t="s">
        <v>623</v>
      </c>
      <c r="E293" s="8" t="str" cm="1">
        <f t="array" ref="E293">Scope3_Equations.VEERG_15_6_1_1__1_EmissionsFromPurchasedLime_Variable()</f>
        <v>E</v>
      </c>
    </row>
    <row r="294" spans="4:13" x14ac:dyDescent="0.25">
      <c r="D294" s="27" t="s">
        <v>96</v>
      </c>
      <c r="E294" s="8" t="str" cm="1">
        <f t="array" ref="E294">Scope3_Equations.VEERG_15_6_1_1__1_EmissionsFromPurchasedLime_Unit()</f>
        <v>t CO2e</v>
      </c>
    </row>
    <row r="296" spans="4:13" x14ac:dyDescent="0.25">
      <c r="D296" s="166" t="str" cm="1">
        <f t="array" ref="D296:E297">_xlfn.CHOOSECOLS(Scope3_Equations.VEERG_15_6_1_1__1_EmissionsFromPurchasedLime_Arguments(),1,2)</f>
        <v>M_lime</v>
      </c>
      <c r="E296" s="166" t="str">
        <v>total quantity of lime applied to soils</v>
      </c>
      <c r="F296" s="166" t="str" cm="1">
        <f t="array" ref="F296:G297">_xlfn.CHOOSECOLS(Scope3_Equations.VEERG_15_6_1_1__1_EmissionsFromPurchasedLime_Arguments(),3,4)</f>
        <v>t</v>
      </c>
      <c r="G296" s="167" t="str">
        <v>Input</v>
      </c>
    </row>
    <row r="297" spans="4:13" x14ac:dyDescent="0.25">
      <c r="D297" s="166" t="str">
        <v>EF_l</v>
      </c>
      <c r="E297" s="166" t="str">
        <v>emission factor for purchased lime</v>
      </c>
      <c r="F297" s="166" t="str">
        <v>t CO2e/t</v>
      </c>
      <c r="G297" s="168" t="str">
        <v>Constant</v>
      </c>
    </row>
    <row r="299" spans="4:13" x14ac:dyDescent="0.25">
      <c r="E299" s="57" t="s">
        <v>404</v>
      </c>
      <c r="F299" s="46" t="s">
        <v>405</v>
      </c>
    </row>
    <row r="300" spans="4:13" ht="18.75" x14ac:dyDescent="0.25">
      <c r="D300" s="8" t="s">
        <v>681</v>
      </c>
      <c r="E300" s="49" cm="1">
        <f t="array" ref="E300">Common_InputFunctions.Utility_LookupValueInTableNumber("Limestone (crushed)", Table_SourceData_Scope3_SoilAmeliorants[Product],Table_SourceData_Scope3_SoilAmeliorants[AusLCI Emissions intensity])*10^-3</f>
        <v>4.85E-5</v>
      </c>
      <c r="F300" s="66">
        <v>4.0000000000000003E-5</v>
      </c>
      <c r="G300" s="65" t="str">
        <f>$F$297</f>
        <v>t CO2e/t</v>
      </c>
    </row>
    <row r="301" spans="4:13" ht="18.75" x14ac:dyDescent="0.25">
      <c r="D301" s="8" t="s">
        <v>682</v>
      </c>
      <c r="E301" s="49" cm="1">
        <f t="array" ref="E301">Common_InputFunctions.Utility_LookupValueInTableNumber("Dolomite", Table_SourceData_Scope3_SoilAmeliorants[Product],Table_SourceData_Scope3_SoilAmeliorants[AusLCI Emissions intensity])*10^-3</f>
        <v>6.5199999999999999E-5</v>
      </c>
      <c r="F301" s="66">
        <v>6.0000000000000002E-5</v>
      </c>
      <c r="G301" s="65"/>
    </row>
    <row r="302" spans="4:13" ht="18.75" x14ac:dyDescent="0.25">
      <c r="D302" s="8" t="s">
        <v>683</v>
      </c>
      <c r="E302" s="49" cm="1">
        <f t="array" ref="E302">Common_InputFunctions.Utility_LookupValueInTableNumber("Gypsum", Table_SourceData_Scope3_SoilAmeliorants[Product],Table_SourceData_Scope3_SoilAmeliorants[AusLCI Emissions intensity])*10^-3</f>
        <v>6.5199999999999999E-5</v>
      </c>
      <c r="F302" s="66">
        <v>6.0000000000000002E-5</v>
      </c>
      <c r="G302" s="65"/>
    </row>
    <row r="304" spans="4:13" ht="17.25" x14ac:dyDescent="0.25">
      <c r="D304" s="46" t="s">
        <v>169</v>
      </c>
      <c r="E304" s="151" t="s">
        <v>679</v>
      </c>
      <c r="F304" s="46" t="s">
        <v>684</v>
      </c>
      <c r="G304" s="46" t="s">
        <v>685</v>
      </c>
      <c r="H304" s="46" t="s">
        <v>686</v>
      </c>
      <c r="I304" s="57" t="s">
        <v>629</v>
      </c>
      <c r="J304" s="57" t="s">
        <v>680</v>
      </c>
      <c r="K304" s="46" t="s">
        <v>625</v>
      </c>
      <c r="L304" s="46" t="s">
        <v>626</v>
      </c>
      <c r="M304" s="46" t="s">
        <v>627</v>
      </c>
    </row>
    <row r="305" spans="3:41" x14ac:dyDescent="0.25">
      <c r="D305" s="49" t="str" cm="1">
        <f t="array" ref="D305:D314">IFERROR(INDEX(Table_Input_Lime[Product], _xlfn.SEQUENCE(10)), "")</f>
        <v>Lime product 1</v>
      </c>
      <c r="E305" s="49" cm="1">
        <f t="array" ref="E305:E314">IFERROR(INDEX(Table_Input_Lime[Total amount applied (t)], _xlfn.SEQUENCE(10)), 0)</f>
        <v>100</v>
      </c>
      <c r="F305" s="49" cm="1">
        <f t="array" ref="F305:F314">IFERROR(INDEX(Table_Input_Lime[Percent Lime CaCO3], _xlfn.SEQUENCE(10)), 0)*E305</f>
        <v>80</v>
      </c>
      <c r="G305" s="49" cm="1">
        <f t="array" ref="G305:G314">IFERROR(INDEX(Table_Input_Lime[Percent Dolomite CaMg(CO3)2], _xlfn.SEQUENCE(10)), 0)*E305</f>
        <v>10</v>
      </c>
      <c r="H305" s="49" cm="1">
        <f t="array" ref="H305:H314">IFERROR(INDEX(Table_Input_Lime[Percent Gypsum], _xlfn.SEQUENCE(10)), 0)*E305</f>
        <v>10</v>
      </c>
      <c r="I305" s="150" cm="1">
        <f t="array" ref="I305">Scope3_Equations.VEERG_15_6_1_1__1_EmissionsFromPurchasedLime(F305,$E$300)+
Scope3_Equations.VEERG_15_6_1_1__1_EmissionsFromPurchasedLime(G305,$E$301)+
Scope3_Equations.VEERG_15_6_1_1__1_EmissionsFromPurchasedLime(H305,$E$302)</f>
        <v>5.1839999999999994E-3</v>
      </c>
      <c r="J305" s="150" cm="1">
        <f t="array" ref="J305">Scope3_Equations.VEERG_15_6_1_1__1_EmissionsFromPurchasedLime(F305,IF($F$300,$F$300,$E$300))+
Scope3_Equations.VEERG_15_6_1_1__1_EmissionsFromPurchasedLime(G305,IF($F$301,$F$301,$E$301))+
Scope3_Equations.VEERG_15_6_1_1__1_EmissionsFromPurchasedLime(H305,IF($F$302,$F$302,$E$302))</f>
        <v>4.4000000000000003E-3</v>
      </c>
      <c r="K305" s="82"/>
      <c r="L305" s="47"/>
      <c r="M305" s="82"/>
    </row>
    <row r="306" spans="3:41" x14ac:dyDescent="0.25">
      <c r="D306" s="49" t="str">
        <v>Lime product 2</v>
      </c>
      <c r="E306" s="49">
        <v>100</v>
      </c>
      <c r="F306" s="49">
        <v>100</v>
      </c>
      <c r="G306" s="49">
        <v>0</v>
      </c>
      <c r="H306" s="49">
        <v>0</v>
      </c>
      <c r="I306" s="150" cm="1">
        <f t="array" ref="I306">Scope3_Equations.VEERG_15_6_1_1__1_EmissionsFromPurchasedLime(F306,$E$300)+
Scope3_Equations.VEERG_15_6_1_1__1_EmissionsFromPurchasedLime(G306,$E$301)+
Scope3_Equations.VEERG_15_6_1_1__1_EmissionsFromPurchasedLime(H306,$E$302)</f>
        <v>4.8500000000000001E-3</v>
      </c>
      <c r="J306" s="150" cm="1">
        <f t="array" ref="J306">Scope3_Equations.VEERG_15_6_1_1__1_EmissionsFromPurchasedLime(F306,IF($F$300,$F$300,$E$300))+
Scope3_Equations.VEERG_15_6_1_1__1_EmissionsFromPurchasedLime(G306,IF($F$301,$F$301,$E$301))+
Scope3_Equations.VEERG_15_6_1_1__1_EmissionsFromPurchasedLime(H306,IF($F$302,$F$302,$E$302))</f>
        <v>4.0000000000000001E-3</v>
      </c>
      <c r="K306" s="82"/>
      <c r="L306" s="47"/>
      <c r="M306" s="82"/>
    </row>
    <row r="307" spans="3:41" x14ac:dyDescent="0.25">
      <c r="D307" s="49" t="str">
        <v>Lime product 3</v>
      </c>
      <c r="E307" s="49">
        <v>100</v>
      </c>
      <c r="F307" s="49">
        <v>0</v>
      </c>
      <c r="G307" s="49">
        <v>0</v>
      </c>
      <c r="H307" s="49">
        <v>100</v>
      </c>
      <c r="I307" s="150" cm="1">
        <f t="array" ref="I307">Scope3_Equations.VEERG_15_6_1_1__1_EmissionsFromPurchasedLime(F307,$E$300)+
Scope3_Equations.VEERG_15_6_1_1__1_EmissionsFromPurchasedLime(G307,$E$301)+
Scope3_Equations.VEERG_15_6_1_1__1_EmissionsFromPurchasedLime(H307,$E$302)</f>
        <v>6.5199999999999998E-3</v>
      </c>
      <c r="J307" s="150" cm="1">
        <f t="array" ref="J307">Scope3_Equations.VEERG_15_6_1_1__1_EmissionsFromPurchasedLime(F307,IF($F$300,$F$300,$E$300))+
Scope3_Equations.VEERG_15_6_1_1__1_EmissionsFromPurchasedLime(G307,IF($F$301,$F$301,$E$301))+
Scope3_Equations.VEERG_15_6_1_1__1_EmissionsFromPurchasedLime(H307,IF($F$302,$F$302,$E$302))</f>
        <v>6.0000000000000001E-3</v>
      </c>
      <c r="K307" s="82"/>
      <c r="L307" s="47"/>
      <c r="M307" s="82"/>
    </row>
    <row r="308" spans="3:41" x14ac:dyDescent="0.25">
      <c r="D308" s="49" t="str">
        <v/>
      </c>
      <c r="E308" s="49">
        <v>0</v>
      </c>
      <c r="F308" s="49">
        <v>0</v>
      </c>
      <c r="G308" s="49">
        <v>0</v>
      </c>
      <c r="H308" s="49">
        <v>0</v>
      </c>
      <c r="I308" s="150" cm="1">
        <f t="array" ref="I308">Scope3_Equations.VEERG_15_6_1_1__1_EmissionsFromPurchasedLime(F308,$E$300)+
Scope3_Equations.VEERG_15_6_1_1__1_EmissionsFromPurchasedLime(G308,$E$301)+
Scope3_Equations.VEERG_15_6_1_1__1_EmissionsFromPurchasedLime(H308,$E$302)</f>
        <v>0</v>
      </c>
      <c r="J308" s="150" cm="1">
        <f t="array" ref="J308">Scope3_Equations.VEERG_15_6_1_1__1_EmissionsFromPurchasedLime(F308,IF($F$300,$F$300,$E$300))+
Scope3_Equations.VEERG_15_6_1_1__1_EmissionsFromPurchasedLime(G308,IF($F$301,$F$301,$E$301))+
Scope3_Equations.VEERG_15_6_1_1__1_EmissionsFromPurchasedLime(H308,IF($F$302,$F$302,$E$302))</f>
        <v>0</v>
      </c>
      <c r="K308" s="82"/>
      <c r="L308" s="47"/>
      <c r="M308" s="82"/>
    </row>
    <row r="309" spans="3:41" x14ac:dyDescent="0.25">
      <c r="D309" s="49" t="str">
        <v/>
      </c>
      <c r="E309" s="49">
        <v>0</v>
      </c>
      <c r="F309" s="49">
        <v>0</v>
      </c>
      <c r="G309" s="49">
        <v>0</v>
      </c>
      <c r="H309" s="49">
        <v>0</v>
      </c>
      <c r="I309" s="150" cm="1">
        <f t="array" ref="I309">Scope3_Equations.VEERG_15_6_1_1__1_EmissionsFromPurchasedLime(F309,$E$300)+
Scope3_Equations.VEERG_15_6_1_1__1_EmissionsFromPurchasedLime(G309,$E$301)+
Scope3_Equations.VEERG_15_6_1_1__1_EmissionsFromPurchasedLime(H309,$E$302)</f>
        <v>0</v>
      </c>
      <c r="J309" s="150" cm="1">
        <f t="array" ref="J309">Scope3_Equations.VEERG_15_6_1_1__1_EmissionsFromPurchasedLime(F309,IF($F$300,$F$300,$E$300))+
Scope3_Equations.VEERG_15_6_1_1__1_EmissionsFromPurchasedLime(G309,IF($F$301,$F$301,$E$301))+
Scope3_Equations.VEERG_15_6_1_1__1_EmissionsFromPurchasedLime(H309,IF($F$302,$F$302,$E$302))</f>
        <v>0</v>
      </c>
      <c r="K309" s="82"/>
      <c r="L309" s="47"/>
      <c r="M309" s="82"/>
    </row>
    <row r="310" spans="3:41" x14ac:dyDescent="0.25">
      <c r="D310" s="49" t="str">
        <v/>
      </c>
      <c r="E310" s="49">
        <v>0</v>
      </c>
      <c r="F310" s="49">
        <v>0</v>
      </c>
      <c r="G310" s="49">
        <v>0</v>
      </c>
      <c r="H310" s="49">
        <v>0</v>
      </c>
      <c r="I310" s="150" cm="1">
        <f t="array" ref="I310">Scope3_Equations.VEERG_15_6_1_1__1_EmissionsFromPurchasedLime(F310,$E$300)+
Scope3_Equations.VEERG_15_6_1_1__1_EmissionsFromPurchasedLime(G310,$E$301)+
Scope3_Equations.VEERG_15_6_1_1__1_EmissionsFromPurchasedLime(H310,$E$302)</f>
        <v>0</v>
      </c>
      <c r="J310" s="150" cm="1">
        <f t="array" ref="J310">Scope3_Equations.VEERG_15_6_1_1__1_EmissionsFromPurchasedLime(F310,IF($F$300,$F$300,$E$300))+
Scope3_Equations.VEERG_15_6_1_1__1_EmissionsFromPurchasedLime(G310,IF($F$301,$F$301,$E$301))+
Scope3_Equations.VEERG_15_6_1_1__1_EmissionsFromPurchasedLime(H310,IF($F$302,$F$302,$E$302))</f>
        <v>0</v>
      </c>
      <c r="K310" s="82"/>
      <c r="L310" s="47"/>
      <c r="M310" s="82"/>
    </row>
    <row r="311" spans="3:41" x14ac:dyDescent="0.25">
      <c r="D311" s="49" t="str">
        <v/>
      </c>
      <c r="E311" s="49">
        <v>0</v>
      </c>
      <c r="F311" s="49">
        <v>0</v>
      </c>
      <c r="G311" s="49">
        <v>0</v>
      </c>
      <c r="H311" s="49">
        <v>0</v>
      </c>
      <c r="I311" s="150" cm="1">
        <f t="array" ref="I311">Scope3_Equations.VEERG_15_6_1_1__1_EmissionsFromPurchasedLime(F311,$E$300)+
Scope3_Equations.VEERG_15_6_1_1__1_EmissionsFromPurchasedLime(G311,$E$301)+
Scope3_Equations.VEERG_15_6_1_1__1_EmissionsFromPurchasedLime(H311,$E$302)</f>
        <v>0</v>
      </c>
      <c r="J311" s="150" cm="1">
        <f t="array" ref="J311">Scope3_Equations.VEERG_15_6_1_1__1_EmissionsFromPurchasedLime(F311,IF($F$300,$F$300,$E$300))+
Scope3_Equations.VEERG_15_6_1_1__1_EmissionsFromPurchasedLime(G311,IF($F$301,$F$301,$E$301))+
Scope3_Equations.VEERG_15_6_1_1__1_EmissionsFromPurchasedLime(H311,IF($F$302,$F$302,$E$302))</f>
        <v>0</v>
      </c>
      <c r="K311" s="82"/>
      <c r="L311" s="47"/>
      <c r="M311" s="82"/>
    </row>
    <row r="312" spans="3:41" x14ac:dyDescent="0.25">
      <c r="D312" s="49" t="str">
        <v/>
      </c>
      <c r="E312" s="49">
        <v>0</v>
      </c>
      <c r="F312" s="49">
        <v>0</v>
      </c>
      <c r="G312" s="49">
        <v>0</v>
      </c>
      <c r="H312" s="49">
        <v>0</v>
      </c>
      <c r="I312" s="150" cm="1">
        <f t="array" ref="I312">Scope3_Equations.VEERG_15_6_1_1__1_EmissionsFromPurchasedLime(F312,$E$300)+
Scope3_Equations.VEERG_15_6_1_1__1_EmissionsFromPurchasedLime(G312,$E$301)+
Scope3_Equations.VEERG_15_6_1_1__1_EmissionsFromPurchasedLime(H312,$E$302)</f>
        <v>0</v>
      </c>
      <c r="J312" s="150" cm="1">
        <f t="array" ref="J312">Scope3_Equations.VEERG_15_6_1_1__1_EmissionsFromPurchasedLime(F312,IF($F$300,$F$300,$E$300))+
Scope3_Equations.VEERG_15_6_1_1__1_EmissionsFromPurchasedLime(G312,IF($F$301,$F$301,$E$301))+
Scope3_Equations.VEERG_15_6_1_1__1_EmissionsFromPurchasedLime(H312,IF($F$302,$F$302,$E$302))</f>
        <v>0</v>
      </c>
      <c r="K312" s="82"/>
      <c r="L312" s="47"/>
      <c r="M312" s="82"/>
    </row>
    <row r="313" spans="3:41" x14ac:dyDescent="0.25">
      <c r="D313" s="49" t="str">
        <v/>
      </c>
      <c r="E313" s="49">
        <v>0</v>
      </c>
      <c r="F313" s="49">
        <v>0</v>
      </c>
      <c r="G313" s="49">
        <v>0</v>
      </c>
      <c r="H313" s="49">
        <v>0</v>
      </c>
      <c r="I313" s="150" cm="1">
        <f t="array" ref="I313">Scope3_Equations.VEERG_15_6_1_1__1_EmissionsFromPurchasedLime(F313,$E$300)+
Scope3_Equations.VEERG_15_6_1_1__1_EmissionsFromPurchasedLime(G313,$E$301)+
Scope3_Equations.VEERG_15_6_1_1__1_EmissionsFromPurchasedLime(H313,$E$302)</f>
        <v>0</v>
      </c>
      <c r="J313" s="150" cm="1">
        <f t="array" ref="J313">Scope3_Equations.VEERG_15_6_1_1__1_EmissionsFromPurchasedLime(F313,IF($F$300,$F$300,$E$300))+
Scope3_Equations.VEERG_15_6_1_1__1_EmissionsFromPurchasedLime(G313,IF($F$301,$F$301,$E$301))+
Scope3_Equations.VEERG_15_6_1_1__1_EmissionsFromPurchasedLime(H313,IF($F$302,$F$302,$E$302))</f>
        <v>0</v>
      </c>
      <c r="K313" s="82"/>
      <c r="L313" s="47"/>
      <c r="M313" s="82"/>
    </row>
    <row r="314" spans="3:41" x14ac:dyDescent="0.25">
      <c r="D314" s="49" t="str">
        <v/>
      </c>
      <c r="E314" s="49">
        <v>0</v>
      </c>
      <c r="F314" s="49">
        <v>0</v>
      </c>
      <c r="G314" s="49">
        <v>0</v>
      </c>
      <c r="H314" s="49">
        <v>0</v>
      </c>
      <c r="I314" s="150" cm="1">
        <f t="array" ref="I314">Scope3_Equations.VEERG_15_6_1_1__1_EmissionsFromPurchasedLime(F314,$E$300)+
Scope3_Equations.VEERG_15_6_1_1__1_EmissionsFromPurchasedLime(G314,$E$301)+
Scope3_Equations.VEERG_15_6_1_1__1_EmissionsFromPurchasedLime(H314,$E$302)</f>
        <v>0</v>
      </c>
      <c r="J314" s="150" cm="1">
        <f t="array" ref="J314">Scope3_Equations.VEERG_15_6_1_1__1_EmissionsFromPurchasedLime(F314,IF($F$300,$F$300,$E$300))+
Scope3_Equations.VEERG_15_6_1_1__1_EmissionsFromPurchasedLime(G314,IF($F$301,$F$301,$E$301))+
Scope3_Equations.VEERG_15_6_1_1__1_EmissionsFromPurchasedLime(H314,IF($F$302,$F$302,$E$302))</f>
        <v>0</v>
      </c>
      <c r="K314" s="82"/>
      <c r="L314" s="47"/>
      <c r="M314" s="82"/>
    </row>
    <row r="316" spans="3:41" ht="20.25" x14ac:dyDescent="0.25">
      <c r="D316" s="178" t="s">
        <v>629</v>
      </c>
      <c r="E316" s="176">
        <f>SUM(I305:I314)</f>
        <v>1.6553999999999999E-2</v>
      </c>
      <c r="F316" s="177" t="str">
        <f>$E$155</f>
        <v>t CO2e</v>
      </c>
    </row>
    <row r="317" spans="3:41" ht="20.25" x14ac:dyDescent="0.25">
      <c r="D317" s="178" t="s">
        <v>631</v>
      </c>
      <c r="E317" s="176">
        <f>SUM(J305:J314)</f>
        <v>1.4400000000000001E-2</v>
      </c>
      <c r="F317" s="177" t="str">
        <f>$E$155</f>
        <v>t CO2e</v>
      </c>
    </row>
    <row r="320" spans="3:41" x14ac:dyDescent="0.25">
      <c r="C320" s="98"/>
      <c r="D320" s="98"/>
      <c r="E320" s="98"/>
      <c r="F320" s="98"/>
      <c r="G320" s="98"/>
      <c r="H320" s="98"/>
      <c r="I320" s="98"/>
      <c r="J320" s="98"/>
      <c r="K320" s="98"/>
      <c r="L320" s="98"/>
      <c r="M320" s="98"/>
      <c r="N320" s="98"/>
      <c r="O320" s="98"/>
      <c r="P320" s="98"/>
      <c r="Q320" s="98"/>
      <c r="R320" s="98"/>
      <c r="S320" s="98"/>
      <c r="T320" s="98"/>
      <c r="U320" s="98"/>
      <c r="V320" s="98"/>
      <c r="W320" s="98"/>
      <c r="X320" s="98"/>
      <c r="Y320" s="98"/>
      <c r="Z320" s="98"/>
      <c r="AA320" s="98"/>
      <c r="AB320" s="98"/>
      <c r="AC320" s="98"/>
      <c r="AD320" s="98"/>
      <c r="AE320" s="98"/>
      <c r="AF320" s="98"/>
      <c r="AG320" s="98"/>
      <c r="AH320" s="98"/>
      <c r="AI320" s="98"/>
      <c r="AJ320" s="98"/>
      <c r="AK320" s="98"/>
      <c r="AL320" s="98"/>
      <c r="AM320" s="98"/>
      <c r="AN320" s="98"/>
      <c r="AO320" s="98"/>
    </row>
    <row r="321" spans="4:15" ht="23.25" x14ac:dyDescent="0.25">
      <c r="D321" s="9" t="str" cm="1">
        <f t="array" ref="D321">Scope3_Equations.VEERG_15_7_1_1__1_EmissionsFromPurchasedServices_Title()</f>
        <v>Emissions of purchased services and contractor operations</v>
      </c>
    </row>
    <row r="322" spans="4:15" x14ac:dyDescent="0.25">
      <c r="D322" s="11" t="str" cm="1">
        <f t="array" ref="D322">Scope3_Equations.VEERG_15_7_1_1__1_EmissionsFromPurchasedServices_Source()</f>
        <v>VEERG 2026: 15.7.1.1, Equation (1)</v>
      </c>
    </row>
    <row r="323" spans="4:15" x14ac:dyDescent="0.25">
      <c r="D323" s="171" t="s">
        <v>622</v>
      </c>
      <c r="E323" s="171" t="str" cm="1">
        <f t="array" aca="1" ref="E323" ca="1">Common_InputFunctions.Utility_DisplayFunctionName(K336)</f>
        <v>=Scope3_Equations.VEERG_15_7_1_1__1_EmissionsFromPurchasedServices</v>
      </c>
    </row>
    <row r="325" spans="4:15" x14ac:dyDescent="0.25">
      <c r="H325" s="8" t="s">
        <v>849</v>
      </c>
    </row>
    <row r="326" spans="4:15" x14ac:dyDescent="0.25">
      <c r="D326" s="27" t="s">
        <v>623</v>
      </c>
      <c r="E326" s="8" t="str" cm="1">
        <f t="array" ref="E326">Scope3_Equations.VEERG_15_7_1_1__1_EmissionsFromPurchasedServices_Variable()</f>
        <v>E</v>
      </c>
    </row>
    <row r="327" spans="4:15" x14ac:dyDescent="0.25">
      <c r="D327" s="27" t="s">
        <v>96</v>
      </c>
      <c r="E327" s="8" t="str" cm="1">
        <f t="array" ref="E327">Scope3_Equations.VEERG_15_7_1_1__1_EmissionsFromPurchasedServices_Unit()</f>
        <v>t CO2e</v>
      </c>
    </row>
    <row r="329" spans="4:15" x14ac:dyDescent="0.25">
      <c r="D329" s="166" t="str" cm="1">
        <f t="array" ref="D329:E331">_xlfn.CHOOSECOLS(Scope3_Equations.VEERG_15_7_1_1__1_EmissionsFromPurchasedServices_Arguments(),1,2)</f>
        <v>A_p</v>
      </c>
      <c r="E329" s="170" t="str">
        <v>activity data of the service that was purchased</v>
      </c>
      <c r="F329" s="165"/>
      <c r="G329" s="166" t="str" cm="1">
        <f t="array" ref="G329:H331">_xlfn.CHOOSECOLS(Scope3_Equations.VEERG_15_7_1_1__1_EmissionsFromPurchasedServices_Arguments(),3,4)</f>
        <v>ha or h</v>
      </c>
      <c r="H329" s="167" t="str">
        <v>Input</v>
      </c>
    </row>
    <row r="330" spans="4:15" x14ac:dyDescent="0.25">
      <c r="D330" s="166" t="str">
        <v>EF_p</v>
      </c>
      <c r="E330" s="170" t="str">
        <v>life cycle emission factor for the purchased service</v>
      </c>
      <c r="F330" s="165"/>
      <c r="G330" s="166" t="str">
        <v>kg CO2e/ha or kg CO2e/h</v>
      </c>
      <c r="H330" s="168" t="str">
        <v>Constant</v>
      </c>
    </row>
    <row r="331" spans="4:15" x14ac:dyDescent="0.25">
      <c r="D331" s="166" t="str">
        <v>p</v>
      </c>
      <c r="E331" s="170" t="str">
        <v>service type</v>
      </c>
      <c r="F331" s="165"/>
      <c r="G331" s="166" t="str">
        <v/>
      </c>
      <c r="H331" s="167" t="str">
        <v>Input</v>
      </c>
    </row>
    <row r="333" spans="4:15" x14ac:dyDescent="0.25">
      <c r="D333" s="12" t="s">
        <v>687</v>
      </c>
    </row>
    <row r="335" spans="4:15" x14ac:dyDescent="0.25">
      <c r="D335" s="46" t="s">
        <v>602</v>
      </c>
      <c r="E335" s="46" t="s">
        <v>611</v>
      </c>
      <c r="F335" s="46" t="s">
        <v>606</v>
      </c>
      <c r="G335" s="46" t="s">
        <v>125</v>
      </c>
      <c r="H335" s="57" t="s">
        <v>410</v>
      </c>
      <c r="I335" s="57" t="s">
        <v>347</v>
      </c>
      <c r="J335" s="46" t="s">
        <v>411</v>
      </c>
      <c r="K335" s="57" t="s">
        <v>348</v>
      </c>
      <c r="L335" s="57" t="s">
        <v>607</v>
      </c>
      <c r="M335" s="46" t="s">
        <v>625</v>
      </c>
      <c r="N335" s="46" t="s">
        <v>626</v>
      </c>
      <c r="O335" s="46" t="s">
        <v>627</v>
      </c>
    </row>
    <row r="336" spans="4:15" x14ac:dyDescent="0.25">
      <c r="D336" s="49" t="str" cm="1">
        <f t="array" ref="D336:D345">IFERROR(INDEX(Table_Input_ServicesAndContractors[Service provider / contractor], _xlfn.SEQUENCE(10)), "")</f>
        <v>Pete's Pickers</v>
      </c>
      <c r="E336" s="49" t="str" cm="1">
        <f t="array" ref="E336:E345">IFERROR(INDEX(Table_Input_ServicesAndContractors[Activity], _xlfn.SEQUENCE(10)), "")</f>
        <v>Fruit picking</v>
      </c>
      <c r="F336" s="49" cm="1">
        <f t="array" ref="F336:F345">IFERROR(INDEX(Table_Input_ServicesAndContractors[Total amount], _xlfn.SEQUENCE(10)), "")</f>
        <v>10000</v>
      </c>
      <c r="G336" s="49" t="str" cm="1">
        <f t="array" ref="G336:G345">IFERROR(INDEX(Table_Input_ServicesAndContractors[Amount unit], _xlfn.SEQUENCE(10)), "")</f>
        <v>Hour</v>
      </c>
      <c r="H336" s="49" t="s">
        <v>815</v>
      </c>
      <c r="I336" s="49" t="s">
        <v>815</v>
      </c>
      <c r="J336" s="66">
        <v>4</v>
      </c>
      <c r="K336" s="150" cm="1">
        <f t="array" ref="K336">Scope3_Equations.VEERG_15_7_1_1__1_EmissionsFromPurchasedServices(F336,J336)</f>
        <v>40</v>
      </c>
      <c r="L336" s="49" t="str">
        <f>"t CO2e / " &amp; G336</f>
        <v>t CO2e / Hour</v>
      </c>
      <c r="M336" s="82"/>
      <c r="N336" s="47"/>
      <c r="O336" s="82"/>
    </row>
    <row r="337" spans="3:41" x14ac:dyDescent="0.25">
      <c r="D337" s="49" t="str">
        <v>Harini's Harvesting Services Pty Ltd</v>
      </c>
      <c r="E337" s="49" t="str">
        <v>Wheat harvesting</v>
      </c>
      <c r="F337" s="49">
        <v>1000</v>
      </c>
      <c r="G337" s="49" t="str">
        <v>Hectare</v>
      </c>
      <c r="H337" s="49" t="s">
        <v>815</v>
      </c>
      <c r="I337" s="49" t="s">
        <v>815</v>
      </c>
      <c r="J337" s="66">
        <v>2</v>
      </c>
      <c r="K337" s="150" cm="1">
        <f t="array" ref="K337">Scope3_Equations.VEERG_15_7_1_1__1_EmissionsFromPurchasedServices(F337,J337)</f>
        <v>2</v>
      </c>
      <c r="L337" s="49" t="str">
        <f t="shared" ref="L337:L345" si="1">"t CO2e / " &amp; G337</f>
        <v>t CO2e / Hectare</v>
      </c>
      <c r="M337" s="82"/>
      <c r="N337" s="47"/>
      <c r="O337" s="82"/>
    </row>
    <row r="338" spans="3:41" x14ac:dyDescent="0.25">
      <c r="D338" s="49">
        <v>0</v>
      </c>
      <c r="E338" s="49">
        <v>0</v>
      </c>
      <c r="F338" s="49">
        <v>0</v>
      </c>
      <c r="G338" s="49">
        <v>0</v>
      </c>
      <c r="H338" s="49" t="s">
        <v>815</v>
      </c>
      <c r="I338" s="49" t="s">
        <v>815</v>
      </c>
      <c r="J338" s="66"/>
      <c r="K338" s="150" cm="1">
        <f t="array" ref="K338">Scope3_Equations.VEERG_15_7_1_1__1_EmissionsFromPurchasedServices(F338,J338)</f>
        <v>0</v>
      </c>
      <c r="L338" s="49" t="str">
        <f t="shared" si="1"/>
        <v>t CO2e / 0</v>
      </c>
      <c r="M338" s="82"/>
      <c r="N338" s="47"/>
      <c r="O338" s="82"/>
    </row>
    <row r="339" spans="3:41" x14ac:dyDescent="0.25">
      <c r="D339" s="49">
        <v>0</v>
      </c>
      <c r="E339" s="49">
        <v>0</v>
      </c>
      <c r="F339" s="49">
        <v>0</v>
      </c>
      <c r="G339" s="49">
        <v>0</v>
      </c>
      <c r="H339" s="49" t="s">
        <v>815</v>
      </c>
      <c r="I339" s="49" t="s">
        <v>815</v>
      </c>
      <c r="J339" s="66"/>
      <c r="K339" s="150" cm="1">
        <f t="array" ref="K339">Scope3_Equations.VEERG_15_7_1_1__1_EmissionsFromPurchasedServices(F339,J339)</f>
        <v>0</v>
      </c>
      <c r="L339" s="49" t="str">
        <f t="shared" si="1"/>
        <v>t CO2e / 0</v>
      </c>
      <c r="M339" s="82"/>
      <c r="N339" s="47"/>
      <c r="O339" s="82"/>
    </row>
    <row r="340" spans="3:41" x14ac:dyDescent="0.25">
      <c r="D340" s="49">
        <v>0</v>
      </c>
      <c r="E340" s="49">
        <v>0</v>
      </c>
      <c r="F340" s="49">
        <v>0</v>
      </c>
      <c r="G340" s="49">
        <v>0</v>
      </c>
      <c r="H340" s="49" t="s">
        <v>815</v>
      </c>
      <c r="I340" s="49" t="s">
        <v>815</v>
      </c>
      <c r="J340" s="66"/>
      <c r="K340" s="150" cm="1">
        <f t="array" ref="K340">Scope3_Equations.VEERG_15_7_1_1__1_EmissionsFromPurchasedServices(F340,J340)</f>
        <v>0</v>
      </c>
      <c r="L340" s="49" t="str">
        <f t="shared" si="1"/>
        <v>t CO2e / 0</v>
      </c>
      <c r="M340" s="82"/>
      <c r="N340" s="47"/>
      <c r="O340" s="82"/>
    </row>
    <row r="341" spans="3:41" x14ac:dyDescent="0.25">
      <c r="D341" s="49">
        <v>0</v>
      </c>
      <c r="E341" s="49">
        <v>0</v>
      </c>
      <c r="F341" s="49">
        <v>0</v>
      </c>
      <c r="G341" s="49">
        <v>0</v>
      </c>
      <c r="H341" s="49" t="s">
        <v>815</v>
      </c>
      <c r="I341" s="49" t="s">
        <v>815</v>
      </c>
      <c r="J341" s="66"/>
      <c r="K341" s="150" cm="1">
        <f t="array" ref="K341">Scope3_Equations.VEERG_15_7_1_1__1_EmissionsFromPurchasedServices(F341,J341)</f>
        <v>0</v>
      </c>
      <c r="L341" s="49" t="str">
        <f t="shared" si="1"/>
        <v>t CO2e / 0</v>
      </c>
      <c r="M341" s="82"/>
      <c r="N341" s="47"/>
      <c r="O341" s="82"/>
    </row>
    <row r="342" spans="3:41" x14ac:dyDescent="0.25">
      <c r="D342" s="49">
        <v>0</v>
      </c>
      <c r="E342" s="49">
        <v>0</v>
      </c>
      <c r="F342" s="49">
        <v>0</v>
      </c>
      <c r="G342" s="49">
        <v>0</v>
      </c>
      <c r="H342" s="49" t="s">
        <v>815</v>
      </c>
      <c r="I342" s="49" t="s">
        <v>815</v>
      </c>
      <c r="J342" s="66"/>
      <c r="K342" s="150" cm="1">
        <f t="array" ref="K342">Scope3_Equations.VEERG_15_7_1_1__1_EmissionsFromPurchasedServices(F342,J342)</f>
        <v>0</v>
      </c>
      <c r="L342" s="49" t="str">
        <f t="shared" si="1"/>
        <v>t CO2e / 0</v>
      </c>
      <c r="M342" s="82"/>
      <c r="N342" s="47"/>
      <c r="O342" s="82"/>
    </row>
    <row r="343" spans="3:41" x14ac:dyDescent="0.25">
      <c r="D343" s="49">
        <v>0</v>
      </c>
      <c r="E343" s="49">
        <v>0</v>
      </c>
      <c r="F343" s="49">
        <v>0</v>
      </c>
      <c r="G343" s="49">
        <v>0</v>
      </c>
      <c r="H343" s="49" t="s">
        <v>815</v>
      </c>
      <c r="I343" s="49" t="s">
        <v>815</v>
      </c>
      <c r="J343" s="66"/>
      <c r="K343" s="150" cm="1">
        <f t="array" ref="K343">Scope3_Equations.VEERG_15_7_1_1__1_EmissionsFromPurchasedServices(F343,J343)</f>
        <v>0</v>
      </c>
      <c r="L343" s="49" t="str">
        <f t="shared" si="1"/>
        <v>t CO2e / 0</v>
      </c>
      <c r="M343" s="82"/>
      <c r="N343" s="47"/>
      <c r="O343" s="82"/>
    </row>
    <row r="344" spans="3:41" x14ac:dyDescent="0.25">
      <c r="D344" s="49">
        <v>0</v>
      </c>
      <c r="E344" s="49">
        <v>0</v>
      </c>
      <c r="F344" s="49">
        <v>0</v>
      </c>
      <c r="G344" s="49">
        <v>0</v>
      </c>
      <c r="H344" s="49" t="s">
        <v>815</v>
      </c>
      <c r="I344" s="49" t="s">
        <v>815</v>
      </c>
      <c r="J344" s="66"/>
      <c r="K344" s="150" cm="1">
        <f t="array" ref="K344">Scope3_Equations.VEERG_15_7_1_1__1_EmissionsFromPurchasedServices(F344,J344)</f>
        <v>0</v>
      </c>
      <c r="L344" s="49" t="str">
        <f t="shared" si="1"/>
        <v>t CO2e / 0</v>
      </c>
      <c r="M344" s="82"/>
      <c r="N344" s="47"/>
      <c r="O344" s="82"/>
    </row>
    <row r="345" spans="3:41" x14ac:dyDescent="0.25">
      <c r="D345" s="49">
        <v>0</v>
      </c>
      <c r="E345" s="49">
        <v>0</v>
      </c>
      <c r="F345" s="49">
        <v>0</v>
      </c>
      <c r="G345" s="49">
        <v>0</v>
      </c>
      <c r="H345" s="49" t="s">
        <v>815</v>
      </c>
      <c r="I345" s="49" t="s">
        <v>815</v>
      </c>
      <c r="J345" s="66"/>
      <c r="K345" s="150" cm="1">
        <f t="array" ref="K345">Scope3_Equations.VEERG_15_7_1_1__1_EmissionsFromPurchasedServices(F345,J345)</f>
        <v>0</v>
      </c>
      <c r="L345" s="49" t="str">
        <f t="shared" si="1"/>
        <v>t CO2e / 0</v>
      </c>
      <c r="M345" s="82"/>
      <c r="N345" s="47"/>
      <c r="O345" s="82"/>
    </row>
    <row r="347" spans="3:41" ht="20.25" x14ac:dyDescent="0.25">
      <c r="D347" s="178" t="s">
        <v>629</v>
      </c>
      <c r="E347" s="176" t="s">
        <v>815</v>
      </c>
      <c r="F347" s="177" t="str">
        <f>$E$155</f>
        <v>t CO2e</v>
      </c>
    </row>
    <row r="348" spans="3:41" ht="20.25" x14ac:dyDescent="0.25">
      <c r="D348" s="178" t="s">
        <v>631</v>
      </c>
      <c r="E348" s="176">
        <f>SUM(K336:K345)</f>
        <v>42</v>
      </c>
      <c r="F348" s="177" t="str">
        <f>$E$155</f>
        <v>t CO2e</v>
      </c>
    </row>
    <row r="351" spans="3:41" x14ac:dyDescent="0.25">
      <c r="C351" s="98"/>
      <c r="D351" s="98"/>
      <c r="E351" s="98"/>
      <c r="F351" s="98"/>
      <c r="G351" s="98"/>
      <c r="H351" s="98"/>
      <c r="I351" s="98"/>
      <c r="J351" s="98"/>
      <c r="K351" s="98"/>
      <c r="L351" s="98"/>
      <c r="M351" s="98"/>
      <c r="N351" s="98"/>
      <c r="O351" s="98"/>
      <c r="P351" s="98"/>
      <c r="Q351" s="98"/>
      <c r="R351" s="98"/>
      <c r="S351" s="98"/>
      <c r="T351" s="98"/>
      <c r="U351" s="98"/>
      <c r="V351" s="98"/>
      <c r="W351" s="98"/>
      <c r="X351" s="98"/>
      <c r="Y351" s="98"/>
      <c r="Z351" s="98"/>
      <c r="AA351" s="98"/>
      <c r="AB351" s="98"/>
      <c r="AC351" s="98"/>
      <c r="AD351" s="98"/>
      <c r="AE351" s="98"/>
      <c r="AF351" s="98"/>
      <c r="AG351" s="98"/>
      <c r="AH351" s="98"/>
      <c r="AI351" s="98"/>
      <c r="AJ351" s="98"/>
      <c r="AK351" s="98"/>
      <c r="AL351" s="98"/>
      <c r="AM351" s="98"/>
      <c r="AN351" s="98"/>
      <c r="AO351" s="98"/>
    </row>
    <row r="352" spans="3:41" ht="23.25" x14ac:dyDescent="0.25">
      <c r="D352" s="9" t="str" cm="1">
        <f t="array" ref="D352">Scope3_Equations.VEERG_15_8_1_1__1_EmissionsFromPurchasedPackaging_Title()</f>
        <v>Embedded emissions from use of packaging materials</v>
      </c>
    </row>
    <row r="353" spans="4:13" x14ac:dyDescent="0.25">
      <c r="D353" s="11" t="str" cm="1">
        <f t="array" ref="D353">Scope3_Equations.VEERG_15_8_1_1__1_EmissionsFromPurchasedPackaging_Source()</f>
        <v>VEERG 2026: 15.8.1.1, Equation (1)</v>
      </c>
    </row>
    <row r="354" spans="4:13" x14ac:dyDescent="0.25">
      <c r="D354" s="12" t="str" cm="1">
        <f t="array" ref="D354">Scope3_Equations.VEERG_15_8_1_1__1_EmissionsFromPurchasedPackaging_Variation()</f>
        <v>VARIATION ON SOURCE: Changed unit of Q from 'units' to 'kg' as EF data is in kg.</v>
      </c>
    </row>
    <row r="355" spans="4:13" x14ac:dyDescent="0.25">
      <c r="D355" s="171" t="s">
        <v>622</v>
      </c>
      <c r="E355" s="171" t="str" cm="1">
        <f t="array" aca="1" ref="E355" ca="1">Common_InputFunctions.Utility_DisplayFunctionName(H367)</f>
        <v>=Scope3_Equations.VEERG_15_8_1_1__1_EmissionsFromPurchasedPackaging</v>
      </c>
    </row>
    <row r="359" spans="4:13" x14ac:dyDescent="0.25">
      <c r="D359" s="27" t="s">
        <v>623</v>
      </c>
      <c r="E359" s="8" t="str" cm="1">
        <f t="array" ref="E359">Scope3_Equations.VEERG_15_8_1_1__1_EmissionsFromPurchasedPackaging_Variable()</f>
        <v>E</v>
      </c>
    </row>
    <row r="360" spans="4:13" x14ac:dyDescent="0.25">
      <c r="D360" s="27" t="s">
        <v>96</v>
      </c>
      <c r="E360" s="13" t="str" cm="1">
        <f t="array" ref="E360">Scope3_Equations.VEERG_15_8_1_1__1_EmissionsFromPurchasedPackaging_Unit()</f>
        <v>t CO2e</v>
      </c>
    </row>
    <row r="362" spans="4:13" x14ac:dyDescent="0.25">
      <c r="D362" s="166" t="str" cm="1">
        <f t="array" ref="D362:E364">_xlfn.CHOOSECOLS(Scope3_Equations.VEERG_15_8_1_1__1_EmissionsFromPurchasedPackaging_Arguments(),1,2)</f>
        <v>Q_p</v>
      </c>
      <c r="E362" s="166" t="str">
        <v>units of packaging type p</v>
      </c>
      <c r="F362" s="166" t="str" cm="1">
        <f t="array" ref="F362:G364">_xlfn.CHOOSECOLS(Scope3_Equations.VEERG_15_8_1_1__1_EmissionsFromPurchasedPackaging_Arguments(),3,4)</f>
        <v>units</v>
      </c>
      <c r="G362" s="167" t="str">
        <v>Input</v>
      </c>
    </row>
    <row r="363" spans="4:13" x14ac:dyDescent="0.25">
      <c r="D363" s="166" t="str">
        <v>EF_p</v>
      </c>
      <c r="E363" s="166" t="str">
        <v>emission factor for packaging type p</v>
      </c>
      <c r="F363" s="166" t="str">
        <v>kg CO2e/unit</v>
      </c>
      <c r="G363" s="168" t="str">
        <v>Constant</v>
      </c>
    </row>
    <row r="364" spans="4:13" x14ac:dyDescent="0.25">
      <c r="D364" s="166" t="str">
        <v>p</v>
      </c>
      <c r="E364" s="166" t="str">
        <v>packaging type</v>
      </c>
      <c r="F364" s="166" t="str">
        <v/>
      </c>
      <c r="G364" s="167" t="str">
        <v>Input</v>
      </c>
    </row>
    <row r="366" spans="4:13" ht="17.25" x14ac:dyDescent="0.25">
      <c r="D366" s="46" t="s">
        <v>355</v>
      </c>
      <c r="E366" s="151" t="s">
        <v>400</v>
      </c>
      <c r="F366" s="151" t="s">
        <v>688</v>
      </c>
      <c r="G366" s="57" t="s">
        <v>689</v>
      </c>
      <c r="H366" s="57" t="s">
        <v>629</v>
      </c>
      <c r="I366" s="46" t="s">
        <v>690</v>
      </c>
      <c r="J366" s="57" t="s">
        <v>631</v>
      </c>
      <c r="K366" s="46" t="s">
        <v>625</v>
      </c>
      <c r="L366" s="46" t="s">
        <v>626</v>
      </c>
      <c r="M366" s="46" t="s">
        <v>627</v>
      </c>
    </row>
    <row r="367" spans="4:13" x14ac:dyDescent="0.25">
      <c r="D367" s="49" t="str" cm="1">
        <f t="array" ref="D367:D376">IFERROR(INDEX(Table_Input_Packaging[Packaging name], _xlfn.SEQUENCE(10)), "")</f>
        <v>250g punnet</v>
      </c>
      <c r="E367" s="49" t="str" cm="1">
        <f t="array" ref="E367:E376">IFERROR(INDEX(Table_Input_Packaging[Primary material], _xlfn.SEQUENCE(10)), "")</f>
        <v>Plastic sheet HDPE</v>
      </c>
      <c r="F367" s="49" cm="1">
        <f t="array" ref="F367:F376">IFERROR(INDEX(Table_Input_Packaging[Total weight purchased (kg)], _xlfn.SEQUENCE(10)), "")</f>
        <v>2000</v>
      </c>
      <c r="G367" s="49" cm="1">
        <f t="array" ref="G367">Common_InputFunctions.Utility_LookupValueInTableNumber(E367,Table_SourceData_Scope3_Packaging[Product],Table_SourceData_Scope3_Packaging[AusLCI Emissions intensity])</f>
        <v>3.72</v>
      </c>
      <c r="H367" s="150" cm="1">
        <f t="array" ref="H367">Scope3_Equations.VEERG_15_8_1_1__1_EmissionsFromPurchasedPackaging(F367,G367)</f>
        <v>7.44</v>
      </c>
      <c r="I367" s="66">
        <v>3</v>
      </c>
      <c r="J367" s="150" cm="1">
        <f t="array" ref="J367">Scope3_Equations.VEERG_15_8_1_1__1_EmissionsFromPurchasedPackaging(F367,IF(I367,I367,G367))</f>
        <v>6</v>
      </c>
      <c r="K367" s="82"/>
      <c r="L367" s="47"/>
      <c r="M367" s="82"/>
    </row>
    <row r="368" spans="4:13" x14ac:dyDescent="0.25">
      <c r="D368" s="49">
        <v>0</v>
      </c>
      <c r="E368" s="49">
        <v>0</v>
      </c>
      <c r="F368" s="49">
        <v>0</v>
      </c>
      <c r="G368" s="49" cm="1">
        <f t="array" ref="G368">Common_InputFunctions.Utility_LookupValueInTableNumber(E368,Table_SourceData_Scope3_Packaging[Product],Table_SourceData_Scope3_Packaging[AusLCI Emissions intensity])</f>
        <v>0</v>
      </c>
      <c r="H368" s="150" cm="1">
        <f t="array" ref="H368">Scope3_Equations.VEERG_15_8_1_1__1_EmissionsFromPurchasedPackaging(F368,G368)</f>
        <v>0</v>
      </c>
      <c r="I368" s="66"/>
      <c r="J368" s="150" cm="1">
        <f t="array" ref="J368">Scope3_Equations.VEERG_15_8_1_1__1_EmissionsFromPurchasedPackaging(F368,IF(I368,I368,G368))</f>
        <v>0</v>
      </c>
      <c r="K368" s="82"/>
      <c r="L368" s="47"/>
      <c r="M368" s="82"/>
    </row>
    <row r="369" spans="3:41" x14ac:dyDescent="0.25">
      <c r="D369" s="49">
        <v>0</v>
      </c>
      <c r="E369" s="49">
        <v>0</v>
      </c>
      <c r="F369" s="49">
        <v>0</v>
      </c>
      <c r="G369" s="49" cm="1">
        <f t="array" ref="G369">Common_InputFunctions.Utility_LookupValueInTableNumber(E369,Table_SourceData_Scope3_Packaging[Product],Table_SourceData_Scope3_Packaging[AusLCI Emissions intensity])</f>
        <v>0</v>
      </c>
      <c r="H369" s="150" cm="1">
        <f t="array" ref="H369">Scope3_Equations.VEERG_15_8_1_1__1_EmissionsFromPurchasedPackaging(F369,G369)</f>
        <v>0</v>
      </c>
      <c r="I369" s="66"/>
      <c r="J369" s="150" cm="1">
        <f t="array" ref="J369">Scope3_Equations.VEERG_15_8_1_1__1_EmissionsFromPurchasedPackaging(F369,IF(I369,I369,G369))</f>
        <v>0</v>
      </c>
      <c r="K369" s="82"/>
      <c r="L369" s="47"/>
      <c r="M369" s="82"/>
    </row>
    <row r="370" spans="3:41" x14ac:dyDescent="0.25">
      <c r="D370" s="49">
        <v>0</v>
      </c>
      <c r="E370" s="49">
        <v>0</v>
      </c>
      <c r="F370" s="49">
        <v>0</v>
      </c>
      <c r="G370" s="49" cm="1">
        <f t="array" ref="G370">Common_InputFunctions.Utility_LookupValueInTableNumber(E370,Table_SourceData_Scope3_Packaging[Product],Table_SourceData_Scope3_Packaging[AusLCI Emissions intensity])</f>
        <v>0</v>
      </c>
      <c r="H370" s="150" cm="1">
        <f t="array" ref="H370">Scope3_Equations.VEERG_15_8_1_1__1_EmissionsFromPurchasedPackaging(F370,G370)</f>
        <v>0</v>
      </c>
      <c r="I370" s="66"/>
      <c r="J370" s="150" cm="1">
        <f t="array" ref="J370">Scope3_Equations.VEERG_15_8_1_1__1_EmissionsFromPurchasedPackaging(F370,IF(I370,I370,G370))</f>
        <v>0</v>
      </c>
      <c r="K370" s="82"/>
      <c r="L370" s="47"/>
      <c r="M370" s="82"/>
    </row>
    <row r="371" spans="3:41" x14ac:dyDescent="0.25">
      <c r="D371" s="49">
        <v>0</v>
      </c>
      <c r="E371" s="49">
        <v>0</v>
      </c>
      <c r="F371" s="49">
        <v>0</v>
      </c>
      <c r="G371" s="49" cm="1">
        <f t="array" ref="G371">Common_InputFunctions.Utility_LookupValueInTableNumber(E371,Table_SourceData_Scope3_Packaging[Product],Table_SourceData_Scope3_Packaging[AusLCI Emissions intensity])</f>
        <v>0</v>
      </c>
      <c r="H371" s="150" cm="1">
        <f t="array" ref="H371">Scope3_Equations.VEERG_15_8_1_1__1_EmissionsFromPurchasedPackaging(F371,G371)</f>
        <v>0</v>
      </c>
      <c r="I371" s="66"/>
      <c r="J371" s="150" cm="1">
        <f t="array" ref="J371">Scope3_Equations.VEERG_15_8_1_1__1_EmissionsFromPurchasedPackaging(F371,IF(I371,I371,G371))</f>
        <v>0</v>
      </c>
      <c r="K371" s="82"/>
      <c r="L371" s="47"/>
      <c r="M371" s="82"/>
    </row>
    <row r="372" spans="3:41" x14ac:dyDescent="0.25">
      <c r="D372" s="49">
        <v>0</v>
      </c>
      <c r="E372" s="49">
        <v>0</v>
      </c>
      <c r="F372" s="49">
        <v>0</v>
      </c>
      <c r="G372" s="49" cm="1">
        <f t="array" ref="G372">Common_InputFunctions.Utility_LookupValueInTableNumber(E372,Table_SourceData_Scope3_Packaging[Product],Table_SourceData_Scope3_Packaging[AusLCI Emissions intensity])</f>
        <v>0</v>
      </c>
      <c r="H372" s="150" cm="1">
        <f t="array" ref="H372">Scope3_Equations.VEERG_15_8_1_1__1_EmissionsFromPurchasedPackaging(F372,G372)</f>
        <v>0</v>
      </c>
      <c r="I372" s="66"/>
      <c r="J372" s="150" cm="1">
        <f t="array" ref="J372">Scope3_Equations.VEERG_15_8_1_1__1_EmissionsFromPurchasedPackaging(F372,IF(I372,I372,G372))</f>
        <v>0</v>
      </c>
      <c r="K372" s="82"/>
      <c r="L372" s="47"/>
      <c r="M372" s="82"/>
    </row>
    <row r="373" spans="3:41" x14ac:dyDescent="0.25">
      <c r="D373" s="49">
        <v>0</v>
      </c>
      <c r="E373" s="49">
        <v>0</v>
      </c>
      <c r="F373" s="49">
        <v>0</v>
      </c>
      <c r="G373" s="49" cm="1">
        <f t="array" ref="G373">Common_InputFunctions.Utility_LookupValueInTableNumber(E373,Table_SourceData_Scope3_Packaging[Product],Table_SourceData_Scope3_Packaging[AusLCI Emissions intensity])</f>
        <v>0</v>
      </c>
      <c r="H373" s="150" cm="1">
        <f t="array" ref="H373">Scope3_Equations.VEERG_15_8_1_1__1_EmissionsFromPurchasedPackaging(F373,G373)</f>
        <v>0</v>
      </c>
      <c r="I373" s="66"/>
      <c r="J373" s="150" cm="1">
        <f t="array" ref="J373">Scope3_Equations.VEERG_15_8_1_1__1_EmissionsFromPurchasedPackaging(F373,IF(I373,I373,G373))</f>
        <v>0</v>
      </c>
      <c r="K373" s="82"/>
      <c r="L373" s="47"/>
      <c r="M373" s="82"/>
    </row>
    <row r="374" spans="3:41" x14ac:dyDescent="0.25">
      <c r="D374" s="49">
        <v>0</v>
      </c>
      <c r="E374" s="49">
        <v>0</v>
      </c>
      <c r="F374" s="49">
        <v>0</v>
      </c>
      <c r="G374" s="49" cm="1">
        <f t="array" ref="G374">Common_InputFunctions.Utility_LookupValueInTableNumber(E374,Table_SourceData_Scope3_Packaging[Product],Table_SourceData_Scope3_Packaging[AusLCI Emissions intensity])</f>
        <v>0</v>
      </c>
      <c r="H374" s="150" cm="1">
        <f t="array" ref="H374">Scope3_Equations.VEERG_15_8_1_1__1_EmissionsFromPurchasedPackaging(F374,G374)</f>
        <v>0</v>
      </c>
      <c r="I374" s="66"/>
      <c r="J374" s="150" cm="1">
        <f t="array" ref="J374">Scope3_Equations.VEERG_15_8_1_1__1_EmissionsFromPurchasedPackaging(F374,IF(I374,I374,G374))</f>
        <v>0</v>
      </c>
      <c r="K374" s="82"/>
      <c r="L374" s="47"/>
      <c r="M374" s="82"/>
    </row>
    <row r="375" spans="3:41" x14ac:dyDescent="0.25">
      <c r="D375" s="49">
        <v>0</v>
      </c>
      <c r="E375" s="49">
        <v>0</v>
      </c>
      <c r="F375" s="49">
        <v>0</v>
      </c>
      <c r="G375" s="49" cm="1">
        <f t="array" ref="G375">Common_InputFunctions.Utility_LookupValueInTableNumber(E375,Table_SourceData_Scope3_Packaging[Product],Table_SourceData_Scope3_Packaging[AusLCI Emissions intensity])</f>
        <v>0</v>
      </c>
      <c r="H375" s="150" cm="1">
        <f t="array" ref="H375">Scope3_Equations.VEERG_15_8_1_1__1_EmissionsFromPurchasedPackaging(F375,G375)</f>
        <v>0</v>
      </c>
      <c r="I375" s="66"/>
      <c r="J375" s="150" cm="1">
        <f t="array" ref="J375">Scope3_Equations.VEERG_15_8_1_1__1_EmissionsFromPurchasedPackaging(F375,IF(I375,I375,G375))</f>
        <v>0</v>
      </c>
      <c r="K375" s="82"/>
      <c r="L375" s="47"/>
      <c r="M375" s="82"/>
    </row>
    <row r="376" spans="3:41" x14ac:dyDescent="0.25">
      <c r="D376" s="49">
        <v>0</v>
      </c>
      <c r="E376" s="49">
        <v>0</v>
      </c>
      <c r="F376" s="49">
        <v>0</v>
      </c>
      <c r="G376" s="49" cm="1">
        <f t="array" ref="G376">Common_InputFunctions.Utility_LookupValueInTableNumber(E376,Table_SourceData_Scope3_Packaging[Product],Table_SourceData_Scope3_Packaging[AusLCI Emissions intensity])</f>
        <v>0</v>
      </c>
      <c r="H376" s="150" cm="1">
        <f t="array" ref="H376">Scope3_Equations.VEERG_15_8_1_1__1_EmissionsFromPurchasedPackaging(F376,G376)</f>
        <v>0</v>
      </c>
      <c r="I376" s="66"/>
      <c r="J376" s="150" cm="1">
        <f t="array" ref="J376">Scope3_Equations.VEERG_15_8_1_1__1_EmissionsFromPurchasedPackaging(F376,IF(I376,I376,G376))</f>
        <v>0</v>
      </c>
      <c r="K376" s="82"/>
      <c r="L376" s="47"/>
      <c r="M376" s="82"/>
    </row>
    <row r="378" spans="3:41" ht="20.25" x14ac:dyDescent="0.25">
      <c r="D378" s="178" t="s">
        <v>629</v>
      </c>
      <c r="E378" s="176">
        <f>SUM(H367:H376)</f>
        <v>7.44</v>
      </c>
      <c r="F378" s="177" t="str">
        <f>$E$155</f>
        <v>t CO2e</v>
      </c>
    </row>
    <row r="379" spans="3:41" ht="20.25" x14ac:dyDescent="0.25">
      <c r="D379" s="178" t="s">
        <v>631</v>
      </c>
      <c r="E379" s="176">
        <f>SUM(J367:J376)</f>
        <v>6</v>
      </c>
      <c r="F379" s="177" t="str">
        <f>$E$155</f>
        <v>t CO2e</v>
      </c>
    </row>
    <row r="382" spans="3:41" x14ac:dyDescent="0.25">
      <c r="C382" s="98"/>
      <c r="D382" s="98"/>
      <c r="E382" s="98"/>
      <c r="F382" s="98"/>
      <c r="G382" s="98"/>
      <c r="H382" s="98"/>
      <c r="I382" s="98"/>
      <c r="J382" s="98"/>
      <c r="K382" s="98"/>
      <c r="L382" s="98"/>
      <c r="M382" s="98"/>
      <c r="N382" s="98"/>
      <c r="O382" s="98"/>
      <c r="P382" s="98"/>
      <c r="Q382" s="98"/>
      <c r="R382" s="98"/>
      <c r="S382" s="98"/>
      <c r="T382" s="98"/>
      <c r="U382" s="98"/>
      <c r="V382" s="98"/>
      <c r="W382" s="98"/>
      <c r="X382" s="98"/>
      <c r="Y382" s="98"/>
      <c r="Z382" s="98"/>
      <c r="AA382" s="98"/>
      <c r="AB382" s="98"/>
      <c r="AC382" s="98"/>
      <c r="AD382" s="98"/>
      <c r="AE382" s="98"/>
      <c r="AF382" s="98"/>
      <c r="AG382" s="98"/>
      <c r="AH382" s="98"/>
      <c r="AI382" s="98"/>
      <c r="AJ382" s="98"/>
      <c r="AK382" s="98"/>
      <c r="AL382" s="98"/>
      <c r="AM382" s="98"/>
      <c r="AN382" s="98"/>
      <c r="AO382" s="98"/>
    </row>
    <row r="383" spans="3:41" ht="23.25" x14ac:dyDescent="0.25">
      <c r="D383" s="9" t="str" cm="1">
        <f t="array" ref="D383">Scope3_Equations.VEERG_15_9_1_1__1_EmissionsFromPurchasedGrowMedia_Title()</f>
        <v>Embedded emissions from use of grow media products</v>
      </c>
    </row>
    <row r="384" spans="3:41" x14ac:dyDescent="0.25">
      <c r="D384" s="11" t="str" cm="1">
        <f t="array" ref="D384">Scope3_Equations.VEERG_15_9_1_1__1_EmissionsFromPurchasedGrowMedia_Source()</f>
        <v>VEERG 2026: 15.9.1.1, Equation (1)</v>
      </c>
    </row>
    <row r="385" spans="4:14" x14ac:dyDescent="0.25">
      <c r="D385" s="171" t="s">
        <v>622</v>
      </c>
      <c r="E385" s="171" t="str" cm="1">
        <f t="array" aca="1" ref="E385" ca="1">Common_InputFunctions.Utility_DisplayFunctionName(J399)</f>
        <v>=Scope3_Equations.VEERG_15_9_1_1__1_EmissionsFromPurchasedGrowMedia</v>
      </c>
    </row>
    <row r="388" spans="4:14" x14ac:dyDescent="0.25">
      <c r="G388" s="171"/>
    </row>
    <row r="389" spans="4:14" x14ac:dyDescent="0.25">
      <c r="D389" s="27" t="s">
        <v>623</v>
      </c>
      <c r="E389" s="8" t="str" cm="1">
        <f t="array" ref="E389">Scope3_Equations.VEERG_15_9_1_1__1_EmissionsFromPurchasedGrowMedia_Variable()</f>
        <v>E</v>
      </c>
    </row>
    <row r="390" spans="4:14" x14ac:dyDescent="0.25">
      <c r="D390" s="27" t="s">
        <v>96</v>
      </c>
      <c r="E390" s="8" t="str" cm="1">
        <f t="array" ref="E390">Scope3_Equations.VEERG_15_9_1_1__1_EmissionsFromPurchasedGrowMedia_Unit()</f>
        <v>t CO2e</v>
      </c>
    </row>
    <row r="392" spans="4:14" x14ac:dyDescent="0.25">
      <c r="D392" s="166" t="str" cm="1">
        <f t="array" ref="D392:E394">_xlfn.CHOOSECOLS(Scope3_Equations.VEERG_15_9_1_1__1_EmissionsFromPurchasedGrowMedia_Arguments(),1,2)</f>
        <v>Q_g</v>
      </c>
      <c r="E392" s="166" t="str">
        <v>total quantity of grow media type g</v>
      </c>
      <c r="F392" s="166" t="str" cm="1">
        <f t="array" ref="F392:G394">_xlfn.CHOOSECOLS(Scope3_Equations.VEERG_15_9_1_1__1_EmissionsFromPurchasedGrowMedia_Arguments(),3,4)</f>
        <v>kg or m3</v>
      </c>
      <c r="G392" s="167" t="str">
        <v>Input</v>
      </c>
    </row>
    <row r="393" spans="4:14" x14ac:dyDescent="0.25">
      <c r="D393" s="166" t="str">
        <v>EF_g</v>
      </c>
      <c r="E393" s="166" t="str">
        <v>emission factor for grow media type g</v>
      </c>
      <c r="F393" s="166" t="str">
        <v>kg CO2e/kg or kg CO2e/m3</v>
      </c>
      <c r="G393" s="168" t="str">
        <v>Constant</v>
      </c>
    </row>
    <row r="394" spans="4:14" x14ac:dyDescent="0.25">
      <c r="D394" s="166" t="str">
        <v>g</v>
      </c>
      <c r="E394" s="166" t="str">
        <v>grow media type</v>
      </c>
      <c r="F394" s="166" t="str">
        <v/>
      </c>
      <c r="G394" s="167" t="str">
        <v>Input</v>
      </c>
    </row>
    <row r="396" spans="4:14" x14ac:dyDescent="0.25">
      <c r="D396" s="12" t="s">
        <v>687</v>
      </c>
    </row>
    <row r="398" spans="4:14" x14ac:dyDescent="0.25">
      <c r="D398" s="46" t="s">
        <v>692</v>
      </c>
      <c r="E398" s="46" t="s">
        <v>606</v>
      </c>
      <c r="F398" s="46" t="s">
        <v>125</v>
      </c>
      <c r="G398" s="57" t="s">
        <v>410</v>
      </c>
      <c r="H398" s="57" t="s">
        <v>347</v>
      </c>
      <c r="I398" s="46" t="s">
        <v>411</v>
      </c>
      <c r="J398" s="57" t="s">
        <v>348</v>
      </c>
      <c r="K398" s="57" t="s">
        <v>607</v>
      </c>
      <c r="L398" s="46" t="s">
        <v>625</v>
      </c>
      <c r="M398" s="46" t="s">
        <v>626</v>
      </c>
      <c r="N398" s="46" t="s">
        <v>627</v>
      </c>
    </row>
    <row r="399" spans="4:14" x14ac:dyDescent="0.25">
      <c r="D399" s="49" t="str" cm="1">
        <f t="array" ref="D399:D408">IFERROR(INDEX(Table_Input_GrowMedia[Grow media type], _xlfn.SEQUENCE(10)), "")</f>
        <v>Coir</v>
      </c>
      <c r="E399" s="49" cm="1">
        <f t="array" ref="E399:E408">IFERROR(INDEX(Table_Input_GrowMedia[Total amount], _xlfn.SEQUENCE(10)), "")</f>
        <v>10000</v>
      </c>
      <c r="F399" s="49" t="str" cm="1">
        <f t="array" ref="F399:F408">IFERROR(INDEX(Table_Input_GrowMedia[Amount unit], _xlfn.SEQUENCE(10)), "")</f>
        <v>kg</v>
      </c>
      <c r="G399" s="49" t="s">
        <v>815</v>
      </c>
      <c r="H399" s="49" t="s">
        <v>815</v>
      </c>
      <c r="I399" s="66">
        <v>4</v>
      </c>
      <c r="J399" s="150" cm="1">
        <f t="array" ref="J399">Scope3_Equations.VEERG_15_9_1_1__1_EmissionsFromPurchasedGrowMedia(E399,I399)</f>
        <v>40</v>
      </c>
      <c r="K399" s="49" t="str">
        <f>"t CO2e / " &amp; F399</f>
        <v>t CO2e / kg</v>
      </c>
      <c r="L399" s="82"/>
      <c r="M399" s="47"/>
      <c r="N399" s="82"/>
    </row>
    <row r="400" spans="4:14" x14ac:dyDescent="0.25">
      <c r="D400" s="49" t="str">
        <v>Peat moss</v>
      </c>
      <c r="E400" s="49">
        <v>100</v>
      </c>
      <c r="F400" s="49" t="str">
        <v>m3</v>
      </c>
      <c r="G400" s="49" t="s">
        <v>815</v>
      </c>
      <c r="H400" s="49" t="s">
        <v>815</v>
      </c>
      <c r="I400" s="66">
        <v>2</v>
      </c>
      <c r="J400" s="150" cm="1">
        <f t="array" ref="J400">Scope3_Equations.VEERG_15_9_1_1__1_EmissionsFromPurchasedGrowMedia(E400,I400)</f>
        <v>0.2</v>
      </c>
      <c r="K400" s="49" t="str">
        <f t="shared" ref="K400:K408" si="2">"t CO2e / " &amp; F400</f>
        <v>t CO2e / m3</v>
      </c>
      <c r="L400" s="82"/>
      <c r="M400" s="47"/>
      <c r="N400" s="82"/>
    </row>
    <row r="401" spans="3:41" x14ac:dyDescent="0.25">
      <c r="D401" s="49" t="str">
        <v>tiny gravel</v>
      </c>
      <c r="E401" s="49">
        <v>10000</v>
      </c>
      <c r="F401" s="49" t="str">
        <v>kg</v>
      </c>
      <c r="G401" s="49" t="s">
        <v>815</v>
      </c>
      <c r="H401" s="49" t="s">
        <v>815</v>
      </c>
      <c r="I401" s="66"/>
      <c r="J401" s="150" cm="1">
        <f t="array" ref="J401">Scope3_Equations.VEERG_15_9_1_1__1_EmissionsFromPurchasedGrowMedia(E401,I401)</f>
        <v>0</v>
      </c>
      <c r="K401" s="49" t="str">
        <f t="shared" si="2"/>
        <v>t CO2e / kg</v>
      </c>
      <c r="L401" s="82"/>
      <c r="M401" s="47"/>
      <c r="N401" s="82"/>
    </row>
    <row r="402" spans="3:41" x14ac:dyDescent="0.25">
      <c r="D402" s="49">
        <v>0</v>
      </c>
      <c r="E402" s="49">
        <v>0</v>
      </c>
      <c r="F402" s="49">
        <v>0</v>
      </c>
      <c r="G402" s="49" t="s">
        <v>815</v>
      </c>
      <c r="H402" s="49" t="s">
        <v>815</v>
      </c>
      <c r="I402" s="66"/>
      <c r="J402" s="150" cm="1">
        <f t="array" ref="J402">Scope3_Equations.VEERG_15_9_1_1__1_EmissionsFromPurchasedGrowMedia(E402,I402)</f>
        <v>0</v>
      </c>
      <c r="K402" s="49" t="str">
        <f t="shared" si="2"/>
        <v>t CO2e / 0</v>
      </c>
      <c r="L402" s="82"/>
      <c r="M402" s="47"/>
      <c r="N402" s="82"/>
    </row>
    <row r="403" spans="3:41" x14ac:dyDescent="0.25">
      <c r="D403" s="49">
        <v>0</v>
      </c>
      <c r="E403" s="49">
        <v>0</v>
      </c>
      <c r="F403" s="49">
        <v>0</v>
      </c>
      <c r="G403" s="49" t="s">
        <v>815</v>
      </c>
      <c r="H403" s="49" t="s">
        <v>815</v>
      </c>
      <c r="I403" s="66"/>
      <c r="J403" s="150" cm="1">
        <f t="array" ref="J403">Scope3_Equations.VEERG_15_9_1_1__1_EmissionsFromPurchasedGrowMedia(E403,I403)</f>
        <v>0</v>
      </c>
      <c r="K403" s="49" t="str">
        <f t="shared" si="2"/>
        <v>t CO2e / 0</v>
      </c>
      <c r="L403" s="82"/>
      <c r="M403" s="47"/>
      <c r="N403" s="82"/>
    </row>
    <row r="404" spans="3:41" x14ac:dyDescent="0.25">
      <c r="D404" s="49">
        <v>0</v>
      </c>
      <c r="E404" s="49">
        <v>0</v>
      </c>
      <c r="F404" s="49">
        <v>0</v>
      </c>
      <c r="G404" s="49" t="s">
        <v>815</v>
      </c>
      <c r="H404" s="49" t="s">
        <v>815</v>
      </c>
      <c r="I404" s="66"/>
      <c r="J404" s="150" cm="1">
        <f t="array" ref="J404">Scope3_Equations.VEERG_15_9_1_1__1_EmissionsFromPurchasedGrowMedia(E404,I404)</f>
        <v>0</v>
      </c>
      <c r="K404" s="49" t="str">
        <f t="shared" si="2"/>
        <v>t CO2e / 0</v>
      </c>
      <c r="L404" s="82"/>
      <c r="M404" s="47"/>
      <c r="N404" s="82"/>
    </row>
    <row r="405" spans="3:41" x14ac:dyDescent="0.25">
      <c r="D405" s="49">
        <v>0</v>
      </c>
      <c r="E405" s="49">
        <v>0</v>
      </c>
      <c r="F405" s="49">
        <v>0</v>
      </c>
      <c r="G405" s="49" t="s">
        <v>815</v>
      </c>
      <c r="H405" s="49" t="s">
        <v>815</v>
      </c>
      <c r="I405" s="66"/>
      <c r="J405" s="150" cm="1">
        <f t="array" ref="J405">Scope3_Equations.VEERG_15_9_1_1__1_EmissionsFromPurchasedGrowMedia(E405,I405)</f>
        <v>0</v>
      </c>
      <c r="K405" s="49" t="str">
        <f t="shared" si="2"/>
        <v>t CO2e / 0</v>
      </c>
      <c r="L405" s="82"/>
      <c r="M405" s="47"/>
      <c r="N405" s="82"/>
    </row>
    <row r="406" spans="3:41" x14ac:dyDescent="0.25">
      <c r="D406" s="49">
        <v>0</v>
      </c>
      <c r="E406" s="49">
        <v>0</v>
      </c>
      <c r="F406" s="49">
        <v>0</v>
      </c>
      <c r="G406" s="49" t="s">
        <v>815</v>
      </c>
      <c r="H406" s="49" t="s">
        <v>815</v>
      </c>
      <c r="I406" s="66"/>
      <c r="J406" s="150" cm="1">
        <f t="array" ref="J406">Scope3_Equations.VEERG_15_9_1_1__1_EmissionsFromPurchasedGrowMedia(E406,I406)</f>
        <v>0</v>
      </c>
      <c r="K406" s="49" t="str">
        <f t="shared" si="2"/>
        <v>t CO2e / 0</v>
      </c>
      <c r="L406" s="82"/>
      <c r="M406" s="47"/>
      <c r="N406" s="82"/>
    </row>
    <row r="407" spans="3:41" x14ac:dyDescent="0.25">
      <c r="D407" s="49">
        <v>0</v>
      </c>
      <c r="E407" s="49">
        <v>0</v>
      </c>
      <c r="F407" s="49">
        <v>0</v>
      </c>
      <c r="G407" s="49" t="s">
        <v>815</v>
      </c>
      <c r="H407" s="49" t="s">
        <v>815</v>
      </c>
      <c r="I407" s="66"/>
      <c r="J407" s="150" cm="1">
        <f t="array" ref="J407">Scope3_Equations.VEERG_15_9_1_1__1_EmissionsFromPurchasedGrowMedia(E407,I407)</f>
        <v>0</v>
      </c>
      <c r="K407" s="49" t="str">
        <f t="shared" si="2"/>
        <v>t CO2e / 0</v>
      </c>
      <c r="L407" s="82"/>
      <c r="M407" s="47"/>
      <c r="N407" s="82"/>
    </row>
    <row r="408" spans="3:41" x14ac:dyDescent="0.25">
      <c r="D408" s="49">
        <v>0</v>
      </c>
      <c r="E408" s="49">
        <v>0</v>
      </c>
      <c r="F408" s="49">
        <v>0</v>
      </c>
      <c r="G408" s="49" t="s">
        <v>815</v>
      </c>
      <c r="H408" s="49" t="s">
        <v>815</v>
      </c>
      <c r="I408" s="66"/>
      <c r="J408" s="150" cm="1">
        <f t="array" ref="J408">Scope3_Equations.VEERG_15_9_1_1__1_EmissionsFromPurchasedGrowMedia(E408,I408)</f>
        <v>0</v>
      </c>
      <c r="K408" s="49" t="str">
        <f t="shared" si="2"/>
        <v>t CO2e / 0</v>
      </c>
      <c r="L408" s="82"/>
      <c r="M408" s="47"/>
      <c r="N408" s="82"/>
    </row>
    <row r="410" spans="3:41" ht="20.25" x14ac:dyDescent="0.25">
      <c r="D410" s="178" t="s">
        <v>629</v>
      </c>
      <c r="E410" s="176" t="s">
        <v>815</v>
      </c>
      <c r="F410" s="177" t="str">
        <f>$E$155</f>
        <v>t CO2e</v>
      </c>
    </row>
    <row r="411" spans="3:41" ht="20.25" x14ac:dyDescent="0.25">
      <c r="D411" s="178" t="s">
        <v>631</v>
      </c>
      <c r="E411" s="176">
        <f>SUM(J399:J408)</f>
        <v>40.200000000000003</v>
      </c>
      <c r="F411" s="177" t="str">
        <f>$E$155</f>
        <v>t CO2e</v>
      </c>
    </row>
    <row r="414" spans="3:41" x14ac:dyDescent="0.25">
      <c r="C414" s="98"/>
      <c r="D414" s="98"/>
      <c r="E414" s="98"/>
      <c r="F414" s="98"/>
      <c r="G414" s="98"/>
      <c r="H414" s="98"/>
      <c r="I414" s="98"/>
      <c r="J414" s="98"/>
      <c r="K414" s="98"/>
      <c r="L414" s="98"/>
      <c r="M414" s="98"/>
      <c r="N414" s="98"/>
      <c r="O414" s="98"/>
      <c r="P414" s="98"/>
      <c r="Q414" s="98"/>
      <c r="R414" s="98"/>
      <c r="S414" s="98"/>
      <c r="T414" s="98"/>
      <c r="U414" s="98"/>
      <c r="V414" s="98"/>
      <c r="W414" s="98"/>
      <c r="X414" s="98"/>
      <c r="Y414" s="98"/>
      <c r="Z414" s="98"/>
      <c r="AA414" s="98"/>
      <c r="AB414" s="98"/>
      <c r="AC414" s="98"/>
      <c r="AD414" s="98"/>
      <c r="AE414" s="98"/>
      <c r="AF414" s="98"/>
      <c r="AG414" s="98"/>
      <c r="AH414" s="98"/>
      <c r="AI414" s="98"/>
      <c r="AJ414" s="98"/>
      <c r="AK414" s="98"/>
      <c r="AL414" s="98"/>
      <c r="AM414" s="98"/>
      <c r="AN414" s="98"/>
      <c r="AO414" s="98"/>
    </row>
    <row r="415" spans="3:41" ht="23.25" x14ac:dyDescent="0.25">
      <c r="D415" s="9" t="str" cm="1">
        <f t="array" ref="D415">Scope3_Equations.VEERG_15_10_1_1__1_OtherPurchasedGoodsAndServices_Title()</f>
        <v>Other purchased goods and services generic estimate</v>
      </c>
    </row>
    <row r="416" spans="3:41" x14ac:dyDescent="0.25">
      <c r="D416" s="11" t="str" cm="1">
        <f t="array" ref="D416">Scope3_Equations.VEERG_15_10_1_1__1_OtherPurchasedGoodsAndServices_Source()</f>
        <v>VEERG 2026: 15.10, generic placeholder equation</v>
      </c>
    </row>
    <row r="417" spans="4:13" x14ac:dyDescent="0.25">
      <c r="D417" s="12" t="s">
        <v>700</v>
      </c>
    </row>
    <row r="418" spans="4:13" x14ac:dyDescent="0.25">
      <c r="D418" s="171" t="s">
        <v>622</v>
      </c>
      <c r="E418" s="171" t="str" cm="1">
        <f t="array" aca="1" ref="E418" ca="1">Common_InputFunctions.Utility_DisplayFunctionName(H430)</f>
        <v>=Scope3_Equations.VEERG_15_10_1_1__1_OtherPurchasedGoodsAndServices</v>
      </c>
    </row>
    <row r="421" spans="4:13" x14ac:dyDescent="0.25">
      <c r="D421" s="27" t="s">
        <v>623</v>
      </c>
      <c r="E421" s="8" t="str" cm="1">
        <f t="array" ref="E421">Scope3_Equations.VEERG_15_10_1_1__1_OtherPurchasedGoodsAndServices_Variable()</f>
        <v>emissions</v>
      </c>
    </row>
    <row r="422" spans="4:13" x14ac:dyDescent="0.25">
      <c r="D422" s="27" t="s">
        <v>96</v>
      </c>
      <c r="E422" s="13" t="str" cm="1">
        <f t="array" ref="E422">Scope3_Equations.VEERG_15_10_1_1__1_OtherPurchasedGoodsAndServices_Unit()</f>
        <v>t CO2e</v>
      </c>
    </row>
    <row r="424" spans="4:13" x14ac:dyDescent="0.25">
      <c r="D424" s="166" t="str" cm="1">
        <f t="array" ref="D424:E425">_xlfn.CHOOSECOLS(Scope3_Equations.VEERG_15_10_1_1__1_OtherPurchasedGoodsAndServices_Arguments(),1,2)</f>
        <v>activity_data</v>
      </c>
      <c r="E424" s="170" t="str">
        <v>measured activity for the purchased good or service</v>
      </c>
      <c r="F424" s="165"/>
      <c r="G424" s="166" t="str" cm="1">
        <f t="array" ref="G424:H425">_xlfn.CHOOSECOLS(Scope3_Equations.VEERG_15_10_1_1__1_OtherPurchasedGoodsAndServices_Arguments(),3,4)</f>
        <v>varies</v>
      </c>
      <c r="H424" s="167" t="str">
        <v>Input</v>
      </c>
    </row>
    <row r="425" spans="4:13" x14ac:dyDescent="0.25">
      <c r="D425" s="166" t="str">
        <v>emission_factor</v>
      </c>
      <c r="E425" s="170" t="str">
        <v>lifecycle emissions per unit of activity</v>
      </c>
      <c r="F425" s="165"/>
      <c r="G425" s="166" t="str">
        <v>varies</v>
      </c>
      <c r="H425" s="168" t="str">
        <v>Constant</v>
      </c>
    </row>
    <row r="427" spans="4:13" ht="18.75" x14ac:dyDescent="0.25">
      <c r="D427" s="144" t="s">
        <v>369</v>
      </c>
    </row>
    <row r="429" spans="4:13" x14ac:dyDescent="0.25">
      <c r="D429" s="46" t="s">
        <v>355</v>
      </c>
      <c r="E429" s="151" t="s">
        <v>281</v>
      </c>
      <c r="F429" s="151" t="s">
        <v>371</v>
      </c>
      <c r="G429" s="57" t="s">
        <v>349</v>
      </c>
      <c r="H429" s="57" t="s">
        <v>629</v>
      </c>
      <c r="I429" s="46" t="s">
        <v>352</v>
      </c>
      <c r="J429" s="57" t="s">
        <v>631</v>
      </c>
      <c r="K429" s="46" t="s">
        <v>625</v>
      </c>
      <c r="L429" s="46" t="s">
        <v>626</v>
      </c>
      <c r="M429" s="46" t="s">
        <v>627</v>
      </c>
    </row>
    <row r="430" spans="4:13" x14ac:dyDescent="0.25">
      <c r="D430" s="49" t="str" cm="1">
        <f t="array" ref="D430:D439">IFERROR(INDEX(Table_Input_ChemicalsCleaning[Product name], _xlfn.SEQUENCE(10)), "")</f>
        <v>Acid kleen</v>
      </c>
      <c r="E430" s="49" t="str" cm="1">
        <f t="array" ref="E430:E439">IFERROR(INDEX(Table_Input_ChemicalsCleaning[Type (select)], _xlfn.SEQUENCE(10)), "")</f>
        <v>Phosphoric acid</v>
      </c>
      <c r="F430" s="49" cm="1">
        <f t="array" ref="F430:F439">IFERROR(INDEX(Table_Input_ChemicalsCleaning[Quantity purchased (kg)], _xlfn.SEQUENCE(10)), "")</f>
        <v>100</v>
      </c>
      <c r="G430" s="49" cm="1">
        <f t="array" ref="G430">Common_InputFunctions.Utility_LookupValueInTableNumber(E430,Table_SourceData_Scope3_ChemicalsCleaning[Product],Table_SourceData_Scope3_ChemicalsCleaning[AusLCI Emissions intensity])</f>
        <v>0.90700000000000003</v>
      </c>
      <c r="H430" s="150" cm="1">
        <f t="array" ref="H430">Scope3_Equations.VEERG_15_10_1_1__1_OtherPurchasedGoodsAndServices(F430,G430*10^-3)</f>
        <v>9.0700000000000003E-2</v>
      </c>
      <c r="I430" s="66">
        <v>1.3</v>
      </c>
      <c r="J430" s="150" cm="1">
        <f t="array" ref="J430">Scope3_Equations.VEERG_15_10_1_1__1_OtherPurchasedGoodsAndServices(F430,IF(I430,I430,G430)*10^-3)</f>
        <v>0.13</v>
      </c>
      <c r="K430" s="82"/>
      <c r="L430" s="47"/>
      <c r="M430" s="82"/>
    </row>
    <row r="431" spans="4:13" x14ac:dyDescent="0.25">
      <c r="D431" s="49" t="str">
        <v>Kleen alk</v>
      </c>
      <c r="E431" s="49" t="str">
        <v>Alkaline cleaner</v>
      </c>
      <c r="F431" s="49">
        <v>100</v>
      </c>
      <c r="G431" s="49" cm="1">
        <f t="array" ref="G431">Common_InputFunctions.Utility_LookupValueInTableNumber(E431,Table_SourceData_Scope3_ChemicalsCleaning[Product],Table_SourceData_Scope3_ChemicalsCleaning[AusLCI Emissions intensity])</f>
        <v>0.72199999999999998</v>
      </c>
      <c r="H431" s="150" cm="1">
        <f t="array" ref="H431">Scope3_Equations.VEERG_15_10_1_1__1_OtherPurchasedGoodsAndServices(F431,G431*10^-3)</f>
        <v>7.22E-2</v>
      </c>
      <c r="I431" s="66">
        <v>8</v>
      </c>
      <c r="J431" s="150" cm="1">
        <f t="array" ref="J431">Scope3_Equations.VEERG_15_10_1_1__1_OtherPurchasedGoodsAndServices(F431,IF(I431,I431,G431)*10^-3)</f>
        <v>0.8</v>
      </c>
      <c r="K431" s="82"/>
      <c r="L431" s="47"/>
      <c r="M431" s="82"/>
    </row>
    <row r="432" spans="4:13" x14ac:dyDescent="0.25">
      <c r="D432" s="49" t="str">
        <v>White king</v>
      </c>
      <c r="E432" s="49" t="str">
        <v>Bleach</v>
      </c>
      <c r="F432" s="49">
        <v>100</v>
      </c>
      <c r="G432" s="49" cm="1">
        <f t="array" ref="G432">Common_InputFunctions.Utility_LookupValueInTableNumber(E432,Table_SourceData_Scope3_ChemicalsCleaning[Product],Table_SourceData_Scope3_ChemicalsCleaning[AusLCI Emissions intensity])</f>
        <v>0.80400000000000005</v>
      </c>
      <c r="H432" s="150" cm="1">
        <f t="array" ref="H432">Scope3_Equations.VEERG_15_10_1_1__1_OtherPurchasedGoodsAndServices(F432,G432*10^-3)</f>
        <v>8.0399999999999999E-2</v>
      </c>
      <c r="I432" s="66">
        <v>4</v>
      </c>
      <c r="J432" s="150" cm="1">
        <f t="array" ref="J432">Scope3_Equations.VEERG_15_10_1_1__1_OtherPurchasedGoodsAndServices(F432,IF(I432,I432,G432)*10^-3)</f>
        <v>0.4</v>
      </c>
      <c r="K432" s="82"/>
      <c r="L432" s="47"/>
      <c r="M432" s="82"/>
    </row>
    <row r="433" spans="4:13" x14ac:dyDescent="0.25">
      <c r="D433" s="49" t="str">
        <v>White king</v>
      </c>
      <c r="E433" s="49" t="str">
        <v>Bleach</v>
      </c>
      <c r="F433" s="49">
        <v>100</v>
      </c>
      <c r="G433" s="49" cm="1">
        <f t="array" ref="G433">Common_InputFunctions.Utility_LookupValueInTableNumber(E433,Table_SourceData_Scope3_ChemicalsCleaning[Product],Table_SourceData_Scope3_ChemicalsCleaning[AusLCI Emissions intensity])</f>
        <v>0.80400000000000005</v>
      </c>
      <c r="H433" s="150" cm="1">
        <f t="array" ref="H433">Scope3_Equations.VEERG_15_10_1_1__1_OtherPurchasedGoodsAndServices(F433,G433*10^-3)</f>
        <v>8.0399999999999999E-2</v>
      </c>
      <c r="I433" s="66">
        <v>3</v>
      </c>
      <c r="J433" s="150" cm="1">
        <f t="array" ref="J433">Scope3_Equations.VEERG_15_10_1_1__1_OtherPurchasedGoodsAndServices(F433,IF(I433,I433,G433)*10^-3)</f>
        <v>0.3</v>
      </c>
      <c r="K433" s="82"/>
      <c r="L433" s="47"/>
      <c r="M433" s="82"/>
    </row>
    <row r="434" spans="4:13" x14ac:dyDescent="0.25">
      <c r="D434" s="49" t="str">
        <v>Acid kleen</v>
      </c>
      <c r="E434" s="49" t="str">
        <v>Phosphoric acid</v>
      </c>
      <c r="F434" s="49">
        <v>100</v>
      </c>
      <c r="G434" s="49" cm="1">
        <f t="array" ref="G434">Common_InputFunctions.Utility_LookupValueInTableNumber(E434,Table_SourceData_Scope3_ChemicalsCleaning[Product],Table_SourceData_Scope3_ChemicalsCleaning[AusLCI Emissions intensity])</f>
        <v>0.90700000000000003</v>
      </c>
      <c r="H434" s="150" cm="1">
        <f t="array" ref="H434">Scope3_Equations.VEERG_15_10_1_1__1_OtherPurchasedGoodsAndServices(F434,G434*10^-3)</f>
        <v>9.0700000000000003E-2</v>
      </c>
      <c r="I434" s="66">
        <v>6</v>
      </c>
      <c r="J434" s="150" cm="1">
        <f t="array" ref="J434">Scope3_Equations.VEERG_15_10_1_1__1_OtherPurchasedGoodsAndServices(F434,IF(I434,I434,G434)*10^-3)</f>
        <v>0.6</v>
      </c>
      <c r="K434" s="82"/>
      <c r="L434" s="47"/>
      <c r="M434" s="82"/>
    </row>
    <row r="435" spans="4:13" x14ac:dyDescent="0.25">
      <c r="D435" s="49" t="str">
        <v>Acid kleen</v>
      </c>
      <c r="E435" s="49" t="str">
        <v>Phosphoric acid</v>
      </c>
      <c r="F435" s="49">
        <v>100</v>
      </c>
      <c r="G435" s="49" cm="1">
        <f t="array" ref="G435">Common_InputFunctions.Utility_LookupValueInTableNumber(E435,Table_SourceData_Scope3_ChemicalsCleaning[Product],Table_SourceData_Scope3_ChemicalsCleaning[AusLCI Emissions intensity])</f>
        <v>0.90700000000000003</v>
      </c>
      <c r="H435" s="150" cm="1">
        <f t="array" ref="H435">Scope3_Equations.VEERG_15_10_1_1__1_OtherPurchasedGoodsAndServices(F435,G435*10^-3)</f>
        <v>9.0700000000000003E-2</v>
      </c>
      <c r="I435" s="66">
        <v>5</v>
      </c>
      <c r="J435" s="150" cm="1">
        <f t="array" ref="J435">Scope3_Equations.VEERG_15_10_1_1__1_OtherPurchasedGoodsAndServices(F435,IF(I435,I435,G435)*10^-3)</f>
        <v>0.5</v>
      </c>
      <c r="K435" s="82"/>
      <c r="L435" s="47"/>
      <c r="M435" s="82"/>
    </row>
    <row r="436" spans="4:13" x14ac:dyDescent="0.25">
      <c r="D436" s="49">
        <v>0</v>
      </c>
      <c r="E436" s="49">
        <v>0</v>
      </c>
      <c r="F436" s="49">
        <v>0</v>
      </c>
      <c r="G436" s="49" cm="1">
        <f t="array" ref="G436">Common_InputFunctions.Utility_LookupValueInTableNumber(E436,Table_SourceData_Scope3_ChemicalsCleaning[Product],Table_SourceData_Scope3_ChemicalsCleaning[AusLCI Emissions intensity])</f>
        <v>0</v>
      </c>
      <c r="H436" s="150" cm="1">
        <f t="array" ref="H436">Scope3_Equations.VEERG_15_10_1_1__1_OtherPurchasedGoodsAndServices(F436,G436*10^-3)</f>
        <v>0</v>
      </c>
      <c r="I436" s="66"/>
      <c r="J436" s="150" cm="1">
        <f t="array" ref="J436">Scope3_Equations.VEERG_15_10_1_1__1_OtherPurchasedGoodsAndServices(F436,IF(I436,I436,G436)*10^-3)</f>
        <v>0</v>
      </c>
      <c r="K436" s="82"/>
      <c r="L436" s="47"/>
      <c r="M436" s="82"/>
    </row>
    <row r="437" spans="4:13" x14ac:dyDescent="0.25">
      <c r="D437" s="49">
        <v>0</v>
      </c>
      <c r="E437" s="49">
        <v>0</v>
      </c>
      <c r="F437" s="49">
        <v>0</v>
      </c>
      <c r="G437" s="49" cm="1">
        <f t="array" ref="G437">Common_InputFunctions.Utility_LookupValueInTableNumber(E437,Table_SourceData_Scope3_ChemicalsCleaning[Product],Table_SourceData_Scope3_ChemicalsCleaning[AusLCI Emissions intensity])</f>
        <v>0</v>
      </c>
      <c r="H437" s="150" cm="1">
        <f t="array" ref="H437">Scope3_Equations.VEERG_15_10_1_1__1_OtherPurchasedGoodsAndServices(F437,G437*10^-3)</f>
        <v>0</v>
      </c>
      <c r="I437" s="66"/>
      <c r="J437" s="150" cm="1">
        <f t="array" ref="J437">Scope3_Equations.VEERG_15_10_1_1__1_OtherPurchasedGoodsAndServices(F437,IF(I437,I437,G437)*10^-3)</f>
        <v>0</v>
      </c>
      <c r="K437" s="82"/>
      <c r="L437" s="47"/>
      <c r="M437" s="82"/>
    </row>
    <row r="438" spans="4:13" x14ac:dyDescent="0.25">
      <c r="D438" s="49">
        <v>0</v>
      </c>
      <c r="E438" s="49">
        <v>0</v>
      </c>
      <c r="F438" s="49">
        <v>0</v>
      </c>
      <c r="G438" s="49" cm="1">
        <f t="array" ref="G438">Common_InputFunctions.Utility_LookupValueInTableNumber(E438,Table_SourceData_Scope3_ChemicalsCleaning[Product],Table_SourceData_Scope3_ChemicalsCleaning[AusLCI Emissions intensity])</f>
        <v>0</v>
      </c>
      <c r="H438" s="150" cm="1">
        <f t="array" ref="H438">Scope3_Equations.VEERG_15_10_1_1__1_OtherPurchasedGoodsAndServices(F438,G438*10^-3)</f>
        <v>0</v>
      </c>
      <c r="I438" s="66"/>
      <c r="J438" s="150" cm="1">
        <f t="array" ref="J438">Scope3_Equations.VEERG_15_10_1_1__1_OtherPurchasedGoodsAndServices(F438,IF(I438,I438,G438)*10^-3)</f>
        <v>0</v>
      </c>
      <c r="K438" s="82"/>
      <c r="L438" s="47"/>
      <c r="M438" s="82"/>
    </row>
    <row r="439" spans="4:13" x14ac:dyDescent="0.25">
      <c r="D439" s="49">
        <v>0</v>
      </c>
      <c r="E439" s="49">
        <v>0</v>
      </c>
      <c r="F439" s="49">
        <v>0</v>
      </c>
      <c r="G439" s="49" cm="1">
        <f t="array" ref="G439">Common_InputFunctions.Utility_LookupValueInTableNumber(E439,Table_SourceData_Scope3_ChemicalsCleaning[Product],Table_SourceData_Scope3_ChemicalsCleaning[AusLCI Emissions intensity])</f>
        <v>0</v>
      </c>
      <c r="H439" s="150" cm="1">
        <f t="array" ref="H439">Scope3_Equations.VEERG_15_10_1_1__1_OtherPurchasedGoodsAndServices(F439,G439*10^-3)</f>
        <v>0</v>
      </c>
      <c r="I439" s="66"/>
      <c r="J439" s="150" cm="1">
        <f t="array" ref="J439">Scope3_Equations.VEERG_15_10_1_1__1_OtherPurchasedGoodsAndServices(F439,IF(I439,I439,G439)*10^-3)</f>
        <v>0</v>
      </c>
      <c r="K439" s="82"/>
      <c r="L439" s="47"/>
      <c r="M439" s="82"/>
    </row>
    <row r="441" spans="4:13" ht="20.25" x14ac:dyDescent="0.25">
      <c r="D441" s="178" t="s">
        <v>629</v>
      </c>
      <c r="E441" s="176">
        <f>SUM(H430:H439)</f>
        <v>0.50509999999999999</v>
      </c>
      <c r="F441" s="177" t="str">
        <f>$E$155</f>
        <v>t CO2e</v>
      </c>
    </row>
    <row r="442" spans="4:13" ht="20.25" x14ac:dyDescent="0.25">
      <c r="D442" s="178" t="s">
        <v>631</v>
      </c>
      <c r="E442" s="176">
        <f>SUM(J430:J439)</f>
        <v>2.73</v>
      </c>
      <c r="F442" s="177" t="str">
        <f>$E$155</f>
        <v>t CO2e</v>
      </c>
    </row>
    <row r="445" spans="4:13" ht="18.75" x14ac:dyDescent="0.25">
      <c r="D445" s="144" t="s">
        <v>370</v>
      </c>
    </row>
    <row r="447" spans="4:13" x14ac:dyDescent="0.25">
      <c r="D447" s="46" t="s">
        <v>355</v>
      </c>
      <c r="E447" s="151" t="s">
        <v>281</v>
      </c>
      <c r="F447" s="151" t="s">
        <v>368</v>
      </c>
      <c r="G447" s="57" t="s">
        <v>613</v>
      </c>
      <c r="H447" s="57" t="s">
        <v>629</v>
      </c>
      <c r="I447" s="46" t="s">
        <v>614</v>
      </c>
      <c r="J447" s="57" t="s">
        <v>631</v>
      </c>
      <c r="K447" s="46" t="s">
        <v>625</v>
      </c>
      <c r="L447" s="46" t="s">
        <v>626</v>
      </c>
      <c r="M447" s="46" t="s">
        <v>627</v>
      </c>
    </row>
    <row r="448" spans="4:13" x14ac:dyDescent="0.25">
      <c r="D448" s="49" t="str" cm="1">
        <f t="array" ref="D448:D457">IFERROR(INDEX(Table_Input_ChemicalsPharmacy[Product name], _xlfn.SEQUENCE(10)), "")</f>
        <v>Cow bug off</v>
      </c>
      <c r="E448" s="49" t="str" cm="1">
        <f t="array" ref="E448:E457">IFERROR(INDEX(Table_Input_ChemicalsPharmacy[Type (select)], _xlfn.SEQUENCE(10)), "")</f>
        <v>Parasite control for cattle (external), dipping</v>
      </c>
      <c r="F448" s="49" cm="1">
        <f t="array" ref="F448:F457">IFERROR(INDEX(Table_Input_ChemicalsCleaning[Quantity purchased (kg)], _xlfn.SEQUENCE(10)), "")</f>
        <v>100</v>
      </c>
      <c r="G448" s="49" cm="1">
        <f t="array" ref="G448">Common_InputFunctions.Utility_LookupValueInTableNumber(E448,Table_SourceData_Scope3_ChemicalsPharmacy[Product],Table_SourceData_Scope3_ChemicalsPharmacy[AusLCI Emissions intensity])</f>
        <v>5.4699999999999999E-2</v>
      </c>
      <c r="H448" s="150" cm="1">
        <f t="array" ref="H448">Scope3_Equations.VEERG_15_10_1_1__1_OtherPurchasedGoodsAndServices(F448,G448*10^-3)</f>
        <v>5.47E-3</v>
      </c>
      <c r="I448" s="66">
        <v>0.05</v>
      </c>
      <c r="J448" s="150" cm="1">
        <f t="array" ref="J448">Scope3_Equations.VEERG_15_10_1_1__1_OtherPurchasedGoodsAndServices(F448,IF(I448,I448,G448)*10^-3)</f>
        <v>5.0000000000000001E-3</v>
      </c>
      <c r="K448" s="82"/>
      <c r="L448" s="47"/>
      <c r="M448" s="82"/>
    </row>
    <row r="449" spans="4:13" x14ac:dyDescent="0.25">
      <c r="D449" s="49" t="str">
        <v>Cow worm-away</v>
      </c>
      <c r="E449" s="49" t="str">
        <v>Parasite control for cattle (internal)</v>
      </c>
      <c r="F449" s="49">
        <v>100</v>
      </c>
      <c r="G449" s="49" cm="1">
        <f t="array" ref="G449">Common_InputFunctions.Utility_LookupValueInTableNumber(E449,Table_SourceData_Scope3_ChemicalsPharmacy[Product],Table_SourceData_Scope3_ChemicalsPharmacy[AusLCI Emissions intensity])</f>
        <v>1.4200000000000001E-2</v>
      </c>
      <c r="H449" s="150" cm="1">
        <f t="array" ref="H449">Scope3_Equations.VEERG_15_10_1_1__1_OtherPurchasedGoodsAndServices(F449,G449*10^-3)</f>
        <v>1.42E-3</v>
      </c>
      <c r="I449" s="66">
        <v>0.01</v>
      </c>
      <c r="J449" s="150" cm="1">
        <f t="array" ref="J449">Scope3_Equations.VEERG_15_10_1_1__1_OtherPurchasedGoodsAndServices(F449,IF(I449,I449,G449)*10^-3)</f>
        <v>1E-3</v>
      </c>
      <c r="K449" s="82"/>
      <c r="L449" s="47"/>
      <c r="M449" s="82"/>
    </row>
    <row r="450" spans="4:13" x14ac:dyDescent="0.25">
      <c r="D450" s="49" t="str">
        <v>Sheep bug off</v>
      </c>
      <c r="E450" s="49" t="str">
        <v>Parasite control for sheep (external)</v>
      </c>
      <c r="F450" s="49">
        <v>100</v>
      </c>
      <c r="G450" s="49" cm="1">
        <f t="array" ref="G450">Common_InputFunctions.Utility_LookupValueInTableNumber(E450,Table_SourceData_Scope3_ChemicalsPharmacy[Product],Table_SourceData_Scope3_ChemicalsPharmacy[AusLCI Emissions intensity])</f>
        <v>1.43E-2</v>
      </c>
      <c r="H450" s="150" cm="1">
        <f t="array" ref="H450">Scope3_Equations.VEERG_15_10_1_1__1_OtherPurchasedGoodsAndServices(F450,G450*10^-3)</f>
        <v>1.4300000000000001E-3</v>
      </c>
      <c r="I450" s="66">
        <v>0.01</v>
      </c>
      <c r="J450" s="150" cm="1">
        <f t="array" ref="J450">Scope3_Equations.VEERG_15_10_1_1__1_OtherPurchasedGoodsAndServices(F450,IF(I450,I450,G450)*10^-3)</f>
        <v>1E-3</v>
      </c>
      <c r="K450" s="82"/>
      <c r="L450" s="47"/>
      <c r="M450" s="82"/>
    </row>
    <row r="451" spans="4:13" x14ac:dyDescent="0.25">
      <c r="D451" s="49" t="str">
        <v>Sheep worm-away</v>
      </c>
      <c r="E451" s="49" t="str">
        <v>Parasite control for sheep (internal)</v>
      </c>
      <c r="F451" s="49">
        <v>100</v>
      </c>
      <c r="G451" s="49" cm="1">
        <f t="array" ref="G451">Common_InputFunctions.Utility_LookupValueInTableNumber(E451,Table_SourceData_Scope3_ChemicalsPharmacy[Product],Table_SourceData_Scope3_ChemicalsPharmacy[AusLCI Emissions intensity])</f>
        <v>4.2599999999999999E-3</v>
      </c>
      <c r="H451" s="150" cm="1">
        <f t="array" ref="H451">Scope3_Equations.VEERG_15_10_1_1__1_OtherPurchasedGoodsAndServices(F451,G451*10^-3)</f>
        <v>4.26E-4</v>
      </c>
      <c r="I451" s="66">
        <v>4.0000000000000001E-3</v>
      </c>
      <c r="J451" s="150" cm="1">
        <f t="array" ref="J451">Scope3_Equations.VEERG_15_10_1_1__1_OtherPurchasedGoodsAndServices(F451,IF(I451,I451,G451)*10^-3)</f>
        <v>3.9999999999999996E-4</v>
      </c>
      <c r="K451" s="82"/>
      <c r="L451" s="47"/>
      <c r="M451" s="82"/>
    </row>
    <row r="452" spans="4:13" x14ac:dyDescent="0.25">
      <c r="D452" s="49" t="str">
        <v>Cow bug off</v>
      </c>
      <c r="E452" s="49" t="str">
        <v>Parasite control for cattle (external), dipping</v>
      </c>
      <c r="F452" s="49">
        <v>100</v>
      </c>
      <c r="G452" s="49" cm="1">
        <f t="array" ref="G452">Common_InputFunctions.Utility_LookupValueInTableNumber(E452,Table_SourceData_Scope3_ChemicalsPharmacy[Product],Table_SourceData_Scope3_ChemicalsPharmacy[AusLCI Emissions intensity])</f>
        <v>5.4699999999999999E-2</v>
      </c>
      <c r="H452" s="150" cm="1">
        <f t="array" ref="H452">Scope3_Equations.VEERG_15_10_1_1__1_OtherPurchasedGoodsAndServices(F452,G452*10^-3)</f>
        <v>5.47E-3</v>
      </c>
      <c r="I452" s="66">
        <v>0.05</v>
      </c>
      <c r="J452" s="150" cm="1">
        <f t="array" ref="J452">Scope3_Equations.VEERG_15_10_1_1__1_OtherPurchasedGoodsAndServices(F452,IF(I452,I452,G452)*10^-3)</f>
        <v>5.0000000000000001E-3</v>
      </c>
      <c r="K452" s="82"/>
      <c r="L452" s="47"/>
      <c r="M452" s="82"/>
    </row>
    <row r="453" spans="4:13" x14ac:dyDescent="0.25">
      <c r="D453" s="49" t="str">
        <v>Cow worm-away</v>
      </c>
      <c r="E453" s="49" t="str">
        <v>Parasite control for cattle (internal)</v>
      </c>
      <c r="F453" s="49">
        <v>100</v>
      </c>
      <c r="G453" s="49" cm="1">
        <f t="array" ref="G453">Common_InputFunctions.Utility_LookupValueInTableNumber(E453,Table_SourceData_Scope3_ChemicalsPharmacy[Product],Table_SourceData_Scope3_ChemicalsPharmacy[AusLCI Emissions intensity])</f>
        <v>1.4200000000000001E-2</v>
      </c>
      <c r="H453" s="150" cm="1">
        <f t="array" ref="H453">Scope3_Equations.VEERG_15_10_1_1__1_OtherPurchasedGoodsAndServices(F453,G453*10^-3)</f>
        <v>1.42E-3</v>
      </c>
      <c r="I453" s="66">
        <v>0.01</v>
      </c>
      <c r="J453" s="150" cm="1">
        <f t="array" ref="J453">Scope3_Equations.VEERG_15_10_1_1__1_OtherPurchasedGoodsAndServices(F453,IF(I453,I453,G453)*10^-3)</f>
        <v>1E-3</v>
      </c>
      <c r="K453" s="82"/>
      <c r="L453" s="47"/>
      <c r="M453" s="82"/>
    </row>
    <row r="454" spans="4:13" x14ac:dyDescent="0.25">
      <c r="D454" s="49">
        <v>0</v>
      </c>
      <c r="E454" s="49">
        <v>0</v>
      </c>
      <c r="F454" s="49">
        <v>0</v>
      </c>
      <c r="G454" s="49" cm="1">
        <f t="array" ref="G454">Common_InputFunctions.Utility_LookupValueInTableNumber(E454,Table_SourceData_Scope3_ChemicalsPharmacy[Product],Table_SourceData_Scope3_ChemicalsPharmacy[AusLCI Emissions intensity])</f>
        <v>0</v>
      </c>
      <c r="H454" s="150" cm="1">
        <f t="array" ref="H454">Scope3_Equations.VEERG_15_10_1_1__1_OtherPurchasedGoodsAndServices(F454,G454*10^-3)</f>
        <v>0</v>
      </c>
      <c r="I454" s="66"/>
      <c r="J454" s="150" cm="1">
        <f t="array" ref="J454">Scope3_Equations.VEERG_15_10_1_1__1_OtherPurchasedGoodsAndServices(F454,IF(I454,I454,G454)*10^-3)</f>
        <v>0</v>
      </c>
      <c r="K454" s="82"/>
      <c r="L454" s="47"/>
      <c r="M454" s="82"/>
    </row>
    <row r="455" spans="4:13" x14ac:dyDescent="0.25">
      <c r="D455" s="49">
        <v>0</v>
      </c>
      <c r="E455" s="49">
        <v>0</v>
      </c>
      <c r="F455" s="49">
        <v>0</v>
      </c>
      <c r="G455" s="49" cm="1">
        <f t="array" ref="G455">Common_InputFunctions.Utility_LookupValueInTableNumber(E455,Table_SourceData_Scope3_ChemicalsPharmacy[Product],Table_SourceData_Scope3_ChemicalsPharmacy[AusLCI Emissions intensity])</f>
        <v>0</v>
      </c>
      <c r="H455" s="150" cm="1">
        <f t="array" ref="H455">Scope3_Equations.VEERG_15_10_1_1__1_OtherPurchasedGoodsAndServices(F455,G455*10^-3)</f>
        <v>0</v>
      </c>
      <c r="I455" s="66"/>
      <c r="J455" s="150" cm="1">
        <f t="array" ref="J455">Scope3_Equations.VEERG_15_10_1_1__1_OtherPurchasedGoodsAndServices(F455,IF(I455,I455,G455)*10^-3)</f>
        <v>0</v>
      </c>
      <c r="K455" s="82"/>
      <c r="L455" s="47"/>
      <c r="M455" s="82"/>
    </row>
    <row r="456" spans="4:13" x14ac:dyDescent="0.25">
      <c r="D456" s="49">
        <v>0</v>
      </c>
      <c r="E456" s="49">
        <v>0</v>
      </c>
      <c r="F456" s="49">
        <v>0</v>
      </c>
      <c r="G456" s="49" cm="1">
        <f t="array" ref="G456">Common_InputFunctions.Utility_LookupValueInTableNumber(E456,Table_SourceData_Scope3_ChemicalsPharmacy[Product],Table_SourceData_Scope3_ChemicalsPharmacy[AusLCI Emissions intensity])</f>
        <v>0</v>
      </c>
      <c r="H456" s="150" cm="1">
        <f t="array" ref="H456">Scope3_Equations.VEERG_15_10_1_1__1_OtherPurchasedGoodsAndServices(F456,G456*10^-3)</f>
        <v>0</v>
      </c>
      <c r="I456" s="66"/>
      <c r="J456" s="150" cm="1">
        <f t="array" ref="J456">Scope3_Equations.VEERG_15_10_1_1__1_OtherPurchasedGoodsAndServices(F456,IF(I456,I456,G456)*10^-3)</f>
        <v>0</v>
      </c>
      <c r="K456" s="82"/>
      <c r="L456" s="47"/>
      <c r="M456" s="82"/>
    </row>
    <row r="457" spans="4:13" x14ac:dyDescent="0.25">
      <c r="D457" s="49">
        <v>0</v>
      </c>
      <c r="E457" s="49">
        <v>0</v>
      </c>
      <c r="F457" s="49">
        <v>0</v>
      </c>
      <c r="G457" s="49" cm="1">
        <f t="array" ref="G457">Common_InputFunctions.Utility_LookupValueInTableNumber(E457,Table_SourceData_Scope3_ChemicalsPharmacy[Product],Table_SourceData_Scope3_ChemicalsPharmacy[AusLCI Emissions intensity])</f>
        <v>0</v>
      </c>
      <c r="H457" s="150" cm="1">
        <f t="array" ref="H457">Scope3_Equations.VEERG_15_10_1_1__1_OtherPurchasedGoodsAndServices(F457,G457*10^-3)</f>
        <v>0</v>
      </c>
      <c r="I457" s="66"/>
      <c r="J457" s="150" cm="1">
        <f t="array" ref="J457">Scope3_Equations.VEERG_15_10_1_1__1_OtherPurchasedGoodsAndServices(F457,IF(I457,I457,G457)*10^-3)</f>
        <v>0</v>
      </c>
      <c r="K457" s="82"/>
      <c r="L457" s="47"/>
      <c r="M457" s="82"/>
    </row>
    <row r="459" spans="4:13" ht="20.25" x14ac:dyDescent="0.25">
      <c r="D459" s="178" t="s">
        <v>629</v>
      </c>
      <c r="E459" s="176">
        <f>SUM(H448:H457)</f>
        <v>1.5636000000000001E-2</v>
      </c>
      <c r="F459" s="177" t="str">
        <f>$E$155</f>
        <v>t CO2e</v>
      </c>
    </row>
    <row r="460" spans="4:13" ht="20.25" x14ac:dyDescent="0.25">
      <c r="D460" s="178" t="s">
        <v>631</v>
      </c>
      <c r="E460" s="176">
        <f>SUM(J448:J457)</f>
        <v>1.3400000000000002E-2</v>
      </c>
      <c r="F460" s="177" t="str">
        <f>$E$155</f>
        <v>t CO2e</v>
      </c>
    </row>
    <row r="463" spans="4:13" ht="18.75" x14ac:dyDescent="0.25">
      <c r="D463" s="144" t="s">
        <v>406</v>
      </c>
    </row>
    <row r="465" spans="4:12" x14ac:dyDescent="0.25">
      <c r="D465" s="46" t="s">
        <v>169</v>
      </c>
      <c r="E465" s="46" t="s">
        <v>701</v>
      </c>
      <c r="F465" s="57" t="s">
        <v>613</v>
      </c>
      <c r="G465" s="57" t="s">
        <v>629</v>
      </c>
      <c r="H465" s="46" t="s">
        <v>614</v>
      </c>
      <c r="I465" s="57" t="s">
        <v>631</v>
      </c>
      <c r="J465" s="46" t="s">
        <v>625</v>
      </c>
      <c r="K465" s="46" t="s">
        <v>626</v>
      </c>
      <c r="L465" s="46" t="s">
        <v>627</v>
      </c>
    </row>
    <row r="466" spans="4:12" x14ac:dyDescent="0.25">
      <c r="D466" s="49" t="str">
        <f>'Input - Farm Inputs'!D121</f>
        <v>Barley grain (for seed)</v>
      </c>
      <c r="E466" s="49">
        <f>X_Cell_FarmInputs_Seed_BarleyGrain</f>
        <v>500</v>
      </c>
      <c r="F466" s="49" cm="1">
        <f t="array" ref="F466">Common_InputFunctions.Utility_LookupValueInTableNumber(D466,Table_SourceData_Scope3_Other[Product],Table_SourceData_Scope3_Other[AusLCI Emissions intensity])</f>
        <v>0.23899999999999999</v>
      </c>
      <c r="G466" s="150" cm="1">
        <f t="array" ref="G466">Scope3_Equations.VEERG_15_10_1_1__1_OtherPurchasedGoodsAndServices(E466,F466*10^-3)</f>
        <v>0.1195</v>
      </c>
      <c r="H466" s="66">
        <v>0.2</v>
      </c>
      <c r="I466" s="150" cm="1">
        <f t="array" ref="I466">Scope3_Equations.VEERG_15_10_1_1__1_OtherPurchasedGoodsAndServices(E466,IF(H466,H466,F466)*10^-3)</f>
        <v>0.1</v>
      </c>
      <c r="J466" s="82"/>
      <c r="K466" s="47"/>
      <c r="L466" s="82"/>
    </row>
    <row r="467" spans="4:12" x14ac:dyDescent="0.25">
      <c r="D467" s="49" t="str">
        <f>'Input - Farm Inputs'!D122</f>
        <v>Maize grain (for seed)</v>
      </c>
      <c r="E467" s="49">
        <f>X_Cell_FarmInputs_Seed_MaizeGrain</f>
        <v>600</v>
      </c>
      <c r="F467" s="49" cm="1">
        <f t="array" ref="F467">Common_InputFunctions.Utility_LookupValueInTableNumber(D467,Table_SourceData_Scope3_Other[Product],Table_SourceData_Scope3_Other[AusLCI Emissions intensity])</f>
        <v>0.18099999999999999</v>
      </c>
      <c r="G467" s="150" cm="1">
        <f t="array" ref="G467">Scope3_Equations.VEERG_15_10_1_1__1_OtherPurchasedGoodsAndServices(E467,F467*10^-3)</f>
        <v>0.1086</v>
      </c>
      <c r="H467" s="66"/>
      <c r="I467" s="150" cm="1">
        <f t="array" ref="I467">Scope3_Equations.VEERG_15_10_1_1__1_OtherPurchasedGoodsAndServices(E467,IF(H467,H467,F467)*10^-3)</f>
        <v>0.1086</v>
      </c>
      <c r="J467" s="82"/>
      <c r="K467" s="47"/>
      <c r="L467" s="82"/>
    </row>
    <row r="468" spans="4:12" x14ac:dyDescent="0.25">
      <c r="D468" s="49" t="str">
        <f>'Input - Farm Inputs'!D123</f>
        <v>Oat grain (for seed)</v>
      </c>
      <c r="E468" s="49">
        <f>X_Cell_FarmInputs_Seed_OatGrain</f>
        <v>700</v>
      </c>
      <c r="F468" s="49" cm="1">
        <f t="array" ref="F468">Common_InputFunctions.Utility_LookupValueInTableNumber(D468,Table_SourceData_Scope3_Other[Product],Table_SourceData_Scope3_Other[AusLCI Emissions intensity])</f>
        <v>0.27</v>
      </c>
      <c r="G468" s="150" cm="1">
        <f t="array" ref="G468">Scope3_Equations.VEERG_15_10_1_1__1_OtherPurchasedGoodsAndServices(E468,F468*10^-3)</f>
        <v>0.189</v>
      </c>
      <c r="H468" s="66">
        <v>0.2</v>
      </c>
      <c r="I468" s="150" cm="1">
        <f t="array" ref="I468">Scope3_Equations.VEERG_15_10_1_1__1_OtherPurchasedGoodsAndServices(E468,IF(H468,H468,F468)*10^-3)</f>
        <v>0.14000000000000001</v>
      </c>
      <c r="J468" s="82"/>
      <c r="K468" s="47"/>
      <c r="L468" s="82"/>
    </row>
    <row r="469" spans="4:12" x14ac:dyDescent="0.25">
      <c r="D469" s="49" t="str">
        <f>'Input - Farm Inputs'!D124</f>
        <v>Sorghum grain (for seed)</v>
      </c>
      <c r="E469" s="49">
        <f>X_Cell_FarmInputs_Seed_SorghumGrain</f>
        <v>800</v>
      </c>
      <c r="F469" s="49" cm="1">
        <f t="array" ref="F469">Common_InputFunctions.Utility_LookupValueInTableNumber(D469,Table_SourceData_Scope3_Other[Product],Table_SourceData_Scope3_Other[AusLCI Emissions intensity])</f>
        <v>0.23200000000000001</v>
      </c>
      <c r="G469" s="150" cm="1">
        <f t="array" ref="G469">Scope3_Equations.VEERG_15_10_1_1__1_OtherPurchasedGoodsAndServices(E469,F469*10^-3)</f>
        <v>0.18560000000000001</v>
      </c>
      <c r="H469" s="66"/>
      <c r="I469" s="150" cm="1">
        <f t="array" ref="I469">Scope3_Equations.VEERG_15_10_1_1__1_OtherPurchasedGoodsAndServices(E469,IF(H469,H469,F469)*10^-3)</f>
        <v>0.18560000000000001</v>
      </c>
      <c r="J469" s="82"/>
      <c r="K469" s="47"/>
      <c r="L469" s="82"/>
    </row>
    <row r="470" spans="4:12" x14ac:dyDescent="0.25">
      <c r="D470" s="49" t="str">
        <f>'Input - Farm Inputs'!D125</f>
        <v>Wheat grain (for seed)</v>
      </c>
      <c r="E470" s="49">
        <f>X_Cell_FarmInputs_Seed_WheatGrain</f>
        <v>900</v>
      </c>
      <c r="F470" s="49" cm="1">
        <f t="array" ref="F470">Common_InputFunctions.Utility_LookupValueInTableNumber(D470,Table_SourceData_Scope3_Other[Product],Table_SourceData_Scope3_Other[AusLCI Emissions intensity])</f>
        <v>0.26800000000000002</v>
      </c>
      <c r="G470" s="150" cm="1">
        <f t="array" ref="G470">Scope3_Equations.VEERG_15_10_1_1__1_OtherPurchasedGoodsAndServices(E470,F470*10^-3)</f>
        <v>0.2412</v>
      </c>
      <c r="H470" s="66">
        <v>0.2</v>
      </c>
      <c r="I470" s="150" cm="1">
        <f t="array" ref="I470">Scope3_Equations.VEERG_15_10_1_1__1_OtherPurchasedGoodsAndServices(E470,IF(H470,H470,F470)*10^-3)</f>
        <v>0.18000000000000002</v>
      </c>
      <c r="J470" s="82"/>
      <c r="K470" s="47"/>
      <c r="L470" s="82"/>
    </row>
    <row r="472" spans="4:12" ht="20.25" x14ac:dyDescent="0.25">
      <c r="D472" s="178" t="s">
        <v>629</v>
      </c>
      <c r="E472" s="176">
        <f>SUM(G466:G470)</f>
        <v>0.84389999999999998</v>
      </c>
      <c r="F472" s="177" t="str">
        <f>$E$155</f>
        <v>t CO2e</v>
      </c>
    </row>
    <row r="473" spans="4:12" ht="20.25" x14ac:dyDescent="0.25">
      <c r="D473" s="178" t="s">
        <v>631</v>
      </c>
      <c r="E473" s="176">
        <f>SUM(I466:I470)</f>
        <v>0.71420000000000006</v>
      </c>
      <c r="F473" s="177" t="str">
        <f>$E$155</f>
        <v>t CO2e</v>
      </c>
    </row>
    <row r="476" spans="4:12" ht="18.75" x14ac:dyDescent="0.25">
      <c r="D476" s="144" t="s">
        <v>702</v>
      </c>
    </row>
    <row r="478" spans="4:12" x14ac:dyDescent="0.25">
      <c r="D478" s="46" t="s">
        <v>169</v>
      </c>
      <c r="E478" s="46" t="s">
        <v>701</v>
      </c>
      <c r="F478" s="57" t="s">
        <v>613</v>
      </c>
      <c r="G478" s="57" t="s">
        <v>629</v>
      </c>
      <c r="H478" s="46" t="s">
        <v>614</v>
      </c>
      <c r="I478" s="57" t="s">
        <v>631</v>
      </c>
      <c r="J478" s="46" t="s">
        <v>625</v>
      </c>
      <c r="K478" s="46" t="s">
        <v>626</v>
      </c>
      <c r="L478" s="46" t="s">
        <v>627</v>
      </c>
    </row>
    <row r="479" spans="4:12" x14ac:dyDescent="0.25">
      <c r="D479" s="49" t="str">
        <f>'Input - Farm Inputs'!D128</f>
        <v>Animal ear tags (large)</v>
      </c>
      <c r="E479" s="49">
        <f>X_Cell_FarmInputs_Misc_AnimalEarTagsLarge</f>
        <v>100</v>
      </c>
      <c r="F479" s="49" cm="1">
        <f t="array" ref="F479">Common_InputFunctions.Utility_LookupValueInTableNumber(D479,Table_SourceData_Scope3_Other[Product],Table_SourceData_Scope3_Other[AusLCI Emissions intensity])</f>
        <v>4.24E-2</v>
      </c>
      <c r="G479" s="150" cm="1">
        <f t="array" ref="G479">Scope3_Equations.VEERG_15_10_1_1__1_OtherPurchasedGoodsAndServices(E479,F479*10^-3)</f>
        <v>4.2399999999999998E-3</v>
      </c>
      <c r="H479" s="66">
        <v>0.2</v>
      </c>
      <c r="I479" s="150" cm="1">
        <f t="array" ref="I479">Scope3_Equations.VEERG_15_10_1_1__1_OtherPurchasedGoodsAndServices(E479,IF(H479,H479,F479)*10^-3)</f>
        <v>0.02</v>
      </c>
      <c r="J479" s="82"/>
      <c r="K479" s="47"/>
      <c r="L479" s="82"/>
    </row>
    <row r="480" spans="4:12" x14ac:dyDescent="0.25">
      <c r="D480" s="49" t="str">
        <f>'Input - Farm Inputs'!D129</f>
        <v>Animal ear tags (small)</v>
      </c>
      <c r="E480" s="49">
        <f>X_Cell_FarmInputs_Misc_AnimalEarTagsSmall</f>
        <v>200</v>
      </c>
      <c r="F480" s="49" cm="1">
        <f t="array" ref="F480">Common_InputFunctions.Utility_LookupValueInTableNumber(D480,Table_SourceData_Scope3_Other[Product],Table_SourceData_Scope3_Other[AusLCI Emissions intensity])</f>
        <v>2.93E-2</v>
      </c>
      <c r="G480" s="150" cm="1">
        <f t="array" ref="G480">Scope3_Equations.VEERG_15_10_1_1__1_OtherPurchasedGoodsAndServices(E480,F480*10^-3)</f>
        <v>5.8599999999999998E-3</v>
      </c>
      <c r="H480" s="66"/>
      <c r="I480" s="150" cm="1">
        <f t="array" ref="I480">Scope3_Equations.VEERG_15_10_1_1__1_OtherPurchasedGoodsAndServices(E480,IF(H480,H480,F480)*10^-3)</f>
        <v>5.8599999999999998E-3</v>
      </c>
      <c r="J480" s="82"/>
      <c r="K480" s="47"/>
      <c r="L480" s="82"/>
    </row>
    <row r="481" spans="4:14" x14ac:dyDescent="0.25">
      <c r="D481" s="49" t="str">
        <f>'Input - Farm Inputs'!D130</f>
        <v>Nylon netting</v>
      </c>
      <c r="E481" s="49">
        <f>X_Cell_FarmInputs_Misc_NylonNetting</f>
        <v>300</v>
      </c>
      <c r="F481" s="49" cm="1">
        <f t="array" ref="F481">Common_InputFunctions.Utility_LookupValueInTableNumber(D481,Table_SourceData_Scope3_Other[Product],Table_SourceData_Scope3_Other[AusLCI Emissions intensity])</f>
        <v>9.81</v>
      </c>
      <c r="G481" s="150" cm="1">
        <f t="array" ref="G481">Scope3_Equations.VEERG_15_10_1_1__1_OtherPurchasedGoodsAndServices(E481,F481*10^-3)</f>
        <v>2.9430000000000005</v>
      </c>
      <c r="H481" s="66">
        <v>0.2</v>
      </c>
      <c r="I481" s="150" cm="1">
        <f t="array" ref="I481">Scope3_Equations.VEERG_15_10_1_1__1_OtherPurchasedGoodsAndServices(E481,IF(H481,H481,F481)*10^-3)</f>
        <v>6.0000000000000005E-2</v>
      </c>
      <c r="J481" s="82"/>
      <c r="K481" s="47"/>
      <c r="L481" s="82"/>
    </row>
    <row r="483" spans="4:14" ht="20.25" x14ac:dyDescent="0.25">
      <c r="D483" s="178" t="s">
        <v>629</v>
      </c>
      <c r="E483" s="176">
        <f>SUM(G479:G481)</f>
        <v>2.9531000000000005</v>
      </c>
      <c r="F483" s="177" t="str">
        <f>$E$155</f>
        <v>t CO2e</v>
      </c>
    </row>
    <row r="484" spans="4:14" ht="20.25" x14ac:dyDescent="0.25">
      <c r="D484" s="178" t="s">
        <v>631</v>
      </c>
      <c r="E484" s="176">
        <f>SUM(I479:I481)</f>
        <v>8.5860000000000006E-2</v>
      </c>
      <c r="F484" s="177" t="str">
        <f>$E$155</f>
        <v>t CO2e</v>
      </c>
    </row>
    <row r="487" spans="4:14" ht="18.75" x14ac:dyDescent="0.25">
      <c r="D487" s="144" t="s">
        <v>703</v>
      </c>
    </row>
    <row r="489" spans="4:14" x14ac:dyDescent="0.25">
      <c r="D489" s="46" t="s">
        <v>169</v>
      </c>
      <c r="E489" s="46" t="s">
        <v>594</v>
      </c>
      <c r="F489" s="46" t="s">
        <v>125</v>
      </c>
      <c r="G489" s="57" t="s">
        <v>410</v>
      </c>
      <c r="H489" s="57" t="s">
        <v>347</v>
      </c>
      <c r="I489" s="46" t="s">
        <v>411</v>
      </c>
      <c r="J489" s="46" t="s">
        <v>698</v>
      </c>
      <c r="K489" s="57" t="s">
        <v>348</v>
      </c>
      <c r="L489" s="46" t="s">
        <v>625</v>
      </c>
      <c r="M489" s="46" t="s">
        <v>626</v>
      </c>
      <c r="N489" s="46" t="s">
        <v>627</v>
      </c>
    </row>
    <row r="490" spans="4:14" x14ac:dyDescent="0.25">
      <c r="D490" s="49" t="str" cm="1">
        <f t="array" ref="D490:D499">IFERROR(INDEX(Table_Input_UncategorisedProductsServices[Product / service name], _xlfn.SEQUENCE(10)), "")</f>
        <v>Something</v>
      </c>
      <c r="E490" s="49" cm="1">
        <f t="array" ref="E490:E499">IFERROR(INDEX(Table_Input_UncategorisedProductsServices[Amount], _xlfn.SEQUENCE(10)), "")</f>
        <v>1000</v>
      </c>
      <c r="F490" s="49" t="str" cm="1">
        <f t="array" ref="F490:F499">IFERROR(INDEX(Table_Input_UncategorisedProductsServices[Amount unit], _xlfn.SEQUENCE(10)), "")</f>
        <v>kg</v>
      </c>
      <c r="G490" s="49" t="s">
        <v>815</v>
      </c>
      <c r="H490" s="49" t="s">
        <v>815</v>
      </c>
      <c r="I490" s="66">
        <v>4</v>
      </c>
      <c r="J490" s="47" t="s">
        <v>699</v>
      </c>
      <c r="K490" s="150" cm="1">
        <f t="array" ref="K490">Scope3_Equations.VEERG_15_10_1_1__1_OtherPurchasedGoodsAndServices(E490,IF(J490="kg / amount unit", I490*10^-3, I490))</f>
        <v>4000</v>
      </c>
      <c r="L490" s="82"/>
      <c r="M490" s="47"/>
      <c r="N490" s="82"/>
    </row>
    <row r="491" spans="4:14" x14ac:dyDescent="0.25">
      <c r="D491" s="49">
        <v>0</v>
      </c>
      <c r="E491" s="49">
        <v>0</v>
      </c>
      <c r="F491" s="49">
        <v>0</v>
      </c>
      <c r="G491" s="49" t="s">
        <v>815</v>
      </c>
      <c r="H491" s="49" t="s">
        <v>815</v>
      </c>
      <c r="I491" s="66">
        <v>2</v>
      </c>
      <c r="J491" s="47" t="s">
        <v>699</v>
      </c>
      <c r="K491" s="150" cm="1">
        <f t="array" ref="K491">Scope3_Equations.VEERG_15_10_1_1__1_OtherPurchasedGoodsAndServices(E491,IF(J491="kg / amount unit", I491*10^-3, I491))</f>
        <v>0</v>
      </c>
      <c r="L491" s="82"/>
      <c r="M491" s="47"/>
      <c r="N491" s="82"/>
    </row>
    <row r="492" spans="4:14" x14ac:dyDescent="0.25">
      <c r="D492" s="49">
        <v>0</v>
      </c>
      <c r="E492" s="49">
        <v>0</v>
      </c>
      <c r="F492" s="49">
        <v>0</v>
      </c>
      <c r="G492" s="49" t="s">
        <v>815</v>
      </c>
      <c r="H492" s="49" t="s">
        <v>815</v>
      </c>
      <c r="I492" s="66"/>
      <c r="J492" s="47"/>
      <c r="K492" s="150" cm="1">
        <f t="array" ref="K492">Scope3_Equations.VEERG_15_10_1_1__1_OtherPurchasedGoodsAndServices(E492,IF(J492="kg / amount unit", I492*10^-3, I492))</f>
        <v>0</v>
      </c>
      <c r="L492" s="82"/>
      <c r="M492" s="47"/>
      <c r="N492" s="82"/>
    </row>
    <row r="493" spans="4:14" x14ac:dyDescent="0.25">
      <c r="D493" s="49">
        <v>0</v>
      </c>
      <c r="E493" s="49">
        <v>0</v>
      </c>
      <c r="F493" s="49">
        <v>0</v>
      </c>
      <c r="G493" s="49" t="s">
        <v>815</v>
      </c>
      <c r="H493" s="49" t="s">
        <v>815</v>
      </c>
      <c r="I493" s="66"/>
      <c r="J493" s="47"/>
      <c r="K493" s="150" cm="1">
        <f t="array" ref="K493">Scope3_Equations.VEERG_15_10_1_1__1_OtherPurchasedGoodsAndServices(E493,IF(J493="kg / amount unit", I493*10^-3, I493))</f>
        <v>0</v>
      </c>
      <c r="L493" s="82"/>
      <c r="M493" s="47"/>
      <c r="N493" s="82"/>
    </row>
    <row r="494" spans="4:14" x14ac:dyDescent="0.25">
      <c r="D494" s="49">
        <v>0</v>
      </c>
      <c r="E494" s="49">
        <v>0</v>
      </c>
      <c r="F494" s="49">
        <v>0</v>
      </c>
      <c r="G494" s="49" t="s">
        <v>815</v>
      </c>
      <c r="H494" s="49" t="s">
        <v>815</v>
      </c>
      <c r="I494" s="66"/>
      <c r="J494" s="47"/>
      <c r="K494" s="150" cm="1">
        <f t="array" ref="K494">Scope3_Equations.VEERG_15_10_1_1__1_OtherPurchasedGoodsAndServices(E494,IF(J494="kg / amount unit", I494*10^-3, I494))</f>
        <v>0</v>
      </c>
      <c r="L494" s="82"/>
      <c r="M494" s="47"/>
      <c r="N494" s="82"/>
    </row>
    <row r="495" spans="4:14" x14ac:dyDescent="0.25">
      <c r="D495" s="49">
        <v>0</v>
      </c>
      <c r="E495" s="49">
        <v>0</v>
      </c>
      <c r="F495" s="49">
        <v>0</v>
      </c>
      <c r="G495" s="49" t="s">
        <v>815</v>
      </c>
      <c r="H495" s="49" t="s">
        <v>815</v>
      </c>
      <c r="I495" s="66"/>
      <c r="J495" s="47"/>
      <c r="K495" s="150" cm="1">
        <f t="array" ref="K495">Scope3_Equations.VEERG_15_10_1_1__1_OtherPurchasedGoodsAndServices(E495,IF(J495="kg / amount unit", I495*10^-3, I495))</f>
        <v>0</v>
      </c>
      <c r="L495" s="82"/>
      <c r="M495" s="47"/>
      <c r="N495" s="82"/>
    </row>
    <row r="496" spans="4:14" x14ac:dyDescent="0.25">
      <c r="D496" s="49">
        <v>0</v>
      </c>
      <c r="E496" s="49">
        <v>0</v>
      </c>
      <c r="F496" s="49">
        <v>0</v>
      </c>
      <c r="G496" s="49" t="s">
        <v>815</v>
      </c>
      <c r="H496" s="49" t="s">
        <v>815</v>
      </c>
      <c r="I496" s="66"/>
      <c r="J496" s="47"/>
      <c r="K496" s="150" cm="1">
        <f t="array" ref="K496">Scope3_Equations.VEERG_15_10_1_1__1_OtherPurchasedGoodsAndServices(E496,IF(J496="kg / amount unit", I496*10^-3, I496))</f>
        <v>0</v>
      </c>
      <c r="L496" s="82"/>
      <c r="M496" s="47"/>
      <c r="N496" s="82"/>
    </row>
    <row r="497" spans="3:41" x14ac:dyDescent="0.25">
      <c r="D497" s="49">
        <v>0</v>
      </c>
      <c r="E497" s="49">
        <v>0</v>
      </c>
      <c r="F497" s="49">
        <v>0</v>
      </c>
      <c r="G497" s="49" t="s">
        <v>815</v>
      </c>
      <c r="H497" s="49" t="s">
        <v>815</v>
      </c>
      <c r="I497" s="66"/>
      <c r="J497" s="47"/>
      <c r="K497" s="150" cm="1">
        <f t="array" ref="K497">Scope3_Equations.VEERG_15_10_1_1__1_OtherPurchasedGoodsAndServices(E497,IF(J497="kg / amount unit", I497*10^-3, I497))</f>
        <v>0</v>
      </c>
      <c r="L497" s="82"/>
      <c r="M497" s="47"/>
      <c r="N497" s="82"/>
    </row>
    <row r="498" spans="3:41" x14ac:dyDescent="0.25">
      <c r="D498" s="49">
        <v>0</v>
      </c>
      <c r="E498" s="49">
        <v>0</v>
      </c>
      <c r="F498" s="49">
        <v>0</v>
      </c>
      <c r="G498" s="49" t="s">
        <v>815</v>
      </c>
      <c r="H498" s="49" t="s">
        <v>815</v>
      </c>
      <c r="I498" s="66"/>
      <c r="J498" s="47"/>
      <c r="K498" s="150" cm="1">
        <f t="array" ref="K498">Scope3_Equations.VEERG_15_10_1_1__1_OtherPurchasedGoodsAndServices(E498,IF(J498="kg / amount unit", I498*10^-3, I498))</f>
        <v>0</v>
      </c>
      <c r="L498" s="82"/>
      <c r="M498" s="47"/>
      <c r="N498" s="82"/>
    </row>
    <row r="499" spans="3:41" x14ac:dyDescent="0.25">
      <c r="D499" s="49">
        <v>0</v>
      </c>
      <c r="E499" s="49">
        <v>0</v>
      </c>
      <c r="F499" s="49">
        <v>0</v>
      </c>
      <c r="G499" s="49" t="s">
        <v>815</v>
      </c>
      <c r="H499" s="49" t="s">
        <v>815</v>
      </c>
      <c r="I499" s="66"/>
      <c r="J499" s="47"/>
      <c r="K499" s="150" cm="1">
        <f t="array" ref="K499">Scope3_Equations.VEERG_15_10_1_1__1_OtherPurchasedGoodsAndServices(E499,IF(J499="kg / amount unit", I499*10^-3, I499))</f>
        <v>0</v>
      </c>
      <c r="L499" s="82"/>
      <c r="M499" s="47"/>
      <c r="N499" s="82"/>
    </row>
    <row r="501" spans="3:41" ht="20.25" x14ac:dyDescent="0.25">
      <c r="D501" s="178" t="s">
        <v>629</v>
      </c>
      <c r="E501" s="176" t="s">
        <v>815</v>
      </c>
      <c r="F501" s="177" t="str">
        <f>$E$155</f>
        <v>t CO2e</v>
      </c>
    </row>
    <row r="502" spans="3:41" ht="20.25" x14ac:dyDescent="0.25">
      <c r="D502" s="178" t="s">
        <v>631</v>
      </c>
      <c r="E502" s="176">
        <f>SUM(K490:K499)</f>
        <v>4000</v>
      </c>
      <c r="F502" s="177" t="str">
        <f>$E$155</f>
        <v>t CO2e</v>
      </c>
    </row>
    <row r="505" spans="3:41" x14ac:dyDescent="0.25">
      <c r="C505" s="98"/>
      <c r="D505" s="98"/>
      <c r="E505" s="98"/>
      <c r="F505" s="98"/>
      <c r="G505" s="98"/>
      <c r="H505" s="98"/>
      <c r="I505" s="98"/>
      <c r="J505" s="98"/>
      <c r="K505" s="98"/>
      <c r="L505" s="98"/>
      <c r="M505" s="98"/>
      <c r="N505" s="98"/>
      <c r="O505" s="98"/>
      <c r="P505" s="98"/>
      <c r="Q505" s="98"/>
      <c r="R505" s="98"/>
      <c r="S505" s="98"/>
      <c r="T505" s="98"/>
      <c r="U505" s="98"/>
      <c r="V505" s="98"/>
      <c r="W505" s="98"/>
      <c r="X505" s="98"/>
      <c r="Y505" s="98"/>
      <c r="Z505" s="98"/>
      <c r="AA505" s="98"/>
      <c r="AB505" s="98"/>
      <c r="AC505" s="98"/>
      <c r="AD505" s="98"/>
      <c r="AE505" s="98"/>
      <c r="AF505" s="98"/>
      <c r="AG505" s="98"/>
      <c r="AH505" s="98"/>
      <c r="AI505" s="98"/>
      <c r="AJ505" s="98"/>
      <c r="AK505" s="98"/>
      <c r="AL505" s="98"/>
      <c r="AM505" s="98"/>
      <c r="AN505" s="98"/>
      <c r="AO505" s="98"/>
    </row>
    <row r="506" spans="3:41" ht="23.25" x14ac:dyDescent="0.25">
      <c r="D506" s="9" t="str" cm="1">
        <f t="array" ref="D506">Scope3_Equations.VEERG_15_11_1_1__1_TotalUpstreamEmissionsFromFuel_Title()</f>
        <v>Total upstream emissions from scope 1 fuel consumption</v>
      </c>
    </row>
    <row r="507" spans="3:41" x14ac:dyDescent="0.25">
      <c r="D507" s="11" t="str" cm="1">
        <f t="array" ref="D507">Scope3_Equations.VEERG_15_11_1_1__1_TotalUpstreamEmissionsFromFuel_Source()</f>
        <v>VEERG 2026: 15.11.1.1, Equation (1)</v>
      </c>
    </row>
    <row r="508" spans="3:41" x14ac:dyDescent="0.25">
      <c r="D508" s="171" t="s">
        <v>622</v>
      </c>
      <c r="E508" s="171" t="str">
        <f ca="1">Common_InputFunctions.Utility_DisplayFunctionName(VEERG_15_11_1_1__1_TotalUpstreamEmissionsFromFuel_Result)</f>
        <v>=Scope3_Equations.VEERG_15_11_1_1__1_TotalUpstreamEmissionsFromFuel</v>
      </c>
    </row>
    <row r="512" spans="3:41" x14ac:dyDescent="0.25">
      <c r="D512" s="27" t="s">
        <v>623</v>
      </c>
      <c r="E512" s="8" t="str" cm="1">
        <f t="array" ref="E512">Scope3_Equations.VEERG_15_11_1_1__1_TotalUpstreamEmissionsFromFuel_Variable()</f>
        <v>E</v>
      </c>
    </row>
    <row r="513" spans="3:41" x14ac:dyDescent="0.25">
      <c r="D513" s="27" t="s">
        <v>96</v>
      </c>
      <c r="E513" s="13" t="str" cm="1">
        <f t="array" ref="E513">Scope3_Equations.VEERG_15_11_1_1__1_TotalUpstreamEmissionsFromFuel_Unit()</f>
        <v>t CO2e</v>
      </c>
    </row>
    <row r="515" spans="3:41" x14ac:dyDescent="0.25">
      <c r="D515" s="166" t="str" cm="1">
        <f t="array" ref="D515:E516">_xlfn.CHOOSECOLS(Scope3_Equations.VEERG_15_11_1_1__1_TotalUpstreamEmissionsFromFuel_Arguments(),1,2)</f>
        <v>E_WTTtransq</v>
      </c>
      <c r="E515" s="170" t="str">
        <v>upstream emissions from scope 1 transport fuel use</v>
      </c>
      <c r="F515" s="165"/>
      <c r="G515" s="166" t="str" cm="1">
        <f t="array" ref="G515:H516">_xlfn.CHOOSECOLS(Scope3_Equations.VEERG_15_11_1_1__1_TotalUpstreamEmissionsFromFuel_Arguments(),3,4)</f>
        <v>t CO2e</v>
      </c>
      <c r="H515" s="168" t="str">
        <v>Calculated by 15.11.1.1 (2)</v>
      </c>
      <c r="I515" s="166">
        <f>VEERG_8_1_1_1__1_FuelCombustionTransport_Result</f>
        <v>20.5016</v>
      </c>
    </row>
    <row r="516" spans="3:41" x14ac:dyDescent="0.25">
      <c r="D516" s="166" t="str">
        <v>E_WTTSCq</v>
      </c>
      <c r="E516" s="170" t="str">
        <v>upstream emissions from scope 1 stationary combustion fuel use</v>
      </c>
      <c r="F516" s="165"/>
      <c r="G516" s="166" t="str">
        <v>t CO2e</v>
      </c>
      <c r="H516" s="168" t="str">
        <v>Calculated by 15.11.1.1 (3)</v>
      </c>
      <c r="I516" s="166">
        <f>VEERG_8_2_1_1__1_FuelCombustionStationary_Result</f>
        <v>6.2923999999999998</v>
      </c>
    </row>
    <row r="518" spans="3:41" ht="20.25" x14ac:dyDescent="0.25">
      <c r="D518" s="178" t="s">
        <v>737</v>
      </c>
      <c r="E518" s="176" cm="1">
        <f t="array" ref="E518">Scope3_Equations.VEERG_15_11_1_1__1_TotalUpstreamEmissionsFromFuel(I515,I516)</f>
        <v>26.794</v>
      </c>
      <c r="F518" s="177" t="str">
        <f>$E$155</f>
        <v>t CO2e</v>
      </c>
    </row>
    <row r="520" spans="3:41" x14ac:dyDescent="0.25">
      <c r="C520" s="98"/>
      <c r="D520" s="98"/>
      <c r="E520" s="98"/>
      <c r="F520" s="98"/>
      <c r="G520" s="98"/>
      <c r="H520" s="98"/>
      <c r="I520" s="98"/>
      <c r="J520" s="98"/>
      <c r="K520" s="98"/>
      <c r="L520" s="98"/>
      <c r="M520" s="98"/>
      <c r="N520" s="98"/>
      <c r="O520" s="98"/>
      <c r="P520" s="98"/>
      <c r="Q520" s="98"/>
      <c r="R520" s="98"/>
      <c r="S520" s="98"/>
      <c r="T520" s="98"/>
      <c r="U520" s="98"/>
      <c r="V520" s="98"/>
      <c r="W520" s="98"/>
      <c r="X520" s="98"/>
      <c r="Y520" s="98"/>
      <c r="Z520" s="98"/>
      <c r="AA520" s="98"/>
      <c r="AB520" s="98"/>
      <c r="AC520" s="98"/>
      <c r="AD520" s="98"/>
      <c r="AE520" s="98"/>
      <c r="AF520" s="98"/>
      <c r="AG520" s="98"/>
      <c r="AH520" s="98"/>
      <c r="AI520" s="98"/>
      <c r="AJ520" s="98"/>
      <c r="AK520" s="98"/>
      <c r="AL520" s="98"/>
      <c r="AM520" s="98"/>
      <c r="AN520" s="98"/>
      <c r="AO520" s="98"/>
    </row>
    <row r="521" spans="3:41" ht="23.25" x14ac:dyDescent="0.25">
      <c r="D521" s="9" t="str" cm="1">
        <f t="array" ref="D521">Scope3_Equations.VEERG_15_12_1_1__1_UpstreamPurchasedElectricityLocationBased_Title()</f>
        <v>Scope 3 emissions from purchased electricity location based</v>
      </c>
    </row>
    <row r="522" spans="3:41" x14ac:dyDescent="0.25">
      <c r="D522" s="11" t="str" cm="1">
        <f t="array" ref="D522">Scope3_Equations.VEERG_15_12_1_1__1_UpstreamPurchasedElectricityLocationBased_Source()</f>
        <v>VEERG 2026: 15.12.1.1, Equation (1)</v>
      </c>
    </row>
    <row r="523" spans="3:41" x14ac:dyDescent="0.25">
      <c r="D523" s="171" t="s">
        <v>622</v>
      </c>
      <c r="E523" s="171" t="str">
        <f ca="1">Common_InputFunctions.Utility_DisplayFunctionName(VEERG_15_12_1_1__1_UpstreamPurchasedElectricityLocationBased_Result)</f>
        <v>=Scope3_Equations.VEERG_15_12_1_1__1_UpstreamPurchasedElectricityLocationBased</v>
      </c>
    </row>
    <row r="526" spans="3:41" x14ac:dyDescent="0.25">
      <c r="D526" s="27" t="s">
        <v>623</v>
      </c>
      <c r="E526" s="8" t="str" cm="1">
        <f t="array" ref="E526">Scope3_Equations.VEERG_15_12_1_1__1_UpstreamPurchasedElectricityLocationBased_Variable()</f>
        <v>E_3elec</v>
      </c>
    </row>
    <row r="527" spans="3:41" x14ac:dyDescent="0.25">
      <c r="D527" s="27" t="s">
        <v>96</v>
      </c>
      <c r="E527" s="8" t="str" cm="1">
        <f t="array" ref="E527">Scope3_Equations.VEERG_15_12_1_1__1_UpstreamPurchasedElectricityLocationBased_Unit()</f>
        <v>t CO2e</v>
      </c>
    </row>
    <row r="529" spans="3:41" x14ac:dyDescent="0.25">
      <c r="D529" s="166" t="str" cm="1">
        <f t="array" ref="D529:E531">_xlfn.CHOOSECOLS(Scope3_Equations.VEERG_15_12_1_1__1_UpstreamPurchasedElectricityLocationBased_Arguments(),1,2)</f>
        <v>Q_elec</v>
      </c>
      <c r="E529" s="166" t="str">
        <v>amount of electricity purchased from the grid</v>
      </c>
      <c r="F529" s="166"/>
      <c r="G529" s="166" t="str" cm="1">
        <f t="array" ref="G529:H531">_xlfn.CHOOSECOLS(Scope3_Equations.VEERG_15_12_1_1__1_UpstreamPurchasedElectricityLocationBased_Arguments(),3,4)</f>
        <v>kWh</v>
      </c>
      <c r="H529" s="167" t="str">
        <v>Input</v>
      </c>
      <c r="I529" s="170">
        <f>X_Cell_Electricity_Location_AmountPurchasedInkWh</f>
        <v>30000</v>
      </c>
      <c r="J529" s="165"/>
    </row>
    <row r="530" spans="3:41" x14ac:dyDescent="0.25">
      <c r="D530" s="166" t="str">
        <v>EF_3elec</v>
      </c>
      <c r="E530" s="166" t="str">
        <v>scope 3 emission factor for purchased electricity</v>
      </c>
      <c r="F530" s="166"/>
      <c r="G530" s="166" t="str">
        <v>kg CO2e/kWh</v>
      </c>
      <c r="H530" s="168" t="str">
        <v>Constant</v>
      </c>
      <c r="I530" s="170" cm="1">
        <f t="array" ref="I530">Common_InputFunctions.Utility_LookupValueInTableNumber(I531,Table_SourceData_ElectricityEFs[State, Territory or grid description],Table_SourceData_ElectricityEFs[Scope 3 Emission Factors (kg CO2-e/kWh)])</f>
        <v>0.09</v>
      </c>
      <c r="J530" s="165"/>
    </row>
    <row r="531" spans="3:41" x14ac:dyDescent="0.25">
      <c r="D531" s="166" t="str">
        <v>g</v>
      </c>
      <c r="E531" s="170" t="str">
        <v>grid electricity was purchased from</v>
      </c>
      <c r="F531" s="165"/>
      <c r="G531" s="166" t="str">
        <v/>
      </c>
      <c r="H531" s="167" t="str">
        <v>Input</v>
      </c>
      <c r="I531" s="170" t="str">
        <f>X_Cell_Electricity_Location_GridElectricityPurchasedFrom</f>
        <v>Western Australia - North Western Interconnected System (NWIS)</v>
      </c>
      <c r="J531" s="165"/>
    </row>
    <row r="533" spans="3:41" ht="20.25" x14ac:dyDescent="0.25">
      <c r="D533" s="178" t="s">
        <v>738</v>
      </c>
      <c r="E533" s="176" cm="1">
        <f t="array" ref="E533">Scope3_Equations.VEERG_15_12_1_1__1_UpstreamPurchasedElectricityLocationBased(I529,I530)</f>
        <v>2.7</v>
      </c>
      <c r="F533" s="177" t="str">
        <f>$E$155</f>
        <v>t CO2e</v>
      </c>
    </row>
    <row r="536" spans="3:41" x14ac:dyDescent="0.25">
      <c r="C536" s="98"/>
      <c r="D536" s="98"/>
      <c r="E536" s="98"/>
      <c r="F536" s="98"/>
      <c r="G536" s="98"/>
      <c r="H536" s="98"/>
      <c r="I536" s="98"/>
      <c r="J536" s="98"/>
      <c r="K536" s="98"/>
      <c r="L536" s="98"/>
      <c r="M536" s="98"/>
      <c r="N536" s="98"/>
      <c r="O536" s="98"/>
      <c r="P536" s="98"/>
      <c r="Q536" s="98"/>
      <c r="R536" s="98"/>
      <c r="S536" s="98"/>
      <c r="T536" s="98"/>
      <c r="U536" s="98"/>
      <c r="V536" s="98"/>
      <c r="W536" s="98"/>
      <c r="X536" s="98"/>
      <c r="Y536" s="98"/>
      <c r="Z536" s="98"/>
      <c r="AA536" s="98"/>
      <c r="AB536" s="98"/>
      <c r="AC536" s="98"/>
      <c r="AD536" s="98"/>
      <c r="AE536" s="98"/>
      <c r="AF536" s="98"/>
      <c r="AG536" s="98"/>
      <c r="AH536" s="98"/>
      <c r="AI536" s="98"/>
      <c r="AJ536" s="98"/>
      <c r="AK536" s="98"/>
      <c r="AL536" s="98"/>
      <c r="AM536" s="98"/>
      <c r="AN536" s="98"/>
      <c r="AO536" s="98"/>
    </row>
    <row r="537" spans="3:41" ht="23.25" x14ac:dyDescent="0.25">
      <c r="D537" s="9" t="str" cm="1">
        <f t="array" ref="D537">Scope3_Equations.VEERG_15_12_1_2__1_UpstreamPurchasedElectricityMarketBased_Title()</f>
        <v>Scope 3 emissions from purchased electricity market based</v>
      </c>
    </row>
    <row r="538" spans="3:41" x14ac:dyDescent="0.25">
      <c r="D538" s="11" t="str" cm="1">
        <f t="array" ref="D538">Scope3_Equations.VEERG_15_12_1_2__1_UpstreamPurchasedElectricityMarketBased_Source()</f>
        <v>VEERG 2026: 15.12.1.2, Equation (1)</v>
      </c>
    </row>
    <row r="539" spans="3:41" x14ac:dyDescent="0.25">
      <c r="D539" s="12" t="str" cm="1">
        <f t="array" ref="D539">Scope3_Equations.VEERG_15_12_1_2__1_UpstreamPurchasedElectricityMarketBased_Variation()</f>
        <v>VARIATION ON SOURCE: In order to convert megawatt hours to kilowatt hours, the REC_surrendered and REC_onsite variables are multiplied by 10^3 instead of 10^-3.</v>
      </c>
    </row>
    <row r="540" spans="3:41" x14ac:dyDescent="0.25">
      <c r="D540" s="171" t="s">
        <v>622</v>
      </c>
      <c r="E540" s="171" t="str">
        <f ca="1">Common_InputFunctions.Utility_DisplayFunctionName(VEERG_15_12_1_2__1_UpstreamPurchasedElectricityMarketBasedVariation_Result)</f>
        <v>=Scope3_Equations.VEERG_15_12_1_2__1_UpstreamPurchasedElectricityMarketBasedVariation</v>
      </c>
    </row>
    <row r="544" spans="3:41" x14ac:dyDescent="0.25">
      <c r="D544" s="27" t="s">
        <v>623</v>
      </c>
      <c r="E544" s="8" t="str" cm="1">
        <f t="array" ref="E544">Scope3_Equations.VEERG_15_12_1_2__1_UpstreamPurchasedElectricityMarketBased_Variable()</f>
        <v>E_3elec</v>
      </c>
    </row>
    <row r="545" spans="3:41" x14ac:dyDescent="0.25">
      <c r="D545" s="27" t="s">
        <v>96</v>
      </c>
      <c r="E545" s="8" t="str" cm="1">
        <f t="array" ref="E545">Scope3_Equations.VEERG_15_12_1_2__1_UpstreamPurchasedElectricityMarketBased_Unit()</f>
        <v>t CO2e</v>
      </c>
    </row>
    <row r="547" spans="3:41" x14ac:dyDescent="0.25">
      <c r="D547" s="166" t="str" cm="1">
        <f t="array" ref="D547:E553">_xlfn.CHOOSECOLS(Scope3_Equations.VEERG_15_12_1_2__1_UpstreamPurchasedElectricityMarketBased_Arguments(),1,2)</f>
        <v>Q_elec</v>
      </c>
      <c r="E547" s="170" t="str">
        <v>amount of electricity purchased from the grid</v>
      </c>
      <c r="F547" s="165"/>
      <c r="G547" s="166" t="str" cm="1">
        <f t="array" ref="G547:H553">_xlfn.CHOOSECOLS(Scope3_Equations.VEERG_15_12_1_2__1_UpstreamPurchasedElectricityMarketBased_Arguments(),3,4)</f>
        <v>kWh</v>
      </c>
      <c r="H547" s="167" t="str">
        <v>Input</v>
      </c>
      <c r="I547" s="203">
        <f>X_Cell_Electricity_Market_AmountPurchasedExcludingGreenPower</f>
        <v>30000</v>
      </c>
    </row>
    <row r="548" spans="3:41" x14ac:dyDescent="0.25">
      <c r="D548" s="166" t="str">
        <v>RPP</v>
      </c>
      <c r="E548" s="170" t="str">
        <v>renewable power percentage under LRET for the applicable period</v>
      </c>
      <c r="F548" s="165"/>
      <c r="G548" s="166" t="str">
        <v>fraction</v>
      </c>
      <c r="H548" s="167" t="str">
        <v>Input</v>
      </c>
      <c r="I548" s="202">
        <f>X_Cell_Electricity_Market_RenewablePowerPercentage</f>
        <v>0.1</v>
      </c>
    </row>
    <row r="549" spans="3:41" x14ac:dyDescent="0.25">
      <c r="D549" s="166" t="str">
        <v>JRPP</v>
      </c>
      <c r="E549" s="170" t="str">
        <v>jurisdictional renewable power percentage for the applicable period</v>
      </c>
      <c r="F549" s="165"/>
      <c r="G549" s="166" t="str">
        <v>fraction</v>
      </c>
      <c r="H549" s="167" t="str">
        <v>Input</v>
      </c>
      <c r="I549" s="202">
        <f>X_Cell_Electricity_Market_JurisdictionalRenewablePowerPercentage</f>
        <v>0.1</v>
      </c>
    </row>
    <row r="550" spans="3:41" x14ac:dyDescent="0.25">
      <c r="D550" s="166" t="str">
        <v>REC_surrendered</v>
      </c>
      <c r="E550" s="170" t="str">
        <v>eligible renewable energy certificates voluntarily surrendered</v>
      </c>
      <c r="F550" s="165"/>
      <c r="G550" s="166" t="str">
        <v>MWh</v>
      </c>
      <c r="H550" s="167" t="str">
        <v>Input</v>
      </c>
      <c r="I550" s="166">
        <f>(X_Cell_Electricity_Market_AmountPurchasedGreenPower*10^-3)+X_Cell_TotalElegibleVoluntarilySurrenderedRECs</f>
        <v>20</v>
      </c>
    </row>
    <row r="551" spans="3:41" x14ac:dyDescent="0.25">
      <c r="D551" s="166" t="str">
        <v>REC_onsite</v>
      </c>
      <c r="E551" s="170" t="str">
        <v>eligible renewable energy certificates issued for onsite generated electricity</v>
      </c>
      <c r="F551" s="165"/>
      <c r="G551" s="166" t="str">
        <v>MWh</v>
      </c>
      <c r="H551" s="167" t="str">
        <v>Input</v>
      </c>
      <c r="I551" s="166">
        <f>X_Cell_TotalElegibleRECsForElectricityProducedOnSite</f>
        <v>11</v>
      </c>
    </row>
    <row r="552" spans="3:41" x14ac:dyDescent="0.25">
      <c r="D552" s="166" t="str">
        <v>EF_RMF3elec</v>
      </c>
      <c r="E552" s="170" t="str">
        <v>scope 3 residual mix emission factor for electricity</v>
      </c>
      <c r="F552" s="165"/>
      <c r="G552" s="166" t="str">
        <v>kg CO2e/kWh</v>
      </c>
      <c r="H552" s="168" t="str">
        <v>Constant</v>
      </c>
      <c r="I552" s="166" cm="1">
        <f t="array" ref="I552">Table_SourceData_ElectricityEFsMarketBased[Scope 3 EF (kg CO2-e/kWh)]</f>
        <v>0.1</v>
      </c>
    </row>
    <row r="553" spans="3:41" x14ac:dyDescent="0.25">
      <c r="D553" s="166" t="str">
        <v>i</v>
      </c>
      <c r="E553" s="170" t="str">
        <v>state</v>
      </c>
      <c r="F553" s="165"/>
      <c r="G553" s="166" t="str">
        <v/>
      </c>
      <c r="H553" s="167" t="str">
        <v>Input</v>
      </c>
      <c r="I553" s="166" t="str">
        <f>X_Cell_Site_State</f>
        <v>Western Australia</v>
      </c>
    </row>
    <row r="555" spans="3:41" ht="20.25" x14ac:dyDescent="0.25">
      <c r="D555" s="178" t="s">
        <v>738</v>
      </c>
      <c r="E555" s="176" cm="1">
        <f t="array" ref="E555">Scope3_Equations.VEERG_15_12_1_2__1_UpstreamPurchasedElectricityMarketBasedVariation(I547,I548,I549,I550,I551,I552)</f>
        <v>1.5</v>
      </c>
      <c r="F555" s="177" t="str">
        <f>$E$155</f>
        <v>t CO2e</v>
      </c>
    </row>
    <row r="558" spans="3:41" x14ac:dyDescent="0.25">
      <c r="C558" s="98"/>
      <c r="D558" s="98"/>
      <c r="E558" s="98"/>
      <c r="F558" s="98"/>
      <c r="G558" s="98"/>
      <c r="H558" s="98"/>
      <c r="I558" s="98"/>
      <c r="J558" s="98"/>
      <c r="K558" s="98"/>
      <c r="L558" s="98"/>
      <c r="M558" s="98"/>
      <c r="N558" s="98"/>
      <c r="O558" s="98"/>
      <c r="P558" s="98"/>
      <c r="Q558" s="98"/>
      <c r="R558" s="98"/>
      <c r="S558" s="98"/>
      <c r="T558" s="98"/>
      <c r="U558" s="98"/>
      <c r="V558" s="98"/>
      <c r="W558" s="98"/>
      <c r="X558" s="98"/>
      <c r="Y558" s="98"/>
      <c r="Z558" s="98"/>
      <c r="AA558" s="98"/>
      <c r="AB558" s="98"/>
      <c r="AC558" s="98"/>
      <c r="AD558" s="98"/>
      <c r="AE558" s="98"/>
      <c r="AF558" s="98"/>
      <c r="AG558" s="98"/>
      <c r="AH558" s="98"/>
      <c r="AI558" s="98"/>
      <c r="AJ558" s="98"/>
      <c r="AK558" s="98"/>
      <c r="AL558" s="98"/>
      <c r="AM558" s="98"/>
      <c r="AN558" s="98"/>
      <c r="AO558" s="98"/>
    </row>
    <row r="559" spans="3:41" ht="23.25" x14ac:dyDescent="0.25">
      <c r="D559" s="9" t="str" cm="1">
        <f t="array" ref="D559">Scope3_Equations.VEERG_15_13_1_1__1_EmissionsFromManureSentOffSite_Title()</f>
        <v>Emissions from manure sent off site applied to soils in another farming system or enterprise</v>
      </c>
    </row>
    <row r="560" spans="3:41" x14ac:dyDescent="0.25">
      <c r="D560" s="11" t="str" cm="1">
        <f t="array" ref="D560">Scope3_Equations.VEERG_15_13_1_1__1_EmissionsFromManureSentOffSite_Source()</f>
        <v>VEERG 2026: 15.13.1.1, Equation (1)</v>
      </c>
    </row>
    <row r="561" spans="4:18" x14ac:dyDescent="0.25">
      <c r="D561" s="171" t="s">
        <v>622</v>
      </c>
      <c r="E561" s="171" t="str" cm="1">
        <f t="array" aca="1" ref="E561" ca="1">Common_InputFunctions.Utility_DisplayFunctionName(E573)</f>
        <v>=Scope3_Equations.VEERG_15_13_1_1__1_EmissionsFromManureSentOffSite</v>
      </c>
    </row>
    <row r="564" spans="4:18" x14ac:dyDescent="0.25">
      <c r="D564" s="27" t="s">
        <v>623</v>
      </c>
      <c r="E564" s="8" t="str" cm="1">
        <f t="array" ref="E564">Scope3_Equations.VEERG_15_13_1_1__1_EmissionsFromManureSentOffSite_Variable()</f>
        <v>E</v>
      </c>
    </row>
    <row r="565" spans="4:18" x14ac:dyDescent="0.25">
      <c r="D565" s="27" t="s">
        <v>96</v>
      </c>
      <c r="E565" s="13" t="str" cm="1">
        <f t="array" ref="E565">Scope3_Equations.VEERG_15_13_1_1__1_EmissionsFromManureSentOffSite_Unit()</f>
        <v>t N2O</v>
      </c>
    </row>
    <row r="567" spans="4:18" x14ac:dyDescent="0.25">
      <c r="D567" s="7" t="s">
        <v>404</v>
      </c>
      <c r="L567" s="7" t="s">
        <v>405</v>
      </c>
    </row>
    <row r="569" spans="4:18" x14ac:dyDescent="0.25">
      <c r="D569" s="166" t="str" cm="1">
        <f t="array" ref="D569:E571">_xlfn.CHOOSECOLS(Scope3_Equations.VEERG_15_13_1_1__1_EmissionsFromManureSentOffSite_Arguments(),1,2)</f>
        <v>E_N2O</v>
      </c>
      <c r="E569" s="170" t="str">
        <v>direct nitrous oxide emissions from application of manure to soils outside of scope 1 boundary</v>
      </c>
      <c r="F569" s="204"/>
      <c r="G569" s="165"/>
      <c r="H569" s="166" t="str" cm="1">
        <f t="array" ref="H569:I571">_xlfn.CHOOSECOLS(Scope3_Equations.VEERG_15_13_1_1__1_EmissionsFromManureSentOffSite_Arguments(),3,4)</f>
        <v>t N2O</v>
      </c>
      <c r="I569" s="168" t="str">
        <v>Calculated</v>
      </c>
      <c r="J569" s="166">
        <f>VEERG_5_2_1_1__1_OrganicFertiliserApplicationN2OEmissions_Result_Method1</f>
        <v>7.8571428571428577E-3</v>
      </c>
      <c r="L569" s="166" t="str" cm="1">
        <f t="array" ref="L569:M571">_xlfn.CHOOSECOLS(Scope3_Equations.VEERG_15_13_1_1__1_EmissionsFromManureSentOffSite_Arguments(),1,2)</f>
        <v>E_N2O</v>
      </c>
      <c r="M569" s="170" t="str">
        <v>direct nitrous oxide emissions from application of manure to soils outside of scope 1 boundary</v>
      </c>
      <c r="N569" s="204"/>
      <c r="O569" s="165"/>
      <c r="P569" s="166" t="str" cm="1">
        <f t="array" ref="P569:Q571">_xlfn.CHOOSECOLS(Scope3_Equations.VEERG_15_13_1_1__1_EmissionsFromManureSentOffSite_Arguments(),3,4)</f>
        <v>t N2O</v>
      </c>
      <c r="Q569" s="168" t="str">
        <v>Calculated</v>
      </c>
      <c r="R569" s="166">
        <f>VEERG_5_2_1_1__1_OrganicFertiliserApplicationN2OEmissions_Result_Method2</f>
        <v>1.5714285714285715E-2</v>
      </c>
    </row>
    <row r="570" spans="4:18" x14ac:dyDescent="0.25">
      <c r="D570" s="166" t="str">
        <v>E_ad</v>
      </c>
      <c r="E570" s="170" t="str">
        <v>nitrous oxide emissions from atmospheric deposition of manure to soils</v>
      </c>
      <c r="F570" s="204"/>
      <c r="G570" s="165"/>
      <c r="H570" s="166" t="str">
        <v>t N2O</v>
      </c>
      <c r="I570" s="168" t="str">
        <v>Calculated</v>
      </c>
      <c r="J570" s="166">
        <f>VEERG_5_4_1_3__1_OrganicFertiliserAtmosphericDepositionN2OEmissions_Result_Method1</f>
        <v>2.31E-3</v>
      </c>
      <c r="L570" s="166" t="str">
        <v>E_ad</v>
      </c>
      <c r="M570" s="170" t="str">
        <v>nitrous oxide emissions from atmospheric deposition of manure to soils</v>
      </c>
      <c r="N570" s="204"/>
      <c r="O570" s="165"/>
      <c r="P570" s="166" t="str">
        <v>t N2O</v>
      </c>
      <c r="Q570" s="168" t="str">
        <v>Calculated</v>
      </c>
      <c r="R570" s="166">
        <f>VEERG_5_4_1_3__1_OrganicFertiliserAtmosphericDepositionN2OEmissions_Result_Method2</f>
        <v>4.62E-3</v>
      </c>
    </row>
    <row r="571" spans="4:18" x14ac:dyDescent="0.25">
      <c r="D571" s="166" t="str">
        <v>E_leach</v>
      </c>
      <c r="E571" s="170" t="str">
        <v>nitrous oxide emissions from nitrogen leaching and runoff of manure to soils</v>
      </c>
      <c r="F571" s="204"/>
      <c r="G571" s="165"/>
      <c r="H571" s="166" t="str">
        <v>t N2O</v>
      </c>
      <c r="I571" s="168" t="str">
        <v>Calculated</v>
      </c>
      <c r="J571" s="166">
        <f>VEERG_5_5_1_1__1_FertiliserLeachingAndRunoffN2OEmissions_Result_Method1</f>
        <v>4.1485714285714277E-3</v>
      </c>
      <c r="L571" s="166" t="str">
        <v>E_leach</v>
      </c>
      <c r="M571" s="170" t="str">
        <v>nitrous oxide emissions from nitrogen leaching and runoff of manure to soils</v>
      </c>
      <c r="N571" s="204"/>
      <c r="O571" s="165"/>
      <c r="P571" s="166" t="str">
        <v>t N2O</v>
      </c>
      <c r="Q571" s="168" t="str">
        <v>Calculated</v>
      </c>
      <c r="R571" s="166">
        <f>VEERG_5_5_1_1__1_FertiliserLeachingAndRunoffN2OEmissions_Result_Method2</f>
        <v>8.2971428571428554E-3</v>
      </c>
    </row>
    <row r="573" spans="4:18" ht="20.25" x14ac:dyDescent="0.25">
      <c r="D573" s="178" t="s">
        <v>738</v>
      </c>
      <c r="E573" s="176" cm="1">
        <f t="array" ref="E573">Scope3_Equations.VEERG_15_13_1_1__1_EmissionsFromManureSentOffSite(J569,J570,J571)</f>
        <v>1.4315714285714286E-2</v>
      </c>
      <c r="F573" s="177" t="str">
        <f>$E$565</f>
        <v>t N2O</v>
      </c>
      <c r="L573" s="178" t="s">
        <v>738</v>
      </c>
      <c r="M573" s="176" cm="1">
        <f t="array" ref="M573">Scope3_Equations.VEERG_15_13_1_1__1_EmissionsFromManureSentOffSite(R569,R570,R571)</f>
        <v>2.8631428571428572E-2</v>
      </c>
      <c r="N573" s="177" t="str">
        <f>$E$565</f>
        <v>t N2O</v>
      </c>
    </row>
    <row r="575" spans="4:18" x14ac:dyDescent="0.25">
      <c r="D575" s="205" t="str" cm="1">
        <f t="array" ref="D575:E576">Common_Equations.Common_ConvertN2OToCO2e_Arguments()</f>
        <v>EN2O</v>
      </c>
      <c r="E575" s="206" t="str">
        <v>Nitrous oxide emissions (t N2O)</v>
      </c>
      <c r="F575" s="207"/>
      <c r="G575" s="49">
        <f>E573</f>
        <v>1.4315714285714286E-2</v>
      </c>
      <c r="L575" s="205" t="str" cm="1">
        <f t="array" ref="L575:M576">Common_Equations.Common_ConvertN2OToCO2e_Arguments()</f>
        <v>EN2O</v>
      </c>
      <c r="M575" s="206" t="str">
        <v>Nitrous oxide emissions (t N2O)</v>
      </c>
      <c r="N575" s="207"/>
      <c r="O575" s="49">
        <f>M573</f>
        <v>2.8631428571428572E-2</v>
      </c>
    </row>
    <row r="576" spans="4:18" x14ac:dyDescent="0.25">
      <c r="D576" s="205" t="str">
        <v>GWPN2O</v>
      </c>
      <c r="E576" s="206" t="str">
        <v>Global warming potential for nitrous oxide (t CO2-e / t N2O)</v>
      </c>
      <c r="F576" s="207"/>
      <c r="G576" s="49">
        <f>Common_InputFunctions.Utility_LookupValueInTableNumber("N2O",Table_GWPData[Gas],Table_GWPData[CO2-e factor])</f>
        <v>265</v>
      </c>
      <c r="L576" s="205" t="str">
        <v>GWPN2O</v>
      </c>
      <c r="M576" s="206" t="str">
        <v>Global warming potential for nitrous oxide (t CO2-e / t N2O)</v>
      </c>
      <c r="N576" s="207"/>
      <c r="O576" s="49">
        <f>Common_InputFunctions.Utility_LookupValueInTableNumber("N2O",Table_GWPData[Gas],Table_GWPData[CO2-e factor])</f>
        <v>265</v>
      </c>
    </row>
    <row r="578" spans="3:41" ht="18.75" x14ac:dyDescent="0.25">
      <c r="D578" s="98" t="s">
        <v>743</v>
      </c>
      <c r="E578" s="98" cm="1">
        <f t="array" ref="E578">Common_Equations.Common_ConvertN2OToCO2e(G575,G576)</f>
        <v>3.7936642857142857</v>
      </c>
      <c r="F578" s="174" t="str" cm="1">
        <f t="array" ref="F578">Common_Equations.Common_ConvertN2OToCO2e_Unit()</f>
        <v>t CO2e</v>
      </c>
      <c r="L578" s="98" t="s">
        <v>743</v>
      </c>
      <c r="M578" s="98" cm="1">
        <f t="array" ref="M578">Common_Equations.Common_ConvertN2OToCO2e(O575,O576)</f>
        <v>7.5873285714285714</v>
      </c>
      <c r="N578" s="174" t="str" cm="1">
        <f t="array" ref="N578">Common_Equations.Common_ConvertN2OToCO2e_Unit()</f>
        <v>t CO2e</v>
      </c>
    </row>
    <row r="581" spans="3:41" x14ac:dyDescent="0.25">
      <c r="C581" s="98"/>
      <c r="D581" s="98"/>
      <c r="E581" s="98"/>
      <c r="F581" s="98"/>
      <c r="G581" s="98"/>
      <c r="H581" s="98"/>
      <c r="I581" s="98"/>
      <c r="J581" s="98"/>
      <c r="K581" s="98"/>
      <c r="L581" s="98"/>
      <c r="M581" s="98"/>
      <c r="N581" s="98"/>
      <c r="O581" s="98"/>
      <c r="P581" s="98"/>
      <c r="Q581" s="98"/>
      <c r="R581" s="98"/>
      <c r="S581" s="98"/>
      <c r="T581" s="98"/>
      <c r="U581" s="98"/>
      <c r="V581" s="98"/>
      <c r="W581" s="98"/>
      <c r="X581" s="98"/>
      <c r="Y581" s="98"/>
      <c r="Z581" s="98"/>
      <c r="AA581" s="98"/>
      <c r="AB581" s="98"/>
      <c r="AC581" s="98"/>
      <c r="AD581" s="98"/>
      <c r="AE581" s="98"/>
      <c r="AF581" s="98"/>
      <c r="AG581" s="98"/>
      <c r="AH581" s="98"/>
      <c r="AI581" s="98"/>
      <c r="AJ581" s="98"/>
      <c r="AK581" s="98"/>
      <c r="AL581" s="98"/>
      <c r="AM581" s="98"/>
      <c r="AN581" s="98"/>
      <c r="AO581" s="98"/>
    </row>
    <row r="582" spans="3:41" ht="23.25" x14ac:dyDescent="0.25">
      <c r="D582" s="9" t="str" cm="1">
        <f t="array" ref="D582">Scope3_Equations.VEERG_15_13_1_3__1_EmissionsFromSolidWasteTreatmentFacility_Title()</f>
        <v>Emissions from solid waste sent to a treatment facility</v>
      </c>
    </row>
    <row r="583" spans="3:41" x14ac:dyDescent="0.25">
      <c r="D583" s="11" t="str" cm="1">
        <f t="array" ref="D583">Scope3_Equations.VEERG_15_13_1_3__1_EmissionsFromSolidWasteTreatmentFacility_Source()</f>
        <v>VEERG 2026: 15.13.1.3</v>
      </c>
    </row>
    <row r="585" spans="3:41" x14ac:dyDescent="0.25">
      <c r="D585" s="27" t="s">
        <v>623</v>
      </c>
      <c r="E585" s="8" t="str" cm="1">
        <f t="array" ref="E585">Scope3_Equations.VEERG_15_13_1_3__1_EmissionsFromSolidWasteTreatmentFacility_Variable()</f>
        <v>E</v>
      </c>
    </row>
    <row r="586" spans="3:41" x14ac:dyDescent="0.25">
      <c r="D586" s="27" t="s">
        <v>96</v>
      </c>
      <c r="E586" s="13" t="str" cm="1">
        <f t="array" ref="E586">Scope3_Equations.VEERG_15_13_1_3__1_EmissionsFromSolidWasteTreatmentFacility_Unit()</f>
        <v>t CO2e</v>
      </c>
    </row>
    <row r="588" spans="3:41" ht="20.25" x14ac:dyDescent="0.25">
      <c r="D588" s="178" t="s">
        <v>738</v>
      </c>
      <c r="E588" s="176">
        <f>VEERG_10_1_1_1__1_EmissionsFromWasteManagement_Scope3_Result_Method1</f>
        <v>441.15000000000003</v>
      </c>
      <c r="F588" s="177" t="str">
        <f>E586</f>
        <v>t CO2e</v>
      </c>
    </row>
    <row r="591" spans="3:41" x14ac:dyDescent="0.25">
      <c r="C591" s="98"/>
      <c r="D591" s="98"/>
      <c r="E591" s="98"/>
      <c r="F591" s="98"/>
      <c r="G591" s="98"/>
      <c r="H591" s="98"/>
      <c r="I591" s="98"/>
      <c r="J591" s="98"/>
      <c r="K591" s="98"/>
      <c r="L591" s="98"/>
      <c r="M591" s="98"/>
      <c r="N591" s="98"/>
      <c r="O591" s="98"/>
      <c r="P591" s="98"/>
      <c r="Q591" s="98"/>
      <c r="R591" s="98"/>
      <c r="S591" s="98"/>
      <c r="T591" s="98"/>
      <c r="U591" s="98"/>
      <c r="V591" s="98"/>
      <c r="W591" s="98"/>
      <c r="X591" s="98"/>
      <c r="Y591" s="98"/>
      <c r="Z591" s="98"/>
      <c r="AA591" s="98"/>
      <c r="AB591" s="98"/>
      <c r="AC591" s="98"/>
      <c r="AD591" s="98"/>
      <c r="AE591" s="98"/>
      <c r="AF591" s="98"/>
      <c r="AG591" s="98"/>
      <c r="AH591" s="98"/>
      <c r="AI591" s="98"/>
      <c r="AJ591" s="98"/>
      <c r="AK591" s="98"/>
      <c r="AL591" s="98"/>
      <c r="AM591" s="98"/>
      <c r="AN591" s="98"/>
      <c r="AO591" s="98"/>
    </row>
    <row r="592" spans="3:41" ht="23.25" x14ac:dyDescent="0.25">
      <c r="D592" s="9" t="str" cm="1">
        <f t="array" ref="D592">Scope3_Equations.VEERG_15_14_1_1__1_EmbeddedEmissionsFromUpstreamFreight_Title()</f>
        <v>Embedded emissions from upstream freight</v>
      </c>
    </row>
    <row r="593" spans="4:13" x14ac:dyDescent="0.25">
      <c r="D593" s="11" t="str" cm="1">
        <f t="array" ref="D593">Scope3_Equations.VEERG_15_14_1_1__1_EmbeddedEmissionsFromUpstreamFreight_Source()</f>
        <v>VEERG 2026: 15.14.1.1, Equation (1)</v>
      </c>
    </row>
    <row r="594" spans="4:13" x14ac:dyDescent="0.25">
      <c r="D594" s="171" t="s">
        <v>622</v>
      </c>
      <c r="E594" s="171" t="str" cm="1">
        <f t="array" aca="1" ref="E594" ca="1">Common_InputFunctions.Utility_DisplayFunctionName(J609)</f>
        <v>=Scope3_Equations.VEERG_15_14_1_1__1_EmbeddedEmissionsFromUpstreamFreight</v>
      </c>
    </row>
    <row r="598" spans="4:13" x14ac:dyDescent="0.25">
      <c r="D598" s="27" t="s">
        <v>623</v>
      </c>
      <c r="E598" s="8" t="str" cm="1">
        <f t="array" ref="E598">Scope3_Equations.VEERG_15_14_1_1__1_EmbeddedEmissionsFromUpstreamFreight_Variable()</f>
        <v>E</v>
      </c>
    </row>
    <row r="599" spans="4:13" x14ac:dyDescent="0.25">
      <c r="D599" s="27" t="s">
        <v>96</v>
      </c>
      <c r="E599" s="13" t="str" cm="1">
        <f t="array" ref="E599">Scope3_Equations.VEERG_15_14_1_1__1_EmbeddedEmissionsFromUpstreamFreight_Unit()</f>
        <v>t CO2e</v>
      </c>
    </row>
    <row r="601" spans="4:13" x14ac:dyDescent="0.25">
      <c r="D601" s="166" t="str" cm="1">
        <f t="array" ref="D601:E604">_xlfn.CHOOSECOLS(Scope3_Equations.VEERG_15_14_1_1__1_EmbeddedEmissionsFromUpstreamFreight_Arguments(),1,2)</f>
        <v>W_f</v>
      </c>
      <c r="E601" s="170" t="str">
        <v>total mass of goods transported per freight type f</v>
      </c>
      <c r="F601" s="165"/>
      <c r="G601" s="166" t="str" cm="1">
        <f t="array" ref="G601:H604">_xlfn.CHOOSECOLS(Scope3_Equations.VEERG_15_14_1_1__1_EmbeddedEmissionsFromUpstreamFreight_Arguments(),3,4)</f>
        <v>t</v>
      </c>
      <c r="H601" s="167" t="str">
        <v>Input</v>
      </c>
    </row>
    <row r="602" spans="4:13" x14ac:dyDescent="0.25">
      <c r="D602" s="166" t="str">
        <v>D_f</v>
      </c>
      <c r="E602" s="170" t="str">
        <v>total distance transported per freight type f</v>
      </c>
      <c r="F602" s="165"/>
      <c r="G602" s="166" t="str">
        <v>km</v>
      </c>
      <c r="H602" s="167" t="str">
        <v>Input</v>
      </c>
    </row>
    <row r="603" spans="4:13" x14ac:dyDescent="0.25">
      <c r="D603" s="166" t="str">
        <v>EF_f</v>
      </c>
      <c r="E603" s="170" t="str">
        <v>emission factor for freight type f</v>
      </c>
      <c r="F603" s="165"/>
      <c r="G603" s="166" t="str">
        <v>t CO2e/(t km)</v>
      </c>
      <c r="H603" s="168" t="str">
        <v>Constant</v>
      </c>
    </row>
    <row r="604" spans="4:13" x14ac:dyDescent="0.25">
      <c r="D604" s="166" t="str">
        <v>f</v>
      </c>
      <c r="E604" s="170" t="str">
        <v>freight type</v>
      </c>
      <c r="F604" s="165"/>
      <c r="G604" s="166" t="str">
        <v/>
      </c>
      <c r="H604" s="167" t="str">
        <v>Input</v>
      </c>
    </row>
    <row r="606" spans="4:13" ht="18.75" x14ac:dyDescent="0.25">
      <c r="D606" s="144" t="s">
        <v>799</v>
      </c>
    </row>
    <row r="608" spans="4:13" ht="17.25" x14ac:dyDescent="0.25">
      <c r="D608" s="46" t="s">
        <v>800</v>
      </c>
      <c r="E608" s="46" t="s">
        <v>812</v>
      </c>
      <c r="F608" s="46" t="s">
        <v>813</v>
      </c>
      <c r="G608" s="57" t="s">
        <v>814</v>
      </c>
      <c r="H608" s="57" t="s">
        <v>629</v>
      </c>
      <c r="I608" s="46" t="s">
        <v>665</v>
      </c>
      <c r="J608" s="57" t="s">
        <v>631</v>
      </c>
      <c r="K608" s="46" t="s">
        <v>625</v>
      </c>
      <c r="L608" s="46" t="s">
        <v>626</v>
      </c>
      <c r="M608" s="46" t="s">
        <v>627</v>
      </c>
    </row>
    <row r="609" spans="4:13" x14ac:dyDescent="0.25">
      <c r="D609" s="49" t="str" cm="1">
        <f t="array" ref="D609:D618">IFERROR(INDEX(Table_Input_FreightIncoming[Route name], _xlfn.SEQUENCE(10)), "")</f>
        <v>Melbourne depot to farm depot weekly</v>
      </c>
      <c r="E609" s="49" cm="1">
        <f t="array" ref="E609:E618">IFERROR(INDEX(Table_Input_FreightIncoming[Average weight of freight per trip (t)], _xlfn.SEQUENCE(10)), "")</f>
        <v>10</v>
      </c>
      <c r="F609" s="49" cm="1">
        <f t="array" ref="F609:F618">IFERROR(INDEX(Table_Input_FreightIncoming[Route distance (km)], _xlfn.SEQUENCE(10))*INDEX(Table_Input_FreightIncoming[Number of trips taken], _xlfn.SEQUENCE(10)), "")</f>
        <v>51272</v>
      </c>
      <c r="G609" s="49" t="s">
        <v>815</v>
      </c>
      <c r="H609" s="49" t="s">
        <v>815</v>
      </c>
      <c r="I609" s="66">
        <v>10</v>
      </c>
      <c r="J609" s="49" cm="1">
        <f t="array" ref="J609">Scope3_Equations.VEERG_15_14_1_1__1_EmbeddedEmissionsFromUpstreamFreight(E609,F609,I609)</f>
        <v>5127200</v>
      </c>
      <c r="K609" s="82"/>
      <c r="L609" s="47"/>
      <c r="M609" s="82"/>
    </row>
    <row r="610" spans="4:13" x14ac:dyDescent="0.25">
      <c r="D610" s="49" t="str">
        <v>Fertiliser supplier to farm</v>
      </c>
      <c r="E610" s="49">
        <v>10</v>
      </c>
      <c r="F610" s="49">
        <v>390</v>
      </c>
      <c r="G610" s="49" t="s">
        <v>815</v>
      </c>
      <c r="H610" s="49" t="s">
        <v>815</v>
      </c>
      <c r="I610" s="66">
        <v>5</v>
      </c>
      <c r="J610" s="49" cm="1">
        <f t="array" ref="J610">Scope3_Equations.VEERG_15_14_1_1__1_EmbeddedEmissionsFromUpstreamFreight(E610,F610,I610)</f>
        <v>19500</v>
      </c>
      <c r="K610" s="82"/>
      <c r="L610" s="47"/>
      <c r="M610" s="82"/>
    </row>
    <row r="611" spans="4:13" x14ac:dyDescent="0.25">
      <c r="D611" s="49">
        <v>0</v>
      </c>
      <c r="E611" s="49">
        <v>0</v>
      </c>
      <c r="F611" s="49">
        <v>0</v>
      </c>
      <c r="G611" s="49" t="s">
        <v>815</v>
      </c>
      <c r="H611" s="49" t="s">
        <v>815</v>
      </c>
      <c r="I611" s="66"/>
      <c r="J611" s="49" cm="1">
        <f t="array" ref="J611">Scope3_Equations.VEERG_15_14_1_1__1_EmbeddedEmissionsFromUpstreamFreight(E611,F611,I611)</f>
        <v>0</v>
      </c>
      <c r="K611" s="82"/>
      <c r="L611" s="47"/>
      <c r="M611" s="82"/>
    </row>
    <row r="612" spans="4:13" x14ac:dyDescent="0.25">
      <c r="D612" s="49">
        <v>0</v>
      </c>
      <c r="E612" s="49">
        <v>0</v>
      </c>
      <c r="F612" s="49">
        <v>0</v>
      </c>
      <c r="G612" s="49" t="s">
        <v>815</v>
      </c>
      <c r="H612" s="49" t="s">
        <v>815</v>
      </c>
      <c r="I612" s="66"/>
      <c r="J612" s="49" cm="1">
        <f t="array" ref="J612">Scope3_Equations.VEERG_15_14_1_1__1_EmbeddedEmissionsFromUpstreamFreight(E612,F612,I612)</f>
        <v>0</v>
      </c>
      <c r="K612" s="82"/>
      <c r="L612" s="47"/>
      <c r="M612" s="82"/>
    </row>
    <row r="613" spans="4:13" x14ac:dyDescent="0.25">
      <c r="D613" s="49">
        <v>0</v>
      </c>
      <c r="E613" s="49">
        <v>0</v>
      </c>
      <c r="F613" s="49">
        <v>0</v>
      </c>
      <c r="G613" s="49" t="s">
        <v>815</v>
      </c>
      <c r="H613" s="49" t="s">
        <v>815</v>
      </c>
      <c r="I613" s="66"/>
      <c r="J613" s="49" cm="1">
        <f t="array" ref="J613">Scope3_Equations.VEERG_15_14_1_1__1_EmbeddedEmissionsFromUpstreamFreight(E613,F613,I613)</f>
        <v>0</v>
      </c>
      <c r="K613" s="82"/>
      <c r="L613" s="47"/>
      <c r="M613" s="82"/>
    </row>
    <row r="614" spans="4:13" x14ac:dyDescent="0.25">
      <c r="D614" s="49">
        <v>0</v>
      </c>
      <c r="E614" s="49">
        <v>0</v>
      </c>
      <c r="F614" s="49">
        <v>0</v>
      </c>
      <c r="G614" s="49" t="s">
        <v>815</v>
      </c>
      <c r="H614" s="49" t="s">
        <v>815</v>
      </c>
      <c r="I614" s="66"/>
      <c r="J614" s="49" cm="1">
        <f t="array" ref="J614">Scope3_Equations.VEERG_15_14_1_1__1_EmbeddedEmissionsFromUpstreamFreight(E614,F614,I614)</f>
        <v>0</v>
      </c>
      <c r="K614" s="82"/>
      <c r="L614" s="47"/>
      <c r="M614" s="82"/>
    </row>
    <row r="615" spans="4:13" x14ac:dyDescent="0.25">
      <c r="D615" s="49">
        <v>0</v>
      </c>
      <c r="E615" s="49">
        <v>0</v>
      </c>
      <c r="F615" s="49">
        <v>0</v>
      </c>
      <c r="G615" s="49" t="s">
        <v>815</v>
      </c>
      <c r="H615" s="49" t="s">
        <v>815</v>
      </c>
      <c r="I615" s="66"/>
      <c r="J615" s="49" cm="1">
        <f t="array" ref="J615">Scope3_Equations.VEERG_15_14_1_1__1_EmbeddedEmissionsFromUpstreamFreight(E615,F615,I615)</f>
        <v>0</v>
      </c>
      <c r="K615" s="82"/>
      <c r="L615" s="47"/>
      <c r="M615" s="82"/>
    </row>
    <row r="616" spans="4:13" x14ac:dyDescent="0.25">
      <c r="D616" s="49">
        <v>0</v>
      </c>
      <c r="E616" s="49">
        <v>0</v>
      </c>
      <c r="F616" s="49">
        <v>0</v>
      </c>
      <c r="G616" s="49" t="s">
        <v>815</v>
      </c>
      <c r="H616" s="49" t="s">
        <v>815</v>
      </c>
      <c r="I616" s="66"/>
      <c r="J616" s="49" cm="1">
        <f t="array" ref="J616">Scope3_Equations.VEERG_15_14_1_1__1_EmbeddedEmissionsFromUpstreamFreight(E616,F616,I616)</f>
        <v>0</v>
      </c>
      <c r="K616" s="82"/>
      <c r="L616" s="47"/>
      <c r="M616" s="82"/>
    </row>
    <row r="617" spans="4:13" x14ac:dyDescent="0.25">
      <c r="D617" s="49">
        <v>0</v>
      </c>
      <c r="E617" s="49">
        <v>0</v>
      </c>
      <c r="F617" s="49">
        <v>0</v>
      </c>
      <c r="G617" s="49" t="s">
        <v>815</v>
      </c>
      <c r="H617" s="49" t="s">
        <v>815</v>
      </c>
      <c r="I617" s="66"/>
      <c r="J617" s="49" cm="1">
        <f t="array" ref="J617">Scope3_Equations.VEERG_15_14_1_1__1_EmbeddedEmissionsFromUpstreamFreight(E617,F617,I617)</f>
        <v>0</v>
      </c>
      <c r="K617" s="82"/>
      <c r="L617" s="47"/>
      <c r="M617" s="82"/>
    </row>
    <row r="618" spans="4:13" x14ac:dyDescent="0.25">
      <c r="D618" s="49">
        <v>0</v>
      </c>
      <c r="E618" s="49">
        <v>0</v>
      </c>
      <c r="F618" s="49">
        <v>0</v>
      </c>
      <c r="G618" s="49" t="s">
        <v>815</v>
      </c>
      <c r="H618" s="49" t="s">
        <v>815</v>
      </c>
      <c r="I618" s="66"/>
      <c r="J618" s="49" cm="1">
        <f t="array" ref="J618">Scope3_Equations.VEERG_15_14_1_1__1_EmbeddedEmissionsFromUpstreamFreight(E618,F618,I618)</f>
        <v>0</v>
      </c>
      <c r="K618" s="82"/>
      <c r="L618" s="47"/>
      <c r="M618" s="82"/>
    </row>
    <row r="620" spans="4:13" x14ac:dyDescent="0.25">
      <c r="D620" s="173" t="s">
        <v>818</v>
      </c>
      <c r="E620" s="98" t="s">
        <v>815</v>
      </c>
      <c r="F620" s="174" t="str">
        <f>$E$104</f>
        <v>t CO2e</v>
      </c>
    </row>
    <row r="621" spans="4:13" x14ac:dyDescent="0.25">
      <c r="D621" s="173" t="s">
        <v>819</v>
      </c>
      <c r="E621" s="98">
        <f>SUM(J609:J618)</f>
        <v>5146700</v>
      </c>
      <c r="F621" s="174" t="str">
        <f>$E$104</f>
        <v>t CO2e</v>
      </c>
    </row>
    <row r="624" spans="4:13" ht="18.75" x14ac:dyDescent="0.25">
      <c r="D624" s="144" t="s">
        <v>807</v>
      </c>
    </row>
    <row r="626" spans="4:13" ht="17.25" x14ac:dyDescent="0.25">
      <c r="D626" s="46" t="s">
        <v>800</v>
      </c>
      <c r="E626" s="46" t="s">
        <v>812</v>
      </c>
      <c r="F626" s="46" t="s">
        <v>813</v>
      </c>
      <c r="G626" s="57" t="s">
        <v>814</v>
      </c>
      <c r="H626" s="57" t="s">
        <v>629</v>
      </c>
      <c r="I626" s="46" t="s">
        <v>665</v>
      </c>
      <c r="J626" s="57" t="s">
        <v>631</v>
      </c>
      <c r="K626" s="46" t="s">
        <v>625</v>
      </c>
      <c r="L626" s="46" t="s">
        <v>626</v>
      </c>
      <c r="M626" s="46" t="s">
        <v>627</v>
      </c>
    </row>
    <row r="627" spans="4:13" x14ac:dyDescent="0.25">
      <c r="D627" s="49" t="str" cm="1">
        <f t="array" ref="D627:D636">IFERROR(INDEX(Table_Input_FreightOutgoing[Route name], _xlfn.SEQUENCE(10)), "")</f>
        <v>Farm to bulk handler</v>
      </c>
      <c r="E627" s="49" cm="1">
        <f t="array" ref="E627:E636">IFERROR(INDEX(Table_Input_FreightOutgoing[Average weight of freight per trip (t)], _xlfn.SEQUENCE(10)), "")</f>
        <v>20</v>
      </c>
      <c r="F627" s="49" cm="1">
        <f t="array" ref="F627:F636">IFERROR(INDEX(Table_Input_FreightOutgoing[Route distance (km)], _xlfn.SEQUENCE(10))*INDEX(Table_Input_FreightOutgoing[Number of trips taken], _xlfn.SEQUENCE(10)), "")</f>
        <v>3380</v>
      </c>
      <c r="G627" s="49" t="s">
        <v>815</v>
      </c>
      <c r="H627" s="49" t="s">
        <v>815</v>
      </c>
      <c r="I627" s="66">
        <v>6.4</v>
      </c>
      <c r="J627" s="49" cm="1">
        <f t="array" ref="J627">Scope3_Equations.VEERG_15_14_1_1__1_EmbeddedEmissionsFromUpstreamFreight(E627,F627,I627)</f>
        <v>432640</v>
      </c>
      <c r="K627" s="82"/>
      <c r="L627" s="47"/>
      <c r="M627" s="82"/>
    </row>
    <row r="628" spans="4:13" x14ac:dyDescent="0.25">
      <c r="D628" s="49">
        <v>0</v>
      </c>
      <c r="E628" s="49">
        <v>0</v>
      </c>
      <c r="F628" s="49">
        <v>0</v>
      </c>
      <c r="G628" s="49" t="s">
        <v>815</v>
      </c>
      <c r="H628" s="49" t="s">
        <v>815</v>
      </c>
      <c r="I628" s="66"/>
      <c r="J628" s="49" cm="1">
        <f t="array" ref="J628">Scope3_Equations.VEERG_15_14_1_1__1_EmbeddedEmissionsFromUpstreamFreight(E628,F628,I628)</f>
        <v>0</v>
      </c>
      <c r="K628" s="82"/>
      <c r="L628" s="47"/>
      <c r="M628" s="82"/>
    </row>
    <row r="629" spans="4:13" x14ac:dyDescent="0.25">
      <c r="D629" s="49">
        <v>0</v>
      </c>
      <c r="E629" s="49">
        <v>0</v>
      </c>
      <c r="F629" s="49">
        <v>0</v>
      </c>
      <c r="G629" s="49" t="s">
        <v>815</v>
      </c>
      <c r="H629" s="49" t="s">
        <v>815</v>
      </c>
      <c r="I629" s="66"/>
      <c r="J629" s="49" cm="1">
        <f t="array" ref="J629">Scope3_Equations.VEERG_15_14_1_1__1_EmbeddedEmissionsFromUpstreamFreight(E629,F629,I629)</f>
        <v>0</v>
      </c>
      <c r="K629" s="82"/>
      <c r="L629" s="47"/>
      <c r="M629" s="82"/>
    </row>
    <row r="630" spans="4:13" x14ac:dyDescent="0.25">
      <c r="D630" s="49">
        <v>0</v>
      </c>
      <c r="E630" s="49">
        <v>0</v>
      </c>
      <c r="F630" s="49">
        <v>0</v>
      </c>
      <c r="G630" s="49" t="s">
        <v>815</v>
      </c>
      <c r="H630" s="49" t="s">
        <v>815</v>
      </c>
      <c r="I630" s="66"/>
      <c r="J630" s="49" cm="1">
        <f t="array" ref="J630">Scope3_Equations.VEERG_15_14_1_1__1_EmbeddedEmissionsFromUpstreamFreight(E630,F630,I630)</f>
        <v>0</v>
      </c>
      <c r="K630" s="82"/>
      <c r="L630" s="47"/>
      <c r="M630" s="82"/>
    </row>
    <row r="631" spans="4:13" x14ac:dyDescent="0.25">
      <c r="D631" s="49">
        <v>0</v>
      </c>
      <c r="E631" s="49">
        <v>0</v>
      </c>
      <c r="F631" s="49">
        <v>0</v>
      </c>
      <c r="G631" s="49" t="s">
        <v>815</v>
      </c>
      <c r="H631" s="49" t="s">
        <v>815</v>
      </c>
      <c r="I631" s="66"/>
      <c r="J631" s="49" cm="1">
        <f t="array" ref="J631">Scope3_Equations.VEERG_15_14_1_1__1_EmbeddedEmissionsFromUpstreamFreight(E631,F631,I631)</f>
        <v>0</v>
      </c>
      <c r="K631" s="82"/>
      <c r="L631" s="47"/>
      <c r="M631" s="82"/>
    </row>
    <row r="632" spans="4:13" x14ac:dyDescent="0.25">
      <c r="D632" s="49">
        <v>0</v>
      </c>
      <c r="E632" s="49">
        <v>0</v>
      </c>
      <c r="F632" s="49">
        <v>0</v>
      </c>
      <c r="G632" s="49" t="s">
        <v>815</v>
      </c>
      <c r="H632" s="49" t="s">
        <v>815</v>
      </c>
      <c r="I632" s="66"/>
      <c r="J632" s="49" cm="1">
        <f t="array" ref="J632">Scope3_Equations.VEERG_15_14_1_1__1_EmbeddedEmissionsFromUpstreamFreight(E632,F632,I632)</f>
        <v>0</v>
      </c>
      <c r="K632" s="82"/>
      <c r="L632" s="47"/>
      <c r="M632" s="82"/>
    </row>
    <row r="633" spans="4:13" x14ac:dyDescent="0.25">
      <c r="D633" s="49">
        <v>0</v>
      </c>
      <c r="E633" s="49">
        <v>0</v>
      </c>
      <c r="F633" s="49">
        <v>0</v>
      </c>
      <c r="G633" s="49" t="s">
        <v>815</v>
      </c>
      <c r="H633" s="49" t="s">
        <v>815</v>
      </c>
      <c r="I633" s="66"/>
      <c r="J633" s="49" cm="1">
        <f t="array" ref="J633">Scope3_Equations.VEERG_15_14_1_1__1_EmbeddedEmissionsFromUpstreamFreight(E633,F633,I633)</f>
        <v>0</v>
      </c>
      <c r="K633" s="82"/>
      <c r="L633" s="47"/>
      <c r="M633" s="82"/>
    </row>
    <row r="634" spans="4:13" x14ac:dyDescent="0.25">
      <c r="D634" s="49">
        <v>0</v>
      </c>
      <c r="E634" s="49">
        <v>0</v>
      </c>
      <c r="F634" s="49">
        <v>0</v>
      </c>
      <c r="G634" s="49" t="s">
        <v>815</v>
      </c>
      <c r="H634" s="49" t="s">
        <v>815</v>
      </c>
      <c r="I634" s="66"/>
      <c r="J634" s="49" cm="1">
        <f t="array" ref="J634">Scope3_Equations.VEERG_15_14_1_1__1_EmbeddedEmissionsFromUpstreamFreight(E634,F634,I634)</f>
        <v>0</v>
      </c>
      <c r="K634" s="82"/>
      <c r="L634" s="47"/>
      <c r="M634" s="82"/>
    </row>
    <row r="635" spans="4:13" x14ac:dyDescent="0.25">
      <c r="D635" s="49">
        <v>0</v>
      </c>
      <c r="E635" s="49">
        <v>0</v>
      </c>
      <c r="F635" s="49">
        <v>0</v>
      </c>
      <c r="G635" s="49" t="s">
        <v>815</v>
      </c>
      <c r="H635" s="49" t="s">
        <v>815</v>
      </c>
      <c r="I635" s="66"/>
      <c r="J635" s="49" cm="1">
        <f t="array" ref="J635">Scope3_Equations.VEERG_15_14_1_1__1_EmbeddedEmissionsFromUpstreamFreight(E635,F635,I635)</f>
        <v>0</v>
      </c>
      <c r="K635" s="82"/>
      <c r="L635" s="47"/>
      <c r="M635" s="82"/>
    </row>
    <row r="636" spans="4:13" x14ac:dyDescent="0.25">
      <c r="D636" s="49">
        <v>0</v>
      </c>
      <c r="E636" s="49">
        <v>0</v>
      </c>
      <c r="F636" s="49">
        <v>0</v>
      </c>
      <c r="G636" s="49" t="s">
        <v>815</v>
      </c>
      <c r="H636" s="49" t="s">
        <v>815</v>
      </c>
      <c r="I636" s="66"/>
      <c r="J636" s="49" cm="1">
        <f t="array" ref="J636">Scope3_Equations.VEERG_15_14_1_1__1_EmbeddedEmissionsFromUpstreamFreight(E636,F636,I636)</f>
        <v>0</v>
      </c>
      <c r="K636" s="82"/>
      <c r="L636" s="47"/>
      <c r="M636" s="82"/>
    </row>
    <row r="638" spans="4:13" x14ac:dyDescent="0.25">
      <c r="D638" s="173" t="s">
        <v>816</v>
      </c>
      <c r="E638" s="98" t="s">
        <v>815</v>
      </c>
      <c r="F638" s="174" t="str">
        <f>$E$104</f>
        <v>t CO2e</v>
      </c>
    </row>
    <row r="639" spans="4:13" x14ac:dyDescent="0.25">
      <c r="D639" s="173" t="s">
        <v>817</v>
      </c>
      <c r="E639" s="98">
        <f>SUM(J627:J636)</f>
        <v>432640</v>
      </c>
      <c r="F639" s="174" t="str">
        <f>$E$104</f>
        <v>t CO2e</v>
      </c>
    </row>
    <row r="641" spans="4:6" ht="20.25" x14ac:dyDescent="0.25">
      <c r="D641" s="175" t="s">
        <v>629</v>
      </c>
      <c r="E641" s="176" t="s">
        <v>815</v>
      </c>
      <c r="F641" s="177" t="str">
        <f>$E$104</f>
        <v>t CO2e</v>
      </c>
    </row>
    <row r="642" spans="4:6" ht="20.25" x14ac:dyDescent="0.25">
      <c r="D642" s="175" t="s">
        <v>631</v>
      </c>
      <c r="E642" s="176">
        <f>VEERG_15_14_1_1__1_EmbeddedEmissionsFromUpstreamFreight_Incoming_Result_Method2+VEERG_15_14_1_1__1_EmbeddedEmissionsFromUpstreamFreight_Outgoing_Result_Method2</f>
        <v>5579340</v>
      </c>
      <c r="F642" s="177" t="str">
        <f>$E$104</f>
        <v>t CO2e</v>
      </c>
    </row>
  </sheetData>
  <dataValidations disablePrompts="1" count="2">
    <dataValidation type="list" allowBlank="1" showInputMessage="1" showErrorMessage="1" sqref="L42:L51 L61:L70 L79:L88 L430:L439 L448:L457 K119:K128 L367:L376 K136:K139 K162:K164 O23:O32 M221:M231 L305:L314 K273:K282 N336:N345 M490:M499 M237:M251 M399:M408 K466:K470 K479:K483 L609:L618 L627:L636" xr:uid="{A98F9A2A-5979-48D5-8578-50210547ED4A}">
      <formula1>INDIRECT("Table_SourceData_DataScores_Scope3[Data source]")</formula1>
    </dataValidation>
    <dataValidation type="list" allowBlank="1" showInputMessage="1" showErrorMessage="1" sqref="J490:J499" xr:uid="{329D1E08-2407-476E-911D-B5DBC99D27A4}">
      <formula1>"kg / amount unit, t / amount unit"</formula1>
    </dataValidation>
  </dataValidation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3E2F-9D12-4CED-AF18-868F39C93906}">
  <sheetPr>
    <tabColor rgb="FF008000"/>
  </sheetPr>
  <dimension ref="A1:L342"/>
  <sheetViews>
    <sheetView showGridLines="0" topLeftCell="A174" zoomScaleNormal="100" workbookViewId="0">
      <selection activeCell="A41" sqref="A41"/>
    </sheetView>
  </sheetViews>
  <sheetFormatPr defaultRowHeight="15.75" x14ac:dyDescent="0.25"/>
  <cols>
    <col min="1" max="1" width="26.875" style="3" customWidth="1"/>
    <col min="2" max="2" width="4.125" style="3" customWidth="1"/>
    <col min="3" max="3" width="4.125" style="8" customWidth="1"/>
    <col min="4" max="4" width="40.5" style="8" customWidth="1"/>
    <col min="5" max="11" width="26.875" style="8" customWidth="1"/>
    <col min="12" max="12" width="4.125" style="8" customWidth="1"/>
    <col min="13" max="16384" width="9" style="3"/>
  </cols>
  <sheetData>
    <row r="1" spans="1:12" s="1" customFormat="1" ht="30" customHeight="1" x14ac:dyDescent="0.35">
      <c r="A1" s="37" t="e" vm="1">
        <v>#VALUE!</v>
      </c>
      <c r="C1" s="1" t="s">
        <v>784</v>
      </c>
    </row>
    <row r="2" spans="1:12" s="2" customFormat="1" ht="20.100000000000001" customHeight="1" x14ac:dyDescent="0.25">
      <c r="A2"/>
    </row>
    <row r="3" spans="1:12" ht="20.100000000000001" customHeight="1" x14ac:dyDescent="0.25">
      <c r="A3" s="16" t="str">
        <f>HYPERLINK("#'Overview'!A1", "Overview")</f>
        <v>Overview</v>
      </c>
      <c r="C3" s="5"/>
      <c r="D3" s="5" t="s">
        <v>404</v>
      </c>
      <c r="E3" s="5"/>
      <c r="F3" s="5"/>
      <c r="G3" s="5"/>
      <c r="H3" s="5"/>
      <c r="I3" s="5"/>
      <c r="J3" s="5"/>
      <c r="K3" s="5"/>
      <c r="L3" s="5"/>
    </row>
    <row r="4" spans="1:12" ht="20.100000000000001" customHeight="1" x14ac:dyDescent="0.25">
      <c r="A4" s="16" t="str">
        <f>HYPERLINK("#'Results'!A1", "Results")</f>
        <v>Results</v>
      </c>
    </row>
    <row r="5" spans="1:12" ht="20.100000000000001" customHeight="1" x14ac:dyDescent="0.25">
      <c r="A5"/>
      <c r="D5" s="9" t="str" cm="1">
        <f t="array" ref="D5">WasteSolid_Equations.VEERG_10_1_1_1__2_MassOfWasteFromVolume_Title()</f>
        <v>Mass of waste from waste volume</v>
      </c>
    </row>
    <row r="6" spans="1:12" ht="20.100000000000001" customHeight="1" x14ac:dyDescent="0.25">
      <c r="A6"/>
      <c r="D6" s="11" t="str" cm="1">
        <f t="array" ref="D6">WasteSolid_Equations.VEERG_10_1_1_1__2_MassOfWasteFromVolume_Source()</f>
        <v>VEERG 2026: 10.1.1.1, Equation (2)</v>
      </c>
    </row>
    <row r="7" spans="1:12" ht="20.100000000000001" customHeight="1" x14ac:dyDescent="0.25">
      <c r="A7" s="19" t="s">
        <v>67</v>
      </c>
      <c r="D7" s="171" t="s">
        <v>622</v>
      </c>
      <c r="E7" s="171" t="str" cm="1">
        <f t="array" aca="1" ref="E7" ca="1">Common_InputFunctions.Utility_DisplayFunctionName(I21)</f>
        <v>=WasteSolid_Equations.VEERG_10_1_1_1__2_MassOfWasteFromVolume</v>
      </c>
    </row>
    <row r="8" spans="1:12" ht="20.100000000000001" customHeight="1" x14ac:dyDescent="0.25">
      <c r="A8" s="16" t="str">
        <f>HYPERLINK("#'Input - Site'!A1", "Site")</f>
        <v>Site</v>
      </c>
    </row>
    <row r="9" spans="1:12" ht="20.100000000000001" customHeight="1" x14ac:dyDescent="0.25">
      <c r="A9" s="16" t="str">
        <f>HYPERLINK("#'Input - Fuel'!A1", "Fuel")</f>
        <v>Fuel</v>
      </c>
    </row>
    <row r="10" spans="1:12" ht="20.100000000000001" customHeight="1" x14ac:dyDescent="0.25">
      <c r="A10" s="16" t="str">
        <f>HYPERLINK("#'Input - Fertiliser'!A1", "Fertiliser")</f>
        <v>Fertiliser</v>
      </c>
      <c r="D10" s="27" t="s">
        <v>623</v>
      </c>
      <c r="E10" s="8" t="str" cm="1">
        <f t="array" ref="E10">WasteSolid_Equations.VEERG_10_1_1_1__2_MassOfWasteFromVolume_Variable()</f>
        <v>Q_wt</v>
      </c>
    </row>
    <row r="11" spans="1:12" ht="20.100000000000001" customHeight="1" x14ac:dyDescent="0.25">
      <c r="A11" s="16" t="str">
        <f>HYPERLINK("#'Input - Farm Inputs'!A1", "Farm Inputs")</f>
        <v>Farm Inputs</v>
      </c>
      <c r="D11" s="27" t="s">
        <v>96</v>
      </c>
      <c r="E11" s="13" t="str" cm="1">
        <f t="array" ref="E11">WasteSolid_Equations.VEERG_10_1_1_1__2_MassOfWasteFromVolume_Unit()</f>
        <v>t</v>
      </c>
    </row>
    <row r="12" spans="1:12" ht="20.100000000000001" customHeight="1" x14ac:dyDescent="0.25">
      <c r="A12" s="16" t="str">
        <f>HYPERLINK("#'Input - Beef cattle purchases'!A1", "Beef cattle purchases")</f>
        <v>Beef cattle purchases</v>
      </c>
    </row>
    <row r="13" spans="1:12" ht="20.100000000000001" customHeight="1" x14ac:dyDescent="0.25">
      <c r="A13" s="16" t="str">
        <f>HYPERLINK("#'Input - Dairy cattle purchases'!A1", "Dairy cattle purchases")</f>
        <v>Dairy cattle purchases</v>
      </c>
      <c r="D13" s="166" t="str" cm="1">
        <f t="array" ref="D13:E16">_xlfn.CHOOSECOLS(WasteSolid_Equations.VEERG_10_1_1_1__2_MassOfWasteFromVolume_Arguments(),1,2)</f>
        <v>V_wt</v>
      </c>
      <c r="E13" s="170" t="str">
        <v>volume of solid waste type w being sent to treatment facility t</v>
      </c>
      <c r="F13" s="165"/>
      <c r="G13" s="166" t="str" cm="1">
        <f t="array" ref="G13:H16">_xlfn.CHOOSECOLS(WasteSolid_Equations.VEERG_10_1_1_1__2_MassOfWasteFromVolume_Arguments(),3,4)</f>
        <v>m3</v>
      </c>
      <c r="H13" s="230" t="str">
        <v>Input</v>
      </c>
      <c r="I13" s="169" t="str" cm="1">
        <f t="array" aca="1" ref="I13" ca="1">HYPERLINK(Common_InputFunctions.Utility_SourceHyperlink($D$18),$D$18)</f>
        <v>Table_V_w_t_onsite</v>
      </c>
      <c r="J13" s="169" t="str" cm="1">
        <f t="array" aca="1" ref="J13" ca="1">HYPERLINK(Common_InputFunctions.Utility_SourceHyperlink($D$56),$D$56)</f>
        <v>Table_V_w_t_offsite</v>
      </c>
    </row>
    <row r="14" spans="1:12" ht="20.100000000000001" customHeight="1" x14ac:dyDescent="0.25">
      <c r="A14" s="16" t="str">
        <f>HYPERLINK("#'Input - Pig purchases'!A1", "Pig purchases")</f>
        <v>Pig purchases</v>
      </c>
      <c r="D14" s="166" t="str">
        <v>VTM_w</v>
      </c>
      <c r="E14" s="170" t="str">
        <v>conversion factor of volume to mass for waste type w</v>
      </c>
      <c r="F14" s="165"/>
      <c r="G14" s="166" t="str">
        <v>t/m3</v>
      </c>
      <c r="H14" s="168" t="str">
        <v>Constant</v>
      </c>
      <c r="I14" s="169" t="str" cm="1">
        <f t="array" aca="1" ref="I14" ca="1">HYPERLINK(Common_InputFunctions.Utility_SourceHyperlink($D$18),$D$18)</f>
        <v>Table_V_w_t_onsite</v>
      </c>
      <c r="J14" s="169" t="str" cm="1">
        <f t="array" aca="1" ref="J14" ca="1">HYPERLINK(Common_InputFunctions.Utility_SourceHyperlink($D$56),$D$56)</f>
        <v>Table_V_w_t_offsite</v>
      </c>
    </row>
    <row r="15" spans="1:12" ht="20.100000000000001" customHeight="1" x14ac:dyDescent="0.25">
      <c r="A15" s="16" t="str">
        <f>HYPERLINK("#'Input - Poultry purchases'!A1", "Poultry purchases")</f>
        <v>Poultry purchases</v>
      </c>
      <c r="D15" s="166" t="str">
        <v>w</v>
      </c>
      <c r="E15" s="170" t="str">
        <v>waste type</v>
      </c>
      <c r="F15" s="165"/>
      <c r="G15" s="166" t="str">
        <v/>
      </c>
      <c r="H15" s="230" t="str">
        <v>Input</v>
      </c>
      <c r="I15" s="169" t="str" cm="1">
        <f t="array" aca="1" ref="I15" ca="1">HYPERLINK(Common_InputFunctions.Utility_SourceHyperlink($D$18),$D$18)</f>
        <v>Table_V_w_t_onsite</v>
      </c>
      <c r="J15" s="169" t="str" cm="1">
        <f t="array" aca="1" ref="J15" ca="1">HYPERLINK(Common_InputFunctions.Utility_SourceHyperlink($D$56),$D$56)</f>
        <v>Table_V_w_t_offsite</v>
      </c>
    </row>
    <row r="16" spans="1:12" ht="20.100000000000001" customHeight="1" x14ac:dyDescent="0.25">
      <c r="A16" s="16" t="str">
        <f>HYPERLINK("#'Input - Freight'!A1", "Freight")</f>
        <v>Freight</v>
      </c>
      <c r="D16" s="166" t="str">
        <v>t</v>
      </c>
      <c r="E16" s="170" t="str">
        <v>treatment facility</v>
      </c>
      <c r="F16" s="165"/>
      <c r="G16" s="166" t="str">
        <v/>
      </c>
      <c r="H16" s="230" t="str">
        <v>Input</v>
      </c>
      <c r="I16" s="169" t="str" cm="1">
        <f t="array" aca="1" ref="I16" ca="1">HYPERLINK(Common_InputFunctions.Utility_SourceHyperlink($D$18),$D$18)</f>
        <v>Table_V_w_t_onsite</v>
      </c>
      <c r="J16" s="169" t="str" cm="1">
        <f t="array" aca="1" ref="J16" ca="1">HYPERLINK(Common_InputFunctions.Utility_SourceHyperlink($D$56),$D$56)</f>
        <v>Table_V_w_t_offsite</v>
      </c>
    </row>
    <row r="17" spans="1:9" ht="20.100000000000001" customHeight="1" x14ac:dyDescent="0.25">
      <c r="A17" s="16" t="str">
        <f>HYPERLINK("#'Input - Solid waste'!A1", "Solid waste")</f>
        <v>Solid waste</v>
      </c>
    </row>
    <row r="18" spans="1:9" ht="20.100000000000001" customHeight="1" x14ac:dyDescent="0.25">
      <c r="A18" s="16" t="str">
        <f>HYPERLINK("#'Input - Manure sent off-site'!A1", "Manure sent off-site")</f>
        <v>Manure sent off-site</v>
      </c>
      <c r="D18" s="55" t="s">
        <v>785</v>
      </c>
    </row>
    <row r="19" spans="1:9" ht="20.100000000000001" customHeight="1" x14ac:dyDescent="0.25">
      <c r="A19" s="16" t="str">
        <f>HYPERLINK("#'Input - Electricity'!A1", "Electricity")</f>
        <v>Electricity</v>
      </c>
      <c r="D19" s="56" t="s">
        <v>786</v>
      </c>
    </row>
    <row r="20" spans="1:9" ht="20.100000000000001" customHeight="1" x14ac:dyDescent="0.25">
      <c r="A20"/>
      <c r="D20" s="46" t="s">
        <v>787</v>
      </c>
      <c r="E20" s="46" t="s">
        <v>788</v>
      </c>
      <c r="F20" s="46"/>
      <c r="G20" s="46" t="s">
        <v>789</v>
      </c>
      <c r="H20" s="57" t="s">
        <v>790</v>
      </c>
      <c r="I20" s="57" t="s">
        <v>791</v>
      </c>
    </row>
    <row r="21" spans="1:9" ht="20.100000000000001" customHeight="1" x14ac:dyDescent="0.25">
      <c r="A21"/>
      <c r="D21" s="166" t="str" cm="1">
        <f t="array" ref="D21:D54">Table_SourceData_WasteSolid_WasteTreatmentEFs[Treatment type t]</f>
        <v>Landfill</v>
      </c>
      <c r="E21" s="170" t="str" cm="1">
        <f t="array" ref="E21:E54">Table_SourceData_WasteSolid_WasteTreatmentEFs[Waste type w]</f>
        <v>Food waste (including animal carcasses, spoiled animal feed or crop)</v>
      </c>
      <c r="F21" s="208"/>
      <c r="G21" s="49" cm="1">
        <f t="array" ref="G21">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"cubic metres m3")</f>
        <v>50</v>
      </c>
      <c r="H21" s="49" cm="1">
        <f t="array" ref="H21">Common_InputFunctions.Utility_LookupValueInTableNumber(E21,Table_SourceData_WasteSolid_VolumeToMassConversion[Waste type w],Table_SourceData_WasteSolid_VolumeToMassConversion[VTMw])</f>
        <v>0.5</v>
      </c>
      <c r="I21" s="49" cm="1">
        <f t="array" ref="I21">WasteSolid_Equations.VEERG_10_1_1_1__2_MassOfWasteFromVolume(G21,H21)</f>
        <v>25</v>
      </c>
    </row>
    <row r="22" spans="1:9" ht="20.100000000000001" customHeight="1" x14ac:dyDescent="0.25">
      <c r="A22" s="21" t="s">
        <v>77</v>
      </c>
      <c r="D22" s="166" t="str">
        <v>Landfill</v>
      </c>
      <c r="E22" s="170" t="str">
        <v>Paper and cardboard</v>
      </c>
      <c r="F22" s="208"/>
      <c r="G22" s="49" cm="1">
        <f t="array" ref="G22">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"cubic metres m3")</f>
        <v>50</v>
      </c>
      <c r="H22" s="49" cm="1">
        <f t="array" ref="H22">Common_InputFunctions.Utility_LookupValueInTableNumber(E22,Table_SourceData_WasteSolid_VolumeToMassConversion[Waste type w],Table_SourceData_WasteSolid_VolumeToMassConversion[VTMw])</f>
        <v>0.09</v>
      </c>
      <c r="I22" s="49" cm="1">
        <f t="array" ref="I22">WasteSolid_Equations.VEERG_10_1_1_1__2_MassOfWasteFromVolume(G22,H22)</f>
        <v>4.5</v>
      </c>
    </row>
    <row r="23" spans="1:9" ht="20.100000000000001" customHeight="1" x14ac:dyDescent="0.25">
      <c r="A23" s="16" t="str">
        <f>HYPERLINK("#'15 Scope 3'!A1", "15 Scope 3")</f>
        <v>15 Scope 3</v>
      </c>
      <c r="D23" s="166" t="str">
        <v>Landfill</v>
      </c>
      <c r="E23" s="170" t="str">
        <v>Green waste (including crop residues or prunings)</v>
      </c>
      <c r="F23" s="208"/>
      <c r="G23" s="49" cm="1">
        <f t="array" ref="G23">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"cubic metres m3")</f>
        <v>50</v>
      </c>
      <c r="H23" s="49" cm="1">
        <f t="array" ref="H23">Common_InputFunctions.Utility_LookupValueInTableNumber(E23,Table_SourceData_WasteSolid_VolumeToMassConversion[Waste type w],Table_SourceData_WasteSolid_VolumeToMassConversion[VTMw])</f>
        <v>0.24</v>
      </c>
      <c r="I23" s="49" cm="1">
        <f t="array" ref="I23">WasteSolid_Equations.VEERG_10_1_1_1__2_MassOfWasteFromVolume(G23,H23)</f>
        <v>12</v>
      </c>
    </row>
    <row r="24" spans="1:9" ht="20.100000000000001" customHeight="1" x14ac:dyDescent="0.25">
      <c r="A24" s="179" t="str">
        <f>HYPERLINK("#'10.1.1-2 Solid waste treatment'!A1", "10.1.1-2 Solid waste treatment")</f>
        <v>10.1.1-2 Solid waste treatment</v>
      </c>
      <c r="D24" s="166" t="str">
        <v>Landfill</v>
      </c>
      <c r="E24" s="170" t="str">
        <v>Wood</v>
      </c>
      <c r="F24" s="208"/>
      <c r="G24" s="49" cm="1">
        <f t="array" ref="G24">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"cubic metres m3")</f>
        <v>0</v>
      </c>
      <c r="H24" s="49" cm="1">
        <f t="array" ref="H24">Common_InputFunctions.Utility_LookupValueInTableNumber(E24,Table_SourceData_WasteSolid_VolumeToMassConversion[Waste type w],Table_SourceData_WasteSolid_VolumeToMassConversion[VTMw])</f>
        <v>0.15</v>
      </c>
      <c r="I24" s="49" cm="1">
        <f t="array" ref="I24">WasteSolid_Equations.VEERG_10_1_1_1__2_MassOfWasteFromVolume(G24,H24)</f>
        <v>0</v>
      </c>
    </row>
    <row r="25" spans="1:9" ht="20.100000000000001" customHeight="1" x14ac:dyDescent="0.25">
      <c r="A25" s="16" t="str">
        <f>HYPERLINK("#'Calcs - Manure sent off-site'!A1", "Calcs - Manure sent off-site")</f>
        <v>Calcs - Manure sent off-site</v>
      </c>
      <c r="D25" s="166" t="str">
        <v>Landfill</v>
      </c>
      <c r="E25" s="170" t="str">
        <v>Textiles</v>
      </c>
      <c r="F25" s="208"/>
      <c r="G25" s="49" cm="1">
        <f t="array" ref="G25">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"cubic metres m3")</f>
        <v>0</v>
      </c>
      <c r="H25" s="49" cm="1">
        <f t="array" ref="H25">Common_InputFunctions.Utility_LookupValueInTableNumber(E25,Table_SourceData_WasteSolid_VolumeToMassConversion[Waste type w],Table_SourceData_WasteSolid_VolumeToMassConversion[VTMw])</f>
        <v>0.14000000000000001</v>
      </c>
      <c r="I25" s="49" cm="1">
        <f t="array" ref="I25">WasteSolid_Equations.VEERG_10_1_1_1__2_MassOfWasteFromVolume(G25,H25)</f>
        <v>0</v>
      </c>
    </row>
    <row r="26" spans="1:9" ht="20.100000000000001" customHeight="1" x14ac:dyDescent="0.25">
      <c r="A26" s="16" t="str">
        <f>HYPERLINK("#'8.1.1.1-2 Transport fuel'!A1", "8.1.1.1-2 Transport fuel")</f>
        <v>8.1.1.1-2 Transport fuel</v>
      </c>
      <c r="D26" s="166" t="str">
        <v>Landfill</v>
      </c>
      <c r="E26" s="170" t="str">
        <v>Sludge</v>
      </c>
      <c r="F26" s="208"/>
      <c r="G26" s="49" cm="1">
        <f t="array" ref="G26">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"cubic metres m3")</f>
        <v>0</v>
      </c>
      <c r="H26" s="49" cm="1">
        <f t="array" ref="H26">Common_InputFunctions.Utility_LookupValueInTableNumber(E26,Table_SourceData_WasteSolid_VolumeToMassConversion[Waste type w],Table_SourceData_WasteSolid_VolumeToMassConversion[VTMw])</f>
        <v>0.72</v>
      </c>
      <c r="I26" s="49" cm="1">
        <f t="array" ref="I26">WasteSolid_Equations.VEERG_10_1_1_1__2_MassOfWasteFromVolume(G26,H26)</f>
        <v>0</v>
      </c>
    </row>
    <row r="27" spans="1:9" ht="20.100000000000001" customHeight="1" x14ac:dyDescent="0.25">
      <c r="A27" s="16" t="str">
        <f>HYPERLINK("#'8.2.1.1-2 Stationary fuel'!A1", "8.2.1.1-2 Stationary fuel")</f>
        <v>8.2.1.1-2 Stationary fuel</v>
      </c>
      <c r="D27" s="166" t="str">
        <v>Landfill</v>
      </c>
      <c r="E27" s="170" t="str">
        <v>Rubber and leather</v>
      </c>
      <c r="F27" s="208"/>
      <c r="G27" s="49" cm="1">
        <f t="array" ref="G27">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"cubic metres m3")</f>
        <v>0</v>
      </c>
      <c r="H27" s="49" cm="1">
        <f t="array" ref="H27">Common_InputFunctions.Utility_LookupValueInTableNumber(E27,Table_SourceData_WasteSolid_VolumeToMassConversion[Waste type w],Table_SourceData_WasteSolid_VolumeToMassConversion[VTMw])</f>
        <v>0.14000000000000001</v>
      </c>
      <c r="I27" s="49" cm="1">
        <f t="array" ref="I27">WasteSolid_Equations.VEERG_10_1_1_1__2_MassOfWasteFromVolume(G27,H27)</f>
        <v>0</v>
      </c>
    </row>
    <row r="28" spans="1:9" ht="20.100000000000001" customHeight="1" x14ac:dyDescent="0.25">
      <c r="A28"/>
      <c r="D28" s="166" t="str">
        <v>Landfill</v>
      </c>
      <c r="E28" s="170" t="str">
        <v>Inert waste (including concrete, metal, plastic or glass)</v>
      </c>
      <c r="F28" s="208"/>
      <c r="G28" s="49" cm="1">
        <f t="array" ref="G28">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"cubic metres m3")</f>
        <v>0</v>
      </c>
      <c r="H28" s="49" cm="1">
        <f t="array" ref="H28">Common_InputFunctions.Utility_LookupValueInTableNumber(E28,Table_SourceData_WasteSolid_VolumeToMassConversion[Waste type w],Table_SourceData_WasteSolid_VolumeToMassConversion[VTMw])</f>
        <v>0.42</v>
      </c>
      <c r="I28" s="49" cm="1">
        <f t="array" ref="I28">WasteSolid_Equations.VEERG_10_1_1_1__2_MassOfWasteFromVolume(G28,H28)</f>
        <v>0</v>
      </c>
    </row>
    <row r="29" spans="1:9" ht="20.100000000000001" customHeight="1" x14ac:dyDescent="0.25">
      <c r="A29"/>
      <c r="D29" s="166" t="str">
        <v>Landfill</v>
      </c>
      <c r="E29" s="170" t="str">
        <v>Municipal solid waste</v>
      </c>
      <c r="F29" s="208"/>
      <c r="G29" s="49" cm="1">
        <f t="array" ref="G29">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"cubic metres m3")</f>
        <v>0</v>
      </c>
      <c r="H29" s="49" cm="1">
        <f t="array" ref="H29">Common_InputFunctions.Utility_LookupValueInTableNumber(E29,Table_SourceData_WasteSolid_VolumeToMassConversion[Waste type w],Table_SourceData_WasteSolid_VolumeToMassConversion[VTMw])</f>
        <v>0.36</v>
      </c>
      <c r="I29" s="49" cm="1">
        <f t="array" ref="I29">WasteSolid_Equations.VEERG_10_1_1_1__2_MassOfWasteFromVolume(G29,H29)</f>
        <v>0</v>
      </c>
    </row>
    <row r="30" spans="1:9" ht="20.100000000000001" customHeight="1" x14ac:dyDescent="0.25">
      <c r="A30" s="221" t="s">
        <v>78</v>
      </c>
      <c r="D30" s="166" t="str">
        <v>Landfill</v>
      </c>
      <c r="E30" s="170" t="str">
        <v>Commercial and industrial waste</v>
      </c>
      <c r="F30" s="208"/>
      <c r="G30" s="49" cm="1">
        <f t="array" ref="G30">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"cubic metres m3")</f>
        <v>0</v>
      </c>
      <c r="H30" s="49" cm="1">
        <f t="array" ref="H30">Common_InputFunctions.Utility_LookupValueInTableNumber(E30,Table_SourceData_WasteSolid_VolumeToMassConversion[Waste type w],Table_SourceData_WasteSolid_VolumeToMassConversion[VTMw])</f>
        <v>0.33</v>
      </c>
      <c r="I30" s="49" cm="1">
        <f t="array" ref="I30">WasteSolid_Equations.VEERG_10_1_1_1__2_MassOfWasteFromVolume(G30,H30)</f>
        <v>0</v>
      </c>
    </row>
    <row r="31" spans="1:9" ht="20.100000000000001" customHeight="1" x14ac:dyDescent="0.25">
      <c r="A31" s="16" t="str">
        <f>HYPERLINK("#'Constants - Scope 3'!A1", "Constants - Scope 3")</f>
        <v>Constants - Scope 3</v>
      </c>
      <c r="D31" s="166" t="str">
        <v>Landfill</v>
      </c>
      <c r="E31" s="170" t="str">
        <v>Construction and demolition waste</v>
      </c>
      <c r="F31" s="208"/>
      <c r="G31" s="49" cm="1">
        <f t="array" ref="G31">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"cubic metres m3")</f>
        <v>0</v>
      </c>
      <c r="H31" s="49" cm="1">
        <f t="array" ref="H31">Common_InputFunctions.Utility_LookupValueInTableNumber(E31,Table_SourceData_WasteSolid_VolumeToMassConversion[Waste type w],Table_SourceData_WasteSolid_VolumeToMassConversion[VTMw])</f>
        <v>0.39</v>
      </c>
      <c r="I31" s="49" cm="1">
        <f t="array" ref="I31">WasteSolid_Equations.VEERG_10_1_1_1__2_MassOfWasteFromVolume(G31,H31)</f>
        <v>0</v>
      </c>
    </row>
    <row r="32" spans="1:9" ht="20.100000000000001" customHeight="1" x14ac:dyDescent="0.25">
      <c r="A32" s="16" t="str">
        <f>HYPERLINK("#'Constants - Solid Waste'!A1", "Constants - Solid Waste")</f>
        <v>Constants - Solid Waste</v>
      </c>
      <c r="D32" s="166" t="str">
        <v>Incineration</v>
      </c>
      <c r="E32" s="170" t="str">
        <v>Food waste, green waste, wood, sludge</v>
      </c>
      <c r="F32" s="208"/>
      <c r="G32" s="49" t="s">
        <v>838</v>
      </c>
      <c r="H32" s="49" t="s">
        <v>838</v>
      </c>
      <c r="I32" s="49" t="s">
        <v>838</v>
      </c>
    </row>
    <row r="33" spans="1:9" ht="20.100000000000001" customHeight="1" x14ac:dyDescent="0.25">
      <c r="A33" s="16" t="str">
        <f>HYPERLINK("#'Constants - Fuel'!A1", "Constants - Fuel")</f>
        <v>Constants - Fuel</v>
      </c>
      <c r="D33" s="166" t="str">
        <v>Incineration</v>
      </c>
      <c r="E33" s="170" t="str">
        <v>Food waste (including animal carcasses, spoiled animal feed or crop)</v>
      </c>
      <c r="F33" s="208"/>
      <c r="G33" s="49" cm="1">
        <f t="array" ref="G33">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"cubic metres m3")</f>
        <v>0</v>
      </c>
      <c r="H33" s="49" cm="1">
        <f t="array" ref="H33">Common_InputFunctions.Utility_LookupValueInTableNumber(E33,Table_SourceData_WasteSolid_VolumeToMassConversion[Waste type w],Table_SourceData_WasteSolid_VolumeToMassConversion[VTMw])</f>
        <v>0.5</v>
      </c>
      <c r="I33" s="49" cm="1">
        <f t="array" ref="I33">WasteSolid_Equations.VEERG_10_1_1_1__2_MassOfWasteFromVolume(G33,H33)</f>
        <v>0</v>
      </c>
    </row>
    <row r="34" spans="1:9" ht="20.100000000000001" customHeight="1" x14ac:dyDescent="0.25">
      <c r="A34" s="16" t="str">
        <f>HYPERLINK("#'Constants - Poultry'!A1", "Constants - Poultry")</f>
        <v>Constants - Poultry</v>
      </c>
      <c r="D34" s="166" t="str">
        <v>Incineration</v>
      </c>
      <c r="E34" s="170" t="str">
        <v>Green waste (including crop residues or prunings)</v>
      </c>
      <c r="F34" s="208"/>
      <c r="G34" s="49" cm="1">
        <f t="array" ref="G34">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"cubic metres m3")</f>
        <v>100</v>
      </c>
      <c r="H34" s="49" cm="1">
        <f t="array" ref="H34">Common_InputFunctions.Utility_LookupValueInTableNumber(E34,Table_SourceData_WasteSolid_VolumeToMassConversion[Waste type w],Table_SourceData_WasteSolid_VolumeToMassConversion[VTMw])</f>
        <v>0.24</v>
      </c>
      <c r="I34" s="49" cm="1">
        <f t="array" ref="I34">WasteSolid_Equations.VEERG_10_1_1_1__2_MassOfWasteFromVolume(G34,H34)</f>
        <v>24</v>
      </c>
    </row>
    <row r="35" spans="1:9" ht="20.100000000000001" customHeight="1" x14ac:dyDescent="0.25">
      <c r="A35" s="16" t="str">
        <f>HYPERLINK("#'Constants - Swine'!A1", "Constants - Swine")</f>
        <v>Constants - Swine</v>
      </c>
      <c r="D35" s="166" t="str">
        <v>Incineration</v>
      </c>
      <c r="E35" s="170" t="str">
        <v>Wood</v>
      </c>
      <c r="F35" s="208"/>
      <c r="G35" s="49" cm="1">
        <f t="array" ref="G35">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"cubic metres m3")</f>
        <v>0</v>
      </c>
      <c r="H35" s="49" cm="1">
        <f t="array" ref="H35">Common_InputFunctions.Utility_LookupValueInTableNumber(E35,Table_SourceData_WasteSolid_VolumeToMassConversion[Waste type w],Table_SourceData_WasteSolid_VolumeToMassConversion[VTMw])</f>
        <v>0.15</v>
      </c>
      <c r="I35" s="49" cm="1">
        <f t="array" ref="I35">WasteSolid_Equations.VEERG_10_1_1_1__2_MassOfWasteFromVolume(G35,H35)</f>
        <v>0</v>
      </c>
    </row>
    <row r="36" spans="1:9" ht="20.100000000000001" customHeight="1" x14ac:dyDescent="0.25">
      <c r="A36" s="16" t="str">
        <f>HYPERLINK("#'Constants - Dairy'!A1", "Constants - Dairy")</f>
        <v>Constants - Dairy</v>
      </c>
      <c r="D36" s="166" t="str">
        <v>Incineration</v>
      </c>
      <c r="E36" s="170" t="str">
        <v>Sludge</v>
      </c>
      <c r="F36" s="208"/>
      <c r="G36" s="49" cm="1">
        <f t="array" ref="G36">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"cubic metres m3")</f>
        <v>0</v>
      </c>
      <c r="H36" s="49" cm="1">
        <f t="array" ref="H36">Common_InputFunctions.Utility_LookupValueInTableNumber(E36,Table_SourceData_WasteSolid_VolumeToMassConversion[Waste type w],Table_SourceData_WasteSolid_VolumeToMassConversion[VTMw])</f>
        <v>0.72</v>
      </c>
      <c r="I36" s="49" cm="1">
        <f t="array" ref="I36">WasteSolid_Equations.VEERG_10_1_1_1__2_MassOfWasteFromVolume(G36,H36)</f>
        <v>0</v>
      </c>
    </row>
    <row r="37" spans="1:9" ht="20.100000000000001" customHeight="1" x14ac:dyDescent="0.25">
      <c r="A37" s="16" t="str">
        <f>HYPERLINK("#'Constants - Pasture Beef'!A1", "Constants - Pasture Beef")</f>
        <v>Constants - Pasture Beef</v>
      </c>
      <c r="D37" s="166" t="str">
        <v>Incineration</v>
      </c>
      <c r="E37" s="170" t="str">
        <v>Paper and cardboard</v>
      </c>
      <c r="F37" s="208"/>
      <c r="G37" s="49" cm="1">
        <f t="array" ref="G37">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"cubic metres m3")</f>
        <v>50</v>
      </c>
      <c r="H37" s="49" cm="1">
        <f t="array" ref="H37">Common_InputFunctions.Utility_LookupValueInTableNumber(E37,Table_SourceData_WasteSolid_VolumeToMassConversion[Waste type w],Table_SourceData_WasteSolid_VolumeToMassConversion[VTMw])</f>
        <v>0.09</v>
      </c>
      <c r="I37" s="49" cm="1">
        <f t="array" ref="I37">WasteSolid_Equations.VEERG_10_1_1_1__2_MassOfWasteFromVolume(G37,H37)</f>
        <v>4.5</v>
      </c>
    </row>
    <row r="38" spans="1:9" ht="20.100000000000001" customHeight="1" x14ac:dyDescent="0.25">
      <c r="A38" s="16" t="str">
        <f>HYPERLINK("#'Constants - Common Livestock'!A1", "Constants - Common Livestock")</f>
        <v>Constants - Common Livestock</v>
      </c>
      <c r="D38" s="166" t="str">
        <v>Incineration</v>
      </c>
      <c r="E38" s="170" t="str">
        <v>Textiles</v>
      </c>
      <c r="F38" s="208"/>
      <c r="G38" s="49" cm="1">
        <f t="array" ref="G38">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"cubic metres m3")</f>
        <v>0</v>
      </c>
      <c r="H38" s="49" cm="1">
        <f t="array" ref="H38">Common_InputFunctions.Utility_LookupValueInTableNumber(E38,Table_SourceData_WasteSolid_VolumeToMassConversion[Waste type w],Table_SourceData_WasteSolid_VolumeToMassConversion[VTMw])</f>
        <v>0.14000000000000001</v>
      </c>
      <c r="I38" s="49" cm="1">
        <f t="array" ref="I38">WasteSolid_Equations.VEERG_10_1_1_1__2_MassOfWasteFromVolume(G38,H38)</f>
        <v>0</v>
      </c>
    </row>
    <row r="39" spans="1:9" ht="20.100000000000001" customHeight="1" x14ac:dyDescent="0.25">
      <c r="A39" s="16" t="str">
        <f>HYPERLINK("#'Constants - Fertiliser'!A1", "Constants - Fertiliser")</f>
        <v>Constants - Fertiliser</v>
      </c>
      <c r="D39" s="166" t="str">
        <v>Incineration</v>
      </c>
      <c r="E39" s="170" t="str">
        <v>Rubber and leather</v>
      </c>
      <c r="F39" s="208"/>
      <c r="G39" s="49" cm="1">
        <f t="array" ref="G39">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"cubic metres m3")</f>
        <v>0</v>
      </c>
      <c r="H39" s="49" cm="1">
        <f t="array" ref="H39">Common_InputFunctions.Utility_LookupValueInTableNumber(E39,Table_SourceData_WasteSolid_VolumeToMassConversion[Waste type w],Table_SourceData_WasteSolid_VolumeToMassConversion[VTMw])</f>
        <v>0.14000000000000001</v>
      </c>
      <c r="I39" s="49" cm="1">
        <f t="array" ref="I39">WasteSolid_Equations.VEERG_10_1_1_1__2_MassOfWasteFromVolume(G39,H39)</f>
        <v>0</v>
      </c>
    </row>
    <row r="40" spans="1:9" ht="20.100000000000001" customHeight="1" x14ac:dyDescent="0.25">
      <c r="A40" s="16" t="str">
        <f>HYPERLINK("#'Constants - Electricity'!A1", "Constants - Electricity")</f>
        <v>Constants - Electricity</v>
      </c>
      <c r="D40" s="166" t="str">
        <v>Incineration</v>
      </c>
      <c r="E40" s="166" t="str">
        <v>Inert waste (including concrete, metal, plastic or glass)</v>
      </c>
      <c r="F40" s="166"/>
      <c r="G40" s="49" cm="1">
        <f t="array" ref="G40">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"cubic metres m3")</f>
        <v>0</v>
      </c>
      <c r="H40" s="49" cm="1">
        <f t="array" ref="H40">Common_InputFunctions.Utility_LookupValueInTableNumber(E40,Table_SourceData_WasteSolid_VolumeToMassConversion[Waste type w],Table_SourceData_WasteSolid_VolumeToMassConversion[VTMw])</f>
        <v>0.42</v>
      </c>
      <c r="I40" s="49" cm="1">
        <f t="array" ref="I40">WasteSolid_Equations.VEERG_10_1_1_1__2_MassOfWasteFromVolume(G40,H40)</f>
        <v>0</v>
      </c>
    </row>
    <row r="41" spans="1:9" ht="20.100000000000001" customHeight="1" x14ac:dyDescent="0.25">
      <c r="A41" s="16" t="str">
        <f>HYPERLINK("#'Constants - Common'!A1", "Constants - Common")</f>
        <v>Constants - Common</v>
      </c>
      <c r="D41" s="166" t="str">
        <v>Incineration</v>
      </c>
      <c r="E41" s="170" t="str">
        <v>Municipal solid waste</v>
      </c>
      <c r="F41" s="165"/>
      <c r="G41" s="49" cm="1">
        <f t="array" ref="G41">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"cubic metres m3")</f>
        <v>0</v>
      </c>
      <c r="H41" s="49" cm="1">
        <f t="array" ref="H41">Common_InputFunctions.Utility_LookupValueInTableNumber(E41,Table_SourceData_WasteSolid_VolumeToMassConversion[Waste type w],Table_SourceData_WasteSolid_VolumeToMassConversion[VTMw])</f>
        <v>0.36</v>
      </c>
      <c r="I41" s="49" cm="1">
        <f t="array" ref="I41">WasteSolid_Equations.VEERG_10_1_1_1__2_MassOfWasteFromVolume(G41,H41)</f>
        <v>0</v>
      </c>
    </row>
    <row r="42" spans="1:9" ht="20.100000000000001" customHeight="1" x14ac:dyDescent="0.25">
      <c r="A42"/>
      <c r="D42" s="166" t="str">
        <v>Incineration</v>
      </c>
      <c r="E42" s="170" t="str">
        <v>Commercial and industrial waste</v>
      </c>
      <c r="F42" s="165"/>
      <c r="G42" s="49" cm="1">
        <f t="array" ref="G42">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"cubic metres m3")</f>
        <v>0</v>
      </c>
      <c r="H42" s="49" cm="1">
        <f t="array" ref="H42">Common_InputFunctions.Utility_LookupValueInTableNumber(E42,Table_SourceData_WasteSolid_VolumeToMassConversion[Waste type w],Table_SourceData_WasteSolid_VolumeToMassConversion[VTMw])</f>
        <v>0.33</v>
      </c>
      <c r="I42" s="49" cm="1">
        <f t="array" ref="I42">WasteSolid_Equations.VEERG_10_1_1_1__2_MassOfWasteFromVolume(G42,H42)</f>
        <v>0</v>
      </c>
    </row>
    <row r="43" spans="1:9" ht="20.100000000000001" customHeight="1" x14ac:dyDescent="0.25">
      <c r="A43"/>
      <c r="D43" s="166" t="str">
        <v>Composting</v>
      </c>
      <c r="E43" s="170" t="str">
        <v>All organic waste</v>
      </c>
      <c r="F43" s="165"/>
      <c r="G43" s="49" t="s">
        <v>838</v>
      </c>
      <c r="H43" s="49" t="s">
        <v>838</v>
      </c>
      <c r="I43" s="49" t="s">
        <v>838</v>
      </c>
    </row>
    <row r="44" spans="1:9" ht="20.100000000000001" customHeight="1" x14ac:dyDescent="0.25">
      <c r="A44"/>
      <c r="D44" s="166" t="str">
        <v>Composting</v>
      </c>
      <c r="E44" s="170" t="str">
        <v>Food waste (including animal carcasses, spoiled animal feed or crop)</v>
      </c>
      <c r="F44" s="165"/>
      <c r="G44" s="49" cm="1">
        <f t="array" ref="G44">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"cubic metres m3")</f>
        <v>50</v>
      </c>
      <c r="H44" s="49" cm="1">
        <f t="array" ref="H44">Common_InputFunctions.Utility_LookupValueInTableNumber(E44,Table_SourceData_WasteSolid_VolumeToMassConversion[Waste type w],Table_SourceData_WasteSolid_VolumeToMassConversion[VTMw])</f>
        <v>0.5</v>
      </c>
      <c r="I44" s="49" cm="1">
        <f t="array" ref="I44">WasteSolid_Equations.VEERG_10_1_1_1__2_MassOfWasteFromVolume(G44,H44)</f>
        <v>25</v>
      </c>
    </row>
    <row r="45" spans="1:9" ht="20.100000000000001" customHeight="1" x14ac:dyDescent="0.25">
      <c r="A45"/>
      <c r="D45" s="166" t="str">
        <v>Composting</v>
      </c>
      <c r="E45" s="170" t="str">
        <v>Green waste (including crop residues or prunings)</v>
      </c>
      <c r="F45" s="165"/>
      <c r="G45" s="49" cm="1">
        <f t="array" ref="G45">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"cubic metres m3")</f>
        <v>0</v>
      </c>
      <c r="H45" s="49" cm="1">
        <f t="array" ref="H45">Common_InputFunctions.Utility_LookupValueInTableNumber(E45,Table_SourceData_WasteSolid_VolumeToMassConversion[Waste type w],Table_SourceData_WasteSolid_VolumeToMassConversion[VTMw])</f>
        <v>0.24</v>
      </c>
      <c r="I45" s="49" cm="1">
        <f t="array" ref="I45">WasteSolid_Equations.VEERG_10_1_1_1__2_MassOfWasteFromVolume(G45,H45)</f>
        <v>0</v>
      </c>
    </row>
    <row r="46" spans="1:9" ht="20.100000000000001" customHeight="1" x14ac:dyDescent="0.25">
      <c r="A46"/>
      <c r="D46" s="166" t="str">
        <v>Composting</v>
      </c>
      <c r="E46" s="170" t="str">
        <v>Wood</v>
      </c>
      <c r="F46" s="165"/>
      <c r="G46" s="49" cm="1">
        <f t="array" ref="G46">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"cubic metres m3")</f>
        <v>0</v>
      </c>
      <c r="H46" s="49" cm="1">
        <f t="array" ref="H46">Common_InputFunctions.Utility_LookupValueInTableNumber(E46,Table_SourceData_WasteSolid_VolumeToMassConversion[Waste type w],Table_SourceData_WasteSolid_VolumeToMassConversion[VTMw])</f>
        <v>0.15</v>
      </c>
      <c r="I46" s="49" cm="1">
        <f t="array" ref="I46">WasteSolid_Equations.VEERG_10_1_1_1__2_MassOfWasteFromVolume(G46,H46)</f>
        <v>0</v>
      </c>
    </row>
    <row r="47" spans="1:9" ht="20.100000000000001" customHeight="1" x14ac:dyDescent="0.25">
      <c r="A47"/>
      <c r="D47" s="166" t="str">
        <v>Composting</v>
      </c>
      <c r="E47" s="170" t="str">
        <v>Sludge</v>
      </c>
      <c r="F47" s="165"/>
      <c r="G47" s="49" cm="1">
        <f t="array" ref="G47">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"cubic metres m3")</f>
        <v>0</v>
      </c>
      <c r="H47" s="49" cm="1">
        <f t="array" ref="H47">Common_InputFunctions.Utility_LookupValueInTableNumber(E47,Table_SourceData_WasteSolid_VolumeToMassConversion[Waste type w],Table_SourceData_WasteSolid_VolumeToMassConversion[VTMw])</f>
        <v>0.72</v>
      </c>
      <c r="I47" s="49" cm="1">
        <f t="array" ref="I47">WasteSolid_Equations.VEERG_10_1_1_1__2_MassOfWasteFromVolume(G47,H47)</f>
        <v>0</v>
      </c>
    </row>
    <row r="48" spans="1:9" ht="20.100000000000001" customHeight="1" x14ac:dyDescent="0.25">
      <c r="A48"/>
      <c r="D48" s="166" t="str">
        <v>Composting</v>
      </c>
      <c r="E48" s="170" t="str">
        <v>Paper and cardboard</v>
      </c>
      <c r="F48" s="165"/>
      <c r="G48" s="49" cm="1">
        <f t="array" ref="G48">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"cubic metres m3")</f>
        <v>50</v>
      </c>
      <c r="H48" s="49" cm="1">
        <f t="array" ref="H48">Common_InputFunctions.Utility_LookupValueInTableNumber(E48,Table_SourceData_WasteSolid_VolumeToMassConversion[Waste type w],Table_SourceData_WasteSolid_VolumeToMassConversion[VTMw])</f>
        <v>0.09</v>
      </c>
      <c r="I48" s="49" cm="1">
        <f t="array" ref="I48">WasteSolid_Equations.VEERG_10_1_1_1__2_MassOfWasteFromVolume(G48,H48)</f>
        <v>4.5</v>
      </c>
    </row>
    <row r="49" spans="1:9" ht="20.100000000000001" customHeight="1" x14ac:dyDescent="0.25">
      <c r="A49"/>
      <c r="D49" s="166" t="str">
        <v>Anaerobic digestion</v>
      </c>
      <c r="E49" s="170" t="str">
        <v>All organic waste</v>
      </c>
      <c r="F49" s="165"/>
      <c r="G49" s="49" t="s">
        <v>838</v>
      </c>
      <c r="H49" s="49" t="s">
        <v>838</v>
      </c>
      <c r="I49" s="49" t="s">
        <v>838</v>
      </c>
    </row>
    <row r="50" spans="1:9" ht="20.100000000000001" customHeight="1" x14ac:dyDescent="0.25">
      <c r="A50"/>
      <c r="D50" s="166" t="str">
        <v>Anaerobic digestion</v>
      </c>
      <c r="E50" s="170" t="str">
        <v>Food waste (including animal carcasses, spoiled animal feed or crop)</v>
      </c>
      <c r="F50" s="165"/>
      <c r="G50" s="49" cm="1">
        <f t="array" ref="G50">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"cubic metres m3")</f>
        <v>0</v>
      </c>
      <c r="H50" s="49" cm="1">
        <f t="array" ref="H50">Common_InputFunctions.Utility_LookupValueInTableNumber(E50,Table_SourceData_WasteSolid_VolumeToMassConversion[Waste type w],Table_SourceData_WasteSolid_VolumeToMassConversion[VTMw])</f>
        <v>0.5</v>
      </c>
      <c r="I50" s="49" cm="1">
        <f t="array" ref="I50">WasteSolid_Equations.VEERG_10_1_1_1__2_MassOfWasteFromVolume(G50,H50)</f>
        <v>0</v>
      </c>
    </row>
    <row r="51" spans="1:9" ht="20.100000000000001" customHeight="1" x14ac:dyDescent="0.25">
      <c r="A51"/>
      <c r="D51" s="166" t="str">
        <v>Anaerobic digestion</v>
      </c>
      <c r="E51" s="170" t="str">
        <v>Green waste (including crop residues or prunings)</v>
      </c>
      <c r="F51" s="165"/>
      <c r="G51" s="49" cm="1">
        <f t="array" ref="G51">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"cubic metres m3")</f>
        <v>0</v>
      </c>
      <c r="H51" s="49" cm="1">
        <f t="array" ref="H51">Common_InputFunctions.Utility_LookupValueInTableNumber(E51,Table_SourceData_WasteSolid_VolumeToMassConversion[Waste type w],Table_SourceData_WasteSolid_VolumeToMassConversion[VTMw])</f>
        <v>0.24</v>
      </c>
      <c r="I51" s="49" cm="1">
        <f t="array" ref="I51">WasteSolid_Equations.VEERG_10_1_1_1__2_MassOfWasteFromVolume(G51,H51)</f>
        <v>0</v>
      </c>
    </row>
    <row r="52" spans="1:9" ht="20.100000000000001" customHeight="1" x14ac:dyDescent="0.25">
      <c r="A52"/>
      <c r="D52" s="166" t="str">
        <v>Anaerobic digestion</v>
      </c>
      <c r="E52" s="170" t="str">
        <v>Wood</v>
      </c>
      <c r="F52" s="165"/>
      <c r="G52" s="49" cm="1">
        <f t="array" ref="G52">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"cubic metres m3")</f>
        <v>0</v>
      </c>
      <c r="H52" s="49" cm="1">
        <f t="array" ref="H52">Common_InputFunctions.Utility_LookupValueInTableNumber(E52,Table_SourceData_WasteSolid_VolumeToMassConversion[Waste type w],Table_SourceData_WasteSolid_VolumeToMassConversion[VTMw])</f>
        <v>0.15</v>
      </c>
      <c r="I52" s="49" cm="1">
        <f t="array" ref="I52">WasteSolid_Equations.VEERG_10_1_1_1__2_MassOfWasteFromVolume(G52,H52)</f>
        <v>0</v>
      </c>
    </row>
    <row r="53" spans="1:9" ht="20.100000000000001" customHeight="1" x14ac:dyDescent="0.25">
      <c r="A53"/>
      <c r="D53" s="166" t="str">
        <v>Anaerobic digestion</v>
      </c>
      <c r="E53" s="170" t="str">
        <v>Sludge</v>
      </c>
      <c r="F53" s="165"/>
      <c r="G53" s="49" cm="1">
        <f t="array" ref="G53">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"cubic metres m3")</f>
        <v>0</v>
      </c>
      <c r="H53" s="49" cm="1">
        <f t="array" ref="H53">Common_InputFunctions.Utility_LookupValueInTableNumber(E53,Table_SourceData_WasteSolid_VolumeToMassConversion[Waste type w],Table_SourceData_WasteSolid_VolumeToMassConversion[VTMw])</f>
        <v>0.72</v>
      </c>
      <c r="I53" s="49" cm="1">
        <f t="array" ref="I53">WasteSolid_Equations.VEERG_10_1_1_1__2_MassOfWasteFromVolume(G53,H53)</f>
        <v>0</v>
      </c>
    </row>
    <row r="54" spans="1:9" ht="20.100000000000001" customHeight="1" x14ac:dyDescent="0.25">
      <c r="A54"/>
      <c r="D54" s="166" t="str">
        <v>Anaerobic digestion</v>
      </c>
      <c r="E54" s="170" t="str">
        <v>Paper and cardboard</v>
      </c>
      <c r="F54" s="165"/>
      <c r="G54" s="49" cm="1">
        <f t="array" ref="G54">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"cubic metres m3")</f>
        <v>0</v>
      </c>
      <c r="H54" s="49" cm="1">
        <f t="array" ref="H54">Common_InputFunctions.Utility_LookupValueInTableNumber(E54,Table_SourceData_WasteSolid_VolumeToMassConversion[Waste type w],Table_SourceData_WasteSolid_VolumeToMassConversion[VTMw])</f>
        <v>0.09</v>
      </c>
      <c r="I54" s="49" cm="1">
        <f t="array" ref="I54">WasteSolid_Equations.VEERG_10_1_1_1__2_MassOfWasteFromVolume(G54,H54)</f>
        <v>0</v>
      </c>
    </row>
    <row r="55" spans="1:9" ht="20.100000000000001" customHeight="1" x14ac:dyDescent="0.25">
      <c r="A55"/>
    </row>
    <row r="56" spans="1:9" ht="20.100000000000001" customHeight="1" x14ac:dyDescent="0.25">
      <c r="A56"/>
      <c r="D56" s="55" t="s">
        <v>792</v>
      </c>
    </row>
    <row r="57" spans="1:9" ht="20.100000000000001" customHeight="1" x14ac:dyDescent="0.25">
      <c r="A57"/>
      <c r="D57" s="56" t="s">
        <v>793</v>
      </c>
    </row>
    <row r="58" spans="1:9" ht="20.100000000000001" customHeight="1" x14ac:dyDescent="0.25">
      <c r="A58"/>
      <c r="D58" s="46" t="s">
        <v>787</v>
      </c>
      <c r="E58" s="46" t="s">
        <v>788</v>
      </c>
      <c r="F58" s="46"/>
      <c r="G58" s="46" t="s">
        <v>789</v>
      </c>
      <c r="H58" s="57" t="s">
        <v>790</v>
      </c>
      <c r="I58" s="57" t="s">
        <v>791</v>
      </c>
    </row>
    <row r="59" spans="1:9" ht="20.100000000000001" customHeight="1" x14ac:dyDescent="0.25">
      <c r="A59"/>
      <c r="D59" s="166" t="str" cm="1">
        <f t="array" ref="D59:D92">Table_SourceData_WasteSolid_WasteTreatmentEFs[Treatment type t]</f>
        <v>Landfill</v>
      </c>
      <c r="E59" s="170" t="str" cm="1">
        <f t="array" ref="E59:E92">Table_SourceData_WasteSolid_WasteTreatmentEFs[Waste type w]</f>
        <v>Food waste (including animal carcasses, spoiled animal feed or crop)</v>
      </c>
      <c r="F59" s="208"/>
      <c r="G59" s="49" cm="1">
        <f t="array" ref="G59">WasteSolid_InputFunctions.WasteSolid_InputFunctions_SumWasteTreatment(Table_Input_SolidWaste[Treatment type (select)],Table_Input_SolidWaste[Waste type (select)],Table_Input_SolidWaste[Treatment location (select)],Table_Input_SolidWaste[Amount unit (select)],Table_Input_SolidWaste[Amount],D59,E59, "Removed and treated off-site", "cubic metres m3")</f>
        <v>50</v>
      </c>
      <c r="H59" s="49" cm="1">
        <f t="array" ref="H59">Common_InputFunctions.Utility_LookupValueInTableNumber(E59,Table_SourceData_WasteSolid_VolumeToMassConversion[Waste type w],Table_SourceData_WasteSolid_VolumeToMassConversion[VTMw])</f>
        <v>0.5</v>
      </c>
      <c r="I59" s="49" cm="1">
        <f t="array" ref="I59">WasteSolid_Equations.VEERG_10_1_1_1__2_MassOfWasteFromVolume(G59,H59)</f>
        <v>25</v>
      </c>
    </row>
    <row r="60" spans="1:9" ht="20.100000000000001" customHeight="1" x14ac:dyDescent="0.25">
      <c r="A60"/>
      <c r="D60" s="166" t="str">
        <v>Landfill</v>
      </c>
      <c r="E60" s="170" t="str">
        <v>Paper and cardboard</v>
      </c>
      <c r="F60" s="208"/>
      <c r="G60" s="49" cm="1">
        <f t="array" ref="G60">WasteSolid_InputFunctions.WasteSolid_InputFunctions_SumWasteTreatment(Table_Input_SolidWaste[Treatment type (select)],Table_Input_SolidWaste[Waste type (select)],Table_Input_SolidWaste[Treatment location (select)],Table_Input_SolidWaste[Amount unit (select)],Table_Input_SolidWaste[Amount],D60,E60, "Removed and treated off-site", "cubic metres m3")</f>
        <v>50</v>
      </c>
      <c r="H60" s="49" cm="1">
        <f t="array" ref="H60">Common_InputFunctions.Utility_LookupValueInTableNumber(E60,Table_SourceData_WasteSolid_VolumeToMassConversion[Waste type w],Table_SourceData_WasteSolid_VolumeToMassConversion[VTMw])</f>
        <v>0.09</v>
      </c>
      <c r="I60" s="49" cm="1">
        <f t="array" ref="I60">WasteSolid_Equations.VEERG_10_1_1_1__2_MassOfWasteFromVolume(G60,H60)</f>
        <v>4.5</v>
      </c>
    </row>
    <row r="61" spans="1:9" ht="20.100000000000001" customHeight="1" x14ac:dyDescent="0.25">
      <c r="A61"/>
      <c r="D61" s="166" t="str">
        <v>Landfill</v>
      </c>
      <c r="E61" s="170" t="str">
        <v>Green waste (including crop residues or prunings)</v>
      </c>
      <c r="F61" s="208"/>
      <c r="G61" s="49" cm="1">
        <f t="array" ref="G61">WasteSolid_InputFunctions.WasteSolid_InputFunctions_SumWasteTreatment(Table_Input_SolidWaste[Treatment type (select)],Table_Input_SolidWaste[Waste type (select)],Table_Input_SolidWaste[Treatment location (select)],Table_Input_SolidWaste[Amount unit (select)],Table_Input_SolidWaste[Amount],D61,E61, "Removed and treated off-site", "cubic metres m3")</f>
        <v>50</v>
      </c>
      <c r="H61" s="49" cm="1">
        <f t="array" ref="H61">Common_InputFunctions.Utility_LookupValueInTableNumber(E61,Table_SourceData_WasteSolid_VolumeToMassConversion[Waste type w],Table_SourceData_WasteSolid_VolumeToMassConversion[VTMw])</f>
        <v>0.24</v>
      </c>
      <c r="I61" s="49" cm="1">
        <f t="array" ref="I61">WasteSolid_Equations.VEERG_10_1_1_1__2_MassOfWasteFromVolume(G61,H61)</f>
        <v>12</v>
      </c>
    </row>
    <row r="62" spans="1:9" ht="20.100000000000001" customHeight="1" x14ac:dyDescent="0.25">
      <c r="A62"/>
      <c r="D62" s="166" t="str">
        <v>Landfill</v>
      </c>
      <c r="E62" s="170" t="str">
        <v>Wood</v>
      </c>
      <c r="F62" s="208"/>
      <c r="G62" s="49" cm="1">
        <f t="array" ref="G62">WasteSolid_InputFunctions.WasteSolid_InputFunctions_SumWasteTreatment(Table_Input_SolidWaste[Treatment type (select)],Table_Input_SolidWaste[Waste type (select)],Table_Input_SolidWaste[Treatment location (select)],Table_Input_SolidWaste[Amount unit (select)],Table_Input_SolidWaste[Amount],D62,E62, "Removed and treated off-site", "cubic metres m3")</f>
        <v>0</v>
      </c>
      <c r="H62" s="49" cm="1">
        <f t="array" ref="H62">Common_InputFunctions.Utility_LookupValueInTableNumber(E62,Table_SourceData_WasteSolid_VolumeToMassConversion[Waste type w],Table_SourceData_WasteSolid_VolumeToMassConversion[VTMw])</f>
        <v>0.15</v>
      </c>
      <c r="I62" s="49" cm="1">
        <f t="array" ref="I62">WasteSolid_Equations.VEERG_10_1_1_1__2_MassOfWasteFromVolume(G62,H62)</f>
        <v>0</v>
      </c>
    </row>
    <row r="63" spans="1:9" ht="20.100000000000001" customHeight="1" x14ac:dyDescent="0.25">
      <c r="A63"/>
      <c r="D63" s="166" t="str">
        <v>Landfill</v>
      </c>
      <c r="E63" s="170" t="str">
        <v>Textiles</v>
      </c>
      <c r="F63" s="208"/>
      <c r="G63" s="49" cm="1">
        <f t="array" ref="G63">WasteSolid_InputFunctions.WasteSolid_InputFunctions_SumWasteTreatment(Table_Input_SolidWaste[Treatment type (select)],Table_Input_SolidWaste[Waste type (select)],Table_Input_SolidWaste[Treatment location (select)],Table_Input_SolidWaste[Amount unit (select)],Table_Input_SolidWaste[Amount],D63,E63, "Removed and treated off-site", "cubic metres m3")</f>
        <v>0</v>
      </c>
      <c r="H63" s="49" cm="1">
        <f t="array" ref="H63">Common_InputFunctions.Utility_LookupValueInTableNumber(E63,Table_SourceData_WasteSolid_VolumeToMassConversion[Waste type w],Table_SourceData_WasteSolid_VolumeToMassConversion[VTMw])</f>
        <v>0.14000000000000001</v>
      </c>
      <c r="I63" s="49" cm="1">
        <f t="array" ref="I63">WasteSolid_Equations.VEERG_10_1_1_1__2_MassOfWasteFromVolume(G63,H63)</f>
        <v>0</v>
      </c>
    </row>
    <row r="64" spans="1:9" ht="20.100000000000001" customHeight="1" x14ac:dyDescent="0.25">
      <c r="A64"/>
      <c r="D64" s="166" t="str">
        <v>Landfill</v>
      </c>
      <c r="E64" s="170" t="str">
        <v>Sludge</v>
      </c>
      <c r="F64" s="208"/>
      <c r="G64" s="49" cm="1">
        <f t="array" ref="G64">WasteSolid_InputFunctions.WasteSolid_InputFunctions_SumWasteTreatment(Table_Input_SolidWaste[Treatment type (select)],Table_Input_SolidWaste[Waste type (select)],Table_Input_SolidWaste[Treatment location (select)],Table_Input_SolidWaste[Amount unit (select)],Table_Input_SolidWaste[Amount],D64,E64, "Removed and treated off-site", "cubic metres m3")</f>
        <v>0</v>
      </c>
      <c r="H64" s="49" cm="1">
        <f t="array" ref="H64">Common_InputFunctions.Utility_LookupValueInTableNumber(E64,Table_SourceData_WasteSolid_VolumeToMassConversion[Waste type w],Table_SourceData_WasteSolid_VolumeToMassConversion[VTMw])</f>
        <v>0.72</v>
      </c>
      <c r="I64" s="49" cm="1">
        <f t="array" ref="I64">WasteSolid_Equations.VEERG_10_1_1_1__2_MassOfWasteFromVolume(G64,H64)</f>
        <v>0</v>
      </c>
    </row>
    <row r="65" spans="1:9" ht="20.100000000000001" customHeight="1" x14ac:dyDescent="0.25">
      <c r="A65"/>
      <c r="D65" s="166" t="str">
        <v>Landfill</v>
      </c>
      <c r="E65" s="170" t="str">
        <v>Rubber and leather</v>
      </c>
      <c r="F65" s="208"/>
      <c r="G65" s="49" cm="1">
        <f t="array" ref="G65">WasteSolid_InputFunctions.WasteSolid_InputFunctions_SumWasteTreatment(Table_Input_SolidWaste[Treatment type (select)],Table_Input_SolidWaste[Waste type (select)],Table_Input_SolidWaste[Treatment location (select)],Table_Input_SolidWaste[Amount unit (select)],Table_Input_SolidWaste[Amount],D65,E65, "Removed and treated off-site", "cubic metres m3")</f>
        <v>0</v>
      </c>
      <c r="H65" s="49" cm="1">
        <f t="array" ref="H65">Common_InputFunctions.Utility_LookupValueInTableNumber(E65,Table_SourceData_WasteSolid_VolumeToMassConversion[Waste type w],Table_SourceData_WasteSolid_VolumeToMassConversion[VTMw])</f>
        <v>0.14000000000000001</v>
      </c>
      <c r="I65" s="49" cm="1">
        <f t="array" ref="I65">WasteSolid_Equations.VEERG_10_1_1_1__2_MassOfWasteFromVolume(G65,H65)</f>
        <v>0</v>
      </c>
    </row>
    <row r="66" spans="1:9" ht="20.100000000000001" customHeight="1" x14ac:dyDescent="0.25">
      <c r="A66"/>
      <c r="D66" s="166" t="str">
        <v>Landfill</v>
      </c>
      <c r="E66" s="170" t="str">
        <v>Inert waste (including concrete, metal, plastic or glass)</v>
      </c>
      <c r="F66" s="208"/>
      <c r="G66" s="49" cm="1">
        <f t="array" ref="G66">WasteSolid_InputFunctions.WasteSolid_InputFunctions_SumWasteTreatment(Table_Input_SolidWaste[Treatment type (select)],Table_Input_SolidWaste[Waste type (select)],Table_Input_SolidWaste[Treatment location (select)],Table_Input_SolidWaste[Amount unit (select)],Table_Input_SolidWaste[Amount],D66,E66, "Removed and treated off-site", "cubic metres m3")</f>
        <v>0</v>
      </c>
      <c r="H66" s="49" cm="1">
        <f t="array" ref="H66">Common_InputFunctions.Utility_LookupValueInTableNumber(E66,Table_SourceData_WasteSolid_VolumeToMassConversion[Waste type w],Table_SourceData_WasteSolid_VolumeToMassConversion[VTMw])</f>
        <v>0.42</v>
      </c>
      <c r="I66" s="49" cm="1">
        <f t="array" ref="I66">WasteSolid_Equations.VEERG_10_1_1_1__2_MassOfWasteFromVolume(G66,H66)</f>
        <v>0</v>
      </c>
    </row>
    <row r="67" spans="1:9" ht="20.100000000000001" customHeight="1" x14ac:dyDescent="0.25">
      <c r="A67"/>
      <c r="D67" s="166" t="str">
        <v>Landfill</v>
      </c>
      <c r="E67" s="170" t="str">
        <v>Municipal solid waste</v>
      </c>
      <c r="F67" s="208"/>
      <c r="G67" s="49" cm="1">
        <f t="array" ref="G67">WasteSolid_InputFunctions.WasteSolid_InputFunctions_SumWasteTreatment(Table_Input_SolidWaste[Treatment type (select)],Table_Input_SolidWaste[Waste type (select)],Table_Input_SolidWaste[Treatment location (select)],Table_Input_SolidWaste[Amount unit (select)],Table_Input_SolidWaste[Amount],D67,E67, "Removed and treated off-site", "cubic metres m3")</f>
        <v>0</v>
      </c>
      <c r="H67" s="49" cm="1">
        <f t="array" ref="H67">Common_InputFunctions.Utility_LookupValueInTableNumber(E67,Table_SourceData_WasteSolid_VolumeToMassConversion[Waste type w],Table_SourceData_WasteSolid_VolumeToMassConversion[VTMw])</f>
        <v>0.36</v>
      </c>
      <c r="I67" s="49" cm="1">
        <f t="array" ref="I67">WasteSolid_Equations.VEERG_10_1_1_1__2_MassOfWasteFromVolume(G67,H67)</f>
        <v>0</v>
      </c>
    </row>
    <row r="68" spans="1:9" ht="20.100000000000001" customHeight="1" x14ac:dyDescent="0.25">
      <c r="A68"/>
      <c r="D68" s="166" t="str">
        <v>Landfill</v>
      </c>
      <c r="E68" s="170" t="str">
        <v>Commercial and industrial waste</v>
      </c>
      <c r="F68" s="208"/>
      <c r="G68" s="49" cm="1">
        <f t="array" ref="G68">WasteSolid_InputFunctions.WasteSolid_InputFunctions_SumWasteTreatment(Table_Input_SolidWaste[Treatment type (select)],Table_Input_SolidWaste[Waste type (select)],Table_Input_SolidWaste[Treatment location (select)],Table_Input_SolidWaste[Amount unit (select)],Table_Input_SolidWaste[Amount],D68,E68, "Removed and treated off-site", "cubic metres m3")</f>
        <v>0</v>
      </c>
      <c r="H68" s="49" cm="1">
        <f t="array" ref="H68">Common_InputFunctions.Utility_LookupValueInTableNumber(E68,Table_SourceData_WasteSolid_VolumeToMassConversion[Waste type w],Table_SourceData_WasteSolid_VolumeToMassConversion[VTMw])</f>
        <v>0.33</v>
      </c>
      <c r="I68" s="49" cm="1">
        <f t="array" ref="I68">WasteSolid_Equations.VEERG_10_1_1_1__2_MassOfWasteFromVolume(G68,H68)</f>
        <v>0</v>
      </c>
    </row>
    <row r="69" spans="1:9" ht="20.100000000000001" customHeight="1" x14ac:dyDescent="0.25">
      <c r="A69"/>
      <c r="D69" s="166" t="str">
        <v>Landfill</v>
      </c>
      <c r="E69" s="170" t="str">
        <v>Construction and demolition waste</v>
      </c>
      <c r="F69" s="208"/>
      <c r="G69" s="49" cm="1">
        <f t="array" ref="G69">WasteSolid_InputFunctions.WasteSolid_InputFunctions_SumWasteTreatment(Table_Input_SolidWaste[Treatment type (select)],Table_Input_SolidWaste[Waste type (select)],Table_Input_SolidWaste[Treatment location (select)],Table_Input_SolidWaste[Amount unit (select)],Table_Input_SolidWaste[Amount],D69,E69, "Removed and treated off-site", "cubic metres m3")</f>
        <v>0</v>
      </c>
      <c r="H69" s="49" cm="1">
        <f t="array" ref="H69">Common_InputFunctions.Utility_LookupValueInTableNumber(E69,Table_SourceData_WasteSolid_VolumeToMassConversion[Waste type w],Table_SourceData_WasteSolid_VolumeToMassConversion[VTMw])</f>
        <v>0.39</v>
      </c>
      <c r="I69" s="49" cm="1">
        <f t="array" ref="I69">WasteSolid_Equations.VEERG_10_1_1_1__2_MassOfWasteFromVolume(G69,H69)</f>
        <v>0</v>
      </c>
    </row>
    <row r="70" spans="1:9" ht="20.100000000000001" customHeight="1" x14ac:dyDescent="0.25">
      <c r="A70"/>
      <c r="D70" s="166" t="str">
        <v>Incineration</v>
      </c>
      <c r="E70" s="170" t="str">
        <v>Food waste, green waste, wood, sludge</v>
      </c>
      <c r="F70" s="208"/>
      <c r="G70" s="49" t="s">
        <v>838</v>
      </c>
      <c r="H70" s="49" t="s">
        <v>838</v>
      </c>
      <c r="I70" s="49" t="s">
        <v>838</v>
      </c>
    </row>
    <row r="71" spans="1:9" ht="20.100000000000001" customHeight="1" x14ac:dyDescent="0.25">
      <c r="A71"/>
      <c r="D71" s="166" t="str">
        <v>Incineration</v>
      </c>
      <c r="E71" s="170" t="str">
        <v>Food waste (including animal carcasses, spoiled animal feed or crop)</v>
      </c>
      <c r="F71" s="208"/>
      <c r="G71" s="49" cm="1">
        <f t="array" ref="G71">WasteSolid_InputFunctions.WasteSolid_InputFunctions_SumWasteTreatment(Table_Input_SolidWaste[Treatment type (select)],Table_Input_SolidWaste[Waste type (select)],Table_Input_SolidWaste[Treatment location (select)],Table_Input_SolidWaste[Amount unit (select)],Table_Input_SolidWaste[Amount],D71,E71, "Removed and treated off-site", "cubic metres m3")</f>
        <v>0</v>
      </c>
      <c r="H71" s="49" cm="1">
        <f t="array" ref="H71">Common_InputFunctions.Utility_LookupValueInTableNumber(E71,Table_SourceData_WasteSolid_VolumeToMassConversion[Waste type w],Table_SourceData_WasteSolid_VolumeToMassConversion[VTMw])</f>
        <v>0.5</v>
      </c>
      <c r="I71" s="49" cm="1">
        <f t="array" ref="I71">WasteSolid_Equations.VEERG_10_1_1_1__2_MassOfWasteFromVolume(G71,H71)</f>
        <v>0</v>
      </c>
    </row>
    <row r="72" spans="1:9" ht="20.100000000000001" customHeight="1" x14ac:dyDescent="0.25">
      <c r="A72"/>
      <c r="D72" s="166" t="str">
        <v>Incineration</v>
      </c>
      <c r="E72" s="170" t="str">
        <v>Green waste (including crop residues or prunings)</v>
      </c>
      <c r="F72" s="208"/>
      <c r="G72" s="49" cm="1">
        <f t="array" ref="G72">WasteSolid_InputFunctions.WasteSolid_InputFunctions_SumWasteTreatment(Table_Input_SolidWaste[Treatment type (select)],Table_Input_SolidWaste[Waste type (select)],Table_Input_SolidWaste[Treatment location (select)],Table_Input_SolidWaste[Amount unit (select)],Table_Input_SolidWaste[Amount],D72,E72, "Removed and treated off-site", "cubic metres m3")</f>
        <v>50</v>
      </c>
      <c r="H72" s="49" cm="1">
        <f t="array" ref="H72">Common_InputFunctions.Utility_LookupValueInTableNumber(E72,Table_SourceData_WasteSolid_VolumeToMassConversion[Waste type w],Table_SourceData_WasteSolid_VolumeToMassConversion[VTMw])</f>
        <v>0.24</v>
      </c>
      <c r="I72" s="49" cm="1">
        <f t="array" ref="I72">WasteSolid_Equations.VEERG_10_1_1_1__2_MassOfWasteFromVolume(G72,H72)</f>
        <v>12</v>
      </c>
    </row>
    <row r="73" spans="1:9" ht="20.100000000000001" customHeight="1" x14ac:dyDescent="0.25">
      <c r="A73"/>
      <c r="D73" s="166" t="str">
        <v>Incineration</v>
      </c>
      <c r="E73" s="170" t="str">
        <v>Wood</v>
      </c>
      <c r="F73" s="208"/>
      <c r="G73" s="49" cm="1">
        <f t="array" ref="G73">WasteSolid_InputFunctions.WasteSolid_InputFunctions_SumWasteTreatment(Table_Input_SolidWaste[Treatment type (select)],Table_Input_SolidWaste[Waste type (select)],Table_Input_SolidWaste[Treatment location (select)],Table_Input_SolidWaste[Amount unit (select)],Table_Input_SolidWaste[Amount],D73,E73, "Removed and treated off-site", "cubic metres m3")</f>
        <v>0</v>
      </c>
      <c r="H73" s="49" cm="1">
        <f t="array" ref="H73">Common_InputFunctions.Utility_LookupValueInTableNumber(E73,Table_SourceData_WasteSolid_VolumeToMassConversion[Waste type w],Table_SourceData_WasteSolid_VolumeToMassConversion[VTMw])</f>
        <v>0.15</v>
      </c>
      <c r="I73" s="49" cm="1">
        <f t="array" ref="I73">WasteSolid_Equations.VEERG_10_1_1_1__2_MassOfWasteFromVolume(G73,H73)</f>
        <v>0</v>
      </c>
    </row>
    <row r="74" spans="1:9" ht="20.100000000000001" customHeight="1" x14ac:dyDescent="0.25">
      <c r="A74"/>
      <c r="D74" s="166" t="str">
        <v>Incineration</v>
      </c>
      <c r="E74" s="170" t="str">
        <v>Sludge</v>
      </c>
      <c r="F74" s="208"/>
      <c r="G74" s="49" cm="1">
        <f t="array" ref="G74">WasteSolid_InputFunctions.WasteSolid_InputFunctions_SumWasteTreatment(Table_Input_SolidWaste[Treatment type (select)],Table_Input_SolidWaste[Waste type (select)],Table_Input_SolidWaste[Treatment location (select)],Table_Input_SolidWaste[Amount unit (select)],Table_Input_SolidWaste[Amount],D74,E74, "Removed and treated off-site", "cubic metres m3")</f>
        <v>0</v>
      </c>
      <c r="H74" s="49" cm="1">
        <f t="array" ref="H74">Common_InputFunctions.Utility_LookupValueInTableNumber(E74,Table_SourceData_WasteSolid_VolumeToMassConversion[Waste type w],Table_SourceData_WasteSolid_VolumeToMassConversion[VTMw])</f>
        <v>0.72</v>
      </c>
      <c r="I74" s="49" cm="1">
        <f t="array" ref="I74">WasteSolid_Equations.VEERG_10_1_1_1__2_MassOfWasteFromVolume(G74,H74)</f>
        <v>0</v>
      </c>
    </row>
    <row r="75" spans="1:9" ht="20.100000000000001" customHeight="1" x14ac:dyDescent="0.25">
      <c r="A75"/>
      <c r="D75" s="166" t="str">
        <v>Incineration</v>
      </c>
      <c r="E75" s="170" t="str">
        <v>Paper and cardboard</v>
      </c>
      <c r="F75" s="208"/>
      <c r="G75" s="49" cm="1">
        <f t="array" ref="G75">WasteSolid_InputFunctions.WasteSolid_InputFunctions_SumWasteTreatment(Table_Input_SolidWaste[Treatment type (select)],Table_Input_SolidWaste[Waste type (select)],Table_Input_SolidWaste[Treatment location (select)],Table_Input_SolidWaste[Amount unit (select)],Table_Input_SolidWaste[Amount],D75,E75, "Removed and treated off-site", "cubic metres m3")</f>
        <v>0</v>
      </c>
      <c r="H75" s="49" cm="1">
        <f t="array" ref="H75">Common_InputFunctions.Utility_LookupValueInTableNumber(E75,Table_SourceData_WasteSolid_VolumeToMassConversion[Waste type w],Table_SourceData_WasteSolid_VolumeToMassConversion[VTMw])</f>
        <v>0.09</v>
      </c>
      <c r="I75" s="49" cm="1">
        <f t="array" ref="I75">WasteSolid_Equations.VEERG_10_1_1_1__2_MassOfWasteFromVolume(G75,H75)</f>
        <v>0</v>
      </c>
    </row>
    <row r="76" spans="1:9" ht="20.100000000000001" customHeight="1" x14ac:dyDescent="0.25">
      <c r="A76"/>
      <c r="D76" s="166" t="str">
        <v>Incineration</v>
      </c>
      <c r="E76" s="170" t="str">
        <v>Textiles</v>
      </c>
      <c r="F76" s="208"/>
      <c r="G76" s="49" cm="1">
        <f t="array" ref="G76">WasteSolid_InputFunctions.WasteSolid_InputFunctions_SumWasteTreatment(Table_Input_SolidWaste[Treatment type (select)],Table_Input_SolidWaste[Waste type (select)],Table_Input_SolidWaste[Treatment location (select)],Table_Input_SolidWaste[Amount unit (select)],Table_Input_SolidWaste[Amount],D76,E76, "Removed and treated off-site", "cubic metres m3")</f>
        <v>0</v>
      </c>
      <c r="H76" s="49" cm="1">
        <f t="array" ref="H76">Common_InputFunctions.Utility_LookupValueInTableNumber(E76,Table_SourceData_WasteSolid_VolumeToMassConversion[Waste type w],Table_SourceData_WasteSolid_VolumeToMassConversion[VTMw])</f>
        <v>0.14000000000000001</v>
      </c>
      <c r="I76" s="49" cm="1">
        <f t="array" ref="I76">WasteSolid_Equations.VEERG_10_1_1_1__2_MassOfWasteFromVolume(G76,H76)</f>
        <v>0</v>
      </c>
    </row>
    <row r="77" spans="1:9" ht="20.100000000000001" customHeight="1" x14ac:dyDescent="0.25">
      <c r="A77"/>
      <c r="D77" s="166" t="str">
        <v>Incineration</v>
      </c>
      <c r="E77" s="170" t="str">
        <v>Rubber and leather</v>
      </c>
      <c r="F77" s="208"/>
      <c r="G77" s="49" cm="1">
        <f t="array" ref="G77">WasteSolid_InputFunctions.WasteSolid_InputFunctions_SumWasteTreatment(Table_Input_SolidWaste[Treatment type (select)],Table_Input_SolidWaste[Waste type (select)],Table_Input_SolidWaste[Treatment location (select)],Table_Input_SolidWaste[Amount unit (select)],Table_Input_SolidWaste[Amount],D77,E77, "Removed and treated off-site", "cubic metres m3")</f>
        <v>0</v>
      </c>
      <c r="H77" s="49" cm="1">
        <f t="array" ref="H77">Common_InputFunctions.Utility_LookupValueInTableNumber(E77,Table_SourceData_WasteSolid_VolumeToMassConversion[Waste type w],Table_SourceData_WasteSolid_VolumeToMassConversion[VTMw])</f>
        <v>0.14000000000000001</v>
      </c>
      <c r="I77" s="49" cm="1">
        <f t="array" ref="I77">WasteSolid_Equations.VEERG_10_1_1_1__2_MassOfWasteFromVolume(G77,H77)</f>
        <v>0</v>
      </c>
    </row>
    <row r="78" spans="1:9" ht="20.100000000000001" customHeight="1" x14ac:dyDescent="0.25">
      <c r="A78"/>
      <c r="D78" s="166" t="str">
        <v>Incineration</v>
      </c>
      <c r="E78" s="170" t="str">
        <v>Inert waste (including concrete, metal, plastic or glass)</v>
      </c>
      <c r="F78" s="208"/>
      <c r="G78" s="49" cm="1">
        <f t="array" ref="G78">WasteSolid_InputFunctions.WasteSolid_InputFunctions_SumWasteTreatment(Table_Input_SolidWaste[Treatment type (select)],Table_Input_SolidWaste[Waste type (select)],Table_Input_SolidWaste[Treatment location (select)],Table_Input_SolidWaste[Amount unit (select)],Table_Input_SolidWaste[Amount],D78,E78, "Removed and treated off-site", "cubic metres m3")</f>
        <v>0</v>
      </c>
      <c r="H78" s="49" cm="1">
        <f t="array" ref="H78">Common_InputFunctions.Utility_LookupValueInTableNumber(E78,Table_SourceData_WasteSolid_VolumeToMassConversion[Waste type w],Table_SourceData_WasteSolid_VolumeToMassConversion[VTMw])</f>
        <v>0.42</v>
      </c>
      <c r="I78" s="49" cm="1">
        <f t="array" ref="I78">WasteSolid_Equations.VEERG_10_1_1_1__2_MassOfWasteFromVolume(G78,H78)</f>
        <v>0</v>
      </c>
    </row>
    <row r="79" spans="1:9" ht="20.100000000000001" customHeight="1" x14ac:dyDescent="0.25">
      <c r="A79"/>
      <c r="D79" s="166" t="str">
        <v>Incineration</v>
      </c>
      <c r="E79" s="170" t="str">
        <v>Municipal solid waste</v>
      </c>
      <c r="F79" s="165"/>
      <c r="G79" s="49" cm="1">
        <f t="array" ref="G79">WasteSolid_InputFunctions.WasteSolid_InputFunctions_SumWasteTreatment(Table_Input_SolidWaste[Treatment type (select)],Table_Input_SolidWaste[Waste type (select)],Table_Input_SolidWaste[Treatment location (select)],Table_Input_SolidWaste[Amount unit (select)],Table_Input_SolidWaste[Amount],D79,E79, "Removed and treated off-site", "cubic metres m3")</f>
        <v>0</v>
      </c>
      <c r="H79" s="49" cm="1">
        <f t="array" ref="H79">Common_InputFunctions.Utility_LookupValueInTableNumber(E79,Table_SourceData_WasteSolid_VolumeToMassConversion[Waste type w],Table_SourceData_WasteSolid_VolumeToMassConversion[VTMw])</f>
        <v>0.36</v>
      </c>
      <c r="I79" s="49" cm="1">
        <f t="array" ref="I79">WasteSolid_Equations.VEERG_10_1_1_1__2_MassOfWasteFromVolume(G79,H79)</f>
        <v>0</v>
      </c>
    </row>
    <row r="80" spans="1:9" ht="20.100000000000001" customHeight="1" x14ac:dyDescent="0.25">
      <c r="A80"/>
      <c r="D80" s="166" t="str">
        <v>Incineration</v>
      </c>
      <c r="E80" s="170" t="str">
        <v>Commercial and industrial waste</v>
      </c>
      <c r="F80" s="165"/>
      <c r="G80" s="49" cm="1">
        <f t="array" ref="G80">WasteSolid_InputFunctions.WasteSolid_InputFunctions_SumWasteTreatment(Table_Input_SolidWaste[Treatment type (select)],Table_Input_SolidWaste[Waste type (select)],Table_Input_SolidWaste[Treatment location (select)],Table_Input_SolidWaste[Amount unit (select)],Table_Input_SolidWaste[Amount],D80,E80, "Removed and treated off-site", "cubic metres m3")</f>
        <v>0</v>
      </c>
      <c r="H80" s="49" cm="1">
        <f t="array" ref="H80">Common_InputFunctions.Utility_LookupValueInTableNumber(E80,Table_SourceData_WasteSolid_VolumeToMassConversion[Waste type w],Table_SourceData_WasteSolid_VolumeToMassConversion[VTMw])</f>
        <v>0.33</v>
      </c>
      <c r="I80" s="49" cm="1">
        <f t="array" ref="I80">WasteSolid_Equations.VEERG_10_1_1_1__2_MassOfWasteFromVolume(G80,H80)</f>
        <v>0</v>
      </c>
    </row>
    <row r="81" spans="1:12" ht="20.100000000000001" customHeight="1" x14ac:dyDescent="0.25">
      <c r="A81"/>
      <c r="D81" s="166" t="str">
        <v>Composting</v>
      </c>
      <c r="E81" s="170" t="str">
        <v>All organic waste</v>
      </c>
      <c r="F81" s="165"/>
      <c r="G81" s="49" t="s">
        <v>838</v>
      </c>
      <c r="H81" s="49" t="s">
        <v>838</v>
      </c>
      <c r="I81" s="49" t="s">
        <v>838</v>
      </c>
    </row>
    <row r="82" spans="1:12" ht="20.100000000000001" customHeight="1" x14ac:dyDescent="0.25">
      <c r="A82"/>
      <c r="D82" s="166" t="str">
        <v>Composting</v>
      </c>
      <c r="E82" s="170" t="str">
        <v>Food waste (including animal carcasses, spoiled animal feed or crop)</v>
      </c>
      <c r="F82" s="165"/>
      <c r="G82" s="49" cm="1">
        <f t="array" ref="G82">WasteSolid_InputFunctions.WasteSolid_InputFunctions_SumWasteTreatment(Table_Input_SolidWaste[Treatment type (select)],Table_Input_SolidWaste[Waste type (select)],Table_Input_SolidWaste[Treatment location (select)],Table_Input_SolidWaste[Amount unit (select)],Table_Input_SolidWaste[Amount],D82,E82, "Removed and treated off-site", "cubic metres m3")</f>
        <v>0</v>
      </c>
      <c r="H82" s="49" cm="1">
        <f t="array" ref="H82">Common_InputFunctions.Utility_LookupValueInTableNumber(E82,Table_SourceData_WasteSolid_VolumeToMassConversion[Waste type w],Table_SourceData_WasteSolid_VolumeToMassConversion[VTMw])</f>
        <v>0.5</v>
      </c>
      <c r="I82" s="49" cm="1">
        <f t="array" ref="I82">WasteSolid_Equations.VEERG_10_1_1_1__2_MassOfWasteFromVolume(G82,H82)</f>
        <v>0</v>
      </c>
    </row>
    <row r="83" spans="1:12" ht="20.100000000000001" customHeight="1" x14ac:dyDescent="0.25">
      <c r="A83"/>
      <c r="D83" s="166" t="str">
        <v>Composting</v>
      </c>
      <c r="E83" s="170" t="str">
        <v>Green waste (including crop residues or prunings)</v>
      </c>
      <c r="F83" s="165"/>
      <c r="G83" s="49" cm="1">
        <f t="array" ref="G83">WasteSolid_InputFunctions.WasteSolid_InputFunctions_SumWasteTreatment(Table_Input_SolidWaste[Treatment type (select)],Table_Input_SolidWaste[Waste type (select)],Table_Input_SolidWaste[Treatment location (select)],Table_Input_SolidWaste[Amount unit (select)],Table_Input_SolidWaste[Amount],D83,E83, "Removed and treated off-site", "cubic metres m3")</f>
        <v>0</v>
      </c>
      <c r="H83" s="49" cm="1">
        <f t="array" ref="H83">Common_InputFunctions.Utility_LookupValueInTableNumber(E83,Table_SourceData_WasteSolid_VolumeToMassConversion[Waste type w],Table_SourceData_WasteSolid_VolumeToMassConversion[VTMw])</f>
        <v>0.24</v>
      </c>
      <c r="I83" s="49" cm="1">
        <f t="array" ref="I83">WasteSolid_Equations.VEERG_10_1_1_1__2_MassOfWasteFromVolume(G83,H83)</f>
        <v>0</v>
      </c>
    </row>
    <row r="84" spans="1:12" ht="20.100000000000001" customHeight="1" x14ac:dyDescent="0.25">
      <c r="A84"/>
      <c r="D84" s="166" t="str">
        <v>Composting</v>
      </c>
      <c r="E84" s="170" t="str">
        <v>Wood</v>
      </c>
      <c r="F84" s="165"/>
      <c r="G84" s="49" cm="1">
        <f t="array" ref="G84">WasteSolid_InputFunctions.WasteSolid_InputFunctions_SumWasteTreatment(Table_Input_SolidWaste[Treatment type (select)],Table_Input_SolidWaste[Waste type (select)],Table_Input_SolidWaste[Treatment location (select)],Table_Input_SolidWaste[Amount unit (select)],Table_Input_SolidWaste[Amount],D84,E84, "Removed and treated off-site", "cubic metres m3")</f>
        <v>0</v>
      </c>
      <c r="H84" s="49" cm="1">
        <f t="array" ref="H84">Common_InputFunctions.Utility_LookupValueInTableNumber(E84,Table_SourceData_WasteSolid_VolumeToMassConversion[Waste type w],Table_SourceData_WasteSolid_VolumeToMassConversion[VTMw])</f>
        <v>0.15</v>
      </c>
      <c r="I84" s="49" cm="1">
        <f t="array" ref="I84">WasteSolid_Equations.VEERG_10_1_1_1__2_MassOfWasteFromVolume(G84,H84)</f>
        <v>0</v>
      </c>
    </row>
    <row r="85" spans="1:12" ht="20.100000000000001" customHeight="1" x14ac:dyDescent="0.25">
      <c r="A85"/>
      <c r="D85" s="166" t="str">
        <v>Composting</v>
      </c>
      <c r="E85" s="170" t="str">
        <v>Sludge</v>
      </c>
      <c r="F85" s="165"/>
      <c r="G85" s="49" cm="1">
        <f t="array" ref="G85">WasteSolid_InputFunctions.WasteSolid_InputFunctions_SumWasteTreatment(Table_Input_SolidWaste[Treatment type (select)],Table_Input_SolidWaste[Waste type (select)],Table_Input_SolidWaste[Treatment location (select)],Table_Input_SolidWaste[Amount unit (select)],Table_Input_SolidWaste[Amount],D85,E85, "Removed and treated off-site", "cubic metres m3")</f>
        <v>0</v>
      </c>
      <c r="H85" s="49" cm="1">
        <f t="array" ref="H85">Common_InputFunctions.Utility_LookupValueInTableNumber(E85,Table_SourceData_WasteSolid_VolumeToMassConversion[Waste type w],Table_SourceData_WasteSolid_VolumeToMassConversion[VTMw])</f>
        <v>0.72</v>
      </c>
      <c r="I85" s="49" cm="1">
        <f t="array" ref="I85">WasteSolid_Equations.VEERG_10_1_1_1__2_MassOfWasteFromVolume(G85,H85)</f>
        <v>0</v>
      </c>
    </row>
    <row r="86" spans="1:12" ht="20.100000000000001" customHeight="1" x14ac:dyDescent="0.25">
      <c r="A86"/>
      <c r="D86" s="166" t="str">
        <v>Composting</v>
      </c>
      <c r="E86" s="170" t="str">
        <v>Paper and cardboard</v>
      </c>
      <c r="F86" s="165"/>
      <c r="G86" s="49" cm="1">
        <f t="array" ref="G86">WasteSolid_InputFunctions.WasteSolid_InputFunctions_SumWasteTreatment(Table_Input_SolidWaste[Treatment type (select)],Table_Input_SolidWaste[Waste type (select)],Table_Input_SolidWaste[Treatment location (select)],Table_Input_SolidWaste[Amount unit (select)],Table_Input_SolidWaste[Amount],D86,E86, "Removed and treated off-site", "cubic metres m3")</f>
        <v>0</v>
      </c>
      <c r="H86" s="49" cm="1">
        <f t="array" ref="H86">Common_InputFunctions.Utility_LookupValueInTableNumber(E86,Table_SourceData_WasteSolid_VolumeToMassConversion[Waste type w],Table_SourceData_WasteSolid_VolumeToMassConversion[VTMw])</f>
        <v>0.09</v>
      </c>
      <c r="I86" s="49" cm="1">
        <f t="array" ref="I86">WasteSolid_Equations.VEERG_10_1_1_1__2_MassOfWasteFromVolume(G86,H86)</f>
        <v>0</v>
      </c>
    </row>
    <row r="87" spans="1:12" ht="20.100000000000001" customHeight="1" x14ac:dyDescent="0.25">
      <c r="A87"/>
      <c r="D87" s="166" t="str">
        <v>Anaerobic digestion</v>
      </c>
      <c r="E87" s="170" t="str">
        <v>All organic waste</v>
      </c>
      <c r="F87" s="165"/>
      <c r="G87" s="49" t="s">
        <v>838</v>
      </c>
      <c r="H87" s="49" t="s">
        <v>838</v>
      </c>
      <c r="I87" s="49" t="s">
        <v>838</v>
      </c>
    </row>
    <row r="88" spans="1:12" ht="20.100000000000001" customHeight="1" x14ac:dyDescent="0.25">
      <c r="A88"/>
      <c r="D88" s="166" t="str">
        <v>Anaerobic digestion</v>
      </c>
      <c r="E88" s="170" t="str">
        <v>Food waste (including animal carcasses, spoiled animal feed or crop)</v>
      </c>
      <c r="F88" s="165"/>
      <c r="G88" s="49" cm="1">
        <f t="array" ref="G88">WasteSolid_InputFunctions.WasteSolid_InputFunctions_SumWasteTreatment(Table_Input_SolidWaste[Treatment type (select)],Table_Input_SolidWaste[Waste type (select)],Table_Input_SolidWaste[Treatment location (select)],Table_Input_SolidWaste[Amount unit (select)],Table_Input_SolidWaste[Amount],D88,E88, "Removed and treated off-site", "cubic metres m3")</f>
        <v>0</v>
      </c>
      <c r="H88" s="49" cm="1">
        <f t="array" ref="H88">Common_InputFunctions.Utility_LookupValueInTableNumber(E88,Table_SourceData_WasteSolid_VolumeToMassConversion[Waste type w],Table_SourceData_WasteSolid_VolumeToMassConversion[VTMw])</f>
        <v>0.5</v>
      </c>
      <c r="I88" s="49" cm="1">
        <f t="array" ref="I88">WasteSolid_Equations.VEERG_10_1_1_1__2_MassOfWasteFromVolume(G88,H88)</f>
        <v>0</v>
      </c>
    </row>
    <row r="89" spans="1:12" ht="20.100000000000001" customHeight="1" x14ac:dyDescent="0.25">
      <c r="A89"/>
      <c r="D89" s="166" t="str">
        <v>Anaerobic digestion</v>
      </c>
      <c r="E89" s="170" t="str">
        <v>Green waste (including crop residues or prunings)</v>
      </c>
      <c r="F89" s="165"/>
      <c r="G89" s="49" cm="1">
        <f t="array" ref="G89">WasteSolid_InputFunctions.WasteSolid_InputFunctions_SumWasteTreatment(Table_Input_SolidWaste[Treatment type (select)],Table_Input_SolidWaste[Waste type (select)],Table_Input_SolidWaste[Treatment location (select)],Table_Input_SolidWaste[Amount unit (select)],Table_Input_SolidWaste[Amount],D89,E89, "Removed and treated off-site", "cubic metres m3")</f>
        <v>0</v>
      </c>
      <c r="H89" s="49" cm="1">
        <f t="array" ref="H89">Common_InputFunctions.Utility_LookupValueInTableNumber(E89,Table_SourceData_WasteSolid_VolumeToMassConversion[Waste type w],Table_SourceData_WasteSolid_VolumeToMassConversion[VTMw])</f>
        <v>0.24</v>
      </c>
      <c r="I89" s="49" cm="1">
        <f t="array" ref="I89">WasteSolid_Equations.VEERG_10_1_1_1__2_MassOfWasteFromVolume(G89,H89)</f>
        <v>0</v>
      </c>
    </row>
    <row r="90" spans="1:12" ht="20.100000000000001" customHeight="1" x14ac:dyDescent="0.25">
      <c r="A90"/>
      <c r="D90" s="166" t="str">
        <v>Anaerobic digestion</v>
      </c>
      <c r="E90" s="170" t="str">
        <v>Wood</v>
      </c>
      <c r="F90" s="165"/>
      <c r="G90" s="49" cm="1">
        <f t="array" ref="G90">WasteSolid_InputFunctions.WasteSolid_InputFunctions_SumWasteTreatment(Table_Input_SolidWaste[Treatment type (select)],Table_Input_SolidWaste[Waste type (select)],Table_Input_SolidWaste[Treatment location (select)],Table_Input_SolidWaste[Amount unit (select)],Table_Input_SolidWaste[Amount],D90,E90, "Removed and treated off-site", "cubic metres m3")</f>
        <v>0</v>
      </c>
      <c r="H90" s="49" cm="1">
        <f t="array" ref="H90">Common_InputFunctions.Utility_LookupValueInTableNumber(E90,Table_SourceData_WasteSolid_VolumeToMassConversion[Waste type w],Table_SourceData_WasteSolid_VolumeToMassConversion[VTMw])</f>
        <v>0.15</v>
      </c>
      <c r="I90" s="49" cm="1">
        <f t="array" ref="I90">WasteSolid_Equations.VEERG_10_1_1_1__2_MassOfWasteFromVolume(G90,H90)</f>
        <v>0</v>
      </c>
    </row>
    <row r="91" spans="1:12" ht="20.100000000000001" customHeight="1" x14ac:dyDescent="0.25">
      <c r="A91"/>
      <c r="D91" s="166" t="str">
        <v>Anaerobic digestion</v>
      </c>
      <c r="E91" s="170" t="str">
        <v>Sludge</v>
      </c>
      <c r="F91" s="165"/>
      <c r="G91" s="49" cm="1">
        <f t="array" ref="G91">WasteSolid_InputFunctions.WasteSolid_InputFunctions_SumWasteTreatment(Table_Input_SolidWaste[Treatment type (select)],Table_Input_SolidWaste[Waste type (select)],Table_Input_SolidWaste[Treatment location (select)],Table_Input_SolidWaste[Amount unit (select)],Table_Input_SolidWaste[Amount],D91,E91, "Removed and treated off-site", "cubic metres m3")</f>
        <v>0</v>
      </c>
      <c r="H91" s="49" cm="1">
        <f t="array" ref="H91">Common_InputFunctions.Utility_LookupValueInTableNumber(E91,Table_SourceData_WasteSolid_VolumeToMassConversion[Waste type w],Table_SourceData_WasteSolid_VolumeToMassConversion[VTMw])</f>
        <v>0.72</v>
      </c>
      <c r="I91" s="49" cm="1">
        <f t="array" ref="I91">WasteSolid_Equations.VEERG_10_1_1_1__2_MassOfWasteFromVolume(G91,H91)</f>
        <v>0</v>
      </c>
    </row>
    <row r="92" spans="1:12" ht="20.100000000000001" customHeight="1" x14ac:dyDescent="0.25">
      <c r="A92"/>
      <c r="D92" s="166" t="str">
        <v>Anaerobic digestion</v>
      </c>
      <c r="E92" s="170" t="str">
        <v>Paper and cardboard</v>
      </c>
      <c r="F92" s="165"/>
      <c r="G92" s="49" cm="1">
        <f t="array" ref="G92">WasteSolid_InputFunctions.WasteSolid_InputFunctions_SumWasteTreatment(Table_Input_SolidWaste[Treatment type (select)],Table_Input_SolidWaste[Waste type (select)],Table_Input_SolidWaste[Treatment location (select)],Table_Input_SolidWaste[Amount unit (select)],Table_Input_SolidWaste[Amount],D92,E92, "Removed and treated off-site", "cubic metres m3")</f>
        <v>0</v>
      </c>
      <c r="H92" s="49" cm="1">
        <f t="array" ref="H92">Common_InputFunctions.Utility_LookupValueInTableNumber(E92,Table_SourceData_WasteSolid_VolumeToMassConversion[Waste type w],Table_SourceData_WasteSolid_VolumeToMassConversion[VTMw])</f>
        <v>0.09</v>
      </c>
      <c r="I92" s="49" cm="1">
        <f t="array" ref="I92">WasteSolid_Equations.VEERG_10_1_1_1__2_MassOfWasteFromVolume(G92,H92)</f>
        <v>0</v>
      </c>
    </row>
    <row r="93" spans="1:12" ht="20.100000000000001" customHeight="1" x14ac:dyDescent="0.25">
      <c r="A93"/>
    </row>
    <row r="94" spans="1:12" ht="20.100000000000001" customHeight="1" x14ac:dyDescent="0.25">
      <c r="A94"/>
    </row>
    <row r="95" spans="1:12" ht="20.100000000000001" customHeight="1" x14ac:dyDescent="0.25">
      <c r="A95"/>
      <c r="C95" s="98"/>
      <c r="D95" s="98"/>
      <c r="E95" s="98"/>
      <c r="F95" s="98"/>
      <c r="G95" s="98"/>
      <c r="H95" s="98"/>
      <c r="I95" s="98"/>
      <c r="J95" s="98"/>
      <c r="K95" s="98"/>
      <c r="L95" s="98"/>
    </row>
    <row r="96" spans="1:12" ht="20.100000000000001" customHeight="1" x14ac:dyDescent="0.25">
      <c r="A96"/>
      <c r="D96" s="9" t="str" cm="1">
        <f t="array" ref="D96">WasteSolid_Equations.VEERG_10_1_1_1__1_EmissionsFromWasteManagement_Title()</f>
        <v>Emissions from waste management by greenhouse gas</v>
      </c>
    </row>
    <row r="97" spans="1:9" ht="20.100000000000001" customHeight="1" x14ac:dyDescent="0.25">
      <c r="A97"/>
      <c r="D97" s="11" t="str" cm="1">
        <f t="array" ref="D97">WasteSolid_Equations.VEERG_10_1_1_1__1_EmissionsFromWasteManagement_Source()</f>
        <v>VEERG 2026: 10.1.1.1, Equation (1)</v>
      </c>
    </row>
    <row r="98" spans="1:9" ht="20.100000000000001" customHeight="1" x14ac:dyDescent="0.25">
      <c r="A98"/>
      <c r="D98" s="12" t="str" cm="1">
        <f t="array" ref="D98">WasteSolid_Equations.VEERG_10_1_1_1__1_EmissionsFromWasteManagement_Variation()</f>
        <v>VARIATION ON SOURCE: Added Q_volwt and Q_masswt variables to clearly track input or calculated Q values</v>
      </c>
    </row>
    <row r="99" spans="1:9" ht="20.100000000000001" customHeight="1" x14ac:dyDescent="0.25">
      <c r="A99"/>
      <c r="D99" s="171" t="s">
        <v>622</v>
      </c>
      <c r="E99" s="171" t="str" cm="1">
        <f t="array" aca="1" ref="E99" ca="1">Common_InputFunctions.Utility_DisplayFunctionName(K116)</f>
        <v>=WasteSolid_Equations.VEERG_10_1_1_1__1_EmissionsFromWasteManagement</v>
      </c>
    </row>
    <row r="100" spans="1:9" ht="20.100000000000001" customHeight="1" x14ac:dyDescent="0.25">
      <c r="A100"/>
    </row>
    <row r="101" spans="1:9" ht="20.100000000000001" customHeight="1" x14ac:dyDescent="0.25">
      <c r="A101"/>
    </row>
    <row r="102" spans="1:9" ht="20.100000000000001" customHeight="1" x14ac:dyDescent="0.25">
      <c r="A102"/>
      <c r="D102" s="27" t="s">
        <v>623</v>
      </c>
      <c r="E102" s="8" t="str" cm="1">
        <f t="array" ref="E102">WasteSolid_Equations.VEERG_10_1_1_1__1_EmissionsFromWasteManagement_Variable()</f>
        <v>E_g</v>
      </c>
    </row>
    <row r="103" spans="1:9" ht="20.100000000000001" customHeight="1" x14ac:dyDescent="0.25">
      <c r="A103"/>
      <c r="D103" s="27" t="s">
        <v>96</v>
      </c>
      <c r="E103" s="13" t="str" cm="1">
        <f t="array" ref="E103">WasteSolid_Equations.VEERG_10_1_1_1__1_EmissionsFromWasteManagement_Unit()</f>
        <v>t CO2e</v>
      </c>
    </row>
    <row r="104" spans="1:9" ht="20.100000000000001" customHeight="1" x14ac:dyDescent="0.25">
      <c r="A104"/>
    </row>
    <row r="105" spans="1:9" ht="20.100000000000001" customHeight="1" x14ac:dyDescent="0.25">
      <c r="A105"/>
      <c r="D105" s="166" t="str" cm="1">
        <f t="array" ref="D105:E111">_xlfn.CHOOSECOLS(WasteSolid_Equations.VEERG_10_1_1_1__1_EmissionsFromWasteManagement_Arguments(),1,2)</f>
        <v>Q_wt</v>
      </c>
      <c r="E105" s="170" t="str">
        <v>quantity of solid waste of type w being sent to treatment facility t, on a wet weight basis</v>
      </c>
      <c r="F105" s="204"/>
      <c r="G105" s="165"/>
      <c r="H105" s="166" t="str" cm="1">
        <f t="array" ref="H105:I111">_xlfn.CHOOSECOLS(WasteSolid_Equations.VEERG_10_1_1_1__1_EmissionsFromWasteManagement_Arguments(),3,4)</f>
        <v>t</v>
      </c>
      <c r="I105" s="168" t="str">
        <v>Sum of Q_volwt and Q_masswt</v>
      </c>
    </row>
    <row r="106" spans="1:9" ht="20.100000000000001" customHeight="1" x14ac:dyDescent="0.25">
      <c r="A106"/>
      <c r="D106" s="166" t="str">
        <v>EF_wtg</v>
      </c>
      <c r="E106" s="170" t="str">
        <v>emission factor for greenhouse gas g for the management of waste at treatment facility t</v>
      </c>
      <c r="F106" s="204"/>
      <c r="G106" s="165"/>
      <c r="H106" s="166" t="str">
        <v>t CO2e/t</v>
      </c>
      <c r="I106" s="168" t="str">
        <v>Constant</v>
      </c>
    </row>
    <row r="107" spans="1:9" ht="20.100000000000001" customHeight="1" x14ac:dyDescent="0.25">
      <c r="A107"/>
      <c r="D107" s="166" t="str">
        <v>w</v>
      </c>
      <c r="E107" s="170" t="str">
        <v>waste type</v>
      </c>
      <c r="F107" s="204"/>
      <c r="G107" s="165"/>
      <c r="H107" s="166" t="str">
        <v/>
      </c>
      <c r="I107" s="230" t="str">
        <v>Input</v>
      </c>
    </row>
    <row r="108" spans="1:9" ht="20.100000000000001" customHeight="1" x14ac:dyDescent="0.25">
      <c r="A108"/>
      <c r="D108" s="166" t="str">
        <v>t</v>
      </c>
      <c r="E108" s="170" t="str">
        <v>treatment facility</v>
      </c>
      <c r="F108" s="204"/>
      <c r="G108" s="165"/>
      <c r="H108" s="166" t="str">
        <v/>
      </c>
      <c r="I108" s="230" t="str">
        <v>Input</v>
      </c>
    </row>
    <row r="109" spans="1:9" ht="20.100000000000001" customHeight="1" x14ac:dyDescent="0.25">
      <c r="A109"/>
      <c r="D109" s="166" t="str">
        <v>g</v>
      </c>
      <c r="E109" s="170" t="str">
        <v>greenhouse gas</v>
      </c>
      <c r="F109" s="204"/>
      <c r="G109" s="165"/>
      <c r="H109" s="166" t="str">
        <v/>
      </c>
      <c r="I109" s="230" t="str">
        <v>Input</v>
      </c>
    </row>
    <row r="110" spans="1:9" ht="20.100000000000001" customHeight="1" x14ac:dyDescent="0.25">
      <c r="A110"/>
      <c r="D110" s="166" t="str">
        <v>Q_volwt</v>
      </c>
      <c r="E110" s="170" t="str">
        <v>quantity of sold waste input as volume and converted to tonnes</v>
      </c>
      <c r="F110" s="204"/>
      <c r="G110" s="165"/>
      <c r="H110" s="166" t="str">
        <v>tonnes</v>
      </c>
      <c r="I110" s="168" t="str">
        <v>Calculated from 10.1.1.1 (2)</v>
      </c>
    </row>
    <row r="111" spans="1:9" ht="20.100000000000001" customHeight="1" x14ac:dyDescent="0.25">
      <c r="A111"/>
      <c r="D111" s="166" t="str">
        <v>Q_masswt</v>
      </c>
      <c r="E111" s="170" t="str">
        <v>quantity of solid waste input as mass</v>
      </c>
      <c r="F111" s="204"/>
      <c r="G111" s="165"/>
      <c r="H111" s="166" t="str">
        <v>tonnes</v>
      </c>
      <c r="I111" s="230" t="str">
        <v>Input</v>
      </c>
    </row>
    <row r="112" spans="1:9" ht="20.100000000000001" customHeight="1" x14ac:dyDescent="0.25">
      <c r="A112"/>
    </row>
    <row r="113" spans="1:11" ht="20.100000000000001" customHeight="1" x14ac:dyDescent="0.25">
      <c r="A113"/>
      <c r="D113" s="55" t="s">
        <v>794</v>
      </c>
    </row>
    <row r="114" spans="1:11" ht="20.100000000000001" customHeight="1" x14ac:dyDescent="0.25">
      <c r="A114"/>
      <c r="D114" s="56" t="s">
        <v>795</v>
      </c>
    </row>
    <row r="115" spans="1:11" ht="20.100000000000001" customHeight="1" x14ac:dyDescent="0.25">
      <c r="A115"/>
      <c r="D115" s="46" t="s">
        <v>787</v>
      </c>
      <c r="E115" s="46" t="s">
        <v>788</v>
      </c>
      <c r="F115" s="46"/>
      <c r="G115" s="46" t="s">
        <v>839</v>
      </c>
      <c r="H115" s="57" t="s">
        <v>840</v>
      </c>
      <c r="I115" s="57" t="s">
        <v>791</v>
      </c>
      <c r="J115" s="57" t="s">
        <v>841</v>
      </c>
      <c r="K115" s="57" t="s">
        <v>842</v>
      </c>
    </row>
    <row r="116" spans="1:11" ht="20.100000000000001" customHeight="1" x14ac:dyDescent="0.25">
      <c r="A116"/>
      <c r="D116" s="166" t="str" cm="1">
        <f t="array" ref="D116:D149">Table_SourceData_WasteSolid_WasteTreatmentEFs[Treatment type t]</f>
        <v>Landfill</v>
      </c>
      <c r="E116" s="170" t="str" cm="1">
        <f t="array" ref="E116:E149">Table_SourceData_WasteSolid_WasteTreatmentEFs[Waste type w]</f>
        <v>Food waste (including animal carcasses, spoiled animal feed or crop)</v>
      </c>
      <c r="F116" s="208"/>
      <c r="G116" s="49" cm="1">
        <f t="array" ref="G116">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"tonnes")</f>
        <v>50</v>
      </c>
      <c r="H116" s="49">
        <f t="shared" ref="H116:H149" si="0">I21</f>
        <v>25</v>
      </c>
      <c r="I116" s="49">
        <f>G116+H116</f>
        <v>75</v>
      </c>
      <c r="J116" s="49" cm="1">
        <f t="array" ref="J116">Common_InputFunctions.Utility_LookupValueInTableTwoColumns(D116,E116,Table_SourceData_WasteSolid_WasteTreatmentEFs[Treatment type t],Table_SourceData_WasteSolid_WasteTreatmentEFs[Waste type w],Table_SourceData_WasteSolid_WasteTreatmentEFs[EFwt])</f>
        <v>2.1</v>
      </c>
      <c r="K116" s="49" cm="1">
        <f t="array" ref="K116">WasteSolid_Equations.VEERG_10_1_1_1__1_EmissionsFromWasteManagement(I116, J116)</f>
        <v>157.5</v>
      </c>
    </row>
    <row r="117" spans="1:11" ht="20.100000000000001" customHeight="1" x14ac:dyDescent="0.25">
      <c r="A117"/>
      <c r="D117" s="166" t="str">
        <v>Landfill</v>
      </c>
      <c r="E117" s="170" t="str">
        <v>Paper and cardboard</v>
      </c>
      <c r="F117" s="208"/>
      <c r="G117" s="49" cm="1">
        <f t="array" ref="G117">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"tonnes")</f>
        <v>50</v>
      </c>
      <c r="H117" s="49">
        <f t="shared" si="0"/>
        <v>4.5</v>
      </c>
      <c r="I117" s="49">
        <f t="shared" ref="I117:I126" si="1">G117+H117</f>
        <v>54.5</v>
      </c>
      <c r="J117" s="49" cm="1">
        <f t="array" ref="J117">Common_InputFunctions.Utility_LookupValueInTableTwoColumns(D117,E117,Table_SourceData_WasteSolid_WasteTreatmentEFs[Treatment type t],Table_SourceData_WasteSolid_WasteTreatmentEFs[Waste type w],Table_SourceData_WasteSolid_WasteTreatmentEFs[EFwt])</f>
        <v>3.3</v>
      </c>
      <c r="K117" s="49" cm="1">
        <f t="array" ref="K117">WasteSolid_Equations.VEERG_10_1_1_1__1_EmissionsFromWasteManagement(I117, J117)</f>
        <v>179.85</v>
      </c>
    </row>
    <row r="118" spans="1:11" ht="20.100000000000001" customHeight="1" x14ac:dyDescent="0.25">
      <c r="A118"/>
      <c r="D118" s="166" t="str">
        <v>Landfill</v>
      </c>
      <c r="E118" s="170" t="str">
        <v>Green waste (including crop residues or prunings)</v>
      </c>
      <c r="F118" s="208"/>
      <c r="G118" s="49" cm="1">
        <f t="array" ref="G118">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"tonnes")</f>
        <v>50</v>
      </c>
      <c r="H118" s="49">
        <f t="shared" si="0"/>
        <v>12</v>
      </c>
      <c r="I118" s="49">
        <f t="shared" si="1"/>
        <v>62</v>
      </c>
      <c r="J118" s="49" cm="1">
        <f t="array" ref="J118">Common_InputFunctions.Utility_LookupValueInTableTwoColumns(D118,E118,Table_SourceData_WasteSolid_WasteTreatmentEFs[Treatment type t],Table_SourceData_WasteSolid_WasteTreatmentEFs[Waste type w],Table_SourceData_WasteSolid_WasteTreatmentEFs[EFwt])</f>
        <v>1.6</v>
      </c>
      <c r="K118" s="49" cm="1">
        <f t="array" ref="K118">WasteSolid_Equations.VEERG_10_1_1_1__1_EmissionsFromWasteManagement(I118, J118)</f>
        <v>99.2</v>
      </c>
    </row>
    <row r="119" spans="1:11" ht="20.100000000000001" customHeight="1" x14ac:dyDescent="0.25">
      <c r="A119"/>
      <c r="D119" s="166" t="str">
        <v>Landfill</v>
      </c>
      <c r="E119" s="170" t="str">
        <v>Wood</v>
      </c>
      <c r="F119" s="208"/>
      <c r="G119" s="49" cm="1">
        <f t="array" ref="G119">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"tonnes")</f>
        <v>0</v>
      </c>
      <c r="H119" s="49">
        <f t="shared" si="0"/>
        <v>0</v>
      </c>
      <c r="I119" s="49">
        <f t="shared" si="1"/>
        <v>0</v>
      </c>
      <c r="J119" s="49" cm="1">
        <f t="array" ref="J119">Common_InputFunctions.Utility_LookupValueInTableTwoColumns(D119,E119,Table_SourceData_WasteSolid_WasteTreatmentEFs[Treatment type t],Table_SourceData_WasteSolid_WasteTreatmentEFs[Waste type w],Table_SourceData_WasteSolid_WasteTreatmentEFs[EFwt])</f>
        <v>0.7</v>
      </c>
      <c r="K119" s="49" cm="1">
        <f t="array" ref="K119">WasteSolid_Equations.VEERG_10_1_1_1__1_EmissionsFromWasteManagement(I119, J119)</f>
        <v>0</v>
      </c>
    </row>
    <row r="120" spans="1:11" ht="20.100000000000001" customHeight="1" x14ac:dyDescent="0.25">
      <c r="A120"/>
      <c r="D120" s="166" t="str">
        <v>Landfill</v>
      </c>
      <c r="E120" s="170" t="str">
        <v>Textiles</v>
      </c>
      <c r="F120" s="208"/>
      <c r="G120" s="49" cm="1">
        <f t="array" ref="G120">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"tonnes")</f>
        <v>0</v>
      </c>
      <c r="H120" s="49">
        <f t="shared" si="0"/>
        <v>0</v>
      </c>
      <c r="I120" s="49">
        <f t="shared" si="1"/>
        <v>0</v>
      </c>
      <c r="J120" s="49" cm="1">
        <f t="array" ref="J120">Common_InputFunctions.Utility_LookupValueInTableTwoColumns(D120,E120,Table_SourceData_WasteSolid_WasteTreatmentEFs[Treatment type t],Table_SourceData_WasteSolid_WasteTreatmentEFs[Waste type w],Table_SourceData_WasteSolid_WasteTreatmentEFs[EFwt])</f>
        <v>2</v>
      </c>
      <c r="K120" s="49" cm="1">
        <f t="array" ref="K120">WasteSolid_Equations.VEERG_10_1_1_1__1_EmissionsFromWasteManagement(I120, J120)</f>
        <v>0</v>
      </c>
    </row>
    <row r="121" spans="1:11" ht="20.100000000000001" customHeight="1" x14ac:dyDescent="0.25">
      <c r="A121"/>
      <c r="D121" s="166" t="str">
        <v>Landfill</v>
      </c>
      <c r="E121" s="170" t="str">
        <v>Sludge</v>
      </c>
      <c r="F121" s="208"/>
      <c r="G121" s="49" cm="1">
        <f t="array" ref="G121">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"tonnes")</f>
        <v>0</v>
      </c>
      <c r="H121" s="49">
        <f t="shared" si="0"/>
        <v>0</v>
      </c>
      <c r="I121" s="49">
        <f t="shared" si="1"/>
        <v>0</v>
      </c>
      <c r="J121" s="49" cm="1">
        <f t="array" ref="J121">Common_InputFunctions.Utility_LookupValueInTableTwoColumns(D121,E121,Table_SourceData_WasteSolid_WasteTreatmentEFs[Treatment type t],Table_SourceData_WasteSolid_WasteTreatmentEFs[Waste type w],Table_SourceData_WasteSolid_WasteTreatmentEFs[EFwt])</f>
        <v>0.4</v>
      </c>
      <c r="K121" s="49" cm="1">
        <f t="array" ref="K121">WasteSolid_Equations.VEERG_10_1_1_1__1_EmissionsFromWasteManagement(I121, J121)</f>
        <v>0</v>
      </c>
    </row>
    <row r="122" spans="1:11" ht="20.100000000000001" customHeight="1" x14ac:dyDescent="0.25">
      <c r="A122"/>
      <c r="D122" s="166" t="str">
        <v>Landfill</v>
      </c>
      <c r="E122" s="170" t="str">
        <v>Rubber and leather</v>
      </c>
      <c r="F122" s="208"/>
      <c r="G122" s="49" cm="1">
        <f t="array" ref="G122">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"tonnes")</f>
        <v>0</v>
      </c>
      <c r="H122" s="49">
        <f t="shared" si="0"/>
        <v>0</v>
      </c>
      <c r="I122" s="49">
        <f t="shared" si="1"/>
        <v>0</v>
      </c>
      <c r="J122" s="49" cm="1">
        <f t="array" ref="J122">Common_InputFunctions.Utility_LookupValueInTableTwoColumns(D122,E122,Table_SourceData_WasteSolid_WasteTreatmentEFs[Treatment type t],Table_SourceData_WasteSolid_WasteTreatmentEFs[Waste type w],Table_SourceData_WasteSolid_WasteTreatmentEFs[EFwt])</f>
        <v>3.3</v>
      </c>
      <c r="K122" s="49" cm="1">
        <f t="array" ref="K122">WasteSolid_Equations.VEERG_10_1_1_1__1_EmissionsFromWasteManagement(I122, J122)</f>
        <v>0</v>
      </c>
    </row>
    <row r="123" spans="1:11" ht="20.100000000000001" customHeight="1" x14ac:dyDescent="0.25">
      <c r="A123"/>
      <c r="D123" s="166" t="str">
        <v>Landfill</v>
      </c>
      <c r="E123" s="170" t="str">
        <v>Inert waste (including concrete, metal, plastic or glass)</v>
      </c>
      <c r="F123" s="208"/>
      <c r="G123" s="49" cm="1">
        <f t="array" ref="G123">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"tonnes")</f>
        <v>0</v>
      </c>
      <c r="H123" s="49">
        <f t="shared" si="0"/>
        <v>0</v>
      </c>
      <c r="I123" s="49">
        <f t="shared" si="1"/>
        <v>0</v>
      </c>
      <c r="J123" s="49" cm="1">
        <f t="array" ref="J123">Common_InputFunctions.Utility_LookupValueInTableTwoColumns(D123,E123,Table_SourceData_WasteSolid_WasteTreatmentEFs[Treatment type t],Table_SourceData_WasteSolid_WasteTreatmentEFs[Waste type w],Table_SourceData_WasteSolid_WasteTreatmentEFs[EFwt])</f>
        <v>0</v>
      </c>
      <c r="K123" s="49" cm="1">
        <f t="array" ref="K123">WasteSolid_Equations.VEERG_10_1_1_1__1_EmissionsFromWasteManagement(I123, J123)</f>
        <v>0</v>
      </c>
    </row>
    <row r="124" spans="1:11" ht="20.100000000000001" customHeight="1" x14ac:dyDescent="0.25">
      <c r="A124"/>
      <c r="D124" s="166" t="str">
        <v>Landfill</v>
      </c>
      <c r="E124" s="170" t="str">
        <v>Municipal solid waste</v>
      </c>
      <c r="F124" s="208"/>
      <c r="G124" s="49" cm="1">
        <f t="array" ref="G124">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"tonnes")</f>
        <v>0</v>
      </c>
      <c r="H124" s="49">
        <f t="shared" si="0"/>
        <v>0</v>
      </c>
      <c r="I124" s="49">
        <f t="shared" si="1"/>
        <v>0</v>
      </c>
      <c r="J124" s="49" cm="1">
        <f t="array" ref="J124">Common_InputFunctions.Utility_LookupValueInTableTwoColumns(D124,E124,Table_SourceData_WasteSolid_WasteTreatmentEFs[Treatment type t],Table_SourceData_WasteSolid_WasteTreatmentEFs[Waste type w],Table_SourceData_WasteSolid_WasteTreatmentEFs[EFwt])</f>
        <v>1.6</v>
      </c>
      <c r="K124" s="49" cm="1">
        <f t="array" ref="K124">WasteSolid_Equations.VEERG_10_1_1_1__1_EmissionsFromWasteManagement(I124, J124)</f>
        <v>0</v>
      </c>
    </row>
    <row r="125" spans="1:11" ht="20.100000000000001" customHeight="1" x14ac:dyDescent="0.25">
      <c r="A125"/>
      <c r="D125" s="166" t="str">
        <v>Landfill</v>
      </c>
      <c r="E125" s="170" t="str">
        <v>Commercial and industrial waste</v>
      </c>
      <c r="F125" s="208"/>
      <c r="G125" s="49" cm="1">
        <f t="array" ref="G125">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"tonnes")</f>
        <v>0</v>
      </c>
      <c r="H125" s="49">
        <f t="shared" si="0"/>
        <v>0</v>
      </c>
      <c r="I125" s="49">
        <f t="shared" si="1"/>
        <v>0</v>
      </c>
      <c r="J125" s="49" cm="1">
        <f t="array" ref="J125">Common_InputFunctions.Utility_LookupValueInTableTwoColumns(D125,E125,Table_SourceData_WasteSolid_WasteTreatmentEFs[Treatment type t],Table_SourceData_WasteSolid_WasteTreatmentEFs[Waste type w],Table_SourceData_WasteSolid_WasteTreatmentEFs[EFwt])</f>
        <v>1.3</v>
      </c>
      <c r="K125" s="49" cm="1">
        <f t="array" ref="K125">WasteSolid_Equations.VEERG_10_1_1_1__1_EmissionsFromWasteManagement(I125, J125)</f>
        <v>0</v>
      </c>
    </row>
    <row r="126" spans="1:11" ht="20.100000000000001" customHeight="1" x14ac:dyDescent="0.25">
      <c r="A126"/>
      <c r="D126" s="166" t="str">
        <v>Landfill</v>
      </c>
      <c r="E126" s="170" t="str">
        <v>Construction and demolition waste</v>
      </c>
      <c r="F126" s="208"/>
      <c r="G126" s="49" cm="1">
        <f t="array" ref="G126">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"tonnes")</f>
        <v>0</v>
      </c>
      <c r="H126" s="49">
        <f t="shared" si="0"/>
        <v>0</v>
      </c>
      <c r="I126" s="49">
        <f t="shared" si="1"/>
        <v>0</v>
      </c>
      <c r="J126" s="49" cm="1">
        <f t="array" ref="J126">Common_InputFunctions.Utility_LookupValueInTableTwoColumns(D126,E126,Table_SourceData_WasteSolid_WasteTreatmentEFs[Treatment type t],Table_SourceData_WasteSolid_WasteTreatmentEFs[Waste type w],Table_SourceData_WasteSolid_WasteTreatmentEFs[EFwt])</f>
        <v>0.2</v>
      </c>
      <c r="K126" s="49" cm="1">
        <f t="array" ref="K126">WasteSolid_Equations.VEERG_10_1_1_1__1_EmissionsFromWasteManagement(I126, J126)</f>
        <v>0</v>
      </c>
    </row>
    <row r="127" spans="1:11" ht="20.100000000000001" customHeight="1" x14ac:dyDescent="0.25">
      <c r="A127"/>
      <c r="D127" s="166" t="str">
        <v>Incineration</v>
      </c>
      <c r="E127" s="170" t="str">
        <v>Food waste, green waste, wood, sludge</v>
      </c>
      <c r="F127" s="208"/>
      <c r="G127" s="49" t="s">
        <v>838</v>
      </c>
      <c r="H127" s="49" t="str">
        <f t="shared" si="0"/>
        <v>Not used</v>
      </c>
      <c r="I127" s="49">
        <f>SUM(G128:G131)+SUM(H128:H131)</f>
        <v>74</v>
      </c>
      <c r="J127" s="49" cm="1">
        <f t="array" ref="J127">Common_InputFunctions.Utility_LookupValueInTableTwoColumns(D127,E127,Table_SourceData_WasteSolid_WasteTreatmentEFs[Treatment type t],Table_SourceData_WasteSolid_WasteTreatmentEFs[Waste type w],Table_SourceData_WasteSolid_WasteTreatmentEFs[EFwt])</f>
        <v>0</v>
      </c>
      <c r="K127" s="49" cm="1">
        <f t="array" ref="K127">WasteSolid_Equations.VEERG_10_1_1_1__1_EmissionsFromWasteManagement(I127, J127)</f>
        <v>0</v>
      </c>
    </row>
    <row r="128" spans="1:11" ht="20.100000000000001" customHeight="1" x14ac:dyDescent="0.25">
      <c r="A128"/>
      <c r="D128" s="166" t="str">
        <v>Incineration</v>
      </c>
      <c r="E128" s="170" t="str">
        <v>Food waste (including animal carcasses, spoiled animal feed or crop)</v>
      </c>
      <c r="F128" s="208"/>
      <c r="G128" s="49" cm="1">
        <f t="array" ref="G128">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"tonnes")</f>
        <v>0</v>
      </c>
      <c r="H128" s="49">
        <f t="shared" si="0"/>
        <v>0</v>
      </c>
      <c r="I128" s="49" t="s">
        <v>843</v>
      </c>
      <c r="J128" s="49" t="s">
        <v>838</v>
      </c>
      <c r="K128" s="49" t="s">
        <v>838</v>
      </c>
    </row>
    <row r="129" spans="1:11" ht="20.100000000000001" customHeight="1" x14ac:dyDescent="0.25">
      <c r="A129"/>
      <c r="D129" s="166" t="str">
        <v>Incineration</v>
      </c>
      <c r="E129" s="170" t="str">
        <v>Green waste (including crop residues or prunings)</v>
      </c>
      <c r="F129" s="208"/>
      <c r="G129" s="49" cm="1">
        <f t="array" ref="G129">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"tonnes")</f>
        <v>50</v>
      </c>
      <c r="H129" s="49">
        <f t="shared" si="0"/>
        <v>24</v>
      </c>
      <c r="I129" s="49" t="s">
        <v>843</v>
      </c>
      <c r="J129" s="49" t="s">
        <v>838</v>
      </c>
      <c r="K129" s="49" t="s">
        <v>838</v>
      </c>
    </row>
    <row r="130" spans="1:11" ht="20.100000000000001" customHeight="1" x14ac:dyDescent="0.25">
      <c r="A130"/>
      <c r="D130" s="166" t="str">
        <v>Incineration</v>
      </c>
      <c r="E130" s="170" t="str">
        <v>Wood</v>
      </c>
      <c r="F130" s="208"/>
      <c r="G130" s="49" cm="1">
        <f t="array" ref="G130">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"tonnes")</f>
        <v>0</v>
      </c>
      <c r="H130" s="49">
        <f t="shared" si="0"/>
        <v>0</v>
      </c>
      <c r="I130" s="49" t="s">
        <v>843</v>
      </c>
      <c r="J130" s="49" t="s">
        <v>838</v>
      </c>
      <c r="K130" s="49" t="s">
        <v>838</v>
      </c>
    </row>
    <row r="131" spans="1:11" ht="20.100000000000001" customHeight="1" x14ac:dyDescent="0.25">
      <c r="A131"/>
      <c r="D131" s="166" t="str">
        <v>Incineration</v>
      </c>
      <c r="E131" s="170" t="str">
        <v>Sludge</v>
      </c>
      <c r="F131" s="208"/>
      <c r="G131" s="49" cm="1">
        <f t="array" ref="G131">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"tonnes")</f>
        <v>0</v>
      </c>
      <c r="H131" s="49">
        <f t="shared" si="0"/>
        <v>0</v>
      </c>
      <c r="I131" s="49" t="s">
        <v>843</v>
      </c>
      <c r="J131" s="49" t="s">
        <v>838</v>
      </c>
      <c r="K131" s="49" t="s">
        <v>838</v>
      </c>
    </row>
    <row r="132" spans="1:11" ht="20.100000000000001" customHeight="1" x14ac:dyDescent="0.25">
      <c r="A132"/>
      <c r="D132" s="166" t="str">
        <v>Incineration</v>
      </c>
      <c r="E132" s="170" t="str">
        <v>Paper and cardboard</v>
      </c>
      <c r="F132" s="208"/>
      <c r="G132" s="49" cm="1">
        <f t="array" ref="G132">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"tonnes")</f>
        <v>50</v>
      </c>
      <c r="H132" s="49">
        <f t="shared" si="0"/>
        <v>4.5</v>
      </c>
      <c r="I132" s="49">
        <f t="shared" ref="I132:I137" si="2">G132+H132</f>
        <v>54.5</v>
      </c>
      <c r="J132" s="49" cm="1">
        <f t="array" ref="J132">Common_InputFunctions.Utility_LookupValueInTableTwoColumns(D132,E132,Table_SourceData_WasteSolid_WasteTreatmentEFs[Treatment type t],Table_SourceData_WasteSolid_WasteTreatmentEFs[Waste type w],Table_SourceData_WasteSolid_WasteTreatmentEFs[EFwt])</f>
        <v>1.6899999999999998E-2</v>
      </c>
      <c r="K132" s="49" cm="1">
        <f t="array" ref="K132">WasteSolid_Equations.VEERG_10_1_1_1__1_EmissionsFromWasteManagement(I132, J132)</f>
        <v>0.92104999999999992</v>
      </c>
    </row>
    <row r="133" spans="1:11" ht="20.100000000000001" customHeight="1" x14ac:dyDescent="0.25">
      <c r="A133"/>
      <c r="D133" s="166" t="str">
        <v>Incineration</v>
      </c>
      <c r="E133" s="170" t="str">
        <v>Textiles</v>
      </c>
      <c r="F133" s="208"/>
      <c r="G133" s="49" cm="1">
        <f t="array" ref="G133">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"tonnes")</f>
        <v>0</v>
      </c>
      <c r="H133" s="49">
        <f t="shared" si="0"/>
        <v>0</v>
      </c>
      <c r="I133" s="49">
        <f t="shared" si="2"/>
        <v>0</v>
      </c>
      <c r="J133" s="49" cm="1">
        <f t="array" ref="J133">Common_InputFunctions.Utility_LookupValueInTableTwoColumns(D133,E133,Table_SourceData_WasteSolid_WasteTreatmentEFs[Treatment type t],Table_SourceData_WasteSolid_WasteTreatmentEFs[Waste type w],Table_SourceData_WasteSolid_WasteTreatmentEFs[EFwt])</f>
        <v>0.36670000000000003</v>
      </c>
      <c r="K133" s="49" cm="1">
        <f t="array" ref="K133">WasteSolid_Equations.VEERG_10_1_1_1__1_EmissionsFromWasteManagement(I133, J133)</f>
        <v>0</v>
      </c>
    </row>
    <row r="134" spans="1:11" ht="20.100000000000001" customHeight="1" x14ac:dyDescent="0.25">
      <c r="A134"/>
      <c r="D134" s="166" t="str">
        <v>Incineration</v>
      </c>
      <c r="E134" s="170" t="str">
        <v>Rubber and leather</v>
      </c>
      <c r="F134" s="208"/>
      <c r="G134" s="49" cm="1">
        <f t="array" ref="G134">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"tonnes")</f>
        <v>0</v>
      </c>
      <c r="H134" s="49">
        <f t="shared" si="0"/>
        <v>0</v>
      </c>
      <c r="I134" s="49">
        <f t="shared" si="2"/>
        <v>0</v>
      </c>
      <c r="J134" s="49" cm="1">
        <f t="array" ref="J134">Common_InputFunctions.Utility_LookupValueInTableTwoColumns(D134,E134,Table_SourceData_WasteSolid_WasteTreatmentEFs[Treatment type t],Table_SourceData_WasteSolid_WasteTreatmentEFs[Waste type w],Table_SourceData_WasteSolid_WasteTreatmentEFs[EFwt])</f>
        <v>0.4919</v>
      </c>
      <c r="K134" s="49" cm="1">
        <f t="array" ref="K134">WasteSolid_Equations.VEERG_10_1_1_1__1_EmissionsFromWasteManagement(I134, J134)</f>
        <v>0</v>
      </c>
    </row>
    <row r="135" spans="1:11" ht="20.100000000000001" customHeight="1" x14ac:dyDescent="0.25">
      <c r="A135"/>
      <c r="D135" s="166" t="str">
        <v>Incineration</v>
      </c>
      <c r="E135" s="170" t="str">
        <v>Inert waste (including concrete, metal, plastic or glass)</v>
      </c>
      <c r="F135" s="208"/>
      <c r="G135" s="49" cm="1">
        <f t="array" ref="G135">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"tonnes")</f>
        <v>0</v>
      </c>
      <c r="H135" s="49">
        <f t="shared" si="0"/>
        <v>0</v>
      </c>
      <c r="I135" s="49">
        <f t="shared" si="2"/>
        <v>0</v>
      </c>
      <c r="J135" s="49" cm="1">
        <f t="array" ref="J135">Common_InputFunctions.Utility_LookupValueInTableTwoColumns(D135,E135,Table_SourceData_WasteSolid_WasteTreatmentEFs[Treatment type t],Table_SourceData_WasteSolid_WasteTreatmentEFs[Waste type w],Table_SourceData_WasteSolid_WasteTreatmentEFs[EFwt])</f>
        <v>0.11</v>
      </c>
      <c r="K135" s="49" cm="1">
        <f t="array" ref="K135">WasteSolid_Equations.VEERG_10_1_1_1__1_EmissionsFromWasteManagement(I135, J135)</f>
        <v>0</v>
      </c>
    </row>
    <row r="136" spans="1:11" ht="20.100000000000001" customHeight="1" x14ac:dyDescent="0.25">
      <c r="A136"/>
      <c r="D136" s="166" t="str">
        <v>Incineration</v>
      </c>
      <c r="E136" s="170" t="str">
        <v>Municipal solid waste</v>
      </c>
      <c r="F136" s="165"/>
      <c r="G136" s="49" cm="1">
        <f t="array" ref="G136">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"tonnes")</f>
        <v>0</v>
      </c>
      <c r="H136" s="49">
        <f t="shared" si="0"/>
        <v>0</v>
      </c>
      <c r="I136" s="49">
        <f t="shared" si="2"/>
        <v>0</v>
      </c>
      <c r="J136" s="49" cm="1">
        <f t="array" ref="J136">Common_InputFunctions.Utility_LookupValueInTableTwoColumns(D136,E136,Table_SourceData_WasteSolid_WasteTreatmentEFs[Treatment type t],Table_SourceData_WasteSolid_WasteTreatmentEFs[Waste type w],Table_SourceData_WasteSolid_WasteTreatmentEFs[EFwt])</f>
        <v>5.3699999999999998E-2</v>
      </c>
      <c r="K136" s="49" cm="1">
        <f t="array" ref="K136">WasteSolid_Equations.VEERG_10_1_1_1__1_EmissionsFromWasteManagement(I136, J136)</f>
        <v>0</v>
      </c>
    </row>
    <row r="137" spans="1:11" ht="20.100000000000001" customHeight="1" x14ac:dyDescent="0.25">
      <c r="A137"/>
      <c r="D137" s="166" t="str">
        <v>Incineration</v>
      </c>
      <c r="E137" s="170" t="str">
        <v>Commercial and industrial waste</v>
      </c>
      <c r="F137" s="165"/>
      <c r="G137" s="49" cm="1">
        <f t="array" ref="G137">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"tonnes")</f>
        <v>0</v>
      </c>
      <c r="H137" s="49">
        <f t="shared" si="0"/>
        <v>0</v>
      </c>
      <c r="I137" s="49">
        <f t="shared" si="2"/>
        <v>0</v>
      </c>
      <c r="J137" s="49" cm="1">
        <f t="array" ref="J137">Common_InputFunctions.Utility_LookupValueInTableTwoColumns(D137,E137,Table_SourceData_WasteSolid_WasteTreatmentEFs[Treatment type t],Table_SourceData_WasteSolid_WasteTreatmentEFs[Waste type w],Table_SourceData_WasteSolid_WasteTreatmentEFs[EFwt])</f>
        <v>1.649</v>
      </c>
      <c r="K137" s="49" cm="1">
        <f t="array" ref="K137">WasteSolid_Equations.VEERG_10_1_1_1__1_EmissionsFromWasteManagement(I137, J137)</f>
        <v>0</v>
      </c>
    </row>
    <row r="138" spans="1:11" ht="20.100000000000001" customHeight="1" x14ac:dyDescent="0.25">
      <c r="A138"/>
      <c r="D138" s="166" t="str">
        <v>Composting</v>
      </c>
      <c r="E138" s="170" t="str">
        <v>All organic waste</v>
      </c>
      <c r="F138" s="165"/>
      <c r="G138" s="49" t="s">
        <v>838</v>
      </c>
      <c r="H138" s="49" t="str">
        <f t="shared" si="0"/>
        <v>Not used</v>
      </c>
      <c r="I138" s="49">
        <f>SUM(G139:G143)+SUM(H139:H143)</f>
        <v>29.5</v>
      </c>
      <c r="J138" s="49" cm="1">
        <f t="array" ref="J138">Common_InputFunctions.Utility_LookupValueInTableTwoColumns(D138,E138,Table_SourceData_WasteSolid_WasteTreatmentEFs[Treatment type t],Table_SourceData_WasteSolid_WasteTreatmentEFs[Waste type w],Table_SourceData_WasteSolid_WasteTreatmentEFs[EFwt])</f>
        <v>4.5999999999999999E-2</v>
      </c>
      <c r="K138" s="49" cm="1">
        <f t="array" ref="K138">WasteSolid_Equations.VEERG_10_1_1_1__1_EmissionsFromWasteManagement(I138, J138)</f>
        <v>1.357</v>
      </c>
    </row>
    <row r="139" spans="1:11" ht="20.100000000000001" customHeight="1" x14ac:dyDescent="0.25">
      <c r="A139"/>
      <c r="D139" s="166" t="str">
        <v>Composting</v>
      </c>
      <c r="E139" s="170" t="str">
        <v>Food waste (including animal carcasses, spoiled animal feed or crop)</v>
      </c>
      <c r="F139" s="165"/>
      <c r="G139" s="49" cm="1">
        <f t="array" ref="G139">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"tonnes")</f>
        <v>0</v>
      </c>
      <c r="H139" s="49">
        <f t="shared" si="0"/>
        <v>25</v>
      </c>
      <c r="I139" s="49" t="s">
        <v>843</v>
      </c>
      <c r="J139" s="49" t="s">
        <v>838</v>
      </c>
      <c r="K139" s="49" t="s">
        <v>838</v>
      </c>
    </row>
    <row r="140" spans="1:11" ht="20.100000000000001" customHeight="1" x14ac:dyDescent="0.25">
      <c r="A140"/>
      <c r="D140" s="166" t="str">
        <v>Composting</v>
      </c>
      <c r="E140" s="170" t="str">
        <v>Green waste (including crop residues or prunings)</v>
      </c>
      <c r="F140" s="165"/>
      <c r="G140" s="49" cm="1">
        <f t="array" ref="G140">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"tonnes")</f>
        <v>0</v>
      </c>
      <c r="H140" s="49">
        <f t="shared" si="0"/>
        <v>0</v>
      </c>
      <c r="I140" s="49" t="s">
        <v>843</v>
      </c>
      <c r="J140" s="49" t="s">
        <v>838</v>
      </c>
      <c r="K140" s="49" t="s">
        <v>838</v>
      </c>
    </row>
    <row r="141" spans="1:11" ht="20.100000000000001" customHeight="1" x14ac:dyDescent="0.25">
      <c r="A141"/>
      <c r="D141" s="166" t="str">
        <v>Composting</v>
      </c>
      <c r="E141" s="170" t="str">
        <v>Wood</v>
      </c>
      <c r="F141" s="165"/>
      <c r="G141" s="49" cm="1">
        <f t="array" ref="G141">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"tonnes")</f>
        <v>0</v>
      </c>
      <c r="H141" s="49">
        <f t="shared" si="0"/>
        <v>0</v>
      </c>
      <c r="I141" s="49" t="s">
        <v>843</v>
      </c>
      <c r="J141" s="49" t="s">
        <v>838</v>
      </c>
      <c r="K141" s="49" t="s">
        <v>838</v>
      </c>
    </row>
    <row r="142" spans="1:11" ht="20.100000000000001" customHeight="1" x14ac:dyDescent="0.25">
      <c r="A142"/>
      <c r="D142" s="166" t="str">
        <v>Composting</v>
      </c>
      <c r="E142" s="170" t="str">
        <v>Sludge</v>
      </c>
      <c r="F142" s="165"/>
      <c r="G142" s="49" cm="1">
        <f t="array" ref="G142">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"tonnes")</f>
        <v>0</v>
      </c>
      <c r="H142" s="49">
        <f t="shared" si="0"/>
        <v>0</v>
      </c>
      <c r="I142" s="49" t="s">
        <v>843</v>
      </c>
      <c r="J142" s="49" t="s">
        <v>838</v>
      </c>
      <c r="K142" s="49" t="s">
        <v>838</v>
      </c>
    </row>
    <row r="143" spans="1:11" ht="20.100000000000001" customHeight="1" x14ac:dyDescent="0.25">
      <c r="A143"/>
      <c r="D143" s="166" t="str">
        <v>Composting</v>
      </c>
      <c r="E143" s="170" t="str">
        <v>Paper and cardboard</v>
      </c>
      <c r="F143" s="165"/>
      <c r="G143" s="49" cm="1">
        <f t="array" ref="G143">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"tonnes")</f>
        <v>0</v>
      </c>
      <c r="H143" s="49">
        <f t="shared" si="0"/>
        <v>4.5</v>
      </c>
      <c r="I143" s="49" t="s">
        <v>843</v>
      </c>
      <c r="J143" s="49" t="s">
        <v>838</v>
      </c>
      <c r="K143" s="49" t="s">
        <v>838</v>
      </c>
    </row>
    <row r="144" spans="1:11" ht="20.100000000000001" customHeight="1" x14ac:dyDescent="0.25">
      <c r="A144"/>
      <c r="D144" s="166" t="str">
        <v>Anaerobic digestion</v>
      </c>
      <c r="E144" s="170" t="str">
        <v>All organic waste</v>
      </c>
      <c r="F144" s="165"/>
      <c r="G144" s="49" t="s">
        <v>838</v>
      </c>
      <c r="H144" s="49" t="str">
        <f t="shared" si="0"/>
        <v>Not used</v>
      </c>
      <c r="I144" s="49">
        <f>SUM(G145:G149)+SUM(H145:H149)</f>
        <v>0</v>
      </c>
      <c r="J144" s="49" cm="1">
        <f t="array" ref="J144">Common_InputFunctions.Utility_LookupValueInTableTwoColumns(D144,E144,Table_SourceData_WasteSolid_WasteTreatmentEFs[Treatment type t],Table_SourceData_WasteSolid_WasteTreatmentEFs[Waste type w],Table_SourceData_WasteSolid_WasteTreatmentEFs[EFwt])</f>
        <v>2.8000000000000001E-2</v>
      </c>
      <c r="K144" s="49" cm="1">
        <f t="array" ref="K144">WasteSolid_Equations.VEERG_10_1_1_1__1_EmissionsFromWasteManagement(I144, J144)</f>
        <v>0</v>
      </c>
    </row>
    <row r="145" spans="1:11" ht="20.100000000000001" customHeight="1" x14ac:dyDescent="0.25">
      <c r="A145"/>
      <c r="D145" s="166" t="str">
        <v>Anaerobic digestion</v>
      </c>
      <c r="E145" s="170" t="str">
        <v>Food waste (including animal carcasses, spoiled animal feed or crop)</v>
      </c>
      <c r="F145" s="165"/>
      <c r="G145" s="49" cm="1">
        <f t="array" ref="G145">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"tonnes")</f>
        <v>0</v>
      </c>
      <c r="H145" s="49">
        <f t="shared" si="0"/>
        <v>0</v>
      </c>
      <c r="I145" s="49" t="s">
        <v>843</v>
      </c>
      <c r="J145" s="49" t="s">
        <v>838</v>
      </c>
      <c r="K145" s="49" t="s">
        <v>838</v>
      </c>
    </row>
    <row r="146" spans="1:11" ht="20.100000000000001" customHeight="1" x14ac:dyDescent="0.25">
      <c r="A146"/>
      <c r="D146" s="166" t="str">
        <v>Anaerobic digestion</v>
      </c>
      <c r="E146" s="170" t="str">
        <v>Green waste (including crop residues or prunings)</v>
      </c>
      <c r="F146" s="165"/>
      <c r="G146" s="49" cm="1">
        <f t="array" ref="G146">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"tonnes")</f>
        <v>0</v>
      </c>
      <c r="H146" s="49">
        <f t="shared" si="0"/>
        <v>0</v>
      </c>
      <c r="I146" s="49" t="s">
        <v>843</v>
      </c>
      <c r="J146" s="49" t="s">
        <v>838</v>
      </c>
      <c r="K146" s="49" t="s">
        <v>838</v>
      </c>
    </row>
    <row r="147" spans="1:11" ht="20.100000000000001" customHeight="1" x14ac:dyDescent="0.25">
      <c r="A147"/>
      <c r="D147" s="166" t="str">
        <v>Anaerobic digestion</v>
      </c>
      <c r="E147" s="170" t="str">
        <v>Wood</v>
      </c>
      <c r="F147" s="165"/>
      <c r="G147" s="49" cm="1">
        <f t="array" ref="G147">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"tonnes")</f>
        <v>0</v>
      </c>
      <c r="H147" s="49">
        <f t="shared" si="0"/>
        <v>0</v>
      </c>
      <c r="I147" s="49" t="s">
        <v>843</v>
      </c>
      <c r="J147" s="49" t="s">
        <v>838</v>
      </c>
      <c r="K147" s="49" t="s">
        <v>838</v>
      </c>
    </row>
    <row r="148" spans="1:11" ht="20.100000000000001" customHeight="1" x14ac:dyDescent="0.25">
      <c r="A148"/>
      <c r="D148" s="166" t="str">
        <v>Anaerobic digestion</v>
      </c>
      <c r="E148" s="170" t="str">
        <v>Sludge</v>
      </c>
      <c r="F148" s="165"/>
      <c r="G148" s="49" cm="1">
        <f t="array" ref="G148">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"tonnes")</f>
        <v>0</v>
      </c>
      <c r="H148" s="49">
        <f t="shared" si="0"/>
        <v>0</v>
      </c>
      <c r="I148" s="49" t="s">
        <v>843</v>
      </c>
      <c r="J148" s="49" t="s">
        <v>838</v>
      </c>
      <c r="K148" s="49" t="s">
        <v>838</v>
      </c>
    </row>
    <row r="149" spans="1:11" ht="20.100000000000001" customHeight="1" x14ac:dyDescent="0.25">
      <c r="A149"/>
      <c r="D149" s="166" t="str">
        <v>Anaerobic digestion</v>
      </c>
      <c r="E149" s="170" t="str">
        <v>Paper and cardboard</v>
      </c>
      <c r="F149" s="165"/>
      <c r="G149" s="49" cm="1">
        <f t="array" ref="G149">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"tonnes")</f>
        <v>0</v>
      </c>
      <c r="H149" s="49">
        <f t="shared" si="0"/>
        <v>0</v>
      </c>
      <c r="I149" s="49" t="s">
        <v>843</v>
      </c>
      <c r="J149" s="49" t="s">
        <v>838</v>
      </c>
      <c r="K149" s="49" t="s">
        <v>838</v>
      </c>
    </row>
    <row r="150" spans="1:11" ht="20.100000000000001" customHeight="1" x14ac:dyDescent="0.25">
      <c r="A150"/>
    </row>
    <row r="151" spans="1:11" ht="20.100000000000001" customHeight="1" x14ac:dyDescent="0.25">
      <c r="A151"/>
      <c r="D151" s="175" t="s">
        <v>796</v>
      </c>
      <c r="E151" s="176">
        <f>SUM(K116:K149)</f>
        <v>438.82805000000002</v>
      </c>
      <c r="F151" s="177" t="str">
        <f>$E$103</f>
        <v>t CO2e</v>
      </c>
    </row>
    <row r="152" spans="1:11" ht="20.100000000000001" customHeight="1" x14ac:dyDescent="0.25">
      <c r="A152"/>
    </row>
    <row r="153" spans="1:11" ht="20.100000000000001" customHeight="1" x14ac:dyDescent="0.25">
      <c r="A153"/>
    </row>
    <row r="154" spans="1:11" ht="20.100000000000001" customHeight="1" x14ac:dyDescent="0.25">
      <c r="A154"/>
      <c r="D154" s="55" t="s">
        <v>797</v>
      </c>
    </row>
    <row r="155" spans="1:11" ht="20.100000000000001" customHeight="1" x14ac:dyDescent="0.25">
      <c r="A155"/>
      <c r="D155" s="56" t="s">
        <v>798</v>
      </c>
    </row>
    <row r="156" spans="1:11" ht="20.100000000000001" customHeight="1" x14ac:dyDescent="0.25">
      <c r="A156"/>
      <c r="D156" s="46" t="s">
        <v>787</v>
      </c>
      <c r="E156" s="46" t="s">
        <v>788</v>
      </c>
      <c r="F156" s="46"/>
      <c r="G156" s="46" t="s">
        <v>839</v>
      </c>
      <c r="H156" s="57" t="s">
        <v>840</v>
      </c>
      <c r="I156" s="57" t="s">
        <v>791</v>
      </c>
      <c r="J156" s="57" t="s">
        <v>841</v>
      </c>
      <c r="K156" s="57" t="s">
        <v>842</v>
      </c>
    </row>
    <row r="157" spans="1:11" ht="20.100000000000001" customHeight="1" x14ac:dyDescent="0.25">
      <c r="A157"/>
      <c r="D157" s="166" t="str" cm="1">
        <f t="array" ref="D157:D190">Table_SourceData_WasteSolid_WasteTreatmentEFs[Treatment type t]</f>
        <v>Landfill</v>
      </c>
      <c r="E157" s="170" t="str" cm="1">
        <f t="array" ref="E157:E190">Table_SourceData_WasteSolid_WasteTreatmentEFs[Waste type w]</f>
        <v>Food waste (including animal carcasses, spoiled animal feed or crop)</v>
      </c>
      <c r="F157" s="208"/>
      <c r="G157" s="49" cm="1">
        <f t="array" ref="G157">WasteSolid_InputFunctions.WasteSolid_InputFunctions_SumWasteTreatment(Table_Input_SolidWaste[Treatment type (select)],Table_Input_SolidWaste[Waste type (select)],Table_Input_SolidWaste[Treatment location (select)],Table_Input_SolidWaste[Amount unit (select)],Table_Input_SolidWaste[Amount],D21,E21, "Removed and treated off-site", "tonnes")</f>
        <v>50</v>
      </c>
      <c r="H157" s="49">
        <f t="shared" ref="H157:H190" si="3">I59</f>
        <v>25</v>
      </c>
      <c r="I157" s="49">
        <f>G157+H157</f>
        <v>75</v>
      </c>
      <c r="J157" s="49" cm="1">
        <f t="array" ref="J157">Common_InputFunctions.Utility_LookupValueInTableTwoColumns(D157,E157,Table_SourceData_WasteSolid_WasteTreatmentEFs[Treatment type t],Table_SourceData_WasteSolid_WasteTreatmentEFs[Waste type w],Table_SourceData_WasteSolid_WasteTreatmentEFs[EFwt])</f>
        <v>2.1</v>
      </c>
      <c r="K157" s="49" cm="1">
        <f t="array" ref="K157">WasteSolid_Equations.VEERG_10_1_1_1__1_EmissionsFromWasteManagement(I157, J157)</f>
        <v>157.5</v>
      </c>
    </row>
    <row r="158" spans="1:11" ht="20.100000000000001" customHeight="1" x14ac:dyDescent="0.25">
      <c r="A158"/>
      <c r="D158" s="166" t="str">
        <v>Landfill</v>
      </c>
      <c r="E158" s="170" t="str">
        <v>Paper and cardboard</v>
      </c>
      <c r="F158" s="208"/>
      <c r="G158" s="49" cm="1">
        <f t="array" ref="G158">WasteSolid_InputFunctions.WasteSolid_InputFunctions_SumWasteTreatment(Table_Input_SolidWaste[Treatment type (select)],Table_Input_SolidWaste[Waste type (select)],Table_Input_SolidWaste[Treatment location (select)],Table_Input_SolidWaste[Amount unit (select)],Table_Input_SolidWaste[Amount],D22,E22, "Removed and treated off-site", "tonnes")</f>
        <v>50</v>
      </c>
      <c r="H158" s="49">
        <f t="shared" si="3"/>
        <v>4.5</v>
      </c>
      <c r="I158" s="49">
        <f t="shared" ref="I158:I167" si="4">G158+H158</f>
        <v>54.5</v>
      </c>
      <c r="J158" s="49" cm="1">
        <f t="array" ref="J158">Common_InputFunctions.Utility_LookupValueInTableTwoColumns(D158,E158,Table_SourceData_WasteSolid_WasteTreatmentEFs[Treatment type t],Table_SourceData_WasteSolid_WasteTreatmentEFs[Waste type w],Table_SourceData_WasteSolid_WasteTreatmentEFs[EFwt])</f>
        <v>3.3</v>
      </c>
      <c r="K158" s="49" cm="1">
        <f t="array" ref="K158">WasteSolid_Equations.VEERG_10_1_1_1__1_EmissionsFromWasteManagement(I158, J158)</f>
        <v>179.85</v>
      </c>
    </row>
    <row r="159" spans="1:11" ht="20.100000000000001" customHeight="1" x14ac:dyDescent="0.25">
      <c r="A159"/>
      <c r="D159" s="166" t="str">
        <v>Landfill</v>
      </c>
      <c r="E159" s="170" t="str">
        <v>Green waste (including crop residues or prunings)</v>
      </c>
      <c r="F159" s="208"/>
      <c r="G159" s="49" cm="1">
        <f t="array" ref="G159">WasteSolid_InputFunctions.WasteSolid_InputFunctions_SumWasteTreatment(Table_Input_SolidWaste[Treatment type (select)],Table_Input_SolidWaste[Waste type (select)],Table_Input_SolidWaste[Treatment location (select)],Table_Input_SolidWaste[Amount unit (select)],Table_Input_SolidWaste[Amount],D23,E23, "Removed and treated off-site", "tonnes")</f>
        <v>50</v>
      </c>
      <c r="H159" s="49">
        <f t="shared" si="3"/>
        <v>12</v>
      </c>
      <c r="I159" s="49">
        <f t="shared" si="4"/>
        <v>62</v>
      </c>
      <c r="J159" s="49" cm="1">
        <f t="array" ref="J159">Common_InputFunctions.Utility_LookupValueInTableTwoColumns(D159,E159,Table_SourceData_WasteSolid_WasteTreatmentEFs[Treatment type t],Table_SourceData_WasteSolid_WasteTreatmentEFs[Waste type w],Table_SourceData_WasteSolid_WasteTreatmentEFs[EFwt])</f>
        <v>1.6</v>
      </c>
      <c r="K159" s="49" cm="1">
        <f t="array" ref="K159">WasteSolid_Equations.VEERG_10_1_1_1__1_EmissionsFromWasteManagement(I159, J159)</f>
        <v>99.2</v>
      </c>
    </row>
    <row r="160" spans="1:11" ht="20.100000000000001" customHeight="1" x14ac:dyDescent="0.25">
      <c r="A160"/>
      <c r="D160" s="166" t="str">
        <v>Landfill</v>
      </c>
      <c r="E160" s="170" t="str">
        <v>Wood</v>
      </c>
      <c r="F160" s="208"/>
      <c r="G160" s="49" cm="1">
        <f t="array" ref="G160">WasteSolid_InputFunctions.WasteSolid_InputFunctions_SumWasteTreatment(Table_Input_SolidWaste[Treatment type (select)],Table_Input_SolidWaste[Waste type (select)],Table_Input_SolidWaste[Treatment location (select)],Table_Input_SolidWaste[Amount unit (select)],Table_Input_SolidWaste[Amount],D24,E24, "Removed and treated off-site", "tonnes")</f>
        <v>0</v>
      </c>
      <c r="H160" s="49">
        <f t="shared" si="3"/>
        <v>0</v>
      </c>
      <c r="I160" s="49">
        <f t="shared" si="4"/>
        <v>0</v>
      </c>
      <c r="J160" s="49" cm="1">
        <f t="array" ref="J160">Common_InputFunctions.Utility_LookupValueInTableTwoColumns(D160,E160,Table_SourceData_WasteSolid_WasteTreatmentEFs[Treatment type t],Table_SourceData_WasteSolid_WasteTreatmentEFs[Waste type w],Table_SourceData_WasteSolid_WasteTreatmentEFs[EFwt])</f>
        <v>0.7</v>
      </c>
      <c r="K160" s="49" cm="1">
        <f t="array" ref="K160">WasteSolid_Equations.VEERG_10_1_1_1__1_EmissionsFromWasteManagement(I160, J160)</f>
        <v>0</v>
      </c>
    </row>
    <row r="161" spans="4:11" ht="20.100000000000001" customHeight="1" x14ac:dyDescent="0.25">
      <c r="D161" s="166" t="str">
        <v>Landfill</v>
      </c>
      <c r="E161" s="170" t="str">
        <v>Textiles</v>
      </c>
      <c r="F161" s="208"/>
      <c r="G161" s="49" cm="1">
        <f t="array" ref="G161">WasteSolid_InputFunctions.WasteSolid_InputFunctions_SumWasteTreatment(Table_Input_SolidWaste[Treatment type (select)],Table_Input_SolidWaste[Waste type (select)],Table_Input_SolidWaste[Treatment location (select)],Table_Input_SolidWaste[Amount unit (select)],Table_Input_SolidWaste[Amount],D25,E25, "Removed and treated off-site", "tonnes")</f>
        <v>0</v>
      </c>
      <c r="H161" s="49">
        <f t="shared" si="3"/>
        <v>0</v>
      </c>
      <c r="I161" s="49">
        <f t="shared" si="4"/>
        <v>0</v>
      </c>
      <c r="J161" s="49" cm="1">
        <f t="array" ref="J161">Common_InputFunctions.Utility_LookupValueInTableTwoColumns(D161,E161,Table_SourceData_WasteSolid_WasteTreatmentEFs[Treatment type t],Table_SourceData_WasteSolid_WasteTreatmentEFs[Waste type w],Table_SourceData_WasteSolid_WasteTreatmentEFs[EFwt])</f>
        <v>2</v>
      </c>
      <c r="K161" s="49" cm="1">
        <f t="array" ref="K161">WasteSolid_Equations.VEERG_10_1_1_1__1_EmissionsFromWasteManagement(I161, J161)</f>
        <v>0</v>
      </c>
    </row>
    <row r="162" spans="4:11" ht="20.100000000000001" customHeight="1" x14ac:dyDescent="0.25">
      <c r="D162" s="166" t="str">
        <v>Landfill</v>
      </c>
      <c r="E162" s="170" t="str">
        <v>Sludge</v>
      </c>
      <c r="F162" s="208"/>
      <c r="G162" s="49" cm="1">
        <f t="array" ref="G162">WasteSolid_InputFunctions.WasteSolid_InputFunctions_SumWasteTreatment(Table_Input_SolidWaste[Treatment type (select)],Table_Input_SolidWaste[Waste type (select)],Table_Input_SolidWaste[Treatment location (select)],Table_Input_SolidWaste[Amount unit (select)],Table_Input_SolidWaste[Amount],D26,E26, "Removed and treated off-site", "tonnes")</f>
        <v>0</v>
      </c>
      <c r="H162" s="49">
        <f t="shared" si="3"/>
        <v>0</v>
      </c>
      <c r="I162" s="49">
        <f t="shared" si="4"/>
        <v>0</v>
      </c>
      <c r="J162" s="49" cm="1">
        <f t="array" ref="J162">Common_InputFunctions.Utility_LookupValueInTableTwoColumns(D162,E162,Table_SourceData_WasteSolid_WasteTreatmentEFs[Treatment type t],Table_SourceData_WasteSolid_WasteTreatmentEFs[Waste type w],Table_SourceData_WasteSolid_WasteTreatmentEFs[EFwt])</f>
        <v>0.4</v>
      </c>
      <c r="K162" s="49" cm="1">
        <f t="array" ref="K162">WasteSolid_Equations.VEERG_10_1_1_1__1_EmissionsFromWasteManagement(I162, J162)</f>
        <v>0</v>
      </c>
    </row>
    <row r="163" spans="4:11" ht="20.100000000000001" customHeight="1" x14ac:dyDescent="0.25">
      <c r="D163" s="166" t="str">
        <v>Landfill</v>
      </c>
      <c r="E163" s="170" t="str">
        <v>Rubber and leather</v>
      </c>
      <c r="F163" s="208"/>
      <c r="G163" s="49" cm="1">
        <f t="array" ref="G163">WasteSolid_InputFunctions.WasteSolid_InputFunctions_SumWasteTreatment(Table_Input_SolidWaste[Treatment type (select)],Table_Input_SolidWaste[Waste type (select)],Table_Input_SolidWaste[Treatment location (select)],Table_Input_SolidWaste[Amount unit (select)],Table_Input_SolidWaste[Amount],D27,E27, "Removed and treated off-site", "tonnes")</f>
        <v>0</v>
      </c>
      <c r="H163" s="49">
        <f t="shared" si="3"/>
        <v>0</v>
      </c>
      <c r="I163" s="49">
        <f t="shared" si="4"/>
        <v>0</v>
      </c>
      <c r="J163" s="49" cm="1">
        <f t="array" ref="J163">Common_InputFunctions.Utility_LookupValueInTableTwoColumns(D163,E163,Table_SourceData_WasteSolid_WasteTreatmentEFs[Treatment type t],Table_SourceData_WasteSolid_WasteTreatmentEFs[Waste type w],Table_SourceData_WasteSolid_WasteTreatmentEFs[EFwt])</f>
        <v>3.3</v>
      </c>
      <c r="K163" s="49" cm="1">
        <f t="array" ref="K163">WasteSolid_Equations.VEERG_10_1_1_1__1_EmissionsFromWasteManagement(I163, J163)</f>
        <v>0</v>
      </c>
    </row>
    <row r="164" spans="4:11" ht="20.100000000000001" customHeight="1" x14ac:dyDescent="0.25">
      <c r="D164" s="166" t="str">
        <v>Landfill</v>
      </c>
      <c r="E164" s="170" t="str">
        <v>Inert waste (including concrete, metal, plastic or glass)</v>
      </c>
      <c r="F164" s="208"/>
      <c r="G164" s="49" cm="1">
        <f t="array" ref="G164">WasteSolid_InputFunctions.WasteSolid_InputFunctions_SumWasteTreatment(Table_Input_SolidWaste[Treatment type (select)],Table_Input_SolidWaste[Waste type (select)],Table_Input_SolidWaste[Treatment location (select)],Table_Input_SolidWaste[Amount unit (select)],Table_Input_SolidWaste[Amount],D28,E28, "Removed and treated off-site", "tonnes")</f>
        <v>0</v>
      </c>
      <c r="H164" s="49">
        <f t="shared" si="3"/>
        <v>0</v>
      </c>
      <c r="I164" s="49">
        <f t="shared" si="4"/>
        <v>0</v>
      </c>
      <c r="J164" s="49" cm="1">
        <f t="array" ref="J164">Common_InputFunctions.Utility_LookupValueInTableTwoColumns(D164,E164,Table_SourceData_WasteSolid_WasteTreatmentEFs[Treatment type t],Table_SourceData_WasteSolid_WasteTreatmentEFs[Waste type w],Table_SourceData_WasteSolid_WasteTreatmentEFs[EFwt])</f>
        <v>0</v>
      </c>
      <c r="K164" s="49" cm="1">
        <f t="array" ref="K164">WasteSolid_Equations.VEERG_10_1_1_1__1_EmissionsFromWasteManagement(I164, J164)</f>
        <v>0</v>
      </c>
    </row>
    <row r="165" spans="4:11" ht="20.100000000000001" customHeight="1" x14ac:dyDescent="0.25">
      <c r="D165" s="166" t="str">
        <v>Landfill</v>
      </c>
      <c r="E165" s="170" t="str">
        <v>Municipal solid waste</v>
      </c>
      <c r="F165" s="208"/>
      <c r="G165" s="49" cm="1">
        <f t="array" ref="G165">WasteSolid_InputFunctions.WasteSolid_InputFunctions_SumWasteTreatment(Table_Input_SolidWaste[Treatment type (select)],Table_Input_SolidWaste[Waste type (select)],Table_Input_SolidWaste[Treatment location (select)],Table_Input_SolidWaste[Amount unit (select)],Table_Input_SolidWaste[Amount],D29,E29, "Removed and treated off-site", "tonnes")</f>
        <v>0</v>
      </c>
      <c r="H165" s="49">
        <f t="shared" si="3"/>
        <v>0</v>
      </c>
      <c r="I165" s="49">
        <f t="shared" si="4"/>
        <v>0</v>
      </c>
      <c r="J165" s="49" cm="1">
        <f t="array" ref="J165">Common_InputFunctions.Utility_LookupValueInTableTwoColumns(D165,E165,Table_SourceData_WasteSolid_WasteTreatmentEFs[Treatment type t],Table_SourceData_WasteSolid_WasteTreatmentEFs[Waste type w],Table_SourceData_WasteSolid_WasteTreatmentEFs[EFwt])</f>
        <v>1.6</v>
      </c>
      <c r="K165" s="49" cm="1">
        <f t="array" ref="K165">WasteSolid_Equations.VEERG_10_1_1_1__1_EmissionsFromWasteManagement(I165, J165)</f>
        <v>0</v>
      </c>
    </row>
    <row r="166" spans="4:11" ht="20.100000000000001" customHeight="1" x14ac:dyDescent="0.25">
      <c r="D166" s="166" t="str">
        <v>Landfill</v>
      </c>
      <c r="E166" s="170" t="str">
        <v>Commercial and industrial waste</v>
      </c>
      <c r="F166" s="208"/>
      <c r="G166" s="49" cm="1">
        <f t="array" ref="G166">WasteSolid_InputFunctions.WasteSolid_InputFunctions_SumWasteTreatment(Table_Input_SolidWaste[Treatment type (select)],Table_Input_SolidWaste[Waste type (select)],Table_Input_SolidWaste[Treatment location (select)],Table_Input_SolidWaste[Amount unit (select)],Table_Input_SolidWaste[Amount],D30,E30, "Removed and treated off-site", "tonnes")</f>
        <v>0</v>
      </c>
      <c r="H166" s="49">
        <f t="shared" si="3"/>
        <v>0</v>
      </c>
      <c r="I166" s="49">
        <f t="shared" si="4"/>
        <v>0</v>
      </c>
      <c r="J166" s="49" cm="1">
        <f t="array" ref="J166">Common_InputFunctions.Utility_LookupValueInTableTwoColumns(D166,E166,Table_SourceData_WasteSolid_WasteTreatmentEFs[Treatment type t],Table_SourceData_WasteSolid_WasteTreatmentEFs[Waste type w],Table_SourceData_WasteSolid_WasteTreatmentEFs[EFwt])</f>
        <v>1.3</v>
      </c>
      <c r="K166" s="49" cm="1">
        <f t="array" ref="K166">WasteSolid_Equations.VEERG_10_1_1_1__1_EmissionsFromWasteManagement(I166, J166)</f>
        <v>0</v>
      </c>
    </row>
    <row r="167" spans="4:11" ht="20.100000000000001" customHeight="1" x14ac:dyDescent="0.25">
      <c r="D167" s="166" t="str">
        <v>Landfill</v>
      </c>
      <c r="E167" s="170" t="str">
        <v>Construction and demolition waste</v>
      </c>
      <c r="F167" s="208"/>
      <c r="G167" s="49" cm="1">
        <f t="array" ref="G167">WasteSolid_InputFunctions.WasteSolid_InputFunctions_SumWasteTreatment(Table_Input_SolidWaste[Treatment type (select)],Table_Input_SolidWaste[Waste type (select)],Table_Input_SolidWaste[Treatment location (select)],Table_Input_SolidWaste[Amount unit (select)],Table_Input_SolidWaste[Amount],D31,E31, "Removed and treated off-site", "tonnes")</f>
        <v>0</v>
      </c>
      <c r="H167" s="49">
        <f t="shared" si="3"/>
        <v>0</v>
      </c>
      <c r="I167" s="49">
        <f t="shared" si="4"/>
        <v>0</v>
      </c>
      <c r="J167" s="49" cm="1">
        <f t="array" ref="J167">Common_InputFunctions.Utility_LookupValueInTableTwoColumns(D167,E167,Table_SourceData_WasteSolid_WasteTreatmentEFs[Treatment type t],Table_SourceData_WasteSolid_WasteTreatmentEFs[Waste type w],Table_SourceData_WasteSolid_WasteTreatmentEFs[EFwt])</f>
        <v>0.2</v>
      </c>
      <c r="K167" s="49" cm="1">
        <f t="array" ref="K167">WasteSolid_Equations.VEERG_10_1_1_1__1_EmissionsFromWasteManagement(I167, J167)</f>
        <v>0</v>
      </c>
    </row>
    <row r="168" spans="4:11" ht="20.100000000000001" customHeight="1" x14ac:dyDescent="0.25">
      <c r="D168" s="166" t="str">
        <v>Incineration</v>
      </c>
      <c r="E168" s="170" t="str">
        <v>Food waste, green waste, wood, sludge</v>
      </c>
      <c r="F168" s="208"/>
      <c r="G168" s="49" t="s">
        <v>838</v>
      </c>
      <c r="H168" s="49" t="str">
        <f t="shared" si="3"/>
        <v>Not used</v>
      </c>
      <c r="I168" s="49">
        <f>SUM(G169:G172)+SUM(H169:H172)</f>
        <v>62</v>
      </c>
      <c r="J168" s="49" cm="1">
        <f t="array" ref="J168">Common_InputFunctions.Utility_LookupValueInTableTwoColumns(D168,E168,Table_SourceData_WasteSolid_WasteTreatmentEFs[Treatment type t],Table_SourceData_WasteSolid_WasteTreatmentEFs[Waste type w],Table_SourceData_WasteSolid_WasteTreatmentEFs[EFwt])</f>
        <v>0</v>
      </c>
      <c r="K168" s="49" cm="1">
        <f t="array" ref="K168">WasteSolid_Equations.VEERG_10_1_1_1__1_EmissionsFromWasteManagement(I168, J168)</f>
        <v>0</v>
      </c>
    </row>
    <row r="169" spans="4:11" ht="20.100000000000001" customHeight="1" x14ac:dyDescent="0.25">
      <c r="D169" s="166" t="str">
        <v>Incineration</v>
      </c>
      <c r="E169" s="170" t="str">
        <v>Food waste (including animal carcasses, spoiled animal feed or crop)</v>
      </c>
      <c r="F169" s="208"/>
      <c r="G169" s="49" cm="1">
        <f t="array" ref="G169">WasteSolid_InputFunctions.WasteSolid_InputFunctions_SumWasteTreatment(Table_Input_SolidWaste[Treatment type (select)],Table_Input_SolidWaste[Waste type (select)],Table_Input_SolidWaste[Treatment location (select)],Table_Input_SolidWaste[Amount unit (select)],Table_Input_SolidWaste[Amount],D33,E33, "Removed and treated off-site", "tonnes")</f>
        <v>0</v>
      </c>
      <c r="H169" s="49">
        <f t="shared" si="3"/>
        <v>0</v>
      </c>
      <c r="I169" s="49" t="s">
        <v>843</v>
      </c>
      <c r="J169" s="49" t="s">
        <v>838</v>
      </c>
      <c r="K169" s="49" t="s">
        <v>838</v>
      </c>
    </row>
    <row r="170" spans="4:11" ht="20.100000000000001" customHeight="1" x14ac:dyDescent="0.25">
      <c r="D170" s="166" t="str">
        <v>Incineration</v>
      </c>
      <c r="E170" s="170" t="str">
        <v>Green waste (including crop residues or prunings)</v>
      </c>
      <c r="F170" s="208"/>
      <c r="G170" s="49" cm="1">
        <f t="array" ref="G170">WasteSolid_InputFunctions.WasteSolid_InputFunctions_SumWasteTreatment(Table_Input_SolidWaste[Treatment type (select)],Table_Input_SolidWaste[Waste type (select)],Table_Input_SolidWaste[Treatment location (select)],Table_Input_SolidWaste[Amount unit (select)],Table_Input_SolidWaste[Amount],D34,E34, "Removed and treated off-site", "tonnes")</f>
        <v>50</v>
      </c>
      <c r="H170" s="49">
        <f t="shared" si="3"/>
        <v>12</v>
      </c>
      <c r="I170" s="49" t="s">
        <v>843</v>
      </c>
      <c r="J170" s="49" t="s">
        <v>838</v>
      </c>
      <c r="K170" s="49" t="s">
        <v>838</v>
      </c>
    </row>
    <row r="171" spans="4:11" ht="20.100000000000001" customHeight="1" x14ac:dyDescent="0.25">
      <c r="D171" s="166" t="str">
        <v>Incineration</v>
      </c>
      <c r="E171" s="170" t="str">
        <v>Wood</v>
      </c>
      <c r="F171" s="208"/>
      <c r="G171" s="49" cm="1">
        <f t="array" ref="G171">WasteSolid_InputFunctions.WasteSolid_InputFunctions_SumWasteTreatment(Table_Input_SolidWaste[Treatment type (select)],Table_Input_SolidWaste[Waste type (select)],Table_Input_SolidWaste[Treatment location (select)],Table_Input_SolidWaste[Amount unit (select)],Table_Input_SolidWaste[Amount],D35,E35, "Removed and treated off-site", "tonnes")</f>
        <v>0</v>
      </c>
      <c r="H171" s="49">
        <f t="shared" si="3"/>
        <v>0</v>
      </c>
      <c r="I171" s="49" t="s">
        <v>843</v>
      </c>
      <c r="J171" s="49" t="s">
        <v>838</v>
      </c>
      <c r="K171" s="49" t="s">
        <v>838</v>
      </c>
    </row>
    <row r="172" spans="4:11" ht="20.100000000000001" customHeight="1" x14ac:dyDescent="0.25">
      <c r="D172" s="166" t="str">
        <v>Incineration</v>
      </c>
      <c r="E172" s="170" t="str">
        <v>Sludge</v>
      </c>
      <c r="F172" s="208"/>
      <c r="G172" s="49" cm="1">
        <f t="array" ref="G172">WasteSolid_InputFunctions.WasteSolid_InputFunctions_SumWasteTreatment(Table_Input_SolidWaste[Treatment type (select)],Table_Input_SolidWaste[Waste type (select)],Table_Input_SolidWaste[Treatment location (select)],Table_Input_SolidWaste[Amount unit (select)],Table_Input_SolidWaste[Amount],D36,E36, "Removed and treated off-site", "tonnes")</f>
        <v>0</v>
      </c>
      <c r="H172" s="49">
        <f t="shared" si="3"/>
        <v>0</v>
      </c>
      <c r="I172" s="49" t="s">
        <v>843</v>
      </c>
      <c r="J172" s="49" t="s">
        <v>838</v>
      </c>
      <c r="K172" s="49" t="s">
        <v>838</v>
      </c>
    </row>
    <row r="173" spans="4:11" ht="20.100000000000001" customHeight="1" x14ac:dyDescent="0.25">
      <c r="D173" s="166" t="str">
        <v>Incineration</v>
      </c>
      <c r="E173" s="170" t="str">
        <v>Paper and cardboard</v>
      </c>
      <c r="F173" s="208"/>
      <c r="G173" s="49" cm="1">
        <f t="array" ref="G173">WasteSolid_InputFunctions.WasteSolid_InputFunctions_SumWasteTreatment(Table_Input_SolidWaste[Treatment type (select)],Table_Input_SolidWaste[Waste type (select)],Table_Input_SolidWaste[Treatment location (select)],Table_Input_SolidWaste[Amount unit (select)],Table_Input_SolidWaste[Amount],D37,E37, "Removed and treated off-site", "tonnes")</f>
        <v>0</v>
      </c>
      <c r="H173" s="49">
        <f t="shared" si="3"/>
        <v>0</v>
      </c>
      <c r="I173" s="49">
        <f t="shared" ref="I173:I178" si="5">G173+H173</f>
        <v>0</v>
      </c>
      <c r="J173" s="49" cm="1">
        <f t="array" ref="J173">Common_InputFunctions.Utility_LookupValueInTableTwoColumns(D173,E173,Table_SourceData_WasteSolid_WasteTreatmentEFs[Treatment type t],Table_SourceData_WasteSolid_WasteTreatmentEFs[Waste type w],Table_SourceData_WasteSolid_WasteTreatmentEFs[EFwt])</f>
        <v>1.6899999999999998E-2</v>
      </c>
      <c r="K173" s="49" cm="1">
        <f t="array" ref="K173">WasteSolid_Equations.VEERG_10_1_1_1__1_EmissionsFromWasteManagement(I173, J173)</f>
        <v>0</v>
      </c>
    </row>
    <row r="174" spans="4:11" ht="20.100000000000001" customHeight="1" x14ac:dyDescent="0.25">
      <c r="D174" s="166" t="str">
        <v>Incineration</v>
      </c>
      <c r="E174" s="170" t="str">
        <v>Textiles</v>
      </c>
      <c r="F174" s="208"/>
      <c r="G174" s="49" cm="1">
        <f t="array" ref="G174">WasteSolid_InputFunctions.WasteSolid_InputFunctions_SumWasteTreatment(Table_Input_SolidWaste[Treatment type (select)],Table_Input_SolidWaste[Waste type (select)],Table_Input_SolidWaste[Treatment location (select)],Table_Input_SolidWaste[Amount unit (select)],Table_Input_SolidWaste[Amount],D38,E38, "Removed and treated off-site", "tonnes")</f>
        <v>0</v>
      </c>
      <c r="H174" s="49">
        <f t="shared" si="3"/>
        <v>0</v>
      </c>
      <c r="I174" s="49">
        <f t="shared" si="5"/>
        <v>0</v>
      </c>
      <c r="J174" s="49" cm="1">
        <f t="array" ref="J174">Common_InputFunctions.Utility_LookupValueInTableTwoColumns(D174,E174,Table_SourceData_WasteSolid_WasteTreatmentEFs[Treatment type t],Table_SourceData_WasteSolid_WasteTreatmentEFs[Waste type w],Table_SourceData_WasteSolid_WasteTreatmentEFs[EFwt])</f>
        <v>0.36670000000000003</v>
      </c>
      <c r="K174" s="49" cm="1">
        <f t="array" ref="K174">WasteSolid_Equations.VEERG_10_1_1_1__1_EmissionsFromWasteManagement(I174, J174)</f>
        <v>0</v>
      </c>
    </row>
    <row r="175" spans="4:11" ht="20.100000000000001" customHeight="1" x14ac:dyDescent="0.25">
      <c r="D175" s="166" t="str">
        <v>Incineration</v>
      </c>
      <c r="E175" s="170" t="str">
        <v>Rubber and leather</v>
      </c>
      <c r="F175" s="208"/>
      <c r="G175" s="49" cm="1">
        <f t="array" ref="G175">WasteSolid_InputFunctions.WasteSolid_InputFunctions_SumWasteTreatment(Table_Input_SolidWaste[Treatment type (select)],Table_Input_SolidWaste[Waste type (select)],Table_Input_SolidWaste[Treatment location (select)],Table_Input_SolidWaste[Amount unit (select)],Table_Input_SolidWaste[Amount],D39,E39, "Removed and treated off-site", "tonnes")</f>
        <v>0</v>
      </c>
      <c r="H175" s="49">
        <f t="shared" si="3"/>
        <v>0</v>
      </c>
      <c r="I175" s="49">
        <f t="shared" si="5"/>
        <v>0</v>
      </c>
      <c r="J175" s="49" cm="1">
        <f t="array" ref="J175">Common_InputFunctions.Utility_LookupValueInTableTwoColumns(D175,E175,Table_SourceData_WasteSolid_WasteTreatmentEFs[Treatment type t],Table_SourceData_WasteSolid_WasteTreatmentEFs[Waste type w],Table_SourceData_WasteSolid_WasteTreatmentEFs[EFwt])</f>
        <v>0.4919</v>
      </c>
      <c r="K175" s="49" cm="1">
        <f t="array" ref="K175">WasteSolid_Equations.VEERG_10_1_1_1__1_EmissionsFromWasteManagement(I175, J175)</f>
        <v>0</v>
      </c>
    </row>
    <row r="176" spans="4:11" ht="20.100000000000001" customHeight="1" x14ac:dyDescent="0.25">
      <c r="D176" s="166" t="str">
        <v>Incineration</v>
      </c>
      <c r="E176" s="170" t="str">
        <v>Inert waste (including concrete, metal, plastic or glass)</v>
      </c>
      <c r="F176" s="208"/>
      <c r="G176" s="49" cm="1">
        <f t="array" ref="G176">WasteSolid_InputFunctions.WasteSolid_InputFunctions_SumWasteTreatment(Table_Input_SolidWaste[Treatment type (select)],Table_Input_SolidWaste[Waste type (select)],Table_Input_SolidWaste[Treatment location (select)],Table_Input_SolidWaste[Amount unit (select)],Table_Input_SolidWaste[Amount],D40,E40, "Removed and treated off-site", "tonnes")</f>
        <v>0</v>
      </c>
      <c r="H176" s="49">
        <f t="shared" si="3"/>
        <v>0</v>
      </c>
      <c r="I176" s="49">
        <f t="shared" si="5"/>
        <v>0</v>
      </c>
      <c r="J176" s="49" cm="1">
        <f t="array" ref="J176">Common_InputFunctions.Utility_LookupValueInTableTwoColumns(D176,E176,Table_SourceData_WasteSolid_WasteTreatmentEFs[Treatment type t],Table_SourceData_WasteSolid_WasteTreatmentEFs[Waste type w],Table_SourceData_WasteSolid_WasteTreatmentEFs[EFwt])</f>
        <v>0.11</v>
      </c>
      <c r="K176" s="49" cm="1">
        <f t="array" ref="K176">WasteSolid_Equations.VEERG_10_1_1_1__1_EmissionsFromWasteManagement(I176, J176)</f>
        <v>0</v>
      </c>
    </row>
    <row r="177" spans="4:11" ht="20.100000000000001" customHeight="1" x14ac:dyDescent="0.25">
      <c r="D177" s="166" t="str">
        <v>Incineration</v>
      </c>
      <c r="E177" s="170" t="str">
        <v>Municipal solid waste</v>
      </c>
      <c r="F177" s="165"/>
      <c r="G177" s="49" cm="1">
        <f t="array" ref="G177">WasteSolid_InputFunctions.WasteSolid_InputFunctions_SumWasteTreatment(Table_Input_SolidWaste[Treatment type (select)],Table_Input_SolidWaste[Waste type (select)],Table_Input_SolidWaste[Treatment location (select)],Table_Input_SolidWaste[Amount unit (select)],Table_Input_SolidWaste[Amount],D41,E41, "Removed and treated off-site", "tonnes")</f>
        <v>0</v>
      </c>
      <c r="H177" s="49">
        <f t="shared" si="3"/>
        <v>0</v>
      </c>
      <c r="I177" s="49">
        <f t="shared" si="5"/>
        <v>0</v>
      </c>
      <c r="J177" s="49" cm="1">
        <f t="array" ref="J177">Common_InputFunctions.Utility_LookupValueInTableTwoColumns(D177,E177,Table_SourceData_WasteSolid_WasteTreatmentEFs[Treatment type t],Table_SourceData_WasteSolid_WasteTreatmentEFs[Waste type w],Table_SourceData_WasteSolid_WasteTreatmentEFs[EFwt])</f>
        <v>5.3699999999999998E-2</v>
      </c>
      <c r="K177" s="49" cm="1">
        <f t="array" ref="K177">WasteSolid_Equations.VEERG_10_1_1_1__1_EmissionsFromWasteManagement(I177, J177)</f>
        <v>0</v>
      </c>
    </row>
    <row r="178" spans="4:11" ht="20.100000000000001" customHeight="1" x14ac:dyDescent="0.25">
      <c r="D178" s="166" t="str">
        <v>Incineration</v>
      </c>
      <c r="E178" s="170" t="str">
        <v>Commercial and industrial waste</v>
      </c>
      <c r="F178" s="165"/>
      <c r="G178" s="49" cm="1">
        <f t="array" ref="G178">WasteSolid_InputFunctions.WasteSolid_InputFunctions_SumWasteTreatment(Table_Input_SolidWaste[Treatment type (select)],Table_Input_SolidWaste[Waste type (select)],Table_Input_SolidWaste[Treatment location (select)],Table_Input_SolidWaste[Amount unit (select)],Table_Input_SolidWaste[Amount],D42,E42, "Removed and treated off-site", "tonnes")</f>
        <v>0</v>
      </c>
      <c r="H178" s="49">
        <f t="shared" si="3"/>
        <v>0</v>
      </c>
      <c r="I178" s="49">
        <f t="shared" si="5"/>
        <v>0</v>
      </c>
      <c r="J178" s="49" cm="1">
        <f t="array" ref="J178">Common_InputFunctions.Utility_LookupValueInTableTwoColumns(D178,E178,Table_SourceData_WasteSolid_WasteTreatmentEFs[Treatment type t],Table_SourceData_WasteSolid_WasteTreatmentEFs[Waste type w],Table_SourceData_WasteSolid_WasteTreatmentEFs[EFwt])</f>
        <v>1.649</v>
      </c>
      <c r="K178" s="49" cm="1">
        <f t="array" ref="K178">WasteSolid_Equations.VEERG_10_1_1_1__1_EmissionsFromWasteManagement(I178, J178)</f>
        <v>0</v>
      </c>
    </row>
    <row r="179" spans="4:11" ht="20.100000000000001" customHeight="1" x14ac:dyDescent="0.25">
      <c r="D179" s="166" t="str">
        <v>Composting</v>
      </c>
      <c r="E179" s="170" t="str">
        <v>All organic waste</v>
      </c>
      <c r="F179" s="165"/>
      <c r="G179" s="49" t="s">
        <v>838</v>
      </c>
      <c r="H179" s="49" t="str">
        <f t="shared" si="3"/>
        <v>Not used</v>
      </c>
      <c r="I179" s="49">
        <f>SUM(G180:G184)+SUM(H180:H184)</f>
        <v>100</v>
      </c>
      <c r="J179" s="49" cm="1">
        <f t="array" ref="J179">Common_InputFunctions.Utility_LookupValueInTableTwoColumns(D179,E179,Table_SourceData_WasteSolid_WasteTreatmentEFs[Treatment type t],Table_SourceData_WasteSolid_WasteTreatmentEFs[Waste type w],Table_SourceData_WasteSolid_WasteTreatmentEFs[EFwt])</f>
        <v>4.5999999999999999E-2</v>
      </c>
      <c r="K179" s="49" cm="1">
        <f t="array" ref="K179">WasteSolid_Equations.VEERG_10_1_1_1__1_EmissionsFromWasteManagement(I179, J179)</f>
        <v>4.5999999999999996</v>
      </c>
    </row>
    <row r="180" spans="4:11" ht="20.100000000000001" customHeight="1" x14ac:dyDescent="0.25">
      <c r="D180" s="166" t="str">
        <v>Composting</v>
      </c>
      <c r="E180" s="170" t="str">
        <v>Food waste (including animal carcasses, spoiled animal feed or crop)</v>
      </c>
      <c r="F180" s="165"/>
      <c r="G180" s="49" cm="1">
        <f t="array" ref="G180">WasteSolid_InputFunctions.WasteSolid_InputFunctions_SumWasteTreatment(Table_Input_SolidWaste[Treatment type (select)],Table_Input_SolidWaste[Waste type (select)],Table_Input_SolidWaste[Treatment location (select)],Table_Input_SolidWaste[Amount unit (select)],Table_Input_SolidWaste[Amount],D44,E44, "Removed and treated off-site", "tonnes")</f>
        <v>50</v>
      </c>
      <c r="H180" s="49">
        <f t="shared" si="3"/>
        <v>0</v>
      </c>
      <c r="I180" s="49" t="s">
        <v>843</v>
      </c>
      <c r="J180" s="49" t="s">
        <v>838</v>
      </c>
      <c r="K180" s="49" t="s">
        <v>838</v>
      </c>
    </row>
    <row r="181" spans="4:11" ht="20.100000000000001" customHeight="1" x14ac:dyDescent="0.25">
      <c r="D181" s="166" t="str">
        <v>Composting</v>
      </c>
      <c r="E181" s="170" t="str">
        <v>Green waste (including crop residues or prunings)</v>
      </c>
      <c r="F181" s="165"/>
      <c r="G181" s="49" cm="1">
        <f t="array" ref="G181">WasteSolid_InputFunctions.WasteSolid_InputFunctions_SumWasteTreatment(Table_Input_SolidWaste[Treatment type (select)],Table_Input_SolidWaste[Waste type (select)],Table_Input_SolidWaste[Treatment location (select)],Table_Input_SolidWaste[Amount unit (select)],Table_Input_SolidWaste[Amount],D45,E45, "Removed and treated off-site", "tonnes")</f>
        <v>0</v>
      </c>
      <c r="H181" s="49">
        <f t="shared" si="3"/>
        <v>0</v>
      </c>
      <c r="I181" s="49" t="s">
        <v>843</v>
      </c>
      <c r="J181" s="49" t="s">
        <v>838</v>
      </c>
      <c r="K181" s="49" t="s">
        <v>838</v>
      </c>
    </row>
    <row r="182" spans="4:11" ht="20.100000000000001" customHeight="1" x14ac:dyDescent="0.25">
      <c r="D182" s="166" t="str">
        <v>Composting</v>
      </c>
      <c r="E182" s="170" t="str">
        <v>Wood</v>
      </c>
      <c r="F182" s="165"/>
      <c r="G182" s="49" cm="1">
        <f t="array" ref="G182">WasteSolid_InputFunctions.WasteSolid_InputFunctions_SumWasteTreatment(Table_Input_SolidWaste[Treatment type (select)],Table_Input_SolidWaste[Waste type (select)],Table_Input_SolidWaste[Treatment location (select)],Table_Input_SolidWaste[Amount unit (select)],Table_Input_SolidWaste[Amount],D46,E46, "Removed and treated off-site", "tonnes")</f>
        <v>0</v>
      </c>
      <c r="H182" s="49">
        <f t="shared" si="3"/>
        <v>0</v>
      </c>
      <c r="I182" s="49" t="s">
        <v>843</v>
      </c>
      <c r="J182" s="49" t="s">
        <v>838</v>
      </c>
      <c r="K182" s="49" t="s">
        <v>838</v>
      </c>
    </row>
    <row r="183" spans="4:11" ht="20.100000000000001" customHeight="1" x14ac:dyDescent="0.25">
      <c r="D183" s="166" t="str">
        <v>Composting</v>
      </c>
      <c r="E183" s="170" t="str">
        <v>Sludge</v>
      </c>
      <c r="F183" s="165"/>
      <c r="G183" s="49" cm="1">
        <f t="array" ref="G183">WasteSolid_InputFunctions.WasteSolid_InputFunctions_SumWasteTreatment(Table_Input_SolidWaste[Treatment type (select)],Table_Input_SolidWaste[Waste type (select)],Table_Input_SolidWaste[Treatment location (select)],Table_Input_SolidWaste[Amount unit (select)],Table_Input_SolidWaste[Amount],D47,E47, "Removed and treated off-site", "tonnes")</f>
        <v>0</v>
      </c>
      <c r="H183" s="49">
        <f t="shared" si="3"/>
        <v>0</v>
      </c>
      <c r="I183" s="49" t="s">
        <v>843</v>
      </c>
      <c r="J183" s="49" t="s">
        <v>838</v>
      </c>
      <c r="K183" s="49" t="s">
        <v>838</v>
      </c>
    </row>
    <row r="184" spans="4:11" ht="20.100000000000001" customHeight="1" x14ac:dyDescent="0.25">
      <c r="D184" s="166" t="str">
        <v>Composting</v>
      </c>
      <c r="E184" s="170" t="str">
        <v>Paper and cardboard</v>
      </c>
      <c r="F184" s="165"/>
      <c r="G184" s="49" cm="1">
        <f t="array" ref="G184">WasteSolid_InputFunctions.WasteSolid_InputFunctions_SumWasteTreatment(Table_Input_SolidWaste[Treatment type (select)],Table_Input_SolidWaste[Waste type (select)],Table_Input_SolidWaste[Treatment location (select)],Table_Input_SolidWaste[Amount unit (select)],Table_Input_SolidWaste[Amount],D48,E48, "Removed and treated off-site", "tonnes")</f>
        <v>50</v>
      </c>
      <c r="H184" s="49">
        <f t="shared" si="3"/>
        <v>0</v>
      </c>
      <c r="I184" s="49" t="s">
        <v>843</v>
      </c>
      <c r="J184" s="49" t="s">
        <v>838</v>
      </c>
      <c r="K184" s="49" t="s">
        <v>838</v>
      </c>
    </row>
    <row r="185" spans="4:11" ht="20.100000000000001" customHeight="1" x14ac:dyDescent="0.25">
      <c r="D185" s="166" t="str">
        <v>Anaerobic digestion</v>
      </c>
      <c r="E185" s="170" t="str">
        <v>All organic waste</v>
      </c>
      <c r="F185" s="165"/>
      <c r="G185" s="49" t="s">
        <v>838</v>
      </c>
      <c r="H185" s="49" t="str">
        <f t="shared" si="3"/>
        <v>Not used</v>
      </c>
      <c r="I185" s="49">
        <f>SUM(G186:G190)+SUM(H186:H190)</f>
        <v>0</v>
      </c>
      <c r="J185" s="49" cm="1">
        <f t="array" ref="J185">Common_InputFunctions.Utility_LookupValueInTableTwoColumns(D185,E185,Table_SourceData_WasteSolid_WasteTreatmentEFs[Treatment type t],Table_SourceData_WasteSolid_WasteTreatmentEFs[Waste type w],Table_SourceData_WasteSolid_WasteTreatmentEFs[EFwt])</f>
        <v>2.8000000000000001E-2</v>
      </c>
      <c r="K185" s="49" cm="1">
        <f t="array" ref="K185">WasteSolid_Equations.VEERG_10_1_1_1__1_EmissionsFromWasteManagement(I185, J185)</f>
        <v>0</v>
      </c>
    </row>
    <row r="186" spans="4:11" ht="20.100000000000001" customHeight="1" x14ac:dyDescent="0.25">
      <c r="D186" s="166" t="str">
        <v>Anaerobic digestion</v>
      </c>
      <c r="E186" s="170" t="str">
        <v>Food waste (including animal carcasses, spoiled animal feed or crop)</v>
      </c>
      <c r="F186" s="165"/>
      <c r="G186" s="49" cm="1">
        <f t="array" ref="G186">WasteSolid_InputFunctions.WasteSolid_InputFunctions_SumWasteTreatment(Table_Input_SolidWaste[Treatment type (select)],Table_Input_SolidWaste[Waste type (select)],Table_Input_SolidWaste[Treatment location (select)],Table_Input_SolidWaste[Amount unit (select)],Table_Input_SolidWaste[Amount],D50,E50, "Removed and treated off-site", "tonnes")</f>
        <v>0</v>
      </c>
      <c r="H186" s="49">
        <f t="shared" si="3"/>
        <v>0</v>
      </c>
      <c r="I186" s="49" t="s">
        <v>843</v>
      </c>
      <c r="J186" s="49" t="s">
        <v>838</v>
      </c>
      <c r="K186" s="49" t="s">
        <v>838</v>
      </c>
    </row>
    <row r="187" spans="4:11" ht="20.100000000000001" customHeight="1" x14ac:dyDescent="0.25">
      <c r="D187" s="166" t="str">
        <v>Anaerobic digestion</v>
      </c>
      <c r="E187" s="170" t="str">
        <v>Green waste (including crop residues or prunings)</v>
      </c>
      <c r="F187" s="165"/>
      <c r="G187" s="49" cm="1">
        <f t="array" ref="G187">WasteSolid_InputFunctions.WasteSolid_InputFunctions_SumWasteTreatment(Table_Input_SolidWaste[Treatment type (select)],Table_Input_SolidWaste[Waste type (select)],Table_Input_SolidWaste[Treatment location (select)],Table_Input_SolidWaste[Amount unit (select)],Table_Input_SolidWaste[Amount],D51,E51, "Removed and treated off-site", "tonnes")</f>
        <v>0</v>
      </c>
      <c r="H187" s="49">
        <f t="shared" si="3"/>
        <v>0</v>
      </c>
      <c r="I187" s="49" t="s">
        <v>843</v>
      </c>
      <c r="J187" s="49" t="s">
        <v>838</v>
      </c>
      <c r="K187" s="49" t="s">
        <v>838</v>
      </c>
    </row>
    <row r="188" spans="4:11" ht="20.100000000000001" customHeight="1" x14ac:dyDescent="0.25">
      <c r="D188" s="166" t="str">
        <v>Anaerobic digestion</v>
      </c>
      <c r="E188" s="170" t="str">
        <v>Wood</v>
      </c>
      <c r="F188" s="165"/>
      <c r="G188" s="49" cm="1">
        <f t="array" ref="G188">WasteSolid_InputFunctions.WasteSolid_InputFunctions_SumWasteTreatment(Table_Input_SolidWaste[Treatment type (select)],Table_Input_SolidWaste[Waste type (select)],Table_Input_SolidWaste[Treatment location (select)],Table_Input_SolidWaste[Amount unit (select)],Table_Input_SolidWaste[Amount],D52,E52, "Removed and treated off-site", "tonnes")</f>
        <v>0</v>
      </c>
      <c r="H188" s="49">
        <f t="shared" si="3"/>
        <v>0</v>
      </c>
      <c r="I188" s="49" t="s">
        <v>843</v>
      </c>
      <c r="J188" s="49" t="s">
        <v>838</v>
      </c>
      <c r="K188" s="49" t="s">
        <v>838</v>
      </c>
    </row>
    <row r="189" spans="4:11" ht="20.100000000000001" customHeight="1" x14ac:dyDescent="0.25">
      <c r="D189" s="166" t="str">
        <v>Anaerobic digestion</v>
      </c>
      <c r="E189" s="170" t="str">
        <v>Sludge</v>
      </c>
      <c r="F189" s="165"/>
      <c r="G189" s="49" cm="1">
        <f t="array" ref="G189">WasteSolid_InputFunctions.WasteSolid_InputFunctions_SumWasteTreatment(Table_Input_SolidWaste[Treatment type (select)],Table_Input_SolidWaste[Waste type (select)],Table_Input_SolidWaste[Treatment location (select)],Table_Input_SolidWaste[Amount unit (select)],Table_Input_SolidWaste[Amount],D53,E53, "Removed and treated off-site", "tonnes")</f>
        <v>0</v>
      </c>
      <c r="H189" s="49">
        <f t="shared" si="3"/>
        <v>0</v>
      </c>
      <c r="I189" s="49" t="s">
        <v>843</v>
      </c>
      <c r="J189" s="49" t="s">
        <v>838</v>
      </c>
      <c r="K189" s="49" t="s">
        <v>838</v>
      </c>
    </row>
    <row r="190" spans="4:11" ht="20.100000000000001" customHeight="1" x14ac:dyDescent="0.25">
      <c r="D190" s="166" t="str">
        <v>Anaerobic digestion</v>
      </c>
      <c r="E190" s="170" t="str">
        <v>Paper and cardboard</v>
      </c>
      <c r="F190" s="165"/>
      <c r="G190" s="49" cm="1">
        <f t="array" ref="G190">WasteSolid_InputFunctions.WasteSolid_InputFunctions_SumWasteTreatment(Table_Input_SolidWaste[Treatment type (select)],Table_Input_SolidWaste[Waste type (select)],Table_Input_SolidWaste[Treatment location (select)],Table_Input_SolidWaste[Amount unit (select)],Table_Input_SolidWaste[Amount],D54,E54, "Removed and treated off-site", "tonnes")</f>
        <v>0</v>
      </c>
      <c r="H190" s="49">
        <f t="shared" si="3"/>
        <v>0</v>
      </c>
      <c r="I190" s="49" t="s">
        <v>843</v>
      </c>
      <c r="J190" s="49" t="s">
        <v>838</v>
      </c>
      <c r="K190" s="49" t="s">
        <v>838</v>
      </c>
    </row>
    <row r="191" spans="4:11" ht="20.100000000000001" customHeight="1" x14ac:dyDescent="0.25"/>
    <row r="192" spans="4:11" ht="20.100000000000001" customHeight="1" x14ac:dyDescent="0.25">
      <c r="D192" s="175" t="s">
        <v>796</v>
      </c>
      <c r="E192" s="176">
        <f>SUM(K157:K190)</f>
        <v>441.15000000000003</v>
      </c>
      <c r="F192" s="177" t="str">
        <f>$E$103</f>
        <v>t CO2e</v>
      </c>
    </row>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4"/>
    </row>
    <row r="342" spans="8:8" x14ac:dyDescent="0.25">
      <c r="H342" s="14"/>
    </row>
  </sheetData>
  <dataValidations count="1">
    <dataValidation operator="equal" allowBlank="1" showInputMessage="1" showErrorMessage="1" sqref="E269 E228" xr:uid="{A32D32C6-82CB-4B55-B3EB-C09247A773CC}"/>
  </dataValidation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60AAE-C1F9-4B16-8C2E-68CAA3D5E4E0}">
  <sheetPr>
    <tabColor theme="9" tint="-0.249977111117893"/>
  </sheetPr>
  <dimension ref="A1:U90"/>
  <sheetViews>
    <sheetView showGridLines="0" topLeftCell="C61" zoomScaleNormal="100" workbookViewId="0">
      <selection activeCell="A41" sqref="A41"/>
    </sheetView>
  </sheetViews>
  <sheetFormatPr defaultRowHeight="15.75" x14ac:dyDescent="0.25"/>
  <cols>
    <col min="1" max="1" width="30.625" customWidth="1"/>
    <col min="2" max="2" width="4.625" customWidth="1"/>
    <col min="3" max="3" width="4.625" style="8" customWidth="1"/>
    <col min="4" max="10" width="30.625" style="8" customWidth="1"/>
    <col min="11" max="11" width="4.625" style="8" customWidth="1"/>
    <col min="12" max="12" width="4.625" customWidth="1"/>
    <col min="13" max="13" width="4.625" style="8" customWidth="1"/>
    <col min="14" max="20" width="30.625" style="8" customWidth="1"/>
    <col min="21" max="21" width="4.625" style="8" customWidth="1"/>
  </cols>
  <sheetData>
    <row r="1" spans="1:21" ht="30" customHeight="1" x14ac:dyDescent="0.35">
      <c r="A1" s="37" t="e" vm="1">
        <v>#VALUE!</v>
      </c>
      <c r="C1" s="1" t="s">
        <v>848</v>
      </c>
      <c r="D1" s="1"/>
      <c r="E1" s="1"/>
      <c r="F1" s="1"/>
      <c r="G1" s="1"/>
      <c r="H1" s="1"/>
      <c r="I1" s="1"/>
      <c r="J1" s="1"/>
      <c r="K1" s="1"/>
      <c r="M1" s="1"/>
      <c r="N1" s="1"/>
      <c r="O1" s="1"/>
      <c r="P1" s="1"/>
      <c r="Q1" s="1"/>
      <c r="R1" s="1"/>
      <c r="S1" s="1"/>
      <c r="T1" s="1"/>
      <c r="U1" s="1"/>
    </row>
    <row r="2" spans="1:21" ht="20.100000000000001" customHeight="1" x14ac:dyDescent="0.25">
      <c r="C2" s="2"/>
      <c r="D2" s="2"/>
      <c r="E2" s="2"/>
      <c r="F2" s="2"/>
      <c r="G2" s="2"/>
      <c r="H2" s="2"/>
      <c r="I2" s="2"/>
      <c r="J2" s="2"/>
      <c r="K2" s="2"/>
      <c r="M2" s="2"/>
      <c r="N2" s="2"/>
      <c r="O2" s="2"/>
      <c r="P2" s="2"/>
      <c r="Q2" s="2"/>
      <c r="R2" s="2"/>
      <c r="S2" s="2"/>
      <c r="T2" s="2"/>
      <c r="U2" s="2"/>
    </row>
    <row r="3" spans="1:21" ht="20.100000000000001" customHeight="1" x14ac:dyDescent="0.25">
      <c r="A3" s="16" t="str">
        <f>HYPERLINK("#'Overview'!A1", "Overview")</f>
        <v>Overview</v>
      </c>
      <c r="C3" s="5"/>
      <c r="D3" s="5" t="s">
        <v>404</v>
      </c>
      <c r="E3" s="5"/>
      <c r="F3" s="5"/>
      <c r="G3" s="5"/>
      <c r="H3" s="5"/>
      <c r="I3" s="5"/>
      <c r="J3" s="5"/>
      <c r="K3" s="5"/>
      <c r="M3" s="5"/>
      <c r="N3" s="5" t="s">
        <v>405</v>
      </c>
      <c r="O3" s="5"/>
      <c r="P3" s="5"/>
      <c r="Q3" s="5"/>
      <c r="R3" s="5"/>
      <c r="S3" s="5"/>
      <c r="T3" s="5"/>
      <c r="U3" s="5"/>
    </row>
    <row r="4" spans="1:21" ht="20.100000000000001" customHeight="1" x14ac:dyDescent="0.25">
      <c r="A4" s="16" t="str">
        <f>HYPERLINK("#'Results'!A1", "Results")</f>
        <v>Results</v>
      </c>
    </row>
    <row r="5" spans="1:21" ht="20.100000000000001" customHeight="1" x14ac:dyDescent="0.25">
      <c r="D5" s="9" t="str" cm="1">
        <f t="array" ref="D5">Fertiliser_Equations_OrganicN2O.VEERG_5_2_1_1__1_OrganicFertiliserApplicationN2OEmissions_Title()</f>
        <v>Nitrous oxide emissions from the application of all organic fertiliser types f to all production systems j</v>
      </c>
      <c r="N5" s="9" t="str" cm="1">
        <f t="array" ref="N5">Fertiliser_Equations_OrganicN2O.VEERG_5_2_1_1__1_OrganicFertiliserApplicationN2OEmissions_Title()</f>
        <v>Nitrous oxide emissions from the application of all organic fertiliser types f to all production systems j</v>
      </c>
    </row>
    <row r="6" spans="1:21" ht="20.100000000000001" customHeight="1" x14ac:dyDescent="0.25">
      <c r="D6" s="11" t="str" cm="1">
        <f t="array" ref="D6">Fertiliser_Equations_OrganicN2O.VEERG_5_2_1_1__1_OrganicFertiliserApplicationN2OEmissions_Source()</f>
        <v>VEERG 2026: 5.2.1.1, Equation (1)</v>
      </c>
      <c r="N6" s="11" t="str" cm="1">
        <f t="array" ref="N6">Fertiliser_Equations_OrganicN2O.VEERG_5_2_1_1__1_OrganicFertiliserApplicationN2OEmissions_Source()</f>
        <v>VEERG 2026: 5.2.1.1, Equation (1)</v>
      </c>
    </row>
    <row r="7" spans="1:21" ht="20.100000000000001" customHeight="1" x14ac:dyDescent="0.25">
      <c r="A7" s="19" t="s">
        <v>67</v>
      </c>
      <c r="D7" s="171" t="s">
        <v>622</v>
      </c>
      <c r="E7" s="171" t="str">
        <f ca="1">Common_InputFunctions.Utility_DisplayFunctionName(VEERG_5_2_1_1__1_OrganicFertiliserApplicationN2OEmissions_Result_Method1)</f>
        <v>=Fertiliser_Equations_OrganicN2O.VEERG_5_2_1_1__1_OrganicFertiliserApplicationN2OEmissions</v>
      </c>
      <c r="N7" s="171" t="s">
        <v>622</v>
      </c>
      <c r="O7" s="171" t="str">
        <f ca="1">Common_InputFunctions.Utility_DisplayFunctionName(VEERG_5_2_1_1__1_OrganicFertiliserApplicationN2OEmissions_Result_Method2)</f>
        <v>=Fertiliser_Equations_OrganicN2O.VEERG_5_2_1_1__1_OrganicFertiliserApplicationN2OEmissions</v>
      </c>
    </row>
    <row r="8" spans="1:21" ht="20.100000000000001" customHeight="1" x14ac:dyDescent="0.25">
      <c r="A8" s="16" t="str">
        <f>HYPERLINK("#'Input - Site'!A1", "Site")</f>
        <v>Site</v>
      </c>
    </row>
    <row r="9" spans="1:21" ht="20.100000000000001" customHeight="1" x14ac:dyDescent="0.25">
      <c r="A9" s="16" t="str">
        <f>HYPERLINK("#'Input - Fuel'!A1", "Fuel")</f>
        <v>Fuel</v>
      </c>
    </row>
    <row r="10" spans="1:21" ht="20.100000000000001" customHeight="1" x14ac:dyDescent="0.25">
      <c r="A10" s="16" t="str">
        <f>HYPERLINK("#'Input - Fertiliser'!A1", "Fertiliser")</f>
        <v>Fertiliser</v>
      </c>
      <c r="D10" s="27" t="s">
        <v>623</v>
      </c>
      <c r="E10" s="8" t="str" cm="1">
        <f t="array" ref="E10">Fertiliser_Equations_OrganicN2O.VEERG_5_2_1_1__1_OrganicFertiliserApplicationN2OEmissions_Variable()</f>
        <v>E_N2O</v>
      </c>
      <c r="N10" s="27" t="s">
        <v>623</v>
      </c>
      <c r="O10" s="8" t="str" cm="1">
        <f t="array" ref="O10">Fertiliser_Equations_OrganicN2O.VEERG_5_2_1_1__1_OrganicFertiliserApplicationN2OEmissions_Variable()</f>
        <v>E_N2O</v>
      </c>
    </row>
    <row r="11" spans="1:21" ht="20.100000000000001" customHeight="1" x14ac:dyDescent="0.25">
      <c r="A11" s="16" t="str">
        <f>HYPERLINK("#'Input - Farm Inputs'!A1", "Farm Inputs")</f>
        <v>Farm Inputs</v>
      </c>
      <c r="D11" s="27" t="s">
        <v>96</v>
      </c>
      <c r="E11" s="13" t="str" cm="1">
        <f t="array" ref="E11">Fertiliser_Equations_OrganicN2O.VEERG_5_2_1_1__1_OrganicFertiliserApplicationN2OEmissions_Unit()</f>
        <v>t N2O</v>
      </c>
      <c r="N11" s="27" t="s">
        <v>96</v>
      </c>
      <c r="O11" s="13" t="str" cm="1">
        <f t="array" ref="O11">Fertiliser_Equations_OrganicN2O.VEERG_5_2_1_1__1_OrganicFertiliserApplicationN2OEmissions_Unit()</f>
        <v>t N2O</v>
      </c>
    </row>
    <row r="12" spans="1:21" ht="20.100000000000001" customHeight="1" x14ac:dyDescent="0.25">
      <c r="A12" s="16" t="str">
        <f>HYPERLINK("#'Input - Beef cattle purchases'!A1", "Beef cattle purchases")</f>
        <v>Beef cattle purchases</v>
      </c>
    </row>
    <row r="13" spans="1:21" ht="20.100000000000001" customHeight="1" x14ac:dyDescent="0.25">
      <c r="A13" s="16" t="str">
        <f>HYPERLINK("#'Input - Dairy cattle purchases'!A1", "Dairy cattle purchases")</f>
        <v>Dairy cattle purchases</v>
      </c>
      <c r="D13" s="166" t="str" cm="1">
        <f t="array" ref="D13:E17">_xlfn.CHOOSECOLS(Fertiliser_Equations_OrganicN2O.VEERG_5_2_1_1__1_OrganicFertiliserApplicationN2OEmissions_Arguments(), 1, 2)</f>
        <v>MNSoil_jf</v>
      </c>
      <c r="E13" s="170" t="str">
        <v>mass of nitrogen in organic fertiliser type f applied to production system j</v>
      </c>
      <c r="F13" s="204"/>
      <c r="G13" s="165"/>
      <c r="H13" s="166" t="str" cm="1">
        <f t="array" ref="H13:I17">_xlfn.CHOOSECOLS(Fertiliser_Equations_OrganicN2O.VEERG_5_2_1_1__1_OrganicFertiliserApplicationN2OEmissions_Arguments(), 3,4)</f>
        <v>kg N</v>
      </c>
      <c r="I13" s="168" t="str">
        <v>Calculated from 5.2.1.1 (2)</v>
      </c>
      <c r="J13" s="166">
        <f>X_Cell_ManureSentOffsite_MassNitrogenManure_Method1</f>
        <v>1000</v>
      </c>
      <c r="N13" s="166" t="str" cm="1">
        <f t="array" ref="N13:O17">_xlfn.CHOOSECOLS(Fertiliser_Equations_OrganicN2O.VEERG_5_2_1_1__1_OrganicFertiliserApplicationN2OEmissions_Arguments(), 1, 2)</f>
        <v>MNSoil_jf</v>
      </c>
      <c r="O13" s="170" t="str">
        <v>mass of nitrogen in organic fertiliser type f applied to production system j</v>
      </c>
      <c r="P13" s="204"/>
      <c r="Q13" s="165"/>
      <c r="R13" s="166" t="str" cm="1">
        <f t="array" ref="R13:S17">_xlfn.CHOOSECOLS(Fertiliser_Equations_OrganicN2O.VEERG_5_2_1_1__1_OrganicFertiliserApplicationN2OEmissions_Arguments(), 3,4)</f>
        <v>kg N</v>
      </c>
      <c r="S13" s="168" t="str">
        <v>Calculated from 5.2.1.1 (2)</v>
      </c>
      <c r="T13" s="166">
        <f>X_Cell_ManureSentOffsite_MassNitrogenManure_Method2</f>
        <v>2000</v>
      </c>
    </row>
    <row r="14" spans="1:21" ht="20.100000000000001" customHeight="1" x14ac:dyDescent="0.25">
      <c r="A14" s="16" t="str">
        <f>HYPERLINK("#'Input - Pig purchases'!A1", "Pig purchases")</f>
        <v>Pig purchases</v>
      </c>
      <c r="D14" s="166" t="str">
        <v>EF_N2Oi</v>
      </c>
      <c r="E14" s="170" t="str">
        <v>emission factor for direct nitrous oxide emissions from organic fertiliser applied to soils and aquatic systems in climate zone i</v>
      </c>
      <c r="F14" s="204"/>
      <c r="G14" s="165"/>
      <c r="H14" s="166" t="str">
        <v>kg N2O-N/kg N</v>
      </c>
      <c r="I14" s="168" t="str">
        <v>Lookup</v>
      </c>
      <c r="J14" s="166">
        <f>Common_InputFunctions.Utility_LookupValueInTableNumber(J17, Table_SourceData_Common_EFOrganicFertCropResidues[Climate Zone],Table_SourceData_Common_EFOrganicFertCropResidues[EFNi &amp; EFN2Oi])</f>
        <v>5.0000000000000001E-3</v>
      </c>
      <c r="N14" s="166" t="str">
        <v>EF_N2Oi</v>
      </c>
      <c r="O14" s="170" t="str">
        <v>emission factor for direct nitrous oxide emissions from organic fertiliser applied to soils and aquatic systems in climate zone i</v>
      </c>
      <c r="P14" s="204"/>
      <c r="Q14" s="165"/>
      <c r="R14" s="166" t="str">
        <v>kg N2O-N/kg N</v>
      </c>
      <c r="S14" s="168" t="str">
        <v>Lookup</v>
      </c>
      <c r="T14" s="166"/>
    </row>
    <row r="15" spans="1:21" ht="20.100000000000001" customHeight="1" x14ac:dyDescent="0.25">
      <c r="A15" s="16" t="str">
        <f>HYPERLINK("#'Input - Poultry purchases'!A1", "Poultry purchases")</f>
        <v>Poultry purchases</v>
      </c>
      <c r="D15" s="166" t="str">
        <v>C_N2O</v>
      </c>
      <c r="E15" s="170" t="str">
        <v>factor to convert elemental mass of nitrous oxide to molecular mass</v>
      </c>
      <c r="F15" s="204"/>
      <c r="G15" s="165"/>
      <c r="H15" s="166" t="str">
        <v/>
      </c>
      <c r="I15" s="168" t="str">
        <v>Constant</v>
      </c>
      <c r="J15" s="166">
        <f>Common_InputFunctions.Utility_LookupValueInTableNumber("N2O",Table_GasToMolecularConversionFactor[Gas],Table_GasToMolecularConversionFactor[Conversion factor combined])</f>
        <v>1.5714285714285714</v>
      </c>
      <c r="N15" s="166" t="str">
        <v>C_N2O</v>
      </c>
      <c r="O15" s="170" t="str">
        <v>factor to convert elemental mass of nitrous oxide to molecular mass</v>
      </c>
      <c r="P15" s="204"/>
      <c r="Q15" s="165"/>
      <c r="R15" s="166" t="str">
        <v/>
      </c>
      <c r="S15" s="168" t="str">
        <v>Constant</v>
      </c>
      <c r="T15" s="166"/>
    </row>
    <row r="16" spans="1:21" ht="20.100000000000001" customHeight="1" x14ac:dyDescent="0.25">
      <c r="A16" s="16" t="str">
        <f>HYPERLINK("#'Input - Freight'!A1", "Freight")</f>
        <v>Freight</v>
      </c>
      <c r="D16" s="166" t="str">
        <v>j</v>
      </c>
      <c r="E16" s="170" t="str">
        <v>Production system</v>
      </c>
      <c r="F16" s="204"/>
      <c r="G16" s="165"/>
      <c r="H16" s="166" t="str">
        <v/>
      </c>
      <c r="I16" s="167" t="str">
        <v>Input</v>
      </c>
      <c r="J16" s="166" t="str">
        <f>X_Cell_ManureSentOffsite_ManureProductionSystem</f>
        <v>Crop</v>
      </c>
      <c r="N16" s="166" t="str">
        <v>j</v>
      </c>
      <c r="O16" s="170" t="str">
        <v>Production system</v>
      </c>
      <c r="P16" s="204"/>
      <c r="Q16" s="165"/>
      <c r="R16" s="166" t="str">
        <v/>
      </c>
      <c r="S16" s="167" t="str">
        <v>Input</v>
      </c>
      <c r="T16" s="166"/>
    </row>
    <row r="17" spans="1:20" ht="20.100000000000001" customHeight="1" x14ac:dyDescent="0.25">
      <c r="A17" s="16" t="str">
        <f>HYPERLINK("#'Input - Solid waste'!A1", "Solid waste")</f>
        <v>Solid waste</v>
      </c>
      <c r="D17" s="166" t="str">
        <v>i</v>
      </c>
      <c r="E17" s="170" t="str">
        <v>Wet or dry climate zone</v>
      </c>
      <c r="F17" s="204"/>
      <c r="G17" s="165"/>
      <c r="H17" s="166" t="str">
        <v/>
      </c>
      <c r="I17" s="167" t="str">
        <v>Input</v>
      </c>
      <c r="J17" s="166" t="str">
        <f>X_Cell_Site_WetOrDryClimateZone</f>
        <v>Dry climate zone</v>
      </c>
      <c r="N17" s="166" t="str">
        <v>i</v>
      </c>
      <c r="O17" s="170" t="str">
        <v>Wet or dry climate zone</v>
      </c>
      <c r="P17" s="204"/>
      <c r="Q17" s="165"/>
      <c r="R17" s="166" t="str">
        <v/>
      </c>
      <c r="S17" s="167" t="str">
        <v>Input</v>
      </c>
      <c r="T17" s="166"/>
    </row>
    <row r="18" spans="1:20" ht="20.100000000000001" customHeight="1" x14ac:dyDescent="0.25">
      <c r="A18" s="16" t="str">
        <f>HYPERLINK("#'Input - Manure sent off-site'!A1", "Manure sent off-site")</f>
        <v>Manure sent off-site</v>
      </c>
    </row>
    <row r="19" spans="1:20" ht="20.100000000000001" customHeight="1" x14ac:dyDescent="0.25">
      <c r="A19" s="16" t="str">
        <f>HYPERLINK("#'Input - Electricity'!A1", "Electricity")</f>
        <v>Electricity</v>
      </c>
      <c r="D19" s="175" t="s">
        <v>742</v>
      </c>
      <c r="E19" s="176" cm="1">
        <f t="array" ref="E19">Fertiliser_Equations_OrganicN2O.VEERG_5_2_1_1__1_OrganicFertiliserApplicationN2OEmissions(J13,J14,J15)</f>
        <v>7.8571428571428577E-3</v>
      </c>
      <c r="F19" s="177" t="str">
        <f>$E$11</f>
        <v>t N2O</v>
      </c>
      <c r="N19" s="175" t="s">
        <v>742</v>
      </c>
      <c r="O19" s="176" cm="1">
        <f t="array" ref="O19">Fertiliser_Equations_OrganicN2O.VEERG_5_2_1_1__1_OrganicFertiliserApplicationN2OEmissions(T13,J14,J15)</f>
        <v>1.5714285714285715E-2</v>
      </c>
      <c r="P19" s="177" t="str">
        <f>$E$11</f>
        <v>t N2O</v>
      </c>
    </row>
    <row r="20" spans="1:20" ht="20.100000000000001" customHeight="1" x14ac:dyDescent="0.25"/>
    <row r="21" spans="1:20" ht="20.100000000000001" customHeight="1" x14ac:dyDescent="0.25"/>
    <row r="22" spans="1:20" ht="20.100000000000001" customHeight="1" x14ac:dyDescent="0.25">
      <c r="A22" s="21" t="s">
        <v>77</v>
      </c>
    </row>
    <row r="23" spans="1:20" ht="20.100000000000001" customHeight="1" x14ac:dyDescent="0.25">
      <c r="A23" s="16" t="str">
        <f>HYPERLINK("#'15 Scope 3'!A1", "15 Scope 3")</f>
        <v>15 Scope 3</v>
      </c>
    </row>
    <row r="24" spans="1:20" ht="20.100000000000001" customHeight="1" x14ac:dyDescent="0.25">
      <c r="A24" s="16" t="str">
        <f>HYPERLINK("#'10.1.1-2 Solid waste treatment'!A1", "10.1.1-2 Solid waste treatment")</f>
        <v>10.1.1-2 Solid waste treatment</v>
      </c>
      <c r="D24" s="9" t="str" cm="1">
        <f t="array" ref="D24">Fertiliser_Equations_AtmosphericDeposition.VEERG_5_4_1_3__2_MassOfNitrogenVolatilisedFromOrganicFertiliser_Title()</f>
        <v>Mass of nitrogen volatilised from organic fertiliser applied to production system</v>
      </c>
      <c r="N24" s="9" t="str" cm="1">
        <f t="array" ref="N24">Fertiliser_Equations_AtmosphericDeposition.VEERG_5_4_1_3__2_MassOfNitrogenVolatilisedFromOrganicFertiliser_Title()</f>
        <v>Mass of nitrogen volatilised from organic fertiliser applied to production system</v>
      </c>
    </row>
    <row r="25" spans="1:20" ht="20.100000000000001" customHeight="1" x14ac:dyDescent="0.25">
      <c r="A25" s="179" t="str">
        <f>HYPERLINK("#'Calcs - Manure sent off-site'!A1", "Calcs - Manure sent off-site")</f>
        <v>Calcs - Manure sent off-site</v>
      </c>
      <c r="D25" s="11" t="str" cm="1">
        <f t="array" ref="D25">Fertiliser_Equations_AtmosphericDeposition.VEERG_5_4_1_3__2_MassOfNitrogenVolatilisedFromOrganicFertiliser_Source()</f>
        <v>VEERG 2026: 5.4.1.3, Equation (2)</v>
      </c>
      <c r="N25" s="11" t="str" cm="1">
        <f t="array" ref="N25">Fertiliser_Equations_AtmosphericDeposition.VEERG_5_4_1_3__2_MassOfNitrogenVolatilisedFromOrganicFertiliser_Source()</f>
        <v>VEERG 2026: 5.4.1.3, Equation (2)</v>
      </c>
    </row>
    <row r="26" spans="1:20" ht="20.100000000000001" customHeight="1" x14ac:dyDescent="0.25">
      <c r="A26" s="16" t="str">
        <f>HYPERLINK("#'8.1.1.1-2 Transport fuel'!A1", "8.1.1.1-2 Transport fuel")</f>
        <v>8.1.1.1-2 Transport fuel</v>
      </c>
      <c r="D26" s="171" t="s">
        <v>622</v>
      </c>
      <c r="E26" s="171" t="str" cm="1">
        <f t="array" aca="1" ref="E26" ca="1">Common_InputFunctions.Utility_DisplayFunctionName(E35)</f>
        <v>=Fertiliser_Equations_AtmosphericDeposition.VEERG_5_4_1_3__2_MassOfNitrogenVolatilisedFromOrganicFertiliser</v>
      </c>
      <c r="N26" s="171" t="s">
        <v>622</v>
      </c>
      <c r="O26" s="171" t="str" cm="1">
        <f t="array" aca="1" ref="O26" ca="1">Common_InputFunctions.Utility_DisplayFunctionName(O35)</f>
        <v>=Fertiliser_Equations_AtmosphericDeposition.VEERG_5_4_1_3__2_MassOfNitrogenVolatilisedFromOrganicFertiliser</v>
      </c>
    </row>
    <row r="27" spans="1:20" ht="20.100000000000001" customHeight="1" x14ac:dyDescent="0.25">
      <c r="A27" s="16" t="str">
        <f>HYPERLINK("#'8.2.1.1-2 Stationary fuel'!A1", "8.2.1.1-2 Stationary fuel")</f>
        <v>8.2.1.1-2 Stationary fuel</v>
      </c>
    </row>
    <row r="28" spans="1:20" ht="20.100000000000001" customHeight="1" x14ac:dyDescent="0.25"/>
    <row r="29" spans="1:20" ht="20.100000000000001" customHeight="1" x14ac:dyDescent="0.25">
      <c r="D29" s="27" t="s">
        <v>623</v>
      </c>
      <c r="E29" s="8" t="str" cm="1">
        <f t="array" ref="E29">Fertiliser_Equations_AtmosphericDeposition.VEERG_5_4_1_3__2_MassOfNitrogenVolatilisedFromOrganicFertiliser_Variable()</f>
        <v>M_volorganicjf</v>
      </c>
      <c r="N29" s="27" t="s">
        <v>623</v>
      </c>
      <c r="O29" s="8" t="str" cm="1">
        <f t="array" ref="O29">Fertiliser_Equations_AtmosphericDeposition.VEERG_5_4_1_3__2_MassOfNitrogenVolatilisedFromOrganicFertiliser_Variable()</f>
        <v>M_volorganicjf</v>
      </c>
    </row>
    <row r="30" spans="1:20" ht="20.100000000000001" customHeight="1" x14ac:dyDescent="0.25">
      <c r="A30" s="221" t="s">
        <v>78</v>
      </c>
      <c r="D30" s="27" t="s">
        <v>96</v>
      </c>
      <c r="E30" s="13" t="str" cm="1">
        <f t="array" ref="E30">Fertiliser_Equations_AtmosphericDeposition.VEERG_5_4_1_3__2_MassOfNitrogenVolatilisedFromOrganicFertiliser_Unit()</f>
        <v>kg N</v>
      </c>
      <c r="N30" s="27" t="s">
        <v>96</v>
      </c>
      <c r="O30" s="13" t="str" cm="1">
        <f t="array" ref="O30">Fertiliser_Equations_AtmosphericDeposition.VEERG_5_4_1_3__2_MassOfNitrogenVolatilisedFromOrganicFertiliser_Unit()</f>
        <v>kg N</v>
      </c>
    </row>
    <row r="31" spans="1:20" ht="20.100000000000001" customHeight="1" x14ac:dyDescent="0.25">
      <c r="A31" s="16" t="str">
        <f>HYPERLINK("#'Constants - Scope 3'!A1", "Constants - Scope 3")</f>
        <v>Constants - Scope 3</v>
      </c>
    </row>
    <row r="32" spans="1:20" ht="20.100000000000001" customHeight="1" x14ac:dyDescent="0.25">
      <c r="A32" s="16" t="str">
        <f>HYPERLINK("#'Constants - Solid Waste'!A1", "Constants - Solid Waste")</f>
        <v>Constants - Solid Waste</v>
      </c>
      <c r="D32" s="166" t="str" cm="1">
        <f t="array" ref="D32:E33">_xlfn.CHOOSECOLS(Fertiliser_Equations_AtmosphericDeposition.VEERG_5_4_1_3__2_MassOfNitrogenVolatilisedFromOrganicFertiliser_Arguments(), 1, 2)</f>
        <v>MNSoil_jf</v>
      </c>
      <c r="E32" s="166" t="str">
        <v>mass of nitrogen in organic fertiliser type f applied to production system j</v>
      </c>
      <c r="F32" s="166"/>
      <c r="G32" s="166" t="str" cm="1">
        <f t="array" ref="G32:H33">_xlfn.CHOOSECOLS(Fertiliser_Equations_AtmosphericDeposition.VEERG_5_4_1_3__2_MassOfNitrogenVolatilisedFromOrganicFertiliser_Arguments(), 3,4)</f>
        <v>kg N</v>
      </c>
      <c r="H32" s="168" t="str">
        <v>Calculated from 5.2.1.1 (2)</v>
      </c>
      <c r="I32" s="166">
        <f>X_Cell_ManureSentOffsite_MassNitrogenManure_Method1</f>
        <v>1000</v>
      </c>
      <c r="N32" s="166" t="str" cm="1">
        <f t="array" ref="N32:O33">_xlfn.CHOOSECOLS(Fertiliser_Equations_AtmosphericDeposition.VEERG_5_4_1_3__2_MassOfNitrogenVolatilisedFromOrganicFertiliser_Arguments(), 1, 2)</f>
        <v>MNSoil_jf</v>
      </c>
      <c r="O32" s="166" t="str">
        <v>mass of nitrogen in organic fertiliser type f applied to production system j</v>
      </c>
      <c r="P32" s="166"/>
      <c r="Q32" s="166" t="str" cm="1">
        <f t="array" ref="Q32:R33">_xlfn.CHOOSECOLS(Fertiliser_Equations_AtmosphericDeposition.VEERG_5_4_1_3__2_MassOfNitrogenVolatilisedFromOrganicFertiliser_Arguments(), 3,4)</f>
        <v>kg N</v>
      </c>
      <c r="R32" s="168" t="str">
        <v>Calculated from 5.2.1.1 (2)</v>
      </c>
      <c r="S32" s="166">
        <f>X_Cell_ManureSentOffsite_MassNitrogenManure_Method2</f>
        <v>2000</v>
      </c>
    </row>
    <row r="33" spans="1:19" ht="20.100000000000001" customHeight="1" x14ac:dyDescent="0.25">
      <c r="A33" s="16" t="str">
        <f>HYPERLINK("#'Constants - Fuel'!A1", "Constants - Fuel")</f>
        <v>Constants - Fuel</v>
      </c>
      <c r="D33" s="166" t="str">
        <v>FracGASM_soil</v>
      </c>
      <c r="E33" s="166" t="str">
        <v>fraction of organic fertiliser N that volatilises</v>
      </c>
      <c r="F33" s="166"/>
      <c r="G33" s="166" t="str">
        <v>(kg NH3-N + NOx-N)/kg N</v>
      </c>
      <c r="H33" s="168" t="str">
        <v>Constant</v>
      </c>
      <c r="I33" s="166">
        <f>'Constants - Fertiliser'!$E$73</f>
        <v>0.21</v>
      </c>
      <c r="N33" s="166" t="str">
        <v>FracGASM_soil</v>
      </c>
      <c r="O33" s="166" t="str">
        <v>fraction of organic fertiliser N that volatilises</v>
      </c>
      <c r="P33" s="166"/>
      <c r="Q33" s="166" t="str">
        <v>(kg NH3-N + NOx-N)/kg N</v>
      </c>
      <c r="R33" s="168" t="str">
        <v>Constant</v>
      </c>
      <c r="S33" s="166"/>
    </row>
    <row r="34" spans="1:19" ht="20.100000000000001" customHeight="1" x14ac:dyDescent="0.25">
      <c r="A34" s="16" t="str">
        <f>HYPERLINK("#'Constants - Poultry'!A1", "Constants - Poultry")</f>
        <v>Constants - Poultry</v>
      </c>
    </row>
    <row r="35" spans="1:19" ht="20.100000000000001" customHeight="1" x14ac:dyDescent="0.25">
      <c r="A35" s="16" t="str">
        <f>HYPERLINK("#'Constants - Swine'!A1", "Constants - Swine")</f>
        <v>Constants - Swine</v>
      </c>
      <c r="D35" s="173" t="s">
        <v>744</v>
      </c>
      <c r="E35" s="98" cm="1">
        <f t="array" ref="E35">Fertiliser_Equations_AtmosphericDeposition.VEERG_5_4_1_3__2_MassOfNitrogenVolatilisedFromOrganicFertiliser(I32,I33)</f>
        <v>210</v>
      </c>
      <c r="F35" s="174" t="str">
        <f>E30</f>
        <v>kg N</v>
      </c>
      <c r="N35" s="173" t="s">
        <v>744</v>
      </c>
      <c r="O35" s="98" cm="1">
        <f t="array" ref="O35">Fertiliser_Equations_AtmosphericDeposition.VEERG_5_4_1_3__2_MassOfNitrogenVolatilisedFromOrganicFertiliser(S32,I33)</f>
        <v>420</v>
      </c>
      <c r="P35" s="174" t="str">
        <f>O30</f>
        <v>kg N</v>
      </c>
    </row>
    <row r="36" spans="1:19" ht="20.100000000000001" customHeight="1" x14ac:dyDescent="0.25">
      <c r="A36" s="16" t="str">
        <f>HYPERLINK("#'Constants - Dairy'!A1", "Constants - Dairy")</f>
        <v>Constants - Dairy</v>
      </c>
    </row>
    <row r="37" spans="1:19" ht="20.100000000000001" customHeight="1" x14ac:dyDescent="0.25">
      <c r="A37" s="16" t="str">
        <f>HYPERLINK("#'Constants - Pasture Beef'!A1", "Constants - Pasture Beef")</f>
        <v>Constants - Pasture Beef</v>
      </c>
    </row>
    <row r="38" spans="1:19" ht="20.100000000000001" customHeight="1" x14ac:dyDescent="0.25">
      <c r="A38" s="16" t="str">
        <f>HYPERLINK("#'Constants - Common Livestock'!A1", "Constants - Common Livestock")</f>
        <v>Constants - Common Livestock</v>
      </c>
    </row>
    <row r="39" spans="1:19" ht="20.100000000000001" customHeight="1" x14ac:dyDescent="0.25">
      <c r="A39" s="16" t="str">
        <f>HYPERLINK("#'Constants - Fertiliser'!A1", "Constants - Fertiliser")</f>
        <v>Constants - Fertiliser</v>
      </c>
    </row>
    <row r="40" spans="1:19" ht="20.100000000000001" customHeight="1" x14ac:dyDescent="0.25">
      <c r="A40" s="16" t="str">
        <f>HYPERLINK("#'Constants - Electricity'!A1", "Constants - Electricity")</f>
        <v>Constants - Electricity</v>
      </c>
      <c r="D40" s="9" t="str" cm="1">
        <f t="array" ref="D40">Fertiliser_Equations_AtmosphericDeposition.VEERG_5_4_1_3__1_OrganicFertiliserAtmosphericDepositionN2OEmissions_Title()</f>
        <v>Nitrous oxide emissions from atmospheric deposition of all organic fertiliser types f and all production systems j</v>
      </c>
      <c r="N40" s="9" t="str" cm="1">
        <f t="array" ref="N40">Fertiliser_Equations_AtmosphericDeposition.VEERG_5_4_1_3__1_OrganicFertiliserAtmosphericDepositionN2OEmissions_Title()</f>
        <v>Nitrous oxide emissions from atmospheric deposition of all organic fertiliser types f and all production systems j</v>
      </c>
    </row>
    <row r="41" spans="1:19" ht="20.100000000000001" customHeight="1" x14ac:dyDescent="0.25">
      <c r="A41" s="16" t="str">
        <f>HYPERLINK("#'Constants - Common'!A1", "Constants - Common")</f>
        <v>Constants - Common</v>
      </c>
      <c r="D41" s="11" t="str" cm="1">
        <f t="array" ref="D41">Fertiliser_Equations_AtmosphericDeposition.VEERG_5_4_1_3__1_OrganicFertiliserAtmosphericDepositionN2OEmissions_Source()</f>
        <v>VEERG 2026: 5.4.1.3, Equation (1)</v>
      </c>
      <c r="N41" s="11" t="str" cm="1">
        <f t="array" ref="N41">Fertiliser_Equations_AtmosphericDeposition.VEERG_5_4_1_3__1_OrganicFertiliserAtmosphericDepositionN2OEmissions_Source()</f>
        <v>VEERG 2026: 5.4.1.3, Equation (1)</v>
      </c>
    </row>
    <row r="42" spans="1:19" ht="20.100000000000001" customHeight="1" x14ac:dyDescent="0.25">
      <c r="D42" s="171" t="s">
        <v>622</v>
      </c>
      <c r="E42" s="171" t="str">
        <f ca="1">Common_InputFunctions.Utility_DisplayFunctionName(VEERG_5_4_1_3__1_OrganicFertiliserAtmosphericDepositionN2OEmissions_Result_Method1)</f>
        <v>=Fertiliser_Equations_AtmosphericDeposition.VEERG_5_4_1_3__1_OrganicFertiliserAtmosphericDepositionN2OEmissions</v>
      </c>
      <c r="N42" s="171" t="s">
        <v>622</v>
      </c>
      <c r="O42" s="171" t="str">
        <f ca="1">Common_InputFunctions.Utility_DisplayFunctionName(VEERG_5_4_1_3__1_OrganicFertiliserAtmosphericDepositionN2OEmissions_Result_Method2)</f>
        <v>=Fertiliser_Equations_AtmosphericDeposition.VEERG_5_4_1_3__1_OrganicFertiliserAtmosphericDepositionN2OEmissions</v>
      </c>
    </row>
    <row r="43" spans="1:19" ht="20.100000000000001" customHeight="1" x14ac:dyDescent="0.25"/>
    <row r="44" spans="1:19" ht="20.100000000000001" customHeight="1" x14ac:dyDescent="0.25"/>
    <row r="45" spans="1:19" ht="20.100000000000001" customHeight="1" x14ac:dyDescent="0.25">
      <c r="D45" s="27" t="s">
        <v>623</v>
      </c>
      <c r="E45" s="8" t="str" cm="1">
        <f t="array" ref="E45">Fertiliser_Equations_AtmosphericDeposition.VEERG_5_4_1_3__1_OrganicFertiliserAtmosphericDepositionN2OEmissions_Variable()</f>
        <v>E_adorganic</v>
      </c>
      <c r="N45" s="27" t="s">
        <v>623</v>
      </c>
      <c r="O45" s="8" t="str" cm="1">
        <f t="array" ref="O45">Fertiliser_Equations_AtmosphericDeposition.VEERG_5_4_1_3__1_OrganicFertiliserAtmosphericDepositionN2OEmissions_Variable()</f>
        <v>E_adorganic</v>
      </c>
    </row>
    <row r="46" spans="1:19" ht="20.100000000000001" customHeight="1" x14ac:dyDescent="0.25">
      <c r="D46" s="27" t="s">
        <v>96</v>
      </c>
      <c r="E46" s="13" t="str" cm="1">
        <f t="array" ref="E46">Fertiliser_Equations_AtmosphericDeposition.VEERG_5_4_1_3__1_OrganicFertiliserAtmosphericDepositionN2OEmissions_Unit()</f>
        <v>t N2O</v>
      </c>
      <c r="N46" s="27" t="s">
        <v>96</v>
      </c>
      <c r="O46" s="13" t="str" cm="1">
        <f t="array" ref="O46">Fertiliser_Equations_AtmosphericDeposition.VEERG_5_4_1_3__1_OrganicFertiliserAtmosphericDepositionN2OEmissions_Unit()</f>
        <v>t N2O</v>
      </c>
    </row>
    <row r="47" spans="1:19" ht="20.100000000000001" customHeight="1" x14ac:dyDescent="0.25"/>
    <row r="48" spans="1:19" ht="20.100000000000001" customHeight="1" x14ac:dyDescent="0.25">
      <c r="D48" s="166" t="str" cm="1">
        <f t="array" ref="D48:E53">_xlfn.CHOOSECOLS(Fertiliser_Equations_AtmosphericDeposition.VEERG_5_4_1_3__1_OrganicFertiliserAtmosphericDepositionN2OEmissions_Arguments(), 1, 2)</f>
        <v>M_volorganicjf</v>
      </c>
      <c r="E48" s="170" t="str">
        <v>mass of nitrogen volatilised from organic fertiliser applied to production system</v>
      </c>
      <c r="F48" s="165"/>
      <c r="G48" s="166" t="str" cm="1">
        <f t="array" ref="G48:H53">_xlfn.CHOOSECOLS(Fertiliser_Equations_AtmosphericDeposition.VEERG_5_4_1_3__1_OrganicFertiliserAtmosphericDepositionN2OEmissions_Arguments(), 3,4)</f>
        <v>kg N</v>
      </c>
      <c r="H48" s="168" t="str">
        <v>Calculated from 5.4.1.3 (2)</v>
      </c>
      <c r="I48" s="166">
        <f>E35</f>
        <v>210</v>
      </c>
      <c r="N48" s="166" t="str" cm="1">
        <f t="array" ref="N48:O53">_xlfn.CHOOSECOLS(Fertiliser_Equations_AtmosphericDeposition.VEERG_5_4_1_3__1_OrganicFertiliserAtmosphericDepositionN2OEmissions_Arguments(), 1, 2)</f>
        <v>M_volorganicjf</v>
      </c>
      <c r="O48" s="170" t="str">
        <v>mass of nitrogen volatilised from organic fertiliser applied to production system</v>
      </c>
      <c r="P48" s="165"/>
      <c r="Q48" s="166" t="str" cm="1">
        <f t="array" ref="Q48:R53">_xlfn.CHOOSECOLS(Fertiliser_Equations_AtmosphericDeposition.VEERG_5_4_1_3__1_OrganicFertiliserAtmosphericDepositionN2OEmissions_Arguments(), 3,4)</f>
        <v>kg N</v>
      </c>
      <c r="R48" s="168" t="str">
        <v>Calculated from 5.4.1.3 (2)</v>
      </c>
      <c r="S48" s="166">
        <f>O35</f>
        <v>420</v>
      </c>
    </row>
    <row r="49" spans="4:19" ht="20.100000000000001" customHeight="1" x14ac:dyDescent="0.25">
      <c r="D49" s="166" t="str">
        <v>EF_N2Oj</v>
      </c>
      <c r="E49" s="170" t="str">
        <v>emission factor for atmospheric deposition in production system j</v>
      </c>
      <c r="F49" s="165"/>
      <c r="G49" s="166" t="str">
        <v>kg N2O-N/kg N</v>
      </c>
      <c r="H49" s="168" t="str">
        <v>Constant</v>
      </c>
      <c r="I49" s="166">
        <f>Common_InputFunctions.Utility_LookupN2OEFFromProdIrrigationRainfall(I51,I52,I53,Table_SourceData_Common_EFN2O[Production system only],Table_SourceData_Common_EFN2O[Irrigation method],Table_SourceData_Common_EFN2O[Rainfall zone],Table_SourceData_Common_EFN2O[EFN2O])</f>
        <v>7.0000000000000001E-3</v>
      </c>
      <c r="N49" s="166" t="str">
        <v>EF_N2Oj</v>
      </c>
      <c r="O49" s="170" t="str">
        <v>emission factor for atmospheric deposition in production system j</v>
      </c>
      <c r="P49" s="165"/>
      <c r="Q49" s="166" t="str">
        <v>kg N2O-N/kg N</v>
      </c>
      <c r="R49" s="168" t="str">
        <v>Constant</v>
      </c>
      <c r="S49" s="166"/>
    </row>
    <row r="50" spans="4:19" ht="20.100000000000001" customHeight="1" x14ac:dyDescent="0.25">
      <c r="D50" s="166" t="str">
        <v>C_N2O</v>
      </c>
      <c r="E50" s="170" t="str">
        <v>factor to convert elemental mass of nitrous oxide to molecular mass</v>
      </c>
      <c r="F50" s="165"/>
      <c r="G50" s="166" t="str">
        <v/>
      </c>
      <c r="H50" s="168" t="str">
        <v>Constant</v>
      </c>
      <c r="I50" s="205">
        <f>Common_InputFunctions.Utility_LookupValueInTableNumber("N2O",Table_GasToMolecularConversionFactor[Gas],Table_GasToMolecularConversionFactor[Conversion factor combined])</f>
        <v>1.5714285714285714</v>
      </c>
      <c r="N50" s="166" t="str">
        <v>C_N2O</v>
      </c>
      <c r="O50" s="170" t="str">
        <v>factor to convert elemental mass of nitrous oxide to molecular mass</v>
      </c>
      <c r="P50" s="165"/>
      <c r="Q50" s="166" t="str">
        <v/>
      </c>
      <c r="R50" s="168" t="str">
        <v>Constant</v>
      </c>
      <c r="S50" s="205"/>
    </row>
    <row r="51" spans="4:19" ht="20.100000000000001" customHeight="1" x14ac:dyDescent="0.25">
      <c r="D51" s="166" t="str">
        <v>j</v>
      </c>
      <c r="E51" s="170" t="str">
        <v>Production system</v>
      </c>
      <c r="F51" s="165"/>
      <c r="G51" s="166" t="str">
        <v/>
      </c>
      <c r="H51" s="167" t="str">
        <v>Input</v>
      </c>
      <c r="I51" s="166" t="str">
        <f>X_Cell_ManureSentOffsite_ManureProductionSystem</f>
        <v>Crop</v>
      </c>
      <c r="N51" s="166" t="str">
        <v>j</v>
      </c>
      <c r="O51" s="170" t="str">
        <v>Production system</v>
      </c>
      <c r="P51" s="165"/>
      <c r="Q51" s="166" t="str">
        <v/>
      </c>
      <c r="R51" s="167" t="str">
        <v>Input</v>
      </c>
      <c r="S51" s="166"/>
    </row>
    <row r="52" spans="4:19" ht="20.100000000000001" customHeight="1" x14ac:dyDescent="0.25">
      <c r="D52" s="166" t="str">
        <v>ir</v>
      </c>
      <c r="E52" s="170" t="str">
        <v>irrigation method</v>
      </c>
      <c r="F52" s="165"/>
      <c r="G52" s="166" t="str">
        <v/>
      </c>
      <c r="H52" s="167" t="str">
        <v>Input</v>
      </c>
      <c r="I52" s="166" t="str">
        <f>X_Cell_ManureSentOffsite_ManureIrrigationMethod</f>
        <v>Sprinkler irrigation</v>
      </c>
      <c r="N52" s="166" t="str">
        <v>ir</v>
      </c>
      <c r="O52" s="170" t="str">
        <v>irrigation method</v>
      </c>
      <c r="P52" s="165"/>
      <c r="Q52" s="166" t="str">
        <v/>
      </c>
      <c r="R52" s="167" t="str">
        <v>Input</v>
      </c>
      <c r="S52" s="166"/>
    </row>
    <row r="53" spans="4:19" ht="20.100000000000001" customHeight="1" x14ac:dyDescent="0.25">
      <c r="D53" s="166" t="str">
        <v>r</v>
      </c>
      <c r="E53" s="170" t="str">
        <v>rainfall region</v>
      </c>
      <c r="F53" s="165"/>
      <c r="G53" s="166" t="str">
        <v/>
      </c>
      <c r="H53" s="167" t="str">
        <v>Input</v>
      </c>
      <c r="I53" s="166" t="str">
        <f>X_Cell_Site_RainfallZone</f>
        <v>Low rainfall</v>
      </c>
      <c r="N53" s="166" t="str">
        <v>r</v>
      </c>
      <c r="O53" s="170" t="str">
        <v>rainfall region</v>
      </c>
      <c r="P53" s="165"/>
      <c r="Q53" s="166" t="str">
        <v/>
      </c>
      <c r="R53" s="167" t="str">
        <v>Input</v>
      </c>
      <c r="S53" s="166"/>
    </row>
    <row r="54" spans="4:19" ht="20.100000000000001" customHeight="1" x14ac:dyDescent="0.25"/>
    <row r="55" spans="4:19" ht="20.100000000000001" customHeight="1" x14ac:dyDescent="0.25">
      <c r="D55" s="175" t="s">
        <v>758</v>
      </c>
      <c r="E55" s="176" cm="1">
        <f t="array" ref="E55">Fertiliser_Equations_AtmosphericDeposition.VEERG_5_4_1_3__1_OrganicFertiliserAtmosphericDepositionN2OEmissions(I48,I49,I50)</f>
        <v>2.31E-3</v>
      </c>
      <c r="F55" s="177" t="str">
        <f>$E$46</f>
        <v>t N2O</v>
      </c>
      <c r="N55" s="175" t="s">
        <v>758</v>
      </c>
      <c r="O55" s="176" cm="1">
        <f t="array" ref="O55">Fertiliser_Equations_AtmosphericDeposition.VEERG_5_4_1_3__1_OrganicFertiliserAtmosphericDepositionN2OEmissions(S48,I49,I50)</f>
        <v>4.62E-3</v>
      </c>
      <c r="P55" s="177" t="str">
        <f>$E$46</f>
        <v>t N2O</v>
      </c>
    </row>
    <row r="56" spans="4:19" ht="20.100000000000001" customHeight="1" x14ac:dyDescent="0.25"/>
    <row r="57" spans="4:19" ht="20.100000000000001" customHeight="1" x14ac:dyDescent="0.25"/>
    <row r="58" spans="4:19" ht="20.100000000000001" customHeight="1" x14ac:dyDescent="0.25"/>
    <row r="59" spans="4:19" ht="20.100000000000001" customHeight="1" x14ac:dyDescent="0.25">
      <c r="D59" s="9" t="str" cm="1">
        <f t="array" ref="D59">Fertiliser_Equations_LeachingAndRunoff.VEERG_5_5_1_1__3_MassOfNitrogenLeachedFromOrganicFertiliser_Title()</f>
        <v>Mass of nitrogen lost through leaching and runoff from organic fertiliser application in production system j</v>
      </c>
      <c r="N59" s="9" t="str" cm="1">
        <f t="array" ref="N59">Fertiliser_Equations_LeachingAndRunoff.VEERG_5_5_1_1__3_MassOfNitrogenLeachedFromOrganicFertiliser_Title()</f>
        <v>Mass of nitrogen lost through leaching and runoff from organic fertiliser application in production system j</v>
      </c>
    </row>
    <row r="60" spans="4:19" ht="20.100000000000001" customHeight="1" x14ac:dyDescent="0.25">
      <c r="D60" s="11" t="str" cm="1">
        <f t="array" ref="D60">Fertiliser_Equations_LeachingAndRunoff.VEERG_5_5_1_1__3_MassOfNitrogenLeachedFromOrganicFertiliser_Source()</f>
        <v>VEERG 2026: 5.5, Equation (3)</v>
      </c>
      <c r="N60" s="11" t="str" cm="1">
        <f t="array" ref="N60">Fertiliser_Equations_LeachingAndRunoff.VEERG_5_5_1_1__3_MassOfNitrogenLeachedFromOrganicFertiliser_Source()</f>
        <v>VEERG 2026: 5.5, Equation (3)</v>
      </c>
    </row>
    <row r="61" spans="4:19" ht="20.100000000000001" customHeight="1" x14ac:dyDescent="0.25">
      <c r="D61" s="171" t="s">
        <v>622</v>
      </c>
      <c r="E61" s="171" t="str" cm="1">
        <f t="array" aca="1" ref="E61" ca="1">Common_InputFunctions.Utility_DisplayFunctionName(E74)</f>
        <v>=Fertiliser_Equations_LeachingAndRunoff.VEERG_5_5_1_1__3_MassOfNitrogenLeachedFromOrganicFertiliser</v>
      </c>
      <c r="N61" s="171" t="s">
        <v>622</v>
      </c>
      <c r="O61" s="171" t="str" cm="1">
        <f t="array" aca="1" ref="O61" ca="1">Common_InputFunctions.Utility_DisplayFunctionName(O74)</f>
        <v>=Fertiliser_Equations_LeachingAndRunoff.VEERG_5_5_1_1__3_MassOfNitrogenLeachedFromOrganicFertiliser</v>
      </c>
    </row>
    <row r="62" spans="4:19" ht="20.100000000000001" customHeight="1" x14ac:dyDescent="0.25"/>
    <row r="63" spans="4:19" ht="20.100000000000001" customHeight="1" x14ac:dyDescent="0.25"/>
    <row r="64" spans="4:19" ht="20.100000000000001" customHeight="1" x14ac:dyDescent="0.25">
      <c r="D64" s="27" t="s">
        <v>623</v>
      </c>
      <c r="E64" s="8" t="str" cm="1">
        <f t="array" ref="E64">Fertiliser_Equations_LeachingAndRunoff.VEERG_5_5_1_1__3_MassOfNitrogenLeachedFromOrganicFertiliser_Variable()</f>
        <v>M_leachorganicj</v>
      </c>
      <c r="N64" s="27" t="s">
        <v>623</v>
      </c>
      <c r="O64" s="8" t="str" cm="1">
        <f t="array" ref="O64">Fertiliser_Equations_LeachingAndRunoff.VEERG_5_5_1_1__3_MassOfNitrogenLeachedFromOrganicFertiliser_Variable()</f>
        <v>M_leachorganicj</v>
      </c>
    </row>
    <row r="65" spans="4:19" ht="20.100000000000001" customHeight="1" x14ac:dyDescent="0.25">
      <c r="D65" s="27" t="s">
        <v>96</v>
      </c>
      <c r="E65" s="13" t="str" cm="1">
        <f t="array" ref="E65">Fertiliser_Equations_LeachingAndRunoff.VEERG_5_5_1_1__3_MassOfNitrogenLeachedFromOrganicFertiliser_Unit()</f>
        <v>kg N</v>
      </c>
      <c r="N65" s="27" t="s">
        <v>96</v>
      </c>
      <c r="O65" s="13" t="str" cm="1">
        <f t="array" ref="O65">Fertiliser_Equations_LeachingAndRunoff.VEERG_5_5_1_1__3_MassOfNitrogenLeachedFromOrganicFertiliser_Unit()</f>
        <v>kg N</v>
      </c>
    </row>
    <row r="66" spans="4:19" ht="20.100000000000001" customHeight="1" x14ac:dyDescent="0.25"/>
    <row r="67" spans="4:19" ht="20.100000000000001" customHeight="1" x14ac:dyDescent="0.25">
      <c r="D67" s="166" t="str" cm="1">
        <f t="array" ref="D67:E72">_xlfn.CHOOSECOLS(Fertiliser_Equations_LeachingAndRunoff.VEERG_5_5_1_1__3_MassOfNitrogenLeachedFromOrganicFertiliser_Arguments(), 1, 2)</f>
        <v>MNSoil_jf</v>
      </c>
      <c r="E67" s="170" t="str">
        <v>mass of nitrogen in organic fertiliser</v>
      </c>
      <c r="F67" s="165"/>
      <c r="G67" s="166" t="str" cm="1">
        <f t="array" ref="G67:H72">_xlfn.CHOOSECOLS(Fertiliser_Equations_LeachingAndRunoff.VEERG_5_5_1_1__3_MassOfNitrogenLeachedFromOrganicFertiliser_Arguments(), 3,4)</f>
        <v>kg N</v>
      </c>
      <c r="H67" s="168" t="str">
        <v>Calculated from 5.2.1.1 (2)</v>
      </c>
      <c r="I67" s="166">
        <f>X_Cell_ManureSentOffsite_MassNitrogenManure_Method1</f>
        <v>1000</v>
      </c>
      <c r="N67" s="166" t="str" cm="1">
        <f t="array" ref="N67:O72">_xlfn.CHOOSECOLS(Fertiliser_Equations_LeachingAndRunoff.VEERG_5_5_1_1__3_MassOfNitrogenLeachedFromOrganicFertiliser_Arguments(), 1, 2)</f>
        <v>MNSoil_jf</v>
      </c>
      <c r="O67" s="170" t="str">
        <v>mass of nitrogen in organic fertiliser</v>
      </c>
      <c r="P67" s="165"/>
      <c r="Q67" s="166" t="str" cm="1">
        <f t="array" ref="Q67:R72">_xlfn.CHOOSECOLS(Fertiliser_Equations_LeachingAndRunoff.VEERG_5_5_1_1__3_MassOfNitrogenLeachedFromOrganicFertiliser_Arguments(), 3,4)</f>
        <v>kg N</v>
      </c>
      <c r="R67" s="168" t="str">
        <v>Calculated from 5.2.1.1 (2)</v>
      </c>
      <c r="S67" s="166">
        <f>X_Cell_ManureSentOffsite_MassNitrogenManure_Method2</f>
        <v>2000</v>
      </c>
    </row>
    <row r="68" spans="4:19" ht="20.100000000000001" customHeight="1" x14ac:dyDescent="0.25">
      <c r="D68" s="166" t="str">
        <v>FracWETj</v>
      </c>
      <c r="E68" s="170" t="str">
        <v>fraction of N available for leaching and runoff</v>
      </c>
      <c r="F68" s="165"/>
      <c r="G68" s="166" t="str">
        <v>fraction</v>
      </c>
      <c r="H68" s="168" t="str">
        <v>Constant</v>
      </c>
      <c r="I68" s="166">
        <f>Common_InputFunctions.CommonCropping_GetFracWET(I70,I72,#REF!,#REF!,Table_SourceData_FracWETIrrigation[Irrigation type i],Table_SourceData_FracWETIrrigation[FracWET])</f>
        <v>1</v>
      </c>
      <c r="N68" s="166" t="str">
        <v>FracWETj</v>
      </c>
      <c r="O68" s="170" t="str">
        <v>fraction of N available for leaching and runoff</v>
      </c>
      <c r="P68" s="165"/>
      <c r="Q68" s="166" t="str">
        <v>fraction</v>
      </c>
      <c r="R68" s="168" t="str">
        <v>Constant</v>
      </c>
      <c r="S68" s="166"/>
    </row>
    <row r="69" spans="4:19" ht="20.100000000000001" customHeight="1" x14ac:dyDescent="0.25">
      <c r="D69" s="166" t="str">
        <v>FracLEACH</v>
      </c>
      <c r="E69" s="170" t="str">
        <v>fraction of N that is lost through leaching and runoff</v>
      </c>
      <c r="F69" s="165"/>
      <c r="G69" s="166" t="str">
        <v>fraction</v>
      </c>
      <c r="H69" s="168" t="str">
        <v>Constant</v>
      </c>
      <c r="I69" s="166">
        <f>'Constants - Fertiliser'!$E$78</f>
        <v>0.24</v>
      </c>
      <c r="N69" s="166" t="str">
        <v>FracLEACH</v>
      </c>
      <c r="O69" s="170" t="str">
        <v>fraction of N that is lost through leaching and runoff</v>
      </c>
      <c r="P69" s="165"/>
      <c r="Q69" s="166" t="str">
        <v>fraction</v>
      </c>
      <c r="R69" s="168" t="str">
        <v>Constant</v>
      </c>
      <c r="S69" s="166"/>
    </row>
    <row r="70" spans="4:19" ht="20.100000000000001" customHeight="1" x14ac:dyDescent="0.25">
      <c r="D70" s="166" t="str">
        <v>z</v>
      </c>
      <c r="E70" s="170" t="str">
        <v>location in leaching zone</v>
      </c>
      <c r="F70" s="165"/>
      <c r="G70" s="166" t="str">
        <v/>
      </c>
      <c r="H70" s="167" t="str">
        <v>Input</v>
      </c>
      <c r="I70" s="166" t="str">
        <f>X_Cell_Site_LeachingZone</f>
        <v>NO - Not in leaching zone</v>
      </c>
      <c r="N70" s="166" t="str">
        <v>z</v>
      </c>
      <c r="O70" s="170" t="str">
        <v>location in leaching zone</v>
      </c>
      <c r="P70" s="165"/>
      <c r="Q70" s="166" t="str">
        <v/>
      </c>
      <c r="R70" s="167" t="str">
        <v>Input</v>
      </c>
      <c r="S70" s="166"/>
    </row>
    <row r="71" spans="4:19" ht="20.100000000000001" customHeight="1" x14ac:dyDescent="0.25">
      <c r="D71" s="166" t="str">
        <v>j</v>
      </c>
      <c r="E71" s="170" t="str">
        <v>production system</v>
      </c>
      <c r="F71" s="165"/>
      <c r="G71" s="166" t="str">
        <v/>
      </c>
      <c r="H71" s="167" t="str">
        <v>Input</v>
      </c>
      <c r="I71" s="166" t="str">
        <f>X_Cell_ManureSentOffsite_ManureProductionSystem</f>
        <v>Crop</v>
      </c>
      <c r="N71" s="166" t="str">
        <v>j</v>
      </c>
      <c r="O71" s="170" t="str">
        <v>production system</v>
      </c>
      <c r="P71" s="165"/>
      <c r="Q71" s="166" t="str">
        <v/>
      </c>
      <c r="R71" s="167" t="str">
        <v>Input</v>
      </c>
      <c r="S71" s="166"/>
    </row>
    <row r="72" spans="4:19" ht="20.100000000000001" customHeight="1" x14ac:dyDescent="0.25">
      <c r="D72" s="166" t="str">
        <v>ir</v>
      </c>
      <c r="E72" s="170" t="str">
        <v>irrigation method</v>
      </c>
      <c r="F72" s="165"/>
      <c r="G72" s="166" t="str">
        <v/>
      </c>
      <c r="H72" s="167" t="str">
        <v>Input</v>
      </c>
      <c r="I72" s="166" t="str">
        <f>X_Cell_ManureSentOffsite_ManureIrrigationMethod</f>
        <v>Sprinkler irrigation</v>
      </c>
      <c r="N72" s="166" t="str">
        <v>ir</v>
      </c>
      <c r="O72" s="170" t="str">
        <v>irrigation method</v>
      </c>
      <c r="P72" s="165"/>
      <c r="Q72" s="166" t="str">
        <v/>
      </c>
      <c r="R72" s="167" t="str">
        <v>Input</v>
      </c>
      <c r="S72" s="166"/>
    </row>
    <row r="73" spans="4:19" ht="20.100000000000001" customHeight="1" x14ac:dyDescent="0.25"/>
    <row r="74" spans="4:19" ht="20.100000000000001" customHeight="1" x14ac:dyDescent="0.25">
      <c r="D74" s="173" t="s">
        <v>759</v>
      </c>
      <c r="E74" s="98" cm="1">
        <f t="array" ref="E74">Fertiliser_Equations_LeachingAndRunoff.VEERG_5_5_1_1__3_MassOfNitrogenLeachedFromOrganicFertiliser(I67,I68,I69)</f>
        <v>240</v>
      </c>
      <c r="F74" s="174" t="str">
        <f>$E$65</f>
        <v>kg N</v>
      </c>
      <c r="N74" s="173" t="s">
        <v>759</v>
      </c>
      <c r="O74" s="98" cm="1">
        <f t="array" ref="O74">Fertiliser_Equations_LeachingAndRunoff.VEERG_5_5_1_1__3_MassOfNitrogenLeachedFromOrganicFertiliser(S67,I68,I69)</f>
        <v>480</v>
      </c>
      <c r="P74" s="174" t="str">
        <f>$E$65</f>
        <v>kg N</v>
      </c>
    </row>
    <row r="75" spans="4:19" ht="20.100000000000001" customHeight="1" x14ac:dyDescent="0.25"/>
    <row r="76" spans="4:19" ht="20.100000000000001" customHeight="1" x14ac:dyDescent="0.25"/>
    <row r="77" spans="4:19" ht="20.100000000000001" customHeight="1" x14ac:dyDescent="0.25">
      <c r="D77" s="9" t="str" cm="1">
        <f t="array" ref="D77">Fertiliser_Equations_LeachingAndRunoff.VEERG_5_5_1_1__1_FertiliserLeachingAndRunoffN2OEmissions_Title()</f>
        <v>Nitrous oxide emissions from nitrogen leaching and runoff from the application of all fertilisers across all production systems j</v>
      </c>
      <c r="N77" s="9" t="str" cm="1">
        <f t="array" ref="N77">Fertiliser_Equations_LeachingAndRunoff.VEERG_5_5_1_1__1_FertiliserLeachingAndRunoffN2OEmissions_Title()</f>
        <v>Nitrous oxide emissions from nitrogen leaching and runoff from the application of all fertilisers across all production systems j</v>
      </c>
    </row>
    <row r="78" spans="4:19" ht="20.100000000000001" customHeight="1" x14ac:dyDescent="0.25">
      <c r="D78" s="11" t="str" cm="1">
        <f t="array" ref="D78">Fertiliser_Equations_LeachingAndRunoff.VEERG_5_5_1_1__1_FertiliserLeachingAndRunoffN2OEmissions_Source()</f>
        <v>VEERG 2026: 5.5, Equation (1)</v>
      </c>
      <c r="N78" s="11" t="str" cm="1">
        <f t="array" ref="N78">Fertiliser_Equations_LeachingAndRunoff.VEERG_5_5_1_1__1_FertiliserLeachingAndRunoffN2OEmissions_Source()</f>
        <v>VEERG 2026: 5.5, Equation (1)</v>
      </c>
    </row>
    <row r="79" spans="4:19" ht="20.100000000000001" customHeight="1" x14ac:dyDescent="0.25">
      <c r="D79" s="171" t="s">
        <v>622</v>
      </c>
      <c r="E79" s="171" t="str">
        <f ca="1">Common_InputFunctions.Utility_DisplayFunctionName(VEERG_5_5_1_1__1_FertiliserLeachingAndRunoffN2OEmissions_Result_Method1)</f>
        <v>=Fertiliser_Equations_LeachingAndRunoff.VEERG_5_5_1_1__1_FertiliserLeachingAndRunoffN2OEmissions</v>
      </c>
      <c r="N79" s="171" t="s">
        <v>622</v>
      </c>
      <c r="O79" s="171" t="str">
        <f ca="1">Common_InputFunctions.Utility_DisplayFunctionName(VEERG_5_5_1_1__1_FertiliserLeachingAndRunoffN2OEmissions_Result_Method2)</f>
        <v>=Fertiliser_Equations_LeachingAndRunoff.VEERG_5_5_1_1__1_FertiliserLeachingAndRunoffN2OEmissions</v>
      </c>
    </row>
    <row r="80" spans="4:19" ht="20.100000000000001" customHeight="1" x14ac:dyDescent="0.25"/>
    <row r="81" spans="4:20" ht="20.100000000000001" customHeight="1" x14ac:dyDescent="0.25"/>
    <row r="82" spans="4:20" ht="20.100000000000001" customHeight="1" x14ac:dyDescent="0.25">
      <c r="D82" s="27" t="s">
        <v>623</v>
      </c>
      <c r="E82" s="8" t="str" cm="1">
        <f t="array" ref="E82">Fertiliser_Equations_LeachingAndRunoff.VEERG_5_5_1_1__1_FertiliserLeachingAndRunoffN2OEmissions_Variable()</f>
        <v>E_fertleach</v>
      </c>
      <c r="N82" s="27" t="s">
        <v>623</v>
      </c>
      <c r="O82" s="8" t="str" cm="1">
        <f t="array" ref="O82">Fertiliser_Equations_LeachingAndRunoff.VEERG_5_5_1_1__1_FertiliserLeachingAndRunoffN2OEmissions_Variable()</f>
        <v>E_fertleach</v>
      </c>
    </row>
    <row r="83" spans="4:20" x14ac:dyDescent="0.25">
      <c r="D83" s="27" t="s">
        <v>96</v>
      </c>
      <c r="E83" s="13" t="str" cm="1">
        <f t="array" ref="E83">Fertiliser_Equations_LeachingAndRunoff.VEERG_5_5_1_1__1_FertiliserLeachingAndRunoffN2OEmissions_Unit()</f>
        <v>t N2O</v>
      </c>
      <c r="N83" s="27" t="s">
        <v>96</v>
      </c>
      <c r="O83" s="13" t="str" cm="1">
        <f t="array" ref="O83">Fertiliser_Equations_LeachingAndRunoff.VEERG_5_5_1_1__1_FertiliserLeachingAndRunoffN2OEmissions_Unit()</f>
        <v>t N2O</v>
      </c>
    </row>
    <row r="85" spans="4:20" x14ac:dyDescent="0.25">
      <c r="D85" s="166" t="str" cm="1">
        <f t="array" ref="D85:E88">_xlfn.CHOOSECOLS(Fertiliser_Equations_LeachingAndRunoff.VEERG_5_5_1_1__1_FertiliserLeachingAndRunoffN2OEmissions_Arguments(), 1, 2)</f>
        <v>M_leachinorganicj</v>
      </c>
      <c r="E85" s="170" t="str">
        <v>mass of nitrogen lost through leaching and runoff from inorganic fertiliser application in production system j</v>
      </c>
      <c r="F85" s="204"/>
      <c r="G85" s="165"/>
      <c r="H85" s="166" t="str" cm="1">
        <f t="array" ref="H85:I88">_xlfn.CHOOSECOLS(Fertiliser_Equations_LeachingAndRunoff.VEERG_5_5_1_1__1_FertiliserLeachingAndRunoffN2OEmissions_Arguments(), 3,4)</f>
        <v>kg N</v>
      </c>
      <c r="I85" s="168" t="str">
        <v>Calculated from 5.5.1.1 (2)</v>
      </c>
      <c r="J85" s="166">
        <v>0</v>
      </c>
      <c r="N85" s="166" t="str" cm="1">
        <f t="array" ref="N85:O88">_xlfn.CHOOSECOLS(Fertiliser_Equations_LeachingAndRunoff.VEERG_5_5_1_1__1_FertiliserLeachingAndRunoffN2OEmissions_Arguments(), 1, 2)</f>
        <v>M_leachinorganicj</v>
      </c>
      <c r="O85" s="170" t="str">
        <v>mass of nitrogen lost through leaching and runoff from inorganic fertiliser application in production system j</v>
      </c>
      <c r="P85" s="204"/>
      <c r="Q85" s="165"/>
      <c r="R85" s="166" t="str" cm="1">
        <f t="array" ref="R85:S88">_xlfn.CHOOSECOLS(Fertiliser_Equations_LeachingAndRunoff.VEERG_5_5_1_1__1_FertiliserLeachingAndRunoffN2OEmissions_Arguments(), 3,4)</f>
        <v>kg N</v>
      </c>
      <c r="S85" s="168" t="str">
        <v>Calculated from 5.5.1.1 (2)</v>
      </c>
      <c r="T85" s="166"/>
    </row>
    <row r="86" spans="4:20" x14ac:dyDescent="0.25">
      <c r="D86" s="166" t="str">
        <v>M_leachorganicj</v>
      </c>
      <c r="E86" s="170" t="str">
        <v>mass of nitrogen lost through leaching and runoff from organic fertiliser application</v>
      </c>
      <c r="F86" s="204"/>
      <c r="G86" s="165"/>
      <c r="H86" s="166" t="str">
        <v>kg N</v>
      </c>
      <c r="I86" s="168" t="str">
        <v>Calculated from 5.5.1.1 (3)</v>
      </c>
      <c r="J86" s="166">
        <f>E74</f>
        <v>240</v>
      </c>
      <c r="N86" s="166" t="str">
        <v>M_leachorganicj</v>
      </c>
      <c r="O86" s="170" t="str">
        <v>mass of nitrogen lost through leaching and runoff from organic fertiliser application</v>
      </c>
      <c r="P86" s="204"/>
      <c r="Q86" s="165"/>
      <c r="R86" s="166" t="str">
        <v>kg N</v>
      </c>
      <c r="S86" s="168" t="str">
        <v>Calculated from 5.5.1.1 (3)</v>
      </c>
      <c r="T86" s="166">
        <f>O74</f>
        <v>480</v>
      </c>
    </row>
    <row r="87" spans="4:20" x14ac:dyDescent="0.25">
      <c r="D87" s="166" t="str">
        <v>EF_leach</v>
      </c>
      <c r="E87" s="170" t="str">
        <v>emission factor for nitrogen leaching and runoff</v>
      </c>
      <c r="F87" s="204"/>
      <c r="G87" s="165"/>
      <c r="H87" s="166" t="str">
        <v>kg N2O-N/kg N</v>
      </c>
      <c r="I87" s="168" t="str">
        <v>Constant</v>
      </c>
      <c r="J87" s="166">
        <f>'Constants - Fertiliser'!$E$83</f>
        <v>1.0999999999999999E-2</v>
      </c>
      <c r="N87" s="166" t="str">
        <v>EF_leach</v>
      </c>
      <c r="O87" s="170" t="str">
        <v>emission factor for nitrogen leaching and runoff</v>
      </c>
      <c r="P87" s="204"/>
      <c r="Q87" s="165"/>
      <c r="R87" s="166" t="str">
        <v>kg N2O-N/kg N</v>
      </c>
      <c r="S87" s="168" t="str">
        <v>Constant</v>
      </c>
      <c r="T87" s="166"/>
    </row>
    <row r="88" spans="4:20" x14ac:dyDescent="0.25">
      <c r="D88" s="166" t="str">
        <v>C_N2O</v>
      </c>
      <c r="E88" s="170" t="str">
        <v>factor to convert elemental mass of nitrous oxide to molecular mass</v>
      </c>
      <c r="F88" s="204"/>
      <c r="G88" s="165"/>
      <c r="H88" s="166" t="str">
        <v/>
      </c>
      <c r="I88" s="168" t="str">
        <v>Constant</v>
      </c>
      <c r="J88" s="205">
        <f>Common_InputFunctions.Utility_LookupValueInTableNumber("N2O",Table_GasToMolecularConversionFactor[Gas],Table_GasToMolecularConversionFactor[Conversion factor combined])</f>
        <v>1.5714285714285714</v>
      </c>
      <c r="N88" s="166" t="str">
        <v>C_N2O</v>
      </c>
      <c r="O88" s="170" t="str">
        <v>factor to convert elemental mass of nitrous oxide to molecular mass</v>
      </c>
      <c r="P88" s="204"/>
      <c r="Q88" s="165"/>
      <c r="R88" s="166" t="str">
        <v/>
      </c>
      <c r="S88" s="168" t="str">
        <v>Constant</v>
      </c>
      <c r="T88" s="205"/>
    </row>
    <row r="90" spans="4:20" ht="23.25" x14ac:dyDescent="0.25">
      <c r="D90" s="175" t="s">
        <v>760</v>
      </c>
      <c r="E90" s="176" cm="1">
        <f t="array" ref="E90">Fertiliser_Equations_LeachingAndRunoff.VEERG_5_5_1_1__1_FertiliserLeachingAndRunoffN2OEmissions(J85,J86,J87,J88)</f>
        <v>4.1485714285714277E-3</v>
      </c>
      <c r="F90" s="177" t="str">
        <f>$E$83</f>
        <v>t N2O</v>
      </c>
      <c r="N90" s="175" t="s">
        <v>760</v>
      </c>
      <c r="O90" s="176" cm="1">
        <f t="array" ref="O90">Fertiliser_Equations_LeachingAndRunoff.VEERG_5_5_1_1__1_FertiliserLeachingAndRunoffN2OEmissions(J85,T86,J87,J88)</f>
        <v>8.2971428571428554E-3</v>
      </c>
      <c r="P90" s="177" t="str">
        <f>$E$83</f>
        <v>t N2O</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855E4-BCD6-4E91-86C0-508FB5693D70}">
  <dimension ref="A1:R342"/>
  <sheetViews>
    <sheetView showGridLines="0" topLeftCell="A42" zoomScaleNormal="100" workbookViewId="0">
      <selection activeCell="A41" sqref="A41"/>
    </sheetView>
  </sheetViews>
  <sheetFormatPr defaultRowHeight="15.75" x14ac:dyDescent="0.25"/>
  <cols>
    <col min="1" max="1" width="26.875" style="3" customWidth="1"/>
    <col min="2" max="2" width="4.125" style="3" customWidth="1"/>
    <col min="3" max="3" width="4.125" style="8" customWidth="1"/>
    <col min="4" max="4" width="40.5" style="8" customWidth="1"/>
    <col min="5" max="17" width="26.875" style="8" customWidth="1"/>
    <col min="18" max="18" width="4.125" style="8" customWidth="1"/>
    <col min="19" max="16384" width="9" style="3"/>
  </cols>
  <sheetData>
    <row r="1" spans="1:18" s="1" customFormat="1" ht="30" customHeight="1" x14ac:dyDescent="0.35">
      <c r="A1" s="37" t="e" vm="1">
        <v>#VALUE!</v>
      </c>
      <c r="C1" s="1" t="s">
        <v>706</v>
      </c>
    </row>
    <row r="2" spans="1:18" s="2" customFormat="1" ht="20.100000000000001" customHeight="1" x14ac:dyDescent="0.25">
      <c r="A2"/>
    </row>
    <row r="3" spans="1:18" ht="20.100000000000001" customHeight="1" x14ac:dyDescent="0.25">
      <c r="A3" s="16" t="str">
        <f>HYPERLINK("#'Overview'!A1", "Overview")</f>
        <v>Overview</v>
      </c>
      <c r="C3" s="5"/>
      <c r="D3" s="5" t="s">
        <v>404</v>
      </c>
      <c r="E3" s="5"/>
      <c r="F3" s="5"/>
      <c r="G3" s="5"/>
      <c r="H3" s="5"/>
      <c r="I3" s="5"/>
      <c r="J3" s="5"/>
      <c r="K3" s="5"/>
      <c r="L3" s="5"/>
      <c r="M3" s="5"/>
      <c r="N3" s="5"/>
      <c r="O3" s="5"/>
      <c r="P3" s="5"/>
      <c r="Q3" s="5"/>
      <c r="R3" s="5"/>
    </row>
    <row r="4" spans="1:18" ht="20.100000000000001" customHeight="1" x14ac:dyDescent="0.25">
      <c r="A4" s="16" t="str">
        <f>HYPERLINK("#'Results'!A1", "Results")</f>
        <v>Results</v>
      </c>
    </row>
    <row r="5" spans="1:18" ht="20.100000000000001" customHeight="1" x14ac:dyDescent="0.25">
      <c r="A5"/>
      <c r="D5" s="9" t="str" cm="1">
        <f t="array" ref="D5">Fuel_Equations.VEERG_8_1_1_1__1_FuelCombustionTransport_Title()</f>
        <v>Emissions for each GHG from the combustion of fuels for transport energy purposes</v>
      </c>
      <c r="K5" s="9" t="str" cm="1">
        <f t="array" ref="K5">Scope3_Equations.VEERG_15_11_1_1__2_UpstreamTransportFuelEmissions_Title()</f>
        <v>Upstream emissions from scope 1 fuel use for transport purposes</v>
      </c>
      <c r="O5" s="17"/>
      <c r="P5" s="17"/>
      <c r="Q5" s="17"/>
    </row>
    <row r="6" spans="1:18" ht="20.100000000000001" customHeight="1" x14ac:dyDescent="0.25">
      <c r="A6"/>
      <c r="D6" s="11" t="str" cm="1">
        <f t="array" ref="D6">Fuel_Equations.VEERG_8_1_1_1__1_FuelCombustionTransport_Source()</f>
        <v>VEERG 2026: 8.1.1.1, Equation (1)</v>
      </c>
      <c r="K6" s="11" t="str" cm="1">
        <f t="array" ref="K6">Scope3_Equations.VEERG_15_11_1_1__2_UpstreamTransportFuelEmissions_Source()</f>
        <v>VEERG 2026: 15.11.1.1, Equation (2)</v>
      </c>
      <c r="O6" s="17"/>
      <c r="P6" s="17"/>
      <c r="Q6" s="17"/>
    </row>
    <row r="7" spans="1:18" ht="20.100000000000001" customHeight="1" x14ac:dyDescent="0.25">
      <c r="A7" s="19" t="s">
        <v>67</v>
      </c>
      <c r="D7" s="171" t="s">
        <v>622</v>
      </c>
      <c r="E7" s="171" t="str" cm="1">
        <f t="array" aca="1" ref="E7" ca="1">Common_InputFunctions.Utility_DisplayFunctionName(N25)</f>
        <v>=Fuel_Equations.VEERG_8_1_1_1__1_FuelCombustionTransport</v>
      </c>
      <c r="K7" s="171" t="s">
        <v>622</v>
      </c>
      <c r="L7" s="171" t="str" cm="1">
        <f t="array" aca="1" ref="L7" ca="1">Common_InputFunctions.Utility_DisplayFunctionName(Q25)</f>
        <v>=Scope3_Equations.VEERG_15_11_1_1__2_UpstreamTransportFuelEmissions</v>
      </c>
      <c r="O7" s="17"/>
      <c r="P7" s="17"/>
      <c r="Q7" s="17"/>
    </row>
    <row r="8" spans="1:18" ht="20.100000000000001" customHeight="1" x14ac:dyDescent="0.25">
      <c r="A8" s="16" t="str">
        <f>HYPERLINK("#'Input - Site'!A1", "Site")</f>
        <v>Site</v>
      </c>
      <c r="E8" s="171"/>
      <c r="L8" s="171"/>
      <c r="O8" s="17"/>
      <c r="P8" s="17"/>
      <c r="Q8" s="17"/>
    </row>
    <row r="9" spans="1:18" ht="20.100000000000001" customHeight="1" x14ac:dyDescent="0.25">
      <c r="A9" s="16" t="str">
        <f>HYPERLINK("#'Input - Fuel'!A1", "Fuel")</f>
        <v>Fuel</v>
      </c>
      <c r="G9" s="11"/>
      <c r="O9" s="17"/>
      <c r="P9" s="17"/>
      <c r="Q9" s="17"/>
    </row>
    <row r="10" spans="1:18" ht="20.100000000000001" customHeight="1" x14ac:dyDescent="0.25">
      <c r="A10" s="16" t="str">
        <f>HYPERLINK("#'Input - Fertiliser'!A1", "Fertiliser")</f>
        <v>Fertiliser</v>
      </c>
      <c r="O10" s="17"/>
      <c r="P10" s="17"/>
      <c r="Q10" s="17"/>
    </row>
    <row r="11" spans="1:18" ht="20.100000000000001" customHeight="1" x14ac:dyDescent="0.25">
      <c r="A11" s="16" t="str">
        <f>HYPERLINK("#'Input - Farm Inputs'!A1", "Farm Inputs")</f>
        <v>Farm Inputs</v>
      </c>
      <c r="D11" s="27" t="s">
        <v>623</v>
      </c>
      <c r="E11" s="8" t="str" cm="1">
        <f t="array" ref="E11">Fuel_Equations.VEERG_8_1_1_1__1_FuelCombustionTransport_Variable()</f>
        <v>E_g</v>
      </c>
      <c r="K11" s="27" t="s">
        <v>623</v>
      </c>
      <c r="L11" s="8" t="str" cm="1">
        <f t="array" ref="L11">Scope3_Equations.VEERG_15_11_1_1__2_UpstreamTransportFuelEmissions_Variable()</f>
        <v>E_WTTtransq</v>
      </c>
      <c r="O11" s="17"/>
      <c r="P11" s="17"/>
      <c r="Q11" s="17"/>
    </row>
    <row r="12" spans="1:18" ht="20.100000000000001" customHeight="1" x14ac:dyDescent="0.25">
      <c r="A12" s="16" t="str">
        <f>HYPERLINK("#'Input - Beef cattle purchases'!A1", "Beef cattle purchases")</f>
        <v>Beef cattle purchases</v>
      </c>
      <c r="D12" s="27" t="s">
        <v>96</v>
      </c>
      <c r="E12" s="13" t="str" cm="1">
        <f t="array" ref="E12">Fuel_Equations.VEERG_8_1_1_1__1_FuelCombustionTransport_Unit()</f>
        <v>t CO2-e</v>
      </c>
      <c r="K12" s="27" t="s">
        <v>96</v>
      </c>
      <c r="L12" s="13" t="str" cm="1">
        <f t="array" ref="L12">Scope3_Equations.VEERG_15_11_1_1__2_UpstreamTransportFuelEmissions_Unit()</f>
        <v>t CO2e</v>
      </c>
    </row>
    <row r="13" spans="1:18" ht="20.100000000000001" customHeight="1" x14ac:dyDescent="0.25">
      <c r="A13" s="16" t="str">
        <f>HYPERLINK("#'Input - Dairy cattle purchases'!A1", "Dairy cattle purchases")</f>
        <v>Dairy cattle purchases</v>
      </c>
    </row>
    <row r="14" spans="1:18" ht="20.100000000000001" customHeight="1" x14ac:dyDescent="0.25">
      <c r="A14" s="16" t="str">
        <f>HYPERLINK("#'Input - Pig purchases'!A1", "Pig purchases")</f>
        <v>Pig purchases</v>
      </c>
      <c r="D14" s="166" t="str" cm="1">
        <f t="array" ref="D14:E20">_xlfn.CHOOSECOLS(Fuel_Equations.VEERG_8_1_1_1__1_FuelCombustionTransport_Arguments(), 1,2)</f>
        <v>Q_Transtq</v>
      </c>
      <c r="E14" s="170" t="str">
        <v>Amount of fuel type q combusted for transport energy purposes</v>
      </c>
      <c r="F14" s="165"/>
      <c r="G14" s="166" t="str" cm="1">
        <f t="array" ref="G14:H20">_xlfn.CHOOSECOLS(Fuel_Equations.VEERG_8_1_1_1__1_FuelCombustionTransport_Arguments(), 3,4)</f>
        <v>Varies based on fuel type: kL, m3, GJ</v>
      </c>
      <c r="H14" s="230" t="str">
        <v>Input</v>
      </c>
      <c r="I14" s="169" t="str" cm="1">
        <f t="array" aca="1" ref="I14" ca="1">HYPERLINK(Common_InputFunctions.Utility_SourceHyperlink($D$22), $D$22)</f>
        <v>Table_E_g</v>
      </c>
      <c r="K14" s="166" t="str" cm="1">
        <f t="array" ref="K14:L16">_xlfn.CHOOSECOLS(Scope3_Equations.VEERG_15_11_1_1__2_UpstreamTransportFuelEmissions_Arguments(),1,2)</f>
        <v>Q_Transq</v>
      </c>
      <c r="L14" s="166" t="str">
        <v>amount of fuel q combusted for transport energy purposes</v>
      </c>
      <c r="M14" s="166"/>
      <c r="N14" s="166" t="str" cm="1">
        <f t="array" ref="N14:O16">_xlfn.CHOOSECOLS(Scope3_Equations.VEERG_15_11_1_1__2_UpstreamTransportFuelEmissions_Arguments(),3,4)</f>
        <v>kL</v>
      </c>
      <c r="O14" s="230" t="str">
        <v>Input</v>
      </c>
      <c r="P14" s="169" t="str" cm="1">
        <f t="array" aca="1" ref="P14" ca="1">HYPERLINK(Common_InputFunctions.Utility_SourceHyperlink($D$22), $D$22)</f>
        <v>Table_E_g</v>
      </c>
      <c r="Q14" s="17"/>
    </row>
    <row r="15" spans="1:18" ht="20.100000000000001" customHeight="1" x14ac:dyDescent="0.25">
      <c r="A15" s="16" t="str">
        <f>HYPERLINK("#'Input - Poultry purchases'!A1", "Poultry purchases")</f>
        <v>Poultry purchases</v>
      </c>
      <c r="D15" s="166" t="str">
        <v>EC_Transq</v>
      </c>
      <c r="E15" s="170" t="str">
        <v>Energy content factor for transport energy purposes</v>
      </c>
      <c r="F15" s="165"/>
      <c r="G15" s="166" t="str">
        <v>GJ / unit of fuel</v>
      </c>
      <c r="H15" s="168" t="str">
        <v>Constant</v>
      </c>
      <c r="I15" s="169" t="str" cm="1">
        <f t="array" aca="1" ref="I15" ca="1">HYPERLINK(Common_InputFunctions.Utility_SourceHyperlink($D$22), $D$22)</f>
        <v>Table_E_g</v>
      </c>
      <c r="K15" s="166" t="str">
        <v>EC_Transq</v>
      </c>
      <c r="L15" s="166" t="str">
        <v>energy content factor for transport energy purposes</v>
      </c>
      <c r="M15" s="166"/>
      <c r="N15" s="166" t="str">
        <v>GJ/kL or GJ/m3</v>
      </c>
      <c r="O15" s="168" t="str">
        <v>Constant</v>
      </c>
      <c r="P15" s="169" t="str" cm="1">
        <f t="array" aca="1" ref="P15" ca="1">HYPERLINK(Common_InputFunctions.Utility_SourceHyperlink($D$22), $D$22)</f>
        <v>Table_E_g</v>
      </c>
      <c r="Q15" s="17"/>
    </row>
    <row r="16" spans="1:18" ht="20.100000000000001" customHeight="1" x14ac:dyDescent="0.25">
      <c r="A16" s="16" t="str">
        <f>HYPERLINK("#'Input - Freight'!A1", "Freight")</f>
        <v>Freight</v>
      </c>
      <c r="D16" s="166" t="str">
        <v>EF_Trans1tqg</v>
      </c>
      <c r="E16" s="170" t="str">
        <v>Scope 1 emission factor for transport energy purposes for each greenhouse gas</v>
      </c>
      <c r="F16" s="165"/>
      <c r="G16" s="166" t="str">
        <v>kg CO2e / GJ</v>
      </c>
      <c r="H16" s="168" t="str">
        <v>Constant</v>
      </c>
      <c r="I16" s="169" t="str" cm="1">
        <f t="array" aca="1" ref="I16" ca="1">HYPERLINK(Common_InputFunctions.Utility_SourceHyperlink($D$22), $D$22)</f>
        <v>Table_E_g</v>
      </c>
      <c r="K16" s="166" t="str">
        <v>EF_Trans3q</v>
      </c>
      <c r="L16" s="166" t="str">
        <v>scope 3 emission factor for transport energy purposes</v>
      </c>
      <c r="M16" s="166"/>
      <c r="N16" s="166" t="str">
        <v>kg CO2e/GJ</v>
      </c>
      <c r="O16" s="168" t="str">
        <v>Constant</v>
      </c>
      <c r="P16" s="169" t="str" cm="1">
        <f t="array" aca="1" ref="P16" ca="1">HYPERLINK(Common_InputFunctions.Utility_SourceHyperlink($D$22), $D$22)</f>
        <v>Table_E_g</v>
      </c>
      <c r="Q16" s="17"/>
    </row>
    <row r="17" spans="1:17" ht="20.100000000000001" customHeight="1" x14ac:dyDescent="0.25">
      <c r="A17" s="16" t="str">
        <f>HYPERLINK("#'Input - Solid waste'!A1", "Solid waste")</f>
        <v>Solid waste</v>
      </c>
      <c r="D17" s="166" t="str">
        <v>q</v>
      </c>
      <c r="E17" s="170" t="str">
        <v>Fuel type</v>
      </c>
      <c r="F17" s="165"/>
      <c r="G17" s="166" t="str">
        <v/>
      </c>
      <c r="H17" s="168" t="str">
        <v>Constant</v>
      </c>
      <c r="I17" s="169"/>
      <c r="J17" s="17"/>
      <c r="P17" s="17"/>
      <c r="Q17" s="17"/>
    </row>
    <row r="18" spans="1:17" ht="20.100000000000001" customHeight="1" x14ac:dyDescent="0.25">
      <c r="A18" s="16" t="str">
        <f>HYPERLINK("#'Input - Manure sent off-site'!A1", "Manure sent off-site")</f>
        <v>Manure sent off-site</v>
      </c>
      <c r="D18" s="166" t="str">
        <v>Trans</v>
      </c>
      <c r="E18" s="170" t="str">
        <v>Transport combustion</v>
      </c>
      <c r="F18" s="165"/>
      <c r="G18" s="166" t="str">
        <v/>
      </c>
      <c r="H18" s="168" t="str">
        <v>Constant</v>
      </c>
      <c r="I18" s="169"/>
      <c r="J18" s="17"/>
      <c r="L18" s="17"/>
      <c r="M18" s="17"/>
      <c r="N18" s="17"/>
      <c r="O18" s="17"/>
      <c r="P18" s="17"/>
      <c r="Q18" s="17"/>
    </row>
    <row r="19" spans="1:17" ht="20.100000000000001" customHeight="1" x14ac:dyDescent="0.25">
      <c r="A19" s="16" t="str">
        <f>HYPERLINK("#'Input - Electricity'!A1", "Electricity")</f>
        <v>Electricity</v>
      </c>
      <c r="D19" s="166" t="str">
        <v>g</v>
      </c>
      <c r="E19" s="170" t="str">
        <v>Greenhouse gas</v>
      </c>
      <c r="F19" s="165"/>
      <c r="G19" s="166" t="str">
        <v/>
      </c>
      <c r="H19" s="168" t="str">
        <v>Constant</v>
      </c>
      <c r="I19" s="169"/>
      <c r="J19" s="17"/>
      <c r="L19" s="17"/>
      <c r="M19" s="17"/>
      <c r="N19" s="17"/>
      <c r="O19" s="17"/>
      <c r="P19" s="17"/>
      <c r="Q19" s="17"/>
    </row>
    <row r="20" spans="1:17" ht="20.100000000000001" customHeight="1" x14ac:dyDescent="0.25">
      <c r="A20"/>
      <c r="D20" s="166" t="str">
        <v>1</v>
      </c>
      <c r="E20" s="170" t="str">
        <v>Scope 1</v>
      </c>
      <c r="F20" s="165"/>
      <c r="G20" s="166" t="str">
        <v/>
      </c>
      <c r="H20" s="168" t="str">
        <v>Constant</v>
      </c>
      <c r="I20" s="169"/>
      <c r="J20" s="17"/>
      <c r="L20" s="17"/>
      <c r="M20" s="17"/>
      <c r="N20" s="17"/>
      <c r="O20" s="17"/>
      <c r="P20" s="17"/>
      <c r="Q20" s="17"/>
    </row>
    <row r="21" spans="1:17" ht="20.100000000000001" customHeight="1" x14ac:dyDescent="0.25">
      <c r="A21"/>
      <c r="O21" s="17"/>
      <c r="P21" s="17"/>
      <c r="Q21" s="17"/>
    </row>
    <row r="22" spans="1:17" ht="20.100000000000001" customHeight="1" x14ac:dyDescent="0.25">
      <c r="A22" s="21" t="s">
        <v>77</v>
      </c>
      <c r="D22" s="55" t="s">
        <v>128</v>
      </c>
    </row>
    <row r="23" spans="1:17" ht="20.100000000000001" customHeight="1" x14ac:dyDescent="0.25">
      <c r="A23" s="16" t="str">
        <f>HYPERLINK("#'15 Scope 3'!A1", "15 Scope 3")</f>
        <v>15 Scope 3</v>
      </c>
      <c r="D23" s="56" t="s">
        <v>129</v>
      </c>
    </row>
    <row r="24" spans="1:17" ht="20.100000000000001" customHeight="1" x14ac:dyDescent="0.25">
      <c r="A24" s="16" t="str">
        <f>HYPERLINK("#'10.1.1-2 Solid waste treatment'!A1", "10.1.1-2 Solid waste treatment")</f>
        <v>10.1.1-2 Solid waste treatment</v>
      </c>
      <c r="D24" s="57" t="s">
        <v>130</v>
      </c>
      <c r="E24" s="57" t="s">
        <v>131</v>
      </c>
      <c r="F24" s="57" t="s">
        <v>132</v>
      </c>
      <c r="G24" s="57" t="s">
        <v>707</v>
      </c>
      <c r="H24" s="57" t="s">
        <v>708</v>
      </c>
      <c r="I24" s="57" t="s">
        <v>709</v>
      </c>
      <c r="J24" s="57" t="s">
        <v>710</v>
      </c>
      <c r="K24" s="57" t="s">
        <v>711</v>
      </c>
      <c r="L24" s="46" t="s">
        <v>712</v>
      </c>
      <c r="M24" s="57" t="s">
        <v>713</v>
      </c>
      <c r="N24" s="57" t="s">
        <v>714</v>
      </c>
      <c r="O24" s="57" t="s">
        <v>715</v>
      </c>
      <c r="P24" s="57" t="s">
        <v>716</v>
      </c>
      <c r="Q24" s="57" t="s">
        <v>717</v>
      </c>
    </row>
    <row r="25" spans="1:17" ht="20.100000000000001" customHeight="1" x14ac:dyDescent="0.25">
      <c r="A25" s="16" t="str">
        <f>HYPERLINK("#'Calcs - Manure sent off-site'!A1", "Calcs - Manure sent off-site")</f>
        <v>Calcs - Manure sent off-site</v>
      </c>
      <c r="D25" s="7" t="str">
        <f>Table_FuelTypesPerUse[[#Headers],[Cars and light commercial vehicles]]</f>
        <v>Cars and light commercial vehicles</v>
      </c>
      <c r="E25" s="58" t="str">
        <f>'Constants - Fuel'!$E$10</f>
        <v>Gasoline</v>
      </c>
      <c r="F25" s="58" t="str">
        <f>'Constants - Fuel'!G131</f>
        <v>Petrol</v>
      </c>
      <c r="G25" s="49" cm="1">
        <f t="array" ref="G25">IFERROR(_xlfn.XLOOKUP(1, (Table_Fuel_EFs_Transport[Fuel combusted]=$E25)*(Table_Fuel_EFs_Transport[Transport type]=$D$25), Table_Fuel_EFs_Transport[Energy Content Factor (GJ per unit of fuel)]), 0)</f>
        <v>34.200000000000003</v>
      </c>
      <c r="H25" s="49" cm="1">
        <f t="array" ref="H25">IFERROR(_xlfn.XLOOKUP(1, (Table_Fuel_EFs_Transport[Fuel combusted]=$E25)*(Table_Fuel_EFs_Transport[Transport type]=$D$25), Table_Fuel_EFs_Transport[Scope 1 Emission Factor (kg CO2 - e / GJ) CO2]), 0)</f>
        <v>67.400000000000006</v>
      </c>
      <c r="I25" s="49" cm="1">
        <f t="array" ref="I25">IFERROR(_xlfn.XLOOKUP(1, (Table_Fuel_EFs_Transport[Fuel combusted]=$E25)*(Table_Fuel_EFs_Transport[Transport type]=$D$25), Table_Fuel_EFs_Transport[Scope 1 Emission Factor (kg CO2 - e / GJ) CH4]), 0)</f>
        <v>0.02</v>
      </c>
      <c r="J25" s="49" cm="1">
        <f t="array" ref="J25">IFERROR(_xlfn.XLOOKUP(1, (Table_Fuel_EFs_Transport[Fuel combusted]=$E25)*(Table_Fuel_EFs_Transport[Transport type]=$D$25), Table_Fuel_EFs_Transport[Scope 1 Emission Factor (kg CO2 - e / GJ) N2O]), 0)</f>
        <v>0.2</v>
      </c>
      <c r="K25" s="49" cm="1">
        <f t="array" ref="K25">IFERROR(_xlfn.XLOOKUP(1, (Table_Fuel_EFs_Transport[Fuel combusted]=$E25)*(Table_Fuel_EFs_Transport[Transport type]=$D$25), Table_Fuel_EFs_Transport[Scope 3 Emission Factor (kg CO2 - e / GJ)]), 0)</f>
        <v>17.2</v>
      </c>
      <c r="L25" s="180" cm="1">
        <f t="array" ref="L25">Fuel_InputFunctions.Fuel_TotalConsumption(Table_Input_Fuel[Amount consumed], Table_Input_Fuel[Fuel use (select)], D25, Table_Input_Fuel[Fuel type (select)],F25)</f>
        <v>0</v>
      </c>
      <c r="M25" s="180" t="str" cm="1">
        <f t="array" ref="M25">Common_InputFunctions.Utility_LookupValueInTable(F25,Table_FuelTypes_Units[Fuel type],Table_FuelTypes_Units[Unit])</f>
        <v>kL</v>
      </c>
      <c r="N25" s="181" cm="1">
        <f t="array" ref="N25">Fuel_Equations.VEERG_8_1_1_1__1_FuelCombustionTransport($L25,$G25,$H25)</f>
        <v>0</v>
      </c>
      <c r="O25" s="181" cm="1">
        <f t="array" ref="O25">Fuel_Equations.VEERG_8_1_1_1__1_FuelCombustionTransport($L25,$G25,$I25)</f>
        <v>0</v>
      </c>
      <c r="P25" s="181" cm="1">
        <f t="array" ref="P25">Fuel_Equations.VEERG_8_1_1_1__1_FuelCombustionTransport($L25,$G25,$J25)</f>
        <v>0</v>
      </c>
      <c r="Q25" s="181" cm="1">
        <f t="array" ref="Q25">Scope3_Equations.VEERG_15_11_1_1__2_UpstreamTransportFuelEmissions(L25,G25,K25)</f>
        <v>0</v>
      </c>
    </row>
    <row r="26" spans="1:17" ht="20.100000000000001" customHeight="1" x14ac:dyDescent="0.25">
      <c r="A26" s="179" t="str">
        <f>HYPERLINK("#'8.1.1.1-2 Transport fuel'!A1", "8.1.1.1-2 Transport fuel")</f>
        <v>8.1.1.1-2 Transport fuel</v>
      </c>
      <c r="D26" s="59" t="str">
        <f t="shared" ref="D26:D32" si="0">$D$25</f>
        <v>Cars and light commercial vehicles</v>
      </c>
      <c r="E26" s="58" t="str">
        <f>'Constants - Fuel'!$E$11</f>
        <v>Diesel oil</v>
      </c>
      <c r="F26" s="58" t="str">
        <f>'Constants - Fuel'!G132</f>
        <v>Diesel</v>
      </c>
      <c r="G26" s="49" cm="1">
        <f t="array" ref="G26">IFERROR(_xlfn.XLOOKUP(1, (Table_Fuel_EFs_Transport[Fuel combusted]=$E26)*(Table_Fuel_EFs_Transport[Transport type]=$D$25), Table_Fuel_EFs_Transport[Energy Content Factor (GJ per unit of fuel)]), 0)</f>
        <v>38.6</v>
      </c>
      <c r="H26" s="49" cm="1">
        <f t="array" ref="H26">IFERROR(_xlfn.XLOOKUP(1, (Table_Fuel_EFs_Transport[Fuel combusted]=$E26)*(Table_Fuel_EFs_Transport[Transport type]=$D$25), Table_Fuel_EFs_Transport[Scope 1 Emission Factor (kg CO2 - e / GJ) CO2]), 0)</f>
        <v>69.900000000000006</v>
      </c>
      <c r="I26" s="49" cm="1">
        <f t="array" ref="I26">IFERROR(_xlfn.XLOOKUP(1, (Table_Fuel_EFs_Transport[Fuel combusted]=$E26)*(Table_Fuel_EFs_Transport[Transport type]=$D$25), Table_Fuel_EFs_Transport[Scope 1 Emission Factor (kg CO2 - e / GJ) CH4]), 0)</f>
        <v>0.01</v>
      </c>
      <c r="J26" s="49" cm="1">
        <f t="array" ref="J26">IFERROR(_xlfn.XLOOKUP(1, (Table_Fuel_EFs_Transport[Fuel combusted]=$E26)*(Table_Fuel_EFs_Transport[Transport type]=$D$25), Table_Fuel_EFs_Transport[Scope 1 Emission Factor (kg CO2 - e / GJ) N2O]), 0)</f>
        <v>0.5</v>
      </c>
      <c r="K26" s="49" cm="1">
        <f t="array" ref="K26">IFERROR(_xlfn.XLOOKUP(1, (Table_Fuel_EFs_Transport[Fuel combusted]=$E26)*(Table_Fuel_EFs_Transport[Transport type]=$D$25), Table_Fuel_EFs_Transport[Scope 3 Emission Factor (kg CO2 - e / GJ)]), 0)</f>
        <v>17.3</v>
      </c>
      <c r="L26" s="180" cm="1">
        <f t="array" ref="L26">Fuel_InputFunctions.Fuel_TotalConsumption(Table_Input_Fuel[Amount consumed], Table_Input_Fuel[Fuel use (select)], D26, Table_Input_Fuel[Fuel type (select)],F26)</f>
        <v>10</v>
      </c>
      <c r="M26" s="180" t="str" cm="1">
        <f t="array" ref="M26">Common_InputFunctions.Utility_LookupValueInTable(F26,Table_FuelTypes_Units[Fuel type],Table_FuelTypes_Units[Unit])</f>
        <v>kL</v>
      </c>
      <c r="N26" s="181" cm="1">
        <f t="array" ref="N26">Fuel_Equations.VEERG_8_1_1_1__1_FuelCombustionTransport($L26,$G26,$H26)</f>
        <v>26.981400000000001</v>
      </c>
      <c r="O26" s="181" cm="1">
        <f t="array" ref="O26">Fuel_Equations.VEERG_8_1_1_1__1_FuelCombustionTransport($L26,$G26,$I26)</f>
        <v>3.8600000000000001E-3</v>
      </c>
      <c r="P26" s="181" cm="1">
        <f t="array" ref="P26">Fuel_Equations.VEERG_8_1_1_1__1_FuelCombustionTransport($L26,$G26,$J26)</f>
        <v>0.193</v>
      </c>
      <c r="Q26" s="181" cm="1">
        <f t="array" ref="Q26">Scope3_Equations.VEERG_15_11_1_1__2_UpstreamTransportFuelEmissions(L26,G26,K26)</f>
        <v>6.6778000000000004</v>
      </c>
    </row>
    <row r="27" spans="1:17" ht="20.100000000000001" customHeight="1" x14ac:dyDescent="0.25">
      <c r="A27" s="16" t="str">
        <f>HYPERLINK("#'8.2.1.1-2 Stationary fuel'!A1", "8.2.1.1-2 Stationary fuel")</f>
        <v>8.2.1.1-2 Stationary fuel</v>
      </c>
      <c r="D27" s="59" t="str">
        <f t="shared" si="0"/>
        <v>Cars and light commercial vehicles</v>
      </c>
      <c r="E27" s="58" t="str">
        <f>'Constants - Fuel'!$E$12</f>
        <v>Liquefied petroleum gas (LPG)</v>
      </c>
      <c r="F27" s="58" t="str">
        <f>'Constants - Fuel'!G133</f>
        <v>Liquefied petroleum gas (LPG)</v>
      </c>
      <c r="G27" s="49" cm="1">
        <f t="array" ref="G27">IFERROR(_xlfn.XLOOKUP(1, (Table_Fuel_EFs_Transport[Fuel combusted]=$E27)*(Table_Fuel_EFs_Transport[Transport type]=$D$25), Table_Fuel_EFs_Transport[Energy Content Factor (GJ per unit of fuel)]), 0)</f>
        <v>26.2</v>
      </c>
      <c r="H27" s="49" cm="1">
        <f t="array" ref="H27">IFERROR(_xlfn.XLOOKUP(1, (Table_Fuel_EFs_Transport[Fuel combusted]=$E27)*(Table_Fuel_EFs_Transport[Transport type]=$D$25), Table_Fuel_EFs_Transport[Scope 1 Emission Factor (kg CO2 - e / GJ) CO2]), 0)</f>
        <v>60.2</v>
      </c>
      <c r="I27" s="49" cm="1">
        <f t="array" ref="I27">IFERROR(_xlfn.XLOOKUP(1, (Table_Fuel_EFs_Transport[Fuel combusted]=$E27)*(Table_Fuel_EFs_Transport[Transport type]=$D$25), Table_Fuel_EFs_Transport[Scope 1 Emission Factor (kg CO2 - e / GJ) CH4]), 0)</f>
        <v>0.5</v>
      </c>
      <c r="J27" s="49" cm="1">
        <f t="array" ref="J27">IFERROR(_xlfn.XLOOKUP(1, (Table_Fuel_EFs_Transport[Fuel combusted]=$E27)*(Table_Fuel_EFs_Transport[Transport type]=$D$25), Table_Fuel_EFs_Transport[Scope 1 Emission Factor (kg CO2 - e / GJ) N2O]), 0)</f>
        <v>0.3</v>
      </c>
      <c r="K27" s="49" cm="1">
        <f t="array" ref="K27">IFERROR(_xlfn.XLOOKUP(1, (Table_Fuel_EFs_Transport[Fuel combusted]=$E27)*(Table_Fuel_EFs_Transport[Transport type]=$D$25), Table_Fuel_EFs_Transport[Scope 3 Emission Factor (kg CO2 - e / GJ)]), 0)</f>
        <v>20.2</v>
      </c>
      <c r="L27" s="180" cm="1">
        <f t="array" ref="L27">Fuel_InputFunctions.Fuel_TotalConsumption(Table_Input_Fuel[Amount consumed], Table_Input_Fuel[Fuel use (select)], D27, Table_Input_Fuel[Fuel type (select)],F27)</f>
        <v>0</v>
      </c>
      <c r="M27" s="180" t="str" cm="1">
        <f t="array" ref="M27">Common_InputFunctions.Utility_LookupValueInTable(F27,Table_FuelTypes_Units[Fuel type],Table_FuelTypes_Units[Unit])</f>
        <v>kL</v>
      </c>
      <c r="N27" s="181" cm="1">
        <f t="array" ref="N27">Fuel_Equations.VEERG_8_1_1_1__1_FuelCombustionTransport($L27,$G27,$H27)</f>
        <v>0</v>
      </c>
      <c r="O27" s="181" cm="1">
        <f t="array" ref="O27">Fuel_Equations.VEERG_8_1_1_1__1_FuelCombustionTransport($L27,$G27,$I27)</f>
        <v>0</v>
      </c>
      <c r="P27" s="181" cm="1">
        <f t="array" ref="P27">Fuel_Equations.VEERG_8_1_1_1__1_FuelCombustionTransport($L27,$G27,$J27)</f>
        <v>0</v>
      </c>
      <c r="Q27" s="181" cm="1">
        <f t="array" ref="Q27">Scope3_Equations.VEERG_15_11_1_1__2_UpstreamTransportFuelEmissions(L27,G27,K27)</f>
        <v>0</v>
      </c>
    </row>
    <row r="28" spans="1:17" ht="20.100000000000001" customHeight="1" x14ac:dyDescent="0.25">
      <c r="A28"/>
      <c r="D28" s="59" t="str">
        <f t="shared" si="0"/>
        <v>Cars and light commercial vehicles</v>
      </c>
      <c r="E28" s="58" t="str">
        <f>'Constants - Fuel'!$E$13</f>
        <v>Fuel oil</v>
      </c>
      <c r="F28" s="58" t="str">
        <f>'Constants - Fuel'!G134</f>
        <v>Fuel oil</v>
      </c>
      <c r="G28" s="49" cm="1">
        <f t="array" ref="G28">IFERROR(_xlfn.XLOOKUP(1, (Table_Fuel_EFs_Transport[Fuel combusted]=$E28)*(Table_Fuel_EFs_Transport[Transport type]=$D$25), Table_Fuel_EFs_Transport[Energy Content Factor (GJ per unit of fuel)]), 0)</f>
        <v>39.700000000000003</v>
      </c>
      <c r="H28" s="49" cm="1">
        <f t="array" ref="H28">IFERROR(_xlfn.XLOOKUP(1, (Table_Fuel_EFs_Transport[Fuel combusted]=$E28)*(Table_Fuel_EFs_Transport[Transport type]=$D$25), Table_Fuel_EFs_Transport[Scope 1 Emission Factor (kg CO2 - e / GJ) CO2]), 0)</f>
        <v>73.599999999999994</v>
      </c>
      <c r="I28" s="49" cm="1">
        <f t="array" ref="I28">IFERROR(_xlfn.XLOOKUP(1, (Table_Fuel_EFs_Transport[Fuel combusted]=$E28)*(Table_Fuel_EFs_Transport[Transport type]=$D$25), Table_Fuel_EFs_Transport[Scope 1 Emission Factor (kg CO2 - e / GJ) CH4]), 0)</f>
        <v>0.08</v>
      </c>
      <c r="J28" s="49" cm="1">
        <f t="array" ref="J28">IFERROR(_xlfn.XLOOKUP(1, (Table_Fuel_EFs_Transport[Fuel combusted]=$E28)*(Table_Fuel_EFs_Transport[Transport type]=$D$25), Table_Fuel_EFs_Transport[Scope 1 Emission Factor (kg CO2 - e / GJ) N2O]), 0)</f>
        <v>0.5</v>
      </c>
      <c r="K28" s="49" cm="1">
        <f t="array" ref="K28">IFERROR(_xlfn.XLOOKUP(1, (Table_Fuel_EFs_Transport[Fuel combusted]=$E28)*(Table_Fuel_EFs_Transport[Transport type]=$D$25), Table_Fuel_EFs_Transport[Scope 3 Emission Factor (kg CO2 - e / GJ)]), 0)</f>
        <v>18</v>
      </c>
      <c r="L28" s="180" cm="1">
        <f t="array" ref="L28">Fuel_InputFunctions.Fuel_TotalConsumption(Table_Input_Fuel[Amount consumed], Table_Input_Fuel[Fuel use (select)], D28, Table_Input_Fuel[Fuel type (select)],F28)</f>
        <v>0</v>
      </c>
      <c r="M28" s="180" t="str" cm="1">
        <f t="array" ref="M28">Common_InputFunctions.Utility_LookupValueInTable(F28,Table_FuelTypes_Units[Fuel type],Table_FuelTypes_Units[Unit])</f>
        <v>kL</v>
      </c>
      <c r="N28" s="181" cm="1">
        <f t="array" ref="N28">Fuel_Equations.VEERG_8_1_1_1__1_FuelCombustionTransport($L28,$G28,$H28)</f>
        <v>0</v>
      </c>
      <c r="O28" s="181" cm="1">
        <f t="array" ref="O28">Fuel_Equations.VEERG_8_1_1_1__1_FuelCombustionTransport($L28,$G28,$I28)</f>
        <v>0</v>
      </c>
      <c r="P28" s="181" cm="1">
        <f t="array" ref="P28">Fuel_Equations.VEERG_8_1_1_1__1_FuelCombustionTransport($L28,$G28,$J28)</f>
        <v>0</v>
      </c>
      <c r="Q28" s="181" cm="1">
        <f t="array" ref="Q28">Scope3_Equations.VEERG_15_11_1_1__2_UpstreamTransportFuelEmissions(L28,G28,K28)</f>
        <v>0</v>
      </c>
    </row>
    <row r="29" spans="1:17" ht="20.100000000000001" customHeight="1" x14ac:dyDescent="0.25">
      <c r="A29"/>
      <c r="D29" s="59" t="str">
        <f t="shared" si="0"/>
        <v>Cars and light commercial vehicles</v>
      </c>
      <c r="E29" s="58" t="str">
        <f>'Constants - Fuel'!$E$14</f>
        <v>Ethanol</v>
      </c>
      <c r="F29" s="58" t="str">
        <f>'Constants - Fuel'!G135</f>
        <v>Ethanol</v>
      </c>
      <c r="G29" s="49" cm="1">
        <f t="array" ref="G29">IFERROR(_xlfn.XLOOKUP(1, (Table_Fuel_EFs_Transport[Fuel combusted]=$E29)*(Table_Fuel_EFs_Transport[Transport type]=$D$25), Table_Fuel_EFs_Transport[Energy Content Factor (GJ per unit of fuel)]), 0)</f>
        <v>23.4</v>
      </c>
      <c r="H29" s="49" cm="1">
        <f t="array" ref="H29">IFERROR(_xlfn.XLOOKUP(1, (Table_Fuel_EFs_Transport[Fuel combusted]=$E29)*(Table_Fuel_EFs_Transport[Transport type]=$D$25), Table_Fuel_EFs_Transport[Scope 1 Emission Factor (kg CO2 - e / GJ) CO2]), 0)</f>
        <v>0</v>
      </c>
      <c r="I29" s="49" cm="1">
        <f t="array" ref="I29">IFERROR(_xlfn.XLOOKUP(1, (Table_Fuel_EFs_Transport[Fuel combusted]=$E29)*(Table_Fuel_EFs_Transport[Transport type]=$D$25), Table_Fuel_EFs_Transport[Scope 1 Emission Factor (kg CO2 - e / GJ) CH4]), 0)</f>
        <v>0.2</v>
      </c>
      <c r="J29" s="49" cm="1">
        <f t="array" ref="J29">IFERROR(_xlfn.XLOOKUP(1, (Table_Fuel_EFs_Transport[Fuel combusted]=$E29)*(Table_Fuel_EFs_Transport[Transport type]=$D$25), Table_Fuel_EFs_Transport[Scope 1 Emission Factor (kg CO2 - e / GJ) N2O]), 0)</f>
        <v>0.2</v>
      </c>
      <c r="K29" s="49" t="str" cm="1">
        <f t="array" ref="K29">IFERROR(_xlfn.XLOOKUP(1, (Table_Fuel_EFs_Transport[Fuel combusted]=$E29)*(Table_Fuel_EFs_Transport[Transport type]=$D$25), Table_Fuel_EFs_Transport[Scope 3 Emission Factor (kg CO2 - e / GJ)]), 0)</f>
        <v>NE</v>
      </c>
      <c r="L29" s="180" cm="1">
        <f t="array" ref="L29">Fuel_InputFunctions.Fuel_TotalConsumption(Table_Input_Fuel[Amount consumed], Table_Input_Fuel[Fuel use (select)], D29, Table_Input_Fuel[Fuel type (select)],F29)</f>
        <v>0</v>
      </c>
      <c r="M29" s="180" t="str" cm="1">
        <f t="array" ref="M29">Common_InputFunctions.Utility_LookupValueInTable(F29,Table_FuelTypes_Units[Fuel type],Table_FuelTypes_Units[Unit])</f>
        <v>kL</v>
      </c>
      <c r="N29" s="181" cm="1">
        <f t="array" ref="N29">Fuel_Equations.VEERG_8_1_1_1__1_FuelCombustionTransport($L29,$G29,$H29)</f>
        <v>0</v>
      </c>
      <c r="O29" s="181" cm="1">
        <f t="array" ref="O29">Fuel_Equations.VEERG_8_1_1_1__1_FuelCombustionTransport($L29,$G29,$I29)</f>
        <v>0</v>
      </c>
      <c r="P29" s="181" cm="1">
        <f t="array" ref="P29">Fuel_Equations.VEERG_8_1_1_1__1_FuelCombustionTransport($L29,$G29,$J29)</f>
        <v>0</v>
      </c>
      <c r="Q29" s="181" cm="1">
        <f t="array" ref="Q29">Scope3_Equations.VEERG_15_11_1_1__2_UpstreamTransportFuelEmissions(L29,G29,IF(ISNUMBER(K29),K29,0))</f>
        <v>0</v>
      </c>
    </row>
    <row r="30" spans="1:17" ht="20.100000000000001" customHeight="1" x14ac:dyDescent="0.25">
      <c r="A30" s="221" t="s">
        <v>78</v>
      </c>
      <c r="D30" s="59" t="str">
        <f t="shared" si="0"/>
        <v>Cars and light commercial vehicles</v>
      </c>
      <c r="E30" s="58" t="str">
        <f>'Constants - Fuel'!$E$15</f>
        <v>Biodiesel</v>
      </c>
      <c r="F30" s="58" t="str">
        <f>'Constants - Fuel'!G136</f>
        <v>Biodiesel</v>
      </c>
      <c r="G30" s="49" cm="1">
        <f t="array" ref="G30">IFERROR(_xlfn.XLOOKUP(1, (Table_Fuel_EFs_Transport[Fuel combusted]=$E30)*(Table_Fuel_EFs_Transport[Transport type]=$D$25), Table_Fuel_EFs_Transport[Energy Content Factor (GJ per unit of fuel)]), 0)</f>
        <v>34.6</v>
      </c>
      <c r="H30" s="49" cm="1">
        <f t="array" ref="H30">IFERROR(_xlfn.XLOOKUP(1, (Table_Fuel_EFs_Transport[Fuel combusted]=$E30)*(Table_Fuel_EFs_Transport[Transport type]=$D$25), Table_Fuel_EFs_Transport[Scope 1 Emission Factor (kg CO2 - e / GJ) CO2]), 0)</f>
        <v>0</v>
      </c>
      <c r="I30" s="49" cm="1">
        <f t="array" ref="I30">IFERROR(_xlfn.XLOOKUP(1, (Table_Fuel_EFs_Transport[Fuel combusted]=$E30)*(Table_Fuel_EFs_Transport[Transport type]=$D$25), Table_Fuel_EFs_Transport[Scope 1 Emission Factor (kg CO2 - e / GJ) CH4]), 0)</f>
        <v>0.8</v>
      </c>
      <c r="J30" s="49" cm="1">
        <f t="array" ref="J30">IFERROR(_xlfn.XLOOKUP(1, (Table_Fuel_EFs_Transport[Fuel combusted]=$E30)*(Table_Fuel_EFs_Transport[Transport type]=$D$25), Table_Fuel_EFs_Transport[Scope 1 Emission Factor (kg CO2 - e / GJ) N2O]), 0)</f>
        <v>1.7</v>
      </c>
      <c r="K30" s="49" t="str" cm="1">
        <f t="array" ref="K30">IFERROR(_xlfn.XLOOKUP(1, (Table_Fuel_EFs_Transport[Fuel combusted]=$E30)*(Table_Fuel_EFs_Transport[Transport type]=$D$25), Table_Fuel_EFs_Transport[Scope 3 Emission Factor (kg CO2 - e / GJ)]), 0)</f>
        <v>NE</v>
      </c>
      <c r="L30" s="180" cm="1">
        <f t="array" ref="L30">Fuel_InputFunctions.Fuel_TotalConsumption(Table_Input_Fuel[Amount consumed], Table_Input_Fuel[Fuel use (select)], D30, Table_Input_Fuel[Fuel type (select)],F30)</f>
        <v>0</v>
      </c>
      <c r="M30" s="180" t="str" cm="1">
        <f t="array" ref="M30">Common_InputFunctions.Utility_LookupValueInTable(F30,Table_FuelTypes_Units[Fuel type],Table_FuelTypes_Units[Unit])</f>
        <v>kL</v>
      </c>
      <c r="N30" s="181" cm="1">
        <f t="array" ref="N30">Fuel_Equations.VEERG_8_1_1_1__1_FuelCombustionTransport($L30,$G30,$H30)</f>
        <v>0</v>
      </c>
      <c r="O30" s="181" cm="1">
        <f t="array" ref="O30">Fuel_Equations.VEERG_8_1_1_1__1_FuelCombustionTransport($L30,$G30,$I30)</f>
        <v>0</v>
      </c>
      <c r="P30" s="181" cm="1">
        <f t="array" ref="P30">Fuel_Equations.VEERG_8_1_1_1__1_FuelCombustionTransport($L30,$G30,$J30)</f>
        <v>0</v>
      </c>
      <c r="Q30" s="181" cm="1">
        <f t="array" ref="Q30">Scope3_Equations.VEERG_15_11_1_1__2_UpstreamTransportFuelEmissions(L30,G30,IF(ISNUMBER(K30),K30,0))</f>
        <v>0</v>
      </c>
    </row>
    <row r="31" spans="1:17" ht="20.100000000000001" customHeight="1" x14ac:dyDescent="0.25">
      <c r="A31" s="16" t="str">
        <f>HYPERLINK("#'Constants - Scope 3'!A1", "Constants - Scope 3")</f>
        <v>Constants - Scope 3</v>
      </c>
      <c r="D31" s="59" t="str">
        <f t="shared" si="0"/>
        <v>Cars and light commercial vehicles</v>
      </c>
      <c r="E31" s="58" t="str">
        <f>'Constants - Fuel'!$E$16</f>
        <v>Renewable diesel</v>
      </c>
      <c r="F31" s="58" t="str">
        <f>'Constants - Fuel'!G137</f>
        <v>Renewable diesel</v>
      </c>
      <c r="G31" s="49" cm="1">
        <f t="array" ref="G31">IFERROR(_xlfn.XLOOKUP(1, (Table_Fuel_EFs_Transport[Fuel combusted]=$E31)*(Table_Fuel_EFs_Transport[Transport type]=$D$25), Table_Fuel_EFs_Transport[Energy Content Factor (GJ per unit of fuel)]), 0)</f>
        <v>38.6</v>
      </c>
      <c r="H31" s="49" cm="1">
        <f t="array" ref="H31">IFERROR(_xlfn.XLOOKUP(1, (Table_Fuel_EFs_Transport[Fuel combusted]=$E31)*(Table_Fuel_EFs_Transport[Transport type]=$D$25), Table_Fuel_EFs_Transport[Scope 1 Emission Factor (kg CO2 - e / GJ) CO2]), 0)</f>
        <v>0</v>
      </c>
      <c r="I31" s="49" cm="1">
        <f t="array" ref="I31">IFERROR(_xlfn.XLOOKUP(1, (Table_Fuel_EFs_Transport[Fuel combusted]=$E31)*(Table_Fuel_EFs_Transport[Transport type]=$D$25), Table_Fuel_EFs_Transport[Scope 1 Emission Factor (kg CO2 - e / GJ) CH4]), 0)</f>
        <v>0.01</v>
      </c>
      <c r="J31" s="49" cm="1">
        <f t="array" ref="J31">IFERROR(_xlfn.XLOOKUP(1, (Table_Fuel_EFs_Transport[Fuel combusted]=$E31)*(Table_Fuel_EFs_Transport[Transport type]=$D$25), Table_Fuel_EFs_Transport[Scope 1 Emission Factor (kg CO2 - e / GJ) N2O]), 0)</f>
        <v>0.5</v>
      </c>
      <c r="K31" s="49" t="str" cm="1">
        <f t="array" ref="K31">IFERROR(_xlfn.XLOOKUP(1, (Table_Fuel_EFs_Transport[Fuel combusted]=$E31)*(Table_Fuel_EFs_Transport[Transport type]=$D$25), Table_Fuel_EFs_Transport[Scope 3 Emission Factor (kg CO2 - e / GJ)]), 0)</f>
        <v>NE</v>
      </c>
      <c r="L31" s="180" cm="1">
        <f t="array" ref="L31">Fuel_InputFunctions.Fuel_TotalConsumption(Table_Input_Fuel[Amount consumed], Table_Input_Fuel[Fuel use (select)], D31, Table_Input_Fuel[Fuel type (select)],F31)</f>
        <v>0</v>
      </c>
      <c r="M31" s="180" t="str" cm="1">
        <f t="array" ref="M31">Common_InputFunctions.Utility_LookupValueInTable(F31,Table_FuelTypes_Units[Fuel type],Table_FuelTypes_Units[Unit])</f>
        <v>kL</v>
      </c>
      <c r="N31" s="181" cm="1">
        <f t="array" ref="N31">Fuel_Equations.VEERG_8_1_1_1__1_FuelCombustionTransport($L31,$G31,$H31)</f>
        <v>0</v>
      </c>
      <c r="O31" s="181" cm="1">
        <f t="array" ref="O31">Fuel_Equations.VEERG_8_1_1_1__1_FuelCombustionTransport($L31,$G31,$I31)</f>
        <v>0</v>
      </c>
      <c r="P31" s="181" cm="1">
        <f t="array" ref="P31">Fuel_Equations.VEERG_8_1_1_1__1_FuelCombustionTransport($L31,$G31,$J31)</f>
        <v>0</v>
      </c>
      <c r="Q31" s="181" cm="1">
        <f t="array" ref="Q31">Scope3_Equations.VEERG_15_11_1_1__2_UpstreamTransportFuelEmissions(L31,G31,IF(ISNUMBER(K31),K31,0))</f>
        <v>0</v>
      </c>
    </row>
    <row r="32" spans="1:17" ht="20.100000000000001" customHeight="1" x14ac:dyDescent="0.25">
      <c r="A32" s="16" t="str">
        <f>HYPERLINK("#'Constants - Solid Waste'!A1", "Constants - Solid Waste")</f>
        <v>Constants - Solid Waste</v>
      </c>
      <c r="D32" s="59" t="str">
        <f t="shared" si="0"/>
        <v>Cars and light commercial vehicles</v>
      </c>
      <c r="E32" s="58" t="str">
        <f>'Constants - Fuel'!$E$17</f>
        <v>Other biofuels</v>
      </c>
      <c r="F32" s="58" t="str">
        <f>'Constants - Fuel'!G138</f>
        <v>Other biofuels</v>
      </c>
      <c r="G32" s="49" cm="1">
        <f t="array" ref="G32">IFERROR(_xlfn.XLOOKUP(1, (Table_Fuel_EFs_Transport[Fuel combusted]=$E32)*(Table_Fuel_EFs_Transport[Transport type]=$D$25), Table_Fuel_EFs_Transport[Energy Content Factor (GJ per unit of fuel)]), 0)</f>
        <v>23.4</v>
      </c>
      <c r="H32" s="49" cm="1">
        <f t="array" ref="H32">IFERROR(_xlfn.XLOOKUP(1, (Table_Fuel_EFs_Transport[Fuel combusted]=$E32)*(Table_Fuel_EFs_Transport[Transport type]=$D$25), Table_Fuel_EFs_Transport[Scope 1 Emission Factor (kg CO2 - e / GJ) CO2]), 0)</f>
        <v>0</v>
      </c>
      <c r="I32" s="49" cm="1">
        <f t="array" ref="I32">IFERROR(_xlfn.XLOOKUP(1, (Table_Fuel_EFs_Transport[Fuel combusted]=$E32)*(Table_Fuel_EFs_Transport[Transport type]=$D$25), Table_Fuel_EFs_Transport[Scope 1 Emission Factor (kg CO2 - e / GJ) CH4]), 0)</f>
        <v>0.8</v>
      </c>
      <c r="J32" s="49" cm="1">
        <f t="array" ref="J32">IFERROR(_xlfn.XLOOKUP(1, (Table_Fuel_EFs_Transport[Fuel combusted]=$E32)*(Table_Fuel_EFs_Transport[Transport type]=$D$25), Table_Fuel_EFs_Transport[Scope 1 Emission Factor (kg CO2 - e / GJ) N2O]), 0)</f>
        <v>1.7</v>
      </c>
      <c r="K32" s="160" t="str" cm="1">
        <f t="array" ref="K32">IFERROR(_xlfn.XLOOKUP(1, (Table_Fuel_EFs_Transport[Fuel combusted]=$E32)*(Table_Fuel_EFs_Transport[Transport type]=$D$25), Table_Fuel_EFs_Transport[Scope 3 Emission Factor (kg CO2 - e / GJ)]), 0)</f>
        <v>NE</v>
      </c>
      <c r="L32" s="182" cm="1">
        <f t="array" ref="L32">Fuel_InputFunctions.Fuel_TotalConsumption(Table_Input_Fuel[Amount consumed], Table_Input_Fuel[Fuel use (select)], D32, Table_Input_Fuel[Fuel type (select)],F32)</f>
        <v>0</v>
      </c>
      <c r="M32" s="180" t="str" cm="1">
        <f t="array" ref="M32">Common_InputFunctions.Utility_LookupValueInTable(F32,Table_FuelTypes_Units[Fuel type],Table_FuelTypes_Units[Unit])</f>
        <v>kL</v>
      </c>
      <c r="N32" s="183" cm="1">
        <f t="array" ref="N32">Fuel_Equations.VEERG_8_1_1_1__1_FuelCombustionTransport($L32,$G32,$H32)</f>
        <v>0</v>
      </c>
      <c r="O32" s="183" cm="1">
        <f t="array" ref="O32">Fuel_Equations.VEERG_8_1_1_1__1_FuelCombustionTransport($L32,$G32,$I32)</f>
        <v>0</v>
      </c>
      <c r="P32" s="183" cm="1">
        <f t="array" ref="P32">Fuel_Equations.VEERG_8_1_1_1__1_FuelCombustionTransport($L32,$G32,$J32)</f>
        <v>0</v>
      </c>
      <c r="Q32" s="181" cm="1">
        <f t="array" ref="Q32">Scope3_Equations.VEERG_15_11_1_1__2_UpstreamTransportFuelEmissions(L32,G32,IF(ISNUMBER(K32),K32,0))</f>
        <v>0</v>
      </c>
    </row>
    <row r="33" spans="1:17" ht="20.100000000000001" customHeight="1" x14ac:dyDescent="0.25">
      <c r="A33" s="16" t="str">
        <f>HYPERLINK("#'Constants - Fuel'!A1", "Constants - Fuel")</f>
        <v>Constants - Fuel</v>
      </c>
      <c r="D33" s="60" t="str">
        <f>Table_FuelTypesPerUse[[#Headers],[Off-road Agriculture and forestry equipment]]</f>
        <v>Off-road Agriculture and forestry equipment</v>
      </c>
      <c r="E33" s="61" t="str">
        <f>'Constants - Fuel'!$E$11</f>
        <v>Diesel oil</v>
      </c>
      <c r="F33" s="61" t="str">
        <f>'Constants - Fuel'!H131</f>
        <v>Diesel</v>
      </c>
      <c r="G33" s="184" cm="1">
        <f t="array" ref="G33">IFERROR(_xlfn.XLOOKUP(1, (Table_Fuel_EFs_Transport[Fuel combusted]=$E33)*(Table_Fuel_EFs_Transport[Transport type]=$D$33), Table_Fuel_EFs_Transport[Energy Content Factor (GJ per unit of fuel)]), 0)</f>
        <v>38.6</v>
      </c>
      <c r="H33" s="184" cm="1">
        <f t="array" ref="H33">IFERROR(_xlfn.XLOOKUP(1, (Table_Fuel_EFs_Transport[Fuel combusted]=$E33)*(Table_Fuel_EFs_Transport[Transport type]=$D$33), Table_Fuel_EFs_Transport[Scope 1 Emission Factor (kg CO2 - e / GJ) CO2]), 0)</f>
        <v>69.900000000000006</v>
      </c>
      <c r="I33" s="184" cm="1">
        <f t="array" ref="I33">IFERROR(_xlfn.XLOOKUP(1, (Table_Fuel_EFs_Transport[Fuel combusted]=$E33)*(Table_Fuel_EFs_Transport[Transport type]=$D$33), Table_Fuel_EFs_Transport[Scope 1 Emission Factor (kg CO2 - e / GJ) CH4]), 0)</f>
        <v>0.3</v>
      </c>
      <c r="J33" s="184" cm="1">
        <f t="array" ref="J33">IFERROR(_xlfn.XLOOKUP(1, (Table_Fuel_EFs_Transport[Fuel combusted]=$E33)*(Table_Fuel_EFs_Transport[Transport type]=$D$33), Table_Fuel_EFs_Transport[Scope 1 Emission Factor (kg CO2 - e / GJ) N2O]), 0)</f>
        <v>0.5</v>
      </c>
      <c r="K33" s="185" cm="1">
        <f t="array" ref="K33">IFERROR(_xlfn.XLOOKUP(1, (Table_Fuel_EFs_Transport[Fuel combusted]=$E33)*(Table_Fuel_EFs_Transport[Transport type]=$D$25), Table_Fuel_EFs_Transport[Scope 3 Emission Factor (kg CO2 - e / GJ)]), 0)</f>
        <v>17.3</v>
      </c>
      <c r="L33" s="186" cm="1">
        <f t="array" ref="L33">Fuel_InputFunctions.Fuel_TotalConsumption(Table_Input_Fuel[Amount consumed], Table_Input_Fuel[Fuel use (select)], D33, Table_Input_Fuel[Fuel type (select)],F33)</f>
        <v>10</v>
      </c>
      <c r="M33" s="187" t="str" cm="1">
        <f t="array" ref="M33">Common_InputFunctions.Utility_LookupValueInTable(F33,Table_FuelTypes_Units[Fuel type],Table_FuelTypes_Units[Unit])</f>
        <v>kL</v>
      </c>
      <c r="N33" s="188" cm="1">
        <f t="array" ref="N33">Fuel_Equations.VEERG_8_1_1_1__1_FuelCombustionTransport($L33,$G33,$H33)</f>
        <v>26.981400000000001</v>
      </c>
      <c r="O33" s="188" cm="1">
        <f t="array" ref="O33">Fuel_Equations.VEERG_8_1_1_1__1_FuelCombustionTransport($L33,$G33,$I33)</f>
        <v>0.1158</v>
      </c>
      <c r="P33" s="188" cm="1">
        <f t="array" ref="P33">Fuel_Equations.VEERG_8_1_1_1__1_FuelCombustionTransport($L33,$G33,$J33)</f>
        <v>0.193</v>
      </c>
      <c r="Q33" s="189" cm="1">
        <f t="array" ref="Q33">Scope3_Equations.VEERG_15_11_1_1__2_UpstreamTransportFuelEmissions(L33,G33,K33)</f>
        <v>6.6778000000000004</v>
      </c>
    </row>
    <row r="34" spans="1:17" ht="20.100000000000001" customHeight="1" x14ac:dyDescent="0.25">
      <c r="A34" s="16" t="str">
        <f>HYPERLINK("#'Constants - Poultry'!A1", "Constants - Poultry")</f>
        <v>Constants - Poultry</v>
      </c>
      <c r="D34" s="60" t="str">
        <f>Table_FuelTypesPerUse[[#Headers],[Aviation]]</f>
        <v>Aviation</v>
      </c>
      <c r="E34" s="61" t="str">
        <f>'Constants - Fuel'!$E$28</f>
        <v>Gasoline for use as fuel in an aircraft</v>
      </c>
      <c r="F34" s="61" t="str">
        <f>'Constants - Fuel'!$F$131</f>
        <v>Avgas</v>
      </c>
      <c r="G34" s="190" cm="1">
        <f t="array" ref="G34">IFERROR(_xlfn.XLOOKUP(1, (Table_Fuel_EFs_Transport[Fuel combusted]=$E34)*(Table_Fuel_EFs_Transport[Transport type]=$D$34), Table_Fuel_EFs_Transport[Energy Content Factor (GJ per unit of fuel)]), 0)</f>
        <v>33.1</v>
      </c>
      <c r="H34" s="190" cm="1">
        <f t="array" ref="H34">IFERROR(_xlfn.XLOOKUP(1, (Table_Fuel_EFs_Transport[Fuel combusted]=$E34)*(Table_Fuel_EFs_Transport[Transport type]=$D$34), Table_Fuel_EFs_Transport[Scope 1 Emission Factor (kg CO2 - e / GJ) CO2]), 0)</f>
        <v>67</v>
      </c>
      <c r="I34" s="190" cm="1">
        <f t="array" ref="I34">IFERROR(_xlfn.XLOOKUP(1, (Table_Fuel_EFs_Transport[Fuel combusted]=$E34)*(Table_Fuel_EFs_Transport[Transport type]=$D$34), Table_Fuel_EFs_Transport[Scope 1 Emission Factor (kg CO2 - e / GJ) CH4]), 0)</f>
        <v>0.06</v>
      </c>
      <c r="J34" s="190" cm="1">
        <f t="array" ref="J34">IFERROR(_xlfn.XLOOKUP(1, (Table_Fuel_EFs_Transport[Fuel combusted]=$E34)*(Table_Fuel_EFs_Transport[Transport type]=$D$34), Table_Fuel_EFs_Transport[Scope 1 Emission Factor (kg CO2 - e / GJ) N2O]), 0)</f>
        <v>0.6</v>
      </c>
      <c r="K34" s="190" cm="1">
        <f t="array" ref="K34">IFERROR(_xlfn.XLOOKUP(1, (Table_Fuel_EFs_Transport[Fuel combusted]=$E34)*(Table_Fuel_EFs_Transport[Transport type]=$D$25), Table_Fuel_EFs_Transport[Scope 3 Emission Factor (kg CO2 - e / GJ)]), 0)</f>
        <v>0</v>
      </c>
      <c r="L34" s="187" cm="1">
        <f t="array" ref="L34">Fuel_InputFunctions.Fuel_TotalConsumption(Table_Input_Fuel[Amount consumed], Table_Input_Fuel[Fuel use (select)], D34, Table_Input_Fuel[Fuel type (select)],F34)</f>
        <v>0</v>
      </c>
      <c r="M34" s="187" t="str" cm="1">
        <f t="array" ref="M34">Common_InputFunctions.Utility_LookupValueInTable(F34,Table_FuelTypes_Units[Fuel type],Table_FuelTypes_Units[Unit])</f>
        <v>kL</v>
      </c>
      <c r="N34" s="188" cm="1">
        <f t="array" ref="N34">Fuel_Equations.VEERG_8_1_1_1__1_FuelCombustionTransport($L34,$G34,$H34)</f>
        <v>0</v>
      </c>
      <c r="O34" s="188" cm="1">
        <f t="array" ref="O34">Fuel_Equations.VEERG_8_1_1_1__1_FuelCombustionTransport($L34,$G34,$I34)</f>
        <v>0</v>
      </c>
      <c r="P34" s="188" cm="1">
        <f t="array" ref="P34">Fuel_Equations.VEERG_8_1_1_1__1_FuelCombustionTransport($L34,$G34,$J34)</f>
        <v>0</v>
      </c>
      <c r="Q34" s="188" cm="1">
        <f t="array" ref="Q34">Scope3_Equations.VEERG_15_11_1_1__2_UpstreamTransportFuelEmissions(L34,G34,K34)</f>
        <v>0</v>
      </c>
    </row>
    <row r="35" spans="1:17" ht="20.100000000000001" customHeight="1" x14ac:dyDescent="0.25">
      <c r="A35" s="16" t="str">
        <f>HYPERLINK("#'Constants - Swine'!A1", "Constants - Swine")</f>
        <v>Constants - Swine</v>
      </c>
      <c r="D35" s="59" t="str">
        <f>$D$34</f>
        <v>Aviation</v>
      </c>
      <c r="E35" s="58" t="str">
        <f>'Constants - Fuel'!$E$29</f>
        <v>Kerosene for use as fuel in an aircraft</v>
      </c>
      <c r="F35" s="58" t="str">
        <f>'Constants - Fuel'!$F$132</f>
        <v>Jet A1, Jet B</v>
      </c>
      <c r="G35" s="49" cm="1">
        <f t="array" ref="G35">IFERROR(_xlfn.XLOOKUP(1, (Table_Fuel_EFs_Transport[Fuel combusted]=$E35)*(Table_Fuel_EFs_Transport[Transport type]=$D$34), Table_Fuel_EFs_Transport[Energy Content Factor (GJ per unit of fuel)]), 0)</f>
        <v>36.799999999999997</v>
      </c>
      <c r="H35" s="49" cm="1">
        <f t="array" ref="H35">IFERROR(_xlfn.XLOOKUP(1, (Table_Fuel_EFs_Transport[Fuel combusted]=$E35)*(Table_Fuel_EFs_Transport[Transport type]=$D$34), Table_Fuel_EFs_Transport[Scope 1 Emission Factor (kg CO2 - e / GJ) CO2]), 0)</f>
        <v>69.599999999999994</v>
      </c>
      <c r="I35" s="49" cm="1">
        <f t="array" ref="I35">IFERROR(_xlfn.XLOOKUP(1, (Table_Fuel_EFs_Transport[Fuel combusted]=$E35)*(Table_Fuel_EFs_Transport[Transport type]=$D$34), Table_Fuel_EFs_Transport[Scope 1 Emission Factor (kg CO2 - e / GJ) CH4]), 0)</f>
        <v>0.01</v>
      </c>
      <c r="J35" s="49" cm="1">
        <f t="array" ref="J35">IFERROR(_xlfn.XLOOKUP(1, (Table_Fuel_EFs_Transport[Fuel combusted]=$E35)*(Table_Fuel_EFs_Transport[Transport type]=$D$34), Table_Fuel_EFs_Transport[Scope 1 Emission Factor (kg CO2 - e / GJ) N2O]), 0)</f>
        <v>0.6</v>
      </c>
      <c r="K35" s="49" cm="1">
        <f t="array" ref="K35">IFERROR(_xlfn.XLOOKUP(1, (Table_Fuel_EFs_Transport[Fuel combusted]=$E35)*(Table_Fuel_EFs_Transport[Transport type]=$D$25), Table_Fuel_EFs_Transport[Scope 3 Emission Factor (kg CO2 - e / GJ)]), 0)</f>
        <v>0</v>
      </c>
      <c r="L35" s="180" cm="1">
        <f t="array" ref="L35">Fuel_InputFunctions.Fuel_TotalConsumption(Table_Input_Fuel[Amount consumed], Table_Input_Fuel[Fuel use (select)], D35, Table_Input_Fuel[Fuel type (select)],F35)</f>
        <v>0</v>
      </c>
      <c r="M35" s="180" t="str" cm="1">
        <f t="array" ref="M35">Common_InputFunctions.Utility_LookupValueInTable(F35,Table_FuelTypes_Units[Fuel type],Table_FuelTypes_Units[Unit])</f>
        <v>kL</v>
      </c>
      <c r="N35" s="181" cm="1">
        <f t="array" ref="N35">Fuel_Equations.VEERG_8_1_1_1__1_FuelCombustionTransport($L35,$G35,$H35)</f>
        <v>0</v>
      </c>
      <c r="O35" s="181" cm="1">
        <f t="array" ref="O35">Fuel_Equations.VEERG_8_1_1_1__1_FuelCombustionTransport($L35,$G35,$I35)</f>
        <v>0</v>
      </c>
      <c r="P35" s="181" cm="1">
        <f t="array" ref="P35">Fuel_Equations.VEERG_8_1_1_1__1_FuelCombustionTransport($L35,$G35,$J35)</f>
        <v>0</v>
      </c>
      <c r="Q35" s="181" cm="1">
        <f t="array" ref="Q35">Scope3_Equations.VEERG_15_11_1_1__2_UpstreamTransportFuelEmissions(L35,G35,K35)</f>
        <v>0</v>
      </c>
    </row>
    <row r="36" spans="1:17" ht="20.100000000000001" customHeight="1" x14ac:dyDescent="0.25">
      <c r="A36" s="16" t="str">
        <f>HYPERLINK("#'Constants - Dairy'!A1", "Constants - Dairy")</f>
        <v>Constants - Dairy</v>
      </c>
      <c r="D36" s="59" t="str">
        <f>$D$34</f>
        <v>Aviation</v>
      </c>
      <c r="E36" s="58" t="str">
        <f>'Constants - Fuel'!$E$30</f>
        <v>Renewable aviation kerosene</v>
      </c>
      <c r="F36" s="58" t="str">
        <f>'Constants - Fuel'!$F$133</f>
        <v>Renewable aviation kerosene</v>
      </c>
      <c r="G36" s="160" cm="1">
        <f t="array" ref="G36">IFERROR(_xlfn.XLOOKUP(1, (Table_Fuel_EFs_Transport[Fuel combusted]=$E36)*(Table_Fuel_EFs_Transport[Transport type]=$D$34), Table_Fuel_EFs_Transport[Energy Content Factor (GJ per unit of fuel)]), 0)</f>
        <v>36.799999999999997</v>
      </c>
      <c r="H36" s="160" cm="1">
        <f t="array" ref="H36">IFERROR(_xlfn.XLOOKUP(1, (Table_Fuel_EFs_Transport[Fuel combusted]=$E36)*(Table_Fuel_EFs_Transport[Transport type]=$D$34), Table_Fuel_EFs_Transport[Scope 1 Emission Factor (kg CO2 - e / GJ) CO2]), 0)</f>
        <v>0</v>
      </c>
      <c r="I36" s="160" cm="1">
        <f t="array" ref="I36">IFERROR(_xlfn.XLOOKUP(1, (Table_Fuel_EFs_Transport[Fuel combusted]=$E36)*(Table_Fuel_EFs_Transport[Transport type]=$D$34), Table_Fuel_EFs_Transport[Scope 1 Emission Factor (kg CO2 - e / GJ) CH4]), 0)</f>
        <v>0.01</v>
      </c>
      <c r="J36" s="160" cm="1">
        <f t="array" ref="J36">IFERROR(_xlfn.XLOOKUP(1, (Table_Fuel_EFs_Transport[Fuel combusted]=$E36)*(Table_Fuel_EFs_Transport[Transport type]=$D$34), Table_Fuel_EFs_Transport[Scope 1 Emission Factor (kg CO2 - e / GJ) N2O]), 0)</f>
        <v>0.6</v>
      </c>
      <c r="K36" s="160" cm="1">
        <f t="array" ref="K36">IFERROR(_xlfn.XLOOKUP(1, (Table_Fuel_EFs_Transport[Fuel combusted]=$E36)*(Table_Fuel_EFs_Transport[Transport type]=$D$25), Table_Fuel_EFs_Transport[Scope 3 Emission Factor (kg CO2 - e / GJ)]), 0)</f>
        <v>0</v>
      </c>
      <c r="L36" s="182" cm="1">
        <f t="array" ref="L36">Fuel_InputFunctions.Fuel_TotalConsumption(Table_Input_Fuel[Amount consumed], Table_Input_Fuel[Fuel use (select)], D36, Table_Input_Fuel[Fuel type (select)],F36)</f>
        <v>0</v>
      </c>
      <c r="M36" s="180" t="str" cm="1">
        <f t="array" ref="M36">Common_InputFunctions.Utility_LookupValueInTable(F36,Table_FuelTypes_Units[Fuel type],Table_FuelTypes_Units[Unit])</f>
        <v>kL</v>
      </c>
      <c r="N36" s="181" cm="1">
        <f t="array" ref="N36">Fuel_Equations.VEERG_8_1_1_1__1_FuelCombustionTransport($L36,$G36,$H36)</f>
        <v>0</v>
      </c>
      <c r="O36" s="181" cm="1">
        <f t="array" ref="O36">Fuel_Equations.VEERG_8_1_1_1__1_FuelCombustionTransport($L36,$G36,$I36)</f>
        <v>0</v>
      </c>
      <c r="P36" s="181" cm="1">
        <f t="array" ref="P36">Fuel_Equations.VEERG_8_1_1_1__1_FuelCombustionTransport($L36,$G36,$J36)</f>
        <v>0</v>
      </c>
      <c r="Q36" s="183" cm="1">
        <f t="array" ref="Q36">Scope3_Equations.VEERG_15_11_1_1__2_UpstreamTransportFuelEmissions(L36,G36,K36)</f>
        <v>0</v>
      </c>
    </row>
    <row r="37" spans="1:17" ht="20.100000000000001" customHeight="1" x14ac:dyDescent="0.25">
      <c r="A37" s="16" t="str">
        <f>HYPERLINK("#'Constants - Pasture Beef'!A1", "Constants - Pasture Beef")</f>
        <v>Constants - Pasture Beef</v>
      </c>
      <c r="D37" s="60" t="str">
        <f>Table_FuelTypesPerUse[[#Headers],[Vessels]]</f>
        <v>Vessels</v>
      </c>
      <c r="E37" s="61" t="str">
        <f>'Constants - Fuel'!$E$10</f>
        <v>Gasoline</v>
      </c>
      <c r="F37" s="61" t="str">
        <f>'Constants - Fuel'!$I$131</f>
        <v>Petrol</v>
      </c>
      <c r="G37" s="190" cm="1">
        <f t="array" ref="G37">IFERROR(_xlfn.XLOOKUP(1, (Table_Fuel_EFs_Transport[Fuel combusted]=$E37)*(Table_Fuel_EFs_Transport[Transport type]=$D$37), Table_Fuel_EFs_Transport[Energy Content Factor (GJ per unit of fuel)]), 0)</f>
        <v>34.200000000000003</v>
      </c>
      <c r="H37" s="190" cm="1">
        <f t="array" ref="H37">IFERROR(_xlfn.XLOOKUP(1, (Table_Fuel_EFs_Transport[Fuel combusted]=$E37)*(Table_Fuel_EFs_Transport[Transport type]=$D$37), Table_Fuel_EFs_Transport[Scope 1 Emission Factor (kg CO2 - e / GJ) CO2]), 0)</f>
        <v>67.400000000000006</v>
      </c>
      <c r="I37" s="190" cm="1">
        <f t="array" ref="I37">IFERROR(_xlfn.XLOOKUP(1, (Table_Fuel_EFs_Transport[Fuel combusted]=$E37)*(Table_Fuel_EFs_Transport[Transport type]=$D$37), Table_Fuel_EFs_Transport[Scope 1 Emission Factor (kg CO2 - e / GJ) CH4]), 0)</f>
        <v>10.1</v>
      </c>
      <c r="J37" s="190" cm="1">
        <f t="array" ref="J37">IFERROR(_xlfn.XLOOKUP(1, (Table_Fuel_EFs_Transport[Fuel combusted]=$E37)*(Table_Fuel_EFs_Transport[Transport type]=$D$37), Table_Fuel_EFs_Transport[Scope 1 Emission Factor (kg CO2 - e / GJ) N2O]), 0)</f>
        <v>0.3</v>
      </c>
      <c r="K37" s="190" cm="1">
        <f t="array" ref="K37">IFERROR(_xlfn.XLOOKUP(1, (Table_Fuel_EFs_Transport[Fuel combusted]=$E37)*(Table_Fuel_EFs_Transport[Transport type]=$D$25), Table_Fuel_EFs_Transport[Scope 3 Emission Factor (kg CO2 - e / GJ)]), 0)</f>
        <v>17.2</v>
      </c>
      <c r="L37" s="187" cm="1">
        <f t="array" ref="L37">Fuel_InputFunctions.Fuel_TotalConsumption(Table_Input_Fuel[Amount consumed], Table_Input_Fuel[Fuel use (select)], D37, Table_Input_Fuel[Fuel type (select)],F37)</f>
        <v>0</v>
      </c>
      <c r="M37" s="191" t="str" cm="1">
        <f t="array" ref="M37">Common_InputFunctions.Utility_LookupValueInTable(F37,Table_FuelTypes_Units[Fuel type],Table_FuelTypes_Units[Unit])</f>
        <v>kL</v>
      </c>
      <c r="N37" s="188" cm="1">
        <f t="array" ref="N37">Fuel_Equations.VEERG_8_1_1_1__1_FuelCombustionTransport($L37,$G37,$H37)</f>
        <v>0</v>
      </c>
      <c r="O37" s="188" cm="1">
        <f t="array" ref="O37">Fuel_Equations.VEERG_8_1_1_1__1_FuelCombustionTransport($L37,$G37,$I37)</f>
        <v>0</v>
      </c>
      <c r="P37" s="188" cm="1">
        <f t="array" ref="P37">Fuel_Equations.VEERG_8_1_1_1__1_FuelCombustionTransport($L37,$G37,$J37)</f>
        <v>0</v>
      </c>
      <c r="Q37" s="188" cm="1">
        <f t="array" ref="Q37">Scope3_Equations.VEERG_15_11_1_1__2_UpstreamTransportFuelEmissions(L37,G37,K37)</f>
        <v>0</v>
      </c>
    </row>
    <row r="38" spans="1:17" ht="20.100000000000001" customHeight="1" x14ac:dyDescent="0.25">
      <c r="A38" s="16" t="str">
        <f>HYPERLINK("#'Constants - Common Livestock'!A1", "Constants - Common Livestock")</f>
        <v>Constants - Common Livestock</v>
      </c>
      <c r="D38" s="59" t="str">
        <f>$D$37</f>
        <v>Vessels</v>
      </c>
      <c r="E38" s="58" t="str">
        <f>'Constants - Fuel'!$E$11</f>
        <v>Diesel oil</v>
      </c>
      <c r="F38" s="58" t="str">
        <f>'Constants - Fuel'!$I$132</f>
        <v>Diesel</v>
      </c>
      <c r="G38" s="49" cm="1">
        <f t="array" ref="G38">IFERROR(_xlfn.XLOOKUP(1, (Table_Fuel_EFs_Transport[Fuel combusted]=$E38)*(Table_Fuel_EFs_Transport[Transport type]=$D$37), Table_Fuel_EFs_Transport[Energy Content Factor (GJ per unit of fuel)]), 0)</f>
        <v>38.6</v>
      </c>
      <c r="H38" s="49" cm="1">
        <f t="array" ref="H38">IFERROR(_xlfn.XLOOKUP(1, (Table_Fuel_EFs_Transport[Fuel combusted]=$E38)*(Table_Fuel_EFs_Transport[Transport type]=$D$37), Table_Fuel_EFs_Transport[Scope 1 Emission Factor (kg CO2 - e / GJ) CO2]), 0)</f>
        <v>69.900000000000006</v>
      </c>
      <c r="I38" s="49" cm="1">
        <f t="array" ref="I38">IFERROR(_xlfn.XLOOKUP(1, (Table_Fuel_EFs_Transport[Fuel combusted]=$E38)*(Table_Fuel_EFs_Transport[Transport type]=$D$37), Table_Fuel_EFs_Transport[Scope 1 Emission Factor (kg CO2 - e / GJ) CH4]), 0)</f>
        <v>0.2</v>
      </c>
      <c r="J38" s="49" cm="1">
        <f t="array" ref="J38">IFERROR(_xlfn.XLOOKUP(1, (Table_Fuel_EFs_Transport[Fuel combusted]=$E38)*(Table_Fuel_EFs_Transport[Transport type]=$D$37), Table_Fuel_EFs_Transport[Scope 1 Emission Factor (kg CO2 - e / GJ) N2O]), 0)</f>
        <v>0.5</v>
      </c>
      <c r="K38" s="49" cm="1">
        <f t="array" ref="K38">IFERROR(_xlfn.XLOOKUP(1, (Table_Fuel_EFs_Transport[Fuel combusted]=$E38)*(Table_Fuel_EFs_Transport[Transport type]=$D$25), Table_Fuel_EFs_Transport[Scope 3 Emission Factor (kg CO2 - e / GJ)]), 0)</f>
        <v>17.3</v>
      </c>
      <c r="L38" s="180" cm="1">
        <f t="array" ref="L38">Fuel_InputFunctions.Fuel_TotalConsumption(Table_Input_Fuel[Amount consumed], Table_Input_Fuel[Fuel use (select)], D38, Table_Input_Fuel[Fuel type (select)],F38)</f>
        <v>0</v>
      </c>
      <c r="M38" s="180" t="str" cm="1">
        <f t="array" ref="M38">Common_InputFunctions.Utility_LookupValueInTable(F38,Table_FuelTypes_Units[Fuel type],Table_FuelTypes_Units[Unit])</f>
        <v>kL</v>
      </c>
      <c r="N38" s="181" cm="1">
        <f t="array" ref="N38">Fuel_Equations.VEERG_8_1_1_1__1_FuelCombustionTransport($L38,$G38,$H38)</f>
        <v>0</v>
      </c>
      <c r="O38" s="181" cm="1">
        <f t="array" ref="O38">Fuel_Equations.VEERG_8_1_1_1__1_FuelCombustionTransport($L38,$G38,$I38)</f>
        <v>0</v>
      </c>
      <c r="P38" s="181" cm="1">
        <f t="array" ref="P38">Fuel_Equations.VEERG_8_1_1_1__1_FuelCombustionTransport($L38,$G38,$J38)</f>
        <v>0</v>
      </c>
      <c r="Q38" s="181" cm="1">
        <f t="array" ref="Q38">Scope3_Equations.VEERG_15_11_1_1__2_UpstreamTransportFuelEmissions(L38,G38,K38)</f>
        <v>0</v>
      </c>
    </row>
    <row r="39" spans="1:17" ht="20.100000000000001" customHeight="1" x14ac:dyDescent="0.25">
      <c r="A39" s="16" t="str">
        <f>HYPERLINK("#'Constants - Fertiliser'!A1", "Constants - Fertiliser")</f>
        <v>Constants - Fertiliser</v>
      </c>
      <c r="D39" s="59" t="str">
        <f>$D$37</f>
        <v>Vessels</v>
      </c>
      <c r="E39" s="58" t="str">
        <f>'Constants - Fuel'!E33</f>
        <v>Fuel Oil</v>
      </c>
      <c r="F39" s="58" t="str">
        <f>'Constants - Fuel'!$I$133</f>
        <v>Fuel oil</v>
      </c>
      <c r="G39" s="49" cm="1">
        <f t="array" ref="G39">IFERROR(_xlfn.XLOOKUP(1, (Table_Fuel_EFs_Transport[Fuel combusted]=$E39)*(Table_Fuel_EFs_Transport[Transport type]=$D$37), Table_Fuel_EFs_Transport[Energy Content Factor (GJ per unit of fuel)]), 0)</f>
        <v>39.700000000000003</v>
      </c>
      <c r="H39" s="49" cm="1">
        <f t="array" ref="H39">IFERROR(_xlfn.XLOOKUP(1, (Table_Fuel_EFs_Transport[Fuel combusted]=$E39)*(Table_Fuel_EFs_Transport[Transport type]=$D$37), Table_Fuel_EFs_Transport[Scope 1 Emission Factor (kg CO2 - e / GJ) CO2]), 0)</f>
        <v>73.599999999999994</v>
      </c>
      <c r="I39" s="49" cm="1">
        <f t="array" ref="I39">IFERROR(_xlfn.XLOOKUP(1, (Table_Fuel_EFs_Transport[Fuel combusted]=$E39)*(Table_Fuel_EFs_Transport[Transport type]=$D$37), Table_Fuel_EFs_Transport[Scope 1 Emission Factor (kg CO2 - e / GJ) CH4]), 0)</f>
        <v>0.2</v>
      </c>
      <c r="J39" s="49" cm="1">
        <f t="array" ref="J39">IFERROR(_xlfn.XLOOKUP(1, (Table_Fuel_EFs_Transport[Fuel combusted]=$E39)*(Table_Fuel_EFs_Transport[Transport type]=$D$37), Table_Fuel_EFs_Transport[Scope 1 Emission Factor (kg CO2 - e / GJ) N2O]), 0)</f>
        <v>0.5</v>
      </c>
      <c r="K39" s="49" cm="1">
        <f t="array" ref="K39">IFERROR(_xlfn.XLOOKUP(1, (Table_Fuel_EFs_Transport[Fuel combusted]=$E39)*(Table_Fuel_EFs_Transport[Transport type]=$D$25), Table_Fuel_EFs_Transport[Scope 3 Emission Factor (kg CO2 - e / GJ)]), 0)</f>
        <v>18</v>
      </c>
      <c r="L39" s="180" cm="1">
        <f t="array" ref="L39">Fuel_InputFunctions.Fuel_TotalConsumption(Table_Input_Fuel[Amount consumed], Table_Input_Fuel[Fuel use (select)], D39, Table_Input_Fuel[Fuel type (select)],F39)</f>
        <v>10</v>
      </c>
      <c r="M39" s="180" t="str" cm="1">
        <f t="array" ref="M39">Common_InputFunctions.Utility_LookupValueInTable(F39,Table_FuelTypes_Units[Fuel type],Table_FuelTypes_Units[Unit])</f>
        <v>kL</v>
      </c>
      <c r="N39" s="181" cm="1">
        <f t="array" ref="N39">Fuel_Equations.VEERG_8_1_1_1__1_FuelCombustionTransport($L39,$G39,$H39)</f>
        <v>29.219199999999997</v>
      </c>
      <c r="O39" s="181" cm="1">
        <f t="array" ref="O39">Fuel_Equations.VEERG_8_1_1_1__1_FuelCombustionTransport($L39,$G39,$I39)</f>
        <v>7.9400000000000012E-2</v>
      </c>
      <c r="P39" s="181" cm="1">
        <f t="array" ref="P39">Fuel_Equations.VEERG_8_1_1_1__1_FuelCombustionTransport($L39,$G39,$J39)</f>
        <v>0.19850000000000001</v>
      </c>
      <c r="Q39" s="181" cm="1">
        <f t="array" ref="Q39">Scope3_Equations.VEERG_15_11_1_1__2_UpstreamTransportFuelEmissions(L39,G39,K39)</f>
        <v>7.1459999999999999</v>
      </c>
    </row>
    <row r="40" spans="1:17" ht="20.100000000000001" customHeight="1" x14ac:dyDescent="0.25">
      <c r="A40" s="16" t="str">
        <f>HYPERLINK("#'Constants - Electricity'!A1", "Constants - Electricity")</f>
        <v>Constants - Electricity</v>
      </c>
      <c r="H40" s="17"/>
      <c r="I40" s="17"/>
      <c r="J40" s="17"/>
      <c r="L40" s="17"/>
      <c r="M40" s="17"/>
      <c r="N40" s="17"/>
      <c r="O40" s="17"/>
      <c r="P40" s="17"/>
      <c r="Q40" s="17"/>
    </row>
    <row r="41" spans="1:17" ht="20.100000000000001" customHeight="1" x14ac:dyDescent="0.25">
      <c r="A41" s="16" t="str">
        <f>HYPERLINK("#'Constants - Common'!A1", "Constants - Common")</f>
        <v>Constants - Common</v>
      </c>
      <c r="H41" s="17"/>
      <c r="I41" s="17"/>
      <c r="J41" s="17"/>
      <c r="L41" s="17"/>
      <c r="M41" s="17"/>
      <c r="N41" s="17"/>
      <c r="O41" s="17"/>
      <c r="P41" s="17"/>
      <c r="Q41" s="17"/>
    </row>
    <row r="42" spans="1:17" ht="20.100000000000001" customHeight="1" x14ac:dyDescent="0.25">
      <c r="A42"/>
      <c r="D42" s="192" t="str">
        <f>"Total scope 1 - " &amp; D25</f>
        <v>Total scope 1 - Cars and light commercial vehicles</v>
      </c>
      <c r="E42" s="193"/>
      <c r="F42" s="194"/>
    </row>
    <row r="43" spans="1:17" ht="20.100000000000001" customHeight="1" x14ac:dyDescent="0.25">
      <c r="A43"/>
      <c r="D43" s="7" t="s">
        <v>718</v>
      </c>
      <c r="E43" s="195">
        <f>SUM(N25:N32)</f>
        <v>26.981400000000001</v>
      </c>
      <c r="F43" s="65" t="str">
        <f>$E$12</f>
        <v>t CO2-e</v>
      </c>
    </row>
    <row r="44" spans="1:17" ht="20.100000000000001" customHeight="1" x14ac:dyDescent="0.25">
      <c r="A44"/>
      <c r="D44" s="7" t="s">
        <v>719</v>
      </c>
      <c r="E44" s="195">
        <f>SUM(O25:O32)</f>
        <v>3.8600000000000001E-3</v>
      </c>
      <c r="F44" s="65" t="str">
        <f t="shared" ref="F44:F46" si="1">$E$12</f>
        <v>t CO2-e</v>
      </c>
    </row>
    <row r="45" spans="1:17" ht="20.100000000000001" customHeight="1" x14ac:dyDescent="0.25">
      <c r="A45"/>
      <c r="D45" s="7" t="s">
        <v>720</v>
      </c>
      <c r="E45" s="195">
        <f>SUM(P25:P32)</f>
        <v>0.193</v>
      </c>
      <c r="F45" s="65" t="str">
        <f t="shared" si="1"/>
        <v>t CO2-e</v>
      </c>
    </row>
    <row r="46" spans="1:17" ht="20.100000000000001" customHeight="1" x14ac:dyDescent="0.25">
      <c r="A46"/>
      <c r="D46" s="7" t="s">
        <v>721</v>
      </c>
      <c r="E46" s="195">
        <f>SUM(Q25:Q32)</f>
        <v>6.6778000000000004</v>
      </c>
      <c r="F46" s="65" t="str">
        <f t="shared" si="1"/>
        <v>t CO2-e</v>
      </c>
    </row>
    <row r="47" spans="1:17" ht="20.100000000000001" customHeight="1" x14ac:dyDescent="0.25">
      <c r="A47"/>
      <c r="D47" s="17"/>
      <c r="E47" s="17"/>
      <c r="F47" s="17"/>
    </row>
    <row r="48" spans="1:17" ht="20.100000000000001" customHeight="1" x14ac:dyDescent="0.25">
      <c r="A48"/>
      <c r="D48" s="192" t="str">
        <f>"Total scope 1 - " &amp; D33</f>
        <v>Total scope 1 - Off-road Agriculture and forestry equipment</v>
      </c>
      <c r="E48" s="196"/>
      <c r="F48" s="194"/>
      <c r="H48" s="17"/>
      <c r="I48" s="17"/>
      <c r="J48" s="17"/>
      <c r="L48" s="17"/>
      <c r="M48" s="17"/>
      <c r="N48" s="17"/>
      <c r="O48" s="17"/>
      <c r="P48" s="17"/>
      <c r="Q48" s="17"/>
    </row>
    <row r="49" spans="1:17" ht="20.100000000000001" customHeight="1" x14ac:dyDescent="0.25">
      <c r="A49"/>
      <c r="D49" s="7" t="s">
        <v>718</v>
      </c>
      <c r="E49" s="195">
        <f>SUM(N33:N33)</f>
        <v>26.981400000000001</v>
      </c>
      <c r="F49" s="65" t="str">
        <f t="shared" ref="F49:F52" si="2">$E$12</f>
        <v>t CO2-e</v>
      </c>
      <c r="H49" s="17"/>
      <c r="I49" s="17"/>
      <c r="J49" s="17"/>
      <c r="L49" s="17"/>
      <c r="M49" s="17"/>
      <c r="N49" s="17"/>
      <c r="O49" s="17"/>
      <c r="P49" s="17"/>
      <c r="Q49" s="17"/>
    </row>
    <row r="50" spans="1:17" ht="20.100000000000001" customHeight="1" x14ac:dyDescent="0.25">
      <c r="A50"/>
      <c r="D50" s="7" t="s">
        <v>719</v>
      </c>
      <c r="E50" s="195">
        <f>SUM(O33:O33)</f>
        <v>0.1158</v>
      </c>
      <c r="F50" s="65" t="str">
        <f t="shared" si="2"/>
        <v>t CO2-e</v>
      </c>
      <c r="H50" s="17"/>
      <c r="I50" s="17"/>
      <c r="J50" s="17"/>
      <c r="L50" s="17"/>
      <c r="M50" s="17"/>
      <c r="N50" s="17"/>
      <c r="O50" s="17"/>
      <c r="P50" s="17"/>
      <c r="Q50" s="17"/>
    </row>
    <row r="51" spans="1:17" ht="20.100000000000001" customHeight="1" x14ac:dyDescent="0.25">
      <c r="A51"/>
      <c r="D51" s="7" t="s">
        <v>720</v>
      </c>
      <c r="E51" s="195">
        <f>SUM(P33:P33)</f>
        <v>0.193</v>
      </c>
      <c r="F51" s="65" t="str">
        <f t="shared" si="2"/>
        <v>t CO2-e</v>
      </c>
      <c r="H51" s="17"/>
      <c r="I51" s="17"/>
      <c r="J51" s="17"/>
      <c r="L51" s="17"/>
      <c r="M51" s="17"/>
      <c r="N51" s="17"/>
      <c r="O51" s="17"/>
      <c r="P51" s="17"/>
      <c r="Q51" s="17"/>
    </row>
    <row r="52" spans="1:17" ht="20.100000000000001" customHeight="1" x14ac:dyDescent="0.25">
      <c r="A52"/>
      <c r="D52" s="7" t="s">
        <v>721</v>
      </c>
      <c r="E52" s="195">
        <f>SUM(Q33)</f>
        <v>6.6778000000000004</v>
      </c>
      <c r="F52" s="65" t="str">
        <f t="shared" si="2"/>
        <v>t CO2-e</v>
      </c>
      <c r="H52" s="17"/>
      <c r="I52" s="17"/>
      <c r="J52" s="17"/>
      <c r="L52" s="17"/>
      <c r="M52" s="17"/>
      <c r="N52" s="17"/>
      <c r="O52" s="17"/>
      <c r="P52" s="17"/>
      <c r="Q52" s="17"/>
    </row>
    <row r="53" spans="1:17" ht="20.100000000000001" customHeight="1" x14ac:dyDescent="0.25">
      <c r="A53"/>
      <c r="D53" s="17"/>
      <c r="E53" s="197"/>
      <c r="F53" s="17"/>
      <c r="G53" s="17"/>
      <c r="H53" s="17"/>
      <c r="I53" s="17"/>
      <c r="J53" s="17"/>
      <c r="L53" s="17"/>
      <c r="M53" s="17"/>
      <c r="N53" s="17"/>
      <c r="O53" s="17"/>
      <c r="P53" s="17"/>
      <c r="Q53" s="17"/>
    </row>
    <row r="54" spans="1:17" ht="20.100000000000001" customHeight="1" x14ac:dyDescent="0.25">
      <c r="A54"/>
      <c r="D54" s="192" t="str">
        <f>"Total scope 1 - " &amp; D34</f>
        <v>Total scope 1 - Aviation</v>
      </c>
      <c r="E54" s="196"/>
      <c r="F54" s="194"/>
      <c r="G54" s="17"/>
      <c r="H54" s="17"/>
      <c r="I54" s="17"/>
      <c r="J54" s="17"/>
      <c r="L54" s="17"/>
      <c r="M54" s="17"/>
      <c r="N54" s="17"/>
      <c r="O54" s="17"/>
      <c r="P54" s="17"/>
      <c r="Q54" s="17"/>
    </row>
    <row r="55" spans="1:17" ht="20.100000000000001" customHeight="1" x14ac:dyDescent="0.25">
      <c r="A55"/>
      <c r="D55" s="7" t="s">
        <v>718</v>
      </c>
      <c r="E55" s="195">
        <f>SUM(N34:N36)</f>
        <v>0</v>
      </c>
      <c r="F55" s="65" t="str">
        <f t="shared" ref="F55:F58" si="3">$E$12</f>
        <v>t CO2-e</v>
      </c>
      <c r="G55" s="17"/>
      <c r="H55" s="17"/>
      <c r="I55" s="17"/>
      <c r="J55" s="17"/>
      <c r="L55" s="17"/>
      <c r="M55" s="17"/>
      <c r="N55" s="17"/>
      <c r="O55" s="17"/>
      <c r="P55" s="17"/>
      <c r="Q55" s="17"/>
    </row>
    <row r="56" spans="1:17" ht="20.100000000000001" customHeight="1" x14ac:dyDescent="0.25">
      <c r="A56"/>
      <c r="D56" s="7" t="s">
        <v>719</v>
      </c>
      <c r="E56" s="195">
        <f>SUM(O34:O36)</f>
        <v>0</v>
      </c>
      <c r="F56" s="65" t="str">
        <f t="shared" si="3"/>
        <v>t CO2-e</v>
      </c>
      <c r="G56" s="17"/>
      <c r="H56" s="17"/>
      <c r="I56" s="17"/>
      <c r="J56" s="17"/>
      <c r="L56" s="17"/>
      <c r="M56" s="17"/>
      <c r="N56" s="17"/>
      <c r="O56" s="17"/>
      <c r="P56" s="17"/>
      <c r="Q56" s="17"/>
    </row>
    <row r="57" spans="1:17" ht="20.100000000000001" customHeight="1" x14ac:dyDescent="0.25">
      <c r="A57"/>
      <c r="D57" s="7" t="s">
        <v>720</v>
      </c>
      <c r="E57" s="195">
        <f>SUM(P34:P36)</f>
        <v>0</v>
      </c>
      <c r="F57" s="65" t="str">
        <f t="shared" si="3"/>
        <v>t CO2-e</v>
      </c>
      <c r="G57" s="17"/>
      <c r="H57" s="17"/>
      <c r="I57" s="17"/>
      <c r="J57" s="17"/>
      <c r="L57" s="17"/>
      <c r="M57" s="17"/>
      <c r="N57" s="17"/>
      <c r="O57" s="17"/>
      <c r="P57" s="17"/>
      <c r="Q57" s="17"/>
    </row>
    <row r="58" spans="1:17" ht="20.100000000000001" customHeight="1" x14ac:dyDescent="0.25">
      <c r="A58"/>
      <c r="D58" s="7" t="s">
        <v>721</v>
      </c>
      <c r="E58" s="195">
        <f>SUM(Q34:Q36)</f>
        <v>0</v>
      </c>
      <c r="F58" s="65" t="str">
        <f t="shared" si="3"/>
        <v>t CO2-e</v>
      </c>
      <c r="G58" s="17"/>
      <c r="H58" s="17"/>
      <c r="I58" s="17"/>
      <c r="J58" s="17"/>
      <c r="L58" s="17"/>
      <c r="M58" s="17"/>
      <c r="N58" s="17"/>
      <c r="O58" s="17"/>
      <c r="P58" s="17"/>
      <c r="Q58" s="17"/>
    </row>
    <row r="59" spans="1:17" ht="20.100000000000001" customHeight="1" x14ac:dyDescent="0.25">
      <c r="A59"/>
      <c r="D59" s="17"/>
      <c r="E59" s="197"/>
      <c r="F59" s="17"/>
      <c r="G59" s="17"/>
      <c r="H59" s="17"/>
      <c r="I59" s="17"/>
      <c r="J59" s="17"/>
      <c r="L59" s="17"/>
      <c r="M59" s="17"/>
      <c r="N59" s="17"/>
      <c r="O59" s="17"/>
      <c r="P59" s="17"/>
      <c r="Q59" s="17"/>
    </row>
    <row r="60" spans="1:17" ht="20.100000000000001" customHeight="1" x14ac:dyDescent="0.25">
      <c r="A60"/>
      <c r="D60" s="192" t="str">
        <f>"Total scope 1 - " &amp; D37</f>
        <v>Total scope 1 - Vessels</v>
      </c>
      <c r="E60" s="196"/>
      <c r="F60" s="194"/>
      <c r="G60" s="17"/>
      <c r="H60" s="17"/>
      <c r="I60" s="17"/>
      <c r="J60" s="17"/>
      <c r="L60" s="17"/>
      <c r="M60" s="17"/>
      <c r="N60" s="17"/>
      <c r="O60" s="17"/>
      <c r="P60" s="17"/>
      <c r="Q60" s="17"/>
    </row>
    <row r="61" spans="1:17" ht="20.100000000000001" customHeight="1" x14ac:dyDescent="0.25">
      <c r="A61"/>
      <c r="D61" s="7" t="s">
        <v>718</v>
      </c>
      <c r="E61" s="195">
        <f>SUM(N37:N39)</f>
        <v>29.219199999999997</v>
      </c>
      <c r="F61" s="65" t="str">
        <f t="shared" ref="F61:F64" si="4">$E$12</f>
        <v>t CO2-e</v>
      </c>
      <c r="G61" s="17"/>
      <c r="H61" s="17"/>
      <c r="I61" s="17"/>
      <c r="J61" s="17"/>
      <c r="L61" s="17"/>
      <c r="M61" s="17"/>
      <c r="N61" s="17"/>
      <c r="O61" s="17"/>
      <c r="P61" s="17"/>
      <c r="Q61" s="17"/>
    </row>
    <row r="62" spans="1:17" ht="20.100000000000001" customHeight="1" x14ac:dyDescent="0.25">
      <c r="A62"/>
      <c r="D62" s="7" t="s">
        <v>719</v>
      </c>
      <c r="E62" s="195">
        <f>SUM(O37:O39)</f>
        <v>7.9400000000000012E-2</v>
      </c>
      <c r="F62" s="65" t="str">
        <f t="shared" si="4"/>
        <v>t CO2-e</v>
      </c>
      <c r="G62" s="17"/>
      <c r="H62" s="17"/>
      <c r="I62" s="17"/>
      <c r="J62" s="17"/>
      <c r="L62" s="17"/>
      <c r="M62" s="17"/>
      <c r="N62" s="17"/>
      <c r="O62" s="17"/>
      <c r="P62" s="17"/>
      <c r="Q62" s="17"/>
    </row>
    <row r="63" spans="1:17" ht="20.100000000000001" customHeight="1" x14ac:dyDescent="0.25">
      <c r="A63"/>
      <c r="D63" s="7" t="s">
        <v>720</v>
      </c>
      <c r="E63" s="195">
        <f>SUM(P37:P39)</f>
        <v>0.19850000000000001</v>
      </c>
      <c r="F63" s="65" t="str">
        <f t="shared" si="4"/>
        <v>t CO2-e</v>
      </c>
      <c r="G63" s="17"/>
      <c r="H63" s="17"/>
      <c r="I63" s="17"/>
      <c r="J63" s="17"/>
      <c r="L63" s="17"/>
      <c r="M63" s="17"/>
      <c r="N63" s="17"/>
      <c r="O63" s="17"/>
      <c r="P63" s="17"/>
      <c r="Q63" s="17"/>
    </row>
    <row r="64" spans="1:17" ht="20.100000000000001" customHeight="1" x14ac:dyDescent="0.25">
      <c r="A64"/>
      <c r="D64" s="7" t="s">
        <v>721</v>
      </c>
      <c r="E64" s="195">
        <f>SUM(Q37:Q39)</f>
        <v>7.1459999999999999</v>
      </c>
      <c r="F64" s="65" t="str">
        <f t="shared" si="4"/>
        <v>t CO2-e</v>
      </c>
      <c r="G64" s="17"/>
      <c r="H64" s="17"/>
      <c r="I64" s="17"/>
      <c r="J64" s="17"/>
      <c r="L64" s="17"/>
      <c r="M64" s="17"/>
      <c r="N64" s="17"/>
      <c r="O64" s="17"/>
      <c r="P64" s="17"/>
      <c r="Q64" s="17"/>
    </row>
    <row r="65" spans="1:17" ht="20.100000000000001" customHeight="1" x14ac:dyDescent="0.25">
      <c r="A65"/>
      <c r="G65" s="17"/>
      <c r="H65" s="17"/>
      <c r="I65" s="17"/>
      <c r="J65" s="17"/>
      <c r="L65" s="17"/>
      <c r="M65" s="17"/>
      <c r="N65" s="17"/>
      <c r="O65" s="17"/>
      <c r="P65" s="17"/>
      <c r="Q65" s="17"/>
    </row>
    <row r="66" spans="1:17" ht="20.100000000000001" customHeight="1" x14ac:dyDescent="0.25">
      <c r="A66"/>
      <c r="D66" s="192" t="s">
        <v>722</v>
      </c>
      <c r="E66" s="198"/>
      <c r="F66" s="194"/>
      <c r="G66" s="17"/>
      <c r="H66" s="17"/>
      <c r="I66" s="17"/>
      <c r="J66" s="17"/>
      <c r="L66" s="17"/>
      <c r="M66" s="17"/>
      <c r="N66" s="17"/>
      <c r="O66" s="17"/>
      <c r="P66" s="17"/>
      <c r="Q66" s="17"/>
    </row>
    <row r="67" spans="1:17" ht="20.100000000000001" customHeight="1" x14ac:dyDescent="0.25">
      <c r="A67"/>
      <c r="D67" s="7" t="s">
        <v>718</v>
      </c>
      <c r="E67" s="195">
        <f>E43+E49+E55+E61</f>
        <v>83.182000000000002</v>
      </c>
      <c r="F67" s="65" t="str">
        <f t="shared" ref="F67:F70" si="5">$E$12</f>
        <v>t CO2-e</v>
      </c>
      <c r="G67" s="17"/>
    </row>
    <row r="68" spans="1:17" ht="20.100000000000001" customHeight="1" x14ac:dyDescent="0.25">
      <c r="A68"/>
      <c r="D68" s="7" t="s">
        <v>719</v>
      </c>
      <c r="E68" s="195">
        <f t="shared" ref="E68:E70" si="6">E44+E50+E56+E62</f>
        <v>0.19906000000000001</v>
      </c>
      <c r="F68" s="65" t="str">
        <f t="shared" si="5"/>
        <v>t CO2-e</v>
      </c>
      <c r="G68" s="17"/>
    </row>
    <row r="69" spans="1:17" ht="20.100000000000001" customHeight="1" x14ac:dyDescent="0.25">
      <c r="A69"/>
      <c r="D69" s="7" t="s">
        <v>720</v>
      </c>
      <c r="E69" s="195">
        <f t="shared" si="6"/>
        <v>0.58450000000000002</v>
      </c>
      <c r="F69" s="65" t="str">
        <f t="shared" si="5"/>
        <v>t CO2-e</v>
      </c>
      <c r="G69" s="17"/>
    </row>
    <row r="70" spans="1:17" ht="20.100000000000001" customHeight="1" x14ac:dyDescent="0.25">
      <c r="A70"/>
      <c r="D70" s="7" t="s">
        <v>721</v>
      </c>
      <c r="E70" s="195">
        <f t="shared" si="6"/>
        <v>20.5016</v>
      </c>
      <c r="F70" s="65" t="str">
        <f t="shared" si="5"/>
        <v>t CO2-e</v>
      </c>
      <c r="G70" s="17"/>
    </row>
    <row r="71" spans="1:17" ht="20.100000000000001" customHeight="1" x14ac:dyDescent="0.25">
      <c r="A71"/>
      <c r="G71" s="17"/>
    </row>
    <row r="72" spans="1:17" ht="20.100000000000001" customHeight="1" x14ac:dyDescent="0.25">
      <c r="A72"/>
    </row>
    <row r="73" spans="1:17" ht="20.100000000000001" customHeight="1" x14ac:dyDescent="0.25">
      <c r="A73"/>
    </row>
    <row r="74" spans="1:17" ht="20.100000000000001" customHeight="1" x14ac:dyDescent="0.25">
      <c r="A74"/>
    </row>
    <row r="75" spans="1:17" ht="20.100000000000001" customHeight="1" x14ac:dyDescent="0.25">
      <c r="A75"/>
    </row>
    <row r="76" spans="1:17" ht="20.100000000000001" customHeight="1" x14ac:dyDescent="0.25">
      <c r="A76"/>
    </row>
    <row r="77" spans="1:17" ht="20.100000000000001" customHeight="1" x14ac:dyDescent="0.25">
      <c r="A77"/>
    </row>
    <row r="78" spans="1:17" ht="20.100000000000001" customHeight="1" x14ac:dyDescent="0.25">
      <c r="A78"/>
    </row>
    <row r="79" spans="1:17" ht="20.100000000000001" customHeight="1" x14ac:dyDescent="0.25">
      <c r="A79"/>
    </row>
    <row r="80" spans="1:17"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4"/>
    </row>
    <row r="342" spans="8:8" x14ac:dyDescent="0.25">
      <c r="H342" s="14"/>
    </row>
  </sheetData>
  <dataValidations count="1">
    <dataValidation operator="equal" allowBlank="1" showInputMessage="1" showErrorMessage="1" sqref="N172:Q172 O150:Q150 E269 N166:Q166 O143:Q144 E228 O167:Q167 G132 I129:I133 F134:I134 F129:F132 H128:H132 G129 F148:I148 I149 F150:I150" xr:uid="{6FCDF018-4015-4DC0-88EA-47BAD7B2DC4B}"/>
  </dataValidations>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FCF37-F294-4E18-8826-90B9B7AD16E5}">
  <dimension ref="A1:R165"/>
  <sheetViews>
    <sheetView showGridLines="0" topLeftCell="A33" zoomScaleNormal="100" workbookViewId="0">
      <selection activeCell="A41" sqref="A41"/>
    </sheetView>
  </sheetViews>
  <sheetFormatPr defaultRowHeight="15.75" x14ac:dyDescent="0.25"/>
  <cols>
    <col min="1" max="1" width="26.875" style="3" customWidth="1"/>
    <col min="2" max="2" width="4.125" style="3" customWidth="1"/>
    <col min="3" max="3" width="4.125" style="8" customWidth="1"/>
    <col min="4" max="4" width="35.375" style="8" customWidth="1"/>
    <col min="5" max="17" width="26.875" style="8" customWidth="1"/>
    <col min="18" max="18" width="4.125" style="8" customWidth="1"/>
    <col min="19" max="16384" width="9" style="3"/>
  </cols>
  <sheetData>
    <row r="1" spans="1:18" s="1" customFormat="1" ht="30" customHeight="1" x14ac:dyDescent="0.35">
      <c r="A1" s="37" t="e" vm="1">
        <v>#VALUE!</v>
      </c>
      <c r="C1" s="1" t="s">
        <v>723</v>
      </c>
    </row>
    <row r="2" spans="1:18" s="2" customFormat="1" ht="20.100000000000001" customHeight="1" x14ac:dyDescent="0.25">
      <c r="A2"/>
    </row>
    <row r="3" spans="1:18" ht="20.100000000000001" customHeight="1" x14ac:dyDescent="0.25">
      <c r="A3" s="16" t="str">
        <f>HYPERLINK("#'Overview'!A1", "Overview")</f>
        <v>Overview</v>
      </c>
      <c r="C3" s="5"/>
      <c r="D3" s="5" t="s">
        <v>404</v>
      </c>
      <c r="E3" s="5"/>
      <c r="F3" s="5"/>
      <c r="G3" s="5"/>
      <c r="H3" s="5"/>
      <c r="I3" s="5"/>
      <c r="J3" s="5"/>
      <c r="K3" s="5"/>
      <c r="L3" s="5"/>
      <c r="M3" s="5"/>
      <c r="N3" s="5"/>
      <c r="O3" s="5"/>
      <c r="P3" s="5"/>
      <c r="Q3" s="5"/>
      <c r="R3" s="5"/>
    </row>
    <row r="4" spans="1:18" ht="20.100000000000001" customHeight="1" x14ac:dyDescent="0.25">
      <c r="A4" s="16" t="str">
        <f>HYPERLINK("#'Results'!A1", "Results")</f>
        <v>Results</v>
      </c>
    </row>
    <row r="5" spans="1:18" ht="20.100000000000001" customHeight="1" x14ac:dyDescent="0.25">
      <c r="A5"/>
      <c r="D5" s="9" t="str" cm="1">
        <f t="array" ref="D5">Fuel_Equations.VEERG_8_2_1_1__1_FuelCombustionStationary_Title()</f>
        <v>Emissions for each GHG from the stationary combustion of fuels</v>
      </c>
      <c r="K5" s="9" t="str" cm="1">
        <f t="array" ref="K5">Scope3_Equations.VEERG_15_11_1_1__3_UpstreamStationaryFuelEmissions_Title()</f>
        <v>Upstream emissions from scope 1 stationary combustion fuel use</v>
      </c>
      <c r="O5" s="17"/>
      <c r="P5" s="17"/>
      <c r="Q5" s="17"/>
      <c r="R5" s="17"/>
    </row>
    <row r="6" spans="1:18" ht="20.100000000000001" customHeight="1" x14ac:dyDescent="0.25">
      <c r="A6"/>
      <c r="D6" s="11" t="str" cm="1">
        <f t="array" ref="D6">Fuel_Equations.VEERG_8_2_1_1__1_FuelCombustionStationary_Source()</f>
        <v>VEERG 2026: 8.2.1.1, Equation (1)</v>
      </c>
      <c r="K6" s="11" t="str" cm="1">
        <f t="array" ref="K6">Scope3_Equations.VEERG_15_11_1_1__3_UpstreamStationaryFuelEmissions_Source()</f>
        <v>VEERG 2026: 15.11.1.1, Equation (3)</v>
      </c>
      <c r="O6" s="17"/>
      <c r="P6" s="17"/>
      <c r="Q6" s="17"/>
      <c r="R6" s="17"/>
    </row>
    <row r="7" spans="1:18" ht="20.100000000000001" customHeight="1" x14ac:dyDescent="0.25">
      <c r="A7" s="19" t="s">
        <v>67</v>
      </c>
      <c r="D7" s="171" t="s">
        <v>622</v>
      </c>
      <c r="E7" s="171" t="str" cm="1">
        <f t="array" aca="1" ref="E7" ca="1">Common_InputFunctions.Utility_DisplayFunctionName(N25)</f>
        <v>=Fuel_Equations.VEERG_8_2_1_1__1_FuelCombustionStationary</v>
      </c>
      <c r="K7" s="12" t="str" cm="1">
        <f t="array" ref="K7">Scope3_Equations.VEERG_15_11_1_1__3_UpstreamStationaryFuelEmissions_Variation()</f>
        <v>VARIATION ON SOURCE: Added 'state' and 'metro/non-metro' arguments as gaseous scope 3 EFs are state and metro/non-metro location-based.</v>
      </c>
      <c r="O7" s="17"/>
      <c r="P7" s="17"/>
      <c r="Q7" s="17"/>
      <c r="R7" s="17"/>
    </row>
    <row r="8" spans="1:18" ht="20.100000000000001" customHeight="1" x14ac:dyDescent="0.25">
      <c r="A8" s="16" t="str">
        <f>HYPERLINK("#'Input - Site'!A1", "Site")</f>
        <v>Site</v>
      </c>
      <c r="K8" s="171" t="s">
        <v>622</v>
      </c>
      <c r="L8" s="171" t="str" cm="1">
        <f t="array" aca="1" ref="L8" ca="1">Common_InputFunctions.Utility_DisplayFunctionName(Q25)</f>
        <v>=Fuel_Equations.VEERG_8_2_1_1__1_FuelCombustionStationary</v>
      </c>
      <c r="O8" s="17"/>
      <c r="P8" s="17"/>
      <c r="Q8" s="17"/>
      <c r="R8" s="17"/>
    </row>
    <row r="9" spans="1:18" ht="20.100000000000001" customHeight="1" x14ac:dyDescent="0.25">
      <c r="A9" s="16" t="str">
        <f>HYPERLINK("#'Input - Fuel'!A1", "Fuel")</f>
        <v>Fuel</v>
      </c>
      <c r="G9" s="11"/>
      <c r="O9" s="17"/>
      <c r="P9" s="17"/>
      <c r="Q9" s="17"/>
      <c r="R9" s="17"/>
    </row>
    <row r="10" spans="1:18" ht="20.100000000000001" customHeight="1" x14ac:dyDescent="0.25">
      <c r="A10" s="16" t="str">
        <f>HYPERLINK("#'Input - Fertiliser'!A1", "Fertiliser")</f>
        <v>Fertiliser</v>
      </c>
      <c r="O10" s="17"/>
      <c r="P10" s="17"/>
      <c r="Q10" s="17"/>
      <c r="R10" s="17"/>
    </row>
    <row r="11" spans="1:18" ht="20.100000000000001" customHeight="1" x14ac:dyDescent="0.25">
      <c r="A11" s="16" t="str">
        <f>HYPERLINK("#'Input - Farm Inputs'!A1", "Farm Inputs")</f>
        <v>Farm Inputs</v>
      </c>
      <c r="D11" s="27" t="s">
        <v>623</v>
      </c>
      <c r="E11" s="8" t="str" cm="1">
        <f t="array" ref="E11">Fuel_Equations.VEERG_8_2_1_1__1_FuelCombustionStationary_Variable()</f>
        <v>E_g</v>
      </c>
      <c r="K11" s="27" t="s">
        <v>623</v>
      </c>
      <c r="L11" s="8" t="str" cm="1">
        <f t="array" ref="L11">Scope3_Equations.VEERG_15_11_1_1__3_UpstreamStationaryFuelEmissions_Variable()</f>
        <v>E_WTTSCq</v>
      </c>
      <c r="O11" s="17"/>
      <c r="P11" s="17"/>
      <c r="Q11" s="17"/>
      <c r="R11" s="17"/>
    </row>
    <row r="12" spans="1:18" ht="20.100000000000001" customHeight="1" x14ac:dyDescent="0.25">
      <c r="A12" s="16" t="str">
        <f>HYPERLINK("#'Input - Beef cattle purchases'!A1", "Beef cattle purchases")</f>
        <v>Beef cattle purchases</v>
      </c>
      <c r="D12" s="27" t="s">
        <v>96</v>
      </c>
      <c r="E12" s="13" t="str" cm="1">
        <f t="array" ref="E12">Fuel_Equations.VEERG_8_2_1_1__1_FuelCombustionStationary_Unit()</f>
        <v>t CO2-e</v>
      </c>
      <c r="K12" s="27" t="s">
        <v>96</v>
      </c>
      <c r="L12" s="13" t="str" cm="1">
        <f t="array" ref="L12">Scope3_Equations.VEERG_15_11_1_1__3_UpstreamStationaryFuelEmissions_Unit()</f>
        <v>t CO2e</v>
      </c>
    </row>
    <row r="13" spans="1:18" ht="20.100000000000001" customHeight="1" x14ac:dyDescent="0.25">
      <c r="A13" s="16" t="str">
        <f>HYPERLINK("#'Input - Dairy cattle purchases'!A1", "Dairy cattle purchases")</f>
        <v>Dairy cattle purchases</v>
      </c>
    </row>
    <row r="14" spans="1:18" ht="20.100000000000001" customHeight="1" x14ac:dyDescent="0.25">
      <c r="A14" s="16" t="str">
        <f>HYPERLINK("#'Input - Pig purchases'!A1", "Pig purchases")</f>
        <v>Pig purchases</v>
      </c>
      <c r="D14" s="166" t="str" cm="1">
        <f t="array" ref="D14:E20">_xlfn.CHOOSECOLS(Fuel_Equations.VEERG_8_2_1_1__1_FuelCombustionStationary_Arguments(), 1,2)</f>
        <v>Q_SCq</v>
      </c>
      <c r="E14" s="170" t="str">
        <v>Amount of fuel type q used for stationary combustion operations</v>
      </c>
      <c r="F14" s="165"/>
      <c r="G14" s="166" t="str" cm="1">
        <f t="array" ref="G14:H20">_xlfn.CHOOSECOLS(Fuel_Equations.VEERG_8_2_1_1__1_FuelCombustionStationary_Arguments(), 3,4)</f>
        <v>Varies based on fuel type: kL, m3, GJ</v>
      </c>
      <c r="H14" s="230" t="str">
        <v>Input</v>
      </c>
      <c r="I14" s="169" t="str" cm="1">
        <f t="array" aca="1" ref="I14" ca="1">HYPERLINK(Common_InputFunctions.Utility_SourceHyperlink($D$22), $D$22)</f>
        <v>Table_E_g</v>
      </c>
      <c r="K14" s="166" t="str" cm="1">
        <f t="array" ref="K14:L18">_xlfn.CHOOSECOLS(Scope3_Equations.VEERG_15_11_1_1__3_UpstreamStationaryFuelEmissions_Arguments(),1,2)</f>
        <v>Q_SCq</v>
      </c>
      <c r="L14" s="166" t="str">
        <v>amount of fuel q used for stationary combustion operations</v>
      </c>
      <c r="M14" s="166"/>
      <c r="N14" s="166" t="str" cm="1">
        <f t="array" ref="N14:O18">_xlfn.CHOOSECOLS(Scope3_Equations.VEERG_15_11_1_1__3_UpstreamStationaryFuelEmissions_Arguments(),3,4)</f>
        <v>kL</v>
      </c>
      <c r="O14" s="230" t="str">
        <v>Input</v>
      </c>
      <c r="P14" s="169" t="str" cm="1">
        <f t="array" aca="1" ref="P14" ca="1">HYPERLINK(Common_InputFunctions.Utility_SourceHyperlink($D$22), $D$22)</f>
        <v>Table_E_g</v>
      </c>
      <c r="Q14" s="17"/>
    </row>
    <row r="15" spans="1:18" ht="20.100000000000001" customHeight="1" x14ac:dyDescent="0.25">
      <c r="A15" s="16" t="str">
        <f>HYPERLINK("#'Input - Poultry purchases'!A1", "Poultry purchases")</f>
        <v>Poultry purchases</v>
      </c>
      <c r="D15" s="166" t="str">
        <v>EC_SCq</v>
      </c>
      <c r="E15" s="170" t="str">
        <v>Energy content factor for stationary combustion operations</v>
      </c>
      <c r="F15" s="165"/>
      <c r="G15" s="166" t="str">
        <v>GJ / unit of fuel</v>
      </c>
      <c r="H15" s="168" t="str">
        <v>Constant</v>
      </c>
      <c r="I15" s="169" t="str" cm="1">
        <f t="array" aca="1" ref="I15" ca="1">HYPERLINK(Common_InputFunctions.Utility_SourceHyperlink($D$22), $D$22)</f>
        <v>Table_E_g</v>
      </c>
      <c r="K15" s="166" t="str">
        <v>EC_SCq</v>
      </c>
      <c r="L15" s="166" t="str">
        <v>energy content factor for stationary combustion operations</v>
      </c>
      <c r="M15" s="166"/>
      <c r="N15" s="166" t="str">
        <v>GJ/kL</v>
      </c>
      <c r="O15" s="168" t="str">
        <v>Constant</v>
      </c>
      <c r="P15" s="169" t="str" cm="1">
        <f t="array" aca="1" ref="P15" ca="1">HYPERLINK(Common_InputFunctions.Utility_SourceHyperlink($D$22), $D$22)</f>
        <v>Table_E_g</v>
      </c>
      <c r="Q15" s="17"/>
    </row>
    <row r="16" spans="1:18" ht="20.100000000000001" customHeight="1" x14ac:dyDescent="0.25">
      <c r="A16" s="16" t="str">
        <f>HYPERLINK("#'Input - Freight'!A1", "Freight")</f>
        <v>Freight</v>
      </c>
      <c r="D16" s="166" t="str">
        <v>EF_SC1qg</v>
      </c>
      <c r="E16" s="170" t="str">
        <v>Scope 1 emission factor for stationary combustion for each greenhouse gas</v>
      </c>
      <c r="F16" s="165"/>
      <c r="G16" s="166" t="str">
        <v>kg CO2e / GJ</v>
      </c>
      <c r="H16" s="168" t="str">
        <v>Constant</v>
      </c>
      <c r="I16" s="169" t="str" cm="1">
        <f t="array" aca="1" ref="I16" ca="1">HYPERLINK(Common_InputFunctions.Utility_SourceHyperlink($D$22), $D$22)</f>
        <v>Table_E_g</v>
      </c>
      <c r="K16" s="166" t="str">
        <v>EF_SC3q</v>
      </c>
      <c r="L16" s="166" t="str">
        <v>scope 3 emission factor for stationary combustion operations</v>
      </c>
      <c r="M16" s="166"/>
      <c r="N16" s="166" t="str">
        <v>kg CO2e/GJ</v>
      </c>
      <c r="O16" s="168" t="str">
        <v>Constant</v>
      </c>
      <c r="P16" s="169" t="str" cm="1">
        <f t="array" aca="1" ref="P16" ca="1">HYPERLINK(Common_InputFunctions.Utility_SourceHyperlink($D$22), $D$22)</f>
        <v>Table_E_g</v>
      </c>
      <c r="Q16" s="17"/>
    </row>
    <row r="17" spans="1:17" ht="20.100000000000001" customHeight="1" x14ac:dyDescent="0.25">
      <c r="A17" s="16" t="str">
        <f>HYPERLINK("#'Input - Solid waste'!A1", "Solid waste")</f>
        <v>Solid waste</v>
      </c>
      <c r="D17" s="166" t="str">
        <v>q</v>
      </c>
      <c r="E17" s="170" t="str">
        <v>Fuel type</v>
      </c>
      <c r="F17" s="165"/>
      <c r="G17" s="166" t="str">
        <v/>
      </c>
      <c r="H17" s="168" t="str">
        <v>Constant</v>
      </c>
      <c r="I17" s="169"/>
      <c r="J17" s="17"/>
      <c r="K17" s="166" t="str">
        <v>i</v>
      </c>
      <c r="L17" s="170" t="str">
        <v>state</v>
      </c>
      <c r="M17" s="165"/>
      <c r="N17" s="166" t="str">
        <v/>
      </c>
      <c r="O17" s="230" t="str">
        <v>Input</v>
      </c>
      <c r="P17" s="166" t="str">
        <f>X_Cell_Site_State</f>
        <v>Western Australia</v>
      </c>
      <c r="Q17" s="17"/>
    </row>
    <row r="18" spans="1:17" ht="20.100000000000001" customHeight="1" x14ac:dyDescent="0.25">
      <c r="A18" s="16" t="str">
        <f>HYPERLINK("#'Input - Manure sent off-site'!A1", "Manure sent off-site")</f>
        <v>Manure sent off-site</v>
      </c>
      <c r="D18" s="166" t="str">
        <v>SC</v>
      </c>
      <c r="E18" s="170" t="str">
        <v>Stationary combustion</v>
      </c>
      <c r="F18" s="165"/>
      <c r="G18" s="166" t="str">
        <v/>
      </c>
      <c r="H18" s="168" t="str">
        <v>Constant</v>
      </c>
      <c r="I18" s="169"/>
      <c r="J18" s="17"/>
      <c r="K18" s="166" t="str">
        <v>m</v>
      </c>
      <c r="L18" s="170" t="str">
        <v>metropolitan/non-metropolitan location</v>
      </c>
      <c r="M18" s="165"/>
      <c r="N18" s="166" t="str">
        <v/>
      </c>
      <c r="O18" s="230" t="str">
        <v>Input</v>
      </c>
      <c r="P18" s="166" t="str">
        <f>X_Cell_Fuel_IsMetroLocation</f>
        <v>Metro</v>
      </c>
      <c r="Q18" s="17"/>
    </row>
    <row r="19" spans="1:17" ht="20.100000000000001" customHeight="1" x14ac:dyDescent="0.25">
      <c r="A19" s="16" t="str">
        <f>HYPERLINK("#'Input - Electricity'!A1", "Electricity")</f>
        <v>Electricity</v>
      </c>
      <c r="D19" s="166" t="str">
        <v>g</v>
      </c>
      <c r="E19" s="170" t="str">
        <v>Greenhouse gas</v>
      </c>
      <c r="F19" s="165"/>
      <c r="G19" s="166" t="str">
        <v/>
      </c>
      <c r="H19" s="168" t="str">
        <v>Constant</v>
      </c>
      <c r="I19" s="169"/>
      <c r="J19" s="17"/>
      <c r="L19" s="17"/>
      <c r="N19" s="17"/>
      <c r="O19" s="17"/>
      <c r="P19" s="17"/>
      <c r="Q19" s="17"/>
    </row>
    <row r="20" spans="1:17" ht="20.100000000000001" customHeight="1" x14ac:dyDescent="0.25">
      <c r="A20"/>
      <c r="D20" s="166" t="str">
        <v>1</v>
      </c>
      <c r="E20" s="170" t="str">
        <v>Scope 1</v>
      </c>
      <c r="F20" s="165"/>
      <c r="G20" s="166" t="str">
        <v/>
      </c>
      <c r="H20" s="168" t="str">
        <v>Constant</v>
      </c>
      <c r="I20" s="169"/>
      <c r="J20" s="17"/>
      <c r="L20" s="17"/>
      <c r="N20" s="17"/>
      <c r="O20" s="17"/>
      <c r="P20" s="17"/>
      <c r="Q20" s="17"/>
    </row>
    <row r="21" spans="1:17" ht="20.100000000000001" customHeight="1" x14ac:dyDescent="0.25">
      <c r="A21"/>
      <c r="O21" s="17"/>
      <c r="P21" s="17"/>
      <c r="Q21" s="17"/>
    </row>
    <row r="22" spans="1:17" ht="20.100000000000001" customHeight="1" x14ac:dyDescent="0.25">
      <c r="A22" s="21" t="s">
        <v>77</v>
      </c>
      <c r="D22" s="55" t="s">
        <v>128</v>
      </c>
    </row>
    <row r="23" spans="1:17" ht="20.100000000000001" customHeight="1" x14ac:dyDescent="0.25">
      <c r="A23" s="16" t="str">
        <f>HYPERLINK("#'15 Scope 3'!A1", "15 Scope 3")</f>
        <v>15 Scope 3</v>
      </c>
      <c r="D23" s="56" t="s">
        <v>724</v>
      </c>
    </row>
    <row r="24" spans="1:17" ht="20.100000000000001" customHeight="1" x14ac:dyDescent="0.25">
      <c r="A24" s="16" t="str">
        <f>HYPERLINK("#'10.1.1-2 Solid waste treatment'!A1", "10.1.1-2 Solid waste treatment")</f>
        <v>10.1.1-2 Solid waste treatment</v>
      </c>
      <c r="D24" s="57" t="s">
        <v>130</v>
      </c>
      <c r="E24" s="57" t="s">
        <v>131</v>
      </c>
      <c r="F24" s="57" t="s">
        <v>132</v>
      </c>
      <c r="G24" s="57" t="s">
        <v>725</v>
      </c>
      <c r="H24" s="57" t="s">
        <v>726</v>
      </c>
      <c r="I24" s="57" t="s">
        <v>727</v>
      </c>
      <c r="J24" s="57" t="s">
        <v>728</v>
      </c>
      <c r="K24" s="57" t="s">
        <v>729</v>
      </c>
      <c r="L24" s="46" t="s">
        <v>730</v>
      </c>
      <c r="M24" s="57" t="s">
        <v>713</v>
      </c>
      <c r="N24" s="57" t="s">
        <v>714</v>
      </c>
      <c r="O24" s="57" t="s">
        <v>715</v>
      </c>
      <c r="P24" s="57" t="s">
        <v>716</v>
      </c>
      <c r="Q24" s="57" t="s">
        <v>731</v>
      </c>
    </row>
    <row r="25" spans="1:17" ht="20.100000000000001" customHeight="1" x14ac:dyDescent="0.25">
      <c r="A25" s="16" t="str">
        <f>HYPERLINK("#'Calcs - Manure sent off-site'!A1", "Calcs - Manure sent off-site")</f>
        <v>Calcs - Manure sent off-site</v>
      </c>
      <c r="D25" s="7" t="str">
        <f>Table_FuelTypesPerUse[[#Headers],[Generators]]</f>
        <v>Generators</v>
      </c>
      <c r="E25" s="58" t="str">
        <f>'Constants - Fuel'!$D$58</f>
        <v>Automotive gasoline / petrol (other than for use as fuel in an aircraft)</v>
      </c>
      <c r="F25" s="58" t="str">
        <f>'Constants - Fuel'!D131</f>
        <v>Petrol</v>
      </c>
      <c r="G25" s="49">
        <f>IFERROR(_xlfn.XLOOKUP($E25, Table_Fuel_EFs_StationaryLiquid[Fuel combusted], Table_Fuel_EFs_StationaryLiquid[Energy Content Factor (GJ per unit of fuel)]),0)</f>
        <v>34.200000000000003</v>
      </c>
      <c r="H25" s="49">
        <f>IFERROR(_xlfn.XLOOKUP($E25, Table_Fuel_EFs_StationaryLiquid[Fuel combusted], Table_Fuel_EFs_StationaryLiquid[Scope 1 Emission Factor (kg CO2 - e / GJ) CO2]),0)</f>
        <v>67.400000000000006</v>
      </c>
      <c r="I25" s="49">
        <f>IFERROR(_xlfn.XLOOKUP($E25, Table_Fuel_EFs_StationaryLiquid[Fuel combusted], Table_Fuel_EFs_StationaryLiquid[Scope 1 Emission Factor (kg CO2 - e / GJ) CH4]),0)</f>
        <v>0.2</v>
      </c>
      <c r="J25" s="49">
        <f>IFERROR(_xlfn.XLOOKUP($E25, Table_Fuel_EFs_StationaryLiquid[Fuel combusted], Table_Fuel_EFs_StationaryLiquid[Scope 1 Emission Factor (kg CO2 - e / GJ) N2O]),0)</f>
        <v>0.2</v>
      </c>
      <c r="K25" s="49">
        <f>IFERROR(_xlfn.XLOOKUP($E25, Table_Fuel_EFs_StationaryLiquid[Fuel combusted], Table_Fuel_EFs_StationaryLiquid[Scope 3 Emission Factor (kg CO2 - e / GJ)]),0)</f>
        <v>17.2</v>
      </c>
      <c r="L25" s="180" cm="1">
        <f t="array" ref="L25">Fuel_InputFunctions.Fuel_TotalConsumption(Table_Input_Fuel[Amount consumed], Table_Input_Fuel[Fuel use (select)], D25, Table_Input_Fuel[Fuel type (select)],F25)</f>
        <v>0</v>
      </c>
      <c r="M25" s="180" t="str" cm="1">
        <f t="array" ref="M25">Common_InputFunctions.Utility_LookupValueInTable(F25,Table_FuelTypes_Units[Fuel type],Table_FuelTypes_Units[Unit])</f>
        <v>kL</v>
      </c>
      <c r="N25" s="199" cm="1">
        <f t="array" ref="N25">Fuel_Equations.VEERG_8_2_1_1__1_FuelCombustionStationary($L25,$G25,H25)</f>
        <v>0</v>
      </c>
      <c r="O25" s="199" cm="1">
        <f t="array" ref="O25">Fuel_Equations.VEERG_8_2_1_1__1_FuelCombustionStationary($L25,$G25,I25)</f>
        <v>0</v>
      </c>
      <c r="P25" s="199" cm="1">
        <f t="array" ref="P25">Fuel_Equations.VEERG_8_2_1_1__1_FuelCombustionStationary($L25,$G25,J25)</f>
        <v>0</v>
      </c>
      <c r="Q25" s="199" cm="1">
        <f t="array" ref="Q25">Fuel_Equations.VEERG_8_2_1_1__1_FuelCombustionStationary($L25,$G25,IF(ISNUMBER(K25), K25, 0))</f>
        <v>0</v>
      </c>
    </row>
    <row r="26" spans="1:17" ht="20.100000000000001" customHeight="1" x14ac:dyDescent="0.25">
      <c r="A26" s="16" t="str">
        <f>HYPERLINK("#'8.1.1.1-2 Transport fuel'!A1", "8.1.1.1-2 Transport fuel")</f>
        <v>8.1.1.1-2 Transport fuel</v>
      </c>
      <c r="D26" s="59" t="str">
        <f t="shared" ref="D26:D31" si="0">$D$25</f>
        <v>Generators</v>
      </c>
      <c r="E26" s="58" t="str">
        <f>'Constants - Fuel'!$D$63</f>
        <v>Diesel oil</v>
      </c>
      <c r="F26" s="58" t="str">
        <f>'Constants - Fuel'!D132</f>
        <v>Diesel</v>
      </c>
      <c r="G26" s="49">
        <f>IFERROR(_xlfn.XLOOKUP($E26, Table_Fuel_EFs_StationaryLiquid[Fuel combusted], Table_Fuel_EFs_StationaryLiquid[Energy Content Factor (GJ per unit of fuel)]),0)</f>
        <v>38.6</v>
      </c>
      <c r="H26" s="49">
        <f>IFERROR(_xlfn.XLOOKUP($E26, Table_Fuel_EFs_StationaryLiquid[Fuel combusted], Table_Fuel_EFs_StationaryLiquid[Scope 1 Emission Factor (kg CO2 - e / GJ) CO2]),0)</f>
        <v>69.900000000000006</v>
      </c>
      <c r="I26" s="49">
        <f>IFERROR(_xlfn.XLOOKUP($E26, Table_Fuel_EFs_StationaryLiquid[Fuel combusted], Table_Fuel_EFs_StationaryLiquid[Scope 1 Emission Factor (kg CO2 - e / GJ) CH4]),0)</f>
        <v>0.1</v>
      </c>
      <c r="J26" s="49">
        <f>IFERROR(_xlfn.XLOOKUP($E26, Table_Fuel_EFs_StationaryLiquid[Fuel combusted], Table_Fuel_EFs_StationaryLiquid[Scope 1 Emission Factor (kg CO2 - e / GJ) N2O]),0)</f>
        <v>0.2</v>
      </c>
      <c r="K26" s="49">
        <f>IFERROR(_xlfn.XLOOKUP($E26, Table_Fuel_EFs_StationaryLiquid[Fuel combusted], Table_Fuel_EFs_StationaryLiquid[Scope 3 Emission Factor (kg CO2 - e / GJ)]),0)</f>
        <v>17.3</v>
      </c>
      <c r="L26" s="180" cm="1">
        <f t="array" ref="L26">Fuel_InputFunctions.Fuel_TotalConsumption(Table_Input_Fuel[Amount consumed], Table_Input_Fuel[Fuel use (select)], D26, Table_Input_Fuel[Fuel type (select)],F26)</f>
        <v>0</v>
      </c>
      <c r="M26" s="180" t="str" cm="1">
        <f t="array" ref="M26">Common_InputFunctions.Utility_LookupValueInTable(F26,Table_FuelTypes_Units[Fuel type],Table_FuelTypes_Units[Unit])</f>
        <v>kL</v>
      </c>
      <c r="N26" s="199" cm="1">
        <f t="array" ref="N26">Fuel_Equations.VEERG_8_2_1_1__1_FuelCombustionStationary($L26,$G26,H26)</f>
        <v>0</v>
      </c>
      <c r="O26" s="199" cm="1">
        <f t="array" ref="O26">Fuel_Equations.VEERG_8_2_1_1__1_FuelCombustionStationary($L26,$G26,I26)</f>
        <v>0</v>
      </c>
      <c r="P26" s="199" cm="1">
        <f t="array" ref="P26">Fuel_Equations.VEERG_8_2_1_1__1_FuelCombustionStationary($L26,$G26,J26)</f>
        <v>0</v>
      </c>
      <c r="Q26" s="199" cm="1">
        <f t="array" ref="Q26">Fuel_Equations.VEERG_8_2_1_1__1_FuelCombustionStationary($L26,$G26,IF(ISNUMBER(K26), K26, 0))</f>
        <v>0</v>
      </c>
    </row>
    <row r="27" spans="1:17" ht="20.100000000000001" customHeight="1" x14ac:dyDescent="0.25">
      <c r="A27" s="179" t="str">
        <f>HYPERLINK("#'8.2.1.1-2 Stationary fuel'!A1", "8.2.1.1-2 Stationary fuel")</f>
        <v>8.2.1.1-2 Stationary fuel</v>
      </c>
      <c r="D27" s="59" t="str">
        <f t="shared" si="0"/>
        <v>Generators</v>
      </c>
      <c r="E27" s="58" t="str">
        <f>'Constants - Fuel'!$D$67</f>
        <v>Liquefied petroleum gas (LPG)</v>
      </c>
      <c r="F27" s="58" t="str">
        <f>'Constants - Fuel'!D133</f>
        <v>Liquefied petroleum gas (LPG)</v>
      </c>
      <c r="G27" s="49">
        <f>IFERROR(_xlfn.XLOOKUP($E27, Table_Fuel_EFs_StationaryLiquid[Fuel combusted], Table_Fuel_EFs_StationaryLiquid[Energy Content Factor (GJ per unit of fuel)]),0)</f>
        <v>25.7</v>
      </c>
      <c r="H27" s="49">
        <f>IFERROR(_xlfn.XLOOKUP($E27, Table_Fuel_EFs_StationaryLiquid[Fuel combusted], Table_Fuel_EFs_StationaryLiquid[Scope 1 Emission Factor (kg CO2 - e / GJ) CO2]),0)</f>
        <v>60.2</v>
      </c>
      <c r="I27" s="49">
        <f>IFERROR(_xlfn.XLOOKUP($E27, Table_Fuel_EFs_StationaryLiquid[Fuel combusted], Table_Fuel_EFs_StationaryLiquid[Scope 1 Emission Factor (kg CO2 - e / GJ) CH4]),0)</f>
        <v>0.2</v>
      </c>
      <c r="J27" s="49">
        <f>IFERROR(_xlfn.XLOOKUP($E27, Table_Fuel_EFs_StationaryLiquid[Fuel combusted], Table_Fuel_EFs_StationaryLiquid[Scope 1 Emission Factor (kg CO2 - e / GJ) N2O]),0)</f>
        <v>0.2</v>
      </c>
      <c r="K27" s="49">
        <f>IFERROR(_xlfn.XLOOKUP($E27, Table_Fuel_EFs_StationaryLiquid[Fuel combusted], Table_Fuel_EFs_StationaryLiquid[Scope 3 Emission Factor (kg CO2 - e / GJ)]),0)</f>
        <v>20.2</v>
      </c>
      <c r="L27" s="180" cm="1">
        <f t="array" ref="L27">Fuel_InputFunctions.Fuel_TotalConsumption(Table_Input_Fuel[Amount consumed], Table_Input_Fuel[Fuel use (select)], D27, Table_Input_Fuel[Fuel type (select)],F27)</f>
        <v>0</v>
      </c>
      <c r="M27" s="180" t="str" cm="1">
        <f t="array" ref="M27">Common_InputFunctions.Utility_LookupValueInTable(F27,Table_FuelTypes_Units[Fuel type],Table_FuelTypes_Units[Unit])</f>
        <v>kL</v>
      </c>
      <c r="N27" s="199" cm="1">
        <f t="array" ref="N27">Fuel_Equations.VEERG_8_2_1_1__1_FuelCombustionStationary($L27,$G27,H27)</f>
        <v>0</v>
      </c>
      <c r="O27" s="199" cm="1">
        <f t="array" ref="O27">Fuel_Equations.VEERG_8_2_1_1__1_FuelCombustionStationary($L27,$G27,I27)</f>
        <v>0</v>
      </c>
      <c r="P27" s="199" cm="1">
        <f t="array" ref="P27">Fuel_Equations.VEERG_8_2_1_1__1_FuelCombustionStationary($L27,$G27,J27)</f>
        <v>0</v>
      </c>
      <c r="Q27" s="199" cm="1">
        <f t="array" ref="Q27">Fuel_Equations.VEERG_8_2_1_1__1_FuelCombustionStationary($L27,$G27,IF(ISNUMBER(K27), K27, 0))</f>
        <v>0</v>
      </c>
    </row>
    <row r="28" spans="1:17" ht="20.100000000000001" customHeight="1" x14ac:dyDescent="0.25">
      <c r="A28"/>
      <c r="D28" s="59" t="str">
        <f t="shared" si="0"/>
        <v>Generators</v>
      </c>
      <c r="E28" s="58" t="str">
        <f>'Constants - Fuel'!$D$73</f>
        <v>Biodiesel</v>
      </c>
      <c r="F28" s="58" t="str">
        <f>'Constants - Fuel'!D134</f>
        <v>Biodiesel</v>
      </c>
      <c r="G28" s="49">
        <f>IFERROR(_xlfn.XLOOKUP($E28, Table_Fuel_EFs_StationaryLiquid[Fuel combusted], Table_Fuel_EFs_StationaryLiquid[Energy Content Factor (GJ per unit of fuel)]),0)</f>
        <v>34.6</v>
      </c>
      <c r="H28" s="49">
        <f>IFERROR(_xlfn.XLOOKUP($E28, Table_Fuel_EFs_StationaryLiquid[Fuel combusted], Table_Fuel_EFs_StationaryLiquid[Scope 1 Emission Factor (kg CO2 - e / GJ) CO2]),0)</f>
        <v>0</v>
      </c>
      <c r="I28" s="49">
        <f>IFERROR(_xlfn.XLOOKUP($E28, Table_Fuel_EFs_StationaryLiquid[Fuel combusted], Table_Fuel_EFs_StationaryLiquid[Scope 1 Emission Factor (kg CO2 - e / GJ) CH4]),0)</f>
        <v>0.08</v>
      </c>
      <c r="J28" s="49">
        <f>IFERROR(_xlfn.XLOOKUP($E28, Table_Fuel_EFs_StationaryLiquid[Fuel combusted], Table_Fuel_EFs_StationaryLiquid[Scope 1 Emission Factor (kg CO2 - e / GJ) N2O]),0)</f>
        <v>0.2</v>
      </c>
      <c r="K28" s="49" t="str">
        <f>IFERROR(_xlfn.XLOOKUP($E28, Table_Fuel_EFs_StationaryLiquid[Fuel combusted], Table_Fuel_EFs_StationaryLiquid[Scope 3 Emission Factor (kg CO2 - e / GJ)]),0)</f>
        <v>NE</v>
      </c>
      <c r="L28" s="180" cm="1">
        <f t="array" ref="L28">Fuel_InputFunctions.Fuel_TotalConsumption(Table_Input_Fuel[Amount consumed], Table_Input_Fuel[Fuel use (select)], D28, Table_Input_Fuel[Fuel type (select)],F28)</f>
        <v>0</v>
      </c>
      <c r="M28" s="180" t="str" cm="1">
        <f t="array" ref="M28">Common_InputFunctions.Utility_LookupValueInTable(F28,Table_FuelTypes_Units[Fuel type],Table_FuelTypes_Units[Unit])</f>
        <v>kL</v>
      </c>
      <c r="N28" s="199" cm="1">
        <f t="array" ref="N28">Fuel_Equations.VEERG_8_2_1_1__1_FuelCombustionStationary($L28,$G28,H28)</f>
        <v>0</v>
      </c>
      <c r="O28" s="199" cm="1">
        <f t="array" ref="O28">Fuel_Equations.VEERG_8_2_1_1__1_FuelCombustionStationary($L28,$G28,I28)</f>
        <v>0</v>
      </c>
      <c r="P28" s="199" cm="1">
        <f t="array" ref="P28">Fuel_Equations.VEERG_8_2_1_1__1_FuelCombustionStationary($L28,$G28,J28)</f>
        <v>0</v>
      </c>
      <c r="Q28" s="199" cm="1">
        <f t="array" ref="Q28">Fuel_Equations.VEERG_8_2_1_1__1_FuelCombustionStationary($L28,$G28,IF(ISNUMBER(K28), K28, 0))</f>
        <v>0</v>
      </c>
    </row>
    <row r="29" spans="1:17" ht="20.100000000000001" customHeight="1" x14ac:dyDescent="0.25">
      <c r="A29"/>
      <c r="D29" s="59" t="str">
        <f t="shared" si="0"/>
        <v>Generators</v>
      </c>
      <c r="E29" s="58" t="str">
        <f>'Constants - Fuel'!$D$74</f>
        <v>Ethanol for use as a fuel in an internal combustion engine</v>
      </c>
      <c r="F29" s="58" t="str">
        <f>'Constants - Fuel'!D135</f>
        <v>Ethanol</v>
      </c>
      <c r="G29" s="49">
        <f>IFERROR(_xlfn.XLOOKUP($E29, Table_Fuel_EFs_StationaryLiquid[Fuel combusted], Table_Fuel_EFs_StationaryLiquid[Energy Content Factor (GJ per unit of fuel)]),0)</f>
        <v>23.4</v>
      </c>
      <c r="H29" s="49">
        <f>IFERROR(_xlfn.XLOOKUP($E29, Table_Fuel_EFs_StationaryLiquid[Fuel combusted], Table_Fuel_EFs_StationaryLiquid[Scope 1 Emission Factor (kg CO2 - e / GJ) CO2]),0)</f>
        <v>0</v>
      </c>
      <c r="I29" s="49">
        <f>IFERROR(_xlfn.XLOOKUP($E29, Table_Fuel_EFs_StationaryLiquid[Fuel combusted], Table_Fuel_EFs_StationaryLiquid[Scope 1 Emission Factor (kg CO2 - e / GJ) CH4]),0)</f>
        <v>0.08</v>
      </c>
      <c r="J29" s="49">
        <f>IFERROR(_xlfn.XLOOKUP($E29, Table_Fuel_EFs_StationaryLiquid[Fuel combusted], Table_Fuel_EFs_StationaryLiquid[Scope 1 Emission Factor (kg CO2 - e / GJ) N2O]),0)</f>
        <v>0.2</v>
      </c>
      <c r="K29" s="49" t="str">
        <f>IFERROR(_xlfn.XLOOKUP($E29, Table_Fuel_EFs_StationaryLiquid[Fuel combusted], Table_Fuel_EFs_StationaryLiquid[Scope 3 Emission Factor (kg CO2 - e / GJ)]),0)</f>
        <v>NE</v>
      </c>
      <c r="L29" s="180" cm="1">
        <f t="array" ref="L29">Fuel_InputFunctions.Fuel_TotalConsumption(Table_Input_Fuel[Amount consumed], Table_Input_Fuel[Fuel use (select)], D29, Table_Input_Fuel[Fuel type (select)],F29)</f>
        <v>0</v>
      </c>
      <c r="M29" s="180" t="str" cm="1">
        <f t="array" ref="M29">Common_InputFunctions.Utility_LookupValueInTable(F29,Table_FuelTypes_Units[Fuel type],Table_FuelTypes_Units[Unit])</f>
        <v>kL</v>
      </c>
      <c r="N29" s="199" cm="1">
        <f t="array" ref="N29">Fuel_Equations.VEERG_8_2_1_1__1_FuelCombustionStationary($L29,$G29,H29)</f>
        <v>0</v>
      </c>
      <c r="O29" s="199" cm="1">
        <f t="array" ref="O29">Fuel_Equations.VEERG_8_2_1_1__1_FuelCombustionStationary($L29,$G29,I29)</f>
        <v>0</v>
      </c>
      <c r="P29" s="199" cm="1">
        <f t="array" ref="P29">Fuel_Equations.VEERG_8_2_1_1__1_FuelCombustionStationary($L29,$G29,J29)</f>
        <v>0</v>
      </c>
      <c r="Q29" s="199" cm="1">
        <f t="array" ref="Q29">Fuel_Equations.VEERG_8_2_1_1__1_FuelCombustionStationary($L29,$G29,IF(ISNUMBER(K29), K29, 0))</f>
        <v>0</v>
      </c>
    </row>
    <row r="30" spans="1:17" ht="20.100000000000001" customHeight="1" x14ac:dyDescent="0.25">
      <c r="A30" s="221" t="s">
        <v>78</v>
      </c>
      <c r="D30" s="59" t="str">
        <f t="shared" si="0"/>
        <v>Generators</v>
      </c>
      <c r="E30" s="58" t="str">
        <f>'Constants - Fuel'!$D$75</f>
        <v>Biofuels other than those mentioned in the items above and below</v>
      </c>
      <c r="F30" s="58" t="str">
        <f>'Constants - Fuel'!D136</f>
        <v>Other biofuels</v>
      </c>
      <c r="G30" s="49">
        <f>IFERROR(_xlfn.XLOOKUP($E30, Table_Fuel_EFs_StationaryLiquid[Fuel combusted], Table_Fuel_EFs_StationaryLiquid[Energy Content Factor (GJ per unit of fuel)]),0)</f>
        <v>23.4</v>
      </c>
      <c r="H30" s="49">
        <f>IFERROR(_xlfn.XLOOKUP($E30, Table_Fuel_EFs_StationaryLiquid[Fuel combusted], Table_Fuel_EFs_StationaryLiquid[Scope 1 Emission Factor (kg CO2 - e / GJ) CO2]),0)</f>
        <v>0</v>
      </c>
      <c r="I30" s="49">
        <f>IFERROR(_xlfn.XLOOKUP($E30, Table_Fuel_EFs_StationaryLiquid[Fuel combusted], Table_Fuel_EFs_StationaryLiquid[Scope 1 Emission Factor (kg CO2 - e / GJ) CH4]),0)</f>
        <v>0.08</v>
      </c>
      <c r="J30" s="49">
        <f>IFERROR(_xlfn.XLOOKUP($E30, Table_Fuel_EFs_StationaryLiquid[Fuel combusted], Table_Fuel_EFs_StationaryLiquid[Scope 1 Emission Factor (kg CO2 - e / GJ) N2O]),0)</f>
        <v>0.2</v>
      </c>
      <c r="K30" s="49" t="str">
        <f>IFERROR(_xlfn.XLOOKUP($E30, Table_Fuel_EFs_StationaryLiquid[Fuel combusted], Table_Fuel_EFs_StationaryLiquid[Scope 3 Emission Factor (kg CO2 - e / GJ)]),0)</f>
        <v>NE</v>
      </c>
      <c r="L30" s="180" cm="1">
        <f t="array" ref="L30">Fuel_InputFunctions.Fuel_TotalConsumption(Table_Input_Fuel[Amount consumed], Table_Input_Fuel[Fuel use (select)], D30, Table_Input_Fuel[Fuel type (select)],F30)</f>
        <v>0</v>
      </c>
      <c r="M30" s="180" t="str" cm="1">
        <f t="array" ref="M30">Common_InputFunctions.Utility_LookupValueInTable(F30,Table_FuelTypes_Units[Fuel type],Table_FuelTypes_Units[Unit])</f>
        <v>kL</v>
      </c>
      <c r="N30" s="199" cm="1">
        <f t="array" ref="N30">Fuel_Equations.VEERG_8_2_1_1__1_FuelCombustionStationary($L30,$G30,H30)</f>
        <v>0</v>
      </c>
      <c r="O30" s="199" cm="1">
        <f t="array" ref="O30">Fuel_Equations.VEERG_8_2_1_1__1_FuelCombustionStationary($L30,$G30,I30)</f>
        <v>0</v>
      </c>
      <c r="P30" s="199" cm="1">
        <f t="array" ref="P30">Fuel_Equations.VEERG_8_2_1_1__1_FuelCombustionStationary($L30,$G30,J30)</f>
        <v>0</v>
      </c>
      <c r="Q30" s="199" cm="1">
        <f t="array" ref="Q30">Fuel_Equations.VEERG_8_2_1_1__1_FuelCombustionStationary($L30,$G30,IF(ISNUMBER(K30), K30, 0))</f>
        <v>0</v>
      </c>
    </row>
    <row r="31" spans="1:17" ht="20.100000000000001" customHeight="1" x14ac:dyDescent="0.25">
      <c r="A31" s="16" t="str">
        <f>HYPERLINK("#'Constants - Scope 3'!A1", "Constants - Scope 3")</f>
        <v>Constants - Scope 3</v>
      </c>
      <c r="D31" s="59" t="str">
        <f t="shared" si="0"/>
        <v>Generators</v>
      </c>
      <c r="E31" s="58" t="str">
        <f>'Constants - Fuel'!$D$77</f>
        <v>Renewable diesel</v>
      </c>
      <c r="F31" s="58" t="str">
        <f>'Constants - Fuel'!D137</f>
        <v>Renewable diesel</v>
      </c>
      <c r="G31" s="160">
        <f>IFERROR(_xlfn.XLOOKUP($E31, Table_Fuel_EFs_StationaryLiquid[Fuel combusted], Table_Fuel_EFs_StationaryLiquid[Energy Content Factor (GJ per unit of fuel)]),0)</f>
        <v>38.6</v>
      </c>
      <c r="H31" s="160">
        <f>IFERROR(_xlfn.XLOOKUP($E31, Table_Fuel_EFs_StationaryLiquid[Fuel combusted], Table_Fuel_EFs_StationaryLiquid[Scope 1 Emission Factor (kg CO2 - e / GJ) CO2]),0)</f>
        <v>0</v>
      </c>
      <c r="I31" s="160">
        <f>IFERROR(_xlfn.XLOOKUP($E31, Table_Fuel_EFs_StationaryLiquid[Fuel combusted], Table_Fuel_EFs_StationaryLiquid[Scope 1 Emission Factor (kg CO2 - e / GJ) CH4]),0)</f>
        <v>0.1</v>
      </c>
      <c r="J31" s="160">
        <f>IFERROR(_xlfn.XLOOKUP($E31, Table_Fuel_EFs_StationaryLiquid[Fuel combusted], Table_Fuel_EFs_StationaryLiquid[Scope 1 Emission Factor (kg CO2 - e / GJ) N2O]),0)</f>
        <v>0.2</v>
      </c>
      <c r="K31" s="160" t="str">
        <f>IFERROR(_xlfn.XLOOKUP($E31, Table_Fuel_EFs_StationaryLiquid[Fuel combusted], Table_Fuel_EFs_StationaryLiquid[Scope 3 Emission Factor (kg CO2 - e / GJ)]),0)</f>
        <v>NE</v>
      </c>
      <c r="L31" s="182" cm="1">
        <f t="array" ref="L31">Fuel_InputFunctions.Fuel_TotalConsumption(Table_Input_Fuel[Amount consumed], Table_Input_Fuel[Fuel use (select)], D31, Table_Input_Fuel[Fuel type (select)],F31)</f>
        <v>0</v>
      </c>
      <c r="M31" s="182" t="str" cm="1">
        <f t="array" ref="M31">Common_InputFunctions.Utility_LookupValueInTable(F31,Table_FuelTypes_Units[Fuel type],Table_FuelTypes_Units[Unit])</f>
        <v>kL</v>
      </c>
      <c r="N31" s="200" cm="1">
        <f t="array" ref="N31">Fuel_Equations.VEERG_8_2_1_1__1_FuelCombustionStationary($L31,$G31,H31)</f>
        <v>0</v>
      </c>
      <c r="O31" s="200" cm="1">
        <f t="array" ref="O31">Fuel_Equations.VEERG_8_2_1_1__1_FuelCombustionStationary($L31,$G31,I31)</f>
        <v>0</v>
      </c>
      <c r="P31" s="200" cm="1">
        <f t="array" ref="P31">Fuel_Equations.VEERG_8_2_1_1__1_FuelCombustionStationary($L31,$G31,J31)</f>
        <v>0</v>
      </c>
      <c r="Q31" s="200" cm="1">
        <f t="array" ref="Q31">Fuel_Equations.VEERG_8_2_1_1__1_FuelCombustionStationary($L31,$G31,IF(ISNUMBER(K31), K31, 0))</f>
        <v>0</v>
      </c>
    </row>
    <row r="32" spans="1:17" ht="20.100000000000001" customHeight="1" x14ac:dyDescent="0.25">
      <c r="A32" s="16" t="str">
        <f>HYPERLINK("#'Constants - Solid Waste'!A1", "Constants - Solid Waste")</f>
        <v>Constants - Solid Waste</v>
      </c>
      <c r="D32" s="60" t="str">
        <f>Table_FuelTypesPerUse[[#Headers],[Power standalone machinery or heating]]</f>
        <v>Power standalone machinery or heating</v>
      </c>
      <c r="E32" s="61" t="str">
        <f>'Constants - Fuel'!$D$58</f>
        <v>Automotive gasoline / petrol (other than for use as fuel in an aircraft)</v>
      </c>
      <c r="F32" s="61" t="str">
        <f>'Constants - Fuel'!E131</f>
        <v>Petrol</v>
      </c>
      <c r="G32" s="190">
        <f>IFERROR(_xlfn.XLOOKUP($E32, Table_Fuel_EFs_StationaryLiquid[Fuel combusted], Table_Fuel_EFs_StationaryLiquid[Energy Content Factor (GJ per unit of fuel)]),0)</f>
        <v>34.200000000000003</v>
      </c>
      <c r="H32" s="190">
        <f>IFERROR(_xlfn.XLOOKUP($E32, Table_Fuel_EFs_StationaryLiquid[Fuel combusted], Table_Fuel_EFs_StationaryLiquid[Scope 1 Emission Factor (kg CO2 - e / GJ) CO2]),0)</f>
        <v>67.400000000000006</v>
      </c>
      <c r="I32" s="190">
        <f>IFERROR(_xlfn.XLOOKUP($E32, Table_Fuel_EFs_StationaryLiquid[Fuel combusted], Table_Fuel_EFs_StationaryLiquid[Scope 1 Emission Factor (kg CO2 - e / GJ) CH4]),0)</f>
        <v>0.2</v>
      </c>
      <c r="J32" s="190">
        <f>IFERROR(_xlfn.XLOOKUP($E32, Table_Fuel_EFs_StationaryLiquid[Fuel combusted], Table_Fuel_EFs_StationaryLiquid[Scope 1 Emission Factor (kg CO2 - e / GJ) N2O]),0)</f>
        <v>0.2</v>
      </c>
      <c r="K32" s="190">
        <f>IFERROR(_xlfn.XLOOKUP($E32, Table_Fuel_EFs_StationaryLiquid[Fuel combusted], Table_Fuel_EFs_StationaryLiquid[Scope 3 Emission Factor (kg CO2 - e / GJ)]),0)</f>
        <v>17.2</v>
      </c>
      <c r="L32" s="186" cm="1">
        <f t="array" ref="L32">Fuel_InputFunctions.Fuel_TotalConsumption(Table_Input_Fuel[Amount consumed], Table_Input_Fuel[Fuel use (select)], D32, Table_Input_Fuel[Fuel type (select)],F32)</f>
        <v>10</v>
      </c>
      <c r="M32" s="187" t="str" cm="1">
        <f t="array" ref="M32">Common_InputFunctions.Utility_LookupValueInTable(F32,Table_FuelTypes_Units[Fuel type],Table_FuelTypes_Units[Unit])</f>
        <v>kL</v>
      </c>
      <c r="N32" s="201" cm="1">
        <f t="array" ref="N32">Fuel_Equations.VEERG_8_2_1_1__1_FuelCombustionStationary($L32,$G32,H32)</f>
        <v>23.050800000000002</v>
      </c>
      <c r="O32" s="201" cm="1">
        <f t="array" ref="O32">Fuel_Equations.VEERG_8_2_1_1__1_FuelCombustionStationary($L32,$G32,I32)</f>
        <v>6.8400000000000002E-2</v>
      </c>
      <c r="P32" s="201" cm="1">
        <f t="array" ref="P32">Fuel_Equations.VEERG_8_2_1_1__1_FuelCombustionStationary($L32,$G32,J32)</f>
        <v>6.8400000000000002E-2</v>
      </c>
      <c r="Q32" s="201" cm="1">
        <f t="array" ref="Q32">Fuel_Equations.VEERG_8_2_1_1__1_FuelCombustionStationary($L32,$G32,IF(ISNUMBER(K32), K32, 0))</f>
        <v>5.8823999999999996</v>
      </c>
    </row>
    <row r="33" spans="1:17" ht="20.100000000000001" customHeight="1" x14ac:dyDescent="0.25">
      <c r="A33" s="16" t="str">
        <f>HYPERLINK("#'Constants - Fuel'!A1", "Constants - Fuel")</f>
        <v>Constants - Fuel</v>
      </c>
      <c r="D33" s="59" t="str">
        <f t="shared" ref="D33:D40" si="1">$D$32</f>
        <v>Power standalone machinery or heating</v>
      </c>
      <c r="E33" s="58" t="str">
        <f>'Constants - Fuel'!$D$63</f>
        <v>Diesel oil</v>
      </c>
      <c r="F33" s="58" t="str">
        <f>'Constants - Fuel'!E132</f>
        <v>Diesel</v>
      </c>
      <c r="G33" s="49">
        <f>IFERROR(_xlfn.XLOOKUP($E33, Table_Fuel_EFs_StationaryLiquid[Fuel combusted], Table_Fuel_EFs_StationaryLiquid[Energy Content Factor (GJ per unit of fuel)]),0)</f>
        <v>38.6</v>
      </c>
      <c r="H33" s="49">
        <f>IFERROR(_xlfn.XLOOKUP($E33, Table_Fuel_EFs_StationaryLiquid[Fuel combusted], Table_Fuel_EFs_StationaryLiquid[Scope 1 Emission Factor (kg CO2 - e / GJ) CO2]),0)</f>
        <v>69.900000000000006</v>
      </c>
      <c r="I33" s="49">
        <f>IFERROR(_xlfn.XLOOKUP($E33, Table_Fuel_EFs_StationaryLiquid[Fuel combusted], Table_Fuel_EFs_StationaryLiquid[Scope 1 Emission Factor (kg CO2 - e / GJ) CH4]),0)</f>
        <v>0.1</v>
      </c>
      <c r="J33" s="49">
        <f>IFERROR(_xlfn.XLOOKUP($E33, Table_Fuel_EFs_StationaryLiquid[Fuel combusted], Table_Fuel_EFs_StationaryLiquid[Scope 1 Emission Factor (kg CO2 - e / GJ) N2O]),0)</f>
        <v>0.2</v>
      </c>
      <c r="K33" s="49">
        <f>IFERROR(_xlfn.XLOOKUP($E33, Table_Fuel_EFs_StationaryLiquid[Fuel combusted], Table_Fuel_EFs_StationaryLiquid[Scope 3 Emission Factor (kg CO2 - e / GJ)]),0)</f>
        <v>17.3</v>
      </c>
      <c r="L33" s="49" cm="1">
        <f t="array" ref="L33">Fuel_InputFunctions.Fuel_TotalConsumption(Table_Input_Fuel[Amount consumed], Table_Input_Fuel[Fuel use (select)], D33, Table_Input_Fuel[Fuel type (select)],F33)</f>
        <v>0</v>
      </c>
      <c r="M33" s="49" t="str" cm="1">
        <f t="array" ref="M33">Common_InputFunctions.Utility_LookupValueInTable(F33,Table_FuelTypes_Units[Fuel type],Table_FuelTypes_Units[Unit])</f>
        <v>kL</v>
      </c>
      <c r="N33" s="199" cm="1">
        <f t="array" ref="N33">Fuel_Equations.VEERG_8_2_1_1__1_FuelCombustionStationary($L33,$G33,H33)</f>
        <v>0</v>
      </c>
      <c r="O33" s="199" cm="1">
        <f t="array" ref="O33">Fuel_Equations.VEERG_8_2_1_1__1_FuelCombustionStationary($L33,$G33,I33)</f>
        <v>0</v>
      </c>
      <c r="P33" s="199" cm="1">
        <f t="array" ref="P33">Fuel_Equations.VEERG_8_2_1_1__1_FuelCombustionStationary($L33,$G33,J33)</f>
        <v>0</v>
      </c>
      <c r="Q33" s="199" cm="1">
        <f t="array" ref="Q33">Fuel_Equations.VEERG_8_2_1_1__1_FuelCombustionStationary($L33,$G33,IF(ISNUMBER(K33), K33, 0))</f>
        <v>0</v>
      </c>
    </row>
    <row r="34" spans="1:17" ht="20.100000000000001" customHeight="1" x14ac:dyDescent="0.25">
      <c r="A34" s="16" t="str">
        <f>HYPERLINK("#'Constants - Poultry'!A1", "Constants - Poultry")</f>
        <v>Constants - Poultry</v>
      </c>
      <c r="D34" s="59" t="str">
        <f t="shared" si="1"/>
        <v>Power standalone machinery or heating</v>
      </c>
      <c r="E34" s="58" t="str">
        <f>'Constants - Fuel'!$D$67</f>
        <v>Liquefied petroleum gas (LPG)</v>
      </c>
      <c r="F34" s="58" t="str">
        <f>'Constants - Fuel'!E133</f>
        <v>Liquefied petroleum gas (LPG)</v>
      </c>
      <c r="G34" s="49">
        <f>IFERROR(_xlfn.XLOOKUP($E34, Table_Fuel_EFs_StationaryLiquid[Fuel combusted], Table_Fuel_EFs_StationaryLiquid[Energy Content Factor (GJ per unit of fuel)]),0)</f>
        <v>25.7</v>
      </c>
      <c r="H34" s="49">
        <f>IFERROR(_xlfn.XLOOKUP($E34, Table_Fuel_EFs_StationaryLiquid[Fuel combusted], Table_Fuel_EFs_StationaryLiquid[Scope 1 Emission Factor (kg CO2 - e / GJ) CO2]),0)</f>
        <v>60.2</v>
      </c>
      <c r="I34" s="49">
        <f>IFERROR(_xlfn.XLOOKUP($E34, Table_Fuel_EFs_StationaryLiquid[Fuel combusted], Table_Fuel_EFs_StationaryLiquid[Scope 1 Emission Factor (kg CO2 - e / GJ) CH4]),0)</f>
        <v>0.2</v>
      </c>
      <c r="J34" s="49">
        <f>IFERROR(_xlfn.XLOOKUP($E34, Table_Fuel_EFs_StationaryLiquid[Fuel combusted], Table_Fuel_EFs_StationaryLiquid[Scope 1 Emission Factor (kg CO2 - e / GJ) N2O]),0)</f>
        <v>0.2</v>
      </c>
      <c r="K34" s="49">
        <f>IFERROR(_xlfn.XLOOKUP($E34, Table_Fuel_EFs_StationaryLiquid[Fuel combusted], Table_Fuel_EFs_StationaryLiquid[Scope 3 Emission Factor (kg CO2 - e / GJ)]),0)</f>
        <v>20.2</v>
      </c>
      <c r="L34" s="49" cm="1">
        <f t="array" ref="L34">Fuel_InputFunctions.Fuel_TotalConsumption(Table_Input_Fuel[Amount consumed], Table_Input_Fuel[Fuel use (select)], D34, Table_Input_Fuel[Fuel type (select)],F34)</f>
        <v>0</v>
      </c>
      <c r="M34" s="49" t="str" cm="1">
        <f t="array" ref="M34">Common_InputFunctions.Utility_LookupValueInTable(F34,Table_FuelTypes_Units[Fuel type],Table_FuelTypes_Units[Unit])</f>
        <v>kL</v>
      </c>
      <c r="N34" s="199" cm="1">
        <f t="array" ref="N34">Fuel_Equations.VEERG_8_2_1_1__1_FuelCombustionStationary($L34,$G34,H34)</f>
        <v>0</v>
      </c>
      <c r="O34" s="199" cm="1">
        <f t="array" ref="O34">Fuel_Equations.VEERG_8_2_1_1__1_FuelCombustionStationary($L34,$G34,I34)</f>
        <v>0</v>
      </c>
      <c r="P34" s="199" cm="1">
        <f t="array" ref="P34">Fuel_Equations.VEERG_8_2_1_1__1_FuelCombustionStationary($L34,$G34,J34)</f>
        <v>0</v>
      </c>
      <c r="Q34" s="199" cm="1">
        <f t="array" ref="Q34">Fuel_Equations.VEERG_8_2_1_1__1_FuelCombustionStationary($L34,$G34,IF(ISNUMBER(K34), K34, 0))</f>
        <v>0</v>
      </c>
    </row>
    <row r="35" spans="1:17" ht="20.100000000000001" customHeight="1" x14ac:dyDescent="0.25">
      <c r="A35" s="16" t="str">
        <f>HYPERLINK("#'Constants - Swine'!A1", "Constants - Swine")</f>
        <v>Constants - Swine</v>
      </c>
      <c r="D35" s="59" t="str">
        <f t="shared" si="1"/>
        <v>Power standalone machinery or heating</v>
      </c>
      <c r="E35" s="58" t="str">
        <f>'Constants - Fuel'!$D$73</f>
        <v>Biodiesel</v>
      </c>
      <c r="F35" s="58" t="str">
        <f>'Constants - Fuel'!E134</f>
        <v>Biodiesel</v>
      </c>
      <c r="G35" s="49">
        <f>IFERROR(_xlfn.XLOOKUP($E35, Table_Fuel_EFs_StationaryLiquid[Fuel combusted], Table_Fuel_EFs_StationaryLiquid[Energy Content Factor (GJ per unit of fuel)]),0)</f>
        <v>34.6</v>
      </c>
      <c r="H35" s="49">
        <f>IFERROR(_xlfn.XLOOKUP($E35, Table_Fuel_EFs_StationaryLiquid[Fuel combusted], Table_Fuel_EFs_StationaryLiquid[Scope 1 Emission Factor (kg CO2 - e / GJ) CO2]),0)</f>
        <v>0</v>
      </c>
      <c r="I35" s="49">
        <f>IFERROR(_xlfn.XLOOKUP($E35, Table_Fuel_EFs_StationaryLiquid[Fuel combusted], Table_Fuel_EFs_StationaryLiquid[Scope 1 Emission Factor (kg CO2 - e / GJ) CH4]),0)</f>
        <v>0.08</v>
      </c>
      <c r="J35" s="49">
        <f>IFERROR(_xlfn.XLOOKUP($E35, Table_Fuel_EFs_StationaryLiquid[Fuel combusted], Table_Fuel_EFs_StationaryLiquid[Scope 1 Emission Factor (kg CO2 - e / GJ) N2O]),0)</f>
        <v>0.2</v>
      </c>
      <c r="K35" s="49" t="str">
        <f>IFERROR(_xlfn.XLOOKUP($E35, Table_Fuel_EFs_StationaryLiquid[Fuel combusted], Table_Fuel_EFs_StationaryLiquid[Scope 3 Emission Factor (kg CO2 - e / GJ)]),0)</f>
        <v>NE</v>
      </c>
      <c r="L35" s="49" cm="1">
        <f t="array" ref="L35">Fuel_InputFunctions.Fuel_TotalConsumption(Table_Input_Fuel[Amount consumed], Table_Input_Fuel[Fuel use (select)], D35, Table_Input_Fuel[Fuel type (select)],F35)</f>
        <v>0</v>
      </c>
      <c r="M35" s="49" t="str" cm="1">
        <f t="array" ref="M35">Common_InputFunctions.Utility_LookupValueInTable(F35,Table_FuelTypes_Units[Fuel type],Table_FuelTypes_Units[Unit])</f>
        <v>kL</v>
      </c>
      <c r="N35" s="199" cm="1">
        <f t="array" ref="N35">Fuel_Equations.VEERG_8_2_1_1__1_FuelCombustionStationary($L35,$G35,H35)</f>
        <v>0</v>
      </c>
      <c r="O35" s="199" cm="1">
        <f t="array" ref="O35">Fuel_Equations.VEERG_8_2_1_1__1_FuelCombustionStationary($L35,$G35,I35)</f>
        <v>0</v>
      </c>
      <c r="P35" s="199" cm="1">
        <f t="array" ref="P35">Fuel_Equations.VEERG_8_2_1_1__1_FuelCombustionStationary($L35,$G35,J35)</f>
        <v>0</v>
      </c>
      <c r="Q35" s="199" cm="1">
        <f t="array" ref="Q35">Fuel_Equations.VEERG_8_2_1_1__1_FuelCombustionStationary($L35,$G35,IF(ISNUMBER(K35), K35, 0))</f>
        <v>0</v>
      </c>
    </row>
    <row r="36" spans="1:17" ht="20.100000000000001" customHeight="1" x14ac:dyDescent="0.25">
      <c r="A36" s="16" t="str">
        <f>HYPERLINK("#'Constants - Dairy'!A1", "Constants - Dairy")</f>
        <v>Constants - Dairy</v>
      </c>
      <c r="D36" s="59" t="str">
        <f t="shared" si="1"/>
        <v>Power standalone machinery or heating</v>
      </c>
      <c r="E36" s="58" t="str">
        <f>'Constants - Fuel'!$D$74</f>
        <v>Ethanol for use as a fuel in an internal combustion engine</v>
      </c>
      <c r="F36" s="58" t="str">
        <f>'Constants - Fuel'!E135</f>
        <v>Ethanol</v>
      </c>
      <c r="G36" s="49">
        <f>IFERROR(_xlfn.XLOOKUP($E36, Table_Fuel_EFs_StationaryLiquid[Fuel combusted], Table_Fuel_EFs_StationaryLiquid[Energy Content Factor (GJ per unit of fuel)]),0)</f>
        <v>23.4</v>
      </c>
      <c r="H36" s="49">
        <f>IFERROR(_xlfn.XLOOKUP($E36, Table_Fuel_EFs_StationaryLiquid[Fuel combusted], Table_Fuel_EFs_StationaryLiquid[Scope 1 Emission Factor (kg CO2 - e / GJ) CO2]),0)</f>
        <v>0</v>
      </c>
      <c r="I36" s="49">
        <f>IFERROR(_xlfn.XLOOKUP($E36, Table_Fuel_EFs_StationaryLiquid[Fuel combusted], Table_Fuel_EFs_StationaryLiquid[Scope 1 Emission Factor (kg CO2 - e / GJ) CH4]),0)</f>
        <v>0.08</v>
      </c>
      <c r="J36" s="49">
        <f>IFERROR(_xlfn.XLOOKUP($E36, Table_Fuel_EFs_StationaryLiquid[Fuel combusted], Table_Fuel_EFs_StationaryLiquid[Scope 1 Emission Factor (kg CO2 - e / GJ) N2O]),0)</f>
        <v>0.2</v>
      </c>
      <c r="K36" s="49" t="str">
        <f>IFERROR(_xlfn.XLOOKUP($E36, Table_Fuel_EFs_StationaryLiquid[Fuel combusted], Table_Fuel_EFs_StationaryLiquid[Scope 3 Emission Factor (kg CO2 - e / GJ)]),0)</f>
        <v>NE</v>
      </c>
      <c r="L36" s="49" cm="1">
        <f t="array" ref="L36">Fuel_InputFunctions.Fuel_TotalConsumption(Table_Input_Fuel[Amount consumed], Table_Input_Fuel[Fuel use (select)], D36, Table_Input_Fuel[Fuel type (select)],F36)</f>
        <v>0</v>
      </c>
      <c r="M36" s="49" t="str" cm="1">
        <f t="array" ref="M36">Common_InputFunctions.Utility_LookupValueInTable(F36,Table_FuelTypes_Units[Fuel type],Table_FuelTypes_Units[Unit])</f>
        <v>kL</v>
      </c>
      <c r="N36" s="199" cm="1">
        <f t="array" ref="N36">Fuel_Equations.VEERG_8_2_1_1__1_FuelCombustionStationary($L36,$G36,H36)</f>
        <v>0</v>
      </c>
      <c r="O36" s="199" cm="1">
        <f t="array" ref="O36">Fuel_Equations.VEERG_8_2_1_1__1_FuelCombustionStationary($L36,$G36,I36)</f>
        <v>0</v>
      </c>
      <c r="P36" s="199" cm="1">
        <f t="array" ref="P36">Fuel_Equations.VEERG_8_2_1_1__1_FuelCombustionStationary($L36,$G36,J36)</f>
        <v>0</v>
      </c>
      <c r="Q36" s="199" cm="1">
        <f t="array" ref="Q36">Fuel_Equations.VEERG_8_2_1_1__1_FuelCombustionStationary($L36,$G36,IF(ISNUMBER(K36), K36, 0))</f>
        <v>0</v>
      </c>
    </row>
    <row r="37" spans="1:17" ht="20.100000000000001" customHeight="1" x14ac:dyDescent="0.25">
      <c r="A37" s="16" t="str">
        <f>HYPERLINK("#'Constants - Pasture Beef'!A1", "Constants - Pasture Beef")</f>
        <v>Constants - Pasture Beef</v>
      </c>
      <c r="D37" s="59" t="str">
        <f t="shared" si="1"/>
        <v>Power standalone machinery or heating</v>
      </c>
      <c r="E37" s="58" t="str">
        <f>'Constants - Fuel'!$D$75</f>
        <v>Biofuels other than those mentioned in the items above and below</v>
      </c>
      <c r="F37" s="58" t="str">
        <f>'Constants - Fuel'!E136</f>
        <v>Other biofuels</v>
      </c>
      <c r="G37" s="49">
        <f>IFERROR(_xlfn.XLOOKUP($E37, Table_Fuel_EFs_StationaryLiquid[Fuel combusted], Table_Fuel_EFs_StationaryLiquid[Energy Content Factor (GJ per unit of fuel)]),0)</f>
        <v>23.4</v>
      </c>
      <c r="H37" s="49">
        <f>IFERROR(_xlfn.XLOOKUP($E37, Table_Fuel_EFs_StationaryLiquid[Fuel combusted], Table_Fuel_EFs_StationaryLiquid[Scope 1 Emission Factor (kg CO2 - e / GJ) CO2]),0)</f>
        <v>0</v>
      </c>
      <c r="I37" s="49">
        <f>IFERROR(_xlfn.XLOOKUP($E37, Table_Fuel_EFs_StationaryLiquid[Fuel combusted], Table_Fuel_EFs_StationaryLiquid[Scope 1 Emission Factor (kg CO2 - e / GJ) CH4]),0)</f>
        <v>0.08</v>
      </c>
      <c r="J37" s="49">
        <f>IFERROR(_xlfn.XLOOKUP($E37, Table_Fuel_EFs_StationaryLiquid[Fuel combusted], Table_Fuel_EFs_StationaryLiquid[Scope 1 Emission Factor (kg CO2 - e / GJ) N2O]),0)</f>
        <v>0.2</v>
      </c>
      <c r="K37" s="49" t="str">
        <f>IFERROR(_xlfn.XLOOKUP($E37, Table_Fuel_EFs_StationaryLiquid[Fuel combusted], Table_Fuel_EFs_StationaryLiquid[Scope 3 Emission Factor (kg CO2 - e / GJ)]),0)</f>
        <v>NE</v>
      </c>
      <c r="L37" s="49" cm="1">
        <f t="array" ref="L37">Fuel_InputFunctions.Fuel_TotalConsumption(Table_Input_Fuel[Amount consumed], Table_Input_Fuel[Fuel use (select)], D37, Table_Input_Fuel[Fuel type (select)],F37)</f>
        <v>0</v>
      </c>
      <c r="M37" s="49" t="str" cm="1">
        <f t="array" ref="M37">Common_InputFunctions.Utility_LookupValueInTable(F37,Table_FuelTypes_Units[Fuel type],Table_FuelTypes_Units[Unit])</f>
        <v>kL</v>
      </c>
      <c r="N37" s="199" cm="1">
        <f t="array" ref="N37">Fuel_Equations.VEERG_8_2_1_1__1_FuelCombustionStationary($L37,$G37,H37)</f>
        <v>0</v>
      </c>
      <c r="O37" s="199" cm="1">
        <f t="array" ref="O37">Fuel_Equations.VEERG_8_2_1_1__1_FuelCombustionStationary($L37,$G37,I37)</f>
        <v>0</v>
      </c>
      <c r="P37" s="199" cm="1">
        <f t="array" ref="P37">Fuel_Equations.VEERG_8_2_1_1__1_FuelCombustionStationary($L37,$G37,J37)</f>
        <v>0</v>
      </c>
      <c r="Q37" s="199" cm="1">
        <f t="array" ref="Q37">Fuel_Equations.VEERG_8_2_1_1__1_FuelCombustionStationary($L37,$G37,IF(ISNUMBER(K37), K37, 0))</f>
        <v>0</v>
      </c>
    </row>
    <row r="38" spans="1:17" ht="20.100000000000001" customHeight="1" x14ac:dyDescent="0.25">
      <c r="A38" s="16" t="str">
        <f>HYPERLINK("#'Constants - Common Livestock'!A1", "Constants - Common Livestock")</f>
        <v>Constants - Common Livestock</v>
      </c>
      <c r="D38" s="59" t="str">
        <f t="shared" si="1"/>
        <v>Power standalone machinery or heating</v>
      </c>
      <c r="E38" s="58" t="str">
        <f>'Constants - Fuel'!$D$77</f>
        <v>Renewable diesel</v>
      </c>
      <c r="F38" s="58" t="str">
        <f>'Constants - Fuel'!E137</f>
        <v>Renewable diesel</v>
      </c>
      <c r="G38" s="49">
        <f>IFERROR(_xlfn.XLOOKUP($E38, Table_Fuel_EFs_StationaryLiquid[Fuel combusted], Table_Fuel_EFs_StationaryLiquid[Energy Content Factor (GJ per unit of fuel)]),0)</f>
        <v>38.6</v>
      </c>
      <c r="H38" s="49">
        <f>IFERROR(_xlfn.XLOOKUP($E38, Table_Fuel_EFs_StationaryLiquid[Fuel combusted], Table_Fuel_EFs_StationaryLiquid[Scope 1 Emission Factor (kg CO2 - e / GJ) CO2]),0)</f>
        <v>0</v>
      </c>
      <c r="I38" s="49">
        <f>IFERROR(_xlfn.XLOOKUP($E38, Table_Fuel_EFs_StationaryLiquid[Fuel combusted], Table_Fuel_EFs_StationaryLiquid[Scope 1 Emission Factor (kg CO2 - e / GJ) CH4]),0)</f>
        <v>0.1</v>
      </c>
      <c r="J38" s="49">
        <f>IFERROR(_xlfn.XLOOKUP($E38, Table_Fuel_EFs_StationaryLiquid[Fuel combusted], Table_Fuel_EFs_StationaryLiquid[Scope 1 Emission Factor (kg CO2 - e / GJ) N2O]),0)</f>
        <v>0.2</v>
      </c>
      <c r="K38" s="49" t="str">
        <f>IFERROR(_xlfn.XLOOKUP($E38, Table_Fuel_EFs_StationaryLiquid[Fuel combusted], Table_Fuel_EFs_StationaryLiquid[Scope 3 Emission Factor (kg CO2 - e / GJ)]),0)</f>
        <v>NE</v>
      </c>
      <c r="L38" s="49" cm="1">
        <f t="array" ref="L38">Fuel_InputFunctions.Fuel_TotalConsumption(Table_Input_Fuel[Amount consumed], Table_Input_Fuel[Fuel use (select)], D38, Table_Input_Fuel[Fuel type (select)],F38)</f>
        <v>0</v>
      </c>
      <c r="M38" s="49" t="str" cm="1">
        <f t="array" ref="M38">Common_InputFunctions.Utility_LookupValueInTable(F38,Table_FuelTypes_Units[Fuel type],Table_FuelTypes_Units[Unit])</f>
        <v>kL</v>
      </c>
      <c r="N38" s="199" cm="1">
        <f t="array" ref="N38">Fuel_Equations.VEERG_8_2_1_1__1_FuelCombustionStationary($L38,$G38,H38)</f>
        <v>0</v>
      </c>
      <c r="O38" s="199" cm="1">
        <f t="array" ref="O38">Fuel_Equations.VEERG_8_2_1_1__1_FuelCombustionStationary($L38,$G38,I38)</f>
        <v>0</v>
      </c>
      <c r="P38" s="199" cm="1">
        <f t="array" ref="P38">Fuel_Equations.VEERG_8_2_1_1__1_FuelCombustionStationary($L38,$G38,J38)</f>
        <v>0</v>
      </c>
      <c r="Q38" s="199" cm="1">
        <f t="array" ref="Q38">Fuel_Equations.VEERG_8_2_1_1__1_FuelCombustionStationary($L38,$G38,IF(ISNUMBER(K38), K38, 0))</f>
        <v>0</v>
      </c>
    </row>
    <row r="39" spans="1:17" ht="20.100000000000001" customHeight="1" x14ac:dyDescent="0.25">
      <c r="A39" s="16" t="str">
        <f>HYPERLINK("#'Constants - Fertiliser'!A1", "Constants - Fertiliser")</f>
        <v>Constants - Fertiliser</v>
      </c>
      <c r="D39" s="59" t="str">
        <f t="shared" si="1"/>
        <v>Power standalone machinery or heating</v>
      </c>
      <c r="E39" s="58" t="str">
        <f>'Constants - Fuel'!$D$103</f>
        <v>Natural gas distributed in a pipeline - Gigajoules</v>
      </c>
      <c r="F39" s="58" t="str">
        <f>'Constants - Fuel'!E138</f>
        <v>Natural gas (via pipeline) in GJ</v>
      </c>
      <c r="G39" s="49">
        <f>IFERROR(_xlfn.XLOOKUP($E39, Table_Fuel_EFs_StationaryGaseous[Fuel combusted], Table_Fuel_EFs_StationaryGaseous[Energy Content Factor (GJ per unit of fuel)]),0)</f>
        <v>1</v>
      </c>
      <c r="H39" s="49">
        <f>IFERROR(_xlfn.XLOOKUP($E39, Table_Fuel_EFs_StationaryGaseous[Fuel combusted], Table_Fuel_EFs_StationaryGaseous[Scope 1 Emission Factor (kg CO2 - e / GJ) CO2]),0)</f>
        <v>51.4</v>
      </c>
      <c r="I39" s="49">
        <f>IFERROR(_xlfn.XLOOKUP($E39, Table_Fuel_EFs_StationaryGaseous[Fuel combusted], Table_Fuel_EFs_StationaryGaseous[Scope 1 Emission Factor (kg CO2 - e / GJ) CH4]),0)</f>
        <v>0.1</v>
      </c>
      <c r="J39" s="49">
        <f>IFERROR(_xlfn.XLOOKUP($E39, Table_Fuel_EFs_StationaryGaseous[Fuel combusted], Table_Fuel_EFs_StationaryGaseous[Scope 1 Emission Factor (kg CO2 - e / GJ) N2O]),0)</f>
        <v>0.03</v>
      </c>
      <c r="K39" s="49" cm="1">
        <f t="array" ref="K39">IFERROR(Common_InputFunctions.Utility_LookupValueInTableOneColumnAndHeader($P$17,$P$18,Table_Fuel_EFs_StationaryGaseous34[State or territory],Table_Fuel_EFs_StationaryGaseous34[#Headers],Table_Fuel_EFs_StationaryGaseous34[#Data]),0)</f>
        <v>4.0999999999999996</v>
      </c>
      <c r="L39" s="180" cm="1">
        <f t="array" ref="L39">Fuel_InputFunctions.Fuel_TotalConsumption(Table_Input_Fuel[Amount consumed], Table_Input_Fuel[Fuel use (select)], D39, Table_Input_Fuel[Fuel type (select)],F39)</f>
        <v>0</v>
      </c>
      <c r="M39" s="180" t="str" cm="1">
        <f t="array" ref="M39">Common_InputFunctions.Utility_LookupValueInTable(F39,Table_FuelTypes_Units[Fuel type],Table_FuelTypes_Units[Unit])</f>
        <v>GJ</v>
      </c>
      <c r="N39" s="199" cm="1">
        <f t="array" ref="N39">Fuel_Equations.VEERG_8_2_1_1__1_FuelCombustionStationary($L39,$G39,H39)</f>
        <v>0</v>
      </c>
      <c r="O39" s="199" cm="1">
        <f t="array" ref="O39">Fuel_Equations.VEERG_8_2_1_1__1_FuelCombustionStationary($L39,$G39,I39)</f>
        <v>0</v>
      </c>
      <c r="P39" s="199" cm="1">
        <f t="array" ref="P39">Fuel_Equations.VEERG_8_2_1_1__1_FuelCombustionStationary($L39,$G39,J39)</f>
        <v>0</v>
      </c>
      <c r="Q39" s="199" cm="1">
        <f t="array" ref="Q39">Fuel_Equations.VEERG_8_2_1_1__1_FuelCombustionStationary($L39,$G39,IF(ISNUMBER(K39), K39, 0))</f>
        <v>0</v>
      </c>
    </row>
    <row r="40" spans="1:17" ht="20.100000000000001" customHeight="1" x14ac:dyDescent="0.25">
      <c r="A40" s="16" t="str">
        <f>HYPERLINK("#'Constants - Electricity'!A1", "Constants - Electricity")</f>
        <v>Constants - Electricity</v>
      </c>
      <c r="D40" s="59" t="str">
        <f t="shared" si="1"/>
        <v>Power standalone machinery or heating</v>
      </c>
      <c r="E40" s="58" t="str">
        <f>'Constants - Fuel'!$D$104</f>
        <v>Town gas - Gigajoules</v>
      </c>
      <c r="F40" s="58" t="str">
        <f>'Constants - Fuel'!E139</f>
        <v>Town gas in GJ</v>
      </c>
      <c r="G40" s="49">
        <f>IFERROR(_xlfn.XLOOKUP($E40, Table_Fuel_EFs_StationaryGaseous[Fuel combusted], Table_Fuel_EFs_StationaryGaseous[Energy Content Factor (GJ per unit of fuel)]),0)</f>
        <v>1</v>
      </c>
      <c r="H40" s="49">
        <f>IFERROR(_xlfn.XLOOKUP($E40, Table_Fuel_EFs_StationaryGaseous[Fuel combusted], Table_Fuel_EFs_StationaryGaseous[Scope 1 Emission Factor (kg CO2 - e / GJ) CO2]),0)</f>
        <v>60.2</v>
      </c>
      <c r="I40" s="49">
        <f>IFERROR(_xlfn.XLOOKUP($E40, Table_Fuel_EFs_StationaryGaseous[Fuel combusted], Table_Fuel_EFs_StationaryGaseous[Scope 1 Emission Factor (kg CO2 - e / GJ) CH4]),0)</f>
        <v>0.04</v>
      </c>
      <c r="J40" s="49">
        <f>IFERROR(_xlfn.XLOOKUP($E40, Table_Fuel_EFs_StationaryGaseous[Fuel combusted], Table_Fuel_EFs_StationaryGaseous[Scope 1 Emission Factor (kg CO2 - e / GJ) N2O]),0)</f>
        <v>0.03</v>
      </c>
      <c r="K40" s="49" cm="1">
        <f t="array" ref="K40">IFERROR(Common_InputFunctions.Utility_LookupValueInTableOneColumnAndHeader($P$17,$P$18,Table_Fuel_EFs_StationaryGaseous34[State or territory],Table_Fuel_EFs_StationaryGaseous34[#Headers],Table_Fuel_EFs_StationaryGaseous34[#Data]),0)</f>
        <v>4.0999999999999996</v>
      </c>
      <c r="L40" s="180" cm="1">
        <f t="array" ref="L40">Fuel_InputFunctions.Fuel_TotalConsumption(Table_Input_Fuel[Amount consumed], Table_Input_Fuel[Fuel use (select)], D40, Table_Input_Fuel[Fuel type (select)],F40)</f>
        <v>100</v>
      </c>
      <c r="M40" s="180" t="str" cm="1">
        <f t="array" ref="M40">Common_InputFunctions.Utility_LookupValueInTable(F40,Table_FuelTypes_Units[Fuel type],Table_FuelTypes_Units[Unit])</f>
        <v>GJ</v>
      </c>
      <c r="N40" s="199" cm="1">
        <f t="array" ref="N40">Fuel_Equations.VEERG_8_2_1_1__1_FuelCombustionStationary($L40,$G40,H40)</f>
        <v>6.0200000000000005</v>
      </c>
      <c r="O40" s="199" cm="1">
        <f t="array" ref="O40">Fuel_Equations.VEERG_8_2_1_1__1_FuelCombustionStationary($L40,$G40,I40)</f>
        <v>4.0000000000000001E-3</v>
      </c>
      <c r="P40" s="199" cm="1">
        <f t="array" ref="P40">Fuel_Equations.VEERG_8_2_1_1__1_FuelCombustionStationary($L40,$G40,J40)</f>
        <v>3.0000000000000001E-3</v>
      </c>
      <c r="Q40" s="199" cm="1">
        <f t="array" ref="Q40">Fuel_Equations.VEERG_8_2_1_1__1_FuelCombustionStationary($L40,$G40,IF(ISNUMBER(K40), K40, 0))</f>
        <v>0.41</v>
      </c>
    </row>
    <row r="41" spans="1:17" ht="20.100000000000001" customHeight="1" x14ac:dyDescent="0.25">
      <c r="A41" s="16" t="str">
        <f>HYPERLINK("#'Constants - Common'!A1", "Constants - Common")</f>
        <v>Constants - Common</v>
      </c>
    </row>
    <row r="42" spans="1:17" ht="20.100000000000001" customHeight="1" x14ac:dyDescent="0.25">
      <c r="A42"/>
      <c r="D42" s="192" t="str">
        <f>"Total scope 1 - " &amp; D25</f>
        <v>Total scope 1 - Generators</v>
      </c>
      <c r="E42" s="193"/>
      <c r="F42" s="194"/>
    </row>
    <row r="43" spans="1:17" ht="20.100000000000001" customHeight="1" x14ac:dyDescent="0.25">
      <c r="A43"/>
      <c r="D43" s="7" t="s">
        <v>718</v>
      </c>
      <c r="E43" s="195">
        <f>SUM(N25:N31)</f>
        <v>0</v>
      </c>
      <c r="F43" s="65" t="str">
        <f>$E$12</f>
        <v>t CO2-e</v>
      </c>
    </row>
    <row r="44" spans="1:17" ht="20.100000000000001" customHeight="1" x14ac:dyDescent="0.25">
      <c r="A44"/>
      <c r="D44" s="7" t="s">
        <v>719</v>
      </c>
      <c r="E44" s="195">
        <f>SUM(O25:O31)</f>
        <v>0</v>
      </c>
      <c r="F44" s="65" t="str">
        <f t="shared" ref="F44:F46" si="2">$E$12</f>
        <v>t CO2-e</v>
      </c>
    </row>
    <row r="45" spans="1:17" ht="20.100000000000001" customHeight="1" x14ac:dyDescent="0.25">
      <c r="A45"/>
      <c r="D45" s="7" t="s">
        <v>720</v>
      </c>
      <c r="E45" s="195">
        <f>SUM(P25:P31)</f>
        <v>0</v>
      </c>
      <c r="F45" s="65" t="str">
        <f t="shared" si="2"/>
        <v>t CO2-e</v>
      </c>
    </row>
    <row r="46" spans="1:17" ht="20.100000000000001" customHeight="1" x14ac:dyDescent="0.25">
      <c r="A46"/>
      <c r="D46" s="7" t="s">
        <v>721</v>
      </c>
      <c r="E46" s="195">
        <f>SUM(Q25:Q31)</f>
        <v>0</v>
      </c>
      <c r="F46" s="65" t="str">
        <f t="shared" si="2"/>
        <v>t CO2-e</v>
      </c>
    </row>
    <row r="47" spans="1:17" ht="20.100000000000001" customHeight="1" x14ac:dyDescent="0.25">
      <c r="A47"/>
      <c r="H47" s="17"/>
      <c r="I47" s="17"/>
      <c r="J47" s="17"/>
      <c r="L47" s="17"/>
      <c r="N47" s="17"/>
      <c r="O47" s="17"/>
      <c r="P47" s="17"/>
      <c r="Q47" s="17"/>
    </row>
    <row r="48" spans="1:17" ht="20.100000000000001" customHeight="1" x14ac:dyDescent="0.25">
      <c r="A48"/>
      <c r="D48" s="192" t="str">
        <f>"Total scope 1 - " &amp; D32</f>
        <v>Total scope 1 - Power standalone machinery or heating</v>
      </c>
      <c r="E48" s="196"/>
      <c r="F48" s="194"/>
      <c r="H48" s="17"/>
      <c r="I48" s="17"/>
      <c r="J48" s="17"/>
      <c r="L48" s="17"/>
      <c r="N48" s="17"/>
      <c r="O48" s="17"/>
      <c r="P48" s="17"/>
      <c r="Q48" s="17"/>
    </row>
    <row r="49" spans="1:17" ht="20.100000000000001" customHeight="1" x14ac:dyDescent="0.25">
      <c r="A49"/>
      <c r="D49" s="7" t="s">
        <v>718</v>
      </c>
      <c r="E49" s="195">
        <f>SUM(N32:N40)</f>
        <v>29.070800000000002</v>
      </c>
      <c r="F49" s="65" t="str">
        <f t="shared" ref="F49:F52" si="3">$E$12</f>
        <v>t CO2-e</v>
      </c>
      <c r="H49" s="17"/>
      <c r="I49" s="17"/>
      <c r="J49" s="17"/>
      <c r="L49" s="17"/>
      <c r="N49" s="17"/>
      <c r="O49" s="17"/>
      <c r="P49" s="17"/>
      <c r="Q49" s="17"/>
    </row>
    <row r="50" spans="1:17" ht="20.100000000000001" customHeight="1" x14ac:dyDescent="0.25">
      <c r="A50"/>
      <c r="D50" s="7" t="s">
        <v>719</v>
      </c>
      <c r="E50" s="195">
        <f>SUM(O32:O40)</f>
        <v>7.2400000000000006E-2</v>
      </c>
      <c r="F50" s="65" t="str">
        <f t="shared" si="3"/>
        <v>t CO2-e</v>
      </c>
      <c r="H50" s="17"/>
      <c r="I50" s="17"/>
      <c r="J50" s="17"/>
      <c r="L50" s="17"/>
      <c r="N50" s="17"/>
      <c r="O50" s="17"/>
      <c r="P50" s="17"/>
      <c r="Q50" s="17"/>
    </row>
    <row r="51" spans="1:17" ht="20.100000000000001" customHeight="1" x14ac:dyDescent="0.25">
      <c r="A51"/>
      <c r="D51" s="7" t="s">
        <v>720</v>
      </c>
      <c r="E51" s="195">
        <f>SUM(P32:P40)</f>
        <v>7.1400000000000005E-2</v>
      </c>
      <c r="F51" s="65" t="str">
        <f t="shared" si="3"/>
        <v>t CO2-e</v>
      </c>
      <c r="H51" s="17"/>
      <c r="I51" s="17"/>
      <c r="J51" s="17"/>
      <c r="L51" s="17"/>
      <c r="N51" s="17"/>
      <c r="O51" s="17"/>
      <c r="P51" s="17"/>
      <c r="Q51" s="17"/>
    </row>
    <row r="52" spans="1:17" ht="20.100000000000001" customHeight="1" x14ac:dyDescent="0.25">
      <c r="A52"/>
      <c r="D52" s="7" t="s">
        <v>721</v>
      </c>
      <c r="E52" s="195">
        <f>SUM(Q32:Q40)</f>
        <v>6.2923999999999998</v>
      </c>
      <c r="F52" s="65" t="str">
        <f t="shared" si="3"/>
        <v>t CO2-e</v>
      </c>
      <c r="G52" s="17"/>
      <c r="H52" s="17"/>
      <c r="I52" s="17"/>
      <c r="J52" s="17"/>
      <c r="L52" s="17"/>
      <c r="N52" s="17"/>
      <c r="O52" s="17"/>
      <c r="P52" s="17"/>
      <c r="Q52" s="17"/>
    </row>
    <row r="53" spans="1:17" ht="20.100000000000001" customHeight="1" x14ac:dyDescent="0.25">
      <c r="A53"/>
      <c r="G53" s="17"/>
      <c r="H53" s="17"/>
      <c r="I53" s="17"/>
      <c r="J53" s="17"/>
      <c r="L53" s="17"/>
      <c r="N53" s="17"/>
      <c r="O53" s="17"/>
      <c r="P53" s="17"/>
      <c r="Q53" s="17"/>
    </row>
    <row r="54" spans="1:17" ht="20.100000000000001" customHeight="1" x14ac:dyDescent="0.25">
      <c r="A54"/>
      <c r="D54" s="192" t="s">
        <v>732</v>
      </c>
      <c r="E54" s="196"/>
      <c r="F54" s="194"/>
      <c r="G54" s="17"/>
      <c r="H54" s="17"/>
      <c r="I54" s="17"/>
      <c r="J54" s="17"/>
      <c r="L54" s="17"/>
      <c r="N54" s="17"/>
      <c r="O54" s="17"/>
      <c r="P54" s="17"/>
      <c r="Q54" s="17"/>
    </row>
    <row r="55" spans="1:17" ht="20.100000000000001" customHeight="1" x14ac:dyDescent="0.25">
      <c r="A55"/>
      <c r="D55" s="7" t="s">
        <v>718</v>
      </c>
      <c r="E55" s="195">
        <f>E43+E49</f>
        <v>29.070800000000002</v>
      </c>
      <c r="F55" s="65" t="str">
        <f t="shared" ref="F55:F58" si="4">$E$12</f>
        <v>t CO2-e</v>
      </c>
      <c r="G55" s="17"/>
      <c r="H55" s="17"/>
      <c r="I55" s="17"/>
      <c r="J55" s="17"/>
      <c r="L55" s="17"/>
      <c r="N55" s="17"/>
      <c r="O55" s="17"/>
      <c r="P55" s="17"/>
      <c r="Q55" s="17"/>
    </row>
    <row r="56" spans="1:17" ht="20.100000000000001" customHeight="1" x14ac:dyDescent="0.25">
      <c r="A56"/>
      <c r="D56" s="7" t="s">
        <v>719</v>
      </c>
      <c r="E56" s="195">
        <f>E44+E50</f>
        <v>7.2400000000000006E-2</v>
      </c>
      <c r="F56" s="65" t="str">
        <f t="shared" si="4"/>
        <v>t CO2-e</v>
      </c>
      <c r="H56" s="17"/>
    </row>
    <row r="57" spans="1:17" ht="20.100000000000001" customHeight="1" x14ac:dyDescent="0.25">
      <c r="A57"/>
      <c r="D57" s="7" t="s">
        <v>720</v>
      </c>
      <c r="E57" s="195">
        <f>E45+E51</f>
        <v>7.1400000000000005E-2</v>
      </c>
      <c r="F57" s="65" t="str">
        <f t="shared" si="4"/>
        <v>t CO2-e</v>
      </c>
      <c r="G57" s="17"/>
      <c r="H57" s="17"/>
      <c r="I57" s="17"/>
      <c r="J57" s="17"/>
      <c r="L57" s="17"/>
      <c r="N57" s="17"/>
      <c r="O57" s="17"/>
      <c r="P57" s="17"/>
      <c r="Q57" s="17"/>
    </row>
    <row r="58" spans="1:17" ht="20.100000000000001" customHeight="1" x14ac:dyDescent="0.25">
      <c r="A58"/>
      <c r="D58" s="7" t="s">
        <v>721</v>
      </c>
      <c r="E58" s="195">
        <f>E46+E52</f>
        <v>6.2923999999999998</v>
      </c>
      <c r="F58" s="65" t="str">
        <f t="shared" si="4"/>
        <v>t CO2-e</v>
      </c>
      <c r="G58" s="17"/>
      <c r="H58" s="17"/>
      <c r="I58" s="17"/>
      <c r="J58" s="17"/>
      <c r="L58" s="17"/>
      <c r="N58" s="17"/>
      <c r="O58" s="17"/>
      <c r="P58" s="17"/>
      <c r="Q58" s="17"/>
    </row>
    <row r="59" spans="1:17" ht="20.100000000000001" customHeight="1" x14ac:dyDescent="0.25">
      <c r="A59"/>
      <c r="G59" s="17"/>
      <c r="H59" s="17"/>
      <c r="I59" s="17"/>
      <c r="J59" s="17"/>
      <c r="L59" s="17"/>
      <c r="N59" s="17"/>
      <c r="O59" s="17"/>
      <c r="P59" s="17"/>
      <c r="Q59" s="17"/>
    </row>
    <row r="60" spans="1:17" ht="20.100000000000001" customHeight="1" x14ac:dyDescent="0.25">
      <c r="A60"/>
      <c r="G60" s="17"/>
      <c r="H60" s="17"/>
      <c r="I60" s="17"/>
      <c r="J60" s="17"/>
      <c r="L60" s="17"/>
      <c r="N60" s="17"/>
      <c r="O60" s="17"/>
      <c r="P60" s="17"/>
      <c r="Q60" s="17"/>
    </row>
    <row r="61" spans="1:17" ht="20.100000000000001" customHeight="1" x14ac:dyDescent="0.25">
      <c r="A61"/>
      <c r="G61" s="17"/>
      <c r="H61" s="17"/>
      <c r="I61" s="17"/>
      <c r="J61" s="17"/>
      <c r="L61" s="17"/>
      <c r="N61" s="17"/>
      <c r="O61" s="17"/>
      <c r="P61" s="17"/>
      <c r="Q61" s="17"/>
    </row>
    <row r="62" spans="1:17" ht="20.100000000000001" customHeight="1" x14ac:dyDescent="0.25">
      <c r="A62"/>
      <c r="G62" s="17"/>
      <c r="H62" s="17"/>
      <c r="I62" s="17"/>
      <c r="J62" s="17"/>
      <c r="L62" s="17"/>
      <c r="N62" s="17"/>
      <c r="O62" s="17"/>
      <c r="P62" s="17"/>
      <c r="Q62" s="17"/>
    </row>
    <row r="63" spans="1:17" ht="20.100000000000001" customHeight="1" x14ac:dyDescent="0.25">
      <c r="A63"/>
      <c r="G63" s="17"/>
      <c r="H63" s="17"/>
      <c r="I63" s="17"/>
      <c r="J63" s="17"/>
      <c r="L63" s="17"/>
      <c r="N63" s="17"/>
      <c r="O63" s="17"/>
      <c r="P63" s="17"/>
      <c r="Q63" s="17"/>
    </row>
    <row r="64" spans="1:17" ht="20.100000000000001" customHeight="1" x14ac:dyDescent="0.25">
      <c r="A64"/>
      <c r="G64" s="17"/>
      <c r="H64" s="17"/>
      <c r="I64" s="17"/>
      <c r="J64" s="17"/>
      <c r="L64" s="17"/>
      <c r="N64" s="17"/>
      <c r="O64" s="17"/>
      <c r="P64" s="17"/>
      <c r="Q64" s="17"/>
    </row>
    <row r="65" spans="1:17" ht="20.100000000000001" customHeight="1" x14ac:dyDescent="0.25">
      <c r="A65"/>
      <c r="G65" s="17"/>
      <c r="H65" s="17"/>
      <c r="I65" s="17"/>
      <c r="J65" s="17"/>
      <c r="L65" s="17"/>
      <c r="N65" s="17"/>
      <c r="O65" s="17"/>
      <c r="P65" s="17"/>
      <c r="Q65" s="17"/>
    </row>
    <row r="66" spans="1:17" ht="20.100000000000001" customHeight="1" x14ac:dyDescent="0.25">
      <c r="A66"/>
      <c r="G66" s="17"/>
      <c r="H66" s="17"/>
      <c r="I66" s="17"/>
      <c r="J66" s="17"/>
      <c r="L66" s="17"/>
      <c r="N66" s="17"/>
      <c r="O66" s="17"/>
      <c r="P66" s="17"/>
      <c r="Q66" s="17"/>
    </row>
    <row r="67" spans="1:17" ht="20.100000000000001" customHeight="1" x14ac:dyDescent="0.25">
      <c r="A67"/>
      <c r="G67" s="17"/>
    </row>
    <row r="68" spans="1:17" ht="20.100000000000001" customHeight="1" x14ac:dyDescent="0.25">
      <c r="A68"/>
      <c r="G68" s="17"/>
    </row>
    <row r="69" spans="1:17" ht="20.100000000000001" customHeight="1" x14ac:dyDescent="0.25">
      <c r="A69"/>
      <c r="G69" s="17"/>
    </row>
    <row r="70" spans="1:17" ht="20.100000000000001" customHeight="1" x14ac:dyDescent="0.25">
      <c r="A70"/>
      <c r="G70" s="17"/>
    </row>
    <row r="71" spans="1:17" ht="20.100000000000001" customHeight="1" x14ac:dyDescent="0.25">
      <c r="A71"/>
      <c r="G71" s="17"/>
    </row>
    <row r="72" spans="1:17" ht="20.100000000000001" customHeight="1" x14ac:dyDescent="0.25">
      <c r="A72"/>
    </row>
    <row r="73" spans="1:17" ht="20.100000000000001" customHeight="1" x14ac:dyDescent="0.25">
      <c r="A73"/>
    </row>
    <row r="74" spans="1:17" ht="20.100000000000001" customHeight="1" x14ac:dyDescent="0.25">
      <c r="A74"/>
    </row>
    <row r="75" spans="1:17" ht="20.100000000000001" customHeight="1" x14ac:dyDescent="0.25">
      <c r="A75"/>
    </row>
    <row r="76" spans="1:17" ht="20.100000000000001" customHeight="1" x14ac:dyDescent="0.25">
      <c r="A76"/>
    </row>
    <row r="77" spans="1:17" ht="20.100000000000001" customHeight="1" x14ac:dyDescent="0.25">
      <c r="A77"/>
    </row>
    <row r="78" spans="1:17" ht="20.100000000000001" customHeight="1" x14ac:dyDescent="0.25">
      <c r="A78"/>
    </row>
    <row r="79" spans="1:17" ht="20.100000000000001" customHeight="1" x14ac:dyDescent="0.25">
      <c r="A79"/>
    </row>
    <row r="80" spans="1:17"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8C099-CA4F-45D0-9F7B-FE40BE525417}">
  <sheetPr>
    <tabColor theme="2" tint="-0.499984740745262"/>
  </sheetPr>
  <dimension ref="A1:Q238"/>
  <sheetViews>
    <sheetView showGridLines="0" topLeftCell="A90" zoomScaleNormal="100" workbookViewId="0">
      <selection activeCell="A41" sqref="A41"/>
    </sheetView>
  </sheetViews>
  <sheetFormatPr defaultRowHeight="15.75" x14ac:dyDescent="0.25"/>
  <cols>
    <col min="1" max="1" width="30.625" customWidth="1"/>
    <col min="2" max="2" width="4.625" customWidth="1"/>
    <col min="3" max="3" width="4.625" style="8" customWidth="1"/>
    <col min="4" max="16" width="30.625" style="8" customWidth="1"/>
    <col min="17" max="17" width="9" style="8"/>
  </cols>
  <sheetData>
    <row r="1" spans="1:17" ht="30" customHeight="1" x14ac:dyDescent="0.35">
      <c r="A1" s="37" t="e" vm="1">
        <v>#VALUE!</v>
      </c>
      <c r="C1"/>
      <c r="D1"/>
      <c r="E1"/>
      <c r="F1"/>
      <c r="G1"/>
      <c r="H1"/>
      <c r="I1"/>
      <c r="J1"/>
      <c r="K1"/>
      <c r="L1"/>
      <c r="M1"/>
      <c r="N1"/>
      <c r="O1"/>
      <c r="P1"/>
      <c r="Q1"/>
    </row>
    <row r="2" spans="1:17" ht="20.100000000000001" customHeight="1" x14ac:dyDescent="0.25">
      <c r="C2"/>
      <c r="D2"/>
      <c r="E2"/>
      <c r="F2"/>
      <c r="G2"/>
      <c r="H2"/>
      <c r="I2"/>
      <c r="J2"/>
      <c r="K2"/>
      <c r="L2"/>
      <c r="M2"/>
      <c r="N2"/>
      <c r="O2"/>
      <c r="P2"/>
      <c r="Q2"/>
    </row>
    <row r="3" spans="1:17" ht="20.100000000000001" customHeight="1" x14ac:dyDescent="0.25">
      <c r="A3" s="16" t="str">
        <f>HYPERLINK("#'Overview'!A1", "Overview")</f>
        <v>Overview</v>
      </c>
    </row>
    <row r="4" spans="1:17" ht="20.100000000000001" customHeight="1" x14ac:dyDescent="0.25">
      <c r="A4" s="16" t="str">
        <f>HYPERLINK("#'Results'!A1", "Results")</f>
        <v>Results</v>
      </c>
    </row>
    <row r="5" spans="1:17" ht="20.100000000000001" customHeight="1" x14ac:dyDescent="0.25"/>
    <row r="6" spans="1:17" ht="20.100000000000001" customHeight="1" x14ac:dyDescent="0.25"/>
    <row r="7" spans="1:17" ht="20.100000000000001" customHeight="1" x14ac:dyDescent="0.25">
      <c r="A7" s="19" t="s">
        <v>67</v>
      </c>
    </row>
    <row r="8" spans="1:17" ht="20.100000000000001" customHeight="1" x14ac:dyDescent="0.25">
      <c r="A8" s="16" t="str">
        <f>HYPERLINK("#'Input - Site'!A1", "Site")</f>
        <v>Site</v>
      </c>
    </row>
    <row r="9" spans="1:17" ht="20.100000000000001" customHeight="1" x14ac:dyDescent="0.25">
      <c r="A9" s="16" t="str">
        <f>HYPERLINK("#'Input - Fuel'!A1", "Fuel")</f>
        <v>Fuel</v>
      </c>
    </row>
    <row r="10" spans="1:17" ht="20.100000000000001" customHeight="1" x14ac:dyDescent="0.25">
      <c r="A10" s="16" t="str">
        <f>HYPERLINK("#'Input - Fertiliser'!A1", "Fertiliser")</f>
        <v>Fertiliser</v>
      </c>
    </row>
    <row r="11" spans="1:17" ht="20.100000000000001" customHeight="1" x14ac:dyDescent="0.25">
      <c r="A11" s="16" t="str">
        <f>HYPERLINK("#'Input - Farm Inputs'!A1", "Farm Inputs")</f>
        <v>Farm Inputs</v>
      </c>
    </row>
    <row r="12" spans="1:17" ht="20.100000000000001" customHeight="1" x14ac:dyDescent="0.25">
      <c r="A12" s="16" t="str">
        <f>HYPERLINK("#'Input - Beef cattle purchases'!A1", "Beef cattle purchases")</f>
        <v>Beef cattle purchases</v>
      </c>
    </row>
    <row r="13" spans="1:17" ht="20.100000000000001" customHeight="1" x14ac:dyDescent="0.25">
      <c r="A13" s="16" t="str">
        <f>HYPERLINK("#'Input - Dairy cattle purchases'!A1", "Dairy cattle purchases")</f>
        <v>Dairy cattle purchases</v>
      </c>
    </row>
    <row r="14" spans="1:17" ht="20.100000000000001" customHeight="1" x14ac:dyDescent="0.25">
      <c r="A14" s="16" t="str">
        <f>HYPERLINK("#'Input - Pig purchases'!A1", "Pig purchases")</f>
        <v>Pig purchases</v>
      </c>
    </row>
    <row r="15" spans="1:17" ht="20.100000000000001" customHeight="1" x14ac:dyDescent="0.25">
      <c r="A15" s="16" t="str">
        <f>HYPERLINK("#'Input - Poultry purchases'!A1", "Poultry purchases")</f>
        <v>Poultry purchases</v>
      </c>
    </row>
    <row r="16" spans="1:17" ht="20.100000000000001" customHeight="1" x14ac:dyDescent="0.25">
      <c r="A16" s="16" t="str">
        <f>HYPERLINK("#'Input - Freight'!A1", "Freight")</f>
        <v>Freight</v>
      </c>
    </row>
    <row r="17" spans="1:11" ht="20.100000000000001" customHeight="1" x14ac:dyDescent="0.25">
      <c r="A17" s="16" t="str">
        <f>HYPERLINK("#'Input - Solid waste'!A1", "Solid waste")</f>
        <v>Solid waste</v>
      </c>
    </row>
    <row r="18" spans="1:11" ht="20.100000000000001" customHeight="1" x14ac:dyDescent="0.25">
      <c r="A18" s="16" t="str">
        <f>HYPERLINK("#'Input - Manure sent off-site'!A1", "Manure sent off-site")</f>
        <v>Manure sent off-site</v>
      </c>
    </row>
    <row r="19" spans="1:11" ht="20.100000000000001" customHeight="1" x14ac:dyDescent="0.25">
      <c r="A19" s="16" t="str">
        <f>HYPERLINK("#'Input - Electricity'!A1", "Electricity")</f>
        <v>Electricity</v>
      </c>
    </row>
    <row r="20" spans="1:11" ht="20.100000000000001" customHeight="1" x14ac:dyDescent="0.25"/>
    <row r="21" spans="1:11" ht="20.100000000000001" customHeight="1" x14ac:dyDescent="0.25"/>
    <row r="22" spans="1:11" ht="20.100000000000001" customHeight="1" x14ac:dyDescent="0.25">
      <c r="A22" s="21" t="s">
        <v>77</v>
      </c>
    </row>
    <row r="23" spans="1:11" ht="20.100000000000001" customHeight="1" x14ac:dyDescent="0.25">
      <c r="A23" s="16" t="str">
        <f>HYPERLINK("#'15 Scope 3'!A1", "15 Scope 3")</f>
        <v>15 Scope 3</v>
      </c>
    </row>
    <row r="24" spans="1:11" ht="20.100000000000001" customHeight="1" x14ac:dyDescent="0.25">
      <c r="A24" s="16" t="str">
        <f>HYPERLINK("#'10.1.1-2 Solid waste treatment'!A1", "10.1.1-2 Solid waste treatment")</f>
        <v>10.1.1-2 Solid waste treatment</v>
      </c>
    </row>
    <row r="25" spans="1:11" ht="20.100000000000001" customHeight="1" x14ac:dyDescent="0.25">
      <c r="A25" s="16" t="str">
        <f>HYPERLINK("#'Calcs - Manure sent off-site'!A1", "Calcs - Manure sent off-site")</f>
        <v>Calcs - Manure sent off-site</v>
      </c>
    </row>
    <row r="26" spans="1:11" ht="20.100000000000001" customHeight="1" x14ac:dyDescent="0.25">
      <c r="A26" s="16" t="str">
        <f>HYPERLINK("#'8.1.1.1-2 Transport fuel'!A1", "8.1.1.1-2 Transport fuel")</f>
        <v>8.1.1.1-2 Transport fuel</v>
      </c>
    </row>
    <row r="27" spans="1:11" ht="20.100000000000001" customHeight="1" x14ac:dyDescent="0.25">
      <c r="A27" s="16" t="str">
        <f>HYPERLINK("#'8.2.1.1-2 Stationary fuel'!A1", "8.2.1.1-2 Stationary fuel")</f>
        <v>8.2.1.1-2 Stationary fuel</v>
      </c>
    </row>
    <row r="28" spans="1:11" ht="20.100000000000001" customHeight="1" x14ac:dyDescent="0.25"/>
    <row r="29" spans="1:11" ht="20.100000000000001" customHeight="1" x14ac:dyDescent="0.25"/>
    <row r="30" spans="1:11" ht="20.100000000000001" customHeight="1" x14ac:dyDescent="0.25">
      <c r="A30" s="221" t="s">
        <v>78</v>
      </c>
    </row>
    <row r="31" spans="1:11" ht="20.100000000000001" customHeight="1" x14ac:dyDescent="0.25">
      <c r="A31" s="23" t="str">
        <f>HYPERLINK("#'Constants - Scope 3'!A1", "Constants - Scope 3")</f>
        <v>Constants - Scope 3</v>
      </c>
    </row>
    <row r="32" spans="1:11" ht="20.100000000000001" customHeight="1" x14ac:dyDescent="0.25">
      <c r="A32" s="16" t="str">
        <f>HYPERLINK("#'Constants - Solid Waste'!A1", "Constants - Solid Waste")</f>
        <v>Constants - Solid Waste</v>
      </c>
      <c r="D32" s="9" t="s">
        <v>353</v>
      </c>
      <c r="K32" s="8" t="s">
        <v>425</v>
      </c>
    </row>
    <row r="33" spans="1:12" ht="20.100000000000001" customHeight="1" x14ac:dyDescent="0.25">
      <c r="A33" s="16" t="str">
        <f>HYPERLINK("#'Constants - Fuel'!A1", "Constants - Fuel")</f>
        <v>Constants - Fuel</v>
      </c>
      <c r="D33" s="10" t="s">
        <v>311</v>
      </c>
      <c r="E33" s="10" t="s">
        <v>212</v>
      </c>
      <c r="F33" s="10" t="s">
        <v>312</v>
      </c>
      <c r="G33" s="10" t="s">
        <v>278</v>
      </c>
      <c r="H33" s="10" t="s">
        <v>279</v>
      </c>
      <c r="I33" s="10" t="s">
        <v>354</v>
      </c>
      <c r="K33" s="10" t="s">
        <v>378</v>
      </c>
      <c r="L33" s="10" t="s">
        <v>508</v>
      </c>
    </row>
    <row r="34" spans="1:12" ht="20.100000000000001" customHeight="1" x14ac:dyDescent="0.25">
      <c r="A34" s="16" t="str">
        <f>HYPERLINK("#'Constants - Poultry'!A1", "Constants - Poultry")</f>
        <v>Constants - Poultry</v>
      </c>
      <c r="D34" s="10" t="str" cm="1">
        <f t="array" ref="D34">Common_InputFunctions.Utility_DisplayArrayInTable(Scope3_SourceData.Scope3_Livestock_Data(), Table_SourceData_Scope3_Animals[[#Headers],[Category]], 0, 2)</f>
        <v>Beef cattle</v>
      </c>
      <c r="E34" s="10" t="str" cm="1">
        <f t="array" ref="E34">Common_InputFunctions.Utility_DisplayArrayInTable(Scope3_SourceData.Scope3_Livestock_Data(), Table_SourceData_Scope3_Animals[[#Headers],[Category]], 0, 2)</f>
        <v>Cattle, for manufacturing beef</v>
      </c>
      <c r="F34" s="10" t="str" cm="1">
        <f t="array" ref="F34">Common_InputFunctions.Utility_DisplayArrayInTable(Scope3_SourceData.Scope3_Livestock_Data(), Table_SourceData_Scope3_Animals[[#Headers],[Category]], 0, 2)</f>
        <v>Australia</v>
      </c>
      <c r="G34" s="10" t="str" cm="1">
        <f t="array" ref="G34">Common_InputFunctions.Utility_DisplayArrayInTable(Scope3_SourceData.Scope3_Livestock_Data(), Table_SourceData_Scope3_Animals[[#Headers],[Category]], 0, 2)</f>
        <v>kg liveweight</v>
      </c>
      <c r="H34" s="10" cm="1">
        <f t="array" ref="H34">Common_InputFunctions.Utility_DisplayArrayInTable(Scope3_SourceData.Scope3_Livestock_Data(), Table_SourceData_Scope3_Animals[[#Headers],[Category]], 0, 2)</f>
        <v>11</v>
      </c>
      <c r="I34" s="10" t="str" cm="1">
        <f t="array" ref="I34">Common_InputFunctions.Utility_DisplayArrayInTable(Scope3_SourceData.Scope3_Livestock_Data(), Table_SourceData_Scope3_Animals[[#Headers],[Category]], 0, 2)</f>
        <v>at market</v>
      </c>
      <c r="K34" s="10" t="s">
        <v>308</v>
      </c>
      <c r="L34" s="10" t="s">
        <v>329</v>
      </c>
    </row>
    <row r="35" spans="1:12" ht="20.100000000000001" customHeight="1" x14ac:dyDescent="0.25">
      <c r="A35" s="16" t="str">
        <f>HYPERLINK("#'Constants - Swine'!A1", "Constants - Swine")</f>
        <v>Constants - Swine</v>
      </c>
      <c r="D35" s="10" t="str" cm="1">
        <f t="array" ref="D35">Common_InputFunctions.Utility_DisplayArrayInTable(Scope3_SourceData.Scope3_Livestock_Data(), Table_SourceData_Scope3_Animals[[#Headers],[Category]], 0, 2)</f>
        <v>Beef cattle</v>
      </c>
      <c r="E35" s="10" t="str" cm="1">
        <f t="array" ref="E35">Common_InputFunctions.Utility_DisplayArrayInTable(Scope3_SourceData.Scope3_Livestock_Data(), Table_SourceData_Scope3_Animals[[#Headers],[Category]], 0, 2)</f>
        <v>Cattle, for manufacturing beef</v>
      </c>
      <c r="F35" s="10" t="str" cm="1">
        <f t="array" ref="F35">Common_InputFunctions.Utility_DisplayArrayInTable(Scope3_SourceData.Scope3_Livestock_Data(), Table_SourceData_Scope3_Animals[[#Headers],[Category]], 0, 2)</f>
        <v>NSW</v>
      </c>
      <c r="G35" s="10" t="str" cm="1">
        <f t="array" ref="G35">Common_InputFunctions.Utility_DisplayArrayInTable(Scope3_SourceData.Scope3_Livestock_Data(), Table_SourceData_Scope3_Animals[[#Headers],[Category]], 0, 2)</f>
        <v>kg liveweight</v>
      </c>
      <c r="H35" s="10" cm="1">
        <f t="array" ref="H35">Common_InputFunctions.Utility_DisplayArrayInTable(Scope3_SourceData.Scope3_Livestock_Data(), Table_SourceData_Scope3_Animals[[#Headers],[Category]], 0, 2)</f>
        <v>8.2100000000000009</v>
      </c>
      <c r="I35" s="10" t="str" cm="1">
        <f t="array" ref="I35">Common_InputFunctions.Utility_DisplayArrayInTable(Scope3_SourceData.Scope3_Livestock_Data(), Table_SourceData_Scope3_Animals[[#Headers],[Category]], 0, 2)</f>
        <v>at market</v>
      </c>
      <c r="K35" s="10" t="s">
        <v>329</v>
      </c>
      <c r="L35" s="10" t="s">
        <v>329</v>
      </c>
    </row>
    <row r="36" spans="1:12" ht="20.100000000000001" customHeight="1" x14ac:dyDescent="0.25">
      <c r="A36" s="16" t="str">
        <f>HYPERLINK("#'Constants - Dairy'!A1", "Constants - Dairy")</f>
        <v>Constants - Dairy</v>
      </c>
      <c r="D36" s="10" t="str" cm="1">
        <f t="array" ref="D36">Common_InputFunctions.Utility_DisplayArrayInTable(Scope3_SourceData.Scope3_Livestock_Data(), Table_SourceData_Scope3_Animals[[#Headers],[Category]], 0, 2)</f>
        <v>Beef cattle</v>
      </c>
      <c r="E36" s="10" t="str" cm="1">
        <f t="array" ref="E36">Common_InputFunctions.Utility_DisplayArrayInTable(Scope3_SourceData.Scope3_Livestock_Data(), Table_SourceData_Scope3_Animals[[#Headers],[Category]], 0, 2)</f>
        <v>Cattle, for manufacturing beef</v>
      </c>
      <c r="F36" s="10" t="str" cm="1">
        <f t="array" ref="F36">Common_InputFunctions.Utility_DisplayArrayInTable(Scope3_SourceData.Scope3_Livestock_Data(), Table_SourceData_Scope3_Animals[[#Headers],[Category]], 0, 2)</f>
        <v>NT</v>
      </c>
      <c r="G36" s="10" t="str" cm="1">
        <f t="array" ref="G36">Common_InputFunctions.Utility_DisplayArrayInTable(Scope3_SourceData.Scope3_Livestock_Data(), Table_SourceData_Scope3_Animals[[#Headers],[Category]], 0, 2)</f>
        <v>kg liveweight</v>
      </c>
      <c r="H36" s="10" cm="1">
        <f t="array" ref="H36">Common_InputFunctions.Utility_DisplayArrayInTable(Scope3_SourceData.Scope3_Livestock_Data(), Table_SourceData_Scope3_Animals[[#Headers],[Category]], 0, 2)</f>
        <v>12.2</v>
      </c>
      <c r="I36" s="10" t="str" cm="1">
        <f t="array" ref="I36">Common_InputFunctions.Utility_DisplayArrayInTable(Scope3_SourceData.Scope3_Livestock_Data(), Table_SourceData_Scope3_Animals[[#Headers],[Category]], 0, 2)</f>
        <v>at market</v>
      </c>
      <c r="K36" s="10" t="s">
        <v>385</v>
      </c>
      <c r="L36" s="10" t="s">
        <v>385</v>
      </c>
    </row>
    <row r="37" spans="1:12" ht="20.100000000000001" customHeight="1" x14ac:dyDescent="0.25">
      <c r="A37" s="16" t="str">
        <f>HYPERLINK("#'Constants - Pasture Beef'!A1", "Constants - Pasture Beef")</f>
        <v>Constants - Pasture Beef</v>
      </c>
      <c r="D37" s="10" t="str" cm="1">
        <f t="array" ref="D37">Common_InputFunctions.Utility_DisplayArrayInTable(Scope3_SourceData.Scope3_Livestock_Data(), Table_SourceData_Scope3_Animals[[#Headers],[Category]], 0, 2)</f>
        <v>Beef cattle</v>
      </c>
      <c r="E37" s="10" t="str" cm="1">
        <f t="array" ref="E37">Common_InputFunctions.Utility_DisplayArrayInTable(Scope3_SourceData.Scope3_Livestock_Data(), Table_SourceData_Scope3_Animals[[#Headers],[Category]], 0, 2)</f>
        <v>Cattle, for manufacturing beef</v>
      </c>
      <c r="F37" s="10" t="str" cm="1">
        <f t="array" ref="F37">Common_InputFunctions.Utility_DisplayArrayInTable(Scope3_SourceData.Scope3_Livestock_Data(), Table_SourceData_Scope3_Animals[[#Headers],[Category]], 0, 2)</f>
        <v>QLD</v>
      </c>
      <c r="G37" s="10" t="str" cm="1">
        <f t="array" ref="G37">Common_InputFunctions.Utility_DisplayArrayInTable(Scope3_SourceData.Scope3_Livestock_Data(), Table_SourceData_Scope3_Animals[[#Headers],[Category]], 0, 2)</f>
        <v>kg liveweight</v>
      </c>
      <c r="H37" s="10" cm="1">
        <f t="array" ref="H37">Common_InputFunctions.Utility_DisplayArrayInTable(Scope3_SourceData.Scope3_Livestock_Data(), Table_SourceData_Scope3_Animals[[#Headers],[Category]], 0, 2)</f>
        <v>10.9</v>
      </c>
      <c r="I37" s="10" t="str" cm="1">
        <f t="array" ref="I37">Common_InputFunctions.Utility_DisplayArrayInTable(Scope3_SourceData.Scope3_Livestock_Data(), Table_SourceData_Scope3_Animals[[#Headers],[Category]], 0, 2)</f>
        <v>at market</v>
      </c>
      <c r="K37" s="10" t="s">
        <v>382</v>
      </c>
      <c r="L37" s="10" t="s">
        <v>382</v>
      </c>
    </row>
    <row r="38" spans="1:12" ht="20.100000000000001" customHeight="1" x14ac:dyDescent="0.25">
      <c r="A38" s="16" t="str">
        <f>HYPERLINK("#'Constants - Common Livestock'!A1", "Constants - Common Livestock")</f>
        <v>Constants - Common Livestock</v>
      </c>
      <c r="D38" s="10" t="str" cm="1">
        <f t="array" ref="D38">Common_InputFunctions.Utility_DisplayArrayInTable(Scope3_SourceData.Scope3_Livestock_Data(), Table_SourceData_Scope3_Animals[[#Headers],[Category]], 0, 2)</f>
        <v>Beef cattle</v>
      </c>
      <c r="E38" s="10" t="str" cm="1">
        <f t="array" ref="E38">Common_InputFunctions.Utility_DisplayArrayInTable(Scope3_SourceData.Scope3_Livestock_Data(), Table_SourceData_Scope3_Animals[[#Headers],[Category]], 0, 2)</f>
        <v>Cattle, for manufacturing beef</v>
      </c>
      <c r="F38" s="10" t="str" cm="1">
        <f t="array" ref="F38">Common_InputFunctions.Utility_DisplayArrayInTable(Scope3_SourceData.Scope3_Livestock_Data(), Table_SourceData_Scope3_Animals[[#Headers],[Category]], 0, 2)</f>
        <v>SA</v>
      </c>
      <c r="G38" s="10" t="str" cm="1">
        <f t="array" ref="G38">Common_InputFunctions.Utility_DisplayArrayInTable(Scope3_SourceData.Scope3_Livestock_Data(), Table_SourceData_Scope3_Animals[[#Headers],[Category]], 0, 2)</f>
        <v>kg liveweight</v>
      </c>
      <c r="H38" s="10" cm="1">
        <f t="array" ref="H38">Common_InputFunctions.Utility_DisplayArrayInTable(Scope3_SourceData.Scope3_Livestock_Data(), Table_SourceData_Scope3_Animals[[#Headers],[Category]], 0, 2)</f>
        <v>7.63</v>
      </c>
      <c r="I38" s="10" t="str" cm="1">
        <f t="array" ref="I38">Common_InputFunctions.Utility_DisplayArrayInTable(Scope3_SourceData.Scope3_Livestock_Data(), Table_SourceData_Scope3_Animals[[#Headers],[Category]], 0, 2)</f>
        <v>at market</v>
      </c>
      <c r="K38" s="10" t="s">
        <v>335</v>
      </c>
      <c r="L38" s="10" t="s">
        <v>335</v>
      </c>
    </row>
    <row r="39" spans="1:12" ht="20.100000000000001" customHeight="1" x14ac:dyDescent="0.25">
      <c r="A39" s="16" t="str">
        <f>HYPERLINK("#'Constants - Fertiliser'!A1", "Constants - Fertiliser")</f>
        <v>Constants - Fertiliser</v>
      </c>
      <c r="D39" s="10" t="str" cm="1">
        <f t="array" ref="D39">Common_InputFunctions.Utility_DisplayArrayInTable(Scope3_SourceData.Scope3_Livestock_Data(), Table_SourceData_Scope3_Animals[[#Headers],[Category]], 0, 2)</f>
        <v>Beef cattle</v>
      </c>
      <c r="E39" s="10" t="str" cm="1">
        <f t="array" ref="E39">Common_InputFunctions.Utility_DisplayArrayInTable(Scope3_SourceData.Scope3_Livestock_Data(), Table_SourceData_Scope3_Animals[[#Headers],[Category]], 0, 2)</f>
        <v>Cattle, for manufacturing beef</v>
      </c>
      <c r="F39" s="10" t="str" cm="1">
        <f t="array" ref="F39">Common_InputFunctions.Utility_DisplayArrayInTable(Scope3_SourceData.Scope3_Livestock_Data(), Table_SourceData_Scope3_Animals[[#Headers],[Category]], 0, 2)</f>
        <v>TAS</v>
      </c>
      <c r="G39" s="10" t="str" cm="1">
        <f t="array" ref="G39">Common_InputFunctions.Utility_DisplayArrayInTable(Scope3_SourceData.Scope3_Livestock_Data(), Table_SourceData_Scope3_Animals[[#Headers],[Category]], 0, 2)</f>
        <v>kg liveweight</v>
      </c>
      <c r="H39" s="10" cm="1">
        <f t="array" ref="H39">Common_InputFunctions.Utility_DisplayArrayInTable(Scope3_SourceData.Scope3_Livestock_Data(), Table_SourceData_Scope3_Animals[[#Headers],[Category]], 0, 2)</f>
        <v>8.75</v>
      </c>
      <c r="I39" s="10" t="str" cm="1">
        <f t="array" ref="I39">Common_InputFunctions.Utility_DisplayArrayInTable(Scope3_SourceData.Scope3_Livestock_Data(), Table_SourceData_Scope3_Animals[[#Headers],[Category]], 0, 2)</f>
        <v>at market</v>
      </c>
      <c r="K39" s="10" t="s">
        <v>429</v>
      </c>
      <c r="L39" s="10" t="s">
        <v>336</v>
      </c>
    </row>
    <row r="40" spans="1:12" ht="20.100000000000001" customHeight="1" x14ac:dyDescent="0.25">
      <c r="A40" s="16" t="str">
        <f>HYPERLINK("#'Constants - Electricity'!A1", "Constants - Electricity")</f>
        <v>Constants - Electricity</v>
      </c>
      <c r="D40" s="10" t="str" cm="1">
        <f t="array" ref="D40">Common_InputFunctions.Utility_DisplayArrayInTable(Scope3_SourceData.Scope3_Livestock_Data(), Table_SourceData_Scope3_Animals[[#Headers],[Category]], 0, 2)</f>
        <v>Beef cattle</v>
      </c>
      <c r="E40" s="10" t="str" cm="1">
        <f t="array" ref="E40">Common_InputFunctions.Utility_DisplayArrayInTable(Scope3_SourceData.Scope3_Livestock_Data(), Table_SourceData_Scope3_Animals[[#Headers],[Category]], 0, 2)</f>
        <v>Cattle, for manufacturing beef</v>
      </c>
      <c r="F40" s="10" t="str" cm="1">
        <f t="array" ref="F40">Common_InputFunctions.Utility_DisplayArrayInTable(Scope3_SourceData.Scope3_Livestock_Data(), Table_SourceData_Scope3_Animals[[#Headers],[Category]], 0, 2)</f>
        <v>VIC</v>
      </c>
      <c r="G40" s="10" t="str" cm="1">
        <f t="array" ref="G40">Common_InputFunctions.Utility_DisplayArrayInTable(Scope3_SourceData.Scope3_Livestock_Data(), Table_SourceData_Scope3_Animals[[#Headers],[Category]], 0, 2)</f>
        <v>kg liveweight</v>
      </c>
      <c r="H40" s="10" cm="1">
        <f t="array" ref="H40">Common_InputFunctions.Utility_DisplayArrayInTable(Scope3_SourceData.Scope3_Livestock_Data(), Table_SourceData_Scope3_Animals[[#Headers],[Category]], 0, 2)</f>
        <v>8.17</v>
      </c>
      <c r="I40" s="10" t="str" cm="1">
        <f t="array" ref="I40">Common_InputFunctions.Utility_DisplayArrayInTable(Scope3_SourceData.Scope3_Livestock_Data(), Table_SourceData_Scope3_Animals[[#Headers],[Category]], 0, 2)</f>
        <v>at market</v>
      </c>
      <c r="K40" s="10" t="s">
        <v>428</v>
      </c>
      <c r="L40" s="10" t="s">
        <v>336</v>
      </c>
    </row>
    <row r="41" spans="1:12" ht="20.100000000000001" customHeight="1" x14ac:dyDescent="0.25">
      <c r="A41" s="16" t="str">
        <f>HYPERLINK("#'Constants - Common'!A1", "Constants - Common")</f>
        <v>Constants - Common</v>
      </c>
      <c r="D41" s="10" t="str" cm="1">
        <f t="array" ref="D41">Common_InputFunctions.Utility_DisplayArrayInTable(Scope3_SourceData.Scope3_Livestock_Data(), Table_SourceData_Scope3_Animals[[#Headers],[Category]], 0, 2)</f>
        <v>Beef cattle</v>
      </c>
      <c r="E41" s="10" t="str" cm="1">
        <f t="array" ref="E41">Common_InputFunctions.Utility_DisplayArrayInTable(Scope3_SourceData.Scope3_Livestock_Data(), Table_SourceData_Scope3_Animals[[#Headers],[Category]], 0, 2)</f>
        <v>Cattle, for manufacturing beef</v>
      </c>
      <c r="F41" s="10" t="str" cm="1">
        <f t="array" ref="F41">Common_InputFunctions.Utility_DisplayArrayInTable(Scope3_SourceData.Scope3_Livestock_Data(), Table_SourceData_Scope3_Animals[[#Headers],[Category]], 0, 2)</f>
        <v>WA</v>
      </c>
      <c r="G41" s="10" t="str" cm="1">
        <f t="array" ref="G41">Common_InputFunctions.Utility_DisplayArrayInTable(Scope3_SourceData.Scope3_Livestock_Data(), Table_SourceData_Scope3_Animals[[#Headers],[Category]], 0, 2)</f>
        <v>kg liveweight</v>
      </c>
      <c r="H41" s="10" cm="1">
        <f t="array" ref="H41">Common_InputFunctions.Utility_DisplayArrayInTable(Scope3_SourceData.Scope3_Livestock_Data(), Table_SourceData_Scope3_Animals[[#Headers],[Category]], 0, 2)</f>
        <v>13.1</v>
      </c>
      <c r="I41" s="10" t="str" cm="1">
        <f t="array" ref="I41">Common_InputFunctions.Utility_DisplayArrayInTable(Scope3_SourceData.Scope3_Livestock_Data(), Table_SourceData_Scope3_Animals[[#Headers],[Category]], 0, 2)</f>
        <v>at market</v>
      </c>
      <c r="K41" s="10" t="s">
        <v>430</v>
      </c>
      <c r="L41" s="10" t="s">
        <v>336</v>
      </c>
    </row>
    <row r="42" spans="1:12" ht="20.100000000000001" customHeight="1" x14ac:dyDescent="0.25">
      <c r="D42" s="10" t="str" cm="1">
        <f t="array" ref="D42">Common_InputFunctions.Utility_DisplayArrayInTable(Scope3_SourceData.Scope3_Livestock_Data(), Table_SourceData_Scope3_Animals[[#Headers],[Category]], 0, 2)</f>
        <v>Beef cattle</v>
      </c>
      <c r="E42" s="10" t="str" cm="1">
        <f t="array" ref="E42">Common_InputFunctions.Utility_DisplayArrayInTable(Scope3_SourceData.Scope3_Livestock_Data(), Table_SourceData_Scope3_Animals[[#Headers],[Category]], 0, 2)</f>
        <v>Cattle, for prime beef</v>
      </c>
      <c r="F42" s="10" t="str" cm="1">
        <f t="array" ref="F42">Common_InputFunctions.Utility_DisplayArrayInTable(Scope3_SourceData.Scope3_Livestock_Data(), Table_SourceData_Scope3_Animals[[#Headers],[Category]], 0, 2)</f>
        <v>Australia</v>
      </c>
      <c r="G42" s="10" t="str" cm="1">
        <f t="array" ref="G42">Common_InputFunctions.Utility_DisplayArrayInTable(Scope3_SourceData.Scope3_Livestock_Data(), Table_SourceData_Scope3_Animals[[#Headers],[Category]], 0, 2)</f>
        <v>kg liveweight</v>
      </c>
      <c r="H42" s="10" cm="1">
        <f t="array" ref="H42">Common_InputFunctions.Utility_DisplayArrayInTable(Scope3_SourceData.Scope3_Livestock_Data(), Table_SourceData_Scope3_Animals[[#Headers],[Category]], 0, 2)</f>
        <v>14.5</v>
      </c>
      <c r="I42" s="10" t="str" cm="1">
        <f t="array" ref="I42">Common_InputFunctions.Utility_DisplayArrayInTable(Scope3_SourceData.Scope3_Livestock_Data(), Table_SourceData_Scope3_Animals[[#Headers],[Category]], 0, 2)</f>
        <v>at market</v>
      </c>
      <c r="K42" s="10" t="s">
        <v>431</v>
      </c>
      <c r="L42" s="10" t="s">
        <v>427</v>
      </c>
    </row>
    <row r="43" spans="1:12" ht="20.100000000000001" customHeight="1" x14ac:dyDescent="0.25">
      <c r="D43" s="10" t="str" cm="1">
        <f t="array" ref="D43">Common_InputFunctions.Utility_DisplayArrayInTable(Scope3_SourceData.Scope3_Livestock_Data(), Table_SourceData_Scope3_Animals[[#Headers],[Category]], 0, 2)</f>
        <v>Beef cattle</v>
      </c>
      <c r="E43" s="10" t="str" cm="1">
        <f t="array" ref="E43">Common_InputFunctions.Utility_DisplayArrayInTable(Scope3_SourceData.Scope3_Livestock_Data(), Table_SourceData_Scope3_Animals[[#Headers],[Category]], 0, 2)</f>
        <v>Cattle, for prime beef</v>
      </c>
      <c r="F43" s="10" t="str" cm="1">
        <f t="array" ref="F43">Common_InputFunctions.Utility_DisplayArrayInTable(Scope3_SourceData.Scope3_Livestock_Data(), Table_SourceData_Scope3_Animals[[#Headers],[Category]], 0, 2)</f>
        <v>NSW</v>
      </c>
      <c r="G43" s="10" t="str" cm="1">
        <f t="array" ref="G43">Common_InputFunctions.Utility_DisplayArrayInTable(Scope3_SourceData.Scope3_Livestock_Data(), Table_SourceData_Scope3_Animals[[#Headers],[Category]], 0, 2)</f>
        <v>kg liveweight</v>
      </c>
      <c r="H43" s="10" cm="1">
        <f t="array" ref="H43">Common_InputFunctions.Utility_DisplayArrayInTable(Scope3_SourceData.Scope3_Livestock_Data(), Table_SourceData_Scope3_Animals[[#Headers],[Category]], 0, 2)</f>
        <v>11.3</v>
      </c>
      <c r="I43" s="10" t="str" cm="1">
        <f t="array" ref="I43">Common_InputFunctions.Utility_DisplayArrayInTable(Scope3_SourceData.Scope3_Livestock_Data(), Table_SourceData_Scope3_Animals[[#Headers],[Category]], 0, 2)</f>
        <v>at market</v>
      </c>
      <c r="K43" s="10" t="s">
        <v>432</v>
      </c>
      <c r="L43" s="10" t="s">
        <v>427</v>
      </c>
    </row>
    <row r="44" spans="1:12" ht="20.100000000000001" customHeight="1" x14ac:dyDescent="0.25">
      <c r="D44" s="10" t="str" cm="1">
        <f t="array" ref="D44">Common_InputFunctions.Utility_DisplayArrayInTable(Scope3_SourceData.Scope3_Livestock_Data(), Table_SourceData_Scope3_Animals[[#Headers],[Category]], 0, 2)</f>
        <v>Beef cattle</v>
      </c>
      <c r="E44" s="10" t="str" cm="1">
        <f t="array" ref="E44">Common_InputFunctions.Utility_DisplayArrayInTable(Scope3_SourceData.Scope3_Livestock_Data(), Table_SourceData_Scope3_Animals[[#Headers],[Category]], 0, 2)</f>
        <v>Cattle, for prime beef</v>
      </c>
      <c r="F44" s="10" t="str" cm="1">
        <f t="array" ref="F44">Common_InputFunctions.Utility_DisplayArrayInTable(Scope3_SourceData.Scope3_Livestock_Data(), Table_SourceData_Scope3_Animals[[#Headers],[Category]], 0, 2)</f>
        <v>NT</v>
      </c>
      <c r="G44" s="10" t="str" cm="1">
        <f t="array" ref="G44">Common_InputFunctions.Utility_DisplayArrayInTable(Scope3_SourceData.Scope3_Livestock_Data(), Table_SourceData_Scope3_Animals[[#Headers],[Category]], 0, 2)</f>
        <v>kg liveweight</v>
      </c>
      <c r="H44" s="10" cm="1">
        <f t="array" ref="H44">Common_InputFunctions.Utility_DisplayArrayInTable(Scope3_SourceData.Scope3_Livestock_Data(), Table_SourceData_Scope3_Animals[[#Headers],[Category]], 0, 2)</f>
        <v>18.899999999999999</v>
      </c>
      <c r="I44" s="10" t="str" cm="1">
        <f t="array" ref="I44">Common_InputFunctions.Utility_DisplayArrayInTable(Scope3_SourceData.Scope3_Livestock_Data(), Table_SourceData_Scope3_Animals[[#Headers],[Category]], 0, 2)</f>
        <v>at market</v>
      </c>
      <c r="K44" s="10" t="s">
        <v>433</v>
      </c>
      <c r="L44" s="10" t="s">
        <v>427</v>
      </c>
    </row>
    <row r="45" spans="1:12" ht="20.100000000000001" customHeight="1" x14ac:dyDescent="0.25">
      <c r="D45" s="10" t="str" cm="1">
        <f t="array" ref="D45">Common_InputFunctions.Utility_DisplayArrayInTable(Scope3_SourceData.Scope3_Livestock_Data(), Table_SourceData_Scope3_Animals[[#Headers],[Category]], 0, 2)</f>
        <v>Beef cattle</v>
      </c>
      <c r="E45" s="10" t="str" cm="1">
        <f t="array" ref="E45">Common_InputFunctions.Utility_DisplayArrayInTable(Scope3_SourceData.Scope3_Livestock_Data(), Table_SourceData_Scope3_Animals[[#Headers],[Category]], 0, 2)</f>
        <v>Cattle, for prime beef</v>
      </c>
      <c r="F45" s="10" t="str" cm="1">
        <f t="array" ref="F45">Common_InputFunctions.Utility_DisplayArrayInTable(Scope3_SourceData.Scope3_Livestock_Data(), Table_SourceData_Scope3_Animals[[#Headers],[Category]], 0, 2)</f>
        <v>QLD</v>
      </c>
      <c r="G45" s="10" t="str" cm="1">
        <f t="array" ref="G45">Common_InputFunctions.Utility_DisplayArrayInTable(Scope3_SourceData.Scope3_Livestock_Data(), Table_SourceData_Scope3_Animals[[#Headers],[Category]], 0, 2)</f>
        <v>kg liveweight</v>
      </c>
      <c r="H45" s="10" cm="1">
        <f t="array" ref="H45">Common_InputFunctions.Utility_DisplayArrayInTable(Scope3_SourceData.Scope3_Livestock_Data(), Table_SourceData_Scope3_Animals[[#Headers],[Category]], 0, 2)</f>
        <v>13.9</v>
      </c>
      <c r="I45" s="10" t="str" cm="1">
        <f t="array" ref="I45">Common_InputFunctions.Utility_DisplayArrayInTable(Scope3_SourceData.Scope3_Livestock_Data(), Table_SourceData_Scope3_Animals[[#Headers],[Category]], 0, 2)</f>
        <v>at market</v>
      </c>
      <c r="K45" s="10" t="s">
        <v>434</v>
      </c>
      <c r="L45" s="10" t="s">
        <v>330</v>
      </c>
    </row>
    <row r="46" spans="1:12" ht="20.100000000000001" customHeight="1" x14ac:dyDescent="0.25">
      <c r="D46" s="10" t="str" cm="1">
        <f t="array" ref="D46">Common_InputFunctions.Utility_DisplayArrayInTable(Scope3_SourceData.Scope3_Livestock_Data(), Table_SourceData_Scope3_Animals[[#Headers],[Category]], 0, 2)</f>
        <v>Beef cattle</v>
      </c>
      <c r="E46" s="10" t="str" cm="1">
        <f t="array" ref="E46">Common_InputFunctions.Utility_DisplayArrayInTable(Scope3_SourceData.Scope3_Livestock_Data(), Table_SourceData_Scope3_Animals[[#Headers],[Category]], 0, 2)</f>
        <v>Cattle, for prime beef</v>
      </c>
      <c r="F46" s="10" t="str" cm="1">
        <f t="array" ref="F46">Common_InputFunctions.Utility_DisplayArrayInTable(Scope3_SourceData.Scope3_Livestock_Data(), Table_SourceData_Scope3_Animals[[#Headers],[Category]], 0, 2)</f>
        <v>SA</v>
      </c>
      <c r="G46" s="10" t="str" cm="1">
        <f t="array" ref="G46">Common_InputFunctions.Utility_DisplayArrayInTable(Scope3_SourceData.Scope3_Livestock_Data(), Table_SourceData_Scope3_Animals[[#Headers],[Category]], 0, 2)</f>
        <v>kg liveweight</v>
      </c>
      <c r="H46" s="10" cm="1">
        <f t="array" ref="H46">Common_InputFunctions.Utility_DisplayArrayInTable(Scope3_SourceData.Scope3_Livestock_Data(), Table_SourceData_Scope3_Animals[[#Headers],[Category]], 0, 2)</f>
        <v>12.3</v>
      </c>
      <c r="I46" s="10" t="str" cm="1">
        <f t="array" ref="I46">Common_InputFunctions.Utility_DisplayArrayInTable(Scope3_SourceData.Scope3_Livestock_Data(), Table_SourceData_Scope3_Animals[[#Headers],[Category]], 0, 2)</f>
        <v>at market</v>
      </c>
      <c r="K46" s="10" t="s">
        <v>435</v>
      </c>
      <c r="L46" s="10" t="s">
        <v>330</v>
      </c>
    </row>
    <row r="47" spans="1:12" ht="20.100000000000001" customHeight="1" x14ac:dyDescent="0.25">
      <c r="D47" s="10" t="str" cm="1">
        <f t="array" ref="D47">Common_InputFunctions.Utility_DisplayArrayInTable(Scope3_SourceData.Scope3_Livestock_Data(), Table_SourceData_Scope3_Animals[[#Headers],[Category]], 0, 2)</f>
        <v>Beef cattle</v>
      </c>
      <c r="E47" s="10" t="str" cm="1">
        <f t="array" ref="E47">Common_InputFunctions.Utility_DisplayArrayInTable(Scope3_SourceData.Scope3_Livestock_Data(), Table_SourceData_Scope3_Animals[[#Headers],[Category]], 0, 2)</f>
        <v>Cattle, for prime beef</v>
      </c>
      <c r="F47" s="10" t="str" cm="1">
        <f t="array" ref="F47">Common_InputFunctions.Utility_DisplayArrayInTable(Scope3_SourceData.Scope3_Livestock_Data(), Table_SourceData_Scope3_Animals[[#Headers],[Category]], 0, 2)</f>
        <v>TAS</v>
      </c>
      <c r="G47" s="10" t="str" cm="1">
        <f t="array" ref="G47">Common_InputFunctions.Utility_DisplayArrayInTable(Scope3_SourceData.Scope3_Livestock_Data(), Table_SourceData_Scope3_Animals[[#Headers],[Category]], 0, 2)</f>
        <v>kg liveweight</v>
      </c>
      <c r="H47" s="10" cm="1">
        <f t="array" ref="H47">Common_InputFunctions.Utility_DisplayArrayInTable(Scope3_SourceData.Scope3_Livestock_Data(), Table_SourceData_Scope3_Animals[[#Headers],[Category]], 0, 2)</f>
        <v>11.5</v>
      </c>
      <c r="I47" s="10" t="str" cm="1">
        <f t="array" ref="I47">Common_InputFunctions.Utility_DisplayArrayInTable(Scope3_SourceData.Scope3_Livestock_Data(), Table_SourceData_Scope3_Animals[[#Headers],[Category]], 0, 2)</f>
        <v>at market</v>
      </c>
      <c r="K47" s="10" t="s">
        <v>436</v>
      </c>
      <c r="L47" s="10" t="s">
        <v>330</v>
      </c>
    </row>
    <row r="48" spans="1:12" ht="20.100000000000001" customHeight="1" x14ac:dyDescent="0.25">
      <c r="D48" s="10" t="str" cm="1">
        <f t="array" ref="D48">Common_InputFunctions.Utility_DisplayArrayInTable(Scope3_SourceData.Scope3_Livestock_Data(), Table_SourceData_Scope3_Animals[[#Headers],[Category]], 0, 2)</f>
        <v>Beef cattle</v>
      </c>
      <c r="E48" s="10" t="str" cm="1">
        <f t="array" ref="E48">Common_InputFunctions.Utility_DisplayArrayInTable(Scope3_SourceData.Scope3_Livestock_Data(), Table_SourceData_Scope3_Animals[[#Headers],[Category]], 0, 2)</f>
        <v>Cattle, for prime beef</v>
      </c>
      <c r="F48" s="10" t="str" cm="1">
        <f t="array" ref="F48">Common_InputFunctions.Utility_DisplayArrayInTable(Scope3_SourceData.Scope3_Livestock_Data(), Table_SourceData_Scope3_Animals[[#Headers],[Category]], 0, 2)</f>
        <v>VIC</v>
      </c>
      <c r="G48" s="10" t="str" cm="1">
        <f t="array" ref="G48">Common_InputFunctions.Utility_DisplayArrayInTable(Scope3_SourceData.Scope3_Livestock_Data(), Table_SourceData_Scope3_Animals[[#Headers],[Category]], 0, 2)</f>
        <v>kg liveweight</v>
      </c>
      <c r="H48" s="10" cm="1">
        <f t="array" ref="H48">Common_InputFunctions.Utility_DisplayArrayInTable(Scope3_SourceData.Scope3_Livestock_Data(), Table_SourceData_Scope3_Animals[[#Headers],[Category]], 0, 2)</f>
        <v>11.5</v>
      </c>
      <c r="I48" s="10" t="str" cm="1">
        <f t="array" ref="I48">Common_InputFunctions.Utility_DisplayArrayInTable(Scope3_SourceData.Scope3_Livestock_Data(), Table_SourceData_Scope3_Animals[[#Headers],[Category]], 0, 2)</f>
        <v>at market</v>
      </c>
      <c r="K48" s="10" t="s">
        <v>437</v>
      </c>
      <c r="L48" s="10" t="s">
        <v>330</v>
      </c>
    </row>
    <row r="49" spans="4:12" ht="20.100000000000001" customHeight="1" x14ac:dyDescent="0.25">
      <c r="D49" s="10" t="str" cm="1">
        <f t="array" ref="D49">Common_InputFunctions.Utility_DisplayArrayInTable(Scope3_SourceData.Scope3_Livestock_Data(), Table_SourceData_Scope3_Animals[[#Headers],[Category]], 0, 2)</f>
        <v>Beef cattle</v>
      </c>
      <c r="E49" s="10" t="str" cm="1">
        <f t="array" ref="E49">Common_InputFunctions.Utility_DisplayArrayInTable(Scope3_SourceData.Scope3_Livestock_Data(), Table_SourceData_Scope3_Animals[[#Headers],[Category]], 0, 2)</f>
        <v>Cattle, for prime beef</v>
      </c>
      <c r="F49" s="10" t="str" cm="1">
        <f t="array" ref="F49">Common_InputFunctions.Utility_DisplayArrayInTable(Scope3_SourceData.Scope3_Livestock_Data(), Table_SourceData_Scope3_Animals[[#Headers],[Category]], 0, 2)</f>
        <v>WA</v>
      </c>
      <c r="G49" s="10" t="str" cm="1">
        <f t="array" ref="G49">Common_InputFunctions.Utility_DisplayArrayInTable(Scope3_SourceData.Scope3_Livestock_Data(), Table_SourceData_Scope3_Animals[[#Headers],[Category]], 0, 2)</f>
        <v>kg liveweight</v>
      </c>
      <c r="H49" s="10" cm="1">
        <f t="array" ref="H49">Common_InputFunctions.Utility_DisplayArrayInTable(Scope3_SourceData.Scope3_Livestock_Data(), Table_SourceData_Scope3_Animals[[#Headers],[Category]], 0, 2)</f>
        <v>20.8</v>
      </c>
      <c r="I49" s="10" t="str" cm="1">
        <f t="array" ref="I49">Common_InputFunctions.Utility_DisplayArrayInTable(Scope3_SourceData.Scope3_Livestock_Data(), Table_SourceData_Scope3_Animals[[#Headers],[Category]], 0, 2)</f>
        <v>at market</v>
      </c>
      <c r="K49" s="8" t="s">
        <v>328</v>
      </c>
      <c r="L49" s="8" t="s">
        <v>328</v>
      </c>
    </row>
    <row r="50" spans="4:12" ht="20.100000000000001" customHeight="1" x14ac:dyDescent="0.25">
      <c r="D50" s="10" t="str" cm="1">
        <f t="array" ref="D50">Common_InputFunctions.Utility_DisplayArrayInTable(Scope3_SourceData.Scope3_Livestock_Data(), Table_SourceData_Scope3_Animals[[#Headers],[Category]], 0, 2)</f>
        <v>Beef cattle</v>
      </c>
      <c r="E50" s="10" t="str" cm="1">
        <f t="array" ref="E50">Common_InputFunctions.Utility_DisplayArrayInTable(Scope3_SourceData.Scope3_Livestock_Data(), Table_SourceData_Scope3_Animals[[#Headers],[Category]], 0, 2)</f>
        <v>Cattle, weaners</v>
      </c>
      <c r="F50" s="10" t="str" cm="1">
        <f t="array" ref="F50">Common_InputFunctions.Utility_DisplayArrayInTable(Scope3_SourceData.Scope3_Livestock_Data(), Table_SourceData_Scope3_Animals[[#Headers],[Category]], 0, 2)</f>
        <v>Australia</v>
      </c>
      <c r="G50" s="10" t="str" cm="1">
        <f t="array" ref="G50">Common_InputFunctions.Utility_DisplayArrayInTable(Scope3_SourceData.Scope3_Livestock_Data(), Table_SourceData_Scope3_Animals[[#Headers],[Category]], 0, 2)</f>
        <v>kg liveweight</v>
      </c>
      <c r="H50" s="10" cm="1">
        <f t="array" ref="H50">Common_InputFunctions.Utility_DisplayArrayInTable(Scope3_SourceData.Scope3_Livestock_Data(), Table_SourceData_Scope3_Animals[[#Headers],[Category]], 0, 2)</f>
        <v>15.5</v>
      </c>
      <c r="I50" s="10" t="str" cm="1">
        <f t="array" ref="I50">Common_InputFunctions.Utility_DisplayArrayInTable(Scope3_SourceData.Scope3_Livestock_Data(), Table_SourceData_Scope3_Animals[[#Headers],[Category]], 0, 2)</f>
        <v>at market</v>
      </c>
    </row>
    <row r="51" spans="4:12" ht="20.100000000000001" customHeight="1" x14ac:dyDescent="0.25">
      <c r="D51" s="10" t="str" cm="1">
        <f t="array" ref="D51">Common_InputFunctions.Utility_DisplayArrayInTable(Scope3_SourceData.Scope3_Livestock_Data(), Table_SourceData_Scope3_Animals[[#Headers],[Category]], 0, 2)</f>
        <v>Beef cattle</v>
      </c>
      <c r="E51" s="10" t="str" cm="1">
        <f t="array" ref="E51">Common_InputFunctions.Utility_DisplayArrayInTable(Scope3_SourceData.Scope3_Livestock_Data(), Table_SourceData_Scope3_Animals[[#Headers],[Category]], 0, 2)</f>
        <v>Cattle, weaners</v>
      </c>
      <c r="F51" s="10" t="str" cm="1">
        <f t="array" ref="F51">Common_InputFunctions.Utility_DisplayArrayInTable(Scope3_SourceData.Scope3_Livestock_Data(), Table_SourceData_Scope3_Animals[[#Headers],[Category]], 0, 2)</f>
        <v>NSW</v>
      </c>
      <c r="G51" s="10" t="str" cm="1">
        <f t="array" ref="G51">Common_InputFunctions.Utility_DisplayArrayInTable(Scope3_SourceData.Scope3_Livestock_Data(), Table_SourceData_Scope3_Animals[[#Headers],[Category]], 0, 2)</f>
        <v>kg liveweight</v>
      </c>
      <c r="H51" s="10" cm="1">
        <f t="array" ref="H51">Common_InputFunctions.Utility_DisplayArrayInTable(Scope3_SourceData.Scope3_Livestock_Data(), Table_SourceData_Scope3_Animals[[#Headers],[Category]], 0, 2)</f>
        <v>12.7</v>
      </c>
      <c r="I51" s="10" t="str" cm="1">
        <f t="array" ref="I51">Common_InputFunctions.Utility_DisplayArrayInTable(Scope3_SourceData.Scope3_Livestock_Data(), Table_SourceData_Scope3_Animals[[#Headers],[Category]], 0, 2)</f>
        <v>at market</v>
      </c>
    </row>
    <row r="52" spans="4:12" ht="20.100000000000001" customHeight="1" x14ac:dyDescent="0.25">
      <c r="D52" s="10" t="str" cm="1">
        <f t="array" ref="D52">Common_InputFunctions.Utility_DisplayArrayInTable(Scope3_SourceData.Scope3_Livestock_Data(), Table_SourceData_Scope3_Animals[[#Headers],[Category]], 0, 2)</f>
        <v>Beef cattle</v>
      </c>
      <c r="E52" s="10" t="str" cm="1">
        <f t="array" ref="E52">Common_InputFunctions.Utility_DisplayArrayInTable(Scope3_SourceData.Scope3_Livestock_Data(), Table_SourceData_Scope3_Animals[[#Headers],[Category]], 0, 2)</f>
        <v>Cattle, weaners</v>
      </c>
      <c r="F52" s="10" t="str" cm="1">
        <f t="array" ref="F52">Common_InputFunctions.Utility_DisplayArrayInTable(Scope3_SourceData.Scope3_Livestock_Data(), Table_SourceData_Scope3_Animals[[#Headers],[Category]], 0, 2)</f>
        <v>NT</v>
      </c>
      <c r="G52" s="10" t="str" cm="1">
        <f t="array" ref="G52">Common_InputFunctions.Utility_DisplayArrayInTable(Scope3_SourceData.Scope3_Livestock_Data(), Table_SourceData_Scope3_Animals[[#Headers],[Category]], 0, 2)</f>
        <v>kg liveweight</v>
      </c>
      <c r="H52" s="10" cm="1">
        <f t="array" ref="H52">Common_InputFunctions.Utility_DisplayArrayInTable(Scope3_SourceData.Scope3_Livestock_Data(), Table_SourceData_Scope3_Animals[[#Headers],[Category]], 0, 2)</f>
        <v>19.100000000000001</v>
      </c>
      <c r="I52" s="10" t="str" cm="1">
        <f t="array" ref="I52">Common_InputFunctions.Utility_DisplayArrayInTable(Scope3_SourceData.Scope3_Livestock_Data(), Table_SourceData_Scope3_Animals[[#Headers],[Category]], 0, 2)</f>
        <v>at market</v>
      </c>
    </row>
    <row r="53" spans="4:12" ht="20.100000000000001" customHeight="1" x14ac:dyDescent="0.25">
      <c r="D53" s="10" t="str" cm="1">
        <f t="array" ref="D53">Common_InputFunctions.Utility_DisplayArrayInTable(Scope3_SourceData.Scope3_Livestock_Data(), Table_SourceData_Scope3_Animals[[#Headers],[Category]], 0, 2)</f>
        <v>Beef cattle</v>
      </c>
      <c r="E53" s="10" t="str" cm="1">
        <f t="array" ref="E53">Common_InputFunctions.Utility_DisplayArrayInTable(Scope3_SourceData.Scope3_Livestock_Data(), Table_SourceData_Scope3_Animals[[#Headers],[Category]], 0, 2)</f>
        <v>Cattle, weaners</v>
      </c>
      <c r="F53" s="10" t="str" cm="1">
        <f t="array" ref="F53">Common_InputFunctions.Utility_DisplayArrayInTable(Scope3_SourceData.Scope3_Livestock_Data(), Table_SourceData_Scope3_Animals[[#Headers],[Category]], 0, 2)</f>
        <v>QLD</v>
      </c>
      <c r="G53" s="10" t="str" cm="1">
        <f t="array" ref="G53">Common_InputFunctions.Utility_DisplayArrayInTable(Scope3_SourceData.Scope3_Livestock_Data(), Table_SourceData_Scope3_Animals[[#Headers],[Category]], 0, 2)</f>
        <v>kg liveweight</v>
      </c>
      <c r="H53" s="10" cm="1">
        <f t="array" ref="H53">Common_InputFunctions.Utility_DisplayArrayInTable(Scope3_SourceData.Scope3_Livestock_Data(), Table_SourceData_Scope3_Animals[[#Headers],[Category]], 0, 2)</f>
        <v>20.5</v>
      </c>
      <c r="I53" s="10" t="str" cm="1">
        <f t="array" ref="I53">Common_InputFunctions.Utility_DisplayArrayInTable(Scope3_SourceData.Scope3_Livestock_Data(), Table_SourceData_Scope3_Animals[[#Headers],[Category]], 0, 2)</f>
        <v>at market</v>
      </c>
    </row>
    <row r="54" spans="4:12" ht="20.100000000000001" customHeight="1" x14ac:dyDescent="0.25">
      <c r="D54" s="10" t="str" cm="1">
        <f t="array" ref="D54">Common_InputFunctions.Utility_DisplayArrayInTable(Scope3_SourceData.Scope3_Livestock_Data(), Table_SourceData_Scope3_Animals[[#Headers],[Category]], 0, 2)</f>
        <v>Beef cattle</v>
      </c>
      <c r="E54" s="10" t="str" cm="1">
        <f t="array" ref="E54">Common_InputFunctions.Utility_DisplayArrayInTable(Scope3_SourceData.Scope3_Livestock_Data(), Table_SourceData_Scope3_Animals[[#Headers],[Category]], 0, 2)</f>
        <v>Cattle, weaners</v>
      </c>
      <c r="F54" s="10" t="str" cm="1">
        <f t="array" ref="F54">Common_InputFunctions.Utility_DisplayArrayInTable(Scope3_SourceData.Scope3_Livestock_Data(), Table_SourceData_Scope3_Animals[[#Headers],[Category]], 0, 2)</f>
        <v>SA</v>
      </c>
      <c r="G54" s="10" t="str" cm="1">
        <f t="array" ref="G54">Common_InputFunctions.Utility_DisplayArrayInTable(Scope3_SourceData.Scope3_Livestock_Data(), Table_SourceData_Scope3_Animals[[#Headers],[Category]], 0, 2)</f>
        <v>kg liveweight</v>
      </c>
      <c r="H54" s="10" cm="1">
        <f t="array" ref="H54">Common_InputFunctions.Utility_DisplayArrayInTable(Scope3_SourceData.Scope3_Livestock_Data(), Table_SourceData_Scope3_Animals[[#Headers],[Category]], 0, 2)</f>
        <v>10.8</v>
      </c>
      <c r="I54" s="10" t="str" cm="1">
        <f t="array" ref="I54">Common_InputFunctions.Utility_DisplayArrayInTable(Scope3_SourceData.Scope3_Livestock_Data(), Table_SourceData_Scope3_Animals[[#Headers],[Category]], 0, 2)</f>
        <v>at market</v>
      </c>
    </row>
    <row r="55" spans="4:12" ht="20.100000000000001" customHeight="1" x14ac:dyDescent="0.25">
      <c r="D55" s="10" t="str" cm="1">
        <f t="array" ref="D55">Common_InputFunctions.Utility_DisplayArrayInTable(Scope3_SourceData.Scope3_Livestock_Data(), Table_SourceData_Scope3_Animals[[#Headers],[Category]], 0, 2)</f>
        <v>Beef cattle</v>
      </c>
      <c r="E55" s="10" t="str" cm="1">
        <f t="array" ref="E55">Common_InputFunctions.Utility_DisplayArrayInTable(Scope3_SourceData.Scope3_Livestock_Data(), Table_SourceData_Scope3_Animals[[#Headers],[Category]], 0, 2)</f>
        <v>Cattle, weaners</v>
      </c>
      <c r="F55" s="10" t="str" cm="1">
        <f t="array" ref="F55">Common_InputFunctions.Utility_DisplayArrayInTable(Scope3_SourceData.Scope3_Livestock_Data(), Table_SourceData_Scope3_Animals[[#Headers],[Category]], 0, 2)</f>
        <v>TAS</v>
      </c>
      <c r="G55" s="10" t="str" cm="1">
        <f t="array" ref="G55">Common_InputFunctions.Utility_DisplayArrayInTable(Scope3_SourceData.Scope3_Livestock_Data(), Table_SourceData_Scope3_Animals[[#Headers],[Category]], 0, 2)</f>
        <v>kg liveweight</v>
      </c>
      <c r="H55" s="10" cm="1">
        <f t="array" ref="H55">Common_InputFunctions.Utility_DisplayArrayInTable(Scope3_SourceData.Scope3_Livestock_Data(), Table_SourceData_Scope3_Animals[[#Headers],[Category]], 0, 2)</f>
        <v>13.4</v>
      </c>
      <c r="I55" s="10" t="str" cm="1">
        <f t="array" ref="I55">Common_InputFunctions.Utility_DisplayArrayInTable(Scope3_SourceData.Scope3_Livestock_Data(), Table_SourceData_Scope3_Animals[[#Headers],[Category]], 0, 2)</f>
        <v>at market</v>
      </c>
    </row>
    <row r="56" spans="4:12" ht="20.100000000000001" customHeight="1" x14ac:dyDescent="0.25">
      <c r="D56" s="10" t="str" cm="1">
        <f t="array" ref="D56">Common_InputFunctions.Utility_DisplayArrayInTable(Scope3_SourceData.Scope3_Livestock_Data(), Table_SourceData_Scope3_Animals[[#Headers],[Category]], 0, 2)</f>
        <v>Beef cattle</v>
      </c>
      <c r="E56" s="10" t="str" cm="1">
        <f t="array" ref="E56">Common_InputFunctions.Utility_DisplayArrayInTable(Scope3_SourceData.Scope3_Livestock_Data(), Table_SourceData_Scope3_Animals[[#Headers],[Category]], 0, 2)</f>
        <v>Cattle, weaners</v>
      </c>
      <c r="F56" s="10" t="str" cm="1">
        <f t="array" ref="F56">Common_InputFunctions.Utility_DisplayArrayInTable(Scope3_SourceData.Scope3_Livestock_Data(), Table_SourceData_Scope3_Animals[[#Headers],[Category]], 0, 2)</f>
        <v>VIC</v>
      </c>
      <c r="G56" s="10" t="str" cm="1">
        <f t="array" ref="G56">Common_InputFunctions.Utility_DisplayArrayInTable(Scope3_SourceData.Scope3_Livestock_Data(), Table_SourceData_Scope3_Animals[[#Headers],[Category]], 0, 2)</f>
        <v>kg liveweight</v>
      </c>
      <c r="H56" s="10" cm="1">
        <f t="array" ref="H56">Common_InputFunctions.Utility_DisplayArrayInTable(Scope3_SourceData.Scope3_Livestock_Data(), Table_SourceData_Scope3_Animals[[#Headers],[Category]], 0, 2)</f>
        <v>12</v>
      </c>
      <c r="I56" s="10" t="str" cm="1">
        <f t="array" ref="I56">Common_InputFunctions.Utility_DisplayArrayInTable(Scope3_SourceData.Scope3_Livestock_Data(), Table_SourceData_Scope3_Animals[[#Headers],[Category]], 0, 2)</f>
        <v>at market</v>
      </c>
    </row>
    <row r="57" spans="4:12" ht="20.100000000000001" customHeight="1" x14ac:dyDescent="0.25">
      <c r="D57" s="10" t="str" cm="1">
        <f t="array" ref="D57">Common_InputFunctions.Utility_DisplayArrayInTable(Scope3_SourceData.Scope3_Livestock_Data(), Table_SourceData_Scope3_Animals[[#Headers],[Category]], 0, 2)</f>
        <v>Beef cattle</v>
      </c>
      <c r="E57" s="10" t="str" cm="1">
        <f t="array" ref="E57">Common_InputFunctions.Utility_DisplayArrayInTable(Scope3_SourceData.Scope3_Livestock_Data(), Table_SourceData_Scope3_Animals[[#Headers],[Category]], 0, 2)</f>
        <v>Cattle, weaners</v>
      </c>
      <c r="F57" s="10" t="str" cm="1">
        <f t="array" ref="F57">Common_InputFunctions.Utility_DisplayArrayInTable(Scope3_SourceData.Scope3_Livestock_Data(), Table_SourceData_Scope3_Animals[[#Headers],[Category]], 0, 2)</f>
        <v>WA</v>
      </c>
      <c r="G57" s="10" t="str" cm="1">
        <f t="array" ref="G57">Common_InputFunctions.Utility_DisplayArrayInTable(Scope3_SourceData.Scope3_Livestock_Data(), Table_SourceData_Scope3_Animals[[#Headers],[Category]], 0, 2)</f>
        <v>kg liveweight</v>
      </c>
      <c r="H57" s="10" cm="1">
        <f t="array" ref="H57">Common_InputFunctions.Utility_DisplayArrayInTable(Scope3_SourceData.Scope3_Livestock_Data(), Table_SourceData_Scope3_Animals[[#Headers],[Category]], 0, 2)</f>
        <v>12.4</v>
      </c>
      <c r="I57" s="10" t="str" cm="1">
        <f t="array" ref="I57">Common_InputFunctions.Utility_DisplayArrayInTable(Scope3_SourceData.Scope3_Livestock_Data(), Table_SourceData_Scope3_Animals[[#Headers],[Category]], 0, 2)</f>
        <v>at market</v>
      </c>
    </row>
    <row r="58" spans="4:12" ht="20.100000000000001" customHeight="1" x14ac:dyDescent="0.25">
      <c r="D58" s="10" t="str" cm="1">
        <f t="array" ref="D58">Common_InputFunctions.Utility_DisplayArrayInTable(Scope3_SourceData.Scope3_Livestock_Data(), Table_SourceData_Scope3_Animals[[#Headers],[Category]], 0, 2)</f>
        <v>Chickens</v>
      </c>
      <c r="E58" s="10" t="str" cm="1">
        <f t="array" ref="E58">Common_InputFunctions.Utility_DisplayArrayInTable(Scope3_SourceData.Scope3_Livestock_Data(), Table_SourceData_Scope3_Animals[[#Headers],[Category]], 0, 2)</f>
        <v>Chickens</v>
      </c>
      <c r="F58" s="10" t="str" cm="1">
        <f t="array" ref="F58">Common_InputFunctions.Utility_DisplayArrayInTable(Scope3_SourceData.Scope3_Livestock_Data(), Table_SourceData_Scope3_Animals[[#Headers],[Category]], 0, 2)</f>
        <v>Australia</v>
      </c>
      <c r="G58" s="10" t="str" cm="1">
        <f t="array" ref="G58">Common_InputFunctions.Utility_DisplayArrayInTable(Scope3_SourceData.Scope3_Livestock_Data(), Table_SourceData_Scope3_Animals[[#Headers],[Category]], 0, 2)</f>
        <v>kg liveweight</v>
      </c>
      <c r="H58" s="10" cm="1">
        <f t="array" ref="H58">Common_InputFunctions.Utility_DisplayArrayInTable(Scope3_SourceData.Scope3_Livestock_Data(), Table_SourceData_Scope3_Animals[[#Headers],[Category]], 0, 2)</f>
        <v>1.36</v>
      </c>
      <c r="I58" s="10" t="str" cm="1">
        <f t="array" ref="I58">Common_InputFunctions.Utility_DisplayArrayInTable(Scope3_SourceData.Scope3_Livestock_Data(), Table_SourceData_Scope3_Animals[[#Headers],[Category]], 0, 2)</f>
        <v>at market</v>
      </c>
    </row>
    <row r="59" spans="4:12" ht="20.100000000000001" customHeight="1" x14ac:dyDescent="0.25">
      <c r="D59" s="10" t="str" cm="1">
        <f t="array" ref="D59">Common_InputFunctions.Utility_DisplayArrayInTable(Scope3_SourceData.Scope3_Livestock_Data(), Table_SourceData_Scope3_Animals[[#Headers],[Category]], 0, 2)</f>
        <v>Dairy cattle</v>
      </c>
      <c r="E59" s="10" t="str" cm="1">
        <f t="array" ref="E59">Common_InputFunctions.Utility_DisplayArrayInTable(Scope3_SourceData.Scope3_Livestock_Data(), Table_SourceData_Scope3_Animals[[#Headers],[Category]], 0, 2)</f>
        <v>Dairy cows</v>
      </c>
      <c r="F59" s="10" t="str" cm="1">
        <f t="array" ref="F59">Common_InputFunctions.Utility_DisplayArrayInTable(Scope3_SourceData.Scope3_Livestock_Data(), Table_SourceData_Scope3_Animals[[#Headers],[Category]], 0, 2)</f>
        <v>VIC</v>
      </c>
      <c r="G59" s="10" t="str" cm="1">
        <f t="array" ref="G59">Common_InputFunctions.Utility_DisplayArrayInTable(Scope3_SourceData.Scope3_Livestock_Data(), Table_SourceData_Scope3_Animals[[#Headers],[Category]], 0, 2)</f>
        <v>kg liveweight</v>
      </c>
      <c r="H59" s="10" cm="1">
        <f t="array" ref="H59">Common_InputFunctions.Utility_DisplayArrayInTable(Scope3_SourceData.Scope3_Livestock_Data(), Table_SourceData_Scope3_Animals[[#Headers],[Category]], 0, 2)</f>
        <v>4.41</v>
      </c>
      <c r="I59" s="10" t="str" cm="1">
        <f t="array" ref="I59">Common_InputFunctions.Utility_DisplayArrayInTable(Scope3_SourceData.Scope3_Livestock_Data(), Table_SourceData_Scope3_Animals[[#Headers],[Category]], 0, 2)</f>
        <v>at market</v>
      </c>
    </row>
    <row r="60" spans="4:12" ht="20.100000000000001" customHeight="1" x14ac:dyDescent="0.25">
      <c r="D60" s="10" t="str" cm="1">
        <f t="array" ref="D60">Common_InputFunctions.Utility_DisplayArrayInTable(Scope3_SourceData.Scope3_Livestock_Data(), Table_SourceData_Scope3_Animals[[#Headers],[Category]], 0, 2)</f>
        <v>Pigs</v>
      </c>
      <c r="E60" s="10" t="str" cm="1">
        <f t="array" ref="E60">Common_InputFunctions.Utility_DisplayArrayInTable(Scope3_SourceData.Scope3_Livestock_Data(), Table_SourceData_Scope3_Animals[[#Headers],[Category]], 0, 2)</f>
        <v>Pigs</v>
      </c>
      <c r="F60" s="10" t="str" cm="1">
        <f t="array" ref="F60">Common_InputFunctions.Utility_DisplayArrayInTable(Scope3_SourceData.Scope3_Livestock_Data(), Table_SourceData_Scope3_Animals[[#Headers],[Category]], 0, 2)</f>
        <v>Australia</v>
      </c>
      <c r="G60" s="10" t="str" cm="1">
        <f t="array" ref="G60">Common_InputFunctions.Utility_DisplayArrayInTable(Scope3_SourceData.Scope3_Livestock_Data(), Table_SourceData_Scope3_Animals[[#Headers],[Category]], 0, 2)</f>
        <v>kg liveweight</v>
      </c>
      <c r="H60" s="10" cm="1">
        <f t="array" ref="H60">Common_InputFunctions.Utility_DisplayArrayInTable(Scope3_SourceData.Scope3_Livestock_Data(), Table_SourceData_Scope3_Animals[[#Headers],[Category]], 0, 2)</f>
        <v>3.38</v>
      </c>
      <c r="I60" s="10" t="str" cm="1">
        <f t="array" ref="I60">Common_InputFunctions.Utility_DisplayArrayInTable(Scope3_SourceData.Scope3_Livestock_Data(), Table_SourceData_Scope3_Animals[[#Headers],[Category]], 0, 2)</f>
        <v>at market</v>
      </c>
    </row>
    <row r="61" spans="4:12" ht="20.100000000000001" customHeight="1" x14ac:dyDescent="0.25">
      <c r="D61" s="10" t="str" cm="1">
        <f t="array" ref="D61">Common_InputFunctions.Utility_DisplayArrayInTable(Scope3_SourceData.Scope3_Livestock_Data(), Table_SourceData_Scope3_Animals[[#Headers],[Category]], 0, 2)</f>
        <v>Sheep</v>
      </c>
      <c r="E61" s="10" t="str" cm="1">
        <f t="array" ref="E61">Common_InputFunctions.Utility_DisplayArrayInTable(Scope3_SourceData.Scope3_Livestock_Data(), Table_SourceData_Scope3_Animals[[#Headers],[Category]], 0, 2)</f>
        <v>Sheep, for mutton</v>
      </c>
      <c r="F61" s="10" t="str" cm="1">
        <f t="array" ref="F61">Common_InputFunctions.Utility_DisplayArrayInTable(Scope3_SourceData.Scope3_Livestock_Data(), Table_SourceData_Scope3_Animals[[#Headers],[Category]], 0, 2)</f>
        <v>Australia</v>
      </c>
      <c r="G61" s="10" t="str" cm="1">
        <f t="array" ref="G61">Common_InputFunctions.Utility_DisplayArrayInTable(Scope3_SourceData.Scope3_Livestock_Data(), Table_SourceData_Scope3_Animals[[#Headers],[Category]], 0, 2)</f>
        <v>kg liveweight</v>
      </c>
      <c r="H61" s="10" cm="1">
        <f t="array" ref="H61">Common_InputFunctions.Utility_DisplayArrayInTable(Scope3_SourceData.Scope3_Livestock_Data(), Table_SourceData_Scope3_Animals[[#Headers],[Category]], 0, 2)</f>
        <v>6.81</v>
      </c>
      <c r="I61" s="10" t="str" cm="1">
        <f t="array" ref="I61">Common_InputFunctions.Utility_DisplayArrayInTable(Scope3_SourceData.Scope3_Livestock_Data(), Table_SourceData_Scope3_Animals[[#Headers],[Category]], 0, 2)</f>
        <v>at market</v>
      </c>
    </row>
    <row r="62" spans="4:12" ht="20.100000000000001" customHeight="1" x14ac:dyDescent="0.25">
      <c r="D62" s="10" t="str" cm="1">
        <f t="array" ref="D62">Common_InputFunctions.Utility_DisplayArrayInTable(Scope3_SourceData.Scope3_Livestock_Data(), Table_SourceData_Scope3_Animals[[#Headers],[Category]], 0, 2)</f>
        <v>Sheep</v>
      </c>
      <c r="E62" s="10" t="str" cm="1">
        <f t="array" ref="E62">Common_InputFunctions.Utility_DisplayArrayInTable(Scope3_SourceData.Scope3_Livestock_Data(), Table_SourceData_Scope3_Animals[[#Headers],[Category]], 0, 2)</f>
        <v>Sheep, for mutton</v>
      </c>
      <c r="F62" s="10" t="str" cm="1">
        <f t="array" ref="F62">Common_InputFunctions.Utility_DisplayArrayInTable(Scope3_SourceData.Scope3_Livestock_Data(), Table_SourceData_Scope3_Animals[[#Headers],[Category]], 0, 2)</f>
        <v>NSW</v>
      </c>
      <c r="G62" s="10" t="str" cm="1">
        <f t="array" ref="G62">Common_InputFunctions.Utility_DisplayArrayInTable(Scope3_SourceData.Scope3_Livestock_Data(), Table_SourceData_Scope3_Animals[[#Headers],[Category]], 0, 2)</f>
        <v>kg liveweight</v>
      </c>
      <c r="H62" s="10" cm="1">
        <f t="array" ref="H62">Common_InputFunctions.Utility_DisplayArrayInTable(Scope3_SourceData.Scope3_Livestock_Data(), Table_SourceData_Scope3_Animals[[#Headers],[Category]], 0, 2)</f>
        <v>2.2599999999999998</v>
      </c>
      <c r="I62" s="10" t="str" cm="1">
        <f t="array" ref="I62">Common_InputFunctions.Utility_DisplayArrayInTable(Scope3_SourceData.Scope3_Livestock_Data(), Table_SourceData_Scope3_Animals[[#Headers],[Category]], 0, 2)</f>
        <v>at market</v>
      </c>
    </row>
    <row r="63" spans="4:12" ht="20.100000000000001" customHeight="1" x14ac:dyDescent="0.25">
      <c r="D63" s="10" t="str" cm="1">
        <f t="array" ref="D63">Common_InputFunctions.Utility_DisplayArrayInTable(Scope3_SourceData.Scope3_Livestock_Data(), Table_SourceData_Scope3_Animals[[#Headers],[Category]], 0, 2)</f>
        <v>Sheep</v>
      </c>
      <c r="E63" s="10" t="str" cm="1">
        <f t="array" ref="E63">Common_InputFunctions.Utility_DisplayArrayInTable(Scope3_SourceData.Scope3_Livestock_Data(), Table_SourceData_Scope3_Animals[[#Headers],[Category]], 0, 2)</f>
        <v>Sheep, for mutton</v>
      </c>
      <c r="F63" s="10" t="str" cm="1">
        <f t="array" ref="F63">Common_InputFunctions.Utility_DisplayArrayInTable(Scope3_SourceData.Scope3_Livestock_Data(), Table_SourceData_Scope3_Animals[[#Headers],[Category]], 0, 2)</f>
        <v>QLD</v>
      </c>
      <c r="G63" s="10" t="str" cm="1">
        <f t="array" ref="G63">Common_InputFunctions.Utility_DisplayArrayInTable(Scope3_SourceData.Scope3_Livestock_Data(), Table_SourceData_Scope3_Animals[[#Headers],[Category]], 0, 2)</f>
        <v>kg liveweight</v>
      </c>
      <c r="H63" s="10" cm="1">
        <f t="array" ref="H63">Common_InputFunctions.Utility_DisplayArrayInTable(Scope3_SourceData.Scope3_Livestock_Data(), Table_SourceData_Scope3_Animals[[#Headers],[Category]], 0, 2)</f>
        <v>6.33</v>
      </c>
      <c r="I63" s="10" t="str" cm="1">
        <f t="array" ref="I63">Common_InputFunctions.Utility_DisplayArrayInTable(Scope3_SourceData.Scope3_Livestock_Data(), Table_SourceData_Scope3_Animals[[#Headers],[Category]], 0, 2)</f>
        <v>at market</v>
      </c>
    </row>
    <row r="64" spans="4:12" ht="20.100000000000001" customHeight="1" x14ac:dyDescent="0.25">
      <c r="D64" s="10" t="str" cm="1">
        <f t="array" ref="D64">Common_InputFunctions.Utility_DisplayArrayInTable(Scope3_SourceData.Scope3_Livestock_Data(), Table_SourceData_Scope3_Animals[[#Headers],[Category]], 0, 2)</f>
        <v>Sheep</v>
      </c>
      <c r="E64" s="10" t="str" cm="1">
        <f t="array" ref="E64">Common_InputFunctions.Utility_DisplayArrayInTable(Scope3_SourceData.Scope3_Livestock_Data(), Table_SourceData_Scope3_Animals[[#Headers],[Category]], 0, 2)</f>
        <v>Sheep, for mutton</v>
      </c>
      <c r="F64" s="10" t="str" cm="1">
        <f t="array" ref="F64">Common_InputFunctions.Utility_DisplayArrayInTable(Scope3_SourceData.Scope3_Livestock_Data(), Table_SourceData_Scope3_Animals[[#Headers],[Category]], 0, 2)</f>
        <v>SA</v>
      </c>
      <c r="G64" s="10" t="str" cm="1">
        <f t="array" ref="G64">Common_InputFunctions.Utility_DisplayArrayInTable(Scope3_SourceData.Scope3_Livestock_Data(), Table_SourceData_Scope3_Animals[[#Headers],[Category]], 0, 2)</f>
        <v>kg liveweight</v>
      </c>
      <c r="H64" s="10" cm="1">
        <f t="array" ref="H64">Common_InputFunctions.Utility_DisplayArrayInTable(Scope3_SourceData.Scope3_Livestock_Data(), Table_SourceData_Scope3_Animals[[#Headers],[Category]], 0, 2)</f>
        <v>6.18</v>
      </c>
      <c r="I64" s="10" t="str" cm="1">
        <f t="array" ref="I64">Common_InputFunctions.Utility_DisplayArrayInTable(Scope3_SourceData.Scope3_Livestock_Data(), Table_SourceData_Scope3_Animals[[#Headers],[Category]], 0, 2)</f>
        <v>at market</v>
      </c>
    </row>
    <row r="65" spans="4:9" ht="20.100000000000001" customHeight="1" x14ac:dyDescent="0.25">
      <c r="D65" s="10" t="str" cm="1">
        <f t="array" ref="D65">Common_InputFunctions.Utility_DisplayArrayInTable(Scope3_SourceData.Scope3_Livestock_Data(), Table_SourceData_Scope3_Animals[[#Headers],[Category]], 0, 2)</f>
        <v>Sheep</v>
      </c>
      <c r="E65" s="10" t="str" cm="1">
        <f t="array" ref="E65">Common_InputFunctions.Utility_DisplayArrayInTable(Scope3_SourceData.Scope3_Livestock_Data(), Table_SourceData_Scope3_Animals[[#Headers],[Category]], 0, 2)</f>
        <v>Sheep, for mutton</v>
      </c>
      <c r="F65" s="10" t="str" cm="1">
        <f t="array" ref="F65">Common_InputFunctions.Utility_DisplayArrayInTable(Scope3_SourceData.Scope3_Livestock_Data(), Table_SourceData_Scope3_Animals[[#Headers],[Category]], 0, 2)</f>
        <v>TAS</v>
      </c>
      <c r="G65" s="10" t="str" cm="1">
        <f t="array" ref="G65">Common_InputFunctions.Utility_DisplayArrayInTable(Scope3_SourceData.Scope3_Livestock_Data(), Table_SourceData_Scope3_Animals[[#Headers],[Category]], 0, 2)</f>
        <v>kg liveweight</v>
      </c>
      <c r="H65" s="10" cm="1">
        <f t="array" ref="H65">Common_InputFunctions.Utility_DisplayArrayInTable(Scope3_SourceData.Scope3_Livestock_Data(), Table_SourceData_Scope3_Animals[[#Headers],[Category]], 0, 2)</f>
        <v>7.5</v>
      </c>
      <c r="I65" s="10" t="str" cm="1">
        <f t="array" ref="I65">Common_InputFunctions.Utility_DisplayArrayInTable(Scope3_SourceData.Scope3_Livestock_Data(), Table_SourceData_Scope3_Animals[[#Headers],[Category]], 0, 2)</f>
        <v>at market</v>
      </c>
    </row>
    <row r="66" spans="4:9" ht="20.100000000000001" customHeight="1" x14ac:dyDescent="0.25">
      <c r="D66" s="10" t="str" cm="1">
        <f t="array" ref="D66">Common_InputFunctions.Utility_DisplayArrayInTable(Scope3_SourceData.Scope3_Livestock_Data(), Table_SourceData_Scope3_Animals[[#Headers],[Category]], 0, 2)</f>
        <v>Sheep</v>
      </c>
      <c r="E66" s="10" t="str" cm="1">
        <f t="array" ref="E66">Common_InputFunctions.Utility_DisplayArrayInTable(Scope3_SourceData.Scope3_Livestock_Data(), Table_SourceData_Scope3_Animals[[#Headers],[Category]], 0, 2)</f>
        <v>Sheep, for mutton</v>
      </c>
      <c r="F66" s="10" t="str" cm="1">
        <f t="array" ref="F66">Common_InputFunctions.Utility_DisplayArrayInTable(Scope3_SourceData.Scope3_Livestock_Data(), Table_SourceData_Scope3_Animals[[#Headers],[Category]], 0, 2)</f>
        <v>VIC</v>
      </c>
      <c r="G66" s="10" t="str" cm="1">
        <f t="array" ref="G66">Common_InputFunctions.Utility_DisplayArrayInTable(Scope3_SourceData.Scope3_Livestock_Data(), Table_SourceData_Scope3_Animals[[#Headers],[Category]], 0, 2)</f>
        <v>kg liveweight</v>
      </c>
      <c r="H66" s="10" cm="1">
        <f t="array" ref="H66">Common_InputFunctions.Utility_DisplayArrayInTable(Scope3_SourceData.Scope3_Livestock_Data(), Table_SourceData_Scope3_Animals[[#Headers],[Category]], 0, 2)</f>
        <v>8.08</v>
      </c>
      <c r="I66" s="10" t="str" cm="1">
        <f t="array" ref="I66">Common_InputFunctions.Utility_DisplayArrayInTable(Scope3_SourceData.Scope3_Livestock_Data(), Table_SourceData_Scope3_Animals[[#Headers],[Category]], 0, 2)</f>
        <v>at market</v>
      </c>
    </row>
    <row r="67" spans="4:9" ht="20.100000000000001" customHeight="1" x14ac:dyDescent="0.25">
      <c r="D67" s="10" t="str" cm="1">
        <f t="array" ref="D67">Common_InputFunctions.Utility_DisplayArrayInTable(Scope3_SourceData.Scope3_Livestock_Data(), Table_SourceData_Scope3_Animals[[#Headers],[Category]], 0, 2)</f>
        <v>Sheep</v>
      </c>
      <c r="E67" s="10" t="str" cm="1">
        <f t="array" ref="E67">Common_InputFunctions.Utility_DisplayArrayInTable(Scope3_SourceData.Scope3_Livestock_Data(), Table_SourceData_Scope3_Animals[[#Headers],[Category]], 0, 2)</f>
        <v>Sheep, for mutton</v>
      </c>
      <c r="F67" s="10" t="str" cm="1">
        <f t="array" ref="F67">Common_InputFunctions.Utility_DisplayArrayInTable(Scope3_SourceData.Scope3_Livestock_Data(), Table_SourceData_Scope3_Animals[[#Headers],[Category]], 0, 2)</f>
        <v>WA</v>
      </c>
      <c r="G67" s="10" t="str" cm="1">
        <f t="array" ref="G67">Common_InputFunctions.Utility_DisplayArrayInTable(Scope3_SourceData.Scope3_Livestock_Data(), Table_SourceData_Scope3_Animals[[#Headers],[Category]], 0, 2)</f>
        <v>kg liveweight</v>
      </c>
      <c r="H67" s="10" cm="1">
        <f t="array" ref="H67">Common_InputFunctions.Utility_DisplayArrayInTable(Scope3_SourceData.Scope3_Livestock_Data(), Table_SourceData_Scope3_Animals[[#Headers],[Category]], 0, 2)</f>
        <v>5.45</v>
      </c>
      <c r="I67" s="10" t="str" cm="1">
        <f t="array" ref="I67">Common_InputFunctions.Utility_DisplayArrayInTable(Scope3_SourceData.Scope3_Livestock_Data(), Table_SourceData_Scope3_Animals[[#Headers],[Category]], 0, 2)</f>
        <v>at market</v>
      </c>
    </row>
    <row r="68" spans="4:9" ht="20.100000000000001" customHeight="1" x14ac:dyDescent="0.25">
      <c r="D68" s="10" t="str" cm="1">
        <f t="array" ref="D68">Common_InputFunctions.Utility_DisplayArrayInTable(Scope3_SourceData.Scope3_Livestock_Data(), Table_SourceData_Scope3_Animals[[#Headers],[Category]], 0, 2)</f>
        <v>Sheep</v>
      </c>
      <c r="E68" s="10" t="str" cm="1">
        <f t="array" ref="E68">Common_InputFunctions.Utility_DisplayArrayInTable(Scope3_SourceData.Scope3_Livestock_Data(), Table_SourceData_Scope3_Animals[[#Headers],[Category]], 0, 2)</f>
        <v>Sheep, for prime lamb</v>
      </c>
      <c r="F68" s="10" t="str" cm="1">
        <f t="array" ref="F68">Common_InputFunctions.Utility_DisplayArrayInTable(Scope3_SourceData.Scope3_Livestock_Data(), Table_SourceData_Scope3_Animals[[#Headers],[Category]], 0, 2)</f>
        <v>Australia</v>
      </c>
      <c r="G68" s="10" t="str" cm="1">
        <f t="array" ref="G68">Common_InputFunctions.Utility_DisplayArrayInTable(Scope3_SourceData.Scope3_Livestock_Data(), Table_SourceData_Scope3_Animals[[#Headers],[Category]], 0, 2)</f>
        <v>kg liveweight</v>
      </c>
      <c r="H68" s="10" cm="1">
        <f t="array" ref="H68">Common_InputFunctions.Utility_DisplayArrayInTable(Scope3_SourceData.Scope3_Livestock_Data(), Table_SourceData_Scope3_Animals[[#Headers],[Category]], 0, 2)</f>
        <v>7.15</v>
      </c>
      <c r="I68" s="10" t="str" cm="1">
        <f t="array" ref="I68">Common_InputFunctions.Utility_DisplayArrayInTable(Scope3_SourceData.Scope3_Livestock_Data(), Table_SourceData_Scope3_Animals[[#Headers],[Category]], 0, 2)</f>
        <v>at market</v>
      </c>
    </row>
    <row r="69" spans="4:9" ht="20.100000000000001" customHeight="1" x14ac:dyDescent="0.25">
      <c r="D69" s="10" t="str" cm="1">
        <f t="array" ref="D69">Common_InputFunctions.Utility_DisplayArrayInTable(Scope3_SourceData.Scope3_Livestock_Data(), Table_SourceData_Scope3_Animals[[#Headers],[Category]], 0, 2)</f>
        <v>Sheep</v>
      </c>
      <c r="E69" s="10" t="str" cm="1">
        <f t="array" ref="E69">Common_InputFunctions.Utility_DisplayArrayInTable(Scope3_SourceData.Scope3_Livestock_Data(), Table_SourceData_Scope3_Animals[[#Headers],[Category]], 0, 2)</f>
        <v>Sheep, for prime lamb</v>
      </c>
      <c r="F69" s="10" t="str" cm="1">
        <f t="array" ref="F69">Common_InputFunctions.Utility_DisplayArrayInTable(Scope3_SourceData.Scope3_Livestock_Data(), Table_SourceData_Scope3_Animals[[#Headers],[Category]], 0, 2)</f>
        <v>NSW</v>
      </c>
      <c r="G69" s="10" t="str" cm="1">
        <f t="array" ref="G69">Common_InputFunctions.Utility_DisplayArrayInTable(Scope3_SourceData.Scope3_Livestock_Data(), Table_SourceData_Scope3_Animals[[#Headers],[Category]], 0, 2)</f>
        <v>kg liveweight</v>
      </c>
      <c r="H69" s="10" cm="1">
        <f t="array" ref="H69">Common_InputFunctions.Utility_DisplayArrayInTable(Scope3_SourceData.Scope3_Livestock_Data(), Table_SourceData_Scope3_Animals[[#Headers],[Category]], 0, 2)</f>
        <v>8.2899999999999991</v>
      </c>
      <c r="I69" s="10" t="str" cm="1">
        <f t="array" ref="I69">Common_InputFunctions.Utility_DisplayArrayInTable(Scope3_SourceData.Scope3_Livestock_Data(), Table_SourceData_Scope3_Animals[[#Headers],[Category]], 0, 2)</f>
        <v>at market</v>
      </c>
    </row>
    <row r="70" spans="4:9" ht="20.100000000000001" customHeight="1" x14ac:dyDescent="0.25">
      <c r="D70" s="10" t="str" cm="1">
        <f t="array" ref="D70">Common_InputFunctions.Utility_DisplayArrayInTable(Scope3_SourceData.Scope3_Livestock_Data(), Table_SourceData_Scope3_Animals[[#Headers],[Category]], 0, 2)</f>
        <v>Sheep</v>
      </c>
      <c r="E70" s="10" t="str" cm="1">
        <f t="array" ref="E70">Common_InputFunctions.Utility_DisplayArrayInTable(Scope3_SourceData.Scope3_Livestock_Data(), Table_SourceData_Scope3_Animals[[#Headers],[Category]], 0, 2)</f>
        <v>Sheep, for prime lamb</v>
      </c>
      <c r="F70" s="10" t="str" cm="1">
        <f t="array" ref="F70">Common_InputFunctions.Utility_DisplayArrayInTable(Scope3_SourceData.Scope3_Livestock_Data(), Table_SourceData_Scope3_Animals[[#Headers],[Category]], 0, 2)</f>
        <v>QLD</v>
      </c>
      <c r="G70" s="10" t="str" cm="1">
        <f t="array" ref="G70">Common_InputFunctions.Utility_DisplayArrayInTable(Scope3_SourceData.Scope3_Livestock_Data(), Table_SourceData_Scope3_Animals[[#Headers],[Category]], 0, 2)</f>
        <v>kg liveweight</v>
      </c>
      <c r="H70" s="10" cm="1">
        <f t="array" ref="H70">Common_InputFunctions.Utility_DisplayArrayInTable(Scope3_SourceData.Scope3_Livestock_Data(), Table_SourceData_Scope3_Animals[[#Headers],[Category]], 0, 2)</f>
        <v>6.39</v>
      </c>
      <c r="I70" s="10" t="str" cm="1">
        <f t="array" ref="I70">Common_InputFunctions.Utility_DisplayArrayInTable(Scope3_SourceData.Scope3_Livestock_Data(), Table_SourceData_Scope3_Animals[[#Headers],[Category]], 0, 2)</f>
        <v>at market</v>
      </c>
    </row>
    <row r="71" spans="4:9" ht="20.100000000000001" customHeight="1" x14ac:dyDescent="0.25">
      <c r="D71" s="10" t="str" cm="1">
        <f t="array" ref="D71">Common_InputFunctions.Utility_DisplayArrayInTable(Scope3_SourceData.Scope3_Livestock_Data(), Table_SourceData_Scope3_Animals[[#Headers],[Category]], 0, 2)</f>
        <v>Sheep</v>
      </c>
      <c r="E71" s="10" t="str" cm="1">
        <f t="array" ref="E71">Common_InputFunctions.Utility_DisplayArrayInTable(Scope3_SourceData.Scope3_Livestock_Data(), Table_SourceData_Scope3_Animals[[#Headers],[Category]], 0, 2)</f>
        <v>Sheep, for prime lamb</v>
      </c>
      <c r="F71" s="10" t="str" cm="1">
        <f t="array" ref="F71">Common_InputFunctions.Utility_DisplayArrayInTable(Scope3_SourceData.Scope3_Livestock_Data(), Table_SourceData_Scope3_Animals[[#Headers],[Category]], 0, 2)</f>
        <v>SA</v>
      </c>
      <c r="G71" s="10" t="str" cm="1">
        <f t="array" ref="G71">Common_InputFunctions.Utility_DisplayArrayInTable(Scope3_SourceData.Scope3_Livestock_Data(), Table_SourceData_Scope3_Animals[[#Headers],[Category]], 0, 2)</f>
        <v>kg liveweight</v>
      </c>
      <c r="H71" s="10" cm="1">
        <f t="array" ref="H71">Common_InputFunctions.Utility_DisplayArrayInTable(Scope3_SourceData.Scope3_Livestock_Data(), Table_SourceData_Scope3_Animals[[#Headers],[Category]], 0, 2)</f>
        <v>6.87</v>
      </c>
      <c r="I71" s="10" t="str" cm="1">
        <f t="array" ref="I71">Common_InputFunctions.Utility_DisplayArrayInTable(Scope3_SourceData.Scope3_Livestock_Data(), Table_SourceData_Scope3_Animals[[#Headers],[Category]], 0, 2)</f>
        <v>at market</v>
      </c>
    </row>
    <row r="72" spans="4:9" ht="20.100000000000001" customHeight="1" x14ac:dyDescent="0.25">
      <c r="D72" s="10" t="str" cm="1">
        <f t="array" ref="D72">Common_InputFunctions.Utility_DisplayArrayInTable(Scope3_SourceData.Scope3_Livestock_Data(), Table_SourceData_Scope3_Animals[[#Headers],[Category]], 0, 2)</f>
        <v>Sheep</v>
      </c>
      <c r="E72" s="10" t="str" cm="1">
        <f t="array" ref="E72">Common_InputFunctions.Utility_DisplayArrayInTable(Scope3_SourceData.Scope3_Livestock_Data(), Table_SourceData_Scope3_Animals[[#Headers],[Category]], 0, 2)</f>
        <v>Sheep, for prime lamb</v>
      </c>
      <c r="F72" s="10" t="str" cm="1">
        <f t="array" ref="F72">Common_InputFunctions.Utility_DisplayArrayInTable(Scope3_SourceData.Scope3_Livestock_Data(), Table_SourceData_Scope3_Animals[[#Headers],[Category]], 0, 2)</f>
        <v>TAS</v>
      </c>
      <c r="G72" s="10" t="str" cm="1">
        <f t="array" ref="G72">Common_InputFunctions.Utility_DisplayArrayInTable(Scope3_SourceData.Scope3_Livestock_Data(), Table_SourceData_Scope3_Animals[[#Headers],[Category]], 0, 2)</f>
        <v>kg liveweight</v>
      </c>
      <c r="H72" s="10" cm="1">
        <f t="array" ref="H72">Common_InputFunctions.Utility_DisplayArrayInTable(Scope3_SourceData.Scope3_Livestock_Data(), Table_SourceData_Scope3_Animals[[#Headers],[Category]], 0, 2)</f>
        <v>8.66</v>
      </c>
      <c r="I72" s="10" t="str" cm="1">
        <f t="array" ref="I72">Common_InputFunctions.Utility_DisplayArrayInTable(Scope3_SourceData.Scope3_Livestock_Data(), Table_SourceData_Scope3_Animals[[#Headers],[Category]], 0, 2)</f>
        <v>at market</v>
      </c>
    </row>
    <row r="73" spans="4:9" ht="20.100000000000001" customHeight="1" x14ac:dyDescent="0.25">
      <c r="D73" s="10" t="str" cm="1">
        <f t="array" ref="D73">Common_InputFunctions.Utility_DisplayArrayInTable(Scope3_SourceData.Scope3_Livestock_Data(), Table_SourceData_Scope3_Animals[[#Headers],[Category]], 0, 2)</f>
        <v>Sheep</v>
      </c>
      <c r="E73" s="10" t="str" cm="1">
        <f t="array" ref="E73">Common_InputFunctions.Utility_DisplayArrayInTable(Scope3_SourceData.Scope3_Livestock_Data(), Table_SourceData_Scope3_Animals[[#Headers],[Category]], 0, 2)</f>
        <v>Sheep, for prime lamb</v>
      </c>
      <c r="F73" s="10" t="str" cm="1">
        <f t="array" ref="F73">Common_InputFunctions.Utility_DisplayArrayInTable(Scope3_SourceData.Scope3_Livestock_Data(), Table_SourceData_Scope3_Animals[[#Headers],[Category]], 0, 2)</f>
        <v>VIC</v>
      </c>
      <c r="G73" s="10" t="str" cm="1">
        <f t="array" ref="G73">Common_InputFunctions.Utility_DisplayArrayInTable(Scope3_SourceData.Scope3_Livestock_Data(), Table_SourceData_Scope3_Animals[[#Headers],[Category]], 0, 2)</f>
        <v>kg liveweight</v>
      </c>
      <c r="H73" s="10" cm="1">
        <f t="array" ref="H73">Common_InputFunctions.Utility_DisplayArrayInTable(Scope3_SourceData.Scope3_Livestock_Data(), Table_SourceData_Scope3_Animals[[#Headers],[Category]], 0, 2)</f>
        <v>10</v>
      </c>
      <c r="I73" s="10" t="str" cm="1">
        <f t="array" ref="I73">Common_InputFunctions.Utility_DisplayArrayInTable(Scope3_SourceData.Scope3_Livestock_Data(), Table_SourceData_Scope3_Animals[[#Headers],[Category]], 0, 2)</f>
        <v>at market</v>
      </c>
    </row>
    <row r="74" spans="4:9" ht="20.100000000000001" customHeight="1" x14ac:dyDescent="0.25">
      <c r="D74" s="10" t="str" cm="1">
        <f t="array" ref="D74">Common_InputFunctions.Utility_DisplayArrayInTable(Scope3_SourceData.Scope3_Livestock_Data(), Table_SourceData_Scope3_Animals[[#Headers],[Category]], 0, 2)</f>
        <v>Sheep</v>
      </c>
      <c r="E74" s="10" t="str" cm="1">
        <f t="array" ref="E74">Common_InputFunctions.Utility_DisplayArrayInTable(Scope3_SourceData.Scope3_Livestock_Data(), Table_SourceData_Scope3_Animals[[#Headers],[Category]], 0, 2)</f>
        <v>Sheep, for prime lamb</v>
      </c>
      <c r="F74" s="10" t="str" cm="1">
        <f t="array" ref="F74">Common_InputFunctions.Utility_DisplayArrayInTable(Scope3_SourceData.Scope3_Livestock_Data(), Table_SourceData_Scope3_Animals[[#Headers],[Category]], 0, 2)</f>
        <v>WA</v>
      </c>
      <c r="G74" s="10" t="str" cm="1">
        <f t="array" ref="G74">Common_InputFunctions.Utility_DisplayArrayInTable(Scope3_SourceData.Scope3_Livestock_Data(), Table_SourceData_Scope3_Animals[[#Headers],[Category]], 0, 2)</f>
        <v>kg liveweight</v>
      </c>
      <c r="H74" s="10" cm="1">
        <f t="array" ref="H74">Common_InputFunctions.Utility_DisplayArrayInTable(Scope3_SourceData.Scope3_Livestock_Data(), Table_SourceData_Scope3_Animals[[#Headers],[Category]], 0, 2)</f>
        <v>5.67</v>
      </c>
      <c r="I74" s="10" t="str" cm="1">
        <f t="array" ref="I74">Common_InputFunctions.Utility_DisplayArrayInTable(Scope3_SourceData.Scope3_Livestock_Data(), Table_SourceData_Scope3_Animals[[#Headers],[Category]], 0, 2)</f>
        <v>at market</v>
      </c>
    </row>
    <row r="75" spans="4:9" ht="20.100000000000001" customHeight="1" x14ac:dyDescent="0.25"/>
    <row r="76" spans="4:9" ht="20.100000000000001" customHeight="1" x14ac:dyDescent="0.25">
      <c r="D76" s="9" t="s">
        <v>356</v>
      </c>
    </row>
    <row r="77" spans="4:9" ht="20.100000000000001" customHeight="1" x14ac:dyDescent="0.25">
      <c r="D77" s="10" t="s">
        <v>311</v>
      </c>
      <c r="E77" s="10" t="s">
        <v>212</v>
      </c>
      <c r="F77" s="10" t="s">
        <v>312</v>
      </c>
      <c r="G77" s="10" t="s">
        <v>278</v>
      </c>
      <c r="H77" s="10" t="s">
        <v>279</v>
      </c>
      <c r="I77" s="10" t="s">
        <v>354</v>
      </c>
    </row>
    <row r="78" spans="4:9" ht="20.100000000000001" customHeight="1" x14ac:dyDescent="0.25">
      <c r="D78" s="10" t="str" cm="1">
        <f t="array" ref="D78">Common_InputFunctions.Utility_DisplayArrayInTable(Scope3_SourceData.Scope3_Chemicals_Data(), Table_SourceData_Scope3_ChemicalsCleaning[[#Headers],[Category]], 0, 2)</f>
        <v>Cleaning chemicals</v>
      </c>
      <c r="E78" s="10" t="str" cm="1">
        <f t="array" ref="E78">Common_InputFunctions.Utility_DisplayArrayInTable(Scope3_SourceData.Scope3_Chemicals_Data(), Table_SourceData_Scope3_ChemicalsCleaning[[#Headers],[Category]], 0, 2)</f>
        <v>Alkaline cleaner</v>
      </c>
      <c r="F78" s="10" t="str" cm="1">
        <f t="array" ref="F78">Common_InputFunctions.Utility_DisplayArrayInTable(Scope3_SourceData.Scope3_Chemicals_Data(), Table_SourceData_Scope3_ChemicalsCleaning[[#Headers],[Category]], 0, 2)</f>
        <v>Global</v>
      </c>
      <c r="G78" s="10" t="str" cm="1">
        <f t="array" ref="G78">Common_InputFunctions.Utility_DisplayArrayInTable(Scope3_SourceData.Scope3_Chemicals_Data(), Table_SourceData_Scope3_ChemicalsCleaning[[#Headers],[Category]], 0, 2)</f>
        <v>kg</v>
      </c>
      <c r="H78" s="10" cm="1">
        <f t="array" ref="H78">Common_InputFunctions.Utility_DisplayArrayInTable(Scope3_SourceData.Scope3_Chemicals_Data(), Table_SourceData_Scope3_ChemicalsCleaning[[#Headers],[Category]], 0, 2)</f>
        <v>0.72199999999999998</v>
      </c>
      <c r="I78" s="10" t="str" cm="1">
        <f t="array" ref="I78">Common_InputFunctions.Utility_DisplayArrayInTable(Scope3_SourceData.Scope3_Chemicals_Data(), Table_SourceData_Scope3_ChemicalsCleaning[[#Headers],[Category]], 0, 2)</f>
        <v>at manufacturer</v>
      </c>
    </row>
    <row r="79" spans="4:9" ht="20.100000000000001" customHeight="1" x14ac:dyDescent="0.25">
      <c r="D79" s="10" t="str" cm="1">
        <f t="array" ref="D79">Common_InputFunctions.Utility_DisplayArrayInTable(Scope3_SourceData.Scope3_Chemicals_Data(), Table_SourceData_Scope3_ChemicalsCleaning[[#Headers],[Category]], 0, 2)</f>
        <v>Cleaning chemicals</v>
      </c>
      <c r="E79" s="10" t="str" cm="1">
        <f t="array" ref="E79">Common_InputFunctions.Utility_DisplayArrayInTable(Scope3_SourceData.Scope3_Chemicals_Data(), Table_SourceData_Scope3_ChemicalsCleaning[[#Headers],[Category]], 0, 2)</f>
        <v>Bleach</v>
      </c>
      <c r="F79" s="10" t="str" cm="1">
        <f t="array" ref="F79">Common_InputFunctions.Utility_DisplayArrayInTable(Scope3_SourceData.Scope3_Chemicals_Data(), Table_SourceData_Scope3_ChemicalsCleaning[[#Headers],[Category]], 0, 2)</f>
        <v>Global</v>
      </c>
      <c r="G79" s="10" t="str" cm="1">
        <f t="array" ref="G79">Common_InputFunctions.Utility_DisplayArrayInTable(Scope3_SourceData.Scope3_Chemicals_Data(), Table_SourceData_Scope3_ChemicalsCleaning[[#Headers],[Category]], 0, 2)</f>
        <v>kg</v>
      </c>
      <c r="H79" s="10" cm="1">
        <f t="array" ref="H79">Common_InputFunctions.Utility_DisplayArrayInTable(Scope3_SourceData.Scope3_Chemicals_Data(), Table_SourceData_Scope3_ChemicalsCleaning[[#Headers],[Category]], 0, 2)</f>
        <v>0.80400000000000005</v>
      </c>
      <c r="I79" s="10" t="str" cm="1">
        <f t="array" ref="I79">Common_InputFunctions.Utility_DisplayArrayInTable(Scope3_SourceData.Scope3_Chemicals_Data(), Table_SourceData_Scope3_ChemicalsCleaning[[#Headers],[Category]], 0, 2)</f>
        <v>at manufacturer</v>
      </c>
    </row>
    <row r="80" spans="4:9" ht="20.100000000000001" customHeight="1" x14ac:dyDescent="0.25">
      <c r="D80" s="10" t="str" cm="1">
        <f t="array" ref="D80">Common_InputFunctions.Utility_DisplayArrayInTable(Scope3_SourceData.Scope3_Chemicals_Data(), Table_SourceData_Scope3_ChemicalsCleaning[[#Headers],[Category]], 0, 2)</f>
        <v>Cleaning chemicals</v>
      </c>
      <c r="E80" s="10" t="str" cm="1">
        <f t="array" ref="E80">Common_InputFunctions.Utility_DisplayArrayInTable(Scope3_SourceData.Scope3_Chemicals_Data(), Table_SourceData_Scope3_ChemicalsCleaning[[#Headers],[Category]], 0, 2)</f>
        <v>Phosphoric acid</v>
      </c>
      <c r="F80" s="10" t="str" cm="1">
        <f t="array" ref="F80">Common_InputFunctions.Utility_DisplayArrayInTable(Scope3_SourceData.Scope3_Chemicals_Data(), Table_SourceData_Scope3_ChemicalsCleaning[[#Headers],[Category]], 0, 2)</f>
        <v>Global</v>
      </c>
      <c r="G80" s="10" t="str" cm="1">
        <f t="array" ref="G80">Common_InputFunctions.Utility_DisplayArrayInTable(Scope3_SourceData.Scope3_Chemicals_Data(), Table_SourceData_Scope3_ChemicalsCleaning[[#Headers],[Category]], 0, 2)</f>
        <v>kg</v>
      </c>
      <c r="H80" s="10" cm="1">
        <f t="array" ref="H80">Common_InputFunctions.Utility_DisplayArrayInTable(Scope3_SourceData.Scope3_Chemicals_Data(), Table_SourceData_Scope3_ChemicalsCleaning[[#Headers],[Category]], 0, 2)</f>
        <v>0.90700000000000003</v>
      </c>
      <c r="I80" s="10" t="str" cm="1">
        <f t="array" ref="I80">Common_InputFunctions.Utility_DisplayArrayInTable(Scope3_SourceData.Scope3_Chemicals_Data(), Table_SourceData_Scope3_ChemicalsCleaning[[#Headers],[Category]], 0, 2)</f>
        <v>at manufacturer</v>
      </c>
    </row>
    <row r="81" spans="4:16" ht="20.100000000000001" customHeight="1" x14ac:dyDescent="0.25"/>
    <row r="82" spans="4:16" ht="20.100000000000001" customHeight="1" x14ac:dyDescent="0.25">
      <c r="D82" s="10" t="s">
        <v>311</v>
      </c>
      <c r="E82" s="10" t="s">
        <v>212</v>
      </c>
      <c r="F82" s="10" t="s">
        <v>312</v>
      </c>
      <c r="G82" s="10" t="s">
        <v>278</v>
      </c>
      <c r="H82" s="10" t="s">
        <v>279</v>
      </c>
      <c r="I82" s="10" t="s">
        <v>354</v>
      </c>
    </row>
    <row r="83" spans="4:16" ht="20.100000000000001" customHeight="1" x14ac:dyDescent="0.25">
      <c r="D83" s="10" t="str" cm="1">
        <f t="array" ref="D83">Common_InputFunctions.Utility_DisplayArrayInTable(Scope3_SourceData.Scope3_Chemicals_Data(), Table_SourceData_Scope3_ChemicalsPharmacy[[#Headers],[Category]], -3, 2)</f>
        <v>Pharmacy chemicals</v>
      </c>
      <c r="E83" s="10" t="str" cm="1">
        <f t="array" ref="E83">Common_InputFunctions.Utility_DisplayArrayInTable(Scope3_SourceData.Scope3_Chemicals_Data(), Table_SourceData_Scope3_ChemicalsPharmacy[[#Headers],[Category]], -3, 2)</f>
        <v>Parasite control for cattle (external), dipping</v>
      </c>
      <c r="F83" s="10" t="str" cm="1">
        <f t="array" ref="F83">Common_InputFunctions.Utility_DisplayArrayInTable(Scope3_SourceData.Scope3_Chemicals_Data(), Table_SourceData_Scope3_ChemicalsPharmacy[[#Headers],[Category]], -3, 2)</f>
        <v>Global</v>
      </c>
      <c r="G83" s="10" t="str" cm="1">
        <f t="array" ref="G83">Common_InputFunctions.Utility_DisplayArrayInTable(Scope3_SourceData.Scope3_Chemicals_Data(), Table_SourceData_Scope3_ChemicalsPharmacy[[#Headers],[Category]], -3, 2)</f>
        <v>p (head)</v>
      </c>
      <c r="H83" s="10" cm="1">
        <f t="array" ref="H83">Common_InputFunctions.Utility_DisplayArrayInTable(Scope3_SourceData.Scope3_Chemicals_Data(), Table_SourceData_Scope3_ChemicalsPharmacy[[#Headers],[Category]], -3, 2)</f>
        <v>5.4699999999999999E-2</v>
      </c>
      <c r="I83" s="10" t="str" cm="1">
        <f t="array" ref="I83">Common_InputFunctions.Utility_DisplayArrayInTable(Scope3_SourceData.Scope3_Chemicals_Data(), Table_SourceData_Scope3_ChemicalsPharmacy[[#Headers],[Category]], -3, 2)</f>
        <v>at manufacturer</v>
      </c>
    </row>
    <row r="84" spans="4:16" ht="20.100000000000001" customHeight="1" x14ac:dyDescent="0.25">
      <c r="D84" s="10" t="str" cm="1">
        <f t="array" ref="D84">Common_InputFunctions.Utility_DisplayArrayInTable(Scope3_SourceData.Scope3_Chemicals_Data(), Table_SourceData_Scope3_ChemicalsPharmacy[[#Headers],[Category]], -3, 2)</f>
        <v>Pharmacy chemicals</v>
      </c>
      <c r="E84" s="10" t="str" cm="1">
        <f t="array" ref="E84">Common_InputFunctions.Utility_DisplayArrayInTable(Scope3_SourceData.Scope3_Chemicals_Data(), Table_SourceData_Scope3_ChemicalsPharmacy[[#Headers],[Category]], -3, 2)</f>
        <v>Parasite control for cattle (internal)</v>
      </c>
      <c r="F84" s="10" t="str" cm="1">
        <f t="array" ref="F84">Common_InputFunctions.Utility_DisplayArrayInTable(Scope3_SourceData.Scope3_Chemicals_Data(), Table_SourceData_Scope3_ChemicalsPharmacy[[#Headers],[Category]], -3, 2)</f>
        <v>Global</v>
      </c>
      <c r="G84" s="10" t="str" cm="1">
        <f t="array" ref="G84">Common_InputFunctions.Utility_DisplayArrayInTable(Scope3_SourceData.Scope3_Chemicals_Data(), Table_SourceData_Scope3_ChemicalsPharmacy[[#Headers],[Category]], -3, 2)</f>
        <v>p (head)</v>
      </c>
      <c r="H84" s="10" cm="1">
        <f t="array" ref="H84">Common_InputFunctions.Utility_DisplayArrayInTable(Scope3_SourceData.Scope3_Chemicals_Data(), Table_SourceData_Scope3_ChemicalsPharmacy[[#Headers],[Category]], -3, 2)</f>
        <v>1.4200000000000001E-2</v>
      </c>
      <c r="I84" s="10" t="str" cm="1">
        <f t="array" ref="I84">Common_InputFunctions.Utility_DisplayArrayInTable(Scope3_SourceData.Scope3_Chemicals_Data(), Table_SourceData_Scope3_ChemicalsPharmacy[[#Headers],[Category]], -3, 2)</f>
        <v>at manufacturer</v>
      </c>
    </row>
    <row r="85" spans="4:16" ht="20.100000000000001" customHeight="1" x14ac:dyDescent="0.25">
      <c r="D85" s="10" t="str" cm="1">
        <f t="array" ref="D85">Common_InputFunctions.Utility_DisplayArrayInTable(Scope3_SourceData.Scope3_Chemicals_Data(), Table_SourceData_Scope3_ChemicalsPharmacy[[#Headers],[Category]], -3, 2)</f>
        <v>Pharmacy chemicals</v>
      </c>
      <c r="E85" s="10" t="str" cm="1">
        <f t="array" ref="E85">Common_InputFunctions.Utility_DisplayArrayInTable(Scope3_SourceData.Scope3_Chemicals_Data(), Table_SourceData_Scope3_ChemicalsPharmacy[[#Headers],[Category]], -3, 2)</f>
        <v>Parasite control for sheep (external)</v>
      </c>
      <c r="F85" s="10" t="str" cm="1">
        <f t="array" ref="F85">Common_InputFunctions.Utility_DisplayArrayInTable(Scope3_SourceData.Scope3_Chemicals_Data(), Table_SourceData_Scope3_ChemicalsPharmacy[[#Headers],[Category]], -3, 2)</f>
        <v>Global</v>
      </c>
      <c r="G85" s="10" t="str" cm="1">
        <f t="array" ref="G85">Common_InputFunctions.Utility_DisplayArrayInTable(Scope3_SourceData.Scope3_Chemicals_Data(), Table_SourceData_Scope3_ChemicalsPharmacy[[#Headers],[Category]], -3, 2)</f>
        <v>p (head)</v>
      </c>
      <c r="H85" s="10" cm="1">
        <f t="array" ref="H85">Common_InputFunctions.Utility_DisplayArrayInTable(Scope3_SourceData.Scope3_Chemicals_Data(), Table_SourceData_Scope3_ChemicalsPharmacy[[#Headers],[Category]], -3, 2)</f>
        <v>1.43E-2</v>
      </c>
      <c r="I85" s="10" t="str" cm="1">
        <f t="array" ref="I85">Common_InputFunctions.Utility_DisplayArrayInTable(Scope3_SourceData.Scope3_Chemicals_Data(), Table_SourceData_Scope3_ChemicalsPharmacy[[#Headers],[Category]], -3, 2)</f>
        <v>at manufacturer</v>
      </c>
    </row>
    <row r="86" spans="4:16" ht="20.100000000000001" customHeight="1" x14ac:dyDescent="0.25">
      <c r="D86" s="10" t="str" cm="1">
        <f t="array" ref="D86">Common_InputFunctions.Utility_DisplayArrayInTable(Scope3_SourceData.Scope3_Chemicals_Data(), Table_SourceData_Scope3_ChemicalsPharmacy[[#Headers],[Category]], -3, 2)</f>
        <v>Pharmacy chemicals</v>
      </c>
      <c r="E86" s="10" t="str" cm="1">
        <f t="array" ref="E86">Common_InputFunctions.Utility_DisplayArrayInTable(Scope3_SourceData.Scope3_Chemicals_Data(), Table_SourceData_Scope3_ChemicalsPharmacy[[#Headers],[Category]], -3, 2)</f>
        <v>Parasite control for sheep (internal)</v>
      </c>
      <c r="F86" s="10" t="str" cm="1">
        <f t="array" ref="F86">Common_InputFunctions.Utility_DisplayArrayInTable(Scope3_SourceData.Scope3_Chemicals_Data(), Table_SourceData_Scope3_ChemicalsPharmacy[[#Headers],[Category]], -3, 2)</f>
        <v>Global</v>
      </c>
      <c r="G86" s="10" t="str" cm="1">
        <f t="array" ref="G86">Common_InputFunctions.Utility_DisplayArrayInTable(Scope3_SourceData.Scope3_Chemicals_Data(), Table_SourceData_Scope3_ChemicalsPharmacy[[#Headers],[Category]], -3, 2)</f>
        <v>p (head)</v>
      </c>
      <c r="H86" s="10" cm="1">
        <f t="array" ref="H86">Common_InputFunctions.Utility_DisplayArrayInTable(Scope3_SourceData.Scope3_Chemicals_Data(), Table_SourceData_Scope3_ChemicalsPharmacy[[#Headers],[Category]], -3, 2)</f>
        <v>4.2599999999999999E-3</v>
      </c>
      <c r="I86" s="10" t="str" cm="1">
        <f t="array" ref="I86">Common_InputFunctions.Utility_DisplayArrayInTable(Scope3_SourceData.Scope3_Chemicals_Data(), Table_SourceData_Scope3_ChemicalsPharmacy[[#Headers],[Category]], -3, 2)</f>
        <v>at manufacturer</v>
      </c>
    </row>
    <row r="87" spans="4:16" ht="20.100000000000001" customHeight="1" x14ac:dyDescent="0.25"/>
    <row r="88" spans="4:16" ht="20.100000000000001" customHeight="1" x14ac:dyDescent="0.25">
      <c r="D88" s="9" t="s">
        <v>357</v>
      </c>
    </row>
    <row r="89" spans="4:16" ht="20.100000000000001" customHeight="1" x14ac:dyDescent="0.25">
      <c r="D89" s="10" t="s">
        <v>311</v>
      </c>
      <c r="E89" s="10" t="s">
        <v>212</v>
      </c>
      <c r="F89" s="10" t="s">
        <v>312</v>
      </c>
      <c r="G89" s="10" t="s">
        <v>278</v>
      </c>
      <c r="H89" s="10" t="s">
        <v>279</v>
      </c>
      <c r="I89" s="10" t="s">
        <v>354</v>
      </c>
      <c r="K89" s="10" t="s">
        <v>212</v>
      </c>
      <c r="L89" s="10" t="s">
        <v>378</v>
      </c>
      <c r="M89" s="8" t="str">
        <f>"Table_ProductRegions_" &amp; SUBSTITUTE(SUBSTITUTE(SUBSTITUTE(SUBSTITUTE(K90, " ", ""), ",", ""), "(", ""), ")", "")</f>
        <v>Table_ProductRegions_Sardineswhole</v>
      </c>
    </row>
    <row r="90" spans="4:16" ht="20.100000000000001" customHeight="1" x14ac:dyDescent="0.25">
      <c r="D90" s="10" t="str" cm="1">
        <f t="array" ref="D90">Common_InputFunctions.Utility_DisplayArrayInTable(Scope3_SourceData.Scope3_Feed_Data(), Table_SourceData_Scope3_Feed[[#Headers],[Category]], 0, 2)</f>
        <v>Aquaculture feed</v>
      </c>
      <c r="E90" s="10" t="str" cm="1">
        <f t="array" ref="E90">Common_InputFunctions.Utility_DisplayArrayInTable(Scope3_SourceData.Scope3_Feed_Data(), Table_SourceData_Scope3_Feed[[#Headers],[Category]], 0, 2)</f>
        <v>Sardines (whole)</v>
      </c>
      <c r="F90" s="10" t="str" cm="1">
        <f t="array" ref="F90">Common_InputFunctions.Utility_DisplayArrayInTable(Scope3_SourceData.Scope3_Feed_Data(), Table_SourceData_Scope3_Feed[[#Headers],[Category]], 0, 2)</f>
        <v>SA</v>
      </c>
      <c r="G90" s="10" t="str" cm="1">
        <f t="array" ref="G90">Common_InputFunctions.Utility_DisplayArrayInTable(Scope3_SourceData.Scope3_Feed_Data(), Table_SourceData_Scope3_Feed[[#Headers],[Category]], 0, 2)</f>
        <v>kg</v>
      </c>
      <c r="H90" s="10" cm="1">
        <f t="array" ref="H90">Common_InputFunctions.Utility_DisplayArrayInTable(Scope3_SourceData.Scope3_Feed_Data(), Table_SourceData_Scope3_Feed[[#Headers],[Category]], 0, 2)</f>
        <v>0.376</v>
      </c>
      <c r="I90" s="10" t="str" cm="1">
        <f t="array" ref="I90">Common_InputFunctions.Utility_DisplayArrayInTable(Scope3_SourceData.Scope3_Feed_Data(), Table_SourceData_Scope3_Feed[[#Headers],[Category]], 0, 2)</f>
        <v>at market</v>
      </c>
      <c r="K90" s="10" t="str">
        <f>Table_SourceData_Scope3_Feed[[#This Row],[Product]]</f>
        <v>Sardines (whole)</v>
      </c>
      <c r="L90" s="10" t="str">
        <f>Table_SourceData_Scope3_Feed[[#This Row],[Region of origin]]</f>
        <v>SA</v>
      </c>
      <c r="N90" s="10" t="s">
        <v>212</v>
      </c>
      <c r="O90" s="10" t="s">
        <v>378</v>
      </c>
      <c r="P90" s="8" t="str">
        <f>"Table_ProductRegions_" &amp; SUBSTITUTE(SUBSTITUTE(SUBSTITUTE(SUBSTITUTE(N91, " ", ""), ",", ""), "(", ""), ")", "")</f>
        <v>Table_ProductRegions_Barleygrain</v>
      </c>
    </row>
    <row r="91" spans="4:16" ht="20.100000000000001" customHeight="1" x14ac:dyDescent="0.25">
      <c r="D91" s="10" t="str" cm="1">
        <f t="array" ref="D91">Common_InputFunctions.Utility_DisplayArrayInTable(Scope3_SourceData.Scope3_Feed_Data(), Table_SourceData_Scope3_Feed[[#Headers],[Category]], 0, 2)</f>
        <v>Grain</v>
      </c>
      <c r="E91" s="10" t="str" cm="1">
        <f t="array" ref="E91">Common_InputFunctions.Utility_DisplayArrayInTable(Scope3_SourceData.Scope3_Feed_Data(), Table_SourceData_Scope3_Feed[[#Headers],[Category]], 0, 2)</f>
        <v>Barley grain</v>
      </c>
      <c r="F91" s="10" t="str" cm="1">
        <f t="array" ref="F91">Common_InputFunctions.Utility_DisplayArrayInTable(Scope3_SourceData.Scope3_Feed_Data(), Table_SourceData_Scope3_Feed[[#Headers],[Category]], 0, 2)</f>
        <v>Australia</v>
      </c>
      <c r="G91" s="10" t="str" cm="1">
        <f t="array" ref="G91">Common_InputFunctions.Utility_DisplayArrayInTable(Scope3_SourceData.Scope3_Feed_Data(), Table_SourceData_Scope3_Feed[[#Headers],[Category]], 0, 2)</f>
        <v>kg</v>
      </c>
      <c r="H91" s="10" cm="1">
        <f t="array" ref="H91">Common_InputFunctions.Utility_DisplayArrayInTable(Scope3_SourceData.Scope3_Feed_Data(), Table_SourceData_Scope3_Feed[[#Headers],[Category]], 0, 2)</f>
        <v>0.23899999999999999</v>
      </c>
      <c r="I91" s="10" t="str" cm="1">
        <f t="array" ref="I91">Common_InputFunctions.Utility_DisplayArrayInTable(Scope3_SourceData.Scope3_Feed_Data(), Table_SourceData_Scope3_Feed[[#Headers],[Category]], 0, 2)</f>
        <v>at market</v>
      </c>
      <c r="N91" s="10" t="str">
        <f>Table_SourceData_Scope3_Feed[[#This Row],[Product]]</f>
        <v>Barley grain</v>
      </c>
      <c r="O91" s="10" t="str">
        <f>Table_SourceData_Scope3_Feed[[#This Row],[Region of origin]]</f>
        <v>Australia</v>
      </c>
    </row>
    <row r="92" spans="4:16" ht="20.100000000000001" customHeight="1" x14ac:dyDescent="0.25">
      <c r="D92" s="10" t="str" cm="1">
        <f t="array" ref="D92">Common_InputFunctions.Utility_DisplayArrayInTable(Scope3_SourceData.Scope3_Feed_Data(), Table_SourceData_Scope3_Feed[[#Headers],[Category]], 0, 2)</f>
        <v>Grain</v>
      </c>
      <c r="E92" s="10" t="str" cm="1">
        <f t="array" ref="E92">Common_InputFunctions.Utility_DisplayArrayInTable(Scope3_SourceData.Scope3_Feed_Data(), Table_SourceData_Scope3_Feed[[#Headers],[Category]], 0, 2)</f>
        <v>Barley grain</v>
      </c>
      <c r="F92" s="10" t="str" cm="1">
        <f t="array" ref="F92">Common_InputFunctions.Utility_DisplayArrayInTable(Scope3_SourceData.Scope3_Feed_Data(), Table_SourceData_Scope3_Feed[[#Headers],[Category]], 0, 2)</f>
        <v>NSW</v>
      </c>
      <c r="G92" s="10" t="str" cm="1">
        <f t="array" ref="G92">Common_InputFunctions.Utility_DisplayArrayInTable(Scope3_SourceData.Scope3_Feed_Data(), Table_SourceData_Scope3_Feed[[#Headers],[Category]], 0, 2)</f>
        <v>kg</v>
      </c>
      <c r="H92" s="10" cm="1">
        <f t="array" ref="H92">Common_InputFunctions.Utility_DisplayArrayInTable(Scope3_SourceData.Scope3_Feed_Data(), Table_SourceData_Scope3_Feed[[#Headers],[Category]], 0, 2)</f>
        <v>0.25600000000000001</v>
      </c>
      <c r="I92" s="10" t="str" cm="1">
        <f t="array" ref="I92">Common_InputFunctions.Utility_DisplayArrayInTable(Scope3_SourceData.Scope3_Feed_Data(), Table_SourceData_Scope3_Feed[[#Headers],[Category]], 0, 2)</f>
        <v>at market</v>
      </c>
      <c r="N92" s="10" t="str">
        <f>Table_SourceData_Scope3_Feed[[#This Row],[Product]]</f>
        <v>Barley grain</v>
      </c>
      <c r="O92" s="10" t="str">
        <f>Table_SourceData_Scope3_Feed[[#This Row],[Region of origin]]</f>
        <v>NSW</v>
      </c>
    </row>
    <row r="93" spans="4:16" ht="20.100000000000001" customHeight="1" x14ac:dyDescent="0.25">
      <c r="D93" s="10" t="str" cm="1">
        <f t="array" ref="D93">Common_InputFunctions.Utility_DisplayArrayInTable(Scope3_SourceData.Scope3_Feed_Data(), Table_SourceData_Scope3_Feed[[#Headers],[Category]], 0, 2)</f>
        <v>Grain</v>
      </c>
      <c r="E93" s="10" t="str" cm="1">
        <f t="array" ref="E93">Common_InputFunctions.Utility_DisplayArrayInTable(Scope3_SourceData.Scope3_Feed_Data(), Table_SourceData_Scope3_Feed[[#Headers],[Category]], 0, 2)</f>
        <v>Barley grain</v>
      </c>
      <c r="F93" s="10" t="str" cm="1">
        <f t="array" ref="F93">Common_InputFunctions.Utility_DisplayArrayInTable(Scope3_SourceData.Scope3_Feed_Data(), Table_SourceData_Scope3_Feed[[#Headers],[Category]], 0, 2)</f>
        <v>NT</v>
      </c>
      <c r="G93" s="10" t="str" cm="1">
        <f t="array" ref="G93">Common_InputFunctions.Utility_DisplayArrayInTable(Scope3_SourceData.Scope3_Feed_Data(), Table_SourceData_Scope3_Feed[[#Headers],[Category]], 0, 2)</f>
        <v>kg</v>
      </c>
      <c r="H93" s="10" cm="1">
        <f t="array" ref="H93">Common_InputFunctions.Utility_DisplayArrayInTable(Scope3_SourceData.Scope3_Feed_Data(), Table_SourceData_Scope3_Feed[[#Headers],[Category]], 0, 2)</f>
        <v>0.33200000000000002</v>
      </c>
      <c r="I93" s="10" t="str" cm="1">
        <f t="array" ref="I93">Common_InputFunctions.Utility_DisplayArrayInTable(Scope3_SourceData.Scope3_Feed_Data(), Table_SourceData_Scope3_Feed[[#Headers],[Category]], 0, 2)</f>
        <v>at market</v>
      </c>
      <c r="N93" s="10" t="str">
        <f>Table_SourceData_Scope3_Feed[[#This Row],[Product]]</f>
        <v>Barley grain</v>
      </c>
      <c r="O93" s="10" t="str">
        <f>Table_SourceData_Scope3_Feed[[#This Row],[Region of origin]]</f>
        <v>NT</v>
      </c>
    </row>
    <row r="94" spans="4:16" ht="20.100000000000001" customHeight="1" x14ac:dyDescent="0.25">
      <c r="D94" s="10" t="str" cm="1">
        <f t="array" ref="D94">Common_InputFunctions.Utility_DisplayArrayInTable(Scope3_SourceData.Scope3_Feed_Data(), Table_SourceData_Scope3_Feed[[#Headers],[Category]], 0, 2)</f>
        <v>Grain</v>
      </c>
      <c r="E94" s="10" t="str" cm="1">
        <f t="array" ref="E94">Common_InputFunctions.Utility_DisplayArrayInTable(Scope3_SourceData.Scope3_Feed_Data(), Table_SourceData_Scope3_Feed[[#Headers],[Category]], 0, 2)</f>
        <v>Barley grain</v>
      </c>
      <c r="F94" s="10" t="str" cm="1">
        <f t="array" ref="F94">Common_InputFunctions.Utility_DisplayArrayInTable(Scope3_SourceData.Scope3_Feed_Data(), Table_SourceData_Scope3_Feed[[#Headers],[Category]], 0, 2)</f>
        <v>QLD</v>
      </c>
      <c r="G94" s="10" t="str" cm="1">
        <f t="array" ref="G94">Common_InputFunctions.Utility_DisplayArrayInTable(Scope3_SourceData.Scope3_Feed_Data(), Table_SourceData_Scope3_Feed[[#Headers],[Category]], 0, 2)</f>
        <v>kg</v>
      </c>
      <c r="H94" s="10" cm="1">
        <f t="array" ref="H94">Common_InputFunctions.Utility_DisplayArrayInTable(Scope3_SourceData.Scope3_Feed_Data(), Table_SourceData_Scope3_Feed[[#Headers],[Category]], 0, 2)</f>
        <v>0.26900000000000002</v>
      </c>
      <c r="I94" s="10" t="str" cm="1">
        <f t="array" ref="I94">Common_InputFunctions.Utility_DisplayArrayInTable(Scope3_SourceData.Scope3_Feed_Data(), Table_SourceData_Scope3_Feed[[#Headers],[Category]], 0, 2)</f>
        <v>at market</v>
      </c>
      <c r="N94" s="10" t="str">
        <f>Table_SourceData_Scope3_Feed[[#This Row],[Product]]</f>
        <v>Barley grain</v>
      </c>
      <c r="O94" s="10" t="str">
        <f>Table_SourceData_Scope3_Feed[[#This Row],[Region of origin]]</f>
        <v>QLD</v>
      </c>
    </row>
    <row r="95" spans="4:16" ht="20.100000000000001" customHeight="1" x14ac:dyDescent="0.25">
      <c r="D95" s="10" t="str" cm="1">
        <f t="array" ref="D95">Common_InputFunctions.Utility_DisplayArrayInTable(Scope3_SourceData.Scope3_Feed_Data(), Table_SourceData_Scope3_Feed[[#Headers],[Category]], 0, 2)</f>
        <v>Grain</v>
      </c>
      <c r="E95" s="10" t="str" cm="1">
        <f t="array" ref="E95">Common_InputFunctions.Utility_DisplayArrayInTable(Scope3_SourceData.Scope3_Feed_Data(), Table_SourceData_Scope3_Feed[[#Headers],[Category]], 0, 2)</f>
        <v>Barley grain</v>
      </c>
      <c r="F95" s="10" t="str" cm="1">
        <f t="array" ref="F95">Common_InputFunctions.Utility_DisplayArrayInTable(Scope3_SourceData.Scope3_Feed_Data(), Table_SourceData_Scope3_Feed[[#Headers],[Category]], 0, 2)</f>
        <v>SA</v>
      </c>
      <c r="G95" s="10" t="str" cm="1">
        <f t="array" ref="G95">Common_InputFunctions.Utility_DisplayArrayInTable(Scope3_SourceData.Scope3_Feed_Data(), Table_SourceData_Scope3_Feed[[#Headers],[Category]], 0, 2)</f>
        <v>kg</v>
      </c>
      <c r="H95" s="10" cm="1">
        <f t="array" ref="H95">Common_InputFunctions.Utility_DisplayArrayInTable(Scope3_SourceData.Scope3_Feed_Data(), Table_SourceData_Scope3_Feed[[#Headers],[Category]], 0, 2)</f>
        <v>0.223</v>
      </c>
      <c r="I95" s="10" t="str" cm="1">
        <f t="array" ref="I95">Common_InputFunctions.Utility_DisplayArrayInTable(Scope3_SourceData.Scope3_Feed_Data(), Table_SourceData_Scope3_Feed[[#Headers],[Category]], 0, 2)</f>
        <v>at market</v>
      </c>
      <c r="N95" s="10" t="str">
        <f>Table_SourceData_Scope3_Feed[[#This Row],[Product]]</f>
        <v>Barley grain</v>
      </c>
      <c r="O95" s="10" t="str">
        <f>Table_SourceData_Scope3_Feed[[#This Row],[Region of origin]]</f>
        <v>SA</v>
      </c>
    </row>
    <row r="96" spans="4:16" ht="20.100000000000001" customHeight="1" x14ac:dyDescent="0.25">
      <c r="D96" s="10" t="str" cm="1">
        <f t="array" ref="D96">Common_InputFunctions.Utility_DisplayArrayInTable(Scope3_SourceData.Scope3_Feed_Data(), Table_SourceData_Scope3_Feed[[#Headers],[Category]], 0, 2)</f>
        <v>Grain</v>
      </c>
      <c r="E96" s="10" t="str" cm="1">
        <f t="array" ref="E96">Common_InputFunctions.Utility_DisplayArrayInTable(Scope3_SourceData.Scope3_Feed_Data(), Table_SourceData_Scope3_Feed[[#Headers],[Category]], 0, 2)</f>
        <v>Barley grain</v>
      </c>
      <c r="F96" s="10" t="str" cm="1">
        <f t="array" ref="F96">Common_InputFunctions.Utility_DisplayArrayInTable(Scope3_SourceData.Scope3_Feed_Data(), Table_SourceData_Scope3_Feed[[#Headers],[Category]], 0, 2)</f>
        <v>TAS</v>
      </c>
      <c r="G96" s="10" t="str" cm="1">
        <f t="array" ref="G96">Common_InputFunctions.Utility_DisplayArrayInTable(Scope3_SourceData.Scope3_Feed_Data(), Table_SourceData_Scope3_Feed[[#Headers],[Category]], 0, 2)</f>
        <v>kg</v>
      </c>
      <c r="H96" s="10" cm="1">
        <f t="array" ref="H96">Common_InputFunctions.Utility_DisplayArrayInTable(Scope3_SourceData.Scope3_Feed_Data(), Table_SourceData_Scope3_Feed[[#Headers],[Category]], 0, 2)</f>
        <v>0.307</v>
      </c>
      <c r="I96" s="10" t="str" cm="1">
        <f t="array" ref="I96">Common_InputFunctions.Utility_DisplayArrayInTable(Scope3_SourceData.Scope3_Feed_Data(), Table_SourceData_Scope3_Feed[[#Headers],[Category]], 0, 2)</f>
        <v>at market</v>
      </c>
      <c r="N96" s="10" t="str">
        <f>Table_SourceData_Scope3_Feed[[#This Row],[Product]]</f>
        <v>Barley grain</v>
      </c>
      <c r="O96" s="10" t="str">
        <f>Table_SourceData_Scope3_Feed[[#This Row],[Region of origin]]</f>
        <v>TAS</v>
      </c>
    </row>
    <row r="97" spans="4:16" ht="20.100000000000001" customHeight="1" x14ac:dyDescent="0.25">
      <c r="D97" s="10" t="str" cm="1">
        <f t="array" ref="D97">Common_InputFunctions.Utility_DisplayArrayInTable(Scope3_SourceData.Scope3_Feed_Data(), Table_SourceData_Scope3_Feed[[#Headers],[Category]], 0, 2)</f>
        <v>Grain</v>
      </c>
      <c r="E97" s="10" t="str" cm="1">
        <f t="array" ref="E97">Common_InputFunctions.Utility_DisplayArrayInTable(Scope3_SourceData.Scope3_Feed_Data(), Table_SourceData_Scope3_Feed[[#Headers],[Category]], 0, 2)</f>
        <v>Barley grain</v>
      </c>
      <c r="F97" s="10" t="str" cm="1">
        <f t="array" ref="F97">Common_InputFunctions.Utility_DisplayArrayInTable(Scope3_SourceData.Scope3_Feed_Data(), Table_SourceData_Scope3_Feed[[#Headers],[Category]], 0, 2)</f>
        <v>VIC</v>
      </c>
      <c r="G97" s="10" t="str" cm="1">
        <f t="array" ref="G97">Common_InputFunctions.Utility_DisplayArrayInTable(Scope3_SourceData.Scope3_Feed_Data(), Table_SourceData_Scope3_Feed[[#Headers],[Category]], 0, 2)</f>
        <v>kg</v>
      </c>
      <c r="H97" s="10" cm="1">
        <f t="array" ref="H97">Common_InputFunctions.Utility_DisplayArrayInTable(Scope3_SourceData.Scope3_Feed_Data(), Table_SourceData_Scope3_Feed[[#Headers],[Category]], 0, 2)</f>
        <v>0.24099999999999999</v>
      </c>
      <c r="I97" s="10" t="str" cm="1">
        <f t="array" ref="I97">Common_InputFunctions.Utility_DisplayArrayInTable(Scope3_SourceData.Scope3_Feed_Data(), Table_SourceData_Scope3_Feed[[#Headers],[Category]], 0, 2)</f>
        <v>at market</v>
      </c>
      <c r="N97" s="10" t="str">
        <f>Table_SourceData_Scope3_Feed[[#This Row],[Product]]</f>
        <v>Barley grain</v>
      </c>
      <c r="O97" s="10" t="str">
        <f>Table_SourceData_Scope3_Feed[[#This Row],[Region of origin]]</f>
        <v>VIC</v>
      </c>
    </row>
    <row r="98" spans="4:16" ht="20.100000000000001" customHeight="1" x14ac:dyDescent="0.25">
      <c r="D98" s="10" t="str" cm="1">
        <f t="array" ref="D98">Common_InputFunctions.Utility_DisplayArrayInTable(Scope3_SourceData.Scope3_Feed_Data(), Table_SourceData_Scope3_Feed[[#Headers],[Category]], 0, 2)</f>
        <v>Grain</v>
      </c>
      <c r="E98" s="10" t="str" cm="1">
        <f t="array" ref="E98">Common_InputFunctions.Utility_DisplayArrayInTable(Scope3_SourceData.Scope3_Feed_Data(), Table_SourceData_Scope3_Feed[[#Headers],[Category]], 0, 2)</f>
        <v>Barley grain</v>
      </c>
      <c r="F98" s="10" t="str" cm="1">
        <f t="array" ref="F98">Common_InputFunctions.Utility_DisplayArrayInTable(Scope3_SourceData.Scope3_Feed_Data(), Table_SourceData_Scope3_Feed[[#Headers],[Category]], 0, 2)</f>
        <v>WA</v>
      </c>
      <c r="G98" s="10" t="str" cm="1">
        <f t="array" ref="G98">Common_InputFunctions.Utility_DisplayArrayInTable(Scope3_SourceData.Scope3_Feed_Data(), Table_SourceData_Scope3_Feed[[#Headers],[Category]], 0, 2)</f>
        <v>kg</v>
      </c>
      <c r="H98" s="10" cm="1">
        <f t="array" ref="H98">Common_InputFunctions.Utility_DisplayArrayInTable(Scope3_SourceData.Scope3_Feed_Data(), Table_SourceData_Scope3_Feed[[#Headers],[Category]], 0, 2)</f>
        <v>0.23599999999999999</v>
      </c>
      <c r="I98" s="10" t="str" cm="1">
        <f t="array" ref="I98">Common_InputFunctions.Utility_DisplayArrayInTable(Scope3_SourceData.Scope3_Feed_Data(), Table_SourceData_Scope3_Feed[[#Headers],[Category]], 0, 2)</f>
        <v>at market</v>
      </c>
      <c r="K98" s="10" t="s">
        <v>212</v>
      </c>
      <c r="L98" s="10" t="s">
        <v>378</v>
      </c>
      <c r="M98" s="8" t="str">
        <f>"Table_ProductRegions_" &amp; SUBSTITUTE(SUBSTITUTE(SUBSTITUTE(SUBSTITUTE(K99, " ", ""), ",", ""), "(", ""), ")", "")</f>
        <v>Table_ProductRegions_Maizegrain</v>
      </c>
      <c r="N98" s="10" t="str">
        <f>Table_SourceData_Scope3_Feed[[#This Row],[Product]]</f>
        <v>Barley grain</v>
      </c>
      <c r="O98" s="10" t="str">
        <f>Table_SourceData_Scope3_Feed[[#This Row],[Region of origin]]</f>
        <v>WA</v>
      </c>
    </row>
    <row r="99" spans="4:16" ht="20.100000000000001" customHeight="1" x14ac:dyDescent="0.25">
      <c r="D99" s="10" t="str" cm="1">
        <f t="array" ref="D99">Common_InputFunctions.Utility_DisplayArrayInTable(Scope3_SourceData.Scope3_Feed_Data(), Table_SourceData_Scope3_Feed[[#Headers],[Category]], 0, 2)</f>
        <v>Grain</v>
      </c>
      <c r="E99" s="10" t="str" cm="1">
        <f t="array" ref="E99">Common_InputFunctions.Utility_DisplayArrayInTable(Scope3_SourceData.Scope3_Feed_Data(), Table_SourceData_Scope3_Feed[[#Headers],[Category]], 0, 2)</f>
        <v>Maize grain</v>
      </c>
      <c r="F99" s="10" t="str" cm="1">
        <f t="array" ref="F99">Common_InputFunctions.Utility_DisplayArrayInTable(Scope3_SourceData.Scope3_Feed_Data(), Table_SourceData_Scope3_Feed[[#Headers],[Category]], 0, 2)</f>
        <v>Australia</v>
      </c>
      <c r="G99" s="10" t="str" cm="1">
        <f t="array" ref="G99">Common_InputFunctions.Utility_DisplayArrayInTable(Scope3_SourceData.Scope3_Feed_Data(), Table_SourceData_Scope3_Feed[[#Headers],[Category]], 0, 2)</f>
        <v>kg</v>
      </c>
      <c r="H99" s="10" cm="1">
        <f t="array" ref="H99">Common_InputFunctions.Utility_DisplayArrayInTable(Scope3_SourceData.Scope3_Feed_Data(), Table_SourceData_Scope3_Feed[[#Headers],[Category]], 0, 2)</f>
        <v>0.18099999999999999</v>
      </c>
      <c r="I99" s="10" t="str" cm="1">
        <f t="array" ref="I99">Common_InputFunctions.Utility_DisplayArrayInTable(Scope3_SourceData.Scope3_Feed_Data(), Table_SourceData_Scope3_Feed[[#Headers],[Category]], 0, 2)</f>
        <v>at market</v>
      </c>
      <c r="K99" s="10" t="str">
        <f>Table_SourceData_Scope3_Feed[[#This Row],[Product]]</f>
        <v>Maize grain</v>
      </c>
      <c r="L99" s="10" t="str">
        <f>Table_SourceData_Scope3_Feed[[#This Row],[Region of origin]]</f>
        <v>Australia</v>
      </c>
    </row>
    <row r="100" spans="4:16" ht="20.100000000000001" customHeight="1" x14ac:dyDescent="0.25">
      <c r="D100" s="10" t="str" cm="1">
        <f t="array" ref="D100">Common_InputFunctions.Utility_DisplayArrayInTable(Scope3_SourceData.Scope3_Feed_Data(), Table_SourceData_Scope3_Feed[[#Headers],[Category]], 0, 2)</f>
        <v>Grain</v>
      </c>
      <c r="E100" s="10" t="str" cm="1">
        <f t="array" ref="E100">Common_InputFunctions.Utility_DisplayArrayInTable(Scope3_SourceData.Scope3_Feed_Data(), Table_SourceData_Scope3_Feed[[#Headers],[Category]], 0, 2)</f>
        <v>Maize grain</v>
      </c>
      <c r="F100" s="10" t="str" cm="1">
        <f t="array" ref="F100">Common_InputFunctions.Utility_DisplayArrayInTable(Scope3_SourceData.Scope3_Feed_Data(), Table_SourceData_Scope3_Feed[[#Headers],[Category]], 0, 2)</f>
        <v>NSW</v>
      </c>
      <c r="G100" s="10" t="str" cm="1">
        <f t="array" ref="G100">Common_InputFunctions.Utility_DisplayArrayInTable(Scope3_SourceData.Scope3_Feed_Data(), Table_SourceData_Scope3_Feed[[#Headers],[Category]], 0, 2)</f>
        <v>kg</v>
      </c>
      <c r="H100" s="10" cm="1">
        <f t="array" ref="H100">Common_InputFunctions.Utility_DisplayArrayInTable(Scope3_SourceData.Scope3_Feed_Data(), Table_SourceData_Scope3_Feed[[#Headers],[Category]], 0, 2)</f>
        <v>0.16900000000000001</v>
      </c>
      <c r="I100" s="10" t="str" cm="1">
        <f t="array" ref="I100">Common_InputFunctions.Utility_DisplayArrayInTable(Scope3_SourceData.Scope3_Feed_Data(), Table_SourceData_Scope3_Feed[[#Headers],[Category]], 0, 2)</f>
        <v>at market</v>
      </c>
      <c r="K100" s="10" t="str">
        <f>Table_SourceData_Scope3_Feed[[#This Row],[Product]]</f>
        <v>Maize grain</v>
      </c>
      <c r="L100" s="10" t="str">
        <f>Table_SourceData_Scope3_Feed[[#This Row],[Region of origin]]</f>
        <v>NSW</v>
      </c>
    </row>
    <row r="101" spans="4:16" ht="20.100000000000001" customHeight="1" x14ac:dyDescent="0.25">
      <c r="D101" s="10" t="str" cm="1">
        <f t="array" ref="D101">Common_InputFunctions.Utility_DisplayArrayInTable(Scope3_SourceData.Scope3_Feed_Data(), Table_SourceData_Scope3_Feed[[#Headers],[Category]], 0, 2)</f>
        <v>Grain</v>
      </c>
      <c r="E101" s="10" t="str" cm="1">
        <f t="array" ref="E101">Common_InputFunctions.Utility_DisplayArrayInTable(Scope3_SourceData.Scope3_Feed_Data(), Table_SourceData_Scope3_Feed[[#Headers],[Category]], 0, 2)</f>
        <v>Maize grain</v>
      </c>
      <c r="F101" s="10" t="str" cm="1">
        <f t="array" ref="F101">Common_InputFunctions.Utility_DisplayArrayInTable(Scope3_SourceData.Scope3_Feed_Data(), Table_SourceData_Scope3_Feed[[#Headers],[Category]], 0, 2)</f>
        <v>NT</v>
      </c>
      <c r="G101" s="10" t="str" cm="1">
        <f t="array" ref="G101">Common_InputFunctions.Utility_DisplayArrayInTable(Scope3_SourceData.Scope3_Feed_Data(), Table_SourceData_Scope3_Feed[[#Headers],[Category]], 0, 2)</f>
        <v>kg</v>
      </c>
      <c r="H101" s="10" cm="1">
        <f t="array" ref="H101">Common_InputFunctions.Utility_DisplayArrayInTable(Scope3_SourceData.Scope3_Feed_Data(), Table_SourceData_Scope3_Feed[[#Headers],[Category]], 0, 2)</f>
        <v>0.25600000000000001</v>
      </c>
      <c r="I101" s="10" t="str" cm="1">
        <f t="array" ref="I101">Common_InputFunctions.Utility_DisplayArrayInTable(Scope3_SourceData.Scope3_Feed_Data(), Table_SourceData_Scope3_Feed[[#Headers],[Category]], 0, 2)</f>
        <v>at market</v>
      </c>
      <c r="K101" s="10" t="str">
        <f>Table_SourceData_Scope3_Feed[[#This Row],[Product]]</f>
        <v>Maize grain</v>
      </c>
      <c r="L101" s="10" t="str">
        <f>Table_SourceData_Scope3_Feed[[#This Row],[Region of origin]]</f>
        <v>NT</v>
      </c>
    </row>
    <row r="102" spans="4:16" ht="20.100000000000001" customHeight="1" x14ac:dyDescent="0.25">
      <c r="D102" s="10" t="str" cm="1">
        <f t="array" ref="D102">Common_InputFunctions.Utility_DisplayArrayInTable(Scope3_SourceData.Scope3_Feed_Data(), Table_SourceData_Scope3_Feed[[#Headers],[Category]], 0, 2)</f>
        <v>Grain</v>
      </c>
      <c r="E102" s="10" t="str" cm="1">
        <f t="array" ref="E102">Common_InputFunctions.Utility_DisplayArrayInTable(Scope3_SourceData.Scope3_Feed_Data(), Table_SourceData_Scope3_Feed[[#Headers],[Category]], 0, 2)</f>
        <v>Maize grain</v>
      </c>
      <c r="F102" s="10" t="str" cm="1">
        <f t="array" ref="F102">Common_InputFunctions.Utility_DisplayArrayInTable(Scope3_SourceData.Scope3_Feed_Data(), Table_SourceData_Scope3_Feed[[#Headers],[Category]], 0, 2)</f>
        <v>QLD</v>
      </c>
      <c r="G102" s="10" t="str" cm="1">
        <f t="array" ref="G102">Common_InputFunctions.Utility_DisplayArrayInTable(Scope3_SourceData.Scope3_Feed_Data(), Table_SourceData_Scope3_Feed[[#Headers],[Category]], 0, 2)</f>
        <v>kg</v>
      </c>
      <c r="H102" s="10" cm="1">
        <f t="array" ref="H102">Common_InputFunctions.Utility_DisplayArrayInTable(Scope3_SourceData.Scope3_Feed_Data(), Table_SourceData_Scope3_Feed[[#Headers],[Category]], 0, 2)</f>
        <v>0.186</v>
      </c>
      <c r="I102" s="10" t="str" cm="1">
        <f t="array" ref="I102">Common_InputFunctions.Utility_DisplayArrayInTable(Scope3_SourceData.Scope3_Feed_Data(), Table_SourceData_Scope3_Feed[[#Headers],[Category]], 0, 2)</f>
        <v>at market</v>
      </c>
      <c r="K102" s="10" t="str">
        <f>Table_SourceData_Scope3_Feed[[#This Row],[Product]]</f>
        <v>Maize grain</v>
      </c>
      <c r="L102" s="10" t="str">
        <f>Table_SourceData_Scope3_Feed[[#This Row],[Region of origin]]</f>
        <v>QLD</v>
      </c>
    </row>
    <row r="103" spans="4:16" ht="20.100000000000001" customHeight="1" x14ac:dyDescent="0.25">
      <c r="D103" s="10" t="str" cm="1">
        <f t="array" ref="D103">Common_InputFunctions.Utility_DisplayArrayInTable(Scope3_SourceData.Scope3_Feed_Data(), Table_SourceData_Scope3_Feed[[#Headers],[Category]], 0, 2)</f>
        <v>Grain</v>
      </c>
      <c r="E103" s="10" t="str" cm="1">
        <f t="array" ref="E103">Common_InputFunctions.Utility_DisplayArrayInTable(Scope3_SourceData.Scope3_Feed_Data(), Table_SourceData_Scope3_Feed[[#Headers],[Category]], 0, 2)</f>
        <v>Maize grain</v>
      </c>
      <c r="F103" s="10" t="str" cm="1">
        <f t="array" ref="F103">Common_InputFunctions.Utility_DisplayArrayInTable(Scope3_SourceData.Scope3_Feed_Data(), Table_SourceData_Scope3_Feed[[#Headers],[Category]], 0, 2)</f>
        <v>SA</v>
      </c>
      <c r="G103" s="10" t="str" cm="1">
        <f t="array" ref="G103">Common_InputFunctions.Utility_DisplayArrayInTable(Scope3_SourceData.Scope3_Feed_Data(), Table_SourceData_Scope3_Feed[[#Headers],[Category]], 0, 2)</f>
        <v>kg</v>
      </c>
      <c r="H103" s="10" cm="1">
        <f t="array" ref="H103">Common_InputFunctions.Utility_DisplayArrayInTable(Scope3_SourceData.Scope3_Feed_Data(), Table_SourceData_Scope3_Feed[[#Headers],[Category]], 0, 2)</f>
        <v>0.17599999999999999</v>
      </c>
      <c r="I103" s="10" t="str" cm="1">
        <f t="array" ref="I103">Common_InputFunctions.Utility_DisplayArrayInTable(Scope3_SourceData.Scope3_Feed_Data(), Table_SourceData_Scope3_Feed[[#Headers],[Category]], 0, 2)</f>
        <v>at market</v>
      </c>
      <c r="K103" s="10" t="str">
        <f>Table_SourceData_Scope3_Feed[[#This Row],[Product]]</f>
        <v>Maize grain</v>
      </c>
      <c r="L103" s="10" t="str">
        <f>Table_SourceData_Scope3_Feed[[#This Row],[Region of origin]]</f>
        <v>SA</v>
      </c>
    </row>
    <row r="104" spans="4:16" ht="20.100000000000001" customHeight="1" x14ac:dyDescent="0.25">
      <c r="D104" s="10" t="str" cm="1">
        <f t="array" ref="D104">Common_InputFunctions.Utility_DisplayArrayInTable(Scope3_SourceData.Scope3_Feed_Data(), Table_SourceData_Scope3_Feed[[#Headers],[Category]], 0, 2)</f>
        <v>Grain</v>
      </c>
      <c r="E104" s="10" t="str" cm="1">
        <f t="array" ref="E104">Common_InputFunctions.Utility_DisplayArrayInTable(Scope3_SourceData.Scope3_Feed_Data(), Table_SourceData_Scope3_Feed[[#Headers],[Category]], 0, 2)</f>
        <v>Maize grain</v>
      </c>
      <c r="F104" s="10" t="str" cm="1">
        <f t="array" ref="F104">Common_InputFunctions.Utility_DisplayArrayInTable(Scope3_SourceData.Scope3_Feed_Data(), Table_SourceData_Scope3_Feed[[#Headers],[Category]], 0, 2)</f>
        <v>VIC</v>
      </c>
      <c r="G104" s="10" t="str" cm="1">
        <f t="array" ref="G104">Common_InputFunctions.Utility_DisplayArrayInTable(Scope3_SourceData.Scope3_Feed_Data(), Table_SourceData_Scope3_Feed[[#Headers],[Category]], 0, 2)</f>
        <v>kg</v>
      </c>
      <c r="H104" s="10" cm="1">
        <f t="array" ref="H104">Common_InputFunctions.Utility_DisplayArrayInTable(Scope3_SourceData.Scope3_Feed_Data(), Table_SourceData_Scope3_Feed[[#Headers],[Category]], 0, 2)</f>
        <v>0.159</v>
      </c>
      <c r="I104" s="10" t="str" cm="1">
        <f t="array" ref="I104">Common_InputFunctions.Utility_DisplayArrayInTable(Scope3_SourceData.Scope3_Feed_Data(), Table_SourceData_Scope3_Feed[[#Headers],[Category]], 0, 2)</f>
        <v>at market</v>
      </c>
      <c r="K104" s="10" t="str">
        <f>Table_SourceData_Scope3_Feed[[#This Row],[Product]]</f>
        <v>Maize grain</v>
      </c>
      <c r="L104" s="10" t="str">
        <f>Table_SourceData_Scope3_Feed[[#This Row],[Region of origin]]</f>
        <v>VIC</v>
      </c>
    </row>
    <row r="105" spans="4:16" ht="20.100000000000001" customHeight="1" x14ac:dyDescent="0.25">
      <c r="D105" s="10" t="str" cm="1">
        <f t="array" ref="D105">Common_InputFunctions.Utility_DisplayArrayInTable(Scope3_SourceData.Scope3_Feed_Data(), Table_SourceData_Scope3_Feed[[#Headers],[Category]], 0, 2)</f>
        <v>Grain</v>
      </c>
      <c r="E105" s="10" t="str" cm="1">
        <f t="array" ref="E105">Common_InputFunctions.Utility_DisplayArrayInTable(Scope3_SourceData.Scope3_Feed_Data(), Table_SourceData_Scope3_Feed[[#Headers],[Category]], 0, 2)</f>
        <v>Maize grain</v>
      </c>
      <c r="F105" s="10" t="str" cm="1">
        <f t="array" ref="F105">Common_InputFunctions.Utility_DisplayArrayInTable(Scope3_SourceData.Scope3_Feed_Data(), Table_SourceData_Scope3_Feed[[#Headers],[Category]], 0, 2)</f>
        <v>WA</v>
      </c>
      <c r="G105" s="10" t="str" cm="1">
        <f t="array" ref="G105">Common_InputFunctions.Utility_DisplayArrayInTable(Scope3_SourceData.Scope3_Feed_Data(), Table_SourceData_Scope3_Feed[[#Headers],[Category]], 0, 2)</f>
        <v>kg</v>
      </c>
      <c r="H105" s="10" cm="1">
        <f t="array" ref="H105">Common_InputFunctions.Utility_DisplayArrayInTable(Scope3_SourceData.Scope3_Feed_Data(), Table_SourceData_Scope3_Feed[[#Headers],[Category]], 0, 2)</f>
        <v>0.28499999999999998</v>
      </c>
      <c r="I105" s="10" t="str" cm="1">
        <f t="array" ref="I105">Common_InputFunctions.Utility_DisplayArrayInTable(Scope3_SourceData.Scope3_Feed_Data(), Table_SourceData_Scope3_Feed[[#Headers],[Category]], 0, 2)</f>
        <v>at market</v>
      </c>
      <c r="K105" s="10" t="str">
        <f>Table_SourceData_Scope3_Feed[[#This Row],[Product]]</f>
        <v>Maize grain</v>
      </c>
      <c r="L105" s="10" t="str">
        <f>Table_SourceData_Scope3_Feed[[#This Row],[Region of origin]]</f>
        <v>WA</v>
      </c>
      <c r="N105" s="10" t="s">
        <v>212</v>
      </c>
      <c r="O105" s="10" t="s">
        <v>378</v>
      </c>
      <c r="P105" s="8" t="str">
        <f>"Table_ProductRegions_" &amp; SUBSTITUTE(SUBSTITUTE(SUBSTITUTE(SUBSTITUTE(N106, " ", ""), ",", ""), "(", ""), ")", "")</f>
        <v>Table_ProductRegions_Sorghumgrain</v>
      </c>
    </row>
    <row r="106" spans="4:16" ht="20.100000000000001" customHeight="1" x14ac:dyDescent="0.25">
      <c r="D106" s="10" t="str" cm="1">
        <f t="array" ref="D106">Common_InputFunctions.Utility_DisplayArrayInTable(Scope3_SourceData.Scope3_Feed_Data(), Table_SourceData_Scope3_Feed[[#Headers],[Category]], 0, 2)</f>
        <v>Grain</v>
      </c>
      <c r="E106" s="10" t="str" cm="1">
        <f t="array" ref="E106">Common_InputFunctions.Utility_DisplayArrayInTable(Scope3_SourceData.Scope3_Feed_Data(), Table_SourceData_Scope3_Feed[[#Headers],[Category]], 0, 2)</f>
        <v>Sorghum grain</v>
      </c>
      <c r="F106" s="10" t="str" cm="1">
        <f t="array" ref="F106">Common_InputFunctions.Utility_DisplayArrayInTable(Scope3_SourceData.Scope3_Feed_Data(), Table_SourceData_Scope3_Feed[[#Headers],[Category]], 0, 2)</f>
        <v>Australia</v>
      </c>
      <c r="G106" s="10" t="str" cm="1">
        <f t="array" ref="G106">Common_InputFunctions.Utility_DisplayArrayInTable(Scope3_SourceData.Scope3_Feed_Data(), Table_SourceData_Scope3_Feed[[#Headers],[Category]], 0, 2)</f>
        <v>kg</v>
      </c>
      <c r="H106" s="10" cm="1">
        <f t="array" ref="H106">Common_InputFunctions.Utility_DisplayArrayInTable(Scope3_SourceData.Scope3_Feed_Data(), Table_SourceData_Scope3_Feed[[#Headers],[Category]], 0, 2)</f>
        <v>0.23200000000000001</v>
      </c>
      <c r="I106" s="10" t="str" cm="1">
        <f t="array" ref="I106">Common_InputFunctions.Utility_DisplayArrayInTable(Scope3_SourceData.Scope3_Feed_Data(), Table_SourceData_Scope3_Feed[[#Headers],[Category]], 0, 2)</f>
        <v>at market</v>
      </c>
      <c r="N106" s="10" t="str">
        <f>Table_SourceData_Scope3_Feed[[#This Row],[Product]]</f>
        <v>Sorghum grain</v>
      </c>
      <c r="O106" s="10" t="str">
        <f>Table_SourceData_Scope3_Feed[[#This Row],[Region of origin]]</f>
        <v>Australia</v>
      </c>
    </row>
    <row r="107" spans="4:16" ht="20.100000000000001" customHeight="1" x14ac:dyDescent="0.25">
      <c r="D107" s="10" t="str" cm="1">
        <f t="array" ref="D107">Common_InputFunctions.Utility_DisplayArrayInTable(Scope3_SourceData.Scope3_Feed_Data(), Table_SourceData_Scope3_Feed[[#Headers],[Category]], 0, 2)</f>
        <v>Grain</v>
      </c>
      <c r="E107" s="10" t="str" cm="1">
        <f t="array" ref="E107">Common_InputFunctions.Utility_DisplayArrayInTable(Scope3_SourceData.Scope3_Feed_Data(), Table_SourceData_Scope3_Feed[[#Headers],[Category]], 0, 2)</f>
        <v>Sorghum grain</v>
      </c>
      <c r="F107" s="10" t="str" cm="1">
        <f t="array" ref="F107">Common_InputFunctions.Utility_DisplayArrayInTable(Scope3_SourceData.Scope3_Feed_Data(), Table_SourceData_Scope3_Feed[[#Headers],[Category]], 0, 2)</f>
        <v>NSW</v>
      </c>
      <c r="G107" s="10" t="str" cm="1">
        <f t="array" ref="G107">Common_InputFunctions.Utility_DisplayArrayInTable(Scope3_SourceData.Scope3_Feed_Data(), Table_SourceData_Scope3_Feed[[#Headers],[Category]], 0, 2)</f>
        <v>kg</v>
      </c>
      <c r="H107" s="10" cm="1">
        <f t="array" ref="H107">Common_InputFunctions.Utility_DisplayArrayInTable(Scope3_SourceData.Scope3_Feed_Data(), Table_SourceData_Scope3_Feed[[#Headers],[Category]], 0, 2)</f>
        <v>0.23200000000000001</v>
      </c>
      <c r="I107" s="10" t="str" cm="1">
        <f t="array" ref="I107">Common_InputFunctions.Utility_DisplayArrayInTable(Scope3_SourceData.Scope3_Feed_Data(), Table_SourceData_Scope3_Feed[[#Headers],[Category]], 0, 2)</f>
        <v>at market</v>
      </c>
      <c r="N107" s="10" t="str">
        <f>Table_SourceData_Scope3_Feed[[#This Row],[Product]]</f>
        <v>Sorghum grain</v>
      </c>
      <c r="O107" s="10" t="str">
        <f>Table_SourceData_Scope3_Feed[[#This Row],[Region of origin]]</f>
        <v>NSW</v>
      </c>
    </row>
    <row r="108" spans="4:16" ht="20.100000000000001" customHeight="1" x14ac:dyDescent="0.25">
      <c r="D108" s="10" t="str" cm="1">
        <f t="array" ref="D108">Common_InputFunctions.Utility_DisplayArrayInTable(Scope3_SourceData.Scope3_Feed_Data(), Table_SourceData_Scope3_Feed[[#Headers],[Category]], 0, 2)</f>
        <v>Grain</v>
      </c>
      <c r="E108" s="10" t="str" cm="1">
        <f t="array" ref="E108">Common_InputFunctions.Utility_DisplayArrayInTable(Scope3_SourceData.Scope3_Feed_Data(), Table_SourceData_Scope3_Feed[[#Headers],[Category]], 0, 2)</f>
        <v>Sorghum grain</v>
      </c>
      <c r="F108" s="10" t="str" cm="1">
        <f t="array" ref="F108">Common_InputFunctions.Utility_DisplayArrayInTable(Scope3_SourceData.Scope3_Feed_Data(), Table_SourceData_Scope3_Feed[[#Headers],[Category]], 0, 2)</f>
        <v>QLD</v>
      </c>
      <c r="G108" s="10" t="str" cm="1">
        <f t="array" ref="G108">Common_InputFunctions.Utility_DisplayArrayInTable(Scope3_SourceData.Scope3_Feed_Data(), Table_SourceData_Scope3_Feed[[#Headers],[Category]], 0, 2)</f>
        <v>kg</v>
      </c>
      <c r="H108" s="10" cm="1">
        <f t="array" ref="H108">Common_InputFunctions.Utility_DisplayArrayInTable(Scope3_SourceData.Scope3_Feed_Data(), Table_SourceData_Scope3_Feed[[#Headers],[Category]], 0, 2)</f>
        <v>0.23100000000000001</v>
      </c>
      <c r="I108" s="10" t="str" cm="1">
        <f t="array" ref="I108">Common_InputFunctions.Utility_DisplayArrayInTable(Scope3_SourceData.Scope3_Feed_Data(), Table_SourceData_Scope3_Feed[[#Headers],[Category]], 0, 2)</f>
        <v>at market</v>
      </c>
      <c r="N108" s="10" t="str">
        <f>Table_SourceData_Scope3_Feed[[#This Row],[Product]]</f>
        <v>Sorghum grain</v>
      </c>
      <c r="O108" s="10" t="str">
        <f>Table_SourceData_Scope3_Feed[[#This Row],[Region of origin]]</f>
        <v>QLD</v>
      </c>
    </row>
    <row r="109" spans="4:16" ht="20.100000000000001" customHeight="1" x14ac:dyDescent="0.25">
      <c r="D109" s="10" t="str" cm="1">
        <f t="array" ref="D109">Common_InputFunctions.Utility_DisplayArrayInTable(Scope3_SourceData.Scope3_Feed_Data(), Table_SourceData_Scope3_Feed[[#Headers],[Category]], 0, 2)</f>
        <v>Grain</v>
      </c>
      <c r="E109" s="10" t="str" cm="1">
        <f t="array" ref="E109">Common_InputFunctions.Utility_DisplayArrayInTable(Scope3_SourceData.Scope3_Feed_Data(), Table_SourceData_Scope3_Feed[[#Headers],[Category]], 0, 2)</f>
        <v>Sorghum grain</v>
      </c>
      <c r="F109" s="10" t="str" cm="1">
        <f t="array" ref="F109">Common_InputFunctions.Utility_DisplayArrayInTable(Scope3_SourceData.Scope3_Feed_Data(), Table_SourceData_Scope3_Feed[[#Headers],[Category]], 0, 2)</f>
        <v>SA</v>
      </c>
      <c r="G109" s="10" t="str" cm="1">
        <f t="array" ref="G109">Common_InputFunctions.Utility_DisplayArrayInTable(Scope3_SourceData.Scope3_Feed_Data(), Table_SourceData_Scope3_Feed[[#Headers],[Category]], 0, 2)</f>
        <v>kg</v>
      </c>
      <c r="H109" s="10" cm="1">
        <f t="array" ref="H109">Common_InputFunctions.Utility_DisplayArrayInTable(Scope3_SourceData.Scope3_Feed_Data(), Table_SourceData_Scope3_Feed[[#Headers],[Category]], 0, 2)</f>
        <v>0.218</v>
      </c>
      <c r="I109" s="10" t="str" cm="1">
        <f t="array" ref="I109">Common_InputFunctions.Utility_DisplayArrayInTable(Scope3_SourceData.Scope3_Feed_Data(), Table_SourceData_Scope3_Feed[[#Headers],[Category]], 0, 2)</f>
        <v>at market</v>
      </c>
      <c r="N109" s="10" t="str">
        <f>Table_SourceData_Scope3_Feed[[#This Row],[Product]]</f>
        <v>Sorghum grain</v>
      </c>
      <c r="O109" s="10" t="str">
        <f>Table_SourceData_Scope3_Feed[[#This Row],[Region of origin]]</f>
        <v>SA</v>
      </c>
    </row>
    <row r="110" spans="4:16" ht="20.100000000000001" customHeight="1" x14ac:dyDescent="0.25">
      <c r="D110" s="10" t="str" cm="1">
        <f t="array" ref="D110">Common_InputFunctions.Utility_DisplayArrayInTable(Scope3_SourceData.Scope3_Feed_Data(), Table_SourceData_Scope3_Feed[[#Headers],[Category]], 0, 2)</f>
        <v>Grain</v>
      </c>
      <c r="E110" s="10" t="str" cm="1">
        <f t="array" ref="E110">Common_InputFunctions.Utility_DisplayArrayInTable(Scope3_SourceData.Scope3_Feed_Data(), Table_SourceData_Scope3_Feed[[#Headers],[Category]], 0, 2)</f>
        <v>Sorghum grain</v>
      </c>
      <c r="F110" s="10" t="str" cm="1">
        <f t="array" ref="F110">Common_InputFunctions.Utility_DisplayArrayInTable(Scope3_SourceData.Scope3_Feed_Data(), Table_SourceData_Scope3_Feed[[#Headers],[Category]], 0, 2)</f>
        <v>VIC</v>
      </c>
      <c r="G110" s="10" t="str" cm="1">
        <f t="array" ref="G110">Common_InputFunctions.Utility_DisplayArrayInTable(Scope3_SourceData.Scope3_Feed_Data(), Table_SourceData_Scope3_Feed[[#Headers],[Category]], 0, 2)</f>
        <v>kg</v>
      </c>
      <c r="H110" s="10" cm="1">
        <f t="array" ref="H110">Common_InputFunctions.Utility_DisplayArrayInTable(Scope3_SourceData.Scope3_Feed_Data(), Table_SourceData_Scope3_Feed[[#Headers],[Category]], 0, 2)</f>
        <v>0.246</v>
      </c>
      <c r="I110" s="10" t="str" cm="1">
        <f t="array" ref="I110">Common_InputFunctions.Utility_DisplayArrayInTable(Scope3_SourceData.Scope3_Feed_Data(), Table_SourceData_Scope3_Feed[[#Headers],[Category]], 0, 2)</f>
        <v>at market</v>
      </c>
      <c r="K110" s="10" t="s">
        <v>212</v>
      </c>
      <c r="L110" s="10" t="s">
        <v>378</v>
      </c>
      <c r="M110" s="8" t="str">
        <f>"Table_ProductRegions_" &amp; SUBSTITUTE(SUBSTITUTE(SUBSTITUTE(SUBSTITUTE(K111, " ", ""), ",", ""), "(", ""), ")", "")</f>
        <v>Table_ProductRegions_Wheatgrain</v>
      </c>
      <c r="N110" s="10" t="str">
        <f>Table_SourceData_Scope3_Feed[[#This Row],[Product]]</f>
        <v>Sorghum grain</v>
      </c>
      <c r="O110" s="10" t="str">
        <f>Table_SourceData_Scope3_Feed[[#This Row],[Region of origin]]</f>
        <v>VIC</v>
      </c>
    </row>
    <row r="111" spans="4:16" ht="20.100000000000001" customHeight="1" x14ac:dyDescent="0.25">
      <c r="D111" s="10" t="str" cm="1">
        <f t="array" ref="D111">Common_InputFunctions.Utility_DisplayArrayInTable(Scope3_SourceData.Scope3_Feed_Data(), Table_SourceData_Scope3_Feed[[#Headers],[Category]], 0, 2)</f>
        <v>Grain</v>
      </c>
      <c r="E111" s="10" t="str" cm="1">
        <f t="array" ref="E111">Common_InputFunctions.Utility_DisplayArrayInTable(Scope3_SourceData.Scope3_Feed_Data(), Table_SourceData_Scope3_Feed[[#Headers],[Category]], 0, 2)</f>
        <v>Wheat grain</v>
      </c>
      <c r="F111" s="10" t="str" cm="1">
        <f t="array" ref="F111">Common_InputFunctions.Utility_DisplayArrayInTable(Scope3_SourceData.Scope3_Feed_Data(), Table_SourceData_Scope3_Feed[[#Headers],[Category]], 0, 2)</f>
        <v>Australia</v>
      </c>
      <c r="G111" s="10" t="str" cm="1">
        <f t="array" ref="G111">Common_InputFunctions.Utility_DisplayArrayInTable(Scope3_SourceData.Scope3_Feed_Data(), Table_SourceData_Scope3_Feed[[#Headers],[Category]], 0, 2)</f>
        <v>kg</v>
      </c>
      <c r="H111" s="10" cm="1">
        <f t="array" ref="H111">Common_InputFunctions.Utility_DisplayArrayInTable(Scope3_SourceData.Scope3_Feed_Data(), Table_SourceData_Scope3_Feed[[#Headers],[Category]], 0, 2)</f>
        <v>0.26800000000000002</v>
      </c>
      <c r="I111" s="10" t="str" cm="1">
        <f t="array" ref="I111">Common_InputFunctions.Utility_DisplayArrayInTable(Scope3_SourceData.Scope3_Feed_Data(), Table_SourceData_Scope3_Feed[[#Headers],[Category]], 0, 2)</f>
        <v>at market</v>
      </c>
      <c r="K111" s="10" t="str">
        <f>Table_SourceData_Scope3_Feed[[#This Row],[Product]]</f>
        <v>Wheat grain</v>
      </c>
      <c r="L111" s="10" t="str">
        <f>Table_SourceData_Scope3_Feed[[#This Row],[Region of origin]]</f>
        <v>Australia</v>
      </c>
    </row>
    <row r="112" spans="4:16" ht="20.100000000000001" customHeight="1" x14ac:dyDescent="0.25">
      <c r="D112" s="10" t="str" cm="1">
        <f t="array" ref="D112">Common_InputFunctions.Utility_DisplayArrayInTable(Scope3_SourceData.Scope3_Feed_Data(), Table_SourceData_Scope3_Feed[[#Headers],[Category]], 0, 2)</f>
        <v>Grain</v>
      </c>
      <c r="E112" s="10" t="str" cm="1">
        <f t="array" ref="E112">Common_InputFunctions.Utility_DisplayArrayInTable(Scope3_SourceData.Scope3_Feed_Data(), Table_SourceData_Scope3_Feed[[#Headers],[Category]], 0, 2)</f>
        <v>Wheat grain</v>
      </c>
      <c r="F112" s="10" t="str" cm="1">
        <f t="array" ref="F112">Common_InputFunctions.Utility_DisplayArrayInTable(Scope3_SourceData.Scope3_Feed_Data(), Table_SourceData_Scope3_Feed[[#Headers],[Category]], 0, 2)</f>
        <v>NSW</v>
      </c>
      <c r="G112" s="10" t="str" cm="1">
        <f t="array" ref="G112">Common_InputFunctions.Utility_DisplayArrayInTable(Scope3_SourceData.Scope3_Feed_Data(), Table_SourceData_Scope3_Feed[[#Headers],[Category]], 0, 2)</f>
        <v>kg</v>
      </c>
      <c r="H112" s="10" cm="1">
        <f t="array" ref="H112">Common_InputFunctions.Utility_DisplayArrayInTable(Scope3_SourceData.Scope3_Feed_Data(), Table_SourceData_Scope3_Feed[[#Headers],[Category]], 0, 2)</f>
        <v>0.28199999999999997</v>
      </c>
      <c r="I112" s="10" t="str" cm="1">
        <f t="array" ref="I112">Common_InputFunctions.Utility_DisplayArrayInTable(Scope3_SourceData.Scope3_Feed_Data(), Table_SourceData_Scope3_Feed[[#Headers],[Category]], 0, 2)</f>
        <v>at market</v>
      </c>
      <c r="K112" s="10" t="str">
        <f>Table_SourceData_Scope3_Feed[[#This Row],[Product]]</f>
        <v>Wheat grain</v>
      </c>
      <c r="L112" s="10" t="str">
        <f>Table_SourceData_Scope3_Feed[[#This Row],[Region of origin]]</f>
        <v>NSW</v>
      </c>
    </row>
    <row r="113" spans="4:16" ht="20.100000000000001" customHeight="1" x14ac:dyDescent="0.25">
      <c r="D113" s="10" t="str" cm="1">
        <f t="array" ref="D113">Common_InputFunctions.Utility_DisplayArrayInTable(Scope3_SourceData.Scope3_Feed_Data(), Table_SourceData_Scope3_Feed[[#Headers],[Category]], 0, 2)</f>
        <v>Grain</v>
      </c>
      <c r="E113" s="10" t="str" cm="1">
        <f t="array" ref="E113">Common_InputFunctions.Utility_DisplayArrayInTable(Scope3_SourceData.Scope3_Feed_Data(), Table_SourceData_Scope3_Feed[[#Headers],[Category]], 0, 2)</f>
        <v>Wheat grain</v>
      </c>
      <c r="F113" s="10" t="str" cm="1">
        <f t="array" ref="F113">Common_InputFunctions.Utility_DisplayArrayInTable(Scope3_SourceData.Scope3_Feed_Data(), Table_SourceData_Scope3_Feed[[#Headers],[Category]], 0, 2)</f>
        <v>NT</v>
      </c>
      <c r="G113" s="10" t="str" cm="1">
        <f t="array" ref="G113">Common_InputFunctions.Utility_DisplayArrayInTable(Scope3_SourceData.Scope3_Feed_Data(), Table_SourceData_Scope3_Feed[[#Headers],[Category]], 0, 2)</f>
        <v>kg</v>
      </c>
      <c r="H113" s="10" cm="1">
        <f t="array" ref="H113">Common_InputFunctions.Utility_DisplayArrayInTable(Scope3_SourceData.Scope3_Feed_Data(), Table_SourceData_Scope3_Feed[[#Headers],[Category]], 0, 2)</f>
        <v>0.38500000000000001</v>
      </c>
      <c r="I113" s="10" t="str" cm="1">
        <f t="array" ref="I113">Common_InputFunctions.Utility_DisplayArrayInTable(Scope3_SourceData.Scope3_Feed_Data(), Table_SourceData_Scope3_Feed[[#Headers],[Category]], 0, 2)</f>
        <v>at market</v>
      </c>
      <c r="K113" s="10" t="str">
        <f>Table_SourceData_Scope3_Feed[[#This Row],[Product]]</f>
        <v>Wheat grain</v>
      </c>
      <c r="L113" s="10" t="str">
        <f>Table_SourceData_Scope3_Feed[[#This Row],[Region of origin]]</f>
        <v>NT</v>
      </c>
    </row>
    <row r="114" spans="4:16" ht="20.100000000000001" customHeight="1" x14ac:dyDescent="0.25">
      <c r="D114" s="10" t="str" cm="1">
        <f t="array" ref="D114">Common_InputFunctions.Utility_DisplayArrayInTable(Scope3_SourceData.Scope3_Feed_Data(), Table_SourceData_Scope3_Feed[[#Headers],[Category]], 0, 2)</f>
        <v>Grain</v>
      </c>
      <c r="E114" s="10" t="str" cm="1">
        <f t="array" ref="E114">Common_InputFunctions.Utility_DisplayArrayInTable(Scope3_SourceData.Scope3_Feed_Data(), Table_SourceData_Scope3_Feed[[#Headers],[Category]], 0, 2)</f>
        <v>Wheat grain</v>
      </c>
      <c r="F114" s="10" t="str" cm="1">
        <f t="array" ref="F114">Common_InputFunctions.Utility_DisplayArrayInTable(Scope3_SourceData.Scope3_Feed_Data(), Table_SourceData_Scope3_Feed[[#Headers],[Category]], 0, 2)</f>
        <v>QLD</v>
      </c>
      <c r="G114" s="10" t="str" cm="1">
        <f t="array" ref="G114">Common_InputFunctions.Utility_DisplayArrayInTable(Scope3_SourceData.Scope3_Feed_Data(), Table_SourceData_Scope3_Feed[[#Headers],[Category]], 0, 2)</f>
        <v>kg</v>
      </c>
      <c r="H114" s="10" cm="1">
        <f t="array" ref="H114">Common_InputFunctions.Utility_DisplayArrayInTable(Scope3_SourceData.Scope3_Feed_Data(), Table_SourceData_Scope3_Feed[[#Headers],[Category]], 0, 2)</f>
        <v>0.29599999999999999</v>
      </c>
      <c r="I114" s="10" t="str" cm="1">
        <f t="array" ref="I114">Common_InputFunctions.Utility_DisplayArrayInTable(Scope3_SourceData.Scope3_Feed_Data(), Table_SourceData_Scope3_Feed[[#Headers],[Category]], 0, 2)</f>
        <v>at market</v>
      </c>
      <c r="K114" s="10" t="str">
        <f>Table_SourceData_Scope3_Feed[[#This Row],[Product]]</f>
        <v>Wheat grain</v>
      </c>
      <c r="L114" s="10" t="str">
        <f>Table_SourceData_Scope3_Feed[[#This Row],[Region of origin]]</f>
        <v>QLD</v>
      </c>
    </row>
    <row r="115" spans="4:16" ht="20.100000000000001" customHeight="1" x14ac:dyDescent="0.25">
      <c r="D115" s="10" t="str" cm="1">
        <f t="array" ref="D115">Common_InputFunctions.Utility_DisplayArrayInTable(Scope3_SourceData.Scope3_Feed_Data(), Table_SourceData_Scope3_Feed[[#Headers],[Category]], 0, 2)</f>
        <v>Grain</v>
      </c>
      <c r="E115" s="10" t="str" cm="1">
        <f t="array" ref="E115">Common_InputFunctions.Utility_DisplayArrayInTable(Scope3_SourceData.Scope3_Feed_Data(), Table_SourceData_Scope3_Feed[[#Headers],[Category]], 0, 2)</f>
        <v>Wheat grain</v>
      </c>
      <c r="F115" s="10" t="str" cm="1">
        <f t="array" ref="F115">Common_InputFunctions.Utility_DisplayArrayInTable(Scope3_SourceData.Scope3_Feed_Data(), Table_SourceData_Scope3_Feed[[#Headers],[Category]], 0, 2)</f>
        <v>SA</v>
      </c>
      <c r="G115" s="10" t="str" cm="1">
        <f t="array" ref="G115">Common_InputFunctions.Utility_DisplayArrayInTable(Scope3_SourceData.Scope3_Feed_Data(), Table_SourceData_Scope3_Feed[[#Headers],[Category]], 0, 2)</f>
        <v>kg</v>
      </c>
      <c r="H115" s="10" cm="1">
        <f t="array" ref="H115">Common_InputFunctions.Utility_DisplayArrayInTable(Scope3_SourceData.Scope3_Feed_Data(), Table_SourceData_Scope3_Feed[[#Headers],[Category]], 0, 2)</f>
        <v>0.24099999999999999</v>
      </c>
      <c r="I115" s="10" t="str" cm="1">
        <f t="array" ref="I115">Common_InputFunctions.Utility_DisplayArrayInTable(Scope3_SourceData.Scope3_Feed_Data(), Table_SourceData_Scope3_Feed[[#Headers],[Category]], 0, 2)</f>
        <v>at market</v>
      </c>
      <c r="K115" s="10" t="str">
        <f>Table_SourceData_Scope3_Feed[[#This Row],[Product]]</f>
        <v>Wheat grain</v>
      </c>
      <c r="L115" s="10" t="str">
        <f>Table_SourceData_Scope3_Feed[[#This Row],[Region of origin]]</f>
        <v>SA</v>
      </c>
    </row>
    <row r="116" spans="4:16" ht="20.100000000000001" customHeight="1" x14ac:dyDescent="0.25">
      <c r="D116" s="10" t="str" cm="1">
        <f t="array" ref="D116">Common_InputFunctions.Utility_DisplayArrayInTable(Scope3_SourceData.Scope3_Feed_Data(), Table_SourceData_Scope3_Feed[[#Headers],[Category]], 0, 2)</f>
        <v>Grain</v>
      </c>
      <c r="E116" s="10" t="str" cm="1">
        <f t="array" ref="E116">Common_InputFunctions.Utility_DisplayArrayInTable(Scope3_SourceData.Scope3_Feed_Data(), Table_SourceData_Scope3_Feed[[#Headers],[Category]], 0, 2)</f>
        <v>Wheat grain</v>
      </c>
      <c r="F116" s="10" t="str" cm="1">
        <f t="array" ref="F116">Common_InputFunctions.Utility_DisplayArrayInTable(Scope3_SourceData.Scope3_Feed_Data(), Table_SourceData_Scope3_Feed[[#Headers],[Category]], 0, 2)</f>
        <v>TAS</v>
      </c>
      <c r="G116" s="10" t="str" cm="1">
        <f t="array" ref="G116">Common_InputFunctions.Utility_DisplayArrayInTable(Scope3_SourceData.Scope3_Feed_Data(), Table_SourceData_Scope3_Feed[[#Headers],[Category]], 0, 2)</f>
        <v>kg</v>
      </c>
      <c r="H116" s="10" cm="1">
        <f t="array" ref="H116">Common_InputFunctions.Utility_DisplayArrayInTable(Scope3_SourceData.Scope3_Feed_Data(), Table_SourceData_Scope3_Feed[[#Headers],[Category]], 0, 2)</f>
        <v>0.33800000000000002</v>
      </c>
      <c r="I116" s="10" t="str" cm="1">
        <f t="array" ref="I116">Common_InputFunctions.Utility_DisplayArrayInTable(Scope3_SourceData.Scope3_Feed_Data(), Table_SourceData_Scope3_Feed[[#Headers],[Category]], 0, 2)</f>
        <v>at market</v>
      </c>
      <c r="K116" s="10" t="str">
        <f>Table_SourceData_Scope3_Feed[[#This Row],[Product]]</f>
        <v>Wheat grain</v>
      </c>
      <c r="L116" s="10" t="str">
        <f>Table_SourceData_Scope3_Feed[[#This Row],[Region of origin]]</f>
        <v>TAS</v>
      </c>
    </row>
    <row r="117" spans="4:16" ht="20.100000000000001" customHeight="1" x14ac:dyDescent="0.25">
      <c r="D117" s="10" t="str" cm="1">
        <f t="array" ref="D117">Common_InputFunctions.Utility_DisplayArrayInTable(Scope3_SourceData.Scope3_Feed_Data(), Table_SourceData_Scope3_Feed[[#Headers],[Category]], 0, 2)</f>
        <v>Grain</v>
      </c>
      <c r="E117" s="10" t="str" cm="1">
        <f t="array" ref="E117">Common_InputFunctions.Utility_DisplayArrayInTable(Scope3_SourceData.Scope3_Feed_Data(), Table_SourceData_Scope3_Feed[[#Headers],[Category]], 0, 2)</f>
        <v>Wheat grain</v>
      </c>
      <c r="F117" s="10" t="str" cm="1">
        <f t="array" ref="F117">Common_InputFunctions.Utility_DisplayArrayInTable(Scope3_SourceData.Scope3_Feed_Data(), Table_SourceData_Scope3_Feed[[#Headers],[Category]], 0, 2)</f>
        <v>VIC</v>
      </c>
      <c r="G117" s="10" t="str" cm="1">
        <f t="array" ref="G117">Common_InputFunctions.Utility_DisplayArrayInTable(Scope3_SourceData.Scope3_Feed_Data(), Table_SourceData_Scope3_Feed[[#Headers],[Category]], 0, 2)</f>
        <v>kg</v>
      </c>
      <c r="H117" s="10" cm="1">
        <f t="array" ref="H117">Common_InputFunctions.Utility_DisplayArrayInTable(Scope3_SourceData.Scope3_Feed_Data(), Table_SourceData_Scope3_Feed[[#Headers],[Category]], 0, 2)</f>
        <v>0.26600000000000001</v>
      </c>
      <c r="I117" s="10" t="str" cm="1">
        <f t="array" ref="I117">Common_InputFunctions.Utility_DisplayArrayInTable(Scope3_SourceData.Scope3_Feed_Data(), Table_SourceData_Scope3_Feed[[#Headers],[Category]], 0, 2)</f>
        <v>at market</v>
      </c>
      <c r="K117" s="10" t="str">
        <f>Table_SourceData_Scope3_Feed[[#This Row],[Product]]</f>
        <v>Wheat grain</v>
      </c>
      <c r="L117" s="10" t="str">
        <f>Table_SourceData_Scope3_Feed[[#This Row],[Region of origin]]</f>
        <v>VIC</v>
      </c>
    </row>
    <row r="118" spans="4:16" ht="20.100000000000001" customHeight="1" x14ac:dyDescent="0.25">
      <c r="D118" s="10" t="str" cm="1">
        <f t="array" ref="D118">Common_InputFunctions.Utility_DisplayArrayInTable(Scope3_SourceData.Scope3_Feed_Data(), Table_SourceData_Scope3_Feed[[#Headers],[Category]], 0, 2)</f>
        <v>Grain</v>
      </c>
      <c r="E118" s="10" t="str" cm="1">
        <f t="array" ref="E118">Common_InputFunctions.Utility_DisplayArrayInTable(Scope3_SourceData.Scope3_Feed_Data(), Table_SourceData_Scope3_Feed[[#Headers],[Category]], 0, 2)</f>
        <v>Wheat grain</v>
      </c>
      <c r="F118" s="10" t="str" cm="1">
        <f t="array" ref="F118">Common_InputFunctions.Utility_DisplayArrayInTable(Scope3_SourceData.Scope3_Feed_Data(), Table_SourceData_Scope3_Feed[[#Headers],[Category]], 0, 2)</f>
        <v>WA</v>
      </c>
      <c r="G118" s="10" t="str" cm="1">
        <f t="array" ref="G118">Common_InputFunctions.Utility_DisplayArrayInTable(Scope3_SourceData.Scope3_Feed_Data(), Table_SourceData_Scope3_Feed[[#Headers],[Category]], 0, 2)</f>
        <v>kg</v>
      </c>
      <c r="H118" s="10" cm="1">
        <f t="array" ref="H118">Common_InputFunctions.Utility_DisplayArrayInTable(Scope3_SourceData.Scope3_Feed_Data(), Table_SourceData_Scope3_Feed[[#Headers],[Category]], 0, 2)</f>
        <v>0.26100000000000001</v>
      </c>
      <c r="I118" s="10" t="str" cm="1">
        <f t="array" ref="I118">Common_InputFunctions.Utility_DisplayArrayInTable(Scope3_SourceData.Scope3_Feed_Data(), Table_SourceData_Scope3_Feed[[#Headers],[Category]], 0, 2)</f>
        <v>at market</v>
      </c>
      <c r="K118" s="10" t="str">
        <f>Table_SourceData_Scope3_Feed[[#This Row],[Product]]</f>
        <v>Wheat grain</v>
      </c>
      <c r="L118" s="10" t="str">
        <f>Table_SourceData_Scope3_Feed[[#This Row],[Region of origin]]</f>
        <v>WA</v>
      </c>
      <c r="N118" s="10" t="s">
        <v>212</v>
      </c>
      <c r="O118" s="10" t="s">
        <v>378</v>
      </c>
      <c r="P118" s="8" t="str">
        <f>"Table_ProductRegions_" &amp; SUBSTITUTE(SUBSTITUTE(SUBSTITUTE(SUBSTITUTE(N119, " ", ""), ",", ""), "(", ""), ")", "")</f>
        <v>Table_ProductRegions_Cerealhay</v>
      </c>
    </row>
    <row r="119" spans="4:16" ht="20.100000000000001" customHeight="1" x14ac:dyDescent="0.25">
      <c r="D119" s="10" t="str" cm="1">
        <f t="array" ref="D119">Common_InputFunctions.Utility_DisplayArrayInTable(Scope3_SourceData.Scope3_Feed_Data(), Table_SourceData_Scope3_Feed[[#Headers],[Category]], 0, 2)</f>
        <v>Hay</v>
      </c>
      <c r="E119" s="10" t="str" cm="1">
        <f t="array" ref="E119">Common_InputFunctions.Utility_DisplayArrayInTable(Scope3_SourceData.Scope3_Feed_Data(), Table_SourceData_Scope3_Feed[[#Headers],[Category]], 0, 2)</f>
        <v>Cereal hay</v>
      </c>
      <c r="F119" s="10" t="str" cm="1">
        <f t="array" ref="F119">Common_InputFunctions.Utility_DisplayArrayInTable(Scope3_SourceData.Scope3_Feed_Data(), Table_SourceData_Scope3_Feed[[#Headers],[Category]], 0, 2)</f>
        <v>Australia</v>
      </c>
      <c r="G119" s="10" t="str" cm="1">
        <f t="array" ref="G119">Common_InputFunctions.Utility_DisplayArrayInTable(Scope3_SourceData.Scope3_Feed_Data(), Table_SourceData_Scope3_Feed[[#Headers],[Category]], 0, 2)</f>
        <v>kg</v>
      </c>
      <c r="H119" s="10" cm="1">
        <f t="array" ref="H119">Common_InputFunctions.Utility_DisplayArrayInTable(Scope3_SourceData.Scope3_Feed_Data(), Table_SourceData_Scope3_Feed[[#Headers],[Category]], 0, 2)</f>
        <v>0.11700000000000001</v>
      </c>
      <c r="I119" s="10" t="str" cm="1">
        <f t="array" ref="I119">Common_InputFunctions.Utility_DisplayArrayInTable(Scope3_SourceData.Scope3_Feed_Data(), Table_SourceData_Scope3_Feed[[#Headers],[Category]], 0, 2)</f>
        <v>at market</v>
      </c>
      <c r="N119" s="10" t="str">
        <f>Table_SourceData_Scope3_Feed[[#This Row],[Product]]</f>
        <v>Cereal hay</v>
      </c>
      <c r="O119" s="10" t="str">
        <f>Table_SourceData_Scope3_Feed[[#This Row],[Region of origin]]</f>
        <v>Australia</v>
      </c>
    </row>
    <row r="120" spans="4:16" ht="20.100000000000001" customHeight="1" x14ac:dyDescent="0.25">
      <c r="D120" s="10" t="str" cm="1">
        <f t="array" ref="D120">Common_InputFunctions.Utility_DisplayArrayInTable(Scope3_SourceData.Scope3_Feed_Data(), Table_SourceData_Scope3_Feed[[#Headers],[Category]], 0, 2)</f>
        <v>Hay</v>
      </c>
      <c r="E120" s="10" t="str" cm="1">
        <f t="array" ref="E120">Common_InputFunctions.Utility_DisplayArrayInTable(Scope3_SourceData.Scope3_Feed_Data(), Table_SourceData_Scope3_Feed[[#Headers],[Category]], 0, 2)</f>
        <v>Cereal hay</v>
      </c>
      <c r="F120" s="10" t="str" cm="1">
        <f t="array" ref="F120">Common_InputFunctions.Utility_DisplayArrayInTable(Scope3_SourceData.Scope3_Feed_Data(), Table_SourceData_Scope3_Feed[[#Headers],[Category]], 0, 2)</f>
        <v>NSW</v>
      </c>
      <c r="G120" s="10" t="str" cm="1">
        <f t="array" ref="G120">Common_InputFunctions.Utility_DisplayArrayInTable(Scope3_SourceData.Scope3_Feed_Data(), Table_SourceData_Scope3_Feed[[#Headers],[Category]], 0, 2)</f>
        <v>kg</v>
      </c>
      <c r="H120" s="10" cm="1">
        <f t="array" ref="H120">Common_InputFunctions.Utility_DisplayArrayInTable(Scope3_SourceData.Scope3_Feed_Data(), Table_SourceData_Scope3_Feed[[#Headers],[Category]], 0, 2)</f>
        <v>0.11600000000000001</v>
      </c>
      <c r="I120" s="10" t="str" cm="1">
        <f t="array" ref="I120">Common_InputFunctions.Utility_DisplayArrayInTable(Scope3_SourceData.Scope3_Feed_Data(), Table_SourceData_Scope3_Feed[[#Headers],[Category]], 0, 2)</f>
        <v>at market</v>
      </c>
      <c r="N120" s="10" t="str">
        <f>Table_SourceData_Scope3_Feed[[#This Row],[Product]]</f>
        <v>Cereal hay</v>
      </c>
      <c r="O120" s="10" t="str">
        <f>Table_SourceData_Scope3_Feed[[#This Row],[Region of origin]]</f>
        <v>NSW</v>
      </c>
    </row>
    <row r="121" spans="4:16" ht="20.100000000000001" customHeight="1" x14ac:dyDescent="0.25">
      <c r="D121" s="10" t="str" cm="1">
        <f t="array" ref="D121">Common_InputFunctions.Utility_DisplayArrayInTable(Scope3_SourceData.Scope3_Feed_Data(), Table_SourceData_Scope3_Feed[[#Headers],[Category]], 0, 2)</f>
        <v>Hay</v>
      </c>
      <c r="E121" s="10" t="str" cm="1">
        <f t="array" ref="E121">Common_InputFunctions.Utility_DisplayArrayInTable(Scope3_SourceData.Scope3_Feed_Data(), Table_SourceData_Scope3_Feed[[#Headers],[Category]], 0, 2)</f>
        <v>Cereal hay</v>
      </c>
      <c r="F121" s="10" t="str" cm="1">
        <f t="array" ref="F121">Common_InputFunctions.Utility_DisplayArrayInTable(Scope3_SourceData.Scope3_Feed_Data(), Table_SourceData_Scope3_Feed[[#Headers],[Category]], 0, 2)</f>
        <v>QLD</v>
      </c>
      <c r="G121" s="10" t="str" cm="1">
        <f t="array" ref="G121">Common_InputFunctions.Utility_DisplayArrayInTable(Scope3_SourceData.Scope3_Feed_Data(), Table_SourceData_Scope3_Feed[[#Headers],[Category]], 0, 2)</f>
        <v>kg</v>
      </c>
      <c r="H121" s="10" cm="1">
        <f t="array" ref="H121">Common_InputFunctions.Utility_DisplayArrayInTable(Scope3_SourceData.Scope3_Feed_Data(), Table_SourceData_Scope3_Feed[[#Headers],[Category]], 0, 2)</f>
        <v>0.11799999999999999</v>
      </c>
      <c r="I121" s="10" t="str" cm="1">
        <f t="array" ref="I121">Common_InputFunctions.Utility_DisplayArrayInTable(Scope3_SourceData.Scope3_Feed_Data(), Table_SourceData_Scope3_Feed[[#Headers],[Category]], 0, 2)</f>
        <v>at market</v>
      </c>
      <c r="N121" s="10" t="str">
        <f>Table_SourceData_Scope3_Feed[[#This Row],[Product]]</f>
        <v>Cereal hay</v>
      </c>
      <c r="O121" s="10" t="str">
        <f>Table_SourceData_Scope3_Feed[[#This Row],[Region of origin]]</f>
        <v>QLD</v>
      </c>
    </row>
    <row r="122" spans="4:16" ht="20.100000000000001" customHeight="1" x14ac:dyDescent="0.25">
      <c r="D122" s="10" t="str" cm="1">
        <f t="array" ref="D122">Common_InputFunctions.Utility_DisplayArrayInTable(Scope3_SourceData.Scope3_Feed_Data(), Table_SourceData_Scope3_Feed[[#Headers],[Category]], 0, 2)</f>
        <v>Hay</v>
      </c>
      <c r="E122" s="10" t="str" cm="1">
        <f t="array" ref="E122">Common_InputFunctions.Utility_DisplayArrayInTable(Scope3_SourceData.Scope3_Feed_Data(), Table_SourceData_Scope3_Feed[[#Headers],[Category]], 0, 2)</f>
        <v>Cereal hay</v>
      </c>
      <c r="F122" s="10" t="str" cm="1">
        <f t="array" ref="F122">Common_InputFunctions.Utility_DisplayArrayInTable(Scope3_SourceData.Scope3_Feed_Data(), Table_SourceData_Scope3_Feed[[#Headers],[Category]], 0, 2)</f>
        <v>SA</v>
      </c>
      <c r="G122" s="10" t="str" cm="1">
        <f t="array" ref="G122">Common_InputFunctions.Utility_DisplayArrayInTable(Scope3_SourceData.Scope3_Feed_Data(), Table_SourceData_Scope3_Feed[[#Headers],[Category]], 0, 2)</f>
        <v>kg</v>
      </c>
      <c r="H122" s="10" cm="1">
        <f t="array" ref="H122">Common_InputFunctions.Utility_DisplayArrayInTable(Scope3_SourceData.Scope3_Feed_Data(), Table_SourceData_Scope3_Feed[[#Headers],[Category]], 0, 2)</f>
        <v>0.111</v>
      </c>
      <c r="I122" s="10" t="str" cm="1">
        <f t="array" ref="I122">Common_InputFunctions.Utility_DisplayArrayInTable(Scope3_SourceData.Scope3_Feed_Data(), Table_SourceData_Scope3_Feed[[#Headers],[Category]], 0, 2)</f>
        <v>at market</v>
      </c>
      <c r="N122" s="10" t="str">
        <f>Table_SourceData_Scope3_Feed[[#This Row],[Product]]</f>
        <v>Cereal hay</v>
      </c>
      <c r="O122" s="10" t="str">
        <f>Table_SourceData_Scope3_Feed[[#This Row],[Region of origin]]</f>
        <v>SA</v>
      </c>
    </row>
    <row r="123" spans="4:16" ht="20.100000000000001" customHeight="1" x14ac:dyDescent="0.25">
      <c r="D123" s="10" t="str" cm="1">
        <f t="array" ref="D123">Common_InputFunctions.Utility_DisplayArrayInTable(Scope3_SourceData.Scope3_Feed_Data(), Table_SourceData_Scope3_Feed[[#Headers],[Category]], 0, 2)</f>
        <v>Hay</v>
      </c>
      <c r="E123" s="10" t="str" cm="1">
        <f t="array" ref="E123">Common_InputFunctions.Utility_DisplayArrayInTable(Scope3_SourceData.Scope3_Feed_Data(), Table_SourceData_Scope3_Feed[[#Headers],[Category]], 0, 2)</f>
        <v>Cereal hay</v>
      </c>
      <c r="F123" s="10" t="str" cm="1">
        <f t="array" ref="F123">Common_InputFunctions.Utility_DisplayArrayInTable(Scope3_SourceData.Scope3_Feed_Data(), Table_SourceData_Scope3_Feed[[#Headers],[Category]], 0, 2)</f>
        <v>TAS</v>
      </c>
      <c r="G123" s="10" t="str" cm="1">
        <f t="array" ref="G123">Common_InputFunctions.Utility_DisplayArrayInTable(Scope3_SourceData.Scope3_Feed_Data(), Table_SourceData_Scope3_Feed[[#Headers],[Category]], 0, 2)</f>
        <v>kg</v>
      </c>
      <c r="H123" s="10" cm="1">
        <f t="array" ref="H123">Common_InputFunctions.Utility_DisplayArrayInTable(Scope3_SourceData.Scope3_Feed_Data(), Table_SourceData_Scope3_Feed[[#Headers],[Category]], 0, 2)</f>
        <v>0.13900000000000001</v>
      </c>
      <c r="I123" s="10" t="str" cm="1">
        <f t="array" ref="I123">Common_InputFunctions.Utility_DisplayArrayInTable(Scope3_SourceData.Scope3_Feed_Data(), Table_SourceData_Scope3_Feed[[#Headers],[Category]], 0, 2)</f>
        <v>at market</v>
      </c>
      <c r="N123" s="10" t="str">
        <f>Table_SourceData_Scope3_Feed[[#This Row],[Product]]</f>
        <v>Cereal hay</v>
      </c>
      <c r="O123" s="10" t="str">
        <f>Table_SourceData_Scope3_Feed[[#This Row],[Region of origin]]</f>
        <v>TAS</v>
      </c>
    </row>
    <row r="124" spans="4:16" ht="20.100000000000001" customHeight="1" x14ac:dyDescent="0.25">
      <c r="D124" s="10" t="str" cm="1">
        <f t="array" ref="D124">Common_InputFunctions.Utility_DisplayArrayInTable(Scope3_SourceData.Scope3_Feed_Data(), Table_SourceData_Scope3_Feed[[#Headers],[Category]], 0, 2)</f>
        <v>Hay</v>
      </c>
      <c r="E124" s="10" t="str" cm="1">
        <f t="array" ref="E124">Common_InputFunctions.Utility_DisplayArrayInTable(Scope3_SourceData.Scope3_Feed_Data(), Table_SourceData_Scope3_Feed[[#Headers],[Category]], 0, 2)</f>
        <v>Cereal hay</v>
      </c>
      <c r="F124" s="10" t="str" cm="1">
        <f t="array" ref="F124">Common_InputFunctions.Utility_DisplayArrayInTable(Scope3_SourceData.Scope3_Feed_Data(), Table_SourceData_Scope3_Feed[[#Headers],[Category]], 0, 2)</f>
        <v>VIC</v>
      </c>
      <c r="G124" s="10" t="str" cm="1">
        <f t="array" ref="G124">Common_InputFunctions.Utility_DisplayArrayInTable(Scope3_SourceData.Scope3_Feed_Data(), Table_SourceData_Scope3_Feed[[#Headers],[Category]], 0, 2)</f>
        <v>kg</v>
      </c>
      <c r="H124" s="10" cm="1">
        <f t="array" ref="H124">Common_InputFunctions.Utility_DisplayArrayInTable(Scope3_SourceData.Scope3_Feed_Data(), Table_SourceData_Scope3_Feed[[#Headers],[Category]], 0, 2)</f>
        <v>0.11600000000000001</v>
      </c>
      <c r="I124" s="10" t="str" cm="1">
        <f t="array" ref="I124">Common_InputFunctions.Utility_DisplayArrayInTable(Scope3_SourceData.Scope3_Feed_Data(), Table_SourceData_Scope3_Feed[[#Headers],[Category]], 0, 2)</f>
        <v>at market</v>
      </c>
      <c r="N124" s="10" t="str">
        <f>Table_SourceData_Scope3_Feed[[#This Row],[Product]]</f>
        <v>Cereal hay</v>
      </c>
      <c r="O124" s="10" t="str">
        <f>Table_SourceData_Scope3_Feed[[#This Row],[Region of origin]]</f>
        <v>VIC</v>
      </c>
    </row>
    <row r="125" spans="4:16" ht="20.100000000000001" customHeight="1" x14ac:dyDescent="0.25">
      <c r="D125" s="10" t="str" cm="1">
        <f t="array" ref="D125">Common_InputFunctions.Utility_DisplayArrayInTable(Scope3_SourceData.Scope3_Feed_Data(), Table_SourceData_Scope3_Feed[[#Headers],[Category]], 0, 2)</f>
        <v>Hay</v>
      </c>
      <c r="E125" s="10" t="str" cm="1">
        <f t="array" ref="E125">Common_InputFunctions.Utility_DisplayArrayInTable(Scope3_SourceData.Scope3_Feed_Data(), Table_SourceData_Scope3_Feed[[#Headers],[Category]], 0, 2)</f>
        <v>Cereal hay</v>
      </c>
      <c r="F125" s="10" t="str" cm="1">
        <f t="array" ref="F125">Common_InputFunctions.Utility_DisplayArrayInTable(Scope3_SourceData.Scope3_Feed_Data(), Table_SourceData_Scope3_Feed[[#Headers],[Category]], 0, 2)</f>
        <v>WA</v>
      </c>
      <c r="G125" s="10" t="str" cm="1">
        <f t="array" ref="G125">Common_InputFunctions.Utility_DisplayArrayInTable(Scope3_SourceData.Scope3_Feed_Data(), Table_SourceData_Scope3_Feed[[#Headers],[Category]], 0, 2)</f>
        <v>kg</v>
      </c>
      <c r="H125" s="10" cm="1">
        <f t="array" ref="H125">Common_InputFunctions.Utility_DisplayArrayInTable(Scope3_SourceData.Scope3_Feed_Data(), Table_SourceData_Scope3_Feed[[#Headers],[Category]], 0, 2)</f>
        <v>0.122</v>
      </c>
      <c r="I125" s="10" t="str" cm="1">
        <f t="array" ref="I125">Common_InputFunctions.Utility_DisplayArrayInTable(Scope3_SourceData.Scope3_Feed_Data(), Table_SourceData_Scope3_Feed[[#Headers],[Category]], 0, 2)</f>
        <v>at market</v>
      </c>
      <c r="K125" s="10" t="s">
        <v>212</v>
      </c>
      <c r="L125" s="10" t="s">
        <v>378</v>
      </c>
      <c r="M125" s="8" t="str">
        <f>"Table_ProductRegions_" &amp; SUBSTITUTE(SUBSTITUTE(SUBSTITUTE(SUBSTITUTE(K126, " ", ""), ",", ""), "(", ""), ")", "")</f>
        <v>Table_ProductRegions_Cerealsilage</v>
      </c>
      <c r="N125" s="10" t="str">
        <f>Table_SourceData_Scope3_Feed[[#This Row],[Product]]</f>
        <v>Cereal hay</v>
      </c>
      <c r="O125" s="10" t="str">
        <f>Table_SourceData_Scope3_Feed[[#This Row],[Region of origin]]</f>
        <v>WA</v>
      </c>
    </row>
    <row r="126" spans="4:16" ht="20.100000000000001" customHeight="1" x14ac:dyDescent="0.25">
      <c r="D126" s="10" t="str" cm="1">
        <f t="array" ref="D126">Common_InputFunctions.Utility_DisplayArrayInTable(Scope3_SourceData.Scope3_Feed_Data(), Table_SourceData_Scope3_Feed[[#Headers],[Category]], 0, 2)</f>
        <v>Hay</v>
      </c>
      <c r="E126" s="10" t="str" cm="1">
        <f t="array" ref="E126">Common_InputFunctions.Utility_DisplayArrayInTable(Scope3_SourceData.Scope3_Feed_Data(), Table_SourceData_Scope3_Feed[[#Headers],[Category]], 0, 2)</f>
        <v>Cereal silage</v>
      </c>
      <c r="F126" s="10" t="str" cm="1">
        <f t="array" ref="F126">Common_InputFunctions.Utility_DisplayArrayInTable(Scope3_SourceData.Scope3_Feed_Data(), Table_SourceData_Scope3_Feed[[#Headers],[Category]], 0, 2)</f>
        <v>Australia</v>
      </c>
      <c r="G126" s="10" t="str" cm="1">
        <f t="array" ref="G126">Common_InputFunctions.Utility_DisplayArrayInTable(Scope3_SourceData.Scope3_Feed_Data(), Table_SourceData_Scope3_Feed[[#Headers],[Category]], 0, 2)</f>
        <v>kg</v>
      </c>
      <c r="H126" s="10" cm="1">
        <f t="array" ref="H126">Common_InputFunctions.Utility_DisplayArrayInTable(Scope3_SourceData.Scope3_Feed_Data(), Table_SourceData_Scope3_Feed[[#Headers],[Category]], 0, 2)</f>
        <v>7.4399999999999994E-2</v>
      </c>
      <c r="I126" s="10" t="str" cm="1">
        <f t="array" ref="I126">Common_InputFunctions.Utility_DisplayArrayInTable(Scope3_SourceData.Scope3_Feed_Data(), Table_SourceData_Scope3_Feed[[#Headers],[Category]], 0, 2)</f>
        <v>at market</v>
      </c>
      <c r="K126" s="10" t="str">
        <f>Table_SourceData_Scope3_Feed[[#This Row],[Product]]</f>
        <v>Cereal silage</v>
      </c>
      <c r="L126" s="10" t="str">
        <f>Table_SourceData_Scope3_Feed[[#This Row],[Region of origin]]</f>
        <v>Australia</v>
      </c>
    </row>
    <row r="127" spans="4:16" ht="20.100000000000001" customHeight="1" x14ac:dyDescent="0.25">
      <c r="D127" s="10" t="str" cm="1">
        <f t="array" ref="D127">Common_InputFunctions.Utility_DisplayArrayInTable(Scope3_SourceData.Scope3_Feed_Data(), Table_SourceData_Scope3_Feed[[#Headers],[Category]], 0, 2)</f>
        <v>Hay</v>
      </c>
      <c r="E127" s="10" t="str" cm="1">
        <f t="array" ref="E127">Common_InputFunctions.Utility_DisplayArrayInTable(Scope3_SourceData.Scope3_Feed_Data(), Table_SourceData_Scope3_Feed[[#Headers],[Category]], 0, 2)</f>
        <v>Cereal silage</v>
      </c>
      <c r="F127" s="10" t="str" cm="1">
        <f t="array" ref="F127">Common_InputFunctions.Utility_DisplayArrayInTable(Scope3_SourceData.Scope3_Feed_Data(), Table_SourceData_Scope3_Feed[[#Headers],[Category]], 0, 2)</f>
        <v>NSW</v>
      </c>
      <c r="G127" s="10" t="str" cm="1">
        <f t="array" ref="G127">Common_InputFunctions.Utility_DisplayArrayInTable(Scope3_SourceData.Scope3_Feed_Data(), Table_SourceData_Scope3_Feed[[#Headers],[Category]], 0, 2)</f>
        <v>kg</v>
      </c>
      <c r="H127" s="10" cm="1">
        <f t="array" ref="H127">Common_InputFunctions.Utility_DisplayArrayInTable(Scope3_SourceData.Scope3_Feed_Data(), Table_SourceData_Scope3_Feed[[#Headers],[Category]], 0, 2)</f>
        <v>7.3899999999999993E-2</v>
      </c>
      <c r="I127" s="10" t="str" cm="1">
        <f t="array" ref="I127">Common_InputFunctions.Utility_DisplayArrayInTable(Scope3_SourceData.Scope3_Feed_Data(), Table_SourceData_Scope3_Feed[[#Headers],[Category]], 0, 2)</f>
        <v>at market</v>
      </c>
      <c r="K127" s="10" t="str">
        <f>Table_SourceData_Scope3_Feed[[#This Row],[Product]]</f>
        <v>Cereal silage</v>
      </c>
      <c r="L127" s="10" t="str">
        <f>Table_SourceData_Scope3_Feed[[#This Row],[Region of origin]]</f>
        <v>NSW</v>
      </c>
    </row>
    <row r="128" spans="4:16" ht="20.100000000000001" customHeight="1" x14ac:dyDescent="0.25">
      <c r="D128" s="10" t="str" cm="1">
        <f t="array" ref="D128">Common_InputFunctions.Utility_DisplayArrayInTable(Scope3_SourceData.Scope3_Feed_Data(), Table_SourceData_Scope3_Feed[[#Headers],[Category]], 0, 2)</f>
        <v>Hay</v>
      </c>
      <c r="E128" s="10" t="str" cm="1">
        <f t="array" ref="E128">Common_InputFunctions.Utility_DisplayArrayInTable(Scope3_SourceData.Scope3_Feed_Data(), Table_SourceData_Scope3_Feed[[#Headers],[Category]], 0, 2)</f>
        <v>Cereal silage</v>
      </c>
      <c r="F128" s="10" t="str" cm="1">
        <f t="array" ref="F128">Common_InputFunctions.Utility_DisplayArrayInTable(Scope3_SourceData.Scope3_Feed_Data(), Table_SourceData_Scope3_Feed[[#Headers],[Category]], 0, 2)</f>
        <v>QLD</v>
      </c>
      <c r="G128" s="10" t="str" cm="1">
        <f t="array" ref="G128">Common_InputFunctions.Utility_DisplayArrayInTable(Scope3_SourceData.Scope3_Feed_Data(), Table_SourceData_Scope3_Feed[[#Headers],[Category]], 0, 2)</f>
        <v>kg</v>
      </c>
      <c r="H128" s="10" cm="1">
        <f t="array" ref="H128">Common_InputFunctions.Utility_DisplayArrayInTable(Scope3_SourceData.Scope3_Feed_Data(), Table_SourceData_Scope3_Feed[[#Headers],[Category]], 0, 2)</f>
        <v>7.9000000000000001E-2</v>
      </c>
      <c r="I128" s="10" t="str" cm="1">
        <f t="array" ref="I128">Common_InputFunctions.Utility_DisplayArrayInTable(Scope3_SourceData.Scope3_Feed_Data(), Table_SourceData_Scope3_Feed[[#Headers],[Category]], 0, 2)</f>
        <v>at market</v>
      </c>
      <c r="K128" s="10" t="str">
        <f>Table_SourceData_Scope3_Feed[[#This Row],[Product]]</f>
        <v>Cereal silage</v>
      </c>
      <c r="L128" s="10" t="str">
        <f>Table_SourceData_Scope3_Feed[[#This Row],[Region of origin]]</f>
        <v>QLD</v>
      </c>
    </row>
    <row r="129" spans="4:16" ht="20.100000000000001" customHeight="1" x14ac:dyDescent="0.25">
      <c r="D129" s="10" t="str" cm="1">
        <f t="array" ref="D129">Common_InputFunctions.Utility_DisplayArrayInTable(Scope3_SourceData.Scope3_Feed_Data(), Table_SourceData_Scope3_Feed[[#Headers],[Category]], 0, 2)</f>
        <v>Hay</v>
      </c>
      <c r="E129" s="10" t="str" cm="1">
        <f t="array" ref="E129">Common_InputFunctions.Utility_DisplayArrayInTable(Scope3_SourceData.Scope3_Feed_Data(), Table_SourceData_Scope3_Feed[[#Headers],[Category]], 0, 2)</f>
        <v>Cereal silage</v>
      </c>
      <c r="F129" s="10" t="str" cm="1">
        <f t="array" ref="F129">Common_InputFunctions.Utility_DisplayArrayInTable(Scope3_SourceData.Scope3_Feed_Data(), Table_SourceData_Scope3_Feed[[#Headers],[Category]], 0, 2)</f>
        <v>SA</v>
      </c>
      <c r="G129" s="10" t="str" cm="1">
        <f t="array" ref="G129">Common_InputFunctions.Utility_DisplayArrayInTable(Scope3_SourceData.Scope3_Feed_Data(), Table_SourceData_Scope3_Feed[[#Headers],[Category]], 0, 2)</f>
        <v>kg</v>
      </c>
      <c r="H129" s="10" cm="1">
        <f t="array" ref="H129">Common_InputFunctions.Utility_DisplayArrayInTable(Scope3_SourceData.Scope3_Feed_Data(), Table_SourceData_Scope3_Feed[[#Headers],[Category]], 0, 2)</f>
        <v>7.0599999999999996E-2</v>
      </c>
      <c r="I129" s="10" t="str" cm="1">
        <f t="array" ref="I129">Common_InputFunctions.Utility_DisplayArrayInTable(Scope3_SourceData.Scope3_Feed_Data(), Table_SourceData_Scope3_Feed[[#Headers],[Category]], 0, 2)</f>
        <v>at market</v>
      </c>
      <c r="K129" s="10" t="str">
        <f>Table_SourceData_Scope3_Feed[[#This Row],[Product]]</f>
        <v>Cereal silage</v>
      </c>
      <c r="L129" s="10" t="str">
        <f>Table_SourceData_Scope3_Feed[[#This Row],[Region of origin]]</f>
        <v>SA</v>
      </c>
    </row>
    <row r="130" spans="4:16" ht="20.100000000000001" customHeight="1" x14ac:dyDescent="0.25">
      <c r="D130" s="10" t="str" cm="1">
        <f t="array" ref="D130">Common_InputFunctions.Utility_DisplayArrayInTable(Scope3_SourceData.Scope3_Feed_Data(), Table_SourceData_Scope3_Feed[[#Headers],[Category]], 0, 2)</f>
        <v>Hay</v>
      </c>
      <c r="E130" s="10" t="str" cm="1">
        <f t="array" ref="E130">Common_InputFunctions.Utility_DisplayArrayInTable(Scope3_SourceData.Scope3_Feed_Data(), Table_SourceData_Scope3_Feed[[#Headers],[Category]], 0, 2)</f>
        <v>Cereal silage</v>
      </c>
      <c r="F130" s="10" t="str" cm="1">
        <f t="array" ref="F130">Common_InputFunctions.Utility_DisplayArrayInTable(Scope3_SourceData.Scope3_Feed_Data(), Table_SourceData_Scope3_Feed[[#Headers],[Category]], 0, 2)</f>
        <v>TAS</v>
      </c>
      <c r="G130" s="10" t="str" cm="1">
        <f t="array" ref="G130">Common_InputFunctions.Utility_DisplayArrayInTable(Scope3_SourceData.Scope3_Feed_Data(), Table_SourceData_Scope3_Feed[[#Headers],[Category]], 0, 2)</f>
        <v>kg</v>
      </c>
      <c r="H130" s="10" cm="1">
        <f t="array" ref="H130">Common_InputFunctions.Utility_DisplayArrayInTable(Scope3_SourceData.Scope3_Feed_Data(), Table_SourceData_Scope3_Feed[[#Headers],[Category]], 0, 2)</f>
        <v>8.0799999999999997E-2</v>
      </c>
      <c r="I130" s="10" t="str" cm="1">
        <f t="array" ref="I130">Common_InputFunctions.Utility_DisplayArrayInTable(Scope3_SourceData.Scope3_Feed_Data(), Table_SourceData_Scope3_Feed[[#Headers],[Category]], 0, 2)</f>
        <v>at market</v>
      </c>
      <c r="K130" s="10" t="str">
        <f>Table_SourceData_Scope3_Feed[[#This Row],[Product]]</f>
        <v>Cereal silage</v>
      </c>
      <c r="L130" s="10" t="str">
        <f>Table_SourceData_Scope3_Feed[[#This Row],[Region of origin]]</f>
        <v>TAS</v>
      </c>
    </row>
    <row r="131" spans="4:16" ht="20.100000000000001" customHeight="1" x14ac:dyDescent="0.25">
      <c r="D131" s="10" t="str" cm="1">
        <f t="array" ref="D131">Common_InputFunctions.Utility_DisplayArrayInTable(Scope3_SourceData.Scope3_Feed_Data(), Table_SourceData_Scope3_Feed[[#Headers],[Category]], 0, 2)</f>
        <v>Hay</v>
      </c>
      <c r="E131" s="10" t="str" cm="1">
        <f t="array" ref="E131">Common_InputFunctions.Utility_DisplayArrayInTable(Scope3_SourceData.Scope3_Feed_Data(), Table_SourceData_Scope3_Feed[[#Headers],[Category]], 0, 2)</f>
        <v>Cereal silage</v>
      </c>
      <c r="F131" s="10" t="str" cm="1">
        <f t="array" ref="F131">Common_InputFunctions.Utility_DisplayArrayInTable(Scope3_SourceData.Scope3_Feed_Data(), Table_SourceData_Scope3_Feed[[#Headers],[Category]], 0, 2)</f>
        <v>VIC</v>
      </c>
      <c r="G131" s="10" t="str" cm="1">
        <f t="array" ref="G131">Common_InputFunctions.Utility_DisplayArrayInTable(Scope3_SourceData.Scope3_Feed_Data(), Table_SourceData_Scope3_Feed[[#Headers],[Category]], 0, 2)</f>
        <v>kg</v>
      </c>
      <c r="H131" s="10" cm="1">
        <f t="array" ref="H131">Common_InputFunctions.Utility_DisplayArrayInTable(Scope3_SourceData.Scope3_Feed_Data(), Table_SourceData_Scope3_Feed[[#Headers],[Category]], 0, 2)</f>
        <v>7.3599999999999999E-2</v>
      </c>
      <c r="I131" s="10" t="str" cm="1">
        <f t="array" ref="I131">Common_InputFunctions.Utility_DisplayArrayInTable(Scope3_SourceData.Scope3_Feed_Data(), Table_SourceData_Scope3_Feed[[#Headers],[Category]], 0, 2)</f>
        <v>at market</v>
      </c>
      <c r="K131" s="10" t="str">
        <f>Table_SourceData_Scope3_Feed[[#This Row],[Product]]</f>
        <v>Cereal silage</v>
      </c>
      <c r="L131" s="10" t="str">
        <f>Table_SourceData_Scope3_Feed[[#This Row],[Region of origin]]</f>
        <v>VIC</v>
      </c>
      <c r="N131" s="10" t="s">
        <v>212</v>
      </c>
      <c r="O131" s="10" t="s">
        <v>378</v>
      </c>
      <c r="P131" s="8" t="str">
        <f>"Table_ProductRegions_" &amp; SUBSTITUTE(SUBSTITUTE(SUBSTITUTE(SUBSTITUTE(N132, " ", ""), ",", ""), "(", ""), ")", "")</f>
        <v>Table_ProductRegions_Lucernehay</v>
      </c>
    </row>
    <row r="132" spans="4:16" ht="20.100000000000001" customHeight="1" x14ac:dyDescent="0.25">
      <c r="D132" s="10" t="str" cm="1">
        <f t="array" ref="D132">Common_InputFunctions.Utility_DisplayArrayInTable(Scope3_SourceData.Scope3_Feed_Data(), Table_SourceData_Scope3_Feed[[#Headers],[Category]], 0, 2)</f>
        <v>Hay</v>
      </c>
      <c r="E132" s="10" t="str" cm="1">
        <f t="array" ref="E132">Common_InputFunctions.Utility_DisplayArrayInTable(Scope3_SourceData.Scope3_Feed_Data(), Table_SourceData_Scope3_Feed[[#Headers],[Category]], 0, 2)</f>
        <v>Lucerne hay</v>
      </c>
      <c r="F132" s="10" t="str" cm="1">
        <f t="array" ref="F132">Common_InputFunctions.Utility_DisplayArrayInTable(Scope3_SourceData.Scope3_Feed_Data(), Table_SourceData_Scope3_Feed[[#Headers],[Category]], 0, 2)</f>
        <v>Australia</v>
      </c>
      <c r="G132" s="10" t="str" cm="1">
        <f t="array" ref="G132">Common_InputFunctions.Utility_DisplayArrayInTable(Scope3_SourceData.Scope3_Feed_Data(), Table_SourceData_Scope3_Feed[[#Headers],[Category]], 0, 2)</f>
        <v>kg</v>
      </c>
      <c r="H132" s="10" cm="1">
        <f t="array" ref="H132">Common_InputFunctions.Utility_DisplayArrayInTable(Scope3_SourceData.Scope3_Feed_Data(), Table_SourceData_Scope3_Feed[[#Headers],[Category]], 0, 2)</f>
        <v>0.11700000000000001</v>
      </c>
      <c r="I132" s="10" t="str" cm="1">
        <f t="array" ref="I132">Common_InputFunctions.Utility_DisplayArrayInTable(Scope3_SourceData.Scope3_Feed_Data(), Table_SourceData_Scope3_Feed[[#Headers],[Category]], 0, 2)</f>
        <v>at market</v>
      </c>
      <c r="N132" s="10" t="str">
        <f>Table_SourceData_Scope3_Feed[[#This Row],[Product]]</f>
        <v>Lucerne hay</v>
      </c>
      <c r="O132" s="10" t="str">
        <f>Table_SourceData_Scope3_Feed[[#This Row],[Region of origin]]</f>
        <v>Australia</v>
      </c>
    </row>
    <row r="133" spans="4:16" ht="20.100000000000001" customHeight="1" x14ac:dyDescent="0.25">
      <c r="D133" s="10" t="str" cm="1">
        <f t="array" ref="D133">Common_InputFunctions.Utility_DisplayArrayInTable(Scope3_SourceData.Scope3_Feed_Data(), Table_SourceData_Scope3_Feed[[#Headers],[Category]], 0, 2)</f>
        <v>Hay</v>
      </c>
      <c r="E133" s="10" t="str" cm="1">
        <f t="array" ref="E133">Common_InputFunctions.Utility_DisplayArrayInTable(Scope3_SourceData.Scope3_Feed_Data(), Table_SourceData_Scope3_Feed[[#Headers],[Category]], 0, 2)</f>
        <v>Lucerne hay</v>
      </c>
      <c r="F133" s="10" t="str" cm="1">
        <f t="array" ref="F133">Common_InputFunctions.Utility_DisplayArrayInTable(Scope3_SourceData.Scope3_Feed_Data(), Table_SourceData_Scope3_Feed[[#Headers],[Category]], 0, 2)</f>
        <v>NSW</v>
      </c>
      <c r="G133" s="10" t="str" cm="1">
        <f t="array" ref="G133">Common_InputFunctions.Utility_DisplayArrayInTable(Scope3_SourceData.Scope3_Feed_Data(), Table_SourceData_Scope3_Feed[[#Headers],[Category]], 0, 2)</f>
        <v>kg</v>
      </c>
      <c r="H133" s="10" cm="1">
        <f t="array" ref="H133">Common_InputFunctions.Utility_DisplayArrayInTable(Scope3_SourceData.Scope3_Feed_Data(), Table_SourceData_Scope3_Feed[[#Headers],[Category]], 0, 2)</f>
        <v>0.113</v>
      </c>
      <c r="I133" s="10" t="str" cm="1">
        <f t="array" ref="I133">Common_InputFunctions.Utility_DisplayArrayInTable(Scope3_SourceData.Scope3_Feed_Data(), Table_SourceData_Scope3_Feed[[#Headers],[Category]], 0, 2)</f>
        <v>at market</v>
      </c>
      <c r="N133" s="10" t="str">
        <f>Table_SourceData_Scope3_Feed[[#This Row],[Product]]</f>
        <v>Lucerne hay</v>
      </c>
      <c r="O133" s="10" t="str">
        <f>Table_SourceData_Scope3_Feed[[#This Row],[Region of origin]]</f>
        <v>NSW</v>
      </c>
    </row>
    <row r="134" spans="4:16" ht="20.100000000000001" customHeight="1" x14ac:dyDescent="0.25">
      <c r="D134" s="10" t="str" cm="1">
        <f t="array" ref="D134">Common_InputFunctions.Utility_DisplayArrayInTable(Scope3_SourceData.Scope3_Feed_Data(), Table_SourceData_Scope3_Feed[[#Headers],[Category]], 0, 2)</f>
        <v>Hay</v>
      </c>
      <c r="E134" s="10" t="str" cm="1">
        <f t="array" ref="E134">Common_InputFunctions.Utility_DisplayArrayInTable(Scope3_SourceData.Scope3_Feed_Data(), Table_SourceData_Scope3_Feed[[#Headers],[Category]], 0, 2)</f>
        <v>Lucerne hay</v>
      </c>
      <c r="F134" s="10" t="str" cm="1">
        <f t="array" ref="F134">Common_InputFunctions.Utility_DisplayArrayInTable(Scope3_SourceData.Scope3_Feed_Data(), Table_SourceData_Scope3_Feed[[#Headers],[Category]], 0, 2)</f>
        <v>QLD</v>
      </c>
      <c r="G134" s="10" t="str" cm="1">
        <f t="array" ref="G134">Common_InputFunctions.Utility_DisplayArrayInTable(Scope3_SourceData.Scope3_Feed_Data(), Table_SourceData_Scope3_Feed[[#Headers],[Category]], 0, 2)</f>
        <v>kg</v>
      </c>
      <c r="H134" s="10" cm="1">
        <f t="array" ref="H134">Common_InputFunctions.Utility_DisplayArrayInTable(Scope3_SourceData.Scope3_Feed_Data(), Table_SourceData_Scope3_Feed[[#Headers],[Category]], 0, 2)</f>
        <v>0.14299999999999999</v>
      </c>
      <c r="I134" s="10" t="str" cm="1">
        <f t="array" ref="I134">Common_InputFunctions.Utility_DisplayArrayInTable(Scope3_SourceData.Scope3_Feed_Data(), Table_SourceData_Scope3_Feed[[#Headers],[Category]], 0, 2)</f>
        <v>at market</v>
      </c>
      <c r="N134" s="10" t="str">
        <f>Table_SourceData_Scope3_Feed[[#This Row],[Product]]</f>
        <v>Lucerne hay</v>
      </c>
      <c r="O134" s="10" t="str">
        <f>Table_SourceData_Scope3_Feed[[#This Row],[Region of origin]]</f>
        <v>QLD</v>
      </c>
    </row>
    <row r="135" spans="4:16" ht="20.100000000000001" customHeight="1" x14ac:dyDescent="0.25">
      <c r="D135" s="10" t="str" cm="1">
        <f t="array" ref="D135">Common_InputFunctions.Utility_DisplayArrayInTable(Scope3_SourceData.Scope3_Feed_Data(), Table_SourceData_Scope3_Feed[[#Headers],[Category]], 0, 2)</f>
        <v>Hay</v>
      </c>
      <c r="E135" s="10" t="str" cm="1">
        <f t="array" ref="E135">Common_InputFunctions.Utility_DisplayArrayInTable(Scope3_SourceData.Scope3_Feed_Data(), Table_SourceData_Scope3_Feed[[#Headers],[Category]], 0, 2)</f>
        <v>Lucerne hay</v>
      </c>
      <c r="F135" s="10" t="str" cm="1">
        <f t="array" ref="F135">Common_InputFunctions.Utility_DisplayArrayInTable(Scope3_SourceData.Scope3_Feed_Data(), Table_SourceData_Scope3_Feed[[#Headers],[Category]], 0, 2)</f>
        <v>SA</v>
      </c>
      <c r="G135" s="10" t="str" cm="1">
        <f t="array" ref="G135">Common_InputFunctions.Utility_DisplayArrayInTable(Scope3_SourceData.Scope3_Feed_Data(), Table_SourceData_Scope3_Feed[[#Headers],[Category]], 0, 2)</f>
        <v>kg</v>
      </c>
      <c r="H135" s="10" cm="1">
        <f t="array" ref="H135">Common_InputFunctions.Utility_DisplayArrayInTable(Scope3_SourceData.Scope3_Feed_Data(), Table_SourceData_Scope3_Feed[[#Headers],[Category]], 0, 2)</f>
        <v>0.106</v>
      </c>
      <c r="I135" s="10" t="str" cm="1">
        <f t="array" ref="I135">Common_InputFunctions.Utility_DisplayArrayInTable(Scope3_SourceData.Scope3_Feed_Data(), Table_SourceData_Scope3_Feed[[#Headers],[Category]], 0, 2)</f>
        <v>at market</v>
      </c>
      <c r="N135" s="10" t="str">
        <f>Table_SourceData_Scope3_Feed[[#This Row],[Product]]</f>
        <v>Lucerne hay</v>
      </c>
      <c r="O135" s="10" t="str">
        <f>Table_SourceData_Scope3_Feed[[#This Row],[Region of origin]]</f>
        <v>SA</v>
      </c>
    </row>
    <row r="136" spans="4:16" ht="20.100000000000001" customHeight="1" x14ac:dyDescent="0.25">
      <c r="D136" s="10" t="str" cm="1">
        <f t="array" ref="D136">Common_InputFunctions.Utility_DisplayArrayInTable(Scope3_SourceData.Scope3_Feed_Data(), Table_SourceData_Scope3_Feed[[#Headers],[Category]], 0, 2)</f>
        <v>Hay</v>
      </c>
      <c r="E136" s="10" t="str" cm="1">
        <f t="array" ref="E136">Common_InputFunctions.Utility_DisplayArrayInTable(Scope3_SourceData.Scope3_Feed_Data(), Table_SourceData_Scope3_Feed[[#Headers],[Category]], 0, 2)</f>
        <v>Lucerne hay</v>
      </c>
      <c r="F136" s="10" t="str" cm="1">
        <f t="array" ref="F136">Common_InputFunctions.Utility_DisplayArrayInTable(Scope3_SourceData.Scope3_Feed_Data(), Table_SourceData_Scope3_Feed[[#Headers],[Category]], 0, 2)</f>
        <v>TAS</v>
      </c>
      <c r="G136" s="10" t="str" cm="1">
        <f t="array" ref="G136">Common_InputFunctions.Utility_DisplayArrayInTable(Scope3_SourceData.Scope3_Feed_Data(), Table_SourceData_Scope3_Feed[[#Headers],[Category]], 0, 2)</f>
        <v>kg</v>
      </c>
      <c r="H136" s="10" cm="1">
        <f t="array" ref="H136">Common_InputFunctions.Utility_DisplayArrayInTable(Scope3_SourceData.Scope3_Feed_Data(), Table_SourceData_Scope3_Feed[[#Headers],[Category]], 0, 2)</f>
        <v>0.113</v>
      </c>
      <c r="I136" s="10" t="str" cm="1">
        <f t="array" ref="I136">Common_InputFunctions.Utility_DisplayArrayInTable(Scope3_SourceData.Scope3_Feed_Data(), Table_SourceData_Scope3_Feed[[#Headers],[Category]], 0, 2)</f>
        <v>at market</v>
      </c>
      <c r="N136" s="10" t="str">
        <f>Table_SourceData_Scope3_Feed[[#This Row],[Product]]</f>
        <v>Lucerne hay</v>
      </c>
      <c r="O136" s="10" t="str">
        <f>Table_SourceData_Scope3_Feed[[#This Row],[Region of origin]]</f>
        <v>TAS</v>
      </c>
    </row>
    <row r="137" spans="4:16" ht="20.100000000000001" customHeight="1" x14ac:dyDescent="0.25">
      <c r="D137" s="10" t="str" cm="1">
        <f t="array" ref="D137">Common_InputFunctions.Utility_DisplayArrayInTable(Scope3_SourceData.Scope3_Feed_Data(), Table_SourceData_Scope3_Feed[[#Headers],[Category]], 0, 2)</f>
        <v>Hay</v>
      </c>
      <c r="E137" s="10" t="str" cm="1">
        <f t="array" ref="E137">Common_InputFunctions.Utility_DisplayArrayInTable(Scope3_SourceData.Scope3_Feed_Data(), Table_SourceData_Scope3_Feed[[#Headers],[Category]], 0, 2)</f>
        <v>Lucerne hay</v>
      </c>
      <c r="F137" s="10" t="str" cm="1">
        <f t="array" ref="F137">Common_InputFunctions.Utility_DisplayArrayInTable(Scope3_SourceData.Scope3_Feed_Data(), Table_SourceData_Scope3_Feed[[#Headers],[Category]], 0, 2)</f>
        <v>VIC</v>
      </c>
      <c r="G137" s="10" t="str" cm="1">
        <f t="array" ref="G137">Common_InputFunctions.Utility_DisplayArrayInTable(Scope3_SourceData.Scope3_Feed_Data(), Table_SourceData_Scope3_Feed[[#Headers],[Category]], 0, 2)</f>
        <v>kg</v>
      </c>
      <c r="H137" s="10" cm="1">
        <f t="array" ref="H137">Common_InputFunctions.Utility_DisplayArrayInTable(Scope3_SourceData.Scope3_Feed_Data(), Table_SourceData_Scope3_Feed[[#Headers],[Category]], 0, 2)</f>
        <v>0.106</v>
      </c>
      <c r="I137" s="10" t="str" cm="1">
        <f t="array" ref="I137">Common_InputFunctions.Utility_DisplayArrayInTable(Scope3_SourceData.Scope3_Feed_Data(), Table_SourceData_Scope3_Feed[[#Headers],[Category]], 0, 2)</f>
        <v>at market</v>
      </c>
      <c r="N137" s="10" t="str">
        <f>Table_SourceData_Scope3_Feed[[#This Row],[Product]]</f>
        <v>Lucerne hay</v>
      </c>
      <c r="O137" s="10" t="str">
        <f>Table_SourceData_Scope3_Feed[[#This Row],[Region of origin]]</f>
        <v>VIC</v>
      </c>
    </row>
    <row r="138" spans="4:16" ht="20.100000000000001" customHeight="1" x14ac:dyDescent="0.25">
      <c r="D138" s="10" t="str" cm="1">
        <f t="array" ref="D138">Common_InputFunctions.Utility_DisplayArrayInTable(Scope3_SourceData.Scope3_Feed_Data(), Table_SourceData_Scope3_Feed[[#Headers],[Category]], 0, 2)</f>
        <v>Hay</v>
      </c>
      <c r="E138" s="10" t="str" cm="1">
        <f t="array" ref="E138">Common_InputFunctions.Utility_DisplayArrayInTable(Scope3_SourceData.Scope3_Feed_Data(), Table_SourceData_Scope3_Feed[[#Headers],[Category]], 0, 2)</f>
        <v>Maize silage</v>
      </c>
      <c r="F138" s="10" t="str" cm="1">
        <f t="array" ref="F138">Common_InputFunctions.Utility_DisplayArrayInTable(Scope3_SourceData.Scope3_Feed_Data(), Table_SourceData_Scope3_Feed[[#Headers],[Category]], 0, 2)</f>
        <v>VIC</v>
      </c>
      <c r="G138" s="10" t="str" cm="1">
        <f t="array" ref="G138">Common_InputFunctions.Utility_DisplayArrayInTable(Scope3_SourceData.Scope3_Feed_Data(), Table_SourceData_Scope3_Feed[[#Headers],[Category]], 0, 2)</f>
        <v>kg</v>
      </c>
      <c r="H138" s="10" cm="1">
        <f t="array" ref="H138">Common_InputFunctions.Utility_DisplayArrayInTable(Scope3_SourceData.Scope3_Feed_Data(), Table_SourceData_Scope3_Feed[[#Headers],[Category]], 0, 2)</f>
        <v>0.16300000000000001</v>
      </c>
      <c r="I138" s="10" t="str" cm="1">
        <f t="array" ref="I138">Common_InputFunctions.Utility_DisplayArrayInTable(Scope3_SourceData.Scope3_Feed_Data(), Table_SourceData_Scope3_Feed[[#Headers],[Category]], 0, 2)</f>
        <v>at market</v>
      </c>
      <c r="K138" s="10" t="s">
        <v>212</v>
      </c>
      <c r="L138" s="10" t="s">
        <v>378</v>
      </c>
      <c r="M138" s="8" t="str">
        <f>"Table_ProductRegions_" &amp; SUBSTITUTE(SUBSTITUTE(SUBSTITUTE(SUBSTITUTE(K139, " ", ""), ",", ""), "(", ""), ")", "")</f>
        <v>Table_ProductRegions_Oatenhay</v>
      </c>
      <c r="N138" s="10" t="str">
        <f>Table_SourceData_Scope3_Feed[[#This Row],[Product]]</f>
        <v>Maize silage</v>
      </c>
      <c r="O138" s="10" t="str">
        <f>Table_SourceData_Scope3_Feed[[#This Row],[Region of origin]]</f>
        <v>VIC</v>
      </c>
    </row>
    <row r="139" spans="4:16" ht="20.100000000000001" customHeight="1" x14ac:dyDescent="0.25">
      <c r="D139" s="10" t="str" cm="1">
        <f t="array" ref="D139">Common_InputFunctions.Utility_DisplayArrayInTable(Scope3_SourceData.Scope3_Feed_Data(), Table_SourceData_Scope3_Feed[[#Headers],[Category]], 0, 2)</f>
        <v>Hay</v>
      </c>
      <c r="E139" s="10" t="str" cm="1">
        <f t="array" ref="E139">Common_InputFunctions.Utility_DisplayArrayInTable(Scope3_SourceData.Scope3_Feed_Data(), Table_SourceData_Scope3_Feed[[#Headers],[Category]], 0, 2)</f>
        <v>Oaten hay</v>
      </c>
      <c r="F139" s="10" t="str" cm="1">
        <f t="array" ref="F139">Common_InputFunctions.Utility_DisplayArrayInTable(Scope3_SourceData.Scope3_Feed_Data(), Table_SourceData_Scope3_Feed[[#Headers],[Category]], 0, 2)</f>
        <v>Australia</v>
      </c>
      <c r="G139" s="10" t="str" cm="1">
        <f t="array" ref="G139">Common_InputFunctions.Utility_DisplayArrayInTable(Scope3_SourceData.Scope3_Feed_Data(), Table_SourceData_Scope3_Feed[[#Headers],[Category]], 0, 2)</f>
        <v>kg</v>
      </c>
      <c r="H139" s="10" cm="1">
        <f t="array" ref="H139">Common_InputFunctions.Utility_DisplayArrayInTable(Scope3_SourceData.Scope3_Feed_Data(), Table_SourceData_Scope3_Feed[[#Headers],[Category]], 0, 2)</f>
        <v>0.12</v>
      </c>
      <c r="I139" s="10" t="str" cm="1">
        <f t="array" ref="I139">Common_InputFunctions.Utility_DisplayArrayInTable(Scope3_SourceData.Scope3_Feed_Data(), Table_SourceData_Scope3_Feed[[#Headers],[Category]], 0, 2)</f>
        <v>at market</v>
      </c>
      <c r="K139" s="10" t="str">
        <f>Table_SourceData_Scope3_Feed[[#This Row],[Product]]</f>
        <v>Oaten hay</v>
      </c>
      <c r="L139" s="10" t="str">
        <f>Table_SourceData_Scope3_Feed[[#This Row],[Region of origin]]</f>
        <v>Australia</v>
      </c>
    </row>
    <row r="140" spans="4:16" ht="20.100000000000001" customHeight="1" x14ac:dyDescent="0.25">
      <c r="D140" s="10" t="str" cm="1">
        <f t="array" ref="D140">Common_InputFunctions.Utility_DisplayArrayInTable(Scope3_SourceData.Scope3_Feed_Data(), Table_SourceData_Scope3_Feed[[#Headers],[Category]], 0, 2)</f>
        <v>Hay</v>
      </c>
      <c r="E140" s="10" t="str" cm="1">
        <f t="array" ref="E140">Common_InputFunctions.Utility_DisplayArrayInTable(Scope3_SourceData.Scope3_Feed_Data(), Table_SourceData_Scope3_Feed[[#Headers],[Category]], 0, 2)</f>
        <v>Oaten hay</v>
      </c>
      <c r="F140" s="10" t="str" cm="1">
        <f t="array" ref="F140">Common_InputFunctions.Utility_DisplayArrayInTable(Scope3_SourceData.Scope3_Feed_Data(), Table_SourceData_Scope3_Feed[[#Headers],[Category]], 0, 2)</f>
        <v>NSW</v>
      </c>
      <c r="G140" s="10" t="str" cm="1">
        <f t="array" ref="G140">Common_InputFunctions.Utility_DisplayArrayInTable(Scope3_SourceData.Scope3_Feed_Data(), Table_SourceData_Scope3_Feed[[#Headers],[Category]], 0, 2)</f>
        <v>kg</v>
      </c>
      <c r="H140" s="10" cm="1">
        <f t="array" ref="H140">Common_InputFunctions.Utility_DisplayArrayInTable(Scope3_SourceData.Scope3_Feed_Data(), Table_SourceData_Scope3_Feed[[#Headers],[Category]], 0, 2)</f>
        <v>0.11899999999999999</v>
      </c>
      <c r="I140" s="10" t="str" cm="1">
        <f t="array" ref="I140">Common_InputFunctions.Utility_DisplayArrayInTable(Scope3_SourceData.Scope3_Feed_Data(), Table_SourceData_Scope3_Feed[[#Headers],[Category]], 0, 2)</f>
        <v>at market</v>
      </c>
      <c r="K140" s="10" t="str">
        <f>Table_SourceData_Scope3_Feed[[#This Row],[Product]]</f>
        <v>Oaten hay</v>
      </c>
      <c r="L140" s="10" t="str">
        <f>Table_SourceData_Scope3_Feed[[#This Row],[Region of origin]]</f>
        <v>NSW</v>
      </c>
    </row>
    <row r="141" spans="4:16" ht="20.100000000000001" customHeight="1" x14ac:dyDescent="0.25">
      <c r="D141" s="10" t="str" cm="1">
        <f t="array" ref="D141">Common_InputFunctions.Utility_DisplayArrayInTable(Scope3_SourceData.Scope3_Feed_Data(), Table_SourceData_Scope3_Feed[[#Headers],[Category]], 0, 2)</f>
        <v>Hay</v>
      </c>
      <c r="E141" s="10" t="str" cm="1">
        <f t="array" ref="E141">Common_InputFunctions.Utility_DisplayArrayInTable(Scope3_SourceData.Scope3_Feed_Data(), Table_SourceData_Scope3_Feed[[#Headers],[Category]], 0, 2)</f>
        <v>Oaten hay</v>
      </c>
      <c r="F141" s="10" t="str" cm="1">
        <f t="array" ref="F141">Common_InputFunctions.Utility_DisplayArrayInTable(Scope3_SourceData.Scope3_Feed_Data(), Table_SourceData_Scope3_Feed[[#Headers],[Category]], 0, 2)</f>
        <v>QLD</v>
      </c>
      <c r="G141" s="10" t="str" cm="1">
        <f t="array" ref="G141">Common_InputFunctions.Utility_DisplayArrayInTable(Scope3_SourceData.Scope3_Feed_Data(), Table_SourceData_Scope3_Feed[[#Headers],[Category]], 0, 2)</f>
        <v>kg</v>
      </c>
      <c r="H141" s="10" cm="1">
        <f t="array" ref="H141">Common_InputFunctions.Utility_DisplayArrayInTable(Scope3_SourceData.Scope3_Feed_Data(), Table_SourceData_Scope3_Feed[[#Headers],[Category]], 0, 2)</f>
        <v>0.11700000000000001</v>
      </c>
      <c r="I141" s="10" t="str" cm="1">
        <f t="array" ref="I141">Common_InputFunctions.Utility_DisplayArrayInTable(Scope3_SourceData.Scope3_Feed_Data(), Table_SourceData_Scope3_Feed[[#Headers],[Category]], 0, 2)</f>
        <v>at market</v>
      </c>
      <c r="K141" s="10" t="str">
        <f>Table_SourceData_Scope3_Feed[[#This Row],[Product]]</f>
        <v>Oaten hay</v>
      </c>
      <c r="L141" s="10" t="str">
        <f>Table_SourceData_Scope3_Feed[[#This Row],[Region of origin]]</f>
        <v>QLD</v>
      </c>
    </row>
    <row r="142" spans="4:16" ht="20.100000000000001" customHeight="1" x14ac:dyDescent="0.25">
      <c r="D142" s="10" t="str" cm="1">
        <f t="array" ref="D142">Common_InputFunctions.Utility_DisplayArrayInTable(Scope3_SourceData.Scope3_Feed_Data(), Table_SourceData_Scope3_Feed[[#Headers],[Category]], 0, 2)</f>
        <v>Hay</v>
      </c>
      <c r="E142" s="10" t="str" cm="1">
        <f t="array" ref="E142">Common_InputFunctions.Utility_DisplayArrayInTable(Scope3_SourceData.Scope3_Feed_Data(), Table_SourceData_Scope3_Feed[[#Headers],[Category]], 0, 2)</f>
        <v>Oaten hay</v>
      </c>
      <c r="F142" s="10" t="str" cm="1">
        <f t="array" ref="F142">Common_InputFunctions.Utility_DisplayArrayInTable(Scope3_SourceData.Scope3_Feed_Data(), Table_SourceData_Scope3_Feed[[#Headers],[Category]], 0, 2)</f>
        <v>SA</v>
      </c>
      <c r="G142" s="10" t="str" cm="1">
        <f t="array" ref="G142">Common_InputFunctions.Utility_DisplayArrayInTable(Scope3_SourceData.Scope3_Feed_Data(), Table_SourceData_Scope3_Feed[[#Headers],[Category]], 0, 2)</f>
        <v>kg</v>
      </c>
      <c r="H142" s="10" cm="1">
        <f t="array" ref="H142">Common_InputFunctions.Utility_DisplayArrayInTable(Scope3_SourceData.Scope3_Feed_Data(), Table_SourceData_Scope3_Feed[[#Headers],[Category]], 0, 2)</f>
        <v>0.114</v>
      </c>
      <c r="I142" s="10" t="str" cm="1">
        <f t="array" ref="I142">Common_InputFunctions.Utility_DisplayArrayInTable(Scope3_SourceData.Scope3_Feed_Data(), Table_SourceData_Scope3_Feed[[#Headers],[Category]], 0, 2)</f>
        <v>at market</v>
      </c>
      <c r="K142" s="10" t="str">
        <f>Table_SourceData_Scope3_Feed[[#This Row],[Product]]</f>
        <v>Oaten hay</v>
      </c>
      <c r="L142" s="10" t="str">
        <f>Table_SourceData_Scope3_Feed[[#This Row],[Region of origin]]</f>
        <v>SA</v>
      </c>
    </row>
    <row r="143" spans="4:16" ht="20.100000000000001" customHeight="1" x14ac:dyDescent="0.25">
      <c r="D143" s="10" t="str" cm="1">
        <f t="array" ref="D143">Common_InputFunctions.Utility_DisplayArrayInTable(Scope3_SourceData.Scope3_Feed_Data(), Table_SourceData_Scope3_Feed[[#Headers],[Category]], 0, 2)</f>
        <v>Hay</v>
      </c>
      <c r="E143" s="10" t="str" cm="1">
        <f t="array" ref="E143">Common_InputFunctions.Utility_DisplayArrayInTable(Scope3_SourceData.Scope3_Feed_Data(), Table_SourceData_Scope3_Feed[[#Headers],[Category]], 0, 2)</f>
        <v>Oaten hay</v>
      </c>
      <c r="F143" s="10" t="str" cm="1">
        <f t="array" ref="F143">Common_InputFunctions.Utility_DisplayArrayInTable(Scope3_SourceData.Scope3_Feed_Data(), Table_SourceData_Scope3_Feed[[#Headers],[Category]], 0, 2)</f>
        <v>VIC</v>
      </c>
      <c r="G143" s="10" t="str" cm="1">
        <f t="array" ref="G143">Common_InputFunctions.Utility_DisplayArrayInTable(Scope3_SourceData.Scope3_Feed_Data(), Table_SourceData_Scope3_Feed[[#Headers],[Category]], 0, 2)</f>
        <v>kg</v>
      </c>
      <c r="H143" s="10" cm="1">
        <f t="array" ref="H143">Common_InputFunctions.Utility_DisplayArrayInTable(Scope3_SourceData.Scope3_Feed_Data(), Table_SourceData_Scope3_Feed[[#Headers],[Category]], 0, 2)</f>
        <v>0.11799999999999999</v>
      </c>
      <c r="I143" s="10" t="str" cm="1">
        <f t="array" ref="I143">Common_InputFunctions.Utility_DisplayArrayInTable(Scope3_SourceData.Scope3_Feed_Data(), Table_SourceData_Scope3_Feed[[#Headers],[Category]], 0, 2)</f>
        <v>at market</v>
      </c>
      <c r="K143" s="10" t="str">
        <f>Table_SourceData_Scope3_Feed[[#This Row],[Product]]</f>
        <v>Oaten hay</v>
      </c>
      <c r="L143" s="10" t="str">
        <f>Table_SourceData_Scope3_Feed[[#This Row],[Region of origin]]</f>
        <v>VIC</v>
      </c>
    </row>
    <row r="144" spans="4:16" ht="20.100000000000001" customHeight="1" x14ac:dyDescent="0.25">
      <c r="D144" s="10" t="str" cm="1">
        <f t="array" ref="D144">Common_InputFunctions.Utility_DisplayArrayInTable(Scope3_SourceData.Scope3_Feed_Data(), Table_SourceData_Scope3_Feed[[#Headers],[Category]], 0, 2)</f>
        <v>Hay</v>
      </c>
      <c r="E144" s="10" t="str" cm="1">
        <f t="array" ref="E144">Common_InputFunctions.Utility_DisplayArrayInTable(Scope3_SourceData.Scope3_Feed_Data(), Table_SourceData_Scope3_Feed[[#Headers],[Category]], 0, 2)</f>
        <v>Oaten hay</v>
      </c>
      <c r="F144" s="10" t="str" cm="1">
        <f t="array" ref="F144">Common_InputFunctions.Utility_DisplayArrayInTable(Scope3_SourceData.Scope3_Feed_Data(), Table_SourceData_Scope3_Feed[[#Headers],[Category]], 0, 2)</f>
        <v>WA</v>
      </c>
      <c r="G144" s="10" t="str" cm="1">
        <f t="array" ref="G144">Common_InputFunctions.Utility_DisplayArrayInTable(Scope3_SourceData.Scope3_Feed_Data(), Table_SourceData_Scope3_Feed[[#Headers],[Category]], 0, 2)</f>
        <v>kg</v>
      </c>
      <c r="H144" s="10" cm="1">
        <f t="array" ref="H144">Common_InputFunctions.Utility_DisplayArrayInTable(Scope3_SourceData.Scope3_Feed_Data(), Table_SourceData_Scope3_Feed[[#Headers],[Category]], 0, 2)</f>
        <v>0.124</v>
      </c>
      <c r="I144" s="10" t="str" cm="1">
        <f t="array" ref="I144">Common_InputFunctions.Utility_DisplayArrayInTable(Scope3_SourceData.Scope3_Feed_Data(), Table_SourceData_Scope3_Feed[[#Headers],[Category]], 0, 2)</f>
        <v>at market</v>
      </c>
      <c r="K144" s="10" t="str">
        <f>Table_SourceData_Scope3_Feed[[#This Row],[Product]]</f>
        <v>Oaten hay</v>
      </c>
      <c r="L144" s="10" t="str">
        <f>Table_SourceData_Scope3_Feed[[#This Row],[Region of origin]]</f>
        <v>WA</v>
      </c>
      <c r="N144" s="10" t="s">
        <v>212</v>
      </c>
      <c r="O144" s="10" t="s">
        <v>378</v>
      </c>
      <c r="P144" s="8" t="str">
        <f>"Table_ProductRegions_" &amp; SUBSTITUTE(SUBSTITUTE(SUBSTITUTE(SUBSTITUTE(N145, " ", ""), ",", ""), "(", ""), ")", "")</f>
        <v>Table_ProductRegions_Pasturehay</v>
      </c>
    </row>
    <row r="145" spans="4:16" ht="20.100000000000001" customHeight="1" x14ac:dyDescent="0.25">
      <c r="D145" s="10" t="str" cm="1">
        <f t="array" ref="D145">Common_InputFunctions.Utility_DisplayArrayInTable(Scope3_SourceData.Scope3_Feed_Data(), Table_SourceData_Scope3_Feed[[#Headers],[Category]], 0, 2)</f>
        <v>Hay</v>
      </c>
      <c r="E145" s="10" t="str" cm="1">
        <f t="array" ref="E145">Common_InputFunctions.Utility_DisplayArrayInTable(Scope3_SourceData.Scope3_Feed_Data(), Table_SourceData_Scope3_Feed[[#Headers],[Category]], 0, 2)</f>
        <v>Pasture hay</v>
      </c>
      <c r="F145" s="10" t="str" cm="1">
        <f t="array" ref="F145">Common_InputFunctions.Utility_DisplayArrayInTable(Scope3_SourceData.Scope3_Feed_Data(), Table_SourceData_Scope3_Feed[[#Headers],[Category]], 0, 2)</f>
        <v>Australia</v>
      </c>
      <c r="G145" s="10" t="str" cm="1">
        <f t="array" ref="G145">Common_InputFunctions.Utility_DisplayArrayInTable(Scope3_SourceData.Scope3_Feed_Data(), Table_SourceData_Scope3_Feed[[#Headers],[Category]], 0, 2)</f>
        <v>kg</v>
      </c>
      <c r="H145" s="10" cm="1">
        <f t="array" ref="H145">Common_InputFunctions.Utility_DisplayArrayInTable(Scope3_SourceData.Scope3_Feed_Data(), Table_SourceData_Scope3_Feed[[#Headers],[Category]], 0, 2)</f>
        <v>0.33900000000000002</v>
      </c>
      <c r="I145" s="10" t="str" cm="1">
        <f t="array" ref="I145">Common_InputFunctions.Utility_DisplayArrayInTable(Scope3_SourceData.Scope3_Feed_Data(), Table_SourceData_Scope3_Feed[[#Headers],[Category]], 0, 2)</f>
        <v>at market</v>
      </c>
      <c r="N145" s="10" t="str">
        <f>Table_SourceData_Scope3_Feed[[#This Row],[Product]]</f>
        <v>Pasture hay</v>
      </c>
      <c r="O145" s="10" t="str">
        <f>Table_SourceData_Scope3_Feed[[#This Row],[Region of origin]]</f>
        <v>Australia</v>
      </c>
    </row>
    <row r="146" spans="4:16" ht="20.100000000000001" customHeight="1" x14ac:dyDescent="0.25">
      <c r="D146" s="10" t="str" cm="1">
        <f t="array" ref="D146">Common_InputFunctions.Utility_DisplayArrayInTable(Scope3_SourceData.Scope3_Feed_Data(), Table_SourceData_Scope3_Feed[[#Headers],[Category]], 0, 2)</f>
        <v>Hay</v>
      </c>
      <c r="E146" s="10" t="str" cm="1">
        <f t="array" ref="E146">Common_InputFunctions.Utility_DisplayArrayInTable(Scope3_SourceData.Scope3_Feed_Data(), Table_SourceData_Scope3_Feed[[#Headers],[Category]], 0, 2)</f>
        <v>Pasture hay</v>
      </c>
      <c r="F146" s="10" t="str" cm="1">
        <f t="array" ref="F146">Common_InputFunctions.Utility_DisplayArrayInTable(Scope3_SourceData.Scope3_Feed_Data(), Table_SourceData_Scope3_Feed[[#Headers],[Category]], 0, 2)</f>
        <v>NSW</v>
      </c>
      <c r="G146" s="10" t="str" cm="1">
        <f t="array" ref="G146">Common_InputFunctions.Utility_DisplayArrayInTable(Scope3_SourceData.Scope3_Feed_Data(), Table_SourceData_Scope3_Feed[[#Headers],[Category]], 0, 2)</f>
        <v>kg</v>
      </c>
      <c r="H146" s="10" cm="1">
        <f t="array" ref="H146">Common_InputFunctions.Utility_DisplayArrayInTable(Scope3_SourceData.Scope3_Feed_Data(), Table_SourceData_Scope3_Feed[[#Headers],[Category]], 0, 2)</f>
        <v>0.311</v>
      </c>
      <c r="I146" s="10" t="str" cm="1">
        <f t="array" ref="I146">Common_InputFunctions.Utility_DisplayArrayInTable(Scope3_SourceData.Scope3_Feed_Data(), Table_SourceData_Scope3_Feed[[#Headers],[Category]], 0, 2)</f>
        <v>at market</v>
      </c>
      <c r="N146" s="10" t="str">
        <f>Table_SourceData_Scope3_Feed[[#This Row],[Product]]</f>
        <v>Pasture hay</v>
      </c>
      <c r="O146" s="10" t="str">
        <f>Table_SourceData_Scope3_Feed[[#This Row],[Region of origin]]</f>
        <v>NSW</v>
      </c>
    </row>
    <row r="147" spans="4:16" ht="20.100000000000001" customHeight="1" x14ac:dyDescent="0.25">
      <c r="D147" s="10" t="str" cm="1">
        <f t="array" ref="D147">Common_InputFunctions.Utility_DisplayArrayInTable(Scope3_SourceData.Scope3_Feed_Data(), Table_SourceData_Scope3_Feed[[#Headers],[Category]], 0, 2)</f>
        <v>Hay</v>
      </c>
      <c r="E147" s="10" t="str" cm="1">
        <f t="array" ref="E147">Common_InputFunctions.Utility_DisplayArrayInTable(Scope3_SourceData.Scope3_Feed_Data(), Table_SourceData_Scope3_Feed[[#Headers],[Category]], 0, 2)</f>
        <v>Pasture hay</v>
      </c>
      <c r="F147" s="10" t="str" cm="1">
        <f t="array" ref="F147">Common_InputFunctions.Utility_DisplayArrayInTable(Scope3_SourceData.Scope3_Feed_Data(), Table_SourceData_Scope3_Feed[[#Headers],[Category]], 0, 2)</f>
        <v>QLD</v>
      </c>
      <c r="G147" s="10" t="str" cm="1">
        <f t="array" ref="G147">Common_InputFunctions.Utility_DisplayArrayInTable(Scope3_SourceData.Scope3_Feed_Data(), Table_SourceData_Scope3_Feed[[#Headers],[Category]], 0, 2)</f>
        <v>kg</v>
      </c>
      <c r="H147" s="10" cm="1">
        <f t="array" ref="H147">Common_InputFunctions.Utility_DisplayArrayInTable(Scope3_SourceData.Scope3_Feed_Data(), Table_SourceData_Scope3_Feed[[#Headers],[Category]], 0, 2)</f>
        <v>0.254</v>
      </c>
      <c r="I147" s="10" t="str" cm="1">
        <f t="array" ref="I147">Common_InputFunctions.Utility_DisplayArrayInTable(Scope3_SourceData.Scope3_Feed_Data(), Table_SourceData_Scope3_Feed[[#Headers],[Category]], 0, 2)</f>
        <v>at market</v>
      </c>
      <c r="N147" s="10" t="str">
        <f>Table_SourceData_Scope3_Feed[[#This Row],[Product]]</f>
        <v>Pasture hay</v>
      </c>
      <c r="O147" s="10" t="str">
        <f>Table_SourceData_Scope3_Feed[[#This Row],[Region of origin]]</f>
        <v>QLD</v>
      </c>
    </row>
    <row r="148" spans="4:16" ht="20.100000000000001" customHeight="1" x14ac:dyDescent="0.25">
      <c r="D148" s="10" t="str" cm="1">
        <f t="array" ref="D148">Common_InputFunctions.Utility_DisplayArrayInTable(Scope3_SourceData.Scope3_Feed_Data(), Table_SourceData_Scope3_Feed[[#Headers],[Category]], 0, 2)</f>
        <v>Hay</v>
      </c>
      <c r="E148" s="10" t="str" cm="1">
        <f t="array" ref="E148">Common_InputFunctions.Utility_DisplayArrayInTable(Scope3_SourceData.Scope3_Feed_Data(), Table_SourceData_Scope3_Feed[[#Headers],[Category]], 0, 2)</f>
        <v>Pasture hay</v>
      </c>
      <c r="F148" s="10" t="str" cm="1">
        <f t="array" ref="F148">Common_InputFunctions.Utility_DisplayArrayInTable(Scope3_SourceData.Scope3_Feed_Data(), Table_SourceData_Scope3_Feed[[#Headers],[Category]], 0, 2)</f>
        <v>SA</v>
      </c>
      <c r="G148" s="10" t="str" cm="1">
        <f t="array" ref="G148">Common_InputFunctions.Utility_DisplayArrayInTable(Scope3_SourceData.Scope3_Feed_Data(), Table_SourceData_Scope3_Feed[[#Headers],[Category]], 0, 2)</f>
        <v>kg</v>
      </c>
      <c r="H148" s="10" cm="1">
        <f t="array" ref="H148">Common_InputFunctions.Utility_DisplayArrayInTable(Scope3_SourceData.Scope3_Feed_Data(), Table_SourceData_Scope3_Feed[[#Headers],[Category]], 0, 2)</f>
        <v>0.313</v>
      </c>
      <c r="I148" s="10" t="str" cm="1">
        <f t="array" ref="I148">Common_InputFunctions.Utility_DisplayArrayInTable(Scope3_SourceData.Scope3_Feed_Data(), Table_SourceData_Scope3_Feed[[#Headers],[Category]], 0, 2)</f>
        <v>at market</v>
      </c>
      <c r="N148" s="10" t="str">
        <f>Table_SourceData_Scope3_Feed[[#This Row],[Product]]</f>
        <v>Pasture hay</v>
      </c>
      <c r="O148" s="10" t="str">
        <f>Table_SourceData_Scope3_Feed[[#This Row],[Region of origin]]</f>
        <v>SA</v>
      </c>
    </row>
    <row r="149" spans="4:16" ht="20.100000000000001" customHeight="1" x14ac:dyDescent="0.25">
      <c r="D149" s="10" t="str" cm="1">
        <f t="array" ref="D149">Common_InputFunctions.Utility_DisplayArrayInTable(Scope3_SourceData.Scope3_Feed_Data(), Table_SourceData_Scope3_Feed[[#Headers],[Category]], 0, 2)</f>
        <v>Hay</v>
      </c>
      <c r="E149" s="10" t="str" cm="1">
        <f t="array" ref="E149">Common_InputFunctions.Utility_DisplayArrayInTable(Scope3_SourceData.Scope3_Feed_Data(), Table_SourceData_Scope3_Feed[[#Headers],[Category]], 0, 2)</f>
        <v>Pasture hay</v>
      </c>
      <c r="F149" s="10" t="str" cm="1">
        <f t="array" ref="F149">Common_InputFunctions.Utility_DisplayArrayInTable(Scope3_SourceData.Scope3_Feed_Data(), Table_SourceData_Scope3_Feed[[#Headers],[Category]], 0, 2)</f>
        <v>TAS</v>
      </c>
      <c r="G149" s="10" t="str" cm="1">
        <f t="array" ref="G149">Common_InputFunctions.Utility_DisplayArrayInTable(Scope3_SourceData.Scope3_Feed_Data(), Table_SourceData_Scope3_Feed[[#Headers],[Category]], 0, 2)</f>
        <v>kg</v>
      </c>
      <c r="H149" s="10" cm="1">
        <f t="array" ref="H149">Common_InputFunctions.Utility_DisplayArrayInTable(Scope3_SourceData.Scope3_Feed_Data(), Table_SourceData_Scope3_Feed[[#Headers],[Category]], 0, 2)</f>
        <v>0.39800000000000002</v>
      </c>
      <c r="I149" s="10" t="str" cm="1">
        <f t="array" ref="I149">Common_InputFunctions.Utility_DisplayArrayInTable(Scope3_SourceData.Scope3_Feed_Data(), Table_SourceData_Scope3_Feed[[#Headers],[Category]], 0, 2)</f>
        <v>at market</v>
      </c>
      <c r="N149" s="10" t="str">
        <f>Table_SourceData_Scope3_Feed[[#This Row],[Product]]</f>
        <v>Pasture hay</v>
      </c>
      <c r="O149" s="10" t="str">
        <f>Table_SourceData_Scope3_Feed[[#This Row],[Region of origin]]</f>
        <v>TAS</v>
      </c>
    </row>
    <row r="150" spans="4:16" ht="20.100000000000001" customHeight="1" x14ac:dyDescent="0.25">
      <c r="D150" s="10" t="str" cm="1">
        <f t="array" ref="D150">Common_InputFunctions.Utility_DisplayArrayInTable(Scope3_SourceData.Scope3_Feed_Data(), Table_SourceData_Scope3_Feed[[#Headers],[Category]], 0, 2)</f>
        <v>Hay</v>
      </c>
      <c r="E150" s="10" t="str" cm="1">
        <f t="array" ref="E150">Common_InputFunctions.Utility_DisplayArrayInTable(Scope3_SourceData.Scope3_Feed_Data(), Table_SourceData_Scope3_Feed[[#Headers],[Category]], 0, 2)</f>
        <v>Pasture hay</v>
      </c>
      <c r="F150" s="10" t="str" cm="1">
        <f t="array" ref="F150">Common_InputFunctions.Utility_DisplayArrayInTable(Scope3_SourceData.Scope3_Feed_Data(), Table_SourceData_Scope3_Feed[[#Headers],[Category]], 0, 2)</f>
        <v>VIC</v>
      </c>
      <c r="G150" s="10" t="str" cm="1">
        <f t="array" ref="G150">Common_InputFunctions.Utility_DisplayArrayInTable(Scope3_SourceData.Scope3_Feed_Data(), Table_SourceData_Scope3_Feed[[#Headers],[Category]], 0, 2)</f>
        <v>kg</v>
      </c>
      <c r="H150" s="10" cm="1">
        <f t="array" ref="H150">Common_InputFunctions.Utility_DisplayArrayInTable(Scope3_SourceData.Scope3_Feed_Data(), Table_SourceData_Scope3_Feed[[#Headers],[Category]], 0, 2)</f>
        <v>0.34499999999999997</v>
      </c>
      <c r="I150" s="10" t="str" cm="1">
        <f t="array" ref="I150">Common_InputFunctions.Utility_DisplayArrayInTable(Scope3_SourceData.Scope3_Feed_Data(), Table_SourceData_Scope3_Feed[[#Headers],[Category]], 0, 2)</f>
        <v>at market</v>
      </c>
      <c r="N150" s="10" t="str">
        <f>Table_SourceData_Scope3_Feed[[#This Row],[Product]]</f>
        <v>Pasture hay</v>
      </c>
      <c r="O150" s="10" t="str">
        <f>Table_SourceData_Scope3_Feed[[#This Row],[Region of origin]]</f>
        <v>VIC</v>
      </c>
    </row>
    <row r="151" spans="4:16" ht="20.100000000000001" customHeight="1" x14ac:dyDescent="0.25">
      <c r="D151" s="10" t="str" cm="1">
        <f t="array" ref="D151">Common_InputFunctions.Utility_DisplayArrayInTable(Scope3_SourceData.Scope3_Feed_Data(), Table_SourceData_Scope3_Feed[[#Headers],[Category]], 0, 2)</f>
        <v>Hay</v>
      </c>
      <c r="E151" s="10" t="str" cm="1">
        <f t="array" ref="E151">Common_InputFunctions.Utility_DisplayArrayInTable(Scope3_SourceData.Scope3_Feed_Data(), Table_SourceData_Scope3_Feed[[#Headers],[Category]], 0, 2)</f>
        <v>Pasture hay</v>
      </c>
      <c r="F151" s="10" t="str" cm="1">
        <f t="array" ref="F151">Common_InputFunctions.Utility_DisplayArrayInTable(Scope3_SourceData.Scope3_Feed_Data(), Table_SourceData_Scope3_Feed[[#Headers],[Category]], 0, 2)</f>
        <v>WA</v>
      </c>
      <c r="G151" s="10" t="str" cm="1">
        <f t="array" ref="G151">Common_InputFunctions.Utility_DisplayArrayInTable(Scope3_SourceData.Scope3_Feed_Data(), Table_SourceData_Scope3_Feed[[#Headers],[Category]], 0, 2)</f>
        <v>kg</v>
      </c>
      <c r="H151" s="10" cm="1">
        <f t="array" ref="H151">Common_InputFunctions.Utility_DisplayArrayInTable(Scope3_SourceData.Scope3_Feed_Data(), Table_SourceData_Scope3_Feed[[#Headers],[Category]], 0, 2)</f>
        <v>0.36799999999999999</v>
      </c>
      <c r="I151" s="10" t="str" cm="1">
        <f t="array" ref="I151">Common_InputFunctions.Utility_DisplayArrayInTable(Scope3_SourceData.Scope3_Feed_Data(), Table_SourceData_Scope3_Feed[[#Headers],[Category]], 0, 2)</f>
        <v>at market</v>
      </c>
      <c r="K151" s="152" t="s">
        <v>212</v>
      </c>
      <c r="L151" s="152" t="s">
        <v>378</v>
      </c>
      <c r="M151" s="8" t="str">
        <f>"Table_ProductRegions_" &amp; SUBSTITUTE(SUBSTITUTE(SUBSTITUTE(SUBSTITUTE(K152, " ", ""), ",", ""), "(", ""), ")", "")</f>
        <v>Table_ProductRegions_Canolameal</v>
      </c>
      <c r="N151" s="10" t="str">
        <f>Table_SourceData_Scope3_Feed[[#This Row],[Product]]</f>
        <v>Pasture hay</v>
      </c>
      <c r="O151" s="10" t="str">
        <f>Table_SourceData_Scope3_Feed[[#This Row],[Region of origin]]</f>
        <v>WA</v>
      </c>
    </row>
    <row r="152" spans="4:16" ht="20.100000000000001" customHeight="1" x14ac:dyDescent="0.25">
      <c r="D152" s="10" t="str" cm="1">
        <f t="array" ref="D152">Common_InputFunctions.Utility_DisplayArrayInTable(Scope3_SourceData.Scope3_Feed_Data(), Table_SourceData_Scope3_Feed[[#Headers],[Category]], 0, 2)</f>
        <v>Meal</v>
      </c>
      <c r="E152" s="10" t="str" cm="1">
        <f t="array" ref="E152">Common_InputFunctions.Utility_DisplayArrayInTable(Scope3_SourceData.Scope3_Feed_Data(), Table_SourceData_Scope3_Feed[[#Headers],[Category]], 0, 2)</f>
        <v>Canola meal</v>
      </c>
      <c r="F152" s="10" t="str" cm="1">
        <f t="array" ref="F152">Common_InputFunctions.Utility_DisplayArrayInTable(Scope3_SourceData.Scope3_Feed_Data(), Table_SourceData_Scope3_Feed[[#Headers],[Category]], 0, 2)</f>
        <v>Australia</v>
      </c>
      <c r="G152" s="10" t="str" cm="1">
        <f t="array" ref="G152">Common_InputFunctions.Utility_DisplayArrayInTable(Scope3_SourceData.Scope3_Feed_Data(), Table_SourceData_Scope3_Feed[[#Headers],[Category]], 0, 2)</f>
        <v>kg</v>
      </c>
      <c r="H152" s="10" cm="1">
        <f t="array" ref="H152">Common_InputFunctions.Utility_DisplayArrayInTable(Scope3_SourceData.Scope3_Feed_Data(), Table_SourceData_Scope3_Feed[[#Headers],[Category]], 0, 2)</f>
        <v>0.24399999999999999</v>
      </c>
      <c r="I152" s="10" t="str" cm="1">
        <f t="array" ref="I152">Common_InputFunctions.Utility_DisplayArrayInTable(Scope3_SourceData.Scope3_Feed_Data(), Table_SourceData_Scope3_Feed[[#Headers],[Category]], 0, 2)</f>
        <v>at market</v>
      </c>
      <c r="K152" s="8" t="str">
        <f>Table_SourceData_Scope3_Feed[[#This Row],[Product]]</f>
        <v>Canola meal</v>
      </c>
      <c r="L152" s="8" t="str">
        <f>Table_SourceData_Scope3_Feed[[#This Row],[Region of origin]]</f>
        <v>Australia</v>
      </c>
      <c r="N152" s="10" t="s">
        <v>212</v>
      </c>
      <c r="O152" s="10" t="s">
        <v>378</v>
      </c>
      <c r="P152" s="8" t="str">
        <f>"Table_ProductRegions_" &amp; SUBSTITUTE(SUBSTITUTE(SUBSTITUTE(SUBSTITUTE(N153, " ", ""), ",", ""), "(", ""), ")", "")</f>
        <v>Table_ProductRegions_Meatmeal</v>
      </c>
    </row>
    <row r="153" spans="4:16" ht="20.100000000000001" customHeight="1" x14ac:dyDescent="0.25">
      <c r="D153" s="10" t="str" cm="1">
        <f t="array" ref="D153">Common_InputFunctions.Utility_DisplayArrayInTable(Scope3_SourceData.Scope3_Feed_Data(), Table_SourceData_Scope3_Feed[[#Headers],[Category]], 0, 2)</f>
        <v>Meal</v>
      </c>
      <c r="E153" s="10" t="str" cm="1">
        <f t="array" ref="E153">Common_InputFunctions.Utility_DisplayArrayInTable(Scope3_SourceData.Scope3_Feed_Data(), Table_SourceData_Scope3_Feed[[#Headers],[Category]], 0, 2)</f>
        <v>Meat meal</v>
      </c>
      <c r="F153" s="10" t="str" cm="1">
        <f t="array" ref="F153">Common_InputFunctions.Utility_DisplayArrayInTable(Scope3_SourceData.Scope3_Feed_Data(), Table_SourceData_Scope3_Feed[[#Headers],[Category]], 0, 2)</f>
        <v>Australia</v>
      </c>
      <c r="G153" s="10" t="str" cm="1">
        <f t="array" ref="G153">Common_InputFunctions.Utility_DisplayArrayInTable(Scope3_SourceData.Scope3_Feed_Data(), Table_SourceData_Scope3_Feed[[#Headers],[Category]], 0, 2)</f>
        <v>kg</v>
      </c>
      <c r="H153" s="10" cm="1">
        <f t="array" ref="H153">Common_InputFunctions.Utility_DisplayArrayInTable(Scope3_SourceData.Scope3_Feed_Data(), Table_SourceData_Scope3_Feed[[#Headers],[Category]], 0, 2)</f>
        <v>0.40799999999999997</v>
      </c>
      <c r="I153" s="10" t="str" cm="1">
        <f t="array" ref="I153">Common_InputFunctions.Utility_DisplayArrayInTable(Scope3_SourceData.Scope3_Feed_Data(), Table_SourceData_Scope3_Feed[[#Headers],[Category]], 0, 2)</f>
        <v>at market</v>
      </c>
      <c r="K153" s="10" t="s">
        <v>212</v>
      </c>
      <c r="L153" s="10" t="s">
        <v>378</v>
      </c>
      <c r="M153" s="8" t="str">
        <f>"Table_ProductRegions_" &amp; SUBSTITUTE(SUBSTITUTE(SUBSTITUTE(SUBSTITUTE(K154, " ", ""), ",", ""), "(", ""), ")", "")</f>
        <v>Table_ProductRegions_Soybeanmeal</v>
      </c>
      <c r="N153" s="10" t="str">
        <f>Table_SourceData_Scope3_Feed[[#This Row],[Product]]</f>
        <v>Meat meal</v>
      </c>
      <c r="O153" s="10" t="str">
        <f>Table_SourceData_Scope3_Feed[[#This Row],[Region of origin]]</f>
        <v>Australia</v>
      </c>
    </row>
    <row r="154" spans="4:16" ht="20.100000000000001" customHeight="1" x14ac:dyDescent="0.25">
      <c r="D154" s="10" t="str" cm="1">
        <f t="array" ref="D154">Common_InputFunctions.Utility_DisplayArrayInTable(Scope3_SourceData.Scope3_Feed_Data(), Table_SourceData_Scope3_Feed[[#Headers],[Category]], 0, 2)</f>
        <v>Meal</v>
      </c>
      <c r="E154" s="10" t="str" cm="1">
        <f t="array" ref="E154">Common_InputFunctions.Utility_DisplayArrayInTable(Scope3_SourceData.Scope3_Feed_Data(), Table_SourceData_Scope3_Feed[[#Headers],[Category]], 0, 2)</f>
        <v>Soybean meal</v>
      </c>
      <c r="F154" s="10" t="str" cm="1">
        <f t="array" ref="F154">Common_InputFunctions.Utility_DisplayArrayInTable(Scope3_SourceData.Scope3_Feed_Data(), Table_SourceData_Scope3_Feed[[#Headers],[Category]], 0, 2)</f>
        <v>Brazil</v>
      </c>
      <c r="G154" s="10" t="str" cm="1">
        <f t="array" ref="G154">Common_InputFunctions.Utility_DisplayArrayInTable(Scope3_SourceData.Scope3_Feed_Data(), Table_SourceData_Scope3_Feed[[#Headers],[Category]], 0, 2)</f>
        <v>kg</v>
      </c>
      <c r="H154" s="10" cm="1">
        <f t="array" ref="H154">Common_InputFunctions.Utility_DisplayArrayInTable(Scope3_SourceData.Scope3_Feed_Data(), Table_SourceData_Scope3_Feed[[#Headers],[Category]], 0, 2)</f>
        <v>0.42599999999999999</v>
      </c>
      <c r="I154" s="10" t="str" cm="1">
        <f t="array" ref="I154">Common_InputFunctions.Utility_DisplayArrayInTable(Scope3_SourceData.Scope3_Feed_Data(), Table_SourceData_Scope3_Feed[[#Headers],[Category]], 0, 2)</f>
        <v>at market</v>
      </c>
      <c r="K154" s="10" t="str">
        <f>Table_SourceData_Scope3_Feed[[#This Row],[Product]]</f>
        <v>Soybean meal</v>
      </c>
      <c r="L154" s="10" t="str">
        <f>Table_SourceData_Scope3_Feed[[#This Row],[Region of origin]]</f>
        <v>Brazil</v>
      </c>
      <c r="N154" s="10" t="s">
        <v>212</v>
      </c>
      <c r="O154" s="10" t="s">
        <v>378</v>
      </c>
      <c r="P154" s="8" t="str">
        <f>"Table_ProductRegions_" &amp; SUBSTITUTE(SUBSTITUTE(SUBSTITUTE(SUBSTITUTE(N155, " ", ""), ",", ""), "(", ""), ")", "")</f>
        <v>Table_ProductRegions_Wheatbran</v>
      </c>
    </row>
    <row r="155" spans="4:16" ht="20.100000000000001" customHeight="1" x14ac:dyDescent="0.25">
      <c r="D155" s="10" t="str" cm="1">
        <f t="array" ref="D155">Common_InputFunctions.Utility_DisplayArrayInTable(Scope3_SourceData.Scope3_Feed_Data(), Table_SourceData_Scope3_Feed[[#Headers],[Category]], 0, 2)</f>
        <v>Meal</v>
      </c>
      <c r="E155" s="10" t="str" cm="1">
        <f t="array" ref="E155">Common_InputFunctions.Utility_DisplayArrayInTable(Scope3_SourceData.Scope3_Feed_Data(), Table_SourceData_Scope3_Feed[[#Headers],[Category]], 0, 2)</f>
        <v>Wheat bran</v>
      </c>
      <c r="F155" s="10" t="str" cm="1">
        <f t="array" ref="F155">Common_InputFunctions.Utility_DisplayArrayInTable(Scope3_SourceData.Scope3_Feed_Data(), Table_SourceData_Scope3_Feed[[#Headers],[Category]], 0, 2)</f>
        <v>Australia</v>
      </c>
      <c r="G155" s="10" t="str" cm="1">
        <f t="array" ref="G155">Common_InputFunctions.Utility_DisplayArrayInTable(Scope3_SourceData.Scope3_Feed_Data(), Table_SourceData_Scope3_Feed[[#Headers],[Category]], 0, 2)</f>
        <v>kg</v>
      </c>
      <c r="H155" s="10" cm="1">
        <f t="array" ref="H155">Common_InputFunctions.Utility_DisplayArrayInTable(Scope3_SourceData.Scope3_Feed_Data(), Table_SourceData_Scope3_Feed[[#Headers],[Category]], 0, 2)</f>
        <v>0.19600000000000001</v>
      </c>
      <c r="I155" s="10" t="str" cm="1">
        <f t="array" ref="I155">Common_InputFunctions.Utility_DisplayArrayInTable(Scope3_SourceData.Scope3_Feed_Data(), Table_SourceData_Scope3_Feed[[#Headers],[Category]], 0, 2)</f>
        <v>at market</v>
      </c>
      <c r="K155" s="10" t="s">
        <v>212</v>
      </c>
      <c r="L155" s="10" t="s">
        <v>378</v>
      </c>
      <c r="M155" s="8" t="str">
        <f>"Table_ProductRegions_" &amp; SUBSTITUTE(SUBSTITUTE(SUBSTITUTE(SUBSTITUTE(K156, " ", ""), ",", ""), "(", ""), ")", "")</f>
        <v>Table_ProductRegions_Bentonite</v>
      </c>
      <c r="N155" s="10" t="str">
        <f>Table_SourceData_Scope3_Feed[[#This Row],[Product]]</f>
        <v>Wheat bran</v>
      </c>
      <c r="O155" s="10" t="str">
        <f>Table_SourceData_Scope3_Feed[[#This Row],[Region of origin]]</f>
        <v>Australia</v>
      </c>
    </row>
    <row r="156" spans="4:16" ht="20.100000000000001" customHeight="1" x14ac:dyDescent="0.25">
      <c r="D156" s="8" t="str" cm="1">
        <f t="array" ref="D156">Common_InputFunctions.Utility_DisplayArrayInTable(Scope3_SourceData.Scope3_Feed_Data(), Table_SourceData_Scope3_Feed[[#Headers],[Category]], -4, 2)</f>
        <v>Other</v>
      </c>
      <c r="E156" s="8" t="str" cm="1">
        <f t="array" ref="E156">Common_InputFunctions.Utility_DisplayArrayInTable(Scope3_SourceData.Scope3_Feed_Data(), Table_SourceData_Scope3_Feed[[#Headers],[Category]], -4, 2)</f>
        <v>Bentonite</v>
      </c>
      <c r="F156" s="8" t="str" cm="1">
        <f t="array" ref="F156">Common_InputFunctions.Utility_DisplayArrayInTable(Scope3_SourceData.Scope3_Feed_Data(), Table_SourceData_Scope3_Feed[[#Headers],[Category]], -4, 2)</f>
        <v>Australia</v>
      </c>
      <c r="G156" s="8" t="str" cm="1">
        <f t="array" ref="G156">Common_InputFunctions.Utility_DisplayArrayInTable(Scope3_SourceData.Scope3_Feed_Data(), Table_SourceData_Scope3_Feed[[#Headers],[Category]], -4, 2)</f>
        <v>kg</v>
      </c>
      <c r="H156" s="8" cm="1">
        <f t="array" ref="H156">Common_InputFunctions.Utility_DisplayArrayInTable(Scope3_SourceData.Scope3_Feed_Data(), Table_SourceData_Scope3_Feed[[#Headers],[Category]], -4, 2)</f>
        <v>6.5199999999999994E-2</v>
      </c>
      <c r="I156" s="8" t="str" cm="1">
        <f t="array" ref="I156">Common_InputFunctions.Utility_DisplayArrayInTable(Scope3_SourceData.Scope3_Feed_Data(), Table_SourceData_Scope3_Feed[[#Headers],[Category]], -4, 2)</f>
        <v>at market</v>
      </c>
      <c r="K156" s="10" t="str">
        <f>Table_SourceData_Scope3_Feed[[#This Row],[Product]]</f>
        <v>Bentonite</v>
      </c>
      <c r="L156" s="10" t="str">
        <f>Table_SourceData_Scope3_Feed[[#This Row],[Region of origin]]</f>
        <v>Australia</v>
      </c>
      <c r="N156" s="10" t="s">
        <v>212</v>
      </c>
      <c r="O156" s="10" t="s">
        <v>378</v>
      </c>
      <c r="P156" s="8" t="str">
        <f>"Table_ProductRegions_" &amp; SUBSTITUTE(SUBSTITUTE(SUBSTITUTE(SUBSTITUTE(N157, " ", ""), ",", ""), "(", ""), ")", "")</f>
        <v>Table_ProductRegions_Canolaoil</v>
      </c>
    </row>
    <row r="157" spans="4:16" ht="20.100000000000001" customHeight="1" x14ac:dyDescent="0.25">
      <c r="D157" s="8" t="str" cm="1">
        <f t="array" ref="D157">Common_InputFunctions.Utility_DisplayArrayInTable(Scope3_SourceData.Scope3_Feed_Data(), Table_SourceData_Scope3_Feed[[#Headers],[Category]], -4, 2)</f>
        <v>Other</v>
      </c>
      <c r="E157" s="8" t="str" cm="1">
        <f t="array" ref="E157">Common_InputFunctions.Utility_DisplayArrayInTable(Scope3_SourceData.Scope3_Feed_Data(), Table_SourceData_Scope3_Feed[[#Headers],[Category]], -4, 2)</f>
        <v>Canola oil</v>
      </c>
      <c r="F157" s="8" t="str" cm="1">
        <f t="array" ref="F157">Common_InputFunctions.Utility_DisplayArrayInTable(Scope3_SourceData.Scope3_Feed_Data(), Table_SourceData_Scope3_Feed[[#Headers],[Category]], -4, 2)</f>
        <v>Australia</v>
      </c>
      <c r="G157" s="8" t="str" cm="1">
        <f t="array" ref="G157">Common_InputFunctions.Utility_DisplayArrayInTable(Scope3_SourceData.Scope3_Feed_Data(), Table_SourceData_Scope3_Feed[[#Headers],[Category]], -4, 2)</f>
        <v>kg</v>
      </c>
      <c r="H157" s="8" cm="1">
        <f t="array" ref="H157">Common_InputFunctions.Utility_DisplayArrayInTable(Scope3_SourceData.Scope3_Feed_Data(), Table_SourceData_Scope3_Feed[[#Headers],[Category]], -4, 2)</f>
        <v>0.87</v>
      </c>
      <c r="I157" s="8" t="str" cm="1">
        <f t="array" ref="I157">Common_InputFunctions.Utility_DisplayArrayInTable(Scope3_SourceData.Scope3_Feed_Data(), Table_SourceData_Scope3_Feed[[#Headers],[Category]], -4, 2)</f>
        <v>at market</v>
      </c>
      <c r="K157" s="10" t="s">
        <v>212</v>
      </c>
      <c r="L157" s="10" t="s">
        <v>378</v>
      </c>
      <c r="M157" s="8" t="str">
        <f>"Table_ProductRegions_" &amp; SUBSTITUTE(SUBSTITUTE(SUBSTITUTE(SUBSTITUTE(K158, " ", ""), ",", ""), "(", ""), ")", "")</f>
        <v>Table_ProductRegions_Cottonseed</v>
      </c>
      <c r="N157" s="10" t="str">
        <f>Table_SourceData_Scope3_Feed[[#This Row],[Product]]</f>
        <v>Canola oil</v>
      </c>
      <c r="O157" s="10" t="str">
        <f>Table_SourceData_Scope3_Feed[[#This Row],[Region of origin]]</f>
        <v>Australia</v>
      </c>
    </row>
    <row r="158" spans="4:16" ht="20.100000000000001" customHeight="1" x14ac:dyDescent="0.25">
      <c r="D158" s="8" t="str" cm="1">
        <f t="array" ref="D158">Common_InputFunctions.Utility_DisplayArrayInTable(Scope3_SourceData.Scope3_Feed_Data(), Table_SourceData_Scope3_Feed[[#Headers],[Category]], -4, 2)</f>
        <v>Other</v>
      </c>
      <c r="E158" s="8" t="str" cm="1">
        <f t="array" ref="E158">Common_InputFunctions.Utility_DisplayArrayInTable(Scope3_SourceData.Scope3_Feed_Data(), Table_SourceData_Scope3_Feed[[#Headers],[Category]], -4, 2)</f>
        <v>Cotton seed</v>
      </c>
      <c r="F158" s="8" t="str" cm="1">
        <f t="array" ref="F158">Common_InputFunctions.Utility_DisplayArrayInTable(Scope3_SourceData.Scope3_Feed_Data(), Table_SourceData_Scope3_Feed[[#Headers],[Category]], -4, 2)</f>
        <v>Australia</v>
      </c>
      <c r="G158" s="8" t="str" cm="1">
        <f t="array" ref="G158">Common_InputFunctions.Utility_DisplayArrayInTable(Scope3_SourceData.Scope3_Feed_Data(), Table_SourceData_Scope3_Feed[[#Headers],[Category]], -4, 2)</f>
        <v>kg</v>
      </c>
      <c r="H158" s="8" cm="1">
        <f t="array" ref="H158">Common_InputFunctions.Utility_DisplayArrayInTable(Scope3_SourceData.Scope3_Feed_Data(), Table_SourceData_Scope3_Feed[[#Headers],[Category]], -4, 2)</f>
        <v>0.19700000000000001</v>
      </c>
      <c r="I158" s="8" t="str" cm="1">
        <f t="array" ref="I158">Common_InputFunctions.Utility_DisplayArrayInTable(Scope3_SourceData.Scope3_Feed_Data(), Table_SourceData_Scope3_Feed[[#Headers],[Category]], -4, 2)</f>
        <v>at market</v>
      </c>
      <c r="K158" s="10" t="str">
        <f>Table_SourceData_Scope3_Feed[[#This Row],[Product]]</f>
        <v>Cotton seed</v>
      </c>
      <c r="L158" s="10" t="str">
        <f>Table_SourceData_Scope3_Feed[[#This Row],[Region of origin]]</f>
        <v>Australia</v>
      </c>
      <c r="N158" s="10" t="s">
        <v>212</v>
      </c>
      <c r="O158" s="10" t="s">
        <v>378</v>
      </c>
      <c r="P158" s="8" t="str">
        <f>"Table_ProductRegions_" &amp; SUBSTITUTE(SUBSTITUTE(SUBSTITUTE(SUBSTITUTE(N159, " ", ""), ",", ""), "(", ""), ")", "")</f>
        <v>Table_ProductRegions_Molasses</v>
      </c>
    </row>
    <row r="159" spans="4:16" ht="20.100000000000001" customHeight="1" x14ac:dyDescent="0.25">
      <c r="D159" s="8" t="str" cm="1">
        <f t="array" ref="D159">Common_InputFunctions.Utility_DisplayArrayInTable(Scope3_SourceData.Scope3_Feed_Data(), Table_SourceData_Scope3_Feed[[#Headers],[Category]], -7, 2)</f>
        <v>Other</v>
      </c>
      <c r="E159" s="8" t="str" cm="1">
        <f t="array" ref="E159">Common_InputFunctions.Utility_DisplayArrayInTable(Scope3_SourceData.Scope3_Feed_Data(), Table_SourceData_Scope3_Feed[[#Headers],[Category]], -7, 2)</f>
        <v>Molasses</v>
      </c>
      <c r="F159" s="8" t="str" cm="1">
        <f t="array" ref="F159">Common_InputFunctions.Utility_DisplayArrayInTable(Scope3_SourceData.Scope3_Feed_Data(), Table_SourceData_Scope3_Feed[[#Headers],[Category]], -7, 2)</f>
        <v>QLD</v>
      </c>
      <c r="G159" s="8" t="str" cm="1">
        <f t="array" ref="G159">Common_InputFunctions.Utility_DisplayArrayInTable(Scope3_SourceData.Scope3_Feed_Data(), Table_SourceData_Scope3_Feed[[#Headers],[Category]], -7, 2)</f>
        <v>kg</v>
      </c>
      <c r="H159" s="8" cm="1">
        <f t="array" ref="H159">Common_InputFunctions.Utility_DisplayArrayInTable(Scope3_SourceData.Scope3_Feed_Data(), Table_SourceData_Scope3_Feed[[#Headers],[Category]], -7, 2)</f>
        <v>0.184</v>
      </c>
      <c r="I159" s="8" t="str" cm="1">
        <f t="array" ref="I159">Common_InputFunctions.Utility_DisplayArrayInTable(Scope3_SourceData.Scope3_Feed_Data(), Table_SourceData_Scope3_Feed[[#Headers],[Category]], -7, 2)</f>
        <v>at market</v>
      </c>
      <c r="N159" s="10" t="str">
        <f>Table_SourceData_Scope3_Feed[[#This Row],[Product]]</f>
        <v>Molasses</v>
      </c>
      <c r="O159" s="10" t="str">
        <f>Table_SourceData_Scope3_Feed[[#This Row],[Region of origin]]</f>
        <v>QLD</v>
      </c>
    </row>
    <row r="160" spans="4:16" ht="20.100000000000001" customHeight="1" x14ac:dyDescent="0.25"/>
    <row r="161" spans="4:13" ht="20.100000000000001" customHeight="1" x14ac:dyDescent="0.25">
      <c r="D161" s="10" t="s">
        <v>311</v>
      </c>
      <c r="E161" s="10" t="s">
        <v>212</v>
      </c>
      <c r="F161" s="10" t="s">
        <v>312</v>
      </c>
      <c r="G161" s="10" t="s">
        <v>278</v>
      </c>
      <c r="H161" s="10" t="s">
        <v>279</v>
      </c>
      <c r="I161" s="10" t="s">
        <v>354</v>
      </c>
    </row>
    <row r="162" spans="4:13" ht="20.100000000000001" customHeight="1" x14ac:dyDescent="0.25">
      <c r="D162" s="10" t="str" cm="1">
        <f t="array" ref="D162">Common_InputFunctions.Utility_DisplayArrayInTable(Scope3_SourceData.Scope3_Feed_Data(), Table_SourceData_Scope3_MixedRations[[#Headers],[Category]], -66, 2)</f>
        <v>Mixed rations</v>
      </c>
      <c r="E162" s="10" t="str" cm="1">
        <f t="array" ref="E162">Common_InputFunctions.Utility_DisplayArrayInTable(Scope3_SourceData.Scope3_Feed_Data(), Table_SourceData_Scope3_MixedRations[[#Headers],[Category]], -66, 2)</f>
        <v>Feed for chickens</v>
      </c>
      <c r="F162" s="10" t="str" cm="1">
        <f t="array" ref="F162">Common_InputFunctions.Utility_DisplayArrayInTable(Scope3_SourceData.Scope3_Feed_Data(), Table_SourceData_Scope3_MixedRations[[#Headers],[Category]], -66, 2)</f>
        <v>Australia</v>
      </c>
      <c r="G162" s="10" t="str" cm="1">
        <f t="array" ref="G162">Common_InputFunctions.Utility_DisplayArrayInTable(Scope3_SourceData.Scope3_Feed_Data(), Table_SourceData_Scope3_MixedRations[[#Headers],[Category]], -66, 2)</f>
        <v>kg</v>
      </c>
      <c r="H162" s="10" cm="1">
        <f t="array" ref="H162">Common_InputFunctions.Utility_DisplayArrayInTable(Scope3_SourceData.Scope3_Feed_Data(), Table_SourceData_Scope3_MixedRations[[#Headers],[Category]], -66, 2)</f>
        <v>0.59399999999999997</v>
      </c>
      <c r="I162" s="10" t="str" cm="1">
        <f t="array" ref="I162">Common_InputFunctions.Utility_DisplayArrayInTable(Scope3_SourceData.Scope3_Feed_Data(), Table_SourceData_Scope3_MixedRations[[#Headers],[Category]], -66, 2)</f>
        <v>at market</v>
      </c>
    </row>
    <row r="163" spans="4:13" ht="20.100000000000001" customHeight="1" x14ac:dyDescent="0.25">
      <c r="D163" s="10" t="str" cm="1">
        <f t="array" ref="D163">Common_InputFunctions.Utility_DisplayArrayInTable(Scope3_SourceData.Scope3_Feed_Data(), Table_SourceData_Scope3_MixedRations[[#Headers],[Category]], -66, 2)</f>
        <v>Mixed rations</v>
      </c>
      <c r="E163" s="10" t="str" cm="1">
        <f t="array" ref="E163">Common_InputFunctions.Utility_DisplayArrayInTable(Scope3_SourceData.Scope3_Feed_Data(), Table_SourceData_Scope3_MixedRations[[#Headers],[Category]], -66, 2)</f>
        <v>Feed for dairy calves</v>
      </c>
      <c r="F163" s="10" t="str" cm="1">
        <f t="array" ref="F163">Common_InputFunctions.Utility_DisplayArrayInTable(Scope3_SourceData.Scope3_Feed_Data(), Table_SourceData_Scope3_MixedRations[[#Headers],[Category]], -66, 2)</f>
        <v>Australia</v>
      </c>
      <c r="G163" s="10" t="str" cm="1">
        <f t="array" ref="G163">Common_InputFunctions.Utility_DisplayArrayInTable(Scope3_SourceData.Scope3_Feed_Data(), Table_SourceData_Scope3_MixedRations[[#Headers],[Category]], -66, 2)</f>
        <v>kg</v>
      </c>
      <c r="H163" s="10" cm="1">
        <f t="array" ref="H163">Common_InputFunctions.Utility_DisplayArrayInTable(Scope3_SourceData.Scope3_Feed_Data(), Table_SourceData_Scope3_MixedRations[[#Headers],[Category]], -66, 2)</f>
        <v>0.41899999999999998</v>
      </c>
      <c r="I163" s="10" t="str" cm="1">
        <f t="array" ref="I163">Common_InputFunctions.Utility_DisplayArrayInTable(Scope3_SourceData.Scope3_Feed_Data(), Table_SourceData_Scope3_MixedRations[[#Headers],[Category]], -66, 2)</f>
        <v>at market</v>
      </c>
    </row>
    <row r="164" spans="4:13" ht="20.100000000000001" customHeight="1" x14ac:dyDescent="0.25">
      <c r="D164" s="10" t="str" cm="1">
        <f t="array" ref="D164">Common_InputFunctions.Utility_DisplayArrayInTable(Scope3_SourceData.Scope3_Feed_Data(), Table_SourceData_Scope3_MixedRations[[#Headers],[Category]], -66, 2)</f>
        <v>Mixed rations</v>
      </c>
      <c r="E164" s="10" t="str" cm="1">
        <f t="array" ref="E164">Common_InputFunctions.Utility_DisplayArrayInTable(Scope3_SourceData.Scope3_Feed_Data(), Table_SourceData_Scope3_MixedRations[[#Headers],[Category]], -66, 2)</f>
        <v>Feed for dairy cows</v>
      </c>
      <c r="F164" s="10" t="str" cm="1">
        <f t="array" ref="F164">Common_InputFunctions.Utility_DisplayArrayInTable(Scope3_SourceData.Scope3_Feed_Data(), Table_SourceData_Scope3_MixedRations[[#Headers],[Category]], -66, 2)</f>
        <v>Australia</v>
      </c>
      <c r="G164" s="10" t="str" cm="1">
        <f t="array" ref="G164">Common_InputFunctions.Utility_DisplayArrayInTable(Scope3_SourceData.Scope3_Feed_Data(), Table_SourceData_Scope3_MixedRations[[#Headers],[Category]], -66, 2)</f>
        <v>kg</v>
      </c>
      <c r="H164" s="10" cm="1">
        <f t="array" ref="H164">Common_InputFunctions.Utility_DisplayArrayInTable(Scope3_SourceData.Scope3_Feed_Data(), Table_SourceData_Scope3_MixedRations[[#Headers],[Category]], -66, 2)</f>
        <v>0.33300000000000002</v>
      </c>
      <c r="I164" s="10" t="str" cm="1">
        <f t="array" ref="I164">Common_InputFunctions.Utility_DisplayArrayInTable(Scope3_SourceData.Scope3_Feed_Data(), Table_SourceData_Scope3_MixedRations[[#Headers],[Category]], -66, 2)</f>
        <v>at market</v>
      </c>
    </row>
    <row r="165" spans="4:13" ht="20.100000000000001" customHeight="1" x14ac:dyDescent="0.25">
      <c r="D165" s="10" t="str" cm="1">
        <f t="array" ref="D165">Common_InputFunctions.Utility_DisplayArrayInTable(Scope3_SourceData.Scope3_Feed_Data(), Table_SourceData_Scope3_MixedRations[[#Headers],[Category]], -66, 2)</f>
        <v>Mixed rations</v>
      </c>
      <c r="E165" s="10" t="str" cm="1">
        <f t="array" ref="E165">Common_InputFunctions.Utility_DisplayArrayInTable(Scope3_SourceData.Scope3_Feed_Data(), Table_SourceData_Scope3_MixedRations[[#Headers],[Category]], -66, 2)</f>
        <v>Feed for pigs</v>
      </c>
      <c r="F165" s="10" t="str" cm="1">
        <f t="array" ref="F165">Common_InputFunctions.Utility_DisplayArrayInTable(Scope3_SourceData.Scope3_Feed_Data(), Table_SourceData_Scope3_MixedRations[[#Headers],[Category]], -66, 2)</f>
        <v>Australia</v>
      </c>
      <c r="G165" s="10" t="str" cm="1">
        <f t="array" ref="G165">Common_InputFunctions.Utility_DisplayArrayInTable(Scope3_SourceData.Scope3_Feed_Data(), Table_SourceData_Scope3_MixedRations[[#Headers],[Category]], -66, 2)</f>
        <v>kg</v>
      </c>
      <c r="H165" s="10" cm="1">
        <f t="array" ref="H165">Common_InputFunctions.Utility_DisplayArrayInTable(Scope3_SourceData.Scope3_Feed_Data(), Table_SourceData_Scope3_MixedRations[[#Headers],[Category]], -66, 2)</f>
        <v>0.40300000000000002</v>
      </c>
      <c r="I165" s="10" t="str" cm="1">
        <f t="array" ref="I165">Common_InputFunctions.Utility_DisplayArrayInTable(Scope3_SourceData.Scope3_Feed_Data(), Table_SourceData_Scope3_MixedRations[[#Headers],[Category]], -66, 2)</f>
        <v>at market</v>
      </c>
    </row>
    <row r="166" spans="4:13" ht="20.100000000000001" customHeight="1" x14ac:dyDescent="0.25"/>
    <row r="167" spans="4:13" ht="20.100000000000001" customHeight="1" x14ac:dyDescent="0.25">
      <c r="D167" s="10" t="s">
        <v>311</v>
      </c>
      <c r="E167" s="10" t="s">
        <v>212</v>
      </c>
      <c r="F167" s="10" t="s">
        <v>312</v>
      </c>
      <c r="G167" s="10" t="s">
        <v>278</v>
      </c>
      <c r="H167" s="10" t="s">
        <v>279</v>
      </c>
      <c r="I167" s="10" t="s">
        <v>354</v>
      </c>
    </row>
    <row r="168" spans="4:13" ht="20.100000000000001" customHeight="1" x14ac:dyDescent="0.25">
      <c r="D168" s="10" t="str" cm="1">
        <f t="array" ref="D168">Common_InputFunctions.Utility_DisplayArrayInTable(Scope3_SourceData.Scope3_Feed_Data(), Table_SourceData_Scope3_LickBlocks[[#Headers],[Category]], -73, 2)</f>
        <v>Other</v>
      </c>
      <c r="E168" s="10" t="str" cm="1">
        <f t="array" ref="E168">Common_InputFunctions.Utility_DisplayArrayInTable(Scope3_SourceData.Scope3_Feed_Data(), Table_SourceData_Scope3_LickBlocks[[#Headers],[Category]], -73, 2)</f>
        <v>Lick block, dry season mix</v>
      </c>
      <c r="F168" s="10" t="str" cm="1">
        <f t="array" ref="F168">Common_InputFunctions.Utility_DisplayArrayInTable(Scope3_SourceData.Scope3_Feed_Data(), Table_SourceData_Scope3_LickBlocks[[#Headers],[Category]], -73, 2)</f>
        <v>Australia</v>
      </c>
      <c r="G168" s="10" t="str" cm="1">
        <f t="array" ref="G168">Common_InputFunctions.Utility_DisplayArrayInTable(Scope3_SourceData.Scope3_Feed_Data(), Table_SourceData_Scope3_LickBlocks[[#Headers],[Category]], -73, 2)</f>
        <v>kg</v>
      </c>
      <c r="H168" s="10" cm="1">
        <f t="array" ref="H168">Common_InputFunctions.Utility_DisplayArrayInTable(Scope3_SourceData.Scope3_Feed_Data(), Table_SourceData_Scope3_LickBlocks[[#Headers],[Category]], -73, 2)</f>
        <v>0.88100000000000001</v>
      </c>
      <c r="I168" s="10" t="str" cm="1">
        <f t="array" ref="I168">Common_InputFunctions.Utility_DisplayArrayInTable(Scope3_SourceData.Scope3_Feed_Data(), Table_SourceData_Scope3_LickBlocks[[#Headers],[Category]], -73, 2)</f>
        <v>at market</v>
      </c>
    </row>
    <row r="169" spans="4:13" ht="20.100000000000001" customHeight="1" x14ac:dyDescent="0.25">
      <c r="D169" s="10" t="str" cm="1">
        <f t="array" ref="D169">Common_InputFunctions.Utility_DisplayArrayInTable(Scope3_SourceData.Scope3_Feed_Data(), Table_SourceData_Scope3_LickBlocks[[#Headers],[Category]], -73, 2)</f>
        <v>Other</v>
      </c>
      <c r="E169" s="10" t="str" cm="1">
        <f t="array" ref="E169">Common_InputFunctions.Utility_DisplayArrayInTable(Scope3_SourceData.Scope3_Feed_Data(), Table_SourceData_Scope3_LickBlocks[[#Headers],[Category]], -73, 2)</f>
        <v>Lick block, mineral</v>
      </c>
      <c r="F169" s="10" t="str" cm="1">
        <f t="array" ref="F169">Common_InputFunctions.Utility_DisplayArrayInTable(Scope3_SourceData.Scope3_Feed_Data(), Table_SourceData_Scope3_LickBlocks[[#Headers],[Category]], -73, 2)</f>
        <v>Australia</v>
      </c>
      <c r="G169" s="10" t="str" cm="1">
        <f t="array" ref="G169">Common_InputFunctions.Utility_DisplayArrayInTable(Scope3_SourceData.Scope3_Feed_Data(), Table_SourceData_Scope3_LickBlocks[[#Headers],[Category]], -73, 2)</f>
        <v>kg</v>
      </c>
      <c r="H169" s="10" cm="1">
        <f t="array" ref="H169">Common_InputFunctions.Utility_DisplayArrayInTable(Scope3_SourceData.Scope3_Feed_Data(), Table_SourceData_Scope3_LickBlocks[[#Headers],[Category]], -73, 2)</f>
        <v>0.67700000000000005</v>
      </c>
      <c r="I169" s="10" t="str" cm="1">
        <f t="array" ref="I169">Common_InputFunctions.Utility_DisplayArrayInTable(Scope3_SourceData.Scope3_Feed_Data(), Table_SourceData_Scope3_LickBlocks[[#Headers],[Category]], -73, 2)</f>
        <v>at market</v>
      </c>
    </row>
    <row r="170" spans="4:13" ht="20.100000000000001" customHeight="1" x14ac:dyDescent="0.25">
      <c r="D170" s="10" t="str" cm="1">
        <f t="array" ref="D170">Common_InputFunctions.Utility_DisplayArrayInTable(Scope3_SourceData.Scope3_Feed_Data(), Table_SourceData_Scope3_LickBlocks[[#Headers],[Category]], -73, 2)</f>
        <v>Other</v>
      </c>
      <c r="E170" s="10" t="str" cm="1">
        <f t="array" ref="E170">Common_InputFunctions.Utility_DisplayArrayInTable(Scope3_SourceData.Scope3_Feed_Data(), Table_SourceData_Scope3_LickBlocks[[#Headers],[Category]], -73, 2)</f>
        <v>Lick block, weaner</v>
      </c>
      <c r="F170" s="10" t="str" cm="1">
        <f t="array" ref="F170">Common_InputFunctions.Utility_DisplayArrayInTable(Scope3_SourceData.Scope3_Feed_Data(), Table_SourceData_Scope3_LickBlocks[[#Headers],[Category]], -73, 2)</f>
        <v>Australia</v>
      </c>
      <c r="G170" s="10" t="str" cm="1">
        <f t="array" ref="G170">Common_InputFunctions.Utility_DisplayArrayInTable(Scope3_SourceData.Scope3_Feed_Data(), Table_SourceData_Scope3_LickBlocks[[#Headers],[Category]], -73, 2)</f>
        <v>kg</v>
      </c>
      <c r="H170" s="10" cm="1">
        <f t="array" ref="H170">Common_InputFunctions.Utility_DisplayArrayInTable(Scope3_SourceData.Scope3_Feed_Data(), Table_SourceData_Scope3_LickBlocks[[#Headers],[Category]], -73, 2)</f>
        <v>0.23100000000000001</v>
      </c>
      <c r="I170" s="10" t="str" cm="1">
        <f t="array" ref="I170">Common_InputFunctions.Utility_DisplayArrayInTable(Scope3_SourceData.Scope3_Feed_Data(), Table_SourceData_Scope3_LickBlocks[[#Headers],[Category]], -73, 2)</f>
        <v>at market</v>
      </c>
    </row>
    <row r="171" spans="4:13" ht="20.100000000000001" customHeight="1" x14ac:dyDescent="0.25"/>
    <row r="172" spans="4:13" ht="20.100000000000001" customHeight="1" x14ac:dyDescent="0.25">
      <c r="D172" s="9" t="s">
        <v>342</v>
      </c>
    </row>
    <row r="173" spans="4:13" ht="20.100000000000001" customHeight="1" x14ac:dyDescent="0.25">
      <c r="D173" s="10" t="s">
        <v>311</v>
      </c>
      <c r="E173" s="10" t="s">
        <v>212</v>
      </c>
      <c r="F173" s="10" t="s">
        <v>312</v>
      </c>
      <c r="G173" s="10" t="s">
        <v>276</v>
      </c>
      <c r="H173" s="10" t="s">
        <v>171</v>
      </c>
      <c r="I173" s="10" t="s">
        <v>172</v>
      </c>
      <c r="J173" s="10" t="s">
        <v>277</v>
      </c>
      <c r="K173" s="10" t="s">
        <v>278</v>
      </c>
      <c r="L173" s="10" t="s">
        <v>279</v>
      </c>
      <c r="M173" s="10" t="s">
        <v>354</v>
      </c>
    </row>
    <row r="174" spans="4:13" ht="20.100000000000001" customHeight="1" x14ac:dyDescent="0.25">
      <c r="D174" s="10" t="str" cm="1">
        <f t="array" ref="D174">Common_InputFunctions.Utility_DisplayArrayInTable(Scope3_SourceData.Scope3_InorganicFertilisers_Data(), Table_SourceData_Scope3_InorganicFertiliser[[#Headers],[Category]], 0, 2)</f>
        <v>Inorganic fertilisers</v>
      </c>
      <c r="E174" s="10" t="str" cm="1">
        <f t="array" ref="E174">Common_InputFunctions.Utility_DisplayArrayInTable(Scope3_SourceData.Scope3_InorganicFertilisers_Data(), Table_SourceData_Scope3_InorganicFertiliser[[#Headers],[Category]], 0, 2)</f>
        <v>Ammonia, AU market mix</v>
      </c>
      <c r="F174" s="10" t="str" cm="1">
        <f t="array" ref="F174">Common_InputFunctions.Utility_DisplayArrayInTable(Scope3_SourceData.Scope3_InorganicFertilisers_Data(), Table_SourceData_Scope3_InorganicFertiliser[[#Headers],[Category]], 0, 2)</f>
        <v>Global</v>
      </c>
      <c r="G174" s="10" t="str">
        <f>'Constants - Fertiliser'!$D$37</f>
        <v>Ammonia</v>
      </c>
      <c r="H174" s="10"/>
      <c r="I174" s="10" t="str">
        <f>'Constants - Fertiliser'!$V$20</f>
        <v>Global</v>
      </c>
      <c r="J174" s="10"/>
      <c r="K174" s="10" t="str" cm="1">
        <f t="array" ref="K174">Common_InputFunctions.Utility_DisplayArrayInTable(Scope3_SourceData.Scope3_InorganicFertilisers_Data(), Table_SourceData_Scope3_InorganicFertiliser[[#Headers],[Category]], 0, -2)</f>
        <v>kg</v>
      </c>
      <c r="L174" s="10" cm="1">
        <f t="array" ref="L174">Common_InputFunctions.Utility_DisplayArrayInTable(Scope3_SourceData.Scope3_InorganicFertilisers_Data(), Table_SourceData_Scope3_InorganicFertiliser[[#Headers],[Category]], 0, -2)</f>
        <v>2.3199999999999998</v>
      </c>
      <c r="M174" s="10" t="str" cm="1">
        <f t="array" ref="M174">Common_InputFunctions.Utility_DisplayArrayInTable(Scope3_SourceData.Scope3_InorganicFertilisers_Data(), Table_SourceData_Scope3_InorganicFertiliser[[#Headers],[Category]], 0, -2)</f>
        <v>at market</v>
      </c>
    </row>
    <row r="175" spans="4:13" ht="20.100000000000001" customHeight="1" x14ac:dyDescent="0.25">
      <c r="D175" s="10" t="str" cm="1">
        <f t="array" ref="D175">Common_InputFunctions.Utility_DisplayArrayInTable(Scope3_SourceData.Scope3_InorganicFertilisers_Data(), Table_SourceData_Scope3_InorganicFertiliser[[#Headers],[Category]], 0, 2)</f>
        <v>Inorganic fertilisers</v>
      </c>
      <c r="E175" s="10" t="str" cm="1">
        <f t="array" ref="E175">Common_InputFunctions.Utility_DisplayArrayInTable(Scope3_SourceData.Scope3_InorganicFertilisers_Data(), Table_SourceData_Scope3_InorganicFertiliser[[#Headers],[Category]], 0, 2)</f>
        <v>Ammonia, Canada</v>
      </c>
      <c r="F175" s="10" t="str" cm="1">
        <f t="array" ref="F175">Common_InputFunctions.Utility_DisplayArrayInTable(Scope3_SourceData.Scope3_InorganicFertilisers_Data(), Table_SourceData_Scope3_InorganicFertiliser[[#Headers],[Category]], 0, 2)</f>
        <v>Canada</v>
      </c>
      <c r="G175" s="10" t="str">
        <f>'Constants - Fertiliser'!$D$37</f>
        <v>Ammonia</v>
      </c>
      <c r="H175" s="10"/>
      <c r="I175" s="10" t="str">
        <f>'Constants - Fertiliser'!$V$21</f>
        <v>Canada</v>
      </c>
      <c r="J175" s="10"/>
      <c r="K175" s="10" t="str" cm="1">
        <f t="array" ref="K175">Common_InputFunctions.Utility_DisplayArrayInTable(Scope3_SourceData.Scope3_InorganicFertilisers_Data(), Table_SourceData_Scope3_InorganicFertiliser[[#Headers],[Category]], 0, -2)</f>
        <v>kg</v>
      </c>
      <c r="L175" s="10" cm="1">
        <f t="array" ref="L175">Common_InputFunctions.Utility_DisplayArrayInTable(Scope3_SourceData.Scope3_InorganicFertilisers_Data(), Table_SourceData_Scope3_InorganicFertiliser[[#Headers],[Category]], 0, -2)</f>
        <v>2.12</v>
      </c>
      <c r="M175" s="10" t="str" cm="1">
        <f t="array" ref="M175">Common_InputFunctions.Utility_DisplayArrayInTable(Scope3_SourceData.Scope3_InorganicFertilisers_Data(), Table_SourceData_Scope3_InorganicFertiliser[[#Headers],[Category]], 0, -2)</f>
        <v>at market</v>
      </c>
    </row>
    <row r="176" spans="4:13" ht="20.100000000000001" customHeight="1" x14ac:dyDescent="0.25">
      <c r="D176" s="10" t="str" cm="1">
        <f t="array" ref="D176">Common_InputFunctions.Utility_DisplayArrayInTable(Scope3_SourceData.Scope3_InorganicFertilisers_Data(), Table_SourceData_Scope3_InorganicFertiliser[[#Headers],[Category]], 0, 2)</f>
        <v>Inorganic fertilisers</v>
      </c>
      <c r="E176" s="10" t="str" cm="1">
        <f t="array" ref="E176">Common_InputFunctions.Utility_DisplayArrayInTable(Scope3_SourceData.Scope3_InorganicFertilisers_Data(), Table_SourceData_Scope3_InorganicFertiliser[[#Headers],[Category]], 0, 2)</f>
        <v>Ammonia, China</v>
      </c>
      <c r="F176" s="10" t="str" cm="1">
        <f t="array" ref="F176">Common_InputFunctions.Utility_DisplayArrayInTable(Scope3_SourceData.Scope3_InorganicFertilisers_Data(), Table_SourceData_Scope3_InorganicFertiliser[[#Headers],[Category]], 0, 2)</f>
        <v>China</v>
      </c>
      <c r="G176" s="10" t="str">
        <f>'Constants - Fertiliser'!$D$37</f>
        <v>Ammonia</v>
      </c>
      <c r="H176" s="10"/>
      <c r="I176" s="10" t="str">
        <f>'Constants - Fertiliser'!$V$22</f>
        <v>China</v>
      </c>
      <c r="J176" s="10"/>
      <c r="K176" s="10" t="str" cm="1">
        <f t="array" ref="K176">Common_InputFunctions.Utility_DisplayArrayInTable(Scope3_SourceData.Scope3_InorganicFertilisers_Data(), Table_SourceData_Scope3_InorganicFertiliser[[#Headers],[Category]], 0, -2)</f>
        <v>kg</v>
      </c>
      <c r="L176" s="10" cm="1">
        <f t="array" ref="L176">Common_InputFunctions.Utility_DisplayArrayInTable(Scope3_SourceData.Scope3_InorganicFertilisers_Data(), Table_SourceData_Scope3_InorganicFertiliser[[#Headers],[Category]], 0, -2)</f>
        <v>4.17</v>
      </c>
      <c r="M176" s="10" t="str" cm="1">
        <f t="array" ref="M176">Common_InputFunctions.Utility_DisplayArrayInTable(Scope3_SourceData.Scope3_InorganicFertilisers_Data(), Table_SourceData_Scope3_InorganicFertiliser[[#Headers],[Category]], 0, -2)</f>
        <v>at market</v>
      </c>
    </row>
    <row r="177" spans="4:16" ht="20.100000000000001" customHeight="1" x14ac:dyDescent="0.25">
      <c r="D177" s="10" t="str" cm="1">
        <f t="array" ref="D177">Common_InputFunctions.Utility_DisplayArrayInTable(Scope3_SourceData.Scope3_InorganicFertilisers_Data(), Table_SourceData_Scope3_InorganicFertiliser[[#Headers],[Category]], 0, 2)</f>
        <v>Inorganic fertilisers</v>
      </c>
      <c r="E177" s="10" t="str" cm="1">
        <f t="array" ref="E177">Common_InputFunctions.Utility_DisplayArrayInTable(Scope3_SourceData.Scope3_InorganicFertilisers_Data(), Table_SourceData_Scope3_InorganicFertiliser[[#Headers],[Category]], 0, 2)</f>
        <v>Ammonia, Yemen</v>
      </c>
      <c r="F177" s="10" t="str" cm="1">
        <f t="array" ref="F177">Common_InputFunctions.Utility_DisplayArrayInTable(Scope3_SourceData.Scope3_InorganicFertilisers_Data(), Table_SourceData_Scope3_InorganicFertiliser[[#Headers],[Category]], 0, 2)</f>
        <v>Yemen</v>
      </c>
      <c r="G177" s="10" t="str">
        <f>'Constants - Fertiliser'!$D$37</f>
        <v>Ammonia</v>
      </c>
      <c r="H177" s="10"/>
      <c r="I177" s="10" t="str">
        <f>'Constants - Fertiliser'!$V$23</f>
        <v>Yemen</v>
      </c>
      <c r="J177" s="10"/>
      <c r="K177" s="10" t="str" cm="1">
        <f t="array" ref="K177">Common_InputFunctions.Utility_DisplayArrayInTable(Scope3_SourceData.Scope3_InorganicFertilisers_Data(), Table_SourceData_Scope3_InorganicFertiliser[[#Headers],[Category]], 0, -2)</f>
        <v>kg</v>
      </c>
      <c r="L177" s="10" cm="1">
        <f t="array" ref="L177">Common_InputFunctions.Utility_DisplayArrayInTable(Scope3_SourceData.Scope3_InorganicFertilisers_Data(), Table_SourceData_Scope3_InorganicFertiliser[[#Headers],[Category]], 0, -2)</f>
        <v>2.2599999999999998</v>
      </c>
      <c r="M177" s="10" t="str" cm="1">
        <f t="array" ref="M177">Common_InputFunctions.Utility_DisplayArrayInTable(Scope3_SourceData.Scope3_InorganicFertilisers_Data(), Table_SourceData_Scope3_InorganicFertiliser[[#Headers],[Category]], 0, -2)</f>
        <v>at market</v>
      </c>
    </row>
    <row r="178" spans="4:16" ht="20.100000000000001" customHeight="1" x14ac:dyDescent="0.25">
      <c r="D178" s="10" t="str" cm="1">
        <f t="array" ref="D178">Common_InputFunctions.Utility_DisplayArrayInTable(Scope3_SourceData.Scope3_InorganicFertilisers_Data(), Table_SourceData_Scope3_InorganicFertiliser[[#Headers],[Category]], 0, 2)</f>
        <v>Inorganic fertilisers</v>
      </c>
      <c r="E178" s="10" t="str" cm="1">
        <f t="array" ref="E178">Common_InputFunctions.Utility_DisplayArrayInTable(Scope3_SourceData.Scope3_InorganicFertilisers_Data(), Table_SourceData_Scope3_InorganicFertiliser[[#Headers],[Category]], 0, 2)</f>
        <v>Ammonium nitrate, AU market mix</v>
      </c>
      <c r="F178" s="10" t="str" cm="1">
        <f t="array" ref="F178">Common_InputFunctions.Utility_DisplayArrayInTable(Scope3_SourceData.Scope3_InorganicFertilisers_Data(), Table_SourceData_Scope3_InorganicFertiliser[[#Headers],[Category]], 0, 2)</f>
        <v>Global</v>
      </c>
      <c r="G178" s="10" t="str">
        <f>'Constants - Fertiliser'!$D$25</f>
        <v>Ammonium nitrate (AN)</v>
      </c>
      <c r="H178" s="10"/>
      <c r="I178" s="10"/>
      <c r="J178" s="10"/>
      <c r="K178" s="10" t="str" cm="1">
        <f t="array" ref="K178">Common_InputFunctions.Utility_DisplayArrayInTable(Scope3_SourceData.Scope3_InorganicFertilisers_Data(), Table_SourceData_Scope3_InorganicFertiliser[[#Headers],[Category]], 0, -2)</f>
        <v>kg</v>
      </c>
      <c r="L178" s="10" cm="1">
        <f t="array" ref="L178">Common_InputFunctions.Utility_DisplayArrayInTable(Scope3_SourceData.Scope3_InorganicFertilisers_Data(), Table_SourceData_Scope3_InorganicFertiliser[[#Headers],[Category]], 0, -2)</f>
        <v>2.21</v>
      </c>
      <c r="M178" s="10" t="str" cm="1">
        <f t="array" ref="M178">Common_InputFunctions.Utility_DisplayArrayInTable(Scope3_SourceData.Scope3_InorganicFertilisers_Data(), Table_SourceData_Scope3_InorganicFertiliser[[#Headers],[Category]], 0, -2)</f>
        <v>at market</v>
      </c>
    </row>
    <row r="179" spans="4:16" ht="20.100000000000001" customHeight="1" x14ac:dyDescent="0.25">
      <c r="D179" s="10" t="str" cm="1">
        <f t="array" ref="D179">Common_InputFunctions.Utility_DisplayArrayInTable(Scope3_SourceData.Scope3_InorganicFertilisers_Data(), Table_SourceData_Scope3_InorganicFertiliser[[#Headers],[Category]], 0, 2)</f>
        <v>Inorganic fertilisers</v>
      </c>
      <c r="E179" s="10" t="str" cm="1">
        <f t="array" ref="E179">Common_InputFunctions.Utility_DisplayArrayInTable(Scope3_SourceData.Scope3_InorganicFertilisers_Data(), Table_SourceData_Scope3_InorganicFertiliser[[#Headers],[Category]], 0, 2)</f>
        <v>Calcium ammonium nitrate, AU market mix</v>
      </c>
      <c r="F179" s="10" t="str" cm="1">
        <f t="array" ref="F179">Common_InputFunctions.Utility_DisplayArrayInTable(Scope3_SourceData.Scope3_InorganicFertilisers_Data(), Table_SourceData_Scope3_InorganicFertiliser[[#Headers],[Category]], 0, 2)</f>
        <v>Global</v>
      </c>
      <c r="G179" s="10" t="str">
        <f>'Constants - Fertiliser'!$D$26</f>
        <v>Calcium ammonium nitrate (CAN)</v>
      </c>
      <c r="H179" s="10"/>
      <c r="I179" s="10"/>
      <c r="J179" s="10"/>
      <c r="K179" s="10" t="str" cm="1">
        <f t="array" ref="K179">Common_InputFunctions.Utility_DisplayArrayInTable(Scope3_SourceData.Scope3_InorganicFertilisers_Data(), Table_SourceData_Scope3_InorganicFertiliser[[#Headers],[Category]], 0, -2)</f>
        <v>kg</v>
      </c>
      <c r="L179" s="10" cm="1">
        <f t="array" ref="L179">Common_InputFunctions.Utility_DisplayArrayInTable(Scope3_SourceData.Scope3_InorganicFertilisers_Data(), Table_SourceData_Scope3_InorganicFertiliser[[#Headers],[Category]], 0, -2)</f>
        <v>1.1499999999999999</v>
      </c>
      <c r="M179" s="10" t="str" cm="1">
        <f t="array" ref="M179">Common_InputFunctions.Utility_DisplayArrayInTable(Scope3_SourceData.Scope3_InorganicFertilisers_Data(), Table_SourceData_Scope3_InorganicFertiliser[[#Headers],[Category]], 0, -2)</f>
        <v>at market</v>
      </c>
    </row>
    <row r="180" spans="4:16" ht="20.100000000000001" customHeight="1" x14ac:dyDescent="0.25">
      <c r="D180" s="10" t="str" cm="1">
        <f t="array" ref="D180">Common_InputFunctions.Utility_DisplayArrayInTable(Scope3_SourceData.Scope3_InorganicFertilisers_Data(), Table_SourceData_Scope3_InorganicFertiliser[[#Headers],[Category]], 0, 2)</f>
        <v>Inorganic fertilisers</v>
      </c>
      <c r="E180" s="10" t="str" cm="1">
        <f t="array" ref="E180">Common_InputFunctions.Utility_DisplayArrayInTable(Scope3_SourceData.Scope3_InorganicFertilisers_Data(), Table_SourceData_Scope3_InorganicFertiliser[[#Headers],[Category]], 0, 2)</f>
        <v>Calcium nitrate</v>
      </c>
      <c r="F180" s="10" t="str" cm="1">
        <f t="array" ref="F180">Common_InputFunctions.Utility_DisplayArrayInTable(Scope3_SourceData.Scope3_InorganicFertilisers_Data(), Table_SourceData_Scope3_InorganicFertiliser[[#Headers],[Category]], 0, 2)</f>
        <v>Global</v>
      </c>
      <c r="G180" s="10" t="str">
        <f>'Constants - Fertiliser'!$D$38</f>
        <v>Calcium nitrate</v>
      </c>
      <c r="H180" s="10"/>
      <c r="I180" s="10"/>
      <c r="J180" s="10"/>
      <c r="K180" s="10" t="str" cm="1">
        <f t="array" ref="K180">Common_InputFunctions.Utility_DisplayArrayInTable(Scope3_SourceData.Scope3_InorganicFertilisers_Data(), Table_SourceData_Scope3_InorganicFertiliser[[#Headers],[Category]], 0, -2)</f>
        <v>kg</v>
      </c>
      <c r="L180" s="10" cm="1">
        <f t="array" ref="L180">Common_InputFunctions.Utility_DisplayArrayInTable(Scope3_SourceData.Scope3_InorganicFertilisers_Data(), Table_SourceData_Scope3_InorganicFertiliser[[#Headers],[Category]], 0, -2)</f>
        <v>0.75</v>
      </c>
      <c r="M180" s="10" t="str" cm="1">
        <f t="array" ref="M180">Common_InputFunctions.Utility_DisplayArrayInTable(Scope3_SourceData.Scope3_InorganicFertilisers_Data(), Table_SourceData_Scope3_InorganicFertiliser[[#Headers],[Category]], 0, -2)</f>
        <v>at market</v>
      </c>
    </row>
    <row r="181" spans="4:16" ht="20.100000000000001" customHeight="1" x14ac:dyDescent="0.25">
      <c r="D181" s="10" t="str" cm="1">
        <f t="array" ref="D181">Common_InputFunctions.Utility_DisplayArrayInTable(Scope3_SourceData.Scope3_InorganicFertilisers_Data(), Table_SourceData_Scope3_InorganicFertiliser[[#Headers],[Category]], 0, 2)</f>
        <v>Inorganic fertilisers</v>
      </c>
      <c r="E181" s="10" t="str" cm="1">
        <f t="array" ref="E181">Common_InputFunctions.Utility_DisplayArrayInTable(Scope3_SourceData.Scope3_InorganicFertilisers_Data(), Table_SourceData_Scope3_InorganicFertiliser[[#Headers],[Category]], 0, 2)</f>
        <v>Diammonium phosphate, AU market mix</v>
      </c>
      <c r="F181" s="10" t="str" cm="1">
        <f t="array" ref="F181">Common_InputFunctions.Utility_DisplayArrayInTable(Scope3_SourceData.Scope3_InorganicFertilisers_Data(), Table_SourceData_Scope3_InorganicFertiliser[[#Headers],[Category]], 0, 2)</f>
        <v>Global</v>
      </c>
      <c r="G181" s="10" t="str">
        <f>'Constants - Fertiliser'!$D$21</f>
        <v>Diammonium phosphate (DAP)</v>
      </c>
      <c r="H181" s="10"/>
      <c r="I181" s="10"/>
      <c r="J181" s="10"/>
      <c r="K181" s="10" t="str" cm="1">
        <f t="array" ref="K181">Common_InputFunctions.Utility_DisplayArrayInTable(Scope3_SourceData.Scope3_InorganicFertilisers_Data(), Table_SourceData_Scope3_InorganicFertiliser[[#Headers],[Category]], 0, -2)</f>
        <v>kg</v>
      </c>
      <c r="L181" s="10" cm="1">
        <f t="array" ref="L181">Common_InputFunctions.Utility_DisplayArrayInTable(Scope3_SourceData.Scope3_InorganicFertilisers_Data(), Table_SourceData_Scope3_InorganicFertiliser[[#Headers],[Category]], 0, -2)</f>
        <v>1.34</v>
      </c>
      <c r="M181" s="10" t="str" cm="1">
        <f t="array" ref="M181">Common_InputFunctions.Utility_DisplayArrayInTable(Scope3_SourceData.Scope3_InorganicFertilisers_Data(), Table_SourceData_Scope3_InorganicFertiliser[[#Headers],[Category]], 0, -2)</f>
        <v>at market</v>
      </c>
    </row>
    <row r="182" spans="4:16" ht="20.100000000000001" customHeight="1" x14ac:dyDescent="0.25">
      <c r="D182" s="10" t="str" cm="1">
        <f t="array" ref="D182">Common_InputFunctions.Utility_DisplayArrayInTable(Scope3_SourceData.Scope3_InorganicFertilisers_Data(), Table_SourceData_Scope3_InorganicFertiliser[[#Headers],[Category]], 0, 2)</f>
        <v>Inorganic fertilisers</v>
      </c>
      <c r="E182" s="10" t="str" cm="1">
        <f t="array" ref="E182">Common_InputFunctions.Utility_DisplayArrayInTable(Scope3_SourceData.Scope3_InorganicFertilisers_Data(), Table_SourceData_Scope3_InorganicFertiliser[[#Headers],[Category]], 0, 2)</f>
        <v>Double superphosphate, AU market mix</v>
      </c>
      <c r="F182" s="10" t="str" cm="1">
        <f t="array" ref="F182">Common_InputFunctions.Utility_DisplayArrayInTable(Scope3_SourceData.Scope3_InorganicFertilisers_Data(), Table_SourceData_Scope3_InorganicFertiliser[[#Headers],[Category]], 0, 2)</f>
        <v>Global</v>
      </c>
      <c r="G182" s="10" t="str">
        <f>'Constants - Fertiliser'!$D$35</f>
        <v>Double superphosphate</v>
      </c>
      <c r="H182" s="10"/>
      <c r="I182" s="10"/>
      <c r="J182" s="10"/>
      <c r="K182" s="10" t="str" cm="1">
        <f t="array" ref="K182">Common_InputFunctions.Utility_DisplayArrayInTable(Scope3_SourceData.Scope3_InorganicFertilisers_Data(), Table_SourceData_Scope3_InorganicFertiliser[[#Headers],[Category]], 0, -2)</f>
        <v>kg</v>
      </c>
      <c r="L182" s="10" cm="1">
        <f t="array" ref="L182">Common_InputFunctions.Utility_DisplayArrayInTable(Scope3_SourceData.Scope3_InorganicFertilisers_Data(), Table_SourceData_Scope3_InorganicFertiliser[[#Headers],[Category]], 0, -2)</f>
        <v>0.39200000000000002</v>
      </c>
      <c r="M182" s="10" t="str" cm="1">
        <f t="array" ref="M182">Common_InputFunctions.Utility_DisplayArrayInTable(Scope3_SourceData.Scope3_InorganicFertilisers_Data(), Table_SourceData_Scope3_InorganicFertiliser[[#Headers],[Category]], 0, -2)</f>
        <v>at market</v>
      </c>
    </row>
    <row r="183" spans="4:16" ht="20.100000000000001" customHeight="1" x14ac:dyDescent="0.25">
      <c r="D183" s="10" t="str" cm="1">
        <f t="array" ref="D183">Common_InputFunctions.Utility_DisplayArrayInTable(Scope3_SourceData.Scope3_InorganicFertilisers_Data(), Table_SourceData_Scope3_InorganicFertiliser[[#Headers],[Category]], 0, 2)</f>
        <v>Inorganic fertilisers</v>
      </c>
      <c r="E183" s="10" t="str" cm="1">
        <f t="array" ref="E183">Common_InputFunctions.Utility_DisplayArrayInTable(Scope3_SourceData.Scope3_InorganicFertilisers_Data(), Table_SourceData_Scope3_InorganicFertiliser[[#Headers],[Category]], 0, 2)</f>
        <v>Monoammonium phosphate, AU market mix</v>
      </c>
      <c r="F183" s="10" t="str" cm="1">
        <f t="array" ref="F183">Common_InputFunctions.Utility_DisplayArrayInTable(Scope3_SourceData.Scope3_InorganicFertilisers_Data(), Table_SourceData_Scope3_InorganicFertiliser[[#Headers],[Category]], 0, 2)</f>
        <v>Global</v>
      </c>
      <c r="G183" s="10" t="str">
        <f>'Constants - Fertiliser'!$D$20</f>
        <v>Monoammonium phosphate (MAP)</v>
      </c>
      <c r="H183" s="10"/>
      <c r="I183" s="10"/>
      <c r="J183" s="10"/>
      <c r="K183" s="10" t="str" cm="1">
        <f t="array" ref="K183">Common_InputFunctions.Utility_DisplayArrayInTable(Scope3_SourceData.Scope3_InorganicFertilisers_Data(), Table_SourceData_Scope3_InorganicFertiliser[[#Headers],[Category]], 0, -2)</f>
        <v>kg</v>
      </c>
      <c r="L183" s="10" cm="1">
        <f t="array" ref="L183">Common_InputFunctions.Utility_DisplayArrayInTable(Scope3_SourceData.Scope3_InorganicFertilisers_Data(), Table_SourceData_Scope3_InorganicFertiliser[[#Headers],[Category]], 0, -2)</f>
        <v>0.82699999999999996</v>
      </c>
      <c r="M183" s="10" t="str" cm="1">
        <f t="array" ref="M183">Common_InputFunctions.Utility_DisplayArrayInTable(Scope3_SourceData.Scope3_InorganicFertilisers_Data(), Table_SourceData_Scope3_InorganicFertiliser[[#Headers],[Category]], 0, -2)</f>
        <v>at market</v>
      </c>
    </row>
    <row r="184" spans="4:16" ht="20.100000000000001" customHeight="1" x14ac:dyDescent="0.25">
      <c r="D184" s="10" t="str" cm="1">
        <f t="array" ref="D184">Common_InputFunctions.Utility_DisplayArrayInTable(Scope3_SourceData.Scope3_InorganicFertilisers_Data(), Table_SourceData_Scope3_InorganicFertiliser[[#Headers],[Category]], 0, 2)</f>
        <v>Inorganic fertilisers</v>
      </c>
      <c r="E184" s="10" t="str" cm="1">
        <f t="array" ref="E184">Common_InputFunctions.Utility_DisplayArrayInTable(Scope3_SourceData.Scope3_InorganicFertilisers_Data(), Table_SourceData_Scope3_InorganicFertiliser[[#Headers],[Category]], 0, 2)</f>
        <v>Muriate of potash, AU market mix</v>
      </c>
      <c r="F184" s="10" t="str" cm="1">
        <f t="array" ref="F184">Common_InputFunctions.Utility_DisplayArrayInTable(Scope3_SourceData.Scope3_InorganicFertilisers_Data(), Table_SourceData_Scope3_InorganicFertiliser[[#Headers],[Category]], 0, 2)</f>
        <v>Global</v>
      </c>
      <c r="G184" s="10" t="str">
        <f>'Constants - Fertiliser'!$D$34</f>
        <v>Muriate of potash (MOP)</v>
      </c>
      <c r="H184" s="10"/>
      <c r="I184" s="10"/>
      <c r="J184" s="10"/>
      <c r="K184" s="10" t="str" cm="1">
        <f t="array" ref="K184">Common_InputFunctions.Utility_DisplayArrayInTable(Scope3_SourceData.Scope3_InorganicFertilisers_Data(), Table_SourceData_Scope3_InorganicFertiliser[[#Headers],[Category]], 0, -2)</f>
        <v>kg</v>
      </c>
      <c r="L184" s="10" cm="1">
        <f t="array" ref="L184">Common_InputFunctions.Utility_DisplayArrayInTable(Scope3_SourceData.Scope3_InorganicFertilisers_Data(), Table_SourceData_Scope3_InorganicFertiliser[[#Headers],[Category]], 0, -2)</f>
        <v>0.54900000000000004</v>
      </c>
      <c r="M184" s="10" t="str" cm="1">
        <f t="array" ref="M184">Common_InputFunctions.Utility_DisplayArrayInTable(Scope3_SourceData.Scope3_InorganicFertilisers_Data(), Table_SourceData_Scope3_InorganicFertiliser[[#Headers],[Category]], 0, -2)</f>
        <v>at market</v>
      </c>
    </row>
    <row r="185" spans="4:16" ht="20.100000000000001" customHeight="1" x14ac:dyDescent="0.25">
      <c r="D185" s="10" t="str" cm="1">
        <f t="array" ref="D185">Common_InputFunctions.Utility_DisplayArrayInTable(Scope3_SourceData.Scope3_InorganicFertilisers_Data(), Table_SourceData_Scope3_InorganicFertiliser[[#Headers],[Category]], 0, 2)</f>
        <v>Inorganic fertilisers</v>
      </c>
      <c r="E185" s="10" t="str" cm="1">
        <f t="array" ref="E185">Common_InputFunctions.Utility_DisplayArrayInTable(Scope3_SourceData.Scope3_InorganicFertilisers_Data(), Table_SourceData_Scope3_InorganicFertiliser[[#Headers],[Category]], 0, 2)</f>
        <v>Nitrogen from ammonia, AU market mix</v>
      </c>
      <c r="F185" s="10" t="str" cm="1">
        <f t="array" ref="F185">Common_InputFunctions.Utility_DisplayArrayInTable(Scope3_SourceData.Scope3_InorganicFertilisers_Data(), Table_SourceData_Scope3_InorganicFertiliser[[#Headers],[Category]], 0, 2)</f>
        <v>Global</v>
      </c>
      <c r="G185" s="10" t="str">
        <f>'Constants - Fertiliser'!$D$27</f>
        <v>Nitrogen - Ammoniacal</v>
      </c>
      <c r="H185" s="10"/>
      <c r="I185" s="10"/>
      <c r="J185" s="10"/>
      <c r="K185" s="10" t="str" cm="1">
        <f t="array" ref="K185">Common_InputFunctions.Utility_DisplayArrayInTable(Scope3_SourceData.Scope3_InorganicFertilisers_Data(), Table_SourceData_Scope3_InorganicFertiliser[[#Headers],[Category]], 0, -2)</f>
        <v>kg N</v>
      </c>
      <c r="L185" s="10" cm="1">
        <f t="array" ref="L185">Common_InputFunctions.Utility_DisplayArrayInTable(Scope3_SourceData.Scope3_InorganicFertilisers_Data(), Table_SourceData_Scope3_InorganicFertiliser[[#Headers],[Category]], 0, -2)</f>
        <v>2.83</v>
      </c>
      <c r="M185" s="10" t="str" cm="1">
        <f t="array" ref="M185">Common_InputFunctions.Utility_DisplayArrayInTable(Scope3_SourceData.Scope3_InorganicFertilisers_Data(), Table_SourceData_Scope3_InorganicFertiliser[[#Headers],[Category]], 0, -2)</f>
        <v>at market</v>
      </c>
      <c r="N185" s="10"/>
      <c r="O185" s="10"/>
      <c r="P185" s="10"/>
    </row>
    <row r="186" spans="4:16" ht="20.100000000000001" customHeight="1" x14ac:dyDescent="0.25">
      <c r="D186" s="10" t="str" cm="1">
        <f t="array" ref="D186">Common_InputFunctions.Utility_DisplayArrayInTable(Scope3_SourceData.Scope3_InorganicFertilisers_Data(), Table_SourceData_Scope3_InorganicFertiliser[[#Headers],[Category]], 0, 2)</f>
        <v>Inorganic fertilisers</v>
      </c>
      <c r="E186" s="10" t="str" cm="1">
        <f t="array" ref="E186">Common_InputFunctions.Utility_DisplayArrayInTable(Scope3_SourceData.Scope3_InorganicFertilisers_Data(), Table_SourceData_Scope3_InorganicFertiliser[[#Headers],[Category]], 0, 2)</f>
        <v>Nitrogen from fertilizer, AU market mix</v>
      </c>
      <c r="F186" s="10" t="str" cm="1">
        <f t="array" ref="F186">Common_InputFunctions.Utility_DisplayArrayInTable(Scope3_SourceData.Scope3_InorganicFertilisers_Data(), Table_SourceData_Scope3_InorganicFertiliser[[#Headers],[Category]], 0, 2)</f>
        <v>Global</v>
      </c>
      <c r="G186" s="10" t="str">
        <f>'Constants - Fertiliser'!$D$29</f>
        <v>Nitrogen - Generic</v>
      </c>
      <c r="H186" s="10"/>
      <c r="I186" s="10"/>
      <c r="J186" s="10"/>
      <c r="K186" s="10" t="str" cm="1">
        <f t="array" ref="K186">Common_InputFunctions.Utility_DisplayArrayInTable(Scope3_SourceData.Scope3_InorganicFertilisers_Data(), Table_SourceData_Scope3_InorganicFertiliser[[#Headers],[Category]], 0, -2)</f>
        <v>kg N</v>
      </c>
      <c r="L186" s="10" cm="1">
        <f t="array" ref="L186">Common_InputFunctions.Utility_DisplayArrayInTable(Scope3_SourceData.Scope3_InorganicFertilisers_Data(), Table_SourceData_Scope3_InorganicFertiliser[[#Headers],[Category]], 0, -2)</f>
        <v>4.2</v>
      </c>
      <c r="M186" s="10" t="str" cm="1">
        <f t="array" ref="M186">Common_InputFunctions.Utility_DisplayArrayInTable(Scope3_SourceData.Scope3_InorganicFertilisers_Data(), Table_SourceData_Scope3_InorganicFertiliser[[#Headers],[Category]], 0, -2)</f>
        <v>at market</v>
      </c>
      <c r="N186" s="10"/>
      <c r="O186" s="10"/>
      <c r="P186" s="10"/>
    </row>
    <row r="187" spans="4:16" ht="20.100000000000001" customHeight="1" x14ac:dyDescent="0.25">
      <c r="D187" s="10" t="str" cm="1">
        <f t="array" ref="D187">Common_InputFunctions.Utility_DisplayArrayInTable(Scope3_SourceData.Scope3_InorganicFertilisers_Data(), Table_SourceData_Scope3_InorganicFertiliser[[#Headers],[Category]], 0, 2)</f>
        <v>Inorganic fertilisers</v>
      </c>
      <c r="E187" s="10" t="str" cm="1">
        <f t="array" ref="E187">Common_InputFunctions.Utility_DisplayArrayInTable(Scope3_SourceData.Scope3_InorganicFertilisers_Data(), Table_SourceData_Scope3_InorganicFertiliser[[#Headers],[Category]], 0, 2)</f>
        <v>Nitrogen from nitrate fertilizer, AU market mix</v>
      </c>
      <c r="F187" s="10" t="str" cm="1">
        <f t="array" ref="F187">Common_InputFunctions.Utility_DisplayArrayInTable(Scope3_SourceData.Scope3_InorganicFertilisers_Data(), Table_SourceData_Scope3_InorganicFertiliser[[#Headers],[Category]], 0, 2)</f>
        <v>Global</v>
      </c>
      <c r="G187" s="10" t="str">
        <f>'Constants - Fertiliser'!$D$28</f>
        <v>Nitrogen - Nitrate</v>
      </c>
      <c r="H187" s="10"/>
      <c r="I187" s="10"/>
      <c r="J187" s="10"/>
      <c r="K187" s="10" t="str" cm="1">
        <f t="array" ref="K187">Common_InputFunctions.Utility_DisplayArrayInTable(Scope3_SourceData.Scope3_InorganicFertilisers_Data(), Table_SourceData_Scope3_InorganicFertiliser[[#Headers],[Category]], 0, -2)</f>
        <v>kg N</v>
      </c>
      <c r="L187" s="10" cm="1">
        <f t="array" ref="L187">Common_InputFunctions.Utility_DisplayArrayInTable(Scope3_SourceData.Scope3_InorganicFertilisers_Data(), Table_SourceData_Scope3_InorganicFertiliser[[#Headers],[Category]], 0, -2)</f>
        <v>5.47</v>
      </c>
      <c r="M187" s="10" t="str" cm="1">
        <f t="array" ref="M187">Common_InputFunctions.Utility_DisplayArrayInTable(Scope3_SourceData.Scope3_InorganicFertilisers_Data(), Table_SourceData_Scope3_InorganicFertiliser[[#Headers],[Category]], 0, -2)</f>
        <v>at market</v>
      </c>
      <c r="N187" s="10"/>
      <c r="O187" s="10"/>
      <c r="P187" s="10"/>
    </row>
    <row r="188" spans="4:16" ht="20.100000000000001" customHeight="1" x14ac:dyDescent="0.25">
      <c r="D188" s="10" t="str" cm="1">
        <f t="array" ref="D188">Common_InputFunctions.Utility_DisplayArrayInTable(Scope3_SourceData.Scope3_InorganicFertilisers_Data(), Table_SourceData_Scope3_InorganicFertiliser[[#Headers],[Category]], 0, 2)</f>
        <v>Inorganic fertilisers</v>
      </c>
      <c r="E188" s="10" t="str" cm="1">
        <f t="array" ref="E188">Common_InputFunctions.Utility_DisplayArrayInTable(Scope3_SourceData.Scope3_InorganicFertilisers_Data(), Table_SourceData_Scope3_InorganicFertiliser[[#Headers],[Category]], 0, 2)</f>
        <v>Phosphorus from fertilizer, AU market mix</v>
      </c>
      <c r="F188" s="10" t="str" cm="1">
        <f t="array" ref="F188">Common_InputFunctions.Utility_DisplayArrayInTable(Scope3_SourceData.Scope3_InorganicFertilisers_Data(), Table_SourceData_Scope3_InorganicFertiliser[[#Headers],[Category]], 0, 2)</f>
        <v>Global</v>
      </c>
      <c r="G188" s="10" t="str">
        <f>'Constants - Fertiliser'!$D$30</f>
        <v>Phosphorus - Generic</v>
      </c>
      <c r="H188" s="10"/>
      <c r="I188" s="10"/>
      <c r="J188" s="10"/>
      <c r="K188" s="10" t="str" cm="1">
        <f t="array" ref="K188">Common_InputFunctions.Utility_DisplayArrayInTable(Scope3_SourceData.Scope3_InorganicFertilisers_Data(), Table_SourceData_Scope3_InorganicFertiliser[[#Headers],[Category]], 0, -2)</f>
        <v>kg P</v>
      </c>
      <c r="L188" s="10" cm="1">
        <f t="array" ref="L188">Common_InputFunctions.Utility_DisplayArrayInTable(Scope3_SourceData.Scope3_InorganicFertilisers_Data(), Table_SourceData_Scope3_InorganicFertiliser[[#Headers],[Category]], 0, -2)</f>
        <v>3.96</v>
      </c>
      <c r="M188" s="10" t="str" cm="1">
        <f t="array" ref="M188">Common_InputFunctions.Utility_DisplayArrayInTable(Scope3_SourceData.Scope3_InorganicFertilisers_Data(), Table_SourceData_Scope3_InorganicFertiliser[[#Headers],[Category]], 0, -2)</f>
        <v>at market</v>
      </c>
      <c r="N188" s="10"/>
      <c r="O188" s="10"/>
      <c r="P188" s="10"/>
    </row>
    <row r="189" spans="4:16" ht="20.100000000000001" customHeight="1" x14ac:dyDescent="0.25">
      <c r="D189" s="10" t="str" cm="1">
        <f t="array" ref="D189">Common_InputFunctions.Utility_DisplayArrayInTable(Scope3_SourceData.Scope3_InorganicFertilisers_Data(), Table_SourceData_Scope3_InorganicFertiliser[[#Headers],[Category]], 0, 2)</f>
        <v>Inorganic fertilisers</v>
      </c>
      <c r="E189" s="10" t="str" cm="1">
        <f t="array" ref="E189">Common_InputFunctions.Utility_DisplayArrayInTable(Scope3_SourceData.Scope3_InorganicFertilisers_Data(), Table_SourceData_Scope3_InorganicFertiliser[[#Headers],[Category]], 0, 2)</f>
        <v>Potassium from fertilizer, AU market mix</v>
      </c>
      <c r="F189" s="10" t="str" cm="1">
        <f t="array" ref="F189">Common_InputFunctions.Utility_DisplayArrayInTable(Scope3_SourceData.Scope3_InorganicFertilisers_Data(), Table_SourceData_Scope3_InorganicFertiliser[[#Headers],[Category]], 0, 2)</f>
        <v>Global</v>
      </c>
      <c r="G189" s="10" t="str">
        <f>'Constants - Fertiliser'!$D$31</f>
        <v>Potassium - Generic</v>
      </c>
      <c r="H189" s="10"/>
      <c r="I189" s="10"/>
      <c r="J189" s="10"/>
      <c r="K189" s="10" t="str" cm="1">
        <f t="array" ref="K189">Common_InputFunctions.Utility_DisplayArrayInTable(Scope3_SourceData.Scope3_InorganicFertilisers_Data(), Table_SourceData_Scope3_InorganicFertiliser[[#Headers],[Category]], 0, -2)</f>
        <v>kg K</v>
      </c>
      <c r="L189" s="10" cm="1">
        <f t="array" ref="L189">Common_InputFunctions.Utility_DisplayArrayInTable(Scope3_SourceData.Scope3_InorganicFertilisers_Data(), Table_SourceData_Scope3_InorganicFertiliser[[#Headers],[Category]], 0, -2)</f>
        <v>0.90900000000000003</v>
      </c>
      <c r="M189" s="10" t="str" cm="1">
        <f t="array" ref="M189">Common_InputFunctions.Utility_DisplayArrayInTable(Scope3_SourceData.Scope3_InorganicFertilisers_Data(), Table_SourceData_Scope3_InorganicFertiliser[[#Headers],[Category]], 0, -2)</f>
        <v>at market</v>
      </c>
      <c r="N189" s="10"/>
      <c r="O189" s="10"/>
      <c r="P189" s="10"/>
    </row>
    <row r="190" spans="4:16" ht="20.100000000000001" customHeight="1" x14ac:dyDescent="0.25">
      <c r="D190" s="10" t="str" cm="1">
        <f t="array" ref="D190">Common_InputFunctions.Utility_DisplayArrayInTable(Scope3_SourceData.Scope3_InorganicFertilisers_Data(), Table_SourceData_Scope3_InorganicFertiliser[[#Headers],[Category]], 0, 2)</f>
        <v>Inorganic fertilisers</v>
      </c>
      <c r="E190" s="10" t="str" cm="1">
        <f t="array" ref="E190">Common_InputFunctions.Utility_DisplayArrayInTable(Scope3_SourceData.Scope3_InorganicFertilisers_Data(), Table_SourceData_Scope3_InorganicFertiliser[[#Headers],[Category]], 0, 2)</f>
        <v>Single superphosphate, AU market mix</v>
      </c>
      <c r="F190" s="10" t="str" cm="1">
        <f t="array" ref="F190">Common_InputFunctions.Utility_DisplayArrayInTable(Scope3_SourceData.Scope3_InorganicFertilisers_Data(), Table_SourceData_Scope3_InorganicFertiliser[[#Headers],[Category]], 0, 2)</f>
        <v>Global</v>
      </c>
      <c r="G190" s="10" t="str">
        <f>'Constants - Fertiliser'!$D$36</f>
        <v>Single superphosphate (SSP)</v>
      </c>
      <c r="H190" s="10"/>
      <c r="I190" s="10"/>
      <c r="J190" s="10"/>
      <c r="K190" s="10" t="str" cm="1">
        <f t="array" ref="K190">Common_InputFunctions.Utility_DisplayArrayInTable(Scope3_SourceData.Scope3_InorganicFertilisers_Data(), Table_SourceData_Scope3_InorganicFertiliser[[#Headers],[Category]], 0, -2)</f>
        <v>kg</v>
      </c>
      <c r="L190" s="10" cm="1">
        <f t="array" ref="L190">Common_InputFunctions.Utility_DisplayArrayInTable(Scope3_SourceData.Scope3_InorganicFertilisers_Data(), Table_SourceData_Scope3_InorganicFertiliser[[#Headers],[Category]], 0, -2)</f>
        <v>0.22700000000000001</v>
      </c>
      <c r="M190" s="10" t="str" cm="1">
        <f t="array" ref="M190">Common_InputFunctions.Utility_DisplayArrayInTable(Scope3_SourceData.Scope3_InorganicFertilisers_Data(), Table_SourceData_Scope3_InorganicFertiliser[[#Headers],[Category]], 0, -2)</f>
        <v>at market</v>
      </c>
      <c r="N190" s="10"/>
      <c r="O190" s="10"/>
      <c r="P190" s="10"/>
    </row>
    <row r="191" spans="4:16" ht="20.100000000000001" customHeight="1" x14ac:dyDescent="0.25">
      <c r="D191" s="10" t="str" cm="1">
        <f t="array" ref="D191">Common_InputFunctions.Utility_DisplayArrayInTable(Scope3_SourceData.Scope3_InorganicFertilisers_Data(), Table_SourceData_Scope3_InorganicFertiliser[[#Headers],[Category]], 0, 2)</f>
        <v>Inorganic fertilisers</v>
      </c>
      <c r="E191" s="10" t="str" cm="1">
        <f t="array" ref="E191">Common_InputFunctions.Utility_DisplayArrayInTable(Scope3_SourceData.Scope3_InorganicFertilisers_Data(), Table_SourceData_Scope3_InorganicFertiliser[[#Headers],[Category]], 0, 2)</f>
        <v>Sulfur from fertilizer, AU market mix</v>
      </c>
      <c r="F191" s="10" t="str" cm="1">
        <f t="array" ref="F191">Common_InputFunctions.Utility_DisplayArrayInTable(Scope3_SourceData.Scope3_InorganicFertilisers_Data(), Table_SourceData_Scope3_InorganicFertiliser[[#Headers],[Category]], 0, 2)</f>
        <v>Global</v>
      </c>
      <c r="G191" s="10" t="str">
        <f>'Constants - Fertiliser'!$D$32</f>
        <v>Sulfur - Generic</v>
      </c>
      <c r="H191" s="10"/>
      <c r="I191" s="10"/>
      <c r="J191" s="10"/>
      <c r="K191" s="10" t="str" cm="1">
        <f t="array" ref="K191">Common_InputFunctions.Utility_DisplayArrayInTable(Scope3_SourceData.Scope3_InorganicFertilisers_Data(), Table_SourceData_Scope3_InorganicFertiliser[[#Headers],[Category]], 0, -2)</f>
        <v>kg S</v>
      </c>
      <c r="L191" s="10" cm="1">
        <f t="array" ref="L191">Common_InputFunctions.Utility_DisplayArrayInTable(Scope3_SourceData.Scope3_InorganicFertilisers_Data(), Table_SourceData_Scope3_InorganicFertiliser[[#Headers],[Category]], 0, -2)</f>
        <v>2.5</v>
      </c>
      <c r="M191" s="10" t="str" cm="1">
        <f t="array" ref="M191">Common_InputFunctions.Utility_DisplayArrayInTable(Scope3_SourceData.Scope3_InorganicFertilisers_Data(), Table_SourceData_Scope3_InorganicFertiliser[[#Headers],[Category]], 0, -2)</f>
        <v>at market</v>
      </c>
      <c r="N191" s="10"/>
      <c r="O191" s="10"/>
      <c r="P191" s="10"/>
    </row>
    <row r="192" spans="4:16" ht="20.100000000000001" customHeight="1" x14ac:dyDescent="0.25">
      <c r="D192" s="10" t="str" cm="1">
        <f t="array" ref="D192">Common_InputFunctions.Utility_DisplayArrayInTable(Scope3_SourceData.Scope3_InorganicFertilisers_Data(), Table_SourceData_Scope3_InorganicFertiliser[[#Headers],[Category]], 0, 2)</f>
        <v>Inorganic fertilisers</v>
      </c>
      <c r="E192" s="10" t="str" cm="1">
        <f t="array" ref="E192">Common_InputFunctions.Utility_DisplayArrayInTable(Scope3_SourceData.Scope3_InorganicFertilisers_Data(), Table_SourceData_Scope3_InorganicFertiliser[[#Headers],[Category]], 0, 2)</f>
        <v>Ammonium sulphate, AU market mix</v>
      </c>
      <c r="F192" s="10" t="str" cm="1">
        <f t="array" ref="F192">Common_InputFunctions.Utility_DisplayArrayInTable(Scope3_SourceData.Scope3_InorganicFertilisers_Data(), Table_SourceData_Scope3_InorganicFertiliser[[#Headers],[Category]], 0, 2)</f>
        <v>Global</v>
      </c>
      <c r="G192" s="10" t="str">
        <f>'Constants - Fertiliser'!$D$23</f>
        <v>Sulphate of ammonia (SOA)</v>
      </c>
      <c r="H192" s="10"/>
      <c r="I192" s="10"/>
      <c r="J192" s="10"/>
      <c r="K192" s="10" t="str" cm="1">
        <f t="array" ref="K192">Common_InputFunctions.Utility_DisplayArrayInTable(Scope3_SourceData.Scope3_InorganicFertilisers_Data(), Table_SourceData_Scope3_InorganicFertiliser[[#Headers],[Category]], 0, -2)</f>
        <v>kg</v>
      </c>
      <c r="L192" s="10" cm="1">
        <f t="array" ref="L192">Common_InputFunctions.Utility_DisplayArrayInTable(Scope3_SourceData.Scope3_InorganicFertilisers_Data(), Table_SourceData_Scope3_InorganicFertiliser[[#Headers],[Category]], 0, -2)</f>
        <v>0.86499999999999999</v>
      </c>
      <c r="M192" s="10" t="str" cm="1">
        <f t="array" ref="M192">Common_InputFunctions.Utility_DisplayArrayInTable(Scope3_SourceData.Scope3_InorganicFertilisers_Data(), Table_SourceData_Scope3_InorganicFertiliser[[#Headers],[Category]], 0, -2)</f>
        <v>at market</v>
      </c>
      <c r="N192" s="10"/>
      <c r="O192" s="10"/>
      <c r="P192" s="10"/>
    </row>
    <row r="193" spans="4:16" ht="20.100000000000001" customHeight="1" x14ac:dyDescent="0.25">
      <c r="D193" s="10" t="str" cm="1">
        <f t="array" ref="D193">Common_InputFunctions.Utility_DisplayArrayInTable(Scope3_SourceData.Scope3_InorganicFertilisers_Data(), Table_SourceData_Scope3_InorganicFertiliser[[#Headers],[Category]], 0, 2)</f>
        <v>Inorganic fertilisers</v>
      </c>
      <c r="E193" s="10" t="str" cm="1">
        <f t="array" ref="E193">Common_InputFunctions.Utility_DisplayArrayInTable(Scope3_SourceData.Scope3_InorganicFertilisers_Data(), Table_SourceData_Scope3_InorganicFertiliser[[#Headers],[Category]], 0, 2)</f>
        <v>Urea ammonium nitrate, AU market mix</v>
      </c>
      <c r="F193" s="10" t="str" cm="1">
        <f t="array" ref="F193">Common_InputFunctions.Utility_DisplayArrayInTable(Scope3_SourceData.Scope3_InorganicFertilisers_Data(), Table_SourceData_Scope3_InorganicFertiliser[[#Headers],[Category]], 0, 2)</f>
        <v>Global</v>
      </c>
      <c r="G193" s="10" t="str">
        <f>'Constants - Fertiliser'!$D$24</f>
        <v>Urea-ammonium nitrate (UAN)</v>
      </c>
      <c r="H193" s="10"/>
      <c r="I193" s="10"/>
      <c r="J193" s="10"/>
      <c r="K193" s="10" t="str" cm="1">
        <f t="array" ref="K193">Common_InputFunctions.Utility_DisplayArrayInTable(Scope3_SourceData.Scope3_InorganicFertilisers_Data(), Table_SourceData_Scope3_InorganicFertiliser[[#Headers],[Category]], 0, -2)</f>
        <v>kg</v>
      </c>
      <c r="L193" s="10" cm="1">
        <f t="array" ref="L193">Common_InputFunctions.Utility_DisplayArrayInTable(Scope3_SourceData.Scope3_InorganicFertilisers_Data(), Table_SourceData_Scope3_InorganicFertiliser[[#Headers],[Category]], 0, -2)</f>
        <v>1.75</v>
      </c>
      <c r="M193" s="10" t="str" cm="1">
        <f t="array" ref="M193">Common_InputFunctions.Utility_DisplayArrayInTable(Scope3_SourceData.Scope3_InorganicFertilisers_Data(), Table_SourceData_Scope3_InorganicFertiliser[[#Headers],[Category]], 0, -2)</f>
        <v>at market</v>
      </c>
      <c r="N193" s="10"/>
      <c r="O193" s="10"/>
      <c r="P193" s="10"/>
    </row>
    <row r="194" spans="4:16" ht="20.100000000000001" customHeight="1" x14ac:dyDescent="0.25">
      <c r="D194" s="10" t="str" cm="1">
        <f t="array" ref="D194">Common_InputFunctions.Utility_DisplayArrayInTable(Scope3_SourceData.Scope3_InorganicFertilisers_Data(), Table_SourceData_Scope3_InorganicFertiliser[[#Headers],[Category]], 0, 2)</f>
        <v>Inorganic fertilisers</v>
      </c>
      <c r="E194" s="10" t="str" cm="1">
        <f t="array" ref="E194">Common_InputFunctions.Utility_DisplayArrayInTable(Scope3_SourceData.Scope3_InorganicFertilisers_Data(), Table_SourceData_Scope3_InorganicFertiliser[[#Headers],[Category]], 0, 2)</f>
        <v>Urea, AU market mix</v>
      </c>
      <c r="F194" s="10" t="str" cm="1">
        <f t="array" ref="F194">Common_InputFunctions.Utility_DisplayArrayInTable(Scope3_SourceData.Scope3_InorganicFertilisers_Data(), Table_SourceData_Scope3_InorganicFertiliser[[#Headers],[Category]], 0, 2)</f>
        <v>Global</v>
      </c>
      <c r="G194" s="10" t="str">
        <f>'Constants - Fertiliser'!$D$22</f>
        <v>Urea</v>
      </c>
      <c r="H194" s="10" t="str">
        <f>'Constants - Fertiliser'!$V$20</f>
        <v>Global</v>
      </c>
      <c r="I194" s="10"/>
      <c r="J194" s="10"/>
      <c r="K194" s="10" t="str" cm="1">
        <f t="array" ref="K194">Common_InputFunctions.Utility_DisplayArrayInTable(Scope3_SourceData.Scope3_InorganicFertilisers_Data(), Table_SourceData_Scope3_InorganicFertiliser[[#Headers],[Category]], 0, -2)</f>
        <v>kg</v>
      </c>
      <c r="L194" s="10" cm="1">
        <f t="array" ref="L194">Common_InputFunctions.Utility_DisplayArrayInTable(Scope3_SourceData.Scope3_InorganicFertilisers_Data(), Table_SourceData_Scope3_InorganicFertiliser[[#Headers],[Category]], 0, -2)</f>
        <v>0.96799999999999997</v>
      </c>
      <c r="M194" s="10" t="str" cm="1">
        <f t="array" ref="M194">Common_InputFunctions.Utility_DisplayArrayInTable(Scope3_SourceData.Scope3_InorganicFertilisers_Data(), Table_SourceData_Scope3_InorganicFertiliser[[#Headers],[Category]], 0, -2)</f>
        <v>at market</v>
      </c>
      <c r="N194" s="10"/>
      <c r="O194" s="10"/>
      <c r="P194" s="10"/>
    </row>
    <row r="195" spans="4:16" ht="20.100000000000001" customHeight="1" x14ac:dyDescent="0.25">
      <c r="D195" s="10" t="str" cm="1">
        <f t="array" ref="D195">Common_InputFunctions.Utility_DisplayArrayInTable(Scope3_SourceData.Scope3_InorganicFertilisers_Data(), Table_SourceData_Scope3_InorganicFertiliser[[#Headers],[Category]], 0, 2)</f>
        <v>Inorganic fertilisers</v>
      </c>
      <c r="E195" s="10" t="str" cm="1">
        <f t="array" ref="E195">Common_InputFunctions.Utility_DisplayArrayInTable(Scope3_SourceData.Scope3_InorganicFertilisers_Data(), Table_SourceData_Scope3_InorganicFertiliser[[#Headers],[Category]], 0, 2)</f>
        <v>Urea, Canada</v>
      </c>
      <c r="F195" s="10" t="str" cm="1">
        <f t="array" ref="F195">Common_InputFunctions.Utility_DisplayArrayInTable(Scope3_SourceData.Scope3_InorganicFertilisers_Data(), Table_SourceData_Scope3_InorganicFertiliser[[#Headers],[Category]], 0, 2)</f>
        <v>Canada</v>
      </c>
      <c r="G195" s="10" t="str">
        <f>'Constants - Fertiliser'!$D$22</f>
        <v>Urea</v>
      </c>
      <c r="H195" s="10" t="str">
        <f>'Constants - Fertiliser'!$V$21</f>
        <v>Canada</v>
      </c>
      <c r="I195" s="10"/>
      <c r="J195" s="10"/>
      <c r="K195" s="10" t="str" cm="1">
        <f t="array" ref="K195">Common_InputFunctions.Utility_DisplayArrayInTable(Scope3_SourceData.Scope3_InorganicFertilisers_Data(), Table_SourceData_Scope3_InorganicFertiliser[[#Headers],[Category]], 0, -2)</f>
        <v>kg</v>
      </c>
      <c r="L195" s="10" cm="1">
        <f t="array" ref="L195">Common_InputFunctions.Utility_DisplayArrayInTable(Scope3_SourceData.Scope3_InorganicFertilisers_Data(), Table_SourceData_Scope3_InorganicFertiliser[[#Headers],[Category]], 0, -2)</f>
        <v>0.82299999999999995</v>
      </c>
      <c r="M195" s="10" t="str" cm="1">
        <f t="array" ref="M195">Common_InputFunctions.Utility_DisplayArrayInTable(Scope3_SourceData.Scope3_InorganicFertilisers_Data(), Table_SourceData_Scope3_InorganicFertiliser[[#Headers],[Category]], 0, -2)</f>
        <v>at market</v>
      </c>
      <c r="N195" s="10"/>
      <c r="O195" s="10"/>
      <c r="P195" s="10"/>
    </row>
    <row r="196" spans="4:16" ht="20.100000000000001" customHeight="1" x14ac:dyDescent="0.25">
      <c r="D196" s="10" t="str" cm="1">
        <f t="array" ref="D196">Common_InputFunctions.Utility_DisplayArrayInTable(Scope3_SourceData.Scope3_InorganicFertilisers_Data(), Table_SourceData_Scope3_InorganicFertiliser[[#Headers],[Category]], 0, 2)</f>
        <v>Inorganic fertilisers</v>
      </c>
      <c r="E196" s="10" t="str" cm="1">
        <f t="array" ref="E196">Common_InputFunctions.Utility_DisplayArrayInTable(Scope3_SourceData.Scope3_InorganicFertilisers_Data(), Table_SourceData_Scope3_InorganicFertiliser[[#Headers],[Category]], 0, 2)</f>
        <v>Urea, China</v>
      </c>
      <c r="F196" s="10" t="str" cm="1">
        <f t="array" ref="F196">Common_InputFunctions.Utility_DisplayArrayInTable(Scope3_SourceData.Scope3_InorganicFertilisers_Data(), Table_SourceData_Scope3_InorganicFertiliser[[#Headers],[Category]], 0, 2)</f>
        <v>China</v>
      </c>
      <c r="G196" s="10" t="str">
        <f>'Constants - Fertiliser'!$D$22</f>
        <v>Urea</v>
      </c>
      <c r="H196" s="10" t="str">
        <f>'Constants - Fertiliser'!$V$22</f>
        <v>China</v>
      </c>
      <c r="I196" s="10"/>
      <c r="J196" s="10"/>
      <c r="K196" s="10" t="str" cm="1">
        <f t="array" ref="K196">Common_InputFunctions.Utility_DisplayArrayInTable(Scope3_SourceData.Scope3_InorganicFertilisers_Data(), Table_SourceData_Scope3_InorganicFertiliser[[#Headers],[Category]], 0, -2)</f>
        <v>kg</v>
      </c>
      <c r="L196" s="10" cm="1">
        <f t="array" ref="L196">Common_InputFunctions.Utility_DisplayArrayInTable(Scope3_SourceData.Scope3_InorganicFertilisers_Data(), Table_SourceData_Scope3_InorganicFertiliser[[#Headers],[Category]], 0, -2)</f>
        <v>2.09</v>
      </c>
      <c r="M196" s="10" t="str" cm="1">
        <f t="array" ref="M196">Common_InputFunctions.Utility_DisplayArrayInTable(Scope3_SourceData.Scope3_InorganicFertilisers_Data(), Table_SourceData_Scope3_InorganicFertiliser[[#Headers],[Category]], 0, -2)</f>
        <v>at market</v>
      </c>
      <c r="N196" s="10"/>
      <c r="O196" s="10"/>
      <c r="P196" s="10"/>
    </row>
    <row r="197" spans="4:16" ht="20.100000000000001" customHeight="1" x14ac:dyDescent="0.25">
      <c r="D197" s="10" t="str" cm="1">
        <f t="array" ref="D197">Common_InputFunctions.Utility_DisplayArrayInTable(Scope3_SourceData.Scope3_InorganicFertilisers_Data(), Table_SourceData_Scope3_InorganicFertiliser[[#Headers],[Category]], 0, 2)</f>
        <v>Inorganic fertilisers</v>
      </c>
      <c r="E197" s="10" t="str" cm="1">
        <f t="array" ref="E197">Common_InputFunctions.Utility_DisplayArrayInTable(Scope3_SourceData.Scope3_InorganicFertilisers_Data(), Table_SourceData_Scope3_InorganicFertiliser[[#Headers],[Category]], 0, 2)</f>
        <v>Urea, Yemen</v>
      </c>
      <c r="F197" s="10" t="str" cm="1">
        <f t="array" ref="F197">Common_InputFunctions.Utility_DisplayArrayInTable(Scope3_SourceData.Scope3_InorganicFertilisers_Data(), Table_SourceData_Scope3_InorganicFertiliser[[#Headers],[Category]], 0, 2)</f>
        <v>Yemen</v>
      </c>
      <c r="G197" s="10" t="str">
        <f>'Constants - Fertiliser'!$D$22</f>
        <v>Urea</v>
      </c>
      <c r="H197" s="10" t="str">
        <f>'Constants - Fertiliser'!$V$23</f>
        <v>Yemen</v>
      </c>
      <c r="I197" s="10"/>
      <c r="J197" s="10"/>
      <c r="K197" s="10" t="str" cm="1">
        <f t="array" ref="K197">Common_InputFunctions.Utility_DisplayArrayInTable(Scope3_SourceData.Scope3_InorganicFertilisers_Data(), Table_SourceData_Scope3_InorganicFertiliser[[#Headers],[Category]], 0, -2)</f>
        <v>kg</v>
      </c>
      <c r="L197" s="10" cm="1">
        <f t="array" ref="L197">Common_InputFunctions.Utility_DisplayArrayInTable(Scope3_SourceData.Scope3_InorganicFertilisers_Data(), Table_SourceData_Scope3_InorganicFertiliser[[#Headers],[Category]], 0, -2)</f>
        <v>0.96299999999999997</v>
      </c>
      <c r="M197" s="10" t="str" cm="1">
        <f t="array" ref="M197">Common_InputFunctions.Utility_DisplayArrayInTable(Scope3_SourceData.Scope3_InorganicFertilisers_Data(), Table_SourceData_Scope3_InorganicFertiliser[[#Headers],[Category]], 0, -2)</f>
        <v>at market</v>
      </c>
      <c r="N197" s="10"/>
      <c r="O197" s="10"/>
      <c r="P197" s="10"/>
    </row>
    <row r="198" spans="4:16" ht="20.100000000000001" customHeight="1" x14ac:dyDescent="0.25">
      <c r="D198" s="10" t="str" cm="1">
        <f t="array" ref="D198">Common_InputFunctions.Utility_DisplayArrayInTable(Scope3_SourceData.Scope3_InorganicFertilisers_Data(), Table_SourceData_Scope3_InorganicFertiliser[[#Headers],[Category]], 0, 2)</f>
        <v>Inorganic fertilisers</v>
      </c>
      <c r="E198" s="10" t="str" cm="1">
        <f t="array" ref="E198">Common_InputFunctions.Utility_DisplayArrayInTable(Scope3_SourceData.Scope3_InorganicFertilisers_Data(), Table_SourceData_Scope3_InorganicFertiliser[[#Headers],[Category]], 0, 2)</f>
        <v>Zinc from fertilizer</v>
      </c>
      <c r="F198" s="10" t="str" cm="1">
        <f t="array" ref="F198">Common_InputFunctions.Utility_DisplayArrayInTable(Scope3_SourceData.Scope3_InorganicFertilisers_Data(), Table_SourceData_Scope3_InorganicFertiliser[[#Headers],[Category]], 0, 2)</f>
        <v>Global</v>
      </c>
      <c r="G198" s="10" t="str">
        <f>'Constants - Fertiliser'!$D$33</f>
        <v>Zinc - Generic</v>
      </c>
      <c r="H198" s="10"/>
      <c r="I198" s="10"/>
      <c r="J198" s="10"/>
      <c r="K198" s="10" t="str" cm="1">
        <f t="array" ref="K198">Common_InputFunctions.Utility_DisplayArrayInTable(Scope3_SourceData.Scope3_InorganicFertilisers_Data(), Table_SourceData_Scope3_InorganicFertiliser[[#Headers],[Category]], 0, -2)</f>
        <v>kg Zn</v>
      </c>
      <c r="L198" s="10" cm="1">
        <f t="array" ref="L198">Common_InputFunctions.Utility_DisplayArrayInTable(Scope3_SourceData.Scope3_InorganicFertilisers_Data(), Table_SourceData_Scope3_InorganicFertiliser[[#Headers],[Category]], 0, -2)</f>
        <v>4.82</v>
      </c>
      <c r="M198" s="10" t="str" cm="1">
        <f t="array" ref="M198">Common_InputFunctions.Utility_DisplayArrayInTable(Scope3_SourceData.Scope3_InorganicFertilisers_Data(), Table_SourceData_Scope3_InorganicFertiliser[[#Headers],[Category]], 0, -2)</f>
        <v>at market</v>
      </c>
      <c r="N198" s="10"/>
      <c r="O198" s="10"/>
      <c r="P198" s="10"/>
    </row>
    <row r="199" spans="4:16" ht="20.100000000000001" customHeight="1" x14ac:dyDescent="0.25">
      <c r="N199" s="10"/>
      <c r="O199" s="10"/>
      <c r="P199" s="10"/>
    </row>
    <row r="200" spans="4:16" ht="20.100000000000001" customHeight="1" x14ac:dyDescent="0.25">
      <c r="D200" s="9" t="s">
        <v>358</v>
      </c>
      <c r="N200" s="10"/>
      <c r="O200" s="10"/>
      <c r="P200" s="10"/>
    </row>
    <row r="201" spans="4:16" ht="20.100000000000001" customHeight="1" x14ac:dyDescent="0.25">
      <c r="D201" s="10" t="s">
        <v>311</v>
      </c>
      <c r="E201" s="10" t="s">
        <v>212</v>
      </c>
      <c r="F201" s="10" t="s">
        <v>312</v>
      </c>
      <c r="G201" s="10" t="s">
        <v>278</v>
      </c>
      <c r="H201" s="10" t="s">
        <v>279</v>
      </c>
      <c r="I201" s="10" t="s">
        <v>354</v>
      </c>
      <c r="N201" s="10"/>
      <c r="O201" s="10"/>
      <c r="P201" s="10"/>
    </row>
    <row r="202" spans="4:16" ht="20.100000000000001" customHeight="1" x14ac:dyDescent="0.25">
      <c r="D202" s="10" t="str" cm="1">
        <f t="array" ref="D202">Common_InputFunctions.Utility_DisplayArrayInTable(Scope3_SourceData.Scope3_Other_Data(), Table_SourceData_Scope3_Other[[#Headers],[Category]], 0, 2)</f>
        <v>Other</v>
      </c>
      <c r="E202" s="10" t="str" cm="1">
        <f t="array" ref="E202">Common_InputFunctions.Utility_DisplayArrayInTable(Scope3_SourceData.Scope3_Other_Data(), Table_SourceData_Scope3_Other[[#Headers],[Category]], 0, 2)</f>
        <v>Animal ear tags (large)</v>
      </c>
      <c r="F202" s="10" t="str" cm="1">
        <f t="array" ref="F202">Common_InputFunctions.Utility_DisplayArrayInTable(Scope3_SourceData.Scope3_Other_Data(), Table_SourceData_Scope3_Other[[#Headers],[Category]], 0, 2)</f>
        <v>Australia</v>
      </c>
      <c r="G202" s="10" t="str" cm="1">
        <f t="array" ref="G202">Common_InputFunctions.Utility_DisplayArrayInTable(Scope3_SourceData.Scope3_Other_Data(), Table_SourceData_Scope3_Other[[#Headers],[Category]], 0, 2)</f>
        <v>p</v>
      </c>
      <c r="H202" s="10" cm="1">
        <f t="array" ref="H202">Common_InputFunctions.Utility_DisplayArrayInTable(Scope3_SourceData.Scope3_Other_Data(), Table_SourceData_Scope3_Other[[#Headers],[Category]], 0, 2)</f>
        <v>4.24E-2</v>
      </c>
      <c r="I202" s="10" t="str" cm="1">
        <f t="array" ref="I202">Common_InputFunctions.Utility_DisplayArrayInTable(Scope3_SourceData.Scope3_Other_Data(), Table_SourceData_Scope3_Other[[#Headers],[Category]], 0, 2)</f>
        <v>at market</v>
      </c>
      <c r="N202" s="10"/>
      <c r="O202" s="10"/>
      <c r="P202" s="10"/>
    </row>
    <row r="203" spans="4:16" ht="20.100000000000001" customHeight="1" x14ac:dyDescent="0.25">
      <c r="D203" s="10" t="str" cm="1">
        <f t="array" ref="D203">Common_InputFunctions.Utility_DisplayArrayInTable(Scope3_SourceData.Scope3_Other_Data(), Table_SourceData_Scope3_Other[[#Headers],[Category]], 0, 2)</f>
        <v>Other</v>
      </c>
      <c r="E203" s="10" t="str" cm="1">
        <f t="array" ref="E203">Common_InputFunctions.Utility_DisplayArrayInTable(Scope3_SourceData.Scope3_Other_Data(), Table_SourceData_Scope3_Other[[#Headers],[Category]], 0, 2)</f>
        <v>Animal ear tags (small)</v>
      </c>
      <c r="F203" s="10" t="str" cm="1">
        <f t="array" ref="F203">Common_InputFunctions.Utility_DisplayArrayInTable(Scope3_SourceData.Scope3_Other_Data(), Table_SourceData_Scope3_Other[[#Headers],[Category]], 0, 2)</f>
        <v>Australia</v>
      </c>
      <c r="G203" s="10" t="str" cm="1">
        <f t="array" ref="G203">Common_InputFunctions.Utility_DisplayArrayInTable(Scope3_SourceData.Scope3_Other_Data(), Table_SourceData_Scope3_Other[[#Headers],[Category]], 0, 2)</f>
        <v>p</v>
      </c>
      <c r="H203" s="10" cm="1">
        <f t="array" ref="H203">Common_InputFunctions.Utility_DisplayArrayInTable(Scope3_SourceData.Scope3_Other_Data(), Table_SourceData_Scope3_Other[[#Headers],[Category]], 0, 2)</f>
        <v>2.93E-2</v>
      </c>
      <c r="I203" s="10" t="str" cm="1">
        <f t="array" ref="I203">Common_InputFunctions.Utility_DisplayArrayInTable(Scope3_SourceData.Scope3_Other_Data(), Table_SourceData_Scope3_Other[[#Headers],[Category]], 0, 2)</f>
        <v>at market</v>
      </c>
      <c r="N203" s="10"/>
      <c r="O203" s="10"/>
      <c r="P203" s="10"/>
    </row>
    <row r="204" spans="4:16" ht="20.100000000000001" customHeight="1" x14ac:dyDescent="0.25">
      <c r="D204" s="10" t="str" cm="1">
        <f t="array" ref="D204">Common_InputFunctions.Utility_DisplayArrayInTable(Scope3_SourceData.Scope3_Other_Data(), Table_SourceData_Scope3_Other[[#Headers],[Category]], 0, 2)</f>
        <v>Other</v>
      </c>
      <c r="E204" s="10" t="str" cm="1">
        <f t="array" ref="E204">Common_InputFunctions.Utility_DisplayArrayInTable(Scope3_SourceData.Scope3_Other_Data(), Table_SourceData_Scope3_Other[[#Headers],[Category]], 0, 2)</f>
        <v>Barley grain (for seed)</v>
      </c>
      <c r="F204" s="10" t="str" cm="1">
        <f t="array" ref="F204">Common_InputFunctions.Utility_DisplayArrayInTable(Scope3_SourceData.Scope3_Other_Data(), Table_SourceData_Scope3_Other[[#Headers],[Category]], 0, 2)</f>
        <v>Australia</v>
      </c>
      <c r="G204" s="10" t="str" cm="1">
        <f t="array" ref="G204">Common_InputFunctions.Utility_DisplayArrayInTable(Scope3_SourceData.Scope3_Other_Data(), Table_SourceData_Scope3_Other[[#Headers],[Category]], 0, 2)</f>
        <v>kg</v>
      </c>
      <c r="H204" s="10" cm="1">
        <f t="array" ref="H204">Common_InputFunctions.Utility_DisplayArrayInTable(Scope3_SourceData.Scope3_Other_Data(), Table_SourceData_Scope3_Other[[#Headers],[Category]], 0, 2)</f>
        <v>0.23899999999999999</v>
      </c>
      <c r="I204" s="10" t="str" cm="1">
        <f t="array" ref="I204">Common_InputFunctions.Utility_DisplayArrayInTable(Scope3_SourceData.Scope3_Other_Data(), Table_SourceData_Scope3_Other[[#Headers],[Category]], 0, 2)</f>
        <v>at market</v>
      </c>
      <c r="N204" s="10"/>
      <c r="O204" s="10"/>
      <c r="P204" s="10"/>
    </row>
    <row r="205" spans="4:16" ht="20.100000000000001" customHeight="1" x14ac:dyDescent="0.25">
      <c r="D205" s="10" t="str" cm="1">
        <f t="array" ref="D205">Common_InputFunctions.Utility_DisplayArrayInTable(Scope3_SourceData.Scope3_Other_Data(), Table_SourceData_Scope3_Other[[#Headers],[Category]], 0, 2)</f>
        <v>Other</v>
      </c>
      <c r="E205" s="10" t="str" cm="1">
        <f t="array" ref="E205">Common_InputFunctions.Utility_DisplayArrayInTable(Scope3_SourceData.Scope3_Other_Data(), Table_SourceData_Scope3_Other[[#Headers],[Category]], 0, 2)</f>
        <v>Maize grain (for seed)</v>
      </c>
      <c r="F205" s="10" t="str" cm="1">
        <f t="array" ref="F205">Common_InputFunctions.Utility_DisplayArrayInTable(Scope3_SourceData.Scope3_Other_Data(), Table_SourceData_Scope3_Other[[#Headers],[Category]], 0, 2)</f>
        <v>Australia</v>
      </c>
      <c r="G205" s="10" t="str" cm="1">
        <f t="array" ref="G205">Common_InputFunctions.Utility_DisplayArrayInTable(Scope3_SourceData.Scope3_Other_Data(), Table_SourceData_Scope3_Other[[#Headers],[Category]], 0, 2)</f>
        <v>kg</v>
      </c>
      <c r="H205" s="10" cm="1">
        <f t="array" ref="H205">Common_InputFunctions.Utility_DisplayArrayInTable(Scope3_SourceData.Scope3_Other_Data(), Table_SourceData_Scope3_Other[[#Headers],[Category]], 0, 2)</f>
        <v>0.18099999999999999</v>
      </c>
      <c r="I205" s="10" t="str" cm="1">
        <f t="array" ref="I205">Common_InputFunctions.Utility_DisplayArrayInTable(Scope3_SourceData.Scope3_Other_Data(), Table_SourceData_Scope3_Other[[#Headers],[Category]], 0, 2)</f>
        <v>at market</v>
      </c>
      <c r="N205" s="10"/>
      <c r="O205" s="10"/>
      <c r="P205" s="10"/>
    </row>
    <row r="206" spans="4:16" ht="20.100000000000001" customHeight="1" x14ac:dyDescent="0.25">
      <c r="D206" s="10" t="str" cm="1">
        <f t="array" ref="D206">Common_InputFunctions.Utility_DisplayArrayInTable(Scope3_SourceData.Scope3_Other_Data(), Table_SourceData_Scope3_Other[[#Headers],[Category]], 0, 2)</f>
        <v>Other</v>
      </c>
      <c r="E206" s="10" t="str" cm="1">
        <f t="array" ref="E206">Common_InputFunctions.Utility_DisplayArrayInTable(Scope3_SourceData.Scope3_Other_Data(), Table_SourceData_Scope3_Other[[#Headers],[Category]], 0, 2)</f>
        <v>Nylon netting</v>
      </c>
      <c r="F206" s="10" t="str" cm="1">
        <f t="array" ref="F206">Common_InputFunctions.Utility_DisplayArrayInTable(Scope3_SourceData.Scope3_Other_Data(), Table_SourceData_Scope3_Other[[#Headers],[Category]], 0, 2)</f>
        <v>Global</v>
      </c>
      <c r="G206" s="10" t="str" cm="1">
        <f t="array" ref="G206">Common_InputFunctions.Utility_DisplayArrayInTable(Scope3_SourceData.Scope3_Other_Data(), Table_SourceData_Scope3_Other[[#Headers],[Category]], 0, 2)</f>
        <v>kg</v>
      </c>
      <c r="H206" s="10" cm="1">
        <f t="array" ref="H206">Common_InputFunctions.Utility_DisplayArrayInTable(Scope3_SourceData.Scope3_Other_Data(), Table_SourceData_Scope3_Other[[#Headers],[Category]], 0, 2)</f>
        <v>9.81</v>
      </c>
      <c r="I206" s="10" t="str" cm="1">
        <f t="array" ref="I206">Common_InputFunctions.Utility_DisplayArrayInTable(Scope3_SourceData.Scope3_Other_Data(), Table_SourceData_Scope3_Other[[#Headers],[Category]], 0, 2)</f>
        <v>at market</v>
      </c>
      <c r="N206" s="10"/>
      <c r="O206" s="10"/>
      <c r="P206" s="10"/>
    </row>
    <row r="207" spans="4:16" ht="20.100000000000001" customHeight="1" x14ac:dyDescent="0.25">
      <c r="D207" s="10" t="str" cm="1">
        <f t="array" ref="D207">Common_InputFunctions.Utility_DisplayArrayInTable(Scope3_SourceData.Scope3_Other_Data(), Table_SourceData_Scope3_Other[[#Headers],[Category]], 0, 2)</f>
        <v>Other</v>
      </c>
      <c r="E207" s="10" t="str" cm="1">
        <f t="array" ref="E207">Common_InputFunctions.Utility_DisplayArrayInTable(Scope3_SourceData.Scope3_Other_Data(), Table_SourceData_Scope3_Other[[#Headers],[Category]], 0, 2)</f>
        <v>Oat grain (for seed)</v>
      </c>
      <c r="F207" s="10" t="str" cm="1">
        <f t="array" ref="F207">Common_InputFunctions.Utility_DisplayArrayInTable(Scope3_SourceData.Scope3_Other_Data(), Table_SourceData_Scope3_Other[[#Headers],[Category]], 0, 2)</f>
        <v>Australia</v>
      </c>
      <c r="G207" s="10" t="str" cm="1">
        <f t="array" ref="G207">Common_InputFunctions.Utility_DisplayArrayInTable(Scope3_SourceData.Scope3_Other_Data(), Table_SourceData_Scope3_Other[[#Headers],[Category]], 0, 2)</f>
        <v>kg</v>
      </c>
      <c r="H207" s="10" cm="1">
        <f t="array" ref="H207">Common_InputFunctions.Utility_DisplayArrayInTable(Scope3_SourceData.Scope3_Other_Data(), Table_SourceData_Scope3_Other[[#Headers],[Category]], 0, 2)</f>
        <v>0.27</v>
      </c>
      <c r="I207" s="10" t="str" cm="1">
        <f t="array" ref="I207">Common_InputFunctions.Utility_DisplayArrayInTable(Scope3_SourceData.Scope3_Other_Data(), Table_SourceData_Scope3_Other[[#Headers],[Category]], 0, 2)</f>
        <v>at market</v>
      </c>
      <c r="N207" s="10"/>
      <c r="O207" s="10"/>
      <c r="P207" s="10"/>
    </row>
    <row r="208" spans="4:16" ht="20.100000000000001" customHeight="1" x14ac:dyDescent="0.25">
      <c r="D208" s="10" t="str" cm="1">
        <f t="array" ref="D208">Common_InputFunctions.Utility_DisplayArrayInTable(Scope3_SourceData.Scope3_Other_Data(), Table_SourceData_Scope3_Other[[#Headers],[Category]], 0, 2)</f>
        <v>Other</v>
      </c>
      <c r="E208" s="10" t="str" cm="1">
        <f t="array" ref="E208">Common_InputFunctions.Utility_DisplayArrayInTable(Scope3_SourceData.Scope3_Other_Data(), Table_SourceData_Scope3_Other[[#Headers],[Category]], 0, 2)</f>
        <v>Sorghum grain (for seed)</v>
      </c>
      <c r="F208" s="10" t="str" cm="1">
        <f t="array" ref="F208">Common_InputFunctions.Utility_DisplayArrayInTable(Scope3_SourceData.Scope3_Other_Data(), Table_SourceData_Scope3_Other[[#Headers],[Category]], 0, 2)</f>
        <v>Australia</v>
      </c>
      <c r="G208" s="10" t="str" cm="1">
        <f t="array" ref="G208">Common_InputFunctions.Utility_DisplayArrayInTable(Scope3_SourceData.Scope3_Other_Data(), Table_SourceData_Scope3_Other[[#Headers],[Category]], 0, 2)</f>
        <v>kg</v>
      </c>
      <c r="H208" s="10" cm="1">
        <f t="array" ref="H208">Common_InputFunctions.Utility_DisplayArrayInTable(Scope3_SourceData.Scope3_Other_Data(), Table_SourceData_Scope3_Other[[#Headers],[Category]], 0, 2)</f>
        <v>0.23200000000000001</v>
      </c>
      <c r="I208" s="10" t="str" cm="1">
        <f t="array" ref="I208">Common_InputFunctions.Utility_DisplayArrayInTable(Scope3_SourceData.Scope3_Other_Data(), Table_SourceData_Scope3_Other[[#Headers],[Category]], 0, 2)</f>
        <v>at market</v>
      </c>
      <c r="N208" s="10"/>
      <c r="O208" s="10"/>
      <c r="P208" s="10"/>
    </row>
    <row r="209" spans="4:16" ht="20.100000000000001" customHeight="1" x14ac:dyDescent="0.25">
      <c r="D209" s="10" t="str" cm="1">
        <f t="array" ref="D209">Common_InputFunctions.Utility_DisplayArrayInTable(Scope3_SourceData.Scope3_Other_Data(), Table_SourceData_Scope3_Other[[#Headers],[Category]], 0, 2)</f>
        <v>Other</v>
      </c>
      <c r="E209" s="10" t="str" cm="1">
        <f t="array" ref="E209">Common_InputFunctions.Utility_DisplayArrayInTable(Scope3_SourceData.Scope3_Other_Data(), Table_SourceData_Scope3_Other[[#Headers],[Category]], 0, 2)</f>
        <v>Wheat grain (for seed)</v>
      </c>
      <c r="F209" s="10" t="str" cm="1">
        <f t="array" ref="F209">Common_InputFunctions.Utility_DisplayArrayInTable(Scope3_SourceData.Scope3_Other_Data(), Table_SourceData_Scope3_Other[[#Headers],[Category]], 0, 2)</f>
        <v>Australia</v>
      </c>
      <c r="G209" s="10" t="str" cm="1">
        <f t="array" ref="G209">Common_InputFunctions.Utility_DisplayArrayInTable(Scope3_SourceData.Scope3_Other_Data(), Table_SourceData_Scope3_Other[[#Headers],[Category]], 0, 2)</f>
        <v>kg</v>
      </c>
      <c r="H209" s="10" cm="1">
        <f t="array" ref="H209">Common_InputFunctions.Utility_DisplayArrayInTable(Scope3_SourceData.Scope3_Other_Data(), Table_SourceData_Scope3_Other[[#Headers],[Category]], 0, 2)</f>
        <v>0.26800000000000002</v>
      </c>
      <c r="I209" s="10" t="str" cm="1">
        <f t="array" ref="I209">Common_InputFunctions.Utility_DisplayArrayInTable(Scope3_SourceData.Scope3_Other_Data(), Table_SourceData_Scope3_Other[[#Headers],[Category]], 0, 2)</f>
        <v>at market</v>
      </c>
      <c r="N209" s="10"/>
      <c r="O209" s="10"/>
      <c r="P209" s="10"/>
    </row>
    <row r="210" spans="4:16" ht="20.100000000000001" customHeight="1" x14ac:dyDescent="0.25">
      <c r="N210" s="10"/>
      <c r="O210" s="10"/>
      <c r="P210" s="10"/>
    </row>
    <row r="211" spans="4:16" ht="20.100000000000001" customHeight="1" x14ac:dyDescent="0.25">
      <c r="D211" s="9" t="s">
        <v>359</v>
      </c>
    </row>
    <row r="212" spans="4:16" ht="20.100000000000001" customHeight="1" x14ac:dyDescent="0.25">
      <c r="D212" s="10" t="s">
        <v>311</v>
      </c>
      <c r="E212" s="10" t="s">
        <v>212</v>
      </c>
      <c r="F212" s="10" t="s">
        <v>312</v>
      </c>
      <c r="G212" s="10" t="s">
        <v>278</v>
      </c>
      <c r="H212" s="10" t="s">
        <v>279</v>
      </c>
      <c r="I212" s="10" t="s">
        <v>354</v>
      </c>
    </row>
    <row r="213" spans="4:16" ht="20.100000000000001" customHeight="1" x14ac:dyDescent="0.25">
      <c r="D213" s="10" t="str" cm="1">
        <f t="array" ref="D213">Common_InputFunctions.Utility_DisplayArrayInTable(Scope3_SourceData.Scope3_Packaging_Data(), Table_SourceData_Scope3_Packaging[[#Headers],[Category]], 0, 2)</f>
        <v>Packaging</v>
      </c>
      <c r="E213" s="10" t="str" cm="1">
        <f t="array" ref="E213">Common_InputFunctions.Utility_DisplayArrayInTable(Scope3_SourceData.Scope3_Packaging_Data(), Table_SourceData_Scope3_Packaging[[#Headers],[Category]], 0, 2)</f>
        <v>Corrugated board</v>
      </c>
      <c r="F213" s="10" t="str" cm="1">
        <f t="array" ref="F213">Common_InputFunctions.Utility_DisplayArrayInTable(Scope3_SourceData.Scope3_Packaging_Data(), Table_SourceData_Scope3_Packaging[[#Headers],[Category]], 0, 2)</f>
        <v>Global</v>
      </c>
      <c r="G213" s="10" t="str" cm="1">
        <f t="array" ref="G213">Common_InputFunctions.Utility_DisplayArrayInTable(Scope3_SourceData.Scope3_Packaging_Data(), Table_SourceData_Scope3_Packaging[[#Headers],[Category]], 0, 2)</f>
        <v>kg</v>
      </c>
      <c r="H213" s="10" cm="1">
        <f t="array" ref="H213">Common_InputFunctions.Utility_DisplayArrayInTable(Scope3_SourceData.Scope3_Packaging_Data(), Table_SourceData_Scope3_Packaging[[#Headers],[Category]], 0, 2)</f>
        <v>1.05</v>
      </c>
      <c r="I213" s="10" t="str" cm="1">
        <f t="array" ref="I213">Common_InputFunctions.Utility_DisplayArrayInTable(Scope3_SourceData.Scope3_Packaging_Data(), Table_SourceData_Scope3_Packaging[[#Headers],[Category]], 0, 2)</f>
        <v>at manufacturer</v>
      </c>
    </row>
    <row r="214" spans="4:16" ht="20.100000000000001" customHeight="1" x14ac:dyDescent="0.25">
      <c r="D214" s="10" t="str" cm="1">
        <f t="array" ref="D214">Common_InputFunctions.Utility_DisplayArrayInTable(Scope3_SourceData.Scope3_Packaging_Data(), Table_SourceData_Scope3_Packaging[[#Headers],[Category]], 0, 2)</f>
        <v>Packaging</v>
      </c>
      <c r="E214" s="10" t="str" cm="1">
        <f t="array" ref="E214">Common_InputFunctions.Utility_DisplayArrayInTable(Scope3_SourceData.Scope3_Packaging_Data(), Table_SourceData_Scope3_Packaging[[#Headers],[Category]], 0, 2)</f>
        <v>Plastic crate polypropylene</v>
      </c>
      <c r="F214" s="10" t="str" cm="1">
        <f t="array" ref="F214">Common_InputFunctions.Utility_DisplayArrayInTable(Scope3_SourceData.Scope3_Packaging_Data(), Table_SourceData_Scope3_Packaging[[#Headers],[Category]], 0, 2)</f>
        <v>Global</v>
      </c>
      <c r="G214" s="10" t="str" cm="1">
        <f t="array" ref="G214">Common_InputFunctions.Utility_DisplayArrayInTable(Scope3_SourceData.Scope3_Packaging_Data(), Table_SourceData_Scope3_Packaging[[#Headers],[Category]], 0, 2)</f>
        <v>p</v>
      </c>
      <c r="H214" s="10" cm="1">
        <f t="array" ref="H214">Common_InputFunctions.Utility_DisplayArrayInTable(Scope3_SourceData.Scope3_Packaging_Data(), Table_SourceData_Scope3_Packaging[[#Headers],[Category]], 0, 2)</f>
        <v>3.99</v>
      </c>
      <c r="I214" s="10" t="str" cm="1">
        <f t="array" ref="I214">Common_InputFunctions.Utility_DisplayArrayInTable(Scope3_SourceData.Scope3_Packaging_Data(), Table_SourceData_Scope3_Packaging[[#Headers],[Category]], 0, 2)</f>
        <v>at manufacturer</v>
      </c>
    </row>
    <row r="215" spans="4:16" ht="20.100000000000001" customHeight="1" x14ac:dyDescent="0.25">
      <c r="D215" s="10" t="str" cm="1">
        <f t="array" ref="D215">Common_InputFunctions.Utility_DisplayArrayInTable(Scope3_SourceData.Scope3_Packaging_Data(), Table_SourceData_Scope3_Packaging[[#Headers],[Category]], 0, 2)</f>
        <v>Packaging</v>
      </c>
      <c r="E215" s="10" t="str" cm="1">
        <f t="array" ref="E215">Common_InputFunctions.Utility_DisplayArrayInTable(Scope3_SourceData.Scope3_Packaging_Data(), Table_SourceData_Scope3_Packaging[[#Headers],[Category]], 0, 2)</f>
        <v>Plastic film LDPE</v>
      </c>
      <c r="F215" s="10" t="str" cm="1">
        <f t="array" ref="F215">Common_InputFunctions.Utility_DisplayArrayInTable(Scope3_SourceData.Scope3_Packaging_Data(), Table_SourceData_Scope3_Packaging[[#Headers],[Category]], 0, 2)</f>
        <v>Global</v>
      </c>
      <c r="G215" s="10" t="str" cm="1">
        <f t="array" ref="G215">Common_InputFunctions.Utility_DisplayArrayInTable(Scope3_SourceData.Scope3_Packaging_Data(), Table_SourceData_Scope3_Packaging[[#Headers],[Category]], 0, 2)</f>
        <v>kg</v>
      </c>
      <c r="H215" s="10" cm="1">
        <f t="array" ref="H215">Common_InputFunctions.Utility_DisplayArrayInTable(Scope3_SourceData.Scope3_Packaging_Data(), Table_SourceData_Scope3_Packaging[[#Headers],[Category]], 0, 2)</f>
        <v>3.44</v>
      </c>
      <c r="I215" s="10" t="str" cm="1">
        <f t="array" ref="I215">Common_InputFunctions.Utility_DisplayArrayInTable(Scope3_SourceData.Scope3_Packaging_Data(), Table_SourceData_Scope3_Packaging[[#Headers],[Category]], 0, 2)</f>
        <v>at manufacturer</v>
      </c>
    </row>
    <row r="216" spans="4:16" ht="20.100000000000001" customHeight="1" x14ac:dyDescent="0.25">
      <c r="D216" s="10" t="str" cm="1">
        <f t="array" ref="D216">Common_InputFunctions.Utility_DisplayArrayInTable(Scope3_SourceData.Scope3_Packaging_Data(), Table_SourceData_Scope3_Packaging[[#Headers],[Category]], 0, 2)</f>
        <v>Packaging</v>
      </c>
      <c r="E216" s="10" t="str" cm="1">
        <f t="array" ref="E216">Common_InputFunctions.Utility_DisplayArrayInTable(Scope3_SourceData.Scope3_Packaging_Data(), Table_SourceData_Scope3_Packaging[[#Headers],[Category]], 0, 2)</f>
        <v>Plastic sheet HDPE</v>
      </c>
      <c r="F216" s="10" t="str" cm="1">
        <f t="array" ref="F216">Common_InputFunctions.Utility_DisplayArrayInTable(Scope3_SourceData.Scope3_Packaging_Data(), Table_SourceData_Scope3_Packaging[[#Headers],[Category]], 0, 2)</f>
        <v>Global</v>
      </c>
      <c r="G216" s="10" t="str" cm="1">
        <f t="array" ref="G216">Common_InputFunctions.Utility_DisplayArrayInTable(Scope3_SourceData.Scope3_Packaging_Data(), Table_SourceData_Scope3_Packaging[[#Headers],[Category]], 0, 2)</f>
        <v>kg</v>
      </c>
      <c r="H216" s="10" cm="1">
        <f t="array" ref="H216">Common_InputFunctions.Utility_DisplayArrayInTable(Scope3_SourceData.Scope3_Packaging_Data(), Table_SourceData_Scope3_Packaging[[#Headers],[Category]], 0, 2)</f>
        <v>3.72</v>
      </c>
      <c r="I216" s="10" t="str" cm="1">
        <f t="array" ref="I216">Common_InputFunctions.Utility_DisplayArrayInTable(Scope3_SourceData.Scope3_Packaging_Data(), Table_SourceData_Scope3_Packaging[[#Headers],[Category]], 0, 2)</f>
        <v>at manufacturer</v>
      </c>
    </row>
    <row r="217" spans="4:16" ht="20.100000000000001" customHeight="1" x14ac:dyDescent="0.25"/>
    <row r="218" spans="4:16" ht="20.100000000000001" customHeight="1" x14ac:dyDescent="0.25">
      <c r="D218" s="9" t="s">
        <v>360</v>
      </c>
    </row>
    <row r="219" spans="4:16" ht="20.100000000000001" customHeight="1" x14ac:dyDescent="0.25">
      <c r="D219" s="10" t="s">
        <v>311</v>
      </c>
      <c r="E219" s="10" t="s">
        <v>212</v>
      </c>
      <c r="F219" s="10" t="s">
        <v>312</v>
      </c>
      <c r="G219" s="10" t="s">
        <v>278</v>
      </c>
      <c r="H219" s="10" t="s">
        <v>279</v>
      </c>
      <c r="I219" s="10" t="s">
        <v>354</v>
      </c>
    </row>
    <row r="220" spans="4:16" ht="20.100000000000001" customHeight="1" x14ac:dyDescent="0.25">
      <c r="D220" s="10" t="str" cm="1">
        <f t="array" ref="D220">Common_InputFunctions.Utility_DisplayArrayInTable(Scope3_SourceData.Scope3_Pesticides_Data(), Table_SourceData_Scope3_Pesticides[[#Headers],[Category]], 0, 2)</f>
        <v>Pesticides</v>
      </c>
      <c r="E220" s="10" t="str" cm="1">
        <f t="array" ref="E220">Common_InputFunctions.Utility_DisplayArrayInTable(Scope3_SourceData.Scope3_Pesticides_Data(), Table_SourceData_Scope3_Pesticides[[#Headers],[Category]], 0, 2)</f>
        <v>2,4-D</v>
      </c>
      <c r="F220" s="10" t="str" cm="1">
        <f t="array" ref="F220">Common_InputFunctions.Utility_DisplayArrayInTable(Scope3_SourceData.Scope3_Pesticides_Data(), Table_SourceData_Scope3_Pesticides[[#Headers],[Category]], 0, 2)</f>
        <v>Global</v>
      </c>
      <c r="G220" s="10" t="str" cm="1">
        <f t="array" ref="G220">Common_InputFunctions.Utility_DisplayArrayInTable(Scope3_SourceData.Scope3_Pesticides_Data(), Table_SourceData_Scope3_Pesticides[[#Headers],[Category]], 0, 2)</f>
        <v>kg AI</v>
      </c>
      <c r="H220" s="10" cm="1">
        <f t="array" ref="H220">Common_InputFunctions.Utility_DisplayArrayInTable(Scope3_SourceData.Scope3_Pesticides_Data(), Table_SourceData_Scope3_Pesticides[[#Headers],[Category]], 0, 2)</f>
        <v>5.2</v>
      </c>
      <c r="I220" s="10" t="str" cm="1">
        <f t="array" ref="I220">Common_InputFunctions.Utility_DisplayArrayInTable(Scope3_SourceData.Scope3_Pesticides_Data(), Table_SourceData_Scope3_Pesticides[[#Headers],[Category]], 0, 2)</f>
        <v>at market</v>
      </c>
    </row>
    <row r="221" spans="4:16" ht="20.100000000000001" customHeight="1" x14ac:dyDescent="0.25">
      <c r="D221" s="10" t="str" cm="1">
        <f t="array" ref="D221">Common_InputFunctions.Utility_DisplayArrayInTable(Scope3_SourceData.Scope3_Pesticides_Data(), Table_SourceData_Scope3_Pesticides[[#Headers],[Category]], 0, 2)</f>
        <v>Pesticides</v>
      </c>
      <c r="E221" s="10" t="str" cm="1">
        <f t="array" ref="E221">Common_InputFunctions.Utility_DisplayArrayInTable(Scope3_SourceData.Scope3_Pesticides_Data(), Table_SourceData_Scope3_Pesticides[[#Headers],[Category]], 0, 2)</f>
        <v>Atrazine</v>
      </c>
      <c r="F221" s="10" t="str" cm="1">
        <f t="array" ref="F221">Common_InputFunctions.Utility_DisplayArrayInTable(Scope3_SourceData.Scope3_Pesticides_Data(), Table_SourceData_Scope3_Pesticides[[#Headers],[Category]], 0, 2)</f>
        <v>Global</v>
      </c>
      <c r="G221" s="10" t="str" cm="1">
        <f t="array" ref="G221">Common_InputFunctions.Utility_DisplayArrayInTable(Scope3_SourceData.Scope3_Pesticides_Data(), Table_SourceData_Scope3_Pesticides[[#Headers],[Category]], 0, 2)</f>
        <v>kg AI</v>
      </c>
      <c r="H221" s="10" cm="1">
        <f t="array" ref="H221">Common_InputFunctions.Utility_DisplayArrayInTable(Scope3_SourceData.Scope3_Pesticides_Data(), Table_SourceData_Scope3_Pesticides[[#Headers],[Category]], 0, 2)</f>
        <v>8.3800000000000008</v>
      </c>
      <c r="I221" s="10" t="str" cm="1">
        <f t="array" ref="I221">Common_InputFunctions.Utility_DisplayArrayInTable(Scope3_SourceData.Scope3_Pesticides_Data(), Table_SourceData_Scope3_Pesticides[[#Headers],[Category]], 0, 2)</f>
        <v>at market</v>
      </c>
    </row>
    <row r="222" spans="4:16" ht="20.100000000000001" customHeight="1" x14ac:dyDescent="0.25">
      <c r="D222" s="10" t="str" cm="1">
        <f t="array" ref="D222">Common_InputFunctions.Utility_DisplayArrayInTable(Scope3_SourceData.Scope3_Pesticides_Data(), Table_SourceData_Scope3_Pesticides[[#Headers],[Category]], 0, 2)</f>
        <v>Pesticides</v>
      </c>
      <c r="E222" s="10" t="str" cm="1">
        <f t="array" ref="E222">Common_InputFunctions.Utility_DisplayArrayInTable(Scope3_SourceData.Scope3_Pesticides_Data(), Table_SourceData_Scope3_Pesticides[[#Headers],[Category]], 0, 2)</f>
        <v>Diuron</v>
      </c>
      <c r="F222" s="10" t="str" cm="1">
        <f t="array" ref="F222">Common_InputFunctions.Utility_DisplayArrayInTable(Scope3_SourceData.Scope3_Pesticides_Data(), Table_SourceData_Scope3_Pesticides[[#Headers],[Category]], 0, 2)</f>
        <v>Global</v>
      </c>
      <c r="G222" s="10" t="str" cm="1">
        <f t="array" ref="G222">Common_InputFunctions.Utility_DisplayArrayInTable(Scope3_SourceData.Scope3_Pesticides_Data(), Table_SourceData_Scope3_Pesticides[[#Headers],[Category]], 0, 2)</f>
        <v>kg AI</v>
      </c>
      <c r="H222" s="10" cm="1">
        <f t="array" ref="H222">Common_InputFunctions.Utility_DisplayArrayInTable(Scope3_SourceData.Scope3_Pesticides_Data(), Table_SourceData_Scope3_Pesticides[[#Headers],[Category]], 0, 2)</f>
        <v>8.8000000000000007</v>
      </c>
      <c r="I222" s="10" t="str" cm="1">
        <f t="array" ref="I222">Common_InputFunctions.Utility_DisplayArrayInTable(Scope3_SourceData.Scope3_Pesticides_Data(), Table_SourceData_Scope3_Pesticides[[#Headers],[Category]], 0, 2)</f>
        <v>at market</v>
      </c>
    </row>
    <row r="223" spans="4:16" ht="20.100000000000001" customHeight="1" x14ac:dyDescent="0.25">
      <c r="D223" s="10" t="str" cm="1">
        <f t="array" ref="D223">Common_InputFunctions.Utility_DisplayArrayInTable(Scope3_SourceData.Scope3_Pesticides_Data(), Table_SourceData_Scope3_Pesticides[[#Headers],[Category]], 0, 2)</f>
        <v>Pesticides</v>
      </c>
      <c r="E223" s="10" t="str" cm="1">
        <f t="array" ref="E223">Common_InputFunctions.Utility_DisplayArrayInTable(Scope3_SourceData.Scope3_Pesticides_Data(), Table_SourceData_Scope3_Pesticides[[#Headers],[Category]], 0, 2)</f>
        <v>Glyphosate</v>
      </c>
      <c r="F223" s="10" t="str" cm="1">
        <f t="array" ref="F223">Common_InputFunctions.Utility_DisplayArrayInTable(Scope3_SourceData.Scope3_Pesticides_Data(), Table_SourceData_Scope3_Pesticides[[#Headers],[Category]], 0, 2)</f>
        <v>Global</v>
      </c>
      <c r="G223" s="10" t="str" cm="1">
        <f t="array" ref="G223">Common_InputFunctions.Utility_DisplayArrayInTable(Scope3_SourceData.Scope3_Pesticides_Data(), Table_SourceData_Scope3_Pesticides[[#Headers],[Category]], 0, 2)</f>
        <v>kg AI</v>
      </c>
      <c r="H223" s="10" cm="1">
        <f t="array" ref="H223">Common_InputFunctions.Utility_DisplayArrayInTable(Scope3_SourceData.Scope3_Pesticides_Data(), Table_SourceData_Scope3_Pesticides[[#Headers],[Category]], 0, 2)</f>
        <v>10.3</v>
      </c>
      <c r="I223" s="10" t="str" cm="1">
        <f t="array" ref="I223">Common_InputFunctions.Utility_DisplayArrayInTable(Scope3_SourceData.Scope3_Pesticides_Data(), Table_SourceData_Scope3_Pesticides[[#Headers],[Category]], 0, 2)</f>
        <v>at market</v>
      </c>
    </row>
    <row r="224" spans="4:16" ht="20.100000000000001" customHeight="1" x14ac:dyDescent="0.25">
      <c r="D224" s="10" t="str" cm="1">
        <f t="array" ref="D224">Common_InputFunctions.Utility_DisplayArrayInTable(Scope3_SourceData.Scope3_Pesticides_Data(), Table_SourceData_Scope3_Pesticides[[#Headers],[Category]], 0, 2)</f>
        <v>Pesticides</v>
      </c>
      <c r="E224" s="10" t="str" cm="1">
        <f t="array" ref="E224">Common_InputFunctions.Utility_DisplayArrayInTable(Scope3_SourceData.Scope3_Pesticides_Data(), Table_SourceData_Scope3_Pesticides[[#Headers],[Category]], 0, 2)</f>
        <v>Mancozeb</v>
      </c>
      <c r="F224" s="10" t="str" cm="1">
        <f t="array" ref="F224">Common_InputFunctions.Utility_DisplayArrayInTable(Scope3_SourceData.Scope3_Pesticides_Data(), Table_SourceData_Scope3_Pesticides[[#Headers],[Category]], 0, 2)</f>
        <v>Global</v>
      </c>
      <c r="G224" s="10" t="str" cm="1">
        <f t="array" ref="G224">Common_InputFunctions.Utility_DisplayArrayInTable(Scope3_SourceData.Scope3_Pesticides_Data(), Table_SourceData_Scope3_Pesticides[[#Headers],[Category]], 0, 2)</f>
        <v>kg AI</v>
      </c>
      <c r="H224" s="10" cm="1">
        <f t="array" ref="H224">Common_InputFunctions.Utility_DisplayArrayInTable(Scope3_SourceData.Scope3_Pesticides_Data(), Table_SourceData_Scope3_Pesticides[[#Headers],[Category]], 0, 2)</f>
        <v>4.55</v>
      </c>
      <c r="I224" s="10" t="str" cm="1">
        <f t="array" ref="I224">Common_InputFunctions.Utility_DisplayArrayInTable(Scope3_SourceData.Scope3_Pesticides_Data(), Table_SourceData_Scope3_Pesticides[[#Headers],[Category]], 0, 2)</f>
        <v>at market</v>
      </c>
    </row>
    <row r="225" spans="4:9" ht="20.100000000000001" customHeight="1" x14ac:dyDescent="0.25">
      <c r="D225" s="10" t="str" cm="1">
        <f t="array" ref="D225">Common_InputFunctions.Utility_DisplayArrayInTable(Scope3_SourceData.Scope3_Pesticides_Data(), Table_SourceData_Scope3_Pesticides[[#Headers],[Category]], 0, 2)</f>
        <v>Pesticides</v>
      </c>
      <c r="E225" s="10" t="str" cm="1">
        <f t="array" ref="E225">Common_InputFunctions.Utility_DisplayArrayInTable(Scope3_SourceData.Scope3_Pesticides_Data(), Table_SourceData_Scope3_Pesticides[[#Headers],[Category]], 0, 2)</f>
        <v>MCPA</v>
      </c>
      <c r="F225" s="10" t="str" cm="1">
        <f t="array" ref="F225">Common_InputFunctions.Utility_DisplayArrayInTable(Scope3_SourceData.Scope3_Pesticides_Data(), Table_SourceData_Scope3_Pesticides[[#Headers],[Category]], 0, 2)</f>
        <v>Global</v>
      </c>
      <c r="G225" s="10" t="str" cm="1">
        <f t="array" ref="G225">Common_InputFunctions.Utility_DisplayArrayInTable(Scope3_SourceData.Scope3_Pesticides_Data(), Table_SourceData_Scope3_Pesticides[[#Headers],[Category]], 0, 2)</f>
        <v>kg AI</v>
      </c>
      <c r="H225" s="10" cm="1">
        <f t="array" ref="H225">Common_InputFunctions.Utility_DisplayArrayInTable(Scope3_SourceData.Scope3_Pesticides_Data(), Table_SourceData_Scope3_Pesticides[[#Headers],[Category]], 0, 2)</f>
        <v>5.6</v>
      </c>
      <c r="I225" s="10" t="str" cm="1">
        <f t="array" ref="I225">Common_InputFunctions.Utility_DisplayArrayInTable(Scope3_SourceData.Scope3_Pesticides_Data(), Table_SourceData_Scope3_Pesticides[[#Headers],[Category]], 0, 2)</f>
        <v>at market</v>
      </c>
    </row>
    <row r="226" spans="4:9" ht="20.100000000000001" customHeight="1" x14ac:dyDescent="0.25">
      <c r="D226" s="10" t="str" cm="1">
        <f t="array" ref="D226">Common_InputFunctions.Utility_DisplayArrayInTable(Scope3_SourceData.Scope3_Pesticides_Data(), Table_SourceData_Scope3_Pesticides[[#Headers],[Category]], 0, 2)</f>
        <v>Pesticides</v>
      </c>
      <c r="E226" s="10" t="str" cm="1">
        <f t="array" ref="E226">Common_InputFunctions.Utility_DisplayArrayInTable(Scope3_SourceData.Scope3_Pesticides_Data(), Table_SourceData_Scope3_Pesticides[[#Headers],[Category]], 0, 2)</f>
        <v>Metolachlor</v>
      </c>
      <c r="F226" s="10" t="str" cm="1">
        <f t="array" ref="F226">Common_InputFunctions.Utility_DisplayArrayInTable(Scope3_SourceData.Scope3_Pesticides_Data(), Table_SourceData_Scope3_Pesticides[[#Headers],[Category]], 0, 2)</f>
        <v>Global</v>
      </c>
      <c r="G226" s="10" t="str" cm="1">
        <f t="array" ref="G226">Common_InputFunctions.Utility_DisplayArrayInTable(Scope3_SourceData.Scope3_Pesticides_Data(), Table_SourceData_Scope3_Pesticides[[#Headers],[Category]], 0, 2)</f>
        <v>kg AI</v>
      </c>
      <c r="H226" s="10" cm="1">
        <f t="array" ref="H226">Common_InputFunctions.Utility_DisplayArrayInTable(Scope3_SourceData.Scope3_Pesticides_Data(), Table_SourceData_Scope3_Pesticides[[#Headers],[Category]], 0, 2)</f>
        <v>8.06</v>
      </c>
      <c r="I226" s="10" t="str" cm="1">
        <f t="array" ref="I226">Common_InputFunctions.Utility_DisplayArrayInTable(Scope3_SourceData.Scope3_Pesticides_Data(), Table_SourceData_Scope3_Pesticides[[#Headers],[Category]], 0, 2)</f>
        <v>at market</v>
      </c>
    </row>
    <row r="227" spans="4:9" ht="20.100000000000001" customHeight="1" x14ac:dyDescent="0.25">
      <c r="D227" s="10" t="str" cm="1">
        <f t="array" ref="D227">Common_InputFunctions.Utility_DisplayArrayInTable(Scope3_SourceData.Scope3_Pesticides_Data(), Table_SourceData_Scope3_Pesticides[[#Headers],[Category]], 0, 2)</f>
        <v>Pesticides</v>
      </c>
      <c r="E227" s="10" t="str" cm="1">
        <f t="array" ref="E227">Common_InputFunctions.Utility_DisplayArrayInTable(Scope3_SourceData.Scope3_Pesticides_Data(), Table_SourceData_Scope3_Pesticides[[#Headers],[Category]], 0, 2)</f>
        <v>Metsulfuron-methyl</v>
      </c>
      <c r="F227" s="10" t="str" cm="1">
        <f t="array" ref="F227">Common_InputFunctions.Utility_DisplayArrayInTable(Scope3_SourceData.Scope3_Pesticides_Data(), Table_SourceData_Scope3_Pesticides[[#Headers],[Category]], 0, 2)</f>
        <v>Global</v>
      </c>
      <c r="G227" s="10" t="str" cm="1">
        <f t="array" ref="G227">Common_InputFunctions.Utility_DisplayArrayInTable(Scope3_SourceData.Scope3_Pesticides_Data(), Table_SourceData_Scope3_Pesticides[[#Headers],[Category]], 0, 2)</f>
        <v>kg AI</v>
      </c>
      <c r="H227" s="10" cm="1">
        <f t="array" ref="H227">Common_InputFunctions.Utility_DisplayArrayInTable(Scope3_SourceData.Scope3_Pesticides_Data(), Table_SourceData_Scope3_Pesticides[[#Headers],[Category]], 0, 2)</f>
        <v>8.8000000000000007</v>
      </c>
      <c r="I227" s="10" t="str" cm="1">
        <f t="array" ref="I227">Common_InputFunctions.Utility_DisplayArrayInTable(Scope3_SourceData.Scope3_Pesticides_Data(), Table_SourceData_Scope3_Pesticides[[#Headers],[Category]], 0, 2)</f>
        <v>at market</v>
      </c>
    </row>
    <row r="228" spans="4:9" ht="20.100000000000001" customHeight="1" x14ac:dyDescent="0.25">
      <c r="D228" s="10" t="str" cm="1">
        <f t="array" ref="D228">Common_InputFunctions.Utility_DisplayArrayInTable(Scope3_SourceData.Scope3_Pesticides_Data(), Table_SourceData_Scope3_Pesticides[[#Headers],[Category]], 0, 2)</f>
        <v>Pesticides</v>
      </c>
      <c r="E228" s="10" t="str" cm="1">
        <f t="array" ref="E228">Common_InputFunctions.Utility_DisplayArrayInTable(Scope3_SourceData.Scope3_Pesticides_Data(), Table_SourceData_Scope3_Pesticides[[#Headers],[Category]], 0, 2)</f>
        <v>Pesticides (generic)</v>
      </c>
      <c r="F228" s="10" t="str" cm="1">
        <f t="array" ref="F228">Common_InputFunctions.Utility_DisplayArrayInTable(Scope3_SourceData.Scope3_Pesticides_Data(), Table_SourceData_Scope3_Pesticides[[#Headers],[Category]], 0, 2)</f>
        <v>Global</v>
      </c>
      <c r="G228" s="10" t="str" cm="1">
        <f t="array" ref="G228">Common_InputFunctions.Utility_DisplayArrayInTable(Scope3_SourceData.Scope3_Pesticides_Data(), Table_SourceData_Scope3_Pesticides[[#Headers],[Category]], 0, 2)</f>
        <v>kg AI</v>
      </c>
      <c r="H228" s="10" cm="1">
        <f t="array" ref="H228">Common_InputFunctions.Utility_DisplayArrayInTable(Scope3_SourceData.Scope3_Pesticides_Data(), Table_SourceData_Scope3_Pesticides[[#Headers],[Category]], 0, 2)</f>
        <v>9.16</v>
      </c>
      <c r="I228" s="10" t="str" cm="1">
        <f t="array" ref="I228">Common_InputFunctions.Utility_DisplayArrayInTable(Scope3_SourceData.Scope3_Pesticides_Data(), Table_SourceData_Scope3_Pesticides[[#Headers],[Category]], 0, 2)</f>
        <v>at market</v>
      </c>
    </row>
    <row r="229" spans="4:9" ht="20.100000000000001" customHeight="1" x14ac:dyDescent="0.25">
      <c r="D229" s="10" t="str" cm="1">
        <f t="array" ref="D229">Common_InputFunctions.Utility_DisplayArrayInTable(Scope3_SourceData.Scope3_Pesticides_Data(), Table_SourceData_Scope3_Pesticides[[#Headers],[Category]], 0, 2)</f>
        <v>Pesticides</v>
      </c>
      <c r="E229" s="10" t="str" cm="1">
        <f t="array" ref="E229">Common_InputFunctions.Utility_DisplayArrayInTable(Scope3_SourceData.Scope3_Pesticides_Data(), Table_SourceData_Scope3_Pesticides[[#Headers],[Category]], 0, 2)</f>
        <v>Tri-allate</v>
      </c>
      <c r="F229" s="10" t="str" cm="1">
        <f t="array" ref="F229">Common_InputFunctions.Utility_DisplayArrayInTable(Scope3_SourceData.Scope3_Pesticides_Data(), Table_SourceData_Scope3_Pesticides[[#Headers],[Category]], 0, 2)</f>
        <v>Global</v>
      </c>
      <c r="G229" s="10" t="str" cm="1">
        <f t="array" ref="G229">Common_InputFunctions.Utility_DisplayArrayInTable(Scope3_SourceData.Scope3_Pesticides_Data(), Table_SourceData_Scope3_Pesticides[[#Headers],[Category]], 0, 2)</f>
        <v>kg AI</v>
      </c>
      <c r="H229" s="10" cm="1">
        <f t="array" ref="H229">Common_InputFunctions.Utility_DisplayArrayInTable(Scope3_SourceData.Scope3_Pesticides_Data(), Table_SourceData_Scope3_Pesticides[[#Headers],[Category]], 0, 2)</f>
        <v>8.57</v>
      </c>
      <c r="I229" s="10" t="str" cm="1">
        <f t="array" ref="I229">Common_InputFunctions.Utility_DisplayArrayInTable(Scope3_SourceData.Scope3_Pesticides_Data(), Table_SourceData_Scope3_Pesticides[[#Headers],[Category]], 0, 2)</f>
        <v>at market</v>
      </c>
    </row>
    <row r="230" spans="4:9" ht="20.100000000000001" customHeight="1" x14ac:dyDescent="0.25">
      <c r="D230" s="10" t="str" cm="1">
        <f t="array" ref="D230">Common_InputFunctions.Utility_DisplayArrayInTable(Scope3_SourceData.Scope3_Pesticides_Data(), Table_SourceData_Scope3_Pesticides[[#Headers],[Category]], 0, 2)</f>
        <v>Pesticides</v>
      </c>
      <c r="E230" s="10" t="str" cm="1">
        <f t="array" ref="E230">Common_InputFunctions.Utility_DisplayArrayInTable(Scope3_SourceData.Scope3_Pesticides_Data(), Table_SourceData_Scope3_Pesticides[[#Headers],[Category]], 0, 2)</f>
        <v>Tribenuron methyl</v>
      </c>
      <c r="F230" s="10" t="str" cm="1">
        <f t="array" ref="F230">Common_InputFunctions.Utility_DisplayArrayInTable(Scope3_SourceData.Scope3_Pesticides_Data(), Table_SourceData_Scope3_Pesticides[[#Headers],[Category]], 0, 2)</f>
        <v>Global</v>
      </c>
      <c r="G230" s="10" t="str" cm="1">
        <f t="array" ref="G230">Common_InputFunctions.Utility_DisplayArrayInTable(Scope3_SourceData.Scope3_Pesticides_Data(), Table_SourceData_Scope3_Pesticides[[#Headers],[Category]], 0, 2)</f>
        <v>kg AI</v>
      </c>
      <c r="H230" s="10" cm="1">
        <f t="array" ref="H230">Common_InputFunctions.Utility_DisplayArrayInTable(Scope3_SourceData.Scope3_Pesticides_Data(), Table_SourceData_Scope3_Pesticides[[#Headers],[Category]], 0, 2)</f>
        <v>8.8000000000000007</v>
      </c>
      <c r="I230" s="10" t="str" cm="1">
        <f t="array" ref="I230">Common_InputFunctions.Utility_DisplayArrayInTable(Scope3_SourceData.Scope3_Pesticides_Data(), Table_SourceData_Scope3_Pesticides[[#Headers],[Category]], 0, 2)</f>
        <v>at market</v>
      </c>
    </row>
    <row r="231" spans="4:9" ht="20.100000000000001" customHeight="1" x14ac:dyDescent="0.25">
      <c r="D231" s="10" t="str" cm="1">
        <f t="array" ref="D231">Common_InputFunctions.Utility_DisplayArrayInTable(Scope3_SourceData.Scope3_Pesticides_Data(), Table_SourceData_Scope3_Pesticides[[#Headers],[Category]], 0, 2)</f>
        <v>Pesticides</v>
      </c>
      <c r="E231" s="10" t="str" cm="1">
        <f t="array" ref="E231">Common_InputFunctions.Utility_DisplayArrayInTable(Scope3_SourceData.Scope3_Pesticides_Data(), Table_SourceData_Scope3_Pesticides[[#Headers],[Category]], 0, 2)</f>
        <v>Trifluralin</v>
      </c>
      <c r="F231" s="10" t="str" cm="1">
        <f t="array" ref="F231">Common_InputFunctions.Utility_DisplayArrayInTable(Scope3_SourceData.Scope3_Pesticides_Data(), Table_SourceData_Scope3_Pesticides[[#Headers],[Category]], 0, 2)</f>
        <v>Global</v>
      </c>
      <c r="G231" s="10" t="str" cm="1">
        <f t="array" ref="G231">Common_InputFunctions.Utility_DisplayArrayInTable(Scope3_SourceData.Scope3_Pesticides_Data(), Table_SourceData_Scope3_Pesticides[[#Headers],[Category]], 0, 2)</f>
        <v>kg AI</v>
      </c>
      <c r="H231" s="10" cm="1">
        <f t="array" ref="H231">Common_InputFunctions.Utility_DisplayArrayInTable(Scope3_SourceData.Scope3_Pesticides_Data(), Table_SourceData_Scope3_Pesticides[[#Headers],[Category]], 0, 2)</f>
        <v>6.16</v>
      </c>
      <c r="I231" s="10" t="str" cm="1">
        <f t="array" ref="I231">Common_InputFunctions.Utility_DisplayArrayInTable(Scope3_SourceData.Scope3_Pesticides_Data(), Table_SourceData_Scope3_Pesticides[[#Headers],[Category]], 0, 2)</f>
        <v>at market</v>
      </c>
    </row>
    <row r="232" spans="4:9" ht="20.100000000000001" customHeight="1" x14ac:dyDescent="0.25"/>
    <row r="233" spans="4:9" ht="20.100000000000001" customHeight="1" x14ac:dyDescent="0.25">
      <c r="D233" s="9" t="s">
        <v>361</v>
      </c>
    </row>
    <row r="234" spans="4:9" ht="20.100000000000001" customHeight="1" x14ac:dyDescent="0.25">
      <c r="D234" s="10" t="s">
        <v>311</v>
      </c>
      <c r="E234" s="10" t="s">
        <v>212</v>
      </c>
      <c r="F234" s="10" t="s">
        <v>312</v>
      </c>
      <c r="G234" s="10" t="s">
        <v>278</v>
      </c>
      <c r="H234" s="10" t="s">
        <v>279</v>
      </c>
      <c r="I234" s="10" t="s">
        <v>354</v>
      </c>
    </row>
    <row r="235" spans="4:9" ht="20.100000000000001" customHeight="1" x14ac:dyDescent="0.25">
      <c r="D235" s="10" t="str" cm="1">
        <f t="array" ref="D235">Common_InputFunctions.Utility_DisplayArrayInTable(Scope3_SourceData.Scope3_SoilAmendments_Data(), Table_SourceData_Scope3_SoilAmeliorants[[#Headers],[Category]], 0, 2)</f>
        <v>Soil ameliorants</v>
      </c>
      <c r="E235" s="10" t="str" cm="1">
        <f t="array" ref="E235">Common_InputFunctions.Utility_DisplayArrayInTable(Scope3_SourceData.Scope3_SoilAmendments_Data(), Table_SourceData_Scope3_SoilAmeliorants[[#Headers],[Category]], 0, 2)</f>
        <v>Dolomite</v>
      </c>
      <c r="F235" s="10" t="str" cm="1">
        <f t="array" ref="F235">Common_InputFunctions.Utility_DisplayArrayInTable(Scope3_SourceData.Scope3_SoilAmendments_Data(), Table_SourceData_Scope3_SoilAmeliorants[[#Headers],[Category]], 0, 2)</f>
        <v>Australia</v>
      </c>
      <c r="G235" s="10" t="str" cm="1">
        <f t="array" ref="G235">Common_InputFunctions.Utility_DisplayArrayInTable(Scope3_SourceData.Scope3_SoilAmendments_Data(), Table_SourceData_Scope3_SoilAmeliorants[[#Headers],[Category]], 0, 2)</f>
        <v>kg</v>
      </c>
      <c r="H235" s="10" cm="1">
        <f t="array" ref="H235">Common_InputFunctions.Utility_DisplayArrayInTable(Scope3_SourceData.Scope3_SoilAmendments_Data(), Table_SourceData_Scope3_SoilAmeliorants[[#Headers],[Category]], 0, 2)</f>
        <v>6.5199999999999994E-2</v>
      </c>
      <c r="I235" s="10" t="str" cm="1">
        <f t="array" ref="I235">Common_InputFunctions.Utility_DisplayArrayInTable(Scope3_SourceData.Scope3_SoilAmendments_Data(), Table_SourceData_Scope3_SoilAmeliorants[[#Headers],[Category]], 0, 2)</f>
        <v>at market</v>
      </c>
    </row>
    <row r="236" spans="4:9" ht="20.100000000000001" customHeight="1" x14ac:dyDescent="0.25">
      <c r="D236" s="10" t="str" cm="1">
        <f t="array" ref="D236">Common_InputFunctions.Utility_DisplayArrayInTable(Scope3_SourceData.Scope3_SoilAmendments_Data(), Table_SourceData_Scope3_SoilAmeliorants[[#Headers],[Category]], 0, 2)</f>
        <v>Soil ameliorants</v>
      </c>
      <c r="E236" s="10" t="str" cm="1">
        <f t="array" ref="E236">Common_InputFunctions.Utility_DisplayArrayInTable(Scope3_SourceData.Scope3_SoilAmendments_Data(), Table_SourceData_Scope3_SoilAmeliorants[[#Headers],[Category]], 0, 2)</f>
        <v>Gypsum</v>
      </c>
      <c r="F236" s="10" t="str" cm="1">
        <f t="array" ref="F236">Common_InputFunctions.Utility_DisplayArrayInTable(Scope3_SourceData.Scope3_SoilAmendments_Data(), Table_SourceData_Scope3_SoilAmeliorants[[#Headers],[Category]], 0, 2)</f>
        <v>Australia</v>
      </c>
      <c r="G236" s="10" t="str" cm="1">
        <f t="array" ref="G236">Common_InputFunctions.Utility_DisplayArrayInTable(Scope3_SourceData.Scope3_SoilAmendments_Data(), Table_SourceData_Scope3_SoilAmeliorants[[#Headers],[Category]], 0, 2)</f>
        <v>kg</v>
      </c>
      <c r="H236" s="10" cm="1">
        <f t="array" ref="H236">Common_InputFunctions.Utility_DisplayArrayInTable(Scope3_SourceData.Scope3_SoilAmendments_Data(), Table_SourceData_Scope3_SoilAmeliorants[[#Headers],[Category]], 0, 2)</f>
        <v>6.5199999999999994E-2</v>
      </c>
      <c r="I236" s="10" t="str" cm="1">
        <f t="array" ref="I236">Common_InputFunctions.Utility_DisplayArrayInTable(Scope3_SourceData.Scope3_SoilAmendments_Data(), Table_SourceData_Scope3_SoilAmeliorants[[#Headers],[Category]], 0, 2)</f>
        <v>at market</v>
      </c>
    </row>
    <row r="237" spans="4:9" ht="20.100000000000001" customHeight="1" x14ac:dyDescent="0.25">
      <c r="D237" s="10" t="str" cm="1">
        <f t="array" ref="D237">Common_InputFunctions.Utility_DisplayArrayInTable(Scope3_SourceData.Scope3_SoilAmendments_Data(), Table_SourceData_Scope3_SoilAmeliorants[[#Headers],[Category]], 0, 2)</f>
        <v>Soil ameliorants</v>
      </c>
      <c r="E237" s="10" t="str" cm="1">
        <f t="array" ref="E237">Common_InputFunctions.Utility_DisplayArrayInTable(Scope3_SourceData.Scope3_SoilAmendments_Data(), Table_SourceData_Scope3_SoilAmeliorants[[#Headers],[Category]], 0, 2)</f>
        <v>Limestone (crushed)</v>
      </c>
      <c r="F237" s="10" t="str" cm="1">
        <f t="array" ref="F237">Common_InputFunctions.Utility_DisplayArrayInTable(Scope3_SourceData.Scope3_SoilAmendments_Data(), Table_SourceData_Scope3_SoilAmeliorants[[#Headers],[Category]], 0, 2)</f>
        <v>Australia</v>
      </c>
      <c r="G237" s="10" t="str" cm="1">
        <f t="array" ref="G237">Common_InputFunctions.Utility_DisplayArrayInTable(Scope3_SourceData.Scope3_SoilAmendments_Data(), Table_SourceData_Scope3_SoilAmeliorants[[#Headers],[Category]], 0, 2)</f>
        <v>kg</v>
      </c>
      <c r="H237" s="10" cm="1">
        <f t="array" ref="H237">Common_InputFunctions.Utility_DisplayArrayInTable(Scope3_SourceData.Scope3_SoilAmendments_Data(), Table_SourceData_Scope3_SoilAmeliorants[[#Headers],[Category]], 0, 2)</f>
        <v>4.8500000000000001E-2</v>
      </c>
      <c r="I237" s="10" t="str" cm="1">
        <f t="array" ref="I237">Common_InputFunctions.Utility_DisplayArrayInTable(Scope3_SourceData.Scope3_SoilAmendments_Data(), Table_SourceData_Scope3_SoilAmeliorants[[#Headers],[Category]], 0, 2)</f>
        <v>at market</v>
      </c>
    </row>
    <row r="238" spans="4:9" ht="20.100000000000001" customHeight="1" x14ac:dyDescent="0.25"/>
  </sheetData>
  <pageMargins left="0.7" right="0.7" top="0.75" bottom="0.75" header="0.3" footer="0.3"/>
  <tableParts count="30">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94C2A-EBC4-4736-9EBB-053C2CB921F5}">
  <sheetPr>
    <tabColor theme="2" tint="-0.499984740745262"/>
  </sheetPr>
  <dimension ref="A1:AI165"/>
  <sheetViews>
    <sheetView showGridLines="0" topLeftCell="A29" zoomScaleNormal="100" workbookViewId="0">
      <selection activeCell="A41" sqref="A41"/>
    </sheetView>
  </sheetViews>
  <sheetFormatPr defaultRowHeight="15.75" x14ac:dyDescent="0.25"/>
  <cols>
    <col min="1" max="1" width="26.875" style="3" customWidth="1"/>
    <col min="2" max="2" width="4.125" style="3" customWidth="1"/>
    <col min="3" max="3" width="4.125" style="8" customWidth="1"/>
    <col min="4" max="4" width="34.25" style="8" customWidth="1"/>
    <col min="5" max="5" width="26.875" style="8" customWidth="1"/>
    <col min="6" max="6" width="25.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37" t="e" vm="1">
        <v>#VALUE!</v>
      </c>
      <c r="C1" s="1" t="s">
        <v>763</v>
      </c>
      <c r="AG1" s="3"/>
      <c r="AH1" s="3"/>
      <c r="AI1" s="3"/>
    </row>
    <row r="2" spans="1:35" s="2" customFormat="1" ht="20.100000000000001" customHeight="1" x14ac:dyDescent="0.25">
      <c r="A2"/>
      <c r="AG2" s="3"/>
      <c r="AH2" s="3"/>
      <c r="AI2" s="3"/>
    </row>
    <row r="3" spans="1:35"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HYPERLINK("#'Results'!A1", "Results")</f>
        <v>Results</v>
      </c>
    </row>
    <row r="5" spans="1:35" ht="20.100000000000001" customHeight="1" x14ac:dyDescent="0.25">
      <c r="A5"/>
      <c r="D5" s="9" t="str" cm="1">
        <f t="array" ref="D5">WasteSolid_SourceData.Waste_EmissionFactorsForWasteTreatment_Title()</f>
        <v>Emission factors for wastes disposed of at different treatment facilities</v>
      </c>
    </row>
    <row r="6" spans="1:35" ht="20.100000000000001" customHeight="1" x14ac:dyDescent="0.25">
      <c r="A6"/>
      <c r="D6" s="11" t="str" cm="1">
        <f t="array" ref="D6">WasteSolid_SourceData.Waste_EmissionFactorsForWasteTreatment_Source()</f>
        <v>VEERG 2026: Table A.4.1.1</v>
      </c>
    </row>
    <row r="7" spans="1:35" ht="20.100000000000001" customHeight="1" x14ac:dyDescent="0.25">
      <c r="A7" s="19" t="s">
        <v>67</v>
      </c>
      <c r="D7" s="12" t="str" cm="1">
        <f t="array" ref="D7:D13">WasteSolid_SourceData.Waste_EmissionFactorsForWasteTreatment_Variation()</f>
        <v>VARIATION ON SOURCE:</v>
      </c>
    </row>
    <row r="8" spans="1:35" ht="20.100000000000001" customHeight="1" x14ac:dyDescent="0.25">
      <c r="A8" s="16" t="str">
        <f>HYPERLINK("#'Input - Site'!A1", "Site")</f>
        <v>Site</v>
      </c>
      <c r="D8" s="12" t="str">
        <v>Fixed typo 'paper and carboard' to 'paper and cardboard'</v>
      </c>
    </row>
    <row r="9" spans="1:35" ht="20.100000000000001" customHeight="1" x14ac:dyDescent="0.25">
      <c r="A9" s="16" t="str">
        <f>HYPERLINK("#'Input - Fuel'!A1", "Fuel")</f>
        <v>Fuel</v>
      </c>
      <c r="D9" s="12" t="str">
        <v>Fixed typo 'prunnings' to 'prunings'</v>
      </c>
    </row>
    <row r="10" spans="1:35" ht="20.100000000000001" customHeight="1" x14ac:dyDescent="0.25">
      <c r="A10" s="16" t="str">
        <f>HYPERLINK("#'Input - Fertiliser'!A1", "Fertiliser")</f>
        <v>Fertiliser</v>
      </c>
      <c r="D10" s="12" t="str">
        <v>Added EF source column with specific references</v>
      </c>
    </row>
    <row r="11" spans="1:35" ht="20.100000000000001" customHeight="1" x14ac:dyDescent="0.25">
      <c r="A11" s="16" t="str">
        <f>HYPERLINK("#'Input - Farm Inputs'!A1", "Farm Inputs")</f>
        <v>Farm Inputs</v>
      </c>
      <c r="D11" s="12" t="str">
        <v>Added sub-categories for 'Incineration: Food waste, green waste, wood, sludge' in order to use volume to mass conversion factor values</v>
      </c>
    </row>
    <row r="12" spans="1:35" ht="20.100000000000001" customHeight="1" x14ac:dyDescent="0.25">
      <c r="A12" s="16" t="str">
        <f>HYPERLINK("#'Input - Beef cattle purchases'!A1", "Beef cattle purchases")</f>
        <v>Beef cattle purchases</v>
      </c>
      <c r="D12" s="12" t="str">
        <v>Added sub-categories for 'Composting: All organic waste' in order to use volume to mass conversion factor values</v>
      </c>
    </row>
    <row r="13" spans="1:35" ht="20.100000000000001" customHeight="1" x14ac:dyDescent="0.25">
      <c r="A13" s="16" t="str">
        <f>HYPERLINK("#'Input - Dairy cattle purchases'!A1", "Dairy cattle purchases")</f>
        <v>Dairy cattle purchases</v>
      </c>
      <c r="D13" s="12" t="str">
        <v>Added sub-categories for 'Anaerobic digestion: All organic waste' in order to use volume to mass conversion factor values</v>
      </c>
    </row>
    <row r="14" spans="1:35" ht="20.100000000000001" customHeight="1" x14ac:dyDescent="0.25">
      <c r="A14" s="16" t="str">
        <f>HYPERLINK("#'Input - Pig purchases'!A1", "Pig purchases")</f>
        <v>Pig purchases</v>
      </c>
      <c r="D14" s="8" t="str" cm="1">
        <f t="array" ref="D14">WasteSolid_SourceData.Waste_EmissionFactorsForWasteTreatment_Variable()</f>
        <v>EFwt</v>
      </c>
    </row>
    <row r="15" spans="1:35" ht="20.100000000000001" customHeight="1" x14ac:dyDescent="0.25">
      <c r="A15" s="16" t="str">
        <f>HYPERLINK("#'Input - Poultry purchases'!A1", "Poultry purchases")</f>
        <v>Poultry purchases</v>
      </c>
      <c r="D15" s="13" t="str" cm="1">
        <f t="array" ref="D15">WasteSolid_SourceData.Waste_EmissionFactorsForWasteTreatment_Unit()</f>
        <v>t CO2e / t</v>
      </c>
      <c r="I15" s="8" t="s">
        <v>764</v>
      </c>
      <c r="K15" s="8" t="s">
        <v>765</v>
      </c>
      <c r="M15" s="8" t="s">
        <v>766</v>
      </c>
      <c r="O15" s="8" t="s">
        <v>767</v>
      </c>
    </row>
    <row r="16" spans="1:35" ht="20.100000000000001" customHeight="1" x14ac:dyDescent="0.25">
      <c r="A16" s="16" t="str">
        <f>HYPERLINK("#'Input - Freight'!A1", "Freight")</f>
        <v>Freight</v>
      </c>
      <c r="D16" s="10" t="s">
        <v>768</v>
      </c>
      <c r="E16" s="10" t="s">
        <v>769</v>
      </c>
      <c r="F16" s="10" t="s">
        <v>770</v>
      </c>
      <c r="G16" s="10" t="s">
        <v>771</v>
      </c>
      <c r="I16" s="10" t="s">
        <v>769</v>
      </c>
      <c r="K16" s="159" t="s">
        <v>769</v>
      </c>
      <c r="M16" s="159" t="s">
        <v>769</v>
      </c>
      <c r="O16" s="159" t="s">
        <v>769</v>
      </c>
    </row>
    <row r="17" spans="1:15" ht="20.100000000000001" customHeight="1" x14ac:dyDescent="0.25">
      <c r="A17" s="16" t="str">
        <f>HYPERLINK("#'Input - Solid waste'!A1", "Solid waste")</f>
        <v>Solid waste</v>
      </c>
      <c r="D17" s="10" t="str" cm="1">
        <f t="array" ref="D17">Common_InputFunctions.Utility_DisplayArrayInTable(WasteSolid_SourceData.Waste_EmissionFactorsForWasteTreatment_Data(), Table_SourceData_WasteSolid_WasteTreatmentEFs[[#Headers],[Treatment type t]], 0)</f>
        <v>Landfill</v>
      </c>
      <c r="E17" s="10" t="str" cm="1">
        <f t="array" ref="E17">Common_InputFunctions.Utility_DisplayArrayInTable(WasteSolid_SourceData.Waste_EmissionFactorsForWasteTreatment_Data(), Table_SourceData_WasteSolid_WasteTreatmentEFs[[#Headers],[Treatment type t]], 0)</f>
        <v>Food waste (including animal carcasses, spoiled animal feed or crop)</v>
      </c>
      <c r="F17" s="10" cm="1">
        <f t="array" ref="F17">Common_InputFunctions.Utility_DisplayArrayInTable(WasteSolid_SourceData.Waste_EmissionFactorsForWasteTreatment_Data(), Table_SourceData_WasteSolid_WasteTreatmentEFs[[#Headers],[Treatment type t]], 0)</f>
        <v>2.1</v>
      </c>
      <c r="G17" s="10" t="str" cm="1">
        <f t="array" ref="G17">Common_InputFunctions.Utility_DisplayArrayInTable(WasteSolid_SourceData.Waste_EmissionFactorsForWasteTreatment_Data(), Table_SourceData_WasteSolid_WasteTreatmentEFs[[#Headers],[Treatment type t]], 0)</f>
        <v>NGAF 2025 table 15</v>
      </c>
      <c r="I17" s="10" t="str">
        <f>Table_SourceData_WasteSolid_WasteTreatmentEFs[[#This Row],[Waste type w]]</f>
        <v>Food waste (including animal carcasses, spoiled animal feed or crop)</v>
      </c>
      <c r="K17" s="8" t="str">
        <f t="shared" ref="K17:K26" si="0">E29</f>
        <v>Food waste (including animal carcasses, spoiled animal feed or crop)</v>
      </c>
      <c r="M17" s="8" t="str">
        <f>E40</f>
        <v>Food waste (including animal carcasses, spoiled animal feed or crop)</v>
      </c>
      <c r="O17" s="8" t="str">
        <f>E46</f>
        <v>Food waste (including animal carcasses, spoiled animal feed or crop)</v>
      </c>
    </row>
    <row r="18" spans="1:15" ht="20.100000000000001" customHeight="1" x14ac:dyDescent="0.25">
      <c r="A18" s="16" t="str">
        <f>HYPERLINK("#'Input - Manure sent off-site'!A1", "Manure sent off-site")</f>
        <v>Manure sent off-site</v>
      </c>
      <c r="D18" s="8" t="str" cm="1">
        <f t="array" ref="D18">Common_InputFunctions.Utility_DisplayArrayInTable(WasteSolid_SourceData.Waste_EmissionFactorsForWasteTreatment_Data(), Table_SourceData_WasteSolid_WasteTreatmentEFs[[#Headers],[Treatment type t]], 0)</f>
        <v>Landfill</v>
      </c>
      <c r="E18" s="10" t="str" cm="1">
        <f t="array" ref="E18">Common_InputFunctions.Utility_DisplayArrayInTable(WasteSolid_SourceData.Waste_EmissionFactorsForWasteTreatment_Data(), Table_SourceData_WasteSolid_WasteTreatmentEFs[[#Headers],[Treatment type t]], 0)</f>
        <v>Paper and cardboard</v>
      </c>
      <c r="F18" s="10" cm="1">
        <f t="array" ref="F18">Common_InputFunctions.Utility_DisplayArrayInTable(WasteSolid_SourceData.Waste_EmissionFactorsForWasteTreatment_Data(), Table_SourceData_WasteSolid_WasteTreatmentEFs[[#Headers],[Treatment type t]], 0)</f>
        <v>3.3</v>
      </c>
      <c r="G18" s="10" t="str" cm="1">
        <f t="array" ref="G18">Common_InputFunctions.Utility_DisplayArrayInTable(WasteSolid_SourceData.Waste_EmissionFactorsForWasteTreatment_Data(), Table_SourceData_WasteSolid_WasteTreatmentEFs[[#Headers],[Treatment type t]], 0)</f>
        <v>NGAF 2025 table 15</v>
      </c>
      <c r="I18" s="10" t="str">
        <f>Table_SourceData_WasteSolid_WasteTreatmentEFs[[#This Row],[Waste type w]]</f>
        <v>Paper and cardboard</v>
      </c>
      <c r="K18" s="8" t="str">
        <f t="shared" si="0"/>
        <v>Green waste (including crop residues or prunings)</v>
      </c>
      <c r="M18" s="8" t="str">
        <f>E41</f>
        <v>Green waste (including crop residues or prunings)</v>
      </c>
      <c r="O18" s="8" t="str">
        <f>E47</f>
        <v>Green waste (including crop residues or prunings)</v>
      </c>
    </row>
    <row r="19" spans="1:15" ht="20.100000000000001" customHeight="1" x14ac:dyDescent="0.25">
      <c r="A19" s="16" t="str">
        <f>HYPERLINK("#'Input - Electricity'!A1", "Electricity")</f>
        <v>Electricity</v>
      </c>
      <c r="D19" s="8" t="str" cm="1">
        <f t="array" ref="D19">Common_InputFunctions.Utility_DisplayArrayInTable(WasteSolid_SourceData.Waste_EmissionFactorsForWasteTreatment_Data(), Table_SourceData_WasteSolid_WasteTreatmentEFs[[#Headers],[Treatment type t]], 0)</f>
        <v>Landfill</v>
      </c>
      <c r="E19" s="10" t="str" cm="1">
        <f t="array" ref="E19">Common_InputFunctions.Utility_DisplayArrayInTable(WasteSolid_SourceData.Waste_EmissionFactorsForWasteTreatment_Data(), Table_SourceData_WasteSolid_WasteTreatmentEFs[[#Headers],[Treatment type t]], 0)</f>
        <v>Green waste (including crop residues or prunings)</v>
      </c>
      <c r="F19" s="10" cm="1">
        <f t="array" ref="F19">Common_InputFunctions.Utility_DisplayArrayInTable(WasteSolid_SourceData.Waste_EmissionFactorsForWasteTreatment_Data(), Table_SourceData_WasteSolid_WasteTreatmentEFs[[#Headers],[Treatment type t]], 0)</f>
        <v>1.6</v>
      </c>
      <c r="G19" s="10" t="str" cm="1">
        <f t="array" ref="G19">Common_InputFunctions.Utility_DisplayArrayInTable(WasteSolid_SourceData.Waste_EmissionFactorsForWasteTreatment_Data(), Table_SourceData_WasteSolid_WasteTreatmentEFs[[#Headers],[Treatment type t]], 0)</f>
        <v>NGAF 2025 table 15</v>
      </c>
      <c r="I19" s="10" t="str">
        <f>Table_SourceData_WasteSolid_WasteTreatmentEFs[[#This Row],[Waste type w]]</f>
        <v>Green waste (including crop residues or prunings)</v>
      </c>
      <c r="K19" s="8" t="str">
        <f t="shared" si="0"/>
        <v>Wood</v>
      </c>
      <c r="M19" s="8" t="str">
        <f>E42</f>
        <v>Wood</v>
      </c>
      <c r="O19" s="8" t="str">
        <f>E48</f>
        <v>Wood</v>
      </c>
    </row>
    <row r="20" spans="1:15" ht="20.100000000000001" customHeight="1" x14ac:dyDescent="0.25">
      <c r="A20"/>
      <c r="D20" s="8" t="str" cm="1">
        <f t="array" ref="D20">Common_InputFunctions.Utility_DisplayArrayInTable(WasteSolid_SourceData.Waste_EmissionFactorsForWasteTreatment_Data(), Table_SourceData_WasteSolid_WasteTreatmentEFs[[#Headers],[Treatment type t]], 0)</f>
        <v>Landfill</v>
      </c>
      <c r="E20" s="10" t="str" cm="1">
        <f t="array" ref="E20">Common_InputFunctions.Utility_DisplayArrayInTable(WasteSolid_SourceData.Waste_EmissionFactorsForWasteTreatment_Data(), Table_SourceData_WasteSolid_WasteTreatmentEFs[[#Headers],[Treatment type t]], 0)</f>
        <v>Wood</v>
      </c>
      <c r="F20" s="10" cm="1">
        <f t="array" ref="F20">Common_InputFunctions.Utility_DisplayArrayInTable(WasteSolid_SourceData.Waste_EmissionFactorsForWasteTreatment_Data(), Table_SourceData_WasteSolid_WasteTreatmentEFs[[#Headers],[Treatment type t]], 0)</f>
        <v>0.7</v>
      </c>
      <c r="G20" s="10" t="str" cm="1">
        <f t="array" ref="G20">Common_InputFunctions.Utility_DisplayArrayInTable(WasteSolid_SourceData.Waste_EmissionFactorsForWasteTreatment_Data(), Table_SourceData_WasteSolid_WasteTreatmentEFs[[#Headers],[Treatment type t]], 0)</f>
        <v>NGAF 2025 table 15</v>
      </c>
      <c r="I20" s="10" t="str">
        <f>Table_SourceData_WasteSolid_WasteTreatmentEFs[[#This Row],[Waste type w]]</f>
        <v>Wood</v>
      </c>
      <c r="K20" s="8" t="str">
        <f t="shared" si="0"/>
        <v>Sludge</v>
      </c>
      <c r="M20" s="8" t="str">
        <f>E43</f>
        <v>Sludge</v>
      </c>
      <c r="O20" s="8" t="str">
        <f>E49</f>
        <v>Sludge</v>
      </c>
    </row>
    <row r="21" spans="1:15" ht="20.100000000000001" customHeight="1" x14ac:dyDescent="0.25">
      <c r="A21"/>
      <c r="D21" s="8" t="str" cm="1">
        <f t="array" ref="D21">Common_InputFunctions.Utility_DisplayArrayInTable(WasteSolid_SourceData.Waste_EmissionFactorsForWasteTreatment_Data(), Table_SourceData_WasteSolid_WasteTreatmentEFs[[#Headers],[Treatment type t]], 0)</f>
        <v>Landfill</v>
      </c>
      <c r="E21" s="10" t="str" cm="1">
        <f t="array" ref="E21">Common_InputFunctions.Utility_DisplayArrayInTable(WasteSolid_SourceData.Waste_EmissionFactorsForWasteTreatment_Data(), Table_SourceData_WasteSolid_WasteTreatmentEFs[[#Headers],[Treatment type t]], 0)</f>
        <v>Textiles</v>
      </c>
      <c r="F21" s="10" cm="1">
        <f t="array" ref="F21">Common_InputFunctions.Utility_DisplayArrayInTable(WasteSolid_SourceData.Waste_EmissionFactorsForWasteTreatment_Data(), Table_SourceData_WasteSolid_WasteTreatmentEFs[[#Headers],[Treatment type t]], 0)</f>
        <v>2</v>
      </c>
      <c r="G21" s="10" t="str" cm="1">
        <f t="array" ref="G21">Common_InputFunctions.Utility_DisplayArrayInTable(WasteSolid_SourceData.Waste_EmissionFactorsForWasteTreatment_Data(), Table_SourceData_WasteSolid_WasteTreatmentEFs[[#Headers],[Treatment type t]], 0)</f>
        <v>NGAF 2025 table 15</v>
      </c>
      <c r="I21" s="10" t="str">
        <f>Table_SourceData_WasteSolid_WasteTreatmentEFs[[#This Row],[Waste type w]]</f>
        <v>Textiles</v>
      </c>
      <c r="K21" s="8" t="str">
        <f t="shared" si="0"/>
        <v>Paper and cardboard</v>
      </c>
      <c r="M21" s="8" t="str">
        <f>E44</f>
        <v>Paper and cardboard</v>
      </c>
      <c r="O21" s="8" t="str">
        <f>E50</f>
        <v>Paper and cardboard</v>
      </c>
    </row>
    <row r="22" spans="1:15" ht="20.100000000000001" customHeight="1" x14ac:dyDescent="0.25">
      <c r="A22" s="21" t="s">
        <v>77</v>
      </c>
      <c r="D22" s="8" t="str" cm="1">
        <f t="array" ref="D22">Common_InputFunctions.Utility_DisplayArrayInTable(WasteSolid_SourceData.Waste_EmissionFactorsForWasteTreatment_Data(), Table_SourceData_WasteSolid_WasteTreatmentEFs[[#Headers],[Treatment type t]], 0)</f>
        <v>Landfill</v>
      </c>
      <c r="E22" s="10" t="str" cm="1">
        <f t="array" ref="E22">Common_InputFunctions.Utility_DisplayArrayInTable(WasteSolid_SourceData.Waste_EmissionFactorsForWasteTreatment_Data(), Table_SourceData_WasteSolid_WasteTreatmentEFs[[#Headers],[Treatment type t]], 0)</f>
        <v>Sludge</v>
      </c>
      <c r="F22" s="10" cm="1">
        <f t="array" ref="F22">Common_InputFunctions.Utility_DisplayArrayInTable(WasteSolid_SourceData.Waste_EmissionFactorsForWasteTreatment_Data(), Table_SourceData_WasteSolid_WasteTreatmentEFs[[#Headers],[Treatment type t]], 0)</f>
        <v>0.4</v>
      </c>
      <c r="G22" s="10" t="str" cm="1">
        <f t="array" ref="G22">Common_InputFunctions.Utility_DisplayArrayInTable(WasteSolid_SourceData.Waste_EmissionFactorsForWasteTreatment_Data(), Table_SourceData_WasteSolid_WasteTreatmentEFs[[#Headers],[Treatment type t]], 0)</f>
        <v>NGAF 2025 table 15</v>
      </c>
      <c r="I22" s="10" t="str">
        <f>Table_SourceData_WasteSolid_WasteTreatmentEFs[[#This Row],[Waste type w]]</f>
        <v>Sludge</v>
      </c>
      <c r="K22" s="8" t="str">
        <f t="shared" si="0"/>
        <v>Textiles</v>
      </c>
    </row>
    <row r="23" spans="1:15" ht="20.100000000000001" customHeight="1" x14ac:dyDescent="0.25">
      <c r="A23" s="16" t="str">
        <f>HYPERLINK("#'15 Scope 3'!A1", "15 Scope 3")</f>
        <v>15 Scope 3</v>
      </c>
      <c r="D23" s="8" t="str" cm="1">
        <f t="array" ref="D23">Common_InputFunctions.Utility_DisplayArrayInTable(WasteSolid_SourceData.Waste_EmissionFactorsForWasteTreatment_Data(), Table_SourceData_WasteSolid_WasteTreatmentEFs[[#Headers],[Treatment type t]], 0)</f>
        <v>Landfill</v>
      </c>
      <c r="E23" s="10" t="str" cm="1">
        <f t="array" ref="E23">Common_InputFunctions.Utility_DisplayArrayInTable(WasteSolid_SourceData.Waste_EmissionFactorsForWasteTreatment_Data(), Table_SourceData_WasteSolid_WasteTreatmentEFs[[#Headers],[Treatment type t]], 0)</f>
        <v>Rubber and leather</v>
      </c>
      <c r="F23" s="10" cm="1">
        <f t="array" ref="F23">Common_InputFunctions.Utility_DisplayArrayInTable(WasteSolid_SourceData.Waste_EmissionFactorsForWasteTreatment_Data(), Table_SourceData_WasteSolid_WasteTreatmentEFs[[#Headers],[Treatment type t]], 0)</f>
        <v>3.3</v>
      </c>
      <c r="G23" s="10" t="str" cm="1">
        <f t="array" ref="G23">Common_InputFunctions.Utility_DisplayArrayInTable(WasteSolid_SourceData.Waste_EmissionFactorsForWasteTreatment_Data(), Table_SourceData_WasteSolid_WasteTreatmentEFs[[#Headers],[Treatment type t]], 0)</f>
        <v>NGAF 2025 table 15</v>
      </c>
      <c r="I23" s="10" t="str">
        <f>Table_SourceData_WasteSolid_WasteTreatmentEFs[[#This Row],[Waste type w]]</f>
        <v>Rubber and leather</v>
      </c>
      <c r="K23" s="8" t="str">
        <f t="shared" si="0"/>
        <v>Rubber and leather</v>
      </c>
    </row>
    <row r="24" spans="1:15" ht="20.100000000000001" customHeight="1" x14ac:dyDescent="0.25">
      <c r="A24" s="16" t="str">
        <f>HYPERLINK("#'10.1.1-2 Solid waste treatment'!A1", "10.1.1-2 Solid waste treatment")</f>
        <v>10.1.1-2 Solid waste treatment</v>
      </c>
      <c r="D24" s="8" t="str" cm="1">
        <f t="array" ref="D24">Common_InputFunctions.Utility_DisplayArrayInTable(WasteSolid_SourceData.Waste_EmissionFactorsForWasteTreatment_Data(), Table_SourceData_WasteSolid_WasteTreatmentEFs[[#Headers],[Treatment type t]], 0)</f>
        <v>Landfill</v>
      </c>
      <c r="E24" s="10" t="str" cm="1">
        <f t="array" ref="E24">Common_InputFunctions.Utility_DisplayArrayInTable(WasteSolid_SourceData.Waste_EmissionFactorsForWasteTreatment_Data(), Table_SourceData_WasteSolid_WasteTreatmentEFs[[#Headers],[Treatment type t]], 0)</f>
        <v>Inert waste (including concrete, metal, plastic or glass)</v>
      </c>
      <c r="F24" s="10" cm="1">
        <f t="array" ref="F24">Common_InputFunctions.Utility_DisplayArrayInTable(WasteSolid_SourceData.Waste_EmissionFactorsForWasteTreatment_Data(), Table_SourceData_WasteSolid_WasteTreatmentEFs[[#Headers],[Treatment type t]], 0)</f>
        <v>0</v>
      </c>
      <c r="G24" s="10" t="str" cm="1">
        <f t="array" ref="G24">Common_InputFunctions.Utility_DisplayArrayInTable(WasteSolid_SourceData.Waste_EmissionFactorsForWasteTreatment_Data(), Table_SourceData_WasteSolid_WasteTreatmentEFs[[#Headers],[Treatment type t]], 0)</f>
        <v>NGAF 2025 table 15</v>
      </c>
      <c r="I24" s="10" t="str">
        <f>Table_SourceData_WasteSolid_WasteTreatmentEFs[[#This Row],[Waste type w]]</f>
        <v>Inert waste (including concrete, metal, plastic or glass)</v>
      </c>
      <c r="K24" s="8" t="str">
        <f t="shared" si="0"/>
        <v>Inert waste (including concrete, metal, plastic or glass)</v>
      </c>
    </row>
    <row r="25" spans="1:15" ht="20.100000000000001" customHeight="1" x14ac:dyDescent="0.25">
      <c r="A25" s="16" t="str">
        <f>HYPERLINK("#'Calcs - Manure sent off-site'!A1", "Calcs - Manure sent off-site")</f>
        <v>Calcs - Manure sent off-site</v>
      </c>
      <c r="D25" s="8" t="str" cm="1">
        <f t="array" ref="D25">Common_InputFunctions.Utility_DisplayArrayInTable(WasteSolid_SourceData.Waste_EmissionFactorsForWasteTreatment_Data(), Table_SourceData_WasteSolid_WasteTreatmentEFs[[#Headers],[Treatment type t]], 0)</f>
        <v>Landfill</v>
      </c>
      <c r="E25" s="10" t="str" cm="1">
        <f t="array" ref="E25">Common_InputFunctions.Utility_DisplayArrayInTable(WasteSolid_SourceData.Waste_EmissionFactorsForWasteTreatment_Data(), Table_SourceData_WasteSolid_WasteTreatmentEFs[[#Headers],[Treatment type t]], 0)</f>
        <v>Municipal solid waste</v>
      </c>
      <c r="F25" s="10" cm="1">
        <f t="array" ref="F25">Common_InputFunctions.Utility_DisplayArrayInTable(WasteSolid_SourceData.Waste_EmissionFactorsForWasteTreatment_Data(), Table_SourceData_WasteSolid_WasteTreatmentEFs[[#Headers],[Treatment type t]], 0)</f>
        <v>1.6</v>
      </c>
      <c r="G25" s="10" t="str" cm="1">
        <f t="array" ref="G25">Common_InputFunctions.Utility_DisplayArrayInTable(WasteSolid_SourceData.Waste_EmissionFactorsForWasteTreatment_Data(), Table_SourceData_WasteSolid_WasteTreatmentEFs[[#Headers],[Treatment type t]], 0)</f>
        <v>NGAF 2025 table 15</v>
      </c>
      <c r="I25" s="10" t="str">
        <f>Table_SourceData_WasteSolid_WasteTreatmentEFs[[#This Row],[Waste type w]]</f>
        <v>Municipal solid waste</v>
      </c>
      <c r="K25" s="8" t="str">
        <f t="shared" si="0"/>
        <v>Municipal solid waste</v>
      </c>
    </row>
    <row r="26" spans="1:15" ht="20.100000000000001" customHeight="1" x14ac:dyDescent="0.25">
      <c r="A26" s="16" t="str">
        <f>HYPERLINK("#'8.1.1.1-2 Transport fuel'!A1", "8.1.1.1-2 Transport fuel")</f>
        <v>8.1.1.1-2 Transport fuel</v>
      </c>
      <c r="D26" s="8" t="str" cm="1">
        <f t="array" ref="D26">Common_InputFunctions.Utility_DisplayArrayInTable(WasteSolid_SourceData.Waste_EmissionFactorsForWasteTreatment_Data(), Table_SourceData_WasteSolid_WasteTreatmentEFs[[#Headers],[Treatment type t]], 0)</f>
        <v>Landfill</v>
      </c>
      <c r="E26" s="10" t="str" cm="1">
        <f t="array" ref="E26">Common_InputFunctions.Utility_DisplayArrayInTable(WasteSolid_SourceData.Waste_EmissionFactorsForWasteTreatment_Data(), Table_SourceData_WasteSolid_WasteTreatmentEFs[[#Headers],[Treatment type t]], 0)</f>
        <v>Commercial and industrial waste</v>
      </c>
      <c r="F26" s="10" cm="1">
        <f t="array" ref="F26">Common_InputFunctions.Utility_DisplayArrayInTable(WasteSolid_SourceData.Waste_EmissionFactorsForWasteTreatment_Data(), Table_SourceData_WasteSolid_WasteTreatmentEFs[[#Headers],[Treatment type t]], 0)</f>
        <v>1.3</v>
      </c>
      <c r="G26" s="10" t="str" cm="1">
        <f t="array" ref="G26">Common_InputFunctions.Utility_DisplayArrayInTable(WasteSolid_SourceData.Waste_EmissionFactorsForWasteTreatment_Data(), Table_SourceData_WasteSolid_WasteTreatmentEFs[[#Headers],[Treatment type t]], 0)</f>
        <v>NGAF 2025 table 15</v>
      </c>
      <c r="I26" s="10" t="str">
        <f>Table_SourceData_WasteSolid_WasteTreatmentEFs[[#This Row],[Waste type w]]</f>
        <v>Commercial and industrial waste</v>
      </c>
      <c r="K26" s="8" t="str">
        <f t="shared" si="0"/>
        <v>Commercial and industrial waste</v>
      </c>
    </row>
    <row r="27" spans="1:15" ht="20.100000000000001" customHeight="1" x14ac:dyDescent="0.25">
      <c r="A27" s="16" t="str">
        <f>HYPERLINK("#'8.2.1.1-2 Stationary fuel'!A1", "8.2.1.1-2 Stationary fuel")</f>
        <v>8.2.1.1-2 Stationary fuel</v>
      </c>
      <c r="D27" s="8" t="str" cm="1">
        <f t="array" ref="D27">Common_InputFunctions.Utility_DisplayArrayInTable(WasteSolid_SourceData.Waste_EmissionFactorsForWasteTreatment_Data(), Table_SourceData_WasteSolid_WasteTreatmentEFs[[#Headers],[Treatment type t]], 0)</f>
        <v>Landfill</v>
      </c>
      <c r="E27" s="10" t="str" cm="1">
        <f t="array" ref="E27">Common_InputFunctions.Utility_DisplayArrayInTable(WasteSolid_SourceData.Waste_EmissionFactorsForWasteTreatment_Data(), Table_SourceData_WasteSolid_WasteTreatmentEFs[[#Headers],[Treatment type t]], 0)</f>
        <v>Construction and demolition waste</v>
      </c>
      <c r="F27" s="10" cm="1">
        <f t="array" ref="F27">Common_InputFunctions.Utility_DisplayArrayInTable(WasteSolid_SourceData.Waste_EmissionFactorsForWasteTreatment_Data(), Table_SourceData_WasteSolid_WasteTreatmentEFs[[#Headers],[Treatment type t]], 0)</f>
        <v>0.2</v>
      </c>
      <c r="G27" s="10" t="str" cm="1">
        <f t="array" ref="G27">Common_InputFunctions.Utility_DisplayArrayInTable(WasteSolid_SourceData.Waste_EmissionFactorsForWasteTreatment_Data(), Table_SourceData_WasteSolid_WasteTreatmentEFs[[#Headers],[Treatment type t]], 0)</f>
        <v>NGAF 2025 table 15</v>
      </c>
      <c r="I27" s="10" t="str">
        <f>Table_SourceData_WasteSolid_WasteTreatmentEFs[[#This Row],[Waste type w]]</f>
        <v>Construction and demolition waste</v>
      </c>
    </row>
    <row r="28" spans="1:15" ht="20.100000000000001" customHeight="1" x14ac:dyDescent="0.25">
      <c r="A28"/>
      <c r="D28" s="8" t="str" cm="1">
        <f t="array" ref="D28">Common_InputFunctions.Utility_DisplayArrayInTable(WasteSolid_SourceData.Waste_EmissionFactorsForWasteTreatment_Data(), Table_SourceData_WasteSolid_WasteTreatmentEFs[[#Headers],[Treatment type t]], 0)</f>
        <v>Incineration</v>
      </c>
      <c r="E28" s="10" t="str" cm="1">
        <f t="array" ref="E28">Common_InputFunctions.Utility_DisplayArrayInTable(WasteSolid_SourceData.Waste_EmissionFactorsForWasteTreatment_Data(), Table_SourceData_WasteSolid_WasteTreatmentEFs[[#Headers],[Treatment type t]], 0)</f>
        <v>Food waste, green waste, wood, sludge</v>
      </c>
      <c r="F28" s="10" cm="1">
        <f t="array" ref="F28">Common_InputFunctions.Utility_DisplayArrayInTable(WasteSolid_SourceData.Waste_EmissionFactorsForWasteTreatment_Data(), Table_SourceData_WasteSolid_WasteTreatmentEFs[[#Headers],[Treatment type t]], 0)</f>
        <v>0</v>
      </c>
      <c r="G28" s="10" t="str" cm="1">
        <f t="array" ref="G28">Common_InputFunctions.Utility_DisplayArrayInTable(WasteSolid_SourceData.Waste_EmissionFactorsForWasteTreatment_Data(), Table_SourceData_WasteSolid_WasteTreatmentEFs[[#Headers],[Treatment type t]], 0)</f>
        <v/>
      </c>
    </row>
    <row r="29" spans="1:15" ht="20.100000000000001" customHeight="1" x14ac:dyDescent="0.25">
      <c r="A29"/>
      <c r="D29" s="8" t="str" cm="1">
        <f t="array" ref="D29">Common_InputFunctions.Utility_DisplayArrayInTable(WasteSolid_SourceData.Waste_EmissionFactorsForWasteTreatment_Data(), Table_SourceData_WasteSolid_WasteTreatmentEFs[[#Headers],[Treatment type t]], 0)</f>
        <v>Incineration</v>
      </c>
      <c r="E29" s="10" t="str" cm="1">
        <f t="array" ref="E29">Common_InputFunctions.Utility_DisplayArrayInTable(WasteSolid_SourceData.Waste_EmissionFactorsForWasteTreatment_Data(), Table_SourceData_WasteSolid_WasteTreatmentEFs[[#Headers],[Treatment type t]], 0)</f>
        <v>Food waste (including animal carcasses, spoiled animal feed or crop)</v>
      </c>
      <c r="F29" s="10" cm="1">
        <f t="array" ref="F29">Common_InputFunctions.Utility_DisplayArrayInTable(WasteSolid_SourceData.Waste_EmissionFactorsForWasteTreatment_Data(), Table_SourceData_WasteSolid_WasteTreatmentEFs[[#Headers],[Treatment type t]], 0)</f>
        <v>0</v>
      </c>
      <c r="G29" s="10" t="str" cm="1">
        <f t="array" ref="G29">Common_InputFunctions.Utility_DisplayArrayInTable(WasteSolid_SourceData.Waste_EmissionFactorsForWasteTreatment_Data(), Table_SourceData_WasteSolid_WasteTreatmentEFs[[#Headers],[Treatment type t]], 0)</f>
        <v/>
      </c>
    </row>
    <row r="30" spans="1:15" ht="20.100000000000001" customHeight="1" x14ac:dyDescent="0.25">
      <c r="A30" s="221" t="s">
        <v>78</v>
      </c>
      <c r="D30" s="8" t="str" cm="1">
        <f t="array" ref="D30">Common_InputFunctions.Utility_DisplayArrayInTable(WasteSolid_SourceData.Waste_EmissionFactorsForWasteTreatment_Data(), Table_SourceData_WasteSolid_WasteTreatmentEFs[[#Headers],[Treatment type t]], 0)</f>
        <v>Incineration</v>
      </c>
      <c r="E30" s="10" t="str" cm="1">
        <f t="array" ref="E30">Common_InputFunctions.Utility_DisplayArrayInTable(WasteSolid_SourceData.Waste_EmissionFactorsForWasteTreatment_Data(), Table_SourceData_WasteSolid_WasteTreatmentEFs[[#Headers],[Treatment type t]], 0)</f>
        <v>Green waste (including crop residues or prunings)</v>
      </c>
      <c r="F30" s="10" cm="1">
        <f t="array" ref="F30">Common_InputFunctions.Utility_DisplayArrayInTable(WasteSolid_SourceData.Waste_EmissionFactorsForWasteTreatment_Data(), Table_SourceData_WasteSolid_WasteTreatmentEFs[[#Headers],[Treatment type t]], 0)</f>
        <v>0</v>
      </c>
      <c r="G30" s="10" t="str" cm="1">
        <f t="array" ref="G30">Common_InputFunctions.Utility_DisplayArrayInTable(WasteSolid_SourceData.Waste_EmissionFactorsForWasteTreatment_Data(), Table_SourceData_WasteSolid_WasteTreatmentEFs[[#Headers],[Treatment type t]], 0)</f>
        <v/>
      </c>
    </row>
    <row r="31" spans="1:15" ht="20.100000000000001" customHeight="1" x14ac:dyDescent="0.25">
      <c r="A31" s="16" t="str">
        <f>HYPERLINK("#'Constants - Scope 3'!A1", "Constants - Scope 3")</f>
        <v>Constants - Scope 3</v>
      </c>
      <c r="D31" s="8" t="str" cm="1">
        <f t="array" ref="D31">Common_InputFunctions.Utility_DisplayArrayInTable(WasteSolid_SourceData.Waste_EmissionFactorsForWasteTreatment_Data(), Table_SourceData_WasteSolid_WasteTreatmentEFs[[#Headers],[Treatment type t]], 0)</f>
        <v>Incineration</v>
      </c>
      <c r="E31" s="10" t="str" cm="1">
        <f t="array" ref="E31">Common_InputFunctions.Utility_DisplayArrayInTable(WasteSolid_SourceData.Waste_EmissionFactorsForWasteTreatment_Data(), Table_SourceData_WasteSolid_WasteTreatmentEFs[[#Headers],[Treatment type t]], 0)</f>
        <v>Wood</v>
      </c>
      <c r="F31" s="10" cm="1">
        <f t="array" ref="F31">Common_InputFunctions.Utility_DisplayArrayInTable(WasteSolid_SourceData.Waste_EmissionFactorsForWasteTreatment_Data(), Table_SourceData_WasteSolid_WasteTreatmentEFs[[#Headers],[Treatment type t]], 0)</f>
        <v>0</v>
      </c>
      <c r="G31" s="10" t="str" cm="1">
        <f t="array" ref="G31">Common_InputFunctions.Utility_DisplayArrayInTable(WasteSolid_SourceData.Waste_EmissionFactorsForWasteTreatment_Data(), Table_SourceData_WasteSolid_WasteTreatmentEFs[[#Headers],[Treatment type t]], 0)</f>
        <v/>
      </c>
    </row>
    <row r="32" spans="1:15" ht="20.100000000000001" customHeight="1" x14ac:dyDescent="0.25">
      <c r="A32" s="23" t="str">
        <f>HYPERLINK("#'Constants - Solid Waste'!A1", "Constants - Solid Waste")</f>
        <v>Constants - Solid Waste</v>
      </c>
      <c r="D32" s="8" t="str" cm="1">
        <f t="array" ref="D32">Common_InputFunctions.Utility_DisplayArrayInTable(WasteSolid_SourceData.Waste_EmissionFactorsForWasteTreatment_Data(), Table_SourceData_WasteSolid_WasteTreatmentEFs[[#Headers],[Treatment type t]], 0)</f>
        <v>Incineration</v>
      </c>
      <c r="E32" s="10" t="str" cm="1">
        <f t="array" ref="E32">Common_InputFunctions.Utility_DisplayArrayInTable(WasteSolid_SourceData.Waste_EmissionFactorsForWasteTreatment_Data(), Table_SourceData_WasteSolid_WasteTreatmentEFs[[#Headers],[Treatment type t]], 0)</f>
        <v>Sludge</v>
      </c>
      <c r="F32" s="10" cm="1">
        <f t="array" ref="F32">Common_InputFunctions.Utility_DisplayArrayInTable(WasteSolid_SourceData.Waste_EmissionFactorsForWasteTreatment_Data(), Table_SourceData_WasteSolid_WasteTreatmentEFs[[#Headers],[Treatment type t]], 0)</f>
        <v>0</v>
      </c>
      <c r="G32" s="10" t="str" cm="1">
        <f t="array" ref="G32">Common_InputFunctions.Utility_DisplayArrayInTable(WasteSolid_SourceData.Waste_EmissionFactorsForWasteTreatment_Data(), Table_SourceData_WasteSolid_WasteTreatmentEFs[[#Headers],[Treatment type t]], 0)</f>
        <v/>
      </c>
    </row>
    <row r="33" spans="1:7" ht="20.100000000000001" customHeight="1" x14ac:dyDescent="0.25">
      <c r="A33" s="16" t="str">
        <f>HYPERLINK("#'Constants - Fuel'!A1", "Constants - Fuel")</f>
        <v>Constants - Fuel</v>
      </c>
      <c r="D33" s="8" t="str" cm="1">
        <f t="array" ref="D33">Common_InputFunctions.Utility_DisplayArrayInTable(WasteSolid_SourceData.Waste_EmissionFactorsForWasteTreatment_Data(), Table_SourceData_WasteSolid_WasteTreatmentEFs[[#Headers],[Treatment type t]], 0)</f>
        <v>Incineration</v>
      </c>
      <c r="E33" s="10" t="str" cm="1">
        <f t="array" ref="E33">Common_InputFunctions.Utility_DisplayArrayInTable(WasteSolid_SourceData.Waste_EmissionFactorsForWasteTreatment_Data(), Table_SourceData_WasteSolid_WasteTreatmentEFs[[#Headers],[Treatment type t]], 0)</f>
        <v>Paper and cardboard</v>
      </c>
      <c r="F33" s="10" cm="1">
        <f t="array" ref="F33">Common_InputFunctions.Utility_DisplayArrayInTable(WasteSolid_SourceData.Waste_EmissionFactorsForWasteTreatment_Data(), Table_SourceData_WasteSolid_WasteTreatmentEFs[[#Headers],[Treatment type t]], 0)</f>
        <v>1.6899999999999998E-2</v>
      </c>
      <c r="G33" s="10" t="str" cm="1">
        <f t="array" ref="G33">Common_InputFunctions.Utility_DisplayArrayInTable(WasteSolid_SourceData.Waste_EmissionFactorsForWasteTreatment_Data(), Table_SourceData_WasteSolid_WasteTreatmentEFs[[#Headers],[Treatment type t]], 0)</f>
        <v/>
      </c>
    </row>
    <row r="34" spans="1:7" ht="20.100000000000001" customHeight="1" x14ac:dyDescent="0.25">
      <c r="A34" s="16" t="str">
        <f>HYPERLINK("#'Constants - Poultry'!A1", "Constants - Poultry")</f>
        <v>Constants - Poultry</v>
      </c>
      <c r="D34" s="8" t="str" cm="1">
        <f t="array" ref="D34">Common_InputFunctions.Utility_DisplayArrayInTable(WasteSolid_SourceData.Waste_EmissionFactorsForWasteTreatment_Data(), Table_SourceData_WasteSolid_WasteTreatmentEFs[[#Headers],[Treatment type t]], 0)</f>
        <v>Incineration</v>
      </c>
      <c r="E34" s="10" t="str" cm="1">
        <f t="array" ref="E34">Common_InputFunctions.Utility_DisplayArrayInTable(WasteSolid_SourceData.Waste_EmissionFactorsForWasteTreatment_Data(), Table_SourceData_WasteSolid_WasteTreatmentEFs[[#Headers],[Treatment type t]], 0)</f>
        <v>Textiles</v>
      </c>
      <c r="F34" s="10" cm="1">
        <f t="array" ref="F34">Common_InputFunctions.Utility_DisplayArrayInTable(WasteSolid_SourceData.Waste_EmissionFactorsForWasteTreatment_Data(), Table_SourceData_WasteSolid_WasteTreatmentEFs[[#Headers],[Treatment type t]], 0)</f>
        <v>0.36670000000000003</v>
      </c>
      <c r="G34" s="10" t="str" cm="1">
        <f t="array" ref="G34">Common_InputFunctions.Utility_DisplayArrayInTable(WasteSolid_SourceData.Waste_EmissionFactorsForWasteTreatment_Data(), Table_SourceData_WasteSolid_WasteTreatmentEFs[[#Headers],[Treatment type t]], 0)</f>
        <v/>
      </c>
    </row>
    <row r="35" spans="1:7" ht="20.100000000000001" customHeight="1" x14ac:dyDescent="0.25">
      <c r="A35" s="16" t="str">
        <f>HYPERLINK("#'Constants - Swine'!A1", "Constants - Swine")</f>
        <v>Constants - Swine</v>
      </c>
      <c r="D35" s="8" t="str" cm="1">
        <f t="array" ref="D35">Common_InputFunctions.Utility_DisplayArrayInTable(WasteSolid_SourceData.Waste_EmissionFactorsForWasteTreatment_Data(), Table_SourceData_WasteSolid_WasteTreatmentEFs[[#Headers],[Treatment type t]], 0)</f>
        <v>Incineration</v>
      </c>
      <c r="E35" s="10" t="str" cm="1">
        <f t="array" ref="E35">Common_InputFunctions.Utility_DisplayArrayInTable(WasteSolid_SourceData.Waste_EmissionFactorsForWasteTreatment_Data(), Table_SourceData_WasteSolid_WasteTreatmentEFs[[#Headers],[Treatment type t]], 0)</f>
        <v>Rubber and leather</v>
      </c>
      <c r="F35" s="10" cm="1">
        <f t="array" ref="F35">Common_InputFunctions.Utility_DisplayArrayInTable(WasteSolid_SourceData.Waste_EmissionFactorsForWasteTreatment_Data(), Table_SourceData_WasteSolid_WasteTreatmentEFs[[#Headers],[Treatment type t]], 0)</f>
        <v>0.4919</v>
      </c>
      <c r="G35" s="10" t="str" cm="1">
        <f t="array" ref="G35">Common_InputFunctions.Utility_DisplayArrayInTable(WasteSolid_SourceData.Waste_EmissionFactorsForWasteTreatment_Data(), Table_SourceData_WasteSolid_WasteTreatmentEFs[[#Headers],[Treatment type t]], 0)</f>
        <v/>
      </c>
    </row>
    <row r="36" spans="1:7" ht="20.100000000000001" customHeight="1" x14ac:dyDescent="0.25">
      <c r="A36" s="16" t="str">
        <f>HYPERLINK("#'Constants - Dairy'!A1", "Constants - Dairy")</f>
        <v>Constants - Dairy</v>
      </c>
      <c r="D36" s="8" t="str" cm="1">
        <f t="array" ref="D36">Common_InputFunctions.Utility_DisplayArrayInTable(WasteSolid_SourceData.Waste_EmissionFactorsForWasteTreatment_Data(), Table_SourceData_WasteSolid_WasteTreatmentEFs[[#Headers],[Treatment type t]], 0)</f>
        <v>Incineration</v>
      </c>
      <c r="E36" s="10" t="str" cm="1">
        <f t="array" ref="E36">Common_InputFunctions.Utility_DisplayArrayInTable(WasteSolid_SourceData.Waste_EmissionFactorsForWasteTreatment_Data(), Table_SourceData_WasteSolid_WasteTreatmentEFs[[#Headers],[Treatment type t]], 0)</f>
        <v>Inert waste (including concrete, metal, plastic or glass)</v>
      </c>
      <c r="F36" s="10" cm="1">
        <f t="array" ref="F36">Common_InputFunctions.Utility_DisplayArrayInTable(WasteSolid_SourceData.Waste_EmissionFactorsForWasteTreatment_Data(), Table_SourceData_WasteSolid_WasteTreatmentEFs[[#Headers],[Treatment type t]], 0)</f>
        <v>0.11</v>
      </c>
      <c r="G36" s="10" t="str" cm="1">
        <f t="array" ref="G36">Common_InputFunctions.Utility_DisplayArrayInTable(WasteSolid_SourceData.Waste_EmissionFactorsForWasteTreatment_Data(), Table_SourceData_WasteSolid_WasteTreatmentEFs[[#Headers],[Treatment type t]], 0)</f>
        <v/>
      </c>
    </row>
    <row r="37" spans="1:7" ht="20.100000000000001" customHeight="1" x14ac:dyDescent="0.25">
      <c r="A37" s="16" t="str">
        <f>HYPERLINK("#'Constants - Pasture Beef'!A1", "Constants - Pasture Beef")</f>
        <v>Constants - Pasture Beef</v>
      </c>
      <c r="D37" s="8" t="str" cm="1">
        <f t="array" ref="D37">Common_InputFunctions.Utility_DisplayArrayInTable(WasteSolid_SourceData.Waste_EmissionFactorsForWasteTreatment_Data(), Table_SourceData_WasteSolid_WasteTreatmentEFs[[#Headers],[Treatment type t]], 0)</f>
        <v>Incineration</v>
      </c>
      <c r="E37" s="10" t="str" cm="1">
        <f t="array" ref="E37">Common_InputFunctions.Utility_DisplayArrayInTable(WasteSolid_SourceData.Waste_EmissionFactorsForWasteTreatment_Data(), Table_SourceData_WasteSolid_WasteTreatmentEFs[[#Headers],[Treatment type t]], 0)</f>
        <v>Municipal solid waste</v>
      </c>
      <c r="F37" s="10" cm="1">
        <f t="array" ref="F37">Common_InputFunctions.Utility_DisplayArrayInTable(WasteSolid_SourceData.Waste_EmissionFactorsForWasteTreatment_Data(), Table_SourceData_WasteSolid_WasteTreatmentEFs[[#Headers],[Treatment type t]], 0)</f>
        <v>5.3699999999999998E-2</v>
      </c>
      <c r="G37" s="219" t="str" cm="1">
        <f t="array" ref="G37">Common_InputFunctions.Utility_DisplayArrayInTable(WasteSolid_SourceData.Waste_EmissionFactorsForWasteTreatment_Data(), Table_SourceData_WasteSolid_WasteTreatmentEFs[[#Headers],[Treatment type t]], 0)</f>
        <v>NGAF 2025 Table 18</v>
      </c>
    </row>
    <row r="38" spans="1:7" ht="20.100000000000001" customHeight="1" x14ac:dyDescent="0.25">
      <c r="A38" s="16" t="str">
        <f>HYPERLINK("#'Constants - Common Livestock'!A1", "Constants - Common Livestock")</f>
        <v>Constants - Common Livestock</v>
      </c>
      <c r="D38" s="8" t="str" cm="1">
        <f t="array" ref="D38">Common_InputFunctions.Utility_DisplayArrayInTable(WasteSolid_SourceData.Waste_EmissionFactorsForWasteTreatment_Data(), Table_SourceData_WasteSolid_WasteTreatmentEFs[[#Headers],[Treatment type t]], 0)</f>
        <v>Incineration</v>
      </c>
      <c r="E38" s="10" t="str" cm="1">
        <f t="array" ref="E38">Common_InputFunctions.Utility_DisplayArrayInTable(WasteSolid_SourceData.Waste_EmissionFactorsForWasteTreatment_Data(), Table_SourceData_WasteSolid_WasteTreatmentEFs[[#Headers],[Treatment type t]], 0)</f>
        <v>Commercial and industrial waste</v>
      </c>
      <c r="F38" s="10" cm="1">
        <f t="array" ref="F38">Common_InputFunctions.Utility_DisplayArrayInTable(WasteSolid_SourceData.Waste_EmissionFactorsForWasteTreatment_Data(), Table_SourceData_WasteSolid_WasteTreatmentEFs[[#Headers],[Treatment type t]], 0)</f>
        <v>1.649</v>
      </c>
      <c r="G38" s="219" t="str" cm="1">
        <f t="array" ref="G38">Common_InputFunctions.Utility_DisplayArrayInTable(WasteSolid_SourceData.Waste_EmissionFactorsForWasteTreatment_Data(), Table_SourceData_WasteSolid_WasteTreatmentEFs[[#Headers],[Treatment type t]], 0)</f>
        <v>NGAF 2025 Table 18</v>
      </c>
    </row>
    <row r="39" spans="1:7" ht="20.100000000000001" customHeight="1" x14ac:dyDescent="0.25">
      <c r="A39" s="16" t="str">
        <f>HYPERLINK("#'Constants - Fertiliser'!A1", "Constants - Fertiliser")</f>
        <v>Constants - Fertiliser</v>
      </c>
      <c r="D39" s="8" t="str" cm="1">
        <f t="array" ref="D39">Common_InputFunctions.Utility_DisplayArrayInTable(WasteSolid_SourceData.Waste_EmissionFactorsForWasteTreatment_Data(), Table_SourceData_WasteSolid_WasteTreatmentEFs[[#Headers],[Treatment type t]], 0)</f>
        <v>Composting</v>
      </c>
      <c r="E39" s="10" t="str" cm="1">
        <f t="array" ref="E39">Common_InputFunctions.Utility_DisplayArrayInTable(WasteSolid_SourceData.Waste_EmissionFactorsForWasteTreatment_Data(), Table_SourceData_WasteSolid_WasteTreatmentEFs[[#Headers],[Treatment type t]], 0)</f>
        <v>All organic waste</v>
      </c>
      <c r="F39" s="10" cm="1">
        <f t="array" ref="F39">Common_InputFunctions.Utility_DisplayArrayInTable(WasteSolid_SourceData.Waste_EmissionFactorsForWasteTreatment_Data(), Table_SourceData_WasteSolid_WasteTreatmentEFs[[#Headers],[Treatment type t]], 0)</f>
        <v>4.5999999999999999E-2</v>
      </c>
      <c r="G39" s="219" t="str" cm="1">
        <f t="array" ref="G39">Common_InputFunctions.Utility_DisplayArrayInTable(WasteSolid_SourceData.Waste_EmissionFactorsForWasteTreatment_Data(), Table_SourceData_WasteSolid_WasteTreatmentEFs[[#Headers],[Treatment type t]], 0)</f>
        <v>NGAF 2025 Table 19</v>
      </c>
    </row>
    <row r="40" spans="1:7" ht="20.100000000000001" customHeight="1" x14ac:dyDescent="0.25">
      <c r="A40" s="16" t="str">
        <f>HYPERLINK("#'Constants - Electricity'!A1", "Constants - Electricity")</f>
        <v>Constants - Electricity</v>
      </c>
      <c r="D40" s="8" t="str" cm="1">
        <f t="array" ref="D40">Common_InputFunctions.Utility_DisplayArrayInTable(WasteSolid_SourceData.Waste_EmissionFactorsForWasteTreatment_Data(), Table_SourceData_WasteSolid_WasteTreatmentEFs[[#Headers],[Treatment type t]], 0)</f>
        <v>Composting</v>
      </c>
      <c r="E40" s="10" t="str" cm="1">
        <f t="array" ref="E40">Common_InputFunctions.Utility_DisplayArrayInTable(WasteSolid_SourceData.Waste_EmissionFactorsForWasteTreatment_Data(), Table_SourceData_WasteSolid_WasteTreatmentEFs[[#Headers],[Treatment type t]], 0)</f>
        <v>Food waste (including animal carcasses, spoiled animal feed or crop)</v>
      </c>
      <c r="F40" s="10" cm="1">
        <f t="array" ref="F40">Common_InputFunctions.Utility_DisplayArrayInTable(WasteSolid_SourceData.Waste_EmissionFactorsForWasteTreatment_Data(), Table_SourceData_WasteSolid_WasteTreatmentEFs[[#Headers],[Treatment type t]], 0)</f>
        <v>4.5999999999999999E-2</v>
      </c>
      <c r="G40" s="219" t="str" cm="1">
        <f t="array" ref="G40">Common_InputFunctions.Utility_DisplayArrayInTable(WasteSolid_SourceData.Waste_EmissionFactorsForWasteTreatment_Data(), Table_SourceData_WasteSolid_WasteTreatmentEFs[[#Headers],[Treatment type t]], 0)</f>
        <v/>
      </c>
    </row>
    <row r="41" spans="1:7" ht="20.100000000000001" customHeight="1" x14ac:dyDescent="0.25">
      <c r="A41" s="16" t="str">
        <f>HYPERLINK("#'Constants - Common'!A1", "Constants - Common")</f>
        <v>Constants - Common</v>
      </c>
      <c r="D41" s="8" t="str" cm="1">
        <f t="array" ref="D41">Common_InputFunctions.Utility_DisplayArrayInTable(WasteSolid_SourceData.Waste_EmissionFactorsForWasteTreatment_Data(), Table_SourceData_WasteSolid_WasteTreatmentEFs[[#Headers],[Treatment type t]], 0)</f>
        <v>Composting</v>
      </c>
      <c r="E41" s="10" t="str" cm="1">
        <f t="array" ref="E41">Common_InputFunctions.Utility_DisplayArrayInTable(WasteSolid_SourceData.Waste_EmissionFactorsForWasteTreatment_Data(), Table_SourceData_WasteSolid_WasteTreatmentEFs[[#Headers],[Treatment type t]], 0)</f>
        <v>Green waste (including crop residues or prunings)</v>
      </c>
      <c r="F41" s="10" cm="1">
        <f t="array" ref="F41">Common_InputFunctions.Utility_DisplayArrayInTable(WasteSolid_SourceData.Waste_EmissionFactorsForWasteTreatment_Data(), Table_SourceData_WasteSolid_WasteTreatmentEFs[[#Headers],[Treatment type t]], 0)</f>
        <v>4.5999999999999999E-2</v>
      </c>
      <c r="G41" s="219" t="str" cm="1">
        <f t="array" ref="G41">Common_InputFunctions.Utility_DisplayArrayInTable(WasteSolid_SourceData.Waste_EmissionFactorsForWasteTreatment_Data(), Table_SourceData_WasteSolid_WasteTreatmentEFs[[#Headers],[Treatment type t]], 0)</f>
        <v/>
      </c>
    </row>
    <row r="42" spans="1:7" ht="20.100000000000001" customHeight="1" x14ac:dyDescent="0.25">
      <c r="A42"/>
      <c r="D42" s="8" t="str" cm="1">
        <f t="array" ref="D42">Common_InputFunctions.Utility_DisplayArrayInTable(WasteSolid_SourceData.Waste_EmissionFactorsForWasteTreatment_Data(), Table_SourceData_WasteSolid_WasteTreatmentEFs[[#Headers],[Treatment type t]], 0)</f>
        <v>Composting</v>
      </c>
      <c r="E42" s="10" t="str" cm="1">
        <f t="array" ref="E42">Common_InputFunctions.Utility_DisplayArrayInTable(WasteSolid_SourceData.Waste_EmissionFactorsForWasteTreatment_Data(), Table_SourceData_WasteSolid_WasteTreatmentEFs[[#Headers],[Treatment type t]], 0)</f>
        <v>Wood</v>
      </c>
      <c r="F42" s="10" cm="1">
        <f t="array" ref="F42">Common_InputFunctions.Utility_DisplayArrayInTable(WasteSolid_SourceData.Waste_EmissionFactorsForWasteTreatment_Data(), Table_SourceData_WasteSolid_WasteTreatmentEFs[[#Headers],[Treatment type t]], 0)</f>
        <v>4.5999999999999999E-2</v>
      </c>
      <c r="G42" s="219" t="str" cm="1">
        <f t="array" ref="G42">Common_InputFunctions.Utility_DisplayArrayInTable(WasteSolid_SourceData.Waste_EmissionFactorsForWasteTreatment_Data(), Table_SourceData_WasteSolid_WasteTreatmentEFs[[#Headers],[Treatment type t]], 0)</f>
        <v/>
      </c>
    </row>
    <row r="43" spans="1:7" ht="20.100000000000001" customHeight="1" x14ac:dyDescent="0.25">
      <c r="A43"/>
      <c r="D43" s="8" t="str" cm="1">
        <f t="array" ref="D43">Common_InputFunctions.Utility_DisplayArrayInTable(WasteSolid_SourceData.Waste_EmissionFactorsForWasteTreatment_Data(), Table_SourceData_WasteSolid_WasteTreatmentEFs[[#Headers],[Treatment type t]], 0)</f>
        <v>Composting</v>
      </c>
      <c r="E43" s="10" t="str" cm="1">
        <f t="array" ref="E43">Common_InputFunctions.Utility_DisplayArrayInTable(WasteSolid_SourceData.Waste_EmissionFactorsForWasteTreatment_Data(), Table_SourceData_WasteSolid_WasteTreatmentEFs[[#Headers],[Treatment type t]], 0)</f>
        <v>Sludge</v>
      </c>
      <c r="F43" s="10" cm="1">
        <f t="array" ref="F43">Common_InputFunctions.Utility_DisplayArrayInTable(WasteSolid_SourceData.Waste_EmissionFactorsForWasteTreatment_Data(), Table_SourceData_WasteSolid_WasteTreatmentEFs[[#Headers],[Treatment type t]], 0)</f>
        <v>4.5999999999999999E-2</v>
      </c>
      <c r="G43" s="219" t="str" cm="1">
        <f t="array" ref="G43">Common_InputFunctions.Utility_DisplayArrayInTable(WasteSolid_SourceData.Waste_EmissionFactorsForWasteTreatment_Data(), Table_SourceData_WasteSolid_WasteTreatmentEFs[[#Headers],[Treatment type t]], 0)</f>
        <v/>
      </c>
    </row>
    <row r="44" spans="1:7" ht="20.100000000000001" customHeight="1" x14ac:dyDescent="0.25">
      <c r="A44"/>
      <c r="D44" s="8" t="str" cm="1">
        <f t="array" ref="D44">Common_InputFunctions.Utility_DisplayArrayInTable(WasteSolid_SourceData.Waste_EmissionFactorsForWasteTreatment_Data(), Table_SourceData_WasteSolid_WasteTreatmentEFs[[#Headers],[Treatment type t]], 0)</f>
        <v>Composting</v>
      </c>
      <c r="E44" s="10" t="str" cm="1">
        <f t="array" ref="E44">Common_InputFunctions.Utility_DisplayArrayInTable(WasteSolid_SourceData.Waste_EmissionFactorsForWasteTreatment_Data(), Table_SourceData_WasteSolid_WasteTreatmentEFs[[#Headers],[Treatment type t]], 0)</f>
        <v>Paper and cardboard</v>
      </c>
      <c r="F44" s="10" cm="1">
        <f t="array" ref="F44">Common_InputFunctions.Utility_DisplayArrayInTable(WasteSolid_SourceData.Waste_EmissionFactorsForWasteTreatment_Data(), Table_SourceData_WasteSolid_WasteTreatmentEFs[[#Headers],[Treatment type t]], 0)</f>
        <v>4.5999999999999999E-2</v>
      </c>
      <c r="G44" s="219" t="str" cm="1">
        <f t="array" ref="G44">Common_InputFunctions.Utility_DisplayArrayInTable(WasteSolid_SourceData.Waste_EmissionFactorsForWasteTreatment_Data(), Table_SourceData_WasteSolid_WasteTreatmentEFs[[#Headers],[Treatment type t]], 0)</f>
        <v/>
      </c>
    </row>
    <row r="45" spans="1:7" ht="20.100000000000001" customHeight="1" x14ac:dyDescent="0.25">
      <c r="A45"/>
      <c r="D45" s="8" t="str" cm="1">
        <f t="array" ref="D45">Common_InputFunctions.Utility_DisplayArrayInTable(WasteSolid_SourceData.Waste_EmissionFactorsForWasteTreatment_Data(), Table_SourceData_WasteSolid_WasteTreatmentEFs[[#Headers],[Treatment type t]], 0)</f>
        <v>Anaerobic digestion</v>
      </c>
      <c r="E45" s="10" t="str" cm="1">
        <f t="array" ref="E45">Common_InputFunctions.Utility_DisplayArrayInTable(WasteSolid_SourceData.Waste_EmissionFactorsForWasteTreatment_Data(), Table_SourceData_WasteSolid_WasteTreatmentEFs[[#Headers],[Treatment type t]], 0)</f>
        <v>All organic waste</v>
      </c>
      <c r="F45" s="10" cm="1">
        <f t="array" ref="F45">Common_InputFunctions.Utility_DisplayArrayInTable(WasteSolid_SourceData.Waste_EmissionFactorsForWasteTreatment_Data(), Table_SourceData_WasteSolid_WasteTreatmentEFs[[#Headers],[Treatment type t]], 0)</f>
        <v>2.8000000000000001E-2</v>
      </c>
      <c r="G45" s="219" t="str" cm="1">
        <f t="array" ref="G45">Common_InputFunctions.Utility_DisplayArrayInTable(WasteSolid_SourceData.Waste_EmissionFactorsForWasteTreatment_Data(), Table_SourceData_WasteSolid_WasteTreatmentEFs[[#Headers],[Treatment type t]], 0)</f>
        <v>NGAF 2025 Table 19</v>
      </c>
    </row>
    <row r="46" spans="1:7" ht="20.100000000000001" customHeight="1" x14ac:dyDescent="0.25">
      <c r="A46"/>
      <c r="D46" s="8" t="str" cm="1">
        <f t="array" ref="D46">Common_InputFunctions.Utility_DisplayArrayInTable(WasteSolid_SourceData.Waste_EmissionFactorsForWasteTreatment_Data(), Table_SourceData_WasteSolid_WasteTreatmentEFs[[#Headers],[Treatment type t]], 0)</f>
        <v>Anaerobic digestion</v>
      </c>
      <c r="E46" s="10" t="str" cm="1">
        <f t="array" ref="E46">Common_InputFunctions.Utility_DisplayArrayInTable(WasteSolid_SourceData.Waste_EmissionFactorsForWasteTreatment_Data(), Table_SourceData_WasteSolid_WasteTreatmentEFs[[#Headers],[Treatment type t]], 0)</f>
        <v>Food waste (including animal carcasses, spoiled animal feed or crop)</v>
      </c>
      <c r="F46" s="10" cm="1">
        <f t="array" ref="F46">Common_InputFunctions.Utility_DisplayArrayInTable(WasteSolid_SourceData.Waste_EmissionFactorsForWasteTreatment_Data(), Table_SourceData_WasteSolid_WasteTreatmentEFs[[#Headers],[Treatment type t]], 0)</f>
        <v>2.8000000000000001E-2</v>
      </c>
      <c r="G46" s="219" t="str" cm="1">
        <f t="array" ref="G46">Common_InputFunctions.Utility_DisplayArrayInTable(WasteSolid_SourceData.Waste_EmissionFactorsForWasteTreatment_Data(), Table_SourceData_WasteSolid_WasteTreatmentEFs[[#Headers],[Treatment type t]], 0)</f>
        <v/>
      </c>
    </row>
    <row r="47" spans="1:7" ht="20.100000000000001" customHeight="1" x14ac:dyDescent="0.25">
      <c r="A47"/>
      <c r="D47" s="8" t="str" cm="1">
        <f t="array" ref="D47">Common_InputFunctions.Utility_DisplayArrayInTable(WasteSolid_SourceData.Waste_EmissionFactorsForWasteTreatment_Data(), Table_SourceData_WasteSolid_WasteTreatmentEFs[[#Headers],[Treatment type t]], 0)</f>
        <v>Anaerobic digestion</v>
      </c>
      <c r="E47" s="10" t="str" cm="1">
        <f t="array" ref="E47">Common_InputFunctions.Utility_DisplayArrayInTable(WasteSolid_SourceData.Waste_EmissionFactorsForWasteTreatment_Data(), Table_SourceData_WasteSolid_WasteTreatmentEFs[[#Headers],[Treatment type t]], 0)</f>
        <v>Green waste (including crop residues or prunings)</v>
      </c>
      <c r="F47" s="10" cm="1">
        <f t="array" ref="F47">Common_InputFunctions.Utility_DisplayArrayInTable(WasteSolid_SourceData.Waste_EmissionFactorsForWasteTreatment_Data(), Table_SourceData_WasteSolid_WasteTreatmentEFs[[#Headers],[Treatment type t]], 0)</f>
        <v>2.8000000000000001E-2</v>
      </c>
      <c r="G47" s="219" t="str" cm="1">
        <f t="array" ref="G47">Common_InputFunctions.Utility_DisplayArrayInTable(WasteSolid_SourceData.Waste_EmissionFactorsForWasteTreatment_Data(), Table_SourceData_WasteSolid_WasteTreatmentEFs[[#Headers],[Treatment type t]], 0)</f>
        <v/>
      </c>
    </row>
    <row r="48" spans="1:7" ht="20.100000000000001" customHeight="1" x14ac:dyDescent="0.25">
      <c r="A48"/>
      <c r="D48" s="8" t="str" cm="1">
        <f t="array" ref="D48">Common_InputFunctions.Utility_DisplayArrayInTable(WasteSolid_SourceData.Waste_EmissionFactorsForWasteTreatment_Data(), Table_SourceData_WasteSolid_WasteTreatmentEFs[[#Headers],[Treatment type t]], 0)</f>
        <v>Anaerobic digestion</v>
      </c>
      <c r="E48" s="10" t="str" cm="1">
        <f t="array" ref="E48">Common_InputFunctions.Utility_DisplayArrayInTable(WasteSolid_SourceData.Waste_EmissionFactorsForWasteTreatment_Data(), Table_SourceData_WasteSolid_WasteTreatmentEFs[[#Headers],[Treatment type t]], 0)</f>
        <v>Wood</v>
      </c>
      <c r="F48" s="10" cm="1">
        <f t="array" ref="F48">Common_InputFunctions.Utility_DisplayArrayInTable(WasteSolid_SourceData.Waste_EmissionFactorsForWasteTreatment_Data(), Table_SourceData_WasteSolid_WasteTreatmentEFs[[#Headers],[Treatment type t]], 0)</f>
        <v>2.8000000000000001E-2</v>
      </c>
      <c r="G48" s="219" t="str" cm="1">
        <f t="array" ref="G48">Common_InputFunctions.Utility_DisplayArrayInTable(WasteSolid_SourceData.Waste_EmissionFactorsForWasteTreatment_Data(), Table_SourceData_WasteSolid_WasteTreatmentEFs[[#Headers],[Treatment type t]], 0)</f>
        <v/>
      </c>
    </row>
    <row r="49" spans="1:7" ht="20.100000000000001" customHeight="1" x14ac:dyDescent="0.25">
      <c r="A49"/>
      <c r="D49" s="8" t="str" cm="1">
        <f t="array" ref="D49">Common_InputFunctions.Utility_DisplayArrayInTable(WasteSolid_SourceData.Waste_EmissionFactorsForWasteTreatment_Data(), Table_SourceData_WasteSolid_WasteTreatmentEFs[[#Headers],[Treatment type t]], 0)</f>
        <v>Anaerobic digestion</v>
      </c>
      <c r="E49" s="10" t="str" cm="1">
        <f t="array" ref="E49">Common_InputFunctions.Utility_DisplayArrayInTable(WasteSolid_SourceData.Waste_EmissionFactorsForWasteTreatment_Data(), Table_SourceData_WasteSolid_WasteTreatmentEFs[[#Headers],[Treatment type t]], 0)</f>
        <v>Sludge</v>
      </c>
      <c r="F49" s="10" cm="1">
        <f t="array" ref="F49">Common_InputFunctions.Utility_DisplayArrayInTable(WasteSolid_SourceData.Waste_EmissionFactorsForWasteTreatment_Data(), Table_SourceData_WasteSolid_WasteTreatmentEFs[[#Headers],[Treatment type t]], 0)</f>
        <v>2.8000000000000001E-2</v>
      </c>
      <c r="G49" s="219" t="str" cm="1">
        <f t="array" ref="G49">Common_InputFunctions.Utility_DisplayArrayInTable(WasteSolid_SourceData.Waste_EmissionFactorsForWasteTreatment_Data(), Table_SourceData_WasteSolid_WasteTreatmentEFs[[#Headers],[Treatment type t]], 0)</f>
        <v/>
      </c>
    </row>
    <row r="50" spans="1:7" ht="20.100000000000001" customHeight="1" x14ac:dyDescent="0.25">
      <c r="A50"/>
      <c r="D50" s="8" t="str" cm="1">
        <f t="array" ref="D50">Common_InputFunctions.Utility_DisplayArrayInTable(WasteSolid_SourceData.Waste_EmissionFactorsForWasteTreatment_Data(), Table_SourceData_WasteSolid_WasteTreatmentEFs[[#Headers],[Treatment type t]], 0)</f>
        <v>Anaerobic digestion</v>
      </c>
      <c r="E50" s="10" t="str" cm="1">
        <f t="array" ref="E50">Common_InputFunctions.Utility_DisplayArrayInTable(WasteSolid_SourceData.Waste_EmissionFactorsForWasteTreatment_Data(), Table_SourceData_WasteSolid_WasteTreatmentEFs[[#Headers],[Treatment type t]], 0)</f>
        <v>Paper and cardboard</v>
      </c>
      <c r="F50" s="10" cm="1">
        <f t="array" ref="F50">Common_InputFunctions.Utility_DisplayArrayInTable(WasteSolid_SourceData.Waste_EmissionFactorsForWasteTreatment_Data(), Table_SourceData_WasteSolid_WasteTreatmentEFs[[#Headers],[Treatment type t]], 0)</f>
        <v>2.8000000000000001E-2</v>
      </c>
      <c r="G50" s="219" t="str" cm="1">
        <f t="array" ref="G50">Common_InputFunctions.Utility_DisplayArrayInTable(WasteSolid_SourceData.Waste_EmissionFactorsForWasteTreatment_Data(), Table_SourceData_WasteSolid_WasteTreatmentEFs[[#Headers],[Treatment type t]], 0)</f>
        <v/>
      </c>
    </row>
    <row r="51" spans="1:7" ht="20.100000000000001" customHeight="1" x14ac:dyDescent="0.25">
      <c r="A51"/>
    </row>
    <row r="52" spans="1:7" ht="20.100000000000001" customHeight="1" x14ac:dyDescent="0.25">
      <c r="A52"/>
      <c r="D52" s="9" t="str" cm="1">
        <f t="array" ref="D52">WasteSolid_SourceData.Waste_WasteVolumeToMassConversion_Title()</f>
        <v>Volume to mass conversion factor for various waste types</v>
      </c>
    </row>
    <row r="53" spans="1:7" ht="20.100000000000001" customHeight="1" x14ac:dyDescent="0.25">
      <c r="A53"/>
      <c r="D53" s="11" t="str" cm="1">
        <f t="array" ref="D53">WasteSolid_SourceData.Waste_WasteVolumeToMassConversion_Source()</f>
        <v>VEERG 2026: Table A.4.1.2</v>
      </c>
    </row>
    <row r="54" spans="1:7" ht="20.100000000000001" customHeight="1" x14ac:dyDescent="0.25">
      <c r="A54"/>
      <c r="D54" s="12" t="str" cm="1">
        <f t="array" ref="D54">WasteSolid_SourceData.Waste_WasteVolumeToMassConversion_Variation()</f>
        <v>VARIATION OF SOURCE: Changed column header CFw to VTMw to match title variable.</v>
      </c>
    </row>
    <row r="55" spans="1:7" ht="20.100000000000001" customHeight="1" x14ac:dyDescent="0.25">
      <c r="A55"/>
      <c r="D55" s="8" t="str" cm="1">
        <f t="array" ref="D55">WasteSolid_SourceData.Waste_WasteVolumeToMassConversion_Variable()</f>
        <v>VTMw</v>
      </c>
    </row>
    <row r="56" spans="1:7" ht="20.100000000000001" customHeight="1" x14ac:dyDescent="0.25">
      <c r="A56"/>
      <c r="D56" s="13" t="str" cm="1">
        <f t="array" ref="D56">WasteSolid_SourceData.Waste_WasteVolumeToMassConversion_Unit()</f>
        <v>t/m3</v>
      </c>
    </row>
    <row r="57" spans="1:7" ht="20.100000000000001" customHeight="1" x14ac:dyDescent="0.25">
      <c r="A57"/>
      <c r="D57" s="10" t="s">
        <v>769</v>
      </c>
      <c r="E57" s="10" t="s">
        <v>772</v>
      </c>
    </row>
    <row r="58" spans="1:7" ht="20.100000000000001" customHeight="1" x14ac:dyDescent="0.25">
      <c r="A58"/>
      <c r="D58" s="10" t="str" cm="1">
        <f t="array" ref="D58">Common_InputFunctions.Utility_DisplayArrayInTable(WasteSolid_SourceData.Waste_WasteVolumeToMassConversion_Data(), Table_SourceData_WasteSolid_VolumeToMassConversion[[#Headers],[Waste type w]], 0)</f>
        <v>Food waste (including animal carcasses, spoiled animal feed or crop)</v>
      </c>
      <c r="E58" s="10" cm="1">
        <f t="array" ref="E58">Common_InputFunctions.Utility_DisplayArrayInTable(WasteSolid_SourceData.Waste_WasteVolumeToMassConversion_Data(), Table_SourceData_WasteSolid_VolumeToMassConversion[[#Headers],[Waste type w]], 0)</f>
        <v>0.5</v>
      </c>
    </row>
    <row r="59" spans="1:7" ht="20.100000000000001" customHeight="1" x14ac:dyDescent="0.25">
      <c r="A59"/>
      <c r="D59" s="8" t="str" cm="1">
        <f t="array" ref="D59">Common_InputFunctions.Utility_DisplayArrayInTable(WasteSolid_SourceData.Waste_WasteVolumeToMassConversion_Data(), Table_SourceData_WasteSolid_VolumeToMassConversion[[#Headers],[Waste type w]], 0)</f>
        <v>Paper and cardboard</v>
      </c>
      <c r="E59" s="10" cm="1">
        <f t="array" ref="E59">Common_InputFunctions.Utility_DisplayArrayInTable(WasteSolid_SourceData.Waste_WasteVolumeToMassConversion_Data(), Table_SourceData_WasteSolid_VolumeToMassConversion[[#Headers],[Waste type w]], 0)</f>
        <v>0.09</v>
      </c>
    </row>
    <row r="60" spans="1:7" ht="20.100000000000001" customHeight="1" x14ac:dyDescent="0.25">
      <c r="A60"/>
      <c r="D60" s="8" t="str" cm="1">
        <f t="array" ref="D60">Common_InputFunctions.Utility_DisplayArrayInTable(WasteSolid_SourceData.Waste_WasteVolumeToMassConversion_Data(), Table_SourceData_WasteSolid_VolumeToMassConversion[[#Headers],[Waste type w]], 0)</f>
        <v>Green waste (including crop residues or prunings)</v>
      </c>
      <c r="E60" s="10" cm="1">
        <f t="array" ref="E60">Common_InputFunctions.Utility_DisplayArrayInTable(WasteSolid_SourceData.Waste_WasteVolumeToMassConversion_Data(), Table_SourceData_WasteSolid_VolumeToMassConversion[[#Headers],[Waste type w]], 0)</f>
        <v>0.24</v>
      </c>
    </row>
    <row r="61" spans="1:7" ht="20.100000000000001" customHeight="1" x14ac:dyDescent="0.25">
      <c r="A61"/>
      <c r="D61" s="8" t="str" cm="1">
        <f t="array" ref="D61">Common_InputFunctions.Utility_DisplayArrayInTable(WasteSolid_SourceData.Waste_WasteVolumeToMassConversion_Data(), Table_SourceData_WasteSolid_VolumeToMassConversion[[#Headers],[Waste type w]], 0)</f>
        <v>Wood</v>
      </c>
      <c r="E61" s="10" cm="1">
        <f t="array" ref="E61">Common_InputFunctions.Utility_DisplayArrayInTable(WasteSolid_SourceData.Waste_WasteVolumeToMassConversion_Data(), Table_SourceData_WasteSolid_VolumeToMassConversion[[#Headers],[Waste type w]], 0)</f>
        <v>0.15</v>
      </c>
    </row>
    <row r="62" spans="1:7" ht="20.100000000000001" customHeight="1" x14ac:dyDescent="0.25">
      <c r="A62"/>
      <c r="D62" s="8" t="str" cm="1">
        <f t="array" ref="D62">Common_InputFunctions.Utility_DisplayArrayInTable(WasteSolid_SourceData.Waste_WasteVolumeToMassConversion_Data(), Table_SourceData_WasteSolid_VolumeToMassConversion[[#Headers],[Waste type w]], 0)</f>
        <v>Textiles</v>
      </c>
      <c r="E62" s="10" cm="1">
        <f t="array" ref="E62">Common_InputFunctions.Utility_DisplayArrayInTable(WasteSolid_SourceData.Waste_WasteVolumeToMassConversion_Data(), Table_SourceData_WasteSolid_VolumeToMassConversion[[#Headers],[Waste type w]], 0)</f>
        <v>0.14000000000000001</v>
      </c>
    </row>
    <row r="63" spans="1:7" ht="20.100000000000001" customHeight="1" x14ac:dyDescent="0.25">
      <c r="A63"/>
      <c r="D63" s="8" t="str" cm="1">
        <f t="array" ref="D63">Common_InputFunctions.Utility_DisplayArrayInTable(WasteSolid_SourceData.Waste_WasteVolumeToMassConversion_Data(), Table_SourceData_WasteSolid_VolumeToMassConversion[[#Headers],[Waste type w]], 0)</f>
        <v>Sludge</v>
      </c>
      <c r="E63" s="10" cm="1">
        <f t="array" ref="E63">Common_InputFunctions.Utility_DisplayArrayInTable(WasteSolid_SourceData.Waste_WasteVolumeToMassConversion_Data(), Table_SourceData_WasteSolid_VolumeToMassConversion[[#Headers],[Waste type w]], 0)</f>
        <v>0.72</v>
      </c>
    </row>
    <row r="64" spans="1:7" ht="20.100000000000001" customHeight="1" x14ac:dyDescent="0.25">
      <c r="A64"/>
      <c r="D64" s="8" t="str" cm="1">
        <f t="array" ref="D64">Common_InputFunctions.Utility_DisplayArrayInTable(WasteSolid_SourceData.Waste_WasteVolumeToMassConversion_Data(), Table_SourceData_WasteSolid_VolumeToMassConversion[[#Headers],[Waste type w]], 0)</f>
        <v>Rubber and leather</v>
      </c>
      <c r="E64" s="10" cm="1">
        <f t="array" ref="E64">Common_InputFunctions.Utility_DisplayArrayInTable(WasteSolid_SourceData.Waste_WasteVolumeToMassConversion_Data(), Table_SourceData_WasteSolid_VolumeToMassConversion[[#Headers],[Waste type w]], 0)</f>
        <v>0.14000000000000001</v>
      </c>
    </row>
    <row r="65" spans="1:5" ht="20.100000000000001" customHeight="1" x14ac:dyDescent="0.25">
      <c r="A65"/>
      <c r="D65" s="8" t="str" cm="1">
        <f t="array" ref="D65">Common_InputFunctions.Utility_DisplayArrayInTable(WasteSolid_SourceData.Waste_WasteVolumeToMassConversion_Data(), Table_SourceData_WasteSolid_VolumeToMassConversion[[#Headers],[Waste type w]], 0)</f>
        <v>Inert waste (including concrete, metal, plastic or glass)</v>
      </c>
      <c r="E65" s="10" cm="1">
        <f t="array" ref="E65">Common_InputFunctions.Utility_DisplayArrayInTable(WasteSolid_SourceData.Waste_WasteVolumeToMassConversion_Data(), Table_SourceData_WasteSolid_VolumeToMassConversion[[#Headers],[Waste type w]], 0)</f>
        <v>0.42</v>
      </c>
    </row>
    <row r="66" spans="1:5" ht="20.100000000000001" customHeight="1" x14ac:dyDescent="0.25">
      <c r="A66"/>
      <c r="D66" s="8" t="str" cm="1">
        <f t="array" ref="D66">Common_InputFunctions.Utility_DisplayArrayInTable(WasteSolid_SourceData.Waste_WasteVolumeToMassConversion_Data(), Table_SourceData_WasteSolid_VolumeToMassConversion[[#Headers],[Waste type w]], 0)</f>
        <v>Municipal solid waste</v>
      </c>
      <c r="E66" s="10" cm="1">
        <f t="array" ref="E66">Common_InputFunctions.Utility_DisplayArrayInTable(WasteSolid_SourceData.Waste_WasteVolumeToMassConversion_Data(), Table_SourceData_WasteSolid_VolumeToMassConversion[[#Headers],[Waste type w]], 0)</f>
        <v>0.36</v>
      </c>
    </row>
    <row r="67" spans="1:5" ht="20.100000000000001" customHeight="1" x14ac:dyDescent="0.25">
      <c r="A67"/>
      <c r="D67" s="8" t="str" cm="1">
        <f t="array" ref="D67">Common_InputFunctions.Utility_DisplayArrayInTable(WasteSolid_SourceData.Waste_WasteVolumeToMassConversion_Data(), Table_SourceData_WasteSolid_VolumeToMassConversion[[#Headers],[Waste type w]], 0)</f>
        <v>Commercial and industrial waste</v>
      </c>
      <c r="E67" s="10" cm="1">
        <f t="array" ref="E67">Common_InputFunctions.Utility_DisplayArrayInTable(WasteSolid_SourceData.Waste_WasteVolumeToMassConversion_Data(), Table_SourceData_WasteSolid_VolumeToMassConversion[[#Headers],[Waste type w]], 0)</f>
        <v>0.33</v>
      </c>
    </row>
    <row r="68" spans="1:5" ht="20.100000000000001" customHeight="1" x14ac:dyDescent="0.25">
      <c r="A68"/>
      <c r="D68" s="8" t="str" cm="1">
        <f t="array" ref="D68">Common_InputFunctions.Utility_DisplayArrayInTable(WasteSolid_SourceData.Waste_WasteVolumeToMassConversion_Data(), Table_SourceData_WasteSolid_VolumeToMassConversion[[#Headers],[Waste type w]], 0)</f>
        <v>Construction and demolition waste</v>
      </c>
      <c r="E68" s="10" cm="1">
        <f t="array" ref="E68">Common_InputFunctions.Utility_DisplayArrayInTable(WasteSolid_SourceData.Waste_WasteVolumeToMassConversion_Data(), Table_SourceData_WasteSolid_VolumeToMassConversion[[#Headers],[Waste type w]], 0)</f>
        <v>0.39</v>
      </c>
    </row>
    <row r="69" spans="1:5" ht="20.100000000000001" customHeight="1" x14ac:dyDescent="0.25">
      <c r="A69"/>
    </row>
    <row r="70" spans="1:5" ht="20.100000000000001" customHeight="1" x14ac:dyDescent="0.25">
      <c r="A70"/>
    </row>
    <row r="71" spans="1:5" ht="20.100000000000001" customHeight="1" x14ac:dyDescent="0.25">
      <c r="A71"/>
    </row>
    <row r="72" spans="1:5" ht="20.100000000000001" customHeight="1" x14ac:dyDescent="0.25">
      <c r="A72"/>
    </row>
    <row r="73" spans="1:5" ht="20.100000000000001" customHeight="1" x14ac:dyDescent="0.25">
      <c r="A73"/>
    </row>
    <row r="74" spans="1:5" ht="20.100000000000001" customHeight="1" x14ac:dyDescent="0.25">
      <c r="A74"/>
    </row>
    <row r="75" spans="1:5" ht="20.100000000000001" customHeight="1" x14ac:dyDescent="0.25">
      <c r="A75"/>
    </row>
    <row r="76" spans="1:5" ht="20.100000000000001" customHeight="1" x14ac:dyDescent="0.25">
      <c r="A76"/>
    </row>
    <row r="77" spans="1:5" ht="20.100000000000001" customHeight="1" x14ac:dyDescent="0.25">
      <c r="A77"/>
    </row>
    <row r="78" spans="1:5" ht="20.100000000000001" customHeight="1" x14ac:dyDescent="0.25">
      <c r="A78"/>
    </row>
    <row r="79" spans="1:5" ht="20.100000000000001" customHeight="1" x14ac:dyDescent="0.25">
      <c r="A79"/>
    </row>
    <row r="80" spans="1:5"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C1376-1C23-4228-80DA-44E83D9A4C12}">
  <dimension ref="A1:AI165"/>
  <sheetViews>
    <sheetView showGridLines="0" topLeftCell="A138" zoomScaleNormal="100" workbookViewId="0">
      <selection activeCell="A41" sqref="A41"/>
    </sheetView>
  </sheetViews>
  <sheetFormatPr defaultRowHeight="15.75" x14ac:dyDescent="0.25"/>
  <cols>
    <col min="1" max="1" width="26.875" style="3" customWidth="1"/>
    <col min="2" max="2" width="4.125" style="3" customWidth="1"/>
    <col min="3" max="3" width="4.125" style="8" customWidth="1"/>
    <col min="4" max="4" width="34.25" style="8" customWidth="1"/>
    <col min="5" max="5" width="18.125" style="8" customWidth="1"/>
    <col min="6" max="6" width="18.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37" t="e" vm="1">
        <v>#VALUE!</v>
      </c>
      <c r="C1" s="1" t="s">
        <v>66</v>
      </c>
      <c r="AG1" s="3"/>
      <c r="AH1" s="3"/>
      <c r="AI1" s="3"/>
    </row>
    <row r="2" spans="1:35" s="2" customFormat="1" ht="20.100000000000001" customHeight="1" x14ac:dyDescent="0.25">
      <c r="A2"/>
      <c r="AG2" s="3"/>
      <c r="AH2" s="3"/>
      <c r="AI2" s="3"/>
    </row>
    <row r="3" spans="1:35"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HYPERLINK("#'Results'!A1", "Results")</f>
        <v>Results</v>
      </c>
    </row>
    <row r="5" spans="1:35" ht="20.100000000000001" customHeight="1" x14ac:dyDescent="0.25">
      <c r="A5"/>
      <c r="D5" s="9" t="str" cm="1">
        <f t="array" ref="D5">Fuel_SourceData.Fuel_Scope1Scope3EmissionFactorsTransport_Title()</f>
        <v>Fuel scope 1 and 3 emission factors - Transport</v>
      </c>
      <c r="E5" s="17"/>
      <c r="F5" s="17"/>
      <c r="G5" s="17"/>
      <c r="H5" s="17"/>
      <c r="I5" s="17"/>
      <c r="J5" s="17"/>
      <c r="K5" s="17"/>
      <c r="L5" s="17"/>
    </row>
    <row r="6" spans="1:35" ht="20.100000000000001" customHeight="1" x14ac:dyDescent="0.25">
      <c r="A6"/>
      <c r="D6" s="8" t="str" cm="1">
        <f t="array" ref="D6">Fuel_SourceData.Fuel_Scope1Scope3EmissionFactorsTransport_Description()</f>
        <v>Direct (scope 1) and indirect (scope 3) emission factors for the consumption of transport fuels in different transport equipment</v>
      </c>
      <c r="E6" s="17"/>
      <c r="F6" s="17"/>
      <c r="G6" s="17"/>
      <c r="H6" s="17"/>
      <c r="I6" s="17"/>
      <c r="J6" s="17"/>
      <c r="K6" s="17"/>
      <c r="L6" s="17"/>
    </row>
    <row r="7" spans="1:35" ht="20.100000000000001" customHeight="1" x14ac:dyDescent="0.25">
      <c r="A7" s="19" t="s">
        <v>67</v>
      </c>
      <c r="D7" s="11" t="str" cm="1">
        <f t="array" ref="D7">Fuel_SourceData.Fuel_Scope1Scope3EmissionFactorsTransport_Source()</f>
        <v>Australian National Greenhouse Accounts Factors 2025 - Table 9</v>
      </c>
      <c r="E7" s="17"/>
      <c r="F7" s="17"/>
      <c r="G7" s="17"/>
      <c r="H7" s="17"/>
      <c r="I7" s="17"/>
      <c r="J7" s="17"/>
      <c r="K7" s="17"/>
      <c r="L7" s="17"/>
    </row>
    <row r="8" spans="1:35" ht="20.100000000000001" customHeight="1" x14ac:dyDescent="0.25">
      <c r="A8" s="16" t="str">
        <f>HYPERLINK("#'Input - Site'!A1", "Site")</f>
        <v>Site</v>
      </c>
      <c r="D8" s="12" t="str" cm="1">
        <f t="array" ref="D8">"⚠️" &amp; Fuel_SourceData.Fuel_Scope1Scope3EmissionFactorsTransport_Variation()</f>
        <v>⚠️VARIATION OF SOURCE DATA: 'NE' values returned as zero for calculations.</v>
      </c>
      <c r="E8" s="17"/>
      <c r="F8" s="17"/>
      <c r="G8" s="17"/>
      <c r="H8" s="17"/>
      <c r="I8" s="17"/>
      <c r="J8" s="17"/>
      <c r="K8" s="17"/>
      <c r="L8" s="17"/>
    </row>
    <row r="9" spans="1:35" ht="20.100000000000001" customHeight="1" x14ac:dyDescent="0.25">
      <c r="A9" s="16" t="str">
        <f>HYPERLINK("#'Input - Fuel'!A1", "Fuel")</f>
        <v>Fuel</v>
      </c>
      <c r="D9" s="20" t="s">
        <v>68</v>
      </c>
      <c r="E9" s="20" t="s">
        <v>69</v>
      </c>
      <c r="F9" s="20" t="s">
        <v>70</v>
      </c>
      <c r="G9" s="20" t="s">
        <v>71</v>
      </c>
      <c r="H9" s="20" t="s">
        <v>72</v>
      </c>
      <c r="I9" s="20" t="s">
        <v>73</v>
      </c>
      <c r="J9" s="20" t="s">
        <v>74</v>
      </c>
      <c r="K9" s="20" t="s">
        <v>75</v>
      </c>
      <c r="L9" s="20" t="s">
        <v>76</v>
      </c>
    </row>
    <row r="10" spans="1:35" ht="20.100000000000001" customHeight="1" x14ac:dyDescent="0.25">
      <c r="A10" s="16" t="str">
        <f>HYPERLINK("#'Input - Fertiliser'!A1", "Fertiliser")</f>
        <v>Fertiliser</v>
      </c>
      <c r="D10" s="22" t="str" cm="1">
        <f t="array" ref="D10">Common_InputFunctions.Utility_DisplayArrayInTable(Fuel_SourceData.Fuel_Scope1Scope3EmissionFactorsTransport_Data(), Table_Fuel_EFs_Transport[[#Headers],[Transport type]], 0)</f>
        <v>Cars and light commercial vehicles</v>
      </c>
      <c r="E10" s="22" t="str" cm="1">
        <f t="array" ref="E10">Common_InputFunctions.Utility_DisplayArrayInTable(Fuel_SourceData.Fuel_Scope1Scope3EmissionFactorsTransport_Data(), Table_Fuel_EFs_Transport[[#Headers],[Transport type]], 0)</f>
        <v>Gasoline</v>
      </c>
      <c r="F10" s="22" cm="1">
        <f t="array" ref="F10">Common_InputFunctions.Utility_DisplayArrayInTable(Fuel_SourceData.Fuel_Scope1Scope3EmissionFactorsTransport_Data(), Table_Fuel_EFs_Transport[[#Headers],[Transport type]], 0)</f>
        <v>34.200000000000003</v>
      </c>
      <c r="G10" s="22" t="str" cm="1">
        <f t="array" ref="G10">Common_InputFunctions.Utility_DisplayArrayInTable(Fuel_SourceData.Fuel_Scope1Scope3EmissionFactorsTransport_Data(), Table_Fuel_EFs_Transport[[#Headers],[Transport type]], 0)</f>
        <v>kl</v>
      </c>
      <c r="H10" s="22" cm="1">
        <f t="array" ref="H10">Common_InputFunctions.Utility_DisplayArrayInTable(Fuel_SourceData.Fuel_Scope1Scope3EmissionFactorsTransport_Data(), Table_Fuel_EFs_Transport[[#Headers],[Transport type]], 0)</f>
        <v>67.400000000000006</v>
      </c>
      <c r="I10" s="22" cm="1">
        <f t="array" ref="I10">Common_InputFunctions.Utility_DisplayArrayInTable(Fuel_SourceData.Fuel_Scope1Scope3EmissionFactorsTransport_Data(), Table_Fuel_EFs_Transport[[#Headers],[Transport type]], 0)</f>
        <v>0.02</v>
      </c>
      <c r="J10" s="22" cm="1">
        <f t="array" ref="J10">Common_InputFunctions.Utility_DisplayArrayInTable(Fuel_SourceData.Fuel_Scope1Scope3EmissionFactorsTransport_Data(), Table_Fuel_EFs_Transport[[#Headers],[Transport type]], 0)</f>
        <v>0.2</v>
      </c>
      <c r="K10" s="22" cm="1">
        <f t="array" ref="K10">Common_InputFunctions.Utility_DisplayArrayInTable(Fuel_SourceData.Fuel_Scope1Scope3EmissionFactorsTransport_Data(), Table_Fuel_EFs_Transport[[#Headers],[Transport type]], 0)</f>
        <v>67.62</v>
      </c>
      <c r="L10" s="22" cm="1">
        <f t="array" ref="L10">Common_InputFunctions.Utility_DisplayArrayInTable(Fuel_SourceData.Fuel_Scope1Scope3EmissionFactorsTransport_Data(), Table_Fuel_EFs_Transport[[#Headers],[Transport type]], 0)</f>
        <v>17.2</v>
      </c>
    </row>
    <row r="11" spans="1:35" ht="20.100000000000001" customHeight="1" x14ac:dyDescent="0.25">
      <c r="A11" s="16" t="str">
        <f>HYPERLINK("#'Input - Farm Inputs'!A1", "Farm Inputs")</f>
        <v>Farm Inputs</v>
      </c>
      <c r="D11" s="22" t="str" cm="1">
        <f t="array" ref="D11">Common_InputFunctions.Utility_DisplayArrayInTable(Fuel_SourceData.Fuel_Scope1Scope3EmissionFactorsTransport_Data(), Table_Fuel_EFs_Transport[[#Headers],[Transport type]], 0)</f>
        <v>Cars and light commercial vehicles</v>
      </c>
      <c r="E11" s="22" t="str" cm="1">
        <f t="array" ref="E11">Common_InputFunctions.Utility_DisplayArrayInTable(Fuel_SourceData.Fuel_Scope1Scope3EmissionFactorsTransport_Data(), Table_Fuel_EFs_Transport[[#Headers],[Transport type]], 0)</f>
        <v>Diesel oil</v>
      </c>
      <c r="F11" s="22" cm="1">
        <f t="array" ref="F11">Common_InputFunctions.Utility_DisplayArrayInTable(Fuel_SourceData.Fuel_Scope1Scope3EmissionFactorsTransport_Data(), Table_Fuel_EFs_Transport[[#Headers],[Transport type]], 0)</f>
        <v>38.6</v>
      </c>
      <c r="G11" s="22" t="str" cm="1">
        <f t="array" ref="G11">Common_InputFunctions.Utility_DisplayArrayInTable(Fuel_SourceData.Fuel_Scope1Scope3EmissionFactorsTransport_Data(), Table_Fuel_EFs_Transport[[#Headers],[Transport type]], 0)</f>
        <v>kl</v>
      </c>
      <c r="H11" s="22" cm="1">
        <f t="array" ref="H11">Common_InputFunctions.Utility_DisplayArrayInTable(Fuel_SourceData.Fuel_Scope1Scope3EmissionFactorsTransport_Data(), Table_Fuel_EFs_Transport[[#Headers],[Transport type]], 0)</f>
        <v>69.900000000000006</v>
      </c>
      <c r="I11" s="22" cm="1">
        <f t="array" ref="I11">Common_InputFunctions.Utility_DisplayArrayInTable(Fuel_SourceData.Fuel_Scope1Scope3EmissionFactorsTransport_Data(), Table_Fuel_EFs_Transport[[#Headers],[Transport type]], 0)</f>
        <v>0.01</v>
      </c>
      <c r="J11" s="22" cm="1">
        <f t="array" ref="J11">Common_InputFunctions.Utility_DisplayArrayInTable(Fuel_SourceData.Fuel_Scope1Scope3EmissionFactorsTransport_Data(), Table_Fuel_EFs_Transport[[#Headers],[Transport type]], 0)</f>
        <v>0.5</v>
      </c>
      <c r="K11" s="22" cm="1">
        <f t="array" ref="K11">Common_InputFunctions.Utility_DisplayArrayInTable(Fuel_SourceData.Fuel_Scope1Scope3EmissionFactorsTransport_Data(), Table_Fuel_EFs_Transport[[#Headers],[Transport type]], 0)</f>
        <v>70.41</v>
      </c>
      <c r="L11" s="22" cm="1">
        <f t="array" ref="L11">Common_InputFunctions.Utility_DisplayArrayInTable(Fuel_SourceData.Fuel_Scope1Scope3EmissionFactorsTransport_Data(), Table_Fuel_EFs_Transport[[#Headers],[Transport type]], 0)</f>
        <v>17.3</v>
      </c>
    </row>
    <row r="12" spans="1:35" ht="20.100000000000001" customHeight="1" x14ac:dyDescent="0.25">
      <c r="A12" s="16" t="str">
        <f>HYPERLINK("#'Input - Beef cattle purchases'!A1", "Beef cattle purchases")</f>
        <v>Beef cattle purchases</v>
      </c>
      <c r="D12" s="22" t="str" cm="1">
        <f t="array" ref="D12">Common_InputFunctions.Utility_DisplayArrayInTable(Fuel_SourceData.Fuel_Scope1Scope3EmissionFactorsTransport_Data(), Table_Fuel_EFs_Transport[[#Headers],[Transport type]], 0)</f>
        <v>Cars and light commercial vehicles</v>
      </c>
      <c r="E12" s="22" t="str" cm="1">
        <f t="array" ref="E12">Common_InputFunctions.Utility_DisplayArrayInTable(Fuel_SourceData.Fuel_Scope1Scope3EmissionFactorsTransport_Data(), Table_Fuel_EFs_Transport[[#Headers],[Transport type]], 0)</f>
        <v>Liquefied petroleum gas (LPG)</v>
      </c>
      <c r="F12" s="22" cm="1">
        <f t="array" ref="F12">Common_InputFunctions.Utility_DisplayArrayInTable(Fuel_SourceData.Fuel_Scope1Scope3EmissionFactorsTransport_Data(), Table_Fuel_EFs_Transport[[#Headers],[Transport type]], 0)</f>
        <v>26.2</v>
      </c>
      <c r="G12" s="22" t="str" cm="1">
        <f t="array" ref="G12">Common_InputFunctions.Utility_DisplayArrayInTable(Fuel_SourceData.Fuel_Scope1Scope3EmissionFactorsTransport_Data(), Table_Fuel_EFs_Transport[[#Headers],[Transport type]], 0)</f>
        <v>kl</v>
      </c>
      <c r="H12" s="22" cm="1">
        <f t="array" ref="H12">Common_InputFunctions.Utility_DisplayArrayInTable(Fuel_SourceData.Fuel_Scope1Scope3EmissionFactorsTransport_Data(), Table_Fuel_EFs_Transport[[#Headers],[Transport type]], 0)</f>
        <v>60.2</v>
      </c>
      <c r="I12" s="22" cm="1">
        <f t="array" ref="I12">Common_InputFunctions.Utility_DisplayArrayInTable(Fuel_SourceData.Fuel_Scope1Scope3EmissionFactorsTransport_Data(), Table_Fuel_EFs_Transport[[#Headers],[Transport type]], 0)</f>
        <v>0.5</v>
      </c>
      <c r="J12" s="22" cm="1">
        <f t="array" ref="J12">Common_InputFunctions.Utility_DisplayArrayInTable(Fuel_SourceData.Fuel_Scope1Scope3EmissionFactorsTransport_Data(), Table_Fuel_EFs_Transport[[#Headers],[Transport type]], 0)</f>
        <v>0.3</v>
      </c>
      <c r="K12" s="22" cm="1">
        <f t="array" ref="K12">Common_InputFunctions.Utility_DisplayArrayInTable(Fuel_SourceData.Fuel_Scope1Scope3EmissionFactorsTransport_Data(), Table_Fuel_EFs_Transport[[#Headers],[Transport type]], 0)</f>
        <v>61</v>
      </c>
      <c r="L12" s="22" cm="1">
        <f t="array" ref="L12">Common_InputFunctions.Utility_DisplayArrayInTable(Fuel_SourceData.Fuel_Scope1Scope3EmissionFactorsTransport_Data(), Table_Fuel_EFs_Transport[[#Headers],[Transport type]], 0)</f>
        <v>20.2</v>
      </c>
    </row>
    <row r="13" spans="1:35" ht="20.100000000000001" customHeight="1" x14ac:dyDescent="0.25">
      <c r="A13" s="16" t="str">
        <f>HYPERLINK("#'Input - Dairy cattle purchases'!A1", "Dairy cattle purchases")</f>
        <v>Dairy cattle purchases</v>
      </c>
      <c r="D13" s="22" t="str" cm="1">
        <f t="array" ref="D13">Common_InputFunctions.Utility_DisplayArrayInTable(Fuel_SourceData.Fuel_Scope1Scope3EmissionFactorsTransport_Data(), Table_Fuel_EFs_Transport[[#Headers],[Transport type]], 0)</f>
        <v>Cars and light commercial vehicles</v>
      </c>
      <c r="E13" s="22" t="str" cm="1">
        <f t="array" ref="E13">Common_InputFunctions.Utility_DisplayArrayInTable(Fuel_SourceData.Fuel_Scope1Scope3EmissionFactorsTransport_Data(), Table_Fuel_EFs_Transport[[#Headers],[Transport type]], 0)</f>
        <v>Fuel oil</v>
      </c>
      <c r="F13" s="22" cm="1">
        <f t="array" ref="F13">Common_InputFunctions.Utility_DisplayArrayInTable(Fuel_SourceData.Fuel_Scope1Scope3EmissionFactorsTransport_Data(), Table_Fuel_EFs_Transport[[#Headers],[Transport type]], 0)</f>
        <v>39.700000000000003</v>
      </c>
      <c r="G13" s="22" t="str" cm="1">
        <f t="array" ref="G13">Common_InputFunctions.Utility_DisplayArrayInTable(Fuel_SourceData.Fuel_Scope1Scope3EmissionFactorsTransport_Data(), Table_Fuel_EFs_Transport[[#Headers],[Transport type]], 0)</f>
        <v>kl</v>
      </c>
      <c r="H13" s="22" cm="1">
        <f t="array" ref="H13">Common_InputFunctions.Utility_DisplayArrayInTable(Fuel_SourceData.Fuel_Scope1Scope3EmissionFactorsTransport_Data(), Table_Fuel_EFs_Transport[[#Headers],[Transport type]], 0)</f>
        <v>73.599999999999994</v>
      </c>
      <c r="I13" s="22" cm="1">
        <f t="array" ref="I13">Common_InputFunctions.Utility_DisplayArrayInTable(Fuel_SourceData.Fuel_Scope1Scope3EmissionFactorsTransport_Data(), Table_Fuel_EFs_Transport[[#Headers],[Transport type]], 0)</f>
        <v>0.08</v>
      </c>
      <c r="J13" s="22" cm="1">
        <f t="array" ref="J13">Common_InputFunctions.Utility_DisplayArrayInTable(Fuel_SourceData.Fuel_Scope1Scope3EmissionFactorsTransport_Data(), Table_Fuel_EFs_Transport[[#Headers],[Transport type]], 0)</f>
        <v>0.5</v>
      </c>
      <c r="K13" s="22" cm="1">
        <f t="array" ref="K13">Common_InputFunctions.Utility_DisplayArrayInTable(Fuel_SourceData.Fuel_Scope1Scope3EmissionFactorsTransport_Data(), Table_Fuel_EFs_Transport[[#Headers],[Transport type]], 0)</f>
        <v>74.180000000000007</v>
      </c>
      <c r="L13" s="22" cm="1">
        <f t="array" ref="L13">Common_InputFunctions.Utility_DisplayArrayInTable(Fuel_SourceData.Fuel_Scope1Scope3EmissionFactorsTransport_Data(), Table_Fuel_EFs_Transport[[#Headers],[Transport type]], 0)</f>
        <v>18</v>
      </c>
    </row>
    <row r="14" spans="1:35" ht="20.100000000000001" customHeight="1" x14ac:dyDescent="0.25">
      <c r="A14" s="16" t="str">
        <f>HYPERLINK("#'Input - Pig purchases'!A1", "Pig purchases")</f>
        <v>Pig purchases</v>
      </c>
      <c r="D14" s="22" t="str" cm="1">
        <f t="array" ref="D14">Common_InputFunctions.Utility_DisplayArrayInTable(Fuel_SourceData.Fuel_Scope1Scope3EmissionFactorsTransport_Data(), Table_Fuel_EFs_Transport[[#Headers],[Transport type]], 0)</f>
        <v>Cars and light commercial vehicles</v>
      </c>
      <c r="E14" s="22" t="str" cm="1">
        <f t="array" ref="E14">Common_InputFunctions.Utility_DisplayArrayInTable(Fuel_SourceData.Fuel_Scope1Scope3EmissionFactorsTransport_Data(), Table_Fuel_EFs_Transport[[#Headers],[Transport type]], 0)</f>
        <v>Ethanol</v>
      </c>
      <c r="F14" s="22" cm="1">
        <f t="array" ref="F14">Common_InputFunctions.Utility_DisplayArrayInTable(Fuel_SourceData.Fuel_Scope1Scope3EmissionFactorsTransport_Data(), Table_Fuel_EFs_Transport[[#Headers],[Transport type]], 0)</f>
        <v>23.4</v>
      </c>
      <c r="G14" s="22" t="str" cm="1">
        <f t="array" ref="G14">Common_InputFunctions.Utility_DisplayArrayInTable(Fuel_SourceData.Fuel_Scope1Scope3EmissionFactorsTransport_Data(), Table_Fuel_EFs_Transport[[#Headers],[Transport type]], 0)</f>
        <v>kl</v>
      </c>
      <c r="H14" s="22" cm="1">
        <f t="array" ref="H14">Common_InputFunctions.Utility_DisplayArrayInTable(Fuel_SourceData.Fuel_Scope1Scope3EmissionFactorsTransport_Data(), Table_Fuel_EFs_Transport[[#Headers],[Transport type]], 0)</f>
        <v>0</v>
      </c>
      <c r="I14" s="22" cm="1">
        <f t="array" ref="I14">Common_InputFunctions.Utility_DisplayArrayInTable(Fuel_SourceData.Fuel_Scope1Scope3EmissionFactorsTransport_Data(), Table_Fuel_EFs_Transport[[#Headers],[Transport type]], 0)</f>
        <v>0.2</v>
      </c>
      <c r="J14" s="22" cm="1">
        <f t="array" ref="J14">Common_InputFunctions.Utility_DisplayArrayInTable(Fuel_SourceData.Fuel_Scope1Scope3EmissionFactorsTransport_Data(), Table_Fuel_EFs_Transport[[#Headers],[Transport type]], 0)</f>
        <v>0.2</v>
      </c>
      <c r="K14" s="22" cm="1">
        <f t="array" ref="K14">Common_InputFunctions.Utility_DisplayArrayInTable(Fuel_SourceData.Fuel_Scope1Scope3EmissionFactorsTransport_Data(), Table_Fuel_EFs_Transport[[#Headers],[Transport type]], 0)</f>
        <v>0.4</v>
      </c>
      <c r="L14" s="22" t="str" cm="1">
        <f t="array" ref="L14">Common_InputFunctions.Utility_DisplayArrayInTable(Fuel_SourceData.Fuel_Scope1Scope3EmissionFactorsTransport_Data(), Table_Fuel_EFs_Transport[[#Headers],[Transport type]], 0)</f>
        <v>NE</v>
      </c>
    </row>
    <row r="15" spans="1:35" ht="20.100000000000001" customHeight="1" x14ac:dyDescent="0.25">
      <c r="A15" s="16" t="str">
        <f>HYPERLINK("#'Input - Poultry purchases'!A1", "Poultry purchases")</f>
        <v>Poultry purchases</v>
      </c>
      <c r="D15" s="22" t="str" cm="1">
        <f t="array" ref="D15">Common_InputFunctions.Utility_DisplayArrayInTable(Fuel_SourceData.Fuel_Scope1Scope3EmissionFactorsTransport_Data(), Table_Fuel_EFs_Transport[[#Headers],[Transport type]], 0)</f>
        <v>Cars and light commercial vehicles</v>
      </c>
      <c r="E15" s="22" t="str" cm="1">
        <f t="array" ref="E15">Common_InputFunctions.Utility_DisplayArrayInTable(Fuel_SourceData.Fuel_Scope1Scope3EmissionFactorsTransport_Data(), Table_Fuel_EFs_Transport[[#Headers],[Transport type]], 0)</f>
        <v>Biodiesel</v>
      </c>
      <c r="F15" s="22" cm="1">
        <f t="array" ref="F15">Common_InputFunctions.Utility_DisplayArrayInTable(Fuel_SourceData.Fuel_Scope1Scope3EmissionFactorsTransport_Data(), Table_Fuel_EFs_Transport[[#Headers],[Transport type]], 0)</f>
        <v>34.6</v>
      </c>
      <c r="G15" s="22" t="str" cm="1">
        <f t="array" ref="G15">Common_InputFunctions.Utility_DisplayArrayInTable(Fuel_SourceData.Fuel_Scope1Scope3EmissionFactorsTransport_Data(), Table_Fuel_EFs_Transport[[#Headers],[Transport type]], 0)</f>
        <v>kl</v>
      </c>
      <c r="H15" s="22" cm="1">
        <f t="array" ref="H15">Common_InputFunctions.Utility_DisplayArrayInTable(Fuel_SourceData.Fuel_Scope1Scope3EmissionFactorsTransport_Data(), Table_Fuel_EFs_Transport[[#Headers],[Transport type]], 0)</f>
        <v>0</v>
      </c>
      <c r="I15" s="22" cm="1">
        <f t="array" ref="I15">Common_InputFunctions.Utility_DisplayArrayInTable(Fuel_SourceData.Fuel_Scope1Scope3EmissionFactorsTransport_Data(), Table_Fuel_EFs_Transport[[#Headers],[Transport type]], 0)</f>
        <v>0.8</v>
      </c>
      <c r="J15" s="22" cm="1">
        <f t="array" ref="J15">Common_InputFunctions.Utility_DisplayArrayInTable(Fuel_SourceData.Fuel_Scope1Scope3EmissionFactorsTransport_Data(), Table_Fuel_EFs_Transport[[#Headers],[Transport type]], 0)</f>
        <v>1.7</v>
      </c>
      <c r="K15" s="22" cm="1">
        <f t="array" ref="K15">Common_InputFunctions.Utility_DisplayArrayInTable(Fuel_SourceData.Fuel_Scope1Scope3EmissionFactorsTransport_Data(), Table_Fuel_EFs_Transport[[#Headers],[Transport type]], 0)</f>
        <v>2.5</v>
      </c>
      <c r="L15" s="22" t="str" cm="1">
        <f t="array" ref="L15">Common_InputFunctions.Utility_DisplayArrayInTable(Fuel_SourceData.Fuel_Scope1Scope3EmissionFactorsTransport_Data(), Table_Fuel_EFs_Transport[[#Headers],[Transport type]], 0)</f>
        <v>NE</v>
      </c>
    </row>
    <row r="16" spans="1:35" ht="20.100000000000001" customHeight="1" x14ac:dyDescent="0.25">
      <c r="A16" s="16" t="str">
        <f>HYPERLINK("#'Input - Freight'!A1", "Freight")</f>
        <v>Freight</v>
      </c>
      <c r="D16" s="22" t="str" cm="1">
        <f t="array" ref="D16">Common_InputFunctions.Utility_DisplayArrayInTable(Fuel_SourceData.Fuel_Scope1Scope3EmissionFactorsTransport_Data(), Table_Fuel_EFs_Transport[[#Headers],[Transport type]], 0)</f>
        <v>Cars and light commercial vehicles</v>
      </c>
      <c r="E16" s="22" t="str" cm="1">
        <f t="array" ref="E16">Common_InputFunctions.Utility_DisplayArrayInTable(Fuel_SourceData.Fuel_Scope1Scope3EmissionFactorsTransport_Data(), Table_Fuel_EFs_Transport[[#Headers],[Transport type]], 0)</f>
        <v>Renewable diesel</v>
      </c>
      <c r="F16" s="22" cm="1">
        <f t="array" ref="F16">Common_InputFunctions.Utility_DisplayArrayInTable(Fuel_SourceData.Fuel_Scope1Scope3EmissionFactorsTransport_Data(), Table_Fuel_EFs_Transport[[#Headers],[Transport type]], 0)</f>
        <v>38.6</v>
      </c>
      <c r="G16" s="22" t="str" cm="1">
        <f t="array" ref="G16">Common_InputFunctions.Utility_DisplayArrayInTable(Fuel_SourceData.Fuel_Scope1Scope3EmissionFactorsTransport_Data(), Table_Fuel_EFs_Transport[[#Headers],[Transport type]], 0)</f>
        <v>kl</v>
      </c>
      <c r="H16" s="22" cm="1">
        <f t="array" ref="H16">Common_InputFunctions.Utility_DisplayArrayInTable(Fuel_SourceData.Fuel_Scope1Scope3EmissionFactorsTransport_Data(), Table_Fuel_EFs_Transport[[#Headers],[Transport type]], 0)</f>
        <v>0</v>
      </c>
      <c r="I16" s="22" cm="1">
        <f t="array" ref="I16">Common_InputFunctions.Utility_DisplayArrayInTable(Fuel_SourceData.Fuel_Scope1Scope3EmissionFactorsTransport_Data(), Table_Fuel_EFs_Transport[[#Headers],[Transport type]], 0)</f>
        <v>0.01</v>
      </c>
      <c r="J16" s="22" cm="1">
        <f t="array" ref="J16">Common_InputFunctions.Utility_DisplayArrayInTable(Fuel_SourceData.Fuel_Scope1Scope3EmissionFactorsTransport_Data(), Table_Fuel_EFs_Transport[[#Headers],[Transport type]], 0)</f>
        <v>0.5</v>
      </c>
      <c r="K16" s="22" cm="1">
        <f t="array" ref="K16">Common_InputFunctions.Utility_DisplayArrayInTable(Fuel_SourceData.Fuel_Scope1Scope3EmissionFactorsTransport_Data(), Table_Fuel_EFs_Transport[[#Headers],[Transport type]], 0)</f>
        <v>0.51</v>
      </c>
      <c r="L16" s="22" t="str" cm="1">
        <f t="array" ref="L16">Common_InputFunctions.Utility_DisplayArrayInTable(Fuel_SourceData.Fuel_Scope1Scope3EmissionFactorsTransport_Data(), Table_Fuel_EFs_Transport[[#Headers],[Transport type]], 0)</f>
        <v>NE</v>
      </c>
    </row>
    <row r="17" spans="1:12" ht="20.100000000000001" customHeight="1" x14ac:dyDescent="0.25">
      <c r="A17" s="16" t="str">
        <f>HYPERLINK("#'Input - Solid waste'!A1", "Solid waste")</f>
        <v>Solid waste</v>
      </c>
      <c r="D17" s="22" t="str" cm="1">
        <f t="array" ref="D17">Common_InputFunctions.Utility_DisplayArrayInTable(Fuel_SourceData.Fuel_Scope1Scope3EmissionFactorsTransport_Data(), Table_Fuel_EFs_Transport[[#Headers],[Transport type]], 0)</f>
        <v>Cars and light commercial vehicles</v>
      </c>
      <c r="E17" s="22" t="str" cm="1">
        <f t="array" ref="E17">Common_InputFunctions.Utility_DisplayArrayInTable(Fuel_SourceData.Fuel_Scope1Scope3EmissionFactorsTransport_Data(), Table_Fuel_EFs_Transport[[#Headers],[Transport type]], 0)</f>
        <v>Other biofuels</v>
      </c>
      <c r="F17" s="22" cm="1">
        <f t="array" ref="F17">Common_InputFunctions.Utility_DisplayArrayInTable(Fuel_SourceData.Fuel_Scope1Scope3EmissionFactorsTransport_Data(), Table_Fuel_EFs_Transport[[#Headers],[Transport type]], 0)</f>
        <v>23.4</v>
      </c>
      <c r="G17" s="22" t="str" cm="1">
        <f t="array" ref="G17">Common_InputFunctions.Utility_DisplayArrayInTable(Fuel_SourceData.Fuel_Scope1Scope3EmissionFactorsTransport_Data(), Table_Fuel_EFs_Transport[[#Headers],[Transport type]], 0)</f>
        <v>kl</v>
      </c>
      <c r="H17" s="22" cm="1">
        <f t="array" ref="H17">Common_InputFunctions.Utility_DisplayArrayInTable(Fuel_SourceData.Fuel_Scope1Scope3EmissionFactorsTransport_Data(), Table_Fuel_EFs_Transport[[#Headers],[Transport type]], 0)</f>
        <v>0</v>
      </c>
      <c r="I17" s="22" cm="1">
        <f t="array" ref="I17">Common_InputFunctions.Utility_DisplayArrayInTable(Fuel_SourceData.Fuel_Scope1Scope3EmissionFactorsTransport_Data(), Table_Fuel_EFs_Transport[[#Headers],[Transport type]], 0)</f>
        <v>0.8</v>
      </c>
      <c r="J17" s="22" cm="1">
        <f t="array" ref="J17">Common_InputFunctions.Utility_DisplayArrayInTable(Fuel_SourceData.Fuel_Scope1Scope3EmissionFactorsTransport_Data(), Table_Fuel_EFs_Transport[[#Headers],[Transport type]], 0)</f>
        <v>1.7</v>
      </c>
      <c r="K17" s="22" cm="1">
        <f t="array" ref="K17">Common_InputFunctions.Utility_DisplayArrayInTable(Fuel_SourceData.Fuel_Scope1Scope3EmissionFactorsTransport_Data(), Table_Fuel_EFs_Transport[[#Headers],[Transport type]], 0)</f>
        <v>2.5</v>
      </c>
      <c r="L17" s="22" t="str" cm="1">
        <f t="array" ref="L17">Common_InputFunctions.Utility_DisplayArrayInTable(Fuel_SourceData.Fuel_Scope1Scope3EmissionFactorsTransport_Data(), Table_Fuel_EFs_Transport[[#Headers],[Transport type]], 0)</f>
        <v>NE</v>
      </c>
    </row>
    <row r="18" spans="1:12" ht="20.100000000000001" customHeight="1" x14ac:dyDescent="0.25">
      <c r="A18" s="16" t="str">
        <f>HYPERLINK("#'Input - Manure sent off-site'!A1", "Manure sent off-site")</f>
        <v>Manure sent off-site</v>
      </c>
      <c r="D18" s="22" t="str" cm="1">
        <f t="array" ref="D18">Common_InputFunctions.Utility_DisplayArrayInTable(Fuel_SourceData.Fuel_Scope1Scope3EmissionFactorsTransport_Data(), Table_Fuel_EFs_Transport[[#Headers],[Transport type]], 0)</f>
        <v>Light duty vehicles</v>
      </c>
      <c r="E18" s="22" t="str" cm="1">
        <f t="array" ref="E18">Common_InputFunctions.Utility_DisplayArrayInTable(Fuel_SourceData.Fuel_Scope1Scope3EmissionFactorsTransport_Data(), Table_Fuel_EFs_Transport[[#Headers],[Transport type]], 0)</f>
        <v>Compressed natural gas</v>
      </c>
      <c r="F18" s="22" cm="1">
        <f t="array" ref="F18">Common_InputFunctions.Utility_DisplayArrayInTable(Fuel_SourceData.Fuel_Scope1Scope3EmissionFactorsTransport_Data(), Table_Fuel_EFs_Transport[[#Headers],[Transport type]], 0)</f>
        <v>3.9300000000000002E-2</v>
      </c>
      <c r="G18" s="22" t="str" cm="1">
        <f t="array" ref="G18">Common_InputFunctions.Utility_DisplayArrayInTable(Fuel_SourceData.Fuel_Scope1Scope3EmissionFactorsTransport_Data(), Table_Fuel_EFs_Transport[[#Headers],[Transport type]], 0)</f>
        <v>m3</v>
      </c>
      <c r="H18" s="22" cm="1">
        <f t="array" ref="H18">Common_InputFunctions.Utility_DisplayArrayInTable(Fuel_SourceData.Fuel_Scope1Scope3EmissionFactorsTransport_Data(), Table_Fuel_EFs_Transport[[#Headers],[Transport type]], 0)</f>
        <v>51.4</v>
      </c>
      <c r="I18" s="22" cm="1">
        <f t="array" ref="I18">Common_InputFunctions.Utility_DisplayArrayInTable(Fuel_SourceData.Fuel_Scope1Scope3EmissionFactorsTransport_Data(), Table_Fuel_EFs_Transport[[#Headers],[Transport type]], 0)</f>
        <v>7.3</v>
      </c>
      <c r="J18" s="22" cm="1">
        <f t="array" ref="J18">Common_InputFunctions.Utility_DisplayArrayInTable(Fuel_SourceData.Fuel_Scope1Scope3EmissionFactorsTransport_Data(), Table_Fuel_EFs_Transport[[#Headers],[Transport type]], 0)</f>
        <v>0.3</v>
      </c>
      <c r="K18" s="22" cm="1">
        <f t="array" ref="K18">Common_InputFunctions.Utility_DisplayArrayInTable(Fuel_SourceData.Fuel_Scope1Scope3EmissionFactorsTransport_Data(), Table_Fuel_EFs_Transport[[#Headers],[Transport type]], 0)</f>
        <v>59</v>
      </c>
      <c r="L18" s="22" cm="1">
        <f t="array" ref="L18">Common_InputFunctions.Utility_DisplayArrayInTable(Fuel_SourceData.Fuel_Scope1Scope3EmissionFactorsTransport_Data(), Table_Fuel_EFs_Transport[[#Headers],[Transport type]], 0)</f>
        <v>18</v>
      </c>
    </row>
    <row r="19" spans="1:12" ht="20.100000000000001" customHeight="1" x14ac:dyDescent="0.25">
      <c r="A19" s="16" t="str">
        <f>HYPERLINK("#'Input - Electricity'!A1", "Electricity")</f>
        <v>Electricity</v>
      </c>
      <c r="D19" s="22" t="str" cm="1">
        <f t="array" ref="D19">Common_InputFunctions.Utility_DisplayArrayInTable(Fuel_SourceData.Fuel_Scope1Scope3EmissionFactorsTransport_Data(), Table_Fuel_EFs_Transport[[#Headers],[Transport type]], 0)</f>
        <v>Light duty vehicles</v>
      </c>
      <c r="E19" s="22" t="str" cm="1">
        <f t="array" ref="E19">Common_InputFunctions.Utility_DisplayArrayInTable(Fuel_SourceData.Fuel_Scope1Scope3EmissionFactorsTransport_Data(), Table_Fuel_EFs_Transport[[#Headers],[Transport type]], 0)</f>
        <v>Liquefied natural gas</v>
      </c>
      <c r="F19" s="22" cm="1">
        <f t="array" ref="F19">Common_InputFunctions.Utility_DisplayArrayInTable(Fuel_SourceData.Fuel_Scope1Scope3EmissionFactorsTransport_Data(), Table_Fuel_EFs_Transport[[#Headers],[Transport type]], 0)</f>
        <v>25.3</v>
      </c>
      <c r="G19" s="22" t="str" cm="1">
        <f t="array" ref="G19">Common_InputFunctions.Utility_DisplayArrayInTable(Fuel_SourceData.Fuel_Scope1Scope3EmissionFactorsTransport_Data(), Table_Fuel_EFs_Transport[[#Headers],[Transport type]], 0)</f>
        <v>kl</v>
      </c>
      <c r="H19" s="22" cm="1">
        <f t="array" ref="H19">Common_InputFunctions.Utility_DisplayArrayInTable(Fuel_SourceData.Fuel_Scope1Scope3EmissionFactorsTransport_Data(), Table_Fuel_EFs_Transport[[#Headers],[Transport type]], 0)</f>
        <v>51.4</v>
      </c>
      <c r="I19" s="22" cm="1">
        <f t="array" ref="I19">Common_InputFunctions.Utility_DisplayArrayInTable(Fuel_SourceData.Fuel_Scope1Scope3EmissionFactorsTransport_Data(), Table_Fuel_EFs_Transport[[#Headers],[Transport type]], 0)</f>
        <v>7.3</v>
      </c>
      <c r="J19" s="22" cm="1">
        <f t="array" ref="J19">Common_InputFunctions.Utility_DisplayArrayInTable(Fuel_SourceData.Fuel_Scope1Scope3EmissionFactorsTransport_Data(), Table_Fuel_EFs_Transport[[#Headers],[Transport type]], 0)</f>
        <v>0.3</v>
      </c>
      <c r="K19" s="22" cm="1">
        <f t="array" ref="K19">Common_InputFunctions.Utility_DisplayArrayInTable(Fuel_SourceData.Fuel_Scope1Scope3EmissionFactorsTransport_Data(), Table_Fuel_EFs_Transport[[#Headers],[Transport type]], 0)</f>
        <v>59</v>
      </c>
      <c r="L19" s="22" cm="1">
        <f t="array" ref="L19">Common_InputFunctions.Utility_DisplayArrayInTable(Fuel_SourceData.Fuel_Scope1Scope3EmissionFactorsTransport_Data(), Table_Fuel_EFs_Transport[[#Headers],[Transport type]], 0)</f>
        <v>18</v>
      </c>
    </row>
    <row r="20" spans="1:12" ht="20.100000000000001" customHeight="1" x14ac:dyDescent="0.25">
      <c r="A20"/>
      <c r="D20" s="22" t="str" cm="1">
        <f t="array" ref="D20">Common_InputFunctions.Utility_DisplayArrayInTable(Fuel_SourceData.Fuel_Scope1Scope3EmissionFactorsTransport_Data(), Table_Fuel_EFs_Transport[[#Headers],[Transport type]], 0)</f>
        <v>Heavy duty vehicles</v>
      </c>
      <c r="E20" s="22" t="str" cm="1">
        <f t="array" ref="E20">Common_InputFunctions.Utility_DisplayArrayInTable(Fuel_SourceData.Fuel_Scope1Scope3EmissionFactorsTransport_Data(), Table_Fuel_EFs_Transport[[#Headers],[Transport type]], 0)</f>
        <v>Compressed natural gas</v>
      </c>
      <c r="F20" s="22" cm="1">
        <f t="array" ref="F20">Common_InputFunctions.Utility_DisplayArrayInTable(Fuel_SourceData.Fuel_Scope1Scope3EmissionFactorsTransport_Data(), Table_Fuel_EFs_Transport[[#Headers],[Transport type]], 0)</f>
        <v>3.9300000000000002E-2</v>
      </c>
      <c r="G20" s="22" t="str" cm="1">
        <f t="array" ref="G20">Common_InputFunctions.Utility_DisplayArrayInTable(Fuel_SourceData.Fuel_Scope1Scope3EmissionFactorsTransport_Data(), Table_Fuel_EFs_Transport[[#Headers],[Transport type]], 0)</f>
        <v>m3</v>
      </c>
      <c r="H20" s="22" cm="1">
        <f t="array" ref="H20">Common_InputFunctions.Utility_DisplayArrayInTable(Fuel_SourceData.Fuel_Scope1Scope3EmissionFactorsTransport_Data(), Table_Fuel_EFs_Transport[[#Headers],[Transport type]], 0)</f>
        <v>51.4</v>
      </c>
      <c r="I20" s="22" cm="1">
        <f t="array" ref="I20">Common_InputFunctions.Utility_DisplayArrayInTable(Fuel_SourceData.Fuel_Scope1Scope3EmissionFactorsTransport_Data(), Table_Fuel_EFs_Transport[[#Headers],[Transport type]], 0)</f>
        <v>2.8</v>
      </c>
      <c r="J20" s="22" cm="1">
        <f t="array" ref="J20">Common_InputFunctions.Utility_DisplayArrayInTable(Fuel_SourceData.Fuel_Scope1Scope3EmissionFactorsTransport_Data(), Table_Fuel_EFs_Transport[[#Headers],[Transport type]], 0)</f>
        <v>0.3</v>
      </c>
      <c r="K20" s="22" cm="1">
        <f t="array" ref="K20">Common_InputFunctions.Utility_DisplayArrayInTable(Fuel_SourceData.Fuel_Scope1Scope3EmissionFactorsTransport_Data(), Table_Fuel_EFs_Transport[[#Headers],[Transport type]], 0)</f>
        <v>54.5</v>
      </c>
      <c r="L20" s="22" cm="1">
        <f t="array" ref="L20">Common_InputFunctions.Utility_DisplayArrayInTable(Fuel_SourceData.Fuel_Scope1Scope3EmissionFactorsTransport_Data(), Table_Fuel_EFs_Transport[[#Headers],[Transport type]], 0)</f>
        <v>18</v>
      </c>
    </row>
    <row r="21" spans="1:12" ht="20.100000000000001" customHeight="1" x14ac:dyDescent="0.25">
      <c r="A21"/>
      <c r="D21" s="22" t="str" cm="1">
        <f t="array" ref="D21">Common_InputFunctions.Utility_DisplayArrayInTable(Fuel_SourceData.Fuel_Scope1Scope3EmissionFactorsTransport_Data(), Table_Fuel_EFs_Transport[[#Headers],[Transport type]], 0)</f>
        <v>Heavy duty vehicles</v>
      </c>
      <c r="E21" s="22" t="str" cm="1">
        <f t="array" ref="E21">Common_InputFunctions.Utility_DisplayArrayInTable(Fuel_SourceData.Fuel_Scope1Scope3EmissionFactorsTransport_Data(), Table_Fuel_EFs_Transport[[#Headers],[Transport type]], 0)</f>
        <v>Liquefied natural gas</v>
      </c>
      <c r="F21" s="22" cm="1">
        <f t="array" ref="F21">Common_InputFunctions.Utility_DisplayArrayInTable(Fuel_SourceData.Fuel_Scope1Scope3EmissionFactorsTransport_Data(), Table_Fuel_EFs_Transport[[#Headers],[Transport type]], 0)</f>
        <v>25.3</v>
      </c>
      <c r="G21" s="22" t="str" cm="1">
        <f t="array" ref="G21">Common_InputFunctions.Utility_DisplayArrayInTable(Fuel_SourceData.Fuel_Scope1Scope3EmissionFactorsTransport_Data(), Table_Fuel_EFs_Transport[[#Headers],[Transport type]], 0)</f>
        <v>kl</v>
      </c>
      <c r="H21" s="22" cm="1">
        <f t="array" ref="H21">Common_InputFunctions.Utility_DisplayArrayInTable(Fuel_SourceData.Fuel_Scope1Scope3EmissionFactorsTransport_Data(), Table_Fuel_EFs_Transport[[#Headers],[Transport type]], 0)</f>
        <v>51.4</v>
      </c>
      <c r="I21" s="22" cm="1">
        <f t="array" ref="I21">Common_InputFunctions.Utility_DisplayArrayInTable(Fuel_SourceData.Fuel_Scope1Scope3EmissionFactorsTransport_Data(), Table_Fuel_EFs_Transport[[#Headers],[Transport type]], 0)</f>
        <v>2.8</v>
      </c>
      <c r="J21" s="22" cm="1">
        <f t="array" ref="J21">Common_InputFunctions.Utility_DisplayArrayInTable(Fuel_SourceData.Fuel_Scope1Scope3EmissionFactorsTransport_Data(), Table_Fuel_EFs_Transport[[#Headers],[Transport type]], 0)</f>
        <v>0.3</v>
      </c>
      <c r="K21" s="22" cm="1">
        <f t="array" ref="K21">Common_InputFunctions.Utility_DisplayArrayInTable(Fuel_SourceData.Fuel_Scope1Scope3EmissionFactorsTransport_Data(), Table_Fuel_EFs_Transport[[#Headers],[Transport type]], 0)</f>
        <v>54.5</v>
      </c>
      <c r="L21" s="22" cm="1">
        <f t="array" ref="L21">Common_InputFunctions.Utility_DisplayArrayInTable(Fuel_SourceData.Fuel_Scope1Scope3EmissionFactorsTransport_Data(), Table_Fuel_EFs_Transport[[#Headers],[Transport type]], 0)</f>
        <v>18</v>
      </c>
    </row>
    <row r="22" spans="1:12" ht="20.100000000000001" customHeight="1" x14ac:dyDescent="0.25">
      <c r="A22" s="21" t="s">
        <v>77</v>
      </c>
      <c r="D22" s="22" t="str" cm="1">
        <f t="array" ref="D22">Common_InputFunctions.Utility_DisplayArrayInTable(Fuel_SourceData.Fuel_Scope1Scope3EmissionFactorsTransport_Data(), Table_Fuel_EFs_Transport[[#Headers],[Transport type]], 0)</f>
        <v>Heavy duty vehicles</v>
      </c>
      <c r="E22" s="22" t="str" cm="1">
        <f t="array" ref="E22">Common_InputFunctions.Utility_DisplayArrayInTable(Fuel_SourceData.Fuel_Scope1Scope3EmissionFactorsTransport_Data(), Table_Fuel_EFs_Transport[[#Headers],[Transport type]], 0)</f>
        <v>Diesel oil - Euro iv or higher</v>
      </c>
      <c r="F22" s="22" cm="1">
        <f t="array" ref="F22">Common_InputFunctions.Utility_DisplayArrayInTable(Fuel_SourceData.Fuel_Scope1Scope3EmissionFactorsTransport_Data(), Table_Fuel_EFs_Transport[[#Headers],[Transport type]], 0)</f>
        <v>38.6</v>
      </c>
      <c r="G22" s="22" t="str" cm="1">
        <f t="array" ref="G22">Common_InputFunctions.Utility_DisplayArrayInTable(Fuel_SourceData.Fuel_Scope1Scope3EmissionFactorsTransport_Data(), Table_Fuel_EFs_Transport[[#Headers],[Transport type]], 0)</f>
        <v>kl</v>
      </c>
      <c r="H22" s="22" cm="1">
        <f t="array" ref="H22">Common_InputFunctions.Utility_DisplayArrayInTable(Fuel_SourceData.Fuel_Scope1Scope3EmissionFactorsTransport_Data(), Table_Fuel_EFs_Transport[[#Headers],[Transport type]], 0)</f>
        <v>69.900000000000006</v>
      </c>
      <c r="I22" s="22" cm="1">
        <f t="array" ref="I22">Common_InputFunctions.Utility_DisplayArrayInTable(Fuel_SourceData.Fuel_Scope1Scope3EmissionFactorsTransport_Data(), Table_Fuel_EFs_Transport[[#Headers],[Transport type]], 0)</f>
        <v>7.0000000000000007E-2</v>
      </c>
      <c r="J22" s="22" cm="1">
        <f t="array" ref="J22">Common_InputFunctions.Utility_DisplayArrayInTable(Fuel_SourceData.Fuel_Scope1Scope3EmissionFactorsTransport_Data(), Table_Fuel_EFs_Transport[[#Headers],[Transport type]], 0)</f>
        <v>0.4</v>
      </c>
      <c r="K22" s="22" cm="1">
        <f t="array" ref="K22">Common_InputFunctions.Utility_DisplayArrayInTable(Fuel_SourceData.Fuel_Scope1Scope3EmissionFactorsTransport_Data(), Table_Fuel_EFs_Transport[[#Headers],[Transport type]], 0)</f>
        <v>70.37</v>
      </c>
      <c r="L22" s="22" cm="1">
        <f t="array" ref="L22">Common_InputFunctions.Utility_DisplayArrayInTable(Fuel_SourceData.Fuel_Scope1Scope3EmissionFactorsTransport_Data(), Table_Fuel_EFs_Transport[[#Headers],[Transport type]], 0)</f>
        <v>17.3</v>
      </c>
    </row>
    <row r="23" spans="1:12" ht="20.100000000000001" customHeight="1" x14ac:dyDescent="0.25">
      <c r="A23" s="16" t="str">
        <f>HYPERLINK("#'15 Scope 3'!A1", "15 Scope 3")</f>
        <v>15 Scope 3</v>
      </c>
      <c r="D23" s="22" t="str" cm="1">
        <f t="array" ref="D23">Common_InputFunctions.Utility_DisplayArrayInTable(Fuel_SourceData.Fuel_Scope1Scope3EmissionFactorsTransport_Data(), Table_Fuel_EFs_Transport[[#Headers],[Transport type]], 0)</f>
        <v>Heavy duty vehicles</v>
      </c>
      <c r="E23" s="22" t="str" cm="1">
        <f t="array" ref="E23">Common_InputFunctions.Utility_DisplayArrayInTable(Fuel_SourceData.Fuel_Scope1Scope3EmissionFactorsTransport_Data(), Table_Fuel_EFs_Transport[[#Headers],[Transport type]], 0)</f>
        <v>Diesel oil - Euro iii</v>
      </c>
      <c r="F23" s="22" cm="1">
        <f t="array" ref="F23">Common_InputFunctions.Utility_DisplayArrayInTable(Fuel_SourceData.Fuel_Scope1Scope3EmissionFactorsTransport_Data(), Table_Fuel_EFs_Transport[[#Headers],[Transport type]], 0)</f>
        <v>38.6</v>
      </c>
      <c r="G23" s="22" t="str" cm="1">
        <f t="array" ref="G23">Common_InputFunctions.Utility_DisplayArrayInTable(Fuel_SourceData.Fuel_Scope1Scope3EmissionFactorsTransport_Data(), Table_Fuel_EFs_Transport[[#Headers],[Transport type]], 0)</f>
        <v>kl</v>
      </c>
      <c r="H23" s="22" cm="1">
        <f t="array" ref="H23">Common_InputFunctions.Utility_DisplayArrayInTable(Fuel_SourceData.Fuel_Scope1Scope3EmissionFactorsTransport_Data(), Table_Fuel_EFs_Transport[[#Headers],[Transport type]], 0)</f>
        <v>69.900000000000006</v>
      </c>
      <c r="I23" s="22" cm="1">
        <f t="array" ref="I23">Common_InputFunctions.Utility_DisplayArrayInTable(Fuel_SourceData.Fuel_Scope1Scope3EmissionFactorsTransport_Data(), Table_Fuel_EFs_Transport[[#Headers],[Transport type]], 0)</f>
        <v>0.1</v>
      </c>
      <c r="J23" s="22" cm="1">
        <f t="array" ref="J23">Common_InputFunctions.Utility_DisplayArrayInTable(Fuel_SourceData.Fuel_Scope1Scope3EmissionFactorsTransport_Data(), Table_Fuel_EFs_Transport[[#Headers],[Transport type]], 0)</f>
        <v>0.4</v>
      </c>
      <c r="K23" s="22" cm="1">
        <f t="array" ref="K23">Common_InputFunctions.Utility_DisplayArrayInTable(Fuel_SourceData.Fuel_Scope1Scope3EmissionFactorsTransport_Data(), Table_Fuel_EFs_Transport[[#Headers],[Transport type]], 0)</f>
        <v>70.400000000000006</v>
      </c>
      <c r="L23" s="22" cm="1">
        <f t="array" ref="L23">Common_InputFunctions.Utility_DisplayArrayInTable(Fuel_SourceData.Fuel_Scope1Scope3EmissionFactorsTransport_Data(), Table_Fuel_EFs_Transport[[#Headers],[Transport type]], 0)</f>
        <v>17.3</v>
      </c>
    </row>
    <row r="24" spans="1:12" ht="20.100000000000001" customHeight="1" x14ac:dyDescent="0.25">
      <c r="A24" s="16" t="str">
        <f>HYPERLINK("#'10.1.1-2 Solid waste treatment'!A1", "10.1.1-2 Solid waste treatment")</f>
        <v>10.1.1-2 Solid waste treatment</v>
      </c>
      <c r="D24" s="22" t="str" cm="1">
        <f t="array" ref="D24">Common_InputFunctions.Utility_DisplayArrayInTable(Fuel_SourceData.Fuel_Scope1Scope3EmissionFactorsTransport_Data(), Table_Fuel_EFs_Transport[[#Headers],[Transport type]], 0)</f>
        <v>Heavy duty vehicles</v>
      </c>
      <c r="E24" s="22" t="str" cm="1">
        <f t="array" ref="E24">Common_InputFunctions.Utility_DisplayArrayInTable(Fuel_SourceData.Fuel_Scope1Scope3EmissionFactorsTransport_Data(), Table_Fuel_EFs_Transport[[#Headers],[Transport type]], 0)</f>
        <v>Diesel oil - Euro i</v>
      </c>
      <c r="F24" s="22" cm="1">
        <f t="array" ref="F24">Common_InputFunctions.Utility_DisplayArrayInTable(Fuel_SourceData.Fuel_Scope1Scope3EmissionFactorsTransport_Data(), Table_Fuel_EFs_Transport[[#Headers],[Transport type]], 0)</f>
        <v>38.6</v>
      </c>
      <c r="G24" s="22" t="str" cm="1">
        <f t="array" ref="G24">Common_InputFunctions.Utility_DisplayArrayInTable(Fuel_SourceData.Fuel_Scope1Scope3EmissionFactorsTransport_Data(), Table_Fuel_EFs_Transport[[#Headers],[Transport type]], 0)</f>
        <v>kl</v>
      </c>
      <c r="H24" s="22" cm="1">
        <f t="array" ref="H24">Common_InputFunctions.Utility_DisplayArrayInTable(Fuel_SourceData.Fuel_Scope1Scope3EmissionFactorsTransport_Data(), Table_Fuel_EFs_Transport[[#Headers],[Transport type]], 0)</f>
        <v>69.900000000000006</v>
      </c>
      <c r="I24" s="22" cm="1">
        <f t="array" ref="I24">Common_InputFunctions.Utility_DisplayArrayInTable(Fuel_SourceData.Fuel_Scope1Scope3EmissionFactorsTransport_Data(), Table_Fuel_EFs_Transport[[#Headers],[Transport type]], 0)</f>
        <v>0.2</v>
      </c>
      <c r="J24" s="22" cm="1">
        <f t="array" ref="J24">Common_InputFunctions.Utility_DisplayArrayInTable(Fuel_SourceData.Fuel_Scope1Scope3EmissionFactorsTransport_Data(), Table_Fuel_EFs_Transport[[#Headers],[Transport type]], 0)</f>
        <v>0.4</v>
      </c>
      <c r="K24" s="22" cm="1">
        <f t="array" ref="K24">Common_InputFunctions.Utility_DisplayArrayInTable(Fuel_SourceData.Fuel_Scope1Scope3EmissionFactorsTransport_Data(), Table_Fuel_EFs_Transport[[#Headers],[Transport type]], 0)</f>
        <v>70.5</v>
      </c>
      <c r="L24" s="22" cm="1">
        <f t="array" ref="L24">Common_InputFunctions.Utility_DisplayArrayInTable(Fuel_SourceData.Fuel_Scope1Scope3EmissionFactorsTransport_Data(), Table_Fuel_EFs_Transport[[#Headers],[Transport type]], 0)</f>
        <v>17.3</v>
      </c>
    </row>
    <row r="25" spans="1:12" ht="20.100000000000001" customHeight="1" x14ac:dyDescent="0.25">
      <c r="A25" s="16" t="str">
        <f>HYPERLINK("#'Calcs - Manure sent off-site'!A1", "Calcs - Manure sent off-site")</f>
        <v>Calcs - Manure sent off-site</v>
      </c>
      <c r="D25" s="22" t="str" cm="1">
        <f t="array" ref="D25">Common_InputFunctions.Utility_DisplayArrayInTable(Fuel_SourceData.Fuel_Scope1Scope3EmissionFactorsTransport_Data(), Table_Fuel_EFs_Transport[[#Headers],[Transport type]], 0)</f>
        <v>Heavy duty vehicles</v>
      </c>
      <c r="E25" s="22" t="str" cm="1">
        <f t="array" ref="E25">Common_InputFunctions.Utility_DisplayArrayInTable(Fuel_SourceData.Fuel_Scope1Scope3EmissionFactorsTransport_Data(), Table_Fuel_EFs_Transport[[#Headers],[Transport type]], 0)</f>
        <v>Renewable diesel – Euro iv or higher</v>
      </c>
      <c r="F25" s="22" cm="1">
        <f t="array" ref="F25">Common_InputFunctions.Utility_DisplayArrayInTable(Fuel_SourceData.Fuel_Scope1Scope3EmissionFactorsTransport_Data(), Table_Fuel_EFs_Transport[[#Headers],[Transport type]], 0)</f>
        <v>38.6</v>
      </c>
      <c r="G25" s="22" t="str" cm="1">
        <f t="array" ref="G25">Common_InputFunctions.Utility_DisplayArrayInTable(Fuel_SourceData.Fuel_Scope1Scope3EmissionFactorsTransport_Data(), Table_Fuel_EFs_Transport[[#Headers],[Transport type]], 0)</f>
        <v>kl</v>
      </c>
      <c r="H25" s="22" cm="1">
        <f t="array" ref="H25">Common_InputFunctions.Utility_DisplayArrayInTable(Fuel_SourceData.Fuel_Scope1Scope3EmissionFactorsTransport_Data(), Table_Fuel_EFs_Transport[[#Headers],[Transport type]], 0)</f>
        <v>0</v>
      </c>
      <c r="I25" s="22" cm="1">
        <f t="array" ref="I25">Common_InputFunctions.Utility_DisplayArrayInTable(Fuel_SourceData.Fuel_Scope1Scope3EmissionFactorsTransport_Data(), Table_Fuel_EFs_Transport[[#Headers],[Transport type]], 0)</f>
        <v>7.0000000000000007E-2</v>
      </c>
      <c r="J25" s="22" cm="1">
        <f t="array" ref="J25">Common_InputFunctions.Utility_DisplayArrayInTable(Fuel_SourceData.Fuel_Scope1Scope3EmissionFactorsTransport_Data(), Table_Fuel_EFs_Transport[[#Headers],[Transport type]], 0)</f>
        <v>0.4</v>
      </c>
      <c r="K25" s="22" cm="1">
        <f t="array" ref="K25">Common_InputFunctions.Utility_DisplayArrayInTable(Fuel_SourceData.Fuel_Scope1Scope3EmissionFactorsTransport_Data(), Table_Fuel_EFs_Transport[[#Headers],[Transport type]], 0)</f>
        <v>0.47</v>
      </c>
      <c r="L25" s="22" t="str" cm="1">
        <f t="array" ref="L25">Common_InputFunctions.Utility_DisplayArrayInTable(Fuel_SourceData.Fuel_Scope1Scope3EmissionFactorsTransport_Data(), Table_Fuel_EFs_Transport[[#Headers],[Transport type]], 0)</f>
        <v>NE</v>
      </c>
    </row>
    <row r="26" spans="1:12" ht="20.100000000000001" customHeight="1" x14ac:dyDescent="0.25">
      <c r="A26" s="16" t="str">
        <f>HYPERLINK("#'8.1.1.1-2 Transport fuel'!A1", "8.1.1.1-2 Transport fuel")</f>
        <v>8.1.1.1-2 Transport fuel</v>
      </c>
      <c r="D26" s="22" t="str" cm="1">
        <f t="array" ref="D26">Common_InputFunctions.Utility_DisplayArrayInTable(Fuel_SourceData.Fuel_Scope1Scope3EmissionFactorsTransport_Data(), Table_Fuel_EFs_Transport[[#Headers],[Transport type]], 0)</f>
        <v>Heavy duty vehicles</v>
      </c>
      <c r="E26" s="22" t="str" cm="1">
        <f t="array" ref="E26">Common_InputFunctions.Utility_DisplayArrayInTable(Fuel_SourceData.Fuel_Scope1Scope3EmissionFactorsTransport_Data(), Table_Fuel_EFs_Transport[[#Headers],[Transport type]], 0)</f>
        <v>Renewable diesel – Euro iii</v>
      </c>
      <c r="F26" s="22" cm="1">
        <f t="array" ref="F26">Common_InputFunctions.Utility_DisplayArrayInTable(Fuel_SourceData.Fuel_Scope1Scope3EmissionFactorsTransport_Data(), Table_Fuel_EFs_Transport[[#Headers],[Transport type]], 0)</f>
        <v>38.6</v>
      </c>
      <c r="G26" s="22" t="str" cm="1">
        <f t="array" ref="G26">Common_InputFunctions.Utility_DisplayArrayInTable(Fuel_SourceData.Fuel_Scope1Scope3EmissionFactorsTransport_Data(), Table_Fuel_EFs_Transport[[#Headers],[Transport type]], 0)</f>
        <v>kl</v>
      </c>
      <c r="H26" s="22" cm="1">
        <f t="array" ref="H26">Common_InputFunctions.Utility_DisplayArrayInTable(Fuel_SourceData.Fuel_Scope1Scope3EmissionFactorsTransport_Data(), Table_Fuel_EFs_Transport[[#Headers],[Transport type]], 0)</f>
        <v>0</v>
      </c>
      <c r="I26" s="22" cm="1">
        <f t="array" ref="I26">Common_InputFunctions.Utility_DisplayArrayInTable(Fuel_SourceData.Fuel_Scope1Scope3EmissionFactorsTransport_Data(), Table_Fuel_EFs_Transport[[#Headers],[Transport type]], 0)</f>
        <v>0.1</v>
      </c>
      <c r="J26" s="22" cm="1">
        <f t="array" ref="J26">Common_InputFunctions.Utility_DisplayArrayInTable(Fuel_SourceData.Fuel_Scope1Scope3EmissionFactorsTransport_Data(), Table_Fuel_EFs_Transport[[#Headers],[Transport type]], 0)</f>
        <v>0.4</v>
      </c>
      <c r="K26" s="22" cm="1">
        <f t="array" ref="K26">Common_InputFunctions.Utility_DisplayArrayInTable(Fuel_SourceData.Fuel_Scope1Scope3EmissionFactorsTransport_Data(), Table_Fuel_EFs_Transport[[#Headers],[Transport type]], 0)</f>
        <v>0.5</v>
      </c>
      <c r="L26" s="22" t="str" cm="1">
        <f t="array" ref="L26">Common_InputFunctions.Utility_DisplayArrayInTable(Fuel_SourceData.Fuel_Scope1Scope3EmissionFactorsTransport_Data(), Table_Fuel_EFs_Transport[[#Headers],[Transport type]], 0)</f>
        <v>NE</v>
      </c>
    </row>
    <row r="27" spans="1:12" ht="20.100000000000001" customHeight="1" x14ac:dyDescent="0.25">
      <c r="A27" s="16" t="str">
        <f>HYPERLINK("#'8.2.1.1-2 Stationary fuel'!A1", "8.2.1.1-2 Stationary fuel")</f>
        <v>8.2.1.1-2 Stationary fuel</v>
      </c>
      <c r="D27" s="22" t="str" cm="1">
        <f t="array" ref="D27">Common_InputFunctions.Utility_DisplayArrayInTable(Fuel_SourceData.Fuel_Scope1Scope3EmissionFactorsTransport_Data(), Table_Fuel_EFs_Transport[[#Headers],[Transport type]], 0)</f>
        <v>Heavy duty vehicles</v>
      </c>
      <c r="E27" s="22" t="str" cm="1">
        <f t="array" ref="E27">Common_InputFunctions.Utility_DisplayArrayInTable(Fuel_SourceData.Fuel_Scope1Scope3EmissionFactorsTransport_Data(), Table_Fuel_EFs_Transport[[#Headers],[Transport type]], 0)</f>
        <v>Renewable diesel – Euro i</v>
      </c>
      <c r="F27" s="22" cm="1">
        <f t="array" ref="F27">Common_InputFunctions.Utility_DisplayArrayInTable(Fuel_SourceData.Fuel_Scope1Scope3EmissionFactorsTransport_Data(), Table_Fuel_EFs_Transport[[#Headers],[Transport type]], 0)</f>
        <v>38.6</v>
      </c>
      <c r="G27" s="22" t="str" cm="1">
        <f t="array" ref="G27">Common_InputFunctions.Utility_DisplayArrayInTable(Fuel_SourceData.Fuel_Scope1Scope3EmissionFactorsTransport_Data(), Table_Fuel_EFs_Transport[[#Headers],[Transport type]], 0)</f>
        <v>kl</v>
      </c>
      <c r="H27" s="22" cm="1">
        <f t="array" ref="H27">Common_InputFunctions.Utility_DisplayArrayInTable(Fuel_SourceData.Fuel_Scope1Scope3EmissionFactorsTransport_Data(), Table_Fuel_EFs_Transport[[#Headers],[Transport type]], 0)</f>
        <v>0</v>
      </c>
      <c r="I27" s="22" cm="1">
        <f t="array" ref="I27">Common_InputFunctions.Utility_DisplayArrayInTable(Fuel_SourceData.Fuel_Scope1Scope3EmissionFactorsTransport_Data(), Table_Fuel_EFs_Transport[[#Headers],[Transport type]], 0)</f>
        <v>0.2</v>
      </c>
      <c r="J27" s="22" cm="1">
        <f t="array" ref="J27">Common_InputFunctions.Utility_DisplayArrayInTable(Fuel_SourceData.Fuel_Scope1Scope3EmissionFactorsTransport_Data(), Table_Fuel_EFs_Transport[[#Headers],[Transport type]], 0)</f>
        <v>0.4</v>
      </c>
      <c r="K27" s="22" cm="1">
        <f t="array" ref="K27">Common_InputFunctions.Utility_DisplayArrayInTable(Fuel_SourceData.Fuel_Scope1Scope3EmissionFactorsTransport_Data(), Table_Fuel_EFs_Transport[[#Headers],[Transport type]], 0)</f>
        <v>0.6</v>
      </c>
      <c r="L27" s="22" t="str" cm="1">
        <f t="array" ref="L27">Common_InputFunctions.Utility_DisplayArrayInTable(Fuel_SourceData.Fuel_Scope1Scope3EmissionFactorsTransport_Data(), Table_Fuel_EFs_Transport[[#Headers],[Transport type]], 0)</f>
        <v>NE</v>
      </c>
    </row>
    <row r="28" spans="1:12" ht="20.100000000000001" customHeight="1" x14ac:dyDescent="0.25">
      <c r="A28"/>
      <c r="D28" s="22" t="str" cm="1">
        <f t="array" ref="D28">Common_InputFunctions.Utility_DisplayArrayInTable(Fuel_SourceData.Fuel_Scope1Scope3EmissionFactorsTransport_Data(), Table_Fuel_EFs_Transport[[#Headers],[Transport type]], 0)</f>
        <v>Aviation</v>
      </c>
      <c r="E28" s="22" t="str" cm="1">
        <f t="array" ref="E28">Common_InputFunctions.Utility_DisplayArrayInTable(Fuel_SourceData.Fuel_Scope1Scope3EmissionFactorsTransport_Data(), Table_Fuel_EFs_Transport[[#Headers],[Transport type]], 0)</f>
        <v>Gasoline for use as fuel in an aircraft</v>
      </c>
      <c r="F28" s="22" cm="1">
        <f t="array" ref="F28">Common_InputFunctions.Utility_DisplayArrayInTable(Fuel_SourceData.Fuel_Scope1Scope3EmissionFactorsTransport_Data(), Table_Fuel_EFs_Transport[[#Headers],[Transport type]], 0)</f>
        <v>33.1</v>
      </c>
      <c r="G28" s="22" t="str" cm="1">
        <f t="array" ref="G28">Common_InputFunctions.Utility_DisplayArrayInTable(Fuel_SourceData.Fuel_Scope1Scope3EmissionFactorsTransport_Data(), Table_Fuel_EFs_Transport[[#Headers],[Transport type]], 0)</f>
        <v>kl</v>
      </c>
      <c r="H28" s="22" cm="1">
        <f t="array" ref="H28">Common_InputFunctions.Utility_DisplayArrayInTable(Fuel_SourceData.Fuel_Scope1Scope3EmissionFactorsTransport_Data(), Table_Fuel_EFs_Transport[[#Headers],[Transport type]], 0)</f>
        <v>67</v>
      </c>
      <c r="I28" s="22" cm="1">
        <f t="array" ref="I28">Common_InputFunctions.Utility_DisplayArrayInTable(Fuel_SourceData.Fuel_Scope1Scope3EmissionFactorsTransport_Data(), Table_Fuel_EFs_Transport[[#Headers],[Transport type]], 0)</f>
        <v>0.06</v>
      </c>
      <c r="J28" s="22" cm="1">
        <f t="array" ref="J28">Common_InputFunctions.Utility_DisplayArrayInTable(Fuel_SourceData.Fuel_Scope1Scope3EmissionFactorsTransport_Data(), Table_Fuel_EFs_Transport[[#Headers],[Transport type]], 0)</f>
        <v>0.6</v>
      </c>
      <c r="K28" s="22" cm="1">
        <f t="array" ref="K28">Common_InputFunctions.Utility_DisplayArrayInTable(Fuel_SourceData.Fuel_Scope1Scope3EmissionFactorsTransport_Data(), Table_Fuel_EFs_Transport[[#Headers],[Transport type]], 0)</f>
        <v>67.66</v>
      </c>
      <c r="L28" s="22" cm="1">
        <f t="array" ref="L28">Common_InputFunctions.Utility_DisplayArrayInTable(Fuel_SourceData.Fuel_Scope1Scope3EmissionFactorsTransport_Data(), Table_Fuel_EFs_Transport[[#Headers],[Transport type]], 0)</f>
        <v>18</v>
      </c>
    </row>
    <row r="29" spans="1:12" ht="20.100000000000001" customHeight="1" x14ac:dyDescent="0.25">
      <c r="A29"/>
      <c r="D29" s="22" t="str" cm="1">
        <f t="array" ref="D29">Common_InputFunctions.Utility_DisplayArrayInTable(Fuel_SourceData.Fuel_Scope1Scope3EmissionFactorsTransport_Data(), Table_Fuel_EFs_Transport[[#Headers],[Transport type]], 0)</f>
        <v>Aviation</v>
      </c>
      <c r="E29" s="22" t="str" cm="1">
        <f t="array" ref="E29">Common_InputFunctions.Utility_DisplayArrayInTable(Fuel_SourceData.Fuel_Scope1Scope3EmissionFactorsTransport_Data(), Table_Fuel_EFs_Transport[[#Headers],[Transport type]], 0)</f>
        <v>Kerosene for use as fuel in an aircraft</v>
      </c>
      <c r="F29" s="22" cm="1">
        <f t="array" ref="F29">Common_InputFunctions.Utility_DisplayArrayInTable(Fuel_SourceData.Fuel_Scope1Scope3EmissionFactorsTransport_Data(), Table_Fuel_EFs_Transport[[#Headers],[Transport type]], 0)</f>
        <v>36.799999999999997</v>
      </c>
      <c r="G29" s="22" t="str" cm="1">
        <f t="array" ref="G29">Common_InputFunctions.Utility_DisplayArrayInTable(Fuel_SourceData.Fuel_Scope1Scope3EmissionFactorsTransport_Data(), Table_Fuel_EFs_Transport[[#Headers],[Transport type]], 0)</f>
        <v>kl</v>
      </c>
      <c r="H29" s="22" cm="1">
        <f t="array" ref="H29">Common_InputFunctions.Utility_DisplayArrayInTable(Fuel_SourceData.Fuel_Scope1Scope3EmissionFactorsTransport_Data(), Table_Fuel_EFs_Transport[[#Headers],[Transport type]], 0)</f>
        <v>69.599999999999994</v>
      </c>
      <c r="I29" s="22" cm="1">
        <f t="array" ref="I29">Common_InputFunctions.Utility_DisplayArrayInTable(Fuel_SourceData.Fuel_Scope1Scope3EmissionFactorsTransport_Data(), Table_Fuel_EFs_Transport[[#Headers],[Transport type]], 0)</f>
        <v>0.01</v>
      </c>
      <c r="J29" s="22" cm="1">
        <f t="array" ref="J29">Common_InputFunctions.Utility_DisplayArrayInTable(Fuel_SourceData.Fuel_Scope1Scope3EmissionFactorsTransport_Data(), Table_Fuel_EFs_Transport[[#Headers],[Transport type]], 0)</f>
        <v>0.6</v>
      </c>
      <c r="K29" s="22" cm="1">
        <f t="array" ref="K29">Common_InputFunctions.Utility_DisplayArrayInTable(Fuel_SourceData.Fuel_Scope1Scope3EmissionFactorsTransport_Data(), Table_Fuel_EFs_Transport[[#Headers],[Transport type]], 0)</f>
        <v>70.209999999999994</v>
      </c>
      <c r="L29" s="22" cm="1">
        <f t="array" ref="L29">Common_InputFunctions.Utility_DisplayArrayInTable(Fuel_SourceData.Fuel_Scope1Scope3EmissionFactorsTransport_Data(), Table_Fuel_EFs_Transport[[#Headers],[Transport type]], 0)</f>
        <v>18</v>
      </c>
    </row>
    <row r="30" spans="1:12" ht="20.100000000000001" customHeight="1" x14ac:dyDescent="0.25">
      <c r="A30" s="221" t="s">
        <v>78</v>
      </c>
      <c r="D30" s="22" t="str" cm="1">
        <f t="array" ref="D30">Common_InputFunctions.Utility_DisplayArrayInTable(Fuel_SourceData.Fuel_Scope1Scope3EmissionFactorsTransport_Data(), Table_Fuel_EFs_Transport[[#Headers],[Transport type]], 0)</f>
        <v>Aviation</v>
      </c>
      <c r="E30" s="22" t="str" cm="1">
        <f t="array" ref="E30">Common_InputFunctions.Utility_DisplayArrayInTable(Fuel_SourceData.Fuel_Scope1Scope3EmissionFactorsTransport_Data(), Table_Fuel_EFs_Transport[[#Headers],[Transport type]], 0)</f>
        <v>Renewable aviation kerosene</v>
      </c>
      <c r="F30" s="22" cm="1">
        <f t="array" ref="F30">Common_InputFunctions.Utility_DisplayArrayInTable(Fuel_SourceData.Fuel_Scope1Scope3EmissionFactorsTransport_Data(), Table_Fuel_EFs_Transport[[#Headers],[Transport type]], 0)</f>
        <v>36.799999999999997</v>
      </c>
      <c r="G30" s="22" t="str" cm="1">
        <f t="array" ref="G30">Common_InputFunctions.Utility_DisplayArrayInTable(Fuel_SourceData.Fuel_Scope1Scope3EmissionFactorsTransport_Data(), Table_Fuel_EFs_Transport[[#Headers],[Transport type]], 0)</f>
        <v>kl</v>
      </c>
      <c r="H30" s="22" cm="1">
        <f t="array" ref="H30">Common_InputFunctions.Utility_DisplayArrayInTable(Fuel_SourceData.Fuel_Scope1Scope3EmissionFactorsTransport_Data(), Table_Fuel_EFs_Transport[[#Headers],[Transport type]], 0)</f>
        <v>0</v>
      </c>
      <c r="I30" s="22" cm="1">
        <f t="array" ref="I30">Common_InputFunctions.Utility_DisplayArrayInTable(Fuel_SourceData.Fuel_Scope1Scope3EmissionFactorsTransport_Data(), Table_Fuel_EFs_Transport[[#Headers],[Transport type]], 0)</f>
        <v>0.01</v>
      </c>
      <c r="J30" s="22" cm="1">
        <f t="array" ref="J30">Common_InputFunctions.Utility_DisplayArrayInTable(Fuel_SourceData.Fuel_Scope1Scope3EmissionFactorsTransport_Data(), Table_Fuel_EFs_Transport[[#Headers],[Transport type]], 0)</f>
        <v>0.6</v>
      </c>
      <c r="K30" s="22" cm="1">
        <f t="array" ref="K30">Common_InputFunctions.Utility_DisplayArrayInTable(Fuel_SourceData.Fuel_Scope1Scope3EmissionFactorsTransport_Data(), Table_Fuel_EFs_Transport[[#Headers],[Transport type]], 0)</f>
        <v>0.61</v>
      </c>
      <c r="L30" s="22" t="str" cm="1">
        <f t="array" ref="L30">Common_InputFunctions.Utility_DisplayArrayInTable(Fuel_SourceData.Fuel_Scope1Scope3EmissionFactorsTransport_Data(), Table_Fuel_EFs_Transport[[#Headers],[Transport type]], 0)</f>
        <v>NE</v>
      </c>
    </row>
    <row r="31" spans="1:12" ht="20.100000000000001" customHeight="1" x14ac:dyDescent="0.25">
      <c r="A31" s="16" t="str">
        <f>HYPERLINK("#'Constants - Scope 3'!A1", "Constants - Scope 3")</f>
        <v>Constants - Scope 3</v>
      </c>
      <c r="D31" s="22" t="str" cm="1">
        <f t="array" ref="D31">Common_InputFunctions.Utility_DisplayArrayInTable(Fuel_SourceData.Fuel_Scope1Scope3EmissionFactorsTransport_Data(), Table_Fuel_EFs_Transport[[#Headers],[Transport type]], 0)</f>
        <v>Vessels</v>
      </c>
      <c r="E31" s="22" t="str" cm="1">
        <f t="array" ref="E31">Common_InputFunctions.Utility_DisplayArrayInTable(Fuel_SourceData.Fuel_Scope1Scope3EmissionFactorsTransport_Data(), Table_Fuel_EFs_Transport[[#Headers],[Transport type]], 0)</f>
        <v>Gasoline</v>
      </c>
      <c r="F31" s="22" cm="1">
        <f t="array" ref="F31">Common_InputFunctions.Utility_DisplayArrayInTable(Fuel_SourceData.Fuel_Scope1Scope3EmissionFactorsTransport_Data(), Table_Fuel_EFs_Transport[[#Headers],[Transport type]], 0)</f>
        <v>34.200000000000003</v>
      </c>
      <c r="G31" s="22" t="str" cm="1">
        <f t="array" ref="G31">Common_InputFunctions.Utility_DisplayArrayInTable(Fuel_SourceData.Fuel_Scope1Scope3EmissionFactorsTransport_Data(), Table_Fuel_EFs_Transport[[#Headers],[Transport type]], 0)</f>
        <v>kL</v>
      </c>
      <c r="H31" s="22" cm="1">
        <f t="array" ref="H31">Common_InputFunctions.Utility_DisplayArrayInTable(Fuel_SourceData.Fuel_Scope1Scope3EmissionFactorsTransport_Data(), Table_Fuel_EFs_Transport[[#Headers],[Transport type]], 0)</f>
        <v>67.400000000000006</v>
      </c>
      <c r="I31" s="22" cm="1">
        <f t="array" ref="I31">Common_InputFunctions.Utility_DisplayArrayInTable(Fuel_SourceData.Fuel_Scope1Scope3EmissionFactorsTransport_Data(), Table_Fuel_EFs_Transport[[#Headers],[Transport type]], 0)</f>
        <v>10.1</v>
      </c>
      <c r="J31" s="22" cm="1">
        <f t="array" ref="J31">Common_InputFunctions.Utility_DisplayArrayInTable(Fuel_SourceData.Fuel_Scope1Scope3EmissionFactorsTransport_Data(), Table_Fuel_EFs_Transport[[#Headers],[Transport type]], 0)</f>
        <v>0.3</v>
      </c>
      <c r="K31" s="22" t="str" cm="1">
        <f t="array" ref="K31">Common_InputFunctions.Utility_DisplayArrayInTable(Fuel_SourceData.Fuel_Scope1Scope3EmissionFactorsTransport_Data(), Table_Fuel_EFs_Transport[[#Headers],[Transport type]], 0)</f>
        <v/>
      </c>
      <c r="L31" s="22" cm="1">
        <f t="array" ref="L31">Common_InputFunctions.Utility_DisplayArrayInTable(Fuel_SourceData.Fuel_Scope1Scope3EmissionFactorsTransport_Data(), Table_Fuel_EFs_Transport[[#Headers],[Transport type]], 0)</f>
        <v>17.2</v>
      </c>
    </row>
    <row r="32" spans="1:12" ht="20.100000000000001" customHeight="1" x14ac:dyDescent="0.25">
      <c r="A32" s="16" t="str">
        <f>HYPERLINK("#'Constants - Solid Waste'!A1", "Constants - Solid Waste")</f>
        <v>Constants - Solid Waste</v>
      </c>
      <c r="D32" s="24" t="str" cm="1">
        <f t="array" ref="D32">Common_InputFunctions.Utility_DisplayArrayInTable(Fuel_SourceData.Fuel_Scope1Scope3EmissionFactorsTransport_Data(), Table_Fuel_EFs_Transport[[#Headers],[Transport type]], 0)</f>
        <v>Vessels</v>
      </c>
      <c r="E32" s="24" t="str" cm="1">
        <f t="array" ref="E32">Common_InputFunctions.Utility_DisplayArrayInTable(Fuel_SourceData.Fuel_Scope1Scope3EmissionFactorsTransport_Data(), Table_Fuel_EFs_Transport[[#Headers],[Transport type]], 0)</f>
        <v>Diesel oil</v>
      </c>
      <c r="F32" s="24" cm="1">
        <f t="array" ref="F32">Common_InputFunctions.Utility_DisplayArrayInTable(Fuel_SourceData.Fuel_Scope1Scope3EmissionFactorsTransport_Data(), Table_Fuel_EFs_Transport[[#Headers],[Transport type]], 0)</f>
        <v>38.6</v>
      </c>
      <c r="G32" s="24" t="str" cm="1">
        <f t="array" ref="G32">Common_InputFunctions.Utility_DisplayArrayInTable(Fuel_SourceData.Fuel_Scope1Scope3EmissionFactorsTransport_Data(), Table_Fuel_EFs_Transport[[#Headers],[Transport type]], 0)</f>
        <v>kL</v>
      </c>
      <c r="H32" s="24" cm="1">
        <f t="array" ref="H32">Common_InputFunctions.Utility_DisplayArrayInTable(Fuel_SourceData.Fuel_Scope1Scope3EmissionFactorsTransport_Data(), Table_Fuel_EFs_Transport[[#Headers],[Transport type]], 0)</f>
        <v>69.900000000000006</v>
      </c>
      <c r="I32" s="24" cm="1">
        <f t="array" ref="I32">Common_InputFunctions.Utility_DisplayArrayInTable(Fuel_SourceData.Fuel_Scope1Scope3EmissionFactorsTransport_Data(), Table_Fuel_EFs_Transport[[#Headers],[Transport type]], 0)</f>
        <v>0.2</v>
      </c>
      <c r="J32" s="24" cm="1">
        <f t="array" ref="J32">Common_InputFunctions.Utility_DisplayArrayInTable(Fuel_SourceData.Fuel_Scope1Scope3EmissionFactorsTransport_Data(), Table_Fuel_EFs_Transport[[#Headers],[Transport type]], 0)</f>
        <v>0.5</v>
      </c>
      <c r="K32" s="24" t="str" cm="1">
        <f t="array" ref="K32">Common_InputFunctions.Utility_DisplayArrayInTable(Fuel_SourceData.Fuel_Scope1Scope3EmissionFactorsTransport_Data(), Table_Fuel_EFs_Transport[[#Headers],[Transport type]], 0)</f>
        <v/>
      </c>
      <c r="L32" s="24" cm="1">
        <f t="array" ref="L32">Common_InputFunctions.Utility_DisplayArrayInTable(Fuel_SourceData.Fuel_Scope1Scope3EmissionFactorsTransport_Data(), Table_Fuel_EFs_Transport[[#Headers],[Transport type]], 0)</f>
        <v>17.3</v>
      </c>
    </row>
    <row r="33" spans="1:12" ht="20.100000000000001" customHeight="1" x14ac:dyDescent="0.25">
      <c r="A33" s="23" t="str">
        <f>HYPERLINK("#'Constants - Fuel'!A1", "Constants - Fuel")</f>
        <v>Constants - Fuel</v>
      </c>
      <c r="D33" s="24" t="str" cm="1">
        <f t="array" ref="D33">Common_InputFunctions.Utility_DisplayArrayInTable(Fuel_SourceData.Fuel_Scope1Scope3EmissionFactorsTransport_Data(), Table_Fuel_EFs_Transport[[#Headers],[Transport type]], 0)</f>
        <v>Vessels</v>
      </c>
      <c r="E33" s="24" t="str" cm="1">
        <f t="array" ref="E33">Common_InputFunctions.Utility_DisplayArrayInTable(Fuel_SourceData.Fuel_Scope1Scope3EmissionFactorsTransport_Data(), Table_Fuel_EFs_Transport[[#Headers],[Transport type]], 0)</f>
        <v>Fuel Oil</v>
      </c>
      <c r="F33" s="24" cm="1">
        <f t="array" ref="F33">Common_InputFunctions.Utility_DisplayArrayInTable(Fuel_SourceData.Fuel_Scope1Scope3EmissionFactorsTransport_Data(), Table_Fuel_EFs_Transport[[#Headers],[Transport type]], 0)</f>
        <v>39.700000000000003</v>
      </c>
      <c r="G33" s="24" t="str" cm="1">
        <f t="array" ref="G33">Common_InputFunctions.Utility_DisplayArrayInTable(Fuel_SourceData.Fuel_Scope1Scope3EmissionFactorsTransport_Data(), Table_Fuel_EFs_Transport[[#Headers],[Transport type]], 0)</f>
        <v>kL</v>
      </c>
      <c r="H33" s="24" cm="1">
        <f t="array" ref="H33">Common_InputFunctions.Utility_DisplayArrayInTable(Fuel_SourceData.Fuel_Scope1Scope3EmissionFactorsTransport_Data(), Table_Fuel_EFs_Transport[[#Headers],[Transport type]], 0)</f>
        <v>73.599999999999994</v>
      </c>
      <c r="I33" s="24" cm="1">
        <f t="array" ref="I33">Common_InputFunctions.Utility_DisplayArrayInTable(Fuel_SourceData.Fuel_Scope1Scope3EmissionFactorsTransport_Data(), Table_Fuel_EFs_Transport[[#Headers],[Transport type]], 0)</f>
        <v>0.2</v>
      </c>
      <c r="J33" s="24" cm="1">
        <f t="array" ref="J33">Common_InputFunctions.Utility_DisplayArrayInTable(Fuel_SourceData.Fuel_Scope1Scope3EmissionFactorsTransport_Data(), Table_Fuel_EFs_Transport[[#Headers],[Transport type]], 0)</f>
        <v>0.5</v>
      </c>
      <c r="K33" s="24" t="str" cm="1">
        <f t="array" ref="K33">Common_InputFunctions.Utility_DisplayArrayInTable(Fuel_SourceData.Fuel_Scope1Scope3EmissionFactorsTransport_Data(), Table_Fuel_EFs_Transport[[#Headers],[Transport type]], 0)</f>
        <v/>
      </c>
      <c r="L33" s="24" cm="1">
        <f t="array" ref="L33">Common_InputFunctions.Utility_DisplayArrayInTable(Fuel_SourceData.Fuel_Scope1Scope3EmissionFactorsTransport_Data(), Table_Fuel_EFs_Transport[[#Headers],[Transport type]], 0)</f>
        <v>18</v>
      </c>
    </row>
    <row r="34" spans="1:12" ht="20.100000000000001" customHeight="1" x14ac:dyDescent="0.25">
      <c r="A34" s="16" t="str">
        <f>HYPERLINK("#'Constants - Poultry'!A1", "Constants - Poultry")</f>
        <v>Constants - Poultry</v>
      </c>
      <c r="D34" s="24" t="str" cm="1">
        <f t="array" ref="D34">Common_InputFunctions.Utility_DisplayArrayInTable(Fuel_SourceData.Fuel_Scope1Scope3EmissionFactorsTransport_Data(), Table_Fuel_EFs_Transport[[#Headers],[Transport type]], 0)</f>
        <v>Off-road Agriculture and forestry equipment</v>
      </c>
      <c r="E34" s="24" t="str" cm="1">
        <f t="array" ref="E34">Common_InputFunctions.Utility_DisplayArrayInTable(Fuel_SourceData.Fuel_Scope1Scope3EmissionFactorsTransport_Data(), Table_Fuel_EFs_Transport[[#Headers],[Transport type]], 0)</f>
        <v>Diesel oil</v>
      </c>
      <c r="F34" s="24" cm="1">
        <f t="array" ref="F34">Common_InputFunctions.Utility_DisplayArrayInTable(Fuel_SourceData.Fuel_Scope1Scope3EmissionFactorsTransport_Data(), Table_Fuel_EFs_Transport[[#Headers],[Transport type]], 0)</f>
        <v>38.6</v>
      </c>
      <c r="G34" s="24" t="str" cm="1">
        <f t="array" ref="G34">Common_InputFunctions.Utility_DisplayArrayInTable(Fuel_SourceData.Fuel_Scope1Scope3EmissionFactorsTransport_Data(), Table_Fuel_EFs_Transport[[#Headers],[Transport type]], 0)</f>
        <v>kL</v>
      </c>
      <c r="H34" s="24" cm="1">
        <f t="array" ref="H34">Common_InputFunctions.Utility_DisplayArrayInTable(Fuel_SourceData.Fuel_Scope1Scope3EmissionFactorsTransport_Data(), Table_Fuel_EFs_Transport[[#Headers],[Transport type]], 0)</f>
        <v>69.900000000000006</v>
      </c>
      <c r="I34" s="24" cm="1">
        <f t="array" ref="I34">Common_InputFunctions.Utility_DisplayArrayInTable(Fuel_SourceData.Fuel_Scope1Scope3EmissionFactorsTransport_Data(), Table_Fuel_EFs_Transport[[#Headers],[Transport type]], 0)</f>
        <v>0.3</v>
      </c>
      <c r="J34" s="24" cm="1">
        <f t="array" ref="J34">Common_InputFunctions.Utility_DisplayArrayInTable(Fuel_SourceData.Fuel_Scope1Scope3EmissionFactorsTransport_Data(), Table_Fuel_EFs_Transport[[#Headers],[Transport type]], 0)</f>
        <v>0.5</v>
      </c>
      <c r="K34" s="24" t="str" cm="1">
        <f t="array" ref="K34">Common_InputFunctions.Utility_DisplayArrayInTable(Fuel_SourceData.Fuel_Scope1Scope3EmissionFactorsTransport_Data(), Table_Fuel_EFs_Transport[[#Headers],[Transport type]], 0)</f>
        <v/>
      </c>
      <c r="L34" s="24" cm="1">
        <f t="array" ref="L34">Common_InputFunctions.Utility_DisplayArrayInTable(Fuel_SourceData.Fuel_Scope1Scope3EmissionFactorsTransport_Data(), Table_Fuel_EFs_Transport[[#Headers],[Transport type]], 0)</f>
        <v>17.3</v>
      </c>
    </row>
    <row r="35" spans="1:12" ht="20.100000000000001" customHeight="1" x14ac:dyDescent="0.25">
      <c r="A35" s="16" t="str">
        <f>HYPERLINK("#'Constants - Swine'!A1", "Constants - Swine")</f>
        <v>Constants - Swine</v>
      </c>
    </row>
    <row r="36" spans="1:12" ht="20.100000000000001" customHeight="1" x14ac:dyDescent="0.25">
      <c r="A36" s="16" t="str">
        <f>HYPERLINK("#'Constants - Dairy'!A1", "Constants - Dairy")</f>
        <v>Constants - Dairy</v>
      </c>
    </row>
    <row r="37" spans="1:12" ht="20.100000000000001" customHeight="1" x14ac:dyDescent="0.25">
      <c r="A37" s="16" t="str">
        <f>HYPERLINK("#'Constants - Pasture Beef'!A1", "Constants - Pasture Beef")</f>
        <v>Constants - Pasture Beef</v>
      </c>
      <c r="D37" s="9" t="str" cm="1">
        <f t="array" ref="D37">Fuel_SourceData.Fuel_Scope1Scope3EmissionFactorsTransportOffRoad_Title()</f>
        <v>Fuel scope 1 and 3 emission factors - Off-road equipment and vessels</v>
      </c>
    </row>
    <row r="38" spans="1:12" ht="20.100000000000001" customHeight="1" x14ac:dyDescent="0.25">
      <c r="A38" s="16" t="str">
        <f>HYPERLINK("#'Constants - Common Livestock'!A1", "Constants - Common Livestock")</f>
        <v>Constants - Common Livestock</v>
      </c>
      <c r="D38" s="11" t="str" cm="1">
        <f t="array" ref="D38">Fuel_SourceData.Fuel_Scope1Scope3EmissionFactorsTransportOffRoad_Source()</f>
        <v>VEERG 2026: Table A.4.2.1</v>
      </c>
    </row>
    <row r="39" spans="1:12" ht="20.100000000000001" customHeight="1" x14ac:dyDescent="0.25">
      <c r="A39" s="16" t="str">
        <f>HYPERLINK("#'Constants - Fertiliser'!A1", "Constants - Fertiliser")</f>
        <v>Constants - Fertiliser</v>
      </c>
      <c r="D39" s="10" t="s">
        <v>79</v>
      </c>
      <c r="E39" s="10" t="s">
        <v>80</v>
      </c>
      <c r="F39" s="10" t="s">
        <v>81</v>
      </c>
      <c r="G39" s="10" t="s">
        <v>82</v>
      </c>
      <c r="H39" s="10" t="s">
        <v>83</v>
      </c>
      <c r="I39" s="10" t="s">
        <v>84</v>
      </c>
      <c r="J39" s="10" t="s">
        <v>85</v>
      </c>
    </row>
    <row r="40" spans="1:12" ht="20.100000000000001" customHeight="1" x14ac:dyDescent="0.25">
      <c r="A40" s="16" t="str">
        <f>HYPERLINK("#'Constants - Electricity'!A1", "Constants - Electricity")</f>
        <v>Constants - Electricity</v>
      </c>
      <c r="D40" s="10" t="str" cm="1">
        <f t="array" ref="D40">Common_InputFunctions.Utility_DisplayArrayInTable(Fuel_SourceData.Fuel_Scope1Scope3EmissionFactorsTransportOffRoad_Data(), Table_SourceData_Fuel_TransportOffroad[[#Headers],[Transport type t]],0)</f>
        <v>Vessel</v>
      </c>
      <c r="E40" s="10" t="str" cm="1">
        <f t="array" ref="E40">Common_InputFunctions.Utility_DisplayArrayInTable(Fuel_SourceData.Fuel_Scope1Scope3EmissionFactorsTransportOffRoad_Data(), Table_SourceData_Fuel_TransportOffroad[[#Headers],[Transport type t]],0)</f>
        <v>Petrol</v>
      </c>
      <c r="F40" s="10" cm="1">
        <f t="array" ref="F40">Common_InputFunctions.Utility_DisplayArrayInTable(Fuel_SourceData.Fuel_Scope1Scope3EmissionFactorsTransportOffRoad_Data(), Table_SourceData_Fuel_TransportOffroad[[#Headers],[Transport type t]],0)</f>
        <v>34.200000000000003</v>
      </c>
      <c r="G40" s="10" cm="1">
        <f t="array" ref="G40">Common_InputFunctions.Utility_DisplayArrayInTable(Fuel_SourceData.Fuel_Scope1Scope3EmissionFactorsTransportOffRoad_Data(), Table_SourceData_Fuel_TransportOffroad[[#Headers],[Transport type t]],0)</f>
        <v>67.400000000000006</v>
      </c>
      <c r="H40" s="10" cm="1">
        <f t="array" ref="H40">Common_InputFunctions.Utility_DisplayArrayInTable(Fuel_SourceData.Fuel_Scope1Scope3EmissionFactorsTransportOffRoad_Data(), Table_SourceData_Fuel_TransportOffroad[[#Headers],[Transport type t]],0)</f>
        <v>10.1</v>
      </c>
      <c r="I40" s="10" cm="1">
        <f t="array" ref="I40">Common_InputFunctions.Utility_DisplayArrayInTable(Fuel_SourceData.Fuel_Scope1Scope3EmissionFactorsTransportOffRoad_Data(), Table_SourceData_Fuel_TransportOffroad[[#Headers],[Transport type t]],0)</f>
        <v>0.3</v>
      </c>
      <c r="J40" s="10" cm="1">
        <f t="array" ref="J40">Common_InputFunctions.Utility_DisplayArrayInTable(Fuel_SourceData.Fuel_Scope1Scope3EmissionFactorsTransportOffRoad_Data(), Table_SourceData_Fuel_TransportOffroad[[#Headers],[Transport type t]],0)</f>
        <v>17.2</v>
      </c>
    </row>
    <row r="41" spans="1:12" ht="20.100000000000001" customHeight="1" x14ac:dyDescent="0.25">
      <c r="A41" s="16" t="str">
        <f>HYPERLINK("#'Constants - Common'!A1", "Constants - Common")</f>
        <v>Constants - Common</v>
      </c>
      <c r="D41" s="8" t="str" cm="1">
        <f t="array" ref="D41">Common_InputFunctions.Utility_DisplayArrayInTable(Fuel_SourceData.Fuel_Scope1Scope3EmissionFactorsTransportOffRoad_Data(), Table_SourceData_Fuel_TransportOffroad[[#Headers],[Transport type t]],0)</f>
        <v>Vessel</v>
      </c>
      <c r="E41" s="10" t="str" cm="1">
        <f t="array" ref="E41">Common_InputFunctions.Utility_DisplayArrayInTable(Fuel_SourceData.Fuel_Scope1Scope3EmissionFactorsTransportOffRoad_Data(), Table_SourceData_Fuel_TransportOffroad[[#Headers],[Transport type t]],0)</f>
        <v>Diesel</v>
      </c>
      <c r="F41" s="10" cm="1">
        <f t="array" ref="F41">Common_InputFunctions.Utility_DisplayArrayInTable(Fuel_SourceData.Fuel_Scope1Scope3EmissionFactorsTransportOffRoad_Data(), Table_SourceData_Fuel_TransportOffroad[[#Headers],[Transport type t]],0)</f>
        <v>38.6</v>
      </c>
      <c r="G41" s="10" cm="1">
        <f t="array" ref="G41">Common_InputFunctions.Utility_DisplayArrayInTable(Fuel_SourceData.Fuel_Scope1Scope3EmissionFactorsTransportOffRoad_Data(), Table_SourceData_Fuel_TransportOffroad[[#Headers],[Transport type t]],0)</f>
        <v>69.900000000000006</v>
      </c>
      <c r="H41" s="10" cm="1">
        <f t="array" ref="H41">Common_InputFunctions.Utility_DisplayArrayInTable(Fuel_SourceData.Fuel_Scope1Scope3EmissionFactorsTransportOffRoad_Data(), Table_SourceData_Fuel_TransportOffroad[[#Headers],[Transport type t]],0)</f>
        <v>0.2</v>
      </c>
      <c r="I41" s="10" cm="1">
        <f t="array" ref="I41">Common_InputFunctions.Utility_DisplayArrayInTable(Fuel_SourceData.Fuel_Scope1Scope3EmissionFactorsTransportOffRoad_Data(), Table_SourceData_Fuel_TransportOffroad[[#Headers],[Transport type t]],0)</f>
        <v>0.5</v>
      </c>
      <c r="J41" s="10" cm="1">
        <f t="array" ref="J41">Common_InputFunctions.Utility_DisplayArrayInTable(Fuel_SourceData.Fuel_Scope1Scope3EmissionFactorsTransportOffRoad_Data(), Table_SourceData_Fuel_TransportOffroad[[#Headers],[Transport type t]],0)</f>
        <v>17.3</v>
      </c>
    </row>
    <row r="42" spans="1:12" ht="20.100000000000001" customHeight="1" x14ac:dyDescent="0.25">
      <c r="A42"/>
      <c r="D42" s="8" t="str" cm="1">
        <f t="array" ref="D42">Common_InputFunctions.Utility_DisplayArrayInTable(Fuel_SourceData.Fuel_Scope1Scope3EmissionFactorsTransportOffRoad_Data(), Table_SourceData_Fuel_TransportOffroad[[#Headers],[Transport type t]],0)</f>
        <v>Vessel</v>
      </c>
      <c r="E42" s="10" t="str" cm="1">
        <f t="array" ref="E42">Common_InputFunctions.Utility_DisplayArrayInTable(Fuel_SourceData.Fuel_Scope1Scope3EmissionFactorsTransportOffRoad_Data(), Table_SourceData_Fuel_TransportOffroad[[#Headers],[Transport type t]],0)</f>
        <v>Fuel Oil</v>
      </c>
      <c r="F42" s="10" cm="1">
        <f t="array" ref="F42">Common_InputFunctions.Utility_DisplayArrayInTable(Fuel_SourceData.Fuel_Scope1Scope3EmissionFactorsTransportOffRoad_Data(), Table_SourceData_Fuel_TransportOffroad[[#Headers],[Transport type t]],0)</f>
        <v>39.700000000000003</v>
      </c>
      <c r="G42" s="10" cm="1">
        <f t="array" ref="G42">Common_InputFunctions.Utility_DisplayArrayInTable(Fuel_SourceData.Fuel_Scope1Scope3EmissionFactorsTransportOffRoad_Data(), Table_SourceData_Fuel_TransportOffroad[[#Headers],[Transport type t]],0)</f>
        <v>73.599999999999994</v>
      </c>
      <c r="H42" s="10" cm="1">
        <f t="array" ref="H42">Common_InputFunctions.Utility_DisplayArrayInTable(Fuel_SourceData.Fuel_Scope1Scope3EmissionFactorsTransportOffRoad_Data(), Table_SourceData_Fuel_TransportOffroad[[#Headers],[Transport type t]],0)</f>
        <v>0.2</v>
      </c>
      <c r="I42" s="10" cm="1">
        <f t="array" ref="I42">Common_InputFunctions.Utility_DisplayArrayInTable(Fuel_SourceData.Fuel_Scope1Scope3EmissionFactorsTransportOffRoad_Data(), Table_SourceData_Fuel_TransportOffroad[[#Headers],[Transport type t]],0)</f>
        <v>0.5</v>
      </c>
      <c r="J42" s="10" cm="1">
        <f t="array" ref="J42">Common_InputFunctions.Utility_DisplayArrayInTable(Fuel_SourceData.Fuel_Scope1Scope3EmissionFactorsTransportOffRoad_Data(), Table_SourceData_Fuel_TransportOffroad[[#Headers],[Transport type t]],0)</f>
        <v>18</v>
      </c>
    </row>
    <row r="43" spans="1:12" ht="20.100000000000001" customHeight="1" x14ac:dyDescent="0.25">
      <c r="A43"/>
      <c r="D43" s="8" t="str" cm="1">
        <f t="array" ref="D43">Common_InputFunctions.Utility_DisplayArrayInTable(Fuel_SourceData.Fuel_Scope1Scope3EmissionFactorsTransportOffRoad_Data(), Table_SourceData_Fuel_TransportOffroad[[#Headers],[Transport type t]],0)</f>
        <v>Off-road Agriculture and forestry equipment</v>
      </c>
      <c r="E43" s="10" t="str" cm="1">
        <f t="array" ref="E43">Common_InputFunctions.Utility_DisplayArrayInTable(Fuel_SourceData.Fuel_Scope1Scope3EmissionFactorsTransportOffRoad_Data(), Table_SourceData_Fuel_TransportOffroad[[#Headers],[Transport type t]],0)</f>
        <v>Diesel</v>
      </c>
      <c r="F43" s="10" cm="1">
        <f t="array" ref="F43">Common_InputFunctions.Utility_DisplayArrayInTable(Fuel_SourceData.Fuel_Scope1Scope3EmissionFactorsTransportOffRoad_Data(), Table_SourceData_Fuel_TransportOffroad[[#Headers],[Transport type t]],0)</f>
        <v>38.6</v>
      </c>
      <c r="G43" s="10" cm="1">
        <f t="array" ref="G43">Common_InputFunctions.Utility_DisplayArrayInTable(Fuel_SourceData.Fuel_Scope1Scope3EmissionFactorsTransportOffRoad_Data(), Table_SourceData_Fuel_TransportOffroad[[#Headers],[Transport type t]],0)</f>
        <v>69.900000000000006</v>
      </c>
      <c r="H43" s="10" cm="1">
        <f t="array" ref="H43">Common_InputFunctions.Utility_DisplayArrayInTable(Fuel_SourceData.Fuel_Scope1Scope3EmissionFactorsTransportOffRoad_Data(), Table_SourceData_Fuel_TransportOffroad[[#Headers],[Transport type t]],0)</f>
        <v>0.3</v>
      </c>
      <c r="I43" s="10" cm="1">
        <f t="array" ref="I43">Common_InputFunctions.Utility_DisplayArrayInTable(Fuel_SourceData.Fuel_Scope1Scope3EmissionFactorsTransportOffRoad_Data(), Table_SourceData_Fuel_TransportOffroad[[#Headers],[Transport type t]],0)</f>
        <v>0.5</v>
      </c>
      <c r="J43" s="10" cm="1">
        <f t="array" ref="J43">Common_InputFunctions.Utility_DisplayArrayInTable(Fuel_SourceData.Fuel_Scope1Scope3EmissionFactorsTransportOffRoad_Data(), Table_SourceData_Fuel_TransportOffroad[[#Headers],[Transport type t]],0)</f>
        <v>17.3</v>
      </c>
    </row>
    <row r="44" spans="1:12" ht="20.100000000000001" customHeight="1" x14ac:dyDescent="0.25">
      <c r="A44"/>
    </row>
    <row r="45" spans="1:12" ht="20.100000000000001" customHeight="1" x14ac:dyDescent="0.25">
      <c r="A45"/>
    </row>
    <row r="46" spans="1:12" ht="20.100000000000001" customHeight="1" x14ac:dyDescent="0.25">
      <c r="A46"/>
    </row>
    <row r="47" spans="1:12" ht="20.100000000000001" customHeight="1" x14ac:dyDescent="0.25">
      <c r="A47"/>
    </row>
    <row r="48" spans="1:12" ht="20.100000000000001" customHeight="1" x14ac:dyDescent="0.25">
      <c r="A48"/>
    </row>
    <row r="49" spans="1:12" ht="20.100000000000001" customHeight="1" x14ac:dyDescent="0.25">
      <c r="A49"/>
      <c r="D49" s="9" t="str" cm="1">
        <f t="array" ref="D49">Fuel_SourceData.Fuel_Scope1Scope3EmissionFactorsStationaryLiquid_Title()</f>
        <v>Fuel scope 1 and 3 emission factors - Stationary liquid fuels</v>
      </c>
      <c r="E49" s="17"/>
      <c r="F49" s="17"/>
      <c r="G49" s="17"/>
      <c r="H49" s="17"/>
      <c r="I49" s="17"/>
      <c r="J49" s="17"/>
      <c r="K49" s="17"/>
      <c r="L49" s="17"/>
    </row>
    <row r="50" spans="1:12" ht="20.100000000000001" customHeight="1" x14ac:dyDescent="0.25">
      <c r="A50"/>
      <c r="D50" s="8" t="str" cm="1">
        <f t="array" ref="D50">Fuel_SourceData.Fuel_Scope1Scope3EmissionFactorsStationaryLiquid_Description()</f>
        <v>Direct (Scope 1) and indirect (scope 3) emission factors for the consumption of liquid fuels, including certain petroleum based products for stationary energy purposes.</v>
      </c>
      <c r="E50" s="17"/>
      <c r="F50" s="17"/>
      <c r="G50" s="17"/>
      <c r="H50" s="17"/>
      <c r="I50" s="17"/>
      <c r="J50" s="17"/>
      <c r="K50" s="17"/>
      <c r="L50" s="17"/>
    </row>
    <row r="51" spans="1:12" ht="20.100000000000001" customHeight="1" x14ac:dyDescent="0.25">
      <c r="A51"/>
      <c r="D51" s="11" t="str" cm="1">
        <f t="array" ref="D51">Fuel_SourceData.Fuel_Scope1Scope3EmissionFactorsStationaryLiquid_Source()</f>
        <v>Australian National Greenhouse Accounts Factors 2025 - Table 8</v>
      </c>
      <c r="E51" s="17"/>
      <c r="F51" s="17"/>
      <c r="G51" s="17"/>
      <c r="H51" s="17"/>
      <c r="I51" s="17"/>
      <c r="J51" s="17"/>
      <c r="K51" s="17"/>
      <c r="L51" s="17"/>
    </row>
    <row r="52" spans="1:12" ht="20.100000000000001" customHeight="1" x14ac:dyDescent="0.25">
      <c r="A52"/>
      <c r="D52" s="12" t="str" cm="1">
        <f t="array" ref="D52">"⚠️" &amp; Fuel_SourceData.Fuel_Scope1Scope3EmissionFactorsStationaryLiquid_Variation()</f>
        <v>⚠️VARIATION OF SOURCE DATA: 'NE' values returned as zero for calculations.</v>
      </c>
      <c r="E52" s="17"/>
      <c r="F52" s="17"/>
      <c r="G52" s="17"/>
      <c r="H52" s="17"/>
      <c r="I52" s="17"/>
      <c r="J52" s="17"/>
      <c r="K52" s="17"/>
      <c r="L52" s="17"/>
    </row>
    <row r="53" spans="1:12" ht="20.100000000000001" customHeight="1" x14ac:dyDescent="0.25">
      <c r="A53"/>
      <c r="D53" s="25" t="s">
        <v>69</v>
      </c>
      <c r="E53" s="20" t="s">
        <v>70</v>
      </c>
      <c r="F53" s="25" t="s">
        <v>71</v>
      </c>
      <c r="G53" s="20" t="s">
        <v>72</v>
      </c>
      <c r="H53" s="20" t="s">
        <v>73</v>
      </c>
      <c r="I53" s="20" t="s">
        <v>74</v>
      </c>
      <c r="J53" s="20" t="s">
        <v>75</v>
      </c>
      <c r="K53" s="20" t="s">
        <v>76</v>
      </c>
      <c r="L53" s="17"/>
    </row>
    <row r="54" spans="1:12" ht="20.100000000000001" customHeight="1" x14ac:dyDescent="0.25">
      <c r="A54"/>
      <c r="D54" s="26"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26" cm="1">
        <f t="array" ref="E54">Common_InputFunctions.Utility_DisplayArrayInTable(Fuel_SourceData.Fuel_Scope1Scope3EmissionFactorsStationaryLiquid_Data(), Table_Fuel_EFs_StationaryLiquid[[#Headers],[Fuel combusted]],0)</f>
        <v>38.799999999999997</v>
      </c>
      <c r="F54" s="26" t="str" cm="1">
        <f t="array" ref="F54">Common_InputFunctions.Utility_DisplayArrayInTable(Fuel_SourceData.Fuel_Scope1Scope3EmissionFactorsStationaryLiquid_Data(), Table_Fuel_EFs_StationaryLiquid[[#Headers],[Fuel combusted]],0)</f>
        <v>kl</v>
      </c>
      <c r="G54" s="26" cm="1">
        <f t="array" ref="G54">Common_InputFunctions.Utility_DisplayArrayInTable(Fuel_SourceData.Fuel_Scope1Scope3EmissionFactorsStationaryLiquid_Data(), Table_Fuel_EFs_StationaryLiquid[[#Headers],[Fuel combusted]],0)</f>
        <v>13.9</v>
      </c>
      <c r="H54" s="26" cm="1">
        <f t="array" ref="H54">Common_InputFunctions.Utility_DisplayArrayInTable(Fuel_SourceData.Fuel_Scope1Scope3EmissionFactorsStationaryLiquid_Data(), Table_Fuel_EFs_StationaryLiquid[[#Headers],[Fuel combusted]],0)</f>
        <v>0</v>
      </c>
      <c r="I54" s="26" cm="1">
        <f t="array" ref="I54">Common_InputFunctions.Utility_DisplayArrayInTable(Fuel_SourceData.Fuel_Scope1Scope3EmissionFactorsStationaryLiquid_Data(), Table_Fuel_EFs_StationaryLiquid[[#Headers],[Fuel combusted]],0)</f>
        <v>0</v>
      </c>
      <c r="J54" s="26" cm="1">
        <f t="array" ref="J54">Common_InputFunctions.Utility_DisplayArrayInTable(Fuel_SourceData.Fuel_Scope1Scope3EmissionFactorsStationaryLiquid_Data(), Table_Fuel_EFs_StationaryLiquid[[#Headers],[Fuel combusted]],0)</f>
        <v>13.9</v>
      </c>
      <c r="K54" s="26" cm="1">
        <f t="array" ref="K54">Common_InputFunctions.Utility_DisplayArrayInTable(Fuel_SourceData.Fuel_Scope1Scope3EmissionFactorsStationaryLiquid_Data(), Table_Fuel_EFs_StationaryLiquid[[#Headers],[Fuel combusted]],0)</f>
        <v>18</v>
      </c>
      <c r="L54" s="17"/>
    </row>
    <row r="55" spans="1:12" ht="20.100000000000001" customHeight="1" x14ac:dyDescent="0.25">
      <c r="A55"/>
      <c r="D55" s="26" t="str" cm="1">
        <f t="array" ref="D55">Common_InputFunctions.Utility_DisplayArrayInTable(Fuel_SourceData.Fuel_Scope1Scope3EmissionFactorsStationaryLiquid_Data(), Table_Fuel_EFs_StationaryLiquid[[#Headers],[Fuel combusted]],0)</f>
        <v>Petroleum based greases</v>
      </c>
      <c r="E55" s="26" cm="1">
        <f t="array" ref="E55">Common_InputFunctions.Utility_DisplayArrayInTable(Fuel_SourceData.Fuel_Scope1Scope3EmissionFactorsStationaryLiquid_Data(), Table_Fuel_EFs_StationaryLiquid[[#Headers],[Fuel combusted]],0)</f>
        <v>38.799999999999997</v>
      </c>
      <c r="F55" s="26" t="str" cm="1">
        <f t="array" ref="F55">Common_InputFunctions.Utility_DisplayArrayInTable(Fuel_SourceData.Fuel_Scope1Scope3EmissionFactorsStationaryLiquid_Data(), Table_Fuel_EFs_StationaryLiquid[[#Headers],[Fuel combusted]],0)</f>
        <v>kl</v>
      </c>
      <c r="G55" s="26" cm="1">
        <f t="array" ref="G55">Common_InputFunctions.Utility_DisplayArrayInTable(Fuel_SourceData.Fuel_Scope1Scope3EmissionFactorsStationaryLiquid_Data(), Table_Fuel_EFs_StationaryLiquid[[#Headers],[Fuel combusted]],0)</f>
        <v>3.5</v>
      </c>
      <c r="H55" s="26" cm="1">
        <f t="array" ref="H55">Common_InputFunctions.Utility_DisplayArrayInTable(Fuel_SourceData.Fuel_Scope1Scope3EmissionFactorsStationaryLiquid_Data(), Table_Fuel_EFs_StationaryLiquid[[#Headers],[Fuel combusted]],0)</f>
        <v>0</v>
      </c>
      <c r="I55" s="26" cm="1">
        <f t="array" ref="I55">Common_InputFunctions.Utility_DisplayArrayInTable(Fuel_SourceData.Fuel_Scope1Scope3EmissionFactorsStationaryLiquid_Data(), Table_Fuel_EFs_StationaryLiquid[[#Headers],[Fuel combusted]],0)</f>
        <v>0</v>
      </c>
      <c r="J55" s="26" cm="1">
        <f t="array" ref="J55">Common_InputFunctions.Utility_DisplayArrayInTable(Fuel_SourceData.Fuel_Scope1Scope3EmissionFactorsStationaryLiquid_Data(), Table_Fuel_EFs_StationaryLiquid[[#Headers],[Fuel combusted]],0)</f>
        <v>3.5</v>
      </c>
      <c r="K55" s="26" cm="1">
        <f t="array" ref="K55">Common_InputFunctions.Utility_DisplayArrayInTable(Fuel_SourceData.Fuel_Scope1Scope3EmissionFactorsStationaryLiquid_Data(), Table_Fuel_EFs_StationaryLiquid[[#Headers],[Fuel combusted]],0)</f>
        <v>18</v>
      </c>
      <c r="L55" s="17"/>
    </row>
    <row r="56" spans="1:12" ht="20.100000000000001" customHeight="1" x14ac:dyDescent="0.25">
      <c r="A56"/>
      <c r="D56" s="26" t="str" cm="1">
        <f t="array" ref="D56">Common_InputFunctions.Utility_DisplayArrayInTable(Fuel_SourceData.Fuel_Scope1Scope3EmissionFactorsStationaryLiquid_Data(), Table_Fuel_EFs_StationaryLiquid[[#Headers],[Fuel combusted]],0)</f>
        <v>Crude oil including crude oil condensates</v>
      </c>
      <c r="E56" s="26" cm="1">
        <f t="array" ref="E56">Common_InputFunctions.Utility_DisplayArrayInTable(Fuel_SourceData.Fuel_Scope1Scope3EmissionFactorsStationaryLiquid_Data(), Table_Fuel_EFs_StationaryLiquid[[#Headers],[Fuel combusted]],0)</f>
        <v>45.3</v>
      </c>
      <c r="F56" s="26" t="str" cm="1">
        <f t="array" ref="F56">Common_InputFunctions.Utility_DisplayArrayInTable(Fuel_SourceData.Fuel_Scope1Scope3EmissionFactorsStationaryLiquid_Data(), Table_Fuel_EFs_StationaryLiquid[[#Headers],[Fuel combusted]],0)</f>
        <v>t</v>
      </c>
      <c r="G56" s="26" cm="1">
        <f t="array" ref="G56">Common_InputFunctions.Utility_DisplayArrayInTable(Fuel_SourceData.Fuel_Scope1Scope3EmissionFactorsStationaryLiquid_Data(), Table_Fuel_EFs_StationaryLiquid[[#Headers],[Fuel combusted]],0)</f>
        <v>69.599999999999994</v>
      </c>
      <c r="H56" s="26" cm="1">
        <f t="array" ref="H56">Common_InputFunctions.Utility_DisplayArrayInTable(Fuel_SourceData.Fuel_Scope1Scope3EmissionFactorsStationaryLiquid_Data(), Table_Fuel_EFs_StationaryLiquid[[#Headers],[Fuel combusted]],0)</f>
        <v>0.08</v>
      </c>
      <c r="I56" s="26" cm="1">
        <f t="array" ref="I56">Common_InputFunctions.Utility_DisplayArrayInTable(Fuel_SourceData.Fuel_Scope1Scope3EmissionFactorsStationaryLiquid_Data(), Table_Fuel_EFs_StationaryLiquid[[#Headers],[Fuel combusted]],0)</f>
        <v>0.2</v>
      </c>
      <c r="J56" s="26" cm="1">
        <f t="array" ref="J56">Common_InputFunctions.Utility_DisplayArrayInTable(Fuel_SourceData.Fuel_Scope1Scope3EmissionFactorsStationaryLiquid_Data(), Table_Fuel_EFs_StationaryLiquid[[#Headers],[Fuel combusted]],0)</f>
        <v>69.88</v>
      </c>
      <c r="K56" s="26" t="str" cm="1">
        <f t="array" ref="K56">Common_InputFunctions.Utility_DisplayArrayInTable(Fuel_SourceData.Fuel_Scope1Scope3EmissionFactorsStationaryLiquid_Data(), Table_Fuel_EFs_StationaryLiquid[[#Headers],[Fuel combusted]],0)</f>
        <v>NE</v>
      </c>
      <c r="L56" s="17"/>
    </row>
    <row r="57" spans="1:12" ht="20.100000000000001" customHeight="1" x14ac:dyDescent="0.25">
      <c r="A57"/>
      <c r="D57" s="26" t="str" cm="1">
        <f t="array" ref="D57">Common_InputFunctions.Utility_DisplayArrayInTable(Fuel_SourceData.Fuel_Scope1Scope3EmissionFactorsStationaryLiquid_Data(), Table_Fuel_EFs_StationaryLiquid[[#Headers],[Fuel combusted]],0)</f>
        <v>Other natural gas liquids</v>
      </c>
      <c r="E57" s="26" cm="1">
        <f t="array" ref="E57">Common_InputFunctions.Utility_DisplayArrayInTable(Fuel_SourceData.Fuel_Scope1Scope3EmissionFactorsStationaryLiquid_Data(), Table_Fuel_EFs_StationaryLiquid[[#Headers],[Fuel combusted]],0)</f>
        <v>46.5</v>
      </c>
      <c r="F57" s="26" t="str" cm="1">
        <f t="array" ref="F57">Common_InputFunctions.Utility_DisplayArrayInTable(Fuel_SourceData.Fuel_Scope1Scope3EmissionFactorsStationaryLiquid_Data(), Table_Fuel_EFs_StationaryLiquid[[#Headers],[Fuel combusted]],0)</f>
        <v>t</v>
      </c>
      <c r="G57" s="26" cm="1">
        <f t="array" ref="G57">Common_InputFunctions.Utility_DisplayArrayInTable(Fuel_SourceData.Fuel_Scope1Scope3EmissionFactorsStationaryLiquid_Data(), Table_Fuel_EFs_StationaryLiquid[[#Headers],[Fuel combusted]],0)</f>
        <v>61</v>
      </c>
      <c r="H57" s="26" cm="1">
        <f t="array" ref="H57">Common_InputFunctions.Utility_DisplayArrayInTable(Fuel_SourceData.Fuel_Scope1Scope3EmissionFactorsStationaryLiquid_Data(), Table_Fuel_EFs_StationaryLiquid[[#Headers],[Fuel combusted]],0)</f>
        <v>0.08</v>
      </c>
      <c r="I57" s="26" cm="1">
        <f t="array" ref="I57">Common_InputFunctions.Utility_DisplayArrayInTable(Fuel_SourceData.Fuel_Scope1Scope3EmissionFactorsStationaryLiquid_Data(), Table_Fuel_EFs_StationaryLiquid[[#Headers],[Fuel combusted]],0)</f>
        <v>0.2</v>
      </c>
      <c r="J57" s="26" cm="1">
        <f t="array" ref="J57">Common_InputFunctions.Utility_DisplayArrayInTable(Fuel_SourceData.Fuel_Scope1Scope3EmissionFactorsStationaryLiquid_Data(), Table_Fuel_EFs_StationaryLiquid[[#Headers],[Fuel combusted]],0)</f>
        <v>61.28</v>
      </c>
      <c r="K57" s="26" t="str" cm="1">
        <f t="array" ref="K57">Common_InputFunctions.Utility_DisplayArrayInTable(Fuel_SourceData.Fuel_Scope1Scope3EmissionFactorsStationaryLiquid_Data(), Table_Fuel_EFs_StationaryLiquid[[#Headers],[Fuel combusted]],0)</f>
        <v>NE</v>
      </c>
      <c r="L57" s="17"/>
    </row>
    <row r="58" spans="1:12" ht="20.100000000000001" customHeight="1" x14ac:dyDescent="0.25">
      <c r="A58"/>
      <c r="D58" s="26" t="str" cm="1">
        <f t="array" ref="D58">Common_InputFunctions.Utility_DisplayArrayInTable(Fuel_SourceData.Fuel_Scope1Scope3EmissionFactorsStationaryLiquid_Data(), Table_Fuel_EFs_StationaryLiquid[[#Headers],[Fuel combusted]],0)</f>
        <v>Automotive gasoline / petrol (other than for use as fuel in an aircraft)</v>
      </c>
      <c r="E58" s="26" cm="1">
        <f t="array" ref="E58">Common_InputFunctions.Utility_DisplayArrayInTable(Fuel_SourceData.Fuel_Scope1Scope3EmissionFactorsStationaryLiquid_Data(), Table_Fuel_EFs_StationaryLiquid[[#Headers],[Fuel combusted]],0)</f>
        <v>34.200000000000003</v>
      </c>
      <c r="F58" s="26" t="str" cm="1">
        <f t="array" ref="F58">Common_InputFunctions.Utility_DisplayArrayInTable(Fuel_SourceData.Fuel_Scope1Scope3EmissionFactorsStationaryLiquid_Data(), Table_Fuel_EFs_StationaryLiquid[[#Headers],[Fuel combusted]],0)</f>
        <v>kL</v>
      </c>
      <c r="G58" s="26" cm="1">
        <f t="array" ref="G58">Common_InputFunctions.Utility_DisplayArrayInTable(Fuel_SourceData.Fuel_Scope1Scope3EmissionFactorsStationaryLiquid_Data(), Table_Fuel_EFs_StationaryLiquid[[#Headers],[Fuel combusted]],0)</f>
        <v>67.400000000000006</v>
      </c>
      <c r="H58" s="26" cm="1">
        <f t="array" ref="H58">Common_InputFunctions.Utility_DisplayArrayInTable(Fuel_SourceData.Fuel_Scope1Scope3EmissionFactorsStationaryLiquid_Data(), Table_Fuel_EFs_StationaryLiquid[[#Headers],[Fuel combusted]],0)</f>
        <v>0.2</v>
      </c>
      <c r="I58" s="26" cm="1">
        <f t="array" ref="I58">Common_InputFunctions.Utility_DisplayArrayInTable(Fuel_SourceData.Fuel_Scope1Scope3EmissionFactorsStationaryLiquid_Data(), Table_Fuel_EFs_StationaryLiquid[[#Headers],[Fuel combusted]],0)</f>
        <v>0.2</v>
      </c>
      <c r="J58" s="26" cm="1">
        <f t="array" ref="J58">Common_InputFunctions.Utility_DisplayArrayInTable(Fuel_SourceData.Fuel_Scope1Scope3EmissionFactorsStationaryLiquid_Data(), Table_Fuel_EFs_StationaryLiquid[[#Headers],[Fuel combusted]],0)</f>
        <v>67.8</v>
      </c>
      <c r="K58" s="26" cm="1">
        <f t="array" ref="K58">Common_InputFunctions.Utility_DisplayArrayInTable(Fuel_SourceData.Fuel_Scope1Scope3EmissionFactorsStationaryLiquid_Data(), Table_Fuel_EFs_StationaryLiquid[[#Headers],[Fuel combusted]],0)</f>
        <v>17.2</v>
      </c>
      <c r="L58" s="17"/>
    </row>
    <row r="59" spans="1:12" ht="20.100000000000001" customHeight="1" x14ac:dyDescent="0.25">
      <c r="A59"/>
      <c r="D59" s="26" t="str" cm="1">
        <f t="array" ref="D59">Common_InputFunctions.Utility_DisplayArrayInTable(Fuel_SourceData.Fuel_Scope1Scope3EmissionFactorsStationaryLiquid_Data(), Table_Fuel_EFs_StationaryLiquid[[#Headers],[Fuel combusted]],0)</f>
        <v>Aviation gasoline</v>
      </c>
      <c r="E59" s="26" cm="1">
        <f t="array" ref="E59">Common_InputFunctions.Utility_DisplayArrayInTable(Fuel_SourceData.Fuel_Scope1Scope3EmissionFactorsStationaryLiquid_Data(), Table_Fuel_EFs_StationaryLiquid[[#Headers],[Fuel combusted]],0)</f>
        <v>33.1</v>
      </c>
      <c r="F59" s="26" t="str" cm="1">
        <f t="array" ref="F59">Common_InputFunctions.Utility_DisplayArrayInTable(Fuel_SourceData.Fuel_Scope1Scope3EmissionFactorsStationaryLiquid_Data(), Table_Fuel_EFs_StationaryLiquid[[#Headers],[Fuel combusted]],0)</f>
        <v>kL</v>
      </c>
      <c r="G59" s="26" cm="1">
        <f t="array" ref="G59">Common_InputFunctions.Utility_DisplayArrayInTable(Fuel_SourceData.Fuel_Scope1Scope3EmissionFactorsStationaryLiquid_Data(), Table_Fuel_EFs_StationaryLiquid[[#Headers],[Fuel combusted]],0)</f>
        <v>67</v>
      </c>
      <c r="H59" s="26" cm="1">
        <f t="array" ref="H59">Common_InputFunctions.Utility_DisplayArrayInTable(Fuel_SourceData.Fuel_Scope1Scope3EmissionFactorsStationaryLiquid_Data(), Table_Fuel_EFs_StationaryLiquid[[#Headers],[Fuel combusted]],0)</f>
        <v>0.2</v>
      </c>
      <c r="I59" s="26" cm="1">
        <f t="array" ref="I59">Common_InputFunctions.Utility_DisplayArrayInTable(Fuel_SourceData.Fuel_Scope1Scope3EmissionFactorsStationaryLiquid_Data(), Table_Fuel_EFs_StationaryLiquid[[#Headers],[Fuel combusted]],0)</f>
        <v>0.2</v>
      </c>
      <c r="J59" s="26" cm="1">
        <f t="array" ref="J59">Common_InputFunctions.Utility_DisplayArrayInTable(Fuel_SourceData.Fuel_Scope1Scope3EmissionFactorsStationaryLiquid_Data(), Table_Fuel_EFs_StationaryLiquid[[#Headers],[Fuel combusted]],0)</f>
        <v>67.400000000000006</v>
      </c>
      <c r="K59" s="26" cm="1">
        <f t="array" ref="K59">Common_InputFunctions.Utility_DisplayArrayInTable(Fuel_SourceData.Fuel_Scope1Scope3EmissionFactorsStationaryLiquid_Data(), Table_Fuel_EFs_StationaryLiquid[[#Headers],[Fuel combusted]],0)</f>
        <v>18</v>
      </c>
      <c r="L59" s="17"/>
    </row>
    <row r="60" spans="1:12" ht="20.100000000000001" customHeight="1" x14ac:dyDescent="0.25">
      <c r="A60"/>
      <c r="D60" s="26" t="str" cm="1">
        <f t="array" ref="D60">Common_InputFunctions.Utility_DisplayArrayInTable(Fuel_SourceData.Fuel_Scope1Scope3EmissionFactorsStationaryLiquid_Data(), Table_Fuel_EFs_StationaryLiquid[[#Headers],[Fuel combusted]],0)</f>
        <v>Kerosene (other than for use as fuel in an aircraft)</v>
      </c>
      <c r="E60" s="26" cm="1">
        <f t="array" ref="E60">Common_InputFunctions.Utility_DisplayArrayInTable(Fuel_SourceData.Fuel_Scope1Scope3EmissionFactorsStationaryLiquid_Data(), Table_Fuel_EFs_StationaryLiquid[[#Headers],[Fuel combusted]],0)</f>
        <v>37.5</v>
      </c>
      <c r="F60" s="26" t="str" cm="1">
        <f t="array" ref="F60">Common_InputFunctions.Utility_DisplayArrayInTable(Fuel_SourceData.Fuel_Scope1Scope3EmissionFactorsStationaryLiquid_Data(), Table_Fuel_EFs_StationaryLiquid[[#Headers],[Fuel combusted]],0)</f>
        <v>kL</v>
      </c>
      <c r="G60" s="26" cm="1">
        <f t="array" ref="G60">Common_InputFunctions.Utility_DisplayArrayInTable(Fuel_SourceData.Fuel_Scope1Scope3EmissionFactorsStationaryLiquid_Data(), Table_Fuel_EFs_StationaryLiquid[[#Headers],[Fuel combusted]],0)</f>
        <v>68.900000000000006</v>
      </c>
      <c r="H60" s="26" cm="1">
        <f t="array" ref="H60">Common_InputFunctions.Utility_DisplayArrayInTable(Fuel_SourceData.Fuel_Scope1Scope3EmissionFactorsStationaryLiquid_Data(), Table_Fuel_EFs_StationaryLiquid[[#Headers],[Fuel combusted]],0)</f>
        <v>0.01</v>
      </c>
      <c r="I60" s="26" cm="1">
        <f t="array" ref="I60">Common_InputFunctions.Utility_DisplayArrayInTable(Fuel_SourceData.Fuel_Scope1Scope3EmissionFactorsStationaryLiquid_Data(), Table_Fuel_EFs_StationaryLiquid[[#Headers],[Fuel combusted]],0)</f>
        <v>0.2</v>
      </c>
      <c r="J60" s="26" cm="1">
        <f t="array" ref="J60">Common_InputFunctions.Utility_DisplayArrayInTable(Fuel_SourceData.Fuel_Scope1Scope3EmissionFactorsStationaryLiquid_Data(), Table_Fuel_EFs_StationaryLiquid[[#Headers],[Fuel combusted]],0)</f>
        <v>69.11</v>
      </c>
      <c r="K60" s="26" cm="1">
        <f t="array" ref="K60">Common_InputFunctions.Utility_DisplayArrayInTable(Fuel_SourceData.Fuel_Scope1Scope3EmissionFactorsStationaryLiquid_Data(), Table_Fuel_EFs_StationaryLiquid[[#Headers],[Fuel combusted]],0)</f>
        <v>18</v>
      </c>
      <c r="L60" s="17"/>
    </row>
    <row r="61" spans="1:12" ht="20.100000000000001" customHeight="1" x14ac:dyDescent="0.25">
      <c r="A61"/>
      <c r="D61" s="26" t="str" cm="1">
        <f t="array" ref="D61">Common_InputFunctions.Utility_DisplayArrayInTable(Fuel_SourceData.Fuel_Scope1Scope3EmissionFactorsStationaryLiquid_Data(), Table_Fuel_EFs_StationaryLiquid[[#Headers],[Fuel combusted]],0)</f>
        <v>Aviation turbine fuel / kerosene</v>
      </c>
      <c r="E61" s="26" cm="1">
        <f t="array" ref="E61">Common_InputFunctions.Utility_DisplayArrayInTable(Fuel_SourceData.Fuel_Scope1Scope3EmissionFactorsStationaryLiquid_Data(), Table_Fuel_EFs_StationaryLiquid[[#Headers],[Fuel combusted]],0)</f>
        <v>36.799999999999997</v>
      </c>
      <c r="F61" s="26" t="str" cm="1">
        <f t="array" ref="F61">Common_InputFunctions.Utility_DisplayArrayInTable(Fuel_SourceData.Fuel_Scope1Scope3EmissionFactorsStationaryLiquid_Data(), Table_Fuel_EFs_StationaryLiquid[[#Headers],[Fuel combusted]],0)</f>
        <v>kL</v>
      </c>
      <c r="G61" s="26" cm="1">
        <f t="array" ref="G61">Common_InputFunctions.Utility_DisplayArrayInTable(Fuel_SourceData.Fuel_Scope1Scope3EmissionFactorsStationaryLiquid_Data(), Table_Fuel_EFs_StationaryLiquid[[#Headers],[Fuel combusted]],0)</f>
        <v>69.599999999999994</v>
      </c>
      <c r="H61" s="26" cm="1">
        <f t="array" ref="H61">Common_InputFunctions.Utility_DisplayArrayInTable(Fuel_SourceData.Fuel_Scope1Scope3EmissionFactorsStationaryLiquid_Data(), Table_Fuel_EFs_StationaryLiquid[[#Headers],[Fuel combusted]],0)</f>
        <v>0.02</v>
      </c>
      <c r="I61" s="26" cm="1">
        <f t="array" ref="I61">Common_InputFunctions.Utility_DisplayArrayInTable(Fuel_SourceData.Fuel_Scope1Scope3EmissionFactorsStationaryLiquid_Data(), Table_Fuel_EFs_StationaryLiquid[[#Headers],[Fuel combusted]],0)</f>
        <v>0.2</v>
      </c>
      <c r="J61" s="26" cm="1">
        <f t="array" ref="J61">Common_InputFunctions.Utility_DisplayArrayInTable(Fuel_SourceData.Fuel_Scope1Scope3EmissionFactorsStationaryLiquid_Data(), Table_Fuel_EFs_StationaryLiquid[[#Headers],[Fuel combusted]],0)</f>
        <v>69.819999999999993</v>
      </c>
      <c r="K61" s="26" cm="1">
        <f t="array" ref="K61">Common_InputFunctions.Utility_DisplayArrayInTable(Fuel_SourceData.Fuel_Scope1Scope3EmissionFactorsStationaryLiquid_Data(), Table_Fuel_EFs_StationaryLiquid[[#Headers],[Fuel combusted]],0)</f>
        <v>18</v>
      </c>
      <c r="L61" s="17"/>
    </row>
    <row r="62" spans="1:12" ht="20.100000000000001" customHeight="1" x14ac:dyDescent="0.25">
      <c r="A62"/>
      <c r="D62" s="26" t="str" cm="1">
        <f t="array" ref="D62">Common_InputFunctions.Utility_DisplayArrayInTable(Fuel_SourceData.Fuel_Scope1Scope3EmissionFactorsStationaryLiquid_Data(), Table_Fuel_EFs_StationaryLiquid[[#Headers],[Fuel combusted]],0)</f>
        <v>Heating oil</v>
      </c>
      <c r="E62" s="26" cm="1">
        <f t="array" ref="E62">Common_InputFunctions.Utility_DisplayArrayInTable(Fuel_SourceData.Fuel_Scope1Scope3EmissionFactorsStationaryLiquid_Data(), Table_Fuel_EFs_StationaryLiquid[[#Headers],[Fuel combusted]],0)</f>
        <v>37.299999999999997</v>
      </c>
      <c r="F62" s="26" t="str" cm="1">
        <f t="array" ref="F62">Common_InputFunctions.Utility_DisplayArrayInTable(Fuel_SourceData.Fuel_Scope1Scope3EmissionFactorsStationaryLiquid_Data(), Table_Fuel_EFs_StationaryLiquid[[#Headers],[Fuel combusted]],0)</f>
        <v>kL</v>
      </c>
      <c r="G62" s="26" cm="1">
        <f t="array" ref="G62">Common_InputFunctions.Utility_DisplayArrayInTable(Fuel_SourceData.Fuel_Scope1Scope3EmissionFactorsStationaryLiquid_Data(), Table_Fuel_EFs_StationaryLiquid[[#Headers],[Fuel combusted]],0)</f>
        <v>69.5</v>
      </c>
      <c r="H62" s="26" cm="1">
        <f t="array" ref="H62">Common_InputFunctions.Utility_DisplayArrayInTable(Fuel_SourceData.Fuel_Scope1Scope3EmissionFactorsStationaryLiquid_Data(), Table_Fuel_EFs_StationaryLiquid[[#Headers],[Fuel combusted]],0)</f>
        <v>0.03</v>
      </c>
      <c r="I62" s="26" cm="1">
        <f t="array" ref="I62">Common_InputFunctions.Utility_DisplayArrayInTable(Fuel_SourceData.Fuel_Scope1Scope3EmissionFactorsStationaryLiquid_Data(), Table_Fuel_EFs_StationaryLiquid[[#Headers],[Fuel combusted]],0)</f>
        <v>0.2</v>
      </c>
      <c r="J62" s="26" cm="1">
        <f t="array" ref="J62">Common_InputFunctions.Utility_DisplayArrayInTable(Fuel_SourceData.Fuel_Scope1Scope3EmissionFactorsStationaryLiquid_Data(), Table_Fuel_EFs_StationaryLiquid[[#Headers],[Fuel combusted]],0)</f>
        <v>69.73</v>
      </c>
      <c r="K62" s="26" cm="1">
        <f t="array" ref="K62">Common_InputFunctions.Utility_DisplayArrayInTable(Fuel_SourceData.Fuel_Scope1Scope3EmissionFactorsStationaryLiquid_Data(), Table_Fuel_EFs_StationaryLiquid[[#Headers],[Fuel combusted]],0)</f>
        <v>18</v>
      </c>
      <c r="L62" s="17"/>
    </row>
    <row r="63" spans="1:12" ht="20.100000000000001" customHeight="1" x14ac:dyDescent="0.25">
      <c r="A63"/>
      <c r="D63" s="26" t="str" cm="1">
        <f t="array" ref="D63">Common_InputFunctions.Utility_DisplayArrayInTable(Fuel_SourceData.Fuel_Scope1Scope3EmissionFactorsStationaryLiquid_Data(), Table_Fuel_EFs_StationaryLiquid[[#Headers],[Fuel combusted]],0)</f>
        <v>Diesel oil</v>
      </c>
      <c r="E63" s="26" cm="1">
        <f t="array" ref="E63">Common_InputFunctions.Utility_DisplayArrayInTable(Fuel_SourceData.Fuel_Scope1Scope3EmissionFactorsStationaryLiquid_Data(), Table_Fuel_EFs_StationaryLiquid[[#Headers],[Fuel combusted]],0)</f>
        <v>38.6</v>
      </c>
      <c r="F63" s="26" t="str" cm="1">
        <f t="array" ref="F63">Common_InputFunctions.Utility_DisplayArrayInTable(Fuel_SourceData.Fuel_Scope1Scope3EmissionFactorsStationaryLiquid_Data(), Table_Fuel_EFs_StationaryLiquid[[#Headers],[Fuel combusted]],0)</f>
        <v>kL</v>
      </c>
      <c r="G63" s="26" cm="1">
        <f t="array" ref="G63">Common_InputFunctions.Utility_DisplayArrayInTable(Fuel_SourceData.Fuel_Scope1Scope3EmissionFactorsStationaryLiquid_Data(), Table_Fuel_EFs_StationaryLiquid[[#Headers],[Fuel combusted]],0)</f>
        <v>69.900000000000006</v>
      </c>
      <c r="H63" s="26" cm="1">
        <f t="array" ref="H63">Common_InputFunctions.Utility_DisplayArrayInTable(Fuel_SourceData.Fuel_Scope1Scope3EmissionFactorsStationaryLiquid_Data(), Table_Fuel_EFs_StationaryLiquid[[#Headers],[Fuel combusted]],0)</f>
        <v>0.1</v>
      </c>
      <c r="I63" s="26" cm="1">
        <f t="array" ref="I63">Common_InputFunctions.Utility_DisplayArrayInTable(Fuel_SourceData.Fuel_Scope1Scope3EmissionFactorsStationaryLiquid_Data(), Table_Fuel_EFs_StationaryLiquid[[#Headers],[Fuel combusted]],0)</f>
        <v>0.2</v>
      </c>
      <c r="J63" s="26" cm="1">
        <f t="array" ref="J63">Common_InputFunctions.Utility_DisplayArrayInTable(Fuel_SourceData.Fuel_Scope1Scope3EmissionFactorsStationaryLiquid_Data(), Table_Fuel_EFs_StationaryLiquid[[#Headers],[Fuel combusted]],0)</f>
        <v>70.2</v>
      </c>
      <c r="K63" s="26" cm="1">
        <f t="array" ref="K63">Common_InputFunctions.Utility_DisplayArrayInTable(Fuel_SourceData.Fuel_Scope1Scope3EmissionFactorsStationaryLiquid_Data(), Table_Fuel_EFs_StationaryLiquid[[#Headers],[Fuel combusted]],0)</f>
        <v>17.3</v>
      </c>
      <c r="L63" s="17"/>
    </row>
    <row r="64" spans="1:12" ht="20.100000000000001" customHeight="1" x14ac:dyDescent="0.25">
      <c r="A64"/>
      <c r="D64" s="26" t="str" cm="1">
        <f t="array" ref="D64">Common_InputFunctions.Utility_DisplayArrayInTable(Fuel_SourceData.Fuel_Scope1Scope3EmissionFactorsStationaryLiquid_Data(), Table_Fuel_EFs_StationaryLiquid[[#Headers],[Fuel combusted]],0)</f>
        <v>Fuel oil</v>
      </c>
      <c r="E64" s="26" cm="1">
        <f t="array" ref="E64">Common_InputFunctions.Utility_DisplayArrayInTable(Fuel_SourceData.Fuel_Scope1Scope3EmissionFactorsStationaryLiquid_Data(), Table_Fuel_EFs_StationaryLiquid[[#Headers],[Fuel combusted]],0)</f>
        <v>39.700000000000003</v>
      </c>
      <c r="F64" s="26" t="str" cm="1">
        <f t="array" ref="F64">Common_InputFunctions.Utility_DisplayArrayInTable(Fuel_SourceData.Fuel_Scope1Scope3EmissionFactorsStationaryLiquid_Data(), Table_Fuel_EFs_StationaryLiquid[[#Headers],[Fuel combusted]],0)</f>
        <v>kL</v>
      </c>
      <c r="G64" s="26" cm="1">
        <f t="array" ref="G64">Common_InputFunctions.Utility_DisplayArrayInTable(Fuel_SourceData.Fuel_Scope1Scope3EmissionFactorsStationaryLiquid_Data(), Table_Fuel_EFs_StationaryLiquid[[#Headers],[Fuel combusted]],0)</f>
        <v>73.599999999999994</v>
      </c>
      <c r="H64" s="26" cm="1">
        <f t="array" ref="H64">Common_InputFunctions.Utility_DisplayArrayInTable(Fuel_SourceData.Fuel_Scope1Scope3EmissionFactorsStationaryLiquid_Data(), Table_Fuel_EFs_StationaryLiquid[[#Headers],[Fuel combusted]],0)</f>
        <v>0.04</v>
      </c>
      <c r="I64" s="26" cm="1">
        <f t="array" ref="I64">Common_InputFunctions.Utility_DisplayArrayInTable(Fuel_SourceData.Fuel_Scope1Scope3EmissionFactorsStationaryLiquid_Data(), Table_Fuel_EFs_StationaryLiquid[[#Headers],[Fuel combusted]],0)</f>
        <v>0.2</v>
      </c>
      <c r="J64" s="26" cm="1">
        <f t="array" ref="J64">Common_InputFunctions.Utility_DisplayArrayInTable(Fuel_SourceData.Fuel_Scope1Scope3EmissionFactorsStationaryLiquid_Data(), Table_Fuel_EFs_StationaryLiquid[[#Headers],[Fuel combusted]],0)</f>
        <v>73.84</v>
      </c>
      <c r="K64" s="26" cm="1">
        <f t="array" ref="K64">Common_InputFunctions.Utility_DisplayArrayInTable(Fuel_SourceData.Fuel_Scope1Scope3EmissionFactorsStationaryLiquid_Data(), Table_Fuel_EFs_StationaryLiquid[[#Headers],[Fuel combusted]],0)</f>
        <v>18</v>
      </c>
      <c r="L64" s="17"/>
    </row>
    <row r="65" spans="1:13" ht="20.100000000000001" customHeight="1" x14ac:dyDescent="0.25">
      <c r="A65"/>
      <c r="D65" s="26" t="str" cm="1">
        <f t="array" ref="D65">Common_InputFunctions.Utility_DisplayArrayInTable(Fuel_SourceData.Fuel_Scope1Scope3EmissionFactorsStationaryLiquid_Data(), Table_Fuel_EFs_StationaryLiquid[[#Headers],[Fuel combusted]],0)</f>
        <v>Liquefied aromatic hydrocarbons</v>
      </c>
      <c r="E65" s="26" cm="1">
        <f t="array" ref="E65">Common_InputFunctions.Utility_DisplayArrayInTable(Fuel_SourceData.Fuel_Scope1Scope3EmissionFactorsStationaryLiquid_Data(), Table_Fuel_EFs_StationaryLiquid[[#Headers],[Fuel combusted]],0)</f>
        <v>34.4</v>
      </c>
      <c r="F65" s="26" t="str" cm="1">
        <f t="array" ref="F65">Common_InputFunctions.Utility_DisplayArrayInTable(Fuel_SourceData.Fuel_Scope1Scope3EmissionFactorsStationaryLiquid_Data(), Table_Fuel_EFs_StationaryLiquid[[#Headers],[Fuel combusted]],0)</f>
        <v>kL</v>
      </c>
      <c r="G65" s="26" cm="1">
        <f t="array" ref="G65">Common_InputFunctions.Utility_DisplayArrayInTable(Fuel_SourceData.Fuel_Scope1Scope3EmissionFactorsStationaryLiquid_Data(), Table_Fuel_EFs_StationaryLiquid[[#Headers],[Fuel combusted]],0)</f>
        <v>69.7</v>
      </c>
      <c r="H65" s="26" cm="1">
        <f t="array" ref="H65">Common_InputFunctions.Utility_DisplayArrayInTable(Fuel_SourceData.Fuel_Scope1Scope3EmissionFactorsStationaryLiquid_Data(), Table_Fuel_EFs_StationaryLiquid[[#Headers],[Fuel combusted]],0)</f>
        <v>0.03</v>
      </c>
      <c r="I65" s="26" cm="1">
        <f t="array" ref="I65">Common_InputFunctions.Utility_DisplayArrayInTable(Fuel_SourceData.Fuel_Scope1Scope3EmissionFactorsStationaryLiquid_Data(), Table_Fuel_EFs_StationaryLiquid[[#Headers],[Fuel combusted]],0)</f>
        <v>0.2</v>
      </c>
      <c r="J65" s="26" cm="1">
        <f t="array" ref="J65">Common_InputFunctions.Utility_DisplayArrayInTable(Fuel_SourceData.Fuel_Scope1Scope3EmissionFactorsStationaryLiquid_Data(), Table_Fuel_EFs_StationaryLiquid[[#Headers],[Fuel combusted]],0)</f>
        <v>69.930000000000007</v>
      </c>
      <c r="K65" s="26" cm="1">
        <f t="array" ref="K65">Common_InputFunctions.Utility_DisplayArrayInTable(Fuel_SourceData.Fuel_Scope1Scope3EmissionFactorsStationaryLiquid_Data(), Table_Fuel_EFs_StationaryLiquid[[#Headers],[Fuel combusted]],0)</f>
        <v>18</v>
      </c>
      <c r="L65" s="17"/>
    </row>
    <row r="66" spans="1:13" ht="20.100000000000001" customHeight="1" x14ac:dyDescent="0.25">
      <c r="A66"/>
      <c r="D66" s="26" t="str" cm="1">
        <f t="array" ref="D66">Common_InputFunctions.Utility_DisplayArrayInTable(Fuel_SourceData.Fuel_Scope1Scope3EmissionFactorsStationaryLiquid_Data(), Table_Fuel_EFs_StationaryLiquid[[#Headers],[Fuel combusted]],0)</f>
        <v>Solvents: mineral turpentine or white spirits</v>
      </c>
      <c r="E66" s="26" cm="1">
        <f t="array" ref="E66">Common_InputFunctions.Utility_DisplayArrayInTable(Fuel_SourceData.Fuel_Scope1Scope3EmissionFactorsStationaryLiquid_Data(), Table_Fuel_EFs_StationaryLiquid[[#Headers],[Fuel combusted]],0)</f>
        <v>34.4</v>
      </c>
      <c r="F66" s="26" t="str" cm="1">
        <f t="array" ref="F66">Common_InputFunctions.Utility_DisplayArrayInTable(Fuel_SourceData.Fuel_Scope1Scope3EmissionFactorsStationaryLiquid_Data(), Table_Fuel_EFs_StationaryLiquid[[#Headers],[Fuel combusted]],0)</f>
        <v>kL</v>
      </c>
      <c r="G66" s="26" cm="1">
        <f t="array" ref="G66">Common_InputFunctions.Utility_DisplayArrayInTable(Fuel_SourceData.Fuel_Scope1Scope3EmissionFactorsStationaryLiquid_Data(), Table_Fuel_EFs_StationaryLiquid[[#Headers],[Fuel combusted]],0)</f>
        <v>69.7</v>
      </c>
      <c r="H66" s="26" cm="1">
        <f t="array" ref="H66">Common_InputFunctions.Utility_DisplayArrayInTable(Fuel_SourceData.Fuel_Scope1Scope3EmissionFactorsStationaryLiquid_Data(), Table_Fuel_EFs_StationaryLiquid[[#Headers],[Fuel combusted]],0)</f>
        <v>0.03</v>
      </c>
      <c r="I66" s="26" cm="1">
        <f t="array" ref="I66">Common_InputFunctions.Utility_DisplayArrayInTable(Fuel_SourceData.Fuel_Scope1Scope3EmissionFactorsStationaryLiquid_Data(), Table_Fuel_EFs_StationaryLiquid[[#Headers],[Fuel combusted]],0)</f>
        <v>0.2</v>
      </c>
      <c r="J66" s="26" cm="1">
        <f t="array" ref="J66">Common_InputFunctions.Utility_DisplayArrayInTable(Fuel_SourceData.Fuel_Scope1Scope3EmissionFactorsStationaryLiquid_Data(), Table_Fuel_EFs_StationaryLiquid[[#Headers],[Fuel combusted]],0)</f>
        <v>69.930000000000007</v>
      </c>
      <c r="K66" s="26" cm="1">
        <f t="array" ref="K66">Common_InputFunctions.Utility_DisplayArrayInTable(Fuel_SourceData.Fuel_Scope1Scope3EmissionFactorsStationaryLiquid_Data(), Table_Fuel_EFs_StationaryLiquid[[#Headers],[Fuel combusted]],0)</f>
        <v>18</v>
      </c>
      <c r="L66" s="17"/>
    </row>
    <row r="67" spans="1:13" ht="20.100000000000001" customHeight="1" x14ac:dyDescent="0.25">
      <c r="A67"/>
      <c r="D67" s="26" t="str" cm="1">
        <f t="array" ref="D67">Common_InputFunctions.Utility_DisplayArrayInTable(Fuel_SourceData.Fuel_Scope1Scope3EmissionFactorsStationaryLiquid_Data(), Table_Fuel_EFs_StationaryLiquid[[#Headers],[Fuel combusted]],0)</f>
        <v>Liquefied petroleum gas (LPG)</v>
      </c>
      <c r="E67" s="26" cm="1">
        <f t="array" ref="E67">Common_InputFunctions.Utility_DisplayArrayInTable(Fuel_SourceData.Fuel_Scope1Scope3EmissionFactorsStationaryLiquid_Data(), Table_Fuel_EFs_StationaryLiquid[[#Headers],[Fuel combusted]],0)</f>
        <v>25.7</v>
      </c>
      <c r="F67" s="26" t="str" cm="1">
        <f t="array" ref="F67">Common_InputFunctions.Utility_DisplayArrayInTable(Fuel_SourceData.Fuel_Scope1Scope3EmissionFactorsStationaryLiquid_Data(), Table_Fuel_EFs_StationaryLiquid[[#Headers],[Fuel combusted]],0)</f>
        <v>kL</v>
      </c>
      <c r="G67" s="26" cm="1">
        <f t="array" ref="G67">Common_InputFunctions.Utility_DisplayArrayInTable(Fuel_SourceData.Fuel_Scope1Scope3EmissionFactorsStationaryLiquid_Data(), Table_Fuel_EFs_StationaryLiquid[[#Headers],[Fuel combusted]],0)</f>
        <v>60.2</v>
      </c>
      <c r="H67" s="26" cm="1">
        <f t="array" ref="H67">Common_InputFunctions.Utility_DisplayArrayInTable(Fuel_SourceData.Fuel_Scope1Scope3EmissionFactorsStationaryLiquid_Data(), Table_Fuel_EFs_StationaryLiquid[[#Headers],[Fuel combusted]],0)</f>
        <v>0.2</v>
      </c>
      <c r="I67" s="26" cm="1">
        <f t="array" ref="I67">Common_InputFunctions.Utility_DisplayArrayInTable(Fuel_SourceData.Fuel_Scope1Scope3EmissionFactorsStationaryLiquid_Data(), Table_Fuel_EFs_StationaryLiquid[[#Headers],[Fuel combusted]],0)</f>
        <v>0.2</v>
      </c>
      <c r="J67" s="26" cm="1">
        <f t="array" ref="J67">Common_InputFunctions.Utility_DisplayArrayInTable(Fuel_SourceData.Fuel_Scope1Scope3EmissionFactorsStationaryLiquid_Data(), Table_Fuel_EFs_StationaryLiquid[[#Headers],[Fuel combusted]],0)</f>
        <v>60.6</v>
      </c>
      <c r="K67" s="26" cm="1">
        <f t="array" ref="K67">Common_InputFunctions.Utility_DisplayArrayInTable(Fuel_SourceData.Fuel_Scope1Scope3EmissionFactorsStationaryLiquid_Data(), Table_Fuel_EFs_StationaryLiquid[[#Headers],[Fuel combusted]],0)</f>
        <v>20.2</v>
      </c>
      <c r="L67" s="17"/>
    </row>
    <row r="68" spans="1:13" ht="20.100000000000001" customHeight="1" x14ac:dyDescent="0.25">
      <c r="A68"/>
      <c r="D68" s="26" t="str" cm="1">
        <f t="array" ref="D68">Common_InputFunctions.Utility_DisplayArrayInTable(Fuel_SourceData.Fuel_Scope1Scope3EmissionFactorsStationaryLiquid_Data(), Table_Fuel_EFs_StationaryLiquid[[#Headers],[Fuel combusted]],0)</f>
        <v>Naphtha</v>
      </c>
      <c r="E68" s="26" cm="1">
        <f t="array" ref="E68">Common_InputFunctions.Utility_DisplayArrayInTable(Fuel_SourceData.Fuel_Scope1Scope3EmissionFactorsStationaryLiquid_Data(), Table_Fuel_EFs_StationaryLiquid[[#Headers],[Fuel combusted]],0)</f>
        <v>31.4</v>
      </c>
      <c r="F68" s="26" t="str" cm="1">
        <f t="array" ref="F68">Common_InputFunctions.Utility_DisplayArrayInTable(Fuel_SourceData.Fuel_Scope1Scope3EmissionFactorsStationaryLiquid_Data(), Table_Fuel_EFs_StationaryLiquid[[#Headers],[Fuel combusted]],0)</f>
        <v>kL</v>
      </c>
      <c r="G68" s="26" cm="1">
        <f t="array" ref="G68">Common_InputFunctions.Utility_DisplayArrayInTable(Fuel_SourceData.Fuel_Scope1Scope3EmissionFactorsStationaryLiquid_Data(), Table_Fuel_EFs_StationaryLiquid[[#Headers],[Fuel combusted]],0)</f>
        <v>69.8</v>
      </c>
      <c r="H68" s="26" cm="1">
        <f t="array" ref="H68">Common_InputFunctions.Utility_DisplayArrayInTable(Fuel_SourceData.Fuel_Scope1Scope3EmissionFactorsStationaryLiquid_Data(), Table_Fuel_EFs_StationaryLiquid[[#Headers],[Fuel combusted]],0)</f>
        <v>0.01</v>
      </c>
      <c r="I68" s="26" cm="1">
        <f t="array" ref="I68">Common_InputFunctions.Utility_DisplayArrayInTable(Fuel_SourceData.Fuel_Scope1Scope3EmissionFactorsStationaryLiquid_Data(), Table_Fuel_EFs_StationaryLiquid[[#Headers],[Fuel combusted]],0)</f>
        <v>0.01</v>
      </c>
      <c r="J68" s="26" cm="1">
        <f t="array" ref="J68">Common_InputFunctions.Utility_DisplayArrayInTable(Fuel_SourceData.Fuel_Scope1Scope3EmissionFactorsStationaryLiquid_Data(), Table_Fuel_EFs_StationaryLiquid[[#Headers],[Fuel combusted]],0)</f>
        <v>69.819999999999993</v>
      </c>
      <c r="K68" s="26" cm="1">
        <f t="array" ref="K68">Common_InputFunctions.Utility_DisplayArrayInTable(Fuel_SourceData.Fuel_Scope1Scope3EmissionFactorsStationaryLiquid_Data(), Table_Fuel_EFs_StationaryLiquid[[#Headers],[Fuel combusted]],0)</f>
        <v>18</v>
      </c>
      <c r="L68" s="17"/>
    </row>
    <row r="69" spans="1:13" ht="20.100000000000001" customHeight="1" x14ac:dyDescent="0.25">
      <c r="A69"/>
      <c r="D69" s="26" t="str" cm="1">
        <f t="array" ref="D69">Common_InputFunctions.Utility_DisplayArrayInTable(Fuel_SourceData.Fuel_Scope1Scope3EmissionFactorsStationaryLiquid_Data(), Table_Fuel_EFs_StationaryLiquid[[#Headers],[Fuel combusted]],0)</f>
        <v>Petroleum coke</v>
      </c>
      <c r="E69" s="26" cm="1">
        <f t="array" ref="E69">Common_InputFunctions.Utility_DisplayArrayInTable(Fuel_SourceData.Fuel_Scope1Scope3EmissionFactorsStationaryLiquid_Data(), Table_Fuel_EFs_StationaryLiquid[[#Headers],[Fuel combusted]],0)</f>
        <v>34.200000000000003</v>
      </c>
      <c r="F69" s="26" t="str" cm="1">
        <f t="array" ref="F69">Common_InputFunctions.Utility_DisplayArrayInTable(Fuel_SourceData.Fuel_Scope1Scope3EmissionFactorsStationaryLiquid_Data(), Table_Fuel_EFs_StationaryLiquid[[#Headers],[Fuel combusted]],0)</f>
        <v>t</v>
      </c>
      <c r="G69" s="26" cm="1">
        <f t="array" ref="G69">Common_InputFunctions.Utility_DisplayArrayInTable(Fuel_SourceData.Fuel_Scope1Scope3EmissionFactorsStationaryLiquid_Data(), Table_Fuel_EFs_StationaryLiquid[[#Headers],[Fuel combusted]],0)</f>
        <v>92.6</v>
      </c>
      <c r="H69" s="26" cm="1">
        <f t="array" ref="H69">Common_InputFunctions.Utility_DisplayArrayInTable(Fuel_SourceData.Fuel_Scope1Scope3EmissionFactorsStationaryLiquid_Data(), Table_Fuel_EFs_StationaryLiquid[[#Headers],[Fuel combusted]],0)</f>
        <v>0.08</v>
      </c>
      <c r="I69" s="26" cm="1">
        <f t="array" ref="I69">Common_InputFunctions.Utility_DisplayArrayInTable(Fuel_SourceData.Fuel_Scope1Scope3EmissionFactorsStationaryLiquid_Data(), Table_Fuel_EFs_StationaryLiquid[[#Headers],[Fuel combusted]],0)</f>
        <v>0.2</v>
      </c>
      <c r="J69" s="26" cm="1">
        <f t="array" ref="J69">Common_InputFunctions.Utility_DisplayArrayInTable(Fuel_SourceData.Fuel_Scope1Scope3EmissionFactorsStationaryLiquid_Data(), Table_Fuel_EFs_StationaryLiquid[[#Headers],[Fuel combusted]],0)</f>
        <v>92.88</v>
      </c>
      <c r="K69" s="26" cm="1">
        <f t="array" ref="K69">Common_InputFunctions.Utility_DisplayArrayInTable(Fuel_SourceData.Fuel_Scope1Scope3EmissionFactorsStationaryLiquid_Data(), Table_Fuel_EFs_StationaryLiquid[[#Headers],[Fuel combusted]],0)</f>
        <v>18</v>
      </c>
      <c r="L69" s="17"/>
    </row>
    <row r="70" spans="1:13" ht="20.100000000000001" customHeight="1" x14ac:dyDescent="0.25">
      <c r="A70"/>
      <c r="D70" s="26" t="str" cm="1">
        <f t="array" ref="D70">Common_InputFunctions.Utility_DisplayArrayInTable(Fuel_SourceData.Fuel_Scope1Scope3EmissionFactorsStationaryLiquid_Data(), Table_Fuel_EFs_StationaryLiquid[[#Headers],[Fuel combusted]],0)</f>
        <v>Refinery gas and liquids</v>
      </c>
      <c r="E70" s="26" cm="1">
        <f t="array" ref="E70">Common_InputFunctions.Utility_DisplayArrayInTable(Fuel_SourceData.Fuel_Scope1Scope3EmissionFactorsStationaryLiquid_Data(), Table_Fuel_EFs_StationaryLiquid[[#Headers],[Fuel combusted]],0)</f>
        <v>42.9</v>
      </c>
      <c r="F70" s="26" t="str" cm="1">
        <f t="array" ref="F70">Common_InputFunctions.Utility_DisplayArrayInTable(Fuel_SourceData.Fuel_Scope1Scope3EmissionFactorsStationaryLiquid_Data(), Table_Fuel_EFs_StationaryLiquid[[#Headers],[Fuel combusted]],0)</f>
        <v>t</v>
      </c>
      <c r="G70" s="26" cm="1">
        <f t="array" ref="G70">Common_InputFunctions.Utility_DisplayArrayInTable(Fuel_SourceData.Fuel_Scope1Scope3EmissionFactorsStationaryLiquid_Data(), Table_Fuel_EFs_StationaryLiquid[[#Headers],[Fuel combusted]],0)</f>
        <v>54.7</v>
      </c>
      <c r="H70" s="26" cm="1">
        <f t="array" ref="H70">Common_InputFunctions.Utility_DisplayArrayInTable(Fuel_SourceData.Fuel_Scope1Scope3EmissionFactorsStationaryLiquid_Data(), Table_Fuel_EFs_StationaryLiquid[[#Headers],[Fuel combusted]],0)</f>
        <v>0.03</v>
      </c>
      <c r="I70" s="26" cm="1">
        <f t="array" ref="I70">Common_InputFunctions.Utility_DisplayArrayInTable(Fuel_SourceData.Fuel_Scope1Scope3EmissionFactorsStationaryLiquid_Data(), Table_Fuel_EFs_StationaryLiquid[[#Headers],[Fuel combusted]],0)</f>
        <v>0.03</v>
      </c>
      <c r="J70" s="26" cm="1">
        <f t="array" ref="J70">Common_InputFunctions.Utility_DisplayArrayInTable(Fuel_SourceData.Fuel_Scope1Scope3EmissionFactorsStationaryLiquid_Data(), Table_Fuel_EFs_StationaryLiquid[[#Headers],[Fuel combusted]],0)</f>
        <v>54.76</v>
      </c>
      <c r="K70" s="26" cm="1">
        <f t="array" ref="K70">Common_InputFunctions.Utility_DisplayArrayInTable(Fuel_SourceData.Fuel_Scope1Scope3EmissionFactorsStationaryLiquid_Data(), Table_Fuel_EFs_StationaryLiquid[[#Headers],[Fuel combusted]],0)</f>
        <v>18</v>
      </c>
      <c r="L70" s="17"/>
    </row>
    <row r="71" spans="1:13" ht="20.100000000000001" customHeight="1" x14ac:dyDescent="0.25">
      <c r="A71"/>
      <c r="D71" s="26" t="str" cm="1">
        <f t="array" ref="D71">Common_InputFunctions.Utility_DisplayArrayInTable(Fuel_SourceData.Fuel_Scope1Scope3EmissionFactorsStationaryLiquid_Data(), Table_Fuel_EFs_StationaryLiquid[[#Headers],[Fuel combusted]],0)</f>
        <v>Refinery coke</v>
      </c>
      <c r="E71" s="26" cm="1">
        <f t="array" ref="E71">Common_InputFunctions.Utility_DisplayArrayInTable(Fuel_SourceData.Fuel_Scope1Scope3EmissionFactorsStationaryLiquid_Data(), Table_Fuel_EFs_StationaryLiquid[[#Headers],[Fuel combusted]],0)</f>
        <v>34.200000000000003</v>
      </c>
      <c r="F71" s="26" t="str" cm="1">
        <f t="array" ref="F71">Common_InputFunctions.Utility_DisplayArrayInTable(Fuel_SourceData.Fuel_Scope1Scope3EmissionFactorsStationaryLiquid_Data(), Table_Fuel_EFs_StationaryLiquid[[#Headers],[Fuel combusted]],0)</f>
        <v>t</v>
      </c>
      <c r="G71" s="26" cm="1">
        <f t="array" ref="G71">Common_InputFunctions.Utility_DisplayArrayInTable(Fuel_SourceData.Fuel_Scope1Scope3EmissionFactorsStationaryLiquid_Data(), Table_Fuel_EFs_StationaryLiquid[[#Headers],[Fuel combusted]],0)</f>
        <v>92.6</v>
      </c>
      <c r="H71" s="26" cm="1">
        <f t="array" ref="H71">Common_InputFunctions.Utility_DisplayArrayInTable(Fuel_SourceData.Fuel_Scope1Scope3EmissionFactorsStationaryLiquid_Data(), Table_Fuel_EFs_StationaryLiquid[[#Headers],[Fuel combusted]],0)</f>
        <v>0.08</v>
      </c>
      <c r="I71" s="26" cm="1">
        <f t="array" ref="I71">Common_InputFunctions.Utility_DisplayArrayInTable(Fuel_SourceData.Fuel_Scope1Scope3EmissionFactorsStationaryLiquid_Data(), Table_Fuel_EFs_StationaryLiquid[[#Headers],[Fuel combusted]],0)</f>
        <v>0.2</v>
      </c>
      <c r="J71" s="26" cm="1">
        <f t="array" ref="J71">Common_InputFunctions.Utility_DisplayArrayInTable(Fuel_SourceData.Fuel_Scope1Scope3EmissionFactorsStationaryLiquid_Data(), Table_Fuel_EFs_StationaryLiquid[[#Headers],[Fuel combusted]],0)</f>
        <v>92.88</v>
      </c>
      <c r="K71" s="26" cm="1">
        <f t="array" ref="K71">Common_InputFunctions.Utility_DisplayArrayInTable(Fuel_SourceData.Fuel_Scope1Scope3EmissionFactorsStationaryLiquid_Data(), Table_Fuel_EFs_StationaryLiquid[[#Headers],[Fuel combusted]],0)</f>
        <v>18</v>
      </c>
      <c r="L71" s="17"/>
    </row>
    <row r="72" spans="1:13" ht="20.100000000000001" customHeight="1" x14ac:dyDescent="0.25">
      <c r="A72"/>
      <c r="D72" s="26" t="str" cm="1">
        <f t="array" ref="D72">Common_InputFunctions.Utility_DisplayArrayInTable(Fuel_SourceData.Fuel_Scope1Scope3EmissionFactorsStationaryLiquid_Data(), Table_Fuel_EFs_StationaryLiquid[[#Headers],[Fuel combusted]],0)</f>
        <v>Petroleum based products other than mentioned in the items above</v>
      </c>
      <c r="E72" s="26" cm="1">
        <f t="array" ref="E72">Common_InputFunctions.Utility_DisplayArrayInTable(Fuel_SourceData.Fuel_Scope1Scope3EmissionFactorsStationaryLiquid_Data(), Table_Fuel_EFs_StationaryLiquid[[#Headers],[Fuel combusted]],0)</f>
        <v>34.4</v>
      </c>
      <c r="F72" s="26" t="str" cm="1">
        <f t="array" ref="F72">Common_InputFunctions.Utility_DisplayArrayInTable(Fuel_SourceData.Fuel_Scope1Scope3EmissionFactorsStationaryLiquid_Data(), Table_Fuel_EFs_StationaryLiquid[[#Headers],[Fuel combusted]],0)</f>
        <v>kL</v>
      </c>
      <c r="G72" s="26" cm="1">
        <f t="array" ref="G72">Common_InputFunctions.Utility_DisplayArrayInTable(Fuel_SourceData.Fuel_Scope1Scope3EmissionFactorsStationaryLiquid_Data(), Table_Fuel_EFs_StationaryLiquid[[#Headers],[Fuel combusted]],0)</f>
        <v>69.8</v>
      </c>
      <c r="H72" s="26" cm="1">
        <f t="array" ref="H72">Common_InputFunctions.Utility_DisplayArrayInTable(Fuel_SourceData.Fuel_Scope1Scope3EmissionFactorsStationaryLiquid_Data(), Table_Fuel_EFs_StationaryLiquid[[#Headers],[Fuel combusted]],0)</f>
        <v>0.02</v>
      </c>
      <c r="I72" s="26" cm="1">
        <f t="array" ref="I72">Common_InputFunctions.Utility_DisplayArrayInTable(Fuel_SourceData.Fuel_Scope1Scope3EmissionFactorsStationaryLiquid_Data(), Table_Fuel_EFs_StationaryLiquid[[#Headers],[Fuel combusted]],0)</f>
        <v>0.1</v>
      </c>
      <c r="J72" s="26" cm="1">
        <f t="array" ref="J72">Common_InputFunctions.Utility_DisplayArrayInTable(Fuel_SourceData.Fuel_Scope1Scope3EmissionFactorsStationaryLiquid_Data(), Table_Fuel_EFs_StationaryLiquid[[#Headers],[Fuel combusted]],0)</f>
        <v>69.92</v>
      </c>
      <c r="K72" s="26" cm="1">
        <f t="array" ref="K72">Common_InputFunctions.Utility_DisplayArrayInTable(Fuel_SourceData.Fuel_Scope1Scope3EmissionFactorsStationaryLiquid_Data(), Table_Fuel_EFs_StationaryLiquid[[#Headers],[Fuel combusted]],0)</f>
        <v>18</v>
      </c>
      <c r="L72" s="17"/>
    </row>
    <row r="73" spans="1:13" ht="20.100000000000001" customHeight="1" x14ac:dyDescent="0.25">
      <c r="A73"/>
      <c r="D73" s="26" t="str" cm="1">
        <f t="array" ref="D73">Common_InputFunctions.Utility_DisplayArrayInTable(Fuel_SourceData.Fuel_Scope1Scope3EmissionFactorsStationaryLiquid_Data(), Table_Fuel_EFs_StationaryLiquid[[#Headers],[Fuel combusted]],0)</f>
        <v>Biodiesel</v>
      </c>
      <c r="E73" s="26" cm="1">
        <f t="array" ref="E73">Common_InputFunctions.Utility_DisplayArrayInTable(Fuel_SourceData.Fuel_Scope1Scope3EmissionFactorsStationaryLiquid_Data(), Table_Fuel_EFs_StationaryLiquid[[#Headers],[Fuel combusted]],0)</f>
        <v>34.6</v>
      </c>
      <c r="F73" s="26" t="str" cm="1">
        <f t="array" ref="F73">Common_InputFunctions.Utility_DisplayArrayInTable(Fuel_SourceData.Fuel_Scope1Scope3EmissionFactorsStationaryLiquid_Data(), Table_Fuel_EFs_StationaryLiquid[[#Headers],[Fuel combusted]],0)</f>
        <v>kL</v>
      </c>
      <c r="G73" s="26" cm="1">
        <f t="array" ref="G73">Common_InputFunctions.Utility_DisplayArrayInTable(Fuel_SourceData.Fuel_Scope1Scope3EmissionFactorsStationaryLiquid_Data(), Table_Fuel_EFs_StationaryLiquid[[#Headers],[Fuel combusted]],0)</f>
        <v>0</v>
      </c>
      <c r="H73" s="26" cm="1">
        <f t="array" ref="H73">Common_InputFunctions.Utility_DisplayArrayInTable(Fuel_SourceData.Fuel_Scope1Scope3EmissionFactorsStationaryLiquid_Data(), Table_Fuel_EFs_StationaryLiquid[[#Headers],[Fuel combusted]],0)</f>
        <v>0.08</v>
      </c>
      <c r="I73" s="26" cm="1">
        <f t="array" ref="I73">Common_InputFunctions.Utility_DisplayArrayInTable(Fuel_SourceData.Fuel_Scope1Scope3EmissionFactorsStationaryLiquid_Data(), Table_Fuel_EFs_StationaryLiquid[[#Headers],[Fuel combusted]],0)</f>
        <v>0.2</v>
      </c>
      <c r="J73" s="26" cm="1">
        <f t="array" ref="J73">Common_InputFunctions.Utility_DisplayArrayInTable(Fuel_SourceData.Fuel_Scope1Scope3EmissionFactorsStationaryLiquid_Data(), Table_Fuel_EFs_StationaryLiquid[[#Headers],[Fuel combusted]],0)</f>
        <v>0.28000000000000003</v>
      </c>
      <c r="K73" s="26" t="str" cm="1">
        <f t="array" ref="K73">Common_InputFunctions.Utility_DisplayArrayInTable(Fuel_SourceData.Fuel_Scope1Scope3EmissionFactorsStationaryLiquid_Data(), Table_Fuel_EFs_StationaryLiquid[[#Headers],[Fuel combusted]],0)</f>
        <v>NE</v>
      </c>
      <c r="L73" s="17"/>
    </row>
    <row r="74" spans="1:13" ht="20.100000000000001" customHeight="1" x14ac:dyDescent="0.25">
      <c r="A74"/>
      <c r="D74" s="26" t="str" cm="1">
        <f t="array" ref="D74">Common_InputFunctions.Utility_DisplayArrayInTable(Fuel_SourceData.Fuel_Scope1Scope3EmissionFactorsStationaryLiquid_Data(), Table_Fuel_EFs_StationaryLiquid[[#Headers],[Fuel combusted]],0)</f>
        <v>Ethanol for use as a fuel in an internal combustion engine</v>
      </c>
      <c r="E74" s="26" cm="1">
        <f t="array" ref="E74">Common_InputFunctions.Utility_DisplayArrayInTable(Fuel_SourceData.Fuel_Scope1Scope3EmissionFactorsStationaryLiquid_Data(), Table_Fuel_EFs_StationaryLiquid[[#Headers],[Fuel combusted]],0)</f>
        <v>23.4</v>
      </c>
      <c r="F74" s="26" t="str" cm="1">
        <f t="array" ref="F74">Common_InputFunctions.Utility_DisplayArrayInTable(Fuel_SourceData.Fuel_Scope1Scope3EmissionFactorsStationaryLiquid_Data(), Table_Fuel_EFs_StationaryLiquid[[#Headers],[Fuel combusted]],0)</f>
        <v>kL</v>
      </c>
      <c r="G74" s="26" cm="1">
        <f t="array" ref="G74">Common_InputFunctions.Utility_DisplayArrayInTable(Fuel_SourceData.Fuel_Scope1Scope3EmissionFactorsStationaryLiquid_Data(), Table_Fuel_EFs_StationaryLiquid[[#Headers],[Fuel combusted]],0)</f>
        <v>0</v>
      </c>
      <c r="H74" s="26" cm="1">
        <f t="array" ref="H74">Common_InputFunctions.Utility_DisplayArrayInTable(Fuel_SourceData.Fuel_Scope1Scope3EmissionFactorsStationaryLiquid_Data(), Table_Fuel_EFs_StationaryLiquid[[#Headers],[Fuel combusted]],0)</f>
        <v>0.08</v>
      </c>
      <c r="I74" s="26" cm="1">
        <f t="array" ref="I74">Common_InputFunctions.Utility_DisplayArrayInTable(Fuel_SourceData.Fuel_Scope1Scope3EmissionFactorsStationaryLiquid_Data(), Table_Fuel_EFs_StationaryLiquid[[#Headers],[Fuel combusted]],0)</f>
        <v>0.2</v>
      </c>
      <c r="J74" s="26" cm="1">
        <f t="array" ref="J74">Common_InputFunctions.Utility_DisplayArrayInTable(Fuel_SourceData.Fuel_Scope1Scope3EmissionFactorsStationaryLiquid_Data(), Table_Fuel_EFs_StationaryLiquid[[#Headers],[Fuel combusted]],0)</f>
        <v>0.28000000000000003</v>
      </c>
      <c r="K74" s="26" t="str" cm="1">
        <f t="array" ref="K74">Common_InputFunctions.Utility_DisplayArrayInTable(Fuel_SourceData.Fuel_Scope1Scope3EmissionFactorsStationaryLiquid_Data(), Table_Fuel_EFs_StationaryLiquid[[#Headers],[Fuel combusted]],0)</f>
        <v>NE</v>
      </c>
      <c r="L74" s="17"/>
    </row>
    <row r="75" spans="1:13" ht="20.100000000000001" customHeight="1" x14ac:dyDescent="0.25">
      <c r="A75"/>
      <c r="D75" s="26" t="str" cm="1">
        <f t="array" ref="D75">Common_InputFunctions.Utility_DisplayArrayInTable(Fuel_SourceData.Fuel_Scope1Scope3EmissionFactorsStationaryLiquid_Data(), Table_Fuel_EFs_StationaryLiquid[[#Headers],[Fuel combusted]],0)</f>
        <v>Biofuels other than those mentioned in the items above and below</v>
      </c>
      <c r="E75" s="26" cm="1">
        <f t="array" ref="E75">Common_InputFunctions.Utility_DisplayArrayInTable(Fuel_SourceData.Fuel_Scope1Scope3EmissionFactorsStationaryLiquid_Data(), Table_Fuel_EFs_StationaryLiquid[[#Headers],[Fuel combusted]],0)</f>
        <v>23.4</v>
      </c>
      <c r="F75" s="26" t="str" cm="1">
        <f t="array" ref="F75">Common_InputFunctions.Utility_DisplayArrayInTable(Fuel_SourceData.Fuel_Scope1Scope3EmissionFactorsStationaryLiquid_Data(), Table_Fuel_EFs_StationaryLiquid[[#Headers],[Fuel combusted]],0)</f>
        <v>kL</v>
      </c>
      <c r="G75" s="26" cm="1">
        <f t="array" ref="G75">Common_InputFunctions.Utility_DisplayArrayInTable(Fuel_SourceData.Fuel_Scope1Scope3EmissionFactorsStationaryLiquid_Data(), Table_Fuel_EFs_StationaryLiquid[[#Headers],[Fuel combusted]],0)</f>
        <v>0</v>
      </c>
      <c r="H75" s="26" cm="1">
        <f t="array" ref="H75">Common_InputFunctions.Utility_DisplayArrayInTable(Fuel_SourceData.Fuel_Scope1Scope3EmissionFactorsStationaryLiquid_Data(), Table_Fuel_EFs_StationaryLiquid[[#Headers],[Fuel combusted]],0)</f>
        <v>0.08</v>
      </c>
      <c r="I75" s="26" cm="1">
        <f t="array" ref="I75">Common_InputFunctions.Utility_DisplayArrayInTable(Fuel_SourceData.Fuel_Scope1Scope3EmissionFactorsStationaryLiquid_Data(), Table_Fuel_EFs_StationaryLiquid[[#Headers],[Fuel combusted]],0)</f>
        <v>0.2</v>
      </c>
      <c r="J75" s="26" cm="1">
        <f t="array" ref="J75">Common_InputFunctions.Utility_DisplayArrayInTable(Fuel_SourceData.Fuel_Scope1Scope3EmissionFactorsStationaryLiquid_Data(), Table_Fuel_EFs_StationaryLiquid[[#Headers],[Fuel combusted]],0)</f>
        <v>0.28000000000000003</v>
      </c>
      <c r="K75" s="26" t="str" cm="1">
        <f t="array" ref="K75">Common_InputFunctions.Utility_DisplayArrayInTable(Fuel_SourceData.Fuel_Scope1Scope3EmissionFactorsStationaryLiquid_Data(), Table_Fuel_EFs_StationaryLiquid[[#Headers],[Fuel combusted]],0)</f>
        <v>NE</v>
      </c>
      <c r="L75" s="17"/>
    </row>
    <row r="76" spans="1:13" ht="20.100000000000001" customHeight="1" x14ac:dyDescent="0.25">
      <c r="A76"/>
      <c r="D76" s="26" t="str" cm="1">
        <f t="array" ref="D76">Common_InputFunctions.Utility_DisplayArrayInTable(Fuel_SourceData.Fuel_Scope1Scope3EmissionFactorsStationaryLiquid_Data(), Table_Fuel_EFs_StationaryLiquid[[#Headers],[Fuel combusted]],0)</f>
        <v>Renewable aviation kerosene</v>
      </c>
      <c r="E76" s="26" cm="1">
        <f t="array" ref="E76">Common_InputFunctions.Utility_DisplayArrayInTable(Fuel_SourceData.Fuel_Scope1Scope3EmissionFactorsStationaryLiquid_Data(), Table_Fuel_EFs_StationaryLiquid[[#Headers],[Fuel combusted]],0)</f>
        <v>36.799999999999997</v>
      </c>
      <c r="F76" s="26" t="str" cm="1">
        <f t="array" ref="F76">Common_InputFunctions.Utility_DisplayArrayInTable(Fuel_SourceData.Fuel_Scope1Scope3EmissionFactorsStationaryLiquid_Data(), Table_Fuel_EFs_StationaryLiquid[[#Headers],[Fuel combusted]],0)</f>
        <v>kL</v>
      </c>
      <c r="G76" s="26" cm="1">
        <f t="array" ref="G76">Common_InputFunctions.Utility_DisplayArrayInTable(Fuel_SourceData.Fuel_Scope1Scope3EmissionFactorsStationaryLiquid_Data(), Table_Fuel_EFs_StationaryLiquid[[#Headers],[Fuel combusted]],0)</f>
        <v>0</v>
      </c>
      <c r="H76" s="26" cm="1">
        <f t="array" ref="H76">Common_InputFunctions.Utility_DisplayArrayInTable(Fuel_SourceData.Fuel_Scope1Scope3EmissionFactorsStationaryLiquid_Data(), Table_Fuel_EFs_StationaryLiquid[[#Headers],[Fuel combusted]],0)</f>
        <v>0.02</v>
      </c>
      <c r="I76" s="26" cm="1">
        <f t="array" ref="I76">Common_InputFunctions.Utility_DisplayArrayInTable(Fuel_SourceData.Fuel_Scope1Scope3EmissionFactorsStationaryLiquid_Data(), Table_Fuel_EFs_StationaryLiquid[[#Headers],[Fuel combusted]],0)</f>
        <v>0.2</v>
      </c>
      <c r="J76" s="26" cm="1">
        <f t="array" ref="J76">Common_InputFunctions.Utility_DisplayArrayInTable(Fuel_SourceData.Fuel_Scope1Scope3EmissionFactorsStationaryLiquid_Data(), Table_Fuel_EFs_StationaryLiquid[[#Headers],[Fuel combusted]],0)</f>
        <v>0.22</v>
      </c>
      <c r="K76" s="26" t="str" cm="1">
        <f t="array" ref="K76">Common_InputFunctions.Utility_DisplayArrayInTable(Fuel_SourceData.Fuel_Scope1Scope3EmissionFactorsStationaryLiquid_Data(), Table_Fuel_EFs_StationaryLiquid[[#Headers],[Fuel combusted]],0)</f>
        <v>NE</v>
      </c>
      <c r="L76" s="17"/>
    </row>
    <row r="77" spans="1:13" ht="20.100000000000001" customHeight="1" x14ac:dyDescent="0.25">
      <c r="A77"/>
      <c r="D77" s="26" t="str" cm="1">
        <f t="array" ref="D77">Common_InputFunctions.Utility_DisplayArrayInTable(Fuel_SourceData.Fuel_Scope1Scope3EmissionFactorsStationaryLiquid_Data(), Table_Fuel_EFs_StationaryLiquid[[#Headers],[Fuel combusted]],0)</f>
        <v>Renewable diesel</v>
      </c>
      <c r="E77" s="26" cm="1">
        <f t="array" ref="E77">Common_InputFunctions.Utility_DisplayArrayInTable(Fuel_SourceData.Fuel_Scope1Scope3EmissionFactorsStationaryLiquid_Data(), Table_Fuel_EFs_StationaryLiquid[[#Headers],[Fuel combusted]],0)</f>
        <v>38.6</v>
      </c>
      <c r="F77" s="26" t="str" cm="1">
        <f t="array" ref="F77">Common_InputFunctions.Utility_DisplayArrayInTable(Fuel_SourceData.Fuel_Scope1Scope3EmissionFactorsStationaryLiquid_Data(), Table_Fuel_EFs_StationaryLiquid[[#Headers],[Fuel combusted]],0)</f>
        <v>kL</v>
      </c>
      <c r="G77" s="26" cm="1">
        <f t="array" ref="G77">Common_InputFunctions.Utility_DisplayArrayInTable(Fuel_SourceData.Fuel_Scope1Scope3EmissionFactorsStationaryLiquid_Data(), Table_Fuel_EFs_StationaryLiquid[[#Headers],[Fuel combusted]],0)</f>
        <v>0</v>
      </c>
      <c r="H77" s="26" cm="1">
        <f t="array" ref="H77">Common_InputFunctions.Utility_DisplayArrayInTable(Fuel_SourceData.Fuel_Scope1Scope3EmissionFactorsStationaryLiquid_Data(), Table_Fuel_EFs_StationaryLiquid[[#Headers],[Fuel combusted]],0)</f>
        <v>0.1</v>
      </c>
      <c r="I77" s="26" cm="1">
        <f t="array" ref="I77">Common_InputFunctions.Utility_DisplayArrayInTable(Fuel_SourceData.Fuel_Scope1Scope3EmissionFactorsStationaryLiquid_Data(), Table_Fuel_EFs_StationaryLiquid[[#Headers],[Fuel combusted]],0)</f>
        <v>0.2</v>
      </c>
      <c r="J77" s="26" cm="1">
        <f t="array" ref="J77">Common_InputFunctions.Utility_DisplayArrayInTable(Fuel_SourceData.Fuel_Scope1Scope3EmissionFactorsStationaryLiquid_Data(), Table_Fuel_EFs_StationaryLiquid[[#Headers],[Fuel combusted]],0)</f>
        <v>0.3</v>
      </c>
      <c r="K77" s="26" t="str" cm="1">
        <f t="array" ref="K77">Common_InputFunctions.Utility_DisplayArrayInTable(Fuel_SourceData.Fuel_Scope1Scope3EmissionFactorsStationaryLiquid_Data(), Table_Fuel_EFs_StationaryLiquid[[#Headers],[Fuel combusted]],0)</f>
        <v>NE</v>
      </c>
      <c r="L77" s="17"/>
    </row>
    <row r="78" spans="1:13" ht="20.100000000000001" customHeight="1" x14ac:dyDescent="0.25">
      <c r="A78"/>
      <c r="D78" s="17"/>
      <c r="E78" s="17"/>
      <c r="F78" s="17"/>
      <c r="G78" s="17"/>
      <c r="H78" s="17"/>
      <c r="I78" s="17"/>
      <c r="J78" s="17"/>
      <c r="K78" s="17"/>
      <c r="L78" s="17"/>
    </row>
    <row r="79" spans="1:13" ht="20.100000000000001" customHeight="1" x14ac:dyDescent="0.25">
      <c r="A79"/>
      <c r="D79" s="17"/>
      <c r="E79" s="17"/>
      <c r="F79" s="17"/>
      <c r="G79" s="17"/>
      <c r="H79" s="17"/>
      <c r="I79" s="17"/>
      <c r="J79" s="17"/>
      <c r="K79" s="17"/>
      <c r="L79" s="17"/>
      <c r="M79" s="17"/>
    </row>
    <row r="80" spans="1:13" ht="20.100000000000001" customHeight="1" x14ac:dyDescent="0.25">
      <c r="A80"/>
      <c r="D80" s="17"/>
      <c r="E80" s="17"/>
      <c r="F80" s="17"/>
      <c r="G80" s="17"/>
      <c r="H80" s="17"/>
      <c r="I80" s="17"/>
      <c r="J80" s="17"/>
      <c r="K80" s="17"/>
      <c r="L80" s="17"/>
      <c r="M80" s="17"/>
    </row>
    <row r="81" spans="1:12" ht="20.100000000000001" customHeight="1" x14ac:dyDescent="0.25">
      <c r="A81"/>
      <c r="D81" s="9" t="str" cm="1">
        <f t="array" ref="D81">Fuel_SourceData.Fuel_Scope1EmissionFactorsStationaryGaseous_Title()</f>
        <v>Fuel scope 1 emission factors - Stationary gaseous fuels</v>
      </c>
      <c r="E81" s="17"/>
      <c r="F81" s="17"/>
      <c r="G81" s="17"/>
      <c r="H81" s="17"/>
      <c r="I81" s="17"/>
      <c r="J81" s="17"/>
      <c r="K81" s="17"/>
      <c r="L81" s="17"/>
    </row>
    <row r="82" spans="1:12" ht="20.100000000000001" customHeight="1" x14ac:dyDescent="0.25">
      <c r="A82"/>
      <c r="D82" s="8" t="str" cm="1">
        <f t="array" ref="D82">Fuel_SourceData.Fuel_Scope1EmissionFactorsStationaryGaseous_Description()</f>
        <v xml:space="preserve">Direct (Scope 1) emission factors for the consumption of gaseous fuels including liquefied natural gas  </v>
      </c>
      <c r="E82" s="17"/>
      <c r="F82" s="17"/>
      <c r="G82" s="17"/>
      <c r="H82" s="17"/>
      <c r="I82" s="17"/>
      <c r="J82" s="17"/>
      <c r="K82" s="17"/>
      <c r="L82" s="17"/>
    </row>
    <row r="83" spans="1:12" ht="20.100000000000001" customHeight="1" x14ac:dyDescent="0.25">
      <c r="A83"/>
      <c r="D83" s="11" t="str" cm="1">
        <f t="array" ref="D83">Fuel_SourceData.Fuel_Scope1EmissionFactorsStationaryGaseous_Source()</f>
        <v>Australian National Greenhouse Accounts Factors 2025 - Table 5</v>
      </c>
      <c r="E83" s="17"/>
      <c r="F83" s="17"/>
      <c r="G83" s="17"/>
      <c r="H83" s="17"/>
      <c r="I83" s="17"/>
      <c r="J83" s="17"/>
      <c r="K83" s="17"/>
      <c r="L83" s="17"/>
    </row>
    <row r="84" spans="1:12" ht="20.100000000000001" customHeight="1" x14ac:dyDescent="0.25">
      <c r="A84"/>
      <c r="D84" s="12"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7"/>
      <c r="F84" s="17"/>
      <c r="G84" s="17"/>
      <c r="H84" s="17"/>
      <c r="I84" s="17"/>
      <c r="J84" s="17"/>
      <c r="K84" s="17"/>
      <c r="L84" s="17"/>
    </row>
    <row r="85" spans="1:12" ht="20.100000000000001" customHeight="1" x14ac:dyDescent="0.25">
      <c r="A85"/>
      <c r="D85" s="17"/>
      <c r="E85" s="17"/>
      <c r="F85" s="17"/>
      <c r="G85" s="17"/>
      <c r="H85" s="17"/>
      <c r="I85" s="17"/>
      <c r="J85" s="17"/>
      <c r="K85" s="17"/>
      <c r="L85" s="17"/>
    </row>
    <row r="86" spans="1:12" ht="20.100000000000001" customHeight="1" x14ac:dyDescent="0.25">
      <c r="A86"/>
      <c r="D86" s="25" t="s">
        <v>69</v>
      </c>
      <c r="E86" s="20" t="s">
        <v>70</v>
      </c>
      <c r="F86" s="25" t="s">
        <v>71</v>
      </c>
      <c r="G86" s="20" t="s">
        <v>72</v>
      </c>
      <c r="H86" s="20" t="s">
        <v>73</v>
      </c>
      <c r="I86" s="20" t="s">
        <v>74</v>
      </c>
      <c r="J86" s="20" t="s">
        <v>75</v>
      </c>
      <c r="K86" s="17"/>
      <c r="L86" s="17"/>
    </row>
    <row r="87" spans="1:12" ht="20.100000000000001" customHeight="1" x14ac:dyDescent="0.25">
      <c r="A87"/>
      <c r="D87" s="26" t="str" cm="1">
        <f t="array" ref="D87">Common_InputFunctions.Utility_DisplayArrayInTable(Fuel_SourceData.Fuel_Scope1EmissionFactorsStationaryGaseous_Data(), Table_Fuel_EFs_StationaryGaseous[[#Headers],[Fuel combusted]],0)</f>
        <v>Natural gas distributed in a pipeline</v>
      </c>
      <c r="E87" s="26" cm="1">
        <f t="array" ref="E87">Common_InputFunctions.Utility_DisplayArrayInTable(Fuel_SourceData.Fuel_Scope1EmissionFactorsStationaryGaseous_Data(), Table_Fuel_EFs_StationaryGaseous[[#Headers],[Fuel combusted]],0)</f>
        <v>3.9300000000000002E-2</v>
      </c>
      <c r="F87" s="26" t="str" cm="1">
        <f t="array" ref="F87">Common_InputFunctions.Utility_DisplayArrayInTable(Fuel_SourceData.Fuel_Scope1EmissionFactorsStationaryGaseous_Data(), Table_Fuel_EFs_StationaryGaseous[[#Headers],[Fuel combusted]],0)</f>
        <v>m3</v>
      </c>
      <c r="G87" s="26" cm="1">
        <f t="array" ref="G87">Common_InputFunctions.Utility_DisplayArrayInTable(Fuel_SourceData.Fuel_Scope1EmissionFactorsStationaryGaseous_Data(), Table_Fuel_EFs_StationaryGaseous[[#Headers],[Fuel combusted]],0)</f>
        <v>51.4</v>
      </c>
      <c r="H87" s="26" cm="1">
        <f t="array" ref="H87">Common_InputFunctions.Utility_DisplayArrayInTable(Fuel_SourceData.Fuel_Scope1EmissionFactorsStationaryGaseous_Data(), Table_Fuel_EFs_StationaryGaseous[[#Headers],[Fuel combusted]],0)</f>
        <v>0.1</v>
      </c>
      <c r="I87" s="26" cm="1">
        <f t="array" ref="I87">Common_InputFunctions.Utility_DisplayArrayInTable(Fuel_SourceData.Fuel_Scope1EmissionFactorsStationaryGaseous_Data(), Table_Fuel_EFs_StationaryGaseous[[#Headers],[Fuel combusted]],0)</f>
        <v>0.03</v>
      </c>
      <c r="J87" s="26" cm="1">
        <f t="array" ref="J87">Common_InputFunctions.Utility_DisplayArrayInTable(Fuel_SourceData.Fuel_Scope1EmissionFactorsStationaryGaseous_Data(), Table_Fuel_EFs_StationaryGaseous[[#Headers],[Fuel combusted]],0)</f>
        <v>51.53</v>
      </c>
      <c r="K87" s="17"/>
      <c r="L87" s="17"/>
    </row>
    <row r="88" spans="1:12" ht="20.100000000000001" customHeight="1" x14ac:dyDescent="0.25">
      <c r="A88"/>
      <c r="D88" s="26" t="str" cm="1">
        <f t="array" ref="D88">Common_InputFunctions.Utility_DisplayArrayInTable(Fuel_SourceData.Fuel_Scope1EmissionFactorsStationaryGaseous_Data(), Table_Fuel_EFs_StationaryGaseous[[#Headers],[Fuel combusted]],0)</f>
        <v>Coal seam methane that is captured for combustion</v>
      </c>
      <c r="E88" s="26" cm="1">
        <f t="array" ref="E88">Common_InputFunctions.Utility_DisplayArrayInTable(Fuel_SourceData.Fuel_Scope1EmissionFactorsStationaryGaseous_Data(), Table_Fuel_EFs_StationaryGaseous[[#Headers],[Fuel combusted]],0)</f>
        <v>3.7699999999999997E-2</v>
      </c>
      <c r="F88" s="26" t="str" cm="1">
        <f t="array" ref="F88">Common_InputFunctions.Utility_DisplayArrayInTable(Fuel_SourceData.Fuel_Scope1EmissionFactorsStationaryGaseous_Data(), Table_Fuel_EFs_StationaryGaseous[[#Headers],[Fuel combusted]],0)</f>
        <v>m3</v>
      </c>
      <c r="G88" s="26" cm="1">
        <f t="array" ref="G88">Common_InputFunctions.Utility_DisplayArrayInTable(Fuel_SourceData.Fuel_Scope1EmissionFactorsStationaryGaseous_Data(), Table_Fuel_EFs_StationaryGaseous[[#Headers],[Fuel combusted]],0)</f>
        <v>51.4</v>
      </c>
      <c r="H88" s="26" cm="1">
        <f t="array" ref="H88">Common_InputFunctions.Utility_DisplayArrayInTable(Fuel_SourceData.Fuel_Scope1EmissionFactorsStationaryGaseous_Data(), Table_Fuel_EFs_StationaryGaseous[[#Headers],[Fuel combusted]],0)</f>
        <v>0.2</v>
      </c>
      <c r="I88" s="26" cm="1">
        <f t="array" ref="I88">Common_InputFunctions.Utility_DisplayArrayInTable(Fuel_SourceData.Fuel_Scope1EmissionFactorsStationaryGaseous_Data(), Table_Fuel_EFs_StationaryGaseous[[#Headers],[Fuel combusted]],0)</f>
        <v>0.03</v>
      </c>
      <c r="J88" s="26" cm="1">
        <f t="array" ref="J88">Common_InputFunctions.Utility_DisplayArrayInTable(Fuel_SourceData.Fuel_Scope1EmissionFactorsStationaryGaseous_Data(), Table_Fuel_EFs_StationaryGaseous[[#Headers],[Fuel combusted]],0)</f>
        <v>51.63</v>
      </c>
      <c r="K88" s="17"/>
      <c r="L88" s="17"/>
    </row>
    <row r="89" spans="1:12" ht="20.100000000000001" customHeight="1" x14ac:dyDescent="0.25">
      <c r="A89"/>
      <c r="D89" s="26" t="str" cm="1">
        <f t="array" ref="D89">Common_InputFunctions.Utility_DisplayArrayInTable(Fuel_SourceData.Fuel_Scope1EmissionFactorsStationaryGaseous_Data(), Table_Fuel_EFs_StationaryGaseous[[#Headers],[Fuel combusted]],0)</f>
        <v>Coal mine waste gas that is captured for combustion</v>
      </c>
      <c r="E89" s="26" cm="1">
        <f t="array" ref="E89">Common_InputFunctions.Utility_DisplayArrayInTable(Fuel_SourceData.Fuel_Scope1EmissionFactorsStationaryGaseous_Data(), Table_Fuel_EFs_StationaryGaseous[[#Headers],[Fuel combusted]],0)</f>
        <v>3.7699999999999997E-2</v>
      </c>
      <c r="F89" s="26" t="str" cm="1">
        <f t="array" ref="F89">Common_InputFunctions.Utility_DisplayArrayInTable(Fuel_SourceData.Fuel_Scope1EmissionFactorsStationaryGaseous_Data(), Table_Fuel_EFs_StationaryGaseous[[#Headers],[Fuel combusted]],0)</f>
        <v>m3</v>
      </c>
      <c r="G89" s="26" cm="1">
        <f t="array" ref="G89">Common_InputFunctions.Utility_DisplayArrayInTable(Fuel_SourceData.Fuel_Scope1EmissionFactorsStationaryGaseous_Data(), Table_Fuel_EFs_StationaryGaseous[[#Headers],[Fuel combusted]],0)</f>
        <v>51.9</v>
      </c>
      <c r="H89" s="26" cm="1">
        <f t="array" ref="H89">Common_InputFunctions.Utility_DisplayArrayInTable(Fuel_SourceData.Fuel_Scope1EmissionFactorsStationaryGaseous_Data(), Table_Fuel_EFs_StationaryGaseous[[#Headers],[Fuel combusted]],0)</f>
        <v>4.5999999999999996</v>
      </c>
      <c r="I89" s="26" cm="1">
        <f t="array" ref="I89">Common_InputFunctions.Utility_DisplayArrayInTable(Fuel_SourceData.Fuel_Scope1EmissionFactorsStationaryGaseous_Data(), Table_Fuel_EFs_StationaryGaseous[[#Headers],[Fuel combusted]],0)</f>
        <v>0.3</v>
      </c>
      <c r="J89" s="26" cm="1">
        <f t="array" ref="J89">Common_InputFunctions.Utility_DisplayArrayInTable(Fuel_SourceData.Fuel_Scope1EmissionFactorsStationaryGaseous_Data(), Table_Fuel_EFs_StationaryGaseous[[#Headers],[Fuel combusted]],0)</f>
        <v>56.8</v>
      </c>
      <c r="K89" s="17"/>
      <c r="L89" s="17"/>
    </row>
    <row r="90" spans="1:12" ht="20.100000000000001" customHeight="1" x14ac:dyDescent="0.25">
      <c r="A90"/>
      <c r="D90" s="26" t="str" cm="1">
        <f t="array" ref="D90">Common_InputFunctions.Utility_DisplayArrayInTable(Fuel_SourceData.Fuel_Scope1EmissionFactorsStationaryGaseous_Data(), Table_Fuel_EFs_StationaryGaseous[[#Headers],[Fuel combusted]],0)</f>
        <v>Compressed natural gas(reverting to standard conditions)</v>
      </c>
      <c r="E90" s="26" cm="1">
        <f t="array" ref="E90">Common_InputFunctions.Utility_DisplayArrayInTable(Fuel_SourceData.Fuel_Scope1EmissionFactorsStationaryGaseous_Data(), Table_Fuel_EFs_StationaryGaseous[[#Headers],[Fuel combusted]],0)</f>
        <v>3.9300000000000002E-2</v>
      </c>
      <c r="F90" s="26" t="str" cm="1">
        <f t="array" ref="F90">Common_InputFunctions.Utility_DisplayArrayInTable(Fuel_SourceData.Fuel_Scope1EmissionFactorsStationaryGaseous_Data(), Table_Fuel_EFs_StationaryGaseous[[#Headers],[Fuel combusted]],0)</f>
        <v>m3</v>
      </c>
      <c r="G90" s="26" cm="1">
        <f t="array" ref="G90">Common_InputFunctions.Utility_DisplayArrayInTable(Fuel_SourceData.Fuel_Scope1EmissionFactorsStationaryGaseous_Data(), Table_Fuel_EFs_StationaryGaseous[[#Headers],[Fuel combusted]],0)</f>
        <v>51.4</v>
      </c>
      <c r="H90" s="26" cm="1">
        <f t="array" ref="H90">Common_InputFunctions.Utility_DisplayArrayInTable(Fuel_SourceData.Fuel_Scope1EmissionFactorsStationaryGaseous_Data(), Table_Fuel_EFs_StationaryGaseous[[#Headers],[Fuel combusted]],0)</f>
        <v>0.1</v>
      </c>
      <c r="I90" s="26" cm="1">
        <f t="array" ref="I90">Common_InputFunctions.Utility_DisplayArrayInTable(Fuel_SourceData.Fuel_Scope1EmissionFactorsStationaryGaseous_Data(), Table_Fuel_EFs_StationaryGaseous[[#Headers],[Fuel combusted]],0)</f>
        <v>0.03</v>
      </c>
      <c r="J90" s="26" cm="1">
        <f t="array" ref="J90">Common_InputFunctions.Utility_DisplayArrayInTable(Fuel_SourceData.Fuel_Scope1EmissionFactorsStationaryGaseous_Data(), Table_Fuel_EFs_StationaryGaseous[[#Headers],[Fuel combusted]],0)</f>
        <v>51.53</v>
      </c>
      <c r="K90" s="17"/>
      <c r="L90" s="17"/>
    </row>
    <row r="91" spans="1:12" ht="20.100000000000001" customHeight="1" x14ac:dyDescent="0.25">
      <c r="A91"/>
      <c r="D91" s="26" t="str" cm="1">
        <f t="array" ref="D91">Common_InputFunctions.Utility_DisplayArrayInTable(Fuel_SourceData.Fuel_Scope1EmissionFactorsStationaryGaseous_Data(), Table_Fuel_EFs_StationaryGaseous[[#Headers],[Fuel combusted]],0)</f>
        <v>Unprocessed natural gas</v>
      </c>
      <c r="E91" s="26" cm="1">
        <f t="array" ref="E91">Common_InputFunctions.Utility_DisplayArrayInTable(Fuel_SourceData.Fuel_Scope1EmissionFactorsStationaryGaseous_Data(), Table_Fuel_EFs_StationaryGaseous[[#Headers],[Fuel combusted]],0)</f>
        <v>3.9300000000000002E-2</v>
      </c>
      <c r="F91" s="26" t="str" cm="1">
        <f t="array" ref="F91">Common_InputFunctions.Utility_DisplayArrayInTable(Fuel_SourceData.Fuel_Scope1EmissionFactorsStationaryGaseous_Data(), Table_Fuel_EFs_StationaryGaseous[[#Headers],[Fuel combusted]],0)</f>
        <v>m3</v>
      </c>
      <c r="G91" s="26" cm="1">
        <f t="array" ref="G91">Common_InputFunctions.Utility_DisplayArrayInTable(Fuel_SourceData.Fuel_Scope1EmissionFactorsStationaryGaseous_Data(), Table_Fuel_EFs_StationaryGaseous[[#Headers],[Fuel combusted]],0)</f>
        <v>51.4</v>
      </c>
      <c r="H91" s="26" cm="1">
        <f t="array" ref="H91">Common_InputFunctions.Utility_DisplayArrayInTable(Fuel_SourceData.Fuel_Scope1EmissionFactorsStationaryGaseous_Data(), Table_Fuel_EFs_StationaryGaseous[[#Headers],[Fuel combusted]],0)</f>
        <v>0.1</v>
      </c>
      <c r="I91" s="26" cm="1">
        <f t="array" ref="I91">Common_InputFunctions.Utility_DisplayArrayInTable(Fuel_SourceData.Fuel_Scope1EmissionFactorsStationaryGaseous_Data(), Table_Fuel_EFs_StationaryGaseous[[#Headers],[Fuel combusted]],0)</f>
        <v>0.03</v>
      </c>
      <c r="J91" s="26" cm="1">
        <f t="array" ref="J91">Common_InputFunctions.Utility_DisplayArrayInTable(Fuel_SourceData.Fuel_Scope1EmissionFactorsStationaryGaseous_Data(), Table_Fuel_EFs_StationaryGaseous[[#Headers],[Fuel combusted]],0)</f>
        <v>51.53</v>
      </c>
      <c r="K91" s="17"/>
      <c r="L91" s="17"/>
    </row>
    <row r="92" spans="1:12" ht="20.100000000000001" customHeight="1" x14ac:dyDescent="0.25">
      <c r="A92"/>
      <c r="D92" s="26" t="str" cm="1">
        <f t="array" ref="D92">Common_InputFunctions.Utility_DisplayArrayInTable(Fuel_SourceData.Fuel_Scope1EmissionFactorsStationaryGaseous_Data(), Table_Fuel_EFs_StationaryGaseous[[#Headers],[Fuel combusted]],0)</f>
        <v>Ethane</v>
      </c>
      <c r="E92" s="26" cm="1">
        <f t="array" ref="E92">Common_InputFunctions.Utility_DisplayArrayInTable(Fuel_SourceData.Fuel_Scope1EmissionFactorsStationaryGaseous_Data(), Table_Fuel_EFs_StationaryGaseous[[#Headers],[Fuel combusted]],0)</f>
        <v>6.2899999999999998E-2</v>
      </c>
      <c r="F92" s="26" t="str" cm="1">
        <f t="array" ref="F92">Common_InputFunctions.Utility_DisplayArrayInTable(Fuel_SourceData.Fuel_Scope1EmissionFactorsStationaryGaseous_Data(), Table_Fuel_EFs_StationaryGaseous[[#Headers],[Fuel combusted]],0)</f>
        <v>m3</v>
      </c>
      <c r="G92" s="26" cm="1">
        <f t="array" ref="G92">Common_InputFunctions.Utility_DisplayArrayInTable(Fuel_SourceData.Fuel_Scope1EmissionFactorsStationaryGaseous_Data(), Table_Fuel_EFs_StationaryGaseous[[#Headers],[Fuel combusted]],0)</f>
        <v>56.5</v>
      </c>
      <c r="H92" s="26" cm="1">
        <f t="array" ref="H92">Common_InputFunctions.Utility_DisplayArrayInTable(Fuel_SourceData.Fuel_Scope1EmissionFactorsStationaryGaseous_Data(), Table_Fuel_EFs_StationaryGaseous[[#Headers],[Fuel combusted]],0)</f>
        <v>0.03</v>
      </c>
      <c r="I92" s="26" cm="1">
        <f t="array" ref="I92">Common_InputFunctions.Utility_DisplayArrayInTable(Fuel_SourceData.Fuel_Scope1EmissionFactorsStationaryGaseous_Data(), Table_Fuel_EFs_StationaryGaseous[[#Headers],[Fuel combusted]],0)</f>
        <v>0.03</v>
      </c>
      <c r="J92" s="26" cm="1">
        <f t="array" ref="J92">Common_InputFunctions.Utility_DisplayArrayInTable(Fuel_SourceData.Fuel_Scope1EmissionFactorsStationaryGaseous_Data(), Table_Fuel_EFs_StationaryGaseous[[#Headers],[Fuel combusted]],0)</f>
        <v>56.56</v>
      </c>
      <c r="K92" s="17"/>
      <c r="L92" s="17"/>
    </row>
    <row r="93" spans="1:12" ht="20.100000000000001" customHeight="1" x14ac:dyDescent="0.25">
      <c r="A93"/>
      <c r="D93" s="26" t="str" cm="1">
        <f t="array" ref="D93">Common_InputFunctions.Utility_DisplayArrayInTable(Fuel_SourceData.Fuel_Scope1EmissionFactorsStationaryGaseous_Data(), Table_Fuel_EFs_StationaryGaseous[[#Headers],[Fuel combusted]],0)</f>
        <v>Coke oven gas</v>
      </c>
      <c r="E93" s="26" cm="1">
        <f t="array" ref="E93">Common_InputFunctions.Utility_DisplayArrayInTable(Fuel_SourceData.Fuel_Scope1EmissionFactorsStationaryGaseous_Data(), Table_Fuel_EFs_StationaryGaseous[[#Headers],[Fuel combusted]],0)</f>
        <v>1.8100000000000002E-2</v>
      </c>
      <c r="F93" s="26" t="str" cm="1">
        <f t="array" ref="F93">Common_InputFunctions.Utility_DisplayArrayInTable(Fuel_SourceData.Fuel_Scope1EmissionFactorsStationaryGaseous_Data(), Table_Fuel_EFs_StationaryGaseous[[#Headers],[Fuel combusted]],0)</f>
        <v>m3</v>
      </c>
      <c r="G93" s="26" cm="1">
        <f t="array" ref="G93">Common_InputFunctions.Utility_DisplayArrayInTable(Fuel_SourceData.Fuel_Scope1EmissionFactorsStationaryGaseous_Data(), Table_Fuel_EFs_StationaryGaseous[[#Headers],[Fuel combusted]],0)</f>
        <v>37</v>
      </c>
      <c r="H93" s="26" cm="1">
        <f t="array" ref="H93">Common_InputFunctions.Utility_DisplayArrayInTable(Fuel_SourceData.Fuel_Scope1EmissionFactorsStationaryGaseous_Data(), Table_Fuel_EFs_StationaryGaseous[[#Headers],[Fuel combusted]],0)</f>
        <v>0.03</v>
      </c>
      <c r="I93" s="26" cm="1">
        <f t="array" ref="I93">Common_InputFunctions.Utility_DisplayArrayInTable(Fuel_SourceData.Fuel_Scope1EmissionFactorsStationaryGaseous_Data(), Table_Fuel_EFs_StationaryGaseous[[#Headers],[Fuel combusted]],0)</f>
        <v>0.05</v>
      </c>
      <c r="J93" s="26" cm="1">
        <f t="array" ref="J93">Common_InputFunctions.Utility_DisplayArrayInTable(Fuel_SourceData.Fuel_Scope1EmissionFactorsStationaryGaseous_Data(), Table_Fuel_EFs_StationaryGaseous[[#Headers],[Fuel combusted]],0)</f>
        <v>37.08</v>
      </c>
      <c r="K93" s="17"/>
      <c r="L93" s="17"/>
    </row>
    <row r="94" spans="1:12" ht="20.100000000000001" customHeight="1" x14ac:dyDescent="0.25">
      <c r="A94"/>
      <c r="D94" s="26" t="str" cm="1">
        <f t="array" ref="D94">Common_InputFunctions.Utility_DisplayArrayInTable(Fuel_SourceData.Fuel_Scope1EmissionFactorsStationaryGaseous_Data(), Table_Fuel_EFs_StationaryGaseous[[#Headers],[Fuel combusted]],0)</f>
        <v>Blast furnace gas</v>
      </c>
      <c r="E94" s="26" cm="1">
        <f t="array" ref="E94">Common_InputFunctions.Utility_DisplayArrayInTable(Fuel_SourceData.Fuel_Scope1EmissionFactorsStationaryGaseous_Data(), Table_Fuel_EFs_StationaryGaseous[[#Headers],[Fuel combusted]],0)</f>
        <v>4.0000000000000001E-3</v>
      </c>
      <c r="F94" s="26" t="str" cm="1">
        <f t="array" ref="F94">Common_InputFunctions.Utility_DisplayArrayInTable(Fuel_SourceData.Fuel_Scope1EmissionFactorsStationaryGaseous_Data(), Table_Fuel_EFs_StationaryGaseous[[#Headers],[Fuel combusted]],0)</f>
        <v>m3</v>
      </c>
      <c r="G94" s="26" cm="1">
        <f t="array" ref="G94">Common_InputFunctions.Utility_DisplayArrayInTable(Fuel_SourceData.Fuel_Scope1EmissionFactorsStationaryGaseous_Data(), Table_Fuel_EFs_StationaryGaseous[[#Headers],[Fuel combusted]],0)</f>
        <v>234</v>
      </c>
      <c r="H94" s="26" cm="1">
        <f t="array" ref="H94">Common_InputFunctions.Utility_DisplayArrayInTable(Fuel_SourceData.Fuel_Scope1EmissionFactorsStationaryGaseous_Data(), Table_Fuel_EFs_StationaryGaseous[[#Headers],[Fuel combusted]],0)</f>
        <v>0.03</v>
      </c>
      <c r="I94" s="26" cm="1">
        <f t="array" ref="I94">Common_InputFunctions.Utility_DisplayArrayInTable(Fuel_SourceData.Fuel_Scope1EmissionFactorsStationaryGaseous_Data(), Table_Fuel_EFs_StationaryGaseous[[#Headers],[Fuel combusted]],0)</f>
        <v>0.02</v>
      </c>
      <c r="J94" s="26" cm="1">
        <f t="array" ref="J94">Common_InputFunctions.Utility_DisplayArrayInTable(Fuel_SourceData.Fuel_Scope1EmissionFactorsStationaryGaseous_Data(), Table_Fuel_EFs_StationaryGaseous[[#Headers],[Fuel combusted]],0)</f>
        <v>234.05</v>
      </c>
      <c r="K94" s="17"/>
      <c r="L94" s="17"/>
    </row>
    <row r="95" spans="1:12" ht="20.100000000000001" customHeight="1" x14ac:dyDescent="0.25">
      <c r="A95"/>
      <c r="D95" s="26" t="str" cm="1">
        <f t="array" ref="D95">Common_InputFunctions.Utility_DisplayArrayInTable(Fuel_SourceData.Fuel_Scope1EmissionFactorsStationaryGaseous_Data(), Table_Fuel_EFs_StationaryGaseous[[#Headers],[Fuel combusted]],0)</f>
        <v>Town gas</v>
      </c>
      <c r="E95" s="26" cm="1">
        <f t="array" ref="E95">Common_InputFunctions.Utility_DisplayArrayInTable(Fuel_SourceData.Fuel_Scope1EmissionFactorsStationaryGaseous_Data(), Table_Fuel_EFs_StationaryGaseous[[#Headers],[Fuel combusted]],0)</f>
        <v>3.9E-2</v>
      </c>
      <c r="F95" s="26" t="str" cm="1">
        <f t="array" ref="F95">Common_InputFunctions.Utility_DisplayArrayInTable(Fuel_SourceData.Fuel_Scope1EmissionFactorsStationaryGaseous_Data(), Table_Fuel_EFs_StationaryGaseous[[#Headers],[Fuel combusted]],0)</f>
        <v>m3</v>
      </c>
      <c r="G95" s="26" cm="1">
        <f t="array" ref="G95">Common_InputFunctions.Utility_DisplayArrayInTable(Fuel_SourceData.Fuel_Scope1EmissionFactorsStationaryGaseous_Data(), Table_Fuel_EFs_StationaryGaseous[[#Headers],[Fuel combusted]],0)</f>
        <v>60.2</v>
      </c>
      <c r="H95" s="26" cm="1">
        <f t="array" ref="H95">Common_InputFunctions.Utility_DisplayArrayInTable(Fuel_SourceData.Fuel_Scope1EmissionFactorsStationaryGaseous_Data(), Table_Fuel_EFs_StationaryGaseous[[#Headers],[Fuel combusted]],0)</f>
        <v>0.04</v>
      </c>
      <c r="I95" s="26" cm="1">
        <f t="array" ref="I95">Common_InputFunctions.Utility_DisplayArrayInTable(Fuel_SourceData.Fuel_Scope1EmissionFactorsStationaryGaseous_Data(), Table_Fuel_EFs_StationaryGaseous[[#Headers],[Fuel combusted]],0)</f>
        <v>0.03</v>
      </c>
      <c r="J95" s="26" cm="1">
        <f t="array" ref="J95">Common_InputFunctions.Utility_DisplayArrayInTable(Fuel_SourceData.Fuel_Scope1EmissionFactorsStationaryGaseous_Data(), Table_Fuel_EFs_StationaryGaseous[[#Headers],[Fuel combusted]],0)</f>
        <v>60.27</v>
      </c>
      <c r="K95" s="17"/>
      <c r="L95" s="17"/>
    </row>
    <row r="96" spans="1:12" ht="20.100000000000001" customHeight="1" x14ac:dyDescent="0.25">
      <c r="A96"/>
      <c r="D96" s="26" t="str" cm="1">
        <f t="array" ref="D96">Common_InputFunctions.Utility_DisplayArrayInTable(Fuel_SourceData.Fuel_Scope1EmissionFactorsStationaryGaseous_Data(), Table_Fuel_EFs_StationaryGaseous[[#Headers],[Fuel combusted]],0)</f>
        <v>Liquefied natural gas</v>
      </c>
      <c r="E96" s="26" cm="1">
        <f t="array" ref="E96">Common_InputFunctions.Utility_DisplayArrayInTable(Fuel_SourceData.Fuel_Scope1EmissionFactorsStationaryGaseous_Data(), Table_Fuel_EFs_StationaryGaseous[[#Headers],[Fuel combusted]],0)</f>
        <v>25.3</v>
      </c>
      <c r="F96" s="26" t="str" cm="1">
        <f t="array" ref="F96">Common_InputFunctions.Utility_DisplayArrayInTable(Fuel_SourceData.Fuel_Scope1EmissionFactorsStationaryGaseous_Data(), Table_Fuel_EFs_StationaryGaseous[[#Headers],[Fuel combusted]],0)</f>
        <v>kL</v>
      </c>
      <c r="G96" s="26" cm="1">
        <f t="array" ref="G96">Common_InputFunctions.Utility_DisplayArrayInTable(Fuel_SourceData.Fuel_Scope1EmissionFactorsStationaryGaseous_Data(), Table_Fuel_EFs_StationaryGaseous[[#Headers],[Fuel combusted]],0)</f>
        <v>51.4</v>
      </c>
      <c r="H96" s="26" cm="1">
        <f t="array" ref="H96">Common_InputFunctions.Utility_DisplayArrayInTable(Fuel_SourceData.Fuel_Scope1EmissionFactorsStationaryGaseous_Data(), Table_Fuel_EFs_StationaryGaseous[[#Headers],[Fuel combusted]],0)</f>
        <v>0.1</v>
      </c>
      <c r="I96" s="26" cm="1">
        <f t="array" ref="I96">Common_InputFunctions.Utility_DisplayArrayInTable(Fuel_SourceData.Fuel_Scope1EmissionFactorsStationaryGaseous_Data(), Table_Fuel_EFs_StationaryGaseous[[#Headers],[Fuel combusted]],0)</f>
        <v>0.03</v>
      </c>
      <c r="J96" s="26" cm="1">
        <f t="array" ref="J96">Common_InputFunctions.Utility_DisplayArrayInTable(Fuel_SourceData.Fuel_Scope1EmissionFactorsStationaryGaseous_Data(), Table_Fuel_EFs_StationaryGaseous[[#Headers],[Fuel combusted]],0)</f>
        <v>51.53</v>
      </c>
      <c r="K96" s="17"/>
      <c r="L96" s="17"/>
    </row>
    <row r="97" spans="1:13" ht="20.100000000000001" customHeight="1" x14ac:dyDescent="0.25">
      <c r="A97"/>
      <c r="D97" s="26" t="str" cm="1">
        <f t="array" ref="D97">Common_InputFunctions.Utility_DisplayArrayInTable(Fuel_SourceData.Fuel_Scope1EmissionFactorsStationaryGaseous_Data(), Table_Fuel_EFs_StationaryGaseous[[#Headers],[Fuel combusted]],0)</f>
        <v>Gaseous fossil fuels other than those mentioned in the items above</v>
      </c>
      <c r="E97" s="26" cm="1">
        <f t="array" ref="E97">Common_InputFunctions.Utility_DisplayArrayInTable(Fuel_SourceData.Fuel_Scope1EmissionFactorsStationaryGaseous_Data(), Table_Fuel_EFs_StationaryGaseous[[#Headers],[Fuel combusted]],0)</f>
        <v>3.9E-2</v>
      </c>
      <c r="F97" s="26" t="str" cm="1">
        <f t="array" ref="F97">Common_InputFunctions.Utility_DisplayArrayInTable(Fuel_SourceData.Fuel_Scope1EmissionFactorsStationaryGaseous_Data(), Table_Fuel_EFs_StationaryGaseous[[#Headers],[Fuel combusted]],0)</f>
        <v>m3</v>
      </c>
      <c r="G97" s="26" cm="1">
        <f t="array" ref="G97">Common_InputFunctions.Utility_DisplayArrayInTable(Fuel_SourceData.Fuel_Scope1EmissionFactorsStationaryGaseous_Data(), Table_Fuel_EFs_StationaryGaseous[[#Headers],[Fuel combusted]],0)</f>
        <v>51.4</v>
      </c>
      <c r="H97" s="26" cm="1">
        <f t="array" ref="H97">Common_InputFunctions.Utility_DisplayArrayInTable(Fuel_SourceData.Fuel_Scope1EmissionFactorsStationaryGaseous_Data(), Table_Fuel_EFs_StationaryGaseous[[#Headers],[Fuel combusted]],0)</f>
        <v>0.1</v>
      </c>
      <c r="I97" s="26" cm="1">
        <f t="array" ref="I97">Common_InputFunctions.Utility_DisplayArrayInTable(Fuel_SourceData.Fuel_Scope1EmissionFactorsStationaryGaseous_Data(), Table_Fuel_EFs_StationaryGaseous[[#Headers],[Fuel combusted]],0)</f>
        <v>0.03</v>
      </c>
      <c r="J97" s="26" cm="1">
        <f t="array" ref="J97">Common_InputFunctions.Utility_DisplayArrayInTable(Fuel_SourceData.Fuel_Scope1EmissionFactorsStationaryGaseous_Data(), Table_Fuel_EFs_StationaryGaseous[[#Headers],[Fuel combusted]],0)</f>
        <v>51.53</v>
      </c>
      <c r="K97" s="17"/>
      <c r="L97" s="17"/>
    </row>
    <row r="98" spans="1:13" ht="20.100000000000001" customHeight="1" x14ac:dyDescent="0.25">
      <c r="A98"/>
      <c r="D98" s="26" t="str" cm="1">
        <f t="array" ref="D98">Common_InputFunctions.Utility_DisplayArrayInTable(Fuel_SourceData.Fuel_Scope1EmissionFactorsStationaryGaseous_Data(), Table_Fuel_EFs_StationaryGaseous[[#Headers],[Fuel combusted]],0)</f>
        <v>Landfill biogas that is captured for combustion (methane only)</v>
      </c>
      <c r="E98" s="26" cm="1">
        <f t="array" ref="E98">Common_InputFunctions.Utility_DisplayArrayInTable(Fuel_SourceData.Fuel_Scope1EmissionFactorsStationaryGaseous_Data(), Table_Fuel_EFs_StationaryGaseous[[#Headers],[Fuel combusted]],0)</f>
        <v>3.7699999999999997E-2</v>
      </c>
      <c r="F98" s="26" t="str" cm="1">
        <f t="array" ref="F98">Common_InputFunctions.Utility_DisplayArrayInTable(Fuel_SourceData.Fuel_Scope1EmissionFactorsStationaryGaseous_Data(), Table_Fuel_EFs_StationaryGaseous[[#Headers],[Fuel combusted]],0)</f>
        <v>m3</v>
      </c>
      <c r="G98" s="26" cm="1">
        <f t="array" ref="G98">Common_InputFunctions.Utility_DisplayArrayInTable(Fuel_SourceData.Fuel_Scope1EmissionFactorsStationaryGaseous_Data(), Table_Fuel_EFs_StationaryGaseous[[#Headers],[Fuel combusted]],0)</f>
        <v>0</v>
      </c>
      <c r="H98" s="26" cm="1">
        <f t="array" ref="H98">Common_InputFunctions.Utility_DisplayArrayInTable(Fuel_SourceData.Fuel_Scope1EmissionFactorsStationaryGaseous_Data(), Table_Fuel_EFs_StationaryGaseous[[#Headers],[Fuel combusted]],0)</f>
        <v>6.4</v>
      </c>
      <c r="I98" s="26" cm="1">
        <f t="array" ref="I98">Common_InputFunctions.Utility_DisplayArrayInTable(Fuel_SourceData.Fuel_Scope1EmissionFactorsStationaryGaseous_Data(), Table_Fuel_EFs_StationaryGaseous[[#Headers],[Fuel combusted]],0)</f>
        <v>0.03</v>
      </c>
      <c r="J98" s="26" cm="1">
        <f t="array" ref="J98">Common_InputFunctions.Utility_DisplayArrayInTable(Fuel_SourceData.Fuel_Scope1EmissionFactorsStationaryGaseous_Data(), Table_Fuel_EFs_StationaryGaseous[[#Headers],[Fuel combusted]],0)</f>
        <v>6.43</v>
      </c>
      <c r="K98" s="17"/>
      <c r="L98" s="17"/>
    </row>
    <row r="99" spans="1:13" ht="20.100000000000001" customHeight="1" x14ac:dyDescent="0.25">
      <c r="A99"/>
      <c r="D99" s="26" t="str" cm="1">
        <f t="array" ref="D99">Common_InputFunctions.Utility_DisplayArrayInTable(Fuel_SourceData.Fuel_Scope1EmissionFactorsStationaryGaseous_Data(), Table_Fuel_EFs_StationaryGaseous[[#Headers],[Fuel combusted]],0)</f>
        <v>Sludge biogas that is captured for combustion (methane only)</v>
      </c>
      <c r="E99" s="26" cm="1">
        <f t="array" ref="E99">Common_InputFunctions.Utility_DisplayArrayInTable(Fuel_SourceData.Fuel_Scope1EmissionFactorsStationaryGaseous_Data(), Table_Fuel_EFs_StationaryGaseous[[#Headers],[Fuel combusted]],0)</f>
        <v>3.7699999999999997E-2</v>
      </c>
      <c r="F99" s="26" t="str" cm="1">
        <f t="array" ref="F99">Common_InputFunctions.Utility_DisplayArrayInTable(Fuel_SourceData.Fuel_Scope1EmissionFactorsStationaryGaseous_Data(), Table_Fuel_EFs_StationaryGaseous[[#Headers],[Fuel combusted]],0)</f>
        <v>m3</v>
      </c>
      <c r="G99" s="26" cm="1">
        <f t="array" ref="G99">Common_InputFunctions.Utility_DisplayArrayInTable(Fuel_SourceData.Fuel_Scope1EmissionFactorsStationaryGaseous_Data(), Table_Fuel_EFs_StationaryGaseous[[#Headers],[Fuel combusted]],0)</f>
        <v>0</v>
      </c>
      <c r="H99" s="26" cm="1">
        <f t="array" ref="H99">Common_InputFunctions.Utility_DisplayArrayInTable(Fuel_SourceData.Fuel_Scope1EmissionFactorsStationaryGaseous_Data(), Table_Fuel_EFs_StationaryGaseous[[#Headers],[Fuel combusted]],0)</f>
        <v>6.4</v>
      </c>
      <c r="I99" s="26" cm="1">
        <f t="array" ref="I99">Common_InputFunctions.Utility_DisplayArrayInTable(Fuel_SourceData.Fuel_Scope1EmissionFactorsStationaryGaseous_Data(), Table_Fuel_EFs_StationaryGaseous[[#Headers],[Fuel combusted]],0)</f>
        <v>0.03</v>
      </c>
      <c r="J99" s="26" cm="1">
        <f t="array" ref="J99">Common_InputFunctions.Utility_DisplayArrayInTable(Fuel_SourceData.Fuel_Scope1EmissionFactorsStationaryGaseous_Data(), Table_Fuel_EFs_StationaryGaseous[[#Headers],[Fuel combusted]],0)</f>
        <v>6.43</v>
      </c>
      <c r="K99" s="17"/>
      <c r="L99" s="17"/>
    </row>
    <row r="100" spans="1:13" ht="20.100000000000001" customHeight="1" x14ac:dyDescent="0.25">
      <c r="A100"/>
      <c r="D100" s="26"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26" cm="1">
        <f t="array" ref="E100">Common_InputFunctions.Utility_DisplayArrayInTable(Fuel_SourceData.Fuel_Scope1EmissionFactorsStationaryGaseous_Data(), Table_Fuel_EFs_StationaryGaseous[[#Headers],[Fuel combusted]],0)</f>
        <v>3.6999999999999998E-2</v>
      </c>
      <c r="F100" s="26" t="str" cm="1">
        <f t="array" ref="F100">Common_InputFunctions.Utility_DisplayArrayInTable(Fuel_SourceData.Fuel_Scope1EmissionFactorsStationaryGaseous_Data(), Table_Fuel_EFs_StationaryGaseous[[#Headers],[Fuel combusted]],0)</f>
        <v>m3</v>
      </c>
      <c r="G100" s="26" cm="1">
        <f t="array" ref="G100">Common_InputFunctions.Utility_DisplayArrayInTable(Fuel_SourceData.Fuel_Scope1EmissionFactorsStationaryGaseous_Data(), Table_Fuel_EFs_StationaryGaseous[[#Headers],[Fuel combusted]],0)</f>
        <v>0</v>
      </c>
      <c r="H100" s="26" cm="1">
        <f t="array" ref="H100">Common_InputFunctions.Utility_DisplayArrayInTable(Fuel_SourceData.Fuel_Scope1EmissionFactorsStationaryGaseous_Data(), Table_Fuel_EFs_StationaryGaseous[[#Headers],[Fuel combusted]],0)</f>
        <v>6.4</v>
      </c>
      <c r="I100" s="26" cm="1">
        <f t="array" ref="I100">Common_InputFunctions.Utility_DisplayArrayInTable(Fuel_SourceData.Fuel_Scope1EmissionFactorsStationaryGaseous_Data(), Table_Fuel_EFs_StationaryGaseous[[#Headers],[Fuel combusted]],0)</f>
        <v>0.03</v>
      </c>
      <c r="J100" s="26" cm="1">
        <f t="array" ref="J100">Common_InputFunctions.Utility_DisplayArrayInTable(Fuel_SourceData.Fuel_Scope1EmissionFactorsStationaryGaseous_Data(), Table_Fuel_EFs_StationaryGaseous[[#Headers],[Fuel combusted]],0)</f>
        <v>6.43</v>
      </c>
      <c r="K100" s="17"/>
      <c r="L100" s="17"/>
    </row>
    <row r="101" spans="1:13" ht="20.100000000000001" customHeight="1" x14ac:dyDescent="0.25">
      <c r="A101"/>
      <c r="D101" s="26" t="str" cm="1">
        <f t="array" ref="D101">Common_InputFunctions.Utility_DisplayArrayInTable(Fuel_SourceData.Fuel_Scope1EmissionFactorsStationaryGaseous_Data(), Table_Fuel_EFs_StationaryGaseous[[#Headers],[Fuel combusted]],0)</f>
        <v>Biomethane</v>
      </c>
      <c r="E101" s="26" cm="1">
        <f t="array" ref="E101">Common_InputFunctions.Utility_DisplayArrayInTable(Fuel_SourceData.Fuel_Scope1EmissionFactorsStationaryGaseous_Data(), Table_Fuel_EFs_StationaryGaseous[[#Headers],[Fuel combusted]],0)</f>
        <v>3.9300000000000002E-2</v>
      </c>
      <c r="F101" s="26" t="str" cm="1">
        <f t="array" ref="F101">Common_InputFunctions.Utility_DisplayArrayInTable(Fuel_SourceData.Fuel_Scope1EmissionFactorsStationaryGaseous_Data(), Table_Fuel_EFs_StationaryGaseous[[#Headers],[Fuel combusted]],0)</f>
        <v>m3</v>
      </c>
      <c r="G101" s="26" cm="1">
        <f t="array" ref="G101">Common_InputFunctions.Utility_DisplayArrayInTable(Fuel_SourceData.Fuel_Scope1EmissionFactorsStationaryGaseous_Data(), Table_Fuel_EFs_StationaryGaseous[[#Headers],[Fuel combusted]],0)</f>
        <v>0</v>
      </c>
      <c r="H101" s="26" cm="1">
        <f t="array" ref="H101">Common_InputFunctions.Utility_DisplayArrayInTable(Fuel_SourceData.Fuel_Scope1EmissionFactorsStationaryGaseous_Data(), Table_Fuel_EFs_StationaryGaseous[[#Headers],[Fuel combusted]],0)</f>
        <v>0.1</v>
      </c>
      <c r="I101" s="26" cm="1">
        <f t="array" ref="I101">Common_InputFunctions.Utility_DisplayArrayInTable(Fuel_SourceData.Fuel_Scope1EmissionFactorsStationaryGaseous_Data(), Table_Fuel_EFs_StationaryGaseous[[#Headers],[Fuel combusted]],0)</f>
        <v>0.03</v>
      </c>
      <c r="J101" s="26" cm="1">
        <f t="array" ref="J101">Common_InputFunctions.Utility_DisplayArrayInTable(Fuel_SourceData.Fuel_Scope1EmissionFactorsStationaryGaseous_Data(), Table_Fuel_EFs_StationaryGaseous[[#Headers],[Fuel combusted]],0)</f>
        <v>0.13</v>
      </c>
      <c r="K101" s="17"/>
      <c r="L101" s="17"/>
    </row>
    <row r="102" spans="1:13" ht="20.100000000000001" customHeight="1" x14ac:dyDescent="0.25">
      <c r="A102"/>
      <c r="D102" s="26" t="str" cm="1">
        <f t="array" ref="D102">Common_InputFunctions.Utility_DisplayArrayInTable(Fuel_SourceData.Fuel_Scope1EmissionFactorsStationaryGaseous_Data(), Table_Fuel_EFs_StationaryGaseous[[#Headers],[Fuel combusted]],0)</f>
        <v>Hydrogen</v>
      </c>
      <c r="E102" s="26" cm="1">
        <f t="array" ref="E102">Common_InputFunctions.Utility_DisplayArrayInTable(Fuel_SourceData.Fuel_Scope1EmissionFactorsStationaryGaseous_Data(), Table_Fuel_EFs_StationaryGaseous[[#Headers],[Fuel combusted]],0)</f>
        <v>1.2200000000000001E-2</v>
      </c>
      <c r="F102" s="26" t="str" cm="1">
        <f t="array" ref="F102">Common_InputFunctions.Utility_DisplayArrayInTable(Fuel_SourceData.Fuel_Scope1EmissionFactorsStationaryGaseous_Data(), Table_Fuel_EFs_StationaryGaseous[[#Headers],[Fuel combusted]],0)</f>
        <v>m3</v>
      </c>
      <c r="G102" s="26" cm="1">
        <f t="array" ref="G102">Common_InputFunctions.Utility_DisplayArrayInTable(Fuel_SourceData.Fuel_Scope1EmissionFactorsStationaryGaseous_Data(), Table_Fuel_EFs_StationaryGaseous[[#Headers],[Fuel combusted]],0)</f>
        <v>0</v>
      </c>
      <c r="H102" s="26" cm="1">
        <f t="array" ref="H102">Common_InputFunctions.Utility_DisplayArrayInTable(Fuel_SourceData.Fuel_Scope1EmissionFactorsStationaryGaseous_Data(), Table_Fuel_EFs_StationaryGaseous[[#Headers],[Fuel combusted]],0)</f>
        <v>0</v>
      </c>
      <c r="I102" s="26" cm="1">
        <f t="array" ref="I102">Common_InputFunctions.Utility_DisplayArrayInTable(Fuel_SourceData.Fuel_Scope1EmissionFactorsStationaryGaseous_Data(), Table_Fuel_EFs_StationaryGaseous[[#Headers],[Fuel combusted]],0)</f>
        <v>0.5</v>
      </c>
      <c r="J102" s="26" cm="1">
        <f t="array" ref="J102">Common_InputFunctions.Utility_DisplayArrayInTable(Fuel_SourceData.Fuel_Scope1EmissionFactorsStationaryGaseous_Data(), Table_Fuel_EFs_StationaryGaseous[[#Headers],[Fuel combusted]],0)</f>
        <v>0.5</v>
      </c>
      <c r="K102" s="17"/>
      <c r="L102" s="17"/>
    </row>
    <row r="103" spans="1:13" ht="20.100000000000001" customHeight="1" x14ac:dyDescent="0.25">
      <c r="A103"/>
      <c r="D103" s="26" t="str" cm="1">
        <f t="array" ref="D103">Common_InputFunctions.Utility_DisplayArrayInTable(Fuel_SourceData.Fuel_Scope1EmissionFactorsStationaryGaseous_Data(), Table_Fuel_EFs_StationaryGaseous[[#Headers],[Fuel combusted]],0)</f>
        <v>Natural gas distributed in a pipeline - Gigajoules</v>
      </c>
      <c r="E103" s="26" cm="1">
        <f t="array" ref="E103">Common_InputFunctions.Utility_DisplayArrayInTable(Fuel_SourceData.Fuel_Scope1EmissionFactorsStationaryGaseous_Data(), Table_Fuel_EFs_StationaryGaseous[[#Headers],[Fuel combusted]],0)</f>
        <v>1</v>
      </c>
      <c r="F103" s="26" t="str" cm="1">
        <f t="array" ref="F103">Common_InputFunctions.Utility_DisplayArrayInTable(Fuel_SourceData.Fuel_Scope1EmissionFactorsStationaryGaseous_Data(), Table_Fuel_EFs_StationaryGaseous[[#Headers],[Fuel combusted]],0)</f>
        <v>GJ</v>
      </c>
      <c r="G103" s="26" cm="1">
        <f t="array" ref="G103">Common_InputFunctions.Utility_DisplayArrayInTable(Fuel_SourceData.Fuel_Scope1EmissionFactorsStationaryGaseous_Data(), Table_Fuel_EFs_StationaryGaseous[[#Headers],[Fuel combusted]],0)</f>
        <v>51.4</v>
      </c>
      <c r="H103" s="26" cm="1">
        <f t="array" ref="H103">Common_InputFunctions.Utility_DisplayArrayInTable(Fuel_SourceData.Fuel_Scope1EmissionFactorsStationaryGaseous_Data(), Table_Fuel_EFs_StationaryGaseous[[#Headers],[Fuel combusted]],0)</f>
        <v>0.1</v>
      </c>
      <c r="I103" s="26" cm="1">
        <f t="array" ref="I103">Common_InputFunctions.Utility_DisplayArrayInTable(Fuel_SourceData.Fuel_Scope1EmissionFactorsStationaryGaseous_Data(), Table_Fuel_EFs_StationaryGaseous[[#Headers],[Fuel combusted]],0)</f>
        <v>0.03</v>
      </c>
      <c r="J103" s="26" cm="1">
        <f t="array" ref="J103">Common_InputFunctions.Utility_DisplayArrayInTable(Fuel_SourceData.Fuel_Scope1EmissionFactorsStationaryGaseous_Data(), Table_Fuel_EFs_StationaryGaseous[[#Headers],[Fuel combusted]],0)</f>
        <v>51.53</v>
      </c>
      <c r="K103" s="17"/>
      <c r="L103" s="17"/>
    </row>
    <row r="104" spans="1:13" ht="20.100000000000001" customHeight="1" x14ac:dyDescent="0.25">
      <c r="A104"/>
      <c r="D104" s="26" t="str" cm="1">
        <f t="array" ref="D104">Common_InputFunctions.Utility_DisplayArrayInTable(Fuel_SourceData.Fuel_Scope1EmissionFactorsStationaryGaseous_Data(), Table_Fuel_EFs_StationaryGaseous[[#Headers],[Fuel combusted]],0)</f>
        <v>Town gas - Gigajoules</v>
      </c>
      <c r="E104" s="26" cm="1">
        <f t="array" ref="E104">Common_InputFunctions.Utility_DisplayArrayInTable(Fuel_SourceData.Fuel_Scope1EmissionFactorsStationaryGaseous_Data(), Table_Fuel_EFs_StationaryGaseous[[#Headers],[Fuel combusted]],0)</f>
        <v>1</v>
      </c>
      <c r="F104" s="26" t="str" cm="1">
        <f t="array" ref="F104">Common_InputFunctions.Utility_DisplayArrayInTable(Fuel_SourceData.Fuel_Scope1EmissionFactorsStationaryGaseous_Data(), Table_Fuel_EFs_StationaryGaseous[[#Headers],[Fuel combusted]],0)</f>
        <v>GJ</v>
      </c>
      <c r="G104" s="26" cm="1">
        <f t="array" ref="G104">Common_InputFunctions.Utility_DisplayArrayInTable(Fuel_SourceData.Fuel_Scope1EmissionFactorsStationaryGaseous_Data(), Table_Fuel_EFs_StationaryGaseous[[#Headers],[Fuel combusted]],0)</f>
        <v>60.2</v>
      </c>
      <c r="H104" s="26" cm="1">
        <f t="array" ref="H104">Common_InputFunctions.Utility_DisplayArrayInTable(Fuel_SourceData.Fuel_Scope1EmissionFactorsStationaryGaseous_Data(), Table_Fuel_EFs_StationaryGaseous[[#Headers],[Fuel combusted]],0)</f>
        <v>0.04</v>
      </c>
      <c r="I104" s="26" cm="1">
        <f t="array" ref="I104">Common_InputFunctions.Utility_DisplayArrayInTable(Fuel_SourceData.Fuel_Scope1EmissionFactorsStationaryGaseous_Data(), Table_Fuel_EFs_StationaryGaseous[[#Headers],[Fuel combusted]],0)</f>
        <v>0.03</v>
      </c>
      <c r="J104" s="26" cm="1">
        <f t="array" ref="J104">Common_InputFunctions.Utility_DisplayArrayInTable(Fuel_SourceData.Fuel_Scope1EmissionFactorsStationaryGaseous_Data(), Table_Fuel_EFs_StationaryGaseous[[#Headers],[Fuel combusted]],0)</f>
        <v>60.27</v>
      </c>
      <c r="K104" s="17"/>
      <c r="L104" s="17"/>
    </row>
    <row r="105" spans="1:13" ht="20.100000000000001" customHeight="1" x14ac:dyDescent="0.25">
      <c r="A105"/>
      <c r="D105" s="17"/>
      <c r="E105" s="17"/>
      <c r="F105" s="17"/>
      <c r="G105" s="17"/>
      <c r="H105" s="17"/>
      <c r="I105" s="17"/>
      <c r="J105" s="17"/>
      <c r="K105" s="17"/>
      <c r="L105" s="17"/>
      <c r="M105" s="17"/>
    </row>
    <row r="106" spans="1:13" ht="20.100000000000001" customHeight="1" x14ac:dyDescent="0.25">
      <c r="A106"/>
      <c r="D106" s="17"/>
      <c r="E106" s="17"/>
      <c r="F106" s="17"/>
      <c r="G106" s="17"/>
      <c r="H106" s="17"/>
      <c r="I106" s="17"/>
      <c r="J106" s="17"/>
      <c r="K106" s="17"/>
      <c r="L106" s="17"/>
      <c r="M106" s="17"/>
    </row>
    <row r="107" spans="1:13" ht="20.100000000000001" customHeight="1" x14ac:dyDescent="0.25">
      <c r="A107"/>
      <c r="D107" s="9" t="str" cm="1">
        <f t="array" ref="D107">Fuel_SourceData.Fuel_Scope3EmissionFactorsStationaryGaseous_Title()</f>
        <v>Fuel scope 3 emission factors - Stationary gaseous fuels</v>
      </c>
      <c r="E107" s="17"/>
      <c r="F107" s="17"/>
      <c r="G107" s="17"/>
      <c r="H107" s="17"/>
      <c r="I107" s="17"/>
      <c r="J107" s="17"/>
      <c r="K107" s="17"/>
      <c r="L107" s="17"/>
    </row>
    <row r="108" spans="1:13" ht="20.100000000000001" customHeight="1" x14ac:dyDescent="0.25">
      <c r="A108"/>
      <c r="D108" s="8" t="str" cm="1">
        <f t="array" ref="D108">Fuel_SourceData.Fuel_Scope3EmissionFactorsStationaryGaseous_Description()</f>
        <v>Indirect (Scope 3) emission factors for the consumption of natural gas.</v>
      </c>
      <c r="E108" s="17"/>
      <c r="F108" s="17"/>
      <c r="G108" s="17"/>
      <c r="H108" s="17"/>
      <c r="I108" s="17"/>
      <c r="J108" s="17"/>
      <c r="K108" s="17"/>
      <c r="L108" s="17"/>
    </row>
    <row r="109" spans="1:13" ht="20.100000000000001" customHeight="1" x14ac:dyDescent="0.25">
      <c r="A109"/>
      <c r="D109" s="11" t="str" cm="1">
        <f t="array" ref="D109">Fuel_SourceData.Fuel_Scope3EmissionFactorsStationaryGaseous_Source()</f>
        <v>Australian National Greenhouse Accounts Factors 2025 - Table 6</v>
      </c>
      <c r="E109" s="17"/>
      <c r="F109" s="17"/>
      <c r="G109" s="17"/>
      <c r="H109" s="17"/>
      <c r="I109" s="17"/>
      <c r="J109" s="17"/>
      <c r="K109" s="17"/>
      <c r="L109" s="17"/>
    </row>
    <row r="110" spans="1:13" ht="20.100000000000001" customHeight="1" x14ac:dyDescent="0.25">
      <c r="A110"/>
      <c r="D110" s="12"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7"/>
      <c r="F110" s="17"/>
      <c r="G110" s="17"/>
      <c r="H110" s="17"/>
      <c r="I110" s="17"/>
      <c r="J110" s="17"/>
      <c r="K110" s="17"/>
      <c r="L110" s="17"/>
    </row>
    <row r="111" spans="1:13" ht="20.100000000000001" customHeight="1" x14ac:dyDescent="0.25">
      <c r="A111"/>
      <c r="D111" s="17"/>
      <c r="E111" s="17"/>
      <c r="F111" s="17"/>
      <c r="G111" s="17"/>
      <c r="H111" s="17"/>
      <c r="I111" s="17"/>
      <c r="J111" s="17"/>
      <c r="K111" s="17"/>
      <c r="L111" s="17"/>
    </row>
    <row r="112" spans="1:13" ht="20.100000000000001" customHeight="1" x14ac:dyDescent="0.25">
      <c r="A112"/>
      <c r="D112" s="25" t="s">
        <v>86</v>
      </c>
      <c r="E112" s="20" t="s">
        <v>704</v>
      </c>
      <c r="F112" s="20" t="s">
        <v>705</v>
      </c>
      <c r="G112" s="17"/>
      <c r="H112" s="27" t="s">
        <v>87</v>
      </c>
      <c r="I112" s="17"/>
      <c r="J112" s="17"/>
      <c r="K112" s="17"/>
      <c r="L112" s="17"/>
    </row>
    <row r="113" spans="1:13" ht="20.100000000000001" customHeight="1" x14ac:dyDescent="0.25">
      <c r="A113"/>
      <c r="D113" s="28" t="str" cm="1">
        <f t="array" ref="D113">Common_InputFunctions.Utility_DisplayArrayInTable(Fuel_SourceData.Fuel_Scope3EmissionFactorsStationaryGaseous_Data(), Table_Fuel_EFs_StationaryGaseous34[[#Headers],[State or territory]],0)</f>
        <v>New South Wales</v>
      </c>
      <c r="E113" s="28" cm="1">
        <f t="array" ref="E113">Common_InputFunctions.Utility_DisplayArrayInTable(Fuel_SourceData.Fuel_Scope3EmissionFactorsStationaryGaseous_Data(), Table_Fuel_EFs_StationaryGaseous34[[#Headers],[State or territory]],0)</f>
        <v>13.1</v>
      </c>
      <c r="F113" s="28" cm="1">
        <f t="array" ref="F113">Common_InputFunctions.Utility_DisplayArrayInTable(Fuel_SourceData.Fuel_Scope3EmissionFactorsStationaryGaseous_Data(), Table_Fuel_EFs_StationaryGaseous34[[#Headers],[State or territory]],0)</f>
        <v>14</v>
      </c>
      <c r="G113" s="29" t="str" cm="1">
        <f t="array" ref="G113:H124">Fuel_SourceData.Fuel_Scope3EmissionFactorsStationaryGaseous_Appendices()</f>
        <v>-</v>
      </c>
      <c r="H113" s="8" t="str">
        <v>As Scope 3 factors are calculated at the point where natural gas is delivered to end users, it is necessary to calculate consumption at each of the load centres.</v>
      </c>
      <c r="I113" s="17"/>
      <c r="J113" s="17"/>
      <c r="K113" s="17"/>
      <c r="L113" s="17"/>
    </row>
    <row r="114" spans="1:13" ht="20.100000000000001" customHeight="1" x14ac:dyDescent="0.25">
      <c r="A114"/>
      <c r="D114" s="28" t="str" cm="1">
        <f t="array" ref="D114">Common_InputFunctions.Utility_DisplayArrayInTable(Fuel_SourceData.Fuel_Scope3EmissionFactorsStationaryGaseous_Data(), Table_Fuel_EFs_StationaryGaseous34[[#Headers],[State or territory]],0)</f>
        <v>ACT</v>
      </c>
      <c r="E114" s="28" cm="1">
        <f t="array" ref="E114">Common_InputFunctions.Utility_DisplayArrayInTable(Fuel_SourceData.Fuel_Scope3EmissionFactorsStationaryGaseous_Data(), Table_Fuel_EFs_StationaryGaseous34[[#Headers],[State or territory]],0)</f>
        <v>13.1</v>
      </c>
      <c r="F114" s="28" cm="1">
        <f t="array" ref="F114">Common_InputFunctions.Utility_DisplayArrayInTable(Fuel_SourceData.Fuel_Scope3EmissionFactorsStationaryGaseous_Data(), Table_Fuel_EFs_StationaryGaseous34[[#Headers],[State or territory]],0)</f>
        <v>14</v>
      </c>
      <c r="G114" s="29" t="str">
        <v/>
      </c>
      <c r="H114" s="8" t="str">
        <v>Gas reaches end users either from the metro distribution networks or direct from the high - pressure distribution pipelines.</v>
      </c>
      <c r="I114" s="17"/>
      <c r="J114" s="17"/>
      <c r="K114" s="17"/>
      <c r="L114" s="17"/>
    </row>
    <row r="115" spans="1:13" ht="20.100000000000001" customHeight="1" x14ac:dyDescent="0.25">
      <c r="A115"/>
      <c r="D115" s="28" t="str" cm="1">
        <f t="array" ref="D115">Common_InputFunctions.Utility_DisplayArrayInTable(Fuel_SourceData.Fuel_Scope3EmissionFactorsStationaryGaseous_Data(), Table_Fuel_EFs_StationaryGaseous34[[#Headers],[State or territory]],0)</f>
        <v>Victoria</v>
      </c>
      <c r="E115" s="28" cm="1">
        <f t="array" ref="E115">Common_InputFunctions.Utility_DisplayArrayInTable(Fuel_SourceData.Fuel_Scope3EmissionFactorsStationaryGaseous_Data(), Table_Fuel_EFs_StationaryGaseous34[[#Headers],[State or territory]],0)</f>
        <v>4</v>
      </c>
      <c r="F115" s="28" cm="1">
        <f t="array" ref="F115">Common_InputFunctions.Utility_DisplayArrayInTable(Fuel_SourceData.Fuel_Scope3EmissionFactorsStationaryGaseous_Data(), Table_Fuel_EFs_StationaryGaseous34[[#Headers],[State or territory]],0)</f>
        <v>4</v>
      </c>
      <c r="G115" s="29" t="str">
        <v/>
      </c>
      <c r="H115" s="8" t="str">
        <v>Households and commercial users tend to be served by the former, and electricity generators and large industrial plants from the latter.</v>
      </c>
      <c r="I115" s="17"/>
      <c r="J115" s="17"/>
      <c r="K115" s="17"/>
      <c r="L115" s="17"/>
    </row>
    <row r="116" spans="1:13" ht="20.100000000000001" customHeight="1" x14ac:dyDescent="0.25">
      <c r="A116"/>
      <c r="D116" s="28" t="str" cm="1">
        <f t="array" ref="D116">Common_InputFunctions.Utility_DisplayArrayInTable(Fuel_SourceData.Fuel_Scope3EmissionFactorsStationaryGaseous_Data(), Table_Fuel_EFs_StationaryGaseous34[[#Headers],[State or territory]],0)</f>
        <v>Queensland</v>
      </c>
      <c r="E116" s="28" cm="1">
        <f t="array" ref="E116">Common_InputFunctions.Utility_DisplayArrayInTable(Fuel_SourceData.Fuel_Scope3EmissionFactorsStationaryGaseous_Data(), Table_Fuel_EFs_StationaryGaseous34[[#Headers],[State or territory]],0)</f>
        <v>8.8000000000000007</v>
      </c>
      <c r="F116" s="28" cm="1">
        <f t="array" ref="F116">Common_InputFunctions.Utility_DisplayArrayInTable(Fuel_SourceData.Fuel_Scope3EmissionFactorsStationaryGaseous_Data(), Table_Fuel_EFs_StationaryGaseous34[[#Headers],[State or territory]],0)</f>
        <v>7.9</v>
      </c>
      <c r="G116" s="29" t="str">
        <v>-</v>
      </c>
      <c r="H116" s="8" t="str">
        <v>Metro is defined as located on or east of the dividing range in NSW, including Canberra and Queanbeyan, Melbourne, Brisbane, Adelaide or Perth.</v>
      </c>
      <c r="I116" s="17"/>
      <c r="J116" s="17"/>
      <c r="K116" s="17"/>
      <c r="L116" s="17"/>
    </row>
    <row r="117" spans="1:13" ht="20.100000000000001" customHeight="1" x14ac:dyDescent="0.25">
      <c r="A117"/>
      <c r="D117" s="28" t="str" cm="1">
        <f t="array" ref="D117">Common_InputFunctions.Utility_DisplayArrayInTable(Fuel_SourceData.Fuel_Scope3EmissionFactorsStationaryGaseous_Data(), Table_Fuel_EFs_StationaryGaseous34[[#Headers],[State or territory]],0)</f>
        <v>South Australia</v>
      </c>
      <c r="E117" s="28" cm="1">
        <f t="array" ref="E117">Common_InputFunctions.Utility_DisplayArrayInTable(Fuel_SourceData.Fuel_Scope3EmissionFactorsStationaryGaseous_Data(), Table_Fuel_EFs_StationaryGaseous34[[#Headers],[State or territory]],0)</f>
        <v>10.7</v>
      </c>
      <c r="F117" s="28" cm="1">
        <f t="array" ref="F117">Common_InputFunctions.Utility_DisplayArrayInTable(Fuel_SourceData.Fuel_Scope3EmissionFactorsStationaryGaseous_Data(), Table_Fuel_EFs_StationaryGaseous34[[#Headers],[State or territory]],0)</f>
        <v>10.6</v>
      </c>
      <c r="G117" s="29" t="str">
        <v/>
      </c>
      <c r="H117" s="8" t="str">
        <v>Otherwise, the non - metro factor should be used.</v>
      </c>
      <c r="I117" s="17"/>
      <c r="J117" s="17"/>
      <c r="K117" s="17"/>
      <c r="L117" s="17"/>
    </row>
    <row r="118" spans="1:13" ht="20.100000000000001" customHeight="1" x14ac:dyDescent="0.25">
      <c r="A118"/>
      <c r="D118" s="28" t="str" cm="1">
        <f t="array" ref="D118">Common_InputFunctions.Utility_DisplayArrayInTable(Fuel_SourceData.Fuel_Scope3EmissionFactorsStationaryGaseous_Data(), Table_Fuel_EFs_StationaryGaseous34[[#Headers],[State or territory]],0)</f>
        <v>Western Australia</v>
      </c>
      <c r="E118" s="28" cm="1">
        <f t="array" ref="E118">Common_InputFunctions.Utility_DisplayArrayInTable(Fuel_SourceData.Fuel_Scope3EmissionFactorsStationaryGaseous_Data(), Table_Fuel_EFs_StationaryGaseous34[[#Headers],[State or territory]],0)</f>
        <v>4.0999999999999996</v>
      </c>
      <c r="F118" s="28" cm="1">
        <f t="array" ref="F118">Common_InputFunctions.Utility_DisplayArrayInTable(Fuel_SourceData.Fuel_Scope3EmissionFactorsStationaryGaseous_Data(), Table_Fuel_EFs_StationaryGaseous34[[#Headers],[State or territory]],0)</f>
        <v>4</v>
      </c>
      <c r="G118" s="29" t="str">
        <v>-</v>
      </c>
      <c r="H118" s="8" t="str">
        <v>Factors are calculated for all natural gas distributed in a pipeline which may include coal seam methane.</v>
      </c>
      <c r="I118" s="17"/>
      <c r="J118" s="17"/>
      <c r="K118" s="17"/>
      <c r="L118" s="17"/>
    </row>
    <row r="119" spans="1:13" ht="20.100000000000001" customHeight="1" x14ac:dyDescent="0.25">
      <c r="A119"/>
      <c r="D119" s="28" t="str" cm="1">
        <f t="array" ref="D119">Common_InputFunctions.Utility_DisplayArrayInTable(Fuel_SourceData.Fuel_Scope3EmissionFactorsStationaryGaseous_Data(), Table_Fuel_EFs_StationaryGaseous34[[#Headers],[State or territory]],0)</f>
        <v>Tasmania</v>
      </c>
      <c r="E119" s="28" cm="1">
        <f t="array" ref="E119">Common_InputFunctions.Utility_DisplayArrayInTable(Fuel_SourceData.Fuel_Scope3EmissionFactorsStationaryGaseous_Data(), Table_Fuel_EFs_StationaryGaseous34[[#Headers],[State or territory]],0)</f>
        <v>4</v>
      </c>
      <c r="F119" s="28" cm="1">
        <f t="array" ref="F119">Common_InputFunctions.Utility_DisplayArrayInTable(Fuel_SourceData.Fuel_Scope3EmissionFactorsStationaryGaseous_Data(), Table_Fuel_EFs_StationaryGaseous34[[#Headers],[State or territory]],0)</f>
        <v>4</v>
      </c>
      <c r="G119" s="29" t="str">
        <v>-</v>
      </c>
      <c r="H119" s="8" t="str">
        <v>Table 6 is not applicable to ethane. See Table 7 Indirect (Scope 3) emissions from the consumption of ethane.</v>
      </c>
      <c r="I119" s="17"/>
      <c r="J119" s="17"/>
      <c r="K119" s="17"/>
      <c r="L119" s="17"/>
    </row>
    <row r="120" spans="1:13" ht="20.100000000000001" customHeight="1" x14ac:dyDescent="0.25">
      <c r="A120"/>
      <c r="D120" s="28" t="str" cm="1">
        <f t="array" ref="D120">Common_InputFunctions.Utility_DisplayArrayInTable(Fuel_SourceData.Fuel_Scope3EmissionFactorsStationaryGaseous_Data(), Table_Fuel_EFs_StationaryGaseous34[[#Headers],[State or territory]],0)</f>
        <v>Northern Territory</v>
      </c>
      <c r="E120" s="28" cm="1">
        <f t="array" ref="E120">Common_InputFunctions.Utility_DisplayArrayInTable(Fuel_SourceData.Fuel_Scope3EmissionFactorsStationaryGaseous_Data(), Table_Fuel_EFs_StationaryGaseous34[[#Headers],[State or territory]],0)</f>
        <v>4.0999999999999996</v>
      </c>
      <c r="F120" s="28" cm="1">
        <f t="array" ref="F120">Common_InputFunctions.Utility_DisplayArrayInTable(Fuel_SourceData.Fuel_Scope3EmissionFactorsStationaryGaseous_Data(), Table_Fuel_EFs_StationaryGaseous34[[#Headers],[State or territory]],0)</f>
        <v>4</v>
      </c>
      <c r="G120" s="29" t="str">
        <v>-</v>
      </c>
      <c r="H120" s="8" t="str">
        <v>C = Confidential. Scope 3 emission factors for Tasmania and the Northern Territory are not available due to confidentiality constraints that arise</v>
      </c>
      <c r="I120" s="17"/>
      <c r="J120" s="17"/>
      <c r="K120" s="17"/>
      <c r="L120" s="17"/>
    </row>
    <row r="121" spans="1:13" ht="20.100000000000001" customHeight="1" x14ac:dyDescent="0.25">
      <c r="A121"/>
      <c r="D121" s="14"/>
      <c r="E121" s="14"/>
      <c r="F121" s="14"/>
      <c r="G121" s="29" t="str">
        <v/>
      </c>
      <c r="H121" s="8" t="str">
        <v>from the use of a limited number of NGER data inputs. It is suggested that for Tasmania the use of the Victorian emission factors is appropriate,</v>
      </c>
      <c r="I121" s="17"/>
      <c r="J121" s="17"/>
      <c r="K121" s="17"/>
      <c r="L121" s="17"/>
    </row>
    <row r="122" spans="1:13" ht="20.100000000000001" customHeight="1" x14ac:dyDescent="0.25">
      <c r="A122"/>
      <c r="D122" s="17"/>
      <c r="F122" s="30"/>
      <c r="G122" s="29" t="str">
        <v/>
      </c>
      <c r="H122" s="8" t="str">
        <v>while for Northern Territory the use of the Western Australian emission factors is appropriate.</v>
      </c>
      <c r="I122" s="17"/>
      <c r="J122" s="17"/>
      <c r="K122" s="17"/>
      <c r="L122" s="17"/>
    </row>
    <row r="123" spans="1:13" ht="20.100000000000001" customHeight="1" x14ac:dyDescent="0.25">
      <c r="A123"/>
      <c r="D123" s="31"/>
      <c r="F123" s="30"/>
      <c r="G123" s="29" t="str">
        <v>-</v>
      </c>
      <c r="H123" s="8" t="str">
        <v>Scope 3 emission factors do not include fugitive emission leakage from low pressure natural gas distribution pipeline networks while those from high pressure</v>
      </c>
      <c r="I123" s="17"/>
      <c r="J123" s="17"/>
      <c r="K123" s="17"/>
      <c r="L123" s="17"/>
    </row>
    <row r="124" spans="1:13" ht="20.100000000000001" customHeight="1" x14ac:dyDescent="0.25">
      <c r="A124"/>
      <c r="D124" s="31"/>
      <c r="F124" s="30"/>
      <c r="G124" s="17" t="str">
        <v/>
      </c>
      <c r="H124" s="8" t="str">
        <v>gas networks are considered negligible.</v>
      </c>
      <c r="I124" s="17"/>
      <c r="J124" s="17"/>
      <c r="K124" s="17"/>
      <c r="L124" s="17"/>
    </row>
    <row r="125" spans="1:13" ht="20.100000000000001" customHeight="1" x14ac:dyDescent="0.25">
      <c r="A125"/>
      <c r="D125" s="31"/>
      <c r="F125" s="30"/>
      <c r="G125" s="17"/>
      <c r="H125" s="17"/>
      <c r="I125" s="17"/>
      <c r="J125" s="17"/>
      <c r="K125" s="17"/>
      <c r="L125" s="17"/>
    </row>
    <row r="126" spans="1:13" ht="20.100000000000001" customHeight="1" x14ac:dyDescent="0.25">
      <c r="A126"/>
      <c r="D126" s="17"/>
      <c r="E126" s="17"/>
      <c r="F126" s="17"/>
      <c r="G126" s="17"/>
      <c r="H126" s="17"/>
      <c r="I126" s="17"/>
      <c r="J126" s="17"/>
      <c r="K126" s="17"/>
      <c r="L126" s="17"/>
      <c r="M126" s="17"/>
    </row>
    <row r="127" spans="1:13" ht="20.100000000000001" customHeight="1" x14ac:dyDescent="0.25">
      <c r="A127"/>
      <c r="D127" s="17"/>
      <c r="E127" s="17"/>
      <c r="F127" s="17"/>
      <c r="G127" s="17"/>
      <c r="H127" s="17"/>
      <c r="I127" s="17"/>
      <c r="J127" s="17"/>
      <c r="K127" s="17"/>
      <c r="L127" s="17"/>
      <c r="M127" s="17"/>
    </row>
    <row r="128" spans="1:13" ht="20.100000000000001" customHeight="1" x14ac:dyDescent="0.25">
      <c r="A128"/>
      <c r="D128" s="17"/>
      <c r="E128" s="17"/>
      <c r="F128" s="17"/>
      <c r="G128" s="17"/>
      <c r="H128" s="17"/>
      <c r="I128" s="17"/>
      <c r="J128" s="17"/>
      <c r="K128" s="17"/>
      <c r="L128" s="17"/>
      <c r="M128" s="17"/>
    </row>
    <row r="129" spans="1:33" ht="20.100000000000001" customHeight="1" x14ac:dyDescent="0.25">
      <c r="A129"/>
      <c r="D129" s="32"/>
      <c r="E129" s="17"/>
      <c r="F129" s="17"/>
      <c r="G129" s="17"/>
      <c r="H129" s="17"/>
      <c r="I129" s="17"/>
      <c r="J129" s="17"/>
      <c r="K129" s="17"/>
      <c r="L129" s="17"/>
    </row>
    <row r="130" spans="1:33" ht="20.100000000000001" customHeight="1" x14ac:dyDescent="0.25">
      <c r="A130"/>
      <c r="D130" s="33" t="s">
        <v>88</v>
      </c>
      <c r="E130" s="33" t="s">
        <v>89</v>
      </c>
      <c r="F130" s="33" t="s">
        <v>90</v>
      </c>
      <c r="G130" s="33" t="s">
        <v>91</v>
      </c>
      <c r="H130" s="33" t="s">
        <v>92</v>
      </c>
      <c r="I130" s="33" t="s">
        <v>93</v>
      </c>
      <c r="J130" s="17"/>
      <c r="K130" s="17"/>
      <c r="L130" s="17"/>
    </row>
    <row r="131" spans="1:33" ht="20.100000000000001" customHeight="1" x14ac:dyDescent="0.25">
      <c r="A131"/>
      <c r="D131" s="34" t="str">
        <f>$D$143</f>
        <v>Petrol</v>
      </c>
      <c r="E131" s="34" t="str">
        <f>$D$143</f>
        <v>Petrol</v>
      </c>
      <c r="F131" s="34" t="str">
        <f>$D$150</f>
        <v>Avgas</v>
      </c>
      <c r="G131" s="34" t="str">
        <f>$D$143</f>
        <v>Petrol</v>
      </c>
      <c r="H131" s="34" t="str">
        <f>$D$144</f>
        <v>Diesel</v>
      </c>
      <c r="I131" s="34" t="str">
        <f>$D$143</f>
        <v>Petrol</v>
      </c>
      <c r="J131" s="17"/>
      <c r="K131" s="17"/>
      <c r="L131" s="17"/>
    </row>
    <row r="132" spans="1:33" ht="20.100000000000001" customHeight="1" x14ac:dyDescent="0.25">
      <c r="A132"/>
      <c r="D132" s="34" t="str">
        <f>$D$144</f>
        <v>Diesel</v>
      </c>
      <c r="E132" s="34" t="str">
        <f>$D$144</f>
        <v>Diesel</v>
      </c>
      <c r="F132" s="34" t="str">
        <f>$D$151</f>
        <v>Jet A1, Jet B</v>
      </c>
      <c r="G132" s="34" t="str">
        <f>$D$144</f>
        <v>Diesel</v>
      </c>
      <c r="H132" s="34"/>
      <c r="I132" s="34" t="str">
        <f>$D$144</f>
        <v>Diesel</v>
      </c>
      <c r="J132" s="17"/>
      <c r="K132" s="17"/>
      <c r="L132" s="17"/>
    </row>
    <row r="133" spans="1:33" ht="20.100000000000001" customHeight="1" x14ac:dyDescent="0.25">
      <c r="A133"/>
      <c r="D133" s="34" t="str">
        <f>$D$145</f>
        <v>Liquefied petroleum gas (LPG)</v>
      </c>
      <c r="E133" s="34" t="str">
        <f>$D$145</f>
        <v>Liquefied petroleum gas (LPG)</v>
      </c>
      <c r="F133" s="34" t="str">
        <f>$D$152</f>
        <v>Renewable aviation kerosene</v>
      </c>
      <c r="G133" s="34" t="str">
        <f>$D$145</f>
        <v>Liquefied petroleum gas (LPG)</v>
      </c>
      <c r="H133" s="34"/>
      <c r="I133" s="34" t="s">
        <v>94</v>
      </c>
      <c r="J133" s="17"/>
      <c r="K133" s="17"/>
      <c r="L133" s="17"/>
    </row>
    <row r="134" spans="1:33" ht="20.100000000000001" customHeight="1" x14ac:dyDescent="0.25">
      <c r="A134"/>
      <c r="D134" s="34" t="str">
        <f>$D$146</f>
        <v>Biodiesel</v>
      </c>
      <c r="E134" s="34" t="str">
        <f>$D$146</f>
        <v>Biodiesel</v>
      </c>
      <c r="F134" s="33"/>
      <c r="G134" s="34" t="str">
        <f>$D$160</f>
        <v>Fuel oil</v>
      </c>
      <c r="H134" s="34"/>
      <c r="I134" s="34"/>
      <c r="J134" s="17"/>
      <c r="K134" s="17"/>
      <c r="L134" s="17"/>
    </row>
    <row r="135" spans="1:33" ht="20.100000000000001" customHeight="1" x14ac:dyDescent="0.25">
      <c r="A135"/>
      <c r="D135" s="34" t="str">
        <f>$D$147</f>
        <v>Ethanol</v>
      </c>
      <c r="E135" s="34" t="str">
        <f>$D$147</f>
        <v>Ethanol</v>
      </c>
      <c r="F135" s="33"/>
      <c r="G135" s="34" t="str">
        <f>$D$147</f>
        <v>Ethanol</v>
      </c>
      <c r="H135" s="34"/>
      <c r="I135" s="34"/>
      <c r="J135" s="17"/>
      <c r="K135" s="17"/>
      <c r="L135" s="17"/>
    </row>
    <row r="136" spans="1:33" ht="20.100000000000001" customHeight="1" x14ac:dyDescent="0.25">
      <c r="A136"/>
      <c r="D136" s="34" t="str">
        <f>$D$148</f>
        <v>Other biofuels</v>
      </c>
      <c r="E136" s="34" t="str">
        <f>$D$148</f>
        <v>Other biofuels</v>
      </c>
      <c r="F136" s="33"/>
      <c r="G136" s="34" t="str">
        <f>$D$146</f>
        <v>Biodiesel</v>
      </c>
      <c r="H136" s="34"/>
      <c r="I136" s="34"/>
      <c r="J136" s="17"/>
      <c r="K136" s="17"/>
      <c r="L136" s="17"/>
    </row>
    <row r="137" spans="1:33" ht="20.100000000000001" customHeight="1" x14ac:dyDescent="0.25">
      <c r="A137"/>
      <c r="D137" s="34" t="str">
        <f>$D$149</f>
        <v>Renewable diesel</v>
      </c>
      <c r="E137" s="34" t="str">
        <f>$D$149</f>
        <v>Renewable diesel</v>
      </c>
      <c r="F137" s="33"/>
      <c r="G137" s="34" t="str">
        <f>$D$149</f>
        <v>Renewable diesel</v>
      </c>
      <c r="H137" s="34"/>
      <c r="I137" s="34"/>
      <c r="J137" s="17"/>
      <c r="K137" s="17"/>
      <c r="L137" s="17"/>
    </row>
    <row r="138" spans="1:33" ht="20.100000000000001" customHeight="1" x14ac:dyDescent="0.25">
      <c r="A138"/>
      <c r="D138" s="33"/>
      <c r="E138" s="35" t="str">
        <f>$D$161</f>
        <v>Natural gas (via pipeline) in GJ</v>
      </c>
      <c r="F138" s="35"/>
      <c r="G138" s="34" t="str">
        <f>$D$148</f>
        <v>Other biofuels</v>
      </c>
      <c r="H138" s="34"/>
      <c r="I138" s="34"/>
      <c r="J138" s="17"/>
      <c r="K138" s="17"/>
      <c r="L138" s="17"/>
    </row>
    <row r="139" spans="1:33" ht="20.100000000000001" customHeight="1" x14ac:dyDescent="0.25">
      <c r="A139"/>
      <c r="D139" s="35"/>
      <c r="E139" s="35" t="str">
        <f>$D$162</f>
        <v>Town gas in GJ</v>
      </c>
      <c r="F139" s="35"/>
      <c r="G139" s="35"/>
      <c r="H139" s="35"/>
      <c r="I139" s="35"/>
      <c r="J139" s="17"/>
      <c r="K139" s="17"/>
      <c r="L139" s="17"/>
    </row>
    <row r="140" spans="1:33" ht="20.100000000000001" customHeight="1" x14ac:dyDescent="0.25">
      <c r="A140"/>
      <c r="D140" s="17"/>
      <c r="E140" s="17"/>
      <c r="F140" s="17"/>
      <c r="G140" s="17"/>
      <c r="H140" s="17"/>
      <c r="I140" s="17"/>
      <c r="J140" s="17"/>
      <c r="K140" s="17"/>
      <c r="L140" s="17"/>
    </row>
    <row r="141" spans="1:33" ht="20.100000000000001" customHeight="1" x14ac:dyDescent="0.25">
      <c r="A141"/>
      <c r="D141" s="17"/>
      <c r="E141" s="17"/>
      <c r="F141" s="17"/>
      <c r="G141" s="17"/>
      <c r="H141" s="17"/>
      <c r="I141" s="17"/>
      <c r="J141" s="17"/>
      <c r="K141" s="17"/>
      <c r="L141" s="17"/>
    </row>
    <row r="142" spans="1:33" ht="20.100000000000001" customHeight="1" x14ac:dyDescent="0.25">
      <c r="A142"/>
      <c r="D142" s="3" t="s">
        <v>95</v>
      </c>
      <c r="E142" s="3" t="s">
        <v>96</v>
      </c>
      <c r="F142" s="3" t="s">
        <v>904</v>
      </c>
      <c r="G142" s="17"/>
      <c r="H142" s="17"/>
      <c r="I142" s="17"/>
      <c r="J142" s="17"/>
      <c r="K142" s="17"/>
      <c r="L142" s="17"/>
      <c r="M142" s="17"/>
      <c r="AG142" s="8"/>
    </row>
    <row r="143" spans="1:33" ht="20.100000000000001" customHeight="1" x14ac:dyDescent="0.25">
      <c r="A143"/>
      <c r="D143" s="34" t="s">
        <v>97</v>
      </c>
      <c r="E143" s="3" t="s">
        <v>98</v>
      </c>
      <c r="F143" s="3" t="s">
        <v>905</v>
      </c>
      <c r="G143" s="17"/>
      <c r="H143" s="17"/>
      <c r="I143" s="17"/>
      <c r="J143" s="17"/>
      <c r="K143" s="17"/>
      <c r="L143" s="17"/>
      <c r="M143" s="17"/>
      <c r="AG143" s="8"/>
    </row>
    <row r="144" spans="1:33" ht="20.100000000000001" customHeight="1" x14ac:dyDescent="0.25">
      <c r="A144"/>
      <c r="D144" s="34" t="s">
        <v>99</v>
      </c>
      <c r="E144" s="3" t="s">
        <v>98</v>
      </c>
      <c r="F144" s="3" t="s">
        <v>905</v>
      </c>
      <c r="G144" s="17"/>
      <c r="H144" s="17"/>
      <c r="I144" s="17"/>
      <c r="J144" s="17"/>
      <c r="K144" s="17"/>
      <c r="L144" s="17"/>
      <c r="M144" s="17"/>
      <c r="AG144" s="8"/>
    </row>
    <row r="145" spans="1:33" ht="20.100000000000001" customHeight="1" x14ac:dyDescent="0.25">
      <c r="A145"/>
      <c r="D145" s="34" t="s">
        <v>100</v>
      </c>
      <c r="E145" s="3" t="s">
        <v>98</v>
      </c>
      <c r="F145" s="3" t="s">
        <v>905</v>
      </c>
      <c r="G145" s="17"/>
      <c r="H145" s="17"/>
      <c r="I145" s="17"/>
      <c r="J145" s="17"/>
      <c r="K145" s="17"/>
      <c r="L145" s="17"/>
      <c r="M145" s="17"/>
      <c r="AG145" s="8"/>
    </row>
    <row r="146" spans="1:33" ht="20.100000000000001" customHeight="1" x14ac:dyDescent="0.25">
      <c r="A146"/>
      <c r="D146" s="34" t="s">
        <v>101</v>
      </c>
      <c r="E146" s="3" t="s">
        <v>98</v>
      </c>
      <c r="F146" s="3" t="s">
        <v>905</v>
      </c>
      <c r="G146" s="17"/>
      <c r="H146" s="17"/>
      <c r="I146" s="17"/>
      <c r="J146" s="17"/>
      <c r="K146" s="17"/>
      <c r="L146" s="17"/>
      <c r="M146" s="17"/>
      <c r="AG146" s="8"/>
    </row>
    <row r="147" spans="1:33" ht="20.100000000000001" customHeight="1" x14ac:dyDescent="0.25">
      <c r="A147"/>
      <c r="D147" s="34" t="s">
        <v>102</v>
      </c>
      <c r="E147" s="3" t="s">
        <v>98</v>
      </c>
      <c r="F147" s="3" t="s">
        <v>905</v>
      </c>
      <c r="G147" s="17"/>
      <c r="H147" s="17"/>
      <c r="I147" s="17"/>
      <c r="J147" s="17"/>
      <c r="K147" s="17"/>
      <c r="L147" s="17"/>
      <c r="M147" s="17"/>
      <c r="AG147" s="8"/>
    </row>
    <row r="148" spans="1:33" ht="20.100000000000001" customHeight="1" x14ac:dyDescent="0.25">
      <c r="A148"/>
      <c r="D148" s="34" t="s">
        <v>103</v>
      </c>
      <c r="E148" s="3" t="s">
        <v>98</v>
      </c>
      <c r="F148" s="3" t="s">
        <v>905</v>
      </c>
      <c r="G148" s="17"/>
      <c r="H148" s="17"/>
      <c r="I148" s="17"/>
      <c r="J148" s="17"/>
      <c r="K148" s="17"/>
      <c r="L148" s="17"/>
      <c r="M148" s="17"/>
      <c r="AG148" s="8"/>
    </row>
    <row r="149" spans="1:33" ht="20.100000000000001" customHeight="1" x14ac:dyDescent="0.25">
      <c r="A149"/>
      <c r="D149" s="34" t="s">
        <v>104</v>
      </c>
      <c r="E149" s="3" t="s">
        <v>98</v>
      </c>
      <c r="F149" s="3" t="s">
        <v>905</v>
      </c>
      <c r="G149" s="17"/>
      <c r="H149" s="17"/>
      <c r="I149" s="17"/>
      <c r="J149" s="17"/>
      <c r="K149" s="17"/>
      <c r="L149" s="17"/>
      <c r="M149" s="17"/>
      <c r="AG149" s="8"/>
    </row>
    <row r="150" spans="1:33" ht="20.100000000000001" customHeight="1" x14ac:dyDescent="0.25">
      <c r="A150"/>
      <c r="D150" s="34" t="s">
        <v>105</v>
      </c>
      <c r="E150" s="3" t="s">
        <v>98</v>
      </c>
      <c r="F150" s="3" t="s">
        <v>905</v>
      </c>
      <c r="G150" s="17"/>
      <c r="H150" s="17"/>
      <c r="I150" s="17"/>
      <c r="J150" s="17"/>
      <c r="K150" s="17"/>
      <c r="L150" s="17"/>
      <c r="M150" s="17"/>
      <c r="AG150" s="8"/>
    </row>
    <row r="151" spans="1:33" ht="20.100000000000001" customHeight="1" x14ac:dyDescent="0.25">
      <c r="A151"/>
      <c r="D151" s="34" t="s">
        <v>106</v>
      </c>
      <c r="E151" s="3" t="s">
        <v>98</v>
      </c>
      <c r="F151" s="3" t="s">
        <v>905</v>
      </c>
      <c r="G151" s="17"/>
      <c r="H151" s="17"/>
      <c r="I151" s="17"/>
      <c r="J151" s="17"/>
      <c r="K151" s="17"/>
      <c r="L151" s="17"/>
      <c r="M151" s="17"/>
      <c r="AG151" s="8"/>
    </row>
    <row r="152" spans="1:33" ht="20.100000000000001" customHeight="1" x14ac:dyDescent="0.25">
      <c r="A152"/>
      <c r="D152" s="36" t="s">
        <v>107</v>
      </c>
      <c r="E152" s="14" t="s">
        <v>98</v>
      </c>
      <c r="F152" s="3" t="s">
        <v>905</v>
      </c>
      <c r="G152" s="17"/>
      <c r="H152" s="17"/>
      <c r="I152" s="17"/>
      <c r="J152" s="17"/>
      <c r="K152" s="17"/>
      <c r="L152" s="17"/>
      <c r="M152" s="17"/>
      <c r="AG152" s="8"/>
    </row>
    <row r="153" spans="1:33" ht="20.100000000000001" customHeight="1" x14ac:dyDescent="0.25">
      <c r="A153"/>
      <c r="D153" s="36" t="s">
        <v>108</v>
      </c>
      <c r="E153" s="14" t="s">
        <v>98</v>
      </c>
      <c r="F153" s="3" t="s">
        <v>905</v>
      </c>
      <c r="G153" s="17"/>
      <c r="H153" s="17"/>
      <c r="I153" s="17"/>
      <c r="J153" s="17"/>
      <c r="K153" s="17"/>
      <c r="L153" s="17"/>
      <c r="M153" s="17"/>
      <c r="AG153" s="8"/>
    </row>
    <row r="154" spans="1:33" ht="20.100000000000001" customHeight="1" x14ac:dyDescent="0.25">
      <c r="A154"/>
      <c r="D154" s="36" t="s">
        <v>109</v>
      </c>
      <c r="E154" s="14" t="s">
        <v>98</v>
      </c>
      <c r="F154" s="3" t="s">
        <v>905</v>
      </c>
      <c r="G154" s="17"/>
      <c r="H154" s="17"/>
      <c r="I154" s="17"/>
      <c r="J154" s="17"/>
      <c r="K154" s="17"/>
      <c r="L154" s="17"/>
      <c r="M154" s="17"/>
      <c r="AG154" s="8"/>
    </row>
    <row r="155" spans="1:33" ht="20.100000000000001" customHeight="1" x14ac:dyDescent="0.25">
      <c r="A155"/>
      <c r="D155" s="36" t="s">
        <v>110</v>
      </c>
      <c r="E155" s="14" t="s">
        <v>98</v>
      </c>
      <c r="F155" s="3" t="s">
        <v>905</v>
      </c>
      <c r="G155" s="17"/>
      <c r="H155" s="17"/>
      <c r="I155" s="17"/>
      <c r="J155" s="17"/>
      <c r="K155" s="17"/>
      <c r="L155" s="17"/>
      <c r="M155" s="17"/>
      <c r="AG155" s="8"/>
    </row>
    <row r="156" spans="1:33" ht="20.100000000000001" customHeight="1" x14ac:dyDescent="0.25">
      <c r="A156"/>
      <c r="D156" s="36" t="s">
        <v>111</v>
      </c>
      <c r="E156" s="14" t="s">
        <v>98</v>
      </c>
      <c r="F156" s="3" t="s">
        <v>905</v>
      </c>
      <c r="G156" s="17"/>
      <c r="H156" s="17"/>
      <c r="I156" s="17"/>
      <c r="J156" s="17"/>
      <c r="K156" s="17"/>
      <c r="L156" s="17"/>
      <c r="M156" s="17"/>
      <c r="AG156" s="8"/>
    </row>
    <row r="157" spans="1:33" ht="20.100000000000001" customHeight="1" x14ac:dyDescent="0.25">
      <c r="A157"/>
      <c r="D157" s="36" t="s">
        <v>112</v>
      </c>
      <c r="E157" s="14" t="s">
        <v>98</v>
      </c>
      <c r="F157" s="3" t="s">
        <v>905</v>
      </c>
      <c r="G157" s="17"/>
      <c r="H157" s="17"/>
      <c r="I157" s="17"/>
      <c r="J157" s="17"/>
      <c r="K157" s="17"/>
      <c r="L157" s="17"/>
      <c r="M157" s="17"/>
      <c r="AG157" s="8"/>
    </row>
    <row r="158" spans="1:33" ht="20.100000000000001" customHeight="1" x14ac:dyDescent="0.25">
      <c r="A158"/>
      <c r="D158" s="36" t="s">
        <v>113</v>
      </c>
      <c r="E158" s="14" t="s">
        <v>98</v>
      </c>
      <c r="F158" s="3" t="s">
        <v>905</v>
      </c>
      <c r="G158" s="17"/>
      <c r="H158" s="17"/>
      <c r="I158" s="17"/>
      <c r="J158" s="17"/>
      <c r="K158" s="17"/>
      <c r="L158" s="17"/>
      <c r="M158" s="17"/>
      <c r="AG158" s="8"/>
    </row>
    <row r="159" spans="1:33" ht="20.100000000000001" customHeight="1" x14ac:dyDescent="0.25">
      <c r="A159"/>
      <c r="D159" s="36" t="s">
        <v>114</v>
      </c>
      <c r="E159" s="14" t="s">
        <v>98</v>
      </c>
      <c r="F159" s="3" t="s">
        <v>905</v>
      </c>
      <c r="G159" s="17"/>
      <c r="H159" s="17"/>
      <c r="I159" s="17"/>
      <c r="J159" s="17"/>
      <c r="K159" s="17"/>
      <c r="L159" s="17"/>
      <c r="M159" s="17"/>
      <c r="AG159" s="8"/>
    </row>
    <row r="160" spans="1:33" ht="20.100000000000001" customHeight="1" x14ac:dyDescent="0.25">
      <c r="A160"/>
      <c r="D160" s="36" t="s">
        <v>94</v>
      </c>
      <c r="E160" s="14" t="s">
        <v>98</v>
      </c>
      <c r="F160" s="3" t="s">
        <v>905</v>
      </c>
      <c r="G160" s="17"/>
      <c r="H160" s="17"/>
      <c r="I160" s="17"/>
      <c r="J160" s="17"/>
      <c r="K160" s="17"/>
      <c r="L160" s="17"/>
      <c r="M160" s="17"/>
      <c r="AG160" s="8"/>
    </row>
    <row r="161" spans="4:33" ht="20.100000000000001" customHeight="1" x14ac:dyDescent="0.25">
      <c r="D161" s="35" t="s">
        <v>115</v>
      </c>
      <c r="E161" s="17" t="s">
        <v>116</v>
      </c>
      <c r="F161" s="17" t="s">
        <v>116</v>
      </c>
      <c r="G161" s="17"/>
      <c r="H161" s="17"/>
      <c r="I161" s="17"/>
      <c r="J161" s="17"/>
      <c r="K161" s="17"/>
      <c r="L161" s="17"/>
      <c r="M161" s="17"/>
      <c r="AG161" s="8"/>
    </row>
    <row r="162" spans="4:33" ht="20.100000000000001" customHeight="1" x14ac:dyDescent="0.25">
      <c r="D162" s="17" t="s">
        <v>117</v>
      </c>
      <c r="E162" s="17" t="s">
        <v>116</v>
      </c>
      <c r="F162" s="17" t="s">
        <v>116</v>
      </c>
      <c r="G162" s="17"/>
      <c r="H162" s="17"/>
      <c r="I162" s="17"/>
      <c r="J162" s="17"/>
      <c r="K162" s="17"/>
      <c r="L162" s="17"/>
      <c r="M162" s="17"/>
      <c r="AG162" s="8"/>
    </row>
    <row r="163" spans="4:33" ht="20.100000000000001" customHeight="1" x14ac:dyDescent="0.25"/>
    <row r="164" spans="4:33" ht="20.100000000000001" customHeight="1" x14ac:dyDescent="0.25"/>
    <row r="165" spans="4:33" ht="20.100000000000001" customHeight="1" x14ac:dyDescent="0.25"/>
  </sheetData>
  <pageMargins left="0.7" right="0.7" top="0.75" bottom="0.75" header="0.3" footer="0.3"/>
  <tableParts count="7">
    <tablePart r:id="rId1"/>
    <tablePart r:id="rId2"/>
    <tablePart r:id="rId3"/>
    <tablePart r:id="rId4"/>
    <tablePart r:id="rId5"/>
    <tablePart r:id="rId6"/>
    <tablePart r:id="rId7"/>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06C68-D42C-4F9D-B9B1-18DA0BF293E3}">
  <sheetPr>
    <tabColor theme="2" tint="-0.499984740745262"/>
  </sheetPr>
  <dimension ref="A1:W452"/>
  <sheetViews>
    <sheetView showGridLines="0" topLeftCell="A27" zoomScaleNormal="100" workbookViewId="0">
      <selection activeCell="A41" sqref="A41"/>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37" t="e" vm="1">
        <v>#VALUE!</v>
      </c>
      <c r="C1" s="1" t="s">
        <v>566</v>
      </c>
    </row>
    <row r="2" spans="1:21" s="2" customFormat="1" ht="20.100000000000001" customHeight="1" x14ac:dyDescent="0.25">
      <c r="A2"/>
    </row>
    <row r="3" spans="1:21"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c r="D5" s="9" t="str" cm="1">
        <f t="array" ref="D5">SourceData_Poultry.SourceData_Poultry_DietProperties_Title()</f>
        <v>Poultry - Diet properties</v>
      </c>
      <c r="M5" s="8"/>
    </row>
    <row r="6" spans="1:21" ht="20.100000000000001" customHeight="1" x14ac:dyDescent="0.25">
      <c r="A6"/>
      <c r="D6" s="11" t="str" cm="1">
        <f t="array" ref="D6">SourceData_Poultry.SourceData_Poultry_DietProperties_Source()</f>
        <v>VEERG 2026: Table A.1.7.1: Poultry - Diet properties</v>
      </c>
      <c r="M6" s="8"/>
    </row>
    <row r="7" spans="1:21" ht="20.100000000000001" customHeight="1" x14ac:dyDescent="0.25">
      <c r="A7" s="19" t="s">
        <v>67</v>
      </c>
      <c r="M7" s="8"/>
    </row>
    <row r="8" spans="1:21" ht="20.100000000000001" customHeight="1" x14ac:dyDescent="0.25">
      <c r="A8" s="16" t="str">
        <f>HYPERLINK("#'Input - Site'!A1", "Site")</f>
        <v>Site</v>
      </c>
      <c r="D8" s="10" t="s">
        <v>567</v>
      </c>
      <c r="E8" s="10" t="s">
        <v>568</v>
      </c>
      <c r="F8" s="10" t="s">
        <v>569</v>
      </c>
      <c r="G8" s="10" t="s">
        <v>570</v>
      </c>
      <c r="H8" s="10" t="s">
        <v>571</v>
      </c>
      <c r="M8" s="8"/>
    </row>
    <row r="9" spans="1:21" ht="20.100000000000001" customHeight="1" x14ac:dyDescent="0.25">
      <c r="A9" s="16" t="str">
        <f>HYPERLINK("#'Input - Fuel'!A1", "Fuel")</f>
        <v>Fuel</v>
      </c>
      <c r="D9" s="10" t="str" cm="1">
        <f t="array" ref="D9">Common_InputFunctions.Utility_DisplayArrayInTable(SourceData_Poultry.SourceData_Poultry_DietProperties_Data(), Table_SourceData_Poultry_DietProperties[[#Headers],[Nutrient analysis]], 0)</f>
        <v>Dry matter intake (kg/head/day)</v>
      </c>
      <c r="E9" s="10" cm="1">
        <f t="array" ref="E9">Common_InputFunctions.Utility_DisplayArrayInTable(SourceData_Poultry.SourceData_Poultry_DietProperties_Data(), Table_SourceData_Poultry_DietProperties[[#Headers],[Nutrient analysis]], 0)</f>
        <v>8.5999999999999993E-2</v>
      </c>
      <c r="F9" s="10" cm="1">
        <f t="array" ref="F9">Common_InputFunctions.Utility_DisplayArrayInTable(SourceData_Poultry.SourceData_Poultry_DietProperties_Data(), Table_SourceData_Poultry_DietProperties[[#Headers],[Nutrient analysis]], 0)</f>
        <v>9.2999999999999999E-2</v>
      </c>
      <c r="G9" s="10" cm="1">
        <f t="array" ref="G9">Common_InputFunctions.Utility_DisplayArrayInTable(SourceData_Poultry.SourceData_Poultry_DietProperties_Data(), Table_SourceData_Poultry_DietProperties[[#Headers],[Nutrient analysis]], 0)</f>
        <v>0.10299999999999999</v>
      </c>
      <c r="H9" s="10" cm="1">
        <f t="array" ref="H9">Common_InputFunctions.Utility_DisplayArrayInTable(SourceData_Poultry.SourceData_Poultry_DietProperties_Data(), Table_SourceData_Poultry_DietProperties[[#Headers],[Nutrient analysis]], 0)</f>
        <v>9.2999999999999999E-2</v>
      </c>
      <c r="M9" s="8"/>
    </row>
    <row r="10" spans="1:21" ht="20.100000000000001" customHeight="1" x14ac:dyDescent="0.25">
      <c r="A10" s="16" t="str">
        <f>HYPERLINK("#'Input - Fertiliser'!A1", "Fertiliser")</f>
        <v>Fertiliser</v>
      </c>
      <c r="D10" s="8" t="str" cm="1">
        <f t="array" ref="D10">Common_InputFunctions.Utility_DisplayArrayInTable(SourceData_Poultry.SourceData_Poultry_DietProperties_Data(), Table_SourceData_Poultry_DietProperties[[#Headers],[Nutrient analysis]], 0)</f>
        <v>Dry matter digestibility</v>
      </c>
      <c r="E10" s="10" cm="1">
        <f t="array" ref="E10">Common_InputFunctions.Utility_DisplayArrayInTable(SourceData_Poultry.SourceData_Poultry_DietProperties_Data(), Table_SourceData_Poultry_DietProperties[[#Headers],[Nutrient analysis]], 0)</f>
        <v>0.8</v>
      </c>
      <c r="F10" s="10" cm="1">
        <f t="array" ref="F10">Common_InputFunctions.Utility_DisplayArrayInTable(SourceData_Poultry.SourceData_Poultry_DietProperties_Data(), Table_SourceData_Poultry_DietProperties[[#Headers],[Nutrient analysis]], 0)</f>
        <v>0.8</v>
      </c>
      <c r="G10" s="10" cm="1">
        <f t="array" ref="G10">Common_InputFunctions.Utility_DisplayArrayInTable(SourceData_Poultry.SourceData_Poultry_DietProperties_Data(), Table_SourceData_Poultry_DietProperties[[#Headers],[Nutrient analysis]], 0)</f>
        <v>0.8</v>
      </c>
      <c r="H10" s="10" cm="1">
        <f t="array" ref="H10">Common_InputFunctions.Utility_DisplayArrayInTable(SourceData_Poultry.SourceData_Poultry_DietProperties_Data(), Table_SourceData_Poultry_DietProperties[[#Headers],[Nutrient analysis]], 0)</f>
        <v>0.8</v>
      </c>
      <c r="M10" s="8"/>
    </row>
    <row r="11" spans="1:21" ht="20.100000000000001" customHeight="1" x14ac:dyDescent="0.25">
      <c r="A11" s="16" t="str">
        <f>HYPERLINK("#'Input - Farm Inputs'!A1", "Farm Inputs")</f>
        <v>Farm Inputs</v>
      </c>
      <c r="D11" s="8" t="str" cm="1">
        <f t="array" ref="D11">Common_InputFunctions.Utility_DisplayArrayInTable(SourceData_Poultry.SourceData_Poultry_DietProperties_Data(), Table_SourceData_Poultry_DietProperties[[#Headers],[Nutrient analysis]], 0)</f>
        <v>Crude protein</v>
      </c>
      <c r="E11" s="10" cm="1">
        <f t="array" ref="E11">Common_InputFunctions.Utility_DisplayArrayInTable(SourceData_Poultry.SourceData_Poultry_DietProperties_Data(), Table_SourceData_Poultry_DietProperties[[#Headers],[Nutrient analysis]], 0)</f>
        <v>0.19</v>
      </c>
      <c r="F11" s="10" cm="1">
        <f t="array" ref="F11">Common_InputFunctions.Utility_DisplayArrayInTable(SourceData_Poultry.SourceData_Poultry_DietProperties_Data(), Table_SourceData_Poultry_DietProperties[[#Headers],[Nutrient analysis]], 0)</f>
        <v>0.23</v>
      </c>
      <c r="G11" s="10" cm="1">
        <f t="array" ref="G11">Common_InputFunctions.Utility_DisplayArrayInTable(SourceData_Poultry.SourceData_Poultry_DietProperties_Data(), Table_SourceData_Poultry_DietProperties[[#Headers],[Nutrient analysis]], 0)</f>
        <v>0.19</v>
      </c>
      <c r="H11" s="10" cm="1">
        <f t="array" ref="H11">Common_InputFunctions.Utility_DisplayArrayInTable(SourceData_Poultry.SourceData_Poultry_DietProperties_Data(), Table_SourceData_Poultry_DietProperties[[#Headers],[Nutrient analysis]], 0)</f>
        <v>0.23</v>
      </c>
      <c r="M11" s="8"/>
    </row>
    <row r="12" spans="1:21" ht="20.100000000000001" customHeight="1" x14ac:dyDescent="0.25">
      <c r="A12" s="16" t="str">
        <f>HYPERLINK("#'Input - Beef cattle purchases'!A1", "Beef cattle purchases")</f>
        <v>Beef cattle purchases</v>
      </c>
      <c r="D12" s="8" t="str" cm="1">
        <f t="array" ref="D12">Common_InputFunctions.Utility_DisplayArrayInTable(SourceData_Poultry.SourceData_Poultry_DietProperties_Data(), Table_SourceData_Poultry_DietProperties[[#Headers],[Nutrient analysis]], 0)</f>
        <v>Nitrogen retention rate</v>
      </c>
      <c r="E12" s="10" cm="1">
        <f t="array" ref="E12">Common_InputFunctions.Utility_DisplayArrayInTable(SourceData_Poultry.SourceData_Poultry_DietProperties_Data(), Table_SourceData_Poultry_DietProperties[[#Headers],[Nutrient analysis]], 0)</f>
        <v>0.35</v>
      </c>
      <c r="F12" s="10" cm="1">
        <f t="array" ref="F12">Common_InputFunctions.Utility_DisplayArrayInTable(SourceData_Poultry.SourceData_Poultry_DietProperties_Data(), Table_SourceData_Poultry_DietProperties[[#Headers],[Nutrient analysis]], 0)</f>
        <v>0.47</v>
      </c>
      <c r="G12" s="10" cm="1">
        <f t="array" ref="G12">Common_InputFunctions.Utility_DisplayArrayInTable(SourceData_Poultry.SourceData_Poultry_DietProperties_Data(), Table_SourceData_Poultry_DietProperties[[#Headers],[Nutrient analysis]], 0)</f>
        <v>0.32</v>
      </c>
      <c r="H12" s="10" cm="1">
        <f t="array" ref="H12">Common_InputFunctions.Utility_DisplayArrayInTable(SourceData_Poultry.SourceData_Poultry_DietProperties_Data(), Table_SourceData_Poultry_DietProperties[[#Headers],[Nutrient analysis]], 0)</f>
        <v>0.47</v>
      </c>
      <c r="M12" s="8"/>
    </row>
    <row r="13" spans="1:21" ht="20.100000000000001" customHeight="1" x14ac:dyDescent="0.25">
      <c r="A13" s="16" t="str">
        <f>HYPERLINK("#'Input - Dairy cattle purchases'!A1", "Dairy cattle purchases")</f>
        <v>Dairy cattle purchases</v>
      </c>
      <c r="D13" s="8" t="str" cm="1">
        <f t="array" ref="D13">Common_InputFunctions.Utility_DisplayArrayInTable(SourceData_Poultry.SourceData_Poultry_DietProperties_Data(), Table_SourceData_Poultry_DietProperties[[#Headers],[Nutrient analysis]], 0)</f>
        <v>Manure ash</v>
      </c>
      <c r="E13" s="10" cm="1">
        <f t="array" ref="E13">Common_InputFunctions.Utility_DisplayArrayInTable(SourceData_Poultry.SourceData_Poultry_DietProperties_Data(), Table_SourceData_Poultry_DietProperties[[#Headers],[Nutrient analysis]], 0)</f>
        <v>0.18</v>
      </c>
      <c r="F13" s="10" cm="1">
        <f t="array" ref="F13">Common_InputFunctions.Utility_DisplayArrayInTable(SourceData_Poultry.SourceData_Poultry_DietProperties_Data(), Table_SourceData_Poultry_DietProperties[[#Headers],[Nutrient analysis]], 0)</f>
        <v>0.15</v>
      </c>
      <c r="G13" s="10" cm="1">
        <f t="array" ref="G13">Common_InputFunctions.Utility_DisplayArrayInTable(SourceData_Poultry.SourceData_Poultry_DietProperties_Data(), Table_SourceData_Poultry_DietProperties[[#Headers],[Nutrient analysis]], 0)</f>
        <v>0.18</v>
      </c>
      <c r="H13" s="10" cm="1">
        <f t="array" ref="H13">Common_InputFunctions.Utility_DisplayArrayInTable(SourceData_Poultry.SourceData_Poultry_DietProperties_Data(), Table_SourceData_Poultry_DietProperties[[#Headers],[Nutrient analysis]], 0)</f>
        <v>0.15</v>
      </c>
      <c r="M13" s="8"/>
    </row>
    <row r="14" spans="1:21" ht="20.100000000000001" customHeight="1" x14ac:dyDescent="0.25">
      <c r="A14" s="16" t="str">
        <f>HYPERLINK("#'Input - Pig purchases'!A1", "Pig purchases")</f>
        <v>Pig purchases</v>
      </c>
      <c r="M14" s="8"/>
    </row>
    <row r="15" spans="1:21" ht="20.100000000000001" customHeight="1" x14ac:dyDescent="0.25">
      <c r="A15" s="16" t="str">
        <f>HYPERLINK("#'Input - Poultry purchases'!A1", "Poultry purchases")</f>
        <v>Poultry purchases</v>
      </c>
      <c r="M15" s="8"/>
    </row>
    <row r="16" spans="1:21" ht="20.100000000000001" customHeight="1" x14ac:dyDescent="0.25">
      <c r="A16" s="16" t="str">
        <f>HYPERLINK("#'Input - Freight'!A1", "Freight")</f>
        <v>Freight</v>
      </c>
      <c r="M16" s="8"/>
    </row>
    <row r="17" spans="1:13" ht="20.100000000000001" customHeight="1" x14ac:dyDescent="0.25">
      <c r="A17" s="16" t="str">
        <f>HYPERLINK("#'Input - Solid waste'!A1", "Solid waste")</f>
        <v>Solid waste</v>
      </c>
      <c r="D17" s="9" t="str" cm="1">
        <f t="array" ref="D17">SourceData_Poultry.SourceData_Poultry_MethaneEmissionsPotential_Title()</f>
        <v>Poultry - Methane emissions potential per class</v>
      </c>
      <c r="M17" s="8"/>
    </row>
    <row r="18" spans="1:13" ht="20.100000000000001" customHeight="1" x14ac:dyDescent="0.25">
      <c r="A18" s="16" t="str">
        <f>HYPERLINK("#'Input - Manure sent off-site'!A1", "Manure sent off-site")</f>
        <v>Manure sent off-site</v>
      </c>
      <c r="D18" s="11" t="str" cm="1">
        <f t="array" ref="D18">SourceData_Poultry.SourceData_Poultry_MethaneEmissionsPotential_Source()</f>
        <v>VEERG 2026: 4.6.2.3 CONSTANT: Poultry - Methane emissions potential per class</v>
      </c>
      <c r="M18" s="8"/>
    </row>
    <row r="19" spans="1:13" ht="20.100000000000001" customHeight="1" x14ac:dyDescent="0.25">
      <c r="A19" s="16" t="str">
        <f>HYPERLINK("#'Input - Electricity'!A1", "Electricity")</f>
        <v>Electricity</v>
      </c>
      <c r="D19" s="10" t="s">
        <v>572</v>
      </c>
      <c r="E19" s="10" t="s">
        <v>573</v>
      </c>
      <c r="M19" s="8"/>
    </row>
    <row r="20" spans="1:13" ht="20.100000000000001" customHeight="1" x14ac:dyDescent="0.25">
      <c r="A20"/>
      <c r="D20" s="10" t="str" cm="1">
        <f t="array" ref="D20">Common_InputFunctions.Utility_DisplayArrayInTable(SourceData_Poultry.SourceData_Poultry_MethaneEmissionsPotential_Data(), Table_SourceData_Poultry_MethaneEmissionsPotential[[#Headers],[Poultry class]], 0)</f>
        <v>Layers</v>
      </c>
      <c r="E20" s="10" cm="1">
        <f t="array" ref="E20">Common_InputFunctions.Utility_DisplayArrayInTable(SourceData_Poultry.SourceData_Poultry_MethaneEmissionsPotential_Data(), Table_SourceData_Poultry_MethaneEmissionsPotential[[#Headers],[Poultry class]], 0)</f>
        <v>0.39</v>
      </c>
      <c r="M20" s="8"/>
    </row>
    <row r="21" spans="1:13" ht="20.100000000000001" customHeight="1" x14ac:dyDescent="0.25">
      <c r="A21"/>
      <c r="D21" s="8" t="str" cm="1">
        <f t="array" ref="D21">Common_InputFunctions.Utility_DisplayArrayInTable(SourceData_Poultry.SourceData_Poultry_MethaneEmissionsPotential_Data(), Table_SourceData_Poultry_MethaneEmissionsPotential[[#Headers],[Poultry class]], 0)</f>
        <v>Meat chickens</v>
      </c>
      <c r="E21" s="10" cm="1">
        <f t="array" ref="E21">Common_InputFunctions.Utility_DisplayArrayInTable(SourceData_Poultry.SourceData_Poultry_MethaneEmissionsPotential_Data(), Table_SourceData_Poultry_MethaneEmissionsPotential[[#Headers],[Poultry class]], 0)</f>
        <v>0.36</v>
      </c>
      <c r="M21" s="8"/>
    </row>
    <row r="22" spans="1:13" ht="20.100000000000001" customHeight="1" x14ac:dyDescent="0.25">
      <c r="A22" s="21" t="s">
        <v>77</v>
      </c>
      <c r="M22" s="8"/>
    </row>
    <row r="23" spans="1:13" ht="20.100000000000001" customHeight="1" x14ac:dyDescent="0.25">
      <c r="A23" s="16" t="str">
        <f>HYPERLINK("#'15 Scope 3'!A1", "15 Scope 3")</f>
        <v>15 Scope 3</v>
      </c>
      <c r="M23" s="8"/>
    </row>
    <row r="24" spans="1:13" ht="20.100000000000001" customHeight="1" x14ac:dyDescent="0.25">
      <c r="A24" s="16" t="str">
        <f>HYPERLINK("#'10.1.1-2 Solid waste treatment'!A1", "10.1.1-2 Solid waste treatment")</f>
        <v>10.1.1-2 Solid waste treatment</v>
      </c>
      <c r="M24" s="8"/>
    </row>
    <row r="25" spans="1:13" ht="20.100000000000001" customHeight="1" x14ac:dyDescent="0.25">
      <c r="A25" s="16" t="str">
        <f>HYPERLINK("#'Calcs - Manure sent off-site'!A1", "Calcs - Manure sent off-site")</f>
        <v>Calcs - Manure sent off-site</v>
      </c>
      <c r="M25" s="8"/>
    </row>
    <row r="26" spans="1:13" ht="20.100000000000001" customHeight="1" x14ac:dyDescent="0.25">
      <c r="A26" s="16" t="str">
        <f>HYPERLINK("#'8.1.1.1-2 Transport fuel'!A1", "8.1.1.1-2 Transport fuel")</f>
        <v>8.1.1.1-2 Transport fuel</v>
      </c>
      <c r="D26" s="9" t="s">
        <v>574</v>
      </c>
      <c r="G26" s="9" t="s">
        <v>575</v>
      </c>
      <c r="J26" s="9" t="s">
        <v>576</v>
      </c>
      <c r="M26" s="8"/>
    </row>
    <row r="27" spans="1:13" ht="20.100000000000001" customHeight="1" x14ac:dyDescent="0.25">
      <c r="A27" s="16" t="str">
        <f>HYPERLINK("#'8.2.1.1-2 Stationary fuel'!A1", "8.2.1.1-2 Stationary fuel")</f>
        <v>8.2.1.1-2 Stationary fuel</v>
      </c>
      <c r="M27" s="8"/>
    </row>
    <row r="28" spans="1:13" ht="20.100000000000001" customHeight="1" x14ac:dyDescent="0.25">
      <c r="A28"/>
      <c r="D28" s="158" t="s">
        <v>517</v>
      </c>
      <c r="E28" s="10" t="s">
        <v>322</v>
      </c>
      <c r="G28" s="158" t="s">
        <v>517</v>
      </c>
      <c r="H28" s="10" t="s">
        <v>322</v>
      </c>
      <c r="J28" s="158" t="s">
        <v>517</v>
      </c>
      <c r="K28" s="10" t="s">
        <v>322</v>
      </c>
      <c r="M28" s="8"/>
    </row>
    <row r="29" spans="1:13" ht="20.100000000000001" customHeight="1" x14ac:dyDescent="0.25">
      <c r="A29"/>
      <c r="D29" s="10" t="s">
        <v>58</v>
      </c>
      <c r="E29" s="10" t="s">
        <v>577</v>
      </c>
      <c r="G29" s="10" t="s">
        <v>58</v>
      </c>
      <c r="H29" s="10" t="s">
        <v>577</v>
      </c>
      <c r="J29" s="10" t="s">
        <v>55</v>
      </c>
      <c r="K29" s="10" t="s">
        <v>578</v>
      </c>
      <c r="M29" s="8"/>
    </row>
    <row r="30" spans="1:13" ht="20.100000000000001" customHeight="1" x14ac:dyDescent="0.25">
      <c r="A30" s="221" t="s">
        <v>78</v>
      </c>
      <c r="D30" s="10" t="s">
        <v>579</v>
      </c>
      <c r="E30" s="10" t="s">
        <v>580</v>
      </c>
      <c r="G30" s="10" t="s">
        <v>579</v>
      </c>
      <c r="H30" s="10" t="s">
        <v>580</v>
      </c>
      <c r="J30" s="10" t="s">
        <v>54</v>
      </c>
      <c r="K30" s="10" t="s">
        <v>581</v>
      </c>
      <c r="M30" s="8"/>
    </row>
    <row r="31" spans="1:13" ht="20.100000000000001" customHeight="1" x14ac:dyDescent="0.25">
      <c r="A31" s="16" t="str">
        <f>HYPERLINK("#'Constants - Scope 3'!A1", "Constants - Scope 3")</f>
        <v>Constants - Scope 3</v>
      </c>
      <c r="D31" s="10" t="s">
        <v>582</v>
      </c>
      <c r="E31" s="10" t="s">
        <v>583</v>
      </c>
      <c r="G31" s="10" t="s">
        <v>582</v>
      </c>
      <c r="H31" s="10" t="s">
        <v>583</v>
      </c>
      <c r="J31" s="8" t="s">
        <v>51</v>
      </c>
      <c r="K31" s="8" t="s">
        <v>584</v>
      </c>
      <c r="M31" s="8"/>
    </row>
    <row r="32" spans="1:13" ht="20.100000000000001" customHeight="1" x14ac:dyDescent="0.25">
      <c r="A32" s="16" t="str">
        <f>HYPERLINK("#'Constants - Solid Waste'!A1", "Constants - Solid Waste")</f>
        <v>Constants - Solid Waste</v>
      </c>
      <c r="D32" s="10" t="s">
        <v>62</v>
      </c>
      <c r="E32" s="10" t="s">
        <v>585</v>
      </c>
      <c r="G32" s="10" t="s">
        <v>62</v>
      </c>
      <c r="H32" s="10" t="s">
        <v>585</v>
      </c>
      <c r="J32" s="10" t="s">
        <v>60</v>
      </c>
      <c r="K32" s="10" t="s">
        <v>586</v>
      </c>
      <c r="M32" s="8"/>
    </row>
    <row r="33" spans="1:13" ht="20.100000000000001" customHeight="1" x14ac:dyDescent="0.25">
      <c r="A33" s="16" t="str">
        <f>HYPERLINK("#'Constants - Fuel'!A1", "Constants - Fuel")</f>
        <v>Constants - Fuel</v>
      </c>
      <c r="D33" s="10" t="s">
        <v>55</v>
      </c>
      <c r="E33" s="10" t="s">
        <v>578</v>
      </c>
      <c r="G33" s="8" t="s">
        <v>587</v>
      </c>
      <c r="H33" s="10" t="s">
        <v>587</v>
      </c>
      <c r="J33" s="10" t="s">
        <v>61</v>
      </c>
      <c r="K33" s="10" t="s">
        <v>588</v>
      </c>
      <c r="M33" s="8"/>
    </row>
    <row r="34" spans="1:13" ht="20.100000000000001" customHeight="1" x14ac:dyDescent="0.25">
      <c r="A34" s="23" t="str">
        <f>HYPERLINK("#'Constants - Poultry'!A1", "Constants - Poultry")</f>
        <v>Constants - Poultry</v>
      </c>
      <c r="D34" s="10" t="s">
        <v>54</v>
      </c>
      <c r="E34" s="10" t="s">
        <v>581</v>
      </c>
      <c r="J34" s="8" t="s">
        <v>587</v>
      </c>
      <c r="K34" s="10" t="s">
        <v>587</v>
      </c>
      <c r="M34" s="8"/>
    </row>
    <row r="35" spans="1:13" ht="20.100000000000001" customHeight="1" x14ac:dyDescent="0.25">
      <c r="A35" s="16" t="str">
        <f>HYPERLINK("#'Constants - Swine'!A1", "Constants - Swine")</f>
        <v>Constants - Swine</v>
      </c>
      <c r="D35" s="8" t="s">
        <v>51</v>
      </c>
      <c r="E35" s="8" t="s">
        <v>584</v>
      </c>
      <c r="M35" s="8"/>
    </row>
    <row r="36" spans="1:13" ht="20.100000000000001" customHeight="1" x14ac:dyDescent="0.25">
      <c r="A36" s="16" t="str">
        <f>HYPERLINK("#'Constants - Dairy'!A1", "Constants - Dairy")</f>
        <v>Constants - Dairy</v>
      </c>
      <c r="D36" s="10" t="s">
        <v>60</v>
      </c>
      <c r="E36" s="10" t="s">
        <v>586</v>
      </c>
      <c r="M36" s="8"/>
    </row>
    <row r="37" spans="1:13" ht="20.100000000000001" customHeight="1" x14ac:dyDescent="0.25">
      <c r="A37" s="16" t="str">
        <f>HYPERLINK("#'Constants - Pasture Beef'!A1", "Constants - Pasture Beef")</f>
        <v>Constants - Pasture Beef</v>
      </c>
      <c r="D37" s="10" t="s">
        <v>61</v>
      </c>
      <c r="E37" s="10" t="s">
        <v>588</v>
      </c>
      <c r="M37" s="8"/>
    </row>
    <row r="38" spans="1:13" ht="20.100000000000001" customHeight="1" x14ac:dyDescent="0.25">
      <c r="A38" s="16" t="str">
        <f>HYPERLINK("#'Constants - Common Livestock'!A1", "Constants - Common Livestock")</f>
        <v>Constants - Common Livestock</v>
      </c>
      <c r="D38" s="8" t="s">
        <v>587</v>
      </c>
      <c r="E38" s="10" t="s">
        <v>587</v>
      </c>
      <c r="M38" s="8"/>
    </row>
    <row r="39" spans="1:13" ht="20.100000000000001" customHeight="1" x14ac:dyDescent="0.25">
      <c r="A39" s="16" t="str">
        <f>HYPERLINK("#'Constants - Fertiliser'!A1", "Constants - Fertiliser")</f>
        <v>Constants - Fertiliser</v>
      </c>
      <c r="M39" s="8"/>
    </row>
    <row r="40" spans="1:13" ht="20.100000000000001" customHeight="1" x14ac:dyDescent="0.25">
      <c r="A40" s="16" t="str">
        <f>HYPERLINK("#'Constants - Electricity'!A1", "Constants - Electricity")</f>
        <v>Constants - Electricity</v>
      </c>
      <c r="M40" s="8"/>
    </row>
    <row r="41" spans="1:13" ht="20.100000000000001" customHeight="1" x14ac:dyDescent="0.25">
      <c r="A41" s="16" t="str">
        <f>HYPERLINK("#'Constants - Common'!A1", "Constants - Common")</f>
        <v>Constants - Common</v>
      </c>
      <c r="M41" s="8"/>
    </row>
    <row r="42" spans="1:13" ht="20.100000000000001" customHeight="1" x14ac:dyDescent="0.25">
      <c r="A42"/>
      <c r="D42" s="9" t="s">
        <v>589</v>
      </c>
      <c r="G42" s="9" t="s">
        <v>907</v>
      </c>
      <c r="J42" s="9" t="s">
        <v>142</v>
      </c>
      <c r="M42" s="8"/>
    </row>
    <row r="43" spans="1:13" ht="20.100000000000001" customHeight="1" x14ac:dyDescent="0.25">
      <c r="A43"/>
      <c r="M43" s="8"/>
    </row>
    <row r="44" spans="1:13" ht="20.100000000000001" customHeight="1" x14ac:dyDescent="0.25">
      <c r="A44"/>
      <c r="D44" s="10" t="s">
        <v>144</v>
      </c>
      <c r="G44" s="10" t="s">
        <v>144</v>
      </c>
      <c r="J44" s="10" t="s">
        <v>43</v>
      </c>
      <c r="M44" s="8"/>
    </row>
    <row r="45" spans="1:13" ht="20.100000000000001" customHeight="1" x14ac:dyDescent="0.25">
      <c r="A45"/>
      <c r="D45" s="10" t="str" cm="1">
        <f t="array" ref="D45">Common_InputFunctions.Utility_DisplayArrayInTable(SourceData_Poultry.SourceData_Poultry_ProductionSystems_Data(), Table_SourceData_Poultry_ProductionSystems[[#Headers],[Production system]], 0)</f>
        <v>Free range</v>
      </c>
      <c r="G45" s="10" t="str">
        <f>'Constants - Common'!$F$187</f>
        <v>Pasture</v>
      </c>
      <c r="J45" s="10" t="s">
        <v>147</v>
      </c>
      <c r="M45" s="8"/>
    </row>
    <row r="46" spans="1:13" ht="20.100000000000001" customHeight="1" x14ac:dyDescent="0.25">
      <c r="A46"/>
      <c r="D46" s="8" t="str" cm="1">
        <f t="array" ref="D46">Common_InputFunctions.Utility_DisplayArrayInTable(SourceData_Poultry.SourceData_Poultry_ProductionSystems_Data(), Table_SourceData_Poultry_ProductionSystems[[#Headers],[Production system]], 0)</f>
        <v>Barn</v>
      </c>
      <c r="G46" s="8" t="str">
        <f>'Constants - Common'!$F$188</f>
        <v>Crop</v>
      </c>
      <c r="J46" s="10" t="s">
        <v>151</v>
      </c>
      <c r="M46" s="8"/>
    </row>
    <row r="47" spans="1:13" ht="20.100000000000001" customHeight="1" x14ac:dyDescent="0.25">
      <c r="A47"/>
      <c r="D47" s="8" t="str" cm="1">
        <f t="array" ref="D47">Common_InputFunctions.Utility_DisplayArrayInTable(SourceData_Poultry.SourceData_Poultry_ProductionSystems_Data(), Table_SourceData_Poultry_ProductionSystems[[#Headers],[Production system]], 0)</f>
        <v>Cage</v>
      </c>
      <c r="J47" s="8" t="s">
        <v>154</v>
      </c>
      <c r="M47" s="8"/>
    </row>
    <row r="48" spans="1:13" ht="20.100000000000001" customHeight="1" x14ac:dyDescent="0.25">
      <c r="A48"/>
      <c r="J48" s="8" t="s">
        <v>157</v>
      </c>
      <c r="M48" s="8"/>
    </row>
    <row r="49" spans="1:14" ht="20.100000000000001" customHeight="1" x14ac:dyDescent="0.25">
      <c r="A49"/>
      <c r="J49" s="8" t="s">
        <v>159</v>
      </c>
      <c r="M49" s="8"/>
    </row>
    <row r="50" spans="1:14" ht="20.100000000000001" customHeight="1" x14ac:dyDescent="0.25">
      <c r="A50"/>
      <c r="M50" s="8"/>
    </row>
    <row r="51" spans="1:14" ht="20.100000000000001" customHeight="1" x14ac:dyDescent="0.25">
      <c r="A51"/>
      <c r="D51" s="9" t="str" cm="1">
        <f t="array" ref="D51">SourceData_Poultry.SourceData_Poultry_MCF_Title()</f>
        <v>Poultry - MCFs</v>
      </c>
      <c r="M51" s="8"/>
    </row>
    <row r="52" spans="1:14" ht="20.100000000000001" customHeight="1" x14ac:dyDescent="0.25">
      <c r="A52"/>
      <c r="D52" s="11" t="str" cm="1">
        <f t="array" ref="D52">SourceData_Poultry.SourceData_Poultry_MCF_Source()</f>
        <v>VEERG 2026: Table A.1.7.4: Poultry - MCFs</v>
      </c>
      <c r="M52" s="8"/>
    </row>
    <row r="53" spans="1:14" ht="20.100000000000001" customHeight="1" x14ac:dyDescent="0.25">
      <c r="A53"/>
      <c r="D53" s="12" t="str" cm="1">
        <f t="array" ref="D53:D57">SourceData_Poultry.SourceData_Poultry_MCF_Variation()</f>
        <v>VARIATION ON SOURCE:</v>
      </c>
      <c r="M53" s="8"/>
    </row>
    <row r="54" spans="1:14" ht="20.100000000000001" customHeight="1" x14ac:dyDescent="0.25">
      <c r="A54"/>
      <c r="D54" s="12" t="str">
        <v>Split NSW and ACT into separate states. Split QLD and NT into separate states.</v>
      </c>
      <c r="M54" s="8"/>
    </row>
    <row r="55" spans="1:14" ht="20.100000000000001" customHeight="1" x14ac:dyDescent="0.25">
      <c r="A55"/>
      <c r="D55" s="12" t="str">
        <v>Included values for each state when 'All states' value is given.</v>
      </c>
      <c r="M55" s="8"/>
    </row>
    <row r="56" spans="1:14" ht="20.100000000000001" customHeight="1" x14ac:dyDescent="0.25">
      <c r="A56"/>
      <c r="D56" s="12" t="str">
        <v>Added 'NIR definition' column with MMS names that match NIR definitions.</v>
      </c>
      <c r="M56" s="8"/>
    </row>
    <row r="57" spans="1:14" ht="20.100000000000001" customHeight="1" x14ac:dyDescent="0.25">
      <c r="A57"/>
      <c r="D57" s="12" t="str">
        <v>Duplicated 'Poultry manure without litter' row for NIR MMS 'Belt manure removal' and 'Manure stored in house'</v>
      </c>
      <c r="M57" s="8"/>
    </row>
    <row r="58" spans="1:14" ht="20.100000000000001" customHeight="1" x14ac:dyDescent="0.25">
      <c r="A58"/>
      <c r="M58" s="8"/>
    </row>
    <row r="59" spans="1:14" ht="20.100000000000001" customHeight="1" x14ac:dyDescent="0.25">
      <c r="A59"/>
      <c r="D59" s="10" t="s">
        <v>525</v>
      </c>
      <c r="E59" s="10" t="s">
        <v>590</v>
      </c>
      <c r="F59" s="10" t="s">
        <v>329</v>
      </c>
      <c r="G59" s="10" t="s">
        <v>308</v>
      </c>
      <c r="H59" s="10" t="s">
        <v>330</v>
      </c>
      <c r="I59" s="10" t="s">
        <v>427</v>
      </c>
      <c r="J59" s="10" t="s">
        <v>335</v>
      </c>
      <c r="K59" s="10" t="s">
        <v>385</v>
      </c>
      <c r="L59" s="10" t="s">
        <v>336</v>
      </c>
      <c r="M59" s="10" t="s">
        <v>382</v>
      </c>
      <c r="N59" s="10" t="s">
        <v>542</v>
      </c>
    </row>
    <row r="60" spans="1:14" ht="20.100000000000001" customHeight="1" x14ac:dyDescent="0.25">
      <c r="A60"/>
      <c r="D60" s="10" t="str" cm="1">
        <f t="array" ref="D60">Common_InputFunctions.Utility_DisplayArrayInTable(SourceData_Poultry.SourceData_Poultry_MCF_Data(), Table_SourceData_Poultry_MMSMCF[[#Headers],[MMS m]], 0)</f>
        <v>Poultry manure with litter</v>
      </c>
      <c r="E60" s="10" cm="1">
        <f t="array" ref="E60">Common_InputFunctions.Utility_DisplayArrayInTable(SourceData_Poultry.SourceData_Poultry_MCF_Data(), Table_SourceData_Poultry_MMSMCF[[#Headers],[MMS m]], 0)</f>
        <v>1.4999999999999999E-2</v>
      </c>
      <c r="F60" s="10" cm="1">
        <f t="array" ref="F60">Common_InputFunctions.Utility_DisplayArrayInTable(SourceData_Poultry.SourceData_Poultry_MCF_Data(), Table_SourceData_Poultry_MMSMCF[[#Headers],[MMS m]], 0)</f>
        <v>1.4999999999999999E-2</v>
      </c>
      <c r="G60" s="10" cm="1">
        <f t="array" ref="G60">Common_InputFunctions.Utility_DisplayArrayInTable(SourceData_Poultry.SourceData_Poultry_MCF_Data(), Table_SourceData_Poultry_MMSMCF[[#Headers],[MMS m]], 0)</f>
        <v>1.4999999999999999E-2</v>
      </c>
      <c r="H60" s="10" cm="1">
        <f t="array" ref="H60">Common_InputFunctions.Utility_DisplayArrayInTable(SourceData_Poultry.SourceData_Poultry_MCF_Data(), Table_SourceData_Poultry_MMSMCF[[#Headers],[MMS m]], 0)</f>
        <v>1.4999999999999999E-2</v>
      </c>
      <c r="I60" s="10" cm="1">
        <f t="array" ref="I60">Common_InputFunctions.Utility_DisplayArrayInTable(SourceData_Poultry.SourceData_Poultry_MCF_Data(), Table_SourceData_Poultry_MMSMCF[[#Headers],[MMS m]], 0)</f>
        <v>1.4999999999999999E-2</v>
      </c>
      <c r="J60" s="10" cm="1">
        <f t="array" ref="J60">Common_InputFunctions.Utility_DisplayArrayInTable(SourceData_Poultry.SourceData_Poultry_MCF_Data(), Table_SourceData_Poultry_MMSMCF[[#Headers],[MMS m]], 0)</f>
        <v>1.4999999999999999E-2</v>
      </c>
      <c r="K60" s="10" cm="1">
        <f t="array" ref="K60">Common_InputFunctions.Utility_DisplayArrayInTable(SourceData_Poultry.SourceData_Poultry_MCF_Data(), Table_SourceData_Poultry_MMSMCF[[#Headers],[MMS m]], 0)</f>
        <v>1.4999999999999999E-2</v>
      </c>
      <c r="L60" s="10" cm="1">
        <f t="array" ref="L60">Common_InputFunctions.Utility_DisplayArrayInTable(SourceData_Poultry.SourceData_Poultry_MCF_Data(), Table_SourceData_Poultry_MMSMCF[[#Headers],[MMS m]], 0)</f>
        <v>1.4999999999999999E-2</v>
      </c>
      <c r="M60" s="10" cm="1">
        <f t="array" ref="M60">Common_InputFunctions.Utility_DisplayArrayInTable(SourceData_Poultry.SourceData_Poultry_MCF_Data(), Table_SourceData_Poultry_MMSMCF[[#Headers],[MMS m]], 0)</f>
        <v>1.4999999999999999E-2</v>
      </c>
      <c r="N60" s="10" t="str" cm="1">
        <f t="array" ref="N60">Common_InputFunctions.Utility_DisplayArrayInTable(SourceData_Poultry.SourceData_Poultry_MCF_Data(), Table_SourceData_Poultry_MMSMCF[[#Headers],[MMS m]], 0)</f>
        <v>Poultry manure with bedding</v>
      </c>
    </row>
    <row r="61" spans="1:14" ht="20.100000000000001" customHeight="1" x14ac:dyDescent="0.25">
      <c r="A61"/>
      <c r="D61" s="8" t="str" cm="1">
        <f t="array" ref="D61">Common_InputFunctions.Utility_DisplayArrayInTable(SourceData_Poultry.SourceData_Poultry_MCF_Data(), Table_SourceData_Poultry_MMSMCF[[#Headers],[MMS m]], 0)</f>
        <v>Poultry manure without litter</v>
      </c>
      <c r="E61" s="10" cm="1">
        <f t="array" ref="E61">Common_InputFunctions.Utility_DisplayArrayInTable(SourceData_Poultry.SourceData_Poultry_MCF_Data(), Table_SourceData_Poultry_MMSMCF[[#Headers],[MMS m]], 0)</f>
        <v>1.4999999999999999E-2</v>
      </c>
      <c r="F61" s="10" cm="1">
        <f t="array" ref="F61">Common_InputFunctions.Utility_DisplayArrayInTable(SourceData_Poultry.SourceData_Poultry_MCF_Data(), Table_SourceData_Poultry_MMSMCF[[#Headers],[MMS m]], 0)</f>
        <v>1.4999999999999999E-2</v>
      </c>
      <c r="G61" s="10" cm="1">
        <f t="array" ref="G61">Common_InputFunctions.Utility_DisplayArrayInTable(SourceData_Poultry.SourceData_Poultry_MCF_Data(), Table_SourceData_Poultry_MMSMCF[[#Headers],[MMS m]], 0)</f>
        <v>1.4999999999999999E-2</v>
      </c>
      <c r="H61" s="10" cm="1">
        <f t="array" ref="H61">Common_InputFunctions.Utility_DisplayArrayInTable(SourceData_Poultry.SourceData_Poultry_MCF_Data(), Table_SourceData_Poultry_MMSMCF[[#Headers],[MMS m]], 0)</f>
        <v>1.4999999999999999E-2</v>
      </c>
      <c r="I61" s="10" cm="1">
        <f t="array" ref="I61">Common_InputFunctions.Utility_DisplayArrayInTable(SourceData_Poultry.SourceData_Poultry_MCF_Data(), Table_SourceData_Poultry_MMSMCF[[#Headers],[MMS m]], 0)</f>
        <v>1.4999999999999999E-2</v>
      </c>
      <c r="J61" s="10" cm="1">
        <f t="array" ref="J61">Common_InputFunctions.Utility_DisplayArrayInTable(SourceData_Poultry.SourceData_Poultry_MCF_Data(), Table_SourceData_Poultry_MMSMCF[[#Headers],[MMS m]], 0)</f>
        <v>1.4999999999999999E-2</v>
      </c>
      <c r="K61" s="10" cm="1">
        <f t="array" ref="K61">Common_InputFunctions.Utility_DisplayArrayInTable(SourceData_Poultry.SourceData_Poultry_MCF_Data(), Table_SourceData_Poultry_MMSMCF[[#Headers],[MMS m]], 0)</f>
        <v>1.4999999999999999E-2</v>
      </c>
      <c r="L61" s="10" cm="1">
        <f t="array" ref="L61">Common_InputFunctions.Utility_DisplayArrayInTable(SourceData_Poultry.SourceData_Poultry_MCF_Data(), Table_SourceData_Poultry_MMSMCF[[#Headers],[MMS m]], 0)</f>
        <v>1.4999999999999999E-2</v>
      </c>
      <c r="M61" s="10" cm="1">
        <f t="array" ref="M61">Common_InputFunctions.Utility_DisplayArrayInTable(SourceData_Poultry.SourceData_Poultry_MCF_Data(), Table_SourceData_Poultry_MMSMCF[[#Headers],[MMS m]], 0)</f>
        <v>1.4999999999999999E-2</v>
      </c>
      <c r="N61" s="10" t="str" cm="1">
        <f t="array" ref="N61">Common_InputFunctions.Utility_DisplayArrayInTable(SourceData_Poultry.SourceData_Poultry_MCF_Data(), Table_SourceData_Poultry_MMSMCF[[#Headers],[MMS m]], 0)</f>
        <v>Belt manure removal</v>
      </c>
    </row>
    <row r="62" spans="1:14" ht="20.100000000000001" customHeight="1" x14ac:dyDescent="0.25">
      <c r="A62"/>
      <c r="D62" s="8" t="str" cm="1">
        <f t="array" ref="D62">Common_InputFunctions.Utility_DisplayArrayInTable(SourceData_Poultry.SourceData_Poultry_MCF_Data(), Table_SourceData_Poultry_MMSMCF[[#Headers],[MMS m]], 0)</f>
        <v>Poultry manure without litter</v>
      </c>
      <c r="E62" s="10" cm="1">
        <f t="array" ref="E62">Common_InputFunctions.Utility_DisplayArrayInTable(SourceData_Poultry.SourceData_Poultry_MCF_Data(), Table_SourceData_Poultry_MMSMCF[[#Headers],[MMS m]], 0)</f>
        <v>1.4999999999999999E-2</v>
      </c>
      <c r="F62" s="10" cm="1">
        <f t="array" ref="F62">Common_InputFunctions.Utility_DisplayArrayInTable(SourceData_Poultry.SourceData_Poultry_MCF_Data(), Table_SourceData_Poultry_MMSMCF[[#Headers],[MMS m]], 0)</f>
        <v>1.4999999999999999E-2</v>
      </c>
      <c r="G62" s="10" cm="1">
        <f t="array" ref="G62">Common_InputFunctions.Utility_DisplayArrayInTable(SourceData_Poultry.SourceData_Poultry_MCF_Data(), Table_SourceData_Poultry_MMSMCF[[#Headers],[MMS m]], 0)</f>
        <v>1.4999999999999999E-2</v>
      </c>
      <c r="H62" s="10" cm="1">
        <f t="array" ref="H62">Common_InputFunctions.Utility_DisplayArrayInTable(SourceData_Poultry.SourceData_Poultry_MCF_Data(), Table_SourceData_Poultry_MMSMCF[[#Headers],[MMS m]], 0)</f>
        <v>1.4999999999999999E-2</v>
      </c>
      <c r="I62" s="10" cm="1">
        <f t="array" ref="I62">Common_InputFunctions.Utility_DisplayArrayInTable(SourceData_Poultry.SourceData_Poultry_MCF_Data(), Table_SourceData_Poultry_MMSMCF[[#Headers],[MMS m]], 0)</f>
        <v>1.4999999999999999E-2</v>
      </c>
      <c r="J62" s="10" cm="1">
        <f t="array" ref="J62">Common_InputFunctions.Utility_DisplayArrayInTable(SourceData_Poultry.SourceData_Poultry_MCF_Data(), Table_SourceData_Poultry_MMSMCF[[#Headers],[MMS m]], 0)</f>
        <v>1.4999999999999999E-2</v>
      </c>
      <c r="K62" s="10" cm="1">
        <f t="array" ref="K62">Common_InputFunctions.Utility_DisplayArrayInTable(SourceData_Poultry.SourceData_Poultry_MCF_Data(), Table_SourceData_Poultry_MMSMCF[[#Headers],[MMS m]], 0)</f>
        <v>1.4999999999999999E-2</v>
      </c>
      <c r="L62" s="10" cm="1">
        <f t="array" ref="L62">Common_InputFunctions.Utility_DisplayArrayInTable(SourceData_Poultry.SourceData_Poultry_MCF_Data(), Table_SourceData_Poultry_MMSMCF[[#Headers],[MMS m]], 0)</f>
        <v>1.4999999999999999E-2</v>
      </c>
      <c r="M62" s="10" cm="1">
        <f t="array" ref="M62">Common_InputFunctions.Utility_DisplayArrayInTable(SourceData_Poultry.SourceData_Poultry_MCF_Data(), Table_SourceData_Poultry_MMSMCF[[#Headers],[MMS m]], 0)</f>
        <v>1.4999999999999999E-2</v>
      </c>
      <c r="N62" s="10" t="str" cm="1">
        <f t="array" ref="N62">Common_InputFunctions.Utility_DisplayArrayInTable(SourceData_Poultry.SourceData_Poultry_MCF_Data(), Table_SourceData_Poultry_MMSMCF[[#Headers],[MMS m]], 0)</f>
        <v>Manure stored in house</v>
      </c>
    </row>
    <row r="63" spans="1:14" ht="20.100000000000001" customHeight="1" x14ac:dyDescent="0.25">
      <c r="A63"/>
      <c r="D63" s="8" t="str" cm="1">
        <f t="array" ref="D63">Common_InputFunctions.Utility_DisplayArrayInTable(SourceData_Poultry.SourceData_Poultry_MCF_Data(), Table_SourceData_Poultry_MMSMCF[[#Headers],[MMS m]], 0)</f>
        <v>Pasture range and paddock</v>
      </c>
      <c r="E63" s="10" t="str" cm="1">
        <f t="array" ref="E63">Common_InputFunctions.Utility_DisplayArrayInTable(SourceData_Poultry.SourceData_Poultry_MCF_Data(), Table_SourceData_Poultry_MMSMCF[[#Headers],[MMS m]], 0)</f>
        <v>n/a</v>
      </c>
      <c r="F63" s="10" cm="1">
        <f t="array" ref="F63">Common_InputFunctions.Utility_DisplayArrayInTable(SourceData_Poultry.SourceData_Poultry_MCF_Data(), Table_SourceData_Poultry_MMSMCF[[#Headers],[MMS m]], 0)</f>
        <v>0.01</v>
      </c>
      <c r="G63" s="10" cm="1">
        <f t="array" ref="G63">Common_InputFunctions.Utility_DisplayArrayInTable(SourceData_Poultry.SourceData_Poultry_MCF_Data(), Table_SourceData_Poultry_MMSMCF[[#Headers],[MMS m]], 0)</f>
        <v>0.01</v>
      </c>
      <c r="H63" s="10" cm="1">
        <f t="array" ref="H63">Common_InputFunctions.Utility_DisplayArrayInTable(SourceData_Poultry.SourceData_Poultry_MCF_Data(), Table_SourceData_Poultry_MMSMCF[[#Headers],[MMS m]], 0)</f>
        <v>0.03</v>
      </c>
      <c r="I63" s="10" cm="1">
        <f t="array" ref="I63">Common_InputFunctions.Utility_DisplayArrayInTable(SourceData_Poultry.SourceData_Poultry_MCF_Data(), Table_SourceData_Poultry_MMSMCF[[#Headers],[MMS m]], 0)</f>
        <v>0.03</v>
      </c>
      <c r="J63" s="10" cm="1">
        <f t="array" ref="J63">Common_InputFunctions.Utility_DisplayArrayInTable(SourceData_Poultry.SourceData_Poultry_MCF_Data(), Table_SourceData_Poultry_MMSMCF[[#Headers],[MMS m]], 0)</f>
        <v>0.01</v>
      </c>
      <c r="K63" s="10" cm="1">
        <f t="array" ref="K63">Common_InputFunctions.Utility_DisplayArrayInTable(SourceData_Poultry.SourceData_Poultry_MCF_Data(), Table_SourceData_Poultry_MMSMCF[[#Headers],[MMS m]], 0)</f>
        <v>0.01</v>
      </c>
      <c r="L63" s="10" cm="1">
        <f t="array" ref="L63">Common_InputFunctions.Utility_DisplayArrayInTable(SourceData_Poultry.SourceData_Poultry_MCF_Data(), Table_SourceData_Poultry_MMSMCF[[#Headers],[MMS m]], 0)</f>
        <v>0.01</v>
      </c>
      <c r="M63" s="10" cm="1">
        <f t="array" ref="M63">Common_InputFunctions.Utility_DisplayArrayInTable(SourceData_Poultry.SourceData_Poultry_MCF_Data(), Table_SourceData_Poultry_MMSMCF[[#Headers],[MMS m]], 0)</f>
        <v>0.01</v>
      </c>
      <c r="N63" s="10" t="str" cm="1">
        <f t="array" ref="N63">Common_InputFunctions.Utility_DisplayArrayInTable(SourceData_Poultry.SourceData_Poultry_MCF_Data(), Table_SourceData_Poultry_MMSMCF[[#Headers],[MMS m]], 0)</f>
        <v>Pasture range and paddock</v>
      </c>
    </row>
    <row r="64" spans="1:14" ht="20.100000000000001" customHeight="1" x14ac:dyDescent="0.25">
      <c r="A64"/>
      <c r="D64" s="8" t="str" cm="1">
        <f t="array" ref="D64">Common_InputFunctions.Utility_DisplayArrayInTable(SourceData_Poultry.SourceData_Poultry_MCF_Data(), Table_SourceData_Poultry_MMSMCF[[#Headers],[MMS m]], 0)</f>
        <v>Solid storage</v>
      </c>
      <c r="E64" s="10" cm="1">
        <f t="array" ref="E64">Common_InputFunctions.Utility_DisplayArrayInTable(SourceData_Poultry.SourceData_Poultry_MCF_Data(), Table_SourceData_Poultry_MMSMCF[[#Headers],[MMS m]], 0)</f>
        <v>0.02</v>
      </c>
      <c r="F64" s="10" cm="1">
        <f t="array" ref="F64">Common_InputFunctions.Utility_DisplayArrayInTable(SourceData_Poultry.SourceData_Poultry_MCF_Data(), Table_SourceData_Poultry_MMSMCF[[#Headers],[MMS m]], 0)</f>
        <v>0.02</v>
      </c>
      <c r="G64" s="10" cm="1">
        <f t="array" ref="G64">Common_InputFunctions.Utility_DisplayArrayInTable(SourceData_Poultry.SourceData_Poultry_MCF_Data(), Table_SourceData_Poultry_MMSMCF[[#Headers],[MMS m]], 0)</f>
        <v>0.02</v>
      </c>
      <c r="H64" s="10" cm="1">
        <f t="array" ref="H64">Common_InputFunctions.Utility_DisplayArrayInTable(SourceData_Poultry.SourceData_Poultry_MCF_Data(), Table_SourceData_Poultry_MMSMCF[[#Headers],[MMS m]], 0)</f>
        <v>0.02</v>
      </c>
      <c r="I64" s="10" cm="1">
        <f t="array" ref="I64">Common_InputFunctions.Utility_DisplayArrayInTable(SourceData_Poultry.SourceData_Poultry_MCF_Data(), Table_SourceData_Poultry_MMSMCF[[#Headers],[MMS m]], 0)</f>
        <v>0.02</v>
      </c>
      <c r="J64" s="10" cm="1">
        <f t="array" ref="J64">Common_InputFunctions.Utility_DisplayArrayInTable(SourceData_Poultry.SourceData_Poultry_MCF_Data(), Table_SourceData_Poultry_MMSMCF[[#Headers],[MMS m]], 0)</f>
        <v>0.02</v>
      </c>
      <c r="K64" s="10" cm="1">
        <f t="array" ref="K64">Common_InputFunctions.Utility_DisplayArrayInTable(SourceData_Poultry.SourceData_Poultry_MCF_Data(), Table_SourceData_Poultry_MMSMCF[[#Headers],[MMS m]], 0)</f>
        <v>0.02</v>
      </c>
      <c r="L64" s="10" cm="1">
        <f t="array" ref="L64">Common_InputFunctions.Utility_DisplayArrayInTable(SourceData_Poultry.SourceData_Poultry_MCF_Data(), Table_SourceData_Poultry_MMSMCF[[#Headers],[MMS m]], 0)</f>
        <v>0.02</v>
      </c>
      <c r="M64" s="10" cm="1">
        <f t="array" ref="M64">Common_InputFunctions.Utility_DisplayArrayInTable(SourceData_Poultry.SourceData_Poultry_MCF_Data(), Table_SourceData_Poultry_MMSMCF[[#Headers],[MMS m]], 0)</f>
        <v>0.02</v>
      </c>
      <c r="N64" s="10" t="str" cm="1">
        <f t="array" ref="N64">Common_InputFunctions.Utility_DisplayArrayInTable(SourceData_Poultry.SourceData_Poultry_MCF_Data(), Table_SourceData_Poultry_MMSMCF[[#Headers],[MMS m]], 0)</f>
        <v>Solid storage</v>
      </c>
    </row>
    <row r="65" spans="1:22" ht="20.100000000000001" customHeight="1" x14ac:dyDescent="0.25">
      <c r="A65"/>
      <c r="D65" s="8" t="str" cm="1">
        <f t="array" ref="D65">Common_InputFunctions.Utility_DisplayArrayInTable(SourceData_Poultry.SourceData_Poultry_MCF_Data(), Table_SourceData_Poultry_MMSMCF[[#Headers],[MMS m]], 0)</f>
        <v>Composting (passive windrow)</v>
      </c>
      <c r="E65" s="10" t="str" cm="1">
        <f t="array" ref="E65">Common_InputFunctions.Utility_DisplayArrayInTable(SourceData_Poultry.SourceData_Poultry_MCF_Data(), Table_SourceData_Poultry_MMSMCF[[#Headers],[MMS m]], 0)</f>
        <v>n/a</v>
      </c>
      <c r="F65" s="10" cm="1">
        <f t="array" ref="F65">Common_InputFunctions.Utility_DisplayArrayInTable(SourceData_Poultry.SourceData_Poultry_MCF_Data(), Table_SourceData_Poultry_MMSMCF[[#Headers],[MMS m]], 0)</f>
        <v>0.01</v>
      </c>
      <c r="G65" s="10" cm="1">
        <f t="array" ref="G65">Common_InputFunctions.Utility_DisplayArrayInTable(SourceData_Poultry.SourceData_Poultry_MCF_Data(), Table_SourceData_Poultry_MMSMCF[[#Headers],[MMS m]], 0)</f>
        <v>0.01</v>
      </c>
      <c r="H65" s="10" cm="1">
        <f t="array" ref="H65">Common_InputFunctions.Utility_DisplayArrayInTable(SourceData_Poultry.SourceData_Poultry_MCF_Data(), Table_SourceData_Poultry_MMSMCF[[#Headers],[MMS m]], 0)</f>
        <v>0.01</v>
      </c>
      <c r="I65" s="10" cm="1">
        <f t="array" ref="I65">Common_InputFunctions.Utility_DisplayArrayInTable(SourceData_Poultry.SourceData_Poultry_MCF_Data(), Table_SourceData_Poultry_MMSMCF[[#Headers],[MMS m]], 0)</f>
        <v>0.01</v>
      </c>
      <c r="J65" s="10" cm="1">
        <f t="array" ref="J65">Common_InputFunctions.Utility_DisplayArrayInTable(SourceData_Poultry.SourceData_Poultry_MCF_Data(), Table_SourceData_Poultry_MMSMCF[[#Headers],[MMS m]], 0)</f>
        <v>0.01</v>
      </c>
      <c r="K65" s="10" cm="1">
        <f t="array" ref="K65">Common_InputFunctions.Utility_DisplayArrayInTable(SourceData_Poultry.SourceData_Poultry_MCF_Data(), Table_SourceData_Poultry_MMSMCF[[#Headers],[MMS m]], 0)</f>
        <v>0.01</v>
      </c>
      <c r="L65" s="10" cm="1">
        <f t="array" ref="L65">Common_InputFunctions.Utility_DisplayArrayInTable(SourceData_Poultry.SourceData_Poultry_MCF_Data(), Table_SourceData_Poultry_MMSMCF[[#Headers],[MMS m]], 0)</f>
        <v>0.01</v>
      </c>
      <c r="M65" s="10" cm="1">
        <f t="array" ref="M65">Common_InputFunctions.Utility_DisplayArrayInTable(SourceData_Poultry.SourceData_Poultry_MCF_Data(), Table_SourceData_Poultry_MMSMCF[[#Headers],[MMS m]], 0)</f>
        <v>5.0000000000000001E-3</v>
      </c>
      <c r="N65" s="10" t="str" cm="1">
        <f t="array" ref="N65">Common_InputFunctions.Utility_DisplayArrayInTable(SourceData_Poultry.SourceData_Poultry_MCF_Data(), Table_SourceData_Poultry_MMSMCF[[#Headers],[MMS m]], 0)</f>
        <v>Composting (passive windrow)</v>
      </c>
    </row>
    <row r="66" spans="1:22" ht="20.100000000000001" customHeight="1" x14ac:dyDescent="0.25">
      <c r="A66"/>
      <c r="D66" s="8" t="str" cm="1">
        <f t="array" ref="D66">Common_InputFunctions.Utility_DisplayArrayInTable(SourceData_Poultry.SourceData_Poultry_MCF_Data(), Table_SourceData_Poultry_MMSMCF[[#Headers],[MMS m]], 0)</f>
        <v>Anaerobic digester / Covered pond</v>
      </c>
      <c r="E66" s="10" cm="1">
        <f t="array" ref="E66">Common_InputFunctions.Utility_DisplayArrayInTable(SourceData_Poultry.SourceData_Poultry_MCF_Data(), Table_SourceData_Poultry_MMSMCF[[#Headers],[MMS m]], 0)</f>
        <v>0.1</v>
      </c>
      <c r="F66" s="10" cm="1">
        <f t="array" ref="F66">Common_InputFunctions.Utility_DisplayArrayInTable(SourceData_Poultry.SourceData_Poultry_MCF_Data(), Table_SourceData_Poultry_MMSMCF[[#Headers],[MMS m]], 0)</f>
        <v>0.1</v>
      </c>
      <c r="G66" s="10" cm="1">
        <f t="array" ref="G66">Common_InputFunctions.Utility_DisplayArrayInTable(SourceData_Poultry.SourceData_Poultry_MCF_Data(), Table_SourceData_Poultry_MMSMCF[[#Headers],[MMS m]], 0)</f>
        <v>0.1</v>
      </c>
      <c r="H66" s="10" cm="1">
        <f t="array" ref="H66">Common_InputFunctions.Utility_DisplayArrayInTable(SourceData_Poultry.SourceData_Poultry_MCF_Data(), Table_SourceData_Poultry_MMSMCF[[#Headers],[MMS m]], 0)</f>
        <v>0.1</v>
      </c>
      <c r="I66" s="10" cm="1">
        <f t="array" ref="I66">Common_InputFunctions.Utility_DisplayArrayInTable(SourceData_Poultry.SourceData_Poultry_MCF_Data(), Table_SourceData_Poultry_MMSMCF[[#Headers],[MMS m]], 0)</f>
        <v>0.1</v>
      </c>
      <c r="J66" s="10" cm="1">
        <f t="array" ref="J66">Common_InputFunctions.Utility_DisplayArrayInTable(SourceData_Poultry.SourceData_Poultry_MCF_Data(), Table_SourceData_Poultry_MMSMCF[[#Headers],[MMS m]], 0)</f>
        <v>0.1</v>
      </c>
      <c r="K66" s="10" cm="1">
        <f t="array" ref="K66">Common_InputFunctions.Utility_DisplayArrayInTable(SourceData_Poultry.SourceData_Poultry_MCF_Data(), Table_SourceData_Poultry_MMSMCF[[#Headers],[MMS m]], 0)</f>
        <v>0.1</v>
      </c>
      <c r="L66" s="10" cm="1">
        <f t="array" ref="L66">Common_InputFunctions.Utility_DisplayArrayInTable(SourceData_Poultry.SourceData_Poultry_MCF_Data(), Table_SourceData_Poultry_MMSMCF[[#Headers],[MMS m]], 0)</f>
        <v>0.1</v>
      </c>
      <c r="M66" s="10" cm="1">
        <f t="array" ref="M66">Common_InputFunctions.Utility_DisplayArrayInTable(SourceData_Poultry.SourceData_Poultry_MCF_Data(), Table_SourceData_Poultry_MMSMCF[[#Headers],[MMS m]], 0)</f>
        <v>0.1</v>
      </c>
      <c r="N66" s="10" t="str" cm="1">
        <f t="array" ref="N66">Common_InputFunctions.Utility_DisplayArrayInTable(SourceData_Poultry.SourceData_Poultry_MCF_Data(), Table_SourceData_Poultry_MMSMCF[[#Headers],[MMS m]], 0)</f>
        <v>Digester / covered lagoons</v>
      </c>
    </row>
    <row r="67" spans="1:22" ht="20.100000000000001" customHeight="1" x14ac:dyDescent="0.25">
      <c r="A67"/>
      <c r="D67" s="8" t="str" cm="1">
        <f t="array" ref="D67">Common_InputFunctions.Utility_DisplayArrayInTable(SourceData_Poultry.SourceData_Poultry_MCF_Data(), Table_SourceData_Poultry_MMSMCF[[#Headers],[MMS m]], 0)</f>
        <v>Direct processing</v>
      </c>
      <c r="E67" s="10" cm="1">
        <f t="array" ref="E67">Common_InputFunctions.Utility_DisplayArrayInTable(SourceData_Poultry.SourceData_Poultry_MCF_Data(), Table_SourceData_Poultry_MMSMCF[[#Headers],[MMS m]], 0)</f>
        <v>0</v>
      </c>
      <c r="F67" s="10" cm="1">
        <f t="array" ref="F67">Common_InputFunctions.Utility_DisplayArrayInTable(SourceData_Poultry.SourceData_Poultry_MCF_Data(), Table_SourceData_Poultry_MMSMCF[[#Headers],[MMS m]], 0)</f>
        <v>0</v>
      </c>
      <c r="G67" s="10" cm="1">
        <f t="array" ref="G67">Common_InputFunctions.Utility_DisplayArrayInTable(SourceData_Poultry.SourceData_Poultry_MCF_Data(), Table_SourceData_Poultry_MMSMCF[[#Headers],[MMS m]], 0)</f>
        <v>0</v>
      </c>
      <c r="H67" s="10" cm="1">
        <f t="array" ref="H67">Common_InputFunctions.Utility_DisplayArrayInTable(SourceData_Poultry.SourceData_Poultry_MCF_Data(), Table_SourceData_Poultry_MMSMCF[[#Headers],[MMS m]], 0)</f>
        <v>0</v>
      </c>
      <c r="I67" s="10" cm="1">
        <f t="array" ref="I67">Common_InputFunctions.Utility_DisplayArrayInTable(SourceData_Poultry.SourceData_Poultry_MCF_Data(), Table_SourceData_Poultry_MMSMCF[[#Headers],[MMS m]], 0)</f>
        <v>0</v>
      </c>
      <c r="J67" s="10" cm="1">
        <f t="array" ref="J67">Common_InputFunctions.Utility_DisplayArrayInTable(SourceData_Poultry.SourceData_Poultry_MCF_Data(), Table_SourceData_Poultry_MMSMCF[[#Headers],[MMS m]], 0)</f>
        <v>0</v>
      </c>
      <c r="K67" s="10" cm="1">
        <f t="array" ref="K67">Common_InputFunctions.Utility_DisplayArrayInTable(SourceData_Poultry.SourceData_Poultry_MCF_Data(), Table_SourceData_Poultry_MMSMCF[[#Headers],[MMS m]], 0)</f>
        <v>0</v>
      </c>
      <c r="L67" s="10" cm="1">
        <f t="array" ref="L67">Common_InputFunctions.Utility_DisplayArrayInTable(SourceData_Poultry.SourceData_Poultry_MCF_Data(), Table_SourceData_Poultry_MMSMCF[[#Headers],[MMS m]], 0)</f>
        <v>0</v>
      </c>
      <c r="M67" s="10" cm="1">
        <f t="array" ref="M67">Common_InputFunctions.Utility_DisplayArrayInTable(SourceData_Poultry.SourceData_Poultry_MCF_Data(), Table_SourceData_Poultry_MMSMCF[[#Headers],[MMS m]], 0)</f>
        <v>0</v>
      </c>
      <c r="N67" s="10" t="str" cm="1">
        <f t="array" ref="N67">Common_InputFunctions.Utility_DisplayArrayInTable(SourceData_Poultry.SourceData_Poultry_MCF_Data(), Table_SourceData_Poultry_MMSMCF[[#Headers],[MMS m]], 0)</f>
        <v>Direct processing</v>
      </c>
    </row>
    <row r="68" spans="1:22" ht="20.100000000000001" customHeight="1" x14ac:dyDescent="0.25">
      <c r="A68"/>
      <c r="D68" s="8" t="str" cm="1">
        <f t="array" ref="D68">Common_InputFunctions.Utility_DisplayArrayInTable(SourceData_Poultry.SourceData_Poultry_MCF_Data(), Table_SourceData_Poultry_MMSMCF[[#Headers],[MMS m]], 0)</f>
        <v>Direct application to soil</v>
      </c>
      <c r="E68" s="10" cm="1">
        <f t="array" ref="E68">Common_InputFunctions.Utility_DisplayArrayInTable(SourceData_Poultry.SourceData_Poultry_MCF_Data(), Table_SourceData_Poultry_MMSMCF[[#Headers],[MMS m]], 0)</f>
        <v>0</v>
      </c>
      <c r="F68" s="10" cm="1">
        <f t="array" ref="F68">Common_InputFunctions.Utility_DisplayArrayInTable(SourceData_Poultry.SourceData_Poultry_MCF_Data(), Table_SourceData_Poultry_MMSMCF[[#Headers],[MMS m]], 0)</f>
        <v>0</v>
      </c>
      <c r="G68" s="10" cm="1">
        <f t="array" ref="G68">Common_InputFunctions.Utility_DisplayArrayInTable(SourceData_Poultry.SourceData_Poultry_MCF_Data(), Table_SourceData_Poultry_MMSMCF[[#Headers],[MMS m]], 0)</f>
        <v>0</v>
      </c>
      <c r="H68" s="10" cm="1">
        <f t="array" ref="H68">Common_InputFunctions.Utility_DisplayArrayInTable(SourceData_Poultry.SourceData_Poultry_MCF_Data(), Table_SourceData_Poultry_MMSMCF[[#Headers],[MMS m]], 0)</f>
        <v>0</v>
      </c>
      <c r="I68" s="10" cm="1">
        <f t="array" ref="I68">Common_InputFunctions.Utility_DisplayArrayInTable(SourceData_Poultry.SourceData_Poultry_MCF_Data(), Table_SourceData_Poultry_MMSMCF[[#Headers],[MMS m]], 0)</f>
        <v>0</v>
      </c>
      <c r="J68" s="10" cm="1">
        <f t="array" ref="J68">Common_InputFunctions.Utility_DisplayArrayInTable(SourceData_Poultry.SourceData_Poultry_MCF_Data(), Table_SourceData_Poultry_MMSMCF[[#Headers],[MMS m]], 0)</f>
        <v>0</v>
      </c>
      <c r="K68" s="10" cm="1">
        <f t="array" ref="K68">Common_InputFunctions.Utility_DisplayArrayInTable(SourceData_Poultry.SourceData_Poultry_MCF_Data(), Table_SourceData_Poultry_MMSMCF[[#Headers],[MMS m]], 0)</f>
        <v>0</v>
      </c>
      <c r="L68" s="10" cm="1">
        <f t="array" ref="L68">Common_InputFunctions.Utility_DisplayArrayInTable(SourceData_Poultry.SourceData_Poultry_MCF_Data(), Table_SourceData_Poultry_MMSMCF[[#Headers],[MMS m]], 0)</f>
        <v>0</v>
      </c>
      <c r="M68" s="10" cm="1">
        <f t="array" ref="M68">Common_InputFunctions.Utility_DisplayArrayInTable(SourceData_Poultry.SourceData_Poultry_MCF_Data(), Table_SourceData_Poultry_MMSMCF[[#Headers],[MMS m]], 0)</f>
        <v>0</v>
      </c>
      <c r="N68" s="10" t="str" cm="1">
        <f t="array" ref="N68">Common_InputFunctions.Utility_DisplayArrayInTable(SourceData_Poultry.SourceData_Poultry_MCF_Data(), Table_SourceData_Poultry_MMSMCF[[#Headers],[MMS m]], 0)</f>
        <v>Direct application</v>
      </c>
    </row>
    <row r="69" spans="1:22" ht="20.100000000000001" customHeight="1" x14ac:dyDescent="0.25">
      <c r="A69"/>
      <c r="M69" s="8"/>
    </row>
    <row r="70" spans="1:22" ht="20.100000000000001" customHeight="1" x14ac:dyDescent="0.25">
      <c r="A70"/>
      <c r="M70" s="8"/>
    </row>
    <row r="71" spans="1:22" ht="20.100000000000001" customHeight="1" x14ac:dyDescent="0.25">
      <c r="A71"/>
      <c r="M71" s="8"/>
      <c r="V71" s="8"/>
    </row>
    <row r="72" spans="1:22" ht="20.100000000000001" customHeight="1" x14ac:dyDescent="0.25">
      <c r="A72"/>
      <c r="D72" s="9" t="str" cm="1">
        <f t="array" ref="D72">SourceData_Poultry.SourceData_Poultry_VSL_Title()</f>
        <v>Poultry - Fraction of volatile solids lost in the primary MMS</v>
      </c>
      <c r="M72" s="8"/>
      <c r="V72" s="8"/>
    </row>
    <row r="73" spans="1:22" ht="20.100000000000001" customHeight="1" x14ac:dyDescent="0.25">
      <c r="A73"/>
      <c r="D73" s="11" t="str" cm="1">
        <f t="array" ref="D73">SourceData_Poultry.SourceData_Poultry_VSL_Source()</f>
        <v>VEERG 2026: 4.6.2.3 CONSTANT</v>
      </c>
      <c r="M73" s="8"/>
      <c r="V73" s="8"/>
    </row>
    <row r="74" spans="1:22" ht="20.100000000000001" customHeight="1" x14ac:dyDescent="0.25">
      <c r="A74"/>
      <c r="D74" s="12" t="str" cm="1">
        <f t="array" ref="D74">SourceData_Poultry.SourceData_Poultry_VSL_Variation()</f>
        <v>VARIATION ON SOURCE: Table generated from line items. Added 'NIR definition column'.</v>
      </c>
      <c r="M74" s="8"/>
      <c r="V74" s="8"/>
    </row>
    <row r="75" spans="1:22" ht="20.100000000000001" customHeight="1" x14ac:dyDescent="0.25">
      <c r="A75"/>
      <c r="D75" s="10" t="s">
        <v>517</v>
      </c>
      <c r="E75" s="10" t="s">
        <v>548</v>
      </c>
      <c r="F75" s="10" t="s">
        <v>542</v>
      </c>
      <c r="M75" s="8"/>
      <c r="V75" s="8"/>
    </row>
    <row r="76" spans="1:22" ht="20.100000000000001" customHeight="1" x14ac:dyDescent="0.25">
      <c r="A76"/>
      <c r="D76" s="10" t="str" cm="1">
        <f t="array" ref="D76">Common_InputFunctions.Utility_DisplayArrayInTable(SourceData_Poultry.SourceData_Poultry_VSL_Data(), Table_SourceData_Poultry_MMSVSL[[#Headers],[MMS]], 0)</f>
        <v>Poultry manure with litter</v>
      </c>
      <c r="E76" s="10" cm="1">
        <f t="array" ref="E76">Common_InputFunctions.Utility_DisplayArrayInTable(SourceData_Poultry.SourceData_Poultry_VSL_Data(), Table_SourceData_Poultry_MMSVSL[[#Headers],[MMS]], 0)</f>
        <v>0.15</v>
      </c>
      <c r="F76" s="10" t="str" cm="1">
        <f t="array" ref="F76">Common_InputFunctions.Utility_DisplayArrayInTable(SourceData_Poultry.SourceData_Poultry_VSL_Data(), Table_SourceData_Poultry_MMSVSL[[#Headers],[MMS]], 0)</f>
        <v>Poultry manure with bedding</v>
      </c>
      <c r="M76" s="8"/>
      <c r="V76" s="8"/>
    </row>
    <row r="77" spans="1:22" ht="20.100000000000001" customHeight="1" x14ac:dyDescent="0.25">
      <c r="A77"/>
      <c r="D77" s="8" t="str" cm="1">
        <f t="array" ref="D77">Common_InputFunctions.Utility_DisplayArrayInTable(SourceData_Poultry.SourceData_Poultry_VSL_Data(), Table_SourceData_Poultry_MMSVSL[[#Headers],[MMS]], 0)</f>
        <v>Poultry manure without litter - stored in house</v>
      </c>
      <c r="E77" s="10" cm="1">
        <f t="array" ref="E77">Common_InputFunctions.Utility_DisplayArrayInTable(SourceData_Poultry.SourceData_Poultry_VSL_Data(), Table_SourceData_Poultry_MMSVSL[[#Headers],[MMS]], 0)</f>
        <v>0.2</v>
      </c>
      <c r="F77" s="10" t="str" cm="1">
        <f t="array" ref="F77">Common_InputFunctions.Utility_DisplayArrayInTable(SourceData_Poultry.SourceData_Poultry_VSL_Data(), Table_SourceData_Poultry_MMSVSL[[#Headers],[MMS]], 0)</f>
        <v>Manure stored in house</v>
      </c>
      <c r="M77" s="8"/>
      <c r="V77" s="8"/>
    </row>
    <row r="78" spans="1:22" ht="20.100000000000001" customHeight="1" x14ac:dyDescent="0.25">
      <c r="A78"/>
      <c r="D78" s="8" t="str" cm="1">
        <f t="array" ref="D78">Common_InputFunctions.Utility_DisplayArrayInTable(SourceData_Poultry.SourceData_Poultry_VSL_Data(), Table_SourceData_Poultry_MMSVSL[[#Headers],[MMS]], 0)</f>
        <v>Poultry manure without litter - belt removal</v>
      </c>
      <c r="E78" s="10" cm="1">
        <f t="array" ref="E78">Common_InputFunctions.Utility_DisplayArrayInTable(SourceData_Poultry.SourceData_Poultry_VSL_Data(), Table_SourceData_Poultry_MMSVSL[[#Headers],[MMS]], 0)</f>
        <v>0</v>
      </c>
      <c r="F78" s="10" t="str" cm="1">
        <f t="array" ref="F78">Common_InputFunctions.Utility_DisplayArrayInTable(SourceData_Poultry.SourceData_Poultry_VSL_Data(), Table_SourceData_Poultry_MMSVSL[[#Headers],[MMS]], 0)</f>
        <v>Belt manure removal</v>
      </c>
      <c r="M78" s="8"/>
      <c r="V78" s="8"/>
    </row>
    <row r="79" spans="1:22" ht="20.100000000000001" customHeight="1" x14ac:dyDescent="0.25">
      <c r="A79"/>
      <c r="M79" s="8"/>
      <c r="V79" s="8"/>
    </row>
    <row r="80" spans="1:22" ht="20.100000000000001" customHeight="1" x14ac:dyDescent="0.25">
      <c r="A80"/>
      <c r="M80" s="8"/>
      <c r="V80" s="8"/>
    </row>
    <row r="81" spans="1:23" ht="20.100000000000001" customHeight="1" x14ac:dyDescent="0.25">
      <c r="A81"/>
      <c r="D81" s="9" t="str" cm="1">
        <f t="array" ref="D81">SourceData_Poultry.SourceData_Poultry_FracGASMmT_Title()</f>
        <v>Poultry - Fraction of N volatilised by MMS ((kg NH3-N + NOx-N)/kgN) (FracGASMmT)</v>
      </c>
      <c r="M81" s="8"/>
      <c r="V81" s="8"/>
    </row>
    <row r="82" spans="1:23" ht="20.100000000000001" customHeight="1" x14ac:dyDescent="0.25">
      <c r="A82"/>
      <c r="D82" s="11" t="str" cm="1">
        <f t="array" ref="D82">SourceData_Poultry.SourceData_Poultry_FracGASMmT_Source()</f>
        <v>VEERG 2026: Table A.1.7.2</v>
      </c>
      <c r="M82" s="8"/>
      <c r="V82" s="8"/>
    </row>
    <row r="83" spans="1:23" ht="20.100000000000001" customHeight="1" x14ac:dyDescent="0.25">
      <c r="A83"/>
      <c r="D83" s="12" t="str" cm="1">
        <f t="array" ref="D83">SourceData_Poultry.SourceData_Poultry_FracGASMmT_Variation()</f>
        <v>VARIATION ON SOURCE: Added 'NIR definition column'.</v>
      </c>
      <c r="M83" s="8"/>
    </row>
    <row r="84" spans="1:23" ht="20.100000000000001" customHeight="1" x14ac:dyDescent="0.25">
      <c r="A84"/>
      <c r="D84" s="10" t="s">
        <v>554</v>
      </c>
      <c r="E84" s="10" t="s">
        <v>555</v>
      </c>
      <c r="F84" s="10" t="s">
        <v>526</v>
      </c>
      <c r="M84" s="8"/>
    </row>
    <row r="85" spans="1:23" ht="20.100000000000001" customHeight="1" x14ac:dyDescent="0.25">
      <c r="A85"/>
      <c r="D85" s="10" t="str" cm="1">
        <f t="array" ref="D85">Common_InputFunctions.Utility_DisplayArrayInTable(SourceData_Poultry.SourceData_Poultry_FracGASMmT_Data(), Table_SourceData_Poultry_FracGASM[[#Headers],[MMSm]], 0)</f>
        <v>Poultry manure with litter (housing)</v>
      </c>
      <c r="E85" s="10" cm="1">
        <f t="array" ref="E85">Common_InputFunctions.Utility_DisplayArrayInTable(SourceData_Poultry.SourceData_Poultry_FracGASMmT_Data(), Table_SourceData_Poultry_FracGASM[[#Headers],[MMSm]], 0)</f>
        <v>0.3</v>
      </c>
      <c r="F85" s="10" t="str" cm="1">
        <f t="array" ref="F85">Common_InputFunctions.Utility_DisplayArrayInTable(SourceData_Poultry.SourceData_Poultry_FracGASMmT_Data(), Table_SourceData_Poultry_FracGASM[[#Headers],[MMSm]], 0)</f>
        <v>Poultry manure with bedding</v>
      </c>
      <c r="M85" s="8"/>
      <c r="V85" s="8"/>
    </row>
    <row r="86" spans="1:23" ht="20.100000000000001" customHeight="1" x14ac:dyDescent="0.25">
      <c r="A86"/>
      <c r="D86" s="8" t="str" cm="1">
        <f t="array" ref="D86">Common_InputFunctions.Utility_DisplayArrayInTable(SourceData_Poultry.SourceData_Poultry_FracGASMmT_Data(), Table_SourceData_Poultry_FracGASM[[#Headers],[MMSm]], 0)</f>
        <v>Poultry manure without litter (housing) Belt manure removal</v>
      </c>
      <c r="E86" s="10" cm="1">
        <f t="array" ref="E86">Common_InputFunctions.Utility_DisplayArrayInTable(SourceData_Poultry.SourceData_Poultry_FracGASMmT_Data(), Table_SourceData_Poultry_FracGASM[[#Headers],[MMSm]], 0)</f>
        <v>0.05</v>
      </c>
      <c r="F86" s="10" t="str" cm="1">
        <f t="array" ref="F86">Common_InputFunctions.Utility_DisplayArrayInTable(SourceData_Poultry.SourceData_Poultry_FracGASMmT_Data(), Table_SourceData_Poultry_FracGASM[[#Headers],[MMSm]], 0)</f>
        <v>Belt manure removal</v>
      </c>
      <c r="M86" s="8"/>
      <c r="V86" s="8"/>
    </row>
    <row r="87" spans="1:23" ht="20.100000000000001" customHeight="1" x14ac:dyDescent="0.25">
      <c r="A87"/>
      <c r="D87" s="8" t="str" cm="1">
        <f t="array" ref="D87">Common_InputFunctions.Utility_DisplayArrayInTable(SourceData_Poultry.SourceData_Poultry_FracGASMmT_Data(), Table_SourceData_Poultry_FracGASM[[#Headers],[MMSm]], 0)</f>
        <v>Poultry manure without litter (housing) Manure stored in house under cages or slat</v>
      </c>
      <c r="E87" s="10" cm="1">
        <f t="array" ref="E87">Common_InputFunctions.Utility_DisplayArrayInTable(SourceData_Poultry.SourceData_Poultry_FracGASMmT_Data(), Table_SourceData_Poultry_FracGASM[[#Headers],[MMSm]], 0)</f>
        <v>0.4</v>
      </c>
      <c r="F87" s="10" t="str" cm="1">
        <f t="array" ref="F87">Common_InputFunctions.Utility_DisplayArrayInTable(SourceData_Poultry.SourceData_Poultry_FracGASMmT_Data(), Table_SourceData_Poultry_FracGASM[[#Headers],[MMSm]], 0)</f>
        <v>Manure stored in house</v>
      </c>
      <c r="M87" s="8"/>
      <c r="V87" s="8"/>
    </row>
    <row r="88" spans="1:23" ht="20.100000000000001" customHeight="1" x14ac:dyDescent="0.25">
      <c r="A88"/>
      <c r="D88" s="8" t="str" cm="1">
        <f t="array" ref="D88">Common_InputFunctions.Utility_DisplayArrayInTable(SourceData_Poultry.SourceData_Poultry_FracGASMmT_Data(), Table_SourceData_Poultry_FracGASM[[#Headers],[MMSm]], 0)</f>
        <v>Solid storage (stockpile)</v>
      </c>
      <c r="E88" s="10" cm="1">
        <f t="array" ref="E88">Common_InputFunctions.Utility_DisplayArrayInTable(SourceData_Poultry.SourceData_Poultry_FracGASMmT_Data(), Table_SourceData_Poultry_FracGASM[[#Headers],[MMSm]], 0)</f>
        <v>0.2</v>
      </c>
      <c r="F88" s="10" t="str" cm="1">
        <f t="array" ref="F88">Common_InputFunctions.Utility_DisplayArrayInTable(SourceData_Poultry.SourceData_Poultry_FracGASMmT_Data(), Table_SourceData_Poultry_FracGASM[[#Headers],[MMSm]], 0)</f>
        <v>Solid storage</v>
      </c>
      <c r="M88" s="8"/>
      <c r="V88" s="8"/>
    </row>
    <row r="89" spans="1:23" ht="20.100000000000001" customHeight="1" x14ac:dyDescent="0.25">
      <c r="A89"/>
      <c r="D89" s="8" t="str" cm="1">
        <f t="array" ref="D89">Common_InputFunctions.Utility_DisplayArrayInTable(SourceData_Poultry.SourceData_Poultry_FracGASMmT_Data(), Table_SourceData_Poultry_FracGASM[[#Headers],[MMSm]], 0)</f>
        <v>Composting (passive windrow)</v>
      </c>
      <c r="E89" s="10" cm="1">
        <f t="array" ref="E89">Common_InputFunctions.Utility_DisplayArrayInTable(SourceData_Poultry.SourceData_Poultry_FracGASMmT_Data(), Table_SourceData_Poultry_FracGASM[[#Headers],[MMSm]], 0)</f>
        <v>0.2</v>
      </c>
      <c r="F89" s="10" t="str" cm="1">
        <f t="array" ref="F89">Common_InputFunctions.Utility_DisplayArrayInTable(SourceData_Poultry.SourceData_Poultry_FracGASMmT_Data(), Table_SourceData_Poultry_FracGASM[[#Headers],[MMSm]], 0)</f>
        <v>Composting (passive windrow)</v>
      </c>
      <c r="M89" s="8"/>
      <c r="V89" s="8"/>
      <c r="W89" s="8"/>
    </row>
    <row r="90" spans="1:23" ht="20.100000000000001" customHeight="1" x14ac:dyDescent="0.25">
      <c r="A90"/>
      <c r="D90" s="8" t="str" cm="1">
        <f t="array" ref="D90">Common_InputFunctions.Utility_DisplayArrayInTable(SourceData_Poultry.SourceData_Poultry_FracGASMmT_Data(), Table_SourceData_Poultry_FracGASM[[#Headers],[MMSm]], 0)</f>
        <v>Direct processing</v>
      </c>
      <c r="E90" s="10" cm="1">
        <f t="array" ref="E90">Common_InputFunctions.Utility_DisplayArrayInTable(SourceData_Poultry.SourceData_Poultry_FracGASMmT_Data(), Table_SourceData_Poultry_FracGASM[[#Headers],[MMSm]], 0)</f>
        <v>0</v>
      </c>
      <c r="F90" s="10" t="str" cm="1">
        <f t="array" ref="F90">Common_InputFunctions.Utility_DisplayArrayInTable(SourceData_Poultry.SourceData_Poultry_FracGASMmT_Data(), Table_SourceData_Poultry_FracGASM[[#Headers],[MMSm]], 0)</f>
        <v>Direct processing</v>
      </c>
      <c r="M90" s="8"/>
      <c r="V90" s="8"/>
      <c r="W90" s="8"/>
    </row>
    <row r="91" spans="1:23" ht="20.100000000000001" customHeight="1" x14ac:dyDescent="0.25">
      <c r="A91"/>
      <c r="D91" s="8" t="str" cm="1">
        <f t="array" ref="D91">Common_InputFunctions.Utility_DisplayArrayInTable(SourceData_Poultry.SourceData_Poultry_FracGASMmT_Data(), Table_SourceData_Poultry_FracGASM[[#Headers],[MMSm]], 0)</f>
        <v>Anaerobic digester / covered pond</v>
      </c>
      <c r="E91" s="10" cm="1">
        <f t="array" ref="E91">Common_InputFunctions.Utility_DisplayArrayInTable(SourceData_Poultry.SourceData_Poultry_FracGASMmT_Data(), Table_SourceData_Poultry_FracGASM[[#Headers],[MMSm]], 0)</f>
        <v>0</v>
      </c>
      <c r="F91" s="10" t="str" cm="1">
        <f t="array" ref="F91">Common_InputFunctions.Utility_DisplayArrayInTable(SourceData_Poultry.SourceData_Poultry_FracGASMmT_Data(), Table_SourceData_Poultry_FracGASM[[#Headers],[MMSm]], 0)</f>
        <v>Digester / covered lagoons</v>
      </c>
      <c r="M91" s="8"/>
      <c r="V91" s="8"/>
    </row>
    <row r="92" spans="1:23" ht="20.100000000000001" customHeight="1" x14ac:dyDescent="0.25">
      <c r="A92"/>
      <c r="M92" s="8"/>
      <c r="V92" s="8"/>
    </row>
    <row r="93" spans="1:23" ht="20.100000000000001" customHeight="1" x14ac:dyDescent="0.25">
      <c r="A93"/>
      <c r="M93" s="8"/>
      <c r="V93" s="8"/>
    </row>
    <row r="94" spans="1:23" ht="20.100000000000001" customHeight="1" x14ac:dyDescent="0.25">
      <c r="A94"/>
      <c r="D94" s="9" t="str" cm="1">
        <f t="array" ref="D94">SourceData_Poultry.SourceData_Poultry_EFmT_Title()</f>
        <v>Poultry - Nitrous oxide EFs by MMS (kgN2O-N/kgN) (EFmT)</v>
      </c>
      <c r="M94" s="8"/>
    </row>
    <row r="95" spans="1:23" ht="20.100000000000001" customHeight="1" x14ac:dyDescent="0.25">
      <c r="A95"/>
      <c r="D95" s="11" t="str" cm="1">
        <f t="array" ref="D95">SourceData_Poultry.SourceData_Poultry_EFmT_Source()</f>
        <v>VEERG 2026: Table A.1.7.3</v>
      </c>
      <c r="M95" s="8"/>
    </row>
    <row r="96" spans="1:23" ht="20.100000000000001" customHeight="1" x14ac:dyDescent="0.25">
      <c r="A96"/>
      <c r="D96" s="12" t="str" cm="1">
        <f t="array" ref="D96">SourceData_Poultry.SourceData_Poultry_EFmT_Variation()</f>
        <v>VARIATION ON SOURCE: Added 'NIR definition column'. Duplicated 'Poultry manure without litter' row for NIR MMS 'Belt manure removal' and 'Manure stored in house'.</v>
      </c>
      <c r="M96" s="8"/>
    </row>
    <row r="97" spans="1:13" ht="20.100000000000001" customHeight="1" x14ac:dyDescent="0.25">
      <c r="A97"/>
      <c r="D97" s="10" t="s">
        <v>554</v>
      </c>
      <c r="E97" s="10" t="s">
        <v>556</v>
      </c>
      <c r="F97" s="10" t="s">
        <v>526</v>
      </c>
      <c r="M97" s="8"/>
    </row>
    <row r="98" spans="1:13" ht="20.100000000000001" customHeight="1" x14ac:dyDescent="0.25">
      <c r="A98"/>
      <c r="D98" s="10" t="str" cm="1">
        <f t="array" ref="D98">Common_InputFunctions.Utility_DisplayArrayInTable(SourceData_Poultry.SourceData_Poultry_EFmT_Data(),Table_SourceData_Poultry_EFmT[[#Headers],[MMSm]], 0)</f>
        <v>Poultry manure with litter (housing)</v>
      </c>
      <c r="E98" s="10" cm="1">
        <f t="array" ref="E98">Common_InputFunctions.Utility_DisplayArrayInTable(SourceData_Poultry.SourceData_Poultry_EFmT_Data(),Table_SourceData_Poultry_EFmT[[#Headers],[MMSm]], 0)</f>
        <v>1E-3</v>
      </c>
      <c r="F98" s="10" t="str" cm="1">
        <f t="array" ref="F98">Common_InputFunctions.Utility_DisplayArrayInTable(SourceData_Poultry.SourceData_Poultry_EFmT_Data(),Table_SourceData_Poultry_EFmT[[#Headers],[MMSm]], 0)</f>
        <v>Poultry manure with bedding</v>
      </c>
      <c r="M98" s="8"/>
    </row>
    <row r="99" spans="1:13" ht="20.100000000000001" customHeight="1" x14ac:dyDescent="0.25">
      <c r="A99"/>
      <c r="D99" s="8" t="str" cm="1">
        <f t="array" ref="D99">Common_InputFunctions.Utility_DisplayArrayInTable(SourceData_Poultry.SourceData_Poultry_EFmT_Data(),Table_SourceData_Poultry_EFmT[[#Headers],[MMSm]], 0)</f>
        <v>Poultry manure without litter (housing)</v>
      </c>
      <c r="E99" s="10" cm="1">
        <f t="array" ref="E99">Common_InputFunctions.Utility_DisplayArrayInTable(SourceData_Poultry.SourceData_Poultry_EFmT_Data(),Table_SourceData_Poultry_EFmT[[#Headers],[MMSm]], 0)</f>
        <v>1E-3</v>
      </c>
      <c r="F99" s="10" t="str" cm="1">
        <f t="array" ref="F99">Common_InputFunctions.Utility_DisplayArrayInTable(SourceData_Poultry.SourceData_Poultry_EFmT_Data(),Table_SourceData_Poultry_EFmT[[#Headers],[MMSm]], 0)</f>
        <v>Belt manure removal</v>
      </c>
      <c r="M99" s="8"/>
    </row>
    <row r="100" spans="1:13" ht="20.100000000000001" customHeight="1" x14ac:dyDescent="0.25">
      <c r="A100"/>
      <c r="D100" s="8" t="str" cm="1">
        <f t="array" ref="D100">Common_InputFunctions.Utility_DisplayArrayInTable(SourceData_Poultry.SourceData_Poultry_EFmT_Data(),Table_SourceData_Poultry_EFmT[[#Headers],[MMSm]], 0)</f>
        <v>Poultry manure without litter (housing)</v>
      </c>
      <c r="E100" s="10" cm="1">
        <f t="array" ref="E100">Common_InputFunctions.Utility_DisplayArrayInTable(SourceData_Poultry.SourceData_Poultry_EFmT_Data(),Table_SourceData_Poultry_EFmT[[#Headers],[MMSm]], 0)</f>
        <v>1E-3</v>
      </c>
      <c r="F100" s="10" t="str" cm="1">
        <f t="array" ref="F100">Common_InputFunctions.Utility_DisplayArrayInTable(SourceData_Poultry.SourceData_Poultry_EFmT_Data(),Table_SourceData_Poultry_EFmT[[#Headers],[MMSm]], 0)</f>
        <v>Manure stored in house</v>
      </c>
      <c r="M100" s="8"/>
    </row>
    <row r="101" spans="1:13" ht="20.100000000000001" customHeight="1" x14ac:dyDescent="0.25">
      <c r="A101"/>
      <c r="D101" s="8" t="str" cm="1">
        <f t="array" ref="D101">Common_InputFunctions.Utility_DisplayArrayInTable(SourceData_Poultry.SourceData_Poultry_EFmT_Data(),Table_SourceData_Poultry_EFmT[[#Headers],[MMSm]], 0)</f>
        <v>Pasture range and paddock (free range)</v>
      </c>
      <c r="E101" s="10" cm="1">
        <f t="array" ref="E101">Common_InputFunctions.Utility_DisplayArrayInTable(SourceData_Poultry.SourceData_Poultry_EFmT_Data(),Table_SourceData_Poultry_EFmT[[#Headers],[MMSm]], 0)</f>
        <v>0.02</v>
      </c>
      <c r="F101" s="10" t="str" cm="1">
        <f t="array" ref="F101">Common_InputFunctions.Utility_DisplayArrayInTable(SourceData_Poultry.SourceData_Poultry_EFmT_Data(),Table_SourceData_Poultry_EFmT[[#Headers],[MMSm]], 0)</f>
        <v>Pasture range and paddock</v>
      </c>
      <c r="M101" s="8"/>
    </row>
    <row r="102" spans="1:13" ht="20.100000000000001" customHeight="1" x14ac:dyDescent="0.25">
      <c r="A102"/>
      <c r="D102" s="8" t="str" cm="1">
        <f t="array" ref="D102">Common_InputFunctions.Utility_DisplayArrayInTable(SourceData_Poultry.SourceData_Poultry_EFmT_Data(),Table_SourceData_Poultry_EFmT[[#Headers],[MMSm]], 0)</f>
        <v>Solid storage (stockpile)</v>
      </c>
      <c r="E102" s="10" cm="1">
        <f t="array" ref="E102">Common_InputFunctions.Utility_DisplayArrayInTable(SourceData_Poultry.SourceData_Poultry_EFmT_Data(),Table_SourceData_Poultry_EFmT[[#Headers],[MMSm]], 0)</f>
        <v>5.0000000000000001E-3</v>
      </c>
      <c r="F102" s="10" t="str" cm="1">
        <f t="array" ref="F102">Common_InputFunctions.Utility_DisplayArrayInTable(SourceData_Poultry.SourceData_Poultry_EFmT_Data(),Table_SourceData_Poultry_EFmT[[#Headers],[MMSm]], 0)</f>
        <v>Solid storage</v>
      </c>
      <c r="M102" s="8"/>
    </row>
    <row r="103" spans="1:13" ht="20.100000000000001" customHeight="1" x14ac:dyDescent="0.25">
      <c r="A103"/>
      <c r="D103" s="8" t="str" cm="1">
        <f t="array" ref="D103">Common_InputFunctions.Utility_DisplayArrayInTable(SourceData_Poultry.SourceData_Poultry_EFmT_Data(),Table_SourceData_Poultry_EFmT[[#Headers],[MMSm]], 0)</f>
        <v>Composting (passive windrow)</v>
      </c>
      <c r="E103" s="10" cm="1">
        <f t="array" ref="E103">Common_InputFunctions.Utility_DisplayArrayInTable(SourceData_Poultry.SourceData_Poultry_EFmT_Data(),Table_SourceData_Poultry_EFmT[[#Headers],[MMSm]], 0)</f>
        <v>0.01</v>
      </c>
      <c r="F103" s="10" t="str" cm="1">
        <f t="array" ref="F103">Common_InputFunctions.Utility_DisplayArrayInTable(SourceData_Poultry.SourceData_Poultry_EFmT_Data(),Table_SourceData_Poultry_EFmT[[#Headers],[MMSm]], 0)</f>
        <v>Composting (passive windrow)</v>
      </c>
      <c r="M103" s="8"/>
    </row>
    <row r="104" spans="1:13" ht="20.100000000000001" customHeight="1" x14ac:dyDescent="0.25">
      <c r="A104"/>
      <c r="D104" s="8" t="str" cm="1">
        <f t="array" ref="D104">Common_InputFunctions.Utility_DisplayArrayInTable(SourceData_Poultry.SourceData_Poultry_EFmT_Data(),Table_SourceData_Poultry_EFmT[[#Headers],[MMSm]], 0)</f>
        <v>Direct processing</v>
      </c>
      <c r="E104" s="10" cm="1">
        <f t="array" ref="E104">Common_InputFunctions.Utility_DisplayArrayInTable(SourceData_Poultry.SourceData_Poultry_EFmT_Data(),Table_SourceData_Poultry_EFmT[[#Headers],[MMSm]], 0)</f>
        <v>0</v>
      </c>
      <c r="F104" s="10" t="str" cm="1">
        <f t="array" ref="F104">Common_InputFunctions.Utility_DisplayArrayInTable(SourceData_Poultry.SourceData_Poultry_EFmT_Data(),Table_SourceData_Poultry_EFmT[[#Headers],[MMSm]], 0)</f>
        <v>Direct processing</v>
      </c>
      <c r="M104" s="8"/>
    </row>
    <row r="105" spans="1:13" ht="20.100000000000001" customHeight="1" x14ac:dyDescent="0.25">
      <c r="A105"/>
      <c r="D105" s="8" t="str" cm="1">
        <f t="array" ref="D105">Common_InputFunctions.Utility_DisplayArrayInTable(SourceData_Poultry.SourceData_Poultry_EFmT_Data(),Table_SourceData_Poultry_EFmT[[#Headers],[MMSm]], 0)</f>
        <v>Anaerobic digester / covered pond</v>
      </c>
      <c r="E105" s="10" cm="1">
        <f t="array" ref="E105">Common_InputFunctions.Utility_DisplayArrayInTable(SourceData_Poultry.SourceData_Poultry_EFmT_Data(),Table_SourceData_Poultry_EFmT[[#Headers],[MMSm]], 0)</f>
        <v>0</v>
      </c>
      <c r="F105" s="10" t="str" cm="1">
        <f t="array" ref="F105">Common_InputFunctions.Utility_DisplayArrayInTable(SourceData_Poultry.SourceData_Poultry_EFmT_Data(),Table_SourceData_Poultry_EFmT[[#Headers],[MMSm]], 0)</f>
        <v>Digester / covered lagoons</v>
      </c>
      <c r="M105" s="8"/>
    </row>
    <row r="106" spans="1:13" ht="20.100000000000001" customHeight="1" x14ac:dyDescent="0.25">
      <c r="A106"/>
      <c r="M106" s="8"/>
    </row>
    <row r="107" spans="1:13" ht="20.100000000000001" customHeight="1" x14ac:dyDescent="0.25">
      <c r="A107"/>
      <c r="M107" s="8"/>
    </row>
    <row r="108" spans="1:13" ht="20.100000000000001" customHeight="1" x14ac:dyDescent="0.25">
      <c r="A108"/>
      <c r="D108" s="9" t="str" cm="1">
        <f t="array" ref="D108">SourceData_Poultry.SourceData_Poultry_FractionOfNitrogenLostThroughLeachingAndRunoff_Title()</f>
        <v>Fraction of N that is lost through leaching and runoff</v>
      </c>
      <c r="M108" s="8"/>
    </row>
    <row r="109" spans="1:13" ht="20.100000000000001" customHeight="1" x14ac:dyDescent="0.25">
      <c r="A109"/>
      <c r="D109" s="11" t="str" cm="1">
        <f t="array" ref="D109">SourceData_Poultry.SourceData_Poultry_FractionOfNitrogenLostThroughLeachingAndRunoff_Source()</f>
        <v>VEERG 2026: 4.6.2.3 CONSTANTS</v>
      </c>
      <c r="M109" s="8"/>
    </row>
    <row r="110" spans="1:13" ht="20.100000000000001" customHeight="1" x14ac:dyDescent="0.25">
      <c r="A110"/>
      <c r="D110" s="27" t="str" cm="1">
        <f t="array" ref="D110">SourceData_Poultry.SourceData_Poultry_FractionOfNitrogenLostThroughLeachingAndRunoff_Variable()</f>
        <v>Frac_LEACH_MS</v>
      </c>
      <c r="E110" s="8" cm="1">
        <f t="array" ref="E110">SourceData_Poultry.SourceData_Poultry_FractionOfNitrogenLostThroughLeachingAndRunoff_Data()</f>
        <v>0.02</v>
      </c>
      <c r="M110" s="8"/>
    </row>
    <row r="111" spans="1:13" ht="20.100000000000001" customHeight="1" x14ac:dyDescent="0.25">
      <c r="A111"/>
      <c r="M111" s="8"/>
    </row>
    <row r="112" spans="1:13" ht="20.100000000000001" customHeight="1" x14ac:dyDescent="0.25">
      <c r="A112"/>
      <c r="D112" s="9" t="str" cm="1">
        <f t="array" ref="D112">SourceData_Poultry.SourceData_Poultry_FracGAMSSoil_Title()</f>
        <v>Fraction of nitrogen volatilised from urine and faeces deposited on pasture</v>
      </c>
      <c r="M112" s="8"/>
    </row>
    <row r="113" spans="1:22" ht="20.100000000000001" customHeight="1" x14ac:dyDescent="0.25">
      <c r="A113"/>
      <c r="D113" s="11" t="str" cm="1">
        <f t="array" ref="D113">SourceData_Poultry.SourceData_Poultry_FracGAMSSoil_Source()</f>
        <v>VEERG 2026: 4.6.2.3 CONSTANTS</v>
      </c>
      <c r="M113" s="8"/>
    </row>
    <row r="114" spans="1:22" ht="20.100000000000001" customHeight="1" x14ac:dyDescent="0.25">
      <c r="A114"/>
      <c r="D114" s="12" t="str" cm="1">
        <f t="array" ref="D114">SourceData_Poultry.SourceData_Poultry_FracGAMSSoil_Variation()</f>
        <v>VARIATION ON SOURCE: This constant is not documented in the draft, used the same value of 0.21 as all other livestock.</v>
      </c>
      <c r="M114" s="8"/>
    </row>
    <row r="115" spans="1:22" ht="20.100000000000001" customHeight="1" x14ac:dyDescent="0.25">
      <c r="A115"/>
      <c r="D115" s="27" t="str" cm="1">
        <f t="array" ref="D115">SourceData_Poultry.SourceData_Poultry_FracGAMSSoil_Variable()</f>
        <v>FracGASM_soil</v>
      </c>
      <c r="E115" s="8" cm="1">
        <f t="array" ref="E115">SourceData_Poultry.SourceData_Poultry_FracGAMSSoil_Data()</f>
        <v>0.21</v>
      </c>
      <c r="F115" s="13" t="str" cm="1">
        <f t="array" ref="F115">SourceData_Poultry.SourceData_Poultry_FracGAMSSoil_Unit()</f>
        <v>(kg NH3-N + NOx-N)/kg N</v>
      </c>
      <c r="M115" s="8"/>
      <c r="V115" s="8"/>
    </row>
    <row r="116" spans="1:22" ht="20.100000000000001" customHeight="1" x14ac:dyDescent="0.25">
      <c r="A116"/>
      <c r="M116" s="8"/>
      <c r="V116" s="8"/>
    </row>
    <row r="117" spans="1:22" ht="20.100000000000001" customHeight="1" x14ac:dyDescent="0.25">
      <c r="A117"/>
      <c r="D117" s="9" t="str" cm="1">
        <f t="array" ref="D117">SourceData_Poultry.SourceData_Poultry_Liveweights_Title()</f>
        <v>Poultry - Liveweights (Wco) (kg)</v>
      </c>
      <c r="M117" s="8"/>
      <c r="V117" s="8"/>
    </row>
    <row r="118" spans="1:22" ht="20.100000000000001" customHeight="1" x14ac:dyDescent="0.25">
      <c r="A118"/>
      <c r="D118" s="11" t="str" cm="1">
        <f t="array" ref="D118">SourceData_Poultry.SourceData_Poultry_Liveweights_Source()</f>
        <v>VEERG 2026: Table A.1.7.5</v>
      </c>
      <c r="M118" s="8"/>
    </row>
    <row r="119" spans="1:22" ht="20.100000000000001" customHeight="1" x14ac:dyDescent="0.25">
      <c r="A119"/>
      <c r="D119" s="10" t="s">
        <v>591</v>
      </c>
      <c r="E119" s="10" t="s">
        <v>557</v>
      </c>
      <c r="M119" s="8"/>
    </row>
    <row r="120" spans="1:22" ht="20.100000000000001" customHeight="1" x14ac:dyDescent="0.25">
      <c r="A120"/>
      <c r="D120" s="10" t="str" cm="1">
        <f t="array" ref="D120">Common_InputFunctions.Utility_DisplayArrayInTable(SourceData_Poultry.SourceData_Poultry_Liveweights_Data(),Table_SourceData_Poultry_Liveweights[[#Headers],[Livestock class j]],0)</f>
        <v>Chicken</v>
      </c>
      <c r="E120" s="10" cm="1">
        <f t="array" ref="E120">Common_InputFunctions.Utility_DisplayArrayInTable(SourceData_Poultry.SourceData_Poultry_Liveweights_Data(),Table_SourceData_Poultry_Liveweights[[#Headers],[Livestock class j]],0)</f>
        <v>1.3</v>
      </c>
      <c r="M120" s="8"/>
    </row>
    <row r="121" spans="1:22" ht="20.100000000000001" customHeight="1" x14ac:dyDescent="0.25">
      <c r="A121"/>
      <c r="D121" s="8" t="str" cm="1">
        <f t="array" ref="D121">Common_InputFunctions.Utility_DisplayArrayInTable(SourceData_Poultry.SourceData_Poultry_Liveweights_Data(),Table_SourceData_Poultry_Liveweights[[#Headers],[Livestock class j]],0)</f>
        <v>Hen &gt;/=1 yr</v>
      </c>
      <c r="E121" s="10" cm="1">
        <f t="array" ref="E121">Common_InputFunctions.Utility_DisplayArrayInTable(SourceData_Poultry.SourceData_Poultry_Liveweights_Data(),Table_SourceData_Poultry_Liveweights[[#Headers],[Livestock class j]],0)</f>
        <v>2</v>
      </c>
      <c r="M121" s="8"/>
    </row>
    <row r="122" spans="1:22" ht="20.100000000000001" customHeight="1" x14ac:dyDescent="0.25">
      <c r="A122"/>
      <c r="D122" s="8" t="str" cm="1">
        <f t="array" ref="D122">Common_InputFunctions.Utility_DisplayArrayInTable(SourceData_Poultry.SourceData_Poultry_Liveweights_Data(),Table_SourceData_Poultry_Liveweights[[#Headers],[Livestock class j]],0)</f>
        <v>Pullets</v>
      </c>
      <c r="E122" s="10" cm="1">
        <f t="array" ref="E122">Common_InputFunctions.Utility_DisplayArrayInTable(SourceData_Poultry.SourceData_Poultry_Liveweights_Data(),Table_SourceData_Poultry_Liveweights[[#Headers],[Livestock class j]],0)</f>
        <v>1.4</v>
      </c>
      <c r="M122" s="8"/>
    </row>
    <row r="123" spans="1:22" ht="20.100000000000001" customHeight="1" x14ac:dyDescent="0.25">
      <c r="A123"/>
      <c r="D123" s="8" t="str" cm="1">
        <f t="array" ref="D123">Common_InputFunctions.Utility_DisplayArrayInTable(SourceData_Poultry.SourceData_Poultry_Liveweights_Data(),Table_SourceData_Poultry_Liveweights[[#Headers],[Livestock class j]],0)</f>
        <v>Broilers</v>
      </c>
      <c r="E123" s="10" cm="1">
        <f t="array" ref="E123">Common_InputFunctions.Utility_DisplayArrayInTable(SourceData_Poultry.SourceData_Poultry_Liveweights_Data(),Table_SourceData_Poultry_Liveweights[[#Headers],[Livestock class j]],0)</f>
        <v>1.2</v>
      </c>
      <c r="M123" s="8"/>
    </row>
    <row r="124" spans="1:22" ht="20.100000000000001" customHeight="1" x14ac:dyDescent="0.25">
      <c r="A124"/>
      <c r="M124" s="8"/>
    </row>
    <row r="125" spans="1:22" ht="20.100000000000001" customHeight="1" x14ac:dyDescent="0.25">
      <c r="A125"/>
      <c r="M125" s="8"/>
      <c r="V125" s="8"/>
    </row>
    <row r="126" spans="1:22" ht="20.100000000000001" customHeight="1" x14ac:dyDescent="0.25">
      <c r="A126"/>
      <c r="M126" s="8"/>
      <c r="V126" s="8"/>
    </row>
    <row r="127" spans="1:22" ht="20.100000000000001" customHeight="1" x14ac:dyDescent="0.25">
      <c r="A127"/>
      <c r="M127" s="8"/>
      <c r="V127" s="8"/>
    </row>
    <row r="128" spans="1:22" ht="20.100000000000001" customHeight="1" x14ac:dyDescent="0.25">
      <c r="A128"/>
      <c r="M128" s="8"/>
      <c r="V128" s="8"/>
    </row>
    <row r="129" spans="1:22" ht="20.100000000000001" customHeight="1" x14ac:dyDescent="0.25">
      <c r="A129"/>
      <c r="M129" s="8"/>
      <c r="V129" s="8"/>
    </row>
    <row r="130" spans="1:22" ht="20.100000000000001" customHeight="1" x14ac:dyDescent="0.25">
      <c r="A130"/>
      <c r="M130" s="8"/>
      <c r="V130" s="8"/>
    </row>
    <row r="131" spans="1:22" ht="20.100000000000001" customHeight="1" x14ac:dyDescent="0.25">
      <c r="A131"/>
      <c r="M131" s="8"/>
    </row>
    <row r="132" spans="1:22" ht="20.100000000000001" customHeight="1" x14ac:dyDescent="0.25">
      <c r="A132"/>
      <c r="M132" s="8"/>
    </row>
    <row r="133" spans="1:22" ht="20.100000000000001" customHeight="1" x14ac:dyDescent="0.25">
      <c r="A133"/>
      <c r="M133" s="8"/>
    </row>
    <row r="134" spans="1:22" ht="20.100000000000001" customHeight="1" x14ac:dyDescent="0.25">
      <c r="A134"/>
      <c r="M134" s="8"/>
    </row>
    <row r="135" spans="1:22" ht="20.100000000000001" customHeight="1" x14ac:dyDescent="0.25">
      <c r="A135"/>
      <c r="M135" s="8"/>
    </row>
    <row r="136" spans="1:22" ht="20.100000000000001" customHeight="1" x14ac:dyDescent="0.25">
      <c r="A136"/>
      <c r="M136" s="8"/>
    </row>
    <row r="137" spans="1:22" ht="20.100000000000001" customHeight="1" x14ac:dyDescent="0.25">
      <c r="A137"/>
      <c r="M137" s="8"/>
    </row>
    <row r="138" spans="1:22" ht="20.100000000000001" customHeight="1" x14ac:dyDescent="0.25">
      <c r="A138"/>
      <c r="M138" s="8"/>
    </row>
    <row r="139" spans="1:22" ht="20.100000000000001" customHeight="1" x14ac:dyDescent="0.25">
      <c r="A139"/>
      <c r="M139" s="8"/>
    </row>
    <row r="140" spans="1:22" ht="20.100000000000001" customHeight="1" x14ac:dyDescent="0.25">
      <c r="A140"/>
      <c r="M140" s="8"/>
    </row>
    <row r="141" spans="1:22" ht="20.100000000000001" customHeight="1" x14ac:dyDescent="0.25">
      <c r="A141"/>
      <c r="M141" s="8"/>
    </row>
    <row r="142" spans="1:22" ht="20.100000000000001" customHeight="1" x14ac:dyDescent="0.25">
      <c r="A142"/>
      <c r="M142" s="8"/>
    </row>
    <row r="143" spans="1:22" ht="20.100000000000001" customHeight="1" x14ac:dyDescent="0.25">
      <c r="A143"/>
      <c r="M143" s="8"/>
    </row>
    <row r="144" spans="1:22" ht="20.100000000000001" customHeight="1" x14ac:dyDescent="0.25">
      <c r="A144"/>
      <c r="M144" s="8"/>
    </row>
    <row r="145" spans="1:13" ht="20.100000000000001" customHeight="1" x14ac:dyDescent="0.25">
      <c r="A145"/>
      <c r="M145" s="8"/>
    </row>
    <row r="146" spans="1:13" ht="20.100000000000001" customHeight="1" x14ac:dyDescent="0.25">
      <c r="A146"/>
      <c r="M146" s="8"/>
    </row>
    <row r="147" spans="1:13" ht="20.100000000000001" customHeight="1" x14ac:dyDescent="0.25">
      <c r="A147"/>
      <c r="M147" s="8"/>
    </row>
    <row r="148" spans="1:13" ht="20.100000000000001" customHeight="1" x14ac:dyDescent="0.25">
      <c r="A148"/>
      <c r="M148" s="8"/>
    </row>
    <row r="149" spans="1:13" ht="20.100000000000001" customHeight="1" x14ac:dyDescent="0.25">
      <c r="A149"/>
      <c r="M149" s="8"/>
    </row>
    <row r="150" spans="1:13" ht="20.100000000000001" customHeight="1" x14ac:dyDescent="0.25">
      <c r="A150"/>
      <c r="M150" s="8"/>
    </row>
    <row r="151" spans="1:13" ht="20.100000000000001" customHeight="1" x14ac:dyDescent="0.25">
      <c r="A151"/>
      <c r="M151" s="8"/>
    </row>
    <row r="152" spans="1:13" ht="20.100000000000001" customHeight="1" x14ac:dyDescent="0.25">
      <c r="A152"/>
      <c r="M152" s="8"/>
    </row>
    <row r="153" spans="1:13" ht="20.100000000000001" customHeight="1" x14ac:dyDescent="0.25">
      <c r="A153"/>
      <c r="M153" s="8"/>
    </row>
    <row r="154" spans="1:13" ht="20.100000000000001" customHeight="1" x14ac:dyDescent="0.25">
      <c r="A154"/>
      <c r="M154" s="8"/>
    </row>
    <row r="155" spans="1:13" ht="20.100000000000001" customHeight="1" x14ac:dyDescent="0.25">
      <c r="A155"/>
      <c r="M155" s="8"/>
    </row>
    <row r="156" spans="1:13" ht="20.100000000000001" customHeight="1" x14ac:dyDescent="0.25">
      <c r="A156"/>
      <c r="M156" s="8"/>
    </row>
    <row r="157" spans="1:13" ht="20.100000000000001" customHeight="1" x14ac:dyDescent="0.25">
      <c r="A157"/>
      <c r="M157" s="8"/>
    </row>
    <row r="158" spans="1:13" ht="20.100000000000001" customHeight="1" x14ac:dyDescent="0.25">
      <c r="A158"/>
      <c r="M158" s="8"/>
    </row>
    <row r="159" spans="1:13" ht="20.100000000000001" customHeight="1" x14ac:dyDescent="0.25">
      <c r="A159"/>
      <c r="M159" s="8"/>
    </row>
    <row r="160" spans="1:13" ht="20.100000000000001" customHeight="1" x14ac:dyDescent="0.25">
      <c r="A160"/>
      <c r="M160" s="8"/>
    </row>
    <row r="161" spans="13:13" ht="20.100000000000001" customHeight="1" x14ac:dyDescent="0.25">
      <c r="M161" s="8"/>
    </row>
    <row r="162" spans="13:13" ht="20.100000000000001" customHeight="1" x14ac:dyDescent="0.25">
      <c r="M162" s="8"/>
    </row>
    <row r="163" spans="13:13" ht="20.100000000000001" customHeight="1" x14ac:dyDescent="0.25">
      <c r="M163" s="8"/>
    </row>
    <row r="164" spans="13:13" ht="20.100000000000001" customHeight="1" x14ac:dyDescent="0.25">
      <c r="M164" s="8"/>
    </row>
    <row r="165" spans="13:13" ht="20.100000000000001" customHeight="1" x14ac:dyDescent="0.25">
      <c r="M165" s="8"/>
    </row>
    <row r="166" spans="13:13" x14ac:dyDescent="0.25">
      <c r="M166" s="8"/>
    </row>
    <row r="167" spans="13:13" x14ac:dyDescent="0.25">
      <c r="M167" s="8"/>
    </row>
    <row r="168" spans="13:13" x14ac:dyDescent="0.25">
      <c r="M168" s="8"/>
    </row>
    <row r="169" spans="13:13" x14ac:dyDescent="0.25">
      <c r="M169" s="8"/>
    </row>
    <row r="170" spans="13:13" x14ac:dyDescent="0.25">
      <c r="M170" s="8"/>
    </row>
    <row r="171" spans="13:13" x14ac:dyDescent="0.25">
      <c r="M171" s="8"/>
    </row>
    <row r="172" spans="13:13" x14ac:dyDescent="0.25">
      <c r="M172" s="8"/>
    </row>
    <row r="173" spans="13:13" x14ac:dyDescent="0.25">
      <c r="M173" s="8"/>
    </row>
    <row r="174" spans="13:13" x14ac:dyDescent="0.25">
      <c r="M174" s="8"/>
    </row>
    <row r="175" spans="13:13" x14ac:dyDescent="0.25">
      <c r="M175" s="8"/>
    </row>
    <row r="176" spans="13:13" x14ac:dyDescent="0.25">
      <c r="M176" s="8"/>
    </row>
    <row r="177" spans="13:13" x14ac:dyDescent="0.25">
      <c r="M177" s="8"/>
    </row>
    <row r="178" spans="13:13" x14ac:dyDescent="0.25">
      <c r="M178" s="8"/>
    </row>
    <row r="179" spans="13:13" x14ac:dyDescent="0.25">
      <c r="M179" s="8"/>
    </row>
    <row r="180" spans="13:13" x14ac:dyDescent="0.25">
      <c r="M180" s="8"/>
    </row>
    <row r="181" spans="13:13" x14ac:dyDescent="0.25">
      <c r="M181" s="8"/>
    </row>
    <row r="182" spans="13:13" x14ac:dyDescent="0.25">
      <c r="M182" s="8"/>
    </row>
    <row r="183" spans="13:13" x14ac:dyDescent="0.25">
      <c r="M183" s="8"/>
    </row>
    <row r="184" spans="13:13" x14ac:dyDescent="0.25">
      <c r="M184" s="8"/>
    </row>
    <row r="185" spans="13:13" x14ac:dyDescent="0.25">
      <c r="M185" s="8"/>
    </row>
    <row r="186" spans="13:13" x14ac:dyDescent="0.25">
      <c r="M186" s="8"/>
    </row>
    <row r="187" spans="13:13" x14ac:dyDescent="0.25">
      <c r="M187" s="8"/>
    </row>
    <row r="188" spans="13:13" x14ac:dyDescent="0.25">
      <c r="M188" s="8"/>
    </row>
    <row r="189" spans="13:13" x14ac:dyDescent="0.25">
      <c r="M189" s="8"/>
    </row>
    <row r="190" spans="13:13" x14ac:dyDescent="0.25">
      <c r="M190" s="8"/>
    </row>
    <row r="191" spans="13:13" x14ac:dyDescent="0.25">
      <c r="M191" s="8"/>
    </row>
    <row r="192" spans="13:13" x14ac:dyDescent="0.25">
      <c r="M192" s="8"/>
    </row>
    <row r="193" spans="13:13" x14ac:dyDescent="0.25">
      <c r="M193" s="8"/>
    </row>
    <row r="194" spans="13:13" x14ac:dyDescent="0.25">
      <c r="M194" s="8"/>
    </row>
    <row r="195" spans="13:13" x14ac:dyDescent="0.25">
      <c r="M195" s="8"/>
    </row>
    <row r="196" spans="13:13" x14ac:dyDescent="0.25">
      <c r="M196" s="8"/>
    </row>
    <row r="197" spans="13:13" x14ac:dyDescent="0.25">
      <c r="M197" s="8"/>
    </row>
    <row r="198" spans="13:13" x14ac:dyDescent="0.25">
      <c r="M198" s="8"/>
    </row>
    <row r="199" spans="13:13" x14ac:dyDescent="0.25">
      <c r="M199" s="8"/>
    </row>
    <row r="200" spans="13:13" x14ac:dyDescent="0.25">
      <c r="M200" s="8"/>
    </row>
    <row r="201" spans="13:13" x14ac:dyDescent="0.25">
      <c r="M201" s="8"/>
    </row>
    <row r="202" spans="13:13" x14ac:dyDescent="0.25">
      <c r="M202" s="8"/>
    </row>
    <row r="203" spans="13:13" x14ac:dyDescent="0.25">
      <c r="M203" s="8"/>
    </row>
    <row r="204" spans="13:13" x14ac:dyDescent="0.25">
      <c r="M204" s="8"/>
    </row>
    <row r="205" spans="13:13" x14ac:dyDescent="0.25">
      <c r="M205" s="8"/>
    </row>
    <row r="206" spans="13:13" x14ac:dyDescent="0.25">
      <c r="M206" s="8"/>
    </row>
    <row r="207" spans="13:13" x14ac:dyDescent="0.25">
      <c r="M207" s="8"/>
    </row>
    <row r="208" spans="13:13" x14ac:dyDescent="0.25">
      <c r="M208" s="8"/>
    </row>
    <row r="209" spans="13:13" x14ac:dyDescent="0.25">
      <c r="M209" s="8"/>
    </row>
    <row r="210" spans="13:13" x14ac:dyDescent="0.25">
      <c r="M210" s="8"/>
    </row>
    <row r="211" spans="13:13" x14ac:dyDescent="0.25">
      <c r="M211" s="8"/>
    </row>
    <row r="212" spans="13:13" x14ac:dyDescent="0.25">
      <c r="M212" s="8"/>
    </row>
    <row r="213" spans="13:13" x14ac:dyDescent="0.25">
      <c r="M213" s="8"/>
    </row>
    <row r="214" spans="13:13" x14ac:dyDescent="0.25">
      <c r="M214" s="8"/>
    </row>
    <row r="215" spans="13:13" x14ac:dyDescent="0.25">
      <c r="M215" s="8"/>
    </row>
    <row r="216" spans="13:13" x14ac:dyDescent="0.25">
      <c r="M216" s="8"/>
    </row>
    <row r="217" spans="13:13" x14ac:dyDescent="0.25">
      <c r="M217" s="8"/>
    </row>
    <row r="218" spans="13:13" x14ac:dyDescent="0.25">
      <c r="M218" s="8"/>
    </row>
    <row r="219" spans="13:13" x14ac:dyDescent="0.25">
      <c r="M219" s="8"/>
    </row>
    <row r="220" spans="13:13" x14ac:dyDescent="0.25">
      <c r="M220" s="8"/>
    </row>
    <row r="221" spans="13:13" x14ac:dyDescent="0.25">
      <c r="M221" s="8"/>
    </row>
    <row r="222" spans="13:13" x14ac:dyDescent="0.25">
      <c r="M222" s="8"/>
    </row>
    <row r="223" spans="13:13" x14ac:dyDescent="0.25">
      <c r="M223" s="8"/>
    </row>
    <row r="224" spans="13:13" x14ac:dyDescent="0.25">
      <c r="M224" s="8"/>
    </row>
    <row r="225" spans="13:13" x14ac:dyDescent="0.25">
      <c r="M225" s="8"/>
    </row>
    <row r="226" spans="13:13" x14ac:dyDescent="0.25">
      <c r="M226" s="8"/>
    </row>
    <row r="227" spans="13:13" x14ac:dyDescent="0.25">
      <c r="M227" s="8"/>
    </row>
    <row r="228" spans="13:13" x14ac:dyDescent="0.25">
      <c r="M228" s="8"/>
    </row>
    <row r="229" spans="13:13" x14ac:dyDescent="0.25">
      <c r="M229" s="8"/>
    </row>
    <row r="230" spans="13:13" x14ac:dyDescent="0.25">
      <c r="M230" s="8"/>
    </row>
    <row r="231" spans="13:13" x14ac:dyDescent="0.25">
      <c r="M231" s="8"/>
    </row>
    <row r="232" spans="13:13" x14ac:dyDescent="0.25">
      <c r="M232" s="8"/>
    </row>
    <row r="233" spans="13:13" x14ac:dyDescent="0.25">
      <c r="M233" s="8"/>
    </row>
    <row r="234" spans="13:13" x14ac:dyDescent="0.25">
      <c r="M234" s="8"/>
    </row>
    <row r="235" spans="13:13" x14ac:dyDescent="0.25">
      <c r="M235" s="8"/>
    </row>
    <row r="236" spans="13:13" x14ac:dyDescent="0.25">
      <c r="M236" s="8"/>
    </row>
    <row r="237" spans="13:13" x14ac:dyDescent="0.25">
      <c r="M237" s="8"/>
    </row>
    <row r="238" spans="13:13" x14ac:dyDescent="0.25">
      <c r="M238" s="8"/>
    </row>
    <row r="239" spans="13:13" x14ac:dyDescent="0.25">
      <c r="M239" s="8"/>
    </row>
    <row r="240" spans="13:13" x14ac:dyDescent="0.25">
      <c r="M240" s="8"/>
    </row>
    <row r="241" spans="13:13" x14ac:dyDescent="0.25">
      <c r="M241" s="8"/>
    </row>
    <row r="242" spans="13:13" x14ac:dyDescent="0.25">
      <c r="M242" s="8"/>
    </row>
    <row r="243" spans="13:13" x14ac:dyDescent="0.25">
      <c r="M243" s="8"/>
    </row>
    <row r="244" spans="13:13" x14ac:dyDescent="0.25">
      <c r="M244" s="8"/>
    </row>
    <row r="245" spans="13:13" x14ac:dyDescent="0.25">
      <c r="M245" s="8"/>
    </row>
    <row r="246" spans="13:13" x14ac:dyDescent="0.25">
      <c r="M246" s="8"/>
    </row>
    <row r="247" spans="13:13" x14ac:dyDescent="0.25">
      <c r="M247" s="8"/>
    </row>
    <row r="248" spans="13:13" x14ac:dyDescent="0.25">
      <c r="M248" s="8"/>
    </row>
    <row r="249" spans="13:13" x14ac:dyDescent="0.25">
      <c r="M249" s="8"/>
    </row>
    <row r="250" spans="13:13" x14ac:dyDescent="0.25">
      <c r="M250" s="8"/>
    </row>
    <row r="251" spans="13:13" x14ac:dyDescent="0.25">
      <c r="M251" s="8"/>
    </row>
    <row r="252" spans="13:13" x14ac:dyDescent="0.25">
      <c r="M252" s="8"/>
    </row>
    <row r="253" spans="13:13" x14ac:dyDescent="0.25">
      <c r="M253" s="8"/>
    </row>
    <row r="254" spans="13:13" x14ac:dyDescent="0.25">
      <c r="M254" s="8"/>
    </row>
    <row r="255" spans="13:13" x14ac:dyDescent="0.25">
      <c r="M255" s="8"/>
    </row>
    <row r="256" spans="13:13" x14ac:dyDescent="0.25">
      <c r="M256" s="8"/>
    </row>
    <row r="257" spans="13:13" x14ac:dyDescent="0.25">
      <c r="M257" s="8"/>
    </row>
    <row r="258" spans="13:13" x14ac:dyDescent="0.25">
      <c r="M258" s="8"/>
    </row>
    <row r="259" spans="13:13" x14ac:dyDescent="0.25">
      <c r="M259" s="8"/>
    </row>
    <row r="260" spans="13:13" x14ac:dyDescent="0.25">
      <c r="M260" s="8"/>
    </row>
    <row r="261" spans="13:13" x14ac:dyDescent="0.25">
      <c r="M261" s="8"/>
    </row>
    <row r="262" spans="13:13" x14ac:dyDescent="0.25">
      <c r="M262" s="8"/>
    </row>
    <row r="263" spans="13:13" x14ac:dyDescent="0.25">
      <c r="M263" s="8"/>
    </row>
    <row r="264" spans="13:13" x14ac:dyDescent="0.25">
      <c r="M264" s="8"/>
    </row>
    <row r="265" spans="13:13" x14ac:dyDescent="0.25">
      <c r="M265" s="8"/>
    </row>
    <row r="266" spans="13:13" x14ac:dyDescent="0.25">
      <c r="M266" s="8"/>
    </row>
    <row r="267" spans="13:13" x14ac:dyDescent="0.25">
      <c r="M267" s="8"/>
    </row>
    <row r="268" spans="13:13" x14ac:dyDescent="0.25">
      <c r="M268" s="8"/>
    </row>
    <row r="269" spans="13:13" x14ac:dyDescent="0.25">
      <c r="M269" s="8"/>
    </row>
    <row r="270" spans="13:13" x14ac:dyDescent="0.25">
      <c r="M270" s="8"/>
    </row>
    <row r="271" spans="13:13" x14ac:dyDescent="0.25">
      <c r="M271" s="8"/>
    </row>
    <row r="272" spans="13:13" x14ac:dyDescent="0.25">
      <c r="M272" s="8"/>
    </row>
    <row r="273" spans="13:13" x14ac:dyDescent="0.25">
      <c r="M273" s="8"/>
    </row>
    <row r="274" spans="13:13" x14ac:dyDescent="0.25">
      <c r="M274" s="8"/>
    </row>
    <row r="275" spans="13:13" x14ac:dyDescent="0.25">
      <c r="M275" s="8"/>
    </row>
    <row r="276" spans="13:13" x14ac:dyDescent="0.25">
      <c r="M276" s="8"/>
    </row>
    <row r="277" spans="13:13" x14ac:dyDescent="0.25">
      <c r="M277" s="8"/>
    </row>
    <row r="278" spans="13:13" x14ac:dyDescent="0.25">
      <c r="M278" s="8"/>
    </row>
    <row r="279" spans="13:13" x14ac:dyDescent="0.25">
      <c r="M279" s="8"/>
    </row>
    <row r="280" spans="13:13" x14ac:dyDescent="0.25">
      <c r="M280" s="8"/>
    </row>
    <row r="281" spans="13:13" x14ac:dyDescent="0.25">
      <c r="M281" s="8"/>
    </row>
    <row r="282" spans="13:13" x14ac:dyDescent="0.25">
      <c r="M282" s="8"/>
    </row>
    <row r="283" spans="13:13" x14ac:dyDescent="0.25">
      <c r="M283" s="8"/>
    </row>
    <row r="284" spans="13:13" x14ac:dyDescent="0.25">
      <c r="M284" s="8"/>
    </row>
    <row r="285" spans="13:13" x14ac:dyDescent="0.25">
      <c r="M285" s="8"/>
    </row>
    <row r="286" spans="13:13" x14ac:dyDescent="0.25">
      <c r="M286" s="8"/>
    </row>
    <row r="287" spans="13:13" x14ac:dyDescent="0.25">
      <c r="M287" s="8"/>
    </row>
    <row r="288" spans="13:13" x14ac:dyDescent="0.25">
      <c r="M288" s="8"/>
    </row>
    <row r="289" spans="13:13" x14ac:dyDescent="0.25">
      <c r="M289" s="8"/>
    </row>
    <row r="290" spans="13:13" x14ac:dyDescent="0.25">
      <c r="M290" s="8"/>
    </row>
    <row r="291" spans="13:13" x14ac:dyDescent="0.25">
      <c r="M291" s="8"/>
    </row>
    <row r="292" spans="13:13" x14ac:dyDescent="0.25">
      <c r="M292" s="8"/>
    </row>
    <row r="293" spans="13:13" x14ac:dyDescent="0.25">
      <c r="M293" s="8"/>
    </row>
    <row r="294" spans="13:13" x14ac:dyDescent="0.25">
      <c r="M294" s="8"/>
    </row>
    <row r="295" spans="13:13" x14ac:dyDescent="0.25">
      <c r="M295" s="8"/>
    </row>
    <row r="296" spans="13:13" x14ac:dyDescent="0.25">
      <c r="M296" s="8"/>
    </row>
    <row r="297" spans="13:13" x14ac:dyDescent="0.25">
      <c r="M297" s="8"/>
    </row>
    <row r="298" spans="13:13" x14ac:dyDescent="0.25">
      <c r="M298" s="8"/>
    </row>
    <row r="299" spans="13:13" x14ac:dyDescent="0.25">
      <c r="M299" s="8"/>
    </row>
    <row r="300" spans="13:13" x14ac:dyDescent="0.25">
      <c r="M300" s="8"/>
    </row>
    <row r="301" spans="13:13" x14ac:dyDescent="0.25">
      <c r="M301" s="8"/>
    </row>
    <row r="302" spans="13:13" x14ac:dyDescent="0.25">
      <c r="M302" s="8"/>
    </row>
    <row r="303" spans="13:13" x14ac:dyDescent="0.25">
      <c r="M303" s="8"/>
    </row>
    <row r="304" spans="13:13" x14ac:dyDescent="0.25">
      <c r="M304" s="8"/>
    </row>
    <row r="305" spans="13:13" x14ac:dyDescent="0.25">
      <c r="M305" s="8"/>
    </row>
    <row r="306" spans="13:13" x14ac:dyDescent="0.25">
      <c r="M306" s="8"/>
    </row>
    <row r="307" spans="13:13" x14ac:dyDescent="0.25">
      <c r="M307" s="8"/>
    </row>
    <row r="308" spans="13:13" x14ac:dyDescent="0.25">
      <c r="M308" s="8"/>
    </row>
    <row r="309" spans="13:13" x14ac:dyDescent="0.25">
      <c r="M309" s="8"/>
    </row>
    <row r="310" spans="13:13" x14ac:dyDescent="0.25">
      <c r="M310" s="8"/>
    </row>
    <row r="311" spans="13:13" x14ac:dyDescent="0.25">
      <c r="M311" s="8"/>
    </row>
    <row r="312" spans="13:13" x14ac:dyDescent="0.25">
      <c r="M312" s="8"/>
    </row>
    <row r="313" spans="13:13" x14ac:dyDescent="0.25">
      <c r="M313" s="8"/>
    </row>
    <row r="314" spans="13:13" x14ac:dyDescent="0.25">
      <c r="M314" s="8"/>
    </row>
    <row r="315" spans="13:13" x14ac:dyDescent="0.25">
      <c r="M315" s="8"/>
    </row>
    <row r="316" spans="13:13" x14ac:dyDescent="0.25">
      <c r="M316" s="8"/>
    </row>
    <row r="317" spans="13:13" x14ac:dyDescent="0.25">
      <c r="M317" s="8"/>
    </row>
    <row r="318" spans="13:13" x14ac:dyDescent="0.25">
      <c r="M318" s="8"/>
    </row>
    <row r="319" spans="13:13" x14ac:dyDescent="0.25">
      <c r="M319" s="8"/>
    </row>
    <row r="320" spans="13:13" x14ac:dyDescent="0.25">
      <c r="M320" s="8"/>
    </row>
    <row r="321" spans="13:13" x14ac:dyDescent="0.25">
      <c r="M321" s="8"/>
    </row>
    <row r="322" spans="13:13" x14ac:dyDescent="0.25">
      <c r="M322" s="8"/>
    </row>
    <row r="323" spans="13:13" x14ac:dyDescent="0.25">
      <c r="M323" s="8"/>
    </row>
    <row r="324" spans="13:13" x14ac:dyDescent="0.25">
      <c r="M324" s="8"/>
    </row>
    <row r="325" spans="13:13" x14ac:dyDescent="0.25">
      <c r="M325" s="8"/>
    </row>
    <row r="326" spans="13:13" x14ac:dyDescent="0.25">
      <c r="M326" s="8"/>
    </row>
    <row r="327" spans="13:13" x14ac:dyDescent="0.25">
      <c r="M327" s="8"/>
    </row>
    <row r="328" spans="13:13" x14ac:dyDescent="0.25">
      <c r="M328" s="8"/>
    </row>
    <row r="329" spans="13:13" x14ac:dyDescent="0.25">
      <c r="M329" s="8"/>
    </row>
    <row r="330" spans="13:13" x14ac:dyDescent="0.25">
      <c r="M330" s="8"/>
    </row>
    <row r="331" spans="13:13" x14ac:dyDescent="0.25">
      <c r="M331" s="8"/>
    </row>
    <row r="332" spans="13:13" x14ac:dyDescent="0.25">
      <c r="M332" s="8"/>
    </row>
    <row r="333" spans="13:13" x14ac:dyDescent="0.25">
      <c r="M333" s="8"/>
    </row>
    <row r="334" spans="13:13" x14ac:dyDescent="0.25">
      <c r="M334" s="8"/>
    </row>
    <row r="335" spans="13:13" x14ac:dyDescent="0.25">
      <c r="M335" s="8"/>
    </row>
    <row r="336" spans="13:13" x14ac:dyDescent="0.25">
      <c r="M336" s="8"/>
    </row>
    <row r="337" spans="13:13" x14ac:dyDescent="0.25">
      <c r="M337" s="8"/>
    </row>
    <row r="338" spans="13:13" x14ac:dyDescent="0.25">
      <c r="M338" s="8"/>
    </row>
    <row r="339" spans="13:13" x14ac:dyDescent="0.25">
      <c r="M339" s="8"/>
    </row>
    <row r="340" spans="13:13" x14ac:dyDescent="0.25">
      <c r="M340" s="8"/>
    </row>
    <row r="341" spans="13:13" x14ac:dyDescent="0.25">
      <c r="M341" s="8"/>
    </row>
    <row r="342" spans="13:13" x14ac:dyDescent="0.25">
      <c r="M342" s="8"/>
    </row>
    <row r="343" spans="13:13" x14ac:dyDescent="0.25">
      <c r="M343" s="8"/>
    </row>
    <row r="344" spans="13:13" x14ac:dyDescent="0.25">
      <c r="M344" s="8"/>
    </row>
    <row r="345" spans="13:13" x14ac:dyDescent="0.25">
      <c r="M345" s="8"/>
    </row>
    <row r="346" spans="13:13" x14ac:dyDescent="0.25">
      <c r="M346" s="8"/>
    </row>
    <row r="347" spans="13:13" x14ac:dyDescent="0.25">
      <c r="M347" s="8"/>
    </row>
    <row r="348" spans="13:13" x14ac:dyDescent="0.25">
      <c r="M348" s="8"/>
    </row>
    <row r="349" spans="13:13" x14ac:dyDescent="0.25">
      <c r="M349" s="8"/>
    </row>
    <row r="350" spans="13:13" x14ac:dyDescent="0.25">
      <c r="M350" s="8"/>
    </row>
    <row r="351" spans="13:13" x14ac:dyDescent="0.25">
      <c r="M351" s="8"/>
    </row>
    <row r="352" spans="13:13" x14ac:dyDescent="0.25">
      <c r="M352" s="8"/>
    </row>
    <row r="353" spans="13:13" x14ac:dyDescent="0.25">
      <c r="M353" s="8"/>
    </row>
    <row r="354" spans="13:13" x14ac:dyDescent="0.25">
      <c r="M354" s="8"/>
    </row>
    <row r="355" spans="13:13" x14ac:dyDescent="0.25">
      <c r="M355" s="8"/>
    </row>
    <row r="356" spans="13:13" x14ac:dyDescent="0.25">
      <c r="M356" s="8"/>
    </row>
    <row r="357" spans="13:13" x14ac:dyDescent="0.25">
      <c r="M357" s="8"/>
    </row>
    <row r="358" spans="13:13" x14ac:dyDescent="0.25">
      <c r="M358" s="8"/>
    </row>
    <row r="359" spans="13:13" x14ac:dyDescent="0.25">
      <c r="M359" s="8"/>
    </row>
    <row r="360" spans="13:13" x14ac:dyDescent="0.25">
      <c r="M360" s="8"/>
    </row>
    <row r="361" spans="13:13" x14ac:dyDescent="0.25">
      <c r="M361" s="8"/>
    </row>
    <row r="362" spans="13:13" x14ac:dyDescent="0.25">
      <c r="M362" s="8"/>
    </row>
    <row r="363" spans="13:13" x14ac:dyDescent="0.25">
      <c r="M363" s="8"/>
    </row>
    <row r="364" spans="13:13" x14ac:dyDescent="0.25">
      <c r="M364" s="8"/>
    </row>
    <row r="365" spans="13:13" x14ac:dyDescent="0.25">
      <c r="M365" s="8"/>
    </row>
    <row r="366" spans="13:13" x14ac:dyDescent="0.25">
      <c r="M366" s="8"/>
    </row>
    <row r="367" spans="13:13" x14ac:dyDescent="0.25">
      <c r="M367" s="8"/>
    </row>
    <row r="368" spans="13:13" x14ac:dyDescent="0.25">
      <c r="M368" s="8"/>
    </row>
    <row r="369" spans="13:13" x14ac:dyDescent="0.25">
      <c r="M369" s="8"/>
    </row>
    <row r="370" spans="13:13" x14ac:dyDescent="0.25">
      <c r="M370" s="8"/>
    </row>
    <row r="371" spans="13:13" x14ac:dyDescent="0.25">
      <c r="M371" s="8"/>
    </row>
    <row r="372" spans="13:13" x14ac:dyDescent="0.25">
      <c r="M372" s="8"/>
    </row>
    <row r="373" spans="13:13" x14ac:dyDescent="0.25">
      <c r="M373" s="8"/>
    </row>
    <row r="374" spans="13:13" x14ac:dyDescent="0.25">
      <c r="M374" s="8"/>
    </row>
    <row r="375" spans="13:13" x14ac:dyDescent="0.25">
      <c r="M375" s="8"/>
    </row>
    <row r="376" spans="13:13" x14ac:dyDescent="0.25">
      <c r="M376" s="8"/>
    </row>
    <row r="377" spans="13:13" x14ac:dyDescent="0.25">
      <c r="M377" s="8"/>
    </row>
    <row r="378" spans="13:13" x14ac:dyDescent="0.25">
      <c r="M378" s="8"/>
    </row>
    <row r="379" spans="13:13" x14ac:dyDescent="0.25">
      <c r="M379" s="8"/>
    </row>
    <row r="380" spans="13:13" x14ac:dyDescent="0.25">
      <c r="M380" s="8"/>
    </row>
    <row r="381" spans="13:13" x14ac:dyDescent="0.25">
      <c r="M381" s="8"/>
    </row>
    <row r="382" spans="13:13" x14ac:dyDescent="0.25">
      <c r="M382" s="8"/>
    </row>
    <row r="383" spans="13:13" x14ac:dyDescent="0.25">
      <c r="M383" s="8"/>
    </row>
    <row r="384" spans="13:13" x14ac:dyDescent="0.25">
      <c r="M384" s="8"/>
    </row>
    <row r="385" spans="13:13" x14ac:dyDescent="0.25">
      <c r="M385" s="8"/>
    </row>
    <row r="386" spans="13:13" x14ac:dyDescent="0.25">
      <c r="M386" s="8"/>
    </row>
    <row r="387" spans="13:13" x14ac:dyDescent="0.25">
      <c r="M387" s="8"/>
    </row>
    <row r="388" spans="13:13" x14ac:dyDescent="0.25">
      <c r="M388" s="8"/>
    </row>
    <row r="389" spans="13:13" x14ac:dyDescent="0.25">
      <c r="M389" s="8"/>
    </row>
    <row r="390" spans="13:13" x14ac:dyDescent="0.25">
      <c r="M390" s="8"/>
    </row>
    <row r="391" spans="13:13" x14ac:dyDescent="0.25">
      <c r="M391" s="8"/>
    </row>
    <row r="392" spans="13:13" x14ac:dyDescent="0.25">
      <c r="M392" s="8"/>
    </row>
    <row r="393" spans="13:13" x14ac:dyDescent="0.25">
      <c r="M393" s="8"/>
    </row>
    <row r="394" spans="13:13" x14ac:dyDescent="0.25">
      <c r="M394" s="8"/>
    </row>
    <row r="395" spans="13:13" x14ac:dyDescent="0.25">
      <c r="M395" s="8"/>
    </row>
    <row r="396" spans="13:13" x14ac:dyDescent="0.25">
      <c r="M396" s="8"/>
    </row>
    <row r="397" spans="13:13" x14ac:dyDescent="0.25">
      <c r="M397" s="8"/>
    </row>
    <row r="398" spans="13:13" x14ac:dyDescent="0.25">
      <c r="M398" s="8"/>
    </row>
    <row r="399" spans="13:13" x14ac:dyDescent="0.25">
      <c r="M399" s="8"/>
    </row>
    <row r="400" spans="13:13" x14ac:dyDescent="0.25">
      <c r="M400" s="8"/>
    </row>
    <row r="401" spans="13:13" x14ac:dyDescent="0.25">
      <c r="M401" s="8"/>
    </row>
    <row r="402" spans="13:13" x14ac:dyDescent="0.25">
      <c r="M402" s="8"/>
    </row>
    <row r="403" spans="13:13" x14ac:dyDescent="0.25">
      <c r="M403" s="8"/>
    </row>
    <row r="404" spans="13:13" x14ac:dyDescent="0.25">
      <c r="M404" s="8"/>
    </row>
    <row r="405" spans="13:13" x14ac:dyDescent="0.25">
      <c r="M405" s="8"/>
    </row>
    <row r="406" spans="13:13" x14ac:dyDescent="0.25">
      <c r="M406" s="8"/>
    </row>
    <row r="407" spans="13:13" x14ac:dyDescent="0.25">
      <c r="M407" s="8"/>
    </row>
    <row r="408" spans="13:13" x14ac:dyDescent="0.25">
      <c r="M408" s="8"/>
    </row>
    <row r="409" spans="13:13" x14ac:dyDescent="0.25">
      <c r="M409" s="8"/>
    </row>
    <row r="410" spans="13:13" x14ac:dyDescent="0.25">
      <c r="M410" s="8"/>
    </row>
    <row r="411" spans="13:13" x14ac:dyDescent="0.25">
      <c r="M411" s="8"/>
    </row>
    <row r="412" spans="13:13" x14ac:dyDescent="0.25">
      <c r="M412" s="8"/>
    </row>
    <row r="413" spans="13:13" x14ac:dyDescent="0.25">
      <c r="M413" s="8"/>
    </row>
    <row r="414" spans="13:13" x14ac:dyDescent="0.25">
      <c r="M414" s="8"/>
    </row>
    <row r="415" spans="13:13" x14ac:dyDescent="0.25">
      <c r="M415" s="8"/>
    </row>
    <row r="416" spans="13:13" x14ac:dyDescent="0.25">
      <c r="M416" s="8"/>
    </row>
    <row r="417" spans="13:13" x14ac:dyDescent="0.25">
      <c r="M417" s="8"/>
    </row>
    <row r="418" spans="13:13" x14ac:dyDescent="0.25">
      <c r="M418" s="8"/>
    </row>
    <row r="419" spans="13:13" x14ac:dyDescent="0.25">
      <c r="M419" s="8"/>
    </row>
    <row r="420" spans="13:13" x14ac:dyDescent="0.25">
      <c r="M420" s="8"/>
    </row>
    <row r="421" spans="13:13" x14ac:dyDescent="0.25">
      <c r="M421" s="8"/>
    </row>
    <row r="422" spans="13:13" x14ac:dyDescent="0.25">
      <c r="M422" s="8"/>
    </row>
    <row r="423" spans="13:13" x14ac:dyDescent="0.25">
      <c r="M423" s="8"/>
    </row>
    <row r="424" spans="13:13" x14ac:dyDescent="0.25">
      <c r="M424" s="8"/>
    </row>
    <row r="425" spans="13:13" x14ac:dyDescent="0.25">
      <c r="M425" s="8"/>
    </row>
    <row r="426" spans="13:13" x14ac:dyDescent="0.25">
      <c r="M426" s="8"/>
    </row>
    <row r="427" spans="13:13" x14ac:dyDescent="0.25">
      <c r="M427" s="8"/>
    </row>
    <row r="428" spans="13:13" x14ac:dyDescent="0.25">
      <c r="M428" s="8"/>
    </row>
    <row r="429" spans="13:13" x14ac:dyDescent="0.25">
      <c r="M429" s="8"/>
    </row>
    <row r="430" spans="13:13" x14ac:dyDescent="0.25">
      <c r="M430" s="8"/>
    </row>
    <row r="431" spans="13:13" x14ac:dyDescent="0.25">
      <c r="M431" s="8"/>
    </row>
    <row r="432" spans="13:13" x14ac:dyDescent="0.25">
      <c r="M432" s="8"/>
    </row>
    <row r="433" spans="13:13" x14ac:dyDescent="0.25">
      <c r="M433" s="8"/>
    </row>
    <row r="434" spans="13:13" x14ac:dyDescent="0.25">
      <c r="M434" s="8"/>
    </row>
    <row r="435" spans="13:13" x14ac:dyDescent="0.25">
      <c r="M435" s="8"/>
    </row>
    <row r="436" spans="13:13" x14ac:dyDescent="0.25">
      <c r="M436" s="8"/>
    </row>
    <row r="437" spans="13:13" x14ac:dyDescent="0.25">
      <c r="M437" s="8"/>
    </row>
    <row r="438" spans="13:13" x14ac:dyDescent="0.25">
      <c r="M438" s="8"/>
    </row>
    <row r="439" spans="13:13" x14ac:dyDescent="0.25">
      <c r="M439" s="8"/>
    </row>
    <row r="440" spans="13:13" x14ac:dyDescent="0.25">
      <c r="M440" s="8"/>
    </row>
    <row r="441" spans="13:13" x14ac:dyDescent="0.25">
      <c r="M441" s="8"/>
    </row>
    <row r="442" spans="13:13" x14ac:dyDescent="0.25">
      <c r="M442" s="8"/>
    </row>
    <row r="443" spans="13:13" x14ac:dyDescent="0.25">
      <c r="M443" s="8"/>
    </row>
    <row r="444" spans="13:13" x14ac:dyDescent="0.25">
      <c r="M444" s="8"/>
    </row>
    <row r="445" spans="13:13" x14ac:dyDescent="0.25">
      <c r="M445" s="8"/>
    </row>
    <row r="446" spans="13:13" x14ac:dyDescent="0.25">
      <c r="M446" s="8"/>
    </row>
    <row r="447" spans="13:13" x14ac:dyDescent="0.25">
      <c r="M447" s="8"/>
    </row>
    <row r="448" spans="13:13" x14ac:dyDescent="0.25">
      <c r="M448" s="8"/>
    </row>
    <row r="449" spans="13:13" x14ac:dyDescent="0.25">
      <c r="M449" s="8"/>
    </row>
    <row r="450" spans="13:13" x14ac:dyDescent="0.25">
      <c r="M450" s="8"/>
    </row>
    <row r="451" spans="13:13" x14ac:dyDescent="0.25">
      <c r="M451" s="8"/>
    </row>
    <row r="452" spans="13:13" x14ac:dyDescent="0.25">
      <c r="M452" s="8"/>
    </row>
  </sheetData>
  <pageMargins left="0.7" right="0.7" top="0.75" bottom="0.75" header="0.3" footer="0.3"/>
  <pageSetup paperSize="9" orientation="portrait" r:id="rId1"/>
  <tableParts count="13">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ED1A0-4246-48B9-AE64-0486C0BA7EF2}">
  <dimension ref="A1:W452"/>
  <sheetViews>
    <sheetView showGridLines="0" topLeftCell="A86" zoomScaleNormal="100" workbookViewId="0">
      <selection activeCell="A41" sqref="A41"/>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37" t="e" vm="1">
        <v>#VALUE!</v>
      </c>
      <c r="C1" s="1" t="s">
        <v>538</v>
      </c>
    </row>
    <row r="2" spans="1:21" s="2" customFormat="1" ht="20.100000000000001" customHeight="1" x14ac:dyDescent="0.25">
      <c r="A2"/>
    </row>
    <row r="3" spans="1:21"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c r="M5" s="8"/>
    </row>
    <row r="6" spans="1:21" ht="20.100000000000001" customHeight="1" x14ac:dyDescent="0.25">
      <c r="A6"/>
      <c r="D6" s="9" t="s">
        <v>539</v>
      </c>
      <c r="G6" s="9" t="s">
        <v>142</v>
      </c>
      <c r="M6" s="8"/>
    </row>
    <row r="7" spans="1:21" ht="20.100000000000001" customHeight="1" x14ac:dyDescent="0.25">
      <c r="A7" s="19" t="s">
        <v>67</v>
      </c>
      <c r="M7" s="8"/>
    </row>
    <row r="8" spans="1:21" ht="20.100000000000001" customHeight="1" x14ac:dyDescent="0.25">
      <c r="A8" s="16" t="str">
        <f>HYPERLINK("#'Input - Site'!A1", "Site")</f>
        <v>Site</v>
      </c>
      <c r="D8" s="10" t="s">
        <v>144</v>
      </c>
      <c r="G8" s="10" t="s">
        <v>43</v>
      </c>
      <c r="M8" s="8"/>
    </row>
    <row r="9" spans="1:21" ht="20.100000000000001" customHeight="1" x14ac:dyDescent="0.25">
      <c r="A9" s="16" t="str">
        <f>HYPERLINK("#'Input - Fuel'!A1", "Fuel")</f>
        <v>Fuel</v>
      </c>
      <c r="D9" s="10" t="s">
        <v>146</v>
      </c>
      <c r="G9" s="10" t="s">
        <v>147</v>
      </c>
      <c r="M9" s="8"/>
    </row>
    <row r="10" spans="1:21" ht="20.100000000000001" customHeight="1" x14ac:dyDescent="0.25">
      <c r="A10" s="16" t="str">
        <f>HYPERLINK("#'Input - Fertiliser'!A1", "Fertiliser")</f>
        <v>Fertiliser</v>
      </c>
      <c r="D10" s="8" t="s">
        <v>149</v>
      </c>
      <c r="G10" s="10" t="s">
        <v>151</v>
      </c>
      <c r="M10" s="8"/>
    </row>
    <row r="11" spans="1:21" ht="20.100000000000001" customHeight="1" x14ac:dyDescent="0.25">
      <c r="A11" s="16" t="str">
        <f>HYPERLINK("#'Input - Farm Inputs'!A1", "Farm Inputs")</f>
        <v>Farm Inputs</v>
      </c>
      <c r="G11" s="8" t="s">
        <v>154</v>
      </c>
      <c r="M11" s="8"/>
    </row>
    <row r="12" spans="1:21" ht="20.100000000000001" customHeight="1" x14ac:dyDescent="0.25">
      <c r="A12" s="16" t="str">
        <f>HYPERLINK("#'Input - Beef cattle purchases'!A1", "Beef cattle purchases")</f>
        <v>Beef cattle purchases</v>
      </c>
      <c r="G12" s="8" t="s">
        <v>157</v>
      </c>
      <c r="M12" s="8"/>
    </row>
    <row r="13" spans="1:21" ht="20.100000000000001" customHeight="1" x14ac:dyDescent="0.25">
      <c r="A13" s="16" t="str">
        <f>HYPERLINK("#'Input - Dairy cattle purchases'!A1", "Dairy cattle purchases")</f>
        <v>Dairy cattle purchases</v>
      </c>
      <c r="G13" s="8" t="s">
        <v>159</v>
      </c>
      <c r="M13" s="8"/>
    </row>
    <row r="14" spans="1:21" ht="20.100000000000001" customHeight="1" x14ac:dyDescent="0.25">
      <c r="A14" s="16" t="str">
        <f>HYPERLINK("#'Input - Pig purchases'!A1", "Pig purchases")</f>
        <v>Pig purchases</v>
      </c>
      <c r="D14" s="9" t="str" cm="1">
        <f t="array" ref="D14">SourceData_Swine.SourceData_Swine_FracLEACH_DrylotMMS_Title()</f>
        <v>Fraction of nitrogen lost through leaching and runoff for drylot MMS</v>
      </c>
      <c r="M14" s="8"/>
    </row>
    <row r="15" spans="1:21" ht="20.100000000000001" customHeight="1" x14ac:dyDescent="0.25">
      <c r="A15" s="16" t="str">
        <f>HYPERLINK("#'Input - Poultry purchases'!A1", "Poultry purchases")</f>
        <v>Poultry purchases</v>
      </c>
      <c r="D15" s="11" t="str" cm="1">
        <f t="array" ref="D15">SourceData_Swine.SourceData_Swine_FracLEACH_DrylotMMS_Source()</f>
        <v>VEERG 2026: 4.5.2.3 CONSTANT</v>
      </c>
      <c r="M15" s="8"/>
    </row>
    <row r="16" spans="1:21" ht="20.100000000000001" customHeight="1" x14ac:dyDescent="0.25">
      <c r="A16" s="16" t="str">
        <f>HYPERLINK("#'Input - Freight'!A1", "Freight")</f>
        <v>Freight</v>
      </c>
      <c r="D16" s="12" t="str" cm="1">
        <f t="array" ref="D16">SourceData_Swine.SourceData_Swine_FracLEACH_DrylotMMS_Variation()</f>
        <v>VARIATION ON SOURCE: Text refers to 'solid storage' MMS, but equation refers to 'drylot' MMS.</v>
      </c>
      <c r="M16" s="8"/>
    </row>
    <row r="17" spans="1:13" ht="20.100000000000001" customHeight="1" x14ac:dyDescent="0.25">
      <c r="A17" s="16" t="str">
        <f>HYPERLINK("#'Input - Solid waste'!A1", "Solid waste")</f>
        <v>Solid waste</v>
      </c>
      <c r="D17" s="27" t="str" cm="1">
        <f t="array" ref="D17">SourceData_Swine.SourceData_Swine_FracLEACH_DrylotMMS_Variable()</f>
        <v>FracLEACH_MS</v>
      </c>
      <c r="E17" s="8" cm="1">
        <f t="array" ref="E17">SourceData_Swine.SourceData_Swine_FracLEACH_DrylotMMS_Data()</f>
        <v>0.02</v>
      </c>
      <c r="F17" s="13" t="str" cm="1">
        <f t="array" ref="F17">SourceData_Swine.SourceData_Swine_FracLEACH_DrylotMMS_Unit()</f>
        <v>fraction</v>
      </c>
      <c r="M17" s="8"/>
    </row>
    <row r="18" spans="1:13" ht="20.100000000000001" customHeight="1" x14ac:dyDescent="0.25">
      <c r="A18" s="16" t="str">
        <f>HYPERLINK("#'Input - Manure sent off-site'!A1", "Manure sent off-site")</f>
        <v>Manure sent off-site</v>
      </c>
      <c r="M18" s="8"/>
    </row>
    <row r="19" spans="1:13" ht="20.100000000000001" customHeight="1" x14ac:dyDescent="0.25">
      <c r="A19" s="16" t="str">
        <f>HYPERLINK("#'Input - Electricity'!A1", "Electricity")</f>
        <v>Electricity</v>
      </c>
      <c r="D19" s="9" t="str" cm="1">
        <f t="array" ref="D19">SourceData_Swine.SourceData_Swine_MethaneVolatileSolidsEmissionsPotential_Title()</f>
        <v>Emissions potential of methane per kilogram of volatile solids</v>
      </c>
      <c r="M19" s="8"/>
    </row>
    <row r="20" spans="1:13" ht="20.100000000000001" customHeight="1" x14ac:dyDescent="0.25">
      <c r="A20"/>
      <c r="D20" s="11" t="e" cm="1">
        <f t="array" aca="1" ref="D20" ca="1">SourceData_Swine.SourceData_Swine_MethaneVolatileSolidsEmissionsPotential_Source()</f>
        <v>#NAME?</v>
      </c>
      <c r="M20" s="8"/>
    </row>
    <row r="21" spans="1:13" ht="20.100000000000001" customHeight="1" x14ac:dyDescent="0.25">
      <c r="A21"/>
      <c r="D21" s="27" t="str" cm="1">
        <f t="array" ref="D21">SourceData_Swine.SourceData_Swine_MethaneVolatileSolidsEmissionsPotential_Variable()</f>
        <v>B0</v>
      </c>
      <c r="E21" s="8" cm="1">
        <f t="array" ref="E21">SourceData_Swine.SourceData_Swine_MethaneVolatileSolidsEmissionsPotential_Data()</f>
        <v>0.19</v>
      </c>
      <c r="F21" s="13" t="str" cm="1">
        <f t="array" ref="F21">SourceData_Swine.SourceData_Swine_MethaneVolatileSolidsEmissionsPotential_Unit()</f>
        <v>m3 CH4 / kg VS</v>
      </c>
      <c r="M21" s="8"/>
    </row>
    <row r="22" spans="1:13" ht="20.100000000000001" customHeight="1" x14ac:dyDescent="0.25">
      <c r="A22" s="21" t="s">
        <v>77</v>
      </c>
      <c r="M22" s="8"/>
    </row>
    <row r="23" spans="1:13" ht="20.100000000000001" customHeight="1" x14ac:dyDescent="0.25">
      <c r="A23" s="16" t="str">
        <f>HYPERLINK("#'15 Scope 3'!A1", "15 Scope 3")</f>
        <v>15 Scope 3</v>
      </c>
      <c r="M23" s="8"/>
    </row>
    <row r="24" spans="1:13" ht="20.100000000000001" customHeight="1" x14ac:dyDescent="0.25">
      <c r="A24" s="16" t="str">
        <f>HYPERLINK("#'10.1.1-2 Solid waste treatment'!A1", "10.1.1-2 Solid waste treatment")</f>
        <v>10.1.1-2 Solid waste treatment</v>
      </c>
      <c r="D24" s="9" t="str" cm="1">
        <f t="array" ref="D24">SourceData_Swine.SourceData_Swine_MMS_MCFs_Title()</f>
        <v>Methane conversion factor for temperature zone and manure management system.</v>
      </c>
      <c r="H24" s="156" t="s">
        <v>540</v>
      </c>
      <c r="M24" s="8"/>
    </row>
    <row r="25" spans="1:13" ht="20.100000000000001" customHeight="1" x14ac:dyDescent="0.25">
      <c r="A25" s="16" t="str">
        <f>HYPERLINK("#'Calcs - Manure sent off-site'!A1", "Calcs - Manure sent off-site")</f>
        <v>Calcs - Manure sent off-site</v>
      </c>
      <c r="D25" s="11" t="str" cm="1">
        <f t="array" ref="D25">SourceData_Swine.SourceData_Swine_MMS_MCFs_Source()</f>
        <v>VEERG 2026: Table A.1.6.4: Swine - MCFs (MCFim)</v>
      </c>
      <c r="H25" s="156" t="s">
        <v>541</v>
      </c>
      <c r="M25" s="8"/>
    </row>
    <row r="26" spans="1:13" ht="20.100000000000001" customHeight="1" x14ac:dyDescent="0.25">
      <c r="A26" s="16" t="str">
        <f>HYPERLINK("#'8.1.1.1-2 Transport fuel'!A1", "8.1.1.1-2 Transport fuel")</f>
        <v>8.1.1.1-2 Transport fuel</v>
      </c>
      <c r="D26" s="12" t="str" cm="1">
        <f t="array" ref="D26">SourceData_Swine.SourceData_Swine_MMS_MCFs_Variation()</f>
        <v>VARIATION ON SOURCE DATA: Added columns for ACT, split QLD and NT. Added extra column with MMS names that match NIR definitions</v>
      </c>
      <c r="M26" s="8"/>
    </row>
    <row r="27" spans="1:13" ht="20.100000000000001" customHeight="1" x14ac:dyDescent="0.25">
      <c r="A27" s="16" t="str">
        <f>HYPERLINK("#'8.2.1.1-2 Stationary fuel'!A1", "8.2.1.1-2 Stationary fuel")</f>
        <v>8.2.1.1-2 Stationary fuel</v>
      </c>
      <c r="M27" s="8"/>
    </row>
    <row r="28" spans="1:13" ht="20.100000000000001" customHeight="1" x14ac:dyDescent="0.25">
      <c r="A28"/>
      <c r="D28" s="10" t="s">
        <v>517</v>
      </c>
      <c r="E28" s="10" t="s">
        <v>329</v>
      </c>
      <c r="F28" s="10" t="s">
        <v>308</v>
      </c>
      <c r="G28" s="10" t="s">
        <v>330</v>
      </c>
      <c r="H28" s="10" t="s">
        <v>427</v>
      </c>
      <c r="I28" s="10" t="s">
        <v>385</v>
      </c>
      <c r="J28" s="10" t="s">
        <v>382</v>
      </c>
      <c r="K28" s="10" t="s">
        <v>335</v>
      </c>
      <c r="L28" s="10" t="s">
        <v>336</v>
      </c>
      <c r="M28" s="10" t="s">
        <v>542</v>
      </c>
    </row>
    <row r="29" spans="1:13" ht="20.100000000000001" customHeight="1" x14ac:dyDescent="0.25">
      <c r="A29"/>
      <c r="D29" s="10" t="str" cm="1">
        <f t="array" ref="D29">Common_InputFunctions.Utility_DisplayArrayInTable(SourceData_Swine.SourceData_Swine_MMS_MCFs_Data(),Table_SourceData_Swine_MMSMCF[[#Headers],[MMS]],0)</f>
        <v>Outdoor (Dry lot)</v>
      </c>
      <c r="E29" s="10" cm="1">
        <f t="array" ref="E29">Common_InputFunctions.Utility_DisplayArrayInTable(SourceData_Swine.SourceData_Swine_MMS_MCFs_Data(),Table_SourceData_Swine_MMSMCF[[#Headers],[MMS]],0)</f>
        <v>0.01</v>
      </c>
      <c r="F29" s="10" cm="1">
        <f t="array" ref="F29">Common_InputFunctions.Utility_DisplayArrayInTable(SourceData_Swine.SourceData_Swine_MMS_MCFs_Data(),Table_SourceData_Swine_MMSMCF[[#Headers],[MMS]],0)</f>
        <v>0.01</v>
      </c>
      <c r="G29" s="10" cm="1">
        <f t="array" ref="G29">Common_InputFunctions.Utility_DisplayArrayInTable(SourceData_Swine.SourceData_Swine_MMS_MCFs_Data(),Table_SourceData_Swine_MMSMCF[[#Headers],[MMS]],0)</f>
        <v>0.03</v>
      </c>
      <c r="H29" s="10" cm="1">
        <f t="array" ref="H29">Common_InputFunctions.Utility_DisplayArrayInTable(SourceData_Swine.SourceData_Swine_MMS_MCFs_Data(),Table_SourceData_Swine_MMSMCF[[#Headers],[MMS]],0)</f>
        <v>0.03</v>
      </c>
      <c r="I29" s="10" cm="1">
        <f t="array" ref="I29">Common_InputFunctions.Utility_DisplayArrayInTable(SourceData_Swine.SourceData_Swine_MMS_MCFs_Data(),Table_SourceData_Swine_MMSMCF[[#Headers],[MMS]],0)</f>
        <v>0.01</v>
      </c>
      <c r="J29" s="10" cm="1">
        <f t="array" ref="J29">Common_InputFunctions.Utility_DisplayArrayInTable(SourceData_Swine.SourceData_Swine_MMS_MCFs_Data(),Table_SourceData_Swine_MMSMCF[[#Headers],[MMS]],0)</f>
        <v>0.01</v>
      </c>
      <c r="K29" s="10" cm="1">
        <f t="array" ref="K29">Common_InputFunctions.Utility_DisplayArrayInTable(SourceData_Swine.SourceData_Swine_MMS_MCFs_Data(),Table_SourceData_Swine_MMSMCF[[#Headers],[MMS]],0)</f>
        <v>0.01</v>
      </c>
      <c r="L29" s="10" cm="1">
        <f t="array" ref="L29">Common_InputFunctions.Utility_DisplayArrayInTable(SourceData_Swine.SourceData_Swine_MMS_MCFs_Data(),Table_SourceData_Swine_MMSMCF[[#Headers],[MMS]],0)</f>
        <v>0.01</v>
      </c>
      <c r="M29" s="10" t="str" cm="1">
        <f t="array" ref="M29">Common_InputFunctions.Utility_DisplayArrayInTable(SourceData_Swine.SourceData_Swine_MMS_MCFs_Data(),Table_SourceData_Swine_MMSMCF[[#Headers],[MMS]],0)</f>
        <v>Drylot (feed pad)</v>
      </c>
    </row>
    <row r="30" spans="1:13" ht="20.100000000000001" customHeight="1" x14ac:dyDescent="0.25">
      <c r="A30" s="221" t="s">
        <v>78</v>
      </c>
      <c r="D30" s="8" t="str" cm="1">
        <f t="array" ref="D30">Common_InputFunctions.Utility_DisplayArrayInTable(SourceData_Swine.SourceData_Swine_MMS_MCFs_Data(),Table_SourceData_Swine_MMSMCF[[#Headers],[MMS]],0)</f>
        <v>Deep litter</v>
      </c>
      <c r="E30" s="10" cm="1">
        <f t="array" ref="E30">Common_InputFunctions.Utility_DisplayArrayInTable(SourceData_Swine.SourceData_Swine_MMS_MCFs_Data(),Table_SourceData_Swine_MMSMCF[[#Headers],[MMS]],0)</f>
        <v>0.04</v>
      </c>
      <c r="F30" s="10" cm="1">
        <f t="array" ref="F30">Common_InputFunctions.Utility_DisplayArrayInTable(SourceData_Swine.SourceData_Swine_MMS_MCFs_Data(),Table_SourceData_Swine_MMSMCF[[#Headers],[MMS]],0)</f>
        <v>0.04</v>
      </c>
      <c r="G30" s="10" cm="1">
        <f t="array" ref="G30">Common_InputFunctions.Utility_DisplayArrayInTable(SourceData_Swine.SourceData_Swine_MMS_MCFs_Data(),Table_SourceData_Swine_MMSMCF[[#Headers],[MMS]],0)</f>
        <v>0.04</v>
      </c>
      <c r="H30" s="10" cm="1">
        <f t="array" ref="H30">Common_InputFunctions.Utility_DisplayArrayInTable(SourceData_Swine.SourceData_Swine_MMS_MCFs_Data(),Table_SourceData_Swine_MMSMCF[[#Headers],[MMS]],0)</f>
        <v>0.04</v>
      </c>
      <c r="I30" s="10" cm="1">
        <f t="array" ref="I30">Common_InputFunctions.Utility_DisplayArrayInTable(SourceData_Swine.SourceData_Swine_MMS_MCFs_Data(),Table_SourceData_Swine_MMSMCF[[#Headers],[MMS]],0)</f>
        <v>0.04</v>
      </c>
      <c r="J30" s="10" cm="1">
        <f t="array" ref="J30">Common_InputFunctions.Utility_DisplayArrayInTable(SourceData_Swine.SourceData_Swine_MMS_MCFs_Data(),Table_SourceData_Swine_MMSMCF[[#Headers],[MMS]],0)</f>
        <v>0.04</v>
      </c>
      <c r="K30" s="10" cm="1">
        <f t="array" ref="K30">Common_InputFunctions.Utility_DisplayArrayInTable(SourceData_Swine.SourceData_Swine_MMS_MCFs_Data(),Table_SourceData_Swine_MMSMCF[[#Headers],[MMS]],0)</f>
        <v>0.04</v>
      </c>
      <c r="L30" s="10" cm="1">
        <f t="array" ref="L30">Common_InputFunctions.Utility_DisplayArrayInTable(SourceData_Swine.SourceData_Swine_MMS_MCFs_Data(),Table_SourceData_Swine_MMSMCF[[#Headers],[MMS]],0)</f>
        <v>0.04</v>
      </c>
      <c r="M30" s="10" t="str" cm="1">
        <f t="array" ref="M30">Common_InputFunctions.Utility_DisplayArrayInTable(SourceData_Swine.SourceData_Swine_MMS_MCFs_Data(),Table_SourceData_Swine_MMSMCF[[#Headers],[MMS]],0)</f>
        <v>Deep litter</v>
      </c>
    </row>
    <row r="31" spans="1:13" ht="20.100000000000001" customHeight="1" x14ac:dyDescent="0.25">
      <c r="A31" s="16" t="str">
        <f>HYPERLINK("#'Constants - Scope 3'!A1", "Constants - Scope 3")</f>
        <v>Constants - Scope 3</v>
      </c>
      <c r="D31" s="8" t="str" cm="1">
        <f t="array" ref="D31">Common_InputFunctions.Utility_DisplayArrayInTable(SourceData_Swine.SourceData_Swine_MMS_MCFs_Data(),Table_SourceData_Swine_MMSMCF[[#Headers],[MMS]],0)</f>
        <v>Stockpile (Solid storage)</v>
      </c>
      <c r="E31" s="10" cm="1">
        <f t="array" ref="E31">Common_InputFunctions.Utility_DisplayArrayInTable(SourceData_Swine.SourceData_Swine_MMS_MCFs_Data(),Table_SourceData_Swine_MMSMCF[[#Headers],[MMS]],0)</f>
        <v>0.02</v>
      </c>
      <c r="F31" s="10" cm="1">
        <f t="array" ref="F31">Common_InputFunctions.Utility_DisplayArrayInTable(SourceData_Swine.SourceData_Swine_MMS_MCFs_Data(),Table_SourceData_Swine_MMSMCF[[#Headers],[MMS]],0)</f>
        <v>0.02</v>
      </c>
      <c r="G31" s="10" cm="1">
        <f t="array" ref="G31">Common_InputFunctions.Utility_DisplayArrayInTable(SourceData_Swine.SourceData_Swine_MMS_MCFs_Data(),Table_SourceData_Swine_MMSMCF[[#Headers],[MMS]],0)</f>
        <v>0.02</v>
      </c>
      <c r="H31" s="10" cm="1">
        <f t="array" ref="H31">Common_InputFunctions.Utility_DisplayArrayInTable(SourceData_Swine.SourceData_Swine_MMS_MCFs_Data(),Table_SourceData_Swine_MMSMCF[[#Headers],[MMS]],0)</f>
        <v>0.02</v>
      </c>
      <c r="I31" s="10" cm="1">
        <f t="array" ref="I31">Common_InputFunctions.Utility_DisplayArrayInTable(SourceData_Swine.SourceData_Swine_MMS_MCFs_Data(),Table_SourceData_Swine_MMSMCF[[#Headers],[MMS]],0)</f>
        <v>0.02</v>
      </c>
      <c r="J31" s="10" cm="1">
        <f t="array" ref="J31">Common_InputFunctions.Utility_DisplayArrayInTable(SourceData_Swine.SourceData_Swine_MMS_MCFs_Data(),Table_SourceData_Swine_MMSMCF[[#Headers],[MMS]],0)</f>
        <v>0.02</v>
      </c>
      <c r="K31" s="10" cm="1">
        <f t="array" ref="K31">Common_InputFunctions.Utility_DisplayArrayInTable(SourceData_Swine.SourceData_Swine_MMS_MCFs_Data(),Table_SourceData_Swine_MMSMCF[[#Headers],[MMS]],0)</f>
        <v>0.02</v>
      </c>
      <c r="L31" s="10" cm="1">
        <f t="array" ref="L31">Common_InputFunctions.Utility_DisplayArrayInTable(SourceData_Swine.SourceData_Swine_MMS_MCFs_Data(),Table_SourceData_Swine_MMSMCF[[#Headers],[MMS]],0)</f>
        <v>0.02</v>
      </c>
      <c r="M31" s="10" t="str" cm="1">
        <f t="array" ref="M31">Common_InputFunctions.Utility_DisplayArrayInTable(SourceData_Swine.SourceData_Swine_MMS_MCFs_Data(),Table_SourceData_Swine_MMSMCF[[#Headers],[MMS]],0)</f>
        <v>Solid storage</v>
      </c>
    </row>
    <row r="32" spans="1:13" ht="20.100000000000001" customHeight="1" x14ac:dyDescent="0.25">
      <c r="A32" s="16" t="str">
        <f>HYPERLINK("#'Constants - Solid Waste'!A1", "Constants - Solid Waste")</f>
        <v>Constants - Solid Waste</v>
      </c>
      <c r="D32" s="8" t="str" cm="1">
        <f t="array" ref="D32">Common_InputFunctions.Utility_DisplayArrayInTable(SourceData_Swine.SourceData_Swine_MMS_MCFs_Data(),Table_SourceData_Swine_MMSMCF[[#Headers],[MMS]],0)</f>
        <v>Effluent pond (Uncovered anaerobic lagoon)</v>
      </c>
      <c r="E32" s="10" cm="1">
        <f t="array" ref="E32">Common_InputFunctions.Utility_DisplayArrayInTable(SourceData_Swine.SourceData_Swine_MMS_MCFs_Data(),Table_SourceData_Swine_MMSMCF[[#Headers],[MMS]],0)</f>
        <v>0.75</v>
      </c>
      <c r="F32" s="10" cm="1">
        <f t="array" ref="F32">Common_InputFunctions.Utility_DisplayArrayInTable(SourceData_Swine.SourceData_Swine_MMS_MCFs_Data(),Table_SourceData_Swine_MMSMCF[[#Headers],[MMS]],0)</f>
        <v>0.75</v>
      </c>
      <c r="G32" s="10" cm="1">
        <f t="array" ref="G32">Common_InputFunctions.Utility_DisplayArrayInTable(SourceData_Swine.SourceData_Swine_MMS_MCFs_Data(),Table_SourceData_Swine_MMSMCF[[#Headers],[MMS]],0)</f>
        <v>0.78</v>
      </c>
      <c r="H32" s="10" cm="1">
        <f t="array" ref="H32">Common_InputFunctions.Utility_DisplayArrayInTable(SourceData_Swine.SourceData_Swine_MMS_MCFs_Data(),Table_SourceData_Swine_MMSMCF[[#Headers],[MMS]],0)</f>
        <v>0.78</v>
      </c>
      <c r="I32" s="10" cm="1">
        <f t="array" ref="I32">Common_InputFunctions.Utility_DisplayArrayInTable(SourceData_Swine.SourceData_Swine_MMS_MCFs_Data(),Table_SourceData_Swine_MMSMCF[[#Headers],[MMS]],0)</f>
        <v>0.75</v>
      </c>
      <c r="J32" s="10" cm="1">
        <f t="array" ref="J32">Common_InputFunctions.Utility_DisplayArrayInTable(SourceData_Swine.SourceData_Swine_MMS_MCFs_Data(),Table_SourceData_Swine_MMSMCF[[#Headers],[MMS]],0)</f>
        <v>0.7</v>
      </c>
      <c r="K32" s="10" cm="1">
        <f t="array" ref="K32">Common_InputFunctions.Utility_DisplayArrayInTable(SourceData_Swine.SourceData_Swine_MMS_MCFs_Data(),Table_SourceData_Swine_MMSMCF[[#Headers],[MMS]],0)</f>
        <v>0.74</v>
      </c>
      <c r="L32" s="10" cm="1">
        <f t="array" ref="L32">Common_InputFunctions.Utility_DisplayArrayInTable(SourceData_Swine.SourceData_Swine_MMS_MCFs_Data(),Table_SourceData_Swine_MMSMCF[[#Headers],[MMS]],0)</f>
        <v>0.76</v>
      </c>
      <c r="M32" s="10" t="str" cm="1">
        <f t="array" ref="M32">Common_InputFunctions.Utility_DisplayArrayInTable(SourceData_Swine.SourceData_Swine_MMS_MCFs_Data(),Table_SourceData_Swine_MMSMCF[[#Headers],[MMS]],0)</f>
        <v>Anaerobic lagoon</v>
      </c>
    </row>
    <row r="33" spans="1:13" ht="20.100000000000001" customHeight="1" x14ac:dyDescent="0.25">
      <c r="A33" s="16" t="str">
        <f>HYPERLINK("#'Constants - Fuel'!A1", "Constants - Fuel")</f>
        <v>Constants - Fuel</v>
      </c>
      <c r="D33" s="8" t="str" cm="1">
        <f t="array" ref="D33">Common_InputFunctions.Utility_DisplayArrayInTable(SourceData_Swine.SourceData_Swine_MMS_MCFs_Data(),Table_SourceData_Swine_MMSMCF[[#Headers],[MMS]],0)</f>
        <v>Anaerobic digester / Covered lagoon</v>
      </c>
      <c r="E33" s="10" cm="1">
        <f t="array" ref="E33">Common_InputFunctions.Utility_DisplayArrayInTable(SourceData_Swine.SourceData_Swine_MMS_MCFs_Data(),Table_SourceData_Swine_MMSMCF[[#Headers],[MMS]],0)</f>
        <v>0.1</v>
      </c>
      <c r="F33" s="10" cm="1">
        <f t="array" ref="F33">Common_InputFunctions.Utility_DisplayArrayInTable(SourceData_Swine.SourceData_Swine_MMS_MCFs_Data(),Table_SourceData_Swine_MMSMCF[[#Headers],[MMS]],0)</f>
        <v>0.1</v>
      </c>
      <c r="G33" s="10" cm="1">
        <f t="array" ref="G33">Common_InputFunctions.Utility_DisplayArrayInTable(SourceData_Swine.SourceData_Swine_MMS_MCFs_Data(),Table_SourceData_Swine_MMSMCF[[#Headers],[MMS]],0)</f>
        <v>0.1</v>
      </c>
      <c r="H33" s="10" cm="1">
        <f t="array" ref="H33">Common_InputFunctions.Utility_DisplayArrayInTable(SourceData_Swine.SourceData_Swine_MMS_MCFs_Data(),Table_SourceData_Swine_MMSMCF[[#Headers],[MMS]],0)</f>
        <v>0.1</v>
      </c>
      <c r="I33" s="10" cm="1">
        <f t="array" ref="I33">Common_InputFunctions.Utility_DisplayArrayInTable(SourceData_Swine.SourceData_Swine_MMS_MCFs_Data(),Table_SourceData_Swine_MMSMCF[[#Headers],[MMS]],0)</f>
        <v>0.1</v>
      </c>
      <c r="J33" s="10" cm="1">
        <f t="array" ref="J33">Common_InputFunctions.Utility_DisplayArrayInTable(SourceData_Swine.SourceData_Swine_MMS_MCFs_Data(),Table_SourceData_Swine_MMSMCF[[#Headers],[MMS]],0)</f>
        <v>0.1</v>
      </c>
      <c r="K33" s="10" cm="1">
        <f t="array" ref="K33">Common_InputFunctions.Utility_DisplayArrayInTable(SourceData_Swine.SourceData_Swine_MMS_MCFs_Data(),Table_SourceData_Swine_MMSMCF[[#Headers],[MMS]],0)</f>
        <v>0.1</v>
      </c>
      <c r="L33" s="10" cm="1">
        <f t="array" ref="L33">Common_InputFunctions.Utility_DisplayArrayInTable(SourceData_Swine.SourceData_Swine_MMS_MCFs_Data(),Table_SourceData_Swine_MMSMCF[[#Headers],[MMS]],0)</f>
        <v>0.1</v>
      </c>
      <c r="M33" s="10" t="str" cm="1">
        <f t="array" ref="M33">Common_InputFunctions.Utility_DisplayArrayInTable(SourceData_Swine.SourceData_Swine_MMS_MCFs_Data(),Table_SourceData_Swine_MMSMCF[[#Headers],[MMS]],0)</f>
        <v>Digester / covered lagoons</v>
      </c>
    </row>
    <row r="34" spans="1:13" ht="20.100000000000001" customHeight="1" x14ac:dyDescent="0.25">
      <c r="A34" s="16" t="str">
        <f>HYPERLINK("#'Constants - Poultry'!A1", "Constants - Poultry")</f>
        <v>Constants - Poultry</v>
      </c>
      <c r="D34" s="8" t="str" cm="1">
        <f t="array" ref="D34">Common_InputFunctions.Utility_DisplayArrayInTable(SourceData_Swine.SourceData_Swine_MMS_MCFs_Data(),Table_SourceData_Swine_MMSMCF[[#Headers],[MMS]],0)</f>
        <v>Short HRT tank storage &lt; 1 month (pit storage)</v>
      </c>
      <c r="E34" s="10" cm="1">
        <f t="array" ref="E34">Common_InputFunctions.Utility_DisplayArrayInTable(SourceData_Swine.SourceData_Swine_MMS_MCFs_Data(),Table_SourceData_Swine_MMSMCF[[#Headers],[MMS]],0)</f>
        <v>0.03</v>
      </c>
      <c r="F34" s="10" cm="1">
        <f t="array" ref="F34">Common_InputFunctions.Utility_DisplayArrayInTable(SourceData_Swine.SourceData_Swine_MMS_MCFs_Data(),Table_SourceData_Swine_MMSMCF[[#Headers],[MMS]],0)</f>
        <v>0.03</v>
      </c>
      <c r="G34" s="10" cm="1">
        <f t="array" ref="G34">Common_InputFunctions.Utility_DisplayArrayInTable(SourceData_Swine.SourceData_Swine_MMS_MCFs_Data(),Table_SourceData_Swine_MMSMCF[[#Headers],[MMS]],0)</f>
        <v>0.03</v>
      </c>
      <c r="H34" s="10" cm="1">
        <f t="array" ref="H34">Common_InputFunctions.Utility_DisplayArrayInTable(SourceData_Swine.SourceData_Swine_MMS_MCFs_Data(),Table_SourceData_Swine_MMSMCF[[#Headers],[MMS]],0)</f>
        <v>0.03</v>
      </c>
      <c r="I34" s="10" cm="1">
        <f t="array" ref="I34">Common_InputFunctions.Utility_DisplayArrayInTable(SourceData_Swine.SourceData_Swine_MMS_MCFs_Data(),Table_SourceData_Swine_MMSMCF[[#Headers],[MMS]],0)</f>
        <v>0.03</v>
      </c>
      <c r="J34" s="10" cm="1">
        <f t="array" ref="J34">Common_InputFunctions.Utility_DisplayArrayInTable(SourceData_Swine.SourceData_Swine_MMS_MCFs_Data(),Table_SourceData_Swine_MMSMCF[[#Headers],[MMS]],0)</f>
        <v>0.03</v>
      </c>
      <c r="K34" s="10" cm="1">
        <f t="array" ref="K34">Common_InputFunctions.Utility_DisplayArrayInTable(SourceData_Swine.SourceData_Swine_MMS_MCFs_Data(),Table_SourceData_Swine_MMSMCF[[#Headers],[MMS]],0)</f>
        <v>0.03</v>
      </c>
      <c r="L34" s="10" cm="1">
        <f t="array" ref="L34">Common_InputFunctions.Utility_DisplayArrayInTable(SourceData_Swine.SourceData_Swine_MMS_MCFs_Data(),Table_SourceData_Swine_MMSMCF[[#Headers],[MMS]],0)</f>
        <v>0.03</v>
      </c>
      <c r="M34" s="10" t="str" cm="1">
        <f t="array" ref="M34">Common_InputFunctions.Utility_DisplayArrayInTable(SourceData_Swine.SourceData_Swine_MMS_MCFs_Data(),Table_SourceData_Swine_MMSMCF[[#Headers],[MMS]],0)</f>
        <v>Pit storage</v>
      </c>
    </row>
    <row r="35" spans="1:13" ht="20.100000000000001" customHeight="1" x14ac:dyDescent="0.25">
      <c r="A35" s="23" t="str">
        <f>HYPERLINK("#'Constants - Swine'!A1", "Constants - Swine")</f>
        <v>Constants - Swine</v>
      </c>
      <c r="D35" s="8" t="str" cm="1">
        <f t="array" ref="D35">Common_InputFunctions.Utility_DisplayArrayInTable(SourceData_Swine.SourceData_Swine_MMS_MCFs_Data(),Table_SourceData_Swine_MMSMCF[[#Headers],[MMS]],0)</f>
        <v>Direct Application to soil</v>
      </c>
      <c r="E35" s="10" cm="1">
        <f t="array" ref="E35">Common_InputFunctions.Utility_DisplayArrayInTable(SourceData_Swine.SourceData_Swine_MMS_MCFs_Data(),Table_SourceData_Swine_MMSMCF[[#Headers],[MMS]],0)</f>
        <v>0</v>
      </c>
      <c r="F35" s="10" cm="1">
        <f t="array" ref="F35">Common_InputFunctions.Utility_DisplayArrayInTable(SourceData_Swine.SourceData_Swine_MMS_MCFs_Data(),Table_SourceData_Swine_MMSMCF[[#Headers],[MMS]],0)</f>
        <v>0</v>
      </c>
      <c r="G35" s="10" cm="1">
        <f t="array" ref="G35">Common_InputFunctions.Utility_DisplayArrayInTable(SourceData_Swine.SourceData_Swine_MMS_MCFs_Data(),Table_SourceData_Swine_MMSMCF[[#Headers],[MMS]],0)</f>
        <v>0</v>
      </c>
      <c r="H35" s="10" cm="1">
        <f t="array" ref="H35">Common_InputFunctions.Utility_DisplayArrayInTable(SourceData_Swine.SourceData_Swine_MMS_MCFs_Data(),Table_SourceData_Swine_MMSMCF[[#Headers],[MMS]],0)</f>
        <v>0</v>
      </c>
      <c r="I35" s="10" cm="1">
        <f t="array" ref="I35">Common_InputFunctions.Utility_DisplayArrayInTable(SourceData_Swine.SourceData_Swine_MMS_MCFs_Data(),Table_SourceData_Swine_MMSMCF[[#Headers],[MMS]],0)</f>
        <v>0</v>
      </c>
      <c r="J35" s="10" cm="1">
        <f t="array" ref="J35">Common_InputFunctions.Utility_DisplayArrayInTable(SourceData_Swine.SourceData_Swine_MMS_MCFs_Data(),Table_SourceData_Swine_MMSMCF[[#Headers],[MMS]],0)</f>
        <v>0</v>
      </c>
      <c r="K35" s="10" cm="1">
        <f t="array" ref="K35">Common_InputFunctions.Utility_DisplayArrayInTable(SourceData_Swine.SourceData_Swine_MMS_MCFs_Data(),Table_SourceData_Swine_MMSMCF[[#Headers],[MMS]],0)</f>
        <v>0</v>
      </c>
      <c r="L35" s="10" cm="1">
        <f t="array" ref="L35">Common_InputFunctions.Utility_DisplayArrayInTable(SourceData_Swine.SourceData_Swine_MMS_MCFs_Data(),Table_SourceData_Swine_MMSMCF[[#Headers],[MMS]],0)</f>
        <v>0</v>
      </c>
      <c r="M35" s="10" t="str" cm="1">
        <f t="array" ref="M35">Common_InputFunctions.Utility_DisplayArrayInTable(SourceData_Swine.SourceData_Swine_MMS_MCFs_Data(),Table_SourceData_Swine_MMSMCF[[#Headers],[MMS]],0)</f>
        <v>Direct application</v>
      </c>
    </row>
    <row r="36" spans="1:13" ht="20.100000000000001" customHeight="1" x14ac:dyDescent="0.25">
      <c r="A36" s="16" t="str">
        <f>HYPERLINK("#'Constants - Dairy'!A1", "Constants - Dairy")</f>
        <v>Constants - Dairy</v>
      </c>
      <c r="M36" s="8"/>
    </row>
    <row r="37" spans="1:13" ht="20.100000000000001" customHeight="1" x14ac:dyDescent="0.25">
      <c r="A37" s="16" t="str">
        <f>HYPERLINK("#'Constants - Pasture Beef'!A1", "Constants - Pasture Beef")</f>
        <v>Constants - Pasture Beef</v>
      </c>
      <c r="M37" s="8"/>
    </row>
    <row r="38" spans="1:13" ht="20.100000000000001" customHeight="1" x14ac:dyDescent="0.25">
      <c r="A38" s="16" t="str">
        <f>HYPERLINK("#'Constants - Common Livestock'!A1", "Constants - Common Livestock")</f>
        <v>Constants - Common Livestock</v>
      </c>
      <c r="D38" s="9" t="s">
        <v>543</v>
      </c>
      <c r="G38" s="9" t="s">
        <v>544</v>
      </c>
      <c r="K38" s="9" t="s">
        <v>545</v>
      </c>
      <c r="M38" s="8"/>
    </row>
    <row r="39" spans="1:13" ht="20.100000000000001" customHeight="1" x14ac:dyDescent="0.25">
      <c r="A39" s="16" t="str">
        <f>HYPERLINK("#'Constants - Fertiliser'!A1", "Constants - Fertiliser")</f>
        <v>Constants - Fertiliser</v>
      </c>
      <c r="M39" s="8"/>
    </row>
    <row r="40" spans="1:13" ht="20.100000000000001" customHeight="1" x14ac:dyDescent="0.25">
      <c r="A40" s="16" t="str">
        <f>HYPERLINK("#'Constants - Electricity'!A1", "Constants - Electricity")</f>
        <v>Constants - Electricity</v>
      </c>
      <c r="D40" s="158" t="s">
        <v>517</v>
      </c>
      <c r="E40" s="10" t="s">
        <v>322</v>
      </c>
      <c r="G40" s="158" t="s">
        <v>517</v>
      </c>
      <c r="H40" s="10" t="s">
        <v>322</v>
      </c>
      <c r="K40" s="158" t="s">
        <v>517</v>
      </c>
      <c r="L40" s="10" t="s">
        <v>322</v>
      </c>
      <c r="M40" s="8"/>
    </row>
    <row r="41" spans="1:13" ht="20.100000000000001" customHeight="1" x14ac:dyDescent="0.25">
      <c r="A41" s="16" t="str">
        <f>HYPERLINK("#'Constants - Common'!A1", "Constants - Common")</f>
        <v>Constants - Common</v>
      </c>
      <c r="D41" s="10" t="s">
        <v>50</v>
      </c>
      <c r="E41" s="10" t="s">
        <v>909</v>
      </c>
      <c r="G41" s="10" t="s">
        <v>50</v>
      </c>
      <c r="H41" s="10" t="s">
        <v>909</v>
      </c>
      <c r="K41" s="10" t="s">
        <v>50</v>
      </c>
      <c r="L41" s="10" t="s">
        <v>909</v>
      </c>
      <c r="M41" s="8"/>
    </row>
    <row r="42" spans="1:13" ht="20.100000000000001" customHeight="1" x14ac:dyDescent="0.25">
      <c r="A42"/>
      <c r="D42" s="10" t="s">
        <v>55</v>
      </c>
      <c r="E42" s="10" t="s">
        <v>578</v>
      </c>
      <c r="G42" s="10" t="s">
        <v>914</v>
      </c>
      <c r="H42" s="10" t="s">
        <v>915</v>
      </c>
      <c r="K42" s="10" t="s">
        <v>55</v>
      </c>
      <c r="L42" s="10" t="s">
        <v>578</v>
      </c>
      <c r="M42" s="8"/>
    </row>
    <row r="43" spans="1:13" ht="20.100000000000001" customHeight="1" x14ac:dyDescent="0.25">
      <c r="A43"/>
      <c r="D43" s="10" t="s">
        <v>914</v>
      </c>
      <c r="E43" s="10" t="s">
        <v>915</v>
      </c>
      <c r="G43" s="10" t="s">
        <v>51</v>
      </c>
      <c r="H43" s="10" t="s">
        <v>584</v>
      </c>
      <c r="K43" s="10" t="s">
        <v>914</v>
      </c>
      <c r="L43" s="10" t="s">
        <v>915</v>
      </c>
      <c r="M43" s="8"/>
    </row>
    <row r="44" spans="1:13" ht="20.100000000000001" customHeight="1" x14ac:dyDescent="0.25">
      <c r="A44"/>
      <c r="D44" s="10" t="s">
        <v>51</v>
      </c>
      <c r="E44" s="10" t="s">
        <v>584</v>
      </c>
      <c r="G44" s="10" t="s">
        <v>57</v>
      </c>
      <c r="H44" s="10" t="s">
        <v>916</v>
      </c>
      <c r="K44" s="10" t="s">
        <v>51</v>
      </c>
      <c r="L44" s="10" t="s">
        <v>584</v>
      </c>
      <c r="M44" s="8"/>
    </row>
    <row r="45" spans="1:13" ht="20.100000000000001" customHeight="1" x14ac:dyDescent="0.25">
      <c r="A45"/>
      <c r="D45" s="10" t="s">
        <v>57</v>
      </c>
      <c r="E45" s="10" t="s">
        <v>916</v>
      </c>
      <c r="G45" s="10" t="s">
        <v>56</v>
      </c>
      <c r="H45" s="10" t="s">
        <v>917</v>
      </c>
      <c r="K45" s="10" t="s">
        <v>57</v>
      </c>
      <c r="L45" s="10" t="s">
        <v>916</v>
      </c>
      <c r="M45" s="8"/>
    </row>
    <row r="46" spans="1:13" ht="20.100000000000001" customHeight="1" x14ac:dyDescent="0.25">
      <c r="A46"/>
      <c r="D46" s="10" t="s">
        <v>56</v>
      </c>
      <c r="E46" s="10" t="s">
        <v>917</v>
      </c>
      <c r="K46" s="10" t="s">
        <v>56</v>
      </c>
      <c r="L46" s="10" t="s">
        <v>917</v>
      </c>
      <c r="M46" s="8"/>
    </row>
    <row r="47" spans="1:13" ht="20.100000000000001" customHeight="1" x14ac:dyDescent="0.25">
      <c r="A47"/>
      <c r="D47" s="10" t="s">
        <v>61</v>
      </c>
      <c r="E47" s="10" t="s">
        <v>588</v>
      </c>
      <c r="M47" s="8"/>
    </row>
    <row r="48" spans="1:13" ht="20.100000000000001" customHeight="1" x14ac:dyDescent="0.25">
      <c r="A48"/>
      <c r="M48" s="8"/>
    </row>
    <row r="49" spans="1:13" ht="20.100000000000001" customHeight="1" x14ac:dyDescent="0.25">
      <c r="A49"/>
      <c r="M49" s="8"/>
    </row>
    <row r="50" spans="1:13" ht="20.100000000000001" customHeight="1" x14ac:dyDescent="0.25">
      <c r="A50"/>
      <c r="M50" s="8"/>
    </row>
    <row r="51" spans="1:13" ht="20.100000000000001" customHeight="1" x14ac:dyDescent="0.25">
      <c r="A51"/>
      <c r="D51" s="9" t="s">
        <v>546</v>
      </c>
      <c r="G51" s="9" t="s">
        <v>547</v>
      </c>
      <c r="M51" s="8"/>
    </row>
    <row r="52" spans="1:13" ht="20.100000000000001" customHeight="1" x14ac:dyDescent="0.25">
      <c r="A52"/>
      <c r="M52" s="8"/>
    </row>
    <row r="53" spans="1:13" ht="20.100000000000001" customHeight="1" x14ac:dyDescent="0.25">
      <c r="A53"/>
      <c r="D53" s="158" t="s">
        <v>517</v>
      </c>
      <c r="E53" s="10" t="s">
        <v>548</v>
      </c>
      <c r="G53" s="10" t="s">
        <v>144</v>
      </c>
      <c r="M53" s="8"/>
    </row>
    <row r="54" spans="1:13" ht="20.100000000000001" customHeight="1" x14ac:dyDescent="0.25">
      <c r="A54"/>
      <c r="D54" s="10" t="s">
        <v>50</v>
      </c>
      <c r="E54" s="10">
        <v>0</v>
      </c>
      <c r="G54" s="10" t="str" cm="1">
        <f t="array" ref="G54">Common_InputFunctions.Utility_DisplayArrayInTable(SourceData_Swine.SourceData_Swine_ProductionSystems_Data(), Table_SourceData_Swine_ProductionSystems[[#Headers],[Production system]], 0)</f>
        <v>Conventional housing</v>
      </c>
      <c r="M54" s="8"/>
    </row>
    <row r="55" spans="1:13" ht="20.100000000000001" customHeight="1" x14ac:dyDescent="0.25">
      <c r="A55"/>
      <c r="D55" s="10" t="s">
        <v>55</v>
      </c>
      <c r="E55" s="10">
        <v>0</v>
      </c>
      <c r="G55" s="10" t="str" cm="1">
        <f t="array" ref="G55">Common_InputFunctions.Utility_DisplayArrayInTable(SourceData_Swine.SourceData_Swine_ProductionSystems_Data(), Table_SourceData_Swine_ProductionSystems[[#Headers],[Production system]], 0)</f>
        <v>Deep litter housing</v>
      </c>
      <c r="M55" s="8"/>
    </row>
    <row r="56" spans="1:13" ht="20.100000000000001" customHeight="1" x14ac:dyDescent="0.25">
      <c r="A56"/>
      <c r="D56" s="10" t="s">
        <v>914</v>
      </c>
      <c r="E56" s="10">
        <v>0</v>
      </c>
      <c r="G56" s="10" t="str" cm="1">
        <f t="array" ref="G56">Common_InputFunctions.Utility_DisplayArrayInTable(SourceData_Swine.SourceData_Swine_ProductionSystems_Data(), Table_SourceData_Swine_ProductionSystems[[#Headers],[Production system]], 0)</f>
        <v>Outdoor/free range</v>
      </c>
      <c r="M56" s="8"/>
    </row>
    <row r="57" spans="1:13" ht="20.100000000000001" customHeight="1" x14ac:dyDescent="0.25">
      <c r="A57"/>
      <c r="D57" s="10" t="s">
        <v>51</v>
      </c>
      <c r="E57" s="10">
        <v>0.75</v>
      </c>
      <c r="M57" s="8"/>
    </row>
    <row r="58" spans="1:13" ht="20.100000000000001" customHeight="1" x14ac:dyDescent="0.25">
      <c r="A58"/>
      <c r="D58" s="10" t="s">
        <v>57</v>
      </c>
      <c r="E58" s="10">
        <v>0.05</v>
      </c>
      <c r="M58" s="8"/>
    </row>
    <row r="59" spans="1:13" ht="20.100000000000001" customHeight="1" x14ac:dyDescent="0.25">
      <c r="A59"/>
      <c r="D59" s="10" t="s">
        <v>56</v>
      </c>
      <c r="E59" s="10">
        <v>0</v>
      </c>
      <c r="M59" s="8"/>
    </row>
    <row r="60" spans="1:13" ht="20.100000000000001" customHeight="1" x14ac:dyDescent="0.25">
      <c r="A60"/>
      <c r="D60" s="10" t="s">
        <v>61</v>
      </c>
      <c r="E60" s="10">
        <v>0</v>
      </c>
      <c r="M60" s="8"/>
    </row>
    <row r="61" spans="1:13" ht="20.100000000000001" customHeight="1" x14ac:dyDescent="0.25">
      <c r="A61"/>
      <c r="M61" s="8"/>
    </row>
    <row r="62" spans="1:13" ht="20.100000000000001" customHeight="1" x14ac:dyDescent="0.25">
      <c r="A62"/>
      <c r="M62" s="8"/>
    </row>
    <row r="63" spans="1:13" ht="20.100000000000001" customHeight="1" x14ac:dyDescent="0.25">
      <c r="A63"/>
      <c r="D63" s="9" t="str" cm="1">
        <f t="array" ref="D63">SourceData_Swine.SourceData_Swine_VolatileSolids_Title()</f>
        <v>Swine - Volatile solids (VSj) - 2020 to 2024</v>
      </c>
      <c r="M63" s="8"/>
    </row>
    <row r="64" spans="1:13" ht="20.100000000000001" customHeight="1" x14ac:dyDescent="0.25">
      <c r="A64"/>
      <c r="D64" s="11" t="str" cm="1">
        <f t="array" ref="D64">SourceData_Swine.SourceData_Swine_VolatileSolids_Source()</f>
        <v>VEERG 2026: Table A.1.6.1: Swine - Intake and manure characteristics derived from PigBal</v>
      </c>
      <c r="M64" s="8"/>
    </row>
    <row r="65" spans="1:22" ht="20.100000000000001" customHeight="1" x14ac:dyDescent="0.25">
      <c r="A65"/>
      <c r="D65" s="12" t="str" cm="1">
        <f t="array" ref="D65">SourceData_Swine.SourceData_Swine_VolatileSolids_Variation()</f>
        <v>VARIATION ON SOURCE DATA: Only uses data for 2020-2024. Use 'Slaughter pigs' data for 'Other j=4' class.</v>
      </c>
      <c r="M65" s="8"/>
    </row>
    <row r="66" spans="1:22" ht="20.100000000000001" customHeight="1" x14ac:dyDescent="0.25">
      <c r="A66"/>
      <c r="M66" s="8"/>
    </row>
    <row r="67" spans="1:22" ht="20.100000000000001" customHeight="1" x14ac:dyDescent="0.25">
      <c r="A67"/>
      <c r="D67" s="10" t="s">
        <v>315</v>
      </c>
      <c r="E67" s="10" t="s">
        <v>549</v>
      </c>
      <c r="M67" s="8"/>
    </row>
    <row r="68" spans="1:22" ht="20.100000000000001" customHeight="1" x14ac:dyDescent="0.25">
      <c r="A68"/>
      <c r="D68" s="10" t="str" cm="1">
        <f t="array" ref="D68">Common_InputFunctions.Utility_DisplayArrayInTable(SourceData_Swine.SourceData_Swine_VolatileSolids_Data(), Table_SourceData_Swine_VolatileSolids[[#Headers],[Class]], 0)</f>
        <v>Boars</v>
      </c>
      <c r="E68" s="10" cm="1">
        <f t="array" ref="E68">Common_InputFunctions.Utility_DisplayArrayInTable(SourceData_Swine.SourceData_Swine_VolatileSolids_Data(), Table_SourceData_Swine_VolatileSolids[[#Headers],[Class]], 0)</f>
        <v>0.4</v>
      </c>
      <c r="M68" s="8"/>
    </row>
    <row r="69" spans="1:22" ht="20.100000000000001" customHeight="1" x14ac:dyDescent="0.25">
      <c r="A69"/>
      <c r="D69" s="8" t="str" cm="1">
        <f t="array" ref="D69">Common_InputFunctions.Utility_DisplayArrayInTable(SourceData_Swine.SourceData_Swine_VolatileSolids_Data(), Table_SourceData_Swine_VolatileSolids[[#Headers],[Class]], 0)</f>
        <v>Sows</v>
      </c>
      <c r="E69" s="10" cm="1">
        <f t="array" ref="E69">Common_InputFunctions.Utility_DisplayArrayInTable(SourceData_Swine.SourceData_Swine_VolatileSolids_Data(), Table_SourceData_Swine_VolatileSolids[[#Headers],[Class]], 0)</f>
        <v>0.46</v>
      </c>
      <c r="M69" s="8"/>
    </row>
    <row r="70" spans="1:22" ht="20.100000000000001" customHeight="1" x14ac:dyDescent="0.25">
      <c r="A70"/>
      <c r="D70" s="8" t="str" cm="1">
        <f t="array" ref="D70">Common_InputFunctions.Utility_DisplayArrayInTable(SourceData_Swine.SourceData_Swine_VolatileSolids_Data(), Table_SourceData_Swine_VolatileSolids[[#Headers],[Class]], 0)</f>
        <v>Gilts</v>
      </c>
      <c r="E70" s="10" cm="1">
        <f t="array" ref="E70">Common_InputFunctions.Utility_DisplayArrayInTable(SourceData_Swine.SourceData_Swine_VolatileSolids_Data(), Table_SourceData_Swine_VolatileSolids[[#Headers],[Class]], 0)</f>
        <v>0.55000000000000004</v>
      </c>
      <c r="M70" s="8"/>
    </row>
    <row r="71" spans="1:22" ht="20.100000000000001" customHeight="1" x14ac:dyDescent="0.25">
      <c r="A71"/>
      <c r="D71" s="8" t="str" cm="1">
        <f t="array" ref="D71">Common_InputFunctions.Utility_DisplayArrayInTable(SourceData_Swine.SourceData_Swine_VolatileSolids_Data(), Table_SourceData_Swine_VolatileSolids[[#Headers],[Class]], 0)</f>
        <v>Others</v>
      </c>
      <c r="E71" s="10" cm="1">
        <f t="array" ref="E71">Common_InputFunctions.Utility_DisplayArrayInTable(SourceData_Swine.SourceData_Swine_VolatileSolids_Data(), Table_SourceData_Swine_VolatileSolids[[#Headers],[Class]], 0)</f>
        <v>0.39</v>
      </c>
      <c r="M71" s="8"/>
      <c r="V71" s="8"/>
    </row>
    <row r="72" spans="1:22" ht="20.100000000000001" customHeight="1" x14ac:dyDescent="0.25">
      <c r="A72"/>
      <c r="M72" s="8"/>
      <c r="V72" s="8"/>
    </row>
    <row r="73" spans="1:22" ht="20.100000000000001" customHeight="1" x14ac:dyDescent="0.25">
      <c r="A73"/>
      <c r="M73" s="8"/>
      <c r="V73" s="8"/>
    </row>
    <row r="74" spans="1:22" ht="20.100000000000001" customHeight="1" x14ac:dyDescent="0.25">
      <c r="A74"/>
      <c r="D74" s="9" t="str" cm="1">
        <f t="array" ref="D74">SourceData_Swine.SourceData_Swine_FeedIntake_Title()</f>
        <v>Swine - Feed intake - ingested as fed  (Ij) - 2020 to 2024</v>
      </c>
      <c r="M74" s="8"/>
      <c r="V74" s="8"/>
    </row>
    <row r="75" spans="1:22" ht="20.100000000000001" customHeight="1" x14ac:dyDescent="0.25">
      <c r="A75"/>
      <c r="D75" s="11" t="str" cm="1">
        <f t="array" ref="D75">SourceData_Swine.SourceData_Swine_FeedIntake_Source()</f>
        <v>VEERG 2026: Table A.1.6.1: Swine - Intake and manure characteristics derived from PigBal</v>
      </c>
      <c r="M75" s="8"/>
      <c r="V75" s="8"/>
    </row>
    <row r="76" spans="1:22" ht="20.100000000000001" customHeight="1" x14ac:dyDescent="0.25">
      <c r="A76"/>
      <c r="D76" s="12" t="str" cm="1">
        <f t="array" ref="D76">SourceData_Swine.SourceData_Swine_FeedIntake_Variation()</f>
        <v>VARIATION ON SOURCE DATA: Only uses data for 2020-2024. Use 'Slaughter pigs' data for 'Other j=4' class.</v>
      </c>
      <c r="M76" s="8"/>
      <c r="V76" s="8"/>
    </row>
    <row r="77" spans="1:22" ht="20.100000000000001" customHeight="1" x14ac:dyDescent="0.25">
      <c r="A77"/>
      <c r="M77" s="8"/>
      <c r="V77" s="8"/>
    </row>
    <row r="78" spans="1:22" ht="20.100000000000001" customHeight="1" x14ac:dyDescent="0.25">
      <c r="A78"/>
      <c r="D78" s="10" t="s">
        <v>315</v>
      </c>
      <c r="E78" s="10" t="s">
        <v>550</v>
      </c>
      <c r="M78" s="8"/>
      <c r="V78" s="8"/>
    </row>
    <row r="79" spans="1:22" ht="20.100000000000001" customHeight="1" x14ac:dyDescent="0.25">
      <c r="A79"/>
      <c r="D79" s="10" t="str" cm="1">
        <f t="array" ref="D79">Common_InputFunctions.Utility_DisplayArrayInTable(SourceData_Swine.SourceData_Swine_FeedIntake_Data(), Table_SourceData_Swine_FeedIntake[[#Headers],[Class]], 0)</f>
        <v>Boars</v>
      </c>
      <c r="E79" s="10" cm="1">
        <f t="array" ref="E79">Common_InputFunctions.Utility_DisplayArrayInTable(SourceData_Swine.SourceData_Swine_FeedIntake_Data(), Table_SourceData_Swine_FeedIntake[[#Headers],[Class]], 0)</f>
        <v>2.62</v>
      </c>
      <c r="M79" s="8"/>
      <c r="V79" s="8"/>
    </row>
    <row r="80" spans="1:22" ht="20.100000000000001" customHeight="1" x14ac:dyDescent="0.25">
      <c r="A80"/>
      <c r="D80" s="10" t="str" cm="1">
        <f t="array" ref="D80">Common_InputFunctions.Utility_DisplayArrayInTable(SourceData_Swine.SourceData_Swine_FeedIntake_Data(), Table_SourceData_Swine_FeedIntake[[#Headers],[Class]], 0)</f>
        <v>Sows</v>
      </c>
      <c r="E80" s="10" cm="1">
        <f t="array" ref="E80">Common_InputFunctions.Utility_DisplayArrayInTable(SourceData_Swine.SourceData_Swine_FeedIntake_Data(), Table_SourceData_Swine_FeedIntake[[#Headers],[Class]], 0)</f>
        <v>2.2999999999999998</v>
      </c>
      <c r="M80" s="8"/>
      <c r="V80" s="8"/>
    </row>
    <row r="81" spans="1:23" ht="20.100000000000001" customHeight="1" x14ac:dyDescent="0.25">
      <c r="A81"/>
      <c r="D81" s="10" t="str" cm="1">
        <f t="array" ref="D81">Common_InputFunctions.Utility_DisplayArrayInTable(SourceData_Swine.SourceData_Swine_FeedIntake_Data(), Table_SourceData_Swine_FeedIntake[[#Headers],[Class]], 0)</f>
        <v>Gilts</v>
      </c>
      <c r="E81" s="10" cm="1">
        <f t="array" ref="E81">Common_InputFunctions.Utility_DisplayArrayInTable(SourceData_Swine.SourceData_Swine_FeedIntake_Data(), Table_SourceData_Swine_FeedIntake[[#Headers],[Class]], 0)</f>
        <v>2.5</v>
      </c>
      <c r="M81" s="8"/>
      <c r="V81" s="8"/>
    </row>
    <row r="82" spans="1:23" ht="20.100000000000001" customHeight="1" x14ac:dyDescent="0.25">
      <c r="A82"/>
      <c r="D82" s="10" t="str" cm="1">
        <f t="array" ref="D82">Common_InputFunctions.Utility_DisplayArrayInTable(SourceData_Swine.SourceData_Swine_FeedIntake_Data(), Table_SourceData_Swine_FeedIntake[[#Headers],[Class]], 0)</f>
        <v>Others</v>
      </c>
      <c r="E82" s="10" cm="1">
        <f t="array" ref="E82">Common_InputFunctions.Utility_DisplayArrayInTable(SourceData_Swine.SourceData_Swine_FeedIntake_Data(), Table_SourceData_Swine_FeedIntake[[#Headers],[Class]], 0)</f>
        <v>1.71</v>
      </c>
      <c r="M82" s="8"/>
      <c r="V82" s="8"/>
    </row>
    <row r="83" spans="1:23" ht="20.100000000000001" customHeight="1" x14ac:dyDescent="0.25">
      <c r="A83"/>
      <c r="M83" s="8"/>
    </row>
    <row r="84" spans="1:23" ht="20.100000000000001" customHeight="1" x14ac:dyDescent="0.25">
      <c r="A84"/>
      <c r="M84" s="8"/>
    </row>
    <row r="85" spans="1:23" ht="20.100000000000001" customHeight="1" x14ac:dyDescent="0.25">
      <c r="A85"/>
      <c r="D85" s="9" t="str" cm="1">
        <f t="array" ref="D85">SourceData_Swine.SourceData_Swine_NitrogenInWaste_Title()</f>
        <v>Swine - Nitrogen in waste (NWj) - 2020 to 2024</v>
      </c>
      <c r="M85" s="8"/>
      <c r="V85" s="8"/>
    </row>
    <row r="86" spans="1:23" ht="20.100000000000001" customHeight="1" x14ac:dyDescent="0.25">
      <c r="A86"/>
      <c r="D86" s="11" t="str" cm="1">
        <f t="array" ref="D86">SourceData_Swine.SourceData_Swine_NitrogenInWaste_Source()</f>
        <v>VEERG 2026: Table A.1.6.1: Swine - Intake and manure characteristics derived from PigBal</v>
      </c>
      <c r="M86" s="8"/>
      <c r="V86" s="8"/>
    </row>
    <row r="87" spans="1:23" ht="20.100000000000001" customHeight="1" x14ac:dyDescent="0.25">
      <c r="A87"/>
      <c r="D87" s="12" t="str" cm="1">
        <f t="array" ref="D87">SourceData_Swine.SourceData_Swine_NitrogenInWaste_Variation()</f>
        <v>VARIATION ON SOURCE DATA: Only uses data for 2020-2024. Use 'Slaughter pigs' data for 'Other j=4' class. Added 'NWj daily' column to provide daily value for Others class. Added 'Class name' column to aid lookup.</v>
      </c>
      <c r="M87" s="8"/>
      <c r="V87" s="8"/>
    </row>
    <row r="88" spans="1:23" ht="20.100000000000001" customHeight="1" x14ac:dyDescent="0.25">
      <c r="A88"/>
      <c r="M88" s="8"/>
      <c r="V88" s="8"/>
    </row>
    <row r="89" spans="1:23" ht="20.100000000000001" customHeight="1" x14ac:dyDescent="0.25">
      <c r="A89"/>
      <c r="D89" s="10" t="s">
        <v>315</v>
      </c>
      <c r="E89" s="10" t="s">
        <v>551</v>
      </c>
      <c r="F89" s="10" t="s">
        <v>552</v>
      </c>
      <c r="G89" s="10" t="s">
        <v>553</v>
      </c>
      <c r="M89" s="8"/>
      <c r="V89" s="8"/>
      <c r="W89" s="8"/>
    </row>
    <row r="90" spans="1:23" ht="20.100000000000001" customHeight="1" x14ac:dyDescent="0.25">
      <c r="A90"/>
      <c r="D90" s="10" t="str" cm="1">
        <f t="array" ref="D90">Common_InputFunctions.Utility_DisplayArrayInTable(SourceData_Swine.SourceData_Swine_NitrogenInWaste_Data(), Table_SourceData_Swine_NitrogenInWaste[[#Headers],[Class]], 0)</f>
        <v>Boars</v>
      </c>
      <c r="E90" s="10" cm="1">
        <f t="array" ref="E90">Common_InputFunctions.Utility_DisplayArrayInTable(SourceData_Swine.SourceData_Swine_NitrogenInWaste_Data(), Table_SourceData_Swine_NitrogenInWaste[[#Headers],[Class]], 0)</f>
        <v>4.5999999999999999E-2</v>
      </c>
      <c r="F90" s="10" cm="1">
        <f t="array" ref="F90">Common_InputFunctions.Utility_DisplayArrayInTable(SourceData_Swine.SourceData_Swine_NitrogenInWaste_Data(), Table_SourceData_Swine_NitrogenInWaste[[#Headers],[Class]], 0)</f>
        <v>4.5999999999999999E-2</v>
      </c>
      <c r="G90" s="10" t="str" cm="1">
        <f t="array" ref="G90">Common_InputFunctions.Utility_DisplayArrayInTable(SourceData_Swine.SourceData_Swine_NitrogenInWaste_Data(), Table_SourceData_Swine_NitrogenInWaste[[#Headers],[Class]], 0)</f>
        <v>Boars</v>
      </c>
      <c r="M90" s="8"/>
      <c r="V90" s="8"/>
      <c r="W90" s="8"/>
    </row>
    <row r="91" spans="1:23" ht="20.100000000000001" customHeight="1" x14ac:dyDescent="0.25">
      <c r="A91"/>
      <c r="D91" s="10" t="str" cm="1">
        <f t="array" ref="D91">Common_InputFunctions.Utility_DisplayArrayInTable(SourceData_Swine.SourceData_Swine_NitrogenInWaste_Data(), Table_SourceData_Swine_NitrogenInWaste[[#Headers],[Class]], 0)</f>
        <v>Sows</v>
      </c>
      <c r="E91" s="10" cm="1">
        <f t="array" ref="E91">Common_InputFunctions.Utility_DisplayArrayInTable(SourceData_Swine.SourceData_Swine_NitrogenInWaste_Data(), Table_SourceData_Swine_NitrogenInWaste[[#Headers],[Class]], 0)</f>
        <v>4.9000000000000002E-2</v>
      </c>
      <c r="F91" s="10" cm="1">
        <f t="array" ref="F91">Common_InputFunctions.Utility_DisplayArrayInTable(SourceData_Swine.SourceData_Swine_NitrogenInWaste_Data(), Table_SourceData_Swine_NitrogenInWaste[[#Headers],[Class]], 0)</f>
        <v>4.9000000000000002E-2</v>
      </c>
      <c r="G91" s="10" t="str" cm="1">
        <f t="array" ref="G91">Common_InputFunctions.Utility_DisplayArrayInTable(SourceData_Swine.SourceData_Swine_NitrogenInWaste_Data(), Table_SourceData_Swine_NitrogenInWaste[[#Headers],[Class]], 0)</f>
        <v>Sows</v>
      </c>
      <c r="M91" s="8"/>
      <c r="V91" s="8"/>
    </row>
    <row r="92" spans="1:23" ht="20.100000000000001" customHeight="1" x14ac:dyDescent="0.25">
      <c r="A92"/>
      <c r="D92" s="10" t="str" cm="1">
        <f t="array" ref="D92">Common_InputFunctions.Utility_DisplayArrayInTable(SourceData_Swine.SourceData_Swine_NitrogenInWaste_Data(), Table_SourceData_Swine_NitrogenInWaste[[#Headers],[Class]], 0)</f>
        <v>Gilts</v>
      </c>
      <c r="E92" s="10" cm="1">
        <f t="array" ref="E92">Common_InputFunctions.Utility_DisplayArrayInTable(SourceData_Swine.SourceData_Swine_NitrogenInWaste_Data(), Table_SourceData_Swine_NitrogenInWaste[[#Headers],[Class]], 0)</f>
        <v>4.5999999999999999E-2</v>
      </c>
      <c r="F92" s="10" cm="1">
        <f t="array" ref="F92">Common_InputFunctions.Utility_DisplayArrayInTable(SourceData_Swine.SourceData_Swine_NitrogenInWaste_Data(), Table_SourceData_Swine_NitrogenInWaste[[#Headers],[Class]], 0)</f>
        <v>4.5999999999999999E-2</v>
      </c>
      <c r="G92" s="10" t="str" cm="1">
        <f t="array" ref="G92">Common_InputFunctions.Utility_DisplayArrayInTable(SourceData_Swine.SourceData_Swine_NitrogenInWaste_Data(), Table_SourceData_Swine_NitrogenInWaste[[#Headers],[Class]], 0)</f>
        <v>Gilts</v>
      </c>
      <c r="M92" s="8"/>
      <c r="V92" s="8"/>
    </row>
    <row r="93" spans="1:23" ht="20.100000000000001" customHeight="1" x14ac:dyDescent="0.25">
      <c r="A93"/>
      <c r="D93" s="10" t="str" cm="1">
        <f t="array" ref="D93">Common_InputFunctions.Utility_DisplayArrayInTable(SourceData_Swine.SourceData_Swine_NitrogenInWaste_Data(), Table_SourceData_Swine_NitrogenInWaste[[#Headers],[Class]], 0)</f>
        <v>Others (kg/head/year)</v>
      </c>
      <c r="E93" s="10" cm="1">
        <f t="array" ref="E93">Common_InputFunctions.Utility_DisplayArrayInTable(SourceData_Swine.SourceData_Swine_NitrogenInWaste_Data(), Table_SourceData_Swine_NitrogenInWaste[[#Headers],[Class]], 0)</f>
        <v>11.4</v>
      </c>
      <c r="F93" s="10" cm="1">
        <f t="array" ref="F93">Common_InputFunctions.Utility_DisplayArrayInTable(SourceData_Swine.SourceData_Swine_NitrogenInWaste_Data(), Table_SourceData_Swine_NitrogenInWaste[[#Headers],[Class]], 0)</f>
        <v>3.1199999999999999E-2</v>
      </c>
      <c r="G93" s="10" t="str" cm="1">
        <f t="array" ref="G93">Common_InputFunctions.Utility_DisplayArrayInTable(SourceData_Swine.SourceData_Swine_NitrogenInWaste_Data(), Table_SourceData_Swine_NitrogenInWaste[[#Headers],[Class]], 0)</f>
        <v>Others</v>
      </c>
      <c r="M93" s="8"/>
      <c r="V93" s="8"/>
    </row>
    <row r="94" spans="1:23" ht="20.100000000000001" customHeight="1" x14ac:dyDescent="0.25">
      <c r="A94"/>
      <c r="M94" s="8"/>
    </row>
    <row r="95" spans="1:23" ht="20.100000000000001" customHeight="1" x14ac:dyDescent="0.25">
      <c r="A95"/>
      <c r="M95" s="8"/>
    </row>
    <row r="96" spans="1:23" ht="20.100000000000001" customHeight="1" x14ac:dyDescent="0.25">
      <c r="A96"/>
      <c r="D96" s="9" t="str" cm="1">
        <f t="array" ref="D96">SourceData_Swine.SourceData_Swine_FractionNVolatilised_Title()</f>
        <v>Swine - Fraction of nitrogen volatilised (FracGASMmT)</v>
      </c>
      <c r="M96" s="8"/>
    </row>
    <row r="97" spans="1:13" ht="20.100000000000001" customHeight="1" x14ac:dyDescent="0.25">
      <c r="A97"/>
      <c r="D97" s="11" t="str" cm="1">
        <f t="array" ref="D97">SourceData_Swine.SourceData_Swine_FractionNVolatilised_Source()</f>
        <v>VEERG 2026: Table A.1.6.2: Swine - Fraction of N volatilised by MMS ((kg NH3-N + NOx-N)/kgN) (FracGASMmT)</v>
      </c>
      <c r="M97" s="8"/>
    </row>
    <row r="98" spans="1:13" ht="20.100000000000001" customHeight="1" x14ac:dyDescent="0.25">
      <c r="A98"/>
      <c r="D98" s="12" t="str" cm="1">
        <f t="array" ref="D98">SourceData_Swine.SourceData_Swine_FractionNVolatilised_Variation()</f>
        <v>VARIATION ON SOURCE DATA: Added 'NIR reference column to aid lookup.</v>
      </c>
      <c r="M98" s="8"/>
    </row>
    <row r="99" spans="1:13" ht="20.100000000000001" customHeight="1" x14ac:dyDescent="0.25">
      <c r="A99"/>
      <c r="D99" s="10" t="s">
        <v>554</v>
      </c>
      <c r="E99" s="10" t="s">
        <v>555</v>
      </c>
      <c r="F99" s="10" t="s">
        <v>526</v>
      </c>
      <c r="M99" s="8"/>
    </row>
    <row r="100" spans="1:13" ht="20.100000000000001" customHeight="1" x14ac:dyDescent="0.25">
      <c r="A100"/>
      <c r="D100" s="10" t="str" cm="1">
        <f t="array" ref="D100">Common_InputFunctions.Utility_DisplayArrayInTable(SourceData_Swine.SourceData_Swine_FractionNVolatilised_Data(), Table_SourceData_Swine_FracGASM[[#Headers],[MMSm]],0)</f>
        <v>Outdoor (Dry lot)</v>
      </c>
      <c r="E100" s="10" cm="1">
        <f t="array" ref="E100">Common_InputFunctions.Utility_DisplayArrayInTable(SourceData_Swine.SourceData_Swine_FractionNVolatilised_Data(), Table_SourceData_Swine_FracGASM[[#Headers],[MMSm]],0)</f>
        <v>0.3</v>
      </c>
      <c r="F100" s="10" t="str" cm="1">
        <f t="array" ref="F100">Common_InputFunctions.Utility_DisplayArrayInTable(SourceData_Swine.SourceData_Swine_FractionNVolatilised_Data(), Table_SourceData_Swine_FracGASM[[#Headers],[MMSm]],0)</f>
        <v>Drylot (feed pad)</v>
      </c>
      <c r="M100" s="8"/>
    </row>
    <row r="101" spans="1:13" ht="20.100000000000001" customHeight="1" x14ac:dyDescent="0.25">
      <c r="A101"/>
      <c r="D101" s="10" t="str" cm="1">
        <f t="array" ref="D101">Common_InputFunctions.Utility_DisplayArrayInTable(SourceData_Swine.SourceData_Swine_FractionNVolatilised_Data(), Table_SourceData_Swine_FracGASM[[#Headers],[MMSm]],0)</f>
        <v>Deep litter</v>
      </c>
      <c r="E101" s="10" cm="1">
        <f t="array" ref="E101">Common_InputFunctions.Utility_DisplayArrayInTable(SourceData_Swine.SourceData_Swine_FractionNVolatilised_Data(), Table_SourceData_Swine_FracGASM[[#Headers],[MMSm]],0)</f>
        <v>0.125</v>
      </c>
      <c r="F101" s="10" t="str" cm="1">
        <f t="array" ref="F101">Common_InputFunctions.Utility_DisplayArrayInTable(SourceData_Swine.SourceData_Swine_FractionNVolatilised_Data(), Table_SourceData_Swine_FracGASM[[#Headers],[MMSm]],0)</f>
        <v>Deep litter</v>
      </c>
      <c r="M101" s="8"/>
    </row>
    <row r="102" spans="1:13" ht="20.100000000000001" customHeight="1" x14ac:dyDescent="0.25">
      <c r="A102"/>
      <c r="D102" s="10" t="str" cm="1">
        <f t="array" ref="D102">Common_InputFunctions.Utility_DisplayArrayInTable(SourceData_Swine.SourceData_Swine_FractionNVolatilised_Data(), Table_SourceData_Swine_FracGASM[[#Headers],[MMSm]],0)</f>
        <v>Stockpile (Solid storage)</v>
      </c>
      <c r="E102" s="10" cm="1">
        <f t="array" ref="E102">Common_InputFunctions.Utility_DisplayArrayInTable(SourceData_Swine.SourceData_Swine_FractionNVolatilised_Data(), Table_SourceData_Swine_FracGASM[[#Headers],[MMSm]],0)</f>
        <v>0.2</v>
      </c>
      <c r="F102" s="10" t="str" cm="1">
        <f t="array" ref="F102">Common_InputFunctions.Utility_DisplayArrayInTable(SourceData_Swine.SourceData_Swine_FractionNVolatilised_Data(), Table_SourceData_Swine_FracGASM[[#Headers],[MMSm]],0)</f>
        <v>Solid storage</v>
      </c>
      <c r="M102" s="8"/>
    </row>
    <row r="103" spans="1:13" ht="20.100000000000001" customHeight="1" x14ac:dyDescent="0.25">
      <c r="A103"/>
      <c r="D103" s="10" t="str" cm="1">
        <f t="array" ref="D103">Common_InputFunctions.Utility_DisplayArrayInTable(SourceData_Swine.SourceData_Swine_FractionNVolatilised_Data(), Table_SourceData_Swine_FracGASM[[#Headers],[MMSm]],0)</f>
        <v>Effluent pond (Uncovered anaerobic lagoon)</v>
      </c>
      <c r="E103" s="10" cm="1">
        <f t="array" ref="E103">Common_InputFunctions.Utility_DisplayArrayInTable(SourceData_Swine.SourceData_Swine_FractionNVolatilised_Data(), Table_SourceData_Swine_FracGASM[[#Headers],[MMSm]],0)</f>
        <v>0.55000000000000004</v>
      </c>
      <c r="F103" s="10" t="str" cm="1">
        <f t="array" ref="F103">Common_InputFunctions.Utility_DisplayArrayInTable(SourceData_Swine.SourceData_Swine_FractionNVolatilised_Data(), Table_SourceData_Swine_FracGASM[[#Headers],[MMSm]],0)</f>
        <v>Anaerobic lagoon</v>
      </c>
      <c r="M103" s="8"/>
    </row>
    <row r="104" spans="1:13" ht="20.100000000000001" customHeight="1" x14ac:dyDescent="0.25">
      <c r="A104"/>
      <c r="D104" s="10" t="str" cm="1">
        <f t="array" ref="D104">Common_InputFunctions.Utility_DisplayArrayInTable(SourceData_Swine.SourceData_Swine_FractionNVolatilised_Data(), Table_SourceData_Swine_FracGASM[[#Headers],[MMSm]],0)</f>
        <v>Anaerobic digester / Covered lagoon</v>
      </c>
      <c r="E104" s="10" cm="1">
        <f t="array" ref="E104">Common_InputFunctions.Utility_DisplayArrayInTable(SourceData_Swine.SourceData_Swine_FractionNVolatilised_Data(), Table_SourceData_Swine_FracGASM[[#Headers],[MMSm]],0)</f>
        <v>0</v>
      </c>
      <c r="F104" s="10" t="str" cm="1">
        <f t="array" ref="F104">Common_InputFunctions.Utility_DisplayArrayInTable(SourceData_Swine.SourceData_Swine_FractionNVolatilised_Data(), Table_SourceData_Swine_FracGASM[[#Headers],[MMSm]],0)</f>
        <v>Digester / covered lagoons</v>
      </c>
      <c r="M104" s="8"/>
    </row>
    <row r="105" spans="1:13" ht="20.100000000000001" customHeight="1" x14ac:dyDescent="0.25">
      <c r="A105"/>
      <c r="D105" s="10" t="str" cm="1">
        <f t="array" ref="D105">Common_InputFunctions.Utility_DisplayArrayInTable(SourceData_Swine.SourceData_Swine_FractionNVolatilised_Data(), Table_SourceData_Swine_FracGASM[[#Headers],[MMSm]],0)</f>
        <v>Short HRT tank storage &lt; 1 month (pit storage)</v>
      </c>
      <c r="E105" s="10" cm="1">
        <f t="array" ref="E105">Common_InputFunctions.Utility_DisplayArrayInTable(SourceData_Swine.SourceData_Swine_FractionNVolatilised_Data(), Table_SourceData_Swine_FracGASM[[#Headers],[MMSm]],0)</f>
        <v>0.25</v>
      </c>
      <c r="F105" s="10" t="str" cm="1">
        <f t="array" ref="F105">Common_InputFunctions.Utility_DisplayArrayInTable(SourceData_Swine.SourceData_Swine_FractionNVolatilised_Data(), Table_SourceData_Swine_FracGASM[[#Headers],[MMSm]],0)</f>
        <v>Pit storage</v>
      </c>
      <c r="M105" s="8"/>
    </row>
    <row r="106" spans="1:13" ht="20.100000000000001" customHeight="1" x14ac:dyDescent="0.25">
      <c r="A106"/>
      <c r="M106" s="8"/>
    </row>
    <row r="107" spans="1:13" ht="20.100000000000001" customHeight="1" x14ac:dyDescent="0.25">
      <c r="A107"/>
      <c r="M107" s="8"/>
    </row>
    <row r="108" spans="1:13" ht="20.100000000000001" customHeight="1" x14ac:dyDescent="0.25">
      <c r="A108"/>
      <c r="D108" s="9" t="str" cm="1">
        <f t="array" ref="D108">SourceData_Swine.SourceData_Swine_NitrousOxideEFs_Title()</f>
        <v>Swine - Nitrous oxide EFs by MMS (EFmT)</v>
      </c>
      <c r="M108" s="8"/>
    </row>
    <row r="109" spans="1:13" ht="20.100000000000001" customHeight="1" x14ac:dyDescent="0.25">
      <c r="A109"/>
      <c r="D109" s="11" t="str" cm="1">
        <f t="array" ref="D109">SourceData_Swine.SourceData_Swine_NitrousOxideEFs_Source()</f>
        <v>VEERG 2026: Table A.1.6.3: Swine - Nitrous oxide EFs by MMS (kgN2O-N/kgN) (EFmT)</v>
      </c>
      <c r="M109" s="8"/>
    </row>
    <row r="110" spans="1:13" ht="20.100000000000001" customHeight="1" x14ac:dyDescent="0.25">
      <c r="A110"/>
      <c r="D110" s="12" t="str" cm="1">
        <f t="array" ref="D110">SourceData_Swine.SourceData_Swine_NitrousOxideEFs_Variation()</f>
        <v>VARIATION ON SOURCE DATA: Added 'NIR reference column to aid lookup.</v>
      </c>
      <c r="M110" s="8"/>
    </row>
    <row r="111" spans="1:13" ht="20.100000000000001" customHeight="1" x14ac:dyDescent="0.25">
      <c r="A111"/>
      <c r="D111" s="10" t="s">
        <v>554</v>
      </c>
      <c r="E111" s="10" t="s">
        <v>556</v>
      </c>
      <c r="F111" s="10" t="s">
        <v>526</v>
      </c>
      <c r="M111" s="8"/>
    </row>
    <row r="112" spans="1:13" ht="20.100000000000001" customHeight="1" x14ac:dyDescent="0.25">
      <c r="A112"/>
      <c r="D112" s="10" t="str" cm="1">
        <f t="array" ref="D112">Common_InputFunctions.Utility_DisplayArrayInTable(SourceData_Swine.SourceData_Swine_NitrousOxideEFs_Data(), Table_SourceData_Swine_FracGASM28[[#Headers],[MMSm]],0)</f>
        <v>Outdoor (Dry lot)</v>
      </c>
      <c r="E112" s="10" cm="1">
        <f t="array" ref="E112">Common_InputFunctions.Utility_DisplayArrayInTable(SourceData_Swine.SourceData_Swine_NitrousOxideEFs_Data(), Table_SourceData_Swine_FracGASM28[[#Headers],[MMSm]],0)</f>
        <v>0.02</v>
      </c>
      <c r="F112" s="10" t="str" cm="1">
        <f t="array" ref="F112">Common_InputFunctions.Utility_DisplayArrayInTable(SourceData_Swine.SourceData_Swine_NitrousOxideEFs_Data(), Table_SourceData_Swine_FracGASM28[[#Headers],[MMSm]],0)</f>
        <v>Drylot (feed pad)</v>
      </c>
      <c r="M112" s="8"/>
    </row>
    <row r="113" spans="1:22" ht="20.100000000000001" customHeight="1" x14ac:dyDescent="0.25">
      <c r="A113"/>
      <c r="D113" s="10" t="str" cm="1">
        <f t="array" ref="D113">Common_InputFunctions.Utility_DisplayArrayInTable(SourceData_Swine.SourceData_Swine_NitrousOxideEFs_Data(), Table_SourceData_Swine_FracGASM28[[#Headers],[MMSm]],0)</f>
        <v>Deep litter</v>
      </c>
      <c r="E113" s="10" cm="1">
        <f t="array" ref="E113">Common_InputFunctions.Utility_DisplayArrayInTable(SourceData_Swine.SourceData_Swine_NitrousOxideEFs_Data(), Table_SourceData_Swine_FracGASM28[[#Headers],[MMSm]],0)</f>
        <v>0.01</v>
      </c>
      <c r="F113" s="10" t="str" cm="1">
        <f t="array" ref="F113">Common_InputFunctions.Utility_DisplayArrayInTable(SourceData_Swine.SourceData_Swine_NitrousOxideEFs_Data(), Table_SourceData_Swine_FracGASM28[[#Headers],[MMSm]],0)</f>
        <v>Deep litter</v>
      </c>
      <c r="M113" s="8"/>
    </row>
    <row r="114" spans="1:22" ht="20.100000000000001" customHeight="1" x14ac:dyDescent="0.25">
      <c r="A114"/>
      <c r="D114" s="10" t="str" cm="1">
        <f t="array" ref="D114">Common_InputFunctions.Utility_DisplayArrayInTable(SourceData_Swine.SourceData_Swine_NitrousOxideEFs_Data(), Table_SourceData_Swine_FracGASM28[[#Headers],[MMSm]],0)</f>
        <v>Stockpile (Solid storage)</v>
      </c>
      <c r="E114" s="10" cm="1">
        <f t="array" ref="E114">Common_InputFunctions.Utility_DisplayArrayInTable(SourceData_Swine.SourceData_Swine_NitrousOxideEFs_Data(), Table_SourceData_Swine_FracGASM28[[#Headers],[MMSm]],0)</f>
        <v>5.0000000000000001E-3</v>
      </c>
      <c r="F114" s="10" t="str" cm="1">
        <f t="array" ref="F114">Common_InputFunctions.Utility_DisplayArrayInTable(SourceData_Swine.SourceData_Swine_NitrousOxideEFs_Data(), Table_SourceData_Swine_FracGASM28[[#Headers],[MMSm]],0)</f>
        <v>Solid storage</v>
      </c>
      <c r="M114" s="8"/>
    </row>
    <row r="115" spans="1:22" ht="20.100000000000001" customHeight="1" x14ac:dyDescent="0.25">
      <c r="A115"/>
      <c r="D115" s="10" t="str" cm="1">
        <f t="array" ref="D115">Common_InputFunctions.Utility_DisplayArrayInTable(SourceData_Swine.SourceData_Swine_NitrousOxideEFs_Data(), Table_SourceData_Swine_FracGASM28[[#Headers],[MMSm]],0)</f>
        <v>Effluent pond (Uncovered anaerobic lagoon)</v>
      </c>
      <c r="E115" s="10" cm="1">
        <f t="array" ref="E115">Common_InputFunctions.Utility_DisplayArrayInTable(SourceData_Swine.SourceData_Swine_NitrousOxideEFs_Data(), Table_SourceData_Swine_FracGASM28[[#Headers],[MMSm]],0)</f>
        <v>0</v>
      </c>
      <c r="F115" s="10" t="str" cm="1">
        <f t="array" ref="F115">Common_InputFunctions.Utility_DisplayArrayInTable(SourceData_Swine.SourceData_Swine_NitrousOxideEFs_Data(), Table_SourceData_Swine_FracGASM28[[#Headers],[MMSm]],0)</f>
        <v>Anaerobic lagoon</v>
      </c>
      <c r="M115" s="8"/>
      <c r="V115" s="8"/>
    </row>
    <row r="116" spans="1:22" ht="20.100000000000001" customHeight="1" x14ac:dyDescent="0.25">
      <c r="A116"/>
      <c r="D116" s="10" t="str" cm="1">
        <f t="array" ref="D116">Common_InputFunctions.Utility_DisplayArrayInTable(SourceData_Swine.SourceData_Swine_NitrousOxideEFs_Data(), Table_SourceData_Swine_FracGASM28[[#Headers],[MMSm]],0)</f>
        <v>Anaerobic digestor / Covered lagoon</v>
      </c>
      <c r="E116" s="10" cm="1">
        <f t="array" ref="E116">Common_InputFunctions.Utility_DisplayArrayInTable(SourceData_Swine.SourceData_Swine_NitrousOxideEFs_Data(), Table_SourceData_Swine_FracGASM28[[#Headers],[MMSm]],0)</f>
        <v>0</v>
      </c>
      <c r="F116" s="10" t="str" cm="1">
        <f t="array" ref="F116">Common_InputFunctions.Utility_DisplayArrayInTable(SourceData_Swine.SourceData_Swine_NitrousOxideEFs_Data(), Table_SourceData_Swine_FracGASM28[[#Headers],[MMSm]],0)</f>
        <v>Digester / covered lagoons</v>
      </c>
      <c r="M116" s="8"/>
      <c r="V116" s="8"/>
    </row>
    <row r="117" spans="1:22" ht="20.100000000000001" customHeight="1" x14ac:dyDescent="0.25">
      <c r="A117"/>
      <c r="D117" s="10" t="str" cm="1">
        <f t="array" ref="D117">Common_InputFunctions.Utility_DisplayArrayInTable(SourceData_Swine.SourceData_Swine_NitrousOxideEFs_Data(), Table_SourceData_Swine_FracGASM28[[#Headers],[MMSm]],0)</f>
        <v>Short HRT tank storage &lt; 1 month (pit storage)</v>
      </c>
      <c r="E117" s="10" cm="1">
        <f t="array" ref="E117">Common_InputFunctions.Utility_DisplayArrayInTable(SourceData_Swine.SourceData_Swine_NitrousOxideEFs_Data(), Table_SourceData_Swine_FracGASM28[[#Headers],[MMSm]],0)</f>
        <v>2E-3</v>
      </c>
      <c r="F117" s="10" t="str" cm="1">
        <f t="array" ref="F117">Common_InputFunctions.Utility_DisplayArrayInTable(SourceData_Swine.SourceData_Swine_NitrousOxideEFs_Data(), Table_SourceData_Swine_FracGASM28[[#Headers],[MMSm]],0)</f>
        <v>Pit storage</v>
      </c>
      <c r="M117" s="8"/>
      <c r="V117" s="8"/>
    </row>
    <row r="118" spans="1:22" ht="20.100000000000001" customHeight="1" x14ac:dyDescent="0.25">
      <c r="A118"/>
      <c r="M118" s="8"/>
    </row>
    <row r="119" spans="1:22" ht="20.100000000000001" customHeight="1" x14ac:dyDescent="0.25">
      <c r="A119"/>
      <c r="M119" s="8"/>
    </row>
    <row r="120" spans="1:22" ht="20.100000000000001" customHeight="1" x14ac:dyDescent="0.25">
      <c r="A120"/>
      <c r="M120" s="8"/>
    </row>
    <row r="121" spans="1:22" ht="20.100000000000001" customHeight="1" x14ac:dyDescent="0.25">
      <c r="A121"/>
      <c r="M121" s="8"/>
    </row>
    <row r="122" spans="1:22" ht="20.100000000000001" customHeight="1" x14ac:dyDescent="0.25">
      <c r="A122"/>
      <c r="M122" s="8"/>
    </row>
    <row r="123" spans="1:22" ht="20.100000000000001" customHeight="1" x14ac:dyDescent="0.25">
      <c r="A123"/>
      <c r="M123" s="8"/>
    </row>
    <row r="124" spans="1:22" ht="20.100000000000001" customHeight="1" x14ac:dyDescent="0.25">
      <c r="A124"/>
      <c r="M124" s="8"/>
    </row>
    <row r="125" spans="1:22" ht="20.100000000000001" customHeight="1" x14ac:dyDescent="0.25">
      <c r="A125"/>
      <c r="M125" s="8"/>
      <c r="V125" s="8"/>
    </row>
    <row r="126" spans="1:22" ht="20.100000000000001" customHeight="1" x14ac:dyDescent="0.25">
      <c r="A126"/>
      <c r="M126" s="8"/>
      <c r="V126" s="8"/>
    </row>
    <row r="127" spans="1:22" ht="20.100000000000001" customHeight="1" x14ac:dyDescent="0.25">
      <c r="A127"/>
      <c r="M127" s="8"/>
      <c r="V127" s="8"/>
    </row>
    <row r="128" spans="1:22" ht="20.100000000000001" customHeight="1" x14ac:dyDescent="0.25">
      <c r="A128"/>
      <c r="M128" s="8"/>
      <c r="V128" s="8"/>
    </row>
    <row r="129" spans="1:22" ht="20.100000000000001" customHeight="1" x14ac:dyDescent="0.25">
      <c r="A129"/>
      <c r="M129" s="8"/>
      <c r="V129" s="8"/>
    </row>
    <row r="130" spans="1:22" ht="20.100000000000001" customHeight="1" x14ac:dyDescent="0.25">
      <c r="A130"/>
      <c r="M130" s="8"/>
      <c r="V130" s="8"/>
    </row>
    <row r="131" spans="1:22" ht="20.100000000000001" customHeight="1" x14ac:dyDescent="0.25">
      <c r="A131"/>
      <c r="M131" s="8"/>
    </row>
    <row r="132" spans="1:22" ht="20.100000000000001" customHeight="1" x14ac:dyDescent="0.25">
      <c r="A132"/>
      <c r="M132" s="8"/>
    </row>
    <row r="133" spans="1:22" ht="20.100000000000001" customHeight="1" x14ac:dyDescent="0.25">
      <c r="A133"/>
      <c r="M133" s="8"/>
    </row>
    <row r="134" spans="1:22" ht="20.100000000000001" customHeight="1" x14ac:dyDescent="0.25">
      <c r="A134"/>
      <c r="M134" s="8"/>
    </row>
    <row r="135" spans="1:22" ht="20.100000000000001" customHeight="1" x14ac:dyDescent="0.25">
      <c r="A135"/>
      <c r="M135" s="8"/>
    </row>
    <row r="136" spans="1:22" ht="20.100000000000001" customHeight="1" x14ac:dyDescent="0.25">
      <c r="A136"/>
      <c r="M136" s="8"/>
    </row>
    <row r="137" spans="1:22" ht="20.100000000000001" customHeight="1" x14ac:dyDescent="0.25">
      <c r="A137"/>
      <c r="M137" s="8"/>
    </row>
    <row r="138" spans="1:22" ht="20.100000000000001" customHeight="1" x14ac:dyDescent="0.25">
      <c r="A138"/>
      <c r="M138" s="8"/>
    </row>
    <row r="139" spans="1:22" ht="20.100000000000001" customHeight="1" x14ac:dyDescent="0.25">
      <c r="A139"/>
      <c r="M139" s="8"/>
    </row>
    <row r="140" spans="1:22" ht="20.100000000000001" customHeight="1" x14ac:dyDescent="0.25">
      <c r="A140"/>
      <c r="M140" s="8"/>
    </row>
    <row r="141" spans="1:22" ht="20.100000000000001" customHeight="1" x14ac:dyDescent="0.25">
      <c r="A141"/>
      <c r="M141" s="8"/>
    </row>
    <row r="142" spans="1:22" ht="20.100000000000001" customHeight="1" x14ac:dyDescent="0.25">
      <c r="A142"/>
      <c r="M142" s="8"/>
    </row>
    <row r="143" spans="1:22" ht="20.100000000000001" customHeight="1" x14ac:dyDescent="0.25">
      <c r="A143"/>
      <c r="M143" s="8"/>
    </row>
    <row r="144" spans="1:22" ht="20.100000000000001" customHeight="1" x14ac:dyDescent="0.25">
      <c r="A144"/>
      <c r="M144" s="8"/>
    </row>
    <row r="145" spans="1:13" ht="20.100000000000001" customHeight="1" x14ac:dyDescent="0.25">
      <c r="A145"/>
      <c r="M145" s="8"/>
    </row>
    <row r="146" spans="1:13" ht="20.100000000000001" customHeight="1" x14ac:dyDescent="0.25">
      <c r="A146"/>
      <c r="M146" s="8"/>
    </row>
    <row r="147" spans="1:13" ht="20.100000000000001" customHeight="1" x14ac:dyDescent="0.25">
      <c r="A147"/>
      <c r="M147" s="8"/>
    </row>
    <row r="148" spans="1:13" ht="20.100000000000001" customHeight="1" x14ac:dyDescent="0.25">
      <c r="A148"/>
      <c r="M148" s="8"/>
    </row>
    <row r="149" spans="1:13" ht="20.100000000000001" customHeight="1" x14ac:dyDescent="0.25">
      <c r="A149"/>
      <c r="M149" s="8"/>
    </row>
    <row r="150" spans="1:13" ht="20.100000000000001" customHeight="1" x14ac:dyDescent="0.25">
      <c r="A150"/>
      <c r="M150" s="8"/>
    </row>
    <row r="151" spans="1:13" ht="20.100000000000001" customHeight="1" x14ac:dyDescent="0.25">
      <c r="A151"/>
      <c r="M151" s="8"/>
    </row>
    <row r="152" spans="1:13" ht="20.100000000000001" customHeight="1" x14ac:dyDescent="0.25">
      <c r="A152"/>
      <c r="M152" s="8"/>
    </row>
    <row r="153" spans="1:13" ht="20.100000000000001" customHeight="1" x14ac:dyDescent="0.25">
      <c r="A153"/>
      <c r="M153" s="8"/>
    </row>
    <row r="154" spans="1:13" ht="20.100000000000001" customHeight="1" x14ac:dyDescent="0.25">
      <c r="A154"/>
      <c r="M154" s="8"/>
    </row>
    <row r="155" spans="1:13" ht="20.100000000000001" customHeight="1" x14ac:dyDescent="0.25">
      <c r="A155"/>
      <c r="M155" s="8"/>
    </row>
    <row r="156" spans="1:13" ht="20.100000000000001" customHeight="1" x14ac:dyDescent="0.25">
      <c r="A156"/>
      <c r="M156" s="8"/>
    </row>
    <row r="157" spans="1:13" ht="20.100000000000001" customHeight="1" x14ac:dyDescent="0.25">
      <c r="A157"/>
      <c r="M157" s="8"/>
    </row>
    <row r="158" spans="1:13" ht="20.100000000000001" customHeight="1" x14ac:dyDescent="0.25">
      <c r="A158"/>
      <c r="M158" s="8"/>
    </row>
    <row r="159" spans="1:13" ht="20.100000000000001" customHeight="1" x14ac:dyDescent="0.25">
      <c r="A159"/>
      <c r="M159" s="8"/>
    </row>
    <row r="160" spans="1:13" ht="20.100000000000001" customHeight="1" x14ac:dyDescent="0.25">
      <c r="A160"/>
      <c r="M160" s="8"/>
    </row>
    <row r="161" spans="13:13" ht="20.100000000000001" customHeight="1" x14ac:dyDescent="0.25">
      <c r="M161" s="8"/>
    </row>
    <row r="162" spans="13:13" ht="20.100000000000001" customHeight="1" x14ac:dyDescent="0.25">
      <c r="M162" s="8"/>
    </row>
    <row r="163" spans="13:13" ht="20.100000000000001" customHeight="1" x14ac:dyDescent="0.25">
      <c r="M163" s="8"/>
    </row>
    <row r="164" spans="13:13" ht="20.100000000000001" customHeight="1" x14ac:dyDescent="0.25">
      <c r="M164" s="8"/>
    </row>
    <row r="165" spans="13:13" ht="20.100000000000001" customHeight="1" x14ac:dyDescent="0.25">
      <c r="M165" s="8"/>
    </row>
    <row r="166" spans="13:13" x14ac:dyDescent="0.25">
      <c r="M166" s="8"/>
    </row>
    <row r="167" spans="13:13" x14ac:dyDescent="0.25">
      <c r="M167" s="8"/>
    </row>
    <row r="168" spans="13:13" x14ac:dyDescent="0.25">
      <c r="M168" s="8"/>
    </row>
    <row r="169" spans="13:13" x14ac:dyDescent="0.25">
      <c r="M169" s="8"/>
    </row>
    <row r="170" spans="13:13" x14ac:dyDescent="0.25">
      <c r="M170" s="8"/>
    </row>
    <row r="171" spans="13:13" x14ac:dyDescent="0.25">
      <c r="M171" s="8"/>
    </row>
    <row r="172" spans="13:13" x14ac:dyDescent="0.25">
      <c r="M172" s="8"/>
    </row>
    <row r="173" spans="13:13" x14ac:dyDescent="0.25">
      <c r="M173" s="8"/>
    </row>
    <row r="174" spans="13:13" x14ac:dyDescent="0.25">
      <c r="M174" s="8"/>
    </row>
    <row r="175" spans="13:13" x14ac:dyDescent="0.25">
      <c r="M175" s="8"/>
    </row>
    <row r="176" spans="13:13" x14ac:dyDescent="0.25">
      <c r="M176" s="8"/>
    </row>
    <row r="177" spans="13:13" x14ac:dyDescent="0.25">
      <c r="M177" s="8"/>
    </row>
    <row r="178" spans="13:13" x14ac:dyDescent="0.25">
      <c r="M178" s="8"/>
    </row>
    <row r="179" spans="13:13" x14ac:dyDescent="0.25">
      <c r="M179" s="8"/>
    </row>
    <row r="180" spans="13:13" x14ac:dyDescent="0.25">
      <c r="M180" s="8"/>
    </row>
    <row r="181" spans="13:13" x14ac:dyDescent="0.25">
      <c r="M181" s="8"/>
    </row>
    <row r="182" spans="13:13" x14ac:dyDescent="0.25">
      <c r="M182" s="8"/>
    </row>
    <row r="183" spans="13:13" x14ac:dyDescent="0.25">
      <c r="M183" s="8"/>
    </row>
    <row r="184" spans="13:13" x14ac:dyDescent="0.25">
      <c r="M184" s="8"/>
    </row>
    <row r="185" spans="13:13" x14ac:dyDescent="0.25">
      <c r="M185" s="8"/>
    </row>
    <row r="186" spans="13:13" x14ac:dyDescent="0.25">
      <c r="M186" s="8"/>
    </row>
    <row r="187" spans="13:13" x14ac:dyDescent="0.25">
      <c r="M187" s="8"/>
    </row>
    <row r="188" spans="13:13" x14ac:dyDescent="0.25">
      <c r="M188" s="8"/>
    </row>
    <row r="189" spans="13:13" x14ac:dyDescent="0.25">
      <c r="M189" s="8"/>
    </row>
    <row r="190" spans="13:13" x14ac:dyDescent="0.25">
      <c r="M190" s="8"/>
    </row>
    <row r="191" spans="13:13" x14ac:dyDescent="0.25">
      <c r="M191" s="8"/>
    </row>
    <row r="192" spans="13:13" x14ac:dyDescent="0.25">
      <c r="M192" s="8"/>
    </row>
    <row r="193" spans="13:13" x14ac:dyDescent="0.25">
      <c r="M193" s="8"/>
    </row>
    <row r="194" spans="13:13" x14ac:dyDescent="0.25">
      <c r="M194" s="8"/>
    </row>
    <row r="195" spans="13:13" x14ac:dyDescent="0.25">
      <c r="M195" s="8"/>
    </row>
    <row r="196" spans="13:13" x14ac:dyDescent="0.25">
      <c r="M196" s="8"/>
    </row>
    <row r="197" spans="13:13" x14ac:dyDescent="0.25">
      <c r="M197" s="8"/>
    </row>
    <row r="198" spans="13:13" x14ac:dyDescent="0.25">
      <c r="M198" s="8"/>
    </row>
    <row r="199" spans="13:13" x14ac:dyDescent="0.25">
      <c r="M199" s="8"/>
    </row>
    <row r="200" spans="13:13" x14ac:dyDescent="0.25">
      <c r="M200" s="8"/>
    </row>
    <row r="201" spans="13:13" x14ac:dyDescent="0.25">
      <c r="M201" s="8"/>
    </row>
    <row r="202" spans="13:13" x14ac:dyDescent="0.25">
      <c r="M202" s="8"/>
    </row>
    <row r="203" spans="13:13" x14ac:dyDescent="0.25">
      <c r="M203" s="8"/>
    </row>
    <row r="204" spans="13:13" x14ac:dyDescent="0.25">
      <c r="M204" s="8"/>
    </row>
    <row r="205" spans="13:13" x14ac:dyDescent="0.25">
      <c r="M205" s="8"/>
    </row>
    <row r="206" spans="13:13" x14ac:dyDescent="0.25">
      <c r="M206" s="8"/>
    </row>
    <row r="207" spans="13:13" x14ac:dyDescent="0.25">
      <c r="M207" s="8"/>
    </row>
    <row r="208" spans="13:13" x14ac:dyDescent="0.25">
      <c r="M208" s="8"/>
    </row>
    <row r="209" spans="13:13" x14ac:dyDescent="0.25">
      <c r="M209" s="8"/>
    </row>
    <row r="210" spans="13:13" x14ac:dyDescent="0.25">
      <c r="M210" s="8"/>
    </row>
    <row r="211" spans="13:13" x14ac:dyDescent="0.25">
      <c r="M211" s="8"/>
    </row>
    <row r="212" spans="13:13" x14ac:dyDescent="0.25">
      <c r="M212" s="8"/>
    </row>
    <row r="213" spans="13:13" x14ac:dyDescent="0.25">
      <c r="M213" s="8"/>
    </row>
    <row r="214" spans="13:13" x14ac:dyDescent="0.25">
      <c r="M214" s="8"/>
    </row>
    <row r="215" spans="13:13" x14ac:dyDescent="0.25">
      <c r="M215" s="8"/>
    </row>
    <row r="216" spans="13:13" x14ac:dyDescent="0.25">
      <c r="M216" s="8"/>
    </row>
    <row r="217" spans="13:13" x14ac:dyDescent="0.25">
      <c r="M217" s="8"/>
    </row>
    <row r="218" spans="13:13" x14ac:dyDescent="0.25">
      <c r="M218" s="8"/>
    </row>
    <row r="219" spans="13:13" x14ac:dyDescent="0.25">
      <c r="M219" s="8"/>
    </row>
    <row r="220" spans="13:13" x14ac:dyDescent="0.25">
      <c r="M220" s="8"/>
    </row>
    <row r="221" spans="13:13" x14ac:dyDescent="0.25">
      <c r="M221" s="8"/>
    </row>
    <row r="222" spans="13:13" x14ac:dyDescent="0.25">
      <c r="M222" s="8"/>
    </row>
    <row r="223" spans="13:13" x14ac:dyDescent="0.25">
      <c r="M223" s="8"/>
    </row>
    <row r="224" spans="13:13" x14ac:dyDescent="0.25">
      <c r="M224" s="8"/>
    </row>
    <row r="225" spans="13:13" x14ac:dyDescent="0.25">
      <c r="M225" s="8"/>
    </row>
    <row r="226" spans="13:13" x14ac:dyDescent="0.25">
      <c r="M226" s="8"/>
    </row>
    <row r="227" spans="13:13" x14ac:dyDescent="0.25">
      <c r="M227" s="8"/>
    </row>
    <row r="228" spans="13:13" x14ac:dyDescent="0.25">
      <c r="M228" s="8"/>
    </row>
    <row r="229" spans="13:13" x14ac:dyDescent="0.25">
      <c r="M229" s="8"/>
    </row>
    <row r="230" spans="13:13" x14ac:dyDescent="0.25">
      <c r="M230" s="8"/>
    </row>
    <row r="231" spans="13:13" x14ac:dyDescent="0.25">
      <c r="M231" s="8"/>
    </row>
    <row r="232" spans="13:13" x14ac:dyDescent="0.25">
      <c r="M232" s="8"/>
    </row>
    <row r="233" spans="13:13" x14ac:dyDescent="0.25">
      <c r="M233" s="8"/>
    </row>
    <row r="234" spans="13:13" x14ac:dyDescent="0.25">
      <c r="M234" s="8"/>
    </row>
    <row r="235" spans="13:13" x14ac:dyDescent="0.25">
      <c r="M235" s="8"/>
    </row>
    <row r="236" spans="13:13" x14ac:dyDescent="0.25">
      <c r="M236" s="8"/>
    </row>
    <row r="237" spans="13:13" x14ac:dyDescent="0.25">
      <c r="M237" s="8"/>
    </row>
    <row r="238" spans="13:13" x14ac:dyDescent="0.25">
      <c r="M238" s="8"/>
    </row>
    <row r="239" spans="13:13" x14ac:dyDescent="0.25">
      <c r="M239" s="8"/>
    </row>
    <row r="240" spans="13:13" x14ac:dyDescent="0.25">
      <c r="M240" s="8"/>
    </row>
    <row r="241" spans="13:13" x14ac:dyDescent="0.25">
      <c r="M241" s="8"/>
    </row>
    <row r="242" spans="13:13" x14ac:dyDescent="0.25">
      <c r="M242" s="8"/>
    </row>
    <row r="243" spans="13:13" x14ac:dyDescent="0.25">
      <c r="M243" s="8"/>
    </row>
    <row r="244" spans="13:13" x14ac:dyDescent="0.25">
      <c r="M244" s="8"/>
    </row>
    <row r="245" spans="13:13" x14ac:dyDescent="0.25">
      <c r="M245" s="8"/>
    </row>
    <row r="246" spans="13:13" x14ac:dyDescent="0.25">
      <c r="M246" s="8"/>
    </row>
    <row r="247" spans="13:13" x14ac:dyDescent="0.25">
      <c r="M247" s="8"/>
    </row>
    <row r="248" spans="13:13" x14ac:dyDescent="0.25">
      <c r="M248" s="8"/>
    </row>
    <row r="249" spans="13:13" x14ac:dyDescent="0.25">
      <c r="M249" s="8"/>
    </row>
    <row r="250" spans="13:13" x14ac:dyDescent="0.25">
      <c r="M250" s="8"/>
    </row>
    <row r="251" spans="13:13" x14ac:dyDescent="0.25">
      <c r="M251" s="8"/>
    </row>
    <row r="252" spans="13:13" x14ac:dyDescent="0.25">
      <c r="M252" s="8"/>
    </row>
    <row r="253" spans="13:13" x14ac:dyDescent="0.25">
      <c r="M253" s="8"/>
    </row>
    <row r="254" spans="13:13" x14ac:dyDescent="0.25">
      <c r="M254" s="8"/>
    </row>
    <row r="255" spans="13:13" x14ac:dyDescent="0.25">
      <c r="M255" s="8"/>
    </row>
    <row r="256" spans="13:13" x14ac:dyDescent="0.25">
      <c r="M256" s="8"/>
    </row>
    <row r="257" spans="13:13" x14ac:dyDescent="0.25">
      <c r="M257" s="8"/>
    </row>
    <row r="258" spans="13:13" x14ac:dyDescent="0.25">
      <c r="M258" s="8"/>
    </row>
    <row r="259" spans="13:13" x14ac:dyDescent="0.25">
      <c r="M259" s="8"/>
    </row>
    <row r="260" spans="13:13" x14ac:dyDescent="0.25">
      <c r="M260" s="8"/>
    </row>
    <row r="261" spans="13:13" x14ac:dyDescent="0.25">
      <c r="M261" s="8"/>
    </row>
    <row r="262" spans="13:13" x14ac:dyDescent="0.25">
      <c r="M262" s="8"/>
    </row>
    <row r="263" spans="13:13" x14ac:dyDescent="0.25">
      <c r="M263" s="8"/>
    </row>
    <row r="264" spans="13:13" x14ac:dyDescent="0.25">
      <c r="M264" s="8"/>
    </row>
    <row r="265" spans="13:13" x14ac:dyDescent="0.25">
      <c r="M265" s="8"/>
    </row>
    <row r="266" spans="13:13" x14ac:dyDescent="0.25">
      <c r="M266" s="8"/>
    </row>
    <row r="267" spans="13:13" x14ac:dyDescent="0.25">
      <c r="M267" s="8"/>
    </row>
    <row r="268" spans="13:13" x14ac:dyDescent="0.25">
      <c r="M268" s="8"/>
    </row>
    <row r="269" spans="13:13" x14ac:dyDescent="0.25">
      <c r="M269" s="8"/>
    </row>
    <row r="270" spans="13:13" x14ac:dyDescent="0.25">
      <c r="M270" s="8"/>
    </row>
    <row r="271" spans="13:13" x14ac:dyDescent="0.25">
      <c r="M271" s="8"/>
    </row>
    <row r="272" spans="13:13" x14ac:dyDescent="0.25">
      <c r="M272" s="8"/>
    </row>
    <row r="273" spans="13:13" x14ac:dyDescent="0.25">
      <c r="M273" s="8"/>
    </row>
    <row r="274" spans="13:13" x14ac:dyDescent="0.25">
      <c r="M274" s="8"/>
    </row>
    <row r="275" spans="13:13" x14ac:dyDescent="0.25">
      <c r="M275" s="8"/>
    </row>
    <row r="276" spans="13:13" x14ac:dyDescent="0.25">
      <c r="M276" s="8"/>
    </row>
    <row r="277" spans="13:13" x14ac:dyDescent="0.25">
      <c r="M277" s="8"/>
    </row>
    <row r="278" spans="13:13" x14ac:dyDescent="0.25">
      <c r="M278" s="8"/>
    </row>
    <row r="279" spans="13:13" x14ac:dyDescent="0.25">
      <c r="M279" s="8"/>
    </row>
    <row r="280" spans="13:13" x14ac:dyDescent="0.25">
      <c r="M280" s="8"/>
    </row>
    <row r="281" spans="13:13" x14ac:dyDescent="0.25">
      <c r="M281" s="8"/>
    </row>
    <row r="282" spans="13:13" x14ac:dyDescent="0.25">
      <c r="M282" s="8"/>
    </row>
    <row r="283" spans="13:13" x14ac:dyDescent="0.25">
      <c r="M283" s="8"/>
    </row>
    <row r="284" spans="13:13" x14ac:dyDescent="0.25">
      <c r="M284" s="8"/>
    </row>
    <row r="285" spans="13:13" x14ac:dyDescent="0.25">
      <c r="M285" s="8"/>
    </row>
    <row r="286" spans="13:13" x14ac:dyDescent="0.25">
      <c r="M286" s="8"/>
    </row>
    <row r="287" spans="13:13" x14ac:dyDescent="0.25">
      <c r="M287" s="8"/>
    </row>
    <row r="288" spans="13:13" x14ac:dyDescent="0.25">
      <c r="M288" s="8"/>
    </row>
    <row r="289" spans="13:13" x14ac:dyDescent="0.25">
      <c r="M289" s="8"/>
    </row>
    <row r="290" spans="13:13" x14ac:dyDescent="0.25">
      <c r="M290" s="8"/>
    </row>
    <row r="291" spans="13:13" x14ac:dyDescent="0.25">
      <c r="M291" s="8"/>
    </row>
    <row r="292" spans="13:13" x14ac:dyDescent="0.25">
      <c r="M292" s="8"/>
    </row>
    <row r="293" spans="13:13" x14ac:dyDescent="0.25">
      <c r="M293" s="8"/>
    </row>
    <row r="294" spans="13:13" x14ac:dyDescent="0.25">
      <c r="M294" s="8"/>
    </row>
    <row r="295" spans="13:13" x14ac:dyDescent="0.25">
      <c r="M295" s="8"/>
    </row>
    <row r="296" spans="13:13" x14ac:dyDescent="0.25">
      <c r="M296" s="8"/>
    </row>
    <row r="297" spans="13:13" x14ac:dyDescent="0.25">
      <c r="M297" s="8"/>
    </row>
    <row r="298" spans="13:13" x14ac:dyDescent="0.25">
      <c r="M298" s="8"/>
    </row>
    <row r="299" spans="13:13" x14ac:dyDescent="0.25">
      <c r="M299" s="8"/>
    </row>
    <row r="300" spans="13:13" x14ac:dyDescent="0.25">
      <c r="M300" s="8"/>
    </row>
    <row r="301" spans="13:13" x14ac:dyDescent="0.25">
      <c r="M301" s="8"/>
    </row>
    <row r="302" spans="13:13" x14ac:dyDescent="0.25">
      <c r="M302" s="8"/>
    </row>
    <row r="303" spans="13:13" x14ac:dyDescent="0.25">
      <c r="M303" s="8"/>
    </row>
    <row r="304" spans="13:13" x14ac:dyDescent="0.25">
      <c r="M304" s="8"/>
    </row>
    <row r="305" spans="13:13" x14ac:dyDescent="0.25">
      <c r="M305" s="8"/>
    </row>
    <row r="306" spans="13:13" x14ac:dyDescent="0.25">
      <c r="M306" s="8"/>
    </row>
    <row r="307" spans="13:13" x14ac:dyDescent="0.25">
      <c r="M307" s="8"/>
    </row>
    <row r="308" spans="13:13" x14ac:dyDescent="0.25">
      <c r="M308" s="8"/>
    </row>
    <row r="309" spans="13:13" x14ac:dyDescent="0.25">
      <c r="M309" s="8"/>
    </row>
    <row r="310" spans="13:13" x14ac:dyDescent="0.25">
      <c r="M310" s="8"/>
    </row>
    <row r="311" spans="13:13" x14ac:dyDescent="0.25">
      <c r="M311" s="8"/>
    </row>
    <row r="312" spans="13:13" x14ac:dyDescent="0.25">
      <c r="M312" s="8"/>
    </row>
    <row r="313" spans="13:13" x14ac:dyDescent="0.25">
      <c r="M313" s="8"/>
    </row>
    <row r="314" spans="13:13" x14ac:dyDescent="0.25">
      <c r="M314" s="8"/>
    </row>
    <row r="315" spans="13:13" x14ac:dyDescent="0.25">
      <c r="M315" s="8"/>
    </row>
    <row r="316" spans="13:13" x14ac:dyDescent="0.25">
      <c r="M316" s="8"/>
    </row>
    <row r="317" spans="13:13" x14ac:dyDescent="0.25">
      <c r="M317" s="8"/>
    </row>
    <row r="318" spans="13:13" x14ac:dyDescent="0.25">
      <c r="M318" s="8"/>
    </row>
    <row r="319" spans="13:13" x14ac:dyDescent="0.25">
      <c r="M319" s="8"/>
    </row>
    <row r="320" spans="13:13" x14ac:dyDescent="0.25">
      <c r="M320" s="8"/>
    </row>
    <row r="321" spans="13:13" x14ac:dyDescent="0.25">
      <c r="M321" s="8"/>
    </row>
    <row r="322" spans="13:13" x14ac:dyDescent="0.25">
      <c r="M322" s="8"/>
    </row>
    <row r="323" spans="13:13" x14ac:dyDescent="0.25">
      <c r="M323" s="8"/>
    </row>
    <row r="324" spans="13:13" x14ac:dyDescent="0.25">
      <c r="M324" s="8"/>
    </row>
    <row r="325" spans="13:13" x14ac:dyDescent="0.25">
      <c r="M325" s="8"/>
    </row>
    <row r="326" spans="13:13" x14ac:dyDescent="0.25">
      <c r="M326" s="8"/>
    </row>
    <row r="327" spans="13:13" x14ac:dyDescent="0.25">
      <c r="M327" s="8"/>
    </row>
    <row r="328" spans="13:13" x14ac:dyDescent="0.25">
      <c r="M328" s="8"/>
    </row>
    <row r="329" spans="13:13" x14ac:dyDescent="0.25">
      <c r="M329" s="8"/>
    </row>
    <row r="330" spans="13:13" x14ac:dyDescent="0.25">
      <c r="M330" s="8"/>
    </row>
    <row r="331" spans="13:13" x14ac:dyDescent="0.25">
      <c r="M331" s="8"/>
    </row>
    <row r="332" spans="13:13" x14ac:dyDescent="0.25">
      <c r="M332" s="8"/>
    </row>
    <row r="333" spans="13:13" x14ac:dyDescent="0.25">
      <c r="M333" s="8"/>
    </row>
    <row r="334" spans="13:13" x14ac:dyDescent="0.25">
      <c r="M334" s="8"/>
    </row>
    <row r="335" spans="13:13" x14ac:dyDescent="0.25">
      <c r="M335" s="8"/>
    </row>
    <row r="336" spans="13:13" x14ac:dyDescent="0.25">
      <c r="M336" s="8"/>
    </row>
    <row r="337" spans="13:13" x14ac:dyDescent="0.25">
      <c r="M337" s="8"/>
    </row>
    <row r="338" spans="13:13" x14ac:dyDescent="0.25">
      <c r="M338" s="8"/>
    </row>
    <row r="339" spans="13:13" x14ac:dyDescent="0.25">
      <c r="M339" s="8"/>
    </row>
    <row r="340" spans="13:13" x14ac:dyDescent="0.25">
      <c r="M340" s="8"/>
    </row>
    <row r="341" spans="13:13" x14ac:dyDescent="0.25">
      <c r="M341" s="8"/>
    </row>
    <row r="342" spans="13:13" x14ac:dyDescent="0.25">
      <c r="M342" s="8"/>
    </row>
    <row r="343" spans="13:13" x14ac:dyDescent="0.25">
      <c r="M343" s="8"/>
    </row>
    <row r="344" spans="13:13" x14ac:dyDescent="0.25">
      <c r="M344" s="8"/>
    </row>
    <row r="345" spans="13:13" x14ac:dyDescent="0.25">
      <c r="M345" s="8"/>
    </row>
    <row r="346" spans="13:13" x14ac:dyDescent="0.25">
      <c r="M346" s="8"/>
    </row>
    <row r="347" spans="13:13" x14ac:dyDescent="0.25">
      <c r="M347" s="8"/>
    </row>
    <row r="348" spans="13:13" x14ac:dyDescent="0.25">
      <c r="M348" s="8"/>
    </row>
    <row r="349" spans="13:13" x14ac:dyDescent="0.25">
      <c r="M349" s="8"/>
    </row>
    <row r="350" spans="13:13" x14ac:dyDescent="0.25">
      <c r="M350" s="8"/>
    </row>
    <row r="351" spans="13:13" x14ac:dyDescent="0.25">
      <c r="M351" s="8"/>
    </row>
    <row r="352" spans="13:13" x14ac:dyDescent="0.25">
      <c r="M352" s="8"/>
    </row>
    <row r="353" spans="13:13" x14ac:dyDescent="0.25">
      <c r="M353" s="8"/>
    </row>
    <row r="354" spans="13:13" x14ac:dyDescent="0.25">
      <c r="M354" s="8"/>
    </row>
    <row r="355" spans="13:13" x14ac:dyDescent="0.25">
      <c r="M355" s="8"/>
    </row>
    <row r="356" spans="13:13" x14ac:dyDescent="0.25">
      <c r="M356" s="8"/>
    </row>
    <row r="357" spans="13:13" x14ac:dyDescent="0.25">
      <c r="M357" s="8"/>
    </row>
    <row r="358" spans="13:13" x14ac:dyDescent="0.25">
      <c r="M358" s="8"/>
    </row>
    <row r="359" spans="13:13" x14ac:dyDescent="0.25">
      <c r="M359" s="8"/>
    </row>
    <row r="360" spans="13:13" x14ac:dyDescent="0.25">
      <c r="M360" s="8"/>
    </row>
    <row r="361" spans="13:13" x14ac:dyDescent="0.25">
      <c r="M361" s="8"/>
    </row>
    <row r="362" spans="13:13" x14ac:dyDescent="0.25">
      <c r="M362" s="8"/>
    </row>
    <row r="363" spans="13:13" x14ac:dyDescent="0.25">
      <c r="M363" s="8"/>
    </row>
    <row r="364" spans="13:13" x14ac:dyDescent="0.25">
      <c r="M364" s="8"/>
    </row>
    <row r="365" spans="13:13" x14ac:dyDescent="0.25">
      <c r="M365" s="8"/>
    </row>
    <row r="366" spans="13:13" x14ac:dyDescent="0.25">
      <c r="M366" s="8"/>
    </row>
    <row r="367" spans="13:13" x14ac:dyDescent="0.25">
      <c r="M367" s="8"/>
    </row>
    <row r="368" spans="13:13" x14ac:dyDescent="0.25">
      <c r="M368" s="8"/>
    </row>
    <row r="369" spans="13:13" x14ac:dyDescent="0.25">
      <c r="M369" s="8"/>
    </row>
    <row r="370" spans="13:13" x14ac:dyDescent="0.25">
      <c r="M370" s="8"/>
    </row>
    <row r="371" spans="13:13" x14ac:dyDescent="0.25">
      <c r="M371" s="8"/>
    </row>
    <row r="372" spans="13:13" x14ac:dyDescent="0.25">
      <c r="M372" s="8"/>
    </row>
    <row r="373" spans="13:13" x14ac:dyDescent="0.25">
      <c r="M373" s="8"/>
    </row>
    <row r="374" spans="13:13" x14ac:dyDescent="0.25">
      <c r="M374" s="8"/>
    </row>
    <row r="375" spans="13:13" x14ac:dyDescent="0.25">
      <c r="M375" s="8"/>
    </row>
    <row r="376" spans="13:13" x14ac:dyDescent="0.25">
      <c r="M376" s="8"/>
    </row>
    <row r="377" spans="13:13" x14ac:dyDescent="0.25">
      <c r="M377" s="8"/>
    </row>
    <row r="378" spans="13:13" x14ac:dyDescent="0.25">
      <c r="M378" s="8"/>
    </row>
    <row r="379" spans="13:13" x14ac:dyDescent="0.25">
      <c r="M379" s="8"/>
    </row>
    <row r="380" spans="13:13" x14ac:dyDescent="0.25">
      <c r="M380" s="8"/>
    </row>
    <row r="381" spans="13:13" x14ac:dyDescent="0.25">
      <c r="M381" s="8"/>
    </row>
    <row r="382" spans="13:13" x14ac:dyDescent="0.25">
      <c r="M382" s="8"/>
    </row>
    <row r="383" spans="13:13" x14ac:dyDescent="0.25">
      <c r="M383" s="8"/>
    </row>
    <row r="384" spans="13:13" x14ac:dyDescent="0.25">
      <c r="M384" s="8"/>
    </row>
    <row r="385" spans="13:13" x14ac:dyDescent="0.25">
      <c r="M385" s="8"/>
    </row>
    <row r="386" spans="13:13" x14ac:dyDescent="0.25">
      <c r="M386" s="8"/>
    </row>
    <row r="387" spans="13:13" x14ac:dyDescent="0.25">
      <c r="M387" s="8"/>
    </row>
    <row r="388" spans="13:13" x14ac:dyDescent="0.25">
      <c r="M388" s="8"/>
    </row>
    <row r="389" spans="13:13" x14ac:dyDescent="0.25">
      <c r="M389" s="8"/>
    </row>
    <row r="390" spans="13:13" x14ac:dyDescent="0.25">
      <c r="M390" s="8"/>
    </row>
    <row r="391" spans="13:13" x14ac:dyDescent="0.25">
      <c r="M391" s="8"/>
    </row>
    <row r="392" spans="13:13" x14ac:dyDescent="0.25">
      <c r="M392" s="8"/>
    </row>
    <row r="393" spans="13:13" x14ac:dyDescent="0.25">
      <c r="M393" s="8"/>
    </row>
    <row r="394" spans="13:13" x14ac:dyDescent="0.25">
      <c r="M394" s="8"/>
    </row>
    <row r="395" spans="13:13" x14ac:dyDescent="0.25">
      <c r="M395" s="8"/>
    </row>
    <row r="396" spans="13:13" x14ac:dyDescent="0.25">
      <c r="M396" s="8"/>
    </row>
    <row r="397" spans="13:13" x14ac:dyDescent="0.25">
      <c r="M397" s="8"/>
    </row>
    <row r="398" spans="13:13" x14ac:dyDescent="0.25">
      <c r="M398" s="8"/>
    </row>
    <row r="399" spans="13:13" x14ac:dyDescent="0.25">
      <c r="M399" s="8"/>
    </row>
    <row r="400" spans="13:13" x14ac:dyDescent="0.25">
      <c r="M400" s="8"/>
    </row>
    <row r="401" spans="13:13" x14ac:dyDescent="0.25">
      <c r="M401" s="8"/>
    </row>
    <row r="402" spans="13:13" x14ac:dyDescent="0.25">
      <c r="M402" s="8"/>
    </row>
    <row r="403" spans="13:13" x14ac:dyDescent="0.25">
      <c r="M403" s="8"/>
    </row>
    <row r="404" spans="13:13" x14ac:dyDescent="0.25">
      <c r="M404" s="8"/>
    </row>
    <row r="405" spans="13:13" x14ac:dyDescent="0.25">
      <c r="M405" s="8"/>
    </row>
    <row r="406" spans="13:13" x14ac:dyDescent="0.25">
      <c r="M406" s="8"/>
    </row>
    <row r="407" spans="13:13" x14ac:dyDescent="0.25">
      <c r="M407" s="8"/>
    </row>
    <row r="408" spans="13:13" x14ac:dyDescent="0.25">
      <c r="M408" s="8"/>
    </row>
    <row r="409" spans="13:13" x14ac:dyDescent="0.25">
      <c r="M409" s="8"/>
    </row>
    <row r="410" spans="13:13" x14ac:dyDescent="0.25">
      <c r="M410" s="8"/>
    </row>
    <row r="411" spans="13:13" x14ac:dyDescent="0.25">
      <c r="M411" s="8"/>
    </row>
    <row r="412" spans="13:13" x14ac:dyDescent="0.25">
      <c r="M412" s="8"/>
    </row>
    <row r="413" spans="13:13" x14ac:dyDescent="0.25">
      <c r="M413" s="8"/>
    </row>
    <row r="414" spans="13:13" x14ac:dyDescent="0.25">
      <c r="M414" s="8"/>
    </row>
    <row r="415" spans="13:13" x14ac:dyDescent="0.25">
      <c r="M415" s="8"/>
    </row>
    <row r="416" spans="13:13" x14ac:dyDescent="0.25">
      <c r="M416" s="8"/>
    </row>
    <row r="417" spans="13:13" x14ac:dyDescent="0.25">
      <c r="M417" s="8"/>
    </row>
    <row r="418" spans="13:13" x14ac:dyDescent="0.25">
      <c r="M418" s="8"/>
    </row>
    <row r="419" spans="13:13" x14ac:dyDescent="0.25">
      <c r="M419" s="8"/>
    </row>
    <row r="420" spans="13:13" x14ac:dyDescent="0.25">
      <c r="M420" s="8"/>
    </row>
    <row r="421" spans="13:13" x14ac:dyDescent="0.25">
      <c r="M421" s="8"/>
    </row>
    <row r="422" spans="13:13" x14ac:dyDescent="0.25">
      <c r="M422" s="8"/>
    </row>
    <row r="423" spans="13:13" x14ac:dyDescent="0.25">
      <c r="M423" s="8"/>
    </row>
    <row r="424" spans="13:13" x14ac:dyDescent="0.25">
      <c r="M424" s="8"/>
    </row>
    <row r="425" spans="13:13" x14ac:dyDescent="0.25">
      <c r="M425" s="8"/>
    </row>
    <row r="426" spans="13:13" x14ac:dyDescent="0.25">
      <c r="M426" s="8"/>
    </row>
    <row r="427" spans="13:13" x14ac:dyDescent="0.25">
      <c r="M427" s="8"/>
    </row>
    <row r="428" spans="13:13" x14ac:dyDescent="0.25">
      <c r="M428" s="8"/>
    </row>
    <row r="429" spans="13:13" x14ac:dyDescent="0.25">
      <c r="M429" s="8"/>
    </row>
    <row r="430" spans="13:13" x14ac:dyDescent="0.25">
      <c r="M430" s="8"/>
    </row>
    <row r="431" spans="13:13" x14ac:dyDescent="0.25">
      <c r="M431" s="8"/>
    </row>
    <row r="432" spans="13:13" x14ac:dyDescent="0.25">
      <c r="M432" s="8"/>
    </row>
    <row r="433" spans="13:13" x14ac:dyDescent="0.25">
      <c r="M433" s="8"/>
    </row>
    <row r="434" spans="13:13" x14ac:dyDescent="0.25">
      <c r="M434" s="8"/>
    </row>
    <row r="435" spans="13:13" x14ac:dyDescent="0.25">
      <c r="M435" s="8"/>
    </row>
    <row r="436" spans="13:13" x14ac:dyDescent="0.25">
      <c r="M436" s="8"/>
    </row>
    <row r="437" spans="13:13" x14ac:dyDescent="0.25">
      <c r="M437" s="8"/>
    </row>
    <row r="438" spans="13:13" x14ac:dyDescent="0.25">
      <c r="M438" s="8"/>
    </row>
    <row r="439" spans="13:13" x14ac:dyDescent="0.25">
      <c r="M439" s="8"/>
    </row>
    <row r="440" spans="13:13" x14ac:dyDescent="0.25">
      <c r="M440" s="8"/>
    </row>
    <row r="441" spans="13:13" x14ac:dyDescent="0.25">
      <c r="M441" s="8"/>
    </row>
    <row r="442" spans="13:13" x14ac:dyDescent="0.25">
      <c r="M442" s="8"/>
    </row>
    <row r="443" spans="13:13" x14ac:dyDescent="0.25">
      <c r="M443" s="8"/>
    </row>
    <row r="444" spans="13:13" x14ac:dyDescent="0.25">
      <c r="M444" s="8"/>
    </row>
    <row r="445" spans="13:13" x14ac:dyDescent="0.25">
      <c r="M445" s="8"/>
    </row>
    <row r="446" spans="13:13" x14ac:dyDescent="0.25">
      <c r="M446" s="8"/>
    </row>
    <row r="447" spans="13:13" x14ac:dyDescent="0.25">
      <c r="M447" s="8"/>
    </row>
    <row r="448" spans="13:13" x14ac:dyDescent="0.25">
      <c r="M448" s="8"/>
    </row>
    <row r="449" spans="13:13" x14ac:dyDescent="0.25">
      <c r="M449" s="8"/>
    </row>
    <row r="450" spans="13:13" x14ac:dyDescent="0.25">
      <c r="M450" s="8"/>
    </row>
    <row r="451" spans="13:13" x14ac:dyDescent="0.25">
      <c r="M451" s="8"/>
    </row>
    <row r="452" spans="13:13" x14ac:dyDescent="0.25">
      <c r="M452" s="8"/>
    </row>
  </sheetData>
  <pageMargins left="0.7" right="0.7" top="0.75" bottom="0.75" header="0.3" footer="0.3"/>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1935B-4618-4A94-80D7-18EB362EC008}">
  <dimension ref="A1:V288"/>
  <sheetViews>
    <sheetView showGridLines="0" zoomScaleNormal="100" workbookViewId="0">
      <selection activeCell="A41" sqref="A41"/>
    </sheetView>
  </sheetViews>
  <sheetFormatPr defaultRowHeight="15.75" x14ac:dyDescent="0.25"/>
  <cols>
    <col min="1" max="1" width="26.875" style="3" customWidth="1"/>
    <col min="2" max="2" width="4.125" style="3" customWidth="1"/>
    <col min="3" max="3" width="4.125" style="8" customWidth="1"/>
    <col min="4" max="6" width="26.87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37" t="e" vm="1">
        <v>#VALUE!</v>
      </c>
      <c r="C1" s="1" t="s">
        <v>514</v>
      </c>
    </row>
    <row r="2" spans="1:21" s="2" customFormat="1" ht="20.100000000000001" customHeight="1" x14ac:dyDescent="0.25">
      <c r="A2"/>
    </row>
    <row r="3" spans="1:21"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c r="D5" s="9" t="s">
        <v>515</v>
      </c>
      <c r="G5" s="9" t="s">
        <v>516</v>
      </c>
      <c r="J5" s="9" t="s">
        <v>142</v>
      </c>
      <c r="M5" s="8"/>
    </row>
    <row r="6" spans="1:21" ht="20.100000000000001" customHeight="1" x14ac:dyDescent="0.25">
      <c r="A6"/>
      <c r="M6" s="8"/>
    </row>
    <row r="7" spans="1:21" ht="20.100000000000001" customHeight="1" x14ac:dyDescent="0.25">
      <c r="A7" s="19" t="s">
        <v>67</v>
      </c>
      <c r="D7" s="158" t="s">
        <v>517</v>
      </c>
      <c r="E7" s="10" t="s">
        <v>322</v>
      </c>
      <c r="G7" s="10" t="s">
        <v>144</v>
      </c>
      <c r="J7" s="10" t="s">
        <v>43</v>
      </c>
      <c r="M7" s="8"/>
    </row>
    <row r="8" spans="1:21" ht="20.100000000000001" customHeight="1" x14ac:dyDescent="0.25">
      <c r="A8" s="16" t="str">
        <f>HYPERLINK("#'Input - Site'!A1", "Site")</f>
        <v>Site</v>
      </c>
      <c r="D8" s="10" t="s">
        <v>50</v>
      </c>
      <c r="E8" s="10" t="s">
        <v>909</v>
      </c>
      <c r="G8" s="10" t="str">
        <f>'Constants - Common'!$F$187</f>
        <v>Pasture</v>
      </c>
      <c r="J8" s="10" t="s">
        <v>147</v>
      </c>
      <c r="M8" s="8"/>
    </row>
    <row r="9" spans="1:21" ht="20.100000000000001" customHeight="1" x14ac:dyDescent="0.25">
      <c r="A9" s="16" t="str">
        <f>HYPERLINK("#'Input - Fuel'!A1", "Fuel")</f>
        <v>Fuel</v>
      </c>
      <c r="D9" s="10" t="s">
        <v>910</v>
      </c>
      <c r="E9" s="10" t="s">
        <v>911</v>
      </c>
      <c r="G9" s="8" t="str">
        <f>'Constants - Common'!$F$188</f>
        <v>Crop</v>
      </c>
      <c r="J9" s="10" t="s">
        <v>151</v>
      </c>
      <c r="M9" s="8"/>
    </row>
    <row r="10" spans="1:21" ht="20.100000000000001" customHeight="1" x14ac:dyDescent="0.25">
      <c r="A10" s="16" t="str">
        <f>HYPERLINK("#'Input - Fertiliser'!A1", "Fertiliser")</f>
        <v>Fertiliser</v>
      </c>
      <c r="D10" s="10" t="s">
        <v>912</v>
      </c>
      <c r="E10" s="10" t="s">
        <v>913</v>
      </c>
      <c r="J10" s="8" t="s">
        <v>154</v>
      </c>
      <c r="M10" s="8"/>
    </row>
    <row r="11" spans="1:21" ht="20.100000000000001" customHeight="1" x14ac:dyDescent="0.25">
      <c r="A11" s="16" t="str">
        <f>HYPERLINK("#'Input - Farm Inputs'!A1", "Farm Inputs")</f>
        <v>Farm Inputs</v>
      </c>
      <c r="D11" s="10" t="s">
        <v>55</v>
      </c>
      <c r="E11" s="10" t="s">
        <v>578</v>
      </c>
      <c r="J11" s="8" t="s">
        <v>157</v>
      </c>
      <c r="M11" s="8"/>
    </row>
    <row r="12" spans="1:21" ht="20.100000000000001" customHeight="1" x14ac:dyDescent="0.25">
      <c r="A12" s="16" t="str">
        <f>HYPERLINK("#'Input - Beef cattle purchases'!A1", "Beef cattle purchases")</f>
        <v>Beef cattle purchases</v>
      </c>
      <c r="J12" s="8" t="s">
        <v>159</v>
      </c>
      <c r="M12" s="8"/>
    </row>
    <row r="13" spans="1:21" ht="20.100000000000001" customHeight="1" x14ac:dyDescent="0.25">
      <c r="A13" s="16" t="str">
        <f>HYPERLINK("#'Input - Dairy cattle purchases'!A1", "Dairy cattle purchases")</f>
        <v>Dairy cattle purchases</v>
      </c>
      <c r="M13" s="8"/>
    </row>
    <row r="14" spans="1:21" ht="20.100000000000001" customHeight="1" x14ac:dyDescent="0.25">
      <c r="A14" s="16" t="str">
        <f>HYPERLINK("#'Input - Pig purchases'!A1", "Pig purchases")</f>
        <v>Pig purchases</v>
      </c>
      <c r="M14" s="8"/>
    </row>
    <row r="15" spans="1:21" ht="20.100000000000001" customHeight="1" x14ac:dyDescent="0.25">
      <c r="A15" s="16" t="str">
        <f>HYPERLINK("#'Input - Poultry purchases'!A1", "Poultry purchases")</f>
        <v>Poultry purchases</v>
      </c>
      <c r="M15" s="8"/>
    </row>
    <row r="16" spans="1:21" ht="20.100000000000001" customHeight="1" x14ac:dyDescent="0.25">
      <c r="A16" s="16" t="str">
        <f>HYPERLINK("#'Input - Freight'!A1", "Freight")</f>
        <v>Freight</v>
      </c>
      <c r="D16" s="9" t="str" cm="1">
        <f t="array" ref="D16">SourceData_Dairy.SourceData_Dairy_LiveweightCowsAndHeifers_Title()</f>
        <v>Table A.1.3.1: Dairy cattle - Liveweight (kg) - Cows and Heifers (Wj)</v>
      </c>
      <c r="M16" s="8"/>
    </row>
    <row r="17" spans="1:13" ht="20.100000000000001" customHeight="1" x14ac:dyDescent="0.25">
      <c r="A17" s="16" t="str">
        <f>HYPERLINK("#'Input - Solid waste'!A1", "Solid waste")</f>
        <v>Solid waste</v>
      </c>
      <c r="D17" s="11" t="str" cm="1">
        <f t="array" ref="D17">SourceData_Dairy.SourceData_Dairy_LiveweightCowsAndHeifers_Source()</f>
        <v>VEERG 2026: Table A.1.3.1</v>
      </c>
      <c r="M17" s="8"/>
    </row>
    <row r="18" spans="1:13" ht="20.100000000000001" customHeight="1" x14ac:dyDescent="0.25">
      <c r="A18" s="16" t="str">
        <f>HYPERLINK("#'Input - Manure sent off-site'!A1", "Manure sent off-site")</f>
        <v>Manure sent off-site</v>
      </c>
      <c r="D18" s="8" t="str" cm="1">
        <f t="array" ref="D18">SourceData_Dairy.SourceData_Dairy_LiveweightCowsAndHeifers_Variable()</f>
        <v>Wj</v>
      </c>
      <c r="M18" s="8"/>
    </row>
    <row r="19" spans="1:13" ht="20.100000000000001" customHeight="1" x14ac:dyDescent="0.25">
      <c r="A19" s="16" t="str">
        <f>HYPERLINK("#'Input - Electricity'!A1", "Electricity")</f>
        <v>Electricity</v>
      </c>
      <c r="D19" s="13" t="str" cm="1">
        <f t="array" ref="D19">SourceData_Dairy.SourceData_Dairy_LiveweightCowsAndHeifers_Unit()</f>
        <v>kg</v>
      </c>
      <c r="M19" s="8"/>
    </row>
    <row r="20" spans="1:13" ht="20.100000000000001" customHeight="1" x14ac:dyDescent="0.25">
      <c r="A20"/>
      <c r="D20" s="12" t="e" cm="1">
        <f t="array" aca="1" ref="D20" ca="1">SourceData_Dairy.SourceData_Dairy_LiveweightCowsAndHeifers_Variation()</f>
        <v>#NAME?</v>
      </c>
      <c r="M20" s="8"/>
    </row>
    <row r="21" spans="1:13" ht="20.100000000000001" customHeight="1" x14ac:dyDescent="0.25">
      <c r="A21"/>
      <c r="D21" s="10" t="s">
        <v>496</v>
      </c>
      <c r="E21" s="10" t="s">
        <v>509</v>
      </c>
      <c r="F21" s="10" t="s">
        <v>518</v>
      </c>
      <c r="G21" s="10" t="s">
        <v>510</v>
      </c>
      <c r="M21" s="8"/>
    </row>
    <row r="22" spans="1:13" ht="20.100000000000001" customHeight="1" x14ac:dyDescent="0.25">
      <c r="A22" s="21" t="s">
        <v>77</v>
      </c>
      <c r="D22" s="10" t="str" cm="1">
        <f t="array" ref="D22">Common_InputFunctions.Utility_DisplayArrayInTable(SourceData_Dairy.SourceData_Dairy_LiveweightCowsAndHeifers_Data(), Table_SourceData_Dairy_WjCowsHeifers[[#Headers],[Breed]], 0)</f>
        <v>Medium Friesian</v>
      </c>
      <c r="E22" s="10" cm="1">
        <f t="array" ref="E22">Common_InputFunctions.Utility_DisplayArrayInTable(SourceData_Dairy.SourceData_Dairy_LiveweightCowsAndHeifers_Data(), Table_SourceData_Dairy_WjCowsHeifers[[#Headers],[Breed]], 0)</f>
        <v>550</v>
      </c>
      <c r="F22" s="10" cm="1">
        <f t="array" ref="F22">Common_InputFunctions.Utility_DisplayArrayInTable(SourceData_Dairy.SourceData_Dairy_LiveweightCowsAndHeifers_Data(), Table_SourceData_Dairy_WjCowsHeifers[[#Headers],[Breed]], 0)</f>
        <v>380</v>
      </c>
      <c r="G22" s="10" cm="1">
        <f t="array" ref="G22">Common_InputFunctions.Utility_DisplayArrayInTable(SourceData_Dairy.SourceData_Dairy_LiveweightCowsAndHeifers_Data(), Table_SourceData_Dairy_WjCowsHeifers[[#Headers],[Breed]], 0)</f>
        <v>155</v>
      </c>
      <c r="M22" s="8"/>
    </row>
    <row r="23" spans="1:13" ht="20.100000000000001" customHeight="1" x14ac:dyDescent="0.25">
      <c r="A23" s="16" t="str">
        <f>HYPERLINK("#'15 Scope 3'!A1", "15 Scope 3")</f>
        <v>15 Scope 3</v>
      </c>
      <c r="D23" s="10" t="str" cm="1">
        <f t="array" ref="D23">Common_InputFunctions.Utility_DisplayArrayInTable(SourceData_Dairy.SourceData_Dairy_LiveweightCowsAndHeifers_Data(), Table_SourceData_Dairy_WjCowsHeifers[[#Headers],[Breed]], 0)</f>
        <v>Large Friesian</v>
      </c>
      <c r="E23" s="10" cm="1">
        <f t="array" ref="E23">Common_InputFunctions.Utility_DisplayArrayInTable(SourceData_Dairy.SourceData_Dairy_LiveweightCowsAndHeifers_Data(), Table_SourceData_Dairy_WjCowsHeifers[[#Headers],[Breed]], 0)</f>
        <v>600</v>
      </c>
      <c r="F23" s="10" cm="1">
        <f t="array" ref="F23">Common_InputFunctions.Utility_DisplayArrayInTable(SourceData_Dairy.SourceData_Dairy_LiveweightCowsAndHeifers_Data(), Table_SourceData_Dairy_WjCowsHeifers[[#Headers],[Breed]], 0)</f>
        <v>415</v>
      </c>
      <c r="G23" s="10" cm="1">
        <f t="array" ref="G23">Common_InputFunctions.Utility_DisplayArrayInTable(SourceData_Dairy.SourceData_Dairy_LiveweightCowsAndHeifers_Data(), Table_SourceData_Dairy_WjCowsHeifers[[#Headers],[Breed]], 0)</f>
        <v>170</v>
      </c>
      <c r="M23" s="8"/>
    </row>
    <row r="24" spans="1:13" ht="20.100000000000001" customHeight="1" x14ac:dyDescent="0.25">
      <c r="A24" s="16" t="str">
        <f>HYPERLINK("#'10.1.1-2 Solid waste treatment'!A1", "10.1.1-2 Solid waste treatment")</f>
        <v>10.1.1-2 Solid waste treatment</v>
      </c>
      <c r="D24" s="10" t="str" cm="1">
        <f t="array" ref="D24">Common_InputFunctions.Utility_DisplayArrayInTable(SourceData_Dairy.SourceData_Dairy_LiveweightCowsAndHeifers_Data(), Table_SourceData_Dairy_WjCowsHeifers[[#Headers],[Breed]], 0)</f>
        <v>Holstein-Friesian</v>
      </c>
      <c r="E24" s="10" cm="1">
        <f t="array" ref="E24">Common_InputFunctions.Utility_DisplayArrayInTable(SourceData_Dairy.SourceData_Dairy_LiveweightCowsAndHeifers_Data(), Table_SourceData_Dairy_WjCowsHeifers[[#Headers],[Breed]], 0)</f>
        <v>650</v>
      </c>
      <c r="F24" s="10" cm="1">
        <f t="array" ref="F24">Common_InputFunctions.Utility_DisplayArrayInTable(SourceData_Dairy.SourceData_Dairy_LiveweightCowsAndHeifers_Data(), Table_SourceData_Dairy_WjCowsHeifers[[#Headers],[Breed]], 0)</f>
        <v>450</v>
      </c>
      <c r="G24" s="10" cm="1">
        <f t="array" ref="G24">Common_InputFunctions.Utility_DisplayArrayInTable(SourceData_Dairy.SourceData_Dairy_LiveweightCowsAndHeifers_Data(), Table_SourceData_Dairy_WjCowsHeifers[[#Headers],[Breed]], 0)</f>
        <v>185</v>
      </c>
      <c r="M24" s="8"/>
    </row>
    <row r="25" spans="1:13" ht="20.100000000000001" customHeight="1" x14ac:dyDescent="0.25">
      <c r="A25" s="16" t="str">
        <f>HYPERLINK("#'Calcs - Manure sent off-site'!A1", "Calcs - Manure sent off-site")</f>
        <v>Calcs - Manure sent off-site</v>
      </c>
      <c r="D25" s="10" t="str" cm="1">
        <f t="array" ref="D25">Common_InputFunctions.Utility_DisplayArrayInTable(SourceData_Dairy.SourceData_Dairy_LiveweightCowsAndHeifers_Data(), Table_SourceData_Dairy_WjCowsHeifers[[#Headers],[Breed]], 0)</f>
        <v>Friesian crossbred</v>
      </c>
      <c r="E25" s="10" cm="1">
        <f t="array" ref="E25">Common_InputFunctions.Utility_DisplayArrayInTable(SourceData_Dairy.SourceData_Dairy_LiveweightCowsAndHeifers_Data(), Table_SourceData_Dairy_WjCowsHeifers[[#Headers],[Breed]], 0)</f>
        <v>500</v>
      </c>
      <c r="F25" s="10" cm="1">
        <f t="array" ref="F25">Common_InputFunctions.Utility_DisplayArrayInTable(SourceData_Dairy.SourceData_Dairy_LiveweightCowsAndHeifers_Data(), Table_SourceData_Dairy_WjCowsHeifers[[#Headers],[Breed]], 0)</f>
        <v>350</v>
      </c>
      <c r="G25" s="10" cm="1">
        <f t="array" ref="G25">Common_InputFunctions.Utility_DisplayArrayInTable(SourceData_Dairy.SourceData_Dairy_LiveweightCowsAndHeifers_Data(), Table_SourceData_Dairy_WjCowsHeifers[[#Headers],[Breed]], 0)</f>
        <v>145</v>
      </c>
      <c r="M25" s="8"/>
    </row>
    <row r="26" spans="1:13" ht="20.100000000000001" customHeight="1" x14ac:dyDescent="0.25">
      <c r="A26" s="16" t="str">
        <f>HYPERLINK("#'8.1.1.1-2 Transport fuel'!A1", "8.1.1.1-2 Transport fuel")</f>
        <v>8.1.1.1-2 Transport fuel</v>
      </c>
      <c r="D26" s="10" t="str" cm="1">
        <f t="array" ref="D26">Common_InputFunctions.Utility_DisplayArrayInTable(SourceData_Dairy.SourceData_Dairy_LiveweightCowsAndHeifers_Data(), Table_SourceData_Dairy_WjCowsHeifers[[#Headers],[Breed]], 0)</f>
        <v>Jersey</v>
      </c>
      <c r="E26" s="10" cm="1">
        <f t="array" ref="E26">Common_InputFunctions.Utility_DisplayArrayInTable(SourceData_Dairy.SourceData_Dairy_LiveweightCowsAndHeifers_Data(), Table_SourceData_Dairy_WjCowsHeifers[[#Headers],[Breed]], 0)</f>
        <v>400</v>
      </c>
      <c r="F26" s="10" cm="1">
        <f t="array" ref="F26">Common_InputFunctions.Utility_DisplayArrayInTable(SourceData_Dairy.SourceData_Dairy_LiveweightCowsAndHeifers_Data(), Table_SourceData_Dairy_WjCowsHeifers[[#Headers],[Breed]], 0)</f>
        <v>275</v>
      </c>
      <c r="G26" s="10" cm="1">
        <f t="array" ref="G26">Common_InputFunctions.Utility_DisplayArrayInTable(SourceData_Dairy.SourceData_Dairy_LiveweightCowsAndHeifers_Data(), Table_SourceData_Dairy_WjCowsHeifers[[#Headers],[Breed]], 0)</f>
        <v>115</v>
      </c>
      <c r="M26" s="8"/>
    </row>
    <row r="27" spans="1:13" ht="20.100000000000001" customHeight="1" x14ac:dyDescent="0.25">
      <c r="A27" s="16" t="str">
        <f>HYPERLINK("#'8.2.1.1-2 Stationary fuel'!A1", "8.2.1.1-2 Stationary fuel")</f>
        <v>8.2.1.1-2 Stationary fuel</v>
      </c>
      <c r="D27" s="10" t="str" cm="1">
        <f t="array" ref="D27">Common_InputFunctions.Utility_DisplayArrayInTable(SourceData_Dairy.SourceData_Dairy_LiveweightCowsAndHeifers_Data(), Table_SourceData_Dairy_WjCowsHeifers[[#Headers],[Breed]], 0)</f>
        <v>Jersey crossbred</v>
      </c>
      <c r="E27" s="10" cm="1">
        <f t="array" ref="E27">Common_InputFunctions.Utility_DisplayArrayInTable(SourceData_Dairy.SourceData_Dairy_LiveweightCowsAndHeifers_Data(), Table_SourceData_Dairy_WjCowsHeifers[[#Headers],[Breed]], 0)</f>
        <v>450</v>
      </c>
      <c r="F27" s="10" cm="1">
        <f t="array" ref="F27">Common_InputFunctions.Utility_DisplayArrayInTable(SourceData_Dairy.SourceData_Dairy_LiveweightCowsAndHeifers_Data(), Table_SourceData_Dairy_WjCowsHeifers[[#Headers],[Breed]], 0)</f>
        <v>315</v>
      </c>
      <c r="G27" s="10" cm="1">
        <f t="array" ref="G27">Common_InputFunctions.Utility_DisplayArrayInTable(SourceData_Dairy.SourceData_Dairy_LiveweightCowsAndHeifers_Data(), Table_SourceData_Dairy_WjCowsHeifers[[#Headers],[Breed]], 0)</f>
        <v>130</v>
      </c>
      <c r="M27" s="8"/>
    </row>
    <row r="28" spans="1:13" ht="20.100000000000001" customHeight="1" x14ac:dyDescent="0.25">
      <c r="A28"/>
      <c r="D28" s="10" t="str" cm="1">
        <f t="array" ref="D28">Common_InputFunctions.Utility_DisplayArrayInTable(SourceData_Dairy.SourceData_Dairy_LiveweightCowsAndHeifers_Data(), Table_SourceData_Dairy_WjCowsHeifers[[#Headers],[Breed]], 0)</f>
        <v>Ayrshire</v>
      </c>
      <c r="E28" s="10" cm="1">
        <f t="array" ref="E28">Common_InputFunctions.Utility_DisplayArrayInTable(SourceData_Dairy.SourceData_Dairy_LiveweightCowsAndHeifers_Data(), Table_SourceData_Dairy_WjCowsHeifers[[#Headers],[Breed]], 0)</f>
        <v>540</v>
      </c>
      <c r="F28" s="10" cm="1">
        <f t="array" ref="F28">Common_InputFunctions.Utility_DisplayArrayInTable(SourceData_Dairy.SourceData_Dairy_LiveweightCowsAndHeifers_Data(), Table_SourceData_Dairy_WjCowsHeifers[[#Headers],[Breed]], 0)</f>
        <v>375</v>
      </c>
      <c r="G28" s="10" cm="1">
        <f t="array" ref="G28">Common_InputFunctions.Utility_DisplayArrayInTable(SourceData_Dairy.SourceData_Dairy_LiveweightCowsAndHeifers_Data(), Table_SourceData_Dairy_WjCowsHeifers[[#Headers],[Breed]], 0)</f>
        <v>150</v>
      </c>
      <c r="M28" s="8"/>
    </row>
    <row r="29" spans="1:13" ht="20.100000000000001" customHeight="1" x14ac:dyDescent="0.25">
      <c r="A29"/>
      <c r="D29" s="10" t="str" cm="1">
        <f t="array" ref="D29">Common_InputFunctions.Utility_DisplayArrayInTable(SourceData_Dairy.SourceData_Dairy_LiveweightCowsAndHeifers_Data(), Table_SourceData_Dairy_WjCowsHeifers[[#Headers],[Breed]], 0)</f>
        <v>Guernsey</v>
      </c>
      <c r="E29" s="10" cm="1">
        <f t="array" ref="E29">Common_InputFunctions.Utility_DisplayArrayInTable(SourceData_Dairy.SourceData_Dairy_LiveweightCowsAndHeifers_Data(), Table_SourceData_Dairy_WjCowsHeifers[[#Headers],[Breed]], 0)</f>
        <v>480</v>
      </c>
      <c r="F29" s="10" cm="1">
        <f t="array" ref="F29">Common_InputFunctions.Utility_DisplayArrayInTable(SourceData_Dairy.SourceData_Dairy_LiveweightCowsAndHeifers_Data(), Table_SourceData_Dairy_WjCowsHeifers[[#Headers],[Breed]], 0)</f>
        <v>335</v>
      </c>
      <c r="G29" s="10" cm="1">
        <f t="array" ref="G29">Common_InputFunctions.Utility_DisplayArrayInTable(SourceData_Dairy.SourceData_Dairy_LiveweightCowsAndHeifers_Data(), Table_SourceData_Dairy_WjCowsHeifers[[#Headers],[Breed]], 0)</f>
        <v>140</v>
      </c>
      <c r="M29" s="8"/>
    </row>
    <row r="30" spans="1:13" ht="20.100000000000001" customHeight="1" x14ac:dyDescent="0.25">
      <c r="A30" s="221" t="s">
        <v>78</v>
      </c>
      <c r="D30" s="10" t="str" cm="1">
        <f t="array" ref="D30">Common_InputFunctions.Utility_DisplayArrayInTable(SourceData_Dairy.SourceData_Dairy_LiveweightCowsAndHeifers_Data(), Table_SourceData_Dairy_WjCowsHeifers[[#Headers],[Breed]], 0)</f>
        <v>Brown Swiss</v>
      </c>
      <c r="E30" s="10" cm="1">
        <f t="array" ref="E30">Common_InputFunctions.Utility_DisplayArrayInTable(SourceData_Dairy.SourceData_Dairy_LiveweightCowsAndHeifers_Data(), Table_SourceData_Dairy_WjCowsHeifers[[#Headers],[Breed]], 0)</f>
        <v>600</v>
      </c>
      <c r="F30" s="10" cm="1">
        <f t="array" ref="F30">Common_InputFunctions.Utility_DisplayArrayInTable(SourceData_Dairy.SourceData_Dairy_LiveweightCowsAndHeifers_Data(), Table_SourceData_Dairy_WjCowsHeifers[[#Headers],[Breed]], 0)</f>
        <v>415</v>
      </c>
      <c r="G30" s="10" cm="1">
        <f t="array" ref="G30">Common_InputFunctions.Utility_DisplayArrayInTable(SourceData_Dairy.SourceData_Dairy_LiveweightCowsAndHeifers_Data(), Table_SourceData_Dairy_WjCowsHeifers[[#Headers],[Breed]], 0)</f>
        <v>170</v>
      </c>
      <c r="M30" s="8"/>
    </row>
    <row r="31" spans="1:13" ht="20.100000000000001" customHeight="1" x14ac:dyDescent="0.25">
      <c r="A31" s="16" t="str">
        <f>HYPERLINK("#'Constants - Scope 3'!A1", "Constants - Scope 3")</f>
        <v>Constants - Scope 3</v>
      </c>
      <c r="D31" s="10" t="str" cm="1">
        <f t="array" ref="D31">Common_InputFunctions.Utility_DisplayArrayInTable(SourceData_Dairy.SourceData_Dairy_LiveweightCowsAndHeifers_Data(), Table_SourceData_Dairy_WjCowsHeifers[[#Headers],[Breed]], 0)</f>
        <v>Illawarra/Aussie Red</v>
      </c>
      <c r="E31" s="10" cm="1">
        <f t="array" ref="E31">Common_InputFunctions.Utility_DisplayArrayInTable(SourceData_Dairy.SourceData_Dairy_LiveweightCowsAndHeifers_Data(), Table_SourceData_Dairy_WjCowsHeifers[[#Headers],[Breed]], 0)</f>
        <v>550</v>
      </c>
      <c r="F31" s="10" cm="1">
        <f t="array" ref="F31">Common_InputFunctions.Utility_DisplayArrayInTable(SourceData_Dairy.SourceData_Dairy_LiveweightCowsAndHeifers_Data(), Table_SourceData_Dairy_WjCowsHeifers[[#Headers],[Breed]], 0)</f>
        <v>375</v>
      </c>
      <c r="G31" s="10" cm="1">
        <f t="array" ref="G31">Common_InputFunctions.Utility_DisplayArrayInTable(SourceData_Dairy.SourceData_Dairy_LiveweightCowsAndHeifers_Data(), Table_SourceData_Dairy_WjCowsHeifers[[#Headers],[Breed]], 0)</f>
        <v>150</v>
      </c>
      <c r="M31" s="8"/>
    </row>
    <row r="32" spans="1:13" ht="20.100000000000001" customHeight="1" x14ac:dyDescent="0.25">
      <c r="A32" s="16" t="str">
        <f>HYPERLINK("#'Constants - Solid Waste'!A1", "Constants - Solid Waste")</f>
        <v>Constants - Solid Waste</v>
      </c>
      <c r="M32" s="8"/>
    </row>
    <row r="33" spans="1:13" ht="20.100000000000001" customHeight="1" x14ac:dyDescent="0.25">
      <c r="A33" s="16" t="str">
        <f>HYPERLINK("#'Constants - Fuel'!A1", "Constants - Fuel")</f>
        <v>Constants - Fuel</v>
      </c>
      <c r="M33" s="8"/>
    </row>
    <row r="34" spans="1:13" ht="20.100000000000001" customHeight="1" x14ac:dyDescent="0.25">
      <c r="A34" s="16" t="str">
        <f>HYPERLINK("#'Constants - Poultry'!A1", "Constants - Poultry")</f>
        <v>Constants - Poultry</v>
      </c>
      <c r="D34" s="9" t="str" cm="1">
        <f t="array" ref="D34">SourceData_Dairy.SourceData_Dairy_LiveweightBulls_Title()</f>
        <v>Table A.1.3.2: Dairy cattle - Liveweight (kg) - Bulls (Wj)</v>
      </c>
      <c r="M34" s="8"/>
    </row>
    <row r="35" spans="1:13" ht="20.100000000000001" customHeight="1" x14ac:dyDescent="0.25">
      <c r="A35" s="16" t="str">
        <f>HYPERLINK("#'Constants - Swine'!A1", "Constants - Swine")</f>
        <v>Constants - Swine</v>
      </c>
      <c r="D35" s="11" t="str" cm="1">
        <f t="array" ref="D35">SourceData_Dairy.SourceData_Dairy_LiveweightBulls_Source()</f>
        <v>VEERG 2026: Table A.1.3.2</v>
      </c>
      <c r="M35" s="8"/>
    </row>
    <row r="36" spans="1:13" ht="20.100000000000001" customHeight="1" x14ac:dyDescent="0.25">
      <c r="A36" s="23" t="str">
        <f>HYPERLINK("#'Constants - Dairy'!A1", "Constants - Dairy")</f>
        <v>Constants - Dairy</v>
      </c>
      <c r="D36" s="8" t="str" cm="1">
        <f t="array" ref="D36">SourceData_Dairy.SourceData_Dairy_LiveweightBulls_Variable()</f>
        <v>Wj</v>
      </c>
      <c r="M36" s="8"/>
    </row>
    <row r="37" spans="1:13" ht="20.100000000000001" customHeight="1" x14ac:dyDescent="0.25">
      <c r="A37" s="16" t="str">
        <f>HYPERLINK("#'Constants - Pasture Beef'!A1", "Constants - Pasture Beef")</f>
        <v>Constants - Pasture Beef</v>
      </c>
      <c r="D37" s="13" t="str" cm="1">
        <f t="array" ref="D37">SourceData_Dairy.SourceData_Dairy_LiveweightBulls_Unit()</f>
        <v>kg</v>
      </c>
      <c r="M37" s="8"/>
    </row>
    <row r="38" spans="1:13" ht="20.100000000000001" customHeight="1" x14ac:dyDescent="0.25">
      <c r="A38" s="16" t="str">
        <f>HYPERLINK("#'Constants - Common Livestock'!A1", "Constants - Common Livestock")</f>
        <v>Constants - Common Livestock</v>
      </c>
      <c r="D38" s="10" t="s">
        <v>496</v>
      </c>
      <c r="E38" s="10" t="s">
        <v>519</v>
      </c>
      <c r="F38" s="10" t="s">
        <v>520</v>
      </c>
      <c r="M38" s="8"/>
    </row>
    <row r="39" spans="1:13" ht="20.100000000000001" customHeight="1" x14ac:dyDescent="0.25">
      <c r="A39" s="16" t="str">
        <f>HYPERLINK("#'Constants - Fertiliser'!A1", "Constants - Fertiliser")</f>
        <v>Constants - Fertiliser</v>
      </c>
      <c r="D39" s="10" t="str" cm="1">
        <f t="array" ref="D39">Common_InputFunctions.Utility_DisplayArrayInTable(SourceData_Dairy.SourceData_Dairy_LiveweightBulls_Data(), Table_SourceData_Dairy_WjBulls[[#Headers],[Breed]], 0)</f>
        <v>All breeds</v>
      </c>
      <c r="E39" s="10" cm="1">
        <f t="array" ref="E39">Common_InputFunctions.Utility_DisplayArrayInTable(SourceData_Dairy.SourceData_Dairy_LiveweightBulls_Data(), Table_SourceData_Dairy_WjBulls[[#Headers],[Breed]], 0)</f>
        <v>600</v>
      </c>
      <c r="F39" s="10" cm="1">
        <f t="array" ref="F39">Common_InputFunctions.Utility_DisplayArrayInTable(SourceData_Dairy.SourceData_Dairy_LiveweightBulls_Data(), Table_SourceData_Dairy_WjBulls[[#Headers],[Breed]], 0)</f>
        <v>225</v>
      </c>
      <c r="M39" s="8"/>
    </row>
    <row r="40" spans="1:13" ht="20.100000000000001" customHeight="1" x14ac:dyDescent="0.25">
      <c r="A40" s="16" t="str">
        <f>HYPERLINK("#'Constants - Electricity'!A1", "Constants - Electricity")</f>
        <v>Constants - Electricity</v>
      </c>
      <c r="M40" s="8"/>
    </row>
    <row r="41" spans="1:13" ht="20.100000000000001" customHeight="1" x14ac:dyDescent="0.25">
      <c r="A41" s="16" t="str">
        <f>HYPERLINK("#'Constants - Common'!A1", "Constants - Common")</f>
        <v>Constants - Common</v>
      </c>
      <c r="M41" s="8"/>
    </row>
    <row r="42" spans="1:13" ht="20.100000000000001" customHeight="1" x14ac:dyDescent="0.25">
      <c r="A42"/>
      <c r="D42" s="9" t="str" cm="1">
        <f t="array" ref="D42">SourceData_Dairy.SourceData_Dairy_LiveweightGain_Title()</f>
        <v>Table A.1.3.3: Dairy cattle - Liveweight gain (kg) (LWGj)</v>
      </c>
      <c r="M42" s="8"/>
    </row>
    <row r="43" spans="1:13" ht="20.100000000000001" customHeight="1" x14ac:dyDescent="0.25">
      <c r="A43"/>
      <c r="D43" s="11" t="str" cm="1">
        <f t="array" ref="D43">SourceData_Dairy.SourceData_Dairy_LiveweightGain_Source()</f>
        <v>VEERG 2026: Table A.1.3.3</v>
      </c>
      <c r="M43" s="8"/>
    </row>
    <row r="44" spans="1:13" ht="20.100000000000001" customHeight="1" x14ac:dyDescent="0.25">
      <c r="A44"/>
      <c r="D44" s="8" t="str" cm="1">
        <f t="array" ref="D44">SourceData_Dairy.SourceData_Dairy_LiveweightGain_Variable()</f>
        <v>LWGj</v>
      </c>
      <c r="M44" s="8"/>
    </row>
    <row r="45" spans="1:13" ht="20.100000000000001" customHeight="1" x14ac:dyDescent="0.25">
      <c r="A45"/>
      <c r="D45" s="13" t="str" cm="1">
        <f t="array" ref="D45">SourceData_Dairy.SourceData_Dairy_LiveweightGain_Unit()</f>
        <v>kg</v>
      </c>
      <c r="M45" s="8"/>
    </row>
    <row r="46" spans="1:13" ht="20.100000000000001" customHeight="1" x14ac:dyDescent="0.25">
      <c r="A46"/>
      <c r="D46" s="10" t="s">
        <v>509</v>
      </c>
      <c r="E46" s="10" t="s">
        <v>518</v>
      </c>
      <c r="F46" s="10" t="s">
        <v>510</v>
      </c>
      <c r="G46" s="10" t="s">
        <v>519</v>
      </c>
      <c r="H46" s="10" t="s">
        <v>520</v>
      </c>
      <c r="M46" s="8"/>
    </row>
    <row r="47" spans="1:13" ht="20.100000000000001" customHeight="1" x14ac:dyDescent="0.25">
      <c r="A47"/>
      <c r="D47" s="10" cm="1">
        <f t="array" ref="D47">Common_InputFunctions.Utility_DisplayArrayInTable(SourceData_Dairy.SourceData_Dairy_LiveweightGain_Data(), Table_SourceData_Dairy_LWGj[[#Headers],[Milking cows]], 0)</f>
        <v>1.6E-2</v>
      </c>
      <c r="E47" s="10" cm="1">
        <f t="array" ref="E47">Common_InputFunctions.Utility_DisplayArrayInTable(SourceData_Dairy.SourceData_Dairy_LiveweightGain_Data(), Table_SourceData_Dairy_LWGj[[#Headers],[Milking cows]], 0)</f>
        <v>0.6</v>
      </c>
      <c r="F47" s="10" cm="1">
        <f t="array" ref="F47">Common_InputFunctions.Utility_DisplayArrayInTable(SourceData_Dairy.SourceData_Dairy_LiveweightGain_Data(), Table_SourceData_Dairy_LWGj[[#Headers],[Milking cows]], 0)</f>
        <v>0.56999999999999995</v>
      </c>
      <c r="G47" s="10" cm="1">
        <f t="array" ref="G47">Common_InputFunctions.Utility_DisplayArrayInTable(SourceData_Dairy.SourceData_Dairy_LiveweightGain_Data(), Table_SourceData_Dairy_LWGj[[#Headers],[Milking cows]], 0)</f>
        <v>0.1</v>
      </c>
      <c r="H47" s="10" cm="1">
        <f t="array" ref="H47">Common_InputFunctions.Utility_DisplayArrayInTable(SourceData_Dairy.SourceData_Dairy_LiveweightGain_Data(), Table_SourceData_Dairy_LWGj[[#Headers],[Milking cows]], 0)</f>
        <v>0.8</v>
      </c>
      <c r="M47" s="8"/>
    </row>
    <row r="48" spans="1:13" ht="20.100000000000001" customHeight="1" x14ac:dyDescent="0.25">
      <c r="A48"/>
      <c r="M48" s="8"/>
    </row>
    <row r="49" spans="1:13" ht="20.100000000000001" customHeight="1" x14ac:dyDescent="0.25">
      <c r="A49"/>
      <c r="M49" s="8"/>
    </row>
    <row r="50" spans="1:13" ht="20.100000000000001" customHeight="1" x14ac:dyDescent="0.25">
      <c r="A50"/>
      <c r="D50" s="9" t="str" cm="1">
        <f t="array" ref="D50">SourceData_Dairy.SourceData_Dairy_ReferenceWeights_Title()</f>
        <v>Table A.1.3.4: Dairy cattle - Reference weights (kg) (WRj)</v>
      </c>
      <c r="M50" s="8"/>
    </row>
    <row r="51" spans="1:13" ht="20.100000000000001" customHeight="1" x14ac:dyDescent="0.25">
      <c r="A51"/>
      <c r="D51" s="11" t="str" cm="1">
        <f t="array" ref="D51">SourceData_Dairy.SourceData_Dairy_ReferenceWeights_Source()</f>
        <v>VEERG 2026: Table A.1.3.4</v>
      </c>
      <c r="M51" s="8"/>
    </row>
    <row r="52" spans="1:13" ht="20.100000000000001" customHeight="1" x14ac:dyDescent="0.25">
      <c r="A52"/>
      <c r="D52" s="8" t="str" cm="1">
        <f t="array" ref="D52">SourceData_Dairy.SourceData_Dairy_ReferenceWeights_Variable()</f>
        <v>WRj</v>
      </c>
      <c r="M52" s="8"/>
    </row>
    <row r="53" spans="1:13" ht="20.100000000000001" customHeight="1" x14ac:dyDescent="0.25">
      <c r="A53"/>
      <c r="D53" s="13" t="str" cm="1">
        <f t="array" ref="D53">SourceData_Dairy.SourceData_Dairy_ReferenceWeights_Unit()</f>
        <v>kg</v>
      </c>
      <c r="M53" s="8"/>
    </row>
    <row r="54" spans="1:13" ht="20.100000000000001" customHeight="1" x14ac:dyDescent="0.25">
      <c r="A54"/>
      <c r="D54" s="159" t="s">
        <v>509</v>
      </c>
      <c r="E54" s="159" t="s">
        <v>518</v>
      </c>
      <c r="F54" s="159" t="s">
        <v>510</v>
      </c>
      <c r="G54" s="159" t="s">
        <v>519</v>
      </c>
      <c r="H54" s="159" t="s">
        <v>520</v>
      </c>
      <c r="M54" s="8"/>
    </row>
    <row r="55" spans="1:13" ht="20.100000000000001" customHeight="1" x14ac:dyDescent="0.25">
      <c r="A55"/>
      <c r="D55" s="8" cm="1">
        <f t="array" ref="D55">Common_InputFunctions.Utility_DisplayArrayInTable(SourceData_Dairy.SourceData_Dairy_ReferenceWeights_Data(), Table_SourceData_Dairy_WRj[[#Headers],[Milking cows]], 0)</f>
        <v>590</v>
      </c>
      <c r="E55" s="8" cm="1">
        <f t="array" ref="E55">Common_InputFunctions.Utility_DisplayArrayInTable(SourceData_Dairy.SourceData_Dairy_ReferenceWeights_Data(), Table_SourceData_Dairy_WRj[[#Headers],[Milking cows]], 0)</f>
        <v>590</v>
      </c>
      <c r="F55" s="8" cm="1">
        <f t="array" ref="F55">Common_InputFunctions.Utility_DisplayArrayInTable(SourceData_Dairy.SourceData_Dairy_ReferenceWeights_Data(), Table_SourceData_Dairy_WRj[[#Headers],[Milking cows]], 0)</f>
        <v>590</v>
      </c>
      <c r="G55" s="8" cm="1">
        <f t="array" ref="G55">Common_InputFunctions.Utility_DisplayArrayInTable(SourceData_Dairy.SourceData_Dairy_ReferenceWeights_Data(), Table_SourceData_Dairy_WRj[[#Headers],[Milking cows]], 0)</f>
        <v>770</v>
      </c>
      <c r="H55" s="8" cm="1">
        <f t="array" ref="H55">Common_InputFunctions.Utility_DisplayArrayInTable(SourceData_Dairy.SourceData_Dairy_ReferenceWeights_Data(), Table_SourceData_Dairy_WRj[[#Headers],[Milking cows]], 0)</f>
        <v>770</v>
      </c>
      <c r="M55" s="8"/>
    </row>
    <row r="56" spans="1:13" ht="20.100000000000001" customHeight="1" x14ac:dyDescent="0.25">
      <c r="A56"/>
      <c r="M56" s="8"/>
    </row>
    <row r="57" spans="1:13" ht="20.100000000000001" customHeight="1" x14ac:dyDescent="0.25">
      <c r="A57"/>
      <c r="M57" s="8"/>
    </row>
    <row r="58" spans="1:13" ht="20.100000000000001" customHeight="1" x14ac:dyDescent="0.25">
      <c r="A58"/>
      <c r="D58" s="9" t="str" cm="1">
        <f t="array" ref="D58">SourceData_Dairy.SourceData_Dairy_PreWeanedCalves_Title()</f>
        <v>Table A.1.3.5: Dairy cattle - Data for pre - weaned calves</v>
      </c>
      <c r="M58" s="8"/>
    </row>
    <row r="59" spans="1:13" ht="20.100000000000001" customHeight="1" x14ac:dyDescent="0.25">
      <c r="A59"/>
      <c r="D59" s="11" t="str" cm="1">
        <f t="array" ref="D59">SourceData_Dairy.SourceData_Dairy_PreWeanedCalves_Source()</f>
        <v>VEERG 2026: Table A.1.3.5</v>
      </c>
      <c r="M59" s="8"/>
    </row>
    <row r="60" spans="1:13" ht="20.100000000000001" customHeight="1" x14ac:dyDescent="0.25">
      <c r="A60"/>
      <c r="D60" s="8" t="str" cm="1">
        <f t="array" ref="D60">SourceData_Dairy.SourceData_Dairy_PreWeanedCalves_Variable()</f>
        <v>VSj=3,5; NPWj=3,5</v>
      </c>
      <c r="M60" s="8"/>
    </row>
    <row r="61" spans="1:13" ht="20.100000000000001" customHeight="1" x14ac:dyDescent="0.25">
      <c r="A61"/>
      <c r="D61" s="13" t="str" cm="1">
        <f t="array" ref="D61">SourceData_Dairy.SourceData_Dairy_PreWeanedCalves_Unit()</f>
        <v>kg/day</v>
      </c>
      <c r="M61" s="8"/>
    </row>
    <row r="62" spans="1:13" ht="20.100000000000001" customHeight="1" x14ac:dyDescent="0.25">
      <c r="A62"/>
      <c r="D62" s="10" t="s">
        <v>521</v>
      </c>
      <c r="E62" s="10" t="s">
        <v>522</v>
      </c>
      <c r="F62" s="10" t="s">
        <v>523</v>
      </c>
      <c r="G62" s="10" t="s">
        <v>524</v>
      </c>
      <c r="M62" s="8"/>
    </row>
    <row r="63" spans="1:13" ht="20.100000000000001" customHeight="1" x14ac:dyDescent="0.25">
      <c r="A63"/>
      <c r="D63" s="10" t="str" cm="1">
        <f t="array" ref="D63">Common_InputFunctions.Utility_DisplayArrayInTable(SourceData_Dairy.SourceData_Dairy_PreWeanedCalves_Data(), Table_SourceData_Dairy_DataPreWeaned[[#Headers],[Animal class j]], -1)</f>
        <v>Heifers&lt;1</v>
      </c>
      <c r="E63" s="10" cm="1">
        <f t="array" ref="E63">Common_InputFunctions.Utility_DisplayArrayInTable(SourceData_Dairy.SourceData_Dairy_PreWeanedCalves_Data(), Table_SourceData_Dairy_DataPreWeaned[[#Headers],[Animal class j]], -1)</f>
        <v>1.7600000000000001E-2</v>
      </c>
      <c r="F63" s="10" cm="1">
        <f t="array" ref="F63">Common_InputFunctions.Utility_DisplayArrayInTable(SourceData_Dairy.SourceData_Dairy_PreWeanedCalves_Data(), Table_SourceData_Dairy_DataPreWeaned[[#Headers],[Animal class j]], -1)</f>
        <v>0.26850000000000002</v>
      </c>
      <c r="G63" s="10" cm="1">
        <f t="array" ref="G63">Common_InputFunctions.Utility_DisplayArrayInTable(SourceData_Dairy.SourceData_Dairy_PreWeanedCalves_Data(), Table_SourceData_Dairy_DataPreWeaned[[#Headers],[Animal class j]], -1)</f>
        <v>1.37E-2</v>
      </c>
      <c r="M63" s="8"/>
    </row>
    <row r="64" spans="1:13" ht="20.100000000000001" customHeight="1" x14ac:dyDescent="0.25">
      <c r="A64"/>
      <c r="D64" s="10" t="str" cm="1">
        <f t="array" ref="D64">Common_InputFunctions.Utility_DisplayArrayInTable(SourceData_Dairy.SourceData_Dairy_PreWeanedCalves_Data(), Table_SourceData_Dairy_DataPreWeaned[[#Headers],[Animal class j]], -1)</f>
        <v>Bulls&lt;1</v>
      </c>
      <c r="E64" s="10" cm="1">
        <f t="array" ref="E64">Common_InputFunctions.Utility_DisplayArrayInTable(SourceData_Dairy.SourceData_Dairy_PreWeanedCalves_Data(), Table_SourceData_Dairy_DataPreWeaned[[#Headers],[Animal class j]], -1)</f>
        <v>2.0400000000000001E-2</v>
      </c>
      <c r="F64" s="10" cm="1">
        <f t="array" ref="F64">Common_InputFunctions.Utility_DisplayArrayInTable(SourceData_Dairy.SourceData_Dairy_PreWeanedCalves_Data(), Table_SourceData_Dairy_DataPreWeaned[[#Headers],[Animal class j]], -1)</f>
        <v>0.30030000000000001</v>
      </c>
      <c r="G64" s="10" cm="1">
        <f t="array" ref="G64">Common_InputFunctions.Utility_DisplayArrayInTable(SourceData_Dairy.SourceData_Dairy_PreWeanedCalves_Data(), Table_SourceData_Dairy_DataPreWeaned[[#Headers],[Animal class j]], -1)</f>
        <v>9.1999999999999998E-3</v>
      </c>
      <c r="M64" s="8"/>
    </row>
    <row r="65" spans="1:22" ht="20.100000000000001" customHeight="1" x14ac:dyDescent="0.25">
      <c r="A65"/>
      <c r="M65" s="8"/>
    </row>
    <row r="66" spans="1:22" ht="20.100000000000001" customHeight="1" x14ac:dyDescent="0.25">
      <c r="A66"/>
      <c r="M66" s="8"/>
    </row>
    <row r="67" spans="1:22" ht="20.100000000000001" customHeight="1" x14ac:dyDescent="0.25">
      <c r="A67"/>
      <c r="D67" s="9" t="str" cm="1">
        <f t="array" ref="D67">SourceData_Dairy.SourceData_Dairy_MCF_Title()</f>
        <v>Table A.1.3.6: Dairy cattle - Dairy cattle - MCFs (fraction) (MCFjm)</v>
      </c>
      <c r="M67" s="8"/>
    </row>
    <row r="68" spans="1:22" ht="20.100000000000001" customHeight="1" x14ac:dyDescent="0.25">
      <c r="A68"/>
      <c r="D68" s="11" t="str" cm="1">
        <f t="array" ref="D68">SourceData_Dairy.SourceData_Dairy_MCF_Source()</f>
        <v>VEERG 2026: Table A.1.3.6</v>
      </c>
      <c r="M68" s="8"/>
    </row>
    <row r="69" spans="1:22" ht="20.100000000000001" customHeight="1" x14ac:dyDescent="0.25">
      <c r="A69"/>
      <c r="D69" s="8" t="str" cm="1">
        <f t="array" ref="D69">SourceData_Dairy.SourceData_Dairy_MCF_Variable()</f>
        <v>MCFjm</v>
      </c>
      <c r="M69" s="8"/>
    </row>
    <row r="70" spans="1:22" ht="20.100000000000001" customHeight="1" x14ac:dyDescent="0.25">
      <c r="A70"/>
      <c r="D70" s="13" t="str" cm="1">
        <f t="array" ref="D70">SourceData_Dairy.SourceData_Dairy_MCF_Unit()</f>
        <v>fraction</v>
      </c>
      <c r="M70" s="8"/>
    </row>
    <row r="71" spans="1:22" ht="20.100000000000001" customHeight="1" x14ac:dyDescent="0.25">
      <c r="A71"/>
      <c r="D71" s="12" t="str" cm="1">
        <f t="array" ref="D71">SourceData_Dairy.SourceData_Dairy_MCF_Variation()</f>
        <v>VARIATION OF SOURCE: Added 'NIR reference' column to aid lookup</v>
      </c>
      <c r="M71" s="8"/>
      <c r="V71" s="8"/>
    </row>
    <row r="72" spans="1:22" ht="20.100000000000001" customHeight="1" x14ac:dyDescent="0.25">
      <c r="A72"/>
      <c r="D72" s="10" t="s">
        <v>525</v>
      </c>
      <c r="E72" s="10" t="s">
        <v>308</v>
      </c>
      <c r="F72" s="10" t="s">
        <v>329</v>
      </c>
      <c r="G72" s="10" t="s">
        <v>427</v>
      </c>
      <c r="H72" s="10" t="s">
        <v>330</v>
      </c>
      <c r="I72" s="10" t="s">
        <v>385</v>
      </c>
      <c r="J72" s="10" t="s">
        <v>382</v>
      </c>
      <c r="K72" s="10" t="s">
        <v>335</v>
      </c>
      <c r="L72" s="10" t="s">
        <v>336</v>
      </c>
      <c r="M72" s="10" t="s">
        <v>526</v>
      </c>
      <c r="V72" s="8"/>
    </row>
    <row r="73" spans="1:22" ht="20.100000000000001" customHeight="1" x14ac:dyDescent="0.25">
      <c r="A73"/>
      <c r="D73" s="10" t="str" cm="1">
        <f t="array" ref="D73">Common_InputFunctions.Utility_DisplayArrayInTable(SourceData_Dairy.SourceData_Dairy_MCF_Data(), Table_SourceData_Dairy_MCFjm[[#Headers],[MMS m]], 0)</f>
        <v>Pasture</v>
      </c>
      <c r="E73" s="10" cm="1">
        <f t="array" ref="E73">Common_InputFunctions.Utility_DisplayArrayInTable(SourceData_Dairy.SourceData_Dairy_MCF_Data(), Table_SourceData_Dairy_MCFjm[[#Headers],[MMS m]], 0)</f>
        <v>0.01</v>
      </c>
      <c r="F73" s="10" cm="1">
        <f t="array" ref="F73">Common_InputFunctions.Utility_DisplayArrayInTable(SourceData_Dairy.SourceData_Dairy_MCF_Data(), Table_SourceData_Dairy_MCFjm[[#Headers],[MMS m]], 0)</f>
        <v>0.01</v>
      </c>
      <c r="G73" s="10" cm="1">
        <f t="array" ref="G73">Common_InputFunctions.Utility_DisplayArrayInTable(SourceData_Dairy.SourceData_Dairy_MCF_Data(), Table_SourceData_Dairy_MCFjm[[#Headers],[MMS m]], 0)</f>
        <v>0.02</v>
      </c>
      <c r="H73" s="10" cm="1">
        <f t="array" ref="H73">Common_InputFunctions.Utility_DisplayArrayInTable(SourceData_Dairy.SourceData_Dairy_MCF_Data(), Table_SourceData_Dairy_MCFjm[[#Headers],[MMS m]], 0)</f>
        <v>0.01</v>
      </c>
      <c r="I73" s="10" cm="1">
        <f t="array" ref="I73">Common_InputFunctions.Utility_DisplayArrayInTable(SourceData_Dairy.SourceData_Dairy_MCF_Data(), Table_SourceData_Dairy_MCFjm[[#Headers],[MMS m]], 0)</f>
        <v>0.01</v>
      </c>
      <c r="J73" s="10" cm="1">
        <f t="array" ref="J73">Common_InputFunctions.Utility_DisplayArrayInTable(SourceData_Dairy.SourceData_Dairy_MCF_Data(), Table_SourceData_Dairy_MCFjm[[#Headers],[MMS m]], 0)</f>
        <v>0.01</v>
      </c>
      <c r="K73" s="10" cm="1">
        <f t="array" ref="K73">Common_InputFunctions.Utility_DisplayArrayInTable(SourceData_Dairy.SourceData_Dairy_MCF_Data(), Table_SourceData_Dairy_MCFjm[[#Headers],[MMS m]], 0)</f>
        <v>0.01</v>
      </c>
      <c r="L73" s="10" cm="1">
        <f t="array" ref="L73">Common_InputFunctions.Utility_DisplayArrayInTable(SourceData_Dairy.SourceData_Dairy_MCF_Data(), Table_SourceData_Dairy_MCFjm[[#Headers],[MMS m]], 0)</f>
        <v>0.01</v>
      </c>
      <c r="M73" s="10" t="str" cm="1">
        <f t="array" ref="M73">Common_InputFunctions.Utility_DisplayArrayInTable(SourceData_Dairy.SourceData_Dairy_MCF_Data(), Table_SourceData_Dairy_MCFjm[[#Headers],[MMS m]], 0)</f>
        <v>Pasture range and paddock</v>
      </c>
      <c r="V73" s="8"/>
    </row>
    <row r="74" spans="1:22" ht="20.100000000000001" customHeight="1" x14ac:dyDescent="0.25">
      <c r="A74"/>
      <c r="D74" s="8" t="str" cm="1">
        <f t="array" ref="D74">Common_InputFunctions.Utility_DisplayArrayInTable(SourceData_Dairy.SourceData_Dairy_MCF_Data(), Table_SourceData_Dairy_MCFjm[[#Headers],[MMS m]], 0)</f>
        <v>Anaerobic lagoon</v>
      </c>
      <c r="E74" s="10" cm="1">
        <f t="array" ref="E74">Common_InputFunctions.Utility_DisplayArrayInTable(SourceData_Dairy.SourceData_Dairy_MCF_Data(), Table_SourceData_Dairy_MCFjm[[#Headers],[MMS m]], 0)</f>
        <v>0.72</v>
      </c>
      <c r="F74" s="10" cm="1">
        <f t="array" ref="F74">Common_InputFunctions.Utility_DisplayArrayInTable(SourceData_Dairy.SourceData_Dairy_MCF_Data(), Table_SourceData_Dairy_MCFjm[[#Headers],[MMS m]], 0)</f>
        <v>0.76</v>
      </c>
      <c r="G74" s="10" cm="1">
        <f t="array" ref="G74">Common_InputFunctions.Utility_DisplayArrayInTable(SourceData_Dairy.SourceData_Dairy_MCF_Data(), Table_SourceData_Dairy_MCFjm[[#Headers],[MMS m]], 0)</f>
        <v>0.8</v>
      </c>
      <c r="H74" s="10" cm="1">
        <f t="array" ref="H74">Common_InputFunctions.Utility_DisplayArrayInTable(SourceData_Dairy.SourceData_Dairy_MCF_Data(), Table_SourceData_Dairy_MCFjm[[#Headers],[MMS m]], 0)</f>
        <v>0.78</v>
      </c>
      <c r="I74" s="10" cm="1">
        <f t="array" ref="I74">Common_InputFunctions.Utility_DisplayArrayInTable(SourceData_Dairy.SourceData_Dairy_MCF_Data(), Table_SourceData_Dairy_MCFjm[[#Headers],[MMS m]], 0)</f>
        <v>0.74</v>
      </c>
      <c r="J74" s="10" cm="1">
        <f t="array" ref="J74">Common_InputFunctions.Utility_DisplayArrayInTable(SourceData_Dairy.SourceData_Dairy_MCF_Data(), Table_SourceData_Dairy_MCFjm[[#Headers],[MMS m]], 0)</f>
        <v>0.69</v>
      </c>
      <c r="K74" s="10" cm="1">
        <f t="array" ref="K74">Common_InputFunctions.Utility_DisplayArrayInTable(SourceData_Dairy.SourceData_Dairy_MCF_Data(), Table_SourceData_Dairy_MCFjm[[#Headers],[MMS m]], 0)</f>
        <v>0.73</v>
      </c>
      <c r="L74" s="10" cm="1">
        <f t="array" ref="L74">Common_InputFunctions.Utility_DisplayArrayInTable(SourceData_Dairy.SourceData_Dairy_MCF_Data(), Table_SourceData_Dairy_MCFjm[[#Headers],[MMS m]], 0)</f>
        <v>0.76</v>
      </c>
      <c r="M74" s="10" t="str" cm="1">
        <f t="array" ref="M74">Common_InputFunctions.Utility_DisplayArrayInTable(SourceData_Dairy.SourceData_Dairy_MCF_Data(), Table_SourceData_Dairy_MCFjm[[#Headers],[MMS m]], 0)</f>
        <v>Anaerobic lagoon</v>
      </c>
      <c r="V74" s="8"/>
    </row>
    <row r="75" spans="1:22" ht="20.100000000000001" customHeight="1" x14ac:dyDescent="0.25">
      <c r="A75"/>
      <c r="D75" s="8" t="str" cm="1">
        <f t="array" ref="D75">Common_InputFunctions.Utility_DisplayArrayInTable(SourceData_Dairy.SourceData_Dairy_MCF_Data(), Table_SourceData_Dairy_MCFjm[[#Headers],[MMS m]], 0)</f>
        <v>Daily spread - Sump and dispersal systems</v>
      </c>
      <c r="E75" s="10" cm="1">
        <f t="array" ref="E75">Common_InputFunctions.Utility_DisplayArrayInTable(SourceData_Dairy.SourceData_Dairy_MCF_Data(), Table_SourceData_Dairy_MCFjm[[#Headers],[MMS m]], 0)</f>
        <v>5.0000000000000001E-3</v>
      </c>
      <c r="F75" s="10" cm="1">
        <f t="array" ref="F75">Common_InputFunctions.Utility_DisplayArrayInTable(SourceData_Dairy.SourceData_Dairy_MCF_Data(), Table_SourceData_Dairy_MCFjm[[#Headers],[MMS m]], 0)</f>
        <v>5.0000000000000001E-3</v>
      </c>
      <c r="G75" s="10" cm="1">
        <f t="array" ref="G75">Common_InputFunctions.Utility_DisplayArrayInTable(SourceData_Dairy.SourceData_Dairy_MCF_Data(), Table_SourceData_Dairy_MCFjm[[#Headers],[MMS m]], 0)</f>
        <v>0.01</v>
      </c>
      <c r="H75" s="10" cm="1">
        <f t="array" ref="H75">Common_InputFunctions.Utility_DisplayArrayInTable(SourceData_Dairy.SourceData_Dairy_MCF_Data(), Table_SourceData_Dairy_MCFjm[[#Headers],[MMS m]], 0)</f>
        <v>5.0000000000000001E-3</v>
      </c>
      <c r="I75" s="10" cm="1">
        <f t="array" ref="I75">Common_InputFunctions.Utility_DisplayArrayInTable(SourceData_Dairy.SourceData_Dairy_MCF_Data(), Table_SourceData_Dairy_MCFjm[[#Headers],[MMS m]], 0)</f>
        <v>5.0000000000000001E-3</v>
      </c>
      <c r="J75" s="10" cm="1">
        <f t="array" ref="J75">Common_InputFunctions.Utility_DisplayArrayInTable(SourceData_Dairy.SourceData_Dairy_MCF_Data(), Table_SourceData_Dairy_MCFjm[[#Headers],[MMS m]], 0)</f>
        <v>1E-3</v>
      </c>
      <c r="K75" s="10" cm="1">
        <f t="array" ref="K75">Common_InputFunctions.Utility_DisplayArrayInTable(SourceData_Dairy.SourceData_Dairy_MCF_Data(), Table_SourceData_Dairy_MCFjm[[#Headers],[MMS m]], 0)</f>
        <v>5.0000000000000001E-3</v>
      </c>
      <c r="L75" s="10" cm="1">
        <f t="array" ref="L75">Common_InputFunctions.Utility_DisplayArrayInTable(SourceData_Dairy.SourceData_Dairy_MCF_Data(), Table_SourceData_Dairy_MCFjm[[#Headers],[MMS m]], 0)</f>
        <v>5.0000000000000001E-3</v>
      </c>
      <c r="M75" s="10" t="str" cm="1">
        <f t="array" ref="M75">Common_InputFunctions.Utility_DisplayArrayInTable(SourceData_Dairy.SourceData_Dairy_MCF_Data(), Table_SourceData_Dairy_MCFjm[[#Headers],[MMS m]], 0)</f>
        <v>Sump and dispersal system</v>
      </c>
      <c r="V75" s="8"/>
    </row>
    <row r="76" spans="1:22" ht="20.100000000000001" customHeight="1" x14ac:dyDescent="0.25">
      <c r="A76"/>
      <c r="D76" s="8" t="str" cm="1">
        <f t="array" ref="D76">Common_InputFunctions.Utility_DisplayArrayInTable(SourceData_Dairy.SourceData_Dairy_MCF_Data(), Table_SourceData_Dairy_MCFjm[[#Headers],[MMS m]], 0)</f>
        <v>Daily spread - Drains to paddocks (a)</v>
      </c>
      <c r="E76" s="10" cm="1">
        <f t="array" ref="E76">Common_InputFunctions.Utility_DisplayArrayInTable(SourceData_Dairy.SourceData_Dairy_MCF_Data(), Table_SourceData_Dairy_MCFjm[[#Headers],[MMS m]], 0)</f>
        <v>0.15</v>
      </c>
      <c r="F76" s="10" cm="1">
        <f t="array" ref="F76">Common_InputFunctions.Utility_DisplayArrayInTable(SourceData_Dairy.SourceData_Dairy_MCF_Data(), Table_SourceData_Dairy_MCFjm[[#Headers],[MMS m]], 0)</f>
        <v>0.18</v>
      </c>
      <c r="G76" s="10" cm="1">
        <f t="array" ref="G76">Common_InputFunctions.Utility_DisplayArrayInTable(SourceData_Dairy.SourceData_Dairy_MCF_Data(), Table_SourceData_Dairy_MCFjm[[#Headers],[MMS m]], 0)</f>
        <v>0.5</v>
      </c>
      <c r="H76" s="10" cm="1">
        <f t="array" ref="H76">Common_InputFunctions.Utility_DisplayArrayInTable(SourceData_Dairy.SourceData_Dairy_MCF_Data(), Table_SourceData_Dairy_MCFjm[[#Headers],[MMS m]], 0)</f>
        <v>0.24</v>
      </c>
      <c r="I76" s="10" cm="1">
        <f t="array" ref="I76">Common_InputFunctions.Utility_DisplayArrayInTable(SourceData_Dairy.SourceData_Dairy_MCF_Data(), Table_SourceData_Dairy_MCFjm[[#Headers],[MMS m]], 0)</f>
        <v>0.17</v>
      </c>
      <c r="J76" s="10" cm="1">
        <f t="array" ref="J76">Common_InputFunctions.Utility_DisplayArrayInTable(SourceData_Dairy.SourceData_Dairy_MCF_Data(), Table_SourceData_Dairy_MCFjm[[#Headers],[MMS m]], 0)</f>
        <v>0.13</v>
      </c>
      <c r="K76" s="10" cm="1">
        <f t="array" ref="K76">Common_InputFunctions.Utility_DisplayArrayInTable(SourceData_Dairy.SourceData_Dairy_MCF_Data(), Table_SourceData_Dairy_MCFjm[[#Headers],[MMS m]], 0)</f>
        <v>0.17</v>
      </c>
      <c r="L76" s="10" cm="1">
        <f t="array" ref="L76">Common_InputFunctions.Utility_DisplayArrayInTable(SourceData_Dairy.SourceData_Dairy_MCF_Data(), Table_SourceData_Dairy_MCFjm[[#Headers],[MMS m]], 0)</f>
        <v>0.18</v>
      </c>
      <c r="M76" s="10" t="str" cm="1">
        <f t="array" ref="M76">Common_InputFunctions.Utility_DisplayArrayInTable(SourceData_Dairy.SourceData_Dairy_MCF_Data(), Table_SourceData_Dairy_MCFjm[[#Headers],[MMS m]], 0)</f>
        <v>Drains to paddock</v>
      </c>
      <c r="V76" s="8"/>
    </row>
    <row r="77" spans="1:22" ht="20.100000000000001" customHeight="1" x14ac:dyDescent="0.25">
      <c r="A77"/>
      <c r="D77" s="8" t="str" cm="1">
        <f t="array" ref="D77">Common_InputFunctions.Utility_DisplayArrayInTable(SourceData_Dairy.SourceData_Dairy_MCF_Data(), Table_SourceData_Dairy_MCFjm[[#Headers],[MMS m]], 0)</f>
        <v>Solid Storage</v>
      </c>
      <c r="E77" s="10" cm="1">
        <f t="array" ref="E77">Common_InputFunctions.Utility_DisplayArrayInTable(SourceData_Dairy.SourceData_Dairy_MCF_Data(), Table_SourceData_Dairy_MCFjm[[#Headers],[MMS m]], 0)</f>
        <v>0.02</v>
      </c>
      <c r="F77" s="10" cm="1">
        <f t="array" ref="F77">Common_InputFunctions.Utility_DisplayArrayInTable(SourceData_Dairy.SourceData_Dairy_MCF_Data(), Table_SourceData_Dairy_MCFjm[[#Headers],[MMS m]], 0)</f>
        <v>0.02</v>
      </c>
      <c r="G77" s="10" cm="1">
        <f t="array" ref="G77">Common_InputFunctions.Utility_DisplayArrayInTable(SourceData_Dairy.SourceData_Dairy_MCF_Data(), Table_SourceData_Dairy_MCFjm[[#Headers],[MMS m]], 0)</f>
        <v>0.02</v>
      </c>
      <c r="H77" s="10" cm="1">
        <f t="array" ref="H77">Common_InputFunctions.Utility_DisplayArrayInTable(SourceData_Dairy.SourceData_Dairy_MCF_Data(), Table_SourceData_Dairy_MCFjm[[#Headers],[MMS m]], 0)</f>
        <v>0.02</v>
      </c>
      <c r="I77" s="10" cm="1">
        <f t="array" ref="I77">Common_InputFunctions.Utility_DisplayArrayInTable(SourceData_Dairy.SourceData_Dairy_MCF_Data(), Table_SourceData_Dairy_MCFjm[[#Headers],[MMS m]], 0)</f>
        <v>0.02</v>
      </c>
      <c r="J77" s="10" cm="1">
        <f t="array" ref="J77">Common_InputFunctions.Utility_DisplayArrayInTable(SourceData_Dairy.SourceData_Dairy_MCF_Data(), Table_SourceData_Dairy_MCFjm[[#Headers],[MMS m]], 0)</f>
        <v>0.02</v>
      </c>
      <c r="K77" s="10" cm="1">
        <f t="array" ref="K77">Common_InputFunctions.Utility_DisplayArrayInTable(SourceData_Dairy.SourceData_Dairy_MCF_Data(), Table_SourceData_Dairy_MCFjm[[#Headers],[MMS m]], 0)</f>
        <v>0.02</v>
      </c>
      <c r="L77" s="10" cm="1">
        <f t="array" ref="L77">Common_InputFunctions.Utility_DisplayArrayInTable(SourceData_Dairy.SourceData_Dairy_MCF_Data(), Table_SourceData_Dairy_MCFjm[[#Headers],[MMS m]], 0)</f>
        <v>0.02</v>
      </c>
      <c r="M77" s="10" t="str" cm="1">
        <f t="array" ref="M77">Common_InputFunctions.Utility_DisplayArrayInTable(SourceData_Dairy.SourceData_Dairy_MCF_Data(), Table_SourceData_Dairy_MCFjm[[#Headers],[MMS m]], 0)</f>
        <v>Solid storage</v>
      </c>
      <c r="V77" s="8"/>
    </row>
    <row r="78" spans="1:22" ht="20.100000000000001" customHeight="1" x14ac:dyDescent="0.25">
      <c r="A78"/>
      <c r="D78" s="8" t="str" cm="1">
        <f t="array" ref="D78">Common_InputFunctions.Utility_DisplayArrayInTable(SourceData_Dairy.SourceData_Dairy_MCF_Data(), Table_SourceData_Dairy_MCFjm[[#Headers],[MMS m]], 0)</f>
        <v>Direct Application to soil</v>
      </c>
      <c r="E78" s="10" cm="1">
        <f t="array" ref="E78">Common_InputFunctions.Utility_DisplayArrayInTable(SourceData_Dairy.SourceData_Dairy_MCF_Data(), Table_SourceData_Dairy_MCFjm[[#Headers],[MMS m]], 0)</f>
        <v>0</v>
      </c>
      <c r="F78" s="10" cm="1">
        <f t="array" ref="F78">Common_InputFunctions.Utility_DisplayArrayInTable(SourceData_Dairy.SourceData_Dairy_MCF_Data(), Table_SourceData_Dairy_MCFjm[[#Headers],[MMS m]], 0)</f>
        <v>0</v>
      </c>
      <c r="G78" s="10" cm="1">
        <f t="array" ref="G78">Common_InputFunctions.Utility_DisplayArrayInTable(SourceData_Dairy.SourceData_Dairy_MCF_Data(), Table_SourceData_Dairy_MCFjm[[#Headers],[MMS m]], 0)</f>
        <v>0</v>
      </c>
      <c r="H78" s="10" cm="1">
        <f t="array" ref="H78">Common_InputFunctions.Utility_DisplayArrayInTable(SourceData_Dairy.SourceData_Dairy_MCF_Data(), Table_SourceData_Dairy_MCFjm[[#Headers],[MMS m]], 0)</f>
        <v>0</v>
      </c>
      <c r="I78" s="10" cm="1">
        <f t="array" ref="I78">Common_InputFunctions.Utility_DisplayArrayInTable(SourceData_Dairy.SourceData_Dairy_MCF_Data(), Table_SourceData_Dairy_MCFjm[[#Headers],[MMS m]], 0)</f>
        <v>0</v>
      </c>
      <c r="J78" s="10" cm="1">
        <f t="array" ref="J78">Common_InputFunctions.Utility_DisplayArrayInTable(SourceData_Dairy.SourceData_Dairy_MCF_Data(), Table_SourceData_Dairy_MCFjm[[#Headers],[MMS m]], 0)</f>
        <v>0</v>
      </c>
      <c r="K78" s="10" cm="1">
        <f t="array" ref="K78">Common_InputFunctions.Utility_DisplayArrayInTable(SourceData_Dairy.SourceData_Dairy_MCF_Data(), Table_SourceData_Dairy_MCFjm[[#Headers],[MMS m]], 0)</f>
        <v>0</v>
      </c>
      <c r="L78" s="10" cm="1">
        <f t="array" ref="L78">Common_InputFunctions.Utility_DisplayArrayInTable(SourceData_Dairy.SourceData_Dairy_MCF_Data(), Table_SourceData_Dairy_MCFjm[[#Headers],[MMS m]], 0)</f>
        <v>0</v>
      </c>
      <c r="M78" s="10" t="str" cm="1">
        <f t="array" ref="M78">Common_InputFunctions.Utility_DisplayArrayInTable(SourceData_Dairy.SourceData_Dairy_MCF_Data(), Table_SourceData_Dairy_MCFjm[[#Headers],[MMS m]], 0)</f>
        <v>Direct application</v>
      </c>
    </row>
    <row r="79" spans="1:22" ht="20.100000000000001" customHeight="1" x14ac:dyDescent="0.25">
      <c r="A79"/>
      <c r="M79" s="8"/>
    </row>
    <row r="80" spans="1:22" ht="20.100000000000001" customHeight="1" x14ac:dyDescent="0.25">
      <c r="A80"/>
      <c r="M80" s="8"/>
    </row>
    <row r="81" spans="1:22" ht="20.100000000000001" customHeight="1" x14ac:dyDescent="0.25">
      <c r="A81"/>
      <c r="D81" s="9" t="str" cm="1">
        <f t="array" ref="D81">SourceData_Dairy.SourceData_Dairy_NitrousOxideEFsAndFracGASM_Title()</f>
        <v>Table A.1.3.7: Dairy cattle - Nitrous oxide EFs and fraction of N volatilised by MMS</v>
      </c>
      <c r="M81" s="8"/>
    </row>
    <row r="82" spans="1:22" ht="20.100000000000001" customHeight="1" x14ac:dyDescent="0.25">
      <c r="A82"/>
      <c r="D82" s="11" t="str" cm="1">
        <f t="array" ref="D82">SourceData_Dairy.SourceData_Dairy_NitrousOxideEFsAndFracGASM_Source()</f>
        <v>VEERG 2026: Table A.1.3.7</v>
      </c>
      <c r="M82" s="8"/>
    </row>
    <row r="83" spans="1:22" ht="20.100000000000001" customHeight="1" x14ac:dyDescent="0.25">
      <c r="A83"/>
      <c r="D83" s="8" t="str" cm="1">
        <f t="array" ref="D83">SourceData_Dairy.SourceData_Dairy_NitrousOxideEFsAndFracGASM_Variable()</f>
        <v>EFm; FracGASMm</v>
      </c>
      <c r="M83" s="8"/>
    </row>
    <row r="84" spans="1:22" ht="20.100000000000001" customHeight="1" x14ac:dyDescent="0.25">
      <c r="A84"/>
      <c r="D84" s="13" t="str" cm="1">
        <f t="array" ref="D84">SourceData_Dairy.SourceData_Dairy_NitrousOxideEFsAndFracGASM_Unit()</f>
        <v>kg N2O-N/kg N excreted</v>
      </c>
      <c r="M84" s="8"/>
    </row>
    <row r="85" spans="1:22" ht="20.100000000000001" customHeight="1" x14ac:dyDescent="0.25">
      <c r="A85"/>
      <c r="D85" s="12" t="str" cm="1">
        <f t="array" ref="D85">SourceData_Dairy.SourceData_Dairy_NitrousOxideEFsAndFracGASM_Variation()</f>
        <v>VARIATION OF SOURCE: Added 'NIR reference' column to aid lookup</v>
      </c>
      <c r="M85" s="8"/>
      <c r="V85" s="8"/>
    </row>
    <row r="86" spans="1:22" ht="20.100000000000001" customHeight="1" x14ac:dyDescent="0.25">
      <c r="A86"/>
      <c r="D86" s="10" t="s">
        <v>525</v>
      </c>
      <c r="E86" s="10" t="s">
        <v>527</v>
      </c>
      <c r="F86" s="10" t="s">
        <v>528</v>
      </c>
      <c r="G86" s="10" t="s">
        <v>526</v>
      </c>
      <c r="M86" s="8"/>
      <c r="V86" s="8"/>
    </row>
    <row r="87" spans="1:22" ht="20.100000000000001" customHeight="1" x14ac:dyDescent="0.25">
      <c r="A87"/>
      <c r="D87" s="10" t="str" cm="1">
        <f t="array" ref="D87">Common_InputFunctions.Utility_DisplayArrayInTable(SourceData_Dairy.SourceData_Dairy_NitrousOxideEFsAndFracGASM_Data(), Table_SourceData_Dairy_EFmFracGASM[[#Headers],[MMS m]], 0)</f>
        <v>M=14 Pasture</v>
      </c>
      <c r="E87" s="10" cm="1">
        <f t="array" ref="E87">Common_InputFunctions.Utility_DisplayArrayInTable(SourceData_Dairy.SourceData_Dairy_NitrousOxideEFsAndFracGASM_Data(), Table_SourceData_Dairy_EFmFracGASM[[#Headers],[MMS m]], 0)</f>
        <v>0</v>
      </c>
      <c r="F87" s="10" cm="1">
        <f t="array" ref="F87">Common_InputFunctions.Utility_DisplayArrayInTable(SourceData_Dairy.SourceData_Dairy_NitrousOxideEFsAndFracGASM_Data(), Table_SourceData_Dairy_EFmFracGASM[[#Headers],[MMS m]], 0)</f>
        <v>0</v>
      </c>
      <c r="G87" s="10" t="str" cm="1">
        <f t="array" ref="G87">Common_InputFunctions.Utility_DisplayArrayInTable(SourceData_Dairy.SourceData_Dairy_NitrousOxideEFsAndFracGASM_Data(), Table_SourceData_Dairy_EFmFracGASM[[#Headers],[MMS m]], 0)</f>
        <v>Pasture range and paddock</v>
      </c>
      <c r="M87" s="8"/>
      <c r="V87" s="8"/>
    </row>
    <row r="88" spans="1:22" ht="20.100000000000001" customHeight="1" x14ac:dyDescent="0.25">
      <c r="A88"/>
      <c r="D88" s="8" t="str" cm="1">
        <f t="array" ref="D88">Common_InputFunctions.Utility_DisplayArrayInTable(SourceData_Dairy.SourceData_Dairy_NitrousOxideEFsAndFracGASM_Data(), Table_SourceData_Dairy_EFmFracGASM[[#Headers],[MMS m]], 0)</f>
        <v>M=1 Anaerobic lagoon</v>
      </c>
      <c r="E88" s="10" cm="1">
        <f t="array" ref="E88">Common_InputFunctions.Utility_DisplayArrayInTable(SourceData_Dairy.SourceData_Dairy_NitrousOxideEFsAndFracGASM_Data(), Table_SourceData_Dairy_EFmFracGASM[[#Headers],[MMS m]], 0)</f>
        <v>0</v>
      </c>
      <c r="F88" s="10" cm="1">
        <f t="array" ref="F88">Common_InputFunctions.Utility_DisplayArrayInTable(SourceData_Dairy.SourceData_Dairy_NitrousOxideEFsAndFracGASM_Data(), Table_SourceData_Dairy_EFmFracGASM[[#Headers],[MMS m]], 0)</f>
        <v>0.35</v>
      </c>
      <c r="G88" s="10" t="str" cm="1">
        <f t="array" ref="G88">Common_InputFunctions.Utility_DisplayArrayInTable(SourceData_Dairy.SourceData_Dairy_NitrousOxideEFsAndFracGASM_Data(), Table_SourceData_Dairy_EFmFracGASM[[#Headers],[MMS m]], 0)</f>
        <v>Anaerobic lagoon</v>
      </c>
      <c r="M88" s="8"/>
      <c r="V88" s="8"/>
    </row>
    <row r="89" spans="1:22" ht="20.100000000000001" customHeight="1" x14ac:dyDescent="0.25">
      <c r="A89"/>
      <c r="D89" s="8" t="str" cm="1">
        <f t="array" ref="D89">Common_InputFunctions.Utility_DisplayArrayInTable(SourceData_Dairy.SourceData_Dairy_NitrousOxideEFsAndFracGASM_Data(), Table_SourceData_Dairy_EFmFracGASM[[#Headers],[MMS m]], 0)</f>
        <v>M=2 Daily Spread - Sump and Dispersal</v>
      </c>
      <c r="E89" s="10" cm="1">
        <f t="array" ref="E89">Common_InputFunctions.Utility_DisplayArrayInTable(SourceData_Dairy.SourceData_Dairy_NitrousOxideEFsAndFracGASM_Data(), Table_SourceData_Dairy_EFmFracGASM[[#Headers],[MMS m]], 0)</f>
        <v>0</v>
      </c>
      <c r="F89" s="10" cm="1">
        <f t="array" ref="F89">Common_InputFunctions.Utility_DisplayArrayInTable(SourceData_Dairy.SourceData_Dairy_NitrousOxideEFsAndFracGASM_Data(), Table_SourceData_Dairy_EFmFracGASM[[#Headers],[MMS m]], 0)</f>
        <v>7.0000000000000007E-2</v>
      </c>
      <c r="G89" s="10" t="str" cm="1">
        <f t="array" ref="G89">Common_InputFunctions.Utility_DisplayArrayInTable(SourceData_Dairy.SourceData_Dairy_NitrousOxideEFsAndFracGASM_Data(), Table_SourceData_Dairy_EFmFracGASM[[#Headers],[MMS m]], 0)</f>
        <v>Sump and dispersal system</v>
      </c>
      <c r="M89" s="8"/>
      <c r="V89" s="8"/>
    </row>
    <row r="90" spans="1:22" ht="20.100000000000001" customHeight="1" x14ac:dyDescent="0.25">
      <c r="A90"/>
      <c r="D90" s="8" t="str" cm="1">
        <f t="array" ref="D90">Common_InputFunctions.Utility_DisplayArrayInTable(SourceData_Dairy.SourceData_Dairy_NitrousOxideEFsAndFracGASM_Data(), Table_SourceData_Dairy_EFmFracGASM[[#Headers],[MMS m]], 0)</f>
        <v>M=3 Daily Spread - Drains to Paddock</v>
      </c>
      <c r="E90" s="10" cm="1">
        <f t="array" ref="E90">Common_InputFunctions.Utility_DisplayArrayInTable(SourceData_Dairy.SourceData_Dairy_NitrousOxideEFsAndFracGASM_Data(), Table_SourceData_Dairy_EFmFracGASM[[#Headers],[MMS m]], 0)</f>
        <v>0</v>
      </c>
      <c r="F90" s="10" cm="1">
        <f t="array" ref="F90">Common_InputFunctions.Utility_DisplayArrayInTable(SourceData_Dairy.SourceData_Dairy_NitrousOxideEFsAndFracGASM_Data(), Table_SourceData_Dairy_EFmFracGASM[[#Headers],[MMS m]], 0)</f>
        <v>0.2</v>
      </c>
      <c r="G90" s="10" t="str" cm="1">
        <f t="array" ref="G90">Common_InputFunctions.Utility_DisplayArrayInTable(SourceData_Dairy.SourceData_Dairy_NitrousOxideEFsAndFracGASM_Data(), Table_SourceData_Dairy_EFmFracGASM[[#Headers],[MMS m]], 0)</f>
        <v>Drains to paddock</v>
      </c>
      <c r="M90" s="8"/>
      <c r="V90" s="8"/>
    </row>
    <row r="91" spans="1:22" ht="20.100000000000001" customHeight="1" x14ac:dyDescent="0.25">
      <c r="A91"/>
      <c r="D91" s="8" t="str" cm="1">
        <f t="array" ref="D91">Common_InputFunctions.Utility_DisplayArrayInTable(SourceData_Dairy.SourceData_Dairy_NitrousOxideEFsAndFracGASM_Data(), Table_SourceData_Dairy_EFmFracGASM[[#Headers],[MMS m]], 0)</f>
        <v>M=3 Solid Storage</v>
      </c>
      <c r="E91" s="10" cm="1">
        <f t="array" ref="E91">Common_InputFunctions.Utility_DisplayArrayInTable(SourceData_Dairy.SourceData_Dairy_NitrousOxideEFsAndFracGASM_Data(), Table_SourceData_Dairy_EFmFracGASM[[#Headers],[MMS m]], 0)</f>
        <v>5.0000000000000001E-3</v>
      </c>
      <c r="F91" s="10" cm="1">
        <f t="array" ref="F91">Common_InputFunctions.Utility_DisplayArrayInTable(SourceData_Dairy.SourceData_Dairy_NitrousOxideEFsAndFracGASM_Data(), Table_SourceData_Dairy_EFmFracGASM[[#Headers],[MMS m]], 0)</f>
        <v>0.3</v>
      </c>
      <c r="G91" s="10" t="str" cm="1">
        <f t="array" ref="G91">Common_InputFunctions.Utility_DisplayArrayInTable(SourceData_Dairy.SourceData_Dairy_NitrousOxideEFsAndFracGASM_Data(), Table_SourceData_Dairy_EFmFracGASM[[#Headers],[MMS m]], 0)</f>
        <v>Solid storage</v>
      </c>
      <c r="M91" s="8"/>
    </row>
    <row r="92" spans="1:22" ht="20.100000000000001" customHeight="1" x14ac:dyDescent="0.25">
      <c r="A92"/>
      <c r="M92" s="8"/>
    </row>
    <row r="93" spans="1:22" ht="20.100000000000001" customHeight="1" x14ac:dyDescent="0.25">
      <c r="A93"/>
      <c r="M93" s="8"/>
    </row>
    <row r="94" spans="1:22" ht="20.100000000000001" customHeight="1" x14ac:dyDescent="0.25">
      <c r="A94"/>
      <c r="D94" s="9" t="str" cm="1">
        <f t="array" ref="D94">SourceData_Dairy.SourceData_Dairy_MethaneProductionPreWeanedCalves_Title()</f>
        <v>Table A.1.3.8: Dairy cattle - Methane production for pre-weaned heifer and bull calves (kg CH4/head/day) (MPWENTERIC,j=3,5)</v>
      </c>
      <c r="M94" s="8"/>
    </row>
    <row r="95" spans="1:22" ht="20.100000000000001" customHeight="1" x14ac:dyDescent="0.25">
      <c r="A95"/>
      <c r="D95" s="11" t="str" cm="1">
        <f t="array" ref="D95">SourceData_Dairy.SourceData_Dairy_MethaneProductionPreWeanedCalves_Source()</f>
        <v>VEERG 2026: Table A.1.3.8</v>
      </c>
      <c r="M95" s="8"/>
    </row>
    <row r="96" spans="1:22" ht="20.100000000000001" customHeight="1" x14ac:dyDescent="0.25">
      <c r="A96"/>
      <c r="D96" s="8" t="str" cm="1">
        <f t="array" ref="D96">SourceData_Dairy.SourceData_Dairy_MethaneProductionPreWeanedCalves_Variable()</f>
        <v>MPWENTERIC,j=3,5</v>
      </c>
      <c r="M96" s="8"/>
    </row>
    <row r="97" spans="1:13" ht="20.100000000000001" customHeight="1" x14ac:dyDescent="0.25">
      <c r="A97"/>
      <c r="D97" s="13" t="str" cm="1">
        <f t="array" ref="D97">SourceData_Dairy.SourceData_Dairy_MethaneProductionPreWeanedCalves_Unit()</f>
        <v>kg CH4/head/day</v>
      </c>
      <c r="M97" s="8"/>
    </row>
    <row r="98" spans="1:13" ht="20.100000000000001" customHeight="1" x14ac:dyDescent="0.25">
      <c r="A98"/>
      <c r="D98" s="10" t="s">
        <v>521</v>
      </c>
      <c r="E98" s="10" t="s">
        <v>529</v>
      </c>
      <c r="M98" s="8"/>
    </row>
    <row r="99" spans="1:13" ht="20.100000000000001" customHeight="1" x14ac:dyDescent="0.25">
      <c r="A99"/>
      <c r="D99" s="10" t="str" cm="1">
        <f t="array" ref="D99">Common_InputFunctions.Utility_DisplayArrayInTable(SourceData_Dairy.SourceData_Dairy_MethaneProductionPreWeanedCalves_Data(), Table_SourceData_Dairy_MPWENTERIC[[#Headers],[Animal class j]], 0)</f>
        <v>Heifers &lt; 1 year</v>
      </c>
      <c r="E99" s="10" cm="1">
        <f t="array" ref="E99">Common_InputFunctions.Utility_DisplayArrayInTable(SourceData_Dairy.SourceData_Dairy_MethaneProductionPreWeanedCalves_Data(), Table_SourceData_Dairy_MPWENTERIC[[#Headers],[Animal class j]], 0)</f>
        <v>1.7600000000000001E-2</v>
      </c>
      <c r="M99" s="8"/>
    </row>
    <row r="100" spans="1:13" ht="20.100000000000001" customHeight="1" x14ac:dyDescent="0.25">
      <c r="A100"/>
      <c r="D100" s="8" t="str" cm="1">
        <f t="array" ref="D100">Common_InputFunctions.Utility_DisplayArrayInTable(SourceData_Dairy.SourceData_Dairy_MethaneProductionPreWeanedCalves_Data(), Table_SourceData_Dairy_MPWENTERIC[[#Headers],[Animal class j]], 0)</f>
        <v>Bulls &lt; 1 year</v>
      </c>
      <c r="E100" s="10" cm="1">
        <f t="array" ref="E100">Common_InputFunctions.Utility_DisplayArrayInTable(SourceData_Dairy.SourceData_Dairy_MethaneProductionPreWeanedCalves_Data(), Table_SourceData_Dairy_MPWENTERIC[[#Headers],[Animal class j]], 0)</f>
        <v>2.0400000000000001E-2</v>
      </c>
      <c r="M100" s="8"/>
    </row>
    <row r="101" spans="1:13" ht="20.100000000000001" customHeight="1" x14ac:dyDescent="0.25">
      <c r="A101"/>
      <c r="M101" s="8"/>
    </row>
    <row r="102" spans="1:13" ht="20.100000000000001" customHeight="1" x14ac:dyDescent="0.25">
      <c r="A102"/>
      <c r="M102" s="8"/>
    </row>
    <row r="103" spans="1:13" ht="20.100000000000001" customHeight="1" x14ac:dyDescent="0.25">
      <c r="A103"/>
      <c r="D103" s="9" t="str" cm="1">
        <f t="array" ref="D103">SourceData_Dairy.SourceData_Dairy_IncreasedMetabolicRateMilk_Title()</f>
        <v>Table A.1.3.9: Dairy cattle - Increased metabolic rate when producing milk (MRj)</v>
      </c>
      <c r="M103" s="8"/>
    </row>
    <row r="104" spans="1:13" ht="20.100000000000001" customHeight="1" x14ac:dyDescent="0.25">
      <c r="A104"/>
      <c r="D104" s="11" t="str" cm="1">
        <f t="array" ref="D104">SourceData_Dairy.SourceData_Dairy_IncreasedMetabolicRateMilk_Source()</f>
        <v>VEERG 2026: Table A.1.3.9</v>
      </c>
      <c r="M104" s="8"/>
    </row>
    <row r="105" spans="1:13" ht="20.100000000000001" customHeight="1" x14ac:dyDescent="0.25">
      <c r="A105"/>
      <c r="D105" s="8" t="str" cm="1">
        <f t="array" ref="D105">SourceData_Dairy.SourceData_Dairy_IncreasedMetabolicRateMilk_Variable()</f>
        <v>MRj</v>
      </c>
      <c r="M105" s="8"/>
    </row>
    <row r="106" spans="1:13" ht="20.100000000000001" customHeight="1" x14ac:dyDescent="0.25">
      <c r="A106"/>
      <c r="D106" s="13" t="str" cm="1">
        <f t="array" ref="D106">SourceData_Dairy.SourceData_Dairy_IncreasedMetabolicRateMilk_Unit()</f>
        <v/>
      </c>
      <c r="M106" s="8"/>
    </row>
    <row r="107" spans="1:13" ht="20.100000000000001" customHeight="1" x14ac:dyDescent="0.25">
      <c r="A107"/>
      <c r="D107" s="10" t="s">
        <v>521</v>
      </c>
      <c r="E107" s="10" t="s">
        <v>530</v>
      </c>
      <c r="M107" s="8"/>
    </row>
    <row r="108" spans="1:13" ht="20.100000000000001" customHeight="1" x14ac:dyDescent="0.25">
      <c r="A108"/>
      <c r="D108" s="10" t="str" cm="1">
        <f t="array" ref="D108">Common_InputFunctions.Utility_DisplayArrayInTable(SourceData_Dairy.SourceData_Dairy_IncreasedMetabolicRateMilk_Data(), Table_SourceData_Dairy_MRj[[#Headers],[Animal class j]], 0)</f>
        <v>Milking cows, and house cows</v>
      </c>
      <c r="E108" s="10" cm="1">
        <f t="array" ref="E108">Common_InputFunctions.Utility_DisplayArrayInTable(SourceData_Dairy.SourceData_Dairy_IncreasedMetabolicRateMilk_Data(), Table_SourceData_Dairy_MRj[[#Headers],[Animal class j]], 0)</f>
        <v>1.1000000000000001</v>
      </c>
      <c r="M108" s="8"/>
    </row>
    <row r="109" spans="1:13" ht="20.100000000000001" customHeight="1" x14ac:dyDescent="0.25">
      <c r="A109"/>
      <c r="D109" s="8" t="str" cm="1">
        <f t="array" ref="D109">Common_InputFunctions.Utility_DisplayArrayInTable(SourceData_Dairy.SourceData_Dairy_IncreasedMetabolicRateMilk_Data(), Table_SourceData_Dairy_MRj[[#Headers],[Animal class j]], 0)</f>
        <v>All other cattle classes</v>
      </c>
      <c r="E109" s="10" cm="1">
        <f t="array" ref="E109">Common_InputFunctions.Utility_DisplayArrayInTable(SourceData_Dairy.SourceData_Dairy_IncreasedMetabolicRateMilk_Data(), Table_SourceData_Dairy_MRj[[#Headers],[Animal class j]], 0)</f>
        <v>1</v>
      </c>
      <c r="M109" s="8"/>
    </row>
    <row r="110" spans="1:13" ht="20.100000000000001" customHeight="1" x14ac:dyDescent="0.25">
      <c r="A110"/>
      <c r="M110" s="8"/>
    </row>
    <row r="111" spans="1:13" ht="20.100000000000001" customHeight="1" x14ac:dyDescent="0.25">
      <c r="A111"/>
      <c r="M111" s="8"/>
    </row>
    <row r="112" spans="1:13" ht="20.100000000000001" customHeight="1" x14ac:dyDescent="0.25">
      <c r="A112"/>
      <c r="D112" s="9" t="str" cm="1">
        <f t="array" ref="D112">SourceData_Dairy.SourceData_Dairy_FractionVolatileSolidsVoidedMMS_Title()</f>
        <v>Table A.1.3.10: Dairy cattle - Fraction of volatile solids voided to each manure management system (fraction) (MMSjm)</v>
      </c>
      <c r="M112" s="8"/>
    </row>
    <row r="113" spans="1:22" ht="20.100000000000001" customHeight="1" x14ac:dyDescent="0.25">
      <c r="A113"/>
      <c r="D113" s="11" t="str" cm="1">
        <f t="array" ref="D113">SourceData_Dairy.SourceData_Dairy_FractionVolatileSolidsVoidedMMS_Source()</f>
        <v>VEERG 2026: Table A.1.3.10</v>
      </c>
      <c r="M113" s="8"/>
    </row>
    <row r="114" spans="1:22" ht="20.100000000000001" customHeight="1" x14ac:dyDescent="0.25">
      <c r="A114"/>
      <c r="D114" s="8" t="str" cm="1">
        <f t="array" ref="D114">SourceData_Dairy.SourceData_Dairy_FractionVolatileSolidsVoidedMMS_Variable()</f>
        <v>MMSjm</v>
      </c>
      <c r="M114" s="8"/>
    </row>
    <row r="115" spans="1:22" ht="20.100000000000001" customHeight="1" x14ac:dyDescent="0.25">
      <c r="A115"/>
      <c r="D115" s="13" t="str" cm="1">
        <f t="array" ref="D115">SourceData_Dairy.SourceData_Dairy_FractionVolatileSolidsVoidedMMS_Unit()</f>
        <v>fraction</v>
      </c>
      <c r="M115" s="8"/>
      <c r="V115" s="8"/>
    </row>
    <row r="116" spans="1:22" ht="20.100000000000001" customHeight="1" x14ac:dyDescent="0.25">
      <c r="A116"/>
      <c r="D116" s="10" t="s">
        <v>531</v>
      </c>
      <c r="E116" s="10" t="s">
        <v>146</v>
      </c>
      <c r="F116" s="10" t="s">
        <v>532</v>
      </c>
      <c r="G116" s="10" t="s">
        <v>533</v>
      </c>
      <c r="M116" s="8"/>
      <c r="V116" s="8"/>
    </row>
    <row r="117" spans="1:22" ht="20.100000000000001" customHeight="1" x14ac:dyDescent="0.25">
      <c r="A117"/>
      <c r="D117" s="10" t="str" cm="1">
        <f t="array" ref="D117">Common_InputFunctions.Utility_DisplayArrayInTable(SourceData_Dairy.SourceData_Dairy_FractionVolatileSolidsVoidedMMS_Data(), Table_SourceData_Dairy_ProductionSystemTemplates[[#Headers],[Area]], 0)</f>
        <v>System 1: Grazed Only</v>
      </c>
      <c r="E117" s="10" cm="1">
        <f t="array" ref="E117">Common_InputFunctions.Utility_DisplayArrayInTable(SourceData_Dairy.SourceData_Dairy_FractionVolatileSolidsVoidedMMS_Data(), Table_SourceData_Dairy_ProductionSystemTemplates[[#Headers],[Area]], 0)</f>
        <v>0.89</v>
      </c>
      <c r="F117" s="10" cm="1">
        <f t="array" ref="F117">Common_InputFunctions.Utility_DisplayArrayInTable(SourceData_Dairy.SourceData_Dairy_FractionVolatileSolidsVoidedMMS_Data(), Table_SourceData_Dairy_ProductionSystemTemplates[[#Headers],[Area]], 0)</f>
        <v>0.11</v>
      </c>
      <c r="G117" s="10" cm="1">
        <f t="array" ref="G117">Common_InputFunctions.Utility_DisplayArrayInTable(SourceData_Dairy.SourceData_Dairy_FractionVolatileSolidsVoidedMMS_Data(), Table_SourceData_Dairy_ProductionSystemTemplates[[#Headers],[Area]], 0)</f>
        <v>0</v>
      </c>
      <c r="M117" s="8"/>
      <c r="V117" s="8"/>
    </row>
    <row r="118" spans="1:22" ht="20.100000000000001" customHeight="1" x14ac:dyDescent="0.25">
      <c r="A118"/>
      <c r="D118" s="8" t="str" cm="1">
        <f t="array" ref="D118">Common_InputFunctions.Utility_DisplayArrayInTable(SourceData_Dairy.SourceData_Dairy_FractionVolatileSolidsVoidedMMS_Data(), Table_SourceData_Dairy_ProductionSystemTemplates[[#Headers],[Area]], 0)</f>
        <v>System 2: On feedpad for &lt;10 hr/day for &lt;3 months/year</v>
      </c>
      <c r="E118" s="10" cm="1">
        <f t="array" ref="E118">Common_InputFunctions.Utility_DisplayArrayInTable(SourceData_Dairy.SourceData_Dairy_FractionVolatileSolidsVoidedMMS_Data(), Table_SourceData_Dairy_ProductionSystemTemplates[[#Headers],[Area]], 0)</f>
        <v>0.79</v>
      </c>
      <c r="F118" s="10" cm="1">
        <f t="array" ref="F118">Common_InputFunctions.Utility_DisplayArrayInTable(SourceData_Dairy.SourceData_Dairy_FractionVolatileSolidsVoidedMMS_Data(), Table_SourceData_Dairy_ProductionSystemTemplates[[#Headers],[Area]], 0)</f>
        <v>0.11</v>
      </c>
      <c r="G118" s="10" cm="1">
        <f t="array" ref="G118">Common_InputFunctions.Utility_DisplayArrayInTable(SourceData_Dairy.SourceData_Dairy_FractionVolatileSolidsVoidedMMS_Data(), Table_SourceData_Dairy_ProductionSystemTemplates[[#Headers],[Area]], 0)</f>
        <v>0.1</v>
      </c>
      <c r="M118" s="8"/>
    </row>
    <row r="119" spans="1:22" ht="20.100000000000001" customHeight="1" x14ac:dyDescent="0.25">
      <c r="A119"/>
      <c r="D119" s="8" t="str" cm="1">
        <f t="array" ref="D119">Common_InputFunctions.Utility_DisplayArrayInTable(SourceData_Dairy.SourceData_Dairy_FractionVolatileSolidsVoidedMMS_Data(), Table_SourceData_Dairy_ProductionSystemTemplates[[#Headers],[Area]], 0)</f>
        <v>System 3: Pasture-grazed 3-9 months/year</v>
      </c>
      <c r="E119" s="10" cm="1">
        <f t="array" ref="E119">Common_InputFunctions.Utility_DisplayArrayInTable(SourceData_Dairy.SourceData_Dairy_FractionVolatileSolidsVoidedMMS_Data(), Table_SourceData_Dairy_ProductionSystemTemplates[[#Headers],[Area]], 0)</f>
        <v>0.53400000000000003</v>
      </c>
      <c r="F119" s="10" cm="1">
        <f t="array" ref="F119">Common_InputFunctions.Utility_DisplayArrayInTable(SourceData_Dairy.SourceData_Dairy_FractionVolatileSolidsVoidedMMS_Data(), Table_SourceData_Dairy_ProductionSystemTemplates[[#Headers],[Area]], 0)</f>
        <v>0.11</v>
      </c>
      <c r="G119" s="10" cm="1">
        <f t="array" ref="G119">Common_InputFunctions.Utility_DisplayArrayInTable(SourceData_Dairy.SourceData_Dairy_FractionVolatileSolidsVoidedMMS_Data(), Table_SourceData_Dairy_ProductionSystemTemplates[[#Headers],[Area]], 0)</f>
        <v>0.35599999999999998</v>
      </c>
      <c r="M119" s="8"/>
    </row>
    <row r="120" spans="1:22" ht="20.100000000000001" customHeight="1" x14ac:dyDescent="0.25">
      <c r="A120"/>
      <c r="D120" s="8" t="str" cm="1">
        <f t="array" ref="D120">Common_InputFunctions.Utility_DisplayArrayInTable(SourceData_Dairy.SourceData_Dairy_FractionVolatileSolidsVoidedMMS_Data(), Table_SourceData_Dairy_ProductionSystemTemplates[[#Headers],[Area]], 0)</f>
        <v>System 4: Zero grazing</v>
      </c>
      <c r="E120" s="10" cm="1">
        <f t="array" ref="E120">Common_InputFunctions.Utility_DisplayArrayInTable(SourceData_Dairy.SourceData_Dairy_FractionVolatileSolidsVoidedMMS_Data(), Table_SourceData_Dairy_ProductionSystemTemplates[[#Headers],[Area]], 0)</f>
        <v>0</v>
      </c>
      <c r="F120" s="10" cm="1">
        <f t="array" ref="F120">Common_InputFunctions.Utility_DisplayArrayInTable(SourceData_Dairy.SourceData_Dairy_FractionVolatileSolidsVoidedMMS_Data(), Table_SourceData_Dairy_ProductionSystemTemplates[[#Headers],[Area]], 0)</f>
        <v>0.11</v>
      </c>
      <c r="G120" s="10" cm="1">
        <f t="array" ref="G120">Common_InputFunctions.Utility_DisplayArrayInTable(SourceData_Dairy.SourceData_Dairy_FractionVolatileSolidsVoidedMMS_Data(), Table_SourceData_Dairy_ProductionSystemTemplates[[#Headers],[Area]], 0)</f>
        <v>0.89</v>
      </c>
      <c r="M120" s="8"/>
    </row>
    <row r="121" spans="1:22" ht="20.100000000000001" customHeight="1" x14ac:dyDescent="0.25">
      <c r="A121"/>
      <c r="M121" s="8"/>
    </row>
    <row r="122" spans="1:22" ht="20.100000000000001" customHeight="1" x14ac:dyDescent="0.25">
      <c r="A122"/>
      <c r="M122" s="8"/>
    </row>
    <row r="123" spans="1:22" ht="20.100000000000001" customHeight="1" x14ac:dyDescent="0.25">
      <c r="A123"/>
      <c r="D123" s="9" t="str" cm="1">
        <f t="array" ref="D123">SourceData_Dairy.SourceData_Dairy_EFNitrousOxidePerMMS_Title()</f>
        <v>Table A.1.3.11: Dairy cattle - EF for nitrous oxide per MMS (kg N2O-N/kg N) (EFm)</v>
      </c>
      <c r="M123" s="8"/>
    </row>
    <row r="124" spans="1:22" ht="20.100000000000001" customHeight="1" x14ac:dyDescent="0.25">
      <c r="A124"/>
      <c r="D124" s="11" t="str" cm="1">
        <f t="array" ref="D124">SourceData_Dairy.SourceData_Dairy_EFNitrousOxidePerMMS_Source()</f>
        <v>VEERG 2026: Table A.1.3.11</v>
      </c>
      <c r="M124" s="8"/>
    </row>
    <row r="125" spans="1:22" ht="20.100000000000001" customHeight="1" x14ac:dyDescent="0.25">
      <c r="A125"/>
      <c r="D125" s="8" t="str" cm="1">
        <f t="array" ref="D125">SourceData_Dairy.SourceData_Dairy_EFNitrousOxidePerMMS_Variable()</f>
        <v>EFm</v>
      </c>
      <c r="M125" s="8"/>
      <c r="V125" s="8"/>
    </row>
    <row r="126" spans="1:22" ht="20.100000000000001" customHeight="1" x14ac:dyDescent="0.25">
      <c r="A126"/>
      <c r="D126" s="13" t="str" cm="1">
        <f t="array" ref="D126">SourceData_Dairy.SourceData_Dairy_EFNitrousOxidePerMMS_Unit()</f>
        <v>kg N2O-N/kg N</v>
      </c>
      <c r="M126" s="8"/>
      <c r="V126" s="8"/>
    </row>
    <row r="127" spans="1:22" ht="20.100000000000001" customHeight="1" x14ac:dyDescent="0.25">
      <c r="A127"/>
      <c r="D127" s="12" t="str" cm="1">
        <f t="array" ref="D127">SourceData_Dairy.SourceData_Dairy_EFNitrousOxidePerMMS_Variation()</f>
        <v>VARIATION OF SOURCE: Added 'NIR reference' column to aid lookup</v>
      </c>
      <c r="M127" s="8"/>
      <c r="V127" s="8"/>
    </row>
    <row r="128" spans="1:22" ht="20.100000000000001" customHeight="1" x14ac:dyDescent="0.25">
      <c r="A128"/>
      <c r="D128" s="10" t="s">
        <v>525</v>
      </c>
      <c r="E128" s="10" t="s">
        <v>527</v>
      </c>
      <c r="F128" s="10" t="s">
        <v>526</v>
      </c>
      <c r="G128" s="156" t="s">
        <v>534</v>
      </c>
      <c r="M128" s="8"/>
      <c r="N128" s="14"/>
      <c r="V128" s="8"/>
    </row>
    <row r="129" spans="1:22" ht="20.100000000000001" customHeight="1" x14ac:dyDescent="0.25">
      <c r="A129"/>
      <c r="D129" s="10" t="str" cm="1">
        <f t="array" ref="D129">Common_InputFunctions.Utility_DisplayArrayInTable(SourceData_Dairy.SourceData_Dairy_EFNitrousOxidePerMMS_Data(), Table_SourceData_Dairy_EFm[[#Headers],[MMS m]], 0)</f>
        <v>m=14 Pasture</v>
      </c>
      <c r="E129" s="10" cm="1">
        <f t="array" ref="E129">Common_InputFunctions.Utility_DisplayArrayInTable(SourceData_Dairy.SourceData_Dairy_EFNitrousOxidePerMMS_Data(), Table_SourceData_Dairy_EFm[[#Headers],[MMS m]], 0)</f>
        <v>0</v>
      </c>
      <c r="F129" s="10" t="str" cm="1">
        <f t="array" ref="F129">Common_InputFunctions.Utility_DisplayArrayInTable(SourceData_Dairy.SourceData_Dairy_EFNitrousOxidePerMMS_Data(), Table_SourceData_Dairy_EFm[[#Headers],[MMS m]], 0)</f>
        <v>Pasture range and paddock</v>
      </c>
      <c r="M129" s="8"/>
      <c r="N129" s="14"/>
      <c r="V129" s="8"/>
    </row>
    <row r="130" spans="1:22" ht="20.100000000000001" customHeight="1" x14ac:dyDescent="0.25">
      <c r="A130"/>
      <c r="D130" s="8" t="str" cm="1">
        <f t="array" ref="D130">Common_InputFunctions.Utility_DisplayArrayInTable(SourceData_Dairy.SourceData_Dairy_EFNitrousOxidePerMMS_Data(), Table_SourceData_Dairy_EFm[[#Headers],[MMS m]], 0)</f>
        <v>m=1 Anerobic Lagoon</v>
      </c>
      <c r="E130" s="10" cm="1">
        <f t="array" ref="E130">Common_InputFunctions.Utility_DisplayArrayInTable(SourceData_Dairy.SourceData_Dairy_EFNitrousOxidePerMMS_Data(), Table_SourceData_Dairy_EFm[[#Headers],[MMS m]], 0)</f>
        <v>0</v>
      </c>
      <c r="F130" s="10" t="str" cm="1">
        <f t="array" ref="F130">Common_InputFunctions.Utility_DisplayArrayInTable(SourceData_Dairy.SourceData_Dairy_EFNitrousOxidePerMMS_Data(), Table_SourceData_Dairy_EFm[[#Headers],[MMS m]], 0)</f>
        <v>Anaerobic lagoon</v>
      </c>
      <c r="M130" s="8"/>
      <c r="N130" s="14"/>
      <c r="V130" s="8"/>
    </row>
    <row r="131" spans="1:22" ht="20.100000000000001" customHeight="1" x14ac:dyDescent="0.25">
      <c r="A131"/>
      <c r="D131" s="8" t="str" cm="1">
        <f t="array" ref="D131">Common_InputFunctions.Utility_DisplayArrayInTable(SourceData_Dairy.SourceData_Dairy_EFNitrousOxidePerMMS_Data(), Table_SourceData_Dairy_EFm[[#Headers],[MMS m]], 0)</f>
        <v>m=2 Daily Spread: Sump and dispersal</v>
      </c>
      <c r="E131" s="10" cm="1">
        <f t="array" ref="E131">Common_InputFunctions.Utility_DisplayArrayInTable(SourceData_Dairy.SourceData_Dairy_EFNitrousOxidePerMMS_Data(), Table_SourceData_Dairy_EFm[[#Headers],[MMS m]], 0)</f>
        <v>0</v>
      </c>
      <c r="F131" s="10" t="str" cm="1">
        <f t="array" ref="F131">Common_InputFunctions.Utility_DisplayArrayInTable(SourceData_Dairy.SourceData_Dairy_EFNitrousOxidePerMMS_Data(), Table_SourceData_Dairy_EFm[[#Headers],[MMS m]], 0)</f>
        <v>Sump and dispersal system</v>
      </c>
      <c r="M131" s="8"/>
      <c r="N131" s="14"/>
    </row>
    <row r="132" spans="1:22" ht="20.100000000000001" customHeight="1" x14ac:dyDescent="0.25">
      <c r="A132"/>
      <c r="D132" s="8" t="str" cm="1">
        <f t="array" ref="D132">Common_InputFunctions.Utility_DisplayArrayInTable(SourceData_Dairy.SourceData_Dairy_EFNitrousOxidePerMMS_Data(), Table_SourceData_Dairy_EFm[[#Headers],[MMS m]], 0)</f>
        <v>m=3 Daily Spread: Drains to paddocks</v>
      </c>
      <c r="E132" s="10" cm="1">
        <f t="array" ref="E132">Common_InputFunctions.Utility_DisplayArrayInTable(SourceData_Dairy.SourceData_Dairy_EFNitrousOxidePerMMS_Data(), Table_SourceData_Dairy_EFm[[#Headers],[MMS m]], 0)</f>
        <v>0</v>
      </c>
      <c r="F132" s="10" t="str" cm="1">
        <f t="array" ref="F132">Common_InputFunctions.Utility_DisplayArrayInTable(SourceData_Dairy.SourceData_Dairy_EFNitrousOxidePerMMS_Data(), Table_SourceData_Dairy_EFm[[#Headers],[MMS m]], 0)</f>
        <v>Drains to paddock</v>
      </c>
      <c r="M132" s="14"/>
    </row>
    <row r="133" spans="1:22" ht="20.100000000000001" customHeight="1" x14ac:dyDescent="0.25">
      <c r="A133"/>
      <c r="D133" s="8" t="str" cm="1">
        <f t="array" ref="D133">Common_InputFunctions.Utility_DisplayArrayInTable(SourceData_Dairy.SourceData_Dairy_EFNitrousOxidePerMMS_Data(), Table_SourceData_Dairy_EFm[[#Headers],[MMS m]], 0)</f>
        <v>m=4 Solid Storage</v>
      </c>
      <c r="E133" s="10" cm="1">
        <f t="array" ref="E133">Common_InputFunctions.Utility_DisplayArrayInTable(SourceData_Dairy.SourceData_Dairy_EFNitrousOxidePerMMS_Data(), Table_SourceData_Dairy_EFm[[#Headers],[MMS m]], 0)</f>
        <v>5.0000000000000001E-3</v>
      </c>
      <c r="F133" s="10" t="str" cm="1">
        <f t="array" ref="F133">Common_InputFunctions.Utility_DisplayArrayInTable(SourceData_Dairy.SourceData_Dairy_EFNitrousOxidePerMMS_Data(), Table_SourceData_Dairy_EFm[[#Headers],[MMS m]], 0)</f>
        <v>Solid storage</v>
      </c>
      <c r="M133" s="14"/>
    </row>
    <row r="134" spans="1:22" ht="20.100000000000001" customHeight="1" x14ac:dyDescent="0.25">
      <c r="A134"/>
      <c r="M134" s="14"/>
    </row>
    <row r="135" spans="1:22" ht="20.100000000000001" customHeight="1" x14ac:dyDescent="0.25">
      <c r="A135"/>
      <c r="M135" s="14"/>
    </row>
    <row r="136" spans="1:22" ht="20.100000000000001" customHeight="1" x14ac:dyDescent="0.25">
      <c r="A136"/>
      <c r="D136" s="9" t="str" cm="1">
        <f t="array" ref="D136">SourceData_Dairy.SourceData_Dairy_DurationOfStay_Title()</f>
        <v>Duration of stay for each dairy cattle input class</v>
      </c>
      <c r="M136" s="14"/>
    </row>
    <row r="137" spans="1:22" ht="20.100000000000001" customHeight="1" x14ac:dyDescent="0.25">
      <c r="A137"/>
      <c r="D137" s="11" t="str" cm="1">
        <f t="array" ref="D137">SourceData_Dairy.SourceData_Dairy_DurationOfStay_Source()</f>
        <v>VEERG 2026: 4.3.2.2	DATA (METHOD 1 AND 2 OPTIONS)</v>
      </c>
      <c r="M137" s="14"/>
    </row>
    <row r="138" spans="1:22" ht="20.100000000000001" customHeight="1" x14ac:dyDescent="0.25">
      <c r="A138"/>
      <c r="D138" s="8" t="str" cm="1">
        <f t="array" ref="D138">SourceData_Dairy.SourceData_Dairy_DurationOfStay_Variable()</f>
        <v>D</v>
      </c>
      <c r="M138" s="14"/>
    </row>
    <row r="139" spans="1:22" ht="20.100000000000001" customHeight="1" x14ac:dyDescent="0.25">
      <c r="A139"/>
      <c r="D139" s="13" t="str" cm="1">
        <f t="array" ref="D139">SourceData_Dairy.SourceData_Dairy_DurationOfStay_Unit()</f>
        <v>days</v>
      </c>
      <c r="M139" s="14"/>
    </row>
    <row r="140" spans="1:22" ht="20.100000000000001" customHeight="1" x14ac:dyDescent="0.25">
      <c r="A140"/>
      <c r="D140" s="12" t="str" cm="1">
        <f t="array" ref="D140">SourceData_Dairy.SourceData_Dairy_DurationOfStay_Variation()</f>
        <v>VARIATION OF SOURCE: Converted free text in document to table, matching livestock class names.</v>
      </c>
      <c r="M140" s="14"/>
    </row>
    <row r="141" spans="1:22" ht="20.100000000000001" customHeight="1" x14ac:dyDescent="0.25">
      <c r="A141"/>
      <c r="D141" s="10" t="s">
        <v>521</v>
      </c>
      <c r="E141" s="10" t="s">
        <v>535</v>
      </c>
      <c r="F141" s="10" t="s">
        <v>536</v>
      </c>
      <c r="M141" s="14"/>
    </row>
    <row r="142" spans="1:22" ht="20.100000000000001" customHeight="1" x14ac:dyDescent="0.25">
      <c r="A142"/>
      <c r="D142" s="10" t="str" cm="1">
        <f t="array" ref="D142">Common_InputFunctions.Utility_DisplayArrayInTable(SourceData_Dairy.SourceData_Dairy_DurationOfStay_Data(), Table_SourceData_Dairy_Duration[[#Headers],[Animal class j]], 0)</f>
        <v>Milking cows</v>
      </c>
      <c r="E142" s="10" cm="1">
        <f t="array" ref="E142">Common_InputFunctions.Utility_DisplayArrayInTable(SourceData_Dairy.SourceData_Dairy_DurationOfStay_Data(), Table_SourceData_Dairy_Duration[[#Headers],[Animal class j]], 0)</f>
        <v>365</v>
      </c>
      <c r="F142" s="10" cm="1">
        <f t="array" ref="F142">Common_InputFunctions.Utility_DisplayArrayInTable(SourceData_Dairy.SourceData_Dairy_DurationOfStay_Data(), Table_SourceData_Dairy_Duration[[#Headers],[Animal class j]], 0)</f>
        <v>0</v>
      </c>
      <c r="M142" s="14"/>
    </row>
    <row r="143" spans="1:22" ht="20.100000000000001" customHeight="1" x14ac:dyDescent="0.25">
      <c r="A143"/>
      <c r="D143" s="8" t="str" cm="1">
        <f t="array" ref="D143">Common_InputFunctions.Utility_DisplayArrayInTable(SourceData_Dairy.SourceData_Dairy_DurationOfStay_Data(), Table_SourceData_Dairy_Duration[[#Headers],[Animal class j]], 0)</f>
        <v>Heifers &gt; 1 year</v>
      </c>
      <c r="E143" s="10" cm="1">
        <f t="array" ref="E143">Common_InputFunctions.Utility_DisplayArrayInTable(SourceData_Dairy.SourceData_Dairy_DurationOfStay_Data(), Table_SourceData_Dairy_Duration[[#Headers],[Animal class j]], 0)</f>
        <v>365</v>
      </c>
      <c r="F143" s="10" cm="1">
        <f t="array" ref="F143">Common_InputFunctions.Utility_DisplayArrayInTable(SourceData_Dairy.SourceData_Dairy_DurationOfStay_Data(), Table_SourceData_Dairy_Duration[[#Headers],[Animal class j]], 0)</f>
        <v>0</v>
      </c>
      <c r="M143" s="14"/>
    </row>
    <row r="144" spans="1:22" ht="20.100000000000001" customHeight="1" x14ac:dyDescent="0.25">
      <c r="A144"/>
      <c r="D144" s="8" t="str" cm="1">
        <f t="array" ref="D144">Common_InputFunctions.Utility_DisplayArrayInTable(SourceData_Dairy.SourceData_Dairy_DurationOfStay_Data(), Table_SourceData_Dairy_Duration[[#Headers],[Animal class j]], 0)</f>
        <v>Heifers &lt; 1 year</v>
      </c>
      <c r="E144" s="10" cm="1">
        <f t="array" ref="E144">Common_InputFunctions.Utility_DisplayArrayInTable(SourceData_Dairy.SourceData_Dairy_DurationOfStay_Data(), Table_SourceData_Dairy_Duration[[#Headers],[Animal class j]], 0)</f>
        <v>281</v>
      </c>
      <c r="F144" s="10" cm="1">
        <f t="array" ref="F144">Common_InputFunctions.Utility_DisplayArrayInTable(SourceData_Dairy.SourceData_Dairy_DurationOfStay_Data(), Table_SourceData_Dairy_Duration[[#Headers],[Animal class j]], 0)</f>
        <v>84</v>
      </c>
      <c r="M144" s="14"/>
    </row>
    <row r="145" spans="1:13" ht="20.100000000000001" customHeight="1" x14ac:dyDescent="0.25">
      <c r="A145"/>
      <c r="D145" s="8" t="str" cm="1">
        <f t="array" ref="D145">Common_InputFunctions.Utility_DisplayArrayInTable(SourceData_Dairy.SourceData_Dairy_DurationOfStay_Data(), Table_SourceData_Dairy_Duration[[#Headers],[Animal class j]], 0)</f>
        <v>Bulls &gt; 1 year</v>
      </c>
      <c r="E145" s="10" cm="1">
        <f t="array" ref="E145">Common_InputFunctions.Utility_DisplayArrayInTable(SourceData_Dairy.SourceData_Dairy_DurationOfStay_Data(), Table_SourceData_Dairy_Duration[[#Headers],[Animal class j]], 0)</f>
        <v>365</v>
      </c>
      <c r="F145" s="10" cm="1">
        <f t="array" ref="F145">Common_InputFunctions.Utility_DisplayArrayInTable(SourceData_Dairy.SourceData_Dairy_DurationOfStay_Data(), Table_SourceData_Dairy_Duration[[#Headers],[Animal class j]], 0)</f>
        <v>0</v>
      </c>
      <c r="M145" s="14"/>
    </row>
    <row r="146" spans="1:13" ht="20.100000000000001" customHeight="1" x14ac:dyDescent="0.25">
      <c r="A146"/>
      <c r="D146" s="8" t="str" cm="1">
        <f t="array" ref="D146">Common_InputFunctions.Utility_DisplayArrayInTable(SourceData_Dairy.SourceData_Dairy_DurationOfStay_Data(), Table_SourceData_Dairy_Duration[[#Headers],[Animal class j]], 0)</f>
        <v>Bulls &lt; 1 year</v>
      </c>
      <c r="E146" s="10" cm="1">
        <f t="array" ref="E146">Common_InputFunctions.Utility_DisplayArrayInTable(SourceData_Dairy.SourceData_Dairy_DurationOfStay_Data(), Table_SourceData_Dairy_Duration[[#Headers],[Animal class j]], 0)</f>
        <v>281</v>
      </c>
      <c r="F146" s="10" cm="1">
        <f t="array" ref="F146">Common_InputFunctions.Utility_DisplayArrayInTable(SourceData_Dairy.SourceData_Dairy_DurationOfStay_Data(), Table_SourceData_Dairy_Duration[[#Headers],[Animal class j]], 0)</f>
        <v>84</v>
      </c>
      <c r="M146" s="14"/>
    </row>
    <row r="147" spans="1:13" ht="20.100000000000001" customHeight="1" x14ac:dyDescent="0.25">
      <c r="A147"/>
      <c r="M147" s="14"/>
    </row>
    <row r="148" spans="1:13" ht="20.100000000000001" customHeight="1" x14ac:dyDescent="0.25">
      <c r="A148"/>
      <c r="M148" s="14"/>
    </row>
    <row r="149" spans="1:13" ht="20.100000000000001" customHeight="1" x14ac:dyDescent="0.25">
      <c r="A149"/>
      <c r="D149" s="9" t="str" cm="1">
        <f t="array" ref="D149">SourceData_Dairy.SourceData_Dairy_CrudeProtein_Title()</f>
        <v>Crude protein content of feed intake</v>
      </c>
      <c r="M149" s="14"/>
    </row>
    <row r="150" spans="1:13" ht="20.100000000000001" customHeight="1" x14ac:dyDescent="0.25">
      <c r="A150"/>
      <c r="D150" s="11" t="str" cm="1">
        <f t="array" ref="D150">SourceData_Dairy.SourceData_Dairy_CrudeProtein_Source()</f>
        <v>VEERG 2026: 4.3.2.2	DATA (METHOD 1 AND 2 OPTIONS)</v>
      </c>
      <c r="M150" s="14"/>
    </row>
    <row r="151" spans="1:13" ht="20.100000000000001" customHeight="1" x14ac:dyDescent="0.25">
      <c r="A151"/>
      <c r="D151" s="8" t="str" cm="1">
        <f t="array" ref="D151">SourceData_Dairy.SourceData_Dairy_CrudeProtein_Variable()</f>
        <v>CP</v>
      </c>
      <c r="M151" s="14"/>
    </row>
    <row r="152" spans="1:13" ht="20.100000000000001" customHeight="1" x14ac:dyDescent="0.25">
      <c r="A152"/>
      <c r="D152" s="13" t="str" cm="1">
        <f t="array" ref="D152">SourceData_Dairy.SourceData_Dairy_CrudeProtein_Unit()</f>
        <v>fraction</v>
      </c>
      <c r="M152" s="14"/>
    </row>
    <row r="153" spans="1:13" ht="20.100000000000001" customHeight="1" x14ac:dyDescent="0.25">
      <c r="A153"/>
      <c r="D153" s="27" cm="1">
        <f t="array" ref="D153">SourceData_Dairy.SourceData_Dairy_CrudeProtein_Data()</f>
        <v>0.2</v>
      </c>
      <c r="M153" s="14"/>
    </row>
    <row r="154" spans="1:13" ht="20.100000000000001" customHeight="1" x14ac:dyDescent="0.25">
      <c r="A154"/>
      <c r="M154" s="14"/>
    </row>
    <row r="155" spans="1:13" ht="20.100000000000001" customHeight="1" x14ac:dyDescent="0.25">
      <c r="A155"/>
      <c r="M155" s="14"/>
    </row>
    <row r="156" spans="1:13" ht="20.100000000000001" customHeight="1" x14ac:dyDescent="0.25">
      <c r="A156"/>
      <c r="D156" s="9" t="str" cm="1">
        <f t="array" ref="D156">SourceData_Dairy.SourceData_Dairy_DryMatterDigestibility_Title()</f>
        <v>Dry matter digestibility</v>
      </c>
      <c r="M156" s="14"/>
    </row>
    <row r="157" spans="1:13" ht="20.100000000000001" customHeight="1" x14ac:dyDescent="0.25">
      <c r="A157"/>
      <c r="D157" s="11" t="str" cm="1">
        <f t="array" ref="D157">SourceData_Dairy.SourceData_Dairy_DryMatterDigestibility_Source()</f>
        <v>VEERG 2026: 3.3.2.2	DATA (METHOD 1 AND 2 OPTIONS)</v>
      </c>
      <c r="M157" s="14"/>
    </row>
    <row r="158" spans="1:13" ht="20.100000000000001" customHeight="1" x14ac:dyDescent="0.25">
      <c r="A158"/>
      <c r="D158" s="8" t="str" cm="1">
        <f t="array" ref="D158">SourceData_Dairy.SourceData_Dairy_DryMatterDigestibility_Variable()</f>
        <v>DMD</v>
      </c>
      <c r="M158" s="14"/>
    </row>
    <row r="159" spans="1:13" ht="20.100000000000001" customHeight="1" x14ac:dyDescent="0.25">
      <c r="A159"/>
      <c r="D159" s="13" t="str" cm="1">
        <f t="array" ref="D159">SourceData_Dairy.SourceData_Dairy_DryMatterDigestibility_Unit()</f>
        <v>fraction</v>
      </c>
      <c r="M159" s="14"/>
    </row>
    <row r="160" spans="1:13" ht="20.100000000000001" customHeight="1" x14ac:dyDescent="0.25">
      <c r="A160"/>
      <c r="D160" s="27" cm="1">
        <f t="array" ref="D160">SourceData_Dairy.SourceData_Dairy_DryMatterDigestibility_Data()</f>
        <v>0.75</v>
      </c>
      <c r="M160" s="14"/>
    </row>
    <row r="161" spans="1:13" ht="20.100000000000001" customHeight="1" x14ac:dyDescent="0.25">
      <c r="M161" s="14"/>
    </row>
    <row r="162" spans="1:13" ht="20.100000000000001" customHeight="1" x14ac:dyDescent="0.25">
      <c r="M162" s="14"/>
    </row>
    <row r="163" spans="1:13" ht="20.100000000000001" customHeight="1" x14ac:dyDescent="0.25">
      <c r="D163" s="9" t="str" cm="1">
        <f t="array" ref="D163">SourceData_Dairy.SourceData_Dairy_NetEnergy_Title()</f>
        <v>Net energy required for milk production</v>
      </c>
      <c r="M163" s="14"/>
    </row>
    <row r="164" spans="1:13" ht="20.100000000000001" customHeight="1" x14ac:dyDescent="0.25">
      <c r="D164" s="11" t="str" cm="1">
        <f t="array" ref="D164">SourceData_Dairy.SourceData_Dairy_NetEnergy_Source()</f>
        <v>VEERG 2026: 3.3.2.3 CONSTANTS</v>
      </c>
      <c r="M164" s="14"/>
    </row>
    <row r="165" spans="1:13" ht="20.100000000000001" customHeight="1" x14ac:dyDescent="0.25">
      <c r="D165" s="8" t="str" cm="1">
        <f t="array" ref="D165">SourceData_Dairy.SourceData_Dairy_NetEnergy_Variable()</f>
        <v>NE</v>
      </c>
      <c r="M165" s="14"/>
    </row>
    <row r="166" spans="1:13" x14ac:dyDescent="0.25">
      <c r="D166" s="13" t="str" cm="1">
        <f t="array" ref="D166">SourceData_Dairy.SourceData_Dairy_NetEnergy_Unit()</f>
        <v>MJ net energy / kg milk</v>
      </c>
      <c r="M166" s="14"/>
    </row>
    <row r="167" spans="1:13" x14ac:dyDescent="0.25">
      <c r="D167" s="27" cm="1">
        <f t="array" ref="D167">SourceData_Dairy.SourceData_Dairy_NetEnergy_Data()</f>
        <v>3.0539999999999998</v>
      </c>
      <c r="M167" s="14"/>
    </row>
    <row r="168" spans="1:13" x14ac:dyDescent="0.25">
      <c r="M168" s="14"/>
    </row>
    <row r="169" spans="1:13" x14ac:dyDescent="0.25">
      <c r="M169" s="14"/>
    </row>
    <row r="170" spans="1:13" ht="23.25" x14ac:dyDescent="0.25">
      <c r="D170" s="9" t="str" cm="1">
        <f t="array" ref="D170">SourceData_Dairy.SourceData_Dairy_GrossEnergyContent_Title()</f>
        <v>Gross energy content of feed dry matter</v>
      </c>
      <c r="M170" s="14"/>
    </row>
    <row r="171" spans="1:13" x14ac:dyDescent="0.25">
      <c r="D171" s="11" t="str" cm="1">
        <f t="array" ref="D171">SourceData_Dairy.SourceData_Dairy_GrossEnergyContent_Source()</f>
        <v>VEERG 2026: 3.3.2.3 CONSTANTS</v>
      </c>
      <c r="M171" s="14"/>
    </row>
    <row r="172" spans="1:13" x14ac:dyDescent="0.25">
      <c r="D172" s="8" t="str" cm="1">
        <f t="array" ref="D172">SourceData_Dairy.SourceData_Dairy_GrossEnergyContent_Variable()</f>
        <v>GEC</v>
      </c>
      <c r="M172" s="14"/>
    </row>
    <row r="173" spans="1:13" x14ac:dyDescent="0.25">
      <c r="D173" s="13" t="str" cm="1">
        <f t="array" ref="D173">SourceData_Dairy.SourceData_Dairy_GrossEnergyContent_Unit()</f>
        <v>MJ / kgDM</v>
      </c>
      <c r="M173" s="14"/>
    </row>
    <row r="174" spans="1:13" x14ac:dyDescent="0.25">
      <c r="A174" s="53" t="str">
        <f>HYPERLINK("#A1", "▲ Back to top")</f>
        <v>▲ Back to top</v>
      </c>
      <c r="D174" s="27" cm="1">
        <f t="array" ref="D174">SourceData_Dairy.SourceData_Dairy_GrossEnergyContent_Data()</f>
        <v>18.399999999999999</v>
      </c>
      <c r="M174" s="14"/>
    </row>
    <row r="175" spans="1:13" x14ac:dyDescent="0.25">
      <c r="M175" s="14"/>
    </row>
    <row r="176" spans="1:13" x14ac:dyDescent="0.25">
      <c r="M176" s="14"/>
    </row>
    <row r="177" spans="4:13" ht="23.25" x14ac:dyDescent="0.25">
      <c r="D177" s="9" t="str" cm="1">
        <f t="array" ref="D177">SourceData_Dairy.SourceData_Dairy_EfficiencyOfUseOfMetabolizableEnergy_Title()</f>
        <v>Efficiency of use of metabolizable energy for milk production</v>
      </c>
      <c r="M177" s="14"/>
    </row>
    <row r="178" spans="4:13" x14ac:dyDescent="0.25">
      <c r="D178" s="11" t="str" cm="1">
        <f t="array" ref="D178">SourceData_Dairy.SourceData_Dairy_EfficiencyOfUseOfMetabolizableEnergy_Source()</f>
        <v>VEERG 2026: 3.3.2.3 CONSTANTS</v>
      </c>
      <c r="M178" s="14"/>
    </row>
    <row r="179" spans="4:13" x14ac:dyDescent="0.25">
      <c r="D179" s="8" t="str" cm="1">
        <f t="array" ref="D179">SourceData_Dairy.SourceData_Dairy_EfficiencyOfUseOfMetabolizableEnergy_Variable()</f>
        <v>k</v>
      </c>
      <c r="M179" s="14"/>
    </row>
    <row r="180" spans="4:13" x14ac:dyDescent="0.25">
      <c r="D180" s="13" t="str" cm="1">
        <f t="array" ref="D180">SourceData_Dairy.SourceData_Dairy_EfficiencyOfUseOfMetabolizableEnergy_Unit()</f>
        <v>fraction</v>
      </c>
      <c r="M180" s="14"/>
    </row>
    <row r="181" spans="4:13" x14ac:dyDescent="0.25">
      <c r="D181" s="27" cm="1">
        <f t="array" ref="D181">SourceData_Dairy.SourceData_Dairy_EfficiencyOfUseOfMetabolizableEnergy_Data()</f>
        <v>0.6</v>
      </c>
      <c r="M181" s="14"/>
    </row>
    <row r="182" spans="4:13" x14ac:dyDescent="0.25">
      <c r="M182" s="14"/>
    </row>
    <row r="183" spans="4:13" x14ac:dyDescent="0.25">
      <c r="M183" s="14"/>
    </row>
    <row r="184" spans="4:13" ht="23.25" x14ac:dyDescent="0.25">
      <c r="D184" s="9" t="str" cm="1">
        <f t="array" ref="D184">SourceData_Dairy.SourceData_Dairy_AshContent_Title()</f>
        <v>Ash content of manure</v>
      </c>
      <c r="M184" s="14"/>
    </row>
    <row r="185" spans="4:13" x14ac:dyDescent="0.25">
      <c r="D185" s="11" t="str" cm="1">
        <f t="array" ref="D185">SourceData_Dairy.SourceData_Dairy_AshContent_Source()</f>
        <v>VEERG 2026: 4.3.2.3 CONSTANTS</v>
      </c>
      <c r="M185" s="14"/>
    </row>
    <row r="186" spans="4:13" x14ac:dyDescent="0.25">
      <c r="D186" s="8" t="str" cm="1">
        <f t="array" ref="D186">SourceData_Dairy.SourceData_Dairy_AshContent_Variable()</f>
        <v>A</v>
      </c>
      <c r="M186" s="14"/>
    </row>
    <row r="187" spans="4:13" x14ac:dyDescent="0.25">
      <c r="D187" s="13" t="str" cm="1">
        <f t="array" ref="D187">SourceData_Dairy.SourceData_Dairy_AshContent_Unit()</f>
        <v>fraction</v>
      </c>
      <c r="M187" s="14"/>
    </row>
    <row r="188" spans="4:13" x14ac:dyDescent="0.25">
      <c r="D188" s="27" cm="1">
        <f t="array" ref="D188">SourceData_Dairy.SourceData_Dairy_AshContent_Data()</f>
        <v>0.08</v>
      </c>
      <c r="M188" s="14"/>
    </row>
    <row r="189" spans="4:13" x14ac:dyDescent="0.25">
      <c r="M189" s="14"/>
    </row>
    <row r="190" spans="4:13" x14ac:dyDescent="0.25">
      <c r="M190" s="14"/>
    </row>
    <row r="191" spans="4:13" ht="23.25" x14ac:dyDescent="0.25">
      <c r="D191" s="9" t="str" cm="1">
        <f t="array" ref="D191">SourceData_Dairy.SourceData_Dairy_MethaneEmissionsPotential_Title()</f>
        <v>Methane emissions potential</v>
      </c>
      <c r="M191" s="14"/>
    </row>
    <row r="192" spans="4:13" x14ac:dyDescent="0.25">
      <c r="D192" s="11" t="str" cm="1">
        <f t="array" ref="D192">SourceData_Dairy.SourceData_Dairy_MethaneEmissionsPotential_Source()</f>
        <v>VEERG 2026: 4.3.2.3 CONSTANTS</v>
      </c>
      <c r="M192" s="14"/>
    </row>
    <row r="193" spans="4:13" x14ac:dyDescent="0.25">
      <c r="D193" s="8" t="str" cm="1">
        <f t="array" ref="D193">SourceData_Dairy.SourceData_Dairy_MethaneEmissionsPotential_Variable()</f>
        <v>B_o</v>
      </c>
      <c r="M193" s="14"/>
    </row>
    <row r="194" spans="4:13" x14ac:dyDescent="0.25">
      <c r="D194" s="13" t="str" cm="1">
        <f t="array" ref="D194">SourceData_Dairy.SourceData_Dairy_MethaneEmissionsPotential_Unit()</f>
        <v>m3 CH4/kgVS</v>
      </c>
      <c r="M194" s="14"/>
    </row>
    <row r="195" spans="4:13" x14ac:dyDescent="0.25">
      <c r="D195" s="27" cm="1">
        <f t="array" ref="D195">SourceData_Dairy.SourceData_Dairy_MethaneEmissionsPotential_Data()</f>
        <v>0.24</v>
      </c>
      <c r="M195" s="14"/>
    </row>
    <row r="196" spans="4:13" x14ac:dyDescent="0.25">
      <c r="M196" s="14"/>
    </row>
    <row r="197" spans="4:13" x14ac:dyDescent="0.25">
      <c r="M197" s="14"/>
    </row>
    <row r="198" spans="4:13" ht="23.25" x14ac:dyDescent="0.25">
      <c r="D198" s="9" t="str" cm="1">
        <f t="array" ref="D198">SourceData_Dairy.SourceData_Dairy_EmissionFactorForLeachingAndRunoff_Title()</f>
        <v>Emission factor for leaching and runoff</v>
      </c>
      <c r="M198" s="14"/>
    </row>
    <row r="199" spans="4:13" x14ac:dyDescent="0.25">
      <c r="D199" s="11" t="str" cm="1">
        <f t="array" ref="D199">SourceData_Dairy.SourceData_Dairy_EmissionFactorForLeachingAndRunoff_Source()</f>
        <v>VEERG 2026: 4.3.2.3 CONSTANTS</v>
      </c>
      <c r="M199" s="14"/>
    </row>
    <row r="200" spans="4:13" x14ac:dyDescent="0.25">
      <c r="D200" s="8" t="str" cm="1">
        <f t="array" ref="D200">SourceData_Dairy.SourceData_Dairy_EmissionFactorForLeachingAndRunoff_Variable()</f>
        <v>EF_leach</v>
      </c>
      <c r="M200" s="14"/>
    </row>
    <row r="201" spans="4:13" x14ac:dyDescent="0.25">
      <c r="D201" s="13" t="str" cm="1">
        <f t="array" ref="D201">SourceData_Dairy.SourceData_Dairy_EmissionFactorForLeachingAndRunoff_Unit()</f>
        <v>kg N2O-N/kg N</v>
      </c>
      <c r="M201" s="14"/>
    </row>
    <row r="202" spans="4:13" x14ac:dyDescent="0.25">
      <c r="D202" s="27" cm="1">
        <f t="array" ref="D202">SourceData_Dairy.SourceData_Dairy_EmissionFactorForLeachingAndRunoff_Data()</f>
        <v>1.0999999999999999E-2</v>
      </c>
      <c r="M202" s="14"/>
    </row>
    <row r="203" spans="4:13" x14ac:dyDescent="0.25">
      <c r="M203" s="14"/>
    </row>
    <row r="204" spans="4:13" x14ac:dyDescent="0.25">
      <c r="M204" s="14"/>
    </row>
    <row r="205" spans="4:13" ht="23.25" x14ac:dyDescent="0.25">
      <c r="D205" s="9" t="str" cm="1">
        <f t="array" ref="D205">SourceData_Dairy.SourceData_Dairy_FractionOfNitrogenLostThroughLeachingAndRunoff_Title()</f>
        <v>Default fraction of N that is lost through leaching and runoff when manure is excreted to pasture, range and paddock (m=14).</v>
      </c>
      <c r="M205" s="14"/>
    </row>
    <row r="206" spans="4:13" x14ac:dyDescent="0.25">
      <c r="D206" s="11" t="str" cm="1">
        <f t="array" ref="D206">SourceData_Dairy.SourceData_Dairy_FractionOfNitrogenLostThroughLeachingAndRunoff_Source()</f>
        <v>VEERG 2026: 4.3.2.3 CONSTANTS</v>
      </c>
      <c r="M206" s="14"/>
    </row>
    <row r="207" spans="4:13" x14ac:dyDescent="0.25">
      <c r="D207" s="8" t="str" cm="1">
        <f t="array" ref="D207">SourceData_Dairy.SourceData_Dairy_FractionOfNitrogenLostThroughLeachingAndRunoff_Variable()</f>
        <v>Frac_LEACH_MS</v>
      </c>
      <c r="M207" s="14"/>
    </row>
    <row r="208" spans="4:13" x14ac:dyDescent="0.25">
      <c r="D208" s="13" t="str" cm="1">
        <f t="array" ref="D208">SourceData_Dairy.SourceData_Dairy_FractionOfNitrogenLostThroughLeachingAndRunoff_Unit()</f>
        <v>Fraction</v>
      </c>
      <c r="M208" s="14"/>
    </row>
    <row r="209" spans="1:13" x14ac:dyDescent="0.25">
      <c r="D209" s="27" cm="1">
        <f t="array" ref="D209">SourceData_Dairy.SourceData_Dairy_FractionOfNitrogenLostThroughLeachingAndRunoff_Data()</f>
        <v>0.24</v>
      </c>
      <c r="M209" s="14"/>
    </row>
    <row r="210" spans="1:13" x14ac:dyDescent="0.25">
      <c r="M210" s="14"/>
    </row>
    <row r="211" spans="1:13" ht="23.25" x14ac:dyDescent="0.25">
      <c r="D211" s="9" t="str" cm="1">
        <f t="array" ref="D211">SourceData_Dairy.SourceData_Dairy_FractionOfNitrogenLostThroughLeachingAndRunoffSolidStorage_Title()</f>
        <v>Fraction of nitrogen lost through leaching and runoff for solid storage MMS only</v>
      </c>
      <c r="M211" s="14"/>
    </row>
    <row r="212" spans="1:13" x14ac:dyDescent="0.25">
      <c r="D212" s="11" t="str" cm="1">
        <f t="array" ref="D212">SourceData_Dairy.SourceData_Dairy_FractionOfNitrogenLostThroughLeachingAndRunoffSolidStorage_Source()</f>
        <v>VEERG 2026: 4.3.2.3 CONSTANTS</v>
      </c>
      <c r="M212" s="14"/>
    </row>
    <row r="213" spans="1:13" x14ac:dyDescent="0.25">
      <c r="D213" s="8" t="str" cm="1">
        <f t="array" ref="D213">SourceData_Dairy.SourceData_Dairy_FractionOfNitrogenLostThroughLeachingAndRunoffSolidStorage_Variable()</f>
        <v>Frac_LEACH_MS</v>
      </c>
      <c r="M213" s="14"/>
    </row>
    <row r="214" spans="1:13" x14ac:dyDescent="0.25">
      <c r="D214" s="13" t="str" cm="1">
        <f t="array" ref="D214">SourceData_Dairy.SourceData_Dairy_FractionOfNitrogenLostThroughLeachingAndRunoffSolidStorage_Unit()</f>
        <v>Fraction</v>
      </c>
      <c r="M214" s="14"/>
    </row>
    <row r="215" spans="1:13" x14ac:dyDescent="0.25">
      <c r="A215" s="53" t="str">
        <f>HYPERLINK("#A1", "▲ Back to top")</f>
        <v>▲ Back to top</v>
      </c>
      <c r="D215" s="27" cm="1">
        <f t="array" ref="D215">SourceData_Dairy.SourceData_Dairy_FractionOfNitrogenLostThroughLeachingAndRunoffSolidStorage_Data()</f>
        <v>0.02</v>
      </c>
      <c r="M215" s="14"/>
    </row>
    <row r="216" spans="1:13" x14ac:dyDescent="0.25">
      <c r="M216" s="14"/>
    </row>
    <row r="217" spans="1:13" ht="23.25" x14ac:dyDescent="0.25">
      <c r="D217" s="9" t="str" cm="1">
        <f t="array" ref="D217">SourceData_Dairy.SourceData_Dairy_FracGASMSoil_Title()</f>
        <v>Fraction of nitrogen volatilized from urine and faeces deposited on pasture</v>
      </c>
      <c r="M217" s="14"/>
    </row>
    <row r="218" spans="1:13" x14ac:dyDescent="0.25">
      <c r="D218" s="11" t="str" cm="1">
        <f t="array" ref="D218">SourceData_Dairy.SourceData_Dairy_FracGASMSoil_Source()</f>
        <v>VEERG 2026: 4.3.2.3 CONSTANTS</v>
      </c>
      <c r="M218" s="14"/>
    </row>
    <row r="219" spans="1:13" x14ac:dyDescent="0.25">
      <c r="D219" s="8" t="str" cm="1">
        <f t="array" ref="D219">SourceData_Dairy.SourceData_Dairy_FracGASMSoil_Variable()</f>
        <v>FracGASMsoil</v>
      </c>
      <c r="M219" s="14"/>
    </row>
    <row r="220" spans="1:13" x14ac:dyDescent="0.25">
      <c r="D220" s="13" t="str" cm="1">
        <f t="array" ref="D220">SourceData_Dairy.SourceData_Dairy_FracGASMSoil_Unit()</f>
        <v>(kg NH3-N + NOx-N)/kg N</v>
      </c>
      <c r="M220" s="14"/>
    </row>
    <row r="221" spans="1:13" x14ac:dyDescent="0.25">
      <c r="D221" s="27" cm="1">
        <f t="array" ref="D221">SourceData_Dairy.SourceData_Dairy_FracGASMSoil_Data()</f>
        <v>0.21</v>
      </c>
      <c r="M221" s="14"/>
    </row>
    <row r="222" spans="1:13" x14ac:dyDescent="0.25">
      <c r="M222" s="14"/>
    </row>
    <row r="223" spans="1:13" ht="23.25" x14ac:dyDescent="0.25">
      <c r="D223" s="9" t="str" cm="1">
        <f t="array" ref="D223">SourceData_Dairy.SourceData_Dairy_FatContentInMilk_Title()</f>
        <v>Fat content in fat and protein corrected milk</v>
      </c>
      <c r="M223" s="14"/>
    </row>
    <row r="224" spans="1:13" x14ac:dyDescent="0.25">
      <c r="D224" s="11" t="str" cm="1">
        <f t="array" ref="D224">SourceData_Dairy.SourceData_Dairy_FatContentInMilk_Source()</f>
        <v>VEERG 2026: 3.3.2.2 DATA (METHOD 1 AND 2 OPTIONS)</v>
      </c>
      <c r="M224" s="14"/>
    </row>
    <row r="225" spans="4:13" x14ac:dyDescent="0.25">
      <c r="D225" s="8" t="str" cm="1">
        <f t="array" ref="D225">SourceData_Dairy.SourceData_Dairy_FatContentInMilk_Variable()</f>
        <v>FC_j</v>
      </c>
      <c r="M225" s="14"/>
    </row>
    <row r="226" spans="4:13" x14ac:dyDescent="0.25">
      <c r="D226" s="13" t="str" cm="1">
        <f t="array" ref="D226">SourceData_Dairy.SourceData_Dairy_FatContentInMilk_Unit()</f>
        <v>percent</v>
      </c>
      <c r="M226" s="14"/>
    </row>
    <row r="227" spans="4:13" x14ac:dyDescent="0.25">
      <c r="D227" s="27" cm="1">
        <f t="array" ref="D227">SourceData_Dairy.SourceData_Dairy_FatContentInMilk_Data()</f>
        <v>4</v>
      </c>
      <c r="M227" s="14"/>
    </row>
    <row r="228" spans="4:13" x14ac:dyDescent="0.25">
      <c r="M228" s="14"/>
    </row>
    <row r="229" spans="4:13" ht="23.25" x14ac:dyDescent="0.25">
      <c r="D229" s="9" t="str" cm="1">
        <f t="array" ref="D229">SourceData_Dairy.SourceData_Dairy_ProteinContentInMilk_Title()</f>
        <v>Protein content in fat and protein corrected milk</v>
      </c>
      <c r="M229" s="14"/>
    </row>
    <row r="230" spans="4:13" x14ac:dyDescent="0.25">
      <c r="D230" s="11" t="str" cm="1">
        <f t="array" ref="D230">SourceData_Dairy.SourceData_Dairy_ProteinContentInMilk_Source()</f>
        <v>VEERG 2026: 3.3.2.2 DATA (METHOD 1 AND 2 OPTIONS)</v>
      </c>
      <c r="M230" s="14"/>
    </row>
    <row r="231" spans="4:13" x14ac:dyDescent="0.25">
      <c r="D231" s="8" t="str" cm="1">
        <f t="array" ref="D231">SourceData_Dairy.SourceData_Dairy_ProteinContentInMilk_Variable()</f>
        <v>PC_j</v>
      </c>
      <c r="M231" s="14"/>
    </row>
    <row r="232" spans="4:13" x14ac:dyDescent="0.25">
      <c r="D232" s="13" t="str" cm="1">
        <f t="array" ref="D232">SourceData_Dairy.SourceData_Dairy_ProteinContentInMilk_Unit()</f>
        <v>percent</v>
      </c>
      <c r="M232" s="14"/>
    </row>
    <row r="233" spans="4:13" x14ac:dyDescent="0.25">
      <c r="D233" s="27" cm="1">
        <f t="array" ref="D233">SourceData_Dairy.SourceData_Dairy_ProteinContentInMilk_Data()</f>
        <v>3.3</v>
      </c>
      <c r="M233" s="14"/>
    </row>
    <row r="234" spans="4:13" x14ac:dyDescent="0.25">
      <c r="M234" s="14"/>
    </row>
    <row r="235" spans="4:13" x14ac:dyDescent="0.25">
      <c r="M235" s="14"/>
    </row>
    <row r="236" spans="4:13" x14ac:dyDescent="0.25">
      <c r="M236" s="14"/>
    </row>
    <row r="237" spans="4:13" x14ac:dyDescent="0.25">
      <c r="M237" s="14"/>
    </row>
    <row r="238" spans="4:13" x14ac:dyDescent="0.25">
      <c r="M238" s="14"/>
    </row>
    <row r="239" spans="4:13" x14ac:dyDescent="0.25">
      <c r="M239" s="14"/>
    </row>
    <row r="240" spans="4:13" x14ac:dyDescent="0.25">
      <c r="M240" s="14"/>
    </row>
    <row r="241" spans="13:13" x14ac:dyDescent="0.25">
      <c r="M241" s="14"/>
    </row>
    <row r="242" spans="13:13" x14ac:dyDescent="0.25">
      <c r="M242" s="14"/>
    </row>
    <row r="243" spans="13:13" x14ac:dyDescent="0.25">
      <c r="M243" s="14"/>
    </row>
    <row r="244" spans="13:13" x14ac:dyDescent="0.25">
      <c r="M244" s="14"/>
    </row>
    <row r="245" spans="13:13" x14ac:dyDescent="0.25">
      <c r="M245" s="14"/>
    </row>
    <row r="246" spans="13:13" x14ac:dyDescent="0.25">
      <c r="M246" s="14"/>
    </row>
    <row r="247" spans="13:13" x14ac:dyDescent="0.25">
      <c r="M247" s="14"/>
    </row>
    <row r="248" spans="13:13" x14ac:dyDescent="0.25">
      <c r="M248" s="14"/>
    </row>
    <row r="249" spans="13:13" x14ac:dyDescent="0.25">
      <c r="M249" s="14"/>
    </row>
    <row r="250" spans="13:13" x14ac:dyDescent="0.25">
      <c r="M250" s="14"/>
    </row>
    <row r="251" spans="13:13" x14ac:dyDescent="0.25">
      <c r="M251" s="14"/>
    </row>
    <row r="252" spans="13:13" x14ac:dyDescent="0.25">
      <c r="M252" s="14"/>
    </row>
    <row r="253" spans="13:13" x14ac:dyDescent="0.25">
      <c r="M253" s="14"/>
    </row>
    <row r="254" spans="13:13" x14ac:dyDescent="0.25">
      <c r="M254" s="14"/>
    </row>
    <row r="255" spans="13:13" x14ac:dyDescent="0.25">
      <c r="M255" s="14"/>
    </row>
    <row r="256" spans="13:13" x14ac:dyDescent="0.25">
      <c r="M256" s="14"/>
    </row>
    <row r="257" spans="13:13" x14ac:dyDescent="0.25">
      <c r="M257" s="14"/>
    </row>
    <row r="258" spans="13:13" x14ac:dyDescent="0.25">
      <c r="M258" s="14"/>
    </row>
    <row r="259" spans="13:13" x14ac:dyDescent="0.25">
      <c r="M259" s="14"/>
    </row>
    <row r="260" spans="13:13" x14ac:dyDescent="0.25">
      <c r="M260" s="14"/>
    </row>
    <row r="261" spans="13:13" x14ac:dyDescent="0.25">
      <c r="M261" s="14"/>
    </row>
    <row r="262" spans="13:13" x14ac:dyDescent="0.25">
      <c r="M262" s="14"/>
    </row>
    <row r="263" spans="13:13" x14ac:dyDescent="0.25">
      <c r="M263" s="14"/>
    </row>
    <row r="264" spans="13:13" x14ac:dyDescent="0.25">
      <c r="M264" s="14"/>
    </row>
    <row r="265" spans="13:13" x14ac:dyDescent="0.25">
      <c r="M265" s="14"/>
    </row>
    <row r="266" spans="13:13" x14ac:dyDescent="0.25">
      <c r="M266" s="14"/>
    </row>
    <row r="267" spans="13:13" x14ac:dyDescent="0.25">
      <c r="M267" s="14"/>
    </row>
    <row r="268" spans="13:13" x14ac:dyDescent="0.25">
      <c r="M268" s="14"/>
    </row>
    <row r="269" spans="13:13" x14ac:dyDescent="0.25">
      <c r="M269" s="14"/>
    </row>
    <row r="270" spans="13:13" x14ac:dyDescent="0.25">
      <c r="M270" s="14"/>
    </row>
    <row r="271" spans="13:13" x14ac:dyDescent="0.25">
      <c r="M271" s="14"/>
    </row>
    <row r="272" spans="13:13" x14ac:dyDescent="0.25">
      <c r="M272" s="14"/>
    </row>
    <row r="273" spans="13:13" x14ac:dyDescent="0.25">
      <c r="M273" s="14"/>
    </row>
    <row r="274" spans="13:13" x14ac:dyDescent="0.25">
      <c r="M274" s="14"/>
    </row>
    <row r="275" spans="13:13" x14ac:dyDescent="0.25">
      <c r="M275" s="14"/>
    </row>
    <row r="276" spans="13:13" x14ac:dyDescent="0.25">
      <c r="M276" s="14"/>
    </row>
    <row r="277" spans="13:13" x14ac:dyDescent="0.25">
      <c r="M277" s="14"/>
    </row>
    <row r="278" spans="13:13" x14ac:dyDescent="0.25">
      <c r="M278" s="14"/>
    </row>
    <row r="279" spans="13:13" x14ac:dyDescent="0.25">
      <c r="M279" s="14"/>
    </row>
    <row r="280" spans="13:13" x14ac:dyDescent="0.25">
      <c r="M280" s="14"/>
    </row>
    <row r="281" spans="13:13" x14ac:dyDescent="0.25">
      <c r="M281" s="14"/>
    </row>
    <row r="282" spans="13:13" x14ac:dyDescent="0.25">
      <c r="M282" s="14"/>
    </row>
    <row r="283" spans="13:13" x14ac:dyDescent="0.25">
      <c r="M283" s="14"/>
    </row>
    <row r="284" spans="13:13" x14ac:dyDescent="0.25">
      <c r="M284" s="14"/>
    </row>
    <row r="285" spans="13:13" x14ac:dyDescent="0.25">
      <c r="M285" s="14"/>
    </row>
    <row r="286" spans="13:13" x14ac:dyDescent="0.25">
      <c r="M286" s="14"/>
    </row>
    <row r="287" spans="13:13" x14ac:dyDescent="0.25">
      <c r="M287" s="14"/>
    </row>
    <row r="288" spans="13:13" x14ac:dyDescent="0.25">
      <c r="M288" s="1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57E02-9195-42D8-89BE-9055E383F742}">
  <dimension ref="A1:V483"/>
  <sheetViews>
    <sheetView showGridLines="0" topLeftCell="A436" zoomScaleNormal="100" workbookViewId="0">
      <selection activeCell="A41" sqref="A41"/>
    </sheetView>
  </sheetViews>
  <sheetFormatPr defaultRowHeight="15.75" x14ac:dyDescent="0.25"/>
  <cols>
    <col min="1" max="1" width="26.875" style="3" customWidth="1"/>
    <col min="2" max="2" width="4.125" style="3" customWidth="1"/>
    <col min="3" max="3" width="4.125" style="8" customWidth="1"/>
    <col min="4" max="5" width="26.875" style="8" customWidth="1"/>
    <col min="6" max="6" width="27.25" style="8" customWidth="1"/>
    <col min="7" max="7" width="28.5" style="8" customWidth="1"/>
    <col min="8" max="12" width="26.875" style="8" customWidth="1"/>
    <col min="13" max="13" width="26.875" style="3" customWidth="1"/>
    <col min="14" max="20" width="26.875" style="8" customWidth="1"/>
    <col min="21" max="21" width="4.125" style="8" customWidth="1"/>
    <col min="22" max="16384" width="9" style="3"/>
  </cols>
  <sheetData>
    <row r="1" spans="1:21" s="1" customFormat="1" ht="30" customHeight="1" x14ac:dyDescent="0.35">
      <c r="A1" s="37" t="e" vm="1">
        <v>#VALUE!</v>
      </c>
      <c r="C1" s="1" t="s">
        <v>438</v>
      </c>
    </row>
    <row r="2" spans="1:21" s="2" customFormat="1" ht="20.100000000000001" customHeight="1" x14ac:dyDescent="0.25">
      <c r="A2"/>
    </row>
    <row r="3" spans="1:21"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row>
    <row r="4" spans="1:21" ht="20.100000000000001" customHeight="1" x14ac:dyDescent="0.25">
      <c r="A4" s="16" t="str">
        <f>HYPERLINK("#'Results'!A1", "Results")</f>
        <v>Results</v>
      </c>
      <c r="M4" s="14"/>
    </row>
    <row r="5" spans="1:21" ht="20.100000000000001" customHeight="1" x14ac:dyDescent="0.25">
      <c r="A5"/>
      <c r="D5" s="9" t="s">
        <v>439</v>
      </c>
      <c r="G5" s="9" t="s">
        <v>142</v>
      </c>
      <c r="M5" s="8" t="s">
        <v>440</v>
      </c>
      <c r="O5" s="8" t="s">
        <v>441</v>
      </c>
      <c r="Q5" s="8" t="s">
        <v>442</v>
      </c>
      <c r="S5" s="8" t="s">
        <v>443</v>
      </c>
    </row>
    <row r="6" spans="1:21" ht="20.100000000000001" customHeight="1" x14ac:dyDescent="0.25">
      <c r="A6"/>
      <c r="M6" s="8"/>
    </row>
    <row r="7" spans="1:21" ht="20.100000000000001" customHeight="1" x14ac:dyDescent="0.25">
      <c r="A7" s="19" t="s">
        <v>67</v>
      </c>
      <c r="D7" s="10" t="s">
        <v>144</v>
      </c>
      <c r="G7" s="10" t="s">
        <v>43</v>
      </c>
      <c r="M7" s="3" t="s">
        <v>378</v>
      </c>
      <c r="O7" s="10" t="s">
        <v>378</v>
      </c>
      <c r="Q7" s="10" t="s">
        <v>378</v>
      </c>
      <c r="S7" s="10" t="s">
        <v>378</v>
      </c>
    </row>
    <row r="8" spans="1:21" ht="20.100000000000001" customHeight="1" x14ac:dyDescent="0.25">
      <c r="A8" s="16" t="str">
        <f>HYPERLINK("#'Input - Site'!A1", "Site")</f>
        <v>Site</v>
      </c>
      <c r="D8" s="10" t="str">
        <f>'Constants - Common'!$F$187</f>
        <v>Pasture</v>
      </c>
      <c r="G8" s="10" t="s">
        <v>147</v>
      </c>
      <c r="M8" s="10" t="s">
        <v>444</v>
      </c>
      <c r="O8" s="10" t="s">
        <v>445</v>
      </c>
      <c r="Q8" s="10" t="s">
        <v>446</v>
      </c>
      <c r="S8" s="10" t="s">
        <v>426</v>
      </c>
    </row>
    <row r="9" spans="1:21" ht="20.100000000000001" customHeight="1" x14ac:dyDescent="0.25">
      <c r="A9" s="16" t="str">
        <f>HYPERLINK("#'Input - Fuel'!A1", "Fuel")</f>
        <v>Fuel</v>
      </c>
      <c r="D9" s="8" t="str">
        <f>'Constants - Common'!$F$188</f>
        <v>Crop</v>
      </c>
      <c r="G9" s="10" t="s">
        <v>151</v>
      </c>
      <c r="M9" s="10" t="s">
        <v>447</v>
      </c>
      <c r="O9" s="10" t="s">
        <v>448</v>
      </c>
      <c r="Q9" s="10" t="s">
        <v>449</v>
      </c>
    </row>
    <row r="10" spans="1:21" ht="20.100000000000001" customHeight="1" x14ac:dyDescent="0.25">
      <c r="A10" s="16" t="str">
        <f>HYPERLINK("#'Input - Fertiliser'!A1", "Fertiliser")</f>
        <v>Fertiliser</v>
      </c>
      <c r="G10" s="8" t="s">
        <v>154</v>
      </c>
      <c r="M10" s="10" t="s">
        <v>450</v>
      </c>
      <c r="O10" s="10" t="s">
        <v>451</v>
      </c>
      <c r="Q10" s="10" t="s">
        <v>452</v>
      </c>
      <c r="S10" s="8" t="s">
        <v>453</v>
      </c>
    </row>
    <row r="11" spans="1:21" ht="20.100000000000001" customHeight="1" x14ac:dyDescent="0.25">
      <c r="A11" s="16" t="str">
        <f>HYPERLINK("#'Input - Farm Inputs'!A1", "Farm Inputs")</f>
        <v>Farm Inputs</v>
      </c>
      <c r="G11" s="8" t="s">
        <v>157</v>
      </c>
      <c r="M11" s="8"/>
      <c r="Q11" s="10" t="s">
        <v>454</v>
      </c>
    </row>
    <row r="12" spans="1:21" ht="20.100000000000001" customHeight="1" x14ac:dyDescent="0.25">
      <c r="A12" s="16" t="str">
        <f>HYPERLINK("#'Input - Beef cattle purchases'!A1", "Beef cattle purchases")</f>
        <v>Beef cattle purchases</v>
      </c>
      <c r="G12" s="8" t="s">
        <v>159</v>
      </c>
      <c r="M12" s="8"/>
      <c r="S12" s="10" t="s">
        <v>378</v>
      </c>
    </row>
    <row r="13" spans="1:21" ht="20.100000000000001" customHeight="1" x14ac:dyDescent="0.25">
      <c r="A13" s="16" t="str">
        <f>HYPERLINK("#'Input - Dairy cattle purchases'!A1", "Dairy cattle purchases")</f>
        <v>Dairy cattle purchases</v>
      </c>
      <c r="M13" s="8"/>
      <c r="S13" s="10" t="s">
        <v>426</v>
      </c>
    </row>
    <row r="14" spans="1:21" ht="20.100000000000001" customHeight="1" x14ac:dyDescent="0.25">
      <c r="A14" s="16" t="str">
        <f>HYPERLINK("#'Input - Pig purchases'!A1", "Pig purchases")</f>
        <v>Pig purchases</v>
      </c>
      <c r="D14" s="9" t="str" cm="1">
        <f t="array" ref="D14">SourceData_PastureBeef.SourceData_PastureBeef_Liveweight_Title()</f>
        <v>Beef pasture cattle - Liveweight (kg) (Wjkl)</v>
      </c>
      <c r="M14" s="8"/>
    </row>
    <row r="15" spans="1:21" ht="20.100000000000001" customHeight="1" x14ac:dyDescent="0.25">
      <c r="A15" s="16" t="str">
        <f>HYPERLINK("#'Input - Poultry purchases'!A1", "Poultry purchases")</f>
        <v>Poultry purchases</v>
      </c>
      <c r="D15" s="11" t="str" cm="1">
        <f t="array" ref="D15">SourceData_PastureBeef.SourceData_PastureBeef_Liveweight_Source()</f>
        <v>VEERG 2026: Table A.1.2.1</v>
      </c>
      <c r="M15" s="8"/>
      <c r="S15" s="8" t="s">
        <v>455</v>
      </c>
    </row>
    <row r="16" spans="1:21" ht="20.100000000000001" customHeight="1" x14ac:dyDescent="0.25">
      <c r="A16" s="16" t="str">
        <f>HYPERLINK("#'Input - Freight'!A1", "Freight")</f>
        <v>Freight</v>
      </c>
      <c r="D16" s="8" t="str" cm="1">
        <f t="array" ref="D16">SourceData_PastureBeef.SourceData_PastureBeef_Liveweight_Variable()</f>
        <v>Wjkl</v>
      </c>
      <c r="M16" s="8"/>
    </row>
    <row r="17" spans="1:19" ht="20.100000000000001" customHeight="1" x14ac:dyDescent="0.25">
      <c r="A17" s="16" t="str">
        <f>HYPERLINK("#'Input - Solid waste'!A1", "Solid waste")</f>
        <v>Solid waste</v>
      </c>
      <c r="D17" s="13" t="str" cm="1">
        <f t="array" ref="D17">SourceData_PastureBeef.SourceData_PastureBeef_Liveweight_Unit()</f>
        <v>kg</v>
      </c>
      <c r="M17" s="8"/>
      <c r="O17" s="8" t="s">
        <v>507</v>
      </c>
      <c r="S17" s="10" t="s">
        <v>378</v>
      </c>
    </row>
    <row r="18" spans="1:19" ht="20.100000000000001" customHeight="1" x14ac:dyDescent="0.25">
      <c r="A18" s="16" t="str">
        <f>HYPERLINK("#'Input - Manure sent off-site'!A1", "Manure sent off-site")</f>
        <v>Manure sent off-site</v>
      </c>
      <c r="D18" s="10" t="s">
        <v>273</v>
      </c>
      <c r="E18" s="10" t="s">
        <v>378</v>
      </c>
      <c r="F18" s="10" t="s">
        <v>47</v>
      </c>
      <c r="G18" s="10" t="s">
        <v>456</v>
      </c>
      <c r="H18" s="10" t="s">
        <v>457</v>
      </c>
      <c r="I18" s="10" t="s">
        <v>458</v>
      </c>
      <c r="J18" s="10" t="s">
        <v>459</v>
      </c>
      <c r="K18" s="10" t="s">
        <v>460</v>
      </c>
      <c r="L18" s="10" t="s">
        <v>461</v>
      </c>
      <c r="M18" s="10" t="s">
        <v>462</v>
      </c>
      <c r="O18" s="10" t="s">
        <v>280</v>
      </c>
      <c r="S18" s="10" t="s">
        <v>426</v>
      </c>
    </row>
    <row r="19" spans="1:19" ht="20.100000000000001" customHeight="1" x14ac:dyDescent="0.25">
      <c r="A19" s="16" t="str">
        <f>HYPERLINK("#'Input - Electricity'!A1", "Electricity")</f>
        <v>Electricity</v>
      </c>
      <c r="D19" s="10" t="str" cm="1">
        <f t="array" ref="D19">Common_InputFunctions.Utility_DisplayArrayInTable(SourceData_PastureBeef.SourceData_PastureBeef_Liveweight_Data(), Table_SourceData_PastureBeef_Liveweight[[#Headers],[State]], 0)</f>
        <v>ACT/NSW</v>
      </c>
      <c r="E19" s="10" t="str" cm="1">
        <f t="array" ref="E19">Common_InputFunctions.Utility_DisplayArrayInTable(SourceData_PastureBeef.SourceData_PastureBeef_Liveweight_Data(), Table_SourceData_PastureBeef_Liveweight[[#Headers],[State]], 0)</f>
        <v>n/a</v>
      </c>
      <c r="F19" s="10" t="str" cm="1">
        <f t="array" ref="F19">Common_InputFunctions.Utility_DisplayArrayInTable(SourceData_PastureBeef.SourceData_PastureBeef_Liveweight_Data(), Table_SourceData_PastureBeef_Liveweight[[#Headers],[State]], 0)</f>
        <v>Spring</v>
      </c>
      <c r="G19" s="10" cm="1">
        <f t="array" ref="G19">Common_InputFunctions.Utility_DisplayArrayInTable(SourceData_PastureBeef.SourceData_PastureBeef_Liveweight_Data(), Table_SourceData_PastureBeef_Liveweight[[#Headers],[State]], 0)</f>
        <v>80</v>
      </c>
      <c r="H19" s="10" cm="1">
        <f t="array" ref="H19">Common_InputFunctions.Utility_DisplayArrayInTable(SourceData_PastureBeef.SourceData_PastureBeef_Liveweight_Data(), Table_SourceData_PastureBeef_Liveweight[[#Headers],[State]], 0)</f>
        <v>480</v>
      </c>
      <c r="I19" s="10" cm="1">
        <f t="array" ref="I19">Common_InputFunctions.Utility_DisplayArrayInTable(SourceData_PastureBeef.SourceData_PastureBeef_Liveweight_Data(), Table_SourceData_PastureBeef_Liveweight[[#Headers],[State]], 0)</f>
        <v>75</v>
      </c>
      <c r="J19" s="10" cm="1">
        <f t="array" ref="J19">Common_InputFunctions.Utility_DisplayArrayInTable(SourceData_PastureBeef.SourceData_PastureBeef_Liveweight_Data(), Table_SourceData_PastureBeef_Liveweight[[#Headers],[State]], 0)</f>
        <v>300</v>
      </c>
      <c r="K19" s="10" cm="1">
        <f t="array" ref="K19">Common_InputFunctions.Utility_DisplayArrayInTable(SourceData_PastureBeef.SourceData_PastureBeef_Liveweight_Data(), Table_SourceData_PastureBeef_Liveweight[[#Headers],[State]], 0)</f>
        <v>440</v>
      </c>
      <c r="L19" s="10" cm="1">
        <f t="array" ref="L19">Common_InputFunctions.Utility_DisplayArrayInTable(SourceData_PastureBeef.SourceData_PastureBeef_Liveweight_Data(), Table_SourceData_PastureBeef_Liveweight[[#Headers],[State]], 0)</f>
        <v>75</v>
      </c>
      <c r="M19" s="10" cm="1">
        <f t="array" ref="M19">Common_InputFunctions.Utility_DisplayArrayInTable(SourceData_PastureBeef.SourceData_PastureBeef_Liveweight_Data(), Table_SourceData_PastureBeef_Liveweight[[#Headers],[State]], 0)</f>
        <v>380</v>
      </c>
      <c r="O19" s="3" t="s">
        <v>476</v>
      </c>
    </row>
    <row r="20" spans="1:19" ht="20.100000000000001" customHeight="1" x14ac:dyDescent="0.25">
      <c r="A20"/>
      <c r="D20" s="8" t="str" cm="1">
        <f t="array" ref="D20">Common_InputFunctions.Utility_DisplayArrayInTable(SourceData_PastureBeef.SourceData_PastureBeef_Liveweight_Data(), Table_SourceData_PastureBeef_Liveweight[[#Headers],[State]], 0)</f>
        <v>ACT/NSW</v>
      </c>
      <c r="E20" s="10" t="str" cm="1">
        <f t="array" ref="E20">Common_InputFunctions.Utility_DisplayArrayInTable(SourceData_PastureBeef.SourceData_PastureBeef_Liveweight_Data(), Table_SourceData_PastureBeef_Liveweight[[#Headers],[State]], 0)</f>
        <v>n/a</v>
      </c>
      <c r="F20" s="10" t="str" cm="1">
        <f t="array" ref="F20">Common_InputFunctions.Utility_DisplayArrayInTable(SourceData_PastureBeef.SourceData_PastureBeef_Liveweight_Data(), Table_SourceData_PastureBeef_Liveweight[[#Headers],[State]], 0)</f>
        <v>Summer</v>
      </c>
      <c r="G20" s="10" cm="1">
        <f t="array" ref="G20">Common_InputFunctions.Utility_DisplayArrayInTable(SourceData_PastureBeef.SourceData_PastureBeef_Liveweight_Data(), Table_SourceData_PastureBeef_Liveweight[[#Headers],[State]], 0)</f>
        <v>170</v>
      </c>
      <c r="H20" s="10" cm="1">
        <f t="array" ref="H20">Common_InputFunctions.Utility_DisplayArrayInTable(SourceData_PastureBeef.SourceData_PastureBeef_Liveweight_Data(), Table_SourceData_PastureBeef_Liveweight[[#Headers],[State]], 0)</f>
        <v>520</v>
      </c>
      <c r="I20" s="10" cm="1">
        <f t="array" ref="I20">Common_InputFunctions.Utility_DisplayArrayInTable(SourceData_PastureBeef.SourceData_PastureBeef_Liveweight_Data(), Table_SourceData_PastureBeef_Liveweight[[#Headers],[State]], 0)</f>
        <v>160</v>
      </c>
      <c r="J20" s="10" cm="1">
        <f t="array" ref="J20">Common_InputFunctions.Utility_DisplayArrayInTable(SourceData_PastureBeef.SourceData_PastureBeef_Liveweight_Data(), Table_SourceData_PastureBeef_Liveweight[[#Headers],[State]], 0)</f>
        <v>360</v>
      </c>
      <c r="K20" s="10" cm="1">
        <f t="array" ref="K20">Common_InputFunctions.Utility_DisplayArrayInTable(SourceData_PastureBeef.SourceData_PastureBeef_Liveweight_Data(), Table_SourceData_PastureBeef_Liveweight[[#Headers],[State]], 0)</f>
        <v>470</v>
      </c>
      <c r="L20" s="10" cm="1">
        <f t="array" ref="L20">Common_InputFunctions.Utility_DisplayArrayInTable(SourceData_PastureBeef.SourceData_PastureBeef_Liveweight_Data(), Table_SourceData_PastureBeef_Liveweight[[#Headers],[State]], 0)</f>
        <v>160</v>
      </c>
      <c r="M20" s="10" cm="1">
        <f t="array" ref="M20">Common_InputFunctions.Utility_DisplayArrayInTable(SourceData_PastureBeef.SourceData_PastureBeef_Liveweight_Data(), Table_SourceData_PastureBeef_Liveweight[[#Headers],[State]], 0)</f>
        <v>420</v>
      </c>
      <c r="O20" s="3" t="s">
        <v>477</v>
      </c>
      <c r="S20" s="8" t="s">
        <v>463</v>
      </c>
    </row>
    <row r="21" spans="1:19" ht="20.100000000000001" customHeight="1" x14ac:dyDescent="0.25">
      <c r="A21"/>
      <c r="D21" s="8" t="str" cm="1">
        <f t="array" ref="D21">Common_InputFunctions.Utility_DisplayArrayInTable(SourceData_PastureBeef.SourceData_PastureBeef_Liveweight_Data(), Table_SourceData_PastureBeef_Liveweight[[#Headers],[State]], 0)</f>
        <v>ACT/NSW</v>
      </c>
      <c r="E21" s="10" t="str" cm="1">
        <f t="array" ref="E21">Common_InputFunctions.Utility_DisplayArrayInTable(SourceData_PastureBeef.SourceData_PastureBeef_Liveweight_Data(), Table_SourceData_PastureBeef_Liveweight[[#Headers],[State]], 0)</f>
        <v>n/a</v>
      </c>
      <c r="F21" s="10" t="str" cm="1">
        <f t="array" ref="F21">Common_InputFunctions.Utility_DisplayArrayInTable(SourceData_PastureBeef.SourceData_PastureBeef_Liveweight_Data(), Table_SourceData_PastureBeef_Liveweight[[#Headers],[State]], 0)</f>
        <v>Autumn</v>
      </c>
      <c r="G21" s="10" cm="1">
        <f t="array" ref="G21">Common_InputFunctions.Utility_DisplayArrayInTable(SourceData_PastureBeef.SourceData_PastureBeef_Liveweight_Data(), Table_SourceData_PastureBeef_Liveweight[[#Headers],[State]], 0)</f>
        <v>240</v>
      </c>
      <c r="H21" s="10" cm="1">
        <f t="array" ref="H21">Common_InputFunctions.Utility_DisplayArrayInTable(SourceData_PastureBeef.SourceData_PastureBeef_Liveweight_Data(), Table_SourceData_PastureBeef_Liveweight[[#Headers],[State]], 0)</f>
        <v>550</v>
      </c>
      <c r="I21" s="10" cm="1">
        <f t="array" ref="I21">Common_InputFunctions.Utility_DisplayArrayInTable(SourceData_PastureBeef.SourceData_PastureBeef_Liveweight_Data(), Table_SourceData_PastureBeef_Liveweight[[#Headers],[State]], 0)</f>
        <v>220</v>
      </c>
      <c r="J21" s="10" cm="1">
        <f t="array" ref="J21">Common_InputFunctions.Utility_DisplayArrayInTable(SourceData_PastureBeef.SourceData_PastureBeef_Liveweight_Data(), Table_SourceData_PastureBeef_Liveweight[[#Headers],[State]], 0)</f>
        <v>390</v>
      </c>
      <c r="K21" s="10" cm="1">
        <f t="array" ref="K21">Common_InputFunctions.Utility_DisplayArrayInTable(SourceData_PastureBeef.SourceData_PastureBeef_Liveweight_Data(), Table_SourceData_PastureBeef_Liveweight[[#Headers],[State]], 0)</f>
        <v>490</v>
      </c>
      <c r="L21" s="10" cm="1">
        <f t="array" ref="L21">Common_InputFunctions.Utility_DisplayArrayInTable(SourceData_PastureBeef.SourceData_PastureBeef_Liveweight_Data(), Table_SourceData_PastureBeef_Liveweight[[#Headers],[State]], 0)</f>
        <v>220</v>
      </c>
      <c r="M21" s="10" cm="1">
        <f t="array" ref="M21">Common_InputFunctions.Utility_DisplayArrayInTable(SourceData_PastureBeef.SourceData_PastureBeef_Liveweight_Data(), Table_SourceData_PastureBeef_Liveweight[[#Headers],[State]], 0)</f>
        <v>450</v>
      </c>
      <c r="O21" s="3" t="s">
        <v>478</v>
      </c>
    </row>
    <row r="22" spans="1:19" ht="20.100000000000001" customHeight="1" x14ac:dyDescent="0.25">
      <c r="A22" s="21" t="s">
        <v>77</v>
      </c>
      <c r="D22" s="8" t="str" cm="1">
        <f t="array" ref="D22">Common_InputFunctions.Utility_DisplayArrayInTable(SourceData_PastureBeef.SourceData_PastureBeef_Liveweight_Data(), Table_SourceData_PastureBeef_Liveweight[[#Headers],[State]], 0)</f>
        <v>ACT/NSW</v>
      </c>
      <c r="E22" s="10" t="str" cm="1">
        <f t="array" ref="E22">Common_InputFunctions.Utility_DisplayArrayInTable(SourceData_PastureBeef.SourceData_PastureBeef_Liveweight_Data(), Table_SourceData_PastureBeef_Liveweight[[#Headers],[State]], 0)</f>
        <v>n/a</v>
      </c>
      <c r="F22" s="10" t="str" cm="1">
        <f t="array" ref="F22">Common_InputFunctions.Utility_DisplayArrayInTable(SourceData_PastureBeef.SourceData_PastureBeef_Liveweight_Data(), Table_SourceData_PastureBeef_Liveweight[[#Headers],[State]], 0)</f>
        <v>Winter</v>
      </c>
      <c r="G22" s="10" cm="1">
        <f t="array" ref="G22">Common_InputFunctions.Utility_DisplayArrayInTable(SourceData_PastureBeef.SourceData_PastureBeef_Liveweight_Data(), Table_SourceData_PastureBeef_Liveweight[[#Headers],[State]], 0)</f>
        <v>280</v>
      </c>
      <c r="H22" s="10" cm="1">
        <f t="array" ref="H22">Common_InputFunctions.Utility_DisplayArrayInTable(SourceData_PastureBeef.SourceData_PastureBeef_Liveweight_Data(), Table_SourceData_PastureBeef_Liveweight[[#Headers],[State]], 0)</f>
        <v>560</v>
      </c>
      <c r="I22" s="10" cm="1">
        <f t="array" ref="I22">Common_InputFunctions.Utility_DisplayArrayInTable(SourceData_PastureBeef.SourceData_PastureBeef_Liveweight_Data(), Table_SourceData_PastureBeef_Liveweight[[#Headers],[State]], 0)</f>
        <v>260</v>
      </c>
      <c r="J22" s="10" cm="1">
        <f t="array" ref="J22">Common_InputFunctions.Utility_DisplayArrayInTable(SourceData_PastureBeef.SourceData_PastureBeef_Liveweight_Data(), Table_SourceData_PastureBeef_Liveweight[[#Headers],[State]], 0)</f>
        <v>410</v>
      </c>
      <c r="K22" s="10" cm="1">
        <f t="array" ref="K22">Common_InputFunctions.Utility_DisplayArrayInTable(SourceData_PastureBeef.SourceData_PastureBeef_Liveweight_Data(), Table_SourceData_PastureBeef_Liveweight[[#Headers],[State]], 0)</f>
        <v>500</v>
      </c>
      <c r="L22" s="10" cm="1">
        <f t="array" ref="L22">Common_InputFunctions.Utility_DisplayArrayInTable(SourceData_PastureBeef.SourceData_PastureBeef_Liveweight_Data(), Table_SourceData_PastureBeef_Liveweight[[#Headers],[State]], 0)</f>
        <v>260</v>
      </c>
      <c r="M22" s="10" cm="1">
        <f t="array" ref="M22">Common_InputFunctions.Utility_DisplayArrayInTable(SourceData_PastureBeef.SourceData_PastureBeef_Liveweight_Data(), Table_SourceData_PastureBeef_Liveweight[[#Headers],[State]], 0)</f>
        <v>460</v>
      </c>
      <c r="O22" s="3" t="s">
        <v>479</v>
      </c>
      <c r="S22" s="10" t="s">
        <v>378</v>
      </c>
    </row>
    <row r="23" spans="1:19" ht="20.100000000000001" customHeight="1" x14ac:dyDescent="0.25">
      <c r="A23" s="16" t="str">
        <f>HYPERLINK("#'15 Scope 3'!A1", "15 Scope 3")</f>
        <v>15 Scope 3</v>
      </c>
      <c r="D23" s="8" t="str" cm="1">
        <f t="array" ref="D23">Common_InputFunctions.Utility_DisplayArrayInTable(SourceData_PastureBeef.SourceData_PastureBeef_Liveweight_Data(), Table_SourceData_PastureBeef_Liveweight[[#Headers],[State]], 0)</f>
        <v>South Australia</v>
      </c>
      <c r="E23" s="10" t="str" cm="1">
        <f t="array" ref="E23">Common_InputFunctions.Utility_DisplayArrayInTable(SourceData_PastureBeef.SourceData_PastureBeef_Liveweight_Data(), Table_SourceData_PastureBeef_Liveweight[[#Headers],[State]], 0)</f>
        <v>n/a</v>
      </c>
      <c r="F23" s="10" t="str" cm="1">
        <f t="array" ref="F23">Common_InputFunctions.Utility_DisplayArrayInTable(SourceData_PastureBeef.SourceData_PastureBeef_Liveweight_Data(), Table_SourceData_PastureBeef_Liveweight[[#Headers],[State]], 0)</f>
        <v>Spring</v>
      </c>
      <c r="G23" s="10" cm="1">
        <f t="array" ref="G23">Common_InputFunctions.Utility_DisplayArrayInTable(SourceData_PastureBeef.SourceData_PastureBeef_Liveweight_Data(), Table_SourceData_PastureBeef_Liveweight[[#Headers],[State]], 0)</f>
        <v>250</v>
      </c>
      <c r="H23" s="10" cm="1">
        <f t="array" ref="H23">Common_InputFunctions.Utility_DisplayArrayInTable(SourceData_PastureBeef.SourceData_PastureBeef_Liveweight_Data(), Table_SourceData_PastureBeef_Liveweight[[#Headers],[State]], 0)</f>
        <v>800</v>
      </c>
      <c r="I23" s="10" cm="1">
        <f t="array" ref="I23">Common_InputFunctions.Utility_DisplayArrayInTable(SourceData_PastureBeef.SourceData_PastureBeef_Liveweight_Data(), Table_SourceData_PastureBeef_Liveweight[[#Headers],[State]], 0)</f>
        <v>220</v>
      </c>
      <c r="J23" s="10" cm="1">
        <f t="array" ref="J23">Common_InputFunctions.Utility_DisplayArrayInTable(SourceData_PastureBeef.SourceData_PastureBeef_Liveweight_Data(), Table_SourceData_PastureBeef_Liveweight[[#Headers],[State]], 0)</f>
        <v>400</v>
      </c>
      <c r="K23" s="10" cm="1">
        <f t="array" ref="K23">Common_InputFunctions.Utility_DisplayArrayInTable(SourceData_PastureBeef.SourceData_PastureBeef_Liveweight_Data(), Table_SourceData_PastureBeef_Liveweight[[#Headers],[State]], 0)</f>
        <v>500</v>
      </c>
      <c r="L23" s="10" cm="1">
        <f t="array" ref="L23">Common_InputFunctions.Utility_DisplayArrayInTable(SourceData_PastureBeef.SourceData_PastureBeef_Liveweight_Data(), Table_SourceData_PastureBeef_Liveweight[[#Headers],[State]], 0)</f>
        <v>230</v>
      </c>
      <c r="M23" s="10" cm="1">
        <f t="array" ref="M23">Common_InputFunctions.Utility_DisplayArrayInTable(SourceData_PastureBeef.SourceData_PastureBeef_Liveweight_Data(), Table_SourceData_PastureBeef_Liveweight[[#Headers],[State]], 0)</f>
        <v>420</v>
      </c>
      <c r="O23" s="3" t="s">
        <v>480</v>
      </c>
      <c r="S23" s="10" t="s">
        <v>426</v>
      </c>
    </row>
    <row r="24" spans="1:19" ht="20.100000000000001" customHeight="1" x14ac:dyDescent="0.25">
      <c r="A24" s="16" t="str">
        <f>HYPERLINK("#'10.1.1-2 Solid waste treatment'!A1", "10.1.1-2 Solid waste treatment")</f>
        <v>10.1.1-2 Solid waste treatment</v>
      </c>
      <c r="D24" s="8" t="str" cm="1">
        <f t="array" ref="D24">Common_InputFunctions.Utility_DisplayArrayInTable(SourceData_PastureBeef.SourceData_PastureBeef_Liveweight_Data(), Table_SourceData_PastureBeef_Liveweight[[#Headers],[State]], 0)</f>
        <v>South Australia</v>
      </c>
      <c r="E24" s="10" t="str" cm="1">
        <f t="array" ref="E24">Common_InputFunctions.Utility_DisplayArrayInTable(SourceData_PastureBeef.SourceData_PastureBeef_Liveweight_Data(), Table_SourceData_PastureBeef_Liveweight[[#Headers],[State]], 0)</f>
        <v>n/a</v>
      </c>
      <c r="F24" s="10" t="str" cm="1">
        <f t="array" ref="F24">Common_InputFunctions.Utility_DisplayArrayInTable(SourceData_PastureBeef.SourceData_PastureBeef_Liveweight_Data(), Table_SourceData_PastureBeef_Liveweight[[#Headers],[State]], 0)</f>
        <v>Summer</v>
      </c>
      <c r="G24" s="10" cm="1">
        <f t="array" ref="G24">Common_InputFunctions.Utility_DisplayArrayInTable(SourceData_PastureBeef.SourceData_PastureBeef_Liveweight_Data(), Table_SourceData_PastureBeef_Liveweight[[#Headers],[State]], 0)</f>
        <v>320</v>
      </c>
      <c r="H24" s="10" cm="1">
        <f t="array" ref="H24">Common_InputFunctions.Utility_DisplayArrayInTable(SourceData_PastureBeef.SourceData_PastureBeef_Liveweight_Data(), Table_SourceData_PastureBeef_Liveweight[[#Headers],[State]], 0)</f>
        <v>800</v>
      </c>
      <c r="I24" s="10" cm="1">
        <f t="array" ref="I24">Common_InputFunctions.Utility_DisplayArrayInTable(SourceData_PastureBeef.SourceData_PastureBeef_Liveweight_Data(), Table_SourceData_PastureBeef_Liveweight[[#Headers],[State]], 0)</f>
        <v>280</v>
      </c>
      <c r="J24" s="10" cm="1">
        <f t="array" ref="J24">Common_InputFunctions.Utility_DisplayArrayInTable(SourceData_PastureBeef.SourceData_PastureBeef_Liveweight_Data(), Table_SourceData_PastureBeef_Liveweight[[#Headers],[State]], 0)</f>
        <v>420</v>
      </c>
      <c r="K24" s="10" cm="1">
        <f t="array" ref="K24">Common_InputFunctions.Utility_DisplayArrayInTable(SourceData_PastureBeef.SourceData_PastureBeef_Liveweight_Data(), Table_SourceData_PastureBeef_Liveweight[[#Headers],[State]], 0)</f>
        <v>500</v>
      </c>
      <c r="L24" s="10" cm="1">
        <f t="array" ref="L24">Common_InputFunctions.Utility_DisplayArrayInTable(SourceData_PastureBeef.SourceData_PastureBeef_Liveweight_Data(), Table_SourceData_PastureBeef_Liveweight[[#Headers],[State]], 0)</f>
        <v>290</v>
      </c>
      <c r="M24" s="10" cm="1">
        <f t="array" ref="M24">Common_InputFunctions.Utility_DisplayArrayInTable(SourceData_PastureBeef.SourceData_PastureBeef_Liveweight_Data(), Table_SourceData_PastureBeef_Liveweight[[#Headers],[State]], 0)</f>
        <v>420</v>
      </c>
      <c r="O24" s="3" t="s">
        <v>481</v>
      </c>
    </row>
    <row r="25" spans="1:19" ht="20.100000000000001" customHeight="1" x14ac:dyDescent="0.25">
      <c r="A25" s="16" t="str">
        <f>HYPERLINK("#'Calcs - Manure sent off-site'!A1", "Calcs - Manure sent off-site")</f>
        <v>Calcs - Manure sent off-site</v>
      </c>
      <c r="D25" s="8" t="str" cm="1">
        <f t="array" ref="D25">Common_InputFunctions.Utility_DisplayArrayInTable(SourceData_PastureBeef.SourceData_PastureBeef_Liveweight_Data(), Table_SourceData_PastureBeef_Liveweight[[#Headers],[State]], 0)</f>
        <v>South Australia</v>
      </c>
      <c r="E25" s="10" t="str" cm="1">
        <f t="array" ref="E25">Common_InputFunctions.Utility_DisplayArrayInTable(SourceData_PastureBeef.SourceData_PastureBeef_Liveweight_Data(), Table_SourceData_PastureBeef_Liveweight[[#Headers],[State]], 0)</f>
        <v>n/a</v>
      </c>
      <c r="F25" s="10" t="str" cm="1">
        <f t="array" ref="F25">Common_InputFunctions.Utility_DisplayArrayInTable(SourceData_PastureBeef.SourceData_PastureBeef_Liveweight_Data(), Table_SourceData_PastureBeef_Liveweight[[#Headers],[State]], 0)</f>
        <v>Autumn</v>
      </c>
      <c r="G25" s="10" cm="1">
        <f t="array" ref="G25">Common_InputFunctions.Utility_DisplayArrayInTable(SourceData_PastureBeef.SourceData_PastureBeef_Liveweight_Data(), Table_SourceData_PastureBeef_Liveweight[[#Headers],[State]], 0)</f>
        <v>80</v>
      </c>
      <c r="H25" s="10" cm="1">
        <f t="array" ref="H25">Common_InputFunctions.Utility_DisplayArrayInTable(SourceData_PastureBeef.SourceData_PastureBeef_Liveweight_Data(), Table_SourceData_PastureBeef_Liveweight[[#Headers],[State]], 0)</f>
        <v>700</v>
      </c>
      <c r="I25" s="10" cm="1">
        <f t="array" ref="I25">Common_InputFunctions.Utility_DisplayArrayInTable(SourceData_PastureBeef.SourceData_PastureBeef_Liveweight_Data(), Table_SourceData_PastureBeef_Liveweight[[#Headers],[State]], 0)</f>
        <v>70</v>
      </c>
      <c r="J25" s="10" cm="1">
        <f t="array" ref="J25">Common_InputFunctions.Utility_DisplayArrayInTable(SourceData_PastureBeef.SourceData_PastureBeef_Liveweight_Data(), Table_SourceData_PastureBeef_Liveweight[[#Headers],[State]], 0)</f>
        <v>300</v>
      </c>
      <c r="K25" s="10" cm="1">
        <f t="array" ref="K25">Common_InputFunctions.Utility_DisplayArrayInTable(SourceData_PastureBeef.SourceData_PastureBeef_Liveweight_Data(), Table_SourceData_PastureBeef_Liveweight[[#Headers],[State]], 0)</f>
        <v>450</v>
      </c>
      <c r="L25" s="10" cm="1">
        <f t="array" ref="L25">Common_InputFunctions.Utility_DisplayArrayInTable(SourceData_PastureBeef.SourceData_PastureBeef_Liveweight_Data(), Table_SourceData_PastureBeef_Liveweight[[#Headers],[State]], 0)</f>
        <v>75</v>
      </c>
      <c r="M25" s="10" cm="1">
        <f t="array" ref="M25">Common_InputFunctions.Utility_DisplayArrayInTable(SourceData_PastureBeef.SourceData_PastureBeef_Liveweight_Data(), Table_SourceData_PastureBeef_Liveweight[[#Headers],[State]], 0)</f>
        <v>400</v>
      </c>
      <c r="O25" s="3" t="s">
        <v>482</v>
      </c>
      <c r="S25" s="8" t="s">
        <v>464</v>
      </c>
    </row>
    <row r="26" spans="1:19" ht="20.100000000000001" customHeight="1" x14ac:dyDescent="0.25">
      <c r="A26" s="16" t="str">
        <f>HYPERLINK("#'8.1.1.1-2 Transport fuel'!A1", "8.1.1.1-2 Transport fuel")</f>
        <v>8.1.1.1-2 Transport fuel</v>
      </c>
      <c r="D26" s="8" t="str" cm="1">
        <f t="array" ref="D26">Common_InputFunctions.Utility_DisplayArrayInTable(SourceData_PastureBeef.SourceData_PastureBeef_Liveweight_Data(), Table_SourceData_PastureBeef_Liveweight[[#Headers],[State]], 0)</f>
        <v>South Australia</v>
      </c>
      <c r="E26" s="10" t="str" cm="1">
        <f t="array" ref="E26">Common_InputFunctions.Utility_DisplayArrayInTable(SourceData_PastureBeef.SourceData_PastureBeef_Liveweight_Data(), Table_SourceData_PastureBeef_Liveweight[[#Headers],[State]], 0)</f>
        <v>n/a</v>
      </c>
      <c r="F26" s="10" t="str" cm="1">
        <f t="array" ref="F26">Common_InputFunctions.Utility_DisplayArrayInTable(SourceData_PastureBeef.SourceData_PastureBeef_Liveweight_Data(), Table_SourceData_PastureBeef_Liveweight[[#Headers],[State]], 0)</f>
        <v>Winter</v>
      </c>
      <c r="G26" s="10" cm="1">
        <f t="array" ref="G26">Common_InputFunctions.Utility_DisplayArrayInTable(SourceData_PastureBeef.SourceData_PastureBeef_Liveweight_Data(), Table_SourceData_PastureBeef_Liveweight[[#Headers],[State]], 0)</f>
        <v>160</v>
      </c>
      <c r="H26" s="10" cm="1">
        <f t="array" ref="H26">Common_InputFunctions.Utility_DisplayArrayInTable(SourceData_PastureBeef.SourceData_PastureBeef_Liveweight_Data(), Table_SourceData_PastureBeef_Liveweight[[#Headers],[State]], 0)</f>
        <v>700</v>
      </c>
      <c r="I26" s="10" cm="1">
        <f t="array" ref="I26">Common_InputFunctions.Utility_DisplayArrayInTable(SourceData_PastureBeef.SourceData_PastureBeef_Liveweight_Data(), Table_SourceData_PastureBeef_Liveweight[[#Headers],[State]], 0)</f>
        <v>140</v>
      </c>
      <c r="J26" s="10" cm="1">
        <f t="array" ref="J26">Common_InputFunctions.Utility_DisplayArrayInTable(SourceData_PastureBeef.SourceData_PastureBeef_Liveweight_Data(), Table_SourceData_PastureBeef_Liveweight[[#Headers],[State]], 0)</f>
        <v>350</v>
      </c>
      <c r="K26" s="10" cm="1">
        <f t="array" ref="K26">Common_InputFunctions.Utility_DisplayArrayInTable(SourceData_PastureBeef.SourceData_PastureBeef_Liveweight_Data(), Table_SourceData_PastureBeef_Liveweight[[#Headers],[State]], 0)</f>
        <v>450</v>
      </c>
      <c r="L26" s="10" cm="1">
        <f t="array" ref="L26">Common_InputFunctions.Utility_DisplayArrayInTable(SourceData_PastureBeef.SourceData_PastureBeef_Liveweight_Data(), Table_SourceData_PastureBeef_Liveweight[[#Headers],[State]], 0)</f>
        <v>150</v>
      </c>
      <c r="M26" s="10" cm="1">
        <f t="array" ref="M26">Common_InputFunctions.Utility_DisplayArrayInTable(SourceData_PastureBeef.SourceData_PastureBeef_Liveweight_Data(), Table_SourceData_PastureBeef_Liveweight[[#Headers],[State]], 0)</f>
        <v>400</v>
      </c>
      <c r="O26" s="3" t="s">
        <v>483</v>
      </c>
    </row>
    <row r="27" spans="1:19" ht="20.100000000000001" customHeight="1" x14ac:dyDescent="0.25">
      <c r="A27" s="16" t="str">
        <f>HYPERLINK("#'8.2.1.1-2 Stationary fuel'!A1", "8.2.1.1-2 Stationary fuel")</f>
        <v>8.2.1.1-2 Stationary fuel</v>
      </c>
      <c r="D27" s="8" t="str" cm="1">
        <f t="array" ref="D27">Common_InputFunctions.Utility_DisplayArrayInTable(SourceData_PastureBeef.SourceData_PastureBeef_Liveweight_Data(), Table_SourceData_PastureBeef_Liveweight[[#Headers],[State]], 0)</f>
        <v>Tasmania</v>
      </c>
      <c r="E27" s="10" t="str" cm="1">
        <f t="array" ref="E27">Common_InputFunctions.Utility_DisplayArrayInTable(SourceData_PastureBeef.SourceData_PastureBeef_Liveweight_Data(), Table_SourceData_PastureBeef_Liveweight[[#Headers],[State]], 0)</f>
        <v>n/a</v>
      </c>
      <c r="F27" s="10" t="str" cm="1">
        <f t="array" ref="F27">Common_InputFunctions.Utility_DisplayArrayInTable(SourceData_PastureBeef.SourceData_PastureBeef_Liveweight_Data(), Table_SourceData_PastureBeef_Liveweight[[#Headers],[State]], 0)</f>
        <v>Spring</v>
      </c>
      <c r="G27" s="10" cm="1">
        <f t="array" ref="G27">Common_InputFunctions.Utility_DisplayArrayInTable(SourceData_PastureBeef.SourceData_PastureBeef_Liveweight_Data(), Table_SourceData_PastureBeef_Liveweight[[#Headers],[State]], 0)</f>
        <v>105</v>
      </c>
      <c r="H27" s="10" cm="1">
        <f t="array" ref="H27">Common_InputFunctions.Utility_DisplayArrayInTable(SourceData_PastureBeef.SourceData_PastureBeef_Liveweight_Data(), Table_SourceData_PastureBeef_Liveweight[[#Headers],[State]], 0)</f>
        <v>700</v>
      </c>
      <c r="I27" s="10" cm="1">
        <f t="array" ref="I27">Common_InputFunctions.Utility_DisplayArrayInTable(SourceData_PastureBeef.SourceData_PastureBeef_Liveweight_Data(), Table_SourceData_PastureBeef_Liveweight[[#Headers],[State]], 0)</f>
        <v>85</v>
      </c>
      <c r="J27" s="10" cm="1">
        <f t="array" ref="J27">Common_InputFunctions.Utility_DisplayArrayInTable(SourceData_PastureBeef.SourceData_PastureBeef_Liveweight_Data(), Table_SourceData_PastureBeef_Liveweight[[#Headers],[State]], 0)</f>
        <v>300</v>
      </c>
      <c r="K27" s="10" cm="1">
        <f t="array" ref="K27">Common_InputFunctions.Utility_DisplayArrayInTable(SourceData_PastureBeef.SourceData_PastureBeef_Liveweight_Data(), Table_SourceData_PastureBeef_Liveweight[[#Headers],[State]], 0)</f>
        <v>490</v>
      </c>
      <c r="L27" s="10" cm="1">
        <f t="array" ref="L27">Common_InputFunctions.Utility_DisplayArrayInTable(SourceData_PastureBeef.SourceData_PastureBeef_Liveweight_Data(), Table_SourceData_PastureBeef_Liveweight[[#Headers],[State]], 0)</f>
        <v>90</v>
      </c>
      <c r="M27" s="10" cm="1">
        <f t="array" ref="M27">Common_InputFunctions.Utility_DisplayArrayInTable(SourceData_PastureBeef.SourceData_PastureBeef_Liveweight_Data(), Table_SourceData_PastureBeef_Liveweight[[#Headers],[State]], 0)</f>
        <v>480</v>
      </c>
      <c r="O27" s="3" t="s">
        <v>484</v>
      </c>
      <c r="S27" s="10" t="s">
        <v>378</v>
      </c>
    </row>
    <row r="28" spans="1:19" ht="20.100000000000001" customHeight="1" x14ac:dyDescent="0.25">
      <c r="A28"/>
      <c r="D28" s="8" t="str" cm="1">
        <f t="array" ref="D28">Common_InputFunctions.Utility_DisplayArrayInTable(SourceData_PastureBeef.SourceData_PastureBeef_Liveweight_Data(), Table_SourceData_PastureBeef_Liveweight[[#Headers],[State]], 0)</f>
        <v>Tasmania</v>
      </c>
      <c r="E28" s="10" t="str" cm="1">
        <f t="array" ref="E28">Common_InputFunctions.Utility_DisplayArrayInTable(SourceData_PastureBeef.SourceData_PastureBeef_Liveweight_Data(), Table_SourceData_PastureBeef_Liveweight[[#Headers],[State]], 0)</f>
        <v>n/a</v>
      </c>
      <c r="F28" s="10" t="str" cm="1">
        <f t="array" ref="F28">Common_InputFunctions.Utility_DisplayArrayInTable(SourceData_PastureBeef.SourceData_PastureBeef_Liveweight_Data(), Table_SourceData_PastureBeef_Liveweight[[#Headers],[State]], 0)</f>
        <v>Summer</v>
      </c>
      <c r="G28" s="10" cm="1">
        <f t="array" ref="G28">Common_InputFunctions.Utility_DisplayArrayInTable(SourceData_PastureBeef.SourceData_PastureBeef_Liveweight_Data(), Table_SourceData_PastureBeef_Liveweight[[#Headers],[State]], 0)</f>
        <v>480</v>
      </c>
      <c r="H28" s="10" cm="1">
        <f t="array" ref="H28">Common_InputFunctions.Utility_DisplayArrayInTable(SourceData_PastureBeef.SourceData_PastureBeef_Liveweight_Data(), Table_SourceData_PastureBeef_Liveweight[[#Headers],[State]], 0)</f>
        <v>750</v>
      </c>
      <c r="I28" s="10" cm="1">
        <f t="array" ref="I28">Common_InputFunctions.Utility_DisplayArrayInTable(SourceData_PastureBeef.SourceData_PastureBeef_Liveweight_Data(), Table_SourceData_PastureBeef_Liveweight[[#Headers],[State]], 0)</f>
        <v>150</v>
      </c>
      <c r="J28" s="10" cm="1">
        <f t="array" ref="J28">Common_InputFunctions.Utility_DisplayArrayInTable(SourceData_PastureBeef.SourceData_PastureBeef_Liveweight_Data(), Table_SourceData_PastureBeef_Liveweight[[#Headers],[State]], 0)</f>
        <v>350</v>
      </c>
      <c r="K28" s="10" cm="1">
        <f t="array" ref="K28">Common_InputFunctions.Utility_DisplayArrayInTable(SourceData_PastureBeef.SourceData_PastureBeef_Liveweight_Data(), Table_SourceData_PastureBeef_Liveweight[[#Headers],[State]], 0)</f>
        <v>530</v>
      </c>
      <c r="L28" s="10" cm="1">
        <f t="array" ref="L28">Common_InputFunctions.Utility_DisplayArrayInTable(SourceData_PastureBeef.SourceData_PastureBeef_Liveweight_Data(), Table_SourceData_PastureBeef_Liveweight[[#Headers],[State]], 0)</f>
        <v>160</v>
      </c>
      <c r="M28" s="10" cm="1">
        <f t="array" ref="M28">Common_InputFunctions.Utility_DisplayArrayInTable(SourceData_PastureBeef.SourceData_PastureBeef_Liveweight_Data(), Table_SourceData_PastureBeef_Liveweight[[#Headers],[State]], 0)</f>
        <v>460</v>
      </c>
      <c r="O28" s="3" t="s">
        <v>485</v>
      </c>
      <c r="S28" s="10" t="s">
        <v>426</v>
      </c>
    </row>
    <row r="29" spans="1:19" ht="20.100000000000001" customHeight="1" x14ac:dyDescent="0.25">
      <c r="A29"/>
      <c r="D29" s="8" t="str" cm="1">
        <f t="array" ref="D29">Common_InputFunctions.Utility_DisplayArrayInTable(SourceData_PastureBeef.SourceData_PastureBeef_Liveweight_Data(), Table_SourceData_PastureBeef_Liveweight[[#Headers],[State]], 0)</f>
        <v>Tasmania</v>
      </c>
      <c r="E29" s="10" t="str" cm="1">
        <f t="array" ref="E29">Common_InputFunctions.Utility_DisplayArrayInTable(SourceData_PastureBeef.SourceData_PastureBeef_Liveweight_Data(), Table_SourceData_PastureBeef_Liveweight[[#Headers],[State]], 0)</f>
        <v>n/a</v>
      </c>
      <c r="F29" s="10" t="str" cm="1">
        <f t="array" ref="F29">Common_InputFunctions.Utility_DisplayArrayInTable(SourceData_PastureBeef.SourceData_PastureBeef_Liveweight_Data(), Table_SourceData_PastureBeef_Liveweight[[#Headers],[State]], 0)</f>
        <v>Autumn</v>
      </c>
      <c r="G29" s="10" cm="1">
        <f t="array" ref="G29">Common_InputFunctions.Utility_DisplayArrayInTable(SourceData_PastureBeef.SourceData_PastureBeef_Liveweight_Data(), Table_SourceData_PastureBeef_Liveweight[[#Headers],[State]], 0)</f>
        <v>250</v>
      </c>
      <c r="H29" s="10" cm="1">
        <f t="array" ref="H29">Common_InputFunctions.Utility_DisplayArrayInTable(SourceData_PastureBeef.SourceData_PastureBeef_Liveweight_Data(), Table_SourceData_PastureBeef_Liveweight[[#Headers],[State]], 0)</f>
        <v>725</v>
      </c>
      <c r="I29" s="10" cm="1">
        <f t="array" ref="I29">Common_InputFunctions.Utility_DisplayArrayInTable(SourceData_PastureBeef.SourceData_PastureBeef_Liveweight_Data(), Table_SourceData_PastureBeef_Liveweight[[#Headers],[State]], 0)</f>
        <v>200</v>
      </c>
      <c r="J29" s="10" cm="1">
        <f t="array" ref="J29">Common_InputFunctions.Utility_DisplayArrayInTable(SourceData_PastureBeef.SourceData_PastureBeef_Liveweight_Data(), Table_SourceData_PastureBeef_Liveweight[[#Headers],[State]], 0)</f>
        <v>360</v>
      </c>
      <c r="K29" s="10" cm="1">
        <f t="array" ref="K29">Common_InputFunctions.Utility_DisplayArrayInTable(SourceData_PastureBeef.SourceData_PastureBeef_Liveweight_Data(), Table_SourceData_PastureBeef_Liveweight[[#Headers],[State]], 0)</f>
        <v>500</v>
      </c>
      <c r="L29" s="10" cm="1">
        <f t="array" ref="L29">Common_InputFunctions.Utility_DisplayArrayInTable(SourceData_PastureBeef.SourceData_PastureBeef_Liveweight_Data(), Table_SourceData_PastureBeef_Liveweight[[#Headers],[State]], 0)</f>
        <v>215</v>
      </c>
      <c r="M29" s="10" cm="1">
        <f t="array" ref="M29">Common_InputFunctions.Utility_DisplayArrayInTable(SourceData_PastureBeef.SourceData_PastureBeef_Liveweight_Data(), Table_SourceData_PastureBeef_Liveweight[[#Headers],[State]], 0)</f>
        <v>490</v>
      </c>
    </row>
    <row r="30" spans="1:19" ht="20.100000000000001" customHeight="1" x14ac:dyDescent="0.25">
      <c r="A30" s="221" t="s">
        <v>78</v>
      </c>
      <c r="D30" s="8" t="str" cm="1">
        <f t="array" ref="D30">Common_InputFunctions.Utility_DisplayArrayInTable(SourceData_PastureBeef.SourceData_PastureBeef_Liveweight_Data(), Table_SourceData_PastureBeef_Liveweight[[#Headers],[State]], 0)</f>
        <v>Tasmania</v>
      </c>
      <c r="E30" s="10" t="str" cm="1">
        <f t="array" ref="E30">Common_InputFunctions.Utility_DisplayArrayInTable(SourceData_PastureBeef.SourceData_PastureBeef_Liveweight_Data(), Table_SourceData_PastureBeef_Liveweight[[#Headers],[State]], 0)</f>
        <v>n/a</v>
      </c>
      <c r="F30" s="10" t="str" cm="1">
        <f t="array" ref="F30">Common_InputFunctions.Utility_DisplayArrayInTable(SourceData_PastureBeef.SourceData_PastureBeef_Liveweight_Data(), Table_SourceData_PastureBeef_Liveweight[[#Headers],[State]], 0)</f>
        <v>Winter</v>
      </c>
      <c r="G30" s="10" cm="1">
        <f t="array" ref="G30">Common_InputFunctions.Utility_DisplayArrayInTable(SourceData_PastureBeef.SourceData_PastureBeef_Liveweight_Data(), Table_SourceData_PastureBeef_Liveweight[[#Headers],[State]], 0)</f>
        <v>260</v>
      </c>
      <c r="H30" s="10" cm="1">
        <f t="array" ref="H30">Common_InputFunctions.Utility_DisplayArrayInTable(SourceData_PastureBeef.SourceData_PastureBeef_Liveweight_Data(), Table_SourceData_PastureBeef_Liveweight[[#Headers],[State]], 0)</f>
        <v>700</v>
      </c>
      <c r="I30" s="10" cm="1">
        <f t="array" ref="I30">Common_InputFunctions.Utility_DisplayArrayInTable(SourceData_PastureBeef.SourceData_PastureBeef_Liveweight_Data(), Table_SourceData_PastureBeef_Liveweight[[#Headers],[State]], 0)</f>
        <v>210</v>
      </c>
      <c r="J30" s="10" cm="1">
        <f t="array" ref="J30">Common_InputFunctions.Utility_DisplayArrayInTable(SourceData_PastureBeef.SourceData_PastureBeef_Liveweight_Data(), Table_SourceData_PastureBeef_Liveweight[[#Headers],[State]], 0)</f>
        <v>380</v>
      </c>
      <c r="K30" s="10" cm="1">
        <f t="array" ref="K30">Common_InputFunctions.Utility_DisplayArrayInTable(SourceData_PastureBeef.SourceData_PastureBeef_Liveweight_Data(), Table_SourceData_PastureBeef_Liveweight[[#Headers],[State]], 0)</f>
        <v>460</v>
      </c>
      <c r="L30" s="10" cm="1">
        <f t="array" ref="L30">Common_InputFunctions.Utility_DisplayArrayInTable(SourceData_PastureBeef.SourceData_PastureBeef_Liveweight_Data(), Table_SourceData_PastureBeef_Liveweight[[#Headers],[State]], 0)</f>
        <v>230</v>
      </c>
      <c r="M30" s="10" cm="1">
        <f t="array" ref="M30">Common_InputFunctions.Utility_DisplayArrayInTable(SourceData_PastureBeef.SourceData_PastureBeef_Liveweight_Data(), Table_SourceData_PastureBeef_Liveweight[[#Headers],[State]], 0)</f>
        <v>470</v>
      </c>
    </row>
    <row r="31" spans="1:19" ht="20.100000000000001" customHeight="1" x14ac:dyDescent="0.25">
      <c r="A31" s="16" t="str">
        <f>HYPERLINK("#'Constants - Scope 3'!A1", "Constants - Scope 3")</f>
        <v>Constants - Scope 3</v>
      </c>
      <c r="D31" s="8" t="str" cm="1">
        <f t="array" ref="D31">Common_InputFunctions.Utility_DisplayArrayInTable(SourceData_PastureBeef.SourceData_PastureBeef_Liveweight_Data(), Table_SourceData_PastureBeef_Liveweight[[#Headers],[State]], 0)</f>
        <v>Victoria</v>
      </c>
      <c r="E31" s="10" t="str" cm="1">
        <f t="array" ref="E31">Common_InputFunctions.Utility_DisplayArrayInTable(SourceData_PastureBeef.SourceData_PastureBeef_Liveweight_Data(), Table_SourceData_PastureBeef_Liveweight[[#Headers],[State]], 0)</f>
        <v>n/a</v>
      </c>
      <c r="F31" s="10" t="str" cm="1">
        <f t="array" ref="F31">Common_InputFunctions.Utility_DisplayArrayInTable(SourceData_PastureBeef.SourceData_PastureBeef_Liveweight_Data(), Table_SourceData_PastureBeef_Liveweight[[#Headers],[State]], 0)</f>
        <v>Spring</v>
      </c>
      <c r="G31" s="10" cm="1">
        <f t="array" ref="G31">Common_InputFunctions.Utility_DisplayArrayInTable(SourceData_PastureBeef.SourceData_PastureBeef_Liveweight_Data(), Table_SourceData_PastureBeef_Liveweight[[#Headers],[State]], 0)</f>
        <v>250</v>
      </c>
      <c r="H31" s="10" cm="1">
        <f t="array" ref="H31">Common_InputFunctions.Utility_DisplayArrayInTable(SourceData_PastureBeef.SourceData_PastureBeef_Liveweight_Data(), Table_SourceData_PastureBeef_Liveweight[[#Headers],[State]], 0)</f>
        <v>820</v>
      </c>
      <c r="I31" s="10" cm="1">
        <f t="array" ref="I31">Common_InputFunctions.Utility_DisplayArrayInTable(SourceData_PastureBeef.SourceData_PastureBeef_Liveweight_Data(), Table_SourceData_PastureBeef_Liveweight[[#Headers],[State]], 0)</f>
        <v>240</v>
      </c>
      <c r="J31" s="10" cm="1">
        <f t="array" ref="J31">Common_InputFunctions.Utility_DisplayArrayInTable(SourceData_PastureBeef.SourceData_PastureBeef_Liveweight_Data(), Table_SourceData_PastureBeef_Liveweight[[#Headers],[State]], 0)</f>
        <v>410</v>
      </c>
      <c r="K31" s="10" cm="1">
        <f t="array" ref="K31">Common_InputFunctions.Utility_DisplayArrayInTable(SourceData_PastureBeef.SourceData_PastureBeef_Liveweight_Data(), Table_SourceData_PastureBeef_Liveweight[[#Headers],[State]], 0)</f>
        <v>560</v>
      </c>
      <c r="L31" s="10" cm="1">
        <f t="array" ref="L31">Common_InputFunctions.Utility_DisplayArrayInTable(SourceData_PastureBeef.SourceData_PastureBeef_Liveweight_Data(), Table_SourceData_PastureBeef_Liveweight[[#Headers],[State]], 0)</f>
        <v>240</v>
      </c>
      <c r="M31" s="10" cm="1">
        <f t="array" ref="M31">Common_InputFunctions.Utility_DisplayArrayInTable(SourceData_PastureBeef.SourceData_PastureBeef_Liveweight_Data(), Table_SourceData_PastureBeef_Liveweight[[#Headers],[State]], 0)</f>
        <v>510</v>
      </c>
      <c r="O31" s="8" t="s">
        <v>425</v>
      </c>
    </row>
    <row r="32" spans="1:19" ht="20.100000000000001" customHeight="1" x14ac:dyDescent="0.25">
      <c r="A32" s="16" t="str">
        <f>HYPERLINK("#'Constants - Solid Waste'!A1", "Constants - Solid Waste")</f>
        <v>Constants - Solid Waste</v>
      </c>
      <c r="D32" s="8" t="str" cm="1">
        <f t="array" ref="D32">Common_InputFunctions.Utility_DisplayArrayInTable(SourceData_PastureBeef.SourceData_PastureBeef_Liveweight_Data(), Table_SourceData_PastureBeef_Liveweight[[#Headers],[State]], 0)</f>
        <v>Victoria</v>
      </c>
      <c r="E32" s="10" t="str" cm="1">
        <f t="array" ref="E32">Common_InputFunctions.Utility_DisplayArrayInTable(SourceData_PastureBeef.SourceData_PastureBeef_Liveweight_Data(), Table_SourceData_PastureBeef_Liveweight[[#Headers],[State]], 0)</f>
        <v>n/a</v>
      </c>
      <c r="F32" s="10" t="str" cm="1">
        <f t="array" ref="F32">Common_InputFunctions.Utility_DisplayArrayInTable(SourceData_PastureBeef.SourceData_PastureBeef_Liveweight_Data(), Table_SourceData_PastureBeef_Liveweight[[#Headers],[State]], 0)</f>
        <v>Summer</v>
      </c>
      <c r="G32" s="10" cm="1">
        <f t="array" ref="G32">Common_InputFunctions.Utility_DisplayArrayInTable(SourceData_PastureBeef.SourceData_PastureBeef_Liveweight_Data(), Table_SourceData_PastureBeef_Liveweight[[#Headers],[State]], 0)</f>
        <v>280</v>
      </c>
      <c r="H32" s="10" cm="1">
        <f t="array" ref="H32">Common_InputFunctions.Utility_DisplayArrayInTable(SourceData_PastureBeef.SourceData_PastureBeef_Liveweight_Data(), Table_SourceData_PastureBeef_Liveweight[[#Headers],[State]], 0)</f>
        <v>850</v>
      </c>
      <c r="I32" s="10" cm="1">
        <f t="array" ref="I32">Common_InputFunctions.Utility_DisplayArrayInTable(SourceData_PastureBeef.SourceData_PastureBeef_Liveweight_Data(), Table_SourceData_PastureBeef_Liveweight[[#Headers],[State]], 0)</f>
        <v>260</v>
      </c>
      <c r="J32" s="10" cm="1">
        <f t="array" ref="J32">Common_InputFunctions.Utility_DisplayArrayInTable(SourceData_PastureBeef.SourceData_PastureBeef_Liveweight_Data(), Table_SourceData_PastureBeef_Liveweight[[#Headers],[State]], 0)</f>
        <v>440</v>
      </c>
      <c r="K32" s="10" cm="1">
        <f t="array" ref="K32">Common_InputFunctions.Utility_DisplayArrayInTable(SourceData_PastureBeef.SourceData_PastureBeef_Liveweight_Data(), Table_SourceData_PastureBeef_Liveweight[[#Headers],[State]], 0)</f>
        <v>550</v>
      </c>
      <c r="L32" s="10" cm="1">
        <f t="array" ref="L32">Common_InputFunctions.Utility_DisplayArrayInTable(SourceData_PastureBeef.SourceData_PastureBeef_Liveweight_Data(), Table_SourceData_PastureBeef_Liveweight[[#Headers],[State]], 0)</f>
        <v>270</v>
      </c>
      <c r="M32" s="10" cm="1">
        <f t="array" ref="M32">Common_InputFunctions.Utility_DisplayArrayInTable(SourceData_PastureBeef.SourceData_PastureBeef_Liveweight_Data(), Table_SourceData_PastureBeef_Liveweight[[#Headers],[State]], 0)</f>
        <v>520</v>
      </c>
      <c r="O32" s="10" t="s">
        <v>378</v>
      </c>
      <c r="P32" s="10" t="s">
        <v>508</v>
      </c>
    </row>
    <row r="33" spans="1:16" ht="20.100000000000001" customHeight="1" x14ac:dyDescent="0.25">
      <c r="A33" s="16" t="str">
        <f>HYPERLINK("#'Constants - Fuel'!A1", "Constants - Fuel")</f>
        <v>Constants - Fuel</v>
      </c>
      <c r="D33" s="8" t="str" cm="1">
        <f t="array" ref="D33">Common_InputFunctions.Utility_DisplayArrayInTable(SourceData_PastureBeef.SourceData_PastureBeef_Liveweight_Data(), Table_SourceData_PastureBeef_Liveweight[[#Headers],[State]], 0)</f>
        <v>Victoria</v>
      </c>
      <c r="E33" s="10" t="str" cm="1">
        <f t="array" ref="E33">Common_InputFunctions.Utility_DisplayArrayInTable(SourceData_PastureBeef.SourceData_PastureBeef_Liveweight_Data(), Table_SourceData_PastureBeef_Liveweight[[#Headers],[State]], 0)</f>
        <v>n/a</v>
      </c>
      <c r="F33" s="10" t="str" cm="1">
        <f t="array" ref="F33">Common_InputFunctions.Utility_DisplayArrayInTable(SourceData_PastureBeef.SourceData_PastureBeef_Liveweight_Data(), Table_SourceData_PastureBeef_Liveweight[[#Headers],[State]], 0)</f>
        <v>Autumn</v>
      </c>
      <c r="G33" s="10" cm="1">
        <f t="array" ref="G33">Common_InputFunctions.Utility_DisplayArrayInTable(SourceData_PastureBeef.SourceData_PastureBeef_Liveweight_Data(), Table_SourceData_PastureBeef_Liveweight[[#Headers],[State]], 0)</f>
        <v>100</v>
      </c>
      <c r="H33" s="10" cm="1">
        <f t="array" ref="H33">Common_InputFunctions.Utility_DisplayArrayInTable(SourceData_PastureBeef.SourceData_PastureBeef_Liveweight_Data(), Table_SourceData_PastureBeef_Liveweight[[#Headers],[State]], 0)</f>
        <v>700</v>
      </c>
      <c r="I33" s="10" cm="1">
        <f t="array" ref="I33">Common_InputFunctions.Utility_DisplayArrayInTable(SourceData_PastureBeef.SourceData_PastureBeef_Liveweight_Data(), Table_SourceData_PastureBeef_Liveweight[[#Headers],[State]], 0)</f>
        <v>95</v>
      </c>
      <c r="J33" s="10" cm="1">
        <f t="array" ref="J33">Common_InputFunctions.Utility_DisplayArrayInTable(SourceData_PastureBeef.SourceData_PastureBeef_Liveweight_Data(), Table_SourceData_PastureBeef_Liveweight[[#Headers],[State]], 0)</f>
        <v>300</v>
      </c>
      <c r="K33" s="10" cm="1">
        <f t="array" ref="K33">Common_InputFunctions.Utility_DisplayArrayInTable(SourceData_PastureBeef.SourceData_PastureBeef_Liveweight_Data(), Table_SourceData_PastureBeef_Liveweight[[#Headers],[State]], 0)</f>
        <v>450</v>
      </c>
      <c r="L33" s="10" cm="1">
        <f t="array" ref="L33">Common_InputFunctions.Utility_DisplayArrayInTable(SourceData_PastureBeef.SourceData_PastureBeef_Liveweight_Data(), Table_SourceData_PastureBeef_Liveweight[[#Headers],[State]], 0)</f>
        <v>95</v>
      </c>
      <c r="M33" s="10" cm="1">
        <f t="array" ref="M33">Common_InputFunctions.Utility_DisplayArrayInTable(SourceData_PastureBeef.SourceData_PastureBeef_Liveweight_Data(), Table_SourceData_PastureBeef_Liveweight[[#Headers],[State]], 0)</f>
        <v>410</v>
      </c>
      <c r="O33" s="10" t="s">
        <v>308</v>
      </c>
      <c r="P33" s="10" t="s">
        <v>329</v>
      </c>
    </row>
    <row r="34" spans="1:16" ht="20.100000000000001" customHeight="1" x14ac:dyDescent="0.25">
      <c r="A34" s="16" t="str">
        <f>HYPERLINK("#'Constants - Poultry'!A1", "Constants - Poultry")</f>
        <v>Constants - Poultry</v>
      </c>
      <c r="D34" s="8" t="str" cm="1">
        <f t="array" ref="D34">Common_InputFunctions.Utility_DisplayArrayInTable(SourceData_PastureBeef.SourceData_PastureBeef_Liveweight_Data(), Table_SourceData_PastureBeef_Liveweight[[#Headers],[State]], 0)</f>
        <v>Victoria</v>
      </c>
      <c r="E34" s="10" t="str" cm="1">
        <f t="array" ref="E34">Common_InputFunctions.Utility_DisplayArrayInTable(SourceData_PastureBeef.SourceData_PastureBeef_Liveweight_Data(), Table_SourceData_PastureBeef_Liveweight[[#Headers],[State]], 0)</f>
        <v>n/a</v>
      </c>
      <c r="F34" s="10" t="str" cm="1">
        <f t="array" ref="F34">Common_InputFunctions.Utility_DisplayArrayInTable(SourceData_PastureBeef.SourceData_PastureBeef_Liveweight_Data(), Table_SourceData_PastureBeef_Liveweight[[#Headers],[State]], 0)</f>
        <v>Winter</v>
      </c>
      <c r="G34" s="10" cm="1">
        <f t="array" ref="G34">Common_InputFunctions.Utility_DisplayArrayInTable(SourceData_PastureBeef.SourceData_PastureBeef_Liveweight_Data(), Table_SourceData_PastureBeef_Liveweight[[#Headers],[State]], 0)</f>
        <v>150</v>
      </c>
      <c r="H34" s="10" cm="1">
        <f t="array" ref="H34">Common_InputFunctions.Utility_DisplayArrayInTable(SourceData_PastureBeef.SourceData_PastureBeef_Liveweight_Data(), Table_SourceData_PastureBeef_Liveweight[[#Headers],[State]], 0)</f>
        <v>720</v>
      </c>
      <c r="I34" s="10" cm="1">
        <f t="array" ref="I34">Common_InputFunctions.Utility_DisplayArrayInTable(SourceData_PastureBeef.SourceData_PastureBeef_Liveweight_Data(), Table_SourceData_PastureBeef_Liveweight[[#Headers],[State]], 0)</f>
        <v>140</v>
      </c>
      <c r="J34" s="10" cm="1">
        <f t="array" ref="J34">Common_InputFunctions.Utility_DisplayArrayInTable(SourceData_PastureBeef.SourceData_PastureBeef_Liveweight_Data(), Table_SourceData_PastureBeef_Liveweight[[#Headers],[State]], 0)</f>
        <v>320</v>
      </c>
      <c r="K34" s="10" cm="1">
        <f t="array" ref="K34">Common_InputFunctions.Utility_DisplayArrayInTable(SourceData_PastureBeef.SourceData_PastureBeef_Liveweight_Data(), Table_SourceData_PastureBeef_Liveweight[[#Headers],[State]], 0)</f>
        <v>470</v>
      </c>
      <c r="L34" s="10" cm="1">
        <f t="array" ref="L34">Common_InputFunctions.Utility_DisplayArrayInTable(SourceData_PastureBeef.SourceData_PastureBeef_Liveweight_Data(), Table_SourceData_PastureBeef_Liveweight[[#Headers],[State]], 0)</f>
        <v>140</v>
      </c>
      <c r="M34" s="10" cm="1">
        <f t="array" ref="M34">Common_InputFunctions.Utility_DisplayArrayInTable(SourceData_PastureBeef.SourceData_PastureBeef_Liveweight_Data(), Table_SourceData_PastureBeef_Liveweight[[#Headers],[State]], 0)</f>
        <v>440</v>
      </c>
      <c r="O34" s="10" t="s">
        <v>329</v>
      </c>
      <c r="P34" s="10" t="s">
        <v>329</v>
      </c>
    </row>
    <row r="35" spans="1:16" ht="20.100000000000001" customHeight="1" x14ac:dyDescent="0.25">
      <c r="A35" s="16" t="str">
        <f>HYPERLINK("#'Constants - Swine'!A1", "Constants - Swine")</f>
        <v>Constants - Swine</v>
      </c>
      <c r="D35" s="8" t="str" cm="1">
        <f t="array" ref="D35">Common_InputFunctions.Utility_DisplayArrayInTable(SourceData_PastureBeef.SourceData_PastureBeef_Liveweight_Data(), Table_SourceData_PastureBeef_Liveweight[[#Headers],[State]], 0)</f>
        <v>Western Australia</v>
      </c>
      <c r="E35" s="10" t="str" cm="1">
        <f t="array" ref="E35">Common_InputFunctions.Utility_DisplayArrayInTable(SourceData_PastureBeef.SourceData_PastureBeef_Liveweight_Data(), Table_SourceData_PastureBeef_Liveweight[[#Headers],[State]], 0)</f>
        <v>South West</v>
      </c>
      <c r="F35" s="10" t="str" cm="1">
        <f t="array" ref="F35">Common_InputFunctions.Utility_DisplayArrayInTable(SourceData_PastureBeef.SourceData_PastureBeef_Liveweight_Data(), Table_SourceData_PastureBeef_Liveweight[[#Headers],[State]], 0)</f>
        <v>Spring</v>
      </c>
      <c r="G35" s="10" cm="1">
        <f t="array" ref="G35">Common_InputFunctions.Utility_DisplayArrayInTable(SourceData_PastureBeef.SourceData_PastureBeef_Liveweight_Data(), Table_SourceData_PastureBeef_Liveweight[[#Headers],[State]], 0)</f>
        <v>340</v>
      </c>
      <c r="H35" s="10" cm="1">
        <f t="array" ref="H35">Common_InputFunctions.Utility_DisplayArrayInTable(SourceData_PastureBeef.SourceData_PastureBeef_Liveweight_Data(), Table_SourceData_PastureBeef_Liveweight[[#Headers],[State]], 0)</f>
        <v>800</v>
      </c>
      <c r="I35" s="10" cm="1">
        <f t="array" ref="I35">Common_InputFunctions.Utility_DisplayArrayInTable(SourceData_PastureBeef.SourceData_PastureBeef_Liveweight_Data(), Table_SourceData_PastureBeef_Liveweight[[#Headers],[State]], 0)</f>
        <v>260</v>
      </c>
      <c r="J35" s="10" cm="1">
        <f t="array" ref="J35">Common_InputFunctions.Utility_DisplayArrayInTable(SourceData_PastureBeef.SourceData_PastureBeef_Liveweight_Data(), Table_SourceData_PastureBeef_Liveweight[[#Headers],[State]], 0)</f>
        <v>420</v>
      </c>
      <c r="K35" s="10" cm="1">
        <f t="array" ref="K35">Common_InputFunctions.Utility_DisplayArrayInTable(SourceData_PastureBeef.SourceData_PastureBeef_Liveweight_Data(), Table_SourceData_PastureBeef_Liveweight[[#Headers],[State]], 0)</f>
        <v>550</v>
      </c>
      <c r="L35" s="10" cm="1">
        <f t="array" ref="L35">Common_InputFunctions.Utility_DisplayArrayInTable(SourceData_PastureBeef.SourceData_PastureBeef_Liveweight_Data(), Table_SourceData_PastureBeef_Liveweight[[#Headers],[State]], 0)</f>
        <v>300</v>
      </c>
      <c r="M35" s="10" cm="1">
        <f t="array" ref="M35">Common_InputFunctions.Utility_DisplayArrayInTable(SourceData_PastureBeef.SourceData_PastureBeef_Liveweight_Data(), Table_SourceData_PastureBeef_Liveweight[[#Headers],[State]], 0)</f>
        <v>480</v>
      </c>
      <c r="O35" s="10" t="s">
        <v>385</v>
      </c>
      <c r="P35" s="10" t="s">
        <v>385</v>
      </c>
    </row>
    <row r="36" spans="1:16" ht="20.100000000000001" customHeight="1" x14ac:dyDescent="0.25">
      <c r="A36" s="16" t="str">
        <f>HYPERLINK("#'Constants - Dairy'!A1", "Constants - Dairy")</f>
        <v>Constants - Dairy</v>
      </c>
      <c r="D36" s="8" t="str" cm="1">
        <f t="array" ref="D36">Common_InputFunctions.Utility_DisplayArrayInTable(SourceData_PastureBeef.SourceData_PastureBeef_Liveweight_Data(), Table_SourceData_PastureBeef_Liveweight[[#Headers],[State]], 0)</f>
        <v>Western Australia</v>
      </c>
      <c r="E36" s="10" t="str" cm="1">
        <f t="array" ref="E36">Common_InputFunctions.Utility_DisplayArrayInTable(SourceData_PastureBeef.SourceData_PastureBeef_Liveweight_Data(), Table_SourceData_PastureBeef_Liveweight[[#Headers],[State]], 0)</f>
        <v>South West</v>
      </c>
      <c r="F36" s="10" t="str" cm="1">
        <f t="array" ref="F36">Common_InputFunctions.Utility_DisplayArrayInTable(SourceData_PastureBeef.SourceData_PastureBeef_Liveweight_Data(), Table_SourceData_PastureBeef_Liveweight[[#Headers],[State]], 0)</f>
        <v>Summer</v>
      </c>
      <c r="G36" s="10" cm="1">
        <f t="array" ref="G36">Common_InputFunctions.Utility_DisplayArrayInTable(SourceData_PastureBeef.SourceData_PastureBeef_Liveweight_Data(), Table_SourceData_PastureBeef_Liveweight[[#Headers],[State]], 0)</f>
        <v>380</v>
      </c>
      <c r="H36" s="10" cm="1">
        <f t="array" ref="H36">Common_InputFunctions.Utility_DisplayArrayInTable(SourceData_PastureBeef.SourceData_PastureBeef_Liveweight_Data(), Table_SourceData_PastureBeef_Liveweight[[#Headers],[State]], 0)</f>
        <v>780</v>
      </c>
      <c r="I36" s="10" cm="1">
        <f t="array" ref="I36">Common_InputFunctions.Utility_DisplayArrayInTable(SourceData_PastureBeef.SourceData_PastureBeef_Liveweight_Data(), Table_SourceData_PastureBeef_Liveweight[[#Headers],[State]], 0)</f>
        <v>300</v>
      </c>
      <c r="J36" s="10" cm="1">
        <f t="array" ref="J36">Common_InputFunctions.Utility_DisplayArrayInTable(SourceData_PastureBeef.SourceData_PastureBeef_Liveweight_Data(), Table_SourceData_PastureBeef_Liveweight[[#Headers],[State]], 0)</f>
        <v>450</v>
      </c>
      <c r="K36" s="10" cm="1">
        <f t="array" ref="K36">Common_InputFunctions.Utility_DisplayArrayInTable(SourceData_PastureBeef.SourceData_PastureBeef_Liveweight_Data(), Table_SourceData_PastureBeef_Liveweight[[#Headers],[State]], 0)</f>
        <v>530</v>
      </c>
      <c r="L36" s="10" cm="1">
        <f t="array" ref="L36">Common_InputFunctions.Utility_DisplayArrayInTable(SourceData_PastureBeef.SourceData_PastureBeef_Liveweight_Data(), Table_SourceData_PastureBeef_Liveweight[[#Headers],[State]], 0)</f>
        <v>340</v>
      </c>
      <c r="M36" s="10" cm="1">
        <f t="array" ref="M36">Common_InputFunctions.Utility_DisplayArrayInTable(SourceData_PastureBeef.SourceData_PastureBeef_Liveweight_Data(), Table_SourceData_PastureBeef_Liveweight[[#Headers],[State]], 0)</f>
        <v>470</v>
      </c>
      <c r="O36" s="10" t="s">
        <v>382</v>
      </c>
      <c r="P36" s="10" t="s">
        <v>382</v>
      </c>
    </row>
    <row r="37" spans="1:16" ht="20.100000000000001" customHeight="1" x14ac:dyDescent="0.25">
      <c r="A37" s="23" t="str">
        <f>HYPERLINK("#'Constants - Pasture Beef'!A1", "Constants - Pasture Beef")</f>
        <v>Constants - Pasture Beef</v>
      </c>
      <c r="D37" s="8" t="str" cm="1">
        <f t="array" ref="D37">Common_InputFunctions.Utility_DisplayArrayInTable(SourceData_PastureBeef.SourceData_PastureBeef_Liveweight_Data(), Table_SourceData_PastureBeef_Liveweight[[#Headers],[State]], 0)</f>
        <v>Western Australia</v>
      </c>
      <c r="E37" s="10" t="str" cm="1">
        <f t="array" ref="E37">Common_InputFunctions.Utility_DisplayArrayInTable(SourceData_PastureBeef.SourceData_PastureBeef_Liveweight_Data(), Table_SourceData_PastureBeef_Liveweight[[#Headers],[State]], 0)</f>
        <v>South West</v>
      </c>
      <c r="F37" s="10" t="str" cm="1">
        <f t="array" ref="F37">Common_InputFunctions.Utility_DisplayArrayInTable(SourceData_PastureBeef.SourceData_PastureBeef_Liveweight_Data(), Table_SourceData_PastureBeef_Liveweight[[#Headers],[State]], 0)</f>
        <v>Autumn</v>
      </c>
      <c r="G37" s="10" cm="1">
        <f t="array" ref="G37">Common_InputFunctions.Utility_DisplayArrayInTable(SourceData_PastureBeef.SourceData_PastureBeef_Liveweight_Data(), Table_SourceData_PastureBeef_Liveweight[[#Headers],[State]], 0)</f>
        <v>100</v>
      </c>
      <c r="H37" s="10" cm="1">
        <f t="array" ref="H37">Common_InputFunctions.Utility_DisplayArrayInTable(SourceData_PastureBeef.SourceData_PastureBeef_Liveweight_Data(), Table_SourceData_PastureBeef_Liveweight[[#Headers],[State]], 0)</f>
        <v>680</v>
      </c>
      <c r="I37" s="10" cm="1">
        <f t="array" ref="I37">Common_InputFunctions.Utility_DisplayArrayInTable(SourceData_PastureBeef.SourceData_PastureBeef_Liveweight_Data(), Table_SourceData_PastureBeef_Liveweight[[#Headers],[State]], 0)</f>
        <v>80</v>
      </c>
      <c r="J37" s="10" cm="1">
        <f t="array" ref="J37">Common_InputFunctions.Utility_DisplayArrayInTable(SourceData_PastureBeef.SourceData_PastureBeef_Liveweight_Data(), Table_SourceData_PastureBeef_Liveweight[[#Headers],[State]], 0)</f>
        <v>320</v>
      </c>
      <c r="K37" s="10" cm="1">
        <f t="array" ref="K37">Common_InputFunctions.Utility_DisplayArrayInTable(SourceData_PastureBeef.SourceData_PastureBeef_Liveweight_Data(), Table_SourceData_PastureBeef_Liveweight[[#Headers],[State]], 0)</f>
        <v>480</v>
      </c>
      <c r="L37" s="10" cm="1">
        <f t="array" ref="L37">Common_InputFunctions.Utility_DisplayArrayInTable(SourceData_PastureBeef.SourceData_PastureBeef_Liveweight_Data(), Table_SourceData_PastureBeef_Liveweight[[#Headers],[State]], 0)</f>
        <v>100</v>
      </c>
      <c r="M37" s="10" cm="1">
        <f t="array" ref="M37">Common_InputFunctions.Utility_DisplayArrayInTable(SourceData_PastureBeef.SourceData_PastureBeef_Liveweight_Data(), Table_SourceData_PastureBeef_Liveweight[[#Headers],[State]], 0)</f>
        <v>340</v>
      </c>
      <c r="O37" s="10" t="s">
        <v>335</v>
      </c>
      <c r="P37" s="10" t="s">
        <v>335</v>
      </c>
    </row>
    <row r="38" spans="1:16" ht="20.100000000000001" customHeight="1" x14ac:dyDescent="0.25">
      <c r="A38" s="16" t="str">
        <f>HYPERLINK("#'Constants - Common Livestock'!A1", "Constants - Common Livestock")</f>
        <v>Constants - Common Livestock</v>
      </c>
      <c r="D38" s="8" t="str" cm="1">
        <f t="array" ref="D38">Common_InputFunctions.Utility_DisplayArrayInTable(SourceData_PastureBeef.SourceData_PastureBeef_Liveweight_Data(), Table_SourceData_PastureBeef_Liveweight[[#Headers],[State]], 0)</f>
        <v>Western Australia</v>
      </c>
      <c r="E38" s="10" t="str" cm="1">
        <f t="array" ref="E38">Common_InputFunctions.Utility_DisplayArrayInTable(SourceData_PastureBeef.SourceData_PastureBeef_Liveweight_Data(), Table_SourceData_PastureBeef_Liveweight[[#Headers],[State]], 0)</f>
        <v>South West</v>
      </c>
      <c r="F38" s="10" t="str" cm="1">
        <f t="array" ref="F38">Common_InputFunctions.Utility_DisplayArrayInTable(SourceData_PastureBeef.SourceData_PastureBeef_Liveweight_Data(), Table_SourceData_PastureBeef_Liveweight[[#Headers],[State]], 0)</f>
        <v>Winter</v>
      </c>
      <c r="G38" s="10" cm="1">
        <f t="array" ref="G38">Common_InputFunctions.Utility_DisplayArrayInTable(SourceData_PastureBeef.SourceData_PastureBeef_Liveweight_Data(), Table_SourceData_PastureBeef_Liveweight[[#Headers],[State]], 0)</f>
        <v>190</v>
      </c>
      <c r="H38" s="10" cm="1">
        <f t="array" ref="H38">Common_InputFunctions.Utility_DisplayArrayInTable(SourceData_PastureBeef.SourceData_PastureBeef_Liveweight_Data(), Table_SourceData_PastureBeef_Liveweight[[#Headers],[State]], 0)</f>
        <v>700</v>
      </c>
      <c r="I38" s="10" cm="1">
        <f t="array" ref="I38">Common_InputFunctions.Utility_DisplayArrayInTable(SourceData_PastureBeef.SourceData_PastureBeef_Liveweight_Data(), Table_SourceData_PastureBeef_Liveweight[[#Headers],[State]], 0)</f>
        <v>150</v>
      </c>
      <c r="J38" s="10" cm="1">
        <f t="array" ref="J38">Common_InputFunctions.Utility_DisplayArrayInTable(SourceData_PastureBeef.SourceData_PastureBeef_Liveweight_Data(), Table_SourceData_PastureBeef_Liveweight[[#Headers],[State]], 0)</f>
        <v>330</v>
      </c>
      <c r="K38" s="10" cm="1">
        <f t="array" ref="K38">Common_InputFunctions.Utility_DisplayArrayInTable(SourceData_PastureBeef.SourceData_PastureBeef_Liveweight_Data(), Table_SourceData_PastureBeef_Liveweight[[#Headers],[State]], 0)</f>
        <v>490</v>
      </c>
      <c r="L38" s="10" cm="1">
        <f t="array" ref="L38">Common_InputFunctions.Utility_DisplayArrayInTable(SourceData_PastureBeef.SourceData_PastureBeef_Liveweight_Data(), Table_SourceData_PastureBeef_Liveweight[[#Headers],[State]], 0)</f>
        <v>170</v>
      </c>
      <c r="M38" s="10" cm="1">
        <f t="array" ref="M38">Common_InputFunctions.Utility_DisplayArrayInTable(SourceData_PastureBeef.SourceData_PastureBeef_Liveweight_Data(), Table_SourceData_PastureBeef_Liveweight[[#Headers],[State]], 0)</f>
        <v>360</v>
      </c>
      <c r="O38" s="10" t="s">
        <v>429</v>
      </c>
      <c r="P38" s="10" t="s">
        <v>336</v>
      </c>
    </row>
    <row r="39" spans="1:16" ht="20.100000000000001" customHeight="1" x14ac:dyDescent="0.25">
      <c r="A39" s="16" t="str">
        <f>HYPERLINK("#'Constants - Fertiliser'!A1", "Constants - Fertiliser")</f>
        <v>Constants - Fertiliser</v>
      </c>
      <c r="D39" s="8" t="str" cm="1">
        <f t="array" ref="D39">Common_InputFunctions.Utility_DisplayArrayInTable(SourceData_PastureBeef.SourceData_PastureBeef_Liveweight_Data(), Table_SourceData_PastureBeef_Liveweight[[#Headers],[State]], 0)</f>
        <v>Western Australia</v>
      </c>
      <c r="E39" s="10" t="str" cm="1">
        <f t="array" ref="E39">Common_InputFunctions.Utility_DisplayArrayInTable(SourceData_PastureBeef.SourceData_PastureBeef_Liveweight_Data(), Table_SourceData_PastureBeef_Liveweight[[#Headers],[State]], 0)</f>
        <v>Pilbara</v>
      </c>
      <c r="F39" s="10" t="str" cm="1">
        <f t="array" ref="F39">Common_InputFunctions.Utility_DisplayArrayInTable(SourceData_PastureBeef.SourceData_PastureBeef_Liveweight_Data(), Table_SourceData_PastureBeef_Liveweight[[#Headers],[State]], 0)</f>
        <v>Spring</v>
      </c>
      <c r="G39" s="10" cm="1">
        <f t="array" ref="G39">Common_InputFunctions.Utility_DisplayArrayInTable(SourceData_PastureBeef.SourceData_PastureBeef_Liveweight_Data(), Table_SourceData_PastureBeef_Liveweight[[#Headers],[State]], 0)</f>
        <v>80</v>
      </c>
      <c r="H39" s="10" cm="1">
        <f t="array" ref="H39">Common_InputFunctions.Utility_DisplayArrayInTable(SourceData_PastureBeef.SourceData_PastureBeef_Liveweight_Data(), Table_SourceData_PastureBeef_Liveweight[[#Headers],[State]], 0)</f>
        <v>450</v>
      </c>
      <c r="I39" s="10" cm="1">
        <f t="array" ref="I39">Common_InputFunctions.Utility_DisplayArrayInTable(SourceData_PastureBeef.SourceData_PastureBeef_Liveweight_Data(), Table_SourceData_PastureBeef_Liveweight[[#Headers],[State]], 0)</f>
        <v>70</v>
      </c>
      <c r="J39" s="10" cm="1">
        <f t="array" ref="J39">Common_InputFunctions.Utility_DisplayArrayInTable(SourceData_PastureBeef.SourceData_PastureBeef_Liveweight_Data(), Table_SourceData_PastureBeef_Liveweight[[#Headers],[State]], 0)</f>
        <v>260</v>
      </c>
      <c r="K39" s="10" cm="1">
        <f t="array" ref="K39">Common_InputFunctions.Utility_DisplayArrayInTable(SourceData_PastureBeef.SourceData_PastureBeef_Liveweight_Data(), Table_SourceData_PastureBeef_Liveweight[[#Headers],[State]], 0)</f>
        <v>340</v>
      </c>
      <c r="L39" s="10" cm="1">
        <f t="array" ref="L39">Common_InputFunctions.Utility_DisplayArrayInTable(SourceData_PastureBeef.SourceData_PastureBeef_Liveweight_Data(), Table_SourceData_PastureBeef_Liveweight[[#Headers],[State]], 0)</f>
        <v>80</v>
      </c>
      <c r="M39" s="10" cm="1">
        <f t="array" ref="M39">Common_InputFunctions.Utility_DisplayArrayInTable(SourceData_PastureBeef.SourceData_PastureBeef_Liveweight_Data(), Table_SourceData_PastureBeef_Liveweight[[#Headers],[State]], 0)</f>
        <v>370</v>
      </c>
      <c r="O39" s="10" t="s">
        <v>428</v>
      </c>
      <c r="P39" s="10" t="s">
        <v>336</v>
      </c>
    </row>
    <row r="40" spans="1:16" ht="20.100000000000001" customHeight="1" x14ac:dyDescent="0.25">
      <c r="A40" s="16" t="str">
        <f>HYPERLINK("#'Constants - Electricity'!A1", "Constants - Electricity")</f>
        <v>Constants - Electricity</v>
      </c>
      <c r="D40" s="8" t="str" cm="1">
        <f t="array" ref="D40">Common_InputFunctions.Utility_DisplayArrayInTable(SourceData_PastureBeef.SourceData_PastureBeef_Liveweight_Data(), Table_SourceData_PastureBeef_Liveweight[[#Headers],[State]], 0)</f>
        <v>Western Australia</v>
      </c>
      <c r="E40" s="10" t="str" cm="1">
        <f t="array" ref="E40">Common_InputFunctions.Utility_DisplayArrayInTable(SourceData_PastureBeef.SourceData_PastureBeef_Liveweight_Data(), Table_SourceData_PastureBeef_Liveweight[[#Headers],[State]], 0)</f>
        <v>Pilbara</v>
      </c>
      <c r="F40" s="10" t="str" cm="1">
        <f t="array" ref="F40">Common_InputFunctions.Utility_DisplayArrayInTable(SourceData_PastureBeef.SourceData_PastureBeef_Liveweight_Data(), Table_SourceData_PastureBeef_Liveweight[[#Headers],[State]], 0)</f>
        <v>Summer</v>
      </c>
      <c r="G40" s="10" cm="1">
        <f t="array" ref="G40">Common_InputFunctions.Utility_DisplayArrayInTable(SourceData_PastureBeef.SourceData_PastureBeef_Liveweight_Data(), Table_SourceData_PastureBeef_Liveweight[[#Headers],[State]], 0)</f>
        <v>150</v>
      </c>
      <c r="H40" s="10" cm="1">
        <f t="array" ref="H40">Common_InputFunctions.Utility_DisplayArrayInTable(SourceData_PastureBeef.SourceData_PastureBeef_Liveweight_Data(), Table_SourceData_PastureBeef_Liveweight[[#Headers],[State]], 0)</f>
        <v>500</v>
      </c>
      <c r="I40" s="10" cm="1">
        <f t="array" ref="I40">Common_InputFunctions.Utility_DisplayArrayInTable(SourceData_PastureBeef.SourceData_PastureBeef_Liveweight_Data(), Table_SourceData_PastureBeef_Liveweight[[#Headers],[State]], 0)</f>
        <v>140</v>
      </c>
      <c r="J40" s="10" cm="1">
        <f t="array" ref="J40">Common_InputFunctions.Utility_DisplayArrayInTable(SourceData_PastureBeef.SourceData_PastureBeef_Liveweight_Data(), Table_SourceData_PastureBeef_Liveweight[[#Headers],[State]], 0)</f>
        <v>310</v>
      </c>
      <c r="K40" s="10" cm="1">
        <f t="array" ref="K40">Common_InputFunctions.Utility_DisplayArrayInTable(SourceData_PastureBeef.SourceData_PastureBeef_Liveweight_Data(), Table_SourceData_PastureBeef_Liveweight[[#Headers],[State]], 0)</f>
        <v>360</v>
      </c>
      <c r="L40" s="10" cm="1">
        <f t="array" ref="L40">Common_InputFunctions.Utility_DisplayArrayInTable(SourceData_PastureBeef.SourceData_PastureBeef_Liveweight_Data(), Table_SourceData_PastureBeef_Liveweight[[#Headers],[State]], 0)</f>
        <v>150</v>
      </c>
      <c r="M40" s="10" cm="1">
        <f t="array" ref="M40">Common_InputFunctions.Utility_DisplayArrayInTable(SourceData_PastureBeef.SourceData_PastureBeef_Liveweight_Data(), Table_SourceData_PastureBeef_Liveweight[[#Headers],[State]], 0)</f>
        <v>400</v>
      </c>
      <c r="O40" s="10" t="s">
        <v>430</v>
      </c>
      <c r="P40" s="10" t="s">
        <v>336</v>
      </c>
    </row>
    <row r="41" spans="1:16" ht="20.100000000000001" customHeight="1" x14ac:dyDescent="0.25">
      <c r="A41" s="16" t="str">
        <f>HYPERLINK("#'Constants - Common'!A1", "Constants - Common")</f>
        <v>Constants - Common</v>
      </c>
      <c r="D41" s="8" t="str" cm="1">
        <f t="array" ref="D41">Common_InputFunctions.Utility_DisplayArrayInTable(SourceData_PastureBeef.SourceData_PastureBeef_Liveweight_Data(), Table_SourceData_PastureBeef_Liveweight[[#Headers],[State]], 0)</f>
        <v>Western Australia</v>
      </c>
      <c r="E41" s="10" t="str" cm="1">
        <f t="array" ref="E41">Common_InputFunctions.Utility_DisplayArrayInTable(SourceData_PastureBeef.SourceData_PastureBeef_Liveweight_Data(), Table_SourceData_PastureBeef_Liveweight[[#Headers],[State]], 0)</f>
        <v>Pilbara</v>
      </c>
      <c r="F41" s="10" t="str" cm="1">
        <f t="array" ref="F41">Common_InputFunctions.Utility_DisplayArrayInTable(SourceData_PastureBeef.SourceData_PastureBeef_Liveweight_Data(), Table_SourceData_PastureBeef_Liveweight[[#Headers],[State]], 0)</f>
        <v>Autumn</v>
      </c>
      <c r="G41" s="10" cm="1">
        <f t="array" ref="G41">Common_InputFunctions.Utility_DisplayArrayInTable(SourceData_PastureBeef.SourceData_PastureBeef_Liveweight_Data(), Table_SourceData_PastureBeef_Liveweight[[#Headers],[State]], 0)</f>
        <v>230</v>
      </c>
      <c r="H41" s="10" cm="1">
        <f t="array" ref="H41">Common_InputFunctions.Utility_DisplayArrayInTable(SourceData_PastureBeef.SourceData_PastureBeef_Liveweight_Data(), Table_SourceData_PastureBeef_Liveweight[[#Headers],[State]], 0)</f>
        <v>550</v>
      </c>
      <c r="I41" s="10" cm="1">
        <f t="array" ref="I41">Common_InputFunctions.Utility_DisplayArrayInTable(SourceData_PastureBeef.SourceData_PastureBeef_Liveweight_Data(), Table_SourceData_PastureBeef_Liveweight[[#Headers],[State]], 0)</f>
        <v>220</v>
      </c>
      <c r="J41" s="10" cm="1">
        <f t="array" ref="J41">Common_InputFunctions.Utility_DisplayArrayInTable(SourceData_PastureBeef.SourceData_PastureBeef_Liveweight_Data(), Table_SourceData_PastureBeef_Liveweight[[#Headers],[State]], 0)</f>
        <v>330</v>
      </c>
      <c r="K41" s="10" cm="1">
        <f t="array" ref="K41">Common_InputFunctions.Utility_DisplayArrayInTable(SourceData_PastureBeef.SourceData_PastureBeef_Liveweight_Data(), Table_SourceData_PastureBeef_Liveweight[[#Headers],[State]], 0)</f>
        <v>380</v>
      </c>
      <c r="L41" s="10" cm="1">
        <f t="array" ref="L41">Common_InputFunctions.Utility_DisplayArrayInTable(SourceData_PastureBeef.SourceData_PastureBeef_Liveweight_Data(), Table_SourceData_PastureBeef_Liveweight[[#Headers],[State]], 0)</f>
        <v>230</v>
      </c>
      <c r="M41" s="10" cm="1">
        <f t="array" ref="M41">Common_InputFunctions.Utility_DisplayArrayInTable(SourceData_PastureBeef.SourceData_PastureBeef_Liveweight_Data(), Table_SourceData_PastureBeef_Liveweight[[#Headers],[State]], 0)</f>
        <v>420</v>
      </c>
      <c r="O41" s="10" t="s">
        <v>431</v>
      </c>
      <c r="P41" s="10" t="s">
        <v>427</v>
      </c>
    </row>
    <row r="42" spans="1:16" ht="20.100000000000001" customHeight="1" x14ac:dyDescent="0.25">
      <c r="A42"/>
      <c r="D42" s="8" t="str" cm="1">
        <f t="array" ref="D42">Common_InputFunctions.Utility_DisplayArrayInTable(SourceData_PastureBeef.SourceData_PastureBeef_Liveweight_Data(), Table_SourceData_PastureBeef_Liveweight[[#Headers],[State]], 0)</f>
        <v>Western Australia</v>
      </c>
      <c r="E42" s="10" t="str" cm="1">
        <f t="array" ref="E42">Common_InputFunctions.Utility_DisplayArrayInTable(SourceData_PastureBeef.SourceData_PastureBeef_Liveweight_Data(), Table_SourceData_PastureBeef_Liveweight[[#Headers],[State]], 0)</f>
        <v>Pilbara</v>
      </c>
      <c r="F42" s="10" t="str" cm="1">
        <f t="array" ref="F42">Common_InputFunctions.Utility_DisplayArrayInTable(SourceData_PastureBeef.SourceData_PastureBeef_Liveweight_Data(), Table_SourceData_PastureBeef_Liveweight[[#Headers],[State]], 0)</f>
        <v>Winter</v>
      </c>
      <c r="G42" s="10" cm="1">
        <f t="array" ref="G42">Common_InputFunctions.Utility_DisplayArrayInTable(SourceData_PastureBeef.SourceData_PastureBeef_Liveweight_Data(), Table_SourceData_PastureBeef_Liveweight[[#Headers],[State]], 0)</f>
        <v>250</v>
      </c>
      <c r="H42" s="10" cm="1">
        <f t="array" ref="H42">Common_InputFunctions.Utility_DisplayArrayInTable(SourceData_PastureBeef.SourceData_PastureBeef_Liveweight_Data(), Table_SourceData_PastureBeef_Liveweight[[#Headers],[State]], 0)</f>
        <v>500</v>
      </c>
      <c r="I42" s="10" cm="1">
        <f t="array" ref="I42">Common_InputFunctions.Utility_DisplayArrayInTable(SourceData_PastureBeef.SourceData_PastureBeef_Liveweight_Data(), Table_SourceData_PastureBeef_Liveweight[[#Headers],[State]], 0)</f>
        <v>240</v>
      </c>
      <c r="J42" s="10" cm="1">
        <f t="array" ref="J42">Common_InputFunctions.Utility_DisplayArrayInTable(SourceData_PastureBeef.SourceData_PastureBeef_Liveweight_Data(), Table_SourceData_PastureBeef_Liveweight[[#Headers],[State]], 0)</f>
        <v>340</v>
      </c>
      <c r="K42" s="10" cm="1">
        <f t="array" ref="K42">Common_InputFunctions.Utility_DisplayArrayInTable(SourceData_PastureBeef.SourceData_PastureBeef_Liveweight_Data(), Table_SourceData_PastureBeef_Liveweight[[#Headers],[State]], 0)</f>
        <v>360</v>
      </c>
      <c r="L42" s="10" cm="1">
        <f t="array" ref="L42">Common_InputFunctions.Utility_DisplayArrayInTable(SourceData_PastureBeef.SourceData_PastureBeef_Liveweight_Data(), Table_SourceData_PastureBeef_Liveweight[[#Headers],[State]], 0)</f>
        <v>250</v>
      </c>
      <c r="M42" s="10" cm="1">
        <f t="array" ref="M42">Common_InputFunctions.Utility_DisplayArrayInTable(SourceData_PastureBeef.SourceData_PastureBeef_Liveweight_Data(), Table_SourceData_PastureBeef_Liveweight[[#Headers],[State]], 0)</f>
        <v>390</v>
      </c>
      <c r="O42" s="10" t="s">
        <v>432</v>
      </c>
      <c r="P42" s="10" t="s">
        <v>427</v>
      </c>
    </row>
    <row r="43" spans="1:16" ht="20.100000000000001" customHeight="1" x14ac:dyDescent="0.25">
      <c r="A43"/>
      <c r="D43" s="8" t="str" cm="1">
        <f t="array" ref="D43">Common_InputFunctions.Utility_DisplayArrayInTable(SourceData_PastureBeef.SourceData_PastureBeef_Liveweight_Data(), Table_SourceData_PastureBeef_Liveweight[[#Headers],[State]], 0)</f>
        <v>Western Australia</v>
      </c>
      <c r="E43" s="10" t="str" cm="1">
        <f t="array" ref="E43">Common_InputFunctions.Utility_DisplayArrayInTable(SourceData_PastureBeef.SourceData_PastureBeef_Liveweight_Data(), Table_SourceData_PastureBeef_Liveweight[[#Headers],[State]], 0)</f>
        <v>Kimberley</v>
      </c>
      <c r="F43" s="10" t="str" cm="1">
        <f t="array" ref="F43">Common_InputFunctions.Utility_DisplayArrayInTable(SourceData_PastureBeef.SourceData_PastureBeef_Liveweight_Data(), Table_SourceData_PastureBeef_Liveweight[[#Headers],[State]], 0)</f>
        <v>Spring</v>
      </c>
      <c r="G43" s="10" cm="1">
        <f t="array" ref="G43">Common_InputFunctions.Utility_DisplayArrayInTable(SourceData_PastureBeef.SourceData_PastureBeef_Liveweight_Data(), Table_SourceData_PastureBeef_Liveweight[[#Headers],[State]], 0)</f>
        <v>220</v>
      </c>
      <c r="H43" s="10" cm="1">
        <f t="array" ref="H43">Common_InputFunctions.Utility_DisplayArrayInTable(SourceData_PastureBeef.SourceData_PastureBeef_Liveweight_Data(), Table_SourceData_PastureBeef_Liveweight[[#Headers],[State]], 0)</f>
        <v>500</v>
      </c>
      <c r="I43" s="10" cm="1">
        <f t="array" ref="I43">Common_InputFunctions.Utility_DisplayArrayInTable(SourceData_PastureBeef.SourceData_PastureBeef_Liveweight_Data(), Table_SourceData_PastureBeef_Liveweight[[#Headers],[State]], 0)</f>
        <v>180</v>
      </c>
      <c r="J43" s="10" cm="1">
        <f t="array" ref="J43">Common_InputFunctions.Utility_DisplayArrayInTable(SourceData_PastureBeef.SourceData_PastureBeef_Liveweight_Data(), Table_SourceData_PastureBeef_Liveweight[[#Headers],[State]], 0)</f>
        <v>300</v>
      </c>
      <c r="K43" s="10" cm="1">
        <f t="array" ref="K43">Common_InputFunctions.Utility_DisplayArrayInTable(SourceData_PastureBeef.SourceData_PastureBeef_Liveweight_Data(), Table_SourceData_PastureBeef_Liveweight[[#Headers],[State]], 0)</f>
        <v>320</v>
      </c>
      <c r="L43" s="10" cm="1">
        <f t="array" ref="L43">Common_InputFunctions.Utility_DisplayArrayInTable(SourceData_PastureBeef.SourceData_PastureBeef_Liveweight_Data(), Table_SourceData_PastureBeef_Liveweight[[#Headers],[State]], 0)</f>
        <v>210</v>
      </c>
      <c r="M43" s="10" cm="1">
        <f t="array" ref="M43">Common_InputFunctions.Utility_DisplayArrayInTable(SourceData_PastureBeef.SourceData_PastureBeef_Liveweight_Data(), Table_SourceData_PastureBeef_Liveweight[[#Headers],[State]], 0)</f>
        <v>340</v>
      </c>
      <c r="O43" s="10" t="s">
        <v>433</v>
      </c>
      <c r="P43" s="10" t="s">
        <v>427</v>
      </c>
    </row>
    <row r="44" spans="1:16" ht="20.100000000000001" customHeight="1" x14ac:dyDescent="0.25">
      <c r="A44"/>
      <c r="D44" s="8" t="str" cm="1">
        <f t="array" ref="D44">Common_InputFunctions.Utility_DisplayArrayInTable(SourceData_PastureBeef.SourceData_PastureBeef_Liveweight_Data(), Table_SourceData_PastureBeef_Liveweight[[#Headers],[State]], 0)</f>
        <v>Western Australia</v>
      </c>
      <c r="E44" s="10" t="str" cm="1">
        <f t="array" ref="E44">Common_InputFunctions.Utility_DisplayArrayInTable(SourceData_PastureBeef.SourceData_PastureBeef_Liveweight_Data(), Table_SourceData_PastureBeef_Liveweight[[#Headers],[State]], 0)</f>
        <v>Kimberley</v>
      </c>
      <c r="F44" s="10" t="str" cm="1">
        <f t="array" ref="F44">Common_InputFunctions.Utility_DisplayArrayInTable(SourceData_PastureBeef.SourceData_PastureBeef_Liveweight_Data(), Table_SourceData_PastureBeef_Liveweight[[#Headers],[State]], 0)</f>
        <v>Summer</v>
      </c>
      <c r="G44" s="10" cm="1">
        <f t="array" ref="G44">Common_InputFunctions.Utility_DisplayArrayInTable(SourceData_PastureBeef.SourceData_PastureBeef_Liveweight_Data(), Table_SourceData_PastureBeef_Liveweight[[#Headers],[State]], 0)</f>
        <v>110</v>
      </c>
      <c r="H44" s="10" cm="1">
        <f t="array" ref="H44">Common_InputFunctions.Utility_DisplayArrayInTable(SourceData_PastureBeef.SourceData_PastureBeef_Liveweight_Data(), Table_SourceData_PastureBeef_Liveweight[[#Headers],[State]], 0)</f>
        <v>550</v>
      </c>
      <c r="I44" s="10" cm="1">
        <f t="array" ref="I44">Common_InputFunctions.Utility_DisplayArrayInTable(SourceData_PastureBeef.SourceData_PastureBeef_Liveweight_Data(), Table_SourceData_PastureBeef_Liveweight[[#Headers],[State]], 0)</f>
        <v>90</v>
      </c>
      <c r="J44" s="10" cm="1">
        <f t="array" ref="J44">Common_InputFunctions.Utility_DisplayArrayInTable(SourceData_PastureBeef.SourceData_PastureBeef_Liveweight_Data(), Table_SourceData_PastureBeef_Liveweight[[#Headers],[State]], 0)</f>
        <v>220</v>
      </c>
      <c r="K44" s="10" cm="1">
        <f t="array" ref="K44">Common_InputFunctions.Utility_DisplayArrayInTable(SourceData_PastureBeef.SourceData_PastureBeef_Liveweight_Data(), Table_SourceData_PastureBeef_Liveweight[[#Headers],[State]], 0)</f>
        <v>380</v>
      </c>
      <c r="L44" s="10" cm="1">
        <f t="array" ref="L44">Common_InputFunctions.Utility_DisplayArrayInTable(SourceData_PastureBeef.SourceData_PastureBeef_Liveweight_Data(), Table_SourceData_PastureBeef_Liveweight[[#Headers],[State]], 0)</f>
        <v>100</v>
      </c>
      <c r="M44" s="10" cm="1">
        <f t="array" ref="M44">Common_InputFunctions.Utility_DisplayArrayInTable(SourceData_PastureBeef.SourceData_PastureBeef_Liveweight_Data(), Table_SourceData_PastureBeef_Liveweight[[#Headers],[State]], 0)</f>
        <v>390</v>
      </c>
      <c r="O44" s="10" t="s">
        <v>434</v>
      </c>
      <c r="P44" s="10" t="s">
        <v>330</v>
      </c>
    </row>
    <row r="45" spans="1:16" ht="20.100000000000001" customHeight="1" x14ac:dyDescent="0.25">
      <c r="A45"/>
      <c r="D45" s="8" t="str" cm="1">
        <f t="array" ref="D45">Common_InputFunctions.Utility_DisplayArrayInTable(SourceData_PastureBeef.SourceData_PastureBeef_Liveweight_Data(), Table_SourceData_PastureBeef_Liveweight[[#Headers],[State]], 0)</f>
        <v>Western Australia</v>
      </c>
      <c r="E45" s="10" t="str" cm="1">
        <f t="array" ref="E45">Common_InputFunctions.Utility_DisplayArrayInTable(SourceData_PastureBeef.SourceData_PastureBeef_Liveweight_Data(), Table_SourceData_PastureBeef_Liveweight[[#Headers],[State]], 0)</f>
        <v>Kimberley</v>
      </c>
      <c r="F45" s="10" t="str" cm="1">
        <f t="array" ref="F45">Common_InputFunctions.Utility_DisplayArrayInTable(SourceData_PastureBeef.SourceData_PastureBeef_Liveweight_Data(), Table_SourceData_PastureBeef_Liveweight[[#Headers],[State]], 0)</f>
        <v>Autumn</v>
      </c>
      <c r="G45" s="10" cm="1">
        <f t="array" ref="G45">Common_InputFunctions.Utility_DisplayArrayInTable(SourceData_PastureBeef.SourceData_PastureBeef_Liveweight_Data(), Table_SourceData_PastureBeef_Liveweight[[#Headers],[State]], 0)</f>
        <v>170</v>
      </c>
      <c r="H45" s="10" cm="1">
        <f t="array" ref="H45">Common_InputFunctions.Utility_DisplayArrayInTable(SourceData_PastureBeef.SourceData_PastureBeef_Liveweight_Data(), Table_SourceData_PastureBeef_Liveweight[[#Headers],[State]], 0)</f>
        <v>600</v>
      </c>
      <c r="I45" s="10" cm="1">
        <f t="array" ref="I45">Common_InputFunctions.Utility_DisplayArrayInTable(SourceData_PastureBeef.SourceData_PastureBeef_Liveweight_Data(), Table_SourceData_PastureBeef_Liveweight[[#Headers],[State]], 0)</f>
        <v>140</v>
      </c>
      <c r="J45" s="10" cm="1">
        <f t="array" ref="J45">Common_InputFunctions.Utility_DisplayArrayInTable(SourceData_PastureBeef.SourceData_PastureBeef_Liveweight_Data(), Table_SourceData_PastureBeef_Liveweight[[#Headers],[State]], 0)</f>
        <v>270</v>
      </c>
      <c r="K45" s="10" cm="1">
        <f t="array" ref="K45">Common_InputFunctions.Utility_DisplayArrayInTable(SourceData_PastureBeef.SourceData_PastureBeef_Liveweight_Data(), Table_SourceData_PastureBeef_Liveweight[[#Headers],[State]], 0)</f>
        <v>390</v>
      </c>
      <c r="L45" s="10" cm="1">
        <f t="array" ref="L45">Common_InputFunctions.Utility_DisplayArrayInTable(SourceData_PastureBeef.SourceData_PastureBeef_Liveweight_Data(), Table_SourceData_PastureBeef_Liveweight[[#Headers],[State]], 0)</f>
        <v>160</v>
      </c>
      <c r="M45" s="10" cm="1">
        <f t="array" ref="M45">Common_InputFunctions.Utility_DisplayArrayInTable(SourceData_PastureBeef.SourceData_PastureBeef_Liveweight_Data(), Table_SourceData_PastureBeef_Liveweight[[#Headers],[State]], 0)</f>
        <v>430</v>
      </c>
      <c r="O45" s="10" t="s">
        <v>435</v>
      </c>
      <c r="P45" s="10" t="s">
        <v>330</v>
      </c>
    </row>
    <row r="46" spans="1:16" ht="20.100000000000001" customHeight="1" x14ac:dyDescent="0.25">
      <c r="A46"/>
      <c r="D46" s="8" t="str" cm="1">
        <f t="array" ref="D46">Common_InputFunctions.Utility_DisplayArrayInTable(SourceData_PastureBeef.SourceData_PastureBeef_Liveweight_Data(), Table_SourceData_PastureBeef_Liveweight[[#Headers],[State]], 0)</f>
        <v>Western Australia</v>
      </c>
      <c r="E46" s="10" t="str" cm="1">
        <f t="array" ref="E46">Common_InputFunctions.Utility_DisplayArrayInTable(SourceData_PastureBeef.SourceData_PastureBeef_Liveweight_Data(), Table_SourceData_PastureBeef_Liveweight[[#Headers],[State]], 0)</f>
        <v>Kimberley</v>
      </c>
      <c r="F46" s="10" t="str" cm="1">
        <f t="array" ref="F46">Common_InputFunctions.Utility_DisplayArrayInTable(SourceData_PastureBeef.SourceData_PastureBeef_Liveweight_Data(), Table_SourceData_PastureBeef_Liveweight[[#Headers],[State]], 0)</f>
        <v>Winter</v>
      </c>
      <c r="G46" s="10" cm="1">
        <f t="array" ref="G46">Common_InputFunctions.Utility_DisplayArrayInTable(SourceData_PastureBeef.SourceData_PastureBeef_Liveweight_Data(), Table_SourceData_PastureBeef_Liveweight[[#Headers],[State]], 0)</f>
        <v>200</v>
      </c>
      <c r="H46" s="10" cm="1">
        <f t="array" ref="H46">Common_InputFunctions.Utility_DisplayArrayInTable(SourceData_PastureBeef.SourceData_PastureBeef_Liveweight_Data(), Table_SourceData_PastureBeef_Liveweight[[#Headers],[State]], 0)</f>
        <v>550</v>
      </c>
      <c r="I46" s="10" cm="1">
        <f t="array" ref="I46">Common_InputFunctions.Utility_DisplayArrayInTable(SourceData_PastureBeef.SourceData_PastureBeef_Liveweight_Data(), Table_SourceData_PastureBeef_Liveweight[[#Headers],[State]], 0)</f>
        <v>150</v>
      </c>
      <c r="J46" s="10" cm="1">
        <f t="array" ref="J46">Common_InputFunctions.Utility_DisplayArrayInTable(SourceData_PastureBeef.SourceData_PastureBeef_Liveweight_Data(), Table_SourceData_PastureBeef_Liveweight[[#Headers],[State]], 0)</f>
        <v>280</v>
      </c>
      <c r="K46" s="10" cm="1">
        <f t="array" ref="K46">Common_InputFunctions.Utility_DisplayArrayInTable(SourceData_PastureBeef.SourceData_PastureBeef_Liveweight_Data(), Table_SourceData_PastureBeef_Liveweight[[#Headers],[State]], 0)</f>
        <v>350</v>
      </c>
      <c r="L46" s="10" cm="1">
        <f t="array" ref="L46">Common_InputFunctions.Utility_DisplayArrayInTable(SourceData_PastureBeef.SourceData_PastureBeef_Liveweight_Data(), Table_SourceData_PastureBeef_Liveweight[[#Headers],[State]], 0)</f>
        <v>190</v>
      </c>
      <c r="M46" s="10" cm="1">
        <f t="array" ref="M46">Common_InputFunctions.Utility_DisplayArrayInTable(SourceData_PastureBeef.SourceData_PastureBeef_Liveweight_Data(), Table_SourceData_PastureBeef_Liveweight[[#Headers],[State]], 0)</f>
        <v>400</v>
      </c>
      <c r="O46" s="10" t="s">
        <v>436</v>
      </c>
      <c r="P46" s="10" t="s">
        <v>330</v>
      </c>
    </row>
    <row r="47" spans="1:16" ht="20.100000000000001" customHeight="1" x14ac:dyDescent="0.25">
      <c r="A47"/>
      <c r="M47" s="8"/>
      <c r="O47" s="10" t="s">
        <v>437</v>
      </c>
      <c r="P47" s="10" t="s">
        <v>330</v>
      </c>
    </row>
    <row r="48" spans="1:16" ht="20.100000000000001" customHeight="1" x14ac:dyDescent="0.25">
      <c r="A48"/>
      <c r="M48" s="8"/>
      <c r="O48" s="8" t="s">
        <v>328</v>
      </c>
      <c r="P48" s="8" t="s">
        <v>328</v>
      </c>
    </row>
    <row r="49" spans="1:16" ht="20.100000000000001" customHeight="1" x14ac:dyDescent="0.25">
      <c r="A49"/>
      <c r="D49" s="9" t="str" cm="1">
        <f t="array" ref="D49">SourceData_PastureBeef.SourceData_PastureBeef_LiveweightNTQLD_Title()</f>
        <v>Beef pasture cattle - Liveweight (kg) (Wjkl) for NT and QLD</v>
      </c>
      <c r="M49" s="8"/>
    </row>
    <row r="50" spans="1:16" ht="20.100000000000001" customHeight="1" x14ac:dyDescent="0.25">
      <c r="A50"/>
      <c r="D50" s="11" t="str" cm="1">
        <f t="array" ref="D50">SourceData_PastureBeef.SourceData_PastureBeef_LiveweightNTQLD_Source()</f>
        <v>VEERG 2026: Table A.1.2.2</v>
      </c>
      <c r="M50" s="8"/>
    </row>
    <row r="51" spans="1:16" ht="20.100000000000001" customHeight="1" x14ac:dyDescent="0.25">
      <c r="A51"/>
      <c r="D51" s="8" t="str" cm="1">
        <f t="array" ref="D51">SourceData_PastureBeef.SourceData_PastureBeef_LiveweightNTQLD_Variable()</f>
        <v>Wjkl</v>
      </c>
      <c r="M51" s="8"/>
    </row>
    <row r="52" spans="1:16" ht="20.100000000000001" customHeight="1" x14ac:dyDescent="0.25">
      <c r="A52"/>
      <c r="D52" s="13" t="str" cm="1">
        <f t="array" ref="D52">SourceData_PastureBeef.SourceData_PastureBeef_LiveweightNTQLD_Unit()</f>
        <v>kg</v>
      </c>
      <c r="M52" s="8"/>
    </row>
    <row r="53" spans="1:16" ht="20.100000000000001" customHeight="1" x14ac:dyDescent="0.25">
      <c r="A53"/>
      <c r="D53" s="10" t="s">
        <v>273</v>
      </c>
      <c r="E53" s="10" t="s">
        <v>378</v>
      </c>
      <c r="F53" s="10" t="s">
        <v>47</v>
      </c>
      <c r="G53" s="10" t="s">
        <v>465</v>
      </c>
      <c r="H53" s="10" t="s">
        <v>466</v>
      </c>
      <c r="I53" s="10" t="s">
        <v>467</v>
      </c>
      <c r="J53" s="10" t="s">
        <v>468</v>
      </c>
      <c r="K53" s="10" t="s">
        <v>469</v>
      </c>
      <c r="L53" s="10" t="s">
        <v>470</v>
      </c>
      <c r="M53" s="10" t="s">
        <v>471</v>
      </c>
      <c r="N53" s="10" t="s">
        <v>472</v>
      </c>
      <c r="O53" s="10" t="s">
        <v>473</v>
      </c>
      <c r="P53" s="10" t="s">
        <v>474</v>
      </c>
    </row>
    <row r="54" spans="1:16" ht="20.100000000000001" customHeight="1" x14ac:dyDescent="0.25">
      <c r="A54"/>
      <c r="D54" s="10" t="str" cm="1">
        <f t="array" ref="D54">Common_InputFunctions.Utility_DisplayArrayInTable(SourceData_PastureBeef.SourceData_PastureBeef_LiveweightNTQLD_Data(),Table_SourceData_PastureBeef_LiveweightNTQD[[#Headers],[State]], 0)</f>
        <v>Northern Territory</v>
      </c>
      <c r="E54" s="10" t="str" cm="1">
        <f t="array" ref="E54">Common_InputFunctions.Utility_DisplayArrayInTable(SourceData_PastureBeef.SourceData_PastureBeef_LiveweightNTQLD_Data(),Table_SourceData_PastureBeef_LiveweightNTQD[[#Headers],[State]], 0)</f>
        <v>Alice Springs</v>
      </c>
      <c r="F54" s="10" t="str" cm="1">
        <f t="array" ref="F54">Common_InputFunctions.Utility_DisplayArrayInTable(SourceData_PastureBeef.SourceData_PastureBeef_LiveweightNTQLD_Data(),Table_SourceData_PastureBeef_LiveweightNTQD[[#Headers],[State]], 0)</f>
        <v>Spring</v>
      </c>
      <c r="G54" s="10" cm="1">
        <f t="array" ref="G54">Common_InputFunctions.Utility_DisplayArrayInTable(SourceData_PastureBeef.SourceData_PastureBeef_LiveweightNTQLD_Data(),Table_SourceData_PastureBeef_LiveweightNTQD[[#Headers],[State]], 0)</f>
        <v>220</v>
      </c>
      <c r="H54" s="10" cm="1">
        <f t="array" ref="H54">Common_InputFunctions.Utility_DisplayArrayInTable(SourceData_PastureBeef.SourceData_PastureBeef_LiveweightNTQLD_Data(),Table_SourceData_PastureBeef_LiveweightNTQD[[#Headers],[State]], 0)</f>
        <v>706</v>
      </c>
      <c r="I54" s="10" cm="1">
        <f t="array" ref="I54">Common_InputFunctions.Utility_DisplayArrayInTable(SourceData_PastureBeef.SourceData_PastureBeef_LiveweightNTQLD_Data(),Table_SourceData_PastureBeef_LiveweightNTQD[[#Headers],[State]], 0)</f>
        <v>208</v>
      </c>
      <c r="J54" s="10" cm="1">
        <f t="array" ref="J54">Common_InputFunctions.Utility_DisplayArrayInTable(SourceData_PastureBeef.SourceData_PastureBeef_LiveweightNTQLD_Data(),Table_SourceData_PastureBeef_LiveweightNTQD[[#Headers],[State]], 0)</f>
        <v>323</v>
      </c>
      <c r="K54" s="10" cm="1">
        <f t="array" ref="K54">Common_InputFunctions.Utility_DisplayArrayInTable(SourceData_PastureBeef.SourceData_PastureBeef_LiveweightNTQLD_Data(),Table_SourceData_PastureBeef_LiveweightNTQD[[#Headers],[State]], 0)</f>
        <v>415</v>
      </c>
      <c r="L54" s="10" cm="1">
        <f t="array" ref="L54">Common_InputFunctions.Utility_DisplayArrayInTable(SourceData_PastureBeef.SourceData_PastureBeef_LiveweightNTQLD_Data(),Table_SourceData_PastureBeef_LiveweightNTQD[[#Headers],[State]], 0)</f>
        <v>467</v>
      </c>
      <c r="M54" s="10" cm="1">
        <f t="array" ref="M54">Common_InputFunctions.Utility_DisplayArrayInTable(SourceData_PastureBeef.SourceData_PastureBeef_LiveweightNTQLD_Data(),Table_SourceData_PastureBeef_LiveweightNTQD[[#Headers],[State]], 0)</f>
        <v>223</v>
      </c>
      <c r="N54" s="10" cm="1">
        <f t="array" ref="N54">Common_InputFunctions.Utility_DisplayArrayInTable(SourceData_PastureBeef.SourceData_PastureBeef_LiveweightNTQLD_Data(),Table_SourceData_PastureBeef_LiveweightNTQD[[#Headers],[State]], 0)</f>
        <v>371</v>
      </c>
      <c r="O54" s="10" cm="1">
        <f t="array" ref="O54">Common_InputFunctions.Utility_DisplayArrayInTable(SourceData_PastureBeef.SourceData_PastureBeef_LiveweightNTQLD_Data(),Table_SourceData_PastureBeef_LiveweightNTQD[[#Headers],[State]], 0)</f>
        <v>493</v>
      </c>
      <c r="P54" s="10" cm="1">
        <f t="array" ref="P54">Common_InputFunctions.Utility_DisplayArrayInTable(SourceData_PastureBeef.SourceData_PastureBeef_LiveweightNTQLD_Data(),Table_SourceData_PastureBeef_LiveweightNTQD[[#Headers],[State]], 0)</f>
        <v>585</v>
      </c>
    </row>
    <row r="55" spans="1:16" ht="20.100000000000001" customHeight="1" x14ac:dyDescent="0.25">
      <c r="A55"/>
      <c r="D55" s="8" t="str" cm="1">
        <f t="array" ref="D55">Common_InputFunctions.Utility_DisplayArrayInTable(SourceData_PastureBeef.SourceData_PastureBeef_LiveweightNTQLD_Data(),Table_SourceData_PastureBeef_LiveweightNTQD[[#Headers],[State]], 0)</f>
        <v>Northern Territory</v>
      </c>
      <c r="E55" s="10" t="str" cm="1">
        <f t="array" ref="E55">Common_InputFunctions.Utility_DisplayArrayInTable(SourceData_PastureBeef.SourceData_PastureBeef_LiveweightNTQLD_Data(),Table_SourceData_PastureBeef_LiveweightNTQD[[#Headers],[State]], 0)</f>
        <v>Alice Springs</v>
      </c>
      <c r="F55" s="10" t="str" cm="1">
        <f t="array" ref="F55">Common_InputFunctions.Utility_DisplayArrayInTable(SourceData_PastureBeef.SourceData_PastureBeef_LiveweightNTQLD_Data(),Table_SourceData_PastureBeef_LiveweightNTQD[[#Headers],[State]], 0)</f>
        <v>Summer</v>
      </c>
      <c r="G55" s="10" cm="1">
        <f t="array" ref="G55">Common_InputFunctions.Utility_DisplayArrayInTable(SourceData_PastureBeef.SourceData_PastureBeef_LiveweightNTQLD_Data(),Table_SourceData_PastureBeef_LiveweightNTQD[[#Headers],[State]], 0)</f>
        <v>110</v>
      </c>
      <c r="H55" s="10" cm="1">
        <f t="array" ref="H55">Common_InputFunctions.Utility_DisplayArrayInTable(SourceData_PastureBeef.SourceData_PastureBeef_LiveweightNTQLD_Data(),Table_SourceData_PastureBeef_LiveweightNTQD[[#Headers],[State]], 0)</f>
        <v>703</v>
      </c>
      <c r="I55" s="10" cm="1">
        <f t="array" ref="I55">Common_InputFunctions.Utility_DisplayArrayInTable(SourceData_PastureBeef.SourceData_PastureBeef_LiveweightNTQLD_Data(),Table_SourceData_PastureBeef_LiveweightNTQD[[#Headers],[State]], 0)</f>
        <v>112</v>
      </c>
      <c r="J55" s="10" cm="1">
        <f t="array" ref="J55">Common_InputFunctions.Utility_DisplayArrayInTable(SourceData_PastureBeef.SourceData_PastureBeef_LiveweightNTQLD_Data(),Table_SourceData_PastureBeef_LiveweightNTQD[[#Headers],[State]], 0)</f>
        <v>256</v>
      </c>
      <c r="K55" s="10" cm="1">
        <f t="array" ref="K55">Common_InputFunctions.Utility_DisplayArrayInTable(SourceData_PastureBeef.SourceData_PastureBeef_LiveweightNTQLD_Data(),Table_SourceData_PastureBeef_LiveweightNTQD[[#Headers],[State]], 0)</f>
        <v>368</v>
      </c>
      <c r="L55" s="10" cm="1">
        <f t="array" ref="L55">Common_InputFunctions.Utility_DisplayArrayInTable(SourceData_PastureBeef.SourceData_PastureBeef_LiveweightNTQLD_Data(),Table_SourceData_PastureBeef_LiveweightNTQD[[#Headers],[State]], 0)</f>
        <v>465</v>
      </c>
      <c r="M55" s="10" cm="1">
        <f t="array" ref="M55">Common_InputFunctions.Utility_DisplayArrayInTable(SourceData_PastureBeef.SourceData_PastureBeef_LiveweightNTQLD_Data(),Table_SourceData_PastureBeef_LiveweightNTQD[[#Headers],[State]], 0)</f>
        <v>108</v>
      </c>
      <c r="N55" s="10" cm="1">
        <f t="array" ref="N55">Common_InputFunctions.Utility_DisplayArrayInTable(SourceData_PastureBeef.SourceData_PastureBeef_LiveweightNTQLD_Data(),Table_SourceData_PastureBeef_LiveweightNTQD[[#Headers],[State]], 0)</f>
        <v>280</v>
      </c>
      <c r="O55" s="10" cm="1">
        <f t="array" ref="O55">Common_InputFunctions.Utility_DisplayArrayInTable(SourceData_PastureBeef.SourceData_PastureBeef_LiveweightNTQLD_Data(),Table_SourceData_PastureBeef_LiveweightNTQD[[#Headers],[State]], 0)</f>
        <v>421</v>
      </c>
      <c r="P55" s="10" cm="1">
        <f t="array" ref="P55">Common_InputFunctions.Utility_DisplayArrayInTable(SourceData_PastureBeef.SourceData_PastureBeef_LiveweightNTQLD_Data(),Table_SourceData_PastureBeef_LiveweightNTQD[[#Headers],[State]], 0)</f>
        <v>543</v>
      </c>
    </row>
    <row r="56" spans="1:16" ht="20.100000000000001" customHeight="1" x14ac:dyDescent="0.25">
      <c r="A56"/>
      <c r="D56" s="8" t="str" cm="1">
        <f t="array" ref="D56">Common_InputFunctions.Utility_DisplayArrayInTable(SourceData_PastureBeef.SourceData_PastureBeef_LiveweightNTQLD_Data(),Table_SourceData_PastureBeef_LiveweightNTQD[[#Headers],[State]], 0)</f>
        <v>Northern Territory</v>
      </c>
      <c r="E56" s="10" t="str" cm="1">
        <f t="array" ref="E56">Common_InputFunctions.Utility_DisplayArrayInTable(SourceData_PastureBeef.SourceData_PastureBeef_LiveweightNTQLD_Data(),Table_SourceData_PastureBeef_LiveweightNTQD[[#Headers],[State]], 0)</f>
        <v>Alice Springs</v>
      </c>
      <c r="F56" s="10" t="str" cm="1">
        <f t="array" ref="F56">Common_InputFunctions.Utility_DisplayArrayInTable(SourceData_PastureBeef.SourceData_PastureBeef_LiveweightNTQLD_Data(),Table_SourceData_PastureBeef_LiveweightNTQD[[#Headers],[State]], 0)</f>
        <v>Autumn</v>
      </c>
      <c r="G56" s="10" cm="1">
        <f t="array" ref="G56">Common_InputFunctions.Utility_DisplayArrayInTable(SourceData_PastureBeef.SourceData_PastureBeef_LiveweightNTQLD_Data(),Table_SourceData_PastureBeef_LiveweightNTQD[[#Headers],[State]], 0)</f>
        <v>170</v>
      </c>
      <c r="H56" s="10" cm="1">
        <f t="array" ref="H56">Common_InputFunctions.Utility_DisplayArrayInTable(SourceData_PastureBeef.SourceData_PastureBeef_LiveweightNTQLD_Data(),Table_SourceData_PastureBeef_LiveweightNTQD[[#Headers],[State]], 0)</f>
        <v>721</v>
      </c>
      <c r="I56" s="10" cm="1">
        <f t="array" ref="I56">Common_InputFunctions.Utility_DisplayArrayInTable(SourceData_PastureBeef.SourceData_PastureBeef_LiveweightNTQLD_Data(),Table_SourceData_PastureBeef_LiveweightNTQD[[#Headers],[State]], 0)</f>
        <v>169</v>
      </c>
      <c r="J56" s="10" cm="1">
        <f t="array" ref="J56">Common_InputFunctions.Utility_DisplayArrayInTable(SourceData_PastureBeef.SourceData_PastureBeef_LiveweightNTQLD_Data(),Table_SourceData_PastureBeef_LiveweightNTQD[[#Headers],[State]], 0)</f>
        <v>306</v>
      </c>
      <c r="K56" s="10" cm="1">
        <f t="array" ref="K56">Common_InputFunctions.Utility_DisplayArrayInTable(SourceData_PastureBeef.SourceData_PastureBeef_LiveweightNTQLD_Data(),Table_SourceData_PastureBeef_LiveweightNTQD[[#Headers],[State]], 0)</f>
        <v>392</v>
      </c>
      <c r="L56" s="10" cm="1">
        <f t="array" ref="L56">Common_InputFunctions.Utility_DisplayArrayInTable(SourceData_PastureBeef.SourceData_PastureBeef_LiveweightNTQLD_Data(),Table_SourceData_PastureBeef_LiveweightNTQD[[#Headers],[State]], 0)</f>
        <v>464</v>
      </c>
      <c r="M56" s="10" cm="1">
        <f t="array" ref="M56">Common_InputFunctions.Utility_DisplayArrayInTable(SourceData_PastureBeef.SourceData_PastureBeef_LiveweightNTQLD_Data(),Table_SourceData_PastureBeef_LiveweightNTQD[[#Headers],[State]], 0)</f>
        <v>176</v>
      </c>
      <c r="N56" s="10" cm="1">
        <f t="array" ref="N56">Common_InputFunctions.Utility_DisplayArrayInTable(SourceData_PastureBeef.SourceData_PastureBeef_LiveweightNTQLD_Data(),Table_SourceData_PastureBeef_LiveweightNTQD[[#Headers],[State]], 0)</f>
        <v>339</v>
      </c>
      <c r="O56" s="10" cm="1">
        <f t="array" ref="O56">Common_InputFunctions.Utility_DisplayArrayInTable(SourceData_PastureBeef.SourceData_PastureBeef_LiveweightNTQLD_Data(),Table_SourceData_PastureBeef_LiveweightNTQD[[#Headers],[State]], 0)</f>
        <v>470</v>
      </c>
      <c r="P56" s="10" cm="1">
        <f t="array" ref="P56">Common_InputFunctions.Utility_DisplayArrayInTable(SourceData_PastureBeef.SourceData_PastureBeef_LiveweightNTQLD_Data(),Table_SourceData_PastureBeef_LiveweightNTQD[[#Headers],[State]], 0)</f>
        <v>580</v>
      </c>
    </row>
    <row r="57" spans="1:16" ht="20.100000000000001" customHeight="1" x14ac:dyDescent="0.25">
      <c r="A57"/>
      <c r="D57" s="8" t="str" cm="1">
        <f t="array" ref="D57">Common_InputFunctions.Utility_DisplayArrayInTable(SourceData_PastureBeef.SourceData_PastureBeef_LiveweightNTQLD_Data(),Table_SourceData_PastureBeef_LiveweightNTQD[[#Headers],[State]], 0)</f>
        <v>Northern Territory</v>
      </c>
      <c r="E57" s="10" t="str" cm="1">
        <f t="array" ref="E57">Common_InputFunctions.Utility_DisplayArrayInTable(SourceData_PastureBeef.SourceData_PastureBeef_LiveweightNTQLD_Data(),Table_SourceData_PastureBeef_LiveweightNTQD[[#Headers],[State]], 0)</f>
        <v>Alice Springs</v>
      </c>
      <c r="F57" s="10" t="str" cm="1">
        <f t="array" ref="F57">Common_InputFunctions.Utility_DisplayArrayInTable(SourceData_PastureBeef.SourceData_PastureBeef_LiveweightNTQLD_Data(),Table_SourceData_PastureBeef_LiveweightNTQD[[#Headers],[State]], 0)</f>
        <v>Winter</v>
      </c>
      <c r="G57" s="10" cm="1">
        <f t="array" ref="G57">Common_InputFunctions.Utility_DisplayArrayInTable(SourceData_PastureBeef.SourceData_PastureBeef_LiveweightNTQLD_Data(),Table_SourceData_PastureBeef_LiveweightNTQD[[#Headers],[State]], 0)</f>
        <v>200</v>
      </c>
      <c r="H57" s="10" cm="1">
        <f t="array" ref="H57">Common_InputFunctions.Utility_DisplayArrayInTable(SourceData_PastureBeef.SourceData_PastureBeef_LiveweightNTQLD_Data(),Table_SourceData_PastureBeef_LiveweightNTQD[[#Headers],[State]], 0)</f>
        <v>727</v>
      </c>
      <c r="I57" s="10" cm="1">
        <f t="array" ref="I57">Common_InputFunctions.Utility_DisplayArrayInTable(SourceData_PastureBeef.SourceData_PastureBeef_LiveweightNTQLD_Data(),Table_SourceData_PastureBeef_LiveweightNTQD[[#Headers],[State]], 0)</f>
        <v>211</v>
      </c>
      <c r="J57" s="10" cm="1">
        <f t="array" ref="J57">Common_InputFunctions.Utility_DisplayArrayInTable(SourceData_PastureBeef.SourceData_PastureBeef_LiveweightNTQLD_Data(),Table_SourceData_PastureBeef_LiveweightNTQD[[#Headers],[State]], 0)</f>
        <v>338</v>
      </c>
      <c r="K57" s="10" cm="1">
        <f t="array" ref="K57">Common_InputFunctions.Utility_DisplayArrayInTable(SourceData_PastureBeef.SourceData_PastureBeef_LiveweightNTQLD_Data(),Table_SourceData_PastureBeef_LiveweightNTQD[[#Headers],[State]], 0)</f>
        <v>432</v>
      </c>
      <c r="L57" s="10" cm="1">
        <f t="array" ref="L57">Common_InputFunctions.Utility_DisplayArrayInTable(SourceData_PastureBeef.SourceData_PastureBeef_LiveweightNTQLD_Data(),Table_SourceData_PastureBeef_LiveweightNTQD[[#Headers],[State]], 0)</f>
        <v>492</v>
      </c>
      <c r="M57" s="10" cm="1">
        <f t="array" ref="M57">Common_InputFunctions.Utility_DisplayArrayInTable(SourceData_PastureBeef.SourceData_PastureBeef_LiveweightNTQLD_Data(),Table_SourceData_PastureBeef_LiveweightNTQD[[#Headers],[State]], 0)</f>
        <v>222</v>
      </c>
      <c r="N57" s="10" cm="1">
        <f t="array" ref="N57">Common_InputFunctions.Utility_DisplayArrayInTable(SourceData_PastureBeef.SourceData_PastureBeef_LiveweightNTQLD_Data(),Table_SourceData_PastureBeef_LiveweightNTQD[[#Headers],[State]], 0)</f>
        <v>377</v>
      </c>
      <c r="O57" s="10" cm="1">
        <f t="array" ref="O57">Common_InputFunctions.Utility_DisplayArrayInTable(SourceData_PastureBeef.SourceData_PastureBeef_LiveweightNTQLD_Data(),Table_SourceData_PastureBeef_LiveweightNTQD[[#Headers],[State]], 0)</f>
        <v>498</v>
      </c>
      <c r="P57" s="10" cm="1">
        <f t="array" ref="P57">Common_InputFunctions.Utility_DisplayArrayInTable(SourceData_PastureBeef.SourceData_PastureBeef_LiveweightNTQLD_Data(),Table_SourceData_PastureBeef_LiveweightNTQD[[#Headers],[State]], 0)</f>
        <v>590</v>
      </c>
    </row>
    <row r="58" spans="1:16" ht="20.100000000000001" customHeight="1" x14ac:dyDescent="0.25">
      <c r="A58"/>
      <c r="D58" s="8" t="str" cm="1">
        <f t="array" ref="D58">Common_InputFunctions.Utility_DisplayArrayInTable(SourceData_PastureBeef.SourceData_PastureBeef_LiveweightNTQLD_Data(),Table_SourceData_PastureBeef_LiveweightNTQD[[#Headers],[State]], 0)</f>
        <v>Northern Territory</v>
      </c>
      <c r="E58" s="10" t="str" cm="1">
        <f t="array" ref="E58">Common_InputFunctions.Utility_DisplayArrayInTable(SourceData_PastureBeef.SourceData_PastureBeef_LiveweightNTQLD_Data(),Table_SourceData_PastureBeef_LiveweightNTQD[[#Headers],[State]], 0)</f>
        <v>Barkly</v>
      </c>
      <c r="F58" s="10" t="str" cm="1">
        <f t="array" ref="F58">Common_InputFunctions.Utility_DisplayArrayInTable(SourceData_PastureBeef.SourceData_PastureBeef_LiveweightNTQLD_Data(),Table_SourceData_PastureBeef_LiveweightNTQD[[#Headers],[State]], 0)</f>
        <v>Spring</v>
      </c>
      <c r="G58" s="10" cm="1">
        <f t="array" ref="G58">Common_InputFunctions.Utility_DisplayArrayInTable(SourceData_PastureBeef.SourceData_PastureBeef_LiveweightNTQLD_Data(),Table_SourceData_PastureBeef_LiveweightNTQD[[#Headers],[State]], 0)</f>
        <v>220</v>
      </c>
      <c r="H58" s="10" cm="1">
        <f t="array" ref="H58">Common_InputFunctions.Utility_DisplayArrayInTable(SourceData_PastureBeef.SourceData_PastureBeef_LiveweightNTQLD_Data(),Table_SourceData_PastureBeef_LiveweightNTQD[[#Headers],[State]], 0)</f>
        <v>620</v>
      </c>
      <c r="I58" s="10" cm="1">
        <f t="array" ref="I58">Common_InputFunctions.Utility_DisplayArrayInTable(SourceData_PastureBeef.SourceData_PastureBeef_LiveweightNTQLD_Data(),Table_SourceData_PastureBeef_LiveweightNTQD[[#Headers],[State]], 0)</f>
        <v>227</v>
      </c>
      <c r="J58" s="10" cm="1">
        <f t="array" ref="J58">Common_InputFunctions.Utility_DisplayArrayInTable(SourceData_PastureBeef.SourceData_PastureBeef_LiveweightNTQLD_Data(),Table_SourceData_PastureBeef_LiveweightNTQD[[#Headers],[State]], 0)</f>
        <v>319</v>
      </c>
      <c r="K58" s="10" cm="1">
        <f t="array" ref="K58">Common_InputFunctions.Utility_DisplayArrayInTable(SourceData_PastureBeef.SourceData_PastureBeef_LiveweightNTQLD_Data(),Table_SourceData_PastureBeef_LiveweightNTQD[[#Headers],[State]], 0)</f>
        <v>398</v>
      </c>
      <c r="L58" s="10" cm="1">
        <f t="array" ref="L58">Common_InputFunctions.Utility_DisplayArrayInTable(SourceData_PastureBeef.SourceData_PastureBeef_LiveweightNTQLD_Data(),Table_SourceData_PastureBeef_LiveweightNTQD[[#Headers],[State]], 0)</f>
        <v>452</v>
      </c>
      <c r="M58" s="10" cm="1">
        <f t="array" ref="M58">Common_InputFunctions.Utility_DisplayArrayInTable(SourceData_PastureBeef.SourceData_PastureBeef_LiveweightNTQLD_Data(),Table_SourceData_PastureBeef_LiveweightNTQD[[#Headers],[State]], 0)</f>
        <v>216</v>
      </c>
      <c r="N58" s="10" cm="1">
        <f t="array" ref="N58">Common_InputFunctions.Utility_DisplayArrayInTable(SourceData_PastureBeef.SourceData_PastureBeef_LiveweightNTQLD_Data(),Table_SourceData_PastureBeef_LiveweightNTQD[[#Headers],[State]], 0)</f>
        <v>334</v>
      </c>
      <c r="O58" s="10" t="str" cm="1">
        <f t="array" ref="O58">Common_InputFunctions.Utility_DisplayArrayInTable(SourceData_PastureBeef.SourceData_PastureBeef_LiveweightNTQLD_Data(),Table_SourceData_PastureBeef_LiveweightNTQD[[#Headers],[State]], 0)</f>
        <v>NO</v>
      </c>
      <c r="P58" s="10" t="str" cm="1">
        <f t="array" ref="P58">Common_InputFunctions.Utility_DisplayArrayInTable(SourceData_PastureBeef.SourceData_PastureBeef_LiveweightNTQLD_Data(),Table_SourceData_PastureBeef_LiveweightNTQD[[#Headers],[State]], 0)</f>
        <v>NO</v>
      </c>
    </row>
    <row r="59" spans="1:16" ht="20.100000000000001" customHeight="1" x14ac:dyDescent="0.25">
      <c r="A59"/>
      <c r="D59" s="8" t="str" cm="1">
        <f t="array" ref="D59">Common_InputFunctions.Utility_DisplayArrayInTable(SourceData_PastureBeef.SourceData_PastureBeef_LiveweightNTQLD_Data(),Table_SourceData_PastureBeef_LiveweightNTQD[[#Headers],[State]], 0)</f>
        <v>Northern Territory</v>
      </c>
      <c r="E59" s="10" t="str" cm="1">
        <f t="array" ref="E59">Common_InputFunctions.Utility_DisplayArrayInTable(SourceData_PastureBeef.SourceData_PastureBeef_LiveweightNTQLD_Data(),Table_SourceData_PastureBeef_LiveweightNTQD[[#Headers],[State]], 0)</f>
        <v>Barkly</v>
      </c>
      <c r="F59" s="10" t="str" cm="1">
        <f t="array" ref="F59">Common_InputFunctions.Utility_DisplayArrayInTable(SourceData_PastureBeef.SourceData_PastureBeef_LiveweightNTQLD_Data(),Table_SourceData_PastureBeef_LiveweightNTQD[[#Headers],[State]], 0)</f>
        <v>Summer</v>
      </c>
      <c r="G59" s="10" cm="1">
        <f t="array" ref="G59">Common_InputFunctions.Utility_DisplayArrayInTable(SourceData_PastureBeef.SourceData_PastureBeef_LiveweightNTQLD_Data(),Table_SourceData_PastureBeef_LiveweightNTQD[[#Headers],[State]], 0)</f>
        <v>110</v>
      </c>
      <c r="H59" s="10" cm="1">
        <f t="array" ref="H59">Common_InputFunctions.Utility_DisplayArrayInTable(SourceData_PastureBeef.SourceData_PastureBeef_LiveweightNTQLD_Data(),Table_SourceData_PastureBeef_LiveweightNTQD[[#Headers],[State]], 0)</f>
        <v>650</v>
      </c>
      <c r="I59" s="10" cm="1">
        <f t="array" ref="I59">Common_InputFunctions.Utility_DisplayArrayInTable(SourceData_PastureBeef.SourceData_PastureBeef_LiveweightNTQLD_Data(),Table_SourceData_PastureBeef_LiveweightNTQD[[#Headers],[State]], 0)</f>
        <v>108</v>
      </c>
      <c r="J59" s="10" cm="1">
        <f t="array" ref="J59">Common_InputFunctions.Utility_DisplayArrayInTable(SourceData_PastureBeef.SourceData_PastureBeef_LiveweightNTQLD_Data(),Table_SourceData_PastureBeef_LiveweightNTQD[[#Headers],[State]], 0)</f>
        <v>262</v>
      </c>
      <c r="K59" s="10" cm="1">
        <f t="array" ref="K59">Common_InputFunctions.Utility_DisplayArrayInTable(SourceData_PastureBeef.SourceData_PastureBeef_LiveweightNTQLD_Data(),Table_SourceData_PastureBeef_LiveweightNTQD[[#Headers],[State]], 0)</f>
        <v>346</v>
      </c>
      <c r="L59" s="10" cm="1">
        <f t="array" ref="L59">Common_InputFunctions.Utility_DisplayArrayInTable(SourceData_PastureBeef.SourceData_PastureBeef_LiveweightNTQLD_Data(),Table_SourceData_PastureBeef_LiveweightNTQD[[#Headers],[State]], 0)</f>
        <v>430</v>
      </c>
      <c r="M59" s="10" cm="1">
        <f t="array" ref="M59">Common_InputFunctions.Utility_DisplayArrayInTable(SourceData_PastureBeef.SourceData_PastureBeef_LiveweightNTQLD_Data(),Table_SourceData_PastureBeef_LiveweightNTQD[[#Headers],[State]], 0)</f>
        <v>111</v>
      </c>
      <c r="N59" s="10" cm="1">
        <f t="array" ref="N59">Common_InputFunctions.Utility_DisplayArrayInTable(SourceData_PastureBeef.SourceData_PastureBeef_LiveweightNTQLD_Data(),Table_SourceData_PastureBeef_LiveweightNTQD[[#Headers],[State]], 0)</f>
        <v>236</v>
      </c>
      <c r="O59" s="10" t="str" cm="1">
        <f t="array" ref="O59">Common_InputFunctions.Utility_DisplayArrayInTable(SourceData_PastureBeef.SourceData_PastureBeef_LiveweightNTQLD_Data(),Table_SourceData_PastureBeef_LiveweightNTQD[[#Headers],[State]], 0)</f>
        <v>NO</v>
      </c>
      <c r="P59" s="10" t="str" cm="1">
        <f t="array" ref="P59">Common_InputFunctions.Utility_DisplayArrayInTable(SourceData_PastureBeef.SourceData_PastureBeef_LiveweightNTQLD_Data(),Table_SourceData_PastureBeef_LiveweightNTQD[[#Headers],[State]], 0)</f>
        <v>NO</v>
      </c>
    </row>
    <row r="60" spans="1:16" ht="20.100000000000001" customHeight="1" x14ac:dyDescent="0.25">
      <c r="A60"/>
      <c r="D60" s="8" t="str" cm="1">
        <f t="array" ref="D60">Common_InputFunctions.Utility_DisplayArrayInTable(SourceData_PastureBeef.SourceData_PastureBeef_LiveweightNTQLD_Data(),Table_SourceData_PastureBeef_LiveweightNTQD[[#Headers],[State]], 0)</f>
        <v>Northern Territory</v>
      </c>
      <c r="E60" s="10" t="str" cm="1">
        <f t="array" ref="E60">Common_InputFunctions.Utility_DisplayArrayInTable(SourceData_PastureBeef.SourceData_PastureBeef_LiveweightNTQLD_Data(),Table_SourceData_PastureBeef_LiveweightNTQD[[#Headers],[State]], 0)</f>
        <v>Barkly</v>
      </c>
      <c r="F60" s="10" t="str" cm="1">
        <f t="array" ref="F60">Common_InputFunctions.Utility_DisplayArrayInTable(SourceData_PastureBeef.SourceData_PastureBeef_LiveweightNTQLD_Data(),Table_SourceData_PastureBeef_LiveweightNTQD[[#Headers],[State]], 0)</f>
        <v>Autumn</v>
      </c>
      <c r="G60" s="10" cm="1">
        <f t="array" ref="G60">Common_InputFunctions.Utility_DisplayArrayInTable(SourceData_PastureBeef.SourceData_PastureBeef_LiveweightNTQLD_Data(),Table_SourceData_PastureBeef_LiveweightNTQD[[#Headers],[State]], 0)</f>
        <v>170</v>
      </c>
      <c r="H60" s="10" cm="1">
        <f t="array" ref="H60">Common_InputFunctions.Utility_DisplayArrayInTable(SourceData_PastureBeef.SourceData_PastureBeef_LiveweightNTQLD_Data(),Table_SourceData_PastureBeef_LiveweightNTQD[[#Headers],[State]], 0)</f>
        <v>670</v>
      </c>
      <c r="I60" s="10" cm="1">
        <f t="array" ref="I60">Common_InputFunctions.Utility_DisplayArrayInTable(SourceData_PastureBeef.SourceData_PastureBeef_LiveweightNTQLD_Data(),Table_SourceData_PastureBeef_LiveweightNTQD[[#Headers],[State]], 0)</f>
        <v>170</v>
      </c>
      <c r="J60" s="10" cm="1">
        <f t="array" ref="J60">Common_InputFunctions.Utility_DisplayArrayInTable(SourceData_PastureBeef.SourceData_PastureBeef_LiveweightNTQLD_Data(),Table_SourceData_PastureBeef_LiveweightNTQD[[#Headers],[State]], 0)</f>
        <v>266</v>
      </c>
      <c r="K60" s="10" cm="1">
        <f t="array" ref="K60">Common_InputFunctions.Utility_DisplayArrayInTable(SourceData_PastureBeef.SourceData_PastureBeef_LiveweightNTQLD_Data(),Table_SourceData_PastureBeef_LiveweightNTQD[[#Headers],[State]], 0)</f>
        <v>363</v>
      </c>
      <c r="L60" s="10" cm="1">
        <f t="array" ref="L60">Common_InputFunctions.Utility_DisplayArrayInTable(SourceData_PastureBeef.SourceData_PastureBeef_LiveweightNTQLD_Data(),Table_SourceData_PastureBeef_LiveweightNTQD[[#Headers],[State]], 0)</f>
        <v>444</v>
      </c>
      <c r="M60" s="10" cm="1">
        <f t="array" ref="M60">Common_InputFunctions.Utility_DisplayArrayInTable(SourceData_PastureBeef.SourceData_PastureBeef_LiveweightNTQLD_Data(),Table_SourceData_PastureBeef_LiveweightNTQD[[#Headers],[State]], 0)</f>
        <v>169</v>
      </c>
      <c r="N60" s="10" cm="1">
        <f t="array" ref="N60">Common_InputFunctions.Utility_DisplayArrayInTable(SourceData_PastureBeef.SourceData_PastureBeef_LiveweightNTQLD_Data(),Table_SourceData_PastureBeef_LiveweightNTQD[[#Headers],[State]], 0)</f>
        <v>282</v>
      </c>
      <c r="O60" s="10" t="str" cm="1">
        <f t="array" ref="O60">Common_InputFunctions.Utility_DisplayArrayInTable(SourceData_PastureBeef.SourceData_PastureBeef_LiveweightNTQLD_Data(),Table_SourceData_PastureBeef_LiveweightNTQD[[#Headers],[State]], 0)</f>
        <v>NO</v>
      </c>
      <c r="P60" s="10" t="str" cm="1">
        <f t="array" ref="P60">Common_InputFunctions.Utility_DisplayArrayInTable(SourceData_PastureBeef.SourceData_PastureBeef_LiveweightNTQLD_Data(),Table_SourceData_PastureBeef_LiveweightNTQD[[#Headers],[State]], 0)</f>
        <v>NO</v>
      </c>
    </row>
    <row r="61" spans="1:16" ht="20.100000000000001" customHeight="1" x14ac:dyDescent="0.25">
      <c r="A61"/>
      <c r="D61" s="8" t="str" cm="1">
        <f t="array" ref="D61">Common_InputFunctions.Utility_DisplayArrayInTable(SourceData_PastureBeef.SourceData_PastureBeef_LiveweightNTQLD_Data(),Table_SourceData_PastureBeef_LiveweightNTQD[[#Headers],[State]], 0)</f>
        <v>Northern Territory</v>
      </c>
      <c r="E61" s="10" t="str" cm="1">
        <f t="array" ref="E61">Common_InputFunctions.Utility_DisplayArrayInTable(SourceData_PastureBeef.SourceData_PastureBeef_LiveweightNTQLD_Data(),Table_SourceData_PastureBeef_LiveweightNTQD[[#Headers],[State]], 0)</f>
        <v>Barkly</v>
      </c>
      <c r="F61" s="10" t="str" cm="1">
        <f t="array" ref="F61">Common_InputFunctions.Utility_DisplayArrayInTable(SourceData_PastureBeef.SourceData_PastureBeef_LiveweightNTQLD_Data(),Table_SourceData_PastureBeef_LiveweightNTQD[[#Headers],[State]], 0)</f>
        <v>Winter</v>
      </c>
      <c r="G61" s="10" cm="1">
        <f t="array" ref="G61">Common_InputFunctions.Utility_DisplayArrayInTable(SourceData_PastureBeef.SourceData_PastureBeef_LiveweightNTQLD_Data(),Table_SourceData_PastureBeef_LiveweightNTQD[[#Headers],[State]], 0)</f>
        <v>200</v>
      </c>
      <c r="H61" s="10" cm="1">
        <f t="array" ref="H61">Common_InputFunctions.Utility_DisplayArrayInTable(SourceData_PastureBeef.SourceData_PastureBeef_LiveweightNTQLD_Data(),Table_SourceData_PastureBeef_LiveweightNTQD[[#Headers],[State]], 0)</f>
        <v>660</v>
      </c>
      <c r="I61" s="10" cm="1">
        <f t="array" ref="I61">Common_InputFunctions.Utility_DisplayArrayInTable(SourceData_PastureBeef.SourceData_PastureBeef_LiveweightNTQLD_Data(),Table_SourceData_PastureBeef_LiveweightNTQD[[#Headers],[State]], 0)</f>
        <v>225</v>
      </c>
      <c r="J61" s="10" cm="1">
        <f t="array" ref="J61">Common_InputFunctions.Utility_DisplayArrayInTable(SourceData_PastureBeef.SourceData_PastureBeef_LiveweightNTQLD_Data(),Table_SourceData_PastureBeef_LiveweightNTQD[[#Headers],[State]], 0)</f>
        <v>307</v>
      </c>
      <c r="K61" s="10" cm="1">
        <f t="array" ref="K61">Common_InputFunctions.Utility_DisplayArrayInTable(SourceData_PastureBeef.SourceData_PastureBeef_LiveweightNTQLD_Data(),Table_SourceData_PastureBeef_LiveweightNTQD[[#Headers],[State]], 0)</f>
        <v>398</v>
      </c>
      <c r="L61" s="10" cm="1">
        <f t="array" ref="L61">Common_InputFunctions.Utility_DisplayArrayInTable(SourceData_PastureBeef.SourceData_PastureBeef_LiveweightNTQLD_Data(),Table_SourceData_PastureBeef_LiveweightNTQD[[#Headers],[State]], 0)</f>
        <v>452</v>
      </c>
      <c r="M61" s="10" cm="1">
        <f t="array" ref="M61">Common_InputFunctions.Utility_DisplayArrayInTable(SourceData_PastureBeef.SourceData_PastureBeef_LiveweightNTQLD_Data(),Table_SourceData_PastureBeef_LiveweightNTQD[[#Headers],[State]], 0)</f>
        <v>214</v>
      </c>
      <c r="N61" s="10" cm="1">
        <f t="array" ref="N61">Common_InputFunctions.Utility_DisplayArrayInTable(SourceData_PastureBeef.SourceData_PastureBeef_LiveweightNTQLD_Data(),Table_SourceData_PastureBeef_LiveweightNTQD[[#Headers],[State]], 0)</f>
        <v>326</v>
      </c>
      <c r="O61" s="10" t="str" cm="1">
        <f t="array" ref="O61">Common_InputFunctions.Utility_DisplayArrayInTable(SourceData_PastureBeef.SourceData_PastureBeef_LiveweightNTQLD_Data(),Table_SourceData_PastureBeef_LiveweightNTQD[[#Headers],[State]], 0)</f>
        <v>NO</v>
      </c>
      <c r="P61" s="10" t="str" cm="1">
        <f t="array" ref="P61">Common_InputFunctions.Utility_DisplayArrayInTable(SourceData_PastureBeef.SourceData_PastureBeef_LiveweightNTQLD_Data(),Table_SourceData_PastureBeef_LiveweightNTQD[[#Headers],[State]], 0)</f>
        <v>NO</v>
      </c>
    </row>
    <row r="62" spans="1:16" ht="20.100000000000001" customHeight="1" x14ac:dyDescent="0.25">
      <c r="A62"/>
      <c r="D62" s="8" t="str" cm="1">
        <f t="array" ref="D62">Common_InputFunctions.Utility_DisplayArrayInTable(SourceData_PastureBeef.SourceData_PastureBeef_LiveweightNTQLD_Data(),Table_SourceData_PastureBeef_LiveweightNTQD[[#Headers],[State]], 0)</f>
        <v>Northern Territory</v>
      </c>
      <c r="E62" s="10" t="str" cm="1">
        <f t="array" ref="E62">Common_InputFunctions.Utility_DisplayArrayInTable(SourceData_PastureBeef.SourceData_PastureBeef_LiveweightNTQLD_Data(),Table_SourceData_PastureBeef_LiveweightNTQD[[#Headers],[State]], 0)</f>
        <v>Northern</v>
      </c>
      <c r="F62" s="10" t="str" cm="1">
        <f t="array" ref="F62">Common_InputFunctions.Utility_DisplayArrayInTable(SourceData_PastureBeef.SourceData_PastureBeef_LiveweightNTQLD_Data(),Table_SourceData_PastureBeef_LiveweightNTQD[[#Headers],[State]], 0)</f>
        <v>Spring</v>
      </c>
      <c r="G62" s="10" cm="1">
        <f t="array" ref="G62">Common_InputFunctions.Utility_DisplayArrayInTable(SourceData_PastureBeef.SourceData_PastureBeef_LiveweightNTQLD_Data(),Table_SourceData_PastureBeef_LiveweightNTQD[[#Headers],[State]], 0)</f>
        <v>220</v>
      </c>
      <c r="H62" s="10" cm="1">
        <f t="array" ref="H62">Common_InputFunctions.Utility_DisplayArrayInTable(SourceData_PastureBeef.SourceData_PastureBeef_LiveweightNTQLD_Data(),Table_SourceData_PastureBeef_LiveweightNTQD[[#Headers],[State]], 0)</f>
        <v>620</v>
      </c>
      <c r="I62" s="10" cm="1">
        <f t="array" ref="I62">Common_InputFunctions.Utility_DisplayArrayInTable(SourceData_PastureBeef.SourceData_PastureBeef_LiveweightNTQLD_Data(),Table_SourceData_PastureBeef_LiveweightNTQD[[#Headers],[State]], 0)</f>
        <v>177</v>
      </c>
      <c r="J62" s="10" cm="1">
        <f t="array" ref="J62">Common_InputFunctions.Utility_DisplayArrayInTable(SourceData_PastureBeef.SourceData_PastureBeef_LiveweightNTQLD_Data(),Table_SourceData_PastureBeef_LiveweightNTQD[[#Headers],[State]], 0)</f>
        <v>267</v>
      </c>
      <c r="K62" s="10" cm="1">
        <f t="array" ref="K62">Common_InputFunctions.Utility_DisplayArrayInTable(SourceData_PastureBeef.SourceData_PastureBeef_LiveweightNTQLD_Data(),Table_SourceData_PastureBeef_LiveweightNTQD[[#Headers],[State]], 0)</f>
        <v>365</v>
      </c>
      <c r="L62" s="10" cm="1">
        <f t="array" ref="L62">Common_InputFunctions.Utility_DisplayArrayInTable(SourceData_PastureBeef.SourceData_PastureBeef_LiveweightNTQLD_Data(),Table_SourceData_PastureBeef_LiveweightNTQD[[#Headers],[State]], 0)</f>
        <v>406</v>
      </c>
      <c r="M62" s="10" cm="1">
        <f t="array" ref="M62">Common_InputFunctions.Utility_DisplayArrayInTable(SourceData_PastureBeef.SourceData_PastureBeef_LiveweightNTQLD_Data(),Table_SourceData_PastureBeef_LiveweightNTQD[[#Headers],[State]], 0)</f>
        <v>231</v>
      </c>
      <c r="N62" s="10" cm="1">
        <f t="array" ref="N62">Common_InputFunctions.Utility_DisplayArrayInTable(SourceData_PastureBeef.SourceData_PastureBeef_LiveweightNTQLD_Data(),Table_SourceData_PastureBeef_LiveweightNTQD[[#Headers],[State]], 0)</f>
        <v>249</v>
      </c>
      <c r="O62" s="10" cm="1">
        <f t="array" ref="O62">Common_InputFunctions.Utility_DisplayArrayInTable(SourceData_PastureBeef.SourceData_PastureBeef_LiveweightNTQLD_Data(),Table_SourceData_PastureBeef_LiveweightNTQD[[#Headers],[State]], 0)</f>
        <v>324</v>
      </c>
      <c r="P62" s="10" t="str" cm="1">
        <f t="array" ref="P62">Common_InputFunctions.Utility_DisplayArrayInTable(SourceData_PastureBeef.SourceData_PastureBeef_LiveweightNTQLD_Data(),Table_SourceData_PastureBeef_LiveweightNTQD[[#Headers],[State]], 0)</f>
        <v>NO</v>
      </c>
    </row>
    <row r="63" spans="1:16" ht="20.100000000000001" customHeight="1" x14ac:dyDescent="0.25">
      <c r="A63"/>
      <c r="D63" s="8" t="str" cm="1">
        <f t="array" ref="D63">Common_InputFunctions.Utility_DisplayArrayInTable(SourceData_PastureBeef.SourceData_PastureBeef_LiveweightNTQLD_Data(),Table_SourceData_PastureBeef_LiveweightNTQD[[#Headers],[State]], 0)</f>
        <v>Northern Territory</v>
      </c>
      <c r="E63" s="10" t="str" cm="1">
        <f t="array" ref="E63">Common_InputFunctions.Utility_DisplayArrayInTable(SourceData_PastureBeef.SourceData_PastureBeef_LiveweightNTQLD_Data(),Table_SourceData_PastureBeef_LiveweightNTQD[[#Headers],[State]], 0)</f>
        <v>Northern</v>
      </c>
      <c r="F63" s="10" t="str" cm="1">
        <f t="array" ref="F63">Common_InputFunctions.Utility_DisplayArrayInTable(SourceData_PastureBeef.SourceData_PastureBeef_LiveweightNTQLD_Data(),Table_SourceData_PastureBeef_LiveweightNTQD[[#Headers],[State]], 0)</f>
        <v>Summer</v>
      </c>
      <c r="G63" s="10" cm="1">
        <f t="array" ref="G63">Common_InputFunctions.Utility_DisplayArrayInTable(SourceData_PastureBeef.SourceData_PastureBeef_LiveweightNTQLD_Data(),Table_SourceData_PastureBeef_LiveweightNTQD[[#Headers],[State]], 0)</f>
        <v>110</v>
      </c>
      <c r="H63" s="10" cm="1">
        <f t="array" ref="H63">Common_InputFunctions.Utility_DisplayArrayInTable(SourceData_PastureBeef.SourceData_PastureBeef_LiveweightNTQLD_Data(),Table_SourceData_PastureBeef_LiveweightNTQD[[#Headers],[State]], 0)</f>
        <v>650</v>
      </c>
      <c r="I63" s="10" cm="1">
        <f t="array" ref="I63">Common_InputFunctions.Utility_DisplayArrayInTable(SourceData_PastureBeef.SourceData_PastureBeef_LiveweightNTQLD_Data(),Table_SourceData_PastureBeef_LiveweightNTQD[[#Headers],[State]], 0)</f>
        <v>102</v>
      </c>
      <c r="J63" s="10" cm="1">
        <f t="array" ref="J63">Common_InputFunctions.Utility_DisplayArrayInTable(SourceData_PastureBeef.SourceData_PastureBeef_LiveweightNTQLD_Data(),Table_SourceData_PastureBeef_LiveweightNTQD[[#Headers],[State]], 0)</f>
        <v>203</v>
      </c>
      <c r="K63" s="10" cm="1">
        <f t="array" ref="K63">Common_InputFunctions.Utility_DisplayArrayInTable(SourceData_PastureBeef.SourceData_PastureBeef_LiveweightNTQLD_Data(),Table_SourceData_PastureBeef_LiveweightNTQD[[#Headers],[State]], 0)</f>
        <v>299</v>
      </c>
      <c r="L63" s="10" cm="1">
        <f t="array" ref="L63">Common_InputFunctions.Utility_DisplayArrayInTable(SourceData_PastureBeef.SourceData_PastureBeef_LiveweightNTQLD_Data(),Table_SourceData_PastureBeef_LiveweightNTQD[[#Headers],[State]], 0)</f>
        <v>380</v>
      </c>
      <c r="M63" s="10" cm="1">
        <f t="array" ref="M63">Common_InputFunctions.Utility_DisplayArrayInTable(SourceData_PastureBeef.SourceData_PastureBeef_LiveweightNTQLD_Data(),Table_SourceData_PastureBeef_LiveweightNTQD[[#Headers],[State]], 0)</f>
        <v>102</v>
      </c>
      <c r="N63" s="10" cm="1">
        <f t="array" ref="N63">Common_InputFunctions.Utility_DisplayArrayInTable(SourceData_PastureBeef.SourceData_PastureBeef_LiveweightNTQLD_Data(),Table_SourceData_PastureBeef_LiveweightNTQD[[#Headers],[State]], 0)</f>
        <v>218</v>
      </c>
      <c r="O63" s="10" cm="1">
        <f t="array" ref="O63">Common_InputFunctions.Utility_DisplayArrayInTable(SourceData_PastureBeef.SourceData_PastureBeef_LiveweightNTQLD_Data(),Table_SourceData_PastureBeef_LiveweightNTQD[[#Headers],[State]], 0)</f>
        <v>263</v>
      </c>
      <c r="P63" s="10" t="str" cm="1">
        <f t="array" ref="P63">Common_InputFunctions.Utility_DisplayArrayInTable(SourceData_PastureBeef.SourceData_PastureBeef_LiveweightNTQLD_Data(),Table_SourceData_PastureBeef_LiveweightNTQD[[#Headers],[State]], 0)</f>
        <v>NO</v>
      </c>
    </row>
    <row r="64" spans="1:16" ht="20.100000000000001" customHeight="1" x14ac:dyDescent="0.25">
      <c r="A64"/>
      <c r="D64" s="8" t="str" cm="1">
        <f t="array" ref="D64">Common_InputFunctions.Utility_DisplayArrayInTable(SourceData_PastureBeef.SourceData_PastureBeef_LiveweightNTQLD_Data(),Table_SourceData_PastureBeef_LiveweightNTQD[[#Headers],[State]], 0)</f>
        <v>Northern Territory</v>
      </c>
      <c r="E64" s="10" t="str" cm="1">
        <f t="array" ref="E64">Common_InputFunctions.Utility_DisplayArrayInTable(SourceData_PastureBeef.SourceData_PastureBeef_LiveweightNTQLD_Data(),Table_SourceData_PastureBeef_LiveweightNTQD[[#Headers],[State]], 0)</f>
        <v>Northern</v>
      </c>
      <c r="F64" s="10" t="str" cm="1">
        <f t="array" ref="F64">Common_InputFunctions.Utility_DisplayArrayInTable(SourceData_PastureBeef.SourceData_PastureBeef_LiveweightNTQLD_Data(),Table_SourceData_PastureBeef_LiveweightNTQD[[#Headers],[State]], 0)</f>
        <v>Autumn</v>
      </c>
      <c r="G64" s="10" cm="1">
        <f t="array" ref="G64">Common_InputFunctions.Utility_DisplayArrayInTable(SourceData_PastureBeef.SourceData_PastureBeef_LiveweightNTQLD_Data(),Table_SourceData_PastureBeef_LiveweightNTQD[[#Headers],[State]], 0)</f>
        <v>170</v>
      </c>
      <c r="H64" s="10" cm="1">
        <f t="array" ref="H64">Common_InputFunctions.Utility_DisplayArrayInTable(SourceData_PastureBeef.SourceData_PastureBeef_LiveweightNTQLD_Data(),Table_SourceData_PastureBeef_LiveweightNTQD[[#Headers],[State]], 0)</f>
        <v>670</v>
      </c>
      <c r="I64" s="10" cm="1">
        <f t="array" ref="I64">Common_InputFunctions.Utility_DisplayArrayInTable(SourceData_PastureBeef.SourceData_PastureBeef_LiveweightNTQLD_Data(),Table_SourceData_PastureBeef_LiveweightNTQD[[#Headers],[State]], 0)</f>
        <v>173</v>
      </c>
      <c r="J64" s="10" cm="1">
        <f t="array" ref="J64">Common_InputFunctions.Utility_DisplayArrayInTable(SourceData_PastureBeef.SourceData_PastureBeef_LiveweightNTQLD_Data(),Table_SourceData_PastureBeef_LiveweightNTQD[[#Headers],[State]], 0)</f>
        <v>250</v>
      </c>
      <c r="K64" s="10" cm="1">
        <f t="array" ref="K64">Common_InputFunctions.Utility_DisplayArrayInTable(SourceData_PastureBeef.SourceData_PastureBeef_LiveweightNTQLD_Data(),Table_SourceData_PastureBeef_LiveweightNTQD[[#Headers],[State]], 0)</f>
        <v>336</v>
      </c>
      <c r="L64" s="10" cm="1">
        <f t="array" ref="L64">Common_InputFunctions.Utility_DisplayArrayInTable(SourceData_PastureBeef.SourceData_PastureBeef_LiveweightNTQLD_Data(),Table_SourceData_PastureBeef_LiveweightNTQD[[#Headers],[State]], 0)</f>
        <v>414</v>
      </c>
      <c r="M64" s="10" cm="1">
        <f t="array" ref="M64">Common_InputFunctions.Utility_DisplayArrayInTable(SourceData_PastureBeef.SourceData_PastureBeef_LiveweightNTQLD_Data(),Table_SourceData_PastureBeef_LiveweightNTQD[[#Headers],[State]], 0)</f>
        <v>175</v>
      </c>
      <c r="N64" s="10" cm="1">
        <f t="array" ref="N64">Common_InputFunctions.Utility_DisplayArrayInTable(SourceData_PastureBeef.SourceData_PastureBeef_LiveweightNTQLD_Data(),Table_SourceData_PastureBeef_LiveweightNTQD[[#Headers],[State]], 0)</f>
        <v>243</v>
      </c>
      <c r="O64" s="10" cm="1">
        <f t="array" ref="O64">Common_InputFunctions.Utility_DisplayArrayInTable(SourceData_PastureBeef.SourceData_PastureBeef_LiveweightNTQLD_Data(),Table_SourceData_PastureBeef_LiveweightNTQD[[#Headers],[State]], 0)</f>
        <v>304</v>
      </c>
      <c r="P64" s="10" t="str" cm="1">
        <f t="array" ref="P64">Common_InputFunctions.Utility_DisplayArrayInTable(SourceData_PastureBeef.SourceData_PastureBeef_LiveweightNTQLD_Data(),Table_SourceData_PastureBeef_LiveweightNTQD[[#Headers],[State]], 0)</f>
        <v>NO</v>
      </c>
    </row>
    <row r="65" spans="1:22" ht="20.100000000000001" customHeight="1" x14ac:dyDescent="0.25">
      <c r="A65"/>
      <c r="D65" s="8" t="str" cm="1">
        <f t="array" ref="D65">Common_InputFunctions.Utility_DisplayArrayInTable(SourceData_PastureBeef.SourceData_PastureBeef_LiveweightNTQLD_Data(),Table_SourceData_PastureBeef_LiveweightNTQD[[#Headers],[State]], 0)</f>
        <v>Northern Territory</v>
      </c>
      <c r="E65" s="10" t="str" cm="1">
        <f t="array" ref="E65">Common_InputFunctions.Utility_DisplayArrayInTable(SourceData_PastureBeef.SourceData_PastureBeef_LiveweightNTQLD_Data(),Table_SourceData_PastureBeef_LiveweightNTQD[[#Headers],[State]], 0)</f>
        <v>Northern</v>
      </c>
      <c r="F65" s="10" t="str" cm="1">
        <f t="array" ref="F65">Common_InputFunctions.Utility_DisplayArrayInTable(SourceData_PastureBeef.SourceData_PastureBeef_LiveweightNTQLD_Data(),Table_SourceData_PastureBeef_LiveweightNTQD[[#Headers],[State]], 0)</f>
        <v>Winter</v>
      </c>
      <c r="G65" s="10" cm="1">
        <f t="array" ref="G65">Common_InputFunctions.Utility_DisplayArrayInTable(SourceData_PastureBeef.SourceData_PastureBeef_LiveweightNTQLD_Data(),Table_SourceData_PastureBeef_LiveweightNTQD[[#Headers],[State]], 0)</f>
        <v>200</v>
      </c>
      <c r="H65" s="10" cm="1">
        <f t="array" ref="H65">Common_InputFunctions.Utility_DisplayArrayInTable(SourceData_PastureBeef.SourceData_PastureBeef_LiveweightNTQLD_Data(),Table_SourceData_PastureBeef_LiveweightNTQD[[#Headers],[State]], 0)</f>
        <v>660</v>
      </c>
      <c r="I65" s="10" cm="1">
        <f t="array" ref="I65">Common_InputFunctions.Utility_DisplayArrayInTable(SourceData_PastureBeef.SourceData_PastureBeef_LiveweightNTQLD_Data(),Table_SourceData_PastureBeef_LiveweightNTQD[[#Headers],[State]], 0)</f>
        <v>202</v>
      </c>
      <c r="J65" s="10" cm="1">
        <f t="array" ref="J65">Common_InputFunctions.Utility_DisplayArrayInTable(SourceData_PastureBeef.SourceData_PastureBeef_LiveweightNTQLD_Data(),Table_SourceData_PastureBeef_LiveweightNTQD[[#Headers],[State]], 0)</f>
        <v>272</v>
      </c>
      <c r="K65" s="10" cm="1">
        <f t="array" ref="K65">Common_InputFunctions.Utility_DisplayArrayInTable(SourceData_PastureBeef.SourceData_PastureBeef_LiveweightNTQLD_Data(),Table_SourceData_PastureBeef_LiveweightNTQD[[#Headers],[State]], 0)</f>
        <v>365</v>
      </c>
      <c r="L65" s="10" cm="1">
        <f t="array" ref="L65">Common_InputFunctions.Utility_DisplayArrayInTable(SourceData_PastureBeef.SourceData_PastureBeef_LiveweightNTQLD_Data(),Table_SourceData_PastureBeef_LiveweightNTQD[[#Headers],[State]], 0)</f>
        <v>390</v>
      </c>
      <c r="M65" s="10" cm="1">
        <f t="array" ref="M65">Common_InputFunctions.Utility_DisplayArrayInTable(SourceData_PastureBeef.SourceData_PastureBeef_LiveweightNTQLD_Data(),Table_SourceData_PastureBeef_LiveweightNTQD[[#Headers],[State]], 0)</f>
        <v>208</v>
      </c>
      <c r="N65" s="10" cm="1">
        <f t="array" ref="N65">Common_InputFunctions.Utility_DisplayArrayInTable(SourceData_PastureBeef.SourceData_PastureBeef_LiveweightNTQLD_Data(),Table_SourceData_PastureBeef_LiveweightNTQD[[#Headers],[State]], 0)</f>
        <v>260</v>
      </c>
      <c r="O65" s="10" cm="1">
        <f t="array" ref="O65">Common_InputFunctions.Utility_DisplayArrayInTable(SourceData_PastureBeef.SourceData_PastureBeef_LiveweightNTQLD_Data(),Table_SourceData_PastureBeef_LiveweightNTQD[[#Headers],[State]], 0)</f>
        <v>337</v>
      </c>
      <c r="P65" s="10" t="str" cm="1">
        <f t="array" ref="P65">Common_InputFunctions.Utility_DisplayArrayInTable(SourceData_PastureBeef.SourceData_PastureBeef_LiveweightNTQLD_Data(),Table_SourceData_PastureBeef_LiveweightNTQD[[#Headers],[State]], 0)</f>
        <v>NO</v>
      </c>
    </row>
    <row r="66" spans="1:22" ht="20.100000000000001" customHeight="1" x14ac:dyDescent="0.25">
      <c r="A66"/>
      <c r="D66" s="8" t="str" cm="1">
        <f t="array" ref="D66">Common_InputFunctions.Utility_DisplayArrayInTable(SourceData_PastureBeef.SourceData_PastureBeef_LiveweightNTQLD_Data(),Table_SourceData_PastureBeef_LiveweightNTQD[[#Headers],[State]], 0)</f>
        <v>Queensland</v>
      </c>
      <c r="E66" s="10" t="str" cm="1">
        <f t="array" ref="E66">Common_InputFunctions.Utility_DisplayArrayInTable(SourceData_PastureBeef.SourceData_PastureBeef_LiveweightNTQLD_Data(),Table_SourceData_PastureBeef_LiveweightNTQD[[#Headers],[State]], 0)</f>
        <v>High</v>
      </c>
      <c r="F66" s="10" t="str" cm="1">
        <f t="array" ref="F66">Common_InputFunctions.Utility_DisplayArrayInTable(SourceData_PastureBeef.SourceData_PastureBeef_LiveweightNTQLD_Data(),Table_SourceData_PastureBeef_LiveweightNTQD[[#Headers],[State]], 0)</f>
        <v>Spring</v>
      </c>
      <c r="G66" s="10" cm="1">
        <f t="array" ref="G66">Common_InputFunctions.Utility_DisplayArrayInTable(SourceData_PastureBeef.SourceData_PastureBeef_LiveweightNTQLD_Data(),Table_SourceData_PastureBeef_LiveweightNTQD[[#Headers],[State]], 0)</f>
        <v>260</v>
      </c>
      <c r="H66" s="10" cm="1">
        <f t="array" ref="H66">Common_InputFunctions.Utility_DisplayArrayInTable(SourceData_PastureBeef.SourceData_PastureBeef_LiveweightNTQLD_Data(),Table_SourceData_PastureBeef_LiveweightNTQD[[#Headers],[State]], 0)</f>
        <v>705</v>
      </c>
      <c r="I66" s="10" cm="1">
        <f t="array" ref="I66">Common_InputFunctions.Utility_DisplayArrayInTable(SourceData_PastureBeef.SourceData_PastureBeef_LiveweightNTQLD_Data(),Table_SourceData_PastureBeef_LiveweightNTQD[[#Headers],[State]], 0)</f>
        <v>215</v>
      </c>
      <c r="J66" s="10" cm="1">
        <f t="array" ref="J66">Common_InputFunctions.Utility_DisplayArrayInTable(SourceData_PastureBeef.SourceData_PastureBeef_LiveweightNTQLD_Data(),Table_SourceData_PastureBeef_LiveweightNTQD[[#Headers],[State]], 0)</f>
        <v>302</v>
      </c>
      <c r="K66" s="10" cm="1">
        <f t="array" ref="K66">Common_InputFunctions.Utility_DisplayArrayInTable(SourceData_PastureBeef.SourceData_PastureBeef_LiveweightNTQLD_Data(),Table_SourceData_PastureBeef_LiveweightNTQD[[#Headers],[State]], 0)</f>
        <v>416</v>
      </c>
      <c r="L66" s="10" cm="1">
        <f t="array" ref="L66">Common_InputFunctions.Utility_DisplayArrayInTable(SourceData_PastureBeef.SourceData_PastureBeef_LiveweightNTQLD_Data(),Table_SourceData_PastureBeef_LiveweightNTQD[[#Headers],[State]], 0)</f>
        <v>519</v>
      </c>
      <c r="M66" s="10" cm="1">
        <f t="array" ref="M66">Common_InputFunctions.Utility_DisplayArrayInTable(SourceData_PastureBeef.SourceData_PastureBeef_LiveweightNTQLD_Data(),Table_SourceData_PastureBeef_LiveweightNTQD[[#Headers],[State]], 0)</f>
        <v>234</v>
      </c>
      <c r="N66" s="10" cm="1">
        <f t="array" ref="N66">Common_InputFunctions.Utility_DisplayArrayInTable(SourceData_PastureBeef.SourceData_PastureBeef_LiveweightNTQLD_Data(),Table_SourceData_PastureBeef_LiveweightNTQD[[#Headers],[State]], 0)</f>
        <v>455</v>
      </c>
      <c r="O66" s="10" cm="1">
        <f t="array" ref="O66">Common_InputFunctions.Utility_DisplayArrayInTable(SourceData_PastureBeef.SourceData_PastureBeef_LiveweightNTQLD_Data(),Table_SourceData_PastureBeef_LiveweightNTQD[[#Headers],[State]], 0)</f>
        <v>551</v>
      </c>
      <c r="P66" s="10" cm="1">
        <f t="array" ref="P66">Common_InputFunctions.Utility_DisplayArrayInTable(SourceData_PastureBeef.SourceData_PastureBeef_LiveweightNTQLD_Data(),Table_SourceData_PastureBeef_LiveweightNTQD[[#Headers],[State]], 0)</f>
        <v>660</v>
      </c>
    </row>
    <row r="67" spans="1:22" ht="20.100000000000001" customHeight="1" x14ac:dyDescent="0.25">
      <c r="A67"/>
      <c r="D67" s="8" t="str" cm="1">
        <f t="array" ref="D67">Common_InputFunctions.Utility_DisplayArrayInTable(SourceData_PastureBeef.SourceData_PastureBeef_LiveweightNTQLD_Data(),Table_SourceData_PastureBeef_LiveweightNTQD[[#Headers],[State]], 0)</f>
        <v>Queensland</v>
      </c>
      <c r="E67" s="10" t="str" cm="1">
        <f t="array" ref="E67">Common_InputFunctions.Utility_DisplayArrayInTable(SourceData_PastureBeef.SourceData_PastureBeef_LiveweightNTQLD_Data(),Table_SourceData_PastureBeef_LiveweightNTQD[[#Headers],[State]], 0)</f>
        <v>High</v>
      </c>
      <c r="F67" s="10" t="str" cm="1">
        <f t="array" ref="F67">Common_InputFunctions.Utility_DisplayArrayInTable(SourceData_PastureBeef.SourceData_PastureBeef_LiveweightNTQLD_Data(),Table_SourceData_PastureBeef_LiveweightNTQD[[#Headers],[State]], 0)</f>
        <v>Summer</v>
      </c>
      <c r="G67" s="10" cm="1">
        <f t="array" ref="G67">Common_InputFunctions.Utility_DisplayArrayInTable(SourceData_PastureBeef.SourceData_PastureBeef_LiveweightNTQLD_Data(),Table_SourceData_PastureBeef_LiveweightNTQD[[#Headers],[State]], 0)</f>
        <v>153</v>
      </c>
      <c r="H67" s="10" cm="1">
        <f t="array" ref="H67">Common_InputFunctions.Utility_DisplayArrayInTable(SourceData_PastureBeef.SourceData_PastureBeef_LiveweightNTQLD_Data(),Table_SourceData_PastureBeef_LiveweightNTQD[[#Headers],[State]], 0)</f>
        <v>703</v>
      </c>
      <c r="I67" s="10" cm="1">
        <f t="array" ref="I67">Common_InputFunctions.Utility_DisplayArrayInTable(SourceData_PastureBeef.SourceData_PastureBeef_LiveweightNTQLD_Data(),Table_SourceData_PastureBeef_LiveweightNTQD[[#Headers],[State]], 0)</f>
        <v>118</v>
      </c>
      <c r="J67" s="10" cm="1">
        <f t="array" ref="J67">Common_InputFunctions.Utility_DisplayArrayInTable(SourceData_PastureBeef.SourceData_PastureBeef_LiveweightNTQLD_Data(),Table_SourceData_PastureBeef_LiveweightNTQD[[#Headers],[State]], 0)</f>
        <v>277</v>
      </c>
      <c r="K67" s="10" cm="1">
        <f t="array" ref="K67">Common_InputFunctions.Utility_DisplayArrayInTable(SourceData_PastureBeef.SourceData_PastureBeef_LiveweightNTQLD_Data(),Table_SourceData_PastureBeef_LiveweightNTQD[[#Headers],[State]], 0)</f>
        <v>397</v>
      </c>
      <c r="L67" s="10" cm="1">
        <f t="array" ref="L67">Common_InputFunctions.Utility_DisplayArrayInTable(SourceData_PastureBeef.SourceData_PastureBeef_LiveweightNTQLD_Data(),Table_SourceData_PastureBeef_LiveweightNTQD[[#Headers],[State]], 0)</f>
        <v>483</v>
      </c>
      <c r="M67" s="10" cm="1">
        <f t="array" ref="M67">Common_InputFunctions.Utility_DisplayArrayInTable(SourceData_PastureBeef.SourceData_PastureBeef_LiveweightNTQLD_Data(),Table_SourceData_PastureBeef_LiveweightNTQD[[#Headers],[State]], 0)</f>
        <v>111</v>
      </c>
      <c r="N67" s="10" cm="1">
        <f t="array" ref="N67">Common_InputFunctions.Utility_DisplayArrayInTable(SourceData_PastureBeef.SourceData_PastureBeef_LiveweightNTQLD_Data(),Table_SourceData_PastureBeef_LiveweightNTQD[[#Headers],[State]], 0)</f>
        <v>304</v>
      </c>
      <c r="O67" s="10" cm="1">
        <f t="array" ref="O67">Common_InputFunctions.Utility_DisplayArrayInTable(SourceData_PastureBeef.SourceData_PastureBeef_LiveweightNTQLD_Data(),Table_SourceData_PastureBeef_LiveweightNTQD[[#Headers],[State]], 0)</f>
        <v>521</v>
      </c>
      <c r="P67" s="10" cm="1">
        <f t="array" ref="P67">Common_InputFunctions.Utility_DisplayArrayInTable(SourceData_PastureBeef.SourceData_PastureBeef_LiveweightNTQLD_Data(),Table_SourceData_PastureBeef_LiveweightNTQD[[#Headers],[State]], 0)</f>
        <v>547</v>
      </c>
    </row>
    <row r="68" spans="1:22" ht="20.100000000000001" customHeight="1" x14ac:dyDescent="0.25">
      <c r="A68"/>
      <c r="D68" s="8" t="str" cm="1">
        <f t="array" ref="D68">Common_InputFunctions.Utility_DisplayArrayInTable(SourceData_PastureBeef.SourceData_PastureBeef_LiveweightNTQLD_Data(),Table_SourceData_PastureBeef_LiveweightNTQD[[#Headers],[State]], 0)</f>
        <v>Queensland</v>
      </c>
      <c r="E68" s="10" t="str" cm="1">
        <f t="array" ref="E68">Common_InputFunctions.Utility_DisplayArrayInTable(SourceData_PastureBeef.SourceData_PastureBeef_LiveweightNTQLD_Data(),Table_SourceData_PastureBeef_LiveweightNTQD[[#Headers],[State]], 0)</f>
        <v>High</v>
      </c>
      <c r="F68" s="10" t="str" cm="1">
        <f t="array" ref="F68">Common_InputFunctions.Utility_DisplayArrayInTable(SourceData_PastureBeef.SourceData_PastureBeef_LiveweightNTQLD_Data(),Table_SourceData_PastureBeef_LiveweightNTQD[[#Headers],[State]], 0)</f>
        <v>Autumn</v>
      </c>
      <c r="G68" s="10" cm="1">
        <f t="array" ref="G68">Common_InputFunctions.Utility_DisplayArrayInTable(SourceData_PastureBeef.SourceData_PastureBeef_LiveweightNTQLD_Data(),Table_SourceData_PastureBeef_LiveweightNTQD[[#Headers],[State]], 0)</f>
        <v>168</v>
      </c>
      <c r="H68" s="10" cm="1">
        <f t="array" ref="H68">Common_InputFunctions.Utility_DisplayArrayInTable(SourceData_PastureBeef.SourceData_PastureBeef_LiveweightNTQLD_Data(),Table_SourceData_PastureBeef_LiveweightNTQD[[#Headers],[State]], 0)</f>
        <v>718</v>
      </c>
      <c r="I68" s="10" cm="1">
        <f t="array" ref="I68">Common_InputFunctions.Utility_DisplayArrayInTable(SourceData_PastureBeef.SourceData_PastureBeef_LiveweightNTQLD_Data(),Table_SourceData_PastureBeef_LiveweightNTQD[[#Headers],[State]], 0)</f>
        <v>191</v>
      </c>
      <c r="J68" s="10" cm="1">
        <f t="array" ref="J68">Common_InputFunctions.Utility_DisplayArrayInTable(SourceData_PastureBeef.SourceData_PastureBeef_LiveweightNTQLD_Data(),Table_SourceData_PastureBeef_LiveweightNTQD[[#Headers],[State]], 0)</f>
        <v>319</v>
      </c>
      <c r="K68" s="10" cm="1">
        <f t="array" ref="K68">Common_InputFunctions.Utility_DisplayArrayInTable(SourceData_PastureBeef.SourceData_PastureBeef_LiveweightNTQLD_Data(),Table_SourceData_PastureBeef_LiveweightNTQD[[#Headers],[State]], 0)</f>
        <v>440</v>
      </c>
      <c r="L68" s="10" cm="1">
        <f t="array" ref="L68">Common_InputFunctions.Utility_DisplayArrayInTable(SourceData_PastureBeef.SourceData_PastureBeef_LiveweightNTQLD_Data(),Table_SourceData_PastureBeef_LiveweightNTQD[[#Headers],[State]], 0)</f>
        <v>506</v>
      </c>
      <c r="M68" s="10" cm="1">
        <f t="array" ref="M68">Common_InputFunctions.Utility_DisplayArrayInTable(SourceData_PastureBeef.SourceData_PastureBeef_LiveweightNTQLD_Data(),Table_SourceData_PastureBeef_LiveweightNTQD[[#Headers],[State]], 0)</f>
        <v>188</v>
      </c>
      <c r="N68" s="10" cm="1">
        <f t="array" ref="N68">Common_InputFunctions.Utility_DisplayArrayInTable(SourceData_PastureBeef.SourceData_PastureBeef_LiveweightNTQLD_Data(),Table_SourceData_PastureBeef_LiveweightNTQD[[#Headers],[State]], 0)</f>
        <v>326</v>
      </c>
      <c r="O68" s="10" cm="1">
        <f t="array" ref="O68">Common_InputFunctions.Utility_DisplayArrayInTable(SourceData_PastureBeef.SourceData_PastureBeef_LiveweightNTQLD_Data(),Table_SourceData_PastureBeef_LiveweightNTQD[[#Headers],[State]], 0)</f>
        <v>520</v>
      </c>
      <c r="P68" s="10" cm="1">
        <f t="array" ref="P68">Common_InputFunctions.Utility_DisplayArrayInTable(SourceData_PastureBeef.SourceData_PastureBeef_LiveweightNTQLD_Data(),Table_SourceData_PastureBeef_LiveweightNTQD[[#Headers],[State]], 0)</f>
        <v>582</v>
      </c>
    </row>
    <row r="69" spans="1:22" ht="20.100000000000001" customHeight="1" x14ac:dyDescent="0.25">
      <c r="A69"/>
      <c r="D69" s="8" t="str" cm="1">
        <f t="array" ref="D69">Common_InputFunctions.Utility_DisplayArrayInTable(SourceData_PastureBeef.SourceData_PastureBeef_LiveweightNTQLD_Data(),Table_SourceData_PastureBeef_LiveweightNTQD[[#Headers],[State]], 0)</f>
        <v>Queensland</v>
      </c>
      <c r="E69" s="10" t="str" cm="1">
        <f t="array" ref="E69">Common_InputFunctions.Utility_DisplayArrayInTable(SourceData_PastureBeef.SourceData_PastureBeef_LiveweightNTQLD_Data(),Table_SourceData_PastureBeef_LiveweightNTQD[[#Headers],[State]], 0)</f>
        <v>High</v>
      </c>
      <c r="F69" s="10" t="str" cm="1">
        <f t="array" ref="F69">Common_InputFunctions.Utility_DisplayArrayInTable(SourceData_PastureBeef.SourceData_PastureBeef_LiveweightNTQLD_Data(),Table_SourceData_PastureBeef_LiveweightNTQD[[#Headers],[State]], 0)</f>
        <v>Winter</v>
      </c>
      <c r="G69" s="10" cm="1">
        <f t="array" ref="G69">Common_InputFunctions.Utility_DisplayArrayInTable(SourceData_PastureBeef.SourceData_PastureBeef_LiveweightNTQLD_Data(),Table_SourceData_PastureBeef_LiveweightNTQD[[#Headers],[State]], 0)</f>
        <v>235</v>
      </c>
      <c r="H69" s="10" cm="1">
        <f t="array" ref="H69">Common_InputFunctions.Utility_DisplayArrayInTable(SourceData_PastureBeef.SourceData_PastureBeef_LiveweightNTQLD_Data(),Table_SourceData_PastureBeef_LiveweightNTQD[[#Headers],[State]], 0)</f>
        <v>722</v>
      </c>
      <c r="I69" s="10" cm="1">
        <f t="array" ref="I69">Common_InputFunctions.Utility_DisplayArrayInTable(SourceData_PastureBeef.SourceData_PastureBeef_LiveweightNTQLD_Data(),Table_SourceData_PastureBeef_LiveweightNTQD[[#Headers],[State]], 0)</f>
        <v>207</v>
      </c>
      <c r="J69" s="10" cm="1">
        <f t="array" ref="J69">Common_InputFunctions.Utility_DisplayArrayInTable(SourceData_PastureBeef.SourceData_PastureBeef_LiveweightNTQLD_Data(),Table_SourceData_PastureBeef_LiveweightNTQD[[#Headers],[State]], 0)</f>
        <v>352</v>
      </c>
      <c r="K69" s="10" cm="1">
        <f t="array" ref="K69">Common_InputFunctions.Utility_DisplayArrayInTable(SourceData_PastureBeef.SourceData_PastureBeef_LiveweightNTQLD_Data(),Table_SourceData_PastureBeef_LiveweightNTQD[[#Headers],[State]], 0)</f>
        <v>470</v>
      </c>
      <c r="L69" s="10" cm="1">
        <f t="array" ref="L69">Common_InputFunctions.Utility_DisplayArrayInTable(SourceData_PastureBeef.SourceData_PastureBeef_LiveweightNTQLD_Data(),Table_SourceData_PastureBeef_LiveweightNTQD[[#Headers],[State]], 0)</f>
        <v>514</v>
      </c>
      <c r="M69" s="10" cm="1">
        <f t="array" ref="M69">Common_InputFunctions.Utility_DisplayArrayInTable(SourceData_PastureBeef.SourceData_PastureBeef_LiveweightNTQLD_Data(),Table_SourceData_PastureBeef_LiveweightNTQD[[#Headers],[State]], 0)</f>
        <v>209</v>
      </c>
      <c r="N69" s="10" cm="1">
        <f t="array" ref="N69">Common_InputFunctions.Utility_DisplayArrayInTable(SourceData_PastureBeef.SourceData_PastureBeef_LiveweightNTQLD_Data(),Table_SourceData_PastureBeef_LiveweightNTQD[[#Headers],[State]], 0)</f>
        <v>421</v>
      </c>
      <c r="O69" s="10" cm="1">
        <f t="array" ref="O69">Common_InputFunctions.Utility_DisplayArrayInTable(SourceData_PastureBeef.SourceData_PastureBeef_LiveweightNTQLD_Data(),Table_SourceData_PastureBeef_LiveweightNTQD[[#Headers],[State]], 0)</f>
        <v>512</v>
      </c>
      <c r="P69" s="10" cm="1">
        <f t="array" ref="P69">Common_InputFunctions.Utility_DisplayArrayInTable(SourceData_PastureBeef.SourceData_PastureBeef_LiveweightNTQLD_Data(),Table_SourceData_PastureBeef_LiveweightNTQD[[#Headers],[State]], 0)</f>
        <v>605</v>
      </c>
    </row>
    <row r="70" spans="1:22" ht="20.100000000000001" customHeight="1" x14ac:dyDescent="0.25">
      <c r="A70"/>
      <c r="D70" s="8" t="str" cm="1">
        <f t="array" ref="D70">Common_InputFunctions.Utility_DisplayArrayInTable(SourceData_PastureBeef.SourceData_PastureBeef_LiveweightNTQLD_Data(),Table_SourceData_PastureBeef_LiveweightNTQD[[#Headers],[State]], 0)</f>
        <v>Queensland</v>
      </c>
      <c r="E70" s="10" t="str" cm="1">
        <f t="array" ref="E70">Common_InputFunctions.Utility_DisplayArrayInTable(SourceData_PastureBeef.SourceData_PastureBeef_LiveweightNTQLD_Data(),Table_SourceData_PastureBeef_LiveweightNTQD[[#Headers],[State]], 0)</f>
        <v>Moderate/High</v>
      </c>
      <c r="F70" s="10" t="str" cm="1">
        <f t="array" ref="F70">Common_InputFunctions.Utility_DisplayArrayInTable(SourceData_PastureBeef.SourceData_PastureBeef_LiveweightNTQLD_Data(),Table_SourceData_PastureBeef_LiveweightNTQD[[#Headers],[State]], 0)</f>
        <v>Spring</v>
      </c>
      <c r="G70" s="10" cm="1">
        <f t="array" ref="G70">Common_InputFunctions.Utility_DisplayArrayInTable(SourceData_PastureBeef.SourceData_PastureBeef_LiveweightNTQLD_Data(),Table_SourceData_PastureBeef_LiveweightNTQD[[#Headers],[State]], 0)</f>
        <v>230</v>
      </c>
      <c r="H70" s="10" cm="1">
        <f t="array" ref="H70">Common_InputFunctions.Utility_DisplayArrayInTable(SourceData_PastureBeef.SourceData_PastureBeef_LiveweightNTQLD_Data(),Table_SourceData_PastureBeef_LiveweightNTQD[[#Headers],[State]], 0)</f>
        <v>674</v>
      </c>
      <c r="I70" s="10" cm="1">
        <f t="array" ref="I70">Common_InputFunctions.Utility_DisplayArrayInTable(SourceData_PastureBeef.SourceData_PastureBeef_LiveweightNTQLD_Data(),Table_SourceData_PastureBeef_LiveweightNTQD[[#Headers],[State]], 0)</f>
        <v>217</v>
      </c>
      <c r="J70" s="10" cm="1">
        <f t="array" ref="J70">Common_InputFunctions.Utility_DisplayArrayInTable(SourceData_PastureBeef.SourceData_PastureBeef_LiveweightNTQLD_Data(),Table_SourceData_PastureBeef_LiveweightNTQD[[#Headers],[State]], 0)</f>
        <v>344</v>
      </c>
      <c r="K70" s="10" cm="1">
        <f t="array" ref="K70">Common_InputFunctions.Utility_DisplayArrayInTable(SourceData_PastureBeef.SourceData_PastureBeef_LiveweightNTQLD_Data(),Table_SourceData_PastureBeef_LiveweightNTQD[[#Headers],[State]], 0)</f>
        <v>357</v>
      </c>
      <c r="L70" s="10" cm="1">
        <f t="array" ref="L70">Common_InputFunctions.Utility_DisplayArrayInTable(SourceData_PastureBeef.SourceData_PastureBeef_LiveweightNTQLD_Data(),Table_SourceData_PastureBeef_LiveweightNTQD[[#Headers],[State]], 0)</f>
        <v>467</v>
      </c>
      <c r="M70" s="10" cm="1">
        <f t="array" ref="M70">Common_InputFunctions.Utility_DisplayArrayInTable(SourceData_PastureBeef.SourceData_PastureBeef_LiveweightNTQLD_Data(),Table_SourceData_PastureBeef_LiveweightNTQD[[#Headers],[State]], 0)</f>
        <v>242</v>
      </c>
      <c r="N70" s="10" cm="1">
        <f t="array" ref="N70">Common_InputFunctions.Utility_DisplayArrayInTable(SourceData_PastureBeef.SourceData_PastureBeef_LiveweightNTQLD_Data(),Table_SourceData_PastureBeef_LiveweightNTQD[[#Headers],[State]], 0)</f>
        <v>370</v>
      </c>
      <c r="O70" s="10" cm="1">
        <f t="array" ref="O70">Common_InputFunctions.Utility_DisplayArrayInTable(SourceData_PastureBeef.SourceData_PastureBeef_LiveweightNTQLD_Data(),Table_SourceData_PastureBeef_LiveweightNTQD[[#Headers],[State]], 0)</f>
        <v>550</v>
      </c>
      <c r="P70" s="10" cm="1">
        <f t="array" ref="P70">Common_InputFunctions.Utility_DisplayArrayInTable(SourceData_PastureBeef.SourceData_PastureBeef_LiveweightNTQLD_Data(),Table_SourceData_PastureBeef_LiveweightNTQD[[#Headers],[State]], 0)</f>
        <v>620</v>
      </c>
    </row>
    <row r="71" spans="1:22" ht="20.100000000000001" customHeight="1" x14ac:dyDescent="0.25">
      <c r="A71"/>
      <c r="D71" s="8" t="str" cm="1">
        <f t="array" ref="D71">Common_InputFunctions.Utility_DisplayArrayInTable(SourceData_PastureBeef.SourceData_PastureBeef_LiveweightNTQLD_Data(),Table_SourceData_PastureBeef_LiveweightNTQD[[#Headers],[State]], 0)</f>
        <v>Queensland</v>
      </c>
      <c r="E71" s="10" t="str" cm="1">
        <f t="array" ref="E71">Common_InputFunctions.Utility_DisplayArrayInTable(SourceData_PastureBeef.SourceData_PastureBeef_LiveweightNTQLD_Data(),Table_SourceData_PastureBeef_LiveweightNTQD[[#Headers],[State]], 0)</f>
        <v>Moderate/High</v>
      </c>
      <c r="F71" s="10" t="str" cm="1">
        <f t="array" ref="F71">Common_InputFunctions.Utility_DisplayArrayInTable(SourceData_PastureBeef.SourceData_PastureBeef_LiveweightNTQLD_Data(),Table_SourceData_PastureBeef_LiveweightNTQD[[#Headers],[State]], 0)</f>
        <v>Summer</v>
      </c>
      <c r="G71" s="10" cm="1">
        <f t="array" ref="G71">Common_InputFunctions.Utility_DisplayArrayInTable(SourceData_PastureBeef.SourceData_PastureBeef_LiveweightNTQLD_Data(),Table_SourceData_PastureBeef_LiveweightNTQD[[#Headers],[State]], 0)</f>
        <v>113</v>
      </c>
      <c r="H71" s="10" cm="1">
        <f t="array" ref="H71">Common_InputFunctions.Utility_DisplayArrayInTable(SourceData_PastureBeef.SourceData_PastureBeef_LiveweightNTQLD_Data(),Table_SourceData_PastureBeef_LiveweightNTQD[[#Headers],[State]], 0)</f>
        <v>669</v>
      </c>
      <c r="I71" s="10" cm="1">
        <f t="array" ref="I71">Common_InputFunctions.Utility_DisplayArrayInTable(SourceData_PastureBeef.SourceData_PastureBeef_LiveweightNTQLD_Data(),Table_SourceData_PastureBeef_LiveweightNTQD[[#Headers],[State]], 0)</f>
        <v>113</v>
      </c>
      <c r="J71" s="10" cm="1">
        <f t="array" ref="J71">Common_InputFunctions.Utility_DisplayArrayInTable(SourceData_PastureBeef.SourceData_PastureBeef_LiveweightNTQLD_Data(),Table_SourceData_PastureBeef_LiveweightNTQD[[#Headers],[State]], 0)</f>
        <v>283</v>
      </c>
      <c r="K71" s="10" cm="1">
        <f t="array" ref="K71">Common_InputFunctions.Utility_DisplayArrayInTable(SourceData_PastureBeef.SourceData_PastureBeef_LiveweightNTQLD_Data(),Table_SourceData_PastureBeef_LiveweightNTQD[[#Headers],[State]], 0)</f>
        <v>361</v>
      </c>
      <c r="L71" s="10" cm="1">
        <f t="array" ref="L71">Common_InputFunctions.Utility_DisplayArrayInTable(SourceData_PastureBeef.SourceData_PastureBeef_LiveweightNTQLD_Data(),Table_SourceData_PastureBeef_LiveweightNTQD[[#Headers],[State]], 0)</f>
        <v>477</v>
      </c>
      <c r="M71" s="10" cm="1">
        <f t="array" ref="M71">Common_InputFunctions.Utility_DisplayArrayInTable(SourceData_PastureBeef.SourceData_PastureBeef_LiveweightNTQLD_Data(),Table_SourceData_PastureBeef_LiveweightNTQD[[#Headers],[State]], 0)</f>
        <v>120</v>
      </c>
      <c r="N71" s="10" cm="1">
        <f t="array" ref="N71">Common_InputFunctions.Utility_DisplayArrayInTable(SourceData_PastureBeef.SourceData_PastureBeef_LiveweightNTQLD_Data(),Table_SourceData_PastureBeef_LiveweightNTQD[[#Headers],[State]], 0)</f>
        <v>273</v>
      </c>
      <c r="O71" s="10" cm="1">
        <f t="array" ref="O71">Common_InputFunctions.Utility_DisplayArrayInTable(SourceData_PastureBeef.SourceData_PastureBeef_LiveweightNTQLD_Data(),Table_SourceData_PastureBeef_LiveweightNTQD[[#Headers],[State]], 0)</f>
        <v>545</v>
      </c>
      <c r="P71" s="10" cm="1">
        <f t="array" ref="P71">Common_InputFunctions.Utility_DisplayArrayInTable(SourceData_PastureBeef.SourceData_PastureBeef_LiveweightNTQLD_Data(),Table_SourceData_PastureBeef_LiveweightNTQD[[#Headers],[State]], 0)</f>
        <v>553</v>
      </c>
      <c r="V71" s="8"/>
    </row>
    <row r="72" spans="1:22" ht="20.100000000000001" customHeight="1" x14ac:dyDescent="0.25">
      <c r="A72"/>
      <c r="D72" s="8" t="str" cm="1">
        <f t="array" ref="D72">Common_InputFunctions.Utility_DisplayArrayInTable(SourceData_PastureBeef.SourceData_PastureBeef_LiveweightNTQLD_Data(),Table_SourceData_PastureBeef_LiveweightNTQD[[#Headers],[State]], 0)</f>
        <v>Queensland</v>
      </c>
      <c r="E72" s="10" t="str" cm="1">
        <f t="array" ref="E72">Common_InputFunctions.Utility_DisplayArrayInTable(SourceData_PastureBeef.SourceData_PastureBeef_LiveweightNTQLD_Data(),Table_SourceData_PastureBeef_LiveweightNTQD[[#Headers],[State]], 0)</f>
        <v>Moderate/High</v>
      </c>
      <c r="F72" s="10" t="str" cm="1">
        <f t="array" ref="F72">Common_InputFunctions.Utility_DisplayArrayInTable(SourceData_PastureBeef.SourceData_PastureBeef_LiveweightNTQLD_Data(),Table_SourceData_PastureBeef_LiveweightNTQD[[#Headers],[State]], 0)</f>
        <v>Autumn</v>
      </c>
      <c r="G72" s="10" cm="1">
        <f t="array" ref="G72">Common_InputFunctions.Utility_DisplayArrayInTable(SourceData_PastureBeef.SourceData_PastureBeef_LiveweightNTQLD_Data(),Table_SourceData_PastureBeef_LiveweightNTQD[[#Headers],[State]], 0)</f>
        <v>172</v>
      </c>
      <c r="H72" s="10" cm="1">
        <f t="array" ref="H72">Common_InputFunctions.Utility_DisplayArrayInTable(SourceData_PastureBeef.SourceData_PastureBeef_LiveweightNTQLD_Data(),Table_SourceData_PastureBeef_LiveweightNTQD[[#Headers],[State]], 0)</f>
        <v>685</v>
      </c>
      <c r="I72" s="10" cm="1">
        <f t="array" ref="I72">Common_InputFunctions.Utility_DisplayArrayInTable(SourceData_PastureBeef.SourceData_PastureBeef_LiveweightNTQLD_Data(),Table_SourceData_PastureBeef_LiveweightNTQD[[#Headers],[State]], 0)</f>
        <v>172</v>
      </c>
      <c r="J72" s="10" cm="1">
        <f t="array" ref="J72">Common_InputFunctions.Utility_DisplayArrayInTable(SourceData_PastureBeef.SourceData_PastureBeef_LiveweightNTQLD_Data(),Table_SourceData_PastureBeef_LiveweightNTQD[[#Headers],[State]], 0)</f>
        <v>309</v>
      </c>
      <c r="K72" s="10" cm="1">
        <f t="array" ref="K72">Common_InputFunctions.Utility_DisplayArrayInTable(SourceData_PastureBeef.SourceData_PastureBeef_LiveweightNTQLD_Data(),Table_SourceData_PastureBeef_LiveweightNTQD[[#Headers],[State]], 0)</f>
        <v>376</v>
      </c>
      <c r="L72" s="10" cm="1">
        <f t="array" ref="L72">Common_InputFunctions.Utility_DisplayArrayInTable(SourceData_PastureBeef.SourceData_PastureBeef_LiveweightNTQLD_Data(),Table_SourceData_PastureBeef_LiveweightNTQD[[#Headers],[State]], 0)</f>
        <v>471</v>
      </c>
      <c r="M72" s="10" cm="1">
        <f t="array" ref="M72">Common_InputFunctions.Utility_DisplayArrayInTable(SourceData_PastureBeef.SourceData_PastureBeef_LiveweightNTQLD_Data(),Table_SourceData_PastureBeef_LiveweightNTQD[[#Headers],[State]], 0)</f>
        <v>238</v>
      </c>
      <c r="N72" s="10" cm="1">
        <f t="array" ref="N72">Common_InputFunctions.Utility_DisplayArrayInTable(SourceData_PastureBeef.SourceData_PastureBeef_LiveweightNTQLD_Data(),Table_SourceData_PastureBeef_LiveweightNTQD[[#Headers],[State]], 0)</f>
        <v>329</v>
      </c>
      <c r="O72" s="10" cm="1">
        <f t="array" ref="O72">Common_InputFunctions.Utility_DisplayArrayInTable(SourceData_PastureBeef.SourceData_PastureBeef_LiveweightNTQLD_Data(),Table_SourceData_PastureBeef_LiveweightNTQD[[#Headers],[State]], 0)</f>
        <v>573</v>
      </c>
      <c r="P72" s="10" cm="1">
        <f t="array" ref="P72">Common_InputFunctions.Utility_DisplayArrayInTable(SourceData_PastureBeef.SourceData_PastureBeef_LiveweightNTQLD_Data(),Table_SourceData_PastureBeef_LiveweightNTQD[[#Headers],[State]], 0)</f>
        <v>620</v>
      </c>
      <c r="V72" s="8"/>
    </row>
    <row r="73" spans="1:22" ht="20.100000000000001" customHeight="1" x14ac:dyDescent="0.25">
      <c r="A73"/>
      <c r="D73" s="8" t="str" cm="1">
        <f t="array" ref="D73">Common_InputFunctions.Utility_DisplayArrayInTable(SourceData_PastureBeef.SourceData_PastureBeef_LiveweightNTQLD_Data(),Table_SourceData_PastureBeef_LiveweightNTQD[[#Headers],[State]], 0)</f>
        <v>Queensland</v>
      </c>
      <c r="E73" s="10" t="str" cm="1">
        <f t="array" ref="E73">Common_InputFunctions.Utility_DisplayArrayInTable(SourceData_PastureBeef.SourceData_PastureBeef_LiveweightNTQLD_Data(),Table_SourceData_PastureBeef_LiveweightNTQD[[#Headers],[State]], 0)</f>
        <v>Moderate/High</v>
      </c>
      <c r="F73" s="10" t="str" cm="1">
        <f t="array" ref="F73">Common_InputFunctions.Utility_DisplayArrayInTable(SourceData_PastureBeef.SourceData_PastureBeef_LiveweightNTQLD_Data(),Table_SourceData_PastureBeef_LiveweightNTQD[[#Headers],[State]], 0)</f>
        <v>Winter</v>
      </c>
      <c r="G73" s="10" cm="1">
        <f t="array" ref="G73">Common_InputFunctions.Utility_DisplayArrayInTable(SourceData_PastureBeef.SourceData_PastureBeef_LiveweightNTQLD_Data(),Table_SourceData_PastureBeef_LiveweightNTQD[[#Headers],[State]], 0)</f>
        <v>241</v>
      </c>
      <c r="H73" s="10" cm="1">
        <f t="array" ref="H73">Common_InputFunctions.Utility_DisplayArrayInTable(SourceData_PastureBeef.SourceData_PastureBeef_LiveweightNTQLD_Data(),Table_SourceData_PastureBeef_LiveweightNTQD[[#Headers],[State]], 0)</f>
        <v>692</v>
      </c>
      <c r="I73" s="10" cm="1">
        <f t="array" ref="I73">Common_InputFunctions.Utility_DisplayArrayInTable(SourceData_PastureBeef.SourceData_PastureBeef_LiveweightNTQLD_Data(),Table_SourceData_PastureBeef_LiveweightNTQD[[#Headers],[State]], 0)</f>
        <v>208</v>
      </c>
      <c r="J73" s="10" cm="1">
        <f t="array" ref="J73">Common_InputFunctions.Utility_DisplayArrayInTable(SourceData_PastureBeef.SourceData_PastureBeef_LiveweightNTQLD_Data(),Table_SourceData_PastureBeef_LiveweightNTQD[[#Headers],[State]], 0)</f>
        <v>344</v>
      </c>
      <c r="K73" s="10" cm="1">
        <f t="array" ref="K73">Common_InputFunctions.Utility_DisplayArrayInTable(SourceData_PastureBeef.SourceData_PastureBeef_LiveweightNTQLD_Data(),Table_SourceData_PastureBeef_LiveweightNTQD[[#Headers],[State]], 0)</f>
        <v>364</v>
      </c>
      <c r="L73" s="10" cm="1">
        <f t="array" ref="L73">Common_InputFunctions.Utility_DisplayArrayInTable(SourceData_PastureBeef.SourceData_PastureBeef_LiveweightNTQLD_Data(),Table_SourceData_PastureBeef_LiveweightNTQD[[#Headers],[State]], 0)</f>
        <v>484</v>
      </c>
      <c r="M73" s="10" cm="1">
        <f t="array" ref="M73">Common_InputFunctions.Utility_DisplayArrayInTable(SourceData_PastureBeef.SourceData_PastureBeef_LiveweightNTQLD_Data(),Table_SourceData_PastureBeef_LiveweightNTQD[[#Headers],[State]], 0)</f>
        <v>260</v>
      </c>
      <c r="N73" s="10" cm="1">
        <f t="array" ref="N73">Common_InputFunctions.Utility_DisplayArrayInTable(SourceData_PastureBeef.SourceData_PastureBeef_LiveweightNTQLD_Data(),Table_SourceData_PastureBeef_LiveweightNTQD[[#Headers],[State]], 0)</f>
        <v>350</v>
      </c>
      <c r="O73" s="10" cm="1">
        <f t="array" ref="O73">Common_InputFunctions.Utility_DisplayArrayInTable(SourceData_PastureBeef.SourceData_PastureBeef_LiveweightNTQLD_Data(),Table_SourceData_PastureBeef_LiveweightNTQD[[#Headers],[State]], 0)</f>
        <v>567</v>
      </c>
      <c r="P73" s="10" cm="1">
        <f t="array" ref="P73">Common_InputFunctions.Utility_DisplayArrayInTable(SourceData_PastureBeef.SourceData_PastureBeef_LiveweightNTQLD_Data(),Table_SourceData_PastureBeef_LiveweightNTQD[[#Headers],[State]], 0)</f>
        <v>620</v>
      </c>
      <c r="V73" s="8"/>
    </row>
    <row r="74" spans="1:22" ht="20.100000000000001" customHeight="1" x14ac:dyDescent="0.25">
      <c r="A74"/>
      <c r="D74" s="8" t="str" cm="1">
        <f t="array" ref="D74">Common_InputFunctions.Utility_DisplayArrayInTable(SourceData_PastureBeef.SourceData_PastureBeef_LiveweightNTQLD_Data(),Table_SourceData_PastureBeef_LiveweightNTQD[[#Headers],[State]], 0)</f>
        <v>Queensland</v>
      </c>
      <c r="E74" s="10" t="str" cm="1">
        <f t="array" ref="E74">Common_InputFunctions.Utility_DisplayArrayInTable(SourceData_PastureBeef.SourceData_PastureBeef_LiveweightNTQLD_Data(),Table_SourceData_PastureBeef_LiveweightNTQD[[#Headers],[State]], 0)</f>
        <v>Moderate/Low</v>
      </c>
      <c r="F74" s="10" t="str" cm="1">
        <f t="array" ref="F74">Common_InputFunctions.Utility_DisplayArrayInTable(SourceData_PastureBeef.SourceData_PastureBeef_LiveweightNTQLD_Data(),Table_SourceData_PastureBeef_LiveweightNTQD[[#Headers],[State]], 0)</f>
        <v>Spring</v>
      </c>
      <c r="G74" s="10" cm="1">
        <f t="array" ref="G74">Common_InputFunctions.Utility_DisplayArrayInTable(SourceData_PastureBeef.SourceData_PastureBeef_LiveweightNTQLD_Data(),Table_SourceData_PastureBeef_LiveweightNTQD[[#Headers],[State]], 0)</f>
        <v>236</v>
      </c>
      <c r="H74" s="10" cm="1">
        <f t="array" ref="H74">Common_InputFunctions.Utility_DisplayArrayInTable(SourceData_PastureBeef.SourceData_PastureBeef_LiveweightNTQLD_Data(),Table_SourceData_PastureBeef_LiveweightNTQD[[#Headers],[State]], 0)</f>
        <v>674</v>
      </c>
      <c r="I74" s="10" cm="1">
        <f t="array" ref="I74">Common_InputFunctions.Utility_DisplayArrayInTable(SourceData_PastureBeef.SourceData_PastureBeef_LiveweightNTQLD_Data(),Table_SourceData_PastureBeef_LiveweightNTQD[[#Headers],[State]], 0)</f>
        <v>178</v>
      </c>
      <c r="J74" s="10" cm="1">
        <f t="array" ref="J74">Common_InputFunctions.Utility_DisplayArrayInTable(SourceData_PastureBeef.SourceData_PastureBeef_LiveweightNTQLD_Data(),Table_SourceData_PastureBeef_LiveweightNTQD[[#Headers],[State]], 0)</f>
        <v>310</v>
      </c>
      <c r="K74" s="10" cm="1">
        <f t="array" ref="K74">Common_InputFunctions.Utility_DisplayArrayInTable(SourceData_PastureBeef.SourceData_PastureBeef_LiveweightNTQLD_Data(),Table_SourceData_PastureBeef_LiveweightNTQD[[#Headers],[State]], 0)</f>
        <v>428</v>
      </c>
      <c r="L74" s="10" cm="1">
        <f t="array" ref="L74">Common_InputFunctions.Utility_DisplayArrayInTable(SourceData_PastureBeef.SourceData_PastureBeef_LiveweightNTQLD_Data(),Table_SourceData_PastureBeef_LiveweightNTQD[[#Headers],[State]], 0)</f>
        <v>466</v>
      </c>
      <c r="M74" s="10" cm="1">
        <f t="array" ref="M74">Common_InputFunctions.Utility_DisplayArrayInTable(SourceData_PastureBeef.SourceData_PastureBeef_LiveweightNTQLD_Data(),Table_SourceData_PastureBeef_LiveweightNTQD[[#Headers],[State]], 0)</f>
        <v>193</v>
      </c>
      <c r="N74" s="10" cm="1">
        <f t="array" ref="N74">Common_InputFunctions.Utility_DisplayArrayInTable(SourceData_PastureBeef.SourceData_PastureBeef_LiveweightNTQLD_Data(),Table_SourceData_PastureBeef_LiveweightNTQD[[#Headers],[State]], 0)</f>
        <v>370</v>
      </c>
      <c r="O74" s="10" cm="1">
        <f t="array" ref="O74">Common_InputFunctions.Utility_DisplayArrayInTable(SourceData_PastureBeef.SourceData_PastureBeef_LiveweightNTQLD_Data(),Table_SourceData_PastureBeef_LiveweightNTQD[[#Headers],[State]], 0)</f>
        <v>519</v>
      </c>
      <c r="P74" s="10" cm="1">
        <f t="array" ref="P74">Common_InputFunctions.Utility_DisplayArrayInTable(SourceData_PastureBeef.SourceData_PastureBeef_LiveweightNTQLD_Data(),Table_SourceData_PastureBeef_LiveweightNTQD[[#Headers],[State]], 0)</f>
        <v>565</v>
      </c>
      <c r="V74" s="8"/>
    </row>
    <row r="75" spans="1:22" ht="20.100000000000001" customHeight="1" x14ac:dyDescent="0.25">
      <c r="A75"/>
      <c r="D75" s="8" t="str" cm="1">
        <f t="array" ref="D75">Common_InputFunctions.Utility_DisplayArrayInTable(SourceData_PastureBeef.SourceData_PastureBeef_LiveweightNTQLD_Data(),Table_SourceData_PastureBeef_LiveweightNTQD[[#Headers],[State]], 0)</f>
        <v>Queensland</v>
      </c>
      <c r="E75" s="10" t="str" cm="1">
        <f t="array" ref="E75">Common_InputFunctions.Utility_DisplayArrayInTable(SourceData_PastureBeef.SourceData_PastureBeef_LiveweightNTQLD_Data(),Table_SourceData_PastureBeef_LiveweightNTQD[[#Headers],[State]], 0)</f>
        <v>Moderate/Low</v>
      </c>
      <c r="F75" s="10" t="str" cm="1">
        <f t="array" ref="F75">Common_InputFunctions.Utility_DisplayArrayInTable(SourceData_PastureBeef.SourceData_PastureBeef_LiveweightNTQLD_Data(),Table_SourceData_PastureBeef_LiveweightNTQD[[#Headers],[State]], 0)</f>
        <v>Summer</v>
      </c>
      <c r="G75" s="10" cm="1">
        <f t="array" ref="G75">Common_InputFunctions.Utility_DisplayArrayInTable(SourceData_PastureBeef.SourceData_PastureBeef_LiveweightNTQLD_Data(),Table_SourceData_PastureBeef_LiveweightNTQD[[#Headers],[State]], 0)</f>
        <v>120</v>
      </c>
      <c r="H75" s="10" cm="1">
        <f t="array" ref="H75">Common_InputFunctions.Utility_DisplayArrayInTable(SourceData_PastureBeef.SourceData_PastureBeef_LiveweightNTQLD_Data(),Table_SourceData_PastureBeef_LiveweightNTQD[[#Headers],[State]], 0)</f>
        <v>669</v>
      </c>
      <c r="I75" s="10" cm="1">
        <f t="array" ref="I75">Common_InputFunctions.Utility_DisplayArrayInTable(SourceData_PastureBeef.SourceData_PastureBeef_LiveweightNTQLD_Data(),Table_SourceData_PastureBeef_LiveweightNTQD[[#Headers],[State]], 0)</f>
        <v>112</v>
      </c>
      <c r="J75" s="10" cm="1">
        <f t="array" ref="J75">Common_InputFunctions.Utility_DisplayArrayInTable(SourceData_PastureBeef.SourceData_PastureBeef_LiveweightNTQLD_Data(),Table_SourceData_PastureBeef_LiveweightNTQD[[#Headers],[State]], 0)</f>
        <v>250</v>
      </c>
      <c r="K75" s="10" cm="1">
        <f t="array" ref="K75">Common_InputFunctions.Utility_DisplayArrayInTable(SourceData_PastureBeef.SourceData_PastureBeef_LiveweightNTQLD_Data(),Table_SourceData_PastureBeef_LiveweightNTQD[[#Headers],[State]], 0)</f>
        <v>390</v>
      </c>
      <c r="L75" s="10" cm="1">
        <f t="array" ref="L75">Common_InputFunctions.Utility_DisplayArrayInTable(SourceData_PastureBeef.SourceData_PastureBeef_LiveweightNTQLD_Data(),Table_SourceData_PastureBeef_LiveweightNTQD[[#Headers],[State]], 0)</f>
        <v>448</v>
      </c>
      <c r="M75" s="10" cm="1">
        <f t="array" ref="M75">Common_InputFunctions.Utility_DisplayArrayInTable(SourceData_PastureBeef.SourceData_PastureBeef_LiveweightNTQLD_Data(),Table_SourceData_PastureBeef_LiveweightNTQD[[#Headers],[State]], 0)</f>
        <v>115</v>
      </c>
      <c r="N75" s="10" cm="1">
        <f t="array" ref="N75">Common_InputFunctions.Utility_DisplayArrayInTable(SourceData_PastureBeef.SourceData_PastureBeef_LiveweightNTQLD_Data(),Table_SourceData_PastureBeef_LiveweightNTQD[[#Headers],[State]], 0)</f>
        <v>273</v>
      </c>
      <c r="O75" s="10" cm="1">
        <f t="array" ref="O75">Common_InputFunctions.Utility_DisplayArrayInTable(SourceData_PastureBeef.SourceData_PastureBeef_LiveweightNTQLD_Data(),Table_SourceData_PastureBeef_LiveweightNTQD[[#Headers],[State]], 0)</f>
        <v>433</v>
      </c>
      <c r="P75" s="10" cm="1">
        <f t="array" ref="P75">Common_InputFunctions.Utility_DisplayArrayInTable(SourceData_PastureBeef.SourceData_PastureBeef_LiveweightNTQLD_Data(),Table_SourceData_PastureBeef_LiveweightNTQD[[#Headers],[State]], 0)</f>
        <v>556</v>
      </c>
      <c r="V75" s="8"/>
    </row>
    <row r="76" spans="1:22" ht="20.100000000000001" customHeight="1" x14ac:dyDescent="0.25">
      <c r="A76"/>
      <c r="D76" s="8" t="str" cm="1">
        <f t="array" ref="D76">Common_InputFunctions.Utility_DisplayArrayInTable(SourceData_PastureBeef.SourceData_PastureBeef_LiveweightNTQLD_Data(),Table_SourceData_PastureBeef_LiveweightNTQD[[#Headers],[State]], 0)</f>
        <v>Queensland</v>
      </c>
      <c r="E76" s="10" t="str" cm="1">
        <f t="array" ref="E76">Common_InputFunctions.Utility_DisplayArrayInTable(SourceData_PastureBeef.SourceData_PastureBeef_LiveweightNTQLD_Data(),Table_SourceData_PastureBeef_LiveweightNTQD[[#Headers],[State]], 0)</f>
        <v>Moderate/Low</v>
      </c>
      <c r="F76" s="10" t="str" cm="1">
        <f t="array" ref="F76">Common_InputFunctions.Utility_DisplayArrayInTable(SourceData_PastureBeef.SourceData_PastureBeef_LiveweightNTQLD_Data(),Table_SourceData_PastureBeef_LiveweightNTQD[[#Headers],[State]], 0)</f>
        <v>Autumn</v>
      </c>
      <c r="G76" s="10" cm="1">
        <f t="array" ref="G76">Common_InputFunctions.Utility_DisplayArrayInTable(SourceData_PastureBeef.SourceData_PastureBeef_LiveweightNTQLD_Data(),Table_SourceData_PastureBeef_LiveweightNTQD[[#Headers],[State]], 0)</f>
        <v>125</v>
      </c>
      <c r="H76" s="10" cm="1">
        <f t="array" ref="H76">Common_InputFunctions.Utility_DisplayArrayInTable(SourceData_PastureBeef.SourceData_PastureBeef_LiveweightNTQLD_Data(),Table_SourceData_PastureBeef_LiveweightNTQD[[#Headers],[State]], 0)</f>
        <v>685</v>
      </c>
      <c r="I76" s="10" cm="1">
        <f t="array" ref="I76">Common_InputFunctions.Utility_DisplayArrayInTable(SourceData_PastureBeef.SourceData_PastureBeef_LiveweightNTQLD_Data(),Table_SourceData_PastureBeef_LiveweightNTQD[[#Headers],[State]], 0)</f>
        <v>140</v>
      </c>
      <c r="J76" s="10" cm="1">
        <f t="array" ref="J76">Common_InputFunctions.Utility_DisplayArrayInTable(SourceData_PastureBeef.SourceData_PastureBeef_LiveweightNTQLD_Data(),Table_SourceData_PastureBeef_LiveweightNTQD[[#Headers],[State]], 0)</f>
        <v>277</v>
      </c>
      <c r="K76" s="10" cm="1">
        <f t="array" ref="K76">Common_InputFunctions.Utility_DisplayArrayInTable(SourceData_PastureBeef.SourceData_PastureBeef_LiveweightNTQLD_Data(),Table_SourceData_PastureBeef_LiveweightNTQD[[#Headers],[State]], 0)</f>
        <v>407</v>
      </c>
      <c r="L76" s="10" cm="1">
        <f t="array" ref="L76">Common_InputFunctions.Utility_DisplayArrayInTable(SourceData_PastureBeef.SourceData_PastureBeef_LiveweightNTQLD_Data(),Table_SourceData_PastureBeef_LiveweightNTQD[[#Headers],[State]], 0)</f>
        <v>455</v>
      </c>
      <c r="M76" s="10" cm="1">
        <f t="array" ref="M76">Common_InputFunctions.Utility_DisplayArrayInTable(SourceData_PastureBeef.SourceData_PastureBeef_LiveweightNTQLD_Data(),Table_SourceData_PastureBeef_LiveweightNTQD[[#Headers],[State]], 0)</f>
        <v>141</v>
      </c>
      <c r="N76" s="10" cm="1">
        <f t="array" ref="N76">Common_InputFunctions.Utility_DisplayArrayInTable(SourceData_PastureBeef.SourceData_PastureBeef_LiveweightNTQLD_Data(),Table_SourceData_PastureBeef_LiveweightNTQD[[#Headers],[State]], 0)</f>
        <v>296</v>
      </c>
      <c r="O76" s="10" cm="1">
        <f t="array" ref="O76">Common_InputFunctions.Utility_DisplayArrayInTable(SourceData_PastureBeef.SourceData_PastureBeef_LiveweightNTQLD_Data(),Table_SourceData_PastureBeef_LiveweightNTQD[[#Headers],[State]], 0)</f>
        <v>445</v>
      </c>
      <c r="P76" s="10" cm="1">
        <f t="array" ref="P76">Common_InputFunctions.Utility_DisplayArrayInTable(SourceData_PastureBeef.SourceData_PastureBeef_LiveweightNTQLD_Data(),Table_SourceData_PastureBeef_LiveweightNTQD[[#Headers],[State]], 0)</f>
        <v>593</v>
      </c>
      <c r="V76" s="8"/>
    </row>
    <row r="77" spans="1:22" ht="20.100000000000001" customHeight="1" x14ac:dyDescent="0.25">
      <c r="A77"/>
      <c r="D77" s="8" t="str" cm="1">
        <f t="array" ref="D77">Common_InputFunctions.Utility_DisplayArrayInTable(SourceData_PastureBeef.SourceData_PastureBeef_LiveweightNTQLD_Data(),Table_SourceData_PastureBeef_LiveweightNTQD[[#Headers],[State]], 0)</f>
        <v>Queensland</v>
      </c>
      <c r="E77" s="10" t="str" cm="1">
        <f t="array" ref="E77">Common_InputFunctions.Utility_DisplayArrayInTable(SourceData_PastureBeef.SourceData_PastureBeef_LiveweightNTQLD_Data(),Table_SourceData_PastureBeef_LiveweightNTQD[[#Headers],[State]], 0)</f>
        <v>Moderate/Low</v>
      </c>
      <c r="F77" s="10" t="str" cm="1">
        <f t="array" ref="F77">Common_InputFunctions.Utility_DisplayArrayInTable(SourceData_PastureBeef.SourceData_PastureBeef_LiveweightNTQLD_Data(),Table_SourceData_PastureBeef_LiveweightNTQD[[#Headers],[State]], 0)</f>
        <v>Winter</v>
      </c>
      <c r="G77" s="10" cm="1">
        <f t="array" ref="G77">Common_InputFunctions.Utility_DisplayArrayInTable(SourceData_PastureBeef.SourceData_PastureBeef_LiveweightNTQLD_Data(),Table_SourceData_PastureBeef_LiveweightNTQD[[#Headers],[State]], 0)</f>
        <v>180</v>
      </c>
      <c r="H77" s="10" cm="1">
        <f t="array" ref="H77">Common_InputFunctions.Utility_DisplayArrayInTable(SourceData_PastureBeef.SourceData_PastureBeef_LiveweightNTQLD_Data(),Table_SourceData_PastureBeef_LiveweightNTQD[[#Headers],[State]], 0)</f>
        <v>692</v>
      </c>
      <c r="I77" s="10" cm="1">
        <f t="array" ref="I77">Common_InputFunctions.Utility_DisplayArrayInTable(SourceData_PastureBeef.SourceData_PastureBeef_LiveweightNTQLD_Data(),Table_SourceData_PastureBeef_LiveweightNTQD[[#Headers],[State]], 0)</f>
        <v>183</v>
      </c>
      <c r="J77" s="10" cm="1">
        <f t="array" ref="J77">Common_InputFunctions.Utility_DisplayArrayInTable(SourceData_PastureBeef.SourceData_PastureBeef_LiveweightNTQLD_Data(),Table_SourceData_PastureBeef_LiveweightNTQD[[#Headers],[State]], 0)</f>
        <v>316</v>
      </c>
      <c r="K77" s="10" cm="1">
        <f t="array" ref="K77">Common_InputFunctions.Utility_DisplayArrayInTable(SourceData_PastureBeef.SourceData_PastureBeef_LiveweightNTQLD_Data(),Table_SourceData_PastureBeef_LiveweightNTQD[[#Headers],[State]], 0)</f>
        <v>438</v>
      </c>
      <c r="L77" s="10" cm="1">
        <f t="array" ref="L77">Common_InputFunctions.Utility_DisplayArrayInTable(SourceData_PastureBeef.SourceData_PastureBeef_LiveweightNTQLD_Data(),Table_SourceData_PastureBeef_LiveweightNTQD[[#Headers],[State]], 0)</f>
        <v>468</v>
      </c>
      <c r="M77" s="10" cm="1">
        <f t="array" ref="M77">Common_InputFunctions.Utility_DisplayArrayInTable(SourceData_PastureBeef.SourceData_PastureBeef_LiveweightNTQLD_Data(),Table_SourceData_PastureBeef_LiveweightNTQD[[#Headers],[State]], 0)</f>
        <v>189</v>
      </c>
      <c r="N77" s="10" cm="1">
        <f t="array" ref="N77">Common_InputFunctions.Utility_DisplayArrayInTable(SourceData_PastureBeef.SourceData_PastureBeef_LiveweightNTQLD_Data(),Table_SourceData_PastureBeef_LiveweightNTQD[[#Headers],[State]], 0)</f>
        <v>354</v>
      </c>
      <c r="O77" s="10" cm="1">
        <f t="array" ref="O77">Common_InputFunctions.Utility_DisplayArrayInTable(SourceData_PastureBeef.SourceData_PastureBeef_LiveweightNTQLD_Data(),Table_SourceData_PastureBeef_LiveweightNTQD[[#Headers],[State]], 0)</f>
        <v>500</v>
      </c>
      <c r="P77" s="10" cm="1">
        <f t="array" ref="P77">Common_InputFunctions.Utility_DisplayArrayInTable(SourceData_PastureBeef.SourceData_PastureBeef_LiveweightNTQLD_Data(),Table_SourceData_PastureBeef_LiveweightNTQD[[#Headers],[State]], 0)</f>
        <v>553</v>
      </c>
      <c r="V77" s="8"/>
    </row>
    <row r="78" spans="1:22" ht="20.100000000000001" customHeight="1" x14ac:dyDescent="0.25">
      <c r="A78"/>
      <c r="D78" s="8" t="str" cm="1">
        <f t="array" ref="D78">Common_InputFunctions.Utility_DisplayArrayInTable(SourceData_PastureBeef.SourceData_PastureBeef_LiveweightNTQLD_Data(),Table_SourceData_PastureBeef_LiveweightNTQD[[#Headers],[State]], 0)</f>
        <v>Queensland</v>
      </c>
      <c r="E78" s="10" t="str" cm="1">
        <f t="array" ref="E78">Common_InputFunctions.Utility_DisplayArrayInTable(SourceData_PastureBeef.SourceData_PastureBeef_LiveweightNTQLD_Data(),Table_SourceData_PastureBeef_LiveweightNTQD[[#Headers],[State]], 0)</f>
        <v>Low</v>
      </c>
      <c r="F78" s="10" t="str" cm="1">
        <f t="array" ref="F78">Common_InputFunctions.Utility_DisplayArrayInTable(SourceData_PastureBeef.SourceData_PastureBeef_LiveweightNTQLD_Data(),Table_SourceData_PastureBeef_LiveweightNTQD[[#Headers],[State]], 0)</f>
        <v>Spring</v>
      </c>
      <c r="G78" s="10" cm="1">
        <f t="array" ref="G78">Common_InputFunctions.Utility_DisplayArrayInTable(SourceData_PastureBeef.SourceData_PastureBeef_LiveweightNTQLD_Data(),Table_SourceData_PastureBeef_LiveweightNTQD[[#Headers],[State]], 0)</f>
        <v>190</v>
      </c>
      <c r="H78" s="10" cm="1">
        <f t="array" ref="H78">Common_InputFunctions.Utility_DisplayArrayInTable(SourceData_PastureBeef.SourceData_PastureBeef_LiveweightNTQLD_Data(),Table_SourceData_PastureBeef_LiveweightNTQD[[#Headers],[State]], 0)</f>
        <v>617</v>
      </c>
      <c r="I78" s="10" cm="1">
        <f t="array" ref="I78">Common_InputFunctions.Utility_DisplayArrayInTable(SourceData_PastureBeef.SourceData_PastureBeef_LiveweightNTQLD_Data(),Table_SourceData_PastureBeef_LiveweightNTQD[[#Headers],[State]], 0)</f>
        <v>174</v>
      </c>
      <c r="J78" s="10" cm="1">
        <f t="array" ref="J78">Common_InputFunctions.Utility_DisplayArrayInTable(SourceData_PastureBeef.SourceData_PastureBeef_LiveweightNTQLD_Data(),Table_SourceData_PastureBeef_LiveweightNTQD[[#Headers],[State]], 0)</f>
        <v>265</v>
      </c>
      <c r="K78" s="10" cm="1">
        <f t="array" ref="K78">Common_InputFunctions.Utility_DisplayArrayInTable(SourceData_PastureBeef.SourceData_PastureBeef_LiveweightNTQLD_Data(),Table_SourceData_PastureBeef_LiveweightNTQD[[#Headers],[State]], 0)</f>
        <v>371</v>
      </c>
      <c r="L78" s="10" cm="1">
        <f t="array" ref="L78">Common_InputFunctions.Utility_DisplayArrayInTable(SourceData_PastureBeef.SourceData_PastureBeef_LiveweightNTQLD_Data(),Table_SourceData_PastureBeef_LiveweightNTQD[[#Headers],[State]], 0)</f>
        <v>415</v>
      </c>
      <c r="M78" s="10" cm="1">
        <f t="array" ref="M78">Common_InputFunctions.Utility_DisplayArrayInTable(SourceData_PastureBeef.SourceData_PastureBeef_LiveweightNTQLD_Data(),Table_SourceData_PastureBeef_LiveweightNTQD[[#Headers],[State]], 0)</f>
        <v>170</v>
      </c>
      <c r="N78" s="10" cm="1">
        <f t="array" ref="N78">Common_InputFunctions.Utility_DisplayArrayInTable(SourceData_PastureBeef.SourceData_PastureBeef_LiveweightNTQLD_Data(),Table_SourceData_PastureBeef_LiveweightNTQD[[#Headers],[State]], 0)</f>
        <v>272</v>
      </c>
      <c r="O78" s="10" cm="1">
        <f t="array" ref="O78">Common_InputFunctions.Utility_DisplayArrayInTable(SourceData_PastureBeef.SourceData_PastureBeef_LiveweightNTQLD_Data(),Table_SourceData_PastureBeef_LiveweightNTQD[[#Headers],[State]], 0)</f>
        <v>392</v>
      </c>
      <c r="P78" s="10" cm="1">
        <f t="array" ref="P78">Common_InputFunctions.Utility_DisplayArrayInTable(SourceData_PastureBeef.SourceData_PastureBeef_LiveweightNTQLD_Data(),Table_SourceData_PastureBeef_LiveweightNTQD[[#Headers],[State]], 0)</f>
        <v>531</v>
      </c>
    </row>
    <row r="79" spans="1:22" ht="20.100000000000001" customHeight="1" x14ac:dyDescent="0.25">
      <c r="A79"/>
      <c r="D79" s="8" t="str" cm="1">
        <f t="array" ref="D79">Common_InputFunctions.Utility_DisplayArrayInTable(SourceData_PastureBeef.SourceData_PastureBeef_LiveweightNTQLD_Data(),Table_SourceData_PastureBeef_LiveweightNTQD[[#Headers],[State]], 0)</f>
        <v>Queensland</v>
      </c>
      <c r="E79" s="10" t="str" cm="1">
        <f t="array" ref="E79">Common_InputFunctions.Utility_DisplayArrayInTable(SourceData_PastureBeef.SourceData_PastureBeef_LiveweightNTQLD_Data(),Table_SourceData_PastureBeef_LiveweightNTQD[[#Headers],[State]], 0)</f>
        <v>Low</v>
      </c>
      <c r="F79" s="10" t="str" cm="1">
        <f t="array" ref="F79">Common_InputFunctions.Utility_DisplayArrayInTable(SourceData_PastureBeef.SourceData_PastureBeef_LiveweightNTQLD_Data(),Table_SourceData_PastureBeef_LiveweightNTQD[[#Headers],[State]], 0)</f>
        <v>Summer</v>
      </c>
      <c r="G79" s="10" cm="1">
        <f t="array" ref="G79">Common_InputFunctions.Utility_DisplayArrayInTable(SourceData_PastureBeef.SourceData_PastureBeef_LiveweightNTQLD_Data(),Table_SourceData_PastureBeef_LiveweightNTQD[[#Headers],[State]], 0)</f>
        <v>119</v>
      </c>
      <c r="H79" s="10" cm="1">
        <f t="array" ref="H79">Common_InputFunctions.Utility_DisplayArrayInTable(SourceData_PastureBeef.SourceData_PastureBeef_LiveweightNTQLD_Data(),Table_SourceData_PastureBeef_LiveweightNTQD[[#Headers],[State]], 0)</f>
        <v>591</v>
      </c>
      <c r="I79" s="10" cm="1">
        <f t="array" ref="I79">Common_InputFunctions.Utility_DisplayArrayInTable(SourceData_PastureBeef.SourceData_PastureBeef_LiveweightNTQLD_Data(),Table_SourceData_PastureBeef_LiveweightNTQD[[#Headers],[State]], 0)</f>
        <v>140</v>
      </c>
      <c r="J79" s="10" cm="1">
        <f t="array" ref="J79">Common_InputFunctions.Utility_DisplayArrayInTable(SourceData_PastureBeef.SourceData_PastureBeef_LiveweightNTQLD_Data(),Table_SourceData_PastureBeef_LiveweightNTQD[[#Headers],[State]], 0)</f>
        <v>205</v>
      </c>
      <c r="K79" s="10" cm="1">
        <f t="array" ref="K79">Common_InputFunctions.Utility_DisplayArrayInTable(SourceData_PastureBeef.SourceData_PastureBeef_LiveweightNTQLD_Data(),Table_SourceData_PastureBeef_LiveweightNTQD[[#Headers],[State]], 0)</f>
        <v>310</v>
      </c>
      <c r="L79" s="10" cm="1">
        <f t="array" ref="L79">Common_InputFunctions.Utility_DisplayArrayInTable(SourceData_PastureBeef.SourceData_PastureBeef_LiveweightNTQLD_Data(),Table_SourceData_PastureBeef_LiveweightNTQD[[#Headers],[State]], 0)</f>
        <v>405</v>
      </c>
      <c r="M79" s="10" cm="1">
        <f t="array" ref="M79">Common_InputFunctions.Utility_DisplayArrayInTable(SourceData_PastureBeef.SourceData_PastureBeef_LiveweightNTQLD_Data(),Table_SourceData_PastureBeef_LiveweightNTQD[[#Headers],[State]], 0)</f>
        <v>133</v>
      </c>
      <c r="N79" s="10" cm="1">
        <f t="array" ref="N79">Common_InputFunctions.Utility_DisplayArrayInTable(SourceData_PastureBeef.SourceData_PastureBeef_LiveweightNTQLD_Data(),Table_SourceData_PastureBeef_LiveweightNTQD[[#Headers],[State]], 0)</f>
        <v>218</v>
      </c>
      <c r="O79" s="10" cm="1">
        <f t="array" ref="O79">Common_InputFunctions.Utility_DisplayArrayInTable(SourceData_PastureBeef.SourceData_PastureBeef_LiveweightNTQLD_Data(),Table_SourceData_PastureBeef_LiveweightNTQD[[#Headers],[State]], 0)</f>
        <v>315</v>
      </c>
      <c r="P79" s="10" cm="1">
        <f t="array" ref="P79">Common_InputFunctions.Utility_DisplayArrayInTable(SourceData_PastureBeef.SourceData_PastureBeef_LiveweightNTQLD_Data(),Table_SourceData_PastureBeef_LiveweightNTQD[[#Headers],[State]], 0)</f>
        <v>445</v>
      </c>
    </row>
    <row r="80" spans="1:22" ht="20.100000000000001" customHeight="1" x14ac:dyDescent="0.25">
      <c r="A80"/>
      <c r="D80" s="8" t="str" cm="1">
        <f t="array" ref="D80">Common_InputFunctions.Utility_DisplayArrayInTable(SourceData_PastureBeef.SourceData_PastureBeef_LiveweightNTQLD_Data(),Table_SourceData_PastureBeef_LiveweightNTQD[[#Headers],[State]], 0)</f>
        <v>Queensland</v>
      </c>
      <c r="E80" s="10" t="str" cm="1">
        <f t="array" ref="E80">Common_InputFunctions.Utility_DisplayArrayInTable(SourceData_PastureBeef.SourceData_PastureBeef_LiveweightNTQLD_Data(),Table_SourceData_PastureBeef_LiveweightNTQD[[#Headers],[State]], 0)</f>
        <v>Low</v>
      </c>
      <c r="F80" s="10" t="str" cm="1">
        <f t="array" ref="F80">Common_InputFunctions.Utility_DisplayArrayInTable(SourceData_PastureBeef.SourceData_PastureBeef_LiveweightNTQLD_Data(),Table_SourceData_PastureBeef_LiveweightNTQD[[#Headers],[State]], 0)</f>
        <v>Autumn</v>
      </c>
      <c r="G80" s="10" cm="1">
        <f t="array" ref="G80">Common_InputFunctions.Utility_DisplayArrayInTable(SourceData_PastureBeef.SourceData_PastureBeef_LiveweightNTQLD_Data(),Table_SourceData_PastureBeef_LiveweightNTQD[[#Headers],[State]], 0)</f>
        <v>175</v>
      </c>
      <c r="H80" s="10" cm="1">
        <f t="array" ref="H80">Common_InputFunctions.Utility_DisplayArrayInTable(SourceData_PastureBeef.SourceData_PastureBeef_LiveweightNTQLD_Data(),Table_SourceData_PastureBeef_LiveweightNTQD[[#Headers],[State]], 0)</f>
        <v>610</v>
      </c>
      <c r="I80" s="10" cm="1">
        <f t="array" ref="I80">Common_InputFunctions.Utility_DisplayArrayInTable(SourceData_PastureBeef.SourceData_PastureBeef_LiveweightNTQLD_Data(),Table_SourceData_PastureBeef_LiveweightNTQD[[#Headers],[State]], 0)</f>
        <v>163</v>
      </c>
      <c r="J80" s="10" cm="1">
        <f t="array" ref="J80">Common_InputFunctions.Utility_DisplayArrayInTable(SourceData_PastureBeef.SourceData_PastureBeef_LiveweightNTQLD_Data(),Table_SourceData_PastureBeef_LiveweightNTQD[[#Headers],[State]], 0)</f>
        <v>232</v>
      </c>
      <c r="K80" s="10" cm="1">
        <f t="array" ref="K80">Common_InputFunctions.Utility_DisplayArrayInTable(SourceData_PastureBeef.SourceData_PastureBeef_LiveweightNTQLD_Data(),Table_SourceData_PastureBeef_LiveweightNTQD[[#Headers],[State]], 0)</f>
        <v>351</v>
      </c>
      <c r="L80" s="10" cm="1">
        <f t="array" ref="L80">Common_InputFunctions.Utility_DisplayArrayInTable(SourceData_PastureBeef.SourceData_PastureBeef_LiveweightNTQLD_Data(),Table_SourceData_PastureBeef_LiveweightNTQD[[#Headers],[State]], 0)</f>
        <v>427</v>
      </c>
      <c r="M80" s="10" cm="1">
        <f t="array" ref="M80">Common_InputFunctions.Utility_DisplayArrayInTable(SourceData_PastureBeef.SourceData_PastureBeef_LiveweightNTQLD_Data(),Table_SourceData_PastureBeef_LiveweightNTQD[[#Headers],[State]], 0)</f>
        <v>146</v>
      </c>
      <c r="N80" s="10" cm="1">
        <f t="array" ref="N80">Common_InputFunctions.Utility_DisplayArrayInTable(SourceData_PastureBeef.SourceData_PastureBeef_LiveweightNTQLD_Data(),Table_SourceData_PastureBeef_LiveweightNTQD[[#Headers],[State]], 0)</f>
        <v>242</v>
      </c>
      <c r="O80" s="10" cm="1">
        <f t="array" ref="O80">Common_InputFunctions.Utility_DisplayArrayInTable(SourceData_PastureBeef.SourceData_PastureBeef_LiveweightNTQLD_Data(),Table_SourceData_PastureBeef_LiveweightNTQD[[#Headers],[State]], 0)</f>
        <v>320</v>
      </c>
      <c r="P80" s="10" cm="1">
        <f t="array" ref="P80">Common_InputFunctions.Utility_DisplayArrayInTable(SourceData_PastureBeef.SourceData_PastureBeef_LiveweightNTQLD_Data(),Table_SourceData_PastureBeef_LiveweightNTQD[[#Headers],[State]], 0)</f>
        <v>471</v>
      </c>
    </row>
    <row r="81" spans="1:22" ht="20.100000000000001" customHeight="1" x14ac:dyDescent="0.25">
      <c r="A81"/>
      <c r="D81" s="8" t="str" cm="1">
        <f t="array" ref="D81">Common_InputFunctions.Utility_DisplayArrayInTable(SourceData_PastureBeef.SourceData_PastureBeef_LiveweightNTQLD_Data(),Table_SourceData_PastureBeef_LiveweightNTQD[[#Headers],[State]], 0)</f>
        <v>Queensland</v>
      </c>
      <c r="E81" s="10" t="str" cm="1">
        <f t="array" ref="E81">Common_InputFunctions.Utility_DisplayArrayInTable(SourceData_PastureBeef.SourceData_PastureBeef_LiveweightNTQLD_Data(),Table_SourceData_PastureBeef_LiveweightNTQD[[#Headers],[State]], 0)</f>
        <v>Low</v>
      </c>
      <c r="F81" s="10" t="str" cm="1">
        <f t="array" ref="F81">Common_InputFunctions.Utility_DisplayArrayInTable(SourceData_PastureBeef.SourceData_PastureBeef_LiveweightNTQLD_Data(),Table_SourceData_PastureBeef_LiveweightNTQD[[#Headers],[State]], 0)</f>
        <v>Winter</v>
      </c>
      <c r="G81" s="10" cm="1">
        <f t="array" ref="G81">Common_InputFunctions.Utility_DisplayArrayInTable(SourceData_PastureBeef.SourceData_PastureBeef_LiveweightNTQLD_Data(),Table_SourceData_PastureBeef_LiveweightNTQD[[#Headers],[State]], 0)</f>
        <v>192</v>
      </c>
      <c r="H81" s="10" cm="1">
        <f t="array" ref="H81">Common_InputFunctions.Utility_DisplayArrayInTable(SourceData_PastureBeef.SourceData_PastureBeef_LiveweightNTQLD_Data(),Table_SourceData_PastureBeef_LiveweightNTQD[[#Headers],[State]], 0)</f>
        <v>615</v>
      </c>
      <c r="I81" s="10" cm="1">
        <f t="array" ref="I81">Common_InputFunctions.Utility_DisplayArrayInTable(SourceData_PastureBeef.SourceData_PastureBeef_LiveweightNTQLD_Data(),Table_SourceData_PastureBeef_LiveweightNTQD[[#Headers],[State]], 0)</f>
        <v>162</v>
      </c>
      <c r="J81" s="10" cm="1">
        <f t="array" ref="J81">Common_InputFunctions.Utility_DisplayArrayInTable(SourceData_PastureBeef.SourceData_PastureBeef_LiveweightNTQLD_Data(),Table_SourceData_PastureBeef_LiveweightNTQD[[#Headers],[State]], 0)</f>
        <v>255</v>
      </c>
      <c r="K81" s="10" cm="1">
        <f t="array" ref="K81">Common_InputFunctions.Utility_DisplayArrayInTable(SourceData_PastureBeef.SourceData_PastureBeef_LiveweightNTQLD_Data(),Table_SourceData_PastureBeef_LiveweightNTQD[[#Headers],[State]], 0)</f>
        <v>364</v>
      </c>
      <c r="L81" s="10" cm="1">
        <f t="array" ref="L81">Common_InputFunctions.Utility_DisplayArrayInTable(SourceData_PastureBeef.SourceData_PastureBeef_LiveweightNTQLD_Data(),Table_SourceData_PastureBeef_LiveweightNTQD[[#Headers],[State]], 0)</f>
        <v>420</v>
      </c>
      <c r="M81" s="10" cm="1">
        <f t="array" ref="M81">Common_InputFunctions.Utility_DisplayArrayInTable(SourceData_PastureBeef.SourceData_PastureBeef_LiveweightNTQLD_Data(),Table_SourceData_PastureBeef_LiveweightNTQD[[#Headers],[State]], 0)</f>
        <v>157</v>
      </c>
      <c r="N81" s="10" cm="1">
        <f t="array" ref="N81">Common_InputFunctions.Utility_DisplayArrayInTable(SourceData_PastureBeef.SourceData_PastureBeef_LiveweightNTQLD_Data(),Table_SourceData_PastureBeef_LiveweightNTQD[[#Headers],[State]], 0)</f>
        <v>261</v>
      </c>
      <c r="O81" s="10" cm="1">
        <f t="array" ref="O81">Common_InputFunctions.Utility_DisplayArrayInTable(SourceData_PastureBeef.SourceData_PastureBeef_LiveweightNTQLD_Data(),Table_SourceData_PastureBeef_LiveweightNTQD[[#Headers],[State]], 0)</f>
        <v>342</v>
      </c>
      <c r="P81" s="10" cm="1">
        <f t="array" ref="P81">Common_InputFunctions.Utility_DisplayArrayInTable(SourceData_PastureBeef.SourceData_PastureBeef_LiveweightNTQLD_Data(),Table_SourceData_PastureBeef_LiveweightNTQD[[#Headers],[State]], 0)</f>
        <v>484</v>
      </c>
    </row>
    <row r="82" spans="1:22" ht="20.100000000000001" customHeight="1" x14ac:dyDescent="0.25">
      <c r="A82"/>
      <c r="M82" s="8"/>
    </row>
    <row r="83" spans="1:22" ht="20.100000000000001" customHeight="1" x14ac:dyDescent="0.25">
      <c r="A83"/>
      <c r="M83" s="8"/>
    </row>
    <row r="84" spans="1:22" ht="20.100000000000001" customHeight="1" x14ac:dyDescent="0.25">
      <c r="A84"/>
      <c r="D84" s="9" t="s">
        <v>475</v>
      </c>
      <c r="M84" s="8"/>
    </row>
    <row r="85" spans="1:22" ht="20.100000000000001" customHeight="1" x14ac:dyDescent="0.25">
      <c r="A85"/>
      <c r="D85" s="10" t="s">
        <v>273</v>
      </c>
      <c r="E85" s="10" t="s">
        <v>378</v>
      </c>
      <c r="F85" s="10" t="s">
        <v>47</v>
      </c>
      <c r="G85" s="155" t="s">
        <v>476</v>
      </c>
      <c r="H85" s="155" t="s">
        <v>477</v>
      </c>
      <c r="I85" s="155" t="s">
        <v>478</v>
      </c>
      <c r="J85" s="155" t="s">
        <v>479</v>
      </c>
      <c r="K85" s="155" t="s">
        <v>480</v>
      </c>
      <c r="L85" s="155" t="s">
        <v>481</v>
      </c>
      <c r="M85" s="155" t="s">
        <v>482</v>
      </c>
      <c r="N85" s="155" t="s">
        <v>483</v>
      </c>
      <c r="O85" s="155" t="s">
        <v>484</v>
      </c>
      <c r="P85" s="155" t="s">
        <v>485</v>
      </c>
      <c r="V85" s="8"/>
    </row>
    <row r="86" spans="1:22" ht="20.100000000000001" customHeight="1" x14ac:dyDescent="0.25">
      <c r="A86"/>
      <c r="D86" s="10" t="s">
        <v>308</v>
      </c>
      <c r="E86" s="10" t="s">
        <v>426</v>
      </c>
      <c r="F86" s="10" t="str">
        <f>F19</f>
        <v>Spring</v>
      </c>
      <c r="G86" s="10">
        <f>G19</f>
        <v>80</v>
      </c>
      <c r="H86" s="10">
        <f t="shared" ref="H86:K89" si="0">H19</f>
        <v>480</v>
      </c>
      <c r="I86" s="10">
        <f>I19</f>
        <v>75</v>
      </c>
      <c r="J86" s="10">
        <f>J19</f>
        <v>300</v>
      </c>
      <c r="K86" s="10">
        <f>K19</f>
        <v>440</v>
      </c>
      <c r="L86" s="10">
        <f>K19</f>
        <v>440</v>
      </c>
      <c r="M86" s="10">
        <f>L19</f>
        <v>75</v>
      </c>
      <c r="N86" s="10">
        <f>M19</f>
        <v>380</v>
      </c>
      <c r="O86" s="10">
        <f>M19</f>
        <v>380</v>
      </c>
      <c r="P86" s="10">
        <f>M19</f>
        <v>380</v>
      </c>
      <c r="V86" s="8"/>
    </row>
    <row r="87" spans="1:22" ht="20.100000000000001" customHeight="1" x14ac:dyDescent="0.25">
      <c r="A87"/>
      <c r="D87" s="10" t="s">
        <v>308</v>
      </c>
      <c r="E87" s="10" t="s">
        <v>426</v>
      </c>
      <c r="F87" s="10" t="s">
        <v>486</v>
      </c>
      <c r="G87" s="10">
        <f t="shared" ref="G87:G89" si="1">G20</f>
        <v>170</v>
      </c>
      <c r="H87" s="10">
        <f t="shared" si="0"/>
        <v>520</v>
      </c>
      <c r="I87" s="10">
        <f t="shared" si="0"/>
        <v>160</v>
      </c>
      <c r="J87" s="10">
        <f t="shared" si="0"/>
        <v>360</v>
      </c>
      <c r="K87" s="10">
        <f t="shared" si="0"/>
        <v>470</v>
      </c>
      <c r="L87" s="10">
        <f t="shared" ref="L87:N89" si="2">K20</f>
        <v>470</v>
      </c>
      <c r="M87" s="10">
        <f t="shared" si="2"/>
        <v>160</v>
      </c>
      <c r="N87" s="10">
        <f t="shared" si="2"/>
        <v>420</v>
      </c>
      <c r="O87" s="10">
        <f t="shared" ref="O87:O89" si="3">M20</f>
        <v>420</v>
      </c>
      <c r="P87" s="10">
        <f t="shared" ref="P87:P89" si="4">M20</f>
        <v>420</v>
      </c>
      <c r="V87" s="8"/>
    </row>
    <row r="88" spans="1:22" ht="20.100000000000001" customHeight="1" x14ac:dyDescent="0.25">
      <c r="A88"/>
      <c r="D88" s="10" t="s">
        <v>308</v>
      </c>
      <c r="E88" s="10" t="s">
        <v>426</v>
      </c>
      <c r="F88" s="10" t="s">
        <v>487</v>
      </c>
      <c r="G88" s="10">
        <f t="shared" si="1"/>
        <v>240</v>
      </c>
      <c r="H88" s="10">
        <f t="shared" si="0"/>
        <v>550</v>
      </c>
      <c r="I88" s="10">
        <f t="shared" si="0"/>
        <v>220</v>
      </c>
      <c r="J88" s="10">
        <f t="shared" si="0"/>
        <v>390</v>
      </c>
      <c r="K88" s="10">
        <f t="shared" si="0"/>
        <v>490</v>
      </c>
      <c r="L88" s="10">
        <f t="shared" si="2"/>
        <v>490</v>
      </c>
      <c r="M88" s="10">
        <f t="shared" si="2"/>
        <v>220</v>
      </c>
      <c r="N88" s="10">
        <f t="shared" si="2"/>
        <v>450</v>
      </c>
      <c r="O88" s="10">
        <f t="shared" si="3"/>
        <v>450</v>
      </c>
      <c r="P88" s="10">
        <f t="shared" si="4"/>
        <v>450</v>
      </c>
      <c r="V88" s="8"/>
    </row>
    <row r="89" spans="1:22" ht="20.100000000000001" customHeight="1" x14ac:dyDescent="0.25">
      <c r="A89"/>
      <c r="D89" s="10" t="s">
        <v>308</v>
      </c>
      <c r="E89" s="10" t="s">
        <v>426</v>
      </c>
      <c r="F89" s="10" t="s">
        <v>488</v>
      </c>
      <c r="G89" s="10">
        <f t="shared" si="1"/>
        <v>280</v>
      </c>
      <c r="H89" s="10">
        <f t="shared" si="0"/>
        <v>560</v>
      </c>
      <c r="I89" s="10">
        <f t="shared" si="0"/>
        <v>260</v>
      </c>
      <c r="J89" s="10">
        <f t="shared" si="0"/>
        <v>410</v>
      </c>
      <c r="K89" s="10">
        <f t="shared" si="0"/>
        <v>500</v>
      </c>
      <c r="L89" s="10">
        <f t="shared" si="2"/>
        <v>500</v>
      </c>
      <c r="M89" s="10">
        <f t="shared" si="2"/>
        <v>260</v>
      </c>
      <c r="N89" s="10">
        <f t="shared" si="2"/>
        <v>460</v>
      </c>
      <c r="O89" s="10">
        <f t="shared" si="3"/>
        <v>460</v>
      </c>
      <c r="P89" s="10">
        <f t="shared" si="4"/>
        <v>460</v>
      </c>
      <c r="V89" s="8"/>
    </row>
    <row r="90" spans="1:22" ht="20.100000000000001" customHeight="1" x14ac:dyDescent="0.25">
      <c r="A90"/>
      <c r="D90" s="10" t="s">
        <v>329</v>
      </c>
      <c r="E90" s="10" t="s">
        <v>426</v>
      </c>
      <c r="F90" s="10" t="str">
        <f>F23</f>
        <v>Spring</v>
      </c>
      <c r="G90" s="10">
        <f>G19</f>
        <v>80</v>
      </c>
      <c r="H90" s="10">
        <f t="shared" ref="H90:J90" si="5">H19</f>
        <v>480</v>
      </c>
      <c r="I90" s="10">
        <f t="shared" si="5"/>
        <v>75</v>
      </c>
      <c r="J90" s="10">
        <f t="shared" si="5"/>
        <v>300</v>
      </c>
      <c r="K90" s="10">
        <f>K19</f>
        <v>440</v>
      </c>
      <c r="L90" s="10">
        <f>K19</f>
        <v>440</v>
      </c>
      <c r="M90" s="10">
        <f>L19</f>
        <v>75</v>
      </c>
      <c r="N90" s="10">
        <f>M19</f>
        <v>380</v>
      </c>
      <c r="O90" s="10">
        <f>M19</f>
        <v>380</v>
      </c>
      <c r="P90" s="10">
        <f>M19</f>
        <v>380</v>
      </c>
      <c r="V90" s="8"/>
    </row>
    <row r="91" spans="1:22" ht="20.100000000000001" customHeight="1" x14ac:dyDescent="0.25">
      <c r="A91"/>
      <c r="D91" s="10" t="s">
        <v>329</v>
      </c>
      <c r="E91" s="10" t="s">
        <v>426</v>
      </c>
      <c r="F91" s="10" t="s">
        <v>486</v>
      </c>
      <c r="G91" s="10">
        <f t="shared" ref="G91:K94" si="6">G20</f>
        <v>170</v>
      </c>
      <c r="H91" s="10">
        <f t="shared" si="6"/>
        <v>520</v>
      </c>
      <c r="I91" s="10">
        <f t="shared" si="6"/>
        <v>160</v>
      </c>
      <c r="J91" s="10">
        <f t="shared" si="6"/>
        <v>360</v>
      </c>
      <c r="K91" s="10">
        <f t="shared" si="6"/>
        <v>470</v>
      </c>
      <c r="L91" s="10">
        <f t="shared" ref="L91:N105" si="7">K20</f>
        <v>470</v>
      </c>
      <c r="M91" s="10">
        <f t="shared" si="7"/>
        <v>160</v>
      </c>
      <c r="N91" s="10">
        <f t="shared" si="7"/>
        <v>420</v>
      </c>
      <c r="O91" s="10">
        <f t="shared" ref="O91:O93" si="8">M20</f>
        <v>420</v>
      </c>
      <c r="P91" s="10">
        <f t="shared" ref="P91:P93" si="9">M20</f>
        <v>420</v>
      </c>
    </row>
    <row r="92" spans="1:22" ht="20.100000000000001" customHeight="1" x14ac:dyDescent="0.25">
      <c r="A92"/>
      <c r="D92" s="10" t="s">
        <v>329</v>
      </c>
      <c r="E92" s="10" t="s">
        <v>426</v>
      </c>
      <c r="F92" s="10" t="s">
        <v>487</v>
      </c>
      <c r="G92" s="10">
        <f t="shared" si="6"/>
        <v>240</v>
      </c>
      <c r="H92" s="10">
        <f t="shared" si="6"/>
        <v>550</v>
      </c>
      <c r="I92" s="10">
        <f t="shared" si="6"/>
        <v>220</v>
      </c>
      <c r="J92" s="10">
        <f t="shared" si="6"/>
        <v>390</v>
      </c>
      <c r="K92" s="10">
        <f t="shared" si="6"/>
        <v>490</v>
      </c>
      <c r="L92" s="10">
        <f t="shared" si="7"/>
        <v>490</v>
      </c>
      <c r="M92" s="10">
        <f t="shared" si="7"/>
        <v>220</v>
      </c>
      <c r="N92" s="10">
        <f t="shared" si="7"/>
        <v>450</v>
      </c>
      <c r="O92" s="10">
        <f t="shared" si="8"/>
        <v>450</v>
      </c>
      <c r="P92" s="10">
        <f t="shared" si="9"/>
        <v>450</v>
      </c>
    </row>
    <row r="93" spans="1:22" ht="20.100000000000001" customHeight="1" x14ac:dyDescent="0.25">
      <c r="A93"/>
      <c r="D93" s="10" t="s">
        <v>329</v>
      </c>
      <c r="E93" s="10" t="s">
        <v>426</v>
      </c>
      <c r="F93" s="10" t="s">
        <v>488</v>
      </c>
      <c r="G93" s="10">
        <f t="shared" si="6"/>
        <v>280</v>
      </c>
      <c r="H93" s="10">
        <f t="shared" si="6"/>
        <v>560</v>
      </c>
      <c r="I93" s="10">
        <f t="shared" si="6"/>
        <v>260</v>
      </c>
      <c r="J93" s="10">
        <f t="shared" si="6"/>
        <v>410</v>
      </c>
      <c r="K93" s="10">
        <f t="shared" si="6"/>
        <v>500</v>
      </c>
      <c r="L93" s="10">
        <f t="shared" si="7"/>
        <v>500</v>
      </c>
      <c r="M93" s="10">
        <f t="shared" si="7"/>
        <v>260</v>
      </c>
      <c r="N93" s="10">
        <f t="shared" si="7"/>
        <v>460</v>
      </c>
      <c r="O93" s="10">
        <f t="shared" si="8"/>
        <v>460</v>
      </c>
      <c r="P93" s="10">
        <f t="shared" si="9"/>
        <v>460</v>
      </c>
    </row>
    <row r="94" spans="1:22" ht="20.100000000000001" customHeight="1" x14ac:dyDescent="0.25">
      <c r="A94"/>
      <c r="D94" s="10" t="s">
        <v>385</v>
      </c>
      <c r="E94" s="10" t="s">
        <v>426</v>
      </c>
      <c r="F94" s="10" t="str">
        <f>F27</f>
        <v>Spring</v>
      </c>
      <c r="G94" s="10">
        <f>G23</f>
        <v>250</v>
      </c>
      <c r="H94" s="10">
        <f t="shared" si="6"/>
        <v>800</v>
      </c>
      <c r="I94" s="10">
        <f t="shared" si="6"/>
        <v>220</v>
      </c>
      <c r="J94" s="10">
        <f>J23</f>
        <v>400</v>
      </c>
      <c r="K94" s="10">
        <f>K23</f>
        <v>500</v>
      </c>
      <c r="L94" s="10">
        <f>K23</f>
        <v>500</v>
      </c>
      <c r="M94" s="10">
        <f>L23</f>
        <v>230</v>
      </c>
      <c r="N94" s="10">
        <f>M23</f>
        <v>420</v>
      </c>
      <c r="O94" s="10">
        <f>M23</f>
        <v>420</v>
      </c>
      <c r="P94" s="10">
        <f>M23</f>
        <v>420</v>
      </c>
    </row>
    <row r="95" spans="1:22" ht="20.100000000000001" customHeight="1" x14ac:dyDescent="0.25">
      <c r="A95"/>
      <c r="D95" s="10" t="s">
        <v>385</v>
      </c>
      <c r="E95" s="10" t="s">
        <v>426</v>
      </c>
      <c r="F95" s="10" t="s">
        <v>486</v>
      </c>
      <c r="G95" s="10">
        <f t="shared" ref="G95:K98" si="10">G24</f>
        <v>320</v>
      </c>
      <c r="H95" s="10">
        <f t="shared" si="10"/>
        <v>800</v>
      </c>
      <c r="I95" s="10">
        <f t="shared" si="10"/>
        <v>280</v>
      </c>
      <c r="J95" s="10">
        <f t="shared" si="10"/>
        <v>420</v>
      </c>
      <c r="K95" s="10">
        <f t="shared" si="10"/>
        <v>500</v>
      </c>
      <c r="L95" s="10">
        <f t="shared" ref="L95:M97" si="11">K24</f>
        <v>500</v>
      </c>
      <c r="M95" s="10">
        <f t="shared" si="11"/>
        <v>290</v>
      </c>
      <c r="N95" s="10">
        <f t="shared" si="7"/>
        <v>420</v>
      </c>
      <c r="O95" s="10">
        <f t="shared" ref="O95:O97" si="12">M24</f>
        <v>420</v>
      </c>
      <c r="P95" s="10">
        <f t="shared" ref="P95:P97" si="13">M24</f>
        <v>420</v>
      </c>
    </row>
    <row r="96" spans="1:22" ht="20.100000000000001" customHeight="1" x14ac:dyDescent="0.25">
      <c r="A96"/>
      <c r="D96" s="10" t="s">
        <v>385</v>
      </c>
      <c r="E96" s="10" t="s">
        <v>426</v>
      </c>
      <c r="F96" s="10" t="s">
        <v>487</v>
      </c>
      <c r="G96" s="10">
        <f t="shared" si="10"/>
        <v>80</v>
      </c>
      <c r="H96" s="10">
        <f t="shared" si="10"/>
        <v>700</v>
      </c>
      <c r="I96" s="10">
        <f t="shared" si="10"/>
        <v>70</v>
      </c>
      <c r="J96" s="10">
        <f t="shared" si="10"/>
        <v>300</v>
      </c>
      <c r="K96" s="10">
        <f t="shared" si="10"/>
        <v>450</v>
      </c>
      <c r="L96" s="10">
        <f t="shared" si="11"/>
        <v>450</v>
      </c>
      <c r="M96" s="10">
        <f t="shared" si="11"/>
        <v>75</v>
      </c>
      <c r="N96" s="10">
        <f t="shared" si="7"/>
        <v>400</v>
      </c>
      <c r="O96" s="10">
        <f t="shared" si="12"/>
        <v>400</v>
      </c>
      <c r="P96" s="10">
        <f t="shared" si="13"/>
        <v>400</v>
      </c>
    </row>
    <row r="97" spans="1:16" ht="20.100000000000001" customHeight="1" x14ac:dyDescent="0.25">
      <c r="A97"/>
      <c r="D97" s="10" t="s">
        <v>385</v>
      </c>
      <c r="E97" s="10" t="s">
        <v>426</v>
      </c>
      <c r="F97" s="10" t="s">
        <v>488</v>
      </c>
      <c r="G97" s="10">
        <f t="shared" si="10"/>
        <v>160</v>
      </c>
      <c r="H97" s="10">
        <f t="shared" si="10"/>
        <v>700</v>
      </c>
      <c r="I97" s="10">
        <f t="shared" si="10"/>
        <v>140</v>
      </c>
      <c r="J97" s="10">
        <f t="shared" si="10"/>
        <v>350</v>
      </c>
      <c r="K97" s="10">
        <f t="shared" si="10"/>
        <v>450</v>
      </c>
      <c r="L97" s="10">
        <f t="shared" si="11"/>
        <v>450</v>
      </c>
      <c r="M97" s="10">
        <f t="shared" si="11"/>
        <v>150</v>
      </c>
      <c r="N97" s="10">
        <f t="shared" si="7"/>
        <v>400</v>
      </c>
      <c r="O97" s="10">
        <f t="shared" si="12"/>
        <v>400</v>
      </c>
      <c r="P97" s="10">
        <f t="shared" si="13"/>
        <v>400</v>
      </c>
    </row>
    <row r="98" spans="1:16" ht="20.100000000000001" customHeight="1" x14ac:dyDescent="0.25">
      <c r="A98"/>
      <c r="D98" s="10" t="s">
        <v>382</v>
      </c>
      <c r="E98" s="10" t="s">
        <v>426</v>
      </c>
      <c r="F98" s="10" t="str">
        <f>F31</f>
        <v>Spring</v>
      </c>
      <c r="G98" s="10">
        <f>G27</f>
        <v>105</v>
      </c>
      <c r="H98" s="10">
        <f t="shared" si="10"/>
        <v>700</v>
      </c>
      <c r="I98" s="10">
        <f t="shared" si="10"/>
        <v>85</v>
      </c>
      <c r="J98" s="10">
        <f t="shared" si="10"/>
        <v>300</v>
      </c>
      <c r="K98" s="10">
        <f t="shared" si="10"/>
        <v>490</v>
      </c>
      <c r="L98" s="10">
        <f>K27</f>
        <v>490</v>
      </c>
      <c r="M98" s="10">
        <f>L27</f>
        <v>90</v>
      </c>
      <c r="N98" s="10">
        <f>M27</f>
        <v>480</v>
      </c>
      <c r="O98" s="10">
        <f>M27</f>
        <v>480</v>
      </c>
      <c r="P98" s="10">
        <f>M27</f>
        <v>480</v>
      </c>
    </row>
    <row r="99" spans="1:16" ht="20.100000000000001" customHeight="1" x14ac:dyDescent="0.25">
      <c r="A99"/>
      <c r="D99" s="10" t="s">
        <v>382</v>
      </c>
      <c r="E99" s="10" t="s">
        <v>426</v>
      </c>
      <c r="F99" s="10" t="s">
        <v>486</v>
      </c>
      <c r="G99" s="10">
        <f t="shared" ref="G99:K102" si="14">G28</f>
        <v>480</v>
      </c>
      <c r="H99" s="10">
        <f t="shared" si="14"/>
        <v>750</v>
      </c>
      <c r="I99" s="10">
        <f t="shared" si="14"/>
        <v>150</v>
      </c>
      <c r="J99" s="10">
        <f t="shared" si="14"/>
        <v>350</v>
      </c>
      <c r="K99" s="10">
        <f t="shared" si="14"/>
        <v>530</v>
      </c>
      <c r="L99" s="10">
        <f t="shared" ref="L99:M101" si="15">K28</f>
        <v>530</v>
      </c>
      <c r="M99" s="10">
        <f t="shared" si="15"/>
        <v>160</v>
      </c>
      <c r="N99" s="10">
        <f t="shared" si="7"/>
        <v>460</v>
      </c>
      <c r="O99" s="10">
        <f t="shared" ref="O99:O101" si="16">M28</f>
        <v>460</v>
      </c>
      <c r="P99" s="10">
        <f t="shared" ref="P99:P101" si="17">M28</f>
        <v>460</v>
      </c>
    </row>
    <row r="100" spans="1:16" ht="20.100000000000001" customHeight="1" x14ac:dyDescent="0.25">
      <c r="A100"/>
      <c r="D100" s="10" t="s">
        <v>382</v>
      </c>
      <c r="E100" s="10" t="s">
        <v>426</v>
      </c>
      <c r="F100" s="10" t="s">
        <v>487</v>
      </c>
      <c r="G100" s="10">
        <f t="shared" si="14"/>
        <v>250</v>
      </c>
      <c r="H100" s="10">
        <f t="shared" si="14"/>
        <v>725</v>
      </c>
      <c r="I100" s="10">
        <f t="shared" si="14"/>
        <v>200</v>
      </c>
      <c r="J100" s="10">
        <f t="shared" si="14"/>
        <v>360</v>
      </c>
      <c r="K100" s="10">
        <f t="shared" si="14"/>
        <v>500</v>
      </c>
      <c r="L100" s="10">
        <f t="shared" si="15"/>
        <v>500</v>
      </c>
      <c r="M100" s="10">
        <f t="shared" si="15"/>
        <v>215</v>
      </c>
      <c r="N100" s="10">
        <f t="shared" si="7"/>
        <v>490</v>
      </c>
      <c r="O100" s="10">
        <f t="shared" si="16"/>
        <v>490</v>
      </c>
      <c r="P100" s="10">
        <f t="shared" si="17"/>
        <v>490</v>
      </c>
    </row>
    <row r="101" spans="1:16" ht="20.100000000000001" customHeight="1" x14ac:dyDescent="0.25">
      <c r="A101"/>
      <c r="D101" s="10" t="s">
        <v>382</v>
      </c>
      <c r="E101" s="10" t="s">
        <v>426</v>
      </c>
      <c r="F101" s="10" t="s">
        <v>488</v>
      </c>
      <c r="G101" s="10">
        <f t="shared" si="14"/>
        <v>260</v>
      </c>
      <c r="H101" s="10">
        <f t="shared" si="14"/>
        <v>700</v>
      </c>
      <c r="I101" s="10">
        <f t="shared" si="14"/>
        <v>210</v>
      </c>
      <c r="J101" s="10">
        <f t="shared" si="14"/>
        <v>380</v>
      </c>
      <c r="K101" s="10">
        <f t="shared" si="14"/>
        <v>460</v>
      </c>
      <c r="L101" s="10">
        <f t="shared" si="15"/>
        <v>460</v>
      </c>
      <c r="M101" s="10">
        <f t="shared" si="15"/>
        <v>230</v>
      </c>
      <c r="N101" s="10">
        <f t="shared" si="7"/>
        <v>470</v>
      </c>
      <c r="O101" s="10">
        <f t="shared" si="16"/>
        <v>470</v>
      </c>
      <c r="P101" s="10">
        <f t="shared" si="17"/>
        <v>470</v>
      </c>
    </row>
    <row r="102" spans="1:16" ht="20.100000000000001" customHeight="1" x14ac:dyDescent="0.25">
      <c r="A102"/>
      <c r="D102" s="10" t="s">
        <v>335</v>
      </c>
      <c r="E102" s="10" t="s">
        <v>426</v>
      </c>
      <c r="F102" s="10" t="str">
        <f>F35</f>
        <v>Spring</v>
      </c>
      <c r="G102" s="10">
        <f>G31</f>
        <v>250</v>
      </c>
      <c r="H102" s="10">
        <f t="shared" si="14"/>
        <v>820</v>
      </c>
      <c r="I102" s="10">
        <f t="shared" si="14"/>
        <v>240</v>
      </c>
      <c r="J102" s="10">
        <f t="shared" si="14"/>
        <v>410</v>
      </c>
      <c r="K102" s="10">
        <f>K31</f>
        <v>560</v>
      </c>
      <c r="L102" s="10">
        <f>K31</f>
        <v>560</v>
      </c>
      <c r="M102" s="10">
        <f>L31</f>
        <v>240</v>
      </c>
      <c r="N102" s="10">
        <f>M31</f>
        <v>510</v>
      </c>
      <c r="O102" s="10">
        <f>M31</f>
        <v>510</v>
      </c>
      <c r="P102" s="10">
        <f>M31</f>
        <v>510</v>
      </c>
    </row>
    <row r="103" spans="1:16" ht="20.100000000000001" customHeight="1" x14ac:dyDescent="0.25">
      <c r="A103"/>
      <c r="D103" s="10" t="s">
        <v>335</v>
      </c>
      <c r="E103" s="10" t="s">
        <v>426</v>
      </c>
      <c r="F103" s="10" t="s">
        <v>486</v>
      </c>
      <c r="G103" s="10">
        <f t="shared" ref="G103:K105" si="18">G32</f>
        <v>280</v>
      </c>
      <c r="H103" s="10">
        <f t="shared" si="18"/>
        <v>850</v>
      </c>
      <c r="I103" s="10">
        <f t="shared" si="18"/>
        <v>260</v>
      </c>
      <c r="J103" s="10">
        <f t="shared" si="18"/>
        <v>440</v>
      </c>
      <c r="K103" s="10">
        <f t="shared" si="18"/>
        <v>550</v>
      </c>
      <c r="L103" s="10">
        <f t="shared" ref="L103:M105" si="19">K32</f>
        <v>550</v>
      </c>
      <c r="M103" s="10">
        <f t="shared" si="19"/>
        <v>270</v>
      </c>
      <c r="N103" s="10">
        <f t="shared" si="7"/>
        <v>520</v>
      </c>
      <c r="O103" s="10">
        <f t="shared" ref="O103:O105" si="20">M32</f>
        <v>520</v>
      </c>
      <c r="P103" s="10">
        <f t="shared" ref="P103:P105" si="21">M32</f>
        <v>520</v>
      </c>
    </row>
    <row r="104" spans="1:16" ht="20.100000000000001" customHeight="1" x14ac:dyDescent="0.25">
      <c r="A104"/>
      <c r="D104" s="10" t="s">
        <v>335</v>
      </c>
      <c r="E104" s="10" t="s">
        <v>426</v>
      </c>
      <c r="F104" s="10" t="s">
        <v>487</v>
      </c>
      <c r="G104" s="10">
        <f t="shared" si="18"/>
        <v>100</v>
      </c>
      <c r="H104" s="10">
        <f t="shared" si="18"/>
        <v>700</v>
      </c>
      <c r="I104" s="10">
        <f t="shared" si="18"/>
        <v>95</v>
      </c>
      <c r="J104" s="10">
        <f t="shared" si="18"/>
        <v>300</v>
      </c>
      <c r="K104" s="10">
        <f t="shared" si="18"/>
        <v>450</v>
      </c>
      <c r="L104" s="10">
        <f t="shared" si="19"/>
        <v>450</v>
      </c>
      <c r="M104" s="10">
        <f t="shared" si="19"/>
        <v>95</v>
      </c>
      <c r="N104" s="10">
        <f t="shared" si="7"/>
        <v>410</v>
      </c>
      <c r="O104" s="10">
        <f t="shared" si="20"/>
        <v>410</v>
      </c>
      <c r="P104" s="10">
        <f t="shared" si="21"/>
        <v>410</v>
      </c>
    </row>
    <row r="105" spans="1:16" ht="20.100000000000001" customHeight="1" x14ac:dyDescent="0.25">
      <c r="A105"/>
      <c r="D105" s="10" t="s">
        <v>335</v>
      </c>
      <c r="E105" s="10" t="s">
        <v>426</v>
      </c>
      <c r="F105" s="10" t="s">
        <v>488</v>
      </c>
      <c r="G105" s="10">
        <f t="shared" si="18"/>
        <v>150</v>
      </c>
      <c r="H105" s="10">
        <f t="shared" si="18"/>
        <v>720</v>
      </c>
      <c r="I105" s="10">
        <f t="shared" si="18"/>
        <v>140</v>
      </c>
      <c r="J105" s="10">
        <f t="shared" si="18"/>
        <v>320</v>
      </c>
      <c r="K105" s="10">
        <f t="shared" si="18"/>
        <v>470</v>
      </c>
      <c r="L105" s="10">
        <f t="shared" si="19"/>
        <v>470</v>
      </c>
      <c r="M105" s="10">
        <f t="shared" si="19"/>
        <v>140</v>
      </c>
      <c r="N105" s="10">
        <f t="shared" si="7"/>
        <v>440</v>
      </c>
      <c r="O105" s="10">
        <f t="shared" si="20"/>
        <v>440</v>
      </c>
      <c r="P105" s="10">
        <f t="shared" si="21"/>
        <v>440</v>
      </c>
    </row>
    <row r="106" spans="1:16" ht="20.100000000000001" customHeight="1" x14ac:dyDescent="0.25">
      <c r="A106"/>
      <c r="D106" s="10" t="s">
        <v>336</v>
      </c>
      <c r="E106" s="10" t="str">
        <f>E35</f>
        <v>South West</v>
      </c>
      <c r="F106" s="10" t="str">
        <f t="shared" ref="F106:K106" si="22">F35</f>
        <v>Spring</v>
      </c>
      <c r="G106" s="10">
        <f t="shared" si="22"/>
        <v>340</v>
      </c>
      <c r="H106" s="10">
        <f t="shared" si="22"/>
        <v>800</v>
      </c>
      <c r="I106" s="10">
        <f t="shared" si="22"/>
        <v>260</v>
      </c>
      <c r="J106" s="10">
        <f t="shared" si="22"/>
        <v>420</v>
      </c>
      <c r="K106" s="10">
        <f t="shared" si="22"/>
        <v>550</v>
      </c>
      <c r="L106" s="10">
        <f>K35</f>
        <v>550</v>
      </c>
      <c r="M106" s="10">
        <f>L35</f>
        <v>300</v>
      </c>
      <c r="N106" s="10">
        <f>M35</f>
        <v>480</v>
      </c>
      <c r="O106" s="10">
        <f>M35</f>
        <v>480</v>
      </c>
      <c r="P106" s="10">
        <f>M35</f>
        <v>480</v>
      </c>
    </row>
    <row r="107" spans="1:16" ht="20.100000000000001" customHeight="1" x14ac:dyDescent="0.25">
      <c r="A107"/>
      <c r="D107" s="10" t="s">
        <v>336</v>
      </c>
      <c r="E107" s="10" t="str">
        <f t="shared" ref="E107:K117" si="23">E36</f>
        <v>South West</v>
      </c>
      <c r="F107" s="10" t="str">
        <f t="shared" si="23"/>
        <v>Summer</v>
      </c>
      <c r="G107" s="10">
        <f t="shared" si="23"/>
        <v>380</v>
      </c>
      <c r="H107" s="10">
        <f t="shared" si="23"/>
        <v>780</v>
      </c>
      <c r="I107" s="10">
        <f t="shared" si="23"/>
        <v>300</v>
      </c>
      <c r="J107" s="10">
        <f t="shared" si="23"/>
        <v>450</v>
      </c>
      <c r="K107" s="10">
        <f t="shared" si="23"/>
        <v>530</v>
      </c>
      <c r="L107" s="10">
        <f t="shared" ref="L107:N117" si="24">K36</f>
        <v>530</v>
      </c>
      <c r="M107" s="10">
        <f t="shared" si="24"/>
        <v>340</v>
      </c>
      <c r="N107" s="10">
        <f t="shared" si="24"/>
        <v>470</v>
      </c>
      <c r="O107" s="10">
        <f t="shared" ref="O107:O117" si="25">M36</f>
        <v>470</v>
      </c>
      <c r="P107" s="10">
        <f t="shared" ref="P107:P117" si="26">M36</f>
        <v>470</v>
      </c>
    </row>
    <row r="108" spans="1:16" ht="20.100000000000001" customHeight="1" x14ac:dyDescent="0.25">
      <c r="A108"/>
      <c r="D108" s="10" t="s">
        <v>336</v>
      </c>
      <c r="E108" s="10" t="str">
        <f t="shared" si="23"/>
        <v>South West</v>
      </c>
      <c r="F108" s="10" t="str">
        <f t="shared" si="23"/>
        <v>Autumn</v>
      </c>
      <c r="G108" s="10">
        <f t="shared" si="23"/>
        <v>100</v>
      </c>
      <c r="H108" s="10">
        <f t="shared" si="23"/>
        <v>680</v>
      </c>
      <c r="I108" s="10">
        <f t="shared" si="23"/>
        <v>80</v>
      </c>
      <c r="J108" s="10">
        <f t="shared" si="23"/>
        <v>320</v>
      </c>
      <c r="K108" s="10">
        <f t="shared" si="23"/>
        <v>480</v>
      </c>
      <c r="L108" s="10">
        <f t="shared" si="24"/>
        <v>480</v>
      </c>
      <c r="M108" s="10">
        <f t="shared" si="24"/>
        <v>100</v>
      </c>
      <c r="N108" s="10">
        <f t="shared" si="24"/>
        <v>340</v>
      </c>
      <c r="O108" s="10">
        <f t="shared" si="25"/>
        <v>340</v>
      </c>
      <c r="P108" s="10">
        <f t="shared" si="26"/>
        <v>340</v>
      </c>
    </row>
    <row r="109" spans="1:16" ht="20.100000000000001" customHeight="1" x14ac:dyDescent="0.25">
      <c r="A109"/>
      <c r="D109" s="10" t="s">
        <v>336</v>
      </c>
      <c r="E109" s="10" t="str">
        <f t="shared" si="23"/>
        <v>South West</v>
      </c>
      <c r="F109" s="10" t="str">
        <f t="shared" si="23"/>
        <v>Winter</v>
      </c>
      <c r="G109" s="10">
        <f t="shared" si="23"/>
        <v>190</v>
      </c>
      <c r="H109" s="10">
        <f t="shared" si="23"/>
        <v>700</v>
      </c>
      <c r="I109" s="10">
        <f t="shared" si="23"/>
        <v>150</v>
      </c>
      <c r="J109" s="10">
        <f t="shared" si="23"/>
        <v>330</v>
      </c>
      <c r="K109" s="10">
        <f t="shared" si="23"/>
        <v>490</v>
      </c>
      <c r="L109" s="10">
        <f t="shared" si="24"/>
        <v>490</v>
      </c>
      <c r="M109" s="10">
        <f t="shared" si="24"/>
        <v>170</v>
      </c>
      <c r="N109" s="10">
        <f t="shared" si="24"/>
        <v>360</v>
      </c>
      <c r="O109" s="10">
        <f t="shared" si="25"/>
        <v>360</v>
      </c>
      <c r="P109" s="10">
        <f t="shared" si="26"/>
        <v>360</v>
      </c>
    </row>
    <row r="110" spans="1:16" ht="20.100000000000001" customHeight="1" x14ac:dyDescent="0.25">
      <c r="A110"/>
      <c r="D110" s="10" t="s">
        <v>336</v>
      </c>
      <c r="E110" s="10" t="str">
        <f t="shared" si="23"/>
        <v>Pilbara</v>
      </c>
      <c r="F110" s="10" t="str">
        <f t="shared" si="23"/>
        <v>Spring</v>
      </c>
      <c r="G110" s="10">
        <f t="shared" si="23"/>
        <v>80</v>
      </c>
      <c r="H110" s="10">
        <f t="shared" si="23"/>
        <v>450</v>
      </c>
      <c r="I110" s="10">
        <f t="shared" si="23"/>
        <v>70</v>
      </c>
      <c r="J110" s="10">
        <f t="shared" si="23"/>
        <v>260</v>
      </c>
      <c r="K110" s="10">
        <f t="shared" si="23"/>
        <v>340</v>
      </c>
      <c r="L110" s="10">
        <f t="shared" si="24"/>
        <v>340</v>
      </c>
      <c r="M110" s="10">
        <f t="shared" si="24"/>
        <v>80</v>
      </c>
      <c r="N110" s="10">
        <f t="shared" si="24"/>
        <v>370</v>
      </c>
      <c r="O110" s="10">
        <f t="shared" si="25"/>
        <v>370</v>
      </c>
      <c r="P110" s="10">
        <f t="shared" si="26"/>
        <v>370</v>
      </c>
    </row>
    <row r="111" spans="1:16" ht="20.100000000000001" customHeight="1" x14ac:dyDescent="0.25">
      <c r="A111"/>
      <c r="D111" s="10" t="s">
        <v>336</v>
      </c>
      <c r="E111" s="10" t="str">
        <f t="shared" si="23"/>
        <v>Pilbara</v>
      </c>
      <c r="F111" s="10" t="str">
        <f t="shared" si="23"/>
        <v>Summer</v>
      </c>
      <c r="G111" s="10">
        <f t="shared" si="23"/>
        <v>150</v>
      </c>
      <c r="H111" s="10">
        <f t="shared" si="23"/>
        <v>500</v>
      </c>
      <c r="I111" s="10">
        <f t="shared" si="23"/>
        <v>140</v>
      </c>
      <c r="J111" s="10">
        <f t="shared" si="23"/>
        <v>310</v>
      </c>
      <c r="K111" s="10">
        <f t="shared" si="23"/>
        <v>360</v>
      </c>
      <c r="L111" s="10">
        <f t="shared" si="24"/>
        <v>360</v>
      </c>
      <c r="M111" s="10">
        <f t="shared" si="24"/>
        <v>150</v>
      </c>
      <c r="N111" s="10">
        <f t="shared" si="24"/>
        <v>400</v>
      </c>
      <c r="O111" s="10">
        <f t="shared" si="25"/>
        <v>400</v>
      </c>
      <c r="P111" s="10">
        <f t="shared" si="26"/>
        <v>400</v>
      </c>
    </row>
    <row r="112" spans="1:16" ht="20.100000000000001" customHeight="1" x14ac:dyDescent="0.25">
      <c r="A112"/>
      <c r="D112" s="10" t="s">
        <v>336</v>
      </c>
      <c r="E112" s="10" t="str">
        <f t="shared" si="23"/>
        <v>Pilbara</v>
      </c>
      <c r="F112" s="10" t="str">
        <f t="shared" si="23"/>
        <v>Autumn</v>
      </c>
      <c r="G112" s="10">
        <f t="shared" si="23"/>
        <v>230</v>
      </c>
      <c r="H112" s="10">
        <f t="shared" si="23"/>
        <v>550</v>
      </c>
      <c r="I112" s="10">
        <f t="shared" si="23"/>
        <v>220</v>
      </c>
      <c r="J112" s="10">
        <f t="shared" si="23"/>
        <v>330</v>
      </c>
      <c r="K112" s="10">
        <f t="shared" si="23"/>
        <v>380</v>
      </c>
      <c r="L112" s="10">
        <f t="shared" si="24"/>
        <v>380</v>
      </c>
      <c r="M112" s="10">
        <f t="shared" si="24"/>
        <v>230</v>
      </c>
      <c r="N112" s="10">
        <f t="shared" si="24"/>
        <v>420</v>
      </c>
      <c r="O112" s="10">
        <f t="shared" si="25"/>
        <v>420</v>
      </c>
      <c r="P112" s="10">
        <f t="shared" si="26"/>
        <v>420</v>
      </c>
    </row>
    <row r="113" spans="1:22" ht="20.100000000000001" customHeight="1" x14ac:dyDescent="0.25">
      <c r="A113"/>
      <c r="D113" s="10" t="s">
        <v>336</v>
      </c>
      <c r="E113" s="10" t="str">
        <f t="shared" si="23"/>
        <v>Pilbara</v>
      </c>
      <c r="F113" s="10" t="str">
        <f t="shared" si="23"/>
        <v>Winter</v>
      </c>
      <c r="G113" s="10">
        <f t="shared" si="23"/>
        <v>250</v>
      </c>
      <c r="H113" s="10">
        <f t="shared" si="23"/>
        <v>500</v>
      </c>
      <c r="I113" s="10">
        <f t="shared" si="23"/>
        <v>240</v>
      </c>
      <c r="J113" s="10">
        <f t="shared" si="23"/>
        <v>340</v>
      </c>
      <c r="K113" s="10">
        <f t="shared" si="23"/>
        <v>360</v>
      </c>
      <c r="L113" s="10">
        <f t="shared" si="24"/>
        <v>360</v>
      </c>
      <c r="M113" s="10">
        <f t="shared" si="24"/>
        <v>250</v>
      </c>
      <c r="N113" s="10">
        <f t="shared" si="24"/>
        <v>390</v>
      </c>
      <c r="O113" s="10">
        <f t="shared" si="25"/>
        <v>390</v>
      </c>
      <c r="P113" s="10">
        <f t="shared" si="26"/>
        <v>390</v>
      </c>
    </row>
    <row r="114" spans="1:22" ht="20.100000000000001" customHeight="1" x14ac:dyDescent="0.25">
      <c r="A114"/>
      <c r="D114" s="10" t="s">
        <v>336</v>
      </c>
      <c r="E114" s="10" t="str">
        <f t="shared" si="23"/>
        <v>Kimberley</v>
      </c>
      <c r="F114" s="10" t="str">
        <f t="shared" si="23"/>
        <v>Spring</v>
      </c>
      <c r="G114" s="10">
        <f t="shared" si="23"/>
        <v>220</v>
      </c>
      <c r="H114" s="10">
        <f t="shared" si="23"/>
        <v>500</v>
      </c>
      <c r="I114" s="10">
        <f t="shared" si="23"/>
        <v>180</v>
      </c>
      <c r="J114" s="10">
        <f t="shared" si="23"/>
        <v>300</v>
      </c>
      <c r="K114" s="10">
        <f t="shared" si="23"/>
        <v>320</v>
      </c>
      <c r="L114" s="10">
        <f t="shared" si="24"/>
        <v>320</v>
      </c>
      <c r="M114" s="10">
        <f t="shared" si="24"/>
        <v>210</v>
      </c>
      <c r="N114" s="10">
        <f t="shared" si="24"/>
        <v>340</v>
      </c>
      <c r="O114" s="10">
        <f t="shared" si="25"/>
        <v>340</v>
      </c>
      <c r="P114" s="10">
        <f t="shared" si="26"/>
        <v>340</v>
      </c>
    </row>
    <row r="115" spans="1:22" ht="20.100000000000001" customHeight="1" x14ac:dyDescent="0.25">
      <c r="A115"/>
      <c r="D115" s="10" t="s">
        <v>336</v>
      </c>
      <c r="E115" s="10" t="str">
        <f t="shared" si="23"/>
        <v>Kimberley</v>
      </c>
      <c r="F115" s="10" t="str">
        <f t="shared" si="23"/>
        <v>Summer</v>
      </c>
      <c r="G115" s="10">
        <f t="shared" si="23"/>
        <v>110</v>
      </c>
      <c r="H115" s="10">
        <f t="shared" si="23"/>
        <v>550</v>
      </c>
      <c r="I115" s="10">
        <f t="shared" si="23"/>
        <v>90</v>
      </c>
      <c r="J115" s="10">
        <f t="shared" si="23"/>
        <v>220</v>
      </c>
      <c r="K115" s="10">
        <f t="shared" si="23"/>
        <v>380</v>
      </c>
      <c r="L115" s="10">
        <f t="shared" si="24"/>
        <v>380</v>
      </c>
      <c r="M115" s="10">
        <f t="shared" si="24"/>
        <v>100</v>
      </c>
      <c r="N115" s="10">
        <f t="shared" si="24"/>
        <v>390</v>
      </c>
      <c r="O115" s="10">
        <f t="shared" si="25"/>
        <v>390</v>
      </c>
      <c r="P115" s="10">
        <f t="shared" si="26"/>
        <v>390</v>
      </c>
      <c r="V115" s="8"/>
    </row>
    <row r="116" spans="1:22" ht="20.100000000000001" customHeight="1" x14ac:dyDescent="0.25">
      <c r="A116"/>
      <c r="D116" s="10" t="s">
        <v>336</v>
      </c>
      <c r="E116" s="10" t="str">
        <f t="shared" si="23"/>
        <v>Kimberley</v>
      </c>
      <c r="F116" s="10" t="str">
        <f t="shared" si="23"/>
        <v>Autumn</v>
      </c>
      <c r="G116" s="10">
        <f t="shared" si="23"/>
        <v>170</v>
      </c>
      <c r="H116" s="10">
        <f t="shared" si="23"/>
        <v>600</v>
      </c>
      <c r="I116" s="10">
        <f t="shared" si="23"/>
        <v>140</v>
      </c>
      <c r="J116" s="10">
        <f t="shared" si="23"/>
        <v>270</v>
      </c>
      <c r="K116" s="10">
        <f t="shared" si="23"/>
        <v>390</v>
      </c>
      <c r="L116" s="10">
        <f t="shared" si="24"/>
        <v>390</v>
      </c>
      <c r="M116" s="10">
        <f t="shared" si="24"/>
        <v>160</v>
      </c>
      <c r="N116" s="10">
        <f t="shared" si="24"/>
        <v>430</v>
      </c>
      <c r="O116" s="10">
        <f t="shared" si="25"/>
        <v>430</v>
      </c>
      <c r="P116" s="10">
        <f t="shared" si="26"/>
        <v>430</v>
      </c>
      <c r="V116" s="8"/>
    </row>
    <row r="117" spans="1:22" ht="20.100000000000001" customHeight="1" x14ac:dyDescent="0.25">
      <c r="A117"/>
      <c r="D117" s="10" t="s">
        <v>336</v>
      </c>
      <c r="E117" s="10" t="str">
        <f t="shared" si="23"/>
        <v>Kimberley</v>
      </c>
      <c r="F117" s="10" t="str">
        <f t="shared" si="23"/>
        <v>Winter</v>
      </c>
      <c r="G117" s="10">
        <f t="shared" si="23"/>
        <v>200</v>
      </c>
      <c r="H117" s="10">
        <f t="shared" si="23"/>
        <v>550</v>
      </c>
      <c r="I117" s="10">
        <f t="shared" si="23"/>
        <v>150</v>
      </c>
      <c r="J117" s="10">
        <f t="shared" si="23"/>
        <v>280</v>
      </c>
      <c r="K117" s="10">
        <f t="shared" si="23"/>
        <v>350</v>
      </c>
      <c r="L117" s="10">
        <f t="shared" si="24"/>
        <v>350</v>
      </c>
      <c r="M117" s="10">
        <f t="shared" si="24"/>
        <v>190</v>
      </c>
      <c r="N117" s="10">
        <f t="shared" si="24"/>
        <v>400</v>
      </c>
      <c r="O117" s="10">
        <f t="shared" si="25"/>
        <v>400</v>
      </c>
      <c r="P117" s="10">
        <f t="shared" si="26"/>
        <v>400</v>
      </c>
      <c r="V117" s="8"/>
    </row>
    <row r="118" spans="1:22" ht="20.100000000000001" customHeight="1" x14ac:dyDescent="0.25">
      <c r="A118"/>
      <c r="D118" s="10" t="s">
        <v>427</v>
      </c>
      <c r="E118" s="10" t="str">
        <f>E54</f>
        <v>Alice Springs</v>
      </c>
      <c r="F118" s="10" t="str">
        <f t="shared" ref="F118:P118" si="27">F54</f>
        <v>Spring</v>
      </c>
      <c r="G118" s="10">
        <f t="shared" si="27"/>
        <v>220</v>
      </c>
      <c r="H118" s="10">
        <f t="shared" si="27"/>
        <v>706</v>
      </c>
      <c r="I118" s="10">
        <f t="shared" si="27"/>
        <v>208</v>
      </c>
      <c r="J118" s="10">
        <f t="shared" si="27"/>
        <v>323</v>
      </c>
      <c r="K118" s="10">
        <f t="shared" si="27"/>
        <v>415</v>
      </c>
      <c r="L118" s="10">
        <f t="shared" si="27"/>
        <v>467</v>
      </c>
      <c r="M118" s="10">
        <f t="shared" si="27"/>
        <v>223</v>
      </c>
      <c r="N118" s="10">
        <f t="shared" si="27"/>
        <v>371</v>
      </c>
      <c r="O118" s="10">
        <f t="shared" si="27"/>
        <v>493</v>
      </c>
      <c r="P118" s="10">
        <f t="shared" si="27"/>
        <v>585</v>
      </c>
    </row>
    <row r="119" spans="1:22" ht="20.100000000000001" customHeight="1" x14ac:dyDescent="0.25">
      <c r="A119"/>
      <c r="D119" s="10" t="s">
        <v>427</v>
      </c>
      <c r="E119" s="10" t="str">
        <f t="shared" ref="E119:P134" si="28">E55</f>
        <v>Alice Springs</v>
      </c>
      <c r="F119" s="10" t="str">
        <f t="shared" si="28"/>
        <v>Summer</v>
      </c>
      <c r="G119" s="10">
        <f t="shared" si="28"/>
        <v>110</v>
      </c>
      <c r="H119" s="10">
        <f t="shared" si="28"/>
        <v>703</v>
      </c>
      <c r="I119" s="10">
        <f t="shared" si="28"/>
        <v>112</v>
      </c>
      <c r="J119" s="10">
        <f t="shared" si="28"/>
        <v>256</v>
      </c>
      <c r="K119" s="10">
        <f t="shared" si="28"/>
        <v>368</v>
      </c>
      <c r="L119" s="10">
        <f t="shared" si="28"/>
        <v>465</v>
      </c>
      <c r="M119" s="10">
        <f t="shared" si="28"/>
        <v>108</v>
      </c>
      <c r="N119" s="10">
        <f t="shared" si="28"/>
        <v>280</v>
      </c>
      <c r="O119" s="10">
        <f t="shared" si="28"/>
        <v>421</v>
      </c>
      <c r="P119" s="10">
        <f t="shared" si="28"/>
        <v>543</v>
      </c>
    </row>
    <row r="120" spans="1:22" ht="20.100000000000001" customHeight="1" x14ac:dyDescent="0.25">
      <c r="A120"/>
      <c r="D120" s="10" t="s">
        <v>427</v>
      </c>
      <c r="E120" s="10" t="str">
        <f t="shared" si="28"/>
        <v>Alice Springs</v>
      </c>
      <c r="F120" s="10" t="str">
        <f t="shared" si="28"/>
        <v>Autumn</v>
      </c>
      <c r="G120" s="10">
        <f t="shared" si="28"/>
        <v>170</v>
      </c>
      <c r="H120" s="10">
        <f t="shared" si="28"/>
        <v>721</v>
      </c>
      <c r="I120" s="10">
        <f t="shared" si="28"/>
        <v>169</v>
      </c>
      <c r="J120" s="10">
        <f t="shared" si="28"/>
        <v>306</v>
      </c>
      <c r="K120" s="10">
        <f t="shared" si="28"/>
        <v>392</v>
      </c>
      <c r="L120" s="10">
        <f t="shared" si="28"/>
        <v>464</v>
      </c>
      <c r="M120" s="10">
        <f t="shared" si="28"/>
        <v>176</v>
      </c>
      <c r="N120" s="10">
        <f t="shared" si="28"/>
        <v>339</v>
      </c>
      <c r="O120" s="10">
        <f t="shared" si="28"/>
        <v>470</v>
      </c>
      <c r="P120" s="10">
        <f t="shared" si="28"/>
        <v>580</v>
      </c>
    </row>
    <row r="121" spans="1:22" ht="20.100000000000001" customHeight="1" x14ac:dyDescent="0.25">
      <c r="A121"/>
      <c r="D121" s="10" t="s">
        <v>427</v>
      </c>
      <c r="E121" s="10" t="str">
        <f t="shared" si="28"/>
        <v>Alice Springs</v>
      </c>
      <c r="F121" s="10" t="str">
        <f t="shared" si="28"/>
        <v>Winter</v>
      </c>
      <c r="G121" s="10">
        <f t="shared" si="28"/>
        <v>200</v>
      </c>
      <c r="H121" s="10">
        <f t="shared" si="28"/>
        <v>727</v>
      </c>
      <c r="I121" s="10">
        <f t="shared" si="28"/>
        <v>211</v>
      </c>
      <c r="J121" s="10">
        <f t="shared" si="28"/>
        <v>338</v>
      </c>
      <c r="K121" s="10">
        <f t="shared" si="28"/>
        <v>432</v>
      </c>
      <c r="L121" s="10">
        <f t="shared" si="28"/>
        <v>492</v>
      </c>
      <c r="M121" s="10">
        <f t="shared" si="28"/>
        <v>222</v>
      </c>
      <c r="N121" s="10">
        <f t="shared" si="28"/>
        <v>377</v>
      </c>
      <c r="O121" s="10">
        <f t="shared" si="28"/>
        <v>498</v>
      </c>
      <c r="P121" s="10">
        <f t="shared" si="28"/>
        <v>590</v>
      </c>
    </row>
    <row r="122" spans="1:22" ht="20.100000000000001" customHeight="1" x14ac:dyDescent="0.25">
      <c r="A122"/>
      <c r="D122" s="10" t="s">
        <v>427</v>
      </c>
      <c r="E122" s="10" t="str">
        <f t="shared" si="28"/>
        <v>Barkly</v>
      </c>
      <c r="F122" s="10" t="str">
        <f t="shared" si="28"/>
        <v>Spring</v>
      </c>
      <c r="G122" s="10">
        <f t="shared" si="28"/>
        <v>220</v>
      </c>
      <c r="H122" s="10">
        <f t="shared" si="28"/>
        <v>620</v>
      </c>
      <c r="I122" s="10">
        <f t="shared" si="28"/>
        <v>227</v>
      </c>
      <c r="J122" s="10">
        <f t="shared" si="28"/>
        <v>319</v>
      </c>
      <c r="K122" s="10">
        <f t="shared" si="28"/>
        <v>398</v>
      </c>
      <c r="L122" s="10">
        <f t="shared" si="28"/>
        <v>452</v>
      </c>
      <c r="M122" s="10">
        <f t="shared" si="28"/>
        <v>216</v>
      </c>
      <c r="N122" s="10">
        <f t="shared" si="28"/>
        <v>334</v>
      </c>
      <c r="O122" s="10" t="str">
        <f t="shared" si="28"/>
        <v>NO</v>
      </c>
      <c r="P122" s="10" t="str">
        <f t="shared" si="28"/>
        <v>NO</v>
      </c>
    </row>
    <row r="123" spans="1:22" ht="20.100000000000001" customHeight="1" x14ac:dyDescent="0.25">
      <c r="A123"/>
      <c r="D123" s="10" t="s">
        <v>427</v>
      </c>
      <c r="E123" s="10" t="str">
        <f t="shared" si="28"/>
        <v>Barkly</v>
      </c>
      <c r="F123" s="10" t="str">
        <f t="shared" si="28"/>
        <v>Summer</v>
      </c>
      <c r="G123" s="10">
        <f t="shared" si="28"/>
        <v>110</v>
      </c>
      <c r="H123" s="10">
        <f t="shared" si="28"/>
        <v>650</v>
      </c>
      <c r="I123" s="10">
        <f t="shared" si="28"/>
        <v>108</v>
      </c>
      <c r="J123" s="10">
        <f t="shared" si="28"/>
        <v>262</v>
      </c>
      <c r="K123" s="10">
        <f t="shared" si="28"/>
        <v>346</v>
      </c>
      <c r="L123" s="10">
        <f t="shared" si="28"/>
        <v>430</v>
      </c>
      <c r="M123" s="10">
        <f t="shared" si="28"/>
        <v>111</v>
      </c>
      <c r="N123" s="10">
        <f t="shared" si="28"/>
        <v>236</v>
      </c>
      <c r="O123" s="10" t="str">
        <f t="shared" si="28"/>
        <v>NO</v>
      </c>
      <c r="P123" s="10" t="str">
        <f t="shared" si="28"/>
        <v>NO</v>
      </c>
    </row>
    <row r="124" spans="1:22" ht="20.100000000000001" customHeight="1" x14ac:dyDescent="0.25">
      <c r="A124"/>
      <c r="D124" s="10" t="s">
        <v>427</v>
      </c>
      <c r="E124" s="10" t="str">
        <f t="shared" si="28"/>
        <v>Barkly</v>
      </c>
      <c r="F124" s="10" t="str">
        <f t="shared" si="28"/>
        <v>Autumn</v>
      </c>
      <c r="G124" s="10">
        <f t="shared" si="28"/>
        <v>170</v>
      </c>
      <c r="H124" s="10">
        <f t="shared" si="28"/>
        <v>670</v>
      </c>
      <c r="I124" s="10">
        <f t="shared" si="28"/>
        <v>170</v>
      </c>
      <c r="J124" s="10">
        <f t="shared" si="28"/>
        <v>266</v>
      </c>
      <c r="K124" s="10">
        <f t="shared" si="28"/>
        <v>363</v>
      </c>
      <c r="L124" s="10">
        <f t="shared" si="28"/>
        <v>444</v>
      </c>
      <c r="M124" s="10">
        <f t="shared" si="28"/>
        <v>169</v>
      </c>
      <c r="N124" s="10">
        <f t="shared" si="28"/>
        <v>282</v>
      </c>
      <c r="O124" s="10" t="str">
        <f t="shared" si="28"/>
        <v>NO</v>
      </c>
      <c r="P124" s="10" t="str">
        <f t="shared" si="28"/>
        <v>NO</v>
      </c>
    </row>
    <row r="125" spans="1:22" ht="20.100000000000001" customHeight="1" x14ac:dyDescent="0.25">
      <c r="A125"/>
      <c r="D125" s="10" t="s">
        <v>427</v>
      </c>
      <c r="E125" s="10" t="str">
        <f t="shared" si="28"/>
        <v>Barkly</v>
      </c>
      <c r="F125" s="10" t="str">
        <f t="shared" si="28"/>
        <v>Winter</v>
      </c>
      <c r="G125" s="10">
        <f t="shared" si="28"/>
        <v>200</v>
      </c>
      <c r="H125" s="10">
        <f t="shared" si="28"/>
        <v>660</v>
      </c>
      <c r="I125" s="10">
        <f t="shared" si="28"/>
        <v>225</v>
      </c>
      <c r="J125" s="10">
        <f t="shared" si="28"/>
        <v>307</v>
      </c>
      <c r="K125" s="10">
        <f t="shared" si="28"/>
        <v>398</v>
      </c>
      <c r="L125" s="10">
        <f t="shared" si="28"/>
        <v>452</v>
      </c>
      <c r="M125" s="10">
        <f t="shared" si="28"/>
        <v>214</v>
      </c>
      <c r="N125" s="10">
        <f t="shared" si="28"/>
        <v>326</v>
      </c>
      <c r="O125" s="10" t="str">
        <f t="shared" si="28"/>
        <v>NO</v>
      </c>
      <c r="P125" s="10" t="str">
        <f t="shared" si="28"/>
        <v>NO</v>
      </c>
      <c r="V125" s="8"/>
    </row>
    <row r="126" spans="1:22" ht="20.100000000000001" customHeight="1" x14ac:dyDescent="0.25">
      <c r="A126"/>
      <c r="D126" s="10" t="s">
        <v>427</v>
      </c>
      <c r="E126" s="10" t="str">
        <f t="shared" si="28"/>
        <v>Northern</v>
      </c>
      <c r="F126" s="10" t="str">
        <f t="shared" si="28"/>
        <v>Spring</v>
      </c>
      <c r="G126" s="10">
        <f t="shared" si="28"/>
        <v>220</v>
      </c>
      <c r="H126" s="10">
        <f t="shared" si="28"/>
        <v>620</v>
      </c>
      <c r="I126" s="10">
        <f t="shared" si="28"/>
        <v>177</v>
      </c>
      <c r="J126" s="10">
        <f t="shared" si="28"/>
        <v>267</v>
      </c>
      <c r="K126" s="10">
        <f t="shared" si="28"/>
        <v>365</v>
      </c>
      <c r="L126" s="10">
        <f t="shared" si="28"/>
        <v>406</v>
      </c>
      <c r="M126" s="10">
        <f t="shared" si="28"/>
        <v>231</v>
      </c>
      <c r="N126" s="10">
        <f t="shared" si="28"/>
        <v>249</v>
      </c>
      <c r="O126" s="10">
        <f t="shared" si="28"/>
        <v>324</v>
      </c>
      <c r="P126" s="10" t="str">
        <f t="shared" si="28"/>
        <v>NO</v>
      </c>
      <c r="V126" s="8"/>
    </row>
    <row r="127" spans="1:22" ht="20.100000000000001" customHeight="1" x14ac:dyDescent="0.25">
      <c r="A127"/>
      <c r="D127" s="10" t="s">
        <v>427</v>
      </c>
      <c r="E127" s="10" t="str">
        <f t="shared" si="28"/>
        <v>Northern</v>
      </c>
      <c r="F127" s="10" t="str">
        <f t="shared" si="28"/>
        <v>Summer</v>
      </c>
      <c r="G127" s="10">
        <f t="shared" si="28"/>
        <v>110</v>
      </c>
      <c r="H127" s="10">
        <f t="shared" si="28"/>
        <v>650</v>
      </c>
      <c r="I127" s="10">
        <f t="shared" si="28"/>
        <v>102</v>
      </c>
      <c r="J127" s="10">
        <f t="shared" si="28"/>
        <v>203</v>
      </c>
      <c r="K127" s="10">
        <f t="shared" si="28"/>
        <v>299</v>
      </c>
      <c r="L127" s="10">
        <f t="shared" si="28"/>
        <v>380</v>
      </c>
      <c r="M127" s="10">
        <f t="shared" si="28"/>
        <v>102</v>
      </c>
      <c r="N127" s="10">
        <f t="shared" si="28"/>
        <v>218</v>
      </c>
      <c r="O127" s="10">
        <f t="shared" si="28"/>
        <v>263</v>
      </c>
      <c r="P127" s="10" t="str">
        <f t="shared" si="28"/>
        <v>NO</v>
      </c>
      <c r="V127" s="8"/>
    </row>
    <row r="128" spans="1:22" ht="20.100000000000001" customHeight="1" x14ac:dyDescent="0.25">
      <c r="A128"/>
      <c r="D128" s="10" t="s">
        <v>427</v>
      </c>
      <c r="E128" s="10" t="str">
        <f t="shared" si="28"/>
        <v>Northern</v>
      </c>
      <c r="F128" s="10" t="str">
        <f t="shared" si="28"/>
        <v>Autumn</v>
      </c>
      <c r="G128" s="10">
        <f t="shared" si="28"/>
        <v>170</v>
      </c>
      <c r="H128" s="10">
        <f t="shared" si="28"/>
        <v>670</v>
      </c>
      <c r="I128" s="10">
        <f t="shared" si="28"/>
        <v>173</v>
      </c>
      <c r="J128" s="10">
        <f t="shared" si="28"/>
        <v>250</v>
      </c>
      <c r="K128" s="10">
        <f t="shared" si="28"/>
        <v>336</v>
      </c>
      <c r="L128" s="10">
        <f t="shared" si="28"/>
        <v>414</v>
      </c>
      <c r="M128" s="10">
        <f t="shared" si="28"/>
        <v>175</v>
      </c>
      <c r="N128" s="10">
        <f t="shared" si="28"/>
        <v>243</v>
      </c>
      <c r="O128" s="10">
        <f t="shared" si="28"/>
        <v>304</v>
      </c>
      <c r="P128" s="10" t="str">
        <f t="shared" si="28"/>
        <v>NO</v>
      </c>
      <c r="V128" s="8"/>
    </row>
    <row r="129" spans="1:22" ht="20.100000000000001" customHeight="1" x14ac:dyDescent="0.25">
      <c r="A129"/>
      <c r="D129" s="10" t="s">
        <v>427</v>
      </c>
      <c r="E129" s="10" t="str">
        <f t="shared" si="28"/>
        <v>Northern</v>
      </c>
      <c r="F129" s="10" t="str">
        <f t="shared" si="28"/>
        <v>Winter</v>
      </c>
      <c r="G129" s="10">
        <f t="shared" si="28"/>
        <v>200</v>
      </c>
      <c r="H129" s="10">
        <f t="shared" si="28"/>
        <v>660</v>
      </c>
      <c r="I129" s="10">
        <f t="shared" si="28"/>
        <v>202</v>
      </c>
      <c r="J129" s="10">
        <f t="shared" si="28"/>
        <v>272</v>
      </c>
      <c r="K129" s="10">
        <f t="shared" si="28"/>
        <v>365</v>
      </c>
      <c r="L129" s="10">
        <f t="shared" si="28"/>
        <v>390</v>
      </c>
      <c r="M129" s="10">
        <f t="shared" si="28"/>
        <v>208</v>
      </c>
      <c r="N129" s="10">
        <f t="shared" si="28"/>
        <v>260</v>
      </c>
      <c r="O129" s="10">
        <f t="shared" si="28"/>
        <v>337</v>
      </c>
      <c r="P129" s="10" t="str">
        <f t="shared" si="28"/>
        <v>NO</v>
      </c>
      <c r="V129" s="8"/>
    </row>
    <row r="130" spans="1:22" ht="20.100000000000001" customHeight="1" x14ac:dyDescent="0.25">
      <c r="A130"/>
      <c r="D130" s="10" t="s">
        <v>330</v>
      </c>
      <c r="E130" s="10" t="str">
        <f t="shared" si="28"/>
        <v>High</v>
      </c>
      <c r="F130" s="10" t="str">
        <f t="shared" si="28"/>
        <v>Spring</v>
      </c>
      <c r="G130" s="10">
        <f t="shared" si="28"/>
        <v>260</v>
      </c>
      <c r="H130" s="10">
        <f t="shared" si="28"/>
        <v>705</v>
      </c>
      <c r="I130" s="10">
        <f t="shared" si="28"/>
        <v>215</v>
      </c>
      <c r="J130" s="10">
        <f t="shared" si="28"/>
        <v>302</v>
      </c>
      <c r="K130" s="10">
        <f t="shared" si="28"/>
        <v>416</v>
      </c>
      <c r="L130" s="10">
        <f t="shared" si="28"/>
        <v>519</v>
      </c>
      <c r="M130" s="10">
        <f t="shared" si="28"/>
        <v>234</v>
      </c>
      <c r="N130" s="10">
        <f t="shared" si="28"/>
        <v>455</v>
      </c>
      <c r="O130" s="10">
        <f t="shared" si="28"/>
        <v>551</v>
      </c>
      <c r="P130" s="10">
        <f t="shared" si="28"/>
        <v>660</v>
      </c>
      <c r="V130" s="8"/>
    </row>
    <row r="131" spans="1:22" ht="20.100000000000001" customHeight="1" x14ac:dyDescent="0.25">
      <c r="A131"/>
      <c r="D131" s="10" t="s">
        <v>330</v>
      </c>
      <c r="E131" s="10" t="str">
        <f t="shared" si="28"/>
        <v>High</v>
      </c>
      <c r="F131" s="10" t="str">
        <f t="shared" si="28"/>
        <v>Summer</v>
      </c>
      <c r="G131" s="10">
        <f t="shared" si="28"/>
        <v>153</v>
      </c>
      <c r="H131" s="10">
        <f t="shared" si="28"/>
        <v>703</v>
      </c>
      <c r="I131" s="10">
        <f t="shared" si="28"/>
        <v>118</v>
      </c>
      <c r="J131" s="10">
        <f t="shared" si="28"/>
        <v>277</v>
      </c>
      <c r="K131" s="10">
        <f t="shared" si="28"/>
        <v>397</v>
      </c>
      <c r="L131" s="10">
        <f t="shared" si="28"/>
        <v>483</v>
      </c>
      <c r="M131" s="10">
        <f t="shared" si="28"/>
        <v>111</v>
      </c>
      <c r="N131" s="10">
        <f t="shared" si="28"/>
        <v>304</v>
      </c>
      <c r="O131" s="10">
        <f t="shared" si="28"/>
        <v>521</v>
      </c>
      <c r="P131" s="10">
        <f t="shared" si="28"/>
        <v>547</v>
      </c>
    </row>
    <row r="132" spans="1:22" ht="20.100000000000001" customHeight="1" x14ac:dyDescent="0.25">
      <c r="A132"/>
      <c r="D132" s="10" t="s">
        <v>330</v>
      </c>
      <c r="E132" s="10" t="str">
        <f t="shared" si="28"/>
        <v>High</v>
      </c>
      <c r="F132" s="10" t="str">
        <f t="shared" si="28"/>
        <v>Autumn</v>
      </c>
      <c r="G132" s="10">
        <f t="shared" si="28"/>
        <v>168</v>
      </c>
      <c r="H132" s="10">
        <f t="shared" si="28"/>
        <v>718</v>
      </c>
      <c r="I132" s="10">
        <f t="shared" si="28"/>
        <v>191</v>
      </c>
      <c r="J132" s="10">
        <f t="shared" si="28"/>
        <v>319</v>
      </c>
      <c r="K132" s="10">
        <f t="shared" si="28"/>
        <v>440</v>
      </c>
      <c r="L132" s="10">
        <f t="shared" si="28"/>
        <v>506</v>
      </c>
      <c r="M132" s="10">
        <f t="shared" si="28"/>
        <v>188</v>
      </c>
      <c r="N132" s="10">
        <f t="shared" si="28"/>
        <v>326</v>
      </c>
      <c r="O132" s="10">
        <f t="shared" si="28"/>
        <v>520</v>
      </c>
      <c r="P132" s="10">
        <f t="shared" si="28"/>
        <v>582</v>
      </c>
    </row>
    <row r="133" spans="1:22" ht="20.100000000000001" customHeight="1" x14ac:dyDescent="0.25">
      <c r="A133"/>
      <c r="D133" s="10" t="s">
        <v>330</v>
      </c>
      <c r="E133" s="10" t="str">
        <f t="shared" si="28"/>
        <v>High</v>
      </c>
      <c r="F133" s="10" t="str">
        <f t="shared" si="28"/>
        <v>Winter</v>
      </c>
      <c r="G133" s="10">
        <f t="shared" si="28"/>
        <v>235</v>
      </c>
      <c r="H133" s="10">
        <f t="shared" si="28"/>
        <v>722</v>
      </c>
      <c r="I133" s="10">
        <f t="shared" si="28"/>
        <v>207</v>
      </c>
      <c r="J133" s="10">
        <f t="shared" si="28"/>
        <v>352</v>
      </c>
      <c r="K133" s="10">
        <f t="shared" si="28"/>
        <v>470</v>
      </c>
      <c r="L133" s="10">
        <f t="shared" si="28"/>
        <v>514</v>
      </c>
      <c r="M133" s="10">
        <f t="shared" si="28"/>
        <v>209</v>
      </c>
      <c r="N133" s="10">
        <f t="shared" si="28"/>
        <v>421</v>
      </c>
      <c r="O133" s="10">
        <f t="shared" si="28"/>
        <v>512</v>
      </c>
      <c r="P133" s="10">
        <f t="shared" si="28"/>
        <v>605</v>
      </c>
    </row>
    <row r="134" spans="1:22" ht="20.100000000000001" customHeight="1" x14ac:dyDescent="0.25">
      <c r="A134"/>
      <c r="D134" s="10" t="s">
        <v>330</v>
      </c>
      <c r="E134" s="10" t="str">
        <f t="shared" si="28"/>
        <v>Moderate/High</v>
      </c>
      <c r="F134" s="10" t="str">
        <f t="shared" si="28"/>
        <v>Spring</v>
      </c>
      <c r="G134" s="10">
        <f t="shared" si="28"/>
        <v>230</v>
      </c>
      <c r="H134" s="10">
        <f t="shared" si="28"/>
        <v>674</v>
      </c>
      <c r="I134" s="10">
        <f t="shared" si="28"/>
        <v>217</v>
      </c>
      <c r="J134" s="10">
        <f t="shared" si="28"/>
        <v>344</v>
      </c>
      <c r="K134" s="10">
        <f t="shared" si="28"/>
        <v>357</v>
      </c>
      <c r="L134" s="10">
        <f t="shared" si="28"/>
        <v>467</v>
      </c>
      <c r="M134" s="10">
        <f t="shared" si="28"/>
        <v>242</v>
      </c>
      <c r="N134" s="10">
        <f t="shared" si="28"/>
        <v>370</v>
      </c>
      <c r="O134" s="10">
        <f t="shared" si="28"/>
        <v>550</v>
      </c>
      <c r="P134" s="10">
        <f t="shared" si="28"/>
        <v>620</v>
      </c>
    </row>
    <row r="135" spans="1:22" ht="20.100000000000001" customHeight="1" x14ac:dyDescent="0.25">
      <c r="A135"/>
      <c r="D135" s="10" t="s">
        <v>330</v>
      </c>
      <c r="E135" s="10" t="str">
        <f t="shared" ref="E135:P145" si="29">E71</f>
        <v>Moderate/High</v>
      </c>
      <c r="F135" s="10" t="str">
        <f t="shared" si="29"/>
        <v>Summer</v>
      </c>
      <c r="G135" s="10">
        <f t="shared" si="29"/>
        <v>113</v>
      </c>
      <c r="H135" s="10">
        <f t="shared" si="29"/>
        <v>669</v>
      </c>
      <c r="I135" s="10">
        <f t="shared" si="29"/>
        <v>113</v>
      </c>
      <c r="J135" s="10">
        <f t="shared" si="29"/>
        <v>283</v>
      </c>
      <c r="K135" s="10">
        <f t="shared" si="29"/>
        <v>361</v>
      </c>
      <c r="L135" s="10">
        <f t="shared" si="29"/>
        <v>477</v>
      </c>
      <c r="M135" s="10">
        <f t="shared" si="29"/>
        <v>120</v>
      </c>
      <c r="N135" s="10">
        <f t="shared" si="29"/>
        <v>273</v>
      </c>
      <c r="O135" s="10">
        <f t="shared" si="29"/>
        <v>545</v>
      </c>
      <c r="P135" s="10">
        <f t="shared" si="29"/>
        <v>553</v>
      </c>
    </row>
    <row r="136" spans="1:22" ht="20.100000000000001" customHeight="1" x14ac:dyDescent="0.25">
      <c r="A136"/>
      <c r="D136" s="10" t="s">
        <v>330</v>
      </c>
      <c r="E136" s="10" t="str">
        <f t="shared" si="29"/>
        <v>Moderate/High</v>
      </c>
      <c r="F136" s="10" t="str">
        <f t="shared" si="29"/>
        <v>Autumn</v>
      </c>
      <c r="G136" s="10">
        <f t="shared" si="29"/>
        <v>172</v>
      </c>
      <c r="H136" s="10">
        <f t="shared" si="29"/>
        <v>685</v>
      </c>
      <c r="I136" s="10">
        <f t="shared" si="29"/>
        <v>172</v>
      </c>
      <c r="J136" s="10">
        <f t="shared" si="29"/>
        <v>309</v>
      </c>
      <c r="K136" s="10">
        <f t="shared" si="29"/>
        <v>376</v>
      </c>
      <c r="L136" s="10">
        <f t="shared" si="29"/>
        <v>471</v>
      </c>
      <c r="M136" s="10">
        <f t="shared" si="29"/>
        <v>238</v>
      </c>
      <c r="N136" s="10">
        <f t="shared" si="29"/>
        <v>329</v>
      </c>
      <c r="O136" s="10">
        <f t="shared" si="29"/>
        <v>573</v>
      </c>
      <c r="P136" s="10">
        <f t="shared" si="29"/>
        <v>620</v>
      </c>
    </row>
    <row r="137" spans="1:22" ht="20.100000000000001" customHeight="1" x14ac:dyDescent="0.25">
      <c r="A137"/>
      <c r="D137" s="10" t="s">
        <v>330</v>
      </c>
      <c r="E137" s="10" t="str">
        <f t="shared" si="29"/>
        <v>Moderate/High</v>
      </c>
      <c r="F137" s="10" t="str">
        <f t="shared" si="29"/>
        <v>Winter</v>
      </c>
      <c r="G137" s="10">
        <f t="shared" si="29"/>
        <v>241</v>
      </c>
      <c r="H137" s="10">
        <f t="shared" si="29"/>
        <v>692</v>
      </c>
      <c r="I137" s="10">
        <f t="shared" si="29"/>
        <v>208</v>
      </c>
      <c r="J137" s="10">
        <f t="shared" si="29"/>
        <v>344</v>
      </c>
      <c r="K137" s="10">
        <f t="shared" si="29"/>
        <v>364</v>
      </c>
      <c r="L137" s="10">
        <f t="shared" si="29"/>
        <v>484</v>
      </c>
      <c r="M137" s="10">
        <f t="shared" si="29"/>
        <v>260</v>
      </c>
      <c r="N137" s="10">
        <f t="shared" si="29"/>
        <v>350</v>
      </c>
      <c r="O137" s="10">
        <f t="shared" si="29"/>
        <v>567</v>
      </c>
      <c r="P137" s="10">
        <f t="shared" si="29"/>
        <v>620</v>
      </c>
    </row>
    <row r="138" spans="1:22" ht="20.100000000000001" customHeight="1" x14ac:dyDescent="0.25">
      <c r="A138"/>
      <c r="D138" s="10" t="s">
        <v>330</v>
      </c>
      <c r="E138" s="10" t="str">
        <f t="shared" si="29"/>
        <v>Moderate/Low</v>
      </c>
      <c r="F138" s="10" t="str">
        <f t="shared" si="29"/>
        <v>Spring</v>
      </c>
      <c r="G138" s="10">
        <f t="shared" si="29"/>
        <v>236</v>
      </c>
      <c r="H138" s="10">
        <f t="shared" si="29"/>
        <v>674</v>
      </c>
      <c r="I138" s="10">
        <f t="shared" si="29"/>
        <v>178</v>
      </c>
      <c r="J138" s="10">
        <f t="shared" si="29"/>
        <v>310</v>
      </c>
      <c r="K138" s="10">
        <f t="shared" si="29"/>
        <v>428</v>
      </c>
      <c r="L138" s="10">
        <f t="shared" si="29"/>
        <v>466</v>
      </c>
      <c r="M138" s="10">
        <f t="shared" si="29"/>
        <v>193</v>
      </c>
      <c r="N138" s="10">
        <f t="shared" si="29"/>
        <v>370</v>
      </c>
      <c r="O138" s="10">
        <f t="shared" si="29"/>
        <v>519</v>
      </c>
      <c r="P138" s="10">
        <f t="shared" si="29"/>
        <v>565</v>
      </c>
    </row>
    <row r="139" spans="1:22" ht="20.100000000000001" customHeight="1" x14ac:dyDescent="0.25">
      <c r="A139"/>
      <c r="D139" s="10" t="s">
        <v>330</v>
      </c>
      <c r="E139" s="10" t="str">
        <f t="shared" si="29"/>
        <v>Moderate/Low</v>
      </c>
      <c r="F139" s="10" t="str">
        <f t="shared" si="29"/>
        <v>Summer</v>
      </c>
      <c r="G139" s="10">
        <f t="shared" si="29"/>
        <v>120</v>
      </c>
      <c r="H139" s="10">
        <f t="shared" si="29"/>
        <v>669</v>
      </c>
      <c r="I139" s="10">
        <f t="shared" si="29"/>
        <v>112</v>
      </c>
      <c r="J139" s="10">
        <f t="shared" si="29"/>
        <v>250</v>
      </c>
      <c r="K139" s="10">
        <f t="shared" si="29"/>
        <v>390</v>
      </c>
      <c r="L139" s="10">
        <f t="shared" si="29"/>
        <v>448</v>
      </c>
      <c r="M139" s="10">
        <f t="shared" si="29"/>
        <v>115</v>
      </c>
      <c r="N139" s="10">
        <f t="shared" si="29"/>
        <v>273</v>
      </c>
      <c r="O139" s="10">
        <f t="shared" si="29"/>
        <v>433</v>
      </c>
      <c r="P139" s="10">
        <f t="shared" si="29"/>
        <v>556</v>
      </c>
    </row>
    <row r="140" spans="1:22" ht="20.100000000000001" customHeight="1" x14ac:dyDescent="0.25">
      <c r="A140"/>
      <c r="D140" s="10" t="s">
        <v>330</v>
      </c>
      <c r="E140" s="10" t="str">
        <f t="shared" si="29"/>
        <v>Moderate/Low</v>
      </c>
      <c r="F140" s="10" t="str">
        <f t="shared" si="29"/>
        <v>Autumn</v>
      </c>
      <c r="G140" s="10">
        <f t="shared" si="29"/>
        <v>125</v>
      </c>
      <c r="H140" s="10">
        <f t="shared" si="29"/>
        <v>685</v>
      </c>
      <c r="I140" s="10">
        <f t="shared" si="29"/>
        <v>140</v>
      </c>
      <c r="J140" s="10">
        <f t="shared" si="29"/>
        <v>277</v>
      </c>
      <c r="K140" s="10">
        <f t="shared" si="29"/>
        <v>407</v>
      </c>
      <c r="L140" s="10">
        <f t="shared" si="29"/>
        <v>455</v>
      </c>
      <c r="M140" s="10">
        <f t="shared" si="29"/>
        <v>141</v>
      </c>
      <c r="N140" s="10">
        <f t="shared" si="29"/>
        <v>296</v>
      </c>
      <c r="O140" s="10">
        <f t="shared" si="29"/>
        <v>445</v>
      </c>
      <c r="P140" s="10">
        <f t="shared" si="29"/>
        <v>593</v>
      </c>
    </row>
    <row r="141" spans="1:22" ht="20.100000000000001" customHeight="1" x14ac:dyDescent="0.25">
      <c r="A141"/>
      <c r="D141" s="10" t="s">
        <v>330</v>
      </c>
      <c r="E141" s="10" t="str">
        <f t="shared" si="29"/>
        <v>Moderate/Low</v>
      </c>
      <c r="F141" s="10" t="str">
        <f t="shared" si="29"/>
        <v>Winter</v>
      </c>
      <c r="G141" s="10">
        <f t="shared" si="29"/>
        <v>180</v>
      </c>
      <c r="H141" s="10">
        <f t="shared" si="29"/>
        <v>692</v>
      </c>
      <c r="I141" s="10">
        <f t="shared" si="29"/>
        <v>183</v>
      </c>
      <c r="J141" s="10">
        <f t="shared" si="29"/>
        <v>316</v>
      </c>
      <c r="K141" s="10">
        <f t="shared" si="29"/>
        <v>438</v>
      </c>
      <c r="L141" s="10">
        <f t="shared" si="29"/>
        <v>468</v>
      </c>
      <c r="M141" s="10">
        <f t="shared" si="29"/>
        <v>189</v>
      </c>
      <c r="N141" s="10">
        <f t="shared" si="29"/>
        <v>354</v>
      </c>
      <c r="O141" s="10">
        <f t="shared" si="29"/>
        <v>500</v>
      </c>
      <c r="P141" s="10">
        <f t="shared" si="29"/>
        <v>553</v>
      </c>
    </row>
    <row r="142" spans="1:22" ht="20.100000000000001" customHeight="1" x14ac:dyDescent="0.25">
      <c r="A142"/>
      <c r="D142" s="10" t="s">
        <v>330</v>
      </c>
      <c r="E142" s="10" t="str">
        <f t="shared" si="29"/>
        <v>Low</v>
      </c>
      <c r="F142" s="10" t="str">
        <f t="shared" si="29"/>
        <v>Spring</v>
      </c>
      <c r="G142" s="10">
        <f t="shared" si="29"/>
        <v>190</v>
      </c>
      <c r="H142" s="10">
        <f t="shared" si="29"/>
        <v>617</v>
      </c>
      <c r="I142" s="10">
        <f t="shared" si="29"/>
        <v>174</v>
      </c>
      <c r="J142" s="10">
        <f t="shared" si="29"/>
        <v>265</v>
      </c>
      <c r="K142" s="10">
        <f t="shared" si="29"/>
        <v>371</v>
      </c>
      <c r="L142" s="10">
        <f t="shared" si="29"/>
        <v>415</v>
      </c>
      <c r="M142" s="10">
        <f t="shared" si="29"/>
        <v>170</v>
      </c>
      <c r="N142" s="10">
        <f t="shared" si="29"/>
        <v>272</v>
      </c>
      <c r="O142" s="10">
        <f t="shared" si="29"/>
        <v>392</v>
      </c>
      <c r="P142" s="10">
        <f t="shared" si="29"/>
        <v>531</v>
      </c>
    </row>
    <row r="143" spans="1:22" ht="20.100000000000001" customHeight="1" x14ac:dyDescent="0.25">
      <c r="A143"/>
      <c r="D143" s="10" t="s">
        <v>330</v>
      </c>
      <c r="E143" s="10" t="str">
        <f t="shared" si="29"/>
        <v>Low</v>
      </c>
      <c r="F143" s="10" t="str">
        <f t="shared" si="29"/>
        <v>Summer</v>
      </c>
      <c r="G143" s="10">
        <f t="shared" si="29"/>
        <v>119</v>
      </c>
      <c r="H143" s="10">
        <f t="shared" si="29"/>
        <v>591</v>
      </c>
      <c r="I143" s="10">
        <f t="shared" si="29"/>
        <v>140</v>
      </c>
      <c r="J143" s="10">
        <f t="shared" si="29"/>
        <v>205</v>
      </c>
      <c r="K143" s="10">
        <f t="shared" si="29"/>
        <v>310</v>
      </c>
      <c r="L143" s="10">
        <f t="shared" si="29"/>
        <v>405</v>
      </c>
      <c r="M143" s="10">
        <f t="shared" si="29"/>
        <v>133</v>
      </c>
      <c r="N143" s="10">
        <f t="shared" si="29"/>
        <v>218</v>
      </c>
      <c r="O143" s="10">
        <f t="shared" si="29"/>
        <v>315</v>
      </c>
      <c r="P143" s="10">
        <f t="shared" si="29"/>
        <v>445</v>
      </c>
    </row>
    <row r="144" spans="1:22" ht="20.100000000000001" customHeight="1" x14ac:dyDescent="0.25">
      <c r="A144"/>
      <c r="D144" s="10" t="s">
        <v>330</v>
      </c>
      <c r="E144" s="10" t="str">
        <f t="shared" si="29"/>
        <v>Low</v>
      </c>
      <c r="F144" s="10" t="str">
        <f t="shared" si="29"/>
        <v>Autumn</v>
      </c>
      <c r="G144" s="10">
        <f t="shared" si="29"/>
        <v>175</v>
      </c>
      <c r="H144" s="10">
        <f t="shared" si="29"/>
        <v>610</v>
      </c>
      <c r="I144" s="10">
        <f t="shared" si="29"/>
        <v>163</v>
      </c>
      <c r="J144" s="10">
        <f t="shared" si="29"/>
        <v>232</v>
      </c>
      <c r="K144" s="10">
        <f t="shared" si="29"/>
        <v>351</v>
      </c>
      <c r="L144" s="10">
        <f t="shared" si="29"/>
        <v>427</v>
      </c>
      <c r="M144" s="10">
        <f t="shared" si="29"/>
        <v>146</v>
      </c>
      <c r="N144" s="10">
        <f t="shared" si="29"/>
        <v>242</v>
      </c>
      <c r="O144" s="10">
        <f t="shared" si="29"/>
        <v>320</v>
      </c>
      <c r="P144" s="10">
        <f t="shared" si="29"/>
        <v>471</v>
      </c>
    </row>
    <row r="145" spans="1:16" ht="20.100000000000001" customHeight="1" x14ac:dyDescent="0.25">
      <c r="A145"/>
      <c r="D145" s="10" t="s">
        <v>330</v>
      </c>
      <c r="E145" s="10" t="str">
        <f t="shared" si="29"/>
        <v>Low</v>
      </c>
      <c r="F145" s="10" t="str">
        <f t="shared" si="29"/>
        <v>Winter</v>
      </c>
      <c r="G145" s="10">
        <f t="shared" si="29"/>
        <v>192</v>
      </c>
      <c r="H145" s="10">
        <f t="shared" si="29"/>
        <v>615</v>
      </c>
      <c r="I145" s="10">
        <f t="shared" si="29"/>
        <v>162</v>
      </c>
      <c r="J145" s="10">
        <f t="shared" si="29"/>
        <v>255</v>
      </c>
      <c r="K145" s="10">
        <f t="shared" si="29"/>
        <v>364</v>
      </c>
      <c r="L145" s="10">
        <f t="shared" si="29"/>
        <v>420</v>
      </c>
      <c r="M145" s="10">
        <f t="shared" si="29"/>
        <v>157</v>
      </c>
      <c r="N145" s="10">
        <f t="shared" si="29"/>
        <v>261</v>
      </c>
      <c r="O145" s="10">
        <f t="shared" si="29"/>
        <v>342</v>
      </c>
      <c r="P145" s="10">
        <f t="shared" si="29"/>
        <v>484</v>
      </c>
    </row>
    <row r="146" spans="1:16" ht="20.100000000000001" customHeight="1" x14ac:dyDescent="0.25">
      <c r="A146"/>
      <c r="D146" s="8" t="s">
        <v>328</v>
      </c>
      <c r="E146" s="8" t="s">
        <v>426</v>
      </c>
      <c r="F146" s="8" t="str">
        <f>F142</f>
        <v>Spring</v>
      </c>
      <c r="G146" s="8">
        <f t="shared" ref="G146:P149" si="30">AVERAGE(G86,G90,G94,G98,G102,G106,G110,G114,G118,G122,G126,G130,G134,G138,G142)</f>
        <v>198.73333333333332</v>
      </c>
      <c r="H146" s="8">
        <f t="shared" si="30"/>
        <v>643.06666666666672</v>
      </c>
      <c r="I146" s="8">
        <f t="shared" si="30"/>
        <v>173.4</v>
      </c>
      <c r="J146" s="8">
        <f t="shared" si="30"/>
        <v>321.33333333333331</v>
      </c>
      <c r="K146" s="8">
        <f t="shared" si="30"/>
        <v>426</v>
      </c>
      <c r="L146" s="8">
        <f t="shared" si="30"/>
        <v>455.46666666666664</v>
      </c>
      <c r="M146" s="8">
        <f t="shared" si="30"/>
        <v>187.26666666666668</v>
      </c>
      <c r="N146" s="8">
        <f t="shared" si="30"/>
        <v>385.4</v>
      </c>
      <c r="O146" s="8">
        <f t="shared" si="30"/>
        <v>442.07142857142856</v>
      </c>
      <c r="P146" s="8">
        <f t="shared" si="30"/>
        <v>486.23076923076923</v>
      </c>
    </row>
    <row r="147" spans="1:16" ht="20.100000000000001" customHeight="1" x14ac:dyDescent="0.25">
      <c r="A147"/>
      <c r="D147" s="8" t="s">
        <v>328</v>
      </c>
      <c r="E147" s="8" t="s">
        <v>426</v>
      </c>
      <c r="F147" s="8" t="str">
        <f>F143</f>
        <v>Summer</v>
      </c>
      <c r="G147" s="8">
        <f t="shared" si="30"/>
        <v>193</v>
      </c>
      <c r="H147" s="8">
        <f t="shared" si="30"/>
        <v>660.33333333333337</v>
      </c>
      <c r="I147" s="8">
        <f t="shared" si="30"/>
        <v>156.33333333333334</v>
      </c>
      <c r="J147" s="8">
        <f t="shared" si="30"/>
        <v>309.73333333333335</v>
      </c>
      <c r="K147" s="8">
        <f t="shared" si="30"/>
        <v>417.4</v>
      </c>
      <c r="L147" s="8">
        <f t="shared" si="30"/>
        <v>458.53333333333336</v>
      </c>
      <c r="M147" s="8">
        <f t="shared" si="30"/>
        <v>162</v>
      </c>
      <c r="N147" s="8">
        <f t="shared" si="30"/>
        <v>353.46666666666664</v>
      </c>
      <c r="O147" s="8">
        <f t="shared" si="30"/>
        <v>428.42857142857144</v>
      </c>
      <c r="P147" s="8">
        <f t="shared" si="30"/>
        <v>472.61538461538464</v>
      </c>
    </row>
    <row r="148" spans="1:16" ht="20.100000000000001" customHeight="1" x14ac:dyDescent="0.25">
      <c r="A148"/>
      <c r="D148" s="8" t="s">
        <v>328</v>
      </c>
      <c r="E148" s="8" t="s">
        <v>426</v>
      </c>
      <c r="F148" s="8" t="str">
        <f>F144</f>
        <v>Autumn</v>
      </c>
      <c r="G148" s="8">
        <f t="shared" si="30"/>
        <v>170.66666666666666</v>
      </c>
      <c r="H148" s="8">
        <f t="shared" si="30"/>
        <v>654.26666666666665</v>
      </c>
      <c r="I148" s="8">
        <f t="shared" si="30"/>
        <v>161.53333333333333</v>
      </c>
      <c r="J148" s="8">
        <f t="shared" si="30"/>
        <v>307.93333333333334</v>
      </c>
      <c r="K148" s="8">
        <f t="shared" si="30"/>
        <v>419.66666666666669</v>
      </c>
      <c r="L148" s="8">
        <f t="shared" si="30"/>
        <v>454.06666666666666</v>
      </c>
      <c r="M148" s="8">
        <f t="shared" si="30"/>
        <v>169.86666666666667</v>
      </c>
      <c r="N148" s="8">
        <f t="shared" si="30"/>
        <v>363.13333333333333</v>
      </c>
      <c r="O148" s="8">
        <f t="shared" si="30"/>
        <v>430.14285714285717</v>
      </c>
      <c r="P148" s="8">
        <f t="shared" si="30"/>
        <v>479.69230769230768</v>
      </c>
    </row>
    <row r="149" spans="1:16" ht="20.100000000000001" customHeight="1" x14ac:dyDescent="0.25">
      <c r="A149"/>
      <c r="D149" s="8" t="s">
        <v>328</v>
      </c>
      <c r="E149" s="8" t="s">
        <v>426</v>
      </c>
      <c r="F149" s="8" t="str">
        <f>F145</f>
        <v>Winter</v>
      </c>
      <c r="G149" s="8">
        <f t="shared" si="30"/>
        <v>214.53333333333333</v>
      </c>
      <c r="H149" s="8">
        <f t="shared" si="30"/>
        <v>650.5333333333333</v>
      </c>
      <c r="I149" s="8">
        <f t="shared" si="30"/>
        <v>196.53333333333333</v>
      </c>
      <c r="J149" s="8">
        <f t="shared" si="30"/>
        <v>333.6</v>
      </c>
      <c r="K149" s="8">
        <f t="shared" si="30"/>
        <v>427.4</v>
      </c>
      <c r="L149" s="8">
        <f t="shared" si="30"/>
        <v>453.33333333333331</v>
      </c>
      <c r="M149" s="8">
        <f t="shared" si="30"/>
        <v>207.26666666666668</v>
      </c>
      <c r="N149" s="8">
        <f t="shared" si="30"/>
        <v>381.93333333333334</v>
      </c>
      <c r="O149" s="8">
        <f t="shared" si="30"/>
        <v>438.28571428571428</v>
      </c>
      <c r="P149" s="8">
        <f t="shared" si="30"/>
        <v>479.38461538461536</v>
      </c>
    </row>
    <row r="150" spans="1:16" ht="20.100000000000001" customHeight="1" x14ac:dyDescent="0.25">
      <c r="A150"/>
      <c r="D150" s="9" t="str" cm="1">
        <f t="array" ref="D150">SourceData_PastureBeef.SourceData_PastureBeef_LiveweightGain_Title()</f>
        <v>Beef pasture cattle - Liveweight gain (kg) (LWGjkl)</v>
      </c>
      <c r="M150" s="8"/>
    </row>
    <row r="151" spans="1:16" ht="20.100000000000001" customHeight="1" x14ac:dyDescent="0.25">
      <c r="A151"/>
      <c r="D151" s="11" t="str" cm="1">
        <f t="array" ref="D151">SourceData_PastureBeef.SourceData_PastureBeef_LiveweightGain_Source()</f>
        <v>VEERG 2026: Table A.1.2.3</v>
      </c>
      <c r="M151" s="8"/>
    </row>
    <row r="152" spans="1:16" ht="20.100000000000001" customHeight="1" x14ac:dyDescent="0.25">
      <c r="A152"/>
      <c r="D152" s="8" t="str" cm="1">
        <f t="array" ref="D152">SourceData_PastureBeef.SourceData_PastureBeef_LiveweightGain_Variable()</f>
        <v>LWGjkl</v>
      </c>
      <c r="M152" s="8"/>
    </row>
    <row r="153" spans="1:16" ht="20.100000000000001" customHeight="1" x14ac:dyDescent="0.25">
      <c r="A153"/>
      <c r="D153" s="13" t="str" cm="1">
        <f t="array" ref="D153">SourceData_PastureBeef.SourceData_PastureBeef_LiveweightGain_Unit()</f>
        <v>kg</v>
      </c>
      <c r="M153" s="8"/>
    </row>
    <row r="154" spans="1:16" ht="20.100000000000001" customHeight="1" x14ac:dyDescent="0.25">
      <c r="A154"/>
      <c r="D154" s="10" t="s">
        <v>273</v>
      </c>
      <c r="E154" s="10" t="s">
        <v>378</v>
      </c>
      <c r="F154" s="10" t="s">
        <v>47</v>
      </c>
      <c r="G154" s="10" t="s">
        <v>465</v>
      </c>
      <c r="H154" s="10" t="s">
        <v>466</v>
      </c>
      <c r="I154" s="10" t="s">
        <v>489</v>
      </c>
      <c r="J154" s="10" t="s">
        <v>459</v>
      </c>
      <c r="K154" s="10" t="s">
        <v>490</v>
      </c>
      <c r="L154" s="10" t="s">
        <v>471</v>
      </c>
      <c r="M154" s="10" t="s">
        <v>491</v>
      </c>
    </row>
    <row r="155" spans="1:16" ht="20.100000000000001" customHeight="1" x14ac:dyDescent="0.25">
      <c r="A155"/>
      <c r="D155" s="10" t="str" cm="1">
        <f t="array" ref="D155">Common_InputFunctions.Utility_DisplayArrayInTable(SourceData_PastureBeef.SourceData_PastureBeef_LiveweightGain_Data(), Table_SourceData_PastureBeef_LiveweightGain[[#Headers],[State]],0)</f>
        <v>ACT/NSW</v>
      </c>
      <c r="E155" s="10" t="str" cm="1">
        <f t="array" ref="E155">Common_InputFunctions.Utility_DisplayArrayInTable(SourceData_PastureBeef.SourceData_PastureBeef_LiveweightGain_Data(), Table_SourceData_PastureBeef_LiveweightGain[[#Headers],[State]],0)</f>
        <v>n/a</v>
      </c>
      <c r="F155" s="10" t="str" cm="1">
        <f t="array" ref="F155">Common_InputFunctions.Utility_DisplayArrayInTable(SourceData_PastureBeef.SourceData_PastureBeef_LiveweightGain_Data(), Table_SourceData_PastureBeef_LiveweightGain[[#Headers],[State]],0)</f>
        <v>Spring</v>
      </c>
      <c r="G155" s="10" cm="1">
        <f t="array" ref="G155">Common_InputFunctions.Utility_DisplayArrayInTable(SourceData_PastureBeef.SourceData_PastureBeef_LiveweightGain_Data(), Table_SourceData_PastureBeef_LiveweightGain[[#Headers],[State]],0)</f>
        <v>0.5</v>
      </c>
      <c r="H155" s="10" cm="1">
        <f t="array" ref="H155">Common_InputFunctions.Utility_DisplayArrayInTable(SourceData_PastureBeef.SourceData_PastureBeef_LiveweightGain_Data(), Table_SourceData_PastureBeef_LiveweightGain[[#Headers],[State]],0)</f>
        <v>0.2</v>
      </c>
      <c r="I155" s="10" cm="1">
        <f t="array" ref="I155">Common_InputFunctions.Utility_DisplayArrayInTable(SourceData_PastureBeef.SourceData_PastureBeef_LiveweightGain_Data(), Table_SourceData_PastureBeef_LiveweightGain[[#Headers],[State]],0)</f>
        <v>0.5</v>
      </c>
      <c r="J155" s="10" cm="1">
        <f t="array" ref="J155">Common_InputFunctions.Utility_DisplayArrayInTable(SourceData_PastureBeef.SourceData_PastureBeef_LiveweightGain_Data(), Table_SourceData_PastureBeef_LiveweightGain[[#Headers],[State]],0)</f>
        <v>0.4</v>
      </c>
      <c r="K155" s="10" cm="1">
        <f t="array" ref="K155">Common_InputFunctions.Utility_DisplayArrayInTable(SourceData_PastureBeef.SourceData_PastureBeef_LiveweightGain_Data(), Table_SourceData_PastureBeef_LiveweightGain[[#Headers],[State]],0)</f>
        <v>0.3</v>
      </c>
      <c r="L155" s="10" cm="1">
        <f t="array" ref="L155">Common_InputFunctions.Utility_DisplayArrayInTable(SourceData_PastureBeef.SourceData_PastureBeef_LiveweightGain_Data(), Table_SourceData_PastureBeef_LiveweightGain[[#Headers],[State]],0)</f>
        <v>0.5</v>
      </c>
      <c r="M155" s="10" cm="1">
        <f t="array" ref="M155">Common_InputFunctions.Utility_DisplayArrayInTable(SourceData_PastureBeef.SourceData_PastureBeef_LiveweightGain_Data(), Table_SourceData_PastureBeef_LiveweightGain[[#Headers],[State]],0)</f>
        <v>0.4</v>
      </c>
    </row>
    <row r="156" spans="1:16" ht="20.100000000000001" customHeight="1" x14ac:dyDescent="0.25">
      <c r="A156"/>
      <c r="D156" s="8" t="str" cm="1">
        <f t="array" ref="D156">Common_InputFunctions.Utility_DisplayArrayInTable(SourceData_PastureBeef.SourceData_PastureBeef_LiveweightGain_Data(), Table_SourceData_PastureBeef_LiveweightGain[[#Headers],[State]],0)</f>
        <v>ACT/NSW</v>
      </c>
      <c r="E156" s="10" t="str" cm="1">
        <f t="array" ref="E156">Common_InputFunctions.Utility_DisplayArrayInTable(SourceData_PastureBeef.SourceData_PastureBeef_LiveweightGain_Data(), Table_SourceData_PastureBeef_LiveweightGain[[#Headers],[State]],0)</f>
        <v>n/a</v>
      </c>
      <c r="F156" s="10" t="str" cm="1">
        <f t="array" ref="F156">Common_InputFunctions.Utility_DisplayArrayInTable(SourceData_PastureBeef.SourceData_PastureBeef_LiveweightGain_Data(), Table_SourceData_PastureBeef_LiveweightGain[[#Headers],[State]],0)</f>
        <v>Summer</v>
      </c>
      <c r="G156" s="10" cm="1">
        <f t="array" ref="G156">Common_InputFunctions.Utility_DisplayArrayInTable(SourceData_PastureBeef.SourceData_PastureBeef_LiveweightGain_Data(), Table_SourceData_PastureBeef_LiveweightGain[[#Headers],[State]],0)</f>
        <v>1</v>
      </c>
      <c r="H156" s="10" cm="1">
        <f t="array" ref="H156">Common_InputFunctions.Utility_DisplayArrayInTable(SourceData_PastureBeef.SourceData_PastureBeef_LiveweightGain_Data(), Table_SourceData_PastureBeef_LiveweightGain[[#Headers],[State]],0)</f>
        <v>0.4</v>
      </c>
      <c r="I156" s="10" cm="1">
        <f t="array" ref="I156">Common_InputFunctions.Utility_DisplayArrayInTable(SourceData_PastureBeef.SourceData_PastureBeef_LiveweightGain_Data(), Table_SourceData_PastureBeef_LiveweightGain[[#Headers],[State]],0)</f>
        <v>0.9</v>
      </c>
      <c r="J156" s="10" cm="1">
        <f t="array" ref="J156">Common_InputFunctions.Utility_DisplayArrayInTable(SourceData_PastureBeef.SourceData_PastureBeef_LiveweightGain_Data(), Table_SourceData_PastureBeef_LiveweightGain[[#Headers],[State]],0)</f>
        <v>0.7</v>
      </c>
      <c r="K156" s="10" cm="1">
        <f t="array" ref="K156">Common_InputFunctions.Utility_DisplayArrayInTable(SourceData_PastureBeef.SourceData_PastureBeef_LiveweightGain_Data(), Table_SourceData_PastureBeef_LiveweightGain[[#Headers],[State]],0)</f>
        <v>0.3</v>
      </c>
      <c r="L156" s="10" cm="1">
        <f t="array" ref="L156">Common_InputFunctions.Utility_DisplayArrayInTable(SourceData_PastureBeef.SourceData_PastureBeef_LiveweightGain_Data(), Table_SourceData_PastureBeef_LiveweightGain[[#Headers],[State]],0)</f>
        <v>0.9</v>
      </c>
      <c r="M156" s="10" cm="1">
        <f t="array" ref="M156">Common_InputFunctions.Utility_DisplayArrayInTable(SourceData_PastureBeef.SourceData_PastureBeef_LiveweightGain_Data(), Table_SourceData_PastureBeef_LiveweightGain[[#Headers],[State]],0)</f>
        <v>0.4</v>
      </c>
    </row>
    <row r="157" spans="1:16" ht="20.100000000000001" customHeight="1" x14ac:dyDescent="0.25">
      <c r="A157"/>
      <c r="D157" s="8" t="str" cm="1">
        <f t="array" ref="D157">Common_InputFunctions.Utility_DisplayArrayInTable(SourceData_PastureBeef.SourceData_PastureBeef_LiveweightGain_Data(), Table_SourceData_PastureBeef_LiveweightGain[[#Headers],[State]],0)</f>
        <v>ACT/NSW</v>
      </c>
      <c r="E157" s="10" t="str" cm="1">
        <f t="array" ref="E157">Common_InputFunctions.Utility_DisplayArrayInTable(SourceData_PastureBeef.SourceData_PastureBeef_LiveweightGain_Data(), Table_SourceData_PastureBeef_LiveweightGain[[#Headers],[State]],0)</f>
        <v>n/a</v>
      </c>
      <c r="F157" s="10" t="str" cm="1">
        <f t="array" ref="F157">Common_InputFunctions.Utility_DisplayArrayInTable(SourceData_PastureBeef.SourceData_PastureBeef_LiveweightGain_Data(), Table_SourceData_PastureBeef_LiveweightGain[[#Headers],[State]],0)</f>
        <v>Autumn</v>
      </c>
      <c r="G157" s="10" cm="1">
        <f t="array" ref="G157">Common_InputFunctions.Utility_DisplayArrayInTable(SourceData_PastureBeef.SourceData_PastureBeef_LiveweightGain_Data(), Table_SourceData_PastureBeef_LiveweightGain[[#Headers],[State]],0)</f>
        <v>0.8</v>
      </c>
      <c r="H157" s="10" cm="1">
        <f t="array" ref="H157">Common_InputFunctions.Utility_DisplayArrayInTable(SourceData_PastureBeef.SourceData_PastureBeef_LiveweightGain_Data(), Table_SourceData_PastureBeef_LiveweightGain[[#Headers],[State]],0)</f>
        <v>0.3</v>
      </c>
      <c r="I157" s="10" cm="1">
        <f t="array" ref="I157">Common_InputFunctions.Utility_DisplayArrayInTable(SourceData_PastureBeef.SourceData_PastureBeef_LiveweightGain_Data(), Table_SourceData_PastureBeef_LiveweightGain[[#Headers],[State]],0)</f>
        <v>0.7</v>
      </c>
      <c r="J157" s="10" cm="1">
        <f t="array" ref="J157">Common_InputFunctions.Utility_DisplayArrayInTable(SourceData_PastureBeef.SourceData_PastureBeef_LiveweightGain_Data(), Table_SourceData_PastureBeef_LiveweightGain[[#Headers],[State]],0)</f>
        <v>0.3</v>
      </c>
      <c r="K157" s="10" cm="1">
        <f t="array" ref="K157">Common_InputFunctions.Utility_DisplayArrayInTable(SourceData_PastureBeef.SourceData_PastureBeef_LiveweightGain_Data(), Table_SourceData_PastureBeef_LiveweightGain[[#Headers],[State]],0)</f>
        <v>0.2</v>
      </c>
      <c r="L157" s="10" cm="1">
        <f t="array" ref="L157">Common_InputFunctions.Utility_DisplayArrayInTable(SourceData_PastureBeef.SourceData_PastureBeef_LiveweightGain_Data(), Table_SourceData_PastureBeef_LiveweightGain[[#Headers],[State]],0)</f>
        <v>0.7</v>
      </c>
      <c r="M157" s="10" cm="1">
        <f t="array" ref="M157">Common_InputFunctions.Utility_DisplayArrayInTable(SourceData_PastureBeef.SourceData_PastureBeef_LiveweightGain_Data(), Table_SourceData_PastureBeef_LiveweightGain[[#Headers],[State]],0)</f>
        <v>0.3</v>
      </c>
    </row>
    <row r="158" spans="1:16" ht="20.100000000000001" customHeight="1" x14ac:dyDescent="0.25">
      <c r="A158"/>
      <c r="D158" s="8" t="str" cm="1">
        <f t="array" ref="D158">Common_InputFunctions.Utility_DisplayArrayInTable(SourceData_PastureBeef.SourceData_PastureBeef_LiveweightGain_Data(), Table_SourceData_PastureBeef_LiveweightGain[[#Headers],[State]],0)</f>
        <v>ACT/NSW</v>
      </c>
      <c r="E158" s="10" t="str" cm="1">
        <f t="array" ref="E158">Common_InputFunctions.Utility_DisplayArrayInTable(SourceData_PastureBeef.SourceData_PastureBeef_LiveweightGain_Data(), Table_SourceData_PastureBeef_LiveweightGain[[#Headers],[State]],0)</f>
        <v>n/a</v>
      </c>
      <c r="F158" s="10" t="str" cm="1">
        <f t="array" ref="F158">Common_InputFunctions.Utility_DisplayArrayInTable(SourceData_PastureBeef.SourceData_PastureBeef_LiveweightGain_Data(), Table_SourceData_PastureBeef_LiveweightGain[[#Headers],[State]],0)</f>
        <v>Winter</v>
      </c>
      <c r="G158" s="10" cm="1">
        <f t="array" ref="G158">Common_InputFunctions.Utility_DisplayArrayInTable(SourceData_PastureBeef.SourceData_PastureBeef_LiveweightGain_Data(), Table_SourceData_PastureBeef_LiveweightGain[[#Headers],[State]],0)</f>
        <v>0.4</v>
      </c>
      <c r="H158" s="10" cm="1">
        <f t="array" ref="H158">Common_InputFunctions.Utility_DisplayArrayInTable(SourceData_PastureBeef.SourceData_PastureBeef_LiveweightGain_Data(), Table_SourceData_PastureBeef_LiveweightGain[[#Headers],[State]],0)</f>
        <v>0.1</v>
      </c>
      <c r="I158" s="10" cm="1">
        <f t="array" ref="I158">Common_InputFunctions.Utility_DisplayArrayInTable(SourceData_PastureBeef.SourceData_PastureBeef_LiveweightGain_Data(), Table_SourceData_PastureBeef_LiveweightGain[[#Headers],[State]],0)</f>
        <v>0.4</v>
      </c>
      <c r="J158" s="10" cm="1">
        <f t="array" ref="J158">Common_InputFunctions.Utility_DisplayArrayInTable(SourceData_PastureBeef.SourceData_PastureBeef_LiveweightGain_Data(), Table_SourceData_PastureBeef_LiveweightGain[[#Headers],[State]],0)</f>
        <v>0.2</v>
      </c>
      <c r="K158" s="10" cm="1">
        <f t="array" ref="K158">Common_InputFunctions.Utility_DisplayArrayInTable(SourceData_PastureBeef.SourceData_PastureBeef_LiveweightGain_Data(), Table_SourceData_PastureBeef_LiveweightGain[[#Headers],[State]],0)</f>
        <v>0.1</v>
      </c>
      <c r="L158" s="10" cm="1">
        <f t="array" ref="L158">Common_InputFunctions.Utility_DisplayArrayInTable(SourceData_PastureBeef.SourceData_PastureBeef_LiveweightGain_Data(), Table_SourceData_PastureBeef_LiveweightGain[[#Headers],[State]],0)</f>
        <v>0.4</v>
      </c>
      <c r="M158" s="10" cm="1">
        <f t="array" ref="M158">Common_InputFunctions.Utility_DisplayArrayInTable(SourceData_PastureBeef.SourceData_PastureBeef_LiveweightGain_Data(), Table_SourceData_PastureBeef_LiveweightGain[[#Headers],[State]],0)</f>
        <v>0.1</v>
      </c>
    </row>
    <row r="159" spans="1:16" ht="20.100000000000001" customHeight="1" x14ac:dyDescent="0.25">
      <c r="A159"/>
      <c r="D159" s="8" t="str" cm="1">
        <f t="array" ref="D159">Common_InputFunctions.Utility_DisplayArrayInTable(SourceData_PastureBeef.SourceData_PastureBeef_LiveweightGain_Data(), Table_SourceData_PastureBeef_LiveweightGain[[#Headers],[State]],0)</f>
        <v>South Australia</v>
      </c>
      <c r="E159" s="10" t="str" cm="1">
        <f t="array" ref="E159">Common_InputFunctions.Utility_DisplayArrayInTable(SourceData_PastureBeef.SourceData_PastureBeef_LiveweightGain_Data(), Table_SourceData_PastureBeef_LiveweightGain[[#Headers],[State]],0)</f>
        <v>n/a</v>
      </c>
      <c r="F159" s="10" t="str" cm="1">
        <f t="array" ref="F159">Common_InputFunctions.Utility_DisplayArrayInTable(SourceData_PastureBeef.SourceData_PastureBeef_LiveweightGain_Data(), Table_SourceData_PastureBeef_LiveweightGain[[#Headers],[State]],0)</f>
        <v>Spring</v>
      </c>
      <c r="G159" s="10" cm="1">
        <f t="array" ref="G159">Common_InputFunctions.Utility_DisplayArrayInTable(SourceData_PastureBeef.SourceData_PastureBeef_LiveweightGain_Data(), Table_SourceData_PastureBeef_LiveweightGain[[#Headers],[State]],0)</f>
        <v>0.99</v>
      </c>
      <c r="H159" s="10" cm="1">
        <f t="array" ref="H159">Common_InputFunctions.Utility_DisplayArrayInTable(SourceData_PastureBeef.SourceData_PastureBeef_LiveweightGain_Data(), Table_SourceData_PastureBeef_LiveweightGain[[#Headers],[State]],0)</f>
        <v>1.1000000000000001</v>
      </c>
      <c r="I159" s="10" cm="1">
        <f t="array" ref="I159">Common_InputFunctions.Utility_DisplayArrayInTable(SourceData_PastureBeef.SourceData_PastureBeef_LiveweightGain_Data(), Table_SourceData_PastureBeef_LiveweightGain[[#Headers],[State]],0)</f>
        <v>0.88</v>
      </c>
      <c r="J159" s="10" cm="1">
        <f t="array" ref="J159">Common_InputFunctions.Utility_DisplayArrayInTable(SourceData_PastureBeef.SourceData_PastureBeef_LiveweightGain_Data(), Table_SourceData_PastureBeef_LiveweightGain[[#Headers],[State]],0)</f>
        <v>0.55000000000000004</v>
      </c>
      <c r="K159" s="10" cm="1">
        <f t="array" ref="K159">Common_InputFunctions.Utility_DisplayArrayInTable(SourceData_PastureBeef.SourceData_PastureBeef_LiveweightGain_Data(), Table_SourceData_PastureBeef_LiveweightGain[[#Headers],[State]],0)</f>
        <v>0.55000000000000004</v>
      </c>
      <c r="L159" s="10" cm="1">
        <f t="array" ref="L159">Common_InputFunctions.Utility_DisplayArrayInTable(SourceData_PastureBeef.SourceData_PastureBeef_LiveweightGain_Data(), Table_SourceData_PastureBeef_LiveweightGain[[#Headers],[State]],0)</f>
        <v>0.88</v>
      </c>
      <c r="M159" s="10" cm="1">
        <f t="array" ref="M159">Common_InputFunctions.Utility_DisplayArrayInTable(SourceData_PastureBeef.SourceData_PastureBeef_LiveweightGain_Data(), Table_SourceData_PastureBeef_LiveweightGain[[#Headers],[State]],0)</f>
        <v>0.22</v>
      </c>
    </row>
    <row r="160" spans="1:16" ht="20.100000000000001" customHeight="1" x14ac:dyDescent="0.25">
      <c r="A160"/>
      <c r="D160" s="8" t="str" cm="1">
        <f t="array" ref="D160">Common_InputFunctions.Utility_DisplayArrayInTable(SourceData_PastureBeef.SourceData_PastureBeef_LiveweightGain_Data(), Table_SourceData_PastureBeef_LiveweightGain[[#Headers],[State]],0)</f>
        <v>South Australia</v>
      </c>
      <c r="E160" s="10" t="str" cm="1">
        <f t="array" ref="E160">Common_InputFunctions.Utility_DisplayArrayInTable(SourceData_PastureBeef.SourceData_PastureBeef_LiveweightGain_Data(), Table_SourceData_PastureBeef_LiveweightGain[[#Headers],[State]],0)</f>
        <v>n/a</v>
      </c>
      <c r="F160" s="10" t="str" cm="1">
        <f t="array" ref="F160">Common_InputFunctions.Utility_DisplayArrayInTable(SourceData_PastureBeef.SourceData_PastureBeef_LiveweightGain_Data(), Table_SourceData_PastureBeef_LiveweightGain[[#Headers],[State]],0)</f>
        <v>Summer</v>
      </c>
      <c r="G160" s="10" cm="1">
        <f t="array" ref="G160">Common_InputFunctions.Utility_DisplayArrayInTable(SourceData_PastureBeef.SourceData_PastureBeef_LiveweightGain_Data(), Table_SourceData_PastureBeef_LiveweightGain[[#Headers],[State]],0)</f>
        <v>0.77</v>
      </c>
      <c r="H160" s="10" cm="1">
        <f t="array" ref="H160">Common_InputFunctions.Utility_DisplayArrayInTable(SourceData_PastureBeef.SourceData_PastureBeef_LiveweightGain_Data(), Table_SourceData_PastureBeef_LiveweightGain[[#Headers],[State]],0)</f>
        <v>0</v>
      </c>
      <c r="I160" s="10" cm="1">
        <f t="array" ref="I160">Common_InputFunctions.Utility_DisplayArrayInTable(SourceData_PastureBeef.SourceData_PastureBeef_LiveweightGain_Data(), Table_SourceData_PastureBeef_LiveweightGain[[#Headers],[State]],0)</f>
        <v>0.66</v>
      </c>
      <c r="J160" s="10" cm="1">
        <f t="array" ref="J160">Common_InputFunctions.Utility_DisplayArrayInTable(SourceData_PastureBeef.SourceData_PastureBeef_LiveweightGain_Data(), Table_SourceData_PastureBeef_LiveweightGain[[#Headers],[State]],0)</f>
        <v>0.22</v>
      </c>
      <c r="K160" s="10" cm="1">
        <f t="array" ref="K160">Common_InputFunctions.Utility_DisplayArrayInTable(SourceData_PastureBeef.SourceData_PastureBeef_LiveweightGain_Data(), Table_SourceData_PastureBeef_LiveweightGain[[#Headers],[State]],0)</f>
        <v>0</v>
      </c>
      <c r="L160" s="10" cm="1">
        <f t="array" ref="L160">Common_InputFunctions.Utility_DisplayArrayInTable(SourceData_PastureBeef.SourceData_PastureBeef_LiveweightGain_Data(), Table_SourceData_PastureBeef_LiveweightGain[[#Headers],[State]],0)</f>
        <v>0.66</v>
      </c>
      <c r="M160" s="10"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8" t="str" cm="1">
        <f t="array" ref="D161">Common_InputFunctions.Utility_DisplayArrayInTable(SourceData_PastureBeef.SourceData_PastureBeef_LiveweightGain_Data(), Table_SourceData_PastureBeef_LiveweightGain[[#Headers],[State]],0)</f>
        <v>South Australia</v>
      </c>
      <c r="E161" s="10" t="str" cm="1">
        <f t="array" ref="E161">Common_InputFunctions.Utility_DisplayArrayInTable(SourceData_PastureBeef.SourceData_PastureBeef_LiveweightGain_Data(), Table_SourceData_PastureBeef_LiveweightGain[[#Headers],[State]],0)</f>
        <v>n/a</v>
      </c>
      <c r="F161" s="10" t="str" cm="1">
        <f t="array" ref="F161">Common_InputFunctions.Utility_DisplayArrayInTable(SourceData_PastureBeef.SourceData_PastureBeef_LiveweightGain_Data(), Table_SourceData_PastureBeef_LiveweightGain[[#Headers],[State]],0)</f>
        <v>Autumn</v>
      </c>
      <c r="G161" s="10" cm="1">
        <f t="array" ref="G161">Common_InputFunctions.Utility_DisplayArrayInTable(SourceData_PastureBeef.SourceData_PastureBeef_LiveweightGain_Data(), Table_SourceData_PastureBeef_LiveweightGain[[#Headers],[State]],0)</f>
        <v>0.9</v>
      </c>
      <c r="H161" s="10" cm="1">
        <f t="array" ref="H161">Common_InputFunctions.Utility_DisplayArrayInTable(SourceData_PastureBeef.SourceData_PastureBeef_LiveweightGain_Data(), Table_SourceData_PastureBeef_LiveweightGain[[#Headers],[State]],0)</f>
        <v>-1.1000000000000001</v>
      </c>
      <c r="I161" s="10" cm="1">
        <f t="array" ref="I161">Common_InputFunctions.Utility_DisplayArrayInTable(SourceData_PastureBeef.SourceData_PastureBeef_LiveweightGain_Data(), Table_SourceData_PastureBeef_LiveweightGain[[#Headers],[State]],0)</f>
        <v>0.7</v>
      </c>
      <c r="J161" s="10" cm="1">
        <f t="array" ref="J161">Common_InputFunctions.Utility_DisplayArrayInTable(SourceData_PastureBeef.SourceData_PastureBeef_LiveweightGain_Data(), Table_SourceData_PastureBeef_LiveweightGain[[#Headers],[State]],0)</f>
        <v>0.22</v>
      </c>
      <c r="K161" s="10" cm="1">
        <f t="array" ref="K161">Common_InputFunctions.Utility_DisplayArrayInTable(SourceData_PastureBeef.SourceData_PastureBeef_LiveweightGain_Data(), Table_SourceData_PastureBeef_LiveweightGain[[#Headers],[State]],0)</f>
        <v>-0.55000000000000004</v>
      </c>
      <c r="L161" s="10" cm="1">
        <f t="array" ref="L161">Common_InputFunctions.Utility_DisplayArrayInTable(SourceData_PastureBeef.SourceData_PastureBeef_LiveweightGain_Data(), Table_SourceData_PastureBeef_LiveweightGain[[#Headers],[State]],0)</f>
        <v>0.8</v>
      </c>
      <c r="M161" s="10"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8" t="str" cm="1">
        <f t="array" ref="D162">Common_InputFunctions.Utility_DisplayArrayInTable(SourceData_PastureBeef.SourceData_PastureBeef_LiveweightGain_Data(), Table_SourceData_PastureBeef_LiveweightGain[[#Headers],[State]],0)</f>
        <v>South Australia</v>
      </c>
      <c r="E162" s="10" t="str" cm="1">
        <f t="array" ref="E162">Common_InputFunctions.Utility_DisplayArrayInTable(SourceData_PastureBeef.SourceData_PastureBeef_LiveweightGain_Data(), Table_SourceData_PastureBeef_LiveweightGain[[#Headers],[State]],0)</f>
        <v>n/a</v>
      </c>
      <c r="F162" s="10" t="str" cm="1">
        <f t="array" ref="F162">Common_InputFunctions.Utility_DisplayArrayInTable(SourceData_PastureBeef.SourceData_PastureBeef_LiveweightGain_Data(), Table_SourceData_PastureBeef_LiveweightGain[[#Headers],[State]],0)</f>
        <v>Winter</v>
      </c>
      <c r="G162" s="10" cm="1">
        <f t="array" ref="G162">Common_InputFunctions.Utility_DisplayArrayInTable(SourceData_PastureBeef.SourceData_PastureBeef_LiveweightGain_Data(), Table_SourceData_PastureBeef_LiveweightGain[[#Headers],[State]],0)</f>
        <v>0.88</v>
      </c>
      <c r="H162" s="10" cm="1">
        <f t="array" ref="H162">Common_InputFunctions.Utility_DisplayArrayInTable(SourceData_PastureBeef.SourceData_PastureBeef_LiveweightGain_Data(), Table_SourceData_PastureBeef_LiveweightGain[[#Headers],[State]],0)</f>
        <v>0</v>
      </c>
      <c r="I162" s="10" cm="1">
        <f t="array" ref="I162">Common_InputFunctions.Utility_DisplayArrayInTable(SourceData_PastureBeef.SourceData_PastureBeef_LiveweightGain_Data(), Table_SourceData_PastureBeef_LiveweightGain[[#Headers],[State]],0)</f>
        <v>0.77</v>
      </c>
      <c r="J162" s="10" cm="1">
        <f t="array" ref="J162">Common_InputFunctions.Utility_DisplayArrayInTable(SourceData_PastureBeef.SourceData_PastureBeef_LiveweightGain_Data(), Table_SourceData_PastureBeef_LiveweightGain[[#Headers],[State]],0)</f>
        <v>0.55000000000000004</v>
      </c>
      <c r="K162" s="10" cm="1">
        <f t="array" ref="K162">Common_InputFunctions.Utility_DisplayArrayInTable(SourceData_PastureBeef.SourceData_PastureBeef_LiveweightGain_Data(), Table_SourceData_PastureBeef_LiveweightGain[[#Headers],[State]],0)</f>
        <v>0</v>
      </c>
      <c r="L162" s="10" cm="1">
        <f t="array" ref="L162">Common_InputFunctions.Utility_DisplayArrayInTable(SourceData_PastureBeef.SourceData_PastureBeef_LiveweightGain_Data(), Table_SourceData_PastureBeef_LiveweightGain[[#Headers],[State]],0)</f>
        <v>0.82</v>
      </c>
      <c r="M162" s="10"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8" t="str" cm="1">
        <f t="array" ref="D163">Common_InputFunctions.Utility_DisplayArrayInTable(SourceData_PastureBeef.SourceData_PastureBeef_LiveweightGain_Data(), Table_SourceData_PastureBeef_LiveweightGain[[#Headers],[State]],0)</f>
        <v>Tasmania</v>
      </c>
      <c r="E163" s="10" t="str" cm="1">
        <f t="array" ref="E163">Common_InputFunctions.Utility_DisplayArrayInTable(SourceData_PastureBeef.SourceData_PastureBeef_LiveweightGain_Data(), Table_SourceData_PastureBeef_LiveweightGain[[#Headers],[State]],0)</f>
        <v>n/a</v>
      </c>
      <c r="F163" s="10" t="str" cm="1">
        <f t="array" ref="F163">Common_InputFunctions.Utility_DisplayArrayInTable(SourceData_PastureBeef.SourceData_PastureBeef_LiveweightGain_Data(), Table_SourceData_PastureBeef_LiveweightGain[[#Headers],[State]],0)</f>
        <v>Spring</v>
      </c>
      <c r="G163" s="10" cm="1">
        <f t="array" ref="G163">Common_InputFunctions.Utility_DisplayArrayInTable(SourceData_PastureBeef.SourceData_PastureBeef_LiveweightGain_Data(), Table_SourceData_PastureBeef_LiveweightGain[[#Headers],[State]],0)</f>
        <v>1</v>
      </c>
      <c r="H163" s="10" cm="1">
        <f t="array" ref="H163">Common_InputFunctions.Utility_DisplayArrayInTable(SourceData_PastureBeef.SourceData_PastureBeef_LiveweightGain_Data(), Table_SourceData_PastureBeef_LiveweightGain[[#Headers],[State]],0)</f>
        <v>0.5</v>
      </c>
      <c r="I163" s="10" cm="1">
        <f t="array" ref="I163">Common_InputFunctions.Utility_DisplayArrayInTable(SourceData_PastureBeef.SourceData_PastureBeef_LiveweightGain_Data(), Table_SourceData_PastureBeef_LiveweightGain[[#Headers],[State]],0)</f>
        <v>1</v>
      </c>
      <c r="J163" s="10" cm="1">
        <f t="array" ref="J163">Common_InputFunctions.Utility_DisplayArrayInTable(SourceData_PastureBeef.SourceData_PastureBeef_LiveweightGain_Data(), Table_SourceData_PastureBeef_LiveweightGain[[#Headers],[State]],0)</f>
        <v>1</v>
      </c>
      <c r="K163" s="10" cm="1">
        <f t="array" ref="K163">Common_InputFunctions.Utility_DisplayArrayInTable(SourceData_PastureBeef.SourceData_PastureBeef_LiveweightGain_Data(), Table_SourceData_PastureBeef_LiveweightGain[[#Headers],[State]],0)</f>
        <v>-0.44</v>
      </c>
      <c r="L163" s="10" cm="1">
        <f t="array" ref="L163">Common_InputFunctions.Utility_DisplayArrayInTable(SourceData_PastureBeef.SourceData_PastureBeef_LiveweightGain_Data(), Table_SourceData_PastureBeef_LiveweightGain[[#Headers],[State]],0)</f>
        <v>1</v>
      </c>
      <c r="M163" s="10"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8" t="str" cm="1">
        <f t="array" ref="D164">Common_InputFunctions.Utility_DisplayArrayInTable(SourceData_PastureBeef.SourceData_PastureBeef_LiveweightGain_Data(), Table_SourceData_PastureBeef_LiveweightGain[[#Headers],[State]],0)</f>
        <v>Tasmania</v>
      </c>
      <c r="E164" s="10" t="str" cm="1">
        <f t="array" ref="E164">Common_InputFunctions.Utility_DisplayArrayInTable(SourceData_PastureBeef.SourceData_PastureBeef_LiveweightGain_Data(), Table_SourceData_PastureBeef_LiveweightGain[[#Headers],[State]],0)</f>
        <v>n/a</v>
      </c>
      <c r="F164" s="10" t="str" cm="1">
        <f t="array" ref="F164">Common_InputFunctions.Utility_DisplayArrayInTable(SourceData_PastureBeef.SourceData_PastureBeef_LiveweightGain_Data(), Table_SourceData_PastureBeef_LiveweightGain[[#Headers],[State]],0)</f>
        <v>Summer</v>
      </c>
      <c r="G164" s="10" cm="1">
        <f t="array" ref="G164">Common_InputFunctions.Utility_DisplayArrayInTable(SourceData_PastureBeef.SourceData_PastureBeef_LiveweightGain_Data(), Table_SourceData_PastureBeef_LiveweightGain[[#Headers],[State]],0)</f>
        <v>0.82</v>
      </c>
      <c r="H164" s="10" cm="1">
        <f t="array" ref="H164">Common_InputFunctions.Utility_DisplayArrayInTable(SourceData_PastureBeef.SourceData_PastureBeef_LiveweightGain_Data(), Table_SourceData_PastureBeef_LiveweightGain[[#Headers],[State]],0)</f>
        <v>0.55000000000000004</v>
      </c>
      <c r="I164" s="10" cm="1">
        <f t="array" ref="I164">Common_InputFunctions.Utility_DisplayArrayInTable(SourceData_PastureBeef.SourceData_PastureBeef_LiveweightGain_Data(), Table_SourceData_PastureBeef_LiveweightGain[[#Headers],[State]],0)</f>
        <v>0.71</v>
      </c>
      <c r="J164" s="10" cm="1">
        <f t="array" ref="J164">Common_InputFunctions.Utility_DisplayArrayInTable(SourceData_PastureBeef.SourceData_PastureBeef_LiveweightGain_Data(), Table_SourceData_PastureBeef_LiveweightGain[[#Headers],[State]],0)</f>
        <v>0.55000000000000004</v>
      </c>
      <c r="K164" s="10" cm="1">
        <f t="array" ref="K164">Common_InputFunctions.Utility_DisplayArrayInTable(SourceData_PastureBeef.SourceData_PastureBeef_LiveweightGain_Data(), Table_SourceData_PastureBeef_LiveweightGain[[#Headers],[State]],0)</f>
        <v>0.99</v>
      </c>
      <c r="L164" s="10" cm="1">
        <f t="array" ref="L164">Common_InputFunctions.Utility_DisplayArrayInTable(SourceData_PastureBeef.SourceData_PastureBeef_LiveweightGain_Data(), Table_SourceData_PastureBeef_LiveweightGain[[#Headers],[State]],0)</f>
        <v>0.77</v>
      </c>
      <c r="M164" s="10"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8" t="str" cm="1">
        <f t="array" ref="D165">Common_InputFunctions.Utility_DisplayArrayInTable(SourceData_PastureBeef.SourceData_PastureBeef_LiveweightGain_Data(), Table_SourceData_PastureBeef_LiveweightGain[[#Headers],[State]],0)</f>
        <v>Tasmania</v>
      </c>
      <c r="E165" s="10" t="str" cm="1">
        <f t="array" ref="E165">Common_InputFunctions.Utility_DisplayArrayInTable(SourceData_PastureBeef.SourceData_PastureBeef_LiveweightGain_Data(), Table_SourceData_PastureBeef_LiveweightGain[[#Headers],[State]],0)</f>
        <v>n/a</v>
      </c>
      <c r="F165" s="10" t="str" cm="1">
        <f t="array" ref="F165">Common_InputFunctions.Utility_DisplayArrayInTable(SourceData_PastureBeef.SourceData_PastureBeef_LiveweightGain_Data(), Table_SourceData_PastureBeef_LiveweightGain[[#Headers],[State]],0)</f>
        <v>Autumn</v>
      </c>
      <c r="G165" s="10" cm="1">
        <f t="array" ref="G165">Common_InputFunctions.Utility_DisplayArrayInTable(SourceData_PastureBeef.SourceData_PastureBeef_LiveweightGain_Data(), Table_SourceData_PastureBeef_LiveweightGain[[#Headers],[State]],0)</f>
        <v>0.77</v>
      </c>
      <c r="H165" s="10" cm="1">
        <f t="array" ref="H165">Common_InputFunctions.Utility_DisplayArrayInTable(SourceData_PastureBeef.SourceData_PastureBeef_LiveweightGain_Data(), Table_SourceData_PastureBeef_LiveweightGain[[#Headers],[State]],0)</f>
        <v>0.5</v>
      </c>
      <c r="I165" s="10" cm="1">
        <f t="array" ref="I165">Common_InputFunctions.Utility_DisplayArrayInTable(SourceData_PastureBeef.SourceData_PastureBeef_LiveweightGain_Data(), Table_SourceData_PastureBeef_LiveweightGain[[#Headers],[State]],0)</f>
        <v>0.55000000000000004</v>
      </c>
      <c r="J165" s="10" cm="1">
        <f t="array" ref="J165">Common_InputFunctions.Utility_DisplayArrayInTable(SourceData_PastureBeef.SourceData_PastureBeef_LiveweightGain_Data(), Table_SourceData_PastureBeef_LiveweightGain[[#Headers],[State]],0)</f>
        <v>0.11</v>
      </c>
      <c r="K165" s="10" cm="1">
        <f t="array" ref="K165">Common_InputFunctions.Utility_DisplayArrayInTable(SourceData_PastureBeef.SourceData_PastureBeef_LiveweightGain_Data(), Table_SourceData_PastureBeef_LiveweightGain[[#Headers],[State]],0)</f>
        <v>-0.33</v>
      </c>
      <c r="L165" s="10" cm="1">
        <f t="array" ref="L165">Common_InputFunctions.Utility_DisplayArrayInTable(SourceData_PastureBeef.SourceData_PastureBeef_LiveweightGain_Data(), Table_SourceData_PastureBeef_LiveweightGain[[#Headers],[State]],0)</f>
        <v>0.6</v>
      </c>
      <c r="M165" s="10" cm="1">
        <f t="array" ref="M165">Common_InputFunctions.Utility_DisplayArrayInTable(SourceData_PastureBeef.SourceData_PastureBeef_LiveweightGain_Data(), Table_SourceData_PastureBeef_LiveweightGain[[#Headers],[State]],0)</f>
        <v>0.33</v>
      </c>
    </row>
    <row r="166" spans="4:13" x14ac:dyDescent="0.25">
      <c r="D166" s="8" t="str" cm="1">
        <f t="array" ref="D166">Common_InputFunctions.Utility_DisplayArrayInTable(SourceData_PastureBeef.SourceData_PastureBeef_LiveweightGain_Data(), Table_SourceData_PastureBeef_LiveweightGain[[#Headers],[State]],0)</f>
        <v>Tasmania</v>
      </c>
      <c r="E166" s="10" t="str" cm="1">
        <f t="array" ref="E166">Common_InputFunctions.Utility_DisplayArrayInTable(SourceData_PastureBeef.SourceData_PastureBeef_LiveweightGain_Data(), Table_SourceData_PastureBeef_LiveweightGain[[#Headers],[State]],0)</f>
        <v>n/a</v>
      </c>
      <c r="F166" s="10" t="str" cm="1">
        <f t="array" ref="F166">Common_InputFunctions.Utility_DisplayArrayInTable(SourceData_PastureBeef.SourceData_PastureBeef_LiveweightGain_Data(), Table_SourceData_PastureBeef_LiveweightGain[[#Headers],[State]],0)</f>
        <v>Winter</v>
      </c>
      <c r="G166" s="10" cm="1">
        <f t="array" ref="G166">Common_InputFunctions.Utility_DisplayArrayInTable(SourceData_PastureBeef.SourceData_PastureBeef_LiveweightGain_Data(), Table_SourceData_PastureBeef_LiveweightGain[[#Headers],[State]],0)</f>
        <v>0.11</v>
      </c>
      <c r="H166" s="10" cm="1">
        <f t="array" ref="H166">Common_InputFunctions.Utility_DisplayArrayInTable(SourceData_PastureBeef.SourceData_PastureBeef_LiveweightGain_Data(), Table_SourceData_PastureBeef_LiveweightGain[[#Headers],[State]],0)</f>
        <v>-0.27</v>
      </c>
      <c r="I166" s="10" cm="1">
        <f t="array" ref="I166">Common_InputFunctions.Utility_DisplayArrayInTable(SourceData_PastureBeef.SourceData_PastureBeef_LiveweightGain_Data(), Table_SourceData_PastureBeef_LiveweightGain[[#Headers],[State]],0)</f>
        <v>0.11</v>
      </c>
      <c r="J166" s="10" cm="1">
        <f t="array" ref="J166">Common_InputFunctions.Utility_DisplayArrayInTable(SourceData_PastureBeef.SourceData_PastureBeef_LiveweightGain_Data(), Table_SourceData_PastureBeef_LiveweightGain[[#Headers],[State]],0)</f>
        <v>0.22</v>
      </c>
      <c r="K166" s="10" cm="1">
        <f t="array" ref="K166">Common_InputFunctions.Utility_DisplayArrayInTable(SourceData_PastureBeef.SourceData_PastureBeef_LiveweightGain_Data(), Table_SourceData_PastureBeef_LiveweightGain[[#Headers],[State]],0)</f>
        <v>-0.44</v>
      </c>
      <c r="L166" s="10" cm="1">
        <f t="array" ref="L166">Common_InputFunctions.Utility_DisplayArrayInTable(SourceData_PastureBeef.SourceData_PastureBeef_LiveweightGain_Data(), Table_SourceData_PastureBeef_LiveweightGain[[#Headers],[State]],0)</f>
        <v>0.16</v>
      </c>
      <c r="M166" s="10" cm="1">
        <f t="array" ref="M166">Common_InputFunctions.Utility_DisplayArrayInTable(SourceData_PastureBeef.SourceData_PastureBeef_LiveweightGain_Data(), Table_SourceData_PastureBeef_LiveweightGain[[#Headers],[State]],0)</f>
        <v>-0.22</v>
      </c>
    </row>
    <row r="167" spans="4:13" x14ac:dyDescent="0.25">
      <c r="D167" s="8" t="str" cm="1">
        <f t="array" ref="D167">Common_InputFunctions.Utility_DisplayArrayInTable(SourceData_PastureBeef.SourceData_PastureBeef_LiveweightGain_Data(), Table_SourceData_PastureBeef_LiveweightGain[[#Headers],[State]],0)</f>
        <v>Victoria</v>
      </c>
      <c r="E167" s="10" t="str" cm="1">
        <f t="array" ref="E167">Common_InputFunctions.Utility_DisplayArrayInTable(SourceData_PastureBeef.SourceData_PastureBeef_LiveweightGain_Data(), Table_SourceData_PastureBeef_LiveweightGain[[#Headers],[State]],0)</f>
        <v>n/a</v>
      </c>
      <c r="F167" s="10" t="str" cm="1">
        <f t="array" ref="F167">Common_InputFunctions.Utility_DisplayArrayInTable(SourceData_PastureBeef.SourceData_PastureBeef_LiveweightGain_Data(), Table_SourceData_PastureBeef_LiveweightGain[[#Headers],[State]],0)</f>
        <v>Spring</v>
      </c>
      <c r="G167" s="10" cm="1">
        <f t="array" ref="G167">Common_InputFunctions.Utility_DisplayArrayInTable(SourceData_PastureBeef.SourceData_PastureBeef_LiveweightGain_Data(), Table_SourceData_PastureBeef_LiveweightGain[[#Headers],[State]],0)</f>
        <v>1.1000000000000001</v>
      </c>
      <c r="H167" s="10" cm="1">
        <f t="array" ref="H167">Common_InputFunctions.Utility_DisplayArrayInTable(SourceData_PastureBeef.SourceData_PastureBeef_LiveweightGain_Data(), Table_SourceData_PastureBeef_LiveweightGain[[#Headers],[State]],0)</f>
        <v>1.1000000000000001</v>
      </c>
      <c r="I167" s="10" cm="1">
        <f t="array" ref="I167">Common_InputFunctions.Utility_DisplayArrayInTable(SourceData_PastureBeef.SourceData_PastureBeef_LiveweightGain_Data(), Table_SourceData_PastureBeef_LiveweightGain[[#Headers],[State]],0)</f>
        <v>1.1000000000000001</v>
      </c>
      <c r="J167" s="10" cm="1">
        <f t="array" ref="J167">Common_InputFunctions.Utility_DisplayArrayInTable(SourceData_PastureBeef.SourceData_PastureBeef_LiveweightGain_Data(), Table_SourceData_PastureBeef_LiveweightGain[[#Headers],[State]],0)</f>
        <v>0.99</v>
      </c>
      <c r="K167" s="10" cm="1">
        <f t="array" ref="K167">Common_InputFunctions.Utility_DisplayArrayInTable(SourceData_PastureBeef.SourceData_PastureBeef_LiveweightGain_Data(), Table_SourceData_PastureBeef_LiveweightGain[[#Headers],[State]],0)</f>
        <v>0.99</v>
      </c>
      <c r="L167" s="10" cm="1">
        <f t="array" ref="L167">Common_InputFunctions.Utility_DisplayArrayInTable(SourceData_PastureBeef.SourceData_PastureBeef_LiveweightGain_Data(), Table_SourceData_PastureBeef_LiveweightGain[[#Headers],[State]],0)</f>
        <v>1.1000000000000001</v>
      </c>
      <c r="M167" s="10" cm="1">
        <f t="array" ref="M167">Common_InputFunctions.Utility_DisplayArrayInTable(SourceData_PastureBeef.SourceData_PastureBeef_LiveweightGain_Data(), Table_SourceData_PastureBeef_LiveweightGain[[#Headers],[State]],0)</f>
        <v>0.77</v>
      </c>
    </row>
    <row r="168" spans="4:13" x14ac:dyDescent="0.25">
      <c r="D168" s="8" t="str" cm="1">
        <f t="array" ref="D168">Common_InputFunctions.Utility_DisplayArrayInTable(SourceData_PastureBeef.SourceData_PastureBeef_LiveweightGain_Data(), Table_SourceData_PastureBeef_LiveweightGain[[#Headers],[State]],0)</f>
        <v>Victoria</v>
      </c>
      <c r="E168" s="10" t="str" cm="1">
        <f t="array" ref="E168">Common_InputFunctions.Utility_DisplayArrayInTable(SourceData_PastureBeef.SourceData_PastureBeef_LiveweightGain_Data(), Table_SourceData_PastureBeef_LiveweightGain[[#Headers],[State]],0)</f>
        <v>n/a</v>
      </c>
      <c r="F168" s="10" t="str" cm="1">
        <f t="array" ref="F168">Common_InputFunctions.Utility_DisplayArrayInTable(SourceData_PastureBeef.SourceData_PastureBeef_LiveweightGain_Data(), Table_SourceData_PastureBeef_LiveweightGain[[#Headers],[State]],0)</f>
        <v>Summer</v>
      </c>
      <c r="G168" s="10" cm="1">
        <f t="array" ref="G168">Common_InputFunctions.Utility_DisplayArrayInTable(SourceData_PastureBeef.SourceData_PastureBeef_LiveweightGain_Data(), Table_SourceData_PastureBeef_LiveweightGain[[#Headers],[State]],0)</f>
        <v>0.33</v>
      </c>
      <c r="H168" s="10" cm="1">
        <f t="array" ref="H168">Common_InputFunctions.Utility_DisplayArrayInTable(SourceData_PastureBeef.SourceData_PastureBeef_LiveweightGain_Data(), Table_SourceData_PastureBeef_LiveweightGain[[#Headers],[State]],0)</f>
        <v>0.33</v>
      </c>
      <c r="I168" s="10" cm="1">
        <f t="array" ref="I168">Common_InputFunctions.Utility_DisplayArrayInTable(SourceData_PastureBeef.SourceData_PastureBeef_LiveweightGain_Data(), Table_SourceData_PastureBeef_LiveweightGain[[#Headers],[State]],0)</f>
        <v>0.22</v>
      </c>
      <c r="J168" s="10" cm="1">
        <f t="array" ref="J168">Common_InputFunctions.Utility_DisplayArrayInTable(SourceData_PastureBeef.SourceData_PastureBeef_LiveweightGain_Data(), Table_SourceData_PastureBeef_LiveweightGain[[#Headers],[State]],0)</f>
        <v>0.33</v>
      </c>
      <c r="K168" s="10" cm="1">
        <f t="array" ref="K168">Common_InputFunctions.Utility_DisplayArrayInTable(SourceData_PastureBeef.SourceData_PastureBeef_LiveweightGain_Data(), Table_SourceData_PastureBeef_LiveweightGain[[#Headers],[State]],0)</f>
        <v>-0.1</v>
      </c>
      <c r="L168" s="10" cm="1">
        <f t="array" ref="L168">Common_InputFunctions.Utility_DisplayArrayInTable(SourceData_PastureBeef.SourceData_PastureBeef_LiveweightGain_Data(), Table_SourceData_PastureBeef_LiveweightGain[[#Headers],[State]],0)</f>
        <v>0.33</v>
      </c>
      <c r="M168" s="10" cm="1">
        <f t="array" ref="M168">Common_InputFunctions.Utility_DisplayArrayInTable(SourceData_PastureBeef.SourceData_PastureBeef_LiveweightGain_Data(), Table_SourceData_PastureBeef_LiveweightGain[[#Headers],[State]],0)</f>
        <v>0.11</v>
      </c>
    </row>
    <row r="169" spans="4:13" x14ac:dyDescent="0.25">
      <c r="D169" s="8" t="str" cm="1">
        <f t="array" ref="D169">Common_InputFunctions.Utility_DisplayArrayInTable(SourceData_PastureBeef.SourceData_PastureBeef_LiveweightGain_Data(), Table_SourceData_PastureBeef_LiveweightGain[[#Headers],[State]],0)</f>
        <v>Victoria</v>
      </c>
      <c r="E169" s="10" t="str" cm="1">
        <f t="array" ref="E169">Common_InputFunctions.Utility_DisplayArrayInTable(SourceData_PastureBeef.SourceData_PastureBeef_LiveweightGain_Data(), Table_SourceData_PastureBeef_LiveweightGain[[#Headers],[State]],0)</f>
        <v>n/a</v>
      </c>
      <c r="F169" s="10" t="str" cm="1">
        <f t="array" ref="F169">Common_InputFunctions.Utility_DisplayArrayInTable(SourceData_PastureBeef.SourceData_PastureBeef_LiveweightGain_Data(), Table_SourceData_PastureBeef_LiveweightGain[[#Headers],[State]],0)</f>
        <v>Autumn</v>
      </c>
      <c r="G169" s="10" cm="1">
        <f t="array" ref="G169">Common_InputFunctions.Utility_DisplayArrayInTable(SourceData_PastureBeef.SourceData_PastureBeef_LiveweightGain_Data(), Table_SourceData_PastureBeef_LiveweightGain[[#Headers],[State]],0)</f>
        <v>0.5</v>
      </c>
      <c r="H169" s="10" cm="1">
        <f t="array" ref="H169">Common_InputFunctions.Utility_DisplayArrayInTable(SourceData_PastureBeef.SourceData_PastureBeef_LiveweightGain_Data(), Table_SourceData_PastureBeef_LiveweightGain[[#Headers],[State]],0)</f>
        <v>0.2</v>
      </c>
      <c r="I169" s="10" cm="1">
        <f t="array" ref="I169">Common_InputFunctions.Utility_DisplayArrayInTable(SourceData_PastureBeef.SourceData_PastureBeef_LiveweightGain_Data(), Table_SourceData_PastureBeef_LiveweightGain[[#Headers],[State]],0)</f>
        <v>0.55000000000000004</v>
      </c>
      <c r="J169" s="10" cm="1">
        <f t="array" ref="J169">Common_InputFunctions.Utility_DisplayArrayInTable(SourceData_PastureBeef.SourceData_PastureBeef_LiveweightGain_Data(), Table_SourceData_PastureBeef_LiveweightGain[[#Headers],[State]],0)</f>
        <v>0.44</v>
      </c>
      <c r="K169" s="10" cm="1">
        <f t="array" ref="K169">Common_InputFunctions.Utility_DisplayArrayInTable(SourceData_PastureBeef.SourceData_PastureBeef_LiveweightGain_Data(), Table_SourceData_PastureBeef_LiveweightGain[[#Headers],[State]],0)</f>
        <v>0.2</v>
      </c>
      <c r="L169" s="10" cm="1">
        <f t="array" ref="L169">Common_InputFunctions.Utility_DisplayArrayInTable(SourceData_PastureBeef.SourceData_PastureBeef_LiveweightGain_Data(), Table_SourceData_PastureBeef_LiveweightGain[[#Headers],[State]],0)</f>
        <v>0.55000000000000004</v>
      </c>
      <c r="M169" s="10" cm="1">
        <f t="array" ref="M169">Common_InputFunctions.Utility_DisplayArrayInTable(SourceData_PastureBeef.SourceData_PastureBeef_LiveweightGain_Data(), Table_SourceData_PastureBeef_LiveweightGain[[#Headers],[State]],0)</f>
        <v>0.2</v>
      </c>
    </row>
    <row r="170" spans="4:13" x14ac:dyDescent="0.25">
      <c r="D170" s="8" t="str" cm="1">
        <f t="array" ref="D170">Common_InputFunctions.Utility_DisplayArrayInTable(SourceData_PastureBeef.SourceData_PastureBeef_LiveweightGain_Data(), Table_SourceData_PastureBeef_LiveweightGain[[#Headers],[State]],0)</f>
        <v>Victoria</v>
      </c>
      <c r="E170" s="10" t="str" cm="1">
        <f t="array" ref="E170">Common_InputFunctions.Utility_DisplayArrayInTable(SourceData_PastureBeef.SourceData_PastureBeef_LiveweightGain_Data(), Table_SourceData_PastureBeef_LiveweightGain[[#Headers],[State]],0)</f>
        <v>n/a</v>
      </c>
      <c r="F170" s="10" t="str" cm="1">
        <f t="array" ref="F170">Common_InputFunctions.Utility_DisplayArrayInTable(SourceData_PastureBeef.SourceData_PastureBeef_LiveweightGain_Data(), Table_SourceData_PastureBeef_LiveweightGain[[#Headers],[State]],0)</f>
        <v>Winter</v>
      </c>
      <c r="G170" s="10" cm="1">
        <f t="array" ref="G170">Common_InputFunctions.Utility_DisplayArrayInTable(SourceData_PastureBeef.SourceData_PastureBeef_LiveweightGain_Data(), Table_SourceData_PastureBeef_LiveweightGain[[#Headers],[State]],0)</f>
        <v>0.55000000000000004</v>
      </c>
      <c r="H170" s="10" cm="1">
        <f t="array" ref="H170">Common_InputFunctions.Utility_DisplayArrayInTable(SourceData_PastureBeef.SourceData_PastureBeef_LiveweightGain_Data(), Table_SourceData_PastureBeef_LiveweightGain[[#Headers],[State]],0)</f>
        <v>0.22</v>
      </c>
      <c r="I170" s="10" cm="1">
        <f t="array" ref="I170">Common_InputFunctions.Utility_DisplayArrayInTable(SourceData_PastureBeef.SourceData_PastureBeef_LiveweightGain_Data(), Table_SourceData_PastureBeef_LiveweightGain[[#Headers],[State]],0)</f>
        <v>0.49</v>
      </c>
      <c r="J170" s="10" cm="1">
        <f t="array" ref="J170">Common_InputFunctions.Utility_DisplayArrayInTable(SourceData_PastureBeef.SourceData_PastureBeef_LiveweightGain_Data(), Table_SourceData_PastureBeef_LiveweightGain[[#Headers],[State]],0)</f>
        <v>0.22</v>
      </c>
      <c r="K170" s="10" cm="1">
        <f t="array" ref="K170">Common_InputFunctions.Utility_DisplayArrayInTable(SourceData_PastureBeef.SourceData_PastureBeef_LiveweightGain_Data(), Table_SourceData_PastureBeef_LiveweightGain[[#Headers],[State]],0)</f>
        <v>0.22</v>
      </c>
      <c r="L170" s="10" cm="1">
        <f t="array" ref="L170">Common_InputFunctions.Utility_DisplayArrayInTable(SourceData_PastureBeef.SourceData_PastureBeef_LiveweightGain_Data(), Table_SourceData_PastureBeef_LiveweightGain[[#Headers],[State]],0)</f>
        <v>0.49</v>
      </c>
      <c r="M170" s="10" cm="1">
        <f t="array" ref="M170">Common_InputFunctions.Utility_DisplayArrayInTable(SourceData_PastureBeef.SourceData_PastureBeef_LiveweightGain_Data(), Table_SourceData_PastureBeef_LiveweightGain[[#Headers],[State]],0)</f>
        <v>0.33</v>
      </c>
    </row>
    <row r="171" spans="4:13" x14ac:dyDescent="0.25">
      <c r="D171" s="8" t="str" cm="1">
        <f t="array" ref="D171">Common_InputFunctions.Utility_DisplayArrayInTable(SourceData_PastureBeef.SourceData_PastureBeef_LiveweightGain_Data(), Table_SourceData_PastureBeef_LiveweightGain[[#Headers],[State]],0)</f>
        <v>Western Australia</v>
      </c>
      <c r="E171" s="10" t="str" cm="1">
        <f t="array" ref="E171">Common_InputFunctions.Utility_DisplayArrayInTable(SourceData_PastureBeef.SourceData_PastureBeef_LiveweightGain_Data(), Table_SourceData_PastureBeef_LiveweightGain[[#Headers],[State]],0)</f>
        <v>South West</v>
      </c>
      <c r="F171" s="10" t="str" cm="1">
        <f t="array" ref="F171">Common_InputFunctions.Utility_DisplayArrayInTable(SourceData_PastureBeef.SourceData_PastureBeef_LiveweightGain_Data(), Table_SourceData_PastureBeef_LiveweightGain[[#Headers],[State]],0)</f>
        <v>Spring</v>
      </c>
      <c r="G171" s="10" cm="1">
        <f t="array" ref="G171">Common_InputFunctions.Utility_DisplayArrayInTable(SourceData_PastureBeef.SourceData_PastureBeef_LiveweightGain_Data(), Table_SourceData_PastureBeef_LiveweightGain[[#Headers],[State]],0)</f>
        <v>1.64</v>
      </c>
      <c r="H171" s="10" cm="1">
        <f t="array" ref="H171">Common_InputFunctions.Utility_DisplayArrayInTable(SourceData_PastureBeef.SourceData_PastureBeef_LiveweightGain_Data(), Table_SourceData_PastureBeef_LiveweightGain[[#Headers],[State]],0)</f>
        <v>1.1000000000000001</v>
      </c>
      <c r="I171" s="10" cm="1">
        <f t="array" ref="I171">Common_InputFunctions.Utility_DisplayArrayInTable(SourceData_PastureBeef.SourceData_PastureBeef_LiveweightGain_Data(), Table_SourceData_PastureBeef_LiveweightGain[[#Headers],[State]],0)</f>
        <v>1.21</v>
      </c>
      <c r="J171" s="10" cm="1">
        <f t="array" ref="J171">Common_InputFunctions.Utility_DisplayArrayInTable(SourceData_PastureBeef.SourceData_PastureBeef_LiveweightGain_Data(), Table_SourceData_PastureBeef_LiveweightGain[[#Headers],[State]],0)</f>
        <v>0.99</v>
      </c>
      <c r="K171" s="10" cm="1">
        <f t="array" ref="K171">Common_InputFunctions.Utility_DisplayArrayInTable(SourceData_PastureBeef.SourceData_PastureBeef_LiveweightGain_Data(), Table_SourceData_PastureBeef_LiveweightGain[[#Headers],[State]],0)</f>
        <v>0.66</v>
      </c>
      <c r="L171" s="10" cm="1">
        <f t="array" ref="L171">Common_InputFunctions.Utility_DisplayArrayInTable(SourceData_PastureBeef.SourceData_PastureBeef_LiveweightGain_Data(), Table_SourceData_PastureBeef_LiveweightGain[[#Headers],[State]],0)</f>
        <v>1.42</v>
      </c>
      <c r="M171" s="10" cm="1">
        <f t="array" ref="M171">Common_InputFunctions.Utility_DisplayArrayInTable(SourceData_PastureBeef.SourceData_PastureBeef_LiveweightGain_Data(), Table_SourceData_PastureBeef_LiveweightGain[[#Headers],[State]],0)</f>
        <v>1.1000000000000001</v>
      </c>
    </row>
    <row r="172" spans="4:13" x14ac:dyDescent="0.25">
      <c r="D172" s="8" t="str" cm="1">
        <f t="array" ref="D172">Common_InputFunctions.Utility_DisplayArrayInTable(SourceData_PastureBeef.SourceData_PastureBeef_LiveweightGain_Data(), Table_SourceData_PastureBeef_LiveweightGain[[#Headers],[State]],0)</f>
        <v>Western Australia</v>
      </c>
      <c r="E172" s="10" t="str" cm="1">
        <f t="array" ref="E172">Common_InputFunctions.Utility_DisplayArrayInTable(SourceData_PastureBeef.SourceData_PastureBeef_LiveweightGain_Data(), Table_SourceData_PastureBeef_LiveweightGain[[#Headers],[State]],0)</f>
        <v>South West</v>
      </c>
      <c r="F172" s="10" t="str" cm="1">
        <f t="array" ref="F172">Common_InputFunctions.Utility_DisplayArrayInTable(SourceData_PastureBeef.SourceData_PastureBeef_LiveweightGain_Data(), Table_SourceData_PastureBeef_LiveweightGain[[#Headers],[State]],0)</f>
        <v>Summer</v>
      </c>
      <c r="G172" s="10" cm="1">
        <f t="array" ref="G172">Common_InputFunctions.Utility_DisplayArrayInTable(SourceData_PastureBeef.SourceData_PastureBeef_LiveweightGain_Data(), Table_SourceData_PastureBeef_LiveweightGain[[#Headers],[State]],0)</f>
        <v>0.44</v>
      </c>
      <c r="H172" s="10" cm="1">
        <f t="array" ref="H172">Common_InputFunctions.Utility_DisplayArrayInTable(SourceData_PastureBeef.SourceData_PastureBeef_LiveweightGain_Data(), Table_SourceData_PastureBeef_LiveweightGain[[#Headers],[State]],0)</f>
        <v>-0.22</v>
      </c>
      <c r="I172" s="10" cm="1">
        <f t="array" ref="I172">Common_InputFunctions.Utility_DisplayArrayInTable(SourceData_PastureBeef.SourceData_PastureBeef_LiveweightGain_Data(), Table_SourceData_PastureBeef_LiveweightGain[[#Headers],[State]],0)</f>
        <v>0.44</v>
      </c>
      <c r="J172" s="10" cm="1">
        <f t="array" ref="J172">Common_InputFunctions.Utility_DisplayArrayInTable(SourceData_PastureBeef.SourceData_PastureBeef_LiveweightGain_Data(), Table_SourceData_PastureBeef_LiveweightGain[[#Headers],[State]],0)</f>
        <v>0.33</v>
      </c>
      <c r="K172" s="10" cm="1">
        <f t="array" ref="K172">Common_InputFunctions.Utility_DisplayArrayInTable(SourceData_PastureBeef.SourceData_PastureBeef_LiveweightGain_Data(), Table_SourceData_PastureBeef_LiveweightGain[[#Headers],[State]],0)</f>
        <v>-0.22</v>
      </c>
      <c r="L172" s="10" cm="1">
        <f t="array" ref="L172">Common_InputFunctions.Utility_DisplayArrayInTable(SourceData_PastureBeef.SourceData_PastureBeef_LiveweightGain_Data(), Table_SourceData_PastureBeef_LiveweightGain[[#Headers],[State]],0)</f>
        <v>0.44</v>
      </c>
      <c r="M172" s="10" cm="1">
        <f t="array" ref="M172">Common_InputFunctions.Utility_DisplayArrayInTable(SourceData_PastureBeef.SourceData_PastureBeef_LiveweightGain_Data(), Table_SourceData_PastureBeef_LiveweightGain[[#Headers],[State]],0)</f>
        <v>-0.11</v>
      </c>
    </row>
    <row r="173" spans="4:13" x14ac:dyDescent="0.25">
      <c r="D173" s="8" t="str" cm="1">
        <f t="array" ref="D173">Common_InputFunctions.Utility_DisplayArrayInTable(SourceData_PastureBeef.SourceData_PastureBeef_LiveweightGain_Data(), Table_SourceData_PastureBeef_LiveweightGain[[#Headers],[State]],0)</f>
        <v>Western Australia</v>
      </c>
      <c r="E173" s="10" t="str" cm="1">
        <f t="array" ref="E173">Common_InputFunctions.Utility_DisplayArrayInTable(SourceData_PastureBeef.SourceData_PastureBeef_LiveweightGain_Data(), Table_SourceData_PastureBeef_LiveweightGain[[#Headers],[State]],0)</f>
        <v>South West</v>
      </c>
      <c r="F173" s="10" t="str" cm="1">
        <f t="array" ref="F173">Common_InputFunctions.Utility_DisplayArrayInTable(SourceData_PastureBeef.SourceData_PastureBeef_LiveweightGain_Data(), Table_SourceData_PastureBeef_LiveweightGain[[#Headers],[State]],0)</f>
        <v>Autumn</v>
      </c>
      <c r="G173" s="10" cm="1">
        <f t="array" ref="G173">Common_InputFunctions.Utility_DisplayArrayInTable(SourceData_PastureBeef.SourceData_PastureBeef_LiveweightGain_Data(), Table_SourceData_PastureBeef_LiveweightGain[[#Headers],[State]],0)</f>
        <v>0.6</v>
      </c>
      <c r="H173" s="10" cm="1">
        <f t="array" ref="H173">Common_InputFunctions.Utility_DisplayArrayInTable(SourceData_PastureBeef.SourceData_PastureBeef_LiveweightGain_Data(), Table_SourceData_PastureBeef_LiveweightGain[[#Headers],[State]],0)</f>
        <v>0</v>
      </c>
      <c r="I173" s="10" cm="1">
        <f t="array" ref="I173">Common_InputFunctions.Utility_DisplayArrayInTable(SourceData_PastureBeef.SourceData_PastureBeef_LiveweightGain_Data(), Table_SourceData_PastureBeef_LiveweightGain[[#Headers],[State]],0)</f>
        <v>0.6</v>
      </c>
      <c r="J173" s="10" cm="1">
        <f t="array" ref="J173">Common_InputFunctions.Utility_DisplayArrayInTable(SourceData_PastureBeef.SourceData_PastureBeef_LiveweightGain_Data(), Table_SourceData_PastureBeef_LiveweightGain[[#Headers],[State]],0)</f>
        <v>0.22</v>
      </c>
      <c r="K173" s="10" cm="1">
        <f t="array" ref="K173">Common_InputFunctions.Utility_DisplayArrayInTable(SourceData_PastureBeef.SourceData_PastureBeef_LiveweightGain_Data(), Table_SourceData_PastureBeef_LiveweightGain[[#Headers],[State]],0)</f>
        <v>-0.55000000000000004</v>
      </c>
      <c r="L173" s="10" cm="1">
        <f t="array" ref="L173">Common_InputFunctions.Utility_DisplayArrayInTable(SourceData_PastureBeef.SourceData_PastureBeef_LiveweightGain_Data(), Table_SourceData_PastureBeef_LiveweightGain[[#Headers],[State]],0)</f>
        <v>0.6</v>
      </c>
      <c r="M173" s="10" cm="1">
        <f t="array" ref="M173">Common_InputFunctions.Utility_DisplayArrayInTable(SourceData_PastureBeef.SourceData_PastureBeef_LiveweightGain_Data(), Table_SourceData_PastureBeef_LiveweightGain[[#Headers],[State]],0)</f>
        <v>0</v>
      </c>
    </row>
    <row r="174" spans="4:13" x14ac:dyDescent="0.25">
      <c r="D174" s="8" t="str" cm="1">
        <f t="array" ref="D174">Common_InputFunctions.Utility_DisplayArrayInTable(SourceData_PastureBeef.SourceData_PastureBeef_LiveweightGain_Data(), Table_SourceData_PastureBeef_LiveweightGain[[#Headers],[State]],0)</f>
        <v>Western Australia</v>
      </c>
      <c r="E174" s="10" t="str" cm="1">
        <f t="array" ref="E174">Common_InputFunctions.Utility_DisplayArrayInTable(SourceData_PastureBeef.SourceData_PastureBeef_LiveweightGain_Data(), Table_SourceData_PastureBeef_LiveweightGain[[#Headers],[State]],0)</f>
        <v>South West</v>
      </c>
      <c r="F174" s="10" t="str" cm="1">
        <f t="array" ref="F174">Common_InputFunctions.Utility_DisplayArrayInTable(SourceData_PastureBeef.SourceData_PastureBeef_LiveweightGain_Data(), Table_SourceData_PastureBeef_LiveweightGain[[#Headers],[State]],0)</f>
        <v>Winter</v>
      </c>
      <c r="G174" s="10" cm="1">
        <f t="array" ref="G174">Common_InputFunctions.Utility_DisplayArrayInTable(SourceData_PastureBeef.SourceData_PastureBeef_LiveweightGain_Data(), Table_SourceData_PastureBeef_LiveweightGain[[#Headers],[State]],0)</f>
        <v>0.99</v>
      </c>
      <c r="H174" s="10" cm="1">
        <f t="array" ref="H174">Common_InputFunctions.Utility_DisplayArrayInTable(SourceData_PastureBeef.SourceData_PastureBeef_LiveweightGain_Data(), Table_SourceData_PastureBeef_LiveweightGain[[#Headers],[State]],0)</f>
        <v>0.22</v>
      </c>
      <c r="I174" s="10" cm="1">
        <f t="array" ref="I174">Common_InputFunctions.Utility_DisplayArrayInTable(SourceData_PastureBeef.SourceData_PastureBeef_LiveweightGain_Data(), Table_SourceData_PastureBeef_LiveweightGain[[#Headers],[State]],0)</f>
        <v>0.77</v>
      </c>
      <c r="J174" s="10" cm="1">
        <f t="array" ref="J174">Common_InputFunctions.Utility_DisplayArrayInTable(SourceData_PastureBeef.SourceData_PastureBeef_LiveweightGain_Data(), Table_SourceData_PastureBeef_LiveweightGain[[#Headers],[State]],0)</f>
        <v>0.11</v>
      </c>
      <c r="K174" s="10" cm="1">
        <f t="array" ref="K174">Common_InputFunctions.Utility_DisplayArrayInTable(SourceData_PastureBeef.SourceData_PastureBeef_LiveweightGain_Data(), Table_SourceData_PastureBeef_LiveweightGain[[#Headers],[State]],0)</f>
        <v>0.11</v>
      </c>
      <c r="L174" s="10" cm="1">
        <f t="array" ref="L174">Common_InputFunctions.Utility_DisplayArrayInTable(SourceData_PastureBeef.SourceData_PastureBeef_LiveweightGain_Data(), Table_SourceData_PastureBeef_LiveweightGain[[#Headers],[State]],0)</f>
        <v>0.77</v>
      </c>
      <c r="M174" s="10" cm="1">
        <f t="array" ref="M174">Common_InputFunctions.Utility_DisplayArrayInTable(SourceData_PastureBeef.SourceData_PastureBeef_LiveweightGain_Data(), Table_SourceData_PastureBeef_LiveweightGain[[#Headers],[State]],0)</f>
        <v>0.44</v>
      </c>
    </row>
    <row r="175" spans="4:13" x14ac:dyDescent="0.25">
      <c r="D175" s="8" t="str" cm="1">
        <f t="array" ref="D175">Common_InputFunctions.Utility_DisplayArrayInTable(SourceData_PastureBeef.SourceData_PastureBeef_LiveweightGain_Data(), Table_SourceData_PastureBeef_LiveweightGain[[#Headers],[State]],0)</f>
        <v>Western Australia</v>
      </c>
      <c r="E175" s="10" t="str" cm="1">
        <f t="array" ref="E175">Common_InputFunctions.Utility_DisplayArrayInTable(SourceData_PastureBeef.SourceData_PastureBeef_LiveweightGain_Data(), Table_SourceData_PastureBeef_LiveweightGain[[#Headers],[State]],0)</f>
        <v>Pilbara</v>
      </c>
      <c r="F175" s="10" t="str" cm="1">
        <f t="array" ref="F175">Common_InputFunctions.Utility_DisplayArrayInTable(SourceData_PastureBeef.SourceData_PastureBeef_LiveweightGain_Data(), Table_SourceData_PastureBeef_LiveweightGain[[#Headers],[State]],0)</f>
        <v>Spring</v>
      </c>
      <c r="G175" s="10" cm="1">
        <f t="array" ref="G175">Common_InputFunctions.Utility_DisplayArrayInTable(SourceData_PastureBeef.SourceData_PastureBeef_LiveweightGain_Data(), Table_SourceData_PastureBeef_LiveweightGain[[#Headers],[State]],0)</f>
        <v>0.7</v>
      </c>
      <c r="H175" s="10" cm="1">
        <f t="array" ref="H175">Common_InputFunctions.Utility_DisplayArrayInTable(SourceData_PastureBeef.SourceData_PastureBeef_LiveweightGain_Data(), Table_SourceData_PastureBeef_LiveweightGain[[#Headers],[State]],0)</f>
        <v>-0.55000000000000004</v>
      </c>
      <c r="I175" s="10" cm="1">
        <f t="array" ref="I175">Common_InputFunctions.Utility_DisplayArrayInTable(SourceData_PastureBeef.SourceData_PastureBeef_LiveweightGain_Data(), Table_SourceData_PastureBeef_LiveweightGain[[#Headers],[State]],0)</f>
        <v>0.7</v>
      </c>
      <c r="J175" s="10" cm="1">
        <f t="array" ref="J175">Common_InputFunctions.Utility_DisplayArrayInTable(SourceData_PastureBeef.SourceData_PastureBeef_LiveweightGain_Data(), Table_SourceData_PastureBeef_LiveweightGain[[#Headers],[State]],0)</f>
        <v>0.22</v>
      </c>
      <c r="K175" s="10" cm="1">
        <f t="array" ref="K175">Common_InputFunctions.Utility_DisplayArrayInTable(SourceData_PastureBeef.SourceData_PastureBeef_LiveweightGain_Data(), Table_SourceData_PastureBeef_LiveweightGain[[#Headers],[State]],0)</f>
        <v>-0.22</v>
      </c>
      <c r="L175" s="10" cm="1">
        <f t="array" ref="L175">Common_InputFunctions.Utility_DisplayArrayInTable(SourceData_PastureBeef.SourceData_PastureBeef_LiveweightGain_Data(), Table_SourceData_PastureBeef_LiveweightGain[[#Headers],[State]],0)</f>
        <v>0.7</v>
      </c>
      <c r="M175" s="10" cm="1">
        <f t="array" ref="M175">Common_InputFunctions.Utility_DisplayArrayInTable(SourceData_PastureBeef.SourceData_PastureBeef_LiveweightGain_Data(), Table_SourceData_PastureBeef_LiveweightGain[[#Headers],[State]],0)</f>
        <v>-0.22</v>
      </c>
    </row>
    <row r="176" spans="4:13" x14ac:dyDescent="0.25">
      <c r="D176" s="8" t="str" cm="1">
        <f t="array" ref="D176">Common_InputFunctions.Utility_DisplayArrayInTable(SourceData_PastureBeef.SourceData_PastureBeef_LiveweightGain_Data(), Table_SourceData_PastureBeef_LiveweightGain[[#Headers],[State]],0)</f>
        <v>Western Australia</v>
      </c>
      <c r="E176" s="10" t="str" cm="1">
        <f t="array" ref="E176">Common_InputFunctions.Utility_DisplayArrayInTable(SourceData_PastureBeef.SourceData_PastureBeef_LiveweightGain_Data(), Table_SourceData_PastureBeef_LiveweightGain[[#Headers],[State]],0)</f>
        <v>Pilbara</v>
      </c>
      <c r="F176" s="10" t="str" cm="1">
        <f t="array" ref="F176">Common_InputFunctions.Utility_DisplayArrayInTable(SourceData_PastureBeef.SourceData_PastureBeef_LiveweightGain_Data(), Table_SourceData_PastureBeef_LiveweightGain[[#Headers],[State]],0)</f>
        <v>Summer</v>
      </c>
      <c r="G176" s="10" cm="1">
        <f t="array" ref="G176">Common_InputFunctions.Utility_DisplayArrayInTable(SourceData_PastureBeef.SourceData_PastureBeef_LiveweightGain_Data(), Table_SourceData_PastureBeef_LiveweightGain[[#Headers],[State]],0)</f>
        <v>0.77</v>
      </c>
      <c r="H176" s="10" cm="1">
        <f t="array" ref="H176">Common_InputFunctions.Utility_DisplayArrayInTable(SourceData_PastureBeef.SourceData_PastureBeef_LiveweightGain_Data(), Table_SourceData_PastureBeef_LiveweightGain[[#Headers],[State]],0)</f>
        <v>0.55000000000000004</v>
      </c>
      <c r="I176" s="10" cm="1">
        <f t="array" ref="I176">Common_InputFunctions.Utility_DisplayArrayInTable(SourceData_PastureBeef.SourceData_PastureBeef_LiveweightGain_Data(), Table_SourceData_PastureBeef_LiveweightGain[[#Headers],[State]],0)</f>
        <v>0.77</v>
      </c>
      <c r="J176" s="10" cm="1">
        <f t="array" ref="J176">Common_InputFunctions.Utility_DisplayArrayInTable(SourceData_PastureBeef.SourceData_PastureBeef_LiveweightGain_Data(), Table_SourceData_PastureBeef_LiveweightGain[[#Headers],[State]],0)</f>
        <v>0.66</v>
      </c>
      <c r="K176" s="10" cm="1">
        <f t="array" ref="K176">Common_InputFunctions.Utility_DisplayArrayInTable(SourceData_PastureBeef.SourceData_PastureBeef_LiveweightGain_Data(), Table_SourceData_PastureBeef_LiveweightGain[[#Headers],[State]],0)</f>
        <v>0.55000000000000004</v>
      </c>
      <c r="L176" s="10" cm="1">
        <f t="array" ref="L176">Common_InputFunctions.Utility_DisplayArrayInTable(SourceData_PastureBeef.SourceData_PastureBeef_LiveweightGain_Data(), Table_SourceData_PastureBeef_LiveweightGain[[#Headers],[State]],0)</f>
        <v>0.77</v>
      </c>
      <c r="M176" s="10" cm="1">
        <f t="array" ref="M176">Common_InputFunctions.Utility_DisplayArrayInTable(SourceData_PastureBeef.SourceData_PastureBeef_LiveweightGain_Data(), Table_SourceData_PastureBeef_LiveweightGain[[#Headers],[State]],0)</f>
        <v>0.33</v>
      </c>
    </row>
    <row r="177" spans="4:16" x14ac:dyDescent="0.25">
      <c r="D177" s="8" t="str" cm="1">
        <f t="array" ref="D177">Common_InputFunctions.Utility_DisplayArrayInTable(SourceData_PastureBeef.SourceData_PastureBeef_LiveweightGain_Data(), Table_SourceData_PastureBeef_LiveweightGain[[#Headers],[State]],0)</f>
        <v>Western Australia</v>
      </c>
      <c r="E177" s="10" t="str" cm="1">
        <f t="array" ref="E177">Common_InputFunctions.Utility_DisplayArrayInTable(SourceData_PastureBeef.SourceData_PastureBeef_LiveweightGain_Data(), Table_SourceData_PastureBeef_LiveweightGain[[#Headers],[State]],0)</f>
        <v>Pilbara</v>
      </c>
      <c r="F177" s="10" t="str" cm="1">
        <f t="array" ref="F177">Common_InputFunctions.Utility_DisplayArrayInTable(SourceData_PastureBeef.SourceData_PastureBeef_LiveweightGain_Data(), Table_SourceData_PastureBeef_LiveweightGain[[#Headers],[State]],0)</f>
        <v>Autumn</v>
      </c>
      <c r="G177" s="10" cm="1">
        <f t="array" ref="G177">Common_InputFunctions.Utility_DisplayArrayInTable(SourceData_PastureBeef.SourceData_PastureBeef_LiveweightGain_Data(), Table_SourceData_PastureBeef_LiveweightGain[[#Headers],[State]],0)</f>
        <v>0.88</v>
      </c>
      <c r="H177" s="10" cm="1">
        <f t="array" ref="H177">Common_InputFunctions.Utility_DisplayArrayInTable(SourceData_PastureBeef.SourceData_PastureBeef_LiveweightGain_Data(), Table_SourceData_PastureBeef_LiveweightGain[[#Headers],[State]],0)</f>
        <v>0.55000000000000004</v>
      </c>
      <c r="I177" s="10" cm="1">
        <f t="array" ref="I177">Common_InputFunctions.Utility_DisplayArrayInTable(SourceData_PastureBeef.SourceData_PastureBeef_LiveweightGain_Data(), Table_SourceData_PastureBeef_LiveweightGain[[#Headers],[State]],0)</f>
        <v>0.88</v>
      </c>
      <c r="J177" s="10" cm="1">
        <f t="array" ref="J177">Common_InputFunctions.Utility_DisplayArrayInTable(SourceData_PastureBeef.SourceData_PastureBeef_LiveweightGain_Data(), Table_SourceData_PastureBeef_LiveweightGain[[#Headers],[State]],0)</f>
        <v>0.22</v>
      </c>
      <c r="K177" s="10" cm="1">
        <f t="array" ref="K177">Common_InputFunctions.Utility_DisplayArrayInTable(SourceData_PastureBeef.SourceData_PastureBeef_LiveweightGain_Data(), Table_SourceData_PastureBeef_LiveweightGain[[#Headers],[State]],0)</f>
        <v>0.22</v>
      </c>
      <c r="L177" s="10" cm="1">
        <f t="array" ref="L177">Common_InputFunctions.Utility_DisplayArrayInTable(SourceData_PastureBeef.SourceData_PastureBeef_LiveweightGain_Data(), Table_SourceData_PastureBeef_LiveweightGain[[#Headers],[State]],0)</f>
        <v>0.88</v>
      </c>
      <c r="M177" s="10" cm="1">
        <f t="array" ref="M177">Common_InputFunctions.Utility_DisplayArrayInTable(SourceData_PastureBeef.SourceData_PastureBeef_LiveweightGain_Data(), Table_SourceData_PastureBeef_LiveweightGain[[#Headers],[State]],0)</f>
        <v>0.22</v>
      </c>
    </row>
    <row r="178" spans="4:16" x14ac:dyDescent="0.25">
      <c r="D178" s="8" t="str" cm="1">
        <f t="array" ref="D178">Common_InputFunctions.Utility_DisplayArrayInTable(SourceData_PastureBeef.SourceData_PastureBeef_LiveweightGain_Data(), Table_SourceData_PastureBeef_LiveweightGain[[#Headers],[State]],0)</f>
        <v>Western Australia</v>
      </c>
      <c r="E178" s="10" t="str" cm="1">
        <f t="array" ref="E178">Common_InputFunctions.Utility_DisplayArrayInTable(SourceData_PastureBeef.SourceData_PastureBeef_LiveweightGain_Data(), Table_SourceData_PastureBeef_LiveweightGain[[#Headers],[State]],0)</f>
        <v>Pilbara</v>
      </c>
      <c r="F178" s="10" t="str" cm="1">
        <f t="array" ref="F178">Common_InputFunctions.Utility_DisplayArrayInTable(SourceData_PastureBeef.SourceData_PastureBeef_LiveweightGain_Data(), Table_SourceData_PastureBeef_LiveweightGain[[#Headers],[State]],0)</f>
        <v>Winter</v>
      </c>
      <c r="G178" s="10" cm="1">
        <f t="array" ref="G178">Common_InputFunctions.Utility_DisplayArrayInTable(SourceData_PastureBeef.SourceData_PastureBeef_LiveweightGain_Data(), Table_SourceData_PastureBeef_LiveweightGain[[#Headers],[State]],0)</f>
        <v>0.22</v>
      </c>
      <c r="H178" s="10" cm="1">
        <f t="array" ref="H178">Common_InputFunctions.Utility_DisplayArrayInTable(SourceData_PastureBeef.SourceData_PastureBeef_LiveweightGain_Data(), Table_SourceData_PastureBeef_LiveweightGain[[#Headers],[State]],0)</f>
        <v>-0.55000000000000004</v>
      </c>
      <c r="I178" s="10" cm="1">
        <f t="array" ref="I178">Common_InputFunctions.Utility_DisplayArrayInTable(SourceData_PastureBeef.SourceData_PastureBeef_LiveweightGain_Data(), Table_SourceData_PastureBeef_LiveweightGain[[#Headers],[State]],0)</f>
        <v>0.22</v>
      </c>
      <c r="J178" s="10" cm="1">
        <f t="array" ref="J178">Common_InputFunctions.Utility_DisplayArrayInTable(SourceData_PastureBeef.SourceData_PastureBeef_LiveweightGain_Data(), Table_SourceData_PastureBeef_LiveweightGain[[#Headers],[State]],0)</f>
        <v>0.11</v>
      </c>
      <c r="K178" s="10" cm="1">
        <f t="array" ref="K178">Common_InputFunctions.Utility_DisplayArrayInTable(SourceData_PastureBeef.SourceData_PastureBeef_LiveweightGain_Data(), Table_SourceData_PastureBeef_LiveweightGain[[#Headers],[State]],0)</f>
        <v>-0.22</v>
      </c>
      <c r="L178" s="10" cm="1">
        <f t="array" ref="L178">Common_InputFunctions.Utility_DisplayArrayInTable(SourceData_PastureBeef.SourceData_PastureBeef_LiveweightGain_Data(), Table_SourceData_PastureBeef_LiveweightGain[[#Headers],[State]],0)</f>
        <v>0.22</v>
      </c>
      <c r="M178" s="10" cm="1">
        <f t="array" ref="M178">Common_InputFunctions.Utility_DisplayArrayInTable(SourceData_PastureBeef.SourceData_PastureBeef_LiveweightGain_Data(), Table_SourceData_PastureBeef_LiveweightGain[[#Headers],[State]],0)</f>
        <v>-0.33</v>
      </c>
    </row>
    <row r="179" spans="4:16" x14ac:dyDescent="0.25">
      <c r="D179" s="8" t="str" cm="1">
        <f t="array" ref="D179">Common_InputFunctions.Utility_DisplayArrayInTable(SourceData_PastureBeef.SourceData_PastureBeef_LiveweightGain_Data(), Table_SourceData_PastureBeef_LiveweightGain[[#Headers],[State]],0)</f>
        <v>Western Australia</v>
      </c>
      <c r="E179" s="10" t="str" cm="1">
        <f t="array" ref="E179">Common_InputFunctions.Utility_DisplayArrayInTable(SourceData_PastureBeef.SourceData_PastureBeef_LiveweightGain_Data(), Table_SourceData_PastureBeef_LiveweightGain[[#Headers],[State]],0)</f>
        <v>Kimberley</v>
      </c>
      <c r="F179" s="10" t="str" cm="1">
        <f t="array" ref="F179">Common_InputFunctions.Utility_DisplayArrayInTable(SourceData_PastureBeef.SourceData_PastureBeef_LiveweightGain_Data(), Table_SourceData_PastureBeef_LiveweightGain[[#Headers],[State]],0)</f>
        <v>Spring</v>
      </c>
      <c r="G179" s="10" cm="1">
        <f t="array" ref="G179">Common_InputFunctions.Utility_DisplayArrayInTable(SourceData_PastureBeef.SourceData_PastureBeef_LiveweightGain_Data(), Table_SourceData_PastureBeef_LiveweightGain[[#Headers],[State]],0)</f>
        <v>0.22</v>
      </c>
      <c r="H179" s="10" cm="1">
        <f t="array" ref="H179">Common_InputFunctions.Utility_DisplayArrayInTable(SourceData_PastureBeef.SourceData_PastureBeef_LiveweightGain_Data(), Table_SourceData_PastureBeef_LiveweightGain[[#Headers],[State]],0)</f>
        <v>-0.55000000000000004</v>
      </c>
      <c r="I179" s="10" cm="1">
        <f t="array" ref="I179">Common_InputFunctions.Utility_DisplayArrayInTable(SourceData_PastureBeef.SourceData_PastureBeef_LiveweightGain_Data(), Table_SourceData_PastureBeef_LiveweightGain[[#Headers],[State]],0)</f>
        <v>0.33</v>
      </c>
      <c r="J179" s="10" cm="1">
        <f t="array" ref="J179">Common_InputFunctions.Utility_DisplayArrayInTable(SourceData_PastureBeef.SourceData_PastureBeef_LiveweightGain_Data(), Table_SourceData_PastureBeef_LiveweightGain[[#Headers],[State]],0)</f>
        <v>0.22</v>
      </c>
      <c r="K179" s="10" cm="1">
        <f t="array" ref="K179">Common_InputFunctions.Utility_DisplayArrayInTable(SourceData_PastureBeef.SourceData_PastureBeef_LiveweightGain_Data(), Table_SourceData_PastureBeef_LiveweightGain[[#Headers],[State]],0)</f>
        <v>-0.33</v>
      </c>
      <c r="L179" s="10" cm="1">
        <f t="array" ref="L179">Common_InputFunctions.Utility_DisplayArrayInTable(SourceData_PastureBeef.SourceData_PastureBeef_LiveweightGain_Data(), Table_SourceData_PastureBeef_LiveweightGain[[#Headers],[State]],0)</f>
        <v>0.22</v>
      </c>
      <c r="M179" s="10" cm="1">
        <f t="array" ref="M179">Common_InputFunctions.Utility_DisplayArrayInTable(SourceData_PastureBeef.SourceData_PastureBeef_LiveweightGain_Data(), Table_SourceData_PastureBeef_LiveweightGain[[#Headers],[State]],0)</f>
        <v>-0.55000000000000004</v>
      </c>
    </row>
    <row r="180" spans="4:16" x14ac:dyDescent="0.25">
      <c r="D180" s="8" t="str" cm="1">
        <f t="array" ref="D180">Common_InputFunctions.Utility_DisplayArrayInTable(SourceData_PastureBeef.SourceData_PastureBeef_LiveweightGain_Data(), Table_SourceData_PastureBeef_LiveweightGain[[#Headers],[State]],0)</f>
        <v>Western Australia</v>
      </c>
      <c r="E180" s="10" t="str" cm="1">
        <f t="array" ref="E180">Common_InputFunctions.Utility_DisplayArrayInTable(SourceData_PastureBeef.SourceData_PastureBeef_LiveweightGain_Data(), Table_SourceData_PastureBeef_LiveweightGain[[#Headers],[State]],0)</f>
        <v>Kimberley</v>
      </c>
      <c r="F180" s="10" t="str" cm="1">
        <f t="array" ref="F180">Common_InputFunctions.Utility_DisplayArrayInTable(SourceData_PastureBeef.SourceData_PastureBeef_LiveweightGain_Data(), Table_SourceData_PastureBeef_LiveweightGain[[#Headers],[State]],0)</f>
        <v>Summer</v>
      </c>
      <c r="G180" s="10" cm="1">
        <f t="array" ref="G180">Common_InputFunctions.Utility_DisplayArrayInTable(SourceData_PastureBeef.SourceData_PastureBeef_LiveweightGain_Data(), Table_SourceData_PastureBeef_LiveweightGain[[#Headers],[State]],0)</f>
        <v>0.8</v>
      </c>
      <c r="H180" s="10" cm="1">
        <f t="array" ref="H180">Common_InputFunctions.Utility_DisplayArrayInTable(SourceData_PastureBeef.SourceData_PastureBeef_LiveweightGain_Data(), Table_SourceData_PastureBeef_LiveweightGain[[#Headers],[State]],0)</f>
        <v>0.55000000000000004</v>
      </c>
      <c r="I180" s="10" cm="1">
        <f t="array" ref="I180">Common_InputFunctions.Utility_DisplayArrayInTable(SourceData_PastureBeef.SourceData_PastureBeef_LiveweightGain_Data(), Table_SourceData_PastureBeef_LiveweightGain[[#Headers],[State]],0)</f>
        <v>0.7</v>
      </c>
      <c r="J180" s="10" cm="1">
        <f t="array" ref="J180">Common_InputFunctions.Utility_DisplayArrayInTable(SourceData_PastureBeef.SourceData_PastureBeef_LiveweightGain_Data(), Table_SourceData_PastureBeef_LiveweightGain[[#Headers],[State]],0)</f>
        <v>0.44</v>
      </c>
      <c r="K180" s="10" cm="1">
        <f t="array" ref="K180">Common_InputFunctions.Utility_DisplayArrayInTable(SourceData_PastureBeef.SourceData_PastureBeef_LiveweightGain_Data(), Table_SourceData_PastureBeef_LiveweightGain[[#Headers],[State]],0)</f>
        <v>0.66</v>
      </c>
      <c r="L180" s="10" cm="1">
        <f t="array" ref="L180">Common_InputFunctions.Utility_DisplayArrayInTable(SourceData_PastureBeef.SourceData_PastureBeef_LiveweightGain_Data(), Table_SourceData_PastureBeef_LiveweightGain[[#Headers],[State]],0)</f>
        <v>0.8</v>
      </c>
      <c r="M180" s="10" cm="1">
        <f t="array" ref="M180">Common_InputFunctions.Utility_DisplayArrayInTable(SourceData_PastureBeef.SourceData_PastureBeef_LiveweightGain_Data(), Table_SourceData_PastureBeef_LiveweightGain[[#Headers],[State]],0)</f>
        <v>0.55000000000000004</v>
      </c>
    </row>
    <row r="181" spans="4:16" x14ac:dyDescent="0.25">
      <c r="D181" s="8" t="str" cm="1">
        <f t="array" ref="D181">Common_InputFunctions.Utility_DisplayArrayInTable(SourceData_PastureBeef.SourceData_PastureBeef_LiveweightGain_Data(), Table_SourceData_PastureBeef_LiveweightGain[[#Headers],[State]],0)</f>
        <v>Western Australia</v>
      </c>
      <c r="E181" s="10" t="str" cm="1">
        <f t="array" ref="E181">Common_InputFunctions.Utility_DisplayArrayInTable(SourceData_PastureBeef.SourceData_PastureBeef_LiveweightGain_Data(), Table_SourceData_PastureBeef_LiveweightGain[[#Headers],[State]],0)</f>
        <v>Kimberley</v>
      </c>
      <c r="F181" s="10" t="str" cm="1">
        <f t="array" ref="F181">Common_InputFunctions.Utility_DisplayArrayInTable(SourceData_PastureBeef.SourceData_PastureBeef_LiveweightGain_Data(), Table_SourceData_PastureBeef_LiveweightGain[[#Headers],[State]],0)</f>
        <v>Autumn</v>
      </c>
      <c r="G181" s="10" cm="1">
        <f t="array" ref="G181">Common_InputFunctions.Utility_DisplayArrayInTable(SourceData_PastureBeef.SourceData_PastureBeef_LiveweightGain_Data(), Table_SourceData_PastureBeef_LiveweightGain[[#Headers],[State]],0)</f>
        <v>0.66</v>
      </c>
      <c r="H181" s="10" cm="1">
        <f t="array" ref="H181">Common_InputFunctions.Utility_DisplayArrayInTable(SourceData_PastureBeef.SourceData_PastureBeef_LiveweightGain_Data(), Table_SourceData_PastureBeef_LiveweightGain[[#Headers],[State]],0)</f>
        <v>0.55000000000000004</v>
      </c>
      <c r="I181" s="10" cm="1">
        <f t="array" ref="I181">Common_InputFunctions.Utility_DisplayArrayInTable(SourceData_PastureBeef.SourceData_PastureBeef_LiveweightGain_Data(), Table_SourceData_PastureBeef_LiveweightGain[[#Headers],[State]],0)</f>
        <v>0.55000000000000004</v>
      </c>
      <c r="J181" s="10" cm="1">
        <f t="array" ref="J181">Common_InputFunctions.Utility_DisplayArrayInTable(SourceData_PastureBeef.SourceData_PastureBeef_LiveweightGain_Data(), Table_SourceData_PastureBeef_LiveweightGain[[#Headers],[State]],0)</f>
        <v>0.55000000000000004</v>
      </c>
      <c r="K181" s="10" cm="1">
        <f t="array" ref="K181">Common_InputFunctions.Utility_DisplayArrayInTable(SourceData_PastureBeef.SourceData_PastureBeef_LiveweightGain_Data(), Table_SourceData_PastureBeef_LiveweightGain[[#Headers],[State]],0)</f>
        <v>0.11</v>
      </c>
      <c r="L181" s="10" cm="1">
        <f t="array" ref="L181">Common_InputFunctions.Utility_DisplayArrayInTable(SourceData_PastureBeef.SourceData_PastureBeef_LiveweightGain_Data(), Table_SourceData_PastureBeef_LiveweightGain[[#Headers],[State]],0)</f>
        <v>0.66</v>
      </c>
      <c r="M181" s="10" cm="1">
        <f t="array" ref="M181">Common_InputFunctions.Utility_DisplayArrayInTable(SourceData_PastureBeef.SourceData_PastureBeef_LiveweightGain_Data(), Table_SourceData_PastureBeef_LiveweightGain[[#Headers],[State]],0)</f>
        <v>0.55000000000000004</v>
      </c>
    </row>
    <row r="182" spans="4:16" x14ac:dyDescent="0.25">
      <c r="D182" s="8" t="str" cm="1">
        <f t="array" ref="D182">Common_InputFunctions.Utility_DisplayArrayInTable(SourceData_PastureBeef.SourceData_PastureBeef_LiveweightGain_Data(), Table_SourceData_PastureBeef_LiveweightGain[[#Headers],[State]],0)</f>
        <v>Western Australia</v>
      </c>
      <c r="E182" s="10" t="str" cm="1">
        <f t="array" ref="E182">Common_InputFunctions.Utility_DisplayArrayInTable(SourceData_PastureBeef.SourceData_PastureBeef_LiveweightGain_Data(), Table_SourceData_PastureBeef_LiveweightGain[[#Headers],[State]],0)</f>
        <v>Kimberley</v>
      </c>
      <c r="F182" s="10" t="str" cm="1">
        <f t="array" ref="F182">Common_InputFunctions.Utility_DisplayArrayInTable(SourceData_PastureBeef.SourceData_PastureBeef_LiveweightGain_Data(), Table_SourceData_PastureBeef_LiveweightGain[[#Headers],[State]],0)</f>
        <v>Winter</v>
      </c>
      <c r="G182" s="10" cm="1">
        <f t="array" ref="G182">Common_InputFunctions.Utility_DisplayArrayInTable(SourceData_PastureBeef.SourceData_PastureBeef_LiveweightGain_Data(), Table_SourceData_PastureBeef_LiveweightGain[[#Headers],[State]],0)</f>
        <v>0.33</v>
      </c>
      <c r="H182" s="10" cm="1">
        <f t="array" ref="H182">Common_InputFunctions.Utility_DisplayArrayInTable(SourceData_PastureBeef.SourceData_PastureBeef_LiveweightGain_Data(), Table_SourceData_PastureBeef_LiveweightGain[[#Headers],[State]],0)</f>
        <v>-0.55000000000000004</v>
      </c>
      <c r="I182" s="10" cm="1">
        <f t="array" ref="I182">Common_InputFunctions.Utility_DisplayArrayInTable(SourceData_PastureBeef.SourceData_PastureBeef_LiveweightGain_Data(), Table_SourceData_PastureBeef_LiveweightGain[[#Headers],[State]],0)</f>
        <v>0.11</v>
      </c>
      <c r="J182" s="10" cm="1">
        <f t="array" ref="J182">Common_InputFunctions.Utility_DisplayArrayInTable(SourceData_PastureBeef.SourceData_PastureBeef_LiveweightGain_Data(), Table_SourceData_PastureBeef_LiveweightGain[[#Headers],[State]],0)</f>
        <v>0.11</v>
      </c>
      <c r="K182" s="10" cm="1">
        <f t="array" ref="K182">Common_InputFunctions.Utility_DisplayArrayInTable(SourceData_PastureBeef.SourceData_PastureBeef_LiveweightGain_Data(), Table_SourceData_PastureBeef_LiveweightGain[[#Headers],[State]],0)</f>
        <v>-0.44</v>
      </c>
      <c r="L182" s="10" cm="1">
        <f t="array" ref="L182">Common_InputFunctions.Utility_DisplayArrayInTable(SourceData_PastureBeef.SourceData_PastureBeef_LiveweightGain_Data(), Table_SourceData_PastureBeef_LiveweightGain[[#Headers],[State]],0)</f>
        <v>0.33</v>
      </c>
      <c r="M182" s="10" cm="1">
        <f t="array" ref="M182">Common_InputFunctions.Utility_DisplayArrayInTable(SourceData_PastureBeef.SourceData_PastureBeef_LiveweightGain_Data(), Table_SourceData_PastureBeef_LiveweightGain[[#Headers],[State]],0)</f>
        <v>-0.55000000000000004</v>
      </c>
    </row>
    <row r="183" spans="4:16" x14ac:dyDescent="0.25">
      <c r="M183" s="8"/>
    </row>
    <row r="184" spans="4:16" x14ac:dyDescent="0.25">
      <c r="M184" s="8"/>
    </row>
    <row r="185" spans="4:16" ht="23.25" x14ac:dyDescent="0.25">
      <c r="D185" s="9" t="str" cm="1">
        <f t="array" ref="D185">SourceData_PastureBeef.SourceData_PastureBeef_LiveweightGainNTQLD_Title()</f>
        <v>Beef pasture cattle - Liveweight gain (kg) (LWGjkl) for NT and QLD</v>
      </c>
      <c r="M185" s="8"/>
    </row>
    <row r="186" spans="4:16" x14ac:dyDescent="0.25">
      <c r="D186" s="11" t="str" cm="1">
        <f t="array" ref="D186">SourceData_PastureBeef.SourceData_PastureBeef_LiveweightGainNTQLD_Source()</f>
        <v>VEERG 2026: Table A.1.2.4</v>
      </c>
      <c r="M186" s="8"/>
    </row>
    <row r="187" spans="4:16" x14ac:dyDescent="0.25">
      <c r="D187" s="8" t="str" cm="1">
        <f t="array" ref="D187">SourceData_PastureBeef.SourceData_PastureBeef_LiveweightGainNTQLD_Variable()</f>
        <v>LWGjkl</v>
      </c>
      <c r="M187" s="8"/>
    </row>
    <row r="188" spans="4:16" x14ac:dyDescent="0.25">
      <c r="D188" s="13" t="str" cm="1">
        <f t="array" ref="D188">SourceData_PastureBeef.SourceData_PastureBeef_LiveweightGainNTQLD_Unit()</f>
        <v>kg</v>
      </c>
      <c r="M188" s="8"/>
    </row>
    <row r="189" spans="4:16" x14ac:dyDescent="0.25">
      <c r="D189" s="10" t="s">
        <v>273</v>
      </c>
      <c r="E189" s="10" t="s">
        <v>378</v>
      </c>
      <c r="F189" s="10" t="s">
        <v>47</v>
      </c>
      <c r="G189" s="10" t="s">
        <v>465</v>
      </c>
      <c r="H189" s="10" t="s">
        <v>466</v>
      </c>
      <c r="I189" s="10" t="s">
        <v>489</v>
      </c>
      <c r="J189" s="10" t="s">
        <v>459</v>
      </c>
      <c r="K189" s="10" t="s">
        <v>492</v>
      </c>
      <c r="L189" s="10" t="s">
        <v>493</v>
      </c>
      <c r="M189" s="10" t="s">
        <v>471</v>
      </c>
      <c r="N189" s="10" t="s">
        <v>472</v>
      </c>
      <c r="O189" s="10" t="s">
        <v>473</v>
      </c>
      <c r="P189" s="10" t="s">
        <v>474</v>
      </c>
    </row>
    <row r="190" spans="4:16" x14ac:dyDescent="0.25">
      <c r="D190" s="10" t="str" cm="1">
        <f t="array" ref="D190">Common_InputFunctions.Utility_DisplayArrayInTable(SourceData_PastureBeef.SourceData_PastureBeef_LiveweightGainNTQLD_Data(),Table_SourceData_PastureBeef_LiveweightGainNTQLD[[#Headers],[State]],0)</f>
        <v>Northern Territory</v>
      </c>
      <c r="E190" s="10" t="str" cm="1">
        <f t="array" ref="E190">Common_InputFunctions.Utility_DisplayArrayInTable(SourceData_PastureBeef.SourceData_PastureBeef_LiveweightGainNTQLD_Data(),Table_SourceData_PastureBeef_LiveweightGainNTQLD[[#Headers],[State]],0)</f>
        <v>Alice Springs</v>
      </c>
      <c r="F190" s="10" t="str" cm="1">
        <f t="array" ref="F190">Common_InputFunctions.Utility_DisplayArrayInTable(SourceData_PastureBeef.SourceData_PastureBeef_LiveweightGainNTQLD_Data(),Table_SourceData_PastureBeef_LiveweightGainNTQLD[[#Headers],[State]],0)</f>
        <v>Spring</v>
      </c>
      <c r="G190" s="10" cm="1">
        <f t="array" ref="G190">Common_InputFunctions.Utility_DisplayArrayInTable(SourceData_PastureBeef.SourceData_PastureBeef_LiveweightGainNTQLD_Data(),Table_SourceData_PastureBeef_LiveweightGainNTQLD[[#Headers],[State]],0)</f>
        <v>0.22</v>
      </c>
      <c r="H190" s="10" cm="1">
        <f t="array" ref="H190">Common_InputFunctions.Utility_DisplayArrayInTable(SourceData_PastureBeef.SourceData_PastureBeef_LiveweightGainNTQLD_Data(),Table_SourceData_PastureBeef_LiveweightGainNTQLD[[#Headers],[State]],0)</f>
        <v>-0.23</v>
      </c>
      <c r="I190" s="10" cm="1">
        <f t="array" ref="I190">Common_InputFunctions.Utility_DisplayArrayInTable(SourceData_PastureBeef.SourceData_PastureBeef_LiveweightGainNTQLD_Data(),Table_SourceData_PastureBeef_LiveweightGainNTQLD[[#Headers],[State]],0)</f>
        <v>0.25</v>
      </c>
      <c r="J190" s="10" cm="1">
        <f t="array" ref="J190">Common_InputFunctions.Utility_DisplayArrayInTable(SourceData_PastureBeef.SourceData_PastureBeef_LiveweightGainNTQLD_Data(),Table_SourceData_PastureBeef_LiveweightGainNTQLD[[#Headers],[State]],0)</f>
        <v>0.17</v>
      </c>
      <c r="K190" s="10" cm="1">
        <f t="array" ref="K190">Common_InputFunctions.Utility_DisplayArrayInTable(SourceData_PastureBeef.SourceData_PastureBeef_LiveweightGainNTQLD_Data(),Table_SourceData_PastureBeef_LiveweightGainNTQLD[[#Headers],[State]],0)</f>
        <v>0.18</v>
      </c>
      <c r="L190" s="10" cm="1">
        <f t="array" ref="L190">Common_InputFunctions.Utility_DisplayArrayInTable(SourceData_PastureBeef.SourceData_PastureBeef_LiveweightGainNTQLD_Data(),Table_SourceData_PastureBeef_LiveweightGainNTQLD[[#Headers],[State]],0)</f>
        <v>-0.28000000000000003</v>
      </c>
      <c r="M190" s="10" cm="1">
        <f t="array" ref="M190">Common_InputFunctions.Utility_DisplayArrayInTable(SourceData_PastureBeef.SourceData_PastureBeef_LiveweightGainNTQLD_Data(),Table_SourceData_PastureBeef_LiveweightGainNTQLD[[#Headers],[State]],0)</f>
        <v>0.32</v>
      </c>
      <c r="N190" s="10" cm="1">
        <f t="array" ref="N190">Common_InputFunctions.Utility_DisplayArrayInTable(SourceData_PastureBeef.SourceData_PastureBeef_LiveweightGainNTQLD_Data(),Table_SourceData_PastureBeef_LiveweightGainNTQLD[[#Headers],[State]],0)</f>
        <v>0.24</v>
      </c>
      <c r="O190" s="10" cm="1">
        <f t="array" ref="O190">Common_InputFunctions.Utility_DisplayArrayInTable(SourceData_PastureBeef.SourceData_PastureBeef_LiveweightGainNTQLD_Data(),Table_SourceData_PastureBeef_LiveweightGainNTQLD[[#Headers],[State]],0)</f>
        <v>0.25</v>
      </c>
      <c r="P190" s="10" cm="1">
        <f t="array" ref="P190">Common_InputFunctions.Utility_DisplayArrayInTable(SourceData_PastureBeef.SourceData_PastureBeef_LiveweightGainNTQLD_Data(),Table_SourceData_PastureBeef_LiveweightGainNTQLD[[#Headers],[State]],0)</f>
        <v>-0.05</v>
      </c>
    </row>
    <row r="191" spans="4:16" x14ac:dyDescent="0.25">
      <c r="D191" s="8" t="str" cm="1">
        <f t="array" ref="D191">Common_InputFunctions.Utility_DisplayArrayInTable(SourceData_PastureBeef.SourceData_PastureBeef_LiveweightGainNTQLD_Data(),Table_SourceData_PastureBeef_LiveweightGainNTQLD[[#Headers],[State]],0)</f>
        <v>Northern Territory</v>
      </c>
      <c r="E191" s="10" t="str" cm="1">
        <f t="array" ref="E191">Common_InputFunctions.Utility_DisplayArrayInTable(SourceData_PastureBeef.SourceData_PastureBeef_LiveweightGainNTQLD_Data(),Table_SourceData_PastureBeef_LiveweightGainNTQLD[[#Headers],[State]],0)</f>
        <v>Alice Springs</v>
      </c>
      <c r="F191" s="10" t="str" cm="1">
        <f t="array" ref="F191">Common_InputFunctions.Utility_DisplayArrayInTable(SourceData_PastureBeef.SourceData_PastureBeef_LiveweightGainNTQLD_Data(),Table_SourceData_PastureBeef_LiveweightGainNTQLD[[#Headers],[State]],0)</f>
        <v>Summer</v>
      </c>
      <c r="G191" s="10" cm="1">
        <f t="array" ref="G191">Common_InputFunctions.Utility_DisplayArrayInTable(SourceData_PastureBeef.SourceData_PastureBeef_LiveweightGainNTQLD_Data(),Table_SourceData_PastureBeef_LiveweightGainNTQLD[[#Headers],[State]],0)</f>
        <v>0.66</v>
      </c>
      <c r="H191" s="10" cm="1">
        <f t="array" ref="H191">Common_InputFunctions.Utility_DisplayArrayInTable(SourceData_PastureBeef.SourceData_PastureBeef_LiveweightGainNTQLD_Data(),Table_SourceData_PastureBeef_LiveweightGainNTQLD[[#Headers],[State]],0)</f>
        <v>0.2</v>
      </c>
      <c r="I191" s="10" cm="1">
        <f t="array" ref="I191">Common_InputFunctions.Utility_DisplayArrayInTable(SourceData_PastureBeef.SourceData_PastureBeef_LiveweightGainNTQLD_Data(),Table_SourceData_PastureBeef_LiveweightGainNTQLD[[#Headers],[State]],0)</f>
        <v>0.62</v>
      </c>
      <c r="J191" s="10" cm="1">
        <f t="array" ref="J191">Common_InputFunctions.Utility_DisplayArrayInTable(SourceData_PastureBeef.SourceData_PastureBeef_LiveweightGainNTQLD_Data(),Table_SourceData_PastureBeef_LiveweightGainNTQLD[[#Headers],[State]],0)</f>
        <v>0.54</v>
      </c>
      <c r="K191" s="10" cm="1">
        <f t="array" ref="K191">Common_InputFunctions.Utility_DisplayArrayInTable(SourceData_PastureBeef.SourceData_PastureBeef_LiveweightGainNTQLD_Data(),Table_SourceData_PastureBeef_LiveweightGainNTQLD[[#Headers],[State]],0)</f>
        <v>0.38</v>
      </c>
      <c r="L191" s="10" cm="1">
        <f t="array" ref="L191">Common_InputFunctions.Utility_DisplayArrayInTable(SourceData_PastureBeef.SourceData_PastureBeef_LiveweightGainNTQLD_Data(),Table_SourceData_PastureBeef_LiveweightGainNTQLD[[#Headers],[State]],0)</f>
        <v>0.27</v>
      </c>
      <c r="M191" s="10" cm="1">
        <f t="array" ref="M191">Common_InputFunctions.Utility_DisplayArrayInTable(SourceData_PastureBeef.SourceData_PastureBeef_LiveweightGainNTQLD_Data(),Table_SourceData_PastureBeef_LiveweightGainNTQLD[[#Headers],[State]],0)</f>
        <v>0.75</v>
      </c>
      <c r="N191" s="10" cm="1">
        <f t="array" ref="N191">Common_InputFunctions.Utility_DisplayArrayInTable(SourceData_PastureBeef.SourceData_PastureBeef_LiveweightGainNTQLD_Data(),Table_SourceData_PastureBeef_LiveweightGainNTQLD[[#Headers],[State]],0)</f>
        <v>0.64</v>
      </c>
      <c r="O191" s="10" cm="1">
        <f t="array" ref="O191">Common_InputFunctions.Utility_DisplayArrayInTable(SourceData_PastureBeef.SourceData_PastureBeef_LiveweightGainNTQLD_Data(),Table_SourceData_PastureBeef_LiveweightGainNTQLD[[#Headers],[State]],0)</f>
        <v>0.55000000000000004</v>
      </c>
      <c r="P191" s="10" cm="1">
        <f t="array" ref="P191">Common_InputFunctions.Utility_DisplayArrayInTable(SourceData_PastureBeef.SourceData_PastureBeef_LiveweightGainNTQLD_Data(),Table_SourceData_PastureBeef_LiveweightGainNTQLD[[#Headers],[State]],0)</f>
        <v>0.48</v>
      </c>
    </row>
    <row r="192" spans="4:16" x14ac:dyDescent="0.25">
      <c r="D192" s="8" t="str" cm="1">
        <f t="array" ref="D192">Common_InputFunctions.Utility_DisplayArrayInTable(SourceData_PastureBeef.SourceData_PastureBeef_LiveweightGainNTQLD_Data(),Table_SourceData_PastureBeef_LiveweightGainNTQLD[[#Headers],[State]],0)</f>
        <v>Northern Territory</v>
      </c>
      <c r="E192" s="10" t="str" cm="1">
        <f t="array" ref="E192">Common_InputFunctions.Utility_DisplayArrayInTable(SourceData_PastureBeef.SourceData_PastureBeef_LiveweightGainNTQLD_Data(),Table_SourceData_PastureBeef_LiveweightGainNTQLD[[#Headers],[State]],0)</f>
        <v>Alice Springs</v>
      </c>
      <c r="F192" s="10" t="str" cm="1">
        <f t="array" ref="F192">Common_InputFunctions.Utility_DisplayArrayInTable(SourceData_PastureBeef.SourceData_PastureBeef_LiveweightGainNTQLD_Data(),Table_SourceData_PastureBeef_LiveweightGainNTQLD[[#Headers],[State]],0)</f>
        <v>Autumn</v>
      </c>
      <c r="G192" s="10" cm="1">
        <f t="array" ref="G192">Common_InputFunctions.Utility_DisplayArrayInTable(SourceData_PastureBeef.SourceData_PastureBeef_LiveweightGainNTQLD_Data(),Table_SourceData_PastureBeef_LiveweightGainNTQLD[[#Headers],[State]],0)</f>
        <v>0.49</v>
      </c>
      <c r="H192" s="10" cm="1">
        <f t="array" ref="H192">Common_InputFunctions.Utility_DisplayArrayInTable(SourceData_PastureBeef.SourceData_PastureBeef_LiveweightGainNTQLD_Data(),Table_SourceData_PastureBeef_LiveweightGainNTQLD[[#Headers],[State]],0)</f>
        <v>0.13</v>
      </c>
      <c r="I192" s="10" cm="1">
        <f t="array" ref="I192">Common_InputFunctions.Utility_DisplayArrayInTable(SourceData_PastureBeef.SourceData_PastureBeef_LiveweightGainNTQLD_Data(),Table_SourceData_PastureBeef_LiveweightGainNTQLD[[#Headers],[State]],0)</f>
        <v>0.54</v>
      </c>
      <c r="J192" s="10" cm="1">
        <f t="array" ref="J192">Common_InputFunctions.Utility_DisplayArrayInTable(SourceData_PastureBeef.SourceData_PastureBeef_LiveweightGainNTQLD_Data(),Table_SourceData_PastureBeef_LiveweightGainNTQLD[[#Headers],[State]],0)</f>
        <v>0.45</v>
      </c>
      <c r="K192" s="10" cm="1">
        <f t="array" ref="K192">Common_InputFunctions.Utility_DisplayArrayInTable(SourceData_PastureBeef.SourceData_PastureBeef_LiveweightGainNTQLD_Data(),Table_SourceData_PastureBeef_LiveweightGainNTQLD[[#Headers],[State]],0)</f>
        <v>0.35</v>
      </c>
      <c r="L192" s="10" cm="1">
        <f t="array" ref="L192">Common_InputFunctions.Utility_DisplayArrayInTable(SourceData_PastureBeef.SourceData_PastureBeef_LiveweightGainNTQLD_Data(),Table_SourceData_PastureBeef_LiveweightGainNTQLD[[#Headers],[State]],0)</f>
        <v>0.15</v>
      </c>
      <c r="M192" s="10" cm="1">
        <f t="array" ref="M192">Common_InputFunctions.Utility_DisplayArrayInTable(SourceData_PastureBeef.SourceData_PastureBeef_LiveweightGainNTQLD_Data(),Table_SourceData_PastureBeef_LiveweightGainNTQLD[[#Headers],[State]],0)</f>
        <v>0.63</v>
      </c>
      <c r="N192" s="10" cm="1">
        <f t="array" ref="N192">Common_InputFunctions.Utility_DisplayArrayInTable(SourceData_PastureBeef.SourceData_PastureBeef_LiveweightGainNTQLD_Data(),Table_SourceData_PastureBeef_LiveweightGainNTQLD[[#Headers],[State]],0)</f>
        <v>0.54</v>
      </c>
      <c r="O192" s="10" cm="1">
        <f t="array" ref="O192">Common_InputFunctions.Utility_DisplayArrayInTable(SourceData_PastureBeef.SourceData_PastureBeef_LiveweightGainNTQLD_Data(),Table_SourceData_PastureBeef_LiveweightGainNTQLD[[#Headers],[State]],0)</f>
        <v>0.42</v>
      </c>
      <c r="P192" s="10" cm="1">
        <f t="array" ref="P192">Common_InputFunctions.Utility_DisplayArrayInTable(SourceData_PastureBeef.SourceData_PastureBeef_LiveweightGainNTQLD_Data(),Table_SourceData_PastureBeef_LiveweightGainNTQLD[[#Headers],[State]],0)</f>
        <v>0.26</v>
      </c>
    </row>
    <row r="193" spans="4:16" x14ac:dyDescent="0.25">
      <c r="D193" s="8" t="str" cm="1">
        <f t="array" ref="D193">Common_InputFunctions.Utility_DisplayArrayInTable(SourceData_PastureBeef.SourceData_PastureBeef_LiveweightGainNTQLD_Data(),Table_SourceData_PastureBeef_LiveweightGainNTQLD[[#Headers],[State]],0)</f>
        <v>Northern Territory</v>
      </c>
      <c r="E193" s="10" t="str" cm="1">
        <f t="array" ref="E193">Common_InputFunctions.Utility_DisplayArrayInTable(SourceData_PastureBeef.SourceData_PastureBeef_LiveweightGainNTQLD_Data(),Table_SourceData_PastureBeef_LiveweightGainNTQLD[[#Headers],[State]],0)</f>
        <v>Alice Springs</v>
      </c>
      <c r="F193" s="10" t="str" cm="1">
        <f t="array" ref="F193">Common_InputFunctions.Utility_DisplayArrayInTable(SourceData_PastureBeef.SourceData_PastureBeef_LiveweightGainNTQLD_Data(),Table_SourceData_PastureBeef_LiveweightGainNTQLD[[#Headers],[State]],0)</f>
        <v>Winter</v>
      </c>
      <c r="G193" s="10" cm="1">
        <f t="array" ref="G193">Common_InputFunctions.Utility_DisplayArrayInTable(SourceData_PastureBeef.SourceData_PastureBeef_LiveweightGainNTQLD_Data(),Table_SourceData_PastureBeef_LiveweightGainNTQLD[[#Headers],[State]],0)</f>
        <v>0.27</v>
      </c>
      <c r="H193" s="10" cm="1">
        <f t="array" ref="H193">Common_InputFunctions.Utility_DisplayArrayInTable(SourceData_PastureBeef.SourceData_PastureBeef_LiveweightGainNTQLD_Data(),Table_SourceData_PastureBeef_LiveweightGainNTQLD[[#Headers],[State]],0)</f>
        <v>-0.8</v>
      </c>
      <c r="I193" s="10" cm="1">
        <f t="array" ref="I193">Common_InputFunctions.Utility_DisplayArrayInTable(SourceData_PastureBeef.SourceData_PastureBeef_LiveweightGainNTQLD_Data(),Table_SourceData_PastureBeef_LiveweightGainNTQLD[[#Headers],[State]],0)</f>
        <v>0.22</v>
      </c>
      <c r="J193" s="10" cm="1">
        <f t="array" ref="J193">Common_InputFunctions.Utility_DisplayArrayInTable(SourceData_PastureBeef.SourceData_PastureBeef_LiveweightGainNTQLD_Data(),Table_SourceData_PastureBeef_LiveweightGainNTQLD[[#Headers],[State]],0)</f>
        <v>0.09</v>
      </c>
      <c r="K193" s="10" cm="1">
        <f t="array" ref="K193">Common_InputFunctions.Utility_DisplayArrayInTable(SourceData_PastureBeef.SourceData_PastureBeef_LiveweightGainNTQLD_Data(),Table_SourceData_PastureBeef_LiveweightGainNTQLD[[#Headers],[State]],0)</f>
        <v>0.12</v>
      </c>
      <c r="L193" s="10" cm="1">
        <f t="array" ref="L193">Common_InputFunctions.Utility_DisplayArrayInTable(SourceData_PastureBeef.SourceData_PastureBeef_LiveweightGainNTQLD_Data(),Table_SourceData_PastureBeef_LiveweightGainNTQLD[[#Headers],[State]],0)</f>
        <v>0.02</v>
      </c>
      <c r="M193" s="10" cm="1">
        <f t="array" ref="M193">Common_InputFunctions.Utility_DisplayArrayInTable(SourceData_PastureBeef.SourceData_PastureBeef_LiveweightGainNTQLD_Data(),Table_SourceData_PastureBeef_LiveweightGainNTQLD[[#Headers],[State]],0)</f>
        <v>0.25</v>
      </c>
      <c r="N193" s="10" cm="1">
        <f t="array" ref="N193">Common_InputFunctions.Utility_DisplayArrayInTable(SourceData_PastureBeef.SourceData_PastureBeef_LiveweightGainNTQLD_Data(),Table_SourceData_PastureBeef_LiveweightGainNTQLD[[#Headers],[State]],0)</f>
        <v>0.18</v>
      </c>
      <c r="O193" s="10" cm="1">
        <f t="array" ref="O193">Common_InputFunctions.Utility_DisplayArrayInTable(SourceData_PastureBeef.SourceData_PastureBeef_LiveweightGainNTQLD_Data(),Table_SourceData_PastureBeef_LiveweightGainNTQLD[[#Headers],[State]],0)</f>
        <v>0.12</v>
      </c>
      <c r="P193" s="10" cm="1">
        <f t="array" ref="P193">Common_InputFunctions.Utility_DisplayArrayInTable(SourceData_PastureBeef.SourceData_PastureBeef_LiveweightGainNTQLD_Data(),Table_SourceData_PastureBeef_LiveweightGainNTQLD[[#Headers],[State]],0)</f>
        <v>0.03</v>
      </c>
    </row>
    <row r="194" spans="4:16" x14ac:dyDescent="0.25">
      <c r="D194" s="8" t="str" cm="1">
        <f t="array" ref="D194">Common_InputFunctions.Utility_DisplayArrayInTable(SourceData_PastureBeef.SourceData_PastureBeef_LiveweightGainNTQLD_Data(),Table_SourceData_PastureBeef_LiveweightGainNTQLD[[#Headers],[State]],0)</f>
        <v>Northern Territory</v>
      </c>
      <c r="E194" s="10" t="str" cm="1">
        <f t="array" ref="E194">Common_InputFunctions.Utility_DisplayArrayInTable(SourceData_PastureBeef.SourceData_PastureBeef_LiveweightGainNTQLD_Data(),Table_SourceData_PastureBeef_LiveweightGainNTQLD[[#Headers],[State]],0)</f>
        <v>Barkly</v>
      </c>
      <c r="F194" s="10" t="str" cm="1">
        <f t="array" ref="F194">Common_InputFunctions.Utility_DisplayArrayInTable(SourceData_PastureBeef.SourceData_PastureBeef_LiveweightGainNTQLD_Data(),Table_SourceData_PastureBeef_LiveweightGainNTQLD[[#Headers],[State]],0)</f>
        <v>Spring</v>
      </c>
      <c r="G194" s="10" cm="1">
        <f t="array" ref="G194">Common_InputFunctions.Utility_DisplayArrayInTable(SourceData_PastureBeef.SourceData_PastureBeef_LiveweightGainNTQLD_Data(),Table_SourceData_PastureBeef_LiveweightGainNTQLD[[#Headers],[State]],0)</f>
        <v>0.22</v>
      </c>
      <c r="H194" s="10" cm="1">
        <f t="array" ref="H194">Common_InputFunctions.Utility_DisplayArrayInTable(SourceData_PastureBeef.SourceData_PastureBeef_LiveweightGainNTQLD_Data(),Table_SourceData_PastureBeef_LiveweightGainNTQLD[[#Headers],[State]],0)</f>
        <v>-0.44</v>
      </c>
      <c r="I194" s="10" cm="1">
        <f t="array" ref="I194">Common_InputFunctions.Utility_DisplayArrayInTable(SourceData_PastureBeef.SourceData_PastureBeef_LiveweightGainNTQLD_Data(),Table_SourceData_PastureBeef_LiveweightGainNTQLD[[#Headers],[State]],0)</f>
        <v>0.2</v>
      </c>
      <c r="J194" s="10" cm="1">
        <f t="array" ref="J194">Common_InputFunctions.Utility_DisplayArrayInTable(SourceData_PastureBeef.SourceData_PastureBeef_LiveweightGainNTQLD_Data(),Table_SourceData_PastureBeef_LiveweightGainNTQLD[[#Headers],[State]],0)</f>
        <v>0.21</v>
      </c>
      <c r="K194" s="10" cm="1">
        <f t="array" ref="K194">Common_InputFunctions.Utility_DisplayArrayInTable(SourceData_PastureBeef.SourceData_PastureBeef_LiveweightGainNTQLD_Data(),Table_SourceData_PastureBeef_LiveweightGainNTQLD[[#Headers],[State]],0)</f>
        <v>0.18</v>
      </c>
      <c r="L194" s="10" cm="1">
        <f t="array" ref="L194">Common_InputFunctions.Utility_DisplayArrayInTable(SourceData_PastureBeef.SourceData_PastureBeef_LiveweightGainNTQLD_Data(),Table_SourceData_PastureBeef_LiveweightGainNTQLD[[#Headers],[State]],0)</f>
        <v>0.01</v>
      </c>
      <c r="M194" s="10" cm="1">
        <f t="array" ref="M194">Common_InputFunctions.Utility_DisplayArrayInTable(SourceData_PastureBeef.SourceData_PastureBeef_LiveweightGainNTQLD_Data(),Table_SourceData_PastureBeef_LiveweightGainNTQLD[[#Headers],[State]],0)</f>
        <v>0.12</v>
      </c>
      <c r="N194" s="10" cm="1">
        <f t="array" ref="N194">Common_InputFunctions.Utility_DisplayArrayInTable(SourceData_PastureBeef.SourceData_PastureBeef_LiveweightGainNTQLD_Data(),Table_SourceData_PastureBeef_LiveweightGainNTQLD[[#Headers],[State]],0)</f>
        <v>0.09</v>
      </c>
      <c r="O194" s="10" t="str" cm="1">
        <f t="array" ref="O194">Common_InputFunctions.Utility_DisplayArrayInTable(SourceData_PastureBeef.SourceData_PastureBeef_LiveweightGainNTQLD_Data(),Table_SourceData_PastureBeef_LiveweightGainNTQLD[[#Headers],[State]],0)</f>
        <v>NO</v>
      </c>
      <c r="P194" s="10" t="str" cm="1">
        <f t="array" ref="P194">Common_InputFunctions.Utility_DisplayArrayInTable(SourceData_PastureBeef.SourceData_PastureBeef_LiveweightGainNTQLD_Data(),Table_SourceData_PastureBeef_LiveweightGainNTQLD[[#Headers],[State]],0)</f>
        <v>NO</v>
      </c>
    </row>
    <row r="195" spans="4:16" x14ac:dyDescent="0.25">
      <c r="D195" s="8" t="str" cm="1">
        <f t="array" ref="D195">Common_InputFunctions.Utility_DisplayArrayInTable(SourceData_PastureBeef.SourceData_PastureBeef_LiveweightGainNTQLD_Data(),Table_SourceData_PastureBeef_LiveweightGainNTQLD[[#Headers],[State]],0)</f>
        <v>Northern Territory</v>
      </c>
      <c r="E195" s="10" t="str" cm="1">
        <f t="array" ref="E195">Common_InputFunctions.Utility_DisplayArrayInTable(SourceData_PastureBeef.SourceData_PastureBeef_LiveweightGainNTQLD_Data(),Table_SourceData_PastureBeef_LiveweightGainNTQLD[[#Headers],[State]],0)</f>
        <v>Barkly</v>
      </c>
      <c r="F195" s="10" t="str" cm="1">
        <f t="array" ref="F195">Common_InputFunctions.Utility_DisplayArrayInTable(SourceData_PastureBeef.SourceData_PastureBeef_LiveweightGainNTQLD_Data(),Table_SourceData_PastureBeef_LiveweightGainNTQLD[[#Headers],[State]],0)</f>
        <v>Summer</v>
      </c>
      <c r="G195" s="10" cm="1">
        <f t="array" ref="G195">Common_InputFunctions.Utility_DisplayArrayInTable(SourceData_PastureBeef.SourceData_PastureBeef_LiveweightGainNTQLD_Data(),Table_SourceData_PastureBeef_LiveweightGainNTQLD[[#Headers],[State]],0)</f>
        <v>0.66</v>
      </c>
      <c r="H195" s="10" cm="1">
        <f t="array" ref="H195">Common_InputFunctions.Utility_DisplayArrayInTable(SourceData_PastureBeef.SourceData_PastureBeef_LiveweightGainNTQLD_Data(),Table_SourceData_PastureBeef_LiveweightGainNTQLD[[#Headers],[State]],0)</f>
        <v>0.22</v>
      </c>
      <c r="I195" s="10" cm="1">
        <f t="array" ref="I195">Common_InputFunctions.Utility_DisplayArrayInTable(SourceData_PastureBeef.SourceData_PastureBeef_LiveweightGainNTQLD_Data(),Table_SourceData_PastureBeef_LiveweightGainNTQLD[[#Headers],[State]],0)</f>
        <v>0.68</v>
      </c>
      <c r="J195" s="10" cm="1">
        <f t="array" ref="J195">Common_InputFunctions.Utility_DisplayArrayInTable(SourceData_PastureBeef.SourceData_PastureBeef_LiveweightGainNTQLD_Data(),Table_SourceData_PastureBeef_LiveweightGainNTQLD[[#Headers],[State]],0)</f>
        <v>0.22</v>
      </c>
      <c r="K195" s="10" cm="1">
        <f t="array" ref="K195">Common_InputFunctions.Utility_DisplayArrayInTable(SourceData_PastureBeef.SourceData_PastureBeef_LiveweightGainNTQLD_Data(),Table_SourceData_PastureBeef_LiveweightGainNTQLD[[#Headers],[State]],0)</f>
        <v>0.24</v>
      </c>
      <c r="L195" s="10" cm="1">
        <f t="array" ref="L195">Common_InputFunctions.Utility_DisplayArrayInTable(SourceData_PastureBeef.SourceData_PastureBeef_LiveweightGainNTQLD_Data(),Table_SourceData_PastureBeef_LiveweightGainNTQLD[[#Headers],[State]],0)</f>
        <v>0.25</v>
      </c>
      <c r="M195" s="10" cm="1">
        <f t="array" ref="M195">Common_InputFunctions.Utility_DisplayArrayInTable(SourceData_PastureBeef.SourceData_PastureBeef_LiveweightGainNTQLD_Data(),Table_SourceData_PastureBeef_LiveweightGainNTQLD[[#Headers],[State]],0)</f>
        <v>0.64</v>
      </c>
      <c r="N195" s="10" cm="1">
        <f t="array" ref="N195">Common_InputFunctions.Utility_DisplayArrayInTable(SourceData_PastureBeef.SourceData_PastureBeef_LiveweightGainNTQLD_Data(),Table_SourceData_PastureBeef_LiveweightGainNTQLD[[#Headers],[State]],0)</f>
        <v>0.37</v>
      </c>
      <c r="O195" s="10" t="str" cm="1">
        <f t="array" ref="O195">Common_InputFunctions.Utility_DisplayArrayInTable(SourceData_PastureBeef.SourceData_PastureBeef_LiveweightGainNTQLD_Data(),Table_SourceData_PastureBeef_LiveweightGainNTQLD[[#Headers],[State]],0)</f>
        <v>NO</v>
      </c>
      <c r="P195" s="10" t="str" cm="1">
        <f t="array" ref="P195">Common_InputFunctions.Utility_DisplayArrayInTable(SourceData_PastureBeef.SourceData_PastureBeef_LiveweightGainNTQLD_Data(),Table_SourceData_PastureBeef_LiveweightGainNTQLD[[#Headers],[State]],0)</f>
        <v>NO</v>
      </c>
    </row>
    <row r="196" spans="4:16" x14ac:dyDescent="0.25">
      <c r="D196" s="8" t="str" cm="1">
        <f t="array" ref="D196">Common_InputFunctions.Utility_DisplayArrayInTable(SourceData_PastureBeef.SourceData_PastureBeef_LiveweightGainNTQLD_Data(),Table_SourceData_PastureBeef_LiveweightGainNTQLD[[#Headers],[State]],0)</f>
        <v>Northern Territory</v>
      </c>
      <c r="E196" s="10" t="str" cm="1">
        <f t="array" ref="E196">Common_InputFunctions.Utility_DisplayArrayInTable(SourceData_PastureBeef.SourceData_PastureBeef_LiveweightGainNTQLD_Data(),Table_SourceData_PastureBeef_LiveweightGainNTQLD[[#Headers],[State]],0)</f>
        <v>Barkly</v>
      </c>
      <c r="F196" s="10" t="str" cm="1">
        <f t="array" ref="F196">Common_InputFunctions.Utility_DisplayArrayInTable(SourceData_PastureBeef.SourceData_PastureBeef_LiveweightGainNTQLD_Data(),Table_SourceData_PastureBeef_LiveweightGainNTQLD[[#Headers],[State]],0)</f>
        <v>Autumn</v>
      </c>
      <c r="G196" s="10" cm="1">
        <f t="array" ref="G196">Common_InputFunctions.Utility_DisplayArrayInTable(SourceData_PastureBeef.SourceData_PastureBeef_LiveweightGainNTQLD_Data(),Table_SourceData_PastureBeef_LiveweightGainNTQLD[[#Headers],[State]],0)</f>
        <v>0.49</v>
      </c>
      <c r="H196" s="10" cm="1">
        <f t="array" ref="H196">Common_InputFunctions.Utility_DisplayArrayInTable(SourceData_PastureBeef.SourceData_PastureBeef_LiveweightGainNTQLD_Data(),Table_SourceData_PastureBeef_LiveweightGainNTQLD[[#Headers],[State]],0)</f>
        <v>0.05</v>
      </c>
      <c r="I196" s="10" cm="1">
        <f t="array" ref="I196">Common_InputFunctions.Utility_DisplayArrayInTable(SourceData_PastureBeef.SourceData_PastureBeef_LiveweightGainNTQLD_Data(),Table_SourceData_PastureBeef_LiveweightGainNTQLD[[#Headers],[State]],0)</f>
        <v>0.64</v>
      </c>
      <c r="J196" s="10" cm="1">
        <f t="array" ref="J196">Common_InputFunctions.Utility_DisplayArrayInTable(SourceData_PastureBeef.SourceData_PastureBeef_LiveweightGainNTQLD_Data(),Table_SourceData_PastureBeef_LiveweightGainNTQLD[[#Headers],[State]],0)</f>
        <v>0.25</v>
      </c>
      <c r="K196" s="10" cm="1">
        <f t="array" ref="K196">Common_InputFunctions.Utility_DisplayArrayInTable(SourceData_PastureBeef.SourceData_PastureBeef_LiveweightGainNTQLD_Data(),Table_SourceData_PastureBeef_LiveweightGainNTQLD[[#Headers],[State]],0)</f>
        <v>0.28999999999999998</v>
      </c>
      <c r="L196" s="10" cm="1">
        <f t="array" ref="L196">Common_InputFunctions.Utility_DisplayArrayInTable(SourceData_PastureBeef.SourceData_PastureBeef_LiveweightGainNTQLD_Data(),Table_SourceData_PastureBeef_LiveweightGainNTQLD[[#Headers],[State]],0)</f>
        <v>0.12</v>
      </c>
      <c r="M196" s="10" cm="1">
        <f t="array" ref="M196">Common_InputFunctions.Utility_DisplayArrayInTable(SourceData_PastureBeef.SourceData_PastureBeef_LiveweightGainNTQLD_Data(),Table_SourceData_PastureBeef_LiveweightGainNTQLD[[#Headers],[State]],0)</f>
        <v>0.56999999999999995</v>
      </c>
      <c r="N196" s="10" cm="1">
        <f t="array" ref="N196">Common_InputFunctions.Utility_DisplayArrayInTable(SourceData_PastureBeef.SourceData_PastureBeef_LiveweightGainNTQLD_Data(),Table_SourceData_PastureBeef_LiveweightGainNTQLD[[#Headers],[State]],0)</f>
        <v>0.49</v>
      </c>
      <c r="O196" s="10" t="str" cm="1">
        <f t="array" ref="O196">Common_InputFunctions.Utility_DisplayArrayInTable(SourceData_PastureBeef.SourceData_PastureBeef_LiveweightGainNTQLD_Data(),Table_SourceData_PastureBeef_LiveweightGainNTQLD[[#Headers],[State]],0)</f>
        <v>NO</v>
      </c>
      <c r="P196" s="10" t="str" cm="1">
        <f t="array" ref="P196">Common_InputFunctions.Utility_DisplayArrayInTable(SourceData_PastureBeef.SourceData_PastureBeef_LiveweightGainNTQLD_Data(),Table_SourceData_PastureBeef_LiveweightGainNTQLD[[#Headers],[State]],0)</f>
        <v>NO</v>
      </c>
    </row>
    <row r="197" spans="4:16" x14ac:dyDescent="0.25">
      <c r="D197" s="8" t="str" cm="1">
        <f t="array" ref="D197">Common_InputFunctions.Utility_DisplayArrayInTable(SourceData_PastureBeef.SourceData_PastureBeef_LiveweightGainNTQLD_Data(),Table_SourceData_PastureBeef_LiveweightGainNTQLD[[#Headers],[State]],0)</f>
        <v>Northern Territory</v>
      </c>
      <c r="E197" s="10" t="str" cm="1">
        <f t="array" ref="E197">Common_InputFunctions.Utility_DisplayArrayInTable(SourceData_PastureBeef.SourceData_PastureBeef_LiveweightGainNTQLD_Data(),Table_SourceData_PastureBeef_LiveweightGainNTQLD[[#Headers],[State]],0)</f>
        <v>Barkly</v>
      </c>
      <c r="F197" s="10" t="str" cm="1">
        <f t="array" ref="F197">Common_InputFunctions.Utility_DisplayArrayInTable(SourceData_PastureBeef.SourceData_PastureBeef_LiveweightGainNTQLD_Data(),Table_SourceData_PastureBeef_LiveweightGainNTQLD[[#Headers],[State]],0)</f>
        <v>Winter</v>
      </c>
      <c r="G197" s="10" cm="1">
        <f t="array" ref="G197">Common_InputFunctions.Utility_DisplayArrayInTable(SourceData_PastureBeef.SourceData_PastureBeef_LiveweightGainNTQLD_Data(),Table_SourceData_PastureBeef_LiveweightGainNTQLD[[#Headers],[State]],0)</f>
        <v>0.27</v>
      </c>
      <c r="H197" s="10" cm="1">
        <f t="array" ref="H197">Common_InputFunctions.Utility_DisplayArrayInTable(SourceData_PastureBeef.SourceData_PastureBeef_LiveweightGainNTQLD_Data(),Table_SourceData_PastureBeef_LiveweightGainNTQLD[[#Headers],[State]],0)</f>
        <v>-0.27</v>
      </c>
      <c r="I197" s="10" cm="1">
        <f t="array" ref="I197">Common_InputFunctions.Utility_DisplayArrayInTable(SourceData_PastureBeef.SourceData_PastureBeef_LiveweightGainNTQLD_Data(),Table_SourceData_PastureBeef_LiveweightGainNTQLD[[#Headers],[State]],0)</f>
        <v>0.31</v>
      </c>
      <c r="J197" s="10" cm="1">
        <f t="array" ref="J197">Common_InputFunctions.Utility_DisplayArrayInTable(SourceData_PastureBeef.SourceData_PastureBeef_LiveweightGainNTQLD_Data(),Table_SourceData_PastureBeef_LiveweightGainNTQLD[[#Headers],[State]],0)</f>
        <v>0.28999999999999998</v>
      </c>
      <c r="K197" s="10" cm="1">
        <f t="array" ref="K197">Common_InputFunctions.Utility_DisplayArrayInTable(SourceData_PastureBeef.SourceData_PastureBeef_LiveweightGainNTQLD_Data(),Table_SourceData_PastureBeef_LiveweightGainNTQLD[[#Headers],[State]],0)</f>
        <v>0.19</v>
      </c>
      <c r="L197" s="10" cm="1">
        <f t="array" ref="L197">Common_InputFunctions.Utility_DisplayArrayInTable(SourceData_PastureBeef.SourceData_PastureBeef_LiveweightGainNTQLD_Data(),Table_SourceData_PastureBeef_LiveweightGainNTQLD[[#Headers],[State]],0)</f>
        <v>0.04</v>
      </c>
      <c r="M197" s="10" cm="1">
        <f t="array" ref="M197">Common_InputFunctions.Utility_DisplayArrayInTable(SourceData_PastureBeef.SourceData_PastureBeef_LiveweightGainNTQLD_Data(),Table_SourceData_PastureBeef_LiveweightGainNTQLD[[#Headers],[State]],0)</f>
        <v>0.26</v>
      </c>
      <c r="N197" s="10" cm="1">
        <f t="array" ref="N197">Common_InputFunctions.Utility_DisplayArrayInTable(SourceData_PastureBeef.SourceData_PastureBeef_LiveweightGainNTQLD_Data(),Table_SourceData_PastureBeef_LiveweightGainNTQLD[[#Headers],[State]],0)</f>
        <v>0.28000000000000003</v>
      </c>
      <c r="O197" s="10" t="str" cm="1">
        <f t="array" ref="O197">Common_InputFunctions.Utility_DisplayArrayInTable(SourceData_PastureBeef.SourceData_PastureBeef_LiveweightGainNTQLD_Data(),Table_SourceData_PastureBeef_LiveweightGainNTQLD[[#Headers],[State]],0)</f>
        <v>NO</v>
      </c>
      <c r="P197" s="10" t="str" cm="1">
        <f t="array" ref="P197">Common_InputFunctions.Utility_DisplayArrayInTable(SourceData_PastureBeef.SourceData_PastureBeef_LiveweightGainNTQLD_Data(),Table_SourceData_PastureBeef_LiveweightGainNTQLD[[#Headers],[State]],0)</f>
        <v>NO</v>
      </c>
    </row>
    <row r="198" spans="4:16" x14ac:dyDescent="0.25">
      <c r="D198" s="8" t="str" cm="1">
        <f t="array" ref="D198">Common_InputFunctions.Utility_DisplayArrayInTable(SourceData_PastureBeef.SourceData_PastureBeef_LiveweightGainNTQLD_Data(),Table_SourceData_PastureBeef_LiveweightGainNTQLD[[#Headers],[State]],0)</f>
        <v>Northern Territory</v>
      </c>
      <c r="E198" s="10" t="str" cm="1">
        <f t="array" ref="E198">Common_InputFunctions.Utility_DisplayArrayInTable(SourceData_PastureBeef.SourceData_PastureBeef_LiveweightGainNTQLD_Data(),Table_SourceData_PastureBeef_LiveweightGainNTQLD[[#Headers],[State]],0)</f>
        <v>Northern</v>
      </c>
      <c r="F198" s="10" t="str" cm="1">
        <f t="array" ref="F198">Common_InputFunctions.Utility_DisplayArrayInTable(SourceData_PastureBeef.SourceData_PastureBeef_LiveweightGainNTQLD_Data(),Table_SourceData_PastureBeef_LiveweightGainNTQLD[[#Headers],[State]],0)</f>
        <v>Spring</v>
      </c>
      <c r="G198" s="10" cm="1">
        <f t="array" ref="G198">Common_InputFunctions.Utility_DisplayArrayInTable(SourceData_PastureBeef.SourceData_PastureBeef_LiveweightGainNTQLD_Data(),Table_SourceData_PastureBeef_LiveweightGainNTQLD[[#Headers],[State]],0)</f>
        <v>0.22</v>
      </c>
      <c r="H198" s="10" cm="1">
        <f t="array" ref="H198">Common_InputFunctions.Utility_DisplayArrayInTable(SourceData_PastureBeef.SourceData_PastureBeef_LiveweightGainNTQLD_Data(),Table_SourceData_PastureBeef_LiveweightGainNTQLD[[#Headers],[State]],0)</f>
        <v>-0.44</v>
      </c>
      <c r="I198" s="10" cm="1">
        <f t="array" ref="I198">Common_InputFunctions.Utility_DisplayArrayInTable(SourceData_PastureBeef.SourceData_PastureBeef_LiveweightGainNTQLD_Data(),Table_SourceData_PastureBeef_LiveweightGainNTQLD[[#Headers],[State]],0)</f>
        <v>0</v>
      </c>
      <c r="J198" s="10" cm="1">
        <f t="array" ref="J198">Common_InputFunctions.Utility_DisplayArrayInTable(SourceData_PastureBeef.SourceData_PastureBeef_LiveweightGainNTQLD_Data(),Table_SourceData_PastureBeef_LiveweightGainNTQLD[[#Headers],[State]],0)</f>
        <v>0.15</v>
      </c>
      <c r="K198" s="10" cm="1">
        <f t="array" ref="K198">Common_InputFunctions.Utility_DisplayArrayInTable(SourceData_PastureBeef.SourceData_PastureBeef_LiveweightGainNTQLD_Data(),Table_SourceData_PastureBeef_LiveweightGainNTQLD[[#Headers],[State]],0)</f>
        <v>0.08</v>
      </c>
      <c r="L198" s="10" cm="1">
        <f t="array" ref="L198">Common_InputFunctions.Utility_DisplayArrayInTable(SourceData_PastureBeef.SourceData_PastureBeef_LiveweightGainNTQLD_Data(),Table_SourceData_PastureBeef_LiveweightGainNTQLD[[#Headers],[State]],0)</f>
        <v>0.17</v>
      </c>
      <c r="M198" s="10" cm="1">
        <f t="array" ref="M198">Common_InputFunctions.Utility_DisplayArrayInTable(SourceData_PastureBeef.SourceData_PastureBeef_LiveweightGainNTQLD_Data(),Table_SourceData_PastureBeef_LiveweightGainNTQLD[[#Headers],[State]],0)</f>
        <v>0.06</v>
      </c>
      <c r="N198" s="10" cm="1">
        <f t="array" ref="N198">Common_InputFunctions.Utility_DisplayArrayInTable(SourceData_PastureBeef.SourceData_PastureBeef_LiveweightGainNTQLD_Data(),Table_SourceData_PastureBeef_LiveweightGainNTQLD[[#Headers],[State]],0)</f>
        <v>0.02</v>
      </c>
      <c r="O198" s="10" cm="1">
        <f t="array" ref="O198">Common_InputFunctions.Utility_DisplayArrayInTable(SourceData_PastureBeef.SourceData_PastureBeef_LiveweightGainNTQLD_Data(),Table_SourceData_PastureBeef_LiveweightGainNTQLD[[#Headers],[State]],0)</f>
        <v>-0.14000000000000001</v>
      </c>
      <c r="P198" s="10" t="str" cm="1">
        <f t="array" ref="P198">Common_InputFunctions.Utility_DisplayArrayInTable(SourceData_PastureBeef.SourceData_PastureBeef_LiveweightGainNTQLD_Data(),Table_SourceData_PastureBeef_LiveweightGainNTQLD[[#Headers],[State]],0)</f>
        <v>NO</v>
      </c>
    </row>
    <row r="199" spans="4:16" x14ac:dyDescent="0.25">
      <c r="D199" s="8" t="str" cm="1">
        <f t="array" ref="D199">Common_InputFunctions.Utility_DisplayArrayInTable(SourceData_PastureBeef.SourceData_PastureBeef_LiveweightGainNTQLD_Data(),Table_SourceData_PastureBeef_LiveweightGainNTQLD[[#Headers],[State]],0)</f>
        <v>Northern Territory</v>
      </c>
      <c r="E199" s="10" t="str" cm="1">
        <f t="array" ref="E199">Common_InputFunctions.Utility_DisplayArrayInTable(SourceData_PastureBeef.SourceData_PastureBeef_LiveweightGainNTQLD_Data(),Table_SourceData_PastureBeef_LiveweightGainNTQLD[[#Headers],[State]],0)</f>
        <v>Northern</v>
      </c>
      <c r="F199" s="10" t="str" cm="1">
        <f t="array" ref="F199">Common_InputFunctions.Utility_DisplayArrayInTable(SourceData_PastureBeef.SourceData_PastureBeef_LiveweightGainNTQLD_Data(),Table_SourceData_PastureBeef_LiveweightGainNTQLD[[#Headers],[State]],0)</f>
        <v>Summer</v>
      </c>
      <c r="G199" s="10" cm="1">
        <f t="array" ref="G199">Common_InputFunctions.Utility_DisplayArrayInTable(SourceData_PastureBeef.SourceData_PastureBeef_LiveweightGainNTQLD_Data(),Table_SourceData_PastureBeef_LiveweightGainNTQLD[[#Headers],[State]],0)</f>
        <v>0.66</v>
      </c>
      <c r="H199" s="10" cm="1">
        <f t="array" ref="H199">Common_InputFunctions.Utility_DisplayArrayInTable(SourceData_PastureBeef.SourceData_PastureBeef_LiveweightGainNTQLD_Data(),Table_SourceData_PastureBeef_LiveweightGainNTQLD[[#Headers],[State]],0)</f>
        <v>0.22</v>
      </c>
      <c r="I199" s="10" cm="1">
        <f t="array" ref="I199">Common_InputFunctions.Utility_DisplayArrayInTable(SourceData_PastureBeef.SourceData_PastureBeef_LiveweightGainNTQLD_Data(),Table_SourceData_PastureBeef_LiveweightGainNTQLD[[#Headers],[State]],0)</f>
        <v>0.79</v>
      </c>
      <c r="J199" s="10" cm="1">
        <f t="array" ref="J199">Common_InputFunctions.Utility_DisplayArrayInTable(SourceData_PastureBeef.SourceData_PastureBeef_LiveweightGainNTQLD_Data(),Table_SourceData_PastureBeef_LiveweightGainNTQLD[[#Headers],[State]],0)</f>
        <v>0.4</v>
      </c>
      <c r="K199" s="10" cm="1">
        <f t="array" ref="K199">Common_InputFunctions.Utility_DisplayArrayInTable(SourceData_PastureBeef.SourceData_PastureBeef_LiveweightGainNTQLD_Data(),Table_SourceData_PastureBeef_LiveweightGainNTQLD[[#Headers],[State]],0)</f>
        <v>0.38</v>
      </c>
      <c r="L199" s="10" cm="1">
        <f t="array" ref="L199">Common_InputFunctions.Utility_DisplayArrayInTable(SourceData_PastureBeef.SourceData_PastureBeef_LiveweightGainNTQLD_Data(),Table_SourceData_PastureBeef_LiveweightGainNTQLD[[#Headers],[State]],0)</f>
        <v>0.27</v>
      </c>
      <c r="M199" s="10" cm="1">
        <f t="array" ref="M199">Common_InputFunctions.Utility_DisplayArrayInTable(SourceData_PastureBeef.SourceData_PastureBeef_LiveweightGainNTQLD_Data(),Table_SourceData_PastureBeef_LiveweightGainNTQLD[[#Headers],[State]],0)</f>
        <v>0.8</v>
      </c>
      <c r="N199" s="10" cm="1">
        <f t="array" ref="N199">Common_InputFunctions.Utility_DisplayArrayInTable(SourceData_PastureBeef.SourceData_PastureBeef_LiveweightGainNTQLD_Data(),Table_SourceData_PastureBeef_LiveweightGainNTQLD[[#Headers],[State]],0)</f>
        <v>0.16</v>
      </c>
      <c r="O199" s="10" cm="1">
        <f t="array" ref="O199">Common_InputFunctions.Utility_DisplayArrayInTable(SourceData_PastureBeef.SourceData_PastureBeef_LiveweightGainNTQLD_Data(),Table_SourceData_PastureBeef_LiveweightGainNTQLD[[#Headers],[State]],0)</f>
        <v>0.3</v>
      </c>
      <c r="P199" s="10" t="str" cm="1">
        <f t="array" ref="P199">Common_InputFunctions.Utility_DisplayArrayInTable(SourceData_PastureBeef.SourceData_PastureBeef_LiveweightGainNTQLD_Data(),Table_SourceData_PastureBeef_LiveweightGainNTQLD[[#Headers],[State]],0)</f>
        <v>NO</v>
      </c>
    </row>
    <row r="200" spans="4:16" x14ac:dyDescent="0.25">
      <c r="D200" s="8" t="str" cm="1">
        <f t="array" ref="D200">Common_InputFunctions.Utility_DisplayArrayInTable(SourceData_PastureBeef.SourceData_PastureBeef_LiveweightGainNTQLD_Data(),Table_SourceData_PastureBeef_LiveweightGainNTQLD[[#Headers],[State]],0)</f>
        <v>Northern Territory</v>
      </c>
      <c r="E200" s="10" t="str" cm="1">
        <f t="array" ref="E200">Common_InputFunctions.Utility_DisplayArrayInTable(SourceData_PastureBeef.SourceData_PastureBeef_LiveweightGainNTQLD_Data(),Table_SourceData_PastureBeef_LiveweightGainNTQLD[[#Headers],[State]],0)</f>
        <v>Northern</v>
      </c>
      <c r="F200" s="10" t="str" cm="1">
        <f t="array" ref="F200">Common_InputFunctions.Utility_DisplayArrayInTable(SourceData_PastureBeef.SourceData_PastureBeef_LiveweightGainNTQLD_Data(),Table_SourceData_PastureBeef_LiveweightGainNTQLD[[#Headers],[State]],0)</f>
        <v>Autumn</v>
      </c>
      <c r="G200" s="10" cm="1">
        <f t="array" ref="G200">Common_InputFunctions.Utility_DisplayArrayInTable(SourceData_PastureBeef.SourceData_PastureBeef_LiveweightGainNTQLD_Data(),Table_SourceData_PastureBeef_LiveweightGainNTQLD[[#Headers],[State]],0)</f>
        <v>0.49</v>
      </c>
      <c r="H200" s="10" cm="1">
        <f t="array" ref="H200">Common_InputFunctions.Utility_DisplayArrayInTable(SourceData_PastureBeef.SourceData_PastureBeef_LiveweightGainNTQLD_Data(),Table_SourceData_PastureBeef_LiveweightGainNTQLD[[#Headers],[State]],0)</f>
        <v>0.05</v>
      </c>
      <c r="I200" s="10" cm="1">
        <f t="array" ref="I200">Common_InputFunctions.Utility_DisplayArrayInTable(SourceData_PastureBeef.SourceData_PastureBeef_LiveweightGainNTQLD_Data(),Table_SourceData_PastureBeef_LiveweightGainNTQLD[[#Headers],[State]],0)</f>
        <v>0.55000000000000004</v>
      </c>
      <c r="J200" s="10" cm="1">
        <f t="array" ref="J200">Common_InputFunctions.Utility_DisplayArrayInTable(SourceData_PastureBeef.SourceData_PastureBeef_LiveweightGainNTQLD_Data(),Table_SourceData_PastureBeef_LiveweightGainNTQLD[[#Headers],[State]],0)</f>
        <v>0.38</v>
      </c>
      <c r="K200" s="10" cm="1">
        <f t="array" ref="K200">Common_InputFunctions.Utility_DisplayArrayInTable(SourceData_PastureBeef.SourceData_PastureBeef_LiveweightGainNTQLD_Data(),Table_SourceData_PastureBeef_LiveweightGainNTQLD[[#Headers],[State]],0)</f>
        <v>0.36</v>
      </c>
      <c r="L200" s="10" cm="1">
        <f t="array" ref="L200">Common_InputFunctions.Utility_DisplayArrayInTable(SourceData_PastureBeef.SourceData_PastureBeef_LiveweightGainNTQLD_Data(),Table_SourceData_PastureBeef_LiveweightGainNTQLD[[#Headers],[State]],0)</f>
        <v>0.06</v>
      </c>
      <c r="M200" s="10" cm="1">
        <f t="array" ref="M200">Common_InputFunctions.Utility_DisplayArrayInTable(SourceData_PastureBeef.SourceData_PastureBeef_LiveweightGainNTQLD_Data(),Table_SourceData_PastureBeef_LiveweightGainNTQLD[[#Headers],[State]],0)</f>
        <v>0.57999999999999996</v>
      </c>
      <c r="N200" s="10" cm="1">
        <f t="array" ref="N200">Common_InputFunctions.Utility_DisplayArrayInTable(SourceData_PastureBeef.SourceData_PastureBeef_LiveweightGainNTQLD_Data(),Table_SourceData_PastureBeef_LiveweightGainNTQLD[[#Headers],[State]],0)</f>
        <v>0.23</v>
      </c>
      <c r="O200" s="10" cm="1">
        <f t="array" ref="O200">Common_InputFunctions.Utility_DisplayArrayInTable(SourceData_PastureBeef.SourceData_PastureBeef_LiveweightGainNTQLD_Data(),Table_SourceData_PastureBeef_LiveweightGainNTQLD[[#Headers],[State]],0)</f>
        <v>0.4</v>
      </c>
      <c r="P200" s="10" t="str" cm="1">
        <f t="array" ref="P200">Common_InputFunctions.Utility_DisplayArrayInTable(SourceData_PastureBeef.SourceData_PastureBeef_LiveweightGainNTQLD_Data(),Table_SourceData_PastureBeef_LiveweightGainNTQLD[[#Headers],[State]],0)</f>
        <v>NO</v>
      </c>
    </row>
    <row r="201" spans="4:16" x14ac:dyDescent="0.25">
      <c r="D201" s="8" t="str" cm="1">
        <f t="array" ref="D201">Common_InputFunctions.Utility_DisplayArrayInTable(SourceData_PastureBeef.SourceData_PastureBeef_LiveweightGainNTQLD_Data(),Table_SourceData_PastureBeef_LiveweightGainNTQLD[[#Headers],[State]],0)</f>
        <v>Northern Territory</v>
      </c>
      <c r="E201" s="10" t="str" cm="1">
        <f t="array" ref="E201">Common_InputFunctions.Utility_DisplayArrayInTable(SourceData_PastureBeef.SourceData_PastureBeef_LiveweightGainNTQLD_Data(),Table_SourceData_PastureBeef_LiveweightGainNTQLD[[#Headers],[State]],0)</f>
        <v>Northern</v>
      </c>
      <c r="F201" s="10" t="str" cm="1">
        <f t="array" ref="F201">Common_InputFunctions.Utility_DisplayArrayInTable(SourceData_PastureBeef.SourceData_PastureBeef_LiveweightGainNTQLD_Data(),Table_SourceData_PastureBeef_LiveweightGainNTQLD[[#Headers],[State]],0)</f>
        <v>Winter</v>
      </c>
      <c r="G201" s="10" cm="1">
        <f t="array" ref="G201">Common_InputFunctions.Utility_DisplayArrayInTable(SourceData_PastureBeef.SourceData_PastureBeef_LiveweightGainNTQLD_Data(),Table_SourceData_PastureBeef_LiveweightGainNTQLD[[#Headers],[State]],0)</f>
        <v>0.27</v>
      </c>
      <c r="H201" s="10" cm="1">
        <f t="array" ref="H201">Common_InputFunctions.Utility_DisplayArrayInTable(SourceData_PastureBeef.SourceData_PastureBeef_LiveweightGainNTQLD_Data(),Table_SourceData_PastureBeef_LiveweightGainNTQLD[[#Headers],[State]],0)</f>
        <v>-0.27</v>
      </c>
      <c r="I201" s="10" cm="1">
        <f t="array" ref="I201">Common_InputFunctions.Utility_DisplayArrayInTable(SourceData_PastureBeef.SourceData_PastureBeef_LiveweightGainNTQLD_Data(),Table_SourceData_PastureBeef_LiveweightGainNTQLD[[#Headers],[State]],0)</f>
        <v>0.02</v>
      </c>
      <c r="J201" s="10" cm="1">
        <f t="array" ref="J201">Common_InputFunctions.Utility_DisplayArrayInTable(SourceData_PastureBeef.SourceData_PastureBeef_LiveweightGainNTQLD_Data(),Table_SourceData_PastureBeef_LiveweightGainNTQLD[[#Headers],[State]],0)</f>
        <v>0.09</v>
      </c>
      <c r="K201" s="10" cm="1">
        <f t="array" ref="K201">Common_InputFunctions.Utility_DisplayArrayInTable(SourceData_PastureBeef.SourceData_PastureBeef_LiveweightGainNTQLD_Data(),Table_SourceData_PastureBeef_LiveweightGainNTQLD[[#Headers],[State]],0)</f>
        <v>0.16</v>
      </c>
      <c r="L201" s="10" cm="1">
        <f t="array" ref="L201">Common_InputFunctions.Utility_DisplayArrayInTable(SourceData_PastureBeef.SourceData_PastureBeef_LiveweightGainNTQLD_Data(),Table_SourceData_PastureBeef_LiveweightGainNTQLD[[#Headers],[State]],0)</f>
        <v>-0.04</v>
      </c>
      <c r="M201" s="10" cm="1">
        <f t="array" ref="M201">Common_InputFunctions.Utility_DisplayArrayInTable(SourceData_PastureBeef.SourceData_PastureBeef_LiveweightGainNTQLD_Data(),Table_SourceData_PastureBeef_LiveweightGainNTQLD[[#Headers],[State]],0)</f>
        <v>0.21</v>
      </c>
      <c r="N201" s="10" cm="1">
        <f t="array" ref="N201">Common_InputFunctions.Utility_DisplayArrayInTable(SourceData_PastureBeef.SourceData_PastureBeef_LiveweightGainNTQLD_Data(),Table_SourceData_PastureBeef_LiveweightGainNTQLD[[#Headers],[State]],0)</f>
        <v>0.03</v>
      </c>
      <c r="O201" s="10" cm="1">
        <f t="array" ref="O201">Common_InputFunctions.Utility_DisplayArrayInTable(SourceData_PastureBeef.SourceData_PastureBeef_LiveweightGainNTQLD_Data(),Table_SourceData_PastureBeef_LiveweightGainNTQLD[[#Headers],[State]],0)</f>
        <v>0.11</v>
      </c>
      <c r="P201" s="10" t="str" cm="1">
        <f t="array" ref="P201">Common_InputFunctions.Utility_DisplayArrayInTable(SourceData_PastureBeef.SourceData_PastureBeef_LiveweightGainNTQLD_Data(),Table_SourceData_PastureBeef_LiveweightGainNTQLD[[#Headers],[State]],0)</f>
        <v>NO</v>
      </c>
    </row>
    <row r="202" spans="4:16" x14ac:dyDescent="0.25">
      <c r="D202" s="8" t="str" cm="1">
        <f t="array" ref="D202">Common_InputFunctions.Utility_DisplayArrayInTable(SourceData_PastureBeef.SourceData_PastureBeef_LiveweightGainNTQLD_Data(),Table_SourceData_PastureBeef_LiveweightGainNTQLD[[#Headers],[State]],0)</f>
        <v>Queensland</v>
      </c>
      <c r="E202" s="10" t="str" cm="1">
        <f t="array" ref="E202">Common_InputFunctions.Utility_DisplayArrayInTable(SourceData_PastureBeef.SourceData_PastureBeef_LiveweightGainNTQLD_Data(),Table_SourceData_PastureBeef_LiveweightGainNTQLD[[#Headers],[State]],0)</f>
        <v>High</v>
      </c>
      <c r="F202" s="10" t="str" cm="1">
        <f t="array" ref="F202">Common_InputFunctions.Utility_DisplayArrayInTable(SourceData_PastureBeef.SourceData_PastureBeef_LiveweightGainNTQLD_Data(),Table_SourceData_PastureBeef_LiveweightGainNTQLD[[#Headers],[State]],0)</f>
        <v>Spring</v>
      </c>
      <c r="G202" s="10" cm="1">
        <f t="array" ref="G202">Common_InputFunctions.Utility_DisplayArrayInTable(SourceData_PastureBeef.SourceData_PastureBeef_LiveweightGainNTQLD_Data(),Table_SourceData_PastureBeef_LiveweightGainNTQLD[[#Headers],[State]],0)</f>
        <v>0.27</v>
      </c>
      <c r="H202" s="10" cm="1">
        <f t="array" ref="H202">Common_InputFunctions.Utility_DisplayArrayInTable(SourceData_PastureBeef.SourceData_PastureBeef_LiveweightGainNTQLD_Data(),Table_SourceData_PastureBeef_LiveweightGainNTQLD[[#Headers],[State]],0)</f>
        <v>-0.19</v>
      </c>
      <c r="I202" s="10" cm="1">
        <f t="array" ref="I202">Common_InputFunctions.Utility_DisplayArrayInTable(SourceData_PastureBeef.SourceData_PastureBeef_LiveweightGainNTQLD_Data(),Table_SourceData_PastureBeef_LiveweightGainNTQLD[[#Headers],[State]],0)</f>
        <v>0.38</v>
      </c>
      <c r="J202" s="10" cm="1">
        <f t="array" ref="J202">Common_InputFunctions.Utility_DisplayArrayInTable(SourceData_PastureBeef.SourceData_PastureBeef_LiveweightGainNTQLD_Data(),Table_SourceData_PastureBeef_LiveweightGainNTQLD[[#Headers],[State]],0)</f>
        <v>0.25</v>
      </c>
      <c r="K202" s="10" cm="1">
        <f t="array" ref="K202">Common_InputFunctions.Utility_DisplayArrayInTable(SourceData_PastureBeef.SourceData_PastureBeef_LiveweightGainNTQLD_Data(),Table_SourceData_PastureBeef_LiveweightGainNTQLD[[#Headers],[State]],0)</f>
        <v>7.0000000000000007E-2</v>
      </c>
      <c r="L202" s="10" cm="1">
        <f t="array" ref="L202">Common_InputFunctions.Utility_DisplayArrayInTable(SourceData_PastureBeef.SourceData_PastureBeef_LiveweightGainNTQLD_Data(),Table_SourceData_PastureBeef_LiveweightGainNTQLD[[#Headers],[State]],0)</f>
        <v>0.05</v>
      </c>
      <c r="M202" s="10" cm="1">
        <f t="array" ref="M202">Common_InputFunctions.Utility_DisplayArrayInTable(SourceData_PastureBeef.SourceData_PastureBeef_LiveweightGainNTQLD_Data(),Table_SourceData_PastureBeef_LiveweightGainNTQLD[[#Headers],[State]],0)</f>
        <v>0.52</v>
      </c>
      <c r="N202" s="10" cm="1">
        <f t="array" ref="N202">Common_InputFunctions.Utility_DisplayArrayInTable(SourceData_PastureBeef.SourceData_PastureBeef_LiveweightGainNTQLD_Data(),Table_SourceData_PastureBeef_LiveweightGainNTQLD[[#Headers],[State]],0)</f>
        <v>0.55000000000000004</v>
      </c>
      <c r="O202" s="10" cm="1">
        <f t="array" ref="O202">Common_InputFunctions.Utility_DisplayArrayInTable(SourceData_PastureBeef.SourceData_PastureBeef_LiveweightGainNTQLD_Data(),Table_SourceData_PastureBeef_LiveweightGainNTQLD[[#Headers],[State]],0)</f>
        <v>0.19</v>
      </c>
      <c r="P202" s="10" cm="1">
        <f t="array" ref="P202">Common_InputFunctions.Utility_DisplayArrayInTable(SourceData_PastureBeef.SourceData_PastureBeef_LiveweightGainNTQLD_Data(),Table_SourceData_PastureBeef_LiveweightGainNTQLD[[#Headers],[State]],0)</f>
        <v>0.6</v>
      </c>
    </row>
    <row r="203" spans="4:16" x14ac:dyDescent="0.25">
      <c r="D203" s="8" t="str" cm="1">
        <f t="array" ref="D203">Common_InputFunctions.Utility_DisplayArrayInTable(SourceData_PastureBeef.SourceData_PastureBeef_LiveweightGainNTQLD_Data(),Table_SourceData_PastureBeef_LiveweightGainNTQLD[[#Headers],[State]],0)</f>
        <v>Queensland</v>
      </c>
      <c r="E203" s="10" t="str" cm="1">
        <f t="array" ref="E203">Common_InputFunctions.Utility_DisplayArrayInTable(SourceData_PastureBeef.SourceData_PastureBeef_LiveweightGainNTQLD_Data(),Table_SourceData_PastureBeef_LiveweightGainNTQLD[[#Headers],[State]],0)</f>
        <v>High</v>
      </c>
      <c r="F203" s="10" t="str" cm="1">
        <f t="array" ref="F203">Common_InputFunctions.Utility_DisplayArrayInTable(SourceData_PastureBeef.SourceData_PastureBeef_LiveweightGainNTQLD_Data(),Table_SourceData_PastureBeef_LiveweightGainNTQLD[[#Headers],[State]],0)</f>
        <v>Summer</v>
      </c>
      <c r="G203" s="10" cm="1">
        <f t="array" ref="G203">Common_InputFunctions.Utility_DisplayArrayInTable(SourceData_PastureBeef.SourceData_PastureBeef_LiveweightGainNTQLD_Data(),Table_SourceData_PastureBeef_LiveweightGainNTQLD[[#Headers],[State]],0)</f>
        <v>0.16</v>
      </c>
      <c r="H203" s="10" cm="1">
        <f t="array" ref="H203">Common_InputFunctions.Utility_DisplayArrayInTable(SourceData_PastureBeef.SourceData_PastureBeef_LiveweightGainNTQLD_Data(),Table_SourceData_PastureBeef_LiveweightGainNTQLD[[#Headers],[State]],0)</f>
        <v>0.16</v>
      </c>
      <c r="I203" s="10" cm="1">
        <f t="array" ref="I203">Common_InputFunctions.Utility_DisplayArrayInTable(SourceData_PastureBeef.SourceData_PastureBeef_LiveweightGainNTQLD_Data(),Table_SourceData_PastureBeef_LiveweightGainNTQLD[[#Headers],[State]],0)</f>
        <v>0.8</v>
      </c>
      <c r="J203" s="10" cm="1">
        <f t="array" ref="J203">Common_InputFunctions.Utility_DisplayArrayInTable(SourceData_PastureBeef.SourceData_PastureBeef_LiveweightGainNTQLD_Data(),Table_SourceData_PastureBeef_LiveweightGainNTQLD[[#Headers],[State]],0)</f>
        <v>0.56999999999999995</v>
      </c>
      <c r="K203" s="10" cm="1">
        <f t="array" ref="K203">Common_InputFunctions.Utility_DisplayArrayInTable(SourceData_PastureBeef.SourceData_PastureBeef_LiveweightGainNTQLD_Data(),Table_SourceData_PastureBeef_LiveweightGainNTQLD[[#Headers],[State]],0)</f>
        <v>0.76</v>
      </c>
      <c r="L203" s="10" cm="1">
        <f t="array" ref="L203">Common_InputFunctions.Utility_DisplayArrayInTable(SourceData_PastureBeef.SourceData_PastureBeef_LiveweightGainNTQLD_Data(),Table_SourceData_PastureBeef_LiveweightGainNTQLD[[#Headers],[State]],0)</f>
        <v>0.49</v>
      </c>
      <c r="M203" s="10" cm="1">
        <f t="array" ref="M203">Common_InputFunctions.Utility_DisplayArrayInTable(SourceData_PastureBeef.SourceData_PastureBeef_LiveweightGainNTQLD_Data(),Table_SourceData_PastureBeef_LiveweightGainNTQLD[[#Headers],[State]],0)</f>
        <v>0.84</v>
      </c>
      <c r="N203" s="10" cm="1">
        <f t="array" ref="N203">Common_InputFunctions.Utility_DisplayArrayInTable(SourceData_PastureBeef.SourceData_PastureBeef_LiveweightGainNTQLD_Data(),Table_SourceData_PastureBeef_LiveweightGainNTQLD[[#Headers],[State]],0)</f>
        <v>0.51</v>
      </c>
      <c r="O203" s="10" cm="1">
        <f t="array" ref="O203">Common_InputFunctions.Utility_DisplayArrayInTable(SourceData_PastureBeef.SourceData_PastureBeef_LiveweightGainNTQLD_Data(),Table_SourceData_PastureBeef_LiveweightGainNTQLD[[#Headers],[State]],0)</f>
        <v>0.36</v>
      </c>
      <c r="P203" s="10" cm="1">
        <f t="array" ref="P203">Common_InputFunctions.Utility_DisplayArrayInTable(SourceData_PastureBeef.SourceData_PastureBeef_LiveweightGainNTQLD_Data(),Table_SourceData_PastureBeef_LiveweightGainNTQLD[[#Headers],[State]],0)</f>
        <v>0.17</v>
      </c>
    </row>
    <row r="204" spans="4:16" x14ac:dyDescent="0.25">
      <c r="D204" s="8" t="str" cm="1">
        <f t="array" ref="D204">Common_InputFunctions.Utility_DisplayArrayInTable(SourceData_PastureBeef.SourceData_PastureBeef_LiveweightGainNTQLD_Data(),Table_SourceData_PastureBeef_LiveweightGainNTQLD[[#Headers],[State]],0)</f>
        <v>Queensland</v>
      </c>
      <c r="E204" s="10" t="str" cm="1">
        <f t="array" ref="E204">Common_InputFunctions.Utility_DisplayArrayInTable(SourceData_PastureBeef.SourceData_PastureBeef_LiveweightGainNTQLD_Data(),Table_SourceData_PastureBeef_LiveweightGainNTQLD[[#Headers],[State]],0)</f>
        <v>High</v>
      </c>
      <c r="F204" s="10" t="str" cm="1">
        <f t="array" ref="F204">Common_InputFunctions.Utility_DisplayArrayInTable(SourceData_PastureBeef.SourceData_PastureBeef_LiveweightGainNTQLD_Data(),Table_SourceData_PastureBeef_LiveweightGainNTQLD[[#Headers],[State]],0)</f>
        <v>Autumn</v>
      </c>
      <c r="G204" s="10" cm="1">
        <f t="array" ref="G204">Common_InputFunctions.Utility_DisplayArrayInTable(SourceData_PastureBeef.SourceData_PastureBeef_LiveweightGainNTQLD_Data(),Table_SourceData_PastureBeef_LiveweightGainNTQLD[[#Headers],[State]],0)</f>
        <v>0.45</v>
      </c>
      <c r="H204" s="10" cm="1">
        <f t="array" ref="H204">Common_InputFunctions.Utility_DisplayArrayInTable(SourceData_PastureBeef.SourceData_PastureBeef_LiveweightGainNTQLD_Data(),Table_SourceData_PastureBeef_LiveweightGainNTQLD[[#Headers],[State]],0)</f>
        <v>0.1</v>
      </c>
      <c r="I204" s="10" cm="1">
        <f t="array" ref="I204">Common_InputFunctions.Utility_DisplayArrayInTable(SourceData_PastureBeef.SourceData_PastureBeef_LiveweightGainNTQLD_Data(),Table_SourceData_PastureBeef_LiveweightGainNTQLD[[#Headers],[State]],0)</f>
        <v>0.49</v>
      </c>
      <c r="J204" s="10" cm="1">
        <f t="array" ref="J204">Common_InputFunctions.Utility_DisplayArrayInTable(SourceData_PastureBeef.SourceData_PastureBeef_LiveweightGainNTQLD_Data(),Table_SourceData_PastureBeef_LiveweightGainNTQLD[[#Headers],[State]],0)</f>
        <v>0.41</v>
      </c>
      <c r="K204" s="10" cm="1">
        <f t="array" ref="K204">Common_InputFunctions.Utility_DisplayArrayInTable(SourceData_PastureBeef.SourceData_PastureBeef_LiveweightGainNTQLD_Data(),Table_SourceData_PastureBeef_LiveweightGainNTQLD[[#Headers],[State]],0)</f>
        <v>0.4</v>
      </c>
      <c r="L204" s="10" cm="1">
        <f t="array" ref="L204">Common_InputFunctions.Utility_DisplayArrayInTable(SourceData_PastureBeef.SourceData_PastureBeef_LiveweightGainNTQLD_Data(),Table_SourceData_PastureBeef_LiveweightGainNTQLD[[#Headers],[State]],0)</f>
        <v>0.17</v>
      </c>
      <c r="M204" s="10" cm="1">
        <f t="array" ref="M204">Common_InputFunctions.Utility_DisplayArrayInTable(SourceData_PastureBeef.SourceData_PastureBeef_LiveweightGainNTQLD_Data(),Table_SourceData_PastureBeef_LiveweightGainNTQLD[[#Headers],[State]],0)</f>
        <v>0.54</v>
      </c>
      <c r="N204" s="10" cm="1">
        <f t="array" ref="N204">Common_InputFunctions.Utility_DisplayArrayInTable(SourceData_PastureBeef.SourceData_PastureBeef_LiveweightGainNTQLD_Data(),Table_SourceData_PastureBeef_LiveweightGainNTQLD[[#Headers],[State]],0)</f>
        <v>0.64</v>
      </c>
      <c r="O204" s="10" cm="1">
        <f t="array" ref="O204">Common_InputFunctions.Utility_DisplayArrayInTable(SourceData_PastureBeef.SourceData_PastureBeef_LiveweightGainNTQLD_Data(),Table_SourceData_PastureBeef_LiveweightGainNTQLD[[#Headers],[State]],0)</f>
        <v>-0.05</v>
      </c>
      <c r="P204" s="10" cm="1">
        <f t="array" ref="P204">Common_InputFunctions.Utility_DisplayArrayInTable(SourceData_PastureBeef.SourceData_PastureBeef_LiveweightGainNTQLD_Data(),Table_SourceData_PastureBeef_LiveweightGainNTQLD[[#Headers],[State]],0)</f>
        <v>0.32</v>
      </c>
    </row>
    <row r="205" spans="4:16" x14ac:dyDescent="0.25">
      <c r="D205" s="8" t="str" cm="1">
        <f t="array" ref="D205">Common_InputFunctions.Utility_DisplayArrayInTable(SourceData_PastureBeef.SourceData_PastureBeef_LiveweightGainNTQLD_Data(),Table_SourceData_PastureBeef_LiveweightGainNTQLD[[#Headers],[State]],0)</f>
        <v>Queensland</v>
      </c>
      <c r="E205" s="10" t="str" cm="1">
        <f t="array" ref="E205">Common_InputFunctions.Utility_DisplayArrayInTable(SourceData_PastureBeef.SourceData_PastureBeef_LiveweightGainNTQLD_Data(),Table_SourceData_PastureBeef_LiveweightGainNTQLD[[#Headers],[State]],0)</f>
        <v>High</v>
      </c>
      <c r="F205" s="10" t="str" cm="1">
        <f t="array" ref="F205">Common_InputFunctions.Utility_DisplayArrayInTable(SourceData_PastureBeef.SourceData_PastureBeef_LiveweightGainNTQLD_Data(),Table_SourceData_PastureBeef_LiveweightGainNTQLD[[#Headers],[State]],0)</f>
        <v>Winter</v>
      </c>
      <c r="G205" s="10" cm="1">
        <f t="array" ref="G205">Common_InputFunctions.Utility_DisplayArrayInTable(SourceData_PastureBeef.SourceData_PastureBeef_LiveweightGainNTQLD_Data(),Table_SourceData_PastureBeef_LiveweightGainNTQLD[[#Headers],[State]],0)</f>
        <v>0.51</v>
      </c>
      <c r="H205" s="10" cm="1">
        <f t="array" ref="H205">Common_InputFunctions.Utility_DisplayArrayInTable(SourceData_PastureBeef.SourceData_PastureBeef_LiveweightGainNTQLD_Data(),Table_SourceData_PastureBeef_LiveweightGainNTQLD[[#Headers],[State]],0)</f>
        <v>-7.0000000000000007E-2</v>
      </c>
      <c r="I205" s="10" cm="1">
        <f t="array" ref="I205">Common_InputFunctions.Utility_DisplayArrayInTable(SourceData_PastureBeef.SourceData_PastureBeef_LiveweightGainNTQLD_Data(),Table_SourceData_PastureBeef_LiveweightGainNTQLD[[#Headers],[State]],0)</f>
        <v>0.13</v>
      </c>
      <c r="J205" s="10" cm="1">
        <f t="array" ref="J205">Common_InputFunctions.Utility_DisplayArrayInTable(SourceData_PastureBeef.SourceData_PastureBeef_LiveweightGainNTQLD_Data(),Table_SourceData_PastureBeef_LiveweightGainNTQLD[[#Headers],[State]],0)</f>
        <v>-0.09</v>
      </c>
      <c r="K205" s="10" cm="1">
        <f t="array" ref="K205">Common_InputFunctions.Utility_DisplayArrayInTable(SourceData_PastureBeef.SourceData_PastureBeef_LiveweightGainNTQLD_Data(),Table_SourceData_PastureBeef_LiveweightGainNTQLD[[#Headers],[State]],0)</f>
        <v>-0.13</v>
      </c>
      <c r="L205" s="10" cm="1">
        <f t="array" ref="L205">Common_InputFunctions.Utility_DisplayArrayInTable(SourceData_PastureBeef.SourceData_PastureBeef_LiveweightGainNTQLD_Data(),Table_SourceData_PastureBeef_LiveweightGainNTQLD[[#Headers],[State]],0)</f>
        <v>7.0000000000000007E-2</v>
      </c>
      <c r="M205" s="10" cm="1">
        <f t="array" ref="M205">Common_InputFunctions.Utility_DisplayArrayInTable(SourceData_PastureBeef.SourceData_PastureBeef_LiveweightGainNTQLD_Data(),Table_SourceData_PastureBeef_LiveweightGainNTQLD[[#Headers],[State]],0)</f>
        <v>0.25</v>
      </c>
      <c r="N205" s="10" cm="1">
        <f t="array" ref="N205">Common_InputFunctions.Utility_DisplayArrayInTable(SourceData_PastureBeef.SourceData_PastureBeef_LiveweightGainNTQLD_Data(),Table_SourceData_PastureBeef_LiveweightGainNTQLD[[#Headers],[State]],0)</f>
        <v>0.71</v>
      </c>
      <c r="O205" s="10" cm="1">
        <f t="array" ref="O205">Common_InputFunctions.Utility_DisplayArrayInTable(SourceData_PastureBeef.SourceData_PastureBeef_LiveweightGainNTQLD_Data(),Table_SourceData_PastureBeef_LiveweightGainNTQLD[[#Headers],[State]],0)</f>
        <v>0.17</v>
      </c>
      <c r="P205" s="10" cm="1">
        <f t="array" ref="P205">Common_InputFunctions.Utility_DisplayArrayInTable(SourceData_PastureBeef.SourceData_PastureBeef_LiveweightGainNTQLD_Data(),Table_SourceData_PastureBeef_LiveweightGainNTQLD[[#Headers],[State]],0)</f>
        <v>0.43</v>
      </c>
    </row>
    <row r="206" spans="4:16" x14ac:dyDescent="0.25">
      <c r="D206" s="8" t="str" cm="1">
        <f t="array" ref="D206">Common_InputFunctions.Utility_DisplayArrayInTable(SourceData_PastureBeef.SourceData_PastureBeef_LiveweightGainNTQLD_Data(),Table_SourceData_PastureBeef_LiveweightGainNTQLD[[#Headers],[State]],0)</f>
        <v>Queensland</v>
      </c>
      <c r="E206" s="10" t="str" cm="1">
        <f t="array" ref="E206">Common_InputFunctions.Utility_DisplayArrayInTable(SourceData_PastureBeef.SourceData_PastureBeef_LiveweightGainNTQLD_Data(),Table_SourceData_PastureBeef_LiveweightGainNTQLD[[#Headers],[State]],0)</f>
        <v>Moderate/High</v>
      </c>
      <c r="F206" s="10" t="str" cm="1">
        <f t="array" ref="F206">Common_InputFunctions.Utility_DisplayArrayInTable(SourceData_PastureBeef.SourceData_PastureBeef_LiveweightGainNTQLD_Data(),Table_SourceData_PastureBeef_LiveweightGainNTQLD[[#Headers],[State]],0)</f>
        <v>Spring</v>
      </c>
      <c r="G206" s="10" cm="1">
        <f t="array" ref="G206">Common_InputFunctions.Utility_DisplayArrayInTable(SourceData_PastureBeef.SourceData_PastureBeef_LiveweightGainNTQLD_Data(),Table_SourceData_PastureBeef_LiveweightGainNTQLD[[#Headers],[State]],0)</f>
        <v>-0.12</v>
      </c>
      <c r="H206" s="10" cm="1">
        <f t="array" ref="H206">Common_InputFunctions.Utility_DisplayArrayInTable(SourceData_PastureBeef.SourceData_PastureBeef_LiveweightGainNTQLD_Data(),Table_SourceData_PastureBeef_LiveweightGainNTQLD[[#Headers],[State]],0)</f>
        <v>-0.19</v>
      </c>
      <c r="I206" s="10" cm="1">
        <f t="array" ref="I206">Common_InputFunctions.Utility_DisplayArrayInTable(SourceData_PastureBeef.SourceData_PastureBeef_LiveweightGainNTQLD_Data(),Table_SourceData_PastureBeef_LiveweightGainNTQLD[[#Headers],[State]],0)</f>
        <v>0.41</v>
      </c>
      <c r="J206" s="10" cm="1">
        <f t="array" ref="J206">Common_InputFunctions.Utility_DisplayArrayInTable(SourceData_PastureBeef.SourceData_PastureBeef_LiveweightGainNTQLD_Data(),Table_SourceData_PastureBeef_LiveweightGainNTQLD[[#Headers],[State]],0)</f>
        <v>0.09</v>
      </c>
      <c r="K206" s="10" cm="1">
        <f t="array" ref="K206">Common_InputFunctions.Utility_DisplayArrayInTable(SourceData_PastureBeef.SourceData_PastureBeef_LiveweightGainNTQLD_Data(),Table_SourceData_PastureBeef_LiveweightGainNTQLD[[#Headers],[State]],0)</f>
        <v>0.41</v>
      </c>
      <c r="L206" s="10" cm="1">
        <f t="array" ref="L206">Common_InputFunctions.Utility_DisplayArrayInTable(SourceData_PastureBeef.SourceData_PastureBeef_LiveweightGainNTQLD_Data(),Table_SourceData_PastureBeef_LiveweightGainNTQLD[[#Headers],[State]],0)</f>
        <v>-0.19</v>
      </c>
      <c r="M206" s="10" cm="1">
        <f t="array" ref="M206">Common_InputFunctions.Utility_DisplayArrayInTable(SourceData_PastureBeef.SourceData_PastureBeef_LiveweightGainNTQLD_Data(),Table_SourceData_PastureBeef_LiveweightGainNTQLD[[#Headers],[State]],0)</f>
        <v>7.0000000000000007E-2</v>
      </c>
      <c r="N206" s="10" cm="1">
        <f t="array" ref="N206">Common_InputFunctions.Utility_DisplayArrayInTable(SourceData_PastureBeef.SourceData_PastureBeef_LiveweightGainNTQLD_Data(),Table_SourceData_PastureBeef_LiveweightGainNTQLD[[#Headers],[State]],0)</f>
        <v>1.07</v>
      </c>
      <c r="O206" s="10" cm="1">
        <f t="array" ref="O206">Common_InputFunctions.Utility_DisplayArrayInTable(SourceData_PastureBeef.SourceData_PastureBeef_LiveweightGainNTQLD_Data(),Table_SourceData_PastureBeef_LiveweightGainNTQLD[[#Headers],[State]],0)</f>
        <v>-0.08</v>
      </c>
      <c r="P206" s="10" cm="1">
        <f t="array" ref="P206">Common_InputFunctions.Utility_DisplayArrayInTable(SourceData_PastureBeef.SourceData_PastureBeef_LiveweightGainNTQLD_Data(),Table_SourceData_PastureBeef_LiveweightGainNTQLD[[#Headers],[State]],0)</f>
        <v>0</v>
      </c>
    </row>
    <row r="207" spans="4:16" x14ac:dyDescent="0.25">
      <c r="D207" s="8" t="str" cm="1">
        <f t="array" ref="D207">Common_InputFunctions.Utility_DisplayArrayInTable(SourceData_PastureBeef.SourceData_PastureBeef_LiveweightGainNTQLD_Data(),Table_SourceData_PastureBeef_LiveweightGainNTQLD[[#Headers],[State]],0)</f>
        <v>Queensland</v>
      </c>
      <c r="E207" s="10" t="str" cm="1">
        <f t="array" ref="E207">Common_InputFunctions.Utility_DisplayArrayInTable(SourceData_PastureBeef.SourceData_PastureBeef_LiveweightGainNTQLD_Data(),Table_SourceData_PastureBeef_LiveweightGainNTQLD[[#Headers],[State]],0)</f>
        <v>Moderate/High</v>
      </c>
      <c r="F207" s="10" t="str" cm="1">
        <f t="array" ref="F207">Common_InputFunctions.Utility_DisplayArrayInTable(SourceData_PastureBeef.SourceData_PastureBeef_LiveweightGainNTQLD_Data(),Table_SourceData_PastureBeef_LiveweightGainNTQLD[[#Headers],[State]],0)</f>
        <v>Summer</v>
      </c>
      <c r="G207" s="10" cm="1">
        <f t="array" ref="G207">Common_InputFunctions.Utility_DisplayArrayInTable(SourceData_PastureBeef.SourceData_PastureBeef_LiveweightGainNTQLD_Data(),Table_SourceData_PastureBeef_LiveweightGainNTQLD[[#Headers],[State]],0)</f>
        <v>0.65</v>
      </c>
      <c r="H207" s="10" cm="1">
        <f t="array" ref="H207">Common_InputFunctions.Utility_DisplayArrayInTable(SourceData_PastureBeef.SourceData_PastureBeef_LiveweightGainNTQLD_Data(),Table_SourceData_PastureBeef_LiveweightGainNTQLD[[#Headers],[State]],0)</f>
        <v>0.19</v>
      </c>
      <c r="I207" s="10" cm="1">
        <f t="array" ref="I207">Common_InputFunctions.Utility_DisplayArrayInTable(SourceData_PastureBeef.SourceData_PastureBeef_LiveweightGainNTQLD_Data(),Table_SourceData_PastureBeef_LiveweightGainNTQLD[[#Headers],[State]],0)</f>
        <v>0.65</v>
      </c>
      <c r="J207" s="10" cm="1">
        <f t="array" ref="J207">Common_InputFunctions.Utility_DisplayArrayInTable(SourceData_PastureBeef.SourceData_PastureBeef_LiveweightGainNTQLD_Data(),Table_SourceData_PastureBeef_LiveweightGainNTQLD[[#Headers],[State]],0)</f>
        <v>0.51</v>
      </c>
      <c r="K207" s="10" cm="1">
        <f t="array" ref="K207">Common_InputFunctions.Utility_DisplayArrayInTable(SourceData_PastureBeef.SourceData_PastureBeef_LiveweightGainNTQLD_Data(),Table_SourceData_PastureBeef_LiveweightGainNTQLD[[#Headers],[State]],0)</f>
        <v>0.18</v>
      </c>
      <c r="L207" s="10" cm="1">
        <f t="array" ref="L207">Common_InputFunctions.Utility_DisplayArrayInTable(SourceData_PastureBeef.SourceData_PastureBeef_LiveweightGainNTQLD_Data(),Table_SourceData_PastureBeef_LiveweightGainNTQLD[[#Headers],[State]],0)</f>
        <v>0.63</v>
      </c>
      <c r="M207" s="10" cm="1">
        <f t="array" ref="M207">Common_InputFunctions.Utility_DisplayArrayInTable(SourceData_PastureBeef.SourceData_PastureBeef_LiveweightGainNTQLD_Data(),Table_SourceData_PastureBeef_LiveweightGainNTQLD[[#Headers],[State]],0)</f>
        <v>1.3</v>
      </c>
      <c r="N207" s="10" cm="1">
        <f t="array" ref="N207">Common_InputFunctions.Utility_DisplayArrayInTable(SourceData_PastureBeef.SourceData_PastureBeef_LiveweightGainNTQLD_Data(),Table_SourceData_PastureBeef_LiveweightGainNTQLD[[#Headers],[State]],0)</f>
        <v>0.48</v>
      </c>
      <c r="O207" s="10" cm="1">
        <f t="array" ref="O207">Common_InputFunctions.Utility_DisplayArrayInTable(SourceData_PastureBeef.SourceData_PastureBeef_LiveweightGainNTQLD_Data(),Table_SourceData_PastureBeef_LiveweightGainNTQLD[[#Headers],[State]],0)</f>
        <v>1.1200000000000001</v>
      </c>
      <c r="P207" s="10" cm="1">
        <f t="array" ref="P207">Common_InputFunctions.Utility_DisplayArrayInTable(SourceData_PastureBeef.SourceData_PastureBeef_LiveweightGainNTQLD_Data(),Table_SourceData_PastureBeef_LiveweightGainNTQLD[[#Headers],[State]],0)</f>
        <v>0.38</v>
      </c>
    </row>
    <row r="208" spans="4:16" x14ac:dyDescent="0.25">
      <c r="D208" s="8" t="str" cm="1">
        <f t="array" ref="D208">Common_InputFunctions.Utility_DisplayArrayInTable(SourceData_PastureBeef.SourceData_PastureBeef_LiveweightGainNTQLD_Data(),Table_SourceData_PastureBeef_LiveweightGainNTQLD[[#Headers],[State]],0)</f>
        <v>Queensland</v>
      </c>
      <c r="E208" s="10" t="str" cm="1">
        <f t="array" ref="E208">Common_InputFunctions.Utility_DisplayArrayInTable(SourceData_PastureBeef.SourceData_PastureBeef_LiveweightGainNTQLD_Data(),Table_SourceData_PastureBeef_LiveweightGainNTQLD[[#Headers],[State]],0)</f>
        <v>Moderate/High</v>
      </c>
      <c r="F208" s="10" t="str" cm="1">
        <f t="array" ref="F208">Common_InputFunctions.Utility_DisplayArrayInTable(SourceData_PastureBeef.SourceData_PastureBeef_LiveweightGainNTQLD_Data(),Table_SourceData_PastureBeef_LiveweightGainNTQLD[[#Headers],[State]],0)</f>
        <v>Autumn</v>
      </c>
      <c r="G208" s="10" cm="1">
        <f t="array" ref="G208">Common_InputFunctions.Utility_DisplayArrayInTable(SourceData_PastureBeef.SourceData_PastureBeef_LiveweightGainNTQLD_Data(),Table_SourceData_PastureBeef_LiveweightGainNTQLD[[#Headers],[State]],0)</f>
        <v>0.7</v>
      </c>
      <c r="H208" s="10" cm="1">
        <f t="array" ref="H208">Common_InputFunctions.Utility_DisplayArrayInTable(SourceData_PastureBeef.SourceData_PastureBeef_LiveweightGainNTQLD_Data(),Table_SourceData_PastureBeef_LiveweightGainNTQLD[[#Headers],[State]],0)</f>
        <v>0.13</v>
      </c>
      <c r="I208" s="10" cm="1">
        <f t="array" ref="I208">Common_InputFunctions.Utility_DisplayArrayInTable(SourceData_PastureBeef.SourceData_PastureBeef_LiveweightGainNTQLD_Data(),Table_SourceData_PastureBeef_LiveweightGainNTQLD[[#Headers],[State]],0)</f>
        <v>0.52</v>
      </c>
      <c r="J208" s="10" cm="1">
        <f t="array" ref="J208">Common_InputFunctions.Utility_DisplayArrayInTable(SourceData_PastureBeef.SourceData_PastureBeef_LiveweightGainNTQLD_Data(),Table_SourceData_PastureBeef_LiveweightGainNTQLD[[#Headers],[State]],0)</f>
        <v>0.34</v>
      </c>
      <c r="K208" s="10" cm="1">
        <f t="array" ref="K208">Common_InputFunctions.Utility_DisplayArrayInTable(SourceData_PastureBeef.SourceData_PastureBeef_LiveweightGainNTQLD_Data(),Table_SourceData_PastureBeef_LiveweightGainNTQLD[[#Headers],[State]],0)</f>
        <v>0.02</v>
      </c>
      <c r="L208" s="10" cm="1">
        <f t="array" ref="L208">Common_InputFunctions.Utility_DisplayArrayInTable(SourceData_PastureBeef.SourceData_PastureBeef_LiveweightGainNTQLD_Data(),Table_SourceData_PastureBeef_LiveweightGainNTQLD[[#Headers],[State]],0)</f>
        <v>0.04</v>
      </c>
      <c r="M208" s="10" cm="1">
        <f t="array" ref="M208">Common_InputFunctions.Utility_DisplayArrayInTable(SourceData_PastureBeef.SourceData_PastureBeef_LiveweightGainNTQLD_Data(),Table_SourceData_PastureBeef_LiveweightGainNTQLD[[#Headers],[State]],0)</f>
        <v>0.77</v>
      </c>
      <c r="N208" s="10" cm="1">
        <f t="array" ref="N208">Common_InputFunctions.Utility_DisplayArrayInTable(SourceData_PastureBeef.SourceData_PastureBeef_LiveweightGainNTQLD_Data(),Table_SourceData_PastureBeef_LiveweightGainNTQLD[[#Headers],[State]],0)</f>
        <v>0.42</v>
      </c>
      <c r="O208" s="10" cm="1">
        <f t="array" ref="O208">Common_InputFunctions.Utility_DisplayArrayInTable(SourceData_PastureBeef.SourceData_PastureBeef_LiveweightGainNTQLD_Data(),Table_SourceData_PastureBeef_LiveweightGainNTQLD[[#Headers],[State]],0)</f>
        <v>0.12</v>
      </c>
      <c r="P208" s="10" cm="1">
        <f t="array" ref="P208">Common_InputFunctions.Utility_DisplayArrayInTable(SourceData_PastureBeef.SourceData_PastureBeef_LiveweightGainNTQLD_Data(),Table_SourceData_PastureBeef_LiveweightGainNTQLD[[#Headers],[State]],0)</f>
        <v>0.74</v>
      </c>
    </row>
    <row r="209" spans="4:16" x14ac:dyDescent="0.25">
      <c r="D209" s="8" t="str" cm="1">
        <f t="array" ref="D209">Common_InputFunctions.Utility_DisplayArrayInTable(SourceData_PastureBeef.SourceData_PastureBeef_LiveweightGainNTQLD_Data(),Table_SourceData_PastureBeef_LiveweightGainNTQLD[[#Headers],[State]],0)</f>
        <v>Queensland</v>
      </c>
      <c r="E209" s="10" t="str" cm="1">
        <f t="array" ref="E209">Common_InputFunctions.Utility_DisplayArrayInTable(SourceData_PastureBeef.SourceData_PastureBeef_LiveweightGainNTQLD_Data(),Table_SourceData_PastureBeef_LiveweightGainNTQLD[[#Headers],[State]],0)</f>
        <v>Moderate/High</v>
      </c>
      <c r="F209" s="10" t="str" cm="1">
        <f t="array" ref="F209">Common_InputFunctions.Utility_DisplayArrayInTable(SourceData_PastureBeef.SourceData_PastureBeef_LiveweightGainNTQLD_Data(),Table_SourceData_PastureBeef_LiveweightGainNTQLD[[#Headers],[State]],0)</f>
        <v>Winter</v>
      </c>
      <c r="G209" s="10" cm="1">
        <f t="array" ref="G209">Common_InputFunctions.Utility_DisplayArrayInTable(SourceData_PastureBeef.SourceData_PastureBeef_LiveweightGainNTQLD_Data(),Table_SourceData_PastureBeef_LiveweightGainNTQLD[[#Headers],[State]],0)</f>
        <v>0.32</v>
      </c>
      <c r="H209" s="10" cm="1">
        <f t="array" ref="H209">Common_InputFunctions.Utility_DisplayArrayInTable(SourceData_PastureBeef.SourceData_PastureBeef_LiveweightGainNTQLD_Data(),Table_SourceData_PastureBeef_LiveweightGainNTQLD[[#Headers],[State]],0)</f>
        <v>-0.06</v>
      </c>
      <c r="I209" s="10" cm="1">
        <f t="array" ref="I209">Common_InputFunctions.Utility_DisplayArrayInTable(SourceData_PastureBeef.SourceData_PastureBeef_LiveweightGainNTQLD_Data(),Table_SourceData_PastureBeef_LiveweightGainNTQLD[[#Headers],[State]],0)</f>
        <v>0.25</v>
      </c>
      <c r="J209" s="10" cm="1">
        <f t="array" ref="J209">Common_InputFunctions.Utility_DisplayArrayInTable(SourceData_PastureBeef.SourceData_PastureBeef_LiveweightGainNTQLD_Data(),Table_SourceData_PastureBeef_LiveweightGainNTQLD[[#Headers],[State]],0)</f>
        <v>0.19</v>
      </c>
      <c r="K209" s="10" cm="1">
        <f t="array" ref="K209">Common_InputFunctions.Utility_DisplayArrayInTable(SourceData_PastureBeef.SourceData_PastureBeef_LiveweightGainNTQLD_Data(),Table_SourceData_PastureBeef_LiveweightGainNTQLD[[#Headers],[State]],0)</f>
        <v>-0.1</v>
      </c>
      <c r="L209" s="10" cm="1">
        <f t="array" ref="L209">Common_InputFunctions.Utility_DisplayArrayInTable(SourceData_PastureBeef.SourceData_PastureBeef_LiveweightGainNTQLD_Data(),Table_SourceData_PastureBeef_LiveweightGainNTQLD[[#Headers],[State]],0)</f>
        <v>-0.02</v>
      </c>
      <c r="M209" s="10" cm="1">
        <f t="array" ref="M209">Common_InputFunctions.Utility_DisplayArrayInTable(SourceData_PastureBeef.SourceData_PastureBeef_LiveweightGainNTQLD_Data(),Table_SourceData_PastureBeef_LiveweightGainNTQLD[[#Headers],[State]],0)</f>
        <v>0.02</v>
      </c>
      <c r="N209" s="10" cm="1">
        <f t="array" ref="N209">Common_InputFunctions.Utility_DisplayArrayInTable(SourceData_PastureBeef.SourceData_PastureBeef_LiveweightGainNTQLD_Data(),Table_SourceData_PastureBeef_LiveweightGainNTQLD[[#Headers],[State]],0)</f>
        <v>0.23</v>
      </c>
      <c r="O209" s="10" cm="1">
        <f t="array" ref="O209">Common_InputFunctions.Utility_DisplayArrayInTable(SourceData_PastureBeef.SourceData_PastureBeef_LiveweightGainNTQLD_Data(),Table_SourceData_PastureBeef_LiveweightGainNTQLD[[#Headers],[State]],0)</f>
        <v>-0.13</v>
      </c>
      <c r="P209" s="10" cm="1">
        <f t="array" ref="P209">Common_InputFunctions.Utility_DisplayArrayInTable(SourceData_PastureBeef.SourceData_PastureBeef_LiveweightGainNTQLD_Data(),Table_SourceData_PastureBeef_LiveweightGainNTQLD[[#Headers],[State]],0)</f>
        <v>0</v>
      </c>
    </row>
    <row r="210" spans="4:16" x14ac:dyDescent="0.25">
      <c r="D210" s="8" t="str" cm="1">
        <f t="array" ref="D210">Common_InputFunctions.Utility_DisplayArrayInTable(SourceData_PastureBeef.SourceData_PastureBeef_LiveweightGainNTQLD_Data(),Table_SourceData_PastureBeef_LiveweightGainNTQLD[[#Headers],[State]],0)</f>
        <v>Queensland</v>
      </c>
      <c r="E210" s="10" t="str" cm="1">
        <f t="array" ref="E210">Common_InputFunctions.Utility_DisplayArrayInTable(SourceData_PastureBeef.SourceData_PastureBeef_LiveweightGainNTQLD_Data(),Table_SourceData_PastureBeef_LiveweightGainNTQLD[[#Headers],[State]],0)</f>
        <v>Moderate/Low</v>
      </c>
      <c r="F210" s="10" t="str" cm="1">
        <f t="array" ref="F210">Common_InputFunctions.Utility_DisplayArrayInTable(SourceData_PastureBeef.SourceData_PastureBeef_LiveweightGainNTQLD_Data(),Table_SourceData_PastureBeef_LiveweightGainNTQLD[[#Headers],[State]],0)</f>
        <v>Spring</v>
      </c>
      <c r="G210" s="10" cm="1">
        <f t="array" ref="G210">Common_InputFunctions.Utility_DisplayArrayInTable(SourceData_PastureBeef.SourceData_PastureBeef_LiveweightGainNTQLD_Data(),Table_SourceData_PastureBeef_LiveweightGainNTQLD[[#Headers],[State]],0)</f>
        <v>0.62</v>
      </c>
      <c r="H210" s="10" cm="1">
        <f t="array" ref="H210">Common_InputFunctions.Utility_DisplayArrayInTable(SourceData_PastureBeef.SourceData_PastureBeef_LiveweightGainNTQLD_Data(),Table_SourceData_PastureBeef_LiveweightGainNTQLD[[#Headers],[State]],0)</f>
        <v>-0.19</v>
      </c>
      <c r="I210" s="10" cm="1">
        <f t="array" ref="I210">Common_InputFunctions.Utility_DisplayArrayInTable(SourceData_PastureBeef.SourceData_PastureBeef_LiveweightGainNTQLD_Data(),Table_SourceData_PastureBeef_LiveweightGainNTQLD[[#Headers],[State]],0)</f>
        <v>0.37</v>
      </c>
      <c r="J210" s="10" cm="1">
        <f t="array" ref="J210">Common_InputFunctions.Utility_DisplayArrayInTable(SourceData_PastureBeef.SourceData_PastureBeef_LiveweightGainNTQLD_Data(),Table_SourceData_PastureBeef_LiveweightGainNTQLD[[#Headers],[State]],0)</f>
        <v>0.41</v>
      </c>
      <c r="K210" s="10" cm="1">
        <f t="array" ref="K210">Common_InputFunctions.Utility_DisplayArrayInTable(SourceData_PastureBeef.SourceData_PastureBeef_LiveweightGainNTQLD_Data(),Table_SourceData_PastureBeef_LiveweightGainNTQLD[[#Headers],[State]],0)</f>
        <v>0.06</v>
      </c>
      <c r="L210" s="10" cm="1">
        <f t="array" ref="L210">Common_InputFunctions.Utility_DisplayArrayInTable(SourceData_PastureBeef.SourceData_PastureBeef_LiveweightGainNTQLD_Data(),Table_SourceData_PastureBeef_LiveweightGainNTQLD[[#Headers],[State]],0)</f>
        <v>-0.02</v>
      </c>
      <c r="M210" s="10" cm="1">
        <f t="array" ref="M210">Common_InputFunctions.Utility_DisplayArrayInTable(SourceData_PastureBeef.SourceData_PastureBeef_LiveweightGainNTQLD_Data(),Table_SourceData_PastureBeef_LiveweightGainNTQLD[[#Headers],[State]],0)</f>
        <v>0.47</v>
      </c>
      <c r="N210" s="10" cm="1">
        <f t="array" ref="N210">Common_InputFunctions.Utility_DisplayArrayInTable(SourceData_PastureBeef.SourceData_PastureBeef_LiveweightGainNTQLD_Data(),Table_SourceData_PastureBeef_LiveweightGainNTQLD[[#Headers],[State]],0)</f>
        <v>0.44</v>
      </c>
      <c r="O210" s="10" cm="1">
        <f t="array" ref="O210">Common_InputFunctions.Utility_DisplayArrayInTable(SourceData_PastureBeef.SourceData_PastureBeef_LiveweightGainNTQLD_Data(),Table_SourceData_PastureBeef_LiveweightGainNTQLD[[#Headers],[State]],0)</f>
        <v>0.3</v>
      </c>
      <c r="P210" s="10" cm="1">
        <f t="array" ref="P210">Common_InputFunctions.Utility_DisplayArrayInTable(SourceData_PastureBeef.SourceData_PastureBeef_LiveweightGainNTQLD_Data(),Table_SourceData_PastureBeef_LiveweightGainNTQLD[[#Headers],[State]],0)</f>
        <v>0.13</v>
      </c>
    </row>
    <row r="211" spans="4:16" x14ac:dyDescent="0.25">
      <c r="D211" s="8" t="str" cm="1">
        <f t="array" ref="D211">Common_InputFunctions.Utility_DisplayArrayInTable(SourceData_PastureBeef.SourceData_PastureBeef_LiveweightGainNTQLD_Data(),Table_SourceData_PastureBeef_LiveweightGainNTQLD[[#Headers],[State]],0)</f>
        <v>Queensland</v>
      </c>
      <c r="E211" s="10" t="str" cm="1">
        <f t="array" ref="E211">Common_InputFunctions.Utility_DisplayArrayInTable(SourceData_PastureBeef.SourceData_PastureBeef_LiveweightGainNTQLD_Data(),Table_SourceData_PastureBeef_LiveweightGainNTQLD[[#Headers],[State]],0)</f>
        <v>Moderate/Low</v>
      </c>
      <c r="F211" s="10" t="str" cm="1">
        <f t="array" ref="F211">Common_InputFunctions.Utility_DisplayArrayInTable(SourceData_PastureBeef.SourceData_PastureBeef_LiveweightGainNTQLD_Data(),Table_SourceData_PastureBeef_LiveweightGainNTQLD[[#Headers],[State]],0)</f>
        <v>Summer</v>
      </c>
      <c r="G211" s="10" cm="1">
        <f t="array" ref="G211">Common_InputFunctions.Utility_DisplayArrayInTable(SourceData_PastureBeef.SourceData_PastureBeef_LiveweightGainNTQLD_Data(),Table_SourceData_PastureBeef_LiveweightGainNTQLD[[#Headers],[State]],0)</f>
        <v>0.05</v>
      </c>
      <c r="H211" s="10" cm="1">
        <f t="array" ref="H211">Common_InputFunctions.Utility_DisplayArrayInTable(SourceData_PastureBeef.SourceData_PastureBeef_LiveweightGainNTQLD_Data(),Table_SourceData_PastureBeef_LiveweightGainNTQLD[[#Headers],[State]],0)</f>
        <v>0.19</v>
      </c>
      <c r="I211" s="10" cm="1">
        <f t="array" ref="I211">Common_InputFunctions.Utility_DisplayArrayInTable(SourceData_PastureBeef.SourceData_PastureBeef_LiveweightGainNTQLD_Data(),Table_SourceData_PastureBeef_LiveweightGainNTQLD[[#Headers],[State]],0)</f>
        <v>0.31</v>
      </c>
      <c r="J211" s="10" cm="1">
        <f t="array" ref="J211">Common_InputFunctions.Utility_DisplayArrayInTable(SourceData_PastureBeef.SourceData_PastureBeef_LiveweightGainNTQLD_Data(),Table_SourceData_PastureBeef_LiveweightGainNTQLD[[#Headers],[State]],0)</f>
        <v>0.54</v>
      </c>
      <c r="K211" s="10" cm="1">
        <f t="array" ref="K211">Common_InputFunctions.Utility_DisplayArrayInTable(SourceData_PastureBeef.SourceData_PastureBeef_LiveweightGainNTQLD_Data(),Table_SourceData_PastureBeef_LiveweightGainNTQLD[[#Headers],[State]],0)</f>
        <v>0.53</v>
      </c>
      <c r="L211" s="10" cm="1">
        <f t="array" ref="L211">Common_InputFunctions.Utility_DisplayArrayInTable(SourceData_PastureBeef.SourceData_PastureBeef_LiveweightGainNTQLD_Data(),Table_SourceData_PastureBeef_LiveweightGainNTQLD[[#Headers],[State]],0)</f>
        <v>0.15</v>
      </c>
      <c r="M211" s="10" cm="1">
        <f t="array" ref="M211">Common_InputFunctions.Utility_DisplayArrayInTable(SourceData_PastureBeef.SourceData_PastureBeef_LiveweightGainNTQLD_Data(),Table_SourceData_PastureBeef_LiveweightGainNTQLD[[#Headers],[State]],0)</f>
        <v>0.28000000000000003</v>
      </c>
      <c r="N211" s="10" cm="1">
        <f t="array" ref="N211">Common_InputFunctions.Utility_DisplayArrayInTable(SourceData_PastureBeef.SourceData_PastureBeef_LiveweightGainNTQLD_Data(),Table_SourceData_PastureBeef_LiveweightGainNTQLD[[#Headers],[State]],0)</f>
        <v>0.56999999999999995</v>
      </c>
      <c r="O211" s="10" cm="1">
        <f t="array" ref="O211">Common_InputFunctions.Utility_DisplayArrayInTable(SourceData_PastureBeef.SourceData_PastureBeef_LiveweightGainNTQLD_Data(),Table_SourceData_PastureBeef_LiveweightGainNTQLD[[#Headers],[State]],0)</f>
        <v>0.42</v>
      </c>
      <c r="P211" s="10" cm="1">
        <f t="array" ref="P211">Common_InputFunctions.Utility_DisplayArrayInTable(SourceData_PastureBeef.SourceData_PastureBeef_LiveweightGainNTQLD_Data(),Table_SourceData_PastureBeef_LiveweightGainNTQLD[[#Headers],[State]],0)</f>
        <v>0.4</v>
      </c>
    </row>
    <row r="212" spans="4:16" x14ac:dyDescent="0.25">
      <c r="D212" s="8" t="str" cm="1">
        <f t="array" ref="D212">Common_InputFunctions.Utility_DisplayArrayInTable(SourceData_PastureBeef.SourceData_PastureBeef_LiveweightGainNTQLD_Data(),Table_SourceData_PastureBeef_LiveweightGainNTQLD[[#Headers],[State]],0)</f>
        <v>Queensland</v>
      </c>
      <c r="E212" s="10" t="str" cm="1">
        <f t="array" ref="E212">Common_InputFunctions.Utility_DisplayArrayInTable(SourceData_PastureBeef.SourceData_PastureBeef_LiveweightGainNTQLD_Data(),Table_SourceData_PastureBeef_LiveweightGainNTQLD[[#Headers],[State]],0)</f>
        <v>Moderate/Low</v>
      </c>
      <c r="F212" s="10" t="str" cm="1">
        <f t="array" ref="F212">Common_InputFunctions.Utility_DisplayArrayInTable(SourceData_PastureBeef.SourceData_PastureBeef_LiveweightGainNTQLD_Data(),Table_SourceData_PastureBeef_LiveweightGainNTQLD[[#Headers],[State]],0)</f>
        <v>Autumn</v>
      </c>
      <c r="G212" s="10" cm="1">
        <f t="array" ref="G212">Common_InputFunctions.Utility_DisplayArrayInTable(SourceData_PastureBeef.SourceData_PastureBeef_LiveweightGainNTQLD_Data(),Table_SourceData_PastureBeef_LiveweightGainNTQLD[[#Headers],[State]],0)</f>
        <v>0.33</v>
      </c>
      <c r="H212" s="10" cm="1">
        <f t="array" ref="H212">Common_InputFunctions.Utility_DisplayArrayInTable(SourceData_PastureBeef.SourceData_PastureBeef_LiveweightGainNTQLD_Data(),Table_SourceData_PastureBeef_LiveweightGainNTQLD[[#Headers],[State]],0)</f>
        <v>0.13</v>
      </c>
      <c r="I212" s="10" cm="1">
        <f t="array" ref="I212">Common_InputFunctions.Utility_DisplayArrayInTable(SourceData_PastureBeef.SourceData_PastureBeef_LiveweightGainNTQLD_Data(),Table_SourceData_PastureBeef_LiveweightGainNTQLD[[#Headers],[State]],0)</f>
        <v>0.39</v>
      </c>
      <c r="J212" s="10" cm="1">
        <f t="array" ref="J212">Common_InputFunctions.Utility_DisplayArrayInTable(SourceData_PastureBeef.SourceData_PastureBeef_LiveweightGainNTQLD_Data(),Table_SourceData_PastureBeef_LiveweightGainNTQLD[[#Headers],[State]],0)</f>
        <v>0.36</v>
      </c>
      <c r="K212" s="10" cm="1">
        <f t="array" ref="K212">Common_InputFunctions.Utility_DisplayArrayInTable(SourceData_PastureBeef.SourceData_PastureBeef_LiveweightGainNTQLD_Data(),Table_SourceData_PastureBeef_LiveweightGainNTQLD[[#Headers],[State]],0)</f>
        <v>0.26</v>
      </c>
      <c r="L212" s="10" cm="1">
        <f t="array" ref="L212">Common_InputFunctions.Utility_DisplayArrayInTable(SourceData_PastureBeef.SourceData_PastureBeef_LiveweightGainNTQLD_Data(),Table_SourceData_PastureBeef_LiveweightGainNTQLD[[#Headers],[State]],0)</f>
        <v>0.11</v>
      </c>
      <c r="M212" s="10" cm="1">
        <f t="array" ref="M212">Common_InputFunctions.Utility_DisplayArrayInTable(SourceData_PastureBeef.SourceData_PastureBeef_LiveweightGainNTQLD_Data(),Table_SourceData_PastureBeef_LiveweightGainNTQLD[[#Headers],[State]],0)</f>
        <v>0.4</v>
      </c>
      <c r="N212" s="10" cm="1">
        <f t="array" ref="N212">Common_InputFunctions.Utility_DisplayArrayInTable(SourceData_PastureBeef.SourceData_PastureBeef_LiveweightGainNTQLD_Data(),Table_SourceData_PastureBeef_LiveweightGainNTQLD[[#Headers],[State]],0)</f>
        <v>0.44</v>
      </c>
      <c r="O212" s="10" cm="1">
        <f t="array" ref="O212">Common_InputFunctions.Utility_DisplayArrayInTable(SourceData_PastureBeef.SourceData_PastureBeef_LiveweightGainNTQLD_Data(),Table_SourceData_PastureBeef_LiveweightGainNTQLD[[#Headers],[State]],0)</f>
        <v>0.37</v>
      </c>
      <c r="P212" s="10" cm="1">
        <f t="array" ref="P212">Common_InputFunctions.Utility_DisplayArrayInTable(SourceData_PastureBeef.SourceData_PastureBeef_LiveweightGainNTQLD_Data(),Table_SourceData_PastureBeef_LiveweightGainNTQLD[[#Headers],[State]],0)</f>
        <v>-0.01</v>
      </c>
    </row>
    <row r="213" spans="4:16" x14ac:dyDescent="0.25">
      <c r="D213" s="8" t="str" cm="1">
        <f t="array" ref="D213">Common_InputFunctions.Utility_DisplayArrayInTable(SourceData_PastureBeef.SourceData_PastureBeef_LiveweightGainNTQLD_Data(),Table_SourceData_PastureBeef_LiveweightGainNTQLD[[#Headers],[State]],0)</f>
        <v>Queensland</v>
      </c>
      <c r="E213" s="10" t="str" cm="1">
        <f t="array" ref="E213">Common_InputFunctions.Utility_DisplayArrayInTable(SourceData_PastureBeef.SourceData_PastureBeef_LiveweightGainNTQLD_Data(),Table_SourceData_PastureBeef_LiveweightGainNTQLD[[#Headers],[State]],0)</f>
        <v>Moderate/Low</v>
      </c>
      <c r="F213" s="10" t="str" cm="1">
        <f t="array" ref="F213">Common_InputFunctions.Utility_DisplayArrayInTable(SourceData_PastureBeef.SourceData_PastureBeef_LiveweightGainNTQLD_Data(),Table_SourceData_PastureBeef_LiveweightGainNTQLD[[#Headers],[State]],0)</f>
        <v>Winter</v>
      </c>
      <c r="G213" s="10" cm="1">
        <f t="array" ref="G213">Common_InputFunctions.Utility_DisplayArrayInTable(SourceData_PastureBeef.SourceData_PastureBeef_LiveweightGainNTQLD_Data(),Table_SourceData_PastureBeef_LiveweightGainNTQLD[[#Headers],[State]],0)</f>
        <v>0.61</v>
      </c>
      <c r="H213" s="10" cm="1">
        <f t="array" ref="H213">Common_InputFunctions.Utility_DisplayArrayInTable(SourceData_PastureBeef.SourceData_PastureBeef_LiveweightGainNTQLD_Data(),Table_SourceData_PastureBeef_LiveweightGainNTQLD[[#Headers],[State]],0)</f>
        <v>-0.06</v>
      </c>
      <c r="I213" s="10" cm="1">
        <f t="array" ref="I213">Common_InputFunctions.Utility_DisplayArrayInTable(SourceData_PastureBeef.SourceData_PastureBeef_LiveweightGainNTQLD_Data(),Table_SourceData_PastureBeef_LiveweightGainNTQLD[[#Headers],[State]],0)</f>
        <v>0.21</v>
      </c>
      <c r="J213" s="10" cm="1">
        <f t="array" ref="J213">Common_InputFunctions.Utility_DisplayArrayInTable(SourceData_PastureBeef.SourceData_PastureBeef_LiveweightGainNTQLD_Data(),Table_SourceData_PastureBeef_LiveweightGainNTQLD[[#Headers],[State]],0)</f>
        <v>0.18</v>
      </c>
      <c r="K213" s="10" cm="1">
        <f t="array" ref="K213">Common_InputFunctions.Utility_DisplayArrayInTable(SourceData_PastureBeef.SourceData_PastureBeef_LiveweightGainNTQLD_Data(),Table_SourceData_PastureBeef_LiveweightGainNTQLD[[#Headers],[State]],0)</f>
        <v>0.12</v>
      </c>
      <c r="L213" s="10" cm="1">
        <f t="array" ref="L213">Common_InputFunctions.Utility_DisplayArrayInTable(SourceData_PastureBeef.SourceData_PastureBeef_LiveweightGainNTQLD_Data(),Table_SourceData_PastureBeef_LiveweightGainNTQLD[[#Headers],[State]],0)</f>
        <v>0.06</v>
      </c>
      <c r="M213" s="10" cm="1">
        <f t="array" ref="M213">Common_InputFunctions.Utility_DisplayArrayInTable(SourceData_PastureBeef.SourceData_PastureBeef_LiveweightGainNTQLD_Data(),Table_SourceData_PastureBeef_LiveweightGainNTQLD[[#Headers],[State]],0)</f>
        <v>0.28999999999999998</v>
      </c>
      <c r="N213" s="10" cm="1">
        <f t="array" ref="N213">Common_InputFunctions.Utility_DisplayArrayInTable(SourceData_PastureBeef.SourceData_PastureBeef_LiveweightGainNTQLD_Data(),Table_SourceData_PastureBeef_LiveweightGainNTQLD[[#Headers],[State]],0)</f>
        <v>0.41</v>
      </c>
      <c r="O213" s="10" cm="1">
        <f t="array" ref="O213">Common_InputFunctions.Utility_DisplayArrayInTable(SourceData_PastureBeef.SourceData_PastureBeef_LiveweightGainNTQLD_Data(),Table_SourceData_PastureBeef_LiveweightGainNTQLD[[#Headers],[State]],0)</f>
        <v>0.41</v>
      </c>
      <c r="P213" s="10" cm="1">
        <f t="array" ref="P213">Common_InputFunctions.Utility_DisplayArrayInTable(SourceData_PastureBeef.SourceData_PastureBeef_LiveweightGainNTQLD_Data(),Table_SourceData_PastureBeef_LiveweightGainNTQLD[[#Headers],[State]],0)</f>
        <v>-0.15</v>
      </c>
    </row>
    <row r="214" spans="4:16" x14ac:dyDescent="0.25">
      <c r="D214" s="8" t="str" cm="1">
        <f t="array" ref="D214">Common_InputFunctions.Utility_DisplayArrayInTable(SourceData_PastureBeef.SourceData_PastureBeef_LiveweightGainNTQLD_Data(),Table_SourceData_PastureBeef_LiveweightGainNTQLD[[#Headers],[State]],0)</f>
        <v>Queensland</v>
      </c>
      <c r="E214" s="10" t="str" cm="1">
        <f t="array" ref="E214">Common_InputFunctions.Utility_DisplayArrayInTable(SourceData_PastureBeef.SourceData_PastureBeef_LiveweightGainNTQLD_Data(),Table_SourceData_PastureBeef_LiveweightGainNTQLD[[#Headers],[State]],0)</f>
        <v>Low</v>
      </c>
      <c r="F214" s="10" t="str" cm="1">
        <f t="array" ref="F214">Common_InputFunctions.Utility_DisplayArrayInTable(SourceData_PastureBeef.SourceData_PastureBeef_LiveweightGainNTQLD_Data(),Table_SourceData_PastureBeef_LiveweightGainNTQLD[[#Headers],[State]],0)</f>
        <v>Spring</v>
      </c>
      <c r="G214" s="10" cm="1">
        <f t="array" ref="G214">Common_InputFunctions.Utility_DisplayArrayInTable(SourceData_PastureBeef.SourceData_PastureBeef_LiveweightGainNTQLD_Data(),Table_SourceData_PastureBeef_LiveweightGainNTQLD[[#Headers],[State]],0)</f>
        <v>-0.2</v>
      </c>
      <c r="H214" s="10" cm="1">
        <f t="array" ref="H214">Common_InputFunctions.Utility_DisplayArrayInTable(SourceData_PastureBeef.SourceData_PastureBeef_LiveweightGainNTQLD_Data(),Table_SourceData_PastureBeef_LiveweightGainNTQLD[[#Headers],[State]],0)</f>
        <v>0.02</v>
      </c>
      <c r="I214" s="10" cm="1">
        <f t="array" ref="I214">Common_InputFunctions.Utility_DisplayArrayInTable(SourceData_PastureBeef.SourceData_PastureBeef_LiveweightGainNTQLD_Data(),Table_SourceData_PastureBeef_LiveweightGainNTQLD[[#Headers],[State]],0)</f>
        <v>0.24</v>
      </c>
      <c r="J214" s="10" cm="1">
        <f t="array" ref="J214">Common_InputFunctions.Utility_DisplayArrayInTable(SourceData_PastureBeef.SourceData_PastureBeef_LiveweightGainNTQLD_Data(),Table_SourceData_PastureBeef_LiveweightGainNTQLD[[#Headers],[State]],0)</f>
        <v>0.3</v>
      </c>
      <c r="K214" s="10" cm="1">
        <f t="array" ref="K214">Common_InputFunctions.Utility_DisplayArrayInTable(SourceData_PastureBeef.SourceData_PastureBeef_LiveweightGainNTQLD_Data(),Table_SourceData_PastureBeef_LiveweightGainNTQLD[[#Headers],[State]],0)</f>
        <v>0.23</v>
      </c>
      <c r="L214" s="10" cm="1">
        <f t="array" ref="L214">Common_InputFunctions.Utility_DisplayArrayInTable(SourceData_PastureBeef.SourceData_PastureBeef_LiveweightGainNTQLD_Data(),Table_SourceData_PastureBeef_LiveweightGainNTQLD[[#Headers],[State]],0)</f>
        <v>-0.05</v>
      </c>
      <c r="M214" s="10" cm="1">
        <f t="array" ref="M214">Common_InputFunctions.Utility_DisplayArrayInTable(SourceData_PastureBeef.SourceData_PastureBeef_LiveweightGainNTQLD_Data(),Table_SourceData_PastureBeef_LiveweightGainNTQLD[[#Headers],[State]],0)</f>
        <v>0.34</v>
      </c>
      <c r="N214" s="10" cm="1">
        <f t="array" ref="N214">Common_InputFunctions.Utility_DisplayArrayInTable(SourceData_PastureBeef.SourceData_PastureBeef_LiveweightGainNTQLD_Data(),Table_SourceData_PastureBeef_LiveweightGainNTQLD[[#Headers],[State]],0)</f>
        <v>0.3</v>
      </c>
      <c r="O214" s="10" cm="1">
        <f t="array" ref="O214">Common_InputFunctions.Utility_DisplayArrayInTable(SourceData_PastureBeef.SourceData_PastureBeef_LiveweightGainNTQLD_Data(),Table_SourceData_PastureBeef_LiveweightGainNTQLD[[#Headers],[State]],0)</f>
        <v>0.56999999999999995</v>
      </c>
      <c r="P214" s="10" cm="1">
        <f t="array" ref="P214">Common_InputFunctions.Utility_DisplayArrayInTable(SourceData_PastureBeef.SourceData_PastureBeef_LiveweightGainNTQLD_Data(),Table_SourceData_PastureBeef_LiveweightGainNTQLD[[#Headers],[State]],0)</f>
        <v>0.52</v>
      </c>
    </row>
    <row r="215" spans="4:16" x14ac:dyDescent="0.25">
      <c r="D215" s="8" t="str" cm="1">
        <f t="array" ref="D215">Common_InputFunctions.Utility_DisplayArrayInTable(SourceData_PastureBeef.SourceData_PastureBeef_LiveweightGainNTQLD_Data(),Table_SourceData_PastureBeef_LiveweightGainNTQLD[[#Headers],[State]],0)</f>
        <v>Queensland</v>
      </c>
      <c r="E215" s="10" t="str" cm="1">
        <f t="array" ref="E215">Common_InputFunctions.Utility_DisplayArrayInTable(SourceData_PastureBeef.SourceData_PastureBeef_LiveweightGainNTQLD_Data(),Table_SourceData_PastureBeef_LiveweightGainNTQLD[[#Headers],[State]],0)</f>
        <v>Low</v>
      </c>
      <c r="F215" s="10" t="str" cm="1">
        <f t="array" ref="F215">Common_InputFunctions.Utility_DisplayArrayInTable(SourceData_PastureBeef.SourceData_PastureBeef_LiveweightGainNTQLD_Data(),Table_SourceData_PastureBeef_LiveweightGainNTQLD[[#Headers],[State]],0)</f>
        <v>Summer</v>
      </c>
      <c r="G215" s="10" cm="1">
        <f t="array" ref="G215">Common_InputFunctions.Utility_DisplayArrayInTable(SourceData_PastureBeef.SourceData_PastureBeef_LiveweightGainNTQLD_Data(),Table_SourceData_PastureBeef_LiveweightGainNTQLD[[#Headers],[State]],0)</f>
        <v>0.62</v>
      </c>
      <c r="H215" s="10" cm="1">
        <f t="array" ref="H215">Common_InputFunctions.Utility_DisplayArrayInTable(SourceData_PastureBeef.SourceData_PastureBeef_LiveweightGainNTQLD_Data(),Table_SourceData_PastureBeef_LiveweightGainNTQLD[[#Headers],[State]],0)</f>
        <v>0.21</v>
      </c>
      <c r="I215" s="10" cm="1">
        <f t="array" ref="I215">Common_InputFunctions.Utility_DisplayArrayInTable(SourceData_PastureBeef.SourceData_PastureBeef_LiveweightGainNTQLD_Data(),Table_SourceData_PastureBeef_LiveweightGainNTQLD[[#Headers],[State]],0)</f>
        <v>0.25</v>
      </c>
      <c r="J215" s="10" cm="1">
        <f t="array" ref="J215">Common_InputFunctions.Utility_DisplayArrayInTable(SourceData_PastureBeef.SourceData_PastureBeef_LiveweightGainNTQLD_Data(),Table_SourceData_PastureBeef_LiveweightGainNTQLD[[#Headers],[State]],0)</f>
        <v>0.32</v>
      </c>
      <c r="K215" s="10" cm="1">
        <f t="array" ref="K215">Common_InputFunctions.Utility_DisplayArrayInTable(SourceData_PastureBeef.SourceData_PastureBeef_LiveweightGainNTQLD_Data(),Table_SourceData_PastureBeef_LiveweightGainNTQLD[[#Headers],[State]],0)</f>
        <v>0.47</v>
      </c>
      <c r="L215" s="10" cm="1">
        <f t="array" ref="L215">Common_InputFunctions.Utility_DisplayArrayInTable(SourceData_PastureBeef.SourceData_PastureBeef_LiveweightGainNTQLD_Data(),Table_SourceData_PastureBeef_LiveweightGainNTQLD[[#Headers],[State]],0)</f>
        <v>0.31</v>
      </c>
      <c r="M215" s="10" cm="1">
        <f t="array" ref="M215">Common_InputFunctions.Utility_DisplayArrayInTable(SourceData_PastureBeef.SourceData_PastureBeef_LiveweightGainNTQLD_Data(),Table_SourceData_PastureBeef_LiveweightGainNTQLD[[#Headers],[State]],0)</f>
        <v>0.14000000000000001</v>
      </c>
      <c r="N215" s="10" cm="1">
        <f t="array" ref="N215">Common_InputFunctions.Utility_DisplayArrayInTable(SourceData_PastureBeef.SourceData_PastureBeef_LiveweightGainNTQLD_Data(),Table_SourceData_PastureBeef_LiveweightGainNTQLD[[#Headers],[State]],0)</f>
        <v>0.4</v>
      </c>
      <c r="O215" s="10" cm="1">
        <f t="array" ref="O215">Common_InputFunctions.Utility_DisplayArrayInTable(SourceData_PastureBeef.SourceData_PastureBeef_LiveweightGainNTQLD_Data(),Table_SourceData_PastureBeef_LiveweightGainNTQLD[[#Headers],[State]],0)</f>
        <v>0.26</v>
      </c>
      <c r="P215" s="10" cm="1">
        <f t="array" ref="P215">Common_InputFunctions.Utility_DisplayArrayInTable(SourceData_PastureBeef.SourceData_PastureBeef_LiveweightGainNTQLD_Data(),Table_SourceData_PastureBeef_LiveweightGainNTQLD[[#Headers],[State]],0)</f>
        <v>0.43</v>
      </c>
    </row>
    <row r="216" spans="4:16" x14ac:dyDescent="0.25">
      <c r="D216" s="8" t="str" cm="1">
        <f t="array" ref="D216">Common_InputFunctions.Utility_DisplayArrayInTable(SourceData_PastureBeef.SourceData_PastureBeef_LiveweightGainNTQLD_Data(),Table_SourceData_PastureBeef_LiveweightGainNTQLD[[#Headers],[State]],0)</f>
        <v>Queensland</v>
      </c>
      <c r="E216" s="10" t="str" cm="1">
        <f t="array" ref="E216">Common_InputFunctions.Utility_DisplayArrayInTable(SourceData_PastureBeef.SourceData_PastureBeef_LiveweightGainNTQLD_Data(),Table_SourceData_PastureBeef_LiveweightGainNTQLD[[#Headers],[State]],0)</f>
        <v>Low</v>
      </c>
      <c r="F216" s="10" t="str" cm="1">
        <f t="array" ref="F216">Common_InputFunctions.Utility_DisplayArrayInTable(SourceData_PastureBeef.SourceData_PastureBeef_LiveweightGainNTQLD_Data(),Table_SourceData_PastureBeef_LiveweightGainNTQLD[[#Headers],[State]],0)</f>
        <v>Autumn</v>
      </c>
      <c r="G216" s="10" cm="1">
        <f t="array" ref="G216">Common_InputFunctions.Utility_DisplayArrayInTable(SourceData_PastureBeef.SourceData_PastureBeef_LiveweightGainNTQLD_Data(),Table_SourceData_PastureBeef_LiveweightGainNTQLD[[#Headers],[State]],0)</f>
        <v>0.4</v>
      </c>
      <c r="H216" s="10" cm="1">
        <f t="array" ref="H216">Common_InputFunctions.Utility_DisplayArrayInTable(SourceData_PastureBeef.SourceData_PastureBeef_LiveweightGainNTQLD_Data(),Table_SourceData_PastureBeef_LiveweightGainNTQLD[[#Headers],[State]],0)</f>
        <v>0.13</v>
      </c>
      <c r="I216" s="10" cm="1">
        <f t="array" ref="I216">Common_InputFunctions.Utility_DisplayArrayInTable(SourceData_PastureBeef.SourceData_PastureBeef_LiveweightGainNTQLD_Data(),Table_SourceData_PastureBeef_LiveweightGainNTQLD[[#Headers],[State]],0)</f>
        <v>0.12</v>
      </c>
      <c r="J216" s="10" cm="1">
        <f t="array" ref="J216">Common_InputFunctions.Utility_DisplayArrayInTable(SourceData_PastureBeef.SourceData_PastureBeef_LiveweightGainNTQLD_Data(),Table_SourceData_PastureBeef_LiveweightGainNTQLD[[#Headers],[State]],0)</f>
        <v>0.27</v>
      </c>
      <c r="K216" s="10" cm="1">
        <f t="array" ref="K216">Common_InputFunctions.Utility_DisplayArrayInTable(SourceData_PastureBeef.SourceData_PastureBeef_LiveweightGainNTQLD_Data(),Table_SourceData_PastureBeef_LiveweightGainNTQLD[[#Headers],[State]],0)</f>
        <v>0.3</v>
      </c>
      <c r="L216" s="10" cm="1">
        <f t="array" ref="L216">Common_InputFunctions.Utility_DisplayArrayInTable(SourceData_PastureBeef.SourceData_PastureBeef_LiveweightGainNTQLD_Data(),Table_SourceData_PastureBeef_LiveweightGainNTQLD[[#Headers],[State]],0)</f>
        <v>0.08</v>
      </c>
      <c r="M216" s="10" cm="1">
        <f t="array" ref="M216">Common_InputFunctions.Utility_DisplayArrayInTable(SourceData_PastureBeef.SourceData_PastureBeef_LiveweightGainNTQLD_Data(),Table_SourceData_PastureBeef_LiveweightGainNTQLD[[#Headers],[State]],0)</f>
        <v>0.13</v>
      </c>
      <c r="N216" s="10" cm="1">
        <f t="array" ref="N216">Common_InputFunctions.Utility_DisplayArrayInTable(SourceData_PastureBeef.SourceData_PastureBeef_LiveweightGainNTQLD_Data(),Table_SourceData_PastureBeef_LiveweightGainNTQLD[[#Headers],[State]],0)</f>
        <v>0.24</v>
      </c>
      <c r="O216" s="10" cm="1">
        <f t="array" ref="O216">Common_InputFunctions.Utility_DisplayArrayInTable(SourceData_PastureBeef.SourceData_PastureBeef_LiveweightGainNTQLD_Data(),Table_SourceData_PastureBeef_LiveweightGainNTQLD[[#Headers],[State]],0)</f>
        <v>0.15</v>
      </c>
      <c r="P216" s="10" cm="1">
        <f t="array" ref="P216">Common_InputFunctions.Utility_DisplayArrayInTable(SourceData_PastureBeef.SourceData_PastureBeef_LiveweightGainNTQLD_Data(),Table_SourceData_PastureBeef_LiveweightGainNTQLD[[#Headers],[State]],0)</f>
        <v>0.21</v>
      </c>
    </row>
    <row r="217" spans="4:16" x14ac:dyDescent="0.25">
      <c r="D217" s="8" t="str" cm="1">
        <f t="array" ref="D217">Common_InputFunctions.Utility_DisplayArrayInTable(SourceData_PastureBeef.SourceData_PastureBeef_LiveweightGainNTQLD_Data(),Table_SourceData_PastureBeef_LiveweightGainNTQLD[[#Headers],[State]],0)</f>
        <v>Queensland</v>
      </c>
      <c r="E217" s="10" t="str" cm="1">
        <f t="array" ref="E217">Common_InputFunctions.Utility_DisplayArrayInTable(SourceData_PastureBeef.SourceData_PastureBeef_LiveweightGainNTQLD_Data(),Table_SourceData_PastureBeef_LiveweightGainNTQLD[[#Headers],[State]],0)</f>
        <v>Low</v>
      </c>
      <c r="F217" s="10" t="str" cm="1">
        <f t="array" ref="F217">Common_InputFunctions.Utility_DisplayArrayInTable(SourceData_PastureBeef.SourceData_PastureBeef_LiveweightGainNTQLD_Data(),Table_SourceData_PastureBeef_LiveweightGainNTQLD[[#Headers],[State]],0)</f>
        <v>Winter</v>
      </c>
      <c r="G217" s="10" cm="1">
        <f t="array" ref="G217">Common_InputFunctions.Utility_DisplayArrayInTable(SourceData_PastureBeef.SourceData_PastureBeef_LiveweightGainNTQLD_Data(),Table_SourceData_PastureBeef_LiveweightGainNTQLD[[#Headers],[State]],0)</f>
        <v>0.08</v>
      </c>
      <c r="H217" s="10" cm="1">
        <f t="array" ref="H217">Common_InputFunctions.Utility_DisplayArrayInTable(SourceData_PastureBeef.SourceData_PastureBeef_LiveweightGainNTQLD_Data(),Table_SourceData_PastureBeef_LiveweightGainNTQLD[[#Headers],[State]],0)</f>
        <v>0.04</v>
      </c>
      <c r="I217" s="10" cm="1">
        <f t="array" ref="I217">Common_InputFunctions.Utility_DisplayArrayInTable(SourceData_PastureBeef.SourceData_PastureBeef_LiveweightGainNTQLD_Data(),Table_SourceData_PastureBeef_LiveweightGainNTQLD[[#Headers],[State]],0)</f>
        <v>0.06</v>
      </c>
      <c r="J217" s="10" cm="1">
        <f t="array" ref="J217">Common_InputFunctions.Utility_DisplayArrayInTable(SourceData_PastureBeef.SourceData_PastureBeef_LiveweightGainNTQLD_Data(),Table_SourceData_PastureBeef_LiveweightGainNTQLD[[#Headers],[State]],0)</f>
        <v>0.18</v>
      </c>
      <c r="K217" s="10" cm="1">
        <f t="array" ref="K217">Common_InputFunctions.Utility_DisplayArrayInTable(SourceData_PastureBeef.SourceData_PastureBeef_LiveweightGainNTQLD_Data(),Table_SourceData_PastureBeef_LiveweightGainNTQLD[[#Headers],[State]],0)</f>
        <v>0.11</v>
      </c>
      <c r="L217" s="10" cm="1">
        <f t="array" ref="L217">Common_InputFunctions.Utility_DisplayArrayInTable(SourceData_PastureBeef.SourceData_PastureBeef_LiveweightGainNTQLD_Data(),Table_SourceData_PastureBeef_LiveweightGainNTQLD[[#Headers],[State]],0)</f>
        <v>-7.0000000000000007E-2</v>
      </c>
      <c r="M217" s="10" cm="1">
        <f t="array" ref="M217">Common_InputFunctions.Utility_DisplayArrayInTable(SourceData_PastureBeef.SourceData_PastureBeef_LiveweightGainNTQLD_Data(),Table_SourceData_PastureBeef_LiveweightGainNTQLD[[#Headers],[State]],0)</f>
        <v>0.13</v>
      </c>
      <c r="N217" s="10" cm="1">
        <f t="array" ref="N217">Common_InputFunctions.Utility_DisplayArrayInTable(SourceData_PastureBeef.SourceData_PastureBeef_LiveweightGainNTQLD_Data(),Table_SourceData_PastureBeef_LiveweightGainNTQLD[[#Headers],[State]],0)</f>
        <v>0.16</v>
      </c>
      <c r="O217" s="10" cm="1">
        <f t="array" ref="O217">Common_InputFunctions.Utility_DisplayArrayInTable(SourceData_PastureBeef.SourceData_PastureBeef_LiveweightGainNTQLD_Data(),Table_SourceData_PastureBeef_LiveweightGainNTQLD[[#Headers],[State]],0)</f>
        <v>0.4</v>
      </c>
      <c r="P217" s="10" cm="1">
        <f t="array" ref="P217">Common_InputFunctions.Utility_DisplayArrayInTable(SourceData_PastureBeef.SourceData_PastureBeef_LiveweightGainNTQLD_Data(),Table_SourceData_PastureBeef_LiveweightGainNTQLD[[#Headers],[State]],0)</f>
        <v>0.33</v>
      </c>
    </row>
    <row r="218" spans="4:16" x14ac:dyDescent="0.25">
      <c r="M218" s="8"/>
    </row>
    <row r="219" spans="4:16" x14ac:dyDescent="0.25">
      <c r="M219" s="8"/>
    </row>
    <row r="220" spans="4:16" ht="23.25" x14ac:dyDescent="0.25">
      <c r="D220" s="9" t="s">
        <v>475</v>
      </c>
      <c r="M220" s="8"/>
    </row>
    <row r="221" spans="4:16" x14ac:dyDescent="0.25">
      <c r="M221" s="8"/>
    </row>
    <row r="222" spans="4:16" x14ac:dyDescent="0.25">
      <c r="D222" s="10" t="s">
        <v>273</v>
      </c>
      <c r="E222" s="10" t="s">
        <v>378</v>
      </c>
      <c r="F222" s="10" t="s">
        <v>47</v>
      </c>
      <c r="G222" s="155" t="s">
        <v>476</v>
      </c>
      <c r="H222" s="155" t="s">
        <v>477</v>
      </c>
      <c r="I222" s="155" t="s">
        <v>478</v>
      </c>
      <c r="J222" s="155" t="s">
        <v>479</v>
      </c>
      <c r="K222" s="155" t="s">
        <v>480</v>
      </c>
      <c r="L222" s="155" t="s">
        <v>481</v>
      </c>
      <c r="M222" s="155" t="s">
        <v>482</v>
      </c>
      <c r="N222" s="155" t="s">
        <v>483</v>
      </c>
      <c r="O222" s="155" t="s">
        <v>484</v>
      </c>
      <c r="P222" s="155" t="s">
        <v>485</v>
      </c>
    </row>
    <row r="223" spans="4:16" x14ac:dyDescent="0.25">
      <c r="D223" s="10" t="s">
        <v>308</v>
      </c>
      <c r="E223" s="10" t="s">
        <v>426</v>
      </c>
      <c r="F223" s="10" t="str">
        <f>F155</f>
        <v>Spring</v>
      </c>
      <c r="G223" s="10">
        <f>G155</f>
        <v>0.5</v>
      </c>
      <c r="H223" s="10">
        <f t="shared" ref="H223:J223" si="31">H155</f>
        <v>0.2</v>
      </c>
      <c r="I223" s="10">
        <f t="shared" si="31"/>
        <v>0.5</v>
      </c>
      <c r="J223" s="10">
        <f t="shared" si="31"/>
        <v>0.4</v>
      </c>
      <c r="K223" s="10">
        <f>K155</f>
        <v>0.3</v>
      </c>
      <c r="L223" s="10">
        <f>K155</f>
        <v>0.3</v>
      </c>
      <c r="M223" s="10">
        <f>L155</f>
        <v>0.5</v>
      </c>
      <c r="N223" s="10">
        <f>M155</f>
        <v>0.4</v>
      </c>
      <c r="O223" s="10">
        <f>M155</f>
        <v>0.4</v>
      </c>
      <c r="P223" s="10">
        <f>M155</f>
        <v>0.4</v>
      </c>
    </row>
    <row r="224" spans="4:16" x14ac:dyDescent="0.25">
      <c r="D224" s="10" t="s">
        <v>308</v>
      </c>
      <c r="E224" s="10" t="s">
        <v>426</v>
      </c>
      <c r="F224" s="10" t="str">
        <f t="shared" ref="F224:K226" si="32">F156</f>
        <v>Summer</v>
      </c>
      <c r="G224" s="10">
        <f t="shared" si="32"/>
        <v>1</v>
      </c>
      <c r="H224" s="10">
        <f t="shared" si="32"/>
        <v>0.4</v>
      </c>
      <c r="I224" s="10">
        <f t="shared" si="32"/>
        <v>0.9</v>
      </c>
      <c r="J224" s="10">
        <f t="shared" si="32"/>
        <v>0.7</v>
      </c>
      <c r="K224" s="10">
        <f t="shared" si="32"/>
        <v>0.3</v>
      </c>
      <c r="L224" s="10">
        <f t="shared" ref="L224:N226" si="33">K156</f>
        <v>0.3</v>
      </c>
      <c r="M224" s="10">
        <f t="shared" si="33"/>
        <v>0.9</v>
      </c>
      <c r="N224" s="10">
        <f t="shared" si="33"/>
        <v>0.4</v>
      </c>
      <c r="O224" s="10">
        <f t="shared" ref="O224:O226" si="34">M156</f>
        <v>0.4</v>
      </c>
      <c r="P224" s="10">
        <f t="shared" ref="P224:P226" si="35">M156</f>
        <v>0.4</v>
      </c>
    </row>
    <row r="225" spans="4:16" x14ac:dyDescent="0.25">
      <c r="D225" s="10" t="s">
        <v>308</v>
      </c>
      <c r="E225" s="10" t="s">
        <v>426</v>
      </c>
      <c r="F225" s="10" t="str">
        <f t="shared" si="32"/>
        <v>Autumn</v>
      </c>
      <c r="G225" s="10">
        <f t="shared" si="32"/>
        <v>0.8</v>
      </c>
      <c r="H225" s="10">
        <f t="shared" si="32"/>
        <v>0.3</v>
      </c>
      <c r="I225" s="10">
        <f t="shared" si="32"/>
        <v>0.7</v>
      </c>
      <c r="J225" s="10">
        <f t="shared" si="32"/>
        <v>0.3</v>
      </c>
      <c r="K225" s="10">
        <f t="shared" si="32"/>
        <v>0.2</v>
      </c>
      <c r="L225" s="10">
        <f t="shared" si="33"/>
        <v>0.2</v>
      </c>
      <c r="M225" s="10">
        <f t="shared" si="33"/>
        <v>0.7</v>
      </c>
      <c r="N225" s="10">
        <f t="shared" si="33"/>
        <v>0.3</v>
      </c>
      <c r="O225" s="10">
        <f t="shared" si="34"/>
        <v>0.3</v>
      </c>
      <c r="P225" s="10">
        <f t="shared" si="35"/>
        <v>0.3</v>
      </c>
    </row>
    <row r="226" spans="4:16" x14ac:dyDescent="0.25">
      <c r="D226" s="10" t="s">
        <v>308</v>
      </c>
      <c r="E226" s="10" t="s">
        <v>426</v>
      </c>
      <c r="F226" s="10" t="str">
        <f t="shared" si="32"/>
        <v>Winter</v>
      </c>
      <c r="G226" s="10">
        <f t="shared" si="32"/>
        <v>0.4</v>
      </c>
      <c r="H226" s="10">
        <f t="shared" si="32"/>
        <v>0.1</v>
      </c>
      <c r="I226" s="10">
        <f t="shared" si="32"/>
        <v>0.4</v>
      </c>
      <c r="J226" s="10">
        <f t="shared" si="32"/>
        <v>0.2</v>
      </c>
      <c r="K226" s="10">
        <f t="shared" si="32"/>
        <v>0.1</v>
      </c>
      <c r="L226" s="10">
        <f t="shared" si="33"/>
        <v>0.1</v>
      </c>
      <c r="M226" s="10">
        <f t="shared" si="33"/>
        <v>0.4</v>
      </c>
      <c r="N226" s="10">
        <f t="shared" si="33"/>
        <v>0.1</v>
      </c>
      <c r="O226" s="10">
        <f t="shared" si="34"/>
        <v>0.1</v>
      </c>
      <c r="P226" s="10">
        <f t="shared" si="35"/>
        <v>0.1</v>
      </c>
    </row>
    <row r="227" spans="4:16" x14ac:dyDescent="0.25">
      <c r="D227" s="10" t="s">
        <v>329</v>
      </c>
      <c r="E227" s="10" t="s">
        <v>426</v>
      </c>
      <c r="F227" s="10" t="str">
        <f>F155</f>
        <v>Spring</v>
      </c>
      <c r="G227" s="10">
        <f>G155</f>
        <v>0.5</v>
      </c>
      <c r="H227" s="10">
        <f t="shared" ref="H227:J227" si="36">H155</f>
        <v>0.2</v>
      </c>
      <c r="I227" s="10">
        <f t="shared" si="36"/>
        <v>0.5</v>
      </c>
      <c r="J227" s="10">
        <f t="shared" si="36"/>
        <v>0.4</v>
      </c>
      <c r="K227" s="10">
        <f>K155</f>
        <v>0.3</v>
      </c>
      <c r="L227" s="10">
        <f>K155</f>
        <v>0.3</v>
      </c>
      <c r="M227" s="10">
        <f t="shared" ref="M227" si="37">L155</f>
        <v>0.5</v>
      </c>
      <c r="N227" s="10">
        <f>M155</f>
        <v>0.4</v>
      </c>
      <c r="O227" s="10">
        <f>M155</f>
        <v>0.4</v>
      </c>
      <c r="P227" s="10">
        <f>M155</f>
        <v>0.4</v>
      </c>
    </row>
    <row r="228" spans="4:16" x14ac:dyDescent="0.25">
      <c r="D228" s="10" t="s">
        <v>329</v>
      </c>
      <c r="E228" s="10" t="s">
        <v>426</v>
      </c>
      <c r="F228" s="10" t="str">
        <f t="shared" ref="F228:K231" si="38">F156</f>
        <v>Summer</v>
      </c>
      <c r="G228" s="10">
        <f t="shared" si="38"/>
        <v>1</v>
      </c>
      <c r="H228" s="10">
        <f t="shared" si="38"/>
        <v>0.4</v>
      </c>
      <c r="I228" s="10">
        <f t="shared" si="38"/>
        <v>0.9</v>
      </c>
      <c r="J228" s="10">
        <f t="shared" si="38"/>
        <v>0.7</v>
      </c>
      <c r="K228" s="10">
        <f t="shared" si="38"/>
        <v>0.3</v>
      </c>
      <c r="L228" s="10">
        <f t="shared" ref="L228:N231" si="39">K156</f>
        <v>0.3</v>
      </c>
      <c r="M228" s="10">
        <f t="shared" si="39"/>
        <v>0.9</v>
      </c>
      <c r="N228" s="10">
        <f t="shared" si="39"/>
        <v>0.4</v>
      </c>
      <c r="O228" s="10">
        <f t="shared" ref="O228:O230" si="40">M156</f>
        <v>0.4</v>
      </c>
      <c r="P228" s="10">
        <f t="shared" ref="P228:P230" si="41">M156</f>
        <v>0.4</v>
      </c>
    </row>
    <row r="229" spans="4:16" x14ac:dyDescent="0.25">
      <c r="D229" s="10" t="s">
        <v>329</v>
      </c>
      <c r="E229" s="10" t="s">
        <v>426</v>
      </c>
      <c r="F229" s="10" t="str">
        <f t="shared" si="38"/>
        <v>Autumn</v>
      </c>
      <c r="G229" s="10">
        <f t="shared" si="38"/>
        <v>0.8</v>
      </c>
      <c r="H229" s="10">
        <f t="shared" si="38"/>
        <v>0.3</v>
      </c>
      <c r="I229" s="10">
        <f t="shared" si="38"/>
        <v>0.7</v>
      </c>
      <c r="J229" s="10">
        <f t="shared" si="38"/>
        <v>0.3</v>
      </c>
      <c r="K229" s="10">
        <f t="shared" si="38"/>
        <v>0.2</v>
      </c>
      <c r="L229" s="10">
        <f t="shared" si="39"/>
        <v>0.2</v>
      </c>
      <c r="M229" s="10">
        <f t="shared" si="39"/>
        <v>0.7</v>
      </c>
      <c r="N229" s="10">
        <f t="shared" si="39"/>
        <v>0.3</v>
      </c>
      <c r="O229" s="10">
        <f t="shared" si="40"/>
        <v>0.3</v>
      </c>
      <c r="P229" s="10">
        <f t="shared" si="41"/>
        <v>0.3</v>
      </c>
    </row>
    <row r="230" spans="4:16" x14ac:dyDescent="0.25">
      <c r="D230" s="10" t="s">
        <v>329</v>
      </c>
      <c r="E230" s="10" t="s">
        <v>426</v>
      </c>
      <c r="F230" s="10" t="str">
        <f t="shared" si="38"/>
        <v>Winter</v>
      </c>
      <c r="G230" s="10">
        <f t="shared" si="38"/>
        <v>0.4</v>
      </c>
      <c r="H230" s="10">
        <f t="shared" si="38"/>
        <v>0.1</v>
      </c>
      <c r="I230" s="10">
        <f t="shared" si="38"/>
        <v>0.4</v>
      </c>
      <c r="J230" s="10">
        <f t="shared" si="38"/>
        <v>0.2</v>
      </c>
      <c r="K230" s="10">
        <f t="shared" si="38"/>
        <v>0.1</v>
      </c>
      <c r="L230" s="10">
        <f t="shared" si="39"/>
        <v>0.1</v>
      </c>
      <c r="M230" s="10">
        <f t="shared" si="39"/>
        <v>0.4</v>
      </c>
      <c r="N230" s="10">
        <f t="shared" si="39"/>
        <v>0.1</v>
      </c>
      <c r="O230" s="10">
        <f t="shared" si="40"/>
        <v>0.1</v>
      </c>
      <c r="P230" s="10">
        <f t="shared" si="41"/>
        <v>0.1</v>
      </c>
    </row>
    <row r="231" spans="4:16" x14ac:dyDescent="0.25">
      <c r="D231" s="10" t="s">
        <v>385</v>
      </c>
      <c r="E231" s="10" t="s">
        <v>426</v>
      </c>
      <c r="F231" s="10" t="str">
        <f>F159</f>
        <v>Spring</v>
      </c>
      <c r="G231" s="10">
        <f>G159</f>
        <v>0.99</v>
      </c>
      <c r="H231" s="10">
        <f t="shared" si="38"/>
        <v>1.1000000000000001</v>
      </c>
      <c r="I231" s="10">
        <f t="shared" si="38"/>
        <v>0.88</v>
      </c>
      <c r="J231" s="10">
        <f t="shared" si="38"/>
        <v>0.55000000000000004</v>
      </c>
      <c r="K231" s="10">
        <f>K159</f>
        <v>0.55000000000000004</v>
      </c>
      <c r="L231" s="10">
        <f>K159</f>
        <v>0.55000000000000004</v>
      </c>
      <c r="M231" s="10">
        <f t="shared" si="39"/>
        <v>0.88</v>
      </c>
      <c r="N231" s="10">
        <f>M159</f>
        <v>0.22</v>
      </c>
      <c r="O231" s="10">
        <f>M159</f>
        <v>0.22</v>
      </c>
      <c r="P231" s="10">
        <f>M159</f>
        <v>0.22</v>
      </c>
    </row>
    <row r="232" spans="4:16" x14ac:dyDescent="0.25">
      <c r="D232" s="10" t="s">
        <v>385</v>
      </c>
      <c r="E232" s="10" t="s">
        <v>426</v>
      </c>
      <c r="F232" s="10" t="str">
        <f t="shared" ref="F232:K247" si="42">F160</f>
        <v>Summer</v>
      </c>
      <c r="G232" s="10">
        <f t="shared" si="42"/>
        <v>0.77</v>
      </c>
      <c r="H232" s="10">
        <f t="shared" si="42"/>
        <v>0</v>
      </c>
      <c r="I232" s="10">
        <f t="shared" si="42"/>
        <v>0.66</v>
      </c>
      <c r="J232" s="10">
        <f t="shared" si="42"/>
        <v>0.22</v>
      </c>
      <c r="K232" s="10">
        <f t="shared" si="42"/>
        <v>0</v>
      </c>
      <c r="L232" s="10">
        <f t="shared" ref="L232:N247" si="43">K160</f>
        <v>0</v>
      </c>
      <c r="M232" s="10">
        <f t="shared" si="43"/>
        <v>0.66</v>
      </c>
      <c r="N232" s="10">
        <f t="shared" si="43"/>
        <v>0</v>
      </c>
      <c r="O232" s="10">
        <f t="shared" ref="O232:O254" si="44">M160</f>
        <v>0</v>
      </c>
      <c r="P232" s="10">
        <f t="shared" ref="P232:P254" si="45">M160</f>
        <v>0</v>
      </c>
    </row>
    <row r="233" spans="4:16" x14ac:dyDescent="0.25">
      <c r="D233" s="10" t="s">
        <v>385</v>
      </c>
      <c r="E233" s="10" t="s">
        <v>426</v>
      </c>
      <c r="F233" s="10" t="str">
        <f t="shared" si="42"/>
        <v>Autumn</v>
      </c>
      <c r="G233" s="10">
        <f t="shared" si="42"/>
        <v>0.9</v>
      </c>
      <c r="H233" s="10">
        <f t="shared" si="42"/>
        <v>-1.1000000000000001</v>
      </c>
      <c r="I233" s="10">
        <f t="shared" si="42"/>
        <v>0.7</v>
      </c>
      <c r="J233" s="10">
        <f t="shared" si="42"/>
        <v>0.22</v>
      </c>
      <c r="K233" s="10">
        <f t="shared" si="42"/>
        <v>-0.55000000000000004</v>
      </c>
      <c r="L233" s="10">
        <f t="shared" si="43"/>
        <v>-0.55000000000000004</v>
      </c>
      <c r="M233" s="10">
        <f t="shared" si="43"/>
        <v>0.8</v>
      </c>
      <c r="N233" s="10">
        <f t="shared" si="43"/>
        <v>-0.22</v>
      </c>
      <c r="O233" s="10">
        <f t="shared" si="44"/>
        <v>-0.22</v>
      </c>
      <c r="P233" s="10">
        <f t="shared" si="45"/>
        <v>-0.22</v>
      </c>
    </row>
    <row r="234" spans="4:16" x14ac:dyDescent="0.25">
      <c r="D234" s="10" t="s">
        <v>385</v>
      </c>
      <c r="E234" s="10" t="s">
        <v>426</v>
      </c>
      <c r="F234" s="10" t="str">
        <f t="shared" si="42"/>
        <v>Winter</v>
      </c>
      <c r="G234" s="10">
        <f t="shared" si="42"/>
        <v>0.88</v>
      </c>
      <c r="H234" s="10">
        <f t="shared" si="42"/>
        <v>0</v>
      </c>
      <c r="I234" s="10">
        <f t="shared" si="42"/>
        <v>0.77</v>
      </c>
      <c r="J234" s="10">
        <f t="shared" si="42"/>
        <v>0.55000000000000004</v>
      </c>
      <c r="K234" s="10">
        <f t="shared" si="42"/>
        <v>0</v>
      </c>
      <c r="L234" s="10">
        <f t="shared" si="43"/>
        <v>0</v>
      </c>
      <c r="M234" s="10">
        <f t="shared" si="43"/>
        <v>0.82</v>
      </c>
      <c r="N234" s="10">
        <f t="shared" si="43"/>
        <v>0</v>
      </c>
      <c r="O234" s="10">
        <f t="shared" si="44"/>
        <v>0</v>
      </c>
      <c r="P234" s="10">
        <f t="shared" si="45"/>
        <v>0</v>
      </c>
    </row>
    <row r="235" spans="4:16" x14ac:dyDescent="0.25">
      <c r="D235" s="10" t="s">
        <v>382</v>
      </c>
      <c r="E235" s="10" t="s">
        <v>426</v>
      </c>
      <c r="F235" s="10" t="str">
        <f t="shared" si="42"/>
        <v>Spring</v>
      </c>
      <c r="G235" s="10">
        <f t="shared" si="42"/>
        <v>1</v>
      </c>
      <c r="H235" s="10">
        <f t="shared" si="42"/>
        <v>0.5</v>
      </c>
      <c r="I235" s="10">
        <f t="shared" si="42"/>
        <v>1</v>
      </c>
      <c r="J235" s="10">
        <f t="shared" si="42"/>
        <v>1</v>
      </c>
      <c r="K235" s="10">
        <f t="shared" si="42"/>
        <v>-0.44</v>
      </c>
      <c r="L235" s="10">
        <f t="shared" si="43"/>
        <v>-0.44</v>
      </c>
      <c r="M235" s="10">
        <f t="shared" si="43"/>
        <v>1</v>
      </c>
      <c r="N235" s="10">
        <f t="shared" si="43"/>
        <v>0.5</v>
      </c>
      <c r="O235" s="10">
        <f t="shared" si="44"/>
        <v>0.5</v>
      </c>
      <c r="P235" s="10">
        <f t="shared" si="45"/>
        <v>0.5</v>
      </c>
    </row>
    <row r="236" spans="4:16" x14ac:dyDescent="0.25">
      <c r="D236" s="10" t="s">
        <v>382</v>
      </c>
      <c r="E236" s="10" t="s">
        <v>426</v>
      </c>
      <c r="F236" s="10" t="str">
        <f t="shared" si="42"/>
        <v>Summer</v>
      </c>
      <c r="G236" s="10">
        <f t="shared" si="42"/>
        <v>0.82</v>
      </c>
      <c r="H236" s="10">
        <f t="shared" si="42"/>
        <v>0.55000000000000004</v>
      </c>
      <c r="I236" s="10">
        <f t="shared" si="42"/>
        <v>0.71</v>
      </c>
      <c r="J236" s="10">
        <f t="shared" si="42"/>
        <v>0.55000000000000004</v>
      </c>
      <c r="K236" s="10">
        <f t="shared" si="42"/>
        <v>0.99</v>
      </c>
      <c r="L236" s="10">
        <f t="shared" si="43"/>
        <v>0.99</v>
      </c>
      <c r="M236" s="10">
        <f t="shared" si="43"/>
        <v>0.77</v>
      </c>
      <c r="N236" s="10">
        <f t="shared" si="43"/>
        <v>0.5</v>
      </c>
      <c r="O236" s="10">
        <f t="shared" si="44"/>
        <v>0.5</v>
      </c>
      <c r="P236" s="10">
        <f t="shared" si="45"/>
        <v>0.5</v>
      </c>
    </row>
    <row r="237" spans="4:16" x14ac:dyDescent="0.25">
      <c r="D237" s="10" t="s">
        <v>382</v>
      </c>
      <c r="E237" s="10" t="s">
        <v>426</v>
      </c>
      <c r="F237" s="10" t="str">
        <f t="shared" si="42"/>
        <v>Autumn</v>
      </c>
      <c r="G237" s="10">
        <f t="shared" si="42"/>
        <v>0.77</v>
      </c>
      <c r="H237" s="10">
        <f t="shared" si="42"/>
        <v>0.5</v>
      </c>
      <c r="I237" s="10">
        <f t="shared" si="42"/>
        <v>0.55000000000000004</v>
      </c>
      <c r="J237" s="10">
        <f t="shared" si="42"/>
        <v>0.11</v>
      </c>
      <c r="K237" s="10">
        <f t="shared" si="42"/>
        <v>-0.33</v>
      </c>
      <c r="L237" s="10">
        <f t="shared" si="43"/>
        <v>-0.33</v>
      </c>
      <c r="M237" s="10">
        <f t="shared" si="43"/>
        <v>0.6</v>
      </c>
      <c r="N237" s="10">
        <f t="shared" si="43"/>
        <v>0.33</v>
      </c>
      <c r="O237" s="10">
        <f t="shared" si="44"/>
        <v>0.33</v>
      </c>
      <c r="P237" s="10">
        <f t="shared" si="45"/>
        <v>0.33</v>
      </c>
    </row>
    <row r="238" spans="4:16" x14ac:dyDescent="0.25">
      <c r="D238" s="10" t="s">
        <v>382</v>
      </c>
      <c r="E238" s="10" t="s">
        <v>426</v>
      </c>
      <c r="F238" s="10" t="str">
        <f t="shared" si="42"/>
        <v>Winter</v>
      </c>
      <c r="G238" s="10">
        <f t="shared" si="42"/>
        <v>0.11</v>
      </c>
      <c r="H238" s="10">
        <f t="shared" si="42"/>
        <v>-0.27</v>
      </c>
      <c r="I238" s="10">
        <f t="shared" si="42"/>
        <v>0.11</v>
      </c>
      <c r="J238" s="10">
        <f t="shared" si="42"/>
        <v>0.22</v>
      </c>
      <c r="K238" s="10">
        <f t="shared" si="42"/>
        <v>-0.44</v>
      </c>
      <c r="L238" s="10">
        <f t="shared" si="43"/>
        <v>-0.44</v>
      </c>
      <c r="M238" s="10">
        <f t="shared" si="43"/>
        <v>0.16</v>
      </c>
      <c r="N238" s="10">
        <f t="shared" si="43"/>
        <v>-0.22</v>
      </c>
      <c r="O238" s="10">
        <f t="shared" si="44"/>
        <v>-0.22</v>
      </c>
      <c r="P238" s="10">
        <f t="shared" si="45"/>
        <v>-0.22</v>
      </c>
    </row>
    <row r="239" spans="4:16" x14ac:dyDescent="0.25">
      <c r="D239" s="10" t="s">
        <v>335</v>
      </c>
      <c r="E239" s="10" t="s">
        <v>426</v>
      </c>
      <c r="F239" s="10" t="str">
        <f t="shared" si="42"/>
        <v>Spring</v>
      </c>
      <c r="G239" s="10">
        <f t="shared" si="42"/>
        <v>1.1000000000000001</v>
      </c>
      <c r="H239" s="10">
        <f t="shared" si="42"/>
        <v>1.1000000000000001</v>
      </c>
      <c r="I239" s="10">
        <f t="shared" si="42"/>
        <v>1.1000000000000001</v>
      </c>
      <c r="J239" s="10">
        <f t="shared" si="42"/>
        <v>0.99</v>
      </c>
      <c r="K239" s="10">
        <f t="shared" si="42"/>
        <v>0.99</v>
      </c>
      <c r="L239" s="10">
        <f t="shared" si="43"/>
        <v>0.99</v>
      </c>
      <c r="M239" s="10">
        <f t="shared" si="43"/>
        <v>1.1000000000000001</v>
      </c>
      <c r="N239" s="10">
        <f t="shared" si="43"/>
        <v>0.77</v>
      </c>
      <c r="O239" s="10">
        <f t="shared" si="44"/>
        <v>0.77</v>
      </c>
      <c r="P239" s="10">
        <f t="shared" si="45"/>
        <v>0.77</v>
      </c>
    </row>
    <row r="240" spans="4:16" x14ac:dyDescent="0.25">
      <c r="D240" s="10" t="s">
        <v>335</v>
      </c>
      <c r="E240" s="10" t="s">
        <v>426</v>
      </c>
      <c r="F240" s="10" t="str">
        <f t="shared" si="42"/>
        <v>Summer</v>
      </c>
      <c r="G240" s="10">
        <f t="shared" si="42"/>
        <v>0.33</v>
      </c>
      <c r="H240" s="10">
        <f t="shared" si="42"/>
        <v>0.33</v>
      </c>
      <c r="I240" s="10">
        <f t="shared" si="42"/>
        <v>0.22</v>
      </c>
      <c r="J240" s="10">
        <f t="shared" si="42"/>
        <v>0.33</v>
      </c>
      <c r="K240" s="10">
        <f t="shared" si="42"/>
        <v>-0.1</v>
      </c>
      <c r="L240" s="10">
        <f t="shared" si="43"/>
        <v>-0.1</v>
      </c>
      <c r="M240" s="10">
        <f t="shared" si="43"/>
        <v>0.33</v>
      </c>
      <c r="N240" s="10">
        <f t="shared" si="43"/>
        <v>0.11</v>
      </c>
      <c r="O240" s="10">
        <f t="shared" si="44"/>
        <v>0.11</v>
      </c>
      <c r="P240" s="10">
        <f t="shared" si="45"/>
        <v>0.11</v>
      </c>
    </row>
    <row r="241" spans="4:16" x14ac:dyDescent="0.25">
      <c r="D241" s="10" t="s">
        <v>335</v>
      </c>
      <c r="E241" s="10" t="s">
        <v>426</v>
      </c>
      <c r="F241" s="10" t="str">
        <f t="shared" si="42"/>
        <v>Autumn</v>
      </c>
      <c r="G241" s="10">
        <f t="shared" si="42"/>
        <v>0.5</v>
      </c>
      <c r="H241" s="10">
        <f t="shared" si="42"/>
        <v>0.2</v>
      </c>
      <c r="I241" s="10">
        <f t="shared" si="42"/>
        <v>0.55000000000000004</v>
      </c>
      <c r="J241" s="10">
        <f t="shared" si="42"/>
        <v>0.44</v>
      </c>
      <c r="K241" s="10">
        <f t="shared" si="42"/>
        <v>0.2</v>
      </c>
      <c r="L241" s="10">
        <f t="shared" si="43"/>
        <v>0.2</v>
      </c>
      <c r="M241" s="10">
        <f t="shared" si="43"/>
        <v>0.55000000000000004</v>
      </c>
      <c r="N241" s="10">
        <f t="shared" si="43"/>
        <v>0.2</v>
      </c>
      <c r="O241" s="10">
        <f t="shared" si="44"/>
        <v>0.2</v>
      </c>
      <c r="P241" s="10">
        <f t="shared" si="45"/>
        <v>0.2</v>
      </c>
    </row>
    <row r="242" spans="4:16" x14ac:dyDescent="0.25">
      <c r="D242" s="10" t="s">
        <v>335</v>
      </c>
      <c r="E242" s="10" t="s">
        <v>426</v>
      </c>
      <c r="F242" s="10" t="str">
        <f t="shared" si="42"/>
        <v>Winter</v>
      </c>
      <c r="G242" s="10">
        <f t="shared" si="42"/>
        <v>0.55000000000000004</v>
      </c>
      <c r="H242" s="10">
        <f t="shared" si="42"/>
        <v>0.22</v>
      </c>
      <c r="I242" s="10">
        <f t="shared" si="42"/>
        <v>0.49</v>
      </c>
      <c r="J242" s="10">
        <f t="shared" si="42"/>
        <v>0.22</v>
      </c>
      <c r="K242" s="10">
        <f t="shared" si="42"/>
        <v>0.22</v>
      </c>
      <c r="L242" s="10">
        <f t="shared" si="43"/>
        <v>0.22</v>
      </c>
      <c r="M242" s="10">
        <f t="shared" si="43"/>
        <v>0.49</v>
      </c>
      <c r="N242" s="10">
        <f t="shared" si="43"/>
        <v>0.33</v>
      </c>
      <c r="O242" s="10">
        <f t="shared" si="44"/>
        <v>0.33</v>
      </c>
      <c r="P242" s="10">
        <f t="shared" si="45"/>
        <v>0.33</v>
      </c>
    </row>
    <row r="243" spans="4:16" x14ac:dyDescent="0.25">
      <c r="D243" s="10" t="s">
        <v>336</v>
      </c>
      <c r="E243" s="10" t="str">
        <f>E171</f>
        <v>South West</v>
      </c>
      <c r="F243" s="10" t="str">
        <f t="shared" si="42"/>
        <v>Spring</v>
      </c>
      <c r="G243" s="10">
        <f t="shared" si="42"/>
        <v>1.64</v>
      </c>
      <c r="H243" s="10">
        <f t="shared" si="42"/>
        <v>1.1000000000000001</v>
      </c>
      <c r="I243" s="10">
        <f t="shared" si="42"/>
        <v>1.21</v>
      </c>
      <c r="J243" s="10">
        <f t="shared" si="42"/>
        <v>0.99</v>
      </c>
      <c r="K243" s="10">
        <f t="shared" si="42"/>
        <v>0.66</v>
      </c>
      <c r="L243" s="10">
        <f t="shared" si="43"/>
        <v>0.66</v>
      </c>
      <c r="M243" s="10">
        <f t="shared" si="43"/>
        <v>1.42</v>
      </c>
      <c r="N243" s="10">
        <f t="shared" si="43"/>
        <v>1.1000000000000001</v>
      </c>
      <c r="O243" s="10">
        <f t="shared" si="44"/>
        <v>1.1000000000000001</v>
      </c>
      <c r="P243" s="10">
        <f t="shared" si="45"/>
        <v>1.1000000000000001</v>
      </c>
    </row>
    <row r="244" spans="4:16" x14ac:dyDescent="0.25">
      <c r="D244" s="10" t="s">
        <v>336</v>
      </c>
      <c r="E244" s="10" t="str">
        <f t="shared" ref="E244:K254" si="46">E172</f>
        <v>South West</v>
      </c>
      <c r="F244" s="10" t="str">
        <f t="shared" si="42"/>
        <v>Summer</v>
      </c>
      <c r="G244" s="10">
        <f t="shared" si="42"/>
        <v>0.44</v>
      </c>
      <c r="H244" s="10">
        <f t="shared" si="42"/>
        <v>-0.22</v>
      </c>
      <c r="I244" s="10">
        <f t="shared" si="42"/>
        <v>0.44</v>
      </c>
      <c r="J244" s="10">
        <f t="shared" si="42"/>
        <v>0.33</v>
      </c>
      <c r="K244" s="10">
        <f t="shared" si="42"/>
        <v>-0.22</v>
      </c>
      <c r="L244" s="10">
        <f t="shared" si="43"/>
        <v>-0.22</v>
      </c>
      <c r="M244" s="10">
        <f t="shared" si="43"/>
        <v>0.44</v>
      </c>
      <c r="N244" s="10">
        <f t="shared" si="43"/>
        <v>-0.11</v>
      </c>
      <c r="O244" s="10">
        <f t="shared" si="44"/>
        <v>-0.11</v>
      </c>
      <c r="P244" s="10">
        <f t="shared" si="45"/>
        <v>-0.11</v>
      </c>
    </row>
    <row r="245" spans="4:16" x14ac:dyDescent="0.25">
      <c r="D245" s="10" t="s">
        <v>336</v>
      </c>
      <c r="E245" s="10" t="str">
        <f t="shared" si="46"/>
        <v>South West</v>
      </c>
      <c r="F245" s="10" t="str">
        <f t="shared" si="42"/>
        <v>Autumn</v>
      </c>
      <c r="G245" s="10">
        <f t="shared" si="42"/>
        <v>0.6</v>
      </c>
      <c r="H245" s="10">
        <f t="shared" si="42"/>
        <v>0</v>
      </c>
      <c r="I245" s="10">
        <f t="shared" si="42"/>
        <v>0.6</v>
      </c>
      <c r="J245" s="10">
        <f t="shared" si="42"/>
        <v>0.22</v>
      </c>
      <c r="K245" s="10">
        <f t="shared" si="42"/>
        <v>-0.55000000000000004</v>
      </c>
      <c r="L245" s="10">
        <f t="shared" si="43"/>
        <v>-0.55000000000000004</v>
      </c>
      <c r="M245" s="10">
        <f t="shared" si="43"/>
        <v>0.6</v>
      </c>
      <c r="N245" s="10">
        <f t="shared" si="43"/>
        <v>0</v>
      </c>
      <c r="O245" s="10">
        <f t="shared" si="44"/>
        <v>0</v>
      </c>
      <c r="P245" s="10">
        <f t="shared" si="45"/>
        <v>0</v>
      </c>
    </row>
    <row r="246" spans="4:16" x14ac:dyDescent="0.25">
      <c r="D246" s="10" t="s">
        <v>336</v>
      </c>
      <c r="E246" s="10" t="str">
        <f t="shared" si="46"/>
        <v>South West</v>
      </c>
      <c r="F246" s="10" t="str">
        <f t="shared" si="42"/>
        <v>Winter</v>
      </c>
      <c r="G246" s="10">
        <f t="shared" si="42"/>
        <v>0.99</v>
      </c>
      <c r="H246" s="10">
        <f t="shared" si="42"/>
        <v>0.22</v>
      </c>
      <c r="I246" s="10">
        <f t="shared" si="42"/>
        <v>0.77</v>
      </c>
      <c r="J246" s="10">
        <f t="shared" si="42"/>
        <v>0.11</v>
      </c>
      <c r="K246" s="10">
        <f t="shared" si="42"/>
        <v>0.11</v>
      </c>
      <c r="L246" s="10">
        <f t="shared" si="43"/>
        <v>0.11</v>
      </c>
      <c r="M246" s="10">
        <f t="shared" si="43"/>
        <v>0.77</v>
      </c>
      <c r="N246" s="10">
        <f t="shared" si="43"/>
        <v>0.44</v>
      </c>
      <c r="O246" s="10">
        <f t="shared" si="44"/>
        <v>0.44</v>
      </c>
      <c r="P246" s="10">
        <f t="shared" si="45"/>
        <v>0.44</v>
      </c>
    </row>
    <row r="247" spans="4:16" x14ac:dyDescent="0.25">
      <c r="D247" s="10" t="s">
        <v>336</v>
      </c>
      <c r="E247" s="10" t="str">
        <f t="shared" si="46"/>
        <v>Pilbara</v>
      </c>
      <c r="F247" s="10" t="str">
        <f t="shared" si="42"/>
        <v>Spring</v>
      </c>
      <c r="G247" s="10">
        <f t="shared" si="42"/>
        <v>0.7</v>
      </c>
      <c r="H247" s="10">
        <f t="shared" si="42"/>
        <v>-0.55000000000000004</v>
      </c>
      <c r="I247" s="10">
        <f t="shared" si="42"/>
        <v>0.7</v>
      </c>
      <c r="J247" s="10">
        <f t="shared" si="42"/>
        <v>0.22</v>
      </c>
      <c r="K247" s="10">
        <f t="shared" si="42"/>
        <v>-0.22</v>
      </c>
      <c r="L247" s="10">
        <f t="shared" si="43"/>
        <v>-0.22</v>
      </c>
      <c r="M247" s="10">
        <f t="shared" si="43"/>
        <v>0.7</v>
      </c>
      <c r="N247" s="10">
        <f t="shared" si="43"/>
        <v>-0.22</v>
      </c>
      <c r="O247" s="10">
        <f t="shared" si="44"/>
        <v>-0.22</v>
      </c>
      <c r="P247" s="10">
        <f t="shared" si="45"/>
        <v>-0.22</v>
      </c>
    </row>
    <row r="248" spans="4:16" x14ac:dyDescent="0.25">
      <c r="D248" s="10" t="s">
        <v>336</v>
      </c>
      <c r="E248" s="10" t="str">
        <f t="shared" si="46"/>
        <v>Pilbara</v>
      </c>
      <c r="F248" s="10" t="str">
        <f t="shared" si="46"/>
        <v>Summer</v>
      </c>
      <c r="G248" s="10">
        <f t="shared" si="46"/>
        <v>0.77</v>
      </c>
      <c r="H248" s="10">
        <f t="shared" si="46"/>
        <v>0.55000000000000004</v>
      </c>
      <c r="I248" s="10">
        <f t="shared" si="46"/>
        <v>0.77</v>
      </c>
      <c r="J248" s="10">
        <f t="shared" si="46"/>
        <v>0.66</v>
      </c>
      <c r="K248" s="10">
        <f t="shared" si="46"/>
        <v>0.55000000000000004</v>
      </c>
      <c r="L248" s="10">
        <f t="shared" ref="L248:N254" si="47">K176</f>
        <v>0.55000000000000004</v>
      </c>
      <c r="M248" s="10">
        <f t="shared" si="47"/>
        <v>0.77</v>
      </c>
      <c r="N248" s="10">
        <f t="shared" si="47"/>
        <v>0.33</v>
      </c>
      <c r="O248" s="10">
        <f t="shared" si="44"/>
        <v>0.33</v>
      </c>
      <c r="P248" s="10">
        <f t="shared" si="45"/>
        <v>0.33</v>
      </c>
    </row>
    <row r="249" spans="4:16" x14ac:dyDescent="0.25">
      <c r="D249" s="10" t="s">
        <v>336</v>
      </c>
      <c r="E249" s="10" t="str">
        <f t="shared" si="46"/>
        <v>Pilbara</v>
      </c>
      <c r="F249" s="10" t="str">
        <f t="shared" si="46"/>
        <v>Autumn</v>
      </c>
      <c r="G249" s="10">
        <f t="shared" si="46"/>
        <v>0.88</v>
      </c>
      <c r="H249" s="10">
        <f t="shared" si="46"/>
        <v>0.55000000000000004</v>
      </c>
      <c r="I249" s="10">
        <f t="shared" si="46"/>
        <v>0.88</v>
      </c>
      <c r="J249" s="10">
        <f t="shared" si="46"/>
        <v>0.22</v>
      </c>
      <c r="K249" s="10">
        <f t="shared" si="46"/>
        <v>0.22</v>
      </c>
      <c r="L249" s="10">
        <f t="shared" si="47"/>
        <v>0.22</v>
      </c>
      <c r="M249" s="10">
        <f t="shared" si="47"/>
        <v>0.88</v>
      </c>
      <c r="N249" s="10">
        <f t="shared" si="47"/>
        <v>0.22</v>
      </c>
      <c r="O249" s="10">
        <f t="shared" si="44"/>
        <v>0.22</v>
      </c>
      <c r="P249" s="10">
        <f t="shared" si="45"/>
        <v>0.22</v>
      </c>
    </row>
    <row r="250" spans="4:16" x14ac:dyDescent="0.25">
      <c r="D250" s="10" t="s">
        <v>336</v>
      </c>
      <c r="E250" s="10" t="str">
        <f t="shared" si="46"/>
        <v>Pilbara</v>
      </c>
      <c r="F250" s="10" t="str">
        <f t="shared" si="46"/>
        <v>Winter</v>
      </c>
      <c r="G250" s="10">
        <f t="shared" si="46"/>
        <v>0.22</v>
      </c>
      <c r="H250" s="10">
        <f t="shared" si="46"/>
        <v>-0.55000000000000004</v>
      </c>
      <c r="I250" s="10">
        <f t="shared" si="46"/>
        <v>0.22</v>
      </c>
      <c r="J250" s="10">
        <f t="shared" si="46"/>
        <v>0.11</v>
      </c>
      <c r="K250" s="10">
        <f t="shared" si="46"/>
        <v>-0.22</v>
      </c>
      <c r="L250" s="10">
        <f t="shared" si="47"/>
        <v>-0.22</v>
      </c>
      <c r="M250" s="10">
        <f t="shared" si="47"/>
        <v>0.22</v>
      </c>
      <c r="N250" s="10">
        <f t="shared" si="47"/>
        <v>-0.33</v>
      </c>
      <c r="O250" s="10">
        <f t="shared" si="44"/>
        <v>-0.33</v>
      </c>
      <c r="P250" s="10">
        <f t="shared" si="45"/>
        <v>-0.33</v>
      </c>
    </row>
    <row r="251" spans="4:16" x14ac:dyDescent="0.25">
      <c r="D251" s="10" t="s">
        <v>336</v>
      </c>
      <c r="E251" s="10" t="str">
        <f t="shared" si="46"/>
        <v>Kimberley</v>
      </c>
      <c r="F251" s="10" t="str">
        <f t="shared" si="46"/>
        <v>Spring</v>
      </c>
      <c r="G251" s="10">
        <f t="shared" si="46"/>
        <v>0.22</v>
      </c>
      <c r="H251" s="10">
        <f t="shared" si="46"/>
        <v>-0.55000000000000004</v>
      </c>
      <c r="I251" s="10">
        <f t="shared" si="46"/>
        <v>0.33</v>
      </c>
      <c r="J251" s="10">
        <f t="shared" si="46"/>
        <v>0.22</v>
      </c>
      <c r="K251" s="10">
        <f t="shared" si="46"/>
        <v>-0.33</v>
      </c>
      <c r="L251" s="10">
        <f t="shared" si="47"/>
        <v>-0.33</v>
      </c>
      <c r="M251" s="10">
        <f t="shared" si="47"/>
        <v>0.22</v>
      </c>
      <c r="N251" s="10">
        <f t="shared" si="47"/>
        <v>-0.55000000000000004</v>
      </c>
      <c r="O251" s="10">
        <f t="shared" si="44"/>
        <v>-0.55000000000000004</v>
      </c>
      <c r="P251" s="10">
        <f t="shared" si="45"/>
        <v>-0.55000000000000004</v>
      </c>
    </row>
    <row r="252" spans="4:16" x14ac:dyDescent="0.25">
      <c r="D252" s="10" t="s">
        <v>336</v>
      </c>
      <c r="E252" s="10" t="str">
        <f t="shared" si="46"/>
        <v>Kimberley</v>
      </c>
      <c r="F252" s="10" t="str">
        <f t="shared" si="46"/>
        <v>Summer</v>
      </c>
      <c r="G252" s="10">
        <f t="shared" si="46"/>
        <v>0.8</v>
      </c>
      <c r="H252" s="10">
        <f t="shared" si="46"/>
        <v>0.55000000000000004</v>
      </c>
      <c r="I252" s="10">
        <f t="shared" si="46"/>
        <v>0.7</v>
      </c>
      <c r="J252" s="10">
        <f t="shared" si="46"/>
        <v>0.44</v>
      </c>
      <c r="K252" s="10">
        <f t="shared" si="46"/>
        <v>0.66</v>
      </c>
      <c r="L252" s="10">
        <f t="shared" si="47"/>
        <v>0.66</v>
      </c>
      <c r="M252" s="10">
        <f t="shared" si="47"/>
        <v>0.8</v>
      </c>
      <c r="N252" s="10">
        <f t="shared" si="47"/>
        <v>0.55000000000000004</v>
      </c>
      <c r="O252" s="10">
        <f t="shared" si="44"/>
        <v>0.55000000000000004</v>
      </c>
      <c r="P252" s="10">
        <f t="shared" si="45"/>
        <v>0.55000000000000004</v>
      </c>
    </row>
    <row r="253" spans="4:16" x14ac:dyDescent="0.25">
      <c r="D253" s="10" t="s">
        <v>336</v>
      </c>
      <c r="E253" s="10" t="str">
        <f t="shared" si="46"/>
        <v>Kimberley</v>
      </c>
      <c r="F253" s="10" t="str">
        <f t="shared" si="46"/>
        <v>Autumn</v>
      </c>
      <c r="G253" s="10">
        <f t="shared" si="46"/>
        <v>0.66</v>
      </c>
      <c r="H253" s="10">
        <f t="shared" si="46"/>
        <v>0.55000000000000004</v>
      </c>
      <c r="I253" s="10">
        <f t="shared" si="46"/>
        <v>0.55000000000000004</v>
      </c>
      <c r="J253" s="10">
        <f t="shared" si="46"/>
        <v>0.55000000000000004</v>
      </c>
      <c r="K253" s="10">
        <f t="shared" si="46"/>
        <v>0.11</v>
      </c>
      <c r="L253" s="10">
        <f t="shared" si="47"/>
        <v>0.11</v>
      </c>
      <c r="M253" s="10">
        <f t="shared" si="47"/>
        <v>0.66</v>
      </c>
      <c r="N253" s="10">
        <f t="shared" si="47"/>
        <v>0.55000000000000004</v>
      </c>
      <c r="O253" s="10">
        <f t="shared" si="44"/>
        <v>0.55000000000000004</v>
      </c>
      <c r="P253" s="10">
        <f t="shared" si="45"/>
        <v>0.55000000000000004</v>
      </c>
    </row>
    <row r="254" spans="4:16" x14ac:dyDescent="0.25">
      <c r="D254" s="10" t="s">
        <v>336</v>
      </c>
      <c r="E254" s="10" t="str">
        <f t="shared" si="46"/>
        <v>Kimberley</v>
      </c>
      <c r="F254" s="10" t="str">
        <f t="shared" si="46"/>
        <v>Winter</v>
      </c>
      <c r="G254" s="10">
        <f t="shared" si="46"/>
        <v>0.33</v>
      </c>
      <c r="H254" s="10">
        <f t="shared" si="46"/>
        <v>-0.55000000000000004</v>
      </c>
      <c r="I254" s="10">
        <f t="shared" si="46"/>
        <v>0.11</v>
      </c>
      <c r="J254" s="10">
        <f t="shared" si="46"/>
        <v>0.11</v>
      </c>
      <c r="K254" s="10">
        <f t="shared" si="46"/>
        <v>-0.44</v>
      </c>
      <c r="L254" s="10">
        <f t="shared" si="47"/>
        <v>-0.44</v>
      </c>
      <c r="M254" s="10">
        <f t="shared" si="47"/>
        <v>0.33</v>
      </c>
      <c r="N254" s="10">
        <f t="shared" si="47"/>
        <v>-0.55000000000000004</v>
      </c>
      <c r="O254" s="10">
        <f t="shared" si="44"/>
        <v>-0.55000000000000004</v>
      </c>
      <c r="P254" s="10">
        <f t="shared" si="45"/>
        <v>-0.55000000000000004</v>
      </c>
    </row>
    <row r="255" spans="4:16" x14ac:dyDescent="0.25">
      <c r="D255" s="10" t="s">
        <v>427</v>
      </c>
      <c r="E255" s="10" t="str">
        <f>E190</f>
        <v>Alice Springs</v>
      </c>
      <c r="F255" s="10" t="str">
        <f>F190</f>
        <v>Spring</v>
      </c>
      <c r="G255" s="10">
        <f>G190</f>
        <v>0.22</v>
      </c>
      <c r="H255" s="10">
        <f t="shared" ref="H255:P255" si="48">H190</f>
        <v>-0.23</v>
      </c>
      <c r="I255" s="10">
        <f t="shared" si="48"/>
        <v>0.25</v>
      </c>
      <c r="J255" s="10">
        <f t="shared" si="48"/>
        <v>0.17</v>
      </c>
      <c r="K255" s="10">
        <f t="shared" si="48"/>
        <v>0.18</v>
      </c>
      <c r="L255" s="10">
        <f t="shared" si="48"/>
        <v>-0.28000000000000003</v>
      </c>
      <c r="M255" s="10">
        <f t="shared" si="48"/>
        <v>0.32</v>
      </c>
      <c r="N255" s="10">
        <f t="shared" si="48"/>
        <v>0.24</v>
      </c>
      <c r="O255" s="10">
        <f t="shared" si="48"/>
        <v>0.25</v>
      </c>
      <c r="P255" s="10">
        <f t="shared" si="48"/>
        <v>-0.05</v>
      </c>
    </row>
    <row r="256" spans="4:16" x14ac:dyDescent="0.25">
      <c r="D256" s="10" t="s">
        <v>427</v>
      </c>
      <c r="E256" s="10" t="str">
        <f t="shared" ref="E256:P271" si="49">E191</f>
        <v>Alice Springs</v>
      </c>
      <c r="F256" s="10" t="str">
        <f t="shared" si="49"/>
        <v>Summer</v>
      </c>
      <c r="G256" s="10">
        <f t="shared" si="49"/>
        <v>0.66</v>
      </c>
      <c r="H256" s="10">
        <f t="shared" si="49"/>
        <v>0.2</v>
      </c>
      <c r="I256" s="10">
        <f t="shared" si="49"/>
        <v>0.62</v>
      </c>
      <c r="J256" s="10">
        <f t="shared" si="49"/>
        <v>0.54</v>
      </c>
      <c r="K256" s="10">
        <f t="shared" si="49"/>
        <v>0.38</v>
      </c>
      <c r="L256" s="10">
        <f t="shared" si="49"/>
        <v>0.27</v>
      </c>
      <c r="M256" s="10">
        <f t="shared" si="49"/>
        <v>0.75</v>
      </c>
      <c r="N256" s="10">
        <f t="shared" si="49"/>
        <v>0.64</v>
      </c>
      <c r="O256" s="10">
        <f t="shared" si="49"/>
        <v>0.55000000000000004</v>
      </c>
      <c r="P256" s="10">
        <f t="shared" si="49"/>
        <v>0.48</v>
      </c>
    </row>
    <row r="257" spans="4:16" x14ac:dyDescent="0.25">
      <c r="D257" s="10" t="s">
        <v>427</v>
      </c>
      <c r="E257" s="10" t="str">
        <f t="shared" si="49"/>
        <v>Alice Springs</v>
      </c>
      <c r="F257" s="10" t="str">
        <f t="shared" si="49"/>
        <v>Autumn</v>
      </c>
      <c r="G257" s="10">
        <f t="shared" si="49"/>
        <v>0.49</v>
      </c>
      <c r="H257" s="10">
        <f t="shared" si="49"/>
        <v>0.13</v>
      </c>
      <c r="I257" s="10">
        <f t="shared" si="49"/>
        <v>0.54</v>
      </c>
      <c r="J257" s="10">
        <f t="shared" si="49"/>
        <v>0.45</v>
      </c>
      <c r="K257" s="10">
        <f t="shared" si="49"/>
        <v>0.35</v>
      </c>
      <c r="L257" s="10">
        <f t="shared" si="49"/>
        <v>0.15</v>
      </c>
      <c r="M257" s="10">
        <f t="shared" si="49"/>
        <v>0.63</v>
      </c>
      <c r="N257" s="10">
        <f t="shared" si="49"/>
        <v>0.54</v>
      </c>
      <c r="O257" s="10">
        <f t="shared" si="49"/>
        <v>0.42</v>
      </c>
      <c r="P257" s="10">
        <f t="shared" si="49"/>
        <v>0.26</v>
      </c>
    </row>
    <row r="258" spans="4:16" x14ac:dyDescent="0.25">
      <c r="D258" s="10" t="s">
        <v>427</v>
      </c>
      <c r="E258" s="10" t="str">
        <f t="shared" si="49"/>
        <v>Alice Springs</v>
      </c>
      <c r="F258" s="10" t="str">
        <f t="shared" si="49"/>
        <v>Winter</v>
      </c>
      <c r="G258" s="10">
        <f t="shared" si="49"/>
        <v>0.27</v>
      </c>
      <c r="H258" s="10">
        <f t="shared" si="49"/>
        <v>-0.8</v>
      </c>
      <c r="I258" s="10">
        <f t="shared" si="49"/>
        <v>0.22</v>
      </c>
      <c r="J258" s="10">
        <f t="shared" si="49"/>
        <v>0.09</v>
      </c>
      <c r="K258" s="10">
        <f t="shared" si="49"/>
        <v>0.12</v>
      </c>
      <c r="L258" s="10">
        <f t="shared" si="49"/>
        <v>0.02</v>
      </c>
      <c r="M258" s="10">
        <f t="shared" si="49"/>
        <v>0.25</v>
      </c>
      <c r="N258" s="10">
        <f t="shared" si="49"/>
        <v>0.18</v>
      </c>
      <c r="O258" s="10">
        <f t="shared" si="49"/>
        <v>0.12</v>
      </c>
      <c r="P258" s="10">
        <f t="shared" si="49"/>
        <v>0.03</v>
      </c>
    </row>
    <row r="259" spans="4:16" x14ac:dyDescent="0.25">
      <c r="D259" s="10" t="s">
        <v>427</v>
      </c>
      <c r="E259" s="10" t="str">
        <f t="shared" si="49"/>
        <v>Barkly</v>
      </c>
      <c r="F259" s="10" t="str">
        <f t="shared" si="49"/>
        <v>Spring</v>
      </c>
      <c r="G259" s="10">
        <f t="shared" si="49"/>
        <v>0.22</v>
      </c>
      <c r="H259" s="10">
        <f t="shared" si="49"/>
        <v>-0.44</v>
      </c>
      <c r="I259" s="10">
        <f t="shared" si="49"/>
        <v>0.2</v>
      </c>
      <c r="J259" s="10">
        <f t="shared" si="49"/>
        <v>0.21</v>
      </c>
      <c r="K259" s="10">
        <f t="shared" si="49"/>
        <v>0.18</v>
      </c>
      <c r="L259" s="10">
        <f t="shared" si="49"/>
        <v>0.01</v>
      </c>
      <c r="M259" s="10">
        <f t="shared" si="49"/>
        <v>0.12</v>
      </c>
      <c r="N259" s="10">
        <f t="shared" si="49"/>
        <v>0.09</v>
      </c>
      <c r="O259" s="10" t="str">
        <f t="shared" si="49"/>
        <v>NO</v>
      </c>
      <c r="P259" s="10" t="str">
        <f t="shared" si="49"/>
        <v>NO</v>
      </c>
    </row>
    <row r="260" spans="4:16" x14ac:dyDescent="0.25">
      <c r="D260" s="10" t="s">
        <v>427</v>
      </c>
      <c r="E260" s="10" t="str">
        <f t="shared" si="49"/>
        <v>Barkly</v>
      </c>
      <c r="F260" s="10" t="str">
        <f t="shared" si="49"/>
        <v>Summer</v>
      </c>
      <c r="G260" s="10">
        <f t="shared" si="49"/>
        <v>0.66</v>
      </c>
      <c r="H260" s="10">
        <f t="shared" si="49"/>
        <v>0.22</v>
      </c>
      <c r="I260" s="10">
        <f t="shared" si="49"/>
        <v>0.68</v>
      </c>
      <c r="J260" s="10">
        <f t="shared" si="49"/>
        <v>0.22</v>
      </c>
      <c r="K260" s="10">
        <f t="shared" si="49"/>
        <v>0.24</v>
      </c>
      <c r="L260" s="10">
        <f t="shared" si="49"/>
        <v>0.25</v>
      </c>
      <c r="M260" s="10">
        <f t="shared" si="49"/>
        <v>0.64</v>
      </c>
      <c r="N260" s="10">
        <f t="shared" si="49"/>
        <v>0.37</v>
      </c>
      <c r="O260" s="10" t="str">
        <f t="shared" si="49"/>
        <v>NO</v>
      </c>
      <c r="P260" s="10" t="str">
        <f t="shared" si="49"/>
        <v>NO</v>
      </c>
    </row>
    <row r="261" spans="4:16" x14ac:dyDescent="0.25">
      <c r="D261" s="10" t="s">
        <v>427</v>
      </c>
      <c r="E261" s="10" t="str">
        <f t="shared" si="49"/>
        <v>Barkly</v>
      </c>
      <c r="F261" s="10" t="str">
        <f t="shared" si="49"/>
        <v>Autumn</v>
      </c>
      <c r="G261" s="10">
        <f t="shared" si="49"/>
        <v>0.49</v>
      </c>
      <c r="H261" s="10">
        <f t="shared" si="49"/>
        <v>0.05</v>
      </c>
      <c r="I261" s="10">
        <f t="shared" si="49"/>
        <v>0.64</v>
      </c>
      <c r="J261" s="10">
        <f t="shared" si="49"/>
        <v>0.25</v>
      </c>
      <c r="K261" s="10">
        <f t="shared" si="49"/>
        <v>0.28999999999999998</v>
      </c>
      <c r="L261" s="10">
        <f t="shared" si="49"/>
        <v>0.12</v>
      </c>
      <c r="M261" s="10">
        <f t="shared" si="49"/>
        <v>0.56999999999999995</v>
      </c>
      <c r="N261" s="10">
        <f t="shared" si="49"/>
        <v>0.49</v>
      </c>
      <c r="O261" s="10" t="str">
        <f t="shared" si="49"/>
        <v>NO</v>
      </c>
      <c r="P261" s="10" t="str">
        <f t="shared" si="49"/>
        <v>NO</v>
      </c>
    </row>
    <row r="262" spans="4:16" x14ac:dyDescent="0.25">
      <c r="D262" s="10" t="s">
        <v>427</v>
      </c>
      <c r="E262" s="10" t="str">
        <f t="shared" si="49"/>
        <v>Barkly</v>
      </c>
      <c r="F262" s="10" t="str">
        <f t="shared" si="49"/>
        <v>Winter</v>
      </c>
      <c r="G262" s="10">
        <f t="shared" si="49"/>
        <v>0.27</v>
      </c>
      <c r="H262" s="10">
        <f t="shared" si="49"/>
        <v>-0.27</v>
      </c>
      <c r="I262" s="10">
        <f t="shared" si="49"/>
        <v>0.31</v>
      </c>
      <c r="J262" s="10">
        <f t="shared" si="49"/>
        <v>0.28999999999999998</v>
      </c>
      <c r="K262" s="10">
        <f t="shared" si="49"/>
        <v>0.19</v>
      </c>
      <c r="L262" s="10">
        <f t="shared" si="49"/>
        <v>0.04</v>
      </c>
      <c r="M262" s="10">
        <f t="shared" si="49"/>
        <v>0.26</v>
      </c>
      <c r="N262" s="10">
        <f t="shared" si="49"/>
        <v>0.28000000000000003</v>
      </c>
      <c r="O262" s="10" t="str">
        <f t="shared" si="49"/>
        <v>NO</v>
      </c>
      <c r="P262" s="10" t="str">
        <f t="shared" si="49"/>
        <v>NO</v>
      </c>
    </row>
    <row r="263" spans="4:16" x14ac:dyDescent="0.25">
      <c r="D263" s="10" t="s">
        <v>427</v>
      </c>
      <c r="E263" s="10" t="str">
        <f t="shared" si="49"/>
        <v>Northern</v>
      </c>
      <c r="F263" s="10" t="str">
        <f t="shared" si="49"/>
        <v>Spring</v>
      </c>
      <c r="G263" s="10">
        <f t="shared" si="49"/>
        <v>0.22</v>
      </c>
      <c r="H263" s="10">
        <f t="shared" si="49"/>
        <v>-0.44</v>
      </c>
      <c r="I263" s="10">
        <f t="shared" si="49"/>
        <v>0</v>
      </c>
      <c r="J263" s="10">
        <f t="shared" si="49"/>
        <v>0.15</v>
      </c>
      <c r="K263" s="10">
        <f t="shared" si="49"/>
        <v>0.08</v>
      </c>
      <c r="L263" s="10">
        <f t="shared" si="49"/>
        <v>0.17</v>
      </c>
      <c r="M263" s="10">
        <f t="shared" si="49"/>
        <v>0.06</v>
      </c>
      <c r="N263" s="10">
        <f t="shared" si="49"/>
        <v>0.02</v>
      </c>
      <c r="O263" s="10">
        <f t="shared" si="49"/>
        <v>-0.14000000000000001</v>
      </c>
      <c r="P263" s="10" t="str">
        <f t="shared" si="49"/>
        <v>NO</v>
      </c>
    </row>
    <row r="264" spans="4:16" x14ac:dyDescent="0.25">
      <c r="D264" s="10" t="s">
        <v>427</v>
      </c>
      <c r="E264" s="10" t="str">
        <f t="shared" si="49"/>
        <v>Northern</v>
      </c>
      <c r="F264" s="10" t="str">
        <f t="shared" si="49"/>
        <v>Summer</v>
      </c>
      <c r="G264" s="10">
        <f t="shared" si="49"/>
        <v>0.66</v>
      </c>
      <c r="H264" s="10">
        <f t="shared" si="49"/>
        <v>0.22</v>
      </c>
      <c r="I264" s="10">
        <f t="shared" si="49"/>
        <v>0.79</v>
      </c>
      <c r="J264" s="10">
        <f t="shared" si="49"/>
        <v>0.4</v>
      </c>
      <c r="K264" s="10">
        <f t="shared" si="49"/>
        <v>0.38</v>
      </c>
      <c r="L264" s="10">
        <f t="shared" si="49"/>
        <v>0.27</v>
      </c>
      <c r="M264" s="10">
        <f t="shared" si="49"/>
        <v>0.8</v>
      </c>
      <c r="N264" s="10">
        <f t="shared" si="49"/>
        <v>0.16</v>
      </c>
      <c r="O264" s="10">
        <f t="shared" si="49"/>
        <v>0.3</v>
      </c>
      <c r="P264" s="10" t="str">
        <f t="shared" si="49"/>
        <v>NO</v>
      </c>
    </row>
    <row r="265" spans="4:16" x14ac:dyDescent="0.25">
      <c r="D265" s="10" t="s">
        <v>427</v>
      </c>
      <c r="E265" s="10" t="str">
        <f t="shared" si="49"/>
        <v>Northern</v>
      </c>
      <c r="F265" s="10" t="str">
        <f t="shared" si="49"/>
        <v>Autumn</v>
      </c>
      <c r="G265" s="10">
        <f t="shared" si="49"/>
        <v>0.49</v>
      </c>
      <c r="H265" s="10">
        <f t="shared" si="49"/>
        <v>0.05</v>
      </c>
      <c r="I265" s="10">
        <f t="shared" si="49"/>
        <v>0.55000000000000004</v>
      </c>
      <c r="J265" s="10">
        <f t="shared" si="49"/>
        <v>0.38</v>
      </c>
      <c r="K265" s="10">
        <f t="shared" si="49"/>
        <v>0.36</v>
      </c>
      <c r="L265" s="10">
        <f t="shared" si="49"/>
        <v>0.06</v>
      </c>
      <c r="M265" s="10">
        <f t="shared" si="49"/>
        <v>0.57999999999999996</v>
      </c>
      <c r="N265" s="10">
        <f t="shared" si="49"/>
        <v>0.23</v>
      </c>
      <c r="O265" s="10">
        <f t="shared" si="49"/>
        <v>0.4</v>
      </c>
      <c r="P265" s="10" t="str">
        <f t="shared" si="49"/>
        <v>NO</v>
      </c>
    </row>
    <row r="266" spans="4:16" x14ac:dyDescent="0.25">
      <c r="D266" s="10" t="s">
        <v>427</v>
      </c>
      <c r="E266" s="10" t="str">
        <f t="shared" si="49"/>
        <v>Northern</v>
      </c>
      <c r="F266" s="10" t="str">
        <f t="shared" si="49"/>
        <v>Winter</v>
      </c>
      <c r="G266" s="10">
        <f t="shared" si="49"/>
        <v>0.27</v>
      </c>
      <c r="H266" s="10">
        <f t="shared" si="49"/>
        <v>-0.27</v>
      </c>
      <c r="I266" s="10">
        <f t="shared" si="49"/>
        <v>0.02</v>
      </c>
      <c r="J266" s="10">
        <f t="shared" si="49"/>
        <v>0.09</v>
      </c>
      <c r="K266" s="10">
        <f t="shared" si="49"/>
        <v>0.16</v>
      </c>
      <c r="L266" s="10">
        <f t="shared" si="49"/>
        <v>-0.04</v>
      </c>
      <c r="M266" s="10">
        <f t="shared" si="49"/>
        <v>0.21</v>
      </c>
      <c r="N266" s="10">
        <f t="shared" si="49"/>
        <v>0.03</v>
      </c>
      <c r="O266" s="10">
        <f t="shared" si="49"/>
        <v>0.11</v>
      </c>
      <c r="P266" s="10" t="str">
        <f t="shared" si="49"/>
        <v>NO</v>
      </c>
    </row>
    <row r="267" spans="4:16" x14ac:dyDescent="0.25">
      <c r="D267" s="10" t="s">
        <v>330</v>
      </c>
      <c r="E267" s="10" t="str">
        <f t="shared" si="49"/>
        <v>High</v>
      </c>
      <c r="F267" s="10" t="str">
        <f t="shared" si="49"/>
        <v>Spring</v>
      </c>
      <c r="G267" s="10">
        <f t="shared" si="49"/>
        <v>0.27</v>
      </c>
      <c r="H267" s="10">
        <f t="shared" si="49"/>
        <v>-0.19</v>
      </c>
      <c r="I267" s="10">
        <f t="shared" si="49"/>
        <v>0.38</v>
      </c>
      <c r="J267" s="10">
        <f t="shared" si="49"/>
        <v>0.25</v>
      </c>
      <c r="K267" s="10">
        <f t="shared" si="49"/>
        <v>7.0000000000000007E-2</v>
      </c>
      <c r="L267" s="10">
        <f t="shared" si="49"/>
        <v>0.05</v>
      </c>
      <c r="M267" s="10">
        <f t="shared" si="49"/>
        <v>0.52</v>
      </c>
      <c r="N267" s="10">
        <f t="shared" si="49"/>
        <v>0.55000000000000004</v>
      </c>
      <c r="O267" s="10">
        <f t="shared" si="49"/>
        <v>0.19</v>
      </c>
      <c r="P267" s="10">
        <f t="shared" si="49"/>
        <v>0.6</v>
      </c>
    </row>
    <row r="268" spans="4:16" x14ac:dyDescent="0.25">
      <c r="D268" s="10" t="s">
        <v>330</v>
      </c>
      <c r="E268" s="10" t="str">
        <f t="shared" si="49"/>
        <v>High</v>
      </c>
      <c r="F268" s="10" t="str">
        <f t="shared" si="49"/>
        <v>Summer</v>
      </c>
      <c r="G268" s="10">
        <f t="shared" si="49"/>
        <v>0.16</v>
      </c>
      <c r="H268" s="10">
        <f t="shared" si="49"/>
        <v>0.16</v>
      </c>
      <c r="I268" s="10">
        <f t="shared" si="49"/>
        <v>0.8</v>
      </c>
      <c r="J268" s="10">
        <f t="shared" si="49"/>
        <v>0.56999999999999995</v>
      </c>
      <c r="K268" s="10">
        <f t="shared" si="49"/>
        <v>0.76</v>
      </c>
      <c r="L268" s="10">
        <f t="shared" si="49"/>
        <v>0.49</v>
      </c>
      <c r="M268" s="10">
        <f t="shared" si="49"/>
        <v>0.84</v>
      </c>
      <c r="N268" s="10">
        <f t="shared" si="49"/>
        <v>0.51</v>
      </c>
      <c r="O268" s="10">
        <f t="shared" si="49"/>
        <v>0.36</v>
      </c>
      <c r="P268" s="10">
        <f t="shared" si="49"/>
        <v>0.17</v>
      </c>
    </row>
    <row r="269" spans="4:16" x14ac:dyDescent="0.25">
      <c r="D269" s="10" t="s">
        <v>330</v>
      </c>
      <c r="E269" s="10" t="str">
        <f t="shared" si="49"/>
        <v>High</v>
      </c>
      <c r="F269" s="10" t="str">
        <f t="shared" si="49"/>
        <v>Autumn</v>
      </c>
      <c r="G269" s="10">
        <f t="shared" si="49"/>
        <v>0.45</v>
      </c>
      <c r="H269" s="10">
        <f t="shared" si="49"/>
        <v>0.1</v>
      </c>
      <c r="I269" s="10">
        <f t="shared" si="49"/>
        <v>0.49</v>
      </c>
      <c r="J269" s="10">
        <f t="shared" si="49"/>
        <v>0.41</v>
      </c>
      <c r="K269" s="10">
        <f t="shared" si="49"/>
        <v>0.4</v>
      </c>
      <c r="L269" s="10">
        <f t="shared" si="49"/>
        <v>0.17</v>
      </c>
      <c r="M269" s="10">
        <f t="shared" si="49"/>
        <v>0.54</v>
      </c>
      <c r="N269" s="10">
        <f t="shared" si="49"/>
        <v>0.64</v>
      </c>
      <c r="O269" s="10">
        <f t="shared" si="49"/>
        <v>-0.05</v>
      </c>
      <c r="P269" s="10">
        <f t="shared" si="49"/>
        <v>0.32</v>
      </c>
    </row>
    <row r="270" spans="4:16" x14ac:dyDescent="0.25">
      <c r="D270" s="10" t="s">
        <v>330</v>
      </c>
      <c r="E270" s="10" t="str">
        <f t="shared" si="49"/>
        <v>High</v>
      </c>
      <c r="F270" s="10" t="str">
        <f t="shared" si="49"/>
        <v>Winter</v>
      </c>
      <c r="G270" s="10">
        <f t="shared" si="49"/>
        <v>0.51</v>
      </c>
      <c r="H270" s="10">
        <f t="shared" si="49"/>
        <v>-7.0000000000000007E-2</v>
      </c>
      <c r="I270" s="10">
        <f t="shared" si="49"/>
        <v>0.13</v>
      </c>
      <c r="J270" s="10">
        <f t="shared" si="49"/>
        <v>-0.09</v>
      </c>
      <c r="K270" s="10">
        <f t="shared" si="49"/>
        <v>-0.13</v>
      </c>
      <c r="L270" s="10">
        <f t="shared" si="49"/>
        <v>7.0000000000000007E-2</v>
      </c>
      <c r="M270" s="10">
        <f t="shared" si="49"/>
        <v>0.25</v>
      </c>
      <c r="N270" s="10">
        <f t="shared" si="49"/>
        <v>0.71</v>
      </c>
      <c r="O270" s="10">
        <f t="shared" si="49"/>
        <v>0.17</v>
      </c>
      <c r="P270" s="10">
        <f t="shared" si="49"/>
        <v>0.43</v>
      </c>
    </row>
    <row r="271" spans="4:16" x14ac:dyDescent="0.25">
      <c r="D271" s="10" t="s">
        <v>330</v>
      </c>
      <c r="E271" s="10" t="str">
        <f t="shared" si="49"/>
        <v>Moderate/High</v>
      </c>
      <c r="F271" s="10" t="str">
        <f t="shared" si="49"/>
        <v>Spring</v>
      </c>
      <c r="G271" s="10">
        <f t="shared" si="49"/>
        <v>-0.12</v>
      </c>
      <c r="H271" s="10">
        <f t="shared" si="49"/>
        <v>-0.19</v>
      </c>
      <c r="I271" s="10">
        <f t="shared" si="49"/>
        <v>0.41</v>
      </c>
      <c r="J271" s="10">
        <f t="shared" si="49"/>
        <v>0.09</v>
      </c>
      <c r="K271" s="10">
        <f t="shared" si="49"/>
        <v>0.41</v>
      </c>
      <c r="L271" s="10">
        <f t="shared" si="49"/>
        <v>-0.19</v>
      </c>
      <c r="M271" s="10">
        <f t="shared" si="49"/>
        <v>7.0000000000000007E-2</v>
      </c>
      <c r="N271" s="10">
        <f t="shared" si="49"/>
        <v>1.07</v>
      </c>
      <c r="O271" s="10">
        <f t="shared" si="49"/>
        <v>-0.08</v>
      </c>
      <c r="P271" s="10">
        <f t="shared" si="49"/>
        <v>0</v>
      </c>
    </row>
    <row r="272" spans="4:16" x14ac:dyDescent="0.25">
      <c r="D272" s="10" t="s">
        <v>330</v>
      </c>
      <c r="E272" s="10" t="str">
        <f t="shared" ref="E272:P282" si="50">E207</f>
        <v>Moderate/High</v>
      </c>
      <c r="F272" s="10" t="str">
        <f t="shared" si="50"/>
        <v>Summer</v>
      </c>
      <c r="G272" s="10">
        <f t="shared" si="50"/>
        <v>0.65</v>
      </c>
      <c r="H272" s="10">
        <f t="shared" si="50"/>
        <v>0.19</v>
      </c>
      <c r="I272" s="10">
        <f t="shared" si="50"/>
        <v>0.65</v>
      </c>
      <c r="J272" s="10">
        <f t="shared" si="50"/>
        <v>0.51</v>
      </c>
      <c r="K272" s="10">
        <f t="shared" si="50"/>
        <v>0.18</v>
      </c>
      <c r="L272" s="10">
        <f t="shared" si="50"/>
        <v>0.63</v>
      </c>
      <c r="M272" s="10">
        <f t="shared" si="50"/>
        <v>1.3</v>
      </c>
      <c r="N272" s="10">
        <f t="shared" si="50"/>
        <v>0.48</v>
      </c>
      <c r="O272" s="10">
        <f t="shared" si="50"/>
        <v>1.1200000000000001</v>
      </c>
      <c r="P272" s="10">
        <f t="shared" si="50"/>
        <v>0.38</v>
      </c>
    </row>
    <row r="273" spans="4:16" x14ac:dyDescent="0.25">
      <c r="D273" s="10" t="s">
        <v>330</v>
      </c>
      <c r="E273" s="10" t="str">
        <f t="shared" si="50"/>
        <v>Moderate/High</v>
      </c>
      <c r="F273" s="10" t="str">
        <f t="shared" si="50"/>
        <v>Autumn</v>
      </c>
      <c r="G273" s="10">
        <f t="shared" si="50"/>
        <v>0.7</v>
      </c>
      <c r="H273" s="10">
        <f t="shared" si="50"/>
        <v>0.13</v>
      </c>
      <c r="I273" s="10">
        <f t="shared" si="50"/>
        <v>0.52</v>
      </c>
      <c r="J273" s="10">
        <f t="shared" si="50"/>
        <v>0.34</v>
      </c>
      <c r="K273" s="10">
        <f t="shared" si="50"/>
        <v>0.02</v>
      </c>
      <c r="L273" s="10">
        <f t="shared" si="50"/>
        <v>0.04</v>
      </c>
      <c r="M273" s="10">
        <f t="shared" si="50"/>
        <v>0.77</v>
      </c>
      <c r="N273" s="10">
        <f t="shared" si="50"/>
        <v>0.42</v>
      </c>
      <c r="O273" s="10">
        <f t="shared" si="50"/>
        <v>0.12</v>
      </c>
      <c r="P273" s="10">
        <f t="shared" si="50"/>
        <v>0.74</v>
      </c>
    </row>
    <row r="274" spans="4:16" x14ac:dyDescent="0.25">
      <c r="D274" s="10" t="s">
        <v>330</v>
      </c>
      <c r="E274" s="10" t="str">
        <f t="shared" si="50"/>
        <v>Moderate/High</v>
      </c>
      <c r="F274" s="10" t="str">
        <f t="shared" si="50"/>
        <v>Winter</v>
      </c>
      <c r="G274" s="10">
        <f t="shared" si="50"/>
        <v>0.32</v>
      </c>
      <c r="H274" s="10">
        <f t="shared" si="50"/>
        <v>-0.06</v>
      </c>
      <c r="I274" s="10">
        <f t="shared" si="50"/>
        <v>0.25</v>
      </c>
      <c r="J274" s="10">
        <f t="shared" si="50"/>
        <v>0.19</v>
      </c>
      <c r="K274" s="10">
        <f t="shared" si="50"/>
        <v>-0.1</v>
      </c>
      <c r="L274" s="10">
        <f t="shared" si="50"/>
        <v>-0.02</v>
      </c>
      <c r="M274" s="10">
        <f t="shared" si="50"/>
        <v>0.02</v>
      </c>
      <c r="N274" s="10">
        <f t="shared" si="50"/>
        <v>0.23</v>
      </c>
      <c r="O274" s="10">
        <f t="shared" si="50"/>
        <v>-0.13</v>
      </c>
      <c r="P274" s="10">
        <f t="shared" si="50"/>
        <v>0</v>
      </c>
    </row>
    <row r="275" spans="4:16" x14ac:dyDescent="0.25">
      <c r="D275" s="10" t="s">
        <v>330</v>
      </c>
      <c r="E275" s="10" t="str">
        <f t="shared" si="50"/>
        <v>Moderate/Low</v>
      </c>
      <c r="F275" s="10" t="str">
        <f t="shared" si="50"/>
        <v>Spring</v>
      </c>
      <c r="G275" s="10">
        <f t="shared" si="50"/>
        <v>0.62</v>
      </c>
      <c r="H275" s="10">
        <f t="shared" si="50"/>
        <v>-0.19</v>
      </c>
      <c r="I275" s="10">
        <f t="shared" si="50"/>
        <v>0.37</v>
      </c>
      <c r="J275" s="10">
        <f t="shared" si="50"/>
        <v>0.41</v>
      </c>
      <c r="K275" s="10">
        <f t="shared" si="50"/>
        <v>0.06</v>
      </c>
      <c r="L275" s="10">
        <f t="shared" si="50"/>
        <v>-0.02</v>
      </c>
      <c r="M275" s="10">
        <f t="shared" si="50"/>
        <v>0.47</v>
      </c>
      <c r="N275" s="10">
        <f t="shared" si="50"/>
        <v>0.44</v>
      </c>
      <c r="O275" s="10">
        <f t="shared" si="50"/>
        <v>0.3</v>
      </c>
      <c r="P275" s="10">
        <f t="shared" si="50"/>
        <v>0.13</v>
      </c>
    </row>
    <row r="276" spans="4:16" x14ac:dyDescent="0.25">
      <c r="D276" s="10" t="s">
        <v>330</v>
      </c>
      <c r="E276" s="10" t="str">
        <f t="shared" si="50"/>
        <v>Moderate/Low</v>
      </c>
      <c r="F276" s="10" t="str">
        <f t="shared" si="50"/>
        <v>Summer</v>
      </c>
      <c r="G276" s="10">
        <f t="shared" si="50"/>
        <v>0.05</v>
      </c>
      <c r="H276" s="10">
        <f t="shared" si="50"/>
        <v>0.19</v>
      </c>
      <c r="I276" s="10">
        <f t="shared" si="50"/>
        <v>0.31</v>
      </c>
      <c r="J276" s="10">
        <f t="shared" si="50"/>
        <v>0.54</v>
      </c>
      <c r="K276" s="10">
        <f t="shared" si="50"/>
        <v>0.53</v>
      </c>
      <c r="L276" s="10">
        <f t="shared" si="50"/>
        <v>0.15</v>
      </c>
      <c r="M276" s="10">
        <f t="shared" si="50"/>
        <v>0.28000000000000003</v>
      </c>
      <c r="N276" s="10">
        <f t="shared" si="50"/>
        <v>0.56999999999999995</v>
      </c>
      <c r="O276" s="10">
        <f t="shared" si="50"/>
        <v>0.42</v>
      </c>
      <c r="P276" s="10">
        <f t="shared" si="50"/>
        <v>0.4</v>
      </c>
    </row>
    <row r="277" spans="4:16" x14ac:dyDescent="0.25">
      <c r="D277" s="10" t="s">
        <v>330</v>
      </c>
      <c r="E277" s="10" t="str">
        <f t="shared" si="50"/>
        <v>Moderate/Low</v>
      </c>
      <c r="F277" s="10" t="str">
        <f t="shared" si="50"/>
        <v>Autumn</v>
      </c>
      <c r="G277" s="10">
        <f t="shared" si="50"/>
        <v>0.33</v>
      </c>
      <c r="H277" s="10">
        <f t="shared" si="50"/>
        <v>0.13</v>
      </c>
      <c r="I277" s="10">
        <f t="shared" si="50"/>
        <v>0.39</v>
      </c>
      <c r="J277" s="10">
        <f t="shared" si="50"/>
        <v>0.36</v>
      </c>
      <c r="K277" s="10">
        <f t="shared" si="50"/>
        <v>0.26</v>
      </c>
      <c r="L277" s="10">
        <f t="shared" si="50"/>
        <v>0.11</v>
      </c>
      <c r="M277" s="10">
        <f t="shared" si="50"/>
        <v>0.4</v>
      </c>
      <c r="N277" s="10">
        <f t="shared" si="50"/>
        <v>0.44</v>
      </c>
      <c r="O277" s="10">
        <f t="shared" si="50"/>
        <v>0.37</v>
      </c>
      <c r="P277" s="10">
        <f t="shared" si="50"/>
        <v>-0.01</v>
      </c>
    </row>
    <row r="278" spans="4:16" x14ac:dyDescent="0.25">
      <c r="D278" s="10" t="s">
        <v>330</v>
      </c>
      <c r="E278" s="10" t="str">
        <f t="shared" si="50"/>
        <v>Moderate/Low</v>
      </c>
      <c r="F278" s="10" t="str">
        <f t="shared" si="50"/>
        <v>Winter</v>
      </c>
      <c r="G278" s="10">
        <f t="shared" si="50"/>
        <v>0.61</v>
      </c>
      <c r="H278" s="10">
        <f t="shared" si="50"/>
        <v>-0.06</v>
      </c>
      <c r="I278" s="10">
        <f t="shared" si="50"/>
        <v>0.21</v>
      </c>
      <c r="J278" s="10">
        <f t="shared" si="50"/>
        <v>0.18</v>
      </c>
      <c r="K278" s="10">
        <f t="shared" si="50"/>
        <v>0.12</v>
      </c>
      <c r="L278" s="10">
        <f t="shared" si="50"/>
        <v>0.06</v>
      </c>
      <c r="M278" s="10">
        <f t="shared" si="50"/>
        <v>0.28999999999999998</v>
      </c>
      <c r="N278" s="10">
        <f t="shared" si="50"/>
        <v>0.41</v>
      </c>
      <c r="O278" s="10">
        <f t="shared" si="50"/>
        <v>0.41</v>
      </c>
      <c r="P278" s="10">
        <f t="shared" si="50"/>
        <v>-0.15</v>
      </c>
    </row>
    <row r="279" spans="4:16" x14ac:dyDescent="0.25">
      <c r="D279" s="10" t="s">
        <v>330</v>
      </c>
      <c r="E279" s="10" t="str">
        <f t="shared" si="50"/>
        <v>Low</v>
      </c>
      <c r="F279" s="10" t="str">
        <f t="shared" si="50"/>
        <v>Spring</v>
      </c>
      <c r="G279" s="10">
        <f t="shared" si="50"/>
        <v>-0.2</v>
      </c>
      <c r="H279" s="10">
        <f t="shared" si="50"/>
        <v>0.02</v>
      </c>
      <c r="I279" s="10">
        <f t="shared" si="50"/>
        <v>0.24</v>
      </c>
      <c r="J279" s="10">
        <f t="shared" si="50"/>
        <v>0.3</v>
      </c>
      <c r="K279" s="10">
        <f t="shared" si="50"/>
        <v>0.23</v>
      </c>
      <c r="L279" s="10">
        <f t="shared" si="50"/>
        <v>-0.05</v>
      </c>
      <c r="M279" s="10">
        <f t="shared" si="50"/>
        <v>0.34</v>
      </c>
      <c r="N279" s="10">
        <f t="shared" si="50"/>
        <v>0.3</v>
      </c>
      <c r="O279" s="10">
        <f t="shared" si="50"/>
        <v>0.56999999999999995</v>
      </c>
      <c r="P279" s="10">
        <f t="shared" si="50"/>
        <v>0.52</v>
      </c>
    </row>
    <row r="280" spans="4:16" x14ac:dyDescent="0.25">
      <c r="D280" s="10" t="s">
        <v>330</v>
      </c>
      <c r="E280" s="10" t="str">
        <f t="shared" si="50"/>
        <v>Low</v>
      </c>
      <c r="F280" s="10" t="str">
        <f t="shared" si="50"/>
        <v>Summer</v>
      </c>
      <c r="G280" s="10">
        <f t="shared" si="50"/>
        <v>0.62</v>
      </c>
      <c r="H280" s="10">
        <f t="shared" si="50"/>
        <v>0.21</v>
      </c>
      <c r="I280" s="10">
        <f t="shared" si="50"/>
        <v>0.25</v>
      </c>
      <c r="J280" s="10">
        <f t="shared" si="50"/>
        <v>0.32</v>
      </c>
      <c r="K280" s="10">
        <f t="shared" si="50"/>
        <v>0.47</v>
      </c>
      <c r="L280" s="10">
        <f t="shared" si="50"/>
        <v>0.31</v>
      </c>
      <c r="M280" s="10">
        <f t="shared" si="50"/>
        <v>0.14000000000000001</v>
      </c>
      <c r="N280" s="10">
        <f t="shared" si="50"/>
        <v>0.4</v>
      </c>
      <c r="O280" s="10">
        <f t="shared" si="50"/>
        <v>0.26</v>
      </c>
      <c r="P280" s="10">
        <f t="shared" si="50"/>
        <v>0.43</v>
      </c>
    </row>
    <row r="281" spans="4:16" x14ac:dyDescent="0.25">
      <c r="D281" s="10" t="s">
        <v>330</v>
      </c>
      <c r="E281" s="10" t="str">
        <f t="shared" si="50"/>
        <v>Low</v>
      </c>
      <c r="F281" s="10" t="str">
        <f t="shared" si="50"/>
        <v>Autumn</v>
      </c>
      <c r="G281" s="10">
        <f t="shared" si="50"/>
        <v>0.4</v>
      </c>
      <c r="H281" s="10">
        <f t="shared" si="50"/>
        <v>0.13</v>
      </c>
      <c r="I281" s="10">
        <f t="shared" si="50"/>
        <v>0.12</v>
      </c>
      <c r="J281" s="10">
        <f t="shared" si="50"/>
        <v>0.27</v>
      </c>
      <c r="K281" s="10">
        <f t="shared" si="50"/>
        <v>0.3</v>
      </c>
      <c r="L281" s="10">
        <f t="shared" si="50"/>
        <v>0.08</v>
      </c>
      <c r="M281" s="10">
        <f t="shared" si="50"/>
        <v>0.13</v>
      </c>
      <c r="N281" s="10">
        <f t="shared" si="50"/>
        <v>0.24</v>
      </c>
      <c r="O281" s="10">
        <f t="shared" si="50"/>
        <v>0.15</v>
      </c>
      <c r="P281" s="10">
        <f t="shared" si="50"/>
        <v>0.21</v>
      </c>
    </row>
    <row r="282" spans="4:16" x14ac:dyDescent="0.25">
      <c r="D282" s="10" t="s">
        <v>330</v>
      </c>
      <c r="E282" s="10" t="str">
        <f t="shared" si="50"/>
        <v>Low</v>
      </c>
      <c r="F282" s="10" t="str">
        <f t="shared" si="50"/>
        <v>Winter</v>
      </c>
      <c r="G282" s="10">
        <f t="shared" si="50"/>
        <v>0.08</v>
      </c>
      <c r="H282" s="10">
        <f t="shared" si="50"/>
        <v>0.04</v>
      </c>
      <c r="I282" s="10">
        <f t="shared" si="50"/>
        <v>0.06</v>
      </c>
      <c r="J282" s="10">
        <f t="shared" si="50"/>
        <v>0.18</v>
      </c>
      <c r="K282" s="10">
        <f t="shared" si="50"/>
        <v>0.11</v>
      </c>
      <c r="L282" s="10">
        <f t="shared" si="50"/>
        <v>-7.0000000000000007E-2</v>
      </c>
      <c r="M282" s="10">
        <f t="shared" si="50"/>
        <v>0.13</v>
      </c>
      <c r="N282" s="10">
        <f t="shared" si="50"/>
        <v>0.16</v>
      </c>
      <c r="O282" s="10">
        <f t="shared" si="50"/>
        <v>0.4</v>
      </c>
      <c r="P282" s="10">
        <f t="shared" si="50"/>
        <v>0.33</v>
      </c>
    </row>
    <row r="283" spans="4:16" x14ac:dyDescent="0.25">
      <c r="M283" s="14"/>
    </row>
    <row r="284" spans="4:16" x14ac:dyDescent="0.25">
      <c r="M284" s="14"/>
    </row>
    <row r="285" spans="4:16" ht="23.25" x14ac:dyDescent="0.25">
      <c r="D285" s="9" t="str" cm="1">
        <f t="array" ref="D285">SourceData_PastureBeef.SourceData_PastureBeef_DryMatterDigestibility_Title()</f>
        <v>Beef pasture cattle - Dry matter digestibility of feed intake (fraction) (DMDj)</v>
      </c>
      <c r="M285" s="14"/>
    </row>
    <row r="286" spans="4:16" x14ac:dyDescent="0.25">
      <c r="D286" s="11" t="str" cm="1">
        <f t="array" ref="D286">SourceData_PastureBeef.SourceData_PastureBeef_DryMatterDigestibility_Source()</f>
        <v>VEERG 2026: Table A.1.2.5</v>
      </c>
      <c r="M286" s="14"/>
    </row>
    <row r="287" spans="4:16" x14ac:dyDescent="0.25">
      <c r="D287" s="8" t="str" cm="1">
        <f t="array" ref="D287">SourceData_PastureBeef.SourceData_PastureBeef_DryMatterDigestibility_Variable()</f>
        <v>DMDj</v>
      </c>
      <c r="M287" s="14"/>
    </row>
    <row r="288" spans="4:16" x14ac:dyDescent="0.25">
      <c r="D288" s="13" t="str" cm="1">
        <f t="array" ref="D288">SourceData_PastureBeef.SourceData_PastureBeef_DryMatterDigestibility_Unit()</f>
        <v>fraction</v>
      </c>
      <c r="M288" s="14"/>
    </row>
    <row r="289" spans="4:13" x14ac:dyDescent="0.25">
      <c r="D289" s="12" t="str" cm="1">
        <f t="array" ref="D289">SourceData_PastureBeef.SourceData_PastureBeef_DryMatterDigestibility_Variation()</f>
        <v>VARIATION ON SOURCE: Split ACT and NSW into separate rows. Duplicated QLD and NT rows with regions from table A.1.2.2 to aid lookup</v>
      </c>
      <c r="M289" s="14"/>
    </row>
    <row r="290" spans="4:13" x14ac:dyDescent="0.25">
      <c r="D290" s="10" t="s">
        <v>273</v>
      </c>
      <c r="E290" s="10" t="s">
        <v>378</v>
      </c>
      <c r="F290" s="10" t="s">
        <v>494</v>
      </c>
      <c r="G290" s="10" t="s">
        <v>486</v>
      </c>
      <c r="H290" s="10" t="s">
        <v>487</v>
      </c>
      <c r="I290" s="10" t="s">
        <v>488</v>
      </c>
      <c r="M290" s="14"/>
    </row>
    <row r="291" spans="4:13" x14ac:dyDescent="0.25">
      <c r="D291" s="10" t="str" cm="1">
        <f t="array" ref="D291">Common_InputFunctions.Utility_DisplayArrayInTable(SourceData_PastureBeef.SourceData_PastureBeef_DryMatterDigestibility_Data(), Table_SourceData_PastureBeef_DryMatterDigestibility[[#Headers],[State]], 0)</f>
        <v>ACT</v>
      </c>
      <c r="E291" s="10" t="str" cm="1">
        <f t="array" ref="E291">Common_InputFunctions.Utility_DisplayArrayInTable(SourceData_PastureBeef.SourceData_PastureBeef_DryMatterDigestibility_Data(), Table_SourceData_PastureBeef_DryMatterDigestibility[[#Headers],[State]], 0)</f>
        <v>n/a</v>
      </c>
      <c r="F291" s="10" cm="1">
        <f t="array" ref="F291">Common_InputFunctions.Utility_DisplayArrayInTable(SourceData_PastureBeef.SourceData_PastureBeef_DryMatterDigestibility_Data(), Table_SourceData_PastureBeef_DryMatterDigestibility[[#Headers],[State]], 0)</f>
        <v>0.55000000000000004</v>
      </c>
      <c r="G291" s="10" cm="1">
        <f t="array" ref="G291">Common_InputFunctions.Utility_DisplayArrayInTable(SourceData_PastureBeef.SourceData_PastureBeef_DryMatterDigestibility_Data(), Table_SourceData_PastureBeef_DryMatterDigestibility[[#Headers],[State]], 0)</f>
        <v>0.65</v>
      </c>
      <c r="H291" s="10" cm="1">
        <f t="array" ref="H291">Common_InputFunctions.Utility_DisplayArrayInTable(SourceData_PastureBeef.SourceData_PastureBeef_DryMatterDigestibility_Data(), Table_SourceData_PastureBeef_DryMatterDigestibility[[#Headers],[State]], 0)</f>
        <v>0.6</v>
      </c>
      <c r="I291" s="10" cm="1">
        <f t="array" ref="I291">Common_InputFunctions.Utility_DisplayArrayInTable(SourceData_PastureBeef.SourceData_PastureBeef_DryMatterDigestibility_Data(), Table_SourceData_PastureBeef_DryMatterDigestibility[[#Headers],[State]], 0)</f>
        <v>0.5</v>
      </c>
      <c r="M291" s="14"/>
    </row>
    <row r="292" spans="4:13" x14ac:dyDescent="0.25">
      <c r="D292" s="8" t="str" cm="1">
        <f t="array" ref="D292">Common_InputFunctions.Utility_DisplayArrayInTable(SourceData_PastureBeef.SourceData_PastureBeef_DryMatterDigestibility_Data(), Table_SourceData_PastureBeef_DryMatterDigestibility[[#Headers],[State]], 0)</f>
        <v>NSW</v>
      </c>
      <c r="E292" s="10" t="str" cm="1">
        <f t="array" ref="E292">Common_InputFunctions.Utility_DisplayArrayInTable(SourceData_PastureBeef.SourceData_PastureBeef_DryMatterDigestibility_Data(), Table_SourceData_PastureBeef_DryMatterDigestibility[[#Headers],[State]], 0)</f>
        <v>n/a</v>
      </c>
      <c r="F292" s="10" cm="1">
        <f t="array" ref="F292">Common_InputFunctions.Utility_DisplayArrayInTable(SourceData_PastureBeef.SourceData_PastureBeef_DryMatterDigestibility_Data(), Table_SourceData_PastureBeef_DryMatterDigestibility[[#Headers],[State]], 0)</f>
        <v>0.55000000000000004</v>
      </c>
      <c r="G292" s="10" cm="1">
        <f t="array" ref="G292">Common_InputFunctions.Utility_DisplayArrayInTable(SourceData_PastureBeef.SourceData_PastureBeef_DryMatterDigestibility_Data(), Table_SourceData_PastureBeef_DryMatterDigestibility[[#Headers],[State]], 0)</f>
        <v>0.65</v>
      </c>
      <c r="H292" s="10" cm="1">
        <f t="array" ref="H292">Common_InputFunctions.Utility_DisplayArrayInTable(SourceData_PastureBeef.SourceData_PastureBeef_DryMatterDigestibility_Data(), Table_SourceData_PastureBeef_DryMatterDigestibility[[#Headers],[State]], 0)</f>
        <v>0.6</v>
      </c>
      <c r="I292" s="10" cm="1">
        <f t="array" ref="I292">Common_InputFunctions.Utility_DisplayArrayInTable(SourceData_PastureBeef.SourceData_PastureBeef_DryMatterDigestibility_Data(), Table_SourceData_PastureBeef_DryMatterDigestibility[[#Headers],[State]], 0)</f>
        <v>0.5</v>
      </c>
      <c r="M292" s="14"/>
    </row>
    <row r="293" spans="4:13" x14ac:dyDescent="0.25">
      <c r="D293" s="8" t="str" cm="1">
        <f t="array" ref="D293">Common_InputFunctions.Utility_DisplayArrayInTable(SourceData_PastureBeef.SourceData_PastureBeef_DryMatterDigestibility_Data(), Table_SourceData_PastureBeef_DryMatterDigestibility[[#Headers],[State]], 0)</f>
        <v>NT</v>
      </c>
      <c r="E293" s="10" t="str" cm="1">
        <f t="array" ref="E293">Common_InputFunctions.Utility_DisplayArrayInTable(SourceData_PastureBeef.SourceData_PastureBeef_DryMatterDigestibility_Data(), Table_SourceData_PastureBeef_DryMatterDigestibility[[#Headers],[State]], 0)</f>
        <v>Alice Springs</v>
      </c>
      <c r="F293" s="10" cm="1">
        <f t="array" ref="F293">Common_InputFunctions.Utility_DisplayArrayInTable(SourceData_PastureBeef.SourceData_PastureBeef_DryMatterDigestibility_Data(), Table_SourceData_PastureBeef_DryMatterDigestibility[[#Headers],[State]], 0)</f>
        <v>0.55000000000000004</v>
      </c>
      <c r="G293" s="10" cm="1">
        <f t="array" ref="G293">Common_InputFunctions.Utility_DisplayArrayInTable(SourceData_PastureBeef.SourceData_PastureBeef_DryMatterDigestibility_Data(), Table_SourceData_PastureBeef_DryMatterDigestibility[[#Headers],[State]], 0)</f>
        <v>0.61</v>
      </c>
      <c r="H293" s="10" cm="1">
        <f t="array" ref="H293">Common_InputFunctions.Utility_DisplayArrayInTable(SourceData_PastureBeef.SourceData_PastureBeef_DryMatterDigestibility_Data(), Table_SourceData_PastureBeef_DryMatterDigestibility[[#Headers],[State]], 0)</f>
        <v>0.56999999999999995</v>
      </c>
      <c r="I293" s="10" cm="1">
        <f t="array" ref="I293">Common_InputFunctions.Utility_DisplayArrayInTable(SourceData_PastureBeef.SourceData_PastureBeef_DryMatterDigestibility_Data(), Table_SourceData_PastureBeef_DryMatterDigestibility[[#Headers],[State]], 0)</f>
        <v>0.54</v>
      </c>
      <c r="M293" s="14"/>
    </row>
    <row r="294" spans="4:13" x14ac:dyDescent="0.25">
      <c r="D294" s="8" t="str" cm="1">
        <f t="array" ref="D294">Common_InputFunctions.Utility_DisplayArrayInTable(SourceData_PastureBeef.SourceData_PastureBeef_DryMatterDigestibility_Data(), Table_SourceData_PastureBeef_DryMatterDigestibility[[#Headers],[State]], 0)</f>
        <v>NT</v>
      </c>
      <c r="E294" s="10" t="str" cm="1">
        <f t="array" ref="E294">Common_InputFunctions.Utility_DisplayArrayInTable(SourceData_PastureBeef.SourceData_PastureBeef_DryMatterDigestibility_Data(), Table_SourceData_PastureBeef_DryMatterDigestibility[[#Headers],[State]], 0)</f>
        <v>Barkly</v>
      </c>
      <c r="F294" s="10" cm="1">
        <f t="array" ref="F294">Common_InputFunctions.Utility_DisplayArrayInTable(SourceData_PastureBeef.SourceData_PastureBeef_DryMatterDigestibility_Data(), Table_SourceData_PastureBeef_DryMatterDigestibility[[#Headers],[State]], 0)</f>
        <v>0.55000000000000004</v>
      </c>
      <c r="G294" s="10" cm="1">
        <f t="array" ref="G294">Common_InputFunctions.Utility_DisplayArrayInTable(SourceData_PastureBeef.SourceData_PastureBeef_DryMatterDigestibility_Data(), Table_SourceData_PastureBeef_DryMatterDigestibility[[#Headers],[State]], 0)</f>
        <v>0.61</v>
      </c>
      <c r="H294" s="10" cm="1">
        <f t="array" ref="H294">Common_InputFunctions.Utility_DisplayArrayInTable(SourceData_PastureBeef.SourceData_PastureBeef_DryMatterDigestibility_Data(), Table_SourceData_PastureBeef_DryMatterDigestibility[[#Headers],[State]], 0)</f>
        <v>0.56999999999999995</v>
      </c>
      <c r="I294" s="10" cm="1">
        <f t="array" ref="I294">Common_InputFunctions.Utility_DisplayArrayInTable(SourceData_PastureBeef.SourceData_PastureBeef_DryMatterDigestibility_Data(), Table_SourceData_PastureBeef_DryMatterDigestibility[[#Headers],[State]], 0)</f>
        <v>0.54</v>
      </c>
      <c r="M294" s="14"/>
    </row>
    <row r="295" spans="4:13" x14ac:dyDescent="0.25">
      <c r="D295" s="8" t="str" cm="1">
        <f t="array" ref="D295">Common_InputFunctions.Utility_DisplayArrayInTable(SourceData_PastureBeef.SourceData_PastureBeef_DryMatterDigestibility_Data(), Table_SourceData_PastureBeef_DryMatterDigestibility[[#Headers],[State]], 0)</f>
        <v>NT</v>
      </c>
      <c r="E295" s="10" t="str" cm="1">
        <f t="array" ref="E295">Common_InputFunctions.Utility_DisplayArrayInTable(SourceData_PastureBeef.SourceData_PastureBeef_DryMatterDigestibility_Data(), Table_SourceData_PastureBeef_DryMatterDigestibility[[#Headers],[State]], 0)</f>
        <v>Northern</v>
      </c>
      <c r="F295" s="10" cm="1">
        <f t="array" ref="F295">Common_InputFunctions.Utility_DisplayArrayInTable(SourceData_PastureBeef.SourceData_PastureBeef_DryMatterDigestibility_Data(), Table_SourceData_PastureBeef_DryMatterDigestibility[[#Headers],[State]], 0)</f>
        <v>0.55000000000000004</v>
      </c>
      <c r="G295" s="10" cm="1">
        <f t="array" ref="G295">Common_InputFunctions.Utility_DisplayArrayInTable(SourceData_PastureBeef.SourceData_PastureBeef_DryMatterDigestibility_Data(), Table_SourceData_PastureBeef_DryMatterDigestibility[[#Headers],[State]], 0)</f>
        <v>0.61</v>
      </c>
      <c r="H295" s="10" cm="1">
        <f t="array" ref="H295">Common_InputFunctions.Utility_DisplayArrayInTable(SourceData_PastureBeef.SourceData_PastureBeef_DryMatterDigestibility_Data(), Table_SourceData_PastureBeef_DryMatterDigestibility[[#Headers],[State]], 0)</f>
        <v>0.56999999999999995</v>
      </c>
      <c r="I295" s="10" cm="1">
        <f t="array" ref="I295">Common_InputFunctions.Utility_DisplayArrayInTable(SourceData_PastureBeef.SourceData_PastureBeef_DryMatterDigestibility_Data(), Table_SourceData_PastureBeef_DryMatterDigestibility[[#Headers],[State]], 0)</f>
        <v>0.54</v>
      </c>
      <c r="M295" s="14"/>
    </row>
    <row r="296" spans="4:13" x14ac:dyDescent="0.25">
      <c r="D296" s="8" t="str" cm="1">
        <f t="array" ref="D296">Common_InputFunctions.Utility_DisplayArrayInTable(SourceData_PastureBeef.SourceData_PastureBeef_DryMatterDigestibility_Data(), Table_SourceData_PastureBeef_DryMatterDigestibility[[#Headers],[State]], 0)</f>
        <v>QLD</v>
      </c>
      <c r="E296" s="10" t="str" cm="1">
        <f t="array" ref="E296">Common_InputFunctions.Utility_DisplayArrayInTable(SourceData_PastureBeef.SourceData_PastureBeef_DryMatterDigestibility_Data(), Table_SourceData_PastureBeef_DryMatterDigestibility[[#Headers],[State]], 0)</f>
        <v>High</v>
      </c>
      <c r="F296" s="10" cm="1">
        <f t="array" ref="F296">Common_InputFunctions.Utility_DisplayArrayInTable(SourceData_PastureBeef.SourceData_PastureBeef_DryMatterDigestibility_Data(), Table_SourceData_PastureBeef_DryMatterDigestibility[[#Headers],[State]], 0)</f>
        <v>0.53</v>
      </c>
      <c r="G296" s="10" cm="1">
        <f t="array" ref="G296">Common_InputFunctions.Utility_DisplayArrayInTable(SourceData_PastureBeef.SourceData_PastureBeef_DryMatterDigestibility_Data(), Table_SourceData_PastureBeef_DryMatterDigestibility[[#Headers],[State]], 0)</f>
        <v>0.56999999999999995</v>
      </c>
      <c r="H296" s="10" cm="1">
        <f t="array" ref="H296">Common_InputFunctions.Utility_DisplayArrayInTable(SourceData_PastureBeef.SourceData_PastureBeef_DryMatterDigestibility_Data(), Table_SourceData_PastureBeef_DryMatterDigestibility[[#Headers],[State]], 0)</f>
        <v>0.55000000000000004</v>
      </c>
      <c r="I296" s="10" cm="1">
        <f t="array" ref="I296">Common_InputFunctions.Utility_DisplayArrayInTable(SourceData_PastureBeef.SourceData_PastureBeef_DryMatterDigestibility_Data(), Table_SourceData_PastureBeef_DryMatterDigestibility[[#Headers],[State]], 0)</f>
        <v>0.51</v>
      </c>
      <c r="M296" s="14"/>
    </row>
    <row r="297" spans="4:13" x14ac:dyDescent="0.25">
      <c r="D297" s="8" t="str" cm="1">
        <f t="array" ref="D297">Common_InputFunctions.Utility_DisplayArrayInTable(SourceData_PastureBeef.SourceData_PastureBeef_DryMatterDigestibility_Data(), Table_SourceData_PastureBeef_DryMatterDigestibility[[#Headers],[State]], 0)</f>
        <v>QLD</v>
      </c>
      <c r="E297" s="10" t="str" cm="1">
        <f t="array" ref="E297">Common_InputFunctions.Utility_DisplayArrayInTable(SourceData_PastureBeef.SourceData_PastureBeef_DryMatterDigestibility_Data(), Table_SourceData_PastureBeef_DryMatterDigestibility[[#Headers],[State]], 0)</f>
        <v>Moderate/High</v>
      </c>
      <c r="F297" s="10" cm="1">
        <f t="array" ref="F297">Common_InputFunctions.Utility_DisplayArrayInTable(SourceData_PastureBeef.SourceData_PastureBeef_DryMatterDigestibility_Data(), Table_SourceData_PastureBeef_DryMatterDigestibility[[#Headers],[State]], 0)</f>
        <v>0.53</v>
      </c>
      <c r="G297" s="10" cm="1">
        <f t="array" ref="G297">Common_InputFunctions.Utility_DisplayArrayInTable(SourceData_PastureBeef.SourceData_PastureBeef_DryMatterDigestibility_Data(), Table_SourceData_PastureBeef_DryMatterDigestibility[[#Headers],[State]], 0)</f>
        <v>0.56999999999999995</v>
      </c>
      <c r="H297" s="10" cm="1">
        <f t="array" ref="H297">Common_InputFunctions.Utility_DisplayArrayInTable(SourceData_PastureBeef.SourceData_PastureBeef_DryMatterDigestibility_Data(), Table_SourceData_PastureBeef_DryMatterDigestibility[[#Headers],[State]], 0)</f>
        <v>0.55000000000000004</v>
      </c>
      <c r="I297" s="10" cm="1">
        <f t="array" ref="I297">Common_InputFunctions.Utility_DisplayArrayInTable(SourceData_PastureBeef.SourceData_PastureBeef_DryMatterDigestibility_Data(), Table_SourceData_PastureBeef_DryMatterDigestibility[[#Headers],[State]], 0)</f>
        <v>0.51</v>
      </c>
      <c r="M297" s="14"/>
    </row>
    <row r="298" spans="4:13" x14ac:dyDescent="0.25">
      <c r="D298" s="8" t="str" cm="1">
        <f t="array" ref="D298">Common_InputFunctions.Utility_DisplayArrayInTable(SourceData_PastureBeef.SourceData_PastureBeef_DryMatterDigestibility_Data(), Table_SourceData_PastureBeef_DryMatterDigestibility[[#Headers],[State]], 0)</f>
        <v>QLD</v>
      </c>
      <c r="E298" s="10" t="str" cm="1">
        <f t="array" ref="E298">Common_InputFunctions.Utility_DisplayArrayInTable(SourceData_PastureBeef.SourceData_PastureBeef_DryMatterDigestibility_Data(), Table_SourceData_PastureBeef_DryMatterDigestibility[[#Headers],[State]], 0)</f>
        <v>Moderate/Low</v>
      </c>
      <c r="F298" s="10" cm="1">
        <f t="array" ref="F298">Common_InputFunctions.Utility_DisplayArrayInTable(SourceData_PastureBeef.SourceData_PastureBeef_DryMatterDigestibility_Data(), Table_SourceData_PastureBeef_DryMatterDigestibility[[#Headers],[State]], 0)</f>
        <v>0.53</v>
      </c>
      <c r="G298" s="10" cm="1">
        <f t="array" ref="G298">Common_InputFunctions.Utility_DisplayArrayInTable(SourceData_PastureBeef.SourceData_PastureBeef_DryMatterDigestibility_Data(), Table_SourceData_PastureBeef_DryMatterDigestibility[[#Headers],[State]], 0)</f>
        <v>0.56999999999999995</v>
      </c>
      <c r="H298" s="10" cm="1">
        <f t="array" ref="H298">Common_InputFunctions.Utility_DisplayArrayInTable(SourceData_PastureBeef.SourceData_PastureBeef_DryMatterDigestibility_Data(), Table_SourceData_PastureBeef_DryMatterDigestibility[[#Headers],[State]], 0)</f>
        <v>0.55000000000000004</v>
      </c>
      <c r="I298" s="10" cm="1">
        <f t="array" ref="I298">Common_InputFunctions.Utility_DisplayArrayInTable(SourceData_PastureBeef.SourceData_PastureBeef_DryMatterDigestibility_Data(), Table_SourceData_PastureBeef_DryMatterDigestibility[[#Headers],[State]], 0)</f>
        <v>0.51</v>
      </c>
      <c r="M298" s="14"/>
    </row>
    <row r="299" spans="4:13" x14ac:dyDescent="0.25">
      <c r="D299" s="8" t="str" cm="1">
        <f t="array" ref="D299">Common_InputFunctions.Utility_DisplayArrayInTable(SourceData_PastureBeef.SourceData_PastureBeef_DryMatterDigestibility_Data(), Table_SourceData_PastureBeef_DryMatterDigestibility[[#Headers],[State]], 0)</f>
        <v>QLD</v>
      </c>
      <c r="E299" s="10" t="str" cm="1">
        <f t="array" ref="E299">Common_InputFunctions.Utility_DisplayArrayInTable(SourceData_PastureBeef.SourceData_PastureBeef_DryMatterDigestibility_Data(), Table_SourceData_PastureBeef_DryMatterDigestibility[[#Headers],[State]], 0)</f>
        <v>Low</v>
      </c>
      <c r="F299" s="10" cm="1">
        <f t="array" ref="F299">Common_InputFunctions.Utility_DisplayArrayInTable(SourceData_PastureBeef.SourceData_PastureBeef_DryMatterDigestibility_Data(), Table_SourceData_PastureBeef_DryMatterDigestibility[[#Headers],[State]], 0)</f>
        <v>0.53</v>
      </c>
      <c r="G299" s="10" cm="1">
        <f t="array" ref="G299">Common_InputFunctions.Utility_DisplayArrayInTable(SourceData_PastureBeef.SourceData_PastureBeef_DryMatterDigestibility_Data(), Table_SourceData_PastureBeef_DryMatterDigestibility[[#Headers],[State]], 0)</f>
        <v>0.56999999999999995</v>
      </c>
      <c r="H299" s="10" cm="1">
        <f t="array" ref="H299">Common_InputFunctions.Utility_DisplayArrayInTable(SourceData_PastureBeef.SourceData_PastureBeef_DryMatterDigestibility_Data(), Table_SourceData_PastureBeef_DryMatterDigestibility[[#Headers],[State]], 0)</f>
        <v>0.55000000000000004</v>
      </c>
      <c r="I299" s="10" cm="1">
        <f t="array" ref="I299">Common_InputFunctions.Utility_DisplayArrayInTable(SourceData_PastureBeef.SourceData_PastureBeef_DryMatterDigestibility_Data(), Table_SourceData_PastureBeef_DryMatterDigestibility[[#Headers],[State]], 0)</f>
        <v>0.51</v>
      </c>
      <c r="M299" s="14"/>
    </row>
    <row r="300" spans="4:13" x14ac:dyDescent="0.25">
      <c r="D300" s="8" t="str" cm="1">
        <f t="array" ref="D300">Common_InputFunctions.Utility_DisplayArrayInTable(SourceData_PastureBeef.SourceData_PastureBeef_DryMatterDigestibility_Data(), Table_SourceData_PastureBeef_DryMatterDigestibility[[#Headers],[State]], 0)</f>
        <v>SA</v>
      </c>
      <c r="E300" s="10" t="str" cm="1">
        <f t="array" ref="E300">Common_InputFunctions.Utility_DisplayArrayInTable(SourceData_PastureBeef.SourceData_PastureBeef_DryMatterDigestibility_Data(), Table_SourceData_PastureBeef_DryMatterDigestibility[[#Headers],[State]], 0)</f>
        <v>n/a</v>
      </c>
      <c r="F300" s="10" cm="1">
        <f t="array" ref="F300">Common_InputFunctions.Utility_DisplayArrayInTable(SourceData_PastureBeef.SourceData_PastureBeef_DryMatterDigestibility_Data(), Table_SourceData_PastureBeef_DryMatterDigestibility[[#Headers],[State]], 0)</f>
        <v>0.7</v>
      </c>
      <c r="G300" s="10" cm="1">
        <f t="array" ref="G300">Common_InputFunctions.Utility_DisplayArrayInTable(SourceData_PastureBeef.SourceData_PastureBeef_DryMatterDigestibility_Data(), Table_SourceData_PastureBeef_DryMatterDigestibility[[#Headers],[State]], 0)</f>
        <v>0.55000000000000004</v>
      </c>
      <c r="H300" s="10" cm="1">
        <f t="array" ref="H300">Common_InputFunctions.Utility_DisplayArrayInTable(SourceData_PastureBeef.SourceData_PastureBeef_DryMatterDigestibility_Data(), Table_SourceData_PastureBeef_DryMatterDigestibility[[#Headers],[State]], 0)</f>
        <v>0.55000000000000004</v>
      </c>
      <c r="I300" s="10" cm="1">
        <f t="array" ref="I300">Common_InputFunctions.Utility_DisplayArrayInTable(SourceData_PastureBeef.SourceData_PastureBeef_DryMatterDigestibility_Data(), Table_SourceData_PastureBeef_DryMatterDigestibility[[#Headers],[State]], 0)</f>
        <v>0.75</v>
      </c>
      <c r="M300" s="14"/>
    </row>
    <row r="301" spans="4:13" x14ac:dyDescent="0.25">
      <c r="D301" s="8" t="str" cm="1">
        <f t="array" ref="D301">Common_InputFunctions.Utility_DisplayArrayInTable(SourceData_PastureBeef.SourceData_PastureBeef_DryMatterDigestibility_Data(), Table_SourceData_PastureBeef_DryMatterDigestibility[[#Headers],[State]], 0)</f>
        <v>TAS</v>
      </c>
      <c r="E301" s="10" t="str" cm="1">
        <f t="array" ref="E301">Common_InputFunctions.Utility_DisplayArrayInTable(SourceData_PastureBeef.SourceData_PastureBeef_DryMatterDigestibility_Data(), Table_SourceData_PastureBeef_DryMatterDigestibility[[#Headers],[State]], 0)</f>
        <v>n/a</v>
      </c>
      <c r="F301" s="10" cm="1">
        <f t="array" ref="F301">Common_InputFunctions.Utility_DisplayArrayInTable(SourceData_PastureBeef.SourceData_PastureBeef_DryMatterDigestibility_Data(), Table_SourceData_PastureBeef_DryMatterDigestibility[[#Headers],[State]], 0)</f>
        <v>0.75</v>
      </c>
      <c r="G301" s="10" cm="1">
        <f t="array" ref="G301">Common_InputFunctions.Utility_DisplayArrayInTable(SourceData_PastureBeef.SourceData_PastureBeef_DryMatterDigestibility_Data(), Table_SourceData_PastureBeef_DryMatterDigestibility[[#Headers],[State]], 0)</f>
        <v>0.6</v>
      </c>
      <c r="H301" s="10" cm="1">
        <f t="array" ref="H301">Common_InputFunctions.Utility_DisplayArrayInTable(SourceData_PastureBeef.SourceData_PastureBeef_DryMatterDigestibility_Data(), Table_SourceData_PastureBeef_DryMatterDigestibility[[#Headers],[State]], 0)</f>
        <v>0.7</v>
      </c>
      <c r="I301" s="10" cm="1">
        <f t="array" ref="I301">Common_InputFunctions.Utility_DisplayArrayInTable(SourceData_PastureBeef.SourceData_PastureBeef_DryMatterDigestibility_Data(), Table_SourceData_PastureBeef_DryMatterDigestibility[[#Headers],[State]], 0)</f>
        <v>0.75</v>
      </c>
      <c r="M301" s="14"/>
    </row>
    <row r="302" spans="4:13" x14ac:dyDescent="0.25">
      <c r="D302" s="8" t="str" cm="1">
        <f t="array" ref="D302">Common_InputFunctions.Utility_DisplayArrayInTable(SourceData_PastureBeef.SourceData_PastureBeef_DryMatterDigestibility_Data(), Table_SourceData_PastureBeef_DryMatterDigestibility[[#Headers],[State]], 0)</f>
        <v>VIC</v>
      </c>
      <c r="E302" s="10" t="str" cm="1">
        <f t="array" ref="E302">Common_InputFunctions.Utility_DisplayArrayInTable(SourceData_PastureBeef.SourceData_PastureBeef_DryMatterDigestibility_Data(), Table_SourceData_PastureBeef_DryMatterDigestibility[[#Headers],[State]], 0)</f>
        <v>n/a</v>
      </c>
      <c r="F302" s="10" cm="1">
        <f t="array" ref="F302">Common_InputFunctions.Utility_DisplayArrayInTable(SourceData_PastureBeef.SourceData_PastureBeef_DryMatterDigestibility_Data(), Table_SourceData_PastureBeef_DryMatterDigestibility[[#Headers],[State]], 0)</f>
        <v>0.8</v>
      </c>
      <c r="G302" s="10" cm="1">
        <f t="array" ref="G302">Common_InputFunctions.Utility_DisplayArrayInTable(SourceData_PastureBeef.SourceData_PastureBeef_DryMatterDigestibility_Data(), Table_SourceData_PastureBeef_DryMatterDigestibility[[#Headers],[State]], 0)</f>
        <v>0.55000000000000004</v>
      </c>
      <c r="H302" s="10" cm="1">
        <f t="array" ref="H302">Common_InputFunctions.Utility_DisplayArrayInTable(SourceData_PastureBeef.SourceData_PastureBeef_DryMatterDigestibility_Data(), Table_SourceData_PastureBeef_DryMatterDigestibility[[#Headers],[State]], 0)</f>
        <v>0.6</v>
      </c>
      <c r="I302" s="10" cm="1">
        <f t="array" ref="I302">Common_InputFunctions.Utility_DisplayArrayInTable(SourceData_PastureBeef.SourceData_PastureBeef_DryMatterDigestibility_Data(), Table_SourceData_PastureBeef_DryMatterDigestibility[[#Headers],[State]], 0)</f>
        <v>0.76</v>
      </c>
      <c r="M302" s="14"/>
    </row>
    <row r="303" spans="4:13" x14ac:dyDescent="0.25">
      <c r="D303" s="8" t="str" cm="1">
        <f t="array" ref="D303">Common_InputFunctions.Utility_DisplayArrayInTable(SourceData_PastureBeef.SourceData_PastureBeef_DryMatterDigestibility_Data(), Table_SourceData_PastureBeef_DryMatterDigestibility[[#Headers],[State]], 0)</f>
        <v>WA</v>
      </c>
      <c r="E303" s="10" t="str" cm="1">
        <f t="array" ref="E303">Common_InputFunctions.Utility_DisplayArrayInTable(SourceData_PastureBeef.SourceData_PastureBeef_DryMatterDigestibility_Data(), Table_SourceData_PastureBeef_DryMatterDigestibility[[#Headers],[State]], 0)</f>
        <v>South West</v>
      </c>
      <c r="F303" s="10" cm="1">
        <f t="array" ref="F303">Common_InputFunctions.Utility_DisplayArrayInTable(SourceData_PastureBeef.SourceData_PastureBeef_DryMatterDigestibility_Data(), Table_SourceData_PastureBeef_DryMatterDigestibility[[#Headers],[State]], 0)</f>
        <v>0.8</v>
      </c>
      <c r="G303" s="10" cm="1">
        <f t="array" ref="G303">Common_InputFunctions.Utility_DisplayArrayInTable(SourceData_PastureBeef.SourceData_PastureBeef_DryMatterDigestibility_Data(), Table_SourceData_PastureBeef_DryMatterDigestibility[[#Headers],[State]], 0)</f>
        <v>0.57999999999999996</v>
      </c>
      <c r="H303" s="10" cm="1">
        <f t="array" ref="H303">Common_InputFunctions.Utility_DisplayArrayInTable(SourceData_PastureBeef.SourceData_PastureBeef_DryMatterDigestibility_Data(), Table_SourceData_PastureBeef_DryMatterDigestibility[[#Headers],[State]], 0)</f>
        <v>0.5</v>
      </c>
      <c r="I303" s="10" cm="1">
        <f t="array" ref="I303">Common_InputFunctions.Utility_DisplayArrayInTable(SourceData_PastureBeef.SourceData_PastureBeef_DryMatterDigestibility_Data(), Table_SourceData_PastureBeef_DryMatterDigestibility[[#Headers],[State]], 0)</f>
        <v>0.75</v>
      </c>
      <c r="M303" s="14"/>
    </row>
    <row r="304" spans="4:13" x14ac:dyDescent="0.25">
      <c r="D304" s="8" t="str" cm="1">
        <f t="array" ref="D304">Common_InputFunctions.Utility_DisplayArrayInTable(SourceData_PastureBeef.SourceData_PastureBeef_DryMatterDigestibility_Data(), Table_SourceData_PastureBeef_DryMatterDigestibility[[#Headers],[State]], 0)</f>
        <v>WA</v>
      </c>
      <c r="E304" s="10" t="str" cm="1">
        <f t="array" ref="E304">Common_InputFunctions.Utility_DisplayArrayInTable(SourceData_PastureBeef.SourceData_PastureBeef_DryMatterDigestibility_Data(), Table_SourceData_PastureBeef_DryMatterDigestibility[[#Headers],[State]], 0)</f>
        <v>Pilbara</v>
      </c>
      <c r="F304" s="10" cm="1">
        <f t="array" ref="F304">Common_InputFunctions.Utility_DisplayArrayInTable(SourceData_PastureBeef.SourceData_PastureBeef_DryMatterDigestibility_Data(), Table_SourceData_PastureBeef_DryMatterDigestibility[[#Headers],[State]], 0)</f>
        <v>0.4</v>
      </c>
      <c r="G304" s="10" cm="1">
        <f t="array" ref="G304">Common_InputFunctions.Utility_DisplayArrayInTable(SourceData_PastureBeef.SourceData_PastureBeef_DryMatterDigestibility_Data(), Table_SourceData_PastureBeef_DryMatterDigestibility[[#Headers],[State]], 0)</f>
        <v>0.65</v>
      </c>
      <c r="H304" s="10" cm="1">
        <f t="array" ref="H304">Common_InputFunctions.Utility_DisplayArrayInTable(SourceData_PastureBeef.SourceData_PastureBeef_DryMatterDigestibility_Data(), Table_SourceData_PastureBeef_DryMatterDigestibility[[#Headers],[State]], 0)</f>
        <v>0.55000000000000004</v>
      </c>
      <c r="I304" s="10" cm="1">
        <f t="array" ref="I304">Common_InputFunctions.Utility_DisplayArrayInTable(SourceData_PastureBeef.SourceData_PastureBeef_DryMatterDigestibility_Data(), Table_SourceData_PastureBeef_DryMatterDigestibility[[#Headers],[State]], 0)</f>
        <v>0.45</v>
      </c>
      <c r="M304" s="14"/>
    </row>
    <row r="305" spans="4:13" x14ac:dyDescent="0.25">
      <c r="D305" s="8" t="str" cm="1">
        <f t="array" ref="D305">Common_InputFunctions.Utility_DisplayArrayInTable(SourceData_PastureBeef.SourceData_PastureBeef_DryMatterDigestibility_Data(), Table_SourceData_PastureBeef_DryMatterDigestibility[[#Headers],[State]], 0)</f>
        <v>WA</v>
      </c>
      <c r="E305" s="10" t="str" cm="1">
        <f t="array" ref="E305">Common_InputFunctions.Utility_DisplayArrayInTable(SourceData_PastureBeef.SourceData_PastureBeef_DryMatterDigestibility_Data(), Table_SourceData_PastureBeef_DryMatterDigestibility[[#Headers],[State]], 0)</f>
        <v>Kimberley</v>
      </c>
      <c r="F305" s="10" cm="1">
        <f t="array" ref="F305">Common_InputFunctions.Utility_DisplayArrayInTable(SourceData_PastureBeef.SourceData_PastureBeef_DryMatterDigestibility_Data(), Table_SourceData_PastureBeef_DryMatterDigestibility[[#Headers],[State]], 0)</f>
        <v>0.4</v>
      </c>
      <c r="G305" s="10" cm="1">
        <f t="array" ref="G305">Common_InputFunctions.Utility_DisplayArrayInTable(SourceData_PastureBeef.SourceData_PastureBeef_DryMatterDigestibility_Data(), Table_SourceData_PastureBeef_DryMatterDigestibility[[#Headers],[State]], 0)</f>
        <v>0.65</v>
      </c>
      <c r="H305" s="10" cm="1">
        <f t="array" ref="H305">Common_InputFunctions.Utility_DisplayArrayInTable(SourceData_PastureBeef.SourceData_PastureBeef_DryMatterDigestibility_Data(), Table_SourceData_PastureBeef_DryMatterDigestibility[[#Headers],[State]], 0)</f>
        <v>0.55000000000000004</v>
      </c>
      <c r="I305" s="10" cm="1">
        <f t="array" ref="I305">Common_InputFunctions.Utility_DisplayArrayInTable(SourceData_PastureBeef.SourceData_PastureBeef_DryMatterDigestibility_Data(), Table_SourceData_PastureBeef_DryMatterDigestibility[[#Headers],[State]], 0)</f>
        <v>0.45</v>
      </c>
      <c r="M305" s="14"/>
    </row>
    <row r="306" spans="4:13" x14ac:dyDescent="0.25">
      <c r="M306" s="14"/>
    </row>
    <row r="307" spans="4:13" x14ac:dyDescent="0.25">
      <c r="M307" s="14"/>
    </row>
    <row r="308" spans="4:13" ht="23.25" x14ac:dyDescent="0.25">
      <c r="D308" s="9" t="str" cm="1">
        <f t="array" ref="D308">SourceData_PastureBeef.SourceData_PastureBeef_CrudeProteinContent_Title()</f>
        <v>Beef pasture cattle - Crude protein content of feed intake (fraction) (CPj)</v>
      </c>
      <c r="M308" s="14"/>
    </row>
    <row r="309" spans="4:13" x14ac:dyDescent="0.25">
      <c r="D309" s="11" t="str" cm="1">
        <f t="array" ref="D309">SourceData_PastureBeef.SourceData_PastureBeef_CrudeProteinContent_Source()</f>
        <v>VEERG 2026: Table A.1.2.6</v>
      </c>
      <c r="M309" s="14"/>
    </row>
    <row r="310" spans="4:13" x14ac:dyDescent="0.25">
      <c r="D310" s="8" t="str" cm="1">
        <f t="array" ref="D310">SourceData_PastureBeef.SourceData_PastureBeef_CrudeProteinContent_Variable()</f>
        <v>CPj</v>
      </c>
      <c r="M310" s="14"/>
    </row>
    <row r="311" spans="4:13" x14ac:dyDescent="0.25">
      <c r="D311" s="13" t="str" cm="1">
        <f t="array" ref="D311">SourceData_PastureBeef.SourceData_PastureBeef_CrudeProteinContent_Unit()</f>
        <v>fraction</v>
      </c>
      <c r="M311" s="14"/>
    </row>
    <row r="312" spans="4:13" x14ac:dyDescent="0.25">
      <c r="D312" s="12" t="str" cm="1">
        <f t="array" ref="D312">SourceData_PastureBeef.SourceData_PastureBeef_CrudeProteinContent_Variation()</f>
        <v>VARIATION ON SOURCE: Split ACT and NSW into separate rows. Duplicated QLD and NT rows with regions from table A.1.2.2 to aid lookup</v>
      </c>
      <c r="M312" s="14"/>
    </row>
    <row r="313" spans="4:13" x14ac:dyDescent="0.25">
      <c r="D313" s="10" t="s">
        <v>273</v>
      </c>
      <c r="E313" s="10" t="s">
        <v>378</v>
      </c>
      <c r="F313" s="10" t="s">
        <v>494</v>
      </c>
      <c r="G313" s="10" t="s">
        <v>486</v>
      </c>
      <c r="H313" s="10" t="s">
        <v>487</v>
      </c>
      <c r="I313" s="10" t="s">
        <v>488</v>
      </c>
      <c r="M313" s="14"/>
    </row>
    <row r="314" spans="4:13" x14ac:dyDescent="0.25">
      <c r="D314" s="10" t="str" cm="1">
        <f t="array" ref="D314">Common_InputFunctions.Utility_DisplayArrayInTable(SourceData_PastureBeef.SourceData_PastureBeef_CrudeProteinContent_Data(), Table_SourceData_PastureBeef_CrudeProtein[[#Headers],[State]], 0)</f>
        <v>ACT</v>
      </c>
      <c r="E314" s="10" t="str" cm="1">
        <f t="array" ref="E314">Common_InputFunctions.Utility_DisplayArrayInTable(SourceData_PastureBeef.SourceData_PastureBeef_CrudeProteinContent_Data(), Table_SourceData_PastureBeef_CrudeProtein[[#Headers],[State]], 0)</f>
        <v>n/a</v>
      </c>
      <c r="F314" s="10" cm="1">
        <f t="array" ref="F314">Common_InputFunctions.Utility_DisplayArrayInTable(SourceData_PastureBeef.SourceData_PastureBeef_CrudeProteinContent_Data(), Table_SourceData_PastureBeef_CrudeProtein[[#Headers],[State]], 0)</f>
        <v>7.0000000000000007E-2</v>
      </c>
      <c r="G314" s="10" cm="1">
        <f t="array" ref="G314">Common_InputFunctions.Utility_DisplayArrayInTable(SourceData_PastureBeef.SourceData_PastureBeef_CrudeProteinContent_Data(), Table_SourceData_PastureBeef_CrudeProtein[[#Headers],[State]], 0)</f>
        <v>0.13</v>
      </c>
      <c r="H314" s="10" cm="1">
        <f t="array" ref="H314">Common_InputFunctions.Utility_DisplayArrayInTable(SourceData_PastureBeef.SourceData_PastureBeef_CrudeProteinContent_Data(), Table_SourceData_PastureBeef_CrudeProtein[[#Headers],[State]], 0)</f>
        <v>0.1</v>
      </c>
      <c r="I314" s="10" cm="1">
        <f t="array" ref="I314">Common_InputFunctions.Utility_DisplayArrayInTable(SourceData_PastureBeef.SourceData_PastureBeef_CrudeProteinContent_Data(), Table_SourceData_PastureBeef_CrudeProtein[[#Headers],[State]], 0)</f>
        <v>0.06</v>
      </c>
      <c r="M314" s="14"/>
    </row>
    <row r="315" spans="4:13" x14ac:dyDescent="0.25">
      <c r="D315" s="10" t="str" cm="1">
        <f t="array" ref="D315">Common_InputFunctions.Utility_DisplayArrayInTable(SourceData_PastureBeef.SourceData_PastureBeef_CrudeProteinContent_Data(), Table_SourceData_PastureBeef_CrudeProtein[[#Headers],[State]], 0)</f>
        <v>NSW</v>
      </c>
      <c r="E315" s="10" t="str" cm="1">
        <f t="array" ref="E315">Common_InputFunctions.Utility_DisplayArrayInTable(SourceData_PastureBeef.SourceData_PastureBeef_CrudeProteinContent_Data(), Table_SourceData_PastureBeef_CrudeProtein[[#Headers],[State]], 0)</f>
        <v>n/a</v>
      </c>
      <c r="F315" s="10" cm="1">
        <f t="array" ref="F315">Common_InputFunctions.Utility_DisplayArrayInTable(SourceData_PastureBeef.SourceData_PastureBeef_CrudeProteinContent_Data(), Table_SourceData_PastureBeef_CrudeProtein[[#Headers],[State]], 0)</f>
        <v>7.0000000000000007E-2</v>
      </c>
      <c r="G315" s="10" cm="1">
        <f t="array" ref="G315">Common_InputFunctions.Utility_DisplayArrayInTable(SourceData_PastureBeef.SourceData_PastureBeef_CrudeProteinContent_Data(), Table_SourceData_PastureBeef_CrudeProtein[[#Headers],[State]], 0)</f>
        <v>0.13</v>
      </c>
      <c r="H315" s="10" cm="1">
        <f t="array" ref="H315">Common_InputFunctions.Utility_DisplayArrayInTable(SourceData_PastureBeef.SourceData_PastureBeef_CrudeProteinContent_Data(), Table_SourceData_PastureBeef_CrudeProtein[[#Headers],[State]], 0)</f>
        <v>0.1</v>
      </c>
      <c r="I315" s="10" cm="1">
        <f t="array" ref="I315">Common_InputFunctions.Utility_DisplayArrayInTable(SourceData_PastureBeef.SourceData_PastureBeef_CrudeProteinContent_Data(), Table_SourceData_PastureBeef_CrudeProtein[[#Headers],[State]], 0)</f>
        <v>0.06</v>
      </c>
      <c r="M315" s="14"/>
    </row>
    <row r="316" spans="4:13" x14ac:dyDescent="0.25">
      <c r="D316" s="10" t="str" cm="1">
        <f t="array" ref="D316">Common_InputFunctions.Utility_DisplayArrayInTable(SourceData_PastureBeef.SourceData_PastureBeef_CrudeProteinContent_Data(), Table_SourceData_PastureBeef_CrudeProtein[[#Headers],[State]], 0)</f>
        <v>NT</v>
      </c>
      <c r="E316" s="10" t="str" cm="1">
        <f t="array" ref="E316">Common_InputFunctions.Utility_DisplayArrayInTable(SourceData_PastureBeef.SourceData_PastureBeef_CrudeProteinContent_Data(), Table_SourceData_PastureBeef_CrudeProtein[[#Headers],[State]], 0)</f>
        <v>Alice Springs</v>
      </c>
      <c r="F316" s="10" cm="1">
        <f t="array" ref="F316">Common_InputFunctions.Utility_DisplayArrayInTable(SourceData_PastureBeef.SourceData_PastureBeef_CrudeProteinContent_Data(), Table_SourceData_PastureBeef_CrudeProtein[[#Headers],[State]], 0)</f>
        <v>5.8000000000000003E-2</v>
      </c>
      <c r="G316" s="10" cm="1">
        <f t="array" ref="G316">Common_InputFunctions.Utility_DisplayArrayInTable(SourceData_PastureBeef.SourceData_PastureBeef_CrudeProteinContent_Data(), Table_SourceData_PastureBeef_CrudeProtein[[#Headers],[State]], 0)</f>
        <v>9.1999999999999998E-2</v>
      </c>
      <c r="H316" s="10" cm="1">
        <f t="array" ref="H316">Common_InputFunctions.Utility_DisplayArrayInTable(SourceData_PastureBeef.SourceData_PastureBeef_CrudeProteinContent_Data(), Table_SourceData_PastureBeef_CrudeProtein[[#Headers],[State]], 0)</f>
        <v>7.4999999999999997E-2</v>
      </c>
      <c r="I316" s="10" cm="1">
        <f t="array" ref="I316">Common_InputFunctions.Utility_DisplayArrayInTable(SourceData_PastureBeef.SourceData_PastureBeef_CrudeProteinContent_Data(), Table_SourceData_PastureBeef_CrudeProtein[[#Headers],[State]], 0)</f>
        <v>5.2999999999999999E-2</v>
      </c>
      <c r="M316" s="14"/>
    </row>
    <row r="317" spans="4:13" x14ac:dyDescent="0.25">
      <c r="D317" s="10" t="str" cm="1">
        <f t="array" ref="D317">Common_InputFunctions.Utility_DisplayArrayInTable(SourceData_PastureBeef.SourceData_PastureBeef_CrudeProteinContent_Data(), Table_SourceData_PastureBeef_CrudeProtein[[#Headers],[State]], 0)</f>
        <v>NT</v>
      </c>
      <c r="E317" s="10" t="str" cm="1">
        <f t="array" ref="E317">Common_InputFunctions.Utility_DisplayArrayInTable(SourceData_PastureBeef.SourceData_PastureBeef_CrudeProteinContent_Data(), Table_SourceData_PastureBeef_CrudeProtein[[#Headers],[State]], 0)</f>
        <v>Barkly</v>
      </c>
      <c r="F317" s="10" cm="1">
        <f t="array" ref="F317">Common_InputFunctions.Utility_DisplayArrayInTable(SourceData_PastureBeef.SourceData_PastureBeef_CrudeProteinContent_Data(), Table_SourceData_PastureBeef_CrudeProtein[[#Headers],[State]], 0)</f>
        <v>5.8000000000000003E-2</v>
      </c>
      <c r="G317" s="10" cm="1">
        <f t="array" ref="G317">Common_InputFunctions.Utility_DisplayArrayInTable(SourceData_PastureBeef.SourceData_PastureBeef_CrudeProteinContent_Data(), Table_SourceData_PastureBeef_CrudeProtein[[#Headers],[State]], 0)</f>
        <v>9.1999999999999998E-2</v>
      </c>
      <c r="H317" s="10" cm="1">
        <f t="array" ref="H317">Common_InputFunctions.Utility_DisplayArrayInTable(SourceData_PastureBeef.SourceData_PastureBeef_CrudeProteinContent_Data(), Table_SourceData_PastureBeef_CrudeProtein[[#Headers],[State]], 0)</f>
        <v>7.4999999999999997E-2</v>
      </c>
      <c r="I317" s="10" cm="1">
        <f t="array" ref="I317">Common_InputFunctions.Utility_DisplayArrayInTable(SourceData_PastureBeef.SourceData_PastureBeef_CrudeProteinContent_Data(), Table_SourceData_PastureBeef_CrudeProtein[[#Headers],[State]], 0)</f>
        <v>5.2999999999999999E-2</v>
      </c>
      <c r="M317" s="14"/>
    </row>
    <row r="318" spans="4:13" x14ac:dyDescent="0.25">
      <c r="D318" s="10" t="str" cm="1">
        <f t="array" ref="D318">Common_InputFunctions.Utility_DisplayArrayInTable(SourceData_PastureBeef.SourceData_PastureBeef_CrudeProteinContent_Data(), Table_SourceData_PastureBeef_CrudeProtein[[#Headers],[State]], 0)</f>
        <v>NT</v>
      </c>
      <c r="E318" s="10" t="str" cm="1">
        <f t="array" ref="E318">Common_InputFunctions.Utility_DisplayArrayInTable(SourceData_PastureBeef.SourceData_PastureBeef_CrudeProteinContent_Data(), Table_SourceData_PastureBeef_CrudeProtein[[#Headers],[State]], 0)</f>
        <v>Northern</v>
      </c>
      <c r="F318" s="10" cm="1">
        <f t="array" ref="F318">Common_InputFunctions.Utility_DisplayArrayInTable(SourceData_PastureBeef.SourceData_PastureBeef_CrudeProteinContent_Data(), Table_SourceData_PastureBeef_CrudeProtein[[#Headers],[State]], 0)</f>
        <v>5.8000000000000003E-2</v>
      </c>
      <c r="G318" s="10" cm="1">
        <f t="array" ref="G318">Common_InputFunctions.Utility_DisplayArrayInTable(SourceData_PastureBeef.SourceData_PastureBeef_CrudeProteinContent_Data(), Table_SourceData_PastureBeef_CrudeProtein[[#Headers],[State]], 0)</f>
        <v>9.1999999999999998E-2</v>
      </c>
      <c r="H318" s="10" cm="1">
        <f t="array" ref="H318">Common_InputFunctions.Utility_DisplayArrayInTable(SourceData_PastureBeef.SourceData_PastureBeef_CrudeProteinContent_Data(), Table_SourceData_PastureBeef_CrudeProtein[[#Headers],[State]], 0)</f>
        <v>7.4999999999999997E-2</v>
      </c>
      <c r="I318" s="10" cm="1">
        <f t="array" ref="I318">Common_InputFunctions.Utility_DisplayArrayInTable(SourceData_PastureBeef.SourceData_PastureBeef_CrudeProteinContent_Data(), Table_SourceData_PastureBeef_CrudeProtein[[#Headers],[State]], 0)</f>
        <v>5.2999999999999999E-2</v>
      </c>
      <c r="M318" s="14"/>
    </row>
    <row r="319" spans="4:13" x14ac:dyDescent="0.25">
      <c r="D319" s="10" t="str" cm="1">
        <f t="array" ref="D319">Common_InputFunctions.Utility_DisplayArrayInTable(SourceData_PastureBeef.SourceData_PastureBeef_CrudeProteinContent_Data(), Table_SourceData_PastureBeef_CrudeProtein[[#Headers],[State]], 0)</f>
        <v>QLD</v>
      </c>
      <c r="E319" s="10" t="str" cm="1">
        <f t="array" ref="E319">Common_InputFunctions.Utility_DisplayArrayInTable(SourceData_PastureBeef.SourceData_PastureBeef_CrudeProteinContent_Data(), Table_SourceData_PastureBeef_CrudeProtein[[#Headers],[State]], 0)</f>
        <v>High</v>
      </c>
      <c r="F319" s="10" cm="1">
        <f t="array" ref="F319">Common_InputFunctions.Utility_DisplayArrayInTable(SourceData_PastureBeef.SourceData_PastureBeef_CrudeProteinContent_Data(), Table_SourceData_PastureBeef_CrudeProtein[[#Headers],[State]], 0)</f>
        <v>7.1999999999999995E-2</v>
      </c>
      <c r="G319" s="10" cm="1">
        <f t="array" ref="G319">Common_InputFunctions.Utility_DisplayArrayInTable(SourceData_PastureBeef.SourceData_PastureBeef_CrudeProteinContent_Data(), Table_SourceData_PastureBeef_CrudeProtein[[#Headers],[State]], 0)</f>
        <v>9.9000000000000005E-2</v>
      </c>
      <c r="H319" s="10" cm="1">
        <f t="array" ref="H319">Common_InputFunctions.Utility_DisplayArrayInTable(SourceData_PastureBeef.SourceData_PastureBeef_CrudeProteinContent_Data(), Table_SourceData_PastureBeef_CrudeProtein[[#Headers],[State]], 0)</f>
        <v>7.8E-2</v>
      </c>
      <c r="I319" s="10" cm="1">
        <f t="array" ref="I319">Common_InputFunctions.Utility_DisplayArrayInTable(SourceData_PastureBeef.SourceData_PastureBeef_CrudeProteinContent_Data(), Table_SourceData_PastureBeef_CrudeProtein[[#Headers],[State]], 0)</f>
        <v>5.8999999999999997E-2</v>
      </c>
      <c r="M319" s="8"/>
    </row>
    <row r="320" spans="4:13" x14ac:dyDescent="0.25">
      <c r="D320" s="10" t="str" cm="1">
        <f t="array" ref="D320">Common_InputFunctions.Utility_DisplayArrayInTable(SourceData_PastureBeef.SourceData_PastureBeef_CrudeProteinContent_Data(), Table_SourceData_PastureBeef_CrudeProtein[[#Headers],[State]], 0)</f>
        <v>QLD</v>
      </c>
      <c r="E320" s="10" t="str" cm="1">
        <f t="array" ref="E320">Common_InputFunctions.Utility_DisplayArrayInTable(SourceData_PastureBeef.SourceData_PastureBeef_CrudeProteinContent_Data(), Table_SourceData_PastureBeef_CrudeProtein[[#Headers],[State]], 0)</f>
        <v>Moderate/High</v>
      </c>
      <c r="F320" s="10" cm="1">
        <f t="array" ref="F320">Common_InputFunctions.Utility_DisplayArrayInTable(SourceData_PastureBeef.SourceData_PastureBeef_CrudeProteinContent_Data(), Table_SourceData_PastureBeef_CrudeProtein[[#Headers],[State]], 0)</f>
        <v>7.1999999999999995E-2</v>
      </c>
      <c r="G320" s="10" cm="1">
        <f t="array" ref="G320">Common_InputFunctions.Utility_DisplayArrayInTable(SourceData_PastureBeef.SourceData_PastureBeef_CrudeProteinContent_Data(), Table_SourceData_PastureBeef_CrudeProtein[[#Headers],[State]], 0)</f>
        <v>9.9000000000000005E-2</v>
      </c>
      <c r="H320" s="10" cm="1">
        <f t="array" ref="H320">Common_InputFunctions.Utility_DisplayArrayInTable(SourceData_PastureBeef.SourceData_PastureBeef_CrudeProteinContent_Data(), Table_SourceData_PastureBeef_CrudeProtein[[#Headers],[State]], 0)</f>
        <v>7.8E-2</v>
      </c>
      <c r="I320" s="10" cm="1">
        <f t="array" ref="I320">Common_InputFunctions.Utility_DisplayArrayInTable(SourceData_PastureBeef.SourceData_PastureBeef_CrudeProteinContent_Data(), Table_SourceData_PastureBeef_CrudeProtein[[#Headers],[State]], 0)</f>
        <v>5.8999999999999997E-2</v>
      </c>
      <c r="M320" s="8"/>
    </row>
    <row r="321" spans="4:13" x14ac:dyDescent="0.25">
      <c r="D321" s="10" t="str" cm="1">
        <f t="array" ref="D321">Common_InputFunctions.Utility_DisplayArrayInTable(SourceData_PastureBeef.SourceData_PastureBeef_CrudeProteinContent_Data(), Table_SourceData_PastureBeef_CrudeProtein[[#Headers],[State]], 0)</f>
        <v>QLD</v>
      </c>
      <c r="E321" s="10" t="str" cm="1">
        <f t="array" ref="E321">Common_InputFunctions.Utility_DisplayArrayInTable(SourceData_PastureBeef.SourceData_PastureBeef_CrudeProteinContent_Data(), Table_SourceData_PastureBeef_CrudeProtein[[#Headers],[State]], 0)</f>
        <v>Moderate/Low</v>
      </c>
      <c r="F321" s="10" cm="1">
        <f t="array" ref="F321">Common_InputFunctions.Utility_DisplayArrayInTable(SourceData_PastureBeef.SourceData_PastureBeef_CrudeProteinContent_Data(), Table_SourceData_PastureBeef_CrudeProtein[[#Headers],[State]], 0)</f>
        <v>7.1999999999999995E-2</v>
      </c>
      <c r="G321" s="10" cm="1">
        <f t="array" ref="G321">Common_InputFunctions.Utility_DisplayArrayInTable(SourceData_PastureBeef.SourceData_PastureBeef_CrudeProteinContent_Data(), Table_SourceData_PastureBeef_CrudeProtein[[#Headers],[State]], 0)</f>
        <v>9.9000000000000005E-2</v>
      </c>
      <c r="H321" s="10" cm="1">
        <f t="array" ref="H321">Common_InputFunctions.Utility_DisplayArrayInTable(SourceData_PastureBeef.SourceData_PastureBeef_CrudeProteinContent_Data(), Table_SourceData_PastureBeef_CrudeProtein[[#Headers],[State]], 0)</f>
        <v>7.8E-2</v>
      </c>
      <c r="I321" s="10" cm="1">
        <f t="array" ref="I321">Common_InputFunctions.Utility_DisplayArrayInTable(SourceData_PastureBeef.SourceData_PastureBeef_CrudeProteinContent_Data(), Table_SourceData_PastureBeef_CrudeProtein[[#Headers],[State]], 0)</f>
        <v>5.8999999999999997E-2</v>
      </c>
      <c r="M321" s="8"/>
    </row>
    <row r="322" spans="4:13" x14ac:dyDescent="0.25">
      <c r="D322" s="10" t="str" cm="1">
        <f t="array" ref="D322">Common_InputFunctions.Utility_DisplayArrayInTable(SourceData_PastureBeef.SourceData_PastureBeef_CrudeProteinContent_Data(), Table_SourceData_PastureBeef_CrudeProtein[[#Headers],[State]], 0)</f>
        <v>QLD</v>
      </c>
      <c r="E322" s="10" t="str" cm="1">
        <f t="array" ref="E322">Common_InputFunctions.Utility_DisplayArrayInTable(SourceData_PastureBeef.SourceData_PastureBeef_CrudeProteinContent_Data(), Table_SourceData_PastureBeef_CrudeProtein[[#Headers],[State]], 0)</f>
        <v>Low</v>
      </c>
      <c r="F322" s="10" cm="1">
        <f t="array" ref="F322">Common_InputFunctions.Utility_DisplayArrayInTable(SourceData_PastureBeef.SourceData_PastureBeef_CrudeProteinContent_Data(), Table_SourceData_PastureBeef_CrudeProtein[[#Headers],[State]], 0)</f>
        <v>7.1999999999999995E-2</v>
      </c>
      <c r="G322" s="10" cm="1">
        <f t="array" ref="G322">Common_InputFunctions.Utility_DisplayArrayInTable(SourceData_PastureBeef.SourceData_PastureBeef_CrudeProteinContent_Data(), Table_SourceData_PastureBeef_CrudeProtein[[#Headers],[State]], 0)</f>
        <v>9.9000000000000005E-2</v>
      </c>
      <c r="H322" s="10" cm="1">
        <f t="array" ref="H322">Common_InputFunctions.Utility_DisplayArrayInTable(SourceData_PastureBeef.SourceData_PastureBeef_CrudeProteinContent_Data(), Table_SourceData_PastureBeef_CrudeProtein[[#Headers],[State]], 0)</f>
        <v>7.8E-2</v>
      </c>
      <c r="I322" s="10" cm="1">
        <f t="array" ref="I322">Common_InputFunctions.Utility_DisplayArrayInTable(SourceData_PastureBeef.SourceData_PastureBeef_CrudeProteinContent_Data(), Table_SourceData_PastureBeef_CrudeProtein[[#Headers],[State]], 0)</f>
        <v>5.8999999999999997E-2</v>
      </c>
      <c r="M322" s="8"/>
    </row>
    <row r="323" spans="4:13" x14ac:dyDescent="0.25">
      <c r="D323" s="10" t="str" cm="1">
        <f t="array" ref="D323">Common_InputFunctions.Utility_DisplayArrayInTable(SourceData_PastureBeef.SourceData_PastureBeef_CrudeProteinContent_Data(), Table_SourceData_PastureBeef_CrudeProtein[[#Headers],[State]], 0)</f>
        <v>SA</v>
      </c>
      <c r="E323" s="10" t="str" cm="1">
        <f t="array" ref="E323">Common_InputFunctions.Utility_DisplayArrayInTable(SourceData_PastureBeef.SourceData_PastureBeef_CrudeProteinContent_Data(), Table_SourceData_PastureBeef_CrudeProtein[[#Headers],[State]], 0)</f>
        <v>n/a</v>
      </c>
      <c r="F323" s="10" cm="1">
        <f t="array" ref="F323">Common_InputFunctions.Utility_DisplayArrayInTable(SourceData_PastureBeef.SourceData_PastureBeef_CrudeProteinContent_Data(), Table_SourceData_PastureBeef_CrudeProtein[[#Headers],[State]], 0)</f>
        <v>0.16</v>
      </c>
      <c r="G323" s="10" cm="1">
        <f t="array" ref="G323">Common_InputFunctions.Utility_DisplayArrayInTable(SourceData_PastureBeef.SourceData_PastureBeef_CrudeProteinContent_Data(), Table_SourceData_PastureBeef_CrudeProtein[[#Headers],[State]], 0)</f>
        <v>7.0000000000000007E-2</v>
      </c>
      <c r="H323" s="10" cm="1">
        <f t="array" ref="H323">Common_InputFunctions.Utility_DisplayArrayInTable(SourceData_PastureBeef.SourceData_PastureBeef_CrudeProteinContent_Data(), Table_SourceData_PastureBeef_CrudeProtein[[#Headers],[State]], 0)</f>
        <v>0.09</v>
      </c>
      <c r="I323" s="10" cm="1">
        <f t="array" ref="I323">Common_InputFunctions.Utility_DisplayArrayInTable(SourceData_PastureBeef.SourceData_PastureBeef_CrudeProteinContent_Data(), Table_SourceData_PastureBeef_CrudeProtein[[#Headers],[State]], 0)</f>
        <v>0.2</v>
      </c>
      <c r="M323" s="8"/>
    </row>
    <row r="324" spans="4:13" x14ac:dyDescent="0.25">
      <c r="D324" s="10" t="str" cm="1">
        <f t="array" ref="D324">Common_InputFunctions.Utility_DisplayArrayInTable(SourceData_PastureBeef.SourceData_PastureBeef_CrudeProteinContent_Data(), Table_SourceData_PastureBeef_CrudeProtein[[#Headers],[State]], 0)</f>
        <v>TAS</v>
      </c>
      <c r="E324" s="10" t="str" cm="1">
        <f t="array" ref="E324">Common_InputFunctions.Utility_DisplayArrayInTable(SourceData_PastureBeef.SourceData_PastureBeef_CrudeProteinContent_Data(), Table_SourceData_PastureBeef_CrudeProtein[[#Headers],[State]], 0)</f>
        <v>n/a</v>
      </c>
      <c r="F324" s="10" cm="1">
        <f t="array" ref="F324">Common_InputFunctions.Utility_DisplayArrayInTable(SourceData_PastureBeef.SourceData_PastureBeef_CrudeProteinContent_Data(), Table_SourceData_PastureBeef_CrudeProtein[[#Headers],[State]], 0)</f>
        <v>0.2</v>
      </c>
      <c r="G324" s="10" cm="1">
        <f t="array" ref="G324">Common_InputFunctions.Utility_DisplayArrayInTable(SourceData_PastureBeef.SourceData_PastureBeef_CrudeProteinContent_Data(), Table_SourceData_PastureBeef_CrudeProtein[[#Headers],[State]], 0)</f>
        <v>0.1</v>
      </c>
      <c r="H324" s="10" cm="1">
        <f t="array" ref="H324">Common_InputFunctions.Utility_DisplayArrayInTable(SourceData_PastureBeef.SourceData_PastureBeef_CrudeProteinContent_Data(), Table_SourceData_PastureBeef_CrudeProtein[[#Headers],[State]], 0)</f>
        <v>0.16</v>
      </c>
      <c r="I324" s="10" cm="1">
        <f t="array" ref="I324">Common_InputFunctions.Utility_DisplayArrayInTable(SourceData_PastureBeef.SourceData_PastureBeef_CrudeProteinContent_Data(), Table_SourceData_PastureBeef_CrudeProtein[[#Headers],[State]], 0)</f>
        <v>0.2</v>
      </c>
      <c r="M324" s="8"/>
    </row>
    <row r="325" spans="4:13" x14ac:dyDescent="0.25">
      <c r="D325" s="10" t="str" cm="1">
        <f t="array" ref="D325">Common_InputFunctions.Utility_DisplayArrayInTable(SourceData_PastureBeef.SourceData_PastureBeef_CrudeProteinContent_Data(), Table_SourceData_PastureBeef_CrudeProtein[[#Headers],[State]], 0)</f>
        <v>VIC</v>
      </c>
      <c r="E325" s="10" t="str" cm="1">
        <f t="array" ref="E325">Common_InputFunctions.Utility_DisplayArrayInTable(SourceData_PastureBeef.SourceData_PastureBeef_CrudeProteinContent_Data(), Table_SourceData_PastureBeef_CrudeProtein[[#Headers],[State]], 0)</f>
        <v>n/a</v>
      </c>
      <c r="F325" s="10" cm="1">
        <f t="array" ref="F325">Common_InputFunctions.Utility_DisplayArrayInTable(SourceData_PastureBeef.SourceData_PastureBeef_CrudeProteinContent_Data(), Table_SourceData_PastureBeef_CrudeProtein[[#Headers],[State]], 0)</f>
        <v>0.25</v>
      </c>
      <c r="G325" s="10" cm="1">
        <f t="array" ref="G325">Common_InputFunctions.Utility_DisplayArrayInTable(SourceData_PastureBeef.SourceData_PastureBeef_CrudeProteinContent_Data(), Table_SourceData_PastureBeef_CrudeProtein[[#Headers],[State]], 0)</f>
        <v>7.0000000000000007E-2</v>
      </c>
      <c r="H325" s="10" cm="1">
        <f t="array" ref="H325">Common_InputFunctions.Utility_DisplayArrayInTable(SourceData_PastureBeef.SourceData_PastureBeef_CrudeProteinContent_Data(), Table_SourceData_PastureBeef_CrudeProtein[[#Headers],[State]], 0)</f>
        <v>0.1</v>
      </c>
      <c r="I325" s="10" cm="1">
        <f t="array" ref="I325">Common_InputFunctions.Utility_DisplayArrayInTable(SourceData_PastureBeef.SourceData_PastureBeef_CrudeProteinContent_Data(), Table_SourceData_PastureBeef_CrudeProtein[[#Headers],[State]], 0)</f>
        <v>0.21</v>
      </c>
      <c r="M325" s="8"/>
    </row>
    <row r="326" spans="4:13" x14ac:dyDescent="0.25">
      <c r="D326" s="10" t="str" cm="1">
        <f t="array" ref="D326">Common_InputFunctions.Utility_DisplayArrayInTable(SourceData_PastureBeef.SourceData_PastureBeef_CrudeProteinContent_Data(), Table_SourceData_PastureBeef_CrudeProtein[[#Headers],[State]], 0)</f>
        <v>WA</v>
      </c>
      <c r="E326" s="10" t="str" cm="1">
        <f t="array" ref="E326">Common_InputFunctions.Utility_DisplayArrayInTable(SourceData_PastureBeef.SourceData_PastureBeef_CrudeProteinContent_Data(), Table_SourceData_PastureBeef_CrudeProtein[[#Headers],[State]], 0)</f>
        <v>South West</v>
      </c>
      <c r="F326" s="10" cm="1">
        <f t="array" ref="F326">Common_InputFunctions.Utility_DisplayArrayInTable(SourceData_PastureBeef.SourceData_PastureBeef_CrudeProteinContent_Data(), Table_SourceData_PastureBeef_CrudeProtein[[#Headers],[State]], 0)</f>
        <v>0.2</v>
      </c>
      <c r="G326" s="10" cm="1">
        <f t="array" ref="G326">Common_InputFunctions.Utility_DisplayArrayInTable(SourceData_PastureBeef.SourceData_PastureBeef_CrudeProteinContent_Data(), Table_SourceData_PastureBeef_CrudeProtein[[#Headers],[State]], 0)</f>
        <v>0.09</v>
      </c>
      <c r="H326" s="10" cm="1">
        <f t="array" ref="H326">Common_InputFunctions.Utility_DisplayArrayInTable(SourceData_PastureBeef.SourceData_PastureBeef_CrudeProteinContent_Data(), Table_SourceData_PastureBeef_CrudeProtein[[#Headers],[State]], 0)</f>
        <v>0.06</v>
      </c>
      <c r="I326" s="10" cm="1">
        <f t="array" ref="I326">Common_InputFunctions.Utility_DisplayArrayInTable(SourceData_PastureBeef.SourceData_PastureBeef_CrudeProteinContent_Data(), Table_SourceData_PastureBeef_CrudeProtein[[#Headers],[State]], 0)</f>
        <v>0.2</v>
      </c>
      <c r="M326" s="8"/>
    </row>
    <row r="327" spans="4:13" x14ac:dyDescent="0.25">
      <c r="D327" s="10" t="str" cm="1">
        <f t="array" ref="D327">Common_InputFunctions.Utility_DisplayArrayInTable(SourceData_PastureBeef.SourceData_PastureBeef_CrudeProteinContent_Data(), Table_SourceData_PastureBeef_CrudeProtein[[#Headers],[State]], 0)</f>
        <v>WA</v>
      </c>
      <c r="E327" s="10" t="str" cm="1">
        <f t="array" ref="E327">Common_InputFunctions.Utility_DisplayArrayInTable(SourceData_PastureBeef.SourceData_PastureBeef_CrudeProteinContent_Data(), Table_SourceData_PastureBeef_CrudeProtein[[#Headers],[State]], 0)</f>
        <v>Pilbara</v>
      </c>
      <c r="F327" s="10" cm="1">
        <f t="array" ref="F327">Common_InputFunctions.Utility_DisplayArrayInTable(SourceData_PastureBeef.SourceData_PastureBeef_CrudeProteinContent_Data(), Table_SourceData_PastureBeef_CrudeProtein[[#Headers],[State]], 0)</f>
        <v>0.04</v>
      </c>
      <c r="G327" s="10" cm="1">
        <f t="array" ref="G327">Common_InputFunctions.Utility_DisplayArrayInTable(SourceData_PastureBeef.SourceData_PastureBeef_CrudeProteinContent_Data(), Table_SourceData_PastureBeef_CrudeProtein[[#Headers],[State]], 0)</f>
        <v>0.12</v>
      </c>
      <c r="H327" s="10" cm="1">
        <f t="array" ref="H327">Common_InputFunctions.Utility_DisplayArrayInTable(SourceData_PastureBeef.SourceData_PastureBeef_CrudeProteinContent_Data(), Table_SourceData_PastureBeef_CrudeProtein[[#Headers],[State]], 0)</f>
        <v>0.09</v>
      </c>
      <c r="I327" s="10" cm="1">
        <f t="array" ref="I327">Common_InputFunctions.Utility_DisplayArrayInTable(SourceData_PastureBeef.SourceData_PastureBeef_CrudeProteinContent_Data(), Table_SourceData_PastureBeef_CrudeProtein[[#Headers],[State]], 0)</f>
        <v>0.06</v>
      </c>
      <c r="M327" s="8"/>
    </row>
    <row r="328" spans="4:13" x14ac:dyDescent="0.25">
      <c r="D328" s="10" t="str" cm="1">
        <f t="array" ref="D328">Common_InputFunctions.Utility_DisplayArrayInTable(SourceData_PastureBeef.SourceData_PastureBeef_CrudeProteinContent_Data(), Table_SourceData_PastureBeef_CrudeProtein[[#Headers],[State]], 0)</f>
        <v>WA</v>
      </c>
      <c r="E328" s="10" t="str" cm="1">
        <f t="array" ref="E328">Common_InputFunctions.Utility_DisplayArrayInTable(SourceData_PastureBeef.SourceData_PastureBeef_CrudeProteinContent_Data(), Table_SourceData_PastureBeef_CrudeProtein[[#Headers],[State]], 0)</f>
        <v>Kimberley</v>
      </c>
      <c r="F328" s="10" cm="1">
        <f t="array" ref="F328">Common_InputFunctions.Utility_DisplayArrayInTable(SourceData_PastureBeef.SourceData_PastureBeef_CrudeProteinContent_Data(), Table_SourceData_PastureBeef_CrudeProtein[[#Headers],[State]], 0)</f>
        <v>0.04</v>
      </c>
      <c r="G328" s="10" cm="1">
        <f t="array" ref="G328">Common_InputFunctions.Utility_DisplayArrayInTable(SourceData_PastureBeef.SourceData_PastureBeef_CrudeProteinContent_Data(), Table_SourceData_PastureBeef_CrudeProtein[[#Headers],[State]], 0)</f>
        <v>0.12</v>
      </c>
      <c r="H328" s="10" cm="1">
        <f t="array" ref="H328">Common_InputFunctions.Utility_DisplayArrayInTable(SourceData_PastureBeef.SourceData_PastureBeef_CrudeProteinContent_Data(), Table_SourceData_PastureBeef_CrudeProtein[[#Headers],[State]], 0)</f>
        <v>0.09</v>
      </c>
      <c r="I328" s="10" cm="1">
        <f t="array" ref="I328">Common_InputFunctions.Utility_DisplayArrayInTable(SourceData_PastureBeef.SourceData_PastureBeef_CrudeProteinContent_Data(), Table_SourceData_PastureBeef_CrudeProtein[[#Headers],[State]], 0)</f>
        <v>0.06</v>
      </c>
      <c r="M328" s="8"/>
    </row>
    <row r="329" spans="4:13" x14ac:dyDescent="0.25">
      <c r="M329" s="8"/>
    </row>
    <row r="330" spans="4:13" x14ac:dyDescent="0.25">
      <c r="M330" s="8"/>
    </row>
    <row r="331" spans="4:13" ht="23.25" x14ac:dyDescent="0.25">
      <c r="D331" s="9" t="str" cm="1">
        <f t="array" ref="D331">SourceData_PastureBeef.SourceData_PastureBeef_FeedAdjustmentAndMilkProduction_Title()</f>
        <v>Beef pasture cattle - Feed intake adjustment and milk production (kg/head/day)</v>
      </c>
      <c r="M331" s="8"/>
    </row>
    <row r="332" spans="4:13" x14ac:dyDescent="0.25">
      <c r="D332" s="11" t="str" cm="1">
        <f t="array" ref="D332">SourceData_PastureBeef.SourceData_PastureBeef_FeedAdjustmentAndMilkProduction_Source()</f>
        <v>VEERG 2026: Table A.1.2.7</v>
      </c>
      <c r="M332" s="8"/>
    </row>
    <row r="333" spans="4:13" x14ac:dyDescent="0.25">
      <c r="D333" s="8" t="str" cm="1">
        <f t="array" ref="D333">SourceData_PastureBeef.SourceData_PastureBeef_FeedAdjustmentAndMilkProduction_Variable()</f>
        <v>MCjk=1,3,6; DMPjk=5</v>
      </c>
      <c r="I333" s="12" t="s">
        <v>495</v>
      </c>
      <c r="M333" s="8"/>
    </row>
    <row r="334" spans="4:13" x14ac:dyDescent="0.25">
      <c r="D334" s="10" t="s">
        <v>496</v>
      </c>
      <c r="E334" s="10" t="s">
        <v>47</v>
      </c>
      <c r="F334" s="10" t="s">
        <v>497</v>
      </c>
      <c r="G334" s="10" t="s">
        <v>498</v>
      </c>
      <c r="I334" s="10" t="s">
        <v>496</v>
      </c>
      <c r="J334" s="10" t="s">
        <v>47</v>
      </c>
      <c r="K334" s="10" t="s">
        <v>497</v>
      </c>
      <c r="L334" s="10" t="s">
        <v>498</v>
      </c>
      <c r="M334" s="8"/>
    </row>
    <row r="335" spans="4:13" x14ac:dyDescent="0.25">
      <c r="D335" s="10" t="str" cm="1">
        <f t="array" ref="D335">Common_InputFunctions.Utility_DisplayArrayInTable(SourceData_PastureBeef.SourceData_PastureBeef_FeedAdjustmentAndMilkProduction_Data(), Table_SourceData_PastureBeef_FeedIntakeAdjustment[[#Headers],[Breed]], 0)</f>
        <v>Hereford or Shorthorn breeds</v>
      </c>
      <c r="E335" s="10" t="str" cm="1">
        <f t="array" ref="E335">Common_InputFunctions.Utility_DisplayArrayInTable(SourceData_PastureBeef.SourceData_PastureBeef_FeedAdjustmentAndMilkProduction_Data(), Table_SourceData_PastureBeef_FeedIntakeAdjustment[[#Headers],[Breed]], 0)</f>
        <v>Spring</v>
      </c>
      <c r="F335" s="10" cm="1">
        <f t="array" ref="F335">Common_InputFunctions.Utility_DisplayArrayInTable(SourceData_PastureBeef.SourceData_PastureBeef_FeedAdjustmentAndMilkProduction_Data(), Table_SourceData_PastureBeef_FeedIntakeAdjustment[[#Headers],[Breed]], 0)</f>
        <v>1.3</v>
      </c>
      <c r="G335" s="10" cm="1">
        <f t="array" ref="G335">Common_InputFunctions.Utility_DisplayArrayInTable(SourceData_PastureBeef.SourceData_PastureBeef_FeedAdjustmentAndMilkProduction_Data(), Table_SourceData_PastureBeef_FeedIntakeAdjustment[[#Headers],[Breed]], 0)</f>
        <v>6</v>
      </c>
      <c r="I335" s="10" t="str">
        <f>Table_SourceData_PastureBeef_FeedIntakeAdjustment[[#This Row],[Breed]]</f>
        <v>Hereford or Shorthorn breeds</v>
      </c>
      <c r="J335" s="10" t="s">
        <v>499</v>
      </c>
      <c r="K335" s="10">
        <f>Table_SourceData_PastureBeef_FeedIntakeAdjustment[[#This Row],[Feed adjustment]]</f>
        <v>1.3</v>
      </c>
      <c r="L335" s="10">
        <f>Table_SourceData_PastureBeef_FeedIntakeAdjustment[[#This Row],[Milk intake/production]]</f>
        <v>6</v>
      </c>
      <c r="M335" s="8"/>
    </row>
    <row r="336" spans="4:13" x14ac:dyDescent="0.25">
      <c r="D336" s="8" t="str" cm="1">
        <f t="array" ref="D336">Common_InputFunctions.Utility_DisplayArrayInTable(SourceData_PastureBeef.SourceData_PastureBeef_FeedAdjustmentAndMilkProduction_Data(), Table_SourceData_PastureBeef_FeedIntakeAdjustment[[#Headers],[Breed]], 0)</f>
        <v>Hereford or Shorthorn breeds</v>
      </c>
      <c r="E336" s="10" t="str" cm="1">
        <f t="array" ref="E336">Common_InputFunctions.Utility_DisplayArrayInTable(SourceData_PastureBeef.SourceData_PastureBeef_FeedAdjustmentAndMilkProduction_Data(), Table_SourceData_PastureBeef_FeedIntakeAdjustment[[#Headers],[Breed]], 0)</f>
        <v>Summer</v>
      </c>
      <c r="F336" s="10" cm="1">
        <f t="array" ref="F336">Common_InputFunctions.Utility_DisplayArrayInTable(SourceData_PastureBeef.SourceData_PastureBeef_FeedAdjustmentAndMilkProduction_Data(), Table_SourceData_PastureBeef_FeedIntakeAdjustment[[#Headers],[Breed]], 0)</f>
        <v>1.1000000000000001</v>
      </c>
      <c r="G336" s="10" cm="1">
        <f t="array" ref="G336">Common_InputFunctions.Utility_DisplayArrayInTable(SourceData_PastureBeef.SourceData_PastureBeef_FeedAdjustmentAndMilkProduction_Data(), Table_SourceData_PastureBeef_FeedIntakeAdjustment[[#Headers],[Breed]], 0)</f>
        <v>4</v>
      </c>
      <c r="I336" s="8" t="str">
        <f>Table_SourceData_PastureBeef_FeedIntakeAdjustment[[#This Row],[Breed]]</f>
        <v>Hereford or Shorthorn breeds</v>
      </c>
      <c r="J336" s="10" t="s">
        <v>500</v>
      </c>
      <c r="K336" s="10">
        <f>Table_SourceData_PastureBeef_FeedIntakeAdjustment[[#This Row],[Feed adjustment]]</f>
        <v>1.1000000000000001</v>
      </c>
      <c r="L336" s="10">
        <f>Table_SourceData_PastureBeef_FeedIntakeAdjustment[[#This Row],[Milk intake/production]]</f>
        <v>4</v>
      </c>
      <c r="M336" s="8"/>
    </row>
    <row r="337" spans="4:13" x14ac:dyDescent="0.25">
      <c r="D337" s="8" t="str" cm="1">
        <f t="array" ref="D337">Common_InputFunctions.Utility_DisplayArrayInTable(SourceData_PastureBeef.SourceData_PastureBeef_FeedAdjustmentAndMilkProduction_Data(), Table_SourceData_PastureBeef_FeedIntakeAdjustment[[#Headers],[Breed]], 0)</f>
        <v>Hereford or Shorthorn breeds</v>
      </c>
      <c r="E337" s="10" t="str" cm="1">
        <f t="array" ref="E337">Common_InputFunctions.Utility_DisplayArrayInTable(SourceData_PastureBeef.SourceData_PastureBeef_FeedAdjustmentAndMilkProduction_Data(), Table_SourceData_PastureBeef_FeedIntakeAdjustment[[#Headers],[Breed]], 0)</f>
        <v>Autumn</v>
      </c>
      <c r="F337" s="10" cm="1">
        <f t="array" ref="F337">Common_InputFunctions.Utility_DisplayArrayInTable(SourceData_PastureBeef.SourceData_PastureBeef_FeedAdjustmentAndMilkProduction_Data(), Table_SourceData_PastureBeef_FeedIntakeAdjustment[[#Headers],[Breed]], 0)</f>
        <v>0</v>
      </c>
      <c r="G337" s="10" cm="1">
        <f t="array" ref="G337">Common_InputFunctions.Utility_DisplayArrayInTable(SourceData_PastureBeef.SourceData_PastureBeef_FeedAdjustmentAndMilkProduction_Data(), Table_SourceData_PastureBeef_FeedIntakeAdjustment[[#Headers],[Breed]], 0)</f>
        <v>0</v>
      </c>
      <c r="I337" s="8" t="str">
        <f>D340</f>
        <v>Northern Brahman cross breed</v>
      </c>
      <c r="J337" s="10" t="s">
        <v>499</v>
      </c>
      <c r="K337" s="10">
        <f>F340</f>
        <v>1.3</v>
      </c>
      <c r="L337" s="10">
        <f t="shared" ref="L337:L338" si="51">G340</f>
        <v>4</v>
      </c>
      <c r="M337" s="8"/>
    </row>
    <row r="338" spans="4:13" x14ac:dyDescent="0.25">
      <c r="D338" s="8" t="str" cm="1">
        <f t="array" ref="D338">Common_InputFunctions.Utility_DisplayArrayInTable(SourceData_PastureBeef.SourceData_PastureBeef_FeedAdjustmentAndMilkProduction_Data(), Table_SourceData_PastureBeef_FeedIntakeAdjustment[[#Headers],[Breed]], 0)</f>
        <v>Hereford or Shorthorn breeds</v>
      </c>
      <c r="E338" s="10" t="str" cm="1">
        <f t="array" ref="E338">Common_InputFunctions.Utility_DisplayArrayInTable(SourceData_PastureBeef.SourceData_PastureBeef_FeedAdjustmentAndMilkProduction_Data(), Table_SourceData_PastureBeef_FeedIntakeAdjustment[[#Headers],[Breed]], 0)</f>
        <v>Winter</v>
      </c>
      <c r="F338" s="10" cm="1">
        <f t="array" ref="F338">Common_InputFunctions.Utility_DisplayArrayInTable(SourceData_PastureBeef.SourceData_PastureBeef_FeedAdjustmentAndMilkProduction_Data(), Table_SourceData_PastureBeef_FeedIntakeAdjustment[[#Headers],[Breed]], 0)</f>
        <v>0</v>
      </c>
      <c r="G338" s="10" cm="1">
        <f t="array" ref="G338">Common_InputFunctions.Utility_DisplayArrayInTable(SourceData_PastureBeef.SourceData_PastureBeef_FeedAdjustmentAndMilkProduction_Data(), Table_SourceData_PastureBeef_FeedIntakeAdjustment[[#Headers],[Breed]], 0)</f>
        <v>0</v>
      </c>
      <c r="I338" s="8" t="str">
        <f>D341</f>
        <v>Northern Brahman cross breed</v>
      </c>
      <c r="J338" s="10" t="s">
        <v>500</v>
      </c>
      <c r="K338" s="10">
        <f t="shared" ref="K338" si="52">F341</f>
        <v>1.1000000000000001</v>
      </c>
      <c r="L338" s="10">
        <f t="shared" si="51"/>
        <v>3</v>
      </c>
      <c r="M338" s="8"/>
    </row>
    <row r="339" spans="4:13" x14ac:dyDescent="0.25">
      <c r="D339" s="8" t="str" cm="1">
        <f t="array" ref="D339">Common_InputFunctions.Utility_DisplayArrayInTable(SourceData_PastureBeef.SourceData_PastureBeef_FeedAdjustmentAndMilkProduction_Data(), Table_SourceData_PastureBeef_FeedIntakeAdjustment[[#Headers],[Breed]], 0)</f>
        <v>Northern Brahman cross breed</v>
      </c>
      <c r="E339" s="10" t="str" cm="1">
        <f t="array" ref="E339">Common_InputFunctions.Utility_DisplayArrayInTable(SourceData_PastureBeef.SourceData_PastureBeef_FeedAdjustmentAndMilkProduction_Data(), Table_SourceData_PastureBeef_FeedIntakeAdjustment[[#Headers],[Breed]], 0)</f>
        <v>Spring</v>
      </c>
      <c r="F339" s="10" cm="1">
        <f t="array" ref="F339">Common_InputFunctions.Utility_DisplayArrayInTable(SourceData_PastureBeef.SourceData_PastureBeef_FeedAdjustmentAndMilkProduction_Data(), Table_SourceData_PastureBeef_FeedIntakeAdjustment[[#Headers],[Breed]], 0)</f>
        <v>0</v>
      </c>
      <c r="G339" s="10" cm="1">
        <f t="array" ref="G339">Common_InputFunctions.Utility_DisplayArrayInTable(SourceData_PastureBeef.SourceData_PastureBeef_FeedAdjustmentAndMilkProduction_Data(), Table_SourceData_PastureBeef_FeedIntakeAdjustment[[#Headers],[Breed]], 0)</f>
        <v>0</v>
      </c>
      <c r="M339" s="8"/>
    </row>
    <row r="340" spans="4:13" x14ac:dyDescent="0.25">
      <c r="D340" s="8" t="str" cm="1">
        <f t="array" ref="D340">Common_InputFunctions.Utility_DisplayArrayInTable(SourceData_PastureBeef.SourceData_PastureBeef_FeedAdjustmentAndMilkProduction_Data(), Table_SourceData_PastureBeef_FeedIntakeAdjustment[[#Headers],[Breed]], 0)</f>
        <v>Northern Brahman cross breed</v>
      </c>
      <c r="E340" s="10" t="str" cm="1">
        <f t="array" ref="E340">Common_InputFunctions.Utility_DisplayArrayInTable(SourceData_PastureBeef.SourceData_PastureBeef_FeedAdjustmentAndMilkProduction_Data(), Table_SourceData_PastureBeef_FeedIntakeAdjustment[[#Headers],[Breed]], 0)</f>
        <v>Summer</v>
      </c>
      <c r="F340" s="10" cm="1">
        <f t="array" ref="F340">Common_InputFunctions.Utility_DisplayArrayInTable(SourceData_PastureBeef.SourceData_PastureBeef_FeedAdjustmentAndMilkProduction_Data(), Table_SourceData_PastureBeef_FeedIntakeAdjustment[[#Headers],[Breed]], 0)</f>
        <v>1.3</v>
      </c>
      <c r="G340" s="10" cm="1">
        <f t="array" ref="G340">Common_InputFunctions.Utility_DisplayArrayInTable(SourceData_PastureBeef.SourceData_PastureBeef_FeedAdjustmentAndMilkProduction_Data(), Table_SourceData_PastureBeef_FeedIntakeAdjustment[[#Headers],[Breed]], 0)</f>
        <v>4</v>
      </c>
      <c r="M340" s="8"/>
    </row>
    <row r="341" spans="4:13" x14ac:dyDescent="0.25">
      <c r="D341" s="8" t="str" cm="1">
        <f t="array" ref="D341">Common_InputFunctions.Utility_DisplayArrayInTable(SourceData_PastureBeef.SourceData_PastureBeef_FeedAdjustmentAndMilkProduction_Data(), Table_SourceData_PastureBeef_FeedIntakeAdjustment[[#Headers],[Breed]], 0)</f>
        <v>Northern Brahman cross breed</v>
      </c>
      <c r="E341" s="10" t="str" cm="1">
        <f t="array" ref="E341">Common_InputFunctions.Utility_DisplayArrayInTable(SourceData_PastureBeef.SourceData_PastureBeef_FeedAdjustmentAndMilkProduction_Data(), Table_SourceData_PastureBeef_FeedIntakeAdjustment[[#Headers],[Breed]], 0)</f>
        <v>Autumn</v>
      </c>
      <c r="F341" s="10" cm="1">
        <f t="array" ref="F341">Common_InputFunctions.Utility_DisplayArrayInTable(SourceData_PastureBeef.SourceData_PastureBeef_FeedAdjustmentAndMilkProduction_Data(), Table_SourceData_PastureBeef_FeedIntakeAdjustment[[#Headers],[Breed]], 0)</f>
        <v>1.1000000000000001</v>
      </c>
      <c r="G341" s="10" cm="1">
        <f t="array" ref="G341">Common_InputFunctions.Utility_DisplayArrayInTable(SourceData_PastureBeef.SourceData_PastureBeef_FeedAdjustmentAndMilkProduction_Data(), Table_SourceData_PastureBeef_FeedIntakeAdjustment[[#Headers],[Breed]], 0)</f>
        <v>3</v>
      </c>
      <c r="M341" s="8"/>
    </row>
    <row r="342" spans="4:13" x14ac:dyDescent="0.25">
      <c r="D342" s="8" t="str" cm="1">
        <f t="array" ref="D342">Common_InputFunctions.Utility_DisplayArrayInTable(SourceData_PastureBeef.SourceData_PastureBeef_FeedAdjustmentAndMilkProduction_Data(), Table_SourceData_PastureBeef_FeedIntakeAdjustment[[#Headers],[Breed]], 0)</f>
        <v>Northern Brahman cross breed</v>
      </c>
      <c r="E342" s="10" t="str" cm="1">
        <f t="array" ref="E342">Common_InputFunctions.Utility_DisplayArrayInTable(SourceData_PastureBeef.SourceData_PastureBeef_FeedAdjustmentAndMilkProduction_Data(), Table_SourceData_PastureBeef_FeedIntakeAdjustment[[#Headers],[Breed]], 0)</f>
        <v>Winter</v>
      </c>
      <c r="F342" s="10" cm="1">
        <f t="array" ref="F342">Common_InputFunctions.Utility_DisplayArrayInTable(SourceData_PastureBeef.SourceData_PastureBeef_FeedAdjustmentAndMilkProduction_Data(), Table_SourceData_PastureBeef_FeedIntakeAdjustment[[#Headers],[Breed]], 0)</f>
        <v>0</v>
      </c>
      <c r="G342" s="10" cm="1">
        <f t="array" ref="G342">Common_InputFunctions.Utility_DisplayArrayInTable(SourceData_PastureBeef.SourceData_PastureBeef_FeedAdjustmentAndMilkProduction_Data(), Table_SourceData_PastureBeef_FeedIntakeAdjustment[[#Headers],[Breed]], 0)</f>
        <v>0</v>
      </c>
      <c r="M342" s="8"/>
    </row>
    <row r="343" spans="4:13" x14ac:dyDescent="0.25">
      <c r="M343" s="8"/>
    </row>
    <row r="344" spans="4:13" x14ac:dyDescent="0.25">
      <c r="M344" s="8"/>
    </row>
    <row r="345" spans="4:13" ht="23.25" x14ac:dyDescent="0.25">
      <c r="D345" s="9" t="str" cm="1">
        <f t="array" ref="D345">SourceData_PastureBeef.SourceData_PastureBeef_StandardReferenceWeights_Title()</f>
        <v>Beef pasture cattle - Standard reference weights (kg) (SRWk)</v>
      </c>
      <c r="M345" s="8"/>
    </row>
    <row r="346" spans="4:13" x14ac:dyDescent="0.25">
      <c r="D346" s="11" t="str" cm="1">
        <f t="array" ref="D346">SourceData_PastureBeef.SourceData_PastureBeef_StandardReferenceWeights_Source()</f>
        <v>VEERG 2026: Table A.1.2.8</v>
      </c>
      <c r="M346" s="8"/>
    </row>
    <row r="347" spans="4:13" x14ac:dyDescent="0.25">
      <c r="D347" s="8" t="str" cm="1">
        <f t="array" ref="D347">SourceData_PastureBeef.SourceData_PastureBeef_StandardReferenceWeights_Variable()</f>
        <v>SRWk</v>
      </c>
      <c r="M347" s="8"/>
    </row>
    <row r="348" spans="4:13" x14ac:dyDescent="0.25">
      <c r="D348" s="13" t="str" cm="1">
        <f t="array" ref="D348">SourceData_PastureBeef.SourceData_PastureBeef_StandardReferenceWeights_Unit()</f>
        <v>kg</v>
      </c>
      <c r="M348" s="8"/>
    </row>
    <row r="349" spans="4:13" x14ac:dyDescent="0.25">
      <c r="D349" s="12" t="str" cm="1">
        <f t="array" ref="D349">SourceData_PastureBeef.SourceData_PastureBeef_StandardReferenceWeights_Variation()</f>
        <v>VARIATION ON SOURCE: Split ACT and NSW into separate rows. Added 'State abbreviation' column to aid lookup.</v>
      </c>
      <c r="M349" s="8"/>
    </row>
    <row r="350" spans="4:13" x14ac:dyDescent="0.25">
      <c r="D350" s="10" t="s">
        <v>273</v>
      </c>
      <c r="E350" s="10" t="s">
        <v>501</v>
      </c>
      <c r="F350" s="10" t="s">
        <v>502</v>
      </c>
      <c r="G350" s="10" t="s">
        <v>467</v>
      </c>
      <c r="H350" s="10" t="s">
        <v>468</v>
      </c>
      <c r="I350" s="10" t="s">
        <v>503</v>
      </c>
      <c r="J350" s="10" t="s">
        <v>471</v>
      </c>
      <c r="K350" s="10" t="s">
        <v>491</v>
      </c>
      <c r="L350" s="10" t="s">
        <v>504</v>
      </c>
      <c r="M350" s="8"/>
    </row>
    <row r="351" spans="4:13" x14ac:dyDescent="0.25">
      <c r="D351" s="10" t="str" cm="1">
        <f t="array" ref="D351">Common_InputFunctions.Utility_DisplayArrayInTable(SourceData_PastureBeef.SourceData_PastureBeef_StandardReferenceWeights_Data(), Table_SourceData_PastureBeef_StandardReferenceWeights[[#Headers],[State]], 0)</f>
        <v>ACT</v>
      </c>
      <c r="E351" s="10" cm="1">
        <f t="array" ref="E351">Common_InputFunctions.Utility_DisplayArrayInTable(SourceData_PastureBeef.SourceData_PastureBeef_StandardReferenceWeights_Data(), Table_SourceData_PastureBeef_StandardReferenceWeights[[#Headers],[State]], 0)</f>
        <v>700</v>
      </c>
      <c r="F351" s="10" cm="1">
        <f t="array" ref="F351">Common_InputFunctions.Utility_DisplayArrayInTable(SourceData_PastureBeef.SourceData_PastureBeef_StandardReferenceWeights_Data(), Table_SourceData_PastureBeef_StandardReferenceWeights[[#Headers],[State]], 0)</f>
        <v>700</v>
      </c>
      <c r="G351" s="10" cm="1">
        <f t="array" ref="G351">Common_InputFunctions.Utility_DisplayArrayInTable(SourceData_PastureBeef.SourceData_PastureBeef_StandardReferenceWeights_Data(), Table_SourceData_PastureBeef_StandardReferenceWeights[[#Headers],[State]], 0)</f>
        <v>500</v>
      </c>
      <c r="H351" s="10" cm="1">
        <f t="array" ref="H351">Common_InputFunctions.Utility_DisplayArrayInTable(SourceData_PastureBeef.SourceData_PastureBeef_StandardReferenceWeights_Data(), Table_SourceData_PastureBeef_StandardReferenceWeights[[#Headers],[State]], 0)</f>
        <v>500</v>
      </c>
      <c r="I351" s="10" cm="1">
        <f t="array" ref="I351">Common_InputFunctions.Utility_DisplayArrayInTable(SourceData_PastureBeef.SourceData_PastureBeef_StandardReferenceWeights_Data(), Table_SourceData_PastureBeef_StandardReferenceWeights[[#Headers],[State]], 0)</f>
        <v>500</v>
      </c>
      <c r="J351" s="10" cm="1">
        <f t="array" ref="J351">Common_InputFunctions.Utility_DisplayArrayInTable(SourceData_PastureBeef.SourceData_PastureBeef_StandardReferenceWeights_Data(), Table_SourceData_PastureBeef_StandardReferenceWeights[[#Headers],[State]], 0)</f>
        <v>600</v>
      </c>
      <c r="K351" s="10" cm="1">
        <f t="array" ref="K351">Common_InputFunctions.Utility_DisplayArrayInTable(SourceData_PastureBeef.SourceData_PastureBeef_StandardReferenceWeights_Data(), Table_SourceData_PastureBeef_StandardReferenceWeights[[#Headers],[State]], 0)</f>
        <v>600</v>
      </c>
      <c r="L351" s="10" t="str" cm="1">
        <f t="array" ref="L351">Common_InputFunctions.Utility_DisplayArrayInTable(SourceData_PastureBeef.SourceData_PastureBeef_StandardReferenceWeights_Data(), Table_SourceData_PastureBeef_StandardReferenceWeights[[#Headers],[State]], 0)</f>
        <v>ACT</v>
      </c>
      <c r="M351" s="8"/>
    </row>
    <row r="352" spans="4:13" x14ac:dyDescent="0.25">
      <c r="D352" s="8" t="str" cm="1">
        <f t="array" ref="D352">Common_InputFunctions.Utility_DisplayArrayInTable(SourceData_PastureBeef.SourceData_PastureBeef_StandardReferenceWeights_Data(), Table_SourceData_PastureBeef_StandardReferenceWeights[[#Headers],[State]], 0)</f>
        <v>NSW</v>
      </c>
      <c r="E352" s="10" cm="1">
        <f t="array" ref="E352">Common_InputFunctions.Utility_DisplayArrayInTable(SourceData_PastureBeef.SourceData_PastureBeef_StandardReferenceWeights_Data(), Table_SourceData_PastureBeef_StandardReferenceWeights[[#Headers],[State]], 0)</f>
        <v>700</v>
      </c>
      <c r="F352" s="10" cm="1">
        <f t="array" ref="F352">Common_InputFunctions.Utility_DisplayArrayInTable(SourceData_PastureBeef.SourceData_PastureBeef_StandardReferenceWeights_Data(), Table_SourceData_PastureBeef_StandardReferenceWeights[[#Headers],[State]], 0)</f>
        <v>700</v>
      </c>
      <c r="G352" s="10" cm="1">
        <f t="array" ref="G352">Common_InputFunctions.Utility_DisplayArrayInTable(SourceData_PastureBeef.SourceData_PastureBeef_StandardReferenceWeights_Data(), Table_SourceData_PastureBeef_StandardReferenceWeights[[#Headers],[State]], 0)</f>
        <v>500</v>
      </c>
      <c r="H352" s="10" cm="1">
        <f t="array" ref="H352">Common_InputFunctions.Utility_DisplayArrayInTable(SourceData_PastureBeef.SourceData_PastureBeef_StandardReferenceWeights_Data(), Table_SourceData_PastureBeef_StandardReferenceWeights[[#Headers],[State]], 0)</f>
        <v>500</v>
      </c>
      <c r="I352" s="10" cm="1">
        <f t="array" ref="I352">Common_InputFunctions.Utility_DisplayArrayInTable(SourceData_PastureBeef.SourceData_PastureBeef_StandardReferenceWeights_Data(), Table_SourceData_PastureBeef_StandardReferenceWeights[[#Headers],[State]], 0)</f>
        <v>500</v>
      </c>
      <c r="J352" s="10" cm="1">
        <f t="array" ref="J352">Common_InputFunctions.Utility_DisplayArrayInTable(SourceData_PastureBeef.SourceData_PastureBeef_StandardReferenceWeights_Data(), Table_SourceData_PastureBeef_StandardReferenceWeights[[#Headers],[State]], 0)</f>
        <v>600</v>
      </c>
      <c r="K352" s="10" cm="1">
        <f t="array" ref="K352">Common_InputFunctions.Utility_DisplayArrayInTable(SourceData_PastureBeef.SourceData_PastureBeef_StandardReferenceWeights_Data(), Table_SourceData_PastureBeef_StandardReferenceWeights[[#Headers],[State]], 0)</f>
        <v>600</v>
      </c>
      <c r="L352" s="10" t="str" cm="1">
        <f t="array" ref="L352">Common_InputFunctions.Utility_DisplayArrayInTable(SourceData_PastureBeef.SourceData_PastureBeef_StandardReferenceWeights_Data(), Table_SourceData_PastureBeef_StandardReferenceWeights[[#Headers],[State]], 0)</f>
        <v>NSW</v>
      </c>
      <c r="M352" s="8"/>
    </row>
    <row r="353" spans="4:15" x14ac:dyDescent="0.25">
      <c r="D353" s="8" t="str" cm="1">
        <f t="array" ref="D353">Common_InputFunctions.Utility_DisplayArrayInTable(SourceData_PastureBeef.SourceData_PastureBeef_StandardReferenceWeights_Data(), Table_SourceData_PastureBeef_StandardReferenceWeights[[#Headers],[State]], 0)</f>
        <v>Northern Territory</v>
      </c>
      <c r="E353" s="10" cm="1">
        <f t="array" ref="E353">Common_InputFunctions.Utility_DisplayArrayInTable(SourceData_PastureBeef.SourceData_PastureBeef_StandardReferenceWeights_Data(), Table_SourceData_PastureBeef_StandardReferenceWeights[[#Headers],[State]], 0)</f>
        <v>770</v>
      </c>
      <c r="F353" s="10" cm="1">
        <f t="array" ref="F353">Common_InputFunctions.Utility_DisplayArrayInTable(SourceData_PastureBeef.SourceData_PastureBeef_StandardReferenceWeights_Data(), Table_SourceData_PastureBeef_StandardReferenceWeights[[#Headers],[State]], 0)</f>
        <v>770</v>
      </c>
      <c r="G353" s="10" cm="1">
        <f t="array" ref="G353">Common_InputFunctions.Utility_DisplayArrayInTable(SourceData_PastureBeef.SourceData_PastureBeef_StandardReferenceWeights_Data(), Table_SourceData_PastureBeef_StandardReferenceWeights[[#Headers],[State]], 0)</f>
        <v>550</v>
      </c>
      <c r="H353" s="10" cm="1">
        <f t="array" ref="H353">Common_InputFunctions.Utility_DisplayArrayInTable(SourceData_PastureBeef.SourceData_PastureBeef_StandardReferenceWeights_Data(), Table_SourceData_PastureBeef_StandardReferenceWeights[[#Headers],[State]], 0)</f>
        <v>550</v>
      </c>
      <c r="I353" s="10" cm="1">
        <f t="array" ref="I353">Common_InputFunctions.Utility_DisplayArrayInTable(SourceData_PastureBeef.SourceData_PastureBeef_StandardReferenceWeights_Data(), Table_SourceData_PastureBeef_StandardReferenceWeights[[#Headers],[State]], 0)</f>
        <v>550</v>
      </c>
      <c r="J353" s="10" cm="1">
        <f t="array" ref="J353">Common_InputFunctions.Utility_DisplayArrayInTable(SourceData_PastureBeef.SourceData_PastureBeef_StandardReferenceWeights_Data(), Table_SourceData_PastureBeef_StandardReferenceWeights[[#Headers],[State]], 0)</f>
        <v>660</v>
      </c>
      <c r="K353" s="10" cm="1">
        <f t="array" ref="K353">Common_InputFunctions.Utility_DisplayArrayInTable(SourceData_PastureBeef.SourceData_PastureBeef_StandardReferenceWeights_Data(), Table_SourceData_PastureBeef_StandardReferenceWeights[[#Headers],[State]], 0)</f>
        <v>660</v>
      </c>
      <c r="L353" s="10" t="str" cm="1">
        <f t="array" ref="L353">Common_InputFunctions.Utility_DisplayArrayInTable(SourceData_PastureBeef.SourceData_PastureBeef_StandardReferenceWeights_Data(), Table_SourceData_PastureBeef_StandardReferenceWeights[[#Headers],[State]], 0)</f>
        <v>NT</v>
      </c>
      <c r="M353" s="8"/>
    </row>
    <row r="354" spans="4:15" x14ac:dyDescent="0.25">
      <c r="D354" s="8" t="str" cm="1">
        <f t="array" ref="D354">Common_InputFunctions.Utility_DisplayArrayInTable(SourceData_PastureBeef.SourceData_PastureBeef_StandardReferenceWeights_Data(), Table_SourceData_PastureBeef_StandardReferenceWeights[[#Headers],[State]], 0)</f>
        <v>Queensland</v>
      </c>
      <c r="E354" s="10" cm="1">
        <f t="array" ref="E354">Common_InputFunctions.Utility_DisplayArrayInTable(SourceData_PastureBeef.SourceData_PastureBeef_StandardReferenceWeights_Data(), Table_SourceData_PastureBeef_StandardReferenceWeights[[#Headers],[State]], 0)</f>
        <v>770</v>
      </c>
      <c r="F354" s="10" cm="1">
        <f t="array" ref="F354">Common_InputFunctions.Utility_DisplayArrayInTable(SourceData_PastureBeef.SourceData_PastureBeef_StandardReferenceWeights_Data(), Table_SourceData_PastureBeef_StandardReferenceWeights[[#Headers],[State]], 0)</f>
        <v>770</v>
      </c>
      <c r="G354" s="10" cm="1">
        <f t="array" ref="G354">Common_InputFunctions.Utility_DisplayArrayInTable(SourceData_PastureBeef.SourceData_PastureBeef_StandardReferenceWeights_Data(), Table_SourceData_PastureBeef_StandardReferenceWeights[[#Headers],[State]], 0)</f>
        <v>550</v>
      </c>
      <c r="H354" s="10" cm="1">
        <f t="array" ref="H354">Common_InputFunctions.Utility_DisplayArrayInTable(SourceData_PastureBeef.SourceData_PastureBeef_StandardReferenceWeights_Data(), Table_SourceData_PastureBeef_StandardReferenceWeights[[#Headers],[State]], 0)</f>
        <v>550</v>
      </c>
      <c r="I354" s="10" cm="1">
        <f t="array" ref="I354">Common_InputFunctions.Utility_DisplayArrayInTable(SourceData_PastureBeef.SourceData_PastureBeef_StandardReferenceWeights_Data(), Table_SourceData_PastureBeef_StandardReferenceWeights[[#Headers],[State]], 0)</f>
        <v>550</v>
      </c>
      <c r="J354" s="10" cm="1">
        <f t="array" ref="J354">Common_InputFunctions.Utility_DisplayArrayInTable(SourceData_PastureBeef.SourceData_PastureBeef_StandardReferenceWeights_Data(), Table_SourceData_PastureBeef_StandardReferenceWeights[[#Headers],[State]], 0)</f>
        <v>660</v>
      </c>
      <c r="K354" s="10" cm="1">
        <f t="array" ref="K354">Common_InputFunctions.Utility_DisplayArrayInTable(SourceData_PastureBeef.SourceData_PastureBeef_StandardReferenceWeights_Data(), Table_SourceData_PastureBeef_StandardReferenceWeights[[#Headers],[State]], 0)</f>
        <v>660</v>
      </c>
      <c r="L354" s="10" t="str" cm="1">
        <f t="array" ref="L354">Common_InputFunctions.Utility_DisplayArrayInTable(SourceData_PastureBeef.SourceData_PastureBeef_StandardReferenceWeights_Data(), Table_SourceData_PastureBeef_StandardReferenceWeights[[#Headers],[State]], 0)</f>
        <v>QLD</v>
      </c>
      <c r="M354" s="8"/>
    </row>
    <row r="355" spans="4:15" x14ac:dyDescent="0.25">
      <c r="D355" s="8" t="str" cm="1">
        <f t="array" ref="D355">Common_InputFunctions.Utility_DisplayArrayInTable(SourceData_PastureBeef.SourceData_PastureBeef_StandardReferenceWeights_Data(), Table_SourceData_PastureBeef_StandardReferenceWeights[[#Headers],[State]], 0)</f>
        <v>South Australia</v>
      </c>
      <c r="E355" s="10" cm="1">
        <f t="array" ref="E355">Common_InputFunctions.Utility_DisplayArrayInTable(SourceData_PastureBeef.SourceData_PastureBeef_StandardReferenceWeights_Data(), Table_SourceData_PastureBeef_StandardReferenceWeights[[#Headers],[State]], 0)</f>
        <v>770</v>
      </c>
      <c r="F355" s="10" cm="1">
        <f t="array" ref="F355">Common_InputFunctions.Utility_DisplayArrayInTable(SourceData_PastureBeef.SourceData_PastureBeef_StandardReferenceWeights_Data(), Table_SourceData_PastureBeef_StandardReferenceWeights[[#Headers],[State]], 0)</f>
        <v>770</v>
      </c>
      <c r="G355" s="10" cm="1">
        <f t="array" ref="G355">Common_InputFunctions.Utility_DisplayArrayInTable(SourceData_PastureBeef.SourceData_PastureBeef_StandardReferenceWeights_Data(), Table_SourceData_PastureBeef_StandardReferenceWeights[[#Headers],[State]], 0)</f>
        <v>550</v>
      </c>
      <c r="H355" s="10" cm="1">
        <f t="array" ref="H355">Common_InputFunctions.Utility_DisplayArrayInTable(SourceData_PastureBeef.SourceData_PastureBeef_StandardReferenceWeights_Data(), Table_SourceData_PastureBeef_StandardReferenceWeights[[#Headers],[State]], 0)</f>
        <v>550</v>
      </c>
      <c r="I355" s="10" cm="1">
        <f t="array" ref="I355">Common_InputFunctions.Utility_DisplayArrayInTable(SourceData_PastureBeef.SourceData_PastureBeef_StandardReferenceWeights_Data(), Table_SourceData_PastureBeef_StandardReferenceWeights[[#Headers],[State]], 0)</f>
        <v>550</v>
      </c>
      <c r="J355" s="10" cm="1">
        <f t="array" ref="J355">Common_InputFunctions.Utility_DisplayArrayInTable(SourceData_PastureBeef.SourceData_PastureBeef_StandardReferenceWeights_Data(), Table_SourceData_PastureBeef_StandardReferenceWeights[[#Headers],[State]], 0)</f>
        <v>660</v>
      </c>
      <c r="K355" s="10" cm="1">
        <f t="array" ref="K355">Common_InputFunctions.Utility_DisplayArrayInTable(SourceData_PastureBeef.SourceData_PastureBeef_StandardReferenceWeights_Data(), Table_SourceData_PastureBeef_StandardReferenceWeights[[#Headers],[State]], 0)</f>
        <v>660</v>
      </c>
      <c r="L355" s="10" t="str" cm="1">
        <f t="array" ref="L355">Common_InputFunctions.Utility_DisplayArrayInTable(SourceData_PastureBeef.SourceData_PastureBeef_StandardReferenceWeights_Data(), Table_SourceData_PastureBeef_StandardReferenceWeights[[#Headers],[State]], 0)</f>
        <v>SA</v>
      </c>
      <c r="M355" s="8"/>
    </row>
    <row r="356" spans="4:15" x14ac:dyDescent="0.25">
      <c r="D356" s="8" t="str" cm="1">
        <f t="array" ref="D356">Common_InputFunctions.Utility_DisplayArrayInTable(SourceData_PastureBeef.SourceData_PastureBeef_StandardReferenceWeights_Data(), Table_SourceData_PastureBeef_StandardReferenceWeights[[#Headers],[State]], 0)</f>
        <v>Tasmania</v>
      </c>
      <c r="E356" s="10" cm="1">
        <f t="array" ref="E356">Common_InputFunctions.Utility_DisplayArrayInTable(SourceData_PastureBeef.SourceData_PastureBeef_StandardReferenceWeights_Data(), Table_SourceData_PastureBeef_StandardReferenceWeights[[#Headers],[State]], 0)</f>
        <v>770</v>
      </c>
      <c r="F356" s="10" cm="1">
        <f t="array" ref="F356">Common_InputFunctions.Utility_DisplayArrayInTable(SourceData_PastureBeef.SourceData_PastureBeef_StandardReferenceWeights_Data(), Table_SourceData_PastureBeef_StandardReferenceWeights[[#Headers],[State]], 0)</f>
        <v>770</v>
      </c>
      <c r="G356" s="10" cm="1">
        <f t="array" ref="G356">Common_InputFunctions.Utility_DisplayArrayInTable(SourceData_PastureBeef.SourceData_PastureBeef_StandardReferenceWeights_Data(), Table_SourceData_PastureBeef_StandardReferenceWeights[[#Headers],[State]], 0)</f>
        <v>550</v>
      </c>
      <c r="H356" s="10" cm="1">
        <f t="array" ref="H356">Common_InputFunctions.Utility_DisplayArrayInTable(SourceData_PastureBeef.SourceData_PastureBeef_StandardReferenceWeights_Data(), Table_SourceData_PastureBeef_StandardReferenceWeights[[#Headers],[State]], 0)</f>
        <v>550</v>
      </c>
      <c r="I356" s="10" cm="1">
        <f t="array" ref="I356">Common_InputFunctions.Utility_DisplayArrayInTable(SourceData_PastureBeef.SourceData_PastureBeef_StandardReferenceWeights_Data(), Table_SourceData_PastureBeef_StandardReferenceWeights[[#Headers],[State]], 0)</f>
        <v>550</v>
      </c>
      <c r="J356" s="10" cm="1">
        <f t="array" ref="J356">Common_InputFunctions.Utility_DisplayArrayInTable(SourceData_PastureBeef.SourceData_PastureBeef_StandardReferenceWeights_Data(), Table_SourceData_PastureBeef_StandardReferenceWeights[[#Headers],[State]], 0)</f>
        <v>660</v>
      </c>
      <c r="K356" s="10" cm="1">
        <f t="array" ref="K356">Common_InputFunctions.Utility_DisplayArrayInTable(SourceData_PastureBeef.SourceData_PastureBeef_StandardReferenceWeights_Data(), Table_SourceData_PastureBeef_StandardReferenceWeights[[#Headers],[State]], 0)</f>
        <v>660</v>
      </c>
      <c r="L356" s="10" t="str" cm="1">
        <f t="array" ref="L356">Common_InputFunctions.Utility_DisplayArrayInTable(SourceData_PastureBeef.SourceData_PastureBeef_StandardReferenceWeights_Data(), Table_SourceData_PastureBeef_StandardReferenceWeights[[#Headers],[State]], 0)</f>
        <v>TAS</v>
      </c>
      <c r="M356" s="8"/>
    </row>
    <row r="357" spans="4:15" x14ac:dyDescent="0.25">
      <c r="D357" s="8" t="str" cm="1">
        <f t="array" ref="D357">Common_InputFunctions.Utility_DisplayArrayInTable(SourceData_PastureBeef.SourceData_PastureBeef_StandardReferenceWeights_Data(), Table_SourceData_PastureBeef_StandardReferenceWeights[[#Headers],[State]], 0)</f>
        <v>Victoria</v>
      </c>
      <c r="E357" s="10" cm="1">
        <f t="array" ref="E357">Common_InputFunctions.Utility_DisplayArrayInTable(SourceData_PastureBeef.SourceData_PastureBeef_StandardReferenceWeights_Data(), Table_SourceData_PastureBeef_StandardReferenceWeights[[#Headers],[State]], 0)</f>
        <v>770</v>
      </c>
      <c r="F357" s="10" cm="1">
        <f t="array" ref="F357">Common_InputFunctions.Utility_DisplayArrayInTable(SourceData_PastureBeef.SourceData_PastureBeef_StandardReferenceWeights_Data(), Table_SourceData_PastureBeef_StandardReferenceWeights[[#Headers],[State]], 0)</f>
        <v>770</v>
      </c>
      <c r="G357" s="10" cm="1">
        <f t="array" ref="G357">Common_InputFunctions.Utility_DisplayArrayInTable(SourceData_PastureBeef.SourceData_PastureBeef_StandardReferenceWeights_Data(), Table_SourceData_PastureBeef_StandardReferenceWeights[[#Headers],[State]], 0)</f>
        <v>550</v>
      </c>
      <c r="H357" s="10" cm="1">
        <f t="array" ref="H357">Common_InputFunctions.Utility_DisplayArrayInTable(SourceData_PastureBeef.SourceData_PastureBeef_StandardReferenceWeights_Data(), Table_SourceData_PastureBeef_StandardReferenceWeights[[#Headers],[State]], 0)</f>
        <v>550</v>
      </c>
      <c r="I357" s="10" cm="1">
        <f t="array" ref="I357">Common_InputFunctions.Utility_DisplayArrayInTable(SourceData_PastureBeef.SourceData_PastureBeef_StandardReferenceWeights_Data(), Table_SourceData_PastureBeef_StandardReferenceWeights[[#Headers],[State]], 0)</f>
        <v>550</v>
      </c>
      <c r="J357" s="10" cm="1">
        <f t="array" ref="J357">Common_InputFunctions.Utility_DisplayArrayInTable(SourceData_PastureBeef.SourceData_PastureBeef_StandardReferenceWeights_Data(), Table_SourceData_PastureBeef_StandardReferenceWeights[[#Headers],[State]], 0)</f>
        <v>660</v>
      </c>
      <c r="K357" s="10" cm="1">
        <f t="array" ref="K357">Common_InputFunctions.Utility_DisplayArrayInTable(SourceData_PastureBeef.SourceData_PastureBeef_StandardReferenceWeights_Data(), Table_SourceData_PastureBeef_StandardReferenceWeights[[#Headers],[State]], 0)</f>
        <v>660</v>
      </c>
      <c r="L357" s="10" t="str" cm="1">
        <f t="array" ref="L357">Common_InputFunctions.Utility_DisplayArrayInTable(SourceData_PastureBeef.SourceData_PastureBeef_StandardReferenceWeights_Data(), Table_SourceData_PastureBeef_StandardReferenceWeights[[#Headers],[State]], 0)</f>
        <v>VIC</v>
      </c>
      <c r="M357" s="8"/>
    </row>
    <row r="358" spans="4:15" x14ac:dyDescent="0.25">
      <c r="D358" s="8" t="str" cm="1">
        <f t="array" ref="D358">Common_InputFunctions.Utility_DisplayArrayInTable(SourceData_PastureBeef.SourceData_PastureBeef_StandardReferenceWeights_Data(), Table_SourceData_PastureBeef_StandardReferenceWeights[[#Headers],[State]], 0)</f>
        <v>Western Australia</v>
      </c>
      <c r="E358" s="10" cm="1">
        <f t="array" ref="E358">Common_InputFunctions.Utility_DisplayArrayInTable(SourceData_PastureBeef.SourceData_PastureBeef_StandardReferenceWeights_Data(), Table_SourceData_PastureBeef_StandardReferenceWeights[[#Headers],[State]], 0)</f>
        <v>770</v>
      </c>
      <c r="F358" s="10" cm="1">
        <f t="array" ref="F358">Common_InputFunctions.Utility_DisplayArrayInTable(SourceData_PastureBeef.SourceData_PastureBeef_StandardReferenceWeights_Data(), Table_SourceData_PastureBeef_StandardReferenceWeights[[#Headers],[State]], 0)</f>
        <v>770</v>
      </c>
      <c r="G358" s="10" cm="1">
        <f t="array" ref="G358">Common_InputFunctions.Utility_DisplayArrayInTable(SourceData_PastureBeef.SourceData_PastureBeef_StandardReferenceWeights_Data(), Table_SourceData_PastureBeef_StandardReferenceWeights[[#Headers],[State]], 0)</f>
        <v>550</v>
      </c>
      <c r="H358" s="10" cm="1">
        <f t="array" ref="H358">Common_InputFunctions.Utility_DisplayArrayInTable(SourceData_PastureBeef.SourceData_PastureBeef_StandardReferenceWeights_Data(), Table_SourceData_PastureBeef_StandardReferenceWeights[[#Headers],[State]], 0)</f>
        <v>550</v>
      </c>
      <c r="I358" s="10" cm="1">
        <f t="array" ref="I358">Common_InputFunctions.Utility_DisplayArrayInTable(SourceData_PastureBeef.SourceData_PastureBeef_StandardReferenceWeights_Data(), Table_SourceData_PastureBeef_StandardReferenceWeights[[#Headers],[State]], 0)</f>
        <v>550</v>
      </c>
      <c r="J358" s="10" cm="1">
        <f t="array" ref="J358">Common_InputFunctions.Utility_DisplayArrayInTable(SourceData_PastureBeef.SourceData_PastureBeef_StandardReferenceWeights_Data(), Table_SourceData_PastureBeef_StandardReferenceWeights[[#Headers],[State]], 0)</f>
        <v>660</v>
      </c>
      <c r="K358" s="10" cm="1">
        <f t="array" ref="K358">Common_InputFunctions.Utility_DisplayArrayInTable(SourceData_PastureBeef.SourceData_PastureBeef_StandardReferenceWeights_Data(), Table_SourceData_PastureBeef_StandardReferenceWeights[[#Headers],[State]], 0)</f>
        <v>660</v>
      </c>
      <c r="L358" s="10" t="str" cm="1">
        <f t="array" ref="L358">Common_InputFunctions.Utility_DisplayArrayInTable(SourceData_PastureBeef.SourceData_PastureBeef_StandardReferenceWeights_Data(), Table_SourceData_PastureBeef_StandardReferenceWeights[[#Headers],[State]], 0)</f>
        <v>WA</v>
      </c>
      <c r="M358" s="8"/>
    </row>
    <row r="359" spans="4:15" x14ac:dyDescent="0.25">
      <c r="M359" s="8"/>
    </row>
    <row r="360" spans="4:15" x14ac:dyDescent="0.25">
      <c r="M360" s="8"/>
    </row>
    <row r="361" spans="4:15" x14ac:dyDescent="0.25">
      <c r="D361" s="10" t="s">
        <v>273</v>
      </c>
      <c r="E361" s="155" t="s">
        <v>476</v>
      </c>
      <c r="F361" s="155" t="s">
        <v>477</v>
      </c>
      <c r="G361" s="155" t="s">
        <v>478</v>
      </c>
      <c r="H361" s="155" t="s">
        <v>479</v>
      </c>
      <c r="I361" s="155" t="s">
        <v>480</v>
      </c>
      <c r="J361" s="155" t="s">
        <v>481</v>
      </c>
      <c r="K361" s="155" t="s">
        <v>482</v>
      </c>
      <c r="L361" s="155" t="s">
        <v>483</v>
      </c>
      <c r="M361" s="155" t="s">
        <v>484</v>
      </c>
      <c r="N361" s="155" t="s">
        <v>485</v>
      </c>
      <c r="O361" s="10" t="s">
        <v>504</v>
      </c>
    </row>
    <row r="362" spans="4:15" x14ac:dyDescent="0.25">
      <c r="D362" s="10" t="str">
        <f>D351</f>
        <v>ACT</v>
      </c>
      <c r="E362" s="10">
        <f t="shared" ref="E362:H362" si="53">E351</f>
        <v>700</v>
      </c>
      <c r="F362" s="10">
        <f t="shared" si="53"/>
        <v>700</v>
      </c>
      <c r="G362" s="10">
        <f t="shared" si="53"/>
        <v>500</v>
      </c>
      <c r="H362" s="10">
        <f t="shared" si="53"/>
        <v>500</v>
      </c>
      <c r="I362" s="10">
        <f>I351</f>
        <v>500</v>
      </c>
      <c r="J362" s="10">
        <f>I351</f>
        <v>500</v>
      </c>
      <c r="K362" s="10">
        <f t="shared" ref="K362" si="54">J351</f>
        <v>600</v>
      </c>
      <c r="L362" s="10">
        <f>K351</f>
        <v>600</v>
      </c>
      <c r="M362" s="10">
        <f>K351</f>
        <v>600</v>
      </c>
      <c r="N362" s="10">
        <f>K351</f>
        <v>600</v>
      </c>
      <c r="O362" s="10" t="str">
        <f>L351</f>
        <v>ACT</v>
      </c>
    </row>
    <row r="363" spans="4:15" x14ac:dyDescent="0.25">
      <c r="D363" s="10" t="str">
        <f t="shared" ref="D363:I369" si="55">D352</f>
        <v>NSW</v>
      </c>
      <c r="E363" s="10">
        <f t="shared" si="55"/>
        <v>700</v>
      </c>
      <c r="F363" s="10">
        <f t="shared" si="55"/>
        <v>700</v>
      </c>
      <c r="G363" s="10">
        <f t="shared" si="55"/>
        <v>500</v>
      </c>
      <c r="H363" s="10">
        <f t="shared" si="55"/>
        <v>500</v>
      </c>
      <c r="I363" s="10">
        <f t="shared" si="55"/>
        <v>500</v>
      </c>
      <c r="J363" s="10">
        <f t="shared" ref="J363:L369" si="56">I352</f>
        <v>500</v>
      </c>
      <c r="K363" s="10">
        <f t="shared" si="56"/>
        <v>600</v>
      </c>
      <c r="L363" s="10">
        <f t="shared" si="56"/>
        <v>600</v>
      </c>
      <c r="M363" s="10">
        <f t="shared" ref="M363:M369" si="57">K352</f>
        <v>600</v>
      </c>
      <c r="N363" s="10">
        <f t="shared" ref="N363:O369" si="58">K352</f>
        <v>600</v>
      </c>
      <c r="O363" s="10" t="str">
        <f t="shared" si="58"/>
        <v>NSW</v>
      </c>
    </row>
    <row r="364" spans="4:15" x14ac:dyDescent="0.25">
      <c r="D364" s="10" t="str">
        <f t="shared" si="55"/>
        <v>Northern Territory</v>
      </c>
      <c r="E364" s="10">
        <f t="shared" si="55"/>
        <v>770</v>
      </c>
      <c r="F364" s="10">
        <f t="shared" si="55"/>
        <v>770</v>
      </c>
      <c r="G364" s="10">
        <f t="shared" si="55"/>
        <v>550</v>
      </c>
      <c r="H364" s="10">
        <f t="shared" si="55"/>
        <v>550</v>
      </c>
      <c r="I364" s="10">
        <f t="shared" si="55"/>
        <v>550</v>
      </c>
      <c r="J364" s="10">
        <f t="shared" si="56"/>
        <v>550</v>
      </c>
      <c r="K364" s="10">
        <f t="shared" si="56"/>
        <v>660</v>
      </c>
      <c r="L364" s="10">
        <f t="shared" si="56"/>
        <v>660</v>
      </c>
      <c r="M364" s="10">
        <f t="shared" si="57"/>
        <v>660</v>
      </c>
      <c r="N364" s="10">
        <f t="shared" si="58"/>
        <v>660</v>
      </c>
      <c r="O364" s="10" t="str">
        <f t="shared" si="58"/>
        <v>NT</v>
      </c>
    </row>
    <row r="365" spans="4:15" x14ac:dyDescent="0.25">
      <c r="D365" s="10" t="str">
        <f t="shared" si="55"/>
        <v>Queensland</v>
      </c>
      <c r="E365" s="10">
        <f t="shared" si="55"/>
        <v>770</v>
      </c>
      <c r="F365" s="10">
        <f t="shared" si="55"/>
        <v>770</v>
      </c>
      <c r="G365" s="10">
        <f t="shared" si="55"/>
        <v>550</v>
      </c>
      <c r="H365" s="10">
        <f t="shared" si="55"/>
        <v>550</v>
      </c>
      <c r="I365" s="10">
        <f t="shared" si="55"/>
        <v>550</v>
      </c>
      <c r="J365" s="10">
        <f t="shared" si="56"/>
        <v>550</v>
      </c>
      <c r="K365" s="10">
        <f t="shared" si="56"/>
        <v>660</v>
      </c>
      <c r="L365" s="10">
        <f t="shared" si="56"/>
        <v>660</v>
      </c>
      <c r="M365" s="10">
        <f t="shared" si="57"/>
        <v>660</v>
      </c>
      <c r="N365" s="10">
        <f t="shared" si="58"/>
        <v>660</v>
      </c>
      <c r="O365" s="10" t="str">
        <f t="shared" si="58"/>
        <v>QLD</v>
      </c>
    </row>
    <row r="366" spans="4:15" x14ac:dyDescent="0.25">
      <c r="D366" s="10" t="str">
        <f t="shared" si="55"/>
        <v>South Australia</v>
      </c>
      <c r="E366" s="10">
        <f t="shared" si="55"/>
        <v>770</v>
      </c>
      <c r="F366" s="10">
        <f t="shared" si="55"/>
        <v>770</v>
      </c>
      <c r="G366" s="10">
        <f t="shared" si="55"/>
        <v>550</v>
      </c>
      <c r="H366" s="10">
        <f t="shared" si="55"/>
        <v>550</v>
      </c>
      <c r="I366" s="10">
        <f t="shared" si="55"/>
        <v>550</v>
      </c>
      <c r="J366" s="10">
        <f t="shared" si="56"/>
        <v>550</v>
      </c>
      <c r="K366" s="10">
        <f t="shared" si="56"/>
        <v>660</v>
      </c>
      <c r="L366" s="10">
        <f t="shared" si="56"/>
        <v>660</v>
      </c>
      <c r="M366" s="10">
        <f t="shared" si="57"/>
        <v>660</v>
      </c>
      <c r="N366" s="10">
        <f t="shared" si="58"/>
        <v>660</v>
      </c>
      <c r="O366" s="10" t="str">
        <f t="shared" si="58"/>
        <v>SA</v>
      </c>
    </row>
    <row r="367" spans="4:15" x14ac:dyDescent="0.25">
      <c r="D367" s="10" t="str">
        <f t="shared" si="55"/>
        <v>Tasmania</v>
      </c>
      <c r="E367" s="10">
        <f t="shared" si="55"/>
        <v>770</v>
      </c>
      <c r="F367" s="10">
        <f t="shared" si="55"/>
        <v>770</v>
      </c>
      <c r="G367" s="10">
        <f t="shared" si="55"/>
        <v>550</v>
      </c>
      <c r="H367" s="10">
        <f t="shared" si="55"/>
        <v>550</v>
      </c>
      <c r="I367" s="10">
        <f t="shared" si="55"/>
        <v>550</v>
      </c>
      <c r="J367" s="10">
        <f t="shared" si="56"/>
        <v>550</v>
      </c>
      <c r="K367" s="10">
        <f t="shared" si="56"/>
        <v>660</v>
      </c>
      <c r="L367" s="10">
        <f t="shared" si="56"/>
        <v>660</v>
      </c>
      <c r="M367" s="10">
        <f t="shared" si="57"/>
        <v>660</v>
      </c>
      <c r="N367" s="10">
        <f t="shared" si="58"/>
        <v>660</v>
      </c>
      <c r="O367" s="10" t="str">
        <f t="shared" si="58"/>
        <v>TAS</v>
      </c>
    </row>
    <row r="368" spans="4:15" x14ac:dyDescent="0.25">
      <c r="D368" s="10" t="str">
        <f t="shared" si="55"/>
        <v>Victoria</v>
      </c>
      <c r="E368" s="10">
        <f t="shared" si="55"/>
        <v>770</v>
      </c>
      <c r="F368" s="10">
        <f t="shared" si="55"/>
        <v>770</v>
      </c>
      <c r="G368" s="10">
        <f t="shared" si="55"/>
        <v>550</v>
      </c>
      <c r="H368" s="10">
        <f t="shared" si="55"/>
        <v>550</v>
      </c>
      <c r="I368" s="10">
        <f t="shared" si="55"/>
        <v>550</v>
      </c>
      <c r="J368" s="10">
        <f t="shared" si="56"/>
        <v>550</v>
      </c>
      <c r="K368" s="10">
        <f t="shared" si="56"/>
        <v>660</v>
      </c>
      <c r="L368" s="10">
        <f t="shared" si="56"/>
        <v>660</v>
      </c>
      <c r="M368" s="10">
        <f t="shared" si="57"/>
        <v>660</v>
      </c>
      <c r="N368" s="10">
        <f t="shared" si="58"/>
        <v>660</v>
      </c>
      <c r="O368" s="10" t="str">
        <f t="shared" si="58"/>
        <v>VIC</v>
      </c>
    </row>
    <row r="369" spans="4:15" x14ac:dyDescent="0.25">
      <c r="D369" s="10" t="str">
        <f t="shared" si="55"/>
        <v>Western Australia</v>
      </c>
      <c r="E369" s="10">
        <f t="shared" si="55"/>
        <v>770</v>
      </c>
      <c r="F369" s="10">
        <f t="shared" si="55"/>
        <v>770</v>
      </c>
      <c r="G369" s="10">
        <f t="shared" si="55"/>
        <v>550</v>
      </c>
      <c r="H369" s="10">
        <f t="shared" si="55"/>
        <v>550</v>
      </c>
      <c r="I369" s="10">
        <f t="shared" si="55"/>
        <v>550</v>
      </c>
      <c r="J369" s="10">
        <f t="shared" si="56"/>
        <v>550</v>
      </c>
      <c r="K369" s="10">
        <f t="shared" si="56"/>
        <v>660</v>
      </c>
      <c r="L369" s="10">
        <f t="shared" si="56"/>
        <v>660</v>
      </c>
      <c r="M369" s="10">
        <f t="shared" si="57"/>
        <v>660</v>
      </c>
      <c r="N369" s="10">
        <f t="shared" si="58"/>
        <v>660</v>
      </c>
      <c r="O369" s="10" t="str">
        <f t="shared" si="58"/>
        <v>WA</v>
      </c>
    </row>
    <row r="370" spans="4:15" x14ac:dyDescent="0.25">
      <c r="M370" s="8"/>
    </row>
    <row r="371" spans="4:15" x14ac:dyDescent="0.25">
      <c r="M371" s="8"/>
    </row>
    <row r="372" spans="4:15" ht="23.25" x14ac:dyDescent="0.25">
      <c r="D372" s="9" t="str" cm="1">
        <f t="array" ref="D372">SourceData_PastureBeef.SourceData_PastureBeef_FractionOfManureToMMS_Title()</f>
        <v>Beef pasture cattle - Fraction of manure to each manure management system (fraction) (MMSm)</v>
      </c>
      <c r="M372" s="8"/>
    </row>
    <row r="373" spans="4:15" x14ac:dyDescent="0.25">
      <c r="D373" s="11" t="str" cm="1">
        <f t="array" ref="D373">SourceData_PastureBeef.SourceData_PastureBeef_FractionOfManureToMMS_Source()</f>
        <v>VEERG 2026: Table A.1.2.9</v>
      </c>
      <c r="M373" s="8"/>
    </row>
    <row r="374" spans="4:15" x14ac:dyDescent="0.25">
      <c r="D374" s="8" t="str" cm="1">
        <f t="array" ref="D374">SourceData_PastureBeef.SourceData_PastureBeef_FractionOfManureToMMS_Variable()</f>
        <v>MMSm</v>
      </c>
      <c r="M374" s="8"/>
    </row>
    <row r="375" spans="4:15" x14ac:dyDescent="0.25">
      <c r="D375" s="13" t="str" cm="1">
        <f t="array" ref="D375">SourceData_PastureBeef.SourceData_PastureBeef_FractionOfManureToMMS_Unit()</f>
        <v>fraction</v>
      </c>
      <c r="E375" s="156" t="s">
        <v>505</v>
      </c>
      <c r="M375" s="8"/>
    </row>
    <row r="376" spans="4:15" x14ac:dyDescent="0.25">
      <c r="D376" s="12" t="str" cm="1">
        <f t="array" ref="D376">SourceData_PastureBeef.SourceData_PastureBeef_FractionOfManureToMMS_Variation()</f>
        <v>VARIATION ON SOURCE: Removed comma from 'Pasture range and paddock' to aid lookup</v>
      </c>
      <c r="M376" s="8"/>
    </row>
    <row r="377" spans="4:15" x14ac:dyDescent="0.25">
      <c r="D377" s="10" t="s">
        <v>273</v>
      </c>
      <c r="E377" s="10" t="s">
        <v>378</v>
      </c>
      <c r="F377" s="10" t="s">
        <v>62</v>
      </c>
      <c r="G377" s="10" t="s">
        <v>506</v>
      </c>
      <c r="M377" s="8"/>
    </row>
    <row r="378" spans="4:15" x14ac:dyDescent="0.25">
      <c r="D378" s="10" t="str" cm="1">
        <f t="array" ref="D378">Common_InputFunctions.Utility_DisplayArrayInTable(SourceData_PastureBeef.SourceData_PastureBeef_FractionOfManureToMMS_Data(),Table_SourceData_PastureBeef_FractionManureToMMS[[#Headers],[State]], 0)</f>
        <v>ACT</v>
      </c>
      <c r="E378" s="10" t="str" cm="1">
        <f t="array" ref="E378">Common_InputFunctions.Utility_DisplayArrayInTable(SourceData_PastureBeef.SourceData_PastureBeef_FractionOfManureToMMS_Data(),Table_SourceData_PastureBeef_FractionManureToMMS[[#Headers],[State]], 0)</f>
        <v>n/a</v>
      </c>
      <c r="F378" s="10" cm="1">
        <f t="array" ref="F378">Common_InputFunctions.Utility_DisplayArrayInTable(SourceData_PastureBeef.SourceData_PastureBeef_FractionOfManureToMMS_Data(),Table_SourceData_PastureBeef_FractionManureToMMS[[#Headers],[State]], 0)</f>
        <v>99.191999999999993</v>
      </c>
      <c r="G378" s="10" cm="1">
        <f t="array" ref="G378">Common_InputFunctions.Utility_DisplayArrayInTable(SourceData_PastureBeef.SourceData_PastureBeef_FractionOfManureToMMS_Data(),Table_SourceData_PastureBeef_FractionManureToMMS[[#Headers],[State]], 0)</f>
        <v>0.80800000000000005</v>
      </c>
      <c r="M378" s="8"/>
    </row>
    <row r="379" spans="4:15" x14ac:dyDescent="0.25">
      <c r="D379" s="8" t="str" cm="1">
        <f t="array" ref="D379">Common_InputFunctions.Utility_DisplayArrayInTable(SourceData_PastureBeef.SourceData_PastureBeef_FractionOfManureToMMS_Data(),Table_SourceData_PastureBeef_FractionManureToMMS[[#Headers],[State]], 0)</f>
        <v>NSW</v>
      </c>
      <c r="E379" s="10" t="str" cm="1">
        <f t="array" ref="E379">Common_InputFunctions.Utility_DisplayArrayInTable(SourceData_PastureBeef.SourceData_PastureBeef_FractionOfManureToMMS_Data(),Table_SourceData_PastureBeef_FractionManureToMMS[[#Headers],[State]], 0)</f>
        <v>n/a</v>
      </c>
      <c r="F379" s="10" cm="1">
        <f t="array" ref="F379">Common_InputFunctions.Utility_DisplayArrayInTable(SourceData_PastureBeef.SourceData_PastureBeef_FractionOfManureToMMS_Data(),Table_SourceData_PastureBeef_FractionManureToMMS[[#Headers],[State]], 0)</f>
        <v>99.451999999999998</v>
      </c>
      <c r="G379" s="10" cm="1">
        <f t="array" ref="G379">Common_InputFunctions.Utility_DisplayArrayInTable(SourceData_PastureBeef.SourceData_PastureBeef_FractionOfManureToMMS_Data(),Table_SourceData_PastureBeef_FractionManureToMMS[[#Headers],[State]], 0)</f>
        <v>0.54800000000000004</v>
      </c>
      <c r="M379" s="8"/>
    </row>
    <row r="380" spans="4:15" x14ac:dyDescent="0.25">
      <c r="D380" s="8" t="str" cm="1">
        <f t="array" ref="D380">Common_InputFunctions.Utility_DisplayArrayInTable(SourceData_PastureBeef.SourceData_PastureBeef_FractionOfManureToMMS_Data(),Table_SourceData_PastureBeef_FractionManureToMMS[[#Headers],[State]], 0)</f>
        <v>SA</v>
      </c>
      <c r="E380" s="10" t="str" cm="1">
        <f t="array" ref="E380">Common_InputFunctions.Utility_DisplayArrayInTable(SourceData_PastureBeef.SourceData_PastureBeef_FractionOfManureToMMS_Data(),Table_SourceData_PastureBeef_FractionManureToMMS[[#Headers],[State]], 0)</f>
        <v>n/a</v>
      </c>
      <c r="F380" s="10" cm="1">
        <f t="array" ref="F380">Common_InputFunctions.Utility_DisplayArrayInTable(SourceData_PastureBeef.SourceData_PastureBeef_FractionOfManureToMMS_Data(),Table_SourceData_PastureBeef_FractionManureToMMS[[#Headers],[State]], 0)</f>
        <v>99.759</v>
      </c>
      <c r="G380" s="10" cm="1">
        <f t="array" ref="G380">Common_InputFunctions.Utility_DisplayArrayInTable(SourceData_PastureBeef.SourceData_PastureBeef_FractionOfManureToMMS_Data(),Table_SourceData_PastureBeef_FractionManureToMMS[[#Headers],[State]], 0)</f>
        <v>0.24099999999999999</v>
      </c>
      <c r="M380" s="8"/>
    </row>
    <row r="381" spans="4:15" x14ac:dyDescent="0.25">
      <c r="D381" s="8" t="str" cm="1">
        <f t="array" ref="D381">Common_InputFunctions.Utility_DisplayArrayInTable(SourceData_PastureBeef.SourceData_PastureBeef_FractionOfManureToMMS_Data(),Table_SourceData_PastureBeef_FractionManureToMMS[[#Headers],[State]], 0)</f>
        <v>TAS</v>
      </c>
      <c r="E381" s="10" t="str" cm="1">
        <f t="array" ref="E381">Common_InputFunctions.Utility_DisplayArrayInTable(SourceData_PastureBeef.SourceData_PastureBeef_FractionOfManureToMMS_Data(),Table_SourceData_PastureBeef_FractionManureToMMS[[#Headers],[State]], 0)</f>
        <v>n/a</v>
      </c>
      <c r="F381" s="10" cm="1">
        <f t="array" ref="F381">Common_InputFunctions.Utility_DisplayArrayInTable(SourceData_PastureBeef.SourceData_PastureBeef_FractionOfManureToMMS_Data(),Table_SourceData_PastureBeef_FractionManureToMMS[[#Headers],[State]], 0)</f>
        <v>99.122</v>
      </c>
      <c r="G381" s="10" cm="1">
        <f t="array" ref="G381">Common_InputFunctions.Utility_DisplayArrayInTable(SourceData_PastureBeef.SourceData_PastureBeef_FractionOfManureToMMS_Data(),Table_SourceData_PastureBeef_FractionManureToMMS[[#Headers],[State]], 0)</f>
        <v>0.878</v>
      </c>
      <c r="M381" s="8"/>
    </row>
    <row r="382" spans="4:15" x14ac:dyDescent="0.25">
      <c r="D382" s="8" t="str" cm="1">
        <f t="array" ref="D382">Common_InputFunctions.Utility_DisplayArrayInTable(SourceData_PastureBeef.SourceData_PastureBeef_FractionOfManureToMMS_Data(),Table_SourceData_PastureBeef_FractionManureToMMS[[#Headers],[State]], 0)</f>
        <v>VIC</v>
      </c>
      <c r="E382" s="10" t="str" cm="1">
        <f t="array" ref="E382">Common_InputFunctions.Utility_DisplayArrayInTable(SourceData_PastureBeef.SourceData_PastureBeef_FractionOfManureToMMS_Data(),Table_SourceData_PastureBeef_FractionManureToMMS[[#Headers],[State]], 0)</f>
        <v>n/a</v>
      </c>
      <c r="F382" s="10" cm="1">
        <f t="array" ref="F382">Common_InputFunctions.Utility_DisplayArrayInTable(SourceData_PastureBeef.SourceData_PastureBeef_FractionOfManureToMMS_Data(),Table_SourceData_PastureBeef_FractionManureToMMS[[#Headers],[State]], 0)</f>
        <v>98.894000000000005</v>
      </c>
      <c r="G382" s="10" cm="1">
        <f t="array" ref="G382">Common_InputFunctions.Utility_DisplayArrayInTable(SourceData_PastureBeef.SourceData_PastureBeef_FractionOfManureToMMS_Data(),Table_SourceData_PastureBeef_FractionManureToMMS[[#Headers],[State]], 0)</f>
        <v>1.1060000000000001</v>
      </c>
      <c r="M382" s="8"/>
    </row>
    <row r="383" spans="4:15" x14ac:dyDescent="0.25">
      <c r="D383" s="8" t="str" cm="1">
        <f t="array" ref="D383">Common_InputFunctions.Utility_DisplayArrayInTable(SourceData_PastureBeef.SourceData_PastureBeef_FractionOfManureToMMS_Data(),Table_SourceData_PastureBeef_FractionManureToMMS[[#Headers],[State]], 0)</f>
        <v>WA</v>
      </c>
      <c r="E383" s="10" t="str" cm="1">
        <f t="array" ref="E383">Common_InputFunctions.Utility_DisplayArrayInTable(SourceData_PastureBeef.SourceData_PastureBeef_FractionOfManureToMMS_Data(),Table_SourceData_PastureBeef_FractionManureToMMS[[#Headers],[State]], 0)</f>
        <v>South West</v>
      </c>
      <c r="F383" s="10" cm="1">
        <f t="array" ref="F383">Common_InputFunctions.Utility_DisplayArrayInTable(SourceData_PastureBeef.SourceData_PastureBeef_FractionOfManureToMMS_Data(),Table_SourceData_PastureBeef_FractionManureToMMS[[#Headers],[State]], 0)</f>
        <v>99.622</v>
      </c>
      <c r="G383" s="10" cm="1">
        <f t="array" ref="G383">Common_InputFunctions.Utility_DisplayArrayInTable(SourceData_PastureBeef.SourceData_PastureBeef_FractionOfManureToMMS_Data(),Table_SourceData_PastureBeef_FractionManureToMMS[[#Headers],[State]], 0)</f>
        <v>0.378</v>
      </c>
      <c r="M383" s="8"/>
    </row>
    <row r="384" spans="4:15" x14ac:dyDescent="0.25">
      <c r="D384" s="8" t="str" cm="1">
        <f t="array" ref="D384">Common_InputFunctions.Utility_DisplayArrayInTable(SourceData_PastureBeef.SourceData_PastureBeef_FractionOfManureToMMS_Data(),Table_SourceData_PastureBeef_FractionManureToMMS[[#Headers],[State]], 0)</f>
        <v>WA</v>
      </c>
      <c r="E384" s="10" t="str" cm="1">
        <f t="array" ref="E384">Common_InputFunctions.Utility_DisplayArrayInTable(SourceData_PastureBeef.SourceData_PastureBeef_FractionOfManureToMMS_Data(),Table_SourceData_PastureBeef_FractionManureToMMS[[#Headers],[State]], 0)</f>
        <v>Pilbara</v>
      </c>
      <c r="F384" s="10" cm="1">
        <f t="array" ref="F384">Common_InputFunctions.Utility_DisplayArrayInTable(SourceData_PastureBeef.SourceData_PastureBeef_FractionOfManureToMMS_Data(),Table_SourceData_PastureBeef_FractionManureToMMS[[#Headers],[State]], 0)</f>
        <v>99.998999999999995</v>
      </c>
      <c r="G384" s="10" cm="1">
        <f t="array" ref="G384">Common_InputFunctions.Utility_DisplayArrayInTable(SourceData_PastureBeef.SourceData_PastureBeef_FractionOfManureToMMS_Data(),Table_SourceData_PastureBeef_FractionManureToMMS[[#Headers],[State]], 0)</f>
        <v>1E-3</v>
      </c>
      <c r="M384" s="8"/>
    </row>
    <row r="385" spans="4:13" x14ac:dyDescent="0.25">
      <c r="D385" s="8" t="str" cm="1">
        <f t="array" ref="D385">Common_InputFunctions.Utility_DisplayArrayInTable(SourceData_PastureBeef.SourceData_PastureBeef_FractionOfManureToMMS_Data(),Table_SourceData_PastureBeef_FractionManureToMMS[[#Headers],[State]], 0)</f>
        <v>WA</v>
      </c>
      <c r="E385" s="10" t="str" cm="1">
        <f t="array" ref="E385">Common_InputFunctions.Utility_DisplayArrayInTable(SourceData_PastureBeef.SourceData_PastureBeef_FractionOfManureToMMS_Data(),Table_SourceData_PastureBeef_FractionManureToMMS[[#Headers],[State]], 0)</f>
        <v>Kimberley</v>
      </c>
      <c r="F385" s="10" cm="1">
        <f t="array" ref="F385">Common_InputFunctions.Utility_DisplayArrayInTable(SourceData_PastureBeef.SourceData_PastureBeef_FractionOfManureToMMS_Data(),Table_SourceData_PastureBeef_FractionManureToMMS[[#Headers],[State]], 0)</f>
        <v>99.998999999999995</v>
      </c>
      <c r="G385" s="10" cm="1">
        <f t="array" ref="G385">Common_InputFunctions.Utility_DisplayArrayInTable(SourceData_PastureBeef.SourceData_PastureBeef_FractionOfManureToMMS_Data(),Table_SourceData_PastureBeef_FractionManureToMMS[[#Headers],[State]], 0)</f>
        <v>1E-3</v>
      </c>
      <c r="M385" s="8"/>
    </row>
    <row r="386" spans="4:13" x14ac:dyDescent="0.25">
      <c r="D386" s="8" t="str" cm="1">
        <f t="array" ref="D386">Common_InputFunctions.Utility_DisplayArrayInTable(SourceData_PastureBeef.SourceData_PastureBeef_FractionOfManureToMMS_Data(),Table_SourceData_PastureBeef_FractionManureToMMS[[#Headers],[State]], 0)</f>
        <v>NT</v>
      </c>
      <c r="E386" s="10" t="str" cm="1">
        <f t="array" ref="E386">Common_InputFunctions.Utility_DisplayArrayInTable(SourceData_PastureBeef.SourceData_PastureBeef_FractionOfManureToMMS_Data(),Table_SourceData_PastureBeef_FractionManureToMMS[[#Headers],[State]], 0)</f>
        <v>Alice Springs</v>
      </c>
      <c r="F386" s="10" cm="1">
        <f t="array" ref="F386">Common_InputFunctions.Utility_DisplayArrayInTable(SourceData_PastureBeef.SourceData_PastureBeef_FractionOfManureToMMS_Data(),Table_SourceData_PastureBeef_FractionManureToMMS[[#Headers],[State]], 0)</f>
        <v>99.998999999999995</v>
      </c>
      <c r="G386" s="10" cm="1">
        <f t="array" ref="G386">Common_InputFunctions.Utility_DisplayArrayInTable(SourceData_PastureBeef.SourceData_PastureBeef_FractionOfManureToMMS_Data(),Table_SourceData_PastureBeef_FractionManureToMMS[[#Headers],[State]], 0)</f>
        <v>1E-3</v>
      </c>
      <c r="M386" s="8"/>
    </row>
    <row r="387" spans="4:13" x14ac:dyDescent="0.25">
      <c r="D387" s="8" t="str" cm="1">
        <f t="array" ref="D387">Common_InputFunctions.Utility_DisplayArrayInTable(SourceData_PastureBeef.SourceData_PastureBeef_FractionOfManureToMMS_Data(),Table_SourceData_PastureBeef_FractionManureToMMS[[#Headers],[State]], 0)</f>
        <v>NT</v>
      </c>
      <c r="E387" s="10" t="str" cm="1">
        <f t="array" ref="E387">Common_InputFunctions.Utility_DisplayArrayInTable(SourceData_PastureBeef.SourceData_PastureBeef_FractionOfManureToMMS_Data(),Table_SourceData_PastureBeef_FractionManureToMMS[[#Headers],[State]], 0)</f>
        <v>Barkly</v>
      </c>
      <c r="F387" s="10" cm="1">
        <f t="array" ref="F387">Common_InputFunctions.Utility_DisplayArrayInTable(SourceData_PastureBeef.SourceData_PastureBeef_FractionOfManureToMMS_Data(),Table_SourceData_PastureBeef_FractionManureToMMS[[#Headers],[State]], 0)</f>
        <v>99.994</v>
      </c>
      <c r="G387" s="10" cm="1">
        <f t="array" ref="G387">Common_InputFunctions.Utility_DisplayArrayInTable(SourceData_PastureBeef.SourceData_PastureBeef_FractionOfManureToMMS_Data(),Table_SourceData_PastureBeef_FractionManureToMMS[[#Headers],[State]], 0)</f>
        <v>6.0000000000000001E-3</v>
      </c>
      <c r="M387" s="8"/>
    </row>
    <row r="388" spans="4:13" x14ac:dyDescent="0.25">
      <c r="D388" s="8" t="str" cm="1">
        <f t="array" ref="D388">Common_InputFunctions.Utility_DisplayArrayInTable(SourceData_PastureBeef.SourceData_PastureBeef_FractionOfManureToMMS_Data(),Table_SourceData_PastureBeef_FractionManureToMMS[[#Headers],[State]], 0)</f>
        <v>NT</v>
      </c>
      <c r="E388" s="10" t="str" cm="1">
        <f t="array" ref="E388">Common_InputFunctions.Utility_DisplayArrayInTable(SourceData_PastureBeef.SourceData_PastureBeef_FractionOfManureToMMS_Data(),Table_SourceData_PastureBeef_FractionManureToMMS[[#Headers],[State]], 0)</f>
        <v>Northern</v>
      </c>
      <c r="F388" s="10" cm="1">
        <f t="array" ref="F388">Common_InputFunctions.Utility_DisplayArrayInTable(SourceData_PastureBeef.SourceData_PastureBeef_FractionOfManureToMMS_Data(),Table_SourceData_PastureBeef_FractionManureToMMS[[#Headers],[State]], 0)</f>
        <v>99.998999999999995</v>
      </c>
      <c r="G388" s="10" cm="1">
        <f t="array" ref="G388">Common_InputFunctions.Utility_DisplayArrayInTable(SourceData_PastureBeef.SourceData_PastureBeef_FractionOfManureToMMS_Data(),Table_SourceData_PastureBeef_FractionManureToMMS[[#Headers],[State]], 0)</f>
        <v>1E-3</v>
      </c>
      <c r="M388" s="8"/>
    </row>
    <row r="389" spans="4:13" x14ac:dyDescent="0.25">
      <c r="D389" s="8" t="str" cm="1">
        <f t="array" ref="D389">Common_InputFunctions.Utility_DisplayArrayInTable(SourceData_PastureBeef.SourceData_PastureBeef_FractionOfManureToMMS_Data(),Table_SourceData_PastureBeef_FractionManureToMMS[[#Headers],[State]], 0)</f>
        <v>QLD</v>
      </c>
      <c r="E389" s="10" t="str" cm="1">
        <f t="array" ref="E389">Common_InputFunctions.Utility_DisplayArrayInTable(SourceData_PastureBeef.SourceData_PastureBeef_FractionOfManureToMMS_Data(),Table_SourceData_PastureBeef_FractionManureToMMS[[#Headers],[State]], 0)</f>
        <v>High</v>
      </c>
      <c r="F389" s="10" cm="1">
        <f t="array" ref="F389">Common_InputFunctions.Utility_DisplayArrayInTable(SourceData_PastureBeef.SourceData_PastureBeef_FractionOfManureToMMS_Data(),Table_SourceData_PastureBeef_FractionManureToMMS[[#Headers],[State]], 0)</f>
        <v>99.772999999999996</v>
      </c>
      <c r="G389" s="10" cm="1">
        <f t="array" ref="G389">Common_InputFunctions.Utility_DisplayArrayInTable(SourceData_PastureBeef.SourceData_PastureBeef_FractionOfManureToMMS_Data(),Table_SourceData_PastureBeef_FractionManureToMMS[[#Headers],[State]], 0)</f>
        <v>0.22700000000000001</v>
      </c>
      <c r="M389" s="8"/>
    </row>
    <row r="390" spans="4:13" x14ac:dyDescent="0.25">
      <c r="D390" s="8" t="str" cm="1">
        <f t="array" ref="D390">Common_InputFunctions.Utility_DisplayArrayInTable(SourceData_PastureBeef.SourceData_PastureBeef_FractionOfManureToMMS_Data(),Table_SourceData_PastureBeef_FractionManureToMMS[[#Headers],[State]], 0)</f>
        <v>QLD</v>
      </c>
      <c r="E390" s="10" t="str" cm="1">
        <f t="array" ref="E390">Common_InputFunctions.Utility_DisplayArrayInTable(SourceData_PastureBeef.SourceData_PastureBeef_FractionOfManureToMMS_Data(),Table_SourceData_PastureBeef_FractionManureToMMS[[#Headers],[State]], 0)</f>
        <v>Moderate/High</v>
      </c>
      <c r="F390" s="10" cm="1">
        <f t="array" ref="F390">Common_InputFunctions.Utility_DisplayArrayInTable(SourceData_PastureBeef.SourceData_PastureBeef_FractionOfManureToMMS_Data(),Table_SourceData_PastureBeef_FractionManureToMMS[[#Headers],[State]], 0)</f>
        <v>99.897999999999996</v>
      </c>
      <c r="G390" s="10" cm="1">
        <f t="array" ref="G390">Common_InputFunctions.Utility_DisplayArrayInTable(SourceData_PastureBeef.SourceData_PastureBeef_FractionOfManureToMMS_Data(),Table_SourceData_PastureBeef_FractionManureToMMS[[#Headers],[State]], 0)</f>
        <v>0.10199999999999999</v>
      </c>
      <c r="M390" s="8"/>
    </row>
    <row r="391" spans="4:13" x14ac:dyDescent="0.25">
      <c r="D391" s="8" t="str" cm="1">
        <f t="array" ref="D391">Common_InputFunctions.Utility_DisplayArrayInTable(SourceData_PastureBeef.SourceData_PastureBeef_FractionOfManureToMMS_Data(),Table_SourceData_PastureBeef_FractionManureToMMS[[#Headers],[State]], 0)</f>
        <v>QLD</v>
      </c>
      <c r="E391" s="10" t="str" cm="1">
        <f t="array" ref="E391">Common_InputFunctions.Utility_DisplayArrayInTable(SourceData_PastureBeef.SourceData_PastureBeef_FractionOfManureToMMS_Data(),Table_SourceData_PastureBeef_FractionManureToMMS[[#Headers],[State]], 0)</f>
        <v>Moderate/Low</v>
      </c>
      <c r="F391" s="10" cm="1">
        <f t="array" ref="F391">Common_InputFunctions.Utility_DisplayArrayInTable(SourceData_PastureBeef.SourceData_PastureBeef_FractionOfManureToMMS_Data(),Table_SourceData_PastureBeef_FractionManureToMMS[[#Headers],[State]], 0)</f>
        <v>99.978999999999999</v>
      </c>
      <c r="G391" s="10" cm="1">
        <f t="array" ref="G391">Common_InputFunctions.Utility_DisplayArrayInTable(SourceData_PastureBeef.SourceData_PastureBeef_FractionOfManureToMMS_Data(),Table_SourceData_PastureBeef_FractionManureToMMS[[#Headers],[State]], 0)</f>
        <v>2.1000000000000001E-2</v>
      </c>
      <c r="M391" s="8"/>
    </row>
    <row r="392" spans="4:13" x14ac:dyDescent="0.25">
      <c r="D392" s="8" t="str" cm="1">
        <f t="array" ref="D392">Common_InputFunctions.Utility_DisplayArrayInTable(SourceData_PastureBeef.SourceData_PastureBeef_FractionOfManureToMMS_Data(),Table_SourceData_PastureBeef_FractionManureToMMS[[#Headers],[State]], 0)</f>
        <v>QLD</v>
      </c>
      <c r="E392" s="10" t="str" cm="1">
        <f t="array" ref="E392">Common_InputFunctions.Utility_DisplayArrayInTable(SourceData_PastureBeef.SourceData_PastureBeef_FractionOfManureToMMS_Data(),Table_SourceData_PastureBeef_FractionManureToMMS[[#Headers],[State]], 0)</f>
        <v>Low</v>
      </c>
      <c r="F392" s="10" cm="1">
        <f t="array" ref="F392">Common_InputFunctions.Utility_DisplayArrayInTable(SourceData_PastureBeef.SourceData_PastureBeef_FractionOfManureToMMS_Data(),Table_SourceData_PastureBeef_FractionManureToMMS[[#Headers],[State]], 0)</f>
        <v>99.977000000000004</v>
      </c>
      <c r="G392" s="10" cm="1">
        <f t="array" ref="G392">Common_InputFunctions.Utility_DisplayArrayInTable(SourceData_PastureBeef.SourceData_PastureBeef_FractionOfManureToMMS_Data(),Table_SourceData_PastureBeef_FractionManureToMMS[[#Headers],[State]], 0)</f>
        <v>2.3E-2</v>
      </c>
      <c r="M392" s="8"/>
    </row>
    <row r="393" spans="4:13" x14ac:dyDescent="0.25">
      <c r="M393" s="8"/>
    </row>
    <row r="394" spans="4:13" x14ac:dyDescent="0.25">
      <c r="M394" s="8"/>
    </row>
    <row r="395" spans="4:13" ht="23.25" x14ac:dyDescent="0.25">
      <c r="D395" s="9" t="str" cm="1">
        <f t="array" ref="D395">SourceData_PastureBeef.SourceData_PastureBeef_MethaneConversionFactorPerRegion_Title()</f>
        <v>Beef pasture cattle - Methane conversion factor per region (fraction) (MCFim)</v>
      </c>
      <c r="M395" s="8"/>
    </row>
    <row r="396" spans="4:13" x14ac:dyDescent="0.25">
      <c r="D396" s="11" t="str" cm="1">
        <f t="array" ref="D396">SourceData_PastureBeef.SourceData_PastureBeef_MethaneConversionFactorPerRegion_Source()</f>
        <v>VEERG 2026: Table A.1.2.10</v>
      </c>
      <c r="M396" s="8"/>
    </row>
    <row r="397" spans="4:13" x14ac:dyDescent="0.25">
      <c r="D397" s="8" t="str" cm="1">
        <f t="array" ref="D397">SourceData_PastureBeef.SourceData_PastureBeef_MethaneConversionFactorPerRegion_Variable()</f>
        <v>MCFim</v>
      </c>
      <c r="M397" s="8"/>
    </row>
    <row r="398" spans="4:13" x14ac:dyDescent="0.25">
      <c r="D398" s="13" t="str" cm="1">
        <f t="array" ref="D398">SourceData_PastureBeef.SourceData_PastureBeef_MethaneConversionFactorPerRegion_Unit()</f>
        <v>fraction</v>
      </c>
      <c r="M398" s="8"/>
    </row>
    <row r="399" spans="4:13" x14ac:dyDescent="0.25">
      <c r="D399" s="12" t="str" cm="1">
        <f t="array" ref="D399">SourceData_PastureBeef.SourceData_PastureBeef_MethaneConversionFactorPerRegion_Variation()</f>
        <v>VARIATION ON SOURCE: Removed comma from 'Pasture range and paddock' to aid lookup</v>
      </c>
      <c r="M399" s="8"/>
    </row>
    <row r="400" spans="4:13" x14ac:dyDescent="0.25">
      <c r="D400" s="10" t="s">
        <v>273</v>
      </c>
      <c r="E400" s="10" t="s">
        <v>378</v>
      </c>
      <c r="F400" s="10" t="s">
        <v>62</v>
      </c>
      <c r="G400" s="10" t="s">
        <v>506</v>
      </c>
      <c r="M400" s="8"/>
    </row>
    <row r="401" spans="4:13" x14ac:dyDescent="0.25">
      <c r="D401" s="10" t="str" cm="1">
        <f t="array" ref="D401">Common_InputFunctions.Utility_DisplayArrayInTable(SourceData_PastureBeef.SourceData_PastureBeef_MethaneConversionFactorPerRegion_Data(), Table_SourceData_PastureBeef_MethaneConversionFactor[[#Headers],[State]], 0)</f>
        <v>ACT</v>
      </c>
      <c r="E401" s="10" t="str" cm="1">
        <f t="array" ref="E401">Common_InputFunctions.Utility_DisplayArrayInTable(SourceData_PastureBeef.SourceData_PastureBeef_MethaneConversionFactorPerRegion_Data(), Table_SourceData_PastureBeef_MethaneConversionFactor[[#Headers],[State]], 0)</f>
        <v>n/a</v>
      </c>
      <c r="F401" s="10" cm="1">
        <f t="array" ref="F401">Common_InputFunctions.Utility_DisplayArrayInTable(SourceData_PastureBeef.SourceData_PastureBeef_MethaneConversionFactorPerRegion_Data(), Table_SourceData_PastureBeef_MethaneConversionFactor[[#Headers],[State]], 0)</f>
        <v>4.7000000000000002E-3</v>
      </c>
      <c r="G401" s="10" cm="1">
        <f t="array" ref="G401">Common_InputFunctions.Utility_DisplayArrayInTable(SourceData_PastureBeef.SourceData_PastureBeef_MethaneConversionFactorPerRegion_Data(), Table_SourceData_PastureBeef_MethaneConversionFactor[[#Headers],[State]], 0)</f>
        <v>0.71</v>
      </c>
      <c r="M401" s="8"/>
    </row>
    <row r="402" spans="4:13" x14ac:dyDescent="0.25">
      <c r="D402" s="10" t="str" cm="1">
        <f t="array" ref="D402">Common_InputFunctions.Utility_DisplayArrayInTable(SourceData_PastureBeef.SourceData_PastureBeef_MethaneConversionFactorPerRegion_Data(), Table_SourceData_PastureBeef_MethaneConversionFactor[[#Headers],[State]], 0)</f>
        <v>NSW</v>
      </c>
      <c r="E402" s="10" t="str" cm="1">
        <f t="array" ref="E402">Common_InputFunctions.Utility_DisplayArrayInTable(SourceData_PastureBeef.SourceData_PastureBeef_MethaneConversionFactorPerRegion_Data(), Table_SourceData_PastureBeef_MethaneConversionFactor[[#Headers],[State]], 0)</f>
        <v>n/a</v>
      </c>
      <c r="F402" s="10" cm="1">
        <f t="array" ref="F402">Common_InputFunctions.Utility_DisplayArrayInTable(SourceData_PastureBeef.SourceData_PastureBeef_MethaneConversionFactorPerRegion_Data(), Table_SourceData_PastureBeef_MethaneConversionFactor[[#Headers],[State]], 0)</f>
        <v>4.7000000000000002E-3</v>
      </c>
      <c r="G402" s="10" cm="1">
        <f t="array" ref="G402">Common_InputFunctions.Utility_DisplayArrayInTable(SourceData_PastureBeef.SourceData_PastureBeef_MethaneConversionFactorPerRegion_Data(), Table_SourceData_PastureBeef_MethaneConversionFactor[[#Headers],[State]], 0)</f>
        <v>0.75</v>
      </c>
      <c r="M402" s="8"/>
    </row>
    <row r="403" spans="4:13" x14ac:dyDescent="0.25">
      <c r="D403" s="10" t="str" cm="1">
        <f t="array" ref="D403">Common_InputFunctions.Utility_DisplayArrayInTable(SourceData_PastureBeef.SourceData_PastureBeef_MethaneConversionFactorPerRegion_Data(), Table_SourceData_PastureBeef_MethaneConversionFactor[[#Headers],[State]], 0)</f>
        <v>SA</v>
      </c>
      <c r="E403" s="10" t="str" cm="1">
        <f t="array" ref="E403">Common_InputFunctions.Utility_DisplayArrayInTable(SourceData_PastureBeef.SourceData_PastureBeef_MethaneConversionFactorPerRegion_Data(), Table_SourceData_PastureBeef_MethaneConversionFactor[[#Headers],[State]], 0)</f>
        <v>n/a</v>
      </c>
      <c r="F403" s="10" cm="1">
        <f t="array" ref="F403">Common_InputFunctions.Utility_DisplayArrayInTable(SourceData_PastureBeef.SourceData_PastureBeef_MethaneConversionFactorPerRegion_Data(), Table_SourceData_PastureBeef_MethaneConversionFactor[[#Headers],[State]], 0)</f>
        <v>4.7000000000000002E-3</v>
      </c>
      <c r="G403" s="10" cm="1">
        <f t="array" ref="G403">Common_InputFunctions.Utility_DisplayArrayInTable(SourceData_PastureBeef.SourceData_PastureBeef_MethaneConversionFactorPerRegion_Data(), Table_SourceData_PastureBeef_MethaneConversionFactor[[#Headers],[State]], 0)</f>
        <v>0.74</v>
      </c>
      <c r="M403" s="8"/>
    </row>
    <row r="404" spans="4:13" x14ac:dyDescent="0.25">
      <c r="D404" s="10" t="str" cm="1">
        <f t="array" ref="D404">Common_InputFunctions.Utility_DisplayArrayInTable(SourceData_PastureBeef.SourceData_PastureBeef_MethaneConversionFactorPerRegion_Data(), Table_SourceData_PastureBeef_MethaneConversionFactor[[#Headers],[State]], 0)</f>
        <v>TAS</v>
      </c>
      <c r="E404" s="10" t="str" cm="1">
        <f t="array" ref="E404">Common_InputFunctions.Utility_DisplayArrayInTable(SourceData_PastureBeef.SourceData_PastureBeef_MethaneConversionFactorPerRegion_Data(), Table_SourceData_PastureBeef_MethaneConversionFactor[[#Headers],[State]], 0)</f>
        <v>n/a</v>
      </c>
      <c r="F404" s="10" cm="1">
        <f t="array" ref="F404">Common_InputFunctions.Utility_DisplayArrayInTable(SourceData_PastureBeef.SourceData_PastureBeef_MethaneConversionFactorPerRegion_Data(), Table_SourceData_PastureBeef_MethaneConversionFactor[[#Headers],[State]], 0)</f>
        <v>4.7000000000000002E-3</v>
      </c>
      <c r="G404" s="10" cm="1">
        <f t="array" ref="G404">Common_InputFunctions.Utility_DisplayArrayInTable(SourceData_PastureBeef.SourceData_PastureBeef_MethaneConversionFactorPerRegion_Data(), Table_SourceData_PastureBeef_MethaneConversionFactor[[#Headers],[State]], 0)</f>
        <v>0.7</v>
      </c>
      <c r="M404" s="8"/>
    </row>
    <row r="405" spans="4:13" x14ac:dyDescent="0.25">
      <c r="D405" s="10" t="str" cm="1">
        <f t="array" ref="D405">Common_InputFunctions.Utility_DisplayArrayInTable(SourceData_PastureBeef.SourceData_PastureBeef_MethaneConversionFactorPerRegion_Data(), Table_SourceData_PastureBeef_MethaneConversionFactor[[#Headers],[State]], 0)</f>
        <v>VIC</v>
      </c>
      <c r="E405" s="10" t="str" cm="1">
        <f t="array" ref="E405">Common_InputFunctions.Utility_DisplayArrayInTable(SourceData_PastureBeef.SourceData_PastureBeef_MethaneConversionFactorPerRegion_Data(), Table_SourceData_PastureBeef_MethaneConversionFactor[[#Headers],[State]], 0)</f>
        <v>n/a</v>
      </c>
      <c r="F405" s="10" cm="1">
        <f t="array" ref="F405">Common_InputFunctions.Utility_DisplayArrayInTable(SourceData_PastureBeef.SourceData_PastureBeef_MethaneConversionFactorPerRegion_Data(), Table_SourceData_PastureBeef_MethaneConversionFactor[[#Headers],[State]], 0)</f>
        <v>4.7000000000000002E-3</v>
      </c>
      <c r="G405" s="10" cm="1">
        <f t="array" ref="G405">Common_InputFunctions.Utility_DisplayArrayInTable(SourceData_PastureBeef.SourceData_PastureBeef_MethaneConversionFactorPerRegion_Data(), Table_SourceData_PastureBeef_MethaneConversionFactor[[#Headers],[State]], 0)</f>
        <v>0.74</v>
      </c>
      <c r="M405" s="8"/>
    </row>
    <row r="406" spans="4:13" x14ac:dyDescent="0.25">
      <c r="D406" s="10" t="str" cm="1">
        <f t="array" ref="D406">Common_InputFunctions.Utility_DisplayArrayInTable(SourceData_PastureBeef.SourceData_PastureBeef_MethaneConversionFactorPerRegion_Data(), Table_SourceData_PastureBeef_MethaneConversionFactor[[#Headers],[State]], 0)</f>
        <v>WA</v>
      </c>
      <c r="E406" s="10" t="str" cm="1">
        <f t="array" ref="E406">Common_InputFunctions.Utility_DisplayArrayInTable(SourceData_PastureBeef.SourceData_PastureBeef_MethaneConversionFactorPerRegion_Data(), Table_SourceData_PastureBeef_MethaneConversionFactor[[#Headers],[State]], 0)</f>
        <v>South West</v>
      </c>
      <c r="F406" s="10" cm="1">
        <f t="array" ref="F406">Common_InputFunctions.Utility_DisplayArrayInTable(SourceData_PastureBeef.SourceData_PastureBeef_MethaneConversionFactorPerRegion_Data(), Table_SourceData_PastureBeef_MethaneConversionFactor[[#Headers],[State]], 0)</f>
        <v>4.7000000000000002E-3</v>
      </c>
      <c r="G406" s="10" cm="1">
        <f t="array" ref="G406">Common_InputFunctions.Utility_DisplayArrayInTable(SourceData_PastureBeef.SourceData_PastureBeef_MethaneConversionFactorPerRegion_Data(), Table_SourceData_PastureBeef_MethaneConversionFactor[[#Headers],[State]], 0)</f>
        <v>0.76</v>
      </c>
      <c r="M406" s="8"/>
    </row>
    <row r="407" spans="4:13" x14ac:dyDescent="0.25">
      <c r="D407" s="10" t="str" cm="1">
        <f t="array" ref="D407">Common_InputFunctions.Utility_DisplayArrayInTable(SourceData_PastureBeef.SourceData_PastureBeef_MethaneConversionFactorPerRegion_Data(), Table_SourceData_PastureBeef_MethaneConversionFactor[[#Headers],[State]], 0)</f>
        <v>WA</v>
      </c>
      <c r="E407" s="10" t="str" cm="1">
        <f t="array" ref="E407">Common_InputFunctions.Utility_DisplayArrayInTable(SourceData_PastureBeef.SourceData_PastureBeef_MethaneConversionFactorPerRegion_Data(), Table_SourceData_PastureBeef_MethaneConversionFactor[[#Headers],[State]], 0)</f>
        <v>Pilbara</v>
      </c>
      <c r="F407" s="10" cm="1">
        <f t="array" ref="F407">Common_InputFunctions.Utility_DisplayArrayInTable(SourceData_PastureBeef.SourceData_PastureBeef_MethaneConversionFactorPerRegion_Data(), Table_SourceData_PastureBeef_MethaneConversionFactor[[#Headers],[State]], 0)</f>
        <v>4.7000000000000002E-3</v>
      </c>
      <c r="G407" s="10" cm="1">
        <f t="array" ref="G407">Common_InputFunctions.Utility_DisplayArrayInTable(SourceData_PastureBeef.SourceData_PastureBeef_MethaneConversionFactorPerRegion_Data(), Table_SourceData_PastureBeef_MethaneConversionFactor[[#Headers],[State]], 0)</f>
        <v>0.76</v>
      </c>
      <c r="M407" s="8"/>
    </row>
    <row r="408" spans="4:13" x14ac:dyDescent="0.25">
      <c r="D408" s="10" t="str" cm="1">
        <f t="array" ref="D408">Common_InputFunctions.Utility_DisplayArrayInTable(SourceData_PastureBeef.SourceData_PastureBeef_MethaneConversionFactorPerRegion_Data(), Table_SourceData_PastureBeef_MethaneConversionFactor[[#Headers],[State]], 0)</f>
        <v>WA</v>
      </c>
      <c r="E408" s="10" t="str" cm="1">
        <f t="array" ref="E408">Common_InputFunctions.Utility_DisplayArrayInTable(SourceData_PastureBeef.SourceData_PastureBeef_MethaneConversionFactorPerRegion_Data(), Table_SourceData_PastureBeef_MethaneConversionFactor[[#Headers],[State]], 0)</f>
        <v>Kimberley</v>
      </c>
      <c r="F408" s="10" cm="1">
        <f t="array" ref="F408">Common_InputFunctions.Utility_DisplayArrayInTable(SourceData_PastureBeef.SourceData_PastureBeef_MethaneConversionFactorPerRegion_Data(), Table_SourceData_PastureBeef_MethaneConversionFactor[[#Headers],[State]], 0)</f>
        <v>4.7000000000000002E-3</v>
      </c>
      <c r="G408" s="10" cm="1">
        <f t="array" ref="G408">Common_InputFunctions.Utility_DisplayArrayInTable(SourceData_PastureBeef.SourceData_PastureBeef_MethaneConversionFactorPerRegion_Data(), Table_SourceData_PastureBeef_MethaneConversionFactor[[#Headers],[State]], 0)</f>
        <v>0.76</v>
      </c>
      <c r="M408" s="8"/>
    </row>
    <row r="409" spans="4:13" x14ac:dyDescent="0.25">
      <c r="D409" s="10" t="str" cm="1">
        <f t="array" ref="D409">Common_InputFunctions.Utility_DisplayArrayInTable(SourceData_PastureBeef.SourceData_PastureBeef_MethaneConversionFactorPerRegion_Data(), Table_SourceData_PastureBeef_MethaneConversionFactor[[#Headers],[State]], 0)</f>
        <v>NT</v>
      </c>
      <c r="E409" s="10" t="str" cm="1">
        <f t="array" ref="E409">Common_InputFunctions.Utility_DisplayArrayInTable(SourceData_PastureBeef.SourceData_PastureBeef_MethaneConversionFactorPerRegion_Data(), Table_SourceData_PastureBeef_MethaneConversionFactor[[#Headers],[State]], 0)</f>
        <v>Alice Springs</v>
      </c>
      <c r="F409" s="10" cm="1">
        <f t="array" ref="F409">Common_InputFunctions.Utility_DisplayArrayInTable(SourceData_PastureBeef.SourceData_PastureBeef_MethaneConversionFactorPerRegion_Data(), Table_SourceData_PastureBeef_MethaneConversionFactor[[#Headers],[State]], 0)</f>
        <v>4.7000000000000002E-3</v>
      </c>
      <c r="G409" s="10" cm="1">
        <f t="array" ref="G409">Common_InputFunctions.Utility_DisplayArrayInTable(SourceData_PastureBeef.SourceData_PastureBeef_MethaneConversionFactorPerRegion_Data(), Table_SourceData_PastureBeef_MethaneConversionFactor[[#Headers],[State]], 0)</f>
        <v>0.8</v>
      </c>
      <c r="M409" s="8"/>
    </row>
    <row r="410" spans="4:13" x14ac:dyDescent="0.25">
      <c r="D410" s="10" t="str" cm="1">
        <f t="array" ref="D410">Common_InputFunctions.Utility_DisplayArrayInTable(SourceData_PastureBeef.SourceData_PastureBeef_MethaneConversionFactorPerRegion_Data(), Table_SourceData_PastureBeef_MethaneConversionFactor[[#Headers],[State]], 0)</f>
        <v>NT</v>
      </c>
      <c r="E410" s="10" t="str" cm="1">
        <f t="array" ref="E410">Common_InputFunctions.Utility_DisplayArrayInTable(SourceData_PastureBeef.SourceData_PastureBeef_MethaneConversionFactorPerRegion_Data(), Table_SourceData_PastureBeef_MethaneConversionFactor[[#Headers],[State]], 0)</f>
        <v>Barkly</v>
      </c>
      <c r="F410" s="10" cm="1">
        <f t="array" ref="F410">Common_InputFunctions.Utility_DisplayArrayInTable(SourceData_PastureBeef.SourceData_PastureBeef_MethaneConversionFactorPerRegion_Data(), Table_SourceData_PastureBeef_MethaneConversionFactor[[#Headers],[State]], 0)</f>
        <v>4.7000000000000002E-3</v>
      </c>
      <c r="G410" s="10" cm="1">
        <f t="array" ref="G410">Common_InputFunctions.Utility_DisplayArrayInTable(SourceData_PastureBeef.SourceData_PastureBeef_MethaneConversionFactorPerRegion_Data(), Table_SourceData_PastureBeef_MethaneConversionFactor[[#Headers],[State]], 0)</f>
        <v>0.8</v>
      </c>
      <c r="M410" s="8"/>
    </row>
    <row r="411" spans="4:13" x14ac:dyDescent="0.25">
      <c r="D411" s="10" t="str" cm="1">
        <f t="array" ref="D411">Common_InputFunctions.Utility_DisplayArrayInTable(SourceData_PastureBeef.SourceData_PastureBeef_MethaneConversionFactorPerRegion_Data(), Table_SourceData_PastureBeef_MethaneConversionFactor[[#Headers],[State]], 0)</f>
        <v>NT</v>
      </c>
      <c r="E411" s="10" t="str" cm="1">
        <f t="array" ref="E411">Common_InputFunctions.Utility_DisplayArrayInTable(SourceData_PastureBeef.SourceData_PastureBeef_MethaneConversionFactorPerRegion_Data(), Table_SourceData_PastureBeef_MethaneConversionFactor[[#Headers],[State]], 0)</f>
        <v>Northern</v>
      </c>
      <c r="F411" s="10" cm="1">
        <f t="array" ref="F411">Common_InputFunctions.Utility_DisplayArrayInTable(SourceData_PastureBeef.SourceData_PastureBeef_MethaneConversionFactorPerRegion_Data(), Table_SourceData_PastureBeef_MethaneConversionFactor[[#Headers],[State]], 0)</f>
        <v>4.7000000000000002E-3</v>
      </c>
      <c r="G411" s="10" cm="1">
        <f t="array" ref="G411">Common_InputFunctions.Utility_DisplayArrayInTable(SourceData_PastureBeef.SourceData_PastureBeef_MethaneConversionFactorPerRegion_Data(), Table_SourceData_PastureBeef_MethaneConversionFactor[[#Headers],[State]], 0)</f>
        <v>0.8</v>
      </c>
      <c r="M411" s="8"/>
    </row>
    <row r="412" spans="4:13" x14ac:dyDescent="0.25">
      <c r="D412" s="10" t="str" cm="1">
        <f t="array" ref="D412">Common_InputFunctions.Utility_DisplayArrayInTable(SourceData_PastureBeef.SourceData_PastureBeef_MethaneConversionFactorPerRegion_Data(), Table_SourceData_PastureBeef_MethaneConversionFactor[[#Headers],[State]], 0)</f>
        <v>QLD</v>
      </c>
      <c r="E412" s="10" t="str" cm="1">
        <f t="array" ref="E412">Common_InputFunctions.Utility_DisplayArrayInTable(SourceData_PastureBeef.SourceData_PastureBeef_MethaneConversionFactorPerRegion_Data(), Table_SourceData_PastureBeef_MethaneConversionFactor[[#Headers],[State]], 0)</f>
        <v>High</v>
      </c>
      <c r="F412" s="10" cm="1">
        <f t="array" ref="F412">Common_InputFunctions.Utility_DisplayArrayInTable(SourceData_PastureBeef.SourceData_PastureBeef_MethaneConversionFactorPerRegion_Data(), Table_SourceData_PastureBeef_MethaneConversionFactor[[#Headers],[State]], 0)</f>
        <v>4.7000000000000002E-3</v>
      </c>
      <c r="G412" s="10" cm="1">
        <f t="array" ref="G412">Common_InputFunctions.Utility_DisplayArrayInTable(SourceData_PastureBeef.SourceData_PastureBeef_MethaneConversionFactorPerRegion_Data(), Table_SourceData_PastureBeef_MethaneConversionFactor[[#Headers],[State]], 0)</f>
        <v>0.78</v>
      </c>
      <c r="M412" s="8"/>
    </row>
    <row r="413" spans="4:13" x14ac:dyDescent="0.25">
      <c r="D413" s="10" t="str" cm="1">
        <f t="array" ref="D413">Common_InputFunctions.Utility_DisplayArrayInTable(SourceData_PastureBeef.SourceData_PastureBeef_MethaneConversionFactorPerRegion_Data(), Table_SourceData_PastureBeef_MethaneConversionFactor[[#Headers],[State]], 0)</f>
        <v>QLD</v>
      </c>
      <c r="E413" s="10" t="str" cm="1">
        <f t="array" ref="E413">Common_InputFunctions.Utility_DisplayArrayInTable(SourceData_PastureBeef.SourceData_PastureBeef_MethaneConversionFactorPerRegion_Data(), Table_SourceData_PastureBeef_MethaneConversionFactor[[#Headers],[State]], 0)</f>
        <v>Moderate/High</v>
      </c>
      <c r="F413" s="10" cm="1">
        <f t="array" ref="F413">Common_InputFunctions.Utility_DisplayArrayInTable(SourceData_PastureBeef.SourceData_PastureBeef_MethaneConversionFactorPerRegion_Data(), Table_SourceData_PastureBeef_MethaneConversionFactor[[#Headers],[State]], 0)</f>
        <v>4.7000000000000002E-3</v>
      </c>
      <c r="G413" s="10" cm="1">
        <f t="array" ref="G413">Common_InputFunctions.Utility_DisplayArrayInTable(SourceData_PastureBeef.SourceData_PastureBeef_MethaneConversionFactorPerRegion_Data(), Table_SourceData_PastureBeef_MethaneConversionFactor[[#Headers],[State]], 0)</f>
        <v>0.78</v>
      </c>
      <c r="M413" s="8"/>
    </row>
    <row r="414" spans="4:13" x14ac:dyDescent="0.25">
      <c r="D414" s="10" t="str" cm="1">
        <f t="array" ref="D414">Common_InputFunctions.Utility_DisplayArrayInTable(SourceData_PastureBeef.SourceData_PastureBeef_MethaneConversionFactorPerRegion_Data(), Table_SourceData_PastureBeef_MethaneConversionFactor[[#Headers],[State]], 0)</f>
        <v>QLD</v>
      </c>
      <c r="E414" s="10" t="str" cm="1">
        <f t="array" ref="E414">Common_InputFunctions.Utility_DisplayArrayInTable(SourceData_PastureBeef.SourceData_PastureBeef_MethaneConversionFactorPerRegion_Data(), Table_SourceData_PastureBeef_MethaneConversionFactor[[#Headers],[State]], 0)</f>
        <v>Moderate/Low</v>
      </c>
      <c r="F414" s="10" cm="1">
        <f t="array" ref="F414">Common_InputFunctions.Utility_DisplayArrayInTable(SourceData_PastureBeef.SourceData_PastureBeef_MethaneConversionFactorPerRegion_Data(), Table_SourceData_PastureBeef_MethaneConversionFactor[[#Headers],[State]], 0)</f>
        <v>4.7000000000000002E-3</v>
      </c>
      <c r="G414" s="10" cm="1">
        <f t="array" ref="G414">Common_InputFunctions.Utility_DisplayArrayInTable(SourceData_PastureBeef.SourceData_PastureBeef_MethaneConversionFactorPerRegion_Data(), Table_SourceData_PastureBeef_MethaneConversionFactor[[#Headers],[State]], 0)</f>
        <v>0.78</v>
      </c>
      <c r="M414" s="8"/>
    </row>
    <row r="415" spans="4:13" x14ac:dyDescent="0.25">
      <c r="D415" s="10" t="str" cm="1">
        <f t="array" ref="D415">Common_InputFunctions.Utility_DisplayArrayInTable(SourceData_PastureBeef.SourceData_PastureBeef_MethaneConversionFactorPerRegion_Data(), Table_SourceData_PastureBeef_MethaneConversionFactor[[#Headers],[State]], 0)</f>
        <v>QLD</v>
      </c>
      <c r="E415" s="10" t="str" cm="1">
        <f t="array" ref="E415">Common_InputFunctions.Utility_DisplayArrayInTable(SourceData_PastureBeef.SourceData_PastureBeef_MethaneConversionFactorPerRegion_Data(), Table_SourceData_PastureBeef_MethaneConversionFactor[[#Headers],[State]], 0)</f>
        <v>Low</v>
      </c>
      <c r="F415" s="10" cm="1">
        <f t="array" ref="F415">Common_InputFunctions.Utility_DisplayArrayInTable(SourceData_PastureBeef.SourceData_PastureBeef_MethaneConversionFactorPerRegion_Data(), Table_SourceData_PastureBeef_MethaneConversionFactor[[#Headers],[State]], 0)</f>
        <v>4.7000000000000002E-3</v>
      </c>
      <c r="G415" s="10" cm="1">
        <f t="array" ref="G415">Common_InputFunctions.Utility_DisplayArrayInTable(SourceData_PastureBeef.SourceData_PastureBeef_MethaneConversionFactorPerRegion_Data(), Table_SourceData_PastureBeef_MethaneConversionFactor[[#Headers],[State]], 0)</f>
        <v>0.78</v>
      </c>
      <c r="M415" s="8"/>
    </row>
    <row r="416" spans="4:13" x14ac:dyDescent="0.25">
      <c r="M416" s="8"/>
    </row>
    <row r="417" spans="4:13" x14ac:dyDescent="0.25">
      <c r="M417" s="8"/>
    </row>
    <row r="418" spans="4:13" ht="23.25" x14ac:dyDescent="0.25">
      <c r="D418" s="9" t="str" cm="1">
        <f t="array" ref="D418">SourceData_PastureBeef.SourceData_PastureBeef_AshContentOfFeedIntake_Title()</f>
        <v>Ash content of feed intake</v>
      </c>
      <c r="M418" s="8"/>
    </row>
    <row r="419" spans="4:13" x14ac:dyDescent="0.25">
      <c r="D419" s="11" t="str" cm="1">
        <f t="array" ref="D419">SourceData_PastureBeef.SourceData_PastureBeef_AshContentOfFeedIntake_Source()</f>
        <v>VEERG 2026: 4.2.2.3 CONSTANTS</v>
      </c>
      <c r="M419" s="8"/>
    </row>
    <row r="420" spans="4:13" x14ac:dyDescent="0.25">
      <c r="D420" s="8" t="str" cm="1">
        <f t="array" ref="D420">SourceData_PastureBeef.SourceData_PastureBeef_AshContentOfFeedIntake_Variable()</f>
        <v>A</v>
      </c>
      <c r="M420" s="8"/>
    </row>
    <row r="421" spans="4:13" x14ac:dyDescent="0.25">
      <c r="D421" s="13" t="str" cm="1">
        <f t="array" ref="D421">SourceData_PastureBeef.SourceData_PastureBeef_AshContentOfFeedIntake_Unit()</f>
        <v>fraction</v>
      </c>
      <c r="M421" s="8"/>
    </row>
    <row r="422" spans="4:13" x14ac:dyDescent="0.25">
      <c r="D422" s="27" cm="1">
        <f t="array" ref="D422">SourceData_PastureBeef.SourceData_PastureBeef_AshContentOfFeedIntake_Data()</f>
        <v>0.08</v>
      </c>
      <c r="M422" s="8"/>
    </row>
    <row r="423" spans="4:13" x14ac:dyDescent="0.25">
      <c r="M423" s="8"/>
    </row>
    <row r="424" spans="4:13" ht="23.25" x14ac:dyDescent="0.25">
      <c r="D424" s="9" t="str" cm="1">
        <f t="array" ref="D424">SourceData_PastureBeef.SourceData_PastureBeef_MethaneEmissionsPotential_Title()</f>
        <v>Methane emissions potential</v>
      </c>
      <c r="M424" s="8"/>
    </row>
    <row r="425" spans="4:13" x14ac:dyDescent="0.25">
      <c r="D425" s="11" t="str" cm="1">
        <f t="array" ref="D425">SourceData_PastureBeef.SourceData_PastureBeef_MethaneEmissionsPotential_Source()</f>
        <v>VEERG 2026: 4.2.2.3 CONSTANTS</v>
      </c>
      <c r="M425" s="8"/>
    </row>
    <row r="426" spans="4:13" x14ac:dyDescent="0.25">
      <c r="D426" s="8" t="str" cm="1">
        <f t="array" ref="D426">SourceData_PastureBeef.SourceData_PastureBeef_MethaneEmissionsPotential_Variable()</f>
        <v>B0</v>
      </c>
      <c r="M426" s="8"/>
    </row>
    <row r="427" spans="4:13" x14ac:dyDescent="0.25">
      <c r="D427" s="13" t="str" cm="1">
        <f t="array" ref="D427">SourceData_PastureBeef.SourceData_PastureBeef_MethaneEmissionsPotential_Unit()</f>
        <v>m3 CH4 / kg VS</v>
      </c>
      <c r="M427" s="8"/>
    </row>
    <row r="428" spans="4:13" x14ac:dyDescent="0.25">
      <c r="D428" s="27" cm="1">
        <f t="array" ref="D428">SourceData_PastureBeef.SourceData_PastureBeef_MethaneEmissionsPotential_Data()</f>
        <v>0.19</v>
      </c>
      <c r="M428" s="8"/>
    </row>
    <row r="429" spans="4:13" x14ac:dyDescent="0.25">
      <c r="M429" s="8"/>
    </row>
    <row r="430" spans="4:13" ht="23.25" x14ac:dyDescent="0.25">
      <c r="D430" s="9" t="str" cm="1">
        <f t="array" ref="D430">SourceData_PastureBeef.SourceData_PastureBeef_FracGASMSoil_Title()</f>
        <v>Fraction of nitrogen volatilised from urine and faeces deposited on pasture</v>
      </c>
      <c r="M430" s="8"/>
    </row>
    <row r="431" spans="4:13" x14ac:dyDescent="0.25">
      <c r="D431" s="11" t="str" cm="1">
        <f t="array" ref="D431">SourceData_PastureBeef.SourceData_PastureBeef_FracGASMSoil_Source()</f>
        <v>VEERG 2026: 4.2.2.3 CONSTANTS</v>
      </c>
      <c r="M431" s="8"/>
    </row>
    <row r="432" spans="4:13" x14ac:dyDescent="0.25">
      <c r="D432" s="8" t="str" cm="1">
        <f t="array" ref="D432">SourceData_PastureBeef.SourceData_PastureBeef_FracGASMSoil_Variable()</f>
        <v>FracGASMSoil</v>
      </c>
      <c r="M432" s="8"/>
    </row>
    <row r="433" spans="4:13" x14ac:dyDescent="0.25">
      <c r="D433" s="13" t="str" cm="1">
        <f t="array" ref="D433">SourceData_PastureBeef.SourceData_PastureBeef_FracGASMSoil_Unit()</f>
        <v>fraction</v>
      </c>
      <c r="M433" s="8"/>
    </row>
    <row r="434" spans="4:13" x14ac:dyDescent="0.25">
      <c r="D434" s="27" cm="1">
        <f t="array" ref="D434">SourceData_PastureBeef.SourceData_PastureBeef_FracGASMSoil_Data()</f>
        <v>0.21</v>
      </c>
      <c r="M434" s="8"/>
    </row>
    <row r="435" spans="4:13" x14ac:dyDescent="0.25">
      <c r="M435" s="8"/>
    </row>
    <row r="436" spans="4:13" ht="23.25" x14ac:dyDescent="0.25">
      <c r="D436" s="9" t="str" cm="1">
        <f t="array" ref="D436">SourceData_PastureBeef.SourceData_PastureBeef_FracLEACH_Title()</f>
        <v>Default fraction of N that is lost through leaching and runoff</v>
      </c>
      <c r="M436" s="8"/>
    </row>
    <row r="437" spans="4:13" x14ac:dyDescent="0.25">
      <c r="D437" s="11" t="str" cm="1">
        <f t="array" ref="D437">SourceData_PastureBeef.SourceData_PastureBeef_FracLEACH_Source()</f>
        <v>VEERG 2026: 4.2.2.3 CONSTANTS</v>
      </c>
      <c r="M437" s="8"/>
    </row>
    <row r="438" spans="4:13" x14ac:dyDescent="0.25">
      <c r="D438" s="8" t="str" cm="1">
        <f t="array" ref="D438">SourceData_PastureBeef.SourceData_PastureBeef_FracLEACH_Variable()</f>
        <v>FracLEACH</v>
      </c>
      <c r="M438" s="8"/>
    </row>
    <row r="439" spans="4:13" x14ac:dyDescent="0.25">
      <c r="D439" s="13" t="str" cm="1">
        <f t="array" ref="D439">SourceData_PastureBeef.SourceData_PastureBeef_FracLEACH_Unit()</f>
        <v>fraction</v>
      </c>
      <c r="M439" s="8"/>
    </row>
    <row r="440" spans="4:13" x14ac:dyDescent="0.25">
      <c r="D440" s="27" cm="1">
        <f t="array" ref="D440">SourceData_PastureBeef.SourceData_PastureBeef_FracLEACH_Data()</f>
        <v>0.24</v>
      </c>
      <c r="M440" s="8"/>
    </row>
    <row r="441" spans="4:13" x14ac:dyDescent="0.25">
      <c r="M441" s="8"/>
    </row>
    <row r="442" spans="4:13" ht="15" customHeight="1" x14ac:dyDescent="0.25">
      <c r="D442" s="10" t="s">
        <v>311</v>
      </c>
      <c r="E442" s="10" t="s">
        <v>212</v>
      </c>
      <c r="F442" s="10" t="s">
        <v>312</v>
      </c>
      <c r="G442" s="10" t="s">
        <v>278</v>
      </c>
      <c r="H442" s="10" t="s">
        <v>279</v>
      </c>
      <c r="I442" s="10" t="s">
        <v>354</v>
      </c>
      <c r="M442" s="8"/>
    </row>
    <row r="443" spans="4:13" x14ac:dyDescent="0.25">
      <c r="D443" s="10" t="str" cm="1">
        <f t="array" ref="D443">Common_InputFunctions.Utility_DisplayArrayInTable(Scope3_SourceData.Scope3_Livestock_Data(), Table_SourceData_Scope3_Animals154[[#Headers],[Category]], 0, 2)</f>
        <v>Beef cattle</v>
      </c>
      <c r="E443" s="10" t="str" cm="1">
        <f t="array" ref="E443">Common_InputFunctions.Utility_DisplayArrayInTable(Scope3_SourceData.Scope3_Livestock_Data(), Table_SourceData_Scope3_Animals154[[#Headers],[Category]], 0, 2)</f>
        <v>Cattle, for manufacturing beef</v>
      </c>
      <c r="F443" s="10" t="str" cm="1">
        <f t="array" ref="F443">Common_InputFunctions.Utility_DisplayArrayInTable(Scope3_SourceData.Scope3_Livestock_Data(), Table_SourceData_Scope3_Animals154[[#Headers],[Category]], 0, 2)</f>
        <v>Australia</v>
      </c>
      <c r="G443" s="10" t="str" cm="1">
        <f t="array" ref="G443">Common_InputFunctions.Utility_DisplayArrayInTable(Scope3_SourceData.Scope3_Livestock_Data(), Table_SourceData_Scope3_Animals154[[#Headers],[Category]], 0, 2)</f>
        <v>kg liveweight</v>
      </c>
      <c r="H443" s="10" cm="1">
        <f t="array" ref="H443">Common_InputFunctions.Utility_DisplayArrayInTable(Scope3_SourceData.Scope3_Livestock_Data(), Table_SourceData_Scope3_Animals154[[#Headers],[Category]], 0, 2)</f>
        <v>11</v>
      </c>
      <c r="I443" s="10" t="str" cm="1">
        <f t="array" ref="I443">Common_InputFunctions.Utility_DisplayArrayInTable(Scope3_SourceData.Scope3_Livestock_Data(), Table_SourceData_Scope3_Animals154[[#Headers],[Category]], 0, 2)</f>
        <v>at market</v>
      </c>
      <c r="M443" s="8"/>
    </row>
    <row r="444" spans="4:13" x14ac:dyDescent="0.25">
      <c r="D444" s="10" t="str" cm="1">
        <f t="array" ref="D444">Common_InputFunctions.Utility_DisplayArrayInTable(Scope3_SourceData.Scope3_Livestock_Data(), Table_SourceData_Scope3_Animals154[[#Headers],[Category]], 0, 2)</f>
        <v>Beef cattle</v>
      </c>
      <c r="E444" s="10" t="str" cm="1">
        <f t="array" ref="E444">Common_InputFunctions.Utility_DisplayArrayInTable(Scope3_SourceData.Scope3_Livestock_Data(), Table_SourceData_Scope3_Animals154[[#Headers],[Category]], 0, 2)</f>
        <v>Cattle, for manufacturing beef</v>
      </c>
      <c r="F444" s="10" t="str" cm="1">
        <f t="array" ref="F444">Common_InputFunctions.Utility_DisplayArrayInTable(Scope3_SourceData.Scope3_Livestock_Data(), Table_SourceData_Scope3_Animals154[[#Headers],[Category]], 0, 2)</f>
        <v>NSW</v>
      </c>
      <c r="G444" s="10" t="str" cm="1">
        <f t="array" ref="G444">Common_InputFunctions.Utility_DisplayArrayInTable(Scope3_SourceData.Scope3_Livestock_Data(), Table_SourceData_Scope3_Animals154[[#Headers],[Category]], 0, 2)</f>
        <v>kg liveweight</v>
      </c>
      <c r="H444" s="10" cm="1">
        <f t="array" ref="H444">Common_InputFunctions.Utility_DisplayArrayInTable(Scope3_SourceData.Scope3_Livestock_Data(), Table_SourceData_Scope3_Animals154[[#Headers],[Category]], 0, 2)</f>
        <v>8.2100000000000009</v>
      </c>
      <c r="I444" s="10" t="str" cm="1">
        <f t="array" ref="I444">Common_InputFunctions.Utility_DisplayArrayInTable(Scope3_SourceData.Scope3_Livestock_Data(), Table_SourceData_Scope3_Animals154[[#Headers],[Category]], 0, 2)</f>
        <v>at market</v>
      </c>
      <c r="M444" s="8"/>
    </row>
    <row r="445" spans="4:13" x14ac:dyDescent="0.25">
      <c r="D445" s="10" t="str" cm="1">
        <f t="array" ref="D445">Common_InputFunctions.Utility_DisplayArrayInTable(Scope3_SourceData.Scope3_Livestock_Data(), Table_SourceData_Scope3_Animals154[[#Headers],[Category]], 0, 2)</f>
        <v>Beef cattle</v>
      </c>
      <c r="E445" s="10" t="str" cm="1">
        <f t="array" ref="E445">Common_InputFunctions.Utility_DisplayArrayInTable(Scope3_SourceData.Scope3_Livestock_Data(), Table_SourceData_Scope3_Animals154[[#Headers],[Category]], 0, 2)</f>
        <v>Cattle, for manufacturing beef</v>
      </c>
      <c r="F445" s="10" t="str" cm="1">
        <f t="array" ref="F445">Common_InputFunctions.Utility_DisplayArrayInTable(Scope3_SourceData.Scope3_Livestock_Data(), Table_SourceData_Scope3_Animals154[[#Headers],[Category]], 0, 2)</f>
        <v>NT</v>
      </c>
      <c r="G445" s="10" t="str" cm="1">
        <f t="array" ref="G445">Common_InputFunctions.Utility_DisplayArrayInTable(Scope3_SourceData.Scope3_Livestock_Data(), Table_SourceData_Scope3_Animals154[[#Headers],[Category]], 0, 2)</f>
        <v>kg liveweight</v>
      </c>
      <c r="H445" s="10" cm="1">
        <f t="array" ref="H445">Common_InputFunctions.Utility_DisplayArrayInTable(Scope3_SourceData.Scope3_Livestock_Data(), Table_SourceData_Scope3_Animals154[[#Headers],[Category]], 0, 2)</f>
        <v>12.2</v>
      </c>
      <c r="I445" s="10" t="str" cm="1">
        <f t="array" ref="I445">Common_InputFunctions.Utility_DisplayArrayInTable(Scope3_SourceData.Scope3_Livestock_Data(), Table_SourceData_Scope3_Animals154[[#Headers],[Category]], 0, 2)</f>
        <v>at market</v>
      </c>
      <c r="M445" s="8"/>
    </row>
    <row r="446" spans="4:13" x14ac:dyDescent="0.25">
      <c r="D446" s="10" t="str" cm="1">
        <f t="array" ref="D446">Common_InputFunctions.Utility_DisplayArrayInTable(Scope3_SourceData.Scope3_Livestock_Data(), Table_SourceData_Scope3_Animals154[[#Headers],[Category]], 0, 2)</f>
        <v>Beef cattle</v>
      </c>
      <c r="E446" s="10" t="str" cm="1">
        <f t="array" ref="E446">Common_InputFunctions.Utility_DisplayArrayInTable(Scope3_SourceData.Scope3_Livestock_Data(), Table_SourceData_Scope3_Animals154[[#Headers],[Category]], 0, 2)</f>
        <v>Cattle, for manufacturing beef</v>
      </c>
      <c r="F446" s="10" t="str" cm="1">
        <f t="array" ref="F446">Common_InputFunctions.Utility_DisplayArrayInTable(Scope3_SourceData.Scope3_Livestock_Data(), Table_SourceData_Scope3_Animals154[[#Headers],[Category]], 0, 2)</f>
        <v>QLD</v>
      </c>
      <c r="G446" s="10" t="str" cm="1">
        <f t="array" ref="G446">Common_InputFunctions.Utility_DisplayArrayInTable(Scope3_SourceData.Scope3_Livestock_Data(), Table_SourceData_Scope3_Animals154[[#Headers],[Category]], 0, 2)</f>
        <v>kg liveweight</v>
      </c>
      <c r="H446" s="10" cm="1">
        <f t="array" ref="H446">Common_InputFunctions.Utility_DisplayArrayInTable(Scope3_SourceData.Scope3_Livestock_Data(), Table_SourceData_Scope3_Animals154[[#Headers],[Category]], 0, 2)</f>
        <v>10.9</v>
      </c>
      <c r="I446" s="10" t="str" cm="1">
        <f t="array" ref="I446">Common_InputFunctions.Utility_DisplayArrayInTable(Scope3_SourceData.Scope3_Livestock_Data(), Table_SourceData_Scope3_Animals154[[#Headers],[Category]], 0, 2)</f>
        <v>at market</v>
      </c>
      <c r="M446" s="8"/>
    </row>
    <row r="447" spans="4:13" x14ac:dyDescent="0.25">
      <c r="D447" s="10" t="str" cm="1">
        <f t="array" ref="D447">Common_InputFunctions.Utility_DisplayArrayInTable(Scope3_SourceData.Scope3_Livestock_Data(), Table_SourceData_Scope3_Animals154[[#Headers],[Category]], 0, 2)</f>
        <v>Beef cattle</v>
      </c>
      <c r="E447" s="10" t="str" cm="1">
        <f t="array" ref="E447">Common_InputFunctions.Utility_DisplayArrayInTable(Scope3_SourceData.Scope3_Livestock_Data(), Table_SourceData_Scope3_Animals154[[#Headers],[Category]], 0, 2)</f>
        <v>Cattle, for manufacturing beef</v>
      </c>
      <c r="F447" s="10" t="str" cm="1">
        <f t="array" ref="F447">Common_InputFunctions.Utility_DisplayArrayInTable(Scope3_SourceData.Scope3_Livestock_Data(), Table_SourceData_Scope3_Animals154[[#Headers],[Category]], 0, 2)</f>
        <v>SA</v>
      </c>
      <c r="G447" s="10" t="str" cm="1">
        <f t="array" ref="G447">Common_InputFunctions.Utility_DisplayArrayInTable(Scope3_SourceData.Scope3_Livestock_Data(), Table_SourceData_Scope3_Animals154[[#Headers],[Category]], 0, 2)</f>
        <v>kg liveweight</v>
      </c>
      <c r="H447" s="10" cm="1">
        <f t="array" ref="H447">Common_InputFunctions.Utility_DisplayArrayInTable(Scope3_SourceData.Scope3_Livestock_Data(), Table_SourceData_Scope3_Animals154[[#Headers],[Category]], 0, 2)</f>
        <v>7.63</v>
      </c>
      <c r="I447" s="10" t="str" cm="1">
        <f t="array" ref="I447">Common_InputFunctions.Utility_DisplayArrayInTable(Scope3_SourceData.Scope3_Livestock_Data(), Table_SourceData_Scope3_Animals154[[#Headers],[Category]], 0, 2)</f>
        <v>at market</v>
      </c>
      <c r="M447" s="8"/>
    </row>
    <row r="448" spans="4:13" x14ac:dyDescent="0.25">
      <c r="D448" s="10" t="str" cm="1">
        <f t="array" ref="D448">Common_InputFunctions.Utility_DisplayArrayInTable(Scope3_SourceData.Scope3_Livestock_Data(), Table_SourceData_Scope3_Animals154[[#Headers],[Category]], 0, 2)</f>
        <v>Beef cattle</v>
      </c>
      <c r="E448" s="10" t="str" cm="1">
        <f t="array" ref="E448">Common_InputFunctions.Utility_DisplayArrayInTable(Scope3_SourceData.Scope3_Livestock_Data(), Table_SourceData_Scope3_Animals154[[#Headers],[Category]], 0, 2)</f>
        <v>Cattle, for manufacturing beef</v>
      </c>
      <c r="F448" s="10" t="str" cm="1">
        <f t="array" ref="F448">Common_InputFunctions.Utility_DisplayArrayInTable(Scope3_SourceData.Scope3_Livestock_Data(), Table_SourceData_Scope3_Animals154[[#Headers],[Category]], 0, 2)</f>
        <v>TAS</v>
      </c>
      <c r="G448" s="10" t="str" cm="1">
        <f t="array" ref="G448">Common_InputFunctions.Utility_DisplayArrayInTable(Scope3_SourceData.Scope3_Livestock_Data(), Table_SourceData_Scope3_Animals154[[#Headers],[Category]], 0, 2)</f>
        <v>kg liveweight</v>
      </c>
      <c r="H448" s="10" cm="1">
        <f t="array" ref="H448">Common_InputFunctions.Utility_DisplayArrayInTable(Scope3_SourceData.Scope3_Livestock_Data(), Table_SourceData_Scope3_Animals154[[#Headers],[Category]], 0, 2)</f>
        <v>8.75</v>
      </c>
      <c r="I448" s="10" t="str" cm="1">
        <f t="array" ref="I448">Common_InputFunctions.Utility_DisplayArrayInTable(Scope3_SourceData.Scope3_Livestock_Data(), Table_SourceData_Scope3_Animals154[[#Headers],[Category]], 0, 2)</f>
        <v>at market</v>
      </c>
      <c r="M448" s="8"/>
    </row>
    <row r="449" spans="4:13" x14ac:dyDescent="0.25">
      <c r="D449" s="10" t="str" cm="1">
        <f t="array" ref="D449">Common_InputFunctions.Utility_DisplayArrayInTable(Scope3_SourceData.Scope3_Livestock_Data(), Table_SourceData_Scope3_Animals154[[#Headers],[Category]], 0, 2)</f>
        <v>Beef cattle</v>
      </c>
      <c r="E449" s="10" t="str" cm="1">
        <f t="array" ref="E449">Common_InputFunctions.Utility_DisplayArrayInTable(Scope3_SourceData.Scope3_Livestock_Data(), Table_SourceData_Scope3_Animals154[[#Headers],[Category]], 0, 2)</f>
        <v>Cattle, for manufacturing beef</v>
      </c>
      <c r="F449" s="10" t="str" cm="1">
        <f t="array" ref="F449">Common_InputFunctions.Utility_DisplayArrayInTable(Scope3_SourceData.Scope3_Livestock_Data(), Table_SourceData_Scope3_Animals154[[#Headers],[Category]], 0, 2)</f>
        <v>VIC</v>
      </c>
      <c r="G449" s="10" t="str" cm="1">
        <f t="array" ref="G449">Common_InputFunctions.Utility_DisplayArrayInTable(Scope3_SourceData.Scope3_Livestock_Data(), Table_SourceData_Scope3_Animals154[[#Headers],[Category]], 0, 2)</f>
        <v>kg liveweight</v>
      </c>
      <c r="H449" s="10" cm="1">
        <f t="array" ref="H449">Common_InputFunctions.Utility_DisplayArrayInTable(Scope3_SourceData.Scope3_Livestock_Data(), Table_SourceData_Scope3_Animals154[[#Headers],[Category]], 0, 2)</f>
        <v>8.17</v>
      </c>
      <c r="I449" s="10" t="str" cm="1">
        <f t="array" ref="I449">Common_InputFunctions.Utility_DisplayArrayInTable(Scope3_SourceData.Scope3_Livestock_Data(), Table_SourceData_Scope3_Animals154[[#Headers],[Category]], 0, 2)</f>
        <v>at market</v>
      </c>
      <c r="M449" s="8"/>
    </row>
    <row r="450" spans="4:13" x14ac:dyDescent="0.25">
      <c r="D450" s="10" t="str" cm="1">
        <f t="array" ref="D450">Common_InputFunctions.Utility_DisplayArrayInTable(Scope3_SourceData.Scope3_Livestock_Data(), Table_SourceData_Scope3_Animals154[[#Headers],[Category]], 0, 2)</f>
        <v>Beef cattle</v>
      </c>
      <c r="E450" s="10" t="str" cm="1">
        <f t="array" ref="E450">Common_InputFunctions.Utility_DisplayArrayInTable(Scope3_SourceData.Scope3_Livestock_Data(), Table_SourceData_Scope3_Animals154[[#Headers],[Category]], 0, 2)</f>
        <v>Cattle, for manufacturing beef</v>
      </c>
      <c r="F450" s="10" t="str" cm="1">
        <f t="array" ref="F450">Common_InputFunctions.Utility_DisplayArrayInTable(Scope3_SourceData.Scope3_Livestock_Data(), Table_SourceData_Scope3_Animals154[[#Headers],[Category]], 0, 2)</f>
        <v>WA</v>
      </c>
      <c r="G450" s="10" t="str" cm="1">
        <f t="array" ref="G450">Common_InputFunctions.Utility_DisplayArrayInTable(Scope3_SourceData.Scope3_Livestock_Data(), Table_SourceData_Scope3_Animals154[[#Headers],[Category]], 0, 2)</f>
        <v>kg liveweight</v>
      </c>
      <c r="H450" s="10" cm="1">
        <f t="array" ref="H450">Common_InputFunctions.Utility_DisplayArrayInTable(Scope3_SourceData.Scope3_Livestock_Data(), Table_SourceData_Scope3_Animals154[[#Headers],[Category]], 0, 2)</f>
        <v>13.1</v>
      </c>
      <c r="I450" s="10" t="str" cm="1">
        <f t="array" ref="I450">Common_InputFunctions.Utility_DisplayArrayInTable(Scope3_SourceData.Scope3_Livestock_Data(), Table_SourceData_Scope3_Animals154[[#Headers],[Category]], 0, 2)</f>
        <v>at market</v>
      </c>
      <c r="M450" s="8"/>
    </row>
    <row r="451" spans="4:13" x14ac:dyDescent="0.25">
      <c r="D451" s="10" t="str" cm="1">
        <f t="array" ref="D451">Common_InputFunctions.Utility_DisplayArrayInTable(Scope3_SourceData.Scope3_Livestock_Data(), Table_SourceData_Scope3_Animals154[[#Headers],[Category]], 0, 2)</f>
        <v>Beef cattle</v>
      </c>
      <c r="E451" s="10" t="str" cm="1">
        <f t="array" ref="E451">Common_InputFunctions.Utility_DisplayArrayInTable(Scope3_SourceData.Scope3_Livestock_Data(), Table_SourceData_Scope3_Animals154[[#Headers],[Category]], 0, 2)</f>
        <v>Cattle, for prime beef</v>
      </c>
      <c r="F451" s="10" t="str" cm="1">
        <f t="array" ref="F451">Common_InputFunctions.Utility_DisplayArrayInTable(Scope3_SourceData.Scope3_Livestock_Data(), Table_SourceData_Scope3_Animals154[[#Headers],[Category]], 0, 2)</f>
        <v>Australia</v>
      </c>
      <c r="G451" s="10" t="str" cm="1">
        <f t="array" ref="G451">Common_InputFunctions.Utility_DisplayArrayInTable(Scope3_SourceData.Scope3_Livestock_Data(), Table_SourceData_Scope3_Animals154[[#Headers],[Category]], 0, 2)</f>
        <v>kg liveweight</v>
      </c>
      <c r="H451" s="10" cm="1">
        <f t="array" ref="H451">Common_InputFunctions.Utility_DisplayArrayInTable(Scope3_SourceData.Scope3_Livestock_Data(), Table_SourceData_Scope3_Animals154[[#Headers],[Category]], 0, 2)</f>
        <v>14.5</v>
      </c>
      <c r="I451" s="10" t="str" cm="1">
        <f t="array" ref="I451">Common_InputFunctions.Utility_DisplayArrayInTable(Scope3_SourceData.Scope3_Livestock_Data(), Table_SourceData_Scope3_Animals154[[#Headers],[Category]], 0, 2)</f>
        <v>at market</v>
      </c>
      <c r="M451" s="8"/>
    </row>
    <row r="452" spans="4:13" x14ac:dyDescent="0.25">
      <c r="D452" s="10" t="str" cm="1">
        <f t="array" ref="D452">Common_InputFunctions.Utility_DisplayArrayInTable(Scope3_SourceData.Scope3_Livestock_Data(), Table_SourceData_Scope3_Animals154[[#Headers],[Category]], 0, 2)</f>
        <v>Beef cattle</v>
      </c>
      <c r="E452" s="10" t="str" cm="1">
        <f t="array" ref="E452">Common_InputFunctions.Utility_DisplayArrayInTable(Scope3_SourceData.Scope3_Livestock_Data(), Table_SourceData_Scope3_Animals154[[#Headers],[Category]], 0, 2)</f>
        <v>Cattle, for prime beef</v>
      </c>
      <c r="F452" s="10" t="str" cm="1">
        <f t="array" ref="F452">Common_InputFunctions.Utility_DisplayArrayInTable(Scope3_SourceData.Scope3_Livestock_Data(), Table_SourceData_Scope3_Animals154[[#Headers],[Category]], 0, 2)</f>
        <v>NSW</v>
      </c>
      <c r="G452" s="10" t="str" cm="1">
        <f t="array" ref="G452">Common_InputFunctions.Utility_DisplayArrayInTable(Scope3_SourceData.Scope3_Livestock_Data(), Table_SourceData_Scope3_Animals154[[#Headers],[Category]], 0, 2)</f>
        <v>kg liveweight</v>
      </c>
      <c r="H452" s="10" cm="1">
        <f t="array" ref="H452">Common_InputFunctions.Utility_DisplayArrayInTable(Scope3_SourceData.Scope3_Livestock_Data(), Table_SourceData_Scope3_Animals154[[#Headers],[Category]], 0, 2)</f>
        <v>11.3</v>
      </c>
      <c r="I452" s="10" t="str" cm="1">
        <f t="array" ref="I452">Common_InputFunctions.Utility_DisplayArrayInTable(Scope3_SourceData.Scope3_Livestock_Data(), Table_SourceData_Scope3_Animals154[[#Headers],[Category]], 0, 2)</f>
        <v>at market</v>
      </c>
      <c r="M452" s="8"/>
    </row>
    <row r="453" spans="4:13" x14ac:dyDescent="0.25">
      <c r="D453" s="10" t="str" cm="1">
        <f t="array" ref="D453">Common_InputFunctions.Utility_DisplayArrayInTable(Scope3_SourceData.Scope3_Livestock_Data(), Table_SourceData_Scope3_Animals154[[#Headers],[Category]], 0, 2)</f>
        <v>Beef cattle</v>
      </c>
      <c r="E453" s="10" t="str" cm="1">
        <f t="array" ref="E453">Common_InputFunctions.Utility_DisplayArrayInTable(Scope3_SourceData.Scope3_Livestock_Data(), Table_SourceData_Scope3_Animals154[[#Headers],[Category]], 0, 2)</f>
        <v>Cattle, for prime beef</v>
      </c>
      <c r="F453" s="10" t="str" cm="1">
        <f t="array" ref="F453">Common_InputFunctions.Utility_DisplayArrayInTable(Scope3_SourceData.Scope3_Livestock_Data(), Table_SourceData_Scope3_Animals154[[#Headers],[Category]], 0, 2)</f>
        <v>NT</v>
      </c>
      <c r="G453" s="10" t="str" cm="1">
        <f t="array" ref="G453">Common_InputFunctions.Utility_DisplayArrayInTable(Scope3_SourceData.Scope3_Livestock_Data(), Table_SourceData_Scope3_Animals154[[#Headers],[Category]], 0, 2)</f>
        <v>kg liveweight</v>
      </c>
      <c r="H453" s="10" cm="1">
        <f t="array" ref="H453">Common_InputFunctions.Utility_DisplayArrayInTable(Scope3_SourceData.Scope3_Livestock_Data(), Table_SourceData_Scope3_Animals154[[#Headers],[Category]], 0, 2)</f>
        <v>18.899999999999999</v>
      </c>
      <c r="I453" s="10" t="str" cm="1">
        <f t="array" ref="I453">Common_InputFunctions.Utility_DisplayArrayInTable(Scope3_SourceData.Scope3_Livestock_Data(), Table_SourceData_Scope3_Animals154[[#Headers],[Category]], 0, 2)</f>
        <v>at market</v>
      </c>
      <c r="M453" s="8"/>
    </row>
    <row r="454" spans="4:13" x14ac:dyDescent="0.25">
      <c r="D454" s="10" t="str" cm="1">
        <f t="array" ref="D454">Common_InputFunctions.Utility_DisplayArrayInTable(Scope3_SourceData.Scope3_Livestock_Data(), Table_SourceData_Scope3_Animals154[[#Headers],[Category]], 0, 2)</f>
        <v>Beef cattle</v>
      </c>
      <c r="E454" s="10" t="str" cm="1">
        <f t="array" ref="E454">Common_InputFunctions.Utility_DisplayArrayInTable(Scope3_SourceData.Scope3_Livestock_Data(), Table_SourceData_Scope3_Animals154[[#Headers],[Category]], 0, 2)</f>
        <v>Cattle, for prime beef</v>
      </c>
      <c r="F454" s="10" t="str" cm="1">
        <f t="array" ref="F454">Common_InputFunctions.Utility_DisplayArrayInTable(Scope3_SourceData.Scope3_Livestock_Data(), Table_SourceData_Scope3_Animals154[[#Headers],[Category]], 0, 2)</f>
        <v>QLD</v>
      </c>
      <c r="G454" s="10" t="str" cm="1">
        <f t="array" ref="G454">Common_InputFunctions.Utility_DisplayArrayInTable(Scope3_SourceData.Scope3_Livestock_Data(), Table_SourceData_Scope3_Animals154[[#Headers],[Category]], 0, 2)</f>
        <v>kg liveweight</v>
      </c>
      <c r="H454" s="10" cm="1">
        <f t="array" ref="H454">Common_InputFunctions.Utility_DisplayArrayInTable(Scope3_SourceData.Scope3_Livestock_Data(), Table_SourceData_Scope3_Animals154[[#Headers],[Category]], 0, 2)</f>
        <v>13.9</v>
      </c>
      <c r="I454" s="10" t="str" cm="1">
        <f t="array" ref="I454">Common_InputFunctions.Utility_DisplayArrayInTable(Scope3_SourceData.Scope3_Livestock_Data(), Table_SourceData_Scope3_Animals154[[#Headers],[Category]], 0, 2)</f>
        <v>at market</v>
      </c>
      <c r="M454" s="8"/>
    </row>
    <row r="455" spans="4:13" x14ac:dyDescent="0.25">
      <c r="D455" s="10" t="str" cm="1">
        <f t="array" ref="D455">Common_InputFunctions.Utility_DisplayArrayInTable(Scope3_SourceData.Scope3_Livestock_Data(), Table_SourceData_Scope3_Animals154[[#Headers],[Category]], 0, 2)</f>
        <v>Beef cattle</v>
      </c>
      <c r="E455" s="10" t="str" cm="1">
        <f t="array" ref="E455">Common_InputFunctions.Utility_DisplayArrayInTable(Scope3_SourceData.Scope3_Livestock_Data(), Table_SourceData_Scope3_Animals154[[#Headers],[Category]], 0, 2)</f>
        <v>Cattle, for prime beef</v>
      </c>
      <c r="F455" s="10" t="str" cm="1">
        <f t="array" ref="F455">Common_InputFunctions.Utility_DisplayArrayInTable(Scope3_SourceData.Scope3_Livestock_Data(), Table_SourceData_Scope3_Animals154[[#Headers],[Category]], 0, 2)</f>
        <v>SA</v>
      </c>
      <c r="G455" s="10" t="str" cm="1">
        <f t="array" ref="G455">Common_InputFunctions.Utility_DisplayArrayInTable(Scope3_SourceData.Scope3_Livestock_Data(), Table_SourceData_Scope3_Animals154[[#Headers],[Category]], 0, 2)</f>
        <v>kg liveweight</v>
      </c>
      <c r="H455" s="10" cm="1">
        <f t="array" ref="H455">Common_InputFunctions.Utility_DisplayArrayInTable(Scope3_SourceData.Scope3_Livestock_Data(), Table_SourceData_Scope3_Animals154[[#Headers],[Category]], 0, 2)</f>
        <v>12.3</v>
      </c>
      <c r="I455" s="10" t="str" cm="1">
        <f t="array" ref="I455">Common_InputFunctions.Utility_DisplayArrayInTable(Scope3_SourceData.Scope3_Livestock_Data(), Table_SourceData_Scope3_Animals154[[#Headers],[Category]], 0, 2)</f>
        <v>at market</v>
      </c>
    </row>
    <row r="456" spans="4:13" x14ac:dyDescent="0.25">
      <c r="D456" s="10" t="str" cm="1">
        <f t="array" ref="D456">Common_InputFunctions.Utility_DisplayArrayInTable(Scope3_SourceData.Scope3_Livestock_Data(), Table_SourceData_Scope3_Animals154[[#Headers],[Category]], 0, 2)</f>
        <v>Beef cattle</v>
      </c>
      <c r="E456" s="10" t="str" cm="1">
        <f t="array" ref="E456">Common_InputFunctions.Utility_DisplayArrayInTable(Scope3_SourceData.Scope3_Livestock_Data(), Table_SourceData_Scope3_Animals154[[#Headers],[Category]], 0, 2)</f>
        <v>Cattle, for prime beef</v>
      </c>
      <c r="F456" s="10" t="str" cm="1">
        <f t="array" ref="F456">Common_InputFunctions.Utility_DisplayArrayInTable(Scope3_SourceData.Scope3_Livestock_Data(), Table_SourceData_Scope3_Animals154[[#Headers],[Category]], 0, 2)</f>
        <v>TAS</v>
      </c>
      <c r="G456" s="10" t="str" cm="1">
        <f t="array" ref="G456">Common_InputFunctions.Utility_DisplayArrayInTable(Scope3_SourceData.Scope3_Livestock_Data(), Table_SourceData_Scope3_Animals154[[#Headers],[Category]], 0, 2)</f>
        <v>kg liveweight</v>
      </c>
      <c r="H456" s="10" cm="1">
        <f t="array" ref="H456">Common_InputFunctions.Utility_DisplayArrayInTable(Scope3_SourceData.Scope3_Livestock_Data(), Table_SourceData_Scope3_Animals154[[#Headers],[Category]], 0, 2)</f>
        <v>11.5</v>
      </c>
      <c r="I456" s="10" t="str" cm="1">
        <f t="array" ref="I456">Common_InputFunctions.Utility_DisplayArrayInTable(Scope3_SourceData.Scope3_Livestock_Data(), Table_SourceData_Scope3_Animals154[[#Headers],[Category]], 0, 2)</f>
        <v>at market</v>
      </c>
    </row>
    <row r="457" spans="4:13" x14ac:dyDescent="0.25">
      <c r="D457" s="10" t="str" cm="1">
        <f t="array" ref="D457">Common_InputFunctions.Utility_DisplayArrayInTable(Scope3_SourceData.Scope3_Livestock_Data(), Table_SourceData_Scope3_Animals154[[#Headers],[Category]], 0, 2)</f>
        <v>Beef cattle</v>
      </c>
      <c r="E457" s="10" t="str" cm="1">
        <f t="array" ref="E457">Common_InputFunctions.Utility_DisplayArrayInTable(Scope3_SourceData.Scope3_Livestock_Data(), Table_SourceData_Scope3_Animals154[[#Headers],[Category]], 0, 2)</f>
        <v>Cattle, for prime beef</v>
      </c>
      <c r="F457" s="10" t="str" cm="1">
        <f t="array" ref="F457">Common_InputFunctions.Utility_DisplayArrayInTable(Scope3_SourceData.Scope3_Livestock_Data(), Table_SourceData_Scope3_Animals154[[#Headers],[Category]], 0, 2)</f>
        <v>VIC</v>
      </c>
      <c r="G457" s="10" t="str" cm="1">
        <f t="array" ref="G457">Common_InputFunctions.Utility_DisplayArrayInTable(Scope3_SourceData.Scope3_Livestock_Data(), Table_SourceData_Scope3_Animals154[[#Headers],[Category]], 0, 2)</f>
        <v>kg liveweight</v>
      </c>
      <c r="H457" s="10" cm="1">
        <f t="array" ref="H457">Common_InputFunctions.Utility_DisplayArrayInTable(Scope3_SourceData.Scope3_Livestock_Data(), Table_SourceData_Scope3_Animals154[[#Headers],[Category]], 0, 2)</f>
        <v>11.5</v>
      </c>
      <c r="I457" s="10" t="str" cm="1">
        <f t="array" ref="I457">Common_InputFunctions.Utility_DisplayArrayInTable(Scope3_SourceData.Scope3_Livestock_Data(), Table_SourceData_Scope3_Animals154[[#Headers],[Category]], 0, 2)</f>
        <v>at market</v>
      </c>
    </row>
    <row r="458" spans="4:13" x14ac:dyDescent="0.25">
      <c r="D458" s="10" t="str" cm="1">
        <f t="array" ref="D458">Common_InputFunctions.Utility_DisplayArrayInTable(Scope3_SourceData.Scope3_Livestock_Data(), Table_SourceData_Scope3_Animals154[[#Headers],[Category]], 0, 2)</f>
        <v>Beef cattle</v>
      </c>
      <c r="E458" s="10" t="str" cm="1">
        <f t="array" ref="E458">Common_InputFunctions.Utility_DisplayArrayInTable(Scope3_SourceData.Scope3_Livestock_Data(), Table_SourceData_Scope3_Animals154[[#Headers],[Category]], 0, 2)</f>
        <v>Cattle, for prime beef</v>
      </c>
      <c r="F458" s="10" t="str" cm="1">
        <f t="array" ref="F458">Common_InputFunctions.Utility_DisplayArrayInTable(Scope3_SourceData.Scope3_Livestock_Data(), Table_SourceData_Scope3_Animals154[[#Headers],[Category]], 0, 2)</f>
        <v>WA</v>
      </c>
      <c r="G458" s="10" t="str" cm="1">
        <f t="array" ref="G458">Common_InputFunctions.Utility_DisplayArrayInTable(Scope3_SourceData.Scope3_Livestock_Data(), Table_SourceData_Scope3_Animals154[[#Headers],[Category]], 0, 2)</f>
        <v>kg liveweight</v>
      </c>
      <c r="H458" s="10" cm="1">
        <f t="array" ref="H458">Common_InputFunctions.Utility_DisplayArrayInTable(Scope3_SourceData.Scope3_Livestock_Data(), Table_SourceData_Scope3_Animals154[[#Headers],[Category]], 0, 2)</f>
        <v>20.8</v>
      </c>
      <c r="I458" s="10" t="str" cm="1">
        <f t="array" ref="I458">Common_InputFunctions.Utility_DisplayArrayInTable(Scope3_SourceData.Scope3_Livestock_Data(), Table_SourceData_Scope3_Animals154[[#Headers],[Category]], 0, 2)</f>
        <v>at market</v>
      </c>
    </row>
    <row r="459" spans="4:13" x14ac:dyDescent="0.25">
      <c r="D459" s="10" t="str" cm="1">
        <f t="array" ref="D459">Common_InputFunctions.Utility_DisplayArrayInTable(Scope3_SourceData.Scope3_Livestock_Data(), Table_SourceData_Scope3_Animals154[[#Headers],[Category]], 0, 2)</f>
        <v>Beef cattle</v>
      </c>
      <c r="E459" s="10" t="str" cm="1">
        <f t="array" ref="E459">Common_InputFunctions.Utility_DisplayArrayInTable(Scope3_SourceData.Scope3_Livestock_Data(), Table_SourceData_Scope3_Animals154[[#Headers],[Category]], 0, 2)</f>
        <v>Cattle, weaners</v>
      </c>
      <c r="F459" s="10" t="str" cm="1">
        <f t="array" ref="F459">Common_InputFunctions.Utility_DisplayArrayInTable(Scope3_SourceData.Scope3_Livestock_Data(), Table_SourceData_Scope3_Animals154[[#Headers],[Category]], 0, 2)</f>
        <v>Australia</v>
      </c>
      <c r="G459" s="10" t="str" cm="1">
        <f t="array" ref="G459">Common_InputFunctions.Utility_DisplayArrayInTable(Scope3_SourceData.Scope3_Livestock_Data(), Table_SourceData_Scope3_Animals154[[#Headers],[Category]], 0, 2)</f>
        <v>kg liveweight</v>
      </c>
      <c r="H459" s="10" cm="1">
        <f t="array" ref="H459">Common_InputFunctions.Utility_DisplayArrayInTable(Scope3_SourceData.Scope3_Livestock_Data(), Table_SourceData_Scope3_Animals154[[#Headers],[Category]], 0, 2)</f>
        <v>15.5</v>
      </c>
      <c r="I459" s="10" t="str" cm="1">
        <f t="array" ref="I459">Common_InputFunctions.Utility_DisplayArrayInTable(Scope3_SourceData.Scope3_Livestock_Data(), Table_SourceData_Scope3_Animals154[[#Headers],[Category]], 0, 2)</f>
        <v>at market</v>
      </c>
    </row>
    <row r="460" spans="4:13" x14ac:dyDescent="0.25">
      <c r="D460" s="10" t="str" cm="1">
        <f t="array" ref="D460">Common_InputFunctions.Utility_DisplayArrayInTable(Scope3_SourceData.Scope3_Livestock_Data(), Table_SourceData_Scope3_Animals154[[#Headers],[Category]], 0, 2)</f>
        <v>Beef cattle</v>
      </c>
      <c r="E460" s="10" t="str" cm="1">
        <f t="array" ref="E460">Common_InputFunctions.Utility_DisplayArrayInTable(Scope3_SourceData.Scope3_Livestock_Data(), Table_SourceData_Scope3_Animals154[[#Headers],[Category]], 0, 2)</f>
        <v>Cattle, weaners</v>
      </c>
      <c r="F460" s="10" t="str" cm="1">
        <f t="array" ref="F460">Common_InputFunctions.Utility_DisplayArrayInTable(Scope3_SourceData.Scope3_Livestock_Data(), Table_SourceData_Scope3_Animals154[[#Headers],[Category]], 0, 2)</f>
        <v>NSW</v>
      </c>
      <c r="G460" s="10" t="str" cm="1">
        <f t="array" ref="G460">Common_InputFunctions.Utility_DisplayArrayInTable(Scope3_SourceData.Scope3_Livestock_Data(), Table_SourceData_Scope3_Animals154[[#Headers],[Category]], 0, 2)</f>
        <v>kg liveweight</v>
      </c>
      <c r="H460" s="10" cm="1">
        <f t="array" ref="H460">Common_InputFunctions.Utility_DisplayArrayInTable(Scope3_SourceData.Scope3_Livestock_Data(), Table_SourceData_Scope3_Animals154[[#Headers],[Category]], 0, 2)</f>
        <v>12.7</v>
      </c>
      <c r="I460" s="10" t="str" cm="1">
        <f t="array" ref="I460">Common_InputFunctions.Utility_DisplayArrayInTable(Scope3_SourceData.Scope3_Livestock_Data(), Table_SourceData_Scope3_Animals154[[#Headers],[Category]], 0, 2)</f>
        <v>at market</v>
      </c>
    </row>
    <row r="461" spans="4:13" x14ac:dyDescent="0.25">
      <c r="D461" s="10" t="str" cm="1">
        <f t="array" ref="D461">Common_InputFunctions.Utility_DisplayArrayInTable(Scope3_SourceData.Scope3_Livestock_Data(), Table_SourceData_Scope3_Animals154[[#Headers],[Category]], 0, 2)</f>
        <v>Beef cattle</v>
      </c>
      <c r="E461" s="10" t="str" cm="1">
        <f t="array" ref="E461">Common_InputFunctions.Utility_DisplayArrayInTable(Scope3_SourceData.Scope3_Livestock_Data(), Table_SourceData_Scope3_Animals154[[#Headers],[Category]], 0, 2)</f>
        <v>Cattle, weaners</v>
      </c>
      <c r="F461" s="10" t="str" cm="1">
        <f t="array" ref="F461">Common_InputFunctions.Utility_DisplayArrayInTable(Scope3_SourceData.Scope3_Livestock_Data(), Table_SourceData_Scope3_Animals154[[#Headers],[Category]], 0, 2)</f>
        <v>NT</v>
      </c>
      <c r="G461" s="10" t="str" cm="1">
        <f t="array" ref="G461">Common_InputFunctions.Utility_DisplayArrayInTable(Scope3_SourceData.Scope3_Livestock_Data(), Table_SourceData_Scope3_Animals154[[#Headers],[Category]], 0, 2)</f>
        <v>kg liveweight</v>
      </c>
      <c r="H461" s="10" cm="1">
        <f t="array" ref="H461">Common_InputFunctions.Utility_DisplayArrayInTable(Scope3_SourceData.Scope3_Livestock_Data(), Table_SourceData_Scope3_Animals154[[#Headers],[Category]], 0, 2)</f>
        <v>19.100000000000001</v>
      </c>
      <c r="I461" s="10" t="str" cm="1">
        <f t="array" ref="I461">Common_InputFunctions.Utility_DisplayArrayInTable(Scope3_SourceData.Scope3_Livestock_Data(), Table_SourceData_Scope3_Animals154[[#Headers],[Category]], 0, 2)</f>
        <v>at market</v>
      </c>
    </row>
    <row r="462" spans="4:13" x14ac:dyDescent="0.25">
      <c r="D462" s="10" t="str" cm="1">
        <f t="array" ref="D462">Common_InputFunctions.Utility_DisplayArrayInTable(Scope3_SourceData.Scope3_Livestock_Data(), Table_SourceData_Scope3_Animals154[[#Headers],[Category]], 0, 2)</f>
        <v>Beef cattle</v>
      </c>
      <c r="E462" s="10" t="str" cm="1">
        <f t="array" ref="E462">Common_InputFunctions.Utility_DisplayArrayInTable(Scope3_SourceData.Scope3_Livestock_Data(), Table_SourceData_Scope3_Animals154[[#Headers],[Category]], 0, 2)</f>
        <v>Cattle, weaners</v>
      </c>
      <c r="F462" s="10" t="str" cm="1">
        <f t="array" ref="F462">Common_InputFunctions.Utility_DisplayArrayInTable(Scope3_SourceData.Scope3_Livestock_Data(), Table_SourceData_Scope3_Animals154[[#Headers],[Category]], 0, 2)</f>
        <v>QLD</v>
      </c>
      <c r="G462" s="10" t="str" cm="1">
        <f t="array" ref="G462">Common_InputFunctions.Utility_DisplayArrayInTable(Scope3_SourceData.Scope3_Livestock_Data(), Table_SourceData_Scope3_Animals154[[#Headers],[Category]], 0, 2)</f>
        <v>kg liveweight</v>
      </c>
      <c r="H462" s="10" cm="1">
        <f t="array" ref="H462">Common_InputFunctions.Utility_DisplayArrayInTable(Scope3_SourceData.Scope3_Livestock_Data(), Table_SourceData_Scope3_Animals154[[#Headers],[Category]], 0, 2)</f>
        <v>20.5</v>
      </c>
      <c r="I462" s="10" t="str" cm="1">
        <f t="array" ref="I462">Common_InputFunctions.Utility_DisplayArrayInTable(Scope3_SourceData.Scope3_Livestock_Data(), Table_SourceData_Scope3_Animals154[[#Headers],[Category]], 0, 2)</f>
        <v>at market</v>
      </c>
    </row>
    <row r="463" spans="4:13" x14ac:dyDescent="0.25">
      <c r="D463" s="10" t="str" cm="1">
        <f t="array" ref="D463">Common_InputFunctions.Utility_DisplayArrayInTable(Scope3_SourceData.Scope3_Livestock_Data(), Table_SourceData_Scope3_Animals154[[#Headers],[Category]], 0, 2)</f>
        <v>Beef cattle</v>
      </c>
      <c r="E463" s="10" t="str" cm="1">
        <f t="array" ref="E463">Common_InputFunctions.Utility_DisplayArrayInTable(Scope3_SourceData.Scope3_Livestock_Data(), Table_SourceData_Scope3_Animals154[[#Headers],[Category]], 0, 2)</f>
        <v>Cattle, weaners</v>
      </c>
      <c r="F463" s="10" t="str" cm="1">
        <f t="array" ref="F463">Common_InputFunctions.Utility_DisplayArrayInTable(Scope3_SourceData.Scope3_Livestock_Data(), Table_SourceData_Scope3_Animals154[[#Headers],[Category]], 0, 2)</f>
        <v>SA</v>
      </c>
      <c r="G463" s="10" t="str" cm="1">
        <f t="array" ref="G463">Common_InputFunctions.Utility_DisplayArrayInTable(Scope3_SourceData.Scope3_Livestock_Data(), Table_SourceData_Scope3_Animals154[[#Headers],[Category]], 0, 2)</f>
        <v>kg liveweight</v>
      </c>
      <c r="H463" s="10" cm="1">
        <f t="array" ref="H463">Common_InputFunctions.Utility_DisplayArrayInTable(Scope3_SourceData.Scope3_Livestock_Data(), Table_SourceData_Scope3_Animals154[[#Headers],[Category]], 0, 2)</f>
        <v>10.8</v>
      </c>
      <c r="I463" s="10" t="str" cm="1">
        <f t="array" ref="I463">Common_InputFunctions.Utility_DisplayArrayInTable(Scope3_SourceData.Scope3_Livestock_Data(), Table_SourceData_Scope3_Animals154[[#Headers],[Category]], 0, 2)</f>
        <v>at market</v>
      </c>
    </row>
    <row r="464" spans="4:13" x14ac:dyDescent="0.25">
      <c r="D464" s="10" t="str" cm="1">
        <f t="array" ref="D464">Common_InputFunctions.Utility_DisplayArrayInTable(Scope3_SourceData.Scope3_Livestock_Data(), Table_SourceData_Scope3_Animals154[[#Headers],[Category]], 0, 2)</f>
        <v>Beef cattle</v>
      </c>
      <c r="E464" s="10" t="str" cm="1">
        <f t="array" ref="E464">Common_InputFunctions.Utility_DisplayArrayInTable(Scope3_SourceData.Scope3_Livestock_Data(), Table_SourceData_Scope3_Animals154[[#Headers],[Category]], 0, 2)</f>
        <v>Cattle, weaners</v>
      </c>
      <c r="F464" s="10" t="str" cm="1">
        <f t="array" ref="F464">Common_InputFunctions.Utility_DisplayArrayInTable(Scope3_SourceData.Scope3_Livestock_Data(), Table_SourceData_Scope3_Animals154[[#Headers],[Category]], 0, 2)</f>
        <v>TAS</v>
      </c>
      <c r="G464" s="10" t="str" cm="1">
        <f t="array" ref="G464">Common_InputFunctions.Utility_DisplayArrayInTable(Scope3_SourceData.Scope3_Livestock_Data(), Table_SourceData_Scope3_Animals154[[#Headers],[Category]], 0, 2)</f>
        <v>kg liveweight</v>
      </c>
      <c r="H464" s="10" cm="1">
        <f t="array" ref="H464">Common_InputFunctions.Utility_DisplayArrayInTable(Scope3_SourceData.Scope3_Livestock_Data(), Table_SourceData_Scope3_Animals154[[#Headers],[Category]], 0, 2)</f>
        <v>13.4</v>
      </c>
      <c r="I464" s="10" t="str" cm="1">
        <f t="array" ref="I464">Common_InputFunctions.Utility_DisplayArrayInTable(Scope3_SourceData.Scope3_Livestock_Data(), Table_SourceData_Scope3_Animals154[[#Headers],[Category]], 0, 2)</f>
        <v>at market</v>
      </c>
    </row>
    <row r="465" spans="4:9" x14ac:dyDescent="0.25">
      <c r="D465" s="10" t="str" cm="1">
        <f t="array" ref="D465">Common_InputFunctions.Utility_DisplayArrayInTable(Scope3_SourceData.Scope3_Livestock_Data(), Table_SourceData_Scope3_Animals154[[#Headers],[Category]], 0, 2)</f>
        <v>Beef cattle</v>
      </c>
      <c r="E465" s="10" t="str" cm="1">
        <f t="array" ref="E465">Common_InputFunctions.Utility_DisplayArrayInTable(Scope3_SourceData.Scope3_Livestock_Data(), Table_SourceData_Scope3_Animals154[[#Headers],[Category]], 0, 2)</f>
        <v>Cattle, weaners</v>
      </c>
      <c r="F465" s="10" t="str" cm="1">
        <f t="array" ref="F465">Common_InputFunctions.Utility_DisplayArrayInTable(Scope3_SourceData.Scope3_Livestock_Data(), Table_SourceData_Scope3_Animals154[[#Headers],[Category]], 0, 2)</f>
        <v>VIC</v>
      </c>
      <c r="G465" s="10" t="str" cm="1">
        <f t="array" ref="G465">Common_InputFunctions.Utility_DisplayArrayInTable(Scope3_SourceData.Scope3_Livestock_Data(), Table_SourceData_Scope3_Animals154[[#Headers],[Category]], 0, 2)</f>
        <v>kg liveweight</v>
      </c>
      <c r="H465" s="10" cm="1">
        <f t="array" ref="H465">Common_InputFunctions.Utility_DisplayArrayInTable(Scope3_SourceData.Scope3_Livestock_Data(), Table_SourceData_Scope3_Animals154[[#Headers],[Category]], 0, 2)</f>
        <v>12</v>
      </c>
      <c r="I465" s="10" t="str" cm="1">
        <f t="array" ref="I465">Common_InputFunctions.Utility_DisplayArrayInTable(Scope3_SourceData.Scope3_Livestock_Data(), Table_SourceData_Scope3_Animals154[[#Headers],[Category]], 0, 2)</f>
        <v>at market</v>
      </c>
    </row>
    <row r="466" spans="4:9" x14ac:dyDescent="0.25">
      <c r="D466" s="10" t="str" cm="1">
        <f t="array" ref="D466">Common_InputFunctions.Utility_DisplayArrayInTable(Scope3_SourceData.Scope3_Livestock_Data(), Table_SourceData_Scope3_Animals154[[#Headers],[Category]], 0, 2)</f>
        <v>Beef cattle</v>
      </c>
      <c r="E466" s="10" t="str" cm="1">
        <f t="array" ref="E466">Common_InputFunctions.Utility_DisplayArrayInTable(Scope3_SourceData.Scope3_Livestock_Data(), Table_SourceData_Scope3_Animals154[[#Headers],[Category]], 0, 2)</f>
        <v>Cattle, weaners</v>
      </c>
      <c r="F466" s="10" t="str" cm="1">
        <f t="array" ref="F466">Common_InputFunctions.Utility_DisplayArrayInTable(Scope3_SourceData.Scope3_Livestock_Data(), Table_SourceData_Scope3_Animals154[[#Headers],[Category]], 0, 2)</f>
        <v>WA</v>
      </c>
      <c r="G466" s="10" t="str" cm="1">
        <f t="array" ref="G466">Common_InputFunctions.Utility_DisplayArrayInTable(Scope3_SourceData.Scope3_Livestock_Data(), Table_SourceData_Scope3_Animals154[[#Headers],[Category]], 0, 2)</f>
        <v>kg liveweight</v>
      </c>
      <c r="H466" s="10" cm="1">
        <f t="array" ref="H466">Common_InputFunctions.Utility_DisplayArrayInTable(Scope3_SourceData.Scope3_Livestock_Data(), Table_SourceData_Scope3_Animals154[[#Headers],[Category]], 0, 2)</f>
        <v>12.4</v>
      </c>
      <c r="I466" s="10" t="str" cm="1">
        <f t="array" ref="I466">Common_InputFunctions.Utility_DisplayArrayInTable(Scope3_SourceData.Scope3_Livestock_Data(), Table_SourceData_Scope3_Animals154[[#Headers],[Category]], 0, 2)</f>
        <v>at market</v>
      </c>
    </row>
    <row r="467" spans="4:9" x14ac:dyDescent="0.25">
      <c r="D467" s="10" t="str" cm="1">
        <f t="array" ref="D467">Common_InputFunctions.Utility_DisplayArrayInTable(Scope3_SourceData.Scope3_Livestock_Data(), Table_SourceData_Scope3_Animals154[[#Headers],[Category]], 0, 2)</f>
        <v>Chickens</v>
      </c>
      <c r="E467" s="10" t="str" cm="1">
        <f t="array" ref="E467">Common_InputFunctions.Utility_DisplayArrayInTable(Scope3_SourceData.Scope3_Livestock_Data(), Table_SourceData_Scope3_Animals154[[#Headers],[Category]], 0, 2)</f>
        <v>Chickens</v>
      </c>
      <c r="F467" s="10" t="str" cm="1">
        <f t="array" ref="F467">Common_InputFunctions.Utility_DisplayArrayInTable(Scope3_SourceData.Scope3_Livestock_Data(), Table_SourceData_Scope3_Animals154[[#Headers],[Category]], 0, 2)</f>
        <v>Australia</v>
      </c>
      <c r="G467" s="10" t="str" cm="1">
        <f t="array" ref="G467">Common_InputFunctions.Utility_DisplayArrayInTable(Scope3_SourceData.Scope3_Livestock_Data(), Table_SourceData_Scope3_Animals154[[#Headers],[Category]], 0, 2)</f>
        <v>kg liveweight</v>
      </c>
      <c r="H467" s="10" cm="1">
        <f t="array" ref="H467">Common_InputFunctions.Utility_DisplayArrayInTable(Scope3_SourceData.Scope3_Livestock_Data(), Table_SourceData_Scope3_Animals154[[#Headers],[Category]], 0, 2)</f>
        <v>1.36</v>
      </c>
      <c r="I467" s="10" t="str" cm="1">
        <f t="array" ref="I467">Common_InputFunctions.Utility_DisplayArrayInTable(Scope3_SourceData.Scope3_Livestock_Data(), Table_SourceData_Scope3_Animals154[[#Headers],[Category]], 0, 2)</f>
        <v>at market</v>
      </c>
    </row>
    <row r="468" spans="4:9" x14ac:dyDescent="0.25">
      <c r="D468" s="10" t="str" cm="1">
        <f t="array" ref="D468">Common_InputFunctions.Utility_DisplayArrayInTable(Scope3_SourceData.Scope3_Livestock_Data(), Table_SourceData_Scope3_Animals154[[#Headers],[Category]], 0, 2)</f>
        <v>Dairy cattle</v>
      </c>
      <c r="E468" s="10" t="str" cm="1">
        <f t="array" ref="E468">Common_InputFunctions.Utility_DisplayArrayInTable(Scope3_SourceData.Scope3_Livestock_Data(), Table_SourceData_Scope3_Animals154[[#Headers],[Category]], 0, 2)</f>
        <v>Dairy cows</v>
      </c>
      <c r="F468" s="10" t="str" cm="1">
        <f t="array" ref="F468">Common_InputFunctions.Utility_DisplayArrayInTable(Scope3_SourceData.Scope3_Livestock_Data(), Table_SourceData_Scope3_Animals154[[#Headers],[Category]], 0, 2)</f>
        <v>VIC</v>
      </c>
      <c r="G468" s="10" t="str" cm="1">
        <f t="array" ref="G468">Common_InputFunctions.Utility_DisplayArrayInTable(Scope3_SourceData.Scope3_Livestock_Data(), Table_SourceData_Scope3_Animals154[[#Headers],[Category]], 0, 2)</f>
        <v>kg liveweight</v>
      </c>
      <c r="H468" s="10" cm="1">
        <f t="array" ref="H468">Common_InputFunctions.Utility_DisplayArrayInTable(Scope3_SourceData.Scope3_Livestock_Data(), Table_SourceData_Scope3_Animals154[[#Headers],[Category]], 0, 2)</f>
        <v>4.41</v>
      </c>
      <c r="I468" s="10" t="str" cm="1">
        <f t="array" ref="I468">Common_InputFunctions.Utility_DisplayArrayInTable(Scope3_SourceData.Scope3_Livestock_Data(), Table_SourceData_Scope3_Animals154[[#Headers],[Category]], 0, 2)</f>
        <v>at market</v>
      </c>
    </row>
    <row r="469" spans="4:9" x14ac:dyDescent="0.25">
      <c r="D469" s="10" t="str" cm="1">
        <f t="array" ref="D469">Common_InputFunctions.Utility_DisplayArrayInTable(Scope3_SourceData.Scope3_Livestock_Data(), Table_SourceData_Scope3_Animals154[[#Headers],[Category]], 0, 2)</f>
        <v>Pigs</v>
      </c>
      <c r="E469" s="10" t="str" cm="1">
        <f t="array" ref="E469">Common_InputFunctions.Utility_DisplayArrayInTable(Scope3_SourceData.Scope3_Livestock_Data(), Table_SourceData_Scope3_Animals154[[#Headers],[Category]], 0, 2)</f>
        <v>Pigs</v>
      </c>
      <c r="F469" s="10" t="str" cm="1">
        <f t="array" ref="F469">Common_InputFunctions.Utility_DisplayArrayInTable(Scope3_SourceData.Scope3_Livestock_Data(), Table_SourceData_Scope3_Animals154[[#Headers],[Category]], 0, 2)</f>
        <v>Australia</v>
      </c>
      <c r="G469" s="10" t="str" cm="1">
        <f t="array" ref="G469">Common_InputFunctions.Utility_DisplayArrayInTable(Scope3_SourceData.Scope3_Livestock_Data(), Table_SourceData_Scope3_Animals154[[#Headers],[Category]], 0, 2)</f>
        <v>kg liveweight</v>
      </c>
      <c r="H469" s="10" cm="1">
        <f t="array" ref="H469">Common_InputFunctions.Utility_DisplayArrayInTable(Scope3_SourceData.Scope3_Livestock_Data(), Table_SourceData_Scope3_Animals154[[#Headers],[Category]], 0, 2)</f>
        <v>3.38</v>
      </c>
      <c r="I469" s="10" t="str" cm="1">
        <f t="array" ref="I469">Common_InputFunctions.Utility_DisplayArrayInTable(Scope3_SourceData.Scope3_Livestock_Data(), Table_SourceData_Scope3_Animals154[[#Headers],[Category]], 0, 2)</f>
        <v>at market</v>
      </c>
    </row>
    <row r="470" spans="4:9" x14ac:dyDescent="0.25">
      <c r="D470" s="10" t="str" cm="1">
        <f t="array" ref="D470">Common_InputFunctions.Utility_DisplayArrayInTable(Scope3_SourceData.Scope3_Livestock_Data(), Table_SourceData_Scope3_Animals154[[#Headers],[Category]], 0, 2)</f>
        <v>Sheep</v>
      </c>
      <c r="E470" s="10" t="str" cm="1">
        <f t="array" ref="E470">Common_InputFunctions.Utility_DisplayArrayInTable(Scope3_SourceData.Scope3_Livestock_Data(), Table_SourceData_Scope3_Animals154[[#Headers],[Category]], 0, 2)</f>
        <v>Sheep, for mutton</v>
      </c>
      <c r="F470" s="10" t="str" cm="1">
        <f t="array" ref="F470">Common_InputFunctions.Utility_DisplayArrayInTable(Scope3_SourceData.Scope3_Livestock_Data(), Table_SourceData_Scope3_Animals154[[#Headers],[Category]], 0, 2)</f>
        <v>Australia</v>
      </c>
      <c r="G470" s="10" t="str" cm="1">
        <f t="array" ref="G470">Common_InputFunctions.Utility_DisplayArrayInTable(Scope3_SourceData.Scope3_Livestock_Data(), Table_SourceData_Scope3_Animals154[[#Headers],[Category]], 0, 2)</f>
        <v>kg liveweight</v>
      </c>
      <c r="H470" s="10" cm="1">
        <f t="array" ref="H470">Common_InputFunctions.Utility_DisplayArrayInTable(Scope3_SourceData.Scope3_Livestock_Data(), Table_SourceData_Scope3_Animals154[[#Headers],[Category]], 0, 2)</f>
        <v>6.81</v>
      </c>
      <c r="I470" s="10" t="str" cm="1">
        <f t="array" ref="I470">Common_InputFunctions.Utility_DisplayArrayInTable(Scope3_SourceData.Scope3_Livestock_Data(), Table_SourceData_Scope3_Animals154[[#Headers],[Category]], 0, 2)</f>
        <v>at market</v>
      </c>
    </row>
    <row r="471" spans="4:9" x14ac:dyDescent="0.25">
      <c r="D471" s="10" t="str" cm="1">
        <f t="array" ref="D471">Common_InputFunctions.Utility_DisplayArrayInTable(Scope3_SourceData.Scope3_Livestock_Data(), Table_SourceData_Scope3_Animals154[[#Headers],[Category]], 0, 2)</f>
        <v>Sheep</v>
      </c>
      <c r="E471" s="10" t="str" cm="1">
        <f t="array" ref="E471">Common_InputFunctions.Utility_DisplayArrayInTable(Scope3_SourceData.Scope3_Livestock_Data(), Table_SourceData_Scope3_Animals154[[#Headers],[Category]], 0, 2)</f>
        <v>Sheep, for mutton</v>
      </c>
      <c r="F471" s="10" t="str" cm="1">
        <f t="array" ref="F471">Common_InputFunctions.Utility_DisplayArrayInTable(Scope3_SourceData.Scope3_Livestock_Data(), Table_SourceData_Scope3_Animals154[[#Headers],[Category]], 0, 2)</f>
        <v>NSW</v>
      </c>
      <c r="G471" s="10" t="str" cm="1">
        <f t="array" ref="G471">Common_InputFunctions.Utility_DisplayArrayInTable(Scope3_SourceData.Scope3_Livestock_Data(), Table_SourceData_Scope3_Animals154[[#Headers],[Category]], 0, 2)</f>
        <v>kg liveweight</v>
      </c>
      <c r="H471" s="10" cm="1">
        <f t="array" ref="H471">Common_InputFunctions.Utility_DisplayArrayInTable(Scope3_SourceData.Scope3_Livestock_Data(), Table_SourceData_Scope3_Animals154[[#Headers],[Category]], 0, 2)</f>
        <v>2.2599999999999998</v>
      </c>
      <c r="I471" s="10" t="str" cm="1">
        <f t="array" ref="I471">Common_InputFunctions.Utility_DisplayArrayInTable(Scope3_SourceData.Scope3_Livestock_Data(), Table_SourceData_Scope3_Animals154[[#Headers],[Category]], 0, 2)</f>
        <v>at market</v>
      </c>
    </row>
    <row r="472" spans="4:9" x14ac:dyDescent="0.25">
      <c r="D472" s="10" t="str" cm="1">
        <f t="array" ref="D472">Common_InputFunctions.Utility_DisplayArrayInTable(Scope3_SourceData.Scope3_Livestock_Data(), Table_SourceData_Scope3_Animals154[[#Headers],[Category]], 0, 2)</f>
        <v>Sheep</v>
      </c>
      <c r="E472" s="10" t="str" cm="1">
        <f t="array" ref="E472">Common_InputFunctions.Utility_DisplayArrayInTable(Scope3_SourceData.Scope3_Livestock_Data(), Table_SourceData_Scope3_Animals154[[#Headers],[Category]], 0, 2)</f>
        <v>Sheep, for mutton</v>
      </c>
      <c r="F472" s="10" t="str" cm="1">
        <f t="array" ref="F472">Common_InputFunctions.Utility_DisplayArrayInTable(Scope3_SourceData.Scope3_Livestock_Data(), Table_SourceData_Scope3_Animals154[[#Headers],[Category]], 0, 2)</f>
        <v>QLD</v>
      </c>
      <c r="G472" s="10" t="str" cm="1">
        <f t="array" ref="G472">Common_InputFunctions.Utility_DisplayArrayInTable(Scope3_SourceData.Scope3_Livestock_Data(), Table_SourceData_Scope3_Animals154[[#Headers],[Category]], 0, 2)</f>
        <v>kg liveweight</v>
      </c>
      <c r="H472" s="10" cm="1">
        <f t="array" ref="H472">Common_InputFunctions.Utility_DisplayArrayInTable(Scope3_SourceData.Scope3_Livestock_Data(), Table_SourceData_Scope3_Animals154[[#Headers],[Category]], 0, 2)</f>
        <v>6.33</v>
      </c>
      <c r="I472" s="10" t="str" cm="1">
        <f t="array" ref="I472">Common_InputFunctions.Utility_DisplayArrayInTable(Scope3_SourceData.Scope3_Livestock_Data(), Table_SourceData_Scope3_Animals154[[#Headers],[Category]], 0, 2)</f>
        <v>at market</v>
      </c>
    </row>
    <row r="473" spans="4:9" x14ac:dyDescent="0.25">
      <c r="D473" s="10" t="str" cm="1">
        <f t="array" ref="D473">Common_InputFunctions.Utility_DisplayArrayInTable(Scope3_SourceData.Scope3_Livestock_Data(), Table_SourceData_Scope3_Animals154[[#Headers],[Category]], 0, 2)</f>
        <v>Sheep</v>
      </c>
      <c r="E473" s="10" t="str" cm="1">
        <f t="array" ref="E473">Common_InputFunctions.Utility_DisplayArrayInTable(Scope3_SourceData.Scope3_Livestock_Data(), Table_SourceData_Scope3_Animals154[[#Headers],[Category]], 0, 2)</f>
        <v>Sheep, for mutton</v>
      </c>
      <c r="F473" s="10" t="str" cm="1">
        <f t="array" ref="F473">Common_InputFunctions.Utility_DisplayArrayInTable(Scope3_SourceData.Scope3_Livestock_Data(), Table_SourceData_Scope3_Animals154[[#Headers],[Category]], 0, 2)</f>
        <v>SA</v>
      </c>
      <c r="G473" s="10" t="str" cm="1">
        <f t="array" ref="G473">Common_InputFunctions.Utility_DisplayArrayInTable(Scope3_SourceData.Scope3_Livestock_Data(), Table_SourceData_Scope3_Animals154[[#Headers],[Category]], 0, 2)</f>
        <v>kg liveweight</v>
      </c>
      <c r="H473" s="10" cm="1">
        <f t="array" ref="H473">Common_InputFunctions.Utility_DisplayArrayInTable(Scope3_SourceData.Scope3_Livestock_Data(), Table_SourceData_Scope3_Animals154[[#Headers],[Category]], 0, 2)</f>
        <v>6.18</v>
      </c>
      <c r="I473" s="10" t="str" cm="1">
        <f t="array" ref="I473">Common_InputFunctions.Utility_DisplayArrayInTable(Scope3_SourceData.Scope3_Livestock_Data(), Table_SourceData_Scope3_Animals154[[#Headers],[Category]], 0, 2)</f>
        <v>at market</v>
      </c>
    </row>
    <row r="474" spans="4:9" x14ac:dyDescent="0.25">
      <c r="D474" s="10" t="str" cm="1">
        <f t="array" ref="D474">Common_InputFunctions.Utility_DisplayArrayInTable(Scope3_SourceData.Scope3_Livestock_Data(), Table_SourceData_Scope3_Animals154[[#Headers],[Category]], 0, 2)</f>
        <v>Sheep</v>
      </c>
      <c r="E474" s="10" t="str" cm="1">
        <f t="array" ref="E474">Common_InputFunctions.Utility_DisplayArrayInTable(Scope3_SourceData.Scope3_Livestock_Data(), Table_SourceData_Scope3_Animals154[[#Headers],[Category]], 0, 2)</f>
        <v>Sheep, for mutton</v>
      </c>
      <c r="F474" s="10" t="str" cm="1">
        <f t="array" ref="F474">Common_InputFunctions.Utility_DisplayArrayInTable(Scope3_SourceData.Scope3_Livestock_Data(), Table_SourceData_Scope3_Animals154[[#Headers],[Category]], 0, 2)</f>
        <v>TAS</v>
      </c>
      <c r="G474" s="10" t="str" cm="1">
        <f t="array" ref="G474">Common_InputFunctions.Utility_DisplayArrayInTable(Scope3_SourceData.Scope3_Livestock_Data(), Table_SourceData_Scope3_Animals154[[#Headers],[Category]], 0, 2)</f>
        <v>kg liveweight</v>
      </c>
      <c r="H474" s="10" cm="1">
        <f t="array" ref="H474">Common_InputFunctions.Utility_DisplayArrayInTable(Scope3_SourceData.Scope3_Livestock_Data(), Table_SourceData_Scope3_Animals154[[#Headers],[Category]], 0, 2)</f>
        <v>7.5</v>
      </c>
      <c r="I474" s="10" t="str" cm="1">
        <f t="array" ref="I474">Common_InputFunctions.Utility_DisplayArrayInTable(Scope3_SourceData.Scope3_Livestock_Data(), Table_SourceData_Scope3_Animals154[[#Headers],[Category]], 0, 2)</f>
        <v>at market</v>
      </c>
    </row>
    <row r="475" spans="4:9" x14ac:dyDescent="0.25">
      <c r="D475" s="10" t="str" cm="1">
        <f t="array" ref="D475">Common_InputFunctions.Utility_DisplayArrayInTable(Scope3_SourceData.Scope3_Livestock_Data(), Table_SourceData_Scope3_Animals154[[#Headers],[Category]], 0, 2)</f>
        <v>Sheep</v>
      </c>
      <c r="E475" s="10" t="str" cm="1">
        <f t="array" ref="E475">Common_InputFunctions.Utility_DisplayArrayInTable(Scope3_SourceData.Scope3_Livestock_Data(), Table_SourceData_Scope3_Animals154[[#Headers],[Category]], 0, 2)</f>
        <v>Sheep, for mutton</v>
      </c>
      <c r="F475" s="10" t="str" cm="1">
        <f t="array" ref="F475">Common_InputFunctions.Utility_DisplayArrayInTable(Scope3_SourceData.Scope3_Livestock_Data(), Table_SourceData_Scope3_Animals154[[#Headers],[Category]], 0, 2)</f>
        <v>VIC</v>
      </c>
      <c r="G475" s="10" t="str" cm="1">
        <f t="array" ref="G475">Common_InputFunctions.Utility_DisplayArrayInTable(Scope3_SourceData.Scope3_Livestock_Data(), Table_SourceData_Scope3_Animals154[[#Headers],[Category]], 0, 2)</f>
        <v>kg liveweight</v>
      </c>
      <c r="H475" s="10" cm="1">
        <f t="array" ref="H475">Common_InputFunctions.Utility_DisplayArrayInTable(Scope3_SourceData.Scope3_Livestock_Data(), Table_SourceData_Scope3_Animals154[[#Headers],[Category]], 0, 2)</f>
        <v>8.08</v>
      </c>
      <c r="I475" s="10" t="str" cm="1">
        <f t="array" ref="I475">Common_InputFunctions.Utility_DisplayArrayInTable(Scope3_SourceData.Scope3_Livestock_Data(), Table_SourceData_Scope3_Animals154[[#Headers],[Category]], 0, 2)</f>
        <v>at market</v>
      </c>
    </row>
    <row r="476" spans="4:9" x14ac:dyDescent="0.25">
      <c r="D476" s="10" t="str" cm="1">
        <f t="array" ref="D476">Common_InputFunctions.Utility_DisplayArrayInTable(Scope3_SourceData.Scope3_Livestock_Data(), Table_SourceData_Scope3_Animals154[[#Headers],[Category]], 0, 2)</f>
        <v>Sheep</v>
      </c>
      <c r="E476" s="10" t="str" cm="1">
        <f t="array" ref="E476">Common_InputFunctions.Utility_DisplayArrayInTable(Scope3_SourceData.Scope3_Livestock_Data(), Table_SourceData_Scope3_Animals154[[#Headers],[Category]], 0, 2)</f>
        <v>Sheep, for mutton</v>
      </c>
      <c r="F476" s="10" t="str" cm="1">
        <f t="array" ref="F476">Common_InputFunctions.Utility_DisplayArrayInTable(Scope3_SourceData.Scope3_Livestock_Data(), Table_SourceData_Scope3_Animals154[[#Headers],[Category]], 0, 2)</f>
        <v>WA</v>
      </c>
      <c r="G476" s="10" t="str" cm="1">
        <f t="array" ref="G476">Common_InputFunctions.Utility_DisplayArrayInTable(Scope3_SourceData.Scope3_Livestock_Data(), Table_SourceData_Scope3_Animals154[[#Headers],[Category]], 0, 2)</f>
        <v>kg liveweight</v>
      </c>
      <c r="H476" s="10" cm="1">
        <f t="array" ref="H476">Common_InputFunctions.Utility_DisplayArrayInTable(Scope3_SourceData.Scope3_Livestock_Data(), Table_SourceData_Scope3_Animals154[[#Headers],[Category]], 0, 2)</f>
        <v>5.45</v>
      </c>
      <c r="I476" s="10" t="str" cm="1">
        <f t="array" ref="I476">Common_InputFunctions.Utility_DisplayArrayInTable(Scope3_SourceData.Scope3_Livestock_Data(), Table_SourceData_Scope3_Animals154[[#Headers],[Category]], 0, 2)</f>
        <v>at market</v>
      </c>
    </row>
    <row r="477" spans="4:9" x14ac:dyDescent="0.25">
      <c r="D477" s="10" t="str" cm="1">
        <f t="array" ref="D477">Common_InputFunctions.Utility_DisplayArrayInTable(Scope3_SourceData.Scope3_Livestock_Data(), Table_SourceData_Scope3_Animals154[[#Headers],[Category]], 0, 2)</f>
        <v>Sheep</v>
      </c>
      <c r="E477" s="10" t="str" cm="1">
        <f t="array" ref="E477">Common_InputFunctions.Utility_DisplayArrayInTable(Scope3_SourceData.Scope3_Livestock_Data(), Table_SourceData_Scope3_Animals154[[#Headers],[Category]], 0, 2)</f>
        <v>Sheep, for prime lamb</v>
      </c>
      <c r="F477" s="10" t="str" cm="1">
        <f t="array" ref="F477">Common_InputFunctions.Utility_DisplayArrayInTable(Scope3_SourceData.Scope3_Livestock_Data(), Table_SourceData_Scope3_Animals154[[#Headers],[Category]], 0, 2)</f>
        <v>Australia</v>
      </c>
      <c r="G477" s="10" t="str" cm="1">
        <f t="array" ref="G477">Common_InputFunctions.Utility_DisplayArrayInTable(Scope3_SourceData.Scope3_Livestock_Data(), Table_SourceData_Scope3_Animals154[[#Headers],[Category]], 0, 2)</f>
        <v>kg liveweight</v>
      </c>
      <c r="H477" s="10" cm="1">
        <f t="array" ref="H477">Common_InputFunctions.Utility_DisplayArrayInTable(Scope3_SourceData.Scope3_Livestock_Data(), Table_SourceData_Scope3_Animals154[[#Headers],[Category]], 0, 2)</f>
        <v>7.15</v>
      </c>
      <c r="I477" s="10" t="str" cm="1">
        <f t="array" ref="I477">Common_InputFunctions.Utility_DisplayArrayInTable(Scope3_SourceData.Scope3_Livestock_Data(), Table_SourceData_Scope3_Animals154[[#Headers],[Category]], 0, 2)</f>
        <v>at market</v>
      </c>
    </row>
    <row r="478" spans="4:9" x14ac:dyDescent="0.25">
      <c r="D478" s="10" t="str" cm="1">
        <f t="array" ref="D478">Common_InputFunctions.Utility_DisplayArrayInTable(Scope3_SourceData.Scope3_Livestock_Data(), Table_SourceData_Scope3_Animals154[[#Headers],[Category]], 0, 2)</f>
        <v>Sheep</v>
      </c>
      <c r="E478" s="10" t="str" cm="1">
        <f t="array" ref="E478">Common_InputFunctions.Utility_DisplayArrayInTable(Scope3_SourceData.Scope3_Livestock_Data(), Table_SourceData_Scope3_Animals154[[#Headers],[Category]], 0, 2)</f>
        <v>Sheep, for prime lamb</v>
      </c>
      <c r="F478" s="10" t="str" cm="1">
        <f t="array" ref="F478">Common_InputFunctions.Utility_DisplayArrayInTable(Scope3_SourceData.Scope3_Livestock_Data(), Table_SourceData_Scope3_Animals154[[#Headers],[Category]], 0, 2)</f>
        <v>NSW</v>
      </c>
      <c r="G478" s="10" t="str" cm="1">
        <f t="array" ref="G478">Common_InputFunctions.Utility_DisplayArrayInTable(Scope3_SourceData.Scope3_Livestock_Data(), Table_SourceData_Scope3_Animals154[[#Headers],[Category]], 0, 2)</f>
        <v>kg liveweight</v>
      </c>
      <c r="H478" s="10" cm="1">
        <f t="array" ref="H478">Common_InputFunctions.Utility_DisplayArrayInTable(Scope3_SourceData.Scope3_Livestock_Data(), Table_SourceData_Scope3_Animals154[[#Headers],[Category]], 0, 2)</f>
        <v>8.2899999999999991</v>
      </c>
      <c r="I478" s="10" t="str" cm="1">
        <f t="array" ref="I478">Common_InputFunctions.Utility_DisplayArrayInTable(Scope3_SourceData.Scope3_Livestock_Data(), Table_SourceData_Scope3_Animals154[[#Headers],[Category]], 0, 2)</f>
        <v>at market</v>
      </c>
    </row>
    <row r="479" spans="4:9" x14ac:dyDescent="0.25">
      <c r="D479" s="10" t="str" cm="1">
        <f t="array" ref="D479">Common_InputFunctions.Utility_DisplayArrayInTable(Scope3_SourceData.Scope3_Livestock_Data(), Table_SourceData_Scope3_Animals154[[#Headers],[Category]], 0, 2)</f>
        <v>Sheep</v>
      </c>
      <c r="E479" s="10" t="str" cm="1">
        <f t="array" ref="E479">Common_InputFunctions.Utility_DisplayArrayInTable(Scope3_SourceData.Scope3_Livestock_Data(), Table_SourceData_Scope3_Animals154[[#Headers],[Category]], 0, 2)</f>
        <v>Sheep, for prime lamb</v>
      </c>
      <c r="F479" s="10" t="str" cm="1">
        <f t="array" ref="F479">Common_InputFunctions.Utility_DisplayArrayInTable(Scope3_SourceData.Scope3_Livestock_Data(), Table_SourceData_Scope3_Animals154[[#Headers],[Category]], 0, 2)</f>
        <v>QLD</v>
      </c>
      <c r="G479" s="10" t="str" cm="1">
        <f t="array" ref="G479">Common_InputFunctions.Utility_DisplayArrayInTable(Scope3_SourceData.Scope3_Livestock_Data(), Table_SourceData_Scope3_Animals154[[#Headers],[Category]], 0, 2)</f>
        <v>kg liveweight</v>
      </c>
      <c r="H479" s="10" cm="1">
        <f t="array" ref="H479">Common_InputFunctions.Utility_DisplayArrayInTable(Scope3_SourceData.Scope3_Livestock_Data(), Table_SourceData_Scope3_Animals154[[#Headers],[Category]], 0, 2)</f>
        <v>6.39</v>
      </c>
      <c r="I479" s="10" t="str" cm="1">
        <f t="array" ref="I479">Common_InputFunctions.Utility_DisplayArrayInTable(Scope3_SourceData.Scope3_Livestock_Data(), Table_SourceData_Scope3_Animals154[[#Headers],[Category]], 0, 2)</f>
        <v>at market</v>
      </c>
    </row>
    <row r="480" spans="4:9" x14ac:dyDescent="0.25">
      <c r="D480" s="10" t="str" cm="1">
        <f t="array" ref="D480">Common_InputFunctions.Utility_DisplayArrayInTable(Scope3_SourceData.Scope3_Livestock_Data(), Table_SourceData_Scope3_Animals154[[#Headers],[Category]], 0, 2)</f>
        <v>Sheep</v>
      </c>
      <c r="E480" s="10" t="str" cm="1">
        <f t="array" ref="E480">Common_InputFunctions.Utility_DisplayArrayInTable(Scope3_SourceData.Scope3_Livestock_Data(), Table_SourceData_Scope3_Animals154[[#Headers],[Category]], 0, 2)</f>
        <v>Sheep, for prime lamb</v>
      </c>
      <c r="F480" s="10" t="str" cm="1">
        <f t="array" ref="F480">Common_InputFunctions.Utility_DisplayArrayInTable(Scope3_SourceData.Scope3_Livestock_Data(), Table_SourceData_Scope3_Animals154[[#Headers],[Category]], 0, 2)</f>
        <v>SA</v>
      </c>
      <c r="G480" s="10" t="str" cm="1">
        <f t="array" ref="G480">Common_InputFunctions.Utility_DisplayArrayInTable(Scope3_SourceData.Scope3_Livestock_Data(), Table_SourceData_Scope3_Animals154[[#Headers],[Category]], 0, 2)</f>
        <v>kg liveweight</v>
      </c>
      <c r="H480" s="10" cm="1">
        <f t="array" ref="H480">Common_InputFunctions.Utility_DisplayArrayInTable(Scope3_SourceData.Scope3_Livestock_Data(), Table_SourceData_Scope3_Animals154[[#Headers],[Category]], 0, 2)</f>
        <v>6.87</v>
      </c>
      <c r="I480" s="10" t="str" cm="1">
        <f t="array" ref="I480">Common_InputFunctions.Utility_DisplayArrayInTable(Scope3_SourceData.Scope3_Livestock_Data(), Table_SourceData_Scope3_Animals154[[#Headers],[Category]], 0, 2)</f>
        <v>at market</v>
      </c>
    </row>
    <row r="481" spans="4:9" x14ac:dyDescent="0.25">
      <c r="D481" s="10" t="str" cm="1">
        <f t="array" ref="D481">Common_InputFunctions.Utility_DisplayArrayInTable(Scope3_SourceData.Scope3_Livestock_Data(), Table_SourceData_Scope3_Animals154[[#Headers],[Category]], 0, 2)</f>
        <v>Sheep</v>
      </c>
      <c r="E481" s="10" t="str" cm="1">
        <f t="array" ref="E481">Common_InputFunctions.Utility_DisplayArrayInTable(Scope3_SourceData.Scope3_Livestock_Data(), Table_SourceData_Scope3_Animals154[[#Headers],[Category]], 0, 2)</f>
        <v>Sheep, for prime lamb</v>
      </c>
      <c r="F481" s="10" t="str" cm="1">
        <f t="array" ref="F481">Common_InputFunctions.Utility_DisplayArrayInTable(Scope3_SourceData.Scope3_Livestock_Data(), Table_SourceData_Scope3_Animals154[[#Headers],[Category]], 0, 2)</f>
        <v>TAS</v>
      </c>
      <c r="G481" s="10" t="str" cm="1">
        <f t="array" ref="G481">Common_InputFunctions.Utility_DisplayArrayInTable(Scope3_SourceData.Scope3_Livestock_Data(), Table_SourceData_Scope3_Animals154[[#Headers],[Category]], 0, 2)</f>
        <v>kg liveweight</v>
      </c>
      <c r="H481" s="10" cm="1">
        <f t="array" ref="H481">Common_InputFunctions.Utility_DisplayArrayInTable(Scope3_SourceData.Scope3_Livestock_Data(), Table_SourceData_Scope3_Animals154[[#Headers],[Category]], 0, 2)</f>
        <v>8.66</v>
      </c>
      <c r="I481" s="10" t="str" cm="1">
        <f t="array" ref="I481">Common_InputFunctions.Utility_DisplayArrayInTable(Scope3_SourceData.Scope3_Livestock_Data(), Table_SourceData_Scope3_Animals154[[#Headers],[Category]], 0, 2)</f>
        <v>at market</v>
      </c>
    </row>
    <row r="482" spans="4:9" x14ac:dyDescent="0.25">
      <c r="D482" s="10" t="str" cm="1">
        <f t="array" ref="D482">Common_InputFunctions.Utility_DisplayArrayInTable(Scope3_SourceData.Scope3_Livestock_Data(), Table_SourceData_Scope3_Animals154[[#Headers],[Category]], 0, 2)</f>
        <v>Sheep</v>
      </c>
      <c r="E482" s="10" t="str" cm="1">
        <f t="array" ref="E482">Common_InputFunctions.Utility_DisplayArrayInTable(Scope3_SourceData.Scope3_Livestock_Data(), Table_SourceData_Scope3_Animals154[[#Headers],[Category]], 0, 2)</f>
        <v>Sheep, for prime lamb</v>
      </c>
      <c r="F482" s="10" t="str" cm="1">
        <f t="array" ref="F482">Common_InputFunctions.Utility_DisplayArrayInTable(Scope3_SourceData.Scope3_Livestock_Data(), Table_SourceData_Scope3_Animals154[[#Headers],[Category]], 0, 2)</f>
        <v>VIC</v>
      </c>
      <c r="G482" s="10" t="str" cm="1">
        <f t="array" ref="G482">Common_InputFunctions.Utility_DisplayArrayInTable(Scope3_SourceData.Scope3_Livestock_Data(), Table_SourceData_Scope3_Animals154[[#Headers],[Category]], 0, 2)</f>
        <v>kg liveweight</v>
      </c>
      <c r="H482" s="10" cm="1">
        <f t="array" ref="H482">Common_InputFunctions.Utility_DisplayArrayInTable(Scope3_SourceData.Scope3_Livestock_Data(), Table_SourceData_Scope3_Animals154[[#Headers],[Category]], 0, 2)</f>
        <v>10</v>
      </c>
      <c r="I482" s="10" t="str" cm="1">
        <f t="array" ref="I482">Common_InputFunctions.Utility_DisplayArrayInTable(Scope3_SourceData.Scope3_Livestock_Data(), Table_SourceData_Scope3_Animals154[[#Headers],[Category]], 0, 2)</f>
        <v>at market</v>
      </c>
    </row>
    <row r="483" spans="4:9" x14ac:dyDescent="0.25">
      <c r="D483" s="10" t="str" cm="1">
        <f t="array" ref="D483">Common_InputFunctions.Utility_DisplayArrayInTable(Scope3_SourceData.Scope3_Livestock_Data(), Table_SourceData_Scope3_Animals154[[#Headers],[Category]], 0, 2)</f>
        <v>Sheep</v>
      </c>
      <c r="E483" s="10" t="str" cm="1">
        <f t="array" ref="E483">Common_InputFunctions.Utility_DisplayArrayInTable(Scope3_SourceData.Scope3_Livestock_Data(), Table_SourceData_Scope3_Animals154[[#Headers],[Category]], 0, 2)</f>
        <v>Sheep, for prime lamb</v>
      </c>
      <c r="F483" s="10" t="str" cm="1">
        <f t="array" ref="F483">Common_InputFunctions.Utility_DisplayArrayInTable(Scope3_SourceData.Scope3_Livestock_Data(), Table_SourceData_Scope3_Animals154[[#Headers],[Category]], 0, 2)</f>
        <v>WA</v>
      </c>
      <c r="G483" s="10" t="str" cm="1">
        <f t="array" ref="G483">Common_InputFunctions.Utility_DisplayArrayInTable(Scope3_SourceData.Scope3_Livestock_Data(), Table_SourceData_Scope3_Animals154[[#Headers],[Category]], 0, 2)</f>
        <v>kg liveweight</v>
      </c>
      <c r="H483" s="10" cm="1">
        <f t="array" ref="H483">Common_InputFunctions.Utility_DisplayArrayInTable(Scope3_SourceData.Scope3_Livestock_Data(), Table_SourceData_Scope3_Animals154[[#Headers],[Category]], 0, 2)</f>
        <v>5.67</v>
      </c>
      <c r="I483" s="10" t="str" cm="1">
        <f t="array" ref="I483">Common_InputFunctions.Utility_DisplayArrayInTable(Scope3_SourceData.Scope3_Livestock_Data(), Table_SourceData_Scope3_Animals154[[#Headers],[Category]], 0, 2)</f>
        <v>at market</v>
      </c>
    </row>
  </sheetData>
  <pageMargins left="0.7" right="0.7" top="0.75" bottom="0.75" header="0.3" footer="0.3"/>
  <tableParts count="2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9DF79-5216-4765-8DC1-9DAB2220792A}">
  <dimension ref="A1:M160"/>
  <sheetViews>
    <sheetView showGridLines="0" tabSelected="1" topLeftCell="A12" zoomScaleNormal="100" workbookViewId="0">
      <selection activeCell="A40" sqref="A40"/>
    </sheetView>
  </sheetViews>
  <sheetFormatPr defaultRowHeight="15.75" x14ac:dyDescent="0.25"/>
  <cols>
    <col min="1" max="1" width="26.875" style="3" customWidth="1"/>
    <col min="2" max="2" width="4.125" style="3" customWidth="1"/>
    <col min="3" max="3" width="4.125" style="8" customWidth="1"/>
    <col min="4" max="8" width="26.875" style="8" customWidth="1"/>
    <col min="9" max="9" width="27" style="8" customWidth="1"/>
    <col min="10" max="13" width="26.875" style="8" customWidth="1"/>
    <col min="14" max="16" width="26.875" style="3" customWidth="1"/>
    <col min="17" max="16384" width="9" style="3"/>
  </cols>
  <sheetData>
    <row r="1" spans="1:13" ht="30" customHeight="1" x14ac:dyDescent="0.35">
      <c r="A1" s="37" t="e" vm="1">
        <v>#VALUE!</v>
      </c>
      <c r="C1" s="1" t="s">
        <v>908</v>
      </c>
      <c r="D1" s="1"/>
      <c r="E1" s="1"/>
      <c r="F1" s="1"/>
      <c r="G1" s="1"/>
      <c r="H1" s="1"/>
      <c r="I1" s="1"/>
      <c r="J1" s="1"/>
      <c r="K1" s="1"/>
      <c r="L1" s="1"/>
      <c r="M1" s="1"/>
    </row>
    <row r="2" spans="1:13" ht="20.100000000000001" customHeight="1" x14ac:dyDescent="0.25">
      <c r="A2"/>
      <c r="C2" s="2"/>
      <c r="D2" s="2"/>
      <c r="E2" s="2"/>
      <c r="F2" s="2"/>
      <c r="G2" s="2"/>
      <c r="H2" s="2"/>
      <c r="I2" s="2"/>
      <c r="J2" s="2"/>
      <c r="K2" s="2"/>
      <c r="L2" s="2"/>
      <c r="M2" s="2"/>
    </row>
    <row r="3" spans="1:13" ht="20.100000000000001" customHeight="1" x14ac:dyDescent="0.25">
      <c r="A3" s="16" t="str">
        <f>HYPERLINK("#'Overview'!A1", "Overview")</f>
        <v>Overview</v>
      </c>
      <c r="C3" s="5"/>
      <c r="D3" s="5"/>
      <c r="E3" s="5"/>
      <c r="F3" s="5"/>
      <c r="G3" s="5"/>
      <c r="H3" s="5"/>
      <c r="I3" s="5"/>
      <c r="J3" s="5"/>
      <c r="K3" s="5"/>
      <c r="L3" s="5"/>
      <c r="M3" s="5"/>
    </row>
    <row r="4" spans="1:13" ht="20.100000000000001" customHeight="1" x14ac:dyDescent="0.25">
      <c r="A4" s="16" t="str">
        <f>HYPERLINK("#'Results'!A1", "Results")</f>
        <v>Results</v>
      </c>
    </row>
    <row r="5" spans="1:13" ht="20.100000000000001" customHeight="1" x14ac:dyDescent="0.25">
      <c r="A5"/>
    </row>
    <row r="6" spans="1:13" ht="20.100000000000001" customHeight="1" x14ac:dyDescent="0.25">
      <c r="A6"/>
      <c r="D6" s="9" t="str" cm="1">
        <f t="array" ref="D6">CommonLivestock_SourceData.SourceData_Livestock_Common_SymbolsMMS_Title()</f>
        <v>Table 5.12 Additional symbols used in algorithms for manure related emissions</v>
      </c>
      <c r="E6" s="7"/>
      <c r="F6" s="7"/>
      <c r="G6" s="7"/>
      <c r="H6" s="7"/>
    </row>
    <row r="7" spans="1:13" ht="20.100000000000001" customHeight="1" x14ac:dyDescent="0.25">
      <c r="A7" s="19" t="s">
        <v>67</v>
      </c>
      <c r="D7" s="7" t="str" cm="1">
        <f t="array" ref="D7">CommonLivestock_SourceData.SourceData_Livestock_Common_SymbolsMMS_Vairable()</f>
        <v>MMS</v>
      </c>
      <c r="E7" s="7"/>
      <c r="F7" s="7"/>
      <c r="G7" s="7"/>
      <c r="H7" s="7"/>
    </row>
    <row r="8" spans="1:13" ht="20.100000000000001" customHeight="1" x14ac:dyDescent="0.25">
      <c r="A8" s="16" t="str">
        <f>HYPERLINK("#'Input - Site'!A1", "Site")</f>
        <v>Site</v>
      </c>
      <c r="D8" s="11" t="str" cm="1">
        <f t="array" ref="D8">CommonLivestock_SourceData.SourceData_Livestock_Common_SymbolsMMS_Source()</f>
        <v>National Inventory Report 2023 Volume 1: Table 5.12</v>
      </c>
      <c r="E8" s="7"/>
      <c r="F8" s="7"/>
      <c r="G8" s="7"/>
      <c r="H8" s="7"/>
    </row>
    <row r="9" spans="1:13" ht="20.100000000000001" customHeight="1" x14ac:dyDescent="0.25">
      <c r="A9" s="16" t="str">
        <f>HYPERLINK("#'Input - Fuel'!A1", "Fuel")</f>
        <v>Fuel</v>
      </c>
      <c r="D9" s="15" t="s">
        <v>320</v>
      </c>
      <c r="E9" s="10" t="s">
        <v>321</v>
      </c>
      <c r="F9" s="10" t="s">
        <v>322</v>
      </c>
      <c r="G9" s="7"/>
    </row>
    <row r="10" spans="1:13" ht="20.100000000000001" customHeight="1" x14ac:dyDescent="0.25">
      <c r="A10" s="16" t="str">
        <f>HYPERLINK("#'Input - Fertiliser'!A1", "Fertiliser")</f>
        <v>Fertiliser</v>
      </c>
      <c r="D10" s="15" t="str" cm="1">
        <f t="array" ref="D10">Common_InputFunctions.Utility_DisplayArrayInTable(CommonLivestock_SourceData.SourceData_Livestock_Common_SymbolsMMS_Data(), Table_Data_MMSSymbols[[#Headers],[Symbol]], 0)</f>
        <v>1</v>
      </c>
      <c r="E10" s="15" t="str" cm="1">
        <f t="array" ref="E10">Common_InputFunctions.Utility_DisplayArrayInTable(CommonLivestock_SourceData.SourceData_Livestock_Common_SymbolsMMS_Data(), Table_Data_MMSSymbols[[#Headers],[Symbol]], 0)</f>
        <v>Anaerobic lagoon</v>
      </c>
      <c r="F10" s="15" t="str" cm="1">
        <f t="array" ref="F10">Common_InputFunctions.Utility_DisplayArrayInTable(CommonLivestock_SourceData.SourceData_Livestock_Common_SymbolsMMS_Data(), Table_Data_MMSSymbols[[#Headers],[Symbol]], 0)</f>
        <v>Anaerobic lagoon (m=1)</v>
      </c>
      <c r="G10" s="7"/>
    </row>
    <row r="11" spans="1:13" ht="20.100000000000001" customHeight="1" x14ac:dyDescent="0.25">
      <c r="A11" s="16" t="str">
        <f>HYPERLINK("#'Input - Farm Inputs'!A1", "Farm Inputs")</f>
        <v>Farm Inputs</v>
      </c>
      <c r="D11" s="15" t="str" cm="1">
        <f t="array" ref="D11">Common_InputFunctions.Utility_DisplayArrayInTable(CommonLivestock_SourceData.SourceData_Livestock_Common_SymbolsMMS_Data(), Table_Data_MMSSymbols[[#Headers],[Symbol]], 0)</f>
        <v>2</v>
      </c>
      <c r="E11" s="15" t="str" cm="1">
        <f t="array" ref="E11">Common_InputFunctions.Utility_DisplayArrayInTable(CommonLivestock_SourceData.SourceData_Livestock_Common_SymbolsMMS_Data(), Table_Data_MMSSymbols[[#Headers],[Symbol]], 0)</f>
        <v>Liquid systems</v>
      </c>
      <c r="F11" s="15" t="str" cm="1">
        <f t="array" ref="F11">Common_InputFunctions.Utility_DisplayArrayInTable(CommonLivestock_SourceData.SourceData_Livestock_Common_SymbolsMMS_Data(), Table_Data_MMSSymbols[[#Headers],[Symbol]], 0)</f>
        <v>Liquid systems (m=2)</v>
      </c>
      <c r="G11" s="7"/>
    </row>
    <row r="12" spans="1:13" ht="20.100000000000001" customHeight="1" x14ac:dyDescent="0.25">
      <c r="A12" s="16" t="str">
        <f>HYPERLINK("#'Input - Beef cattle purchases'!A1", "Beef cattle purchases")</f>
        <v>Beef cattle purchases</v>
      </c>
      <c r="D12" s="10" t="str" cm="1">
        <f t="array" ref="D12">Common_InputFunctions.Utility_DisplayArrayInTable(CommonLivestock_SourceData.SourceData_Livestock_Common_SymbolsMMS_Data(), Table_Data_MMSSymbols[[#Headers],[Symbol]], 0)</f>
        <v>3</v>
      </c>
      <c r="E12" s="10" t="str" cm="1">
        <f t="array" ref="E12">Common_InputFunctions.Utility_DisplayArrayInTable(CommonLivestock_SourceData.SourceData_Livestock_Common_SymbolsMMS_Data(), Table_Data_MMSSymbols[[#Headers],[Symbol]], 0)</f>
        <v>Daily spread</v>
      </c>
      <c r="F12" s="10" t="str" cm="1">
        <f t="array" ref="F12">Common_InputFunctions.Utility_DisplayArrayInTable(CommonLivestock_SourceData.SourceData_Livestock_Common_SymbolsMMS_Data(), Table_Data_MMSSymbols[[#Headers],[Symbol]], 0)</f>
        <v>Daily spread (m=3)</v>
      </c>
      <c r="G12" s="7"/>
    </row>
    <row r="13" spans="1:13" ht="20.100000000000001" customHeight="1" x14ac:dyDescent="0.25">
      <c r="A13" s="16" t="str">
        <f>HYPERLINK("#'Input - Dairy cattle purchases'!A1", "Dairy cattle purchases")</f>
        <v>Dairy cattle purchases</v>
      </c>
      <c r="D13" s="10" t="str" cm="1">
        <f t="array" ref="D13">Common_InputFunctions.Utility_DisplayArrayInTable(CommonLivestock_SourceData.SourceData_Livestock_Common_SymbolsMMS_Data(), Table_Data_MMSSymbols[[#Headers],[Symbol]], 0)</f>
        <v>3a</v>
      </c>
      <c r="E13" s="10" t="str" cm="1">
        <f t="array" ref="E13">Common_InputFunctions.Utility_DisplayArrayInTable(CommonLivestock_SourceData.SourceData_Livestock_Common_SymbolsMMS_Data(), Table_Data_MMSSymbols[[#Headers],[Symbol]], 0)</f>
        <v>Sump and dispersal system</v>
      </c>
      <c r="F13" s="10" t="str" cm="1">
        <f t="array" ref="F13">Common_InputFunctions.Utility_DisplayArrayInTable(CommonLivestock_SourceData.SourceData_Livestock_Common_SymbolsMMS_Data(), Table_Data_MMSSymbols[[#Headers],[Symbol]], 0)</f>
        <v>Sump and dispersal system (m=3a)</v>
      </c>
      <c r="G13" s="7"/>
    </row>
    <row r="14" spans="1:13" ht="20.100000000000001" customHeight="1" x14ac:dyDescent="0.25">
      <c r="A14" s="16" t="str">
        <f>HYPERLINK("#'Input - Pig purchases'!A1", "Pig purchases")</f>
        <v>Pig purchases</v>
      </c>
      <c r="D14" s="10" t="str" cm="1">
        <f t="array" ref="D14">Common_InputFunctions.Utility_DisplayArrayInTable(CommonLivestock_SourceData.SourceData_Livestock_Common_SymbolsMMS_Data(), Table_Data_MMSSymbols[[#Headers],[Symbol]], 0)</f>
        <v>3b</v>
      </c>
      <c r="E14" s="10" t="str" cm="1">
        <f t="array" ref="E14">Common_InputFunctions.Utility_DisplayArrayInTable(CommonLivestock_SourceData.SourceData_Livestock_Common_SymbolsMMS_Data(), Table_Data_MMSSymbols[[#Headers],[Symbol]], 0)</f>
        <v>Drains to paddock</v>
      </c>
      <c r="F14" s="10" t="str" cm="1">
        <f t="array" ref="F14">Common_InputFunctions.Utility_DisplayArrayInTable(CommonLivestock_SourceData.SourceData_Livestock_Common_SymbolsMMS_Data(), Table_Data_MMSSymbols[[#Headers],[Symbol]], 0)</f>
        <v>Drains to paddock (m=3b)</v>
      </c>
      <c r="G14" s="7"/>
    </row>
    <row r="15" spans="1:13" ht="20.100000000000001" customHeight="1" x14ac:dyDescent="0.25">
      <c r="A15" s="16" t="str">
        <f>HYPERLINK("#'Input - Poultry purchases'!A1", "Poultry purchases")</f>
        <v>Poultry purchases</v>
      </c>
      <c r="D15" s="10" t="str" cm="1">
        <f t="array" ref="D15">Common_InputFunctions.Utility_DisplayArrayInTable(CommonLivestock_SourceData.SourceData_Livestock_Common_SymbolsMMS_Data(), Table_Data_MMSSymbols[[#Headers],[Symbol]], 0)</f>
        <v>4</v>
      </c>
      <c r="E15" s="10" t="str" cm="1">
        <f t="array" ref="E15">Common_InputFunctions.Utility_DisplayArrayInTable(CommonLivestock_SourceData.SourceData_Livestock_Common_SymbolsMMS_Data(), Table_Data_MMSSymbols[[#Headers],[Symbol]], 0)</f>
        <v>Solid storage</v>
      </c>
      <c r="F15" s="10" t="str" cm="1">
        <f t="array" ref="F15">Common_InputFunctions.Utility_DisplayArrayInTable(CommonLivestock_SourceData.SourceData_Livestock_Common_SymbolsMMS_Data(), Table_Data_MMSSymbols[[#Headers],[Symbol]], 0)</f>
        <v>Solid storage (m=4)</v>
      </c>
      <c r="G15" s="7"/>
    </row>
    <row r="16" spans="1:13" ht="20.100000000000001" customHeight="1" x14ac:dyDescent="0.25">
      <c r="A16" s="16" t="str">
        <f>HYPERLINK("#'Input - Freight'!A1", "Freight")</f>
        <v>Freight</v>
      </c>
      <c r="D16" s="10" t="str" cm="1">
        <f t="array" ref="D16">Common_InputFunctions.Utility_DisplayArrayInTable(CommonLivestock_SourceData.SourceData_Livestock_Common_SymbolsMMS_Data(), Table_Data_MMSSymbols[[#Headers],[Symbol]], 0)</f>
        <v>5</v>
      </c>
      <c r="E16" s="10" t="str" cm="1">
        <f t="array" ref="E16">Common_InputFunctions.Utility_DisplayArrayInTable(CommonLivestock_SourceData.SourceData_Livestock_Common_SymbolsMMS_Data(), Table_Data_MMSSymbols[[#Headers],[Symbol]], 0)</f>
        <v>Drylot (feed pad)</v>
      </c>
      <c r="F16" s="10" t="str" cm="1">
        <f t="array" ref="F16">Common_InputFunctions.Utility_DisplayArrayInTable(CommonLivestock_SourceData.SourceData_Livestock_Common_SymbolsMMS_Data(), Table_Data_MMSSymbols[[#Headers],[Symbol]], 0)</f>
        <v>Drylot (feed pad) (m=5)</v>
      </c>
      <c r="G16" s="7"/>
    </row>
    <row r="17" spans="1:8" ht="20.100000000000001" customHeight="1" x14ac:dyDescent="0.25">
      <c r="A17" s="16" t="str">
        <f>HYPERLINK("#'Input - Solid waste'!A1", "Solid waste")</f>
        <v>Solid waste</v>
      </c>
      <c r="D17" s="10" t="str" cm="1">
        <f t="array" ref="D17">Common_InputFunctions.Utility_DisplayArrayInTable(CommonLivestock_SourceData.SourceData_Livestock_Common_SymbolsMMS_Data(), Table_Data_MMSSymbols[[#Headers],[Symbol]], 0)</f>
        <v>6</v>
      </c>
      <c r="E17" s="10" t="str" cm="1">
        <f t="array" ref="E17">Common_InputFunctions.Utility_DisplayArrayInTable(CommonLivestock_SourceData.SourceData_Livestock_Common_SymbolsMMS_Data(), Table_Data_MMSSymbols[[#Headers],[Symbol]], 0)</f>
        <v>Composting (passive windrow)</v>
      </c>
      <c r="F17" s="10" t="str" cm="1">
        <f t="array" ref="F17">Common_InputFunctions.Utility_DisplayArrayInTable(CommonLivestock_SourceData.SourceData_Livestock_Common_SymbolsMMS_Data(), Table_Data_MMSSymbols[[#Headers],[Symbol]], 0)</f>
        <v>Composting (passive windrow) (m=6)</v>
      </c>
      <c r="G17" s="7"/>
    </row>
    <row r="18" spans="1:8" ht="20.100000000000001" customHeight="1" x14ac:dyDescent="0.25">
      <c r="A18" s="16" t="str">
        <f>HYPERLINK("#'Input - Manure sent off-site'!A1", "Manure sent off-site")</f>
        <v>Manure sent off-site</v>
      </c>
      <c r="D18" s="10" t="str" cm="1">
        <f t="array" ref="D18">Common_InputFunctions.Utility_DisplayArrayInTable(CommonLivestock_SourceData.SourceData_Livestock_Common_SymbolsMMS_Data(), Table_Data_MMSSymbols[[#Headers],[Symbol]], 0)</f>
        <v>7</v>
      </c>
      <c r="E18" s="10" t="str" cm="1">
        <f t="array" ref="E18">Common_InputFunctions.Utility_DisplayArrayInTable(CommonLivestock_SourceData.SourceData_Livestock_Common_SymbolsMMS_Data(), Table_Data_MMSSymbols[[#Headers],[Symbol]], 0)</f>
        <v>Digester / covered lagoons</v>
      </c>
      <c r="F18" s="10" t="str" cm="1">
        <f t="array" ref="F18">Common_InputFunctions.Utility_DisplayArrayInTable(CommonLivestock_SourceData.SourceData_Livestock_Common_SymbolsMMS_Data(), Table_Data_MMSSymbols[[#Headers],[Symbol]], 0)</f>
        <v>Digester / covered lagoons (m=7)</v>
      </c>
      <c r="G18" s="7"/>
    </row>
    <row r="19" spans="1:8" ht="20.100000000000001" customHeight="1" x14ac:dyDescent="0.25">
      <c r="A19" s="16" t="str">
        <f>HYPERLINK("#'Input - Electricity'!A1", "Electricity")</f>
        <v>Electricity</v>
      </c>
      <c r="D19" s="10" t="str" cm="1">
        <f t="array" ref="D19">Common_InputFunctions.Utility_DisplayArrayInTable(CommonLivestock_SourceData.SourceData_Livestock_Common_SymbolsMMS_Data(), Table_Data_MMSSymbols[[#Headers],[Symbol]], 0)</f>
        <v>8</v>
      </c>
      <c r="E19" s="10" t="str" cm="1">
        <f t="array" ref="E19">Common_InputFunctions.Utility_DisplayArrayInTable(CommonLivestock_SourceData.SourceData_Livestock_Common_SymbolsMMS_Data(), Table_Data_MMSSymbols[[#Headers],[Symbol]], 0)</f>
        <v>Deep litter</v>
      </c>
      <c r="F19" s="10" t="str" cm="1">
        <f t="array" ref="F19">Common_InputFunctions.Utility_DisplayArrayInTable(CommonLivestock_SourceData.SourceData_Livestock_Common_SymbolsMMS_Data(), Table_Data_MMSSymbols[[#Headers],[Symbol]], 0)</f>
        <v>Deep litter (m=8)</v>
      </c>
      <c r="G19" s="7"/>
    </row>
    <row r="20" spans="1:8" ht="20.100000000000001" customHeight="1" x14ac:dyDescent="0.25">
      <c r="A20"/>
      <c r="D20" s="10" t="str" cm="1">
        <f t="array" ref="D20">Common_InputFunctions.Utility_DisplayArrayInTable(CommonLivestock_SourceData.SourceData_Livestock_Common_SymbolsMMS_Data(), Table_Data_MMSSymbols[[#Headers],[Symbol]], 0)</f>
        <v>9</v>
      </c>
      <c r="E20" s="10" t="str" cm="1">
        <f t="array" ref="E20">Common_InputFunctions.Utility_DisplayArrayInTable(CommonLivestock_SourceData.SourceData_Livestock_Common_SymbolsMMS_Data(), Table_Data_MMSSymbols[[#Headers],[Symbol]], 0)</f>
        <v>Pit storage</v>
      </c>
      <c r="F20" s="10" t="str" cm="1">
        <f t="array" ref="F20">Common_InputFunctions.Utility_DisplayArrayInTable(CommonLivestock_SourceData.SourceData_Livestock_Common_SymbolsMMS_Data(), Table_Data_MMSSymbols[[#Headers],[Symbol]], 0)</f>
        <v>Pit storage (m=9)</v>
      </c>
      <c r="G20" s="7"/>
    </row>
    <row r="21" spans="1:8" ht="20.100000000000001" customHeight="1" x14ac:dyDescent="0.25">
      <c r="A21"/>
      <c r="D21" s="10" t="str" cm="1">
        <f t="array" ref="D21">Common_InputFunctions.Utility_DisplayArrayInTable(CommonLivestock_SourceData.SourceData_Livestock_Common_SymbolsMMS_Data(), Table_Data_MMSSymbols[[#Headers],[Symbol]], 0)</f>
        <v>10</v>
      </c>
      <c r="E21" s="10" t="str" cm="1">
        <f t="array" ref="E21">Common_InputFunctions.Utility_DisplayArrayInTable(CommonLivestock_SourceData.SourceData_Livestock_Common_SymbolsMMS_Data(), Table_Data_MMSSymbols[[#Headers],[Symbol]], 0)</f>
        <v>Poultry manure with bedding</v>
      </c>
      <c r="F21" s="10" t="str" cm="1">
        <f t="array" ref="F21">Common_InputFunctions.Utility_DisplayArrayInTable(CommonLivestock_SourceData.SourceData_Livestock_Common_SymbolsMMS_Data(), Table_Data_MMSSymbols[[#Headers],[Symbol]], 0)</f>
        <v>Poultry manure with bedding (m=10)</v>
      </c>
      <c r="G21" s="7"/>
    </row>
    <row r="22" spans="1:8" ht="20.100000000000001" customHeight="1" x14ac:dyDescent="0.25">
      <c r="A22" s="21" t="s">
        <v>77</v>
      </c>
      <c r="D22" s="10" t="str" cm="1">
        <f t="array" ref="D22">Common_InputFunctions.Utility_DisplayArrayInTable(CommonLivestock_SourceData.SourceData_Livestock_Common_SymbolsMMS_Data(), Table_Data_MMSSymbols[[#Headers],[Symbol]], 0)</f>
        <v>11</v>
      </c>
      <c r="E22" s="10" t="str" cm="1">
        <f t="array" ref="E22">Common_InputFunctions.Utility_DisplayArrayInTable(CommonLivestock_SourceData.SourceData_Livestock_Common_SymbolsMMS_Data(), Table_Data_MMSSymbols[[#Headers],[Symbol]], 0)</f>
        <v>Poultry manure without bedding</v>
      </c>
      <c r="F22" s="10" t="str" cm="1">
        <f t="array" ref="F22">Common_InputFunctions.Utility_DisplayArrayInTable(CommonLivestock_SourceData.SourceData_Livestock_Common_SymbolsMMS_Data(), Table_Data_MMSSymbols[[#Headers],[Symbol]], 0)</f>
        <v>Poultry manure without bedding (m=11)</v>
      </c>
      <c r="G22" s="7"/>
    </row>
    <row r="23" spans="1:8" ht="20.100000000000001" customHeight="1" x14ac:dyDescent="0.25">
      <c r="A23" s="16" t="str">
        <f>HYPERLINK("#'15 Scope 3'!A1", "15 Scope 3")</f>
        <v>15 Scope 3</v>
      </c>
      <c r="D23" s="10" t="str" cm="1">
        <f t="array" ref="D23">Common_InputFunctions.Utility_DisplayArrayInTable(CommonLivestock_SourceData.SourceData_Livestock_Common_SymbolsMMS_Data(), Table_Data_MMSSymbols[[#Headers],[Symbol]], 0)</f>
        <v>11a</v>
      </c>
      <c r="E23" s="10" t="str" cm="1">
        <f t="array" ref="E23">Common_InputFunctions.Utility_DisplayArrayInTable(CommonLivestock_SourceData.SourceData_Livestock_Common_SymbolsMMS_Data(), Table_Data_MMSSymbols[[#Headers],[Symbol]], 0)</f>
        <v>Belt manure removal</v>
      </c>
      <c r="F23" s="10" t="str" cm="1">
        <f t="array" ref="F23">Common_InputFunctions.Utility_DisplayArrayInTable(CommonLivestock_SourceData.SourceData_Livestock_Common_SymbolsMMS_Data(), Table_Data_MMSSymbols[[#Headers],[Symbol]], 0)</f>
        <v>Belt manure removal (m=11a)</v>
      </c>
      <c r="G23" s="7"/>
    </row>
    <row r="24" spans="1:8" ht="20.100000000000001" customHeight="1" x14ac:dyDescent="0.25">
      <c r="A24" s="16" t="str">
        <f>HYPERLINK("#'10.1.1-2 Solid waste treatment'!A1", "10.1.1-2 Solid waste treatment")</f>
        <v>10.1.1-2 Solid waste treatment</v>
      </c>
      <c r="D24" s="10" t="str" cm="1">
        <f t="array" ref="D24">Common_InputFunctions.Utility_DisplayArrayInTable(CommonLivestock_SourceData.SourceData_Livestock_Common_SymbolsMMS_Data(), Table_Data_MMSSymbols[[#Headers],[Symbol]], 0)</f>
        <v>11b</v>
      </c>
      <c r="E24" s="10" t="str" cm="1">
        <f t="array" ref="E24">Common_InputFunctions.Utility_DisplayArrayInTable(CommonLivestock_SourceData.SourceData_Livestock_Common_SymbolsMMS_Data(), Table_Data_MMSSymbols[[#Headers],[Symbol]], 0)</f>
        <v>Manure stored in house</v>
      </c>
      <c r="F24" s="10" t="str" cm="1">
        <f t="array" ref="F24">Common_InputFunctions.Utility_DisplayArrayInTable(CommonLivestock_SourceData.SourceData_Livestock_Common_SymbolsMMS_Data(), Table_Data_MMSSymbols[[#Headers],[Symbol]], 0)</f>
        <v>Manure stored in house (m=11b)</v>
      </c>
      <c r="G24" s="7"/>
    </row>
    <row r="25" spans="1:8" ht="20.100000000000001" customHeight="1" x14ac:dyDescent="0.25">
      <c r="A25" s="16" t="str">
        <f>HYPERLINK("#'Calcs - Manure sent off-site'!A1", "Calcs - Manure sent off-site")</f>
        <v>Calcs - Manure sent off-site</v>
      </c>
      <c r="D25" s="10" t="str" cm="1">
        <f t="array" ref="D25">Common_InputFunctions.Utility_DisplayArrayInTable(CommonLivestock_SourceData.SourceData_Livestock_Common_SymbolsMMS_Data(), Table_Data_MMSSymbols[[#Headers],[Symbol]], 0)</f>
        <v>12</v>
      </c>
      <c r="E25" s="10" t="str" cm="1">
        <f t="array" ref="E25">Common_InputFunctions.Utility_DisplayArrayInTable(CommonLivestock_SourceData.SourceData_Livestock_Common_SymbolsMMS_Data(), Table_Data_MMSSymbols[[#Headers],[Symbol]], 0)</f>
        <v>Direct processing</v>
      </c>
      <c r="F25" s="10" t="str" cm="1">
        <f t="array" ref="F25">Common_InputFunctions.Utility_DisplayArrayInTable(CommonLivestock_SourceData.SourceData_Livestock_Common_SymbolsMMS_Data(), Table_Data_MMSSymbols[[#Headers],[Symbol]], 0)</f>
        <v>Direct processing (m=12)</v>
      </c>
      <c r="G25" s="7"/>
    </row>
    <row r="26" spans="1:8" ht="20.100000000000001" customHeight="1" x14ac:dyDescent="0.25">
      <c r="A26" s="16" t="str">
        <f>HYPERLINK("#'8.1.1.1-2 Transport fuel'!A1", "8.1.1.1-2 Transport fuel")</f>
        <v>8.1.1.1-2 Transport fuel</v>
      </c>
      <c r="D26" s="10" t="str" cm="1">
        <f t="array" ref="D26">Common_InputFunctions.Utility_DisplayArrayInTable(CommonLivestock_SourceData.SourceData_Livestock_Common_SymbolsMMS_Data(), Table_Data_MMSSymbols[[#Headers],[Symbol]], 0)</f>
        <v>13</v>
      </c>
      <c r="E26" s="10" t="str" cm="1">
        <f t="array" ref="E26">Common_InputFunctions.Utility_DisplayArrayInTable(CommonLivestock_SourceData.SourceData_Livestock_Common_SymbolsMMS_Data(), Table_Data_MMSSymbols[[#Headers],[Symbol]], 0)</f>
        <v>Direct application</v>
      </c>
      <c r="F26" s="10" t="str" cm="1">
        <f t="array" ref="F26">Common_InputFunctions.Utility_DisplayArrayInTable(CommonLivestock_SourceData.SourceData_Livestock_Common_SymbolsMMS_Data(), Table_Data_MMSSymbols[[#Headers],[Symbol]], 0)</f>
        <v>Direct application (m=13)</v>
      </c>
      <c r="G26" s="7"/>
    </row>
    <row r="27" spans="1:8" ht="20.100000000000001" customHeight="1" x14ac:dyDescent="0.25">
      <c r="A27" s="16" t="str">
        <f>HYPERLINK("#'8.2.1.1-2 Stationary fuel'!A1", "8.2.1.1-2 Stationary fuel")</f>
        <v>8.2.1.1-2 Stationary fuel</v>
      </c>
      <c r="D27" s="10" t="str" cm="1">
        <f t="array" ref="D27">Common_InputFunctions.Utility_DisplayArrayInTable(CommonLivestock_SourceData.SourceData_Livestock_Common_SymbolsMMS_Data(), Table_Data_MMSSymbols[[#Headers],[Symbol]], 0)</f>
        <v>14</v>
      </c>
      <c r="E27" s="10" t="str" cm="1">
        <f t="array" ref="E27">Common_InputFunctions.Utility_DisplayArrayInTable(CommonLivestock_SourceData.SourceData_Livestock_Common_SymbolsMMS_Data(), Table_Data_MMSSymbols[[#Headers],[Symbol]], 0)</f>
        <v>Pasture range and paddock</v>
      </c>
      <c r="F27" s="10" t="str" cm="1">
        <f t="array" ref="F27">Common_InputFunctions.Utility_DisplayArrayInTable(CommonLivestock_SourceData.SourceData_Livestock_Common_SymbolsMMS_Data(), Table_Data_MMSSymbols[[#Headers],[Symbol]], 0)</f>
        <v>Pasture range and paddock (m=14)</v>
      </c>
      <c r="G27" s="7"/>
    </row>
    <row r="28" spans="1:8" ht="20.100000000000001" customHeight="1" x14ac:dyDescent="0.25">
      <c r="A28"/>
      <c r="G28" s="7"/>
      <c r="H28" s="7"/>
    </row>
    <row r="29" spans="1:8" ht="20.100000000000001" customHeight="1" x14ac:dyDescent="0.25">
      <c r="A29"/>
      <c r="D29" s="9" t="str" cm="1">
        <f t="array" ref="D29">CommonLivestock_SourceData.SourceData_Livestock_Product_BeefCattle_Title()</f>
        <v>Beef cattle products for scope 3</v>
      </c>
    </row>
    <row r="30" spans="1:8" ht="20.100000000000001" customHeight="1" x14ac:dyDescent="0.25">
      <c r="A30" s="221" t="s">
        <v>78</v>
      </c>
      <c r="D30" s="11" t="str" cm="1">
        <f t="array" ref="D30">CommonLivestock_SourceData.SourceData_Livestock_Product_BeefCattle_Source()</f>
        <v>Lifecycles. (2026). Greenhouse Gas Emission Intensities for Material Inputs to Australian Agriculture, Fisheries and Forestry. Version 48. doi 10.5281/zenodo.19656580</v>
      </c>
    </row>
    <row r="31" spans="1:8" ht="20.100000000000001" customHeight="1" x14ac:dyDescent="0.25">
      <c r="A31" s="16" t="str">
        <f>HYPERLINK("#'Constants - Scope 3'!A1", "Constants - Scope 3")</f>
        <v>Constants - Scope 3</v>
      </c>
      <c r="D31" s="10" t="s">
        <v>212</v>
      </c>
      <c r="E31" s="10" t="s">
        <v>323</v>
      </c>
      <c r="F31" s="8" t="s">
        <v>324</v>
      </c>
    </row>
    <row r="32" spans="1:8" ht="20.100000000000001" customHeight="1" x14ac:dyDescent="0.25">
      <c r="A32" s="16" t="str">
        <f>HYPERLINK("#'Constants - Solid Waste'!A1", "Constants - Solid Waste")</f>
        <v>Constants - Solid Waste</v>
      </c>
      <c r="D32" s="10" t="str" cm="1">
        <f t="array" ref="D32">Common_InputFunctions.Utility_DisplayArrayInTable(CommonLivestock_SourceData.SourceData_Livestock_Product_BeefCattle_Data(),Table_SourceData_LivestockProduct_Beefcattle[[#Headers],[Product]],0)</f>
        <v>Cattle, for manufacturing beef</v>
      </c>
      <c r="E32" s="10" t="str" cm="1">
        <f t="array" ref="E32">Common_InputFunctions.Utility_DisplayArrayInTable(CommonLivestock_SourceData.SourceData_Livestock_Product_BeefCattle_Data(),Table_SourceData_LivestockProduct_Beefcattle[[#Headers],[Product]],0)</f>
        <v>Australia</v>
      </c>
    </row>
    <row r="33" spans="1:6" ht="20.100000000000001" customHeight="1" x14ac:dyDescent="0.25">
      <c r="A33" s="16" t="str">
        <f>HYPERLINK("#'Constants - Fuel'!A1", "Constants - Fuel")</f>
        <v>Constants - Fuel</v>
      </c>
      <c r="D33" s="8" t="str" cm="1">
        <f t="array" ref="D33">Common_InputFunctions.Utility_DisplayArrayInTable(CommonLivestock_SourceData.SourceData_Livestock_Product_BeefCattle_Data(),Table_SourceData_LivestockProduct_Beefcattle[[#Headers],[Product]],0)</f>
        <v>Cattle, for prime beef</v>
      </c>
      <c r="E33" s="10" t="str" cm="1">
        <f t="array" ref="E33">Common_InputFunctions.Utility_DisplayArrayInTable(CommonLivestock_SourceData.SourceData_Livestock_Product_BeefCattle_Data(),Table_SourceData_LivestockProduct_Beefcattle[[#Headers],[Product]],0)</f>
        <v>NSW</v>
      </c>
    </row>
    <row r="34" spans="1:6" ht="20.100000000000001" customHeight="1" x14ac:dyDescent="0.25">
      <c r="A34" s="16" t="str">
        <f>HYPERLINK("#'Constants - Poultry'!A1", "Constants - Poultry")</f>
        <v>Constants - Poultry</v>
      </c>
      <c r="D34" s="8" t="str" cm="1">
        <f t="array" ref="D34">Common_InputFunctions.Utility_DisplayArrayInTable(CommonLivestock_SourceData.SourceData_Livestock_Product_BeefCattle_Data(),Table_SourceData_LivestockProduct_Beefcattle[[#Headers],[Product]],0)</f>
        <v>Cattle, weaners</v>
      </c>
      <c r="E34" s="10" t="str" cm="1">
        <f t="array" ref="E34">Common_InputFunctions.Utility_DisplayArrayInTable(CommonLivestock_SourceData.SourceData_Livestock_Product_BeefCattle_Data(),Table_SourceData_LivestockProduct_Beefcattle[[#Headers],[Product]],0)</f>
        <v>NT</v>
      </c>
    </row>
    <row r="35" spans="1:6" ht="20.100000000000001" customHeight="1" x14ac:dyDescent="0.25">
      <c r="A35" s="16" t="str">
        <f>HYPERLINK("#'Constants - Swine'!A1", "Constants - Swine")</f>
        <v>Constants - Swine</v>
      </c>
      <c r="D35" s="8" t="str" cm="1">
        <f t="array" ref="D35">Common_InputFunctions.Utility_DisplayArrayInTable(CommonLivestock_SourceData.SourceData_Livestock_Product_BeefCattle_Data(),Table_SourceData_LivestockProduct_Beefcattle[[#Headers],[Product]],0)</f>
        <v/>
      </c>
      <c r="E35" s="10" t="str" cm="1">
        <f t="array" ref="E35">Common_InputFunctions.Utility_DisplayArrayInTable(CommonLivestock_SourceData.SourceData_Livestock_Product_BeefCattle_Data(),Table_SourceData_LivestockProduct_Beefcattle[[#Headers],[Product]],0)</f>
        <v>QLD</v>
      </c>
    </row>
    <row r="36" spans="1:6" ht="20.100000000000001" customHeight="1" x14ac:dyDescent="0.25">
      <c r="A36" s="16" t="str">
        <f>HYPERLINK("#'Constants - Dairy'!A1", "Constants - Dairy")</f>
        <v>Constants - Dairy</v>
      </c>
      <c r="D36" s="8" t="str" cm="1">
        <f t="array" ref="D36">Common_InputFunctions.Utility_DisplayArrayInTable(CommonLivestock_SourceData.SourceData_Livestock_Product_BeefCattle_Data(),Table_SourceData_LivestockProduct_Beefcattle[[#Headers],[Product]],0)</f>
        <v/>
      </c>
      <c r="E36" s="10" t="str" cm="1">
        <f t="array" ref="E36">Common_InputFunctions.Utility_DisplayArrayInTable(CommonLivestock_SourceData.SourceData_Livestock_Product_BeefCattle_Data(),Table_SourceData_LivestockProduct_Beefcattle[[#Headers],[Product]],0)</f>
        <v>SA</v>
      </c>
    </row>
    <row r="37" spans="1:6" ht="20.100000000000001" customHeight="1" x14ac:dyDescent="0.25">
      <c r="A37" s="16" t="str">
        <f>HYPERLINK("#'Constants - Pasture Beef'!A1", "Constants - Pasture Beef")</f>
        <v>Constants - Pasture Beef</v>
      </c>
      <c r="D37" s="8" t="str" cm="1">
        <f t="array" ref="D37">Common_InputFunctions.Utility_DisplayArrayInTable(CommonLivestock_SourceData.SourceData_Livestock_Product_BeefCattle_Data(),Table_SourceData_LivestockProduct_Beefcattle[[#Headers],[Product]],0)</f>
        <v/>
      </c>
      <c r="E37" s="10" t="str" cm="1">
        <f t="array" ref="E37">Common_InputFunctions.Utility_DisplayArrayInTable(CommonLivestock_SourceData.SourceData_Livestock_Product_BeefCattle_Data(),Table_SourceData_LivestockProduct_Beefcattle[[#Headers],[Product]],0)</f>
        <v>TAS</v>
      </c>
    </row>
    <row r="38" spans="1:6" ht="20.100000000000001" customHeight="1" x14ac:dyDescent="0.25">
      <c r="A38" s="23" t="str">
        <f>HYPERLINK("#'Constants - Common Livestock'!A1", "Constants - Common Livestock")</f>
        <v>Constants - Common Livestock</v>
      </c>
      <c r="D38" s="8" t="str" cm="1">
        <f t="array" ref="D38">Common_InputFunctions.Utility_DisplayArrayInTable(CommonLivestock_SourceData.SourceData_Livestock_Product_BeefCattle_Data(),Table_SourceData_LivestockProduct_Beefcattle[[#Headers],[Product]],0)</f>
        <v/>
      </c>
      <c r="E38" s="10" t="str" cm="1">
        <f t="array" ref="E38">Common_InputFunctions.Utility_DisplayArrayInTable(CommonLivestock_SourceData.SourceData_Livestock_Product_BeefCattle_Data(),Table_SourceData_LivestockProduct_Beefcattle[[#Headers],[Product]],0)</f>
        <v>VIC</v>
      </c>
    </row>
    <row r="39" spans="1:6" ht="20.100000000000001" customHeight="1" x14ac:dyDescent="0.25">
      <c r="A39" s="16" t="str">
        <f>HYPERLINK("#'Constants - Fertiliser'!A1", "Constants - Fertiliser")</f>
        <v>Constants - Fertiliser</v>
      </c>
      <c r="D39" s="8" t="str" cm="1">
        <f t="array" ref="D39">Common_InputFunctions.Utility_DisplayArrayInTable(CommonLivestock_SourceData.SourceData_Livestock_Product_BeefCattle_Data(),Table_SourceData_LivestockProduct_Beefcattle[[#Headers],[Product]],0)</f>
        <v/>
      </c>
      <c r="E39" s="10" t="str" cm="1">
        <f t="array" ref="E39">Common_InputFunctions.Utility_DisplayArrayInTable(CommonLivestock_SourceData.SourceData_Livestock_Product_BeefCattle_Data(),Table_SourceData_LivestockProduct_Beefcattle[[#Headers],[Product]],0)</f>
        <v>WA</v>
      </c>
    </row>
    <row r="40" spans="1:6" ht="20.100000000000001" customHeight="1" x14ac:dyDescent="0.25">
      <c r="A40" s="16" t="str">
        <f>HYPERLINK("#'Constants - Electricity'!A1", "Constants - Electricity")</f>
        <v>Constants - Electricity</v>
      </c>
    </row>
    <row r="41" spans="1:6" ht="20.100000000000001" customHeight="1" x14ac:dyDescent="0.25">
      <c r="A41" s="16" t="str">
        <f>HYPERLINK("#'Constants - Common'!A1", "Constants - Common")</f>
        <v>Constants - Common</v>
      </c>
      <c r="D41" s="9" t="str" cm="1">
        <f t="array" ref="D41">CommonLivestock_SourceData.SourceData_Livestock_Product_Sheep_Title()</f>
        <v>Sheep products for scope 3</v>
      </c>
    </row>
    <row r="42" spans="1:6" ht="20.100000000000001" customHeight="1" x14ac:dyDescent="0.25">
      <c r="A42"/>
      <c r="D42" s="11" t="str" cm="1">
        <f t="array" ref="D42">CommonLivestock_SourceData.SourceData_Livestock_Product_Sheep_Source()</f>
        <v>Lifecycles. (2026). Greenhouse Gas Emission Intensities for Material Inputs to Australian Agriculture, Fisheries and Forestry. Version 48. doi 10.5281/zenodo.19656580</v>
      </c>
    </row>
    <row r="43" spans="1:6" ht="20.100000000000001" customHeight="1" x14ac:dyDescent="0.25">
      <c r="A43"/>
      <c r="D43" s="10" t="s">
        <v>212</v>
      </c>
      <c r="E43" s="10" t="s">
        <v>323</v>
      </c>
      <c r="F43" s="8" t="s">
        <v>325</v>
      </c>
    </row>
    <row r="44" spans="1:6" ht="20.100000000000001" customHeight="1" x14ac:dyDescent="0.25">
      <c r="A44"/>
      <c r="D44" s="10" t="str" cm="1">
        <f t="array" ref="D44">Common_InputFunctions.Utility_DisplayArrayInTable(CommonLivestock_SourceData.SourceData_Livestock_Product_Sheep_Data(),Table_SourceData_LivestockProduct_Sheep[[#Headers],[Product]],0)</f>
        <v>Sheep, for mutton</v>
      </c>
      <c r="E44" s="10" t="str" cm="1">
        <f t="array" ref="E44">Common_InputFunctions.Utility_DisplayArrayInTable(CommonLivestock_SourceData.SourceData_Livestock_Product_Sheep_Data(),Table_SourceData_LivestockProduct_Sheep[[#Headers],[Product]],0)</f>
        <v>Australia</v>
      </c>
    </row>
    <row r="45" spans="1:6" ht="20.100000000000001" customHeight="1" x14ac:dyDescent="0.25">
      <c r="A45"/>
      <c r="D45" s="10" t="str" cm="1">
        <f t="array" ref="D45">Common_InputFunctions.Utility_DisplayArrayInTable(CommonLivestock_SourceData.SourceData_Livestock_Product_Sheep_Data(),Table_SourceData_LivestockProduct_Sheep[[#Headers],[Product]],0)</f>
        <v>Sheep, for prime lamb</v>
      </c>
      <c r="E45" s="10" t="str" cm="1">
        <f t="array" ref="E45">Common_InputFunctions.Utility_DisplayArrayInTable(CommonLivestock_SourceData.SourceData_Livestock_Product_Sheep_Data(),Table_SourceData_LivestockProduct_Sheep[[#Headers],[Product]],0)</f>
        <v>NSW</v>
      </c>
    </row>
    <row r="46" spans="1:6" ht="20.100000000000001" customHeight="1" x14ac:dyDescent="0.25">
      <c r="A46"/>
      <c r="D46" s="10" t="str" cm="1">
        <f t="array" ref="D46">Common_InputFunctions.Utility_DisplayArrayInTable(CommonLivestock_SourceData.SourceData_Livestock_Product_Sheep_Data(),Table_SourceData_LivestockProduct_Sheep[[#Headers],[Product]],0)</f>
        <v/>
      </c>
      <c r="E46" s="10" t="str" cm="1">
        <f t="array" ref="E46">Common_InputFunctions.Utility_DisplayArrayInTable(CommonLivestock_SourceData.SourceData_Livestock_Product_Sheep_Data(),Table_SourceData_LivestockProduct_Sheep[[#Headers],[Product]],0)</f>
        <v>QLD</v>
      </c>
    </row>
    <row r="47" spans="1:6" ht="20.100000000000001" customHeight="1" x14ac:dyDescent="0.25">
      <c r="A47"/>
      <c r="D47" s="10" t="str" cm="1">
        <f t="array" ref="D47">Common_InputFunctions.Utility_DisplayArrayInTable(CommonLivestock_SourceData.SourceData_Livestock_Product_Sheep_Data(),Table_SourceData_LivestockProduct_Sheep[[#Headers],[Product]],0)</f>
        <v/>
      </c>
      <c r="E47" s="10" t="str" cm="1">
        <f t="array" ref="E47">Common_InputFunctions.Utility_DisplayArrayInTable(CommonLivestock_SourceData.SourceData_Livestock_Product_Sheep_Data(),Table_SourceData_LivestockProduct_Sheep[[#Headers],[Product]],0)</f>
        <v>SA</v>
      </c>
    </row>
    <row r="48" spans="1:6" ht="20.100000000000001" customHeight="1" x14ac:dyDescent="0.25">
      <c r="A48"/>
      <c r="D48" s="10" t="str" cm="1">
        <f t="array" ref="D48">Common_InputFunctions.Utility_DisplayArrayInTable(CommonLivestock_SourceData.SourceData_Livestock_Product_Sheep_Data(),Table_SourceData_LivestockProduct_Sheep[[#Headers],[Product]],0)</f>
        <v/>
      </c>
      <c r="E48" s="10" t="str" cm="1">
        <f t="array" ref="E48">Common_InputFunctions.Utility_DisplayArrayInTable(CommonLivestock_SourceData.SourceData_Livestock_Product_Sheep_Data(),Table_SourceData_LivestockProduct_Sheep[[#Headers],[Product]],0)</f>
        <v>TAS</v>
      </c>
    </row>
    <row r="49" spans="1:6" ht="20.100000000000001" customHeight="1" x14ac:dyDescent="0.25">
      <c r="A49"/>
      <c r="D49" s="10" t="str" cm="1">
        <f t="array" ref="D49">Common_InputFunctions.Utility_DisplayArrayInTable(CommonLivestock_SourceData.SourceData_Livestock_Product_Sheep_Data(),Table_SourceData_LivestockProduct_Sheep[[#Headers],[Product]],0)</f>
        <v/>
      </c>
      <c r="E49" s="10" t="str" cm="1">
        <f t="array" ref="E49">Common_InputFunctions.Utility_DisplayArrayInTable(CommonLivestock_SourceData.SourceData_Livestock_Product_Sheep_Data(),Table_SourceData_LivestockProduct_Sheep[[#Headers],[Product]],0)</f>
        <v>VIC</v>
      </c>
    </row>
    <row r="50" spans="1:6" ht="20.100000000000001" customHeight="1" x14ac:dyDescent="0.25">
      <c r="A50"/>
      <c r="D50" s="10" t="str" cm="1">
        <f t="array" ref="D50">Common_InputFunctions.Utility_DisplayArrayInTable(CommonLivestock_SourceData.SourceData_Livestock_Product_Sheep_Data(),Table_SourceData_LivestockProduct_Sheep[[#Headers],[Product]],0)</f>
        <v/>
      </c>
      <c r="E50" s="10" t="str" cm="1">
        <f t="array" ref="E50">Common_InputFunctions.Utility_DisplayArrayInTable(CommonLivestock_SourceData.SourceData_Livestock_Product_Sheep_Data(),Table_SourceData_LivestockProduct_Sheep[[#Headers],[Product]],0)</f>
        <v>WA</v>
      </c>
    </row>
    <row r="51" spans="1:6" ht="20.100000000000001" customHeight="1" x14ac:dyDescent="0.25">
      <c r="A51"/>
    </row>
    <row r="52" spans="1:6" ht="20.100000000000001" customHeight="1" x14ac:dyDescent="0.25">
      <c r="A52"/>
      <c r="D52" s="9" t="str" cm="1">
        <f t="array" ref="D52">CommonLivestock_SourceData.SourceData_Livestock_Product_Chickens_Title()</f>
        <v>Chickens products for scope 3</v>
      </c>
    </row>
    <row r="53" spans="1:6" ht="20.100000000000001" customHeight="1" x14ac:dyDescent="0.25">
      <c r="A53"/>
      <c r="D53" s="11" t="str" cm="1">
        <f t="array" ref="D53">CommonLivestock_SourceData.SourceData_Livestock_Product_Chickens_Source()</f>
        <v>Lifecycles. (2026). Greenhouse Gas Emission Intensities for Material Inputs to Australian Agriculture, Fisheries and Forestry. Version 48. doi 10.5281/zenodo.19656580</v>
      </c>
    </row>
    <row r="54" spans="1:6" ht="20.100000000000001" customHeight="1" x14ac:dyDescent="0.25">
      <c r="A54"/>
      <c r="D54" s="10" t="s">
        <v>212</v>
      </c>
      <c r="E54" s="10" t="s">
        <v>323</v>
      </c>
      <c r="F54" s="8" t="s">
        <v>331</v>
      </c>
    </row>
    <row r="55" spans="1:6" ht="20.100000000000001" customHeight="1" x14ac:dyDescent="0.25">
      <c r="A55"/>
      <c r="D55" s="10" t="str" cm="1">
        <f t="array" ref="D55">Common_InputFunctions.Utility_DisplayArrayInTable(CommonLivestock_SourceData.SourceData_Livestock_Product_Chickens_Data(),Table_SourceData_LivestockProduct_Chickens[[#Headers],[Product]],0)</f>
        <v>Chickens</v>
      </c>
      <c r="E55" s="10" t="str" cm="1">
        <f t="array" ref="E55">Common_InputFunctions.Utility_DisplayArrayInTable(CommonLivestock_SourceData.SourceData_Livestock_Product_Chickens_Data(),Table_SourceData_LivestockProduct_Chickens[[#Headers],[Product]],0)</f>
        <v>Australia</v>
      </c>
    </row>
    <row r="56" spans="1:6" ht="20.100000000000001" customHeight="1" x14ac:dyDescent="0.25">
      <c r="A56"/>
    </row>
    <row r="57" spans="1:6" ht="20.100000000000001" customHeight="1" x14ac:dyDescent="0.25">
      <c r="A57"/>
      <c r="D57" s="9" t="str" cm="1">
        <f t="array" ref="D57">CommonLivestock_SourceData.SourceData_Livestock_Product_Dairycattle_Title()</f>
        <v>Dairy cattle products for scope 3</v>
      </c>
    </row>
    <row r="58" spans="1:6" ht="20.100000000000001" customHeight="1" x14ac:dyDescent="0.25">
      <c r="A58"/>
      <c r="D58" s="11" t="str" cm="1">
        <f t="array" ref="D58">CommonLivestock_SourceData.SourceData_Livestock_Product_Dairycattle_Source()</f>
        <v>Lifecycles. (2026). Greenhouse Gas Emission Intensities for Material Inputs to Australian Agriculture, Fisheries and Forestry. Version 48. doi 10.5281/zenodo.19656580</v>
      </c>
    </row>
    <row r="59" spans="1:6" ht="20.100000000000001" customHeight="1" x14ac:dyDescent="0.25">
      <c r="A59"/>
      <c r="D59" s="10" t="s">
        <v>212</v>
      </c>
      <c r="E59" s="10" t="s">
        <v>323</v>
      </c>
      <c r="F59" s="8" t="s">
        <v>332</v>
      </c>
    </row>
    <row r="60" spans="1:6" ht="20.100000000000001" customHeight="1" x14ac:dyDescent="0.25">
      <c r="A60"/>
      <c r="D60" s="10" t="str" cm="1">
        <f t="array" ref="D60">Common_InputFunctions.Utility_DisplayArrayInTable(CommonLivestock_SourceData.SourceData_Livestock_Product_Dairycattle_Data(),Table_SourceData_LivestockProduct_Dairycattle[[#Headers],[Product]],0)</f>
        <v>Dairy cows</v>
      </c>
      <c r="E60" s="10" t="str" cm="1">
        <f t="array" ref="E60">Common_InputFunctions.Utility_DisplayArrayInTable(CommonLivestock_SourceData.SourceData_Livestock_Product_Dairycattle_Data(),Table_SourceData_LivestockProduct_Dairycattle[[#Headers],[Product]],0)</f>
        <v>VIC</v>
      </c>
    </row>
    <row r="61" spans="1:6" ht="20.100000000000001" customHeight="1" x14ac:dyDescent="0.25">
      <c r="A61"/>
    </row>
    <row r="62" spans="1:6" ht="20.100000000000001" customHeight="1" x14ac:dyDescent="0.25">
      <c r="A62"/>
      <c r="D62" s="9" t="str" cm="1">
        <f t="array" ref="D62">CommonLivestock_SourceData.SourceData_Livestock_Product_Pigs_Title()</f>
        <v>Pigs products for scope 3</v>
      </c>
    </row>
    <row r="63" spans="1:6" ht="20.100000000000001" customHeight="1" x14ac:dyDescent="0.25">
      <c r="A63"/>
      <c r="D63" s="11" t="str" cm="1">
        <f t="array" ref="D63">CommonLivestock_SourceData.SourceData_Livestock_Product_Pigs_Source()</f>
        <v>Lifecycles. (2026). Greenhouse Gas Emission Intensities for Material Inputs to Australian Agriculture, Fisheries and Forestry. Version 48. doi 10.5281/zenodo.19656580</v>
      </c>
    </row>
    <row r="64" spans="1:6" x14ac:dyDescent="0.25">
      <c r="A64"/>
      <c r="D64" s="10" t="s">
        <v>212</v>
      </c>
      <c r="E64" s="10" t="s">
        <v>323</v>
      </c>
      <c r="F64" s="8" t="s">
        <v>333</v>
      </c>
    </row>
    <row r="65" spans="1:5" x14ac:dyDescent="0.25">
      <c r="A65"/>
      <c r="D65" s="10" t="str" cm="1">
        <f t="array" ref="D65">Common_InputFunctions.Utility_DisplayArrayInTable(CommonLivestock_SourceData.SourceData_Livestock_Product_Pigs_Data(),Table_SourceData_LivestockProduct_Pigs[[#Headers],[Product]],0)</f>
        <v>Pigs</v>
      </c>
      <c r="E65" s="10" t="str" cm="1">
        <f t="array" ref="E65">Common_InputFunctions.Utility_DisplayArrayInTable(CommonLivestock_SourceData.SourceData_Livestock_Product_Pigs_Data(),Table_SourceData_LivestockProduct_Pigs[[#Headers],[Product]],0)</f>
        <v>Australia</v>
      </c>
    </row>
    <row r="66" spans="1:5" x14ac:dyDescent="0.25">
      <c r="A66"/>
    </row>
    <row r="67" spans="1:5" x14ac:dyDescent="0.25">
      <c r="A67"/>
    </row>
    <row r="68" spans="1:5" x14ac:dyDescent="0.25">
      <c r="A68"/>
    </row>
    <row r="69" spans="1:5" x14ac:dyDescent="0.25">
      <c r="A69"/>
    </row>
    <row r="70" spans="1:5" x14ac:dyDescent="0.25">
      <c r="A70"/>
    </row>
    <row r="71" spans="1:5" x14ac:dyDescent="0.25">
      <c r="A71"/>
    </row>
    <row r="72" spans="1:5" x14ac:dyDescent="0.25">
      <c r="A72"/>
    </row>
    <row r="73" spans="1:5" x14ac:dyDescent="0.25">
      <c r="A73"/>
    </row>
    <row r="74" spans="1:5" x14ac:dyDescent="0.25">
      <c r="A74"/>
    </row>
    <row r="75" spans="1:5" x14ac:dyDescent="0.25">
      <c r="A75"/>
    </row>
    <row r="76" spans="1:5" x14ac:dyDescent="0.25">
      <c r="A76"/>
    </row>
    <row r="77" spans="1:5" x14ac:dyDescent="0.25">
      <c r="A77"/>
    </row>
    <row r="78" spans="1:5" x14ac:dyDescent="0.25">
      <c r="A78"/>
    </row>
    <row r="79" spans="1:5" x14ac:dyDescent="0.25">
      <c r="A79"/>
    </row>
    <row r="80" spans="1:5"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B746F-0974-4950-9A01-7CB11688D54E}">
  <dimension ref="A1:AI165"/>
  <sheetViews>
    <sheetView showGridLines="0" topLeftCell="A17" zoomScaleNormal="100" workbookViewId="0">
      <selection activeCell="A41" sqref="A41"/>
    </sheetView>
  </sheetViews>
  <sheetFormatPr defaultRowHeight="15.75" x14ac:dyDescent="0.25"/>
  <cols>
    <col min="1" max="1" width="26.875" style="3" customWidth="1"/>
    <col min="2" max="2" width="4.125" style="3" customWidth="1"/>
    <col min="3" max="3" width="4.125" style="8" customWidth="1"/>
    <col min="4" max="9" width="18.125" style="8" customWidth="1"/>
    <col min="10" max="10" width="23" style="8" customWidth="1"/>
    <col min="11" max="31" width="18.125" style="8" customWidth="1"/>
    <col min="32" max="32" width="4.125" style="8" customWidth="1"/>
    <col min="33" max="16384" width="9" style="3"/>
  </cols>
  <sheetData>
    <row r="1" spans="1:35" s="1" customFormat="1" ht="30" customHeight="1" x14ac:dyDescent="0.35">
      <c r="A1" s="37" t="e" vm="1">
        <v>#VALUE!</v>
      </c>
      <c r="C1" s="1" t="s">
        <v>133</v>
      </c>
      <c r="AG1" s="3"/>
      <c r="AH1" s="3"/>
      <c r="AI1" s="3"/>
    </row>
    <row r="2" spans="1:35" s="2" customFormat="1" ht="20.100000000000001" customHeight="1" x14ac:dyDescent="0.25">
      <c r="A2"/>
      <c r="AG2" s="3"/>
      <c r="AH2" s="3"/>
      <c r="AI2" s="3"/>
    </row>
    <row r="3" spans="1:35"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HYPERLINK("#'Results'!A1", "Results")</f>
        <v>Results</v>
      </c>
    </row>
    <row r="5" spans="1:35" ht="20.100000000000001" customHeight="1" x14ac:dyDescent="0.25">
      <c r="A5"/>
      <c r="D5" s="9" t="str" cm="1">
        <f t="array" ref="D5">Fertiliser_SourceData.Fertiliser_ChemicalCompoundElements_Title()</f>
        <v>Common inorganic fertilisers</v>
      </c>
      <c r="E5" s="17"/>
      <c r="F5" s="17"/>
      <c r="G5" s="17"/>
      <c r="H5" s="17"/>
      <c r="I5" s="17"/>
      <c r="J5" s="17"/>
    </row>
    <row r="6" spans="1:35" ht="20.100000000000001" customHeight="1" x14ac:dyDescent="0.25">
      <c r="A6"/>
      <c r="D6" s="11"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A7" s="19" t="s">
        <v>67</v>
      </c>
      <c r="D7" s="12" t="str" cm="1">
        <f t="array" ref="D7:D18">Fertiliser_SourceData.Fertiliser_ChemicalCompoundElements_Variation()</f>
        <v>VARIATION ON SOURCE</v>
      </c>
    </row>
    <row r="8" spans="1:35" ht="20.100000000000001" customHeight="1" x14ac:dyDescent="0.25">
      <c r="A8" s="16" t="str">
        <f>HYPERLINK("#'Input - Site'!A1", "Site")</f>
        <v>Site</v>
      </c>
      <c r="D8" s="12" t="str">
        <v>Added 'Basis' column to allow cross-referencing with table Table A.2.2.6: Fraction of inorganic fertiliser f that volatilises as NH3 and NOx ((kg NH3-N + NOx-N)/kg N) (FracGASFf)</v>
      </c>
    </row>
    <row r="9" spans="1:35" ht="20.100000000000001" customHeight="1" x14ac:dyDescent="0.25">
      <c r="A9" s="16" t="str">
        <f>HYPERLINK("#'Input - Fuel'!A1", "Fuel")</f>
        <v>Fuel</v>
      </c>
      <c r="D9" s="12" t="str">
        <v>Added extra fertiliser types and generic chemical compounds to allow for custom NPKS blends</v>
      </c>
    </row>
    <row r="10" spans="1:35" ht="20.100000000000001" customHeight="1" x14ac:dyDescent="0.25">
      <c r="A10" s="16" t="str">
        <f>HYPERLINK("#'Input - Fertiliser'!A1", "Fertiliser")</f>
        <v>Fertiliser</v>
      </c>
      <c r="D10" s="12" t="str">
        <v>Added extra 'Scope 3 definition' column to allow mapping with scope 3 data</v>
      </c>
    </row>
    <row r="11" spans="1:35" ht="20.100000000000001" customHeight="1" x14ac:dyDescent="0.25">
      <c r="A11" s="16" t="str">
        <f>HYPERLINK("#'Input - Farm Inputs'!A1", "Farm Inputs")</f>
        <v>Farm Inputs</v>
      </c>
      <c r="D11" s="12" t="str">
        <v>Added 'Source' column</v>
      </c>
    </row>
    <row r="12" spans="1:35" ht="20.100000000000001" customHeight="1" x14ac:dyDescent="0.25">
      <c r="A12" s="16" t="str">
        <f>HYPERLINK("#'Input - Beef cattle purchases'!A1", "Beef cattle purchases")</f>
        <v>Beef cattle purchases</v>
      </c>
      <c r="D12" s="12" t="str">
        <v>Combined data from Table A.2.2.3 and Table A.2.2.4 into one table to aid lookup.</v>
      </c>
    </row>
    <row r="13" spans="1:35" ht="20.100000000000001" customHeight="1" x14ac:dyDescent="0.25">
      <c r="A13" s="16" t="str">
        <f>HYPERLINK("#'Input - Dairy cattle purchases'!A1", "Dairy cattle purchases")</f>
        <v>Dairy cattle purchases</v>
      </c>
      <c r="D13" s="12" t="str">
        <v>Excluded 'References' column</v>
      </c>
    </row>
    <row r="14" spans="1:35" ht="20.100000000000001" customHeight="1" x14ac:dyDescent="0.25">
      <c r="A14" s="16" t="str">
        <f>HYPERLINK("#'Input - Pig purchases'!A1", "Pig purchases")</f>
        <v>Pig purchases</v>
      </c>
      <c r="D14" s="12" t="str">
        <v>Excluded 'Ammonium sulfate' as it is a duplicate of 'Sulphate of ammonia (SOA)'</v>
      </c>
    </row>
    <row r="15" spans="1:35" ht="20.100000000000001" customHeight="1" x14ac:dyDescent="0.25">
      <c r="A15" s="16" t="str">
        <f>HYPERLINK("#'Input - Poultry purchases'!A1", "Poultry purchases")</f>
        <v>Poultry purchases</v>
      </c>
      <c r="D15" s="12" t="str">
        <v>Excluded 'Calcium nitrate' as no scope 3 value available.</v>
      </c>
    </row>
    <row r="16" spans="1:35" ht="20.100000000000001" customHeight="1" x14ac:dyDescent="0.25">
      <c r="A16" s="16" t="str">
        <f>HYPERLINK("#'Input - Freight'!A1", "Freight")</f>
        <v>Freight</v>
      </c>
      <c r="D16" s="12" t="str">
        <v>Set 'Nitrogen - Generic' basis as 'Urea-based fertilisers, as urea is the most commonly used form of nitrogen in Australian fertilisers</v>
      </c>
    </row>
    <row r="17" spans="1:22" ht="20.100000000000001" customHeight="1" x14ac:dyDescent="0.25">
      <c r="A17" s="16" t="str">
        <f>HYPERLINK("#'Input - Solid waste'!A1", "Solid waste")</f>
        <v>Solid waste</v>
      </c>
      <c r="D17" s="12" t="str">
        <v>Set 'Urea-ammonium nitrate' basis as 'Urea-based fertiliser'</v>
      </c>
      <c r="K17" s="9" t="str" cm="1">
        <f t="array" ref="K17">Fertiliser_SourceData.Fertiliser_FractionNCommonFertilisers_Title()</f>
        <v>Fraction of nitrogen in common inorganic fertilisers (kgN/kg) (FNorganic,f)</v>
      </c>
      <c r="Q17" s="9" t="str" cm="1">
        <f t="array" ref="Q17">Fertiliser_SourceData.Fertiliser_FractionUreaCommonFertilisers_Title()</f>
        <v>Fraction of urea in common inorganic fertilisers (kg urea/kg) (FUf)</v>
      </c>
      <c r="V17" s="9" t="str" cm="1">
        <f t="array" ref="V17">Fertiliser_SourceData.Fertiliser_UreaAmmoniaSourceRegions_Title()</f>
        <v>Source regions for urea and ammonia</v>
      </c>
    </row>
    <row r="18" spans="1:22" ht="20.100000000000001" customHeight="1" x14ac:dyDescent="0.25">
      <c r="A18" s="16" t="str">
        <f>HYPERLINK("#'Input - Manure sent off-site'!A1", "Manure sent off-site")</f>
        <v>Manure sent off-site</v>
      </c>
      <c r="D18" s="12" t="str">
        <v>Ammonia has an FN value of 0.8235 based on (14/17)x100, where 14 is the mass of nitrogen in ammonia and 17 is the molar mass of ammonia.</v>
      </c>
      <c r="K18" s="11" t="str" cm="1">
        <f t="array" ref="K18">Fertiliser_SourceData.Fertiliser_FractionNCommonFertilisers_Source()</f>
        <v>VEERG 2026: Table A.2.2.3</v>
      </c>
      <c r="Q18" s="11" t="str" cm="1">
        <f t="array" ref="Q18">Fertiliser_SourceData.Fertiliser_FractionUreaCommonFertilisers_Source()</f>
        <v>VEERG 2026: Table A.2.2.4</v>
      </c>
      <c r="V18" s="11"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16" t="str">
        <f>HYPERLINK("#'Input - Electricity'!A1", "Electricity")</f>
        <v>Electricity</v>
      </c>
      <c r="D19" s="3" t="s">
        <v>134</v>
      </c>
      <c r="E19" s="3" t="s">
        <v>135</v>
      </c>
      <c r="F19" s="3" t="s">
        <v>136</v>
      </c>
      <c r="G19" s="3" t="s">
        <v>137</v>
      </c>
      <c r="H19" s="3" t="s">
        <v>138</v>
      </c>
      <c r="I19" s="3" t="s">
        <v>139</v>
      </c>
      <c r="K19" s="10" t="s">
        <v>134</v>
      </c>
      <c r="L19" s="10" t="s">
        <v>135</v>
      </c>
      <c r="Q19" s="10" t="s">
        <v>134</v>
      </c>
      <c r="R19" s="10" t="s">
        <v>135</v>
      </c>
      <c r="V19" s="10" t="s">
        <v>139</v>
      </c>
    </row>
    <row r="20" spans="1:22" ht="20.100000000000001" customHeight="1" x14ac:dyDescent="0.25">
      <c r="A20"/>
      <c r="D20" s="62" t="str" cm="1">
        <f t="array" ref="D20">Common_InputFunctions.Utility_DisplayArrayInTable(Fertiliser_SourceData.Fertiliser_ChemicalCompoundElements_Data(),Table_Fertiliser_ChemicalCompounds[[#Headers],[Fertiliser type f]], 0)</f>
        <v>Monoammonium phosphate (MAP)</v>
      </c>
      <c r="E20" s="62" cm="1">
        <f t="array" ref="E20">Common_InputFunctions.Utility_DisplayArrayInTable(Fertiliser_SourceData.Fertiliser_ChemicalCompoundElements_Data(),Table_Fertiliser_ChemicalCompounds[[#Headers],[Fertiliser type f]], 0)</f>
        <v>0.1</v>
      </c>
      <c r="F20" s="62" cm="1">
        <f t="array" ref="F20">Common_InputFunctions.Utility_DisplayArrayInTable(Fertiliser_SourceData.Fertiliser_ChemicalCompoundElements_Data(),Table_Fertiliser_ChemicalCompounds[[#Headers],[Fertiliser type f]], 0)</f>
        <v>0</v>
      </c>
      <c r="G20" s="62" t="str" cm="1">
        <f t="array" ref="G20">Common_InputFunctions.Utility_DisplayArrayInTable(Fertiliser_SourceData.Fertiliser_ChemicalCompoundElements_Data(),Table_Fertiliser_ChemicalCompounds[[#Headers],[Fertiliser type f]], 0)</f>
        <v>Ammonium-based fertilisers</v>
      </c>
      <c r="H20" s="62" t="str" cm="1">
        <f t="array" ref="H20">Common_InputFunctions.Utility_DisplayArrayInTable(Fertiliser_SourceData.Fertiliser_ChemicalCompoundElements_Data(),Table_Fertiliser_ChemicalCompounds[[#Headers],[Fertiliser type f]], 0)</f>
        <v>Monoammonium phosphate (MAP)</v>
      </c>
      <c r="I20" s="62" t="str" cm="1">
        <f t="array" ref="I20">Common_InputFunctions.Utility_DisplayArrayInTable(Fertiliser_SourceData.Fertiliser_ChemicalCompoundElements_Data(),Table_Fertiliser_ChemicalCompounds[[#Headers],[Fertiliser type f]], 0)</f>
        <v>VEERG</v>
      </c>
      <c r="K20" s="10" t="str" cm="1">
        <f t="array" ref="K20">Common_InputFunctions.Utility_DisplayArrayInTable(Fertiliser_SourceData.Fertiliser_FractionNCommonFertilisers_Data(), Table2[[#Headers],[Fertiliser type f]], 0)</f>
        <v>Monoammonium phosphate (MAP)</v>
      </c>
      <c r="L20" s="10" cm="1">
        <f t="array" ref="L20">Common_InputFunctions.Utility_DisplayArrayInTable(Fertiliser_SourceData.Fertiliser_FractionNCommonFertilisers_Data(), Table2[[#Headers],[Fertiliser type f]], 0)</f>
        <v>0.1</v>
      </c>
      <c r="Q20" s="10" t="str" cm="1">
        <f t="array" ref="Q20">Common_InputFunctions.Utility_DisplayArrayInTable(Fertiliser_SourceData.Fertiliser_FractionUreaCommonFertilisers_Data(), Table28[[#Headers],[Fertiliser type f]], 0)</f>
        <v>Monoammonium phosphate (MAP)</v>
      </c>
      <c r="R20" s="10" cm="1">
        <f t="array" ref="R20">Common_InputFunctions.Utility_DisplayArrayInTable(Fertiliser_SourceData.Fertiliser_FractionUreaCommonFertilisers_Data(), Table28[[#Headers],[Fertiliser type f]], 0)</f>
        <v>0</v>
      </c>
      <c r="V20" s="10"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c r="D21" s="62" t="str" cm="1">
        <f t="array" ref="D21">Common_InputFunctions.Utility_DisplayArrayInTable(Fertiliser_SourceData.Fertiliser_ChemicalCompoundElements_Data(),Table_Fertiliser_ChemicalCompounds[[#Headers],[Fertiliser type f]], 0)</f>
        <v>Diammonium phosphate (DAP)</v>
      </c>
      <c r="E21" s="62" cm="1">
        <f t="array" ref="E21">Common_InputFunctions.Utility_DisplayArrayInTable(Fertiliser_SourceData.Fertiliser_ChemicalCompoundElements_Data(),Table_Fertiliser_ChemicalCompounds[[#Headers],[Fertiliser type f]], 0)</f>
        <v>0.18</v>
      </c>
      <c r="F21" s="62" cm="1">
        <f t="array" ref="F21">Common_InputFunctions.Utility_DisplayArrayInTable(Fertiliser_SourceData.Fertiliser_ChemicalCompoundElements_Data(),Table_Fertiliser_ChemicalCompounds[[#Headers],[Fertiliser type f]], 0)</f>
        <v>0</v>
      </c>
      <c r="G21" s="62" t="str" cm="1">
        <f t="array" ref="G21">Common_InputFunctions.Utility_DisplayArrayInTable(Fertiliser_SourceData.Fertiliser_ChemicalCompoundElements_Data(),Table_Fertiliser_ChemicalCompounds[[#Headers],[Fertiliser type f]], 0)</f>
        <v>Ammonium-based fertilisers</v>
      </c>
      <c r="H21" s="62" t="str" cm="1">
        <f t="array" ref="H21">Common_InputFunctions.Utility_DisplayArrayInTable(Fertiliser_SourceData.Fertiliser_ChemicalCompoundElements_Data(),Table_Fertiliser_ChemicalCompounds[[#Headers],[Fertiliser type f]], 0)</f>
        <v>Diammonium phosphate (DAP)</v>
      </c>
      <c r="I21" s="62" t="str" cm="1">
        <f t="array" ref="I21">Common_InputFunctions.Utility_DisplayArrayInTable(Fertiliser_SourceData.Fertiliser_ChemicalCompoundElements_Data(),Table_Fertiliser_ChemicalCompounds[[#Headers],[Fertiliser type f]], 0)</f>
        <v>VEERG</v>
      </c>
      <c r="K21" s="10" t="str" cm="1">
        <f t="array" ref="K21">Common_InputFunctions.Utility_DisplayArrayInTable(Fertiliser_SourceData.Fertiliser_FractionNCommonFertilisers_Data(), Table2[[#Headers],[Fertiliser type f]], 0)</f>
        <v>Diammonium phosphate (DAP)</v>
      </c>
      <c r="L21" s="10" cm="1">
        <f t="array" ref="L21">Common_InputFunctions.Utility_DisplayArrayInTable(Fertiliser_SourceData.Fertiliser_FractionNCommonFertilisers_Data(), Table2[[#Headers],[Fertiliser type f]], 0)</f>
        <v>0.18</v>
      </c>
      <c r="Q21" s="10" t="str" cm="1">
        <f t="array" ref="Q21">Common_InputFunctions.Utility_DisplayArrayInTable(Fertiliser_SourceData.Fertiliser_FractionUreaCommonFertilisers_Data(), Table28[[#Headers],[Fertiliser type f]], 0)</f>
        <v>Diammonium phosphate (DAP)</v>
      </c>
      <c r="R21" s="10" cm="1">
        <f t="array" ref="R21">Common_InputFunctions.Utility_DisplayArrayInTable(Fertiliser_SourceData.Fertiliser_FractionUreaCommonFertilisers_Data(), Table28[[#Headers],[Fertiliser type f]], 0)</f>
        <v>0</v>
      </c>
      <c r="V21" s="10"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A22" s="21" t="s">
        <v>77</v>
      </c>
      <c r="D22" s="62" t="str" cm="1">
        <f t="array" ref="D22">Common_InputFunctions.Utility_DisplayArrayInTable(Fertiliser_SourceData.Fertiliser_ChemicalCompoundElements_Data(),Table_Fertiliser_ChemicalCompounds[[#Headers],[Fertiliser type f]], 0)</f>
        <v>Urea</v>
      </c>
      <c r="E22" s="62" cm="1">
        <f t="array" ref="E22">Common_InputFunctions.Utility_DisplayArrayInTable(Fertiliser_SourceData.Fertiliser_ChemicalCompoundElements_Data(),Table_Fertiliser_ChemicalCompounds[[#Headers],[Fertiliser type f]], 0)</f>
        <v>0.46</v>
      </c>
      <c r="F22" s="62" cm="1">
        <f t="array" ref="F22">Common_InputFunctions.Utility_DisplayArrayInTable(Fertiliser_SourceData.Fertiliser_ChemicalCompoundElements_Data(),Table_Fertiliser_ChemicalCompounds[[#Headers],[Fertiliser type f]], 0)</f>
        <v>1</v>
      </c>
      <c r="G22" s="62" t="str" cm="1">
        <f t="array" ref="G22">Common_InputFunctions.Utility_DisplayArrayInTable(Fertiliser_SourceData.Fertiliser_ChemicalCompoundElements_Data(),Table_Fertiliser_ChemicalCompounds[[#Headers],[Fertiliser type f]], 0)</f>
        <v>Urea-based fertilisers</v>
      </c>
      <c r="H22" s="62" t="str" cm="1">
        <f t="array" ref="H22">Common_InputFunctions.Utility_DisplayArrayInTable(Fertiliser_SourceData.Fertiliser_ChemicalCompoundElements_Data(),Table_Fertiliser_ChemicalCompounds[[#Headers],[Fertiliser type f]], 0)</f>
        <v>Urea</v>
      </c>
      <c r="I22" s="62" t="str" cm="1">
        <f t="array" ref="I22">Common_InputFunctions.Utility_DisplayArrayInTable(Fertiliser_SourceData.Fertiliser_ChemicalCompoundElements_Data(),Table_Fertiliser_ChemicalCompounds[[#Headers],[Fertiliser type f]], 0)</f>
        <v>VEERG</v>
      </c>
      <c r="K22" s="10" t="str" cm="1">
        <f t="array" ref="K22">Common_InputFunctions.Utility_DisplayArrayInTable(Fertiliser_SourceData.Fertiliser_FractionNCommonFertilisers_Data(), Table2[[#Headers],[Fertiliser type f]], 0)</f>
        <v>Urea</v>
      </c>
      <c r="L22" s="10" cm="1">
        <f t="array" ref="L22">Common_InputFunctions.Utility_DisplayArrayInTable(Fertiliser_SourceData.Fertiliser_FractionNCommonFertilisers_Data(), Table2[[#Headers],[Fertiliser type f]], 0)</f>
        <v>0.46</v>
      </c>
      <c r="Q22" s="10" t="str" cm="1">
        <f t="array" ref="Q22">Common_InputFunctions.Utility_DisplayArrayInTable(Fertiliser_SourceData.Fertiliser_FractionUreaCommonFertilisers_Data(), Table28[[#Headers],[Fertiliser type f]], 0)</f>
        <v>Urea</v>
      </c>
      <c r="R22" s="10" cm="1">
        <f t="array" ref="R22">Common_InputFunctions.Utility_DisplayArrayInTable(Fertiliser_SourceData.Fertiliser_FractionUreaCommonFertilisers_Data(), Table28[[#Headers],[Fertiliser type f]], 0)</f>
        <v>1</v>
      </c>
      <c r="V22" s="10"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16" t="str">
        <f>HYPERLINK("#'15 Scope 3'!A1", "15 Scope 3")</f>
        <v>15 Scope 3</v>
      </c>
      <c r="D23" s="62" t="str" cm="1">
        <f t="array" ref="D23">Common_InputFunctions.Utility_DisplayArrayInTable(Fertiliser_SourceData.Fertiliser_ChemicalCompoundElements_Data(),Table_Fertiliser_ChemicalCompounds[[#Headers],[Fertiliser type f]], 0)</f>
        <v>Sulphate of ammonia (SOA)</v>
      </c>
      <c r="E23" s="62" cm="1">
        <f t="array" ref="E23">Common_InputFunctions.Utility_DisplayArrayInTable(Fertiliser_SourceData.Fertiliser_ChemicalCompoundElements_Data(),Table_Fertiliser_ChemicalCompounds[[#Headers],[Fertiliser type f]], 0)</f>
        <v>0.21</v>
      </c>
      <c r="F23" s="62" cm="1">
        <f t="array" ref="F23">Common_InputFunctions.Utility_DisplayArrayInTable(Fertiliser_SourceData.Fertiliser_ChemicalCompoundElements_Data(),Table_Fertiliser_ChemicalCompounds[[#Headers],[Fertiliser type f]], 0)</f>
        <v>0</v>
      </c>
      <c r="G23" s="62" t="str" cm="1">
        <f t="array" ref="G23">Common_InputFunctions.Utility_DisplayArrayInTable(Fertiliser_SourceData.Fertiliser_ChemicalCompoundElements_Data(),Table_Fertiliser_ChemicalCompounds[[#Headers],[Fertiliser type f]], 0)</f>
        <v>Ammonium-based fertilisers</v>
      </c>
      <c r="H23" s="62" t="str" cm="1">
        <f t="array" ref="H23">Common_InputFunctions.Utility_DisplayArrayInTable(Fertiliser_SourceData.Fertiliser_ChemicalCompoundElements_Data(),Table_Fertiliser_ChemicalCompounds[[#Headers],[Fertiliser type f]], 0)</f>
        <v>Sulphate of ammonia (SOA)</v>
      </c>
      <c r="I23" s="62" t="str" cm="1">
        <f t="array" ref="I23">Common_InputFunctions.Utility_DisplayArrayInTable(Fertiliser_SourceData.Fertiliser_ChemicalCompoundElements_Data(),Table_Fertiliser_ChemicalCompounds[[#Headers],[Fertiliser type f]], 0)</f>
        <v>VEERG</v>
      </c>
      <c r="K23" s="10" t="str" cm="1">
        <f t="array" ref="K23">Common_InputFunctions.Utility_DisplayArrayInTable(Fertiliser_SourceData.Fertiliser_FractionNCommonFertilisers_Data(), Table2[[#Headers],[Fertiliser type f]], 0)</f>
        <v>Sulphate of ammonia (SOA)</v>
      </c>
      <c r="L23" s="10" cm="1">
        <f t="array" ref="L23">Common_InputFunctions.Utility_DisplayArrayInTable(Fertiliser_SourceData.Fertiliser_FractionNCommonFertilisers_Data(), Table2[[#Headers],[Fertiliser type f]], 0)</f>
        <v>0.21</v>
      </c>
      <c r="Q23" s="10" t="str" cm="1">
        <f t="array" ref="Q23">Common_InputFunctions.Utility_DisplayArrayInTable(Fertiliser_SourceData.Fertiliser_FractionUreaCommonFertilisers_Data(), Table28[[#Headers],[Fertiliser type f]], 0)</f>
        <v>Sulphate of ammonia (SOA)</v>
      </c>
      <c r="R23" s="10" cm="1">
        <f t="array" ref="R23">Common_InputFunctions.Utility_DisplayArrayInTable(Fertiliser_SourceData.Fertiliser_FractionUreaCommonFertilisers_Data(), Table28[[#Headers],[Fertiliser type f]], 0)</f>
        <v>0</v>
      </c>
      <c r="V23" s="10"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A24" s="16" t="str">
        <f>HYPERLINK("#'10.1.1-2 Solid waste treatment'!A1", "10.1.1-2 Solid waste treatment")</f>
        <v>10.1.1-2 Solid waste treatment</v>
      </c>
      <c r="D24" s="62" t="str" cm="1">
        <f t="array" ref="D24">Common_InputFunctions.Utility_DisplayArrayInTable(Fertiliser_SourceData.Fertiliser_ChemicalCompoundElements_Data(),Table_Fertiliser_ChemicalCompounds[[#Headers],[Fertiliser type f]], 0)</f>
        <v>Urea-ammonium nitrate (UAN)</v>
      </c>
      <c r="E24" s="62" cm="1">
        <f t="array" ref="E24">Common_InputFunctions.Utility_DisplayArrayInTable(Fertiliser_SourceData.Fertiliser_ChemicalCompoundElements_Data(),Table_Fertiliser_ChemicalCompounds[[#Headers],[Fertiliser type f]], 0)</f>
        <v>0.32</v>
      </c>
      <c r="F24" s="62" cm="1">
        <f t="array" ref="F24">Common_InputFunctions.Utility_DisplayArrayInTable(Fertiliser_SourceData.Fertiliser_ChemicalCompoundElements_Data(),Table_Fertiliser_ChemicalCompounds[[#Headers],[Fertiliser type f]], 0)</f>
        <v>0.35</v>
      </c>
      <c r="G24" s="62" t="str" cm="1">
        <f t="array" ref="G24">Common_InputFunctions.Utility_DisplayArrayInTable(Fertiliser_SourceData.Fertiliser_ChemicalCompoundElements_Data(),Table_Fertiliser_ChemicalCompounds[[#Headers],[Fertiliser type f]], 0)</f>
        <v>Urea-based fertilisers</v>
      </c>
      <c r="H24" s="62" t="str" cm="1">
        <f t="array" ref="H24">Common_InputFunctions.Utility_DisplayArrayInTable(Fertiliser_SourceData.Fertiliser_ChemicalCompoundElements_Data(),Table_Fertiliser_ChemicalCompounds[[#Headers],[Fertiliser type f]], 0)</f>
        <v>Urea-ammonium nitrate (UAN)</v>
      </c>
      <c r="I24" s="62" t="str" cm="1">
        <f t="array" ref="I24">Common_InputFunctions.Utility_DisplayArrayInTable(Fertiliser_SourceData.Fertiliser_ChemicalCompoundElements_Data(),Table_Fertiliser_ChemicalCompounds[[#Headers],[Fertiliser type f]], 0)</f>
        <v>VEERG</v>
      </c>
      <c r="K24" s="10" t="str" cm="1">
        <f t="array" ref="K24">Common_InputFunctions.Utility_DisplayArrayInTable(Fertiliser_SourceData.Fertiliser_FractionNCommonFertilisers_Data(), Table2[[#Headers],[Fertiliser type f]], 0)</f>
        <v>Urea-ammonium nitrate (UAN)</v>
      </c>
      <c r="L24" s="10" cm="1">
        <f t="array" ref="L24">Common_InputFunctions.Utility_DisplayArrayInTable(Fertiliser_SourceData.Fertiliser_FractionNCommonFertilisers_Data(), Table2[[#Headers],[Fertiliser type f]], 0)</f>
        <v>0.32</v>
      </c>
      <c r="Q24" s="10" t="str" cm="1">
        <f t="array" ref="Q24">Common_InputFunctions.Utility_DisplayArrayInTable(Fertiliser_SourceData.Fertiliser_FractionUreaCommonFertilisers_Data(), Table28[[#Headers],[Fertiliser type f]], 0)</f>
        <v>Urea-ammonium nitrate (UAN)</v>
      </c>
      <c r="R24" s="10" cm="1">
        <f t="array" ref="R24">Common_InputFunctions.Utility_DisplayArrayInTable(Fertiliser_SourceData.Fertiliser_FractionUreaCommonFertilisers_Data(), Table28[[#Headers],[Fertiliser type f]], 0)</f>
        <v>0.35</v>
      </c>
    </row>
    <row r="25" spans="1:22" ht="20.100000000000001" customHeight="1" x14ac:dyDescent="0.25">
      <c r="A25" s="16" t="str">
        <f>HYPERLINK("#'Calcs - Manure sent off-site'!A1", "Calcs - Manure sent off-site")</f>
        <v>Calcs - Manure sent off-site</v>
      </c>
      <c r="D25" s="62" t="str" cm="1">
        <f t="array" ref="D25">Common_InputFunctions.Utility_DisplayArrayInTable(Fertiliser_SourceData.Fertiliser_ChemicalCompoundElements_Data(),Table_Fertiliser_ChemicalCompounds[[#Headers],[Fertiliser type f]], 0)</f>
        <v>Ammonium nitrate (AN)</v>
      </c>
      <c r="E25" s="62" cm="1">
        <f t="array" ref="E25">Common_InputFunctions.Utility_DisplayArrayInTable(Fertiliser_SourceData.Fertiliser_ChemicalCompoundElements_Data(),Table_Fertiliser_ChemicalCompounds[[#Headers],[Fertiliser type f]], 0)</f>
        <v>0.33700000000000002</v>
      </c>
      <c r="F25" s="62" cm="1">
        <f t="array" ref="F25">Common_InputFunctions.Utility_DisplayArrayInTable(Fertiliser_SourceData.Fertiliser_ChemicalCompoundElements_Data(),Table_Fertiliser_ChemicalCompounds[[#Headers],[Fertiliser type f]], 0)</f>
        <v>0</v>
      </c>
      <c r="G25" s="62" t="str" cm="1">
        <f t="array" ref="G25">Common_InputFunctions.Utility_DisplayArrayInTable(Fertiliser_SourceData.Fertiliser_ChemicalCompoundElements_Data(),Table_Fertiliser_ChemicalCompounds[[#Headers],[Fertiliser type f]], 0)</f>
        <v>Ammonium-nitrate based fertilisers</v>
      </c>
      <c r="H25" s="62" t="str" cm="1">
        <f t="array" ref="H25">Common_InputFunctions.Utility_DisplayArrayInTable(Fertiliser_SourceData.Fertiliser_ChemicalCompoundElements_Data(),Table_Fertiliser_ChemicalCompounds[[#Headers],[Fertiliser type f]], 0)</f>
        <v>Ammonium nitrate (AN)</v>
      </c>
      <c r="I25" s="62" t="str" cm="1">
        <f t="array" ref="I25">Common_InputFunctions.Utility_DisplayArrayInTable(Fertiliser_SourceData.Fertiliser_ChemicalCompoundElements_Data(),Table_Fertiliser_ChemicalCompounds[[#Headers],[Fertiliser type f]], 0)</f>
        <v>VEERG</v>
      </c>
      <c r="K25" s="10" t="str" cm="1">
        <f t="array" ref="K25">Common_InputFunctions.Utility_DisplayArrayInTable(Fertiliser_SourceData.Fertiliser_FractionNCommonFertilisers_Data(), Table2[[#Headers],[Fertiliser type f]], 0)</f>
        <v>Ammonium nitrate (AN)</v>
      </c>
      <c r="L25" s="10" cm="1">
        <f t="array" ref="L25">Common_InputFunctions.Utility_DisplayArrayInTable(Fertiliser_SourceData.Fertiliser_FractionNCommonFertilisers_Data(), Table2[[#Headers],[Fertiliser type f]], 0)</f>
        <v>0.33700000000000002</v>
      </c>
      <c r="Q25" s="10" t="str" cm="1">
        <f t="array" ref="Q25">Common_InputFunctions.Utility_DisplayArrayInTable(Fertiliser_SourceData.Fertiliser_FractionUreaCommonFertilisers_Data(), Table28[[#Headers],[Fertiliser type f]], 0)</f>
        <v>Ammonium nitrate (AN)</v>
      </c>
      <c r="R25" s="10" cm="1">
        <f t="array" ref="R25">Common_InputFunctions.Utility_DisplayArrayInTable(Fertiliser_SourceData.Fertiliser_FractionUreaCommonFertilisers_Data(), Table28[[#Headers],[Fertiliser type f]], 0)</f>
        <v>0</v>
      </c>
    </row>
    <row r="26" spans="1:22" ht="20.100000000000001" customHeight="1" x14ac:dyDescent="0.25">
      <c r="A26" s="16" t="str">
        <f>HYPERLINK("#'8.1.1.1-2 Transport fuel'!A1", "8.1.1.1-2 Transport fuel")</f>
        <v>8.1.1.1-2 Transport fuel</v>
      </c>
      <c r="D26" s="62" t="str" cm="1">
        <f t="array" ref="D26">Common_InputFunctions.Utility_DisplayArrayInTable(Fertiliser_SourceData.Fertiliser_ChemicalCompoundElements_Data(),Table_Fertiliser_ChemicalCompounds[[#Headers],[Fertiliser type f]], 0)</f>
        <v>Calcium ammonium nitrate (CAN)</v>
      </c>
      <c r="E26" s="62" cm="1">
        <f t="array" ref="E26">Common_InputFunctions.Utility_DisplayArrayInTable(Fertiliser_SourceData.Fertiliser_ChemicalCompoundElements_Data(),Table_Fertiliser_ChemicalCompounds[[#Headers],[Fertiliser type f]], 0)</f>
        <v>0.27</v>
      </c>
      <c r="F26" s="62" cm="1">
        <f t="array" ref="F26">Common_InputFunctions.Utility_DisplayArrayInTable(Fertiliser_SourceData.Fertiliser_ChemicalCompoundElements_Data(),Table_Fertiliser_ChemicalCompounds[[#Headers],[Fertiliser type f]], 0)</f>
        <v>0</v>
      </c>
      <c r="G26" s="62" t="str" cm="1">
        <f t="array" ref="G26">Common_InputFunctions.Utility_DisplayArrayInTable(Fertiliser_SourceData.Fertiliser_ChemicalCompoundElements_Data(),Table_Fertiliser_ChemicalCompounds[[#Headers],[Fertiliser type f]], 0)</f>
        <v>Ammonium-nitrate based fertilisers</v>
      </c>
      <c r="H26" s="62" t="str" cm="1">
        <f t="array" ref="H26">Common_InputFunctions.Utility_DisplayArrayInTable(Fertiliser_SourceData.Fertiliser_ChemicalCompoundElements_Data(),Table_Fertiliser_ChemicalCompounds[[#Headers],[Fertiliser type f]], 0)</f>
        <v>Calcium ammonium nitrate (CAN)</v>
      </c>
      <c r="I26" s="62" t="str" cm="1">
        <f t="array" ref="I26">Common_InputFunctions.Utility_DisplayArrayInTable(Fertiliser_SourceData.Fertiliser_ChemicalCompoundElements_Data(),Table_Fertiliser_ChemicalCompounds[[#Headers],[Fertiliser type f]], 0)</f>
        <v>VEERG</v>
      </c>
      <c r="K26" s="10" t="str" cm="1">
        <f t="array" ref="K26">Common_InputFunctions.Utility_DisplayArrayInTable(Fertiliser_SourceData.Fertiliser_FractionNCommonFertilisers_Data(), Table2[[#Headers],[Fertiliser type f]], 0)</f>
        <v>Calcium ammonium nitrate (CAN)</v>
      </c>
      <c r="L26" s="10" cm="1">
        <f t="array" ref="L26">Common_InputFunctions.Utility_DisplayArrayInTable(Fertiliser_SourceData.Fertiliser_FractionNCommonFertilisers_Data(), Table2[[#Headers],[Fertiliser type f]], 0)</f>
        <v>0.27</v>
      </c>
      <c r="Q26" s="10" t="str" cm="1">
        <f t="array" ref="Q26">Common_InputFunctions.Utility_DisplayArrayInTable(Fertiliser_SourceData.Fertiliser_FractionUreaCommonFertilisers_Data(), Table28[[#Headers],[Fertiliser type f]], 0)</f>
        <v>Calcium ammonium nitrate (CAN)</v>
      </c>
      <c r="R26" s="10" cm="1">
        <f t="array" ref="R26">Common_InputFunctions.Utility_DisplayArrayInTable(Fertiliser_SourceData.Fertiliser_FractionUreaCommonFertilisers_Data(), Table28[[#Headers],[Fertiliser type f]], 0)</f>
        <v>0</v>
      </c>
    </row>
    <row r="27" spans="1:22" ht="20.100000000000001" customHeight="1" x14ac:dyDescent="0.25">
      <c r="A27" s="16" t="str">
        <f>HYPERLINK("#'8.2.1.1-2 Stationary fuel'!A1", "8.2.1.1-2 Stationary fuel")</f>
        <v>8.2.1.1-2 Stationary fuel</v>
      </c>
      <c r="D27" s="62" t="str" cm="1">
        <f t="array" ref="D27">Common_InputFunctions.Utility_DisplayArrayInTable(Fertiliser_SourceData.Fertiliser_ChemicalCompoundElements_Data(),Table_Fertiliser_ChemicalCompounds[[#Headers],[Fertiliser type f]], 0)</f>
        <v>Nitrogen - Ammoniacal</v>
      </c>
      <c r="E27" s="62" cm="1">
        <f t="array" ref="E27">Common_InputFunctions.Utility_DisplayArrayInTable(Fertiliser_SourceData.Fertiliser_ChemicalCompoundElements_Data(),Table_Fertiliser_ChemicalCompounds[[#Headers],[Fertiliser type f]], 0)</f>
        <v>1</v>
      </c>
      <c r="F27" s="62" cm="1">
        <f t="array" ref="F27">Common_InputFunctions.Utility_DisplayArrayInTable(Fertiliser_SourceData.Fertiliser_ChemicalCompoundElements_Data(),Table_Fertiliser_ChemicalCompounds[[#Headers],[Fertiliser type f]], 0)</f>
        <v>0</v>
      </c>
      <c r="G27" s="62" t="str" cm="1">
        <f t="array" ref="G27">Common_InputFunctions.Utility_DisplayArrayInTable(Fertiliser_SourceData.Fertiliser_ChemicalCompoundElements_Data(),Table_Fertiliser_ChemicalCompounds[[#Headers],[Fertiliser type f]], 0)</f>
        <v>Ammonium-based fertilisers</v>
      </c>
      <c r="H27" s="62" t="str" cm="1">
        <f t="array" ref="H27">Common_InputFunctions.Utility_DisplayArrayInTable(Fertiliser_SourceData.Fertiliser_ChemicalCompoundElements_Data(),Table_Fertiliser_ChemicalCompounds[[#Headers],[Fertiliser type f]], 0)</f>
        <v>Nitrogen - Ammoniacal</v>
      </c>
      <c r="I27" s="62" t="str" cm="1">
        <f t="array" ref="I27">Common_InputFunctions.Utility_DisplayArrayInTable(Fertiliser_SourceData.Fertiliser_ChemicalCompoundElements_Data(),Table_Fertiliser_ChemicalCompounds[[#Headers],[Fertiliser type f]], 0)</f>
        <v>LifeCycles</v>
      </c>
      <c r="K27" s="10" t="str" cm="1">
        <f t="array" ref="K27">Common_InputFunctions.Utility_DisplayArrayInTable(Fertiliser_SourceData.Fertiliser_FractionNCommonFertilisers_Data(), Table2[[#Headers],[Fertiliser type f]], 0)</f>
        <v>Ammonium Sulfate</v>
      </c>
      <c r="L27" s="10" cm="1">
        <f t="array" ref="L27">Common_InputFunctions.Utility_DisplayArrayInTable(Fertiliser_SourceData.Fertiliser_FractionNCommonFertilisers_Data(), Table2[[#Headers],[Fertiliser type f]], 0)</f>
        <v>0.21</v>
      </c>
      <c r="Q27" s="10" t="str" cm="1">
        <f t="array" ref="Q27">Common_InputFunctions.Utility_DisplayArrayInTable(Fertiliser_SourceData.Fertiliser_FractionUreaCommonFertilisers_Data(), Table28[[#Headers],[Fertiliser type f]], 0)</f>
        <v>Ammonium Sulfate</v>
      </c>
      <c r="R27" s="10" cm="1">
        <f t="array" ref="R27">Common_InputFunctions.Utility_DisplayArrayInTable(Fertiliser_SourceData.Fertiliser_FractionUreaCommonFertilisers_Data(), Table28[[#Headers],[Fertiliser type f]], 0)</f>
        <v>0</v>
      </c>
    </row>
    <row r="28" spans="1:22" ht="20.100000000000001" customHeight="1" x14ac:dyDescent="0.25">
      <c r="A28"/>
      <c r="D28" s="62" t="str" cm="1">
        <f t="array" ref="D28">Common_InputFunctions.Utility_DisplayArrayInTable(Fertiliser_SourceData.Fertiliser_ChemicalCompoundElements_Data(),Table_Fertiliser_ChemicalCompounds[[#Headers],[Fertiliser type f]], 0)</f>
        <v>Nitrogen - Nitrate</v>
      </c>
      <c r="E28" s="62" cm="1">
        <f t="array" ref="E28">Common_InputFunctions.Utility_DisplayArrayInTable(Fertiliser_SourceData.Fertiliser_ChemicalCompoundElements_Data(),Table_Fertiliser_ChemicalCompounds[[#Headers],[Fertiliser type f]], 0)</f>
        <v>1</v>
      </c>
      <c r="F28" s="62" cm="1">
        <f t="array" ref="F28">Common_InputFunctions.Utility_DisplayArrayInTable(Fertiliser_SourceData.Fertiliser_ChemicalCompoundElements_Data(),Table_Fertiliser_ChemicalCompounds[[#Headers],[Fertiliser type f]], 0)</f>
        <v>0</v>
      </c>
      <c r="G28" s="62" t="str" cm="1">
        <f t="array" ref="G28">Common_InputFunctions.Utility_DisplayArrayInTable(Fertiliser_SourceData.Fertiliser_ChemicalCompoundElements_Data(),Table_Fertiliser_ChemicalCompounds[[#Headers],[Fertiliser type f]], 0)</f>
        <v>Nitrate-based fertilisers</v>
      </c>
      <c r="H28" s="62" t="str" cm="1">
        <f t="array" ref="H28">Common_InputFunctions.Utility_DisplayArrayInTable(Fertiliser_SourceData.Fertiliser_ChemicalCompoundElements_Data(),Table_Fertiliser_ChemicalCompounds[[#Headers],[Fertiliser type f]], 0)</f>
        <v>Nitrogen from Nitrate</v>
      </c>
      <c r="I28" s="62" t="str" cm="1">
        <f t="array" ref="I28">Common_InputFunctions.Utility_DisplayArrayInTable(Fertiliser_SourceData.Fertiliser_ChemicalCompoundElements_Data(),Table_Fertiliser_ChemicalCompounds[[#Headers],[Fertiliser type f]], 0)</f>
        <v>LifeCycles</v>
      </c>
      <c r="K28" s="10" t="str" cm="1">
        <f t="array" ref="K28">Common_InputFunctions.Utility_DisplayArrayInTable(Fertiliser_SourceData.Fertiliser_FractionNCommonFertilisers_Data(), Table2[[#Headers],[Fertiliser type f]], 0)</f>
        <v>Calcium Nitrate</v>
      </c>
      <c r="L28" s="10" cm="1">
        <f t="array" ref="L28">Common_InputFunctions.Utility_DisplayArrayInTable(Fertiliser_SourceData.Fertiliser_FractionNCommonFertilisers_Data(), Table2[[#Headers],[Fertiliser type f]], 0)</f>
        <v>0.155</v>
      </c>
      <c r="Q28" s="10" t="str" cm="1">
        <f t="array" ref="Q28">Common_InputFunctions.Utility_DisplayArrayInTable(Fertiliser_SourceData.Fertiliser_FractionUreaCommonFertilisers_Data(), Table28[[#Headers],[Fertiliser type f]], 0)</f>
        <v>Calcium Nitrate</v>
      </c>
      <c r="R28" s="10" cm="1">
        <f t="array" ref="R28">Common_InputFunctions.Utility_DisplayArrayInTable(Fertiliser_SourceData.Fertiliser_FractionUreaCommonFertilisers_Data(), Table28[[#Headers],[Fertiliser type f]], 0)</f>
        <v>0</v>
      </c>
    </row>
    <row r="29" spans="1:22" ht="20.100000000000001" customHeight="1" x14ac:dyDescent="0.25">
      <c r="A29"/>
      <c r="D29" s="62" t="str" cm="1">
        <f t="array" ref="D29">Common_InputFunctions.Utility_DisplayArrayInTable(Fertiliser_SourceData.Fertiliser_ChemicalCompoundElements_Data(),Table_Fertiliser_ChemicalCompounds[[#Headers],[Fertiliser type f]], 0)</f>
        <v>Nitrogen - Generic</v>
      </c>
      <c r="E29" s="62" cm="1">
        <f t="array" ref="E29">Common_InputFunctions.Utility_DisplayArrayInTable(Fertiliser_SourceData.Fertiliser_ChemicalCompoundElements_Data(),Table_Fertiliser_ChemicalCompounds[[#Headers],[Fertiliser type f]], 0)</f>
        <v>1</v>
      </c>
      <c r="F29" s="62" cm="1">
        <f t="array" ref="F29">Common_InputFunctions.Utility_DisplayArrayInTable(Fertiliser_SourceData.Fertiliser_ChemicalCompoundElements_Data(),Table_Fertiliser_ChemicalCompounds[[#Headers],[Fertiliser type f]], 0)</f>
        <v>0</v>
      </c>
      <c r="G29" s="62" t="str" cm="1">
        <f t="array" ref="G29">Common_InputFunctions.Utility_DisplayArrayInTable(Fertiliser_SourceData.Fertiliser_ChemicalCompoundElements_Data(),Table_Fertiliser_ChemicalCompounds[[#Headers],[Fertiliser type f]], 0)</f>
        <v>Urea-based fertilisers</v>
      </c>
      <c r="H29" s="62" t="str" cm="1">
        <f t="array" ref="H29">Common_InputFunctions.Utility_DisplayArrayInTable(Fertiliser_SourceData.Fertiliser_ChemicalCompoundElements_Data(),Table_Fertiliser_ChemicalCompounds[[#Headers],[Fertiliser type f]], 0)</f>
        <v>Nitrogen from fertiliser</v>
      </c>
      <c r="I29" s="62"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A30" s="221" t="s">
        <v>78</v>
      </c>
      <c r="D30" s="62" t="str" cm="1">
        <f t="array" ref="D30">Common_InputFunctions.Utility_DisplayArrayInTable(Fertiliser_SourceData.Fertiliser_ChemicalCompoundElements_Data(),Table_Fertiliser_ChemicalCompounds[[#Headers],[Fertiliser type f]], 0)</f>
        <v>Phosphorus - Generic</v>
      </c>
      <c r="E30" s="62" cm="1">
        <f t="array" ref="E30">Common_InputFunctions.Utility_DisplayArrayInTable(Fertiliser_SourceData.Fertiliser_ChemicalCompoundElements_Data(),Table_Fertiliser_ChemicalCompounds[[#Headers],[Fertiliser type f]], 0)</f>
        <v>0</v>
      </c>
      <c r="F30" s="62" cm="1">
        <f t="array" ref="F30">Common_InputFunctions.Utility_DisplayArrayInTable(Fertiliser_SourceData.Fertiliser_ChemicalCompoundElements_Data(),Table_Fertiliser_ChemicalCompounds[[#Headers],[Fertiliser type f]], 0)</f>
        <v>0</v>
      </c>
      <c r="G30" s="62" t="str" cm="1">
        <f t="array" ref="G30">Common_InputFunctions.Utility_DisplayArrayInTable(Fertiliser_SourceData.Fertiliser_ChemicalCompoundElements_Data(),Table_Fertiliser_ChemicalCompounds[[#Headers],[Fertiliser type f]], 0)</f>
        <v>Other fertilisers</v>
      </c>
      <c r="H30" s="62" t="str" cm="1">
        <f t="array" ref="H30">Common_InputFunctions.Utility_DisplayArrayInTable(Fertiliser_SourceData.Fertiliser_ChemicalCompoundElements_Data(),Table_Fertiliser_ChemicalCompounds[[#Headers],[Fertiliser type f]], 0)</f>
        <v>Phosphorus from fertiliser</v>
      </c>
      <c r="I30" s="62"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A31" s="16" t="str">
        <f>HYPERLINK("#'Constants - Scope 3'!A1", "Constants - Scope 3")</f>
        <v>Constants - Scope 3</v>
      </c>
      <c r="D31" s="62" t="str" cm="1">
        <f t="array" ref="D31">Common_InputFunctions.Utility_DisplayArrayInTable(Fertiliser_SourceData.Fertiliser_ChemicalCompoundElements_Data(),Table_Fertiliser_ChemicalCompounds[[#Headers],[Fertiliser type f]], 0)</f>
        <v>Potassium - Generic</v>
      </c>
      <c r="E31" s="62" cm="1">
        <f t="array" ref="E31">Common_InputFunctions.Utility_DisplayArrayInTable(Fertiliser_SourceData.Fertiliser_ChemicalCompoundElements_Data(),Table_Fertiliser_ChemicalCompounds[[#Headers],[Fertiliser type f]], 0)</f>
        <v>0</v>
      </c>
      <c r="F31" s="62" cm="1">
        <f t="array" ref="F31">Common_InputFunctions.Utility_DisplayArrayInTable(Fertiliser_SourceData.Fertiliser_ChemicalCompoundElements_Data(),Table_Fertiliser_ChemicalCompounds[[#Headers],[Fertiliser type f]], 0)</f>
        <v>0</v>
      </c>
      <c r="G31" s="62" t="str" cm="1">
        <f t="array" ref="G31">Common_InputFunctions.Utility_DisplayArrayInTable(Fertiliser_SourceData.Fertiliser_ChemicalCompoundElements_Data(),Table_Fertiliser_ChemicalCompounds[[#Headers],[Fertiliser type f]], 0)</f>
        <v>Other fertilisers</v>
      </c>
      <c r="H31" s="62" t="str" cm="1">
        <f t="array" ref="H31">Common_InputFunctions.Utility_DisplayArrayInTable(Fertiliser_SourceData.Fertiliser_ChemicalCompoundElements_Data(),Table_Fertiliser_ChemicalCompounds[[#Headers],[Fertiliser type f]], 0)</f>
        <v>Potassium from fertiliser</v>
      </c>
      <c r="I31" s="62"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A32" s="16" t="str">
        <f>HYPERLINK("#'Constants - Solid Waste'!A1", "Constants - Solid Waste")</f>
        <v>Constants - Solid Waste</v>
      </c>
      <c r="D32" s="62" t="str" cm="1">
        <f t="array" ref="D32">Common_InputFunctions.Utility_DisplayArrayInTable(Fertiliser_SourceData.Fertiliser_ChemicalCompoundElements_Data(),Table_Fertiliser_ChemicalCompounds[[#Headers],[Fertiliser type f]], 0)</f>
        <v>Sulfur - Generic</v>
      </c>
      <c r="E32" s="62" cm="1">
        <f t="array" ref="E32">Common_InputFunctions.Utility_DisplayArrayInTable(Fertiliser_SourceData.Fertiliser_ChemicalCompoundElements_Data(),Table_Fertiliser_ChemicalCompounds[[#Headers],[Fertiliser type f]], 0)</f>
        <v>0</v>
      </c>
      <c r="F32" s="62" cm="1">
        <f t="array" ref="F32">Common_InputFunctions.Utility_DisplayArrayInTable(Fertiliser_SourceData.Fertiliser_ChemicalCompoundElements_Data(),Table_Fertiliser_ChemicalCompounds[[#Headers],[Fertiliser type f]], 0)</f>
        <v>0</v>
      </c>
      <c r="G32" s="62" t="str" cm="1">
        <f t="array" ref="G32">Common_InputFunctions.Utility_DisplayArrayInTable(Fertiliser_SourceData.Fertiliser_ChemicalCompoundElements_Data(),Table_Fertiliser_ChemicalCompounds[[#Headers],[Fertiliser type f]], 0)</f>
        <v>Other fertilisers</v>
      </c>
      <c r="H32" s="62" t="str" cm="1">
        <f t="array" ref="H32">Common_InputFunctions.Utility_DisplayArrayInTable(Fertiliser_SourceData.Fertiliser_ChemicalCompoundElements_Data(),Table_Fertiliser_ChemicalCompounds[[#Headers],[Fertiliser type f]], 0)</f>
        <v>Sulfur from fertiliser</v>
      </c>
      <c r="I32" s="62" t="str" cm="1">
        <f t="array" ref="I32">Common_InputFunctions.Utility_DisplayArrayInTable(Fertiliser_SourceData.Fertiliser_ChemicalCompoundElements_Data(),Table_Fertiliser_ChemicalCompounds[[#Headers],[Fertiliser type f]], 0)</f>
        <v>LifeCycles</v>
      </c>
    </row>
    <row r="33" spans="1:10" ht="20.100000000000001" customHeight="1" x14ac:dyDescent="0.25">
      <c r="A33" s="16" t="str">
        <f>HYPERLINK("#'Constants - Fuel'!A1", "Constants - Fuel")</f>
        <v>Constants - Fuel</v>
      </c>
      <c r="D33" s="62" t="str" cm="1">
        <f t="array" ref="D33">Common_InputFunctions.Utility_DisplayArrayInTable(Fertiliser_SourceData.Fertiliser_ChemicalCompoundElements_Data(),Table_Fertiliser_ChemicalCompounds[[#Headers],[Fertiliser type f]], 0)</f>
        <v>Zinc - Generic</v>
      </c>
      <c r="E33" s="62" cm="1">
        <f t="array" ref="E33">Common_InputFunctions.Utility_DisplayArrayInTable(Fertiliser_SourceData.Fertiliser_ChemicalCompoundElements_Data(),Table_Fertiliser_ChemicalCompounds[[#Headers],[Fertiliser type f]], 0)</f>
        <v>0</v>
      </c>
      <c r="F33" s="62" cm="1">
        <f t="array" ref="F33">Common_InputFunctions.Utility_DisplayArrayInTable(Fertiliser_SourceData.Fertiliser_ChemicalCompoundElements_Data(),Table_Fertiliser_ChemicalCompounds[[#Headers],[Fertiliser type f]], 0)</f>
        <v>0</v>
      </c>
      <c r="G33" s="62" t="str" cm="1">
        <f t="array" ref="G33">Common_InputFunctions.Utility_DisplayArrayInTable(Fertiliser_SourceData.Fertiliser_ChemicalCompoundElements_Data(),Table_Fertiliser_ChemicalCompounds[[#Headers],[Fertiliser type f]], 0)</f>
        <v>Other fertilisers</v>
      </c>
      <c r="H33" s="62" t="str" cm="1">
        <f t="array" ref="H33">Common_InputFunctions.Utility_DisplayArrayInTable(Fertiliser_SourceData.Fertiliser_ChemicalCompoundElements_Data(),Table_Fertiliser_ChemicalCompounds[[#Headers],[Fertiliser type f]], 0)</f>
        <v>Zinc from fertiliser</v>
      </c>
      <c r="I33" s="62" t="str" cm="1">
        <f t="array" ref="I33">Common_InputFunctions.Utility_DisplayArrayInTable(Fertiliser_SourceData.Fertiliser_ChemicalCompoundElements_Data(),Table_Fertiliser_ChemicalCompounds[[#Headers],[Fertiliser type f]], 0)</f>
        <v>LifeCycles</v>
      </c>
    </row>
    <row r="34" spans="1:10" ht="20.100000000000001" customHeight="1" x14ac:dyDescent="0.25">
      <c r="A34" s="16" t="str">
        <f>HYPERLINK("#'Constants - Poultry'!A1", "Constants - Poultry")</f>
        <v>Constants - Poultry</v>
      </c>
      <c r="D34" s="62" t="str" cm="1">
        <f t="array" ref="D34">Common_InputFunctions.Utility_DisplayArrayInTable(Fertiliser_SourceData.Fertiliser_ChemicalCompoundElements_Data(),Table_Fertiliser_ChemicalCompounds[[#Headers],[Fertiliser type f]], 0)</f>
        <v>Muriate of potash (MOP)</v>
      </c>
      <c r="E34" s="62" cm="1">
        <f t="array" ref="E34">Common_InputFunctions.Utility_DisplayArrayInTable(Fertiliser_SourceData.Fertiliser_ChemicalCompoundElements_Data(),Table_Fertiliser_ChemicalCompounds[[#Headers],[Fertiliser type f]], 0)</f>
        <v>0</v>
      </c>
      <c r="F34" s="62" cm="1">
        <f t="array" ref="F34">Common_InputFunctions.Utility_DisplayArrayInTable(Fertiliser_SourceData.Fertiliser_ChemicalCompoundElements_Data(),Table_Fertiliser_ChemicalCompounds[[#Headers],[Fertiliser type f]], 0)</f>
        <v>0</v>
      </c>
      <c r="G34" s="62" t="str" cm="1">
        <f t="array" ref="G34">Common_InputFunctions.Utility_DisplayArrayInTable(Fertiliser_SourceData.Fertiliser_ChemicalCompoundElements_Data(),Table_Fertiliser_ChemicalCompounds[[#Headers],[Fertiliser type f]], 0)</f>
        <v>Other fertilisers</v>
      </c>
      <c r="H34" s="62" t="str" cm="1">
        <f t="array" ref="H34">Common_InputFunctions.Utility_DisplayArrayInTable(Fertiliser_SourceData.Fertiliser_ChemicalCompoundElements_Data(),Table_Fertiliser_ChemicalCompounds[[#Headers],[Fertiliser type f]], 0)</f>
        <v>Muriate of potash (MOP)</v>
      </c>
      <c r="I34" s="62" t="str" cm="1">
        <f t="array" ref="I34">Common_InputFunctions.Utility_DisplayArrayInTable(Fertiliser_SourceData.Fertiliser_ChemicalCompoundElements_Data(),Table_Fertiliser_ChemicalCompounds[[#Headers],[Fertiliser type f]], 0)</f>
        <v>LifeCycles</v>
      </c>
    </row>
    <row r="35" spans="1:10" ht="20.100000000000001" customHeight="1" x14ac:dyDescent="0.25">
      <c r="A35" s="16" t="str">
        <f>HYPERLINK("#'Constants - Swine'!A1", "Constants - Swine")</f>
        <v>Constants - Swine</v>
      </c>
      <c r="D35" s="62" t="str" cm="1">
        <f t="array" ref="D35">Common_InputFunctions.Utility_DisplayArrayInTable(Fertiliser_SourceData.Fertiliser_ChemicalCompoundElements_Data(),Table_Fertiliser_ChemicalCompounds[[#Headers],[Fertiliser type f]], 0)</f>
        <v>Double superphosphate</v>
      </c>
      <c r="E35" s="62" cm="1">
        <f t="array" ref="E35">Common_InputFunctions.Utility_DisplayArrayInTable(Fertiliser_SourceData.Fertiliser_ChemicalCompoundElements_Data(),Table_Fertiliser_ChemicalCompounds[[#Headers],[Fertiliser type f]], 0)</f>
        <v>0</v>
      </c>
      <c r="F35" s="62" cm="1">
        <f t="array" ref="F35">Common_InputFunctions.Utility_DisplayArrayInTable(Fertiliser_SourceData.Fertiliser_ChemicalCompoundElements_Data(),Table_Fertiliser_ChemicalCompounds[[#Headers],[Fertiliser type f]], 0)</f>
        <v>0</v>
      </c>
      <c r="G35" s="62" t="str" cm="1">
        <f t="array" ref="G35">Common_InputFunctions.Utility_DisplayArrayInTable(Fertiliser_SourceData.Fertiliser_ChemicalCompoundElements_Data(),Table_Fertiliser_ChemicalCompounds[[#Headers],[Fertiliser type f]], 0)</f>
        <v>Other fertilisers</v>
      </c>
      <c r="H35" s="62" t="str" cm="1">
        <f t="array" ref="H35">Common_InputFunctions.Utility_DisplayArrayInTable(Fertiliser_SourceData.Fertiliser_ChemicalCompoundElements_Data(),Table_Fertiliser_ChemicalCompounds[[#Headers],[Fertiliser type f]], 0)</f>
        <v>Double superphosphate</v>
      </c>
      <c r="I35" s="62" t="str" cm="1">
        <f t="array" ref="I35">Common_InputFunctions.Utility_DisplayArrayInTable(Fertiliser_SourceData.Fertiliser_ChemicalCompoundElements_Data(),Table_Fertiliser_ChemicalCompounds[[#Headers],[Fertiliser type f]], 0)</f>
        <v>LifeCycles</v>
      </c>
    </row>
    <row r="36" spans="1:10" ht="20.100000000000001" customHeight="1" x14ac:dyDescent="0.25">
      <c r="A36" s="16" t="str">
        <f>HYPERLINK("#'Constants - Dairy'!A1", "Constants - Dairy")</f>
        <v>Constants - Dairy</v>
      </c>
      <c r="D36" s="62" t="str" cm="1">
        <f t="array" ref="D36">Common_InputFunctions.Utility_DisplayArrayInTable(Fertiliser_SourceData.Fertiliser_ChemicalCompoundElements_Data(),Table_Fertiliser_ChemicalCompounds[[#Headers],[Fertiliser type f]], 0)</f>
        <v>Single superphosphate (SSP)</v>
      </c>
      <c r="E36" s="62" cm="1">
        <f t="array" ref="E36">Common_InputFunctions.Utility_DisplayArrayInTable(Fertiliser_SourceData.Fertiliser_ChemicalCompoundElements_Data(),Table_Fertiliser_ChemicalCompounds[[#Headers],[Fertiliser type f]], 0)</f>
        <v>0</v>
      </c>
      <c r="F36" s="62" cm="1">
        <f t="array" ref="F36">Common_InputFunctions.Utility_DisplayArrayInTable(Fertiliser_SourceData.Fertiliser_ChemicalCompoundElements_Data(),Table_Fertiliser_ChemicalCompounds[[#Headers],[Fertiliser type f]], 0)</f>
        <v>0</v>
      </c>
      <c r="G36" s="62" t="str" cm="1">
        <f t="array" ref="G36">Common_InputFunctions.Utility_DisplayArrayInTable(Fertiliser_SourceData.Fertiliser_ChemicalCompoundElements_Data(),Table_Fertiliser_ChemicalCompounds[[#Headers],[Fertiliser type f]], 0)</f>
        <v>Other fertilisers</v>
      </c>
      <c r="H36" s="62" t="str" cm="1">
        <f t="array" ref="H36">Common_InputFunctions.Utility_DisplayArrayInTable(Fertiliser_SourceData.Fertiliser_ChemicalCompoundElements_Data(),Table_Fertiliser_ChemicalCompounds[[#Headers],[Fertiliser type f]], 0)</f>
        <v>Single superphosphate (SSP)</v>
      </c>
      <c r="I36" s="62" t="str" cm="1">
        <f t="array" ref="I36">Common_InputFunctions.Utility_DisplayArrayInTable(Fertiliser_SourceData.Fertiliser_ChemicalCompoundElements_Data(),Table_Fertiliser_ChemicalCompounds[[#Headers],[Fertiliser type f]], 0)</f>
        <v>LifeCycles</v>
      </c>
    </row>
    <row r="37" spans="1:10" ht="20.100000000000001" customHeight="1" x14ac:dyDescent="0.25">
      <c r="A37" s="16" t="str">
        <f>HYPERLINK("#'Constants - Pasture Beef'!A1", "Constants - Pasture Beef")</f>
        <v>Constants - Pasture Beef</v>
      </c>
      <c r="D37" s="62" t="str" cm="1">
        <f t="array" ref="D37">Common_InputFunctions.Utility_DisplayArrayInTable(Fertiliser_SourceData.Fertiliser_ChemicalCompoundElements_Data(),Table_Fertiliser_ChemicalCompounds[[#Headers],[Fertiliser type f]], 0)</f>
        <v>Ammonia</v>
      </c>
      <c r="E37" s="62" cm="1">
        <f t="array" ref="E37">Common_InputFunctions.Utility_DisplayArrayInTable(Fertiliser_SourceData.Fertiliser_ChemicalCompoundElements_Data(),Table_Fertiliser_ChemicalCompounds[[#Headers],[Fertiliser type f]], 0)</f>
        <v>0.82350000000000001</v>
      </c>
      <c r="F37" s="62" cm="1">
        <f t="array" ref="F37">Common_InputFunctions.Utility_DisplayArrayInTable(Fertiliser_SourceData.Fertiliser_ChemicalCompoundElements_Data(),Table_Fertiliser_ChemicalCompounds[[#Headers],[Fertiliser type f]], 0)</f>
        <v>0</v>
      </c>
      <c r="G37" s="62" t="str" cm="1">
        <f t="array" ref="G37">Common_InputFunctions.Utility_DisplayArrayInTable(Fertiliser_SourceData.Fertiliser_ChemicalCompoundElements_Data(),Table_Fertiliser_ChemicalCompounds[[#Headers],[Fertiliser type f]], 0)</f>
        <v>Ammonium-based fertilisers</v>
      </c>
      <c r="H37" s="62" t="str" cm="1">
        <f t="array" ref="H37">Common_InputFunctions.Utility_DisplayArrayInTable(Fertiliser_SourceData.Fertiliser_ChemicalCompoundElements_Data(),Table_Fertiliser_ChemicalCompounds[[#Headers],[Fertiliser type f]], 0)</f>
        <v>Ammonia</v>
      </c>
      <c r="I37" s="62" t="str" cm="1">
        <f t="array" ref="I37">Common_InputFunctions.Utility_DisplayArrayInTable(Fertiliser_SourceData.Fertiliser_ChemicalCompoundElements_Data(),Table_Fertiliser_ChemicalCompounds[[#Headers],[Fertiliser type f]], 0)</f>
        <v>LifeCycles</v>
      </c>
    </row>
    <row r="38" spans="1:10" ht="20.100000000000001" customHeight="1" x14ac:dyDescent="0.25">
      <c r="A38" s="16" t="str">
        <f>HYPERLINK("#'Constants - Common Livestock'!A1", "Constants - Common Livestock")</f>
        <v>Constants - Common Livestock</v>
      </c>
      <c r="D38" s="10" t="str" cm="1">
        <f t="array" ref="D38">Common_InputFunctions.Utility_DisplayArrayInTable(Fertiliser_SourceData.Fertiliser_ChemicalCompoundElements_Data(),Table_Fertiliser_ChemicalCompounds[[#Headers],[Fertiliser type f]], 0)</f>
        <v>Calcium nitrate</v>
      </c>
      <c r="E38" s="10" cm="1">
        <f t="array" ref="E38">Common_InputFunctions.Utility_DisplayArrayInTable(Fertiliser_SourceData.Fertiliser_ChemicalCompoundElements_Data(),Table_Fertiliser_ChemicalCompounds[[#Headers],[Fertiliser type f]], 0)</f>
        <v>0.155</v>
      </c>
      <c r="F38" s="10" cm="1">
        <f t="array" ref="F38">Common_InputFunctions.Utility_DisplayArrayInTable(Fertiliser_SourceData.Fertiliser_ChemicalCompoundElements_Data(),Table_Fertiliser_ChemicalCompounds[[#Headers],[Fertiliser type f]], 0)</f>
        <v>0</v>
      </c>
      <c r="G38" s="10" t="str" cm="1">
        <f t="array" ref="G38">Common_InputFunctions.Utility_DisplayArrayInTable(Fertiliser_SourceData.Fertiliser_ChemicalCompoundElements_Data(),Table_Fertiliser_ChemicalCompounds[[#Headers],[Fertiliser type f]], 0)</f>
        <v>Nitrate-based fertilisers</v>
      </c>
      <c r="H38" s="10" t="str" cm="1">
        <f t="array" ref="H38">Common_InputFunctions.Utility_DisplayArrayInTable(Fertiliser_SourceData.Fertiliser_ChemicalCompoundElements_Data(),Table_Fertiliser_ChemicalCompounds[[#Headers],[Fertiliser type f]], 0)</f>
        <v>Calcium nitrate</v>
      </c>
      <c r="I38" s="10" t="str" cm="1">
        <f t="array" ref="I38">Common_InputFunctions.Utility_DisplayArrayInTable(Fertiliser_SourceData.Fertiliser_ChemicalCompoundElements_Data(),Table_Fertiliser_ChemicalCompounds[[#Headers],[Fertiliser type f]], 0)</f>
        <v>VEERG</v>
      </c>
    </row>
    <row r="39" spans="1:10" ht="20.100000000000001" customHeight="1" x14ac:dyDescent="0.25">
      <c r="A39" s="23" t="str">
        <f>HYPERLINK("#'Constants - Fertiliser'!A1", "Constants - Fertiliser")</f>
        <v>Constants - Fertiliser</v>
      </c>
    </row>
    <row r="40" spans="1:10" ht="20.100000000000001" customHeight="1" x14ac:dyDescent="0.25">
      <c r="A40" s="16" t="str">
        <f>HYPERLINK("#'Constants - Electricity'!A1", "Constants - Electricity")</f>
        <v>Constants - Electricity</v>
      </c>
      <c r="D40" s="9" t="s">
        <v>140</v>
      </c>
      <c r="F40" s="9" t="s">
        <v>141</v>
      </c>
      <c r="H40" s="9" t="s">
        <v>142</v>
      </c>
      <c r="J40" s="9" t="s">
        <v>143</v>
      </c>
    </row>
    <row r="41" spans="1:10" ht="20.100000000000001" customHeight="1" x14ac:dyDescent="0.25">
      <c r="A41" s="16" t="str">
        <f>HYPERLINK("#'Constants - Common'!A1", "Constants - Common")</f>
        <v>Constants - Common</v>
      </c>
      <c r="D41" s="10" t="s">
        <v>144</v>
      </c>
      <c r="F41" s="10" t="s">
        <v>144</v>
      </c>
      <c r="H41" s="10" t="s">
        <v>43</v>
      </c>
      <c r="J41" s="10" t="s">
        <v>145</v>
      </c>
    </row>
    <row r="42" spans="1:10" ht="20.100000000000001" customHeight="1" x14ac:dyDescent="0.25">
      <c r="A42"/>
      <c r="D42" s="10" t="s">
        <v>146</v>
      </c>
      <c r="F42" s="10" t="s">
        <v>146</v>
      </c>
      <c r="H42" s="10" t="s">
        <v>147</v>
      </c>
      <c r="J42" s="10" t="s">
        <v>148</v>
      </c>
    </row>
    <row r="43" spans="1:10" ht="20.100000000000001" customHeight="1" x14ac:dyDescent="0.25">
      <c r="A43"/>
      <c r="D43" s="8" t="s">
        <v>149</v>
      </c>
      <c r="F43" s="8" t="s">
        <v>150</v>
      </c>
      <c r="H43" s="10" t="s">
        <v>151</v>
      </c>
      <c r="J43" s="8" t="s">
        <v>152</v>
      </c>
    </row>
    <row r="44" spans="1:10" ht="20.100000000000001" customHeight="1" x14ac:dyDescent="0.25">
      <c r="A44"/>
      <c r="F44" s="8" t="s">
        <v>153</v>
      </c>
      <c r="H44" s="8" t="s">
        <v>154</v>
      </c>
      <c r="J44" s="8" t="s">
        <v>155</v>
      </c>
    </row>
    <row r="45" spans="1:10" ht="20.100000000000001" customHeight="1" x14ac:dyDescent="0.25">
      <c r="A45"/>
      <c r="F45" s="8" t="s">
        <v>156</v>
      </c>
      <c r="H45" s="8" t="s">
        <v>157</v>
      </c>
      <c r="J45" s="8" t="s">
        <v>158</v>
      </c>
    </row>
    <row r="46" spans="1:10" ht="20.100000000000001" customHeight="1" x14ac:dyDescent="0.25">
      <c r="A46"/>
      <c r="H46" s="8" t="s">
        <v>159</v>
      </c>
      <c r="J46" s="8" t="s">
        <v>160</v>
      </c>
    </row>
    <row r="47" spans="1:10" ht="20.100000000000001" customHeight="1" x14ac:dyDescent="0.25">
      <c r="A47"/>
    </row>
    <row r="48" spans="1:10" ht="20.100000000000001" customHeight="1" x14ac:dyDescent="0.25">
      <c r="A48"/>
      <c r="D48" s="9" t="str" cm="1">
        <f t="array" ref="D48">Fertiliser_SourceData.Fertiliser_FracGASF_Title()</f>
        <v>Fraction of inorganic fertiliser that volatilises as NH3 and NOx</v>
      </c>
      <c r="G48" s="17"/>
    </row>
    <row r="49" spans="1:8" ht="20.100000000000001" customHeight="1" x14ac:dyDescent="0.25">
      <c r="A49"/>
      <c r="D49" s="11" t="str" cm="1">
        <f t="array" ref="D49">Fertiliser_SourceData.Fertiliser_FracGASF_Source()</f>
        <v>Table A.2.2.6: Fraction of inorganic fertiliser f that volatilises as NH3 and NOx ((kg NH3-N + NOx-N)/kg N) (FracGASFf)</v>
      </c>
      <c r="G49" s="17"/>
    </row>
    <row r="50" spans="1:8" ht="20.100000000000001" customHeight="1" x14ac:dyDescent="0.25">
      <c r="A50"/>
      <c r="D50" s="10" t="s">
        <v>134</v>
      </c>
      <c r="E50" s="10" t="s">
        <v>161</v>
      </c>
      <c r="G50" s="17"/>
    </row>
    <row r="51" spans="1:8" ht="20.100000000000001" customHeight="1" x14ac:dyDescent="0.25">
      <c r="A51"/>
      <c r="D51" s="10" t="str" cm="1">
        <f t="array" ref="D51">Common_InputFunctions.Utility_DisplayArrayInTable(Fertiliser_SourceData.Fertiliser_FracGASF_Data(), Table_SourceData_Fertiliser_FracGASF[[#Headers],[Fertiliser type f]], 0)</f>
        <v>Urea-based fertilisers</v>
      </c>
      <c r="E51" s="10" cm="1">
        <f t="array" ref="E51">Common_InputFunctions.Utility_DisplayArrayInTable(Fertiliser_SourceData.Fertiliser_FracGASF_Data(), Table_SourceData_Fertiliser_FracGASF[[#Headers],[Fertiliser type f]], 0)</f>
        <v>0.15</v>
      </c>
      <c r="G51" s="17"/>
    </row>
    <row r="52" spans="1:8" ht="20.100000000000001" customHeight="1" x14ac:dyDescent="0.25">
      <c r="A52"/>
      <c r="D52" s="8" t="str" cm="1">
        <f t="array" ref="D52">Common_InputFunctions.Utility_DisplayArrayInTable(Fertiliser_SourceData.Fertiliser_FracGASF_Data(), Table_SourceData_Fertiliser_FracGASF[[#Headers],[Fertiliser type f]], 0)</f>
        <v>Ammonium-based fertilisers</v>
      </c>
      <c r="E52" s="10" cm="1">
        <f t="array" ref="E52">Common_InputFunctions.Utility_DisplayArrayInTable(Fertiliser_SourceData.Fertiliser_FracGASF_Data(), Table_SourceData_Fertiliser_FracGASF[[#Headers],[Fertiliser type f]], 0)</f>
        <v>0.08</v>
      </c>
      <c r="G52" s="17"/>
    </row>
    <row r="53" spans="1:8" ht="20.100000000000001" customHeight="1" x14ac:dyDescent="0.25">
      <c r="A53"/>
      <c r="D53" s="8" t="str" cm="1">
        <f t="array" ref="D53">Common_InputFunctions.Utility_DisplayArrayInTable(Fertiliser_SourceData.Fertiliser_FracGASF_Data(), Table_SourceData_Fertiliser_FracGASF[[#Headers],[Fertiliser type f]], 0)</f>
        <v>Nitrate-based fertilisers</v>
      </c>
      <c r="E53" s="10" cm="1">
        <f t="array" ref="E53">Common_InputFunctions.Utility_DisplayArrayInTable(Fertiliser_SourceData.Fertiliser_FracGASF_Data(), Table_SourceData_Fertiliser_FracGASF[[#Headers],[Fertiliser type f]], 0)</f>
        <v>0.01</v>
      </c>
      <c r="G53" s="17"/>
    </row>
    <row r="54" spans="1:8" ht="20.100000000000001" customHeight="1" x14ac:dyDescent="0.25">
      <c r="A54"/>
      <c r="D54" s="8" t="str" cm="1">
        <f t="array" ref="D54">Common_InputFunctions.Utility_DisplayArrayInTable(Fertiliser_SourceData.Fertiliser_FracGASF_Data(), Table_SourceData_Fertiliser_FracGASF[[#Headers],[Fertiliser type f]], 0)</f>
        <v>Ammonium-nitrate based fertilisers</v>
      </c>
      <c r="E54" s="10" cm="1">
        <f t="array" ref="E54">Common_InputFunctions.Utility_DisplayArrayInTable(Fertiliser_SourceData.Fertiliser_FracGASF_Data(), Table_SourceData_Fertiliser_FracGASF[[#Headers],[Fertiliser type f]], 0)</f>
        <v>0.05</v>
      </c>
      <c r="G54" s="17"/>
      <c r="H54" s="17"/>
    </row>
    <row r="55" spans="1:8" ht="20.100000000000001" customHeight="1" x14ac:dyDescent="0.25">
      <c r="A55"/>
      <c r="D55" s="8" t="str" cm="1">
        <f t="array" ref="D55">Common_InputFunctions.Utility_DisplayArrayInTable(Fertiliser_SourceData.Fertiliser_FracGASF_Data(), Table_SourceData_Fertiliser_FracGASF[[#Headers],[Fertiliser type f]], 0)</f>
        <v>Other fertilisers</v>
      </c>
      <c r="E55" s="10" cm="1">
        <f t="array" ref="E55">Common_InputFunctions.Utility_DisplayArrayInTable(Fertiliser_SourceData.Fertiliser_FracGASF_Data(), Table_SourceData_Fertiliser_FracGASF[[#Headers],[Fertiliser type f]], 0)</f>
        <v>0.11</v>
      </c>
      <c r="G55" s="17"/>
      <c r="H55" s="17"/>
    </row>
    <row r="56" spans="1:8" ht="20.100000000000001" customHeight="1" x14ac:dyDescent="0.25">
      <c r="A56"/>
    </row>
    <row r="57" spans="1:8" ht="20.100000000000001" customHeight="1" x14ac:dyDescent="0.25">
      <c r="A57"/>
    </row>
    <row r="58" spans="1:8" ht="20.100000000000001" customHeight="1" x14ac:dyDescent="0.25">
      <c r="A58"/>
      <c r="D58" s="9" t="str" cm="1">
        <f t="array" ref="D58">Fertiliser_SourceData.Fertiliser_EFUreaCO2_Title()</f>
        <v>Emission factor for carbon emissions from urea application</v>
      </c>
    </row>
    <row r="59" spans="1:8" ht="20.100000000000001" customHeight="1" x14ac:dyDescent="0.25">
      <c r="A59"/>
      <c r="D59" s="11" t="str" cm="1">
        <f t="array" ref="D59">Fertiliser_SourceData.Fertiliser_EFUreaCO2_Source()</f>
        <v>VEERG 2026: 5.1.2.2 Constant Parameters</v>
      </c>
    </row>
    <row r="60" spans="1:8" ht="20.100000000000001" customHeight="1" x14ac:dyDescent="0.25">
      <c r="A60"/>
      <c r="D60" s="27" t="str" cm="1">
        <f t="array" ref="D60">Fertiliser_SourceData.Fertiliser_EFUreaCO2_Variable()</f>
        <v>EFureaCO2</v>
      </c>
      <c r="E60" s="8" cm="1">
        <f t="array" ref="E60">Fertiliser_SourceData.Fertiliser_EFUreaCO2_Data()</f>
        <v>0.2</v>
      </c>
      <c r="F60" s="13" t="str" cm="1">
        <f t="array" ref="F60">Fertiliser_SourceData.Fertiliser_EFUreaCO2_Unit()</f>
        <v>kg C/kg urea</v>
      </c>
    </row>
    <row r="61" spans="1:8" ht="20.100000000000001" customHeight="1" x14ac:dyDescent="0.25">
      <c r="A61"/>
    </row>
    <row r="62" spans="1:8" ht="20.100000000000001" customHeight="1" x14ac:dyDescent="0.25">
      <c r="A62"/>
    </row>
    <row r="63" spans="1:8" ht="20.100000000000001" customHeight="1" x14ac:dyDescent="0.25">
      <c r="A63"/>
      <c r="D63" s="9" t="str" cm="1">
        <f t="array" ref="D63">Fertiliser_SourceData.Fertiliser_LimeDolomiteGypsumConstants_Title()</f>
        <v>Constants for lime, dolomite and gypsum</v>
      </c>
    </row>
    <row r="64" spans="1:8" ht="20.100000000000001" customHeight="1" x14ac:dyDescent="0.25">
      <c r="A64"/>
      <c r="D64" s="11" t="str" cm="1">
        <f t="array" ref="D64">Fertiliser_SourceData.Fertiliser_LimeDolomiteGypsumConstants_Source()</f>
        <v>VEERG 2026: 5.3.2.3 Constant Parameters</v>
      </c>
    </row>
    <row r="65" spans="1:6" ht="20.100000000000001" customHeight="1" x14ac:dyDescent="0.25">
      <c r="A65"/>
      <c r="D65" s="10" t="s">
        <v>162</v>
      </c>
      <c r="E65" s="10" t="s">
        <v>163</v>
      </c>
      <c r="F65" s="10" t="s">
        <v>164</v>
      </c>
    </row>
    <row r="66" spans="1:6" ht="20.100000000000001" customHeight="1" x14ac:dyDescent="0.25">
      <c r="A66"/>
      <c r="D66" s="10" t="str" cm="1">
        <f t="array" ref="D66">Common_InputFunctions.Utility_DisplayArrayInTable(Fertiliser_SourceData.Fertiliser_LimeDolomiteGypsumConstants_Data(), Table_SourceData_Fertiliser_LimeDolomiteConstants[[#Headers],[Element]], 0)</f>
        <v>Lime (Calcium carbonate)</v>
      </c>
      <c r="E66" s="10" cm="1">
        <f t="array" ref="E66">Common_InputFunctions.Utility_DisplayArrayInTable(Fertiliser_SourceData.Fertiliser_LimeDolomiteGypsumConstants_Data(), Table_SourceData_Fertiliser_LimeDolomiteConstants[[#Headers],[Element]], 0)</f>
        <v>0.9</v>
      </c>
      <c r="F66" s="10" cm="1">
        <f t="array" ref="F66">Common_InputFunctions.Utility_DisplayArrayInTable(Fertiliser_SourceData.Fertiliser_LimeDolomiteGypsumConstants_Data(), Table_SourceData_Fertiliser_LimeDolomiteConstants[[#Headers],[Element]], 0)</f>
        <v>0.12</v>
      </c>
    </row>
    <row r="67" spans="1:6" ht="20.100000000000001" customHeight="1" x14ac:dyDescent="0.25">
      <c r="A67"/>
      <c r="D67" s="8" t="str" cm="1">
        <f t="array" ref="D67">Common_InputFunctions.Utility_DisplayArrayInTable(Fertiliser_SourceData.Fertiliser_LimeDolomiteGypsumConstants_Data(), Table_SourceData_Fertiliser_LimeDolomiteConstants[[#Headers],[Element]], 0)</f>
        <v>Dolomite (Magnesium carbonate)</v>
      </c>
      <c r="E67" s="10" cm="1">
        <f t="array" ref="E67">Common_InputFunctions.Utility_DisplayArrayInTable(Fertiliser_SourceData.Fertiliser_LimeDolomiteGypsumConstants_Data(), Table_SourceData_Fertiliser_LimeDolomiteConstants[[#Headers],[Element]], 0)</f>
        <v>0.95</v>
      </c>
      <c r="F67" s="10" cm="1">
        <f t="array" ref="F67">Common_InputFunctions.Utility_DisplayArrayInTable(Fertiliser_SourceData.Fertiliser_LimeDolomiteGypsumConstants_Data(), Table_SourceData_Fertiliser_LimeDolomiteConstants[[#Headers],[Element]], 0)</f>
        <v>0.13</v>
      </c>
    </row>
    <row r="68" spans="1:6" ht="20.100000000000001" customHeight="1" x14ac:dyDescent="0.25">
      <c r="A68"/>
      <c r="D68" s="8" t="str" cm="1">
        <f t="array" ref="D68">Common_InputFunctions.Utility_DisplayArrayInTable(Fertiliser_SourceData.Fertiliser_LimeDolomiteGypsumConstants_Data(), Table_SourceData_Fertiliser_LimeDolomiteConstants[[#Headers],[Element]], 0)</f>
        <v>Gypsum</v>
      </c>
      <c r="E68" s="10" cm="1">
        <f t="array" ref="E68">Common_InputFunctions.Utility_DisplayArrayInTable(Fertiliser_SourceData.Fertiliser_LimeDolomiteGypsumConstants_Data(), Table_SourceData_Fertiliser_LimeDolomiteConstants[[#Headers],[Element]], 0)</f>
        <v>0</v>
      </c>
      <c r="F68" s="10" cm="1">
        <f t="array" ref="F68">Common_InputFunctions.Utility_DisplayArrayInTable(Fertiliser_SourceData.Fertiliser_LimeDolomiteGypsumConstants_Data(), Table_SourceData_Fertiliser_LimeDolomiteConstants[[#Headers],[Element]], 0)</f>
        <v>0</v>
      </c>
    </row>
    <row r="69" spans="1:6" ht="20.100000000000001" customHeight="1" x14ac:dyDescent="0.25">
      <c r="A69"/>
    </row>
    <row r="70" spans="1:6" ht="20.100000000000001" customHeight="1" x14ac:dyDescent="0.25">
      <c r="A70"/>
    </row>
    <row r="71" spans="1:6" ht="20.100000000000001" customHeight="1" x14ac:dyDescent="0.25">
      <c r="A71"/>
      <c r="D71" s="9" t="str" cm="1">
        <f t="array" ref="D71">Fertiliser_SourceData.Fertiliser_FracGASMSoil_Title()</f>
        <v>Fraction of organic fertiliser that volatilises as NH3 and NOx</v>
      </c>
    </row>
    <row r="72" spans="1:6" ht="20.100000000000001" customHeight="1" x14ac:dyDescent="0.25">
      <c r="A72"/>
      <c r="D72" s="11" t="str" cm="1">
        <f t="array" ref="D72">Fertiliser_SourceData.Fertiliser_FracGASMSoil_Source()</f>
        <v>VEERG 2026: 5.4.2.3 Constant Parameters</v>
      </c>
    </row>
    <row r="73" spans="1:6" ht="20.100000000000001" customHeight="1" x14ac:dyDescent="0.25">
      <c r="A73"/>
      <c r="D73" s="27" t="str" cm="1">
        <f t="array" ref="D73">Fertiliser_SourceData.Fertiliser_FracGASMSoil_Variable()</f>
        <v>FracGASMsoil</v>
      </c>
      <c r="E73" s="8" cm="1">
        <f t="array" ref="E73">Fertiliser_SourceData.Fertiliser_FracGASMSoil_Data()</f>
        <v>0.21</v>
      </c>
      <c r="F73" s="13" t="str" cm="1">
        <f t="array" ref="F73">Fertiliser_SourceData.Fertiliser_FracGASMSoil_Unit()</f>
        <v>(kg NH3-N + NOx-N)/kg N</v>
      </c>
    </row>
    <row r="74" spans="1:6" ht="20.100000000000001" customHeight="1" x14ac:dyDescent="0.25">
      <c r="A74"/>
    </row>
    <row r="75" spans="1:6" ht="20.100000000000001" customHeight="1" x14ac:dyDescent="0.25">
      <c r="A75"/>
    </row>
    <row r="76" spans="1:6" ht="20.100000000000001" customHeight="1" x14ac:dyDescent="0.25">
      <c r="A76"/>
      <c r="D76" s="9" t="str" cm="1">
        <f t="array" ref="D76">Fertiliser_SourceData.Fertiliser_FracLEACH_Title()</f>
        <v>Fraction of nitrogen that is lost through leaching and runoff</v>
      </c>
    </row>
    <row r="77" spans="1:6" ht="20.100000000000001" customHeight="1" x14ac:dyDescent="0.25">
      <c r="A77"/>
      <c r="D77" s="11" t="str" cm="1">
        <f t="array" ref="D77">Fertiliser_SourceData.Fertiliser_FracLEACH_Source()</f>
        <v>VEERG 2026: 5.5.2.3 Constant Parameters</v>
      </c>
    </row>
    <row r="78" spans="1:6" ht="20.100000000000001" customHeight="1" x14ac:dyDescent="0.25">
      <c r="A78"/>
      <c r="D78" s="27" t="str" cm="1">
        <f t="array" ref="D78">Fertiliser_SourceData.Fertiliser_FracLEACH_Variable()</f>
        <v>FracLEACH</v>
      </c>
      <c r="E78" s="8" cm="1">
        <f t="array" ref="E78">Fertiliser_SourceData.Fertiliser_FracLEACH_Data()</f>
        <v>0.24</v>
      </c>
      <c r="F78" s="13" t="str" cm="1">
        <f t="array" ref="F78">Fertiliser_SourceData.Fertiliser_FracLEACH_Unit()</f>
        <v>fraction</v>
      </c>
    </row>
    <row r="79" spans="1:6" ht="20.100000000000001" customHeight="1" x14ac:dyDescent="0.25">
      <c r="A79"/>
    </row>
    <row r="80" spans="1:6" ht="20.100000000000001" customHeight="1" x14ac:dyDescent="0.25">
      <c r="A80"/>
    </row>
    <row r="81" spans="1:31" ht="20.100000000000001" customHeight="1" x14ac:dyDescent="0.25">
      <c r="A81"/>
      <c r="D81" s="9" t="str" cm="1">
        <f t="array" ref="D81">Fertiliser_SourceData.Fertiliser_EFLeach_Title()</f>
        <v>Emission factor for nitrogen leaching and runoff</v>
      </c>
    </row>
    <row r="82" spans="1:31" ht="20.100000000000001" customHeight="1" x14ac:dyDescent="0.25">
      <c r="A82"/>
      <c r="D82" s="11" t="str" cm="1">
        <f t="array" ref="D82">Fertiliser_SourceData.Fertiliser_EFLeach_Source()</f>
        <v>VEERG 2026: 5.5.2.3 Constant Parameters</v>
      </c>
    </row>
    <row r="83" spans="1:31" ht="20.100000000000001" customHeight="1" x14ac:dyDescent="0.25">
      <c r="A83"/>
      <c r="D83" s="27" t="str" cm="1">
        <f t="array" ref="D83">Fertiliser_SourceData.Fertiliser_EFLeach_Variable()</f>
        <v>EFLeach</v>
      </c>
      <c r="E83" s="8" cm="1">
        <f t="array" ref="E83">Fertiliser_SourceData.Fertiliser_EFLeach_Data()</f>
        <v>1.0999999999999999E-2</v>
      </c>
      <c r="F83" s="13" t="str" cm="1">
        <f t="array" ref="F83">Fertiliser_SourceData.Fertiliser_EFLeach_Unit()</f>
        <v>kg N2O-N / kg N</v>
      </c>
    </row>
    <row r="84" spans="1:31" ht="20.100000000000001" customHeight="1" x14ac:dyDescent="0.25">
      <c r="A84"/>
    </row>
    <row r="85" spans="1:31" ht="20.100000000000001" customHeight="1" x14ac:dyDescent="0.25">
      <c r="A85"/>
    </row>
    <row r="86" spans="1:31" ht="20.100000000000001" customHeight="1" x14ac:dyDescent="0.25">
      <c r="A86"/>
      <c r="N86" s="8" t="s">
        <v>906</v>
      </c>
    </row>
    <row r="87" spans="1:31" ht="20.100000000000001" customHeight="1" x14ac:dyDescent="0.25">
      <c r="A87"/>
      <c r="D87" s="9" t="s">
        <v>165</v>
      </c>
      <c r="E87" s="17"/>
      <c r="F87" s="17"/>
      <c r="G87" s="17"/>
      <c r="H87" s="17"/>
      <c r="I87" s="17"/>
      <c r="J87" s="17"/>
      <c r="K87" s="17"/>
      <c r="L87" s="17"/>
      <c r="N87" s="17" t="s">
        <v>906</v>
      </c>
      <c r="O87" s="17"/>
      <c r="P87" s="17"/>
      <c r="Q87" s="17"/>
      <c r="R87" s="17"/>
      <c r="S87" s="17"/>
      <c r="T87" s="17"/>
      <c r="U87" s="17"/>
    </row>
    <row r="88" spans="1:31" ht="20.100000000000001" customHeight="1" x14ac:dyDescent="0.25">
      <c r="A88"/>
      <c r="D88" s="17"/>
    </row>
    <row r="89" spans="1:31" ht="20.100000000000001" customHeight="1" x14ac:dyDescent="0.25">
      <c r="A89"/>
      <c r="D89" s="63" t="s">
        <v>166</v>
      </c>
      <c r="E89" s="10" t="s">
        <v>167</v>
      </c>
      <c r="F89" s="10" t="s">
        <v>168</v>
      </c>
      <c r="G89" s="64" t="s">
        <v>169</v>
      </c>
      <c r="H89" s="64" t="s">
        <v>96</v>
      </c>
      <c r="I89" s="64" t="s">
        <v>170</v>
      </c>
      <c r="J89" s="64" t="s">
        <v>171</v>
      </c>
      <c r="K89" s="64" t="s">
        <v>172</v>
      </c>
      <c r="L89" s="64" t="s">
        <v>173</v>
      </c>
      <c r="M89" s="64" t="s">
        <v>174</v>
      </c>
      <c r="N89" s="64" t="s">
        <v>175</v>
      </c>
      <c r="O89" s="10" t="s">
        <v>176</v>
      </c>
      <c r="P89" s="10" t="s">
        <v>177</v>
      </c>
      <c r="Q89" s="10" t="s">
        <v>178</v>
      </c>
      <c r="R89" s="64" t="s">
        <v>179</v>
      </c>
      <c r="S89" s="64" t="s">
        <v>180</v>
      </c>
      <c r="T89" s="10" t="s">
        <v>181</v>
      </c>
      <c r="U89" s="64" t="s">
        <v>182</v>
      </c>
      <c r="V89" s="64" t="s">
        <v>183</v>
      </c>
      <c r="W89" s="64" t="s">
        <v>184</v>
      </c>
      <c r="X89" s="64" t="s">
        <v>185</v>
      </c>
      <c r="Y89" s="64" t="s">
        <v>186</v>
      </c>
      <c r="Z89" s="10" t="s">
        <v>187</v>
      </c>
      <c r="AA89" s="10" t="s">
        <v>188</v>
      </c>
      <c r="AB89" s="10" t="s">
        <v>189</v>
      </c>
      <c r="AC89" s="10" t="s">
        <v>190</v>
      </c>
      <c r="AD89" s="10" t="s">
        <v>191</v>
      </c>
      <c r="AE89" s="10" t="s">
        <v>192</v>
      </c>
    </row>
    <row r="90" spans="1:31" ht="20.100000000000001" customHeight="1" x14ac:dyDescent="0.25">
      <c r="A90"/>
      <c r="D90" s="62" t="str" cm="1">
        <f t="array" ref="D90">Common_InputFunctions.Utility_DisplayArrayInTable(Fertiliser_SourceData.Fertiliser_Products_Data1(),FertiliserProducts[[#Headers],[Include or Exclude]], -1)</f>
        <v>Include</v>
      </c>
      <c r="E90" s="62" t="str" cm="1">
        <f t="array" ref="E90">Common_InputFunctions.Utility_DisplayArrayInTable(Fertiliser_SourceData.Fertiliser_Products_Data1(),FertiliserProducts[[#Headers],[Include or Exclude]], 0)</f>
        <v/>
      </c>
      <c r="F90" s="62" t="str" cm="1">
        <f t="array" ref="F90">Common_InputFunctions.Utility_DisplayArrayInTable(Fertiliser_SourceData.Fertiliser_Products_Data1(),FertiliserProducts[[#Headers],[Include or Exclude]], 0)</f>
        <v>Campbells fertilisers Australia</v>
      </c>
      <c r="G90" s="62" t="str" cm="1">
        <f t="array" ref="G90">Common_InputFunctions.Utility_DisplayArrayInTable(Fertiliser_SourceData.Fertiliser_Products_Data1(),FertiliserProducts[[#Headers],[Include or Exclude]], 0)</f>
        <v>Aqua Finish</v>
      </c>
      <c r="H90" s="62" t="str" cm="1">
        <f t="array" ref="H90">Common_InputFunctions.Utility_DisplayArrayInTable(Fertiliser_SourceData.Fertiliser_Products_Data1(),FertiliserProducts[[#Headers],[Include or Exclude]], 0,4)</f>
        <v>L</v>
      </c>
      <c r="I90" s="62" cm="1">
        <f t="array" ref="I90">Common_InputFunctions.Utility_DisplayArrayInTable(Fertiliser_SourceData.Fertiliser_Products_Data1(),FertiliserProducts[[#Headers],[Include or Exclude]], 0,4)</f>
        <v>1.26</v>
      </c>
      <c r="J90" s="62" t="str" cm="1">
        <f t="array" ref="J90">Common_InputFunctions.Utility_DisplayArrayInTable(Fertiliser_SourceData.Fertiliser_Products_Data1(),FertiliserProducts[[#Headers],[Include or Exclude]], 0,4)</f>
        <v/>
      </c>
      <c r="K90" s="62" t="str" cm="1">
        <f t="array" ref="K90">Common_InputFunctions.Utility_DisplayArrayInTable(Fertiliser_SourceData.Fertiliser_Products_Data1(),FertiliserProducts[[#Headers],[Include or Exclude]], 0,4)</f>
        <v/>
      </c>
      <c r="L90" s="62" t="str" cm="1">
        <f t="array" ref="L90">Common_InputFunctions.Utility_DisplayArrayInTable(Fertiliser_SourceData.Fertiliser_Products_Data1(),FertiliserProducts[[#Headers],[Include or Exclude]], 0,4)</f>
        <v>Potassium - Generic</v>
      </c>
      <c r="M90" s="62" cm="1">
        <f t="array" ref="M90">Common_InputFunctions.Utility_DisplayArrayInTable(Fertiliser_SourceData.Fertiliser_Products_Data1(),FertiliserProducts[[#Headers],[Include or Exclude]], 0,4)</f>
        <v>0.22500000000000001</v>
      </c>
      <c r="N90" s="62" t="str" cm="1">
        <f t="array" ref="N90">Common_InputFunctions.Utility_DisplayArrayInTable(Fertiliser_SourceData.Fertiliser_Products_Data1(),FertiliserProducts[[#Headers],[Include or Exclude]], 0,4)</f>
        <v>Phosphorus - Generic</v>
      </c>
      <c r="O90" s="62" cm="1">
        <f t="array" ref="O90">Common_InputFunctions.Utility_DisplayArrayInTable(Fertiliser_SourceData.Fertiliser_Products_Data1(),FertiliserProducts[[#Headers],[Include or Exclude]], 0,4)</f>
        <v>0.04</v>
      </c>
      <c r="P90" s="62" t="str" cm="1">
        <f t="array" ref="P90">Common_InputFunctions.Utility_DisplayArrayInTable(Fertiliser_SourceData.Fertiliser_Products_Data1(),FertiliserProducts[[#Headers],[Include or Exclude]], 0,4)</f>
        <v>Nitrogen - Generic</v>
      </c>
      <c r="Q90" s="62" cm="1">
        <f t="array" ref="Q90">Common_InputFunctions.Utility_DisplayArrayInTable(Fertiliser_SourceData.Fertiliser_Products_Data1(),FertiliserProducts[[#Headers],[Include or Exclude]], 0,4)</f>
        <v>2.5999999999999999E-2</v>
      </c>
      <c r="R90" s="62" t="str" cm="1">
        <f t="array" ref="R90">Common_InputFunctions.Utility_DisplayArrayInTable(Fertiliser_SourceData.Fertiliser_Products_Data1(),FertiliserProducts[[#Headers],[Include or Exclude]], 0,4)</f>
        <v/>
      </c>
      <c r="S90" s="62" t="str" cm="1">
        <f t="array" ref="S90">Common_InputFunctions.Utility_DisplayArrayInTable(Fertiliser_SourceData.Fertiliser_Products_Data1(),FertiliserProducts[[#Headers],[Include or Exclude]], 0,4)</f>
        <v/>
      </c>
      <c r="T90" s="62" t="str" cm="1">
        <f t="array" ref="T90">Common_InputFunctions.Utility_DisplayArrayInTable(Fertiliser_SourceData.Fertiliser_Products_Data1(),FertiliserProducts[[#Headers],[Include or Exclude]], 0,4)</f>
        <v/>
      </c>
      <c r="U90" s="62" t="str" cm="1">
        <f t="array" ref="U90">Common_InputFunctions.Utility_DisplayArrayInTable(Fertiliser_SourceData.Fertiliser_Products_Data1(),FertiliserProducts[[#Headers],[Include or Exclude]], 0,4)</f>
        <v/>
      </c>
      <c r="V90" s="62" t="str" cm="1">
        <f t="array" ref="V90">Common_InputFunctions.Utility_DisplayArrayInTable(Fertiliser_SourceData.Fertiliser_Products_Data1(),FertiliserProducts[[#Headers],[Include or Exclude]], 0,4)</f>
        <v/>
      </c>
      <c r="W90" s="62" t="str" cm="1">
        <f t="array" ref="W90">Common_InputFunctions.Utility_DisplayArrayInTable(Fertiliser_SourceData.Fertiliser_Products_Data1(),FertiliserProducts[[#Headers],[Include or Exclude]], 0,4)</f>
        <v/>
      </c>
      <c r="X90" s="62" t="str" cm="1">
        <f t="array" ref="X90">Common_InputFunctions.Utility_DisplayArrayInTable(Fertiliser_SourceData.Fertiliser_Products_Data1(),FertiliserProducts[[#Headers],[Include or Exclude]], 0,4)</f>
        <v/>
      </c>
      <c r="Y90" s="62" t="str" cm="1">
        <f t="array" ref="Y90">Common_InputFunctions.Utility_DisplayArrayInTable(Fertiliser_SourceData.Fertiliser_Products_Data1(),FertiliserProducts[[#Headers],[Include or Exclude]], 0,4)</f>
        <v/>
      </c>
      <c r="Z90" s="62" t="str" cm="1">
        <f t="array" ref="Z90">Common_InputFunctions.Utility_DisplayArrayInTable(Fertiliser_SourceData.Fertiliser_Products_Data1(),FertiliserProducts[[#Headers],[Include or Exclude]], 0,4)</f>
        <v/>
      </c>
      <c r="AA90" s="62" t="str" cm="1">
        <f t="array" ref="AA90">Common_InputFunctions.Utility_DisplayArrayInTable(Fertiliser_SourceData.Fertiliser_Products_Data1(),FertiliserProducts[[#Headers],[Include or Exclude]], 0,4)</f>
        <v/>
      </c>
      <c r="AB90" s="62" t="str" cm="1">
        <f t="array" ref="AB90">Common_InputFunctions.Utility_DisplayArrayInTable(Fertiliser_SourceData.Fertiliser_Products_Data1(),FertiliserProducts[[#Headers],[Include or Exclude]], 0,4)</f>
        <v/>
      </c>
      <c r="AC90" s="62" t="str" cm="1">
        <f t="array" ref="AC90">Common_InputFunctions.Utility_DisplayArrayInTable(Fertiliser_SourceData.Fertiliser_Products_Data1(),FertiliserProducts[[#Headers],[Include or Exclude]], 0,4)</f>
        <v/>
      </c>
      <c r="AD90" s="62" t="str" cm="1">
        <f t="array" ref="AD90">Common_InputFunctions.Utility_DisplayArrayInTable(Fertiliser_SourceData.Fertiliser_Products_Data1(),FertiliserProducts[[#Headers],[Include or Exclude]], 0,4)</f>
        <v/>
      </c>
      <c r="AE90" s="62" t="str" cm="1">
        <f t="array" ref="AE90">Common_InputFunctions.Utility_DisplayArrayInTable(Fertiliser_SourceData.Fertiliser_Products_Data1(),FertiliserProducts[[#Headers],[Include or Exclude]], 0,4)</f>
        <v/>
      </c>
    </row>
    <row r="91" spans="1:31" ht="20.100000000000001" customHeight="1" x14ac:dyDescent="0.25">
      <c r="A91"/>
      <c r="D91" s="62" t="str" cm="1">
        <f t="array" ref="D91">Common_InputFunctions.Utility_DisplayArrayInTable(Fertiliser_SourceData.Fertiliser_Products_Data1(),FertiliserProducts[[#Headers],[Include or Exclude]], -1)</f>
        <v>Include</v>
      </c>
      <c r="E91" s="62" t="str" cm="1">
        <f t="array" ref="E91">Common_InputFunctions.Utility_DisplayArrayInTable(Fertiliser_SourceData.Fertiliser_Products_Data1(),FertiliserProducts[[#Headers],[Include or Exclude]], 0)</f>
        <v/>
      </c>
      <c r="F91" s="62" t="str" cm="1">
        <f t="array" ref="F91">Common_InputFunctions.Utility_DisplayArrayInTable(Fertiliser_SourceData.Fertiliser_Products_Data1(),FertiliserProducts[[#Headers],[Include or Exclude]], 0)</f>
        <v>Campbells fertilisers Australia</v>
      </c>
      <c r="G91" s="62" t="str" cm="1">
        <f t="array" ref="G91">Common_InputFunctions.Utility_DisplayArrayInTable(Fertiliser_SourceData.Fertiliser_Products_Data1(),FertiliserProducts[[#Headers],[Include or Exclude]], 0)</f>
        <v>Aqua Grow</v>
      </c>
      <c r="H91" s="62" t="str" cm="1">
        <f t="array" ref="H91">Common_InputFunctions.Utility_DisplayArrayInTable(Fertiliser_SourceData.Fertiliser_Products_Data1(),FertiliserProducts[[#Headers],[Include or Exclude]], 0,4)</f>
        <v>L</v>
      </c>
      <c r="I91" s="62" cm="1">
        <f t="array" ref="I91">Common_InputFunctions.Utility_DisplayArrayInTable(Fertiliser_SourceData.Fertiliser_Products_Data1(),FertiliserProducts[[#Headers],[Include or Exclude]], 0,4)</f>
        <v>1.26</v>
      </c>
      <c r="J91" s="62" t="str" cm="1">
        <f t="array" ref="J91">Common_InputFunctions.Utility_DisplayArrayInTable(Fertiliser_SourceData.Fertiliser_Products_Data1(),FertiliserProducts[[#Headers],[Include or Exclude]], 0,4)</f>
        <v/>
      </c>
      <c r="K91" s="62" t="str" cm="1">
        <f t="array" ref="K91">Common_InputFunctions.Utility_DisplayArrayInTable(Fertiliser_SourceData.Fertiliser_Products_Data1(),FertiliserProducts[[#Headers],[Include or Exclude]], 0,4)</f>
        <v/>
      </c>
      <c r="L91" s="62" t="str" cm="1">
        <f t="array" ref="L91">Common_InputFunctions.Utility_DisplayArrayInTable(Fertiliser_SourceData.Fertiliser_Products_Data1(),FertiliserProducts[[#Headers],[Include or Exclude]], 0,4)</f>
        <v>Potassium - Generic</v>
      </c>
      <c r="M91" s="62" cm="1">
        <f t="array" ref="M91">Common_InputFunctions.Utility_DisplayArrayInTable(Fertiliser_SourceData.Fertiliser_Products_Data1(),FertiliserProducts[[#Headers],[Include or Exclude]], 0,4)</f>
        <v>0.105</v>
      </c>
      <c r="N91" s="62" t="str" cm="1">
        <f t="array" ref="N91">Common_InputFunctions.Utility_DisplayArrayInTable(Fertiliser_SourceData.Fertiliser_Products_Data1(),FertiliserProducts[[#Headers],[Include or Exclude]], 0,4)</f>
        <v>Nitrogen - Generic</v>
      </c>
      <c r="O91" s="62" cm="1">
        <f t="array" ref="O91">Common_InputFunctions.Utility_DisplayArrayInTable(Fertiliser_SourceData.Fertiliser_Products_Data1(),FertiliserProducts[[#Headers],[Include or Exclude]], 0,4)</f>
        <v>9.6000000000000002E-2</v>
      </c>
      <c r="P91" s="62" t="str" cm="1">
        <f t="array" ref="P91">Common_InputFunctions.Utility_DisplayArrayInTable(Fertiliser_SourceData.Fertiliser_Products_Data1(),FertiliserProducts[[#Headers],[Include or Exclude]], 0,4)</f>
        <v>Phosphorus - Generic</v>
      </c>
      <c r="Q91" s="62" cm="1">
        <f t="array" ref="Q91">Common_InputFunctions.Utility_DisplayArrayInTable(Fertiliser_SourceData.Fertiliser_Products_Data1(),FertiliserProducts[[#Headers],[Include or Exclude]], 0,4)</f>
        <v>0.05</v>
      </c>
      <c r="R91" s="62" t="str" cm="1">
        <f t="array" ref="R91">Common_InputFunctions.Utility_DisplayArrayInTable(Fertiliser_SourceData.Fertiliser_Products_Data1(),FertiliserProducts[[#Headers],[Include or Exclude]], 0,4)</f>
        <v/>
      </c>
      <c r="S91" s="62" t="str" cm="1">
        <f t="array" ref="S91">Common_InputFunctions.Utility_DisplayArrayInTable(Fertiliser_SourceData.Fertiliser_Products_Data1(),FertiliserProducts[[#Headers],[Include or Exclude]], 0,4)</f>
        <v/>
      </c>
      <c r="T91" s="62" t="str" cm="1">
        <f t="array" ref="T91">Common_InputFunctions.Utility_DisplayArrayInTable(Fertiliser_SourceData.Fertiliser_Products_Data1(),FertiliserProducts[[#Headers],[Include or Exclude]], 0,4)</f>
        <v/>
      </c>
      <c r="U91" s="62" t="str" cm="1">
        <f t="array" ref="U91">Common_InputFunctions.Utility_DisplayArrayInTable(Fertiliser_SourceData.Fertiliser_Products_Data1(),FertiliserProducts[[#Headers],[Include or Exclude]], 0,4)</f>
        <v/>
      </c>
      <c r="V91" s="62" t="str" cm="1">
        <f t="array" ref="V91">Common_InputFunctions.Utility_DisplayArrayInTable(Fertiliser_SourceData.Fertiliser_Products_Data1(),FertiliserProducts[[#Headers],[Include or Exclude]], 0,4)</f>
        <v/>
      </c>
      <c r="W91" s="62" t="str" cm="1">
        <f t="array" ref="W91">Common_InputFunctions.Utility_DisplayArrayInTable(Fertiliser_SourceData.Fertiliser_Products_Data1(),FertiliserProducts[[#Headers],[Include or Exclude]], 0,4)</f>
        <v/>
      </c>
      <c r="X91" s="62" t="str" cm="1">
        <f t="array" ref="X91">Common_InputFunctions.Utility_DisplayArrayInTable(Fertiliser_SourceData.Fertiliser_Products_Data1(),FertiliserProducts[[#Headers],[Include or Exclude]], 0,4)</f>
        <v/>
      </c>
      <c r="Y91" s="62" t="str" cm="1">
        <f t="array" ref="Y91">Common_InputFunctions.Utility_DisplayArrayInTable(Fertiliser_SourceData.Fertiliser_Products_Data1(),FertiliserProducts[[#Headers],[Include or Exclude]], 0,4)</f>
        <v/>
      </c>
      <c r="Z91" s="62" t="str" cm="1">
        <f t="array" ref="Z91">Common_InputFunctions.Utility_DisplayArrayInTable(Fertiliser_SourceData.Fertiliser_Products_Data1(),FertiliserProducts[[#Headers],[Include or Exclude]], 0,4)</f>
        <v/>
      </c>
      <c r="AA91" s="62" t="str" cm="1">
        <f t="array" ref="AA91">Common_InputFunctions.Utility_DisplayArrayInTable(Fertiliser_SourceData.Fertiliser_Products_Data1(),FertiliserProducts[[#Headers],[Include or Exclude]], 0,4)</f>
        <v/>
      </c>
      <c r="AB91" s="62" t="str" cm="1">
        <f t="array" ref="AB91">Common_InputFunctions.Utility_DisplayArrayInTable(Fertiliser_SourceData.Fertiliser_Products_Data1(),FertiliserProducts[[#Headers],[Include or Exclude]], 0,4)</f>
        <v/>
      </c>
      <c r="AC91" s="62" t="str" cm="1">
        <f t="array" ref="AC91">Common_InputFunctions.Utility_DisplayArrayInTable(Fertiliser_SourceData.Fertiliser_Products_Data1(),FertiliserProducts[[#Headers],[Include or Exclude]], 0,4)</f>
        <v/>
      </c>
      <c r="AD91" s="62" t="str" cm="1">
        <f t="array" ref="AD91">Common_InputFunctions.Utility_DisplayArrayInTable(Fertiliser_SourceData.Fertiliser_Products_Data1(),FertiliserProducts[[#Headers],[Include or Exclude]], 0,4)</f>
        <v/>
      </c>
      <c r="AE91" s="62" t="str" cm="1">
        <f t="array" ref="AE91">Common_InputFunctions.Utility_DisplayArrayInTable(Fertiliser_SourceData.Fertiliser_Products_Data1(),FertiliserProducts[[#Headers],[Include or Exclude]], 0,4)</f>
        <v/>
      </c>
    </row>
    <row r="92" spans="1:31" ht="20.100000000000001" customHeight="1" x14ac:dyDescent="0.25">
      <c r="A92"/>
      <c r="D92" s="62" t="str" cm="1">
        <f t="array" ref="D92">Common_InputFunctions.Utility_DisplayArrayInTable(Fertiliser_SourceData.Fertiliser_Products_Data1(),FertiliserProducts[[#Headers],[Include or Exclude]], -1)</f>
        <v>Include</v>
      </c>
      <c r="E92" s="62" t="str" cm="1">
        <f t="array" ref="E92">Common_InputFunctions.Utility_DisplayArrayInTable(Fertiliser_SourceData.Fertiliser_Products_Data1(),FertiliserProducts[[#Headers],[Include or Exclude]], 0)</f>
        <v/>
      </c>
      <c r="F92" s="62" t="str" cm="1">
        <f t="array" ref="F92">Common_InputFunctions.Utility_DisplayArrayInTable(Fertiliser_SourceData.Fertiliser_Products_Data1(),FertiliserProducts[[#Headers],[Include or Exclude]], 0)</f>
        <v>Campbells fertilisers Australia</v>
      </c>
      <c r="G92" s="62" t="str" cm="1">
        <f t="array" ref="G92">Common_InputFunctions.Utility_DisplayArrayInTable(Fertiliser_SourceData.Fertiliser_Products_Data1(),FertiliserProducts[[#Headers],[Include or Exclude]], 0)</f>
        <v>Aqua Nitro AN</v>
      </c>
      <c r="H92" s="62" t="str" cm="1">
        <f t="array" ref="H92">Common_InputFunctions.Utility_DisplayArrayInTable(Fertiliser_SourceData.Fertiliser_Products_Data1(),FertiliserProducts[[#Headers],[Include or Exclude]], 0,4)</f>
        <v>L</v>
      </c>
      <c r="I92" s="62" cm="1">
        <f t="array" ref="I92">Common_InputFunctions.Utility_DisplayArrayInTable(Fertiliser_SourceData.Fertiliser_Products_Data1(),FertiliserProducts[[#Headers],[Include or Exclude]], 0,4)</f>
        <v>1.24</v>
      </c>
      <c r="J92" s="62" t="str" cm="1">
        <f t="array" ref="J92">Common_InputFunctions.Utility_DisplayArrayInTable(Fertiliser_SourceData.Fertiliser_Products_Data1(),FertiliserProducts[[#Headers],[Include or Exclude]], 0,4)</f>
        <v/>
      </c>
      <c r="K92" s="62" t="str" cm="1">
        <f t="array" ref="K92">Common_InputFunctions.Utility_DisplayArrayInTable(Fertiliser_SourceData.Fertiliser_Products_Data1(),FertiliserProducts[[#Headers],[Include or Exclude]], 0,4)</f>
        <v/>
      </c>
      <c r="L92" s="62" t="str" cm="1">
        <f t="array" ref="L92">Common_InputFunctions.Utility_DisplayArrayInTable(Fertiliser_SourceData.Fertiliser_Products_Data1(),FertiliserProducts[[#Headers],[Include or Exclude]], 0,4)</f>
        <v>Nitrogen - Ammoniacal</v>
      </c>
      <c r="M92" s="62" cm="1">
        <f t="array" ref="M92">Common_InputFunctions.Utility_DisplayArrayInTable(Fertiliser_SourceData.Fertiliser_Products_Data1(),FertiliserProducts[[#Headers],[Include or Exclude]], 0,4)</f>
        <v>0.223</v>
      </c>
      <c r="N92" s="62" t="str" cm="1">
        <f t="array" ref="N92">Common_InputFunctions.Utility_DisplayArrayInTable(Fertiliser_SourceData.Fertiliser_Products_Data1(),FertiliserProducts[[#Headers],[Include or Exclude]], 0,4)</f>
        <v/>
      </c>
      <c r="O92" s="62" t="str" cm="1">
        <f t="array" ref="O92">Common_InputFunctions.Utility_DisplayArrayInTable(Fertiliser_SourceData.Fertiliser_Products_Data1(),FertiliserProducts[[#Headers],[Include or Exclude]], 0,4)</f>
        <v/>
      </c>
      <c r="P92" s="62" t="str" cm="1">
        <f t="array" ref="P92">Common_InputFunctions.Utility_DisplayArrayInTable(Fertiliser_SourceData.Fertiliser_Products_Data1(),FertiliserProducts[[#Headers],[Include or Exclude]], 0,4)</f>
        <v/>
      </c>
      <c r="Q92" s="62" t="str" cm="1">
        <f t="array" ref="Q92">Common_InputFunctions.Utility_DisplayArrayInTable(Fertiliser_SourceData.Fertiliser_Products_Data1(),FertiliserProducts[[#Headers],[Include or Exclude]], 0,4)</f>
        <v/>
      </c>
      <c r="R92" s="62" t="str" cm="1">
        <f t="array" ref="R92">Common_InputFunctions.Utility_DisplayArrayInTable(Fertiliser_SourceData.Fertiliser_Products_Data1(),FertiliserProducts[[#Headers],[Include or Exclude]], 0,4)</f>
        <v/>
      </c>
      <c r="S92" s="62" t="str" cm="1">
        <f t="array" ref="S92">Common_InputFunctions.Utility_DisplayArrayInTable(Fertiliser_SourceData.Fertiliser_Products_Data1(),FertiliserProducts[[#Headers],[Include or Exclude]], 0,4)</f>
        <v/>
      </c>
      <c r="T92" s="62" t="str" cm="1">
        <f t="array" ref="T92">Common_InputFunctions.Utility_DisplayArrayInTable(Fertiliser_SourceData.Fertiliser_Products_Data1(),FertiliserProducts[[#Headers],[Include or Exclude]], 0,4)</f>
        <v/>
      </c>
      <c r="U92" s="62" t="str" cm="1">
        <f t="array" ref="U92">Common_InputFunctions.Utility_DisplayArrayInTable(Fertiliser_SourceData.Fertiliser_Products_Data1(),FertiliserProducts[[#Headers],[Include or Exclude]], 0,4)</f>
        <v/>
      </c>
      <c r="V92" s="62" t="str" cm="1">
        <f t="array" ref="V92">Common_InputFunctions.Utility_DisplayArrayInTable(Fertiliser_SourceData.Fertiliser_Products_Data1(),FertiliserProducts[[#Headers],[Include or Exclude]], 0,4)</f>
        <v/>
      </c>
      <c r="W92" s="62" t="str" cm="1">
        <f t="array" ref="W92">Common_InputFunctions.Utility_DisplayArrayInTable(Fertiliser_SourceData.Fertiliser_Products_Data1(),FertiliserProducts[[#Headers],[Include or Exclude]], 0,4)</f>
        <v/>
      </c>
      <c r="X92" s="62" t="str" cm="1">
        <f t="array" ref="X92">Common_InputFunctions.Utility_DisplayArrayInTable(Fertiliser_SourceData.Fertiliser_Products_Data1(),FertiliserProducts[[#Headers],[Include or Exclude]], 0,4)</f>
        <v/>
      </c>
      <c r="Y92" s="62" t="str" cm="1">
        <f t="array" ref="Y92">Common_InputFunctions.Utility_DisplayArrayInTable(Fertiliser_SourceData.Fertiliser_Products_Data1(),FertiliserProducts[[#Headers],[Include or Exclude]], 0,4)</f>
        <v/>
      </c>
      <c r="Z92" s="62" t="str" cm="1">
        <f t="array" ref="Z92">Common_InputFunctions.Utility_DisplayArrayInTable(Fertiliser_SourceData.Fertiliser_Products_Data1(),FertiliserProducts[[#Headers],[Include or Exclude]], 0,4)</f>
        <v/>
      </c>
      <c r="AA92" s="62" t="str" cm="1">
        <f t="array" ref="AA92">Common_InputFunctions.Utility_DisplayArrayInTable(Fertiliser_SourceData.Fertiliser_Products_Data1(),FertiliserProducts[[#Headers],[Include or Exclude]], 0,4)</f>
        <v/>
      </c>
      <c r="AB92" s="62" t="str" cm="1">
        <f t="array" ref="AB92">Common_InputFunctions.Utility_DisplayArrayInTable(Fertiliser_SourceData.Fertiliser_Products_Data1(),FertiliserProducts[[#Headers],[Include or Exclude]], 0,4)</f>
        <v/>
      </c>
      <c r="AC92" s="62" t="str" cm="1">
        <f t="array" ref="AC92">Common_InputFunctions.Utility_DisplayArrayInTable(Fertiliser_SourceData.Fertiliser_Products_Data1(),FertiliserProducts[[#Headers],[Include or Exclude]], 0,4)</f>
        <v/>
      </c>
      <c r="AD92" s="62" t="str" cm="1">
        <f t="array" ref="AD92">Common_InputFunctions.Utility_DisplayArrayInTable(Fertiliser_SourceData.Fertiliser_Products_Data1(),FertiliserProducts[[#Headers],[Include or Exclude]], 0,4)</f>
        <v/>
      </c>
      <c r="AE92" s="62" t="str" cm="1">
        <f t="array" ref="AE92">Common_InputFunctions.Utility_DisplayArrayInTable(Fertiliser_SourceData.Fertiliser_Products_Data1(),FertiliserProducts[[#Headers],[Include or Exclude]], 0,4)</f>
        <v/>
      </c>
    </row>
    <row r="93" spans="1:31" ht="20.100000000000001" customHeight="1" x14ac:dyDescent="0.25">
      <c r="A93"/>
      <c r="D93" s="62" t="str" cm="1">
        <f t="array" ref="D93">Common_InputFunctions.Utility_DisplayArrayInTable(Fertiliser_SourceData.Fertiliser_Products_Data1(),FertiliserProducts[[#Headers],[Include or Exclude]], -1)</f>
        <v>Include</v>
      </c>
      <c r="E93" s="62" t="str" cm="1">
        <f t="array" ref="E93">Common_InputFunctions.Utility_DisplayArrayInTable(Fertiliser_SourceData.Fertiliser_Products_Data1(),FertiliserProducts[[#Headers],[Include or Exclude]], 0)</f>
        <v>Use Lime EF for calcium</v>
      </c>
      <c r="F93" s="62" t="str" cm="1">
        <f t="array" ref="F93">Common_InputFunctions.Utility_DisplayArrayInTable(Fertiliser_SourceData.Fertiliser_Products_Data1(),FertiliserProducts[[#Headers],[Include or Exclude]], 0)</f>
        <v>Campbells fertilisers Australia</v>
      </c>
      <c r="G93" s="62" t="str" cm="1">
        <f t="array" ref="G93">Common_InputFunctions.Utility_DisplayArrayInTable(Fertiliser_SourceData.Fertiliser_Products_Data1(),FertiliserProducts[[#Headers],[Include or Exclude]], 0)</f>
        <v>Aqua NitroCal</v>
      </c>
      <c r="H93" s="62" t="str" cm="1">
        <f t="array" ref="H93">Common_InputFunctions.Utility_DisplayArrayInTable(Fertiliser_SourceData.Fertiliser_Products_Data1(),FertiliserProducts[[#Headers],[Include or Exclude]], 0,4)</f>
        <v>L</v>
      </c>
      <c r="I93" s="62" cm="1">
        <f t="array" ref="I93">Common_InputFunctions.Utility_DisplayArrayInTable(Fertiliser_SourceData.Fertiliser_Products_Data1(),FertiliserProducts[[#Headers],[Include or Exclude]], 0,4)</f>
        <v>1.5</v>
      </c>
      <c r="J93" s="62" t="str" cm="1">
        <f t="array" ref="J93">Common_InputFunctions.Utility_DisplayArrayInTable(Fertiliser_SourceData.Fertiliser_Products_Data1(),FertiliserProducts[[#Headers],[Include or Exclude]], 0,4)</f>
        <v/>
      </c>
      <c r="K93" s="62" t="str" cm="1">
        <f t="array" ref="K93">Common_InputFunctions.Utility_DisplayArrayInTable(Fertiliser_SourceData.Fertiliser_Products_Data1(),FertiliserProducts[[#Headers],[Include or Exclude]], 0,4)</f>
        <v/>
      </c>
      <c r="L93" s="62" t="str" cm="1">
        <f t="array" ref="L93">Common_InputFunctions.Utility_DisplayArrayInTable(Fertiliser_SourceData.Fertiliser_Products_Data1(),FertiliserProducts[[#Headers],[Include or Exclude]], 0,4)</f>
        <v>Calcium - Generic</v>
      </c>
      <c r="M93" s="62" cm="1">
        <f t="array" ref="M93">Common_InputFunctions.Utility_DisplayArrayInTable(Fertiliser_SourceData.Fertiliser_Products_Data1(),FertiliserProducts[[#Headers],[Include or Exclude]], 0,4)</f>
        <v>0.16200000000000001</v>
      </c>
      <c r="N93" s="62" t="str" cm="1">
        <f t="array" ref="N93">Common_InputFunctions.Utility_DisplayArrayInTable(Fertiliser_SourceData.Fertiliser_Products_Data1(),FertiliserProducts[[#Headers],[Include or Exclude]], 0,4)</f>
        <v>Nitrogen - Nitrate</v>
      </c>
      <c r="O93" s="62" cm="1">
        <f t="array" ref="O93">Common_InputFunctions.Utility_DisplayArrayInTable(Fertiliser_SourceData.Fertiliser_Products_Data1(),FertiliserProducts[[#Headers],[Include or Exclude]], 0,4)</f>
        <v>0.13200000000000001</v>
      </c>
      <c r="P93" s="62" t="str" cm="1">
        <f t="array" ref="P93">Common_InputFunctions.Utility_DisplayArrayInTable(Fertiliser_SourceData.Fertiliser_Products_Data1(),FertiliserProducts[[#Headers],[Include or Exclude]], 0,4)</f>
        <v/>
      </c>
      <c r="Q93" s="62" t="str" cm="1">
        <f t="array" ref="Q93">Common_InputFunctions.Utility_DisplayArrayInTable(Fertiliser_SourceData.Fertiliser_Products_Data1(),FertiliserProducts[[#Headers],[Include or Exclude]], 0,4)</f>
        <v/>
      </c>
      <c r="R93" s="62" t="str" cm="1">
        <f t="array" ref="R93">Common_InputFunctions.Utility_DisplayArrayInTable(Fertiliser_SourceData.Fertiliser_Products_Data1(),FertiliserProducts[[#Headers],[Include or Exclude]], 0,4)</f>
        <v/>
      </c>
      <c r="S93" s="62" t="str" cm="1">
        <f t="array" ref="S93">Common_InputFunctions.Utility_DisplayArrayInTable(Fertiliser_SourceData.Fertiliser_Products_Data1(),FertiliserProducts[[#Headers],[Include or Exclude]], 0,4)</f>
        <v/>
      </c>
      <c r="T93" s="62" t="str" cm="1">
        <f t="array" ref="T93">Common_InputFunctions.Utility_DisplayArrayInTable(Fertiliser_SourceData.Fertiliser_Products_Data1(),FertiliserProducts[[#Headers],[Include or Exclude]], 0,4)</f>
        <v/>
      </c>
      <c r="U93" s="62" t="str" cm="1">
        <f t="array" ref="U93">Common_InputFunctions.Utility_DisplayArrayInTable(Fertiliser_SourceData.Fertiliser_Products_Data1(),FertiliserProducts[[#Headers],[Include or Exclude]], 0,4)</f>
        <v/>
      </c>
      <c r="V93" s="62" t="str" cm="1">
        <f t="array" ref="V93">Common_InputFunctions.Utility_DisplayArrayInTable(Fertiliser_SourceData.Fertiliser_Products_Data1(),FertiliserProducts[[#Headers],[Include or Exclude]], 0,4)</f>
        <v/>
      </c>
      <c r="W93" s="62" t="str" cm="1">
        <f t="array" ref="W93">Common_InputFunctions.Utility_DisplayArrayInTable(Fertiliser_SourceData.Fertiliser_Products_Data1(),FertiliserProducts[[#Headers],[Include or Exclude]], 0,4)</f>
        <v/>
      </c>
      <c r="X93" s="62" t="str" cm="1">
        <f t="array" ref="X93">Common_InputFunctions.Utility_DisplayArrayInTable(Fertiliser_SourceData.Fertiliser_Products_Data1(),FertiliserProducts[[#Headers],[Include or Exclude]], 0,4)</f>
        <v/>
      </c>
      <c r="Y93" s="62" t="str" cm="1">
        <f t="array" ref="Y93">Common_InputFunctions.Utility_DisplayArrayInTable(Fertiliser_SourceData.Fertiliser_Products_Data1(),FertiliserProducts[[#Headers],[Include or Exclude]], 0,4)</f>
        <v/>
      </c>
      <c r="Z93" s="62" t="str" cm="1">
        <f t="array" ref="Z93">Common_InputFunctions.Utility_DisplayArrayInTable(Fertiliser_SourceData.Fertiliser_Products_Data1(),FertiliserProducts[[#Headers],[Include or Exclude]], 0,4)</f>
        <v/>
      </c>
      <c r="AA93" s="62" t="str" cm="1">
        <f t="array" ref="AA93">Common_InputFunctions.Utility_DisplayArrayInTable(Fertiliser_SourceData.Fertiliser_Products_Data1(),FertiliserProducts[[#Headers],[Include or Exclude]], 0,4)</f>
        <v/>
      </c>
      <c r="AB93" s="62" t="str" cm="1">
        <f t="array" ref="AB93">Common_InputFunctions.Utility_DisplayArrayInTable(Fertiliser_SourceData.Fertiliser_Products_Data1(),FertiliserProducts[[#Headers],[Include or Exclude]], 0,4)</f>
        <v/>
      </c>
      <c r="AC93" s="62" t="str" cm="1">
        <f t="array" ref="AC93">Common_InputFunctions.Utility_DisplayArrayInTable(Fertiliser_SourceData.Fertiliser_Products_Data1(),FertiliserProducts[[#Headers],[Include or Exclude]], 0,4)</f>
        <v/>
      </c>
      <c r="AD93" s="62" t="str" cm="1">
        <f t="array" ref="AD93">Common_InputFunctions.Utility_DisplayArrayInTable(Fertiliser_SourceData.Fertiliser_Products_Data1(),FertiliserProducts[[#Headers],[Include or Exclude]], 0,4)</f>
        <v/>
      </c>
      <c r="AE93" s="62" t="str" cm="1">
        <f t="array" ref="AE93">Common_InputFunctions.Utility_DisplayArrayInTable(Fertiliser_SourceData.Fertiliser_Products_Data1(),FertiliserProducts[[#Headers],[Include or Exclude]], 0,4)</f>
        <v/>
      </c>
    </row>
    <row r="94" spans="1:31" ht="20.100000000000001" customHeight="1" x14ac:dyDescent="0.25">
      <c r="A94"/>
      <c r="D94" s="62" t="str" cm="1">
        <f t="array" ref="D94">Common_InputFunctions.Utility_DisplayArrayInTable(Fertiliser_SourceData.Fertiliser_Products_Data1(),FertiliserProducts[[#Headers],[Include or Exclude]], -1)</f>
        <v>Include</v>
      </c>
      <c r="E94" s="62" t="str" cm="1">
        <f t="array" ref="E94">Common_InputFunctions.Utility_DisplayArrayInTable(Fertiliser_SourceData.Fertiliser_Products_Data1(),FertiliserProducts[[#Headers],[Include or Exclude]], 0)</f>
        <v>Use Lime EF for calcium</v>
      </c>
      <c r="F94" s="62" t="str" cm="1">
        <f t="array" ref="F94">Common_InputFunctions.Utility_DisplayArrayInTable(Fertiliser_SourceData.Fertiliser_Products_Data1(),FertiliserProducts[[#Headers],[Include or Exclude]], 0)</f>
        <v>Campbells fertilisers Australia</v>
      </c>
      <c r="G94" s="62" t="str" cm="1">
        <f t="array" ref="G94">Common_InputFunctions.Utility_DisplayArrayInTable(Fertiliser_SourceData.Fertiliser_Products_Data1(),FertiliserProducts[[#Headers],[Include or Exclude]], 0)</f>
        <v>Aqua NitroCal (VI)</v>
      </c>
      <c r="H94" s="62" t="str" cm="1">
        <f t="array" ref="H94">Common_InputFunctions.Utility_DisplayArrayInTable(Fertiliser_SourceData.Fertiliser_Products_Data1(),FertiliserProducts[[#Headers],[Include or Exclude]], 0,4)</f>
        <v>L</v>
      </c>
      <c r="I94" s="62" cm="1">
        <f t="array" ref="I94">Common_InputFunctions.Utility_DisplayArrayInTable(Fertiliser_SourceData.Fertiliser_Products_Data1(),FertiliserProducts[[#Headers],[Include or Exclude]], 0,4)</f>
        <v>1.5</v>
      </c>
      <c r="J94" s="62" t="str" cm="1">
        <f t="array" ref="J94">Common_InputFunctions.Utility_DisplayArrayInTable(Fertiliser_SourceData.Fertiliser_Products_Data1(),FertiliserProducts[[#Headers],[Include or Exclude]], 0,4)</f>
        <v/>
      </c>
      <c r="K94" s="62" t="str" cm="1">
        <f t="array" ref="K94">Common_InputFunctions.Utility_DisplayArrayInTable(Fertiliser_SourceData.Fertiliser_Products_Data1(),FertiliserProducts[[#Headers],[Include or Exclude]], 0,4)</f>
        <v/>
      </c>
      <c r="L94" s="62" t="str" cm="1">
        <f t="array" ref="L94">Common_InputFunctions.Utility_DisplayArrayInTable(Fertiliser_SourceData.Fertiliser_Products_Data1(),FertiliserProducts[[#Headers],[Include or Exclude]], 0,4)</f>
        <v>Calcium - Generic</v>
      </c>
      <c r="M94" s="62" cm="1">
        <f t="array" ref="M94">Common_InputFunctions.Utility_DisplayArrayInTable(Fertiliser_SourceData.Fertiliser_Products_Data1(),FertiliserProducts[[#Headers],[Include or Exclude]], 0,4)</f>
        <v>0.187</v>
      </c>
      <c r="N94" s="62" t="str" cm="1">
        <f t="array" ref="N94">Common_InputFunctions.Utility_DisplayArrayInTable(Fertiliser_SourceData.Fertiliser_Products_Data1(),FertiliserProducts[[#Headers],[Include or Exclude]], 0,4)</f>
        <v>Nitrogen - Nitrate</v>
      </c>
      <c r="O94" s="62" cm="1">
        <f t="array" ref="O94">Common_InputFunctions.Utility_DisplayArrayInTable(Fertiliser_SourceData.Fertiliser_Products_Data1(),FertiliserProducts[[#Headers],[Include or Exclude]], 0,4)</f>
        <v>0.13200000000000001</v>
      </c>
      <c r="P94" s="62" t="str" cm="1">
        <f t="array" ref="P94">Common_InputFunctions.Utility_DisplayArrayInTable(Fertiliser_SourceData.Fertiliser_Products_Data1(),FertiliserProducts[[#Headers],[Include or Exclude]], 0,4)</f>
        <v/>
      </c>
      <c r="Q94" s="62" t="str" cm="1">
        <f t="array" ref="Q94">Common_InputFunctions.Utility_DisplayArrayInTable(Fertiliser_SourceData.Fertiliser_Products_Data1(),FertiliserProducts[[#Headers],[Include or Exclude]], 0,4)</f>
        <v/>
      </c>
      <c r="R94" s="62" t="str" cm="1">
        <f t="array" ref="R94">Common_InputFunctions.Utility_DisplayArrayInTable(Fertiliser_SourceData.Fertiliser_Products_Data1(),FertiliserProducts[[#Headers],[Include or Exclude]], 0,4)</f>
        <v/>
      </c>
      <c r="S94" s="62" t="str" cm="1">
        <f t="array" ref="S94">Common_InputFunctions.Utility_DisplayArrayInTable(Fertiliser_SourceData.Fertiliser_Products_Data1(),FertiliserProducts[[#Headers],[Include or Exclude]], 0,4)</f>
        <v/>
      </c>
      <c r="T94" s="62" t="str" cm="1">
        <f t="array" ref="T94">Common_InputFunctions.Utility_DisplayArrayInTable(Fertiliser_SourceData.Fertiliser_Products_Data1(),FertiliserProducts[[#Headers],[Include or Exclude]], 0,4)</f>
        <v/>
      </c>
      <c r="U94" s="62" t="str" cm="1">
        <f t="array" ref="U94">Common_InputFunctions.Utility_DisplayArrayInTable(Fertiliser_SourceData.Fertiliser_Products_Data1(),FertiliserProducts[[#Headers],[Include or Exclude]], 0,4)</f>
        <v/>
      </c>
      <c r="V94" s="62" t="str" cm="1">
        <f t="array" ref="V94">Common_InputFunctions.Utility_DisplayArrayInTable(Fertiliser_SourceData.Fertiliser_Products_Data1(),FertiliserProducts[[#Headers],[Include or Exclude]], 0,4)</f>
        <v/>
      </c>
      <c r="W94" s="62" t="str" cm="1">
        <f t="array" ref="W94">Common_InputFunctions.Utility_DisplayArrayInTable(Fertiliser_SourceData.Fertiliser_Products_Data1(),FertiliserProducts[[#Headers],[Include or Exclude]], 0,4)</f>
        <v/>
      </c>
      <c r="X94" s="62" t="str" cm="1">
        <f t="array" ref="X94">Common_InputFunctions.Utility_DisplayArrayInTable(Fertiliser_SourceData.Fertiliser_Products_Data1(),FertiliserProducts[[#Headers],[Include or Exclude]], 0,4)</f>
        <v/>
      </c>
      <c r="Y94" s="62" t="str" cm="1">
        <f t="array" ref="Y94">Common_InputFunctions.Utility_DisplayArrayInTable(Fertiliser_SourceData.Fertiliser_Products_Data1(),FertiliserProducts[[#Headers],[Include or Exclude]], 0,4)</f>
        <v/>
      </c>
      <c r="Z94" s="62" t="str" cm="1">
        <f t="array" ref="Z94">Common_InputFunctions.Utility_DisplayArrayInTable(Fertiliser_SourceData.Fertiliser_Products_Data1(),FertiliserProducts[[#Headers],[Include or Exclude]], 0,4)</f>
        <v/>
      </c>
      <c r="AA94" s="62" t="str" cm="1">
        <f t="array" ref="AA94">Common_InputFunctions.Utility_DisplayArrayInTable(Fertiliser_SourceData.Fertiliser_Products_Data1(),FertiliserProducts[[#Headers],[Include or Exclude]], 0,4)</f>
        <v/>
      </c>
      <c r="AB94" s="62" t="str" cm="1">
        <f t="array" ref="AB94">Common_InputFunctions.Utility_DisplayArrayInTable(Fertiliser_SourceData.Fertiliser_Products_Data1(),FertiliserProducts[[#Headers],[Include or Exclude]], 0,4)</f>
        <v/>
      </c>
      <c r="AC94" s="62" t="str" cm="1">
        <f t="array" ref="AC94">Common_InputFunctions.Utility_DisplayArrayInTable(Fertiliser_SourceData.Fertiliser_Products_Data1(),FertiliserProducts[[#Headers],[Include or Exclude]], 0,4)</f>
        <v/>
      </c>
      <c r="AD94" s="62" t="str" cm="1">
        <f t="array" ref="AD94">Common_InputFunctions.Utility_DisplayArrayInTable(Fertiliser_SourceData.Fertiliser_Products_Data1(),FertiliserProducts[[#Headers],[Include or Exclude]], 0,4)</f>
        <v/>
      </c>
      <c r="AE94" s="62" t="str" cm="1">
        <f t="array" ref="AE94">Common_InputFunctions.Utility_DisplayArrayInTable(Fertiliser_SourceData.Fertiliser_Products_Data1(),FertiliserProducts[[#Headers],[Include or Exclude]], 0,4)</f>
        <v/>
      </c>
    </row>
    <row r="95" spans="1:31" ht="20.100000000000001" customHeight="1" x14ac:dyDescent="0.25">
      <c r="A95"/>
      <c r="D95" s="62" t="str" cm="1">
        <f t="array" ref="D95">Common_InputFunctions.Utility_DisplayArrayInTable(Fertiliser_SourceData.Fertiliser_Products_Data1(),FertiliserProducts[[#Headers],[Include or Exclude]], -1)</f>
        <v>Include</v>
      </c>
      <c r="E95" s="62" t="str" cm="1">
        <f t="array" ref="E95">Common_InputFunctions.Utility_DisplayArrayInTable(Fertiliser_SourceData.Fertiliser_Products_Data1(),FertiliserProducts[[#Headers],[Include or Exclude]], 0)</f>
        <v>Use Lime EF for calcium</v>
      </c>
      <c r="F95" s="62" t="str" cm="1">
        <f t="array" ref="F95">Common_InputFunctions.Utility_DisplayArrayInTable(Fertiliser_SourceData.Fertiliser_Products_Data1(),FertiliserProducts[[#Headers],[Include or Exclude]], 0)</f>
        <v>Campbells fertilisers Australia</v>
      </c>
      <c r="G95" s="62" t="str" cm="1">
        <f t="array" ref="G95">Common_InputFunctions.Utility_DisplayArrayInTable(Fertiliser_SourceData.Fertiliser_Products_Data1(),FertiliserProducts[[#Headers],[Include or Exclude]], 0)</f>
        <v>Aqua NitroCal Ultimate</v>
      </c>
      <c r="H95" s="62" t="str" cm="1">
        <f t="array" ref="H95">Common_InputFunctions.Utility_DisplayArrayInTable(Fertiliser_SourceData.Fertiliser_Products_Data1(),FertiliserProducts[[#Headers],[Include or Exclude]], 0,4)</f>
        <v>L</v>
      </c>
      <c r="I95" s="62" cm="1">
        <f t="array" ref="I95">Common_InputFunctions.Utility_DisplayArrayInTable(Fertiliser_SourceData.Fertiliser_Products_Data1(),FertiliserProducts[[#Headers],[Include or Exclude]], 0,4)</f>
        <v>1.5</v>
      </c>
      <c r="J95" s="62" t="str" cm="1">
        <f t="array" ref="J95">Common_InputFunctions.Utility_DisplayArrayInTable(Fertiliser_SourceData.Fertiliser_Products_Data1(),FertiliserProducts[[#Headers],[Include or Exclude]], 0,4)</f>
        <v/>
      </c>
      <c r="K95" s="62" t="str" cm="1">
        <f t="array" ref="K95">Common_InputFunctions.Utility_DisplayArrayInTable(Fertiliser_SourceData.Fertiliser_Products_Data1(),FertiliserProducts[[#Headers],[Include or Exclude]], 0,4)</f>
        <v/>
      </c>
      <c r="L95" s="62" t="str" cm="1">
        <f t="array" ref="L95">Common_InputFunctions.Utility_DisplayArrayInTable(Fertiliser_SourceData.Fertiliser_Products_Data1(),FertiliserProducts[[#Headers],[Include or Exclude]], 0,4)</f>
        <v>Calcium - Generic</v>
      </c>
      <c r="M95" s="62" cm="1">
        <f t="array" ref="M95">Common_InputFunctions.Utility_DisplayArrayInTable(Fertiliser_SourceData.Fertiliser_Products_Data1(),FertiliserProducts[[#Headers],[Include or Exclude]], 0,4)</f>
        <v>0.183</v>
      </c>
      <c r="N95" s="62" t="str" cm="1">
        <f t="array" ref="N95">Common_InputFunctions.Utility_DisplayArrayInTable(Fertiliser_SourceData.Fertiliser_Products_Data1(),FertiliserProducts[[#Headers],[Include or Exclude]], 0,4)</f>
        <v>Nitrogen  - Nitrate</v>
      </c>
      <c r="O95" s="62" cm="1">
        <f t="array" ref="O95">Common_InputFunctions.Utility_DisplayArrayInTable(Fertiliser_SourceData.Fertiliser_Products_Data1(),FertiliserProducts[[#Headers],[Include or Exclude]], 0,4)</f>
        <v>0.13200000000000001</v>
      </c>
      <c r="P95" s="62" t="str" cm="1">
        <f t="array" ref="P95">Common_InputFunctions.Utility_DisplayArrayInTable(Fertiliser_SourceData.Fertiliser_Products_Data1(),FertiliserProducts[[#Headers],[Include or Exclude]], 0,4)</f>
        <v/>
      </c>
      <c r="Q95" s="62" t="str" cm="1">
        <f t="array" ref="Q95">Common_InputFunctions.Utility_DisplayArrayInTable(Fertiliser_SourceData.Fertiliser_Products_Data1(),FertiliserProducts[[#Headers],[Include or Exclude]], 0,4)</f>
        <v/>
      </c>
      <c r="R95" s="62" t="str" cm="1">
        <f t="array" ref="R95">Common_InputFunctions.Utility_DisplayArrayInTable(Fertiliser_SourceData.Fertiliser_Products_Data1(),FertiliserProducts[[#Headers],[Include or Exclude]], 0,4)</f>
        <v/>
      </c>
      <c r="S95" s="62" t="str" cm="1">
        <f t="array" ref="S95">Common_InputFunctions.Utility_DisplayArrayInTable(Fertiliser_SourceData.Fertiliser_Products_Data1(),FertiliserProducts[[#Headers],[Include or Exclude]], 0,4)</f>
        <v/>
      </c>
      <c r="T95" s="62" t="str" cm="1">
        <f t="array" ref="T95">Common_InputFunctions.Utility_DisplayArrayInTable(Fertiliser_SourceData.Fertiliser_Products_Data1(),FertiliserProducts[[#Headers],[Include or Exclude]], 0,4)</f>
        <v/>
      </c>
      <c r="U95" s="62" t="str" cm="1">
        <f t="array" ref="U95">Common_InputFunctions.Utility_DisplayArrayInTable(Fertiliser_SourceData.Fertiliser_Products_Data1(),FertiliserProducts[[#Headers],[Include or Exclude]], 0,4)</f>
        <v/>
      </c>
      <c r="V95" s="62" t="str" cm="1">
        <f t="array" ref="V95">Common_InputFunctions.Utility_DisplayArrayInTable(Fertiliser_SourceData.Fertiliser_Products_Data1(),FertiliserProducts[[#Headers],[Include or Exclude]], 0,4)</f>
        <v/>
      </c>
      <c r="W95" s="62" t="str" cm="1">
        <f t="array" ref="W95">Common_InputFunctions.Utility_DisplayArrayInTable(Fertiliser_SourceData.Fertiliser_Products_Data1(),FertiliserProducts[[#Headers],[Include or Exclude]], 0,4)</f>
        <v/>
      </c>
      <c r="X95" s="62" t="str" cm="1">
        <f t="array" ref="X95">Common_InputFunctions.Utility_DisplayArrayInTable(Fertiliser_SourceData.Fertiliser_Products_Data1(),FertiliserProducts[[#Headers],[Include or Exclude]], 0,4)</f>
        <v/>
      </c>
      <c r="Y95" s="62" t="str" cm="1">
        <f t="array" ref="Y95">Common_InputFunctions.Utility_DisplayArrayInTable(Fertiliser_SourceData.Fertiliser_Products_Data1(),FertiliserProducts[[#Headers],[Include or Exclude]], 0,4)</f>
        <v/>
      </c>
      <c r="Z95" s="62" t="str" cm="1">
        <f t="array" ref="Z95">Common_InputFunctions.Utility_DisplayArrayInTable(Fertiliser_SourceData.Fertiliser_Products_Data1(),FertiliserProducts[[#Headers],[Include or Exclude]], 0,4)</f>
        <v/>
      </c>
      <c r="AA95" s="62" t="str" cm="1">
        <f t="array" ref="AA95">Common_InputFunctions.Utility_DisplayArrayInTable(Fertiliser_SourceData.Fertiliser_Products_Data1(),FertiliserProducts[[#Headers],[Include or Exclude]], 0,4)</f>
        <v/>
      </c>
      <c r="AB95" s="62" t="str" cm="1">
        <f t="array" ref="AB95">Common_InputFunctions.Utility_DisplayArrayInTable(Fertiliser_SourceData.Fertiliser_Products_Data1(),FertiliserProducts[[#Headers],[Include or Exclude]], 0,4)</f>
        <v/>
      </c>
      <c r="AC95" s="62" t="str" cm="1">
        <f t="array" ref="AC95">Common_InputFunctions.Utility_DisplayArrayInTable(Fertiliser_SourceData.Fertiliser_Products_Data1(),FertiliserProducts[[#Headers],[Include or Exclude]], 0,4)</f>
        <v/>
      </c>
      <c r="AD95" s="62" t="str" cm="1">
        <f t="array" ref="AD95">Common_InputFunctions.Utility_DisplayArrayInTable(Fertiliser_SourceData.Fertiliser_Products_Data1(),FertiliserProducts[[#Headers],[Include or Exclude]], 0,4)</f>
        <v/>
      </c>
      <c r="AE95" s="62" t="str" cm="1">
        <f t="array" ref="AE95">Common_InputFunctions.Utility_DisplayArrayInTable(Fertiliser_SourceData.Fertiliser_Products_Data1(),FertiliserProducts[[#Headers],[Include or Exclude]], 0,4)</f>
        <v/>
      </c>
    </row>
    <row r="96" spans="1:31" ht="20.100000000000001" customHeight="1" x14ac:dyDescent="0.25">
      <c r="A96"/>
      <c r="D96" s="62" t="str" cm="1">
        <f t="array" ref="D96">Common_InputFunctions.Utility_DisplayArrayInTable(Fertiliser_SourceData.Fertiliser_Products_Data1(),FertiliserProducts[[#Headers],[Include or Exclude]], -1)</f>
        <v>Include</v>
      </c>
      <c r="E96" s="62" t="str" cm="1">
        <f t="array" ref="E96">Common_InputFunctions.Utility_DisplayArrayInTable(Fertiliser_SourceData.Fertiliser_Products_Data1(),FertiliserProducts[[#Headers],[Include or Exclude]], 0)</f>
        <v/>
      </c>
      <c r="F96" s="62" t="str" cm="1">
        <f t="array" ref="F96">Common_InputFunctions.Utility_DisplayArrayInTable(Fertiliser_SourceData.Fertiliser_Products_Data1(),FertiliserProducts[[#Headers],[Include or Exclude]], 0)</f>
        <v>Campbells fertilisers Australia</v>
      </c>
      <c r="G96" s="62" t="str" cm="1">
        <f t="array" ref="G96">Common_InputFunctions.Utility_DisplayArrayInTable(Fertiliser_SourceData.Fertiliser_Products_Data1(),FertiliserProducts[[#Headers],[Include or Exclude]], 0)</f>
        <v>Aqua Start</v>
      </c>
      <c r="H96" s="62" t="str" cm="1">
        <f t="array" ref="H96">Common_InputFunctions.Utility_DisplayArrayInTable(Fertiliser_SourceData.Fertiliser_Products_Data1(),FertiliserProducts[[#Headers],[Include or Exclude]], 0,4)</f>
        <v>L</v>
      </c>
      <c r="I96" s="62" cm="1">
        <f t="array" ref="I96">Common_InputFunctions.Utility_DisplayArrayInTable(Fertiliser_SourceData.Fertiliser_Products_Data1(),FertiliserProducts[[#Headers],[Include or Exclude]], 0,4)</f>
        <v>1.25</v>
      </c>
      <c r="J96" s="62" t="str" cm="1">
        <f t="array" ref="J96">Common_InputFunctions.Utility_DisplayArrayInTable(Fertiliser_SourceData.Fertiliser_Products_Data1(),FertiliserProducts[[#Headers],[Include or Exclude]], 0,4)</f>
        <v/>
      </c>
      <c r="K96" s="62" t="str" cm="1">
        <f t="array" ref="K96">Common_InputFunctions.Utility_DisplayArrayInTable(Fertiliser_SourceData.Fertiliser_Products_Data1(),FertiliserProducts[[#Headers],[Include or Exclude]], 0,4)</f>
        <v/>
      </c>
      <c r="L96" s="62" t="str" cm="1">
        <f t="array" ref="L96">Common_InputFunctions.Utility_DisplayArrayInTable(Fertiliser_SourceData.Fertiliser_Products_Data1(),FertiliserProducts[[#Headers],[Include or Exclude]], 0,4)</f>
        <v>Nitrogen - Generic</v>
      </c>
      <c r="M96" s="62" cm="1">
        <f t="array" ref="M96">Common_InputFunctions.Utility_DisplayArrayInTable(Fertiliser_SourceData.Fertiliser_Products_Data1(),FertiliserProducts[[#Headers],[Include or Exclude]], 0,4)</f>
        <v>0.10299999999999999</v>
      </c>
      <c r="N96" s="62" t="str" cm="1">
        <f t="array" ref="N96">Common_InputFunctions.Utility_DisplayArrayInTable(Fertiliser_SourceData.Fertiliser_Products_Data1(),FertiliserProducts[[#Headers],[Include or Exclude]], 0,4)</f>
        <v>Phosphorus - Generic</v>
      </c>
      <c r="O96" s="62" cm="1">
        <f t="array" ref="O96">Common_InputFunctions.Utility_DisplayArrayInTable(Fertiliser_SourceData.Fertiliser_Products_Data1(),FertiliserProducts[[#Headers],[Include or Exclude]], 0,4)</f>
        <v>0.1</v>
      </c>
      <c r="P96" s="62" t="str" cm="1">
        <f t="array" ref="P96">Common_InputFunctions.Utility_DisplayArrayInTable(Fertiliser_SourceData.Fertiliser_Products_Data1(),FertiliserProducts[[#Headers],[Include or Exclude]], 0,4)</f>
        <v>Potassium - Generic</v>
      </c>
      <c r="Q96" s="62" cm="1">
        <f t="array" ref="Q96">Common_InputFunctions.Utility_DisplayArrayInTable(Fertiliser_SourceData.Fertiliser_Products_Data1(),FertiliserProducts[[#Headers],[Include or Exclude]], 0,4)</f>
        <v>3.4000000000000002E-2</v>
      </c>
      <c r="R96" s="62" t="str" cm="1">
        <f t="array" ref="R96">Common_InputFunctions.Utility_DisplayArrayInTable(Fertiliser_SourceData.Fertiliser_Products_Data1(),FertiliserProducts[[#Headers],[Include or Exclude]], 0,4)</f>
        <v/>
      </c>
      <c r="S96" s="62" t="str" cm="1">
        <f t="array" ref="S96">Common_InputFunctions.Utility_DisplayArrayInTable(Fertiliser_SourceData.Fertiliser_Products_Data1(),FertiliserProducts[[#Headers],[Include or Exclude]], 0,4)</f>
        <v/>
      </c>
      <c r="T96" s="62" t="str" cm="1">
        <f t="array" ref="T96">Common_InputFunctions.Utility_DisplayArrayInTable(Fertiliser_SourceData.Fertiliser_Products_Data1(),FertiliserProducts[[#Headers],[Include or Exclude]], 0,4)</f>
        <v/>
      </c>
      <c r="U96" s="62" t="str" cm="1">
        <f t="array" ref="U96">Common_InputFunctions.Utility_DisplayArrayInTable(Fertiliser_SourceData.Fertiliser_Products_Data1(),FertiliserProducts[[#Headers],[Include or Exclude]], 0,4)</f>
        <v/>
      </c>
      <c r="V96" s="62" t="str" cm="1">
        <f t="array" ref="V96">Common_InputFunctions.Utility_DisplayArrayInTable(Fertiliser_SourceData.Fertiliser_Products_Data1(),FertiliserProducts[[#Headers],[Include or Exclude]], 0,4)</f>
        <v/>
      </c>
      <c r="W96" s="62" t="str" cm="1">
        <f t="array" ref="W96">Common_InputFunctions.Utility_DisplayArrayInTable(Fertiliser_SourceData.Fertiliser_Products_Data1(),FertiliserProducts[[#Headers],[Include or Exclude]], 0,4)</f>
        <v/>
      </c>
      <c r="X96" s="62" t="str" cm="1">
        <f t="array" ref="X96">Common_InputFunctions.Utility_DisplayArrayInTable(Fertiliser_SourceData.Fertiliser_Products_Data1(),FertiliserProducts[[#Headers],[Include or Exclude]], 0,4)</f>
        <v/>
      </c>
      <c r="Y96" s="62" t="str" cm="1">
        <f t="array" ref="Y96">Common_InputFunctions.Utility_DisplayArrayInTable(Fertiliser_SourceData.Fertiliser_Products_Data1(),FertiliserProducts[[#Headers],[Include or Exclude]], 0,4)</f>
        <v/>
      </c>
      <c r="Z96" s="62" t="str" cm="1">
        <f t="array" ref="Z96">Common_InputFunctions.Utility_DisplayArrayInTable(Fertiliser_SourceData.Fertiliser_Products_Data1(),FertiliserProducts[[#Headers],[Include or Exclude]], 0,4)</f>
        <v/>
      </c>
      <c r="AA96" s="62" t="str" cm="1">
        <f t="array" ref="AA96">Common_InputFunctions.Utility_DisplayArrayInTable(Fertiliser_SourceData.Fertiliser_Products_Data1(),FertiliserProducts[[#Headers],[Include or Exclude]], 0,4)</f>
        <v/>
      </c>
      <c r="AB96" s="62" t="str" cm="1">
        <f t="array" ref="AB96">Common_InputFunctions.Utility_DisplayArrayInTable(Fertiliser_SourceData.Fertiliser_Products_Data1(),FertiliserProducts[[#Headers],[Include or Exclude]], 0,4)</f>
        <v/>
      </c>
      <c r="AC96" s="62" t="str" cm="1">
        <f t="array" ref="AC96">Common_InputFunctions.Utility_DisplayArrayInTable(Fertiliser_SourceData.Fertiliser_Products_Data1(),FertiliserProducts[[#Headers],[Include or Exclude]], 0,4)</f>
        <v/>
      </c>
      <c r="AD96" s="62" t="str" cm="1">
        <f t="array" ref="AD96">Common_InputFunctions.Utility_DisplayArrayInTable(Fertiliser_SourceData.Fertiliser_Products_Data1(),FertiliserProducts[[#Headers],[Include or Exclude]], 0,4)</f>
        <v/>
      </c>
      <c r="AE96" s="62" t="str" cm="1">
        <f t="array" ref="AE96">Common_InputFunctions.Utility_DisplayArrayInTable(Fertiliser_SourceData.Fertiliser_Products_Data1(),FertiliserProducts[[#Headers],[Include or Exclude]], 0,4)</f>
        <v/>
      </c>
    </row>
    <row r="97" spans="1:31" ht="20.100000000000001" customHeight="1" x14ac:dyDescent="0.25">
      <c r="A97"/>
      <c r="D97" s="62" t="str" cm="1">
        <f t="array" ref="D97">Common_InputFunctions.Utility_DisplayArrayInTable(Fertiliser_SourceData.Fertiliser_Products_Data1(),FertiliserProducts[[#Headers],[Include or Exclude]], -1)</f>
        <v>Include</v>
      </c>
      <c r="E97" s="62" t="str" cm="1">
        <f t="array" ref="E97">Common_InputFunctions.Utility_DisplayArrayInTable(Fertiliser_SourceData.Fertiliser_Products_Data1(),FertiliserProducts[[#Headers],[Include or Exclude]], 0)</f>
        <v/>
      </c>
      <c r="F97" s="62" t="str" cm="1">
        <f t="array" ref="F97">Common_InputFunctions.Utility_DisplayArrayInTable(Fertiliser_SourceData.Fertiliser_Products_Data1(),FertiliserProducts[[#Headers],[Include or Exclude]], 0)</f>
        <v>Campbells fertilisers Australia</v>
      </c>
      <c r="G97" s="62" t="str" cm="1">
        <f t="array" ref="G97">Common_InputFunctions.Utility_DisplayArrayInTable(Fertiliser_SourceData.Fertiliser_Products_Data1(),FertiliserProducts[[#Headers],[Include or Exclude]], 0)</f>
        <v>Aqua Thio-Complete</v>
      </c>
      <c r="H97" s="62" t="str" cm="1">
        <f t="array" ref="H97">Common_InputFunctions.Utility_DisplayArrayInTable(Fertiliser_SourceData.Fertiliser_Products_Data1(),FertiliserProducts[[#Headers],[Include or Exclude]], 0,4)</f>
        <v>L</v>
      </c>
      <c r="I97" s="62" cm="1">
        <f t="array" ref="I97">Common_InputFunctions.Utility_DisplayArrayInTable(Fertiliser_SourceData.Fertiliser_Products_Data1(),FertiliserProducts[[#Headers],[Include or Exclude]], 0,4)</f>
        <v>1.43</v>
      </c>
      <c r="J97" s="62" t="str" cm="1">
        <f t="array" ref="J97">Common_InputFunctions.Utility_DisplayArrayInTable(Fertiliser_SourceData.Fertiliser_Products_Data1(),FertiliserProducts[[#Headers],[Include or Exclude]], 0,4)</f>
        <v/>
      </c>
      <c r="K97" s="62" t="str" cm="1">
        <f t="array" ref="K97">Common_InputFunctions.Utility_DisplayArrayInTable(Fertiliser_SourceData.Fertiliser_Products_Data1(),FertiliserProducts[[#Headers],[Include or Exclude]], 0,4)</f>
        <v/>
      </c>
      <c r="L97" s="62" t="str" cm="1">
        <f t="array" ref="L97">Common_InputFunctions.Utility_DisplayArrayInTable(Fertiliser_SourceData.Fertiliser_Products_Data1(),FertiliserProducts[[#Headers],[Include or Exclude]], 0,4)</f>
        <v>Potassium - Generic</v>
      </c>
      <c r="M97" s="62" cm="1">
        <f t="array" ref="M97">Common_InputFunctions.Utility_DisplayArrayInTable(Fertiliser_SourceData.Fertiliser_Products_Data1(),FertiliserProducts[[#Headers],[Include or Exclude]], 0,4)</f>
        <v>0.22500000000000001</v>
      </c>
      <c r="N97" s="62" t="str" cm="1">
        <f t="array" ref="N97">Common_InputFunctions.Utility_DisplayArrayInTable(Fertiliser_SourceData.Fertiliser_Products_Data1(),FertiliserProducts[[#Headers],[Include or Exclude]], 0,4)</f>
        <v>Phosphorus - Generic</v>
      </c>
      <c r="O97" s="62" cm="1">
        <f t="array" ref="O97">Common_InputFunctions.Utility_DisplayArrayInTable(Fertiliser_SourceData.Fertiliser_Products_Data1(),FertiliserProducts[[#Headers],[Include or Exclude]], 0,4)</f>
        <v>3.7999999999999999E-2</v>
      </c>
      <c r="P97" s="62" t="str" cm="1">
        <f t="array" ref="P97">Common_InputFunctions.Utility_DisplayArrayInTable(Fertiliser_SourceData.Fertiliser_Products_Data1(),FertiliserProducts[[#Headers],[Include or Exclude]], 0,4)</f>
        <v>Nitrogen - Generic</v>
      </c>
      <c r="Q97" s="62" cm="1">
        <f t="array" ref="Q97">Common_InputFunctions.Utility_DisplayArrayInTable(Fertiliser_SourceData.Fertiliser_Products_Data1(),FertiliserProducts[[#Headers],[Include or Exclude]], 0,4)</f>
        <v>2.5000000000000001E-2</v>
      </c>
      <c r="R97" s="62" t="str" cm="1">
        <f t="array" ref="R97">Common_InputFunctions.Utility_DisplayArrayInTable(Fertiliser_SourceData.Fertiliser_Products_Data1(),FertiliserProducts[[#Headers],[Include or Exclude]], 0,4)</f>
        <v/>
      </c>
      <c r="S97" s="62" t="str" cm="1">
        <f t="array" ref="S97">Common_InputFunctions.Utility_DisplayArrayInTable(Fertiliser_SourceData.Fertiliser_Products_Data1(),FertiliserProducts[[#Headers],[Include or Exclude]], 0,4)</f>
        <v/>
      </c>
      <c r="T97" s="62" t="str" cm="1">
        <f t="array" ref="T97">Common_InputFunctions.Utility_DisplayArrayInTable(Fertiliser_SourceData.Fertiliser_Products_Data1(),FertiliserProducts[[#Headers],[Include or Exclude]], 0,4)</f>
        <v/>
      </c>
      <c r="U97" s="62" t="str" cm="1">
        <f t="array" ref="U97">Common_InputFunctions.Utility_DisplayArrayInTable(Fertiliser_SourceData.Fertiliser_Products_Data1(),FertiliserProducts[[#Headers],[Include or Exclude]], 0,4)</f>
        <v/>
      </c>
      <c r="V97" s="62" t="str" cm="1">
        <f t="array" ref="V97">Common_InputFunctions.Utility_DisplayArrayInTable(Fertiliser_SourceData.Fertiliser_Products_Data1(),FertiliserProducts[[#Headers],[Include or Exclude]], 0,4)</f>
        <v/>
      </c>
      <c r="W97" s="62" t="str" cm="1">
        <f t="array" ref="W97">Common_InputFunctions.Utility_DisplayArrayInTable(Fertiliser_SourceData.Fertiliser_Products_Data1(),FertiliserProducts[[#Headers],[Include or Exclude]], 0,4)</f>
        <v/>
      </c>
      <c r="X97" s="62" t="str" cm="1">
        <f t="array" ref="X97">Common_InputFunctions.Utility_DisplayArrayInTable(Fertiliser_SourceData.Fertiliser_Products_Data1(),FertiliserProducts[[#Headers],[Include or Exclude]], 0,4)</f>
        <v/>
      </c>
      <c r="Y97" s="62" t="str" cm="1">
        <f t="array" ref="Y97">Common_InputFunctions.Utility_DisplayArrayInTable(Fertiliser_SourceData.Fertiliser_Products_Data1(),FertiliserProducts[[#Headers],[Include or Exclude]], 0,4)</f>
        <v/>
      </c>
      <c r="Z97" s="62" t="str" cm="1">
        <f t="array" ref="Z97">Common_InputFunctions.Utility_DisplayArrayInTable(Fertiliser_SourceData.Fertiliser_Products_Data1(),FertiliserProducts[[#Headers],[Include or Exclude]], 0,4)</f>
        <v/>
      </c>
      <c r="AA97" s="62" t="str" cm="1">
        <f t="array" ref="AA97">Common_InputFunctions.Utility_DisplayArrayInTable(Fertiliser_SourceData.Fertiliser_Products_Data1(),FertiliserProducts[[#Headers],[Include or Exclude]], 0,4)</f>
        <v/>
      </c>
      <c r="AB97" s="62" t="str" cm="1">
        <f t="array" ref="AB97">Common_InputFunctions.Utility_DisplayArrayInTable(Fertiliser_SourceData.Fertiliser_Products_Data1(),FertiliserProducts[[#Headers],[Include or Exclude]], 0,4)</f>
        <v/>
      </c>
      <c r="AC97" s="62" t="str" cm="1">
        <f t="array" ref="AC97">Common_InputFunctions.Utility_DisplayArrayInTable(Fertiliser_SourceData.Fertiliser_Products_Data1(),FertiliserProducts[[#Headers],[Include or Exclude]], 0,4)</f>
        <v/>
      </c>
      <c r="AD97" s="62" t="str" cm="1">
        <f t="array" ref="AD97">Common_InputFunctions.Utility_DisplayArrayInTable(Fertiliser_SourceData.Fertiliser_Products_Data1(),FertiliserProducts[[#Headers],[Include or Exclude]], 0,4)</f>
        <v/>
      </c>
      <c r="AE97" s="62" t="str" cm="1">
        <f t="array" ref="AE97">Common_InputFunctions.Utility_DisplayArrayInTable(Fertiliser_SourceData.Fertiliser_Products_Data1(),FertiliserProducts[[#Headers],[Include or Exclude]], 0,4)</f>
        <v/>
      </c>
    </row>
    <row r="98" spans="1:31" ht="20.100000000000001" customHeight="1" x14ac:dyDescent="0.25">
      <c r="A98"/>
      <c r="D98" s="62" t="str" cm="1">
        <f t="array" ref="D98">Common_InputFunctions.Utility_DisplayArrayInTable(Fertiliser_SourceData.Fertiliser_Products_Data1(),FertiliserProducts[[#Headers],[Include or Exclude]], -1)</f>
        <v>Include</v>
      </c>
      <c r="E98" s="62" t="str" cm="1">
        <f t="array" ref="E98">Common_InputFunctions.Utility_DisplayArrayInTable(Fertiliser_SourceData.Fertiliser_Products_Data1(),FertiliserProducts[[#Headers],[Include or Exclude]], 0)</f>
        <v/>
      </c>
      <c r="F98" s="62" t="str" cm="1">
        <f t="array" ref="F98">Common_InputFunctions.Utility_DisplayArrayInTable(Fertiliser_SourceData.Fertiliser_Products_Data1(),FertiliserProducts[[#Headers],[Include or Exclude]], 0)</f>
        <v>Campbells fertilisers Australia</v>
      </c>
      <c r="G98" s="62" t="str" cm="1">
        <f t="array" ref="G98">Common_InputFunctions.Utility_DisplayArrayInTable(Fertiliser_SourceData.Fertiliser_Products_Data1(),FertiliserProducts[[#Headers],[Include or Exclude]], 0)</f>
        <v>Aqua Thio-Emerge</v>
      </c>
      <c r="H98" s="62" t="str" cm="1">
        <f t="array" ref="H98">Common_InputFunctions.Utility_DisplayArrayInTable(Fertiliser_SourceData.Fertiliser_Products_Data1(),FertiliserProducts[[#Headers],[Include or Exclude]], 0,4)</f>
        <v>L</v>
      </c>
      <c r="I98" s="62" cm="1">
        <f t="array" ref="I98">Common_InputFunctions.Utility_DisplayArrayInTable(Fertiliser_SourceData.Fertiliser_Products_Data1(),FertiliserProducts[[#Headers],[Include or Exclude]], 0,4)</f>
        <v>1.29</v>
      </c>
      <c r="J98" s="62" t="str" cm="1">
        <f t="array" ref="J98">Common_InputFunctions.Utility_DisplayArrayInTable(Fertiliser_SourceData.Fertiliser_Products_Data1(),FertiliserProducts[[#Headers],[Include or Exclude]], 0,4)</f>
        <v/>
      </c>
      <c r="K98" s="62" t="str" cm="1">
        <f t="array" ref="K98">Common_InputFunctions.Utility_DisplayArrayInTable(Fertiliser_SourceData.Fertiliser_Products_Data1(),FertiliserProducts[[#Headers],[Include or Exclude]], 0,4)</f>
        <v/>
      </c>
      <c r="L98" s="62" t="str" cm="1">
        <f t="array" ref="L98">Common_InputFunctions.Utility_DisplayArrayInTable(Fertiliser_SourceData.Fertiliser_Products_Data1(),FertiliserProducts[[#Headers],[Include or Exclude]], 0,4)</f>
        <v>Nitrogen - Generic</v>
      </c>
      <c r="M98" s="62" cm="1">
        <f t="array" ref="M98">Common_InputFunctions.Utility_DisplayArrayInTable(Fertiliser_SourceData.Fertiliser_Products_Data1(),FertiliserProducts[[#Headers],[Include or Exclude]], 0,4)</f>
        <v>0.105</v>
      </c>
      <c r="N98" s="62" t="str" cm="1">
        <f t="array" ref="N98">Common_InputFunctions.Utility_DisplayArrayInTable(Fertiliser_SourceData.Fertiliser_Products_Data1(),FertiliserProducts[[#Headers],[Include or Exclude]], 0,4)</f>
        <v>Phosphorus - Generic</v>
      </c>
      <c r="O98" s="62" cm="1">
        <f t="array" ref="O98">Common_InputFunctions.Utility_DisplayArrayInTable(Fertiliser_SourceData.Fertiliser_Products_Data1(),FertiliserProducts[[#Headers],[Include or Exclude]], 0,4)</f>
        <v>9.4E-2</v>
      </c>
      <c r="P98" s="62" t="str" cm="1">
        <f t="array" ref="P98">Common_InputFunctions.Utility_DisplayArrayInTable(Fertiliser_SourceData.Fertiliser_Products_Data1(),FertiliserProducts[[#Headers],[Include or Exclude]], 0,4)</f>
        <v>Potassium - Generic</v>
      </c>
      <c r="Q98" s="62" cm="1">
        <f t="array" ref="Q98">Common_InputFunctions.Utility_DisplayArrayInTable(Fertiliser_SourceData.Fertiliser_Products_Data1(),FertiliserProducts[[#Headers],[Include or Exclude]], 0,4)</f>
        <v>0.04</v>
      </c>
      <c r="R98" s="62" t="str" cm="1">
        <f t="array" ref="R98">Common_InputFunctions.Utility_DisplayArrayInTable(Fertiliser_SourceData.Fertiliser_Products_Data1(),FertiliserProducts[[#Headers],[Include or Exclude]], 0,4)</f>
        <v>Sulfur - Generic</v>
      </c>
      <c r="S98" s="62" cm="1">
        <f t="array" ref="S98">Common_InputFunctions.Utility_DisplayArrayInTable(Fertiliser_SourceData.Fertiliser_Products_Data1(),FertiliserProducts[[#Headers],[Include or Exclude]], 0,4)</f>
        <v>0.03</v>
      </c>
      <c r="T98" s="62" t="str" cm="1">
        <f t="array" ref="T98">Common_InputFunctions.Utility_DisplayArrayInTable(Fertiliser_SourceData.Fertiliser_Products_Data1(),FertiliserProducts[[#Headers],[Include or Exclude]], 0,4)</f>
        <v/>
      </c>
      <c r="U98" s="62" t="str" cm="1">
        <f t="array" ref="U98">Common_InputFunctions.Utility_DisplayArrayInTable(Fertiliser_SourceData.Fertiliser_Products_Data1(),FertiliserProducts[[#Headers],[Include or Exclude]], 0,4)</f>
        <v/>
      </c>
      <c r="V98" s="62" t="str" cm="1">
        <f t="array" ref="V98">Common_InputFunctions.Utility_DisplayArrayInTable(Fertiliser_SourceData.Fertiliser_Products_Data1(),FertiliserProducts[[#Headers],[Include or Exclude]], 0,4)</f>
        <v/>
      </c>
      <c r="W98" s="62" t="str" cm="1">
        <f t="array" ref="W98">Common_InputFunctions.Utility_DisplayArrayInTable(Fertiliser_SourceData.Fertiliser_Products_Data1(),FertiliserProducts[[#Headers],[Include or Exclude]], 0,4)</f>
        <v/>
      </c>
      <c r="X98" s="62" t="str" cm="1">
        <f t="array" ref="X98">Common_InputFunctions.Utility_DisplayArrayInTable(Fertiliser_SourceData.Fertiliser_Products_Data1(),FertiliserProducts[[#Headers],[Include or Exclude]], 0,4)</f>
        <v/>
      </c>
      <c r="Y98" s="62" t="str" cm="1">
        <f t="array" ref="Y98">Common_InputFunctions.Utility_DisplayArrayInTable(Fertiliser_SourceData.Fertiliser_Products_Data1(),FertiliserProducts[[#Headers],[Include or Exclude]], 0,4)</f>
        <v/>
      </c>
      <c r="Z98" s="62" t="str" cm="1">
        <f t="array" ref="Z98">Common_InputFunctions.Utility_DisplayArrayInTable(Fertiliser_SourceData.Fertiliser_Products_Data1(),FertiliserProducts[[#Headers],[Include or Exclude]], 0,4)</f>
        <v/>
      </c>
      <c r="AA98" s="62" t="str" cm="1">
        <f t="array" ref="AA98">Common_InputFunctions.Utility_DisplayArrayInTable(Fertiliser_SourceData.Fertiliser_Products_Data1(),FertiliserProducts[[#Headers],[Include or Exclude]], 0,4)</f>
        <v/>
      </c>
      <c r="AB98" s="62" t="str" cm="1">
        <f t="array" ref="AB98">Common_InputFunctions.Utility_DisplayArrayInTable(Fertiliser_SourceData.Fertiliser_Products_Data1(),FertiliserProducts[[#Headers],[Include or Exclude]], 0,4)</f>
        <v/>
      </c>
      <c r="AC98" s="62" t="str" cm="1">
        <f t="array" ref="AC98">Common_InputFunctions.Utility_DisplayArrayInTable(Fertiliser_SourceData.Fertiliser_Products_Data1(),FertiliserProducts[[#Headers],[Include or Exclude]], 0,4)</f>
        <v/>
      </c>
      <c r="AD98" s="62" t="str" cm="1">
        <f t="array" ref="AD98">Common_InputFunctions.Utility_DisplayArrayInTable(Fertiliser_SourceData.Fertiliser_Products_Data1(),FertiliserProducts[[#Headers],[Include or Exclude]], 0,4)</f>
        <v/>
      </c>
      <c r="AE98" s="62" t="str" cm="1">
        <f t="array" ref="AE98">Common_InputFunctions.Utility_DisplayArrayInTable(Fertiliser_SourceData.Fertiliser_Products_Data1(),FertiliserProducts[[#Headers],[Include or Exclude]], 0,4)</f>
        <v/>
      </c>
    </row>
    <row r="99" spans="1:31" ht="20.100000000000001" customHeight="1" x14ac:dyDescent="0.25">
      <c r="A99"/>
      <c r="D99" s="62" t="str" cm="1">
        <f t="array" ref="D99">Common_InputFunctions.Utility_DisplayArrayInTable(Fertiliser_SourceData.Fertiliser_Products_Data1(),FertiliserProducts[[#Headers],[Include or Exclude]], -1)</f>
        <v>Exclude - Not relevant</v>
      </c>
      <c r="E99" s="62" t="str" cm="1">
        <f t="array" ref="E99">Common_InputFunctions.Utility_DisplayArrayInTable(Fertiliser_SourceData.Fertiliser_Products_Data1(),FertiliserProducts[[#Headers],[Include or Exclude]], 0)</f>
        <v/>
      </c>
      <c r="F99" s="62" t="str" cm="1">
        <f t="array" ref="F99">Common_InputFunctions.Utility_DisplayArrayInTable(Fertiliser_SourceData.Fertiliser_Products_Data1(),FertiliserProducts[[#Headers],[Include or Exclude]], 0)</f>
        <v>Campbells fertilisers Australia</v>
      </c>
      <c r="G99" s="62" t="str" cm="1">
        <f t="array" ref="G99">Common_InputFunctions.Utility_DisplayArrayInTable(Fertiliser_SourceData.Fertiliser_Products_Data1(),FertiliserProducts[[#Headers],[Include or Exclude]], 0)</f>
        <v>Aqua Thio-Flourish</v>
      </c>
      <c r="H99" s="62" t="str" cm="1">
        <f t="array" ref="H99">Common_InputFunctions.Utility_DisplayArrayInTable(Fertiliser_SourceData.Fertiliser_Products_Data1(),FertiliserProducts[[#Headers],[Include or Exclude]], 0,4)</f>
        <v>L</v>
      </c>
      <c r="I99" s="62" cm="1">
        <f t="array" ref="I99">Common_InputFunctions.Utility_DisplayArrayInTable(Fertiliser_SourceData.Fertiliser_Products_Data1(),FertiliserProducts[[#Headers],[Include or Exclude]], 0,4)</f>
        <v>1.32</v>
      </c>
      <c r="J99" s="62" t="str" cm="1">
        <f t="array" ref="J99">Common_InputFunctions.Utility_DisplayArrayInTable(Fertiliser_SourceData.Fertiliser_Products_Data1(),FertiliserProducts[[#Headers],[Include or Exclude]], 0,4)</f>
        <v/>
      </c>
      <c r="K99" s="62" t="str" cm="1">
        <f t="array" ref="K99">Common_InputFunctions.Utility_DisplayArrayInTable(Fertiliser_SourceData.Fertiliser_Products_Data1(),FertiliserProducts[[#Headers],[Include or Exclude]], 0,4)</f>
        <v/>
      </c>
      <c r="L99" s="62" t="str" cm="1">
        <f t="array" ref="L99">Common_InputFunctions.Utility_DisplayArrayInTable(Fertiliser_SourceData.Fertiliser_Products_Data1(),FertiliserProducts[[#Headers],[Include or Exclude]], 0,4)</f>
        <v>Potassium - Generic</v>
      </c>
      <c r="M99" s="62" cm="1">
        <f t="array" ref="M99">Common_InputFunctions.Utility_DisplayArrayInTable(Fertiliser_SourceData.Fertiliser_Products_Data1(),FertiliserProducts[[#Headers],[Include or Exclude]], 0,4)</f>
        <v>0.108</v>
      </c>
      <c r="N99" s="62" t="str" cm="1">
        <f t="array" ref="N99">Common_InputFunctions.Utility_DisplayArrayInTable(Fertiliser_SourceData.Fertiliser_Products_Data1(),FertiliserProducts[[#Headers],[Include or Exclude]], 0,4)</f>
        <v>Nitrogen - Generic</v>
      </c>
      <c r="O99" s="62" cm="1">
        <f t="array" ref="O99">Common_InputFunctions.Utility_DisplayArrayInTable(Fertiliser_SourceData.Fertiliser_Products_Data1(),FertiliserProducts[[#Headers],[Include or Exclude]], 0,4)</f>
        <v>9.5000000000000001E-2</v>
      </c>
      <c r="P99" s="62" t="str" cm="1">
        <f t="array" ref="P99">Common_InputFunctions.Utility_DisplayArrayInTable(Fertiliser_SourceData.Fertiliser_Products_Data1(),FertiliserProducts[[#Headers],[Include or Exclude]], 0,4)</f>
        <v>Sulfur - Generic</v>
      </c>
      <c r="Q99" s="62" cm="1">
        <f t="array" ref="Q99">Common_InputFunctions.Utility_DisplayArrayInTable(Fertiliser_SourceData.Fertiliser_Products_Data1(),FertiliserProducts[[#Headers],[Include or Exclude]], 0,4)</f>
        <v>8.1000000000000003E-2</v>
      </c>
      <c r="R99" s="62" t="str" cm="1">
        <f t="array" ref="R99">Common_InputFunctions.Utility_DisplayArrayInTable(Fertiliser_SourceData.Fertiliser_Products_Data1(),FertiliserProducts[[#Headers],[Include or Exclude]], 0,4)</f>
        <v>Phosphorus - Generic</v>
      </c>
      <c r="S99" s="62" cm="1">
        <f t="array" ref="S99">Common_InputFunctions.Utility_DisplayArrayInTable(Fertiliser_SourceData.Fertiliser_Products_Data1(),FertiliserProducts[[#Headers],[Include or Exclude]], 0,4)</f>
        <v>4.7E-2</v>
      </c>
      <c r="T99" s="62" t="str" cm="1">
        <f t="array" ref="T99">Common_InputFunctions.Utility_DisplayArrayInTable(Fertiliser_SourceData.Fertiliser_Products_Data1(),FertiliserProducts[[#Headers],[Include or Exclude]], 0,4)</f>
        <v/>
      </c>
      <c r="U99" s="62" t="str" cm="1">
        <f t="array" ref="U99">Common_InputFunctions.Utility_DisplayArrayInTable(Fertiliser_SourceData.Fertiliser_Products_Data1(),FertiliserProducts[[#Headers],[Include or Exclude]], 0,4)</f>
        <v/>
      </c>
      <c r="V99" s="62" t="str" cm="1">
        <f t="array" ref="V99">Common_InputFunctions.Utility_DisplayArrayInTable(Fertiliser_SourceData.Fertiliser_Products_Data1(),FertiliserProducts[[#Headers],[Include or Exclude]], 0,4)</f>
        <v/>
      </c>
      <c r="W99" s="62" t="str" cm="1">
        <f t="array" ref="W99">Common_InputFunctions.Utility_DisplayArrayInTable(Fertiliser_SourceData.Fertiliser_Products_Data1(),FertiliserProducts[[#Headers],[Include or Exclude]], 0,4)</f>
        <v/>
      </c>
      <c r="X99" s="62" t="str" cm="1">
        <f t="array" ref="X99">Common_InputFunctions.Utility_DisplayArrayInTable(Fertiliser_SourceData.Fertiliser_Products_Data1(),FertiliserProducts[[#Headers],[Include or Exclude]], 0,4)</f>
        <v/>
      </c>
      <c r="Y99" s="62" t="str" cm="1">
        <f t="array" ref="Y99">Common_InputFunctions.Utility_DisplayArrayInTable(Fertiliser_SourceData.Fertiliser_Products_Data1(),FertiliserProducts[[#Headers],[Include or Exclude]], 0,4)</f>
        <v/>
      </c>
      <c r="Z99" s="62" t="str" cm="1">
        <f t="array" ref="Z99">Common_InputFunctions.Utility_DisplayArrayInTable(Fertiliser_SourceData.Fertiliser_Products_Data1(),FertiliserProducts[[#Headers],[Include or Exclude]], 0,4)</f>
        <v/>
      </c>
      <c r="AA99" s="62" t="str" cm="1">
        <f t="array" ref="AA99">Common_InputFunctions.Utility_DisplayArrayInTable(Fertiliser_SourceData.Fertiliser_Products_Data1(),FertiliserProducts[[#Headers],[Include or Exclude]], 0,4)</f>
        <v/>
      </c>
      <c r="AB99" s="62" t="str" cm="1">
        <f t="array" ref="AB99">Common_InputFunctions.Utility_DisplayArrayInTable(Fertiliser_SourceData.Fertiliser_Products_Data1(),FertiliserProducts[[#Headers],[Include or Exclude]], 0,4)</f>
        <v/>
      </c>
      <c r="AC99" s="62" t="str" cm="1">
        <f t="array" ref="AC99">Common_InputFunctions.Utility_DisplayArrayInTable(Fertiliser_SourceData.Fertiliser_Products_Data1(),FertiliserProducts[[#Headers],[Include or Exclude]], 0,4)</f>
        <v/>
      </c>
      <c r="AD99" s="62" t="str" cm="1">
        <f t="array" ref="AD99">Common_InputFunctions.Utility_DisplayArrayInTable(Fertiliser_SourceData.Fertiliser_Products_Data1(),FertiliserProducts[[#Headers],[Include or Exclude]], 0,4)</f>
        <v/>
      </c>
      <c r="AE99" s="62" t="str" cm="1">
        <f t="array" ref="AE99">Common_InputFunctions.Utility_DisplayArrayInTable(Fertiliser_SourceData.Fertiliser_Products_Data1(),FertiliserProducts[[#Headers],[Include or Exclude]], 0,4)</f>
        <v/>
      </c>
    </row>
    <row r="100" spans="1:31" ht="20.100000000000001" customHeight="1" x14ac:dyDescent="0.25">
      <c r="A100"/>
      <c r="D100" s="62" t="str" cm="1">
        <f t="array" ref="D100">Common_InputFunctions.Utility_DisplayArrayInTable(Fertiliser_SourceData.Fertiliser_Products_Data1(),FertiliserProducts[[#Headers],[Include or Exclude]], -1)</f>
        <v>Exclude - Not relevant</v>
      </c>
      <c r="E100" s="62" t="str" cm="1">
        <f t="array" ref="E100">Common_InputFunctions.Utility_DisplayArrayInTable(Fertiliser_SourceData.Fertiliser_Products_Data1(),FertiliserProducts[[#Headers],[Include or Exclude]], 0)</f>
        <v/>
      </c>
      <c r="F100" s="62" t="str" cm="1">
        <f t="array" ref="F100">Common_InputFunctions.Utility_DisplayArrayInTable(Fertiliser_SourceData.Fertiliser_Products_Data1(),FertiliserProducts[[#Headers],[Include or Exclude]], 0)</f>
        <v>Campbells fertilisers Australia</v>
      </c>
      <c r="G100" s="62" t="str" cm="1">
        <f t="array" ref="G100">Common_InputFunctions.Utility_DisplayArrayInTable(Fertiliser_SourceData.Fertiliser_Products_Data1(),FertiliserProducts[[#Headers],[Include or Exclude]], 0)</f>
        <v>Asco Fol Plus</v>
      </c>
      <c r="H100" s="62" t="str" cm="1">
        <f t="array" ref="H100">Common_InputFunctions.Utility_DisplayArrayInTable(Fertiliser_SourceData.Fertiliser_Products_Data1(),FertiliserProducts[[#Headers],[Include or Exclude]], 0,4)</f>
        <v/>
      </c>
      <c r="I100" s="62" t="str" cm="1">
        <f t="array" ref="I100">Common_InputFunctions.Utility_DisplayArrayInTable(Fertiliser_SourceData.Fertiliser_Products_Data1(),FertiliserProducts[[#Headers],[Include or Exclude]], 0,4)</f>
        <v/>
      </c>
      <c r="J100" s="62" t="str" cm="1">
        <f t="array" ref="J100">Common_InputFunctions.Utility_DisplayArrayInTable(Fertiliser_SourceData.Fertiliser_Products_Data1(),FertiliserProducts[[#Headers],[Include or Exclude]], 0,4)</f>
        <v/>
      </c>
      <c r="K100" s="62" t="str" cm="1">
        <f t="array" ref="K100">Common_InputFunctions.Utility_DisplayArrayInTable(Fertiliser_SourceData.Fertiliser_Products_Data1(),FertiliserProducts[[#Headers],[Include or Exclude]], 0,4)</f>
        <v/>
      </c>
      <c r="L100" s="62" t="str" cm="1">
        <f t="array" ref="L100">Common_InputFunctions.Utility_DisplayArrayInTable(Fertiliser_SourceData.Fertiliser_Products_Data1(),FertiliserProducts[[#Headers],[Include or Exclude]], 0,4)</f>
        <v/>
      </c>
      <c r="M100" s="62" t="str" cm="1">
        <f t="array" ref="M100">Common_InputFunctions.Utility_DisplayArrayInTable(Fertiliser_SourceData.Fertiliser_Products_Data1(),FertiliserProducts[[#Headers],[Include or Exclude]], 0,4)</f>
        <v/>
      </c>
      <c r="N100" s="62" t="str" cm="1">
        <f t="array" ref="N100">Common_InputFunctions.Utility_DisplayArrayInTable(Fertiliser_SourceData.Fertiliser_Products_Data1(),FertiliserProducts[[#Headers],[Include or Exclude]], 0,4)</f>
        <v/>
      </c>
      <c r="O100" s="62" t="str" cm="1">
        <f t="array" ref="O100">Common_InputFunctions.Utility_DisplayArrayInTable(Fertiliser_SourceData.Fertiliser_Products_Data1(),FertiliserProducts[[#Headers],[Include or Exclude]], 0,4)</f>
        <v/>
      </c>
      <c r="P100" s="62" t="str" cm="1">
        <f t="array" ref="P100">Common_InputFunctions.Utility_DisplayArrayInTable(Fertiliser_SourceData.Fertiliser_Products_Data1(),FertiliserProducts[[#Headers],[Include or Exclude]], 0,4)</f>
        <v/>
      </c>
      <c r="Q100" s="62" t="str" cm="1">
        <f t="array" ref="Q100">Common_InputFunctions.Utility_DisplayArrayInTable(Fertiliser_SourceData.Fertiliser_Products_Data1(),FertiliserProducts[[#Headers],[Include or Exclude]], 0,4)</f>
        <v/>
      </c>
      <c r="R100" s="62" t="str" cm="1">
        <f t="array" ref="R100">Common_InputFunctions.Utility_DisplayArrayInTable(Fertiliser_SourceData.Fertiliser_Products_Data1(),FertiliserProducts[[#Headers],[Include or Exclude]], 0,4)</f>
        <v/>
      </c>
      <c r="S100" s="62" t="str" cm="1">
        <f t="array" ref="S100">Common_InputFunctions.Utility_DisplayArrayInTable(Fertiliser_SourceData.Fertiliser_Products_Data1(),FertiliserProducts[[#Headers],[Include or Exclude]], 0,4)</f>
        <v/>
      </c>
      <c r="T100" s="62" t="str" cm="1">
        <f t="array" ref="T100">Common_InputFunctions.Utility_DisplayArrayInTable(Fertiliser_SourceData.Fertiliser_Products_Data1(),FertiliserProducts[[#Headers],[Include or Exclude]], 0,4)</f>
        <v/>
      </c>
      <c r="U100" s="62" t="str" cm="1">
        <f t="array" ref="U100">Common_InputFunctions.Utility_DisplayArrayInTable(Fertiliser_SourceData.Fertiliser_Products_Data1(),FertiliserProducts[[#Headers],[Include or Exclude]], 0,4)</f>
        <v/>
      </c>
      <c r="V100" s="62" t="str" cm="1">
        <f t="array" ref="V100">Common_InputFunctions.Utility_DisplayArrayInTable(Fertiliser_SourceData.Fertiliser_Products_Data1(),FertiliserProducts[[#Headers],[Include or Exclude]], 0,4)</f>
        <v/>
      </c>
      <c r="W100" s="62" t="str" cm="1">
        <f t="array" ref="W100">Common_InputFunctions.Utility_DisplayArrayInTable(Fertiliser_SourceData.Fertiliser_Products_Data1(),FertiliserProducts[[#Headers],[Include or Exclude]], 0,4)</f>
        <v/>
      </c>
      <c r="X100" s="62" t="str" cm="1">
        <f t="array" ref="X100">Common_InputFunctions.Utility_DisplayArrayInTable(Fertiliser_SourceData.Fertiliser_Products_Data1(),FertiliserProducts[[#Headers],[Include or Exclude]], 0,4)</f>
        <v/>
      </c>
      <c r="Y100" s="62" t="str" cm="1">
        <f t="array" ref="Y100">Common_InputFunctions.Utility_DisplayArrayInTable(Fertiliser_SourceData.Fertiliser_Products_Data1(),FertiliserProducts[[#Headers],[Include or Exclude]], 0,4)</f>
        <v/>
      </c>
      <c r="Z100" s="62" t="str" cm="1">
        <f t="array" ref="Z100">Common_InputFunctions.Utility_DisplayArrayInTable(Fertiliser_SourceData.Fertiliser_Products_Data1(),FertiliserProducts[[#Headers],[Include or Exclude]], 0,4)</f>
        <v/>
      </c>
      <c r="AA100" s="62" t="str" cm="1">
        <f t="array" ref="AA100">Common_InputFunctions.Utility_DisplayArrayInTable(Fertiliser_SourceData.Fertiliser_Products_Data1(),FertiliserProducts[[#Headers],[Include or Exclude]], 0,4)</f>
        <v/>
      </c>
      <c r="AB100" s="62" t="str" cm="1">
        <f t="array" ref="AB100">Common_InputFunctions.Utility_DisplayArrayInTable(Fertiliser_SourceData.Fertiliser_Products_Data1(),FertiliserProducts[[#Headers],[Include or Exclude]], 0,4)</f>
        <v/>
      </c>
      <c r="AC100" s="62" t="str" cm="1">
        <f t="array" ref="AC100">Common_InputFunctions.Utility_DisplayArrayInTable(Fertiliser_SourceData.Fertiliser_Products_Data1(),FertiliserProducts[[#Headers],[Include or Exclude]], 0,4)</f>
        <v/>
      </c>
      <c r="AD100" s="62" t="str" cm="1">
        <f t="array" ref="AD100">Common_InputFunctions.Utility_DisplayArrayInTable(Fertiliser_SourceData.Fertiliser_Products_Data1(),FertiliserProducts[[#Headers],[Include or Exclude]], 0,4)</f>
        <v/>
      </c>
      <c r="AE100" s="62" t="str" cm="1">
        <f t="array" ref="AE100">Common_InputFunctions.Utility_DisplayArrayInTable(Fertiliser_SourceData.Fertiliser_Products_Data1(),FertiliserProducts[[#Headers],[Include or Exclude]], 0,4)</f>
        <v/>
      </c>
    </row>
    <row r="101" spans="1:31" ht="20.100000000000001" customHeight="1" x14ac:dyDescent="0.25">
      <c r="A101"/>
      <c r="D101" s="62" t="str" cm="1">
        <f t="array" ref="D101">Common_InputFunctions.Utility_DisplayArrayInTable(Fertiliser_SourceData.Fertiliser_Products_Data1(),FertiliserProducts[[#Headers],[Include or Exclude]], -1)</f>
        <v>Exclude - Not relevant</v>
      </c>
      <c r="E101" s="62" t="str" cm="1">
        <f t="array" ref="E101">Common_InputFunctions.Utility_DisplayArrayInTable(Fertiliser_SourceData.Fertiliser_Products_Data1(),FertiliserProducts[[#Headers],[Include or Exclude]], 0)</f>
        <v/>
      </c>
      <c r="F101" s="62" t="str" cm="1">
        <f t="array" ref="F101">Common_InputFunctions.Utility_DisplayArrayInTable(Fertiliser_SourceData.Fertiliser_Products_Data1(),FertiliserProducts[[#Headers],[Include or Exclude]], 0)</f>
        <v>Campbells fertilisers Australia</v>
      </c>
      <c r="G101" s="62" t="str" cm="1">
        <f t="array" ref="G101">Common_InputFunctions.Utility_DisplayArrayInTable(Fertiliser_SourceData.Fertiliser_Products_Data1(),FertiliserProducts[[#Headers],[Include or Exclude]], 0)</f>
        <v>Asco Plus</v>
      </c>
      <c r="H101" s="62" t="str" cm="1">
        <f t="array" ref="H101">Common_InputFunctions.Utility_DisplayArrayInTable(Fertiliser_SourceData.Fertiliser_Products_Data1(),FertiliserProducts[[#Headers],[Include or Exclude]], 0,4)</f>
        <v/>
      </c>
      <c r="I101" s="62" t="str" cm="1">
        <f t="array" ref="I101">Common_InputFunctions.Utility_DisplayArrayInTable(Fertiliser_SourceData.Fertiliser_Products_Data1(),FertiliserProducts[[#Headers],[Include or Exclude]], 0,4)</f>
        <v/>
      </c>
      <c r="J101" s="62" t="str" cm="1">
        <f t="array" ref="J101">Common_InputFunctions.Utility_DisplayArrayInTable(Fertiliser_SourceData.Fertiliser_Products_Data1(),FertiliserProducts[[#Headers],[Include or Exclude]], 0,4)</f>
        <v/>
      </c>
      <c r="K101" s="62" t="str" cm="1">
        <f t="array" ref="K101">Common_InputFunctions.Utility_DisplayArrayInTable(Fertiliser_SourceData.Fertiliser_Products_Data1(),FertiliserProducts[[#Headers],[Include or Exclude]], 0,4)</f>
        <v/>
      </c>
      <c r="L101" s="62" t="str" cm="1">
        <f t="array" ref="L101">Common_InputFunctions.Utility_DisplayArrayInTable(Fertiliser_SourceData.Fertiliser_Products_Data1(),FertiliserProducts[[#Headers],[Include or Exclude]], 0,4)</f>
        <v/>
      </c>
      <c r="M101" s="62" t="str" cm="1">
        <f t="array" ref="M101">Common_InputFunctions.Utility_DisplayArrayInTable(Fertiliser_SourceData.Fertiliser_Products_Data1(),FertiliserProducts[[#Headers],[Include or Exclude]], 0,4)</f>
        <v/>
      </c>
      <c r="N101" s="62" t="str" cm="1">
        <f t="array" ref="N101">Common_InputFunctions.Utility_DisplayArrayInTable(Fertiliser_SourceData.Fertiliser_Products_Data1(),FertiliserProducts[[#Headers],[Include or Exclude]], 0,4)</f>
        <v/>
      </c>
      <c r="O101" s="62" t="str" cm="1">
        <f t="array" ref="O101">Common_InputFunctions.Utility_DisplayArrayInTable(Fertiliser_SourceData.Fertiliser_Products_Data1(),FertiliserProducts[[#Headers],[Include or Exclude]], 0,4)</f>
        <v/>
      </c>
      <c r="P101" s="62" t="str" cm="1">
        <f t="array" ref="P101">Common_InputFunctions.Utility_DisplayArrayInTable(Fertiliser_SourceData.Fertiliser_Products_Data1(),FertiliserProducts[[#Headers],[Include or Exclude]], 0,4)</f>
        <v/>
      </c>
      <c r="Q101" s="62" t="str" cm="1">
        <f t="array" ref="Q101">Common_InputFunctions.Utility_DisplayArrayInTable(Fertiliser_SourceData.Fertiliser_Products_Data1(),FertiliserProducts[[#Headers],[Include or Exclude]], 0,4)</f>
        <v/>
      </c>
      <c r="R101" s="62" t="str" cm="1">
        <f t="array" ref="R101">Common_InputFunctions.Utility_DisplayArrayInTable(Fertiliser_SourceData.Fertiliser_Products_Data1(),FertiliserProducts[[#Headers],[Include or Exclude]], 0,4)</f>
        <v/>
      </c>
      <c r="S101" s="62" t="str" cm="1">
        <f t="array" ref="S101">Common_InputFunctions.Utility_DisplayArrayInTable(Fertiliser_SourceData.Fertiliser_Products_Data1(),FertiliserProducts[[#Headers],[Include or Exclude]], 0,4)</f>
        <v/>
      </c>
      <c r="T101" s="62" t="str" cm="1">
        <f t="array" ref="T101">Common_InputFunctions.Utility_DisplayArrayInTable(Fertiliser_SourceData.Fertiliser_Products_Data1(),FertiliserProducts[[#Headers],[Include or Exclude]], 0,4)</f>
        <v/>
      </c>
      <c r="U101" s="62" t="str" cm="1">
        <f t="array" ref="U101">Common_InputFunctions.Utility_DisplayArrayInTable(Fertiliser_SourceData.Fertiliser_Products_Data1(),FertiliserProducts[[#Headers],[Include or Exclude]], 0,4)</f>
        <v/>
      </c>
      <c r="V101" s="62" t="str" cm="1">
        <f t="array" ref="V101">Common_InputFunctions.Utility_DisplayArrayInTable(Fertiliser_SourceData.Fertiliser_Products_Data1(),FertiliserProducts[[#Headers],[Include or Exclude]], 0,4)</f>
        <v/>
      </c>
      <c r="W101" s="62" t="str" cm="1">
        <f t="array" ref="W101">Common_InputFunctions.Utility_DisplayArrayInTable(Fertiliser_SourceData.Fertiliser_Products_Data1(),FertiliserProducts[[#Headers],[Include or Exclude]], 0,4)</f>
        <v/>
      </c>
      <c r="X101" s="62" t="str" cm="1">
        <f t="array" ref="X101">Common_InputFunctions.Utility_DisplayArrayInTable(Fertiliser_SourceData.Fertiliser_Products_Data1(),FertiliserProducts[[#Headers],[Include or Exclude]], 0,4)</f>
        <v/>
      </c>
      <c r="Y101" s="62" t="str" cm="1">
        <f t="array" ref="Y101">Common_InputFunctions.Utility_DisplayArrayInTable(Fertiliser_SourceData.Fertiliser_Products_Data1(),FertiliserProducts[[#Headers],[Include or Exclude]], 0,4)</f>
        <v/>
      </c>
      <c r="Z101" s="62" t="str" cm="1">
        <f t="array" ref="Z101">Common_InputFunctions.Utility_DisplayArrayInTable(Fertiliser_SourceData.Fertiliser_Products_Data1(),FertiliserProducts[[#Headers],[Include or Exclude]], 0,4)</f>
        <v/>
      </c>
      <c r="AA101" s="62" t="str" cm="1">
        <f t="array" ref="AA101">Common_InputFunctions.Utility_DisplayArrayInTable(Fertiliser_SourceData.Fertiliser_Products_Data1(),FertiliserProducts[[#Headers],[Include or Exclude]], 0,4)</f>
        <v/>
      </c>
      <c r="AB101" s="62" t="str" cm="1">
        <f t="array" ref="AB101">Common_InputFunctions.Utility_DisplayArrayInTable(Fertiliser_SourceData.Fertiliser_Products_Data1(),FertiliserProducts[[#Headers],[Include or Exclude]], 0,4)</f>
        <v/>
      </c>
      <c r="AC101" s="62" t="str" cm="1">
        <f t="array" ref="AC101">Common_InputFunctions.Utility_DisplayArrayInTable(Fertiliser_SourceData.Fertiliser_Products_Data1(),FertiliserProducts[[#Headers],[Include or Exclude]], 0,4)</f>
        <v/>
      </c>
      <c r="AD101" s="62" t="str" cm="1">
        <f t="array" ref="AD101">Common_InputFunctions.Utility_DisplayArrayInTable(Fertiliser_SourceData.Fertiliser_Products_Data1(),FertiliserProducts[[#Headers],[Include or Exclude]], 0,4)</f>
        <v/>
      </c>
      <c r="AE101" s="62" t="str" cm="1">
        <f t="array" ref="AE101">Common_InputFunctions.Utility_DisplayArrayInTable(Fertiliser_SourceData.Fertiliser_Products_Data1(),FertiliserProducts[[#Headers],[Include or Exclude]], 0,4)</f>
        <v/>
      </c>
    </row>
    <row r="102" spans="1:31" ht="20.100000000000001" customHeight="1" x14ac:dyDescent="0.25">
      <c r="A102"/>
      <c r="D102" s="62" t="str" cm="1">
        <f t="array" ref="D102">Common_InputFunctions.Utility_DisplayArrayInTable(Fertiliser_SourceData.Fertiliser_Products_Data1(),FertiliserProducts[[#Headers],[Include or Exclude]], -1)</f>
        <v>Exclude - Not relevant</v>
      </c>
      <c r="E102" s="62" t="str" cm="1">
        <f t="array" ref="E102">Common_InputFunctions.Utility_DisplayArrayInTable(Fertiliser_SourceData.Fertiliser_Products_Data1(),FertiliserProducts[[#Headers],[Include or Exclude]], 0)</f>
        <v/>
      </c>
      <c r="F102" s="62" t="str" cm="1">
        <f t="array" ref="F102">Common_InputFunctions.Utility_DisplayArrayInTable(Fertiliser_SourceData.Fertiliser_Products_Data1(),FertiliserProducts[[#Headers],[Include or Exclude]], 0)</f>
        <v>Campbells fertilisers Australia</v>
      </c>
      <c r="G102" s="62" t="str" cm="1">
        <f t="array" ref="G102">Common_InputFunctions.Utility_DisplayArrayInTable(Fertiliser_SourceData.Fertiliser_Products_Data1(),FertiliserProducts[[#Headers],[Include or Exclude]], 0)</f>
        <v>Asco Rhizo Plus</v>
      </c>
      <c r="H102" s="62" t="str" cm="1">
        <f t="array" ref="H102">Common_InputFunctions.Utility_DisplayArrayInTable(Fertiliser_SourceData.Fertiliser_Products_Data1(),FertiliserProducts[[#Headers],[Include or Exclude]], 0,4)</f>
        <v/>
      </c>
      <c r="I102" s="62" t="str" cm="1">
        <f t="array" ref="I102">Common_InputFunctions.Utility_DisplayArrayInTable(Fertiliser_SourceData.Fertiliser_Products_Data1(),FertiliserProducts[[#Headers],[Include or Exclude]], 0,4)</f>
        <v/>
      </c>
      <c r="J102" s="62" t="str" cm="1">
        <f t="array" ref="J102">Common_InputFunctions.Utility_DisplayArrayInTable(Fertiliser_SourceData.Fertiliser_Products_Data1(),FertiliserProducts[[#Headers],[Include or Exclude]], 0,4)</f>
        <v/>
      </c>
      <c r="K102" s="62" t="str" cm="1">
        <f t="array" ref="K102">Common_InputFunctions.Utility_DisplayArrayInTable(Fertiliser_SourceData.Fertiliser_Products_Data1(),FertiliserProducts[[#Headers],[Include or Exclude]], 0,4)</f>
        <v/>
      </c>
      <c r="L102" s="62" t="str" cm="1">
        <f t="array" ref="L102">Common_InputFunctions.Utility_DisplayArrayInTable(Fertiliser_SourceData.Fertiliser_Products_Data1(),FertiliserProducts[[#Headers],[Include or Exclude]], 0,4)</f>
        <v/>
      </c>
      <c r="M102" s="62" t="str" cm="1">
        <f t="array" ref="M102">Common_InputFunctions.Utility_DisplayArrayInTable(Fertiliser_SourceData.Fertiliser_Products_Data1(),FertiliserProducts[[#Headers],[Include or Exclude]], 0,4)</f>
        <v/>
      </c>
      <c r="N102" s="62" t="str" cm="1">
        <f t="array" ref="N102">Common_InputFunctions.Utility_DisplayArrayInTable(Fertiliser_SourceData.Fertiliser_Products_Data1(),FertiliserProducts[[#Headers],[Include or Exclude]], 0,4)</f>
        <v/>
      </c>
      <c r="O102" s="62" t="str" cm="1">
        <f t="array" ref="O102">Common_InputFunctions.Utility_DisplayArrayInTable(Fertiliser_SourceData.Fertiliser_Products_Data1(),FertiliserProducts[[#Headers],[Include or Exclude]], 0,4)</f>
        <v/>
      </c>
      <c r="P102" s="62" t="str" cm="1">
        <f t="array" ref="P102">Common_InputFunctions.Utility_DisplayArrayInTable(Fertiliser_SourceData.Fertiliser_Products_Data1(),FertiliserProducts[[#Headers],[Include or Exclude]], 0,4)</f>
        <v/>
      </c>
      <c r="Q102" s="62" t="str" cm="1">
        <f t="array" ref="Q102">Common_InputFunctions.Utility_DisplayArrayInTable(Fertiliser_SourceData.Fertiliser_Products_Data1(),FertiliserProducts[[#Headers],[Include or Exclude]], 0,4)</f>
        <v/>
      </c>
      <c r="R102" s="62" t="str" cm="1">
        <f t="array" ref="R102">Common_InputFunctions.Utility_DisplayArrayInTable(Fertiliser_SourceData.Fertiliser_Products_Data1(),FertiliserProducts[[#Headers],[Include or Exclude]], 0,4)</f>
        <v/>
      </c>
      <c r="S102" s="62" t="str" cm="1">
        <f t="array" ref="S102">Common_InputFunctions.Utility_DisplayArrayInTable(Fertiliser_SourceData.Fertiliser_Products_Data1(),FertiliserProducts[[#Headers],[Include or Exclude]], 0,4)</f>
        <v/>
      </c>
      <c r="T102" s="62" t="str" cm="1">
        <f t="array" ref="T102">Common_InputFunctions.Utility_DisplayArrayInTable(Fertiliser_SourceData.Fertiliser_Products_Data1(),FertiliserProducts[[#Headers],[Include or Exclude]], 0,4)</f>
        <v/>
      </c>
      <c r="U102" s="62" t="str" cm="1">
        <f t="array" ref="U102">Common_InputFunctions.Utility_DisplayArrayInTable(Fertiliser_SourceData.Fertiliser_Products_Data1(),FertiliserProducts[[#Headers],[Include or Exclude]], 0,4)</f>
        <v/>
      </c>
      <c r="V102" s="62" t="str" cm="1">
        <f t="array" ref="V102">Common_InputFunctions.Utility_DisplayArrayInTable(Fertiliser_SourceData.Fertiliser_Products_Data1(),FertiliserProducts[[#Headers],[Include or Exclude]], 0,4)</f>
        <v/>
      </c>
      <c r="W102" s="62" t="str" cm="1">
        <f t="array" ref="W102">Common_InputFunctions.Utility_DisplayArrayInTable(Fertiliser_SourceData.Fertiliser_Products_Data1(),FertiliserProducts[[#Headers],[Include or Exclude]], 0,4)</f>
        <v/>
      </c>
      <c r="X102" s="62" t="str" cm="1">
        <f t="array" ref="X102">Common_InputFunctions.Utility_DisplayArrayInTable(Fertiliser_SourceData.Fertiliser_Products_Data1(),FertiliserProducts[[#Headers],[Include or Exclude]], 0,4)</f>
        <v/>
      </c>
      <c r="Y102" s="62" t="str" cm="1">
        <f t="array" ref="Y102">Common_InputFunctions.Utility_DisplayArrayInTable(Fertiliser_SourceData.Fertiliser_Products_Data1(),FertiliserProducts[[#Headers],[Include or Exclude]], 0,4)</f>
        <v/>
      </c>
      <c r="Z102" s="62" t="str" cm="1">
        <f t="array" ref="Z102">Common_InputFunctions.Utility_DisplayArrayInTable(Fertiliser_SourceData.Fertiliser_Products_Data1(),FertiliserProducts[[#Headers],[Include or Exclude]], 0,4)</f>
        <v/>
      </c>
      <c r="AA102" s="62" t="str" cm="1">
        <f t="array" ref="AA102">Common_InputFunctions.Utility_DisplayArrayInTable(Fertiliser_SourceData.Fertiliser_Products_Data1(),FertiliserProducts[[#Headers],[Include or Exclude]], 0,4)</f>
        <v/>
      </c>
      <c r="AB102" s="62" t="str" cm="1">
        <f t="array" ref="AB102">Common_InputFunctions.Utility_DisplayArrayInTable(Fertiliser_SourceData.Fertiliser_Products_Data1(),FertiliserProducts[[#Headers],[Include or Exclude]], 0,4)</f>
        <v/>
      </c>
      <c r="AC102" s="62" t="str" cm="1">
        <f t="array" ref="AC102">Common_InputFunctions.Utility_DisplayArrayInTable(Fertiliser_SourceData.Fertiliser_Products_Data1(),FertiliserProducts[[#Headers],[Include or Exclude]], 0,4)</f>
        <v/>
      </c>
      <c r="AD102" s="62" t="str" cm="1">
        <f t="array" ref="AD102">Common_InputFunctions.Utility_DisplayArrayInTable(Fertiliser_SourceData.Fertiliser_Products_Data1(),FertiliserProducts[[#Headers],[Include or Exclude]], 0,4)</f>
        <v/>
      </c>
      <c r="AE102" s="62" t="str" cm="1">
        <f t="array" ref="AE102">Common_InputFunctions.Utility_DisplayArrayInTable(Fertiliser_SourceData.Fertiliser_Products_Data1(),FertiliserProducts[[#Headers],[Include or Exclude]], 0,4)</f>
        <v/>
      </c>
    </row>
    <row r="103" spans="1:31" ht="20.100000000000001" customHeight="1" x14ac:dyDescent="0.25">
      <c r="A103"/>
      <c r="D103" s="62" t="str" cm="1">
        <f t="array" ref="D103">Common_InputFunctions.Utility_DisplayArrayInTable(Fertiliser_SourceData.Fertiliser_Products_Data1(),FertiliserProducts[[#Headers],[Include or Exclude]], -1)</f>
        <v>Include - Absent ingredients &lt; 2%</v>
      </c>
      <c r="E103" s="62" t="str" cm="1">
        <f t="array" ref="E103">Common_InputFunctions.Utility_DisplayArrayInTable(Fertiliser_SourceData.Fertiliser_Products_Data1(),FertiliserProducts[[#Headers],[Include or Exclude]], 0)</f>
        <v/>
      </c>
      <c r="F103" s="62" t="str" cm="1">
        <f t="array" ref="F103">Common_InputFunctions.Utility_DisplayArrayInTable(Fertiliser_SourceData.Fertiliser_Products_Data1(),FertiliserProducts[[#Headers],[Include or Exclude]], 0)</f>
        <v>Campbells fertilisers Australia</v>
      </c>
      <c r="G103" s="62" t="str" cm="1">
        <f t="array" ref="G103">Common_InputFunctions.Utility_DisplayArrayInTable(Fertiliser_SourceData.Fertiliser_Products_Data1(),FertiliserProducts[[#Headers],[Include or Exclude]], 0)</f>
        <v>Benefit PZ</v>
      </c>
      <c r="H103" s="62" t="str" cm="1">
        <f t="array" ref="H103">Common_InputFunctions.Utility_DisplayArrayInTable(Fertiliser_SourceData.Fertiliser_Products_Data1(),FertiliserProducts[[#Headers],[Include or Exclude]], 0,4)</f>
        <v/>
      </c>
      <c r="I103" s="62" t="str" cm="1">
        <f t="array" ref="I103">Common_InputFunctions.Utility_DisplayArrayInTable(Fertiliser_SourceData.Fertiliser_Products_Data1(),FertiliserProducts[[#Headers],[Include or Exclude]], 0,4)</f>
        <v/>
      </c>
      <c r="J103" s="62" t="str" cm="1">
        <f t="array" ref="J103">Common_InputFunctions.Utility_DisplayArrayInTable(Fertiliser_SourceData.Fertiliser_Products_Data1(),FertiliserProducts[[#Headers],[Include or Exclude]], 0,4)</f>
        <v/>
      </c>
      <c r="K103" s="62" t="str" cm="1">
        <f t="array" ref="K103">Common_InputFunctions.Utility_DisplayArrayInTable(Fertiliser_SourceData.Fertiliser_Products_Data1(),FertiliserProducts[[#Headers],[Include or Exclude]], 0,4)</f>
        <v/>
      </c>
      <c r="L103" s="62" t="str" cm="1">
        <f t="array" ref="L103">Common_InputFunctions.Utility_DisplayArrayInTable(Fertiliser_SourceData.Fertiliser_Products_Data1(),FertiliserProducts[[#Headers],[Include or Exclude]], 0,4)</f>
        <v/>
      </c>
      <c r="M103" s="62" t="str" cm="1">
        <f t="array" ref="M103">Common_InputFunctions.Utility_DisplayArrayInTable(Fertiliser_SourceData.Fertiliser_Products_Data1(),FertiliserProducts[[#Headers],[Include or Exclude]], 0,4)</f>
        <v/>
      </c>
      <c r="N103" s="62" t="str" cm="1">
        <f t="array" ref="N103">Common_InputFunctions.Utility_DisplayArrayInTable(Fertiliser_SourceData.Fertiliser_Products_Data1(),FertiliserProducts[[#Headers],[Include or Exclude]], 0,4)</f>
        <v/>
      </c>
      <c r="O103" s="62" t="str" cm="1">
        <f t="array" ref="O103">Common_InputFunctions.Utility_DisplayArrayInTable(Fertiliser_SourceData.Fertiliser_Products_Data1(),FertiliserProducts[[#Headers],[Include or Exclude]], 0,4)</f>
        <v/>
      </c>
      <c r="P103" s="62" t="str" cm="1">
        <f t="array" ref="P103">Common_InputFunctions.Utility_DisplayArrayInTable(Fertiliser_SourceData.Fertiliser_Products_Data1(),FertiliserProducts[[#Headers],[Include or Exclude]], 0,4)</f>
        <v/>
      </c>
      <c r="Q103" s="62" t="str" cm="1">
        <f t="array" ref="Q103">Common_InputFunctions.Utility_DisplayArrayInTable(Fertiliser_SourceData.Fertiliser_Products_Data1(),FertiliserProducts[[#Headers],[Include or Exclude]], 0,4)</f>
        <v/>
      </c>
      <c r="R103" s="62" t="str" cm="1">
        <f t="array" ref="R103">Common_InputFunctions.Utility_DisplayArrayInTable(Fertiliser_SourceData.Fertiliser_Products_Data1(),FertiliserProducts[[#Headers],[Include or Exclude]], 0,4)</f>
        <v/>
      </c>
      <c r="S103" s="62" t="str" cm="1">
        <f t="array" ref="S103">Common_InputFunctions.Utility_DisplayArrayInTable(Fertiliser_SourceData.Fertiliser_Products_Data1(),FertiliserProducts[[#Headers],[Include or Exclude]], 0,4)</f>
        <v/>
      </c>
      <c r="T103" s="62" t="str" cm="1">
        <f t="array" ref="T103">Common_InputFunctions.Utility_DisplayArrayInTable(Fertiliser_SourceData.Fertiliser_Products_Data1(),FertiliserProducts[[#Headers],[Include or Exclude]], 0,4)</f>
        <v/>
      </c>
      <c r="U103" s="62" t="str" cm="1">
        <f t="array" ref="U103">Common_InputFunctions.Utility_DisplayArrayInTable(Fertiliser_SourceData.Fertiliser_Products_Data1(),FertiliserProducts[[#Headers],[Include or Exclude]], 0,4)</f>
        <v/>
      </c>
      <c r="V103" s="62" t="str" cm="1">
        <f t="array" ref="V103">Common_InputFunctions.Utility_DisplayArrayInTable(Fertiliser_SourceData.Fertiliser_Products_Data1(),FertiliserProducts[[#Headers],[Include or Exclude]], 0,4)</f>
        <v/>
      </c>
      <c r="W103" s="62" t="str" cm="1">
        <f t="array" ref="W103">Common_InputFunctions.Utility_DisplayArrayInTable(Fertiliser_SourceData.Fertiliser_Products_Data1(),FertiliserProducts[[#Headers],[Include or Exclude]], 0,4)</f>
        <v/>
      </c>
      <c r="X103" s="62" t="str" cm="1">
        <f t="array" ref="X103">Common_InputFunctions.Utility_DisplayArrayInTable(Fertiliser_SourceData.Fertiliser_Products_Data1(),FertiliserProducts[[#Headers],[Include or Exclude]], 0,4)</f>
        <v/>
      </c>
      <c r="Y103" s="62" t="str" cm="1">
        <f t="array" ref="Y103">Common_InputFunctions.Utility_DisplayArrayInTable(Fertiliser_SourceData.Fertiliser_Products_Data1(),FertiliserProducts[[#Headers],[Include or Exclude]], 0,4)</f>
        <v/>
      </c>
      <c r="Z103" s="62" t="str" cm="1">
        <f t="array" ref="Z103">Common_InputFunctions.Utility_DisplayArrayInTable(Fertiliser_SourceData.Fertiliser_Products_Data1(),FertiliserProducts[[#Headers],[Include or Exclude]], 0,4)</f>
        <v/>
      </c>
      <c r="AA103" s="62" t="str" cm="1">
        <f t="array" ref="AA103">Common_InputFunctions.Utility_DisplayArrayInTable(Fertiliser_SourceData.Fertiliser_Products_Data1(),FertiliserProducts[[#Headers],[Include or Exclude]], 0,4)</f>
        <v/>
      </c>
      <c r="AB103" s="62" t="str" cm="1">
        <f t="array" ref="AB103">Common_InputFunctions.Utility_DisplayArrayInTable(Fertiliser_SourceData.Fertiliser_Products_Data1(),FertiliserProducts[[#Headers],[Include or Exclude]], 0,4)</f>
        <v/>
      </c>
      <c r="AC103" s="62" t="str" cm="1">
        <f t="array" ref="AC103">Common_InputFunctions.Utility_DisplayArrayInTable(Fertiliser_SourceData.Fertiliser_Products_Data1(),FertiliserProducts[[#Headers],[Include or Exclude]], 0,4)</f>
        <v/>
      </c>
      <c r="AD103" s="62" t="str" cm="1">
        <f t="array" ref="AD103">Common_InputFunctions.Utility_DisplayArrayInTable(Fertiliser_SourceData.Fertiliser_Products_Data1(),FertiliserProducts[[#Headers],[Include or Exclude]], 0,4)</f>
        <v/>
      </c>
      <c r="AE103" s="62" t="str" cm="1">
        <f t="array" ref="AE103">Common_InputFunctions.Utility_DisplayArrayInTable(Fertiliser_SourceData.Fertiliser_Products_Data1(),FertiliserProducts[[#Headers],[Include or Exclude]], 0,4)</f>
        <v/>
      </c>
    </row>
    <row r="104" spans="1:31" ht="20.100000000000001" customHeight="1" x14ac:dyDescent="0.25">
      <c r="A104"/>
      <c r="D104" s="62" t="str" cm="1">
        <f t="array" ref="D104">Common_InputFunctions.Utility_DisplayArrayInTable(Fertiliser_SourceData.Fertiliser_Products_Data1(),FertiliserProducts[[#Headers],[Include or Exclude]], -1)</f>
        <v>Exclude - Not relevant</v>
      </c>
      <c r="E104" s="62" t="str" cm="1">
        <f t="array" ref="E104">Common_InputFunctions.Utility_DisplayArrayInTable(Fertiliser_SourceData.Fertiliser_Products_Data1(),FertiliserProducts[[#Headers],[Include or Exclude]], 0)</f>
        <v>Amount of urea calculated from urea nitrogen amount</v>
      </c>
      <c r="F104" s="62" t="str" cm="1">
        <f t="array" ref="F104">Common_InputFunctions.Utility_DisplayArrayInTable(Fertiliser_SourceData.Fertiliser_Products_Data1(),FertiliserProducts[[#Headers],[Include or Exclude]], 0)</f>
        <v>Campbells fertilisers Australia</v>
      </c>
      <c r="G104" s="62" t="str" cm="1">
        <f t="array" ref="G104">Common_InputFunctions.Utility_DisplayArrayInTable(Fertiliser_SourceData.Fertiliser_Products_Data1(),FertiliserProducts[[#Headers],[Include or Exclude]], 0)</f>
        <v>Boost-It</v>
      </c>
      <c r="H104" s="62" t="str" cm="1">
        <f t="array" ref="H104">Common_InputFunctions.Utility_DisplayArrayInTable(Fertiliser_SourceData.Fertiliser_Products_Data1(),FertiliserProducts[[#Headers],[Include or Exclude]], 0,4)</f>
        <v>kg</v>
      </c>
      <c r="I104" s="62" cm="1">
        <f t="array" ref="I104">Common_InputFunctions.Utility_DisplayArrayInTable(Fertiliser_SourceData.Fertiliser_Products_Data1(),FertiliserProducts[[#Headers],[Include or Exclude]], 0,4)</f>
        <v>1</v>
      </c>
      <c r="J104" s="62" t="str" cm="1">
        <f t="array" ref="J104">Common_InputFunctions.Utility_DisplayArrayInTable(Fertiliser_SourceData.Fertiliser_Products_Data1(),FertiliserProducts[[#Headers],[Include or Exclude]], 0,4)</f>
        <v/>
      </c>
      <c r="K104" s="62" t="str" cm="1">
        <f t="array" ref="K104">Common_InputFunctions.Utility_DisplayArrayInTable(Fertiliser_SourceData.Fertiliser_Products_Data1(),FertiliserProducts[[#Headers],[Include or Exclude]], 0,4)</f>
        <v/>
      </c>
      <c r="L104" s="62" t="str" cm="1">
        <f t="array" ref="L104">Common_InputFunctions.Utility_DisplayArrayInTable(Fertiliser_SourceData.Fertiliser_Products_Data1(),FertiliserProducts[[#Headers],[Include or Exclude]], 0,4)</f>
        <v>Urea</v>
      </c>
      <c r="M104" s="62" cm="1">
        <f t="array" ref="M104">Common_InputFunctions.Utility_DisplayArrayInTable(Fertiliser_SourceData.Fertiliser_Products_Data1(),FertiliserProducts[[#Headers],[Include or Exclude]], 0,4)</f>
        <v>0.52173913000000005</v>
      </c>
      <c r="N104" s="62" t="str" cm="1">
        <f t="array" ref="N104">Common_InputFunctions.Utility_DisplayArrayInTable(Fertiliser_SourceData.Fertiliser_Products_Data1(),FertiliserProducts[[#Headers],[Include or Exclude]], 0,4)</f>
        <v>Potassium - Generic</v>
      </c>
      <c r="O104" s="62" cm="1">
        <f t="array" ref="O104">Common_InputFunctions.Utility_DisplayArrayInTable(Fertiliser_SourceData.Fertiliser_Products_Data1(),FertiliserProducts[[#Headers],[Include or Exclude]], 0,4)</f>
        <v>0.08</v>
      </c>
      <c r="P104" s="62" t="str" cm="1">
        <f t="array" ref="P104">Common_InputFunctions.Utility_DisplayArrayInTable(Fertiliser_SourceData.Fertiliser_Products_Data1(),FertiliserProducts[[#Headers],[Include or Exclude]], 0,4)</f>
        <v>Sulfur - Generic</v>
      </c>
      <c r="Q104" s="62" cm="1">
        <f t="array" ref="Q104">Common_InputFunctions.Utility_DisplayArrayInTable(Fertiliser_SourceData.Fertiliser_Products_Data1(),FertiliserProducts[[#Headers],[Include or Exclude]], 0,4)</f>
        <v>5.2999999999999999E-2</v>
      </c>
      <c r="R104" s="62" t="str" cm="1">
        <f t="array" ref="R104">Common_InputFunctions.Utility_DisplayArrayInTable(Fertiliser_SourceData.Fertiliser_Products_Data1(),FertiliserProducts[[#Headers],[Include or Exclude]], 0,4)</f>
        <v>Phosphorus - Generic</v>
      </c>
      <c r="S104" s="62" cm="1">
        <f t="array" ref="S104">Common_InputFunctions.Utility_DisplayArrayInTable(Fertiliser_SourceData.Fertiliser_Products_Data1(),FertiliserProducts[[#Headers],[Include or Exclude]], 0,4)</f>
        <v>5.1999999999999998E-2</v>
      </c>
      <c r="T104" s="62" t="str" cm="1">
        <f t="array" ref="T104">Common_InputFunctions.Utility_DisplayArrayInTable(Fertiliser_SourceData.Fertiliser_Products_Data1(),FertiliserProducts[[#Headers],[Include or Exclude]], 0,4)</f>
        <v>Magnesium</v>
      </c>
      <c r="U104" s="62" cm="1">
        <f t="array" ref="U104">Common_InputFunctions.Utility_DisplayArrayInTable(Fertiliser_SourceData.Fertiliser_Products_Data1(),FertiliserProducts[[#Headers],[Include or Exclude]], 0,4)</f>
        <v>1.2999999999999999E-2</v>
      </c>
      <c r="V104" s="62" t="str" cm="1">
        <f t="array" ref="V104">Common_InputFunctions.Utility_DisplayArrayInTable(Fertiliser_SourceData.Fertiliser_Products_Data1(),FertiliserProducts[[#Headers],[Include or Exclude]], 0,4)</f>
        <v>Zinc</v>
      </c>
      <c r="W104" s="62" cm="1">
        <f t="array" ref="W104">Common_InputFunctions.Utility_DisplayArrayInTable(Fertiliser_SourceData.Fertiliser_Products_Data1(),FertiliserProducts[[#Headers],[Include or Exclude]], 0,4)</f>
        <v>2E-3</v>
      </c>
      <c r="X104" s="62" t="str" cm="1">
        <f t="array" ref="X104">Common_InputFunctions.Utility_DisplayArrayInTable(Fertiliser_SourceData.Fertiliser_Products_Data1(),FertiliserProducts[[#Headers],[Include or Exclude]], 0,4)</f>
        <v>Manganese</v>
      </c>
      <c r="Y104" s="62" cm="1">
        <f t="array" ref="Y104">Common_InputFunctions.Utility_DisplayArrayInTable(Fertiliser_SourceData.Fertiliser_Products_Data1(),FertiliserProducts[[#Headers],[Include or Exclude]], 0,4)</f>
        <v>3.5000000000000001E-3</v>
      </c>
      <c r="Z104" s="62" t="str" cm="1">
        <f t="array" ref="Z104">Common_InputFunctions.Utility_DisplayArrayInTable(Fertiliser_SourceData.Fertiliser_Products_Data1(),FertiliserProducts[[#Headers],[Include or Exclude]], 0,4)</f>
        <v>Iron</v>
      </c>
      <c r="AA104" s="62" cm="1">
        <f t="array" ref="AA104">Common_InputFunctions.Utility_DisplayArrayInTable(Fertiliser_SourceData.Fertiliser_Products_Data1(),FertiliserProducts[[#Headers],[Include or Exclude]], 0,4)</f>
        <v>1.2999999999999999E-3</v>
      </c>
      <c r="AB104" s="62" t="str" cm="1">
        <f t="array" ref="AB104">Common_InputFunctions.Utility_DisplayArrayInTable(Fertiliser_SourceData.Fertiliser_Products_Data1(),FertiliserProducts[[#Headers],[Include or Exclude]], 0,4)</f>
        <v>Copper</v>
      </c>
      <c r="AC104" s="62" cm="1">
        <f t="array" ref="AC104">Common_InputFunctions.Utility_DisplayArrayInTable(Fertiliser_SourceData.Fertiliser_Products_Data1(),FertiliserProducts[[#Headers],[Include or Exclude]], 0,4)</f>
        <v>6.9999999999999999E-4</v>
      </c>
      <c r="AD104" s="62" t="str" cm="1">
        <f t="array" ref="AD104">Common_InputFunctions.Utility_DisplayArrayInTable(Fertiliser_SourceData.Fertiliser_Products_Data1(),FertiliserProducts[[#Headers],[Include or Exclude]], 0,4)</f>
        <v>Boron</v>
      </c>
      <c r="AE104" s="62" cm="1">
        <f t="array" ref="AE104">Common_InputFunctions.Utility_DisplayArrayInTable(Fertiliser_SourceData.Fertiliser_Products_Data1(),FertiliserProducts[[#Headers],[Include or Exclude]], 0,4)</f>
        <v>6.9999999999999999E-4</v>
      </c>
    </row>
    <row r="105" spans="1:31" ht="20.100000000000001" customHeight="1" x14ac:dyDescent="0.25">
      <c r="A105"/>
      <c r="D105" s="62" t="str" cm="1">
        <f t="array" ref="D105">Common_InputFunctions.Utility_DisplayArrayInTable(Fertiliser_SourceData.Fertiliser_Products_Data1(),FertiliserProducts[[#Headers],[Include or Exclude]], -1)</f>
        <v>Exclude - Not relevant</v>
      </c>
      <c r="E105" s="62" t="str" cm="1">
        <f t="array" ref="E105">Common_InputFunctions.Utility_DisplayArrayInTable(Fertiliser_SourceData.Fertiliser_Products_Data1(),FertiliserProducts[[#Headers],[Include or Exclude]], 0)</f>
        <v/>
      </c>
      <c r="F105" s="62" t="str" cm="1">
        <f t="array" ref="F105">Common_InputFunctions.Utility_DisplayArrayInTable(Fertiliser_SourceData.Fertiliser_Products_Data1(),FertiliserProducts[[#Headers],[Include or Exclude]], 0)</f>
        <v>Campbells fertilisers Australia</v>
      </c>
      <c r="G105" s="62" t="str" cm="1">
        <f t="array" ref="G105">Common_InputFunctions.Utility_DisplayArrayInTable(Fertiliser_SourceData.Fertiliser_Products_Data1(),FertiliserProducts[[#Headers],[Include or Exclude]], 0)</f>
        <v>Boroplus</v>
      </c>
      <c r="H105" s="62" t="str" cm="1">
        <f t="array" ref="H105">Common_InputFunctions.Utility_DisplayArrayInTable(Fertiliser_SourceData.Fertiliser_Products_Data1(),FertiliserProducts[[#Headers],[Include or Exclude]], 0,4)</f>
        <v/>
      </c>
      <c r="I105" s="62" t="str" cm="1">
        <f t="array" ref="I105">Common_InputFunctions.Utility_DisplayArrayInTable(Fertiliser_SourceData.Fertiliser_Products_Data1(),FertiliserProducts[[#Headers],[Include or Exclude]], 0,4)</f>
        <v/>
      </c>
      <c r="J105" s="62" t="str" cm="1">
        <f t="array" ref="J105">Common_InputFunctions.Utility_DisplayArrayInTable(Fertiliser_SourceData.Fertiliser_Products_Data1(),FertiliserProducts[[#Headers],[Include or Exclude]], 0,4)</f>
        <v/>
      </c>
      <c r="K105" s="62" t="str" cm="1">
        <f t="array" ref="K105">Common_InputFunctions.Utility_DisplayArrayInTable(Fertiliser_SourceData.Fertiliser_Products_Data1(),FertiliserProducts[[#Headers],[Include or Exclude]], 0,4)</f>
        <v/>
      </c>
      <c r="L105" s="62" t="str" cm="1">
        <f t="array" ref="L105">Common_InputFunctions.Utility_DisplayArrayInTable(Fertiliser_SourceData.Fertiliser_Products_Data1(),FertiliserProducts[[#Headers],[Include or Exclude]], 0,4)</f>
        <v/>
      </c>
      <c r="M105" s="62" t="str" cm="1">
        <f t="array" ref="M105">Common_InputFunctions.Utility_DisplayArrayInTable(Fertiliser_SourceData.Fertiliser_Products_Data1(),FertiliserProducts[[#Headers],[Include or Exclude]], 0,4)</f>
        <v/>
      </c>
      <c r="N105" s="62" t="str" cm="1">
        <f t="array" ref="N105">Common_InputFunctions.Utility_DisplayArrayInTable(Fertiliser_SourceData.Fertiliser_Products_Data1(),FertiliserProducts[[#Headers],[Include or Exclude]], 0,4)</f>
        <v/>
      </c>
      <c r="O105" s="62" t="str" cm="1">
        <f t="array" ref="O105">Common_InputFunctions.Utility_DisplayArrayInTable(Fertiliser_SourceData.Fertiliser_Products_Data1(),FertiliserProducts[[#Headers],[Include or Exclude]], 0,4)</f>
        <v/>
      </c>
      <c r="P105" s="62" t="str" cm="1">
        <f t="array" ref="P105">Common_InputFunctions.Utility_DisplayArrayInTable(Fertiliser_SourceData.Fertiliser_Products_Data1(),FertiliserProducts[[#Headers],[Include or Exclude]], 0,4)</f>
        <v/>
      </c>
      <c r="Q105" s="62" t="str" cm="1">
        <f t="array" ref="Q105">Common_InputFunctions.Utility_DisplayArrayInTable(Fertiliser_SourceData.Fertiliser_Products_Data1(),FertiliserProducts[[#Headers],[Include or Exclude]], 0,4)</f>
        <v/>
      </c>
      <c r="R105" s="62" t="str" cm="1">
        <f t="array" ref="R105">Common_InputFunctions.Utility_DisplayArrayInTable(Fertiliser_SourceData.Fertiliser_Products_Data1(),FertiliserProducts[[#Headers],[Include or Exclude]], 0,4)</f>
        <v/>
      </c>
      <c r="S105" s="62" t="str" cm="1">
        <f t="array" ref="S105">Common_InputFunctions.Utility_DisplayArrayInTable(Fertiliser_SourceData.Fertiliser_Products_Data1(),FertiliserProducts[[#Headers],[Include or Exclude]], 0,4)</f>
        <v/>
      </c>
      <c r="T105" s="62" t="str" cm="1">
        <f t="array" ref="T105">Common_InputFunctions.Utility_DisplayArrayInTable(Fertiliser_SourceData.Fertiliser_Products_Data1(),FertiliserProducts[[#Headers],[Include or Exclude]], 0,4)</f>
        <v/>
      </c>
      <c r="U105" s="62" t="str" cm="1">
        <f t="array" ref="U105">Common_InputFunctions.Utility_DisplayArrayInTable(Fertiliser_SourceData.Fertiliser_Products_Data1(),FertiliserProducts[[#Headers],[Include or Exclude]], 0,4)</f>
        <v/>
      </c>
      <c r="V105" s="62" t="str" cm="1">
        <f t="array" ref="V105">Common_InputFunctions.Utility_DisplayArrayInTable(Fertiliser_SourceData.Fertiliser_Products_Data1(),FertiliserProducts[[#Headers],[Include or Exclude]], 0,4)</f>
        <v/>
      </c>
      <c r="W105" s="62" t="str" cm="1">
        <f t="array" ref="W105">Common_InputFunctions.Utility_DisplayArrayInTable(Fertiliser_SourceData.Fertiliser_Products_Data1(),FertiliserProducts[[#Headers],[Include or Exclude]], 0,4)</f>
        <v/>
      </c>
      <c r="X105" s="62" t="str" cm="1">
        <f t="array" ref="X105">Common_InputFunctions.Utility_DisplayArrayInTable(Fertiliser_SourceData.Fertiliser_Products_Data1(),FertiliserProducts[[#Headers],[Include or Exclude]], 0,4)</f>
        <v/>
      </c>
      <c r="Y105" s="62" t="str" cm="1">
        <f t="array" ref="Y105">Common_InputFunctions.Utility_DisplayArrayInTable(Fertiliser_SourceData.Fertiliser_Products_Data1(),FertiliserProducts[[#Headers],[Include or Exclude]], 0,4)</f>
        <v/>
      </c>
      <c r="Z105" s="62" t="str" cm="1">
        <f t="array" ref="Z105">Common_InputFunctions.Utility_DisplayArrayInTable(Fertiliser_SourceData.Fertiliser_Products_Data1(),FertiliserProducts[[#Headers],[Include or Exclude]], 0,4)</f>
        <v/>
      </c>
      <c r="AA105" s="62" t="str" cm="1">
        <f t="array" ref="AA105">Common_InputFunctions.Utility_DisplayArrayInTable(Fertiliser_SourceData.Fertiliser_Products_Data1(),FertiliserProducts[[#Headers],[Include or Exclude]], 0,4)</f>
        <v/>
      </c>
      <c r="AB105" s="62" t="str" cm="1">
        <f t="array" ref="AB105">Common_InputFunctions.Utility_DisplayArrayInTable(Fertiliser_SourceData.Fertiliser_Products_Data1(),FertiliserProducts[[#Headers],[Include or Exclude]], 0,4)</f>
        <v/>
      </c>
      <c r="AC105" s="62" t="str" cm="1">
        <f t="array" ref="AC105">Common_InputFunctions.Utility_DisplayArrayInTable(Fertiliser_SourceData.Fertiliser_Products_Data1(),FertiliserProducts[[#Headers],[Include or Exclude]], 0,4)</f>
        <v/>
      </c>
      <c r="AD105" s="62" t="str" cm="1">
        <f t="array" ref="AD105">Common_InputFunctions.Utility_DisplayArrayInTable(Fertiliser_SourceData.Fertiliser_Products_Data1(),FertiliserProducts[[#Headers],[Include or Exclude]], 0,4)</f>
        <v/>
      </c>
      <c r="AE105" s="62" t="str" cm="1">
        <f t="array" ref="AE105">Common_InputFunctions.Utility_DisplayArrayInTable(Fertiliser_SourceData.Fertiliser_Products_Data1(),FertiliserProducts[[#Headers],[Include or Exclude]], 0,4)</f>
        <v/>
      </c>
    </row>
    <row r="106" spans="1:31" ht="20.100000000000001" customHeight="1" x14ac:dyDescent="0.25">
      <c r="A106"/>
      <c r="D106" s="62" t="str" cm="1">
        <f t="array" ref="D106">Common_InputFunctions.Utility_DisplayArrayInTable(Fertiliser_SourceData.Fertiliser_Products_Data1(),FertiliserProducts[[#Headers],[Include or Exclude]], -1)</f>
        <v>Exclude - Not relevant</v>
      </c>
      <c r="E106" s="62" t="str" cm="1">
        <f t="array" ref="E106">Common_InputFunctions.Utility_DisplayArrayInTable(Fertiliser_SourceData.Fertiliser_Products_Data1(),FertiliserProducts[[#Headers],[Include or Exclude]], 0)</f>
        <v/>
      </c>
      <c r="F106" s="62" t="str" cm="1">
        <f t="array" ref="F106">Common_InputFunctions.Utility_DisplayArrayInTable(Fertiliser_SourceData.Fertiliser_Products_Data1(),FertiliserProducts[[#Headers],[Include or Exclude]], 0)</f>
        <v>Campbells fertilisers Australia</v>
      </c>
      <c r="G106" s="62" t="str" cm="1">
        <f t="array" ref="G106">Common_InputFunctions.Utility_DisplayArrayInTable(Fertiliser_SourceData.Fertiliser_Products_Data1(),FertiliserProducts[[#Headers],[Include or Exclude]], 0)</f>
        <v>Brevisol Range</v>
      </c>
      <c r="H106" s="62" t="str" cm="1">
        <f t="array" ref="H106">Common_InputFunctions.Utility_DisplayArrayInTable(Fertiliser_SourceData.Fertiliser_Products_Data1(),FertiliserProducts[[#Headers],[Include or Exclude]], 0,4)</f>
        <v/>
      </c>
      <c r="I106" s="62" t="str" cm="1">
        <f t="array" ref="I106">Common_InputFunctions.Utility_DisplayArrayInTable(Fertiliser_SourceData.Fertiliser_Products_Data1(),FertiliserProducts[[#Headers],[Include or Exclude]], 0,4)</f>
        <v/>
      </c>
      <c r="J106" s="62" t="str" cm="1">
        <f t="array" ref="J106">Common_InputFunctions.Utility_DisplayArrayInTable(Fertiliser_SourceData.Fertiliser_Products_Data1(),FertiliserProducts[[#Headers],[Include or Exclude]], 0,4)</f>
        <v/>
      </c>
      <c r="K106" s="62" t="str" cm="1">
        <f t="array" ref="K106">Common_InputFunctions.Utility_DisplayArrayInTable(Fertiliser_SourceData.Fertiliser_Products_Data1(),FertiliserProducts[[#Headers],[Include or Exclude]], 0,4)</f>
        <v/>
      </c>
      <c r="L106" s="62" t="str" cm="1">
        <f t="array" ref="L106">Common_InputFunctions.Utility_DisplayArrayInTable(Fertiliser_SourceData.Fertiliser_Products_Data1(),FertiliserProducts[[#Headers],[Include or Exclude]], 0,4)</f>
        <v/>
      </c>
      <c r="M106" s="62" t="str" cm="1">
        <f t="array" ref="M106">Common_InputFunctions.Utility_DisplayArrayInTable(Fertiliser_SourceData.Fertiliser_Products_Data1(),FertiliserProducts[[#Headers],[Include or Exclude]], 0,4)</f>
        <v/>
      </c>
      <c r="N106" s="62" t="str" cm="1">
        <f t="array" ref="N106">Common_InputFunctions.Utility_DisplayArrayInTable(Fertiliser_SourceData.Fertiliser_Products_Data1(),FertiliserProducts[[#Headers],[Include or Exclude]], 0,4)</f>
        <v/>
      </c>
      <c r="O106" s="62" t="str" cm="1">
        <f t="array" ref="O106">Common_InputFunctions.Utility_DisplayArrayInTable(Fertiliser_SourceData.Fertiliser_Products_Data1(),FertiliserProducts[[#Headers],[Include or Exclude]], 0,4)</f>
        <v/>
      </c>
      <c r="P106" s="62" t="str" cm="1">
        <f t="array" ref="P106">Common_InputFunctions.Utility_DisplayArrayInTable(Fertiliser_SourceData.Fertiliser_Products_Data1(),FertiliserProducts[[#Headers],[Include or Exclude]], 0,4)</f>
        <v/>
      </c>
      <c r="Q106" s="62" t="str" cm="1">
        <f t="array" ref="Q106">Common_InputFunctions.Utility_DisplayArrayInTable(Fertiliser_SourceData.Fertiliser_Products_Data1(),FertiliserProducts[[#Headers],[Include or Exclude]], 0,4)</f>
        <v/>
      </c>
      <c r="R106" s="62" t="str" cm="1">
        <f t="array" ref="R106">Common_InputFunctions.Utility_DisplayArrayInTable(Fertiliser_SourceData.Fertiliser_Products_Data1(),FertiliserProducts[[#Headers],[Include or Exclude]], 0,4)</f>
        <v/>
      </c>
      <c r="S106" s="62" t="str" cm="1">
        <f t="array" ref="S106">Common_InputFunctions.Utility_DisplayArrayInTable(Fertiliser_SourceData.Fertiliser_Products_Data1(),FertiliserProducts[[#Headers],[Include or Exclude]], 0,4)</f>
        <v/>
      </c>
      <c r="T106" s="62" t="str" cm="1">
        <f t="array" ref="T106">Common_InputFunctions.Utility_DisplayArrayInTable(Fertiliser_SourceData.Fertiliser_Products_Data1(),FertiliserProducts[[#Headers],[Include or Exclude]], 0,4)</f>
        <v/>
      </c>
      <c r="U106" s="62" t="str" cm="1">
        <f t="array" ref="U106">Common_InputFunctions.Utility_DisplayArrayInTable(Fertiliser_SourceData.Fertiliser_Products_Data1(),FertiliserProducts[[#Headers],[Include or Exclude]], 0,4)</f>
        <v/>
      </c>
      <c r="V106" s="62" t="str" cm="1">
        <f t="array" ref="V106">Common_InputFunctions.Utility_DisplayArrayInTable(Fertiliser_SourceData.Fertiliser_Products_Data1(),FertiliserProducts[[#Headers],[Include or Exclude]], 0,4)</f>
        <v/>
      </c>
      <c r="W106" s="62" t="str" cm="1">
        <f t="array" ref="W106">Common_InputFunctions.Utility_DisplayArrayInTable(Fertiliser_SourceData.Fertiliser_Products_Data1(),FertiliserProducts[[#Headers],[Include or Exclude]], 0,4)</f>
        <v/>
      </c>
      <c r="X106" s="62" t="str" cm="1">
        <f t="array" ref="X106">Common_InputFunctions.Utility_DisplayArrayInTable(Fertiliser_SourceData.Fertiliser_Products_Data1(),FertiliserProducts[[#Headers],[Include or Exclude]], 0,4)</f>
        <v/>
      </c>
      <c r="Y106" s="62" t="str" cm="1">
        <f t="array" ref="Y106">Common_InputFunctions.Utility_DisplayArrayInTable(Fertiliser_SourceData.Fertiliser_Products_Data1(),FertiliserProducts[[#Headers],[Include or Exclude]], 0,4)</f>
        <v/>
      </c>
      <c r="Z106" s="62" t="str" cm="1">
        <f t="array" ref="Z106">Common_InputFunctions.Utility_DisplayArrayInTable(Fertiliser_SourceData.Fertiliser_Products_Data1(),FertiliserProducts[[#Headers],[Include or Exclude]], 0,4)</f>
        <v/>
      </c>
      <c r="AA106" s="62" t="str" cm="1">
        <f t="array" ref="AA106">Common_InputFunctions.Utility_DisplayArrayInTable(Fertiliser_SourceData.Fertiliser_Products_Data1(),FertiliserProducts[[#Headers],[Include or Exclude]], 0,4)</f>
        <v/>
      </c>
      <c r="AB106" s="62" t="str" cm="1">
        <f t="array" ref="AB106">Common_InputFunctions.Utility_DisplayArrayInTable(Fertiliser_SourceData.Fertiliser_Products_Data1(),FertiliserProducts[[#Headers],[Include or Exclude]], 0,4)</f>
        <v/>
      </c>
      <c r="AC106" s="62" t="str" cm="1">
        <f t="array" ref="AC106">Common_InputFunctions.Utility_DisplayArrayInTable(Fertiliser_SourceData.Fertiliser_Products_Data1(),FertiliserProducts[[#Headers],[Include or Exclude]], 0,4)</f>
        <v/>
      </c>
      <c r="AD106" s="62" t="str" cm="1">
        <f t="array" ref="AD106">Common_InputFunctions.Utility_DisplayArrayInTable(Fertiliser_SourceData.Fertiliser_Products_Data1(),FertiliserProducts[[#Headers],[Include or Exclude]], 0,4)</f>
        <v/>
      </c>
      <c r="AE106" s="62" t="str" cm="1">
        <f t="array" ref="AE106">Common_InputFunctions.Utility_DisplayArrayInTable(Fertiliser_SourceData.Fertiliser_Products_Data1(),FertiliserProducts[[#Headers],[Include or Exclude]], 0,4)</f>
        <v/>
      </c>
    </row>
    <row r="107" spans="1:31" ht="20.100000000000001" customHeight="1" x14ac:dyDescent="0.25">
      <c r="A107"/>
      <c r="D107" s="62" t="str" cm="1">
        <f t="array" ref="D107">Common_InputFunctions.Utility_DisplayArrayInTable(Fertiliser_SourceData.Fertiliser_Products_Data1(),FertiliserProducts[[#Headers],[Include or Exclude]], -1)</f>
        <v>Include</v>
      </c>
      <c r="E107" s="62" t="str" cm="1">
        <f t="array" ref="E107">Common_InputFunctions.Utility_DisplayArrayInTable(Fertiliser_SourceData.Fertiliser_Products_Data1(),FertiliserProducts[[#Headers],[Include or Exclude]], 0)</f>
        <v/>
      </c>
      <c r="F107" s="62" t="str" cm="1">
        <f t="array" ref="F107">Common_InputFunctions.Utility_DisplayArrayInTable(Fertiliser_SourceData.Fertiliser_Products_Data1(),FertiliserProducts[[#Headers],[Include or Exclude]], 0)</f>
        <v>Campbells fertilisers Australia</v>
      </c>
      <c r="G107" s="62" t="str" cm="1">
        <f t="array" ref="G107">Common_InputFunctions.Utility_DisplayArrayInTable(Fertiliser_SourceData.Fertiliser_Products_Data1(),FertiliserProducts[[#Headers],[Include or Exclude]], 0)</f>
        <v>Brexil Line</v>
      </c>
      <c r="H107" s="62" t="str" cm="1">
        <f t="array" ref="H107">Common_InputFunctions.Utility_DisplayArrayInTable(Fertiliser_SourceData.Fertiliser_Products_Data1(),FertiliserProducts[[#Headers],[Include or Exclude]], 0,4)</f>
        <v/>
      </c>
      <c r="I107" s="62" t="str" cm="1">
        <f t="array" ref="I107">Common_InputFunctions.Utility_DisplayArrayInTable(Fertiliser_SourceData.Fertiliser_Products_Data1(),FertiliserProducts[[#Headers],[Include or Exclude]], 0,4)</f>
        <v/>
      </c>
      <c r="J107" s="62" t="str" cm="1">
        <f t="array" ref="J107">Common_InputFunctions.Utility_DisplayArrayInTable(Fertiliser_SourceData.Fertiliser_Products_Data1(),FertiliserProducts[[#Headers],[Include or Exclude]], 0,4)</f>
        <v/>
      </c>
      <c r="K107" s="62" t="str" cm="1">
        <f t="array" ref="K107">Common_InputFunctions.Utility_DisplayArrayInTable(Fertiliser_SourceData.Fertiliser_Products_Data1(),FertiliserProducts[[#Headers],[Include or Exclude]], 0,4)</f>
        <v/>
      </c>
      <c r="L107" s="62" t="str" cm="1">
        <f t="array" ref="L107">Common_InputFunctions.Utility_DisplayArrayInTable(Fertiliser_SourceData.Fertiliser_Products_Data1(),FertiliserProducts[[#Headers],[Include or Exclude]], 0,4)</f>
        <v/>
      </c>
      <c r="M107" s="62" t="str" cm="1">
        <f t="array" ref="M107">Common_InputFunctions.Utility_DisplayArrayInTable(Fertiliser_SourceData.Fertiliser_Products_Data1(),FertiliserProducts[[#Headers],[Include or Exclude]], 0,4)</f>
        <v/>
      </c>
      <c r="N107" s="62" t="str" cm="1">
        <f t="array" ref="N107">Common_InputFunctions.Utility_DisplayArrayInTable(Fertiliser_SourceData.Fertiliser_Products_Data1(),FertiliserProducts[[#Headers],[Include or Exclude]], 0,4)</f>
        <v/>
      </c>
      <c r="O107" s="62" t="str" cm="1">
        <f t="array" ref="O107">Common_InputFunctions.Utility_DisplayArrayInTable(Fertiliser_SourceData.Fertiliser_Products_Data1(),FertiliserProducts[[#Headers],[Include or Exclude]], 0,4)</f>
        <v/>
      </c>
      <c r="P107" s="62" t="str" cm="1">
        <f t="array" ref="P107">Common_InputFunctions.Utility_DisplayArrayInTable(Fertiliser_SourceData.Fertiliser_Products_Data1(),FertiliserProducts[[#Headers],[Include or Exclude]], 0,4)</f>
        <v/>
      </c>
      <c r="Q107" s="62" t="str" cm="1">
        <f t="array" ref="Q107">Common_InputFunctions.Utility_DisplayArrayInTable(Fertiliser_SourceData.Fertiliser_Products_Data1(),FertiliserProducts[[#Headers],[Include or Exclude]], 0,4)</f>
        <v/>
      </c>
      <c r="R107" s="62" t="str" cm="1">
        <f t="array" ref="R107">Common_InputFunctions.Utility_DisplayArrayInTable(Fertiliser_SourceData.Fertiliser_Products_Data1(),FertiliserProducts[[#Headers],[Include or Exclude]], 0,4)</f>
        <v/>
      </c>
      <c r="S107" s="62" t="str" cm="1">
        <f t="array" ref="S107">Common_InputFunctions.Utility_DisplayArrayInTable(Fertiliser_SourceData.Fertiliser_Products_Data1(),FertiliserProducts[[#Headers],[Include or Exclude]], 0,4)</f>
        <v/>
      </c>
      <c r="T107" s="62" t="str" cm="1">
        <f t="array" ref="T107">Common_InputFunctions.Utility_DisplayArrayInTable(Fertiliser_SourceData.Fertiliser_Products_Data1(),FertiliserProducts[[#Headers],[Include or Exclude]], 0,4)</f>
        <v/>
      </c>
      <c r="U107" s="62" t="str" cm="1">
        <f t="array" ref="U107">Common_InputFunctions.Utility_DisplayArrayInTable(Fertiliser_SourceData.Fertiliser_Products_Data1(),FertiliserProducts[[#Headers],[Include or Exclude]], 0,4)</f>
        <v/>
      </c>
      <c r="V107" s="62" t="str" cm="1">
        <f t="array" ref="V107">Common_InputFunctions.Utility_DisplayArrayInTable(Fertiliser_SourceData.Fertiliser_Products_Data1(),FertiliserProducts[[#Headers],[Include or Exclude]], 0,4)</f>
        <v/>
      </c>
      <c r="W107" s="62" t="str" cm="1">
        <f t="array" ref="W107">Common_InputFunctions.Utility_DisplayArrayInTable(Fertiliser_SourceData.Fertiliser_Products_Data1(),FertiliserProducts[[#Headers],[Include or Exclude]], 0,4)</f>
        <v/>
      </c>
      <c r="X107" s="62" t="str" cm="1">
        <f t="array" ref="X107">Common_InputFunctions.Utility_DisplayArrayInTable(Fertiliser_SourceData.Fertiliser_Products_Data1(),FertiliserProducts[[#Headers],[Include or Exclude]], 0,4)</f>
        <v/>
      </c>
      <c r="Y107" s="62" t="str" cm="1">
        <f t="array" ref="Y107">Common_InputFunctions.Utility_DisplayArrayInTable(Fertiliser_SourceData.Fertiliser_Products_Data1(),FertiliserProducts[[#Headers],[Include or Exclude]], 0,4)</f>
        <v/>
      </c>
      <c r="Z107" s="62" t="str" cm="1">
        <f t="array" ref="Z107">Common_InputFunctions.Utility_DisplayArrayInTable(Fertiliser_SourceData.Fertiliser_Products_Data1(),FertiliserProducts[[#Headers],[Include or Exclude]], 0,4)</f>
        <v/>
      </c>
      <c r="AA107" s="62" t="str" cm="1">
        <f t="array" ref="AA107">Common_InputFunctions.Utility_DisplayArrayInTable(Fertiliser_SourceData.Fertiliser_Products_Data1(),FertiliserProducts[[#Headers],[Include or Exclude]], 0,4)</f>
        <v/>
      </c>
      <c r="AB107" s="62" t="str" cm="1">
        <f t="array" ref="AB107">Common_InputFunctions.Utility_DisplayArrayInTable(Fertiliser_SourceData.Fertiliser_Products_Data1(),FertiliserProducts[[#Headers],[Include or Exclude]], 0,4)</f>
        <v/>
      </c>
      <c r="AC107" s="62" t="str" cm="1">
        <f t="array" ref="AC107">Common_InputFunctions.Utility_DisplayArrayInTable(Fertiliser_SourceData.Fertiliser_Products_Data1(),FertiliserProducts[[#Headers],[Include or Exclude]], 0,4)</f>
        <v/>
      </c>
      <c r="AD107" s="62" t="str" cm="1">
        <f t="array" ref="AD107">Common_InputFunctions.Utility_DisplayArrayInTable(Fertiliser_SourceData.Fertiliser_Products_Data1(),FertiliserProducts[[#Headers],[Include or Exclude]], 0,4)</f>
        <v/>
      </c>
      <c r="AE107" s="62" t="str" cm="1">
        <f t="array" ref="AE107">Common_InputFunctions.Utility_DisplayArrayInTable(Fertiliser_SourceData.Fertiliser_Products_Data1(),FertiliserProducts[[#Headers],[Include or Exclude]], 0,4)</f>
        <v/>
      </c>
    </row>
    <row r="108" spans="1:31" ht="20.100000000000001" customHeight="1" x14ac:dyDescent="0.25">
      <c r="A108"/>
      <c r="D108" s="62" t="str" cm="1">
        <f t="array" ref="D108">Common_InputFunctions.Utility_DisplayArrayInTable(Fertiliser_SourceData.Fertiliser_Products_Data1(),FertiliserProducts[[#Headers],[Include or Exclude]], -1)</f>
        <v>Exclude - Absent ingredients &gt; 2%</v>
      </c>
      <c r="E108" s="62" t="str" cm="1">
        <f t="array" ref="E108">Common_InputFunctions.Utility_DisplayArrayInTable(Fertiliser_SourceData.Fertiliser_Products_Data1(),FertiliserProducts[[#Headers],[Include or Exclude]], 0)</f>
        <v/>
      </c>
      <c r="F108" s="62" t="str" cm="1">
        <f t="array" ref="F108">Common_InputFunctions.Utility_DisplayArrayInTable(Fertiliser_SourceData.Fertiliser_Products_Data1(),FertiliserProducts[[#Headers],[Include or Exclude]], 0)</f>
        <v>Campbells fertilisers Australia</v>
      </c>
      <c r="G108" s="62" t="str" cm="1">
        <f t="array" ref="G108">Common_InputFunctions.Utility_DisplayArrayInTable(Fertiliser_SourceData.Fertiliser_Products_Data1(),FertiliserProducts[[#Headers],[Include or Exclude]], 0)</f>
        <v>Bronze</v>
      </c>
      <c r="H108" s="62" t="str" cm="1">
        <f t="array" ref="H108">Common_InputFunctions.Utility_DisplayArrayInTable(Fertiliser_SourceData.Fertiliser_Products_Data1(),FertiliserProducts[[#Headers],[Include or Exclude]], 0,4)</f>
        <v>kg</v>
      </c>
      <c r="I108" s="62" t="str" cm="1">
        <f t="array" ref="I108">Common_InputFunctions.Utility_DisplayArrayInTable(Fertiliser_SourceData.Fertiliser_Products_Data1(),FertiliserProducts[[#Headers],[Include or Exclude]], 0,4)</f>
        <v/>
      </c>
      <c r="J108" s="62" t="str" cm="1">
        <f t="array" ref="J108">Common_InputFunctions.Utility_DisplayArrayInTable(Fertiliser_SourceData.Fertiliser_Products_Data1(),FertiliserProducts[[#Headers],[Include or Exclude]], 0,4)</f>
        <v/>
      </c>
      <c r="K108" s="62" t="str" cm="1">
        <f t="array" ref="K108">Common_InputFunctions.Utility_DisplayArrayInTable(Fertiliser_SourceData.Fertiliser_Products_Data1(),FertiliserProducts[[#Headers],[Include or Exclude]], 0,4)</f>
        <v/>
      </c>
      <c r="L108" s="62" t="str" cm="1">
        <f t="array" ref="L108">Common_InputFunctions.Utility_DisplayArrayInTable(Fertiliser_SourceData.Fertiliser_Products_Data1(),FertiliserProducts[[#Headers],[Include or Exclude]], 0,4)</f>
        <v>Muriate of Potash (MOP)</v>
      </c>
      <c r="M108" s="62" cm="1">
        <f t="array" ref="M108">Common_InputFunctions.Utility_DisplayArrayInTable(Fertiliser_SourceData.Fertiliser_Products_Data1(),FertiliserProducts[[#Headers],[Include or Exclude]], 0,4)</f>
        <v>0.23200000000000001</v>
      </c>
      <c r="N108" s="62" t="str" cm="1">
        <f t="array" ref="N108">Common_InputFunctions.Utility_DisplayArrayInTable(Fertiliser_SourceData.Fertiliser_Products_Data1(),FertiliserProducts[[#Headers],[Include or Exclude]], 0,4)</f>
        <v>Nitrogen - Generic</v>
      </c>
      <c r="O108" s="62" cm="1">
        <f t="array" ref="O108">Common_InputFunctions.Utility_DisplayArrayInTable(Fertiliser_SourceData.Fertiliser_Products_Data1(),FertiliserProducts[[#Headers],[Include or Exclude]], 0,4)</f>
        <v>0.17</v>
      </c>
      <c r="P108" s="62" t="str" cm="1">
        <f t="array" ref="P108">Common_InputFunctions.Utility_DisplayArrayInTable(Fertiliser_SourceData.Fertiliser_Products_Data1(),FertiliserProducts[[#Headers],[Include or Exclude]], 0,4)</f>
        <v>Sulfur - Generic</v>
      </c>
      <c r="Q108" s="62" cm="1">
        <f t="array" ref="Q108">Common_InputFunctions.Utility_DisplayArrayInTable(Fertiliser_SourceData.Fertiliser_Products_Data1(),FertiliserProducts[[#Headers],[Include or Exclude]], 0,4)</f>
        <v>5.0000000000000001E-3</v>
      </c>
      <c r="R108" s="62" t="str" cm="1">
        <f t="array" ref="R108">Common_InputFunctions.Utility_DisplayArrayInTable(Fertiliser_SourceData.Fertiliser_Products_Data1(),FertiliserProducts[[#Headers],[Include or Exclude]], 0,4)</f>
        <v>Magnesium</v>
      </c>
      <c r="S108" s="62" cm="1">
        <f t="array" ref="S108">Common_InputFunctions.Utility_DisplayArrayInTable(Fertiliser_SourceData.Fertiliser_Products_Data1(),FertiliserProducts[[#Headers],[Include or Exclude]], 0,4)</f>
        <v>2.3999999999999998E-3</v>
      </c>
      <c r="T108" s="62" t="str" cm="1">
        <f t="array" ref="T108">Common_InputFunctions.Utility_DisplayArrayInTable(Fertiliser_SourceData.Fertiliser_Products_Data1(),FertiliserProducts[[#Headers],[Include or Exclude]], 0,4)</f>
        <v>Phosphorus - Generic</v>
      </c>
      <c r="U108" s="62" cm="1">
        <f t="array" ref="U108">Common_InputFunctions.Utility_DisplayArrayInTable(Fertiliser_SourceData.Fertiliser_Products_Data1(),FertiliserProducts[[#Headers],[Include or Exclude]], 0,4)</f>
        <v>4.0000000000000002E-4</v>
      </c>
      <c r="V108" s="62" t="str" cm="1">
        <f t="array" ref="V108">Common_InputFunctions.Utility_DisplayArrayInTable(Fertiliser_SourceData.Fertiliser_Products_Data1(),FertiliserProducts[[#Headers],[Include or Exclude]], 0,4)</f>
        <v/>
      </c>
      <c r="W108" s="62" t="str" cm="1">
        <f t="array" ref="W108">Common_InputFunctions.Utility_DisplayArrayInTable(Fertiliser_SourceData.Fertiliser_Products_Data1(),FertiliserProducts[[#Headers],[Include or Exclude]], 0,4)</f>
        <v/>
      </c>
      <c r="X108" s="62" t="str" cm="1">
        <f t="array" ref="X108">Common_InputFunctions.Utility_DisplayArrayInTable(Fertiliser_SourceData.Fertiliser_Products_Data1(),FertiliserProducts[[#Headers],[Include or Exclude]], 0,4)</f>
        <v/>
      </c>
      <c r="Y108" s="62" t="str" cm="1">
        <f t="array" ref="Y108">Common_InputFunctions.Utility_DisplayArrayInTable(Fertiliser_SourceData.Fertiliser_Products_Data1(),FertiliserProducts[[#Headers],[Include or Exclude]], 0,4)</f>
        <v/>
      </c>
      <c r="Z108" s="62" t="str" cm="1">
        <f t="array" ref="Z108">Common_InputFunctions.Utility_DisplayArrayInTable(Fertiliser_SourceData.Fertiliser_Products_Data1(),FertiliserProducts[[#Headers],[Include or Exclude]], 0,4)</f>
        <v/>
      </c>
      <c r="AA108" s="62" t="str" cm="1">
        <f t="array" ref="AA108">Common_InputFunctions.Utility_DisplayArrayInTable(Fertiliser_SourceData.Fertiliser_Products_Data1(),FertiliserProducts[[#Headers],[Include or Exclude]], 0,4)</f>
        <v/>
      </c>
      <c r="AB108" s="62" t="str" cm="1">
        <f t="array" ref="AB108">Common_InputFunctions.Utility_DisplayArrayInTable(Fertiliser_SourceData.Fertiliser_Products_Data1(),FertiliserProducts[[#Headers],[Include or Exclude]], 0,4)</f>
        <v/>
      </c>
      <c r="AC108" s="62" t="str" cm="1">
        <f t="array" ref="AC108">Common_InputFunctions.Utility_DisplayArrayInTable(Fertiliser_SourceData.Fertiliser_Products_Data1(),FertiliserProducts[[#Headers],[Include or Exclude]], 0,4)</f>
        <v/>
      </c>
      <c r="AD108" s="62" t="str" cm="1">
        <f t="array" ref="AD108">Common_InputFunctions.Utility_DisplayArrayInTable(Fertiliser_SourceData.Fertiliser_Products_Data1(),FertiliserProducts[[#Headers],[Include or Exclude]], 0,4)</f>
        <v/>
      </c>
      <c r="AE108" s="62" t="str" cm="1">
        <f t="array" ref="AE108">Common_InputFunctions.Utility_DisplayArrayInTable(Fertiliser_SourceData.Fertiliser_Products_Data1(),FertiliserProducts[[#Headers],[Include or Exclude]], 0,4)</f>
        <v/>
      </c>
    </row>
    <row r="109" spans="1:31" ht="20.100000000000001" customHeight="1" x14ac:dyDescent="0.25">
      <c r="A109"/>
      <c r="D109" s="62" t="str" cm="1">
        <f t="array" ref="D109">Common_InputFunctions.Utility_DisplayArrayInTable(Fertiliser_SourceData.Fertiliser_Products_Data1(),FertiliserProducts[[#Headers],[Include or Exclude]], -1)</f>
        <v>Exclude - Not relevant</v>
      </c>
      <c r="E109" s="62" t="str" cm="1">
        <f t="array" ref="E109">Common_InputFunctions.Utility_DisplayArrayInTable(Fertiliser_SourceData.Fertiliser_Products_Data1(),FertiliserProducts[[#Headers],[Include or Exclude]], 0)</f>
        <v/>
      </c>
      <c r="F109" s="62" t="str" cm="1">
        <f t="array" ref="F109">Common_InputFunctions.Utility_DisplayArrayInTable(Fertiliser_SourceData.Fertiliser_Products_Data1(),FertiliserProducts[[#Headers],[Include or Exclude]], 0)</f>
        <v>Campbells fertilisers Australia</v>
      </c>
      <c r="G109" s="62" t="str" cm="1">
        <f t="array" ref="G109">Common_InputFunctions.Utility_DisplayArrayInTable(Fertiliser_SourceData.Fertiliser_Products_Data1(),FertiliserProducts[[#Headers],[Include or Exclude]], 0)</f>
        <v>Bud-Wiser Dry</v>
      </c>
      <c r="H109" s="62" t="str" cm="1">
        <f t="array" ref="H109">Common_InputFunctions.Utility_DisplayArrayInTable(Fertiliser_SourceData.Fertiliser_Products_Data1(),FertiliserProducts[[#Headers],[Include or Exclude]], 0,4)</f>
        <v>kg</v>
      </c>
      <c r="I109" s="62" t="str" cm="1">
        <f t="array" ref="I109">Common_InputFunctions.Utility_DisplayArrayInTable(Fertiliser_SourceData.Fertiliser_Products_Data1(),FertiliserProducts[[#Headers],[Include or Exclude]], 0,4)</f>
        <v/>
      </c>
      <c r="J109" s="62" t="str" cm="1">
        <f t="array" ref="J109">Common_InputFunctions.Utility_DisplayArrayInTable(Fertiliser_SourceData.Fertiliser_Products_Data1(),FertiliserProducts[[#Headers],[Include or Exclude]], 0,4)</f>
        <v/>
      </c>
      <c r="K109" s="62" t="str" cm="1">
        <f t="array" ref="K109">Common_InputFunctions.Utility_DisplayArrayInTable(Fertiliser_SourceData.Fertiliser_Products_Data1(),FertiliserProducts[[#Headers],[Include or Exclude]], 0,4)</f>
        <v/>
      </c>
      <c r="L109" s="62" t="str" cm="1">
        <f t="array" ref="L109">Common_InputFunctions.Utility_DisplayArrayInTable(Fertiliser_SourceData.Fertiliser_Products_Data1(),FertiliserProducts[[#Headers],[Include or Exclude]], 0,4)</f>
        <v>Sulfur - Generic</v>
      </c>
      <c r="M109" s="62" cm="1">
        <f t="array" ref="M109">Common_InputFunctions.Utility_DisplayArrayInTable(Fertiliser_SourceData.Fertiliser_Products_Data1(),FertiliserProducts[[#Headers],[Include or Exclude]], 0,4)</f>
        <v>9.4E-2</v>
      </c>
      <c r="N109" s="62" t="str" cm="1">
        <f t="array" ref="N109">Common_InputFunctions.Utility_DisplayArrayInTable(Fertiliser_SourceData.Fertiliser_Products_Data1(),FertiliserProducts[[#Headers],[Include or Exclude]], 0,4)</f>
        <v>Magnesium</v>
      </c>
      <c r="O109" s="62" cm="1">
        <f t="array" ref="O109">Common_InputFunctions.Utility_DisplayArrayInTable(Fertiliser_SourceData.Fertiliser_Products_Data1(),FertiliserProducts[[#Headers],[Include or Exclude]], 0,4)</f>
        <v>0.06</v>
      </c>
      <c r="P109" s="62" t="str" cm="1">
        <f t="array" ref="P109">Common_InputFunctions.Utility_DisplayArrayInTable(Fertiliser_SourceData.Fertiliser_Products_Data1(),FertiliserProducts[[#Headers],[Include or Exclude]], 0,4)</f>
        <v>Boron</v>
      </c>
      <c r="Q109" s="62" cm="1">
        <f t="array" ref="Q109">Common_InputFunctions.Utility_DisplayArrayInTable(Fertiliser_SourceData.Fertiliser_Products_Data1(),FertiliserProducts[[#Headers],[Include or Exclude]], 0,4)</f>
        <v>4.4999999999999998E-2</v>
      </c>
      <c r="R109" s="62" t="str" cm="1">
        <f t="array" ref="R109">Common_InputFunctions.Utility_DisplayArrayInTable(Fertiliser_SourceData.Fertiliser_Products_Data1(),FertiliserProducts[[#Headers],[Include or Exclude]], 0,4)</f>
        <v>Zinc</v>
      </c>
      <c r="S109" s="62" cm="1">
        <f t="array" ref="S109">Common_InputFunctions.Utility_DisplayArrayInTable(Fertiliser_SourceData.Fertiliser_Products_Data1(),FertiliserProducts[[#Headers],[Include or Exclude]], 0,4)</f>
        <v>2.7E-2</v>
      </c>
      <c r="T109" s="62" t="str" cm="1">
        <f t="array" ref="T109">Common_InputFunctions.Utility_DisplayArrayInTable(Fertiliser_SourceData.Fertiliser_Products_Data1(),FertiliserProducts[[#Headers],[Include or Exclude]], 0,4)</f>
        <v/>
      </c>
      <c r="U109" s="62" t="str" cm="1">
        <f t="array" ref="U109">Common_InputFunctions.Utility_DisplayArrayInTable(Fertiliser_SourceData.Fertiliser_Products_Data1(),FertiliserProducts[[#Headers],[Include or Exclude]], 0,4)</f>
        <v/>
      </c>
      <c r="V109" s="62" t="str" cm="1">
        <f t="array" ref="V109">Common_InputFunctions.Utility_DisplayArrayInTable(Fertiliser_SourceData.Fertiliser_Products_Data1(),FertiliserProducts[[#Headers],[Include or Exclude]], 0,4)</f>
        <v/>
      </c>
      <c r="W109" s="62" t="str" cm="1">
        <f t="array" ref="W109">Common_InputFunctions.Utility_DisplayArrayInTable(Fertiliser_SourceData.Fertiliser_Products_Data1(),FertiliserProducts[[#Headers],[Include or Exclude]], 0,4)</f>
        <v/>
      </c>
      <c r="X109" s="62" t="str" cm="1">
        <f t="array" ref="X109">Common_InputFunctions.Utility_DisplayArrayInTable(Fertiliser_SourceData.Fertiliser_Products_Data1(),FertiliserProducts[[#Headers],[Include or Exclude]], 0,4)</f>
        <v/>
      </c>
      <c r="Y109" s="62" t="str" cm="1">
        <f t="array" ref="Y109">Common_InputFunctions.Utility_DisplayArrayInTable(Fertiliser_SourceData.Fertiliser_Products_Data1(),FertiliserProducts[[#Headers],[Include or Exclude]], 0,4)</f>
        <v/>
      </c>
      <c r="Z109" s="62" t="str" cm="1">
        <f t="array" ref="Z109">Common_InputFunctions.Utility_DisplayArrayInTable(Fertiliser_SourceData.Fertiliser_Products_Data1(),FertiliserProducts[[#Headers],[Include or Exclude]], 0,4)</f>
        <v/>
      </c>
      <c r="AA109" s="62" t="str" cm="1">
        <f t="array" ref="AA109">Common_InputFunctions.Utility_DisplayArrayInTable(Fertiliser_SourceData.Fertiliser_Products_Data1(),FertiliserProducts[[#Headers],[Include or Exclude]], 0,4)</f>
        <v/>
      </c>
      <c r="AB109" s="62" t="str" cm="1">
        <f t="array" ref="AB109">Common_InputFunctions.Utility_DisplayArrayInTable(Fertiliser_SourceData.Fertiliser_Products_Data1(),FertiliserProducts[[#Headers],[Include or Exclude]], 0,4)</f>
        <v/>
      </c>
      <c r="AC109" s="62" t="str" cm="1">
        <f t="array" ref="AC109">Common_InputFunctions.Utility_DisplayArrayInTable(Fertiliser_SourceData.Fertiliser_Products_Data1(),FertiliserProducts[[#Headers],[Include or Exclude]], 0,4)</f>
        <v/>
      </c>
      <c r="AD109" s="62" t="str" cm="1">
        <f t="array" ref="AD109">Common_InputFunctions.Utility_DisplayArrayInTable(Fertiliser_SourceData.Fertiliser_Products_Data1(),FertiliserProducts[[#Headers],[Include or Exclude]], 0,4)</f>
        <v/>
      </c>
      <c r="AE109" s="62" t="str" cm="1">
        <f t="array" ref="AE109">Common_InputFunctions.Utility_DisplayArrayInTable(Fertiliser_SourceData.Fertiliser_Products_Data1(),FertiliserProducts[[#Headers],[Include or Exclude]], 0,4)</f>
        <v/>
      </c>
    </row>
    <row r="110" spans="1:31" ht="20.100000000000001" customHeight="1" x14ac:dyDescent="0.25">
      <c r="A110"/>
      <c r="D110" s="62" t="str" cm="1">
        <f t="array" ref="D110">Common_InputFunctions.Utility_DisplayArrayInTable(Fertiliser_SourceData.Fertiliser_Products_Data1(),FertiliserProducts[[#Headers],[Include or Exclude]], -1)</f>
        <v>Exclude - Not relevant</v>
      </c>
      <c r="E110" s="62" t="str" cm="1">
        <f t="array" ref="E110">Common_InputFunctions.Utility_DisplayArrayInTable(Fertiliser_SourceData.Fertiliser_Products_Data1(),FertiliserProducts[[#Headers],[Include or Exclude]], 0)</f>
        <v/>
      </c>
      <c r="F110" s="62" t="str" cm="1">
        <f t="array" ref="F110">Common_InputFunctions.Utility_DisplayArrayInTable(Fertiliser_SourceData.Fertiliser_Products_Data1(),FertiliserProducts[[#Headers],[Include or Exclude]], 0)</f>
        <v>Campbells fertilisers Australia</v>
      </c>
      <c r="G110" s="62" t="str" cm="1">
        <f t="array" ref="G110">Common_InputFunctions.Utility_DisplayArrayInTable(Fertiliser_SourceData.Fertiliser_Products_Data1(),FertiliserProducts[[#Headers],[Include or Exclude]], 0)</f>
        <v>Calbit C</v>
      </c>
      <c r="H110" s="62" t="str" cm="1">
        <f t="array" ref="H110">Common_InputFunctions.Utility_DisplayArrayInTable(Fertiliser_SourceData.Fertiliser_Products_Data1(),FertiliserProducts[[#Headers],[Include or Exclude]], 0,4)</f>
        <v>L</v>
      </c>
      <c r="I110" s="62" t="str" cm="1">
        <f t="array" ref="I110">Common_InputFunctions.Utility_DisplayArrayInTable(Fertiliser_SourceData.Fertiliser_Products_Data1(),FertiliserProducts[[#Headers],[Include or Exclude]], 0,4)</f>
        <v/>
      </c>
      <c r="J110" s="62" t="str" cm="1">
        <f t="array" ref="J110">Common_InputFunctions.Utility_DisplayArrayInTable(Fertiliser_SourceData.Fertiliser_Products_Data1(),FertiliserProducts[[#Headers],[Include or Exclude]], 0,4)</f>
        <v/>
      </c>
      <c r="K110" s="62" t="str" cm="1">
        <f t="array" ref="K110">Common_InputFunctions.Utility_DisplayArrayInTable(Fertiliser_SourceData.Fertiliser_Products_Data1(),FertiliserProducts[[#Headers],[Include or Exclude]], 0,4)</f>
        <v/>
      </c>
      <c r="L110" s="62" t="str" cm="1">
        <f t="array" ref="L110">Common_InputFunctions.Utility_DisplayArrayInTable(Fertiliser_SourceData.Fertiliser_Products_Data1(),FertiliserProducts[[#Headers],[Include or Exclude]], 0,4)</f>
        <v/>
      </c>
      <c r="M110" s="62" t="str" cm="1">
        <f t="array" ref="M110">Common_InputFunctions.Utility_DisplayArrayInTable(Fertiliser_SourceData.Fertiliser_Products_Data1(),FertiliserProducts[[#Headers],[Include or Exclude]], 0,4)</f>
        <v/>
      </c>
      <c r="N110" s="62" t="str" cm="1">
        <f t="array" ref="N110">Common_InputFunctions.Utility_DisplayArrayInTable(Fertiliser_SourceData.Fertiliser_Products_Data1(),FertiliserProducts[[#Headers],[Include or Exclude]], 0,4)</f>
        <v/>
      </c>
      <c r="O110" s="62" t="str" cm="1">
        <f t="array" ref="O110">Common_InputFunctions.Utility_DisplayArrayInTable(Fertiliser_SourceData.Fertiliser_Products_Data1(),FertiliserProducts[[#Headers],[Include or Exclude]], 0,4)</f>
        <v/>
      </c>
      <c r="P110" s="62" t="str" cm="1">
        <f t="array" ref="P110">Common_InputFunctions.Utility_DisplayArrayInTable(Fertiliser_SourceData.Fertiliser_Products_Data1(),FertiliserProducts[[#Headers],[Include or Exclude]], 0,4)</f>
        <v/>
      </c>
      <c r="Q110" s="62" t="str" cm="1">
        <f t="array" ref="Q110">Common_InputFunctions.Utility_DisplayArrayInTable(Fertiliser_SourceData.Fertiliser_Products_Data1(),FertiliserProducts[[#Headers],[Include or Exclude]], 0,4)</f>
        <v/>
      </c>
      <c r="R110" s="62" t="str" cm="1">
        <f t="array" ref="R110">Common_InputFunctions.Utility_DisplayArrayInTable(Fertiliser_SourceData.Fertiliser_Products_Data1(),FertiliserProducts[[#Headers],[Include or Exclude]], 0,4)</f>
        <v/>
      </c>
      <c r="S110" s="62" t="str" cm="1">
        <f t="array" ref="S110">Common_InputFunctions.Utility_DisplayArrayInTable(Fertiliser_SourceData.Fertiliser_Products_Data1(),FertiliserProducts[[#Headers],[Include or Exclude]], 0,4)</f>
        <v/>
      </c>
      <c r="T110" s="62" t="str" cm="1">
        <f t="array" ref="T110">Common_InputFunctions.Utility_DisplayArrayInTable(Fertiliser_SourceData.Fertiliser_Products_Data1(),FertiliserProducts[[#Headers],[Include or Exclude]], 0,4)</f>
        <v/>
      </c>
      <c r="U110" s="62" t="str" cm="1">
        <f t="array" ref="U110">Common_InputFunctions.Utility_DisplayArrayInTable(Fertiliser_SourceData.Fertiliser_Products_Data1(),FertiliserProducts[[#Headers],[Include or Exclude]], 0,4)</f>
        <v/>
      </c>
      <c r="V110" s="62" t="str" cm="1">
        <f t="array" ref="V110">Common_InputFunctions.Utility_DisplayArrayInTable(Fertiliser_SourceData.Fertiliser_Products_Data1(),FertiliserProducts[[#Headers],[Include or Exclude]], 0,4)</f>
        <v/>
      </c>
      <c r="W110" s="62" t="str" cm="1">
        <f t="array" ref="W110">Common_InputFunctions.Utility_DisplayArrayInTable(Fertiliser_SourceData.Fertiliser_Products_Data1(),FertiliserProducts[[#Headers],[Include or Exclude]], 0,4)</f>
        <v/>
      </c>
      <c r="X110" s="62" t="str" cm="1">
        <f t="array" ref="X110">Common_InputFunctions.Utility_DisplayArrayInTable(Fertiliser_SourceData.Fertiliser_Products_Data1(),FertiliserProducts[[#Headers],[Include or Exclude]], 0,4)</f>
        <v/>
      </c>
      <c r="Y110" s="62" t="str" cm="1">
        <f t="array" ref="Y110">Common_InputFunctions.Utility_DisplayArrayInTable(Fertiliser_SourceData.Fertiliser_Products_Data1(),FertiliserProducts[[#Headers],[Include or Exclude]], 0,4)</f>
        <v/>
      </c>
      <c r="Z110" s="62" t="str" cm="1">
        <f t="array" ref="Z110">Common_InputFunctions.Utility_DisplayArrayInTable(Fertiliser_SourceData.Fertiliser_Products_Data1(),FertiliserProducts[[#Headers],[Include or Exclude]], 0,4)</f>
        <v/>
      </c>
      <c r="AA110" s="62" t="str" cm="1">
        <f t="array" ref="AA110">Common_InputFunctions.Utility_DisplayArrayInTable(Fertiliser_SourceData.Fertiliser_Products_Data1(),FertiliserProducts[[#Headers],[Include or Exclude]], 0,4)</f>
        <v/>
      </c>
      <c r="AB110" s="62" t="str" cm="1">
        <f t="array" ref="AB110">Common_InputFunctions.Utility_DisplayArrayInTable(Fertiliser_SourceData.Fertiliser_Products_Data1(),FertiliserProducts[[#Headers],[Include or Exclude]], 0,4)</f>
        <v/>
      </c>
      <c r="AC110" s="62" t="str" cm="1">
        <f t="array" ref="AC110">Common_InputFunctions.Utility_DisplayArrayInTable(Fertiliser_SourceData.Fertiliser_Products_Data1(),FertiliserProducts[[#Headers],[Include or Exclude]], 0,4)</f>
        <v/>
      </c>
      <c r="AD110" s="62" t="str" cm="1">
        <f t="array" ref="AD110">Common_InputFunctions.Utility_DisplayArrayInTable(Fertiliser_SourceData.Fertiliser_Products_Data1(),FertiliserProducts[[#Headers],[Include or Exclude]], 0,4)</f>
        <v/>
      </c>
      <c r="AE110" s="62" t="str" cm="1">
        <f t="array" ref="AE110">Common_InputFunctions.Utility_DisplayArrayInTable(Fertiliser_SourceData.Fertiliser_Products_Data1(),FertiliserProducts[[#Headers],[Include or Exclude]], 0,4)</f>
        <v/>
      </c>
    </row>
    <row r="111" spans="1:31" ht="20.100000000000001" customHeight="1" x14ac:dyDescent="0.25">
      <c r="A111"/>
      <c r="D111" s="62" t="str" cm="1">
        <f t="array" ref="D111">Common_InputFunctions.Utility_DisplayArrayInTable(Fertiliser_SourceData.Fertiliser_Products_Data1(),FertiliserProducts[[#Headers],[Include or Exclude]], -1)</f>
        <v>Include</v>
      </c>
      <c r="E111" s="62" t="str" cm="1">
        <f t="array" ref="E111">Common_InputFunctions.Utility_DisplayArrayInTable(Fertiliser_SourceData.Fertiliser_Products_Data1(),FertiliserProducts[[#Headers],[Include or Exclude]], 0)</f>
        <v/>
      </c>
      <c r="F111" s="62" t="str" cm="1">
        <f t="array" ref="F111">Common_InputFunctions.Utility_DisplayArrayInTable(Fertiliser_SourceData.Fertiliser_Products_Data1(),FertiliserProducts[[#Headers],[Include or Exclude]], 0)</f>
        <v>Campbells fertilisers Australia</v>
      </c>
      <c r="G111" s="62" t="str" cm="1">
        <f t="array" ref="G111">Common_InputFunctions.Utility_DisplayArrayInTable(Fertiliser_SourceData.Fertiliser_Products_Data1(),FertiliserProducts[[#Headers],[Include or Exclude]], 0)</f>
        <v>Calcium 175</v>
      </c>
      <c r="H111" s="62" t="str" cm="1">
        <f t="array" ref="H111">Common_InputFunctions.Utility_DisplayArrayInTable(Fertiliser_SourceData.Fertiliser_Products_Data1(),FertiliserProducts[[#Headers],[Include or Exclude]], 0,4)</f>
        <v>L</v>
      </c>
      <c r="I111" s="62" t="str" cm="1">
        <f t="array" ref="I111">Common_InputFunctions.Utility_DisplayArrayInTable(Fertiliser_SourceData.Fertiliser_Products_Data1(),FertiliserProducts[[#Headers],[Include or Exclude]], 0,4)</f>
        <v/>
      </c>
      <c r="J111" s="62" t="str" cm="1">
        <f t="array" ref="J111">Common_InputFunctions.Utility_DisplayArrayInTable(Fertiliser_SourceData.Fertiliser_Products_Data1(),FertiliserProducts[[#Headers],[Include or Exclude]], 0,4)</f>
        <v/>
      </c>
      <c r="K111" s="62" t="str" cm="1">
        <f t="array" ref="K111">Common_InputFunctions.Utility_DisplayArrayInTable(Fertiliser_SourceData.Fertiliser_Products_Data1(),FertiliserProducts[[#Headers],[Include or Exclude]], 0,4)</f>
        <v/>
      </c>
      <c r="L111" s="62" t="str" cm="1">
        <f t="array" ref="L111">Common_InputFunctions.Utility_DisplayArrayInTable(Fertiliser_SourceData.Fertiliser_Products_Data1(),FertiliserProducts[[#Headers],[Include or Exclude]], 0,4)</f>
        <v/>
      </c>
      <c r="M111" s="62" t="str" cm="1">
        <f t="array" ref="M111">Common_InputFunctions.Utility_DisplayArrayInTable(Fertiliser_SourceData.Fertiliser_Products_Data1(),FertiliserProducts[[#Headers],[Include or Exclude]], 0,4)</f>
        <v/>
      </c>
      <c r="N111" s="62" t="str" cm="1">
        <f t="array" ref="N111">Common_InputFunctions.Utility_DisplayArrayInTable(Fertiliser_SourceData.Fertiliser_Products_Data1(),FertiliserProducts[[#Headers],[Include or Exclude]], 0,4)</f>
        <v/>
      </c>
      <c r="O111" s="62" t="str" cm="1">
        <f t="array" ref="O111">Common_InputFunctions.Utility_DisplayArrayInTable(Fertiliser_SourceData.Fertiliser_Products_Data1(),FertiliserProducts[[#Headers],[Include or Exclude]], 0,4)</f>
        <v/>
      </c>
      <c r="P111" s="62" t="str" cm="1">
        <f t="array" ref="P111">Common_InputFunctions.Utility_DisplayArrayInTable(Fertiliser_SourceData.Fertiliser_Products_Data1(),FertiliserProducts[[#Headers],[Include or Exclude]], 0,4)</f>
        <v/>
      </c>
      <c r="Q111" s="62" t="str" cm="1">
        <f t="array" ref="Q111">Common_InputFunctions.Utility_DisplayArrayInTable(Fertiliser_SourceData.Fertiliser_Products_Data1(),FertiliserProducts[[#Headers],[Include or Exclude]], 0,4)</f>
        <v/>
      </c>
      <c r="R111" s="62" t="str" cm="1">
        <f t="array" ref="R111">Common_InputFunctions.Utility_DisplayArrayInTable(Fertiliser_SourceData.Fertiliser_Products_Data1(),FertiliserProducts[[#Headers],[Include or Exclude]], 0,4)</f>
        <v/>
      </c>
      <c r="S111" s="62" t="str" cm="1">
        <f t="array" ref="S111">Common_InputFunctions.Utility_DisplayArrayInTable(Fertiliser_SourceData.Fertiliser_Products_Data1(),FertiliserProducts[[#Headers],[Include or Exclude]], 0,4)</f>
        <v/>
      </c>
      <c r="T111" s="62" t="str" cm="1">
        <f t="array" ref="T111">Common_InputFunctions.Utility_DisplayArrayInTable(Fertiliser_SourceData.Fertiliser_Products_Data1(),FertiliserProducts[[#Headers],[Include or Exclude]], 0,4)</f>
        <v/>
      </c>
      <c r="U111" s="62" t="str" cm="1">
        <f t="array" ref="U111">Common_InputFunctions.Utility_DisplayArrayInTable(Fertiliser_SourceData.Fertiliser_Products_Data1(),FertiliserProducts[[#Headers],[Include or Exclude]], 0,4)</f>
        <v/>
      </c>
      <c r="V111" s="62" t="str" cm="1">
        <f t="array" ref="V111">Common_InputFunctions.Utility_DisplayArrayInTable(Fertiliser_SourceData.Fertiliser_Products_Data1(),FertiliserProducts[[#Headers],[Include or Exclude]], 0,4)</f>
        <v/>
      </c>
      <c r="W111" s="62" t="str" cm="1">
        <f t="array" ref="W111">Common_InputFunctions.Utility_DisplayArrayInTable(Fertiliser_SourceData.Fertiliser_Products_Data1(),FertiliserProducts[[#Headers],[Include or Exclude]], 0,4)</f>
        <v/>
      </c>
      <c r="X111" s="62" t="str" cm="1">
        <f t="array" ref="X111">Common_InputFunctions.Utility_DisplayArrayInTable(Fertiliser_SourceData.Fertiliser_Products_Data1(),FertiliserProducts[[#Headers],[Include or Exclude]], 0,4)</f>
        <v/>
      </c>
      <c r="Y111" s="62" t="str" cm="1">
        <f t="array" ref="Y111">Common_InputFunctions.Utility_DisplayArrayInTable(Fertiliser_SourceData.Fertiliser_Products_Data1(),FertiliserProducts[[#Headers],[Include or Exclude]], 0,4)</f>
        <v/>
      </c>
      <c r="Z111" s="62" t="str" cm="1">
        <f t="array" ref="Z111">Common_InputFunctions.Utility_DisplayArrayInTable(Fertiliser_SourceData.Fertiliser_Products_Data1(),FertiliserProducts[[#Headers],[Include or Exclude]], 0,4)</f>
        <v/>
      </c>
      <c r="AA111" s="62" t="str" cm="1">
        <f t="array" ref="AA111">Common_InputFunctions.Utility_DisplayArrayInTable(Fertiliser_SourceData.Fertiliser_Products_Data1(),FertiliserProducts[[#Headers],[Include or Exclude]], 0,4)</f>
        <v/>
      </c>
      <c r="AB111" s="62" t="str" cm="1">
        <f t="array" ref="AB111">Common_InputFunctions.Utility_DisplayArrayInTable(Fertiliser_SourceData.Fertiliser_Products_Data1(),FertiliserProducts[[#Headers],[Include or Exclude]], 0,4)</f>
        <v/>
      </c>
      <c r="AC111" s="62" t="str" cm="1">
        <f t="array" ref="AC111">Common_InputFunctions.Utility_DisplayArrayInTable(Fertiliser_SourceData.Fertiliser_Products_Data1(),FertiliserProducts[[#Headers],[Include or Exclude]], 0,4)</f>
        <v/>
      </c>
      <c r="AD111" s="62" t="str" cm="1">
        <f t="array" ref="AD111">Common_InputFunctions.Utility_DisplayArrayInTable(Fertiliser_SourceData.Fertiliser_Products_Data1(),FertiliserProducts[[#Headers],[Include or Exclude]], 0,4)</f>
        <v/>
      </c>
      <c r="AE111" s="62" t="str" cm="1">
        <f t="array" ref="AE111">Common_InputFunctions.Utility_DisplayArrayInTable(Fertiliser_SourceData.Fertiliser_Products_Data1(),FertiliserProducts[[#Headers],[Include or Exclude]], 0,4)</f>
        <v/>
      </c>
    </row>
    <row r="112" spans="1:31" ht="20.100000000000001" customHeight="1" x14ac:dyDescent="0.25">
      <c r="A112"/>
      <c r="D112" s="62" t="str" cm="1">
        <f t="array" ref="D112">Common_InputFunctions.Utility_DisplayArrayInTable(Fertiliser_SourceData.Fertiliser_Products_Data1(),FertiliserProducts[[#Headers],[Include or Exclude]], -1)</f>
        <v/>
      </c>
      <c r="E112" s="62" t="str" cm="1">
        <f t="array" ref="E112">Common_InputFunctions.Utility_DisplayArrayInTable(Fertiliser_SourceData.Fertiliser_Products_Data1(),FertiliserProducts[[#Headers],[Include or Exclude]], 0)</f>
        <v>Use Lime EF for calcium</v>
      </c>
      <c r="F112" s="62" t="str" cm="1">
        <f t="array" ref="F112">Common_InputFunctions.Utility_DisplayArrayInTable(Fertiliser_SourceData.Fertiliser_Products_Data1(),FertiliserProducts[[#Headers],[Include or Exclude]], 0)</f>
        <v>Campbells fertilisers Australia</v>
      </c>
      <c r="G112" s="62" t="str" cm="1">
        <f t="array" ref="G112">Common_InputFunctions.Utility_DisplayArrayInTable(Fertiliser_SourceData.Fertiliser_Products_Data1(),FertiliserProducts[[#Headers],[Include or Exclude]], 0)</f>
        <v>CalPhos</v>
      </c>
      <c r="H112" s="62" t="str" cm="1">
        <f t="array" ref="H112">Common_InputFunctions.Utility_DisplayArrayInTable(Fertiliser_SourceData.Fertiliser_Products_Data1(),FertiliserProducts[[#Headers],[Include or Exclude]], 0,4)</f>
        <v>L</v>
      </c>
      <c r="I112" s="62" cm="1">
        <f t="array" ref="I112">Common_InputFunctions.Utility_DisplayArrayInTable(Fertiliser_SourceData.Fertiliser_Products_Data1(),FertiliserProducts[[#Headers],[Include or Exclude]], 0,4)</f>
        <v>1.2849999999999999</v>
      </c>
      <c r="J112" s="62" t="str" cm="1">
        <f t="array" ref="J112">Common_InputFunctions.Utility_DisplayArrayInTable(Fertiliser_SourceData.Fertiliser_Products_Data1(),FertiliserProducts[[#Headers],[Include or Exclude]], 0,4)</f>
        <v/>
      </c>
      <c r="K112" s="62" t="str" cm="1">
        <f t="array" ref="K112">Common_InputFunctions.Utility_DisplayArrayInTable(Fertiliser_SourceData.Fertiliser_Products_Data1(),FertiliserProducts[[#Headers],[Include or Exclude]], 0,4)</f>
        <v/>
      </c>
      <c r="L112" s="62" t="str" cm="1">
        <f t="array" ref="L112">Common_InputFunctions.Utility_DisplayArrayInTable(Fertiliser_SourceData.Fertiliser_Products_Data1(),FertiliserProducts[[#Headers],[Include or Exclude]], 0,4)</f>
        <v>Phosphorus - Generic</v>
      </c>
      <c r="M112" s="62" cm="1">
        <f t="array" ref="M112">Common_InputFunctions.Utility_DisplayArrayInTable(Fertiliser_SourceData.Fertiliser_Products_Data1(),FertiliserProducts[[#Headers],[Include or Exclude]], 0,4)</f>
        <v>0.13500000000000001</v>
      </c>
      <c r="N112" s="62" t="str" cm="1">
        <f t="array" ref="N112">Common_InputFunctions.Utility_DisplayArrayInTable(Fertiliser_SourceData.Fertiliser_Products_Data1(),FertiliserProducts[[#Headers],[Include or Exclude]], 0,4)</f>
        <v>Calcium - Generic</v>
      </c>
      <c r="O112" s="62" cm="1">
        <f t="array" ref="O112">Common_InputFunctions.Utility_DisplayArrayInTable(Fertiliser_SourceData.Fertiliser_Products_Data1(),FertiliserProducts[[#Headers],[Include or Exclude]], 0,4)</f>
        <v>0.04</v>
      </c>
      <c r="P112" s="62" t="str" cm="1">
        <f t="array" ref="P112">Common_InputFunctions.Utility_DisplayArrayInTable(Fertiliser_SourceData.Fertiliser_Products_Data1(),FertiliserProducts[[#Headers],[Include or Exclude]], 0,4)</f>
        <v/>
      </c>
      <c r="Q112" s="62" t="str" cm="1">
        <f t="array" ref="Q112">Common_InputFunctions.Utility_DisplayArrayInTable(Fertiliser_SourceData.Fertiliser_Products_Data1(),FertiliserProducts[[#Headers],[Include or Exclude]], 0,4)</f>
        <v/>
      </c>
      <c r="R112" s="62" t="str" cm="1">
        <f t="array" ref="R112">Common_InputFunctions.Utility_DisplayArrayInTable(Fertiliser_SourceData.Fertiliser_Products_Data1(),FertiliserProducts[[#Headers],[Include or Exclude]], 0,4)</f>
        <v/>
      </c>
      <c r="S112" s="62" t="str" cm="1">
        <f t="array" ref="S112">Common_InputFunctions.Utility_DisplayArrayInTable(Fertiliser_SourceData.Fertiliser_Products_Data1(),FertiliserProducts[[#Headers],[Include or Exclude]], 0,4)</f>
        <v/>
      </c>
      <c r="T112" s="62" t="str" cm="1">
        <f t="array" ref="T112">Common_InputFunctions.Utility_DisplayArrayInTable(Fertiliser_SourceData.Fertiliser_Products_Data1(),FertiliserProducts[[#Headers],[Include or Exclude]], 0,4)</f>
        <v/>
      </c>
      <c r="U112" s="62" t="str" cm="1">
        <f t="array" ref="U112">Common_InputFunctions.Utility_DisplayArrayInTable(Fertiliser_SourceData.Fertiliser_Products_Data1(),FertiliserProducts[[#Headers],[Include or Exclude]], 0,4)</f>
        <v/>
      </c>
      <c r="V112" s="62" t="str" cm="1">
        <f t="array" ref="V112">Common_InputFunctions.Utility_DisplayArrayInTable(Fertiliser_SourceData.Fertiliser_Products_Data1(),FertiliserProducts[[#Headers],[Include or Exclude]], 0,4)</f>
        <v/>
      </c>
      <c r="W112" s="62" t="str" cm="1">
        <f t="array" ref="W112">Common_InputFunctions.Utility_DisplayArrayInTable(Fertiliser_SourceData.Fertiliser_Products_Data1(),FertiliserProducts[[#Headers],[Include or Exclude]], 0,4)</f>
        <v/>
      </c>
      <c r="X112" s="62" t="str" cm="1">
        <f t="array" ref="X112">Common_InputFunctions.Utility_DisplayArrayInTable(Fertiliser_SourceData.Fertiliser_Products_Data1(),FertiliserProducts[[#Headers],[Include or Exclude]], 0,4)</f>
        <v/>
      </c>
      <c r="Y112" s="62" t="str" cm="1">
        <f t="array" ref="Y112">Common_InputFunctions.Utility_DisplayArrayInTable(Fertiliser_SourceData.Fertiliser_Products_Data1(),FertiliserProducts[[#Headers],[Include or Exclude]], 0,4)</f>
        <v/>
      </c>
      <c r="Z112" s="62" t="str" cm="1">
        <f t="array" ref="Z112">Common_InputFunctions.Utility_DisplayArrayInTable(Fertiliser_SourceData.Fertiliser_Products_Data1(),FertiliserProducts[[#Headers],[Include or Exclude]], 0,4)</f>
        <v/>
      </c>
      <c r="AA112" s="62" t="str" cm="1">
        <f t="array" ref="AA112">Common_InputFunctions.Utility_DisplayArrayInTable(Fertiliser_SourceData.Fertiliser_Products_Data1(),FertiliserProducts[[#Headers],[Include or Exclude]], 0,4)</f>
        <v/>
      </c>
      <c r="AB112" s="62" t="str" cm="1">
        <f t="array" ref="AB112">Common_InputFunctions.Utility_DisplayArrayInTable(Fertiliser_SourceData.Fertiliser_Products_Data1(),FertiliserProducts[[#Headers],[Include or Exclude]], 0,4)</f>
        <v/>
      </c>
      <c r="AC112" s="62" t="str" cm="1">
        <f t="array" ref="AC112">Common_InputFunctions.Utility_DisplayArrayInTable(Fertiliser_SourceData.Fertiliser_Products_Data1(),FertiliserProducts[[#Headers],[Include or Exclude]], 0,4)</f>
        <v/>
      </c>
      <c r="AD112" s="62" t="str" cm="1">
        <f t="array" ref="AD112">Common_InputFunctions.Utility_DisplayArrayInTable(Fertiliser_SourceData.Fertiliser_Products_Data1(),FertiliserProducts[[#Headers],[Include or Exclude]], 0,4)</f>
        <v/>
      </c>
      <c r="AE112" s="62" t="str" cm="1">
        <f t="array" ref="AE112">Common_InputFunctions.Utility_DisplayArrayInTable(Fertiliser_SourceData.Fertiliser_Products_Data1(),FertiliserProducts[[#Headers],[Include or Exclude]], 0,4)</f>
        <v/>
      </c>
    </row>
    <row r="113" spans="1:31" ht="20.100000000000001" customHeight="1" x14ac:dyDescent="0.25">
      <c r="A113"/>
      <c r="D113" s="62" t="str" cm="1">
        <f t="array" ref="D113">Common_InputFunctions.Utility_DisplayArrayInTable(Fertiliser_SourceData.Fertiliser_Products_Data1(),FertiliserProducts[[#Headers],[Include or Exclude]], -1)</f>
        <v/>
      </c>
      <c r="E113" s="62" t="str" cm="1">
        <f t="array" ref="E113">Common_InputFunctions.Utility_DisplayArrayInTable(Fertiliser_SourceData.Fertiliser_Products_Data1(),FertiliserProducts[[#Headers],[Include or Exclude]], 0)</f>
        <v/>
      </c>
      <c r="F113" s="62" t="str" cm="1">
        <f t="array" ref="F113">Common_InputFunctions.Utility_DisplayArrayInTable(Fertiliser_SourceData.Fertiliser_Products_Data1(),FertiliserProducts[[#Headers],[Include or Exclude]], 0)</f>
        <v/>
      </c>
      <c r="G113" s="62" t="str" cm="1">
        <f t="array" ref="G113">Common_InputFunctions.Utility_DisplayArrayInTable(Fertiliser_SourceData.Fertiliser_Products_Data1(),FertiliserProducts[[#Headers],[Include or Exclude]], 0)</f>
        <v/>
      </c>
      <c r="H113" s="62" t="str" cm="1">
        <f t="array" ref="H113">Common_InputFunctions.Utility_DisplayArrayInTable(Fertiliser_SourceData.Fertiliser_Products_Data1(),FertiliserProducts[[#Headers],[Include or Exclude]], 0,4)</f>
        <v/>
      </c>
      <c r="I113" s="62" t="str" cm="1">
        <f t="array" ref="I113">Common_InputFunctions.Utility_DisplayArrayInTable(Fertiliser_SourceData.Fertiliser_Products_Data1(),FertiliserProducts[[#Headers],[Include or Exclude]], 0,4)</f>
        <v/>
      </c>
      <c r="J113" s="62" t="str" cm="1">
        <f t="array" ref="J113">Common_InputFunctions.Utility_DisplayArrayInTable(Fertiliser_SourceData.Fertiliser_Products_Data1(),FertiliserProducts[[#Headers],[Include or Exclude]], 0,4)</f>
        <v/>
      </c>
      <c r="K113" s="62" t="str" cm="1">
        <f t="array" ref="K113">Common_InputFunctions.Utility_DisplayArrayInTable(Fertiliser_SourceData.Fertiliser_Products_Data1(),FertiliserProducts[[#Headers],[Include or Exclude]], 0,4)</f>
        <v/>
      </c>
      <c r="L113" s="62" t="str" cm="1">
        <f t="array" ref="L113">Common_InputFunctions.Utility_DisplayArrayInTable(Fertiliser_SourceData.Fertiliser_Products_Data1(),FertiliserProducts[[#Headers],[Include or Exclude]], 0,4)</f>
        <v/>
      </c>
      <c r="M113" s="62" t="str" cm="1">
        <f t="array" ref="M113">Common_InputFunctions.Utility_DisplayArrayInTable(Fertiliser_SourceData.Fertiliser_Products_Data1(),FertiliserProducts[[#Headers],[Include or Exclude]], 0,4)</f>
        <v/>
      </c>
      <c r="N113" s="62" t="str" cm="1">
        <f t="array" ref="N113">Common_InputFunctions.Utility_DisplayArrayInTable(Fertiliser_SourceData.Fertiliser_Products_Data1(),FertiliserProducts[[#Headers],[Include or Exclude]], 0,4)</f>
        <v/>
      </c>
      <c r="O113" s="62" t="str" cm="1">
        <f t="array" ref="O113">Common_InputFunctions.Utility_DisplayArrayInTable(Fertiliser_SourceData.Fertiliser_Products_Data1(),FertiliserProducts[[#Headers],[Include or Exclude]], 0,4)</f>
        <v/>
      </c>
      <c r="P113" s="62" t="str" cm="1">
        <f t="array" ref="P113">Common_InputFunctions.Utility_DisplayArrayInTable(Fertiliser_SourceData.Fertiliser_Products_Data1(),FertiliserProducts[[#Headers],[Include or Exclude]], 0,4)</f>
        <v/>
      </c>
      <c r="Q113" s="62" t="str" cm="1">
        <f t="array" ref="Q113">Common_InputFunctions.Utility_DisplayArrayInTable(Fertiliser_SourceData.Fertiliser_Products_Data1(),FertiliserProducts[[#Headers],[Include or Exclude]], 0,4)</f>
        <v/>
      </c>
      <c r="R113" s="62" t="str" cm="1">
        <f t="array" ref="R113">Common_InputFunctions.Utility_DisplayArrayInTable(Fertiliser_SourceData.Fertiliser_Products_Data1(),FertiliserProducts[[#Headers],[Include or Exclude]], 0,4)</f>
        <v/>
      </c>
      <c r="S113" s="62" t="str" cm="1">
        <f t="array" ref="S113">Common_InputFunctions.Utility_DisplayArrayInTable(Fertiliser_SourceData.Fertiliser_Products_Data1(),FertiliserProducts[[#Headers],[Include or Exclude]], 0,4)</f>
        <v/>
      </c>
      <c r="T113" s="62" t="str" cm="1">
        <f t="array" ref="T113">Common_InputFunctions.Utility_DisplayArrayInTable(Fertiliser_SourceData.Fertiliser_Products_Data1(),FertiliserProducts[[#Headers],[Include or Exclude]], 0,4)</f>
        <v/>
      </c>
      <c r="U113" s="62" t="str" cm="1">
        <f t="array" ref="U113">Common_InputFunctions.Utility_DisplayArrayInTable(Fertiliser_SourceData.Fertiliser_Products_Data1(),FertiliserProducts[[#Headers],[Include or Exclude]], 0,4)</f>
        <v/>
      </c>
      <c r="V113" s="62" t="str" cm="1">
        <f t="array" ref="V113">Common_InputFunctions.Utility_DisplayArrayInTable(Fertiliser_SourceData.Fertiliser_Products_Data1(),FertiliserProducts[[#Headers],[Include or Exclude]], 0,4)</f>
        <v/>
      </c>
      <c r="W113" s="62" t="str" cm="1">
        <f t="array" ref="W113">Common_InputFunctions.Utility_DisplayArrayInTable(Fertiliser_SourceData.Fertiliser_Products_Data1(),FertiliserProducts[[#Headers],[Include or Exclude]], 0,4)</f>
        <v/>
      </c>
      <c r="X113" s="62" t="str" cm="1">
        <f t="array" ref="X113">Common_InputFunctions.Utility_DisplayArrayInTable(Fertiliser_SourceData.Fertiliser_Products_Data1(),FertiliserProducts[[#Headers],[Include or Exclude]], 0,4)</f>
        <v/>
      </c>
      <c r="Y113" s="62" t="str" cm="1">
        <f t="array" ref="Y113">Common_InputFunctions.Utility_DisplayArrayInTable(Fertiliser_SourceData.Fertiliser_Products_Data1(),FertiliserProducts[[#Headers],[Include or Exclude]], 0,4)</f>
        <v/>
      </c>
      <c r="Z113" s="62" t="str" cm="1">
        <f t="array" ref="Z113">Common_InputFunctions.Utility_DisplayArrayInTable(Fertiliser_SourceData.Fertiliser_Products_Data1(),FertiliserProducts[[#Headers],[Include or Exclude]], 0,4)</f>
        <v/>
      </c>
      <c r="AA113" s="62" t="str" cm="1">
        <f t="array" ref="AA113">Common_InputFunctions.Utility_DisplayArrayInTable(Fertiliser_SourceData.Fertiliser_Products_Data1(),FertiliserProducts[[#Headers],[Include or Exclude]], 0,4)</f>
        <v/>
      </c>
      <c r="AB113" s="62" t="str" cm="1">
        <f t="array" ref="AB113">Common_InputFunctions.Utility_DisplayArrayInTable(Fertiliser_SourceData.Fertiliser_Products_Data1(),FertiliserProducts[[#Headers],[Include or Exclude]], 0,4)</f>
        <v/>
      </c>
      <c r="AC113" s="62" t="str" cm="1">
        <f t="array" ref="AC113">Common_InputFunctions.Utility_DisplayArrayInTable(Fertiliser_SourceData.Fertiliser_Products_Data1(),FertiliserProducts[[#Headers],[Include or Exclude]], 0,4)</f>
        <v/>
      </c>
      <c r="AD113" s="62" t="str" cm="1">
        <f t="array" ref="AD113">Common_InputFunctions.Utility_DisplayArrayInTable(Fertiliser_SourceData.Fertiliser_Products_Data1(),FertiliserProducts[[#Headers],[Include or Exclude]], 0,4)</f>
        <v/>
      </c>
      <c r="AE113" s="62" t="str" cm="1">
        <f t="array" ref="AE113">Common_InputFunctions.Utility_DisplayArrayInTable(Fertiliser_SourceData.Fertiliser_Products_Data1(),FertiliserProducts[[#Headers],[Include or Exclude]], 0,4)</f>
        <v/>
      </c>
    </row>
    <row r="114" spans="1:31" ht="20.100000000000001" customHeight="1" x14ac:dyDescent="0.25">
      <c r="A114"/>
      <c r="D114" s="62" t="str" cm="1">
        <f t="array" ref="D114">Common_InputFunctions.Utility_DisplayArrayInTable(Fertiliser_SourceData.Fertiliser_Products_Data1(),FertiliserProducts[[#Headers],[Include or Exclude]], -1)</f>
        <v/>
      </c>
      <c r="E114" s="62" t="str" cm="1">
        <f t="array" ref="E114">Common_InputFunctions.Utility_DisplayArrayInTable(Fertiliser_SourceData.Fertiliser_Products_Data1(),FertiliserProducts[[#Headers],[Include or Exclude]], 0)</f>
        <v/>
      </c>
      <c r="F114" s="62" t="str" cm="1">
        <f t="array" ref="F114">Common_InputFunctions.Utility_DisplayArrayInTable(Fertiliser_SourceData.Fertiliser_Products_Data1(),FertiliserProducts[[#Headers],[Include or Exclude]], 0)</f>
        <v/>
      </c>
      <c r="G114" s="62" t="str" cm="1">
        <f t="array" ref="G114">Common_InputFunctions.Utility_DisplayArrayInTable(Fertiliser_SourceData.Fertiliser_Products_Data1(),FertiliserProducts[[#Headers],[Include or Exclude]], 0)</f>
        <v/>
      </c>
      <c r="H114" s="62" t="str" cm="1">
        <f t="array" ref="H114">Common_InputFunctions.Utility_DisplayArrayInTable(Fertiliser_SourceData.Fertiliser_Products_Data1(),FertiliserProducts[[#Headers],[Include or Exclude]], 0,4)</f>
        <v/>
      </c>
      <c r="I114" s="62" t="str" cm="1">
        <f t="array" ref="I114">Common_InputFunctions.Utility_DisplayArrayInTable(Fertiliser_SourceData.Fertiliser_Products_Data1(),FertiliserProducts[[#Headers],[Include or Exclude]], 0,4)</f>
        <v/>
      </c>
      <c r="J114" s="62" t="str" cm="1">
        <f t="array" ref="J114">Common_InputFunctions.Utility_DisplayArrayInTable(Fertiliser_SourceData.Fertiliser_Products_Data1(),FertiliserProducts[[#Headers],[Include or Exclude]], 0,4)</f>
        <v/>
      </c>
      <c r="K114" s="62" t="str" cm="1">
        <f t="array" ref="K114">Common_InputFunctions.Utility_DisplayArrayInTable(Fertiliser_SourceData.Fertiliser_Products_Data1(),FertiliserProducts[[#Headers],[Include or Exclude]], 0,4)</f>
        <v/>
      </c>
      <c r="L114" s="62" t="str" cm="1">
        <f t="array" ref="L114">Common_InputFunctions.Utility_DisplayArrayInTable(Fertiliser_SourceData.Fertiliser_Products_Data1(),FertiliserProducts[[#Headers],[Include or Exclude]], 0,4)</f>
        <v/>
      </c>
      <c r="M114" s="62" t="str" cm="1">
        <f t="array" ref="M114">Common_InputFunctions.Utility_DisplayArrayInTable(Fertiliser_SourceData.Fertiliser_Products_Data1(),FertiliserProducts[[#Headers],[Include or Exclude]], 0,4)</f>
        <v/>
      </c>
      <c r="N114" s="62" t="str" cm="1">
        <f t="array" ref="N114">Common_InputFunctions.Utility_DisplayArrayInTable(Fertiliser_SourceData.Fertiliser_Products_Data1(),FertiliserProducts[[#Headers],[Include or Exclude]], 0,4)</f>
        <v/>
      </c>
      <c r="O114" s="62" t="str" cm="1">
        <f t="array" ref="O114">Common_InputFunctions.Utility_DisplayArrayInTable(Fertiliser_SourceData.Fertiliser_Products_Data1(),FertiliserProducts[[#Headers],[Include or Exclude]], 0,4)</f>
        <v/>
      </c>
      <c r="P114" s="62" t="str" cm="1">
        <f t="array" ref="P114">Common_InputFunctions.Utility_DisplayArrayInTable(Fertiliser_SourceData.Fertiliser_Products_Data1(),FertiliserProducts[[#Headers],[Include or Exclude]], 0,4)</f>
        <v/>
      </c>
      <c r="Q114" s="62" t="str" cm="1">
        <f t="array" ref="Q114">Common_InputFunctions.Utility_DisplayArrayInTable(Fertiliser_SourceData.Fertiliser_Products_Data1(),FertiliserProducts[[#Headers],[Include or Exclude]], 0,4)</f>
        <v/>
      </c>
      <c r="R114" s="62" t="str" cm="1">
        <f t="array" ref="R114">Common_InputFunctions.Utility_DisplayArrayInTable(Fertiliser_SourceData.Fertiliser_Products_Data1(),FertiliserProducts[[#Headers],[Include or Exclude]], 0,4)</f>
        <v/>
      </c>
      <c r="S114" s="62" t="str" cm="1">
        <f t="array" ref="S114">Common_InputFunctions.Utility_DisplayArrayInTable(Fertiliser_SourceData.Fertiliser_Products_Data1(),FertiliserProducts[[#Headers],[Include or Exclude]], 0,4)</f>
        <v/>
      </c>
      <c r="T114" s="62" t="str" cm="1">
        <f t="array" ref="T114">Common_InputFunctions.Utility_DisplayArrayInTable(Fertiliser_SourceData.Fertiliser_Products_Data1(),FertiliserProducts[[#Headers],[Include or Exclude]], 0,4)</f>
        <v/>
      </c>
      <c r="U114" s="62" t="str" cm="1">
        <f t="array" ref="U114">Common_InputFunctions.Utility_DisplayArrayInTable(Fertiliser_SourceData.Fertiliser_Products_Data1(),FertiliserProducts[[#Headers],[Include or Exclude]], 0,4)</f>
        <v/>
      </c>
      <c r="V114" s="62" t="str" cm="1">
        <f t="array" ref="V114">Common_InputFunctions.Utility_DisplayArrayInTable(Fertiliser_SourceData.Fertiliser_Products_Data1(),FertiliserProducts[[#Headers],[Include or Exclude]], 0,4)</f>
        <v/>
      </c>
      <c r="W114" s="62" t="str" cm="1">
        <f t="array" ref="W114">Common_InputFunctions.Utility_DisplayArrayInTable(Fertiliser_SourceData.Fertiliser_Products_Data1(),FertiliserProducts[[#Headers],[Include or Exclude]], 0,4)</f>
        <v/>
      </c>
      <c r="X114" s="62" t="str" cm="1">
        <f t="array" ref="X114">Common_InputFunctions.Utility_DisplayArrayInTable(Fertiliser_SourceData.Fertiliser_Products_Data1(),FertiliserProducts[[#Headers],[Include or Exclude]], 0,4)</f>
        <v/>
      </c>
      <c r="Y114" s="62" t="str" cm="1">
        <f t="array" ref="Y114">Common_InputFunctions.Utility_DisplayArrayInTable(Fertiliser_SourceData.Fertiliser_Products_Data1(),FertiliserProducts[[#Headers],[Include or Exclude]], 0,4)</f>
        <v/>
      </c>
      <c r="Z114" s="62" t="str" cm="1">
        <f t="array" ref="Z114">Common_InputFunctions.Utility_DisplayArrayInTable(Fertiliser_SourceData.Fertiliser_Products_Data1(),FertiliserProducts[[#Headers],[Include or Exclude]], 0,4)</f>
        <v/>
      </c>
      <c r="AA114" s="62" t="str" cm="1">
        <f t="array" ref="AA114">Common_InputFunctions.Utility_DisplayArrayInTable(Fertiliser_SourceData.Fertiliser_Products_Data1(),FertiliserProducts[[#Headers],[Include or Exclude]], 0,4)</f>
        <v/>
      </c>
      <c r="AB114" s="62" t="str" cm="1">
        <f t="array" ref="AB114">Common_InputFunctions.Utility_DisplayArrayInTable(Fertiliser_SourceData.Fertiliser_Products_Data1(),FertiliserProducts[[#Headers],[Include or Exclude]], 0,4)</f>
        <v/>
      </c>
      <c r="AC114" s="62" t="str" cm="1">
        <f t="array" ref="AC114">Common_InputFunctions.Utility_DisplayArrayInTable(Fertiliser_SourceData.Fertiliser_Products_Data1(),FertiliserProducts[[#Headers],[Include or Exclude]], 0,4)</f>
        <v/>
      </c>
      <c r="AD114" s="62" t="str" cm="1">
        <f t="array" ref="AD114">Common_InputFunctions.Utility_DisplayArrayInTable(Fertiliser_SourceData.Fertiliser_Products_Data1(),FertiliserProducts[[#Headers],[Include or Exclude]], 0,4)</f>
        <v/>
      </c>
      <c r="AE114" s="62" t="str" cm="1">
        <f t="array" ref="AE114">Common_InputFunctions.Utility_DisplayArrayInTable(Fertiliser_SourceData.Fertiliser_Products_Data1(),FertiliserProducts[[#Headers],[Include or Exclude]], 0,4)</f>
        <v/>
      </c>
    </row>
    <row r="115" spans="1:31" ht="20.100000000000001" customHeight="1" x14ac:dyDescent="0.25">
      <c r="A115"/>
      <c r="D115" s="62" t="str" cm="1">
        <f t="array" ref="D115">Common_InputFunctions.Utility_DisplayArrayInTable(Fertiliser_SourceData.Fertiliser_Products_Data1(),FertiliserProducts[[#Headers],[Include or Exclude]], -1)</f>
        <v/>
      </c>
      <c r="E115" s="62" t="str" cm="1">
        <f t="array" ref="E115">Common_InputFunctions.Utility_DisplayArrayInTable(Fertiliser_SourceData.Fertiliser_Products_Data1(),FertiliserProducts[[#Headers],[Include or Exclude]], 0)</f>
        <v/>
      </c>
      <c r="F115" s="62" t="str" cm="1">
        <f t="array" ref="F115">Common_InputFunctions.Utility_DisplayArrayInTable(Fertiliser_SourceData.Fertiliser_Products_Data1(),FertiliserProducts[[#Headers],[Include or Exclude]], 0)</f>
        <v/>
      </c>
      <c r="G115" s="62" t="str" cm="1">
        <f t="array" ref="G115">Common_InputFunctions.Utility_DisplayArrayInTable(Fertiliser_SourceData.Fertiliser_Products_Data1(),FertiliserProducts[[#Headers],[Include or Exclude]], 0)</f>
        <v/>
      </c>
      <c r="H115" s="62" t="str" cm="1">
        <f t="array" ref="H115">Common_InputFunctions.Utility_DisplayArrayInTable(Fertiliser_SourceData.Fertiliser_Products_Data1(),FertiliserProducts[[#Headers],[Include or Exclude]], 0,4)</f>
        <v/>
      </c>
      <c r="I115" s="62" t="str" cm="1">
        <f t="array" ref="I115">Common_InputFunctions.Utility_DisplayArrayInTable(Fertiliser_SourceData.Fertiliser_Products_Data1(),FertiliserProducts[[#Headers],[Include or Exclude]], 0,4)</f>
        <v/>
      </c>
      <c r="J115" s="62" t="str" cm="1">
        <f t="array" ref="J115">Common_InputFunctions.Utility_DisplayArrayInTable(Fertiliser_SourceData.Fertiliser_Products_Data1(),FertiliserProducts[[#Headers],[Include or Exclude]], 0,4)</f>
        <v/>
      </c>
      <c r="K115" s="62" t="str" cm="1">
        <f t="array" ref="K115">Common_InputFunctions.Utility_DisplayArrayInTable(Fertiliser_SourceData.Fertiliser_Products_Data1(),FertiliserProducts[[#Headers],[Include or Exclude]], 0,4)</f>
        <v/>
      </c>
      <c r="L115" s="62" t="str" cm="1">
        <f t="array" ref="L115">Common_InputFunctions.Utility_DisplayArrayInTable(Fertiliser_SourceData.Fertiliser_Products_Data1(),FertiliserProducts[[#Headers],[Include or Exclude]], 0,4)</f>
        <v/>
      </c>
      <c r="M115" s="62" t="str" cm="1">
        <f t="array" ref="M115">Common_InputFunctions.Utility_DisplayArrayInTable(Fertiliser_SourceData.Fertiliser_Products_Data1(),FertiliserProducts[[#Headers],[Include or Exclude]], 0,4)</f>
        <v/>
      </c>
      <c r="N115" s="62" t="str" cm="1">
        <f t="array" ref="N115">Common_InputFunctions.Utility_DisplayArrayInTable(Fertiliser_SourceData.Fertiliser_Products_Data1(),FertiliserProducts[[#Headers],[Include or Exclude]], 0,4)</f>
        <v/>
      </c>
      <c r="O115" s="62" t="str" cm="1">
        <f t="array" ref="O115">Common_InputFunctions.Utility_DisplayArrayInTable(Fertiliser_SourceData.Fertiliser_Products_Data1(),FertiliserProducts[[#Headers],[Include or Exclude]], 0,4)</f>
        <v/>
      </c>
      <c r="P115" s="62" t="str" cm="1">
        <f t="array" ref="P115">Common_InputFunctions.Utility_DisplayArrayInTable(Fertiliser_SourceData.Fertiliser_Products_Data1(),FertiliserProducts[[#Headers],[Include or Exclude]], 0,4)</f>
        <v/>
      </c>
      <c r="Q115" s="62" t="str" cm="1">
        <f t="array" ref="Q115">Common_InputFunctions.Utility_DisplayArrayInTable(Fertiliser_SourceData.Fertiliser_Products_Data1(),FertiliserProducts[[#Headers],[Include or Exclude]], 0,4)</f>
        <v/>
      </c>
      <c r="R115" s="62" t="str" cm="1">
        <f t="array" ref="R115">Common_InputFunctions.Utility_DisplayArrayInTable(Fertiliser_SourceData.Fertiliser_Products_Data1(),FertiliserProducts[[#Headers],[Include or Exclude]], 0,4)</f>
        <v/>
      </c>
      <c r="S115" s="62" t="str" cm="1">
        <f t="array" ref="S115">Common_InputFunctions.Utility_DisplayArrayInTable(Fertiliser_SourceData.Fertiliser_Products_Data1(),FertiliserProducts[[#Headers],[Include or Exclude]], 0,4)</f>
        <v/>
      </c>
      <c r="T115" s="62" t="str" cm="1">
        <f t="array" ref="T115">Common_InputFunctions.Utility_DisplayArrayInTable(Fertiliser_SourceData.Fertiliser_Products_Data1(),FertiliserProducts[[#Headers],[Include or Exclude]], 0,4)</f>
        <v/>
      </c>
      <c r="U115" s="62" t="str" cm="1">
        <f t="array" ref="U115">Common_InputFunctions.Utility_DisplayArrayInTable(Fertiliser_SourceData.Fertiliser_Products_Data1(),FertiliserProducts[[#Headers],[Include or Exclude]], 0,4)</f>
        <v/>
      </c>
      <c r="V115" s="62" t="str" cm="1">
        <f t="array" ref="V115">Common_InputFunctions.Utility_DisplayArrayInTable(Fertiliser_SourceData.Fertiliser_Products_Data1(),FertiliserProducts[[#Headers],[Include or Exclude]], 0,4)</f>
        <v/>
      </c>
      <c r="W115" s="62" t="str" cm="1">
        <f t="array" ref="W115">Common_InputFunctions.Utility_DisplayArrayInTable(Fertiliser_SourceData.Fertiliser_Products_Data1(),FertiliserProducts[[#Headers],[Include or Exclude]], 0,4)</f>
        <v/>
      </c>
      <c r="X115" s="62" t="str" cm="1">
        <f t="array" ref="X115">Common_InputFunctions.Utility_DisplayArrayInTable(Fertiliser_SourceData.Fertiliser_Products_Data1(),FertiliserProducts[[#Headers],[Include or Exclude]], 0,4)</f>
        <v/>
      </c>
      <c r="Y115" s="62" t="str" cm="1">
        <f t="array" ref="Y115">Common_InputFunctions.Utility_DisplayArrayInTable(Fertiliser_SourceData.Fertiliser_Products_Data1(),FertiliserProducts[[#Headers],[Include or Exclude]], 0,4)</f>
        <v/>
      </c>
      <c r="Z115" s="62" t="str" cm="1">
        <f t="array" ref="Z115">Common_InputFunctions.Utility_DisplayArrayInTable(Fertiliser_SourceData.Fertiliser_Products_Data1(),FertiliserProducts[[#Headers],[Include or Exclude]], 0,4)</f>
        <v/>
      </c>
      <c r="AA115" s="62" t="str" cm="1">
        <f t="array" ref="AA115">Common_InputFunctions.Utility_DisplayArrayInTable(Fertiliser_SourceData.Fertiliser_Products_Data1(),FertiliserProducts[[#Headers],[Include or Exclude]], 0,4)</f>
        <v/>
      </c>
      <c r="AB115" s="62" t="str" cm="1">
        <f t="array" ref="AB115">Common_InputFunctions.Utility_DisplayArrayInTable(Fertiliser_SourceData.Fertiliser_Products_Data1(),FertiliserProducts[[#Headers],[Include or Exclude]], 0,4)</f>
        <v/>
      </c>
      <c r="AC115" s="62" t="str" cm="1">
        <f t="array" ref="AC115">Common_InputFunctions.Utility_DisplayArrayInTable(Fertiliser_SourceData.Fertiliser_Products_Data1(),FertiliserProducts[[#Headers],[Include or Exclude]], 0,4)</f>
        <v/>
      </c>
      <c r="AD115" s="62" t="str" cm="1">
        <f t="array" ref="AD115">Common_InputFunctions.Utility_DisplayArrayInTable(Fertiliser_SourceData.Fertiliser_Products_Data1(),FertiliserProducts[[#Headers],[Include or Exclude]], 0,4)</f>
        <v/>
      </c>
      <c r="AE115" s="62" t="str" cm="1">
        <f t="array" ref="AE115">Common_InputFunctions.Utility_DisplayArrayInTable(Fertiliser_SourceData.Fertiliser_Products_Data1(),FertiliserProducts[[#Headers],[Include or Exclude]], 0,4)</f>
        <v/>
      </c>
    </row>
    <row r="116" spans="1:31" ht="20.100000000000001" customHeight="1" x14ac:dyDescent="0.25">
      <c r="A116"/>
      <c r="D116" s="62" t="str" cm="1">
        <f t="array" ref="D116">Common_InputFunctions.Utility_DisplayArrayInTable(Fertiliser_SourceData.Fertiliser_Products_Data1(),FertiliserProducts[[#Headers],[Include or Exclude]], -1)</f>
        <v/>
      </c>
      <c r="E116" s="62" t="str" cm="1">
        <f t="array" ref="E116">Common_InputFunctions.Utility_DisplayArrayInTable(Fertiliser_SourceData.Fertiliser_Products_Data1(),FertiliserProducts[[#Headers],[Include or Exclude]], 0)</f>
        <v/>
      </c>
      <c r="F116" s="62" t="str" cm="1">
        <f t="array" ref="F116">Common_InputFunctions.Utility_DisplayArrayInTable(Fertiliser_SourceData.Fertiliser_Products_Data1(),FertiliserProducts[[#Headers],[Include or Exclude]], 0)</f>
        <v/>
      </c>
      <c r="G116" s="62" t="str" cm="1">
        <f t="array" ref="G116">Common_InputFunctions.Utility_DisplayArrayInTable(Fertiliser_SourceData.Fertiliser_Products_Data1(),FertiliserProducts[[#Headers],[Include or Exclude]], 0)</f>
        <v/>
      </c>
      <c r="H116" s="62" t="str" cm="1">
        <f t="array" ref="H116">Common_InputFunctions.Utility_DisplayArrayInTable(Fertiliser_SourceData.Fertiliser_Products_Data1(),FertiliserProducts[[#Headers],[Include or Exclude]], 0,4)</f>
        <v/>
      </c>
      <c r="I116" s="62" t="str" cm="1">
        <f t="array" ref="I116">Common_InputFunctions.Utility_DisplayArrayInTable(Fertiliser_SourceData.Fertiliser_Products_Data1(),FertiliserProducts[[#Headers],[Include or Exclude]], 0,4)</f>
        <v/>
      </c>
      <c r="J116" s="62" t="str" cm="1">
        <f t="array" ref="J116">Common_InputFunctions.Utility_DisplayArrayInTable(Fertiliser_SourceData.Fertiliser_Products_Data1(),FertiliserProducts[[#Headers],[Include or Exclude]], 0,4)</f>
        <v/>
      </c>
      <c r="K116" s="62" t="str" cm="1">
        <f t="array" ref="K116">Common_InputFunctions.Utility_DisplayArrayInTable(Fertiliser_SourceData.Fertiliser_Products_Data1(),FertiliserProducts[[#Headers],[Include or Exclude]], 0,4)</f>
        <v/>
      </c>
      <c r="L116" s="62" t="str" cm="1">
        <f t="array" ref="L116">Common_InputFunctions.Utility_DisplayArrayInTable(Fertiliser_SourceData.Fertiliser_Products_Data1(),FertiliserProducts[[#Headers],[Include or Exclude]], 0,4)</f>
        <v/>
      </c>
      <c r="M116" s="62" t="str" cm="1">
        <f t="array" ref="M116">Common_InputFunctions.Utility_DisplayArrayInTable(Fertiliser_SourceData.Fertiliser_Products_Data1(),FertiliserProducts[[#Headers],[Include or Exclude]], 0,4)</f>
        <v/>
      </c>
      <c r="N116" s="62" t="str" cm="1">
        <f t="array" ref="N116">Common_InputFunctions.Utility_DisplayArrayInTable(Fertiliser_SourceData.Fertiliser_Products_Data1(),FertiliserProducts[[#Headers],[Include or Exclude]], 0,4)</f>
        <v/>
      </c>
      <c r="O116" s="62" t="str" cm="1">
        <f t="array" ref="O116">Common_InputFunctions.Utility_DisplayArrayInTable(Fertiliser_SourceData.Fertiliser_Products_Data1(),FertiliserProducts[[#Headers],[Include or Exclude]], 0,4)</f>
        <v/>
      </c>
      <c r="P116" s="62" t="str" cm="1">
        <f t="array" ref="P116">Common_InputFunctions.Utility_DisplayArrayInTable(Fertiliser_SourceData.Fertiliser_Products_Data1(),FertiliserProducts[[#Headers],[Include or Exclude]], 0,4)</f>
        <v/>
      </c>
      <c r="Q116" s="62" t="str" cm="1">
        <f t="array" ref="Q116">Common_InputFunctions.Utility_DisplayArrayInTable(Fertiliser_SourceData.Fertiliser_Products_Data1(),FertiliserProducts[[#Headers],[Include or Exclude]], 0,4)</f>
        <v/>
      </c>
      <c r="R116" s="62" t="str" cm="1">
        <f t="array" ref="R116">Common_InputFunctions.Utility_DisplayArrayInTable(Fertiliser_SourceData.Fertiliser_Products_Data1(),FertiliserProducts[[#Headers],[Include or Exclude]], 0,4)</f>
        <v/>
      </c>
      <c r="S116" s="62" t="str" cm="1">
        <f t="array" ref="S116">Common_InputFunctions.Utility_DisplayArrayInTable(Fertiliser_SourceData.Fertiliser_Products_Data1(),FertiliserProducts[[#Headers],[Include or Exclude]], 0,4)</f>
        <v/>
      </c>
      <c r="T116" s="62" t="str" cm="1">
        <f t="array" ref="T116">Common_InputFunctions.Utility_DisplayArrayInTable(Fertiliser_SourceData.Fertiliser_Products_Data1(),FertiliserProducts[[#Headers],[Include or Exclude]], 0,4)</f>
        <v/>
      </c>
      <c r="U116" s="62" t="str" cm="1">
        <f t="array" ref="U116">Common_InputFunctions.Utility_DisplayArrayInTable(Fertiliser_SourceData.Fertiliser_Products_Data1(),FertiliserProducts[[#Headers],[Include or Exclude]], 0,4)</f>
        <v/>
      </c>
      <c r="V116" s="62" t="str" cm="1">
        <f t="array" ref="V116">Common_InputFunctions.Utility_DisplayArrayInTable(Fertiliser_SourceData.Fertiliser_Products_Data1(),FertiliserProducts[[#Headers],[Include or Exclude]], 0,4)</f>
        <v/>
      </c>
      <c r="W116" s="62" t="str" cm="1">
        <f t="array" ref="W116">Common_InputFunctions.Utility_DisplayArrayInTable(Fertiliser_SourceData.Fertiliser_Products_Data1(),FertiliserProducts[[#Headers],[Include or Exclude]], 0,4)</f>
        <v/>
      </c>
      <c r="X116" s="62" t="str" cm="1">
        <f t="array" ref="X116">Common_InputFunctions.Utility_DisplayArrayInTable(Fertiliser_SourceData.Fertiliser_Products_Data1(),FertiliserProducts[[#Headers],[Include or Exclude]], 0,4)</f>
        <v/>
      </c>
      <c r="Y116" s="62" t="str" cm="1">
        <f t="array" ref="Y116">Common_InputFunctions.Utility_DisplayArrayInTable(Fertiliser_SourceData.Fertiliser_Products_Data1(),FertiliserProducts[[#Headers],[Include or Exclude]], 0,4)</f>
        <v/>
      </c>
      <c r="Z116" s="62" t="str" cm="1">
        <f t="array" ref="Z116">Common_InputFunctions.Utility_DisplayArrayInTable(Fertiliser_SourceData.Fertiliser_Products_Data1(),FertiliserProducts[[#Headers],[Include or Exclude]], 0,4)</f>
        <v/>
      </c>
      <c r="AA116" s="62" t="str" cm="1">
        <f t="array" ref="AA116">Common_InputFunctions.Utility_DisplayArrayInTable(Fertiliser_SourceData.Fertiliser_Products_Data1(),FertiliserProducts[[#Headers],[Include or Exclude]], 0,4)</f>
        <v/>
      </c>
      <c r="AB116" s="62" t="str" cm="1">
        <f t="array" ref="AB116">Common_InputFunctions.Utility_DisplayArrayInTable(Fertiliser_SourceData.Fertiliser_Products_Data1(),FertiliserProducts[[#Headers],[Include or Exclude]], 0,4)</f>
        <v/>
      </c>
      <c r="AC116" s="62" t="str" cm="1">
        <f t="array" ref="AC116">Common_InputFunctions.Utility_DisplayArrayInTable(Fertiliser_SourceData.Fertiliser_Products_Data1(),FertiliserProducts[[#Headers],[Include or Exclude]], 0,4)</f>
        <v/>
      </c>
      <c r="AD116" s="62" t="str" cm="1">
        <f t="array" ref="AD116">Common_InputFunctions.Utility_DisplayArrayInTable(Fertiliser_SourceData.Fertiliser_Products_Data1(),FertiliserProducts[[#Headers],[Include or Exclude]], 0,4)</f>
        <v/>
      </c>
      <c r="AE116" s="62" t="str" cm="1">
        <f t="array" ref="AE116">Common_InputFunctions.Utility_DisplayArrayInTable(Fertiliser_SourceData.Fertiliser_Products_Data1(),FertiliserProducts[[#Headers],[Include or Exclude]], 0,4)</f>
        <v/>
      </c>
    </row>
    <row r="117" spans="1:31" ht="20.100000000000001" customHeight="1" x14ac:dyDescent="0.25">
      <c r="A117"/>
      <c r="D117" s="62" t="str" cm="1">
        <f t="array" ref="D117">Common_InputFunctions.Utility_DisplayArrayInTable(Fertiliser_SourceData.Fertiliser_Products_Data1(),FertiliserProducts[[#Headers],[Include or Exclude]], -1)</f>
        <v/>
      </c>
      <c r="E117" s="62" t="str" cm="1">
        <f t="array" ref="E117">Common_InputFunctions.Utility_DisplayArrayInTable(Fertiliser_SourceData.Fertiliser_Products_Data1(),FertiliserProducts[[#Headers],[Include or Exclude]], 0)</f>
        <v/>
      </c>
      <c r="F117" s="62" t="str" cm="1">
        <f t="array" ref="F117">Common_InputFunctions.Utility_DisplayArrayInTable(Fertiliser_SourceData.Fertiliser_Products_Data1(),FertiliserProducts[[#Headers],[Include or Exclude]], 0)</f>
        <v/>
      </c>
      <c r="G117" s="62" t="str" cm="1">
        <f t="array" ref="G117">Common_InputFunctions.Utility_DisplayArrayInTable(Fertiliser_SourceData.Fertiliser_Products_Data1(),FertiliserProducts[[#Headers],[Include or Exclude]], 0)</f>
        <v/>
      </c>
      <c r="H117" s="62" t="str" cm="1">
        <f t="array" ref="H117">Common_InputFunctions.Utility_DisplayArrayInTable(Fertiliser_SourceData.Fertiliser_Products_Data1(),FertiliserProducts[[#Headers],[Include or Exclude]], 0,4)</f>
        <v/>
      </c>
      <c r="I117" s="62" t="str" cm="1">
        <f t="array" ref="I117">Common_InputFunctions.Utility_DisplayArrayInTable(Fertiliser_SourceData.Fertiliser_Products_Data1(),FertiliserProducts[[#Headers],[Include or Exclude]], 0,4)</f>
        <v/>
      </c>
      <c r="J117" s="62" t="str" cm="1">
        <f t="array" ref="J117">Common_InputFunctions.Utility_DisplayArrayInTable(Fertiliser_SourceData.Fertiliser_Products_Data1(),FertiliserProducts[[#Headers],[Include or Exclude]], 0,4)</f>
        <v/>
      </c>
      <c r="K117" s="62" t="str" cm="1">
        <f t="array" ref="K117">Common_InputFunctions.Utility_DisplayArrayInTable(Fertiliser_SourceData.Fertiliser_Products_Data1(),FertiliserProducts[[#Headers],[Include or Exclude]], 0,4)</f>
        <v/>
      </c>
      <c r="L117" s="62" t="str" cm="1">
        <f t="array" ref="L117">Common_InputFunctions.Utility_DisplayArrayInTable(Fertiliser_SourceData.Fertiliser_Products_Data1(),FertiliserProducts[[#Headers],[Include or Exclude]], 0,4)</f>
        <v/>
      </c>
      <c r="M117" s="62" t="str" cm="1">
        <f t="array" ref="M117">Common_InputFunctions.Utility_DisplayArrayInTable(Fertiliser_SourceData.Fertiliser_Products_Data1(),FertiliserProducts[[#Headers],[Include or Exclude]], 0,4)</f>
        <v/>
      </c>
      <c r="N117" s="62" t="str" cm="1">
        <f t="array" ref="N117">Common_InputFunctions.Utility_DisplayArrayInTable(Fertiliser_SourceData.Fertiliser_Products_Data1(),FertiliserProducts[[#Headers],[Include or Exclude]], 0,4)</f>
        <v/>
      </c>
      <c r="O117" s="62" t="str" cm="1">
        <f t="array" ref="O117">Common_InputFunctions.Utility_DisplayArrayInTable(Fertiliser_SourceData.Fertiliser_Products_Data1(),FertiliserProducts[[#Headers],[Include or Exclude]], 0,4)</f>
        <v/>
      </c>
      <c r="P117" s="62" t="str" cm="1">
        <f t="array" ref="P117">Common_InputFunctions.Utility_DisplayArrayInTable(Fertiliser_SourceData.Fertiliser_Products_Data1(),FertiliserProducts[[#Headers],[Include or Exclude]], 0,4)</f>
        <v/>
      </c>
      <c r="Q117" s="62" t="str" cm="1">
        <f t="array" ref="Q117">Common_InputFunctions.Utility_DisplayArrayInTable(Fertiliser_SourceData.Fertiliser_Products_Data1(),FertiliserProducts[[#Headers],[Include or Exclude]], 0,4)</f>
        <v/>
      </c>
      <c r="R117" s="62" t="str" cm="1">
        <f t="array" ref="R117">Common_InputFunctions.Utility_DisplayArrayInTable(Fertiliser_SourceData.Fertiliser_Products_Data1(),FertiliserProducts[[#Headers],[Include or Exclude]], 0,4)</f>
        <v/>
      </c>
      <c r="S117" s="62" t="str" cm="1">
        <f t="array" ref="S117">Common_InputFunctions.Utility_DisplayArrayInTable(Fertiliser_SourceData.Fertiliser_Products_Data1(),FertiliserProducts[[#Headers],[Include or Exclude]], 0,4)</f>
        <v/>
      </c>
      <c r="T117" s="62" t="str" cm="1">
        <f t="array" ref="T117">Common_InputFunctions.Utility_DisplayArrayInTable(Fertiliser_SourceData.Fertiliser_Products_Data1(),FertiliserProducts[[#Headers],[Include or Exclude]], 0,4)</f>
        <v/>
      </c>
      <c r="U117" s="62" t="str" cm="1">
        <f t="array" ref="U117">Common_InputFunctions.Utility_DisplayArrayInTable(Fertiliser_SourceData.Fertiliser_Products_Data1(),FertiliserProducts[[#Headers],[Include or Exclude]], 0,4)</f>
        <v/>
      </c>
      <c r="V117" s="62" t="str" cm="1">
        <f t="array" ref="V117">Common_InputFunctions.Utility_DisplayArrayInTable(Fertiliser_SourceData.Fertiliser_Products_Data1(),FertiliserProducts[[#Headers],[Include or Exclude]], 0,4)</f>
        <v/>
      </c>
      <c r="W117" s="62" t="str" cm="1">
        <f t="array" ref="W117">Common_InputFunctions.Utility_DisplayArrayInTable(Fertiliser_SourceData.Fertiliser_Products_Data1(),FertiliserProducts[[#Headers],[Include or Exclude]], 0,4)</f>
        <v/>
      </c>
      <c r="X117" s="62" t="str" cm="1">
        <f t="array" ref="X117">Common_InputFunctions.Utility_DisplayArrayInTable(Fertiliser_SourceData.Fertiliser_Products_Data1(),FertiliserProducts[[#Headers],[Include or Exclude]], 0,4)</f>
        <v/>
      </c>
      <c r="Y117" s="62" t="str" cm="1">
        <f t="array" ref="Y117">Common_InputFunctions.Utility_DisplayArrayInTable(Fertiliser_SourceData.Fertiliser_Products_Data1(),FertiliserProducts[[#Headers],[Include or Exclude]], 0,4)</f>
        <v/>
      </c>
      <c r="Z117" s="62" t="str" cm="1">
        <f t="array" ref="Z117">Common_InputFunctions.Utility_DisplayArrayInTable(Fertiliser_SourceData.Fertiliser_Products_Data1(),FertiliserProducts[[#Headers],[Include or Exclude]], 0,4)</f>
        <v/>
      </c>
      <c r="AA117" s="62" t="str" cm="1">
        <f t="array" ref="AA117">Common_InputFunctions.Utility_DisplayArrayInTable(Fertiliser_SourceData.Fertiliser_Products_Data1(),FertiliserProducts[[#Headers],[Include or Exclude]], 0,4)</f>
        <v/>
      </c>
      <c r="AB117" s="62" t="str" cm="1">
        <f t="array" ref="AB117">Common_InputFunctions.Utility_DisplayArrayInTable(Fertiliser_SourceData.Fertiliser_Products_Data1(),FertiliserProducts[[#Headers],[Include or Exclude]], 0,4)</f>
        <v/>
      </c>
      <c r="AC117" s="62" t="str" cm="1">
        <f t="array" ref="AC117">Common_InputFunctions.Utility_DisplayArrayInTable(Fertiliser_SourceData.Fertiliser_Products_Data1(),FertiliserProducts[[#Headers],[Include or Exclude]], 0,4)</f>
        <v/>
      </c>
      <c r="AD117" s="62" t="str" cm="1">
        <f t="array" ref="AD117">Common_InputFunctions.Utility_DisplayArrayInTable(Fertiliser_SourceData.Fertiliser_Products_Data1(),FertiliserProducts[[#Headers],[Include or Exclude]], 0,4)</f>
        <v/>
      </c>
      <c r="AE117" s="62" t="str" cm="1">
        <f t="array" ref="AE117">Common_InputFunctions.Utility_DisplayArrayInTable(Fertiliser_SourceData.Fertiliser_Products_Data1(),FertiliserProducts[[#Headers],[Include or Exclude]], 0,4)</f>
        <v/>
      </c>
    </row>
    <row r="118" spans="1:31" ht="20.100000000000001" customHeight="1" x14ac:dyDescent="0.25">
      <c r="A118"/>
      <c r="D118" s="62" t="str" cm="1">
        <f t="array" ref="D118">Common_InputFunctions.Utility_DisplayArrayInTable(Fertiliser_SourceData.Fertiliser_Products_Data1(),FertiliserProducts[[#Headers],[Include or Exclude]], -1)</f>
        <v/>
      </c>
      <c r="E118" s="62" t="str" cm="1">
        <f t="array" ref="E118">Common_InputFunctions.Utility_DisplayArrayInTable(Fertiliser_SourceData.Fertiliser_Products_Data1(),FertiliserProducts[[#Headers],[Include or Exclude]], 0)</f>
        <v/>
      </c>
      <c r="F118" s="62" t="str" cm="1">
        <f t="array" ref="F118">Common_InputFunctions.Utility_DisplayArrayInTable(Fertiliser_SourceData.Fertiliser_Products_Data1(),FertiliserProducts[[#Headers],[Include or Exclude]], 0)</f>
        <v/>
      </c>
      <c r="G118" s="62" t="str" cm="1">
        <f t="array" ref="G118">Common_InputFunctions.Utility_DisplayArrayInTable(Fertiliser_SourceData.Fertiliser_Products_Data1(),FertiliserProducts[[#Headers],[Include or Exclude]], 0)</f>
        <v/>
      </c>
      <c r="H118" s="62" t="str" cm="1">
        <f t="array" ref="H118">Common_InputFunctions.Utility_DisplayArrayInTable(Fertiliser_SourceData.Fertiliser_Products_Data1(),FertiliserProducts[[#Headers],[Include or Exclude]], 0,4)</f>
        <v/>
      </c>
      <c r="I118" s="62" t="str" cm="1">
        <f t="array" ref="I118">Common_InputFunctions.Utility_DisplayArrayInTable(Fertiliser_SourceData.Fertiliser_Products_Data1(),FertiliserProducts[[#Headers],[Include or Exclude]], 0,4)</f>
        <v/>
      </c>
      <c r="J118" s="62" t="str" cm="1">
        <f t="array" ref="J118">Common_InputFunctions.Utility_DisplayArrayInTable(Fertiliser_SourceData.Fertiliser_Products_Data1(),FertiliserProducts[[#Headers],[Include or Exclude]], 0,4)</f>
        <v/>
      </c>
      <c r="K118" s="62" t="str" cm="1">
        <f t="array" ref="K118">Common_InputFunctions.Utility_DisplayArrayInTable(Fertiliser_SourceData.Fertiliser_Products_Data1(),FertiliserProducts[[#Headers],[Include or Exclude]], 0,4)</f>
        <v/>
      </c>
      <c r="L118" s="62" t="str" cm="1">
        <f t="array" ref="L118">Common_InputFunctions.Utility_DisplayArrayInTable(Fertiliser_SourceData.Fertiliser_Products_Data1(),FertiliserProducts[[#Headers],[Include or Exclude]], 0,4)</f>
        <v/>
      </c>
      <c r="M118" s="62" t="str" cm="1">
        <f t="array" ref="M118">Common_InputFunctions.Utility_DisplayArrayInTable(Fertiliser_SourceData.Fertiliser_Products_Data1(),FertiliserProducts[[#Headers],[Include or Exclude]], 0,4)</f>
        <v/>
      </c>
      <c r="N118" s="62" t="str" cm="1">
        <f t="array" ref="N118">Common_InputFunctions.Utility_DisplayArrayInTable(Fertiliser_SourceData.Fertiliser_Products_Data1(),FertiliserProducts[[#Headers],[Include or Exclude]], 0,4)</f>
        <v/>
      </c>
      <c r="O118" s="62" t="str" cm="1">
        <f t="array" ref="O118">Common_InputFunctions.Utility_DisplayArrayInTable(Fertiliser_SourceData.Fertiliser_Products_Data1(),FertiliserProducts[[#Headers],[Include or Exclude]], 0,4)</f>
        <v/>
      </c>
      <c r="P118" s="62" t="str" cm="1">
        <f t="array" ref="P118">Common_InputFunctions.Utility_DisplayArrayInTable(Fertiliser_SourceData.Fertiliser_Products_Data1(),FertiliserProducts[[#Headers],[Include or Exclude]], 0,4)</f>
        <v/>
      </c>
      <c r="Q118" s="62" t="str" cm="1">
        <f t="array" ref="Q118">Common_InputFunctions.Utility_DisplayArrayInTable(Fertiliser_SourceData.Fertiliser_Products_Data1(),FertiliserProducts[[#Headers],[Include or Exclude]], 0,4)</f>
        <v/>
      </c>
      <c r="R118" s="62" t="str" cm="1">
        <f t="array" ref="R118">Common_InputFunctions.Utility_DisplayArrayInTable(Fertiliser_SourceData.Fertiliser_Products_Data1(),FertiliserProducts[[#Headers],[Include or Exclude]], 0,4)</f>
        <v/>
      </c>
      <c r="S118" s="62" t="str" cm="1">
        <f t="array" ref="S118">Common_InputFunctions.Utility_DisplayArrayInTable(Fertiliser_SourceData.Fertiliser_Products_Data1(),FertiliserProducts[[#Headers],[Include or Exclude]], 0,4)</f>
        <v/>
      </c>
      <c r="T118" s="62" t="str" cm="1">
        <f t="array" ref="T118">Common_InputFunctions.Utility_DisplayArrayInTable(Fertiliser_SourceData.Fertiliser_Products_Data1(),FertiliserProducts[[#Headers],[Include or Exclude]], 0,4)</f>
        <v/>
      </c>
      <c r="U118" s="62" t="str" cm="1">
        <f t="array" ref="U118">Common_InputFunctions.Utility_DisplayArrayInTable(Fertiliser_SourceData.Fertiliser_Products_Data1(),FertiliserProducts[[#Headers],[Include or Exclude]], 0,4)</f>
        <v/>
      </c>
      <c r="V118" s="62" t="str" cm="1">
        <f t="array" ref="V118">Common_InputFunctions.Utility_DisplayArrayInTable(Fertiliser_SourceData.Fertiliser_Products_Data1(),FertiliserProducts[[#Headers],[Include or Exclude]], 0,4)</f>
        <v/>
      </c>
      <c r="W118" s="62" t="str" cm="1">
        <f t="array" ref="W118">Common_InputFunctions.Utility_DisplayArrayInTable(Fertiliser_SourceData.Fertiliser_Products_Data1(),FertiliserProducts[[#Headers],[Include or Exclude]], 0,4)</f>
        <v/>
      </c>
      <c r="X118" s="62" t="str" cm="1">
        <f t="array" ref="X118">Common_InputFunctions.Utility_DisplayArrayInTable(Fertiliser_SourceData.Fertiliser_Products_Data1(),FertiliserProducts[[#Headers],[Include or Exclude]], 0,4)</f>
        <v/>
      </c>
      <c r="Y118" s="62" t="str" cm="1">
        <f t="array" ref="Y118">Common_InputFunctions.Utility_DisplayArrayInTable(Fertiliser_SourceData.Fertiliser_Products_Data1(),FertiliserProducts[[#Headers],[Include or Exclude]], 0,4)</f>
        <v/>
      </c>
      <c r="Z118" s="62" t="str" cm="1">
        <f t="array" ref="Z118">Common_InputFunctions.Utility_DisplayArrayInTable(Fertiliser_SourceData.Fertiliser_Products_Data1(),FertiliserProducts[[#Headers],[Include or Exclude]], 0,4)</f>
        <v/>
      </c>
      <c r="AA118" s="62" t="str" cm="1">
        <f t="array" ref="AA118">Common_InputFunctions.Utility_DisplayArrayInTable(Fertiliser_SourceData.Fertiliser_Products_Data1(),FertiliserProducts[[#Headers],[Include or Exclude]], 0,4)</f>
        <v/>
      </c>
      <c r="AB118" s="62" t="str" cm="1">
        <f t="array" ref="AB118">Common_InputFunctions.Utility_DisplayArrayInTable(Fertiliser_SourceData.Fertiliser_Products_Data1(),FertiliserProducts[[#Headers],[Include or Exclude]], 0,4)</f>
        <v/>
      </c>
      <c r="AC118" s="62" t="str" cm="1">
        <f t="array" ref="AC118">Common_InputFunctions.Utility_DisplayArrayInTable(Fertiliser_SourceData.Fertiliser_Products_Data1(),FertiliserProducts[[#Headers],[Include or Exclude]], 0,4)</f>
        <v/>
      </c>
      <c r="AD118" s="62" t="str" cm="1">
        <f t="array" ref="AD118">Common_InputFunctions.Utility_DisplayArrayInTable(Fertiliser_SourceData.Fertiliser_Products_Data1(),FertiliserProducts[[#Headers],[Include or Exclude]], 0,4)</f>
        <v/>
      </c>
      <c r="AE118" s="62" t="str" cm="1">
        <f t="array" ref="AE118">Common_InputFunctions.Utility_DisplayArrayInTable(Fertiliser_SourceData.Fertiliser_Products_Data1(),FertiliserProducts[[#Headers],[Include or Exclude]], 0,4)</f>
        <v/>
      </c>
    </row>
    <row r="119" spans="1:31" ht="20.100000000000001" customHeight="1" x14ac:dyDescent="0.25">
      <c r="A119"/>
      <c r="D119" s="62" t="str" cm="1">
        <f t="array" ref="D119">Common_InputFunctions.Utility_DisplayArrayInTable(Fertiliser_SourceData.Fertiliser_Products_Data1(),FertiliserProducts[[#Headers],[Include or Exclude]], -1)</f>
        <v/>
      </c>
      <c r="E119" s="62" t="str" cm="1">
        <f t="array" ref="E119">Common_InputFunctions.Utility_DisplayArrayInTable(Fertiliser_SourceData.Fertiliser_Products_Data1(),FertiliserProducts[[#Headers],[Include or Exclude]], 0)</f>
        <v/>
      </c>
      <c r="F119" s="62" t="str" cm="1">
        <f t="array" ref="F119">Common_InputFunctions.Utility_DisplayArrayInTable(Fertiliser_SourceData.Fertiliser_Products_Data1(),FertiliserProducts[[#Headers],[Include or Exclude]], 0)</f>
        <v/>
      </c>
      <c r="G119" s="62" t="str" cm="1">
        <f t="array" ref="G119">Common_InputFunctions.Utility_DisplayArrayInTable(Fertiliser_SourceData.Fertiliser_Products_Data1(),FertiliserProducts[[#Headers],[Include or Exclude]], 0)</f>
        <v/>
      </c>
      <c r="H119" s="62" t="str" cm="1">
        <f t="array" ref="H119">Common_InputFunctions.Utility_DisplayArrayInTable(Fertiliser_SourceData.Fertiliser_Products_Data1(),FertiliserProducts[[#Headers],[Include or Exclude]], 0,4)</f>
        <v/>
      </c>
      <c r="I119" s="62" t="str" cm="1">
        <f t="array" ref="I119">Common_InputFunctions.Utility_DisplayArrayInTable(Fertiliser_SourceData.Fertiliser_Products_Data1(),FertiliserProducts[[#Headers],[Include or Exclude]], 0,4)</f>
        <v/>
      </c>
      <c r="J119" s="62" t="str" cm="1">
        <f t="array" ref="J119">Common_InputFunctions.Utility_DisplayArrayInTable(Fertiliser_SourceData.Fertiliser_Products_Data1(),FertiliserProducts[[#Headers],[Include or Exclude]], 0,4)</f>
        <v/>
      </c>
      <c r="K119" s="62" t="str" cm="1">
        <f t="array" ref="K119">Common_InputFunctions.Utility_DisplayArrayInTable(Fertiliser_SourceData.Fertiliser_Products_Data1(),FertiliserProducts[[#Headers],[Include or Exclude]], 0,4)</f>
        <v/>
      </c>
      <c r="L119" s="62" t="str" cm="1">
        <f t="array" ref="L119">Common_InputFunctions.Utility_DisplayArrayInTable(Fertiliser_SourceData.Fertiliser_Products_Data1(),FertiliserProducts[[#Headers],[Include or Exclude]], 0,4)</f>
        <v/>
      </c>
      <c r="M119" s="62" t="str" cm="1">
        <f t="array" ref="M119">Common_InputFunctions.Utility_DisplayArrayInTable(Fertiliser_SourceData.Fertiliser_Products_Data1(),FertiliserProducts[[#Headers],[Include or Exclude]], 0,4)</f>
        <v/>
      </c>
      <c r="N119" s="62" t="str" cm="1">
        <f t="array" ref="N119">Common_InputFunctions.Utility_DisplayArrayInTable(Fertiliser_SourceData.Fertiliser_Products_Data1(),FertiliserProducts[[#Headers],[Include or Exclude]], 0,4)</f>
        <v/>
      </c>
      <c r="O119" s="62" t="str" cm="1">
        <f t="array" ref="O119">Common_InputFunctions.Utility_DisplayArrayInTable(Fertiliser_SourceData.Fertiliser_Products_Data1(),FertiliserProducts[[#Headers],[Include or Exclude]], 0,4)</f>
        <v/>
      </c>
      <c r="P119" s="62" t="str" cm="1">
        <f t="array" ref="P119">Common_InputFunctions.Utility_DisplayArrayInTable(Fertiliser_SourceData.Fertiliser_Products_Data1(),FertiliserProducts[[#Headers],[Include or Exclude]], 0,4)</f>
        <v/>
      </c>
      <c r="Q119" s="62" t="str" cm="1">
        <f t="array" ref="Q119">Common_InputFunctions.Utility_DisplayArrayInTable(Fertiliser_SourceData.Fertiliser_Products_Data1(),FertiliserProducts[[#Headers],[Include or Exclude]], 0,4)</f>
        <v/>
      </c>
      <c r="R119" s="62" t="str" cm="1">
        <f t="array" ref="R119">Common_InputFunctions.Utility_DisplayArrayInTable(Fertiliser_SourceData.Fertiliser_Products_Data1(),FertiliserProducts[[#Headers],[Include or Exclude]], 0,4)</f>
        <v/>
      </c>
      <c r="S119" s="62" t="str" cm="1">
        <f t="array" ref="S119">Common_InputFunctions.Utility_DisplayArrayInTable(Fertiliser_SourceData.Fertiliser_Products_Data1(),FertiliserProducts[[#Headers],[Include or Exclude]], 0,4)</f>
        <v/>
      </c>
      <c r="T119" s="62" t="str" cm="1">
        <f t="array" ref="T119">Common_InputFunctions.Utility_DisplayArrayInTable(Fertiliser_SourceData.Fertiliser_Products_Data1(),FertiliserProducts[[#Headers],[Include or Exclude]], 0,4)</f>
        <v/>
      </c>
      <c r="U119" s="62" t="str" cm="1">
        <f t="array" ref="U119">Common_InputFunctions.Utility_DisplayArrayInTable(Fertiliser_SourceData.Fertiliser_Products_Data1(),FertiliserProducts[[#Headers],[Include or Exclude]], 0,4)</f>
        <v/>
      </c>
      <c r="V119" s="62" t="str" cm="1">
        <f t="array" ref="V119">Common_InputFunctions.Utility_DisplayArrayInTable(Fertiliser_SourceData.Fertiliser_Products_Data1(),FertiliserProducts[[#Headers],[Include or Exclude]], 0,4)</f>
        <v/>
      </c>
      <c r="W119" s="62" t="str" cm="1">
        <f t="array" ref="W119">Common_InputFunctions.Utility_DisplayArrayInTable(Fertiliser_SourceData.Fertiliser_Products_Data1(),FertiliserProducts[[#Headers],[Include or Exclude]], 0,4)</f>
        <v/>
      </c>
      <c r="X119" s="62" t="str" cm="1">
        <f t="array" ref="X119">Common_InputFunctions.Utility_DisplayArrayInTable(Fertiliser_SourceData.Fertiliser_Products_Data1(),FertiliserProducts[[#Headers],[Include or Exclude]], 0,4)</f>
        <v/>
      </c>
      <c r="Y119" s="62" t="str" cm="1">
        <f t="array" ref="Y119">Common_InputFunctions.Utility_DisplayArrayInTable(Fertiliser_SourceData.Fertiliser_Products_Data1(),FertiliserProducts[[#Headers],[Include or Exclude]], 0,4)</f>
        <v/>
      </c>
      <c r="Z119" s="62" t="str" cm="1">
        <f t="array" ref="Z119">Common_InputFunctions.Utility_DisplayArrayInTable(Fertiliser_SourceData.Fertiliser_Products_Data1(),FertiliserProducts[[#Headers],[Include or Exclude]], 0,4)</f>
        <v/>
      </c>
      <c r="AA119" s="62" t="str" cm="1">
        <f t="array" ref="AA119">Common_InputFunctions.Utility_DisplayArrayInTable(Fertiliser_SourceData.Fertiliser_Products_Data1(),FertiliserProducts[[#Headers],[Include or Exclude]], 0,4)</f>
        <v/>
      </c>
      <c r="AB119" s="62" t="str" cm="1">
        <f t="array" ref="AB119">Common_InputFunctions.Utility_DisplayArrayInTable(Fertiliser_SourceData.Fertiliser_Products_Data1(),FertiliserProducts[[#Headers],[Include or Exclude]], 0,4)</f>
        <v/>
      </c>
      <c r="AC119" s="62" t="str" cm="1">
        <f t="array" ref="AC119">Common_InputFunctions.Utility_DisplayArrayInTable(Fertiliser_SourceData.Fertiliser_Products_Data1(),FertiliserProducts[[#Headers],[Include or Exclude]], 0,4)</f>
        <v/>
      </c>
      <c r="AD119" s="62" t="str" cm="1">
        <f t="array" ref="AD119">Common_InputFunctions.Utility_DisplayArrayInTable(Fertiliser_SourceData.Fertiliser_Products_Data1(),FertiliserProducts[[#Headers],[Include or Exclude]], 0,4)</f>
        <v/>
      </c>
      <c r="AE119" s="62" t="str" cm="1">
        <f t="array" ref="AE119">Common_InputFunctions.Utility_DisplayArrayInTable(Fertiliser_SourceData.Fertiliser_Products_Data1(),FertiliserProducts[[#Headers],[Include or Exclude]], 0,4)</f>
        <v/>
      </c>
    </row>
    <row r="120" spans="1:31" ht="20.100000000000001" customHeight="1" x14ac:dyDescent="0.25">
      <c r="A120"/>
      <c r="D120" s="62" t="str" cm="1">
        <f t="array" ref="D120">Common_InputFunctions.Utility_DisplayArrayInTable(Fertiliser_SourceData.Fertiliser_Products_Data1(),FertiliserProducts[[#Headers],[Include or Exclude]], -1)</f>
        <v/>
      </c>
      <c r="E120" s="62" t="str" cm="1">
        <f t="array" ref="E120">Common_InputFunctions.Utility_DisplayArrayInTable(Fertiliser_SourceData.Fertiliser_Products_Data1(),FertiliserProducts[[#Headers],[Include or Exclude]], 0)</f>
        <v/>
      </c>
      <c r="F120" s="62" t="str" cm="1">
        <f t="array" ref="F120">Common_InputFunctions.Utility_DisplayArrayInTable(Fertiliser_SourceData.Fertiliser_Products_Data1(),FertiliserProducts[[#Headers],[Include or Exclude]], 0)</f>
        <v/>
      </c>
      <c r="G120" s="62" t="str" cm="1">
        <f t="array" ref="G120">Common_InputFunctions.Utility_DisplayArrayInTable(Fertiliser_SourceData.Fertiliser_Products_Data1(),FertiliserProducts[[#Headers],[Include or Exclude]], 0)</f>
        <v/>
      </c>
      <c r="H120" s="62" t="str" cm="1">
        <f t="array" ref="H120">Common_InputFunctions.Utility_DisplayArrayInTable(Fertiliser_SourceData.Fertiliser_Products_Data1(),FertiliserProducts[[#Headers],[Include or Exclude]], 0,4)</f>
        <v/>
      </c>
      <c r="I120" s="62" t="str" cm="1">
        <f t="array" ref="I120">Common_InputFunctions.Utility_DisplayArrayInTable(Fertiliser_SourceData.Fertiliser_Products_Data1(),FertiliserProducts[[#Headers],[Include or Exclude]], 0,4)</f>
        <v/>
      </c>
      <c r="J120" s="62" t="str" cm="1">
        <f t="array" ref="J120">Common_InputFunctions.Utility_DisplayArrayInTable(Fertiliser_SourceData.Fertiliser_Products_Data1(),FertiliserProducts[[#Headers],[Include or Exclude]], 0,4)</f>
        <v/>
      </c>
      <c r="K120" s="62" t="str" cm="1">
        <f t="array" ref="K120">Common_InputFunctions.Utility_DisplayArrayInTable(Fertiliser_SourceData.Fertiliser_Products_Data1(),FertiliserProducts[[#Headers],[Include or Exclude]], 0,4)</f>
        <v/>
      </c>
      <c r="L120" s="62" t="str" cm="1">
        <f t="array" ref="L120">Common_InputFunctions.Utility_DisplayArrayInTable(Fertiliser_SourceData.Fertiliser_Products_Data1(),FertiliserProducts[[#Headers],[Include or Exclude]], 0,4)</f>
        <v/>
      </c>
      <c r="M120" s="62" t="str" cm="1">
        <f t="array" ref="M120">Common_InputFunctions.Utility_DisplayArrayInTable(Fertiliser_SourceData.Fertiliser_Products_Data1(),FertiliserProducts[[#Headers],[Include or Exclude]], 0,4)</f>
        <v/>
      </c>
      <c r="N120" s="62" t="str" cm="1">
        <f t="array" ref="N120">Common_InputFunctions.Utility_DisplayArrayInTable(Fertiliser_SourceData.Fertiliser_Products_Data1(),FertiliserProducts[[#Headers],[Include or Exclude]], 0,4)</f>
        <v/>
      </c>
      <c r="O120" s="62" t="str" cm="1">
        <f t="array" ref="O120">Common_InputFunctions.Utility_DisplayArrayInTable(Fertiliser_SourceData.Fertiliser_Products_Data1(),FertiliserProducts[[#Headers],[Include or Exclude]], 0,4)</f>
        <v/>
      </c>
      <c r="P120" s="62" t="str" cm="1">
        <f t="array" ref="P120">Common_InputFunctions.Utility_DisplayArrayInTable(Fertiliser_SourceData.Fertiliser_Products_Data1(),FertiliserProducts[[#Headers],[Include or Exclude]], 0,4)</f>
        <v/>
      </c>
      <c r="Q120" s="62" t="str" cm="1">
        <f t="array" ref="Q120">Common_InputFunctions.Utility_DisplayArrayInTable(Fertiliser_SourceData.Fertiliser_Products_Data1(),FertiliserProducts[[#Headers],[Include or Exclude]], 0,4)</f>
        <v/>
      </c>
      <c r="R120" s="62" t="str" cm="1">
        <f t="array" ref="R120">Common_InputFunctions.Utility_DisplayArrayInTable(Fertiliser_SourceData.Fertiliser_Products_Data1(),FertiliserProducts[[#Headers],[Include or Exclude]], 0,4)</f>
        <v/>
      </c>
      <c r="S120" s="62" t="str" cm="1">
        <f t="array" ref="S120">Common_InputFunctions.Utility_DisplayArrayInTable(Fertiliser_SourceData.Fertiliser_Products_Data1(),FertiliserProducts[[#Headers],[Include or Exclude]], 0,4)</f>
        <v/>
      </c>
      <c r="T120" s="62" t="str" cm="1">
        <f t="array" ref="T120">Common_InputFunctions.Utility_DisplayArrayInTable(Fertiliser_SourceData.Fertiliser_Products_Data1(),FertiliserProducts[[#Headers],[Include or Exclude]], 0,4)</f>
        <v/>
      </c>
      <c r="U120" s="62" t="str" cm="1">
        <f t="array" ref="U120">Common_InputFunctions.Utility_DisplayArrayInTable(Fertiliser_SourceData.Fertiliser_Products_Data1(),FertiliserProducts[[#Headers],[Include or Exclude]], 0,4)</f>
        <v/>
      </c>
      <c r="V120" s="62" t="str" cm="1">
        <f t="array" ref="V120">Common_InputFunctions.Utility_DisplayArrayInTable(Fertiliser_SourceData.Fertiliser_Products_Data1(),FertiliserProducts[[#Headers],[Include or Exclude]], 0,4)</f>
        <v/>
      </c>
      <c r="W120" s="62" t="str" cm="1">
        <f t="array" ref="W120">Common_InputFunctions.Utility_DisplayArrayInTable(Fertiliser_SourceData.Fertiliser_Products_Data1(),FertiliserProducts[[#Headers],[Include or Exclude]], 0,4)</f>
        <v/>
      </c>
      <c r="X120" s="62" t="str" cm="1">
        <f t="array" ref="X120">Common_InputFunctions.Utility_DisplayArrayInTable(Fertiliser_SourceData.Fertiliser_Products_Data1(),FertiliserProducts[[#Headers],[Include or Exclude]], 0,4)</f>
        <v/>
      </c>
      <c r="Y120" s="62" t="str" cm="1">
        <f t="array" ref="Y120">Common_InputFunctions.Utility_DisplayArrayInTable(Fertiliser_SourceData.Fertiliser_Products_Data1(),FertiliserProducts[[#Headers],[Include or Exclude]], 0,4)</f>
        <v/>
      </c>
      <c r="Z120" s="62" t="str" cm="1">
        <f t="array" ref="Z120">Common_InputFunctions.Utility_DisplayArrayInTable(Fertiliser_SourceData.Fertiliser_Products_Data1(),FertiliserProducts[[#Headers],[Include or Exclude]], 0,4)</f>
        <v/>
      </c>
      <c r="AA120" s="62" t="str" cm="1">
        <f t="array" ref="AA120">Common_InputFunctions.Utility_DisplayArrayInTable(Fertiliser_SourceData.Fertiliser_Products_Data1(),FertiliserProducts[[#Headers],[Include or Exclude]], 0,4)</f>
        <v/>
      </c>
      <c r="AB120" s="62" t="str" cm="1">
        <f t="array" ref="AB120">Common_InputFunctions.Utility_DisplayArrayInTable(Fertiliser_SourceData.Fertiliser_Products_Data1(),FertiliserProducts[[#Headers],[Include or Exclude]], 0,4)</f>
        <v/>
      </c>
      <c r="AC120" s="62" t="str" cm="1">
        <f t="array" ref="AC120">Common_InputFunctions.Utility_DisplayArrayInTable(Fertiliser_SourceData.Fertiliser_Products_Data1(),FertiliserProducts[[#Headers],[Include or Exclude]], 0,4)</f>
        <v/>
      </c>
      <c r="AD120" s="62" t="str" cm="1">
        <f t="array" ref="AD120">Common_InputFunctions.Utility_DisplayArrayInTable(Fertiliser_SourceData.Fertiliser_Products_Data1(),FertiliserProducts[[#Headers],[Include or Exclude]], 0,4)</f>
        <v/>
      </c>
      <c r="AE120" s="62" t="str" cm="1">
        <f t="array" ref="AE120">Common_InputFunctions.Utility_DisplayArrayInTable(Fertiliser_SourceData.Fertiliser_Products_Data1(),FertiliserProducts[[#Headers],[Include or Exclude]], 0,4)</f>
        <v/>
      </c>
    </row>
    <row r="121" spans="1:31" ht="20.100000000000001" customHeight="1" x14ac:dyDescent="0.25">
      <c r="A121"/>
      <c r="D121" s="62" t="str" cm="1">
        <f t="array" ref="D121">Common_InputFunctions.Utility_DisplayArrayInTable(Fertiliser_SourceData.Fertiliser_Products_Data1(),FertiliserProducts[[#Headers],[Include or Exclude]], -1)</f>
        <v/>
      </c>
      <c r="E121" s="62" t="str" cm="1">
        <f t="array" ref="E121">Common_InputFunctions.Utility_DisplayArrayInTable(Fertiliser_SourceData.Fertiliser_Products_Data1(),FertiliserProducts[[#Headers],[Include or Exclude]], 0)</f>
        <v/>
      </c>
      <c r="F121" s="62" t="str" cm="1">
        <f t="array" ref="F121">Common_InputFunctions.Utility_DisplayArrayInTable(Fertiliser_SourceData.Fertiliser_Products_Data1(),FertiliserProducts[[#Headers],[Include or Exclude]], 0)</f>
        <v/>
      </c>
      <c r="G121" s="62" t="str" cm="1">
        <f t="array" ref="G121">Common_InputFunctions.Utility_DisplayArrayInTable(Fertiliser_SourceData.Fertiliser_Products_Data1(),FertiliserProducts[[#Headers],[Include or Exclude]], 0)</f>
        <v/>
      </c>
      <c r="H121" s="62" t="str" cm="1">
        <f t="array" ref="H121">Common_InputFunctions.Utility_DisplayArrayInTable(Fertiliser_SourceData.Fertiliser_Products_Data1(),FertiliserProducts[[#Headers],[Include or Exclude]], 0,4)</f>
        <v/>
      </c>
      <c r="I121" s="62" t="str" cm="1">
        <f t="array" ref="I121">Common_InputFunctions.Utility_DisplayArrayInTable(Fertiliser_SourceData.Fertiliser_Products_Data1(),FertiliserProducts[[#Headers],[Include or Exclude]], 0,4)</f>
        <v/>
      </c>
      <c r="J121" s="62" t="str" cm="1">
        <f t="array" ref="J121">Common_InputFunctions.Utility_DisplayArrayInTable(Fertiliser_SourceData.Fertiliser_Products_Data1(),FertiliserProducts[[#Headers],[Include or Exclude]], 0,4)</f>
        <v/>
      </c>
      <c r="K121" s="62" t="str" cm="1">
        <f t="array" ref="K121">Common_InputFunctions.Utility_DisplayArrayInTable(Fertiliser_SourceData.Fertiliser_Products_Data1(),FertiliserProducts[[#Headers],[Include or Exclude]], 0,4)</f>
        <v/>
      </c>
      <c r="L121" s="62" t="str" cm="1">
        <f t="array" ref="L121">Common_InputFunctions.Utility_DisplayArrayInTable(Fertiliser_SourceData.Fertiliser_Products_Data1(),FertiliserProducts[[#Headers],[Include or Exclude]], 0,4)</f>
        <v/>
      </c>
      <c r="M121" s="62" t="str" cm="1">
        <f t="array" ref="M121">Common_InputFunctions.Utility_DisplayArrayInTable(Fertiliser_SourceData.Fertiliser_Products_Data1(),FertiliserProducts[[#Headers],[Include or Exclude]], 0,4)</f>
        <v/>
      </c>
      <c r="N121" s="62" t="str" cm="1">
        <f t="array" ref="N121">Common_InputFunctions.Utility_DisplayArrayInTable(Fertiliser_SourceData.Fertiliser_Products_Data1(),FertiliserProducts[[#Headers],[Include or Exclude]], 0,4)</f>
        <v/>
      </c>
      <c r="O121" s="62" t="str" cm="1">
        <f t="array" ref="O121">Common_InputFunctions.Utility_DisplayArrayInTable(Fertiliser_SourceData.Fertiliser_Products_Data1(),FertiliserProducts[[#Headers],[Include or Exclude]], 0,4)</f>
        <v/>
      </c>
      <c r="P121" s="62" t="str" cm="1">
        <f t="array" ref="P121">Common_InputFunctions.Utility_DisplayArrayInTable(Fertiliser_SourceData.Fertiliser_Products_Data1(),FertiliserProducts[[#Headers],[Include or Exclude]], 0,4)</f>
        <v/>
      </c>
      <c r="Q121" s="62" t="str" cm="1">
        <f t="array" ref="Q121">Common_InputFunctions.Utility_DisplayArrayInTable(Fertiliser_SourceData.Fertiliser_Products_Data1(),FertiliserProducts[[#Headers],[Include or Exclude]], 0,4)</f>
        <v/>
      </c>
      <c r="R121" s="62" t="str" cm="1">
        <f t="array" ref="R121">Common_InputFunctions.Utility_DisplayArrayInTable(Fertiliser_SourceData.Fertiliser_Products_Data1(),FertiliserProducts[[#Headers],[Include or Exclude]], 0,4)</f>
        <v/>
      </c>
      <c r="S121" s="62" t="str" cm="1">
        <f t="array" ref="S121">Common_InputFunctions.Utility_DisplayArrayInTable(Fertiliser_SourceData.Fertiliser_Products_Data1(),FertiliserProducts[[#Headers],[Include or Exclude]], 0,4)</f>
        <v/>
      </c>
      <c r="T121" s="62" t="str" cm="1">
        <f t="array" ref="T121">Common_InputFunctions.Utility_DisplayArrayInTable(Fertiliser_SourceData.Fertiliser_Products_Data1(),FertiliserProducts[[#Headers],[Include or Exclude]], 0,4)</f>
        <v/>
      </c>
      <c r="U121" s="62" t="str" cm="1">
        <f t="array" ref="U121">Common_InputFunctions.Utility_DisplayArrayInTable(Fertiliser_SourceData.Fertiliser_Products_Data1(),FertiliserProducts[[#Headers],[Include or Exclude]], 0,4)</f>
        <v/>
      </c>
      <c r="V121" s="62" t="str" cm="1">
        <f t="array" ref="V121">Common_InputFunctions.Utility_DisplayArrayInTable(Fertiliser_SourceData.Fertiliser_Products_Data1(),FertiliserProducts[[#Headers],[Include or Exclude]], 0,4)</f>
        <v/>
      </c>
      <c r="W121" s="62" t="str" cm="1">
        <f t="array" ref="W121">Common_InputFunctions.Utility_DisplayArrayInTable(Fertiliser_SourceData.Fertiliser_Products_Data1(),FertiliserProducts[[#Headers],[Include or Exclude]], 0,4)</f>
        <v/>
      </c>
      <c r="X121" s="62" t="str" cm="1">
        <f t="array" ref="X121">Common_InputFunctions.Utility_DisplayArrayInTable(Fertiliser_SourceData.Fertiliser_Products_Data1(),FertiliserProducts[[#Headers],[Include or Exclude]], 0,4)</f>
        <v/>
      </c>
      <c r="Y121" s="62" t="str" cm="1">
        <f t="array" ref="Y121">Common_InputFunctions.Utility_DisplayArrayInTable(Fertiliser_SourceData.Fertiliser_Products_Data1(),FertiliserProducts[[#Headers],[Include or Exclude]], 0,4)</f>
        <v/>
      </c>
      <c r="Z121" s="62" t="str" cm="1">
        <f t="array" ref="Z121">Common_InputFunctions.Utility_DisplayArrayInTable(Fertiliser_SourceData.Fertiliser_Products_Data1(),FertiliserProducts[[#Headers],[Include or Exclude]], 0,4)</f>
        <v/>
      </c>
      <c r="AA121" s="62" t="str" cm="1">
        <f t="array" ref="AA121">Common_InputFunctions.Utility_DisplayArrayInTable(Fertiliser_SourceData.Fertiliser_Products_Data1(),FertiliserProducts[[#Headers],[Include or Exclude]], 0,4)</f>
        <v/>
      </c>
      <c r="AB121" s="62" t="str" cm="1">
        <f t="array" ref="AB121">Common_InputFunctions.Utility_DisplayArrayInTable(Fertiliser_SourceData.Fertiliser_Products_Data1(),FertiliserProducts[[#Headers],[Include or Exclude]], 0,4)</f>
        <v/>
      </c>
      <c r="AC121" s="62" t="str" cm="1">
        <f t="array" ref="AC121">Common_InputFunctions.Utility_DisplayArrayInTable(Fertiliser_SourceData.Fertiliser_Products_Data1(),FertiliserProducts[[#Headers],[Include or Exclude]], 0,4)</f>
        <v/>
      </c>
      <c r="AD121" s="62" t="str" cm="1">
        <f t="array" ref="AD121">Common_InputFunctions.Utility_DisplayArrayInTable(Fertiliser_SourceData.Fertiliser_Products_Data1(),FertiliserProducts[[#Headers],[Include or Exclude]], 0,4)</f>
        <v/>
      </c>
      <c r="AE121" s="62" t="str" cm="1">
        <f t="array" ref="AE121">Common_InputFunctions.Utility_DisplayArrayInTable(Fertiliser_SourceData.Fertiliser_Products_Data1(),FertiliserProducts[[#Headers],[Include or Exclude]], 0,4)</f>
        <v/>
      </c>
    </row>
    <row r="122" spans="1:31" ht="20.100000000000001" customHeight="1" x14ac:dyDescent="0.25">
      <c r="A122"/>
      <c r="D122" s="62" t="str" cm="1">
        <f t="array" ref="D122">Common_InputFunctions.Utility_DisplayArrayInTable(Fertiliser_SourceData.Fertiliser_Products_Data1(),FertiliserProducts[[#Headers],[Include or Exclude]], -1)</f>
        <v/>
      </c>
      <c r="E122" s="62" t="str" cm="1">
        <f t="array" ref="E122">Common_InputFunctions.Utility_DisplayArrayInTable(Fertiliser_SourceData.Fertiliser_Products_Data1(),FertiliserProducts[[#Headers],[Include or Exclude]], 0)</f>
        <v/>
      </c>
      <c r="F122" s="62" t="str" cm="1">
        <f t="array" ref="F122">Common_InputFunctions.Utility_DisplayArrayInTable(Fertiliser_SourceData.Fertiliser_Products_Data1(),FertiliserProducts[[#Headers],[Include or Exclude]], 0)</f>
        <v/>
      </c>
      <c r="G122" s="62" t="str" cm="1">
        <f t="array" ref="G122">Common_InputFunctions.Utility_DisplayArrayInTable(Fertiliser_SourceData.Fertiliser_Products_Data1(),FertiliserProducts[[#Headers],[Include or Exclude]], 0)</f>
        <v/>
      </c>
      <c r="H122" s="62" t="str" cm="1">
        <f t="array" ref="H122">Common_InputFunctions.Utility_DisplayArrayInTable(Fertiliser_SourceData.Fertiliser_Products_Data1(),FertiliserProducts[[#Headers],[Include or Exclude]], 0,4)</f>
        <v/>
      </c>
      <c r="I122" s="62" t="str" cm="1">
        <f t="array" ref="I122">Common_InputFunctions.Utility_DisplayArrayInTable(Fertiliser_SourceData.Fertiliser_Products_Data1(),FertiliserProducts[[#Headers],[Include or Exclude]], 0,4)</f>
        <v/>
      </c>
      <c r="J122" s="62" t="str" cm="1">
        <f t="array" ref="J122">Common_InputFunctions.Utility_DisplayArrayInTable(Fertiliser_SourceData.Fertiliser_Products_Data1(),FertiliserProducts[[#Headers],[Include or Exclude]], 0,4)</f>
        <v/>
      </c>
      <c r="K122" s="62" t="str" cm="1">
        <f t="array" ref="K122">Common_InputFunctions.Utility_DisplayArrayInTable(Fertiliser_SourceData.Fertiliser_Products_Data1(),FertiliserProducts[[#Headers],[Include or Exclude]], 0,4)</f>
        <v/>
      </c>
      <c r="L122" s="62" t="str" cm="1">
        <f t="array" ref="L122">Common_InputFunctions.Utility_DisplayArrayInTable(Fertiliser_SourceData.Fertiliser_Products_Data1(),FertiliserProducts[[#Headers],[Include or Exclude]], 0,4)</f>
        <v/>
      </c>
      <c r="M122" s="62" t="str" cm="1">
        <f t="array" ref="M122">Common_InputFunctions.Utility_DisplayArrayInTable(Fertiliser_SourceData.Fertiliser_Products_Data1(),FertiliserProducts[[#Headers],[Include or Exclude]], 0,4)</f>
        <v/>
      </c>
      <c r="N122" s="62" t="str" cm="1">
        <f t="array" ref="N122">Common_InputFunctions.Utility_DisplayArrayInTable(Fertiliser_SourceData.Fertiliser_Products_Data1(),FertiliserProducts[[#Headers],[Include or Exclude]], 0,4)</f>
        <v/>
      </c>
      <c r="O122" s="62" t="str" cm="1">
        <f t="array" ref="O122">Common_InputFunctions.Utility_DisplayArrayInTable(Fertiliser_SourceData.Fertiliser_Products_Data1(),FertiliserProducts[[#Headers],[Include or Exclude]], 0,4)</f>
        <v/>
      </c>
      <c r="P122" s="62" t="str" cm="1">
        <f t="array" ref="P122">Common_InputFunctions.Utility_DisplayArrayInTable(Fertiliser_SourceData.Fertiliser_Products_Data1(),FertiliserProducts[[#Headers],[Include or Exclude]], 0,4)</f>
        <v/>
      </c>
      <c r="Q122" s="62" t="str" cm="1">
        <f t="array" ref="Q122">Common_InputFunctions.Utility_DisplayArrayInTable(Fertiliser_SourceData.Fertiliser_Products_Data1(),FertiliserProducts[[#Headers],[Include or Exclude]], 0,4)</f>
        <v/>
      </c>
      <c r="R122" s="62" t="str" cm="1">
        <f t="array" ref="R122">Common_InputFunctions.Utility_DisplayArrayInTable(Fertiliser_SourceData.Fertiliser_Products_Data1(),FertiliserProducts[[#Headers],[Include or Exclude]], 0,4)</f>
        <v/>
      </c>
      <c r="S122" s="62" t="str" cm="1">
        <f t="array" ref="S122">Common_InputFunctions.Utility_DisplayArrayInTable(Fertiliser_SourceData.Fertiliser_Products_Data1(),FertiliserProducts[[#Headers],[Include or Exclude]], 0,4)</f>
        <v/>
      </c>
      <c r="T122" s="62" t="str" cm="1">
        <f t="array" ref="T122">Common_InputFunctions.Utility_DisplayArrayInTable(Fertiliser_SourceData.Fertiliser_Products_Data1(),FertiliserProducts[[#Headers],[Include or Exclude]], 0,4)</f>
        <v/>
      </c>
      <c r="U122" s="62" t="str" cm="1">
        <f t="array" ref="U122">Common_InputFunctions.Utility_DisplayArrayInTable(Fertiliser_SourceData.Fertiliser_Products_Data1(),FertiliserProducts[[#Headers],[Include or Exclude]], 0,4)</f>
        <v/>
      </c>
      <c r="V122" s="62" t="str" cm="1">
        <f t="array" ref="V122">Common_InputFunctions.Utility_DisplayArrayInTable(Fertiliser_SourceData.Fertiliser_Products_Data1(),FertiliserProducts[[#Headers],[Include or Exclude]], 0,4)</f>
        <v/>
      </c>
      <c r="W122" s="62" t="str" cm="1">
        <f t="array" ref="W122">Common_InputFunctions.Utility_DisplayArrayInTable(Fertiliser_SourceData.Fertiliser_Products_Data1(),FertiliserProducts[[#Headers],[Include or Exclude]], 0,4)</f>
        <v/>
      </c>
      <c r="X122" s="62" t="str" cm="1">
        <f t="array" ref="X122">Common_InputFunctions.Utility_DisplayArrayInTable(Fertiliser_SourceData.Fertiliser_Products_Data1(),FertiliserProducts[[#Headers],[Include or Exclude]], 0,4)</f>
        <v/>
      </c>
      <c r="Y122" s="62" t="str" cm="1">
        <f t="array" ref="Y122">Common_InputFunctions.Utility_DisplayArrayInTable(Fertiliser_SourceData.Fertiliser_Products_Data1(),FertiliserProducts[[#Headers],[Include or Exclude]], 0,4)</f>
        <v/>
      </c>
      <c r="Z122" s="62" t="str" cm="1">
        <f t="array" ref="Z122">Common_InputFunctions.Utility_DisplayArrayInTable(Fertiliser_SourceData.Fertiliser_Products_Data1(),FertiliserProducts[[#Headers],[Include or Exclude]], 0,4)</f>
        <v/>
      </c>
      <c r="AA122" s="62" t="str" cm="1">
        <f t="array" ref="AA122">Common_InputFunctions.Utility_DisplayArrayInTable(Fertiliser_SourceData.Fertiliser_Products_Data1(),FertiliserProducts[[#Headers],[Include or Exclude]], 0,4)</f>
        <v/>
      </c>
      <c r="AB122" s="62" t="str" cm="1">
        <f t="array" ref="AB122">Common_InputFunctions.Utility_DisplayArrayInTable(Fertiliser_SourceData.Fertiliser_Products_Data1(),FertiliserProducts[[#Headers],[Include or Exclude]], 0,4)</f>
        <v/>
      </c>
      <c r="AC122" s="62" t="str" cm="1">
        <f t="array" ref="AC122">Common_InputFunctions.Utility_DisplayArrayInTable(Fertiliser_SourceData.Fertiliser_Products_Data1(),FertiliserProducts[[#Headers],[Include or Exclude]], 0,4)</f>
        <v/>
      </c>
      <c r="AD122" s="62" t="str" cm="1">
        <f t="array" ref="AD122">Common_InputFunctions.Utility_DisplayArrayInTable(Fertiliser_SourceData.Fertiliser_Products_Data1(),FertiliserProducts[[#Headers],[Include or Exclude]], 0,4)</f>
        <v/>
      </c>
      <c r="AE122" s="62" t="str" cm="1">
        <f t="array" ref="AE122">Common_InputFunctions.Utility_DisplayArrayInTable(Fertiliser_SourceData.Fertiliser_Products_Data1(),FertiliserProducts[[#Headers],[Include or Exclude]], 0,4)</f>
        <v/>
      </c>
    </row>
    <row r="123" spans="1:31" ht="20.100000000000001" customHeight="1" x14ac:dyDescent="0.25">
      <c r="A123"/>
      <c r="D123" s="62" t="str" cm="1">
        <f t="array" ref="D123">Common_InputFunctions.Utility_DisplayArrayInTable(Fertiliser_SourceData.Fertiliser_Products_Data1(),FertiliserProducts[[#Headers],[Include or Exclude]], -1)</f>
        <v/>
      </c>
      <c r="E123" s="62" t="str" cm="1">
        <f t="array" ref="E123">Common_InputFunctions.Utility_DisplayArrayInTable(Fertiliser_SourceData.Fertiliser_Products_Data1(),FertiliserProducts[[#Headers],[Include or Exclude]], 0)</f>
        <v/>
      </c>
      <c r="F123" s="62" t="str" cm="1">
        <f t="array" ref="F123">Common_InputFunctions.Utility_DisplayArrayInTable(Fertiliser_SourceData.Fertiliser_Products_Data1(),FertiliserProducts[[#Headers],[Include or Exclude]], 0)</f>
        <v/>
      </c>
      <c r="G123" s="62" t="str" cm="1">
        <f t="array" ref="G123">Common_InputFunctions.Utility_DisplayArrayInTable(Fertiliser_SourceData.Fertiliser_Products_Data1(),FertiliserProducts[[#Headers],[Include or Exclude]], 0)</f>
        <v/>
      </c>
      <c r="H123" s="62" t="str" cm="1">
        <f t="array" ref="H123">Common_InputFunctions.Utility_DisplayArrayInTable(Fertiliser_SourceData.Fertiliser_Products_Data1(),FertiliserProducts[[#Headers],[Include or Exclude]], 0,4)</f>
        <v/>
      </c>
      <c r="I123" s="62" t="str" cm="1">
        <f t="array" ref="I123">Common_InputFunctions.Utility_DisplayArrayInTable(Fertiliser_SourceData.Fertiliser_Products_Data1(),FertiliserProducts[[#Headers],[Include or Exclude]], 0,4)</f>
        <v/>
      </c>
      <c r="J123" s="62" t="str" cm="1">
        <f t="array" ref="J123">Common_InputFunctions.Utility_DisplayArrayInTable(Fertiliser_SourceData.Fertiliser_Products_Data1(),FertiliserProducts[[#Headers],[Include or Exclude]], 0,4)</f>
        <v/>
      </c>
      <c r="K123" s="62" t="str" cm="1">
        <f t="array" ref="K123">Common_InputFunctions.Utility_DisplayArrayInTable(Fertiliser_SourceData.Fertiliser_Products_Data1(),FertiliserProducts[[#Headers],[Include or Exclude]], 0,4)</f>
        <v/>
      </c>
      <c r="L123" s="62" t="str" cm="1">
        <f t="array" ref="L123">Common_InputFunctions.Utility_DisplayArrayInTable(Fertiliser_SourceData.Fertiliser_Products_Data1(),FertiliserProducts[[#Headers],[Include or Exclude]], 0,4)</f>
        <v/>
      </c>
      <c r="M123" s="62" t="str" cm="1">
        <f t="array" ref="M123">Common_InputFunctions.Utility_DisplayArrayInTable(Fertiliser_SourceData.Fertiliser_Products_Data1(),FertiliserProducts[[#Headers],[Include or Exclude]], 0,4)</f>
        <v/>
      </c>
      <c r="N123" s="62" t="str" cm="1">
        <f t="array" ref="N123">Common_InputFunctions.Utility_DisplayArrayInTable(Fertiliser_SourceData.Fertiliser_Products_Data1(),FertiliserProducts[[#Headers],[Include or Exclude]], 0,4)</f>
        <v/>
      </c>
      <c r="O123" s="62" t="str" cm="1">
        <f t="array" ref="O123">Common_InputFunctions.Utility_DisplayArrayInTable(Fertiliser_SourceData.Fertiliser_Products_Data1(),FertiliserProducts[[#Headers],[Include or Exclude]], 0,4)</f>
        <v/>
      </c>
      <c r="P123" s="62" t="str" cm="1">
        <f t="array" ref="P123">Common_InputFunctions.Utility_DisplayArrayInTable(Fertiliser_SourceData.Fertiliser_Products_Data1(),FertiliserProducts[[#Headers],[Include or Exclude]], 0,4)</f>
        <v/>
      </c>
      <c r="Q123" s="62" t="str" cm="1">
        <f t="array" ref="Q123">Common_InputFunctions.Utility_DisplayArrayInTable(Fertiliser_SourceData.Fertiliser_Products_Data1(),FertiliserProducts[[#Headers],[Include or Exclude]], 0,4)</f>
        <v/>
      </c>
      <c r="R123" s="62" t="str" cm="1">
        <f t="array" ref="R123">Common_InputFunctions.Utility_DisplayArrayInTable(Fertiliser_SourceData.Fertiliser_Products_Data1(),FertiliserProducts[[#Headers],[Include or Exclude]], 0,4)</f>
        <v/>
      </c>
      <c r="S123" s="62" t="str" cm="1">
        <f t="array" ref="S123">Common_InputFunctions.Utility_DisplayArrayInTable(Fertiliser_SourceData.Fertiliser_Products_Data1(),FertiliserProducts[[#Headers],[Include or Exclude]], 0,4)</f>
        <v/>
      </c>
      <c r="T123" s="62" t="str" cm="1">
        <f t="array" ref="T123">Common_InputFunctions.Utility_DisplayArrayInTable(Fertiliser_SourceData.Fertiliser_Products_Data1(),FertiliserProducts[[#Headers],[Include or Exclude]], 0,4)</f>
        <v/>
      </c>
      <c r="U123" s="62" t="str" cm="1">
        <f t="array" ref="U123">Common_InputFunctions.Utility_DisplayArrayInTable(Fertiliser_SourceData.Fertiliser_Products_Data1(),FertiliserProducts[[#Headers],[Include or Exclude]], 0,4)</f>
        <v/>
      </c>
      <c r="V123" s="62" t="str" cm="1">
        <f t="array" ref="V123">Common_InputFunctions.Utility_DisplayArrayInTable(Fertiliser_SourceData.Fertiliser_Products_Data1(),FertiliserProducts[[#Headers],[Include or Exclude]], 0,4)</f>
        <v/>
      </c>
      <c r="W123" s="62" t="str" cm="1">
        <f t="array" ref="W123">Common_InputFunctions.Utility_DisplayArrayInTable(Fertiliser_SourceData.Fertiliser_Products_Data1(),FertiliserProducts[[#Headers],[Include or Exclude]], 0,4)</f>
        <v/>
      </c>
      <c r="X123" s="62" t="str" cm="1">
        <f t="array" ref="X123">Common_InputFunctions.Utility_DisplayArrayInTable(Fertiliser_SourceData.Fertiliser_Products_Data1(),FertiliserProducts[[#Headers],[Include or Exclude]], 0,4)</f>
        <v/>
      </c>
      <c r="Y123" s="62" t="str" cm="1">
        <f t="array" ref="Y123">Common_InputFunctions.Utility_DisplayArrayInTable(Fertiliser_SourceData.Fertiliser_Products_Data1(),FertiliserProducts[[#Headers],[Include or Exclude]], 0,4)</f>
        <v/>
      </c>
      <c r="Z123" s="62" t="str" cm="1">
        <f t="array" ref="Z123">Common_InputFunctions.Utility_DisplayArrayInTable(Fertiliser_SourceData.Fertiliser_Products_Data1(),FertiliserProducts[[#Headers],[Include or Exclude]], 0,4)</f>
        <v/>
      </c>
      <c r="AA123" s="62" t="str" cm="1">
        <f t="array" ref="AA123">Common_InputFunctions.Utility_DisplayArrayInTable(Fertiliser_SourceData.Fertiliser_Products_Data1(),FertiliserProducts[[#Headers],[Include or Exclude]], 0,4)</f>
        <v/>
      </c>
      <c r="AB123" s="62" t="str" cm="1">
        <f t="array" ref="AB123">Common_InputFunctions.Utility_DisplayArrayInTable(Fertiliser_SourceData.Fertiliser_Products_Data1(),FertiliserProducts[[#Headers],[Include or Exclude]], 0,4)</f>
        <v/>
      </c>
      <c r="AC123" s="62" t="str" cm="1">
        <f t="array" ref="AC123">Common_InputFunctions.Utility_DisplayArrayInTable(Fertiliser_SourceData.Fertiliser_Products_Data1(),FertiliserProducts[[#Headers],[Include or Exclude]], 0,4)</f>
        <v/>
      </c>
      <c r="AD123" s="62" t="str" cm="1">
        <f t="array" ref="AD123">Common_InputFunctions.Utility_DisplayArrayInTable(Fertiliser_SourceData.Fertiliser_Products_Data1(),FertiliserProducts[[#Headers],[Include or Exclude]], 0,4)</f>
        <v/>
      </c>
      <c r="AE123" s="62" t="str" cm="1">
        <f t="array" ref="AE123">Common_InputFunctions.Utility_DisplayArrayInTable(Fertiliser_SourceData.Fertiliser_Products_Data1(),FertiliserProducts[[#Headers],[Include or Exclude]], 0,4)</f>
        <v/>
      </c>
    </row>
    <row r="124" spans="1:31" ht="20.100000000000001" customHeight="1" x14ac:dyDescent="0.25">
      <c r="A124"/>
      <c r="D124" s="62" t="str" cm="1">
        <f t="array" ref="D124">Common_InputFunctions.Utility_DisplayArrayInTable(Fertiliser_SourceData.Fertiliser_Products_Data1(),FertiliserProducts[[#Headers],[Include or Exclude]], -1)</f>
        <v/>
      </c>
      <c r="E124" s="62" t="str" cm="1">
        <f t="array" ref="E124">Common_InputFunctions.Utility_DisplayArrayInTable(Fertiliser_SourceData.Fertiliser_Products_Data1(),FertiliserProducts[[#Headers],[Include or Exclude]], 0)</f>
        <v/>
      </c>
      <c r="F124" s="62" t="str" cm="1">
        <f t="array" ref="F124">Common_InputFunctions.Utility_DisplayArrayInTable(Fertiliser_SourceData.Fertiliser_Products_Data1(),FertiliserProducts[[#Headers],[Include or Exclude]], 0)</f>
        <v/>
      </c>
      <c r="G124" s="62" t="str" cm="1">
        <f t="array" ref="G124">Common_InputFunctions.Utility_DisplayArrayInTable(Fertiliser_SourceData.Fertiliser_Products_Data1(),FertiliserProducts[[#Headers],[Include or Exclude]], 0)</f>
        <v/>
      </c>
      <c r="H124" s="62" t="str" cm="1">
        <f t="array" ref="H124">Common_InputFunctions.Utility_DisplayArrayInTable(Fertiliser_SourceData.Fertiliser_Products_Data1(),FertiliserProducts[[#Headers],[Include or Exclude]], 0,4)</f>
        <v/>
      </c>
      <c r="I124" s="62" t="str" cm="1">
        <f t="array" ref="I124">Common_InputFunctions.Utility_DisplayArrayInTable(Fertiliser_SourceData.Fertiliser_Products_Data1(),FertiliserProducts[[#Headers],[Include or Exclude]], 0,4)</f>
        <v/>
      </c>
      <c r="J124" s="62" t="str" cm="1">
        <f t="array" ref="J124">Common_InputFunctions.Utility_DisplayArrayInTable(Fertiliser_SourceData.Fertiliser_Products_Data1(),FertiliserProducts[[#Headers],[Include or Exclude]], 0,4)</f>
        <v/>
      </c>
      <c r="K124" s="62" t="str" cm="1">
        <f t="array" ref="K124">Common_InputFunctions.Utility_DisplayArrayInTable(Fertiliser_SourceData.Fertiliser_Products_Data1(),FertiliserProducts[[#Headers],[Include or Exclude]], 0,4)</f>
        <v/>
      </c>
      <c r="L124" s="62" t="str" cm="1">
        <f t="array" ref="L124">Common_InputFunctions.Utility_DisplayArrayInTable(Fertiliser_SourceData.Fertiliser_Products_Data1(),FertiliserProducts[[#Headers],[Include or Exclude]], 0,4)</f>
        <v/>
      </c>
      <c r="M124" s="62" t="str" cm="1">
        <f t="array" ref="M124">Common_InputFunctions.Utility_DisplayArrayInTable(Fertiliser_SourceData.Fertiliser_Products_Data1(),FertiliserProducts[[#Headers],[Include or Exclude]], 0,4)</f>
        <v/>
      </c>
      <c r="N124" s="62" t="str" cm="1">
        <f t="array" ref="N124">Common_InputFunctions.Utility_DisplayArrayInTable(Fertiliser_SourceData.Fertiliser_Products_Data1(),FertiliserProducts[[#Headers],[Include or Exclude]], 0,4)</f>
        <v/>
      </c>
      <c r="O124" s="62" t="str" cm="1">
        <f t="array" ref="O124">Common_InputFunctions.Utility_DisplayArrayInTable(Fertiliser_SourceData.Fertiliser_Products_Data1(),FertiliserProducts[[#Headers],[Include or Exclude]], 0,4)</f>
        <v/>
      </c>
      <c r="P124" s="62" t="str" cm="1">
        <f t="array" ref="P124">Common_InputFunctions.Utility_DisplayArrayInTable(Fertiliser_SourceData.Fertiliser_Products_Data1(),FertiliserProducts[[#Headers],[Include or Exclude]], 0,4)</f>
        <v/>
      </c>
      <c r="Q124" s="62" t="str" cm="1">
        <f t="array" ref="Q124">Common_InputFunctions.Utility_DisplayArrayInTable(Fertiliser_SourceData.Fertiliser_Products_Data1(),FertiliserProducts[[#Headers],[Include or Exclude]], 0,4)</f>
        <v/>
      </c>
      <c r="R124" s="62" t="str" cm="1">
        <f t="array" ref="R124">Common_InputFunctions.Utility_DisplayArrayInTable(Fertiliser_SourceData.Fertiliser_Products_Data1(),FertiliserProducts[[#Headers],[Include or Exclude]], 0,4)</f>
        <v/>
      </c>
      <c r="S124" s="62" t="str" cm="1">
        <f t="array" ref="S124">Common_InputFunctions.Utility_DisplayArrayInTable(Fertiliser_SourceData.Fertiliser_Products_Data1(),FertiliserProducts[[#Headers],[Include or Exclude]], 0,4)</f>
        <v/>
      </c>
      <c r="T124" s="62" t="str" cm="1">
        <f t="array" ref="T124">Common_InputFunctions.Utility_DisplayArrayInTable(Fertiliser_SourceData.Fertiliser_Products_Data1(),FertiliserProducts[[#Headers],[Include or Exclude]], 0,4)</f>
        <v/>
      </c>
      <c r="U124" s="62" t="str" cm="1">
        <f t="array" ref="U124">Common_InputFunctions.Utility_DisplayArrayInTable(Fertiliser_SourceData.Fertiliser_Products_Data1(),FertiliserProducts[[#Headers],[Include or Exclude]], 0,4)</f>
        <v/>
      </c>
      <c r="V124" s="62" t="str" cm="1">
        <f t="array" ref="V124">Common_InputFunctions.Utility_DisplayArrayInTable(Fertiliser_SourceData.Fertiliser_Products_Data1(),FertiliserProducts[[#Headers],[Include or Exclude]], 0,4)</f>
        <v/>
      </c>
      <c r="W124" s="62" t="str" cm="1">
        <f t="array" ref="W124">Common_InputFunctions.Utility_DisplayArrayInTable(Fertiliser_SourceData.Fertiliser_Products_Data1(),FertiliserProducts[[#Headers],[Include or Exclude]], 0,4)</f>
        <v/>
      </c>
      <c r="X124" s="62" t="str" cm="1">
        <f t="array" ref="X124">Common_InputFunctions.Utility_DisplayArrayInTable(Fertiliser_SourceData.Fertiliser_Products_Data1(),FertiliserProducts[[#Headers],[Include or Exclude]], 0,4)</f>
        <v/>
      </c>
      <c r="Y124" s="62" t="str" cm="1">
        <f t="array" ref="Y124">Common_InputFunctions.Utility_DisplayArrayInTable(Fertiliser_SourceData.Fertiliser_Products_Data1(),FertiliserProducts[[#Headers],[Include or Exclude]], 0,4)</f>
        <v/>
      </c>
      <c r="Z124" s="62" t="str" cm="1">
        <f t="array" ref="Z124">Common_InputFunctions.Utility_DisplayArrayInTable(Fertiliser_SourceData.Fertiliser_Products_Data1(),FertiliserProducts[[#Headers],[Include or Exclude]], 0,4)</f>
        <v/>
      </c>
      <c r="AA124" s="62" t="str" cm="1">
        <f t="array" ref="AA124">Common_InputFunctions.Utility_DisplayArrayInTable(Fertiliser_SourceData.Fertiliser_Products_Data1(),FertiliserProducts[[#Headers],[Include or Exclude]], 0,4)</f>
        <v/>
      </c>
      <c r="AB124" s="62" t="str" cm="1">
        <f t="array" ref="AB124">Common_InputFunctions.Utility_DisplayArrayInTable(Fertiliser_SourceData.Fertiliser_Products_Data1(),FertiliserProducts[[#Headers],[Include or Exclude]], 0,4)</f>
        <v/>
      </c>
      <c r="AC124" s="62" t="str" cm="1">
        <f t="array" ref="AC124">Common_InputFunctions.Utility_DisplayArrayInTable(Fertiliser_SourceData.Fertiliser_Products_Data1(),FertiliserProducts[[#Headers],[Include or Exclude]], 0,4)</f>
        <v/>
      </c>
      <c r="AD124" s="62" t="str" cm="1">
        <f t="array" ref="AD124">Common_InputFunctions.Utility_DisplayArrayInTable(Fertiliser_SourceData.Fertiliser_Products_Data1(),FertiliserProducts[[#Headers],[Include or Exclude]], 0,4)</f>
        <v/>
      </c>
      <c r="AE124" s="62" t="str" cm="1">
        <f t="array" ref="AE124">Common_InputFunctions.Utility_DisplayArrayInTable(Fertiliser_SourceData.Fertiliser_Products_Data1(),FertiliserProducts[[#Headers],[Include or Exclude]], 0,4)</f>
        <v/>
      </c>
    </row>
    <row r="125" spans="1:31" ht="20.100000000000001" customHeight="1" x14ac:dyDescent="0.25">
      <c r="A125"/>
      <c r="D125" s="62" t="str" cm="1">
        <f t="array" ref="D125">Common_InputFunctions.Utility_DisplayArrayInTable(Fertiliser_SourceData.Fertiliser_Products_Data1(),FertiliserProducts[[#Headers],[Include or Exclude]], -1)</f>
        <v/>
      </c>
      <c r="E125" s="62" t="str" cm="1">
        <f t="array" ref="E125">Common_InputFunctions.Utility_DisplayArrayInTable(Fertiliser_SourceData.Fertiliser_Products_Data1(),FertiliserProducts[[#Headers],[Include or Exclude]], 0)</f>
        <v/>
      </c>
      <c r="F125" s="62" t="str" cm="1">
        <f t="array" ref="F125">Common_InputFunctions.Utility_DisplayArrayInTable(Fertiliser_SourceData.Fertiliser_Products_Data1(),FertiliserProducts[[#Headers],[Include or Exclude]], 0)</f>
        <v/>
      </c>
      <c r="G125" s="62" t="str" cm="1">
        <f t="array" ref="G125">Common_InputFunctions.Utility_DisplayArrayInTable(Fertiliser_SourceData.Fertiliser_Products_Data1(),FertiliserProducts[[#Headers],[Include or Exclude]], 0)</f>
        <v/>
      </c>
      <c r="H125" s="62" t="str" cm="1">
        <f t="array" ref="H125">Common_InputFunctions.Utility_DisplayArrayInTable(Fertiliser_SourceData.Fertiliser_Products_Data1(),FertiliserProducts[[#Headers],[Include or Exclude]], 0,4)</f>
        <v/>
      </c>
      <c r="I125" s="62" t="str" cm="1">
        <f t="array" ref="I125">Common_InputFunctions.Utility_DisplayArrayInTable(Fertiliser_SourceData.Fertiliser_Products_Data1(),FertiliserProducts[[#Headers],[Include or Exclude]], 0,4)</f>
        <v/>
      </c>
      <c r="J125" s="62" t="str" cm="1">
        <f t="array" ref="J125">Common_InputFunctions.Utility_DisplayArrayInTable(Fertiliser_SourceData.Fertiliser_Products_Data1(),FertiliserProducts[[#Headers],[Include or Exclude]], 0,4)</f>
        <v/>
      </c>
      <c r="K125" s="62" t="str" cm="1">
        <f t="array" ref="K125">Common_InputFunctions.Utility_DisplayArrayInTable(Fertiliser_SourceData.Fertiliser_Products_Data1(),FertiliserProducts[[#Headers],[Include or Exclude]], 0,4)</f>
        <v/>
      </c>
      <c r="L125" s="62" t="str" cm="1">
        <f t="array" ref="L125">Common_InputFunctions.Utility_DisplayArrayInTable(Fertiliser_SourceData.Fertiliser_Products_Data1(),FertiliserProducts[[#Headers],[Include or Exclude]], 0,4)</f>
        <v/>
      </c>
      <c r="M125" s="62" t="str" cm="1">
        <f t="array" ref="M125">Common_InputFunctions.Utility_DisplayArrayInTable(Fertiliser_SourceData.Fertiliser_Products_Data1(),FertiliserProducts[[#Headers],[Include or Exclude]], 0,4)</f>
        <v/>
      </c>
      <c r="N125" s="62" t="str" cm="1">
        <f t="array" ref="N125">Common_InputFunctions.Utility_DisplayArrayInTable(Fertiliser_SourceData.Fertiliser_Products_Data1(),FertiliserProducts[[#Headers],[Include or Exclude]], 0,4)</f>
        <v/>
      </c>
      <c r="O125" s="62" t="str" cm="1">
        <f t="array" ref="O125">Common_InputFunctions.Utility_DisplayArrayInTable(Fertiliser_SourceData.Fertiliser_Products_Data1(),FertiliserProducts[[#Headers],[Include or Exclude]], 0,4)</f>
        <v/>
      </c>
      <c r="P125" s="62" t="str" cm="1">
        <f t="array" ref="P125">Common_InputFunctions.Utility_DisplayArrayInTable(Fertiliser_SourceData.Fertiliser_Products_Data1(),FertiliserProducts[[#Headers],[Include or Exclude]], 0,4)</f>
        <v/>
      </c>
      <c r="Q125" s="62" t="str" cm="1">
        <f t="array" ref="Q125">Common_InputFunctions.Utility_DisplayArrayInTable(Fertiliser_SourceData.Fertiliser_Products_Data1(),FertiliserProducts[[#Headers],[Include or Exclude]], 0,4)</f>
        <v/>
      </c>
      <c r="R125" s="62" t="str" cm="1">
        <f t="array" ref="R125">Common_InputFunctions.Utility_DisplayArrayInTable(Fertiliser_SourceData.Fertiliser_Products_Data1(),FertiliserProducts[[#Headers],[Include or Exclude]], 0,4)</f>
        <v/>
      </c>
      <c r="S125" s="62" t="str" cm="1">
        <f t="array" ref="S125">Common_InputFunctions.Utility_DisplayArrayInTable(Fertiliser_SourceData.Fertiliser_Products_Data1(),FertiliserProducts[[#Headers],[Include or Exclude]], 0,4)</f>
        <v/>
      </c>
      <c r="T125" s="62" t="str" cm="1">
        <f t="array" ref="T125">Common_InputFunctions.Utility_DisplayArrayInTable(Fertiliser_SourceData.Fertiliser_Products_Data1(),FertiliserProducts[[#Headers],[Include or Exclude]], 0,4)</f>
        <v/>
      </c>
      <c r="U125" s="62" t="str" cm="1">
        <f t="array" ref="U125">Common_InputFunctions.Utility_DisplayArrayInTable(Fertiliser_SourceData.Fertiliser_Products_Data1(),FertiliserProducts[[#Headers],[Include or Exclude]], 0,4)</f>
        <v/>
      </c>
      <c r="V125" s="62" t="str" cm="1">
        <f t="array" ref="V125">Common_InputFunctions.Utility_DisplayArrayInTable(Fertiliser_SourceData.Fertiliser_Products_Data1(),FertiliserProducts[[#Headers],[Include or Exclude]], 0,4)</f>
        <v/>
      </c>
      <c r="W125" s="62" t="str" cm="1">
        <f t="array" ref="W125">Common_InputFunctions.Utility_DisplayArrayInTable(Fertiliser_SourceData.Fertiliser_Products_Data1(),FertiliserProducts[[#Headers],[Include or Exclude]], 0,4)</f>
        <v/>
      </c>
      <c r="X125" s="62" t="str" cm="1">
        <f t="array" ref="X125">Common_InputFunctions.Utility_DisplayArrayInTable(Fertiliser_SourceData.Fertiliser_Products_Data1(),FertiliserProducts[[#Headers],[Include or Exclude]], 0,4)</f>
        <v/>
      </c>
      <c r="Y125" s="62" t="str" cm="1">
        <f t="array" ref="Y125">Common_InputFunctions.Utility_DisplayArrayInTable(Fertiliser_SourceData.Fertiliser_Products_Data1(),FertiliserProducts[[#Headers],[Include or Exclude]], 0,4)</f>
        <v/>
      </c>
      <c r="Z125" s="62" t="str" cm="1">
        <f t="array" ref="Z125">Common_InputFunctions.Utility_DisplayArrayInTable(Fertiliser_SourceData.Fertiliser_Products_Data1(),FertiliserProducts[[#Headers],[Include or Exclude]], 0,4)</f>
        <v/>
      </c>
      <c r="AA125" s="62" t="str" cm="1">
        <f t="array" ref="AA125">Common_InputFunctions.Utility_DisplayArrayInTable(Fertiliser_SourceData.Fertiliser_Products_Data1(),FertiliserProducts[[#Headers],[Include or Exclude]], 0,4)</f>
        <v/>
      </c>
      <c r="AB125" s="62" t="str" cm="1">
        <f t="array" ref="AB125">Common_InputFunctions.Utility_DisplayArrayInTable(Fertiliser_SourceData.Fertiliser_Products_Data1(),FertiliserProducts[[#Headers],[Include or Exclude]], 0,4)</f>
        <v/>
      </c>
      <c r="AC125" s="62" t="str" cm="1">
        <f t="array" ref="AC125">Common_InputFunctions.Utility_DisplayArrayInTable(Fertiliser_SourceData.Fertiliser_Products_Data1(),FertiliserProducts[[#Headers],[Include or Exclude]], 0,4)</f>
        <v/>
      </c>
      <c r="AD125" s="62" t="str" cm="1">
        <f t="array" ref="AD125">Common_InputFunctions.Utility_DisplayArrayInTable(Fertiliser_SourceData.Fertiliser_Products_Data1(),FertiliserProducts[[#Headers],[Include or Exclude]], 0,4)</f>
        <v/>
      </c>
      <c r="AE125" s="62" t="str" cm="1">
        <f t="array" ref="AE125">Common_InputFunctions.Utility_DisplayArrayInTable(Fertiliser_SourceData.Fertiliser_Products_Data1(),FertiliserProducts[[#Headers],[Include or Exclude]], 0,4)</f>
        <v/>
      </c>
    </row>
    <row r="126" spans="1:31" ht="20.100000000000001" customHeight="1" x14ac:dyDescent="0.25">
      <c r="A126"/>
      <c r="D126" s="62" t="str" cm="1">
        <f t="array" ref="D126">Common_InputFunctions.Utility_DisplayArrayInTable(Fertiliser_SourceData.Fertiliser_Products_Data1(),FertiliserProducts[[#Headers],[Include or Exclude]], -1)</f>
        <v/>
      </c>
      <c r="E126" s="62" t="str" cm="1">
        <f t="array" ref="E126">Common_InputFunctions.Utility_DisplayArrayInTable(Fertiliser_SourceData.Fertiliser_Products_Data1(),FertiliserProducts[[#Headers],[Include or Exclude]], 0)</f>
        <v/>
      </c>
      <c r="F126" s="62" t="str" cm="1">
        <f t="array" ref="F126">Common_InputFunctions.Utility_DisplayArrayInTable(Fertiliser_SourceData.Fertiliser_Products_Data1(),FertiliserProducts[[#Headers],[Include or Exclude]], 0)</f>
        <v/>
      </c>
      <c r="G126" s="62" t="str" cm="1">
        <f t="array" ref="G126">Common_InputFunctions.Utility_DisplayArrayInTable(Fertiliser_SourceData.Fertiliser_Products_Data1(),FertiliserProducts[[#Headers],[Include or Exclude]], 0)</f>
        <v/>
      </c>
      <c r="H126" s="62" t="str" cm="1">
        <f t="array" ref="H126">Common_InputFunctions.Utility_DisplayArrayInTable(Fertiliser_SourceData.Fertiliser_Products_Data1(),FertiliserProducts[[#Headers],[Include or Exclude]], 0,4)</f>
        <v/>
      </c>
      <c r="I126" s="62" t="str" cm="1">
        <f t="array" ref="I126">Common_InputFunctions.Utility_DisplayArrayInTable(Fertiliser_SourceData.Fertiliser_Products_Data1(),FertiliserProducts[[#Headers],[Include or Exclude]], 0,4)</f>
        <v/>
      </c>
      <c r="J126" s="62" t="str" cm="1">
        <f t="array" ref="J126">Common_InputFunctions.Utility_DisplayArrayInTable(Fertiliser_SourceData.Fertiliser_Products_Data1(),FertiliserProducts[[#Headers],[Include or Exclude]], 0,4)</f>
        <v/>
      </c>
      <c r="K126" s="62" t="str" cm="1">
        <f t="array" ref="K126">Common_InputFunctions.Utility_DisplayArrayInTable(Fertiliser_SourceData.Fertiliser_Products_Data1(),FertiliserProducts[[#Headers],[Include or Exclude]], 0,4)</f>
        <v/>
      </c>
      <c r="L126" s="62" t="str" cm="1">
        <f t="array" ref="L126">Common_InputFunctions.Utility_DisplayArrayInTable(Fertiliser_SourceData.Fertiliser_Products_Data1(),FertiliserProducts[[#Headers],[Include or Exclude]], 0,4)</f>
        <v/>
      </c>
      <c r="M126" s="62" t="str" cm="1">
        <f t="array" ref="M126">Common_InputFunctions.Utility_DisplayArrayInTable(Fertiliser_SourceData.Fertiliser_Products_Data1(),FertiliserProducts[[#Headers],[Include or Exclude]], 0,4)</f>
        <v/>
      </c>
      <c r="N126" s="62" t="str" cm="1">
        <f t="array" ref="N126">Common_InputFunctions.Utility_DisplayArrayInTable(Fertiliser_SourceData.Fertiliser_Products_Data1(),FertiliserProducts[[#Headers],[Include or Exclude]], 0,4)</f>
        <v/>
      </c>
      <c r="O126" s="62" t="str" cm="1">
        <f t="array" ref="O126">Common_InputFunctions.Utility_DisplayArrayInTable(Fertiliser_SourceData.Fertiliser_Products_Data1(),FertiliserProducts[[#Headers],[Include or Exclude]], 0,4)</f>
        <v/>
      </c>
      <c r="P126" s="62" t="str" cm="1">
        <f t="array" ref="P126">Common_InputFunctions.Utility_DisplayArrayInTable(Fertiliser_SourceData.Fertiliser_Products_Data1(),FertiliserProducts[[#Headers],[Include or Exclude]], 0,4)</f>
        <v/>
      </c>
      <c r="Q126" s="62" t="str" cm="1">
        <f t="array" ref="Q126">Common_InputFunctions.Utility_DisplayArrayInTable(Fertiliser_SourceData.Fertiliser_Products_Data1(),FertiliserProducts[[#Headers],[Include or Exclude]], 0,4)</f>
        <v/>
      </c>
      <c r="R126" s="62" t="str" cm="1">
        <f t="array" ref="R126">Common_InputFunctions.Utility_DisplayArrayInTable(Fertiliser_SourceData.Fertiliser_Products_Data1(),FertiliserProducts[[#Headers],[Include or Exclude]], 0,4)</f>
        <v/>
      </c>
      <c r="S126" s="62" t="str" cm="1">
        <f t="array" ref="S126">Common_InputFunctions.Utility_DisplayArrayInTable(Fertiliser_SourceData.Fertiliser_Products_Data1(),FertiliserProducts[[#Headers],[Include or Exclude]], 0,4)</f>
        <v/>
      </c>
      <c r="T126" s="62" t="str" cm="1">
        <f t="array" ref="T126">Common_InputFunctions.Utility_DisplayArrayInTable(Fertiliser_SourceData.Fertiliser_Products_Data1(),FertiliserProducts[[#Headers],[Include or Exclude]], 0,4)</f>
        <v/>
      </c>
      <c r="U126" s="62" t="str" cm="1">
        <f t="array" ref="U126">Common_InputFunctions.Utility_DisplayArrayInTable(Fertiliser_SourceData.Fertiliser_Products_Data1(),FertiliserProducts[[#Headers],[Include or Exclude]], 0,4)</f>
        <v/>
      </c>
      <c r="V126" s="62" t="str" cm="1">
        <f t="array" ref="V126">Common_InputFunctions.Utility_DisplayArrayInTable(Fertiliser_SourceData.Fertiliser_Products_Data1(),FertiliserProducts[[#Headers],[Include or Exclude]], 0,4)</f>
        <v/>
      </c>
      <c r="W126" s="62" t="str" cm="1">
        <f t="array" ref="W126">Common_InputFunctions.Utility_DisplayArrayInTable(Fertiliser_SourceData.Fertiliser_Products_Data1(),FertiliserProducts[[#Headers],[Include or Exclude]], 0,4)</f>
        <v/>
      </c>
      <c r="X126" s="62" t="str" cm="1">
        <f t="array" ref="X126">Common_InputFunctions.Utility_DisplayArrayInTable(Fertiliser_SourceData.Fertiliser_Products_Data1(),FertiliserProducts[[#Headers],[Include or Exclude]], 0,4)</f>
        <v/>
      </c>
      <c r="Y126" s="62" t="str" cm="1">
        <f t="array" ref="Y126">Common_InputFunctions.Utility_DisplayArrayInTable(Fertiliser_SourceData.Fertiliser_Products_Data1(),FertiliserProducts[[#Headers],[Include or Exclude]], 0,4)</f>
        <v/>
      </c>
      <c r="Z126" s="62" t="str" cm="1">
        <f t="array" ref="Z126">Common_InputFunctions.Utility_DisplayArrayInTable(Fertiliser_SourceData.Fertiliser_Products_Data1(),FertiliserProducts[[#Headers],[Include or Exclude]], 0,4)</f>
        <v/>
      </c>
      <c r="AA126" s="62" t="str" cm="1">
        <f t="array" ref="AA126">Common_InputFunctions.Utility_DisplayArrayInTable(Fertiliser_SourceData.Fertiliser_Products_Data1(),FertiliserProducts[[#Headers],[Include or Exclude]], 0,4)</f>
        <v/>
      </c>
      <c r="AB126" s="62" t="str" cm="1">
        <f t="array" ref="AB126">Common_InputFunctions.Utility_DisplayArrayInTable(Fertiliser_SourceData.Fertiliser_Products_Data1(),FertiliserProducts[[#Headers],[Include or Exclude]], 0,4)</f>
        <v/>
      </c>
      <c r="AC126" s="62" t="str" cm="1">
        <f t="array" ref="AC126">Common_InputFunctions.Utility_DisplayArrayInTable(Fertiliser_SourceData.Fertiliser_Products_Data1(),FertiliserProducts[[#Headers],[Include or Exclude]], 0,4)</f>
        <v/>
      </c>
      <c r="AD126" s="62" t="str" cm="1">
        <f t="array" ref="AD126">Common_InputFunctions.Utility_DisplayArrayInTable(Fertiliser_SourceData.Fertiliser_Products_Data1(),FertiliserProducts[[#Headers],[Include or Exclude]], 0,4)</f>
        <v/>
      </c>
      <c r="AE126" s="62" t="str" cm="1">
        <f t="array" ref="AE126">Common_InputFunctions.Utility_DisplayArrayInTable(Fertiliser_SourceData.Fertiliser_Products_Data1(),FertiliserProducts[[#Headers],[Include or Exclude]], 0,4)</f>
        <v/>
      </c>
    </row>
    <row r="127" spans="1:31" ht="20.100000000000001" customHeight="1" x14ac:dyDescent="0.25">
      <c r="A127"/>
      <c r="D127" s="62" t="str" cm="1">
        <f t="array" ref="D127">Common_InputFunctions.Utility_DisplayArrayInTable(Fertiliser_SourceData.Fertiliser_Products_Data1(),FertiliserProducts[[#Headers],[Include or Exclude]], -1)</f>
        <v/>
      </c>
      <c r="E127" s="62" t="str" cm="1">
        <f t="array" ref="E127">Common_InputFunctions.Utility_DisplayArrayInTable(Fertiliser_SourceData.Fertiliser_Products_Data1(),FertiliserProducts[[#Headers],[Include or Exclude]], 0)</f>
        <v/>
      </c>
      <c r="F127" s="62" t="str" cm="1">
        <f t="array" ref="F127">Common_InputFunctions.Utility_DisplayArrayInTable(Fertiliser_SourceData.Fertiliser_Products_Data1(),FertiliserProducts[[#Headers],[Include or Exclude]], 0)</f>
        <v/>
      </c>
      <c r="G127" s="62" t="str" cm="1">
        <f t="array" ref="G127">Common_InputFunctions.Utility_DisplayArrayInTable(Fertiliser_SourceData.Fertiliser_Products_Data1(),FertiliserProducts[[#Headers],[Include or Exclude]], 0)</f>
        <v/>
      </c>
      <c r="H127" s="62" t="str" cm="1">
        <f t="array" ref="H127">Common_InputFunctions.Utility_DisplayArrayInTable(Fertiliser_SourceData.Fertiliser_Products_Data1(),FertiliserProducts[[#Headers],[Include or Exclude]], 0,4)</f>
        <v/>
      </c>
      <c r="I127" s="62" t="str" cm="1">
        <f t="array" ref="I127">Common_InputFunctions.Utility_DisplayArrayInTable(Fertiliser_SourceData.Fertiliser_Products_Data1(),FertiliserProducts[[#Headers],[Include or Exclude]], 0,4)</f>
        <v/>
      </c>
      <c r="J127" s="62" t="str" cm="1">
        <f t="array" ref="J127">Common_InputFunctions.Utility_DisplayArrayInTable(Fertiliser_SourceData.Fertiliser_Products_Data1(),FertiliserProducts[[#Headers],[Include or Exclude]], 0,4)</f>
        <v/>
      </c>
      <c r="K127" s="62" t="str" cm="1">
        <f t="array" ref="K127">Common_InputFunctions.Utility_DisplayArrayInTable(Fertiliser_SourceData.Fertiliser_Products_Data1(),FertiliserProducts[[#Headers],[Include or Exclude]], 0,4)</f>
        <v/>
      </c>
      <c r="L127" s="62" t="str" cm="1">
        <f t="array" ref="L127">Common_InputFunctions.Utility_DisplayArrayInTable(Fertiliser_SourceData.Fertiliser_Products_Data1(),FertiliserProducts[[#Headers],[Include or Exclude]], 0,4)</f>
        <v/>
      </c>
      <c r="M127" s="62" t="str" cm="1">
        <f t="array" ref="M127">Common_InputFunctions.Utility_DisplayArrayInTable(Fertiliser_SourceData.Fertiliser_Products_Data1(),FertiliserProducts[[#Headers],[Include or Exclude]], 0,4)</f>
        <v/>
      </c>
      <c r="N127" s="62" t="str" cm="1">
        <f t="array" ref="N127">Common_InputFunctions.Utility_DisplayArrayInTable(Fertiliser_SourceData.Fertiliser_Products_Data1(),FertiliserProducts[[#Headers],[Include or Exclude]], 0,4)</f>
        <v/>
      </c>
      <c r="O127" s="62" t="str" cm="1">
        <f t="array" ref="O127">Common_InputFunctions.Utility_DisplayArrayInTable(Fertiliser_SourceData.Fertiliser_Products_Data1(),FertiliserProducts[[#Headers],[Include or Exclude]], 0,4)</f>
        <v/>
      </c>
      <c r="P127" s="62" t="str" cm="1">
        <f t="array" ref="P127">Common_InputFunctions.Utility_DisplayArrayInTable(Fertiliser_SourceData.Fertiliser_Products_Data1(),FertiliserProducts[[#Headers],[Include or Exclude]], 0,4)</f>
        <v/>
      </c>
      <c r="Q127" s="62" t="str" cm="1">
        <f t="array" ref="Q127">Common_InputFunctions.Utility_DisplayArrayInTable(Fertiliser_SourceData.Fertiliser_Products_Data1(),FertiliserProducts[[#Headers],[Include or Exclude]], 0,4)</f>
        <v/>
      </c>
      <c r="R127" s="62" t="str" cm="1">
        <f t="array" ref="R127">Common_InputFunctions.Utility_DisplayArrayInTable(Fertiliser_SourceData.Fertiliser_Products_Data1(),FertiliserProducts[[#Headers],[Include or Exclude]], 0,4)</f>
        <v/>
      </c>
      <c r="S127" s="62" t="str" cm="1">
        <f t="array" ref="S127">Common_InputFunctions.Utility_DisplayArrayInTable(Fertiliser_SourceData.Fertiliser_Products_Data1(),FertiliserProducts[[#Headers],[Include or Exclude]], 0,4)</f>
        <v/>
      </c>
      <c r="T127" s="62" t="str" cm="1">
        <f t="array" ref="T127">Common_InputFunctions.Utility_DisplayArrayInTable(Fertiliser_SourceData.Fertiliser_Products_Data1(),FertiliserProducts[[#Headers],[Include or Exclude]], 0,4)</f>
        <v/>
      </c>
      <c r="U127" s="62" t="str" cm="1">
        <f t="array" ref="U127">Common_InputFunctions.Utility_DisplayArrayInTable(Fertiliser_SourceData.Fertiliser_Products_Data1(),FertiliserProducts[[#Headers],[Include or Exclude]], 0,4)</f>
        <v/>
      </c>
      <c r="V127" s="62" t="str" cm="1">
        <f t="array" ref="V127">Common_InputFunctions.Utility_DisplayArrayInTable(Fertiliser_SourceData.Fertiliser_Products_Data1(),FertiliserProducts[[#Headers],[Include or Exclude]], 0,4)</f>
        <v/>
      </c>
      <c r="W127" s="62" t="str" cm="1">
        <f t="array" ref="W127">Common_InputFunctions.Utility_DisplayArrayInTable(Fertiliser_SourceData.Fertiliser_Products_Data1(),FertiliserProducts[[#Headers],[Include or Exclude]], 0,4)</f>
        <v/>
      </c>
      <c r="X127" s="62" t="str" cm="1">
        <f t="array" ref="X127">Common_InputFunctions.Utility_DisplayArrayInTable(Fertiliser_SourceData.Fertiliser_Products_Data1(),FertiliserProducts[[#Headers],[Include or Exclude]], 0,4)</f>
        <v/>
      </c>
      <c r="Y127" s="62" t="str" cm="1">
        <f t="array" ref="Y127">Common_InputFunctions.Utility_DisplayArrayInTable(Fertiliser_SourceData.Fertiliser_Products_Data1(),FertiliserProducts[[#Headers],[Include or Exclude]], 0,4)</f>
        <v/>
      </c>
      <c r="Z127" s="62" t="str" cm="1">
        <f t="array" ref="Z127">Common_InputFunctions.Utility_DisplayArrayInTable(Fertiliser_SourceData.Fertiliser_Products_Data1(),FertiliserProducts[[#Headers],[Include or Exclude]], 0,4)</f>
        <v/>
      </c>
      <c r="AA127" s="62" t="str" cm="1">
        <f t="array" ref="AA127">Common_InputFunctions.Utility_DisplayArrayInTable(Fertiliser_SourceData.Fertiliser_Products_Data1(),FertiliserProducts[[#Headers],[Include or Exclude]], 0,4)</f>
        <v/>
      </c>
      <c r="AB127" s="62" t="str" cm="1">
        <f t="array" ref="AB127">Common_InputFunctions.Utility_DisplayArrayInTable(Fertiliser_SourceData.Fertiliser_Products_Data1(),FertiliserProducts[[#Headers],[Include or Exclude]], 0,4)</f>
        <v/>
      </c>
      <c r="AC127" s="62" t="str" cm="1">
        <f t="array" ref="AC127">Common_InputFunctions.Utility_DisplayArrayInTable(Fertiliser_SourceData.Fertiliser_Products_Data1(),FertiliserProducts[[#Headers],[Include or Exclude]], 0,4)</f>
        <v/>
      </c>
      <c r="AD127" s="62" t="str" cm="1">
        <f t="array" ref="AD127">Common_InputFunctions.Utility_DisplayArrayInTable(Fertiliser_SourceData.Fertiliser_Products_Data1(),FertiliserProducts[[#Headers],[Include or Exclude]], 0,4)</f>
        <v/>
      </c>
      <c r="AE127" s="62" t="str" cm="1">
        <f t="array" ref="AE127">Common_InputFunctions.Utility_DisplayArrayInTable(Fertiliser_SourceData.Fertiliser_Products_Data1(),FertiliserProducts[[#Headers],[Include or Exclude]], 0,4)</f>
        <v/>
      </c>
    </row>
    <row r="128" spans="1:31" ht="20.100000000000001" customHeight="1" x14ac:dyDescent="0.25">
      <c r="A128"/>
      <c r="D128" s="62" t="str" cm="1">
        <f t="array" ref="D128">Common_InputFunctions.Utility_DisplayArrayInTable(Fertiliser_SourceData.Fertiliser_Products_Data1(),FertiliserProducts[[#Headers],[Include or Exclude]], -1)</f>
        <v/>
      </c>
      <c r="E128" s="62" t="str" cm="1">
        <f t="array" ref="E128">Common_InputFunctions.Utility_DisplayArrayInTable(Fertiliser_SourceData.Fertiliser_Products_Data1(),FertiliserProducts[[#Headers],[Include or Exclude]], 0)</f>
        <v/>
      </c>
      <c r="F128" s="62" t="str" cm="1">
        <f t="array" ref="F128">Common_InputFunctions.Utility_DisplayArrayInTable(Fertiliser_SourceData.Fertiliser_Products_Data1(),FertiliserProducts[[#Headers],[Include or Exclude]], 0)</f>
        <v/>
      </c>
      <c r="G128" s="62" t="str" cm="1">
        <f t="array" ref="G128">Common_InputFunctions.Utility_DisplayArrayInTable(Fertiliser_SourceData.Fertiliser_Products_Data1(),FertiliserProducts[[#Headers],[Include or Exclude]], 0)</f>
        <v/>
      </c>
      <c r="H128" s="62" t="str" cm="1">
        <f t="array" ref="H128">Common_InputFunctions.Utility_DisplayArrayInTable(Fertiliser_SourceData.Fertiliser_Products_Data1(),FertiliserProducts[[#Headers],[Include or Exclude]], 0,4)</f>
        <v/>
      </c>
      <c r="I128" s="62" t="str" cm="1">
        <f t="array" ref="I128">Common_InputFunctions.Utility_DisplayArrayInTable(Fertiliser_SourceData.Fertiliser_Products_Data1(),FertiliserProducts[[#Headers],[Include or Exclude]], 0,4)</f>
        <v/>
      </c>
      <c r="J128" s="62" t="str" cm="1">
        <f t="array" ref="J128">Common_InputFunctions.Utility_DisplayArrayInTable(Fertiliser_SourceData.Fertiliser_Products_Data1(),FertiliserProducts[[#Headers],[Include or Exclude]], 0,4)</f>
        <v/>
      </c>
      <c r="K128" s="62" t="str" cm="1">
        <f t="array" ref="K128">Common_InputFunctions.Utility_DisplayArrayInTable(Fertiliser_SourceData.Fertiliser_Products_Data1(),FertiliserProducts[[#Headers],[Include or Exclude]], 0,4)</f>
        <v/>
      </c>
      <c r="L128" s="62" t="str" cm="1">
        <f t="array" ref="L128">Common_InputFunctions.Utility_DisplayArrayInTable(Fertiliser_SourceData.Fertiliser_Products_Data1(),FertiliserProducts[[#Headers],[Include or Exclude]], 0,4)</f>
        <v/>
      </c>
      <c r="M128" s="62" t="str" cm="1">
        <f t="array" ref="M128">Common_InputFunctions.Utility_DisplayArrayInTable(Fertiliser_SourceData.Fertiliser_Products_Data1(),FertiliserProducts[[#Headers],[Include or Exclude]], 0,4)</f>
        <v/>
      </c>
      <c r="N128" s="62" t="str" cm="1">
        <f t="array" ref="N128">Common_InputFunctions.Utility_DisplayArrayInTable(Fertiliser_SourceData.Fertiliser_Products_Data1(),FertiliserProducts[[#Headers],[Include or Exclude]], 0,4)</f>
        <v/>
      </c>
      <c r="O128" s="62" t="str" cm="1">
        <f t="array" ref="O128">Common_InputFunctions.Utility_DisplayArrayInTable(Fertiliser_SourceData.Fertiliser_Products_Data1(),FertiliserProducts[[#Headers],[Include or Exclude]], 0,4)</f>
        <v/>
      </c>
      <c r="P128" s="62" t="str" cm="1">
        <f t="array" ref="P128">Common_InputFunctions.Utility_DisplayArrayInTable(Fertiliser_SourceData.Fertiliser_Products_Data1(),FertiliserProducts[[#Headers],[Include or Exclude]], 0,4)</f>
        <v/>
      </c>
      <c r="Q128" s="62" t="str" cm="1">
        <f t="array" ref="Q128">Common_InputFunctions.Utility_DisplayArrayInTable(Fertiliser_SourceData.Fertiliser_Products_Data1(),FertiliserProducts[[#Headers],[Include or Exclude]], 0,4)</f>
        <v/>
      </c>
      <c r="R128" s="62" t="str" cm="1">
        <f t="array" ref="R128">Common_InputFunctions.Utility_DisplayArrayInTable(Fertiliser_SourceData.Fertiliser_Products_Data1(),FertiliserProducts[[#Headers],[Include or Exclude]], 0,4)</f>
        <v/>
      </c>
      <c r="S128" s="62" t="str" cm="1">
        <f t="array" ref="S128">Common_InputFunctions.Utility_DisplayArrayInTable(Fertiliser_SourceData.Fertiliser_Products_Data1(),FertiliserProducts[[#Headers],[Include or Exclude]], 0,4)</f>
        <v/>
      </c>
      <c r="T128" s="62" t="str" cm="1">
        <f t="array" ref="T128">Common_InputFunctions.Utility_DisplayArrayInTable(Fertiliser_SourceData.Fertiliser_Products_Data1(),FertiliserProducts[[#Headers],[Include or Exclude]], 0,4)</f>
        <v/>
      </c>
      <c r="U128" s="62" t="str" cm="1">
        <f t="array" ref="U128">Common_InputFunctions.Utility_DisplayArrayInTable(Fertiliser_SourceData.Fertiliser_Products_Data1(),FertiliserProducts[[#Headers],[Include or Exclude]], 0,4)</f>
        <v/>
      </c>
      <c r="V128" s="62" t="str" cm="1">
        <f t="array" ref="V128">Common_InputFunctions.Utility_DisplayArrayInTable(Fertiliser_SourceData.Fertiliser_Products_Data1(),FertiliserProducts[[#Headers],[Include or Exclude]], 0,4)</f>
        <v/>
      </c>
      <c r="W128" s="62" t="str" cm="1">
        <f t="array" ref="W128">Common_InputFunctions.Utility_DisplayArrayInTable(Fertiliser_SourceData.Fertiliser_Products_Data1(),FertiliserProducts[[#Headers],[Include or Exclude]], 0,4)</f>
        <v/>
      </c>
      <c r="X128" s="62" t="str" cm="1">
        <f t="array" ref="X128">Common_InputFunctions.Utility_DisplayArrayInTable(Fertiliser_SourceData.Fertiliser_Products_Data1(),FertiliserProducts[[#Headers],[Include or Exclude]], 0,4)</f>
        <v/>
      </c>
      <c r="Y128" s="62" t="str" cm="1">
        <f t="array" ref="Y128">Common_InputFunctions.Utility_DisplayArrayInTable(Fertiliser_SourceData.Fertiliser_Products_Data1(),FertiliserProducts[[#Headers],[Include or Exclude]], 0,4)</f>
        <v/>
      </c>
      <c r="Z128" s="62" t="str" cm="1">
        <f t="array" ref="Z128">Common_InputFunctions.Utility_DisplayArrayInTable(Fertiliser_SourceData.Fertiliser_Products_Data1(),FertiliserProducts[[#Headers],[Include or Exclude]], 0,4)</f>
        <v/>
      </c>
      <c r="AA128" s="62" t="str" cm="1">
        <f t="array" ref="AA128">Common_InputFunctions.Utility_DisplayArrayInTable(Fertiliser_SourceData.Fertiliser_Products_Data1(),FertiliserProducts[[#Headers],[Include or Exclude]], 0,4)</f>
        <v/>
      </c>
      <c r="AB128" s="62" t="str" cm="1">
        <f t="array" ref="AB128">Common_InputFunctions.Utility_DisplayArrayInTable(Fertiliser_SourceData.Fertiliser_Products_Data1(),FertiliserProducts[[#Headers],[Include or Exclude]], 0,4)</f>
        <v/>
      </c>
      <c r="AC128" s="62" t="str" cm="1">
        <f t="array" ref="AC128">Common_InputFunctions.Utility_DisplayArrayInTable(Fertiliser_SourceData.Fertiliser_Products_Data1(),FertiliserProducts[[#Headers],[Include or Exclude]], 0,4)</f>
        <v/>
      </c>
      <c r="AD128" s="62" t="str" cm="1">
        <f t="array" ref="AD128">Common_InputFunctions.Utility_DisplayArrayInTable(Fertiliser_SourceData.Fertiliser_Products_Data1(),FertiliserProducts[[#Headers],[Include or Exclude]], 0,4)</f>
        <v/>
      </c>
      <c r="AE128" s="62" t="str" cm="1">
        <f t="array" ref="AE128">Common_InputFunctions.Utility_DisplayArrayInTable(Fertiliser_SourceData.Fertiliser_Products_Data1(),FertiliserProducts[[#Headers],[Include or Exclude]], 0,4)</f>
        <v/>
      </c>
    </row>
    <row r="129" spans="1:31" ht="20.100000000000001" customHeight="1" x14ac:dyDescent="0.25">
      <c r="A129"/>
      <c r="D129" s="62" t="str" cm="1">
        <f t="array" ref="D129">Common_InputFunctions.Utility_DisplayArrayInTable(Fertiliser_SourceData.Fertiliser_Products_Data1(),FertiliserProducts[[#Headers],[Include or Exclude]], -1)</f>
        <v/>
      </c>
      <c r="E129" s="62" t="str" cm="1">
        <f t="array" ref="E129">Common_InputFunctions.Utility_DisplayArrayInTable(Fertiliser_SourceData.Fertiliser_Products_Data1(),FertiliserProducts[[#Headers],[Include or Exclude]], 0)</f>
        <v/>
      </c>
      <c r="F129" s="62" t="str" cm="1">
        <f t="array" ref="F129">Common_InputFunctions.Utility_DisplayArrayInTable(Fertiliser_SourceData.Fertiliser_Products_Data1(),FertiliserProducts[[#Headers],[Include or Exclude]], 0)</f>
        <v/>
      </c>
      <c r="G129" s="62" t="str" cm="1">
        <f t="array" ref="G129">Common_InputFunctions.Utility_DisplayArrayInTable(Fertiliser_SourceData.Fertiliser_Products_Data1(),FertiliserProducts[[#Headers],[Include or Exclude]], 0)</f>
        <v/>
      </c>
      <c r="H129" s="62" t="str" cm="1">
        <f t="array" ref="H129">Common_InputFunctions.Utility_DisplayArrayInTable(Fertiliser_SourceData.Fertiliser_Products_Data1(),FertiliserProducts[[#Headers],[Include or Exclude]], 0,4)</f>
        <v/>
      </c>
      <c r="I129" s="62" t="str" cm="1">
        <f t="array" ref="I129">Common_InputFunctions.Utility_DisplayArrayInTable(Fertiliser_SourceData.Fertiliser_Products_Data1(),FertiliserProducts[[#Headers],[Include or Exclude]], 0,4)</f>
        <v/>
      </c>
      <c r="J129" s="62" t="str" cm="1">
        <f t="array" ref="J129">Common_InputFunctions.Utility_DisplayArrayInTable(Fertiliser_SourceData.Fertiliser_Products_Data1(),FertiliserProducts[[#Headers],[Include or Exclude]], 0,4)</f>
        <v/>
      </c>
      <c r="K129" s="62" t="str" cm="1">
        <f t="array" ref="K129">Common_InputFunctions.Utility_DisplayArrayInTable(Fertiliser_SourceData.Fertiliser_Products_Data1(),FertiliserProducts[[#Headers],[Include or Exclude]], 0,4)</f>
        <v/>
      </c>
      <c r="L129" s="62" t="str" cm="1">
        <f t="array" ref="L129">Common_InputFunctions.Utility_DisplayArrayInTable(Fertiliser_SourceData.Fertiliser_Products_Data1(),FertiliserProducts[[#Headers],[Include or Exclude]], 0,4)</f>
        <v/>
      </c>
      <c r="M129" s="62" t="str" cm="1">
        <f t="array" ref="M129">Common_InputFunctions.Utility_DisplayArrayInTable(Fertiliser_SourceData.Fertiliser_Products_Data1(),FertiliserProducts[[#Headers],[Include or Exclude]], 0,4)</f>
        <v/>
      </c>
      <c r="N129" s="62" t="str" cm="1">
        <f t="array" ref="N129">Common_InputFunctions.Utility_DisplayArrayInTable(Fertiliser_SourceData.Fertiliser_Products_Data1(),FertiliserProducts[[#Headers],[Include or Exclude]], 0,4)</f>
        <v/>
      </c>
      <c r="O129" s="62" t="str" cm="1">
        <f t="array" ref="O129">Common_InputFunctions.Utility_DisplayArrayInTable(Fertiliser_SourceData.Fertiliser_Products_Data1(),FertiliserProducts[[#Headers],[Include or Exclude]], 0,4)</f>
        <v/>
      </c>
      <c r="P129" s="62" t="str" cm="1">
        <f t="array" ref="P129">Common_InputFunctions.Utility_DisplayArrayInTable(Fertiliser_SourceData.Fertiliser_Products_Data1(),FertiliserProducts[[#Headers],[Include or Exclude]], 0,4)</f>
        <v/>
      </c>
      <c r="Q129" s="62" t="str" cm="1">
        <f t="array" ref="Q129">Common_InputFunctions.Utility_DisplayArrayInTable(Fertiliser_SourceData.Fertiliser_Products_Data1(),FertiliserProducts[[#Headers],[Include or Exclude]], 0,4)</f>
        <v/>
      </c>
      <c r="R129" s="62" t="str" cm="1">
        <f t="array" ref="R129">Common_InputFunctions.Utility_DisplayArrayInTable(Fertiliser_SourceData.Fertiliser_Products_Data1(),FertiliserProducts[[#Headers],[Include or Exclude]], 0,4)</f>
        <v/>
      </c>
      <c r="S129" s="62" t="str" cm="1">
        <f t="array" ref="S129">Common_InputFunctions.Utility_DisplayArrayInTable(Fertiliser_SourceData.Fertiliser_Products_Data1(),FertiliserProducts[[#Headers],[Include or Exclude]], 0,4)</f>
        <v/>
      </c>
      <c r="T129" s="62" t="str" cm="1">
        <f t="array" ref="T129">Common_InputFunctions.Utility_DisplayArrayInTable(Fertiliser_SourceData.Fertiliser_Products_Data1(),FertiliserProducts[[#Headers],[Include or Exclude]], 0,4)</f>
        <v/>
      </c>
      <c r="U129" s="62" t="str" cm="1">
        <f t="array" ref="U129">Common_InputFunctions.Utility_DisplayArrayInTable(Fertiliser_SourceData.Fertiliser_Products_Data1(),FertiliserProducts[[#Headers],[Include or Exclude]], 0,4)</f>
        <v/>
      </c>
      <c r="V129" s="62" t="str" cm="1">
        <f t="array" ref="V129">Common_InputFunctions.Utility_DisplayArrayInTable(Fertiliser_SourceData.Fertiliser_Products_Data1(),FertiliserProducts[[#Headers],[Include or Exclude]], 0,4)</f>
        <v/>
      </c>
      <c r="W129" s="62" t="str" cm="1">
        <f t="array" ref="W129">Common_InputFunctions.Utility_DisplayArrayInTable(Fertiliser_SourceData.Fertiliser_Products_Data1(),FertiliserProducts[[#Headers],[Include or Exclude]], 0,4)</f>
        <v/>
      </c>
      <c r="X129" s="62" t="str" cm="1">
        <f t="array" ref="X129">Common_InputFunctions.Utility_DisplayArrayInTable(Fertiliser_SourceData.Fertiliser_Products_Data1(),FertiliserProducts[[#Headers],[Include or Exclude]], 0,4)</f>
        <v/>
      </c>
      <c r="Y129" s="62" t="str" cm="1">
        <f t="array" ref="Y129">Common_InputFunctions.Utility_DisplayArrayInTable(Fertiliser_SourceData.Fertiliser_Products_Data1(),FertiliserProducts[[#Headers],[Include or Exclude]], 0,4)</f>
        <v/>
      </c>
      <c r="Z129" s="62" t="str" cm="1">
        <f t="array" ref="Z129">Common_InputFunctions.Utility_DisplayArrayInTable(Fertiliser_SourceData.Fertiliser_Products_Data1(),FertiliserProducts[[#Headers],[Include or Exclude]], 0,4)</f>
        <v/>
      </c>
      <c r="AA129" s="62" t="str" cm="1">
        <f t="array" ref="AA129">Common_InputFunctions.Utility_DisplayArrayInTable(Fertiliser_SourceData.Fertiliser_Products_Data1(),FertiliserProducts[[#Headers],[Include or Exclude]], 0,4)</f>
        <v/>
      </c>
      <c r="AB129" s="62" t="str" cm="1">
        <f t="array" ref="AB129">Common_InputFunctions.Utility_DisplayArrayInTable(Fertiliser_SourceData.Fertiliser_Products_Data1(),FertiliserProducts[[#Headers],[Include or Exclude]], 0,4)</f>
        <v/>
      </c>
      <c r="AC129" s="62" t="str" cm="1">
        <f t="array" ref="AC129">Common_InputFunctions.Utility_DisplayArrayInTable(Fertiliser_SourceData.Fertiliser_Products_Data1(),FertiliserProducts[[#Headers],[Include or Exclude]], 0,4)</f>
        <v/>
      </c>
      <c r="AD129" s="62" t="str" cm="1">
        <f t="array" ref="AD129">Common_InputFunctions.Utility_DisplayArrayInTable(Fertiliser_SourceData.Fertiliser_Products_Data1(),FertiliserProducts[[#Headers],[Include or Exclude]], 0,4)</f>
        <v/>
      </c>
      <c r="AE129" s="62" t="str" cm="1">
        <f t="array" ref="AE129">Common_InputFunctions.Utility_DisplayArrayInTable(Fertiliser_SourceData.Fertiliser_Products_Data1(),FertiliserProducts[[#Headers],[Include or Exclude]], 0,4)</f>
        <v/>
      </c>
    </row>
    <row r="130" spans="1:31" ht="20.100000000000001" customHeight="1" x14ac:dyDescent="0.25">
      <c r="A130"/>
      <c r="D130" s="62" t="str" cm="1">
        <f t="array" ref="D130">Common_InputFunctions.Utility_DisplayArrayInTable(Fertiliser_SourceData.Fertiliser_Products_Data1(),FertiliserProducts[[#Headers],[Include or Exclude]], -1)</f>
        <v/>
      </c>
      <c r="E130" s="62" t="str" cm="1">
        <f t="array" ref="E130">Common_InputFunctions.Utility_DisplayArrayInTable(Fertiliser_SourceData.Fertiliser_Products_Data1(),FertiliserProducts[[#Headers],[Include or Exclude]], 0)</f>
        <v/>
      </c>
      <c r="F130" s="62" t="str" cm="1">
        <f t="array" ref="F130">Common_InputFunctions.Utility_DisplayArrayInTable(Fertiliser_SourceData.Fertiliser_Products_Data1(),FertiliserProducts[[#Headers],[Include or Exclude]], 0)</f>
        <v/>
      </c>
      <c r="G130" s="62" t="str" cm="1">
        <f t="array" ref="G130">Common_InputFunctions.Utility_DisplayArrayInTable(Fertiliser_SourceData.Fertiliser_Products_Data1(),FertiliserProducts[[#Headers],[Include or Exclude]], 0)</f>
        <v/>
      </c>
      <c r="H130" s="62" t="str" cm="1">
        <f t="array" ref="H130">Common_InputFunctions.Utility_DisplayArrayInTable(Fertiliser_SourceData.Fertiliser_Products_Data1(),FertiliserProducts[[#Headers],[Include or Exclude]], 0,4)</f>
        <v/>
      </c>
      <c r="I130" s="62" t="str" cm="1">
        <f t="array" ref="I130">Common_InputFunctions.Utility_DisplayArrayInTable(Fertiliser_SourceData.Fertiliser_Products_Data1(),FertiliserProducts[[#Headers],[Include or Exclude]], 0,4)</f>
        <v/>
      </c>
      <c r="J130" s="62" t="str" cm="1">
        <f t="array" ref="J130">Common_InputFunctions.Utility_DisplayArrayInTable(Fertiliser_SourceData.Fertiliser_Products_Data1(),FertiliserProducts[[#Headers],[Include or Exclude]], 0,4)</f>
        <v/>
      </c>
      <c r="K130" s="62" t="str" cm="1">
        <f t="array" ref="K130">Common_InputFunctions.Utility_DisplayArrayInTable(Fertiliser_SourceData.Fertiliser_Products_Data1(),FertiliserProducts[[#Headers],[Include or Exclude]], 0,4)</f>
        <v/>
      </c>
      <c r="L130" s="62" t="str" cm="1">
        <f t="array" ref="L130">Common_InputFunctions.Utility_DisplayArrayInTable(Fertiliser_SourceData.Fertiliser_Products_Data1(),FertiliserProducts[[#Headers],[Include or Exclude]], 0,4)</f>
        <v/>
      </c>
      <c r="M130" s="62" t="str" cm="1">
        <f t="array" ref="M130">Common_InputFunctions.Utility_DisplayArrayInTable(Fertiliser_SourceData.Fertiliser_Products_Data1(),FertiliserProducts[[#Headers],[Include or Exclude]], 0,4)</f>
        <v/>
      </c>
      <c r="N130" s="62" t="str" cm="1">
        <f t="array" ref="N130">Common_InputFunctions.Utility_DisplayArrayInTable(Fertiliser_SourceData.Fertiliser_Products_Data1(),FertiliserProducts[[#Headers],[Include or Exclude]], 0,4)</f>
        <v/>
      </c>
      <c r="O130" s="62" t="str" cm="1">
        <f t="array" ref="O130">Common_InputFunctions.Utility_DisplayArrayInTable(Fertiliser_SourceData.Fertiliser_Products_Data1(),FertiliserProducts[[#Headers],[Include or Exclude]], 0,4)</f>
        <v/>
      </c>
      <c r="P130" s="62" t="str" cm="1">
        <f t="array" ref="P130">Common_InputFunctions.Utility_DisplayArrayInTable(Fertiliser_SourceData.Fertiliser_Products_Data1(),FertiliserProducts[[#Headers],[Include or Exclude]], 0,4)</f>
        <v/>
      </c>
      <c r="Q130" s="62" t="str" cm="1">
        <f t="array" ref="Q130">Common_InputFunctions.Utility_DisplayArrayInTable(Fertiliser_SourceData.Fertiliser_Products_Data1(),FertiliserProducts[[#Headers],[Include or Exclude]], 0,4)</f>
        <v/>
      </c>
      <c r="R130" s="62" t="str" cm="1">
        <f t="array" ref="R130">Common_InputFunctions.Utility_DisplayArrayInTable(Fertiliser_SourceData.Fertiliser_Products_Data1(),FertiliserProducts[[#Headers],[Include or Exclude]], 0,4)</f>
        <v/>
      </c>
      <c r="S130" s="62" t="str" cm="1">
        <f t="array" ref="S130">Common_InputFunctions.Utility_DisplayArrayInTable(Fertiliser_SourceData.Fertiliser_Products_Data1(),FertiliserProducts[[#Headers],[Include or Exclude]], 0,4)</f>
        <v/>
      </c>
      <c r="T130" s="62" t="str" cm="1">
        <f t="array" ref="T130">Common_InputFunctions.Utility_DisplayArrayInTable(Fertiliser_SourceData.Fertiliser_Products_Data1(),FertiliserProducts[[#Headers],[Include or Exclude]], 0,4)</f>
        <v/>
      </c>
      <c r="U130" s="62" t="str" cm="1">
        <f t="array" ref="U130">Common_InputFunctions.Utility_DisplayArrayInTable(Fertiliser_SourceData.Fertiliser_Products_Data1(),FertiliserProducts[[#Headers],[Include or Exclude]], 0,4)</f>
        <v/>
      </c>
      <c r="V130" s="62" t="str" cm="1">
        <f t="array" ref="V130">Common_InputFunctions.Utility_DisplayArrayInTable(Fertiliser_SourceData.Fertiliser_Products_Data1(),FertiliserProducts[[#Headers],[Include or Exclude]], 0,4)</f>
        <v/>
      </c>
      <c r="W130" s="62" t="str" cm="1">
        <f t="array" ref="W130">Common_InputFunctions.Utility_DisplayArrayInTable(Fertiliser_SourceData.Fertiliser_Products_Data1(),FertiliserProducts[[#Headers],[Include or Exclude]], 0,4)</f>
        <v/>
      </c>
      <c r="X130" s="62" t="str" cm="1">
        <f t="array" ref="X130">Common_InputFunctions.Utility_DisplayArrayInTable(Fertiliser_SourceData.Fertiliser_Products_Data1(),FertiliserProducts[[#Headers],[Include or Exclude]], 0,4)</f>
        <v/>
      </c>
      <c r="Y130" s="62" t="str" cm="1">
        <f t="array" ref="Y130">Common_InputFunctions.Utility_DisplayArrayInTable(Fertiliser_SourceData.Fertiliser_Products_Data1(),FertiliserProducts[[#Headers],[Include or Exclude]], 0,4)</f>
        <v/>
      </c>
      <c r="Z130" s="62" t="str" cm="1">
        <f t="array" ref="Z130">Common_InputFunctions.Utility_DisplayArrayInTable(Fertiliser_SourceData.Fertiliser_Products_Data1(),FertiliserProducts[[#Headers],[Include or Exclude]], 0,4)</f>
        <v/>
      </c>
      <c r="AA130" s="62" t="str" cm="1">
        <f t="array" ref="AA130">Common_InputFunctions.Utility_DisplayArrayInTable(Fertiliser_SourceData.Fertiliser_Products_Data1(),FertiliserProducts[[#Headers],[Include or Exclude]], 0,4)</f>
        <v/>
      </c>
      <c r="AB130" s="62" t="str" cm="1">
        <f t="array" ref="AB130">Common_InputFunctions.Utility_DisplayArrayInTable(Fertiliser_SourceData.Fertiliser_Products_Data1(),FertiliserProducts[[#Headers],[Include or Exclude]], 0,4)</f>
        <v/>
      </c>
      <c r="AC130" s="62" t="str" cm="1">
        <f t="array" ref="AC130">Common_InputFunctions.Utility_DisplayArrayInTable(Fertiliser_SourceData.Fertiliser_Products_Data1(),FertiliserProducts[[#Headers],[Include or Exclude]], 0,4)</f>
        <v/>
      </c>
      <c r="AD130" s="62" t="str" cm="1">
        <f t="array" ref="AD130">Common_InputFunctions.Utility_DisplayArrayInTable(Fertiliser_SourceData.Fertiliser_Products_Data1(),FertiliserProducts[[#Headers],[Include or Exclude]], 0,4)</f>
        <v/>
      </c>
      <c r="AE130" s="62" t="str" cm="1">
        <f t="array" ref="AE130">Common_InputFunctions.Utility_DisplayArrayInTable(Fertiliser_SourceData.Fertiliser_Products_Data1(),FertiliserProducts[[#Headers],[Include or Exclude]], 0,4)</f>
        <v/>
      </c>
    </row>
    <row r="131" spans="1:31" ht="20.100000000000001" customHeight="1" x14ac:dyDescent="0.25">
      <c r="A131"/>
      <c r="D131" s="62" t="str" cm="1">
        <f t="array" ref="D131">Common_InputFunctions.Utility_DisplayArrayInTable(Fertiliser_SourceData.Fertiliser_Products_Data1(),FertiliserProducts[[#Headers],[Include or Exclude]], -1)</f>
        <v/>
      </c>
      <c r="E131" s="62" t="str" cm="1">
        <f t="array" ref="E131">Common_InputFunctions.Utility_DisplayArrayInTable(Fertiliser_SourceData.Fertiliser_Products_Data1(),FertiliserProducts[[#Headers],[Include or Exclude]], 0)</f>
        <v/>
      </c>
      <c r="F131" s="62" t="str" cm="1">
        <f t="array" ref="F131">Common_InputFunctions.Utility_DisplayArrayInTable(Fertiliser_SourceData.Fertiliser_Products_Data1(),FertiliserProducts[[#Headers],[Include or Exclude]], 0)</f>
        <v/>
      </c>
      <c r="G131" s="62" t="str" cm="1">
        <f t="array" ref="G131">Common_InputFunctions.Utility_DisplayArrayInTable(Fertiliser_SourceData.Fertiliser_Products_Data1(),FertiliserProducts[[#Headers],[Include or Exclude]], 0)</f>
        <v/>
      </c>
      <c r="H131" s="62" t="str" cm="1">
        <f t="array" ref="H131">Common_InputFunctions.Utility_DisplayArrayInTable(Fertiliser_SourceData.Fertiliser_Products_Data1(),FertiliserProducts[[#Headers],[Include or Exclude]], 0,4)</f>
        <v/>
      </c>
      <c r="I131" s="62" t="str" cm="1">
        <f t="array" ref="I131">Common_InputFunctions.Utility_DisplayArrayInTable(Fertiliser_SourceData.Fertiliser_Products_Data1(),FertiliserProducts[[#Headers],[Include or Exclude]], 0,4)</f>
        <v/>
      </c>
      <c r="J131" s="62" t="str" cm="1">
        <f t="array" ref="J131">Common_InputFunctions.Utility_DisplayArrayInTable(Fertiliser_SourceData.Fertiliser_Products_Data1(),FertiliserProducts[[#Headers],[Include or Exclude]], 0,4)</f>
        <v/>
      </c>
      <c r="K131" s="62" t="str" cm="1">
        <f t="array" ref="K131">Common_InputFunctions.Utility_DisplayArrayInTable(Fertiliser_SourceData.Fertiliser_Products_Data1(),FertiliserProducts[[#Headers],[Include or Exclude]], 0,4)</f>
        <v/>
      </c>
      <c r="L131" s="62" t="str" cm="1">
        <f t="array" ref="L131">Common_InputFunctions.Utility_DisplayArrayInTable(Fertiliser_SourceData.Fertiliser_Products_Data1(),FertiliserProducts[[#Headers],[Include or Exclude]], 0,4)</f>
        <v/>
      </c>
      <c r="M131" s="62" t="str" cm="1">
        <f t="array" ref="M131">Common_InputFunctions.Utility_DisplayArrayInTable(Fertiliser_SourceData.Fertiliser_Products_Data1(),FertiliserProducts[[#Headers],[Include or Exclude]], 0,4)</f>
        <v/>
      </c>
      <c r="N131" s="62" t="str" cm="1">
        <f t="array" ref="N131">Common_InputFunctions.Utility_DisplayArrayInTable(Fertiliser_SourceData.Fertiliser_Products_Data1(),FertiliserProducts[[#Headers],[Include or Exclude]], 0,4)</f>
        <v/>
      </c>
      <c r="O131" s="62" t="str" cm="1">
        <f t="array" ref="O131">Common_InputFunctions.Utility_DisplayArrayInTable(Fertiliser_SourceData.Fertiliser_Products_Data1(),FertiliserProducts[[#Headers],[Include or Exclude]], 0,4)</f>
        <v/>
      </c>
      <c r="P131" s="62" t="str" cm="1">
        <f t="array" ref="P131">Common_InputFunctions.Utility_DisplayArrayInTable(Fertiliser_SourceData.Fertiliser_Products_Data1(),FertiliserProducts[[#Headers],[Include or Exclude]], 0,4)</f>
        <v/>
      </c>
      <c r="Q131" s="62" t="str" cm="1">
        <f t="array" ref="Q131">Common_InputFunctions.Utility_DisplayArrayInTable(Fertiliser_SourceData.Fertiliser_Products_Data1(),FertiliserProducts[[#Headers],[Include or Exclude]], 0,4)</f>
        <v/>
      </c>
      <c r="R131" s="62" t="str" cm="1">
        <f t="array" ref="R131">Common_InputFunctions.Utility_DisplayArrayInTable(Fertiliser_SourceData.Fertiliser_Products_Data1(),FertiliserProducts[[#Headers],[Include or Exclude]], 0,4)</f>
        <v/>
      </c>
      <c r="S131" s="62" t="str" cm="1">
        <f t="array" ref="S131">Common_InputFunctions.Utility_DisplayArrayInTable(Fertiliser_SourceData.Fertiliser_Products_Data1(),FertiliserProducts[[#Headers],[Include or Exclude]], 0,4)</f>
        <v/>
      </c>
      <c r="T131" s="62" t="str" cm="1">
        <f t="array" ref="T131">Common_InputFunctions.Utility_DisplayArrayInTable(Fertiliser_SourceData.Fertiliser_Products_Data1(),FertiliserProducts[[#Headers],[Include or Exclude]], 0,4)</f>
        <v/>
      </c>
      <c r="U131" s="62" t="str" cm="1">
        <f t="array" ref="U131">Common_InputFunctions.Utility_DisplayArrayInTable(Fertiliser_SourceData.Fertiliser_Products_Data1(),FertiliserProducts[[#Headers],[Include or Exclude]], 0,4)</f>
        <v/>
      </c>
      <c r="V131" s="62" t="str" cm="1">
        <f t="array" ref="V131">Common_InputFunctions.Utility_DisplayArrayInTable(Fertiliser_SourceData.Fertiliser_Products_Data1(),FertiliserProducts[[#Headers],[Include or Exclude]], 0,4)</f>
        <v/>
      </c>
      <c r="W131" s="62" t="str" cm="1">
        <f t="array" ref="W131">Common_InputFunctions.Utility_DisplayArrayInTable(Fertiliser_SourceData.Fertiliser_Products_Data1(),FertiliserProducts[[#Headers],[Include or Exclude]], 0,4)</f>
        <v/>
      </c>
      <c r="X131" s="62" t="str" cm="1">
        <f t="array" ref="X131">Common_InputFunctions.Utility_DisplayArrayInTable(Fertiliser_SourceData.Fertiliser_Products_Data1(),FertiliserProducts[[#Headers],[Include or Exclude]], 0,4)</f>
        <v/>
      </c>
      <c r="Y131" s="62" t="str" cm="1">
        <f t="array" ref="Y131">Common_InputFunctions.Utility_DisplayArrayInTable(Fertiliser_SourceData.Fertiliser_Products_Data1(),FertiliserProducts[[#Headers],[Include or Exclude]], 0,4)</f>
        <v/>
      </c>
      <c r="Z131" s="62" t="str" cm="1">
        <f t="array" ref="Z131">Common_InputFunctions.Utility_DisplayArrayInTable(Fertiliser_SourceData.Fertiliser_Products_Data1(),FertiliserProducts[[#Headers],[Include or Exclude]], 0,4)</f>
        <v/>
      </c>
      <c r="AA131" s="62" t="str" cm="1">
        <f t="array" ref="AA131">Common_InputFunctions.Utility_DisplayArrayInTable(Fertiliser_SourceData.Fertiliser_Products_Data1(),FertiliserProducts[[#Headers],[Include or Exclude]], 0,4)</f>
        <v/>
      </c>
      <c r="AB131" s="62" t="str" cm="1">
        <f t="array" ref="AB131">Common_InputFunctions.Utility_DisplayArrayInTable(Fertiliser_SourceData.Fertiliser_Products_Data1(),FertiliserProducts[[#Headers],[Include or Exclude]], 0,4)</f>
        <v/>
      </c>
      <c r="AC131" s="62" t="str" cm="1">
        <f t="array" ref="AC131">Common_InputFunctions.Utility_DisplayArrayInTable(Fertiliser_SourceData.Fertiliser_Products_Data1(),FertiliserProducts[[#Headers],[Include or Exclude]], 0,4)</f>
        <v/>
      </c>
      <c r="AD131" s="62" t="str" cm="1">
        <f t="array" ref="AD131">Common_InputFunctions.Utility_DisplayArrayInTable(Fertiliser_SourceData.Fertiliser_Products_Data1(),FertiliserProducts[[#Headers],[Include or Exclude]], 0,4)</f>
        <v/>
      </c>
      <c r="AE131" s="62" t="str" cm="1">
        <f t="array" ref="AE131">Common_InputFunctions.Utility_DisplayArrayInTable(Fertiliser_SourceData.Fertiliser_Products_Data1(),FertiliserProducts[[#Headers],[Include or Exclude]], 0,4)</f>
        <v/>
      </c>
    </row>
    <row r="132" spans="1:31" ht="20.100000000000001" customHeight="1" x14ac:dyDescent="0.25">
      <c r="A132"/>
      <c r="D132" s="62" t="str" cm="1">
        <f t="array" ref="D132">Common_InputFunctions.Utility_DisplayArrayInTable(Fertiliser_SourceData.Fertiliser_Products_Data1(),FertiliserProducts[[#Headers],[Include or Exclude]], -1)</f>
        <v/>
      </c>
      <c r="E132" s="62" t="str" cm="1">
        <f t="array" ref="E132">Common_InputFunctions.Utility_DisplayArrayInTable(Fertiliser_SourceData.Fertiliser_Products_Data1(),FertiliserProducts[[#Headers],[Include or Exclude]], 0)</f>
        <v/>
      </c>
      <c r="F132" s="62" t="str" cm="1">
        <f t="array" ref="F132">Common_InputFunctions.Utility_DisplayArrayInTable(Fertiliser_SourceData.Fertiliser_Products_Data1(),FertiliserProducts[[#Headers],[Include or Exclude]], 0)</f>
        <v/>
      </c>
      <c r="G132" s="62" t="str" cm="1">
        <f t="array" ref="G132">Common_InputFunctions.Utility_DisplayArrayInTable(Fertiliser_SourceData.Fertiliser_Products_Data1(),FertiliserProducts[[#Headers],[Include or Exclude]], 0)</f>
        <v/>
      </c>
      <c r="H132" s="62" t="str" cm="1">
        <f t="array" ref="H132">Common_InputFunctions.Utility_DisplayArrayInTable(Fertiliser_SourceData.Fertiliser_Products_Data1(),FertiliserProducts[[#Headers],[Include or Exclude]], 0,4)</f>
        <v/>
      </c>
      <c r="I132" s="62" t="str" cm="1">
        <f t="array" ref="I132">Common_InputFunctions.Utility_DisplayArrayInTable(Fertiliser_SourceData.Fertiliser_Products_Data1(),FertiliserProducts[[#Headers],[Include or Exclude]], 0,4)</f>
        <v/>
      </c>
      <c r="J132" s="62" t="str" cm="1">
        <f t="array" ref="J132">Common_InputFunctions.Utility_DisplayArrayInTable(Fertiliser_SourceData.Fertiliser_Products_Data1(),FertiliserProducts[[#Headers],[Include or Exclude]], 0,4)</f>
        <v/>
      </c>
      <c r="K132" s="62" t="str" cm="1">
        <f t="array" ref="K132">Common_InputFunctions.Utility_DisplayArrayInTable(Fertiliser_SourceData.Fertiliser_Products_Data1(),FertiliserProducts[[#Headers],[Include or Exclude]], 0,4)</f>
        <v/>
      </c>
      <c r="L132" s="62" t="str" cm="1">
        <f t="array" ref="L132">Common_InputFunctions.Utility_DisplayArrayInTable(Fertiliser_SourceData.Fertiliser_Products_Data1(),FertiliserProducts[[#Headers],[Include or Exclude]], 0,4)</f>
        <v/>
      </c>
      <c r="M132" s="62" t="str" cm="1">
        <f t="array" ref="M132">Common_InputFunctions.Utility_DisplayArrayInTable(Fertiliser_SourceData.Fertiliser_Products_Data1(),FertiliserProducts[[#Headers],[Include or Exclude]], 0,4)</f>
        <v/>
      </c>
      <c r="N132" s="62" t="str" cm="1">
        <f t="array" ref="N132">Common_InputFunctions.Utility_DisplayArrayInTable(Fertiliser_SourceData.Fertiliser_Products_Data1(),FertiliserProducts[[#Headers],[Include or Exclude]], 0,4)</f>
        <v/>
      </c>
      <c r="O132" s="62" t="str" cm="1">
        <f t="array" ref="O132">Common_InputFunctions.Utility_DisplayArrayInTable(Fertiliser_SourceData.Fertiliser_Products_Data1(),FertiliserProducts[[#Headers],[Include or Exclude]], 0,4)</f>
        <v/>
      </c>
      <c r="P132" s="62" t="str" cm="1">
        <f t="array" ref="P132">Common_InputFunctions.Utility_DisplayArrayInTable(Fertiliser_SourceData.Fertiliser_Products_Data1(),FertiliserProducts[[#Headers],[Include or Exclude]], 0,4)</f>
        <v/>
      </c>
      <c r="Q132" s="62" t="str" cm="1">
        <f t="array" ref="Q132">Common_InputFunctions.Utility_DisplayArrayInTable(Fertiliser_SourceData.Fertiliser_Products_Data1(),FertiliserProducts[[#Headers],[Include or Exclude]], 0,4)</f>
        <v/>
      </c>
      <c r="R132" s="62" t="str" cm="1">
        <f t="array" ref="R132">Common_InputFunctions.Utility_DisplayArrayInTable(Fertiliser_SourceData.Fertiliser_Products_Data1(),FertiliserProducts[[#Headers],[Include or Exclude]], 0,4)</f>
        <v/>
      </c>
      <c r="S132" s="62" t="str" cm="1">
        <f t="array" ref="S132">Common_InputFunctions.Utility_DisplayArrayInTable(Fertiliser_SourceData.Fertiliser_Products_Data1(),FertiliserProducts[[#Headers],[Include or Exclude]], 0,4)</f>
        <v/>
      </c>
      <c r="T132" s="62" t="str" cm="1">
        <f t="array" ref="T132">Common_InputFunctions.Utility_DisplayArrayInTable(Fertiliser_SourceData.Fertiliser_Products_Data1(),FertiliserProducts[[#Headers],[Include or Exclude]], 0,4)</f>
        <v/>
      </c>
      <c r="U132" s="62" t="str" cm="1">
        <f t="array" ref="U132">Common_InputFunctions.Utility_DisplayArrayInTable(Fertiliser_SourceData.Fertiliser_Products_Data1(),FertiliserProducts[[#Headers],[Include or Exclude]], 0,4)</f>
        <v/>
      </c>
      <c r="V132" s="62" t="str" cm="1">
        <f t="array" ref="V132">Common_InputFunctions.Utility_DisplayArrayInTable(Fertiliser_SourceData.Fertiliser_Products_Data1(),FertiliserProducts[[#Headers],[Include or Exclude]], 0,4)</f>
        <v/>
      </c>
      <c r="W132" s="62" t="str" cm="1">
        <f t="array" ref="W132">Common_InputFunctions.Utility_DisplayArrayInTable(Fertiliser_SourceData.Fertiliser_Products_Data1(),FertiliserProducts[[#Headers],[Include or Exclude]], 0,4)</f>
        <v/>
      </c>
      <c r="X132" s="62" t="str" cm="1">
        <f t="array" ref="X132">Common_InputFunctions.Utility_DisplayArrayInTable(Fertiliser_SourceData.Fertiliser_Products_Data1(),FertiliserProducts[[#Headers],[Include or Exclude]], 0,4)</f>
        <v/>
      </c>
      <c r="Y132" s="62" t="str" cm="1">
        <f t="array" ref="Y132">Common_InputFunctions.Utility_DisplayArrayInTable(Fertiliser_SourceData.Fertiliser_Products_Data1(),FertiliserProducts[[#Headers],[Include or Exclude]], 0,4)</f>
        <v/>
      </c>
      <c r="Z132" s="62" t="str" cm="1">
        <f t="array" ref="Z132">Common_InputFunctions.Utility_DisplayArrayInTable(Fertiliser_SourceData.Fertiliser_Products_Data1(),FertiliserProducts[[#Headers],[Include or Exclude]], 0,4)</f>
        <v/>
      </c>
      <c r="AA132" s="62" t="str" cm="1">
        <f t="array" ref="AA132">Common_InputFunctions.Utility_DisplayArrayInTable(Fertiliser_SourceData.Fertiliser_Products_Data1(),FertiliserProducts[[#Headers],[Include or Exclude]], 0,4)</f>
        <v/>
      </c>
      <c r="AB132" s="62" t="str" cm="1">
        <f t="array" ref="AB132">Common_InputFunctions.Utility_DisplayArrayInTable(Fertiliser_SourceData.Fertiliser_Products_Data1(),FertiliserProducts[[#Headers],[Include or Exclude]], 0,4)</f>
        <v/>
      </c>
      <c r="AC132" s="62" t="str" cm="1">
        <f t="array" ref="AC132">Common_InputFunctions.Utility_DisplayArrayInTable(Fertiliser_SourceData.Fertiliser_Products_Data1(),FertiliserProducts[[#Headers],[Include or Exclude]], 0,4)</f>
        <v/>
      </c>
      <c r="AD132" s="62" t="str" cm="1">
        <f t="array" ref="AD132">Common_InputFunctions.Utility_DisplayArrayInTable(Fertiliser_SourceData.Fertiliser_Products_Data1(),FertiliserProducts[[#Headers],[Include or Exclude]], 0,4)</f>
        <v/>
      </c>
      <c r="AE132" s="62" t="str" cm="1">
        <f t="array" ref="AE132">Common_InputFunctions.Utility_DisplayArrayInTable(Fertiliser_SourceData.Fertiliser_Products_Data1(),FertiliserProducts[[#Headers],[Include or Exclude]], 0,4)</f>
        <v/>
      </c>
    </row>
    <row r="133" spans="1:31" ht="20.100000000000001" customHeight="1" x14ac:dyDescent="0.25">
      <c r="A133"/>
      <c r="D133" s="62" t="str" cm="1">
        <f t="array" ref="D133">Common_InputFunctions.Utility_DisplayArrayInTable(Fertiliser_SourceData.Fertiliser_Products_Data1(),FertiliserProducts[[#Headers],[Include or Exclude]], -1)</f>
        <v/>
      </c>
      <c r="E133" s="62" t="str" cm="1">
        <f t="array" ref="E133">Common_InputFunctions.Utility_DisplayArrayInTable(Fertiliser_SourceData.Fertiliser_Products_Data1(),FertiliserProducts[[#Headers],[Include or Exclude]], 0)</f>
        <v/>
      </c>
      <c r="F133" s="62" t="str" cm="1">
        <f t="array" ref="F133">Common_InputFunctions.Utility_DisplayArrayInTable(Fertiliser_SourceData.Fertiliser_Products_Data1(),FertiliserProducts[[#Headers],[Include or Exclude]], 0)</f>
        <v/>
      </c>
      <c r="G133" s="62" t="str" cm="1">
        <f t="array" ref="G133">Common_InputFunctions.Utility_DisplayArrayInTable(Fertiliser_SourceData.Fertiliser_Products_Data1(),FertiliserProducts[[#Headers],[Include or Exclude]], 0)</f>
        <v/>
      </c>
      <c r="H133" s="62" t="str" cm="1">
        <f t="array" ref="H133">Common_InputFunctions.Utility_DisplayArrayInTable(Fertiliser_SourceData.Fertiliser_Products_Data1(),FertiliserProducts[[#Headers],[Include or Exclude]], 0,4)</f>
        <v/>
      </c>
      <c r="I133" s="62" t="str" cm="1">
        <f t="array" ref="I133">Common_InputFunctions.Utility_DisplayArrayInTable(Fertiliser_SourceData.Fertiliser_Products_Data1(),FertiliserProducts[[#Headers],[Include or Exclude]], 0,4)</f>
        <v/>
      </c>
      <c r="J133" s="62" t="str" cm="1">
        <f t="array" ref="J133">Common_InputFunctions.Utility_DisplayArrayInTable(Fertiliser_SourceData.Fertiliser_Products_Data1(),FertiliserProducts[[#Headers],[Include or Exclude]], 0,4)</f>
        <v/>
      </c>
      <c r="K133" s="62" t="str" cm="1">
        <f t="array" ref="K133">Common_InputFunctions.Utility_DisplayArrayInTable(Fertiliser_SourceData.Fertiliser_Products_Data1(),FertiliserProducts[[#Headers],[Include or Exclude]], 0,4)</f>
        <v/>
      </c>
      <c r="L133" s="62" t="str" cm="1">
        <f t="array" ref="L133">Common_InputFunctions.Utility_DisplayArrayInTable(Fertiliser_SourceData.Fertiliser_Products_Data1(),FertiliserProducts[[#Headers],[Include or Exclude]], 0,4)</f>
        <v/>
      </c>
      <c r="M133" s="62" t="str" cm="1">
        <f t="array" ref="M133">Common_InputFunctions.Utility_DisplayArrayInTable(Fertiliser_SourceData.Fertiliser_Products_Data1(),FertiliserProducts[[#Headers],[Include or Exclude]], 0,4)</f>
        <v/>
      </c>
      <c r="N133" s="62" t="str" cm="1">
        <f t="array" ref="N133">Common_InputFunctions.Utility_DisplayArrayInTable(Fertiliser_SourceData.Fertiliser_Products_Data1(),FertiliserProducts[[#Headers],[Include or Exclude]], 0,4)</f>
        <v/>
      </c>
      <c r="O133" s="62" t="str" cm="1">
        <f t="array" ref="O133">Common_InputFunctions.Utility_DisplayArrayInTable(Fertiliser_SourceData.Fertiliser_Products_Data1(),FertiliserProducts[[#Headers],[Include or Exclude]], 0,4)</f>
        <v/>
      </c>
      <c r="P133" s="62" t="str" cm="1">
        <f t="array" ref="P133">Common_InputFunctions.Utility_DisplayArrayInTable(Fertiliser_SourceData.Fertiliser_Products_Data1(),FertiliserProducts[[#Headers],[Include or Exclude]], 0,4)</f>
        <v/>
      </c>
      <c r="Q133" s="62" t="str" cm="1">
        <f t="array" ref="Q133">Common_InputFunctions.Utility_DisplayArrayInTable(Fertiliser_SourceData.Fertiliser_Products_Data1(),FertiliserProducts[[#Headers],[Include or Exclude]], 0,4)</f>
        <v/>
      </c>
      <c r="R133" s="62" t="str" cm="1">
        <f t="array" ref="R133">Common_InputFunctions.Utility_DisplayArrayInTable(Fertiliser_SourceData.Fertiliser_Products_Data1(),FertiliserProducts[[#Headers],[Include or Exclude]], 0,4)</f>
        <v/>
      </c>
      <c r="S133" s="62" t="str" cm="1">
        <f t="array" ref="S133">Common_InputFunctions.Utility_DisplayArrayInTable(Fertiliser_SourceData.Fertiliser_Products_Data1(),FertiliserProducts[[#Headers],[Include or Exclude]], 0,4)</f>
        <v/>
      </c>
      <c r="T133" s="62" t="str" cm="1">
        <f t="array" ref="T133">Common_InputFunctions.Utility_DisplayArrayInTable(Fertiliser_SourceData.Fertiliser_Products_Data1(),FertiliserProducts[[#Headers],[Include or Exclude]], 0,4)</f>
        <v/>
      </c>
      <c r="U133" s="62" t="str" cm="1">
        <f t="array" ref="U133">Common_InputFunctions.Utility_DisplayArrayInTable(Fertiliser_SourceData.Fertiliser_Products_Data1(),FertiliserProducts[[#Headers],[Include or Exclude]], 0,4)</f>
        <v/>
      </c>
      <c r="V133" s="62" t="str" cm="1">
        <f t="array" ref="V133">Common_InputFunctions.Utility_DisplayArrayInTable(Fertiliser_SourceData.Fertiliser_Products_Data1(),FertiliserProducts[[#Headers],[Include or Exclude]], 0,4)</f>
        <v/>
      </c>
      <c r="W133" s="62" t="str" cm="1">
        <f t="array" ref="W133">Common_InputFunctions.Utility_DisplayArrayInTable(Fertiliser_SourceData.Fertiliser_Products_Data1(),FertiliserProducts[[#Headers],[Include or Exclude]], 0,4)</f>
        <v/>
      </c>
      <c r="X133" s="62" t="str" cm="1">
        <f t="array" ref="X133">Common_InputFunctions.Utility_DisplayArrayInTable(Fertiliser_SourceData.Fertiliser_Products_Data1(),FertiliserProducts[[#Headers],[Include or Exclude]], 0,4)</f>
        <v/>
      </c>
      <c r="Y133" s="62" t="str" cm="1">
        <f t="array" ref="Y133">Common_InputFunctions.Utility_DisplayArrayInTable(Fertiliser_SourceData.Fertiliser_Products_Data1(),FertiliserProducts[[#Headers],[Include or Exclude]], 0,4)</f>
        <v/>
      </c>
      <c r="Z133" s="62" t="str" cm="1">
        <f t="array" ref="Z133">Common_InputFunctions.Utility_DisplayArrayInTable(Fertiliser_SourceData.Fertiliser_Products_Data1(),FertiliserProducts[[#Headers],[Include or Exclude]], 0,4)</f>
        <v/>
      </c>
      <c r="AA133" s="62" t="str" cm="1">
        <f t="array" ref="AA133">Common_InputFunctions.Utility_DisplayArrayInTable(Fertiliser_SourceData.Fertiliser_Products_Data1(),FertiliserProducts[[#Headers],[Include or Exclude]], 0,4)</f>
        <v/>
      </c>
      <c r="AB133" s="62" t="str" cm="1">
        <f t="array" ref="AB133">Common_InputFunctions.Utility_DisplayArrayInTable(Fertiliser_SourceData.Fertiliser_Products_Data1(),FertiliserProducts[[#Headers],[Include or Exclude]], 0,4)</f>
        <v/>
      </c>
      <c r="AC133" s="62" t="str" cm="1">
        <f t="array" ref="AC133">Common_InputFunctions.Utility_DisplayArrayInTable(Fertiliser_SourceData.Fertiliser_Products_Data1(),FertiliserProducts[[#Headers],[Include or Exclude]], 0,4)</f>
        <v/>
      </c>
      <c r="AD133" s="62" t="str" cm="1">
        <f t="array" ref="AD133">Common_InputFunctions.Utility_DisplayArrayInTable(Fertiliser_SourceData.Fertiliser_Products_Data1(),FertiliserProducts[[#Headers],[Include or Exclude]], 0,4)</f>
        <v/>
      </c>
      <c r="AE133" s="62" t="str" cm="1">
        <f t="array" ref="AE133">Common_InputFunctions.Utility_DisplayArrayInTable(Fertiliser_SourceData.Fertiliser_Products_Data1(),FertiliserProducts[[#Headers],[Include or Exclude]], 0,4)</f>
        <v/>
      </c>
    </row>
    <row r="134" spans="1:31" ht="20.100000000000001" customHeight="1" x14ac:dyDescent="0.25">
      <c r="A134"/>
      <c r="D134" s="62" t="str" cm="1">
        <f t="array" ref="D134">Common_InputFunctions.Utility_DisplayArrayInTable(Fertiliser_SourceData.Fertiliser_Products_Data1(),FertiliserProducts[[#Headers],[Include or Exclude]], -1)</f>
        <v/>
      </c>
      <c r="E134" s="62" t="str" cm="1">
        <f t="array" ref="E134">Common_InputFunctions.Utility_DisplayArrayInTable(Fertiliser_SourceData.Fertiliser_Products_Data1(),FertiliserProducts[[#Headers],[Include or Exclude]], 0)</f>
        <v/>
      </c>
      <c r="F134" s="62" t="str" cm="1">
        <f t="array" ref="F134">Common_InputFunctions.Utility_DisplayArrayInTable(Fertiliser_SourceData.Fertiliser_Products_Data1(),FertiliserProducts[[#Headers],[Include or Exclude]], 0)</f>
        <v/>
      </c>
      <c r="G134" s="62" t="str" cm="1">
        <f t="array" ref="G134">Common_InputFunctions.Utility_DisplayArrayInTable(Fertiliser_SourceData.Fertiliser_Products_Data1(),FertiliserProducts[[#Headers],[Include or Exclude]], 0)</f>
        <v/>
      </c>
      <c r="H134" s="62" t="str" cm="1">
        <f t="array" ref="H134">Common_InputFunctions.Utility_DisplayArrayInTable(Fertiliser_SourceData.Fertiliser_Products_Data1(),FertiliserProducts[[#Headers],[Include or Exclude]], 0,4)</f>
        <v/>
      </c>
      <c r="I134" s="62" t="str" cm="1">
        <f t="array" ref="I134">Common_InputFunctions.Utility_DisplayArrayInTable(Fertiliser_SourceData.Fertiliser_Products_Data1(),FertiliserProducts[[#Headers],[Include or Exclude]], 0,4)</f>
        <v/>
      </c>
      <c r="J134" s="62" t="str" cm="1">
        <f t="array" ref="J134">Common_InputFunctions.Utility_DisplayArrayInTable(Fertiliser_SourceData.Fertiliser_Products_Data1(),FertiliserProducts[[#Headers],[Include or Exclude]], 0,4)</f>
        <v/>
      </c>
      <c r="K134" s="62" t="str" cm="1">
        <f t="array" ref="K134">Common_InputFunctions.Utility_DisplayArrayInTable(Fertiliser_SourceData.Fertiliser_Products_Data1(),FertiliserProducts[[#Headers],[Include or Exclude]], 0,4)</f>
        <v/>
      </c>
      <c r="L134" s="62" t="str" cm="1">
        <f t="array" ref="L134">Common_InputFunctions.Utility_DisplayArrayInTable(Fertiliser_SourceData.Fertiliser_Products_Data1(),FertiliserProducts[[#Headers],[Include or Exclude]], 0,4)</f>
        <v/>
      </c>
      <c r="M134" s="62" t="str" cm="1">
        <f t="array" ref="M134">Common_InputFunctions.Utility_DisplayArrayInTable(Fertiliser_SourceData.Fertiliser_Products_Data1(),FertiliserProducts[[#Headers],[Include or Exclude]], 0,4)</f>
        <v/>
      </c>
      <c r="N134" s="62" t="str" cm="1">
        <f t="array" ref="N134">Common_InputFunctions.Utility_DisplayArrayInTable(Fertiliser_SourceData.Fertiliser_Products_Data1(),FertiliserProducts[[#Headers],[Include or Exclude]], 0,4)</f>
        <v/>
      </c>
      <c r="O134" s="62" t="str" cm="1">
        <f t="array" ref="O134">Common_InputFunctions.Utility_DisplayArrayInTable(Fertiliser_SourceData.Fertiliser_Products_Data1(),FertiliserProducts[[#Headers],[Include or Exclude]], 0,4)</f>
        <v/>
      </c>
      <c r="P134" s="62" t="str" cm="1">
        <f t="array" ref="P134">Common_InputFunctions.Utility_DisplayArrayInTable(Fertiliser_SourceData.Fertiliser_Products_Data1(),FertiliserProducts[[#Headers],[Include or Exclude]], 0,4)</f>
        <v/>
      </c>
      <c r="Q134" s="62" t="str" cm="1">
        <f t="array" ref="Q134">Common_InputFunctions.Utility_DisplayArrayInTable(Fertiliser_SourceData.Fertiliser_Products_Data1(),FertiliserProducts[[#Headers],[Include or Exclude]], 0,4)</f>
        <v/>
      </c>
      <c r="R134" s="62" t="str" cm="1">
        <f t="array" ref="R134">Common_InputFunctions.Utility_DisplayArrayInTable(Fertiliser_SourceData.Fertiliser_Products_Data1(),FertiliserProducts[[#Headers],[Include or Exclude]], 0,4)</f>
        <v/>
      </c>
      <c r="S134" s="62" t="str" cm="1">
        <f t="array" ref="S134">Common_InputFunctions.Utility_DisplayArrayInTable(Fertiliser_SourceData.Fertiliser_Products_Data1(),FertiliserProducts[[#Headers],[Include or Exclude]], 0,4)</f>
        <v/>
      </c>
      <c r="T134" s="62" t="str" cm="1">
        <f t="array" ref="T134">Common_InputFunctions.Utility_DisplayArrayInTable(Fertiliser_SourceData.Fertiliser_Products_Data1(),FertiliserProducts[[#Headers],[Include or Exclude]], 0,4)</f>
        <v/>
      </c>
      <c r="U134" s="62" t="str" cm="1">
        <f t="array" ref="U134">Common_InputFunctions.Utility_DisplayArrayInTable(Fertiliser_SourceData.Fertiliser_Products_Data1(),FertiliserProducts[[#Headers],[Include or Exclude]], 0,4)</f>
        <v/>
      </c>
      <c r="V134" s="62" t="str" cm="1">
        <f t="array" ref="V134">Common_InputFunctions.Utility_DisplayArrayInTable(Fertiliser_SourceData.Fertiliser_Products_Data1(),FertiliserProducts[[#Headers],[Include or Exclude]], 0,4)</f>
        <v/>
      </c>
      <c r="W134" s="62" t="str" cm="1">
        <f t="array" ref="W134">Common_InputFunctions.Utility_DisplayArrayInTable(Fertiliser_SourceData.Fertiliser_Products_Data1(),FertiliserProducts[[#Headers],[Include or Exclude]], 0,4)</f>
        <v/>
      </c>
      <c r="X134" s="62" t="str" cm="1">
        <f t="array" ref="X134">Common_InputFunctions.Utility_DisplayArrayInTable(Fertiliser_SourceData.Fertiliser_Products_Data1(),FertiliserProducts[[#Headers],[Include or Exclude]], 0,4)</f>
        <v/>
      </c>
      <c r="Y134" s="62" t="str" cm="1">
        <f t="array" ref="Y134">Common_InputFunctions.Utility_DisplayArrayInTable(Fertiliser_SourceData.Fertiliser_Products_Data1(),FertiliserProducts[[#Headers],[Include or Exclude]], 0,4)</f>
        <v/>
      </c>
      <c r="Z134" s="62" t="str" cm="1">
        <f t="array" ref="Z134">Common_InputFunctions.Utility_DisplayArrayInTable(Fertiliser_SourceData.Fertiliser_Products_Data1(),FertiliserProducts[[#Headers],[Include or Exclude]], 0,4)</f>
        <v/>
      </c>
      <c r="AA134" s="62" t="str" cm="1">
        <f t="array" ref="AA134">Common_InputFunctions.Utility_DisplayArrayInTable(Fertiliser_SourceData.Fertiliser_Products_Data1(),FertiliserProducts[[#Headers],[Include or Exclude]], 0,4)</f>
        <v/>
      </c>
      <c r="AB134" s="62" t="str" cm="1">
        <f t="array" ref="AB134">Common_InputFunctions.Utility_DisplayArrayInTable(Fertiliser_SourceData.Fertiliser_Products_Data1(),FertiliserProducts[[#Headers],[Include or Exclude]], 0,4)</f>
        <v/>
      </c>
      <c r="AC134" s="62" t="str" cm="1">
        <f t="array" ref="AC134">Common_InputFunctions.Utility_DisplayArrayInTable(Fertiliser_SourceData.Fertiliser_Products_Data1(),FertiliserProducts[[#Headers],[Include or Exclude]], 0,4)</f>
        <v/>
      </c>
      <c r="AD134" s="62" t="str" cm="1">
        <f t="array" ref="AD134">Common_InputFunctions.Utility_DisplayArrayInTable(Fertiliser_SourceData.Fertiliser_Products_Data1(),FertiliserProducts[[#Headers],[Include or Exclude]], 0,4)</f>
        <v/>
      </c>
      <c r="AE134" s="62" t="str" cm="1">
        <f t="array" ref="AE134">Common_InputFunctions.Utility_DisplayArrayInTable(Fertiliser_SourceData.Fertiliser_Products_Data1(),FertiliserProducts[[#Headers],[Include or Exclude]], 0,4)</f>
        <v/>
      </c>
    </row>
    <row r="135" spans="1:31" ht="20.100000000000001" customHeight="1" x14ac:dyDescent="0.25">
      <c r="A135"/>
      <c r="D135" s="62" t="str" cm="1">
        <f t="array" ref="D135">Common_InputFunctions.Utility_DisplayArrayInTable(Fertiliser_SourceData.Fertiliser_Products_Data1(),FertiliserProducts[[#Headers],[Include or Exclude]], -1)</f>
        <v/>
      </c>
      <c r="E135" s="62" t="str" cm="1">
        <f t="array" ref="E135">Common_InputFunctions.Utility_DisplayArrayInTable(Fertiliser_SourceData.Fertiliser_Products_Data1(),FertiliserProducts[[#Headers],[Include or Exclude]], 0)</f>
        <v/>
      </c>
      <c r="F135" s="62" t="str" cm="1">
        <f t="array" ref="F135">Common_InputFunctions.Utility_DisplayArrayInTable(Fertiliser_SourceData.Fertiliser_Products_Data1(),FertiliserProducts[[#Headers],[Include or Exclude]], 0)</f>
        <v/>
      </c>
      <c r="G135" s="62" t="str" cm="1">
        <f t="array" ref="G135">Common_InputFunctions.Utility_DisplayArrayInTable(Fertiliser_SourceData.Fertiliser_Products_Data1(),FertiliserProducts[[#Headers],[Include or Exclude]], 0)</f>
        <v/>
      </c>
      <c r="H135" s="62" t="str" cm="1">
        <f t="array" ref="H135">Common_InputFunctions.Utility_DisplayArrayInTable(Fertiliser_SourceData.Fertiliser_Products_Data1(),FertiliserProducts[[#Headers],[Include or Exclude]], 0,4)</f>
        <v/>
      </c>
      <c r="I135" s="62" t="str" cm="1">
        <f t="array" ref="I135">Common_InputFunctions.Utility_DisplayArrayInTable(Fertiliser_SourceData.Fertiliser_Products_Data1(),FertiliserProducts[[#Headers],[Include or Exclude]], 0,4)</f>
        <v/>
      </c>
      <c r="J135" s="62" t="str" cm="1">
        <f t="array" ref="J135">Common_InputFunctions.Utility_DisplayArrayInTable(Fertiliser_SourceData.Fertiliser_Products_Data1(),FertiliserProducts[[#Headers],[Include or Exclude]], 0,4)</f>
        <v/>
      </c>
      <c r="K135" s="62" t="str" cm="1">
        <f t="array" ref="K135">Common_InputFunctions.Utility_DisplayArrayInTable(Fertiliser_SourceData.Fertiliser_Products_Data1(),FertiliserProducts[[#Headers],[Include or Exclude]], 0,4)</f>
        <v/>
      </c>
      <c r="L135" s="62" t="str" cm="1">
        <f t="array" ref="L135">Common_InputFunctions.Utility_DisplayArrayInTable(Fertiliser_SourceData.Fertiliser_Products_Data1(),FertiliserProducts[[#Headers],[Include or Exclude]], 0,4)</f>
        <v/>
      </c>
      <c r="M135" s="62" t="str" cm="1">
        <f t="array" ref="M135">Common_InputFunctions.Utility_DisplayArrayInTable(Fertiliser_SourceData.Fertiliser_Products_Data1(),FertiliserProducts[[#Headers],[Include or Exclude]], 0,4)</f>
        <v/>
      </c>
      <c r="N135" s="62" t="str" cm="1">
        <f t="array" ref="N135">Common_InputFunctions.Utility_DisplayArrayInTable(Fertiliser_SourceData.Fertiliser_Products_Data1(),FertiliserProducts[[#Headers],[Include or Exclude]], 0,4)</f>
        <v/>
      </c>
      <c r="O135" s="62" t="str" cm="1">
        <f t="array" ref="O135">Common_InputFunctions.Utility_DisplayArrayInTable(Fertiliser_SourceData.Fertiliser_Products_Data1(),FertiliserProducts[[#Headers],[Include or Exclude]], 0,4)</f>
        <v/>
      </c>
      <c r="P135" s="62" t="str" cm="1">
        <f t="array" ref="P135">Common_InputFunctions.Utility_DisplayArrayInTable(Fertiliser_SourceData.Fertiliser_Products_Data1(),FertiliserProducts[[#Headers],[Include or Exclude]], 0,4)</f>
        <v/>
      </c>
      <c r="Q135" s="62" t="str" cm="1">
        <f t="array" ref="Q135">Common_InputFunctions.Utility_DisplayArrayInTable(Fertiliser_SourceData.Fertiliser_Products_Data1(),FertiliserProducts[[#Headers],[Include or Exclude]], 0,4)</f>
        <v/>
      </c>
      <c r="R135" s="62" t="str" cm="1">
        <f t="array" ref="R135">Common_InputFunctions.Utility_DisplayArrayInTable(Fertiliser_SourceData.Fertiliser_Products_Data1(),FertiliserProducts[[#Headers],[Include or Exclude]], 0,4)</f>
        <v/>
      </c>
      <c r="S135" s="62" t="str" cm="1">
        <f t="array" ref="S135">Common_InputFunctions.Utility_DisplayArrayInTable(Fertiliser_SourceData.Fertiliser_Products_Data1(),FertiliserProducts[[#Headers],[Include or Exclude]], 0,4)</f>
        <v/>
      </c>
      <c r="T135" s="62" t="str" cm="1">
        <f t="array" ref="T135">Common_InputFunctions.Utility_DisplayArrayInTable(Fertiliser_SourceData.Fertiliser_Products_Data1(),FertiliserProducts[[#Headers],[Include or Exclude]], 0,4)</f>
        <v/>
      </c>
      <c r="U135" s="62" t="str" cm="1">
        <f t="array" ref="U135">Common_InputFunctions.Utility_DisplayArrayInTable(Fertiliser_SourceData.Fertiliser_Products_Data1(),FertiliserProducts[[#Headers],[Include or Exclude]], 0,4)</f>
        <v/>
      </c>
      <c r="V135" s="62" t="str" cm="1">
        <f t="array" ref="V135">Common_InputFunctions.Utility_DisplayArrayInTable(Fertiliser_SourceData.Fertiliser_Products_Data1(),FertiliserProducts[[#Headers],[Include or Exclude]], 0,4)</f>
        <v/>
      </c>
      <c r="W135" s="62" t="str" cm="1">
        <f t="array" ref="W135">Common_InputFunctions.Utility_DisplayArrayInTable(Fertiliser_SourceData.Fertiliser_Products_Data1(),FertiliserProducts[[#Headers],[Include or Exclude]], 0,4)</f>
        <v/>
      </c>
      <c r="X135" s="62" t="str" cm="1">
        <f t="array" ref="X135">Common_InputFunctions.Utility_DisplayArrayInTable(Fertiliser_SourceData.Fertiliser_Products_Data1(),FertiliserProducts[[#Headers],[Include or Exclude]], 0,4)</f>
        <v/>
      </c>
      <c r="Y135" s="62" t="str" cm="1">
        <f t="array" ref="Y135">Common_InputFunctions.Utility_DisplayArrayInTable(Fertiliser_SourceData.Fertiliser_Products_Data1(),FertiliserProducts[[#Headers],[Include or Exclude]], 0,4)</f>
        <v/>
      </c>
      <c r="Z135" s="62" t="str" cm="1">
        <f t="array" ref="Z135">Common_InputFunctions.Utility_DisplayArrayInTable(Fertiliser_SourceData.Fertiliser_Products_Data1(),FertiliserProducts[[#Headers],[Include or Exclude]], 0,4)</f>
        <v/>
      </c>
      <c r="AA135" s="62" t="str" cm="1">
        <f t="array" ref="AA135">Common_InputFunctions.Utility_DisplayArrayInTable(Fertiliser_SourceData.Fertiliser_Products_Data1(),FertiliserProducts[[#Headers],[Include or Exclude]], 0,4)</f>
        <v/>
      </c>
      <c r="AB135" s="62" t="str" cm="1">
        <f t="array" ref="AB135">Common_InputFunctions.Utility_DisplayArrayInTable(Fertiliser_SourceData.Fertiliser_Products_Data1(),FertiliserProducts[[#Headers],[Include or Exclude]], 0,4)</f>
        <v/>
      </c>
      <c r="AC135" s="62" t="str" cm="1">
        <f t="array" ref="AC135">Common_InputFunctions.Utility_DisplayArrayInTable(Fertiliser_SourceData.Fertiliser_Products_Data1(),FertiliserProducts[[#Headers],[Include or Exclude]], 0,4)</f>
        <v/>
      </c>
      <c r="AD135" s="62" t="str" cm="1">
        <f t="array" ref="AD135">Common_InputFunctions.Utility_DisplayArrayInTable(Fertiliser_SourceData.Fertiliser_Products_Data1(),FertiliserProducts[[#Headers],[Include or Exclude]], 0,4)</f>
        <v/>
      </c>
      <c r="AE135" s="62" t="str" cm="1">
        <f t="array" ref="AE135">Common_InputFunctions.Utility_DisplayArrayInTable(Fertiliser_SourceData.Fertiliser_Products_Data1(),FertiliserProducts[[#Headers],[Include or Exclude]], 0,4)</f>
        <v/>
      </c>
    </row>
    <row r="136" spans="1:31" ht="20.100000000000001" customHeight="1" x14ac:dyDescent="0.25">
      <c r="A136"/>
      <c r="D136" s="62" t="str" cm="1">
        <f t="array" ref="D136">Common_InputFunctions.Utility_DisplayArrayInTable(Fertiliser_SourceData.Fertiliser_Products_Data1(),FertiliserProducts[[#Headers],[Include or Exclude]], -1)</f>
        <v/>
      </c>
      <c r="E136" s="62" t="str" cm="1">
        <f t="array" ref="E136">Common_InputFunctions.Utility_DisplayArrayInTable(Fertiliser_SourceData.Fertiliser_Products_Data1(),FertiliserProducts[[#Headers],[Include or Exclude]], 0)</f>
        <v/>
      </c>
      <c r="F136" s="62" t="str" cm="1">
        <f t="array" ref="F136">Common_InputFunctions.Utility_DisplayArrayInTable(Fertiliser_SourceData.Fertiliser_Products_Data1(),FertiliserProducts[[#Headers],[Include or Exclude]], 0)</f>
        <v/>
      </c>
      <c r="G136" s="62" t="str" cm="1">
        <f t="array" ref="G136">Common_InputFunctions.Utility_DisplayArrayInTable(Fertiliser_SourceData.Fertiliser_Products_Data1(),FertiliserProducts[[#Headers],[Include or Exclude]], 0)</f>
        <v/>
      </c>
      <c r="H136" s="62" t="str" cm="1">
        <f t="array" ref="H136">Common_InputFunctions.Utility_DisplayArrayInTable(Fertiliser_SourceData.Fertiliser_Products_Data1(),FertiliserProducts[[#Headers],[Include or Exclude]], 0,4)</f>
        <v/>
      </c>
      <c r="I136" s="62" t="str" cm="1">
        <f t="array" ref="I136">Common_InputFunctions.Utility_DisplayArrayInTable(Fertiliser_SourceData.Fertiliser_Products_Data1(),FertiliserProducts[[#Headers],[Include or Exclude]], 0,4)</f>
        <v/>
      </c>
      <c r="J136" s="62" t="str" cm="1">
        <f t="array" ref="J136">Common_InputFunctions.Utility_DisplayArrayInTable(Fertiliser_SourceData.Fertiliser_Products_Data1(),FertiliserProducts[[#Headers],[Include or Exclude]], 0,4)</f>
        <v/>
      </c>
      <c r="K136" s="62" t="str" cm="1">
        <f t="array" ref="K136">Common_InputFunctions.Utility_DisplayArrayInTable(Fertiliser_SourceData.Fertiliser_Products_Data1(),FertiliserProducts[[#Headers],[Include or Exclude]], 0,4)</f>
        <v/>
      </c>
      <c r="L136" s="62" t="str" cm="1">
        <f t="array" ref="L136">Common_InputFunctions.Utility_DisplayArrayInTable(Fertiliser_SourceData.Fertiliser_Products_Data1(),FertiliserProducts[[#Headers],[Include or Exclude]], 0,4)</f>
        <v/>
      </c>
      <c r="M136" s="62" t="str" cm="1">
        <f t="array" ref="M136">Common_InputFunctions.Utility_DisplayArrayInTable(Fertiliser_SourceData.Fertiliser_Products_Data1(),FertiliserProducts[[#Headers],[Include or Exclude]], 0,4)</f>
        <v/>
      </c>
      <c r="N136" s="62" t="str" cm="1">
        <f t="array" ref="N136">Common_InputFunctions.Utility_DisplayArrayInTable(Fertiliser_SourceData.Fertiliser_Products_Data1(),FertiliserProducts[[#Headers],[Include or Exclude]], 0,4)</f>
        <v/>
      </c>
      <c r="O136" s="62" t="str" cm="1">
        <f t="array" ref="O136">Common_InputFunctions.Utility_DisplayArrayInTable(Fertiliser_SourceData.Fertiliser_Products_Data1(),FertiliserProducts[[#Headers],[Include or Exclude]], 0,4)</f>
        <v/>
      </c>
      <c r="P136" s="62" t="str" cm="1">
        <f t="array" ref="P136">Common_InputFunctions.Utility_DisplayArrayInTable(Fertiliser_SourceData.Fertiliser_Products_Data1(),FertiliserProducts[[#Headers],[Include or Exclude]], 0,4)</f>
        <v/>
      </c>
      <c r="Q136" s="62" t="str" cm="1">
        <f t="array" ref="Q136">Common_InputFunctions.Utility_DisplayArrayInTable(Fertiliser_SourceData.Fertiliser_Products_Data1(),FertiliserProducts[[#Headers],[Include or Exclude]], 0,4)</f>
        <v/>
      </c>
      <c r="R136" s="62" t="str" cm="1">
        <f t="array" ref="R136">Common_InputFunctions.Utility_DisplayArrayInTable(Fertiliser_SourceData.Fertiliser_Products_Data1(),FertiliserProducts[[#Headers],[Include or Exclude]], 0,4)</f>
        <v/>
      </c>
      <c r="S136" s="62" t="str" cm="1">
        <f t="array" ref="S136">Common_InputFunctions.Utility_DisplayArrayInTable(Fertiliser_SourceData.Fertiliser_Products_Data1(),FertiliserProducts[[#Headers],[Include or Exclude]], 0,4)</f>
        <v/>
      </c>
      <c r="T136" s="62" t="str" cm="1">
        <f t="array" ref="T136">Common_InputFunctions.Utility_DisplayArrayInTable(Fertiliser_SourceData.Fertiliser_Products_Data1(),FertiliserProducts[[#Headers],[Include or Exclude]], 0,4)</f>
        <v/>
      </c>
      <c r="U136" s="62" t="str" cm="1">
        <f t="array" ref="U136">Common_InputFunctions.Utility_DisplayArrayInTable(Fertiliser_SourceData.Fertiliser_Products_Data1(),FertiliserProducts[[#Headers],[Include or Exclude]], 0,4)</f>
        <v/>
      </c>
      <c r="V136" s="62" t="str" cm="1">
        <f t="array" ref="V136">Common_InputFunctions.Utility_DisplayArrayInTable(Fertiliser_SourceData.Fertiliser_Products_Data1(),FertiliserProducts[[#Headers],[Include or Exclude]], 0,4)</f>
        <v/>
      </c>
      <c r="W136" s="62" t="str" cm="1">
        <f t="array" ref="W136">Common_InputFunctions.Utility_DisplayArrayInTable(Fertiliser_SourceData.Fertiliser_Products_Data1(),FertiliserProducts[[#Headers],[Include or Exclude]], 0,4)</f>
        <v/>
      </c>
      <c r="X136" s="62" t="str" cm="1">
        <f t="array" ref="X136">Common_InputFunctions.Utility_DisplayArrayInTable(Fertiliser_SourceData.Fertiliser_Products_Data1(),FertiliserProducts[[#Headers],[Include or Exclude]], 0,4)</f>
        <v/>
      </c>
      <c r="Y136" s="62" t="str" cm="1">
        <f t="array" ref="Y136">Common_InputFunctions.Utility_DisplayArrayInTable(Fertiliser_SourceData.Fertiliser_Products_Data1(),FertiliserProducts[[#Headers],[Include or Exclude]], 0,4)</f>
        <v/>
      </c>
      <c r="Z136" s="62" t="str" cm="1">
        <f t="array" ref="Z136">Common_InputFunctions.Utility_DisplayArrayInTable(Fertiliser_SourceData.Fertiliser_Products_Data1(),FertiliserProducts[[#Headers],[Include or Exclude]], 0,4)</f>
        <v/>
      </c>
      <c r="AA136" s="62" t="str" cm="1">
        <f t="array" ref="AA136">Common_InputFunctions.Utility_DisplayArrayInTable(Fertiliser_SourceData.Fertiliser_Products_Data1(),FertiliserProducts[[#Headers],[Include or Exclude]], 0,4)</f>
        <v/>
      </c>
      <c r="AB136" s="62" t="str" cm="1">
        <f t="array" ref="AB136">Common_InputFunctions.Utility_DisplayArrayInTable(Fertiliser_SourceData.Fertiliser_Products_Data1(),FertiliserProducts[[#Headers],[Include or Exclude]], 0,4)</f>
        <v/>
      </c>
      <c r="AC136" s="62" t="str" cm="1">
        <f t="array" ref="AC136">Common_InputFunctions.Utility_DisplayArrayInTable(Fertiliser_SourceData.Fertiliser_Products_Data1(),FertiliserProducts[[#Headers],[Include or Exclude]], 0,4)</f>
        <v/>
      </c>
      <c r="AD136" s="62" t="str" cm="1">
        <f t="array" ref="AD136">Common_InputFunctions.Utility_DisplayArrayInTable(Fertiliser_SourceData.Fertiliser_Products_Data1(),FertiliserProducts[[#Headers],[Include or Exclude]], 0,4)</f>
        <v/>
      </c>
      <c r="AE136" s="62" t="str" cm="1">
        <f t="array" ref="AE136">Common_InputFunctions.Utility_DisplayArrayInTable(Fertiliser_SourceData.Fertiliser_Products_Data1(),FertiliserProducts[[#Headers],[Include or Exclude]], 0,4)</f>
        <v/>
      </c>
    </row>
    <row r="137" spans="1:31" ht="20.100000000000001" customHeight="1" x14ac:dyDescent="0.25">
      <c r="A137"/>
      <c r="D137" s="62" t="str" cm="1">
        <f t="array" ref="D137">Common_InputFunctions.Utility_DisplayArrayInTable(Fertiliser_SourceData.Fertiliser_Products_Data1(),FertiliserProducts[[#Headers],[Include or Exclude]], -1)</f>
        <v/>
      </c>
      <c r="E137" s="62" t="str" cm="1">
        <f t="array" ref="E137">Common_InputFunctions.Utility_DisplayArrayInTable(Fertiliser_SourceData.Fertiliser_Products_Data1(),FertiliserProducts[[#Headers],[Include or Exclude]], 0)</f>
        <v/>
      </c>
      <c r="F137" s="62" t="str" cm="1">
        <f t="array" ref="F137">Common_InputFunctions.Utility_DisplayArrayInTable(Fertiliser_SourceData.Fertiliser_Products_Data1(),FertiliserProducts[[#Headers],[Include or Exclude]], 0)</f>
        <v/>
      </c>
      <c r="G137" s="62" t="str" cm="1">
        <f t="array" ref="G137">Common_InputFunctions.Utility_DisplayArrayInTable(Fertiliser_SourceData.Fertiliser_Products_Data1(),FertiliserProducts[[#Headers],[Include or Exclude]], 0)</f>
        <v/>
      </c>
      <c r="H137" s="62" t="str" cm="1">
        <f t="array" ref="H137">Common_InputFunctions.Utility_DisplayArrayInTable(Fertiliser_SourceData.Fertiliser_Products_Data1(),FertiliserProducts[[#Headers],[Include or Exclude]], 0,4)</f>
        <v/>
      </c>
      <c r="I137" s="62" t="str" cm="1">
        <f t="array" ref="I137">Common_InputFunctions.Utility_DisplayArrayInTable(Fertiliser_SourceData.Fertiliser_Products_Data1(),FertiliserProducts[[#Headers],[Include or Exclude]], 0,4)</f>
        <v/>
      </c>
      <c r="J137" s="62" t="str" cm="1">
        <f t="array" ref="J137">Common_InputFunctions.Utility_DisplayArrayInTable(Fertiliser_SourceData.Fertiliser_Products_Data1(),FertiliserProducts[[#Headers],[Include or Exclude]], 0,4)</f>
        <v/>
      </c>
      <c r="K137" s="62" t="str" cm="1">
        <f t="array" ref="K137">Common_InputFunctions.Utility_DisplayArrayInTable(Fertiliser_SourceData.Fertiliser_Products_Data1(),FertiliserProducts[[#Headers],[Include or Exclude]], 0,4)</f>
        <v/>
      </c>
      <c r="L137" s="62" t="str" cm="1">
        <f t="array" ref="L137">Common_InputFunctions.Utility_DisplayArrayInTable(Fertiliser_SourceData.Fertiliser_Products_Data1(),FertiliserProducts[[#Headers],[Include or Exclude]], 0,4)</f>
        <v/>
      </c>
      <c r="M137" s="62" t="str" cm="1">
        <f t="array" ref="M137">Common_InputFunctions.Utility_DisplayArrayInTable(Fertiliser_SourceData.Fertiliser_Products_Data1(),FertiliserProducts[[#Headers],[Include or Exclude]], 0,4)</f>
        <v/>
      </c>
      <c r="N137" s="62" t="str" cm="1">
        <f t="array" ref="N137">Common_InputFunctions.Utility_DisplayArrayInTable(Fertiliser_SourceData.Fertiliser_Products_Data1(),FertiliserProducts[[#Headers],[Include or Exclude]], 0,4)</f>
        <v/>
      </c>
      <c r="O137" s="62" t="str" cm="1">
        <f t="array" ref="O137">Common_InputFunctions.Utility_DisplayArrayInTable(Fertiliser_SourceData.Fertiliser_Products_Data1(),FertiliserProducts[[#Headers],[Include or Exclude]], 0,4)</f>
        <v/>
      </c>
      <c r="P137" s="62" t="str" cm="1">
        <f t="array" ref="P137">Common_InputFunctions.Utility_DisplayArrayInTable(Fertiliser_SourceData.Fertiliser_Products_Data1(),FertiliserProducts[[#Headers],[Include or Exclude]], 0,4)</f>
        <v/>
      </c>
      <c r="Q137" s="62" t="str" cm="1">
        <f t="array" ref="Q137">Common_InputFunctions.Utility_DisplayArrayInTable(Fertiliser_SourceData.Fertiliser_Products_Data1(),FertiliserProducts[[#Headers],[Include or Exclude]], 0,4)</f>
        <v/>
      </c>
      <c r="R137" s="62" t="str" cm="1">
        <f t="array" ref="R137">Common_InputFunctions.Utility_DisplayArrayInTable(Fertiliser_SourceData.Fertiliser_Products_Data1(),FertiliserProducts[[#Headers],[Include or Exclude]], 0,4)</f>
        <v/>
      </c>
      <c r="S137" s="62" t="str" cm="1">
        <f t="array" ref="S137">Common_InputFunctions.Utility_DisplayArrayInTable(Fertiliser_SourceData.Fertiliser_Products_Data1(),FertiliserProducts[[#Headers],[Include or Exclude]], 0,4)</f>
        <v/>
      </c>
      <c r="T137" s="62" t="str" cm="1">
        <f t="array" ref="T137">Common_InputFunctions.Utility_DisplayArrayInTable(Fertiliser_SourceData.Fertiliser_Products_Data1(),FertiliserProducts[[#Headers],[Include or Exclude]], 0,4)</f>
        <v/>
      </c>
      <c r="U137" s="62" t="str" cm="1">
        <f t="array" ref="U137">Common_InputFunctions.Utility_DisplayArrayInTable(Fertiliser_SourceData.Fertiliser_Products_Data1(),FertiliserProducts[[#Headers],[Include or Exclude]], 0,4)</f>
        <v/>
      </c>
      <c r="V137" s="62" t="str" cm="1">
        <f t="array" ref="V137">Common_InputFunctions.Utility_DisplayArrayInTable(Fertiliser_SourceData.Fertiliser_Products_Data1(),FertiliserProducts[[#Headers],[Include or Exclude]], 0,4)</f>
        <v/>
      </c>
      <c r="W137" s="62" t="str" cm="1">
        <f t="array" ref="W137">Common_InputFunctions.Utility_DisplayArrayInTable(Fertiliser_SourceData.Fertiliser_Products_Data1(),FertiliserProducts[[#Headers],[Include or Exclude]], 0,4)</f>
        <v/>
      </c>
      <c r="X137" s="62" t="str" cm="1">
        <f t="array" ref="X137">Common_InputFunctions.Utility_DisplayArrayInTable(Fertiliser_SourceData.Fertiliser_Products_Data1(),FertiliserProducts[[#Headers],[Include or Exclude]], 0,4)</f>
        <v/>
      </c>
      <c r="Y137" s="62" t="str" cm="1">
        <f t="array" ref="Y137">Common_InputFunctions.Utility_DisplayArrayInTable(Fertiliser_SourceData.Fertiliser_Products_Data1(),FertiliserProducts[[#Headers],[Include or Exclude]], 0,4)</f>
        <v/>
      </c>
      <c r="Z137" s="62" t="str" cm="1">
        <f t="array" ref="Z137">Common_InputFunctions.Utility_DisplayArrayInTable(Fertiliser_SourceData.Fertiliser_Products_Data1(),FertiliserProducts[[#Headers],[Include or Exclude]], 0,4)</f>
        <v/>
      </c>
      <c r="AA137" s="62" t="str" cm="1">
        <f t="array" ref="AA137">Common_InputFunctions.Utility_DisplayArrayInTable(Fertiliser_SourceData.Fertiliser_Products_Data1(),FertiliserProducts[[#Headers],[Include or Exclude]], 0,4)</f>
        <v/>
      </c>
      <c r="AB137" s="62" t="str" cm="1">
        <f t="array" ref="AB137">Common_InputFunctions.Utility_DisplayArrayInTable(Fertiliser_SourceData.Fertiliser_Products_Data1(),FertiliserProducts[[#Headers],[Include or Exclude]], 0,4)</f>
        <v/>
      </c>
      <c r="AC137" s="62" t="str" cm="1">
        <f t="array" ref="AC137">Common_InputFunctions.Utility_DisplayArrayInTable(Fertiliser_SourceData.Fertiliser_Products_Data1(),FertiliserProducts[[#Headers],[Include or Exclude]], 0,4)</f>
        <v/>
      </c>
      <c r="AD137" s="62" t="str" cm="1">
        <f t="array" ref="AD137">Common_InputFunctions.Utility_DisplayArrayInTable(Fertiliser_SourceData.Fertiliser_Products_Data1(),FertiliserProducts[[#Headers],[Include or Exclude]], 0,4)</f>
        <v/>
      </c>
      <c r="AE137" s="62" t="str" cm="1">
        <f t="array" ref="AE137">Common_InputFunctions.Utility_DisplayArrayInTable(Fertiliser_SourceData.Fertiliser_Products_Data1(),FertiliserProducts[[#Headers],[Include or Exclude]], 0,4)</f>
        <v/>
      </c>
    </row>
    <row r="138" spans="1:31" ht="20.100000000000001" customHeight="1" x14ac:dyDescent="0.25">
      <c r="A138"/>
      <c r="D138" s="62" t="str" cm="1">
        <f t="array" ref="D138">Common_InputFunctions.Utility_DisplayArrayInTable(Fertiliser_SourceData.Fertiliser_Products_Data1(),FertiliserProducts[[#Headers],[Include or Exclude]], -1)</f>
        <v/>
      </c>
      <c r="E138" s="62" t="str" cm="1">
        <f t="array" ref="E138">Common_InputFunctions.Utility_DisplayArrayInTable(Fertiliser_SourceData.Fertiliser_Products_Data1(),FertiliserProducts[[#Headers],[Include or Exclude]], 0)</f>
        <v/>
      </c>
      <c r="F138" s="62" t="str" cm="1">
        <f t="array" ref="F138">Common_InputFunctions.Utility_DisplayArrayInTable(Fertiliser_SourceData.Fertiliser_Products_Data1(),FertiliserProducts[[#Headers],[Include or Exclude]], 0)</f>
        <v/>
      </c>
      <c r="G138" s="62" t="str" cm="1">
        <f t="array" ref="G138">Common_InputFunctions.Utility_DisplayArrayInTable(Fertiliser_SourceData.Fertiliser_Products_Data1(),FertiliserProducts[[#Headers],[Include or Exclude]], 0)</f>
        <v/>
      </c>
      <c r="H138" s="62" t="str" cm="1">
        <f t="array" ref="H138">Common_InputFunctions.Utility_DisplayArrayInTable(Fertiliser_SourceData.Fertiliser_Products_Data1(),FertiliserProducts[[#Headers],[Include or Exclude]], 0,4)</f>
        <v/>
      </c>
      <c r="I138" s="62" t="str" cm="1">
        <f t="array" ref="I138">Common_InputFunctions.Utility_DisplayArrayInTable(Fertiliser_SourceData.Fertiliser_Products_Data1(),FertiliserProducts[[#Headers],[Include or Exclude]], 0,4)</f>
        <v/>
      </c>
      <c r="J138" s="62" t="str" cm="1">
        <f t="array" ref="J138">Common_InputFunctions.Utility_DisplayArrayInTable(Fertiliser_SourceData.Fertiliser_Products_Data1(),FertiliserProducts[[#Headers],[Include or Exclude]], 0,4)</f>
        <v/>
      </c>
      <c r="K138" s="62" t="str" cm="1">
        <f t="array" ref="K138">Common_InputFunctions.Utility_DisplayArrayInTable(Fertiliser_SourceData.Fertiliser_Products_Data1(),FertiliserProducts[[#Headers],[Include or Exclude]], 0,4)</f>
        <v/>
      </c>
      <c r="L138" s="62" t="str" cm="1">
        <f t="array" ref="L138">Common_InputFunctions.Utility_DisplayArrayInTable(Fertiliser_SourceData.Fertiliser_Products_Data1(),FertiliserProducts[[#Headers],[Include or Exclude]], 0,4)</f>
        <v/>
      </c>
      <c r="M138" s="62" t="str" cm="1">
        <f t="array" ref="M138">Common_InputFunctions.Utility_DisplayArrayInTable(Fertiliser_SourceData.Fertiliser_Products_Data1(),FertiliserProducts[[#Headers],[Include or Exclude]], 0,4)</f>
        <v/>
      </c>
      <c r="N138" s="62" t="str" cm="1">
        <f t="array" ref="N138">Common_InputFunctions.Utility_DisplayArrayInTable(Fertiliser_SourceData.Fertiliser_Products_Data1(),FertiliserProducts[[#Headers],[Include or Exclude]], 0,4)</f>
        <v/>
      </c>
      <c r="O138" s="62" t="str" cm="1">
        <f t="array" ref="O138">Common_InputFunctions.Utility_DisplayArrayInTable(Fertiliser_SourceData.Fertiliser_Products_Data1(),FertiliserProducts[[#Headers],[Include or Exclude]], 0,4)</f>
        <v/>
      </c>
      <c r="P138" s="62" t="str" cm="1">
        <f t="array" ref="P138">Common_InputFunctions.Utility_DisplayArrayInTable(Fertiliser_SourceData.Fertiliser_Products_Data1(),FertiliserProducts[[#Headers],[Include or Exclude]], 0,4)</f>
        <v/>
      </c>
      <c r="Q138" s="62" t="str" cm="1">
        <f t="array" ref="Q138">Common_InputFunctions.Utility_DisplayArrayInTable(Fertiliser_SourceData.Fertiliser_Products_Data1(),FertiliserProducts[[#Headers],[Include or Exclude]], 0,4)</f>
        <v/>
      </c>
      <c r="R138" s="62" t="str" cm="1">
        <f t="array" ref="R138">Common_InputFunctions.Utility_DisplayArrayInTable(Fertiliser_SourceData.Fertiliser_Products_Data1(),FertiliserProducts[[#Headers],[Include or Exclude]], 0,4)</f>
        <v/>
      </c>
      <c r="S138" s="62" t="str" cm="1">
        <f t="array" ref="S138">Common_InputFunctions.Utility_DisplayArrayInTable(Fertiliser_SourceData.Fertiliser_Products_Data1(),FertiliserProducts[[#Headers],[Include or Exclude]], 0,4)</f>
        <v/>
      </c>
      <c r="T138" s="62" t="str" cm="1">
        <f t="array" ref="T138">Common_InputFunctions.Utility_DisplayArrayInTable(Fertiliser_SourceData.Fertiliser_Products_Data1(),FertiliserProducts[[#Headers],[Include or Exclude]], 0,4)</f>
        <v/>
      </c>
      <c r="U138" s="62" t="str" cm="1">
        <f t="array" ref="U138">Common_InputFunctions.Utility_DisplayArrayInTable(Fertiliser_SourceData.Fertiliser_Products_Data1(),FertiliserProducts[[#Headers],[Include or Exclude]], 0,4)</f>
        <v/>
      </c>
      <c r="V138" s="62" t="str" cm="1">
        <f t="array" ref="V138">Common_InputFunctions.Utility_DisplayArrayInTable(Fertiliser_SourceData.Fertiliser_Products_Data1(),FertiliserProducts[[#Headers],[Include or Exclude]], 0,4)</f>
        <v/>
      </c>
      <c r="W138" s="62" t="str" cm="1">
        <f t="array" ref="W138">Common_InputFunctions.Utility_DisplayArrayInTable(Fertiliser_SourceData.Fertiliser_Products_Data1(),FertiliserProducts[[#Headers],[Include or Exclude]], 0,4)</f>
        <v/>
      </c>
      <c r="X138" s="62" t="str" cm="1">
        <f t="array" ref="X138">Common_InputFunctions.Utility_DisplayArrayInTable(Fertiliser_SourceData.Fertiliser_Products_Data1(),FertiliserProducts[[#Headers],[Include or Exclude]], 0,4)</f>
        <v/>
      </c>
      <c r="Y138" s="62" t="str" cm="1">
        <f t="array" ref="Y138">Common_InputFunctions.Utility_DisplayArrayInTable(Fertiliser_SourceData.Fertiliser_Products_Data1(),FertiliserProducts[[#Headers],[Include or Exclude]], 0,4)</f>
        <v/>
      </c>
      <c r="Z138" s="62" t="str" cm="1">
        <f t="array" ref="Z138">Common_InputFunctions.Utility_DisplayArrayInTable(Fertiliser_SourceData.Fertiliser_Products_Data1(),FertiliserProducts[[#Headers],[Include or Exclude]], 0,4)</f>
        <v/>
      </c>
      <c r="AA138" s="62" t="str" cm="1">
        <f t="array" ref="AA138">Common_InputFunctions.Utility_DisplayArrayInTable(Fertiliser_SourceData.Fertiliser_Products_Data1(),FertiliserProducts[[#Headers],[Include or Exclude]], 0,4)</f>
        <v/>
      </c>
      <c r="AB138" s="62" t="str" cm="1">
        <f t="array" ref="AB138">Common_InputFunctions.Utility_DisplayArrayInTable(Fertiliser_SourceData.Fertiliser_Products_Data1(),FertiliserProducts[[#Headers],[Include or Exclude]], 0,4)</f>
        <v/>
      </c>
      <c r="AC138" s="62" t="str" cm="1">
        <f t="array" ref="AC138">Common_InputFunctions.Utility_DisplayArrayInTable(Fertiliser_SourceData.Fertiliser_Products_Data1(),FertiliserProducts[[#Headers],[Include or Exclude]], 0,4)</f>
        <v/>
      </c>
      <c r="AD138" s="62" t="str" cm="1">
        <f t="array" ref="AD138">Common_InputFunctions.Utility_DisplayArrayInTable(Fertiliser_SourceData.Fertiliser_Products_Data1(),FertiliserProducts[[#Headers],[Include or Exclude]], 0,4)</f>
        <v/>
      </c>
      <c r="AE138" s="62" t="str" cm="1">
        <f t="array" ref="AE138">Common_InputFunctions.Utility_DisplayArrayInTable(Fertiliser_SourceData.Fertiliser_Products_Data1(),FertiliserProducts[[#Headers],[Include or Exclude]], 0,4)</f>
        <v/>
      </c>
    </row>
    <row r="139" spans="1:31" ht="20.100000000000001" customHeight="1" x14ac:dyDescent="0.25">
      <c r="A139"/>
      <c r="D139" s="62" t="str" cm="1">
        <f t="array" ref="D139">Common_InputFunctions.Utility_DisplayArrayInTable(Fertiliser_SourceData.Fertiliser_Products_Data1(),FertiliserProducts[[#Headers],[Include or Exclude]], -1)</f>
        <v/>
      </c>
      <c r="E139" s="62" t="str" cm="1">
        <f t="array" ref="E139">Common_InputFunctions.Utility_DisplayArrayInTable(Fertiliser_SourceData.Fertiliser_Products_Data1(),FertiliserProducts[[#Headers],[Include or Exclude]], 0)</f>
        <v/>
      </c>
      <c r="F139" s="62" t="str" cm="1">
        <f t="array" ref="F139">Common_InputFunctions.Utility_DisplayArrayInTable(Fertiliser_SourceData.Fertiliser_Products_Data1(),FertiliserProducts[[#Headers],[Include or Exclude]], 0)</f>
        <v/>
      </c>
      <c r="G139" s="62" t="str" cm="1">
        <f t="array" ref="G139">Common_InputFunctions.Utility_DisplayArrayInTable(Fertiliser_SourceData.Fertiliser_Products_Data1(),FertiliserProducts[[#Headers],[Include or Exclude]], 0)</f>
        <v/>
      </c>
      <c r="H139" s="62" t="str" cm="1">
        <f t="array" ref="H139">Common_InputFunctions.Utility_DisplayArrayInTable(Fertiliser_SourceData.Fertiliser_Products_Data1(),FertiliserProducts[[#Headers],[Include or Exclude]], 0,4)</f>
        <v/>
      </c>
      <c r="I139" s="62" t="str" cm="1">
        <f t="array" ref="I139">Common_InputFunctions.Utility_DisplayArrayInTable(Fertiliser_SourceData.Fertiliser_Products_Data1(),FertiliserProducts[[#Headers],[Include or Exclude]], 0,4)</f>
        <v/>
      </c>
      <c r="J139" s="62" t="str" cm="1">
        <f t="array" ref="J139">Common_InputFunctions.Utility_DisplayArrayInTable(Fertiliser_SourceData.Fertiliser_Products_Data1(),FertiliserProducts[[#Headers],[Include or Exclude]], 0,4)</f>
        <v/>
      </c>
      <c r="K139" s="62" t="str" cm="1">
        <f t="array" ref="K139">Common_InputFunctions.Utility_DisplayArrayInTable(Fertiliser_SourceData.Fertiliser_Products_Data1(),FertiliserProducts[[#Headers],[Include or Exclude]], 0,4)</f>
        <v/>
      </c>
      <c r="L139" s="62" t="str" cm="1">
        <f t="array" ref="L139">Common_InputFunctions.Utility_DisplayArrayInTable(Fertiliser_SourceData.Fertiliser_Products_Data1(),FertiliserProducts[[#Headers],[Include or Exclude]], 0,4)</f>
        <v/>
      </c>
      <c r="M139" s="62" t="str" cm="1">
        <f t="array" ref="M139">Common_InputFunctions.Utility_DisplayArrayInTable(Fertiliser_SourceData.Fertiliser_Products_Data1(),FertiliserProducts[[#Headers],[Include or Exclude]], 0,4)</f>
        <v/>
      </c>
      <c r="N139" s="62" t="str" cm="1">
        <f t="array" ref="N139">Common_InputFunctions.Utility_DisplayArrayInTable(Fertiliser_SourceData.Fertiliser_Products_Data1(),FertiliserProducts[[#Headers],[Include or Exclude]], 0,4)</f>
        <v/>
      </c>
      <c r="O139" s="62" t="str" cm="1">
        <f t="array" ref="O139">Common_InputFunctions.Utility_DisplayArrayInTable(Fertiliser_SourceData.Fertiliser_Products_Data1(),FertiliserProducts[[#Headers],[Include or Exclude]], 0,4)</f>
        <v/>
      </c>
      <c r="P139" s="62" t="str" cm="1">
        <f t="array" ref="P139">Common_InputFunctions.Utility_DisplayArrayInTable(Fertiliser_SourceData.Fertiliser_Products_Data1(),FertiliserProducts[[#Headers],[Include or Exclude]], 0,4)</f>
        <v/>
      </c>
      <c r="Q139" s="62" t="str" cm="1">
        <f t="array" ref="Q139">Common_InputFunctions.Utility_DisplayArrayInTable(Fertiliser_SourceData.Fertiliser_Products_Data1(),FertiliserProducts[[#Headers],[Include or Exclude]], 0,4)</f>
        <v/>
      </c>
      <c r="R139" s="62" t="str" cm="1">
        <f t="array" ref="R139">Common_InputFunctions.Utility_DisplayArrayInTable(Fertiliser_SourceData.Fertiliser_Products_Data1(),FertiliserProducts[[#Headers],[Include or Exclude]], 0,4)</f>
        <v/>
      </c>
      <c r="S139" s="62" t="str" cm="1">
        <f t="array" ref="S139">Common_InputFunctions.Utility_DisplayArrayInTable(Fertiliser_SourceData.Fertiliser_Products_Data1(),FertiliserProducts[[#Headers],[Include or Exclude]], 0,4)</f>
        <v/>
      </c>
      <c r="T139" s="62" t="str" cm="1">
        <f t="array" ref="T139">Common_InputFunctions.Utility_DisplayArrayInTable(Fertiliser_SourceData.Fertiliser_Products_Data1(),FertiliserProducts[[#Headers],[Include or Exclude]], 0,4)</f>
        <v/>
      </c>
      <c r="U139" s="62" t="str" cm="1">
        <f t="array" ref="U139">Common_InputFunctions.Utility_DisplayArrayInTable(Fertiliser_SourceData.Fertiliser_Products_Data1(),FertiliserProducts[[#Headers],[Include or Exclude]], 0,4)</f>
        <v/>
      </c>
      <c r="V139" s="62" t="str" cm="1">
        <f t="array" ref="V139">Common_InputFunctions.Utility_DisplayArrayInTable(Fertiliser_SourceData.Fertiliser_Products_Data1(),FertiliserProducts[[#Headers],[Include or Exclude]], 0,4)</f>
        <v/>
      </c>
      <c r="W139" s="62" t="str" cm="1">
        <f t="array" ref="W139">Common_InputFunctions.Utility_DisplayArrayInTable(Fertiliser_SourceData.Fertiliser_Products_Data1(),FertiliserProducts[[#Headers],[Include or Exclude]], 0,4)</f>
        <v/>
      </c>
      <c r="X139" s="62" t="str" cm="1">
        <f t="array" ref="X139">Common_InputFunctions.Utility_DisplayArrayInTable(Fertiliser_SourceData.Fertiliser_Products_Data1(),FertiliserProducts[[#Headers],[Include or Exclude]], 0,4)</f>
        <v/>
      </c>
      <c r="Y139" s="62" t="str" cm="1">
        <f t="array" ref="Y139">Common_InputFunctions.Utility_DisplayArrayInTable(Fertiliser_SourceData.Fertiliser_Products_Data1(),FertiliserProducts[[#Headers],[Include or Exclude]], 0,4)</f>
        <v/>
      </c>
      <c r="Z139" s="62" t="str" cm="1">
        <f t="array" ref="Z139">Common_InputFunctions.Utility_DisplayArrayInTable(Fertiliser_SourceData.Fertiliser_Products_Data1(),FertiliserProducts[[#Headers],[Include or Exclude]], 0,4)</f>
        <v/>
      </c>
      <c r="AA139" s="62" t="str" cm="1">
        <f t="array" ref="AA139">Common_InputFunctions.Utility_DisplayArrayInTable(Fertiliser_SourceData.Fertiliser_Products_Data1(),FertiliserProducts[[#Headers],[Include or Exclude]], 0,4)</f>
        <v/>
      </c>
      <c r="AB139" s="62" t="str" cm="1">
        <f t="array" ref="AB139">Common_InputFunctions.Utility_DisplayArrayInTable(Fertiliser_SourceData.Fertiliser_Products_Data1(),FertiliserProducts[[#Headers],[Include or Exclude]], 0,4)</f>
        <v/>
      </c>
      <c r="AC139" s="62" t="str" cm="1">
        <f t="array" ref="AC139">Common_InputFunctions.Utility_DisplayArrayInTable(Fertiliser_SourceData.Fertiliser_Products_Data1(),FertiliserProducts[[#Headers],[Include or Exclude]], 0,4)</f>
        <v/>
      </c>
      <c r="AD139" s="62" t="str" cm="1">
        <f t="array" ref="AD139">Common_InputFunctions.Utility_DisplayArrayInTable(Fertiliser_SourceData.Fertiliser_Products_Data1(),FertiliserProducts[[#Headers],[Include or Exclude]], 0,4)</f>
        <v/>
      </c>
      <c r="AE139" s="62" t="str" cm="1">
        <f t="array" ref="AE139">Common_InputFunctions.Utility_DisplayArrayInTable(Fertiliser_SourceData.Fertiliser_Products_Data1(),FertiliserProducts[[#Headers],[Include or Exclude]], 0,4)</f>
        <v/>
      </c>
    </row>
    <row r="140" spans="1:31" ht="20.100000000000001" customHeight="1" x14ac:dyDescent="0.25">
      <c r="A140"/>
      <c r="D140" s="62" t="str" cm="1">
        <f t="array" ref="D140">Common_InputFunctions.Utility_DisplayArrayInTable(Fertiliser_SourceData.Fertiliser_Products_Data1(),FertiliserProducts[[#Headers],[Include or Exclude]], -1)</f>
        <v/>
      </c>
      <c r="E140" s="62" t="str" cm="1">
        <f t="array" ref="E140">Common_InputFunctions.Utility_DisplayArrayInTable(Fertiliser_SourceData.Fertiliser_Products_Data1(),FertiliserProducts[[#Headers],[Include or Exclude]], 0)</f>
        <v/>
      </c>
      <c r="F140" s="62" t="str" cm="1">
        <f t="array" ref="F140">Common_InputFunctions.Utility_DisplayArrayInTable(Fertiliser_SourceData.Fertiliser_Products_Data1(),FertiliserProducts[[#Headers],[Include or Exclude]], 0)</f>
        <v/>
      </c>
      <c r="G140" s="62" t="str" cm="1">
        <f t="array" ref="G140">Common_InputFunctions.Utility_DisplayArrayInTable(Fertiliser_SourceData.Fertiliser_Products_Data1(),FertiliserProducts[[#Headers],[Include or Exclude]], 0)</f>
        <v/>
      </c>
      <c r="H140" s="62" t="str" cm="1">
        <f t="array" ref="H140">Common_InputFunctions.Utility_DisplayArrayInTable(Fertiliser_SourceData.Fertiliser_Products_Data1(),FertiliserProducts[[#Headers],[Include or Exclude]], 0,4)</f>
        <v/>
      </c>
      <c r="I140" s="62" t="str" cm="1">
        <f t="array" ref="I140">Common_InputFunctions.Utility_DisplayArrayInTable(Fertiliser_SourceData.Fertiliser_Products_Data1(),FertiliserProducts[[#Headers],[Include or Exclude]], 0,4)</f>
        <v/>
      </c>
      <c r="J140" s="62" t="str" cm="1">
        <f t="array" ref="J140">Common_InputFunctions.Utility_DisplayArrayInTable(Fertiliser_SourceData.Fertiliser_Products_Data1(),FertiliserProducts[[#Headers],[Include or Exclude]], 0,4)</f>
        <v/>
      </c>
      <c r="K140" s="62" t="str" cm="1">
        <f t="array" ref="K140">Common_InputFunctions.Utility_DisplayArrayInTable(Fertiliser_SourceData.Fertiliser_Products_Data1(),FertiliserProducts[[#Headers],[Include or Exclude]], 0,4)</f>
        <v/>
      </c>
      <c r="L140" s="62" t="str" cm="1">
        <f t="array" ref="L140">Common_InputFunctions.Utility_DisplayArrayInTable(Fertiliser_SourceData.Fertiliser_Products_Data1(),FertiliserProducts[[#Headers],[Include or Exclude]], 0,4)</f>
        <v/>
      </c>
      <c r="M140" s="62" t="str" cm="1">
        <f t="array" ref="M140">Common_InputFunctions.Utility_DisplayArrayInTable(Fertiliser_SourceData.Fertiliser_Products_Data1(),FertiliserProducts[[#Headers],[Include or Exclude]], 0,4)</f>
        <v/>
      </c>
      <c r="N140" s="62" t="str" cm="1">
        <f t="array" ref="N140">Common_InputFunctions.Utility_DisplayArrayInTable(Fertiliser_SourceData.Fertiliser_Products_Data1(),FertiliserProducts[[#Headers],[Include or Exclude]], 0,4)</f>
        <v/>
      </c>
      <c r="O140" s="62" t="str" cm="1">
        <f t="array" ref="O140">Common_InputFunctions.Utility_DisplayArrayInTable(Fertiliser_SourceData.Fertiliser_Products_Data1(),FertiliserProducts[[#Headers],[Include or Exclude]], 0,4)</f>
        <v/>
      </c>
      <c r="P140" s="62" t="str" cm="1">
        <f t="array" ref="P140">Common_InputFunctions.Utility_DisplayArrayInTable(Fertiliser_SourceData.Fertiliser_Products_Data1(),FertiliserProducts[[#Headers],[Include or Exclude]], 0,4)</f>
        <v/>
      </c>
      <c r="Q140" s="62" t="str" cm="1">
        <f t="array" ref="Q140">Common_InputFunctions.Utility_DisplayArrayInTable(Fertiliser_SourceData.Fertiliser_Products_Data1(),FertiliserProducts[[#Headers],[Include or Exclude]], 0,4)</f>
        <v/>
      </c>
      <c r="R140" s="62" t="str" cm="1">
        <f t="array" ref="R140">Common_InputFunctions.Utility_DisplayArrayInTable(Fertiliser_SourceData.Fertiliser_Products_Data1(),FertiliserProducts[[#Headers],[Include or Exclude]], 0,4)</f>
        <v/>
      </c>
      <c r="S140" s="62" t="str" cm="1">
        <f t="array" ref="S140">Common_InputFunctions.Utility_DisplayArrayInTable(Fertiliser_SourceData.Fertiliser_Products_Data1(),FertiliserProducts[[#Headers],[Include or Exclude]], 0,4)</f>
        <v/>
      </c>
      <c r="T140" s="62" t="str" cm="1">
        <f t="array" ref="T140">Common_InputFunctions.Utility_DisplayArrayInTable(Fertiliser_SourceData.Fertiliser_Products_Data1(),FertiliserProducts[[#Headers],[Include or Exclude]], 0,4)</f>
        <v/>
      </c>
      <c r="U140" s="62" t="str" cm="1">
        <f t="array" ref="U140">Common_InputFunctions.Utility_DisplayArrayInTable(Fertiliser_SourceData.Fertiliser_Products_Data1(),FertiliserProducts[[#Headers],[Include or Exclude]], 0,4)</f>
        <v/>
      </c>
      <c r="V140" s="62" t="str" cm="1">
        <f t="array" ref="V140">Common_InputFunctions.Utility_DisplayArrayInTable(Fertiliser_SourceData.Fertiliser_Products_Data1(),FertiliserProducts[[#Headers],[Include or Exclude]], 0,4)</f>
        <v/>
      </c>
      <c r="W140" s="62" t="str" cm="1">
        <f t="array" ref="W140">Common_InputFunctions.Utility_DisplayArrayInTable(Fertiliser_SourceData.Fertiliser_Products_Data1(),FertiliserProducts[[#Headers],[Include or Exclude]], 0,4)</f>
        <v/>
      </c>
      <c r="X140" s="62" t="str" cm="1">
        <f t="array" ref="X140">Common_InputFunctions.Utility_DisplayArrayInTable(Fertiliser_SourceData.Fertiliser_Products_Data1(),FertiliserProducts[[#Headers],[Include or Exclude]], 0,4)</f>
        <v/>
      </c>
      <c r="Y140" s="62" t="str" cm="1">
        <f t="array" ref="Y140">Common_InputFunctions.Utility_DisplayArrayInTable(Fertiliser_SourceData.Fertiliser_Products_Data1(),FertiliserProducts[[#Headers],[Include or Exclude]], 0,4)</f>
        <v/>
      </c>
      <c r="Z140" s="62" t="str" cm="1">
        <f t="array" ref="Z140">Common_InputFunctions.Utility_DisplayArrayInTable(Fertiliser_SourceData.Fertiliser_Products_Data1(),FertiliserProducts[[#Headers],[Include or Exclude]], 0,4)</f>
        <v/>
      </c>
      <c r="AA140" s="62" t="str" cm="1">
        <f t="array" ref="AA140">Common_InputFunctions.Utility_DisplayArrayInTable(Fertiliser_SourceData.Fertiliser_Products_Data1(),FertiliserProducts[[#Headers],[Include or Exclude]], 0,4)</f>
        <v/>
      </c>
      <c r="AB140" s="62" t="str" cm="1">
        <f t="array" ref="AB140">Common_InputFunctions.Utility_DisplayArrayInTable(Fertiliser_SourceData.Fertiliser_Products_Data1(),FertiliserProducts[[#Headers],[Include or Exclude]], 0,4)</f>
        <v/>
      </c>
      <c r="AC140" s="62" t="str" cm="1">
        <f t="array" ref="AC140">Common_InputFunctions.Utility_DisplayArrayInTable(Fertiliser_SourceData.Fertiliser_Products_Data1(),FertiliserProducts[[#Headers],[Include or Exclude]], 0,4)</f>
        <v/>
      </c>
      <c r="AD140" s="62" t="str" cm="1">
        <f t="array" ref="AD140">Common_InputFunctions.Utility_DisplayArrayInTable(Fertiliser_SourceData.Fertiliser_Products_Data1(),FertiliserProducts[[#Headers],[Include or Exclude]], 0,4)</f>
        <v/>
      </c>
      <c r="AE140" s="62" t="str" cm="1">
        <f t="array" ref="AE140">Common_InputFunctions.Utility_DisplayArrayInTable(Fertiliser_SourceData.Fertiliser_Products_Data1(),FertiliserProducts[[#Headers],[Include or Exclude]], 0,4)</f>
        <v/>
      </c>
    </row>
    <row r="141" spans="1:31" ht="20.100000000000001" customHeight="1" x14ac:dyDescent="0.25">
      <c r="A141"/>
      <c r="D141" s="62" t="str" cm="1">
        <f t="array" ref="D141">Common_InputFunctions.Utility_DisplayArrayInTable(Fertiliser_SourceData.Fertiliser_Products_Data1(),FertiliserProducts[[#Headers],[Include or Exclude]], -1)</f>
        <v/>
      </c>
      <c r="E141" s="62" t="str" cm="1">
        <f t="array" ref="E141">Common_InputFunctions.Utility_DisplayArrayInTable(Fertiliser_SourceData.Fertiliser_Products_Data1(),FertiliserProducts[[#Headers],[Include or Exclude]], 0)</f>
        <v/>
      </c>
      <c r="F141" s="62" t="str" cm="1">
        <f t="array" ref="F141">Common_InputFunctions.Utility_DisplayArrayInTable(Fertiliser_SourceData.Fertiliser_Products_Data1(),FertiliserProducts[[#Headers],[Include or Exclude]], 0)</f>
        <v/>
      </c>
      <c r="G141" s="62" t="str" cm="1">
        <f t="array" ref="G141">Common_InputFunctions.Utility_DisplayArrayInTable(Fertiliser_SourceData.Fertiliser_Products_Data1(),FertiliserProducts[[#Headers],[Include or Exclude]], 0)</f>
        <v/>
      </c>
      <c r="H141" s="62" t="str" cm="1">
        <f t="array" ref="H141">Common_InputFunctions.Utility_DisplayArrayInTable(Fertiliser_SourceData.Fertiliser_Products_Data1(),FertiliserProducts[[#Headers],[Include or Exclude]], 0,4)</f>
        <v/>
      </c>
      <c r="I141" s="62" t="str" cm="1">
        <f t="array" ref="I141">Common_InputFunctions.Utility_DisplayArrayInTable(Fertiliser_SourceData.Fertiliser_Products_Data1(),FertiliserProducts[[#Headers],[Include or Exclude]], 0,4)</f>
        <v/>
      </c>
      <c r="J141" s="62" t="str" cm="1">
        <f t="array" ref="J141">Common_InputFunctions.Utility_DisplayArrayInTable(Fertiliser_SourceData.Fertiliser_Products_Data1(),FertiliserProducts[[#Headers],[Include or Exclude]], 0,4)</f>
        <v/>
      </c>
      <c r="K141" s="62" t="str" cm="1">
        <f t="array" ref="K141">Common_InputFunctions.Utility_DisplayArrayInTable(Fertiliser_SourceData.Fertiliser_Products_Data1(),FertiliserProducts[[#Headers],[Include or Exclude]], 0,4)</f>
        <v/>
      </c>
      <c r="L141" s="62" t="str" cm="1">
        <f t="array" ref="L141">Common_InputFunctions.Utility_DisplayArrayInTable(Fertiliser_SourceData.Fertiliser_Products_Data1(),FertiliserProducts[[#Headers],[Include or Exclude]], 0,4)</f>
        <v/>
      </c>
      <c r="M141" s="62" t="str" cm="1">
        <f t="array" ref="M141">Common_InputFunctions.Utility_DisplayArrayInTable(Fertiliser_SourceData.Fertiliser_Products_Data1(),FertiliserProducts[[#Headers],[Include or Exclude]], 0,4)</f>
        <v/>
      </c>
      <c r="N141" s="62" t="str" cm="1">
        <f t="array" ref="N141">Common_InputFunctions.Utility_DisplayArrayInTable(Fertiliser_SourceData.Fertiliser_Products_Data1(),FertiliserProducts[[#Headers],[Include or Exclude]], 0,4)</f>
        <v/>
      </c>
      <c r="O141" s="62" t="str" cm="1">
        <f t="array" ref="O141">Common_InputFunctions.Utility_DisplayArrayInTable(Fertiliser_SourceData.Fertiliser_Products_Data1(),FertiliserProducts[[#Headers],[Include or Exclude]], 0,4)</f>
        <v/>
      </c>
      <c r="P141" s="62" t="str" cm="1">
        <f t="array" ref="P141">Common_InputFunctions.Utility_DisplayArrayInTable(Fertiliser_SourceData.Fertiliser_Products_Data1(),FertiliserProducts[[#Headers],[Include or Exclude]], 0,4)</f>
        <v/>
      </c>
      <c r="Q141" s="62" t="str" cm="1">
        <f t="array" ref="Q141">Common_InputFunctions.Utility_DisplayArrayInTable(Fertiliser_SourceData.Fertiliser_Products_Data1(),FertiliserProducts[[#Headers],[Include or Exclude]], 0,4)</f>
        <v/>
      </c>
      <c r="R141" s="62" t="str" cm="1">
        <f t="array" ref="R141">Common_InputFunctions.Utility_DisplayArrayInTable(Fertiliser_SourceData.Fertiliser_Products_Data1(),FertiliserProducts[[#Headers],[Include or Exclude]], 0,4)</f>
        <v/>
      </c>
      <c r="S141" s="62" t="str" cm="1">
        <f t="array" ref="S141">Common_InputFunctions.Utility_DisplayArrayInTable(Fertiliser_SourceData.Fertiliser_Products_Data1(),FertiliserProducts[[#Headers],[Include or Exclude]], 0,4)</f>
        <v/>
      </c>
      <c r="T141" s="62" t="str" cm="1">
        <f t="array" ref="T141">Common_InputFunctions.Utility_DisplayArrayInTable(Fertiliser_SourceData.Fertiliser_Products_Data1(),FertiliserProducts[[#Headers],[Include or Exclude]], 0,4)</f>
        <v/>
      </c>
      <c r="U141" s="62" t="str" cm="1">
        <f t="array" ref="U141">Common_InputFunctions.Utility_DisplayArrayInTable(Fertiliser_SourceData.Fertiliser_Products_Data1(),FertiliserProducts[[#Headers],[Include or Exclude]], 0,4)</f>
        <v/>
      </c>
      <c r="V141" s="62" t="str" cm="1">
        <f t="array" ref="V141">Common_InputFunctions.Utility_DisplayArrayInTable(Fertiliser_SourceData.Fertiliser_Products_Data1(),FertiliserProducts[[#Headers],[Include or Exclude]], 0,4)</f>
        <v/>
      </c>
      <c r="W141" s="62" t="str" cm="1">
        <f t="array" ref="W141">Common_InputFunctions.Utility_DisplayArrayInTable(Fertiliser_SourceData.Fertiliser_Products_Data1(),FertiliserProducts[[#Headers],[Include or Exclude]], 0,4)</f>
        <v/>
      </c>
      <c r="X141" s="62" t="str" cm="1">
        <f t="array" ref="X141">Common_InputFunctions.Utility_DisplayArrayInTable(Fertiliser_SourceData.Fertiliser_Products_Data1(),FertiliserProducts[[#Headers],[Include or Exclude]], 0,4)</f>
        <v/>
      </c>
      <c r="Y141" s="62" t="str" cm="1">
        <f t="array" ref="Y141">Common_InputFunctions.Utility_DisplayArrayInTable(Fertiliser_SourceData.Fertiliser_Products_Data1(),FertiliserProducts[[#Headers],[Include or Exclude]], 0,4)</f>
        <v/>
      </c>
      <c r="Z141" s="62" t="str" cm="1">
        <f t="array" ref="Z141">Common_InputFunctions.Utility_DisplayArrayInTable(Fertiliser_SourceData.Fertiliser_Products_Data1(),FertiliserProducts[[#Headers],[Include or Exclude]], 0,4)</f>
        <v/>
      </c>
      <c r="AA141" s="62" t="str" cm="1">
        <f t="array" ref="AA141">Common_InputFunctions.Utility_DisplayArrayInTable(Fertiliser_SourceData.Fertiliser_Products_Data1(),FertiliserProducts[[#Headers],[Include or Exclude]], 0,4)</f>
        <v/>
      </c>
      <c r="AB141" s="62" t="str" cm="1">
        <f t="array" ref="AB141">Common_InputFunctions.Utility_DisplayArrayInTable(Fertiliser_SourceData.Fertiliser_Products_Data1(),FertiliserProducts[[#Headers],[Include or Exclude]], 0,4)</f>
        <v/>
      </c>
      <c r="AC141" s="62" t="str" cm="1">
        <f t="array" ref="AC141">Common_InputFunctions.Utility_DisplayArrayInTable(Fertiliser_SourceData.Fertiliser_Products_Data1(),FertiliserProducts[[#Headers],[Include or Exclude]], 0,4)</f>
        <v/>
      </c>
      <c r="AD141" s="62" t="str" cm="1">
        <f t="array" ref="AD141">Common_InputFunctions.Utility_DisplayArrayInTable(Fertiliser_SourceData.Fertiliser_Products_Data1(),FertiliserProducts[[#Headers],[Include or Exclude]], 0,4)</f>
        <v/>
      </c>
      <c r="AE141" s="62" t="str" cm="1">
        <f t="array" ref="AE141">Common_InputFunctions.Utility_DisplayArrayInTable(Fertiliser_SourceData.Fertiliser_Products_Data1(),FertiliserProducts[[#Headers],[Include or Exclude]], 0,4)</f>
        <v/>
      </c>
    </row>
    <row r="142" spans="1:31" ht="20.100000000000001" customHeight="1" x14ac:dyDescent="0.25">
      <c r="A142"/>
      <c r="D142" s="62" t="str" cm="1">
        <f t="array" ref="D142">Common_InputFunctions.Utility_DisplayArrayInTable(Fertiliser_SourceData.Fertiliser_Products_Data1(),FertiliserProducts[[#Headers],[Include or Exclude]], -1)</f>
        <v/>
      </c>
      <c r="E142" s="62" t="str" cm="1">
        <f t="array" ref="E142">Common_InputFunctions.Utility_DisplayArrayInTable(Fertiliser_SourceData.Fertiliser_Products_Data1(),FertiliserProducts[[#Headers],[Include or Exclude]], 0)</f>
        <v/>
      </c>
      <c r="F142" s="62" t="str" cm="1">
        <f t="array" ref="F142">Common_InputFunctions.Utility_DisplayArrayInTable(Fertiliser_SourceData.Fertiliser_Products_Data1(),FertiliserProducts[[#Headers],[Include or Exclude]], 0)</f>
        <v/>
      </c>
      <c r="G142" s="62" t="str" cm="1">
        <f t="array" ref="G142">Common_InputFunctions.Utility_DisplayArrayInTable(Fertiliser_SourceData.Fertiliser_Products_Data1(),FertiliserProducts[[#Headers],[Include or Exclude]], 0)</f>
        <v/>
      </c>
      <c r="H142" s="62" t="str" cm="1">
        <f t="array" ref="H142">Common_InputFunctions.Utility_DisplayArrayInTable(Fertiliser_SourceData.Fertiliser_Products_Data1(),FertiliserProducts[[#Headers],[Include or Exclude]], 0,4)</f>
        <v/>
      </c>
      <c r="I142" s="62" t="str" cm="1">
        <f t="array" ref="I142">Common_InputFunctions.Utility_DisplayArrayInTable(Fertiliser_SourceData.Fertiliser_Products_Data1(),FertiliserProducts[[#Headers],[Include or Exclude]], 0,4)</f>
        <v/>
      </c>
      <c r="J142" s="62" t="str" cm="1">
        <f t="array" ref="J142">Common_InputFunctions.Utility_DisplayArrayInTable(Fertiliser_SourceData.Fertiliser_Products_Data1(),FertiliserProducts[[#Headers],[Include or Exclude]], 0,4)</f>
        <v/>
      </c>
      <c r="K142" s="62" t="str" cm="1">
        <f t="array" ref="K142">Common_InputFunctions.Utility_DisplayArrayInTable(Fertiliser_SourceData.Fertiliser_Products_Data1(),FertiliserProducts[[#Headers],[Include or Exclude]], 0,4)</f>
        <v/>
      </c>
      <c r="L142" s="62" t="str" cm="1">
        <f t="array" ref="L142">Common_InputFunctions.Utility_DisplayArrayInTable(Fertiliser_SourceData.Fertiliser_Products_Data1(),FertiliserProducts[[#Headers],[Include or Exclude]], 0,4)</f>
        <v/>
      </c>
      <c r="M142" s="62" t="str" cm="1">
        <f t="array" ref="M142">Common_InputFunctions.Utility_DisplayArrayInTable(Fertiliser_SourceData.Fertiliser_Products_Data1(),FertiliserProducts[[#Headers],[Include or Exclude]], 0,4)</f>
        <v/>
      </c>
      <c r="N142" s="62" t="str" cm="1">
        <f t="array" ref="N142">Common_InputFunctions.Utility_DisplayArrayInTable(Fertiliser_SourceData.Fertiliser_Products_Data1(),FertiliserProducts[[#Headers],[Include or Exclude]], 0,4)</f>
        <v/>
      </c>
      <c r="O142" s="62" t="str" cm="1">
        <f t="array" ref="O142">Common_InputFunctions.Utility_DisplayArrayInTable(Fertiliser_SourceData.Fertiliser_Products_Data1(),FertiliserProducts[[#Headers],[Include or Exclude]], 0,4)</f>
        <v/>
      </c>
      <c r="P142" s="62" t="str" cm="1">
        <f t="array" ref="P142">Common_InputFunctions.Utility_DisplayArrayInTable(Fertiliser_SourceData.Fertiliser_Products_Data1(),FertiliserProducts[[#Headers],[Include or Exclude]], 0,4)</f>
        <v/>
      </c>
      <c r="Q142" s="62" t="str" cm="1">
        <f t="array" ref="Q142">Common_InputFunctions.Utility_DisplayArrayInTable(Fertiliser_SourceData.Fertiliser_Products_Data1(),FertiliserProducts[[#Headers],[Include or Exclude]], 0,4)</f>
        <v/>
      </c>
      <c r="R142" s="62" t="str" cm="1">
        <f t="array" ref="R142">Common_InputFunctions.Utility_DisplayArrayInTable(Fertiliser_SourceData.Fertiliser_Products_Data1(),FertiliserProducts[[#Headers],[Include or Exclude]], 0,4)</f>
        <v/>
      </c>
      <c r="S142" s="62" t="str" cm="1">
        <f t="array" ref="S142">Common_InputFunctions.Utility_DisplayArrayInTable(Fertiliser_SourceData.Fertiliser_Products_Data1(),FertiliserProducts[[#Headers],[Include or Exclude]], 0,4)</f>
        <v/>
      </c>
      <c r="T142" s="62" t="str" cm="1">
        <f t="array" ref="T142">Common_InputFunctions.Utility_DisplayArrayInTable(Fertiliser_SourceData.Fertiliser_Products_Data1(),FertiliserProducts[[#Headers],[Include or Exclude]], 0,4)</f>
        <v/>
      </c>
      <c r="U142" s="62" t="str" cm="1">
        <f t="array" ref="U142">Common_InputFunctions.Utility_DisplayArrayInTable(Fertiliser_SourceData.Fertiliser_Products_Data1(),FertiliserProducts[[#Headers],[Include or Exclude]], 0,4)</f>
        <v/>
      </c>
      <c r="V142" s="62" t="str" cm="1">
        <f t="array" ref="V142">Common_InputFunctions.Utility_DisplayArrayInTable(Fertiliser_SourceData.Fertiliser_Products_Data1(),FertiliserProducts[[#Headers],[Include or Exclude]], 0,4)</f>
        <v/>
      </c>
      <c r="W142" s="62" t="str" cm="1">
        <f t="array" ref="W142">Common_InputFunctions.Utility_DisplayArrayInTable(Fertiliser_SourceData.Fertiliser_Products_Data1(),FertiliserProducts[[#Headers],[Include or Exclude]], 0,4)</f>
        <v/>
      </c>
      <c r="X142" s="62" t="str" cm="1">
        <f t="array" ref="X142">Common_InputFunctions.Utility_DisplayArrayInTable(Fertiliser_SourceData.Fertiliser_Products_Data1(),FertiliserProducts[[#Headers],[Include or Exclude]], 0,4)</f>
        <v/>
      </c>
      <c r="Y142" s="62" t="str" cm="1">
        <f t="array" ref="Y142">Common_InputFunctions.Utility_DisplayArrayInTable(Fertiliser_SourceData.Fertiliser_Products_Data1(),FertiliserProducts[[#Headers],[Include or Exclude]], 0,4)</f>
        <v/>
      </c>
      <c r="Z142" s="62" t="str" cm="1">
        <f t="array" ref="Z142">Common_InputFunctions.Utility_DisplayArrayInTable(Fertiliser_SourceData.Fertiliser_Products_Data1(),FertiliserProducts[[#Headers],[Include or Exclude]], 0,4)</f>
        <v/>
      </c>
      <c r="AA142" s="62" t="str" cm="1">
        <f t="array" ref="AA142">Common_InputFunctions.Utility_DisplayArrayInTable(Fertiliser_SourceData.Fertiliser_Products_Data1(),FertiliserProducts[[#Headers],[Include or Exclude]], 0,4)</f>
        <v/>
      </c>
      <c r="AB142" s="62" t="str" cm="1">
        <f t="array" ref="AB142">Common_InputFunctions.Utility_DisplayArrayInTable(Fertiliser_SourceData.Fertiliser_Products_Data1(),FertiliserProducts[[#Headers],[Include or Exclude]], 0,4)</f>
        <v/>
      </c>
      <c r="AC142" s="62" t="str" cm="1">
        <f t="array" ref="AC142">Common_InputFunctions.Utility_DisplayArrayInTable(Fertiliser_SourceData.Fertiliser_Products_Data1(),FertiliserProducts[[#Headers],[Include or Exclude]], 0,4)</f>
        <v/>
      </c>
      <c r="AD142" s="62" t="str" cm="1">
        <f t="array" ref="AD142">Common_InputFunctions.Utility_DisplayArrayInTable(Fertiliser_SourceData.Fertiliser_Products_Data1(),FertiliserProducts[[#Headers],[Include or Exclude]], 0,4)</f>
        <v/>
      </c>
      <c r="AE142" s="62" t="str" cm="1">
        <f t="array" ref="AE142">Common_InputFunctions.Utility_DisplayArrayInTable(Fertiliser_SourceData.Fertiliser_Products_Data1(),FertiliserProducts[[#Headers],[Include or Exclude]], 0,4)</f>
        <v/>
      </c>
    </row>
    <row r="143" spans="1:31" ht="20.100000000000001" customHeight="1" x14ac:dyDescent="0.25">
      <c r="A143"/>
      <c r="D143" s="62" t="str" cm="1">
        <f t="array" ref="D143">Common_InputFunctions.Utility_DisplayArrayInTable(Fertiliser_SourceData.Fertiliser_Products_Data1(),FertiliserProducts[[#Headers],[Include or Exclude]], -1)</f>
        <v/>
      </c>
      <c r="E143" s="62" t="str" cm="1">
        <f t="array" ref="E143">Common_InputFunctions.Utility_DisplayArrayInTable(Fertiliser_SourceData.Fertiliser_Products_Data1(),FertiliserProducts[[#Headers],[Include or Exclude]], 0)</f>
        <v/>
      </c>
      <c r="F143" s="62" t="str" cm="1">
        <f t="array" ref="F143">Common_InputFunctions.Utility_DisplayArrayInTable(Fertiliser_SourceData.Fertiliser_Products_Data1(),FertiliserProducts[[#Headers],[Include or Exclude]], 0)</f>
        <v/>
      </c>
      <c r="G143" s="62" t="str" cm="1">
        <f t="array" ref="G143">Common_InputFunctions.Utility_DisplayArrayInTable(Fertiliser_SourceData.Fertiliser_Products_Data1(),FertiliserProducts[[#Headers],[Include or Exclude]], 0)</f>
        <v/>
      </c>
      <c r="H143" s="62" t="str" cm="1">
        <f t="array" ref="H143">Common_InputFunctions.Utility_DisplayArrayInTable(Fertiliser_SourceData.Fertiliser_Products_Data1(),FertiliserProducts[[#Headers],[Include or Exclude]], 0,4)</f>
        <v/>
      </c>
      <c r="I143" s="62" t="str" cm="1">
        <f t="array" ref="I143">Common_InputFunctions.Utility_DisplayArrayInTable(Fertiliser_SourceData.Fertiliser_Products_Data1(),FertiliserProducts[[#Headers],[Include or Exclude]], 0,4)</f>
        <v/>
      </c>
      <c r="J143" s="62" t="str" cm="1">
        <f t="array" ref="J143">Common_InputFunctions.Utility_DisplayArrayInTable(Fertiliser_SourceData.Fertiliser_Products_Data1(),FertiliserProducts[[#Headers],[Include or Exclude]], 0,4)</f>
        <v/>
      </c>
      <c r="K143" s="62" t="str" cm="1">
        <f t="array" ref="K143">Common_InputFunctions.Utility_DisplayArrayInTable(Fertiliser_SourceData.Fertiliser_Products_Data1(),FertiliserProducts[[#Headers],[Include or Exclude]], 0,4)</f>
        <v/>
      </c>
      <c r="L143" s="62" t="str" cm="1">
        <f t="array" ref="L143">Common_InputFunctions.Utility_DisplayArrayInTable(Fertiliser_SourceData.Fertiliser_Products_Data1(),FertiliserProducts[[#Headers],[Include or Exclude]], 0,4)</f>
        <v/>
      </c>
      <c r="M143" s="62" t="str" cm="1">
        <f t="array" ref="M143">Common_InputFunctions.Utility_DisplayArrayInTable(Fertiliser_SourceData.Fertiliser_Products_Data1(),FertiliserProducts[[#Headers],[Include or Exclude]], 0,4)</f>
        <v/>
      </c>
      <c r="N143" s="62" t="str" cm="1">
        <f t="array" ref="N143">Common_InputFunctions.Utility_DisplayArrayInTable(Fertiliser_SourceData.Fertiliser_Products_Data1(),FertiliserProducts[[#Headers],[Include or Exclude]], 0,4)</f>
        <v/>
      </c>
      <c r="O143" s="62" t="str" cm="1">
        <f t="array" ref="O143">Common_InputFunctions.Utility_DisplayArrayInTable(Fertiliser_SourceData.Fertiliser_Products_Data1(),FertiliserProducts[[#Headers],[Include or Exclude]], 0,4)</f>
        <v/>
      </c>
      <c r="P143" s="62" t="str" cm="1">
        <f t="array" ref="P143">Common_InputFunctions.Utility_DisplayArrayInTable(Fertiliser_SourceData.Fertiliser_Products_Data1(),FertiliserProducts[[#Headers],[Include or Exclude]], 0,4)</f>
        <v/>
      </c>
      <c r="Q143" s="62" t="str" cm="1">
        <f t="array" ref="Q143">Common_InputFunctions.Utility_DisplayArrayInTable(Fertiliser_SourceData.Fertiliser_Products_Data1(),FertiliserProducts[[#Headers],[Include or Exclude]], 0,4)</f>
        <v/>
      </c>
      <c r="R143" s="62" t="str" cm="1">
        <f t="array" ref="R143">Common_InputFunctions.Utility_DisplayArrayInTable(Fertiliser_SourceData.Fertiliser_Products_Data1(),FertiliserProducts[[#Headers],[Include or Exclude]], 0,4)</f>
        <v/>
      </c>
      <c r="S143" s="62" t="str" cm="1">
        <f t="array" ref="S143">Common_InputFunctions.Utility_DisplayArrayInTable(Fertiliser_SourceData.Fertiliser_Products_Data1(),FertiliserProducts[[#Headers],[Include or Exclude]], 0,4)</f>
        <v/>
      </c>
      <c r="T143" s="62" t="str" cm="1">
        <f t="array" ref="T143">Common_InputFunctions.Utility_DisplayArrayInTable(Fertiliser_SourceData.Fertiliser_Products_Data1(),FertiliserProducts[[#Headers],[Include or Exclude]], 0,4)</f>
        <v/>
      </c>
      <c r="U143" s="62" t="str" cm="1">
        <f t="array" ref="U143">Common_InputFunctions.Utility_DisplayArrayInTable(Fertiliser_SourceData.Fertiliser_Products_Data1(),FertiliserProducts[[#Headers],[Include or Exclude]], 0,4)</f>
        <v/>
      </c>
      <c r="V143" s="62" t="str" cm="1">
        <f t="array" ref="V143">Common_InputFunctions.Utility_DisplayArrayInTable(Fertiliser_SourceData.Fertiliser_Products_Data1(),FertiliserProducts[[#Headers],[Include or Exclude]], 0,4)</f>
        <v/>
      </c>
      <c r="W143" s="62" t="str" cm="1">
        <f t="array" ref="W143">Common_InputFunctions.Utility_DisplayArrayInTable(Fertiliser_SourceData.Fertiliser_Products_Data1(),FertiliserProducts[[#Headers],[Include or Exclude]], 0,4)</f>
        <v/>
      </c>
      <c r="X143" s="62" t="str" cm="1">
        <f t="array" ref="X143">Common_InputFunctions.Utility_DisplayArrayInTable(Fertiliser_SourceData.Fertiliser_Products_Data1(),FertiliserProducts[[#Headers],[Include or Exclude]], 0,4)</f>
        <v/>
      </c>
      <c r="Y143" s="62" t="str" cm="1">
        <f t="array" ref="Y143">Common_InputFunctions.Utility_DisplayArrayInTable(Fertiliser_SourceData.Fertiliser_Products_Data1(),FertiliserProducts[[#Headers],[Include or Exclude]], 0,4)</f>
        <v/>
      </c>
      <c r="Z143" s="62" t="str" cm="1">
        <f t="array" ref="Z143">Common_InputFunctions.Utility_DisplayArrayInTable(Fertiliser_SourceData.Fertiliser_Products_Data1(),FertiliserProducts[[#Headers],[Include or Exclude]], 0,4)</f>
        <v/>
      </c>
      <c r="AA143" s="62" t="str" cm="1">
        <f t="array" ref="AA143">Common_InputFunctions.Utility_DisplayArrayInTable(Fertiliser_SourceData.Fertiliser_Products_Data1(),FertiliserProducts[[#Headers],[Include or Exclude]], 0,4)</f>
        <v/>
      </c>
      <c r="AB143" s="62" t="str" cm="1">
        <f t="array" ref="AB143">Common_InputFunctions.Utility_DisplayArrayInTable(Fertiliser_SourceData.Fertiliser_Products_Data1(),FertiliserProducts[[#Headers],[Include or Exclude]], 0,4)</f>
        <v/>
      </c>
      <c r="AC143" s="62" t="str" cm="1">
        <f t="array" ref="AC143">Common_InputFunctions.Utility_DisplayArrayInTable(Fertiliser_SourceData.Fertiliser_Products_Data1(),FertiliserProducts[[#Headers],[Include or Exclude]], 0,4)</f>
        <v/>
      </c>
      <c r="AD143" s="62" t="str" cm="1">
        <f t="array" ref="AD143">Common_InputFunctions.Utility_DisplayArrayInTable(Fertiliser_SourceData.Fertiliser_Products_Data1(),FertiliserProducts[[#Headers],[Include or Exclude]], 0,4)</f>
        <v/>
      </c>
      <c r="AE143" s="62" t="str" cm="1">
        <f t="array" ref="AE143">Common_InputFunctions.Utility_DisplayArrayInTable(Fertiliser_SourceData.Fertiliser_Products_Data1(),FertiliserProducts[[#Headers],[Include or Exclude]], 0,4)</f>
        <v/>
      </c>
    </row>
    <row r="144" spans="1:31" ht="20.100000000000001" customHeight="1" x14ac:dyDescent="0.25">
      <c r="A144"/>
      <c r="D144" s="62" t="str" cm="1">
        <f t="array" ref="D144">Common_InputFunctions.Utility_DisplayArrayInTable(Fertiliser_SourceData.Fertiliser_Products_Data1(),FertiliserProducts[[#Headers],[Include or Exclude]], -1)</f>
        <v/>
      </c>
      <c r="E144" s="62" t="str" cm="1">
        <f t="array" ref="E144">Common_InputFunctions.Utility_DisplayArrayInTable(Fertiliser_SourceData.Fertiliser_Products_Data1(),FertiliserProducts[[#Headers],[Include or Exclude]], 0)</f>
        <v/>
      </c>
      <c r="F144" s="62" t="str" cm="1">
        <f t="array" ref="F144">Common_InputFunctions.Utility_DisplayArrayInTable(Fertiliser_SourceData.Fertiliser_Products_Data1(),FertiliserProducts[[#Headers],[Include or Exclude]], 0)</f>
        <v/>
      </c>
      <c r="G144" s="62" t="str" cm="1">
        <f t="array" ref="G144">Common_InputFunctions.Utility_DisplayArrayInTable(Fertiliser_SourceData.Fertiliser_Products_Data1(),FertiliserProducts[[#Headers],[Include or Exclude]], 0)</f>
        <v/>
      </c>
      <c r="H144" s="62" t="str" cm="1">
        <f t="array" ref="H144">Common_InputFunctions.Utility_DisplayArrayInTable(Fertiliser_SourceData.Fertiliser_Products_Data1(),FertiliserProducts[[#Headers],[Include or Exclude]], 0,4)</f>
        <v/>
      </c>
      <c r="I144" s="62" t="str" cm="1">
        <f t="array" ref="I144">Common_InputFunctions.Utility_DisplayArrayInTable(Fertiliser_SourceData.Fertiliser_Products_Data1(),FertiliserProducts[[#Headers],[Include or Exclude]], 0,4)</f>
        <v/>
      </c>
      <c r="J144" s="62" t="str" cm="1">
        <f t="array" ref="J144">Common_InputFunctions.Utility_DisplayArrayInTable(Fertiliser_SourceData.Fertiliser_Products_Data1(),FertiliserProducts[[#Headers],[Include or Exclude]], 0,4)</f>
        <v/>
      </c>
      <c r="K144" s="62" t="str" cm="1">
        <f t="array" ref="K144">Common_InputFunctions.Utility_DisplayArrayInTable(Fertiliser_SourceData.Fertiliser_Products_Data1(),FertiliserProducts[[#Headers],[Include or Exclude]], 0,4)</f>
        <v/>
      </c>
      <c r="L144" s="62" t="str" cm="1">
        <f t="array" ref="L144">Common_InputFunctions.Utility_DisplayArrayInTable(Fertiliser_SourceData.Fertiliser_Products_Data1(),FertiliserProducts[[#Headers],[Include or Exclude]], 0,4)</f>
        <v/>
      </c>
      <c r="M144" s="62" t="str" cm="1">
        <f t="array" ref="M144">Common_InputFunctions.Utility_DisplayArrayInTable(Fertiliser_SourceData.Fertiliser_Products_Data1(),FertiliserProducts[[#Headers],[Include or Exclude]], 0,4)</f>
        <v/>
      </c>
      <c r="N144" s="62" t="str" cm="1">
        <f t="array" ref="N144">Common_InputFunctions.Utility_DisplayArrayInTable(Fertiliser_SourceData.Fertiliser_Products_Data1(),FertiliserProducts[[#Headers],[Include or Exclude]], 0,4)</f>
        <v/>
      </c>
      <c r="O144" s="62" t="str" cm="1">
        <f t="array" ref="O144">Common_InputFunctions.Utility_DisplayArrayInTable(Fertiliser_SourceData.Fertiliser_Products_Data1(),FertiliserProducts[[#Headers],[Include or Exclude]], 0,4)</f>
        <v/>
      </c>
      <c r="P144" s="62" t="str" cm="1">
        <f t="array" ref="P144">Common_InputFunctions.Utility_DisplayArrayInTable(Fertiliser_SourceData.Fertiliser_Products_Data1(),FertiliserProducts[[#Headers],[Include or Exclude]], 0,4)</f>
        <v/>
      </c>
      <c r="Q144" s="62" t="str" cm="1">
        <f t="array" ref="Q144">Common_InputFunctions.Utility_DisplayArrayInTable(Fertiliser_SourceData.Fertiliser_Products_Data1(),FertiliserProducts[[#Headers],[Include or Exclude]], 0,4)</f>
        <v/>
      </c>
      <c r="R144" s="62" t="str" cm="1">
        <f t="array" ref="R144">Common_InputFunctions.Utility_DisplayArrayInTable(Fertiliser_SourceData.Fertiliser_Products_Data1(),FertiliserProducts[[#Headers],[Include or Exclude]], 0,4)</f>
        <v/>
      </c>
      <c r="S144" s="62" t="str" cm="1">
        <f t="array" ref="S144">Common_InputFunctions.Utility_DisplayArrayInTable(Fertiliser_SourceData.Fertiliser_Products_Data1(),FertiliserProducts[[#Headers],[Include or Exclude]], 0,4)</f>
        <v/>
      </c>
      <c r="T144" s="62" t="str" cm="1">
        <f t="array" ref="T144">Common_InputFunctions.Utility_DisplayArrayInTable(Fertiliser_SourceData.Fertiliser_Products_Data1(),FertiliserProducts[[#Headers],[Include or Exclude]], 0,4)</f>
        <v/>
      </c>
      <c r="U144" s="62" t="str" cm="1">
        <f t="array" ref="U144">Common_InputFunctions.Utility_DisplayArrayInTable(Fertiliser_SourceData.Fertiliser_Products_Data1(),FertiliserProducts[[#Headers],[Include or Exclude]], 0,4)</f>
        <v/>
      </c>
      <c r="V144" s="62" t="str" cm="1">
        <f t="array" ref="V144">Common_InputFunctions.Utility_DisplayArrayInTable(Fertiliser_SourceData.Fertiliser_Products_Data1(),FertiliserProducts[[#Headers],[Include or Exclude]], 0,4)</f>
        <v/>
      </c>
      <c r="W144" s="62" t="str" cm="1">
        <f t="array" ref="W144">Common_InputFunctions.Utility_DisplayArrayInTable(Fertiliser_SourceData.Fertiliser_Products_Data1(),FertiliserProducts[[#Headers],[Include or Exclude]], 0,4)</f>
        <v/>
      </c>
      <c r="X144" s="62" t="str" cm="1">
        <f t="array" ref="X144">Common_InputFunctions.Utility_DisplayArrayInTable(Fertiliser_SourceData.Fertiliser_Products_Data1(),FertiliserProducts[[#Headers],[Include or Exclude]], 0,4)</f>
        <v/>
      </c>
      <c r="Y144" s="62" t="str" cm="1">
        <f t="array" ref="Y144">Common_InputFunctions.Utility_DisplayArrayInTable(Fertiliser_SourceData.Fertiliser_Products_Data1(),FertiliserProducts[[#Headers],[Include or Exclude]], 0,4)</f>
        <v/>
      </c>
      <c r="Z144" s="62" t="str" cm="1">
        <f t="array" ref="Z144">Common_InputFunctions.Utility_DisplayArrayInTable(Fertiliser_SourceData.Fertiliser_Products_Data1(),FertiliserProducts[[#Headers],[Include or Exclude]], 0,4)</f>
        <v/>
      </c>
      <c r="AA144" s="62" t="str" cm="1">
        <f t="array" ref="AA144">Common_InputFunctions.Utility_DisplayArrayInTable(Fertiliser_SourceData.Fertiliser_Products_Data1(),FertiliserProducts[[#Headers],[Include or Exclude]], 0,4)</f>
        <v/>
      </c>
      <c r="AB144" s="62" t="str" cm="1">
        <f t="array" ref="AB144">Common_InputFunctions.Utility_DisplayArrayInTable(Fertiliser_SourceData.Fertiliser_Products_Data1(),FertiliserProducts[[#Headers],[Include or Exclude]], 0,4)</f>
        <v/>
      </c>
      <c r="AC144" s="62" t="str" cm="1">
        <f t="array" ref="AC144">Common_InputFunctions.Utility_DisplayArrayInTable(Fertiliser_SourceData.Fertiliser_Products_Data1(),FertiliserProducts[[#Headers],[Include or Exclude]], 0,4)</f>
        <v/>
      </c>
      <c r="AD144" s="62" t="str" cm="1">
        <f t="array" ref="AD144">Common_InputFunctions.Utility_DisplayArrayInTable(Fertiliser_SourceData.Fertiliser_Products_Data1(),FertiliserProducts[[#Headers],[Include or Exclude]], 0,4)</f>
        <v/>
      </c>
      <c r="AE144" s="62" t="str" cm="1">
        <f t="array" ref="AE144">Common_InputFunctions.Utility_DisplayArrayInTable(Fertiliser_SourceData.Fertiliser_Products_Data1(),FertiliserProducts[[#Headers],[Include or Exclude]], 0,4)</f>
        <v/>
      </c>
    </row>
    <row r="145" spans="1:31" ht="20.100000000000001" customHeight="1" x14ac:dyDescent="0.25">
      <c r="A145"/>
      <c r="D145" s="62" t="str" cm="1">
        <f t="array" ref="D145">Common_InputFunctions.Utility_DisplayArrayInTable(Fertiliser_SourceData.Fertiliser_Products_Data1(),FertiliserProducts[[#Headers],[Include or Exclude]], -1)</f>
        <v/>
      </c>
      <c r="E145" s="62" t="str" cm="1">
        <f t="array" ref="E145">Common_InputFunctions.Utility_DisplayArrayInTable(Fertiliser_SourceData.Fertiliser_Products_Data1(),FertiliserProducts[[#Headers],[Include or Exclude]], 0)</f>
        <v/>
      </c>
      <c r="F145" s="62" t="str" cm="1">
        <f t="array" ref="F145">Common_InputFunctions.Utility_DisplayArrayInTable(Fertiliser_SourceData.Fertiliser_Products_Data1(),FertiliserProducts[[#Headers],[Include or Exclude]], 0)</f>
        <v/>
      </c>
      <c r="G145" s="62" t="str" cm="1">
        <f t="array" ref="G145">Common_InputFunctions.Utility_DisplayArrayInTable(Fertiliser_SourceData.Fertiliser_Products_Data1(),FertiliserProducts[[#Headers],[Include or Exclude]], 0)</f>
        <v/>
      </c>
      <c r="H145" s="62" t="str" cm="1">
        <f t="array" ref="H145">Common_InputFunctions.Utility_DisplayArrayInTable(Fertiliser_SourceData.Fertiliser_Products_Data1(),FertiliserProducts[[#Headers],[Include or Exclude]], 0,4)</f>
        <v/>
      </c>
      <c r="I145" s="62" t="str" cm="1">
        <f t="array" ref="I145">Common_InputFunctions.Utility_DisplayArrayInTable(Fertiliser_SourceData.Fertiliser_Products_Data1(),FertiliserProducts[[#Headers],[Include or Exclude]], 0,4)</f>
        <v/>
      </c>
      <c r="J145" s="62" t="str" cm="1">
        <f t="array" ref="J145">Common_InputFunctions.Utility_DisplayArrayInTable(Fertiliser_SourceData.Fertiliser_Products_Data1(),FertiliserProducts[[#Headers],[Include or Exclude]], 0,4)</f>
        <v/>
      </c>
      <c r="K145" s="62" t="str" cm="1">
        <f t="array" ref="K145">Common_InputFunctions.Utility_DisplayArrayInTable(Fertiliser_SourceData.Fertiliser_Products_Data1(),FertiliserProducts[[#Headers],[Include or Exclude]], 0,4)</f>
        <v/>
      </c>
      <c r="L145" s="62" t="str" cm="1">
        <f t="array" ref="L145">Common_InputFunctions.Utility_DisplayArrayInTable(Fertiliser_SourceData.Fertiliser_Products_Data1(),FertiliserProducts[[#Headers],[Include or Exclude]], 0,4)</f>
        <v/>
      </c>
      <c r="M145" s="62" t="str" cm="1">
        <f t="array" ref="M145">Common_InputFunctions.Utility_DisplayArrayInTable(Fertiliser_SourceData.Fertiliser_Products_Data1(),FertiliserProducts[[#Headers],[Include or Exclude]], 0,4)</f>
        <v/>
      </c>
      <c r="N145" s="62" t="str" cm="1">
        <f t="array" ref="N145">Common_InputFunctions.Utility_DisplayArrayInTable(Fertiliser_SourceData.Fertiliser_Products_Data1(),FertiliserProducts[[#Headers],[Include or Exclude]], 0,4)</f>
        <v/>
      </c>
      <c r="O145" s="62" t="str" cm="1">
        <f t="array" ref="O145">Common_InputFunctions.Utility_DisplayArrayInTable(Fertiliser_SourceData.Fertiliser_Products_Data1(),FertiliserProducts[[#Headers],[Include or Exclude]], 0,4)</f>
        <v/>
      </c>
      <c r="P145" s="62" t="str" cm="1">
        <f t="array" ref="P145">Common_InputFunctions.Utility_DisplayArrayInTable(Fertiliser_SourceData.Fertiliser_Products_Data1(),FertiliserProducts[[#Headers],[Include or Exclude]], 0,4)</f>
        <v/>
      </c>
      <c r="Q145" s="62" t="str" cm="1">
        <f t="array" ref="Q145">Common_InputFunctions.Utility_DisplayArrayInTable(Fertiliser_SourceData.Fertiliser_Products_Data1(),FertiliserProducts[[#Headers],[Include or Exclude]], 0,4)</f>
        <v/>
      </c>
      <c r="R145" s="62" t="str" cm="1">
        <f t="array" ref="R145">Common_InputFunctions.Utility_DisplayArrayInTable(Fertiliser_SourceData.Fertiliser_Products_Data1(),FertiliserProducts[[#Headers],[Include or Exclude]], 0,4)</f>
        <v/>
      </c>
      <c r="S145" s="62" t="str" cm="1">
        <f t="array" ref="S145">Common_InputFunctions.Utility_DisplayArrayInTable(Fertiliser_SourceData.Fertiliser_Products_Data1(),FertiliserProducts[[#Headers],[Include or Exclude]], 0,4)</f>
        <v/>
      </c>
      <c r="T145" s="62" t="str" cm="1">
        <f t="array" ref="T145">Common_InputFunctions.Utility_DisplayArrayInTable(Fertiliser_SourceData.Fertiliser_Products_Data1(),FertiliserProducts[[#Headers],[Include or Exclude]], 0,4)</f>
        <v/>
      </c>
      <c r="U145" s="62" t="str" cm="1">
        <f t="array" ref="U145">Common_InputFunctions.Utility_DisplayArrayInTable(Fertiliser_SourceData.Fertiliser_Products_Data1(),FertiliserProducts[[#Headers],[Include or Exclude]], 0,4)</f>
        <v/>
      </c>
      <c r="V145" s="62" t="str" cm="1">
        <f t="array" ref="V145">Common_InputFunctions.Utility_DisplayArrayInTable(Fertiliser_SourceData.Fertiliser_Products_Data1(),FertiliserProducts[[#Headers],[Include or Exclude]], 0,4)</f>
        <v/>
      </c>
      <c r="W145" s="62" t="str" cm="1">
        <f t="array" ref="W145">Common_InputFunctions.Utility_DisplayArrayInTable(Fertiliser_SourceData.Fertiliser_Products_Data1(),FertiliserProducts[[#Headers],[Include or Exclude]], 0,4)</f>
        <v/>
      </c>
      <c r="X145" s="62" t="str" cm="1">
        <f t="array" ref="X145">Common_InputFunctions.Utility_DisplayArrayInTable(Fertiliser_SourceData.Fertiliser_Products_Data1(),FertiliserProducts[[#Headers],[Include or Exclude]], 0,4)</f>
        <v/>
      </c>
      <c r="Y145" s="62" t="str" cm="1">
        <f t="array" ref="Y145">Common_InputFunctions.Utility_DisplayArrayInTable(Fertiliser_SourceData.Fertiliser_Products_Data1(),FertiliserProducts[[#Headers],[Include or Exclude]], 0,4)</f>
        <v/>
      </c>
      <c r="Z145" s="62" t="str" cm="1">
        <f t="array" ref="Z145">Common_InputFunctions.Utility_DisplayArrayInTable(Fertiliser_SourceData.Fertiliser_Products_Data1(),FertiliserProducts[[#Headers],[Include or Exclude]], 0,4)</f>
        <v/>
      </c>
      <c r="AA145" s="62" t="str" cm="1">
        <f t="array" ref="AA145">Common_InputFunctions.Utility_DisplayArrayInTable(Fertiliser_SourceData.Fertiliser_Products_Data1(),FertiliserProducts[[#Headers],[Include or Exclude]], 0,4)</f>
        <v/>
      </c>
      <c r="AB145" s="62" t="str" cm="1">
        <f t="array" ref="AB145">Common_InputFunctions.Utility_DisplayArrayInTable(Fertiliser_SourceData.Fertiliser_Products_Data1(),FertiliserProducts[[#Headers],[Include or Exclude]], 0,4)</f>
        <v/>
      </c>
      <c r="AC145" s="62" t="str" cm="1">
        <f t="array" ref="AC145">Common_InputFunctions.Utility_DisplayArrayInTable(Fertiliser_SourceData.Fertiliser_Products_Data1(),FertiliserProducts[[#Headers],[Include or Exclude]], 0,4)</f>
        <v/>
      </c>
      <c r="AD145" s="62" t="str" cm="1">
        <f t="array" ref="AD145">Common_InputFunctions.Utility_DisplayArrayInTable(Fertiliser_SourceData.Fertiliser_Products_Data1(),FertiliserProducts[[#Headers],[Include or Exclude]], 0,4)</f>
        <v/>
      </c>
      <c r="AE145" s="62" t="str" cm="1">
        <f t="array" ref="AE145">Common_InputFunctions.Utility_DisplayArrayInTable(Fertiliser_SourceData.Fertiliser_Products_Data1(),FertiliserProducts[[#Headers],[Include or Exclude]], 0,4)</f>
        <v/>
      </c>
    </row>
    <row r="146" spans="1:31" ht="20.100000000000001" customHeight="1" x14ac:dyDescent="0.25">
      <c r="A146"/>
      <c r="D146" s="62" t="str" cm="1">
        <f t="array" ref="D146">Common_InputFunctions.Utility_DisplayArrayInTable(Fertiliser_SourceData.Fertiliser_Products_Data1(),FertiliserProducts[[#Headers],[Include or Exclude]], -1)</f>
        <v/>
      </c>
      <c r="E146" s="62" t="str" cm="1">
        <f t="array" ref="E146">Common_InputFunctions.Utility_DisplayArrayInTable(Fertiliser_SourceData.Fertiliser_Products_Data1(),FertiliserProducts[[#Headers],[Include or Exclude]], 0)</f>
        <v/>
      </c>
      <c r="F146" s="62" t="str" cm="1">
        <f t="array" ref="F146">Common_InputFunctions.Utility_DisplayArrayInTable(Fertiliser_SourceData.Fertiliser_Products_Data1(),FertiliserProducts[[#Headers],[Include or Exclude]], 0)</f>
        <v/>
      </c>
      <c r="G146" s="62" t="str" cm="1">
        <f t="array" ref="G146">Common_InputFunctions.Utility_DisplayArrayInTable(Fertiliser_SourceData.Fertiliser_Products_Data1(),FertiliserProducts[[#Headers],[Include or Exclude]], 0)</f>
        <v/>
      </c>
      <c r="H146" s="62" t="str" cm="1">
        <f t="array" ref="H146">Common_InputFunctions.Utility_DisplayArrayInTable(Fertiliser_SourceData.Fertiliser_Products_Data1(),FertiliserProducts[[#Headers],[Include or Exclude]], 0,4)</f>
        <v/>
      </c>
      <c r="I146" s="62" t="str" cm="1">
        <f t="array" ref="I146">Common_InputFunctions.Utility_DisplayArrayInTable(Fertiliser_SourceData.Fertiliser_Products_Data1(),FertiliserProducts[[#Headers],[Include or Exclude]], 0,4)</f>
        <v/>
      </c>
      <c r="J146" s="62" t="str" cm="1">
        <f t="array" ref="J146">Common_InputFunctions.Utility_DisplayArrayInTable(Fertiliser_SourceData.Fertiliser_Products_Data1(),FertiliserProducts[[#Headers],[Include or Exclude]], 0,4)</f>
        <v/>
      </c>
      <c r="K146" s="62" t="str" cm="1">
        <f t="array" ref="K146">Common_InputFunctions.Utility_DisplayArrayInTable(Fertiliser_SourceData.Fertiliser_Products_Data1(),FertiliserProducts[[#Headers],[Include or Exclude]], 0,4)</f>
        <v/>
      </c>
      <c r="L146" s="62" t="str" cm="1">
        <f t="array" ref="L146">Common_InputFunctions.Utility_DisplayArrayInTable(Fertiliser_SourceData.Fertiliser_Products_Data1(),FertiliserProducts[[#Headers],[Include or Exclude]], 0,4)</f>
        <v/>
      </c>
      <c r="M146" s="62" t="str" cm="1">
        <f t="array" ref="M146">Common_InputFunctions.Utility_DisplayArrayInTable(Fertiliser_SourceData.Fertiliser_Products_Data1(),FertiliserProducts[[#Headers],[Include or Exclude]], 0,4)</f>
        <v/>
      </c>
      <c r="N146" s="62" t="str" cm="1">
        <f t="array" ref="N146">Common_InputFunctions.Utility_DisplayArrayInTable(Fertiliser_SourceData.Fertiliser_Products_Data1(),FertiliserProducts[[#Headers],[Include or Exclude]], 0,4)</f>
        <v/>
      </c>
      <c r="O146" s="62" t="str" cm="1">
        <f t="array" ref="O146">Common_InputFunctions.Utility_DisplayArrayInTable(Fertiliser_SourceData.Fertiliser_Products_Data1(),FertiliserProducts[[#Headers],[Include or Exclude]], 0,4)</f>
        <v/>
      </c>
      <c r="P146" s="62" t="str" cm="1">
        <f t="array" ref="P146">Common_InputFunctions.Utility_DisplayArrayInTable(Fertiliser_SourceData.Fertiliser_Products_Data1(),FertiliserProducts[[#Headers],[Include or Exclude]], 0,4)</f>
        <v/>
      </c>
      <c r="Q146" s="62" t="str" cm="1">
        <f t="array" ref="Q146">Common_InputFunctions.Utility_DisplayArrayInTable(Fertiliser_SourceData.Fertiliser_Products_Data1(),FertiliserProducts[[#Headers],[Include or Exclude]], 0,4)</f>
        <v/>
      </c>
      <c r="R146" s="62" t="str" cm="1">
        <f t="array" ref="R146">Common_InputFunctions.Utility_DisplayArrayInTable(Fertiliser_SourceData.Fertiliser_Products_Data1(),FertiliserProducts[[#Headers],[Include or Exclude]], 0,4)</f>
        <v/>
      </c>
      <c r="S146" s="62" t="str" cm="1">
        <f t="array" ref="S146">Common_InputFunctions.Utility_DisplayArrayInTable(Fertiliser_SourceData.Fertiliser_Products_Data1(),FertiliserProducts[[#Headers],[Include or Exclude]], 0,4)</f>
        <v/>
      </c>
      <c r="T146" s="62" t="str" cm="1">
        <f t="array" ref="T146">Common_InputFunctions.Utility_DisplayArrayInTable(Fertiliser_SourceData.Fertiliser_Products_Data1(),FertiliserProducts[[#Headers],[Include or Exclude]], 0,4)</f>
        <v/>
      </c>
      <c r="U146" s="62" t="str" cm="1">
        <f t="array" ref="U146">Common_InputFunctions.Utility_DisplayArrayInTable(Fertiliser_SourceData.Fertiliser_Products_Data1(),FertiliserProducts[[#Headers],[Include or Exclude]], 0,4)</f>
        <v/>
      </c>
      <c r="V146" s="62" t="str" cm="1">
        <f t="array" ref="V146">Common_InputFunctions.Utility_DisplayArrayInTable(Fertiliser_SourceData.Fertiliser_Products_Data1(),FertiliserProducts[[#Headers],[Include or Exclude]], 0,4)</f>
        <v/>
      </c>
      <c r="W146" s="62" t="str" cm="1">
        <f t="array" ref="W146">Common_InputFunctions.Utility_DisplayArrayInTable(Fertiliser_SourceData.Fertiliser_Products_Data1(),FertiliserProducts[[#Headers],[Include or Exclude]], 0,4)</f>
        <v/>
      </c>
      <c r="X146" s="62" t="str" cm="1">
        <f t="array" ref="X146">Common_InputFunctions.Utility_DisplayArrayInTable(Fertiliser_SourceData.Fertiliser_Products_Data1(),FertiliserProducts[[#Headers],[Include or Exclude]], 0,4)</f>
        <v/>
      </c>
      <c r="Y146" s="62" t="str" cm="1">
        <f t="array" ref="Y146">Common_InputFunctions.Utility_DisplayArrayInTable(Fertiliser_SourceData.Fertiliser_Products_Data1(),FertiliserProducts[[#Headers],[Include or Exclude]], 0,4)</f>
        <v/>
      </c>
      <c r="Z146" s="62" t="str" cm="1">
        <f t="array" ref="Z146">Common_InputFunctions.Utility_DisplayArrayInTable(Fertiliser_SourceData.Fertiliser_Products_Data1(),FertiliserProducts[[#Headers],[Include or Exclude]], 0,4)</f>
        <v/>
      </c>
      <c r="AA146" s="62" t="str" cm="1">
        <f t="array" ref="AA146">Common_InputFunctions.Utility_DisplayArrayInTable(Fertiliser_SourceData.Fertiliser_Products_Data1(),FertiliserProducts[[#Headers],[Include or Exclude]], 0,4)</f>
        <v/>
      </c>
      <c r="AB146" s="62" t="str" cm="1">
        <f t="array" ref="AB146">Common_InputFunctions.Utility_DisplayArrayInTable(Fertiliser_SourceData.Fertiliser_Products_Data1(),FertiliserProducts[[#Headers],[Include or Exclude]], 0,4)</f>
        <v/>
      </c>
      <c r="AC146" s="62" t="str" cm="1">
        <f t="array" ref="AC146">Common_InputFunctions.Utility_DisplayArrayInTable(Fertiliser_SourceData.Fertiliser_Products_Data1(),FertiliserProducts[[#Headers],[Include or Exclude]], 0,4)</f>
        <v/>
      </c>
      <c r="AD146" s="62" t="str" cm="1">
        <f t="array" ref="AD146">Common_InputFunctions.Utility_DisplayArrayInTable(Fertiliser_SourceData.Fertiliser_Products_Data1(),FertiliserProducts[[#Headers],[Include or Exclude]], 0,4)</f>
        <v/>
      </c>
      <c r="AE146" s="62" t="str" cm="1">
        <f t="array" ref="AE146">Common_InputFunctions.Utility_DisplayArrayInTable(Fertiliser_SourceData.Fertiliser_Products_Data1(),FertiliserProducts[[#Headers],[Include or Exclude]], 0,4)</f>
        <v/>
      </c>
    </row>
    <row r="147" spans="1:31" ht="20.100000000000001" customHeight="1" x14ac:dyDescent="0.25">
      <c r="A147"/>
      <c r="D147" s="62" t="str" cm="1">
        <f t="array" ref="D147">Common_InputFunctions.Utility_DisplayArrayInTable(Fertiliser_SourceData.Fertiliser_Products_Data1(),FertiliserProducts[[#Headers],[Include or Exclude]], -1)</f>
        <v/>
      </c>
      <c r="E147" s="62" t="str" cm="1">
        <f t="array" ref="E147">Common_InputFunctions.Utility_DisplayArrayInTable(Fertiliser_SourceData.Fertiliser_Products_Data1(),FertiliserProducts[[#Headers],[Include or Exclude]], 0)</f>
        <v/>
      </c>
      <c r="F147" s="62" t="str" cm="1">
        <f t="array" ref="F147">Common_InputFunctions.Utility_DisplayArrayInTable(Fertiliser_SourceData.Fertiliser_Products_Data1(),FertiliserProducts[[#Headers],[Include or Exclude]], 0)</f>
        <v/>
      </c>
      <c r="G147" s="62" t="str" cm="1">
        <f t="array" ref="G147">Common_InputFunctions.Utility_DisplayArrayInTable(Fertiliser_SourceData.Fertiliser_Products_Data1(),FertiliserProducts[[#Headers],[Include or Exclude]], 0)</f>
        <v/>
      </c>
      <c r="H147" s="62" t="str" cm="1">
        <f t="array" ref="H147">Common_InputFunctions.Utility_DisplayArrayInTable(Fertiliser_SourceData.Fertiliser_Products_Data1(),FertiliserProducts[[#Headers],[Include or Exclude]], 0,4)</f>
        <v/>
      </c>
      <c r="I147" s="62" t="str" cm="1">
        <f t="array" ref="I147">Common_InputFunctions.Utility_DisplayArrayInTable(Fertiliser_SourceData.Fertiliser_Products_Data1(),FertiliserProducts[[#Headers],[Include or Exclude]], 0,4)</f>
        <v/>
      </c>
      <c r="J147" s="62" t="str" cm="1">
        <f t="array" ref="J147">Common_InputFunctions.Utility_DisplayArrayInTable(Fertiliser_SourceData.Fertiliser_Products_Data1(),FertiliserProducts[[#Headers],[Include or Exclude]], 0,4)</f>
        <v/>
      </c>
      <c r="K147" s="62" t="str" cm="1">
        <f t="array" ref="K147">Common_InputFunctions.Utility_DisplayArrayInTable(Fertiliser_SourceData.Fertiliser_Products_Data1(),FertiliserProducts[[#Headers],[Include or Exclude]], 0,4)</f>
        <v/>
      </c>
      <c r="L147" s="62" t="str" cm="1">
        <f t="array" ref="L147">Common_InputFunctions.Utility_DisplayArrayInTable(Fertiliser_SourceData.Fertiliser_Products_Data1(),FertiliserProducts[[#Headers],[Include or Exclude]], 0,4)</f>
        <v/>
      </c>
      <c r="M147" s="62" t="str" cm="1">
        <f t="array" ref="M147">Common_InputFunctions.Utility_DisplayArrayInTable(Fertiliser_SourceData.Fertiliser_Products_Data1(),FertiliserProducts[[#Headers],[Include or Exclude]], 0,4)</f>
        <v/>
      </c>
      <c r="N147" s="62" t="str" cm="1">
        <f t="array" ref="N147">Common_InputFunctions.Utility_DisplayArrayInTable(Fertiliser_SourceData.Fertiliser_Products_Data1(),FertiliserProducts[[#Headers],[Include or Exclude]], 0,4)</f>
        <v/>
      </c>
      <c r="O147" s="62" t="str" cm="1">
        <f t="array" ref="O147">Common_InputFunctions.Utility_DisplayArrayInTable(Fertiliser_SourceData.Fertiliser_Products_Data1(),FertiliserProducts[[#Headers],[Include or Exclude]], 0,4)</f>
        <v/>
      </c>
      <c r="P147" s="62" t="str" cm="1">
        <f t="array" ref="P147">Common_InputFunctions.Utility_DisplayArrayInTable(Fertiliser_SourceData.Fertiliser_Products_Data1(),FertiliserProducts[[#Headers],[Include or Exclude]], 0,4)</f>
        <v/>
      </c>
      <c r="Q147" s="62" t="str" cm="1">
        <f t="array" ref="Q147">Common_InputFunctions.Utility_DisplayArrayInTable(Fertiliser_SourceData.Fertiliser_Products_Data1(),FertiliserProducts[[#Headers],[Include or Exclude]], 0,4)</f>
        <v/>
      </c>
      <c r="R147" s="62" t="str" cm="1">
        <f t="array" ref="R147">Common_InputFunctions.Utility_DisplayArrayInTable(Fertiliser_SourceData.Fertiliser_Products_Data1(),FertiliserProducts[[#Headers],[Include or Exclude]], 0,4)</f>
        <v/>
      </c>
      <c r="S147" s="62" t="str" cm="1">
        <f t="array" ref="S147">Common_InputFunctions.Utility_DisplayArrayInTable(Fertiliser_SourceData.Fertiliser_Products_Data1(),FertiliserProducts[[#Headers],[Include or Exclude]], 0,4)</f>
        <v/>
      </c>
      <c r="T147" s="62" t="str" cm="1">
        <f t="array" ref="T147">Common_InputFunctions.Utility_DisplayArrayInTable(Fertiliser_SourceData.Fertiliser_Products_Data1(),FertiliserProducts[[#Headers],[Include or Exclude]], 0,4)</f>
        <v/>
      </c>
      <c r="U147" s="62" t="str" cm="1">
        <f t="array" ref="U147">Common_InputFunctions.Utility_DisplayArrayInTable(Fertiliser_SourceData.Fertiliser_Products_Data1(),FertiliserProducts[[#Headers],[Include or Exclude]], 0,4)</f>
        <v/>
      </c>
      <c r="V147" s="62" t="str" cm="1">
        <f t="array" ref="V147">Common_InputFunctions.Utility_DisplayArrayInTable(Fertiliser_SourceData.Fertiliser_Products_Data1(),FertiliserProducts[[#Headers],[Include or Exclude]], 0,4)</f>
        <v/>
      </c>
      <c r="W147" s="62" t="str" cm="1">
        <f t="array" ref="W147">Common_InputFunctions.Utility_DisplayArrayInTable(Fertiliser_SourceData.Fertiliser_Products_Data1(),FertiliserProducts[[#Headers],[Include or Exclude]], 0,4)</f>
        <v/>
      </c>
      <c r="X147" s="62" t="str" cm="1">
        <f t="array" ref="X147">Common_InputFunctions.Utility_DisplayArrayInTable(Fertiliser_SourceData.Fertiliser_Products_Data1(),FertiliserProducts[[#Headers],[Include or Exclude]], 0,4)</f>
        <v/>
      </c>
      <c r="Y147" s="62" t="str" cm="1">
        <f t="array" ref="Y147">Common_InputFunctions.Utility_DisplayArrayInTable(Fertiliser_SourceData.Fertiliser_Products_Data1(),FertiliserProducts[[#Headers],[Include or Exclude]], 0,4)</f>
        <v/>
      </c>
      <c r="Z147" s="62" t="str" cm="1">
        <f t="array" ref="Z147">Common_InputFunctions.Utility_DisplayArrayInTable(Fertiliser_SourceData.Fertiliser_Products_Data1(),FertiliserProducts[[#Headers],[Include or Exclude]], 0,4)</f>
        <v/>
      </c>
      <c r="AA147" s="62" t="str" cm="1">
        <f t="array" ref="AA147">Common_InputFunctions.Utility_DisplayArrayInTable(Fertiliser_SourceData.Fertiliser_Products_Data1(),FertiliserProducts[[#Headers],[Include or Exclude]], 0,4)</f>
        <v/>
      </c>
      <c r="AB147" s="62" t="str" cm="1">
        <f t="array" ref="AB147">Common_InputFunctions.Utility_DisplayArrayInTable(Fertiliser_SourceData.Fertiliser_Products_Data1(),FertiliserProducts[[#Headers],[Include or Exclude]], 0,4)</f>
        <v/>
      </c>
      <c r="AC147" s="62" t="str" cm="1">
        <f t="array" ref="AC147">Common_InputFunctions.Utility_DisplayArrayInTable(Fertiliser_SourceData.Fertiliser_Products_Data1(),FertiliserProducts[[#Headers],[Include or Exclude]], 0,4)</f>
        <v/>
      </c>
      <c r="AD147" s="62" t="str" cm="1">
        <f t="array" ref="AD147">Common_InputFunctions.Utility_DisplayArrayInTable(Fertiliser_SourceData.Fertiliser_Products_Data1(),FertiliserProducts[[#Headers],[Include or Exclude]], 0,4)</f>
        <v/>
      </c>
      <c r="AE147" s="62" t="str" cm="1">
        <f t="array" ref="AE147">Common_InputFunctions.Utility_DisplayArrayInTable(Fertiliser_SourceData.Fertiliser_Products_Data1(),FertiliserProducts[[#Headers],[Include or Exclude]], 0,4)</f>
        <v/>
      </c>
    </row>
    <row r="148" spans="1:31" ht="20.100000000000001" customHeight="1" x14ac:dyDescent="0.25">
      <c r="A148"/>
      <c r="D148" s="62" t="str" cm="1">
        <f t="array" ref="D148">Common_InputFunctions.Utility_DisplayArrayInTable(Fertiliser_SourceData.Fertiliser_Products_Data1(),FertiliserProducts[[#Headers],[Include or Exclude]], -1)</f>
        <v/>
      </c>
      <c r="E148" s="62" t="str" cm="1">
        <f t="array" ref="E148">Common_InputFunctions.Utility_DisplayArrayInTable(Fertiliser_SourceData.Fertiliser_Products_Data1(),FertiliserProducts[[#Headers],[Include or Exclude]], 0)</f>
        <v/>
      </c>
      <c r="F148" s="62" t="str" cm="1">
        <f t="array" ref="F148">Common_InputFunctions.Utility_DisplayArrayInTable(Fertiliser_SourceData.Fertiliser_Products_Data1(),FertiliserProducts[[#Headers],[Include or Exclude]], 0)</f>
        <v/>
      </c>
      <c r="G148" s="62" t="str" cm="1">
        <f t="array" ref="G148">Common_InputFunctions.Utility_DisplayArrayInTable(Fertiliser_SourceData.Fertiliser_Products_Data1(),FertiliserProducts[[#Headers],[Include or Exclude]], 0)</f>
        <v/>
      </c>
      <c r="H148" s="62" t="str" cm="1">
        <f t="array" ref="H148">Common_InputFunctions.Utility_DisplayArrayInTable(Fertiliser_SourceData.Fertiliser_Products_Data1(),FertiliserProducts[[#Headers],[Include or Exclude]], 0,4)</f>
        <v/>
      </c>
      <c r="I148" s="62" t="str" cm="1">
        <f t="array" ref="I148">Common_InputFunctions.Utility_DisplayArrayInTable(Fertiliser_SourceData.Fertiliser_Products_Data1(),FertiliserProducts[[#Headers],[Include or Exclude]], 0,4)</f>
        <v/>
      </c>
      <c r="J148" s="62" t="str" cm="1">
        <f t="array" ref="J148">Common_InputFunctions.Utility_DisplayArrayInTable(Fertiliser_SourceData.Fertiliser_Products_Data1(),FertiliserProducts[[#Headers],[Include or Exclude]], 0,4)</f>
        <v/>
      </c>
      <c r="K148" s="62" t="str" cm="1">
        <f t="array" ref="K148">Common_InputFunctions.Utility_DisplayArrayInTable(Fertiliser_SourceData.Fertiliser_Products_Data1(),FertiliserProducts[[#Headers],[Include or Exclude]], 0,4)</f>
        <v/>
      </c>
      <c r="L148" s="62" t="str" cm="1">
        <f t="array" ref="L148">Common_InputFunctions.Utility_DisplayArrayInTable(Fertiliser_SourceData.Fertiliser_Products_Data1(),FertiliserProducts[[#Headers],[Include or Exclude]], 0,4)</f>
        <v/>
      </c>
      <c r="M148" s="62" t="str" cm="1">
        <f t="array" ref="M148">Common_InputFunctions.Utility_DisplayArrayInTable(Fertiliser_SourceData.Fertiliser_Products_Data1(),FertiliserProducts[[#Headers],[Include or Exclude]], 0,4)</f>
        <v/>
      </c>
      <c r="N148" s="62" t="str" cm="1">
        <f t="array" ref="N148">Common_InputFunctions.Utility_DisplayArrayInTable(Fertiliser_SourceData.Fertiliser_Products_Data1(),FertiliserProducts[[#Headers],[Include or Exclude]], 0,4)</f>
        <v/>
      </c>
      <c r="O148" s="62" t="str" cm="1">
        <f t="array" ref="O148">Common_InputFunctions.Utility_DisplayArrayInTable(Fertiliser_SourceData.Fertiliser_Products_Data1(),FertiliserProducts[[#Headers],[Include or Exclude]], 0,4)</f>
        <v/>
      </c>
      <c r="P148" s="62" t="str" cm="1">
        <f t="array" ref="P148">Common_InputFunctions.Utility_DisplayArrayInTable(Fertiliser_SourceData.Fertiliser_Products_Data1(),FertiliserProducts[[#Headers],[Include or Exclude]], 0,4)</f>
        <v/>
      </c>
      <c r="Q148" s="62" t="str" cm="1">
        <f t="array" ref="Q148">Common_InputFunctions.Utility_DisplayArrayInTable(Fertiliser_SourceData.Fertiliser_Products_Data1(),FertiliserProducts[[#Headers],[Include or Exclude]], 0,4)</f>
        <v/>
      </c>
      <c r="R148" s="62" t="str" cm="1">
        <f t="array" ref="R148">Common_InputFunctions.Utility_DisplayArrayInTable(Fertiliser_SourceData.Fertiliser_Products_Data1(),FertiliserProducts[[#Headers],[Include or Exclude]], 0,4)</f>
        <v/>
      </c>
      <c r="S148" s="62" t="str" cm="1">
        <f t="array" ref="S148">Common_InputFunctions.Utility_DisplayArrayInTable(Fertiliser_SourceData.Fertiliser_Products_Data1(),FertiliserProducts[[#Headers],[Include or Exclude]], 0,4)</f>
        <v/>
      </c>
      <c r="T148" s="62" t="str" cm="1">
        <f t="array" ref="T148">Common_InputFunctions.Utility_DisplayArrayInTable(Fertiliser_SourceData.Fertiliser_Products_Data1(),FertiliserProducts[[#Headers],[Include or Exclude]], 0,4)</f>
        <v/>
      </c>
      <c r="U148" s="62" t="str" cm="1">
        <f t="array" ref="U148">Common_InputFunctions.Utility_DisplayArrayInTable(Fertiliser_SourceData.Fertiliser_Products_Data1(),FertiliserProducts[[#Headers],[Include or Exclude]], 0,4)</f>
        <v/>
      </c>
      <c r="V148" s="62" t="str" cm="1">
        <f t="array" ref="V148">Common_InputFunctions.Utility_DisplayArrayInTable(Fertiliser_SourceData.Fertiliser_Products_Data1(),FertiliserProducts[[#Headers],[Include or Exclude]], 0,4)</f>
        <v/>
      </c>
      <c r="W148" s="62" t="str" cm="1">
        <f t="array" ref="W148">Common_InputFunctions.Utility_DisplayArrayInTable(Fertiliser_SourceData.Fertiliser_Products_Data1(),FertiliserProducts[[#Headers],[Include or Exclude]], 0,4)</f>
        <v/>
      </c>
      <c r="X148" s="62" t="str" cm="1">
        <f t="array" ref="X148">Common_InputFunctions.Utility_DisplayArrayInTable(Fertiliser_SourceData.Fertiliser_Products_Data1(),FertiliserProducts[[#Headers],[Include or Exclude]], 0,4)</f>
        <v/>
      </c>
      <c r="Y148" s="62" t="str" cm="1">
        <f t="array" ref="Y148">Common_InputFunctions.Utility_DisplayArrayInTable(Fertiliser_SourceData.Fertiliser_Products_Data1(),FertiliserProducts[[#Headers],[Include or Exclude]], 0,4)</f>
        <v/>
      </c>
      <c r="Z148" s="62" t="str" cm="1">
        <f t="array" ref="Z148">Common_InputFunctions.Utility_DisplayArrayInTable(Fertiliser_SourceData.Fertiliser_Products_Data1(),FertiliserProducts[[#Headers],[Include or Exclude]], 0,4)</f>
        <v/>
      </c>
      <c r="AA148" s="62" t="str" cm="1">
        <f t="array" ref="AA148">Common_InputFunctions.Utility_DisplayArrayInTable(Fertiliser_SourceData.Fertiliser_Products_Data1(),FertiliserProducts[[#Headers],[Include or Exclude]], 0,4)</f>
        <v/>
      </c>
      <c r="AB148" s="62" t="str" cm="1">
        <f t="array" ref="AB148">Common_InputFunctions.Utility_DisplayArrayInTable(Fertiliser_SourceData.Fertiliser_Products_Data1(),FertiliserProducts[[#Headers],[Include or Exclude]], 0,4)</f>
        <v/>
      </c>
      <c r="AC148" s="62" t="str" cm="1">
        <f t="array" ref="AC148">Common_InputFunctions.Utility_DisplayArrayInTable(Fertiliser_SourceData.Fertiliser_Products_Data1(),FertiliserProducts[[#Headers],[Include or Exclude]], 0,4)</f>
        <v/>
      </c>
      <c r="AD148" s="62" t="str" cm="1">
        <f t="array" ref="AD148">Common_InputFunctions.Utility_DisplayArrayInTable(Fertiliser_SourceData.Fertiliser_Products_Data1(),FertiliserProducts[[#Headers],[Include or Exclude]], 0,4)</f>
        <v/>
      </c>
      <c r="AE148" s="62" t="str" cm="1">
        <f t="array" ref="AE148">Common_InputFunctions.Utility_DisplayArrayInTable(Fertiliser_SourceData.Fertiliser_Products_Data1(),FertiliserProducts[[#Headers],[Include or Exclude]], 0,4)</f>
        <v/>
      </c>
    </row>
    <row r="149" spans="1:31" ht="20.100000000000001" customHeight="1" x14ac:dyDescent="0.25">
      <c r="A149"/>
      <c r="D149" s="62" t="str" cm="1">
        <f t="array" ref="D149">Common_InputFunctions.Utility_DisplayArrayInTable(Fertiliser_SourceData.Fertiliser_Products_Data1(),FertiliserProducts[[#Headers],[Include or Exclude]], -1)</f>
        <v/>
      </c>
      <c r="E149" s="62" t="str" cm="1">
        <f t="array" ref="E149">Common_InputFunctions.Utility_DisplayArrayInTable(Fertiliser_SourceData.Fertiliser_Products_Data1(),FertiliserProducts[[#Headers],[Include or Exclude]], 0)</f>
        <v/>
      </c>
      <c r="F149" s="62" t="str" cm="1">
        <f t="array" ref="F149">Common_InputFunctions.Utility_DisplayArrayInTable(Fertiliser_SourceData.Fertiliser_Products_Data1(),FertiliserProducts[[#Headers],[Include or Exclude]], 0)</f>
        <v/>
      </c>
      <c r="G149" s="62" t="str" cm="1">
        <f t="array" ref="G149">Common_InputFunctions.Utility_DisplayArrayInTable(Fertiliser_SourceData.Fertiliser_Products_Data1(),FertiliserProducts[[#Headers],[Include or Exclude]], 0)</f>
        <v/>
      </c>
      <c r="H149" s="62" t="str" cm="1">
        <f t="array" ref="H149">Common_InputFunctions.Utility_DisplayArrayInTable(Fertiliser_SourceData.Fertiliser_Products_Data1(),FertiliserProducts[[#Headers],[Include or Exclude]], 0,4)</f>
        <v/>
      </c>
      <c r="I149" s="62" t="str" cm="1">
        <f t="array" ref="I149">Common_InputFunctions.Utility_DisplayArrayInTable(Fertiliser_SourceData.Fertiliser_Products_Data1(),FertiliserProducts[[#Headers],[Include or Exclude]], 0,4)</f>
        <v/>
      </c>
      <c r="J149" s="62" t="str" cm="1">
        <f t="array" ref="J149">Common_InputFunctions.Utility_DisplayArrayInTable(Fertiliser_SourceData.Fertiliser_Products_Data1(),FertiliserProducts[[#Headers],[Include or Exclude]], 0,4)</f>
        <v/>
      </c>
      <c r="K149" s="62" t="str" cm="1">
        <f t="array" ref="K149">Common_InputFunctions.Utility_DisplayArrayInTable(Fertiliser_SourceData.Fertiliser_Products_Data1(),FertiliserProducts[[#Headers],[Include or Exclude]], 0,4)</f>
        <v/>
      </c>
      <c r="L149" s="62" t="str" cm="1">
        <f t="array" ref="L149">Common_InputFunctions.Utility_DisplayArrayInTable(Fertiliser_SourceData.Fertiliser_Products_Data1(),FertiliserProducts[[#Headers],[Include or Exclude]], 0,4)</f>
        <v/>
      </c>
      <c r="M149" s="62" t="str" cm="1">
        <f t="array" ref="M149">Common_InputFunctions.Utility_DisplayArrayInTable(Fertiliser_SourceData.Fertiliser_Products_Data1(),FertiliserProducts[[#Headers],[Include or Exclude]], 0,4)</f>
        <v/>
      </c>
      <c r="N149" s="62" t="str" cm="1">
        <f t="array" ref="N149">Common_InputFunctions.Utility_DisplayArrayInTable(Fertiliser_SourceData.Fertiliser_Products_Data1(),FertiliserProducts[[#Headers],[Include or Exclude]], 0,4)</f>
        <v/>
      </c>
      <c r="O149" s="62" t="str" cm="1">
        <f t="array" ref="O149">Common_InputFunctions.Utility_DisplayArrayInTable(Fertiliser_SourceData.Fertiliser_Products_Data1(),FertiliserProducts[[#Headers],[Include or Exclude]], 0,4)</f>
        <v/>
      </c>
      <c r="P149" s="62" t="str" cm="1">
        <f t="array" ref="P149">Common_InputFunctions.Utility_DisplayArrayInTable(Fertiliser_SourceData.Fertiliser_Products_Data1(),FertiliserProducts[[#Headers],[Include or Exclude]], 0,4)</f>
        <v/>
      </c>
      <c r="Q149" s="62" t="str" cm="1">
        <f t="array" ref="Q149">Common_InputFunctions.Utility_DisplayArrayInTable(Fertiliser_SourceData.Fertiliser_Products_Data1(),FertiliserProducts[[#Headers],[Include or Exclude]], 0,4)</f>
        <v/>
      </c>
      <c r="R149" s="62" t="str" cm="1">
        <f t="array" ref="R149">Common_InputFunctions.Utility_DisplayArrayInTable(Fertiliser_SourceData.Fertiliser_Products_Data1(),FertiliserProducts[[#Headers],[Include or Exclude]], 0,4)</f>
        <v/>
      </c>
      <c r="S149" s="62" t="str" cm="1">
        <f t="array" ref="S149">Common_InputFunctions.Utility_DisplayArrayInTable(Fertiliser_SourceData.Fertiliser_Products_Data1(),FertiliserProducts[[#Headers],[Include or Exclude]], 0,4)</f>
        <v/>
      </c>
      <c r="T149" s="62" t="str" cm="1">
        <f t="array" ref="T149">Common_InputFunctions.Utility_DisplayArrayInTable(Fertiliser_SourceData.Fertiliser_Products_Data1(),FertiliserProducts[[#Headers],[Include or Exclude]], 0,4)</f>
        <v/>
      </c>
      <c r="U149" s="62" t="str" cm="1">
        <f t="array" ref="U149">Common_InputFunctions.Utility_DisplayArrayInTable(Fertiliser_SourceData.Fertiliser_Products_Data1(),FertiliserProducts[[#Headers],[Include or Exclude]], 0,4)</f>
        <v/>
      </c>
      <c r="V149" s="62" t="str" cm="1">
        <f t="array" ref="V149">Common_InputFunctions.Utility_DisplayArrayInTable(Fertiliser_SourceData.Fertiliser_Products_Data1(),FertiliserProducts[[#Headers],[Include or Exclude]], 0,4)</f>
        <v/>
      </c>
      <c r="W149" s="62" t="str" cm="1">
        <f t="array" ref="W149">Common_InputFunctions.Utility_DisplayArrayInTable(Fertiliser_SourceData.Fertiliser_Products_Data1(),FertiliserProducts[[#Headers],[Include or Exclude]], 0,4)</f>
        <v/>
      </c>
      <c r="X149" s="62" t="str" cm="1">
        <f t="array" ref="X149">Common_InputFunctions.Utility_DisplayArrayInTable(Fertiliser_SourceData.Fertiliser_Products_Data1(),FertiliserProducts[[#Headers],[Include or Exclude]], 0,4)</f>
        <v/>
      </c>
      <c r="Y149" s="62" t="str" cm="1">
        <f t="array" ref="Y149">Common_InputFunctions.Utility_DisplayArrayInTable(Fertiliser_SourceData.Fertiliser_Products_Data1(),FertiliserProducts[[#Headers],[Include or Exclude]], 0,4)</f>
        <v/>
      </c>
      <c r="Z149" s="62" t="str" cm="1">
        <f t="array" ref="Z149">Common_InputFunctions.Utility_DisplayArrayInTable(Fertiliser_SourceData.Fertiliser_Products_Data1(),FertiliserProducts[[#Headers],[Include or Exclude]], 0,4)</f>
        <v/>
      </c>
      <c r="AA149" s="62" t="str" cm="1">
        <f t="array" ref="AA149">Common_InputFunctions.Utility_DisplayArrayInTable(Fertiliser_SourceData.Fertiliser_Products_Data1(),FertiliserProducts[[#Headers],[Include or Exclude]], 0,4)</f>
        <v/>
      </c>
      <c r="AB149" s="62" t="str" cm="1">
        <f t="array" ref="AB149">Common_InputFunctions.Utility_DisplayArrayInTable(Fertiliser_SourceData.Fertiliser_Products_Data1(),FertiliserProducts[[#Headers],[Include or Exclude]], 0,4)</f>
        <v/>
      </c>
      <c r="AC149" s="62" t="str" cm="1">
        <f t="array" ref="AC149">Common_InputFunctions.Utility_DisplayArrayInTable(Fertiliser_SourceData.Fertiliser_Products_Data1(),FertiliserProducts[[#Headers],[Include or Exclude]], 0,4)</f>
        <v/>
      </c>
      <c r="AD149" s="62" t="str" cm="1">
        <f t="array" ref="AD149">Common_InputFunctions.Utility_DisplayArrayInTable(Fertiliser_SourceData.Fertiliser_Products_Data1(),FertiliserProducts[[#Headers],[Include or Exclude]], 0,4)</f>
        <v/>
      </c>
      <c r="AE149" s="62" t="str" cm="1">
        <f t="array" ref="AE149">Common_InputFunctions.Utility_DisplayArrayInTable(Fertiliser_SourceData.Fertiliser_Products_Data1(),FertiliserProducts[[#Headers],[Include or Exclude]], 0,4)</f>
        <v/>
      </c>
    </row>
    <row r="150" spans="1:31" ht="20.100000000000001" customHeight="1" x14ac:dyDescent="0.25">
      <c r="A150"/>
      <c r="D150" s="62" t="str" cm="1">
        <f t="array" ref="D150">Common_InputFunctions.Utility_DisplayArrayInTable(Fertiliser_SourceData.Fertiliser_Products_Data1(),FertiliserProducts[[#Headers],[Include or Exclude]], -1)</f>
        <v/>
      </c>
      <c r="E150" s="62" t="str" cm="1">
        <f t="array" ref="E150">Common_InputFunctions.Utility_DisplayArrayInTable(Fertiliser_SourceData.Fertiliser_Products_Data1(),FertiliserProducts[[#Headers],[Include or Exclude]], 0)</f>
        <v/>
      </c>
      <c r="F150" s="62" t="str" cm="1">
        <f t="array" ref="F150">Common_InputFunctions.Utility_DisplayArrayInTable(Fertiliser_SourceData.Fertiliser_Products_Data1(),FertiliserProducts[[#Headers],[Include or Exclude]], 0)</f>
        <v/>
      </c>
      <c r="G150" s="62" t="str" cm="1">
        <f t="array" ref="G150">Common_InputFunctions.Utility_DisplayArrayInTable(Fertiliser_SourceData.Fertiliser_Products_Data1(),FertiliserProducts[[#Headers],[Include or Exclude]], 0)</f>
        <v/>
      </c>
      <c r="H150" s="62" t="str" cm="1">
        <f t="array" ref="H150">Common_InputFunctions.Utility_DisplayArrayInTable(Fertiliser_SourceData.Fertiliser_Products_Data1(),FertiliserProducts[[#Headers],[Include or Exclude]], 0,4)</f>
        <v/>
      </c>
      <c r="I150" s="62" t="str" cm="1">
        <f t="array" ref="I150">Common_InputFunctions.Utility_DisplayArrayInTable(Fertiliser_SourceData.Fertiliser_Products_Data1(),FertiliserProducts[[#Headers],[Include or Exclude]], 0,4)</f>
        <v/>
      </c>
      <c r="J150" s="62" t="str" cm="1">
        <f t="array" ref="J150">Common_InputFunctions.Utility_DisplayArrayInTable(Fertiliser_SourceData.Fertiliser_Products_Data1(),FertiliserProducts[[#Headers],[Include or Exclude]], 0,4)</f>
        <v/>
      </c>
      <c r="K150" s="62" t="str" cm="1">
        <f t="array" ref="K150">Common_InputFunctions.Utility_DisplayArrayInTable(Fertiliser_SourceData.Fertiliser_Products_Data1(),FertiliserProducts[[#Headers],[Include or Exclude]], 0,4)</f>
        <v/>
      </c>
      <c r="L150" s="62" t="str" cm="1">
        <f t="array" ref="L150">Common_InputFunctions.Utility_DisplayArrayInTable(Fertiliser_SourceData.Fertiliser_Products_Data1(),FertiliserProducts[[#Headers],[Include or Exclude]], 0,4)</f>
        <v/>
      </c>
      <c r="M150" s="62" t="str" cm="1">
        <f t="array" ref="M150">Common_InputFunctions.Utility_DisplayArrayInTable(Fertiliser_SourceData.Fertiliser_Products_Data1(),FertiliserProducts[[#Headers],[Include or Exclude]], 0,4)</f>
        <v/>
      </c>
      <c r="N150" s="62" t="str" cm="1">
        <f t="array" ref="N150">Common_InputFunctions.Utility_DisplayArrayInTable(Fertiliser_SourceData.Fertiliser_Products_Data1(),FertiliserProducts[[#Headers],[Include or Exclude]], 0,4)</f>
        <v/>
      </c>
      <c r="O150" s="62" t="str" cm="1">
        <f t="array" ref="O150">Common_InputFunctions.Utility_DisplayArrayInTable(Fertiliser_SourceData.Fertiliser_Products_Data1(),FertiliserProducts[[#Headers],[Include or Exclude]], 0,4)</f>
        <v/>
      </c>
      <c r="P150" s="62" t="str" cm="1">
        <f t="array" ref="P150">Common_InputFunctions.Utility_DisplayArrayInTable(Fertiliser_SourceData.Fertiliser_Products_Data1(),FertiliserProducts[[#Headers],[Include or Exclude]], 0,4)</f>
        <v/>
      </c>
      <c r="Q150" s="62" t="str" cm="1">
        <f t="array" ref="Q150">Common_InputFunctions.Utility_DisplayArrayInTable(Fertiliser_SourceData.Fertiliser_Products_Data1(),FertiliserProducts[[#Headers],[Include or Exclude]], 0,4)</f>
        <v/>
      </c>
      <c r="R150" s="62" t="str" cm="1">
        <f t="array" ref="R150">Common_InputFunctions.Utility_DisplayArrayInTable(Fertiliser_SourceData.Fertiliser_Products_Data1(),FertiliserProducts[[#Headers],[Include or Exclude]], 0,4)</f>
        <v/>
      </c>
      <c r="S150" s="62" t="str" cm="1">
        <f t="array" ref="S150">Common_InputFunctions.Utility_DisplayArrayInTable(Fertiliser_SourceData.Fertiliser_Products_Data1(),FertiliserProducts[[#Headers],[Include or Exclude]], 0,4)</f>
        <v/>
      </c>
      <c r="T150" s="62" t="str" cm="1">
        <f t="array" ref="T150">Common_InputFunctions.Utility_DisplayArrayInTable(Fertiliser_SourceData.Fertiliser_Products_Data1(),FertiliserProducts[[#Headers],[Include or Exclude]], 0,4)</f>
        <v/>
      </c>
      <c r="U150" s="62" t="str" cm="1">
        <f t="array" ref="U150">Common_InputFunctions.Utility_DisplayArrayInTable(Fertiliser_SourceData.Fertiliser_Products_Data1(),FertiliserProducts[[#Headers],[Include or Exclude]], 0,4)</f>
        <v/>
      </c>
      <c r="V150" s="62" t="str" cm="1">
        <f t="array" ref="V150">Common_InputFunctions.Utility_DisplayArrayInTable(Fertiliser_SourceData.Fertiliser_Products_Data1(),FertiliserProducts[[#Headers],[Include or Exclude]], 0,4)</f>
        <v/>
      </c>
      <c r="W150" s="62" t="str" cm="1">
        <f t="array" ref="W150">Common_InputFunctions.Utility_DisplayArrayInTable(Fertiliser_SourceData.Fertiliser_Products_Data1(),FertiliserProducts[[#Headers],[Include or Exclude]], 0,4)</f>
        <v/>
      </c>
      <c r="X150" s="62" t="str" cm="1">
        <f t="array" ref="X150">Common_InputFunctions.Utility_DisplayArrayInTable(Fertiliser_SourceData.Fertiliser_Products_Data1(),FertiliserProducts[[#Headers],[Include or Exclude]], 0,4)</f>
        <v/>
      </c>
      <c r="Y150" s="62" t="str" cm="1">
        <f t="array" ref="Y150">Common_InputFunctions.Utility_DisplayArrayInTable(Fertiliser_SourceData.Fertiliser_Products_Data1(),FertiliserProducts[[#Headers],[Include or Exclude]], 0,4)</f>
        <v/>
      </c>
      <c r="Z150" s="62" t="str" cm="1">
        <f t="array" ref="Z150">Common_InputFunctions.Utility_DisplayArrayInTable(Fertiliser_SourceData.Fertiliser_Products_Data1(),FertiliserProducts[[#Headers],[Include or Exclude]], 0,4)</f>
        <v/>
      </c>
      <c r="AA150" s="62" t="str" cm="1">
        <f t="array" ref="AA150">Common_InputFunctions.Utility_DisplayArrayInTable(Fertiliser_SourceData.Fertiliser_Products_Data1(),FertiliserProducts[[#Headers],[Include or Exclude]], 0,4)</f>
        <v/>
      </c>
      <c r="AB150" s="62" t="str" cm="1">
        <f t="array" ref="AB150">Common_InputFunctions.Utility_DisplayArrayInTable(Fertiliser_SourceData.Fertiliser_Products_Data1(),FertiliserProducts[[#Headers],[Include or Exclude]], 0,4)</f>
        <v/>
      </c>
      <c r="AC150" s="62" t="str" cm="1">
        <f t="array" ref="AC150">Common_InputFunctions.Utility_DisplayArrayInTable(Fertiliser_SourceData.Fertiliser_Products_Data1(),FertiliserProducts[[#Headers],[Include or Exclude]], 0,4)</f>
        <v/>
      </c>
      <c r="AD150" s="62" t="str" cm="1">
        <f t="array" ref="AD150">Common_InputFunctions.Utility_DisplayArrayInTable(Fertiliser_SourceData.Fertiliser_Products_Data1(),FertiliserProducts[[#Headers],[Include or Exclude]], 0,4)</f>
        <v/>
      </c>
      <c r="AE150" s="62" t="str" cm="1">
        <f t="array" ref="AE150">Common_InputFunctions.Utility_DisplayArrayInTable(Fertiliser_SourceData.Fertiliser_Products_Data1(),FertiliserProducts[[#Headers],[Include or Exclude]], 0,4)</f>
        <v/>
      </c>
    </row>
    <row r="151" spans="1:31" ht="20.100000000000001" customHeight="1" x14ac:dyDescent="0.25">
      <c r="A151"/>
      <c r="D151" s="62" t="str" cm="1">
        <f t="array" ref="D151">Common_InputFunctions.Utility_DisplayArrayInTable(Fertiliser_SourceData.Fertiliser_Products_Data1(),FertiliserProducts[[#Headers],[Include or Exclude]], -1)</f>
        <v/>
      </c>
      <c r="E151" s="62" t="str" cm="1">
        <f t="array" ref="E151">Common_InputFunctions.Utility_DisplayArrayInTable(Fertiliser_SourceData.Fertiliser_Products_Data1(),FertiliserProducts[[#Headers],[Include or Exclude]], 0)</f>
        <v/>
      </c>
      <c r="F151" s="62" t="str" cm="1">
        <f t="array" ref="F151">Common_InputFunctions.Utility_DisplayArrayInTable(Fertiliser_SourceData.Fertiliser_Products_Data1(),FertiliserProducts[[#Headers],[Include or Exclude]], 0)</f>
        <v/>
      </c>
      <c r="G151" s="62" t="str" cm="1">
        <f t="array" ref="G151">Common_InputFunctions.Utility_DisplayArrayInTable(Fertiliser_SourceData.Fertiliser_Products_Data1(),FertiliserProducts[[#Headers],[Include or Exclude]], 0)</f>
        <v/>
      </c>
      <c r="H151" s="62" t="str" cm="1">
        <f t="array" ref="H151">Common_InputFunctions.Utility_DisplayArrayInTable(Fertiliser_SourceData.Fertiliser_Products_Data1(),FertiliserProducts[[#Headers],[Include or Exclude]], 0,4)</f>
        <v/>
      </c>
      <c r="I151" s="62" t="str" cm="1">
        <f t="array" ref="I151">Common_InputFunctions.Utility_DisplayArrayInTable(Fertiliser_SourceData.Fertiliser_Products_Data1(),FertiliserProducts[[#Headers],[Include or Exclude]], 0,4)</f>
        <v/>
      </c>
      <c r="J151" s="62" t="str" cm="1">
        <f t="array" ref="J151">Common_InputFunctions.Utility_DisplayArrayInTable(Fertiliser_SourceData.Fertiliser_Products_Data1(),FertiliserProducts[[#Headers],[Include or Exclude]], 0,4)</f>
        <v/>
      </c>
      <c r="K151" s="62" t="str" cm="1">
        <f t="array" ref="K151">Common_InputFunctions.Utility_DisplayArrayInTable(Fertiliser_SourceData.Fertiliser_Products_Data1(),FertiliserProducts[[#Headers],[Include or Exclude]], 0,4)</f>
        <v/>
      </c>
      <c r="L151" s="62" t="str" cm="1">
        <f t="array" ref="L151">Common_InputFunctions.Utility_DisplayArrayInTable(Fertiliser_SourceData.Fertiliser_Products_Data1(),FertiliserProducts[[#Headers],[Include or Exclude]], 0,4)</f>
        <v/>
      </c>
      <c r="M151" s="62" t="str" cm="1">
        <f t="array" ref="M151">Common_InputFunctions.Utility_DisplayArrayInTable(Fertiliser_SourceData.Fertiliser_Products_Data1(),FertiliserProducts[[#Headers],[Include or Exclude]], 0,4)</f>
        <v/>
      </c>
      <c r="N151" s="62" t="str" cm="1">
        <f t="array" ref="N151">Common_InputFunctions.Utility_DisplayArrayInTable(Fertiliser_SourceData.Fertiliser_Products_Data1(),FertiliserProducts[[#Headers],[Include or Exclude]], 0,4)</f>
        <v/>
      </c>
      <c r="O151" s="62" t="str" cm="1">
        <f t="array" ref="O151">Common_InputFunctions.Utility_DisplayArrayInTable(Fertiliser_SourceData.Fertiliser_Products_Data1(),FertiliserProducts[[#Headers],[Include or Exclude]], 0,4)</f>
        <v/>
      </c>
      <c r="P151" s="62" t="str" cm="1">
        <f t="array" ref="P151">Common_InputFunctions.Utility_DisplayArrayInTable(Fertiliser_SourceData.Fertiliser_Products_Data1(),FertiliserProducts[[#Headers],[Include or Exclude]], 0,4)</f>
        <v/>
      </c>
      <c r="Q151" s="62" t="str" cm="1">
        <f t="array" ref="Q151">Common_InputFunctions.Utility_DisplayArrayInTable(Fertiliser_SourceData.Fertiliser_Products_Data1(),FertiliserProducts[[#Headers],[Include or Exclude]], 0,4)</f>
        <v/>
      </c>
      <c r="R151" s="62" t="str" cm="1">
        <f t="array" ref="R151">Common_InputFunctions.Utility_DisplayArrayInTable(Fertiliser_SourceData.Fertiliser_Products_Data1(),FertiliserProducts[[#Headers],[Include or Exclude]], 0,4)</f>
        <v/>
      </c>
      <c r="S151" s="62" t="str" cm="1">
        <f t="array" ref="S151">Common_InputFunctions.Utility_DisplayArrayInTable(Fertiliser_SourceData.Fertiliser_Products_Data1(),FertiliserProducts[[#Headers],[Include or Exclude]], 0,4)</f>
        <v/>
      </c>
      <c r="T151" s="62" t="str" cm="1">
        <f t="array" ref="T151">Common_InputFunctions.Utility_DisplayArrayInTable(Fertiliser_SourceData.Fertiliser_Products_Data1(),FertiliserProducts[[#Headers],[Include or Exclude]], 0,4)</f>
        <v/>
      </c>
      <c r="U151" s="62" t="str" cm="1">
        <f t="array" ref="U151">Common_InputFunctions.Utility_DisplayArrayInTable(Fertiliser_SourceData.Fertiliser_Products_Data1(),FertiliserProducts[[#Headers],[Include or Exclude]], 0,4)</f>
        <v/>
      </c>
      <c r="V151" s="62" t="str" cm="1">
        <f t="array" ref="V151">Common_InputFunctions.Utility_DisplayArrayInTable(Fertiliser_SourceData.Fertiliser_Products_Data1(),FertiliserProducts[[#Headers],[Include or Exclude]], 0,4)</f>
        <v/>
      </c>
      <c r="W151" s="62" t="str" cm="1">
        <f t="array" ref="W151">Common_InputFunctions.Utility_DisplayArrayInTable(Fertiliser_SourceData.Fertiliser_Products_Data1(),FertiliserProducts[[#Headers],[Include or Exclude]], 0,4)</f>
        <v/>
      </c>
      <c r="X151" s="62" t="str" cm="1">
        <f t="array" ref="X151">Common_InputFunctions.Utility_DisplayArrayInTable(Fertiliser_SourceData.Fertiliser_Products_Data1(),FertiliserProducts[[#Headers],[Include or Exclude]], 0,4)</f>
        <v/>
      </c>
      <c r="Y151" s="62" t="str" cm="1">
        <f t="array" ref="Y151">Common_InputFunctions.Utility_DisplayArrayInTable(Fertiliser_SourceData.Fertiliser_Products_Data1(),FertiliserProducts[[#Headers],[Include or Exclude]], 0,4)</f>
        <v/>
      </c>
      <c r="Z151" s="62" t="str" cm="1">
        <f t="array" ref="Z151">Common_InputFunctions.Utility_DisplayArrayInTable(Fertiliser_SourceData.Fertiliser_Products_Data1(),FertiliserProducts[[#Headers],[Include or Exclude]], 0,4)</f>
        <v/>
      </c>
      <c r="AA151" s="62" t="str" cm="1">
        <f t="array" ref="AA151">Common_InputFunctions.Utility_DisplayArrayInTable(Fertiliser_SourceData.Fertiliser_Products_Data1(),FertiliserProducts[[#Headers],[Include or Exclude]], 0,4)</f>
        <v/>
      </c>
      <c r="AB151" s="62" t="str" cm="1">
        <f t="array" ref="AB151">Common_InputFunctions.Utility_DisplayArrayInTable(Fertiliser_SourceData.Fertiliser_Products_Data1(),FertiliserProducts[[#Headers],[Include or Exclude]], 0,4)</f>
        <v/>
      </c>
      <c r="AC151" s="62" t="str" cm="1">
        <f t="array" ref="AC151">Common_InputFunctions.Utility_DisplayArrayInTable(Fertiliser_SourceData.Fertiliser_Products_Data1(),FertiliserProducts[[#Headers],[Include or Exclude]], 0,4)</f>
        <v/>
      </c>
      <c r="AD151" s="62" t="str" cm="1">
        <f t="array" ref="AD151">Common_InputFunctions.Utility_DisplayArrayInTable(Fertiliser_SourceData.Fertiliser_Products_Data1(),FertiliserProducts[[#Headers],[Include or Exclude]], 0,4)</f>
        <v/>
      </c>
      <c r="AE151" s="62" t="str" cm="1">
        <f t="array" ref="AE151">Common_InputFunctions.Utility_DisplayArrayInTable(Fertiliser_SourceData.Fertiliser_Products_Data1(),FertiliserProducts[[#Headers],[Include or Exclude]], 0,4)</f>
        <v/>
      </c>
    </row>
    <row r="152" spans="1:31" ht="20.100000000000001" customHeight="1" x14ac:dyDescent="0.25">
      <c r="A152"/>
      <c r="D152" s="62" t="str" cm="1">
        <f t="array" ref="D152">Common_InputFunctions.Utility_DisplayArrayInTable(Fertiliser_SourceData.Fertiliser_Products_Data1(),FertiliserProducts[[#Headers],[Include or Exclude]], -1)</f>
        <v/>
      </c>
      <c r="E152" s="62" t="str" cm="1">
        <f t="array" ref="E152">Common_InputFunctions.Utility_DisplayArrayInTable(Fertiliser_SourceData.Fertiliser_Products_Data1(),FertiliserProducts[[#Headers],[Include or Exclude]], 0)</f>
        <v/>
      </c>
      <c r="F152" s="62" t="str" cm="1">
        <f t="array" ref="F152">Common_InputFunctions.Utility_DisplayArrayInTable(Fertiliser_SourceData.Fertiliser_Products_Data1(),FertiliserProducts[[#Headers],[Include or Exclude]], 0)</f>
        <v/>
      </c>
      <c r="G152" s="62" t="str" cm="1">
        <f t="array" ref="G152">Common_InputFunctions.Utility_DisplayArrayInTable(Fertiliser_SourceData.Fertiliser_Products_Data1(),FertiliserProducts[[#Headers],[Include or Exclude]], 0)</f>
        <v/>
      </c>
      <c r="H152" s="62" t="str" cm="1">
        <f t="array" ref="H152">Common_InputFunctions.Utility_DisplayArrayInTable(Fertiliser_SourceData.Fertiliser_Products_Data1(),FertiliserProducts[[#Headers],[Include or Exclude]], 0,4)</f>
        <v/>
      </c>
      <c r="I152" s="62" t="str" cm="1">
        <f t="array" ref="I152">Common_InputFunctions.Utility_DisplayArrayInTable(Fertiliser_SourceData.Fertiliser_Products_Data1(),FertiliserProducts[[#Headers],[Include or Exclude]], 0,4)</f>
        <v/>
      </c>
      <c r="J152" s="62" t="str" cm="1">
        <f t="array" ref="J152">Common_InputFunctions.Utility_DisplayArrayInTable(Fertiliser_SourceData.Fertiliser_Products_Data1(),FertiliserProducts[[#Headers],[Include or Exclude]], 0,4)</f>
        <v/>
      </c>
      <c r="K152" s="62" t="str" cm="1">
        <f t="array" ref="K152">Common_InputFunctions.Utility_DisplayArrayInTable(Fertiliser_SourceData.Fertiliser_Products_Data1(),FertiliserProducts[[#Headers],[Include or Exclude]], 0,4)</f>
        <v/>
      </c>
      <c r="L152" s="62" t="str" cm="1">
        <f t="array" ref="L152">Common_InputFunctions.Utility_DisplayArrayInTable(Fertiliser_SourceData.Fertiliser_Products_Data1(),FertiliserProducts[[#Headers],[Include or Exclude]], 0,4)</f>
        <v/>
      </c>
      <c r="M152" s="62" t="str" cm="1">
        <f t="array" ref="M152">Common_InputFunctions.Utility_DisplayArrayInTable(Fertiliser_SourceData.Fertiliser_Products_Data1(),FertiliserProducts[[#Headers],[Include or Exclude]], 0,4)</f>
        <v/>
      </c>
      <c r="N152" s="62" t="str" cm="1">
        <f t="array" ref="N152">Common_InputFunctions.Utility_DisplayArrayInTable(Fertiliser_SourceData.Fertiliser_Products_Data1(),FertiliserProducts[[#Headers],[Include or Exclude]], 0,4)</f>
        <v/>
      </c>
      <c r="O152" s="62" t="str" cm="1">
        <f t="array" ref="O152">Common_InputFunctions.Utility_DisplayArrayInTable(Fertiliser_SourceData.Fertiliser_Products_Data1(),FertiliserProducts[[#Headers],[Include or Exclude]], 0,4)</f>
        <v/>
      </c>
      <c r="P152" s="62" t="str" cm="1">
        <f t="array" ref="P152">Common_InputFunctions.Utility_DisplayArrayInTable(Fertiliser_SourceData.Fertiliser_Products_Data1(),FertiliserProducts[[#Headers],[Include or Exclude]], 0,4)</f>
        <v/>
      </c>
      <c r="Q152" s="62" t="str" cm="1">
        <f t="array" ref="Q152">Common_InputFunctions.Utility_DisplayArrayInTable(Fertiliser_SourceData.Fertiliser_Products_Data1(),FertiliserProducts[[#Headers],[Include or Exclude]], 0,4)</f>
        <v/>
      </c>
      <c r="R152" s="62" t="str" cm="1">
        <f t="array" ref="R152">Common_InputFunctions.Utility_DisplayArrayInTable(Fertiliser_SourceData.Fertiliser_Products_Data1(),FertiliserProducts[[#Headers],[Include or Exclude]], 0,4)</f>
        <v/>
      </c>
      <c r="S152" s="62" t="str" cm="1">
        <f t="array" ref="S152">Common_InputFunctions.Utility_DisplayArrayInTable(Fertiliser_SourceData.Fertiliser_Products_Data1(),FertiliserProducts[[#Headers],[Include or Exclude]], 0,4)</f>
        <v/>
      </c>
      <c r="T152" s="62" t="str" cm="1">
        <f t="array" ref="T152">Common_InputFunctions.Utility_DisplayArrayInTable(Fertiliser_SourceData.Fertiliser_Products_Data1(),FertiliserProducts[[#Headers],[Include or Exclude]], 0,4)</f>
        <v/>
      </c>
      <c r="U152" s="62" t="str" cm="1">
        <f t="array" ref="U152">Common_InputFunctions.Utility_DisplayArrayInTable(Fertiliser_SourceData.Fertiliser_Products_Data1(),FertiliserProducts[[#Headers],[Include or Exclude]], 0,4)</f>
        <v/>
      </c>
      <c r="V152" s="62" t="str" cm="1">
        <f t="array" ref="V152">Common_InputFunctions.Utility_DisplayArrayInTable(Fertiliser_SourceData.Fertiliser_Products_Data1(),FertiliserProducts[[#Headers],[Include or Exclude]], 0,4)</f>
        <v/>
      </c>
      <c r="W152" s="62" t="str" cm="1">
        <f t="array" ref="W152">Common_InputFunctions.Utility_DisplayArrayInTable(Fertiliser_SourceData.Fertiliser_Products_Data1(),FertiliserProducts[[#Headers],[Include or Exclude]], 0,4)</f>
        <v/>
      </c>
      <c r="X152" s="62" t="str" cm="1">
        <f t="array" ref="X152">Common_InputFunctions.Utility_DisplayArrayInTable(Fertiliser_SourceData.Fertiliser_Products_Data1(),FertiliserProducts[[#Headers],[Include or Exclude]], 0,4)</f>
        <v/>
      </c>
      <c r="Y152" s="62" t="str" cm="1">
        <f t="array" ref="Y152">Common_InputFunctions.Utility_DisplayArrayInTable(Fertiliser_SourceData.Fertiliser_Products_Data1(),FertiliserProducts[[#Headers],[Include or Exclude]], 0,4)</f>
        <v/>
      </c>
      <c r="Z152" s="62" t="str" cm="1">
        <f t="array" ref="Z152">Common_InputFunctions.Utility_DisplayArrayInTable(Fertiliser_SourceData.Fertiliser_Products_Data1(),FertiliserProducts[[#Headers],[Include or Exclude]], 0,4)</f>
        <v/>
      </c>
      <c r="AA152" s="62" t="str" cm="1">
        <f t="array" ref="AA152">Common_InputFunctions.Utility_DisplayArrayInTable(Fertiliser_SourceData.Fertiliser_Products_Data1(),FertiliserProducts[[#Headers],[Include or Exclude]], 0,4)</f>
        <v/>
      </c>
      <c r="AB152" s="62" t="str" cm="1">
        <f t="array" ref="AB152">Common_InputFunctions.Utility_DisplayArrayInTable(Fertiliser_SourceData.Fertiliser_Products_Data1(),FertiliserProducts[[#Headers],[Include or Exclude]], 0,4)</f>
        <v/>
      </c>
      <c r="AC152" s="62" t="str" cm="1">
        <f t="array" ref="AC152">Common_InputFunctions.Utility_DisplayArrayInTable(Fertiliser_SourceData.Fertiliser_Products_Data1(),FertiliserProducts[[#Headers],[Include or Exclude]], 0,4)</f>
        <v/>
      </c>
      <c r="AD152" s="62" t="str" cm="1">
        <f t="array" ref="AD152">Common_InputFunctions.Utility_DisplayArrayInTable(Fertiliser_SourceData.Fertiliser_Products_Data1(),FertiliserProducts[[#Headers],[Include or Exclude]], 0,4)</f>
        <v/>
      </c>
      <c r="AE152" s="62" t="str" cm="1">
        <f t="array" ref="AE152">Common_InputFunctions.Utility_DisplayArrayInTable(Fertiliser_SourceData.Fertiliser_Products_Data1(),FertiliserProducts[[#Headers],[Include or Exclude]], 0,4)</f>
        <v/>
      </c>
    </row>
    <row r="153" spans="1:31" ht="20.100000000000001" customHeight="1" x14ac:dyDescent="0.25">
      <c r="A153"/>
      <c r="D153" s="62" t="str" cm="1">
        <f t="array" ref="D153">Common_InputFunctions.Utility_DisplayArrayInTable(Fertiliser_SourceData.Fertiliser_Products_Data1(),FertiliserProducts[[#Headers],[Include or Exclude]], -1)</f>
        <v/>
      </c>
      <c r="E153" s="62" t="str" cm="1">
        <f t="array" ref="E153">Common_InputFunctions.Utility_DisplayArrayInTable(Fertiliser_SourceData.Fertiliser_Products_Data1(),FertiliserProducts[[#Headers],[Include or Exclude]], 0)</f>
        <v/>
      </c>
      <c r="F153" s="62" t="str" cm="1">
        <f t="array" ref="F153">Common_InputFunctions.Utility_DisplayArrayInTable(Fertiliser_SourceData.Fertiliser_Products_Data1(),FertiliserProducts[[#Headers],[Include or Exclude]], 0)</f>
        <v/>
      </c>
      <c r="G153" s="62" t="str" cm="1">
        <f t="array" ref="G153">Common_InputFunctions.Utility_DisplayArrayInTable(Fertiliser_SourceData.Fertiliser_Products_Data1(),FertiliserProducts[[#Headers],[Include or Exclude]], 0)</f>
        <v/>
      </c>
      <c r="H153" s="62" t="str" cm="1">
        <f t="array" ref="H153">Common_InputFunctions.Utility_DisplayArrayInTable(Fertiliser_SourceData.Fertiliser_Products_Data1(),FertiliserProducts[[#Headers],[Include or Exclude]], 0,4)</f>
        <v/>
      </c>
      <c r="I153" s="62" t="str" cm="1">
        <f t="array" ref="I153">Common_InputFunctions.Utility_DisplayArrayInTable(Fertiliser_SourceData.Fertiliser_Products_Data1(),FertiliserProducts[[#Headers],[Include or Exclude]], 0,4)</f>
        <v/>
      </c>
      <c r="J153" s="62" t="str" cm="1">
        <f t="array" ref="J153">Common_InputFunctions.Utility_DisplayArrayInTable(Fertiliser_SourceData.Fertiliser_Products_Data1(),FertiliserProducts[[#Headers],[Include or Exclude]], 0,4)</f>
        <v/>
      </c>
      <c r="K153" s="62" t="str" cm="1">
        <f t="array" ref="K153">Common_InputFunctions.Utility_DisplayArrayInTable(Fertiliser_SourceData.Fertiliser_Products_Data1(),FertiliserProducts[[#Headers],[Include or Exclude]], 0,4)</f>
        <v/>
      </c>
      <c r="L153" s="62" t="str" cm="1">
        <f t="array" ref="L153">Common_InputFunctions.Utility_DisplayArrayInTable(Fertiliser_SourceData.Fertiliser_Products_Data1(),FertiliserProducts[[#Headers],[Include or Exclude]], 0,4)</f>
        <v/>
      </c>
      <c r="M153" s="62" t="str" cm="1">
        <f t="array" ref="M153">Common_InputFunctions.Utility_DisplayArrayInTable(Fertiliser_SourceData.Fertiliser_Products_Data1(),FertiliserProducts[[#Headers],[Include or Exclude]], 0,4)</f>
        <v/>
      </c>
      <c r="N153" s="62" t="str" cm="1">
        <f t="array" ref="N153">Common_InputFunctions.Utility_DisplayArrayInTable(Fertiliser_SourceData.Fertiliser_Products_Data1(),FertiliserProducts[[#Headers],[Include or Exclude]], 0,4)</f>
        <v/>
      </c>
      <c r="O153" s="62" t="str" cm="1">
        <f t="array" ref="O153">Common_InputFunctions.Utility_DisplayArrayInTable(Fertiliser_SourceData.Fertiliser_Products_Data1(),FertiliserProducts[[#Headers],[Include or Exclude]], 0,4)</f>
        <v/>
      </c>
      <c r="P153" s="62" t="str" cm="1">
        <f t="array" ref="P153">Common_InputFunctions.Utility_DisplayArrayInTable(Fertiliser_SourceData.Fertiliser_Products_Data1(),FertiliserProducts[[#Headers],[Include or Exclude]], 0,4)</f>
        <v/>
      </c>
      <c r="Q153" s="62" t="str" cm="1">
        <f t="array" ref="Q153">Common_InputFunctions.Utility_DisplayArrayInTable(Fertiliser_SourceData.Fertiliser_Products_Data1(),FertiliserProducts[[#Headers],[Include or Exclude]], 0,4)</f>
        <v/>
      </c>
      <c r="R153" s="62" t="str" cm="1">
        <f t="array" ref="R153">Common_InputFunctions.Utility_DisplayArrayInTable(Fertiliser_SourceData.Fertiliser_Products_Data1(),FertiliserProducts[[#Headers],[Include or Exclude]], 0,4)</f>
        <v/>
      </c>
      <c r="S153" s="62" t="str" cm="1">
        <f t="array" ref="S153">Common_InputFunctions.Utility_DisplayArrayInTable(Fertiliser_SourceData.Fertiliser_Products_Data1(),FertiliserProducts[[#Headers],[Include or Exclude]], 0,4)</f>
        <v/>
      </c>
      <c r="T153" s="62" t="str" cm="1">
        <f t="array" ref="T153">Common_InputFunctions.Utility_DisplayArrayInTable(Fertiliser_SourceData.Fertiliser_Products_Data1(),FertiliserProducts[[#Headers],[Include or Exclude]], 0,4)</f>
        <v/>
      </c>
      <c r="U153" s="62" t="str" cm="1">
        <f t="array" ref="U153">Common_InputFunctions.Utility_DisplayArrayInTable(Fertiliser_SourceData.Fertiliser_Products_Data1(),FertiliserProducts[[#Headers],[Include or Exclude]], 0,4)</f>
        <v/>
      </c>
      <c r="V153" s="62" t="str" cm="1">
        <f t="array" ref="V153">Common_InputFunctions.Utility_DisplayArrayInTable(Fertiliser_SourceData.Fertiliser_Products_Data1(),FertiliserProducts[[#Headers],[Include or Exclude]], 0,4)</f>
        <v/>
      </c>
      <c r="W153" s="62" t="str" cm="1">
        <f t="array" ref="W153">Common_InputFunctions.Utility_DisplayArrayInTable(Fertiliser_SourceData.Fertiliser_Products_Data1(),FertiliserProducts[[#Headers],[Include or Exclude]], 0,4)</f>
        <v/>
      </c>
      <c r="X153" s="62" t="str" cm="1">
        <f t="array" ref="X153">Common_InputFunctions.Utility_DisplayArrayInTable(Fertiliser_SourceData.Fertiliser_Products_Data1(),FertiliserProducts[[#Headers],[Include or Exclude]], 0,4)</f>
        <v/>
      </c>
      <c r="Y153" s="62" t="str" cm="1">
        <f t="array" ref="Y153">Common_InputFunctions.Utility_DisplayArrayInTable(Fertiliser_SourceData.Fertiliser_Products_Data1(),FertiliserProducts[[#Headers],[Include or Exclude]], 0,4)</f>
        <v/>
      </c>
      <c r="Z153" s="62" t="str" cm="1">
        <f t="array" ref="Z153">Common_InputFunctions.Utility_DisplayArrayInTable(Fertiliser_SourceData.Fertiliser_Products_Data1(),FertiliserProducts[[#Headers],[Include or Exclude]], 0,4)</f>
        <v/>
      </c>
      <c r="AA153" s="62" t="str" cm="1">
        <f t="array" ref="AA153">Common_InputFunctions.Utility_DisplayArrayInTable(Fertiliser_SourceData.Fertiliser_Products_Data1(),FertiliserProducts[[#Headers],[Include or Exclude]], 0,4)</f>
        <v/>
      </c>
      <c r="AB153" s="62" t="str" cm="1">
        <f t="array" ref="AB153">Common_InputFunctions.Utility_DisplayArrayInTable(Fertiliser_SourceData.Fertiliser_Products_Data1(),FertiliserProducts[[#Headers],[Include or Exclude]], 0,4)</f>
        <v/>
      </c>
      <c r="AC153" s="62" t="str" cm="1">
        <f t="array" ref="AC153">Common_InputFunctions.Utility_DisplayArrayInTable(Fertiliser_SourceData.Fertiliser_Products_Data1(),FertiliserProducts[[#Headers],[Include or Exclude]], 0,4)</f>
        <v/>
      </c>
      <c r="AD153" s="62" t="str" cm="1">
        <f t="array" ref="AD153">Common_InputFunctions.Utility_DisplayArrayInTable(Fertiliser_SourceData.Fertiliser_Products_Data1(),FertiliserProducts[[#Headers],[Include or Exclude]], 0,4)</f>
        <v/>
      </c>
      <c r="AE153" s="62" t="str" cm="1">
        <f t="array" ref="AE153">Common_InputFunctions.Utility_DisplayArrayInTable(Fertiliser_SourceData.Fertiliser_Products_Data1(),FertiliserProducts[[#Headers],[Include or Exclude]], 0,4)</f>
        <v/>
      </c>
    </row>
    <row r="154" spans="1:31" ht="20.100000000000001" customHeight="1" x14ac:dyDescent="0.25">
      <c r="A154"/>
    </row>
    <row r="155" spans="1:31" ht="20.100000000000001" customHeight="1" x14ac:dyDescent="0.25">
      <c r="A155"/>
    </row>
    <row r="156" spans="1:31" ht="20.100000000000001" customHeight="1" x14ac:dyDescent="0.25">
      <c r="A156"/>
    </row>
    <row r="157" spans="1:31" ht="20.100000000000001" customHeight="1" x14ac:dyDescent="0.25">
      <c r="A157"/>
    </row>
    <row r="158" spans="1:31" ht="20.100000000000001" customHeight="1" x14ac:dyDescent="0.25">
      <c r="A158"/>
    </row>
    <row r="159" spans="1:31" ht="20.100000000000001" customHeight="1" x14ac:dyDescent="0.25">
      <c r="A159"/>
    </row>
    <row r="160" spans="1:3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0C423-60D9-442A-B4F9-618DE7C4909A}">
  <dimension ref="A1:AI165"/>
  <sheetViews>
    <sheetView showGridLines="0" topLeftCell="A7" zoomScaleNormal="100" workbookViewId="0">
      <selection activeCell="A41" sqref="A41"/>
    </sheetView>
  </sheetViews>
  <sheetFormatPr defaultRowHeight="15.75" x14ac:dyDescent="0.25"/>
  <cols>
    <col min="1" max="1" width="26.875" style="3" customWidth="1"/>
    <col min="2" max="2" width="4.125" style="3" customWidth="1"/>
    <col min="3" max="3" width="4.125" style="8" customWidth="1"/>
    <col min="4" max="4" width="34.25" style="8" customWidth="1"/>
    <col min="5" max="5" width="26.875" style="8" customWidth="1"/>
    <col min="6" max="6" width="25.875" style="8" customWidth="1"/>
    <col min="7" max="8" width="38" style="8" customWidth="1"/>
    <col min="9" max="9" width="38.125" style="8" customWidth="1"/>
    <col min="10" max="10" width="32.875" style="8" customWidth="1"/>
    <col min="11" max="11" width="29.375" style="8" customWidth="1"/>
    <col min="12" max="31" width="18.125" style="8" customWidth="1"/>
    <col min="32" max="32" width="4.125" style="8" customWidth="1"/>
    <col min="33" max="16384" width="9" style="3"/>
  </cols>
  <sheetData>
    <row r="1" spans="1:35" s="1" customFormat="1" ht="30" customHeight="1" x14ac:dyDescent="0.35">
      <c r="A1" s="37" t="e" vm="1">
        <v>#VALUE!</v>
      </c>
      <c r="C1" s="1" t="s">
        <v>221</v>
      </c>
      <c r="AG1" s="3"/>
      <c r="AH1" s="3"/>
      <c r="AI1" s="3"/>
    </row>
    <row r="2" spans="1:35" s="2" customFormat="1" ht="20.100000000000001" customHeight="1" x14ac:dyDescent="0.25">
      <c r="A2"/>
      <c r="AG2" s="3"/>
      <c r="AH2" s="3"/>
      <c r="AI2" s="3"/>
    </row>
    <row r="3" spans="1:35"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5"/>
      <c r="W3" s="5"/>
      <c r="X3" s="5"/>
      <c r="Y3" s="5"/>
      <c r="Z3" s="5"/>
      <c r="AA3" s="5"/>
      <c r="AB3" s="5"/>
      <c r="AC3" s="5"/>
      <c r="AD3" s="5"/>
      <c r="AE3" s="5"/>
      <c r="AF3" s="5"/>
    </row>
    <row r="4" spans="1:35" ht="20.100000000000001" customHeight="1" x14ac:dyDescent="0.25">
      <c r="A4" s="16" t="str">
        <f>HYPERLINK("#'Results'!A1", "Results")</f>
        <v>Results</v>
      </c>
    </row>
    <row r="5" spans="1:35" ht="20.100000000000001" customHeight="1" x14ac:dyDescent="0.25">
      <c r="A5"/>
      <c r="D5" s="9" t="str" cm="1">
        <f t="array" ref="D5">Electricity_SourceData.Electricity_Scope2Scope3LocationBased_Title()</f>
        <v>Electricity scope 2 and scope 3 location-based emission factors</v>
      </c>
    </row>
    <row r="6" spans="1:35" ht="20.100000000000001" customHeight="1" x14ac:dyDescent="0.25">
      <c r="A6"/>
      <c r="D6" s="11" t="str" cm="1">
        <f t="array" ref="D6">Electricity_SourceData.Electricity_Scope2Scope3LocationBased_Source()</f>
        <v>Australian National Greenhouse Accounts Factors 2025 - Table 1</v>
      </c>
      <c r="E6" s="14"/>
      <c r="F6" s="14"/>
    </row>
    <row r="7" spans="1:35" ht="20.100000000000001" customHeight="1" x14ac:dyDescent="0.25">
      <c r="A7" s="19" t="s">
        <v>67</v>
      </c>
      <c r="D7" s="12" t="str" cm="1">
        <f t="array" ref="D7">"⚠️" &amp; Electricity_SourceData.Electricity_Scope2Scope3LocationBased_Variation()</f>
        <v>⚠️VARIATION OF SOURCE DATA: NSW and ACT split into separate rows.</v>
      </c>
      <c r="E7" s="14"/>
      <c r="F7" s="14"/>
    </row>
    <row r="8" spans="1:35" ht="20.100000000000001" customHeight="1" x14ac:dyDescent="0.25">
      <c r="A8" s="16" t="str">
        <f>HYPERLINK("#'Input - Site'!A1", "Site")</f>
        <v>Site</v>
      </c>
      <c r="D8" s="14"/>
      <c r="E8" s="14"/>
      <c r="F8" s="14"/>
    </row>
    <row r="9" spans="1:35" ht="20.100000000000001" customHeight="1" x14ac:dyDescent="0.25">
      <c r="A9" s="16" t="str">
        <f>HYPERLINK("#'Input - Fuel'!A1", "Fuel")</f>
        <v>Fuel</v>
      </c>
      <c r="D9" s="25" t="s">
        <v>222</v>
      </c>
      <c r="E9" s="25" t="s">
        <v>223</v>
      </c>
      <c r="F9" s="25" t="s">
        <v>224</v>
      </c>
    </row>
    <row r="10" spans="1:35" ht="20.100000000000001" customHeight="1" x14ac:dyDescent="0.25">
      <c r="A10" s="16" t="str">
        <f>HYPERLINK("#'Input - Fertiliser'!A1", "Fertiliser")</f>
        <v>Fertiliser</v>
      </c>
      <c r="D10" s="3" t="str" cm="1">
        <f t="array" ref="D10">Common_InputFunctions.Utility_DisplayArrayInTable(Electricity_SourceData.Electricity_Scope2Scope3LocationBased_Data(), Table_SourceData_ElectricityEFs[[#Headers],[State, Territory or grid description]], 0)</f>
        <v>New South Wales</v>
      </c>
      <c r="E10" s="3" cm="1">
        <f t="array" ref="E10">Common_InputFunctions.Utility_DisplayArrayInTable(Electricity_SourceData.Electricity_Scope2Scope3LocationBased_Data(), Table_SourceData_ElectricityEFs[[#Headers],[State, Territory or grid description]], 0)</f>
        <v>0.64</v>
      </c>
      <c r="F10" s="3" cm="1">
        <f t="array" ref="F10">Common_InputFunctions.Utility_DisplayArrayInTable(Electricity_SourceData.Electricity_Scope2Scope3LocationBased_Data(), Table_SourceData_ElectricityEFs[[#Headers],[State, Territory or grid description]], 0)</f>
        <v>0.03</v>
      </c>
    </row>
    <row r="11" spans="1:35" ht="20.100000000000001" customHeight="1" x14ac:dyDescent="0.25">
      <c r="A11" s="16" t="str">
        <f>HYPERLINK("#'Input - Farm Inputs'!A1", "Farm Inputs")</f>
        <v>Farm Inputs</v>
      </c>
      <c r="D11" s="3" t="str" cm="1">
        <f t="array" ref="D11">Common_InputFunctions.Utility_DisplayArrayInTable(Electricity_SourceData.Electricity_Scope2Scope3LocationBased_Data(), Table_SourceData_ElectricityEFs[[#Headers],[State, Territory or grid description]], 0)</f>
        <v>ACT</v>
      </c>
      <c r="E11" s="3" cm="1">
        <f t="array" ref="E11">Common_InputFunctions.Utility_DisplayArrayInTable(Electricity_SourceData.Electricity_Scope2Scope3LocationBased_Data(), Table_SourceData_ElectricityEFs[[#Headers],[State, Territory or grid description]], 0)</f>
        <v>0.64</v>
      </c>
      <c r="F11" s="3" cm="1">
        <f t="array" ref="F11">Common_InputFunctions.Utility_DisplayArrayInTable(Electricity_SourceData.Electricity_Scope2Scope3LocationBased_Data(), Table_SourceData_ElectricityEFs[[#Headers],[State, Territory or grid description]], 0)</f>
        <v>0.03</v>
      </c>
    </row>
    <row r="12" spans="1:35" ht="20.100000000000001" customHeight="1" x14ac:dyDescent="0.25">
      <c r="A12" s="16" t="str">
        <f>HYPERLINK("#'Input - Beef cattle purchases'!A1", "Beef cattle purchases")</f>
        <v>Beef cattle purchases</v>
      </c>
      <c r="D12" s="3" t="str" cm="1">
        <f t="array" ref="D12">Common_InputFunctions.Utility_DisplayArrayInTable(Electricity_SourceData.Electricity_Scope2Scope3LocationBased_Data(), Table_SourceData_ElectricityEFs[[#Headers],[State, Territory or grid description]], 0)</f>
        <v>Victoria</v>
      </c>
      <c r="E12" s="3" cm="1">
        <f t="array" ref="E12">Common_InputFunctions.Utility_DisplayArrayInTable(Electricity_SourceData.Electricity_Scope2Scope3LocationBased_Data(), Table_SourceData_ElectricityEFs[[#Headers],[State, Territory or grid description]], 0)</f>
        <v>0.78</v>
      </c>
      <c r="F12" s="3" cm="1">
        <f t="array" ref="F12">Common_InputFunctions.Utility_DisplayArrayInTable(Electricity_SourceData.Electricity_Scope2Scope3LocationBased_Data(), Table_SourceData_ElectricityEFs[[#Headers],[State, Territory or grid description]], 0)</f>
        <v>0.09</v>
      </c>
    </row>
    <row r="13" spans="1:35" ht="20.100000000000001" customHeight="1" x14ac:dyDescent="0.25">
      <c r="A13" s="16" t="str">
        <f>HYPERLINK("#'Input - Dairy cattle purchases'!A1", "Dairy cattle purchases")</f>
        <v>Dairy cattle purchases</v>
      </c>
      <c r="D13" s="3" t="str" cm="1">
        <f t="array" ref="D13">Common_InputFunctions.Utility_DisplayArrayInTable(Electricity_SourceData.Electricity_Scope2Scope3LocationBased_Data(), Table_SourceData_ElectricityEFs[[#Headers],[State, Territory or grid description]], 0)</f>
        <v>Queensland</v>
      </c>
      <c r="E13" s="3" cm="1">
        <f t="array" ref="E13">Common_InputFunctions.Utility_DisplayArrayInTable(Electricity_SourceData.Electricity_Scope2Scope3LocationBased_Data(), Table_SourceData_ElectricityEFs[[#Headers],[State, Territory or grid description]], 0)</f>
        <v>0.67</v>
      </c>
      <c r="F13" s="3" cm="1">
        <f t="array" ref="F13">Common_InputFunctions.Utility_DisplayArrayInTable(Electricity_SourceData.Electricity_Scope2Scope3LocationBased_Data(), Table_SourceData_ElectricityEFs[[#Headers],[State, Territory or grid description]], 0)</f>
        <v>0.09</v>
      </c>
    </row>
    <row r="14" spans="1:35" ht="20.100000000000001" customHeight="1" x14ac:dyDescent="0.25">
      <c r="A14" s="16" t="str">
        <f>HYPERLINK("#'Input - Pig purchases'!A1", "Pig purchases")</f>
        <v>Pig purchases</v>
      </c>
      <c r="D14" s="3" t="str" cm="1">
        <f t="array" ref="D14">Common_InputFunctions.Utility_DisplayArrayInTable(Electricity_SourceData.Electricity_Scope2Scope3LocationBased_Data(), Table_SourceData_ElectricityEFs[[#Headers],[State, Territory or grid description]], 0)</f>
        <v>South Australia</v>
      </c>
      <c r="E14" s="3" cm="1">
        <f t="array" ref="E14">Common_InputFunctions.Utility_DisplayArrayInTable(Electricity_SourceData.Electricity_Scope2Scope3LocationBased_Data(), Table_SourceData_ElectricityEFs[[#Headers],[State, Territory or grid description]], 0)</f>
        <v>0.22</v>
      </c>
      <c r="F14" s="3" cm="1">
        <f t="array" ref="F14">Common_InputFunctions.Utility_DisplayArrayInTable(Electricity_SourceData.Electricity_Scope2Scope3LocationBased_Data(), Table_SourceData_ElectricityEFs[[#Headers],[State, Territory or grid description]], 0)</f>
        <v>0.04</v>
      </c>
    </row>
    <row r="15" spans="1:35" ht="20.100000000000001" customHeight="1" x14ac:dyDescent="0.25">
      <c r="A15" s="16" t="str">
        <f>HYPERLINK("#'Input - Poultry purchases'!A1", "Poultry purchases")</f>
        <v>Poultry purchases</v>
      </c>
      <c r="D15" s="3"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s="3" cm="1">
        <f t="array" ref="E15">Common_InputFunctions.Utility_DisplayArrayInTable(Electricity_SourceData.Electricity_Scope2Scope3LocationBased_Data(), Table_SourceData_ElectricityEFs[[#Headers],[State, Territory or grid description]], 0)</f>
        <v>0.5</v>
      </c>
      <c r="F15" s="3" cm="1">
        <f t="array" ref="F15">Common_InputFunctions.Utility_DisplayArrayInTable(Electricity_SourceData.Electricity_Scope2Scope3LocationBased_Data(), Table_SourceData_ElectricityEFs[[#Headers],[State, Territory or grid description]], 0)</f>
        <v>0.06</v>
      </c>
    </row>
    <row r="16" spans="1:35" ht="20.100000000000001" customHeight="1" x14ac:dyDescent="0.25">
      <c r="A16" s="16" t="str">
        <f>HYPERLINK("#'Input - Freight'!A1", "Freight")</f>
        <v>Freight</v>
      </c>
      <c r="D16" s="3"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s="3" cm="1">
        <f t="array" ref="E16">Common_InputFunctions.Utility_DisplayArrayInTable(Electricity_SourceData.Electricity_Scope2Scope3LocationBased_Data(), Table_SourceData_ElectricityEFs[[#Headers],[State, Territory or grid description]], 0)</f>
        <v>0.56000000000000005</v>
      </c>
      <c r="F16" s="3" cm="1">
        <f t="array" ref="F16">Common_InputFunctions.Utility_DisplayArrayInTable(Electricity_SourceData.Electricity_Scope2Scope3LocationBased_Data(), Table_SourceData_ElectricityEFs[[#Headers],[State, Territory or grid description]], 0)</f>
        <v>0.09</v>
      </c>
    </row>
    <row r="17" spans="1:8" ht="20.100000000000001" customHeight="1" x14ac:dyDescent="0.25">
      <c r="A17" s="16" t="str">
        <f>HYPERLINK("#'Input - Solid waste'!A1", "Solid waste")</f>
        <v>Solid waste</v>
      </c>
      <c r="D17" s="3" t="str" cm="1">
        <f t="array" ref="D17">Common_InputFunctions.Utility_DisplayArrayInTable(Electricity_SourceData.Electricity_Scope2Scope3LocationBased_Data(), Table_SourceData_ElectricityEFs[[#Headers],[State, Territory or grid description]], 0)</f>
        <v>Tasmania</v>
      </c>
      <c r="E17" s="3" cm="1">
        <f t="array" ref="E17">Common_InputFunctions.Utility_DisplayArrayInTable(Electricity_SourceData.Electricity_Scope2Scope3LocationBased_Data(), Table_SourceData_ElectricityEFs[[#Headers],[State, Territory or grid description]], 0)</f>
        <v>0.2</v>
      </c>
      <c r="F17" s="3" cm="1">
        <f t="array" ref="F17">Common_InputFunctions.Utility_DisplayArrayInTable(Electricity_SourceData.Electricity_Scope2Scope3LocationBased_Data(), Table_SourceData_ElectricityEFs[[#Headers],[State, Territory or grid description]], 0)</f>
        <v>0.03</v>
      </c>
    </row>
    <row r="18" spans="1:8" ht="20.100000000000001" customHeight="1" x14ac:dyDescent="0.25">
      <c r="A18" s="16" t="str">
        <f>HYPERLINK("#'Input - Manure sent off-site'!A1", "Manure sent off-site")</f>
        <v>Manure sent off-site</v>
      </c>
      <c r="D18" s="3"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s="3" cm="1">
        <f t="array" ref="E18">Common_InputFunctions.Utility_DisplayArrayInTable(Electricity_SourceData.Electricity_Scope2Scope3LocationBased_Data(), Table_SourceData_ElectricityEFs[[#Headers],[State, Territory or grid description]], 0)</f>
        <v>0.56000000000000005</v>
      </c>
      <c r="F18" s="3" cm="1">
        <f t="array" ref="F18">Common_InputFunctions.Utility_DisplayArrayInTable(Electricity_SourceData.Electricity_Scope2Scope3LocationBased_Data(), Table_SourceData_ElectricityEFs[[#Headers],[State, Territory or grid description]], 0)</f>
        <v>0.09</v>
      </c>
    </row>
    <row r="19" spans="1:8" ht="20.100000000000001" customHeight="1" x14ac:dyDescent="0.25">
      <c r="A19" s="16" t="str">
        <f>HYPERLINK("#'Input - Electricity'!A1", "Electricity")</f>
        <v>Electricity</v>
      </c>
      <c r="D19" s="3" t="str" cm="1">
        <f t="array" ref="D19">Common_InputFunctions.Utility_DisplayArrayInTable(Electricity_SourceData.Electricity_Scope2Scope3LocationBased_Data(), Table_SourceData_ElectricityEFs[[#Headers],[State, Territory or grid description]], 0)</f>
        <v>National</v>
      </c>
      <c r="E19" s="3" cm="1">
        <f t="array" ref="E19">Common_InputFunctions.Utility_DisplayArrayInTable(Electricity_SourceData.Electricity_Scope2Scope3LocationBased_Data(), Table_SourceData_ElectricityEFs[[#Headers],[State, Territory or grid description]], 0)</f>
        <v>0.62</v>
      </c>
      <c r="F19" s="3" cm="1">
        <f t="array" ref="F19">Common_InputFunctions.Utility_DisplayArrayInTable(Electricity_SourceData.Electricity_Scope2Scope3LocationBased_Data(), Table_SourceData_ElectricityEFs[[#Headers],[State, Territory or grid description]], 0)</f>
        <v>7.0000000000000007E-2</v>
      </c>
    </row>
    <row r="20" spans="1:8" ht="20.100000000000001" customHeight="1" x14ac:dyDescent="0.25">
      <c r="A20"/>
    </row>
    <row r="21" spans="1:8" ht="20.100000000000001" customHeight="1" x14ac:dyDescent="0.25">
      <c r="A21"/>
      <c r="D21" s="9" t="str" cm="1">
        <f t="array" ref="D21">Electricity_SourceData.Electricity_Scope2Scope3MarketBased_Title()</f>
        <v>Electricity scope 2 and scope 3 market-based emission factors</v>
      </c>
    </row>
    <row r="22" spans="1:8" ht="20.100000000000001" customHeight="1" x14ac:dyDescent="0.25">
      <c r="A22" s="21" t="s">
        <v>77</v>
      </c>
      <c r="D22" s="11" t="str" cm="1">
        <f t="array" ref="D22">Electricity_SourceData.Electricity_Scope2Scope3MarketBased_Source()</f>
        <v>Australian National Greenhouse Accounts Factors 2025 - Table 2a</v>
      </c>
    </row>
    <row r="23" spans="1:8" ht="20.100000000000001" customHeight="1" x14ac:dyDescent="0.25">
      <c r="A23" s="16" t="str">
        <f>HYPERLINK("#'15 Scope 3'!A1", "15 Scope 3")</f>
        <v>15 Scope 3</v>
      </c>
    </row>
    <row r="24" spans="1:8" ht="20.100000000000001" customHeight="1" x14ac:dyDescent="0.25">
      <c r="A24" s="16" t="str">
        <f>HYPERLINK("#'10.1.1-2 Solid waste treatment'!A1", "10.1.1-2 Solid waste treatment")</f>
        <v>10.1.1-2 Solid waste treatment</v>
      </c>
      <c r="D24" s="62" t="s">
        <v>222</v>
      </c>
      <c r="E24" s="62" t="s">
        <v>225</v>
      </c>
      <c r="F24" s="62" t="s">
        <v>226</v>
      </c>
      <c r="G24" s="62" t="s">
        <v>227</v>
      </c>
      <c r="H24" s="62" t="s">
        <v>228</v>
      </c>
    </row>
    <row r="25" spans="1:8" ht="20.100000000000001" customHeight="1" x14ac:dyDescent="0.25">
      <c r="A25" s="16" t="str">
        <f>HYPERLINK("#'Calcs - Manure sent off-site'!A1", "Calcs - Manure sent off-site")</f>
        <v>Calcs - Manure sent off-site</v>
      </c>
      <c r="D25" s="3" t="str" cm="1">
        <f t="array" ref="D25">Common_InputFunctions.Utility_DisplayArrayInTable(Electricity_SourceData.Electricity_Scope2Scope3MarketBased_Data(), Table_SourceData_ElectricityEFsMarketBased[[#Headers],[State, Territory or grid description]], 0)</f>
        <v>National</v>
      </c>
      <c r="E25" s="3" cm="1">
        <f t="array" ref="E25">Common_InputFunctions.Utility_DisplayArrayInTable(Electricity_SourceData.Electricity_Scope2Scope3MarketBased_Data(), Table_SourceData_ElectricityEFsMarketBased[[#Headers],[State, Territory or grid description]], 0)</f>
        <v>0.81</v>
      </c>
      <c r="F25" s="3" cm="1">
        <f t="array" ref="F25">Common_InputFunctions.Utility_DisplayArrayInTable(Electricity_SourceData.Electricity_Scope2Scope3MarketBased_Data(), Table_SourceData_ElectricityEFsMarketBased[[#Headers],[State, Territory or grid description]], 0)</f>
        <v>226</v>
      </c>
      <c r="G25" s="3" cm="1">
        <f t="array" ref="G25">Common_InputFunctions.Utility_DisplayArrayInTable(Electricity_SourceData.Electricity_Scope2Scope3MarketBased_Data(), Table_SourceData_ElectricityEFsMarketBased[[#Headers],[State, Territory or grid description]], 0)</f>
        <v>0.1</v>
      </c>
      <c r="H25" s="3" cm="1">
        <f t="array" ref="H25">Common_InputFunctions.Utility_DisplayArrayInTable(Electricity_SourceData.Electricity_Scope2Scope3MarketBased_Data(), Table_SourceData_ElectricityEFsMarketBased[[#Headers],[State, Territory or grid description]], 0)</f>
        <v>29</v>
      </c>
    </row>
    <row r="26" spans="1:8" ht="20.100000000000001" customHeight="1" x14ac:dyDescent="0.25">
      <c r="A26" s="16" t="str">
        <f>HYPERLINK("#'8.1.1.1-2 Transport fuel'!A1", "8.1.1.1-2 Transport fuel")</f>
        <v>8.1.1.1-2 Transport fuel</v>
      </c>
    </row>
    <row r="27" spans="1:8" ht="20.100000000000001" customHeight="1" x14ac:dyDescent="0.25">
      <c r="A27" s="16" t="str">
        <f>HYPERLINK("#'8.2.1.1-2 Stationary fuel'!A1", "8.2.1.1-2 Stationary fuel")</f>
        <v>8.2.1.1-2 Stationary fuel</v>
      </c>
    </row>
    <row r="28" spans="1:8" ht="20.100000000000001" customHeight="1" x14ac:dyDescent="0.25">
      <c r="A28"/>
    </row>
    <row r="29" spans="1:8" ht="20.100000000000001" customHeight="1" x14ac:dyDescent="0.25">
      <c r="A29"/>
    </row>
    <row r="30" spans="1:8" ht="20.100000000000001" customHeight="1" x14ac:dyDescent="0.25">
      <c r="A30" s="221" t="s">
        <v>78</v>
      </c>
    </row>
    <row r="31" spans="1:8" ht="20.100000000000001" customHeight="1" x14ac:dyDescent="0.25">
      <c r="A31" s="16" t="str">
        <f>HYPERLINK("#'Constants - Scope 3'!A1", "Constants - Scope 3")</f>
        <v>Constants - Scope 3</v>
      </c>
    </row>
    <row r="32" spans="1:8" ht="20.100000000000001" customHeight="1" x14ac:dyDescent="0.25">
      <c r="A32" s="16" t="str">
        <f>HYPERLINK("#'Constants - Solid Waste'!A1", "Constants - Solid Waste")</f>
        <v>Constants - Solid Waste</v>
      </c>
    </row>
    <row r="33" spans="1:1" ht="20.100000000000001" customHeight="1" x14ac:dyDescent="0.25">
      <c r="A33" s="16" t="str">
        <f>HYPERLINK("#'Constants - Fuel'!A1", "Constants - Fuel")</f>
        <v>Constants - Fuel</v>
      </c>
    </row>
    <row r="34" spans="1:1" ht="20.100000000000001" customHeight="1" x14ac:dyDescent="0.25">
      <c r="A34" s="16" t="str">
        <f>HYPERLINK("#'Constants - Poultry'!A1", "Constants - Poultry")</f>
        <v>Constants - Poultry</v>
      </c>
    </row>
    <row r="35" spans="1:1" ht="20.100000000000001" customHeight="1" x14ac:dyDescent="0.25">
      <c r="A35" s="16" t="str">
        <f>HYPERLINK("#'Constants - Swine'!A1", "Constants - Swine")</f>
        <v>Constants - Swine</v>
      </c>
    </row>
    <row r="36" spans="1:1" ht="20.100000000000001" customHeight="1" x14ac:dyDescent="0.25">
      <c r="A36" s="16" t="str">
        <f>HYPERLINK("#'Constants - Dairy'!A1", "Constants - Dairy")</f>
        <v>Constants - Dairy</v>
      </c>
    </row>
    <row r="37" spans="1:1" ht="20.100000000000001" customHeight="1" x14ac:dyDescent="0.25">
      <c r="A37" s="16" t="str">
        <f>HYPERLINK("#'Constants - Pasture Beef'!A1", "Constants - Pasture Beef")</f>
        <v>Constants - Pasture Beef</v>
      </c>
    </row>
    <row r="38" spans="1:1" ht="20.100000000000001" customHeight="1" x14ac:dyDescent="0.25">
      <c r="A38" s="16" t="str">
        <f>HYPERLINK("#'Constants - Common Livestock'!A1", "Constants - Common Livestock")</f>
        <v>Constants - Common Livestock</v>
      </c>
    </row>
    <row r="39" spans="1:1" ht="20.100000000000001" customHeight="1" x14ac:dyDescent="0.25">
      <c r="A39" s="16" t="str">
        <f>HYPERLINK("#'Constants - Fertiliser'!A1", "Constants - Fertiliser")</f>
        <v>Constants - Fertiliser</v>
      </c>
    </row>
    <row r="40" spans="1:1" ht="20.100000000000001" customHeight="1" x14ac:dyDescent="0.25">
      <c r="A40" s="23" t="str">
        <f>HYPERLINK("#'Constants - Electricity'!A1", "Constants - Electricity")</f>
        <v>Constants - Electricity</v>
      </c>
    </row>
    <row r="41" spans="1:1" ht="20.100000000000001" customHeight="1" x14ac:dyDescent="0.25">
      <c r="A41" s="16" t="str">
        <f>HYPERLINK("#'Constants - Common'!A1", "Constants - Common")</f>
        <v>Constants - Common</v>
      </c>
    </row>
    <row r="42" spans="1:1" ht="20.100000000000001" customHeight="1" x14ac:dyDescent="0.25">
      <c r="A42"/>
    </row>
    <row r="43" spans="1:1" ht="20.100000000000001" customHeight="1" x14ac:dyDescent="0.25">
      <c r="A43"/>
    </row>
    <row r="44" spans="1:1" ht="20.100000000000001" customHeight="1" x14ac:dyDescent="0.25">
      <c r="A44"/>
    </row>
    <row r="45" spans="1:1" ht="20.100000000000001" customHeight="1" x14ac:dyDescent="0.25">
      <c r="A45"/>
    </row>
    <row r="46" spans="1:1" ht="20.100000000000001" customHeight="1" x14ac:dyDescent="0.25">
      <c r="A46"/>
    </row>
    <row r="47" spans="1:1" ht="20.100000000000001" customHeight="1" x14ac:dyDescent="0.25">
      <c r="A47"/>
    </row>
    <row r="48" spans="1:1" ht="20.100000000000001" customHeight="1" x14ac:dyDescent="0.25">
      <c r="A48"/>
    </row>
    <row r="49" spans="1:1" ht="20.100000000000001" customHeight="1" x14ac:dyDescent="0.25">
      <c r="A49"/>
    </row>
    <row r="50" spans="1:1" ht="20.100000000000001" customHeight="1" x14ac:dyDescent="0.25">
      <c r="A50"/>
    </row>
    <row r="51" spans="1:1" ht="20.100000000000001" customHeight="1" x14ac:dyDescent="0.25">
      <c r="A51"/>
    </row>
    <row r="52" spans="1:1" ht="20.100000000000001" customHeight="1" x14ac:dyDescent="0.25">
      <c r="A52"/>
    </row>
    <row r="53" spans="1:1" ht="20.100000000000001" customHeight="1" x14ac:dyDescent="0.25">
      <c r="A53"/>
    </row>
    <row r="54" spans="1:1" ht="20.100000000000001" customHeight="1" x14ac:dyDescent="0.25">
      <c r="A54"/>
    </row>
    <row r="55" spans="1:1" ht="20.100000000000001" customHeight="1" x14ac:dyDescent="0.25">
      <c r="A55"/>
    </row>
    <row r="56" spans="1:1" ht="20.100000000000001" customHeight="1" x14ac:dyDescent="0.25">
      <c r="A56"/>
    </row>
    <row r="57" spans="1:1" ht="20.100000000000001" customHeight="1" x14ac:dyDescent="0.25">
      <c r="A57"/>
    </row>
    <row r="58" spans="1:1" ht="20.100000000000001" customHeight="1" x14ac:dyDescent="0.25">
      <c r="A58"/>
    </row>
    <row r="59" spans="1:1" ht="20.100000000000001" customHeight="1" x14ac:dyDescent="0.25">
      <c r="A59"/>
    </row>
    <row r="60" spans="1:1" ht="20.100000000000001" customHeight="1" x14ac:dyDescent="0.25">
      <c r="A60"/>
    </row>
    <row r="61" spans="1:1" ht="20.100000000000001" customHeight="1" x14ac:dyDescent="0.25">
      <c r="A61"/>
    </row>
    <row r="62" spans="1:1" ht="20.100000000000001" customHeight="1" x14ac:dyDescent="0.25">
      <c r="A62"/>
    </row>
    <row r="63" spans="1:1" ht="20.100000000000001" customHeight="1" x14ac:dyDescent="0.25">
      <c r="A63"/>
    </row>
    <row r="64" spans="1:1"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tableParts count="2">
    <tablePart r:id="rId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619FE-4B24-43BA-8825-E0E275D29333}">
  <dimension ref="A1:BY259"/>
  <sheetViews>
    <sheetView showGridLines="0" topLeftCell="A86" zoomScaleNormal="100" workbookViewId="0">
      <selection activeCell="A41" sqref="A41"/>
    </sheetView>
  </sheetViews>
  <sheetFormatPr defaultColWidth="8" defaultRowHeight="15.75" x14ac:dyDescent="0.25"/>
  <cols>
    <col min="1" max="1" width="26.875" style="4" customWidth="1"/>
    <col min="2" max="2" width="2.375" style="4" customWidth="1"/>
    <col min="3" max="3" width="4.125" style="8" customWidth="1"/>
    <col min="4" max="4" width="42" style="8" customWidth="1"/>
    <col min="5" max="6" width="18.125" style="8" customWidth="1"/>
    <col min="7" max="7" width="26.5" style="8" customWidth="1"/>
    <col min="8" max="9" width="18.125" style="8" customWidth="1"/>
    <col min="10" max="10" width="30" style="8" customWidth="1"/>
    <col min="11" max="13" width="18.125" style="8" customWidth="1"/>
    <col min="14" max="14" width="29" style="8" customWidth="1"/>
    <col min="15" max="15" width="31.875" style="8" customWidth="1"/>
    <col min="16" max="16" width="18.375" style="8" customWidth="1"/>
    <col min="17" max="17" width="18.625" style="8" customWidth="1"/>
    <col min="18" max="18" width="27.25" style="8" customWidth="1"/>
    <col min="19" max="20" width="18.125" style="8" customWidth="1"/>
    <col min="21" max="21" width="4.125" style="8" customWidth="1"/>
    <col min="22" max="33" width="18.125" style="4" customWidth="1"/>
    <col min="34" max="39" width="19.125" style="4" customWidth="1"/>
    <col min="40" max="44" width="18.125" style="4" customWidth="1"/>
    <col min="45" max="65" width="8" style="4"/>
    <col min="66" max="16384" width="8" style="7"/>
  </cols>
  <sheetData>
    <row r="1" spans="1:65" s="1" customFormat="1" ht="30" customHeight="1" x14ac:dyDescent="0.35">
      <c r="A1" s="37" t="e" vm="1">
        <v>#VALUE!</v>
      </c>
      <c r="C1" s="1" t="s">
        <v>0</v>
      </c>
    </row>
    <row r="2" spans="1:65" s="2" customFormat="1" ht="20.100000000000001" customHeight="1" x14ac:dyDescent="0.25">
      <c r="A2"/>
    </row>
    <row r="3" spans="1:65" ht="20.100000000000001" customHeight="1" x14ac:dyDescent="0.25">
      <c r="A3" s="16" t="str">
        <f>HYPERLINK("#'Overview'!A1", "Overview")</f>
        <v>Overview</v>
      </c>
      <c r="C3" s="5"/>
      <c r="D3" s="5"/>
      <c r="E3" s="5"/>
      <c r="F3" s="5"/>
      <c r="G3" s="5"/>
      <c r="H3" s="5"/>
      <c r="I3" s="5"/>
      <c r="J3" s="5"/>
      <c r="K3" s="5"/>
      <c r="L3" s="5"/>
      <c r="M3" s="5"/>
      <c r="N3" s="5"/>
      <c r="O3" s="5"/>
      <c r="P3" s="5"/>
      <c r="Q3" s="5"/>
      <c r="R3" s="5"/>
      <c r="S3" s="5"/>
      <c r="T3" s="5"/>
      <c r="U3" s="5"/>
      <c r="V3" s="6"/>
      <c r="W3" s="6"/>
    </row>
    <row r="4" spans="1:65" ht="20.100000000000001" customHeight="1" x14ac:dyDescent="0.25">
      <c r="A4" s="16" t="str">
        <f>HYPERLINK("#'Results'!A1", "Results")</f>
        <v>Results</v>
      </c>
      <c r="BM4" s="7"/>
    </row>
    <row r="5" spans="1:65" ht="20.100000000000001" customHeight="1" x14ac:dyDescent="0.25">
      <c r="A5"/>
      <c r="D5" s="9" t="str" cm="1">
        <f t="array" ref="D5">Common_SourceData.Common_SourceData_AustralianStatesTerritories_Title()</f>
        <v>Australian states and territories</v>
      </c>
      <c r="BM5" s="7"/>
    </row>
    <row r="6" spans="1:65" ht="20.100000000000001" customHeight="1" x14ac:dyDescent="0.25">
      <c r="A6"/>
      <c r="D6" s="10" t="s">
        <v>1</v>
      </c>
      <c r="E6" s="10" t="s">
        <v>2</v>
      </c>
      <c r="F6" s="10" t="s">
        <v>3</v>
      </c>
    </row>
    <row r="7" spans="1:65" ht="20.100000000000001" customHeight="1" x14ac:dyDescent="0.25">
      <c r="A7" s="19" t="s">
        <v>67</v>
      </c>
      <c r="D7" s="10" t="str" cm="1">
        <f t="array" ref="D7">Common_InputFunctions.Utility_DisplayArrayInTable(Common_SourceData.Common_SourceData_AustralianStatesTerritories_Data(),Table_AustralianStates[[#Headers],[State/Territory]],0)</f>
        <v>New South Wales</v>
      </c>
      <c r="E7" s="10" t="str" cm="1">
        <f t="array" ref="E7">Common_InputFunctions.Utility_DisplayArrayInTable(Common_SourceData.Common_SourceData_AustralianStatesTerritories_Data(),Table_AustralianStates[[#Headers],[State/Territory]],0)</f>
        <v>New South Wales</v>
      </c>
      <c r="F7" s="10" t="str" cm="1">
        <f t="array" ref="F7">Common_InputFunctions.Utility_DisplayArrayInTable(Common_SourceData.Common_SourceData_AustralianStatesTerritories_Data(),Table_AustralianStates[[#Headers],[State/Territory]],0)</f>
        <v>NSW</v>
      </c>
    </row>
    <row r="8" spans="1:65" ht="20.100000000000001" customHeight="1" x14ac:dyDescent="0.25">
      <c r="A8" s="16" t="str">
        <f>HYPERLINK("#'Input - Site'!A1", "Site")</f>
        <v>Site</v>
      </c>
      <c r="D8" s="10" t="str" cm="1">
        <f t="array" ref="D8">Common_InputFunctions.Utility_DisplayArrayInTable(Common_SourceData.Common_SourceData_AustralianStatesTerritories_Data(),Table_AustralianStates[[#Headers],[State/Territory]],0)</f>
        <v>Australian Capital Territory</v>
      </c>
      <c r="E8" s="10" t="str" cm="1">
        <f t="array" ref="E8">Common_InputFunctions.Utility_DisplayArrayInTable(Common_SourceData.Common_SourceData_AustralianStatesTerritories_Data(),Table_AustralianStates[[#Headers],[State/Territory]],0)</f>
        <v>ACT</v>
      </c>
      <c r="F8" s="10" t="str" cm="1">
        <f t="array" ref="F8">Common_InputFunctions.Utility_DisplayArrayInTable(Common_SourceData.Common_SourceData_AustralianStatesTerritories_Data(),Table_AustralianStates[[#Headers],[State/Territory]],0)</f>
        <v>ACT</v>
      </c>
    </row>
    <row r="9" spans="1:65" ht="20.100000000000001" customHeight="1" x14ac:dyDescent="0.25">
      <c r="A9" s="16" t="str">
        <f>HYPERLINK("#'Input - Fuel'!A1", "Fuel")</f>
        <v>Fuel</v>
      </c>
      <c r="D9" s="10" t="str" cm="1">
        <f t="array" ref="D9">Common_InputFunctions.Utility_DisplayArrayInTable(Common_SourceData.Common_SourceData_AustralianStatesTerritories_Data(),Table_AustralianStates[[#Headers],[State/Territory]],0)</f>
        <v>Victoria</v>
      </c>
      <c r="E9" s="10" t="str" cm="1">
        <f t="array" ref="E9">Common_InputFunctions.Utility_DisplayArrayInTable(Common_SourceData.Common_SourceData_AustralianStatesTerritories_Data(),Table_AustralianStates[[#Headers],[State/Territory]],0)</f>
        <v>Victoria</v>
      </c>
      <c r="F9" s="10" t="str" cm="1">
        <f t="array" ref="F9">Common_InputFunctions.Utility_DisplayArrayInTable(Common_SourceData.Common_SourceData_AustralianStatesTerritories_Data(),Table_AustralianStates[[#Headers],[State/Territory]],0)</f>
        <v>VIC</v>
      </c>
    </row>
    <row r="10" spans="1:65" ht="20.100000000000001" customHeight="1" x14ac:dyDescent="0.25">
      <c r="A10" s="16" t="str">
        <f>HYPERLINK("#'Input - Fertiliser'!A1", "Fertiliser")</f>
        <v>Fertiliser</v>
      </c>
      <c r="D10" s="10" t="str" cm="1">
        <f t="array" ref="D10">Common_InputFunctions.Utility_DisplayArrayInTable(Common_SourceData.Common_SourceData_AustralianStatesTerritories_Data(),Table_AustralianStates[[#Headers],[State/Territory]],0)</f>
        <v>Queensland</v>
      </c>
      <c r="E10" s="10" t="str" cm="1">
        <f t="array" ref="E10">Common_InputFunctions.Utility_DisplayArrayInTable(Common_SourceData.Common_SourceData_AustralianStatesTerritories_Data(),Table_AustralianStates[[#Headers],[State/Territory]],0)</f>
        <v>Queensland</v>
      </c>
      <c r="F10" s="10" t="str" cm="1">
        <f t="array" ref="F10">Common_InputFunctions.Utility_DisplayArrayInTable(Common_SourceData.Common_SourceData_AustralianStatesTerritories_Data(),Table_AustralianStates[[#Headers],[State/Territory]],0)</f>
        <v>QLD</v>
      </c>
    </row>
    <row r="11" spans="1:65" ht="20.100000000000001" customHeight="1" x14ac:dyDescent="0.25">
      <c r="A11" s="16" t="str">
        <f>HYPERLINK("#'Input - Farm Inputs'!A1", "Farm Inputs")</f>
        <v>Farm Inputs</v>
      </c>
      <c r="D11" s="10" t="str" cm="1">
        <f t="array" ref="D11">Common_InputFunctions.Utility_DisplayArrayInTable(Common_SourceData.Common_SourceData_AustralianStatesTerritories_Data(),Table_AustralianStates[[#Headers],[State/Territory]],0)</f>
        <v>South Australia</v>
      </c>
      <c r="E11" s="10" t="str" cm="1">
        <f t="array" ref="E11">Common_InputFunctions.Utility_DisplayArrayInTable(Common_SourceData.Common_SourceData_AustralianStatesTerritories_Data(),Table_AustralianStates[[#Headers],[State/Territory]],0)</f>
        <v>South Australia</v>
      </c>
      <c r="F11" s="10" t="str" cm="1">
        <f t="array" ref="F11">Common_InputFunctions.Utility_DisplayArrayInTable(Common_SourceData.Common_SourceData_AustralianStatesTerritories_Data(),Table_AustralianStates[[#Headers],[State/Territory]],0)</f>
        <v>SA</v>
      </c>
      <c r="BM11" s="7"/>
    </row>
    <row r="12" spans="1:65" ht="20.100000000000001" customHeight="1" x14ac:dyDescent="0.25">
      <c r="A12" s="16" t="str">
        <f>HYPERLINK("#'Input - Beef cattle purchases'!A1", "Beef cattle purchases")</f>
        <v>Beef cattle purchases</v>
      </c>
      <c r="D12" s="10" t="str" cm="1">
        <f t="array" ref="D12">Common_InputFunctions.Utility_DisplayArrayInTable(Common_SourceData.Common_SourceData_AustralianStatesTerritories_Data(),Table_AustralianStates[[#Headers],[State/Territory]],0)</f>
        <v>Western Australia</v>
      </c>
      <c r="E12" s="10" t="str" cm="1">
        <f t="array" ref="E12">Common_InputFunctions.Utility_DisplayArrayInTable(Common_SourceData.Common_SourceData_AustralianStatesTerritories_Data(),Table_AustralianStates[[#Headers],[State/Territory]],0)</f>
        <v>Western Australia</v>
      </c>
      <c r="F12" s="10" t="str" cm="1">
        <f t="array" ref="F12">Common_InputFunctions.Utility_DisplayArrayInTable(Common_SourceData.Common_SourceData_AustralianStatesTerritories_Data(),Table_AustralianStates[[#Headers],[State/Territory]],0)</f>
        <v>WA</v>
      </c>
      <c r="BM12" s="7"/>
    </row>
    <row r="13" spans="1:65" ht="20.100000000000001" customHeight="1" x14ac:dyDescent="0.25">
      <c r="A13" s="16" t="str">
        <f>HYPERLINK("#'Input - Dairy cattle purchases'!A1", "Dairy cattle purchases")</f>
        <v>Dairy cattle purchases</v>
      </c>
      <c r="D13" s="10" t="str" cm="1">
        <f t="array" ref="D13">Common_InputFunctions.Utility_DisplayArrayInTable(Common_SourceData.Common_SourceData_AustralianStatesTerritories_Data(),Table_AustralianStates[[#Headers],[State/Territory]],0)</f>
        <v>Tasmania</v>
      </c>
      <c r="E13" s="10" t="str" cm="1">
        <f t="array" ref="E13">Common_InputFunctions.Utility_DisplayArrayInTable(Common_SourceData.Common_SourceData_AustralianStatesTerritories_Data(),Table_AustralianStates[[#Headers],[State/Territory]],0)</f>
        <v>Tasmania</v>
      </c>
      <c r="F13" s="10" t="str" cm="1">
        <f t="array" ref="F13">Common_InputFunctions.Utility_DisplayArrayInTable(Common_SourceData.Common_SourceData_AustralianStatesTerritories_Data(),Table_AustralianStates[[#Headers],[State/Territory]],0)</f>
        <v>TAS</v>
      </c>
    </row>
    <row r="14" spans="1:65" ht="20.100000000000001" customHeight="1" x14ac:dyDescent="0.25">
      <c r="A14" s="16" t="str">
        <f>HYPERLINK("#'Input - Pig purchases'!A1", "Pig purchases")</f>
        <v>Pig purchases</v>
      </c>
      <c r="D14" s="10" t="str" cm="1">
        <f t="array" ref="D14">Common_InputFunctions.Utility_DisplayArrayInTable(Common_SourceData.Common_SourceData_AustralianStatesTerritories_Data(),Table_AustralianStates[[#Headers],[State/Territory]],0)</f>
        <v>Northern Territory</v>
      </c>
      <c r="E14" s="10" t="str" cm="1">
        <f t="array" ref="E14">Common_InputFunctions.Utility_DisplayArrayInTable(Common_SourceData.Common_SourceData_AustralianStatesTerritories_Data(),Table_AustralianStates[[#Headers],[State/Territory]],0)</f>
        <v>Northern Territory</v>
      </c>
      <c r="F14" s="10" t="str" cm="1">
        <f t="array" ref="F14">Common_InputFunctions.Utility_DisplayArrayInTable(Common_SourceData.Common_SourceData_AustralianStatesTerritories_Data(),Table_AustralianStates[[#Headers],[State/Territory]],0)</f>
        <v>NT</v>
      </c>
    </row>
    <row r="15" spans="1:65" ht="20.100000000000001" customHeight="1" x14ac:dyDescent="0.25">
      <c r="A15" s="16" t="str">
        <f>HYPERLINK("#'Input - Poultry purchases'!A1", "Poultry purchases")</f>
        <v>Poultry purchases</v>
      </c>
    </row>
    <row r="16" spans="1:65" ht="20.100000000000001" customHeight="1" x14ac:dyDescent="0.25">
      <c r="A16" s="16" t="str">
        <f>HYPERLINK("#'Input - Freight'!A1", "Freight")</f>
        <v>Freight</v>
      </c>
    </row>
    <row r="17" spans="1:4" ht="20.100000000000001" customHeight="1" x14ac:dyDescent="0.25">
      <c r="A17" s="16" t="str">
        <f>HYPERLINK("#'Input - Solid waste'!A1", "Solid waste")</f>
        <v>Solid waste</v>
      </c>
    </row>
    <row r="18" spans="1:4" ht="20.100000000000001" customHeight="1" x14ac:dyDescent="0.25">
      <c r="A18" s="16" t="str">
        <f>HYPERLINK("#'Input - Manure sent off-site'!A1", "Manure sent off-site")</f>
        <v>Manure sent off-site</v>
      </c>
      <c r="D18" s="9" t="str" cm="1">
        <f t="array" ref="D18">Common_SourceData.Common_SourceData_WASA4Areas_Title()</f>
        <v>ABS Statistcal Areas Level 4 - Western Australia</v>
      </c>
    </row>
    <row r="19" spans="1:4" ht="20.100000000000001" customHeight="1" x14ac:dyDescent="0.25">
      <c r="A19" s="16" t="str">
        <f>HYPERLINK("#'Input - Electricity'!A1", "Electricity")</f>
        <v>Electricity</v>
      </c>
      <c r="D19" s="11" t="str" cm="1">
        <f t="array" ref="D19">Common_SourceData.Common_SourceData_WASA4Areas_Source()</f>
        <v>Australian Bureau of Statistics (ABS) - Statistical Areas Level 2 - 2021 - Shapefile</v>
      </c>
    </row>
    <row r="20" spans="1:4" ht="20.100000000000001" customHeight="1" x14ac:dyDescent="0.25">
      <c r="A20"/>
      <c r="D20" s="10" t="s">
        <v>4</v>
      </c>
    </row>
    <row r="21" spans="1:4" ht="20.100000000000001" customHeight="1" x14ac:dyDescent="0.25">
      <c r="A21"/>
      <c r="D21" s="10" t="str" cm="1">
        <f t="array" ref="D21">Common_InputFunctions.Utility_DisplayArrayInTable(Common_SourceData.Common_SourceData_WASA4Areas_Data(), Table_WASA4Areas[[#Headers],[SA 4 Name]], 0)</f>
        <v>Bunbury</v>
      </c>
    </row>
    <row r="22" spans="1:4" ht="20.100000000000001" customHeight="1" x14ac:dyDescent="0.25">
      <c r="A22" s="21" t="s">
        <v>77</v>
      </c>
      <c r="D22" s="10" t="str" cm="1">
        <f t="array" ref="D22">Common_InputFunctions.Utility_DisplayArrayInTable(Common_SourceData.Common_SourceData_WASA4Areas_Data(), Table_WASA4Areas[[#Headers],[SA 4 Name]], 0)</f>
        <v>Mandurah</v>
      </c>
    </row>
    <row r="23" spans="1:4" ht="20.100000000000001" customHeight="1" x14ac:dyDescent="0.25">
      <c r="A23" s="16" t="str">
        <f>HYPERLINK("#'15 Scope 3'!A1", "15 Scope 3")</f>
        <v>15 Scope 3</v>
      </c>
      <c r="D23" s="10" t="str" cm="1">
        <f t="array" ref="D23">Common_InputFunctions.Utility_DisplayArrayInTable(Common_SourceData.Common_SourceData_WASA4Areas_Data(), Table_WASA4Areas[[#Headers],[SA 4 Name]], 0)</f>
        <v>Perth - Inner</v>
      </c>
    </row>
    <row r="24" spans="1:4" ht="20.100000000000001" customHeight="1" x14ac:dyDescent="0.25">
      <c r="A24" s="16" t="str">
        <f>HYPERLINK("#'10.1.1-2 Solid waste treatment'!A1", "10.1.1-2 Solid waste treatment")</f>
        <v>10.1.1-2 Solid waste treatment</v>
      </c>
      <c r="D24" s="10" t="str" cm="1">
        <f t="array" ref="D24">Common_InputFunctions.Utility_DisplayArrayInTable(Common_SourceData.Common_SourceData_WASA4Areas_Data(), Table_WASA4Areas[[#Headers],[SA 4 Name]], 0)</f>
        <v>Perth - North East</v>
      </c>
    </row>
    <row r="25" spans="1:4" ht="20.100000000000001" customHeight="1" x14ac:dyDescent="0.25">
      <c r="A25" s="16" t="str">
        <f>HYPERLINK("#'Calcs - Manure sent off-site'!A1", "Calcs - Manure sent off-site")</f>
        <v>Calcs - Manure sent off-site</v>
      </c>
      <c r="D25" s="10" t="str" cm="1">
        <f t="array" ref="D25">Common_InputFunctions.Utility_DisplayArrayInTable(Common_SourceData.Common_SourceData_WASA4Areas_Data(), Table_WASA4Areas[[#Headers],[SA 4 Name]], 0)</f>
        <v>Perth - North West</v>
      </c>
    </row>
    <row r="26" spans="1:4" ht="20.100000000000001" customHeight="1" x14ac:dyDescent="0.25">
      <c r="A26" s="16" t="str">
        <f>HYPERLINK("#'8.1.1.1-2 Transport fuel'!A1", "8.1.1.1-2 Transport fuel")</f>
        <v>8.1.1.1-2 Transport fuel</v>
      </c>
      <c r="D26" s="10" t="str" cm="1">
        <f t="array" ref="D26">Common_InputFunctions.Utility_DisplayArrayInTable(Common_SourceData.Common_SourceData_WASA4Areas_Data(), Table_WASA4Areas[[#Headers],[SA 4 Name]], 0)</f>
        <v>Perth - South East</v>
      </c>
    </row>
    <row r="27" spans="1:4" ht="20.100000000000001" customHeight="1" x14ac:dyDescent="0.25">
      <c r="A27" s="16" t="str">
        <f>HYPERLINK("#'8.2.1.1-2 Stationary fuel'!A1", "8.2.1.1-2 Stationary fuel")</f>
        <v>8.2.1.1-2 Stationary fuel</v>
      </c>
      <c r="D27" s="10" t="str" cm="1">
        <f t="array" ref="D27">Common_InputFunctions.Utility_DisplayArrayInTable(Common_SourceData.Common_SourceData_WASA4Areas_Data(), Table_WASA4Areas[[#Headers],[SA 4 Name]], 0)</f>
        <v>Perth - South West</v>
      </c>
    </row>
    <row r="28" spans="1:4" ht="20.100000000000001" customHeight="1" x14ac:dyDescent="0.25">
      <c r="A28"/>
      <c r="D28" s="10"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10" t="str" cm="1">
        <f t="array" ref="D29">Common_InputFunctions.Utility_DisplayArrayInTable(Common_SourceData.Common_SourceData_WASA4Areas_Data(), Table_WASA4Areas[[#Headers],[SA 4 Name]], 0)</f>
        <v>Western Australia - Outback (North)</v>
      </c>
    </row>
    <row r="30" spans="1:4" ht="20.100000000000001" customHeight="1" x14ac:dyDescent="0.25">
      <c r="A30" s="221" t="s">
        <v>78</v>
      </c>
      <c r="D30" s="10" t="str" cm="1">
        <f t="array" ref="D30">Common_InputFunctions.Utility_DisplayArrayInTable(Common_SourceData.Common_SourceData_WASA4Areas_Data(), Table_WASA4Areas[[#Headers],[SA 4 Name]], 0)</f>
        <v>Western Australia - Outback (South)</v>
      </c>
    </row>
    <row r="31" spans="1:4" ht="20.100000000000001" customHeight="1" x14ac:dyDescent="0.25">
      <c r="A31" s="16" t="str">
        <f>HYPERLINK("#'Constants - Scope 3'!A1", "Constants - Scope 3")</f>
        <v>Constants - Scope 3</v>
      </c>
    </row>
    <row r="32" spans="1:4" ht="20.100000000000001" customHeight="1" x14ac:dyDescent="0.25">
      <c r="A32" s="16" t="str">
        <f>HYPERLINK("#'Constants - Solid Waste'!A1", "Constants - Solid Waste")</f>
        <v>Constants - Solid Waste</v>
      </c>
    </row>
    <row r="33" spans="1:8" ht="20.100000000000001" customHeight="1" x14ac:dyDescent="0.25">
      <c r="A33" s="16" t="str">
        <f>HYPERLINK("#'Constants - Fuel'!A1", "Constants - Fuel")</f>
        <v>Constants - Fuel</v>
      </c>
    </row>
    <row r="34" spans="1:8" ht="20.100000000000001" customHeight="1" x14ac:dyDescent="0.25">
      <c r="A34" s="16" t="str">
        <f>HYPERLINK("#'Constants - Poultry'!A1", "Constants - Poultry")</f>
        <v>Constants - Poultry</v>
      </c>
      <c r="D34" s="9" t="str" cm="1">
        <f t="array" ref="D34">Common_SourceData.Common_SourceData_GWP_Title()</f>
        <v>Global warming potential for greenhouse gases</v>
      </c>
    </row>
    <row r="35" spans="1:8" ht="20.100000000000001" customHeight="1" x14ac:dyDescent="0.25">
      <c r="A35" s="16" t="str">
        <f>HYPERLINK("#'Constants - Swine'!A1", "Constants - Swine")</f>
        <v>Constants - Swine</v>
      </c>
      <c r="D35" s="11" t="str" cm="1">
        <f t="array" ref="D35">Common_SourceData.Common_SourceData_GWP_Source()</f>
        <v>XXXXXXX</v>
      </c>
    </row>
    <row r="36" spans="1:8" ht="20.100000000000001" customHeight="1" x14ac:dyDescent="0.25">
      <c r="A36" s="16" t="str">
        <f>HYPERLINK("#'Constants - Dairy'!A1", "Constants - Dairy")</f>
        <v>Constants - Dairy</v>
      </c>
      <c r="D36" s="10" t="s">
        <v>5</v>
      </c>
      <c r="E36" s="10" t="s">
        <v>6</v>
      </c>
    </row>
    <row r="37" spans="1:8" ht="20.100000000000001" customHeight="1" x14ac:dyDescent="0.25">
      <c r="A37" s="16" t="str">
        <f>HYPERLINK("#'Constants - Pasture Beef'!A1", "Constants - Pasture Beef")</f>
        <v>Constants - Pasture Beef</v>
      </c>
      <c r="D37" s="10" t="str" cm="1">
        <f t="array" ref="D37">Common_InputFunctions.Utility_DisplayArrayInTable(Common_SourceData.Common_SourceData_GWP_Data(), Table_GWPData[[#Headers],[Gas]], 0)</f>
        <v>CO2</v>
      </c>
      <c r="E37" s="10" cm="1">
        <f t="array" ref="E37">Common_InputFunctions.Utility_DisplayArrayInTable(Common_SourceData.Common_SourceData_GWP_Data(), Table_GWPData[[#Headers],[Gas]], 0)</f>
        <v>1</v>
      </c>
    </row>
    <row r="38" spans="1:8" ht="20.100000000000001" customHeight="1" x14ac:dyDescent="0.25">
      <c r="A38" s="16" t="str">
        <f>HYPERLINK("#'Constants - Common Livestock'!A1", "Constants - Common Livestock")</f>
        <v>Constants - Common Livestock</v>
      </c>
      <c r="D38" s="10" t="str" cm="1">
        <f t="array" ref="D38">Common_InputFunctions.Utility_DisplayArrayInTable(Common_SourceData.Common_SourceData_GWP_Data(), Table_GWPData[[#Headers],[Gas]], 0)</f>
        <v>CH4</v>
      </c>
      <c r="E38" s="10" cm="1">
        <f t="array" ref="E38">Common_InputFunctions.Utility_DisplayArrayInTable(Common_SourceData.Common_SourceData_GWP_Data(), Table_GWPData[[#Headers],[Gas]], 0)</f>
        <v>28</v>
      </c>
    </row>
    <row r="39" spans="1:8" ht="20.100000000000001" customHeight="1" x14ac:dyDescent="0.25">
      <c r="A39" s="16" t="str">
        <f>HYPERLINK("#'Constants - Fertiliser'!A1", "Constants - Fertiliser")</f>
        <v>Constants - Fertiliser</v>
      </c>
      <c r="D39" s="10" t="str" cm="1">
        <f t="array" ref="D39">Common_InputFunctions.Utility_DisplayArrayInTable(Common_SourceData.Common_SourceData_GWP_Data(), Table_GWPData[[#Headers],[Gas]], 0)</f>
        <v>N2O</v>
      </c>
      <c r="E39" s="10" cm="1">
        <f t="array" ref="E39">Common_InputFunctions.Utility_DisplayArrayInTable(Common_SourceData.Common_SourceData_GWP_Data(), Table_GWPData[[#Headers],[Gas]], 0)</f>
        <v>265</v>
      </c>
    </row>
    <row r="40" spans="1:8" ht="20.100000000000001" customHeight="1" x14ac:dyDescent="0.25">
      <c r="A40" s="16" t="str">
        <f>HYPERLINK("#'Constants - Electricity'!A1", "Constants - Electricity")</f>
        <v>Constants - Electricity</v>
      </c>
      <c r="D40" s="10" t="str" cm="1">
        <f t="array" ref="D40">Common_InputFunctions.Utility_DisplayArrayInTable(Common_SourceData.Common_SourceData_GWP_Data(), Table_GWPData[[#Headers],[Gas]], 0)</f>
        <v>CF4</v>
      </c>
      <c r="E40" s="10" cm="1">
        <f t="array" ref="E40">Common_InputFunctions.Utility_DisplayArrayInTable(Common_SourceData.Common_SourceData_GWP_Data(), Table_GWPData[[#Headers],[Gas]], 0)</f>
        <v>6630</v>
      </c>
    </row>
    <row r="41" spans="1:8" ht="20.100000000000001" customHeight="1" x14ac:dyDescent="0.25">
      <c r="A41" s="23" t="str">
        <f>HYPERLINK("#'Constants - Common'!A1", "Constants - Common")</f>
        <v>Constants - Common</v>
      </c>
      <c r="D41" s="10" t="str" cm="1">
        <f t="array" ref="D41">Common_InputFunctions.Utility_DisplayArrayInTable(Common_SourceData.Common_SourceData_GWP_Data(), Table_GWPData[[#Headers],[Gas]], 0)</f>
        <v>C2F6</v>
      </c>
      <c r="E41" s="10" cm="1">
        <f t="array" ref="E41">Common_InputFunctions.Utility_DisplayArrayInTable(Common_SourceData.Common_SourceData_GWP_Data(), Table_GWPData[[#Headers],[Gas]], 0)</f>
        <v>12200</v>
      </c>
    </row>
    <row r="42" spans="1:8" ht="20.100000000000001" customHeight="1" x14ac:dyDescent="0.25">
      <c r="A42"/>
      <c r="D42" s="10" t="str" cm="1">
        <f t="array" ref="D42">Common_InputFunctions.Utility_DisplayArrayInTable(Common_SourceData.Common_SourceData_GWP_Data(), Table_GWPData[[#Headers],[Gas]], 0)</f>
        <v>SF6</v>
      </c>
      <c r="E42" s="10" cm="1">
        <f t="array" ref="E42">Common_InputFunctions.Utility_DisplayArrayInTable(Common_SourceData.Common_SourceData_GWP_Data(), Table_GWPData[[#Headers],[Gas]], 0)</f>
        <v>22800</v>
      </c>
    </row>
    <row r="43" spans="1:8" ht="20.100000000000001" customHeight="1" x14ac:dyDescent="0.25">
      <c r="A43"/>
      <c r="D43" s="10" t="str" cm="1">
        <f t="array" ref="D43">Common_InputFunctions.Utility_DisplayArrayInTable(Common_SourceData.Common_SourceData_GWP_Data(), Table_GWPData[[#Headers],[Gas]], 0)</f>
        <v>NF3</v>
      </c>
      <c r="E43" s="10"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9" t="str" cm="1">
        <f t="array" ref="D45">Common_SourceData.Common_SourceData_ConvertGasElementalToMolecular_Title()</f>
        <v>Factor to convert elemental mass of gas to molecular mass</v>
      </c>
    </row>
    <row r="46" spans="1:8" ht="20.100000000000001" customHeight="1" x14ac:dyDescent="0.25">
      <c r="A46"/>
      <c r="D46" s="11" t="str" cm="1">
        <f t="array" ref="D46">Common_SourceData.Common_SourceData_ConvertGasElementalToMolecular_Source()</f>
        <v>XXXXXXX</v>
      </c>
    </row>
    <row r="47" spans="1:8" ht="20.100000000000001" customHeight="1" x14ac:dyDescent="0.25">
      <c r="A47"/>
      <c r="D47" s="10" t="s">
        <v>5</v>
      </c>
      <c r="E47" s="10" t="s">
        <v>7</v>
      </c>
      <c r="F47" s="10" t="s">
        <v>8</v>
      </c>
      <c r="G47" s="10" t="s">
        <v>9</v>
      </c>
      <c r="H47" s="10" t="s">
        <v>10</v>
      </c>
    </row>
    <row r="48" spans="1:8" ht="20.100000000000001" customHeight="1" x14ac:dyDescent="0.25">
      <c r="A48"/>
      <c r="D48" s="10" t="str" cm="1">
        <f t="array" ref="D48">Common_InputFunctions.Utility_DisplayArrayInTable(Common_SourceData.Common_SourceData_ConvertGasElementalToMolecular_Data(),Table_GasToMolecularConversionFactor[[#Headers],[Gas]], 0)</f>
        <v>CO2</v>
      </c>
      <c r="E48" s="10" t="str" cm="1">
        <f t="array" ref="E48">Common_InputFunctions.Utility_DisplayArrayInTable(Common_SourceData.Common_SourceData_ConvertGasElementalToMolecular_Data(),Table_GasToMolecularConversionFactor[[#Headers],[Gas]], 0)</f>
        <v>44/12</v>
      </c>
      <c r="F48" s="10" cm="1">
        <f t="array" ref="F48">Common_InputFunctions.Utility_DisplayArrayInTable(Common_SourceData.Common_SourceData_ConvertGasElementalToMolecular_Data(),Table_GasToMolecularConversionFactor[[#Headers],[Gas]], 0)</f>
        <v>44</v>
      </c>
      <c r="G48" s="10" cm="1">
        <f t="array" ref="G48">Common_InputFunctions.Utility_DisplayArrayInTable(Common_SourceData.Common_SourceData_ConvertGasElementalToMolecular_Data(),Table_GasToMolecularConversionFactor[[#Headers],[Gas]], 0)</f>
        <v>12</v>
      </c>
      <c r="H48" s="10">
        <f>Table_GasToMolecularConversionFactor[[#This Row],[Conversion factor 1]]/Table_GasToMolecularConversionFactor[[#This Row],[Conversion factor 2]]</f>
        <v>3.6666666666666665</v>
      </c>
    </row>
    <row r="49" spans="1:8" ht="20.100000000000001" customHeight="1" x14ac:dyDescent="0.25">
      <c r="A49"/>
      <c r="D49" s="10" t="str" cm="1">
        <f t="array" ref="D49">Common_InputFunctions.Utility_DisplayArrayInTable(Common_SourceData.Common_SourceData_ConvertGasElementalToMolecular_Data(),Table_GasToMolecularConversionFactor[[#Headers],[Gas]], 0)</f>
        <v>CH4</v>
      </c>
      <c r="E49" s="10" t="str" cm="1">
        <f t="array" ref="E49">Common_InputFunctions.Utility_DisplayArrayInTable(Common_SourceData.Common_SourceData_ConvertGasElementalToMolecular_Data(),Table_GasToMolecularConversionFactor[[#Headers],[Gas]], 0)</f>
        <v>16/12</v>
      </c>
      <c r="F49" s="10" cm="1">
        <f t="array" ref="F49">Common_InputFunctions.Utility_DisplayArrayInTable(Common_SourceData.Common_SourceData_ConvertGasElementalToMolecular_Data(),Table_GasToMolecularConversionFactor[[#Headers],[Gas]], 0)</f>
        <v>16</v>
      </c>
      <c r="G49" s="10" cm="1">
        <f t="array" ref="G49">Common_InputFunctions.Utility_DisplayArrayInTable(Common_SourceData.Common_SourceData_ConvertGasElementalToMolecular_Data(),Table_GasToMolecularConversionFactor[[#Headers],[Gas]], 0)</f>
        <v>12</v>
      </c>
      <c r="H49" s="10">
        <f>Table_GasToMolecularConversionFactor[[#This Row],[Conversion factor 1]]/Table_GasToMolecularConversionFactor[[#This Row],[Conversion factor 2]]</f>
        <v>1.3333333333333333</v>
      </c>
    </row>
    <row r="50" spans="1:8" ht="20.100000000000001" customHeight="1" x14ac:dyDescent="0.25">
      <c r="A50"/>
      <c r="D50" s="10" t="str" cm="1">
        <f t="array" ref="D50">Common_InputFunctions.Utility_DisplayArrayInTable(Common_SourceData.Common_SourceData_ConvertGasElementalToMolecular_Data(),Table_GasToMolecularConversionFactor[[#Headers],[Gas]], 0)</f>
        <v>N2O</v>
      </c>
      <c r="E50" s="10" t="str" cm="1">
        <f t="array" ref="E50">Common_InputFunctions.Utility_DisplayArrayInTable(Common_SourceData.Common_SourceData_ConvertGasElementalToMolecular_Data(),Table_GasToMolecularConversionFactor[[#Headers],[Gas]], 0)</f>
        <v>44/28</v>
      </c>
      <c r="F50" s="10" cm="1">
        <f t="array" ref="F50">Common_InputFunctions.Utility_DisplayArrayInTable(Common_SourceData.Common_SourceData_ConvertGasElementalToMolecular_Data(),Table_GasToMolecularConversionFactor[[#Headers],[Gas]], 0)</f>
        <v>44</v>
      </c>
      <c r="G50" s="10" cm="1">
        <f t="array" ref="G50">Common_InputFunctions.Utility_DisplayArrayInTable(Common_SourceData.Common_SourceData_ConvertGasElementalToMolecular_Data(),Table_GasToMolecularConversionFactor[[#Headers],[Gas]], 0)</f>
        <v>28</v>
      </c>
      <c r="H50" s="10">
        <f>Table_GasToMolecularConversionFactor[[#This Row],[Conversion factor 1]]/Table_GasToMolecularConversionFactor[[#This Row],[Conversion factor 2]]</f>
        <v>1.5714285714285714</v>
      </c>
    </row>
    <row r="51" spans="1:8" ht="20.100000000000001" customHeight="1" x14ac:dyDescent="0.25">
      <c r="A51"/>
      <c r="D51" s="10" t="str" cm="1">
        <f t="array" ref="D51">Common_InputFunctions.Utility_DisplayArrayInTable(Common_SourceData.Common_SourceData_ConvertGasElementalToMolecular_Data(),Table_GasToMolecularConversionFactor[[#Headers],[Gas]], 0)</f>
        <v>Nox</v>
      </c>
      <c r="E51" s="10" t="str" cm="1">
        <f t="array" ref="E51">Common_InputFunctions.Utility_DisplayArrayInTable(Common_SourceData.Common_SourceData_ConvertGasElementalToMolecular_Data(),Table_GasToMolecularConversionFactor[[#Headers],[Gas]], 0)</f>
        <v>46/14</v>
      </c>
      <c r="F51" s="10" cm="1">
        <f t="array" ref="F51">Common_InputFunctions.Utility_DisplayArrayInTable(Common_SourceData.Common_SourceData_ConvertGasElementalToMolecular_Data(),Table_GasToMolecularConversionFactor[[#Headers],[Gas]], 0)</f>
        <v>46</v>
      </c>
      <c r="G51" s="10" cm="1">
        <f t="array" ref="G51">Common_InputFunctions.Utility_DisplayArrayInTable(Common_SourceData.Common_SourceData_ConvertGasElementalToMolecular_Data(),Table_GasToMolecularConversionFactor[[#Headers],[Gas]], 0)</f>
        <v>14</v>
      </c>
      <c r="H51" s="10">
        <f>Table_GasToMolecularConversionFactor[[#This Row],[Conversion factor 1]]/Table_GasToMolecularConversionFactor[[#This Row],[Conversion factor 2]]</f>
        <v>3.2857142857142856</v>
      </c>
    </row>
    <row r="52" spans="1:8" ht="20.100000000000001" customHeight="1" x14ac:dyDescent="0.25">
      <c r="A52"/>
      <c r="D52" s="10" t="str" cm="1">
        <f t="array" ref="D52">Common_InputFunctions.Utility_DisplayArrayInTable(Common_SourceData.Common_SourceData_ConvertGasElementalToMolecular_Data(),Table_GasToMolecularConversionFactor[[#Headers],[Gas]], 0)</f>
        <v>CO</v>
      </c>
      <c r="E52" s="10" t="str" cm="1">
        <f t="array" ref="E52">Common_InputFunctions.Utility_DisplayArrayInTable(Common_SourceData.Common_SourceData_ConvertGasElementalToMolecular_Data(),Table_GasToMolecularConversionFactor[[#Headers],[Gas]], 0)</f>
        <v>28/12</v>
      </c>
      <c r="F52" s="10" cm="1">
        <f t="array" ref="F52">Common_InputFunctions.Utility_DisplayArrayInTable(Common_SourceData.Common_SourceData_ConvertGasElementalToMolecular_Data(),Table_GasToMolecularConversionFactor[[#Headers],[Gas]], 0)</f>
        <v>28</v>
      </c>
      <c r="G52" s="10" cm="1">
        <f t="array" ref="G52">Common_InputFunctions.Utility_DisplayArrayInTable(Common_SourceData.Common_SourceData_ConvertGasElementalToMolecular_Data(),Table_GasToMolecularConversionFactor[[#Headers],[Gas]], 0)</f>
        <v>12</v>
      </c>
      <c r="H52" s="10">
        <f>Table_GasToMolecularConversionFactor[[#This Row],[Conversion factor 1]]/Table_GasToMolecularConversionFactor[[#This Row],[Conversion factor 2]]</f>
        <v>2.3333333333333335</v>
      </c>
    </row>
    <row r="53" spans="1:8" ht="20.100000000000001" customHeight="1" x14ac:dyDescent="0.25">
      <c r="A53"/>
      <c r="D53" s="10" t="str" cm="1">
        <f t="array" ref="D53">Common_InputFunctions.Utility_DisplayArrayInTable(Common_SourceData.Common_SourceData_ConvertGasElementalToMolecular_Data(),Table_GasToMolecularConversionFactor[[#Headers],[Gas]], 0)</f>
        <v>CO2 Lime</v>
      </c>
      <c r="E53" s="10" t="str" cm="1">
        <f t="array" ref="E53">Common_InputFunctions.Utility_DisplayArrayInTable(Common_SourceData.Common_SourceData_ConvertGasElementalToMolecular_Data(),Table_GasToMolecularConversionFactor[[#Headers],[Gas]], 0)</f>
        <v>44/12</v>
      </c>
      <c r="F53" s="10" cm="1">
        <f t="array" ref="F53">Common_InputFunctions.Utility_DisplayArrayInTable(Common_SourceData.Common_SourceData_ConvertGasElementalToMolecular_Data(),Table_GasToMolecularConversionFactor[[#Headers],[Gas]], 0)</f>
        <v>44</v>
      </c>
      <c r="G53" s="10" cm="1">
        <f t="array" ref="G53">Common_InputFunctions.Utility_DisplayArrayInTable(Common_SourceData.Common_SourceData_ConvertGasElementalToMolecular_Data(),Table_GasToMolecularConversionFactor[[#Headers],[Gas]], 0)</f>
        <v>12</v>
      </c>
      <c r="H53" s="10">
        <f>Table_GasToMolecularConversionFactor[[#This Row],[Conversion factor 1]]/Table_GasToMolecularConversionFactor[[#This Row],[Conversion factor 2]]</f>
        <v>3.6666666666666665</v>
      </c>
    </row>
    <row r="54" spans="1:8" ht="20.100000000000001" customHeight="1" x14ac:dyDescent="0.25">
      <c r="A54"/>
      <c r="D54" s="10" t="str" cm="1">
        <f t="array" ref="D54">Common_InputFunctions.Utility_DisplayArrayInTable(Common_SourceData.Common_SourceData_ConvertGasElementalToMolecular_Data(),Table_GasToMolecularConversionFactor[[#Headers],[Gas]], 0)</f>
        <v>NMVOC</v>
      </c>
      <c r="E54" s="10" t="str" cm="1">
        <f t="array" ref="E54">Common_InputFunctions.Utility_DisplayArrayInTable(Common_SourceData.Common_SourceData_ConvertGasElementalToMolecular_Data(),Table_GasToMolecularConversionFactor[[#Headers],[Gas]], 0)</f>
        <v>14/12</v>
      </c>
      <c r="F54" s="10" cm="1">
        <f t="array" ref="F54">Common_InputFunctions.Utility_DisplayArrayInTable(Common_SourceData.Common_SourceData_ConvertGasElementalToMolecular_Data(),Table_GasToMolecularConversionFactor[[#Headers],[Gas]], 0)</f>
        <v>14</v>
      </c>
      <c r="G54" s="10" cm="1">
        <f t="array" ref="G54">Common_InputFunctions.Utility_DisplayArrayInTable(Common_SourceData.Common_SourceData_ConvertGasElementalToMolecular_Data(),Table_GasToMolecularConversionFactor[[#Headers],[Gas]], 0)</f>
        <v>12</v>
      </c>
      <c r="H54" s="10">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9" t="str" cm="1">
        <f t="array" ref="D57">Common_SourceData.Common_SourceData_WetAndDryZones_Title()</f>
        <v>VEERG Australian wet and dry zones</v>
      </c>
    </row>
    <row r="58" spans="1:8" ht="20.100000000000001" customHeight="1" x14ac:dyDescent="0.25">
      <c r="A58"/>
      <c r="D58" s="11" t="str" cm="1">
        <f t="array" ref="D58">Common_SourceData.Common_SourceData_WetAndDryZones_Source()</f>
        <v>VEERG 2026: Table 1.2: Translating climate zones to wet and dry zones</v>
      </c>
    </row>
    <row r="59" spans="1:8" ht="20.100000000000001" customHeight="1" x14ac:dyDescent="0.25">
      <c r="A59"/>
      <c r="D59" s="12" t="str" cm="1">
        <f t="array" ref="D59:D61">"⚠️" &amp; Common_SourceData.Common_SourceData_WetAndDryZones_Variation()</f>
        <v>⚠️VARIATION OF SOURCE DATA:</v>
      </c>
    </row>
    <row r="60" spans="1:8" ht="20.100000000000001" customHeight="1" x14ac:dyDescent="0.25">
      <c r="A60"/>
      <c r="D60" s="12" t="str">
        <v>⚠️Added warm / cool temperate moist / dry - low frost and high temp classes to accommodate climate scenarios excluded by VEERG criteria.</v>
      </c>
    </row>
    <row r="61" spans="1:8" ht="20.100000000000001" customHeight="1" x14ac:dyDescent="0.25">
      <c r="A61"/>
      <c r="D61" s="12" t="str">
        <v>⚠️Fixed typo - Changed 'Fry' to 'Dry'.</v>
      </c>
    </row>
    <row r="62" spans="1:8" ht="20.100000000000001" customHeight="1" x14ac:dyDescent="0.25">
      <c r="A62"/>
    </row>
    <row r="63" spans="1:8" ht="20.100000000000001" customHeight="1" x14ac:dyDescent="0.25">
      <c r="A63"/>
      <c r="D63" s="10" t="s">
        <v>11</v>
      </c>
      <c r="E63" s="10" t="s">
        <v>12</v>
      </c>
    </row>
    <row r="64" spans="1:8" ht="20.100000000000001" customHeight="1" x14ac:dyDescent="0.25">
      <c r="A64"/>
      <c r="D64" s="10" t="str" cm="1">
        <f t="array" ref="D64">Common_InputFunctions.Utility_DisplayArrayInTable(Common_SourceData.Common_SourceData_WetAndDryZones_Data(), Table_SourceData_WetDryZones[[#Headers],[Climate zone]], 0)</f>
        <v>Tropical montane</v>
      </c>
      <c r="E64" s="10"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10" t="str" cm="1">
        <f t="array" ref="D65">Common_InputFunctions.Utility_DisplayArrayInTable(Common_SourceData.Common_SourceData_WetAndDryZones_Data(), Table_SourceData_WetDryZones[[#Headers],[Climate zone]], 0)</f>
        <v>Tropical wet</v>
      </c>
      <c r="E65" s="10"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10" t="str" cm="1">
        <f t="array" ref="D66">Common_InputFunctions.Utility_DisplayArrayInTable(Common_SourceData.Common_SourceData_WetAndDryZones_Data(), Table_SourceData_WetDryZones[[#Headers],[Climate zone]], 0)</f>
        <v>Tropical moist</v>
      </c>
      <c r="E66" s="10"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10" t="str" cm="1">
        <f t="array" ref="D67">Common_InputFunctions.Utility_DisplayArrayInTable(Common_SourceData.Common_SourceData_WetAndDryZones_Data(), Table_SourceData_WetDryZones[[#Headers],[Climate zone]], 0)</f>
        <v>Tropical dry</v>
      </c>
      <c r="E67" s="10"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10" t="str" cm="1">
        <f t="array" ref="D68">Common_InputFunctions.Utility_DisplayArrayInTable(Common_SourceData.Common_SourceData_WetAndDryZones_Data(), Table_SourceData_WetDryZones[[#Headers],[Climate zone]], 0)</f>
        <v>Warm temperate moist</v>
      </c>
      <c r="E68" s="10"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10" t="str" cm="1">
        <f t="array" ref="D69">Common_InputFunctions.Utility_DisplayArrayInTable(Common_SourceData.Common_SourceData_WetAndDryZones_Data(), Table_SourceData_WetDryZones[[#Headers],[Climate zone]], 0)</f>
        <v>Warm temperate dry</v>
      </c>
      <c r="E69" s="10"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10" t="str" cm="1">
        <f t="array" ref="D70">Common_InputFunctions.Utility_DisplayArrayInTable(Common_SourceData.Common_SourceData_WetAndDryZones_Data(), Table_SourceData_WetDryZones[[#Headers],[Climate zone]], 0)</f>
        <v>Cool temperate moist</v>
      </c>
      <c r="E70" s="10"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10" t="str" cm="1">
        <f t="array" ref="D71">Common_InputFunctions.Utility_DisplayArrayInTable(Common_SourceData.Common_SourceData_WetAndDryZones_Data(), Table_SourceData_WetDryZones[[#Headers],[Climate zone]], 0)</f>
        <v>Cool temperate dry</v>
      </c>
      <c r="E71" s="10"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10" t="str" cm="1">
        <f t="array" ref="D72">Common_InputFunctions.Utility_DisplayArrayInTable(Common_SourceData.Common_SourceData_WetAndDryZones_Data(), Table_SourceData_WetDryZones[[#Headers],[Climate zone]], 0)</f>
        <v>Warm temperate moist - low frost</v>
      </c>
      <c r="E72" s="10"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10" t="str" cm="1">
        <f t="array" ref="D73">Common_InputFunctions.Utility_DisplayArrayInTable(Common_SourceData.Common_SourceData_WetAndDryZones_Data(), Table_SourceData_WetDryZones[[#Headers],[Climate zone]], 0)</f>
        <v>Warm temperate dry - low frost</v>
      </c>
      <c r="E73" s="10"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10" t="str" cm="1">
        <f t="array" ref="D74">Common_InputFunctions.Utility_DisplayArrayInTable(Common_SourceData.Common_SourceData_WetAndDryZones_Data(), Table_SourceData_WetDryZones[[#Headers],[Climate zone]], 0)</f>
        <v>Warm temperate moist - high temp</v>
      </c>
      <c r="E74" s="10"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10" t="str" cm="1">
        <f t="array" ref="D75">Common_InputFunctions.Utility_DisplayArrayInTable(Common_SourceData.Common_SourceData_WetAndDryZones_Data(), Table_SourceData_WetDryZones[[#Headers],[Climate zone]], 0)</f>
        <v>Warm temperate dry - high temp</v>
      </c>
      <c r="E75" s="10"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10" t="str" cm="1">
        <f t="array" ref="D76">Common_InputFunctions.Utility_DisplayArrayInTable(Common_SourceData.Common_SourceData_WetAndDryZones_Data(), Table_SourceData_WetDryZones[[#Headers],[Climate zone]], 0)</f>
        <v>Cool temperate moist - low frost</v>
      </c>
      <c r="E76" s="10"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10" t="str" cm="1">
        <f t="array" ref="D77">Common_InputFunctions.Utility_DisplayArrayInTable(Common_SourceData.Common_SourceData_WetAndDryZones_Data(), Table_SourceData_WetDryZones[[#Headers],[Climate zone]], 0)</f>
        <v>Cool temperate dry - low frost</v>
      </c>
      <c r="E77" s="10"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9" t="str" cm="1">
        <f t="array" ref="D81">Common_SourceData.Common_SourceData_ClimateZones_Title()</f>
        <v>VEERG Australian climate zones</v>
      </c>
    </row>
    <row r="82" spans="1:20" ht="20.100000000000001" customHeight="1" x14ac:dyDescent="0.25">
      <c r="A82"/>
      <c r="D82" s="11" t="str" cm="1">
        <f t="array" ref="D82">Common_SourceData.Common_SourceData_ClimateZones_Source()</f>
        <v>VEERG 2026: Table 1.3: Climate and Rainfall zone classifications and definitions</v>
      </c>
    </row>
    <row r="83" spans="1:20" ht="20.100000000000001" customHeight="1" x14ac:dyDescent="0.25">
      <c r="A83"/>
      <c r="D83" s="12" t="str" cm="1">
        <f t="array" ref="D83:D87">"⚠️" &amp; Common_SourceData.Common_SourceData_ClimateZones_Variation()</f>
        <v>⚠️VARIATION OF SOURCE DATA:</v>
      </c>
    </row>
    <row r="84" spans="1:20" ht="20.100000000000001" customHeight="1" x14ac:dyDescent="0.25">
      <c r="A84"/>
      <c r="D84" s="12" t="str">
        <v>⚠️Added warm / cool temperate moist / dry - low frost and high temp classes to accommodate climate scenarios excluded by VEERG criteria.</v>
      </c>
    </row>
    <row r="85" spans="1:20" ht="20.100000000000001" customHeight="1" x14ac:dyDescent="0.25">
      <c r="A85"/>
      <c r="D85" s="12" t="str">
        <v>⚠️Fixed typo in MAT value for warm temperate dry - changed 10 to 11.</v>
      </c>
    </row>
    <row r="86" spans="1:20" ht="20.100000000000001" customHeight="1" x14ac:dyDescent="0.25">
      <c r="A86"/>
      <c r="D86" s="12" t="str">
        <v>⚠️Added min and max columns for MAT, MAP, frost days per year, elevation, MAP:PET to calculate zones from real climate data.</v>
      </c>
    </row>
    <row r="87" spans="1:20" ht="20.100000000000001" customHeight="1" x14ac:dyDescent="0.25">
      <c r="A87"/>
      <c r="D87" s="12" t="str">
        <v>⚠️GAF accepts rainfall as a proxy for precipitation.</v>
      </c>
    </row>
    <row r="88" spans="1:20" ht="20.100000000000001" customHeight="1" x14ac:dyDescent="0.25">
      <c r="A88"/>
    </row>
    <row r="89" spans="1:20" ht="20.100000000000001" customHeight="1" x14ac:dyDescent="0.25">
      <c r="A89"/>
      <c r="D89" s="10" t="s">
        <v>11</v>
      </c>
      <c r="E89" s="10" t="s">
        <v>13</v>
      </c>
      <c r="F89" s="10" t="s">
        <v>14</v>
      </c>
      <c r="G89" s="10" t="s">
        <v>15</v>
      </c>
      <c r="H89" s="10" t="s">
        <v>16</v>
      </c>
      <c r="I89" s="10" t="s">
        <v>17</v>
      </c>
      <c r="J89" s="10" t="s">
        <v>18</v>
      </c>
      <c r="K89" s="10" t="s">
        <v>19</v>
      </c>
      <c r="L89" s="10" t="s">
        <v>20</v>
      </c>
      <c r="M89" s="10" t="s">
        <v>21</v>
      </c>
      <c r="N89" s="10" t="s">
        <v>22</v>
      </c>
      <c r="O89" s="10" t="s">
        <v>23</v>
      </c>
      <c r="P89" s="10" t="s">
        <v>24</v>
      </c>
      <c r="Q89" s="10" t="s">
        <v>25</v>
      </c>
      <c r="R89" s="10" t="s">
        <v>26</v>
      </c>
      <c r="S89" s="10" t="s">
        <v>27</v>
      </c>
      <c r="T89" s="10"/>
    </row>
    <row r="90" spans="1:20" ht="20.100000000000001" customHeight="1" x14ac:dyDescent="0.25">
      <c r="A90"/>
      <c r="D90" s="10" t="str" cm="1">
        <f t="array" ref="D90">Common_InputFunctions.Utility_DisplayArrayInTable(Common_SourceData.Common_SourceData_ClimateZones_Data(), Table_SourceData_ClimateZones[[#Headers],[Climate zone]], 0)</f>
        <v>Tropical montane</v>
      </c>
      <c r="E90" s="10" t="str" cm="1">
        <f t="array" ref="E90">Common_InputFunctions.Utility_DisplayArrayInTable(Common_SourceData.Common_SourceData_ClimateZones_Data(), Table_SourceData_ClimateZones[[#Headers],[Climate zone]], 0)</f>
        <v>&gt; 18 C</v>
      </c>
      <c r="F90" s="10" t="str" cm="1">
        <f t="array" ref="F90">Common_InputFunctions.Utility_DisplayArrayInTable(Common_SourceData.Common_SourceData_ClimateZones_Data(), Table_SourceData_ClimateZones[[#Headers],[Climate zone]], 0)</f>
        <v>Any</v>
      </c>
      <c r="G90" s="10" t="str" cm="1">
        <f t="array" ref="G90">Common_InputFunctions.Utility_DisplayArrayInTable(Common_SourceData.Common_SourceData_ClimateZones_Data(), Table_SourceData_ClimateZones[[#Headers],[Climate zone]], 0)</f>
        <v>≤ 7</v>
      </c>
      <c r="H90" s="10" t="str" cm="1">
        <f t="array" ref="H90">Common_InputFunctions.Utility_DisplayArrayInTable(Common_SourceData.Common_SourceData_ClimateZones_Data(), Table_SourceData_ClimateZones[[#Headers],[Climate zone]], 0)</f>
        <v>&gt; 1000 m</v>
      </c>
      <c r="I90" s="10" t="str" cm="1">
        <f t="array" ref="I90">Common_InputFunctions.Utility_DisplayArrayInTable(Common_SourceData.Common_SourceData_ClimateZones_Data(), Table_SourceData_ClimateZones[[#Headers],[Climate zone]], 0)</f>
        <v>Any</v>
      </c>
      <c r="J90" s="10" cm="1">
        <f t="array" ref="J90">Common_InputFunctions.Utility_DisplayArrayInTable(Common_SourceData.Common_SourceData_ClimateZones_Data(), Table_SourceData_ClimateZones[[#Headers],[Climate zone]], 0)</f>
        <v>18.001000000000001</v>
      </c>
      <c r="K90" s="10" cm="1">
        <f t="array" ref="K90">Common_InputFunctions.Utility_DisplayArrayInTable(Common_SourceData.Common_SourceData_ClimateZones_Data(), Table_SourceData_ClimateZones[[#Headers],[Climate zone]], 0)</f>
        <v>999999</v>
      </c>
      <c r="L90" s="10" cm="1">
        <f t="array" ref="L90">Common_InputFunctions.Utility_DisplayArrayInTable(Common_SourceData.Common_SourceData_ClimateZones_Data(), Table_SourceData_ClimateZones[[#Headers],[Climate zone]], 0)</f>
        <v>-999999</v>
      </c>
      <c r="M90" s="10" cm="1">
        <f t="array" ref="M90">Common_InputFunctions.Utility_DisplayArrayInTable(Common_SourceData.Common_SourceData_ClimateZones_Data(), Table_SourceData_ClimateZones[[#Headers],[Climate zone]], 0)</f>
        <v>999999</v>
      </c>
      <c r="N90" s="10" cm="1">
        <f t="array" ref="N90">Common_InputFunctions.Utility_DisplayArrayInTable(Common_SourceData.Common_SourceData_ClimateZones_Data(), Table_SourceData_ClimateZones[[#Headers],[Climate zone]], 0)</f>
        <v>-999999</v>
      </c>
      <c r="O90" s="10" cm="1">
        <f t="array" ref="O90">Common_InputFunctions.Utility_DisplayArrayInTable(Common_SourceData.Common_SourceData_ClimateZones_Data(), Table_SourceData_ClimateZones[[#Headers],[Climate zone]], 0)</f>
        <v>7</v>
      </c>
      <c r="P90" s="10" cm="1">
        <f t="array" ref="P90">Common_InputFunctions.Utility_DisplayArrayInTable(Common_SourceData.Common_SourceData_ClimateZones_Data(), Table_SourceData_ClimateZones[[#Headers],[Climate zone]], 0)</f>
        <v>1000</v>
      </c>
      <c r="Q90" s="10" cm="1">
        <f t="array" ref="Q90">Common_InputFunctions.Utility_DisplayArrayInTable(Common_SourceData.Common_SourceData_ClimateZones_Data(), Table_SourceData_ClimateZones[[#Headers],[Climate zone]], 0)</f>
        <v>999999</v>
      </c>
      <c r="R90" s="10" cm="1">
        <f t="array" ref="R90">Common_InputFunctions.Utility_DisplayArrayInTable(Common_SourceData.Common_SourceData_ClimateZones_Data(), Table_SourceData_ClimateZones[[#Headers],[Climate zone]], 0)</f>
        <v>-999999</v>
      </c>
      <c r="S90" s="10" cm="1">
        <f t="array" ref="S90">Common_InputFunctions.Utility_DisplayArrayInTable(Common_SourceData.Common_SourceData_ClimateZones_Data(), Table_SourceData_ClimateZones[[#Headers],[Climate zone]], 0)</f>
        <v>999999</v>
      </c>
      <c r="T90" s="10"/>
    </row>
    <row r="91" spans="1:20" ht="20.100000000000001" customHeight="1" x14ac:dyDescent="0.25">
      <c r="A91"/>
      <c r="D91" s="10" t="str" cm="1">
        <f t="array" ref="D91">Common_InputFunctions.Utility_DisplayArrayInTable(Common_SourceData.Common_SourceData_ClimateZones_Data(), Table_SourceData_ClimateZones[[#Headers],[Climate zone]], 0)</f>
        <v>Tropical wet</v>
      </c>
      <c r="E91" s="10" t="str" cm="1">
        <f t="array" ref="E91">Common_InputFunctions.Utility_DisplayArrayInTable(Common_SourceData.Common_SourceData_ClimateZones_Data(), Table_SourceData_ClimateZones[[#Headers],[Climate zone]], 0)</f>
        <v>&gt; 18 C</v>
      </c>
      <c r="F91" s="10" t="str" cm="1">
        <f t="array" ref="F91">Common_InputFunctions.Utility_DisplayArrayInTable(Common_SourceData.Common_SourceData_ClimateZones_Data(), Table_SourceData_ClimateZones[[#Headers],[Climate zone]], 0)</f>
        <v>&gt; 2000 mm</v>
      </c>
      <c r="G91" s="10" t="str" cm="1">
        <f t="array" ref="G91">Common_InputFunctions.Utility_DisplayArrayInTable(Common_SourceData.Common_SourceData_ClimateZones_Data(), Table_SourceData_ClimateZones[[#Headers],[Climate zone]], 0)</f>
        <v>≤ 7</v>
      </c>
      <c r="H91" s="10" t="str" cm="1">
        <f t="array" ref="H91">Common_InputFunctions.Utility_DisplayArrayInTable(Common_SourceData.Common_SourceData_ClimateZones_Data(), Table_SourceData_ClimateZones[[#Headers],[Climate zone]], 0)</f>
        <v>≤ 1000 m</v>
      </c>
      <c r="I91" s="10" t="str" cm="1">
        <f t="array" ref="I91">Common_InputFunctions.Utility_DisplayArrayInTable(Common_SourceData.Common_SourceData_ClimateZones_Data(), Table_SourceData_ClimateZones[[#Headers],[Climate zone]], 0)</f>
        <v>Any</v>
      </c>
      <c r="J91" s="10" cm="1">
        <f t="array" ref="J91">Common_InputFunctions.Utility_DisplayArrayInTable(Common_SourceData.Common_SourceData_ClimateZones_Data(), Table_SourceData_ClimateZones[[#Headers],[Climate zone]], 0)</f>
        <v>18.001000000000001</v>
      </c>
      <c r="K91" s="10" cm="1">
        <f t="array" ref="K91">Common_InputFunctions.Utility_DisplayArrayInTable(Common_SourceData.Common_SourceData_ClimateZones_Data(), Table_SourceData_ClimateZones[[#Headers],[Climate zone]], 0)</f>
        <v>999999</v>
      </c>
      <c r="L91" s="10" cm="1">
        <f t="array" ref="L91">Common_InputFunctions.Utility_DisplayArrayInTable(Common_SourceData.Common_SourceData_ClimateZones_Data(), Table_SourceData_ClimateZones[[#Headers],[Climate zone]], 0)</f>
        <v>2000.001</v>
      </c>
      <c r="M91" s="10" cm="1">
        <f t="array" ref="M91">Common_InputFunctions.Utility_DisplayArrayInTable(Common_SourceData.Common_SourceData_ClimateZones_Data(), Table_SourceData_ClimateZones[[#Headers],[Climate zone]], 0)</f>
        <v>999999</v>
      </c>
      <c r="N91" s="10" cm="1">
        <f t="array" ref="N91">Common_InputFunctions.Utility_DisplayArrayInTable(Common_SourceData.Common_SourceData_ClimateZones_Data(), Table_SourceData_ClimateZones[[#Headers],[Climate zone]], 0)</f>
        <v>-999999</v>
      </c>
      <c r="O91" s="10" cm="1">
        <f t="array" ref="O91">Common_InputFunctions.Utility_DisplayArrayInTable(Common_SourceData.Common_SourceData_ClimateZones_Data(), Table_SourceData_ClimateZones[[#Headers],[Climate zone]], 0)</f>
        <v>7</v>
      </c>
      <c r="P91" s="10" cm="1">
        <f t="array" ref="P91">Common_InputFunctions.Utility_DisplayArrayInTable(Common_SourceData.Common_SourceData_ClimateZones_Data(), Table_SourceData_ClimateZones[[#Headers],[Climate zone]], 0)</f>
        <v>-999999</v>
      </c>
      <c r="Q91" s="10" cm="1">
        <f t="array" ref="Q91">Common_InputFunctions.Utility_DisplayArrayInTable(Common_SourceData.Common_SourceData_ClimateZones_Data(), Table_SourceData_ClimateZones[[#Headers],[Climate zone]], 0)</f>
        <v>999.99900000000002</v>
      </c>
      <c r="R91" s="10" cm="1">
        <f t="array" ref="R91">Common_InputFunctions.Utility_DisplayArrayInTable(Common_SourceData.Common_SourceData_ClimateZones_Data(), Table_SourceData_ClimateZones[[#Headers],[Climate zone]], 0)</f>
        <v>-999999</v>
      </c>
      <c r="S91" s="10" cm="1">
        <f t="array" ref="S91">Common_InputFunctions.Utility_DisplayArrayInTable(Common_SourceData.Common_SourceData_ClimateZones_Data(), Table_SourceData_ClimateZones[[#Headers],[Climate zone]], 0)</f>
        <v>999999</v>
      </c>
      <c r="T91" s="10"/>
    </row>
    <row r="92" spans="1:20" ht="20.100000000000001" customHeight="1" x14ac:dyDescent="0.25">
      <c r="A92"/>
      <c r="D92" s="10" t="str" cm="1">
        <f t="array" ref="D92">Common_InputFunctions.Utility_DisplayArrayInTable(Common_SourceData.Common_SourceData_ClimateZones_Data(), Table_SourceData_ClimateZones[[#Headers],[Climate zone]], 0)</f>
        <v>Tropical moist</v>
      </c>
      <c r="E92" s="10" t="str" cm="1">
        <f t="array" ref="E92">Common_InputFunctions.Utility_DisplayArrayInTable(Common_SourceData.Common_SourceData_ClimateZones_Data(), Table_SourceData_ClimateZones[[#Headers],[Climate zone]], 0)</f>
        <v>&gt; 18 C</v>
      </c>
      <c r="F92" s="10" t="str" cm="1">
        <f t="array" ref="F92">Common_InputFunctions.Utility_DisplayArrayInTable(Common_SourceData.Common_SourceData_ClimateZones_Data(), Table_SourceData_ClimateZones[[#Headers],[Climate zone]], 0)</f>
        <v>&gt; 1000 mm - ≤ 2000 mm</v>
      </c>
      <c r="G92" s="10" t="str" cm="1">
        <f t="array" ref="G92">Common_InputFunctions.Utility_DisplayArrayInTable(Common_SourceData.Common_SourceData_ClimateZones_Data(), Table_SourceData_ClimateZones[[#Headers],[Climate zone]], 0)</f>
        <v>≤ 7</v>
      </c>
      <c r="H92" s="10" t="str" cm="1">
        <f t="array" ref="H92">Common_InputFunctions.Utility_DisplayArrayInTable(Common_SourceData.Common_SourceData_ClimateZones_Data(), Table_SourceData_ClimateZones[[#Headers],[Climate zone]], 0)</f>
        <v>≤ 1000 m</v>
      </c>
      <c r="I92" s="10" t="str" cm="1">
        <f t="array" ref="I92">Common_InputFunctions.Utility_DisplayArrayInTable(Common_SourceData.Common_SourceData_ClimateZones_Data(), Table_SourceData_ClimateZones[[#Headers],[Climate zone]], 0)</f>
        <v>Any</v>
      </c>
      <c r="J92" s="10" cm="1">
        <f t="array" ref="J92">Common_InputFunctions.Utility_DisplayArrayInTable(Common_SourceData.Common_SourceData_ClimateZones_Data(), Table_SourceData_ClimateZones[[#Headers],[Climate zone]], 0)</f>
        <v>18.001000000000001</v>
      </c>
      <c r="K92" s="10" cm="1">
        <f t="array" ref="K92">Common_InputFunctions.Utility_DisplayArrayInTable(Common_SourceData.Common_SourceData_ClimateZones_Data(), Table_SourceData_ClimateZones[[#Headers],[Climate zone]], 0)</f>
        <v>999999</v>
      </c>
      <c r="L92" s="10" cm="1">
        <f t="array" ref="L92">Common_InputFunctions.Utility_DisplayArrayInTable(Common_SourceData.Common_SourceData_ClimateZones_Data(), Table_SourceData_ClimateZones[[#Headers],[Climate zone]], 0)</f>
        <v>1000.001</v>
      </c>
      <c r="M92" s="10" cm="1">
        <f t="array" ref="M92">Common_InputFunctions.Utility_DisplayArrayInTable(Common_SourceData.Common_SourceData_ClimateZones_Data(), Table_SourceData_ClimateZones[[#Headers],[Climate zone]], 0)</f>
        <v>2000</v>
      </c>
      <c r="N92" s="10" cm="1">
        <f t="array" ref="N92">Common_InputFunctions.Utility_DisplayArrayInTable(Common_SourceData.Common_SourceData_ClimateZones_Data(), Table_SourceData_ClimateZones[[#Headers],[Climate zone]], 0)</f>
        <v>-999999</v>
      </c>
      <c r="O92" s="10" cm="1">
        <f t="array" ref="O92">Common_InputFunctions.Utility_DisplayArrayInTable(Common_SourceData.Common_SourceData_ClimateZones_Data(), Table_SourceData_ClimateZones[[#Headers],[Climate zone]], 0)</f>
        <v>7</v>
      </c>
      <c r="P92" s="10" cm="1">
        <f t="array" ref="P92">Common_InputFunctions.Utility_DisplayArrayInTable(Common_SourceData.Common_SourceData_ClimateZones_Data(), Table_SourceData_ClimateZones[[#Headers],[Climate zone]], 0)</f>
        <v>-999999</v>
      </c>
      <c r="Q92" s="10" cm="1">
        <f t="array" ref="Q92">Common_InputFunctions.Utility_DisplayArrayInTable(Common_SourceData.Common_SourceData_ClimateZones_Data(), Table_SourceData_ClimateZones[[#Headers],[Climate zone]], 0)</f>
        <v>999.99900000000002</v>
      </c>
      <c r="R92" s="10" cm="1">
        <f t="array" ref="R92">Common_InputFunctions.Utility_DisplayArrayInTable(Common_SourceData.Common_SourceData_ClimateZones_Data(), Table_SourceData_ClimateZones[[#Headers],[Climate zone]], 0)</f>
        <v>-999999</v>
      </c>
      <c r="S92" s="10" cm="1">
        <f t="array" ref="S92">Common_InputFunctions.Utility_DisplayArrayInTable(Common_SourceData.Common_SourceData_ClimateZones_Data(), Table_SourceData_ClimateZones[[#Headers],[Climate zone]], 0)</f>
        <v>999999</v>
      </c>
      <c r="T92" s="10"/>
    </row>
    <row r="93" spans="1:20" ht="20.100000000000001" customHeight="1" x14ac:dyDescent="0.25">
      <c r="A93"/>
      <c r="D93" s="10" t="str" cm="1">
        <f t="array" ref="D93">Common_InputFunctions.Utility_DisplayArrayInTable(Common_SourceData.Common_SourceData_ClimateZones_Data(), Table_SourceData_ClimateZones[[#Headers],[Climate zone]], 0)</f>
        <v>Tropical dry</v>
      </c>
      <c r="E93" s="10" t="str" cm="1">
        <f t="array" ref="E93">Common_InputFunctions.Utility_DisplayArrayInTable(Common_SourceData.Common_SourceData_ClimateZones_Data(), Table_SourceData_ClimateZones[[#Headers],[Climate zone]], 0)</f>
        <v>&gt; 18 C</v>
      </c>
      <c r="F93" s="10" t="str" cm="1">
        <f t="array" ref="F93">Common_InputFunctions.Utility_DisplayArrayInTable(Common_SourceData.Common_SourceData_ClimateZones_Data(), Table_SourceData_ClimateZones[[#Headers],[Climate zone]], 0)</f>
        <v>≤ 1000 mm</v>
      </c>
      <c r="G93" s="10" t="str" cm="1">
        <f t="array" ref="G93">Common_InputFunctions.Utility_DisplayArrayInTable(Common_SourceData.Common_SourceData_ClimateZones_Data(), Table_SourceData_ClimateZones[[#Headers],[Climate zone]], 0)</f>
        <v>≤ 7</v>
      </c>
      <c r="H93" s="10" t="str" cm="1">
        <f t="array" ref="H93">Common_InputFunctions.Utility_DisplayArrayInTable(Common_SourceData.Common_SourceData_ClimateZones_Data(), Table_SourceData_ClimateZones[[#Headers],[Climate zone]], 0)</f>
        <v>≤ 1000 m</v>
      </c>
      <c r="I93" s="10" t="str" cm="1">
        <f t="array" ref="I93">Common_InputFunctions.Utility_DisplayArrayInTable(Common_SourceData.Common_SourceData_ClimateZones_Data(), Table_SourceData_ClimateZones[[#Headers],[Climate zone]], 0)</f>
        <v>Any</v>
      </c>
      <c r="J93" s="10" cm="1">
        <f t="array" ref="J93">Common_InputFunctions.Utility_DisplayArrayInTable(Common_SourceData.Common_SourceData_ClimateZones_Data(), Table_SourceData_ClimateZones[[#Headers],[Climate zone]], 0)</f>
        <v>18.001000000000001</v>
      </c>
      <c r="K93" s="10" cm="1">
        <f t="array" ref="K93">Common_InputFunctions.Utility_DisplayArrayInTable(Common_SourceData.Common_SourceData_ClimateZones_Data(), Table_SourceData_ClimateZones[[#Headers],[Climate zone]], 0)</f>
        <v>999999</v>
      </c>
      <c r="L93" s="10" cm="1">
        <f t="array" ref="L93">Common_InputFunctions.Utility_DisplayArrayInTable(Common_SourceData.Common_SourceData_ClimateZones_Data(), Table_SourceData_ClimateZones[[#Headers],[Climate zone]], 0)</f>
        <v>-999999</v>
      </c>
      <c r="M93" s="10" cm="1">
        <f t="array" ref="M93">Common_InputFunctions.Utility_DisplayArrayInTable(Common_SourceData.Common_SourceData_ClimateZones_Data(), Table_SourceData_ClimateZones[[#Headers],[Climate zone]], 0)</f>
        <v>1000</v>
      </c>
      <c r="N93" s="10" cm="1">
        <f t="array" ref="N93">Common_InputFunctions.Utility_DisplayArrayInTable(Common_SourceData.Common_SourceData_ClimateZones_Data(), Table_SourceData_ClimateZones[[#Headers],[Climate zone]], 0)</f>
        <v>-999999</v>
      </c>
      <c r="O93" s="10" cm="1">
        <f t="array" ref="O93">Common_InputFunctions.Utility_DisplayArrayInTable(Common_SourceData.Common_SourceData_ClimateZones_Data(), Table_SourceData_ClimateZones[[#Headers],[Climate zone]], 0)</f>
        <v>7</v>
      </c>
      <c r="P93" s="10" cm="1">
        <f t="array" ref="P93">Common_InputFunctions.Utility_DisplayArrayInTable(Common_SourceData.Common_SourceData_ClimateZones_Data(), Table_SourceData_ClimateZones[[#Headers],[Climate zone]], 0)</f>
        <v>-999999</v>
      </c>
      <c r="Q93" s="10" cm="1">
        <f t="array" ref="Q93">Common_InputFunctions.Utility_DisplayArrayInTable(Common_SourceData.Common_SourceData_ClimateZones_Data(), Table_SourceData_ClimateZones[[#Headers],[Climate zone]], 0)</f>
        <v>999.99900000000002</v>
      </c>
      <c r="R93" s="10" cm="1">
        <f t="array" ref="R93">Common_InputFunctions.Utility_DisplayArrayInTable(Common_SourceData.Common_SourceData_ClimateZones_Data(), Table_SourceData_ClimateZones[[#Headers],[Climate zone]], 0)</f>
        <v>-999999</v>
      </c>
      <c r="S93" s="10" cm="1">
        <f t="array" ref="S93">Common_InputFunctions.Utility_DisplayArrayInTable(Common_SourceData.Common_SourceData_ClimateZones_Data(), Table_SourceData_ClimateZones[[#Headers],[Climate zone]], 0)</f>
        <v>999999</v>
      </c>
      <c r="T93" s="10"/>
    </row>
    <row r="94" spans="1:20" ht="20.100000000000001" customHeight="1" x14ac:dyDescent="0.25">
      <c r="A94"/>
      <c r="D94" s="10" t="str" cm="1">
        <f t="array" ref="D94">Common_InputFunctions.Utility_DisplayArrayInTable(Common_SourceData.Common_SourceData_ClimateZones_Data(), Table_SourceData_ClimateZones[[#Headers],[Climate zone]], 0)</f>
        <v>Warm temperate moist</v>
      </c>
      <c r="E94" s="10" t="str" cm="1">
        <f t="array" ref="E94">Common_InputFunctions.Utility_DisplayArrayInTable(Common_SourceData.Common_SourceData_ClimateZones_Data(), Table_SourceData_ClimateZones[[#Headers],[Climate zone]], 0)</f>
        <v>&gt; 10 C</v>
      </c>
      <c r="F94" s="10" t="str" cm="1">
        <f t="array" ref="F94">Common_InputFunctions.Utility_DisplayArrayInTable(Common_SourceData.Common_SourceData_ClimateZones_Data(), Table_SourceData_ClimateZones[[#Headers],[Climate zone]], 0)</f>
        <v>Any</v>
      </c>
      <c r="G94" s="10" t="str" cm="1">
        <f t="array" ref="G94">Common_InputFunctions.Utility_DisplayArrayInTable(Common_SourceData.Common_SourceData_ClimateZones_Data(), Table_SourceData_ClimateZones[[#Headers],[Climate zone]], 0)</f>
        <v>Any</v>
      </c>
      <c r="H94" s="10" t="str" cm="1">
        <f t="array" ref="H94">Common_InputFunctions.Utility_DisplayArrayInTable(Common_SourceData.Common_SourceData_ClimateZones_Data(), Table_SourceData_ClimateZones[[#Headers],[Climate zone]], 0)</f>
        <v>Any</v>
      </c>
      <c r="I94" s="10" t="str" cm="1">
        <f t="array" ref="I94">Common_InputFunctions.Utility_DisplayArrayInTable(Common_SourceData.Common_SourceData_ClimateZones_Data(), Table_SourceData_ClimateZones[[#Headers],[Climate zone]], 0)</f>
        <v>&gt; 1</v>
      </c>
      <c r="J94" s="10" cm="1">
        <f t="array" ref="J94">Common_InputFunctions.Utility_DisplayArrayInTable(Common_SourceData.Common_SourceData_ClimateZones_Data(), Table_SourceData_ClimateZones[[#Headers],[Climate zone]], 0)</f>
        <v>10.000999999999999</v>
      </c>
      <c r="K94" s="10" cm="1">
        <f t="array" ref="K94">Common_InputFunctions.Utility_DisplayArrayInTable(Common_SourceData.Common_SourceData_ClimateZones_Data(), Table_SourceData_ClimateZones[[#Headers],[Climate zone]], 0)</f>
        <v>999999</v>
      </c>
      <c r="L94" s="10" cm="1">
        <f t="array" ref="L94">Common_InputFunctions.Utility_DisplayArrayInTable(Common_SourceData.Common_SourceData_ClimateZones_Data(), Table_SourceData_ClimateZones[[#Headers],[Climate zone]], 0)</f>
        <v>-999999</v>
      </c>
      <c r="M94" s="10" cm="1">
        <f t="array" ref="M94">Common_InputFunctions.Utility_DisplayArrayInTable(Common_SourceData.Common_SourceData_ClimateZones_Data(), Table_SourceData_ClimateZones[[#Headers],[Climate zone]], 0)</f>
        <v>999999</v>
      </c>
      <c r="N94" s="10" cm="1">
        <f t="array" ref="N94">Common_InputFunctions.Utility_DisplayArrayInTable(Common_SourceData.Common_SourceData_ClimateZones_Data(), Table_SourceData_ClimateZones[[#Headers],[Climate zone]], 0)</f>
        <v>-999999</v>
      </c>
      <c r="O94" s="10" cm="1">
        <f t="array" ref="O94">Common_InputFunctions.Utility_DisplayArrayInTable(Common_SourceData.Common_SourceData_ClimateZones_Data(), Table_SourceData_ClimateZones[[#Headers],[Climate zone]], 0)</f>
        <v>999999</v>
      </c>
      <c r="P94" s="10" cm="1">
        <f t="array" ref="P94">Common_InputFunctions.Utility_DisplayArrayInTable(Common_SourceData.Common_SourceData_ClimateZones_Data(), Table_SourceData_ClimateZones[[#Headers],[Climate zone]], 0)</f>
        <v>-999999</v>
      </c>
      <c r="Q94" s="10" cm="1">
        <f t="array" ref="Q94">Common_InputFunctions.Utility_DisplayArrayInTable(Common_SourceData.Common_SourceData_ClimateZones_Data(), Table_SourceData_ClimateZones[[#Headers],[Climate zone]], 0)</f>
        <v>999999</v>
      </c>
      <c r="R94" s="10" cm="1">
        <f t="array" ref="R94">Common_InputFunctions.Utility_DisplayArrayInTable(Common_SourceData.Common_SourceData_ClimateZones_Data(), Table_SourceData_ClimateZones[[#Headers],[Climate zone]], 0)</f>
        <v>1.0009999999999999</v>
      </c>
      <c r="S94" s="10" cm="1">
        <f t="array" ref="S94">Common_InputFunctions.Utility_DisplayArrayInTable(Common_SourceData.Common_SourceData_ClimateZones_Data(), Table_SourceData_ClimateZones[[#Headers],[Climate zone]], 0)</f>
        <v>999999</v>
      </c>
      <c r="T94" s="10"/>
    </row>
    <row r="95" spans="1:20" ht="20.100000000000001" customHeight="1" x14ac:dyDescent="0.25">
      <c r="A95"/>
      <c r="D95" s="10" t="str" cm="1">
        <f t="array" ref="D95">Common_InputFunctions.Utility_DisplayArrayInTable(Common_SourceData.Common_SourceData_ClimateZones_Data(), Table_SourceData_ClimateZones[[#Headers],[Climate zone]], 0)</f>
        <v>Warm temperate dry</v>
      </c>
      <c r="E95" s="10" t="str" cm="1">
        <f t="array" ref="E95">Common_InputFunctions.Utility_DisplayArrayInTable(Common_SourceData.Common_SourceData_ClimateZones_Data(), Table_SourceData_ClimateZones[[#Headers],[Climate zone]], 0)</f>
        <v>&gt; 10 C</v>
      </c>
      <c r="F95" s="10" t="str" cm="1">
        <f t="array" ref="F95">Common_InputFunctions.Utility_DisplayArrayInTable(Common_SourceData.Common_SourceData_ClimateZones_Data(), Table_SourceData_ClimateZones[[#Headers],[Climate zone]], 0)</f>
        <v>Any</v>
      </c>
      <c r="G95" s="10" t="str" cm="1">
        <f t="array" ref="G95">Common_InputFunctions.Utility_DisplayArrayInTable(Common_SourceData.Common_SourceData_ClimateZones_Data(), Table_SourceData_ClimateZones[[#Headers],[Climate zone]], 0)</f>
        <v>Any</v>
      </c>
      <c r="H95" s="10" t="str" cm="1">
        <f t="array" ref="H95">Common_InputFunctions.Utility_DisplayArrayInTable(Common_SourceData.Common_SourceData_ClimateZones_Data(), Table_SourceData_ClimateZones[[#Headers],[Climate zone]], 0)</f>
        <v>Any</v>
      </c>
      <c r="I95" s="10" t="str" cm="1">
        <f t="array" ref="I95">Common_InputFunctions.Utility_DisplayArrayInTable(Common_SourceData.Common_SourceData_ClimateZones_Data(), Table_SourceData_ClimateZones[[#Headers],[Climate zone]], 0)</f>
        <v>≤ 1</v>
      </c>
      <c r="J95" s="10" cm="1">
        <f t="array" ref="J95">Common_InputFunctions.Utility_DisplayArrayInTable(Common_SourceData.Common_SourceData_ClimateZones_Data(), Table_SourceData_ClimateZones[[#Headers],[Climate zone]], 0)</f>
        <v>10.000999999999999</v>
      </c>
      <c r="K95" s="10" cm="1">
        <f t="array" ref="K95">Common_InputFunctions.Utility_DisplayArrayInTable(Common_SourceData.Common_SourceData_ClimateZones_Data(), Table_SourceData_ClimateZones[[#Headers],[Climate zone]], 0)</f>
        <v>999999</v>
      </c>
      <c r="L95" s="10" cm="1">
        <f t="array" ref="L95">Common_InputFunctions.Utility_DisplayArrayInTable(Common_SourceData.Common_SourceData_ClimateZones_Data(), Table_SourceData_ClimateZones[[#Headers],[Climate zone]], 0)</f>
        <v>-999999</v>
      </c>
      <c r="M95" s="10" cm="1">
        <f t="array" ref="M95">Common_InputFunctions.Utility_DisplayArrayInTable(Common_SourceData.Common_SourceData_ClimateZones_Data(), Table_SourceData_ClimateZones[[#Headers],[Climate zone]], 0)</f>
        <v>999999</v>
      </c>
      <c r="N95" s="10" cm="1">
        <f t="array" ref="N95">Common_InputFunctions.Utility_DisplayArrayInTable(Common_SourceData.Common_SourceData_ClimateZones_Data(), Table_SourceData_ClimateZones[[#Headers],[Climate zone]], 0)</f>
        <v>-999999</v>
      </c>
      <c r="O95" s="10" cm="1">
        <f t="array" ref="O95">Common_InputFunctions.Utility_DisplayArrayInTable(Common_SourceData.Common_SourceData_ClimateZones_Data(), Table_SourceData_ClimateZones[[#Headers],[Climate zone]], 0)</f>
        <v>999999</v>
      </c>
      <c r="P95" s="10" cm="1">
        <f t="array" ref="P95">Common_InputFunctions.Utility_DisplayArrayInTable(Common_SourceData.Common_SourceData_ClimateZones_Data(), Table_SourceData_ClimateZones[[#Headers],[Climate zone]], 0)</f>
        <v>-999999</v>
      </c>
      <c r="Q95" s="10" cm="1">
        <f t="array" ref="Q95">Common_InputFunctions.Utility_DisplayArrayInTable(Common_SourceData.Common_SourceData_ClimateZones_Data(), Table_SourceData_ClimateZones[[#Headers],[Climate zone]], 0)</f>
        <v>999999</v>
      </c>
      <c r="R95" s="10" cm="1">
        <f t="array" ref="R95">Common_InputFunctions.Utility_DisplayArrayInTable(Common_SourceData.Common_SourceData_ClimateZones_Data(), Table_SourceData_ClimateZones[[#Headers],[Climate zone]], 0)</f>
        <v>-999999</v>
      </c>
      <c r="S95" s="10" cm="1">
        <f t="array" ref="S95">Common_InputFunctions.Utility_DisplayArrayInTable(Common_SourceData.Common_SourceData_ClimateZones_Data(), Table_SourceData_ClimateZones[[#Headers],[Climate zone]], 0)</f>
        <v>1</v>
      </c>
      <c r="T95" s="10"/>
    </row>
    <row r="96" spans="1:20" ht="20.100000000000001" customHeight="1" x14ac:dyDescent="0.25">
      <c r="A96"/>
      <c r="D96" s="10" t="str" cm="1">
        <f t="array" ref="D96">Common_InputFunctions.Utility_DisplayArrayInTable(Common_SourceData.Common_SourceData_ClimateZones_Data(), Table_SourceData_ClimateZones[[#Headers],[Climate zone]], 0)</f>
        <v>Cool temperate moist</v>
      </c>
      <c r="E96" s="10" t="str" cm="1">
        <f t="array" ref="E96">Common_InputFunctions.Utility_DisplayArrayInTable(Common_SourceData.Common_SourceData_ClimateZones_Data(), Table_SourceData_ClimateZones[[#Headers],[Climate zone]], 0)</f>
        <v>&gt; 0 C - ≤ 10 C</v>
      </c>
      <c r="F96" s="10" t="str" cm="1">
        <f t="array" ref="F96">Common_InputFunctions.Utility_DisplayArrayInTable(Common_SourceData.Common_SourceData_ClimateZones_Data(), Table_SourceData_ClimateZones[[#Headers],[Climate zone]], 0)</f>
        <v>Any</v>
      </c>
      <c r="G96" s="10" t="str" cm="1">
        <f t="array" ref="G96">Common_InputFunctions.Utility_DisplayArrayInTable(Common_SourceData.Common_SourceData_ClimateZones_Data(), Table_SourceData_ClimateZones[[#Headers],[Climate zone]], 0)</f>
        <v>Any</v>
      </c>
      <c r="H96" s="10" t="str" cm="1">
        <f t="array" ref="H96">Common_InputFunctions.Utility_DisplayArrayInTable(Common_SourceData.Common_SourceData_ClimateZones_Data(), Table_SourceData_ClimateZones[[#Headers],[Climate zone]], 0)</f>
        <v>Any</v>
      </c>
      <c r="I96" s="10" t="str" cm="1">
        <f t="array" ref="I96">Common_InputFunctions.Utility_DisplayArrayInTable(Common_SourceData.Common_SourceData_ClimateZones_Data(), Table_SourceData_ClimateZones[[#Headers],[Climate zone]], 0)</f>
        <v>&gt; 1</v>
      </c>
      <c r="J96" s="10" cm="1">
        <f t="array" ref="J96">Common_InputFunctions.Utility_DisplayArrayInTable(Common_SourceData.Common_SourceData_ClimateZones_Data(), Table_SourceData_ClimateZones[[#Headers],[Climate zone]], 0)</f>
        <v>-999999</v>
      </c>
      <c r="K96" s="10" cm="1">
        <f t="array" ref="K96">Common_InputFunctions.Utility_DisplayArrayInTable(Common_SourceData.Common_SourceData_ClimateZones_Data(), Table_SourceData_ClimateZones[[#Headers],[Climate zone]], 0)</f>
        <v>10</v>
      </c>
      <c r="L96" s="10" cm="1">
        <f t="array" ref="L96">Common_InputFunctions.Utility_DisplayArrayInTable(Common_SourceData.Common_SourceData_ClimateZones_Data(), Table_SourceData_ClimateZones[[#Headers],[Climate zone]], 0)</f>
        <v>-999999</v>
      </c>
      <c r="M96" s="10" cm="1">
        <f t="array" ref="M96">Common_InputFunctions.Utility_DisplayArrayInTable(Common_SourceData.Common_SourceData_ClimateZones_Data(), Table_SourceData_ClimateZones[[#Headers],[Climate zone]], 0)</f>
        <v>999999</v>
      </c>
      <c r="N96" s="10" cm="1">
        <f t="array" ref="N96">Common_InputFunctions.Utility_DisplayArrayInTable(Common_SourceData.Common_SourceData_ClimateZones_Data(), Table_SourceData_ClimateZones[[#Headers],[Climate zone]], 0)</f>
        <v>-999999</v>
      </c>
      <c r="O96" s="10" cm="1">
        <f t="array" ref="O96">Common_InputFunctions.Utility_DisplayArrayInTable(Common_SourceData.Common_SourceData_ClimateZones_Data(), Table_SourceData_ClimateZones[[#Headers],[Climate zone]], 0)</f>
        <v>999999</v>
      </c>
      <c r="P96" s="10" cm="1">
        <f t="array" ref="P96">Common_InputFunctions.Utility_DisplayArrayInTable(Common_SourceData.Common_SourceData_ClimateZones_Data(), Table_SourceData_ClimateZones[[#Headers],[Climate zone]], 0)</f>
        <v>-999999</v>
      </c>
      <c r="Q96" s="10" cm="1">
        <f t="array" ref="Q96">Common_InputFunctions.Utility_DisplayArrayInTable(Common_SourceData.Common_SourceData_ClimateZones_Data(), Table_SourceData_ClimateZones[[#Headers],[Climate zone]], 0)</f>
        <v>999999</v>
      </c>
      <c r="R96" s="10" cm="1">
        <f t="array" ref="R96">Common_InputFunctions.Utility_DisplayArrayInTable(Common_SourceData.Common_SourceData_ClimateZones_Data(), Table_SourceData_ClimateZones[[#Headers],[Climate zone]], 0)</f>
        <v>1.0009999999999999</v>
      </c>
      <c r="S96" s="10" cm="1">
        <f t="array" ref="S96">Common_InputFunctions.Utility_DisplayArrayInTable(Common_SourceData.Common_SourceData_ClimateZones_Data(), Table_SourceData_ClimateZones[[#Headers],[Climate zone]], 0)</f>
        <v>999999</v>
      </c>
      <c r="T96" s="10"/>
    </row>
    <row r="97" spans="1:20" ht="20.100000000000001" customHeight="1" x14ac:dyDescent="0.25">
      <c r="A97"/>
      <c r="D97" s="10" t="str" cm="1">
        <f t="array" ref="D97">Common_InputFunctions.Utility_DisplayArrayInTable(Common_SourceData.Common_SourceData_ClimateZones_Data(), Table_SourceData_ClimateZones[[#Headers],[Climate zone]], 0)</f>
        <v>Cool temperate dry</v>
      </c>
      <c r="E97" s="10" t="str" cm="1">
        <f t="array" ref="E97">Common_InputFunctions.Utility_DisplayArrayInTable(Common_SourceData.Common_SourceData_ClimateZones_Data(), Table_SourceData_ClimateZones[[#Headers],[Climate zone]], 0)</f>
        <v>&gt; 0 C - ≤ 10 C</v>
      </c>
      <c r="F97" s="10" t="str" cm="1">
        <f t="array" ref="F97">Common_InputFunctions.Utility_DisplayArrayInTable(Common_SourceData.Common_SourceData_ClimateZones_Data(), Table_SourceData_ClimateZones[[#Headers],[Climate zone]], 0)</f>
        <v>Any</v>
      </c>
      <c r="G97" s="10" t="str" cm="1">
        <f t="array" ref="G97">Common_InputFunctions.Utility_DisplayArrayInTable(Common_SourceData.Common_SourceData_ClimateZones_Data(), Table_SourceData_ClimateZones[[#Headers],[Climate zone]], 0)</f>
        <v>Any</v>
      </c>
      <c r="H97" s="10" t="str" cm="1">
        <f t="array" ref="H97">Common_InputFunctions.Utility_DisplayArrayInTable(Common_SourceData.Common_SourceData_ClimateZones_Data(), Table_SourceData_ClimateZones[[#Headers],[Climate zone]], 0)</f>
        <v>Any</v>
      </c>
      <c r="I97" s="10" t="str" cm="1">
        <f t="array" ref="I97">Common_InputFunctions.Utility_DisplayArrayInTable(Common_SourceData.Common_SourceData_ClimateZones_Data(), Table_SourceData_ClimateZones[[#Headers],[Climate zone]], 0)</f>
        <v>≤ 1</v>
      </c>
      <c r="J97" s="10" cm="1">
        <f t="array" ref="J97">Common_InputFunctions.Utility_DisplayArrayInTable(Common_SourceData.Common_SourceData_ClimateZones_Data(), Table_SourceData_ClimateZones[[#Headers],[Climate zone]], 0)</f>
        <v>-999999</v>
      </c>
      <c r="K97" s="10" cm="1">
        <f t="array" ref="K97">Common_InputFunctions.Utility_DisplayArrayInTable(Common_SourceData.Common_SourceData_ClimateZones_Data(), Table_SourceData_ClimateZones[[#Headers],[Climate zone]], 0)</f>
        <v>10</v>
      </c>
      <c r="L97" s="10" cm="1">
        <f t="array" ref="L97">Common_InputFunctions.Utility_DisplayArrayInTable(Common_SourceData.Common_SourceData_ClimateZones_Data(), Table_SourceData_ClimateZones[[#Headers],[Climate zone]], 0)</f>
        <v>-999999</v>
      </c>
      <c r="M97" s="10" cm="1">
        <f t="array" ref="M97">Common_InputFunctions.Utility_DisplayArrayInTable(Common_SourceData.Common_SourceData_ClimateZones_Data(), Table_SourceData_ClimateZones[[#Headers],[Climate zone]], 0)</f>
        <v>999999</v>
      </c>
      <c r="N97" s="10" cm="1">
        <f t="array" ref="N97">Common_InputFunctions.Utility_DisplayArrayInTable(Common_SourceData.Common_SourceData_ClimateZones_Data(), Table_SourceData_ClimateZones[[#Headers],[Climate zone]], 0)</f>
        <v>-999999</v>
      </c>
      <c r="O97" s="10" cm="1">
        <f t="array" ref="O97">Common_InputFunctions.Utility_DisplayArrayInTable(Common_SourceData.Common_SourceData_ClimateZones_Data(), Table_SourceData_ClimateZones[[#Headers],[Climate zone]], 0)</f>
        <v>999999</v>
      </c>
      <c r="P97" s="10" cm="1">
        <f t="array" ref="P97">Common_InputFunctions.Utility_DisplayArrayInTable(Common_SourceData.Common_SourceData_ClimateZones_Data(), Table_SourceData_ClimateZones[[#Headers],[Climate zone]], 0)</f>
        <v>-999999</v>
      </c>
      <c r="Q97" s="10" cm="1">
        <f t="array" ref="Q97">Common_InputFunctions.Utility_DisplayArrayInTable(Common_SourceData.Common_SourceData_ClimateZones_Data(), Table_SourceData_ClimateZones[[#Headers],[Climate zone]], 0)</f>
        <v>999999</v>
      </c>
      <c r="R97" s="10" cm="1">
        <f t="array" ref="R97">Common_InputFunctions.Utility_DisplayArrayInTable(Common_SourceData.Common_SourceData_ClimateZones_Data(), Table_SourceData_ClimateZones[[#Headers],[Climate zone]], 0)</f>
        <v>-999999</v>
      </c>
      <c r="S97" s="10" cm="1">
        <f t="array" ref="S97">Common_InputFunctions.Utility_DisplayArrayInTable(Common_SourceData.Common_SourceData_ClimateZones_Data(), Table_SourceData_ClimateZones[[#Headers],[Climate zone]], 0)</f>
        <v>1</v>
      </c>
      <c r="T97" s="10"/>
    </row>
    <row r="98" spans="1:20" ht="20.100000000000001" customHeight="1" x14ac:dyDescent="0.25">
      <c r="A98"/>
    </row>
    <row r="99" spans="1:20" ht="20.100000000000001" customHeight="1" x14ac:dyDescent="0.25">
      <c r="A99"/>
      <c r="D99" s="13" t="str" cm="1">
        <f t="array" ref="D99:D102">Common_SourceData.Common_SourceData_ClimateZones_Appendices()</f>
        <v>Note:</v>
      </c>
    </row>
    <row r="100" spans="1:20" ht="20.100000000000001" customHeight="1" x14ac:dyDescent="0.25">
      <c r="A100"/>
      <c r="D100" s="13" t="str">
        <v>MAT = mean annual temperature</v>
      </c>
    </row>
    <row r="101" spans="1:20" ht="20.100000000000001" customHeight="1" x14ac:dyDescent="0.25">
      <c r="A101"/>
      <c r="D101" s="13" t="str">
        <v>MAP = mean annual precipitation</v>
      </c>
    </row>
    <row r="102" spans="1:20" ht="20.100000000000001" customHeight="1" x14ac:dyDescent="0.25">
      <c r="A102"/>
      <c r="D102" s="13" t="str">
        <v>PET = potential evapotranspiration</v>
      </c>
    </row>
    <row r="103" spans="1:20" ht="20.100000000000001" customHeight="1" x14ac:dyDescent="0.25">
      <c r="A103"/>
      <c r="D103" s="13"/>
    </row>
    <row r="104" spans="1:20" ht="20.100000000000001" customHeight="1" x14ac:dyDescent="0.25">
      <c r="A104"/>
    </row>
    <row r="105" spans="1:20" ht="20.100000000000001" customHeight="1" x14ac:dyDescent="0.25">
      <c r="A105"/>
      <c r="D105" s="9" t="str" cm="1">
        <f t="array" ref="D105">Common_SourceData.Common_SourceData_TemperatureZones_Title()</f>
        <v>VEERG Australian temperature zones</v>
      </c>
    </row>
    <row r="106" spans="1:20" ht="20.100000000000001" customHeight="1" x14ac:dyDescent="0.25">
      <c r="A106"/>
      <c r="D106" s="11" t="str" cm="1">
        <f t="array" ref="D106">Common_SourceData.Common_SourceData_TemperatureZones_Source()</f>
        <v>VEERG 2026: Table 1.3: Climate and Rainfall zone classifications and definitions</v>
      </c>
    </row>
    <row r="107" spans="1:20" ht="20.100000000000001" customHeight="1" x14ac:dyDescent="0.25">
      <c r="A107"/>
      <c r="D107" s="12"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10" t="s">
        <v>28</v>
      </c>
      <c r="E109" s="10" t="s">
        <v>13</v>
      </c>
      <c r="F109" s="10" t="s">
        <v>29</v>
      </c>
      <c r="G109" s="10" t="s">
        <v>30</v>
      </c>
    </row>
    <row r="110" spans="1:20" ht="20.100000000000001" customHeight="1" x14ac:dyDescent="0.25">
      <c r="A110"/>
      <c r="D110" s="10" t="str" cm="1">
        <f t="array" ref="D110">Common_InputFunctions.Utility_DisplayArrayInTable(Common_SourceData.Common_SourceData_TemperatureZones_Data(),Table_SourceData_TemperatureZones[[#Headers],[Temperature Zone]],0)</f>
        <v>Warm</v>
      </c>
      <c r="E110" s="10" t="str" cm="1">
        <f t="array" ref="E110">Common_InputFunctions.Utility_DisplayArrayInTable(Common_SourceData.Common_SourceData_TemperatureZones_Data(),Table_SourceData_TemperatureZones[[#Headers],[Temperature Zone]],0)</f>
        <v>≥ 26 C</v>
      </c>
      <c r="F110" s="10" cm="1">
        <f t="array" ref="F110">Common_InputFunctions.Utility_DisplayArrayInTable(Common_SourceData.Common_SourceData_TemperatureZones_Data(),Table_SourceData_TemperatureZones[[#Headers],[Temperature Zone]],0)</f>
        <v>26</v>
      </c>
      <c r="G110" s="10"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10" t="str" cm="1">
        <f t="array" ref="D111">Common_InputFunctions.Utility_DisplayArrayInTable(Common_SourceData.Common_SourceData_TemperatureZones_Data(),Table_SourceData_TemperatureZones[[#Headers],[Temperature Zone]],0)</f>
        <v>Temperate</v>
      </c>
      <c r="E111" s="10" t="str" cm="1">
        <f t="array" ref="E111">Common_InputFunctions.Utility_DisplayArrayInTable(Common_SourceData.Common_SourceData_TemperatureZones_Data(),Table_SourceData_TemperatureZones[[#Headers],[Temperature Zone]],0)</f>
        <v>15 - 25 C</v>
      </c>
      <c r="F111" s="10" cm="1">
        <f t="array" ref="F111">Common_InputFunctions.Utility_DisplayArrayInTable(Common_SourceData.Common_SourceData_TemperatureZones_Data(),Table_SourceData_TemperatureZones[[#Headers],[Temperature Zone]],0)</f>
        <v>15</v>
      </c>
      <c r="G111" s="10"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10" t="str" cm="1">
        <f t="array" ref="D112">Common_InputFunctions.Utility_DisplayArrayInTable(Common_SourceData.Common_SourceData_TemperatureZones_Data(),Table_SourceData_TemperatureZones[[#Headers],[Temperature Zone]],0)</f>
        <v>Cool</v>
      </c>
      <c r="E112" s="10" t="str" cm="1">
        <f t="array" ref="E112">Common_InputFunctions.Utility_DisplayArrayInTable(Common_SourceData.Common_SourceData_TemperatureZones_Data(),Table_SourceData_TemperatureZones[[#Headers],[Temperature Zone]],0)</f>
        <v>≤ 14 C</v>
      </c>
      <c r="F112" s="10" cm="1">
        <f t="array" ref="F112">Common_InputFunctions.Utility_DisplayArrayInTable(Common_SourceData.Common_SourceData_TemperatureZones_Data(),Table_SourceData_TemperatureZones[[#Headers],[Temperature Zone]],0)</f>
        <v>-999999</v>
      </c>
      <c r="G112" s="10"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9" t="str" cm="1">
        <f t="array" ref="D115">Common_SourceData.Common_SourceData_RainfallZones_Title()</f>
        <v>VEERG Australian rainfall zones</v>
      </c>
      <c r="BN115" s="4"/>
    </row>
    <row r="116" spans="1:66" ht="20.100000000000001" customHeight="1" x14ac:dyDescent="0.25">
      <c r="A116"/>
      <c r="D116" s="11" t="str" cm="1">
        <f t="array" ref="D116">Common_SourceData.Common_SourceData_RainfallZones_Source()</f>
        <v>VEERG 2026: Table 1.3: Climate and Rainfall zone classifications and definitions</v>
      </c>
      <c r="BN116" s="4"/>
    </row>
    <row r="117" spans="1:66" ht="20.100000000000001" customHeight="1" x14ac:dyDescent="0.25">
      <c r="A117"/>
      <c r="D117" s="12" t="str" cm="1">
        <f t="array" ref="D117">"⚠️" &amp; Common_SourceData.Common_SourceData_RainfallZones_Variation()</f>
        <v>⚠️VARIATION OF SOURCE DATA: Added extra Rainfall min and Rainfall max columns to calculate zone from real rainfall data.</v>
      </c>
      <c r="BN117" s="4"/>
    </row>
    <row r="118" spans="1:66" ht="20.100000000000001" customHeight="1" x14ac:dyDescent="0.25">
      <c r="A118"/>
      <c r="BN118" s="4"/>
    </row>
    <row r="119" spans="1:66" ht="20.100000000000001" customHeight="1" x14ac:dyDescent="0.25">
      <c r="A119"/>
      <c r="D119" s="10" t="s">
        <v>31</v>
      </c>
      <c r="E119" s="10" t="s">
        <v>32</v>
      </c>
      <c r="F119" s="10" t="s">
        <v>20</v>
      </c>
      <c r="G119" s="10" t="s">
        <v>21</v>
      </c>
      <c r="BN119" s="4"/>
    </row>
    <row r="120" spans="1:66" ht="20.100000000000001" customHeight="1" x14ac:dyDescent="0.25">
      <c r="A120"/>
      <c r="D120" s="10" t="str" cm="1">
        <f t="array" ref="D120">Common_InputFunctions.Utility_DisplayArrayInTable(Common_SourceData.Common_SourceData_RainfallZones_Data(),Table_SourceData_RainfallZones[[#Headers],[Rainfall Zone]],0)</f>
        <v>High rainfall</v>
      </c>
      <c r="E120" s="10" t="str" cm="1">
        <f t="array" ref="E120">Common_InputFunctions.Utility_DisplayArrayInTable(Common_SourceData.Common_SourceData_RainfallZones_Data(),Table_SourceData_RainfallZones[[#Headers],[Rainfall Zone]],0)</f>
        <v>Annual rainfall &gt; 600mm</v>
      </c>
      <c r="F120" s="10" cm="1">
        <f t="array" ref="F120">Common_InputFunctions.Utility_DisplayArrayInTable(Common_SourceData.Common_SourceData_RainfallZones_Data(),Table_SourceData_RainfallZones[[#Headers],[Rainfall Zone]],0)</f>
        <v>600.00099999999998</v>
      </c>
      <c r="G120" s="10" cm="1">
        <f t="array" ref="G120">Common_InputFunctions.Utility_DisplayArrayInTable(Common_SourceData.Common_SourceData_RainfallZones_Data(),Table_SourceData_RainfallZones[[#Headers],[Rainfall Zone]],0)</f>
        <v>999999</v>
      </c>
      <c r="BN120" s="4"/>
    </row>
    <row r="121" spans="1:66" ht="20.100000000000001" customHeight="1" x14ac:dyDescent="0.25">
      <c r="A121"/>
      <c r="D121" s="10" t="str" cm="1">
        <f t="array" ref="D121">Common_InputFunctions.Utility_DisplayArrayInTable(Common_SourceData.Common_SourceData_RainfallZones_Data(),Table_SourceData_RainfallZones[[#Headers],[Rainfall Zone]],0)</f>
        <v>Low rainfall</v>
      </c>
      <c r="E121" s="10" t="str" cm="1">
        <f t="array" ref="E121">Common_InputFunctions.Utility_DisplayArrayInTable(Common_SourceData.Common_SourceData_RainfallZones_Data(),Table_SourceData_RainfallZones[[#Headers],[Rainfall Zone]],0)</f>
        <v>Annual rainfall ≤ 600mm</v>
      </c>
      <c r="F121" s="10" cm="1">
        <f t="array" ref="F121">Common_InputFunctions.Utility_DisplayArrayInTable(Common_SourceData.Common_SourceData_RainfallZones_Data(),Table_SourceData_RainfallZones[[#Headers],[Rainfall Zone]],0)</f>
        <v>-999999</v>
      </c>
      <c r="G121" s="10" cm="1">
        <f t="array" ref="G121">Common_InputFunctions.Utility_DisplayArrayInTable(Common_SourceData.Common_SourceData_RainfallZones_Data(),Table_SourceData_RainfallZones[[#Headers],[Rainfall Zone]],0)</f>
        <v>600</v>
      </c>
      <c r="BN121" s="4"/>
    </row>
    <row r="122" spans="1:66" ht="20.100000000000001" customHeight="1" x14ac:dyDescent="0.25">
      <c r="A122"/>
      <c r="BN122" s="4"/>
    </row>
    <row r="123" spans="1:66" ht="20.100000000000001" customHeight="1" x14ac:dyDescent="0.25">
      <c r="A123"/>
    </row>
    <row r="124" spans="1:66" ht="20.100000000000001" customHeight="1" x14ac:dyDescent="0.25">
      <c r="A124"/>
      <c r="D124" s="9" t="str" cm="1">
        <f t="array" ref="D124">Common_SourceData.Common_SourceData_LeachingZones_Title()</f>
        <v>VEERG Australian leaching zones</v>
      </c>
    </row>
    <row r="125" spans="1:66" ht="20.100000000000001" customHeight="1" x14ac:dyDescent="0.25">
      <c r="A125"/>
      <c r="D125" s="11"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10" t="s">
        <v>33</v>
      </c>
      <c r="E127" s="10" t="s">
        <v>34</v>
      </c>
    </row>
    <row r="128" spans="1:66" ht="20.100000000000001" customHeight="1" x14ac:dyDescent="0.25">
      <c r="A128"/>
      <c r="D128" s="10" t="str" cm="1">
        <f t="array" ref="D128">Common_InputFunctions.Utility_DisplayArrayInTable(Common_SourceData.Common_SourceData_LeachingZones_Data(), Table_SourceData_LeachingZones[[#Headers],[Leaching Zone]], 0)</f>
        <v>Leaching occurs</v>
      </c>
      <c r="E128" s="10"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10" t="str" cm="1">
        <f t="array" ref="D129">Common_InputFunctions.Utility_DisplayArrayInTable(Common_SourceData.Common_SourceData_LeachingZones_Data(), Table_SourceData_LeachingZones[[#Headers],[Leaching Zone]], 0)</f>
        <v>Leaching does not occur</v>
      </c>
      <c r="E129" s="10"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9" t="str" cm="1">
        <f t="array" ref="D132">Common_SourceData.Common_SourceData_FracWET_Title()</f>
        <v>Fraction of N that is available for leaching and runoff</v>
      </c>
      <c r="E132" s="14"/>
    </row>
    <row r="133" spans="1:77" ht="20.100000000000001" customHeight="1" x14ac:dyDescent="0.25">
      <c r="A133"/>
      <c r="D133" s="11" t="str" cm="1">
        <f t="array" ref="D133">Common_SourceData.Common_SourceData_FracWET_Source()</f>
        <v>VEERG 2026:5.5.2.3 Constant Parameters</v>
      </c>
      <c r="E133" s="14"/>
    </row>
    <row r="134" spans="1:77" ht="20.100000000000001" customHeight="1" x14ac:dyDescent="0.25">
      <c r="A134"/>
      <c r="D134" s="3" t="s">
        <v>35</v>
      </c>
      <c r="E134" s="3" t="s">
        <v>36</v>
      </c>
    </row>
    <row r="135" spans="1:77" ht="20.100000000000001" customHeight="1" x14ac:dyDescent="0.25">
      <c r="A135"/>
      <c r="D135" s="3" t="str" cm="1">
        <f t="array" ref="D135">Common_InputFunctions.Utility_DisplayArrayInTable(Common_SourceData.Common_SourceData_FracWET_Data(),Table_SourceData_FracWET[[#Headers],[Is in leaching zone]],0)</f>
        <v>Yes - in leaching zone</v>
      </c>
      <c r="E135" s="3" cm="1">
        <f t="array" ref="E135">Common_InputFunctions.Utility_DisplayArrayInTable(Common_SourceData.Common_SourceData_FracWET_Data(),Table_SourceData_FracWET[[#Headers],[Is in leaching zone]],0)</f>
        <v>1</v>
      </c>
    </row>
    <row r="136" spans="1:77" ht="20.100000000000001" customHeight="1" x14ac:dyDescent="0.25">
      <c r="A136"/>
      <c r="D136" s="8" t="str" cm="1">
        <f t="array" ref="D136">Common_InputFunctions.Utility_DisplayArrayInTable(Common_SourceData.Common_SourceData_FracWET_Data(),Table_SourceData_FracWET[[#Headers],[Is in leaching zone]],0)</f>
        <v>No - not in leaching zone</v>
      </c>
      <c r="E136" s="10"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4"/>
      <c r="BO138" s="4"/>
      <c r="BP138" s="4"/>
      <c r="BQ138" s="4"/>
      <c r="BR138" s="4"/>
      <c r="BS138" s="4"/>
      <c r="BT138" s="4"/>
      <c r="BU138" s="4"/>
      <c r="BV138" s="4"/>
      <c r="BW138" s="4"/>
      <c r="BX138" s="4"/>
      <c r="BY138" s="4"/>
    </row>
    <row r="139" spans="1:77" ht="20.100000000000001" customHeight="1" x14ac:dyDescent="0.25">
      <c r="A139"/>
      <c r="D139" s="9" t="str" cm="1">
        <f t="array" ref="D139">Common_SourceData.Common_SourceData_FracWETIrrigation_Title()</f>
        <v>FracWET for irrigation types</v>
      </c>
      <c r="BN139" s="4"/>
      <c r="BO139" s="4"/>
      <c r="BP139" s="4"/>
      <c r="BQ139" s="4"/>
      <c r="BR139" s="4"/>
      <c r="BS139" s="4"/>
      <c r="BT139" s="4"/>
      <c r="BU139" s="4"/>
      <c r="BV139" s="4"/>
      <c r="BW139" s="4"/>
      <c r="BX139" s="4"/>
      <c r="BY139" s="4"/>
    </row>
    <row r="140" spans="1:77" ht="20.100000000000001" customHeight="1" x14ac:dyDescent="0.25">
      <c r="A140"/>
      <c r="D140" s="11" t="str" cm="1">
        <f t="array" ref="D140">Common_SourceData.Common_SourceData_FracWETIrrigation_Source()</f>
        <v>VEERG 2026: Chapter 1, section 1.8.2 Leaching, climate and rainfall zones</v>
      </c>
      <c r="BN140" s="4"/>
      <c r="BO140" s="4"/>
      <c r="BP140" s="4"/>
      <c r="BQ140" s="4"/>
      <c r="BR140" s="4"/>
      <c r="BS140" s="4"/>
      <c r="BT140" s="4"/>
      <c r="BU140" s="4"/>
      <c r="BV140" s="4"/>
      <c r="BW140" s="4"/>
      <c r="BX140" s="4"/>
      <c r="BY140" s="4"/>
    </row>
    <row r="141" spans="1:77" ht="20.100000000000001" customHeight="1" x14ac:dyDescent="0.25">
      <c r="A141"/>
      <c r="D141" s="12" t="str" cm="1">
        <f t="array" ref="D141">Common_SourceData.Common_SourceData_FracWETIrrigation_Variation()</f>
        <v>VARIATION FROM SOURCE DATA: Table created based on VEERG text 'Areas are subject to leaching (i.e., in the leaching zone) when... the land is irrigated (except drip irrigation).'</v>
      </c>
      <c r="BN141" s="4"/>
    </row>
    <row r="142" spans="1:77" ht="20.100000000000001" customHeight="1" x14ac:dyDescent="0.25">
      <c r="A142"/>
      <c r="D142" s="10" t="s">
        <v>37</v>
      </c>
      <c r="E142" s="10" t="s">
        <v>36</v>
      </c>
      <c r="BN142" s="4"/>
    </row>
    <row r="143" spans="1:77" ht="20.100000000000001" customHeight="1" x14ac:dyDescent="0.25">
      <c r="A143"/>
      <c r="D143" s="10" t="str" cm="1">
        <f t="array" ref="D143">Common_InputFunctions.Utility_DisplayArrayInTable(Common_SourceData.Common_SourceData_FracWETIrrigation_Data(), Table_SourceData_FracWETIrrigation[[#Headers],[Irrigation type i]], 0)</f>
        <v>Not irrigated</v>
      </c>
      <c r="E143" s="10" cm="1">
        <f t="array" ref="E143">Common_InputFunctions.Utility_DisplayArrayInTable(Common_SourceData.Common_SourceData_FracWETIrrigation_Data(), Table_SourceData_FracWETIrrigation[[#Headers],[Irrigation type i]], 0)</f>
        <v>0</v>
      </c>
      <c r="BN143" s="4"/>
    </row>
    <row r="144" spans="1:77" ht="20.100000000000001" customHeight="1" x14ac:dyDescent="0.25">
      <c r="A144"/>
      <c r="D144" s="8" t="str" cm="1">
        <f t="array" ref="D144">Common_InputFunctions.Utility_DisplayArrayInTable(Common_SourceData.Common_SourceData_FracWETIrrigation_Data(), Table_SourceData_FracWETIrrigation[[#Headers],[Irrigation type i]], 0)</f>
        <v>Drip irrigation</v>
      </c>
      <c r="E144" s="10" cm="1">
        <f t="array" ref="E144">Common_InputFunctions.Utility_DisplayArrayInTable(Common_SourceData.Common_SourceData_FracWETIrrigation_Data(), Table_SourceData_FracWETIrrigation[[#Headers],[Irrigation type i]], 0)</f>
        <v>0</v>
      </c>
      <c r="BN144" s="4"/>
    </row>
    <row r="145" spans="1:66" ht="20.100000000000001" customHeight="1" x14ac:dyDescent="0.25">
      <c r="A145"/>
      <c r="D145" s="8" t="str" cm="1">
        <f t="array" ref="D145">Common_InputFunctions.Utility_DisplayArrayInTable(Common_SourceData.Common_SourceData_FracWETIrrigation_Data(), Table_SourceData_FracWETIrrigation[[#Headers],[Irrigation type i]], 0)</f>
        <v>Sprinkler irrigation</v>
      </c>
      <c r="E145" s="10" cm="1">
        <f t="array" ref="E145">Common_InputFunctions.Utility_DisplayArrayInTable(Common_SourceData.Common_SourceData_FracWETIrrigation_Data(), Table_SourceData_FracWETIrrigation[[#Headers],[Irrigation type i]], 0)</f>
        <v>1</v>
      </c>
      <c r="BN145" s="4"/>
    </row>
    <row r="146" spans="1:66" ht="20.100000000000001" customHeight="1" x14ac:dyDescent="0.25">
      <c r="A146"/>
      <c r="D146" s="8" t="str" cm="1">
        <f t="array" ref="D146">Common_InputFunctions.Utility_DisplayArrayInTable(Common_SourceData.Common_SourceData_FracWETIrrigation_Data(), Table_SourceData_FracWETIrrigation[[#Headers],[Irrigation type i]], 0)</f>
        <v>Surface irrigation</v>
      </c>
      <c r="E146" s="10" cm="1">
        <f t="array" ref="E146">Common_InputFunctions.Utility_DisplayArrayInTable(Common_SourceData.Common_SourceData_FracWETIrrigation_Data(), Table_SourceData_FracWETIrrigation[[#Headers],[Irrigation type i]], 0)</f>
        <v>1</v>
      </c>
      <c r="BN146" s="4"/>
    </row>
    <row r="147" spans="1:66" ht="20.100000000000001" customHeight="1" x14ac:dyDescent="0.25">
      <c r="A147"/>
      <c r="D147" s="8" t="str" cm="1">
        <f t="array" ref="D147">Common_InputFunctions.Utility_DisplayArrayInTable(Common_SourceData.Common_SourceData_FracWETIrrigation_Data(), Table_SourceData_FracWETIrrigation[[#Headers],[Irrigation type i]], 0)</f>
        <v>Other irrigation</v>
      </c>
      <c r="E147" s="10" cm="1">
        <f t="array" ref="E147">Common_InputFunctions.Utility_DisplayArrayInTable(Common_SourceData.Common_SourceData_FracWETIrrigation_Data(), Table_SourceData_FracWETIrrigation[[#Headers],[Irrigation type i]], 0)</f>
        <v>1</v>
      </c>
      <c r="BN147" s="4"/>
    </row>
    <row r="148" spans="1:66" ht="20.100000000000001" customHeight="1" x14ac:dyDescent="0.25">
      <c r="A148"/>
      <c r="BN148" s="4"/>
    </row>
    <row r="149" spans="1:66" ht="20.100000000000001" customHeight="1" x14ac:dyDescent="0.25">
      <c r="A149"/>
      <c r="BN149" s="4"/>
    </row>
    <row r="150" spans="1:66" ht="20.100000000000001" customHeight="1" x14ac:dyDescent="0.25">
      <c r="A150"/>
      <c r="D150" s="9" t="str" cm="1">
        <f t="array" ref="D150">Common_SourceData.Common_SourceData_DataScores_Scope3_Title()</f>
        <v>Australian data scores for scope 3</v>
      </c>
      <c r="BN150" s="4"/>
    </row>
    <row r="151" spans="1:66" ht="20.100000000000001" customHeight="1" x14ac:dyDescent="0.25">
      <c r="A151"/>
      <c r="D151" s="11" t="str" cm="1">
        <f t="array" ref="D151">Common_SourceData.Common_SourceData_DataScores_Scope3_Source()</f>
        <v>VEERG 2026: XXXXXXXX</v>
      </c>
      <c r="BN151" s="4"/>
    </row>
    <row r="152" spans="1:66" ht="20.100000000000001" customHeight="1" x14ac:dyDescent="0.25">
      <c r="A152"/>
      <c r="BN152" s="4"/>
    </row>
    <row r="153" spans="1:66" ht="20.100000000000001" customHeight="1" x14ac:dyDescent="0.25">
      <c r="A153"/>
      <c r="D153" s="10" t="s">
        <v>38</v>
      </c>
      <c r="E153" s="10" t="s">
        <v>39</v>
      </c>
      <c r="BC153" s="7"/>
      <c r="BD153" s="7"/>
      <c r="BE153" s="7"/>
      <c r="BF153" s="7"/>
      <c r="BG153" s="7"/>
      <c r="BH153" s="7"/>
      <c r="BI153" s="7"/>
      <c r="BJ153" s="7"/>
      <c r="BK153" s="7"/>
      <c r="BL153" s="7"/>
      <c r="BM153" s="7"/>
    </row>
    <row r="154" spans="1:66" ht="20.100000000000001" customHeight="1" x14ac:dyDescent="0.25">
      <c r="A154"/>
      <c r="D154" s="10" t="str" cm="1">
        <f t="array" ref="D154">Common_InputFunctions.Utility_DisplayArrayInTable(Common_SourceData.Common_SourceData_DataScores_Scope3_Data(), Table_SourceData_DataScores_Scope3[[#Headers],[Data source]], 0)</f>
        <v>International scope 3 database</v>
      </c>
      <c r="E154" s="10" cm="1">
        <f t="array" ref="E154">Common_InputFunctions.Utility_DisplayArrayInTable(Common_SourceData.Common_SourceData_DataScores_Scope3_Data(), Table_SourceData_DataScores_Scope3[[#Headers],[Data source]], 0)</f>
        <v>1</v>
      </c>
      <c r="BC154" s="7"/>
      <c r="BD154" s="7"/>
      <c r="BE154" s="7"/>
      <c r="BF154" s="7"/>
      <c r="BG154" s="7"/>
      <c r="BH154" s="7"/>
      <c r="BI154" s="7"/>
      <c r="BJ154" s="7"/>
      <c r="BK154" s="7"/>
      <c r="BL154" s="7"/>
      <c r="BM154" s="7"/>
    </row>
    <row r="155" spans="1:66" ht="20.100000000000001" customHeight="1" x14ac:dyDescent="0.25">
      <c r="A155"/>
      <c r="D155" s="10" t="str" cm="1">
        <f t="array" ref="D155">Common_InputFunctions.Utility_DisplayArrayInTable(Common_SourceData.Common_SourceData_DataScores_Scope3_Data(), Table_SourceData_DataScores_Scope3[[#Headers],[Data source]], 0)</f>
        <v>Australian scope 3 database</v>
      </c>
      <c r="E155" s="10" cm="1">
        <f t="array" ref="E155">Common_InputFunctions.Utility_DisplayArrayInTable(Common_SourceData.Common_SourceData_DataScores_Scope3_Data(), Table_SourceData_DataScores_Scope3[[#Headers],[Data source]], 0)</f>
        <v>2</v>
      </c>
      <c r="BC155" s="7"/>
      <c r="BD155" s="7"/>
      <c r="BE155" s="7"/>
      <c r="BF155" s="7"/>
      <c r="BG155" s="7"/>
      <c r="BH155" s="7"/>
      <c r="BI155" s="7"/>
      <c r="BJ155" s="7"/>
      <c r="BK155" s="7"/>
      <c r="BL155" s="7"/>
      <c r="BM155" s="7"/>
    </row>
    <row r="156" spans="1:66" ht="20.100000000000001" customHeight="1" x14ac:dyDescent="0.25">
      <c r="A156"/>
      <c r="D156" s="10" t="str" cm="1">
        <f t="array" ref="D156">Common_InputFunctions.Utility_DisplayArrayInTable(Common_SourceData.Common_SourceData_DataScores_Scope3_Data(), Table_SourceData_DataScores_Scope3[[#Headers],[Data source]], 0)</f>
        <v>State or regional scope 3 database</v>
      </c>
      <c r="E156" s="10"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10" t="str" cm="1">
        <f t="array" ref="D157">Common_InputFunctions.Utility_DisplayArrayInTable(Common_SourceData.Common_SourceData_DataScores_Scope3_Data(), Table_SourceData_DataScores_Scope3[[#Headers],[Data source]], 0)</f>
        <v>Emissions intensity calculated from approved method</v>
      </c>
      <c r="E157" s="10"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10" t="str" cm="1">
        <f t="array" ref="D158">Common_InputFunctions.Utility_DisplayArrayInTable(Common_SourceData.Common_SourceData_DataScores_Scope3_Data(), Table_SourceData_DataScores_Scope3[[#Headers],[Data source]], 0)</f>
        <v>Verified credential matching ISO14067</v>
      </c>
      <c r="E158" s="10"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9" t="str" cm="1">
        <f t="array" ref="D161">Common_SourceData.Common_SourceData_FracLEACH_Title()</f>
        <v>Fraction of N that is available for leaching and runoff</v>
      </c>
      <c r="E161" s="14"/>
    </row>
    <row r="162" spans="4:68" ht="20.100000000000001" customHeight="1" x14ac:dyDescent="0.25">
      <c r="D162" s="11" t="str" cm="1">
        <f t="array" ref="D162">Common_SourceData.Common_SourceData_FracLEACH_Source()</f>
        <v>VEERG 2026:5.5.2.3 Constant Parameters</v>
      </c>
      <c r="E162" s="14"/>
    </row>
    <row r="163" spans="4:68" ht="20.100000000000001" customHeight="1" x14ac:dyDescent="0.25">
      <c r="D163" s="11" t="str" cm="1">
        <f t="array" ref="D163">Common_SourceData.Common_SourceData_FracLEACH_NIRReference()</f>
        <v>National Inventory Report Volume 1: Leaching and runoff (3.D.b.2)</v>
      </c>
      <c r="E163" s="14"/>
    </row>
    <row r="164" spans="4:68" ht="20.100000000000001" customHeight="1" x14ac:dyDescent="0.25">
      <c r="D164" s="14" t="str" cm="1">
        <f t="array" ref="D164:E164">Common_SourceData.Common_SourceData_FracLEACH_Data()</f>
        <v>FracLEACH</v>
      </c>
      <c r="E164" s="14">
        <v>0.24</v>
      </c>
    </row>
    <row r="165" spans="4:68" ht="20.100000000000001" customHeight="1" x14ac:dyDescent="0.25">
      <c r="BN165" s="4"/>
      <c r="BO165" s="4"/>
      <c r="BP165" s="4"/>
    </row>
    <row r="166" spans="4:68" ht="20.100000000000001" customHeight="1" x14ac:dyDescent="0.25">
      <c r="BN166" s="4"/>
      <c r="BO166" s="4"/>
      <c r="BP166" s="4"/>
    </row>
    <row r="167" spans="4:68" ht="20.100000000000001" customHeight="1" x14ac:dyDescent="0.25">
      <c r="D167" s="9" t="str" cm="1">
        <f t="array" ref="D167">Common_SourceData.Common_SourceData_EFleach_Title()</f>
        <v>Emission factor for nitrogen leaching and runoff</v>
      </c>
      <c r="BN167" s="4"/>
      <c r="BO167" s="4"/>
      <c r="BP167" s="4"/>
    </row>
    <row r="168" spans="4:68" ht="20.100000000000001" customHeight="1" x14ac:dyDescent="0.25">
      <c r="D168" s="11" t="str" cm="1">
        <f t="array" ref="D168">Common_SourceData.Common_SourceData_EFleach_Source()</f>
        <v>VEERG 2026:5.5.2.3 Constant Parameters</v>
      </c>
      <c r="BN168" s="4"/>
      <c r="BO168" s="4"/>
      <c r="BP168" s="4"/>
    </row>
    <row r="169" spans="4:68" ht="20.100000000000001" customHeight="1" x14ac:dyDescent="0.25">
      <c r="D169" s="11" t="str" cm="1">
        <f t="array" ref="D169">Common_SourceData.Common_SourceData_EFleach_NIRReference()</f>
        <v>National Inventory Report Volume 1: Equation 3.D.B_10</v>
      </c>
      <c r="BN169" s="4"/>
      <c r="BO169" s="4"/>
      <c r="BP169" s="4"/>
    </row>
    <row r="170" spans="4:68" ht="20.100000000000001" customHeight="1" x14ac:dyDescent="0.25">
      <c r="D170" s="8" t="str" cm="1">
        <f t="array" ref="D170:E170">Common_SourceData.Common_SourceData_EFleach_Data()</f>
        <v>EFleach</v>
      </c>
      <c r="E170" s="8">
        <v>1.0999999999999999E-2</v>
      </c>
      <c r="BN170" s="4"/>
      <c r="BO170" s="4"/>
      <c r="BP170" s="4"/>
    </row>
    <row r="171" spans="4:68" ht="20.100000000000001" customHeight="1" x14ac:dyDescent="0.25">
      <c r="BN171" s="4"/>
      <c r="BO171" s="4"/>
      <c r="BP171" s="4"/>
    </row>
    <row r="172" spans="4:68" ht="20.100000000000001" customHeight="1" x14ac:dyDescent="0.25">
      <c r="BN172" s="4"/>
      <c r="BO172" s="4"/>
      <c r="BP172" s="4"/>
    </row>
    <row r="173" spans="4:68" ht="20.100000000000001" customHeight="1" x14ac:dyDescent="0.25">
      <c r="D173" s="9" t="str" cm="1">
        <f t="array" ref="D173">Common_SourceData.Common_SourceData_DensityOfMethane_Title()</f>
        <v>p = density of methane</v>
      </c>
      <c r="BN173" s="4"/>
      <c r="BO173" s="4"/>
      <c r="BP173" s="4"/>
    </row>
    <row r="174" spans="4:68" ht="20.100000000000001" customHeight="1" x14ac:dyDescent="0.25">
      <c r="D174" s="11" t="str" cm="1">
        <f t="array" ref="D174">Common_SourceData.Common_SourceData_DensityOfMethane_Source()</f>
        <v>National Inventory Report 2023 Volume 1: Equations 3.B.1a_2, 3.B.1c_2, 3.B.3_1, 3.B.4g_2</v>
      </c>
      <c r="BN174" s="4"/>
      <c r="BO174" s="4"/>
      <c r="BP174" s="4"/>
    </row>
    <row r="175" spans="4:68" ht="20.100000000000001" customHeight="1" x14ac:dyDescent="0.25">
      <c r="D175" s="8" cm="1">
        <f t="array" ref="D175">Common_SourceData.Common_SourceData_DensityOfMethane_Data()</f>
        <v>0.6784</v>
      </c>
      <c r="E175" s="13" t="str" cm="1">
        <f t="array" ref="E175">Common_SourceData.Common_SourceData_DensityOfMethane_Unit()</f>
        <v>kg/m3</v>
      </c>
      <c r="BN175" s="4"/>
      <c r="BO175" s="4"/>
      <c r="BP175" s="4"/>
    </row>
    <row r="176" spans="4:68" ht="20.100000000000001" customHeight="1" x14ac:dyDescent="0.25">
      <c r="BN176" s="4"/>
      <c r="BO176" s="4"/>
      <c r="BP176" s="4"/>
    </row>
    <row r="177" spans="4:68" ht="20.100000000000001" customHeight="1" x14ac:dyDescent="0.25">
      <c r="BN177" s="4"/>
      <c r="BO177" s="4"/>
      <c r="BP177" s="4"/>
    </row>
    <row r="178" spans="4:68" ht="20.100000000000001" customHeight="1" x14ac:dyDescent="0.25">
      <c r="D178" s="9" t="str" cm="1">
        <f t="array" ref="D178">Common_SourceData.Common_SourceData_EFN2O_Title()</f>
        <v>Nitrous oxide emission factors for inorganic fertiliser application</v>
      </c>
      <c r="BN178" s="4"/>
      <c r="BO178" s="4"/>
      <c r="BP178" s="4"/>
    </row>
    <row r="179" spans="4:68" ht="20.100000000000001" customHeight="1" x14ac:dyDescent="0.25">
      <c r="D179" s="11" t="str" cm="1">
        <f t="array" ref="D179">Common_SourceData.Common_SourceData_EFN2O_Source()</f>
        <v>VEERG 2026: Table A.2.2.1</v>
      </c>
      <c r="BN179" s="4"/>
      <c r="BO179" s="4"/>
      <c r="BP179" s="4"/>
    </row>
    <row r="180" spans="4:68" ht="20.100000000000001" customHeight="1" x14ac:dyDescent="0.25">
      <c r="D180" s="13" t="str" cm="1">
        <f t="array" ref="D180">Common_SourceData.Common_SourceData_EFN2O_Unit()</f>
        <v>(kg N2O-N / kg N</v>
      </c>
    </row>
    <row r="181" spans="4:68" ht="20.100000000000001" customHeight="1" x14ac:dyDescent="0.25">
      <c r="D181" s="12" t="str" cm="1">
        <f t="array" ref="D181:D185">Common_SourceData.Common_SourceData_EFN2O_Variation()</f>
        <v>VARIATION OF SOURCE DATA:</v>
      </c>
    </row>
    <row r="182" spans="4:68" ht="20.100000000000001" customHeight="1" x14ac:dyDescent="0.25">
      <c r="D182" s="12" t="str">
        <v>Removed duplicate 'Aquaculture' row.</v>
      </c>
    </row>
    <row r="183" spans="4:68" ht="20.100000000000001" customHeight="1" x14ac:dyDescent="0.25">
      <c r="D183" s="12" t="str">
        <v>Removed asterisks to aid lookup.</v>
      </c>
    </row>
    <row r="184" spans="4:68" ht="20.100000000000001" customHeight="1" x14ac:dyDescent="0.25">
      <c r="D184" s="12" t="str">
        <v>Added 'production system only', 'rainfall zone' and 'irrigation method' columns to aid lookup.</v>
      </c>
    </row>
    <row r="185" spans="4:68" ht="20.100000000000001" customHeight="1" x14ac:dyDescent="0.25">
      <c r="D185" s="12" t="str">
        <v>Duplicated 'non-irrigated pasture' row with same EF for low and high rainfall zones to aid lookup.</v>
      </c>
    </row>
    <row r="186" spans="4:68" ht="20.100000000000001" customHeight="1" x14ac:dyDescent="0.25">
      <c r="D186" s="10" t="s">
        <v>40</v>
      </c>
      <c r="E186" s="10" t="s">
        <v>41</v>
      </c>
      <c r="F186" s="10" t="s">
        <v>42</v>
      </c>
      <c r="G186" s="10" t="s">
        <v>43</v>
      </c>
      <c r="H186" s="10" t="s">
        <v>44</v>
      </c>
    </row>
    <row r="187" spans="4:68" ht="20.100000000000001" customHeight="1" x14ac:dyDescent="0.25">
      <c r="D187" s="10" t="str" cm="1">
        <f t="array" ref="D187">Common_InputFunctions.Utility_DisplayArrayInTable(Common_SourceData.Common_SourceData_EFN2O_Data(), Table_SourceData_Common_EFN2O[[#Headers],[Production system j]], 0)</f>
        <v>Irrigated pasture</v>
      </c>
      <c r="E187" s="10" cm="1">
        <f t="array" ref="E187">Common_InputFunctions.Utility_DisplayArrayInTable(Common_SourceData.Common_SourceData_EFN2O_Data(), Table_SourceData_Common_EFN2O[[#Headers],[Production system j]], 0)</f>
        <v>5.8999999999999999E-3</v>
      </c>
      <c r="F187" s="10" t="str" cm="1">
        <f t="array" ref="F187">Common_InputFunctions.Utility_DisplayArrayInTable(Common_SourceData.Common_SourceData_EFN2O_Data(), Table_SourceData_Common_EFN2O[[#Headers],[Production system j]], 0)</f>
        <v>Pasture</v>
      </c>
      <c r="G187" s="10" t="str" cm="1">
        <f t="array" ref="G187">Common_InputFunctions.Utility_DisplayArrayInTable(Common_SourceData.Common_SourceData_EFN2O_Data(), Table_SourceData_Common_EFN2O[[#Headers],[Production system j]], 0)</f>
        <v>Any</v>
      </c>
      <c r="H187" s="10" t="str" cm="1">
        <f t="array" ref="H187">Common_InputFunctions.Utility_DisplayArrayInTable(Common_SourceData.Common_SourceData_EFN2O_Data(), Table_SourceData_Common_EFN2O[[#Headers],[Production system j]], 0)</f>
        <v>Any</v>
      </c>
    </row>
    <row r="188" spans="4:68" ht="20.100000000000001" customHeight="1" x14ac:dyDescent="0.25">
      <c r="D188" s="10" t="str" cm="1">
        <f t="array" ref="D188">Common_InputFunctions.Utility_DisplayArrayInTable(Common_SourceData.Common_SourceData_EFN2O_Data(), Table_SourceData_Common_EFN2O[[#Headers],[Production system j]], 0)</f>
        <v>Irrigated crop</v>
      </c>
      <c r="E188" s="10" cm="1">
        <f t="array" ref="E188">Common_InputFunctions.Utility_DisplayArrayInTable(Common_SourceData.Common_SourceData_EFN2O_Data(), Table_SourceData_Common_EFN2O[[#Headers],[Production system j]], 0)</f>
        <v>7.0000000000000001E-3</v>
      </c>
      <c r="F188" s="10" t="str" cm="1">
        <f t="array" ref="F188">Common_InputFunctions.Utility_DisplayArrayInTable(Common_SourceData.Common_SourceData_EFN2O_Data(), Table_SourceData_Common_EFN2O[[#Headers],[Production system j]], 0)</f>
        <v>Crop</v>
      </c>
      <c r="G188" s="10" t="str" cm="1">
        <f t="array" ref="G188">Common_InputFunctions.Utility_DisplayArrayInTable(Common_SourceData.Common_SourceData_EFN2O_Data(), Table_SourceData_Common_EFN2O[[#Headers],[Production system j]], 0)</f>
        <v>Any</v>
      </c>
      <c r="H188" s="10" t="str" cm="1">
        <f t="array" ref="H188">Common_InputFunctions.Utility_DisplayArrayInTable(Common_SourceData.Common_SourceData_EFN2O_Data(), Table_SourceData_Common_EFN2O[[#Headers],[Production system j]], 0)</f>
        <v>Any</v>
      </c>
    </row>
    <row r="189" spans="4:68" ht="20.100000000000001" customHeight="1" x14ac:dyDescent="0.25">
      <c r="D189" s="10" t="str" cm="1">
        <f t="array" ref="D189">Common_InputFunctions.Utility_DisplayArrayInTable(Common_SourceData.Common_SourceData_EFN2O_Data(), Table_SourceData_Common_EFN2O[[#Headers],[Production system j]], 0)</f>
        <v>Non-irrigated pasture</v>
      </c>
      <c r="E189" s="10" cm="1">
        <f t="array" ref="E189">Common_InputFunctions.Utility_DisplayArrayInTable(Common_SourceData.Common_SourceData_EFN2O_Data(), Table_SourceData_Common_EFN2O[[#Headers],[Production system j]], 0)</f>
        <v>1.8E-3</v>
      </c>
      <c r="F189" s="10" t="str" cm="1">
        <f t="array" ref="F189">Common_InputFunctions.Utility_DisplayArrayInTable(Common_SourceData.Common_SourceData_EFN2O_Data(), Table_SourceData_Common_EFN2O[[#Headers],[Production system j]], 0)</f>
        <v>Pasture</v>
      </c>
      <c r="G189" s="10" t="str" cm="1">
        <f t="array" ref="G189">Common_InputFunctions.Utility_DisplayArrayInTable(Common_SourceData.Common_SourceData_EFN2O_Data(), Table_SourceData_Common_EFN2O[[#Headers],[Production system j]], 0)</f>
        <v>Not irrigated</v>
      </c>
      <c r="H189" s="10" t="str" cm="1">
        <f t="array" ref="H189">Common_InputFunctions.Utility_DisplayArrayInTable(Common_SourceData.Common_SourceData_EFN2O_Data(), Table_SourceData_Common_EFN2O[[#Headers],[Production system j]], 0)</f>
        <v>Low rainfall</v>
      </c>
    </row>
    <row r="190" spans="4:68" ht="20.100000000000001" customHeight="1" x14ac:dyDescent="0.25">
      <c r="D190" s="10" t="str" cm="1">
        <f t="array" ref="D190">Common_InputFunctions.Utility_DisplayArrayInTable(Common_SourceData.Common_SourceData_EFN2O_Data(), Table_SourceData_Common_EFN2O[[#Headers],[Production system j]], 0)</f>
        <v>Non-irrigated pasture</v>
      </c>
      <c r="E190" s="10" cm="1">
        <f t="array" ref="E190">Common_InputFunctions.Utility_DisplayArrayInTable(Common_SourceData.Common_SourceData_EFN2O_Data(), Table_SourceData_Common_EFN2O[[#Headers],[Production system j]], 0)</f>
        <v>1.8E-3</v>
      </c>
      <c r="F190" s="10" t="str" cm="1">
        <f t="array" ref="F190">Common_InputFunctions.Utility_DisplayArrayInTable(Common_SourceData.Common_SourceData_EFN2O_Data(), Table_SourceData_Common_EFN2O[[#Headers],[Production system j]], 0)</f>
        <v>Pasture</v>
      </c>
      <c r="G190" s="10" t="str" cm="1">
        <f t="array" ref="G190">Common_InputFunctions.Utility_DisplayArrayInTable(Common_SourceData.Common_SourceData_EFN2O_Data(), Table_SourceData_Common_EFN2O[[#Headers],[Production system j]], 0)</f>
        <v>Not irrigated</v>
      </c>
      <c r="H190" s="10"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10" t="str" cm="1">
        <f t="array" ref="D191">Common_InputFunctions.Utility_DisplayArrayInTable(Common_SourceData.Common_SourceData_EFN2O_Data(), Table_SourceData_Common_EFN2O[[#Headers],[Production system j]], 0)</f>
        <v>Non-irrigated crop (low rainfall)</v>
      </c>
      <c r="E191" s="10" cm="1">
        <f t="array" ref="E191">Common_InputFunctions.Utility_DisplayArrayInTable(Common_SourceData.Common_SourceData_EFN2O_Data(), Table_SourceData_Common_EFN2O[[#Headers],[Production system j]], 0)</f>
        <v>2.8999999999999998E-3</v>
      </c>
      <c r="F191" s="10" t="str" cm="1">
        <f t="array" ref="F191">Common_InputFunctions.Utility_DisplayArrayInTable(Common_SourceData.Common_SourceData_EFN2O_Data(), Table_SourceData_Common_EFN2O[[#Headers],[Production system j]], 0)</f>
        <v>Crop</v>
      </c>
      <c r="G191" s="10" t="str" cm="1">
        <f t="array" ref="G191">Common_InputFunctions.Utility_DisplayArrayInTable(Common_SourceData.Common_SourceData_EFN2O_Data(), Table_SourceData_Common_EFN2O[[#Headers],[Production system j]], 0)</f>
        <v>Not irrigated</v>
      </c>
      <c r="H191" s="10" t="str" cm="1">
        <f t="array" ref="H191">Common_InputFunctions.Utility_DisplayArrayInTable(Common_SourceData.Common_SourceData_EFN2O_Data(), Table_SourceData_Common_EFN2O[[#Headers],[Production system j]], 0)</f>
        <v>Low rainfall</v>
      </c>
    </row>
    <row r="192" spans="4:68" ht="20.100000000000001" customHeight="1" x14ac:dyDescent="0.25">
      <c r="D192" s="10" t="str" cm="1">
        <f t="array" ref="D192">Common_InputFunctions.Utility_DisplayArrayInTable(Common_SourceData.Common_SourceData_EFN2O_Data(), Table_SourceData_Common_EFN2O[[#Headers],[Production system j]], 0)</f>
        <v>Non-irrigated crop (high rainfall)</v>
      </c>
      <c r="E192" s="10" cm="1">
        <f t="array" ref="E192">Common_InputFunctions.Utility_DisplayArrayInTable(Common_SourceData.Common_SourceData_EFN2O_Data(), Table_SourceData_Common_EFN2O[[#Headers],[Production system j]], 0)</f>
        <v>8.0000000000000002E-3</v>
      </c>
      <c r="F192" s="10" t="str" cm="1">
        <f t="array" ref="F192">Common_InputFunctions.Utility_DisplayArrayInTable(Common_SourceData.Common_SourceData_EFN2O_Data(), Table_SourceData_Common_EFN2O[[#Headers],[Production system j]], 0)</f>
        <v>Crop</v>
      </c>
      <c r="G192" s="10" t="str" cm="1">
        <f t="array" ref="G192">Common_InputFunctions.Utility_DisplayArrayInTable(Common_SourceData.Common_SourceData_EFN2O_Data(), Table_SourceData_Common_EFN2O[[#Headers],[Production system j]], 0)</f>
        <v>Not irrigated</v>
      </c>
      <c r="H192" s="10" t="str" cm="1">
        <f t="array" ref="H192">Common_InputFunctions.Utility_DisplayArrayInTable(Common_SourceData.Common_SourceData_EFN2O_Data(), Table_SourceData_Common_EFN2O[[#Headers],[Production system j]], 0)</f>
        <v>High rainfall</v>
      </c>
    </row>
    <row r="193" spans="4:8" ht="20.100000000000001" customHeight="1" x14ac:dyDescent="0.25">
      <c r="D193" s="10" t="str" cm="1">
        <f t="array" ref="D193">Common_InputFunctions.Utility_DisplayArrayInTable(Common_SourceData.Common_SourceData_EFN2O_Data(), Table_SourceData_Common_EFN2O[[#Headers],[Production system j]], 0)</f>
        <v>Sugar</v>
      </c>
      <c r="E193" s="10" cm="1">
        <f t="array" ref="E193">Common_InputFunctions.Utility_DisplayArrayInTable(Common_SourceData.Common_SourceData_EFN2O_Data(), Table_SourceData_Common_EFN2O[[#Headers],[Production system j]], 0)</f>
        <v>1.9900000000000001E-2</v>
      </c>
      <c r="F193" s="10" t="str" cm="1">
        <f t="array" ref="F193">Common_InputFunctions.Utility_DisplayArrayInTable(Common_SourceData.Common_SourceData_EFN2O_Data(), Table_SourceData_Common_EFN2O[[#Headers],[Production system j]], 0)</f>
        <v>Sugar</v>
      </c>
      <c r="G193" s="10" t="str" cm="1">
        <f t="array" ref="G193">Common_InputFunctions.Utility_DisplayArrayInTable(Common_SourceData.Common_SourceData_EFN2O_Data(), Table_SourceData_Common_EFN2O[[#Headers],[Production system j]], 0)</f>
        <v>Any</v>
      </c>
      <c r="H193" s="10" t="str" cm="1">
        <f t="array" ref="H193">Common_InputFunctions.Utility_DisplayArrayInTable(Common_SourceData.Common_SourceData_EFN2O_Data(), Table_SourceData_Common_EFN2O[[#Headers],[Production system j]], 0)</f>
        <v>Any</v>
      </c>
    </row>
    <row r="194" spans="4:8" ht="20.100000000000001" customHeight="1" x14ac:dyDescent="0.25">
      <c r="D194" s="10" t="str" cm="1">
        <f t="array" ref="D194">Common_InputFunctions.Utility_DisplayArrayInTable(Common_SourceData.Common_SourceData_EFN2O_Data(), Table_SourceData_Common_EFN2O[[#Headers],[Production system j]], 0)</f>
        <v>Cotton</v>
      </c>
      <c r="E194" s="10" cm="1">
        <f t="array" ref="E194">Common_InputFunctions.Utility_DisplayArrayInTable(Common_SourceData.Common_SourceData_EFN2O_Data(), Table_SourceData_Common_EFN2O[[#Headers],[Production system j]], 0)</f>
        <v>5.3E-3</v>
      </c>
      <c r="F194" s="10" t="str" cm="1">
        <f t="array" ref="F194">Common_InputFunctions.Utility_DisplayArrayInTable(Common_SourceData.Common_SourceData_EFN2O_Data(), Table_SourceData_Common_EFN2O[[#Headers],[Production system j]], 0)</f>
        <v>Cotton</v>
      </c>
      <c r="G194" s="10" t="str" cm="1">
        <f t="array" ref="G194">Common_InputFunctions.Utility_DisplayArrayInTable(Common_SourceData.Common_SourceData_EFN2O_Data(), Table_SourceData_Common_EFN2O[[#Headers],[Production system j]], 0)</f>
        <v>Any</v>
      </c>
      <c r="H194" s="10" t="str" cm="1">
        <f t="array" ref="H194">Common_InputFunctions.Utility_DisplayArrayInTable(Common_SourceData.Common_SourceData_EFN2O_Data(), Table_SourceData_Common_EFN2O[[#Headers],[Production system j]], 0)</f>
        <v>Any</v>
      </c>
    </row>
    <row r="195" spans="4:8" ht="20.100000000000001" customHeight="1" x14ac:dyDescent="0.25">
      <c r="D195" s="10" t="str" cm="1">
        <f t="array" ref="D195">Common_InputFunctions.Utility_DisplayArrayInTable(Common_SourceData.Common_SourceData_EFN2O_Data(), Table_SourceData_Common_EFN2O[[#Headers],[Production system j]], 0)</f>
        <v>Horticultural crops</v>
      </c>
      <c r="E195" s="10" cm="1">
        <f t="array" ref="E195">Common_InputFunctions.Utility_DisplayArrayInTable(Common_SourceData.Common_SourceData_EFN2O_Data(), Table_SourceData_Common_EFN2O[[#Headers],[Production system j]], 0)</f>
        <v>6.4000000000000003E-3</v>
      </c>
      <c r="F195" s="10" t="str" cm="1">
        <f t="array" ref="F195">Common_InputFunctions.Utility_DisplayArrayInTable(Common_SourceData.Common_SourceData_EFN2O_Data(), Table_SourceData_Common_EFN2O[[#Headers],[Production system j]], 0)</f>
        <v>Horticultural crops</v>
      </c>
      <c r="G195" s="10" t="str" cm="1">
        <f t="array" ref="G195">Common_InputFunctions.Utility_DisplayArrayInTable(Common_SourceData.Common_SourceData_EFN2O_Data(), Table_SourceData_Common_EFN2O[[#Headers],[Production system j]], 0)</f>
        <v>Any</v>
      </c>
      <c r="H195" s="10" t="str" cm="1">
        <f t="array" ref="H195">Common_InputFunctions.Utility_DisplayArrayInTable(Common_SourceData.Common_SourceData_EFN2O_Data(), Table_SourceData_Common_EFN2O[[#Headers],[Production system j]], 0)</f>
        <v>Any</v>
      </c>
    </row>
    <row r="196" spans="4:8" ht="20.100000000000001" customHeight="1" x14ac:dyDescent="0.25">
      <c r="D196" s="10" t="str" cm="1">
        <f t="array" ref="D196">Common_InputFunctions.Utility_DisplayArrayInTable(Common_SourceData.Common_SourceData_EFN2O_Data(), Table_SourceData_Common_EFN2O[[#Headers],[Production system j]], 0)</f>
        <v>Rice (continuous flooding)</v>
      </c>
      <c r="E196" s="10" cm="1">
        <f t="array" ref="E196">Common_InputFunctions.Utility_DisplayArrayInTable(Common_SourceData.Common_SourceData_EFN2O_Data(), Table_SourceData_Common_EFN2O[[#Headers],[Production system j]], 0)</f>
        <v>3.0000000000000001E-3</v>
      </c>
      <c r="F196" s="10" t="str" cm="1">
        <f t="array" ref="F196">Common_InputFunctions.Utility_DisplayArrayInTable(Common_SourceData.Common_SourceData_EFN2O_Data(), Table_SourceData_Common_EFN2O[[#Headers],[Production system j]], 0)</f>
        <v>Rice</v>
      </c>
      <c r="G196" s="10" t="str" cm="1">
        <f t="array" ref="G196">Common_InputFunctions.Utility_DisplayArrayInTable(Common_SourceData.Common_SourceData_EFN2O_Data(), Table_SourceData_Common_EFN2O[[#Headers],[Production system j]], 0)</f>
        <v>Continuous flooding</v>
      </c>
      <c r="H196" s="10" t="str" cm="1">
        <f t="array" ref="H196">Common_InputFunctions.Utility_DisplayArrayInTable(Common_SourceData.Common_SourceData_EFN2O_Data(), Table_SourceData_Common_EFN2O[[#Headers],[Production system j]], 0)</f>
        <v>Any</v>
      </c>
    </row>
    <row r="197" spans="4:8" x14ac:dyDescent="0.25">
      <c r="D197" s="10" t="str" cm="1">
        <f t="array" ref="D197">Common_InputFunctions.Utility_DisplayArrayInTable(Common_SourceData.Common_SourceData_EFN2O_Data(), Table_SourceData_Common_EFN2O[[#Headers],[Production system j]], 0)</f>
        <v>Rice (single and multiple drainage, or alternate wetting and drying)</v>
      </c>
      <c r="E197" s="10" cm="1">
        <f t="array" ref="E197">Common_InputFunctions.Utility_DisplayArrayInTable(Common_SourceData.Common_SourceData_EFN2O_Data(), Table_SourceData_Common_EFN2O[[#Headers],[Production system j]], 0)</f>
        <v>5.0000000000000001E-3</v>
      </c>
      <c r="F197" s="10" t="str" cm="1">
        <f t="array" ref="F197">Common_InputFunctions.Utility_DisplayArrayInTable(Common_SourceData.Common_SourceData_EFN2O_Data(), Table_SourceData_Common_EFN2O[[#Headers],[Production system j]], 0)</f>
        <v>Rice</v>
      </c>
      <c r="G197" s="10" t="str" cm="1">
        <f t="array" ref="G197">Common_InputFunctions.Utility_DisplayArrayInTable(Common_SourceData.Common_SourceData_EFN2O_Data(), Table_SourceData_Common_EFN2O[[#Headers],[Production system j]], 0)</f>
        <v>Single and multiple drainage, or alternate wetting and drying</v>
      </c>
      <c r="H197" s="10" t="str" cm="1">
        <f t="array" ref="H197">Common_InputFunctions.Utility_DisplayArrayInTable(Common_SourceData.Common_SourceData_EFN2O_Data(), Table_SourceData_Common_EFN2O[[#Headers],[Production system j]], 0)</f>
        <v>Any</v>
      </c>
    </row>
    <row r="198" spans="4:8" x14ac:dyDescent="0.25">
      <c r="D198" s="10" t="str" cm="1">
        <f t="array" ref="D198">Common_InputFunctions.Utility_DisplayArrayInTable(Common_SourceData.Common_SourceData_EFN2O_Data(), Table_SourceData_Common_EFN2O[[#Headers],[Production system j]], 0)</f>
        <v>Aquaculture</v>
      </c>
      <c r="E198" s="10" cm="1">
        <f t="array" ref="E198">Common_InputFunctions.Utility_DisplayArrayInTable(Common_SourceData.Common_SourceData_EFN2O_Data(), Table_SourceData_Common_EFN2O[[#Headers],[Production system j]], 0)</f>
        <v>2.5999999999999999E-3</v>
      </c>
      <c r="F198" s="10" t="str" cm="1">
        <f t="array" ref="F198">Common_InputFunctions.Utility_DisplayArrayInTable(Common_SourceData.Common_SourceData_EFN2O_Data(), Table_SourceData_Common_EFN2O[[#Headers],[Production system j]], 0)</f>
        <v>Aquaculture</v>
      </c>
      <c r="G198" s="10" t="str" cm="1">
        <f t="array" ref="G198">Common_InputFunctions.Utility_DisplayArrayInTable(Common_SourceData.Common_SourceData_EFN2O_Data(), Table_SourceData_Common_EFN2O[[#Headers],[Production system j]], 0)</f>
        <v>Any</v>
      </c>
      <c r="H198" s="10" t="str" cm="1">
        <f t="array" ref="H198">Common_InputFunctions.Utility_DisplayArrayInTable(Common_SourceData.Common_SourceData_EFN2O_Data(), Table_SourceData_Common_EFN2O[[#Headers],[Production system j]], 0)</f>
        <v>Any</v>
      </c>
    </row>
    <row r="199" spans="4:8" x14ac:dyDescent="0.25">
      <c r="D199" s="10" t="str" cm="1">
        <f t="array" ref="D199">Common_InputFunctions.Utility_DisplayArrayInTable(Common_SourceData.Common_SourceData_EFN2O_Data(), Table_SourceData_Common_EFN2O[[#Headers],[Production system j]], 0)</f>
        <v>Forestry</v>
      </c>
      <c r="E199" s="10" cm="1">
        <f t="array" ref="E199">Common_InputFunctions.Utility_DisplayArrayInTable(Common_SourceData.Common_SourceData_EFN2O_Data(), Table_SourceData_Common_EFN2O[[#Headers],[Production system j]], 0)</f>
        <v>1.8E-3</v>
      </c>
      <c r="F199" s="10" t="str" cm="1">
        <f t="array" ref="F199">Common_InputFunctions.Utility_DisplayArrayInTable(Common_SourceData.Common_SourceData_EFN2O_Data(), Table_SourceData_Common_EFN2O[[#Headers],[Production system j]], 0)</f>
        <v>Forestry</v>
      </c>
      <c r="G199" s="10" t="str" cm="1">
        <f t="array" ref="G199">Common_InputFunctions.Utility_DisplayArrayInTable(Common_SourceData.Common_SourceData_EFN2O_Data(), Table_SourceData_Common_EFN2O[[#Headers],[Production system j]], 0)</f>
        <v>Any</v>
      </c>
      <c r="H199" s="10" t="str" cm="1">
        <f t="array" ref="H199">Common_InputFunctions.Utility_DisplayArrayInTable(Common_SourceData.Common_SourceData_EFN2O_Data(), Table_SourceData_Common_EFN2O[[#Headers],[Production system j]], 0)</f>
        <v>Any</v>
      </c>
    </row>
    <row r="202" spans="4:8" ht="23.25" x14ac:dyDescent="0.25">
      <c r="D202" s="9" t="str" cm="1">
        <f t="array" ref="D202">Common_SourceData.Common_SourceData_EFPastureRangeAndPaddock_Title()</f>
        <v>Emission factor for urine and dung deposited on pasture, range or paddock</v>
      </c>
    </row>
    <row r="203" spans="4:8" x14ac:dyDescent="0.25">
      <c r="D203" s="11" t="str" cm="1">
        <f t="array" ref="D203">Common_SourceData.Common_SourceData_EFPastureRangeAndPaddock_Source()</f>
        <v>VEERG 2026: Table A.2.2.2</v>
      </c>
    </row>
    <row r="204" spans="4:8" x14ac:dyDescent="0.25">
      <c r="D204" s="12" t="str" cm="1">
        <f t="array" ref="D204">Common_SourceData.Common_SourceData_EFPastureRangeAndPaddock_Variation()</f>
        <v>VARIATION FROM SOURCE DATA: Changed 'Dry climate zones' to singular 'Dry climate zone' to aid lookup.</v>
      </c>
    </row>
    <row r="205" spans="4:8" x14ac:dyDescent="0.25">
      <c r="D205" s="13" t="str" cm="1">
        <f t="array" ref="D205">Common_SourceData.Common_SourceData_EFPastureRangeAndPaddock_Unit()</f>
        <v>kg N2O - N / kg N</v>
      </c>
    </row>
    <row r="206" spans="4:8" x14ac:dyDescent="0.25">
      <c r="D206" s="10" t="s">
        <v>11</v>
      </c>
      <c r="E206" s="10" t="s">
        <v>45</v>
      </c>
    </row>
    <row r="207" spans="4:8" x14ac:dyDescent="0.25">
      <c r="D207" s="10" t="str" cm="1">
        <f t="array" ref="D207">Common_InputFunctions.Utility_DisplayArrayInTable(Common_SourceData.Common_SourceData_EFPastureRangeAndPaddock_Data(), Table_SourceData_EFPastureRangeAndPaddock[[#Headers],[Climate zone]], 0)</f>
        <v>Wet climate zone</v>
      </c>
      <c r="E207" s="10" cm="1">
        <f t="array" ref="E207">Common_InputFunctions.Utility_DisplayArrayInTable(Common_SourceData.Common_SourceData_EFPastureRangeAndPaddock_Data(), Table_SourceData_EFPastureRangeAndPaddock[[#Headers],[Climate zone]], 0)</f>
        <v>6.0000000000000001E-3</v>
      </c>
    </row>
    <row r="208" spans="4:8" x14ac:dyDescent="0.25">
      <c r="D208" s="8" t="str" cm="1">
        <f t="array" ref="D208">Common_InputFunctions.Utility_DisplayArrayInTable(Common_SourceData.Common_SourceData_EFPastureRangeAndPaddock_Data(), Table_SourceData_EFPastureRangeAndPaddock[[#Headers],[Climate zone]], 0)</f>
        <v>Dry climate zone</v>
      </c>
      <c r="E208" s="10" cm="1">
        <f t="array" ref="E208">Common_InputFunctions.Utility_DisplayArrayInTable(Common_SourceData.Common_SourceData_EFPastureRangeAndPaddock_Data(), Table_SourceData_EFPastureRangeAndPaddock[[#Headers],[Climate zone]], 0)</f>
        <v>2E-3</v>
      </c>
    </row>
    <row r="211" spans="4:5" x14ac:dyDescent="0.25">
      <c r="D211" s="8" t="str" cm="1">
        <f t="array" ref="D211">Common_SourceData.Common_SourceData_MonthsToSeasons_Title()</f>
        <v>Months to Seasons Mapping</v>
      </c>
    </row>
    <row r="212" spans="4:5" x14ac:dyDescent="0.25">
      <c r="D212" s="10" t="s">
        <v>46</v>
      </c>
      <c r="E212" s="10" t="s">
        <v>47</v>
      </c>
    </row>
    <row r="213" spans="4:5" x14ac:dyDescent="0.25">
      <c r="D213" s="10" t="str" cm="1">
        <f t="array" ref="D213">Common_InputFunctions.Utility_DisplayArrayInTable(Common_SourceData.Common_SourceData_MonthsToSeasons_Data(), Table_SourceData_Common_MonthToSeason[[#Headers],[Month]], 0)</f>
        <v>January</v>
      </c>
      <c r="E213" s="10" t="str" cm="1">
        <f t="array" ref="E213">Common_InputFunctions.Utility_DisplayArrayInTable(Common_SourceData.Common_SourceData_MonthsToSeasons_Data(), Table_SourceData_Common_MonthToSeason[[#Headers],[Month]], 0)</f>
        <v>Summer</v>
      </c>
    </row>
    <row r="214" spans="4:5" x14ac:dyDescent="0.25">
      <c r="D214" s="8" t="str" cm="1">
        <f t="array" ref="D214">Common_InputFunctions.Utility_DisplayArrayInTable(Common_SourceData.Common_SourceData_MonthsToSeasons_Data(), Table_SourceData_Common_MonthToSeason[[#Headers],[Month]], 0)</f>
        <v>February</v>
      </c>
      <c r="E214" s="10" t="str" cm="1">
        <f t="array" ref="E214">Common_InputFunctions.Utility_DisplayArrayInTable(Common_SourceData.Common_SourceData_MonthsToSeasons_Data(), Table_SourceData_Common_MonthToSeason[[#Headers],[Month]], 0)</f>
        <v>Summer</v>
      </c>
    </row>
    <row r="215" spans="4:5" x14ac:dyDescent="0.25">
      <c r="D215" s="8" t="str" cm="1">
        <f t="array" ref="D215">Common_InputFunctions.Utility_DisplayArrayInTable(Common_SourceData.Common_SourceData_MonthsToSeasons_Data(), Table_SourceData_Common_MonthToSeason[[#Headers],[Month]], 0)</f>
        <v>March</v>
      </c>
      <c r="E215" s="10" t="str" cm="1">
        <f t="array" ref="E215">Common_InputFunctions.Utility_DisplayArrayInTable(Common_SourceData.Common_SourceData_MonthsToSeasons_Data(), Table_SourceData_Common_MonthToSeason[[#Headers],[Month]], 0)</f>
        <v>Autumn</v>
      </c>
    </row>
    <row r="216" spans="4:5" x14ac:dyDescent="0.25">
      <c r="D216" s="8" t="str" cm="1">
        <f t="array" ref="D216">Common_InputFunctions.Utility_DisplayArrayInTable(Common_SourceData.Common_SourceData_MonthsToSeasons_Data(), Table_SourceData_Common_MonthToSeason[[#Headers],[Month]], 0)</f>
        <v>April</v>
      </c>
      <c r="E216" s="10" t="str" cm="1">
        <f t="array" ref="E216">Common_InputFunctions.Utility_DisplayArrayInTable(Common_SourceData.Common_SourceData_MonthsToSeasons_Data(), Table_SourceData_Common_MonthToSeason[[#Headers],[Month]], 0)</f>
        <v>Autumn</v>
      </c>
    </row>
    <row r="217" spans="4:5" x14ac:dyDescent="0.25">
      <c r="D217" s="8" t="str" cm="1">
        <f t="array" ref="D217">Common_InputFunctions.Utility_DisplayArrayInTable(Common_SourceData.Common_SourceData_MonthsToSeasons_Data(), Table_SourceData_Common_MonthToSeason[[#Headers],[Month]], 0)</f>
        <v>May</v>
      </c>
      <c r="E217" s="10" t="str" cm="1">
        <f t="array" ref="E217">Common_InputFunctions.Utility_DisplayArrayInTable(Common_SourceData.Common_SourceData_MonthsToSeasons_Data(), Table_SourceData_Common_MonthToSeason[[#Headers],[Month]], 0)</f>
        <v>Autumn</v>
      </c>
    </row>
    <row r="218" spans="4:5" x14ac:dyDescent="0.25">
      <c r="D218" s="8" t="str" cm="1">
        <f t="array" ref="D218">Common_InputFunctions.Utility_DisplayArrayInTable(Common_SourceData.Common_SourceData_MonthsToSeasons_Data(), Table_SourceData_Common_MonthToSeason[[#Headers],[Month]], 0)</f>
        <v>June</v>
      </c>
      <c r="E218" s="10" t="str" cm="1">
        <f t="array" ref="E218">Common_InputFunctions.Utility_DisplayArrayInTable(Common_SourceData.Common_SourceData_MonthsToSeasons_Data(), Table_SourceData_Common_MonthToSeason[[#Headers],[Month]], 0)</f>
        <v>Winter</v>
      </c>
    </row>
    <row r="219" spans="4:5" x14ac:dyDescent="0.25">
      <c r="D219" s="8" t="str" cm="1">
        <f t="array" ref="D219">Common_InputFunctions.Utility_DisplayArrayInTable(Common_SourceData.Common_SourceData_MonthsToSeasons_Data(), Table_SourceData_Common_MonthToSeason[[#Headers],[Month]], 0)</f>
        <v>July</v>
      </c>
      <c r="E219" s="10" t="str" cm="1">
        <f t="array" ref="E219">Common_InputFunctions.Utility_DisplayArrayInTable(Common_SourceData.Common_SourceData_MonthsToSeasons_Data(), Table_SourceData_Common_MonthToSeason[[#Headers],[Month]], 0)</f>
        <v>Winter</v>
      </c>
    </row>
    <row r="220" spans="4:5" x14ac:dyDescent="0.25">
      <c r="D220" s="8" t="str" cm="1">
        <f t="array" ref="D220">Common_InputFunctions.Utility_DisplayArrayInTable(Common_SourceData.Common_SourceData_MonthsToSeasons_Data(), Table_SourceData_Common_MonthToSeason[[#Headers],[Month]], 0)</f>
        <v>August</v>
      </c>
      <c r="E220" s="10" t="str" cm="1">
        <f t="array" ref="E220">Common_InputFunctions.Utility_DisplayArrayInTable(Common_SourceData.Common_SourceData_MonthsToSeasons_Data(), Table_SourceData_Common_MonthToSeason[[#Headers],[Month]], 0)</f>
        <v>Winter</v>
      </c>
    </row>
    <row r="221" spans="4:5" x14ac:dyDescent="0.25">
      <c r="D221" s="8" t="str" cm="1">
        <f t="array" ref="D221">Common_InputFunctions.Utility_DisplayArrayInTable(Common_SourceData.Common_SourceData_MonthsToSeasons_Data(), Table_SourceData_Common_MonthToSeason[[#Headers],[Month]], 0)</f>
        <v>September</v>
      </c>
      <c r="E221" s="10" t="str" cm="1">
        <f t="array" ref="E221">Common_InputFunctions.Utility_DisplayArrayInTable(Common_SourceData.Common_SourceData_MonthsToSeasons_Data(), Table_SourceData_Common_MonthToSeason[[#Headers],[Month]], 0)</f>
        <v>Spring</v>
      </c>
    </row>
    <row r="222" spans="4:5" x14ac:dyDescent="0.25">
      <c r="D222" s="8" t="str" cm="1">
        <f t="array" ref="D222">Common_InputFunctions.Utility_DisplayArrayInTable(Common_SourceData.Common_SourceData_MonthsToSeasons_Data(), Table_SourceData_Common_MonthToSeason[[#Headers],[Month]], 0)</f>
        <v>October</v>
      </c>
      <c r="E222" s="10" t="str" cm="1">
        <f t="array" ref="E222">Common_InputFunctions.Utility_DisplayArrayInTable(Common_SourceData.Common_SourceData_MonthsToSeasons_Data(), Table_SourceData_Common_MonthToSeason[[#Headers],[Month]], 0)</f>
        <v>Spring</v>
      </c>
    </row>
    <row r="223" spans="4:5" x14ac:dyDescent="0.25">
      <c r="D223" s="8" t="str" cm="1">
        <f t="array" ref="D223">Common_InputFunctions.Utility_DisplayArrayInTable(Common_SourceData.Common_SourceData_MonthsToSeasons_Data(), Table_SourceData_Common_MonthToSeason[[#Headers],[Month]], 0)</f>
        <v>November</v>
      </c>
      <c r="E223" s="10" t="str" cm="1">
        <f t="array" ref="E223">Common_InputFunctions.Utility_DisplayArrayInTable(Common_SourceData.Common_SourceData_MonthsToSeasons_Data(), Table_SourceData_Common_MonthToSeason[[#Headers],[Month]], 0)</f>
        <v>Spring</v>
      </c>
    </row>
    <row r="224" spans="4:5" x14ac:dyDescent="0.25">
      <c r="D224" s="8" t="str" cm="1">
        <f t="array" ref="D224">Common_InputFunctions.Utility_DisplayArrayInTable(Common_SourceData.Common_SourceData_MonthsToSeasons_Data(), Table_SourceData_Common_MonthToSeason[[#Headers],[Month]], 0)</f>
        <v>December</v>
      </c>
      <c r="E224" s="10" t="str" cm="1">
        <f t="array" ref="E224">Common_InputFunctions.Utility_DisplayArrayInTable(Common_SourceData.Common_SourceData_MonthsToSeasons_Data(), Table_SourceData_Common_MonthToSeason[[#Headers],[Month]], 0)</f>
        <v>Summer</v>
      </c>
    </row>
    <row r="227" spans="4:19" ht="23.25" x14ac:dyDescent="0.25">
      <c r="D227" s="9" t="str" cm="1">
        <f t="array" ref="D227">Common_SourceData.Common_SourceData_MCFTemperatureZone_Title()</f>
        <v>Manure Management – Methane conversion factor per temperature zone (fraction) (MCFim)</v>
      </c>
    </row>
    <row r="228" spans="4:19" x14ac:dyDescent="0.25">
      <c r="D228" s="11" t="str" cm="1">
        <f t="array" ref="D228">Common_SourceData.Common_SourceData_MCFTemperatureZone_Source()</f>
        <v>VEERG 2026: Table A.1.8.1</v>
      </c>
    </row>
    <row r="229" spans="4:19" x14ac:dyDescent="0.25">
      <c r="D229" s="12"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10" t="s">
        <v>48</v>
      </c>
      <c r="E231" s="10" t="s">
        <v>49</v>
      </c>
      <c r="F231" s="15" t="s">
        <v>50</v>
      </c>
      <c r="G231" s="10" t="s">
        <v>51</v>
      </c>
      <c r="H231" s="10" t="s">
        <v>52</v>
      </c>
      <c r="I231" s="10" t="s">
        <v>53</v>
      </c>
      <c r="J231" s="10" t="s">
        <v>54</v>
      </c>
      <c r="K231" s="10" t="s">
        <v>55</v>
      </c>
      <c r="L231" s="10" t="s">
        <v>56</v>
      </c>
      <c r="M231" s="10" t="s">
        <v>57</v>
      </c>
      <c r="N231" s="10" t="s">
        <v>58</v>
      </c>
      <c r="O231" s="10" t="s">
        <v>59</v>
      </c>
      <c r="P231" s="10" t="s">
        <v>60</v>
      </c>
      <c r="Q231" s="10" t="s">
        <v>61</v>
      </c>
      <c r="R231" s="10" t="s">
        <v>62</v>
      </c>
      <c r="S231" s="10" t="s">
        <v>63</v>
      </c>
    </row>
    <row r="232" spans="4:19" x14ac:dyDescent="0.25">
      <c r="D232" s="10" t="str" cm="1">
        <f t="array" ref="D232">Common_InputFunctions.Utility_DisplayArrayInTable(Common_SourceData.Common_SourceData_MCFTemperatureZone_Data(),Table_SourceData_Common_MCFTemperatureZone[[#Headers],[Temperature zone]],0)</f>
        <v>Cool</v>
      </c>
      <c r="E232" s="10" t="str" cm="1">
        <f t="array" ref="E232">Common_InputFunctions.Utility_DisplayArrayInTable(Common_SourceData.Common_SourceData_MCFTemperatureZone_Data(),Table_SourceData_Common_MCFTemperatureZone[[#Headers],[Temperature zone]],0)</f>
        <v>≤10</v>
      </c>
      <c r="F232" s="10" cm="1">
        <f t="array" ref="F232">Common_InputFunctions.Utility_DisplayArrayInTable(Common_SourceData.Common_SourceData_MCFTemperatureZone_Data(),Table_SourceData_Common_MCFTemperatureZone[[#Headers],[Temperature zone]],0)</f>
        <v>0.66</v>
      </c>
      <c r="G232" s="10" cm="1">
        <f t="array" ref="G232">Common_InputFunctions.Utility_DisplayArrayInTable(Common_SourceData.Common_SourceData_MCFTemperatureZone_Data(),Table_SourceData_Common_MCFTemperatureZone[[#Headers],[Temperature zone]],0)</f>
        <v>0.1</v>
      </c>
      <c r="H232" s="10" cm="1">
        <f t="array" ref="H232">Common_InputFunctions.Utility_DisplayArrayInTable(Common_SourceData.Common_SourceData_MCFTemperatureZone_Data(),Table_SourceData_Common_MCFTemperatureZone[[#Headers],[Temperature zone]],0)</f>
        <v>0.1</v>
      </c>
      <c r="I232" s="10" cm="1">
        <f t="array" ref="I232">Common_InputFunctions.Utility_DisplayArrayInTable(Common_SourceData.Common_SourceData_MCFTemperatureZone_Data(),Table_SourceData_Common_MCFTemperatureZone[[#Headers],[Temperature zone]],0)</f>
        <v>1E-3</v>
      </c>
      <c r="J232" s="10" cm="1">
        <f t="array" ref="J232">Common_InputFunctions.Utility_DisplayArrayInTable(Common_SourceData.Common_SourceData_MCFTemperatureZone_Data(),Table_SourceData_Common_MCFTemperatureZone[[#Headers],[Temperature zone]],0)</f>
        <v>5.0000000000000001E-3</v>
      </c>
      <c r="K232" s="10" cm="1">
        <f t="array" ref="K232">Common_InputFunctions.Utility_DisplayArrayInTable(Common_SourceData.Common_SourceData_MCFTemperatureZone_Data(),Table_SourceData_Common_MCFTemperatureZone[[#Headers],[Temperature zone]],0)</f>
        <v>0.02</v>
      </c>
      <c r="L232" s="10" cm="1">
        <f t="array" ref="L232">Common_InputFunctions.Utility_DisplayArrayInTable(Common_SourceData.Common_SourceData_MCFTemperatureZone_Data(),Table_SourceData_Common_MCFTemperatureZone[[#Headers],[Temperature zone]],0)</f>
        <v>0.03</v>
      </c>
      <c r="M232" s="10" cm="1">
        <f t="array" ref="M232">Common_InputFunctions.Utility_DisplayArrayInTable(Common_SourceData.Common_SourceData_MCFTemperatureZone_Data(),Table_SourceData_Common_MCFTemperatureZone[[#Headers],[Temperature zone]],0)</f>
        <v>0.04</v>
      </c>
      <c r="N232" s="10" cm="1">
        <f t="array" ref="N232">Common_InputFunctions.Utility_DisplayArrayInTable(Common_SourceData.Common_SourceData_MCFTemperatureZone_Data(),Table_SourceData_Common_MCFTemperatureZone[[#Headers],[Temperature zone]],0)</f>
        <v>1.4999999999999999E-2</v>
      </c>
      <c r="O232" s="10" cm="1">
        <f t="array" ref="O232">Common_InputFunctions.Utility_DisplayArrayInTable(Common_SourceData.Common_SourceData_MCFTemperatureZone_Data(),Table_SourceData_Common_MCFTemperatureZone[[#Headers],[Temperature zone]],0)</f>
        <v>1.4999999999999999E-2</v>
      </c>
      <c r="P232" s="10" cm="1">
        <f t="array" ref="P232">Common_InputFunctions.Utility_DisplayArrayInTable(Common_SourceData.Common_SourceData_MCFTemperatureZone_Data(),Table_SourceData_Common_MCFTemperatureZone[[#Headers],[Temperature zone]],0)</f>
        <v>0</v>
      </c>
      <c r="Q232" s="10" cm="1">
        <f t="array" ref="Q232">Common_InputFunctions.Utility_DisplayArrayInTable(Common_SourceData.Common_SourceData_MCFTemperatureZone_Data(),Table_SourceData_Common_MCFTemperatureZone[[#Headers],[Temperature zone]],0)</f>
        <v>0</v>
      </c>
      <c r="R232" s="10" cm="1">
        <f t="array" ref="R232">Common_InputFunctions.Utility_DisplayArrayInTable(Common_SourceData.Common_SourceData_MCFTemperatureZone_Data(),Table_SourceData_Common_MCFTemperatureZone[[#Headers],[Temperature zone]],0)</f>
        <v>4.7000000000000002E-3</v>
      </c>
      <c r="S232" s="10" cm="1">
        <f t="array" ref="S232">Common_InputFunctions.Utility_DisplayArrayInTable(Common_SourceData.Common_SourceData_MCFTemperatureZone_Data(),Table_SourceData_Common_MCFTemperatureZone[[#Headers],[Temperature zone]],0)</f>
        <v>10</v>
      </c>
    </row>
    <row r="233" spans="4:19" x14ac:dyDescent="0.25">
      <c r="D233" s="8" t="str" cm="1">
        <f t="array" ref="D233">Common_InputFunctions.Utility_DisplayArrayInTable(Common_SourceData.Common_SourceData_MCFTemperatureZone_Data(),Table_SourceData_Common_MCFTemperatureZone[[#Headers],[Temperature zone]],0)</f>
        <v>Cool</v>
      </c>
      <c r="E233" s="10" cm="1">
        <f t="array" ref="E233">Common_InputFunctions.Utility_DisplayArrayInTable(Common_SourceData.Common_SourceData_MCFTemperatureZone_Data(),Table_SourceData_Common_MCFTemperatureZone[[#Headers],[Temperature zone]],0)</f>
        <v>11</v>
      </c>
      <c r="F233" s="10" cm="1">
        <f t="array" ref="F233">Common_InputFunctions.Utility_DisplayArrayInTable(Common_SourceData.Common_SourceData_MCFTemperatureZone_Data(),Table_SourceData_Common_MCFTemperatureZone[[#Headers],[Temperature zone]],0)</f>
        <v>0.68</v>
      </c>
      <c r="G233" s="10" cm="1">
        <f t="array" ref="G233">Common_InputFunctions.Utility_DisplayArrayInTable(Common_SourceData.Common_SourceData_MCFTemperatureZone_Data(),Table_SourceData_Common_MCFTemperatureZone[[#Headers],[Temperature zone]],0)</f>
        <v>0.1</v>
      </c>
      <c r="H233" s="10" cm="1">
        <f t="array" ref="H233">Common_InputFunctions.Utility_DisplayArrayInTable(Common_SourceData.Common_SourceData_MCFTemperatureZone_Data(),Table_SourceData_Common_MCFTemperatureZone[[#Headers],[Temperature zone]],0)</f>
        <v>0.11</v>
      </c>
      <c r="I233" s="10" cm="1">
        <f t="array" ref="I233">Common_InputFunctions.Utility_DisplayArrayInTable(Common_SourceData.Common_SourceData_MCFTemperatureZone_Data(),Table_SourceData_Common_MCFTemperatureZone[[#Headers],[Temperature zone]],0)</f>
        <v>1E-3</v>
      </c>
      <c r="J233" s="10" cm="1">
        <f t="array" ref="J233">Common_InputFunctions.Utility_DisplayArrayInTable(Common_SourceData.Common_SourceData_MCFTemperatureZone_Data(),Table_SourceData_Common_MCFTemperatureZone[[#Headers],[Temperature zone]],0)</f>
        <v>5.0000000000000001E-3</v>
      </c>
      <c r="K233" s="10" cm="1">
        <f t="array" ref="K233">Common_InputFunctions.Utility_DisplayArrayInTable(Common_SourceData.Common_SourceData_MCFTemperatureZone_Data(),Table_SourceData_Common_MCFTemperatureZone[[#Headers],[Temperature zone]],0)</f>
        <v>0.02</v>
      </c>
      <c r="L233" s="10" cm="1">
        <f t="array" ref="L233">Common_InputFunctions.Utility_DisplayArrayInTable(Common_SourceData.Common_SourceData_MCFTemperatureZone_Data(),Table_SourceData_Common_MCFTemperatureZone[[#Headers],[Temperature zone]],0)</f>
        <v>0.03</v>
      </c>
      <c r="M233" s="10" cm="1">
        <f t="array" ref="M233">Common_InputFunctions.Utility_DisplayArrayInTable(Common_SourceData.Common_SourceData_MCFTemperatureZone_Data(),Table_SourceData_Common_MCFTemperatureZone[[#Headers],[Temperature zone]],0)</f>
        <v>0.04</v>
      </c>
      <c r="N233" s="10" cm="1">
        <f t="array" ref="N233">Common_InputFunctions.Utility_DisplayArrayInTable(Common_SourceData.Common_SourceData_MCFTemperatureZone_Data(),Table_SourceData_Common_MCFTemperatureZone[[#Headers],[Temperature zone]],0)</f>
        <v>1.4999999999999999E-2</v>
      </c>
      <c r="O233" s="10" cm="1">
        <f t="array" ref="O233">Common_InputFunctions.Utility_DisplayArrayInTable(Common_SourceData.Common_SourceData_MCFTemperatureZone_Data(),Table_SourceData_Common_MCFTemperatureZone[[#Headers],[Temperature zone]],0)</f>
        <v>1.4999999999999999E-2</v>
      </c>
      <c r="P233" s="10" cm="1">
        <f t="array" ref="P233">Common_InputFunctions.Utility_DisplayArrayInTable(Common_SourceData.Common_SourceData_MCFTemperatureZone_Data(),Table_SourceData_Common_MCFTemperatureZone[[#Headers],[Temperature zone]],0)</f>
        <v>0</v>
      </c>
      <c r="Q233" s="10" cm="1">
        <f t="array" ref="Q233">Common_InputFunctions.Utility_DisplayArrayInTable(Common_SourceData.Common_SourceData_MCFTemperatureZone_Data(),Table_SourceData_Common_MCFTemperatureZone[[#Headers],[Temperature zone]],0)</f>
        <v>0</v>
      </c>
      <c r="R233" s="10" cm="1">
        <f t="array" ref="R233">Common_InputFunctions.Utility_DisplayArrayInTable(Common_SourceData.Common_SourceData_MCFTemperatureZone_Data(),Table_SourceData_Common_MCFTemperatureZone[[#Headers],[Temperature zone]],0)</f>
        <v>4.7000000000000002E-3</v>
      </c>
      <c r="S233" s="10" cm="1">
        <f t="array" ref="S233">Common_InputFunctions.Utility_DisplayArrayInTable(Common_SourceData.Common_SourceData_MCFTemperatureZone_Data(),Table_SourceData_Common_MCFTemperatureZone[[#Headers],[Temperature zone]],0)</f>
        <v>11</v>
      </c>
    </row>
    <row r="234" spans="4:19" x14ac:dyDescent="0.25">
      <c r="D234" s="8" t="str" cm="1">
        <f t="array" ref="D234">Common_InputFunctions.Utility_DisplayArrayInTable(Common_SourceData.Common_SourceData_MCFTemperatureZone_Data(),Table_SourceData_Common_MCFTemperatureZone[[#Headers],[Temperature zone]],0)</f>
        <v>Cool</v>
      </c>
      <c r="E234" s="10" cm="1">
        <f t="array" ref="E234">Common_InputFunctions.Utility_DisplayArrayInTable(Common_SourceData.Common_SourceData_MCFTemperatureZone_Data(),Table_SourceData_Common_MCFTemperatureZone[[#Headers],[Temperature zone]],0)</f>
        <v>12</v>
      </c>
      <c r="F234" s="10" cm="1">
        <f t="array" ref="F234">Common_InputFunctions.Utility_DisplayArrayInTable(Common_SourceData.Common_SourceData_MCFTemperatureZone_Data(),Table_SourceData_Common_MCFTemperatureZone[[#Headers],[Temperature zone]],0)</f>
        <v>0.7</v>
      </c>
      <c r="G234" s="10" cm="1">
        <f t="array" ref="G234">Common_InputFunctions.Utility_DisplayArrayInTable(Common_SourceData.Common_SourceData_MCFTemperatureZone_Data(),Table_SourceData_Common_MCFTemperatureZone[[#Headers],[Temperature zone]],0)</f>
        <v>0.1</v>
      </c>
      <c r="H234" s="10" cm="1">
        <f t="array" ref="H234">Common_InputFunctions.Utility_DisplayArrayInTable(Common_SourceData.Common_SourceData_MCFTemperatureZone_Data(),Table_SourceData_Common_MCFTemperatureZone[[#Headers],[Temperature zone]],0)</f>
        <v>0.13</v>
      </c>
      <c r="I234" s="10" cm="1">
        <f t="array" ref="I234">Common_InputFunctions.Utility_DisplayArrayInTable(Common_SourceData.Common_SourceData_MCFTemperatureZone_Data(),Table_SourceData_Common_MCFTemperatureZone[[#Headers],[Temperature zone]],0)</f>
        <v>1E-3</v>
      </c>
      <c r="J234" s="10" cm="1">
        <f t="array" ref="J234">Common_InputFunctions.Utility_DisplayArrayInTable(Common_SourceData.Common_SourceData_MCFTemperatureZone_Data(),Table_SourceData_Common_MCFTemperatureZone[[#Headers],[Temperature zone]],0)</f>
        <v>5.0000000000000001E-3</v>
      </c>
      <c r="K234" s="10" cm="1">
        <f t="array" ref="K234">Common_InputFunctions.Utility_DisplayArrayInTable(Common_SourceData.Common_SourceData_MCFTemperatureZone_Data(),Table_SourceData_Common_MCFTemperatureZone[[#Headers],[Temperature zone]],0)</f>
        <v>0.02</v>
      </c>
      <c r="L234" s="10" cm="1">
        <f t="array" ref="L234">Common_InputFunctions.Utility_DisplayArrayInTable(Common_SourceData.Common_SourceData_MCFTemperatureZone_Data(),Table_SourceData_Common_MCFTemperatureZone[[#Headers],[Temperature zone]],0)</f>
        <v>0.03</v>
      </c>
      <c r="M234" s="10" cm="1">
        <f t="array" ref="M234">Common_InputFunctions.Utility_DisplayArrayInTable(Common_SourceData.Common_SourceData_MCFTemperatureZone_Data(),Table_SourceData_Common_MCFTemperatureZone[[#Headers],[Temperature zone]],0)</f>
        <v>0.04</v>
      </c>
      <c r="N234" s="10" cm="1">
        <f t="array" ref="N234">Common_InputFunctions.Utility_DisplayArrayInTable(Common_SourceData.Common_SourceData_MCFTemperatureZone_Data(),Table_SourceData_Common_MCFTemperatureZone[[#Headers],[Temperature zone]],0)</f>
        <v>1.4999999999999999E-2</v>
      </c>
      <c r="O234" s="10" cm="1">
        <f t="array" ref="O234">Common_InputFunctions.Utility_DisplayArrayInTable(Common_SourceData.Common_SourceData_MCFTemperatureZone_Data(),Table_SourceData_Common_MCFTemperatureZone[[#Headers],[Temperature zone]],0)</f>
        <v>1.4999999999999999E-2</v>
      </c>
      <c r="P234" s="10" cm="1">
        <f t="array" ref="P234">Common_InputFunctions.Utility_DisplayArrayInTable(Common_SourceData.Common_SourceData_MCFTemperatureZone_Data(),Table_SourceData_Common_MCFTemperatureZone[[#Headers],[Temperature zone]],0)</f>
        <v>0</v>
      </c>
      <c r="Q234" s="10" cm="1">
        <f t="array" ref="Q234">Common_InputFunctions.Utility_DisplayArrayInTable(Common_SourceData.Common_SourceData_MCFTemperatureZone_Data(),Table_SourceData_Common_MCFTemperatureZone[[#Headers],[Temperature zone]],0)</f>
        <v>0</v>
      </c>
      <c r="R234" s="10" cm="1">
        <f t="array" ref="R234">Common_InputFunctions.Utility_DisplayArrayInTable(Common_SourceData.Common_SourceData_MCFTemperatureZone_Data(),Table_SourceData_Common_MCFTemperatureZone[[#Headers],[Temperature zone]],0)</f>
        <v>4.7000000000000002E-3</v>
      </c>
      <c r="S234" s="10" cm="1">
        <f t="array" ref="S234">Common_InputFunctions.Utility_DisplayArrayInTable(Common_SourceData.Common_SourceData_MCFTemperatureZone_Data(),Table_SourceData_Common_MCFTemperatureZone[[#Headers],[Temperature zone]],0)</f>
        <v>12</v>
      </c>
    </row>
    <row r="235" spans="4:19" x14ac:dyDescent="0.25">
      <c r="D235" s="8" t="str" cm="1">
        <f t="array" ref="D235">Common_InputFunctions.Utility_DisplayArrayInTable(Common_SourceData.Common_SourceData_MCFTemperatureZone_Data(),Table_SourceData_Common_MCFTemperatureZone[[#Headers],[Temperature zone]],0)</f>
        <v>Cool</v>
      </c>
      <c r="E235" s="10" cm="1">
        <f t="array" ref="E235">Common_InputFunctions.Utility_DisplayArrayInTable(Common_SourceData.Common_SourceData_MCFTemperatureZone_Data(),Table_SourceData_Common_MCFTemperatureZone[[#Headers],[Temperature zone]],0)</f>
        <v>13</v>
      </c>
      <c r="F235" s="10" cm="1">
        <f t="array" ref="F235">Common_InputFunctions.Utility_DisplayArrayInTable(Common_SourceData.Common_SourceData_MCFTemperatureZone_Data(),Table_SourceData_Common_MCFTemperatureZone[[#Headers],[Temperature zone]],0)</f>
        <v>0.71</v>
      </c>
      <c r="G235" s="10" cm="1">
        <f t="array" ref="G235">Common_InputFunctions.Utility_DisplayArrayInTable(Common_SourceData.Common_SourceData_MCFTemperatureZone_Data(),Table_SourceData_Common_MCFTemperatureZone[[#Headers],[Temperature zone]],0)</f>
        <v>0.1</v>
      </c>
      <c r="H235" s="10" cm="1">
        <f t="array" ref="H235">Common_InputFunctions.Utility_DisplayArrayInTable(Common_SourceData.Common_SourceData_MCFTemperatureZone_Data(),Table_SourceData_Common_MCFTemperatureZone[[#Headers],[Temperature zone]],0)</f>
        <v>0.14000000000000001</v>
      </c>
      <c r="I235" s="10" cm="1">
        <f t="array" ref="I235">Common_InputFunctions.Utility_DisplayArrayInTable(Common_SourceData.Common_SourceData_MCFTemperatureZone_Data(),Table_SourceData_Common_MCFTemperatureZone[[#Headers],[Temperature zone]],0)</f>
        <v>1E-3</v>
      </c>
      <c r="J235" s="10" cm="1">
        <f t="array" ref="J235">Common_InputFunctions.Utility_DisplayArrayInTable(Common_SourceData.Common_SourceData_MCFTemperatureZone_Data(),Table_SourceData_Common_MCFTemperatureZone[[#Headers],[Temperature zone]],0)</f>
        <v>5.0000000000000001E-3</v>
      </c>
      <c r="K235" s="10" cm="1">
        <f t="array" ref="K235">Common_InputFunctions.Utility_DisplayArrayInTable(Common_SourceData.Common_SourceData_MCFTemperatureZone_Data(),Table_SourceData_Common_MCFTemperatureZone[[#Headers],[Temperature zone]],0)</f>
        <v>0.02</v>
      </c>
      <c r="L235" s="10" cm="1">
        <f t="array" ref="L235">Common_InputFunctions.Utility_DisplayArrayInTable(Common_SourceData.Common_SourceData_MCFTemperatureZone_Data(),Table_SourceData_Common_MCFTemperatureZone[[#Headers],[Temperature zone]],0)</f>
        <v>0.03</v>
      </c>
      <c r="M235" s="10" cm="1">
        <f t="array" ref="M235">Common_InputFunctions.Utility_DisplayArrayInTable(Common_SourceData.Common_SourceData_MCFTemperatureZone_Data(),Table_SourceData_Common_MCFTemperatureZone[[#Headers],[Temperature zone]],0)</f>
        <v>0.04</v>
      </c>
      <c r="N235" s="10" cm="1">
        <f t="array" ref="N235">Common_InputFunctions.Utility_DisplayArrayInTable(Common_SourceData.Common_SourceData_MCFTemperatureZone_Data(),Table_SourceData_Common_MCFTemperatureZone[[#Headers],[Temperature zone]],0)</f>
        <v>1.4999999999999999E-2</v>
      </c>
      <c r="O235" s="10" cm="1">
        <f t="array" ref="O235">Common_InputFunctions.Utility_DisplayArrayInTable(Common_SourceData.Common_SourceData_MCFTemperatureZone_Data(),Table_SourceData_Common_MCFTemperatureZone[[#Headers],[Temperature zone]],0)</f>
        <v>1.4999999999999999E-2</v>
      </c>
      <c r="P235" s="10" cm="1">
        <f t="array" ref="P235">Common_InputFunctions.Utility_DisplayArrayInTable(Common_SourceData.Common_SourceData_MCFTemperatureZone_Data(),Table_SourceData_Common_MCFTemperatureZone[[#Headers],[Temperature zone]],0)</f>
        <v>0</v>
      </c>
      <c r="Q235" s="10" cm="1">
        <f t="array" ref="Q235">Common_InputFunctions.Utility_DisplayArrayInTable(Common_SourceData.Common_SourceData_MCFTemperatureZone_Data(),Table_SourceData_Common_MCFTemperatureZone[[#Headers],[Temperature zone]],0)</f>
        <v>0</v>
      </c>
      <c r="R235" s="10" cm="1">
        <f t="array" ref="R235">Common_InputFunctions.Utility_DisplayArrayInTable(Common_SourceData.Common_SourceData_MCFTemperatureZone_Data(),Table_SourceData_Common_MCFTemperatureZone[[#Headers],[Temperature zone]],0)</f>
        <v>4.7000000000000002E-3</v>
      </c>
      <c r="S235" s="10" cm="1">
        <f t="array" ref="S235">Common_InputFunctions.Utility_DisplayArrayInTable(Common_SourceData.Common_SourceData_MCFTemperatureZone_Data(),Table_SourceData_Common_MCFTemperatureZone[[#Headers],[Temperature zone]],0)</f>
        <v>13</v>
      </c>
    </row>
    <row r="236" spans="4:19" x14ac:dyDescent="0.25">
      <c r="D236" s="8" t="str" cm="1">
        <f t="array" ref="D236">Common_InputFunctions.Utility_DisplayArrayInTable(Common_SourceData.Common_SourceData_MCFTemperatureZone_Data(),Table_SourceData_Common_MCFTemperatureZone[[#Headers],[Temperature zone]],0)</f>
        <v>Cool</v>
      </c>
      <c r="E236" s="10" cm="1">
        <f t="array" ref="E236">Common_InputFunctions.Utility_DisplayArrayInTable(Common_SourceData.Common_SourceData_MCFTemperatureZone_Data(),Table_SourceData_Common_MCFTemperatureZone[[#Headers],[Temperature zone]],0)</f>
        <v>14</v>
      </c>
      <c r="F236" s="10" cm="1">
        <f t="array" ref="F236">Common_InputFunctions.Utility_DisplayArrayInTable(Common_SourceData.Common_SourceData_MCFTemperatureZone_Data(),Table_SourceData_Common_MCFTemperatureZone[[#Headers],[Temperature zone]],0)</f>
        <v>0.73</v>
      </c>
      <c r="G236" s="10" cm="1">
        <f t="array" ref="G236">Common_InputFunctions.Utility_DisplayArrayInTable(Common_SourceData.Common_SourceData_MCFTemperatureZone_Data(),Table_SourceData_Common_MCFTemperatureZone[[#Headers],[Temperature zone]],0)</f>
        <v>0.1</v>
      </c>
      <c r="H236" s="10" cm="1">
        <f t="array" ref="H236">Common_InputFunctions.Utility_DisplayArrayInTable(Common_SourceData.Common_SourceData_MCFTemperatureZone_Data(),Table_SourceData_Common_MCFTemperatureZone[[#Headers],[Temperature zone]],0)</f>
        <v>0.15</v>
      </c>
      <c r="I236" s="10" cm="1">
        <f t="array" ref="I236">Common_InputFunctions.Utility_DisplayArrayInTable(Common_SourceData.Common_SourceData_MCFTemperatureZone_Data(),Table_SourceData_Common_MCFTemperatureZone[[#Headers],[Temperature zone]],0)</f>
        <v>1E-3</v>
      </c>
      <c r="J236" s="10" cm="1">
        <f t="array" ref="J236">Common_InputFunctions.Utility_DisplayArrayInTable(Common_SourceData.Common_SourceData_MCFTemperatureZone_Data(),Table_SourceData_Common_MCFTemperatureZone[[#Headers],[Temperature zone]],0)</f>
        <v>5.0000000000000001E-3</v>
      </c>
      <c r="K236" s="10" cm="1">
        <f t="array" ref="K236">Common_InputFunctions.Utility_DisplayArrayInTable(Common_SourceData.Common_SourceData_MCFTemperatureZone_Data(),Table_SourceData_Common_MCFTemperatureZone[[#Headers],[Temperature zone]],0)</f>
        <v>0.02</v>
      </c>
      <c r="L236" s="10" cm="1">
        <f t="array" ref="L236">Common_InputFunctions.Utility_DisplayArrayInTable(Common_SourceData.Common_SourceData_MCFTemperatureZone_Data(),Table_SourceData_Common_MCFTemperatureZone[[#Headers],[Temperature zone]],0)</f>
        <v>0.03</v>
      </c>
      <c r="M236" s="10" cm="1">
        <f t="array" ref="M236">Common_InputFunctions.Utility_DisplayArrayInTable(Common_SourceData.Common_SourceData_MCFTemperatureZone_Data(),Table_SourceData_Common_MCFTemperatureZone[[#Headers],[Temperature zone]],0)</f>
        <v>0.04</v>
      </c>
      <c r="N236" s="10" cm="1">
        <f t="array" ref="N236">Common_InputFunctions.Utility_DisplayArrayInTable(Common_SourceData.Common_SourceData_MCFTemperatureZone_Data(),Table_SourceData_Common_MCFTemperatureZone[[#Headers],[Temperature zone]],0)</f>
        <v>1.4999999999999999E-2</v>
      </c>
      <c r="O236" s="10" cm="1">
        <f t="array" ref="O236">Common_InputFunctions.Utility_DisplayArrayInTable(Common_SourceData.Common_SourceData_MCFTemperatureZone_Data(),Table_SourceData_Common_MCFTemperatureZone[[#Headers],[Temperature zone]],0)</f>
        <v>1.4999999999999999E-2</v>
      </c>
      <c r="P236" s="10" cm="1">
        <f t="array" ref="P236">Common_InputFunctions.Utility_DisplayArrayInTable(Common_SourceData.Common_SourceData_MCFTemperatureZone_Data(),Table_SourceData_Common_MCFTemperatureZone[[#Headers],[Temperature zone]],0)</f>
        <v>0</v>
      </c>
      <c r="Q236" s="10" cm="1">
        <f t="array" ref="Q236">Common_InputFunctions.Utility_DisplayArrayInTable(Common_SourceData.Common_SourceData_MCFTemperatureZone_Data(),Table_SourceData_Common_MCFTemperatureZone[[#Headers],[Temperature zone]],0)</f>
        <v>0</v>
      </c>
      <c r="R236" s="10" cm="1">
        <f t="array" ref="R236">Common_InputFunctions.Utility_DisplayArrayInTable(Common_SourceData.Common_SourceData_MCFTemperatureZone_Data(),Table_SourceData_Common_MCFTemperatureZone[[#Headers],[Temperature zone]],0)</f>
        <v>4.7000000000000002E-3</v>
      </c>
      <c r="S236" s="10" cm="1">
        <f t="array" ref="S236">Common_InputFunctions.Utility_DisplayArrayInTable(Common_SourceData.Common_SourceData_MCFTemperatureZone_Data(),Table_SourceData_Common_MCFTemperatureZone[[#Headers],[Temperature zone]],0)</f>
        <v>14</v>
      </c>
    </row>
    <row r="237" spans="4:19" x14ac:dyDescent="0.25">
      <c r="D237" s="8" t="str" cm="1">
        <f t="array" ref="D237">Common_InputFunctions.Utility_DisplayArrayInTable(Common_SourceData.Common_SourceData_MCFTemperatureZone_Data(),Table_SourceData_Common_MCFTemperatureZone[[#Headers],[Temperature zone]],0)</f>
        <v>Temperate</v>
      </c>
      <c r="E237" s="10" cm="1">
        <f t="array" ref="E237">Common_InputFunctions.Utility_DisplayArrayInTable(Common_SourceData.Common_SourceData_MCFTemperatureZone_Data(),Table_SourceData_Common_MCFTemperatureZone[[#Headers],[Temperature zone]],0)</f>
        <v>15</v>
      </c>
      <c r="F237" s="10" cm="1">
        <f t="array" ref="F237">Common_InputFunctions.Utility_DisplayArrayInTable(Common_SourceData.Common_SourceData_MCFTemperatureZone_Data(),Table_SourceData_Common_MCFTemperatureZone[[#Headers],[Temperature zone]],0)</f>
        <v>0.74</v>
      </c>
      <c r="G237" s="10" cm="1">
        <f t="array" ref="G237">Common_InputFunctions.Utility_DisplayArrayInTable(Common_SourceData.Common_SourceData_MCFTemperatureZone_Data(),Table_SourceData_Common_MCFTemperatureZone[[#Headers],[Temperature zone]],0)</f>
        <v>0.1</v>
      </c>
      <c r="H237" s="10" cm="1">
        <f t="array" ref="H237">Common_InputFunctions.Utility_DisplayArrayInTable(Common_SourceData.Common_SourceData_MCFTemperatureZone_Data(),Table_SourceData_Common_MCFTemperatureZone[[#Headers],[Temperature zone]],0)</f>
        <v>0.17</v>
      </c>
      <c r="I237" s="10" cm="1">
        <f t="array" ref="I237">Common_InputFunctions.Utility_DisplayArrayInTable(Common_SourceData.Common_SourceData_MCFTemperatureZone_Data(),Table_SourceData_Common_MCFTemperatureZone[[#Headers],[Temperature zone]],0)</f>
        <v>5.0000000000000001E-3</v>
      </c>
      <c r="J237" s="10" cm="1">
        <f t="array" ref="J237">Common_InputFunctions.Utility_DisplayArrayInTable(Common_SourceData.Common_SourceData_MCFTemperatureZone_Data(),Table_SourceData_Common_MCFTemperatureZone[[#Headers],[Temperature zone]],0)</f>
        <v>0.01</v>
      </c>
      <c r="K237" s="10" cm="1">
        <f t="array" ref="K237">Common_InputFunctions.Utility_DisplayArrayInTable(Common_SourceData.Common_SourceData_MCFTemperatureZone_Data(),Table_SourceData_Common_MCFTemperatureZone[[#Headers],[Temperature zone]],0)</f>
        <v>0.02</v>
      </c>
      <c r="L237" s="10" cm="1">
        <f t="array" ref="L237">Common_InputFunctions.Utility_DisplayArrayInTable(Common_SourceData.Common_SourceData_MCFTemperatureZone_Data(),Table_SourceData_Common_MCFTemperatureZone[[#Headers],[Temperature zone]],0)</f>
        <v>0.03</v>
      </c>
      <c r="M237" s="10" cm="1">
        <f t="array" ref="M237">Common_InputFunctions.Utility_DisplayArrayInTable(Common_SourceData.Common_SourceData_MCFTemperatureZone_Data(),Table_SourceData_Common_MCFTemperatureZone[[#Headers],[Temperature zone]],0)</f>
        <v>0.04</v>
      </c>
      <c r="N237" s="10" cm="1">
        <f t="array" ref="N237">Common_InputFunctions.Utility_DisplayArrayInTable(Common_SourceData.Common_SourceData_MCFTemperatureZone_Data(),Table_SourceData_Common_MCFTemperatureZone[[#Headers],[Temperature zone]],0)</f>
        <v>1.4999999999999999E-2</v>
      </c>
      <c r="O237" s="10" cm="1">
        <f t="array" ref="O237">Common_InputFunctions.Utility_DisplayArrayInTable(Common_SourceData.Common_SourceData_MCFTemperatureZone_Data(),Table_SourceData_Common_MCFTemperatureZone[[#Headers],[Temperature zone]],0)</f>
        <v>1.4999999999999999E-2</v>
      </c>
      <c r="P237" s="10" cm="1">
        <f t="array" ref="P237">Common_InputFunctions.Utility_DisplayArrayInTable(Common_SourceData.Common_SourceData_MCFTemperatureZone_Data(),Table_SourceData_Common_MCFTemperatureZone[[#Headers],[Temperature zone]],0)</f>
        <v>0</v>
      </c>
      <c r="Q237" s="10" cm="1">
        <f t="array" ref="Q237">Common_InputFunctions.Utility_DisplayArrayInTable(Common_SourceData.Common_SourceData_MCFTemperatureZone_Data(),Table_SourceData_Common_MCFTemperatureZone[[#Headers],[Temperature zone]],0)</f>
        <v>0</v>
      </c>
      <c r="R237" s="10" cm="1">
        <f t="array" ref="R237">Common_InputFunctions.Utility_DisplayArrayInTable(Common_SourceData.Common_SourceData_MCFTemperatureZone_Data(),Table_SourceData_Common_MCFTemperatureZone[[#Headers],[Temperature zone]],0)</f>
        <v>4.7000000000000002E-3</v>
      </c>
      <c r="S237" s="10" cm="1">
        <f t="array" ref="S237">Common_InputFunctions.Utility_DisplayArrayInTable(Common_SourceData.Common_SourceData_MCFTemperatureZone_Data(),Table_SourceData_Common_MCFTemperatureZone[[#Headers],[Temperature zone]],0)</f>
        <v>15</v>
      </c>
    </row>
    <row r="238" spans="4:19" x14ac:dyDescent="0.25">
      <c r="D238" s="8" t="str" cm="1">
        <f t="array" ref="D238">Common_InputFunctions.Utility_DisplayArrayInTable(Common_SourceData.Common_SourceData_MCFTemperatureZone_Data(),Table_SourceData_Common_MCFTemperatureZone[[#Headers],[Temperature zone]],0)</f>
        <v>Temperate</v>
      </c>
      <c r="E238" s="10" cm="1">
        <f t="array" ref="E238">Common_InputFunctions.Utility_DisplayArrayInTable(Common_SourceData.Common_SourceData_MCFTemperatureZone_Data(),Table_SourceData_Common_MCFTemperatureZone[[#Headers],[Temperature zone]],0)</f>
        <v>16</v>
      </c>
      <c r="F238" s="10" cm="1">
        <f t="array" ref="F238">Common_InputFunctions.Utility_DisplayArrayInTable(Common_SourceData.Common_SourceData_MCFTemperatureZone_Data(),Table_SourceData_Common_MCFTemperatureZone[[#Headers],[Temperature zone]],0)</f>
        <v>0.75</v>
      </c>
      <c r="G238" s="10" cm="1">
        <f t="array" ref="G238">Common_InputFunctions.Utility_DisplayArrayInTable(Common_SourceData.Common_SourceData_MCFTemperatureZone_Data(),Table_SourceData_Common_MCFTemperatureZone[[#Headers],[Temperature zone]],0)</f>
        <v>0.1</v>
      </c>
      <c r="H238" s="10" cm="1">
        <f t="array" ref="H238">Common_InputFunctions.Utility_DisplayArrayInTable(Common_SourceData.Common_SourceData_MCFTemperatureZone_Data(),Table_SourceData_Common_MCFTemperatureZone[[#Headers],[Temperature zone]],0)</f>
        <v>0.18</v>
      </c>
      <c r="I238" s="10" cm="1">
        <f t="array" ref="I238">Common_InputFunctions.Utility_DisplayArrayInTable(Common_SourceData.Common_SourceData_MCFTemperatureZone_Data(),Table_SourceData_Common_MCFTemperatureZone[[#Headers],[Temperature zone]],0)</f>
        <v>5.0000000000000001E-3</v>
      </c>
      <c r="J238" s="10" cm="1">
        <f t="array" ref="J238">Common_InputFunctions.Utility_DisplayArrayInTable(Common_SourceData.Common_SourceData_MCFTemperatureZone_Data(),Table_SourceData_Common_MCFTemperatureZone[[#Headers],[Temperature zone]],0)</f>
        <v>0.01</v>
      </c>
      <c r="K238" s="10" cm="1">
        <f t="array" ref="K238">Common_InputFunctions.Utility_DisplayArrayInTable(Common_SourceData.Common_SourceData_MCFTemperatureZone_Data(),Table_SourceData_Common_MCFTemperatureZone[[#Headers],[Temperature zone]],0)</f>
        <v>0.02</v>
      </c>
      <c r="L238" s="10" cm="1">
        <f t="array" ref="L238">Common_InputFunctions.Utility_DisplayArrayInTable(Common_SourceData.Common_SourceData_MCFTemperatureZone_Data(),Table_SourceData_Common_MCFTemperatureZone[[#Headers],[Temperature zone]],0)</f>
        <v>0.03</v>
      </c>
      <c r="M238" s="10" cm="1">
        <f t="array" ref="M238">Common_InputFunctions.Utility_DisplayArrayInTable(Common_SourceData.Common_SourceData_MCFTemperatureZone_Data(),Table_SourceData_Common_MCFTemperatureZone[[#Headers],[Temperature zone]],0)</f>
        <v>0.04</v>
      </c>
      <c r="N238" s="10" cm="1">
        <f t="array" ref="N238">Common_InputFunctions.Utility_DisplayArrayInTable(Common_SourceData.Common_SourceData_MCFTemperatureZone_Data(),Table_SourceData_Common_MCFTemperatureZone[[#Headers],[Temperature zone]],0)</f>
        <v>1.4999999999999999E-2</v>
      </c>
      <c r="O238" s="10" cm="1">
        <f t="array" ref="O238">Common_InputFunctions.Utility_DisplayArrayInTable(Common_SourceData.Common_SourceData_MCFTemperatureZone_Data(),Table_SourceData_Common_MCFTemperatureZone[[#Headers],[Temperature zone]],0)</f>
        <v>1.4999999999999999E-2</v>
      </c>
      <c r="P238" s="10" cm="1">
        <f t="array" ref="P238">Common_InputFunctions.Utility_DisplayArrayInTable(Common_SourceData.Common_SourceData_MCFTemperatureZone_Data(),Table_SourceData_Common_MCFTemperatureZone[[#Headers],[Temperature zone]],0)</f>
        <v>0</v>
      </c>
      <c r="Q238" s="10" cm="1">
        <f t="array" ref="Q238">Common_InputFunctions.Utility_DisplayArrayInTable(Common_SourceData.Common_SourceData_MCFTemperatureZone_Data(),Table_SourceData_Common_MCFTemperatureZone[[#Headers],[Temperature zone]],0)</f>
        <v>0</v>
      </c>
      <c r="R238" s="10" cm="1">
        <f t="array" ref="R238">Common_InputFunctions.Utility_DisplayArrayInTable(Common_SourceData.Common_SourceData_MCFTemperatureZone_Data(),Table_SourceData_Common_MCFTemperatureZone[[#Headers],[Temperature zone]],0)</f>
        <v>4.7000000000000002E-3</v>
      </c>
      <c r="S238" s="10" cm="1">
        <f t="array" ref="S238">Common_InputFunctions.Utility_DisplayArrayInTable(Common_SourceData.Common_SourceData_MCFTemperatureZone_Data(),Table_SourceData_Common_MCFTemperatureZone[[#Headers],[Temperature zone]],0)</f>
        <v>16</v>
      </c>
    </row>
    <row r="239" spans="4:19" x14ac:dyDescent="0.25">
      <c r="D239" s="8" t="str" cm="1">
        <f t="array" ref="D239">Common_InputFunctions.Utility_DisplayArrayInTable(Common_SourceData.Common_SourceData_MCFTemperatureZone_Data(),Table_SourceData_Common_MCFTemperatureZone[[#Headers],[Temperature zone]],0)</f>
        <v>Temperate</v>
      </c>
      <c r="E239" s="10" cm="1">
        <f t="array" ref="E239">Common_InputFunctions.Utility_DisplayArrayInTable(Common_SourceData.Common_SourceData_MCFTemperatureZone_Data(),Table_SourceData_Common_MCFTemperatureZone[[#Headers],[Temperature zone]],0)</f>
        <v>17</v>
      </c>
      <c r="F239" s="10" cm="1">
        <f t="array" ref="F239">Common_InputFunctions.Utility_DisplayArrayInTable(Common_SourceData.Common_SourceData_MCFTemperatureZone_Data(),Table_SourceData_Common_MCFTemperatureZone[[#Headers],[Temperature zone]],0)</f>
        <v>0.76</v>
      </c>
      <c r="G239" s="10" cm="1">
        <f t="array" ref="G239">Common_InputFunctions.Utility_DisplayArrayInTable(Common_SourceData.Common_SourceData_MCFTemperatureZone_Data(),Table_SourceData_Common_MCFTemperatureZone[[#Headers],[Temperature zone]],0)</f>
        <v>0.1</v>
      </c>
      <c r="H239" s="10" cm="1">
        <f t="array" ref="H239">Common_InputFunctions.Utility_DisplayArrayInTable(Common_SourceData.Common_SourceData_MCFTemperatureZone_Data(),Table_SourceData_Common_MCFTemperatureZone[[#Headers],[Temperature zone]],0)</f>
        <v>0.2</v>
      </c>
      <c r="I239" s="10" cm="1">
        <f t="array" ref="I239">Common_InputFunctions.Utility_DisplayArrayInTable(Common_SourceData.Common_SourceData_MCFTemperatureZone_Data(),Table_SourceData_Common_MCFTemperatureZone[[#Headers],[Temperature zone]],0)</f>
        <v>5.0000000000000001E-3</v>
      </c>
      <c r="J239" s="10" cm="1">
        <f t="array" ref="J239">Common_InputFunctions.Utility_DisplayArrayInTable(Common_SourceData.Common_SourceData_MCFTemperatureZone_Data(),Table_SourceData_Common_MCFTemperatureZone[[#Headers],[Temperature zone]],0)</f>
        <v>0.01</v>
      </c>
      <c r="K239" s="10" cm="1">
        <f t="array" ref="K239">Common_InputFunctions.Utility_DisplayArrayInTable(Common_SourceData.Common_SourceData_MCFTemperatureZone_Data(),Table_SourceData_Common_MCFTemperatureZone[[#Headers],[Temperature zone]],0)</f>
        <v>0.02</v>
      </c>
      <c r="L239" s="10" cm="1">
        <f t="array" ref="L239">Common_InputFunctions.Utility_DisplayArrayInTable(Common_SourceData.Common_SourceData_MCFTemperatureZone_Data(),Table_SourceData_Common_MCFTemperatureZone[[#Headers],[Temperature zone]],0)</f>
        <v>0.03</v>
      </c>
      <c r="M239" s="10" cm="1">
        <f t="array" ref="M239">Common_InputFunctions.Utility_DisplayArrayInTable(Common_SourceData.Common_SourceData_MCFTemperatureZone_Data(),Table_SourceData_Common_MCFTemperatureZone[[#Headers],[Temperature zone]],0)</f>
        <v>0.04</v>
      </c>
      <c r="N239" s="10" cm="1">
        <f t="array" ref="N239">Common_InputFunctions.Utility_DisplayArrayInTable(Common_SourceData.Common_SourceData_MCFTemperatureZone_Data(),Table_SourceData_Common_MCFTemperatureZone[[#Headers],[Temperature zone]],0)</f>
        <v>1.4999999999999999E-2</v>
      </c>
      <c r="O239" s="10" cm="1">
        <f t="array" ref="O239">Common_InputFunctions.Utility_DisplayArrayInTable(Common_SourceData.Common_SourceData_MCFTemperatureZone_Data(),Table_SourceData_Common_MCFTemperatureZone[[#Headers],[Temperature zone]],0)</f>
        <v>1.4999999999999999E-2</v>
      </c>
      <c r="P239" s="10" cm="1">
        <f t="array" ref="P239">Common_InputFunctions.Utility_DisplayArrayInTable(Common_SourceData.Common_SourceData_MCFTemperatureZone_Data(),Table_SourceData_Common_MCFTemperatureZone[[#Headers],[Temperature zone]],0)</f>
        <v>0</v>
      </c>
      <c r="Q239" s="10" cm="1">
        <f t="array" ref="Q239">Common_InputFunctions.Utility_DisplayArrayInTable(Common_SourceData.Common_SourceData_MCFTemperatureZone_Data(),Table_SourceData_Common_MCFTemperatureZone[[#Headers],[Temperature zone]],0)</f>
        <v>0</v>
      </c>
      <c r="R239" s="10" cm="1">
        <f t="array" ref="R239">Common_InputFunctions.Utility_DisplayArrayInTable(Common_SourceData.Common_SourceData_MCFTemperatureZone_Data(),Table_SourceData_Common_MCFTemperatureZone[[#Headers],[Temperature zone]],0)</f>
        <v>4.7000000000000002E-3</v>
      </c>
      <c r="S239" s="10" cm="1">
        <f t="array" ref="S239">Common_InputFunctions.Utility_DisplayArrayInTable(Common_SourceData.Common_SourceData_MCFTemperatureZone_Data(),Table_SourceData_Common_MCFTemperatureZone[[#Headers],[Temperature zone]],0)</f>
        <v>17</v>
      </c>
    </row>
    <row r="240" spans="4:19" x14ac:dyDescent="0.25">
      <c r="D240" s="8" t="str" cm="1">
        <f t="array" ref="D240">Common_InputFunctions.Utility_DisplayArrayInTable(Common_SourceData.Common_SourceData_MCFTemperatureZone_Data(),Table_SourceData_Common_MCFTemperatureZone[[#Headers],[Temperature zone]],0)</f>
        <v>Temperate</v>
      </c>
      <c r="E240" s="10" cm="1">
        <f t="array" ref="E240">Common_InputFunctions.Utility_DisplayArrayInTable(Common_SourceData.Common_SourceData_MCFTemperatureZone_Data(),Table_SourceData_Common_MCFTemperatureZone[[#Headers],[Temperature zone]],0)</f>
        <v>18</v>
      </c>
      <c r="F240" s="10" cm="1">
        <f t="array" ref="F240">Common_InputFunctions.Utility_DisplayArrayInTable(Common_SourceData.Common_SourceData_MCFTemperatureZone_Data(),Table_SourceData_Common_MCFTemperatureZone[[#Headers],[Temperature zone]],0)</f>
        <v>0.77</v>
      </c>
      <c r="G240" s="10" cm="1">
        <f t="array" ref="G240">Common_InputFunctions.Utility_DisplayArrayInTable(Common_SourceData.Common_SourceData_MCFTemperatureZone_Data(),Table_SourceData_Common_MCFTemperatureZone[[#Headers],[Temperature zone]],0)</f>
        <v>0.1</v>
      </c>
      <c r="H240" s="10" cm="1">
        <f t="array" ref="H240">Common_InputFunctions.Utility_DisplayArrayInTable(Common_SourceData.Common_SourceData_MCFTemperatureZone_Data(),Table_SourceData_Common_MCFTemperatureZone[[#Headers],[Temperature zone]],0)</f>
        <v>0.22</v>
      </c>
      <c r="I240" s="10" cm="1">
        <f t="array" ref="I240">Common_InputFunctions.Utility_DisplayArrayInTable(Common_SourceData.Common_SourceData_MCFTemperatureZone_Data(),Table_SourceData_Common_MCFTemperatureZone[[#Headers],[Temperature zone]],0)</f>
        <v>5.0000000000000001E-3</v>
      </c>
      <c r="J240" s="10" cm="1">
        <f t="array" ref="J240">Common_InputFunctions.Utility_DisplayArrayInTable(Common_SourceData.Common_SourceData_MCFTemperatureZone_Data(),Table_SourceData_Common_MCFTemperatureZone[[#Headers],[Temperature zone]],0)</f>
        <v>0.01</v>
      </c>
      <c r="K240" s="10" cm="1">
        <f t="array" ref="K240">Common_InputFunctions.Utility_DisplayArrayInTable(Common_SourceData.Common_SourceData_MCFTemperatureZone_Data(),Table_SourceData_Common_MCFTemperatureZone[[#Headers],[Temperature zone]],0)</f>
        <v>0.02</v>
      </c>
      <c r="L240" s="10" cm="1">
        <f t="array" ref="L240">Common_InputFunctions.Utility_DisplayArrayInTable(Common_SourceData.Common_SourceData_MCFTemperatureZone_Data(),Table_SourceData_Common_MCFTemperatureZone[[#Headers],[Temperature zone]],0)</f>
        <v>0.03</v>
      </c>
      <c r="M240" s="10" cm="1">
        <f t="array" ref="M240">Common_InputFunctions.Utility_DisplayArrayInTable(Common_SourceData.Common_SourceData_MCFTemperatureZone_Data(),Table_SourceData_Common_MCFTemperatureZone[[#Headers],[Temperature zone]],0)</f>
        <v>0.04</v>
      </c>
      <c r="N240" s="10" cm="1">
        <f t="array" ref="N240">Common_InputFunctions.Utility_DisplayArrayInTable(Common_SourceData.Common_SourceData_MCFTemperatureZone_Data(),Table_SourceData_Common_MCFTemperatureZone[[#Headers],[Temperature zone]],0)</f>
        <v>1.4999999999999999E-2</v>
      </c>
      <c r="O240" s="10" cm="1">
        <f t="array" ref="O240">Common_InputFunctions.Utility_DisplayArrayInTable(Common_SourceData.Common_SourceData_MCFTemperatureZone_Data(),Table_SourceData_Common_MCFTemperatureZone[[#Headers],[Temperature zone]],0)</f>
        <v>1.4999999999999999E-2</v>
      </c>
      <c r="P240" s="10" cm="1">
        <f t="array" ref="P240">Common_InputFunctions.Utility_DisplayArrayInTable(Common_SourceData.Common_SourceData_MCFTemperatureZone_Data(),Table_SourceData_Common_MCFTemperatureZone[[#Headers],[Temperature zone]],0)</f>
        <v>0</v>
      </c>
      <c r="Q240" s="10" cm="1">
        <f t="array" ref="Q240">Common_InputFunctions.Utility_DisplayArrayInTable(Common_SourceData.Common_SourceData_MCFTemperatureZone_Data(),Table_SourceData_Common_MCFTemperatureZone[[#Headers],[Temperature zone]],0)</f>
        <v>0</v>
      </c>
      <c r="R240" s="10" cm="1">
        <f t="array" ref="R240">Common_InputFunctions.Utility_DisplayArrayInTable(Common_SourceData.Common_SourceData_MCFTemperatureZone_Data(),Table_SourceData_Common_MCFTemperatureZone[[#Headers],[Temperature zone]],0)</f>
        <v>4.7000000000000002E-3</v>
      </c>
      <c r="S240" s="10" cm="1">
        <f t="array" ref="S240">Common_InputFunctions.Utility_DisplayArrayInTable(Common_SourceData.Common_SourceData_MCFTemperatureZone_Data(),Table_SourceData_Common_MCFTemperatureZone[[#Headers],[Temperature zone]],0)</f>
        <v>18</v>
      </c>
    </row>
    <row r="241" spans="4:19" x14ac:dyDescent="0.25">
      <c r="D241" s="8" t="str" cm="1">
        <f t="array" ref="D241">Common_InputFunctions.Utility_DisplayArrayInTable(Common_SourceData.Common_SourceData_MCFTemperatureZone_Data(),Table_SourceData_Common_MCFTemperatureZone[[#Headers],[Temperature zone]],0)</f>
        <v>Temperate</v>
      </c>
      <c r="E241" s="10" cm="1">
        <f t="array" ref="E241">Common_InputFunctions.Utility_DisplayArrayInTable(Common_SourceData.Common_SourceData_MCFTemperatureZone_Data(),Table_SourceData_Common_MCFTemperatureZone[[#Headers],[Temperature zone]],0)</f>
        <v>19</v>
      </c>
      <c r="F241" s="10" cm="1">
        <f t="array" ref="F241">Common_InputFunctions.Utility_DisplayArrayInTable(Common_SourceData.Common_SourceData_MCFTemperatureZone_Data(),Table_SourceData_Common_MCFTemperatureZone[[#Headers],[Temperature zone]],0)</f>
        <v>0.77</v>
      </c>
      <c r="G241" s="10" cm="1">
        <f t="array" ref="G241">Common_InputFunctions.Utility_DisplayArrayInTable(Common_SourceData.Common_SourceData_MCFTemperatureZone_Data(),Table_SourceData_Common_MCFTemperatureZone[[#Headers],[Temperature zone]],0)</f>
        <v>0.1</v>
      </c>
      <c r="H241" s="10" cm="1">
        <f t="array" ref="H241">Common_InputFunctions.Utility_DisplayArrayInTable(Common_SourceData.Common_SourceData_MCFTemperatureZone_Data(),Table_SourceData_Common_MCFTemperatureZone[[#Headers],[Temperature zone]],0)</f>
        <v>0.24</v>
      </c>
      <c r="I241" s="10" cm="1">
        <f t="array" ref="I241">Common_InputFunctions.Utility_DisplayArrayInTable(Common_SourceData.Common_SourceData_MCFTemperatureZone_Data(),Table_SourceData_Common_MCFTemperatureZone[[#Headers],[Temperature zone]],0)</f>
        <v>5.0000000000000001E-3</v>
      </c>
      <c r="J241" s="10" cm="1">
        <f t="array" ref="J241">Common_InputFunctions.Utility_DisplayArrayInTable(Common_SourceData.Common_SourceData_MCFTemperatureZone_Data(),Table_SourceData_Common_MCFTemperatureZone[[#Headers],[Temperature zone]],0)</f>
        <v>0.01</v>
      </c>
      <c r="K241" s="10" cm="1">
        <f t="array" ref="K241">Common_InputFunctions.Utility_DisplayArrayInTable(Common_SourceData.Common_SourceData_MCFTemperatureZone_Data(),Table_SourceData_Common_MCFTemperatureZone[[#Headers],[Temperature zone]],0)</f>
        <v>0.02</v>
      </c>
      <c r="L241" s="10" cm="1">
        <f t="array" ref="L241">Common_InputFunctions.Utility_DisplayArrayInTable(Common_SourceData.Common_SourceData_MCFTemperatureZone_Data(),Table_SourceData_Common_MCFTemperatureZone[[#Headers],[Temperature zone]],0)</f>
        <v>0.03</v>
      </c>
      <c r="M241" s="10" cm="1">
        <f t="array" ref="M241">Common_InputFunctions.Utility_DisplayArrayInTable(Common_SourceData.Common_SourceData_MCFTemperatureZone_Data(),Table_SourceData_Common_MCFTemperatureZone[[#Headers],[Temperature zone]],0)</f>
        <v>0.04</v>
      </c>
      <c r="N241" s="10" cm="1">
        <f t="array" ref="N241">Common_InputFunctions.Utility_DisplayArrayInTable(Common_SourceData.Common_SourceData_MCFTemperatureZone_Data(),Table_SourceData_Common_MCFTemperatureZone[[#Headers],[Temperature zone]],0)</f>
        <v>1.4999999999999999E-2</v>
      </c>
      <c r="O241" s="10" cm="1">
        <f t="array" ref="O241">Common_InputFunctions.Utility_DisplayArrayInTable(Common_SourceData.Common_SourceData_MCFTemperatureZone_Data(),Table_SourceData_Common_MCFTemperatureZone[[#Headers],[Temperature zone]],0)</f>
        <v>1.4999999999999999E-2</v>
      </c>
      <c r="P241" s="10" cm="1">
        <f t="array" ref="P241">Common_InputFunctions.Utility_DisplayArrayInTable(Common_SourceData.Common_SourceData_MCFTemperatureZone_Data(),Table_SourceData_Common_MCFTemperatureZone[[#Headers],[Temperature zone]],0)</f>
        <v>0</v>
      </c>
      <c r="Q241" s="10" cm="1">
        <f t="array" ref="Q241">Common_InputFunctions.Utility_DisplayArrayInTable(Common_SourceData.Common_SourceData_MCFTemperatureZone_Data(),Table_SourceData_Common_MCFTemperatureZone[[#Headers],[Temperature zone]],0)</f>
        <v>0</v>
      </c>
      <c r="R241" s="10" cm="1">
        <f t="array" ref="R241">Common_InputFunctions.Utility_DisplayArrayInTable(Common_SourceData.Common_SourceData_MCFTemperatureZone_Data(),Table_SourceData_Common_MCFTemperatureZone[[#Headers],[Temperature zone]],0)</f>
        <v>4.7000000000000002E-3</v>
      </c>
      <c r="S241" s="10" cm="1">
        <f t="array" ref="S241">Common_InputFunctions.Utility_DisplayArrayInTable(Common_SourceData.Common_SourceData_MCFTemperatureZone_Data(),Table_SourceData_Common_MCFTemperatureZone[[#Headers],[Temperature zone]],0)</f>
        <v>19</v>
      </c>
    </row>
    <row r="242" spans="4:19" x14ac:dyDescent="0.25">
      <c r="D242" s="8" t="str" cm="1">
        <f t="array" ref="D242">Common_InputFunctions.Utility_DisplayArrayInTable(Common_SourceData.Common_SourceData_MCFTemperatureZone_Data(),Table_SourceData_Common_MCFTemperatureZone[[#Headers],[Temperature zone]],0)</f>
        <v>Temperate</v>
      </c>
      <c r="E242" s="10" cm="1">
        <f t="array" ref="E242">Common_InputFunctions.Utility_DisplayArrayInTable(Common_SourceData.Common_SourceData_MCFTemperatureZone_Data(),Table_SourceData_Common_MCFTemperatureZone[[#Headers],[Temperature zone]],0)</f>
        <v>20</v>
      </c>
      <c r="F242" s="10" cm="1">
        <f t="array" ref="F242">Common_InputFunctions.Utility_DisplayArrayInTable(Common_SourceData.Common_SourceData_MCFTemperatureZone_Data(),Table_SourceData_Common_MCFTemperatureZone[[#Headers],[Temperature zone]],0)</f>
        <v>0.78</v>
      </c>
      <c r="G242" s="10" cm="1">
        <f t="array" ref="G242">Common_InputFunctions.Utility_DisplayArrayInTable(Common_SourceData.Common_SourceData_MCFTemperatureZone_Data(),Table_SourceData_Common_MCFTemperatureZone[[#Headers],[Temperature zone]],0)</f>
        <v>0.1</v>
      </c>
      <c r="H242" s="10" cm="1">
        <f t="array" ref="H242">Common_InputFunctions.Utility_DisplayArrayInTable(Common_SourceData.Common_SourceData_MCFTemperatureZone_Data(),Table_SourceData_Common_MCFTemperatureZone[[#Headers],[Temperature zone]],0)</f>
        <v>0.26</v>
      </c>
      <c r="I242" s="10" cm="1">
        <f t="array" ref="I242">Common_InputFunctions.Utility_DisplayArrayInTable(Common_SourceData.Common_SourceData_MCFTemperatureZone_Data(),Table_SourceData_Common_MCFTemperatureZone[[#Headers],[Temperature zone]],0)</f>
        <v>5.0000000000000001E-3</v>
      </c>
      <c r="J242" s="10" cm="1">
        <f t="array" ref="J242">Common_InputFunctions.Utility_DisplayArrayInTable(Common_SourceData.Common_SourceData_MCFTemperatureZone_Data(),Table_SourceData_Common_MCFTemperatureZone[[#Headers],[Temperature zone]],0)</f>
        <v>0.01</v>
      </c>
      <c r="K242" s="10" cm="1">
        <f t="array" ref="K242">Common_InputFunctions.Utility_DisplayArrayInTable(Common_SourceData.Common_SourceData_MCFTemperatureZone_Data(),Table_SourceData_Common_MCFTemperatureZone[[#Headers],[Temperature zone]],0)</f>
        <v>0.02</v>
      </c>
      <c r="L242" s="10" cm="1">
        <f t="array" ref="L242">Common_InputFunctions.Utility_DisplayArrayInTable(Common_SourceData.Common_SourceData_MCFTemperatureZone_Data(),Table_SourceData_Common_MCFTemperatureZone[[#Headers],[Temperature zone]],0)</f>
        <v>0.03</v>
      </c>
      <c r="M242" s="10" cm="1">
        <f t="array" ref="M242">Common_InputFunctions.Utility_DisplayArrayInTable(Common_SourceData.Common_SourceData_MCFTemperatureZone_Data(),Table_SourceData_Common_MCFTemperatureZone[[#Headers],[Temperature zone]],0)</f>
        <v>0.04</v>
      </c>
      <c r="N242" s="10" cm="1">
        <f t="array" ref="N242">Common_InputFunctions.Utility_DisplayArrayInTable(Common_SourceData.Common_SourceData_MCFTemperatureZone_Data(),Table_SourceData_Common_MCFTemperatureZone[[#Headers],[Temperature zone]],0)</f>
        <v>1.4999999999999999E-2</v>
      </c>
      <c r="O242" s="10" cm="1">
        <f t="array" ref="O242">Common_InputFunctions.Utility_DisplayArrayInTable(Common_SourceData.Common_SourceData_MCFTemperatureZone_Data(),Table_SourceData_Common_MCFTemperatureZone[[#Headers],[Temperature zone]],0)</f>
        <v>1.4999999999999999E-2</v>
      </c>
      <c r="P242" s="10" cm="1">
        <f t="array" ref="P242">Common_InputFunctions.Utility_DisplayArrayInTable(Common_SourceData.Common_SourceData_MCFTemperatureZone_Data(),Table_SourceData_Common_MCFTemperatureZone[[#Headers],[Temperature zone]],0)</f>
        <v>0</v>
      </c>
      <c r="Q242" s="10" cm="1">
        <f t="array" ref="Q242">Common_InputFunctions.Utility_DisplayArrayInTable(Common_SourceData.Common_SourceData_MCFTemperatureZone_Data(),Table_SourceData_Common_MCFTemperatureZone[[#Headers],[Temperature zone]],0)</f>
        <v>0</v>
      </c>
      <c r="R242" s="10" cm="1">
        <f t="array" ref="R242">Common_InputFunctions.Utility_DisplayArrayInTable(Common_SourceData.Common_SourceData_MCFTemperatureZone_Data(),Table_SourceData_Common_MCFTemperatureZone[[#Headers],[Temperature zone]],0)</f>
        <v>4.7000000000000002E-3</v>
      </c>
      <c r="S242" s="10" cm="1">
        <f t="array" ref="S242">Common_InputFunctions.Utility_DisplayArrayInTable(Common_SourceData.Common_SourceData_MCFTemperatureZone_Data(),Table_SourceData_Common_MCFTemperatureZone[[#Headers],[Temperature zone]],0)</f>
        <v>20</v>
      </c>
    </row>
    <row r="243" spans="4:19" x14ac:dyDescent="0.25">
      <c r="D243" s="8" t="str" cm="1">
        <f t="array" ref="D243">Common_InputFunctions.Utility_DisplayArrayInTable(Common_SourceData.Common_SourceData_MCFTemperatureZone_Data(),Table_SourceData_Common_MCFTemperatureZone[[#Headers],[Temperature zone]],0)</f>
        <v>Temperate</v>
      </c>
      <c r="E243" s="10" cm="1">
        <f t="array" ref="E243">Common_InputFunctions.Utility_DisplayArrayInTable(Common_SourceData.Common_SourceData_MCFTemperatureZone_Data(),Table_SourceData_Common_MCFTemperatureZone[[#Headers],[Temperature zone]],0)</f>
        <v>21</v>
      </c>
      <c r="F243" s="10" cm="1">
        <f t="array" ref="F243">Common_InputFunctions.Utility_DisplayArrayInTable(Common_SourceData.Common_SourceData_MCFTemperatureZone_Data(),Table_SourceData_Common_MCFTemperatureZone[[#Headers],[Temperature zone]],0)</f>
        <v>0.78</v>
      </c>
      <c r="G243" s="10" cm="1">
        <f t="array" ref="G243">Common_InputFunctions.Utility_DisplayArrayInTable(Common_SourceData.Common_SourceData_MCFTemperatureZone_Data(),Table_SourceData_Common_MCFTemperatureZone[[#Headers],[Temperature zone]],0)</f>
        <v>0.1</v>
      </c>
      <c r="H243" s="10" cm="1">
        <f t="array" ref="H243">Common_InputFunctions.Utility_DisplayArrayInTable(Common_SourceData.Common_SourceData_MCFTemperatureZone_Data(),Table_SourceData_Common_MCFTemperatureZone[[#Headers],[Temperature zone]],0)</f>
        <v>0.28999999999999998</v>
      </c>
      <c r="I243" s="10" cm="1">
        <f t="array" ref="I243">Common_InputFunctions.Utility_DisplayArrayInTable(Common_SourceData.Common_SourceData_MCFTemperatureZone_Data(),Table_SourceData_Common_MCFTemperatureZone[[#Headers],[Temperature zone]],0)</f>
        <v>5.0000000000000001E-3</v>
      </c>
      <c r="J243" s="10" cm="1">
        <f t="array" ref="J243">Common_InputFunctions.Utility_DisplayArrayInTable(Common_SourceData.Common_SourceData_MCFTemperatureZone_Data(),Table_SourceData_Common_MCFTemperatureZone[[#Headers],[Temperature zone]],0)</f>
        <v>0.01</v>
      </c>
      <c r="K243" s="10" cm="1">
        <f t="array" ref="K243">Common_InputFunctions.Utility_DisplayArrayInTable(Common_SourceData.Common_SourceData_MCFTemperatureZone_Data(),Table_SourceData_Common_MCFTemperatureZone[[#Headers],[Temperature zone]],0)</f>
        <v>0.02</v>
      </c>
      <c r="L243" s="10" cm="1">
        <f t="array" ref="L243">Common_InputFunctions.Utility_DisplayArrayInTable(Common_SourceData.Common_SourceData_MCFTemperatureZone_Data(),Table_SourceData_Common_MCFTemperatureZone[[#Headers],[Temperature zone]],0)</f>
        <v>0.03</v>
      </c>
      <c r="M243" s="10" cm="1">
        <f t="array" ref="M243">Common_InputFunctions.Utility_DisplayArrayInTable(Common_SourceData.Common_SourceData_MCFTemperatureZone_Data(),Table_SourceData_Common_MCFTemperatureZone[[#Headers],[Temperature zone]],0)</f>
        <v>0.04</v>
      </c>
      <c r="N243" s="10" cm="1">
        <f t="array" ref="N243">Common_InputFunctions.Utility_DisplayArrayInTable(Common_SourceData.Common_SourceData_MCFTemperatureZone_Data(),Table_SourceData_Common_MCFTemperatureZone[[#Headers],[Temperature zone]],0)</f>
        <v>1.4999999999999999E-2</v>
      </c>
      <c r="O243" s="10" cm="1">
        <f t="array" ref="O243">Common_InputFunctions.Utility_DisplayArrayInTable(Common_SourceData.Common_SourceData_MCFTemperatureZone_Data(),Table_SourceData_Common_MCFTemperatureZone[[#Headers],[Temperature zone]],0)</f>
        <v>1.4999999999999999E-2</v>
      </c>
      <c r="P243" s="10" cm="1">
        <f t="array" ref="P243">Common_InputFunctions.Utility_DisplayArrayInTable(Common_SourceData.Common_SourceData_MCFTemperatureZone_Data(),Table_SourceData_Common_MCFTemperatureZone[[#Headers],[Temperature zone]],0)</f>
        <v>0</v>
      </c>
      <c r="Q243" s="10" cm="1">
        <f t="array" ref="Q243">Common_InputFunctions.Utility_DisplayArrayInTable(Common_SourceData.Common_SourceData_MCFTemperatureZone_Data(),Table_SourceData_Common_MCFTemperatureZone[[#Headers],[Temperature zone]],0)</f>
        <v>0</v>
      </c>
      <c r="R243" s="10" cm="1">
        <f t="array" ref="R243">Common_InputFunctions.Utility_DisplayArrayInTable(Common_SourceData.Common_SourceData_MCFTemperatureZone_Data(),Table_SourceData_Common_MCFTemperatureZone[[#Headers],[Temperature zone]],0)</f>
        <v>4.7000000000000002E-3</v>
      </c>
      <c r="S243" s="10" cm="1">
        <f t="array" ref="S243">Common_InputFunctions.Utility_DisplayArrayInTable(Common_SourceData.Common_SourceData_MCFTemperatureZone_Data(),Table_SourceData_Common_MCFTemperatureZone[[#Headers],[Temperature zone]],0)</f>
        <v>21</v>
      </c>
    </row>
    <row r="244" spans="4:19" x14ac:dyDescent="0.25">
      <c r="D244" s="8" t="str" cm="1">
        <f t="array" ref="D244">Common_InputFunctions.Utility_DisplayArrayInTable(Common_SourceData.Common_SourceData_MCFTemperatureZone_Data(),Table_SourceData_Common_MCFTemperatureZone[[#Headers],[Temperature zone]],0)</f>
        <v>Temperate</v>
      </c>
      <c r="E244" s="10" cm="1">
        <f t="array" ref="E244">Common_InputFunctions.Utility_DisplayArrayInTable(Common_SourceData.Common_SourceData_MCFTemperatureZone_Data(),Table_SourceData_Common_MCFTemperatureZone[[#Headers],[Temperature zone]],0)</f>
        <v>22</v>
      </c>
      <c r="F244" s="10" cm="1">
        <f t="array" ref="F244">Common_InputFunctions.Utility_DisplayArrayInTable(Common_SourceData.Common_SourceData_MCFTemperatureZone_Data(),Table_SourceData_Common_MCFTemperatureZone[[#Headers],[Temperature zone]],0)</f>
        <v>0.78</v>
      </c>
      <c r="G244" s="10" cm="1">
        <f t="array" ref="G244">Common_InputFunctions.Utility_DisplayArrayInTable(Common_SourceData.Common_SourceData_MCFTemperatureZone_Data(),Table_SourceData_Common_MCFTemperatureZone[[#Headers],[Temperature zone]],0)</f>
        <v>0.1</v>
      </c>
      <c r="H244" s="10" cm="1">
        <f t="array" ref="H244">Common_InputFunctions.Utility_DisplayArrayInTable(Common_SourceData.Common_SourceData_MCFTemperatureZone_Data(),Table_SourceData_Common_MCFTemperatureZone[[#Headers],[Temperature zone]],0)</f>
        <v>0.31</v>
      </c>
      <c r="I244" s="10" cm="1">
        <f t="array" ref="I244">Common_InputFunctions.Utility_DisplayArrayInTable(Common_SourceData.Common_SourceData_MCFTemperatureZone_Data(),Table_SourceData_Common_MCFTemperatureZone[[#Headers],[Temperature zone]],0)</f>
        <v>5.0000000000000001E-3</v>
      </c>
      <c r="J244" s="10" cm="1">
        <f t="array" ref="J244">Common_InputFunctions.Utility_DisplayArrayInTable(Common_SourceData.Common_SourceData_MCFTemperatureZone_Data(),Table_SourceData_Common_MCFTemperatureZone[[#Headers],[Temperature zone]],0)</f>
        <v>0.01</v>
      </c>
      <c r="K244" s="10" cm="1">
        <f t="array" ref="K244">Common_InputFunctions.Utility_DisplayArrayInTable(Common_SourceData.Common_SourceData_MCFTemperatureZone_Data(),Table_SourceData_Common_MCFTemperatureZone[[#Headers],[Temperature zone]],0)</f>
        <v>0.02</v>
      </c>
      <c r="L244" s="10" cm="1">
        <f t="array" ref="L244">Common_InputFunctions.Utility_DisplayArrayInTable(Common_SourceData.Common_SourceData_MCFTemperatureZone_Data(),Table_SourceData_Common_MCFTemperatureZone[[#Headers],[Temperature zone]],0)</f>
        <v>0.03</v>
      </c>
      <c r="M244" s="10" cm="1">
        <f t="array" ref="M244">Common_InputFunctions.Utility_DisplayArrayInTable(Common_SourceData.Common_SourceData_MCFTemperatureZone_Data(),Table_SourceData_Common_MCFTemperatureZone[[#Headers],[Temperature zone]],0)</f>
        <v>0.04</v>
      </c>
      <c r="N244" s="10" cm="1">
        <f t="array" ref="N244">Common_InputFunctions.Utility_DisplayArrayInTable(Common_SourceData.Common_SourceData_MCFTemperatureZone_Data(),Table_SourceData_Common_MCFTemperatureZone[[#Headers],[Temperature zone]],0)</f>
        <v>1.4999999999999999E-2</v>
      </c>
      <c r="O244" s="10" cm="1">
        <f t="array" ref="O244">Common_InputFunctions.Utility_DisplayArrayInTable(Common_SourceData.Common_SourceData_MCFTemperatureZone_Data(),Table_SourceData_Common_MCFTemperatureZone[[#Headers],[Temperature zone]],0)</f>
        <v>1.4999999999999999E-2</v>
      </c>
      <c r="P244" s="10" cm="1">
        <f t="array" ref="P244">Common_InputFunctions.Utility_DisplayArrayInTable(Common_SourceData.Common_SourceData_MCFTemperatureZone_Data(),Table_SourceData_Common_MCFTemperatureZone[[#Headers],[Temperature zone]],0)</f>
        <v>0</v>
      </c>
      <c r="Q244" s="10" cm="1">
        <f t="array" ref="Q244">Common_InputFunctions.Utility_DisplayArrayInTable(Common_SourceData.Common_SourceData_MCFTemperatureZone_Data(),Table_SourceData_Common_MCFTemperatureZone[[#Headers],[Temperature zone]],0)</f>
        <v>0</v>
      </c>
      <c r="R244" s="10" cm="1">
        <f t="array" ref="R244">Common_InputFunctions.Utility_DisplayArrayInTable(Common_SourceData.Common_SourceData_MCFTemperatureZone_Data(),Table_SourceData_Common_MCFTemperatureZone[[#Headers],[Temperature zone]],0)</f>
        <v>4.7000000000000002E-3</v>
      </c>
      <c r="S244" s="10" cm="1">
        <f t="array" ref="S244">Common_InputFunctions.Utility_DisplayArrayInTable(Common_SourceData.Common_SourceData_MCFTemperatureZone_Data(),Table_SourceData_Common_MCFTemperatureZone[[#Headers],[Temperature zone]],0)</f>
        <v>22</v>
      </c>
    </row>
    <row r="245" spans="4:19" x14ac:dyDescent="0.25">
      <c r="D245" s="8" t="str" cm="1">
        <f t="array" ref="D245">Common_InputFunctions.Utility_DisplayArrayInTable(Common_SourceData.Common_SourceData_MCFTemperatureZone_Data(),Table_SourceData_Common_MCFTemperatureZone[[#Headers],[Temperature zone]],0)</f>
        <v>Temperate</v>
      </c>
      <c r="E245" s="10" cm="1">
        <f t="array" ref="E245">Common_InputFunctions.Utility_DisplayArrayInTable(Common_SourceData.Common_SourceData_MCFTemperatureZone_Data(),Table_SourceData_Common_MCFTemperatureZone[[#Headers],[Temperature zone]],0)</f>
        <v>23</v>
      </c>
      <c r="F245" s="10" cm="1">
        <f t="array" ref="F245">Common_InputFunctions.Utility_DisplayArrayInTable(Common_SourceData.Common_SourceData_MCFTemperatureZone_Data(),Table_SourceData_Common_MCFTemperatureZone[[#Headers],[Temperature zone]],0)</f>
        <v>0.79</v>
      </c>
      <c r="G245" s="10" cm="1">
        <f t="array" ref="G245">Common_InputFunctions.Utility_DisplayArrayInTable(Common_SourceData.Common_SourceData_MCFTemperatureZone_Data(),Table_SourceData_Common_MCFTemperatureZone[[#Headers],[Temperature zone]],0)</f>
        <v>0.1</v>
      </c>
      <c r="H245" s="10" cm="1">
        <f t="array" ref="H245">Common_InputFunctions.Utility_DisplayArrayInTable(Common_SourceData.Common_SourceData_MCFTemperatureZone_Data(),Table_SourceData_Common_MCFTemperatureZone[[#Headers],[Temperature zone]],0)</f>
        <v>0.34</v>
      </c>
      <c r="I245" s="10" cm="1">
        <f t="array" ref="I245">Common_InputFunctions.Utility_DisplayArrayInTable(Common_SourceData.Common_SourceData_MCFTemperatureZone_Data(),Table_SourceData_Common_MCFTemperatureZone[[#Headers],[Temperature zone]],0)</f>
        <v>5.0000000000000001E-3</v>
      </c>
      <c r="J245" s="10" cm="1">
        <f t="array" ref="J245">Common_InputFunctions.Utility_DisplayArrayInTable(Common_SourceData.Common_SourceData_MCFTemperatureZone_Data(),Table_SourceData_Common_MCFTemperatureZone[[#Headers],[Temperature zone]],0)</f>
        <v>0.01</v>
      </c>
      <c r="K245" s="10" cm="1">
        <f t="array" ref="K245">Common_InputFunctions.Utility_DisplayArrayInTable(Common_SourceData.Common_SourceData_MCFTemperatureZone_Data(),Table_SourceData_Common_MCFTemperatureZone[[#Headers],[Temperature zone]],0)</f>
        <v>0.02</v>
      </c>
      <c r="L245" s="10" cm="1">
        <f t="array" ref="L245">Common_InputFunctions.Utility_DisplayArrayInTable(Common_SourceData.Common_SourceData_MCFTemperatureZone_Data(),Table_SourceData_Common_MCFTemperatureZone[[#Headers],[Temperature zone]],0)</f>
        <v>0.03</v>
      </c>
      <c r="M245" s="10" cm="1">
        <f t="array" ref="M245">Common_InputFunctions.Utility_DisplayArrayInTable(Common_SourceData.Common_SourceData_MCFTemperatureZone_Data(),Table_SourceData_Common_MCFTemperatureZone[[#Headers],[Temperature zone]],0)</f>
        <v>0.04</v>
      </c>
      <c r="N245" s="10" cm="1">
        <f t="array" ref="N245">Common_InputFunctions.Utility_DisplayArrayInTable(Common_SourceData.Common_SourceData_MCFTemperatureZone_Data(),Table_SourceData_Common_MCFTemperatureZone[[#Headers],[Temperature zone]],0)</f>
        <v>1.4999999999999999E-2</v>
      </c>
      <c r="O245" s="10" cm="1">
        <f t="array" ref="O245">Common_InputFunctions.Utility_DisplayArrayInTable(Common_SourceData.Common_SourceData_MCFTemperatureZone_Data(),Table_SourceData_Common_MCFTemperatureZone[[#Headers],[Temperature zone]],0)</f>
        <v>1.4999999999999999E-2</v>
      </c>
      <c r="P245" s="10" cm="1">
        <f t="array" ref="P245">Common_InputFunctions.Utility_DisplayArrayInTable(Common_SourceData.Common_SourceData_MCFTemperatureZone_Data(),Table_SourceData_Common_MCFTemperatureZone[[#Headers],[Temperature zone]],0)</f>
        <v>0</v>
      </c>
      <c r="Q245" s="10" cm="1">
        <f t="array" ref="Q245">Common_InputFunctions.Utility_DisplayArrayInTable(Common_SourceData.Common_SourceData_MCFTemperatureZone_Data(),Table_SourceData_Common_MCFTemperatureZone[[#Headers],[Temperature zone]],0)</f>
        <v>0</v>
      </c>
      <c r="R245" s="10" cm="1">
        <f t="array" ref="R245">Common_InputFunctions.Utility_DisplayArrayInTable(Common_SourceData.Common_SourceData_MCFTemperatureZone_Data(),Table_SourceData_Common_MCFTemperatureZone[[#Headers],[Temperature zone]],0)</f>
        <v>4.7000000000000002E-3</v>
      </c>
      <c r="S245" s="10" cm="1">
        <f t="array" ref="S245">Common_InputFunctions.Utility_DisplayArrayInTable(Common_SourceData.Common_SourceData_MCFTemperatureZone_Data(),Table_SourceData_Common_MCFTemperatureZone[[#Headers],[Temperature zone]],0)</f>
        <v>23</v>
      </c>
    </row>
    <row r="246" spans="4:19" x14ac:dyDescent="0.25">
      <c r="D246" s="8" t="str" cm="1">
        <f t="array" ref="D246">Common_InputFunctions.Utility_DisplayArrayInTable(Common_SourceData.Common_SourceData_MCFTemperatureZone_Data(),Table_SourceData_Common_MCFTemperatureZone[[#Headers],[Temperature zone]],0)</f>
        <v>Temperate</v>
      </c>
      <c r="E246" s="10" cm="1">
        <f t="array" ref="E246">Common_InputFunctions.Utility_DisplayArrayInTable(Common_SourceData.Common_SourceData_MCFTemperatureZone_Data(),Table_SourceData_Common_MCFTemperatureZone[[#Headers],[Temperature zone]],0)</f>
        <v>24</v>
      </c>
      <c r="F246" s="10" cm="1">
        <f t="array" ref="F246">Common_InputFunctions.Utility_DisplayArrayInTable(Common_SourceData.Common_SourceData_MCFTemperatureZone_Data(),Table_SourceData_Common_MCFTemperatureZone[[#Headers],[Temperature zone]],0)</f>
        <v>0.79</v>
      </c>
      <c r="G246" s="10" cm="1">
        <f t="array" ref="G246">Common_InputFunctions.Utility_DisplayArrayInTable(Common_SourceData.Common_SourceData_MCFTemperatureZone_Data(),Table_SourceData_Common_MCFTemperatureZone[[#Headers],[Temperature zone]],0)</f>
        <v>0.1</v>
      </c>
      <c r="H246" s="10" cm="1">
        <f t="array" ref="H246">Common_InputFunctions.Utility_DisplayArrayInTable(Common_SourceData.Common_SourceData_MCFTemperatureZone_Data(),Table_SourceData_Common_MCFTemperatureZone[[#Headers],[Temperature zone]],0)</f>
        <v>0.37</v>
      </c>
      <c r="I246" s="10" cm="1">
        <f t="array" ref="I246">Common_InputFunctions.Utility_DisplayArrayInTable(Common_SourceData.Common_SourceData_MCFTemperatureZone_Data(),Table_SourceData_Common_MCFTemperatureZone[[#Headers],[Temperature zone]],0)</f>
        <v>5.0000000000000001E-3</v>
      </c>
      <c r="J246" s="10" cm="1">
        <f t="array" ref="J246">Common_InputFunctions.Utility_DisplayArrayInTable(Common_SourceData.Common_SourceData_MCFTemperatureZone_Data(),Table_SourceData_Common_MCFTemperatureZone[[#Headers],[Temperature zone]],0)</f>
        <v>0.01</v>
      </c>
      <c r="K246" s="10" cm="1">
        <f t="array" ref="K246">Common_InputFunctions.Utility_DisplayArrayInTable(Common_SourceData.Common_SourceData_MCFTemperatureZone_Data(),Table_SourceData_Common_MCFTemperatureZone[[#Headers],[Temperature zone]],0)</f>
        <v>0.02</v>
      </c>
      <c r="L246" s="10" cm="1">
        <f t="array" ref="L246">Common_InputFunctions.Utility_DisplayArrayInTable(Common_SourceData.Common_SourceData_MCFTemperatureZone_Data(),Table_SourceData_Common_MCFTemperatureZone[[#Headers],[Temperature zone]],0)</f>
        <v>0.03</v>
      </c>
      <c r="M246" s="10" cm="1">
        <f t="array" ref="M246">Common_InputFunctions.Utility_DisplayArrayInTable(Common_SourceData.Common_SourceData_MCFTemperatureZone_Data(),Table_SourceData_Common_MCFTemperatureZone[[#Headers],[Temperature zone]],0)</f>
        <v>0.04</v>
      </c>
      <c r="N246" s="10" cm="1">
        <f t="array" ref="N246">Common_InputFunctions.Utility_DisplayArrayInTable(Common_SourceData.Common_SourceData_MCFTemperatureZone_Data(),Table_SourceData_Common_MCFTemperatureZone[[#Headers],[Temperature zone]],0)</f>
        <v>1.4999999999999999E-2</v>
      </c>
      <c r="O246" s="10" cm="1">
        <f t="array" ref="O246">Common_InputFunctions.Utility_DisplayArrayInTable(Common_SourceData.Common_SourceData_MCFTemperatureZone_Data(),Table_SourceData_Common_MCFTemperatureZone[[#Headers],[Temperature zone]],0)</f>
        <v>1.4999999999999999E-2</v>
      </c>
      <c r="P246" s="10" cm="1">
        <f t="array" ref="P246">Common_InputFunctions.Utility_DisplayArrayInTable(Common_SourceData.Common_SourceData_MCFTemperatureZone_Data(),Table_SourceData_Common_MCFTemperatureZone[[#Headers],[Temperature zone]],0)</f>
        <v>0</v>
      </c>
      <c r="Q246" s="10" cm="1">
        <f t="array" ref="Q246">Common_InputFunctions.Utility_DisplayArrayInTable(Common_SourceData.Common_SourceData_MCFTemperatureZone_Data(),Table_SourceData_Common_MCFTemperatureZone[[#Headers],[Temperature zone]],0)</f>
        <v>0</v>
      </c>
      <c r="R246" s="10" cm="1">
        <f t="array" ref="R246">Common_InputFunctions.Utility_DisplayArrayInTable(Common_SourceData.Common_SourceData_MCFTemperatureZone_Data(),Table_SourceData_Common_MCFTemperatureZone[[#Headers],[Temperature zone]],0)</f>
        <v>4.7000000000000002E-3</v>
      </c>
      <c r="S246" s="10" cm="1">
        <f t="array" ref="S246">Common_InputFunctions.Utility_DisplayArrayInTable(Common_SourceData.Common_SourceData_MCFTemperatureZone_Data(),Table_SourceData_Common_MCFTemperatureZone[[#Headers],[Temperature zone]],0)</f>
        <v>24</v>
      </c>
    </row>
    <row r="247" spans="4:19" x14ac:dyDescent="0.25">
      <c r="D247" s="8" t="str" cm="1">
        <f t="array" ref="D247">Common_InputFunctions.Utility_DisplayArrayInTable(Common_SourceData.Common_SourceData_MCFTemperatureZone_Data(),Table_SourceData_Common_MCFTemperatureZone[[#Headers],[Temperature zone]],0)</f>
        <v>Temperate</v>
      </c>
      <c r="E247" s="10" cm="1">
        <f t="array" ref="E247">Common_InputFunctions.Utility_DisplayArrayInTable(Common_SourceData.Common_SourceData_MCFTemperatureZone_Data(),Table_SourceData_Common_MCFTemperatureZone[[#Headers],[Temperature zone]],0)</f>
        <v>25</v>
      </c>
      <c r="F247" s="10" cm="1">
        <f t="array" ref="F247">Common_InputFunctions.Utility_DisplayArrayInTable(Common_SourceData.Common_SourceData_MCFTemperatureZone_Data(),Table_SourceData_Common_MCFTemperatureZone[[#Headers],[Temperature zone]],0)</f>
        <v>0.79</v>
      </c>
      <c r="G247" s="10" cm="1">
        <f t="array" ref="G247">Common_InputFunctions.Utility_DisplayArrayInTable(Common_SourceData.Common_SourceData_MCFTemperatureZone_Data(),Table_SourceData_Common_MCFTemperatureZone[[#Headers],[Temperature zone]],0)</f>
        <v>0.1</v>
      </c>
      <c r="H247" s="10" cm="1">
        <f t="array" ref="H247">Common_InputFunctions.Utility_DisplayArrayInTable(Common_SourceData.Common_SourceData_MCFTemperatureZone_Data(),Table_SourceData_Common_MCFTemperatureZone[[#Headers],[Temperature zone]],0)</f>
        <v>0.41</v>
      </c>
      <c r="I247" s="10" cm="1">
        <f t="array" ref="I247">Common_InputFunctions.Utility_DisplayArrayInTable(Common_SourceData.Common_SourceData_MCFTemperatureZone_Data(),Table_SourceData_Common_MCFTemperatureZone[[#Headers],[Temperature zone]],0)</f>
        <v>5.0000000000000001E-3</v>
      </c>
      <c r="J247" s="10" cm="1">
        <f t="array" ref="J247">Common_InputFunctions.Utility_DisplayArrayInTable(Common_SourceData.Common_SourceData_MCFTemperatureZone_Data(),Table_SourceData_Common_MCFTemperatureZone[[#Headers],[Temperature zone]],0)</f>
        <v>0.01</v>
      </c>
      <c r="K247" s="10" cm="1">
        <f t="array" ref="K247">Common_InputFunctions.Utility_DisplayArrayInTable(Common_SourceData.Common_SourceData_MCFTemperatureZone_Data(),Table_SourceData_Common_MCFTemperatureZone[[#Headers],[Temperature zone]],0)</f>
        <v>0.02</v>
      </c>
      <c r="L247" s="10" cm="1">
        <f t="array" ref="L247">Common_InputFunctions.Utility_DisplayArrayInTable(Common_SourceData.Common_SourceData_MCFTemperatureZone_Data(),Table_SourceData_Common_MCFTemperatureZone[[#Headers],[Temperature zone]],0)</f>
        <v>0.03</v>
      </c>
      <c r="M247" s="10" cm="1">
        <f t="array" ref="M247">Common_InputFunctions.Utility_DisplayArrayInTable(Common_SourceData.Common_SourceData_MCFTemperatureZone_Data(),Table_SourceData_Common_MCFTemperatureZone[[#Headers],[Temperature zone]],0)</f>
        <v>0.04</v>
      </c>
      <c r="N247" s="10" cm="1">
        <f t="array" ref="N247">Common_InputFunctions.Utility_DisplayArrayInTable(Common_SourceData.Common_SourceData_MCFTemperatureZone_Data(),Table_SourceData_Common_MCFTemperatureZone[[#Headers],[Temperature zone]],0)</f>
        <v>1.4999999999999999E-2</v>
      </c>
      <c r="O247" s="10" cm="1">
        <f t="array" ref="O247">Common_InputFunctions.Utility_DisplayArrayInTable(Common_SourceData.Common_SourceData_MCFTemperatureZone_Data(),Table_SourceData_Common_MCFTemperatureZone[[#Headers],[Temperature zone]],0)</f>
        <v>1.4999999999999999E-2</v>
      </c>
      <c r="P247" s="10" cm="1">
        <f t="array" ref="P247">Common_InputFunctions.Utility_DisplayArrayInTable(Common_SourceData.Common_SourceData_MCFTemperatureZone_Data(),Table_SourceData_Common_MCFTemperatureZone[[#Headers],[Temperature zone]],0)</f>
        <v>0</v>
      </c>
      <c r="Q247" s="10" cm="1">
        <f t="array" ref="Q247">Common_InputFunctions.Utility_DisplayArrayInTable(Common_SourceData.Common_SourceData_MCFTemperatureZone_Data(),Table_SourceData_Common_MCFTemperatureZone[[#Headers],[Temperature zone]],0)</f>
        <v>0</v>
      </c>
      <c r="R247" s="10" cm="1">
        <f t="array" ref="R247">Common_InputFunctions.Utility_DisplayArrayInTable(Common_SourceData.Common_SourceData_MCFTemperatureZone_Data(),Table_SourceData_Common_MCFTemperatureZone[[#Headers],[Temperature zone]],0)</f>
        <v>4.7000000000000002E-3</v>
      </c>
      <c r="S247" s="10" cm="1">
        <f t="array" ref="S247">Common_InputFunctions.Utility_DisplayArrayInTable(Common_SourceData.Common_SourceData_MCFTemperatureZone_Data(),Table_SourceData_Common_MCFTemperatureZone[[#Headers],[Temperature zone]],0)</f>
        <v>25</v>
      </c>
    </row>
    <row r="248" spans="4:19" x14ac:dyDescent="0.25">
      <c r="D248" s="8" t="str" cm="1">
        <f t="array" ref="D248">Common_InputFunctions.Utility_DisplayArrayInTable(Common_SourceData.Common_SourceData_MCFTemperatureZone_Data(),Table_SourceData_Common_MCFTemperatureZone[[#Headers],[Temperature zone]],0)</f>
        <v>Warm</v>
      </c>
      <c r="E248" s="10" cm="1">
        <f t="array" ref="E248">Common_InputFunctions.Utility_DisplayArrayInTable(Common_SourceData.Common_SourceData_MCFTemperatureZone_Data(),Table_SourceData_Common_MCFTemperatureZone[[#Headers],[Temperature zone]],0)</f>
        <v>26</v>
      </c>
      <c r="F248" s="10" cm="1">
        <f t="array" ref="F248">Common_InputFunctions.Utility_DisplayArrayInTable(Common_SourceData.Common_SourceData_MCFTemperatureZone_Data(),Table_SourceData_Common_MCFTemperatureZone[[#Headers],[Temperature zone]],0)</f>
        <v>0.79</v>
      </c>
      <c r="G248" s="10" cm="1">
        <f t="array" ref="G248">Common_InputFunctions.Utility_DisplayArrayInTable(Common_SourceData.Common_SourceData_MCFTemperatureZone_Data(),Table_SourceData_Common_MCFTemperatureZone[[#Headers],[Temperature zone]],0)</f>
        <v>0.1</v>
      </c>
      <c r="H248" s="10" cm="1">
        <f t="array" ref="H248">Common_InputFunctions.Utility_DisplayArrayInTable(Common_SourceData.Common_SourceData_MCFTemperatureZone_Data(),Table_SourceData_Common_MCFTemperatureZone[[#Headers],[Temperature zone]],0)</f>
        <v>0.44</v>
      </c>
      <c r="I248" s="10" cm="1">
        <f t="array" ref="I248">Common_InputFunctions.Utility_DisplayArrayInTable(Common_SourceData.Common_SourceData_MCFTemperatureZone_Data(),Table_SourceData_Common_MCFTemperatureZone[[#Headers],[Temperature zone]],0)</f>
        <v>0.01</v>
      </c>
      <c r="J248" s="10" cm="1">
        <f t="array" ref="J248">Common_InputFunctions.Utility_DisplayArrayInTable(Common_SourceData.Common_SourceData_MCFTemperatureZone_Data(),Table_SourceData_Common_MCFTemperatureZone[[#Headers],[Temperature zone]],0)</f>
        <v>1.4999999999999999E-2</v>
      </c>
      <c r="K248" s="10" cm="1">
        <f t="array" ref="K248">Common_InputFunctions.Utility_DisplayArrayInTable(Common_SourceData.Common_SourceData_MCFTemperatureZone_Data(),Table_SourceData_Common_MCFTemperatureZone[[#Headers],[Temperature zone]],0)</f>
        <v>0.02</v>
      </c>
      <c r="L248" s="10" cm="1">
        <f t="array" ref="L248">Common_InputFunctions.Utility_DisplayArrayInTable(Common_SourceData.Common_SourceData_MCFTemperatureZone_Data(),Table_SourceData_Common_MCFTemperatureZone[[#Headers],[Temperature zone]],0)</f>
        <v>0.03</v>
      </c>
      <c r="M248" s="10" cm="1">
        <f t="array" ref="M248">Common_InputFunctions.Utility_DisplayArrayInTable(Common_SourceData.Common_SourceData_MCFTemperatureZone_Data(),Table_SourceData_Common_MCFTemperatureZone[[#Headers],[Temperature zone]],0)</f>
        <v>0.04</v>
      </c>
      <c r="N248" s="10" cm="1">
        <f t="array" ref="N248">Common_InputFunctions.Utility_DisplayArrayInTable(Common_SourceData.Common_SourceData_MCFTemperatureZone_Data(),Table_SourceData_Common_MCFTemperatureZone[[#Headers],[Temperature zone]],0)</f>
        <v>1.4999999999999999E-2</v>
      </c>
      <c r="O248" s="10" cm="1">
        <f t="array" ref="O248">Common_InputFunctions.Utility_DisplayArrayInTable(Common_SourceData.Common_SourceData_MCFTemperatureZone_Data(),Table_SourceData_Common_MCFTemperatureZone[[#Headers],[Temperature zone]],0)</f>
        <v>1.4999999999999999E-2</v>
      </c>
      <c r="P248" s="10" cm="1">
        <f t="array" ref="P248">Common_InputFunctions.Utility_DisplayArrayInTable(Common_SourceData.Common_SourceData_MCFTemperatureZone_Data(),Table_SourceData_Common_MCFTemperatureZone[[#Headers],[Temperature zone]],0)</f>
        <v>0</v>
      </c>
      <c r="Q248" s="10" cm="1">
        <f t="array" ref="Q248">Common_InputFunctions.Utility_DisplayArrayInTable(Common_SourceData.Common_SourceData_MCFTemperatureZone_Data(),Table_SourceData_Common_MCFTemperatureZone[[#Headers],[Temperature zone]],0)</f>
        <v>0</v>
      </c>
      <c r="R248" s="10" cm="1">
        <f t="array" ref="R248">Common_InputFunctions.Utility_DisplayArrayInTable(Common_SourceData.Common_SourceData_MCFTemperatureZone_Data(),Table_SourceData_Common_MCFTemperatureZone[[#Headers],[Temperature zone]],0)</f>
        <v>4.7000000000000002E-3</v>
      </c>
      <c r="S248" s="10" cm="1">
        <f t="array" ref="S248">Common_InputFunctions.Utility_DisplayArrayInTable(Common_SourceData.Common_SourceData_MCFTemperatureZone_Data(),Table_SourceData_Common_MCFTemperatureZone[[#Headers],[Temperature zone]],0)</f>
        <v>26</v>
      </c>
    </row>
    <row r="249" spans="4:19" x14ac:dyDescent="0.25">
      <c r="D249" s="8" t="str" cm="1">
        <f t="array" ref="D249">Common_InputFunctions.Utility_DisplayArrayInTable(Common_SourceData.Common_SourceData_MCFTemperatureZone_Data(),Table_SourceData_Common_MCFTemperatureZone[[#Headers],[Temperature zone]],0)</f>
        <v>Warm</v>
      </c>
      <c r="E249" s="10" cm="1">
        <f t="array" ref="E249">Common_InputFunctions.Utility_DisplayArrayInTable(Common_SourceData.Common_SourceData_MCFTemperatureZone_Data(),Table_SourceData_Common_MCFTemperatureZone[[#Headers],[Temperature zone]],0)</f>
        <v>27</v>
      </c>
      <c r="F249" s="10" cm="1">
        <f t="array" ref="F249">Common_InputFunctions.Utility_DisplayArrayInTable(Common_SourceData.Common_SourceData_MCFTemperatureZone_Data(),Table_SourceData_Common_MCFTemperatureZone[[#Headers],[Temperature zone]],0)</f>
        <v>0.8</v>
      </c>
      <c r="G249" s="10" cm="1">
        <f t="array" ref="G249">Common_InputFunctions.Utility_DisplayArrayInTable(Common_SourceData.Common_SourceData_MCFTemperatureZone_Data(),Table_SourceData_Common_MCFTemperatureZone[[#Headers],[Temperature zone]],0)</f>
        <v>0.1</v>
      </c>
      <c r="H249" s="10" cm="1">
        <f t="array" ref="H249">Common_InputFunctions.Utility_DisplayArrayInTable(Common_SourceData.Common_SourceData_MCFTemperatureZone_Data(),Table_SourceData_Common_MCFTemperatureZone[[#Headers],[Temperature zone]],0)</f>
        <v>0.48</v>
      </c>
      <c r="I249" s="10" cm="1">
        <f t="array" ref="I249">Common_InputFunctions.Utility_DisplayArrayInTable(Common_SourceData.Common_SourceData_MCFTemperatureZone_Data(),Table_SourceData_Common_MCFTemperatureZone[[#Headers],[Temperature zone]],0)</f>
        <v>0.01</v>
      </c>
      <c r="J249" s="10" cm="1">
        <f t="array" ref="J249">Common_InputFunctions.Utility_DisplayArrayInTable(Common_SourceData.Common_SourceData_MCFTemperatureZone_Data(),Table_SourceData_Common_MCFTemperatureZone[[#Headers],[Temperature zone]],0)</f>
        <v>1.4999999999999999E-2</v>
      </c>
      <c r="K249" s="10" cm="1">
        <f t="array" ref="K249">Common_InputFunctions.Utility_DisplayArrayInTable(Common_SourceData.Common_SourceData_MCFTemperatureZone_Data(),Table_SourceData_Common_MCFTemperatureZone[[#Headers],[Temperature zone]],0)</f>
        <v>0.02</v>
      </c>
      <c r="L249" s="10" cm="1">
        <f t="array" ref="L249">Common_InputFunctions.Utility_DisplayArrayInTable(Common_SourceData.Common_SourceData_MCFTemperatureZone_Data(),Table_SourceData_Common_MCFTemperatureZone[[#Headers],[Temperature zone]],0)</f>
        <v>0.03</v>
      </c>
      <c r="M249" s="10" cm="1">
        <f t="array" ref="M249">Common_InputFunctions.Utility_DisplayArrayInTable(Common_SourceData.Common_SourceData_MCFTemperatureZone_Data(),Table_SourceData_Common_MCFTemperatureZone[[#Headers],[Temperature zone]],0)</f>
        <v>0.04</v>
      </c>
      <c r="N249" s="10" cm="1">
        <f t="array" ref="N249">Common_InputFunctions.Utility_DisplayArrayInTable(Common_SourceData.Common_SourceData_MCFTemperatureZone_Data(),Table_SourceData_Common_MCFTemperatureZone[[#Headers],[Temperature zone]],0)</f>
        <v>1.4999999999999999E-2</v>
      </c>
      <c r="O249" s="10" cm="1">
        <f t="array" ref="O249">Common_InputFunctions.Utility_DisplayArrayInTable(Common_SourceData.Common_SourceData_MCFTemperatureZone_Data(),Table_SourceData_Common_MCFTemperatureZone[[#Headers],[Temperature zone]],0)</f>
        <v>1.4999999999999999E-2</v>
      </c>
      <c r="P249" s="10" cm="1">
        <f t="array" ref="P249">Common_InputFunctions.Utility_DisplayArrayInTable(Common_SourceData.Common_SourceData_MCFTemperatureZone_Data(),Table_SourceData_Common_MCFTemperatureZone[[#Headers],[Temperature zone]],0)</f>
        <v>0</v>
      </c>
      <c r="Q249" s="10" cm="1">
        <f t="array" ref="Q249">Common_InputFunctions.Utility_DisplayArrayInTable(Common_SourceData.Common_SourceData_MCFTemperatureZone_Data(),Table_SourceData_Common_MCFTemperatureZone[[#Headers],[Temperature zone]],0)</f>
        <v>0</v>
      </c>
      <c r="R249" s="10" cm="1">
        <f t="array" ref="R249">Common_InputFunctions.Utility_DisplayArrayInTable(Common_SourceData.Common_SourceData_MCFTemperatureZone_Data(),Table_SourceData_Common_MCFTemperatureZone[[#Headers],[Temperature zone]],0)</f>
        <v>4.7000000000000002E-3</v>
      </c>
      <c r="S249" s="10" cm="1">
        <f t="array" ref="S249">Common_InputFunctions.Utility_DisplayArrayInTable(Common_SourceData.Common_SourceData_MCFTemperatureZone_Data(),Table_SourceData_Common_MCFTemperatureZone[[#Headers],[Temperature zone]],0)</f>
        <v>27</v>
      </c>
    </row>
    <row r="250" spans="4:19" x14ac:dyDescent="0.25">
      <c r="D250" s="8" t="str" cm="1">
        <f t="array" ref="D250">Common_InputFunctions.Utility_DisplayArrayInTable(Common_SourceData.Common_SourceData_MCFTemperatureZone_Data(),Table_SourceData_Common_MCFTemperatureZone[[#Headers],[Temperature zone]],0)</f>
        <v>Warm</v>
      </c>
      <c r="E250" s="10" t="str" cm="1">
        <f t="array" ref="E250">Common_InputFunctions.Utility_DisplayArrayInTable(Common_SourceData.Common_SourceData_MCFTemperatureZone_Data(),Table_SourceData_Common_MCFTemperatureZone[[#Headers],[Temperature zone]],0)</f>
        <v>≥28</v>
      </c>
      <c r="F250" s="10" cm="1">
        <f t="array" ref="F250">Common_InputFunctions.Utility_DisplayArrayInTable(Common_SourceData.Common_SourceData_MCFTemperatureZone_Data(),Table_SourceData_Common_MCFTemperatureZone[[#Headers],[Temperature zone]],0)</f>
        <v>0.8</v>
      </c>
      <c r="G250" s="10" cm="1">
        <f t="array" ref="G250">Common_InputFunctions.Utility_DisplayArrayInTable(Common_SourceData.Common_SourceData_MCFTemperatureZone_Data(),Table_SourceData_Common_MCFTemperatureZone[[#Headers],[Temperature zone]],0)</f>
        <v>0.1</v>
      </c>
      <c r="H250" s="10" cm="1">
        <f t="array" ref="H250">Common_InputFunctions.Utility_DisplayArrayInTable(Common_SourceData.Common_SourceData_MCFTemperatureZone_Data(),Table_SourceData_Common_MCFTemperatureZone[[#Headers],[Temperature zone]],0)</f>
        <v>0.5</v>
      </c>
      <c r="I250" s="10" cm="1">
        <f t="array" ref="I250">Common_InputFunctions.Utility_DisplayArrayInTable(Common_SourceData.Common_SourceData_MCFTemperatureZone_Data(),Table_SourceData_Common_MCFTemperatureZone[[#Headers],[Temperature zone]],0)</f>
        <v>0.01</v>
      </c>
      <c r="J250" s="10" cm="1">
        <f t="array" ref="J250">Common_InputFunctions.Utility_DisplayArrayInTable(Common_SourceData.Common_SourceData_MCFTemperatureZone_Data(),Table_SourceData_Common_MCFTemperatureZone[[#Headers],[Temperature zone]],0)</f>
        <v>1.4999999999999999E-2</v>
      </c>
      <c r="K250" s="10" cm="1">
        <f t="array" ref="K250">Common_InputFunctions.Utility_DisplayArrayInTable(Common_SourceData.Common_SourceData_MCFTemperatureZone_Data(),Table_SourceData_Common_MCFTemperatureZone[[#Headers],[Temperature zone]],0)</f>
        <v>0.02</v>
      </c>
      <c r="L250" s="10" cm="1">
        <f t="array" ref="L250">Common_InputFunctions.Utility_DisplayArrayInTable(Common_SourceData.Common_SourceData_MCFTemperatureZone_Data(),Table_SourceData_Common_MCFTemperatureZone[[#Headers],[Temperature zone]],0)</f>
        <v>0.03</v>
      </c>
      <c r="M250" s="10" cm="1">
        <f t="array" ref="M250">Common_InputFunctions.Utility_DisplayArrayInTable(Common_SourceData.Common_SourceData_MCFTemperatureZone_Data(),Table_SourceData_Common_MCFTemperatureZone[[#Headers],[Temperature zone]],0)</f>
        <v>0.04</v>
      </c>
      <c r="N250" s="10" cm="1">
        <f t="array" ref="N250">Common_InputFunctions.Utility_DisplayArrayInTable(Common_SourceData.Common_SourceData_MCFTemperatureZone_Data(),Table_SourceData_Common_MCFTemperatureZone[[#Headers],[Temperature zone]],0)</f>
        <v>1.4999999999999999E-2</v>
      </c>
      <c r="O250" s="10" cm="1">
        <f t="array" ref="O250">Common_InputFunctions.Utility_DisplayArrayInTable(Common_SourceData.Common_SourceData_MCFTemperatureZone_Data(),Table_SourceData_Common_MCFTemperatureZone[[#Headers],[Temperature zone]],0)</f>
        <v>1.4999999999999999E-2</v>
      </c>
      <c r="P250" s="10" cm="1">
        <f t="array" ref="P250">Common_InputFunctions.Utility_DisplayArrayInTable(Common_SourceData.Common_SourceData_MCFTemperatureZone_Data(),Table_SourceData_Common_MCFTemperatureZone[[#Headers],[Temperature zone]],0)</f>
        <v>0</v>
      </c>
      <c r="Q250" s="10" cm="1">
        <f t="array" ref="Q250">Common_InputFunctions.Utility_DisplayArrayInTable(Common_SourceData.Common_SourceData_MCFTemperatureZone_Data(),Table_SourceData_Common_MCFTemperatureZone[[#Headers],[Temperature zone]],0)</f>
        <v>0</v>
      </c>
      <c r="R250" s="10" cm="1">
        <f t="array" ref="R250">Common_InputFunctions.Utility_DisplayArrayInTable(Common_SourceData.Common_SourceData_MCFTemperatureZone_Data(),Table_SourceData_Common_MCFTemperatureZone[[#Headers],[Temperature zone]],0)</f>
        <v>4.7000000000000002E-3</v>
      </c>
      <c r="S250" s="10" cm="1">
        <f t="array" ref="S250">Common_InputFunctions.Utility_DisplayArrayInTable(Common_SourceData.Common_SourceData_MCFTemperatureZone_Data(),Table_SourceData_Common_MCFTemperatureZone[[#Headers],[Temperature zone]],0)</f>
        <v>28</v>
      </c>
    </row>
    <row r="253" spans="4:19" ht="23.25" x14ac:dyDescent="0.25">
      <c r="D253" s="9" t="str" cm="1">
        <f t="array" ref="D253">Common_SourceData.Common_SourceData_EFOrganicFertiliserAndCropResidues_Title()</f>
        <v>Emission factor for organic fertiliser and crop residues returned to the soil</v>
      </c>
    </row>
    <row r="254" spans="4:19" x14ac:dyDescent="0.25">
      <c r="D254" s="11" t="str" cm="1">
        <f t="array" ref="D254">Common_SourceData.Common_SourceData_EFOrganicFertiliserAndCropResidues_Source()</f>
        <v>VEERG 2026: Table A.2.1.4</v>
      </c>
    </row>
    <row r="255" spans="4:19" x14ac:dyDescent="0.25">
      <c r="D255" s="8" t="str" cm="1">
        <f t="array" ref="D255">Common_SourceData.Common_SourceData_EFOrganicFertiliserAndCropResidues_Variable()</f>
        <v>EFNi &amp; EFN2Oi</v>
      </c>
    </row>
    <row r="256" spans="4:19" x14ac:dyDescent="0.25">
      <c r="D256" s="13" t="str" cm="1">
        <f t="array" ref="D256">Common_SourceData.Common_SourceData_EFOrganicFertiliserAndCropResidues_Unit()</f>
        <v>kg N2O - N / kg N</v>
      </c>
    </row>
    <row r="257" spans="4:5" x14ac:dyDescent="0.25">
      <c r="D257" s="10" t="s">
        <v>64</v>
      </c>
      <c r="E257" s="10" t="s">
        <v>65</v>
      </c>
    </row>
    <row r="258" spans="4:5" x14ac:dyDescent="0.25">
      <c r="D258" s="10" t="str" cm="1">
        <f t="array" ref="D258">Common_InputFunctions.Utility_DisplayArrayInTable(Common_SourceData.Common_SourceData_EFOrganicFertiliserAndCropResidues_Data(), Table_SourceData_Common_EFOrganicFertCropResidues[[#Headers],[Climate Zone]], 0)</f>
        <v>Wet climate zone</v>
      </c>
      <c r="E258" s="10"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8" t="str" cm="1">
        <f t="array" ref="D259">Common_InputFunctions.Utility_DisplayArrayInTable(Common_SourceData.Common_SourceData_EFOrganicFertiliserAndCropResidues_Data(), Table_SourceData_Common_EFOrganicFertCropResidues[[#Headers],[Climate Zone]], 0)</f>
        <v>Dry climate zone</v>
      </c>
      <c r="E259" s="10"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wAHIAbwBqAGUAYwB0AE4AYQBtAGUAcwAiADoAWwAiAFYAYQBsAGkAZABMAGkAdgBlAHMAdABvAGMAawBDAGwAYQBzAHMAIgAsACIARgB1AGUAbABfAFMAbwB1AHIAYwBlAEQAYQB0AGEALgBGAHUAZQBsAF8AUwBjAG8AcABlADEARQBtAGkAcwBzAGkAbwBuAEYAYQBjAHQAbwByAHMAUwB0AGEAdABpAG8AbgBhAHIAeQBHAGEAcwBlAG8AdQBzAF8AVABpAHQAbABlACIALAAiAEYAdQBlAGwAXwBTAG8AdQByAGMAZQBEAGEAdABhAC4ARgB1AGUAbABfAFMAYwBvAHAAZQAxAEUAbQBpAHMAcwBpAG8AbgBGAGEAYwB0AG8AcgBzAFMAdABhAHQAaQBvAG4AYQByAHkARwBhAHMAZQBvAHUAcwBfAEQAZQBzAGMAcgBpAHAAdABpAG8AbgAiACwAIgBGAHUAZQBsAF8AUwBvAHUAcgBjAGUARABhAHQAYQAuAEYAdQBlAGwAXwBTAGMAbwBwAGUAMQBFAG0AaQBzAHMAaQBvAG4ARgBhAGMAdABvAHIAcwBTAHQAYQB0AGkAbwBuAGEAcgB5AEcAYQBzAGUAbwB1AHMAXwBTAG8AdQByAGMAZQAiACwAIgBGAHUAZQBsAF8AUwBvAHUAcgBjAGUARABhAHQAYQAuAEYAdQBlAGwAXwBTAGMAbwBwAGUAMQBFAG0AaQBzAHMAaQBvAG4ARgBhAGMAdABvAHIAcwBTAHQAYQB0AGkAbwBuAGEAcgB5AEcAYQBzAGUAbwB1AHMAXwBEAGEAdABhACIALAAiAEYAdQBlAGwAXwBTAG8AdQByAGMAZQBEAGEAdABhAC4ARgB1AGUAbABfAFMAYwBvAHAAZQAxAEUAbQBpAHMAcwBpAG8AbgBGAGEAYwB0AG8AcgBzAFMAdABhAHQAaQBvAG4AYQByAHkARwBhAHMAZQBvAHUAcwBfAFYAYQByAGkAYQB0AGkAbwBuACIALAAiAEYAdQBlAGwAXwBTAG8AdQByAGMAZQBEAGEAdABhAC4ARgB1AGUAbABfAFMAYwBvAHAAZQAzAEUAbQBpAHMAcwBpAG8AbgBGAGEAYwB0AG8AcgBzAFMAdABhAHQAaQBvAG4AYQByAHkARwBhAHMAZQBvAHUAcwBfAFQAaQB0AGwAZQAiACwAIgBGAHUAZQBsAF8AUwBvAHUAcgBjAGUARABhAHQAYQAuAEYAdQBlAGwAXwBTAGMAbwBwAGUAMwBFAG0AaQBzAHMAaQBvAG4ARgBhAGMAdABvAHIAcwBTAHQAYQB0AGkAbwBuAGEAcgB5AEcAYQBzAGUAbwB1AHMAXwBEAGUAcwBjAHIAaQBwAHQAaQBvAG4AIgAsACIARgB1AGUAbABfAFMAbwB1AHIAYwBlAEQAYQB0AGEALgBGAHUAZQBsAF8AUwBjAG8AcABlADMARQBtAGkAcwBzAGkAbwBuAEYAYQBjAHQAbwByAHMAUwB0AGEAdABpAG8AbgBhAHIAeQBHAGEAcwBlAG8AdQBzAF8AUwBvAHUAcgBjAGUAIgAsACIARgB1AGUAbABfAFMAbwB1AHIAYwBlAEQAYQB0AGEALgBGAHUAZQBsAF8AUwBjAG8AcABlADMARQBtAGkAcwBzAGkAbwBuAEYAYQBjAHQAbwByAHMAUwB0AGEAdABpAG8AbgBhAHIAeQBHAGEAcwBlAG8AdQBzAF8ARABhAHQAYQAiACwAIgBGAHUAZQBsAF8AUwBvAHUAcgBjAGUARABhAHQAYQAuAEYAdQBlAGwAXwBTAGMAbwBwAGUAMwBFAG0AaQBzAHMAaQBvAG4ARgBhAGMAdABvAHIAcwBTAHQAYQB0AGkAbwBuAGEAcgB5AEcAYQBzAGUAbwB1AHMAXwBWAGEAcgBpAGEAdABpAG8AbgAiACwAIgBGAHUAZQBsAF8AUwBvAHUAcgBjAGUARABhAHQAYQAuAEYAdQBlAGwAXwBTAGMAbwBwAGUAMwBFAG0AaQBzAHMAaQBvAG4ARgBhAGMAdABvAHIAcwBTAHQAYQB0AGkAbwBuAGEAcgB5AEcAYQBzAGUAbwB1AHMAXwBBAHAAcABlAG4AZABpAGMAZQBzACIALAAiAEYAdQBlAGwAXwBTAG8AdQByAGMAZQBEAGEAdABhAC4ARgB1AGUAbABfAFMAYwBvAHAAZQAxAFMAYwBvAHAAZQAzAEUAbQBpAHMAcwBpAG8AbgBGAGEAYwB0AG8AcgBzAFMAdABhAHQAaQBvAG4AYQByAHkATABpAHEAdQBpAGQAXwBUAGkAdABsAGUAIgAsACIARgB1AGUAbABfAFMAbwB1AHIAYwBlAEQAYQB0AGEALgBGAHUAZQBsAF8AUwBjAG8AcABlADEAUwBjAG8AcABlADMARQBtAGkAcwBzAGkAbwBuAEYAYQBjAHQAbwByAHMAUwB0AGEAdABpAG8AbgBhAHIAeQBMAGkAcQB1AGkAZABfAEQAZQBzAGMAcgBpAHAAdABpAG8AbgAiACwAIgBGAHUAZQBsAF8AUwBvAHUAcgBjAGUARABhAHQAYQAuAEYAdQBlAGwAXwBTAGMAbwBwAGUAMQBTAGMAbwBwAGUAMwBFAG0AaQBzAHMAaQBvAG4ARgBhAGMAdABvAHIAcwBTAHQAYQB0AGkAbwBuAGEAcgB5AEwAaQBxAHUAaQBkAF8AUwBvAHUAcgBjAGUAIgAsACIARgB1AGUAbABfAFMAbwB1AHIAYwBlAEQAYQB0AGEALgBGAHUAZQBsAF8AUwBjAG8AcABlADEAUwBjAG8AcABlADMARQBtAGkAcwBzAGkAbwBuAEYAYQBjAHQAbwByAHMAUwB0AGEAdABpAG8AbgBhAHIAeQBMAGkAcQB1AGkAZABfAEQAYQB0AGEAIgAsACIARgB1AGUAbABfAFMAbwB1AHIAYwBlAEQAYQB0AGEALgBGAHUAZQBsAF8AUwBjAG8AcABlADEAUwBjAG8AcABlADMARQBtAGkAcwBzAGkAbwBuAEYAYQBjAHQAbwByAHMAUwB0AGEAdABpAG8AbgBhAHIAeQBMAGkAcQB1AGkAZABfAFYAYQByAGkAYQB0AGkAbwBuACIALAAiAEYAdQBlAGwAXwBTAG8AdQByAGMAZQBEAGEAdABhAC4ARgB1AGUAbABfAFMAYwBvAHAAZQAxAFMAYwBvAHAAZQAzAEUAbQBpAHMAcwBpAG8AbgBGAGEAYwB0AG8AcgBzAFQAcgBhAG4AcwBwAG8AcgB0AF8AVABpAHQAbABlACIALAAiAEYAdQBlAGwAXwBTAG8AdQByAGMAZQBEAGEAdABhAC4ARgB1AGUAbABfAFMAYwBvAHAAZQAxAFMAYwBvAHAAZQAzAEUAbQBpAHMAcwBpAG8AbgBGAGEAYwB0AG8AcgBzAFQAcgBhAG4AcwBwAG8AcgB0AF8ARABlAHMAYwByAGkAcAB0AGkAbwBuACIALAAiAEYAdQBlAGwAXwBTAG8AdQByAGMAZQBEAGEAdABhAC4ARgB1AGUAbABfAFMAYwBvAHAAZQAxAFMAYwBvAHAAZQAzAEUAbQBpAHMAcwBpAG8AbgBGAGEAYwB0AG8AcgBzAFQAcgBhAG4AcwBwAG8AcgB0AF8AUwBvAHUAcgBjAGUAIgAsACIARgB1AGUAbABfAFMAbwB1AHIAYwBlAEQAYQB0AGEALgBGAHUAZQBsAF8AUwBjAG8AcABlADEAUwBjAG8AcABlADMARQBtAGkAcwBzAGkAbwBuAEYAYQBjAHQAbwByAHMAVAByAGEAbgBzAHAAbwByAHQAXwBEAGEAdABhACIALAAiAEYAdQBlAGwAXwBTAG8AdQByAGMAZQBEAGEAdABhAC4ARgB1AGUAbABfAFMAYwBvAHAAZQAxAFMAYwBvAHAAZQAzAEUAbQBpAHMAcwBpAG8AbgBGAGEAYwB0AG8AcgBzAFQAcgBhAG4AcwBwAG8AcgB0AF8AVgBhAHIAaQBhAHQAaQBvAG4AIgAsACIARgB1AGUAbABfAFMAbwB1AHIAYwBlAEQAYQB0AGEALgBGAHUAZQBsAF8AUwBjAG8AcABlADEAUwBjAG8AcABlADMARQBtAGkAcwBzAGkAbwBuAEYAYQBjAHQAbwByAHMAVAByAGEAbgBzAHAAbwByAHQATwBmAGYAUgBvAGEAZABfAFQAaQB0AGwAZQAiACwAIgBGAHUAZQBsAF8AUwBvAHUAcgBjAGUARABhAHQAYQAuAEYAdQBlAGwAXwBTAGMAbwBwAGUAMQBTAGMAbwBwAGUAMwBFAG0AaQBzAHMAaQBvAG4ARgBhAGMAdABvAHIAcwBUAHIAYQBuAHMAcABvAHIAdABPAGYAZgBSAG8AYQBkAF8ARABlAHMAYwByAGkAcAB0AGkAbwBuACIALAAiAEYAdQBlAGwAXwBTAG8AdQByAGMAZQBEAGEAdABhAC4ARgB1AGUAbABfAFMAYwBvAHAAZQAxAFMAYwBvAHAAZQAzAEUAbQBpAHMAcwBpAG8AbgBGAGEAYwB0AG8AcgBzAFQAcgBhAG4AcwBwAG8AcgB0AE8AZgBmAFIAbwBhAGQAXwBTAG8AdQByAGMAZQAiACwAIgBGAHUAZQBsAF8AUwBvAHUAcgBjAGUARABhAHQAYQAuAEYAdQBlAGwAXwBTAGMAbwBwAGUAMQBTAGMAbwBwAGUAMwBFAG0AaQBzAHMAaQBvAG4ARgBhAGMAdABvAHIAcwBUAHIAYQBuAHMAcABvAHIAdABPAGYAZgBSAG8AYQBk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TAG8AdQByAGMAZQBIAHkAcABlAHIAbABpAG4AawBEAGkAZgBmAGUAcgBlAG4AdABTAGgAZQBlAHQAIgAsACIAQwBvAG0AbQBvAG4AXwBJAG4AcAB1AHQARgB1AG4AYwB0AGkAbwBuAHMALgBVAHQAaQBsAGkAdAB5AF8ARABpAHMAcABsAGEAeQBBAHIAZwB1AG0AZQBuAHQAcwBfADEAXwAyACIALAAiAEMAbwBtAG0AbwBuAF8ASQBuAHAAdQB0AEYAdQBuAGMAdABpAG8AbgBzAC4AVQB0AGkAbABpAHQAeQBfAEQAaQBzAHAAbABhAHkAQQByAGcAdQBtAGUAbgB0AHMAXwAzAF8ANAAiACwAIgBDAG8AbQBtAG8AbgBfAEkAbgBwAHUAdABGAHUAbgBjAHQAaQBvAG4AcwAuAEMAbwBtAG0AbwBuAF8ARwBlAHQATQBDAEYAVABlAG0AcABlAHIAYQB0AHUAcgBlAFoAbwBuAGUAIgAsACIAQwBvAG0AbQBvAG4AXwBJAG4AcAB1AHQARgB1AG4AYwB0AGkAbwBuAHMALgBVAHQAaQBsAGkAdAB5AF8AUgBlAHMAdQBsAHQAcwBJAHQAZQBtAEYAcgBvAG0ARQBxAHUAYQB0AGkAbwBuAFQAaQB0AGwAZQBBAG4AZABTAG8AdQByAGMAZQAiACw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0AQwBGAFQAZQBtAHAAZQByAGEAdAB1AHIAZQBaAG8AbgBlAF8AVABpAHQAbABlACIALAAiAEMAbwBtAG0AbwBuAF8AUwBvAHUAcgBjAGUARABhAHQAYQAuAEMAbwBtAG0AbwBuAF8AUwBvAHUAcgBjAGUARABhAHQAYQBfAE0AQwBGAFQAZQBtAHAAZQByAGEAdAB1AHIAZQBaAG8AbgBlAF8AVQBuAGkAdAAiACwAIgBDAG8AbQBtAG8AbgBfAFMAbwB1AHIAYwBlAEQAYQB0AGEALgBDAG8AbQBtAG8AbgBfAFMAbwB1AHIAYwBlAEQAYQB0AGEAXwBNAEMARgBUAGUAbQBwAGUAcgBhAHQAdQByAGUAWgBvAG4AZQBfAFMAbwB1AHIAYwBlACIALAAiAEMAbwBtAG0AbwBuAF8AUwBvAHUAcgBjAGUARABhAHQAYQAuAEMAbwBtAG0AbwBuAF8AUwBvAHUAcgBjAGUARABhAHQAYQBfAE0AQwBGAFQAZQBtAHAAZQByAGEAdAB1AHIAZQBaAG8AbgBlAF8ARABhAHQAYQAiACwAIgBDAG8AbQBtAG8AbgBfAFMAbwB1AHIAYwBlAEQAYQB0AGEALgBDAG8AbQBtAG8AbgBfAFMAbwB1AHIAYwBlAEQAYQB0AGEAXwBNAEMARgBUAGUAbQBwAGUAcgBhAHQAdQByAGUAWgBvAG4AZQ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RgB1AGUAbABfAEkAbgBwAHUAdABGAHUAbgBjAHQAaQBvAG4AcwAuAEYAdQBlAGwAXwBHAGUAdABUAHIAYQBuAHMAcABvAHIAdABGAHUAZQBsAFMAdAByAGkAbgBnACIALAAiAEYAdQBlAGwAXwBJAG4AcAB1AHQARgB1AG4AYwB0AGkAbwBuAHMALgBGAHUAZQBsAF8ARwBlAHQAUwB0AGEAdABpAG8AbgBhAHIAeQBGAHUAZQBsAFMAdAByAGkAbgBnACIALAAiAEYAdQBlAGwAXwBJAG4AcAB1AHQARgB1AG4AYwB0AGkAbwBuAHMALgBGAHUAZQBsAF8AVABvAHQAYQBsAEMAbwBuAHMAdQBtAHAAdABpAG8AbgAiACwAIgBGAGUAcgB0AGkAbABpAHMAZQByAF8AUwBvAHUAcgBjAGUARABhAHQAYQAuAEYAZQByAHQAaQBsAGkAcwBlAHIAXwBDAGgAZQBtAGkAYwBhAGwAQwBvAG0AcABvAHUAbgBkAEUAbABlAG0AZQBuAHQAcwBfAFQAaQB0AGwAZQAiACwAIgBGAGUAcgB0AGkAbABpAHMAZQByAF8AUwBvAHUAcgBjAGUARABhAHQAYQAuAEYAZQByAHQAaQBsAGkAcwBlAHIAXwBDAGgAZQBtAGkAYwBhAGwAQwBvAG0AcABvAHUAbgBkAEUAbABlAG0AZQBuAHQAcwBfAFMAbwB1AHIAYwBlACIALAAiAEYAZQByAHQAaQBsAGkAcwBlAHIAXwBTAG8AdQByAGMAZQBEAGEAdABhAC4ARgBlAHIAdABpAGwAaQBzAGUAcgBfAEMAaABlAG0AaQBjAGEAbABDAG8AbQBwAG8AdQBuAGQARQBsAGUAbQBlAG4AdABzAF8ARABhAHQAYQAiACwAIgBGAGUAcgB0AGkAbABpAHMAZQByAF8AUwBvAHUAcgBjAGUARABhAHQAYQAuAEYAZQByAHQAaQBsAGkAcwBlAHIAXwBDAGgAZQBtAGkAYwBhAGwAQwBvAG0AcABvAHUAbgBkAEUAbABlAG0AZQBuAHQAcwBfAFYAYQByAGkAYQB0AGkAbwBuACIALAAiAEYAZQByAHQAaQBsAGkAcwBlAHIAXwBTAG8AdQByAGMAZQBEAGEAdABhAC4ARgBlAHIAdABpAGwAaQBzAGUAcgBfAEYAcgBhAGMARwBBAFMARgBfAFQAaQB0AGwAZQAiACwAIgBGAGUAcgB0AGkAbABpAHMAZQByAF8AUwBvAHUAcgBjAGUARABhAHQAYQAuAEYAZQByAHQAaQBsAGkAcwBlAHIAXwBGAHIAYQBjAEcAQQBTAEYAXwBTAG8AdQByAGMAZQAiACwAIgBGAGUAcgB0AGkAbABpAHMAZQByAF8AUwBvAHUAcgBjAGUARABhAHQAYQAuAEYAZQByAHQAaQBsAGkAcwBlAHIAXwBGAHIAYQBjAEcAQQBTAEYAXwBEAGEAdABhACIALAAiAEYAZQByAHQAaQBsAGkAcwBlAHIAXwBTAG8AdQByAGMAZQBEAGEAdABhAC4ARgBlAHIAdABpAGwAaQBzAGUAcgBfAEYAcgBhAGMARwBBAFMARgBfAFYAYQByAGkAYQB0AGkAbwBuACIALAAiAEYAZQByAHQAaQBsAGkAcwBlAHIAXwBTAG8AdQByAGMAZQBEAGEAdABhAC4ARgBlAHIAdABpAGwAaQBzAGUAcgBfAEUARgBVAHIAZQBhAEMATwAyAF8AVABpAHQAbABlACIALAAiAEYAZQByAHQAaQBsAGkAcwBlAHIAXwBTAG8AdQByAGMAZQBEAGEAdABhAC4ARgBlAHIAdABpAGwAaQBzAGUAcgBfAEUARgBVAHIAZQBhAEMATwAyAF8AUwBvAHUAcgBjAGUAIgAsACIARgBlAHIAdABpAGwAaQBzAGUAcgBfAFMAbwB1AHIAYwBlAEQAYQB0AGEALgBGAGUAcgB0AGkAbABpAHMAZQByAF8ARQBGAFUAcgBlAGEAQwBPADIAXwBWAGEAcgBpAGEAYgBsAGUAIgAsACIARgBlAHIAdABpAGwAaQBzAGUAcgBfAFMAbwB1AHIAYwBlAEQAYQB0AGEALgBGAGUAcgB0AGkAbABpAHMAZQByAF8ARQBGAFUAcgBlAGEAQwBPADIAXwBVAG4AaQB0ACIALAAiAEYAZQByAHQAaQBsAGkAcwBlAHIAXwBTAG8AdQByAGMAZQBEAGEAdABhAC4ARgBlAHIAdABpAGwAaQBzAGUAcgBfAEUARgBVAHIAZQBhAEMATwAyAF8ARABhAHQAYQAiACwAIgBGAGUAcgB0AGkAbABpAHMAZQByAF8AUwBvAHUAcgBjAGUARABhAHQAYQAuAEYAZQByAHQAaQBsAGkAcwBlAHIAXwBFAEYAVQByAGUAYQBDAE8AMgBfAFYAYQByAGkAYQB0AGkAbwBuACIALAAiAEYAZQByAHQAaQBsAGkAcwBlAHIAXwBTAG8AdQByAGMAZQBEAGEAdABhAC4ARgBlAHIAdABpAGwAaQBzAGUAcgBfAEYAcgBhAGMARwBBAFMATQBTAG8AaQBsAF8AVABpAHQAbABlACIALAAiAEYAZQByAHQAaQBsAGkAcwBlAHIAXwBTAG8AdQByAGMAZQBEAGEAdABhAC4ARgBlAHIAdABpAGwAaQBzAGUAcgBfAEYAcgBhAGMARwBBAFMATQBTAG8AaQBsAF8AUwBvAHUAcgBjAGUAIgAsACIARgBlAHIAdABpAGwAaQBzAGUAcgBfAFMAbwB1AHIAYwBlAEQAYQB0AGEALgBGAGUAcgB0AGkAbABpAHMAZQByAF8ARgByAGEAYwBHAEEAUwBNAFMAbwBpAGwAXwBWAGEAcgBpAGEAYgBsAGUAIgAsACIARgBlAHIAdABpAGwAaQBzAGUAcgBfAFMAbwB1AHIAYwBlAEQAYQB0AGEALgBGAGUAcgB0AGkAbABpAHMAZQByAF8ARgByAGEAYwBHAEEAUwBNAFMAbwBpAGwAXwBVAG4AaQB0ACIALAAiAEYAZQByAHQAaQBsAGkAcwBlAHIAXwBTAG8AdQByAGMAZQBEAGEAdABhAC4ARgBlAHIAdABpAGwAaQBzAGUAcgBfAEYAcgBhAGMARwBBAFMATQBTAG8AaQBsAF8ARABhAHQAYQAiACwAIgBGAGUAcgB0AGkAbABpAHMAZQByAF8AUwBvAHUAcgBjAGUARABhAHQAYQAuAEYAZQByAHQAaQBsAGkAcwBlAHIAXwBGAHIAYQBjAEcAQQBTAE0AUwBvAGkAbABfAFYAYQByAGkAYQB0AGkAbwBuACIALAAiAEYAZQByAHQAaQBsAGkAcwBlAHIAXwBTAG8AdQByAGMAZQBEAGEAdABhAC4ARgBlAHIAdABpAGwAaQBzAGUAcgBfAEYAcgBhAGMATABFAEEAQwBIAF8AVABpAHQAbABlACIALAAiAEYAZQByAHQAaQBsAGkAcwBlAHIAXwBTAG8AdQByAGMAZQBEAGEAdABhAC4ARgBlAHIAdABpAGwAaQBzAGUAcgBfAEYAcgBhAGMATABFAEEAQwBIAF8AUwBvAHUAcgBjAGUAIgAsACIARgBlAHIAdABpAGwAaQBzAGUAcgBfAFMAbwB1AHIAYwBlAEQAYQB0AGEALgBGAGUAcgB0AGkAbABpAHMAZQByAF8ARgByAGEAYwBMAEUAQQBDAEgAXwBWAGEAcgBpAGEAYgBsAGUAIgAsACIARgBlAHIAdABpAGwAaQBzAGUAcgBfAFMAbwB1AHIAYwBlAEQAYQB0AGEALgBGAGUAcgB0AGkAbABpAHMAZQByAF8ARgByAGEAYwBMAEUAQQBDAEgAXwBVAG4AaQB0ACIALAAiAEYAZQByAHQAaQBsAGkAcwBlAHIAXwBTAG8AdQByAGMAZQBEAGEAdABhAC4ARgBlAHIAdABpAGwAaQBzAGUAcgBfAEYAcgBhAGMATABFAEEAQwBIAF8ARABhAHQAYQAiACwAIgBGAGUAcgB0AGkAbABpAHMAZQByAF8AUwBvAHUAcgBjAGUARABhAHQAYQAuAEYAZQByAHQAaQBsAGkAcwBlAHIAXwBGAHIAYQBjAEwARQBBAEMASABfAFYAYQByAGkAYQB0AGkAbwBuACIALAAiAEYAZQByAHQAaQBsAGkAcwBlAHIAXwBTAG8AdQByAGMAZQBEAGEAdABhAC4ARgBlAHIAdABpAGwAaQBzAGUAcgBfAEUARgBMAGUAYQBjAGgAXwBUAGkAdABsAGUAIgAsACIARgBlAHIAdABpAGwAaQBzAGUAcgBfAFMAbwB1AHIAYwBlAEQAYQB0AGEALgBGAGUAcgB0AGkAbABpAHMAZQByAF8ARQBGAEwAZQBhAGMAaABfAFMAbwB1AHIAYwBlACIALAAiAEYAZQByAHQAaQBsAGkAcwBlAHIAXwBTAG8AdQByAGMAZQBEAGEAdABhAC4ARgBlAHIAdABpAGwAaQBzAGUAcgBfAEUARgBMAGUAYQBjAGgAXwBWAGEAcgBpAGEAYgBsAGUAIgAsACIARgBlAHIAdABpAGwAaQBzAGUAcgBfAFMAbwB1AHIAYwBlAEQAYQB0AGEALgBGAGUAcgB0AGkAbABpAHMAZQByAF8ARQBGAEwAZQBhAGMAaABfAFUAbgBpAHQAIgAsACIARgBlAHIAdABpAGwAaQBzAGUAcgBfAFMAbwB1AHIAYwBlAEQAYQB0AGEALgBGAGUAcgB0AGkAbABpAHMAZQByAF8ARQBGAEwAZQBhAGMAaABfAEQAYQB0AGEAIgAsACIARgBlAHIAdABpAGwAaQBzAGUAcgBfAFMAbwB1AHIAYwBlAEQAYQB0AGEALgBGAGUAcgB0AGkAbABpAHMAZQByAF8ARQBGAEwAZQBhAGMAaABfAFYAYQByAGkAYQB0AGkAbwBuACIALAAiAEYAZQByAHQAaQBsAGkAcwBlAHIAXwBTAG8AdQByAGMAZQBEAGEAdABhAC4ARgBlAHIAdABpAGwAaQBzAGUAcgBfAEwAaQBtAGUARABvAGwAbwBtAGkAdABlAEcAeQBwAHMAdQBtAEMAbwBuAHMAdABhAG4AdABzAF8AVABpAHQAbABlACIALAAiAEYAZQByAHQAaQBsAGkAcwBlAHIAXwBTAG8AdQByAGMAZQBEAGEAdABhAC4ARgBlAHIAdABpAGwAaQBzAGUAcgBfAEwAaQBtAGUARABvAGwAbwBtAGkAdABlAEcAeQBwAHMAdQBtAEMAbwBuAHMAdABhAG4AdABzAF8ARABlAHMAYwByAGkAcAB0AGkAbwBuACIALAAiAEYAZQByAHQAaQBsAGkAcwBlAHIAXwBTAG8AdQByAGMAZQBEAGEAdABhAC4ARgBlAHIAdABpAGwAaQBzAGUAcgBfAEwAaQBtAGUARABvAGwAbwBtAGkAdABlAEcAeQBwAHMAdQBtAEMAbwBuAHMAdABhAG4AdABzAF8AUwBvAHUAcgBjAGUAIgAsACIARgBlAHIAdABpAGwAaQBzAGUAcgBfAFMAbwB1AHIAYwBlAEQAYQB0AGEALgBGAGUAcgB0AGkAbABpAHMAZQByAF8ATABpAG0AZQBEAG8AbABvAG0AaQB0AGUARwB5AHAAcwB1AG0AQwBvAG4AcwB0AGEAbgB0AHMAXwBEAGEAdABhACIALAAiAEYAZQByAHQAaQBsAGkAcwBlAHIAXwBTAG8AdQByAGMAZQBEAGEAdABhAC4ARgBlAHIAdABpAGwAaQBzAGUAcgBfAEwAaQBtAGUARABvAGwAbwBtAGkAdABlAEcAeQBwAHMAdQBtAEMAbwBuAHMAdABhAG4AdABzAF8AVgBhAHIAaQBhAHQAaQBvAG4AIgAsACIARgBlAHIAdABpAGwAaQBzAGUAcgBfAFMAbwB1AHIAYwBlAEQAYQB0AGEALgBGAGUAcgB0AGkAbABpAHMAZQByAF8ARgByAGEAYwB0AGkAbwBuAE4AQwBvAG0AbQBvAG4ARgBlAHIAdABpAGwAaQBzAGUAcgBzAF8AVABpAHQAbABlACIALAAiAEYAZQByAHQAaQBsAGkAcwBlAHIAXwBTAG8AdQByAGMAZQBEAGEAdABhAC4ARgBlAHIAdABpAGwAaQBzAGUAcgBfAEYAcgBhAGMAdABpAG8AbgBOAEMAbwBtAG0AbwBuAEYAZQByAHQAaQBsAGkAcwBlAHIAcwBfAFMAbwB1AHIAYwBlACIALAAiAEYAZQByAHQAaQBsAGkAcwBlAHIAXwBTAG8AdQByAGMAZQBEAGEAdABhAC4ARgBlAHIAdABpAGwAaQBzAGUAcgBfAEYAcgBhAGMAdABpAG8AbgBOAEMAbwBtAG0AbwBuAEYAZQByAHQAaQBsAGkAcwBlAHIAcwBfAEQAYQB0AGEAIgAsACIARgBlAHIAdABpAGwAaQBzAGUAcgBfAFMAbwB1AHIAYwBlAEQAYQB0AGEALgBGAGUAcgB0AGkAbABpAHMAZQByAF8ARgByAGEAYwB0AGkAbwBuAE4AQwBvAG0AbQBvAG4ARgBlAHIAdABpAGwAaQBzAGUAcgBzAF8AVgBhAHIAaQBhAHQAaQBvAG4AIgAsACIARgBlAHIAdABpAGwAaQBzAGUAcgBfAFMAbwB1AHIAYwBlAEQAYQB0AGEALgBGAGUAcgB0AGkAbABpAHMAZQByAF8ARgByAGEAYwB0AGkAbwBuAFUAcgBlAGEAQwBvAG0AbQBvAG4ARgBlAHIAdABpAGwAaQBzAGUAcgBzAF8AVABpAHQAbABlACIALAAiAEYAZQByAHQAaQBsAGkAcwBlAHIAXwBTAG8AdQByAGMAZQBEAGEAdABhAC4ARgBlAHIAdABpAGwAaQBzAGUAcgBfAEYAcgBhAGMAdABpAG8AbgBVAHIAZQBhAEMAbwBtAG0AbwBuAEYAZQByAHQAaQBsAGkAcwBlAHIAcwBfAFMAbwB1AHIAYwBlACIALAAiAEYAZQByAHQAaQBsAGkAcwBlAHIAXwBTAG8AdQByAGMAZQBEAGEAdABhAC4ARgBlAHIAdABpAGwAaQBzAGUAcgBfAEYAcgBhAGMAdABpAG8AbgBVAHIAZQBhAEMAbwBtAG0AbwBuAEYAZQByAHQAaQBsAGkAcwBlAHIAcwBfAEQAYQB0AGEAIgAsACIARgBlAHIAdABpAGwAaQBzAGUAcgBfAFMAbwB1AHIAYwBlAEQAYQB0AGEALgBGAGUAcgB0AGkAbABpAHMAZQByAF8ARgByAGEAYwB0AGkAbwBuAFUAcgBlAGEAQwBvAG0AbQBvAG4ARgBlAHIAdABpAGwAaQBzAGUAcgBzAF8AVgBhAHIAaQBhAHQAaQBvAG4AIgAsACIARgBlAHIAdABpAGwAaQBzAGUAcgBfAFMAbwB1AHIAYwBlAEQAYQB0AGEALgBGAGUAcgB0AGkAbABpAHMAZQByAF8AVQByAGUAYQBBAG0AbQBvAG4AaQBhAFMAbwB1AHIAYwBlAFIAZQBnAGkAbwBuAHMAXwBUAGkAdABsAGUAIgAsACIARgBlAHIAdABpAGwAaQBzAGUAcgBfAFMAbwB1AHIAYwBlAEQAYQB0AGEALgBGAGUAcgB0AGkAbABpAHMAZQByAF8AVQByAGUAYQBBAG0AbQBvAG4AaQBhAFMAbwB1AHIAYwBlAFIAZQBnAGkAbwBuAHMAXwBTAG8AdQByAGMAZQAiACwAIgBGAGUAcgB0AGkAbABpAHMAZQByAF8AUwBvAHUAcgBjAGUARABhAHQAYQAuAEYAZQByAHQAaQBsAGkAcwBlAHIAXwBVAHIAZQBhAEEAbQBtAG8AbgBpAGEAUwBvAHUAcgBjAGUAUgBlAGcAaQBvAG4AcwBfAEQAYQB0AGEAIgAsACIARgBlAHIAdABpAGwAaQBzAGUAcgBfAFMAbwB1AHIAYwBlAEQAYQB0AGEALgBGAGUAcgB0AGkAbABpAHMAZQByAF8AUAByAG8AZAB1AGMAdABzAF8AVABpAHQAbABlACIALAAiAEYAZQByAHQAaQBsAGkAcwBlAHIAXwBTAG8AdQByAGMAZQBEAGEAdABhAC4ARgBlAHIAdABpAGwAaQBzAGUAcgBfAFAAcgBvAGQAdQBjAHQAcwBfAFMAbwB1AHIAYwBlACIALAAiAEYAZQByAHQAaQBsAGkAcwBlAHIAXwBTAG8AdQByAGMAZQBEAGEAdABhAC4ARgBlAHIAdABpAGwAaQBzAGUAcgBfAFAAcgBvAGQAdQBjAHQAcwBfAEQAYQB0AGEAMQAiACwAIgBGAGUAcgB0AGkAbABpAHMAZQByAF8ASQBuAHAAdQB0AEYAdQBuAGMAdABpAG8AbgBzAC4ARgBlAHIAdABpAGwAaQBzAGUAcgBfAEYAZQByAHQAaQBsAGkAcwBlAHIAUAByAG8AZAB1AGMAdABMAG8AbwBrAHUAcAAiACwAIgBGAGUAcgB0AGkAbABpAHMAZQByAF8ASQBuAHAAdQB0AEYAdQBuAGMAdABpAG8AbgBzAC4ARgBlAHIAdABpAGwAaQBzAGUAcgBfAFMAdQBtAFAAcgBvAGQAdQBjAHQAQQBwAHAAbABpAGUAZAAiACwAIgBGAGUAcgB0AGkAbABpAHMAZQByAF8ASQBuAHAAdQB0AEYAdQBuAGMAdABpAG8AbgBzAC4ARgBlAHIAdABpAGwAaQBzAGUAcgBfAFQAbwB0AGEAbABTAG8AaQBsAEEAbQBlAG4AZABtAGUAbgB0AEEAcABwAGwAaQBlAGQAIgAsACIARgBlAHIAdABpAGwAaQBzAGUAcgBfAEkAbgBwAHUAdABGAHUAbgBjAHQAaQBvAG4AcwAuAEYAZQByAHQAaQBsAGkAcwBlAHIAXwBUAG8AdABhAGwAQwBoAGUAbQBpAGMAYQBsAEMAbwBtAHAAbwB1AG4AZABBAHAAcABsAGkAZQBkAEEAbABsAEkAbgBnAHIAZQBkAGkAZQBuAHQAcwAiACwAIgBGAGUAcgB0AGkAbABpAHMAZQByAF8ASQBuAHAAdQB0AEYAdQBuAGMAdABpAG8AbgBzAC4ARgBlAHIAdABpAGwAaQBzAGUAcgBfAFQAbwB0AGEAbABDAGgAZQBtAGkAYwBhAGwAQwBvAG0AcABvAHUAbgBkAHQAQQBwAHAAbABpAGUAZABCAHkAUwBvAHUAcgBjAGUAQQBsAGwASQBuAGcAcgBlAGQAaQBlAG4AdABzACIALAAiAEYAZQByAHQAaQBsAGkAcwBlAHIAXwBJAG4AcAB1AHQARgB1AG4AYwB0AGkAbwBuAHMALgBGAGUAcgB0AGkAbABpAHMAZQByAF8ARwBlAHQAUwBjAG8AcABlADMARQBGACIALAAiAEYAZQByAHQAaQBsAGkAcwBlAHIAXwBJAG4AcAB1AHQARgB1AG4AYwB0AGkAbwBuAHMALgBGAGUAcgB0AGkAbABpAHMAZQByAF8ARwBlAHQAQwBoAGUAbQBpAGMAYQBsAEMAbwBtAHAAbwB1AG4AZABFAGwAZQBtAGUAbgB0AEYAcgBhAGMAdABpAG8AbgAiACwAIgBGAGUAcgB0AGkAbABpAHMAZQByAF8ASQBuAHAAdQB0AEYAdQBuAGMAdABpAG8AbgBzAC4ARgBlAHIAdABpAGwAaQBzAGUAcgBfAFQAbwB0AGEAbABBAGMAdABpAHYAZQBJAG4AZwByAGUAZABpAGUAbgB0AEEAcABwAGwAaQBlAGQAQQBsAGwASQBuAGcAcgBlAGQAaQBlAG4AdABzACIALAAiAEUAbABlAGMAdAByAGkAYwBpAHQAeQBfAFMAbwB1AHIAYwBlAEQAYQB0AGEALgBFAGwAZQBjAHQAcgBpAGMAaQB0AHkAXwBTAGMAbwBwAGUAMgBTAGMAbwBwAGUAMwBMAG8AYwBhAHQAaQBvAG4AQgBhAHMAZQBkAF8AVABpAHQAbABlACIALAAiAEUAbABlAGMAdAByAGkAYwBpAHQAeQBfAFMAbwB1AHIAYwBlAEQAYQB0AGEALgBFAGwAZQBjAHQAcgBpAGMAaQB0AHkAXwBTAGMAbwBwAGUAMgBMAG8AYwBhAHQAaQBvAG4AQgBhAHMAZQBkAF8ARABlAHMAYwByAGkAcAB0AGkAbwBuACIALAAiAEUAbABlAGMAdAByAGkAYwBpAHQAeQBfAFMAbwB1AHIAYwBlAEQAYQB0AGEALgBFAGwAZQBjAHQAcgBpAGMAaQB0AHkAXwBTAGMAbwBwAGUAMgBTAGMAbwBwAGUAMwBMAG8AYwBhAHQAaQBvAG4AQgBhAHMAZQBkAF8AUwBvAHUAcgBjAGUAIgAsACIARQBsAGUAYwB0AHIAaQBjAGkAdAB5AF8AUwBvAHUAcgBjAGUARABhAHQAYQAuAEUAbABlAGMAdAByAGkAYwBpAHQAeQBfAFMAYwBvAHAAZQAyAFMAYwBvAHAAZQAzAEwAbwBjAGEAdABpAG8AbgBCAGEAcwBlAGQAXwBEAGEAdABhACIALAAiAEUAbABlAGMAdAByAGkAYwBpAHQAeQBfAFMAbwB1AHIAYwBlAEQAYQB0AGEALgBFAGwAZQBjAHQAcgBpAGMAaQB0AHkAXwBTAGMAbwBwAGUAMgBTAGMAbwBwAGUAMwBMAG8AYwBhAHQAaQBvAG4AQgBhAHMAZQBkAF8AVgBhAHIAaQBhAHQAaQBvAG4AIgAsACIARQBsAGUAYwB0AHIAaQBjAGkAdAB5AF8AUwBvAHUAcgBjAGUARABhAHQAYQAuAEUAbABlAGMAdAByAGkAYwBpAHQAeQBfAFMAYwBvAHAAZQAyAFMAYwBvAHAAZQAzAE0AYQByAGsAZQB0AEIAYQBzAGUAZABfAFQAaQB0AGwAZQAiACwAIgBFAGwAZQBjAHQAcgBpAGMAaQB0AHkAXwBTAG8AdQByAGMAZQBEAGEAdABhAC4ARQBsAGUAYwB0AHIAaQBjAGkAdAB5AF8AUwBjAG8AcABlADIATQBhAHIAawBlAHQAQgBhAHMAZQBkAF8ARABlAHMAYwByAGkAcAB0AGkAbwBuACIALAAiAEUAbABlAGMAdAByAGkAYwBpAHQAeQBfAFMAbwB1AHIAYwBlAEQAYQB0AGEALgBFAGwAZQBjAHQAcgBpAGMAaQB0AHkAXwBTAGMAbwBwAGUAMgBTAGMAbwBwAGUAMwBNAGEAcgBrAGUAdABCAGEAcwBlAGQAXwBTAG8AdQByAGMAZQAiACwAIgBFAGwAZQBjAHQAcgBpAGMAaQB0AHkAXwBTAG8AdQByAGMAZQBEAGEAdABhAC4ARQBsAGUAYwB0AHIAaQBjAGkAdAB5AF8AUwBjAG8AcABlADIAUwBjAG8AcABlADMATQBhAHIAawBlAHQAQgBhAHMAZQBkAF8ARABhAHQAYQAiACwAIgBFAGwAZQBjAHQAcgBpAGMAaQB0AHkAXwBTAG8AdQByAGMAZQBEAGEAdABhAC4ARQBsAGUAYwB0AHIAaQBjAGkAdAB5AF8AUwBjAG8AcABlADIAUwBjAG8AcABlADMATQBhAHIAawBlAHQAQgBhAHMAZQBkAF8AVgBhAHIAaQBhAHQAaQBvAG4AIgAsACIAUwBjAG8AcABlADMAXwBTAG8AdQByAGMAZQBEAGEAdABhAC4AUwBjAG8AcABlADMAXwBMAGkAdgBlAHMAdABvAGMAawBfAFQAaQB0AGwAZQAiACwAIgBTAGMAbwBwAGUAMwBfAFMAbwB1AHIAYwBlAEQAYQB0AGEALgBTAGMAbwBwAGUAMwBfAEwAaQB2AGUAcwB0AG8AYwBrAF8AUwBvAHUAcgBjAGUAIgAsACIAUwBjAG8AcABlADMAXwBTAG8AdQByAGMAZQBEAGEAdABhAC4AUwBjAG8AcABlADMAXwBMAGkAdgBlAHMAdABvAGMAawBfAFYAYQByAGkAYQB0AGkAbwBuACIALAAiAFMAYwBvAHAAZQAzAF8AUwBvAHUAcgBjAGUARABhAHQAYQAuAFMAYwBvAHAAZQAzAF8ATABpAHYAZQBzAHQAbwBjAGsAXwBEAGEAdABhACIALAAiAFMAYwBvAHAAZQAzAF8AUwBvAHUAcgBjAGUARABhAHQAYQAuAFMAYwBvAHAAZQAzAF8AQwBoAGUAbQBpAGMAYQBsAHMAXwBUAGkAdABsAGUAIgAsACIAUwBjAG8AcABlADMAXwBTAG8AdQByAGMAZQBEAGEAdABhAC4AUwBjAG8AcABlADMAXwBDAGgAZQBtAGkAYwBhAGwAcwBfAFMAbwB1AHIAYwBlACIALAAiAFMAYwBvAHAAZQAzAF8AUwBvAHUAcgBjAGUARABhAHQAYQAuAFMAYwBvAHAAZQAzAF8AQwBoAGUAbQBpAGMAYQBsAHMAXwBWAGEAcgBpAGEAdABpAG8AbgAiACwAIgBTAGMAbwBwAGUAMwBfAFMAbwB1AHIAYwBlAEQAYQB0AGEALgBTAGMAbwBwAGUAMwBfAEMAaABlAG0AaQBjAGEAbABzAF8ARABhAHQAYQAiACwAIgBTAGMAbwBwAGUAMwBfAFMAbwB1AHIAYwBlAEQAYQB0AGEALgBTAGMAbwBwAGUAMwBfAEYAZQBlAGQAXwBUAGkAdABsAGUAIgAsACIAUwBjAG8AcABlADMAXwBTAG8AdQByAGMAZQBEAGEAdABhAC4AUwBjAG8AcABlADMAXwBGAGUAZQBkAF8AUwBvAHUAcgBjAGUAIgAsACIAUwBjAG8AcABlADMAXwBTAG8AdQByAGMAZQBEAGEAdABhAC4AUwBjAG8AcABlADMAXwBGAGUAZQBkAF8AVgBhAHIAaQBhAHQAaQBvAG4AIgAsACIAUwBjAG8AcABlADMAXwBTAG8AdQByAGMAZQBEAGEAdABhAC4AUwBjAG8AcABlADMAXwBGAGUAZQBkAF8ARABhAHQAYQAiACwAIgBTAGMAbwBwAGUAMwBfAFMAbwB1AHIAYwBlAEQAYQB0AGEALgBTAGMAbwBwAGUAMwBfAEkAbgBvAHIAZwBhAG4AaQBjAEYAZQByAHQAaQBsAGkAcwBlAHIAcwBfAFQAaQB0AGwAZQAiACwAIgBTAGMAbwBwAGUAMwBfAFMAbwB1AHIAYwBlAEQAYQB0AGEALgBTAGMAbwBwAGUAMwBfAEkAbgBvAHIAZwBhAG4AaQBjAEYAZQByAHQAaQBsAGkAcwBlAHIAcwBfAFMAbwB1AHIAYwBlACIALAAiAFMAYwBvAHAAZQAzAF8AUwBvAHUAcgBjAGUARABhAHQAYQAuAFMAYwBvAHAAZQAzAF8ASQBuAG8AcgBnAGEAbgBpAGMARgBlAHIAdABpAGwAaQBzAGUAcgBzAF8AVgBhAHIAaQBhAHQAaQBvAG4AIgAsACIAUwBjAG8AcABlADMAXwBTAG8AdQByAGMAZQBEAGEAdABhAC4AUwBjAG8AcABlADMAXwBJAG4AbwByAGcAYQBuAGkAYwBGAGUAcgB0AGkAbABpAHMAZQByAHMAXwBEAGEAdABhACIALAAiAFMAYwBvAHAAZQAzAF8AUwBvAHUAcgBjAGUARABhAHQAYQAuAFMAYwBvAHAAZQAzAF8ATwB0AGgAZQByAF8AVABpAHQAbABlACIALAAiAFMAYwBvAHAAZQAzAF8AUwBvAHUAcgBjAGUARABhAHQAYQAuAFMAYwBvAHAAZQAzAF8ATwB0AGgAZQByAF8AUwBvAHUAcgBjAGUAIgAsACIAUwBjAG8AcABlADMAXwBTAG8AdQByAGMAZQBEAGEAdABhAC4AUwBjAG8AcABlADMAXwBPAHQAaABlAHIAXwBWAGEAcgBpAGEAdABpAG8AbgAiACwAIgBTAGMAbwBwAGUAMwBfAFMAbwB1AHIAYwBlAEQAYQB0AGEALgBTAGMAbwBwAGUAMwBfAE8AdABoAGUAcgBfAEQAYQB0AGEAIgAsACIAUwBjAG8AcABlADMAXwBTAG8AdQByAGMAZQBEAGEAdABhAC4AUwBjAG8AcABlADMAXwBQAGEAYwBrAGEAZwBpAG4AZwBfAFQAaQB0AGwAZQAiACwAIgBTAGMAbwBwAGUAMwBfAFMAbwB1AHIAYwBlAEQAYQB0AGEALgBTAGMAbwBwAGUAMwBfAFAAYQBjAGsAYQBnAGkAbgBnAF8AUwBvAHUAcgBjAGUAIgAsACIAUwBjAG8AcABlADMAXwBTAG8AdQByAGMAZQBEAGEAdABhAC4AUwBjAG8AcABlADMAXwBQAGEAYwBrAGEAZwBpAG4AZwBfAFYAYQByAGkAYQB0AGkAbwBuACIALAAiAFMAYwBvAHAAZQAzAF8AUwBvAHUAcgBjAGUARABhAHQAYQAuAFMAYwBvAHAAZQAzAF8AUABhAGMAawBhAGcAaQBuAGcAXwBEAGEAdABhACIALAAiAFMAYwBvAHAAZQAzAF8AUwBvAHUAcgBjAGUARABhAHQAYQAuAFMAYwBvAHAAZQAzAF8AUABlAHMAdABpAGMAaQBkAGUAcwBfAFQAaQB0AGwAZQAiACwAIgBTAGMAbwBwAGUAMwBfAFMAbwB1AHIAYwBlAEQAYQB0AGEALgBTAGMAbwBwAGUAMwBfAFAAZQBzAHQAaQBjAGkAZABlAHMAXwBTAG8AdQByAGMAZQAiACwAIgBTAGMAbwBwAGUAMwBfAFMAbwB1AHIAYwBlAEQAYQB0AGEALgBTAGMAbwBwAGUAMwBfAFAAZQBzAHQAaQBjAGkAZABlAHMAXwBWAGEAcgBpAGEAdABpAG8AbgAiACwAIgBTAGMAbwBwAGUAMwBfAFMAbwB1AHIAYwBlAEQAYQB0AGEALgBTAGMAbwBwAGUAMwBfAFAAZQBzAHQAaQBjAGkAZABlAHMAXwBEAGEAdABhACIALAAiAFMAYwBvAHAAZQAzAF8AUwBvAHUAcgBjAGUARABhAHQAYQAuAFMAYwBvAHAAZQAzAF8AUwBvAGkAbABBAG0AZQBuAGQAbQBlAG4AdABzAF8AVABpAHQAbABlACIALAAiAFMAYwBvAHAAZQAzAF8AUwBvAHUAcgBjAGUARABhAHQAYQAuAFMAYwBvAHAAZQAzAF8AUwBvAGkAbABBAG0AZQBuAGQAbQBlAG4AdABzAF8AUwBvAHUAcgBjAGUAIgAsACIAUwBjAG8AcABlADMAXwBTAG8AdQByAGMAZQBEAGEAdABhAC4AUwBjAG8AcABlADMAXwBTAG8AaQBsAEEAbQBlAG4AZABtAGUAbgB0AHMAXwBWAGEAcgBpAGEAdABpAG8AbgAiACwAIgBTAGMAbwBwAGUAMwBfAFMAbwB1AHIAYwBlAEQAYQB0AGEALgBTAGMAbwBwAGUAMwBfAFMAbwBpAGwAQQBtAGUAbgBkAG0AZQBuAHQAcwBfAEQAYQB0AGE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MAGkAdgBlAHMAdABvAGMAawBfAFMAbwB1AHIAYwBlAEQAYQB0AGEALgBTAG8AdQByAGMAZQBEAGEAdABhAF8ATABpAHYAZQBzAHQAbwBjAGsAXwBQAHIAbwBkAHUAYwB0AF8AQgBlAGUAZgBDAGEAdAB0AGwAZQBfAFQAaQB0AGwAZQAiACwAIgBDAG8AbQBtAG8AbgBMAGkAdgBlAHMAdABvAGMAawBfAFMAbwB1AHIAYwBlAEQAYQB0AGEALgBTAG8AdQByAGMAZQBEAGEAdABhAF8ATABpAHYAZQBzAHQAbwBjAGsAXwBQAHIAbwBkAHUAYwB0AF8AQgBlAGUAZgBDAGEAdAB0AGwAZQBfAFYAYQBpAHIAYQBiAGwAZQAiACwAIgBDAG8AbQBtAG8AbgBMAGkAdgBlAHMAdABvAGMAawBfAFMAbwB1AHIAYwBlAEQAYQB0AGEALgBTAG8AdQByAGMAZQBEAGEAdABhAF8ATABpAHYAZQBzAHQAbwBjAGsAXwBQAHIAbwBkAHUAYwB0AF8AQgBlAGUAZgBDAGEAdAB0AGwAZQBfAFUAbgBpAHQAIgAsACIAQwBvAG0AbQBvAG4ATABpAHYAZQBzAHQAbwBjAGsAXwBTAG8AdQByAGMAZQBEAGEAdABhAC4AUwBvAHUAcgBjAGUARABhAHQAYQBfAEwAaQB2AGUAcwB0AG8AYwBrAF8AUAByAG8AZAB1AGMAdABfAEIAZQBlAGYAQwBhAHQAdABsAGUAXwBTAG8AdQByAGMAZQAiACwAIgBDAG8AbQBtAG8AbgBMAGkAdgBlAHMAdABvAGMAawBfAFMAbwB1AHIAYwBlAEQAYQB0AGEALgBTAG8AdQByAGMAZQBEAGEAdABhAF8ATABpAHYAZQBzAHQAbwBjAGsAXwBQAHIAbwBkAHUAYwB0AF8AQgBlAGUAZgBDAGEAdAB0AGwAZQBfAEQAYQB0AGEAIgAsACIAQwBvAG0AbQBvAG4ATABpAHYAZQBzAHQAbwBjAGsAXwBTAG8AdQByAGMAZQBEAGEAdABhAC4AUwBvAHUAcgBjAGUARABhAHQAYQBfAEwAaQB2AGUAcwB0AG8AYwBrAF8AUAByAG8AZAB1AGMAdABfAEMAaABpAGMAawBlAG4AcwBfAFQAaQB0AGwAZQAiACwAIgBDAG8AbQBtAG8AbgBMAGkAdgBlAHMAdABvAGMAawBfAFMAbwB1AHIAYwBlAEQAYQB0AGEALgBTAG8AdQByAGMAZQBEAGEAdABhAF8ATABpAHYAZQBzAHQAbwBjAGsAXwBQAHIAbwBkAHUAYwB0AF8AQwBoAGkAYwBrAGUAbgBzAF8AVgBhAGkAcgBhAGIAbABlACIALAAiAEMAbwBtAG0AbwBuAEwAaQB2AGUAcwB0AG8AYwBrAF8AUwBvAHUAcgBjAGUARABhAHQAYQAuAFMAbwB1AHIAYwBlAEQAYQB0AGEAXwBMAGkAdgBlAHMAdABvAGMAawBfAFAAcgBvAGQAdQBjAHQAXwBDAGgAaQBjAGsAZQBuAHMAXwBVAG4AaQB0ACIALAAiAEMAbwBtAG0AbwBuAEwAaQB2AGUAcwB0AG8AYwBrAF8AUwBvAHUAcgBjAGUARABhAHQAYQAuAFMAbwB1AHIAYwBlAEQAYQB0AGEAXwBMAGkAdgBlAHMAdABvAGMAawBfAFAAcgBvAGQAdQBjAHQAXwBDAGgAaQBjAGsAZQBuAHMAXwBTAG8AdQByAGMAZQAiACwAIgBDAG8AbQBtAG8AbgBMAGkAdgBlAHMAdABvAGMAawBfAFMAbwB1AHIAYwBlAEQAYQB0AGEALgBTAG8AdQByAGMAZQBEAGEAdABhAF8ATABpAHYAZQBzAHQAbwBjAGsAXwBQAHIAbwBkAHUAYwB0AF8AQwBoAGkAYwBrAGUAbgBzAF8ARABhAHQAYQAiACwAIgBDAG8AbQBtAG8AbgBMAGkAdgBlAHMAdABvAGMAawBfAFMAbwB1AHIAYwBlAEQAYQB0AGEALgBTAG8AdQByAGMAZQBEAGEAdABhAF8ATABpAHYAZQBzAHQAbwBjAGsAXwBQAHIAbwBkAHUAYwB0AF8ARABhAGkAcgB5AGMAYQB0AHQAbABlAF8AVABpAHQAbABlACIALAAiAEMAbwBtAG0AbwBuAEwAaQB2AGUAcwB0AG8AYwBrAF8AUwBvAHUAcgBjAGUARABhAHQAYQAuAFMAbwB1AHIAYwBlAEQAYQB0AGEAXwBMAGkAdgBlAHMAdABvAGMAawBfAFAAcgBvAGQAdQBjAHQAXwBEAGEAaQByAHkAYwBhAHQAdABsAGUAXwBWAGEAaQByAGEAYgBsAGUAIgAsACIAQwBvAG0AbQBvAG4ATABpAHYAZQBzAHQAbwBjAGsAXwBTAG8AdQByAGMAZQBEAGEAdABhAC4AUwBvAHUAcgBjAGUARABhAHQAYQBfAEwAaQB2AGUAcwB0AG8AYwBrAF8AUAByAG8AZAB1AGMAdABfAEQAYQBpAHIAeQBjAGEAdAB0AGwAZQBfAFUAbgBpAHQAIgAsACIAQwBvAG0AbQBvAG4ATABpAHYAZQBzAHQAbwBjAGsAXwBTAG8AdQByAGMAZQBEAGEAdABhAC4AUwBvAHUAcgBjAGUARABhAHQAYQBfAEwAaQB2AGUAcwB0AG8AYwBrAF8AUAByAG8AZAB1AGMAdABfAEQAYQBpAHIAeQBjAGEAdAB0AGwAZQBfAFMAbwB1AHIAYwBlACIALAAiAEMAbwBtAG0AbwBuAEwAaQB2AGUAcwB0AG8AYwBrAF8AUwBvAHUAcgBjAGUARABhAHQAYQAuAFMAbwB1AHIAYwBlAEQAYQB0AGEAXwBMAGkAdgBlAHMAdABvAGMAawBfAFAAcgBvAGQAdQBjAHQAXwBEAGEAaQByAHkAYwBhAHQAdABsAGUAXwBEAGEAdABhACIALAAiAEMAbwBtAG0AbwBuAEwAaQB2AGUAcwB0AG8AYwBrAF8AUwBvAHUAcgBjAGUARABhAHQAYQAuAFMAbwB1AHIAYwBlAEQAYQB0AGEAXwBMAGkAdgBlAHMAdABvAGMAawBfAFAAcgBvAGQAdQBjAHQAXwBQAGkAZwBzAF8AVABpAHQAbABlACIALAAiAEMAbwBtAG0AbwBuAEwAaQB2AGUAcwB0AG8AYwBrAF8AUwBvAHUAcgBjAGUARABhAHQAYQAuAFMAbwB1AHIAYwBlAEQAYQB0AGEAXwBMAGkAdgBlAHMAdABvAGMAawBfAFAAcgBvAGQAdQBjAHQAXwBQAGkAZwBzAF8AVgBhAGkAcgBhAGIAbABlACIALAAiAEMAbwBtAG0AbwBuAEwAaQB2AGUAcwB0AG8AYwBrAF8AUwBvAHUAcgBjAGUARABhAHQAYQAuAFMAbwB1AHIAYwBlAEQAYQB0AGEAXwBMAGkAdgBlAHMAdABvAGMAawBfAFAAcgBvAGQAdQBjAHQAXwBQAGkAZwBzAF8AVQBuAGkAdAAiACwAIgBDAG8AbQBtAG8AbgBMAGkAdgBlAHMAdABvAGMAawBfAFMAbwB1AHIAYwBlAEQAYQB0AGEALgBTAG8AdQByAGMAZQBEAGEAdABhAF8ATABpAHYAZQBzAHQAbwBjAGsAXwBQAHIAbwBkAHUAYwB0AF8AUABpAGcAcwBfAFMAbwB1AHIAYwBlACIALAAiAEMAbwBtAG0AbwBuAEwAaQB2AGUAcwB0AG8AYwBrAF8AUwBvAHUAcgBjAGUARABhAHQAYQAuAFMAbwB1AHIAYwBlAEQAYQB0AGEAXwBMAGkAdgBlAHMAdABvAGMAawBfAFAAcgBvAGQAdQBjAHQAXwBQAGkAZwBzAF8ARABhAHQAYQAiACwAIgBDAG8AbQBtAG8AbgBMAGkAdgBlAHMAdABvAGMAawBfAFMAbwB1AHIAYwBlAEQAYQB0AGEALgBTAG8AdQByAGMAZQBEAGEAdABhAF8ATABpAHYAZQBzAHQAbwBjAGsAXwBQAHIAbwBkAHUAYwB0AF8AUwBoAGUAZQBwAF8AVABpAHQAbABlACIALAAiAEMAbwBtAG0AbwBuAEwAaQB2AGUAcwB0AG8AYwBrAF8AUwBvAHUAcgBjAGUARABhAHQAYQAuAFMAbwB1AHIAYwBlAEQAYQB0AGEAXwBMAGkAdgBlAHMAdABvAGMAawBfAFAAcgBvAGQAdQBjAHQAXwBTAGgAZQBlAHAAXwBWAGEAaQByAGEAYgBsAGUAIgAsACIAQwBvAG0AbQBvAG4ATABpAHYAZQBzAHQAbwBjAGsAXwBTAG8AdQByAGMAZQBEAGEAdABhAC4AUwBvAHUAcgBjAGUARABhAHQAYQBfAEwAaQB2AGUAcwB0AG8AYwBrAF8AUAByAG8AZAB1AGMAdABfAFMAaABlAGUAcABfAFUAbgBpAHQAIgAsACIAQwBvAG0AbQBvAG4ATABpAHYAZQBzAHQAbwBjAGsAXwBTAG8AdQByAGMAZQBEAGEAdABhAC4AUwBvAHUAcgBjAGUARABhAHQAYQBfAEwAaQB2AGUAcwB0AG8AYwBrAF8AUAByAG8AZAB1AGMAdABfAFMAaABlAGUAcABfAFMAbwB1AHIAYwBlACIALAAiAEMAbwBtAG0AbwBuAEwAaQB2AGUAcwB0AG8AYwBrAF8AUwBvAHUAcgBjAGUARABhAHQAYQAuAFMAbwB1AHIAYwBlAEQAYQB0AGEAXwBMAGkAdgBlAHMAdABvAGMAawBfAFAAcgBvAGQAdQBjAHQAXwBTAGgAZQBlAHAAXwBEAGEAdABhACIALAAiAFMAbwB1AHIAYwBlAEQAYQB0AGEAXwBQAGEAcwB0AHUAcgBlAEIAZQBlAGYALgBTAG8AdQByAGMAZQBEAGEAdABhAF8AUABhAHMAdAB1AHIAZQBCAGUAZQBmAF8ATABpAHYAZQB3AGUAaQBnAGgAdABfAFQAaQB0AGwAZQAiACwAIgBTAG8AdQByAGMAZQBEAGEAdABhAF8AUABhAHMAdAB1AHIAZQBCAGUAZQBmAC4AUwBvAHUAcgBjAGUARABhAHQAYQBfAFAAYQBzAHQAdQByAGUAQgBlAGUAZgBfAEwAaQB2AGUAdwBlAGkAZwBoAHQAXwBWAGEAcgBpAGEAYgBsAGUAIgAsACIAUwBvAHUAcgBjAGUARABhAHQAYQBfAFAAYQBzAHQAdQByAGUAQgBlAGUAZgAuAFMAbwB1AHIAYwBlAEQAYQB0AGEAXwBQAGEAcwB0AHUAcgBlAEIAZQBlAGYAXwBMAGkAdgBlAHcAZQBpAGcAaAB0AF8AVQBuAGkAdAAiACwAIgBTAG8AdQByAGMAZQBEAGEAdABhAF8AUABhAHMAdAB1AHIAZQBCAGUAZQBmAC4AUwBvAHUAcgBjAGUARABhAHQAYQBfAFAAYQBzAHQAdQByAGUAQgBlAGUAZgBfAEwAaQB2AGUAdwBlAGkAZwBoAHQAXwBTAG8AdQByAGMAZQAiACwAIgBTAG8AdQByAGMAZQBEAGEAdABhAF8AUABhAHMAdAB1AHIAZQBCAGUAZQBmAC4AUwBvAHUAcgBjAGUARABhAHQAYQBfAFAAYQBzAHQAdQByAGUAQgBlAGUAZgBfAEwAaQB2AGUAdwBlAGkAZwBoAHQAXwBWAGEAcgBpAGEAdABpAG8AbgAiACwAIgBTAG8AdQByAGMAZQBEAGEAdABhAF8AUABhAHMAdAB1AHIAZQBCAGUAZQBmAC4AUwBvAHUAcgBjAGUARABhAHQAYQBfAFAAYQBzAHQAdQByAGUAQgBlAGUAZgBfAEwAaQB2AGUAdwBlAGkAZwBoAHQAXwBEAGEAdABhACIALAAiAFMAbwB1AHIAYwBlAEQAYQB0AGEAXwBQAGEAcwB0AHUAcgBlAEIAZQBlAGYALgBTAG8AdQByAGMAZQBEAGEAdABhAF8AUABhAHMAdAB1AHIAZQBCAGUAZQBmAF8ATABpAHYAZQB3AGUAaQBnAGgAdABOAFQAUQBMAEQAXwBUAGkAdABsAGUAIgAsACIAUwBvAHUAcgBjAGUARABhAHQAYQBfAFAAYQBzAHQAdQByAGUAQgBlAGUAZgAuAFMAbwB1AHIAYwBlAEQAYQB0AGEAXwBQAGEAcwB0AHUAcgBlAEIAZQBlAGYAXwBMAGkAdgBlAHcAZQBpAGcAaAB0AE4AVABRAEwARABfAFYAYQByAGkAYQBiAGwAZQAiACwAIgBTAG8AdQByAGMAZQBEAGEAdABhAF8AUABhAHMAdAB1AHIAZQBCAGUAZQBmAC4AUwBvAHUAcgBjAGUARABhAHQAYQBfAFAAYQBzAHQAdQByAGUAQgBlAGUAZgBfAEwAaQB2AGUAdwBlAGkAZwBoAHQATgBUAFEATABEAF8AVQBuAGkAdAAiACwAIgBTAG8AdQByAGMAZQBEAGEAdABhAF8AUABhAHMAdAB1AHIAZQBCAGUAZQBmAC4AUwBvAHUAcgBjAGUARABhAHQAYQBfAFAAYQBzAHQAdQByAGUAQgBlAGUAZgBfAEwAaQB2AGUAdwBlAGkAZwBoAHQATgBUAFEATABEAF8AUwBvAHUAcgBjAGUAIgAsACIAUwBvAHUAcgBjAGUARABhAHQAYQBfAFAAYQBzAHQAdQByAGUAQgBlAGUAZgAuAFMAbwB1AHIAYwBlAEQAYQB0AGEAXwBQAGEAcwB0AHUAcgBlAEIAZQBlAGYAXwBMAGkAdgBlAHcAZQBpAGcAaAB0AE4AVABRAEwARABfAFYAYQByAGkAYQB0AGkAbwBuACIALAAiAFMAbwB1AHIAYwBlAEQAYQB0AGEAXwBQAGEAcwB0AHUAcgBlAEIAZQBlAGYALgBTAG8AdQByAGMAZQBEAGEAdABhAF8AUABhAHMAdAB1AHIAZQBCAGUAZQBmAF8ATABpAHYAZQB3AGUAaQBnAGgAdABOAFQAUQBMAEQAXwBEAGEAdABhACIALAAiAFMAbwB1AHIAYwBlAEQAYQB0AGEAXwBQAGEAcwB0AHUAcgBlAEIAZQBlAGYALgBTAG8AdQByAGMAZQBEAGEAdABhAF8AUABhAHMAdAB1AHIAZQBCAGUAZQBmAF8ATABpAHYAZQB3AGUAaQBnAGgAdABHAGEAaQBuAF8AVABpAHQAbABlACIALAAiAFMAbwB1AHIAYwBlAEQAYQB0AGEAXwBQAGEAcwB0AHUAcgBlAEIAZQBlAGYALgBTAG8AdQByAGMAZQBEAGEAdABhAF8AUABhAHMAdAB1AHIAZQBCAGUAZQBmAF8ATABpAHYAZQB3AGUAaQBnAGgAdABHAGEAaQBuAF8AVgBhAHIAaQBhAGIAbABlACIALAAiAFMAbwB1AHIAYwBlAEQAYQB0AGEAXwBQAGEAcwB0AHUAcgBlAEIAZQBlAGYALgBTAG8AdQByAGMAZQBEAGEAdABhAF8AUABhAHMAdAB1AHIAZQBCAGUAZQBmAF8ATABpAHYAZQB3AGUAaQBnAGgAdABHAGEAaQBuAF8AVQBuAGkAdAAiACwAIgBTAG8AdQByAGMAZQBEAGEAdABhAF8AUABhAHMAdAB1AHIAZQBCAGUAZQBmAC4AUwBvAHUAcgBjAGUARABhAHQAYQBfAFAAYQBzAHQAdQByAGUAQgBlAGUAZgBfAEwAaQB2AGUAdwBlAGkAZwBoAHQARwBhAGkAbgBfAFMAbwB1AHIAYwBlACIALAAiAFMAbwB1AHIAYwBlAEQAYQB0AGEAXwBQAGEAcwB0AHUAcgBlAEIAZQBlAGYALgBTAG8AdQByAGMAZQBEAGEAdABhAF8AUABhAHMAdAB1AHIAZQBCAGUAZQBmAF8ATABpAHYAZQB3AGUAaQBnAGgAdABHAGEAaQBuAF8AVgBhAHIAaQBhAHQAaQBvAG4AIgAsACIAUwBvAHUAcgBjAGUARABhAHQAYQBfAFAAYQBzAHQAdQByAGUAQgBlAGUAZgAuAFMAbwB1AHIAYwBlAEQAYQB0AGEAXwBQAGEAcwB0AHUAcgBlAEIAZQBlAGYAXwBMAGkAdgBlAHcAZQBpAGcAaAB0AEcAYQBpAG4AXwBEAGEAdABhACIALAAiAFMAbwB1AHIAYwBlAEQAYQB0AGEAXwBQAGEAcwB0AHUAcgBlAEIAZQBlAGYALgBTAG8AdQByAGMAZQBEAGEAdABhAF8AUABhAHMAdAB1AHIAZQBCAGUAZQBmAF8ATABpAHYAZQB3AGUAaQBnAGgAdABHAGEAaQBuAE4AVABRAEwARABfAFQAaQB0AGwAZQAiACwAIgBTAG8AdQByAGMAZQBEAGEAdABhAF8AUABhAHMAdAB1AHIAZQBCAGUAZQBmAC4AUwBvAHUAcgBjAGUARABhAHQAYQBfAFAAYQBzAHQAdQByAGUAQgBlAGUAZgBfAEwAaQB2AGUAdwBlAGkAZwBoAHQARwBhAGkAbgBOAFQAUQBMAEQAXwBWAGEAcgBpAGEAYgBsAGUAIgAsACIAUwBvAHUAcgBjAGUARABhAHQAYQBfAFAAYQBzAHQAdQByAGUAQgBlAGUAZgAuAFMAbwB1AHIAYwBlAEQAYQB0AGEAXwBQAGEAcwB0AHUAcgBlAEIAZQBlAGYAXwBMAGkAdgBlAHcAZQBpAGcAaAB0AEcAYQBpAG4ATgBUAFEATABEAF8AVQBuAGkAdAAiACwAIgBTAG8AdQByAGMAZQBEAGEAdABhAF8AUABhAHMAdAB1AHIAZQBCAGUAZQBmAC4AUwBvAHUAcgBjAGUARABhAHQAYQBfAFAAYQBzAHQAdQByAGUAQgBlAGUAZgBfAEwAaQB2AGUAdwBlAGkAZwBoAHQARwBhAGkAbgBOAFQAUQBMAEQAXwBTAG8AdQByAGMAZQAiACwAIgBTAG8AdQByAGMAZQBEAGEAdABhAF8AUABhAHMAdAB1AHIAZQBCAGUAZQBmAC4AUwBvAHUAcgBjAGUARABhAHQAYQBfAFAAYQBzAHQAdQByAGUAQgBlAGUAZgBfAEwAaQB2AGUAdwBlAGkAZwBoAHQARwBhAGkAbgBOAFQAUQBMAEQAXwBWAGEAcgBpAGEAdABpAG8AbgAiACwAIgBTAG8AdQByAGMAZQBEAGEAdABhAF8AUABhAHMAdAB1AHIAZQBCAGUAZQBmAC4AUwBvAHUAcgBjAGUARABhAHQAYQBfAFAAYQBzAHQAdQByAGUAQgBlAGUAZgBfAEwAaQB2AGUAdwBlAGkAZwBoAHQARwBhAGkAbgBOAFQAUQBMAEQAXwBEAGEAdABhACIALAAiAFMAbwB1AHIAYwBlAEQAYQB0AGEAXwBQAGEAcwB0AHUAcgBlAEIAZQBlAGYALgBTAG8AdQByAGMAZQBEAGEAdABhAF8AUABhAHMAdAB1AHIAZQBCAGUAZQBmAF8ARAByAHkATQBhAHQAdABlAHIARABpAGcAZQBzAHQAaQBiAGkAbABpAHQAeQBfAFQAaQB0AGwAZQAiACwAIgBTAG8AdQByAGMAZQBEAGEAdABhAF8AUABhAHMAdAB1AHIAZQBCAGUAZQBmAC4AUwBvAHUAcgBjAGUARABhAHQAYQBfAFAAYQBzAHQAdQByAGUAQgBlAGUAZgBfAEQAcgB5AE0AYQB0AHQAZQByAEQAaQBnAGUAcwB0AGkAYgBpAGwAaQB0AHkAXwBWAGEAcgBpAGEAYgBsAGUAIgAsACIAUwBvAHUAcgBjAGUARABhAHQAYQBfAFAAYQBzAHQAdQByAGUAQgBlAGUAZgAuAFMAbwB1AHIAYwBlAEQAYQB0AGEAXwBQAGEAcwB0AHUAcgBlAEIAZQBlAGYAXwBEAHIAeQBNAGEAdAB0AGUAcgBEAGkAZwBlAHMAdABpAGIAaQBsAGkAdAB5AF8AVQBuAGkAdAAiACwAIgBTAG8AdQByAGMAZQBEAGEAdABhAF8AUABhAHMAdAB1AHIAZQBCAGUAZQBmAC4AUwBvAHUAcgBjAGUARABhAHQAYQBfAFAAYQBzAHQAdQByAGUAQgBlAGUAZgBfAEQAcgB5AE0AYQB0AHQAZQByAEQAaQBnAGUAcwB0AGkAYgBpAGwAaQB0AHkAXwBTAG8AdQByAGMAZQAiACwAIgBTAG8AdQByAGMAZQBEAGEAdABhAF8AUABhAHMAdAB1AHIAZQBCAGUAZQBmAC4AUwBvAHUAcgBjAGUARABhAHQAYQBfAFAAYQBzAHQAdQByAGUAQgBlAGUAZgBfAEQAcgB5AE0AYQB0AHQAZQByAEQAaQBnAGUAcwB0AGkAYgBpAGwAaQB0AHkAXwBWAGEAcgBpAGEAdABpAG8AbgAiACwAIgBTAG8AdQByAGMAZQBEAGEAdABhAF8AUABhAHMAdAB1AHIAZQBCAGUAZQBmAC4AUwBvAHUAcgBjAGUARABhAHQAYQBfAFAAYQBzAHQAdQByAGUAQgBlAGUAZgBfAEQAcgB5AE0AYQB0AHQAZQByAEQAaQBnAGUAcwB0AGkAYgBpAGwAaQB0AHkAXwBEAGEAdABhACIALAAiAFMAbwB1AHIAYwBlAEQAYQB0AGEAXwBQAGEAcwB0AHUAcgBlAEIAZQBlAGYALgBTAG8AdQByAGMAZQBEAGEAdABhAF8AUABhAHMAdAB1AHIAZQBCAGUAZQBmAF8AQwByAHUAZABlAFAAcgBvAHQAZQBpAG4AQwBvAG4AdABlAG4AdABfAFQAaQB0AGwAZQAiACwAIgBTAG8AdQByAGMAZQBEAGEAdABhAF8AUABhAHMAdAB1AHIAZQBCAGUAZQBmAC4AUwBvAHUAcgBjAGUARABhAHQAYQBfAFAAYQBzAHQAdQByAGUAQgBlAGUAZgBfAEMAcgB1AGQAZQBQAHIAbwB0AGUAaQBuAEMAbwBuAHQAZQBuAHQAXwBWAGEAcgBpAGEAYgBsAGUAIgAsACIAUwBvAHUAcgBjAGUARABhAHQAYQBfAFAAYQBzAHQAdQByAGUAQgBlAGUAZgAuAFMAbwB1AHIAYwBlAEQAYQB0AGEAXwBQAGEAcwB0AHUAcgBlAEIAZQBlAGYAXwBDAHIAdQBkAGUAUAByAG8AdABlAGkAbgBDAG8AbgB0AGUAbgB0AF8AVQBuAGkAdAAiACwAIgBTAG8AdQByAGMAZQBEAGEAdABhAF8AUABhAHMAdAB1AHIAZQBCAGUAZQBmAC4AUwBvAHUAcgBjAGUARABhAHQAYQBfAFAAYQBzAHQAdQByAGUAQgBlAGUAZgBfAEMAcgB1AGQAZQBQAHIAbwB0AGUAaQBuAEMAbwBuAHQAZQBuAHQAXwBTAG8AdQByAGMAZQAiACwAIgBTAG8AdQByAGMAZQBEAGEAdABhAF8AUABhAHMAdAB1AHIAZQBCAGUAZQBmAC4AUwBvAHUAcgBjAGUARABhAHQAYQBfAFAAYQBzAHQAdQByAGUAQgBlAGUAZgBfAEMAcgB1AGQAZQBQAHIAbwB0AGUAaQBuAEMAbwBuAHQAZQBuAHQAXwBWAGEAcgBpAGEAdABpAG8AbgAiACwAIgBTAG8AdQByAGMAZQBEAGEAdABhAF8AUABhAHMAdAB1AHIAZQBCAGUAZQBmAC4AUwBvAHUAcgBjAGUARABhAHQAYQBfAFAAYQBzAHQAdQByAGUAQgBlAGUAZgBfAEMAcgB1AGQAZQBQAHIAbwB0AGUAaQBuAEMAbwBuAHQAZQBuAHQAXwBEAGEAdABhACIALAAiAFMAbwB1AHIAYwBlAEQAYQB0AGEAXwBQAGEAcwB0AHUAcgBlAEIAZQBlAGYALgBTAG8AdQByAGMAZQBEAGEAdABhAF8AUABhAHMAdAB1AHIAZQBCAGUAZQBmAF8ARgBlAGUAZABBAGQAagB1AHMAdABtAGUAbgB0AEEAbgBkAE0AaQBsAGsAUAByAG8AZAB1AGMAdABpAG8AbgBfAFQAaQB0AGwAZQAiACwAIgBTAG8AdQByAGMAZQBEAGEAdABhAF8AUABhAHMAdAB1AHIAZQBCAGUAZQBmAC4AUwBvAHUAcgBjAGUARABhAHQAYQBfAFAAYQBzAHQAdQByAGUAQgBlAGUAZgBfAEYAZQBlAGQAQQBkAGoAdQBzAHQAbQBlAG4AdABBAG4AZABNAGkAbABrAFAAcgBvAGQAdQBjAHQAaQBvAG4AXwBWAGEAcgBpAGEAYgBsAGUAIgAsACIAUwBvAHUAcgBjAGUARABhAHQAYQBfAFAAYQBzAHQAdQByAGUAQgBlAGUAZgAuAFMAbwB1AHIAYwBlAEQAYQB0AGEAXwBQAGEAcwB0AHUAcgBlAEIAZQBlAGYAXwBGAGUAZQBkAEEAZABqAHUAcwB0AG0AZQBuAHQAQQBuAGQATQBpAGwAawBQAHIAbwBkAHUAYwB0AGkAbwBuAF8AVQBuAGkAdAAiACwAIgBTAG8AdQByAGMAZQBEAGEAdABhAF8AUABhAHMAdAB1AHIAZQBCAGUAZQBmAC4AUwBvAHUAcgBjAGUARABhAHQAYQBfAFAAYQBzAHQAdQByAGUAQgBlAGUAZgBfAEYAZQBlAGQAQQBkAGoAdQBzAHQAbQBlAG4AdABBAG4AZABNAGkAbABrAFAAcgBvAGQAdQBjAHQAaQBvAG4AXwBTAG8AdQByAGMAZQAiACwAIgBTAG8AdQByAGMAZQBEAGEAdABhAF8AUABhAHMAdAB1AHIAZQBCAGUAZQBmAC4AUwBvAHUAcgBjAGUARABhAHQAYQBfAFAAYQBzAHQAdQByAGUAQgBlAGUAZgBfAEYAZQBlAGQAQQBkAGoAdQBzAHQAbQBlAG4AdABBAG4AZABNAGkAbABrAFAAcgBvAGQAdQBjAHQAaQBvAG4AXwBWAGEAcgBpAGEAdABpAG8AbgAiACwAIgBTAG8AdQByAGMAZQBEAGEAdABhAF8AUABhAHMAdAB1AHIAZQBCAGUAZQBmAC4AUwBvAHUAcgBjAGUARABhAHQAYQBfAFAAYQBzAHQAdQByAGUAQgBlAGUAZgBfAEYAZQBlAGQAQQBkAGoAdQBzAHQAbQBlAG4AdABBAG4AZABNAGkAbABrAFAAcgBvAGQAdQBjAHQAaQBvAG4AXwBEAGEAdABhACIALAAiAFMAbwB1AHIAYwBlAEQAYQB0AGEAXwBQAGEAcwB0AHUAcgBlAEIAZQBlAGYALgBTAG8AdQByAGMAZQBEAGEAdABhAF8AUABhAHMAdAB1AHIAZQBCAGUAZQBmAF8AUwB0AGEAbgBkAGEAcgBkAFIAZQBmAGUAcgBlAG4AYwBlAFcAZQBpAGcAaAB0AHMAXwBUAGkAdABsAGUAIgAsACIAUwBvAHUAcgBjAGUARABhAHQAYQBfAFAAYQBzAHQAdQByAGUAQgBlAGUAZgAuAFMAbwB1AHIAYwBlAEQAYQB0AGEAXwBQAGEAcwB0AHUAcgBlAEIAZQBlAGYAXwBTAHQAYQBuAGQAYQByAGQAUgBlAGYAZQByAGUAbgBjAGUAVwBlAGkAZwBoAHQAcwBfAFYAYQByAGkAYQBiAGwAZQAiACwAIgBTAG8AdQByAGMAZQBEAGEAdABhAF8AUABhAHMAdAB1AHIAZQBCAGUAZQBmAC4AUwBvAHUAcgBjAGUARABhAHQAYQBfAFAAYQBzAHQAdQByAGUAQgBlAGUAZgBfAFMAdABhAG4AZABhAHIAZABSAGUAZgBlAHIAZQBuAGMAZQBXAGUAaQBnAGgAdABzAF8AVQBuAGkAdAAiACwAIgBTAG8AdQByAGMAZQBEAGEAdABhAF8AUABhAHMAdAB1AHIAZQBCAGUAZQBmAC4AUwBvAHUAcgBjAGUARABhAHQAYQBfAFAAYQBzAHQAdQByAGUAQgBlAGUAZgBfAFMAdABhAG4AZABhAHIAZABSAGUAZgBlAHIAZQBuAGMAZQBXAGUAaQBnAGgAdABzAF8AUwBvAHUAcgBjAGUAIgAsACIAUwBvAHUAcgBjAGUARABhAHQAYQBfAFAAYQBzAHQAdQByAGUAQgBlAGUAZgAuAFMAbwB1AHIAYwBlAEQAYQB0AGEAXwBQAGEAcwB0AHUAcgBlAEIAZQBlAGYAXwBTAHQAYQBuAGQAYQByAGQAUgBlAGYAZQByAGUAbgBjAGUAVwBlAGkAZwBoAHQAcwBfAFYAYQByAGkAYQB0AGkAbwBuACIALAAiAFMAbwB1AHIAYwBlAEQAYQB0AGEAXwBQAGEAcwB0AHUAcgBlAEIAZQBlAGYALgBTAG8AdQByAGMAZQBEAGEAdABhAF8AUABhAHMAdAB1AHIAZQBCAGUAZQBmAF8AUwB0AGEAbgBkAGEAcgBkAFIAZQBmAGUAcgBlAG4AYwBlAFcAZQBpAGcAaAB0AHMAXwBEAGEAdABhACIALAAiAFMAbwB1AHIAYwBlAEQAYQB0AGEAXwBQAGEAcwB0AHUAcgBlAEIAZQBlAGYALgBTAG8AdQByAGMAZQBEAGEAdABhAF8AUABhAHMAdAB1AHIAZQBCAGUAZQBmAF8ARgByAGEAYwB0AGkAbwBuAE8AZgBNAGEAbgB1AHIAZQBUAG8ATQBNAFMAXwBUAGkAdABsAGUAIgAsACIAUwBvAHUAcgBjAGUARABhAHQAYQBfAFAAYQBzAHQAdQByAGUAQgBlAGUAZgAuAFMAbwB1AHIAYwBlAEQAYQB0AGEAXwBQAGEAcwB0AHUAcgBlAEIAZQBlAGYAXwBGAHIAYQBjAHQAaQBvAG4ATwBmAE0AYQBuAHUAcgBlAFQAbwBNAE0AUwBfAFYAYQByAGkAYQBiAGwAZQAiACwAIgBTAG8AdQByAGMAZQBEAGEAdABhAF8AUABhAHMAdAB1AHIAZQBCAGUAZQBmAC4AUwBvAHUAcgBjAGUARABhAHQAYQBfAFAAYQBzAHQAdQByAGUAQgBlAGUAZgBfAEYAcgBhAGMAdABpAG8AbgBPAGYATQBhAG4AdQByAGUAVABvAE0ATQBTAF8AVQBuAGkAdAAiACwAIgBTAG8AdQByAGMAZQBEAGEAdABhAF8AUABhAHMAdAB1AHIAZQBCAGUAZQBmAC4AUwBvAHUAcgBjAGUARABhAHQAYQBfAFAAYQBzAHQAdQByAGUAQgBlAGUAZgBfAEYAcgBhAGMAdABpAG8AbgBPAGYATQBhAG4AdQByAGUAVABvAE0ATQBTAF8AUwBvAHUAcgBjAGUAIgAsACIAUwBvAHUAcgBjAGUARABhAHQAYQBfAFAAYQBzAHQAdQByAGUAQgBlAGUAZgAuAFMAbwB1AHIAYwBlAEQAYQB0AGEAXwBQAGEAcwB0AHUAcgBlAEIAZQBlAGYAXwBGAHIAYQBjAHQAaQBvAG4ATwBmAE0AYQBuAHUAcgBlAFQAbwBNAE0AUwBfAFYAYQByAGkAYQB0AGkAbwBuACIALAAiAFMAbwB1AHIAYwBlAEQAYQB0AGEAXwBQAGEAcwB0AHUAcgBlAEIAZQBlAGYALgBTAG8AdQByAGMAZQBEAGEAdABhAF8AUABhAHMAdAB1AHIAZQBCAGUAZQBmAF8ARgByAGEAYwB0AGkAbwBuAE8AZgBNAGEAbgB1AHIAZQBUAG8ATQBNAFMAXwBEAGEAdABhACIALAAiAFMAbwB1AHIAYwBlAEQAYQB0AGEAXwBQAGEAcwB0AHUAcgBlAEIAZQBlAGYALgBTAG8AdQByAGMAZQBEAGEAdABhAF8AUABhAHMAdAB1AHIAZQBCAGUAZQBmAF8ATQBlAHQAaABhAG4AZQBDAG8AbgB2AGUAcgBzAGkAbwBuAEYAYQBjAHQAbwByAFAAZQByAFIAZQBnAGkAbwBuAF8AVABpAHQAbABlACIALAAiAFMAbwB1AHIAYwBlAEQAYQB0AGEAXwBQAGEAcwB0AHUAcgBlAEIAZQBlAGYALgBTAG8AdQByAGMAZQBEAGEAdABhAF8AUABhAHMAdAB1AHIAZQBCAGUAZQBmAF8ATQBlAHQAaABhAG4AZQBDAG8AbgB2AGUAcgBzAGkAbwBuAEYAYQBjAHQAbwByAFAAZQByAFIAZQBnAGkAbwBuAF8AVgBhAHIAaQBhAGIAbABlACIALAAiAFMAbwB1AHIAYwBlAEQAYQB0AGEAXwBQAGEAcwB0AHUAcgBlAEIAZQBlAGYALgBTAG8AdQByAGMAZQBEAGEAdABhAF8AUABhAHMAdAB1AHIAZQBCAGUAZQBmAF8ATQBlAHQAaABhAG4AZQBDAG8AbgB2AGUAcgBzAGkAbwBuAEYAYQBjAHQAbwByAFAAZQByAFIAZQBnAGkAbwBuAF8AVQBuAGkAdAAiACwAIgBTAG8AdQByAGMAZQBEAGEAdABhAF8AUABhAHMAdAB1AHIAZQBCAGUAZQBmAC4AUwBvAHUAcgBjAGUARABhAHQAYQBfAFAAYQBzAHQAdQByAGUAQgBlAGUAZgBfAE0AZQB0AGgAYQBuAGUAQwBvAG4AdgBlAHIAcwBpAG8AbgBGAGEAYwB0AG8AcgBQAGUAcgBSAGUAZwBpAG8AbgBfAFMAbwB1AHIAYwBlACIALAAiAFMAbwB1AHIAYwBlAEQAYQB0AGEAXwBQAGEAcwB0AHUAcgBlAEIAZQBlAGYALgBTAG8AdQByAGMAZQBEAGEAdABhAF8AUABhAHMAdAB1AHIAZQBCAGUAZQBmAF8ATQBlAHQAaABhAG4AZQBDAG8AbgB2AGUAcgBzAGkAbwBuAEYAYQBjAHQAbwByAFAAZQByAFIAZQBnAGkAbwBuAF8AVgBhAHIAaQBhAHQAaQBvAG4AIgAsACIAUwBvAHUAcgBjAGUARABhAHQAYQBfAFAAYQBzAHQAdQByAGUAQgBlAGUAZgAuAFMAbwB1AHIAYwBlAEQAYQB0AGEAXwBQAGEAcwB0AHUAcgBlAEIAZQBlAGYAXwBNAGUAdABoAGEAbgBlAEMAbwBuAHYAZQByAHMAaQBvAG4ARgBhAGMAdABvAHIAUABlAHIAUgBlAGcAaQBvAG4AXwBEAGEAdABhACIALAAiAFMAbwB1AHIAYwBlAEQAYQB0AGEAXwBQAGEAcwB0AHUAcgBlAEIAZQBlAGYALgBTAG8AdQByAGMAZQBEAGEAdABhAF8AUABhAHMAdAB1AHIAZQBCAGUAZQBmAF8AQQBzAGgAQwBvAG4AdABlAG4AdABPAGYARgBlAGUAZABJAG4AdABhAGsAZQBfAFQAaQB0AGwAZQAiACwAIgBTAG8AdQByAGMAZQBEAGEAdABhAF8AUABhAHMAdAB1AHIAZQBCAGUAZQBmAC4AUwBvAHUAcgBjAGUARABhAHQAYQBfAFAAYQBzAHQAdQByAGUAQgBlAGUAZgBfAEEAcwBoAEMAbwBuAHQAZQBuAHQATwBmAEYAZQBlAGQASQBuAHQAYQBrAGUAXwBWAGEAcgBpAGEAYgBsAGUAIgAsACIAUwBvAHUAcgBjAGUARABhAHQAYQBfAFAAYQBzAHQAdQByAGUAQgBlAGUAZgAuAFMAbwB1AHIAYwBlAEQAYQB0AGEAXwBQAGEAcwB0AHUAcgBlAEIAZQBlAGYAXwBBAHMAaABDAG8AbgB0AGUAbgB0AE8AZgBGAGUAZQBkAEkAbgB0AGEAawBlAF8AVQBuAGkAdAAiACwAIgBTAG8AdQByAGMAZQBEAGEAdABhAF8AUABhAHMAdAB1AHIAZQBCAGUAZQBmAC4AUwBvAHUAcgBjAGUARABhAHQAYQBfAFAAYQBzAHQAdQByAGUAQgBlAGUAZgBfAEEAcwBoAEMAbwBuAHQAZQBuAHQATwBmAEYAZQBlAGQASQBuAHQAYQBrAGUAXwBTAG8AdQByAGMAZQAiACwAIgBTAG8AdQByAGMAZQBEAGEAdABhAF8AUABhAHMAdAB1AHIAZQBCAGUAZQBmAC4AUwBvAHUAcgBjAGUARABhAHQAYQBfAFAAYQBzAHQAdQByAGUAQgBlAGUAZgBfAEEAcwBoAEMAbwBuAHQAZQBuAHQATwBmAEYAZQBlAGQASQBuAHQAYQBrAGUAXwBWAGEAcgBpAGEAdABpAG8AbgAiACwAIgBTAG8AdQByAGMAZQBEAGEAdABhAF8AUABhAHMAdAB1AHIAZQBCAGUAZQBmAC4AUwBvAHUAcgBjAGUARABhAHQAYQBfAFAAYQBzAHQAdQByAGUAQgBlAGUAZgBfAEEAcwBoAEMAbwBuAHQAZQBuAHQATwBmAEYAZQBlAGQASQBuAHQAYQBrAGUAXwBEAGEAdABhACIALAAiAFMAbwB1AHIAYwBlAEQAYQB0AGEAXwBQAGEAcwB0AHUAcgBlAEIAZQBlAGYALgBTAG8AdQByAGMAZQBEAGEAdABhAF8AUABhAHMAdAB1AHIAZQBCAGUAZQBmAF8ATQBlAHQAaABhAG4AZQBFAG0AaQBzAHMAaQBvAG4AcwBQAG8AdABlAG4AdABpAGEAbABfAFQAaQB0AGwAZQAiACwAIgBTAG8AdQByAGMAZQBEAGEAdABhAF8AUABhAHMAdAB1AHIAZQBCAGUAZQBmAC4AUwBvAHUAcgBjAGUARABhAHQAYQBfAFAAYQBzAHQAdQByAGUAQgBlAGUAZgBfAE0AZQB0AGgAYQBuAGUARQBtAGkAcwBzAGkAbwBuAHMAUABvAHQAZQBuAHQAaQBhAGwAXwBWAGEAcgBpAGEAYgBsAGUAIgAsACIAUwBvAHUAcgBjAGUARABhAHQAYQBfAFAAYQBzAHQAdQByAGUAQgBlAGUAZgAuAFMAbwB1AHIAYwBlAEQAYQB0AGEAXwBQAGEAcwB0AHUAcgBlAEIAZQBlAGYAXwBNAGUAdABoAGEAbgBlAEUAbQBpAHMAcwBpAG8AbgBzAFAAbwB0AGUAbgB0AGkAYQBsAF8AVQBuAGkAdAAiACwAIgBTAG8AdQByAGMAZQBEAGEAdABhAF8AUABhAHMAdAB1AHIAZQBCAGUAZQBmAC4AUwBvAHUAcgBjAGUARABhAHQAYQBfAFAAYQBzAHQAdQByAGUAQgBlAGUAZgBfAE0AZQB0AGgAYQBuAGUARQBtAGkAcwBzAGkAbwBuAHMAUABvAHQAZQBuAHQAaQBhAGwAXwBTAG8AdQByAGMAZQAiACwAIgBTAG8AdQByAGMAZQBEAGEAdABhAF8AUABhAHMAdAB1AHIAZQBCAGUAZQBmAC4AUwBvAHUAcgBjAGUARABhAHQAYQBfAFAAYQBzAHQAdQByAGUAQgBlAGUAZgBfAE0AZQB0AGgAYQBuAGUARQBtAGkAcwBzAGkAbwBuAHMAUABvAHQAZQBuAHQAaQBhAGwAXwBWAGEAcgBpAGEAdABpAG8AbgAiACwAIgBTAG8AdQByAGMAZQBEAGEAdABhAF8AUABhAHMAdAB1AHIAZQBCAGUAZQBmAC4AUwBvAHUAcgBjAGUARABhAHQAYQBfAFAAYQBzAHQAdQByAGUAQgBlAGUAZgBfAE0AZQB0AGgAYQBuAGUARQBtAGkAcwBzAGkAbwBuAHMAUABvAHQAZQBuAHQAaQBhAGwAXwBEAGEAdABhACIALAAiAFMAbwB1AHIAYwBlAEQAYQB0AGEAXwBQAGEAcwB0AHUAcgBlAEIAZQBlAGYALgBTAG8AdQByAGMAZQBEAGEAdABhAF8AUABhAHMAdAB1AHIAZQBCAGUAZQBmAF8ARgByAGEAYwBHAEEAUwBNAFMAbwBpAGwAXwBUAGkAdABsAGUAIgAsACIAUwBvAHUAcgBjAGUARABhAHQAYQBfAFAAYQBzAHQAdQByAGUAQgBlAGUAZgAuAFMAbwB1AHIAYwBlAEQAYQB0AGEAXwBQAGEAcwB0AHUAcgBlAEIAZQBlAGYAXwBGAHIAYQBjAEcAQQBTAE0AUwBvAGkAbABfAFYAYQByAGkAYQBiAGwAZQAiACwAIgBTAG8AdQByAGMAZQBEAGEAdABhAF8AUABhAHMAdAB1AHIAZQBCAGUAZQBmAC4AUwBvAHUAcgBjAGUARABhAHQAYQBfAFAAYQBzAHQAdQByAGUAQgBlAGUAZgBfAEYAcgBhAGMARwBBAFMATQBTAG8AaQBsAF8AVQBuAGkAdAAiACwAIgBTAG8AdQByAGMAZQBEAGEAdABhAF8AUABhAHMAdAB1AHIAZQBCAGUAZQBmAC4AUwBvAHUAcgBjAGUARABhAHQAYQBfAFAAYQBzAHQAdQByAGUAQgBlAGUAZgBfAEYAcgBhAGMARwBBAFMATQBTAG8AaQBsAF8AUwBvAHUAcgBjAGUAIgAsACIAUwBvAHUAcgBjAGUARABhAHQAYQBfAFAAYQBzAHQAdQByAGUAQgBlAGUAZgAuAFMAbwB1AHIAYwBlAEQAYQB0AGEAXwBQAGEAcwB0AHUAcgBlAEIAZQBlAGYAXwBGAHIAYQBjAEcAQQBTAE0AUwBvAGkAbABfAFYAYQByAGkAYQB0AGkAbwBuACIALAAiAFMAbwB1AHIAYwBlAEQAYQB0AGEAXwBQAGEAcwB0AHUAcgBlAEIAZQBlAGYALgBTAG8AdQByAGMAZQBEAGEAdABhAF8AUABhAHMAdAB1AHIAZQBCAGUAZQBmAF8ARgByAGEAYwBHAEEAUwBNAFMAbwBpAGwAXwBEAGEAdABhACIALAAiAFMAbwB1AHIAYwBlAEQAYQB0AGEAXwBQAGEAcwB0AHUAcgBlAEIAZQBlAGYALgBTAG8AdQByAGMAZQBEAGEAdABhAF8AUABhAHMAdAB1AHIAZQBCAGUAZQBmAF8ARgByAGEAYwBMAEUAQQBDAEgAXwBUAGkAdABsAGUAIgAsACIAUwBvAHUAcgBjAGUARABhAHQAYQBfAFAAYQBzAHQAdQByAGUAQgBlAGUAZgAuAFMAbwB1AHIAYwBlAEQAYQB0AGEAXwBQAGEAcwB0AHUAcgBlAEIAZQBlAGYAXwBGAHIAYQBjAEwARQBBAEMASABfAFYAYQByAGkAYQBiAGwAZQAiACwAIgBTAG8AdQByAGMAZQBEAGEAdABhAF8AUABhAHMAdAB1AHIAZQBCAGUAZQBmAC4AUwBvAHUAcgBjAGUARABhAHQAYQBfAFAAYQBzAHQAdQByAGUAQgBlAGUAZgBfAEYAcgBhAGMATABFAEEAQwBIAF8AVQBuAGkAdAAiACwAIgBTAG8AdQByAGMAZQBEAGEAdABhAF8AUABhAHMAdAB1AHIAZQBCAGUAZQBmAC4AUwBvAHUAcgBjAGUARABhAHQAYQBfAFAAYQBzAHQAdQByAGUAQgBlAGUAZgBfAEYAcgBhAGMATABFAEEAQwBIAF8AUwBvAHUAcgBjAGUAIgAsACIAUwBvAHUAcgBjAGUARABhAHQAYQBfAFAAYQBzAHQAdQByAGUAQgBlAGUAZgAuAFMAbwB1AHIAYwBlAEQAYQB0AGEAXwBQAGEAcwB0AHUAcgBlAEIAZQBlAGYAXwBGAHIAYQBjAEwARQBBAEMASABfAFYAYQByAGkAYQB0AGkAbwBuACIALAAiAFMAbwB1AHIAYwBlAEQAYQB0AGEAXwBQAGEAcwB0AHUAcgBlAEIAZQBlAGYALgBTAG8AdQByAGMAZQBEAGEAdABhAF8AUABhAHMAdAB1AHIAZQBCAGUAZQBmAF8ARgByAGEAYwBMAEUAQQBDAEgAXwBEAGEAdABhACIALAAiAFMAYwBvAHAAZQAzAF8ASQBuAHAAdQB0AEYAdQBuAGMAdABpAG8AbgBzAC4ARwBlAHQATABpAHYAZQB3AGUAaQBnAGgAdABfAFAAYQBzAHQAdQByAGUAQgBlAGUAZgAiACwAIgBTAG8AdQByAGMAZQBEAGEAdABhAF8ARABhAGkAcgB5AC4AUwBvAHUAcgBjAGUARABhAHQAYQBfAEQAYQBpAHIAeQBfAEwAaQB2AGUAdwBlAGkAZwBoAHQAQwBvAHcAcwBBAG4AZABIAGUAaQBmAGUAcgBzAF8AVABpAHQAbABlACIALAAiAFMAbwB1AHIAYwBlAEQAYQB0AGEAXwBEAGEAaQByAHkALgBTAG8AdQByAGMAZQBEAGEAdABhAF8ARABhAGkAcgB5AF8ATABpAHYAZQB3AGUAaQBnAGgAdABDAG8AdwBzAEEAbgBkAEgAZQBpAGYAZQByAHMAXwBWAGEAcgBpAGEAYgBsAGUAIgAsACIAUwBvAHUAcgBjAGUARABhAHQAYQBfAEQAYQBpAHIAeQAuAFMAbwB1AHIAYwBlAEQAYQB0AGEAXwBEAGEAaQByAHkAXwBMAGkAdgBlAHcAZQBpAGcAaAB0AEMAbwB3AHMAQQBuAGQASABlAGkAZgBlAHIAcwBfAFUAbgBpAHQAIgAsACIAUwBvAHUAcgBjAGUARABhAHQAYQBfAEQAYQBpAHIAeQAuAFMAbwB1AHIAYwBlAEQAYQB0AGEAXwBEAGEAaQByAHkAXwBMAGkAdgBlAHcAZQBpAGcAaAB0AEMAbwB3AHMAQQBuAGQASABlAGkAZgBlAHIAcwBfAFMAbwB1AHIAYwBlACIALAAiAFMAbwB1AHIAYwBlAEQAYQB0AGEAXwBEAGEAaQByAHkALgBTAG8AdQByAGMAZQBEAGEAdABhAF8ARABhAGkAcgB5AF8ATABpAHYAZQB3AGUAaQBnAGgAdABDAG8AdwBzAEEAbgBkAEgAZQBpAGYAZQByAHMAXwBWAGEAcgBpAGEAdABpAG8AbgAiACwAIgBTAG8AdQByAGMAZQBEAGEAdABhAF8ARABhAGkAcgB5AC4AUwBvAHUAcgBjAGUARABhAHQAYQBfAEQAYQBpAHIAeQBfAEwAaQB2AGUAdwBlAGkAZwBoAHQAQwBvAHcAcwBBAG4AZABIAGUAaQBmAGUAcgBzAF8ARABhAHQAYQAiACwAIgBTAG8AdQByAGMAZQBEAGEAdABhAF8ARABhAGkAcgB5AC4AUwBvAHUAcgBjAGUARABhAHQAYQBfAEQAYQBpAHIAeQBfAEwAaQB2AGUAdwBlAGkAZwBoAHQAQgB1AGwAbABzAF8AVABpAHQAbABlACIALAAiAFMAbwB1AHIAYwBlAEQAYQB0AGEAXwBEAGEAaQByAHkALgBTAG8AdQByAGMAZQBEAGEAdABhAF8ARABhAGkAcgB5AF8ATABpAHYAZQB3AGUAaQBnAGgAdABCAHUAbABsAHMAXwBWAGEAcgBpAGEAYgBsAGUAIgAsACIAUwBvAHUAcgBjAGUARABhAHQAYQBfAEQAYQBpAHIAeQAuAFMAbwB1AHIAYwBlAEQAYQB0AGEAXwBEAGEAaQByAHkAXwBMAGkAdgBlAHcAZQBpAGcAaAB0AEIAdQBsAGwAcwBfAFUAbgBpAHQAIgAsACIAUwBvAHUAcgBjAGUARABhAHQAYQBfAEQAYQBpAHIAeQAuAFMAbwB1AHIAYwBlAEQAYQB0AGEAXwBEAGEAaQByAHkAXwBMAGkAdgBlAHcAZQBpAGcAaAB0AEIAdQBsAGwAcwBfAFMAbwB1AHIAYwBlACIALAAiAFMAbwB1AHIAYwBlAEQAYQB0AGEAXwBEAGEAaQByAHkALgBTAG8AdQByAGMAZQBEAGEAdABhAF8ARABhAGkAcgB5AF8ATABpAHYAZQB3AGUAaQBnAGgAdABCAHUAbABsAHMAXwBWAGEAcgBpAGEAdABpAG8AbgAiACwAIgBTAG8AdQByAGMAZQBEAGEAdABhAF8ARABhAGkAcgB5AC4AUwBvAHUAcgBjAGUARABhAHQAYQBfAEQAYQBpAHIAeQBfAEwAaQB2AGUAdwBlAGkAZwBoAHQAQgB1AGwAbABzAF8ARABhAHQAYQAiACwAIgBTAG8AdQByAGMAZQBEAGEAdABhAF8ARABhAGkAcgB5AC4AUwBvAHUAcgBjAGUARABhAHQAYQBfAEQAYQBpAHIAeQBfAEwAaQB2AGUAdwBlAGkAZwBoAHQARwBhAGkAbgBfAFQAaQB0AGwAZQAiACwAIgBTAG8AdQByAGMAZQBEAGEAdABhAF8ARABhAGkAcgB5AC4AUwBvAHUAcgBjAGUARABhAHQAYQBfAEQAYQBpAHIAeQBfAEwAaQB2AGUAdwBlAGkAZwBoAHQARwBhAGkAbgBfAFYAYQByAGkAYQBiAGwAZQAiACwAIgBTAG8AdQByAGMAZQBEAGEAdABhAF8ARABhAGkAcgB5AC4AUwBvAHUAcgBjAGUARABhAHQAYQBfAEQAYQBpAHIAeQBfAEwAaQB2AGUAdwBlAGkAZwBoAHQARwBhAGkAbgBfAFUAbgBpAHQAIgAsACIAUwBvAHUAcgBjAGUARABhAHQAYQBfAEQAYQBpAHIAeQAuAFMAbwB1AHIAYwBlAEQAYQB0AGEAXwBEAGEAaQByAHkAXwBMAGkAdgBlAHcAZQBpAGcAaAB0AEcAYQBpAG4AXwBTAG8AdQByAGMAZQAiACwAIgBTAG8AdQByAGMAZQBEAGEAdABhAF8ARABhAGkAcgB5AC4AUwBvAHUAcgBjAGUARABhAHQAYQBfAEQAYQBpAHIAeQBfAEwAaQB2AGUAdwBlAGkAZwBoAHQARwBhAGkAbgBfAFYAYQByAGkAYQB0AGkAbwBuACIALAAiAFMAbwB1AHIAYwBlAEQAYQB0AGEAXwBEAGEAaQByAHkALgBTAG8AdQByAGMAZQBEAGEAdABhAF8ARABhAGkAcgB5AF8ATABpAHYAZQB3AGUAaQBnAGgAdABHAGEAaQBuAF8ARABhAHQAYQAiACwAIgBTAG8AdQByAGMAZQBEAGEAdABhAF8ARABhAGkAcgB5AC4AUwBvAHUAcgBjAGUARABhAHQAYQBfAEQAYQBpAHIAeQBfAFIAZQBmAGUAcgBlAG4AYwBlAFcAZQBpAGcAaAB0AHMAXwBUAGkAdABsAGUAIgAsACIAUwBvAHUAcgBjAGUARABhAHQAYQBfAEQAYQBpAHIAeQAuAFMAbwB1AHIAYwBlAEQAYQB0AGEAXwBEAGEAaQByAHkAXwBSAGUAZgBlAHIAZQBuAGMAZQBXAGUAaQBnAGgAdABzAF8AVgBhAHIAaQBhAGIAbABlACIALAAiAFMAbwB1AHIAYwBlAEQAYQB0AGEAXwBEAGEAaQByAHkALgBTAG8AdQByAGMAZQBEAGEAdABhAF8ARABhAGkAcgB5AF8AUgBlAGYAZQByAGUAbgBjAGUAVwBlAGkAZwBoAHQAcwBfAFUAbgBpAHQAIgAsACIAUwBvAHUAcgBjAGUARABhAHQAYQBfAEQAYQBpAHIAeQAuAFMAbwB1AHIAYwBlAEQAYQB0AGEAXwBEAGEAaQByAHkAXwBSAGUAZgBlAHIAZQBuAGMAZQBXAGUAaQBnAGgAdABzAF8AUwBvAHUAcgBjAGUAIgAsACIAUwBvAHUAcgBjAGUARABhAHQAYQBfAEQAYQBpAHIAeQAuAFMAbwB1AHIAYwBlAEQAYQB0AGEAXwBEAGEAaQByAHkAXwBSAGUAZgBlAHIAZQBuAGMAZQBXAGUAaQBnAGgAdABzAF8AVgBhAHIAaQBhAHQAaQBvAG4AIgAsACIAUwBvAHUAcgBjAGUARABhAHQAYQBfAEQAYQBpAHIAeQAuAFMAbwB1AHIAYwBlAEQAYQB0AGEAXwBEAGEAaQByAHkAXwBSAGUAZgBlAHIAZQBuAGMAZQBXAGUAaQBnAGgAdABzAF8ARABhAHQAYQAiACwAIgBTAG8AdQByAGMAZQBEAGEAdABhAF8ARABhAGkAcgB5AC4AUwBvAHUAcgBjAGUARABhAHQAYQBfAEQAYQBpAHIAeQBfAFAAcgBlAFcAZQBhAG4AZQBkAEMAYQBsAHYAZQBzAF8AVABpAHQAbABlACIALAAiAFMAbwB1AHIAYwBlAEQAYQB0AGEAXwBEAGEAaQByAHkALgBTAG8AdQByAGMAZQBEAGEAdABhAF8ARABhAGkAcgB5AF8AUAByAGUAVwBlAGEAbgBlAGQAQwBhAGwAdgBlAHMAXwBWAGEAcgBpAGEAYgBsAGUAIgAsACIAUwBvAHUAcgBjAGUARABhAHQAYQBfAEQAYQBpAHIAeQAuAFMAbwB1AHIAYwBlAEQAYQB0AGEAXwBEAGEAaQByAHkAXwBQAHIAZQBXAGUAYQBuAGUAZABDAGEAbAB2AGUAcwBfAFUAbgBpAHQAIgAsACIAUwBvAHUAcgBjAGUARABhAHQAYQBfAEQAYQBpAHIAeQAuAFMAbwB1AHIAYwBlAEQAYQB0AGEAXwBEAGEAaQByAHkAXwBQAHIAZQBXAGUAYQBuAGUAZABDAGEAbAB2AGUAcwBfAFMAbwB1AHIAYwBlACIALAAiAFMAbwB1AHIAYwBlAEQAYQB0AGEAXwBEAGEAaQByAHkALgBTAG8AdQByAGMAZQBEAGEAdABhAF8ARABhAGkAcgB5AF8AUAByAGUAVwBlAGEAbgBlAGQAQwBhAGwAdgBlAHMAXwBWAGEAcgBpAGEAdABpAG8AbgAiACwAIgBTAG8AdQByAGMAZQBEAGEAdABhAF8ARABhAGkAcgB5AC4AUwBvAHUAcgBjAGUARABhAHQAYQBfAEQAYQBpAHIAeQBfAFAAcgBlAFcAZQBhAG4AZQBkAEMAYQBsAHYAZQBzAF8ARABhAHQAYQAiACwAIgBTAG8AdQByAGMAZQBEAGEAdABhAF8ARABhAGkAcgB5AC4AUwBvAHUAcgBjAGUARABhAHQAYQBfAEQAYQBpAHIAeQBfAE0AQwBGAF8AVABpAHQAbABlACIALAAiAFMAbwB1AHIAYwBlAEQAYQB0AGEAXwBEAGEAaQByAHkALgBTAG8AdQByAGMAZQBEAGEAdABhAF8ARABhAGkAcgB5AF8ATQBDAEYAXwBWAGEAcgBpAGEAYgBsAGUAIgAsACIAUwBvAHUAcgBjAGUARABhAHQAYQBfAEQAYQBpAHIAeQAuAFMAbwB1AHIAYwBlAEQAYQB0AGEAXwBEAGEAaQByAHkAXwBNAEMARgBfAFUAbgBpAHQAIgAsACIAUwBvAHUAcgBjAGUARABhAHQAYQBfAEQAYQBpAHIAeQAuAFMAbwB1AHIAYwBlAEQAYQB0AGEAXwBEAGEAaQByAHkAXwBNAEMARgBfAFMAbwB1AHIAYwBlACIALAAiAFMAbwB1AHIAYwBlAEQAYQB0AGEAXwBEAGEAaQByAHkALgBTAG8AdQByAGMAZQBEAGEAdABhAF8ARABhAGkAcgB5AF8ATQBDAEYAXwBWAGEAcgBpAGEAdABpAG8AbgAiACwAIgBTAG8AdQByAGMAZQBEAGEAdABhAF8ARABhAGkAcgB5AC4AUwBvAHUAcgBjAGUARABhAHQAYQBfAEQAYQBpAHIAeQBfAE0AQwBGAF8ARABhAHQAYQAiACwAIgBTAG8AdQByAGMAZQBEAGEAdABhAF8ARABhAGkAcgB5AC4AUwBvAHUAcgBjAGUARABhAHQAYQBfAEQAYQBpAHIAeQBfAE4AaQB0AHIAbwB1AHMATwB4AGkAZABlAEUARgBzAEEAbgBkAEYAcgBhAGMARwBBAFMATQBfAFQAaQB0AGwAZQAiACwAIgBTAG8AdQByAGMAZQBEAGEAdABhAF8ARABhAGkAcgB5AC4AUwBvAHUAcgBjAGUARABhAHQAYQBfAEQAYQBpAHIAeQBfAE4AaQB0AHIAbwB1AHMATwB4AGkAZABlAEUARgBzAEEAbgBkAEYAcgBhAGMARwBBAFMATQBfAFYAYQByAGkAYQBiAGwAZQAiACwAIgBTAG8AdQByAGMAZQBEAGEAdABhAF8ARABhAGkAcgB5AC4AUwBvAHUAcgBjAGUARABhAHQAYQBfAEQAYQBpAHIAeQBfAE4AaQB0AHIAbwB1AHMATwB4AGkAZABlAEUARgBzAEEAbgBkAEYAcgBhAGMARwBBAFMATQBfAFUAbgBpAHQAIgAsACIAUwBvAHUAcgBjAGUARABhAHQAYQBfAEQAYQBpAHIAeQAuAFMAbwB1AHIAYwBlAEQAYQB0AGEAXwBEAGEAaQByAHkAXwBOAGkAdAByAG8AdQBzAE8AeABpAGQAZQBFAEYAcwBBAG4AZABGAHIAYQBjAEcAQQBTAE0AXwBTAG8AdQByAGMAZQAiACwAIgBTAG8AdQByAGMAZQBEAGEAdABhAF8ARABhAGkAcgB5AC4AUwBvAHUAcgBjAGUARABhAHQAYQBfAEQAYQBpAHIAeQBfAE4AaQB0AHIAbwB1AHMATwB4AGkAZABlAEUARgBzAEEAbgBkAEYAcgBhAGMARwBBAFMATQBfAFYAYQByAGkAYQB0AGkAbwBuACIALAAiAFMAbwB1AHIAYwBlAEQAYQB0AGEAXwBEAGEAaQByAHkALgBTAG8AdQByAGMAZQBEAGEAdABhAF8ARABhAGkAcgB5AF8ATgBpAHQAcgBvAHUAcwBPAHgAaQBkAGUARQBGAHMAQQBuAGQARgByAGEAYwBHAEEAUwBNAF8ARABhAHQAYQAiACwAIgBTAG8AdQByAGMAZQBEAGEAdABhAF8ARABhAGkAcgB5AC4AUwBvAHUAcgBjAGUARABhAHQAYQBfAEQAYQBpAHIAeQBfAE0AZQB0AGgAYQBuAGUAUAByAG8AZAB1AGMAdABpAG8AbgBQAHIAZQBXAGUAYQBuAGUAZABDAGEAbAB2AGUAcwBfAFQAaQB0AGwAZQAiACwAIgBTAG8AdQByAGMAZQBEAGEAdABhAF8ARABhAGkAcgB5AC4AUwBvAHUAcgBjAGUARABhAHQAYQBfAEQAYQBpAHIAeQBfAE0AZQB0AGgAYQBuAGUAUAByAG8AZAB1AGMAdABpAG8AbgBQAHIAZQBXAGUAYQBuAGUAZABDAGEAbAB2AGUAcwBfAFYAYQByAGkAYQBiAGwAZQAiACwAIgBTAG8AdQByAGMAZQBEAGEAdABhAF8ARABhAGkAcgB5AC4AUwBvAHUAcgBjAGUARABhAHQAYQBfAEQAYQBpAHIAeQBfAE0AZQB0AGgAYQBuAGUAUAByAG8AZAB1AGMAdABpAG8AbgBQAHIAZQBXAGUAYQBuAGUAZABDAGEAbAB2AGUAcwBfAFUAbgBpAHQAIgAsACIAUwBvAHUAcgBjAGUARABhAHQAYQBfAEQAYQBpAHIAeQAuAFMAbwB1AHIAYwBlAEQAYQB0AGEAXwBEAGEAaQByAHkAXwBNAGUAdABoAGEAbgBlAFAAcgBvAGQAdQBjAHQAaQBvAG4AUAByAGUAVwBlAGEAbgBlAGQAQwBhAGwAdgBlAHMAXwBTAG8AdQByAGMAZQAiACwAIgBTAG8AdQByAGMAZQBEAGEAdABhAF8ARABhAGkAcgB5AC4AUwBvAHUAcgBjAGUARABhAHQAYQBfAEQAYQBpAHIAeQBfAE0AZQB0AGgAYQBuAGUAUAByAG8AZAB1AGMAdABpAG8AbgBQAHIAZQBXAGUAYQBuAGUAZABDAGEAbAB2AGUAcwBfAFYAYQByAGkAYQB0AGkAbwBuACIALAAiAFMAbwB1AHIAYwBlAEQAYQB0AGEAXwBEAGEAaQByAHkALgBTAG8AdQByAGMAZQBEAGEAdABhAF8ARABhAGkAcgB5AF8ATQBlAHQAaABhAG4AZQBQAHIAbwBkAHUAYwB0AGkAbwBuAFAAcgBlAFcAZQBhAG4AZQBkAEMAYQBsAHYAZQBzAF8ARABhAHQAYQAiACwAIgBTAG8AdQByAGMAZQBEAGEAdABhAF8ARABhAGkAcgB5AC4AUwBvAHUAcgBjAGUARABhAHQAYQBfAEQAYQBpAHIAeQBfAEkAbgBjAHIAZQBhAHMAZQBkAE0AZQB0AGEAYgBvAGwAaQBjAFIAYQB0AGUATQBpAGwAawBfAFQAaQB0AGwAZQAiACwAIgBTAG8AdQByAGMAZQBEAGEAdABhAF8ARABhAGkAcgB5AC4AUwBvAHUAcgBjAGUARABhAHQAYQBfAEQAYQBpAHIAeQBfAEkAbgBjAHIAZQBhAHMAZQBkAE0AZQB0AGEAYgBvAGwAaQBjAFIAYQB0AGUATQBpAGwAawBfAFYAYQByAGkAYQBiAGwAZQAiACwAIgBTAG8AdQByAGMAZQBEAGEAdABhAF8ARABhAGkAcgB5AC4AUwBvAHUAcgBjAGUARABhAHQAYQBfAEQAYQBpAHIAeQBfAEkAbgBjAHIAZQBhAHMAZQBkAE0AZQB0AGEAYgBvAGwAaQBjAFIAYQB0AGUATQBpAGwAawBfAFUAbgBpAHQAIgAsACIAUwBvAHUAcgBjAGUARABhAHQAYQBfAEQAYQBpAHIAeQAuAFMAbwB1AHIAYwBlAEQAYQB0AGEAXwBEAGEAaQByAHkAXwBJAG4AYwByAGUAYQBzAGUAZABNAGUAdABhAGIAbwBsAGkAYwBSAGEAdABlAE0AaQBsAGsAXwBTAG8AdQByAGMAZQAiACwAIgBTAG8AdQByAGMAZQBEAGEAdABhAF8ARABhAGkAcgB5AC4AUwBvAHUAcgBjAGUARABhAHQAYQBfAEQAYQBpAHIAeQBfAEkAbgBjAHIAZQBhAHMAZQBkAE0AZQB0AGEAYgBvAGwAaQBjAFIAYQB0AGUATQBpAGwAawBfAFYAYQByAGkAYQB0AGkAbwBuACIALAAiAFMAbwB1AHIAYwBlAEQAYQB0AGEAXwBEAGEAaQByAHkALgBTAG8AdQByAGMAZQBEAGEAdABhAF8ARABhAGkAcgB5AF8ASQBuAGMAcgBlAGEAcwBlAGQATQBlAHQAYQBiAG8AbABpAGMAUgBhAHQAZQBNAGkAbABrAF8ARABhAHQAYQAiACwAIgBTAG8AdQByAGMAZQBEAGEAdABhAF8ARABhAGkAcgB5AC4AUwBvAHUAcgBjAGUARABhAHQAYQBfAEQAYQBpAHIAeQBfAEYAcgBhAGMAdABpAG8AbgBWAG8AbABhAHQAaQBsAGUAUwBvAGwAaQBkAHMAVgBvAGkAZABlAGQATQBNAFMAXwBUAGkAdABsAGUAIgAsACIAUwBvAHUAcgBjAGUARABhAHQAYQBfAEQAYQBpAHIAeQAuAFMAbwB1AHIAYwBlAEQAYQB0AGEAXwBEAGEAaQByAHkAXwBGAHIAYQBjAHQAaQBvAG4AVgBvAGwAYQB0AGkAbABlAFMAbwBsAGkAZABzAFYAbwBpAGQAZQBkAE0ATQBTAF8AVgBhAHIAaQBhAGIAbABlACIALAAiAFMAbwB1AHIAYwBlAEQAYQB0AGEAXwBEAGEAaQByAHkALgBTAG8AdQByAGMAZQBEAGEAdABhAF8ARABhAGkAcgB5AF8ARgByAGEAYwB0AGkAbwBuAFYAbwBsAGEAdABpAGwAZQBTAG8AbABpAGQAcwBWAG8AaQBkAGUAZABNAE0AUwBfAFUAbgBpAHQAIgAsACIAUwBvAHUAcgBjAGUARABhAHQAYQBfAEQAYQBpAHIAeQAuAFMAbwB1AHIAYwBlAEQAYQB0AGEAXwBEAGEAaQByAHkAXwBGAHIAYQBjAHQAaQBvAG4AVgBvAGwAYQB0AGkAbABlAFMAbwBsAGkAZABzAFYAbwBpAGQAZQBkAE0ATQBTAF8AUwBvAHUAcgBjAGUAIgAsACIAUwBvAHUAcgBjAGUARABhAHQAYQBfAEQAYQBpAHIAeQAuAFMAbwB1AHIAYwBlAEQAYQB0AGEAXwBEAGEAaQByAHkAXwBGAHIAYQBjAHQAaQBvAG4AVgBvAGwAYQB0AGkAbABlAFMAbwBsAGkAZABzAFYAbwBpAGQAZQBkAE0ATQBTAF8AVgBhAHIAaQBhAHQAaQBvAG4AIgAsACIAUwBvAHUAcgBjAGUARABhAHQAYQBfAEQAYQBpAHIAeQAuAFMAbwB1AHIAYwBlAEQAYQB0AGEAXwBEAGEAaQByAHkAXwBGAHIAYQBjAHQAaQBvAG4AVgBvAGwAYQB0AGkAbABlAFMAbwBsAGkAZABzAFYAbwBpAGQAZQBkAE0ATQBTAF8ARABhAHQAYQAiACwAIgBTAG8AdQByAGMAZQBEAGEAdABhAF8ARABhAGkAcgB5AC4AUwBvAHUAcgBjAGUARABhAHQAYQBfAEQAYQBpAHIAeQBfAEUARgBOAGkAdAByAG8AdQBzAE8AeABpAGQAZQBQAGUAcgBNAE0AUwBfAFQAaQB0AGwAZQAiACwAIgBTAG8AdQByAGMAZQBEAGEAdABhAF8ARABhAGkAcgB5AC4AUwBvAHUAcgBjAGUARABhAHQAYQBfAEQAYQBpAHIAeQBfAEUARgBOAGkAdAByAG8AdQBzAE8AeABpAGQAZQBQAGUAcgBNAE0AUwBfAFYAYQByAGkAYQBiAGwAZQAiACwAIgBTAG8AdQByAGMAZQBEAGEAdABhAF8ARABhAGkAcgB5AC4AUwBvAHUAcgBjAGUARABhAHQAYQBfAEQAYQBpAHIAeQBfAEUARgBOAGkAdAByAG8AdQBzAE8AeABpAGQAZQBQAGUAcgBNAE0AUwBfAFUAbgBpAHQAIgAsACIAUwBvAHUAcgBjAGUARABhAHQAYQBfAEQAYQBpAHIAeQAuAFMAbwB1AHIAYwBlAEQAYQB0AGEAXwBEAGEAaQByAHkAXwBFAEYATgBpAHQAcgBvAHUAcwBPAHgAaQBkAGUAUABlAHIATQBNAFMAXwBTAG8AdQByAGMAZQAiACwAIgBTAG8AdQByAGMAZQBEAGEAdABhAF8ARABhAGkAcgB5AC4AUwBvAHUAcgBjAGUARABhAHQAYQBfAEQAYQBpAHIAeQBfAEUARgBOAGkAdAByAG8AdQBzAE8AeABpAGQAZQBQAGUAcgBNAE0AUwBfAFYAYQByAGkAYQB0AGkAbwBuACIALAAiAFMAbwB1AHIAYwBlAEQAYQB0AGEAXwBEAGEAaQByAHkALgBTAG8AdQByAGMAZQBEAGEAdABhAF8ARABhAGkAcgB5AF8ARQBGAE4AaQB0AHIAbwB1AHMATwB4AGkAZABlAFAAZQByAE0ATQBTAF8ARABhAHQAYQAiACwAIgBTAG8AdQByAGMAZQBEAGEAdABhAF8ARABhAGkAcgB5AC4AUwBvAHUAcgBjAGUARABhAHQAYQBfAEQAYQBpAHIAeQBfAEQAdQByAGEAdABpAG8AbgBPAGYAUwB0AGEAeQBfAFQAaQB0AGwAZQAiACwAIgBTAG8AdQByAGMAZQBEAGEAdABhAF8ARABhAGkAcgB5AC4AUwBvAHUAcgBjAGUARABhAHQAYQBfAEQAYQBpAHIAeQBfAEQAdQByAGEAdABpAG8AbgBPAGYAUwB0AGEAeQBfAFYAYQByAGkAYQBiAGwAZQAiACwAIgBTAG8AdQByAGMAZQBEAGEAdABhAF8ARABhAGkAcgB5AC4AUwBvAHUAcgBjAGUARABhAHQAYQBfAEQAYQBpAHIAeQBfAEQAdQByAGEAdABpAG8AbgBPAGYAUwB0AGEAeQBfAFUAbgBpAHQAIgAsACIAUwBvAHUAcgBjAGUARABhAHQAYQBfAEQAYQBpAHIAeQAuAFMAbwB1AHIAYwBlAEQAYQB0AGEAXwBEAGEAaQByAHkAXwBEAHUAcgBhAHQAaQBvAG4ATwBmAFMAdABhAHkAXwBTAG8AdQByAGMAZQAiACwAIgBTAG8AdQByAGMAZQBEAGEAdABhAF8ARABhAGkAcgB5AC4AUwBvAHUAcgBjAGUARABhAHQAYQBfAEQAYQBpAHIAeQBfAEQAdQByAGEAdABpAG8AbgBPAGYAUwB0AGEAeQBfAFYAYQByAGkAYQB0AGkAbwBuACIALAAiAFMAbwB1AHIAYwBlAEQAYQB0AGEAXwBEAGEAaQByAHkALgBTAG8AdQByAGMAZQBEAGEAdABhAF8ARABhAGkAcgB5AF8ARAB1AHIAYQB0AGkAbwBuAE8AZgBTAHQAYQB5AF8ARABhAHQAYQAiACwAIgBTAG8AdQByAGMAZQBEAGEAdABhAF8ARABhAGkAcgB5AC4AUwBvAHUAcgBjAGUARABhAHQAYQBfAEQAYQBpAHIAeQBfAEMAcgB1AGQAZQBQAHIAbwB0AGUAaQBuAF8AVABpAHQAbABlACIALAAiAFMAbwB1AHIAYwBlAEQAYQB0AGEAXwBEAGEAaQByAHkALgBTAG8AdQByAGMAZQBEAGEAdABhAF8ARABhAGkAcgB5AF8AQwByAHUAZABlAFAAcgBvAHQAZQBpAG4AXwBWAGEAcgBpAGEAYgBsAGUAIgAsACIAUwBvAHUAcgBjAGUARABhAHQAYQBfAEQAYQBpAHIAeQAuAFMAbwB1AHIAYwBlAEQAYQB0AGEAXwBEAGEAaQByAHkAXwBDAHIAdQBkAGUAUAByAG8AdABlAGkAbgBfAFUAbgBpAHQAIgAsACIAUwBvAHUAcgBjAGUARABhAHQAYQBfAEQAYQBpAHIAeQAuAFMAbwB1AHIAYwBlAEQAYQB0AGEAXwBEAGEAaQByAHkAXwBDAHIAdQBkAGUAUAByAG8AdABlAGkAbgBfAFMAbwB1AHIAYwBlACIALAAiAFMAbwB1AHIAYwBlAEQAYQB0AGEAXwBEAGEAaQByAHkALgBTAG8AdQByAGMAZQBEAGEAdABhAF8ARABhAGkAcgB5AF8AQwByAHUAZABlAFAAcgBvAHQAZQBpAG4AXwBWAGEAcgBpAGEAdABpAG8AbgAiACwAIgBTAG8AdQByAGMAZQBEAGEAdABhAF8ARABhAGkAcgB5AC4AUwBvAHUAcgBjAGUARABhAHQAYQBfAEQAYQBpAHIAeQBfAEMAcgB1AGQAZQBQAHIAbwB0AGUAaQBuAF8ARABhAHQAYQAiACwAIgBTAG8AdQByAGMAZQBEAGEAdABhAF8ARABhAGkAcgB5AC4AUwBvAHUAcgBjAGUARABhAHQAYQBfAEQAYQBpAHIAeQBfAEQAcgB5AE0AYQB0AHQAZQByAEQAaQBnAGUAcwB0AGkAYgBpAGwAaQB0AHkAXwBUAGkAdABsAGUAIgAsACIAUwBvAHUAcgBjAGUARABhAHQAYQBfAEQAYQBpAHIAeQAuAFMAbwB1AHIAYwBlAEQAYQB0AGEAXwBEAGEAaQByAHkAXwBEAHIAeQBNAGEAdAB0AGUAcgBEAGkAZwBlAHMAdABpAGIAaQBsAGkAdAB5AF8AVgBhAHIAaQBhAGIAbABlACIALAAiAFMAbwB1AHIAYwBlAEQAYQB0AGEAXwBEAGEAaQByAHkALgBTAG8AdQByAGMAZQBEAGEAdABhAF8ARABhAGkAcgB5AF8ARAByAHkATQBhAHQAdABlAHIARABpAGcAZQBzAHQAaQBiAGkAbABpAHQAeQBfAFUAbgBpAHQAIgAsACIAUwBvAHUAcgBjAGUARABhAHQAYQBfAEQAYQBpAHIAeQAuAFMAbwB1AHIAYwBlAEQAYQB0AGEAXwBEAGEAaQByAHkAXwBEAHIAeQBNAGEAdAB0AGUAcgBEAGkAZwBlAHMAdABpAGIAaQBsAGkAdAB5AF8AUwBvAHUAcgBjAGUAIgAsACIAUwBvAHUAcgBjAGUARABhAHQAYQBfAEQAYQBpAHIAeQAuAFMAbwB1AHIAYwBlAEQAYQB0AGEAXwBEAGEAaQByAHkAXwBEAHIAeQBNAGEAdAB0AGUAcgBEAGkAZwBlAHMAdABpAGIAaQBsAGkAdAB5AF8AVgBhAHIAaQBhAHQAaQBvAG4AIgAsACIAUwBvAHUAcgBjAGUARABhAHQAYQBfAEQAYQBpAHIAeQAuAFMAbwB1AHIAYwBlAEQAYQB0AGEAXwBEAGEAaQByAHkAXwBEAHIAeQBNAGEAdAB0AGUAcgBEAGkAZwBlAHMAdABpAGIAaQBsAGkAdAB5AF8ARABhAHQAYQAiACwAIgBTAG8AdQByAGMAZQBEAGEAdABhAF8ARABhAGkAcgB5AC4AUwBvAHUAcgBjAGUARABhAHQAYQBfAEQAYQBpAHIAeQBfAE4AZQB0AEUAbgBlAHIAZwB5AF8AVABpAHQAbABlACIALAAiAFMAbwB1AHIAYwBlAEQAYQB0AGEAXwBEAGEAaQByAHkALgBTAG8AdQByAGMAZQBEAGEAdABhAF8ARABhAGkAcgB5AF8ATgBlAHQARQBuAGUAcgBnAHkAXwBWAGEAcgBpAGEAYgBsAGUAIgAsACIAUwBvAHUAcgBjAGUARABhAHQAYQBfAEQAYQBpAHIAeQAuAFMAbwB1AHIAYwBlAEQAYQB0AGEAXwBEAGEAaQByAHkAXwBOAGUAdABFAG4AZQByAGcAeQBfAFUAbgBpAHQAIgAsACIAUwBvAHUAcgBjAGUARABhAHQAYQBfAEQAYQBpAHIAeQAuAFMAbwB1AHIAYwBlAEQAYQB0AGEAXwBEAGEAaQByAHkAXwBOAGUAdABFAG4AZQByAGcAeQBfAFMAbwB1AHIAYwBlACIALAAiAFMAbwB1AHIAYwBlAEQAYQB0AGEAXwBEAGEAaQByAHkALgBTAG8AdQByAGMAZQBEAGEAdABhAF8ARABhAGkAcgB5AF8ATgBlAHQARQBuAGUAcgBnAHkAXwBWAGEAcgBpAGEAdABpAG8AbgAiACwAIgBTAG8AdQByAGMAZQBEAGEAdABhAF8ARABhAGkAcgB5AC4AUwBvAHUAcgBjAGUARABhAHQAYQBfAEQAYQBpAHIAeQBfAE4AZQB0AEUAbgBlAHIAZwB5AF8ARABhAHQAYQAiACwAIgBTAG8AdQByAGMAZQBEAGEAdABhAF8ARABhAGkAcgB5AC4AUwBvAHUAcgBjAGUARABhAHQAYQBfAEQAYQBpAHIAeQBfAEcAcgBvAHMAcwBFAG4AZQByAGcAeQBDAG8AbgB0AGUAbgB0AF8AVABpAHQAbABlACIALAAiAFMAbwB1AHIAYwBlAEQAYQB0AGEAXwBEAGEAaQByAHkALgBTAG8AdQByAGMAZQBEAGEAdABhAF8ARABhAGkAcgB5AF8ARwByAG8AcwBzAEUAbgBlAHIAZwB5AEMAbwBuAHQAZQBuAHQAXwBWAGEAcgBpAGEAYgBsAGUAIgAsACIAUwBvAHUAcgBjAGUARABhAHQAYQBfAEQAYQBpAHIAeQAuAFMAbwB1AHIAYwBlAEQAYQB0AGEAXwBEAGEAaQByAHkAXwBHAHIAbwBzAHMARQBuAGUAcgBnAHkAQwBvAG4AdABlAG4AdABfAFUAbgBpAHQAIgAsACIAUwBvAHUAcgBjAGUARABhAHQAYQBfAEQAYQBpAHIAeQAuAFMAbwB1AHIAYwBlAEQAYQB0AGEAXwBEAGEAaQByAHkAXwBHAHIAbwBzAHMARQBuAGUAcgBnAHkAQwBvAG4AdABlAG4AdABfAFMAbwB1AHIAYwBlACIALAAiAFMAbwB1AHIAYwBlAEQAYQB0AGEAXwBEAGEAaQByAHkALgBTAG8AdQByAGMAZQBEAGEAdABhAF8ARABhAGkAcgB5AF8ARwByAG8AcwBzAEUAbgBlAHIAZwB5AEMAbwBuAHQAZQBuAHQAXwBWAGEAcgBpAGEAdABpAG8AbgAiACwAIgBTAG8AdQByAGMAZQBEAGEAdABhAF8ARABhAGkAcgB5AC4AUwBvAHUAcgBjAGUARABhAHQAYQBfAEQAYQBpAHIAeQBfAEcAcgBvAHMAcwBFAG4AZQByAGcAeQBDAG8AbgB0AGUAbgB0AF8ARABhAHQAYQAiACwAIgBTAG8AdQByAGMAZQBEAGEAdABhAF8ARABhAGkAcgB5AC4AUwBvAHUAcgBjAGUARABhAHQAYQBfAEQAYQBpAHIAeQBfAEUAZgBmAGkAYwBpAGUAbgBjAHkATwBmAFUAcwBlAE8AZgBNAGUAdABhAGIAbwBsAGkAegBhAGIAbABlAEUAbgBlAHIAZwB5AF8AVABpAHQAbABlACIALAAiAFMAbwB1AHIAYwBlAEQAYQB0AGEAXwBEAGEAaQByAHkALgBTAG8AdQByAGMAZQBEAGEAdABhAF8ARABhAGkAcgB5AF8ARQBmAGYAaQBjAGkAZQBuAGMAeQBPAGYAVQBzAGUATwBmAE0AZQB0AGEAYgBvAGwAaQB6AGEAYgBsAGUARQBuAGUAcgBnAHkAXwBWAGEAcgBpAGEAYgBsAGUAIgAsACIAUwBvAHUAcgBjAGUARABhAHQAYQBfAEQAYQBpAHIAeQAuAFMAbwB1AHIAYwBlAEQAYQB0AGEAXwBEAGEAaQByAHkAXwBFAGYAZgBpAGMAaQBlAG4AYwB5AE8AZgBVAHMAZQBPAGYATQBlAHQAYQBiAG8AbABpAHoAYQBiAGwAZQBFAG4AZQByAGcAeQBfAFUAbgBpAHQAIgAsACIAUwBvAHUAcgBjAGUARABhAHQAYQBfAEQAYQBpAHIAeQAuAFMAbwB1AHIAYwBlAEQAYQB0AGEAXwBEAGEAaQByAHkAXwBFAGYAZgBpAGMAaQBlAG4AYwB5AE8AZgBVAHMAZQBPAGYATQBlAHQAYQBiAG8AbABpAHoAYQBiAGwAZQBFAG4AZQByAGcAeQBfAFMAbwB1AHIAYwBlACIALAAiAFMAbwB1AHIAYwBlAEQAYQB0AGEAXwBEAGEAaQByAHkALgBTAG8AdQByAGMAZQBEAGEAdABhAF8ARABhAGkAcgB5AF8ARQBmAGYAaQBjAGkAZQBuAGMAeQBPAGYAVQBzAGUATwBmAE0AZQB0AGEAYgBvAGwAaQB6AGEAYgBsAGUARQBuAGUAcgBnAHkAXwBWAGEAcgBpAGEAdABpAG8AbgAiACwAIgBTAG8AdQByAGMAZQBEAGEAdABhAF8ARABhAGkAcgB5AC4AUwBvAHUAcgBjAGUARABhAHQAYQBfAEQAYQBpAHIAeQBfAEUAZgBmAGkAYwBpAGUAbgBjAHkATwBmAFUAcwBlAE8AZgBNAGUAdABhAGIAbwBsAGkAegBhAGIAbABlAEUAbgBlAHIAZwB5AF8ARABhAHQAYQAiACwAIgBTAG8AdQByAGMAZQBEAGEAdABhAF8ARABhAGkAcgB5AC4AUwBvAHUAcgBjAGUARABhAHQAYQBfAEQAYQBpAHIAeQBfAEEAcwBoAEMAbwBuAHQAZQBuAHQAXwBUAGkAdABsAGUAIgAsACIAUwBvAHUAcgBjAGUARABhAHQAYQBfAEQAYQBpAHIAeQAuAFMAbwB1AHIAYwBlAEQAYQB0AGEAXwBEAGEAaQByAHkAXwBBAHMAaABDAG8AbgB0AGUAbgB0AF8AVgBhAHIAaQBhAGIAbABlACIALAAiAFMAbwB1AHIAYwBlAEQAYQB0AGEAXwBEAGEAaQByAHkALgBTAG8AdQByAGMAZQBEAGEAdABhAF8ARABhAGkAcgB5AF8AQQBzAGgAQwBvAG4AdABlAG4AdABfAFUAbgBpAHQAIgAsACIAUwBvAHUAcgBjAGUARABhAHQAYQBfAEQAYQBpAHIAeQAuAFMAbwB1AHIAYwBlAEQAYQB0AGEAXwBEAGEAaQByAHkAXwBBAHMAaABDAG8AbgB0AGUAbgB0AF8AUwBvAHUAcgBjAGUAIgAsACIAUwBvAHUAcgBjAGUARABhAHQAYQBfAEQAYQBpAHIAeQAuAFMAbwB1AHIAYwBlAEQAYQB0AGEAXwBEAGEAaQByAHkAXwBBAHMAaABDAG8AbgB0AGUAbgB0AF8AVgBhAHIAaQBhAHQAaQBvAG4AIgAsACIAUwBvAHUAcgBjAGUARABhAHQAYQBfAEQAYQBpAHIAeQAuAFMAbwB1AHIAYwBlAEQAYQB0AGEAXwBEAGEAaQByAHkAXwBBAHMAaABDAG8AbgB0AGUAbgB0AF8ARABhAHQAYQAiACwAIgBTAG8AdQByAGMAZQBEAGEAdABhAF8ARABhAGkAcgB5AC4AUwBvAHUAcgBjAGUARABhAHQAYQBfAEQAYQBpAHIAeQBfAE0AZQB0AGgAYQBuAGUARQBtAGkAcwBzAGkAbwBuAHMAUABvAHQAZQBuAHQAaQBhAGwAXwBUAGkAdABsAGUAIgAsACIAUwBvAHUAcgBjAGUARABhAHQAYQBfAEQAYQBpAHIAeQAuAFMAbwB1AHIAYwBlAEQAYQB0AGEAXwBEAGEAaQByAHkAXwBNAGUAdABoAGEAbgBlAEUAbQBpAHMAcwBpAG8AbgBzAFAAbwB0AGUAbgB0AGkAYQBsAF8AVgBhAHIAaQBhAGIAbABlACIALAAiAFMAbwB1AHIAYwBlAEQAYQB0AGEAXwBEAGEAaQByAHkALgBTAG8AdQByAGMAZQBEAGEAdABhAF8ARABhAGkAcgB5AF8ATQBlAHQAaABhAG4AZQBFAG0AaQBzAHMAaQBvAG4AcwBQAG8AdABlAG4AdABpAGEAbABfAFUAbgBpAHQAIgAsACIAUwBvAHUAcgBjAGUARABhAHQAYQBfAEQAYQBpAHIAeQAuAFMAbwB1AHIAYwBlAEQAYQB0AGEAXwBEAGEAaQByAHkAXwBNAGUAdABoAGEAbgBlAEUAbQBpAHMAcwBpAG8AbgBzAFAAbwB0AGUAbgB0AGkAYQBsAF8AUwBvAHUAcgBjAGUAIgAsACIAUwBvAHUAcgBjAGUARABhAHQAYQBfAEQAYQBpAHIAeQAuAFMAbwB1AHIAYwBlAEQAYQB0AGEAXwBEAGEAaQByAHkAXwBNAGUAdABoAGEAbgBlAEUAbQBpAHMAcwBpAG8AbgBzAFAAbwB0AGUAbgB0AGkAYQBsAF8AVgBhAHIAaQBhAHQAaQBvAG4AIgAsACIAUwBvAHUAcgBjAGUARABhAHQAYQBfAEQAYQBpAHIAeQAuAFMAbwB1AHIAYwBlAEQAYQB0AGEAXwBEAGEAaQByAHkAXwBNAGUAdABoAGEAbgBlAEUAbQBpAHMAcwBpAG8AbgBzAFAAbwB0AGUAbgB0AGkAYQBsAF8ARABhAHQAYQAiACwAIgBTAG8AdQByAGMAZQBEAGEAdABhAF8ARABhAGkAcgB5AC4AUwBvAHUAcgBjAGUARABhAHQAYQBfAEQAYQBpAHIAeQBfAEUAbQBpAHMAcwBpAG8AbgBGAGEAYwB0AG8AcgBGAG8AcgBMAGUAYQBjAGgAaQBuAGcAQQBuAGQAUgB1AG4AbwBmAGYAXwBUAGkAdABsAGUAIgAsACIAUwBvAHUAcgBjAGUARABhAHQAYQBfAEQAYQBpAHIAeQAuAFMAbwB1AHIAYwBlAEQAYQB0AGEAXwBEAGEAaQByAHkAXwBFAG0AaQBzAHMAaQBvAG4ARgBhAGMAdABvAHIARgBvAHIATABlAGEAYwBoAGkAbgBnAEEAbgBkAFIAdQBuAG8AZgBmAF8AVgBhAHIAaQBhAGIAbABlACIALAAiAFMAbwB1AHIAYwBlAEQAYQB0AGEAXwBEAGEAaQByAHkALgBTAG8AdQByAGMAZQBEAGEAdABhAF8ARABhAGkAcgB5AF8ARQBtAGkAcwBzAGkAbwBuAEYAYQBjAHQAbwByAEYAbwByAEwAZQBhAGMAaABpAG4AZwBBAG4AZABSAHUAbgBvAGYAZgBfAFUAbgBpAHQAIgAsACIAUwBvAHUAcgBjAGUARABhAHQAYQBfAEQAYQBpAHIAeQAuAFMAbwB1AHIAYwBlAEQAYQB0AGEAXwBEAGEAaQByAHkAXwBFAG0AaQBzAHMAaQBvAG4ARgBhAGMAdABvAHIARgBvAHIATABlAGEAYwBoAGkAbgBnAEEAbgBkAFIAdQBuAG8AZgBmAF8AUwBvAHUAcgBjAGUAIgAsACIAUwBvAHUAcgBjAGUARABhAHQAYQBfAEQAYQBpAHIAeQAuAFMAbwB1AHIAYwBlAEQAYQB0AGEAXwBEAGEAaQByAHkAXwBFAG0AaQBzAHMAaQBvAG4ARgBhAGMAdABvAHIARgBvAHIATABlAGEAYwBoAGkAbgBnAEEAbgBkAFIAdQBuAG8AZgBmAF8AVgBhAHIAaQBhAHQAaQBvAG4AIgAsACIAUwBvAHUAcgBjAGUARABhAHQAYQBfAEQAYQBpAHIAeQAuAFMAbwB1AHIAYwBlAEQAYQB0AGEAXwBEAGEAaQByAHkAXwBFAG0AaQBzAHMAaQBvAG4ARgBhAGMAdABvAHIARgBvAHIATABlAGEAYwBoAGkAbgBnAEEAbgBkAFIAdQBuAG8AZgBmAF8ARABhAHQAYQAiACwAIgBTAG8AdQByAGMAZQBEAGEAdABhAF8ARABhAGkAcgB5AC4AUwBvAHUAcgBjAGUARABhAHQAYQBfAEQAYQBpAHIAeQBfAEYAcgBhAGMAdABpAG8AbgBPAGYATgBpAHQAcgBvAGcAZQBuAEwAbwBzAHQAVABoAHIAbwB1AGcAaABMAGUAYQBjAGgAaQBuAGcAQQBuAGQAUgB1AG4AbwBmAGYAXwBUAGkAdABsAGUAIgAsACIAUwBvAHUAcgBjAGUARABhAHQAYQBfAEQAYQBpAHIAeQAuAFMAbwB1AHIAYwBlAEQAYQB0AGEAXwBEAGEAaQByAHkAXwBGAHIAYQBjAHQAaQBvAG4ATwBmAE4AaQB0AHIAbwBnAGUAbgBMAG8AcwB0AFQAaAByAG8AdQBnAGgATABlAGEAYwBoAGkAbgBnAEEAbgBkAFIAdQBuAG8AZgBmAF8AVgBhAHIAaQBhAGIAbABlACIALAAiAFMAbwB1AHIAYwBlAEQAYQB0AGEAXwBEAGEAaQByAHkALgBTAG8AdQByAGMAZQBEAGEAdABhAF8ARABhAGkAcgB5AF8ARgByAGEAYwB0AGkAbwBuAE8AZgBOAGkAdAByAG8AZwBlAG4ATABvAHMAdABUAGgAcgBvAHUAZwBoAEwAZQBhAGMAaABpAG4AZwBBAG4AZABSAHUAbgBvAGYAZgBfAFUAbgBpAHQAIgAsACIAUwBvAHUAcgBjAGUARABhAHQAYQBfAEQAYQBpAHIAeQAuAFMAbwB1AHIAYwBlAEQAYQB0AGEAXwBEAGEAaQByAHkAXwBGAHIAYQBjAHQAaQBvAG4ATwBmAE4AaQB0AHIAbwBnAGUAbgBMAG8AcwB0AFQAaAByAG8AdQBnAGgATABlAGEAYwBoAGkAbgBnAEEAbgBkAFIAdQBuAG8AZgBmAF8AUwBvAHUAcgBjAGUAIgAsACIAUwBvAHUAcgBjAGUARABhAHQAYQBfAEQAYQBpAHIAeQAuAFMAbwB1AHIAYwBlAEQAYQB0AGEAXwBEAGEAaQByAHkAXwBGAHIAYQBjAHQAaQBvAG4ATwBmAE4AaQB0AHIAbwBnAGUAbgBMAG8AcwB0AFQAaAByAG8AdQBnAGgATABlAGEAYwBoAGkAbgBnAEEAbgBkAFIAdQBuAG8AZgBmAF8AVgBhAHIAaQBhAHQAaQBvAG4AIgAsACIAUwBvAHUAcgBjAGUARABhAHQAYQBfAEQAYQBpAHIAeQAuAFMAbwB1AHIAYwBlAEQAYQB0AGEAXwBEAGEAaQByAHkAXwBGAHIAYQBjAHQAaQBvAG4ATwBmAE4AaQB0AHIAbwBnAGUAbgBMAG8AcwB0AFQAaAByAG8AdQBnAGgATABlAGEAYwBoAGkAbgBnAEEAbgBkAFIAdQBuAG8AZgBmAF8ARABhAHQAYQAiACwAIgBTAG8AdQByAGMAZQBEAGEAdABhAF8ARABhAGkAcgB5AC4AUwBvAHUAcgBjAGUARABhAHQAYQBfAEQAYQBpAHIAeQBfAEYAcgBhAGMARwBBAFMATQBTAG8AaQBsAF8AVABpAHQAbABlACIALAAiAFMAbwB1AHIAYwBlAEQAYQB0AGEAXwBEAGEAaQByAHkALgBTAG8AdQByAGMAZQBEAGEAdABhAF8ARABhAGkAcgB5AF8ARgByAGEAYwBHAEEAUwBNAFMAbwBpAGwAXwBWAGEAcgBpAGEAYgBsAGUAIgAsACIAUwBvAHUAcgBjAGUARABhAHQAYQBfAEQAYQBpAHIAeQAuAFMAbwB1AHIAYwBlAEQAYQB0AGEAXwBEAGEAaQByAHkAXwBGAHIAYQBjAEcAQQBTAE0AUwBvAGkAbABfAFUAbgBpAHQAIgAsACIAUwBvAHUAcgBjAGUARABhAHQAYQBfAEQAYQBpAHIAeQAuAFMAbwB1AHIAYwBlAEQAYQB0AGEAXwBEAGEAaQByAHkAXwBGAHIAYQBjAEcAQQBTAE0AUwBvAGkAbABfAFMAbwB1AHIAYwBlACIALAAiAFMAbwB1AHIAYwBlAEQAYQB0AGEAXwBEAGEAaQByAHkALgBTAG8AdQByAGMAZQBEAGEAdABhAF8ARABhAGkAcgB5AF8ARgByAGEAYwBHAEEAUwBNAFMAbwBpAGwAXwBWAGEAcgBpAGEAdABpAG8AbgAiACwAIgBTAG8AdQByAGMAZQBEAGEAdABhAF8ARABhAGkAcgB5AC4AUwBvAHUAcgBjAGUARABhAHQAYQBfAEQAYQBpAHIAeQBfAEYAcgBhAGMARwBBAFMATQBTAG8AaQBsAF8ARABhAHQAYQAiACwAIgBTAG8AdQByAGMAZQBEAGEAdABhAF8ARABhAGkAcgB5AC4AUwBvAHUAcgBjAGUARABhAHQAYQBfAEQAYQBpAHIAeQBfAEYAYQB0AEMAbwBuAHQAZQBuAHQASQBuAE0AaQBsAGsAXwBUAGkAdABsAGUAIgAsACIAUwBvAHUAcgBjAGUARABhAHQAYQBfAEQAYQBpAHIAeQAuAFMAbwB1AHIAYwBlAEQAYQB0AGEAXwBEAGEAaQByAHkAXwBGAGEAdABDAG8AbgB0AGUAbgB0AEkAbgBNAGkAbABrAF8AVgBhAHIAaQBhAGIAbABlACIALAAiAFMAbwB1AHIAYwBlAEQAYQB0AGEAXwBEAGEAaQByAHkALgBTAG8AdQByAGMAZQBEAGEAdABhAF8ARABhAGkAcgB5AF8ARgBhAHQAQwBvAG4AdABlAG4AdABJAG4ATQBpAGwAawBfAFUAbgBpAHQAIgAsACIAUwBvAHUAcgBjAGUARABhAHQAYQBfAEQAYQBpAHIAeQAuAFMAbwB1AHIAYwBlAEQAYQB0AGEAXwBEAGEAaQByAHkAXwBGAGEAdABDAG8AbgB0AGUAbgB0AEkAbgBNAGkAbABrAF8AUwBvAHUAcgBjAGUAIgAsACIAUwBvAHUAcgBjAGUARABhAHQAYQBfAEQAYQBpAHIAeQAuAFMAbwB1AHIAYwBlAEQAYQB0AGEAXwBEAGEAaQByAHkAXwBGAGEAdABDAG8AbgB0AGUAbgB0AEkAbgBNAGkAbABrAF8AVgBhAHIAaQBhAHQAaQBvAG4AIgAsACIAUwBvAHUAcgBjAGUARABhAHQAYQBfAEQAYQBpAHIAeQAuAFMAbwB1AHIAYwBlAEQAYQB0AGEAXwBEAGEAaQByAHkAXwBGAGEAdABDAG8AbgB0AGUAbgB0AEkAbgBNAGkAbABrAF8ARABhAHQAYQAiACwAIgBTAG8AdQByAGMAZQBEAGEAdABhAF8ARABhAGkAcgB5AC4AUwBvAHUAcgBjAGUARABhAHQAYQBfAEQAYQBpAHIAeQBfAFAAcgBvAHQAZQBpAG4AQwBvAG4AdABlAG4AdABJAG4ATQBpAGwAawBfAFQAaQB0AGwAZQAiACwAIgBTAG8AdQByAGMAZQBEAGEAdABhAF8ARABhAGkAcgB5AC4AUwBvAHUAcgBjAGUARABhAHQAYQBfAEQAYQBpAHIAeQBfAFAAcgBvAHQAZQBpAG4AQwBvAG4AdABlAG4AdABJAG4ATQBpAGwAawBfAFYAYQByAGkAYQBiAGwAZQAiACwAIgBTAG8AdQByAGMAZQBEAGEAdABhAF8ARABhAGkAcgB5AC4AUwBvAHUAcgBjAGUARABhAHQAYQBfAEQAYQBpAHIAeQBfAFAAcgBvAHQAZQBpAG4AQwBvAG4AdABlAG4AdABJAG4ATQBpAGwAawBfAFUAbgBpAHQAIgAsACIAUwBvAHUAcgBjAGUARABhAHQAYQBfAEQAYQBpAHIAeQAuAFMAbwB1AHIAYwBlAEQAYQB0AGEAXwBEAGEAaQByAHkAXwBQAHIAbwB0AGUAaQBuAEMAbwBuAHQAZQBuAHQASQBuAE0AaQBsAGsAXwBTAG8AdQByAGMAZQAiACwAIgBTAG8AdQByAGMAZQBEAGEAdABhAF8ARABhAGkAcgB5AC4AUwBvAHUAcgBjAGUARABhAHQAYQBfAEQAYQBpAHIAeQBfAFAAcgBvAHQAZQBpAG4AQwBvAG4AdABlAG4AdABJAG4ATQBpAGwAawBfAFYAYQByAGkAYQB0AGkAbwBuACIALAAiAFMAbwB1AHIAYwBlAEQAYQB0AGEAXwBEAGEAaQByAHkALgBTAG8AdQByAGMAZQBEAGEAdABhAF8ARABhAGkAcgB5AF8AUAByAG8AdABlAGkAbgBDAG8AbgB0AGUAbgB0AEkAbgBNAGkAbABrAF8ARABhAHQAYQAiACwAIgBTAG8AdQByAGMAZQBEAGEAdABhAF8AUwB3AGkAbgBlAC4AUwBvAHUAcgBjAGUARABhAHQAYQBfAFMAdwBpAG4AZQBfAFYAbwBsAGEAdABpAGwAZQBTAG8AbABpAGQAcwBfAFQAaQB0AGwAZQAiACwAIgBTAG8AdQByAGMAZQBEAGEAdABhAF8AUwB3AGkAbgBlAC4AUwBvAHUAcgBjAGUARABhAHQAYQBfAFMAdwBpAG4AZQBfAFYAbwBsAGEAdABpAGwAZQBTAG8AbABpAGQAcwBfAFUAbgBpAHQAIgAsACIAUwBvAHUAcgBjAGUARABhAHQAYQBfAFMAdwBpAG4AZQAuAFMAbwB1AHIAYwBlAEQAYQB0AGEAXwBTAHcAaQBuAGUAXwBWAG8AbABhAHQAaQBsAGUAUwBvAGwAaQBkAHMAXwBTAG8AdQByAGMAZQAiACwAIgBTAG8AdQByAGMAZQBEAGEAdABhAF8AUwB3AGkAbgBlAC4AUwBvAHUAcgBjAGUARABhAHQAYQBfAFMAdwBpAG4AZQBfAFYAbwBsAGEAdABpAGwAZQBTAG8AbABpAGQAcwBfAFYAYQByAGkAYQB0AGkAbwBuACIALAAiAFMAbwB1AHIAYwBlAEQAYQB0AGEAXwBTAHcAaQBuAGUALgBTAG8AdQByAGMAZQBEAGEAdABhAF8AUwB3AGkAbgBlAF8AVgBvAGwAYQB0AGkAbABlAFMAbwBsAGkAZABzAF8ARABhAHQAYQAiACwAIgBTAG8AdQByAGMAZQBEAGEAdABhAF8AUwB3AGkAbgBlAC4AUwBvAHUAcgBjAGUARABhAHQAYQBfAFMAdwBpAG4AZQBfAEYAZQBlAGQASQBuAHQAYQBrAGUAXwBUAGkAdABsAGUAIgAsACIAUwBvAHUAcgBjAGUARABhAHQAYQBfAFMAdwBpAG4AZQAuAFMAbwB1AHIAYwBlAEQAYQB0AGEAXwBTAHcAaQBuAGUAXwBGAGUAZQBkAEkAbgB0AGEAawBlAF8AVQBuAGkAdAAiACwAIgBTAG8AdQByAGMAZQBEAGEAdABhAF8AUwB3AGkAbgBlAC4AUwBvAHUAcgBjAGUARABhAHQAYQBfAFMAdwBpAG4AZQBfAEYAZQBlAGQASQBuAHQAYQBrAGUAXwBTAG8AdQByAGMAZQAiACwAIgBTAG8AdQByAGMAZQBEAGEAdABhAF8AUwB3AGkAbgBlAC4AUwBvAHUAcgBjAGUARABhAHQAYQBfAFMAdwBpAG4AZQBfAEYAZQBlAGQASQBuAHQAYQBrAGUAXwBWAGEAcgBpAGEAdABpAG8AbgAiACwAIgBTAG8AdQByAGMAZQBEAGEAdABhAF8AUwB3AGkAbgBlAC4AUwBvAHUAcgBjAGUARABhAHQAYQBfAFMAdwBpAG4AZQBfAEYAZQBlAGQASQBuAHQAYQBrAGUAXwBEAGEAdABhACIALAAiAFMAbwB1AHIAYwBlAEQAYQB0AGEAXwBTAHcAaQBuAGUALgBTAG8AdQByAGMAZQBEAGEAdABhAF8AUwB3AGkAbgBlAF8ATgBpAHQAcgBvAGcAZQBuAEkAbgBXAGEAcwB0AGUAXwBUAGkAdABsAGUAIgAsACIAUwBvAHUAcgBjAGUARABhAHQAYQBfAFMAdwBpAG4AZQAuAFMAbwB1AHIAYwBlAEQAYQB0AGEAXwBTAHcAaQBuAGUAXwBOAGkAdAByAG8AZwBlAG4ASQBuAFcAYQBzAHQAZQBfAFUAbgBpAHQAIgAsACIAUwBvAHUAcgBjAGUARABhAHQAYQBfAFMAdwBpAG4AZQAuAFMAbwB1AHIAYwBlAEQAYQB0AGEAXwBTAHcAaQBuAGUAXwBOAGkAdAByAG8AZwBlAG4ASQBuAFcAYQBzAHQAZQBfAFMAbwB1AHIAYwBlACIALAAiAFMAbwB1AHIAYwBlAEQAYQB0AGEAXwBTAHcAaQBuAGUALgBTAG8AdQByAGMAZQBEAGEAdABhAF8AUwB3AGkAbgBlAF8ATgBpAHQAcgBvAGcAZQBuAEkAbgBXAGEAcwB0AGUAXwBWAGEAcgBpAGEAdABpAG8AbgAiACwAIgBTAG8AdQByAGMAZQBEAGEAdABhAF8AUwB3AGkAbgBlAC4AUwBvAHUAcgBjAGUARABhAHQAYQBfAFMAdwBpAG4AZQBfAE4AaQB0AHIAbwBnAGUAbgBJAG4AVwBhAHMAdABlAF8ARABhAHQAYQAiACwAIgBTAG8AdQByAGMAZQBEAGEAdABhAF8AUwB3AGkAbgBlAC4AUwBvAHUAcgBjAGUARABhAHQAYQBfAFMAdwBpAG4AZQBfAEYAcgBhAGMAdABpAG8AbgBOAFYAbwBsAGEAdABpAGwAaQBzAGUAZABfAFQAaQB0AGwAZQAiACwAIgBTAG8AdQByAGMAZQBEAGEAdABhAF8AUwB3AGkAbgBlAC4AUwBvAHUAcgBjAGUARABhAHQAYQBfAFMAdwBpAG4AZQBfAEYAcgBhAGMAdABpAG8AbgBOAFYAbwBsAGEAdABpAGwAaQBzAGUAZABfAFUAbgBpAHQAIgAsACIAUwBvAHUAcgBjAGUARABhAHQAYQBfAFMAdwBpAG4AZQAuAFMAbwB1AHIAYwBlAEQAYQB0AGEAXwBTAHcAaQBuAGUAXwBGAHIAYQBjAHQAaQBvAG4ATgBWAG8AbABhAHQAaQBsAGkAcwBlAGQAXwBTAG8AdQByAGMAZQAiACwAIgBTAG8AdQByAGMAZQBEAGEAdABhAF8AUwB3AGkAbgBlAC4AUwBvAHUAcgBjAGUARABhAHQAYQBfAFMAdwBpAG4AZQBfAEYAcgBhAGMAdABpAG8AbgBOAFYAbwBsAGEAdABpAGwAaQBzAGUAZABfAFYAYQByAGkAYQB0AGkAbwBuACIALAAiAFMAbwB1AHIAYwBlAEQAYQB0AGEAXwBTAHcAaQBuAGUALgBTAG8AdQByAGMAZQBEAGEAdABhAF8AUwB3AGkAbgBlAF8ARgByAGEAYwB0AGkAbwBuAE4AVgBvAGwAYQB0AGkAbABpAHMAZQBkAF8ARABhAHQAYQAiACwAIgBTAG8AdQByAGMAZQBEAGEAdABhAF8AUwB3AGkAbgBlAC4AUwBvAHUAcgBjAGUARABhAHQAYQBfAFMAdwBpAG4AZQBfAE4AaQB0AHIAbwB1AHMATwB4AGkAZABlAEUARgBzAF8AVABpAHQAbABlACIALAAiAFMAbwB1AHIAYwBlAEQAYQB0AGEAXwBTAHcAaQBuAGUALgBTAG8AdQByAGMAZQBEAGEAdABhAF8AUwB3AGkAbgBlAF8ATgBpAHQAcgBvAHUAcwBPAHgAaQBkAGUARQBGAHMAXwBVAG4AaQB0ACIALAAiAFMAbwB1AHIAYwBlAEQAYQB0AGEAXwBTAHcAaQBuAGUALgBTAG8AdQByAGMAZQBEAGEAdABhAF8AUwB3AGkAbgBlAF8ATgBpAHQAcgBvAHUAcwBPAHgAaQBkAGUARQBGAHMAXwBTAG8AdQByAGMAZQAiACwAIgBTAG8AdQByAGMAZQBEAGEAdABhAF8AUwB3AGkAbgBlAC4AUwBvAHUAcgBjAGUARABhAHQAYQBfAFMAdwBpAG4AZQBfAE4AaQB0AHIAbwB1AHMATwB4AGkAZABlAEUARgBzAF8AVgBhAHIAaQBhAHQAaQBvAG4AIgAsACIAUwBvAHUAcgBjAGUARABhAHQAYQBfAFMAdwBpAG4AZQAuAFMAbwB1AHIAYwBlAEQAYQB0AGEAXwBTAHcAaQBuAGUAXwBOAGkAdAByAG8AdQBzAE8AeABpAGQAZQBFAEYAcwBfAEQAYQB0AGEAIgAsACIAUwBvAHUAcgBjAGUARABhAHQAYQBfAFMAdwBpAG4AZQAuAFMAbwB1AHIAYwBlAEQAYQB0AGEAXwBTAHcAaQBuAGUAXwBNAGUAdABoAGEAbgBlAFYAbwBsAGEAdABpAGwAZQBTAG8AbABpAGQAcwBFAG0AaQBzAHMAaQBvAG4AcwBQAG8AdABlAG4AdABpAGEAbABfAFQAaQB0AGwAZQAiACwAIgBTAG8AdQByAGMAZQBEAGEAdABhAF8AUwB3AGkAbgBlAC4AUwBvAHUAcgBjAGUARABhAHQAYQBfAFMAdwBpAG4AZQBfAE0AZQB0AGgAYQBuAGUAVgBvAGwAYQB0AGkAbABlAFMAbwBsAGkAZABzAEUAbQBpAHMAcwBpAG8AbgBzAFAAbwB0AGUAbgB0AGkAYQBsAF8AVgBhAHIAaQBhAGIAbABlACIALAAiAFMAbwB1AHIAYwBlAEQAYQB0AGEAXwBTAHcAaQBuAGUALgBTAG8AdQByAGMAZQBEAGEAdABhAF8AUwB3AGkAbgBlAF8ATQBlAHQAaABhAG4AZQBWAG8AbABhAHQAaQBsAGUAUwBvAGwAaQBkAHMARQBtAGkAcwBzAGkAbwBuAHMAUABvAHQAZQBuAHQAaQBhAGwAXwBVAG4AaQB0ACIALAAiAFMAbwB1AHIAYwBlAEQAYQB0AGEAXwBTAHcAaQBuAGUALgBTAG8AdQByAGMAZQBEAGEAdABhAF8AUwB3AGkAbgBlAF8ATQBlAHQAaABhAG4AZQBWAG8AbABhAHQAaQBsAGUAUwBvAGwAaQBkAHMARQBtAGkAcwBzAGkAbwBuAHMAUABvAHQAZQBuAHQAaQBhAGwAXwBTAG8AdQByAGMAZQAiACwAIgBTAG8AdQByAGMAZQBEAGEAdABhAF8AUwB3AGkAbgBlAC4AUwBvAHUAcgBjAGUARABhAHQAYQBfAFMAdwBpAG4AZQBfAE0AZQB0AGgAYQBuAGUAVgBvAGwAYQB0AGkAbABlAFMAbwBsAGkAZABzAEUAbQBpAHMAcwBpAG8AbgBzAFAAbwB0AGUAbgB0AGkAYQBsAF8AVgBhAHIAaQBhAHQAaQBvAG4AIgAsACIAUwBvAHUAcgBjAGUARABhAHQAYQBfAFMAdwBpAG4AZQAuAFMAbwB1AHIAYwBlAEQAYQB0AGEAXwBTAHcAaQBuAGUAXwBNAGUAdABoAGEAbgBlAFYAbwBsAGEAdABpAGwAZQBTAG8AbABpAGQAcwBFAG0AaQBzAHMAaQBvAG4AcwBQAG8AdABlAG4AdABpAGEAbABfAEQAYQB0AGEAIgAsACIAUwBvAHUAcgBjAGUARABhAHQAYQBfAFMAdwBpAG4AZQAuAFMAbwB1AHIAYwBlAEQAYQB0AGEAXwBTAHcAaQBuAGUAXwBNAE0AUwBfAE0AQwBGAHMAXwBUAGkAdABsAGUAIgAsACIAUwBvAHUAcgBjAGUARABhAHQAYQBfAFMAdwBpAG4AZQAuAFMAbwB1AHIAYwBlAEQAYQB0AGEAXwBTAHcAaQBuAGUAXwBNAE0AUwBfAE0AQwBGAHMAXwBVAG4AaQB0ACIALAAiAFMAbwB1AHIAYwBlAEQAYQB0AGEAXwBTAHcAaQBuAGUALgBTAG8AdQByAGMAZQBEAGEAdABhAF8AUwB3AGkAbgBlAF8ATQBNAFMAXwBNAEMARgBzAF8AUwBvAHUAcgBjAGUAIgAsACIAUwBvAHUAcgBjAGUARABhAHQAYQBfAFMAdwBpAG4AZQAuAFMAbwB1AHIAYwBlAEQAYQB0AGEAXwBTAHcAaQBuAGUAXwBNAE0AUwBfAE0AQwBGAHMAXwBWAGEAcgBpAGEAdABpAG8AbgAiACwAIgBTAG8AdQByAGMAZQBEAGEAdABhAF8AUwB3AGkAbgBlAC4AUwBvAHUAcgBjAGUARABhAHQAYQBfAFMAdwBpAG4AZQBfAE0ATQBTAF8ATQBDAEYAcwBfAEQAYQB0AGEAIgAsACIAUwBvAHUAcgBjAGUARABhAHQAYQBfAFMAdwBpAG4AZQAuAFMAbwB1AHIAYwBlAEQAYQB0AGEAXwBTAHcAaQBuAGUAXwBBAHYAZQByAGEAZwBlAEwAaQB2AGUAdwBlAGkAZwBoAHQAXwBUAGkAdABsAGUAIgAsACIAUwBvAHUAcgBjAGUARABhAHQAYQBfAFMAdwBpAG4AZQAuAFMAbwB1AHIAYwBlAEQAYQB0AGEAXwBTAHcAaQBuAGUAXwBBAHYAZQByAGEAZwBlAEwAaQB2AGUAdwBlAGkAZwBoAHQAXwBVAG4AaQB0ACIALAAiAFMAbwB1AHIAYwBlAEQAYQB0AGEAXwBTAHcAaQBuAGUALgBTAG8AdQByAGMAZQBEAGEAdABhAF8AUwB3AGkAbgBlAF8AQQB2AGUAcgBhAGcAZQBMAGkAdgBlAHcAZQBpAGcAaAB0AF8AUwBvAHUAcgBjAGUAIgAsACIAUwBvAHUAcgBjAGUARABhAHQAYQBfAFMAdwBpAG4AZQAuAFMAbwB1AHIAYwBlAEQAYQB0AGEAXwBTAHcAaQBuAGUAXwBBAHYAZQByAGEAZwBlAEwAaQB2AGUAdwBlAGkAZwBoAHQAXwBWAGEAcgBpAGEAdABpAG8AbgAiACwAIgBTAG8AdQByAGMAZQBEAGEAdABhAF8AUwB3AGkAbgBlAC4AUwBvAHUAcgBjAGUARABhAHQAYQBfAFMAdwBpAG4AZQBfAEEAdgBlAHIAYQBnAGUATABpAHYAZQB3AGUAaQBnAGgAdABfAEQAYQB0AGEAIgAsACIAUwBvAHUAcgBjAGUARABhAHQAYQBfAFMAdwBpAG4AZQAuAFMAbwB1AHIAYwBlAEQAYQB0AGEAXwBTAHcAaQBuAGUAXwBQAHIAbwBkAHUAYwB0AGkAbwBuAFMAeQBzAHQAZQBtAHMAXwBUAGkAdABsAGUAIgAsACIAUwBvAHUAcgBjAGUARABhAHQAYQBfAFMAdwBpAG4AZQAuAFMAbwB1AHIAYwBlAEQAYQB0AGEAXwBTAHcAaQBuAGUAXwBQAHIAbwBkAHUAYwB0AGkAbwBuAFMAeQBzAHQAZQBtAHMAXwBVAG4AaQB0ACIALAAiAFMAbwB1AHIAYwBlAEQAYQB0AGEAXwBTAHcAaQBuAGUALgBTAG8AdQByAGMAZQBEAGEAdABhAF8AUwB3AGkAbgBlAF8AUAByAG8AZAB1AGMAdABpAG8AbgBTAHkAcwB0AGUAbQBzAF8AUwBvAHUAcgBjAGUAIgAsACIAUwBvAHUAcgBjAGUARABhAHQAYQBfAFMAdwBpAG4AZQAuAFMAbwB1AHIAYwBlAEQAYQB0AGEAXwBTAHcAaQBuAGUAXwBQAHIAbwBkAHUAYwB0AGkAbwBuAFMAeQBzAHQAZQBtAHMAXwBWAGEAcgBpAGEAdABpAG8AbgAiACwAIgBTAG8AdQByAGMAZQBEAGEAdABhAF8AUwB3AGkAbgBlAC4AUwBvAHUAcgBjAGUARABhAHQAYQBfAFMAdwBpAG4AZQBfAFAAcgBvAGQAdQBjAHQAaQBvAG4AUwB5AHMAdABlAG0AcwBfAEQAYQB0AGEAIgAsACIAUwBvAHUAcgBjAGUARABhAHQAYQBfAFMAdwBpAG4AZQAuAFMAbwB1AHIAYwBlAEQAYQB0AGEAXwBTAHcAaQBuAGUAXwBGAHIAYQBjAEwARQBBAEMASABfAEQAcgB5AGwAbwB0AE0ATQBTAF8AVABpAHQAbABlACIALAAiAFMAbwB1AHIAYwBlAEQAYQB0AGEAXwBTAHcAaQBuAGUALgBTAG8AdQByAGMAZQBEAGEAdABhAF8AUwB3AGkAbgBlAF8ARgByAGEAYwBMAEUAQQBDAEgAXwBEAHIAeQBsAG8AdABNAE0AUwBfAFYAYQByAGkAYQBiAGwAZQAiACwAIgBTAG8AdQByAGMAZQBEAGEAdABhAF8AUwB3AGkAbgBlAC4AUwBvAHUAcgBjAGUARABhAHQAYQBfAFMAdwBpAG4AZQBfAEYAcgBhAGMATABFAEEAQwBIAF8ARAByAHkAbABvAHQATQBNAFMAXwBVAG4AaQB0ACIALAAiAFMAbwB1AHIAYwBlAEQAYQB0AGEAXwBTAHcAaQBuAGUALgBTAG8AdQByAGMAZQBEAGEAdABhAF8AUwB3AGkAbgBlAF8ARgByAGEAYwBMAEUAQQBDAEgAXwBEAHIAeQBsAG8AdABNAE0AUwBfAFMAbwB1AHIAYwBlACIALAAiAFMAbwB1AHIAYwBlAEQAYQB0AGEAXwBTAHcAaQBuAGUALgBTAG8AdQByAGMAZQBEAGEAdABhAF8AUwB3AGkAbgBlAF8ARgByAGEAYwBMAEUAQQBDAEgAXwBEAHIAeQBsAG8AdABNAE0AUwBfAFYAYQByAGkAYQB0AGkAbwBuACIALAAiAFMAbwB1AHIAYwBlAEQAYQB0AGEAXwBTAHcAaQBuAGUALgBTAG8AdQByAGMAZQBEAGEAdABhAF8AUwB3AGkAbgBlAF8ARgByAGEAYwBMAEUAQQBDAEgAXwBEAHIAeQBsAG8AdABNAE0AUwBfAEQAYQB0AGEAIgAsACIAUwBvAHUAcgBjAGUARABhAHQAYQBfAFMAdwBpAG4AZQAuAFMAbwB1AHIAYwBlAEQAYQB0AGEAXwBTAHcAaQBuAGUAXwBNAGUAZwBhAGoAbwB1AGwAZQBzAFAAZQByAEsAaQBsAG8AZwByAGEAbQBNAGUAdABoAGEAbgBlAF8AVABpAHQAbABlACIALAAiAFMAbwB1AHIAYwBlAEQAYQB0AGEAXwBTAHcAaQBuAGUALgBTAG8AdQByAGMAZQBEAGEAdABhAF8AUwB3AGkAbgBlAF8ATQBlAGcAYQBqAG8AdQBsAGUAcwBQAGUAcgBLAGkAbABvAGcAcgBhAG0ATQBlAHQAaABhAG4AZQBfAFYAYQByAGkAYQBiAGwAZQAiACwAIgBTAG8AdQByAGMAZQBEAGEAdABhAF8AUwB3AGkAbgBlAC4AUwBvAHUAcgBjAGUARABhAHQAYQBfAFMAdwBpAG4AZQBfAE0AZQBnAGEAagBvAHUAbABlAHMAUABlAHIASwBpAGwAbwBnAHIAYQBtAE0AZQB0AGgAYQBuAGUAXwBVAG4AaQB0ACIALAAiAFMAbwB1AHIAYwBlAEQAYQB0AGEAXwBTAHcAaQBuAGUALgBTAG8AdQByAGMAZQBEAGEAdABhAF8AUwB3AGkAbgBlAF8ATQBlAGcAYQBqAG8AdQBsAGUAcwBQAGUAcgBLAGkAbABvAGcAcgBhAG0ATQBlAHQAaABhAG4AZQBfAFMAbwB1AHIAYwBlACIALAAiAFMAbwB1AHIAYwBlAEQAYQB0AGEAXwBTAHcAaQBuAGUALgBTAG8AdQByAGMAZQBEAGEAdABhAF8AUwB3AGkAbgBlAF8ATQBlAGcAYQBqAG8AdQBsAGUAcwBQAGUAcgBLAGkAbABvAGcAcgBhAG0ATQBlAHQAaABhAG4AZQBfAFYAYQByAGkAYQB0AGkAbwBuACIALAAiAFMAbwB1AHIAYwBlAEQAYQB0AGEAXwBTAHcAaQBuAGUALgBTAG8AdQByAGMAZQBEAGEAdABhAF8AUwB3AGkAbgBlAF8ATQBlAGcAYQBqAG8AdQBsAGUAcwBQAGUAcgBLAGkAbABvAGcAcgBhAG0ATQBlAHQAaABhAG4AZQBfAEQAYQB0AGEAIgAsACIAUwBvAHUAcgBjAGUARABhAHQAYQBfAFAAbwB1AGwAdAByAHkALgBTAG8AdQByAGMAZQBEAGEAdABhAF8AUABvAHUAbAB0AHIAeQBfAEQAaQBlAHQAUAByAG8AcABlAHIAdABpAGUAcwBfAFQAaQB0AGwAZQAiACwAIgBTAG8AdQByAGMAZQBEAGEAdABhAF8AUABvAHUAbAB0AHIAeQAuAFMAbwB1AHIAYwBlAEQAYQB0AGEAXwBQAG8AdQBsAHQAcgB5AF8ARABpAGUAdABQAHIAbwBwAGUAcgB0AGkAZQBzAF8AVQBuAGkAdAAiACwAIgBTAG8AdQByAGMAZQBEAGEAdABhAF8AUABvAHUAbAB0AHIAeQAuAFMAbwB1AHIAYwBlAEQAYQB0AGEAXwBQAG8AdQBsAHQAcgB5AF8ARABpAGUAdABQAHIAbwBwAGUAcgB0AGkAZQBzAF8AUwBvAHUAcgBjAGUAIgAsACIAUwBvAHUAcgBjAGUARABhAHQAYQBfAFAAbwB1AGwAdAByAHkALgBTAG8AdQByAGMAZQBEAGEAdABhAF8AUABvAHUAbAB0AHIAeQBfAEQAaQBlAHQAUAByAG8AcABlAHIAdABpAGUAcwBfAFYAYQByAGkAYQB0AGkAbwBuACIALAAiAFMAbwB1AHIAYwBlAEQAYQB0AGEAXwBQAG8AdQBsAHQAcgB5AC4AUwBvAHUAcgBjAGUARABhAHQAYQBfAFAAbwB1AGwAdAByAHkAXwBEAGkAZQB0AFAAcgBvAHAAZQByAHQAaQBlAHMAXwBEAGEAdABhACIALAAiAFMAbwB1AHIAYwBlAEQAYQB0AGEAXwBQAG8AdQBsAHQAcgB5AC4AUwBvAHUAcgBjAGUARABhAHQAYQBfAFAAbwB1AGwAdAByAHkAXwBNAEMARgBfAFQAaQB0AGwAZQAiACwAIgBTAG8AdQByAGMAZQBEAGEAdABhAF8AUABvAHUAbAB0AHIAeQAuAFMAbwB1AHIAYwBlAEQAYQB0AGEAXwBQAG8AdQBsAHQAcgB5AF8ATQBDAEYAXwBVAG4AaQB0ACIALAAiAFMAbwB1AHIAYwBlAEQAYQB0AGEAXwBQAG8AdQBsAHQAcgB5AC4AUwBvAHUAcgBjAGUARABhAHQAYQBfAFAAbwB1AGwAdAByAHkAXwBNAEMARgBfAFMAbwB1AHIAYwBlACIALAAiAFMAbwB1AHIAYwBlAEQAYQB0AGEAXwBQAG8AdQBsAHQAcgB5AC4AUwBvAHUAcgBjAGUARABhAHQAYQBfAFAAbwB1AGwAdAByAHkAXwBNAEMARgBfAFYAYQByAGkAYQB0AGkAbwBuACIALAAiAFMAbwB1AHIAYwBlAEQAYQB0AGEAXwBQAG8AdQBsAHQAcgB5AC4AUwBvAHUAcgBjAGUARABhAHQAYQBfAFAAbwB1AGwAdAByAHkAXwBNAEMARgBfAEQAYQB0AGEAIgAsACIAUwBvAHUAcgBjAGUARABhAHQAYQBfAFAAbwB1AGwAdAByAHkALgBTAG8AdQByAGMAZQBEAGEAdABhAF8AUABvAHUAbAB0AHIAeQBfAE0AQwBGAF8ATgBvAHQAZQBzACIALAAiAFMAbwB1AHIAYwBlAEQAYQB0AGEAXwBQAG8AdQBsAHQAcgB5AC4AUwBvAHUAcgBjAGUARABhAHQAYQBfAFAAbwB1AGwAdAByAHkAXwBNAGUAdABoAGEAbgBlAEUAbQBpAHMAcwBpAG8AbgBzAFAAbwB0AGUAbgB0AGkAYQBsAF8AVABpAHQAbABlACIALAAiAFMAbwB1AHIAYwBlAEQAYQB0AGEAXwBQAG8AdQBsAHQAcgB5AC4AUwBvAHUAcgBjAGUARABhAHQAYQBfAFAAbwB1AGwAdAByAHkAXwBNAGUAdABoAGEAbgBlAEUAbQBpAHMAcwBpAG8AbgBzAFAAbwB0AGUAbgB0AGkAYQBsAF8AVQBuAGkAdAAiACwAIgBTAG8AdQByAGMAZQBEAGEAdABhAF8AUABvAHUAbAB0AHIAeQAuAFMAbwB1AHIAYwBlAEQAYQB0AGEAXwBQAG8AdQBsAHQAcgB5AF8ATQBlAHQAaABhAG4AZQBFAG0AaQBzAHMAaQBvAG4AcwBQAG8AdABlAG4AdABpAGEAbABfAFMAbwB1AHIAYwBlACIALAAiAFMAbwB1AHIAYwBlAEQAYQB0AGEAXwBQAG8AdQBsAHQAcgB5AC4AUwBvAHUAcgBjAGUARABhAHQAYQBfAFAAbwB1AGwAdAByAHkAXwBNAGUAdABoAGEAbgBlAEUAbQBpAHMAcwBpAG8AbgBzAFAAbwB0AGUAbgB0AGkAYQBsAF8AVgBhAHIAaQBhAHQAaQBvAG4AIgAsACIAUwBvAHUAcgBjAGUARABhAHQAYQBfAFAAbwB1AGwAdAByAHkALgBTAG8AdQByAGMAZQBEAGEAdABhAF8AUABvAHUAbAB0AHIAeQBfAE0AZQB0AGgAYQBuAGUARQBtAGkAcwBzAGkAbwBuAHMAUABvAHQAZQBuAHQAaQBhAGwAXwBEAGEAdABhACIALAAiAFMAbwB1AHIAYwBlAEQAYQB0AGEAXwBQAG8AdQBsAHQAcgB5AC4AUwBvAHUAcgBjAGUARABhAHQAYQBfAFAAbwB1AGwAdAByAHkAXwBQAHIAbwBkAHUAYwB0AGkAbwBuAFMAeQBzAHQAZQBtAHMAXwBUAGkAdABsAGUAIgAsACIAUwBvAHUAcgBjAGUARABhAHQAYQBfAFAAbwB1AGwAdAByAHkALgBTAG8AdQByAGMAZQBEAGEAdABhAF8AUABvAHUAbAB0AHIAeQBfAFAAcgBvAGQAdQBjAHQAaQBvAG4AUwB5AHMAdABlAG0AcwBfAFUAbgBpAHQAIgAsACIAUwBvAHUAcgBjAGUARABhAHQAYQBfAFAAbwB1AGwAdAByAHkALgBTAG8AdQByAGMAZQBEAGEAdABhAF8AUABvAHUAbAB0AHIAeQBfAFAAcgBvAGQAdQBjAHQAaQBvAG4AUwB5AHMAdABlAG0AcwBfAFMAbwB1AHIAYwBlACIALAAiAFMAbwB1AHIAYwBlAEQAYQB0AGEAXwBQAG8AdQBsAHQAcgB5AC4AUwBvAHUAcgBjAGUARABhAHQAYQBfAFAAbwB1AGwAdAByAHkAXwBQAHIAbwBkAHUAYwB0AGkAbwBuAFMAeQBzAHQAZQBtAHMAXwBWAGEAcgBpAGEAdABpAG8AbgAiACwAIgBTAG8AdQByAGMAZQBEAGEAdABhAF8AUABvAHUAbAB0AHIAeQAuAFMAbwB1AHIAYwBlAEQAYQB0AGEAXwBQAG8AdQBsAHQAcgB5AF8AUAByAG8AZAB1AGMAdABpAG8AbgBTAHkAcwB0AGUAbQBzAF8ARABhAHQAYQAiACwAIgBTAG8AdQByAGMAZQBEAGEAdABhAF8AUABvAHUAbAB0AHIAeQAuAFMAbwB1AHIAYwBlAEQAYQB0AGEAXwBQAG8AdQBsAHQAcgB5AF8AVgBTAEwAXwBUAGkAdABsAGUAIgAsACIAUwBvAHUAcgBjAGUARABhAHQAYQBfAFAAbwB1AGwAdAByAHkALgBTAG8AdQByAGMAZQBEAGEAdABhAF8AUABvAHUAbAB0AHIAeQBfAFYAUwBMAF8AVQBuAGkAdAAiACwAIgBTAG8AdQByAGMAZQBEAGEAdABhAF8AUABvAHUAbAB0AHIAeQAuAFMAbwB1AHIAYwBlAEQAYQB0AGEAXwBQAG8AdQBsAHQAcgB5AF8AVgBTAEwAXwBTAG8AdQByAGMAZQAiACwAIgBTAG8AdQByAGMAZQBEAGEAdABhAF8AUABvAHUAbAB0AHIAeQAuAFMAbwB1AHIAYwBlAEQAYQB0AGEAXwBQAG8AdQBsAHQAcgB5AF8AVgBTAEwAXwBWAGEAcgBpAGEAdABpAG8AbgAiACwAIgBTAG8AdQByAGMAZQBEAGEAdABhAF8AUABvAHUAbAB0AHIAeQAuAFMAbwB1AHIAYwBlAEQAYQB0AGEAXwBQAG8AdQBsAHQAcgB5AF8AVgBTAEwAXwBEAGEAdABhACIALAAiAFMAbwB1AHIAYwBlAEQAYQB0AGEAXwBQAG8AdQBsAHQAcgB5AC4AUwBvAHUAcgBjAGUARABhAHQAYQBfAFAAbwB1AGwAdAByAHkAXwBGAHIAYQBjAEcAQQBTAE0AbQBUAF8AVABpAHQAbABlACIALAAiAFMAbwB1AHIAYwBlAEQAYQB0AGEAXwBQAG8AdQBsAHQAcgB5AC4AUwBvAHUAcgBjAGUARABhAHQAYQBfAFAAbwB1AGwAdAByAHkAXwBGAHIAYQBjAEcAQQBTAE0AbQBUAF8AVQBuAGkAdAAiACwAIgBTAG8AdQByAGMAZQBEAGEAdABhAF8AUABvAHUAbAB0AHIAeQAuAFMAbwB1AHIAYwBlAEQAYQB0AGEAXwBQAG8AdQBsAHQAcgB5AF8ARgByAGEAYwBHAEEAUwBNAG0AVABfAFMAbwB1AHIAYwBlACIALAAiAFMAbwB1AHIAYwBlAEQAYQB0AGEAXwBQAG8AdQBsAHQAcgB5AC4AUwBvAHUAcgBjAGUARABhAHQAYQBfAFAAbwB1AGwAdAByAHkAXwBGAHIAYQBjAEcAQQBTAE0AbQBUAF8AVgBhAHIAaQBhAHQAaQBvAG4AIgAsACIAUwBvAHUAcgBjAGUARABhAHQAYQBfAFAAbwB1AGwAdAByAHkALgBTAG8AdQByAGMAZQBEAGEAdABhAF8AUABvAHUAbAB0AHIAeQBfAEYAcgBhAGMARwBBAFMATQBtAFQAXwBEAGEAdABhACIALAAiAFMAbwB1AHIAYwBlAEQAYQB0AGEAXwBQAG8AdQBsAHQAcgB5AC4AUwBvAHUAcgBjAGUARABhAHQAYQBfAFAAbwB1AGwAdAByAHkAXwBFAEYAbQBUAF8AVABpAHQAbABlACIALAAiAFMAbwB1AHIAYwBlAEQAYQB0AGEAXwBQAG8AdQBsAHQAcgB5AC4AUwBvAHUAcgBjAGUARABhAHQAYQBfAFAAbwB1AGwAdAByAHkAXwBFAEYAbQBUAF8AVQBuAGkAdAAiACwAIgBTAG8AdQByAGMAZQBEAGEAdABhAF8AUABvAHUAbAB0AHIAeQAuAFMAbwB1AHIAYwBlAEQAYQB0AGEAXwBQAG8AdQBsAHQAcgB5AF8ARQBGAG0AVABfAFMAbwB1AHIAYwBlACIALAAiAFMAbwB1AHIAYwBlAEQAYQB0AGEAXwBQAG8AdQBsAHQAcgB5AC4AUwBvAHUAcgBjAGUARABhAHQAYQBfAFAAbwB1AGwAdAByAHkAXwBFAEYAbQBUAF8AVgBhAHIAaQBhAHQAaQBvAG4AIgAsACIAUwBvAHUAcgBjAGUARABhAHQAYQBfAFAAbwB1AGwAdAByAHkALgBTAG8AdQByAGMAZQBEAGEAdABhAF8AUABvAHUAbAB0AHIAeQBfAEUARgBtAFQAXwBEAGEAdABhACIALAAiAFMAbwB1AHIAYwBlAEQAYQB0AGEAXwBQAG8AdQBsAHQAcgB5AC4AUwBvAHUAcgBjAGUARABhAHQAYQBfAFAAbwB1AGwAdAByAHkAXwBGAHIAYQBjAHQAaQBvAG4ATwBmAE4AaQB0AHIAbwBnAGUAbgBMAG8AcwB0AFQAaAByAG8AdQBnAGgATABlAGEAYwBoAGkAbgBnAEEAbgBkAFIAdQBuAG8AZgBmAF8AVABpAHQAbABlACIALAAiAFMAbwB1AHIAYwBlAEQAYQB0AGEAXwBQAG8AdQBsAHQAcgB5AC4AUwBvAHUAcgBjAGUARABhAHQAYQBfAFAAbwB1AGwAdAByAHkAXwBGAHIAYQBjAHQAaQBvAG4ATwBmAE4AaQB0AHIAbwBnAGUAbgBMAG8AcwB0AFQAaAByAG8AdQBnAGgATABlAGEAYwBoAGkAbgBnAEEAbgBkAFIAdQBuAG8AZgBmAF8AVgBhAHIAaQBhAGIAbABlACIALAAiAFMAbwB1AHIAYwBlAEQAYQB0AGEAXwBQAG8AdQBsAHQAcgB5AC4AUwBvAHUAcgBjAGUARABhAHQAYQBfAFAAbwB1AGwAdAByAHkAXwBGAHIAYQBjAHQAaQBvAG4ATwBmAE4AaQB0AHIAbwBnAGUAbgBMAG8AcwB0AFQAaAByAG8AdQBnAGgATABlAGEAYwBoAGkAbgBnAEEAbgBkAFIAdQBuAG8AZgBmAF8AVQBuAGkAdAAiACwAIgBTAG8AdQByAGMAZQBEAGEAdABhAF8AUABvAHUAbAB0AHIAeQAuAFMAbwB1AHIAYwBlAEQAYQB0AGEAXwBQAG8AdQBsAHQAcgB5AF8ARgByAGEAYwB0AGkAbwBuAE8AZgBOAGkAdAByAG8AZwBlAG4ATABvAHMAdABUAGgAcgBvAHUAZwBoAEwAZQBhAGMAaABpAG4AZwBBAG4AZABSAHUAbgBvAGYAZgBfAFMAbwB1AHIAYwBlACIALAAiAFMAbwB1AHIAYwBlAEQAYQB0AGEAXwBQAG8AdQBsAHQAcgB5AC4AUwBvAHUAcgBjAGUARABhAHQAYQBfAFAAbwB1AGwAdAByAHkAXwBGAHIAYQBjAHQAaQBvAG4ATwBmAE4AaQB0AHIAbwBnAGUAbgBMAG8AcwB0AFQAaAByAG8AdQBnAGgATABlAGEAYwBoAGkAbgBnAEEAbgBkAFIAdQBuAG8AZgBmAF8AVgBhAHIAaQBhAHQAaQBvAG4AIgAsACIAUwBvAHUAcgBjAGUARABhAHQAYQBfAFAAbwB1AGwAdAByAHkALgBTAG8AdQByAGMAZQBEAGEAdABhAF8AUABvAHUAbAB0AHIAeQBfAEYAcgBhAGMAdABpAG8AbgBPAGYATgBpAHQAcgBvAGcAZQBuAEwAbwBzAHQAVABoAHIAbwB1AGcAaABMAGUAYQBjAGgAaQBuAGcAQQBuAGQAUgB1AG4AbwBmAGYAXwBEAGEAdABhACIALAAiAFMAbwB1AHIAYwBlAEQAYQB0AGEAXwBQAG8AdQBsAHQAcgB5AC4AUwBvAHUAcgBjAGUARABhAHQAYQBfAFAAbwB1AGwAdAByAHkAXwBGAHIAYQBjAEcAQQBNAFMAUwBvAGkAbABfAFQAaQB0AGwAZQAiACwAIgBTAG8AdQByAGMAZQBEAGEAdABhAF8AUABvAHUAbAB0AHIAeQAuAFMAbwB1AHIAYwBlAEQAYQB0AGEAXwBQAG8AdQBsAHQAcgB5AF8ARgByAGEAYwBHAEEATQBTAFMAbwBpAGwAXwBWAGEAcgBpAGEAYgBsAGUAIgAsACIAUwBvAHUAcgBjAGUARABhAHQAYQBfAFAAbwB1AGwAdAByAHkALgBTAG8AdQByAGMAZQBEAGEAdABhAF8AUABvAHUAbAB0AHIAeQBfAEYAcgBhAGMARwBBAE0AUwBTAG8AaQBsAF8AVQBuAGkAdAAiACwAIgBTAG8AdQByAGMAZQBEAGEAdABhAF8AUABvAHUAbAB0AHIAeQAuAFMAbwB1AHIAYwBlAEQAYQB0AGEAXwBQAG8AdQBsAHQAcgB5AF8ARgByAGEAYwBHAEEATQBTAFMAbwBpAGwAXwBTAG8AdQByAGMAZQAiACwAIgBTAG8AdQByAGMAZQBEAGEAdABhAF8AUABvAHUAbAB0AHIAeQAuAFMAbwB1AHIAYwBlAEQAYQB0AGEAXwBQAG8AdQBsAHQAcgB5AF8ARgByAGEAYwBHAEEATQBTAFMAbwBpAGwAXwBWAGEAcgBpAGEAdABpAG8AbgAiACwAIgBTAG8AdQByAGMAZQBEAGEAdABhAF8AUABvAHUAbAB0AHIAeQAuAFMAbwB1AHIAYwBlAEQAYQB0AGEAXwBQAG8AdQBsAHQAcgB5AF8ARgByAGEAYwBHAEEATQBTAFMAbwBpAGwAXwBEAGEAdABhACIALAAiAFMAbwB1AHIAYwBlAEQAYQB0AGEAXwBQAG8AdQBsAHQAcgB5AC4AUwBvAHUAcgBjAGUARABhAHQAYQBfAFAAbwB1AGwAdAByAHkAXwBMAGkAdgBlAHcAZQBpAGcAaAB0AHMAXwBUAGkAdABsAGUAIgAsACIAUwBvAHUAcgBjAGUARABhAHQAYQBfAFAAbwB1AGwAdAByAHkALgBTAG8AdQByAGMAZQBEAGEAdABhAF8AUABvAHUAbAB0AHIAeQBfAEwAaQB2AGUAdwBlAGkAZwBoAHQAcwBfAFUAbgBpAHQAIgAsACIAUwBvAHUAcgBjAGUARABhAHQAYQBfAFAAbwB1AGwAdAByAHkALgBTAG8AdQByAGMAZQBEAGEAdABhAF8AUABvAHUAbAB0AHIAeQBfAEwAaQB2AGUAdwBlAGkAZwBoAHQAcwBfAFMAbwB1AHIAYwBlACIALAAiAFMAbwB1AHIAYwBlAEQAYQB0AGEAXwBQAG8AdQBsAHQAcgB5AC4AUwBvAHUAcgBjAGUARABhAHQAYQBfAFAAbwB1AGwAdAByAHkAXwBMAGkAdgBlAHcAZQBpAGcAaAB0AHMAXwBWAGEAcgBpAGEAdABpAG8AbgAiACwAIgBTAG8AdQByAGMAZQBEAGEAdABhAF8AUABvAHUAbAB0AHIAeQAuAFMAbwB1AHIAYwBlAEQAYQB0AGEAXwBQAG8AdQBsAHQAcgB5AF8ATABpAHYAZQB3AGUAaQBnAGgAdABzAF8ARABhAHQAYQAiACwAIgBTAGMAbwBwAGUAMwBfAEUAcQB1AGEAdABpAG8AbgBzAC4AVgBFAEUAUgBHAF8AMQA1AF8AMQBfADEAXwAxAF8AXwAxAF8ARQBtAGkAcwBzAGkAbwBuAHMARgByAG8AbQBQAHUAcgBjAGgAYQBzAGUAZABMAGkAdgBlAHMAdABvAGMAawAiACwAIgBTAGMAbwBwAGUAMwBfAEUAcQB1AGEAdABpAG8AbgBzAC4AVgBFAEUAUgBHAF8AMQA1AF8AMQBfADEAXwAxAF8AXwAxAF8ARQBtAGkAcwBzAGkAbwBuAHMARgByAG8AbQBQAHUAcgBjAGgAYQBzAGUAZABMAGkAdgBlAHMAdABvAGMAawBfAFQAaQB0AGwAZQAiACwAIgBTAGMAbwBwAGUAMwBfAEUAcQB1AGEAdABpAG8AbgBzAC4AVgBFAEUAUgBHAF8AMQA1AF8AMQBfADEAXwAxAF8AXwAxAF8ARQBtAGkAcwBzAGkAbwBuAHMARgByAG8AbQBQAHUAcgBjAGgAYQBzAGUAZABMAGkAdgBlAHMAdABvAGMAawBfAFYAYQByAGkAYQBiAGwAZQAiACwAIgBTAGMAbwBwAGUAMwBfAEUAcQB1AGEAdABpAG8AbgBzAC4AVgBFAEUAUgBHAF8AMQA1AF8AMQBfADEAXwAxAF8AXwAxAF8ARQBtAGkAcwBzAGkAbwBuAHMARgByAG8AbQBQAHUAcgBjAGgAYQBzAGUAZABMAGkAdgBlAHMAdABvAGMAawBfAFUAbgBpAHQAIgAsACIAUwBjAG8AcABlADMAXwBFAHEAdQBhAHQAaQBvAG4AcwAuAFYARQBFAFIARwBfADEANQBfADEAXwAxAF8AMQBfAF8AMQBfAEUAbQBpAHMAcwBpAG8AbgBzAEYAcgBvAG0AUAB1AHIAYwBoAGEAcwBlAGQATABpAHYAZQBzAHQAbwBjAGsAXwBTAG8AdQByAGMAZQAiACwAIgBTAGMAbwBwAGUAMwBfAEUAcQB1AGEAdABpAG8AbgBzAC4AVgBFAEUAUgBHAF8AMQA1AF8AMQBfADEAXwAxAF8AXwAxAF8ARQBtAGkAcwBzAGkAbwBuAHMARgByAG8AbQBQAHUAcgBjAGgAYQBzAGUAZABMAGkAdgBlAHMAdABvAGMAawBfAE4ASQBSAFIAZQBmAGUAcgBlAG4AYwBlACIALAAiAFMAYwBvAHAAZQAzAF8ARQBxAHUAYQB0AGkAbwBuAHMALgBWAEUARQBSAEcAXwAxADUAXwAxAF8AMQBfADEAXwBfADEAXwBFAG0AaQBzAHMAaQBvAG4AcwBGAHIAbwBtAFAAdQByAGMAaABhAHMAZQBkAEwAaQB2AGUAcwB0AG8AYwBrAF8ATABhAHQAZQB4AEUAcQB1AGEAdABpAG8AbgAiACwAIgBTAGMAbwBwAGUAMwBfAEUAcQB1AGEAdABpAG8AbgBzAC4AVgBFAEUAUgBHAF8AMQA1AF8AMQBfADEAXwAxAF8AXwAxAF8ARQBtAGkAcwBzAGkAbwBuAHMARgByAG8AbQBQAHUAcgBjAGgAYQBzAGUAZABMAGkAdgBlAHMAdABvAGMAawBfAEEAcgBnAHUAbQBlAG4AdABzACIALAAiAFMAYwBvAHAAZQAzAF8ARQBxAHUAYQB0AGkAbwBuAHMALgBWAEUARQBSAEcAXwAxADUAXwAyAF8AMQBfADEAXwBfADEAXwBFAG0AaQBzAHMAaQBvAG4AcwBGAHIAbwBtAFAAdQByAGMAaABhAHMAZQBkAEYAZQBlAGQAIgAsACIAUwBjAG8AcABlADMAXwBFAHEAdQBhAHQAaQBvAG4AcwAuAFYARQBFAFIARwBfADEANQBfADIAXwAxAF8AMQBfAF8AMQBfAEUAbQBpAHMAcwBpAG8AbgBzAEYAcgBvAG0AUAB1AHIAYwBoAGEAcwBlAGQARgBlAGUAZABfAFQAaQB0AGwAZQAiACwAIgBTAGMAbwBwAGUAMwBfAEUAcQB1AGEAdABpAG8AbgBzAC4AVgBFAEUAUgBHAF8AMQA1AF8AMgBfADEAXwAxAF8AXwAxAF8ARQBtAGkAcwBzAGkAbwBuAHMARgByAG8AbQBQAHUAcgBjAGgAYQBzAGUAZABGAGUAZQBkAF8AVgBhAHIAaQBhAGIAbABlACIALAAiAFMAYwBvAHAAZQAzAF8ARQBxAHUAYQB0AGkAbwBuAHMALgBWAEUARQBSAEcAXwAxADUAXwAyAF8AMQBfADEAXwBfADEAXwBFAG0AaQBzAHMAaQBvAG4AcwBGAHIAbwBtAFAAdQByAGMAaABhAHMAZQBkAEYAZQBlAGQAXwBVAG4AaQB0ACIALAAiAFMAYwBvAHAAZQAzAF8ARQBxAHUAYQB0AGkAbwBuAHMALgBWAEUARQBSAEcAXwAxADUAXwAyAF8AMQBfADEAXwBfADEAXwBFAG0AaQBzAHMAaQBvAG4AcwBGAHIAbwBtAFAAdQByAGMAaABhAHMAZQBkAEYAZQBlAGQAXwBTAG8AdQByAGMAZQAiACwAIgBTAGMAbwBwAGUAMwBfAEUAcQB1AGEAdABpAG8AbgBzAC4AVgBFAEUAUgBHAF8AMQA1AF8AMgBfADEAXwAxAF8AXwAxAF8ARQBtAGkAcwBzAGkAbwBuAHMARgByAG8AbQBQAHUAcgBjAGgAYQBzAGUAZABGAGUAZQBkAF8ATgBJAFIAUgBlAGYAZQByAGUAbgBjAGUAIgAsACIAUwBjAG8AcABlADMAXwBFAHEAdQBhAHQAaQBvAG4AcwAuAFYARQBFAFIARwBfADEANQBfADIAXwAxAF8AMQBfAF8AMQBfAEUAbQBpAHMAcwBpAG8AbgBzAEYAcgBvAG0AUAB1AHIAYwBoAGEAcwBlAGQARgBlAGUAZABfAEwAYQB0AGUAeABFAHEAdQBhAHQAaQBvAG4AIgAsACIAUwBjAG8AcABlADMAXwBFAHEAdQBhAHQAaQBvAG4AcwAuAFYARQBFAFIARwBfADEANQBfADIAXwAxAF8AMQBfAF8AMQBfAEUAbQBpAHMAcwBpAG8AbgBzAEYAcgBvAG0AUAB1AHIAYwBoAGEAcwBlAGQARgBlAGUAZABfAEEAcgBnAHUAbQBlAG4AdABzACIALAAiAFMAYwBvAHAAZQAzAF8ARQBxAHUAYQB0AGkAbwBuAHMALgBWAEUARQBSAEcAXwAxADUAXwAzAF8AMQBfADEAXwBfADEAXwBFAG0AaQBzAHMAaQBvAG4AcwBGAHIAbwBtAFAAdQByAGMAaABhAHMAZQBkAE0AaQBuAGUAcgBhAGwAUwB1AHAAcABsAGUAbQBlAG4AdABzACIALAAiAFMAYwBvAHAAZQAzAF8ARQBxAHUAYQB0AGkAbwBuAHMALgBWAEUARQBSAEcAXwAxADUAXwAzAF8AMQBfADEAXwBfADEAXwBFAG0AaQBzAHMAaQBvAG4AcwBGAHIAbwBtAFAAdQByAGMAaABhAHMAZQBkAE0AaQBuAGUAcgBhAGwAUwB1AHAAcABsAGUAbQBlAG4AdABzAF8AVABpAHQAbABlACIALAAiAFMAYwBvAHAAZQAzAF8ARQBxAHUAYQB0AGkAbwBuAHMALgBWAEUARQBSAEcAXwAxADUAXwAzAF8AMQBfADEAXwBfADEAXwBFAG0AaQBzAHMAaQBvAG4AcwBGAHIAbwBtAFAAdQByAGMAaABhAHMAZQBkAE0AaQBuAGUAcgBhAGwAUwB1AHAAcABsAGUAbQBlAG4AdABzAF8AVgBhAHIAaQBhAGIAbABlACIALAAiAFMAYwBvAHAAZQAzAF8ARQBxAHUAYQB0AGkAbwBuAHMALgBWAEUARQBSAEcAXwAxADUAXwAzAF8AMQBfADEAXwBfADEAXwBFAG0AaQBzAHMAaQBvAG4AcwBGAHIAbwBtAFAAdQByAGMAaABhAHMAZQBkAE0AaQBuAGUAcgBhAGwAUwB1AHAAcABsAGUAbQBlAG4AdABzAF8AVQBuAGkAdAAiACwAIgBTAGMAbwBwAGUAMwBfAEUAcQB1AGEAdABpAG8AbgBzAC4AVgBFAEUAUgBHAF8AMQA1AF8AMwBfADEAXwAxAF8AXwAxAF8ARQBtAGkAcwBzAGkAbwBuAHMARgByAG8AbQBQAHUAcgBjAGgAYQBzAGUAZABNAGkAbgBlAHIAYQBsAFMAdQBwAHAAbABlAG0AZQBuAHQAcwBfAFMAbwB1AHIAYwBlACIALAAiAFMAYwBvAHAAZQAzAF8ARQBxAHUAYQB0AGkAbwBuAHMALgBWAEUARQBSAEcAXwAxADUAXwAzAF8AMQBfADEAXwBfADEAXwBFAG0AaQBzAHMAaQBvAG4AcwBGAHIAbwBtAFAAdQByAGMAaABhAHMAZQBkAE0AaQBuAGUAcgBhAGwAUwB1AHAAcABsAGUAbQBlAG4AdABzAF8ATgBJAFIAUgBlAGYAZQByAGUAbgBjAGUAIgAsACIAUwBjAG8AcABlADMAXwBFAHEAdQBhAHQAaQBvAG4AcwAuAFYARQBFAFIARwBfADEANQBfADMAXwAxAF8AMQBfAF8AMQBfAEUAbQBpAHMAcwBpAG8AbgBzAEYAcgBvAG0AUAB1AHIAYwBoAGEAcwBlAGQATQBpAG4AZQByAGEAbABTAHUAcABwAGwAZQBtAGUAbgB0AHMAXwBMAGEAdABlAHgARQBxAHUAYQB0AGkAbwBuACIALAAiAFMAYwBvAHAAZQAzAF8ARQBxAHUAYQB0AGkAbwBuAHMALgBWAEUARQBSAEcAXwAxADUAXwAzAF8AMQBfADEAXwBfADEAXwBFAG0AaQBzAHMAaQBvAG4AcwBGAHIAbwBtAFAAdQByAGMAaABhAHMAZQBkAE0AaQBuAGUAcgBhAGwAUwB1AHAAcABsAGUAbQBlAG4AdABzAF8AQQByAGcAdQBtAGUAbgB0AHMAIgAsACIAUwBjAG8AcABlADMAXwBFAHEAdQBhAHQAaQBvAG4AcwAuAFYARQBFAFIARwBfADEANQBfADQAXwAxAF8AMQBfAF8AMQBfAEUAbQBpAHMAcwBpAG8AbgBzAEYAcgBvAG0AUAB1AHIAYwBoAGEAcwBlAGQARgBlAHIAdABpAGwAaQBzAGUAcgAiACwAIgBTAGMAbwBwAGUAMwBfAEUAcQB1AGEAdABpAG8AbgBzAC4AVgBFAEUAUgBHAF8AMQA1AF8ANABfADEAXwAxAF8AXwAxAF8ARQBtAGkAcwBzAGkAbwBuAHMARgByAG8AbQBQAHUAcgBjAGgAYQBzAGUAZABGAGUAcgB0AGkAbABpAHMAZQByAF8AVABpAHQAbABlACIALAAiAFMAYwBvAHAAZQAzAF8ARQBxAHUAYQB0AGkAbwBuAHMALgBWAEUARQBSAEcAXwAxADUAXwA0AF8AMQBfADEAXwBfADEAXwBFAG0AaQBzAHMAaQBvAG4AcwBGAHIAbwBtAFAAdQByAGMAaABhAHMAZQBkAEYAZQByAHQAaQBsAGkAcwBlAHIAXwBWAGEAcgBpAGEAYgBsAGUAIgAsACIAUwBjAG8AcABlADMAXwBFAHEAdQBhAHQAaQBvAG4AcwAuAFYARQBFAFIARwBfADEANQBfADQAXwAxAF8AMQBfAF8AMQBfAEUAbQBpAHMAcwBpAG8AbgBzAEYAcgBvAG0AUAB1AHIAYwBoAGEAcwBlAGQARgBlAHIAdABpAGwAaQBzAGUAcgBfAFUAbgBpAHQAIgAsACIAUwBjAG8AcABlADMAXwBFAHEAdQBhAHQAaQBvAG4AcwAuAFYARQBFAFIARwBfADEANQBfADQAXwAxAF8AMQBfAF8AMQBfAEUAbQBpAHMAcwBpAG8AbgBzAEYAcgBvAG0AUAB1AHIAYwBoAGEAcwBlAGQARgBlAHIAdABpAGwAaQBzAGUAcgBfAFMAbwB1AHIAYwBlACIALAAiAFMAYwBvAHAAZQAzAF8ARQBxAHUAYQB0AGkAbwBuAHMALgBWAEUARQBSAEcAXwAxADUAXwA0AF8AMQBfADEAXwBfADEAXwBFAG0AaQBzAHMAaQBvAG4AcwBGAHIAbwBtAFAAdQByAGMAaABhAHMAZQBkAEYAZQByAHQAaQBsAGkAcwBlAHIAXwBOAEkAUgBSAGUAZgBlAHIAZQBuAGMAZQAiACwAIgBTAGMAbwBwAGUAMwBfAEUAcQB1AGEAdABpAG8AbgBzAC4AVgBFAEUAUgBHAF8AMQA1AF8ANABfADEAXwAxAF8AXwAxAF8ARQBtAGkAcwBzAGkAbwBuAHMARgByAG8AbQBQAHUAcgBjAGgAYQBzAGUAZABGAGUAcgB0AGkAbABpAHMAZQByAF8ATABhAHQAZQB4AEUAcQB1AGEAdABpAG8AbgAiACwAIgBTAGMAbwBwAGUAMwBfAEUAcQB1AGEAdABpAG8AbgBzAC4AVgBFAEUAUgBHAF8AMQA1AF8ANABfADEAXwAxAF8AXwAxAF8ARQBtAGkAcwBzAGkAbwBuAHMARgByAG8AbQBQAHUAcgBjAGgAYQBzAGUAZABGAGUAcgB0AGkAbABpAHMAZQByAF8AQQByAGcAdQBtAGUAbgB0AHMAIgAsACIAUwBjAG8AcABlADMAXwBFAHEAdQBhAHQAaQBvAG4AcwAuAFYARQBFAFIARwBfADEANQBfADQAXwAxAF8AMQBfAF8AMgBfAEUAbQBpAHMAcwBpAG8AbgBzAEYAcgBvAG0AUAB1AHIAYwBoAGEAcwBlAGQARgBlAHIAdABpAGwAaQBzAGUAcgBDAG8AbQBwAG8AbgBlAG4AdABzACIALAAiAFMAYwBvAHAAZQAzAF8ARQBxAHUAYQB0AGkAbwBuAHMALgBWAEUARQBSAEcAXwAxADUAXwA0AF8AMQBfADEAXwBfADIAXwBFAG0AaQBzAHMAaQBvAG4AcwBGAHIAbwBtAFAAdQByAGMAaABhAHMAZQBkAEYAZQByAHQAaQBsAGkAcwBlAHIAQwBvAG0AcABvAG4AZQBuAHQAcwBWAGEAcgBpAGEAdABpAG8AbgAiACwAIgBTAGMAbwBwAGUAMwBfAEUAcQB1AGEAdABpAG8AbgBzAC4AVgBFAEUAUgBHAF8AMQA1AF8ANABfADEAXwAxAF8AXwAyAF8ARQBtAGkAcwBzAGkAbwBuAHMARgByAG8AbQBQAHUAcgBjAGgAYQBzAGUAZABGAGUAcgB0AGkAbABpAHMAZQByAEMAbwBtAHAAbwBuAGUAbgB0AHMAXwBUAGkAdABsAGUAIgAsACIAUwBjAG8AcABlADMAXwBFAHEAdQBhAHQAaQBvAG4AcwAuAFYARQBFAFIARwBfADEANQBfADQAXwAxAF8AMQBfAF8AMgBfAEUAbQBpAHMAcwBpAG8AbgBzAEYAcgBvAG0AUAB1AHIAYwBoAGEAcwBlAGQARgBlAHIAdABpAGwAaQBzAGUAcgBDAG8AbQBwAG8AbgBlAG4AdABzAF8AVgBhAHIAaQBhAGIAbABlACIALAAiAFMAYwBvAHAAZQAzAF8ARQBxAHUAYQB0AGkAbwBuAHMALgBWAEUARQBSAEcAXwAxADUAXwA0AF8AMQBfADEAXwBfADIAXwBFAG0AaQBzAHMAaQBvAG4AcwBGAHIAbwBtAFAAdQByAGMAaABhAHMAZQBkAEYAZQByAHQAaQBsAGkAcwBlAHIAQwBvAG0AcABvAG4AZQBuAHQAcwBfAFUAbgBpAHQAIgAsACIAUwBjAG8AcABlADMAXwBFAHEAdQBhAHQAaQBvAG4AcwAuAFYARQBFAFIARwBfADEANQBfADQAXwAxAF8AMQBfAF8AMgBfAEUAbQBpAHMAcwBpAG8AbgBzAEYAcgBvAG0AUAB1AHIAYwBoAGEAcwBlAGQARgBlAHIAdABpAGwAaQBzAGUAcgBDAG8AbQBwAG8AbgBlAG4AdABzAF8AUwBvAHUAcgBjAGUAIgAsACIAUwBjAG8AcABlADMAXwBFAHEAdQBhAHQAaQBvAG4AcwAuAFYARQBFAFIARwBfADEANQBfADQAXwAxAF8AMQBfAF8AMgBfAEUAbQBpAHMAcwBpAG8AbgBzAEYAcgBvAG0AUAB1AHIAYwBoAGEAcwBlAGQARgBlAHIAdABpAGwAaQBzAGUAcgBDAG8AbQBwAG8AbgBlAG4AdABzAF8ATgBJAFIAUgBlAGYAZQByAGUAbgBjAGUAIgAsACIAUwBjAG8AcABlADMAXwBFAHEAdQBhAHQAaQBvAG4AcwAuAFYARQBFAFIARwBfADEANQBfADQAXwAxAF8AMQBfAF8AMgBfAEUAbQBpAHMAcwBpAG8AbgBzAEYAcgBvAG0AUAB1AHIAYwBoAGEAcwBlAGQARgBlAHIAdABpAGwAaQBzAGUAcgBDAG8AbQBwAG8AbgBlAG4AdABzAF8ATABhAHQAZQB4AEUAcQB1AGEAdABpAG8AbgAiACwAIgBTAGMAbwBwAGUAMwBfAEUAcQB1AGEAdABpAG8AbgBzAC4AVgBFAEUAUgBHAF8AMQA1AF8ANABfADEAXwAxAF8AXwAyAF8ARQBtAGkAcwBzAGkAbwBuAHMARgByAG8AbQBQAHUAcgBjAGgAYQBzAGUAZABGAGUAcgB0AGkAbABpAHMAZQByAEMAbwBtAHAAbwBuAGUAbgB0AHMAXwBMAGEAdABlAHgARQBxAHUAYQB0AGkAbwBuAFYAYQByAGkAYQB0AGkAbwBuACIALAAiAFMAYwBvAHAAZQAzAF8ARQBxAHUAYQB0AGkAbwBuAHMALgBWAEUARQBSAEcAXwAxADUAXwA0AF8AMQBfADEAXwBfADIAXwBFAG0AaQBzAHMAaQBvAG4AcwBGAHIAbwBtAFAAdQByAGMAaABhAHMAZQBkAEYAZQByAHQAaQBsAGkAcwBlAHIAQwBvAG0AcABvAG4AZQBuAHQAcwBfAEEAcgBnAHUAbQBlAG4AdABzACIALAAiAFMAYwBvAHAAZQAzAF8ARQBxAHUAYQB0AGkAbwBuAHMALgBWAEUARQBSAEcAXwAxADUAXwA0AF8AMQBfADEAXwBfADIAXwBFAG0AaQBzAHMAaQBvAG4AcwBGAHIAbwBtAFAAdQByAGMAaABhAHMAZQBkAEYAZQByAHQAaQBsAGkAcwBlAHIAQwBvAG0AcABvAG4AZQBuAHQAcwBfAFYAYQByAGkAYQB0AGkAbwBuACIALAAiAFMAYwBvAHAAZQAzAF8ARQBxAHUAYQB0AGkAbwBuAHMALgBWAEUARQBSAEcAXwAxADUAXwA0AF8AMQBfADEAXwBfAFgAXwBFAG0AaQBzAHMAaQBvAG4ARgBhAGMAdABvAHIARgByAG8AbQBQAHUAcgBjAGgAYQBzAGUAZABGAGUAcgB0AGkAbABpAHMAZQByAEMAbwBtAHAAbwBuAGUAbgB0AHMAIgAsACIAUwBjAG8AcABlADMAXwBFAHEAdQBhAHQAaQBvAG4AcwAuAFYARQBFAFIARwBfADEANQBfADQAXwAxAF8AMQBfAF8AWABfAEUAbQBpAHMAcwBpAG8AbgBGAGEAYwB0AG8AcgBGAHIAbwBtAFAAdQByAGMAaABhAHMAZQBkAEYAZQByAHQAaQBsAGkAcwBlAHIAQwBvAG0AcABvAG4AZQBuAHQAcwBfAFQAaQB0AGwAZQAiACwAIgBTAGMAbwBwAGUAMwBfAEUAcQB1AGEAdABpAG8AbgBzAC4AVgBFAEUAUgBHAF8AMQA1AF8ANABfADEAXwAxAF8AXwBYAF8ARQBtAGkAcwBzAGkAbwBuAEYAYQBjAHQAbwByAEYAcgBvAG0AUAB1AHIAYwBoAGEAcwBlAGQARgBlAHIAdABpAGwAaQBzAGUAcgBDAG8AbQBwAG8AbgBlAG4AdABzAF8AVgBhAHIAaQBhAGIAbABlACIALAAiAFMAYwBvAHAAZQAzAF8ARQBxAHUAYQB0AGkAbwBuAHMALgBWAEUARQBSAEcAXwAxADUAXwA0AF8AMQBfADEAXwBfAFgAXwBFAG0AaQBzAHMAaQBvAG4ARgBhAGMAdABvAHIARgByAG8AbQBQAHUAcgBjAGgAYQBzAGUAZABGAGUAcgB0AGkAbABpAHMAZQByAEMAbwBtAHAAbwBuAGUAbgB0AHMAXwBVAG4AaQB0ACIALAAiAFMAYwBvAHAAZQAzAF8ARQBxAHUAYQB0AGkAbwBuAHMALgBWAEUARQBSAEcAXwAxADUAXwA0AF8AMQBfADEAXwBfAFgAXwBFAG0AaQBzAHMAaQBvAG4ARgBhAGMAdABvAHIARgByAG8AbQBQAHUAcgBjAGgAYQBzAGUAZABGAGUAcgB0AGkAbABpAHMAZQByAEMAbwBtAHAAbwBuAGUAbgB0AHMAXwBTAG8AdQByAGMAZQAiACwAIgBTAGMAbwBwAGUAMwBfAEUAcQB1AGEAdABpAG8AbgBzAC4AVgBFAEUAUgBHAF8AMQA1AF8ANABfADEAXwAxAF8AXwBYAF8ARQBtAGkAcwBzAGkAbwBuAEYAYQBjAHQAbwByAEYAcgBvAG0AUAB1AHIAYwBoAGEAcwBlAGQARgBlAHIAdABpAGwAaQBzAGUAcgBDAG8AbQBwAG8AbgBlAG4AdABzAF8ATgBJAFIAUgBlAGYAZQByAGUAbgBjAGUAIgAsACIAUwBjAG8AcABlADMAXwBFAHEAdQBhAHQAaQBvAG4AcwAuAFYARQBFAFIARwBfADEANQBfADQAXwAxAF8AMQBfAF8AWABfAEUAbQBpAHMAcwBpAG8AbgBGAGEAYwB0AG8AcgBGAHIAbwBtAFAAdQByAGMAaABhAHMAZQBkAEYAZQByAHQAaQBsAGkAcwBlAHIAQwBvAG0AcABvAG4AZQBuAHQAcwBfAEwAYQB0AGUAeABFAHEAdQBhAHQAaQBvAG4AIgAsACIAUwBjAG8AcABlADMAXwBFAHEAdQBhAHQAaQBvAG4AcwAuAFYARQBFAFIARwBfADEANQBfADQAXwAxAF8AMQBfAF8AWABfAEUAbQBpAHMAcwBpAG8AbgBGAGEAYwB0AG8AcgBGAHIAbwBtAFAAdQByAGMAaABhAHMAZQBkAEYAZQByAHQAaQBsAGkAcwBlAHIAQwBvAG0AcABvAG4AZQBuAHQAcwBfAEEAcgBnAHUAbQBlAG4AdABzACIALAAiAFMAYwBvAHAAZQAzAF8ARQBxAHUAYQB0AGkAbwBuAHMALgBWAEUARQBSAEcAXwAxADUAXwA0AF8AMQBfADEAXwBfAFgAXwBFAG0AaQBzAHMAaQBvAG4ARgBhAGMAdABvAHIARgByAG8AbQBQAHUAcgBjAGgAYQBzAGUAZABGAGUAcgB0AGkAbABpAHMAZQByAEMAbwBtAHAAbwBuAGUAbgB0AHMAXwBWAGEAcgBpAGEAdABpAG8AbgAiACwAIgBTAGMAbwBwAGUAMwBfAEUAcQB1AGEAdABpAG8AbgBzAC4AVgBFAEUAUgBHAF8AMQA1AF8ANQBfADEAXwAxAF8AXwAxAF8ARQBtAGkAcwBzAGkAbwBuAHMARgByAG8AbQBQAHUAcgBjAGgAYQBzAGUAZABBAGcAcgBpAGMAaABlAG0AaQBjAGEAbABzACIALAAiAFMAYwBvAHAAZQAzAF8ARQBxAHUAYQB0AGkAbwBuAHMALgBWAEUARQBSAEcAXwAxADUAXwA1AF8AMQBfADEAXwBfADEAXwBFAG0AaQBzAHMAaQBvAG4AcwBGAHIAbwBtAFAAdQByAGMAaABhAHMAZQBkAEEAZwByAGkAYwBoAGUAbQBpAGMAYQBsAHMAXwBUAGkAdABsAGUAIgAsACIAUwBjAG8AcABlADMAXwBFAHEAdQBhAHQAaQBvAG4AcwAuAFYARQBFAFIARwBfADEANQBfADUAXwAxAF8AMQBfAF8AMQBfAEUAbQBpAHMAcwBpAG8AbgBzAEYAcgBvAG0AUAB1AHIAYwBoAGEAcwBlAGQAQQBnAHIAaQBjAGgAZQBtAGkAYwBhAGwAcwBfAFYAYQByAGkAYQBiAGwAZQAiACwAIgBTAGMAbwBwAGUAMwBfAEUAcQB1AGEAdABpAG8AbgBzAC4AVgBFAEUAUgBHAF8AMQA1AF8ANQBfADEAXwAxAF8AXwAxAF8ARQBtAGkAcwBzAGkAbwBuAHMARgByAG8AbQBQAHUAcgBjAGgAYQBzAGUAZABBAGcAcgBpAGMAaABlAG0AaQBjAGEAbABzAF8AVQBuAGkAdAAiACwAIgBTAGMAbwBwAGUAMwBfAEUAcQB1AGEAdABpAG8AbgBzAC4AVgBFAEUAUgBHAF8AMQA1AF8ANQBfADEAXwAxAF8AXwAxAF8ARQBtAGkAcwBzAGkAbwBuAHMARgByAG8AbQBQAHUAcgBjAGgAYQBzAGUAZABBAGcAcgBpAGMAaABlAG0AaQBjAGEAbABzAF8AUwBvAHUAcgBjAGUAIgAsACIAUwBjAG8AcABlADMAXwBFAHEAdQBhAHQAaQBvAG4AcwAuAFYARQBFAFIARwBfADEANQBfADUAXwAxAF8AMQBfAF8AMQBfAEUAbQBpAHMAcwBpAG8AbgBzAEYAcgBvAG0AUAB1AHIAYwBoAGEAcwBlAGQAQQBnAHIAaQBjAGgAZQBtAGkAYwBhAGwAcwBfAE4ASQBSAFIAZQBmAGUAcgBlAG4AYwBlACIALAAiAFMAYwBvAHAAZQAzAF8ARQBxAHUAYQB0AGkAbwBuAHMALgBWAEUARQBSAEcAXwAxADUAXwA1AF8AMQBfADEAXwBfADEAXwBFAG0AaQBzAHMAaQBvAG4AcwBGAHIAbwBtAFAAdQByAGMAaABhAHMAZQBkAEEAZwByAGkAYwBoAGUAbQBpAGMAYQBsAHMAXwBMAGEAdABlAHgARQBxAHUAYQB0AGkAbwBuACIALAAiAFMAYwBvAHAAZQAzAF8ARQBxAHUAYQB0AGkAbwBuAHMALgBWAEUARQBSAEcAXwAxADUAXwA1AF8AMQBfADEAXwBfADEAXwBFAG0AaQBzAHMAaQBvAG4AcwBGAHIAbwBtAFAAdQByAGMAaABhAHMAZQBkAEEAZwByAGkAYwBoAGUAbQBpAGMAYQBsAHMAXwBBAHIAZwB1AG0AZQBuAHQAcwAiACwAIgBTAGMAbwBwAGUAMwBfAEUAcQB1AGEAdABpAG8AbgBzAC4AVgBFAEUAUgBHAF8AMQA1AF8ANgBfADEAXwAxAF8AXwAxAF8ARQBtAGkAcwBzAGkAbwBuAHMARgByAG8AbQBQAHUAcgBjAGgAYQBzAGUAZABMAGkAbQBlACIALAAiAFMAYwBvAHAAZQAzAF8ARQBxAHUAYQB0AGkAbwBuAHMALgBWAEUARQBSAEcAXwAxADUAXwA2AF8AMQBfADEAXwBfADEAXwBFAG0AaQBzAHMAaQBvAG4AcwBGAHIAbwBtAFAAdQByAGMAaABhAHMAZQBkAEwAaQBtAGUAXwBUAGkAdABsAGUAIgAsACIAUwBjAG8AcABlADMAXwBFAHEAdQBhAHQAaQBvAG4AcwAuAFYARQBFAFIARwBfADEANQBfADYAXwAxAF8AMQBfAF8AMQBfAEUAbQBpAHMAcwBpAG8AbgBzAEYAcgBvAG0AUAB1AHIAYwBoAGEAcwBlAGQATABpAG0AZQBfAFYAYQByAGkAYQBiAGwAZQAiACwAIgBTAGMAbwBwAGUAMwBfAEUAcQB1AGEAdABpAG8AbgBzAC4AVgBFAEUAUgBHAF8AMQA1AF8ANgBfADEAXwAxAF8AXwAxAF8ARQBtAGkAcwBzAGkAbwBuAHMARgByAG8AbQBQAHUAcgBjAGgAYQBzAGUAZABMAGkAbQBlAF8AVQBuAGkAdAAiACwAIgBTAGMAbwBwAGUAMwBfAEUAcQB1AGEAdABpAG8AbgBzAC4AVgBFAEUAUgBHAF8AMQA1AF8ANgBfADEAXwAxAF8AXwAxAF8ARQBtAGkAcwBzAGkAbwBuAHMARgByAG8AbQBQAHUAcgBjAGgAYQBzAGUAZABMAGkAbQBlAF8AUwBvAHUAcgBjAGUAIgAsACIAUwBjAG8AcABlADMAXwBFAHEAdQBhAHQAaQBvAG4AcwAuAFYARQBFAFIARwBfADEANQBfADYAXwAxAF8AMQBfAF8AMQBfAEUAbQBpAHMAcwBpAG8AbgBzAEYAcgBvAG0AUAB1AHIAYwBoAGEAcwBlAGQATABpAG0AZQBfAE4ASQBSAFIAZQBmAGUAcgBlAG4AYwBlACIALAAiAFMAYwBvAHAAZQAzAF8ARQBxAHUAYQB0AGkAbwBuAHMALgBWAEUARQBSAEcAXwAxADUAXwA2AF8AMQBfADEAXwBfADEAXwBFAG0AaQBzAHMAaQBvAG4AcwBGAHIAbwBtAFAAdQByAGMAaABhAHMAZQBkAEwAaQBtAGUAXwBMAGEAdABlAHgARQBxAHUAYQB0AGkAbwBuACIALAAiAFMAYwBvAHAAZQAzAF8ARQBxAHUAYQB0AGkAbwBuAHMALgBWAEUARQBSAEcAXwAxADUAXwA2AF8AMQBfADEAXwBfADEAXwBFAG0AaQBzAHMAaQBvAG4AcwBGAHIAbwBtAFAAdQByAGMAaABhAHMAZQBkAEwAaQBtAGUAXwBBAHIAZwB1AG0AZQBuAHQAcwAiACwAIgBTAGMAbwBwAGUAMwBfAEUAcQB1AGEAdABpAG8AbgBzAC4AVgBFAEUAUgBHAF8AMQA1AF8ANwBfADEAXwAxAF8AXwAxAF8ARQBtAGkAcwBzAGkAbwBuAHMARgByAG8AbQBQAHUAcgBjAGgAYQBzAGUAZABTAGUAcgB2AGkAYwBlAHMAIgAsACIAUwBjAG8AcABlADMAXwBFAHEAdQBhAHQAaQBvAG4AcwAuAFYARQBFAFIARwBfADEANQBfADcAXwAxAF8AMQBfAF8AMQBfAEUAbQBpAHMAcwBpAG8AbgBzAEYAcgBvAG0AUAB1AHIAYwBoAGEAcwBlAGQAUwBlAHIAdgBpAGMAZQBzAF8AVABpAHQAbABlACIALAAiAFMAYwBvAHAAZQAzAF8ARQBxAHUAYQB0AGkAbwBuAHMALgBWAEUARQBSAEcAXwAxADUAXwA3AF8AMQBfADEAXwBfADEAXwBFAG0AaQBzAHMAaQBvAG4AcwBGAHIAbwBtAFAAdQByAGMAaABhAHMAZQBkAFMAZQByAHYAaQBjAGUAcwBfAFYAYQByAGkAYQBiAGwAZQAiACwAIgBTAGMAbwBwAGUAMwBfAEUAcQB1AGEAdABpAG8AbgBzAC4AVgBFAEUAUgBHAF8AMQA1AF8ANwBfADEAXwAxAF8AXwAxAF8ARQBtAGkAcwBzAGkAbwBuAHMARgByAG8AbQBQAHUAcgBjAGgAYQBzAGUAZABTAGUAcgB2AGkAYwBlAHMAXwBVAG4AaQB0ACIALAAiAFMAYwBvAHAAZQAzAF8ARQBxAHUAYQB0AGkAbwBuAHMALgBWAEUARQBSAEcAXwAxADUAXwA3AF8AMQBfADEAXwBfADEAXwBFAG0AaQBzAHMAaQBvAG4AcwBGAHIAbwBtAFAAdQByAGMAaABhAHMAZQBkAFMAZQByAHYAaQBjAGUAcwBfAFMAbwB1AHIAYwBlACIALAAiAFMAYwBvAHAAZQAzAF8ARQBxAHUAYQB0AGkAbwBuAHMALgBWAEUARQBSAEcAXwAxADUAXwA3AF8AMQBfADEAXwBfADEAXwBFAG0AaQBzAHMAaQBvAG4AcwBGAHIAbwBtAFAAdQByAGMAaABhAHMAZQBkAFMAZQByAHYAaQBjAGUAcwBfAE4ASQBSAFIAZQBmAGUAcgBlAG4AYwBlACIALAAiAFMAYwBvAHAAZQAzAF8ARQBxAHUAYQB0AGkAbwBuAHMALgBWAEUARQBSAEcAXwAxADUAXwA3AF8AMQBfADEAXwBfADEAXwBFAG0AaQBzAHMAaQBvAG4AcwBGAHIAbwBtAFAAdQByAGMAaABhAHMAZQBkAFMAZQByAHYAaQBjAGUAcwBfAEwAYQB0AGUAeABFAHEAdQBhAHQAaQBvAG4AIgAsACIAUwBjAG8AcABlADMAXwBFAHEAdQBhAHQAaQBvAG4AcwAuAFYARQBFAFIARwBfADEANQBfADcAXwAxAF8AMQBfAF8AMQBfAEUAbQBpAHMAcwBpAG8AbgBzAEYAcgBvAG0AUAB1AHIAYwBoAGEAcwBlAGQAUwBlAHIAdgBpAGMAZQBzAF8AQQByAGcAdQBtAGUAbgB0AHMAIgAsACIAUwBjAG8AcABlADMAXwBFAHEAdQBhAHQAaQBvAG4AcwAuAFYARQBFAFIARwBfADEANQBfADgAXwAxAF8AMQBfAF8AMQBfAEUAbQBpAHMAcwBpAG8AbgBzAEYAcgBvAG0AUAB1AHIAYwBoAGEAcwBlAGQAUABhAGMAawBhAGcAaQBuAGcAIgAsACIAUwBjAG8AcABlADMAXwBFAHEAdQBhAHQAaQBvAG4AcwAuAFYARQBFAFIARwBfADEANQBfADgAXwAxAF8AMQBfAF8AMQBfAEUAbQBpAHMAcwBpAG8AbgBzAEYAcgBvAG0AUAB1AHIAYwBoAGEAcwBlAGQAUABhAGMAawBhAGcAaQBuAGcAXwBUAGkAdABsAGUAIgAsACIAUwBjAG8AcABlADMAXwBFAHEAdQBhAHQAaQBvAG4AcwAuAFYARQBFAFIARwBfADEANQBfADgAXwAxAF8AMQBfAF8AMQBfAEUAbQBpAHMAcwBpAG8AbgBzAEYAcgBvAG0AUAB1AHIAYwBoAGEAcwBlAGQAUABhAGMAawBhAGcAaQBuAGcAXwBWAGEAcgBpAGEAYgBsAGUAIgAsACIAUwBjAG8AcABlADMAXwBFAHEAdQBhAHQAaQBvAG4AcwAuAFYARQBFAFIARwBfADEANQBfADgAXwAxAF8AMQBfAF8AMQBfAEUAbQBpAHMAcwBpAG8AbgBzAEYAcgBvAG0AUAB1AHIAYwBoAGEAcwBlAGQAUABhAGMAawBhAGcAaQBuAGcAXwBVAG4AaQB0ACIALAAiAFMAYwBvAHAAZQAzAF8ARQBxAHUAYQB0AGkAbwBuAHMALgBWAEUARQBSAEcAXwAxADUAXwA4AF8AMQBfADEAXwBfADEAXwBFAG0AaQBzAHMAaQBvAG4AcwBGAHIAbwBtAFAAdQByAGMAaABhAHMAZQBkAFAAYQBjAGsAYQBnAGkAbgBnAF8AUwBvAHUAcgBjAGUAIgAsACIAUwBjAG8AcABlADMAXwBFAHEAdQBhAHQAaQBvAG4AcwAuAFYARQBFAFIARwBfADEANQBfADgAXwAxAF8AMQBfAF8AMQBfAEUAbQBpAHMAcwBpAG8AbgBzAEYAcgBvAG0AUAB1AHIAYwBoAGEAcwBlAGQAUABhAGMAawBhAGcAaQBuAGcAXwBOAEkAUgBSAGUAZgBlAHIAZQBuAGMAZQAiACwAIgBTAGMAbwBwAGUAMwBfAEUAcQB1AGEAdABpAG8AbgBzAC4AVgBFAEUAUgBHAF8AMQA1AF8AOABfADEAXwAxAF8AXwAxAF8ARQBtAGkAcwBzAGkAbwBuAHMARgByAG8AbQBQAHUAcgBjAGgAYQBzAGUAZABQAGEAYwBrAGEAZwBpAG4AZwBfAEwAYQB0AGUAeABFAHEAdQBhAHQAaQBvAG4AIgAsACIAUwBjAG8AcABlADMAXwBFAHEAdQBhAHQAaQBvAG4AcwAuAFYARQBFAFIARwBfADEANQBfADgAXwAxAF8AMQBfAF8AMQBfAEUAbQBpAHMAcwBpAG8AbgBzAEYAcgBvAG0AUAB1AHIAYwBoAGEAcwBlAGQAUABhAGMAawBhAGcAaQBuAGcAXwBBAHIAZwB1AG0AZQBuAHQAcwAiACwAIgBTAGMAbwBwAGUAMwBfAEUAcQB1AGEAdABpAG8AbgBzAC4AVgBFAEUAUgBHAF8AMQA1AF8AOABfADEAXwAxAF8AXwAxAF8ARQBtAGkAcwBzAGkAbwBuAHMARgByAG8AbQBQAHUAcgBjAGgAYQBzAGUAZABQAGEAYwBrAGEAZwBpAG4AZwBfAFYAYQByAGkAYQB0AGkAbwBuACIALAAiAFMAYwBvAHAAZQAzAF8ARQBxAHUAYQB0AGkAbwBuAHMALgBWAEUARQBSAEcAXwAxADUAXwA5AF8AMQBfADEAXwBfADEAXwBFAG0AaQBzAHMAaQBvAG4AcwBGAHIAbwBtAFAAdQByAGMAaABhAHMAZQBkAEcAcgBvAHcATQBlAGQAaQBhACIALAAiAFMAYwBvAHAAZQAzAF8ARQBxAHUAYQB0AGkAbwBuAHMALgBWAEUARQBSAEcAXwAxADUAXwA5AF8AMQBfADEAXwBfADEAXwBFAG0AaQBzAHMAaQBvAG4AcwBGAHIAbwBtAFAAdQByAGMAaABhAHMAZQBkAEcAcgBvAHcATQBlAGQAaQBhAF8AVABpAHQAbABlACIALAAiAFMAYwBvAHAAZQAzAF8ARQBxAHUAYQB0AGkAbwBuAHMALgBWAEUARQBSAEcAXwAxADUAXwA5AF8AMQBfADEAXwBfADEAXwBFAG0AaQBzAHMAaQBvAG4AcwBGAHIAbwBtAFAAdQByAGMAaABhAHMAZQBkAEcAcgBvAHcATQBlAGQAaQBhAF8AVgBhAHIAaQBhAGIAbABlACIALAAiAFMAYwBvAHAAZQAzAF8ARQBxAHUAYQB0AGkAbwBuAHMALgBWAEUARQBSAEcAXwAxADUAXwA5AF8AMQBfADEAXwBfADEAXwBFAG0AaQBzAHMAaQBvAG4AcwBGAHIAbwBtAFAAdQByAGMAaABhAHMAZQBkAEcAcgBvAHcATQBlAGQAaQBhAF8AVQBuAGkAdAAiACwAIgBTAGMAbwBwAGUAMwBfAEUAcQB1AGEAdABpAG8AbgBzAC4AVgBFAEUAUgBHAF8AMQA1AF8AOQBfADEAXwAxAF8AXwAxAF8ARQBtAGkAcwBzAGkAbwBuAHMARgByAG8AbQBQAHUAcgBjAGgAYQBzAGUAZABHAHIAbwB3AE0AZQBkAGkAYQBfAFMAbwB1AHIAYwBlACIALAAiAFMAYwBvAHAAZQAzAF8ARQBxAHUAYQB0AGkAbwBuAHMALgBWAEUARQBSAEcAXwAxADUAXwA5AF8AMQBfADEAXwBfADEAXwBFAG0AaQBzAHMAaQBvAG4AcwBGAHIAbwBtAFAAdQByAGMAaABhAHMAZQBkAEcAcgBvAHcATQBlAGQAaQBhAF8ATgBJAFIAUgBlAGYAZQByAGUAbgBjAGUAIgAsACIAUwBjAG8AcABlADMAXwBFAHEAdQBhAHQAaQBvAG4AcwAuAFYARQBFAFIARwBfADEANQBfADkAXwAxAF8AMQBfAF8AMQBfAEUAbQBpAHMAcwBpAG8AbgBzAEYAcgBvAG0AUAB1AHIAYwBoAGEAcwBlAGQARwByAG8AdwBNAGUAZABpAGEAXwBMAGEAdABlAHgARQBxAHUAYQB0AGkAbwBuACIALAAiAFMAYwBvAHAAZQAzAF8ARQBxAHUAYQB0AGkAbwBuAHMALgBWAEUARQBSAEcAXwAxADUAXwA5AF8AMQBfADEAXwBfADEAXwBFAG0AaQBzAHMAaQBvAG4AcwBGAHIAbwBtAFAAdQByAGMAaABhAHMAZQBkAEcAcgBvAHcATQBlAGQAaQBhAF8AQQByAGcAdQBtAGUAbgB0AHMAIgAsACIAUwBjAG8AcABlADMAXwBFAHEAdQBhAHQAaQBvAG4AcwAuAFYARQBFAFIARwBfADEANQBfADEAMABfADEAXwAxAF8AXwAxAF8ATwB0AGgAZQByAFAAdQByAGMAaABhAHMAZQBkAEcAbwBvAGQAcwBBAG4AZABTAGUAcgB2AGkAYwBlAHMAIgAsACIAUwBjAG8AcABlADMAXwBFAHEAdQBhAHQAaQBvAG4AcwAuAFYARQBFAFIARwBfADEANQBfADEAMABfADEAXwAxAF8AXwAxAF8ATwB0AGgAZQByAFAAdQByAGMAaABhAHMAZQBkAEcAbwBvAGQAcwBBAG4AZABTAGUAcgB2AGkAYwBlAHMAXwBUAGkAdABsAGUAIgAsACIAUwBjAG8AcABlADMAXwBFAHEAdQBhAHQAaQBvAG4AcwAuAFYARQBFAFIARwBfADEANQBfADEAMABfADEAXwAxAF8AXwAxAF8ATwB0AGgAZQByAFAAdQByAGMAaABhAHMAZQBkAEcAbwBvAGQAcwBBAG4AZABTAGUAcgB2AGkAYwBlAHMAXwBWAGEAcgBpAGEAYgBsAGUAIgAsACIAUwBjAG8AcABlADMAXwBFAHEAdQBhAHQAaQBvAG4AcwAuAFYARQBFAFIARwBfADEANQBfADEAMABfADEAXwAxAF8AXwAxAF8ATwB0AGgAZQByAFAAdQByAGMAaABhAHMAZQBkAEcAbwBvAGQAcwBBAG4AZABTAGUAcgB2AGkAYwBlAHMAXwBVAG4AaQB0ACIALAAiAFMAYwBvAHAAZQAzAF8ARQBxAHUAYQB0AGkAbwBuAHMALgBWAEUARQBSAEcAXwAxADUAXwAxADAAXwAxAF8AMQBfAF8AMQBfAE8AdABoAGUAcgBQAHUAcgBjAGgAYQBzAGUAZABHAG8AbwBkAHMAQQBuAGQAUwBlAHIAdgBpAGMAZQBzAF8AUwBvAHUAcgBjAGUAIgAsACIAUwBjAG8AcABlADMAXwBFAHEAdQBhAHQAaQBvAG4AcwAuAFYARQBFAFIARwBfADEANQBfADEAMABfADEAXwAxAF8AXwAxAF8ATwB0AGgAZQByAFAAdQByAGMAaABhAHMAZQBkAEcAbwBvAGQAcwBBAG4AZABTAGUAcgB2AGkAYwBlAHMAXwBOAEkAUgBSAGUAZgBlAHIAZQBuAGMAZQAiACwAIgBTAGMAbwBwAGUAMwBfAEUAcQB1AGEAdABpAG8AbgBzAC4AVgBFAEUAUgBHAF8AMQA1AF8AMQAwAF8AMQBfADEAXwBfADEAXwBPAHQAaABlAHIAUAB1AHIAYwBoAGEAcwBlAGQARwBvAG8AZABzAEEAbgBkAFMAZQByAHYAaQBjAGUAcwBfAEwAYQB0AGUAeABFAHEAdQBhAHQAaQBvAG4AIgAsACIAUwBjAG8AcABlADMAXwBFAHEAdQBhAHQAaQBvAG4AcwAuAFYARQBFAFIARwBfADEANQBfADEAMABfADEAXwAxAF8AXwAxAF8ATwB0AGgAZQByAFAAdQByAGMAaABhAHMAZQBkAEcAbwBvAGQAcwBBAG4AZABTAGUAcgB2AGkAYwBlAHMAXwBBAHIAZwB1AG0AZQBuAHQAcwAiACwAIgBTAGMAbwBwAGUAMwBfAEUAcQB1AGEAdABpAG8AbgBzAC4AVgBFAEUAUgBHAF8AMQA1AF8AMQAxAF8AMQBfADEAXwBfADEAXwBUAG8AdABhAGwAVQBwAHMAdAByAGUAYQBtAEUAbQBpAHMAcwBpAG8AbgBzAEYAcgBvAG0ARgB1AGUAbAAiACwAIgBTAGMAbwBwAGUAMwBfAEUAcQB1AGEAdABpAG8AbgBzAC4AVgBFAEUAUgBHAF8AMQA1AF8AMQAxAF8AMQBfADEAXwBfADEAXwBUAG8AdABhAGwAVQBwAHMAdAByAGUAYQBtAEUAbQBpAHMAcwBpAG8AbgBzAEYAcgBvAG0ARgB1AGUAbABfAFQAaQB0AGwAZQAiACwAIgBTAGMAbwBwAGUAMwBfAEUAcQB1AGEAdABpAG8AbgBzAC4AVgBFAEUAUgBHAF8AMQA1AF8AMQAxAF8AMQBfADEAXwBfADEAXwBUAG8AdABhAGwAVQBwAHMAdAByAGUAYQBtAEUAbQBpAHMAcwBpAG8AbgBzAEYAcgBvAG0ARgB1AGUAbABfAFYAYQByAGkAYQBiAGwAZQAiACwAIgBTAGMAbwBwAGUAMwBfAEUAcQB1AGEAdABpAG8AbgBzAC4AVgBFAEUAUgBHAF8AMQA1AF8AMQAxAF8AMQBfADEAXwBfADEAXwBUAG8AdABhAGwAVQBwAHMAdAByAGUAYQBtAEUAbQBpAHMAcwBpAG8AbgBzAEYAcgBvAG0ARgB1AGUAbABfAFUAbgBpAHQAIgAsACIAUwBjAG8AcABlADMAXwBFAHEAdQBhAHQAaQBvAG4AcwAuAFYARQBFAFIARwBfADEANQBfADEAMQBfADEAXwAxAF8AXwAxAF8AVABvAHQAYQBsAFUAcABzAHQAcgBlAGEAbQBFAG0AaQBzAHMAaQBvAG4AcwBGAHIAbwBtAEYAdQBlAGwAXwBTAG8AdQByAGMAZQAiACwAIgBTAGMAbwBwAGUAMwBfAEUAcQB1AGEAdABpAG8AbgBzAC4AVgBFAEUAUgBHAF8AMQA1AF8AMQAxAF8AMQBfADEAXwBfADEAXwBUAG8AdABhAGwAVQBwAHMAdAByAGUAYQBtAEUAbQBpAHMAcwBpAG8AbgBzAEYAcgBvAG0ARgB1AGUAbABfAE4ASQBSAFIAZQBmAGUAcgBlAG4AYwBlACIALAAiAFMAYwBvAHAAZQAzAF8ARQBxAHUAYQB0AGkAbwBuAHMALgBWAEUARQBSAEcAXwAxADUAXwAxADEAXwAxAF8AMQBfAF8AMQBfAFQAbwB0AGEAbABVAHAAcwB0AHIAZQBhAG0ARQBtAGkAcwBzAGkAbwBuAHMARgByAG8AbQBGAHUAZQBsAF8ATABhAHQAZQB4AEUAcQB1AGEAdABpAG8AbgAiACwAIgBTAGMAbwBwAGUAMwBfAEUAcQB1AGEAdABpAG8AbgBzAC4AVgBFAEUAUgBHAF8AMQA1AF8AMQAxAF8AMQBfADEAXwBfADEAXwBUAG8AdABhAGwAVQBwAHMAdAByAGUAYQBtAEUAbQBpAHMAcwBpAG8AbgBzAEYAcgBvAG0ARgB1AGUAbABfAEEAcgBnAHUAbQBlAG4AdABzACIALAAiAFMAYwBvAHAAZQAzAF8ARQBxAHUAYQB0AGkAbwBuAHMALgBWAEUARQBSAEcAXwAxADUAXwAxADEAXwAxAF8AMQBfAF8AMgBfAFUAcABzAHQAcgBlAGEAbQBUAHIAYQBuAHMAcABvAHIAdABGAHUAZQBsAEUAbQBpAHMAcwBpAG8AbgBzACIALAAiAFMAYwBvAHAAZQAzAF8ARQBxAHUAYQB0AGkAbwBuAHMALgBWAEUARQBSAEcAXwAxADUAXwAxADEAXwAxAF8AMQBfAF8AMgBfAFUAcABzAHQAcgBlAGEAbQBUAHIAYQBuAHMAcABvAHIAdABGAHUAZQBsAEUAbQBpAHMAcwBpAG8AbgBzAF8AVABpAHQAbABlACIALAAiAFMAYwBvAHAAZQAzAF8ARQBxAHUAYQB0AGkAbwBuAHMALgBWAEUARQBSAEcAXwAxADUAXwAxADEAXwAxAF8AMQBfAF8AMgBfAFUAcABzAHQAcgBlAGEAbQBUAHIAYQBuAHMAcABvAHIAdABGAHUAZQBsAEUAbQBpAHMAcwBpAG8AbgBzAF8AVgBhAHIAaQBhAGIAbABlACIALAAiAFMAYwBvAHAAZQAzAF8ARQBxAHUAYQB0AGkAbwBuAHMALgBWAEUARQBSAEcAXwAxADUAXwAxADEAXwAxAF8AMQBfAF8AMgBfAFUAcABzAHQAcgBlAGEAbQBUAHIAYQBuAHMAcABvAHIAdABGAHUAZQBsAEUAbQBpAHMAcwBpAG8AbgBzAF8AVQBuAGkAdAAiACwAIgBTAGMAbwBwAGUAMwBfAEUAcQB1AGEAdABpAG8AbgBzAC4AVgBFAEUAUgBHAF8AMQA1AF8AMQAxAF8AMQBfADEAXwBfADIAXwBVAHAAcwB0AHIAZQBhAG0AVAByAGEAbgBzAHAAbwByAHQARgB1AGUAbABFAG0AaQBzAHMAaQBvAG4AcwBfAFMAbwB1AHIAYwBlACIALAAiAFMAYwBvAHAAZQAzAF8ARQBxAHUAYQB0AGkAbwBuAHMALgBWAEUARQBSAEcAXwAxADUAXwAxADEAXwAxAF8AMQBfAF8AMgBfAFUAcABzAHQAcgBlAGEAbQBUAHIAYQBuAHMAcABvAHIAdABGAHUAZQBsAEUAbQBpAHMAcwBpAG8AbgBzAF8ATgBJAFIAUgBlAGYAZQByAGUAbgBjAGUAIgAsACIAUwBjAG8AcABlADMAXwBFAHEAdQBhAHQAaQBvAG4AcwAuAFYARQBFAFIARwBfADEANQBfADEAMQBfADEAXwAxAF8AXwAyAF8AVQBwAHMAdAByAGUAYQBtAFQAcgBhAG4AcwBwAG8AcgB0AEYAdQBlAGwARQBtAGkAcwBzAGkAbwBuAHMAXwBMAGEAdABlAHgARQBxAHUAYQB0AGkAbwBuACIALAAiAFMAYwBvAHAAZQAzAF8ARQBxAHUAYQB0AGkAbwBuAHMALgBWAEUARQBSAEcAXwAxADUAXwAxADEAXwAxAF8AMQBfAF8AMgBfAFUAcABzAHQAcgBlAGEAbQBUAHIAYQBuAHMAcABvAHIAdABGAHUAZQBsAEUAbQBpAHMAcwBpAG8AbgBzAF8AQQByAGcAdQBtAGUAbgB0AHMAIgAsACIAUwBjAG8AcABlADMAXwBFAHEAdQBhAHQAaQBvAG4AcwAuAFYARQBFAFIARwBfADEANQBfADEAMQBfADEAXwAxAF8AXwAzAF8AVQBwAHMAdAByAGUAYQBtAFMAdABhAHQAaQBvAG4AYQByAHkARgB1AGUAbABFAG0AaQBzAHMAaQBvAG4AcwAiACwAIgBTAGMAbwBwAGUAMwBfAEUAcQB1AGEAdABpAG8AbgBzAC4AVgBFAEUAUgBHAF8AMQA1AF8AMQAxAF8AMQBfADEAXwBfADMAXwBVAHAAcwB0AHIAZQBhAG0AUwB0AGEAdABpAG8AbgBhAHIAeQBGAHUAZQBsAEUAbQBpAHMAcwBpAG8AbgBzAF8AVABpAHQAbABlACIALAAiAFMAYwBvAHAAZQAzAF8ARQBxAHUAYQB0AGkAbwBuAHMALgBWAEUARQBSAEcAXwAxADUAXwAxADEAXwAxAF8AMQBfAF8AMwBfAFUAcABzAHQAcgBlAGEAbQBTAHQAYQB0AGkAbwBuAGEAcgB5AEYAdQBlAGwARQBtAGkAcwBzAGkAbwBuAHMAXwBWAGEAcgBpAGEAYgBsAGUAIgAsACIAUwBjAG8AcABlADMAXwBFAHEAdQBhAHQAaQBvAG4AcwAuAFYARQBFAFIARwBfADEANQBfADEAMQBfADEAXwAxAF8AXwAzAF8AVQBwAHMAdAByAGUAYQBtAFMAdABhAHQAaQBvAG4AYQByAHkARgB1AGUAbABFAG0AaQBzAHMAaQBvAG4AcwBfAFUAbgBpAHQAIgAsACIAUwBjAG8AcABlADMAXwBFAHEAdQBhAHQAaQBvAG4AcwAuAFYARQBFAFIARwBfADEANQBfADEAMQBfADEAXwAxAF8AXwAzAF8AVQBwAHMAdAByAGUAYQBtAFMAdABhAHQAaQBvAG4AYQByAHkARgB1AGUAbABFAG0AaQBzAHMAaQBvAG4AcwBfAFMAbwB1AHIAYwBlACIALAAiAFMAYwBvAHAAZQAzAF8ARQBxAHUAYQB0AGkAbwBuAHMALgBWAEUARQBSAEcAXwAxADUAXwAxADEAXwAxAF8AMQBfAF8AMwBfAFUAcABzAHQAcgBlAGEAbQBTAHQAYQB0AGkAbwBuAGEAcgB5AEYAdQBlAGwARQBtAGkAcwBzAGkAbwBuAHMAXwBOAEkAUgBSAGUAZgBlAHIAZQBuAGMAZQAiACwAIgBTAGMAbwBwAGUAMwBfAEUAcQB1AGEAdABpAG8AbgBzAC4AVgBFAEUAUgBHAF8AMQA1AF8AMQAxAF8AMQBfADEAXwBfADMAXwBVAHAAcwB0AHIAZQBhAG0AUwB0AGEAdABpAG8AbgBhAHIAeQBGAHUAZQBsAEUAbQBpAHMAcwBpAG8AbgBzAF8ATABhAHQAZQB4AEUAcQB1AGEAdABpAG8AbgAiACwAIgBTAGMAbwBwAGUAMwBfAEUAcQB1AGEAdABpAG8AbgBzAC4AVgBFAEUAUgBHAF8AMQA1AF8AMQAxAF8AMQBfADEAXwBfADMAXwBVAHAAcwB0AHIAZQBhAG0AUwB0AGEAdABpAG8AbgBhAHIAeQBGAHUAZQBsAEUAbQBpAHMAcwBpAG8AbgBzAF8AQQByAGcAdQBtAGUAbgB0AHMAIgAsACIAUwBjAG8AcABlADMAXwBFAHEAdQBhAHQAaQBvAG4AcwAuAFYARQBFAFIARwBfADEANQBfADEAMgBfADEAXwAxAF8AXwAxAF8AVQBwAHMAdAByAGUAYQBtAFAAdQByAGMAaABhAHMAZQBkAEUAbABlAGMAdAByAGkAYwBpAHQAeQBMAG8AYwBhAHQAaQBvAG4AQgBhAHMAZQBkACIALAAiAFMAYwBvAHAAZQAzAF8ARQBxAHUAYQB0AGkAbwBuAHMALgBWAEUARQBSAEcAXwAxADUAXwAxADIAXwAxAF8AMQBfAF8AMQBfAFUAcABzAHQAcgBlAGEAbQBQAHUAcgBjAGgAYQBzAGUAZABFAGwAZQBjAHQAcgBpAGMAaQB0AHkATABvAGMAYQB0AGkAbwBuAEIAYQBzAGUAZABfAFQAaQB0AGwAZQAiACwAIgBTAGMAbwBwAGUAMwBfAEUAcQB1AGEAdABpAG8AbgBzAC4AVgBFAEUAUgBHAF8AMQA1AF8AMQAyAF8AMQBfADEAXwBfADEAXwBVAHAAcwB0AHIAZQBhAG0AUAB1AHIAYwBoAGEAcwBlAGQARQBsAGUAYwB0AHIAaQBjAGkAdAB5AEwAbwBjAGEAdABpAG8AbgBCAGEAcwBlAGQAXwBWAGEAcgBpAGEAYgBsAGUAIgAsACIAUwBjAG8AcABlADMAXwBFAHEAdQBhAHQAaQBvAG4AcwAuAFYARQBFAFIARwBfADEANQBfADEAMgBfADEAXwAxAF8AXwAxAF8AVQBwAHMAdAByAGUAYQBtAFAAdQByAGMAaABhAHMAZQBkAEUAbABlAGMAdAByAGkAYwBpAHQAeQBMAG8AYwBhAHQAaQBvAG4AQgBhAHMAZQBkAF8AVQBuAGkAdAAiACwAIgBTAGMAbwBwAGUAMwBfAEUAcQB1AGEAdABpAG8AbgBzAC4AVgBFAEUAUgBHAF8AMQA1AF8AMQAyAF8AMQBfADEAXwBfADEAXwBVAHAAcwB0AHIAZQBhAG0AUAB1AHIAYwBoAGEAcwBlAGQARQBsAGUAYwB0AHIAaQBjAGkAdAB5AEwAbwBjAGEAdABpAG8AbgBCAGEAcwBlAGQAXwBTAG8AdQByAGMAZQAiACwAIgBTAGMAbwBwAGUAMwBfAEUAcQB1AGEAdABpAG8AbgBzAC4AVgBFAEUAUgBHAF8AMQA1AF8AMQAyAF8AMQBfADEAXwBfADEAXwBVAHAAcwB0AHIAZQBhAG0AUAB1AHIAYwBoAGEAcwBlAGQARQBsAGUAYwB0AHIAaQBjAGkAdAB5AEwAbwBjAGEAdABpAG8AbgBCAGEAcwBlAGQAXwBOAEkAUgBSAGUAZgBlAHIAZQBuAGMAZQAiACwAIgBTAGMAbwBwAGUAMwBfAEUAcQB1AGEAdABpAG8AbgBzAC4AVgBFAEUAUgBHAF8AMQA1AF8AMQAyAF8AMQBfADEAXwBfADEAXwBVAHAAcwB0AHIAZQBhAG0AUAB1AHIAYwBoAGEAcwBlAGQARQBsAGUAYwB0AHIAaQBjAGkAdAB5AEwAbwBjAGEAdABpAG8AbgBCAGEAcwBlAGQAXwBMAGEAdABlAHgARQBxAHUAYQB0AGkAbwBuACIALAAiAFMAYwBvAHAAZQAzAF8ARQBxAHUAYQB0AGkAbwBuAHMALgBWAEUARQBSAEcAXwAxADUAXwAxADIAXwAxAF8AMQBfAF8AMQBfAFUAcABzAHQAcgBlAGEAbQBQAHUAcgBjAGgAYQBzAGUAZABFAGwAZQBjAHQAcgBpAGMAaQB0AHkATABvAGMAYQB0AGkAbwBuAEIAYQBzAGUAZABfAEEAcgBnAHUAbQBlAG4AdABzACIALAAiAFMAYwBvAHAAZQAzAF8ARQBxAHUAYQB0AGkAbwBuAHMALgBWAEUARQBSAEcAXwAxADUAXwAxADIAXwAxAF8AMgBfAF8AMQBfAFUAcABzAHQAcgBlAGEAbQBQAHUAcgBjAGgAYQBzAGUAZABFAGwAZQBjAHQAcgBpAGMAaQB0AHkATQBhAHIAawBlAHQAQgBhAHMAZQBkACIALAAiAFMAYwBvAHAAZQAzAF8ARQBxAHUAYQB0AGkAbwBuAHMALgBWAEUARQBSAEcAXwAxADUAXwAxADIAXwAxAF8AMgBfAF8AMQBfAFUAcABzAHQAcgBlAGEAbQBQAHUAcgBjAGgAYQBzAGUAZABFAGwAZQBjAHQAcgBpAGMAaQB0AHkATQBhAHIAawBlAHQAQgBhAHMAZQBkAFYAYQByAGkAYQB0AGkAbwBuACIALAAiAFMAYwBvAHAAZQAzAF8ARQBxAHUAYQB0AGkAbwBuAHMALgBWAEUARQBSAEcAXwAxADUAXwAxADIAXwAxAF8AMgBfAF8AMQBfAFUAcABzAHQAcgBlAGEAbQBQAHUAcgBjAGgAYQBzAGUAZABFAGwAZQBjAHQAcgBpAGMAaQB0AHkATQBhAHIAawBlAHQAQgBhAHMAZQBkAF8AVABpAHQAbABlACIALAAiAFMAYwBvAHAAZQAzAF8ARQBxAHUAYQB0AGkAbwBuAHMALgBWAEUARQBSAEcAXwAxADUAXwAxADIAXwAxAF8AMgBfAF8AMQBfAFUAcABzAHQAcgBlAGEAbQBQAHUAcgBjAGgAYQBzAGUAZABFAGwAZQBjAHQAcgBpAGMAaQB0AHkATQBhAHIAawBlAHQAQgBhAHMAZQBkAF8AVgBhAHIAaQBhAGIAbABlACIALAAiAFMAYwBvAHAAZQAzAF8ARQBxAHUAYQB0AGkAbwBuAHMALgBWAEUARQBSAEcAXwAxADUAXwAxADIAXwAxAF8AMgBfAF8AMQBfAFUAcABzAHQAcgBlAGEAbQBQAHUAcgBjAGgAYQBzAGUAZABFAGwAZQBjAHQAcgBpAGMAaQB0AHkATQBhAHIAawBlAHQAQgBhAHMAZQBkAF8AVQBuAGkAdAAiACwAIgBTAGMAbwBwAGUAMwBfAEUAcQB1AGEAdABpAG8AbgBzAC4AVgBFAEUAUgBHAF8AMQA1AF8AMQAyAF8AMQBfADIAXwBfADEAXwBVAHAAcwB0AHIAZQBhAG0AUAB1AHIAYwBoAGEAcwBlAGQARQBsAGUAYwB0AHIAaQBjAGkAdAB5AE0AYQByAGsAZQB0AEIAYQBzAGUAZABfAFMAbwB1AHIAYwBlACIALAAiAFMAYwBvAHAAZQAzAF8ARQBxAHUAYQB0AGkAbwBuAHMALgBWAEUARQBSAEcAXwAxADUAXwAxADIAXwAxAF8AMgBfAF8AMQBfAFUAcABzAHQAcgBlAGEAbQBQAHUAcgBjAGgAYQBzAGUAZABFAGwAZQBjAHQAcgBpAGMAaQB0AHkATQBhAHIAawBlAHQAQgBhAHMAZQBkAF8ATgBJAFIAUgBlAGYAZQByAGUAbgBjAGUAIgAsACIAUwBjAG8AcABlADMAXwBFAHEAdQBhAHQAaQBvAG4AcwAuAFYARQBFAFIARwBfADEANQBfADEAMgBfADEAXwAyAF8AXwAxAF8AVQBwAHMAdAByAGUAYQBtAFAAdQByAGMAaABhAHMAZQBkAEUAbABlAGMAdAByAGkAYwBpAHQAeQBNAGEAcgBrAGUAdABCAGEAcwBlAGQAXwBMAGEAdABlAHgARQBxAHUAYQB0AGkAbwBuACIALAAiAFMAYwBvAHAAZQAzAF8ARQBxAHUAYQB0AGkAbwBuAHMALgBWAEUARQBSAEcAXwAxADUAXwAxADIAXwAxAF8AMgBfAF8AMQBfAFUAcABzAHQAcgBlAGEAbQBQAHUAcgBjAGgAYQBzAGUAZABFAGwAZQBjAHQAcgBpAGMAaQB0AHkATQBhAHIAawBlAHQAQgBhAHMAZQBkAF8ATABhAHQAZQB4AEUAcQB1AGEAdABpAG8AbgBWAGEAcgBpAGEAdABpAG8AbgAiACwAIgBTAGMAbwBwAGUAMwBfAEUAcQB1AGEAdABpAG8AbgBzAC4AVgBFAEUAUgBHAF8AMQA1AF8AMQAyAF8AMQBfADIAXwBfADEAXwBVAHAAcwB0AHIAZQBhAG0AUAB1AHIAYwBoAGEAcwBlAGQARQBsAGUAYwB0AHIAaQBjAGkAdAB5AE0AYQByAGsAZQB0AEIAYQBzAGUAZABfAEEAcgBnAHUAbQBlAG4AdABzACIALAAiAFMAYwBvAHAAZQAzAF8ARQBxAHUAYQB0AGkAbwBuAHMALgBWAEUARQBSAEcAXwAxADUAXwAxADIAXwAxAF8AMgBfAF8AMQBfAFUAcABzAHQAcgBlAGEAbQBQAHUAcgBjAGgAYQBzAGUAZABFAGwAZQBjAHQAcgBpAGMAaQB0AHkATQBhAHIAawBlAHQAQgBhAHMAZQBkAF8AVgBhAHIAaQBhAHQAaQBvAG4AIgAsACIAUwBjAG8AcABlADMAXwBFAHEAdQBhAHQAaQBvAG4AcwAuAFYARQBFAFIARwBfADEANQBfADEAMwBfADEAXwAxAF8AXwAxAF8ARQBtAGkAcwBzAGkAbwBuAHMARgByAG8AbQBNAGEAbgB1AHIAZQBTAGUAbgB0AE8AZgBmAFMAaQB0AGUAIgAsACIAUwBjAG8AcABlADMAXwBFAHEAdQBhAHQAaQBvAG4AcwAuAFYARQBFAFIARwBfADEANQBfADEAMwBfADEAXwAxAF8AXwAxAF8ARQBtAGkAcwBzAGkAbwBuAHMARgByAG8AbQBNAGEAbgB1AHIAZQBTAGUAbgB0AE8AZgBmAFMAaQB0AGUAXwBUAGkAdABsAGUAIgAsACIAUwBjAG8AcABlADMAXwBFAHEAdQBhAHQAaQBvAG4AcwAuAFYARQBFAFIARwBfADEANQBfADEAMwBfADEAXwAxAF8AXwAxAF8ARQBtAGkAcwBzAGkAbwBuAHMARgByAG8AbQBNAGEAbgB1AHIAZQBTAGUAbgB0AE8AZgBmAFMAaQB0AGUAXwBWAGEAcgBpAGEAYgBsAGUAIgAsACIAUwBjAG8AcABlADMAXwBFAHEAdQBhAHQAaQBvAG4AcwAuAFYARQBFAFIARwBfADEANQBfADEAMwBfADEAXwAxAF8AXwAxAF8ARQBtAGkAcwBzAGkAbwBuAHMARgByAG8AbQBNAGEAbgB1AHIAZQBTAGUAbgB0AE8AZgBmAFMAaQB0AGUAXwBVAG4AaQB0ACIALAAiAFMAYwBvAHAAZQAzAF8ARQBxAHUAYQB0AGkAbwBuAHMALgBWAEUARQBSAEcAXwAxADUAXwAxADMAXwAxAF8AMQBfAF8AMQBfAEUAbQBpAHMAcwBpAG8AbgBzAEYAcgBvAG0ATQBhAG4AdQByAGUAUwBlAG4AdABPAGYAZgBTAGkAdABlAF8AUwBvAHUAcgBjAGUAIgAsACIAUwBjAG8AcABlADMAXwBFAHEAdQBhAHQAaQBvAG4AcwAuAFYARQBFAFIARwBfADEANQBfADEAMwBfADEAXwAxAF8AXwAxAF8ARQBtAGkAcwBzAGkAbwBuAHMARgByAG8AbQBNAGEAbgB1AHIAZQBTAGUAbgB0AE8AZgBmAFMAaQB0AGUAXwBOAEkAUgBSAGUAZgBlAHIAZQBuAGMAZQAiACwAIgBTAGMAbwBwAGUAMwBfAEUAcQB1AGEAdABpAG8AbgBzAC4AVgBFAEUAUgBHAF8AMQA1AF8AMQAzAF8AMQBfADEAXwBfADEAXwBFAG0AaQBzAHMAaQBvAG4AcwBGAHIAbwBtAE0AYQBuAHUAcgBlAFMAZQBuAHQATwBmAGYAUwBpAHQAZQBfAEwAYQB0AGUAeABFAHEAdQBhAHQAaQBvAG4AIgAsACIAUwBjAG8AcABlADMAXwBFAHEAdQBhAHQAaQBvAG4AcwAuAFYARQBFAFIARwBfADEANQBfADEAMwBfADEAXwAxAF8AXwAxAF8ARQBtAGkAcwBzAGkAbwBuAHMARgByAG8AbQBNAGEAbgB1AHIAZQBTAGUAbgB0AE8AZgBmAFMAaQB0AGUAXwBBAHIAZwB1AG0AZQBuAHQAcwAiACwAIgBTAGMAbwBwAGUAMwBfAEUAcQB1AGEAdABpAG8AbgBzAC4AVgBFAEUAUgBHAF8AMQA1AF8AMQAzAF8AMQBfADMAXwBfADEAXwBFAG0AaQBzAHMAaQBvAG4AcwBGAHIAbwBtAFMAbwBsAGkAZABXAGEAcwB0AGUAVAByAGUAYQB0AG0AZQBuAHQARgBhAGMAaQBsAGkAdAB5ACIALAAiAFMAYwBvAHAAZQAzAF8ARQBxAHUAYQB0AGkAbwBuAHMALgBWAEUARQBSAEcAXwAxADUAXwAxADMAXwAxAF8AMwBfAF8AMQBfAEUAbQBpAHMAcwBpAG8AbgBzAEYAcgBvAG0AUwBvAGwAaQBkAFcAYQBzAHQAZQBUAHIAZQBhAHQAbQBlAG4AdABGAGEAYwBpAGwAaQB0AHkAXwBUAGkAdABsAGUAIgAsACIAUwBjAG8AcABlADMAXwBFAHEAdQBhAHQAaQBvAG4AcwAuAFYARQBFAFIARwBfADEANQBfADEAMwBfADEAXwAzAF8AXwAxAF8ARQBtAGkAcwBzAGkAbwBuAHMARgByAG8AbQBTAG8AbABpAGQAVwBhAHMAdABlAFQAcgBlAGEAdABtAGUAbgB0AEYAYQBjAGkAbABpAHQAeQBfAFYAYQByAGkAYQBiAGwAZQAiACwAIgBTAGMAbwBwAGUAMwBfAEUAcQB1AGEAdABpAG8AbgBzAC4AVgBFAEUAUgBHAF8AMQA1AF8AMQAzAF8AMQBfADMAXwBfADEAXwBFAG0AaQBzAHMAaQBvAG4AcwBGAHIAbwBtAFMAbwBsAGkAZABXAGEAcwB0AGUAVAByAGUAYQB0AG0AZQBuAHQARgBhAGMAaQBsAGkAdAB5AF8AVQBuAGkAdAAiACwAIgBTAGMAbwBwAGUAMwBfAEUAcQB1AGEAdABpAG8AbgBzAC4AVgBFAEUAUgBHAF8AMQA1AF8AMQAzAF8AMQBfADMAXwBfADEAXwBFAG0AaQBzAHMAaQBvAG4AcwBGAHIAbwBtAFMAbwBsAGkAZABXAGEAcwB0AGUAVAByAGUAYQB0AG0AZQBuAHQARgBhAGMAaQBsAGkAdAB5AF8AUwBvAHUAcgBjAGUAIgAsACIAUwBjAG8AcABlADMAXwBFAHEAdQBhAHQAaQBvAG4AcwAuAFYARQBFAFIARwBfADEANQBfADEAMwBfADEAXwAzAF8AXwAxAF8ARQBtAGkAcwBzAGkAbwBuAHMARgByAG8AbQBTAG8AbABpAGQAVwBhAHMAdABlAFQAcgBlAGEAdABtAGUAbgB0AEYAYQBjAGkAbABpAHQAeQBfAE4ASQBSAFIAZQBmAGUAcgBlAG4AYwBlACIALAAiAFMAYwBvAHAAZQAzAF8ARQBxAHUAYQB0AGkAbwBuAHMALgBWAEUARQBSAEcAXwAxADUAXwAxADMAXwAxAF8AMwBfAF8AMQBfAEUAbQBpAHMAcwBpAG8AbgBzAEYAcgBvAG0AUwBvAGwAaQBkAFcAYQBzAHQAZQBUAHIAZQBhAHQAbQBlAG4AdABGAGEAYwBpAGwAaQB0AHkAXwBMAGEAdABlAHgARQBxAHUAYQB0AGkAbwBuACIALAAiAFMAYwBvAHAAZQAzAF8ARQBxAHUAYQB0AGkAbwBuAHMALgBWAEUARQBSAEcAXwAxADUAXwAxADMAXwAxAF8AMwBfAF8AMQBfAEUAbQBpAHMAcwBpAG8AbgBzAEYAcgBvAG0AUwBvAGwAaQBkAFcAYQBzAHQAZQBUAHIAZQBhAHQAbQBlAG4AdABGAGEAYwBpAGwAaQB0AHkAXwBBAHIAZwB1AG0AZQBuAHQAcwAiACwAIgBTAGMAbwBwAGUAMwBfAEUAcQB1AGEAdABpAG8AbgBzAC4AVgBFAEUAUgBHAF8AMQA1AF8AMQA0AF8AMQBfADEAXwBfADEAXwBFAG0AYgBlAGQAZABlAGQARQBtAGkAcwBzAGkAbwBuAHMARgByAG8AbQBVAHAAcwB0AHIAZQBhAG0ARgByAGUAaQBnAGgAdAAiACwAIgBTAGMAbwBwAGUAMwBfAEUAcQB1AGEAdABpAG8AbgBzAC4AVgBFAEUAUgBHAF8AMQA1AF8AMQA0AF8AMQBfADEAXwBfADEAXwBFAG0AYgBlAGQAZABlAGQARQBtAGkAcwBzAGkAbwBuAHMARgByAG8AbQBVAHAAcwB0AHIAZQBhAG0ARgByAGUAaQBnAGgAdABfAFQAaQB0AGwAZQAiACwAIgBTAGMAbwBwAGUAMwBfAEUAcQB1AGEAdABpAG8AbgBzAC4AVgBFAEUAUgBHAF8AMQA1AF8AMQA0AF8AMQBfADEAXwBfADEAXwBFAG0AYgBlAGQAZABlAGQARQBtAGkAcwBzAGkAbwBuAHMARgByAG8AbQBVAHAAcwB0AHIAZQBhAG0ARgByAGUAaQBnAGgAdABfAFYAYQByAGkAYQBiAGwAZQAiACwAIgBTAGMAbwBwAGUAMwBfAEUAcQB1AGEAdABpAG8AbgBzAC4AVgBFAEUAUgBHAF8AMQA1AF8AMQA0AF8AMQBfADEAXwBfADEAXwBFAG0AYgBlAGQAZABlAGQARQBtAGkAcwBzAGkAbwBuAHMARgByAG8AbQBVAHAAcwB0AHIAZQBhAG0ARgByAGUAaQBnAGgAdABfAFUAbgBpAHQAIgAsACIAUwBjAG8AcABlADMAXwBFAHEAdQBhAHQAaQBvAG4AcwAuAFYARQBFAFIARwBfADEANQBfADEANABfADEAXwAxAF8AXwAxAF8ARQBtAGIAZQBkAGQAZQBkAEUAbQBpAHMAcwBpAG8AbgBzAEYAcgBvAG0AVQBwAHMAdAByAGUAYQBtAEYAcgBlAGkAZwBoAHQAXwBTAG8AdQByAGMAZQAiACwAIgBTAGMAbwBwAGUAMwBfAEUAcQB1AGEAdABpAG8AbgBzAC4AVgBFAEUAUgBHAF8AMQA1AF8AMQA0AF8AMQBfADEAXwBfADEAXwBFAG0AYgBlAGQAZABlAGQARQBtAGkAcwBzAGkAbwBuAHMARgByAG8AbQBVAHAAcwB0AHIAZQBhAG0ARgByAGUAaQBnAGgAdABfAE4ASQBSAFIAZQBmAGUAcgBlAG4AYwBlACIALAAiAFMAYwBvAHAAZQAzAF8ARQBxAHUAYQB0AGkAbwBuAHMALgBWAEUARQBSAEcAXwAxADUAXwAxADQAXwAxAF8AMQBfAF8AMQBfAEUAbQBiAGUAZABkAGUAZABFAG0AaQBzAHMAaQBvAG4AcwBGAHIAbwBtAFUAcABzAHQAcgBlAGEAbQBGAHIAZQBpAGcAaAB0AF8ATABhAHQAZQB4AEUAcQB1AGEAdABpAG8AbgAiACwAIgBTAGMAbwBwAGUAMwBfAEUAcQB1AGEAdABpAG8AbgBzAC4AVgBFAEUAUgBHAF8AMQA1AF8AMQA0AF8AMQBfADEAXwBfADEAXwBFAG0AYgBlAGQAZABlAGQARQBtAGkAcwBzAGkAbwBuAHMARgByAG8AbQBVAHAAcwB0AHIAZQBhAG0ARgByAGUAaQBnAGgAdABfAEEAcgBnAHUAbQBlAG4AdABzACIALAAiAEYAdQBlAGwAXwBFAHEAdQBhAHQAaQBvAG4AcwAuAFYARQBFAFIARwBfADgAXwBGAHUAZQBsAEMAbwBtAGIAdQBzAHQAaQBvAG4AIgAsACIARgB1AGUAbABfAEUAcQB1AGEAdABpAG8AbgBzAC4AVgBFAEUAUgBHAF8AOABfADEAXwAxAF8AMQBfAF8AMQBfAEYAdQBlAGwAQwBvAG0AYgB1AHMAdABpAG8AbgBUAHIAYQBuAHMAcABvAHIAdAAiACwAIgBGAHUAZQBsAF8ARQBxAHUAYQB0AGkAbwBuAHMALgBWAEUARQBSAEcAXwA4AF8AMQBfADEAXwAxAF8AXwAxAF8ARgB1AGUAbABDAG8AbQBiAHUAcwB0AGkAbwBuAFQAcgBhAG4AcwBwAG8AcgB0AF8AVABpAHQAbABlACIALAAiAEYAdQBlAGwAXwBFAHEAdQBhAHQAaQBvAG4AcwAuAFYARQBFAFIARwBfADgAXwAxAF8AMQBfADEAXwBfADEAXwBGAHUAZQBsAEMAbwBtAGIAdQBzAHQAaQBvAG4AVAByAGEAbgBzAHAAbwByAHQAXwBWAGEAcgBpAGEAYgBsAGUAIgAsACIARgB1AGUAbABfAEUAcQB1AGEAdABpAG8AbgBzAC4AVgBFAEUAUgBHAF8AOABfADEAXwAxAF8AMQBfAF8AMQBfAEYAdQBlAGwAQwBvAG0AYgB1AHMAdABpAG8AbgBUAHIAYQBuAHMAcABvAHIAdABfAFUAbgBpAHQAIgAsACIARgB1AGUAbABfAEUAcQB1AGEAdABpAG8AbgBzAC4AVgBFAEUAUgBHAF8AOABfADEAXwAxAF8AMQBfAF8AMQBfAEYAdQBlAGwAQwBvAG0AYgB1AHMAdABpAG8AbgBUAHIAYQBuAHMAcABvAHIAdABfAFMAbwB1AHIAYwBlACIALAAiAEYAdQBlAGwAXwBFAHEAdQBhAHQAaQBvAG4AcwAuAFYARQBFAFIARwBfADgAXwAxAF8AMQBfADEAXwBfADEAXwBGAHUAZQBsAEMAbwBtAGIAdQBzAHQAaQBvAG4AVAByAGEAbgBzAHAAbwByAHQAXwBOAEkAUgBSAGUAZgBlAHIAZQBuAGMAZQAiACwAIgBGAHUAZQBsAF8ARQBxAHUAYQB0AGkAbwBuAHMALgBWAEUARQBSAEcAXwA4AF8AMQBfADEAXwAxAF8AXwAxAF8ARgB1AGUAbABDAG8AbQBiAHUAcwB0AGkAbwBuAFQAcgBhAG4AcwBwAG8AcgB0AF8ATABhAHQAZQB4AEUAcQB1AGEAdABpAG8AbgAiACwAIgBGAHUAZQBsAF8ARQBxAHUAYQB0AGkAbwBuAHMALgBWAEUARQBSAEcAXwA4AF8AMQBfADEAXwAxAF8AXwAxAF8ARgB1AGUAbABDAG8AbQBiAHUAcwB0AGkAbwBuAFQAcgBhAG4AcwBwAG8AcgB0AF8AQQByAGcAdQBtAGUAbgB0AHMAIgAsACIARgB1AGUAbABfAEUAcQB1AGEAdABpAG8AbgBzAC4AVgBFAEUAUgBHAF8AOABfADIAXwAxAF8AMQBfAF8AMQBfAEYAdQBlAGwAQwBvAG0AYgB1AHMAdABpAG8AbgBTAHQAYQB0AGkAbwBuAGEAcgB5ACIALAAiAEYAdQBlAGwAXwBFAHEAdQBhAHQAaQBvAG4AcwAuAFYARQBFAFIARwBfADgAXwAyAF8AMQBfADEAXwBfADEAXwBGAHUAZQBsAEMAbwBtAGIAdQBzAHQAaQBvAG4AUwB0AGEAdABpAG8AbgBhAHIAeQBfAFQAaQB0AGwAZQAiACwAIgBGAHUAZQBsAF8ARQBxAHUAYQB0AGkAbwBuAHMALgBWAEUARQBSAEcAXwA4AF8AMgBfADEAXwAxAF8AXwAxAF8ARgB1AGUAbABDAG8AbQBiAHUAcwB0AGkAbwBuAFMAdABhAHQAaQBvAG4AYQByAHkAXwBWAGEAcgBpAGEAYgBsAGUAIgAsACIARgB1AGUAbABfAEUAcQB1AGEAdABpAG8AbgBzAC4AVgBFAEUAUgBHAF8AOABfADIAXwAxAF8AMQBfAF8AMQBfAEYAdQBlAGwAQwBvAG0AYgB1AHMAdABpAG8AbgBTAHQAYQB0AGkAbwBuAGEAcgB5AF8AVQBuAGkAdAAiACwAIgBGAHUAZQBsAF8ARQBxAHUAYQB0AGkAbwBuAHMALgBWAEUARQBSAEcAXwA4AF8AMgBfADEAXwAxAF8AXwAxAF8ARgB1AGUAbABDAG8AbQBiAHUAcwB0AGkAbwBuAFMAdABhAHQAaQBvAG4AYQByAHkAXwBTAG8AdQByAGMAZQAiACwAIgBGAHUAZQBsAF8ARQBxAHUAYQB0AGkAbwBuAHMALgBWAEUARQBSAEcAXwA4AF8AMgBfADEAXwAxAF8AXwAxAF8ARgB1AGUAbABDAG8AbQBiAHUAcwB0AGkAbwBuAFMAdABhAHQAaQBvAG4AYQByAHkAXwBOAEkAUgBSAGUAZgBlAHIAZQBuAGMAZQAiACwAIgBGAHUAZQBsAF8ARQBxAHUAYQB0AGkAbwBuAHMALgBWAEUARQBSAEcAXwA4AF8AMgBfADEAXwAxAF8AXwAxAF8ARgB1AGUAbABDAG8AbQBiAHUAcwB0AGkAbwBuAFMAdABhAHQAaQBvAG4AYQByAHkAXwBMAGEAdABlAHgARQBxAHUAYQB0AGkAbwBuACIALAAiAEYAdQBlAGwAXwBFAHEAdQBhAHQAaQBvAG4AcwAuAFYARQBFAFIARwBfADgAXwAyAF8AMQBfADEAXwBfADEAXwBGAHUAZQBsAEMAbwBtAGIAdQBzAHQAaQBvAG4AUwB0AGEAdABpAG8AbgBhAHIAeQBfAEEAcgBnAHUAbQBlAG4AdABzACIALAAiAEYAZQByAHQAaQBsAGkAcwBlAHIAXwBFAHEAdQBhAHQAaQBvAG4AcwBfAE8AcgBnAGEAbgBpAGMATgAyAE8ALgBWAEUARQBSAEcAXwA1AF8AMgBfADEAXwAxAF8AXwAxAF8ATwByAGcAYQBuAGkAYwBGAGUAcgB0AGkAbABpAHMAZQByAEEAcABwAGwAaQBjAGEAdABpAG8AbgBOADIATwBFAG0AaQBzAHMAaQBvAG4AcwAiACwAIgBGAGUAcgB0AGkAbABpAHMAZQByAF8ARQBxAHUAYQB0AGkAbwBuAHMAXwBPAHIAZwBhAG4AaQBjAE4AMgBPAC4AVgBFAEUAUgBHAF8ANQBfADIAXwAxAF8AMQBfAF8AMQBfAE8AcgBnAGEAbgBpAGMARgBlAHIAdABpAGwAaQBzAGUAcgBBAHAAcABsAGkAYwBhAHQAaQBvAG4ATgAyAE8ARQBtAGkAcwBzAGkAbwBuAHMAXwBUAGkAdABsAGUAIgAsACIARgBlAHIAdABpAGwAaQBzAGUAcgBfAEUAcQB1AGEAdABpAG8AbgBzAF8ATwByAGcAYQBuAGkAYwBOADIATwAuAFYARQBFAFIARwBfADUAXwAyAF8AMQBfADEAXwBfADEAXwBPAHIAZwBhAG4AaQBjAEYAZQByAHQAaQBsAGkAcwBlAHIAQQBwAHAAbABpAGMAYQB0AGkAbwBuAE4AMgBPAEUAbQBpAHMAcwBpAG8AbgBzAF8AVgBhAHIAaQBhAGIAbABlACIALAAiAEYAZQByAHQAaQBsAGkAcwBlAHIAXwBFAHEAdQBhAHQAaQBvAG4AcwBfAE8AcgBnAGEAbgBpAGMATgAyAE8ALgBWAEUARQBSAEcAXwA1AF8AMgBfADEAXwAxAF8AXwAxAF8ATwByAGcAYQBuAGkAYwBGAGUAcgB0AGkAbABpAHMAZQByAEEAcABwAGwAaQBjAGEAdABpAG8AbgBOADIATwBFAG0AaQBzAHMAaQBvAG4AcwBfAFUAbgBpAHQAIgAsACIARgBlAHIAdABpAGwAaQBzAGUAcgBfAEUAcQB1AGEAdABpAG8AbgBzAF8ATwByAGcAYQBuAGkAYwBOADIATwAuAFYARQBFAFIARwBfADUAXwAyAF8AMQBfADEAXwBfADEAXwBPAHIAZwBhAG4AaQBjAEYAZQByAHQAaQBsAGkAcwBlAHIAQQBwAHAAbABpAGMAYQB0AGkAbwBuAE4AMgBPAEUAbQBpAHMAcwBpAG8AbgBzAF8AUwBvAHUAcgBjAGUAIgAsACIARgBlAHIAdABpAGwAaQBzAGUAcgBfAEUAcQB1AGEAdABpAG8AbgBzAF8ATwByAGcAYQBuAGkAYwBOADIATwAuAFYARQBFAFIARwBfADUAXwAyAF8AMQBfADEAXwBfADEAXwBPAHIAZwBhAG4AaQBjAEYAZQByAHQAaQBsAGkAcwBlAHIAQQBwAHAAbABpAGMAYQB0AGkAbwBuAE4AMgBPAEUAbQBpAHMAcwBpAG8AbgBzAF8ATgBJAFIAUgBlAGYAZQByAGUAbgBjAGUAIgAsACIARgBlAHIAdABpAGwAaQBzAGUAcgBfAEUAcQB1AGEAdABpAG8AbgBzAF8ATwByAGcAYQBuAGkAYwBOADIATwAuAFYARQBFAFIARwBfADUAXwAyAF8AMQBfADEAXwBfADEAXwBPAHIAZwBhAG4AaQBjAEYAZQByAHQAaQBsAGkAcwBlAHIAQQBwAHAAbABpAGMAYQB0AGkAbwBuAE4AMgBPAEUAbQBpAHMAcwBpAG8AbgBzAF8ATABhAHQAZQB4AEUAcQB1AGEAdABpAG8AbgAiACwAIgBGAGUAcgB0AGkAbABpAHMAZQByAF8ARQBxAHUAYQB0AGkAbwBuAHMAXwBPAHIAZwBhAG4AaQBjAE4AMgBPAC4AVgBFAEUAUgBHAF8ANQBfADIAXwAxAF8AMQBfAF8AMQBfAE8AcgBnAGEAbgBpAGMARgBlAHIAdABpAGwAaQBzAGUAcgBBAHAAcABsAGkAYwBhAHQAaQBvAG4ATgAyAE8ARQBtAGkAcwBzAGkAbwBuAHMAXwBBAHIAZwB1AG0AZQBuAHQAcwAiACwAIgBGAGUAcgB0AGkAbABpAHMAZQByAF8ARQBxAHUAYQB0AGkAbwBuAHMAXwBPAHIAZwBhAG4AaQBjAE4AMgBPAC4AVgBFAEUAUgBHAF8ANQBfADIAXwAxAF8AMQBfAF8AMgBfAE0AYQBzAHMATwBmAE4AaQB0AHIAbwBnAGUAbgBJAG4ATwByAGcAYQBuAGkAYwBGAGUAcgB0AGkAbABpAHMAZQByACIALAAiAEYAZQByAHQAaQBsAGkAcwBlAHIAXwBFAHEAdQBhAHQAaQBvAG4AcwBfAE8AcgBnAGEAbgBpAGMATgAyAE8ALgBWAEUARQBSAEcAXwA1AF8AMgBfADEAXwAxAF8AXwAyAF8ATQBhAHMAcwBPAGYATgBpAHQAcgBvAGcAZQBuAEkAbgBPAHIAZwBhAG4AaQBjAEYAZQByAHQAaQBsAGkAcwBlAHIAXwBUAGkAdABsAGUAIgAsACIARgBlAHIAdABpAGwAaQBzAGUAcgBfAEUAcQB1AGEAdABpAG8AbgBzAF8ATwByAGcAYQBuAGkAYwBOADIATwAuAFYARQBFAFIARwBfADUAXwAyAF8AMQBfADEAXwBfADIAXwBNAGEAcwBzAE8AZgBOAGkAdAByAG8AZwBlAG4ASQBuAE8AcgBnAGEAbgBpAGMARgBlAHIAdABpAGwAaQBzAGUAcgBfAFYAYQByAGkAYQBiAGwAZQAiACwAIgBGAGUAcgB0AGkAbABpAHMAZQByAF8ARQBxAHUAYQB0AGkAbwBuAHMAXwBPAHIAZwBhAG4AaQBjAE4AMgBPAC4AVgBFAEUAUgBHAF8ANQBfADIAXwAxAF8AMQBfAF8AMgBfAE0AYQBzAHMATwBmAE4AaQB0AHIAbwBnAGUAbgBJAG4ATwByAGcAYQBuAGkAYwBGAGUAcgB0AGkAbABpAHMAZQByAF8AVQBuAGkAdAAiACwAIgBGAGUAcgB0AGkAbABpAHMAZQByAF8ARQBxAHUAYQB0AGkAbwBuAHMAXwBPAHIAZwBhAG4AaQBjAE4AMgBPAC4AVgBFAEUAUgBHAF8ANQBfADIAXwAxAF8AMQBfAF8AMgBfAE0AYQBzAHMATwBmAE4AaQB0AHIAbwBnAGUAbgBJAG4ATwByAGcAYQBuAGkAYwBGAGUAcgB0AGkAbABpAHMAZQByAF8AUwBvAHUAcgBjAGUAIgAsACIARgBlAHIAdABpAGwAaQBzAGUAcgBfAEUAcQB1AGEAdABpAG8AbgBzAF8ATwByAGcAYQBuAGkAYwBOADIATwAuAFYARQBFAFIARwBfADUAXwAyAF8AMQBfADEAXwBfADIAXwBNAGEAcwBzAE8AZgBOAGkAdAByAG8AZwBlAG4ASQBuAE8AcgBnAGEAbgBpAGMARgBlAHIAdABpAGwAaQBzAGUAcgBfAE4ASQBSAFIAZQBmAGUAcgBlAG4AYwBlACIALAAiAEYAZQByAHQAaQBsAGkAcwBlAHIAXwBFAHEAdQBhAHQAaQBvAG4AcwBfAE8AcgBnAGEAbgBpAGMATgAyAE8ALgBWAEUARQBSAEcAXwA1AF8AMgBfADEAXwAxAF8AXwAyAF8ATQBhAHMAcwBPAGYATgBpAHQAcgBvAGcAZQBuAEkAbgBPAHIAZwBhAG4AaQBjAEYAZQByAHQAaQBsAGkAcwBlAHIAXwBMAGEAdABlAHgARQBxAHUAYQB0AGkAbwBuACIALAAiAEYAZQByAHQAaQBsAGkAcwBlAHIAXwBFAHEAdQBhAHQAaQBvAG4AcwBfAE8AcgBnAGEAbgBpAGMATgAyAE8ALgBWAEUARQBSAEcAXwA1AF8AMgBfADEAXwAxAF8AXwAyAF8ATQBhAHMAcwBPAGYATgBpAHQAcgBvAGcAZQBuAEkAbgBPAHIAZwBhAG4AaQBjAEYAZQByAHQAaQBsAGkAcwBlAHIAXwBBAHIAZwB1AG0AZQBuAHQAcw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YAYQByAGkAYQBiAGw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QBuAGkAdA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4ASQBSAFIAZQBmAGUAcgBlAG4AYw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MAGEAdABlAHgARQBxAHUAYQB0AGkAbwBu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QAaQB0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YAYQByAGkAYQBi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UAbgBpAHQ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TAG8AdQByAGM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4ASQBSAFIAZQBmAGUAcgBlAG4AYw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TABhAHQAZQB4AEUAcQB1AGEAdABpAG8Ab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EAcgBnAHUAbQBlAG4AdABz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gBhAHIAaQBhAGIAbA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UAbgBpAHQ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gBJAFIAUgBlAGYAZQByAGUAb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ABhAHQAZQB4AEUAcQB1AGEAdABpAG8Abg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UAGkAdABs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YAYQByAGkAYQBiAGw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QBuAGkAdA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UwBvAHUAcgBj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4ASQBSAFIAZQBmAGUAcgBlAG4AYw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MAGEAdABlAHgARQBxAHUAYQB0AGkAbwBu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BAHIAZwB1AG0AZQBuAHQAcwAiACwAIgBGAGUAcgB0AGkAbABpAHMAZQByAF8ARQBxAHUAYQB0AGkAbwBuAHMAXwBMAGUAYQBjAGgAaQBuAGcAQQBuAGQAUgB1AG4AbwBmAGYALgBWAEUARQBSAEcAXwA1AF8ANQBfADEAXwAxAF8AXwAxAF8ARgBlAHIAdABpAGwAaQBzAGUAcgBMAGUAYQBjAGgAaQBuAGcAQQBuAGQAUgB1AG4AbwBmAGYATgAyAE8ARQBtAGkAcwBzAGkAbwBuAHMAIgAsACIARgBlAHIAdABpAGwAaQBzAGUAcgBfAEUAcQB1AGEAdABpAG8AbgBzAF8ATABlAGEAYwBoAGkAbgBnAEEAbgBkAFIAdQBuAG8AZgBmAC4AVgBFAEUAUgBHAF8ANQBfADUAXwAxAF8AMQBfAF8AMQBfAEYAZQByAHQAaQBsAGkAcwBlAHIATABlAGEAYwBoAGkAbgBnAEEAbgBkAFIAdQBuAG8AZgBmAE4AMgBPAEUAbQBpAHMAcwBpAG8AbgBzAF8AVABpAHQAbABlACIALAAiAEYAZQByAHQAaQBsAGkAcwBlAHIAXwBFAHEAdQBhAHQAaQBvAG4AcwBfAEwAZQBhAGMAaABpAG4AZwBBAG4AZABSAHUAbgBvAGYAZgAuAFYARQBFAFIARwBfADUAXwA1AF8AMQBfADEAXwBfADEAXwBGAGUAcgB0AGkAbABpAHMAZQByAEwAZQBhAGMAaABpAG4AZwBBAG4AZABSAHUAbgBvAGYAZgBOADIATwBFAG0AaQBzAHMAaQBvAG4AcwBfAFYAYQByAGkAYQBiAGwAZQAiACwAIgBGAGUAcgB0AGkAbABpAHMAZQByAF8ARQBxAHUAYQB0AGkAbwBuAHMAXwBMAGUAYQBjAGgAaQBuAGcAQQBuAGQAUgB1AG4AbwBmAGYALgBWAEUARQBSAEcAXwA1AF8ANQBfADEAXwAxAF8AXwAxAF8ARgBlAHIAdABpAGwAaQBzAGUAcgBMAGUAYQBjAGgAaQBuAGcAQQBuAGQAUgB1AG4AbwBmAGYATgAyAE8ARQBtAGkAcwBzAGkAbwBuAHMAXwBVAG4AaQB0ACIALAAiAEYAZQByAHQAaQBsAGkAcwBlAHIAXwBFAHEAdQBhAHQAaQBvAG4AcwBfAEwAZQBhAGMAaABpAG4AZwBBAG4AZABSAHUAbgBvAGYAZgAuAFYARQBFAFIARwBfADUAXwA1AF8AMQBfADEAXwBfADEAXwBGAGUAcgB0AGkAbABpAHMAZQByAEwAZQBhAGMAaABpAG4AZwBBAG4AZABSAHUAbgBvAGYAZgBOADIATwBFAG0AaQBzAHMAaQBvAG4AcwBfAFMAbwB1AHIAYwBlACIALAAiAEYAZQByAHQAaQBsAGkAcwBlAHIAXwBFAHEAdQBhAHQAaQBvAG4AcwBfAEwAZQBhAGMAaABpAG4AZwBBAG4AZABSAHUAbgBvAGYAZgAuAFYARQBFAFIARwBfADUAXwA1AF8AMQBfADEAXwBfADEAXwBGAGUAcgB0AGkAbABpAHMAZQByAEwAZQBhAGMAaABpAG4AZwBBAG4AZABSAHUAbgBvAGYAZgBOADIATwBFAG0AaQBzAHMAaQBvAG4AcwBfAE4ASQBSAFIAZQBmAGUAcgBlAG4AYwBlACIALAAiAEYAZQByAHQAaQBsAGkAcwBlAHIAXwBFAHEAdQBhAHQAaQBvAG4AcwBfAEwAZQBhAGMAaABpAG4AZwBBAG4AZABSAHUAbgBvAGYAZgAuAFYARQBFAFIARwBfADUAXwA1AF8AMQBfADEAXwBfADEAXwBGAGUAcgB0AGkAbABpAHMAZQByAEwAZQBhAGMAaABpAG4AZwBBAG4AZABSAHUAbgBvAGYAZgBOADIATwBFAG0AaQBzAHMAaQBvAG4AcwBfAEwAYQB0AGUAeABFAHEAdQBhAHQAaQBvAG4AIgAsACIARgBlAHIAdABpAGwAaQBzAGUAcgBfAEUAcQB1AGEAdABpAG8AbgBzAF8ATABlAGEAYwBoAGkAbgBnAEEAbgBkAFIAdQBuAG8AZgBmAC4AVgBFAEUAUgBHAF8ANQBfADUAXwAxAF8AMQBfAF8AMQBfAEYAZQByAHQAaQBsAGkAcwBlAHIATABlAGEAYwBoAGkAbgBnAEEAbgBkAFIAdQBuAG8AZgBmAE4AMgBPAEUAbQBpAHMAcwBpAG8AbgBzAF8AQQByAGcAdQBtAGUAbgB0AHMAIgAsACIARgBlAHIAdABpAGwAaQBzAGUAcgBfAEUAcQB1AGEAdABpAG8AbgBzAF8ATABlAGEAYwBoAGkAbgBnAEEAbgBkAFIAdQBuAG8AZgBmAC4AVgBFAEUAUgBHAF8ANQBfADUAXwAxAF8AMQBfAF8AMgBfAE0AYQBzAHMATwBmAE4AaQB0AHIAbwBnAGUAbgBMAGUAYQBjAGgAZQBkAEYAcgBvAG0ASQBuAG8AcgBnAGEAbgBpAGMARgBlAHIAdABpAGwAaQBzAGUAcgAiACwAIgBGAGUAcgB0AGkAbABpAHMAZQByAF8ARQBxAHUAYQB0AGkAbwBuAHMAXwBMAGUAYQBjAGgAaQBuAGcAQQBuAGQAUgB1AG4AbwBmAGYALgBWAEUARQBSAEcAXwA1AF8ANQBfADEAXwAxAF8AXwAyAF8ATQBhAHMAcwBPAGYATgBpAHQAcgBvAGcAZQBuAEwAZQBhAGMAaABlAGQARgByAG8AbQBJAG4AbwByAGcAYQBuAGkAYwBGAGUAcgB0AGkAbABpAHMAZQByAF8AVABpAHQAbA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WAGEAcgBpAGEAYgBs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FUAbgBpAHQAIgAsACIARgBlAHIAdABpAGwAaQBzAGUAcgBfAEUAcQB1AGEAdABpAG8AbgBzAF8ATABlAGEAYwBoAGkAbgBnAEEAbgBkAFIAdQBuAG8AZgBmAC4AVgBFAEUAUgBHAF8ANQBfADUAXwAxAF8AMQBfAF8AMgBfAE0AYQBzAHMATwBmAE4AaQB0AHIAbwBnAGUAbgBMAGUAYQBjAGgAZQBkAEYAcgBvAG0ASQBuAG8AcgBnAGEAbgBpAGMARgBlAHIAdABpAGwAaQBzAGUAcgBfAFMAbwB1AHIAYw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OAEkAUgBSAGUAZgBlAHIAZQBuAGM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TABhAHQAZQB4AEUAcQB1AGEAdABpAG8AbgAiACwAIgBGAGUAcgB0AGkAbABpAHMAZQByAF8ARQBxAHUAYQB0AGkAbwBuAHMAXwBMAGUAYQBjAGgAaQBuAGcAQQBuAGQAUgB1AG4AbwBmAGYALgBWAEUARQBSAEcAXwA1AF8ANQBfADEAXwAxAF8AXwAyAF8ATQBhAHMAcwBPAGYATgBpAHQAcgBvAGcAZQBuAEwAZQBhAGMAaABlAGQARgByAG8AbQBJAG4AbwByAGcAYQBuAGkAYwBGAGUAcgB0AGkAbABpAHMAZQByAF8AQQByAGcAdQBtAGUAbgB0AHMAIgAsACIARgBlAHIAdABpAGwAaQBzAGUAcgBfAEUAcQB1AGEAdABpAG8AbgBzAF8ATABlAGEAYwBoAGkAbgBnAEEAbgBkAFIAdQBuAG8AZgBmAC4AVgBFAEUAUgBHAF8ANQBfADUAXwAxAF8AMQBfAF8AMwBfAE0AYQBzAHMATwBmAE4AaQB0AHIAbwBnAGUAbgBMAGUAYQBjAGgAZQBkAEYAcgBvAG0ATwByAGcAYQBuAGkAYwBGAGUAcgB0AGkAbABpAHMAZQByACIALAAiAEYAZQByAHQAaQBsAGkAcwBlAHIAXwBFAHEAdQBhAHQAaQBvAG4AcwBfAEwAZQBhAGMAaABpAG4AZwBBAG4AZABSAHUAbgBvAGYAZgAuAFYARQBFAFIARwBfADUAXwA1AF8AMQBfADEAXwBfADMAXwBNAGEAcwBzAE8AZgBOAGkAdAByAG8AZwBlAG4ATABlAGEAYwBoAGUAZABGAHIAbwBtAE8AcgBnAGEAbgBpAGMARgBlAHIAdABpAGwAaQBzAGUAcgBfAFQAaQB0AGwAZQAiACwAIgBGAGUAcgB0AGkAbABpAHMAZQByAF8ARQBxAHUAYQB0AGkAbwBuAHMAXwBMAGUAYQBjAGgAaQBuAGcAQQBuAGQAUgB1AG4AbwBmAGYALgBWAEUARQBSAEcAXwA1AF8ANQBfADEAXwAxAF8AXwAzAF8ATQBhAHMAcwBPAGYATgBpAHQAcgBvAGcAZQBuAEwAZQBhAGMAaABlAGQARgByAG8AbQBPAHIAZwBhAG4AaQBjAEYAZQByAHQAaQBsAGkAcwBlAHIAXwBWAGEAcgBpAGEAYgBsAGUAIgAsACIARgBlAHIAdABpAGwAaQBzAGUAcgBfAEUAcQB1AGEAdABpAG8AbgBzAF8ATABlAGEAYwBoAGkAbgBnAEEAbgBkAFIAdQBuAG8AZgBmAC4AVgBFAEUAUgBHAF8ANQBfADUAXwAxAF8AMQBfAF8AMwBfAE0AYQBzAHMATwBmAE4AaQB0AHIAbwBnAGUAbgBMAGUAYQBjAGgAZQBkAEYAcgBvAG0ATwByAGcAYQBuAGkAYwBGAGUAcgB0AGkAbABpAHMAZQByAF8AVQBuAGkAdAAiACwAIgBGAGUAcgB0AGkAbABpAHMAZQByAF8ARQBxAHUAYQB0AGkAbwBuAHMAXwBMAGUAYQBjAGgAaQBuAGcAQQBuAGQAUgB1AG4AbwBmAGYALgBWAEUARQBSAEcAXwA1AF8ANQBfADEAXwAxAF8AXwAzAF8ATQBhAHMAcwBPAGYATgBpAHQAcgBvAGcAZQBuAEwAZQBhAGMAaABlAGQARgByAG8AbQBPAHIAZwBhAG4AaQBjAEYAZQByAHQAaQBsAGkAcwBlAHIAXwBTAG8AdQByAGMAZQAiACwAIgBGAGUAcgB0AGkAbABpAHMAZQByAF8ARQBxAHUAYQB0AGkAbwBuAHMAXwBMAGUAYQBjAGgAaQBuAGcAQQBuAGQAUgB1AG4AbwBmAGYALgBWAEUARQBSAEcAXwA1AF8ANQBfADEAXwAxAF8AXwAzAF8ATQBhAHMAcwBPAGYATgBpAHQAcgBvAGcAZQBuAEwAZQBhAGMAaABlAGQARgByAG8AbQBPAHIAZwBhAG4AaQBjAEYAZQByAHQAaQBsAGkAcwBlAHIAXwBOAEkAUgBSAGUAZgBlAHIAZQBuAGMAZQAiACwAIgBGAGUAcgB0AGkAbABpAHMAZQByAF8ARQBxAHUAYQB0AGkAbwBuAHMAXwBMAGUAYQBjAGgAaQBuAGcAQQBuAGQAUgB1AG4AbwBmAGYALgBWAEUARQBSAEcAXwA1AF8ANQBfADEAXwAxAF8AXwAzAF8ATQBhAHMAcwBPAGYATgBpAHQAcgBvAGcAZQBuAEwAZQBhAGMAaABlAGQARgByAG8AbQBPAHIAZwBhAG4AaQBjAEYAZQByAHQAaQBsAGkAcwBlAHIAXwBMAGEAdABlAHgARQBxAHUAYQB0AGkAbwBuACIALAAiAEYAZQByAHQAaQBsAGkAcwBlAHIAXwBFAHEAdQBhAHQAaQBvAG4AcwBfAEwAZQBhAGMAaABpAG4AZwBBAG4AZABSAHUAbgBvAGYAZgAuAFYARQBFAFIARwBfADUAXwA1AF8AMQBfADEAXwBfADMAXwBNAGEAcwBzAE8AZgBOAGkAdAByAG8AZwBlAG4ATABlAGEAYwBoAGUAZABGAHIAbwBtAE8AcgBnAGEAbgBpAGMARgBlAHIAdABpAGwAaQBzAGUAcgBfAEEAcgBnAHUAbQBlAG4AdABzACIALAAiAFcAYQBzAHQAZQBTAG8AbABpAGQAXwBJAG4AcAB1AHQARgB1AG4AYwB0AGkAbwBuAHMALgBXAGEAcwB0AGUAUwBvAGwAaQBkAF8ASQBuAHAAdQB0AEYAdQBuAGMAdABpAG8AbgBzAF8AUwB1AG0AVwBhAHMAdABlAFQAcgBlAGEAdABtAGUAbgB0ACIALAAiAFcAYQBzAHQAZQBTAG8AbABpAGQAXwBTAG8AdQByAGMAZQBEAGEAdABhAC4AVwBhAHMAdABlAF8ARQBtAGkAcwBzAGkAbwBuAEYAYQBjAHQAbwByAHMARgBvAHIAVwBhAHMAdABlAFQAcgBlAGEAdABtAGUAbgB0AF8AVABpAHQAbABlACIALAAiAFcAYQBzAHQAZQBTAG8AbABpAGQAXwBTAG8AdQByAGMAZQBEAGEAdABhAC4AVwBhAHMAdABlAF8ARQBtAGkAcwBzAGkAbwBuAEYAYQBjAHQAbwByAHMARgBvAHIAVwBhAHMAdABlAFQAcgBlAGEAdABtAGUAbgB0AF8AVgBhAHIAaQBhAGIAbABlACIALAAiAFcAYQBzAHQAZQBTAG8AbABpAGQAXwBTAG8AdQByAGMAZQBEAGEAdABhAC4AVwBhAHMAdABlAF8ARQBtAGkAcwBzAGkAbwBuAEYAYQBjAHQAbwByAHMARgBvAHIAVwBhAHMAdABlAFQAcgBlAGEAdABtAGUAbgB0AF8AVQBuAGkAdAAiACwAIgBXAGEAcwB0AGUAUwBvAGwAaQBkAF8AUwBvAHUAcgBjAGUARABhAHQAYQAuAFcAYQBzAHQAZQBfAEUAbQBpAHMAcwBpAG8AbgBGAGEAYwB0AG8AcgBzAEYAbwByAFcAYQBzAHQAZQBUAHIAZQBhAHQAbQBlAG4AdABfAFMAbwB1AHIAYwBlACIALAAiAFcAYQBzAHQAZQBTAG8AbABpAGQAXwBTAG8AdQByAGMAZQBEAGEAdABhAC4AVwBhAHMAdABlAF8ARQBtAGkAcwBzAGkAbwBuAEYAYQBjAHQAbwByAHMARgBvAHIAVwBhAHMAdABlAFQAcgBlAGEAdABtAGUAbgB0AF8ARABhAHQAYQAiACwAIgBXAGEAcwB0AGUAUwBvAGwAaQBkAF8AUwBvAHUAcgBjAGUARABhAHQAYQAuAFcAYQBzAHQAZQBfAEUAbQBpAHMAcwBpAG8AbgBGAGEAYwB0AG8AcgBzAEYAbwByAFcAYQBzAHQAZQBUAHIAZQBhAHQAbQBlAG4AdABfAFYAYQByAGkAYQB0AGkAbwBuACIALAAiAFcAYQBzAHQAZQBTAG8AbABpAGQAXwBTAG8AdQByAGMAZQBEAGEAdABhAC4AVwBhAHMAdABlAF8AVwBhAHMAdABlAFYAbwBsAHUAbQBlAFQAbwBNAGEAcwBzAEMAbwBuAHYAZQByAHMAaQBvAG4AXwBUAGkAdABsAGUAIgAsACIAVwBhAHMAdABlAFMAbwBsAGkAZABfAFMAbwB1AHIAYwBlAEQAYQB0AGEALgBXAGEAcwB0AGUAXwBXAGEAcwB0AGUAVgBvAGwAdQBtAGUAVABvAE0AYQBzAHMAQwBvAG4AdgBlAHIAcwBpAG8AbgBfAFYAYQByAGkAYQBiAGwAZQAiACwAIgBXAGEAcwB0AGUAUwBvAGwAaQBkAF8AUwBvAHUAcgBjAGUARABhAHQAYQAuAFcAYQBzAHQAZQBfAFcAYQBzAHQAZQBWAG8AbAB1AG0AZQBUAG8ATQBhAHMAcwBDAG8AbgB2AGUAcgBzAGkAbwBuAF8AVQBuAGkAdAAiACwAIgBXAGEAcwB0AGUAUwBvAGwAaQBkAF8AUwBvAHUAcgBjAGUARABhAHQAYQAuAFcAYQBzAHQAZQBfAFcAYQBzAHQAZQBWAG8AbAB1AG0AZQBUAG8ATQBhAHMAcwBDAG8AbgB2AGUAcgBzAGkAbwBuAF8AUwBvAHUAcgBjAGUAIgAsACIAVwBhAHMAdABlAFMAbwBsAGkAZABfAFMAbwB1AHIAYwBlAEQAYQB0AGEALgBXAGEAcwB0AGUAXwBXAGEAcwB0AGUAVgBvAGwAdQBtAGUAVABvAE0AYQBzAHMAQwBvAG4AdgBlAHIAcwBpAG8AbgBfAEQAYQB0AGEAIgAsACIAVwBhAHMAdABlAFMAbwBsAGkAZABfAFMAbwB1AHIAYwBlAEQAYQB0AGEALgBXAGEAcwB0AGUAXwBXAGEAcwB0AGUAVgBvAGwAdQBtAGUAVABvAE0AYQBzAHMAQwBvAG4AdgBlAHIAcwBpAG8AbgBfAFYAYQByAGkAYQB0AGkAbwBuACIALAAiAFcAYQBzAHQAZQBTAG8AbABpAGQAXwBFAHEAdQBhAHQAaQBvAG4AcwAuAFYARQBFAFIARwBfADEAMABfADEAXwAxAF8AMQBfAF8AMQBfAEUAbQBpAHMAcwBpAG8AbgBzAEYAcgBvAG0AVwBhAHMAdABlAE0AYQBuAGEAZwBlAG0AZQBuAHQAIgAsACIAVwBhAHMAdABlAFMAbwBsAGkAZABfAEUAcQB1AGEAdABpAG8AbgBzAC4AVgBFAEUAUgBHAF8AMQAwAF8AMQBfADEAXwAxAF8AXwAxAF8ARQBtAGkAcwBzAGkAbwBuAHMARgByAG8AbQBXAGEAcwB0AGUATQBhAG4AYQBnAGUAbQBlAG4AdABfAFQAaQB0AGwAZQAiACwAIgBXAGEAcwB0AGUAUwBvAGwAaQBkAF8ARQBxAHUAYQB0AGkAbwBuAHMALgBWAEUARQBSAEcAXwAxADAAXwAxAF8AMQBfADEAXwBfADEAXwBFAG0AaQBzAHMAaQBvAG4AcwBGAHIAbwBtAFcAYQBzAHQAZQBNAGEAbgBhAGcAZQBtAGUAbgB0AF8AVgBhAHIAaQBhAGIAbABlACIALAAiAFcAYQBzAHQAZQBTAG8AbABpAGQAXwBFAHEAdQBhAHQAaQBvAG4AcwAuAFYARQBFAFIARwBfADEAMABfADEAXwAxAF8AMQBfAF8AMQBfAEUAbQBpAHMAcwBpAG8AbgBzAEYAcgBvAG0AVwBhAHMAdABlAE0AYQBuAGEAZwBlAG0AZQBuAHQAXwBVAG4AaQB0ACIALAAiAFcAYQBzAHQAZQBTAG8AbABpAGQAXwBFAHEAdQBhAHQAaQBvAG4AcwAuAFYARQBFAFIARwBfADEAMABfADEAXwAxAF8AMQBfAF8AMQBfAEUAbQBpAHMAcwBpAG8AbgBzAEYAcgBvAG0AVwBhAHMAdABlAE0AYQBuAGEAZwBlAG0AZQBuAHQAXwBTAG8AdQByAGMAZQAiACwAIgBXAGEAcwB0AGUAUwBvAGwAaQBkAF8ARQBxAHUAYQB0AGkAbwBuAHMALgBWAEUARQBSAEcAXwAxADAAXwAxAF8AMQBfADEAXwBfADEAXwBFAG0AaQBzAHMAaQBvAG4AcwBGAHIAbwBtAFcAYQBzAHQAZQBNAGEAbgBhAGcAZQBtAGUAbgB0AF8ATgBJAFIAUgBlAGYAZQByAGUAbgBjAGUAIgAsACIAVwBhAHMAdABlAFMAbwBsAGkAZABfAEUAcQB1AGEAdABpAG8AbgBzAC4AVgBFAEUAUgBHAF8AMQAwAF8AMQBfADEAXwAxAF8AXwAxAF8ARQBtAGkAcwBzAGkAbwBuAHMARgByAG8AbQBXAGEAcwB0AGUATQBhAG4AYQBnAGUAbQBlAG4AdABfAEwAYQB0AGUAeABFAHEAdQBhAHQAaQBvAG4AIgAsACIAVwBhAHMAdABlAFMAbwBsAGkAZABfAEUAcQB1AGEAdABpAG8AbgBzAC4AVgBFAEUAUgBHAF8AMQAwAF8AMQBfADEAXwAxAF8AXwAxAF8ARQBtAGkAcwBzAGkAbwBuAHMARgByAG8AbQBXAGEAcwB0AGUATQBhAG4AYQBnAGUAbQBlAG4AdABfAEEAcgBnAHUAbQBlAG4AdABzACIALAAiAFcAYQBzAHQAZQBTAG8AbABpAGQAXwBFAHEAdQBhAHQAaQBvAG4AcwAuAFYARQBFAFIARwBfADEAMABfADEAXwAxAF8AMQBfAF8AMQBfAEUAbQBpAHMAcwBpAG8AbgBzAEYAcgBvAG0AVwBhAHMAdABlAE0AYQBuAGEAZwBlAG0AZQBuAHQAXwBWAGEAcgBpAGEAdABpAG8AbgAiACwAIgBXAGEAcwB0AGUAUwBvAGwAaQBkAF8ARQBxAHUAYQB0AGkAbwBuAHMALgBWAEUARQBSAEcAXwAxADAAXwAxAF8AMQBfADEAXwBfADIAXwBNAGEAcwBzAE8AZgBXAGEAcwB0AGUARgByAG8AbQBWAG8AbAB1AG0AZQAiACwAIgBXAGEAcwB0AGUAUwBvAGwAaQBkAF8ARQBxAHUAYQB0AGkAbwBuAHMALgBWAEUARQBSAEcAXwAxADAAXwAxAF8AMQBfADEAXwBfADIAXwBNAGEAcwBzAE8AZgBXAGEAcwB0AGUARgByAG8AbQBWAG8AbAB1AG0AZQBfAFQAaQB0AGwAZQAiACwAIgBXAGEAcwB0AGUAUwBvAGwAaQBkAF8ARQBxAHUAYQB0AGkAbwBuAHMALgBWAEUARQBSAEcAXwAxADAAXwAxAF8AMQBfADEAXwBfADIAXwBNAGEAcwBzAE8AZgBXAGEAcwB0AGUARgByAG8AbQBWAG8AbAB1AG0AZQBfAFYAYQByAGkAYQBiAGwAZQAiACwAIgBXAGEAcwB0AGUAUwBvAGwAaQBkAF8ARQBxAHUAYQB0AGkAbwBuAHMALgBWAEUARQBSAEcAXwAxADAAXwAxAF8AMQBfADEAXwBfADIAXwBNAGEAcwBzAE8AZgBXAGEAcwB0AGUARgByAG8AbQBWAG8AbAB1AG0AZQBfAFUAbgBpAHQAIgAsACIAVwBhAHMAdABlAFMAbwBsAGkAZABfAEUAcQB1AGEAdABpAG8AbgBzAC4AVgBFAEUAUgBHAF8AMQAwAF8AMQBfADEAXwAxAF8AXwAyAF8ATQBhAHMAcwBPAGYAVwBhAHMAdABlAEYAcgBvAG0AVgBvAGwAdQBtAGUAXwBTAG8AdQByAGMAZQAiACwAIgBXAGEAcwB0AGUAUwBvAGwAaQBkAF8ARQBxAHUAYQB0AGkAbwBuAHMALgBWAEUARQBSAEcAXwAxADAAXwAxAF8AMQBfADEAXwBfADIAXwBNAGEAcwBzAE8AZgBXAGEAcwB0AGUARgByAG8AbQBWAG8AbAB1AG0AZQBfAE4ASQBSAFIAZQBmAGUAcgBlAG4AYwBlACIALAAiAFcAYQBzAHQAZQBTAG8AbABpAGQAXwBFAHEAdQBhAHQAaQBvAG4AcwAuAFYARQBFAFIARwBfADEAMABfADEAXwAxAF8AMQBfAF8AMgBfAE0AYQBzAHMATwBmAFcAYQBzAHQAZQBGAHIAbwBtAFYAbwBsAHUAbQBlAF8ATABhAHQAZQB4AEUAcQB1AGEAdABpAG8AbgAiACwAIgBXAGEAcwB0AGUAUwBvAGwAaQBkAF8ARQBxAHUAYQB0AGkAbwBuAHMALgBWAEUARQBSAEcAXwAxADAAXwAxAF8AMQBfADEAXwBfADIAXwBNAGEAcwBzAE8AZgBXAGEAcwB0AGUARgByAG8AbQBWAG8AbAB1AG0AZQ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AsACIAZgBpAGwAZQBzACIAOgBbAHsAIgBwAGEAdABoACIAOgAiAC8AcAByAG8AagBlAGMAdABzAC8AVwBvAHIAawBiAG8AbwBrACIALAAiAHQAZQB4AHQAIgA6ACIALwAvACAALQAtAC0AIABXAG8AcgBrAGIAbwBvAGsAIABtAG8AZAB1AGwAZQAgAC0ALQAtAFwAbgAvAC8AIABBACAAZgBpAGwAZQAgAG8AZgAgAG4AYQBtAGUAIABkAGUAZgBpAG4AaQB0AGkAbwBuAHMAIABvAGYAIAB0AGgAZQAgAGYAbwByAG0AOgBcAG4ALwAvACAAIAAgACAAbgBhAG0AZQAgAD0AIABkAGUAZgBpAG4AaQB0AGkAbwBuADsAXABuAFYAYQBsAGkAZABMAGkAdgBlAHMAdABvAGMAawBDAGwAYQBzAHMAXABuAD0AIABVAE4ASQBRAFUARQAoAEYASQBMAFQARQBSACgAVABhAGIAbABlAF8AUwBjAG8AcABlADMAXwBMAGkAdgBlAHMAdABvAGMAawBbAFAAcgBvAGQAdQBjAHQAXQAsACAAVABhAGIAbABlAF8AUwBjAG8AcABlADMAXwBMAGkAdgBlAHMAdABvAGMAawBbAEMAYQB0AGUAZwBvAHIAeQBdAD0AVABhAGIAbABlAF8ASQBuAHAAdQB0AF8ATABpAHYAZQBzAHQAbwBjAGsAUAB1AHIAYwBoAGEAcwBlAHMAWwBbACMAVABoAGkAcwAgAFIAbwB3AF0ALABbAEwAaQB2AGUAcwB0AG8AYwBrACAAdAB5AHAAZQAgACgAcwBlAGwAZQBjAHQAKQBdAF0AKQApAFwAbgBcAG4AIgB9ACwAewAiAHAAYQB0AGgAIgA6ACIALwBwAHIAbwBqAGUAYwB0AHMALwBGAHUAZQBsAF8AUwBvAHUAcgBjAGUARABhAHQAYQAiACwAIgB0AGUAeAB0ACIAOgAiAC8AKgBcAG4APQA9AD0APQA9AD0APQA9AD0APQA9AD0APQA9AD0APQA9AD0APQA9AD0APQA9AD0APQA9AD0APQA9AD0APQA9AD0APQA9AD0APQA9AD0APQA9AD0APQA9AD0APQA9AD0APQA9AD0APQA9AD0APQA9AD0APQA9AD0APQA9AD0APQA9AD0APQA9AD0APQA9AD0APQA9AD0APQBcAG4ARgB1AGUAbAAgAHMAYwBvAHAAZQAgADE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EARQBtAGkAcwBzAGkAbwBuAEYAYQBjAHQAbwByAHMAUwB0AGEAdABpAG8AbgBhAHIAeQBHAGEAcwBlAG8AdQBzAF8AVABpAHQAbABlAFwAbgA9AEwAQQBNAEIARABBACgAKABcACIARgB1AGUAbAAgAHMAYwBvAHAAZQAgADEAIABlAG0AaQBzAHMAaQBvAG4AIABmAGEAYwB0AG8AcgBzACAALQAgAFMAdABhAHQAaQBvAG4AYQByAHkAIABnAGEAcwBlAG8AdQBzACAAZgB1AGUAbABzAFwAIgApACkAOwBcAG4AXABuAEYAdQBlAGwAXwBTAGMAbwBwAGUAMQBFAG0AaQBzAHMAaQBvAG4ARgBhAGMAdABvAHIAcwBTAHQAYQB0AGkAbwBuAGEAcgB5AEcAYQBzAGUAbwB1AHMAXwBEAGUAcwBjAHIAaQBwAHQAaQBvAG4AXABuAD0ATABBAE0AQgBEAEEAKAAoAFwAIgBEAGkAcgBlAGMAdAAgACgAUwBjAG8AcABlACAAMQApACAAZQBtAGkAcwBzAGkAbwBuACAAZgBhAGMAdABvAHIAcwAgAGYAbwByACAAdABoAGUAIABjAG8AbgBzAHUAbQBwAHQAaQBvAG4AIABvAGYAIABnAGEAcwBlAG8AdQBzACAAZgB1AGUAbABzACAAaQBuAGMAbAB1AGQAaQBuAGcAIABsAGkAcQB1AGUAZgBpAGUAZAAgAG4AYQB0AHUAcgBhAGwAIABnAGEAcwAgACAAXAAiACkAKQA7AFwAbgBcAG4ARgB1AGUAbABfAFMAYwBvAHAAZQAx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1AFwAIgApACkAOwBcAG4AXABuAEYAdQBlAGwAXwBTAGMAbwBwAGUAMQBFAG0AaQBzAHMAaQBvAG4ARgBhAGMAdABvAHIAcwBTAHQAYQB0AGkAbwBuAGEAcgB5AEcAYQBzAGUAbwB1AHMAXwBEAGEAdABhAFwAbgA9AEwAQQBNAEIARABBACgAXABuACAAIABNAEEASwBFAEEAUgBSAEEAWQAoADEAOQAsACAANwAsAFwAbgAgACAAIAAgAEwAQQBNAEIARABBACgAcgAsAGMALABcAG4AIAAgACAAIAAgACAASQBOAEQARQBYACgAewBcAG4AIAAgACAAIAAgACAAIAAgAFwAIgBGAHUAZQBsACAAYwBvAG0AYgB1AHMAdABlAGQAXAAiACwAIABcACIARQBuAGUAcgBnAHkAIABDAG8AbgB0AGUAbgB0ACAARgBhAGMAdABvAHIAIA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DsAXABuACAAIAAgACAAIAAgACAAIABcACIATgBhAHQAdQByAGEAbAAgAGcAYQBzACAAZABpAHMAdAByAGkAYgB1AHQAZQBkACAAaQBuACAAYQAgAHAAaQBwAGUAbABpAG4AZQBcACIALAAgADAALgAwADMAOQAzACwAIABcACIAbQAzAFwAIgAsACAANQAxAC4ANAAsACAAMAAuADEALAAgADAALgAwADMALAAgADUAMQAuADUAMwA7AFwAbgAgACAAIAAgACAAIAAgACAAXAAiAEMAbwBhAGwAIABzAGUAYQBtACAAbQBlAHQAaABhAG4AZQAgAHQAaABhAHQAIABpAHMAIABjAGEAcAB0AHUAcgBlAGQAIABmAG8AcgAgAGMAbwBtAGIAdQBzAHQAaQBvAG4AXAAiACwAIAAwAC4AMAAzADcANwAsACAAXAAiAG0AMwBcACIALAAgADUAMQAuADQALAAgADAALgAyACwAIAAwAC4AMAAzACwAIAA1ADEALgA2ADMAOwBcAG4AIAAgACAAIAAgACAAIAAgAFwAIgBDAG8AYQBsACAAbQBpAG4AZQAgAHcAYQBzAHQAZQAgAGcAYQBzACAAdABoAGEAdAAgAGkAcwAgAGMAYQBwAHQAdQByAGUAZAAgAGYAbwByACAAYwBvAG0AYgB1AHMAdABpAG8AbgBcACIALAAgADAALgAwADMANwA3ACwAIABcACIAbQAzAFwAIgAsACAANQAxAC4AOQAsACAANAAuADYALAAgADAALgAzACwAIAA1ADYALgA4ADsAXABuACAAIAAgACAAIAAgACAAIABcACIAQwBvAG0AcAByAGUAcwBzAGUAZAAgAG4AYQB0AHUAcgBhAGwAIABnAGEAcwAoAHIAZQB2AGUAcgB0AGkAbgBnACAAdABvACAAcwB0AGEAbgBkAGEAcgBkACAAYwBvAG4AZABpAHQAaQBvAG4AcwApAFwAIgAsACAAMAAuADAAMwA5ADMALAAgAFwAIgBtADMAXAAiACwAIAA1ADEALgA0ACwAIAAwAC4AMQAsACAAMAAuADAAMwAsACAANQAxAC4ANQAzADsAXABuACAAIAAgACAAIAAgACAAIABcACIAVQBuAHAAcgBvAGMAZQBzAHMAZQBkACAAbgBhAHQAdQByAGEAbAAgAGcAYQBzAFwAIgAsACAAMAAuADAAMwA5ADMALAAgAFwAIgBtADMAXAAiACwAIAA1ADEALgA0ACwAIAAwAC4AMQAsACAAMAAuADAAMwAsACAANQAxAC4ANQAzADsAXABuACAAIAAgACAAIAAgACAAIABcACIARQB0AGgAYQBuAGUAXAAiACwAIAAwAC4AMAA2ADIAOQAsACAAXAAiAG0AMwBcACIALAAgADUANgAuADUALAAgADAALgAwADMALAAgADAALgAwADMALAAgADUANgAuADUANgA7AFwAbgAgACAAIAAgACAAIAAgACAAXAAiAEMAbwBrAGUAIABvAHYAZQBuACAAZwBhAHMAXAAiACwAIAAwAC4AMAAxADgAMQAsACAAXAAiAG0AMwBcACIALAAgADMANwAuADAALAAgADAALgAwADMALAAgADAALgAwADUALAAgADMANwAuADAAOAA7AFwAbgAgACAAIAAgACAAIAAgACAAXAAiAEIAbABhAHMAdAAgAGYAdQByAG4AYQBjAGUAIABnAGEAcwBcACIALAAgADAALgAwADAANAAwACwAIABcACIAbQAzAFwAIgAsACAAMgAzADQALgAwACwAIAAwAC4AMAAzACwAIAAwAC4AMAAyACwAIAAyADMANAAuADAANQA7AFwAbgAgACAAIAAgACAAIAAgACAAXAAiAFQAbwB3AG4AIABnAGEAcwBcACIALAAgADAALgAwADMAOQAwACwAIABcACIAbQAzAFwAIgAsACAANgAwAC4AMgAsACAAMAAuADAANAAsACAAMAAuADAAMwAsACAANgAwAC4AMgA3ADsAXABuACAAIAAgACAAIAAgACAAIABcACIATABpAHEAdQBlAGYAaQBlAGQAIABuAGEAdAB1AHIAYQBsACAAZwBhAHMAXAAiACwAIAAyADUALgAzACwAIABcACIAawBMAFwAIgAsACAANQAxAC4ANAAsACAAMAAuADEALAAgADAALgAwADMALAAgADUAMQAuADUAMwA7AFwAbgAgACAAIAAgACAAIAAgACAAXAAiAEcAYQBzAGUAbwB1AHMAIABmAG8AcwBzAGkAbAAgAGYAdQBlAGwAcwAgAG8AdABoAGUAcgAgAHQAaABhAG4AIAB0AGgAbwBzAGUAIABtAGUAbgB0AGkAbwBuAGUAZAAgAGkAbgAgAHQAaABlACAAaQB0AGUAbQBzACAAYQBiAG8AdgBlAFwAIgAsACAAMAAuADAAMwA5ADAALAAgAFwAIgBtADMAXAAiACwAIAA1ADEALgA0ACwAIAAwAC4AMQAsACAAMAAuADAAMwAsACAANQAxAC4ANQAzADsAXABuACAAIAAgACAAIAAgACAAIABcACIATABhAG4AZABmAGkAbABsACAAYgBpAG8AZwBhAHMAIAB0AGgAYQB0ACAAaQBzACAAYwBhAHAAdAB1AHIAZQBkACAAZgBvAHIAIABjAG8AbQBiAHUAcwB0AGkAbwBuACAAKABtAGUAdABoAGEAbgBlACAAbwBuAGwAeQApAFwAIgAsACAAMAAuADAAMwA3ADcALAAgAFwAIgBtADMAXAAiACwAIAAwAC4AMAAsACAANgAuADQALAAgADAALgAwADMALAAgADYALgA0ADMAOwBcAG4AIAAgACAAIAAgACAAIAAgAFwAIgBTAGwAdQBkAGcAZQAgAGIAaQBvAGcAYQBzACAAdABoAGEAdAAgAGkAcwAgAGMAYQBwAHQAdQByAGUAZAAgAGYAbwByACAAYwBvAG0AYgB1AHMAdABpAG8AbgAgACgAbQBlAHQAaABhAG4AZQAgAG8AbgBsAHkAKQBcACIALAAgADAALgAwADMANwA3ACwAIABcACIAbQAzAFwAIgAsACAAMAAuADAALAAgADYALgA0ACwAIAAwAC4AMAAzACwAIAA2AC4ANAAzADsAXABuACAAIAAgACAAIAAgACAAIABcACIAQQAgAGIAaQBvAGcAYQBzACAAdABoAGEAdAAgAGkAcwAgAGMAYQBwAHQAdQByAGUAZAAgAGYAbwByACAAYwBvAG0AYgB1AHMAdABpAG8AbgAsACAAbwB0AGgAZQByACAAdABoAGEAbgAgAHQAaABvAHMAZQAgAG0AZQBuAHQAaQBvAG4AZQBkACAAaQBuACAAdABoAGUAIABpAHQAZQBtAHMAIABhAGIAbwB2AGUAXAAiACwAIAAwAC4AMAAzADcAMAAsACAAXAAiAG0AMwBcACIALAAgADAALgAwACwAIAA2AC4ANAAsACAAMAAuADAAMwAsACAANgAuADQAMwA7AFwAbgAgACAAIAAgACAAIAAgACAAXAAiAEIAaQBvAG0AZQB0AGgAYQBuAGUAXAAiACwAIAAwAC4AMAAzADkAMwAsACAAXAAiAG0AMwBcACIALAAgADAALgAwACwAIAAwAC4AMQAsACAAMAAuADAAMwAsACAAMAAuADEAMwA7AFwAbgAgACAAIAAgACAAIAAgACAAXAAiAEgAeQBkAHIAbwBnAGUAbgBcACIALAAgADAALgAwADEAMgAyACwAIABcACIAbQAzAFwAIgAsACAAMAAuADAALAAgADAALgAwACwAIAAwAC4ANQAsACAAMAAuADUAOwBcAG4AIAAgACAAIAAgACAAIAAgAFwAIgBOAGEAdAB1AHIAYQBsACAAZwBhAHMAIABkAGkAcwB0AHIAaQBiAHUAdABlAGQAIABpAG4AIABhACAAcABpAHAAZQBsAGkAbgBlACAALQAgAEcAaQBnAGEAagBvAHUAbABlAHMAXAAiACwAIAAxACwAIABcACIARwBKAFwAIgAsACAANQAxAC4ANAAsACAAMAAuADEALAAgADAALgAwADMALAAgADUAMQAuADUAMwA7AFwAbgAgACAAIAAgACAAIAAgACAAXAAiAFQAbwB3AG4AIABnAGEAcwAgAC0AIABHAGkAZwBhAGoAbwB1AGwAZQBzAFwAIgAsACAAMQAsACAAXAAiAEcASgBcACIALAAgADYAMAAuADIALAAgADAALgAwADQALAAgADAALgAwADMALAAgADYAMAAuADIANwBcAG4AIAAgACAAIAAgACAAfQAsACAAcgAsACAAYwApAFwAbgApACkAKQA7AFwAbgBcAG4ARgB1AGUAbABfAFMAYwBvAHAAZQAxAEUAbQBpAHMAcwBpAG8AbgBGAGEAYwB0AG8AcgBzAFMAdABhAHQAaQBvAG4AYQByAHkARwBhAHMAZQBvAHUAcwBfAFYAYQByAGkAYQB0AGkAbwBuAFwAbgA9AEwAQQBNAEIARABBACgAKABcACIAVgBBAFIASQBBAFQASQBPAE4AIABPAEYAIABTAE8AVQBSAEMARQAgAEQAQQBUAEEAOgAgAFwAdQAwADAAMgA3AE4AYQB0AHUAcgBhAGwAIABnAGEAcwAgAGQAaQBzAHQAcgBpAGIAdQB0AGUAZAAgAGkAbgAgAGEAIABwAGkAcABlAGwAaQBuAGUAIAAtACAARwBpAGcAYQBqAG8AdQBsAGUAcwBcAHUAMAAwADIANwAgAGEAbgBkACAAXAB1ADAAMAAyADcAVABvAHcAbgAgAGcAYQBzACAALQAgAEcAaQBnAGEAagBvAHUAbABlAHMAXAB1ADAAMAAyADcAIAB3AGUAcgBlACAAYQBkAGQAZQBkACwAIABlAGEAYwBoACAAdwBpAHQAaAAgAGEAbgAgAGUAbgBlAHIAZwB5ACAAYwBvAG4AdABlAG4AdAAgAGYAYQBjAHQAbwByACAAbwBmACAAMQAgAEcASgAgAHAAZQByACAAdQBuAGkAdAAgAG8AZgAgAGYAdQBlAGwALgAgAFQAaABpAHMAIABpAHMAIABmAG8AcgAgAHUAcwBlAHIAcwAgAHcAaABvACAAaABhAHYAZQAgAGYAdQBlAGwAIABjAG8AbgBzAHUAbQBwAHQAaQBvAG4AIABkAGEAdABhACAAaQBuACAARwBKACAAcgBhAHQAaABlAHIAIAB0AGgAYQBuACAAbQAzAC4AXAAiACkAKQA7AFwAbgBcAG4AXABuAC8AKgBcAG4APQA9AD0APQA9AD0APQA9AD0APQA9AD0APQA9AD0APQA9AD0APQA9AD0APQA9AD0APQA9AD0APQA9AD0APQA9AD0APQA9AD0APQA9AD0APQA9AD0APQA9AD0APQA9AD0APQA9AD0APQA9AD0APQA9AD0APQA9AD0APQA9AD0APQA9AD0APQA9AD0APQA9AD0APQA9AD0APQBcAG4ARgB1AGUAbAAgAHMAYwBvAHAAZQAgADM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MARQBtAGkAcwBzAGkAbwBuAEYAYQBjAHQAbwByAHMAUwB0AGEAdABpAG8AbgBhAHIAeQBHAGEAcwBlAG8AdQBzAF8AVABpAHQAbABlAFwAbgA9AEwAQQBNAEIARABBACgAKABcACIARgB1AGUAbAAgAHMAYwBvAHAAZQAgADMAIABlAG0AaQBzAHMAaQBvAG4AIABmAGEAYwB0AG8AcgBzACAALQAgAFMAdABhAHQAaQBvAG4AYQByAHkAIABnAGEAcwBlAG8AdQBzACAAZgB1AGUAbABzAFwAIgApACkAOwBcAG4AXABuAEYAdQBlAGwAXwBTAGMAbwBwAGUAMwBFAG0AaQBzAHMAaQBvAG4ARgBhAGMAdABvAHIAcwBTAHQAYQB0AGkAbwBuAGEAcgB5AEcAYQBzAGUAbwB1AHMAXwBEAGUAcwBjAHIAaQBwAHQAaQBvAG4AXABuAD0ATABBAE0AQgBEAEEAKAAoAFwAIgBJAG4AZABpAHIAZQBjAHQAIAAoAFMAYwBvAHAAZQAgADMAKQAgAGUAbQBpAHMAcwBpAG8AbgAgAGYAYQBjAHQAbwByAHMAIABmAG8AcgAgAHQAaABlACAAYwBvAG4AcwB1AG0AcAB0AGkAbwBuACAAbwBmACAAbgBhAHQAdQByAGEAbAAgAGcAYQBzAC4AXAAiACkAKQA7AFwAbgBcAG4ARgB1AGUAbABfAFMAYwBvAHAAZQAz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2AFwAIgApACkAOwBcAG4AXABuAEYAdQBlAGwAXwBTAGMAbwBwAGUAMwBFAG0AaQBzAHMAaQBvAG4ARgBhAGMAdABvAHIAcwBTAHQAYQB0AGkAbwBuAGEAcgB5AEcAYQBzAGUAbwB1AHMAXwBEAGEAdABhAFwAbgA9AEwAQQBNAEIARABBACgAXABuACAAIABNAEEASwBFAEEAUgBSAEEAWQAoADkALAAgADMALABcAG4AIAAgACAAIABMAEEATQBCAEQAQQAoAHIALABjACwAXABuACAAIAAgACAAIAAgAEkATgBEAEUAWAAoAHsAXABuACAAIAAgACAAIAAgACAAIABcACIAUwB0AGEAdABlACAAbwByACAAdABlAHIAcgBpAHQAbwByAHkAXAAiACwAIABcACIAUwBjAG8AcABlACAAMwAgAEUAbQBpAHMAcwBpAG8AbgAgAEYAYQBjAHQAbwByAHMAIABmAG8AcgAgAE4AYQB0AHUAcgBhAGwAIABHAGEAcwAgACgAawBnACAAQwBPADIAIAAtACAAZQAgAC8AIABHAEoAKQAgAE0AZQB0AHIAbwBcACIALAAgAFwAIgBTAGMAbwBwAGUAIAAzACAARQBtAGkAcwBzAGkAbwBuACAARgBhAGMAdABvAHIAcwAgAGYAbwByACAATgBhAHQAdQByAGEAbAAgAEcAYQBzACAAKABrAGcAIABDAE8AMgAgAC0AIABlACAALwAgAEcASgApACAATgBvAG4AIAAtACAATQBlAHQAcgBvAFwAIgA7AFwAbgAgACAAIAAgACAAIAAgACAAXAAiAE4AZQB3ACAAUwBvAHUAdABoACAAVwBhAGwAZQBzAFwAIgAsACAAMQAzAC4AMQAsACAAMQA0AC4AMAA7AFwAbgAgACAAIAAgACAAIAAgACAAXAAiAEEAQwBUAFwAIgAsACAAMQAzAC4AMQAsACAAMQA0AC4AMAA7AFwAbgAgACAAIAAgACAAIAAgACAAXAAiAFYAaQBjAHQAbwByAGkAYQBcACIALAAgADQALgAwACwAIAA0AC4AMAA7AFwAbgAgACAAIAAgACAAIAAgACAAXAAiAFEAdQBlAGUAbgBzAGwAYQBuAGQAXAAiACwAIAA4AC4AOAAsACAANwAuADkAOwBcAG4AIAAgACAAIAAgACAAIAAgAFwAIgBTAG8AdQB0AGgAIABBAHUAcwB0AHIAYQBsAGkAYQBcACIALAAgADEAMAAuADcALAAgADEAMAAuADYAOwBcAG4AIAAgACAAIAAgACAAIAAgAFwAIgBXAGUAcwB0AGUAcgBuACAAQQB1AHMAdAByAGEAbABpAGEAXAAiACwAIAA0AC4AMQAsACAANAAuADAAOwBcAG4AIAAgACAAIAAgACAAIAAgAFwAIgBUAGEAcwBtAGEAbgBpAGEAXAAiACwAIAA0AC4AMAAsACAANAAuADAAOwBcAG4AIAAgACAAIAAgACAAIAAgAFwAIgBOAG8AcgB0AGgAZQByAG4AIABUAGUAcgByAGkAdABvAHIAeQBcACIALAAgADQALgAxACwAIAA0AC4AMABcAG4AIAAgACAAIAAgACAAfQAsACAAcgAsACAAYwApAFwAbgApACkAKQA7AFwAbgBcAG4ARgB1AGUAbABfAFMAYwBvAHAAZQAzAEUAbQBpAHMAcwBpAG8AbgBGAGEAYwB0AG8AcgBzAFMAdABhAHQAaQBvAG4AYQByAHkARwBhAHMAZQBvAHUAcwBfAFYAYQByAGkAYQB0AGkAbwBuAFwAbgA9AEwAQQBNAEIARABBACgAKABcACIAVgBBAFIASQBBAFQASQBPAE4AIABPAEYAIABTAE8AVQBSAEMARQAgAEQAQQBUAEEAOgAgAE4AUwBXACAAYQBuAGQAIABBAEMAVAAgAHMAcABsAGkAdAAgAGkAbgB0AG8AIABzAGUAcABhAHIAYQB0AGUAIAByAG8AdwBzAC4AIABcAHUAMAAwADIANwBDAFwAdQAwADAAMgA3ACAAVgBhAGwAdQBlAHMAIABmAG8AcgAgAFQAYQBzAG0AYQBuAGkAYQAgAGEAbgBkACAATgBvAHIAdABoAGUAcgBuACAAVABlAHIAcgBpAHQAbwByAHkAIAByAGUAcABsAGEAYwBlAGQAIAB3AGkAdABoACAAdABoAG8AcwBlACAAZgBvAHIAIABWAGkAYwB0AG8AcgBpAGEAIABhAG4AZAAgAFcAZQBzAHQAZQByAG4AIABBAHUAcwB0AHIAYQBsAGkAYQAgAHIAZQBzAHAAZQBjAHQAaQB2AGUAbAB5AC4AIAAoAFMAZQBlACAAYQBwAHAAZQBuAGQAaQBjAGUAcwApAFwAIgApACkAOwBcAG4AXABuAEYAdQBlAGwAXwBTAGMAbwBwAGUAMwBFAG0AaQBzAHMAaQBvAG4ARgBhAGMAdABvAHIAcwBTAHQAYQB0AGkAbwBuAGEAcgB5AEcAYQBzAGUAbwB1AHMAXwBBAHAAcABlAG4AZABpAGMAZQBzAFwAbgA9AEwAQQBNAEIARABBACgAXABuACAAIABNAEEASwBFAEEAUgBSAEEAWQAoADEAMgAsACAAMgAsAFwAbgAgACAAIAAgAEwAQQBNAEIARABBACgAcgAsAGMALABcAG4AIAAgACAAIAAgACAASQBOAEQARQBYACgAewBcAG4AIAAgACAAIAAgACAAIAAgAFwAIgAtAFwAIgAsACAAXAAiAEEAcwAgAFMAYwBvAHAAZQAgADMAIABmAGEAYwB0AG8AcgBzACAAYQByAGUAIABjAGEAbABjAHUAbABhAHQAZQBkACAAYQB0ACAAdABoAGUAIABwAG8AaQBuAHQAIAB3AGgAZQByAGUAIABuAGEAdAB1AHIAYQBsACAAZwBhAHMAIABpAHMAIABkAGUAbABpAHYAZQByAGUAZAAgAHQAbwAgAGUAbgBkACAAdQBzAGUAcgBzACwAIABpAHQAIABpAHMAIABuAGUAYwBlAHMAcwBhAHIAeQAgAHQAbwAgAGMAYQBsAGMAdQBsAGEAdABlACAAYwBvAG4AcwB1AG0AcAB0AGkAbwBuACAAYQB0ACAAZQBhAGMAaAAgAG8AZgAgAHQAaABlACAAbABvAGEAZAAgAGMAZQBuAHQAcgBlAHMALgBcACIAOwBcAG4AIAAgACAAIAAgACAAIAAgAFwAIgBcACIALAAgAFwAIgBHAGEAcwAgAHIAZQBhAGMAaABlAHMAIABlAG4AZAAgAHUAcwBlAHIAcwAgAGUAaQB0AGgAZQByACAAZgByAG8AbQAgAHQAaABlACAAbQBlAHQAcgBvACAAZABpAHMAdAByAGkAYgB1AHQAaQBvAG4AIABuAGUAdAB3AG8AcgBrAHMAIABvAHIAIABkAGkAcgBlAGMAdAAgAGYAcgBvAG0AIAB0AGgAZQAgAGgAaQBnAGgAIAAtACAAcAByAGUAcwBzAHUAcgBlACAAZABpAHMAdAByAGkAYgB1AHQAaQBvAG4AIABwAGkAcABlAGwAaQBuAGUAcwAuAFwAIgA7AFwAbgAgACAAIAAgACAAIAAgACAAXAAiAFwAIgAsACAAXAAiAEgAbwB1AHMAZQBoAG8AbABkAHMAIABhAG4AZAAgAGMAbwBtAG0AZQByAGMAaQBhAGwAIAB1AHMAZQByAHMAIAB0AGUAbgBkACAAdABvACAAYgBlACAAcwBlAHIAdgBlAGQAIABiAHkAIAB0AGgAZQAgAGYAbwByAG0AZQByACwAIABhAG4AZAAgAGUAbABlAGMAdAByAGkAYwBpAHQAeQAgAGcAZQBuAGUAcgBhAHQAbwByAHMAIABhAG4AZAAgAGwAYQByAGcAZQAgAGkAbgBkAHUAcwB0AHIAaQBhAGwAIABwAGwAYQBuAHQAcwAgAGYAcgBvAG0AIAB0AGgAZQAgAGwAYQB0AHQAZQByAC4AXAAiADsAXABuACAAIAAgACAAIAAgACAAIABcACIALQBcACIALAAgAFwAIgBNAGUAdAByAG8AIABpAHMAIABkAGUAZgBpAG4AZQBkACAAYQBzACAAbABvAGMAYQB0AGUAZAAgAG8AbgAgAG8AcgAgAGUAYQBzAHQAIABvAGYAIAB0AGgAZQAgAGQAaQB2AGkAZABpAG4AZwAgAHIAYQBuAGcAZQAgAGkAbgAgAE4AUwBXACwAIABpAG4AYwBsAHUAZABpAG4AZwAgAEMAYQBuAGIAZQByAHIAYQAgAGEAbgBkACAAUQB1AGUAYQBuAGIAZQB5AGEAbgAsACAATQBlAGwAYgBvAHUAcgBuAGUALAAgAEIAcgBpAHMAYgBhAG4AZQAsACAAQQBkAGUAbABhAGkAZABlACAAbwByACAAUABlAHIAdABoAC4AXAAiADsAXABuACAAIAAgACAAIAAgACAAIABcACIAXAAiACwAIABcACIATwB0AGgAZQByAHcAaQBzAGUALAAgAHQAaABlACAAbgBvAG4AIAAtACAAbQBlAHQAcgBvACAAZgBhAGMAdABvAHIAIABzAGgAbwB1AGwAZAAgAGIAZQAgAHUAcwBlAGQALgBcACIAOwBcAG4AIAAgACAAIAAgACAAIAAgAFwAIgAtAFwAIgAsACAAXAAiAEYAYQBjAHQAbwByAHMAIABhAHIAZQAgAGMAYQBsAGMAdQBsAGEAdABlAGQAIABmAG8AcgAgAGEAbABsACAAbgBhAHQAdQByAGEAbAAgAGcAYQBzACAAZABpAHMAdAByAGkAYgB1AHQAZQBkACAAaQBuACAAYQAgAHAAaQBwAGUAbABpAG4AZQAgAHcAaABpAGMAaAAgAG0AYQB5ACAAaQBuAGMAbAB1AGQAZQAgAGMAbwBhAGwAIABzAGUAYQBtACAAbQBlAHQAaABhAG4AZQAuAFwAIgA7AFwAbgAgACAAIAAgACAAIAAgACAAXAAiAC0AXAAiACwAIABcACIAVABhAGIAbABlACAANgAgAGkAcwAgAG4AbwB0ACAAYQBwAHAAbABpAGMAYQBiAGwAZQAgAHQAbwAgAGUAdABoAGEAbgBlAC4AIABTAGUAZQAgAFQAYQBiAGwAZQAgADcAIABJAG4AZABpAHIAZQBjAHQAIAAoAFMAYwBvAHAAZQAgADMAKQAgAGUAbQBpAHMAcwBpAG8AbgBzACAAZgByAG8AbQAgAHQAaABlACAAYwBvAG4AcwB1AG0AcAB0AGkAbwBuACAAbwBmACAAZQB0AGgAYQBuAGUALgBcACIAOwBcAG4AIAAgACAAIAAgACAAIAAgAFwAIgAtAFwAIgAsACAAXAAiAEMAIAA9ACAAQwBvAG4AZgBpAGQAZQBuAHQAaQBhAGwALgAgAFMAYwBvAHAAZQAgADMAIABlAG0AaQBzAHMAaQBvAG4AIABmAGEAYwB0AG8AcgBzACAAZgBvAHIAIABUAGEAcwBtAGEAbgBpAGEAIABhAG4AZAAgAHQAaABlACAATgBvAHIAdABoAGUAcgBuACAAVABlAHIAcgBpAHQAbwByAHkAIABhAHIAZQAgAG4AbwB0ACAAYQB2AGEAaQBsAGEAYgBsAGUAIABkAHUAZQAgAHQAbwAgAGMAbwBuAGYAaQBkAGUAbgB0AGkAYQBsAGkAdAB5ACAAYwBvAG4AcwB0AHIAYQBpAG4AdABzACAAdABoAGEAdAAgAGEAcgBpAHMAZQBcACIAOwBcAG4AIAAgACAAIAAgACAAIAAgAFwAIgBcACIALAAgAFwAIgBmAHIAbwBtACAAdABoAGUAIAB1AHMAZQAgAG8AZgAgAGEAIABsAGkAbQBpAHQAZQBkACAAbgB1AG0AYgBlAHIAIABvAGYAIABOAEcARQBSACAAZABhAHQAYQAgAGkAbgBwAHUAdABzAC4AIABJAHQAIABpAHMAIABzAHUAZwBnAGUAcwB0AGUAZAAgAHQAaABhAHQAIABmAG8AcgAgAFQAYQBzAG0AYQBuAGkAYQAgAHQAaABlACAAdQBzAGUAIABvAGYAIAB0AGgAZQAgAFYAaQBjAHQAbwByAGkAYQBuACAAZQBtAGkAcwBzAGkAbwBuACAAZgBhAGMAdABvAHIAcwAgAGkAcwAgAGEAcABwAHIAbwBwAHIAaQBhAHQAZQAsAFwAIgA7AFwAbgAgACAAIAAgACAAIAAgACAAXAAiAFwAIgAsACAAXAAiAHcAaABpAGwAZQAgAGYAbwByACAATgBvAHIAdABoAGUAcgBuACAAVABlAHIAcgBpAHQAbwByAHkAIAB0AGgAZQAgAHUAcwBlACAAbwBmACAAdABoAGUAIABXAGUAcwB0AGUAcgBuACAAQQB1AHMAdAByAGEAbABpAGEAbgAgAGUAbQBpAHMAcwBpAG8AbgAgAGYAYQBjAHQAbwByAHMAIABpAHMAIABhAHAAcAByAG8AcAByAGkAYQB0AGUALgBcACIAOwBcAG4AIAAgACAAIAAgACAAIAAgAFwAIgAtAFwAIgAsACAAXAAiAFMAYwBvAHAAZQAgADMAIABlAG0AaQBzAHMAaQBvAG4AIABmAGEAYwB0AG8AcgBzACAAZABvACAAbgBvAHQAIABpAG4AYwBsAHUAZABlACAAZgB1AGcAaQB0AGkAdgBlACAAZQBtAGkAcwBzAGkAbwBuACAAbABlAGEAawBhAGcAZQAgAGYAcgBvAG0AIABsAG8AdwAgAHAAcgBlAHMAcwB1AHIAZQAgAG4AYQB0AHUAcgBhAGwAIABnAGEAcwAgAGQAaQBzAHQAcgBpAGIAdQB0AGkAbwBuACAAcABpAHAAZQBsAGkAbgBlACAAbgBlAHQAdwBvAHIAawBzACAAdwBoAGkAbABlACAAdABoAG8AcwBlACAAZgByAG8AbQAgAGgAaQBnAGgAIABwAHIAZQBzAHMAdQByAGUAXAAiADsAXABuACAAIAAgACAAIAAgACAAIABcACIAXAAiACwAIABcACIAZwBhAHMAIABuAGUAdAB3AG8AcgBrAHMAIABhAHIAZQAgAGMAbwBuAHMAaQBkAGUAcgBlAGQAIABuAGUAZwBsAGkAZwBpAGIAbABlAC4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UwB0AGEAdABpAG8AbgBhAHIAeQAgAGwAaQBxAHUAaQBkACAAZgB1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UwB0AGEAdABpAG8AbgBhAHIAeQBMAGkAcQB1AGkAZABfAFQAaQB0AGwAZQBcAG4APQBMAEEATQBCAEQAQQAoACgAXAAiAEYAdQBlAGwAIABzAGMAbwBwAGUAIAAxACAAYQBuAGQAIAAzACAAZQBtAGkAcwBzAGkAbwBuACAAZgBhAGMAdABvAHIAcwAgAC0AIABTAHQAYQB0AGkAbwBuAGEAcgB5ACAAbABpAHEAdQBpAGQAIABmAHUAZQBsAHMAXAAiACkAKQA7AFwAbgBcAG4ARgB1AGUAbABfAFMAYwBvAHAAZQAxAFMAYwBvAHAAZQAzAEUAbQBpAHMAcwBpAG8AbgBGAGEAYwB0AG8AcgBzAFMAdABhAHQAaQBvAG4AYQByAHkATABpAHEAdQBpAGQAXwBEAGUAcwBjAHIAaQBwAHQAaQBvAG4AXABuAD0ATABBAE0AQgBEAEEAKAAoAFwAIgBEAGkAcgBlAGMAdAAgACgAUwBjAG8AcABlACAAMQApACAAYQBuAGQAIABpAG4AZABpAHIAZQBjAHQAIAAoAHMAYwBvAHAAZQAgADMAKQAgAGUAbQBpAHMAcwBpAG8AbgAgAGYAYQBjAHQAbwByAHMAIABmAG8AcgAgAHQAaABlACAAYwBvAG4AcwB1AG0AcAB0AGkAbwBuACAAbwBmACAAbABpAHEAdQBpAGQAIABmAHUAZQBsAHMALAAgAGkAbgBjAGwAdQBkAGkAbgBnACAAYwBlAHIAdABhAGkAbgAgAHAAZQB0AHIAbwBsAGUAdQBtACAAYgBhAHMAZQBkACAAcAByAG8AZAB1AGMAdABzACAAZgBvAHIAIABzAHQAYQB0AGkAbwBuAGEAcgB5ACAAZQBuAGUAcgBnAHkAIABwAHUAcgBwAG8AcwBlAHMALgBcACIAKQApADsAXABuAFwAbgBGAHUAZQBsAF8AUwBjAG8AcABlADEAUwBjAG8AcABlADMARQBtAGkAcwBzAGkAbwBuAEYAYQBjAHQAbwByAHMAUwB0AGEAdABpAG8AbgBhAHIAeQBMAGkAcQB1AGkAZABfAFMAbwB1AHIAYwBlAFwAbgA9AEwAQQBNAEIARABBACgAKABcACIAQQB1AHMAdAByAGEAbABpAGEAbgAgAE4AYQB0AGkAbwBuAGEAbAAgAEcAcgBlAGUAbgBoAG8AdQBzAGUAIABBAGMAYwBvAHUAbgB0AHMAIABGAGEAYwB0AG8AcgBzACAAMgAwADIANQAgAC0AIABUAGEAYgBsAGUAIAA4AFwAIgApACkAOwBcAG4AXABuAEYAdQBlAGwAXwBTAGMAbwBwAGUAMQBTAGMAbwBwAGUAMwBFAG0AaQBzAHMAaQBvAG4ARgBhAGMAdABvAHIAcwBTAHQAYQB0AGkAbwBuAGEAcgB5AEwAaQBxAHUAaQBkAF8ARABhAHQAYQBcAG4APQBMAEEATQBCAEQAQQAoAFwAbgAgACAATQBBAEsARQBBAFIAUgBBAFkAKAAyADUALAAgADgALABcAG4AIAAgACAAIABMAEEATQBCAEQAQQAoAHIALABjACwAXABuACAAIAAgACAAIAAgAEkATgBEAEUAWAAoAHsAXABuACAAIAAgACAAIAAgACAAIABcACIARgB1AGUAbAAgAGMAbwBtAGIAdQBzAHQAZQBkAFwAIgAsACAAXAAiAEUAbgBlAHIAZwB5ACAAQwBvAG4AdABlAG4AdAAgAEYAYQBjAHQAbwByACA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OwBcAG4AIAAgACAAIAAgACAAIAAgAFwAIgBQAGUAdAByAG8AbABlAHUAbQAgAGIAYQBzAGUAZAAgAG8AaQBsAHMAIAAoAG8AdABoAGUAcgAgAHQAaABhAG4AIABwAGUAdAByAG8AbABlAHUAbQAgAGIAYQBzAGUAZAAgAG8AaQBsACAAdQBzAGUAZAAgAGEAcwAgAGYAdQBlAGwAKQAsACAAZQAuAGcALgAgAGwAdQBiAHIAaQBjAGEAbgB0AHMAXAAiACwAIAAzADgALgA4ACwAIABcACIAawBsAFwAIgAsACAAMQAzAC4AOQAsACAAMAAuADAALAAgADAALgAwACwAIAAxADMALgA5ACwAIAAxADgALgAwADsAXABuACAAIAAgACAAIAAgACAAIABcACIAUABlAHQAcgBvAGwAZQB1AG0AIABiAGEAcwBlAGQAIABnAHIAZQBhAHMAZQBzAFwAIgAsACAAMwA4AC4AOAAsACAAXAAiAGsAbABcACIALAAgADMALgA1ACwAIAAwAC4AMAAsACAAMAAuADAALAAgADMALgA1ACwAIAAxADgALgAwADsAXABuACAAIAAgACAAIAAgACAAIABcACIAQwByAHUAZABlACAAbwBpAGwAIABpAG4AYwBsAHUAZABpAG4AZwAgAGMAcgB1AGQAZQAgAG8AaQBsACAAYwBvAG4AZABlAG4AcwBhAHQAZQBzAFwAIgAsACAANAA1AC4AMwAsACAAXAAiAHQAXAAiACwAIAA2ADkALgA2ACwAIAAwAC4AMAA4ACwAIAAwAC4AMgAsACAANgA5AC4AOAA4ACwAIABcACIATgBFAFwAIgA7AFwAbgAgACAAIAAgACAAIAAgACAAXAAiAE8AdABoAGUAcgAgAG4AYQB0AHUAcgBhAGwAIABnAGEAcwAgAGwAaQBxAHUAaQBkAHMAXAAiACwAIAA0ADYALgA1ACwAIABcACIAdABcACIALAAgADYAMQAuADAALAAgADAALgAwADgALAAgADAALgAyACwAIAA2ADEALgAyADgALAAgAFwAIgBOAEUAXAAiADsAXABuACAAIAAgACAAIAAgACAAIABcACIAQQB1AHQAbwBtAG8AdABpAHYAZQAgAGcAYQBzAG8AbABpAG4AZQAgAC8AIABwAGUAdAByAG8AbAAgACgAbwB0AGgAZQByACAAdABoAGEAbgAgAGYAbwByACAAdQBzAGUAIABhAHMAIABmAHUAZQBsACAAaQBuACAAYQBuACAAYQBpAHIAYwByAGEAZgB0ACkAXAAiACwAIAAzADQALgAyACwAIABcACIAawBMAFwAIgAsACAANgA3AC4ANAAsACAAMAAuADIALAAgADAALgAyACwAIAA2ADcALgA4ADAALAAgADEANwAuADIAOwBcAG4AIAAgACAAIAAgACAAIAAgAFwAIgBBAHYAaQBhAHQAaQBvAG4AIABnAGEAcwBvAGwAaQBuAGUAXAAiACwAIAAzADMALgAxACwAIABcACIAawBMAFwAIgAsACAANgA3ACwAIAAwAC4AMgAsACAAMAAuADIALAAgADYANwAuADQAMAAsACAAMQA4AC4AMAA7AFwAbgAgACAAIAAgACAAIAAgACAAXAAiAEsAZQByAG8AcwBlAG4AZQAgACgAbwB0AGgAZQByACAAdABoAGEAbgAgAGYAbwByACAAdQBzAGUAIABhAHMAIABmAHUAZQBsACAAaQBuACAAYQBuACAAYQBpAHIAYwByAGEAZgB0ACkAXAAiACwAIAAzADcALgA1ACwAIABcACIAawBMAFwAIgAsACAANgA4AC4AOQAsACAAMAAuADAAMQAsACAAMAAuADIALAAgADYAOQAuADEAMQAsACAAMQA4AC4AMAA7AFwAbgAgACAAIAAgACAAIAAgACAAXAAiAEEAdgBpAGEAdABpAG8AbgAgAHQAdQByAGIAaQBuAGUAIABmAHUAZQBsACAALwAgAGsAZQByAG8AcwBlAG4AZQBcACIALAAgADMANgAuADgALAAgAFwAIgBrAEwAXAAiACwAIAA2ADkALgA2ACwAIAAwAC4AMAAyACwAIAAwAC4AMgAsACAANgA5AC4AOAAyACwAIAAxADgALgAwADsAXABuACAAIAAgACAAIAAgACAAIABcACIASABlAGEAdABpAG4AZwAgAG8AaQBsAFwAIgAsACAAMwA3AC4AMwAsACAAXAAiAGsATABcACIALAAgADYAOQAuADUALAAgADAALgAwADMALAAgADAALgAyACwAIAA2ADkALgA3ADMALAAgADEAOAAuADAAOwBcAG4AIAAgACAAIAAgACAAIAAgAFwAIgBEAGkAZQBzAGUAbAAgAG8AaQBsAFwAIgAsACAAMwA4AC4ANgAsACAAXAAiAGsATABcACIALAAgADYAOQAuADkALAAgADAALgAxACwAIAAwAC4AMgAsACAANwAwAC4AMgAwACwAIAAxADcALgAzADsAXABuACAAIAAgACAAIAAgACAAIABcACIARgB1AGUAbAAgAG8AaQBsAFwAIgAsACAAMwA5AC4ANwAsACAAXAAiAGsATABcACIALAAgADcAMwAuADYALAAgADAALgAwADQALAAgADAALgAyACwAIAA3ADMALgA4ADQALAAgADEAOAAuADAAOwBcAG4AIAAgACAAIAAgACAAIAAgAFwAIgBMAGkAcQB1AGUAZgBpAGUAZAAgAGEAcgBvAG0AYQB0AGkAYwAgAGgAeQBkAHIAbwBjAGEAcgBiAG8AbgBzAFwAIgAsACAAMwA0AC4ANAAsACAAXAAiAGsATABcACIALAAgADYAOQAuADcALAAgADAALgAwADMALAAgADAALgAyACwAIAA2ADkALgA5ADMALAAgADEAOAAuADAAOwBcAG4AIAAgACAAIAAgACAAIAAgAFwAIgBTAG8AbAB2AGUAbgB0AHMAOgAgAG0AaQBuAGUAcgBhAGwAIAB0AHUAcgBwAGUAbgB0AGkAbgBlACAAbwByACAAdwBoAGkAdABlACAAcwBwAGkAcgBpAHQAcwBcACIALAAgADMANAAuADQALAAgAFwAIgBrAEwAXAAiACwAIAA2ADkALgA3ACwAIAAwAC4AMAAzACwAIAAwAC4AMgAsACAANgA5AC4AOQAzACwAIAAxADgALgAwADsAXABuACAAIAAgACAAIAAgACAAIABcACIATABpAHEAdQBlAGYAaQBlAGQAIABwAGUAdAByAG8AbABlAHUAbQAgAGcAYQBzACAAKABMAFAARwApAFwAIgAsACAAMgA1AC4ANwAsACAAXAAiAGsATABcACIALAAgADYAMAAuADIALAAgADAALgAyACwAIAAwAC4AMgAsACAANgAwAC4ANgAwACwAIAAyADAALgAyADsAXABuACAAIAAgACAAIAAgACAAIABcACIATgBhAHAAaAB0AGgAYQBcACIALAAgADMAMQAuADQALAAgAFwAIgBrAEwAXAAiACwAIAA2ADkALgA4ACwAIAAwAC4AMAAxACwAIAAwAC4AMAAxACwAIAA2ADkALgA4ADIALAAgADEAOAAuADAAOwBcAG4AIAAgACAAIAAgACAAIAAgAFwAIgBQAGUAdAByAG8AbABlAHUAbQAgAGMAbwBrAGUAXAAiACwAIAAzADQALgAyACwAIABcACIAdABcACIALAAgADkAMgAuADYALAAgADAALgAwADgALAAgADAALgAyACwAIAA5ADIALgA4ADgALAAgADEAOAAuADAAOwBcAG4AIAAgACAAIAAgACAAIAAgAFwAIgBSAGUAZgBpAG4AZQByAHkAIABnAGEAcwAgAGEAbgBkACAAbABpAHEAdQBpAGQAcwBcACIALAAgADQAMgAuADkALAAgAFwAIgB0AFwAIgAsACAANQA0AC4ANwAsACAAMAAuADAAMwAsACAAMAAuADAAMwAsACAANQA0AC4ANwA2ACwAIAAxADgALgAwADsAXABuACAAIAAgACAAIAAgACAAIABcACIAUgBlAGYAaQBuAGUAcgB5ACAAYwBvAGsAZQBcACIALAAgADMANAAuADIALAAgAFwAIgB0AFwAIgAsACAAOQAyAC4ANgAsACAAMAAuADAAOAAsACAAMAAuADIALAAgADkAMgAuADgAOAAsACAAMQA4AC4AMAA7AFwAbgAgACAAIAAgACAAIAAgACAAXAAiAFAAZQB0AHIAbwBsAGUAdQBtACAAYgBhAHMAZQBkACAAcAByAG8AZAB1AGMAdABzACAAbwB0AGgAZQByACAAdABoAGEAbgAgAG0AZQBuAHQAaQBvAG4AZQBkACAAaQBuACAAdABoAGUAIABpAHQAZQBtAHMAIABhAGIAbwB2AGUAXAAiACwAIAAzADQALgA0ACwAIABcACIAawBMAFwAIgAsACAANgA5AC4AOAAsACAAMAAuADAAMgAsACAAMAAuADEALAAgADYAOQAuADkAMgAsACAAMQA4AC4AMAA7AFwAbgAgACAAIAAgACAAIAAgACAAXAAiAEIAaQBvAGQAaQBlAHMAZQBsAFwAIgAsACAAMwA0AC4ANgAsACAAXAAiAGsATABcACIALAAgADAALgAwACwAIAAwAC4AMAA4ACwAIAAwAC4AMgAsACAAMAAuADIAOAAsACAAXAAiAE4ARQBcACIAOwBcAG4AIAAgACAAIAAgACAAIAAgAFwAIgBFAHQAaABhAG4AbwBsACAAZgBvAHIAIAB1AHMAZQAgAGEAcwAgAGEAIABmAHUAZQBsACAAaQBuACAAYQBuACAAaQBuAHQAZQByAG4AYQBsACAAYwBvAG0AYgB1AHMAdABpAG8AbgAgAGUAbgBnAGkAbgBlAFwAIgAsACAAMgAzAC4ANAAsACAAXAAiAGsATABcACIALAAgADAALgAwACwAIAAwAC4AMAA4ACwAIAAwAC4AMgAsACAAMAAuADIAOAAsACAAXAAiAE4ARQBcACIAOwBcAG4AIAAgACAAIAAgACAAIAAgAFwAIgBCAGkAbwBmAHUAZQBsAHMAIABvAHQAaABlAHIAIAB0AGgAYQBuACAAdABoAG8AcwBlACAAbQBlAG4AdABpAG8AbgBlAGQAIABpAG4AIAB0AGgAZQAgAGkAdABlAG0AcwAgAGEAYgBvAHYAZQAgAGEAbgBkACAAYgBlAGwAbwB3AFwAIgAsACAAMgAzAC4ANAAsACAAXAAiAGsATABcACIALAAgADAALgAwACwAIAAwAC4AMAA4ACwAIAAwAC4AMgAsACAAMAAuADIAOAAsACAAXAAiAE4ARQBcACIAOwBcAG4AIAAgACAAIAAgACAAIAAgAFwAIgBSAGUAbgBlAHcAYQBiAGwAZQAgAGEAdgBpAGEAdABpAG8AbgAgAGsAZQByAG8AcwBlAG4AZQBcACIALAAgADMANgAuADgALAAgAFwAIgBrAEwAXAAiACwAIAAwAC4AMAAsACAAMAAuADAAMgAsACAAMAAuADIALAAgADAALgAyADIALAAgAFwAIgBOAEUAXAAiADsAXABuACAAIAAgACAAIAAgACAAIABcACIAUgBlAG4AZQB3AGEAYgBsAGUAIABkAGkAZQBzAGUAbABcACIALAAgADMAOAAuADYALAAgAFwAIgBrAEwAXAAiACwAIAAwAC4AMAAsACAAMAAuADEALAAgADAALgAyACwAIAAwAC4AMwAwACwAIABcACIATgBFAFwAIgBcAG4AIAAgACAAIAAgACAAfQAsACAAcgAsACAAYwApAFwAbgApACkAKQA7AFwAbgBcAG4ARgB1AGUAbABfAFMAYwBvAHAAZQAxAFMAYwBvAHAAZQAzAEUAbQBpAHMAcwBpAG8AbgBGAGEAYwB0AG8AcgBzAFMAdABhAHQAaQBvAG4AYQByAHkATABpAHEAdQBpAGQAXwBWAGEAcgBpAGEAdABpAG8AbgBcAG4APQBMAEEATQBCAEQAQQAoAFwAIgBWAEEAUgBJAEEAVABJAE8ATgAgAE8ARgAgAFMATwBVAFIAQwBFACAARABBAFQAQQA6ACAAXAB1ADAAMAAyADcATgBFAFwAdQAwADAAMgA3ACAAdgBhAGwAdQBlAHMAIAByAGUAdAB1AHIAbgBlAGQAIABhAHMAIAB6AGUAcgBvACAAZgBvAHIAIABjAGEAbABjAHUAbABhAHQAaQBvAG4AcwAuAFwAIgApADsAXABuAFwAbgAvACoAXABuAD0APQA9AD0APQA9AD0APQA9AD0APQA9AD0APQA9AD0APQA9AD0APQA9AD0APQA9AD0APQA9AD0APQA9AD0APQA9AD0APQA9AD0APQA9AD0APQA9AD0APQA9AD0APQA9AD0APQA9AD0APQA9AD0APQA9AD0APQA9AD0APQA9AD0APQA9AD0APQA9AD0APQA9AD0APQA9AD0AXABuAEYAdQBlAGwAIABzAGMAbwBwAGUAIAAxACAAYQBuAGQAIAAzACAAZQBtAGkAcwBzAGkAbwBuACAAZgBhAGMAdABvAHIAcwAgAC0AIABUAHIAYQBuAHMAcABvAHIAdA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F8AVABpAHQAbABlAFwAbgA9AEwAQQBNAEIARABBACgAKABcACIARgB1AGUAbAAgAHMAYwBvAHAAZQAgADEAIABhAG4AZAAgADMAIABlAG0AaQBzAHMAaQBvAG4AIABmAGEAYwB0AG8AcgBzACAALQAgAFQAcgBhAG4AcwBwAG8AcgB0AFwAIgApACkAOwBcAG4AXABuAEYAdQBlAGwAXwBTAGMAbwBwAGUAMQBTAGMAbwBwAGUAMwBFAG0AaQBzAHMAaQBvAG4ARgBhAGMAdABvAHIAcwBUAHIAYQBuAHMAcABvAHIAd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0AHIAYQBuAHMAcABvAHIAdAAgAGYAdQBlAGwAcwAgAGkAbgAgAGQAaQBmAGYAZQByAGUAbgB0ACAAdAByAGEAbgBzAHAAbwByAHQAIABlAHEAdQBpAHAAbQBlAG4AdABcACIAKQApADsAXABuAFwAbgBGAHUAZQBsAF8AUwBjAG8AcABlADEAUwBjAG8AcABlADMARQBtAGkAcwBzAGkAbwBuAEYAYQBjAHQAbwByAHMAVAByAGEAbgBzAHAAbwByAHQAXwBTAG8AdQByAGMAZQBcAG4APQBMAEEATQBCAEQAQQAoACgAXAAiAEEAdQBzAHQAcgBhAGwAaQBhAG4AIABOAGEAdABpAG8AbgBhAGwAIABHAHIAZQBlAG4AaABvAHUAcwBlACAAQQBjAGMAbwB1AG4AdABzACAARgBhAGMAdABvAHIAcwAgADIAMAAyADUAIAAtACAAVABhAGIAbABlACAAOQBcACIAKQApADsAXABuAFwAbgBGAHUAZQBsAF8AUwBjAG8AcABlADEAUwBjAG8AcABlADMARQBtAGkAcwBzAGkAbwBuAEYAYQBjAHQAbwByAHMAVAByAGEAbgBzAHAAbwByAHQAXwBEAGEAdABhAFwAbgA9AEwAQQBNAEIARABBACgAXABuACAAIABNAEEASwBFAEEAUgBSAEEAWQAoADIANgAsACAAMQAwACwAXABuACAAIAAgACAATABBAE0AQgBEAEEAKAByACwAYwAsAFwAbgAgACAAIAAgACAAIABJAE4ARABFAFgAKAB7AFwAbgAgACAAIAAgACAAIAAgACAAXAAiAFQAcgBhAG4AcwBwAG8AcgB0ACAAdAB5AHAAZQBcACIALAAgAFwAIgBGAHUAZQBsACAAYwBvAG0AYgB1AHMAdABlAGQAXAAiACwAIABcACIARQBuAGUAcgBnAHkAIABDAG8AbgB0AGUAbgB0ACAARgBhAGMAdABvAHI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sACAAXAAiAFMAYwBvAHAAZQAgADMAIABFAG0AaQBzAHMAaQBvAG4AIABGAGEAYwB0AG8AcgAgACgAawBnACAAQwBPADIAIAAtACAAZQAgAC8AIABHAEoAKQBcACIALAAgAFwAIgBTAG8AdQByAGMAZQBcACIAOwBcAG4AIAAgACAAIAAgACAAIAAgAFwAIgBDAGEAcgBzACAAYQBuAGQAIABsAGkAZwBoAHQAIABjAG8AbQBtAGUAcgBjAGkAYQBsACAAdgBlAGgAaQBjAGwAZQBzAFwAIgAsACAAXAAiAEcAYQBzAG8AbABpAG4AZQBcACIALAAgADMANAAuADIALAAgAFwAIgBrAGwAXAAiACwAIAA2ADcALgA0ACwAIAAwAC4AMAAyACwAIAAwAC4AMgAsACAANgA3AC4ANgAyACwAIAAxADcALgAyACwAIABcACIATgBHAEEARgAgADIAMAAyADUAOgAgAFQAYQBiAGwAZQAgADkAXAAiADsAXABuACAAIAAgACAAIAAgACAAIABcACIAQwBhAHIAcwAgAGEAbgBkACAAbABpAGcAaAB0ACAAYwBvAG0AbQBlAHIAYwBpAGEAbAAgAHYAZQBoAGkAYwBsAGUAcwBcACIALAAgAFwAIgBEAGkAZQBzAGUAbAAgAG8AaQBsAFwAIgAsACAAMwA4AC4ANgAsACAAXAAiAGsAbABcACIALAAgADYAOQAuADkALAAgADAALgAwADEALAAgADAALgA1ACwAIAA3ADAALgA0ADEALAAgADEANwAuADMALAAgAFwAIgBOAEcAQQBGACAAMgAwADIANQA6ACAAVABhAGIAbABlACAAOQBcACIAOwBcAG4AIAAgACAAIAAgACAAIAAgAFwAIgBDAGEAcgBzACAAYQBuAGQAIABsAGkAZwBoAHQAIABjAG8AbQBtAGUAcgBjAGkAYQBsACAAdgBlAGgAaQBjAGwAZQBzAFwAIgAsACAAXAAiAEwAaQBxAHUAZQBmAGkAZQBkACAAcABlAHQAcgBvAGwAZQB1AG0AIABnAGEAcwAgACgATABQAEcAKQBcACIALAAgADIANgAuADIALAAgAFwAIgBrAGwAXAAiACwAIAA2ADAALgAyACwAIAAwAC4ANQAsACAAMAAuADMALAAgADYAMQAuADAAMAAsACAAMgAwAC4AMgAsACAAXAAiAE4ARwBBAEYAIAAyADAAMgA1ADoAIABUAGEAYgBsAGUAIAA5AFwAIgA7AFwAbgAgACAAIAAgACAAIAAgACAAXAAiAEMAYQByAHMAIABhAG4AZAAgAGwAaQBnAGgAdAAgAGMAbwBtAG0AZQByAGMAaQBhAGwAIAB2AGUAaABpAGMAbABlAHMAXAAiACwAIABcACIARgB1AGUAbAAgAG8AaQBsAFwAIgAsACAAMwA5AC4ANwAsACAAXAAiAGsAbABcACIALAAgADcAMwAuADYALAAgADAALgAwADgALAAgADAALgA1ACwAIAA3ADQALgAxADgALAAgADEAOAAuADAALAAgAFwAIgBOAEcAQQBGACAAMgAwADIANQA6ACAAVABhAGIAbABlACAAOQBcACIAOwBcAG4AIAAgACAAIAAgACAAIAAgAFwAIgBDAGEAcgBzACAAYQBuAGQAIABsAGkAZwBoAHQAIABjAG8AbQBtAGUAcgBjAGkAYQBsACAAdgBlAGgAaQBjAGwAZQBzAFwAIgAsACAAXAAiAEUAdABoAGEAbgBvAGwAXAAiACwAIAAyADMALgA0ACwAIABcACIAawBsAFwAIgAsACAAMAAuADAALAAgADAALgAyACwAIAAwAC4AMgAsACAAMAAuADQALAAgAFwAIgBOAEUAXAAiACwAIABcACIATgBHAEEARgAgADIAMAAyADUAOgAgAFQAYQBiAGwAZQAgADkAXAAiADsAXABuACAAIAAgACAAIAAgACAAIABcACIAQwBhAHIAcwAgAGEAbgBkACAAbABpAGcAaAB0ACAAYwBvAG0AbQBlAHIAYwBpAGEAbAAgAHYAZQBoAGkAYwBsAGUAcwBcACIALAAgAFwAIgBCAGkAbwBkAGkAZQBzAGUAbABcACIALAAgADMANAAuADYALAAgAFwAIgBrAGwAXAAiACwAIAAwAC4AMAAsACAAMAAuADgALAAgADEALgA3ACwAIAAyAC4ANQAsACAAXAAiAE4ARQBcACIALAAgAFwAIgBOAEcAQQBGACAAMgAwADIANQA6ACAAVABhAGIAbABlACAAOQBcACIAOwBcAG4AIAAgACAAIAAgACAAIAAgAFwAIgBDAGEAcgBzACAAYQBuAGQAIABsAGkAZwBoAHQAIABjAG8AbQBtAGUAcgBjAGkAYQBsACAAdgBlAGgAaQBjAGwAZQBzAFwAIgAsACAAXAAiAFIAZQBuAGUAdwBhAGIAbABlACAAZABpAGUAcwBlAGwAXAAiACwAIAAzADgALgA2ACwAIABcACIAawBsAFwAIgAsACAAMAAuADAALAAgADAALgAwADEALAAgADAALgA1ACwAIAAwAC4ANQAxACwAIABcACIATgBFAFwAIgAsACAAXAAiAE4ARwBBAEYAIAAyADAAMgA1ADoAIABUAGEAYgBsAGUAIAA5AFwAIgA7AFwAbgAgACAAIAAgACAAIAAgACAAXAAiAEMAYQByAHMAIABhAG4AZAAgAGwAaQBnAGgAdAAgAGMAbwBtAG0AZQByAGMAaQBhAGwAIAB2AGUAaABpAGMAbABlAHMAXAAiACwAIABcACIATwB0AGgAZQByACAAYgBpAG8AZgB1AGUAbABzAFwAIgAsACAAMgAzAC4ANAAsACAAXAAiAGsAbABcACIALAAgADAALgAwACwAIAAwAC4AOAAsACAAMQAuADcALAAgADIALgA1ACwAIABcACIATgBFAFwAIgAsACAAXAAiAE4ARwBBAEYAIAAyADAAMgA1ADoAIABUAGEAYgBsAGUAIAA5AFwAIgA7AFwAbgAgACAAIAAgACAAIAAgACAAXAAiAEwAaQBnAGgAdAAgAGQAdQB0AHkAIAB2AGUAaABpAGMAbABlAHMAXAAiACwAIABcACIAQwBvAG0AcAByAGUAcwBzAGUAZAAgAG4AYQB0AHUAcgBhAGwAIABnAGEAcwBcACIALAAgADAALgAwADMAOQAzACwAIABcACIAbQAzAFwAIgAsACAANQAxAC4ANAAsACAANwAuADMALAAgADAALgAzACwAIAA1ADkALgAwACwAIAAxADgALgAwACwAIABcACIATgBHAEEARgAgADIAMAAyADUAOgAgAFQAYQBiAGwAZQAgADkAXAAiADsAXABuACAAIAAgACAAIAAgACAAIABcACIATABpAGcAaAB0ACAAZAB1AHQAeQAgAHYAZQBoAGkAYwBsAGUAcwBcACIALAAgAFwAIgBMAGkAcQB1AGUAZgBpAGUAZAAgAG4AYQB0AHUAcgBhAGwAIABnAGEAcwBcACIALAAgADIANQAuADMALAAgAFwAIgBrAGwAXAAiACwAIAA1ADEALgA0ACwAIAA3AC4AMwAsACAAMAAuADMALAAgADUAOQAuADAALAAgADEAOAAuADAALAAgAFwAIgBOAEcAQQBGACAAMgAwADIANQA6ACAAVABhAGIAbABlACAAOQBcACIAOwBcAG4AIAAgACAAIAAgACAAIAAgAFwAIgBIAGUAYQB2AHkAIABkAHUAdAB5ACAAdgBlAGgAaQBjAGwAZQBzAFwAIgAsACAAXAAiAEMAbwBtAHAAcgBlAHMAcwBlAGQAIABuAGEAdAB1AHIAYQBsACAAZwBhAHMAXAAiACwAIAAwAC4AMAAzADkAMwAsACAAXAAiAG0AMwBcACIALAAgADUAMQAuADQALAAgADIALgA4ACwAIAAwAC4AMwAsACAANQA0AC4ANQAsACAAMQA4AC4AMAAsACAAXAAiAE4ARwBBAEYAIAAyADAAMgA1ADoAIABUAGEAYgBsAGUAIAA5AFwAIgA7AFwAbgAgACAAIAAgACAAIAAgACAAXAAiAEgAZQBhAHYAeQAgAGQAdQB0AHkAIAB2AGUAaABpAGMAbABlAHMAXAAiACwAIABcACIATABpAHEAdQBlAGYAaQBlAGQAIABuAGEAdAB1AHIAYQBsACAAZwBhAHMAXAAiACwAIAAyADUALgAzACwAIABcACIAawBsAFwAIgAsACAANQAxAC4ANAAsACAAMgAuADgALAAgADAALgAzACwAIAA1ADQALgA1ACwAIAAxADgALgAwACwAIABcACIATgBHAEEARgAgADIAMAAyADUAOgAgAFQAYQBiAGwAZQAgADkAXAAiADsAXABuACAAIAAgACAAIAAgACAAIABcACIASABlAGEAdgB5ACAAZAB1AHQAeQAgAHYAZQBoAGkAYwBsAGUAcwBcACIALAAgAFwAIgBEAGkAZQBzAGUAbAAgAG8AaQBsACAALQAgAEUAdQByAG8AIABpAHYAIABvAHIAIABoAGkAZwBoAGUAcgBcACIALAAgADMAOAAuADYALAAgAFwAIgBrAGwAXAAiACwAIAA2ADkALgA5ACwAIAAwAC4AMAA3ACwAIAAwAC4ANAAsACAANwAwAC4AMwA3ACwAIAAxADcALgAzACwAIABcACIATgBHAEEARgAgADIAMAAyADUAOgAgAFQAYQBiAGwAZQAgADkAXAAiADsAXABuACAAIAAgACAAIAAgACAAIABcACIASABlAGEAdgB5ACAAZAB1AHQAeQAgAHYAZQBoAGkAYwBsAGUAcwBcACIALAAgAFwAIgBEAGkAZQBzAGUAbAAgAG8AaQBsACAALQAgAEUAdQByAG8AIABpAGkAaQBcACIALAAgADMAOAAuADYALAAgAFwAIgBrAGwAXAAiACwAIAA2ADkALgA5ACwAIAAwAC4AMQAsACAAMAAuADQALAAgADcAMAAuADQALAAgADEANwAuADMALAAgAFwAIgBOAEcAQQBGACAAMgAwADIANQA6ACAAVABhAGIAbABlACAAOQBcACIAOwBcAG4AIAAgACAAIAAgACAAIAAgAFwAIgBIAGUAYQB2AHkAIABkAHUAdAB5ACAAdgBlAGgAaQBjAGwAZQBzAFwAIgAsACAAXAAiAEQAaQBlAHMAZQBsACAAbwBpAGwAIAAtACAARQB1AHIAbwAgAGkAXAAiACwAIAAzADgALgA2ACwAIABcACIAawBsAFwAIgAsACAANgA5AC4AOQAsACAAMAAuADIALAAgADAALgA0ACwAIAA3ADAALgA1ACwAIAAxADcALgAzACwAIABcACIATgBHAEEARgAgADIAMAAyADUAOgAgAFQAYQBiAGwAZQAgADkAXAAiADsAXABuACAAIAAgACAAIAAgACAAIABcACIASABlAGEAdgB5ACAAZAB1AHQAeQAgAHYAZQBoAGkAYwBsAGUAcwBcACIALAAgAFwAIgBSAGUAbgBlAHcAYQBiAGwAZQAgAGQAaQBlAHMAZQBsACAAEyAgAEUAdQByAG8AIABpAHYAIABvAHIAIABoAGkAZwBoAGUAcgBcACIALAAgADMAOAAuADYALAAgAFwAIgBrAGwAXAAiACwAIAAwAC4AMAAsACAAMAAuADAANwAsACAAMAAuADQALAAgADAALgA0ADcALAAgAFwAIgBOAEUAXAAiACwAIABcACIATgBHAEEARgAgADIAMAAyADUAOgAgAFQAYQBiAGwAZQAgADkAXAAiADsAXABuACAAIAAgACAAIAAgACAAIABcACIASABlAGEAdgB5ACAAZAB1AHQAeQAgAHYAZQBoAGkAYwBsAGUAcwBcACIALAAgAFwAIgBSAGUAbgBlAHcAYQBiAGwAZQAgAGQAaQBlAHMAZQBsACAAEyAgAEUAdQByAG8AIABpAGkAaQBcACIALAAgADMAOAAuADYALAAgAFwAIgBrAGwAXAAiACwAIAAwAC4AMAAsACAAMAAuADEALAAgADAALgA0ACwAIAAwAC4ANQAsACAAXAAiAE4ARQBcACIALAAgAFwAIgBOAEcAQQBGACAAMgAwADIANQA6ACAAVABhAGIAbABlACAAOQBcACIAOwBcAG4AIAAgACAAIAAgACAAIAAgAFwAIgBIAGUAYQB2AHkAIABkAHUAdAB5ACAAdgBlAGgAaQBjAGwAZQBzAFwAIgAsACAAXAAiAFIAZQBuAGUAdwBhAGIAbABlACAAZABpAGUAcwBlAGwAIAATICAARQB1AHIAbwAgAGkAXAAiACwAIAAzADgALgA2ACwAIABcACIAawBsAFwAIgAsACAAMAAuADAALAAgADAALgAyACwAIAAwAC4ANAAsACAAMAAuADYALAAgAFwAIgBOAEUAXAAiACwAIABcACIATgBHAEEARgAgADIAMAAyADUAOgAgAFQAYQBiAGwAZQAgADkAXAAiADsAXABuACAAIAAgACAAIAAgACAAIABcACIAQQB2AGkAYQB0AGkAbwBuAFwAIgAsACAAXAAiAEcAYQBzAG8AbABpAG4AZQAgAGYAbwByACAAdQBzAGUAIABhAHMAIABmAHUAZQBsACAAaQBuACAAYQBuACAAYQBpAHIAYwByAGEAZgB0AFwAIgAsACAAMwAzAC4AMQAsACAAXAAiAGsAbABcACIALAAgADYANwAuADAALAAgADAALgAwADYALAAgADAALgA2ACwAIAA2ADcALgA2ADYALAAgADEAOAAuADAALAAgAFwAIgBOAEcAQQBGACAAMgAwADIANQA6ACAAVABhAGIAbABlACAAOQBcACIAOwBcAG4AIAAgACAAIAAgACAAIAAgAFwAIgBBAHYAaQBhAHQAaQBvAG4AXAAiACwAIABcACIASwBlAHIAbwBzAGUAbgBlACAAZgBvAHIAIAB1AHMAZQAgAGEAcwAgAGYAdQBlAGwAIABpAG4AIABhAG4AIABhAGkAcgBjAHIAYQBmAHQAXAAiACwAIAAzADYALgA4ACwAIABcACIAawBsAFwAIgAsACAANgA5AC4ANgAsACAAMAAuADAAMQAsACAAMAAuADYALAAgADcAMAAuADIAMQAsACAAMQA4AC4AMAAsACAAXAAiAE4ARwBBAEYAIAAyADAAMgA1ADoAIABUAGEAYgBsAGUAIAA5AFwAIgA7AFwAbgAgACAAIAAgACAAIAAgACAAXAAiAEEAdgBpAGEAdABpAG8AbgBcACIALAAgAFwAIgBSAGUAbgBlAHcAYQBiAGwAZQAgAGEAdgBpAGEAdABpAG8AbgAgAGsAZQByAG8AcwBlAG4AZQBcACIALAAgADMANgAuADgALAAgAFwAIgBrAGwAXAAiACwAIAAwAC4AMAAsACAAMAAuADAAMQAsACAAMAAuADYALAAgADAALgA2ADEALAAgAFwAIgBOAEUAXAAiACwAIABcACIATgBHAEEARgAgADIAMAAyADUAOgAgAFQAYQBiAGwAZQAgADkAXAAiADsAXABuACAAIAAgACAAIAAgACAAIABcACIAVgBlAHMAcwBlAGwAcwBcACIALAAgAFwAIgBHAGEAcwBvAGwAaQBuAGUAXAAiACwAIAAzADQALgAyACwAIABcACIAawBMAFwAIgAsACAANgA3AC4ANAAsACAAMQAwAC4AMQAsACAAMAAuADMALAAgAFwAIgBcACIALAAgADEANwAuADIALAAgAFwAIgBWAEUARQBSAEcAIAAyADAAMgA2ADoAIABUAGEAYgBsAGUAIABBAC4ANAAuADIALgAxAFwAIgA7AFwAbgAgACAAIAAgACAAIAAgACAAXAAiAFYAZQBzAHMAZQBsAHMAXAAiACwAIABcACIARABpAGUAcwBlAGwAIABvAGkAbABcACIALAAgADMAOAAuADYALAAgAFwAIgBrAEwAXAAiACwAIAA2ADkALgA5ACwAIAAwAC4AMgAsACAAMAAuADUALAAgAFwAIgBcACIALAAgADEANwAuADMALAAgAFwAIgBWAEUARQBSAEcAIAAyADAAMgA2ADoAIABUAGEAYgBsAGUAIABBAC4ANAAuADIALgAxAFwAIgA7AFwAbgAgACAAIAAgACAAIAAgACAAXAAiAFYAZQBzAHMAZQBsAHMAXAAiACwAIABcACIARgB1AGUAbAAgAE8AaQBsAFwAIgAsACAAMwA5AC4ANwAsACAAXAAiAGsATABcACIALAAgADcAMwAuADYALAAgADAALgAyACwAIAAwAC4ANQAsACAAXAAiAFwAIgAsACAAMQA4AC4AMAAsACAAXAAiAFYARQBFAFIARwAgADIAMAAyADYAOgAgAFQAYQBiAGwAZQAgAEEALgA0AC4AMgAuADEAXAAiADsAXABuACAAIAAgACAAIAAgACAAIABcACIATwBmAGYALQByAG8AYQBkACAAQQBnAHIAaQBjAHUAbAB0AHUAcgBlACAAYQBuAGQAIABmAG8AcgBlAHMAdAByAHkAIABlAHEAdQBpAHAAbQBlAG4AdABcACIALAAgAFwAIgBEAGkAZQBzAGUAbAAgAG8AaQBsAFwAIgAsACAAMwA4AC4ANgAsACAAXAAiAGsATABcACIALAAgADYAOQAuADkALAAgADAALgAzACwAIAAwAC4ANQAsACAAXAAiAFwAIgAsACAAMQA3AC4AMwAsACAAXAAiAFYARQBFAFIARwAgADIAMAAyADYAOgAgAFQAYQBiAGwAZQAgAEEALgA0AC4AMgAuADEAXAAiAFwAbgAgACAAIAAgACAAIAB9ACwAIAByACwAIABjACkAXABuACkAKQApADsAXABuAFwAbgBGAHUAZQBsAF8AUwBjAG8AcABlADEAUwBjAG8AcABlADMARQBtAGkAcwBzAGkAbwBuAEYAYQBjAHQAbwByAHMAVAByAGEAbgBzAHAAbwByAHQAXwBWAGEAcgBpAGEAdABpAG8AbgBcAG4APQBMAEEATQBCAEQAQQAoAFwAIgBWAEEAUgBJAEEAVABJAE8ATgAgAE8ARgAgAFMATwBVAFIAQwBFACAARABBAFQAQQA6ACAAXAB1ADAAMAAyADcATgBFAFwAdQAwADAAMgA3ACAAdgBhAGwAdQBlAHMAIAByAGUAdAB1AHIAbgBlAGQAIABhAHMAIAB6AGUAcgBvACAAZgBvAHIAIABjAGEAbABjAHUAbABhAHQAaQBvAG4AcwAuAFwAIg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TwBmAGYALQByAGEAZAAgAGUAcQB1AGkAcABtAGUAbgB0ACAAYQBuAGQAIAB2AGUAcwBz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VAByAGEAbgBzAHAAbwByAHQATwBmAGYAUgBvAGEAZABfAFQAaQB0AGwAZQBcAG4APQBMAEEATQBCAEQAQQAoACgAXAAiAEYAdQBlAGwAIABzAGMAbwBwAGUAIAAxACAAYQBuAGQAIAAzACAAZQBtAGkAcwBzAGkAbwBuACAAZgBhAGMAdABvAHIAcwAgAC0AIABPAGYAZgAtAHIAbwBhAGQAIABlAHEAdQBpAHAAbQBlAG4AdAAgAGEAbgBkACAAdgBlAHMAcwBlAGwAcwBcACIAKQApADsAXABuAFwAbgBGAHUAZQBsAF8AUwBjAG8AcABlADEAUwBjAG8AcABlADMARQBtAGkAcwBzAGkAbwBuAEYAYQBjAHQAbwByAHMAVAByAGEAbgBzAHAAbwByAHQATwBmAGYAUgBvAGEAZ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mAHUAZQBsAHMAIABpAG4AIABvAGYAZgAtAHIAbwBhAGQAIABlAHEAdQBpAHAAbQBlAG4AdAAgAGEAbgBkACAAdgBlAHMAcwBlAGwAcwBcACIAKQApADsAXABuAFwAbgBGAHUAZQBsAF8AUwBjAG8AcABlADEAUwBjAG8AcABlADMARQBtAGkAcwBzAGkAbwBuAEYAYQBjAHQAbwByAHMAVAByAGEAbgBzAHAAbwByAHQATwBmAGYAUgBvAGEAZABfAFMAbwB1AHIAYwBlAFwAbgA9AEwAQQBNAEIARABBACgAKABcACIAVgBFAEUAUgBHACAAMgAwADIANgA6ACAAVABhAGIAbABlACAAQQAuADQALgAyAC4AMQBcACIAKQApADsAXABuAFwAbgBGAHUAZQBsAF8AUwBjAG8AcABlADEAUwBjAG8AcABlADMARQBtAGkAcwBzAGkAbwBuAEYAYQBjAHQAbwByAHMAVAByAGEAbgBzAHAAbwByAHQATwBmAGYAUgBvAGEAZABfAEQAYQB0AGEAXABuAD0ATABBAE0AQgBEAEEAKABcAG4AIAAgAE0AQQBLAEUAQQBSAFIAQQBZACgANQAsACAANwAsAFwAbgAgACAAIAAgAEwAQQBNAEIARABBACgAcgAsAGMALABcAG4AIAAgACAAIAAgACAASQBOAEQARQBYACgAewBcAG4AIAAgACAAIAAgACAAIAAgAFwAIgBUAHIAYQBuAHMAcABvAHIAdAAgAHQAeQBwAGUAIAB0AFwAIgAsACAAXAAiAEYAdQBlAGwAIAB0AHkAcABlACAAcQBcACIALAAgAFwAIgBFAEMAVAByAGEAbgBzACwAcQAgACgARwBKAC8AawBMACkAXAAiACwAIABcACIAUwBjAG8AcABlACAAMQAgAEMATwAyACAARQBGAFQAcgBhAG4ALAAxACwAdABxAGcAIAAoAGsAZwAgAEMATwAyAC0AZQAvAEcASgApAFwAIgAsACAAXAAiAFMAYwBvAHAAZQAgADEAIABDAEgANAAgAEUARgBUAHIAYQBuACwAMQAsAHQAZwBnACAAKABrAGcAIABDAE8AMgAtAGUALwBHAEoAKQBcACIALAAgAFwAIgBTAGMAbwBwAGUAIAAxACAATgAyAE8AIABFAEYAVAByAGEAbgAsADEALAB0AGcAZwAgACgAawBnACAAQwBPADIALQBlAC8ARwBKACkAXAAiACwAIABcACIAUwBjAG8AcABlACAAMwAgAEUARgBUAHIAYQBuAHMALAAzACwAcQAgACgAawBnACAAQwBPADIALQBlAC8ARwBKACkAXAAiADsAXABuACAAIAAgACAAIAAgACAAIABcACIAVgBlAHMAcwBlAGwAXAAiACwAIABcACIAUABlAHQAcgBvAGwAXAAiACwAIAAzADQALgAyACwAIAA2ADcALgA0ACwAIAAxADAALgAxACwAIAAwAC4AMwAsACAAMQA3AC4AMgA7AFwAbgAgACAAIAAgACAAIAAgACAAXAAiAFYAZQBzAHMAZQBsAFwAIgAsACAAXAAiAEQAaQBlAHMAZQBsAFwAIgAsACAAMwA4AC4ANgAsACAANgA5AC4AOQAsACAAMAAuADIALAAgADAALgA1ACwAIAAxADcALgAzADsAXABuACAAIAAgACAAIAAgACAAIABcACIAVgBlAHMAcwBlAGwAXAAiACwAIABcACIARgB1AGUAbAAgAE8AaQBsAFwAIgAsACAAMwA5AC4ANwAsACAANwAzAC4ANgAsACAAMAAuADIALAAgADAALgA1ACwAIAAxADgALgAwADsAXABuACAAIAAgACAAIAAgACAAIABcACIATwBmAGYALQByAG8AYQBkACAAQQBnAHIAaQBjAHUAbAB0AHUAcgBlACAAYQBuAGQAIABmAG8AcgBlAHMAdAByAHkAIABlAHEAdQBpAHAAbQBlAG4AdABcACIALAAgAFwAIgBEAGkAZQBzAGUAbABcACIALAAgADMAOAAuADYALAAgADYAOQAuADkALAAgADAALgAzACwAIAAwAC4ANQAsACAAMQA3AC4AMwBcAG4AIAAgACAAIAAgACAAfQAsACAAcgAsACAAYwApAFwAbgApACkAKQA7AFwAbgBcAG4AXABuAFwAbg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CAAWwBWAGEAbAB1AGUASQBGAEYAYQBsAHMAZQBdACwAXABuACAAIAAgACAAWABMAE8ATwBLAFUAUAAoADEALAAgACgATABvAG8AawB1AHAAQQByAHIAYQB5ADEAPQBMAG8AbwBrAHUAcABWAGEAbAB1AGUAMQApACoAKABMAG8AbwBrAHUAcABBAHIAcgBhAHkAMgA9AEwAbwBvAGsAdQBwAFYAYQBsAHUAZQAyACkALAAgAFIAZQB0AHUAcgBuAEEAcgByAGEAeQAsACAASQBGACgASQBTAE8ATQBJAFQAVABFAEQAKABWAGEAbAB1AGUASQBGAEYAYQBsAHMAZQApACwAIABcACIAXAAiACwAIABWAGEAbAB1AGUASQBGAEYAYQBsAHMAZQApACkAXABuACkAOwBcAG4AXABuAFUAdABpAGwAaQB0AHkAXwBMAG8AbwBrAHUAcABWAGEAbAB1AGUASQBuAFQAYQBiAGwAZQBPAG4AZQBDAG8AbAB1AG0AbgBBAG4AZABIAGUAYQBkAGUAcgBcAG4APQBMAEEATQBCAEQAQQAoAFwAbgAgACAAIAAgAEwAbwBvAGsAdQBwAFYAYQBsAHUAZQAxACwAIABMAG8AbwBrAHUAcABWAGEAbAB1AGUAMgAsACAATABvAG8AawB1AHAAQQByAHIAYQB5ADEALAAgAEwAbwBvAGsAdQBwAEEAcgByAGEAeQAyACwAIABSAGUAdAB1AHIAbgBBAHIAcgBhAHkALAAgAFsAVgBhAGwAdQBlAEkAZgBGAGEAbABzAGUAXQAsAFwAbgAgACAAIAAgAEkARgBFAFIAUgBPAFIAKABcAG4AIAAgACAAIAAgACAAIAAgAFgATABPAE8ASwBVAFAAKABMAG8AbwBrAHUAcABWAGEAbAB1AGUAMQAsACAATABvAG8AawB1AHAAQQByAHIAYQB5ADEALABcAG4AIAAgACAAIAAgACAAIAAgACAAIAAgACAAWABMAE8ATwBLAFUAUAAoAEwAbwBvAGsAdQBwAFYAYQBsAHUAZQAyACwAIABMAG8AbwBrAHUAcABBAHIAcgBhAHkAMgAsACAAUgBlAHQAdQByAG4AQQByAHIAYQB5ACkAXABuACAAIAAgACAAIAAgACAAIAApACwAXABuACAAIAAgACAAIAAgACAAIABJAEYAKABJAFMATwBNAEkAVABUAEUARAAoAFYAYQBsAHUAZQBJAGYARgBhAGwAcwBlACkALAAgAFwAIgBcACIALAAgAFYAYQBsAHUAZQBJAGYARgBhAGwAcwBl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BcAHUAMAAwADMAYwB0AFwAdQAwADAAMwBlAFwAdQAwADAAMwBjAHMAXAB1ADAAMAAzAGUAXAAiACAAXAB1ADAAMAAyAD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XAB1ADAAMAAzAGMALwBzAFwAdQAwADAAMwBlAFwAdQAwADAAMwBjAHMAXAB1ADAAMAAzAGUAXAAiAFwAbgAgACAAIAAgACAAIAAgACAAKQAgAFwAdQAwADAAMgA2AFwAbgAgACAAIAAgACAAIAAgACAAXAAiAFwAdQAwADAAMwBjAC8AcwBcAHUAMAAwADMAZQBcAHUAMAAwADMAYwAvAHQAXAB1ADAAMAAzAGU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tAGkAbgBUAGUAbQBwAEEAcgByAGEAeQAsAG0AYQB4AFQAZQBtAHAAQQByAHIAYQB5ACwAXABuACAAIAAgACAAbQBpAG4AUgBhAGkAbgBmAGEAbABsAEEAcgByAGEAeQAsAG0AYQB4AFIAYQBpAG4AZgBhAGwAbABBAHIAcgBhAHkALABcAG4AIAAgACAAIABtAGkAbgBGAHIAbwBzAHQAQQByAHIAYQB5ACwAbQBhAHgARgByAG8AcwB0AEEAcgByAGEAeQAsAFwAbgAgACAAIAAgAG0AaQBuAEUAbABlAHYAYQB0AGkAbwBuAEEAcgByAGEAeQAsAG0AYQB4AEUAbABlAHYAYQB0AGkAbwBuAEEAcgByAGEAeQAsAFwAbgAgACAAIAAgAG0AaQBuAFAARQBUAEEAcgByAGEAeQAsAG0AYQB4AFAARQBUAEEAcgByAGEAeQAsAFwAbgAgACAAIAAgAGMAbABpAG0AYQB0AGUAWgBvAG4AZQBBAHIAcgBhAHkALABcAG4AIAAgACAAIABMAEUAVAAoAFwAbgAgACAAIAAgACAAIAAgACAAbQBhAHMAawAsAFwAbgAgACAAIAAgACAAIAAgACAAKABWAEEATABVAEUAKABtAGkAbgBUAGUAbQBwAEEAcgByAGEAeQApAFwAdQAwADAAMwBjAD0AYQB2AGcAVABlAG0AcAApACoAXABuACAAIAAgACAAIAAgACAAIAAoAFYAQQBMAFUARQAoAG0AYQB4AFQAZQBtAHAAQQByAHIAYQB5ACkAXAB1ADAAMAAzAGUAPQBhAHYAZwBUAGUAbQBwACkAKgBcAG4AIAAgACAAIAAgACAAIAAgACgAVgBBAEwAVQBFACgAbQBpAG4AUgBhAGkAbgBmAGEAbABsAEEAcgByAGEAeQApAFwAdQAwADAAMwBjAD0AYQB2AGcAUgBhAGkAbgApACoAXABuACAAIAAgACAAIAAgACAAIAAoAFYAQQBMAFUARQAoAG0AYQB4AFIAYQBpAG4AZgBhAGwAbABBAHIAcgBhAHkAKQBcAHUAMAAwADMAZQA9AGEAdgBnAFIAYQBpAG4AKQAqAFwAbgAgACAAIAAgACAAIAAgACAAKABWAEEATABVAEUAKABtAGkAbgBGAHIAbwBzAHQAQQByAHIAYQB5ACkAXAB1ADAAMAAzAGMAPQBmAHIAbwBzAHQARABhAHkAcwApACoAXABuACAAIAAgACAAIAAgACAAIAAoAFYAQQBMAFUARQAoAG0AYQB4AEYAcgBvAHMAdABBAHIAcgBhAHkAKQBcAHUAMAAwADMAZQA9AGYAcgBvAHMAdABEAGEAeQBzACkAKgBcAG4AIAAgACAAIAAgACAAIAAgACgAVgBBAEwAVQBFACgAbQBpAG4ARQBsAGUAdgBhAHQAaQBvAG4AQQByAHIAYQB5ACkAXAB1ADAAMAAzAGMAPQBlAGwAZQB2ACkAKgBcAG4AIAAgACAAIAAgACAAIAAgACgAVgBBAEwAVQBFACgAbQBhAHgARQBsAGUAdgBhAHQAaQBvAG4AQQByAHIAYQB5ACkAXAB1ADAAMAAzAGUAPQBlAGwAZQB2ACkAKgBcAG4AIAAgACAAIAAgACAAIAAgACgAVgBBAEwAVQBFACgAbQBpAG4AUABFAFQAQQByAHIAYQB5ACkAXAB1ADAAMAAzAGMAPQBtAGEAcABfAHAAZQB0ACkAKgBcAG4AIAAgACAAIAAgACAAIAAgACgAVgBBAEwAVQBFACgAbQBhAHgAUABFAFQAQQByAHIAYQB5ACkAXAB1ADAAMAAzAGU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BcAHUAMAAwADMAYwA9AEwAbwBvAGsAdQBwAFYAYQBsAHUAZQApACoAXABuACAAIAAgACAAIAAgACAAIAAoAFYAQQBMAFUARQAoAE0AYQB4AEEAcgByAGEAeQApAFwAdQAwADAAMwBlAD0ATABvAG8AawB1AHAAVgBhAGwAdQBlACkALABcAG4AIAAgACAAIAAgACAAIAAgAEYASQBMAFQARQBSACgASQB0AGUAbQBBAHIAcgBhAHkALAAgAG0AYQBzAGsALAAgAFwAIgBOAG8AIABtAGEAdABjAGgAXAAiACkAXABuACAAIAAgACAAKQBcAG4AKQA7AFwAbg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BcAHUAMAAwADMAYwAgAFMAKQAsAFwAbgAgACAAIAAgACAAIAAgACAAbABhAHMAdABZAGUAYQByACwAeQBiAC0AKABEAEEAVABFACgAeQBiACwAbQAsAGQAKQBcAHUAMAAwADMAZQ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XAB1ADAAMAAyADcAdAAgAG8AdgBlAHIAbABhAHAAOwAgAG0AbwB2AGUAIAB0AG8AIABuAGUAeAB0ACAAeQBlAGEAcgAqAC8AXABuACAAIAAgACAAIAAgACAAIABmAGkAcgBzAHQAWQBlAGEAcgAsAHkAYQArACgAUABlAHIAaQBvAGQARQBuAGQAKABEAEEAVABFACgAeQBhACwAbQAsAGQAKQApAFwAdQAwADAAMwBjAFMAKQAsACAALwAqAGkAZgAgAHQAaABlACAAYQBuAGMAaABvAHIAIABmAG8AcgAgAHkAYgAgAHMAdABhAHIAdABzACAAYQBmAHQAZQByACAARQAsAGkAdAAgAGMAYQBuAFwAdQAwADAAMgA3AHQAIABvAHYAZQByAGwAYQBwADsAIABtAG8AdgBlACAAdABvACAAcAByAGUAdgBpAG8AdQBzACAAeQBlAGEAcgAqAC8AXABuACAAIAAgACAAIAAgACAAIABsAGEAcwB0AFkAZQBhAHIALAB5AGIALQAoAEQAQQBUAEUAKAB5AGIALABtACwAZAApAFwAdQAwADAAMwBl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BcAHUAMAAwADIANgAgAFwAIgAgAHQAbwAgAFwAIgAgAFwAdQAwADAAMgA2ACAAZQBuAGQAcwBUAGUAeAB0ACAAXAB1ADAAMAAyAD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HUAMAAwADIANwBcACIAIABcAHUAMAAwADIANgAgAHMAaAAgAFwAdQAwADAAMgA2ACAAXAAiAFwAdQAwADAAMgA3ACEAXAAiACAAXAB1ADAAMAAyADYAIABhAGQAZAByAFwAbgAgACAAKQBcAG4AKQA7AFwAbgBcAG4AVQB0AGkAbABpAHQAeQBfAFMAbwB1AHIAYwBlAEgAeQBwAGUAcgBsAGkAbgBrAEQAaQBmAGYAZQByAGUAbgB0AFMAaABlAGUAdA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IgAgAFwAdQAwADAAMgA2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IATwBVAE4ARAAoAFQAZQBtAHAAZQByAGEAdAB1AHIAZQAsACAAMAAp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QwBvAG0AbQBvAG4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ZQBuAHQAZQByAHAAcgBpAHMAZQAgAHQAeQBwAGUAcwBcAG4ARQB4AGMAZQBsACAAbQBvAGQAdQBsAGUAIABuAGEAbQBlADoAIABDAG8AbQBtAG8AbgBfAFMAbwB1AHIAYwBlAEQAYQB0AGE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EMAbwBtAG0AbwBuAF8AUwBvAHUAcgBjAGUARABhAHQAYQBfAEQAZQBuAHMAaQB0AHkATwBmAE0AZQB0AGgAYQBuAGUAXABuAHAAIAA9ACAAZABlAG4AcwBpAHQAeQAgAG8AZgAgAG0AZQB0AGgAYQBuAGUAIAAoADAALgA2ADcAOAA0ACAAawBnAC8AbQAzACkAXABuAFQAYQBrAGUAbgAgAGYAcgBvAG0AIAB0AGgAZQAgAE4AYQB0AGkAbwBuAGEAbAAgAEcAcgBlAGUAbgBoAG8AdQBzAGUAIABhAG4AZAAgAEUAbgBlAHIAZwB5ACAAUgBlAHAAbwByAHQAaQBuAGcAIABcAG4AKABNAGUAYQBzAHUAcgBlAG0AZQBuAHQAKQAgAEQAZQB0AGUAcgBtAGkAbgBhAHQAaQBvAG4AIAAyADAAMAA4AFwAbgAtAC0ALQAtAC0ALQAtAC0ALQAtAC0ALQAtAC0ALQAtAC0ALQAtAC0ALQAtAC0ALQAtAC0ALQAtAC0ALQAtAC0ALQAtAC0ALQAtAC0AXABuACoALwBcAG4AXABuAEMAbwBtAG0AbwBuAF8AUwBvAHUAcgBjAGUARABhAHQAYQBfAEQAZQBuAHMAaQB0AHkATwBmAE0AZQB0AGgAYQBuAGUAXwBUAGkAdABsAGUAXABuACAAIAA9AEwAQQBNAEIARABBACgAXAAiAHAAIAA9ACAAZABlAG4AcwBpAHQAeQAgAG8AZgAgAG0AZQB0AGgAYQBuAGUAXAAiACkAOwBcAG4AXABuAEMAbwBtAG0AbwBuAF8AUwBvAHUAcgBjAGUARABhAHQAYQBfAEQAZQBuAHMAaQB0AHkATwBmAE0AZQB0AGgAYQBuAGUAXwBVAG4AaQB0AFwAbgAgACAAPQBMAEEATQBCAEQAQQAoAFwAIgBrAGcALwBtADMAXAAiACkAOwBcAG4AXABuAEMAbwBtAG0AbwBuAF8AUwBvAHUAcgBjAGUARABhAHQAYQBfAEQAZQBuAHMAaQB0AHkATwBmAE0AZQB0AGgAYQBuAGUAXwBTAG8AdQByAGMAZQBcAG4AIAAgAD0ATABBAE0AQgBEAEEAKABcACIATgBhAHQAaQBvAG4AYQBsACAASQBuAHYAZQBuAHQAbwByAHkAIABSAGUAcABvAHIAdAAgADIAMAAyADMAIABWAG8AbAB1AG0AZQAgADEAOgAgAEUAcQB1AGEAdABpAG8AbgBzACAAMwAuAEIALgAxAGEAXwAyACwAIAAzAC4AQgAuADEAYwBfADIALAAgADMALgBCAC4AMwBfADEALAAgADMALgBCAC4ANABnAF8AMgBcACIAKQA7AFwAbgBcAG4AQwBvAG0AbQBvAG4AXwBTAG8AdQByAGMAZQBEAGEAdABhAF8ARABlAG4AcwBpAHQAeQBPAGYATQBlAHQAaABhAG4AZQBfAEQAYQB0AGEAXABuACAAIAA9AEwAQQBNAEIARABBACgAMAAuADYANwA4ADQAKQA7AFwAbgBcAG4ALwAqACAAXABuAC0ALQAtAC0ALQAtAC0ALQAtAC0ALQAtAC0ALQAtAC0ALQAtAC0ALQAtAC0ALQAtAC0ALQAtAC0ALQAtAC0ALQAtAC0ALQAtAC0ALQBcAG4AQwBvAG0AbQBvAG4AXwBTAG8AdQByAGMAZQBEAGEAdABhAF8AQwBvAG4AdgBlAHIAdABOADIAbwBFAGwAZQBtAGUAbgB0AGEAbABUAG8ATQBvAGwAZQBjAHUAbABhAHIAQwBnAFwAbgBDAGcAIAA9ACAANAA0AC8AMgA4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QwBvAG0AbQBvAG4AXwBTAG8AdQByAGMAZQBEAGEAdABhAF8AQwBvAG4AdgBlAHIAdABOADIAbwBFAGwAZQBtAGUAbgB0AGEAbABUAG8ATQBvAGwAZQBjAHUAbABhAHIAQwBnAF8AVABpAHQAbABlAFwAbgAgACAAPQBMAEEATQBCAEQAQQAoAFwAIgBGAGEAYwB0AG8AcgAgAHQAbwAgAGMAbwBuAHYAZQByAHQAIABlAGwAZQBtAGUAbgB0AGEAbAAgAG0AYQBzAHMAIABvAGYAIABOADIATwAgAHQAbwAgAG0AbwBsAGUAYwB1AGwAYQByACAAbQBhAHMAcwBcACIAKQA7AFwAbgBcAG4AQwBvAG0AbQBvAG4AXwBTAG8AdQByAGMAZQBEAGEAdABhAF8AQwBvAG4AdgBlAHIAdABOADIAbwBFAGwAZQBtAGUAbgB0AGEAbABUAG8ATQBvAGwAZQBjAHUAbABhAHIAQwBnAF8AVgBhAHIAaQBhAGIAbABlAFwAbgAgACAAPQBMAEEATQBCAEQAQQAoAFwAIgBDAGcATgAyAE8AXAAiACkAOwBcAG4AXABuAEMAbwBtAG0AbwBuAF8AUwBvAHUAcgBjAGUARABhAHQAYQBfAEMAbwBuAHYAZQByAHQATgAyAG8ARQBsAGUAbQBlAG4AdABhAGwAVABvAE0AbwBsAGUAYwB1AGwAYQByAEMAZwBfAFUAbgBpAHQAXABuACAAIAA9AEwAQQBNAEIARABBACgAXAAiAGYAYQBjAHQAbwByAFwAIgApADsAXABuAFwAbgBDAG8AbQBtAG8AbgBfAFMAbwB1AHIAYwBlAEQAYQB0AGEAXwBDAG8AbgB2AGUAcgB0AE4AMgBvAEUAbABlAG0AZQBuAHQAYQBsAFQAbwBNAG8AbABlAGMAdQBsAGEAcgBDAGcAXwBTAG8AdQByAGMAZQBcAG4AIAAgAD0ATABBAE0AQgBEAEEAKABcACIATgBhAHQAaQBvAG4AYQBsACAASQBuAHYAZQBuAHQAbwByAHkAIABSAGUAcABvAHIAdAAgADIAMAAyADMAIABWAG8AbAB1AG0AZQAgADEAXAAiACkAOwBcAG4AXABuAEMAbwBtAG0AbwBuAF8AUwBvAHUAcgBjAGUARABhAHQAYQBfAEMAbwBuAHYAZQByAHQATgAyAG8ARQBsAGUAbQBlAG4AdABhAGwAVABvAE0AbwBsAGUAYwB1AGwAYQByAEMAZwBfAEQAYQB0AGEAXABuACAAIAA9AEwAQQBNAEIARABBACgANAA0AC8AMgA4ACkAOwBcAG4AXABuAC8AKgAgAFwAbgAtAC0ALQAtAC0ALQAtAC0ALQAtAC0ALQAtAC0ALQAtAC0ALQAtAC0ALQAtAC0ALQAtAC0ALQAtAC0ALQAtAC0ALQAtAC0ALQAtAC0AXABuAEMAbwBtAG0AbwBuAF8AUwBvAHUAcgBjAGUARABhAHQAYQBfAEMAbwBuAHYAZQByAHQARwBhAHMARQBsAGUAbQBlAG4AdABhAGwAVABvAE0AbwBsAGUAYwB1AGwAYQByAFwAbgBGAGEAYwB0AG8AcgAgAHQAbwAgAGMAbwBuAHYAZQByAHQAIABlAGwAZQBtAGUAbgB0AGEAbAAgAG0AYQBzAHMAIABvAGYAIABnAGEAcwAgAHQAbwAgAG0AbwBsAGUAYwB1AGwAYQByACAAbQBhAHMAcwBcAG4ALQAtAC0ALQAtAC0ALQAtAC0ALQAtAC0ALQAtAC0ALQAtAC0ALQAtAC0ALQAtAC0ALQAtAC0ALQAtAC0ALQAtAC0ALQAtAC0ALQAtAFwAbgAqAC8AXABuAFwAbgBDAG8AbQBtAG8AbgBfAFMAbwB1AHIAYwBlAEQAYQB0AGEAXwBDAG8AbgB2AGUAcgB0AEcAYQBzAEUAbABlAG0AZQBuAHQAYQBsAFQAbwBNAG8AbABlAGMAdQBsAGEAcgBfAFQAaQB0AGwAZQBcAG4AIAAgAD0ATABBAE0AQgBEAEEAKABcACIARgBhAGMAdABvAHIAIAB0AG8AIABjAG8AbgB2AGUAcgB0ACAAZQBsAGUAbQBlAG4AdABhAGwAIABtAGEAcwBzACAAbwBmACAAZwBhAHMAIAB0AG8AIABtAG8AbABlAGMAdQBsAGEAcgAgAG0AYQBzAHMAXAAiACkAOwBcAG4AXABuAEMAbwBtAG0AbwBuAF8AUwBvAHUAcgBjAGUARABhAHQAYQBfAEMAbwBuAHYAZQByAHQARwBhAHMARQBsAGUAbQBlAG4AdABhAGwAVABvAE0AbwBsAGUAYwB1AGwAYQByAF8AVgBhAHIAaQBhAGIAbABlAFwAbgAgACAAPQBMAEEATQBCAEQAQQAoAFwAIgBDAGcAXAAiACkAOwBcAG4AXABuAEMAbwBtAG0AbwBuAF8AUwBvAHUAcgBjAGUARABhAHQAYQBfAEMAbwBuAHYAZQByAHQARwBhAHMARQBsAGUAbQBlAG4AdABhAGwAVABvAE0AbwBsAGUAYwB1AGwAYQByAF8AVQBuAGkAdABcAG4AIAAgAD0ATABBAE0AQgBEAEEAKABcACIAZgBhAGMAdABvAHIAXAAiACkAOwBcAG4AXABuAEMAbwBtAG0AbwBuAF8AUwBvAHUAcgBjAGUARABhAHQAYQBfAEMAbwBuAHYAZQByAHQARwBhAHMARQBsAGUAbQBlAG4AdABhAGwAVABvAE0AbwBsAGUAYwB1AGwAYQByAF8AUwBvAHUAcgBjAGUAXABuACAAIAA9AEwAQQBNAEIARABBACgAXAAiAFgAWABYAFgAWABYAFgAXAAiACkAOwBcAG4AXABuAEMAbwBtAG0AbwBuAF8AUwBvAHUAcgBjAGUARABhAHQAYQBfAEMAbwBuAHYAZQByAHQARwBhAHMARQBsAGUAbQBlAG4AdABhAGwAVABvAE0AbwBsAGUAYwB1AGwAYQByAF8ARABhAHQAYQBcAG4AIAAgAD0ATABBAE0AQgBEAEEAKABcAG4AIAAgACAAIABNAEEASwBFAEEAUgBSAEEAWQAoADgALAAgADQALAAgAFwAbgAgACAAIAAgACAAIABMAEEATQBCAEQAQQAoAHIALABjACwAIABcAG4AIAAgACAAIAAgACAAIAAgAEkATgBEAEUAWAAoAHsAXABuACAAIAAgACAAIAAgACAAIAAgACAAXAAiAEcAYQBzAFwAIgAsACAAXAAiAEMAbwBuAHYAZQByAHMAaQBvAG4AIABmAGEAYwB0AG8AcgBcACIALAAgAFwAIgBDAG8AbgB2AGUAcgBzAGkAbwBuACAAZgBhAGMAdABvAHIAIAAxAFwAIgAsACAAXAAiAEMAbwBuAHYAZQByAHMAaQBvAG4AIABmAGEAYwB0AG8AcgAgADIAXAAiADsAXABuACAAIAAgACAAIAAgACAAIAAgACAAXAAiAEMATwAyAFwAIgAsACAAXAAiADQANAAvADEAMgBcACIALAAgADQANAAsACAAMQAyADsAXABuACAAIAAgACAAIAAgACAAIAAgACAAXAAiAEMASAA0AFwAIgAsACAAXAAiADEANgAvADEAMgBcACIALAAgADEANgAsACAAMQAyADsAXABuACAAIAAgACAAIAAgACAAIAAgACAAXAAiAE4AMgBPAFwAIgAsACAAXAAiADQANAAvADIAOABcACIALAAgADQANAAsACAAMgA4ADsAXABuACAAIAAgACAAIAAgACAAIAAgACAAXAAiAE4AbwB4AFwAIgAsACAAXAAiADQANgAvADEANABcACIALAAgADQANgAsACAAMQA0ADsAXABuACAAIAAgACAAIAAgACAAIAAgACAAXAAiAEMATwBcACIALAAgAFwAIgAyADgALwAxADIAXAAiACwAIAAyADgALAAgADEAMgA7AFwAbgAgACAAIAAgACAAIAAgACAAIAAgAFwAIgBDAE8AMgAgAEwAaQBtAGUAXAAiACwAIABcACIANAA0AC8AMQAyAFwAIgAsACAANAA0ACwAIAAxADIAOwBcAG4AIAAgACAAIAAgACAAIAAgACAAIABcACIATgBNAFYATwBDAFwAIgAsACAAXAAiADEANAAvADEAMgBcACIALAAgADEANAAsACAAMQAy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HAFcAUABOADIATwBcAG4ARwBsAG8AYgBhAGwAIAB3AGEAcgBtAGkAbgBnACAAcABvAHQAZQBuAHQAaQBhAGwAIABmAG8AcgAgAGcAcgBlAGUAbgBoAG8AdQBzAGUAIABnAGEAcwBlAHMAXABuAC0ALQAtAC0ALQAtAC0ALQAtAC0ALQAtAC0ALQAtAC0ALQAtAC0ALQAtAC0ALQAtAC0ALQAtAC0ALQAtAC0ALQAtAC0ALQAtAC0ALQBcAG4AKgAvAFwAbgBcAG4AQwBvAG0AbQBvAG4AXwBTAG8AdQByAGMAZQBEAGEAdABhAF8ARwBXAFAAXwBUAGkAdABsAGUAXABuACAAIAA9AEwAQQBNAEIARABBACgAXAAiAEcAbABvAGIAYQBsACAAdwBhAHIAbQBpAG4AZwAgAHAAbwB0AGUAbgB0AGkAYQBsACAAZgBvAHIAIABnAHIAZQBlAG4AaABvAHUAcwBlACAAZwBhAHMAZQBzAFwAIgApADsAXABuAFwAbgBDAG8AbQBtAG8AbgBfAFMAbwB1AHIAYwBlAEQAYQB0AGEAXwBHAFcAUABfAFYAYQByAGkAYQBiAGwAZQBcAG4AIAAgAD0ATABBAE0AQgBEAEEAKABcACIARwBXAFAATgAyAE8AXAAiACkAOwBcAG4AXABuAEMAbwBtAG0AbwBuAF8AUwBvAHUAcgBjAGUARABhAHQAYQBfAEcAVwBQAF8AVQBuAGkAdABcAG4AIAAgAD0ATABBAE0AQgBEAEEAKABcACIAZgBhAGMAdABvAHIAXAAiACkAOwBcAG4AXABuAEMAbwBtAG0AbwBuAF8AUwBvAHUAcgBjAGUARABhAHQAYQBfAEcAVwBQAF8AUwBvAHUAcgBjAGUAXABuACAAIAA9AEwAQQBNAEIARABBACgAXAAiAFgAWABYAFgAWABYAFgAXAAiACkAOwBcAG4AXABuAEMAbwBtAG0AbwBuAF8AUwBvAHUAcgBjAGUARABhAHQAYQBfAEcAVwBQAF8ARABhAHQAYQBcAG4AIAAgAD0ATABBAE0AQgBEAEEAKABcAG4AIAAgACAAIABNAEEASwBFAEEAUgBSAEEAWQAoADgALAAgADIALAAgAFwAbgAgACAAIAAgACAAIABMAEEATQBCAEQAQQAoAHIALABjACwAIABcAG4AIAAgACAAIAAgACAAIAAgAEkATgBEAEUAWAAoAHsAXABuACAAIAAgACAAIAAgACAAIAAgACAAXAAiAEcAYQBzAFwAIgAsACAAXAAiAEMATwAyAC0AZQAgAGYAYQBjAHQAbwByAFwAIgA7AFwAbgAgACAAIAAgACAAIAAgACAAIAAgAFwAIgBDAE8AMgBcACIALAAgADEAOwBcAG4AIAAgACAAIAAgACAAIAAgACAAIABcACIAQwBIADQAXAAiACwAIAAyADgAOwBcAG4AIAAgACAAIAAgACAAIAAgACAAIABcACIATgAyAE8AXAAiACwAIAAyADYANQA7AFwAbgAgACAAIAAgACAAIAAgACAAIAAgAFwAIgBDAEYANABcACIALAAgADYANgAzADAAOwBcAG4AIAAgACAAIAAgACAAIAAgACAAIABcACIAQwAyAEYANgBcACIALAAgADEAMgAyADAAMAA7AFwAbgAgACAAIAAgACAAIAAgACAAIAAgAFwAIgBTAEYANgBcACIALAAgADIAMgA4ADAAMAA7AFwAbgAgACAAIAAgACAAIAAgACAAIAAgAFwAIgBOAEYAMwBcACIALAAgADEANwAyADAAMA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EAdQBzAHQAcgBhAGwAaQBhAG4AUwB0AGEAdABlAHMAVABlAHIAcgBpAHQAbwByAGkAZQBzAFwAbgAtAC0ALQAtAC0ALQAtAC0ALQAtAC0ALQAtAC0ALQAtAC0ALQAtAC0ALQAtAC0ALQAtAC0ALQAtAC0ALQAtAC0ALQAtAC0ALQAtAC0AXABuACoALwBcAG4AXABuAEMAbwBtAG0AbwBuAF8AUwBvAHUAcgBjAGUARABhAHQAYQBfAEEAdQBzAHQAcgBhAGwAaQBhAG4AUwB0AGEAdABlAHMAVABlAHIAcgBpAHQAbwByAGkAZQBzAF8AVABpAHQAbABlAFwAbgAgACAAPQBMAEEATQBCAEQAQQAoAFwAIgBBAHUAcwB0AHIAYQBsAGkAYQBuACAAcwB0AGEAdABlAHMAIABhAG4AZAAgAHQAZQByAHIAaQB0AG8AcgBpAGUAcwBcACIAKQA7AFwAbgBcAG4AQwBvAG0AbQBvAG4AXwBTAG8AdQByAGMAZQBEAGEAdABhAF8AQQB1AHMAdAByAGEAbABpAGEAbgBTAHQAYQB0AGUAcwBUAGUAcgByAGkAdABvAHIAaQBlAHMAXwBWAGEAcgBpAGEAYgBsAGUAXABuACAAIAA9AEwAQQBNAEIARABBACgAXAAiAFwAIgApADsAXABuAFwAbgBDAG8AbQBtAG8AbgBfAFMAbwB1AHIAYwBlAEQAYQB0AGEAXwBBAHUAcwB0AHIAYQBsAGkAYQBuAFMAdABhAHQAZQBzAFQAZQByAHIAaQB0AG8AcgBpAGUAcwBfAFUAbgBpAHQAXABuACAAIAA9AEwAQQBNAEIARABBACgAXAAiAFwAIgApADsAXABuAFwAbgBDAG8AbQBtAG8AbgBfAFMAbwB1AHIAYwBlAEQAYQB0AGEAXwBBAHUAcwB0AHIAYQBsAGkAYQBuAFMAdABhAHQAZQBzAFQAZQByAHIAaQB0AG8AcgBpAGUAcwBfAFMAbwB1AHIAYwBlAFwAbgAgACAAPQBMAEEATQBCAEQAQQAoAFwAIgBcACIAKQA7AFwAbgBcAG4AQwBvAG0AbQBvAG4AXwBTAG8AdQByAGMAZQBEAGEAdABhAF8AQQB1AHMAdAByAGEAbABpAGEAbgBTAHQAYQB0AGUAcwBUAGUAcgByAGkAdABvAHIAaQBlAHMAXwBEAGEAdABhAFwAbgAgACAAIAA9AEwAQQBNAEIARABBACgAXABuACAAIAAgACAATQBBAEsARQBBAFIAUgBBAFkAKAA5ACwAIAAzACwAIABcAG4AIAAgACAAIAAgACAATABBAE0AQgBEAEEAKAByACwAYwAsACAAXABuACAAIAAgACAAIAAgACAAIABJAE4ARABFAFgAKAB7AFwAbgAgACAAIAAgACAAIAAgACAAIAAgAFwAIgBTAHQAYQB0AGUALwBUAGUAcgByAGkAdABvAHIAeQBcACIALAAgAFwAIgBDAG8AbQBtAG8AbgAgAE4AYQBtAGUAXAAiACwAIABcACIAQQBiAGIAcgBlAHYAaQBhAHQAaQBvAG4AXAAiADsAXABuACAAIAAgACAAIAAgACAAIAAgACAAXAAiAE4AZQB3ACAAUwBvAHUAdABoACAAVwBhAGwAZQBzAFwAIgAsACAAXAAiAE4AZQB3ACAAUwBvAHUAdABoACAAVwBhAGwAZQBzAFwAIgAsACAAXAAiAE4AUwBXAFwAIgA7AFwAbgAgACAAIAAgACAAIAAgACAAIAAgAFwAIgBBAHUAcwB0AHIAYQBsAGkAYQBuACAAQwBhAHAAaQB0AGEAbAAgAFQAZQByAHIAaQB0AG8AcgB5AFwAIgAsACAAXAAiAEEAQwBUAFwAIgAsACAAXAAiAEEAQwBUAFwAIgA7AFwAbgAgACAAIAAgACAAIAAgACAAIAAgAFwAIgBWAGkAYwB0AG8AcgBpAGEAXAAiACwAIABcACIAVgBpAGMAdABvAHIAaQBhAFwAIgAsACAAXAAiAFYASQBDAFwAIgA7AFwAbgAgACAAIAAgACAAIAAgACAAIAAgAFwAIgBRAHUAZQBlAG4AcwBsAGEAbgBkAFwAIgAsACAAXAAiAFEAdQBlAGUAbgBzAGwAYQBuAGQAXAAiACwAIABcACIAUQBMAEQAXAAiADsAXABuACAAIAAgACAAIAAgACAAIAAgACAAXAAiAFMAbwB1AHQAaAAgAEEAdQBzAHQAcgBhAGwAaQBhAFwAIgAsACAAXAAiAFMAbwB1AHQAaAAgAEEAdQBzAHQAcgBhAGwAaQBhAFwAIgAsACAAXAAiAFMAQQBcACIAOwBcAG4AIAAgACAAIAAgACAAIAAgACAAIABcACIAVwBlAHMAdABlAHIAbgAgAEEAdQBzAHQAcgBhAGwAaQBhAFwAIgAsACAAXAAiAFcAZQBzAHQAZQByAG4AIABBAHUAcwB0AHIAYQBsAGkAYQBcACIALAAgAFwAIgBXAEEAXAAiADsAXABuACAAIAAgACAAIAAgACAAIAAgACAAXAAiAFQAYQBzAG0AYQBuAGkAYQBcACIALAAgAFwAIgBUAGEAcwBtAGEAbgBpAGEAXAAiACwAIABcACIAVABBAFMAXAAiADsAXABuACAAIAAgACAAIAAgACAAIAAgACAAXAAiAE4AbwByAHQAaABlAHIAbgAgAFQAZQByAHIAaQB0AG8AcgB5AFwAIgAsACAAXAAiAE4AbwByAHQAaABlAHIAbgAgAFQAZQByAHIAaQB0AG8AcgB5AFwAIgAsACAAXAAiAE4AVA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QQBTAEEANABBAHIAZQBhAHMAXABuAC0ALQAtAC0ALQAtAC0ALQAtAC0ALQAtAC0ALQAtAC0ALQAtAC0ALQAtAC0ALQAtAC0ALQAtAC0ALQAtAC0ALQAtAC0ALQAtAC0ALQBcAG4AKgAvAFwAbgBcAG4AQwBvAG0AbQBvAG4AXwBTAG8AdQByAGMAZQBEAGEAdABhAF8AVwBBAFMAQQA0AEEAcgBlAGEAcwBfAFQAaQB0AGwAZQBcAG4AIAAgAD0ATABBAE0AQgBEAEEAKABcACIAQQBCAFMAIABTAHQAYQB0AGkAcwB0AGMAYQBsACAAQQByAGUAYQBzACAATABlAHYAZQBsACAANAAgAC0AIABXAGUAcwB0AGUAcgBuACAAQQB1AHMAdAByAGEAbABpAGEAXAAiACkAOwBcAG4AXABuAEMAbwBtAG0AbwBuAF8AUwBvAHUAcgBjAGUARABhAHQAYQBfAFcAQQBTAEEANABBAHIAZQBhAHMAXwBWAGEAcgBpAGEAYgBsAGUAXABuACAAIAA9AEwAQQBNAEIARABBACgAXAAiAFwAIgApADsAXABuAFwAbgBDAG8AbQBtAG8AbgBfAFMAbwB1AHIAYwBlAEQAYQB0AGEAXwBXAEEAUwBBADQAQQByAGUAYQBzAF8AVQBuAGkAdABcAG4AIAAgAD0ATABBAE0AQgBEAEEAKABcACIAXAAiACkAOwBcAG4AXABuAEMAbwBtAG0AbwBuAF8AUwBvAHUAcgBjAGUARABhAHQAYQBfAFcAQQBTAEEANABBAHIAZQBhAHMAXwBTAG8AdQByAGMAZQBcAG4AIAAgAD0ATABBAE0AQgBEAEEAKABcACIAQQB1AHMAdAByAGEAbABpAGEAbgAgAEIAdQByAGUAYQB1ACAAbwBmACAAUwB0AGEAdABpAHMAdABpAGMAcwAgACgAQQBCAFMAKQAgAC0AIABTAHQAYQB0AGkAcwB0AGkAYwBhAGwAIABBAHIAZQBhAHMAIABMAGUAdgBlAGwAIAAyACAALQAgADIAMAAyADEAIAAtACAAUwBoAGEAcABlAGYAaQBsAGUAXAAiACkAOwBcAG4AXABuAEMAbwBtAG0AbwBuAF8AUwBvAHUAcgBjAGUARABhAHQAYQBfAFcAQQBTAEEANABBAHIAZQBhAHMAXwBEAGEAdABhAFwAbgAgACAAIAA9AEwAQQBNAEIARABBACgAXABuACAAIAAgACAATQBBAEsARQBBAFIAUgBBAFkAKAAxADEALAAgADEALAAgAFwAbgAgACAAIAAgACAAIABMAEEATQBCAEQAQQAoAHIALABjACwAIABcAG4AIAAgACAAIAAgACAAIAAgAEkATgBEAEUAWAAoAHsAXABuACAAIAAgACAAIAAgACAAIAAgACAAXAAiAFMAQQAgADQAIABOAGEAbQBlAFwAIgA7AFwAbgAgACAAIAAgACAAIAAgACAAIAAgAFwAIgBCAHUAbgBiAHUAcgB5AFwAIgA7AFwAbgAgACAAIAAgACAAIAAgACAAIAAgAFwAIgBNAGEAbgBkAHUAcgBhAGgAXAAiADsAXABuACAAIAAgACAAIAAgACAAIAAgACAAXAAiAFAAZQByAHQAaAAgAC0AIABJAG4AbgBlAHIAXAAiADsAXABuACAAIAAgACAAIAAgACAAIAAgACAAXAAiAFAAZQByAHQAaAAgAC0AIABOAG8AcgB0AGgAIABFAGEAcwB0AFwAIgA7AFwAbgAgACAAIAAgACAAIAAgACAAIAAgAFwAIgBQAGUAcgB0AGgAIAAtACAATgBvAHIAdABoACAAVwBlAHMAdABcACIAOwBcAG4AIAAgACAAIAAgACAAIAAgACAAIABcACIAUABlAHIAdABoACAALQAgAFMAbwB1AHQAaAAgAEUAYQBzAHQAXAAiADsAXABuACAAIAAgACAAIAAgACAAIAAgACAAXAAiAFAAZQByAHQAaAAgAC0AIABTAG8AdQB0AGgAIABXAGUAcwB0AFwAIgA7AFwAbgAgACAAIAAgACAAIAAgACAAIAAgAFwAIgBXAGUAcwB0AGUAcgBuACAAQQB1AHMAdAByAGEAbABpAGEAIAAtACAAVwBoAGUAYQB0ACAAQgBlAGwAdABcACIAOwBcAG4AIAAgACAAIAAgACAAIAAgACAAIABcACIAVwBlAHMAdABlAHIAbgAgAEEAdQBzAHQAcgBhAGwAaQBhACAALQAgAE8AdQB0AGIAYQBjAGsAIAAoAE4AbwByAHQAaAApAFwAIgA7AFwAbgAgACAAIAAgACAAIAAgACAAIAAgAFwAIgBXAGUAcwB0AGUAcgBuACAAQQB1AHMAdAByAGEAbABpAGEAIAAtACAATwB1AHQAYgBhAGMAawAgACgAUwBvAHUAdABoACk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GUAdABBAG4AZABEAHIAeQBaAG8AbgBlAHMAXABuAC0ALQAtAC0ALQAtAC0ALQAtAC0ALQAtAC0ALQAtAC0ALQAtAC0ALQAtAC0ALQAtAC0ALQAtAC0ALQAtAC0ALQAtAC0ALQAtAC0ALQBcAG4AKgAvAFwAbgBcAG4AQwBvAG0AbQBvAG4AXwBTAG8AdQByAGMAZQBEAGEAdABhAF8AVwBlAHQAQQBuAGQARAByAHkAWgBvAG4AZQBzAF8AVABpAHQAbABlAFwAbgAgACAAPQBMAEEATQBCAEQAQQAoAFwAIgBWAEUARQBSAEcAIABBAHUAcwB0AHIAYQBsAGkAYQBuACAAdwBlAHQAIABhAG4AZAAgAGQAcgB5ACAAegBvAG4AZQBzAFwAIgApADsAXABuAFwAbgBDAG8AbQBtAG8AbgBfAFMAbwB1AHIAYwBlAEQAYQB0AGEAXwBXAGUAdABBAG4AZABEAHIAeQBaAG8AbgBlAHMAXwBWAGEAcgBpAGEAYgBsAGUAXABuACAAIAA9AEwAQQBNAEIARABBACgAXAAiAFwAIgApADsAXABuAFwAbgBDAG8AbQBtAG8AbgBfAFMAbwB1AHIAYwBlAEQAYQB0AGEAXwBXAGUAdABBAG4AZABEAHIAeQBaAG8AbgBlAHMAXwBVAG4AaQB0AFwAbgAgACAAPQBMAEEATQBCAEQAQQAoAFwAIgBcACIAKQA7AFwAbgBcAG4AQwBvAG0AbQBvAG4AXwBTAG8AdQByAGMAZQBEAGEAdABhAF8AVwBlAHQAQQBuAGQARAByAHkAWgBvAG4AZQBzAF8AUwBvAHUAcgBjAGUAXABuACAAIAA9AEwAQQBNAEIARABBACgAXAAiAFYARQBFAFIARwAgADIAMAAyADYAOgAgAFQAYQBiAGwAZQAgADEALgAyADoAIABUAHIAYQBuAHMAbABhAHQAaQBuAGcAIABjAGwAaQBtAGEAdABlACAAegBvAG4AZQBzACAAdABvACAAdwBlAHQAIABhAG4AZAAgAGQAcgB5ACAAegBvAG4AZQBzAFwAIgApADsAXABuAFwAbgBDAG8AbQBtAG8AbgBfAFMAbwB1AHIAYwBlAEQAYQB0AGEAXwBXAGUAdABBAG4AZABEAHIAeQBaAG8AbgBlAHMAXwBWAGEAcgBpAGEAdABpAG8AbgBcAG4AIAAgACAAPQBMAEEATQBCAEQAQQAoAFwAbgAgACAAIAAgAE0AQQBLAEUAQQBSAFIAQQBZACgAMw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LQAgAEMAaABhAG4AZwBlAGQAIABcAHUAMAAwADIANwBGAHIAeQBcAHUAMAAwADIANwAgAHQAbwAgAFwAdQAwADAAMgA3AEQAcgB5AFwAdQAwADAAMgA3AC4AXAAiAFwAbgAgACAAIAAgACAAIAAgACAAfQAsACAAcgAsACAAYwApAFwAbgAgACAAIAAgACAAIAApAFwAbgAgACAAIAAgACkAXABuACAAIAApADsAXABuAFwAbgBDAG8AbQBtAG8AbgBfAFMAbwB1AHIAYwBlAEQAYQB0AGEAXwBXAGUAdABBAG4AZABEAHIAeQBaAG8AbgBlAHMAXwBEAGEAdABhAFwAbgAgACAAIAA9AEwAQQBNAEIARABBACgAXABuACAAIAAgACAATQBBAEsARQBBAFIAUgBBAFkAKAAxADUALAAgADIALAAgAFwAbgAgACAAIAAgACAAIABMAEEATQBCAEQAQQAoAHIALABjACwAIABcAG4AIAAgACAAIAAgACAAIAAgAEkATgBEAEUAWAAoAHsAXABuACAAIAAgACAAIAAgACAAIAAgACAAXAAiAEMAbABpAG0AYQB0AGUAIABaAG8AbgBlAFwAIgAsACAAXAAiAFcAZQB0ACAAbwByACAARAByAHkAIABaAG8AbgBlAFwAIgA7AFwAbgAgACAAIAAgACAAIAAgACAAIAAgAFwAIgBUAHIAbwBwAGkAYwBhAGwAIABtAG8AbgB0AGEAbgBlAFwAIgAsACAAXAAiAFcAZQB0ACAAYwBsAGkAbQBhAHQAZQAgAHoAbwBuAGUAXAAiADsAXABuACAAIAAgACAAIAAgACAAIAAgACAAXAAiAFQAcgBvAHAAaQBjAGEAbAAgAHcAZQB0AFwAIgAsACAAXAAiAFcAZQB0ACAAYwBsAGkAbQBhAHQAZQAgAHoAbwBuAGUAXAAiADsAXABuACAAIAAgACAAIAAgACAAIAAgACAAXAAiAFQAcgBvAHAAaQBjAGEAbAAgAG0AbwBpAHMAdABcACIALAAgAFwAIgBXAGUAdAAgAGMAbABpAG0AYQB0AGUAIAB6AG8AbgBlAFwAIgA7AFwAbgAgACAAIAAgACAAIAAgACAAIAAgAFwAIgBUAHIAbwBwAGkAYwBhAGwAIABkAHIAeQBcACIALAAgAFwAIgBEAHIAeQAgAGMAbABpAG0AYQB0AGUAIAB6AG8AbgBlAFwAIgA7AFwAbgAgACAAIAAgACAAIAAgACAAIAAgAFwAIgBXAGEAcgBtACAAdABlAG0AcABlAHIAYQB0AGUAIABtAG8AaQBzAHQAXAAiACwAIABcACIAVwBlAHQAIABjAGwAaQBtAGEAdABlACAAegBvAG4AZQBcACIAOwBcAG4AIAAgACAAIAAgACAAIAAgACAAIABcACIAVwBhAHIAbQAgAHQAZQBtAHAAZQByAGEAdABlACAAZAByAHkAXAAiACwAIABcACIARAByAHkAIABjAGwAaQBtAGEAdABlACAAegBvAG4AZQBcACIAOwBcAG4AIAAgACAAIAAgACAAIAAgACAAIABcACIAQwBvAG8AbAAgAHQAZQBtAHAAZQByAGEAdABlACAAbQBvAGkAcwB0AFwAIgAsACAAXAAiAFcAZQB0ACAAYwBsAGkAbQBhAHQAZQAgAHoAbwBuAGUAXAAiADsAXABuACAAIAAgACAAIAAgACAAIAAgACAAXAAiAEMAbwBvAGwAIAB0AGUAbQBwAGUAcgBhAHQAZQAgAGQAcgB5AFwAIgAsACAAXAAiAEQAcgB5ACAAYwBsAGkAbQBhAHQAZQAgAHoAbwBuAGUAXAAiADsAXABuACAAIAAgACAAIAAgACAAIAAgACAAXAAiAFcAYQByAG0AIAB0AGUAbQBwAGUAcgBhAHQAZQAgAG0AbwBpAHMAdAAgAC0AIABsAG8AdwAgAGYAcgBvAHMAdABcACIALAAgAFwAIgBXAGUAdAAgAGMAbABpAG0AYQB0AGUAIAB6AG8AbgBlAFwAIgA7AFwAbgAgACAAIAAgACAAIAAgACAAIAAgAFwAIgBXAGEAcgBtACAAdABlAG0AcABlAHIAYQB0AGUAIABkAHIAeQAgAC0AIABsAG8AdwAgAGYAcgBvAHMAdABcACIALAAgAFwAIgBEAHIAeQAgAGMAbABpAG0AYQB0AGUAIAB6AG8AbgBlAFwAIgA7AFwAbgAgACAAIAAgACAAIAAgACAAIAAgAFwAIgBXAGEAcgBtACAAdABlAG0AcABlAHIAYQB0AGUAIABtAG8AaQBzAHQAIAAtACAAaABpAGcAaAAgAHQAZQBtAHAAXAAiACwAIABcACIAVwBlAHQAIABjAGwAaQBtAGEAdABlACAAegBvAG4AZQBcACIAOwBcAG4AIAAgACAAIAAgACAAIAAgACAAIABcACIAVwBhAHIAbQAgAHQAZQBtAHAAZQByAGEAdABlACAAZAByAHkAIAAtACAAaABpAGcAaAAgAHQAZQBtAHAAXAAiACwAIABcACIARAByAHkAIABjAGwAaQBtAGEAdABlACAAegBvAG4AZQBcACIAOwBcAG4AIAAgACAAIAAgACAAIAAgACAAIABcACIAQwBvAG8AbAAgAHQAZQBtAHAAZQByAGEAdABlACAAbQBvAGkAcwB0ACAALQAgAGwAbwB3ACAAZgByAG8AcwB0AFwAIgAsACAAXAAiAFcAZQB0ACAAYwBsAGkAbQBhAHQAZQAgAHoAbwBuAGUAXAAiADsAXABuACAAIAAgACAAIAAgACAAIAAgACAAXAAiAEMAbwBvAGwAIAB0AGUAbQBwAGUAcgBhAHQAZQAgAGQAcgB5ACAALQAgAGwAbwB3ACAAZgByAG8AcwB0AFwAIgAsACAAXAAiAEQAcgB5ACAAYwBsAGkAbQBhAHQAZQAgAHoAbwBuAGU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DAGwAaQBtAGEAdABlAFoAbwBuAGUAcwBcAG4ALQAtAC0ALQAtAC0ALQAtAC0ALQAtAC0ALQAtAC0ALQAtAC0ALQAtAC0ALQAtAC0ALQAtAC0ALQAtAC0ALQAtAC0ALQAtAC0ALQAtAFwAbgAqAC8AXABuAFwAbgBDAG8AbQBtAG8AbgBfAFMAbwB1AHIAYwBlAEQAYQB0AGEAXwBDAGwAaQBtAGEAdABlAFoAbwBuAGUAcwBfAFQAaQB0AGwAZQBcAG4AIAAgAD0ATABBAE0AQgBEAEEAKABcACIAVgBFAEUAUgBHACAAQQB1AHMAdAByAGEAbABpAGEAbgAgAGMAbABpAG0AYQB0AGUAIAB6AG8AbgBlAHMAXAAiACkAOwBcAG4AXABuAEMAbwBtAG0AbwBuAF8AUwBvAHUAcgBjAGUARABhAHQAYQBfAEMAbABpAG0AYQB0AGUAWgBvAG4AZQBzAF8AVgBhAHIAaQBhAGIAbABlAFwAbgAgACAAPQBMAEEATQBCAEQAQQAoAFwAIgBcACIAKQA7AFwAbgBcAG4AQwBvAG0AbQBvAG4AXwBTAG8AdQByAGMAZQBEAGEAdABhAF8AQwBsAGkAbQBhAHQAZQBaAG8AbgBlAHMAXwBVAG4AaQB0AFwAbgAgACAAPQBMAEEATQBCAEQAQQAoAFwAIgBcACIAKQA7AFwAbgBcAG4AQwBvAG0AbQBvAG4AXwBTAG8AdQByAGMAZQBEAGEAdABhAF8AQwBsAGkAbQBhAHQ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DAGwAaQBtAGEAdABlAFoAbwBuAGUAcwBfAFYAYQByAGkAYQB0AGkAbwBuAFwAbgAg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BpAG4AIABNAEEAVAAgAHYAYQBsAHUAZQAgAGYAbwByACAAdwBhAHIAbQAgAHQAZQBtAHAAZQByAGEAdABlACAAZAByAHkAIAAtACAAYwBoAGEAbgBnAGUAZAAgADEAMAAgAHQAbwAgADEAMQAuAFwAIgA7AFwAbgAgACAAIAAgACAAIAAgACAAIAAgAFwAIgBBAGQAZABlAGQAIABtAGkAbgAgAGEAbgBkACAAbQBhAHgAIABjAG8AbAB1AG0AbgBzACAAZgBvAHIAIABNAEEAVAAsACAATQBBAFAALAAgAGYAcgBvAHMAdAAgAGQAYQB5AHMAIABwAGUAcgAgAHkAZQBhAHIALAAgAGUAbABlAHYAYQB0AGkAbwBuACwAIABNAEEAUAA6AFAARQBUACAAdABvACAAYwBhAGwAYwB1AGwAYQB0AGUAIAB6AG8AbgBlAHMAIABmAHIAbwBtACAAcgBlAGEAbAAgAGMAbABpAG0AYQB0AGUAIABkAGEAdABhAC4AXAAiADsAXABuACAAIAAgACAAIAAgACAAIAAgACAAXAAiAEcAQQBGACAAYQBjAGMAZQBwAHQAcwAgAHIAYQBpAG4AZgBhAGwAbAAgAGEAcwAgAGEAIABwAHIAbwB4AHkAIABmAG8AcgAgAHAAcgBlAGMAaQBwAGkAdABhAHQAaQBvAG4ALgBcACIAXABuACAAIAAgACAAIAAgACAAIAB9ACwAIAByACwAIABjACkAXABuACAAIAAgACAAIAAgACkAXABuACAAIAAgACAAKQBcAG4AIAAgACkAOwBcAG4AXABuAEMAbwBtAG0AbwBuAF8AUwBvAHUAcgBjAGUARABhAHQAYQBfAEMAbABpAG0AYQB0AGUAWgBvAG4AZQBzAF8ARABhAHQAYQBcAG4AIAAgACAAPQBMAEEATQBCAEQAQQAoAFwAbgAgACAAIAAgAE0AQQBLAEUAQQBSAFIAQQBZACgAOQAsACAAMQA2ACwAIABcAG4AIAAgACAAIAAgACAATABBAE0AQgBEAEEAKAByACwAYwAsACAAXABuACAAIAAgACAAIAAgACAAIABJAE4ARABFAFgAKAB7AFwAbgAgACAAIAAgACAAIAAgACAAIAAgAFwAIgBDAGwAaQBtAGEAdABlACAAWgBvAG4AZQBcACIALAAgAFwAIgBNAEEAVABcACIALAAgAFwAIgBNAEEAUABcACIALAAgAFwAIgBGAHIAbwBzAHQAIABkAGEAeQBzACAAcABlAHIAIAB5AGUAYQByAFwAIgAsACAAXAAiAEUAbABlAHYAYQB0AGkAbwBuAFwAIgAsACAAXAAiAE0AQQBQADoAUABFAFQAXAAiACwAIABcACIATQBpAG4AIAB0AGUAbQBwAFwAIgAsACAAXAAiAE0AYQB4ACAAdABlAG0AcABcACIALAAgAFwAIgBNAGkAbgAgAHIAYQBpAG4AZgBhAGwAbABcACIALAAgAFwAIgBNAGEAeAAgAHIAYQBpAG4AZgBhAGwAbABcACIALAAgAFwAIgBNAGkAbgAgAGYAcgBvAHMAdAAgAGQAYQB5AHMAXAAiACwAIABcACIATQBhAHgAIABmAHIAbwBzAHQAIABkAGEAeQBzAFwAIgAsACAAXAAiAE0AaQBuACAAZQBsAGUAdgBhAHQAaQBvAG4AXAAiACwAIABcACIATQBhAHgAIABlAGwAZQB2AGEAdABpAG8AbgBcACIALAAgAFwAIgBNAGkAbgAgAE0AQQBQADoAUABFAFQAXAAiACwAIABcACIATQBpAG4AIABNAEEAUAA6AFAARQBUAFwAIgA7AFwAbgAgACAAIAAgACAAIAAgACAAIAAgAFwAIgBUAHIAbwBwAGkAYwBhAGwAIABtAG8AbgB0AGEAbgBlAFwAIgAsACAAXAAiAFwAdQAwADAAMwBlACAAMQA4ACAAQwBcACIALAAgAFwAIgBBAG4AeQBcACIALAAgAFwAIgBkIiAANwBcACIALAAgAFwAIgBcAHUAMAAwADMAZQAgADEAMAAwADAAIABtAFwAIgAsACAAXAAiAEEAbgB5AFwAIgAsACAAMQA4AC4AMAAwADEALAAgADkAOQA5ADkAOQA5ACwAIAAtADkAOQA5ADkAOQA5ACwAIAA5ADkAOQA5ADkAOQAsACAALQA5ADkAOQA5ADkAOQAsACAANwAsACAAMQAwADAAMAAsACAAOQA5ADkAOQA5ADkALAAgAC0AOQA5ADkAOQA5ADkALAAgADkAOQA5ADkAOQA5ADsAXABuACAAIAAgACAAIAAgACAAIAAgACAAXAAiAFQAcgBvAHAAaQBjAGEAbAAgAHcAZQB0AFwAIgAsACAAXAAiAFwAdQAwADAAMwBlACAAMQA4ACAAQwBcACIALAAgAFwAIgBcAHUAMAAwADMAZQ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BcAHUAMAAwADMAZQAgADEAOAAgAEMAXAAiACwAIABcACIAXAB1ADAAMAAzAGUAIAAxADAAMAAwACAAbQBtACAALQAgAGQiIAAyADAAMAAwACAAbQBtAFwAIgAsACAAXAAiAGQiIAA3AFwAIgAsACAAXAAiAGQiIAAxADAAMAAwACAAbQBcACIALAAgAFwAIgBBAG4AeQBcACIALAAgADEAOAAuADAAMAAxACwAIAA5ADkAOQA5ADkAOQAsACAAMQAwADAAMAAuADAAMAAxACwAIAAyADAAMAAwACwAIAAtADkAOQA5ADkAOQA5ACwAIAA3ACwAIAAtADkAOQA5ADkAOQA5ACwAIAA5ADkAOQAuADkAOQA5ACwAIAAgAC0AOQA5ADkAOQA5ADkALAAgADkAOQA5ADkAOQA5ADsAXABuACAAIAAgACAAIAAgACAAIAAgACAAXAAiAFQAcgBvAHAAaQBjAGEAbAAgAGQAcgB5AFwAIgAsACAAXAAiAFwAdQAwADAAMwBl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FwAdQAwADAAMwBlACAAMQAwACAAQwBcACIALAAgAFwAIgBBAG4AeQBcACIALAAgAFwAIgBBAG4AeQBcACIALAAgAFwAIgBBAG4AeQBcACIALAAgAFwAIgBcAHUAMAAwADMAZQAgADEAXAAiACwAIAAxADAALgAwADAAMQAsACAAOQA5ADkAOQA5ADkALAAgAC0AOQA5ADkAOQA5ADkALAAgADkAOQA5ADkAOQA5ACwAIAAtADkAOQA5ADkAOQA5ACwAIAA5ADkAOQA5ADkAOQAsACAALQA5ADkAOQA5ADkAOQAsACAAOQA5ADkAOQA5ADkALAAgADEALgAwADAAMQAsACAAOQA5ADkAOQA5ADkAOwBcAG4AIAAgACAAIAAgACAAIAAgACAAIABcACIAVwBhAHIAbQAgAHQAZQBtAHAAZQByAGEAdABlACAAZAByAHkAXAAiACwAIABcACIAXAB1ADAAMAAzAGU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FwAdQAwADAAMwBlACAAMAAgAEMAIAAtACAAZCIgADEAMAAgAEMAXAAiACwAIABcACIAQQBuAHkAXAAiACwAIABcACIAQQBuAHkAXAAiACwAIABcACIAQQBuAHkAXAAiACwAIABcACIAXAB1ADAAMAAzAGUAIAAxAFwAIgAsACAALQA5ADkAOQA5ADkAOQAsACAAMQAwACwAIAAtADkAOQA5ADkAOQA5ACwAIAA5ADkAOQA5ADkAOQAsACAALQA5ADkAOQA5ADkAOQAsACAAOQA5ADkAOQA5ADkALAAgAC0AOQA5ADkAOQA5ADkALAAgADkAOQA5ADkAOQA5ACwAIAAxAC4AMAAwADEALAAgADkAOQA5ADkAOQA5ADsAXABuACAAIAAgACAAIAAgACAAIAAgACAAXAAiAEMAbwBvAGwAIAB0AGUAbQBwAGUAcgBhAHQAZQAgAGQAcgB5AFwAIgAsACAAXAAiAFwAdQAwADAAMwBl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FwAdQAwADAAMwBlACAANgAwADAAbQBtAFwAIgAsACAANgAwADAALgAwADAAMQAsACAAOQA5ADkAOQA5ADkAOwBcAG4AIAAgACAAIAAgACAAIAAgACAAIABcACIATABvAHcAIAByAGEAaQBuAGYAYQBsAGwAXAAiACwAIABcACIAQQBuAG4AdQBhAGwAIAByAGEAaQBuAGYAYQBsAGwAIABkIiAANgAwADAAbQBtAFwAIgAsACAALQA5ADkAOQA5ADkAOQAsACAANgAwADA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wAZQBhAGMAaABpAG4AZwBaAG8AbgBlAHMAXABuAC0ALQAtAC0ALQAtAC0ALQAtAC0ALQAtAC0ALQAtAC0ALQAtAC0ALQAtAC0ALQAtAC0ALQAtAC0ALQAtAC0ALQAtAC0ALQAtAC0ALQBcAG4AKgAvAFwAbgBcAG4AQwBvAG0AbQBvAG4AXwBTAG8AdQByAGMAZQBEAGEAdABhAF8ATABlAGEAYwBoAGkAbgBnAFoAbwBuAGUAcwBfAFQAaQB0AGwAZQBcAG4AIAAgAD0ATABBAE0AQgBEAEEAKABcACIAVgBFAEUAUgBHACAAQQB1AHMAdAByAGEAbABpAGEAbgAgAGwAZQBhAGMAaABpAG4AZwAgAHoAbwBuAGUAcwBcACIAKQA7AFwAbgBcAG4AQwBvAG0AbQBvAG4AXwBTAG8AdQByAGMAZQBEAGEAdABhAF8ATABlAGEAYwBoAGkAbgBnAFoAbwBuAGUAcwBfAFYAYQByAGkAYQBiAGwAZQBcAG4AIAAgAD0ATABBAE0AQgBEAEEAKABcACIAXAAiACkAOwBcAG4AXABuAEMAbwBtAG0AbwBuAF8AUwBvAHUAcgBjAGUARABhAHQAYQBfAEwAZQBhAGMAaABpAG4AZwBaAG8AbgBlAHMAXwBVAG4AaQB0AFwAbgAgACAAPQBMAEEATQBCAEQAQQAoAFwAIgBcACIAKQA7AFwAbgBcAG4AQwBvAG0AbQBvAG4AXwBTAG8AdQByAGMAZQBEAGEAdABhAF8ATABlAGEAYwBoAGkAbgBn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wAZQBhAGMAaABpAG4AZwBaAG8AbgBlAHMAXwBWAGEAcgBpAGEAdABpAG8AbgBcAG4AIAAgAD0ATABBAE0AQgBEAEEAKABcACIAXAAiACkAOwBcAG4AXABuAEMAbwBtAG0AbwBuAF8AUwBvAHUAcgBjAGUARABhAHQAYQBfAEwAZQBhAGMAaABpAG4AZwBaAG8AbgBlAHMAXwBEAGEAdABhAFwAbgAgACAAIAA9AEwAQQBNAEIARABBACgAXABuACAAIAAgACAATQBBAEsARQBBAFIAUgBBAFkAKAA0ACwAIAAyACwAIABcAG4AIAAgACAAIAAgACAATABBAE0AQgBEAEEAKAByACwAYwAsACAAXABuACAAIAAgACAAIAAgACAAIABJAE4ARABFAFgAKAB7AFwAbgAgACAAIAAgACAAIAAgACAAIAAgAFwAIgBMAGUAYQBjAGgAaQBuAGcAIABaAG8AbgBlAFwAIgAsACAAXAAiAEwAZQBhAGMAaABpAG4AZwAgAGMAcgBpAHQAZQByAGkAYQBcACIAOwBcAG4AIAAgACAAIAAgACAAIAAgACAAIABcACIATABlAGEAYwBoAGkAbgBnACAAbwBjAGMAdQByAHMAXAAiACwAIABcACIAowMoADXYX9w12E7cNdhW3DXYW9wpAFwAdQAwADAAMwBlAKMDKAA12DjcNdhH3DAAKQArADXYYNw12FzcNdhW3DXYWdwgADXYZNw12E7cNdhh3DXYUtw12F/cIAAOITXYXNw12FncNdhR3DXYVtw12FvcNdhU3CAANdhQ3DXYTtw12F3cNdhO3DXYUNw12FbcNdhh3DXYZtxcACIAOwBcAG4AIAAgACAAIAAgACAAIAAgACAAIABcACIATABlAGEAYwBoAGkAbgBnACAAZABvAGUAcwAgAG4AbwB0ACAAbwBjAGMAdQByAFwAIgAsACAAXAAiAKMDKAA12F/cNdhO3DXYVtw12FvcKQBkIqMDKAA12DjcNdhH3DAAKQArADXYYNw12FzcNdhW3DXYWdwgADXYZNw12E7cNdhh3DXYUtw12F/cIAAOITXYXNw12FncNdhR3DXYVtw12FvcNdhU3CAANdhQ3DXYTtw12F3cNdhO3DXYUNw12FbcNdhh3DXYZtx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VwBFAFQ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VwBFAFQAXwBVAG4AaQB0AFwAbgAgACAAPQBMAEEATQBCAEQAQQAoAFwAIgAoAEQAaQBtAGUAbgBzAGkAbwBuAGwAZQBzAHMAXAAiACkAOwBcAG4AXABuAEMAbwBtAG0AbwBuAF8AUwBvAHUAcgBjAGUARABhAHQAYQBfAEYAcgBhAGMAVwBFAFQAXwBTAG8AdQByAGMAZQBcAG4AIAAgAD0ATABBAE0AQgBEAEEAKABcACIAVgBFAEUAUgBHACAAMgAwADIANgA6ADUALgA1AC4AMgAuADMAIABDAG8AbgBzAHQAYQBuAHQAIABQAGEAcgBhAG0AZQB0AGUAcgBzAFwAIgApADsAXABuAFwAbgBDAG8AbQBtAG8AbgBfAFMAbwB1AHIAYwBlAEQAYQB0AGEAXwBGAHIAYQBjAFcARQBUAF8ATgBJAFIAUgBlAGYAZQByAGUAbgBjAGUAXABuACAAIAA9AEwAQQBNAEIARABBACgAXAAiAFwAIgApADsAXABuAFwAbgBDAG8AbQBtAG8AbgBfAFMAbwB1AHIAYwBlAEQAYQB0AGEAXwBGAHIAYQBjAFcARQBUAF8ARABhAHQAYQBcAG4AIAAgAD0ATABBAE0AQgBEAEEAKABcAG4AIAAgACAAIABNAEEASwBFAEEAUgBSAEEAWQAoADMALAAgADIALAAgAFwAbgAgACAAIAAgACAAIABMAEEATQBCAEQAQQAoAHIALABjACwAIABcAG4AIAAgACAAIAAgACAAIAAgAEkATgBEAEUAWAAoAHsAXABuACAAIAAgACAAIAAgACAAIAAgACAAXAAiAEkAcwAgAGkAbgAgAGwAZQBhAGMAaABpAG4AZwAgAHoAbwBuAGUAXAAiACwAXAAiAEYAcgBhAGMAVwBFAFQAXAAiADsAXABuACAAIAAgACAAIAAgACAAIAAgACAAXAAiAFkAZQBzACAALQAgAGkAbgAgAGwAZQBhAGMAaABpAG4AZwAgAHoAbwBuAGUAXAAiACwAIAAxADsAXABuACAAIAAgACAAIAAgACAAIAAgACAAXAAiAE4AbwAgAC0AIABuAG8AdAAgAGkAbgAgAGwAZQBhAGMAaABpAG4AZwAgAHoAbwBuAGUAXAAiACwAIAAwAFwAbgAgACAAIAAgACAAIAAgACAAfQAsACAAcgAsACAAYwApAFwAbgAgACAAIAAgACAAIAApAFwAbgAgACAAIAAgACkAXABuACAAIAApADsAXABuAFwAbgAgACAAQwBvAG0AbQBvAG4AXwBTAG8AdQByAGMAZQBEAGEAdABhAF8ARgByAGEAYwBXAEUAVABfAFYAYQByAGkAYQB0AGkAbwBuAFwAbgAgACAAPQBMAEEATQBCAEQAQQAoACgAXAAiAFwAIgApACkAOwBcAG4AXABuAFwAbgBcAG4ALwAqACAAXABuAC0ALQAtAC0ALQAtAC0ALQAtAC0ALQAtAC0ALQAtAC0ALQAtAC0ALQAtAC0ALQAtAC0ALQAtAC0ALQAtAC0ALQAtAC0ALQAtAC0ALQBcAG4AQwBvAG0AbQBvAG4AXwBTAG8AdQByAGMAZQBEAGEAdABhAF8ARABhAHQAYQBTAGMAbwByAGUAcwBfAFMAYwBvAHAAZQAzAFwAbgAtAC0ALQAtAC0ALQAtAC0ALQAtAC0ALQAtAC0ALQAtAC0ALQAtAC0ALQAtAC0ALQAtAC0ALQAtAC0ALQAtAC0ALQAtAC0ALQAtAC0AXABuACoALwBcAG4AXABuAEMAbwBtAG0AbwBuAF8AUwBvAHUAcgBjAGUARABhAHQAYQBfAEQAYQB0AGEAUwBjAG8AcgBlAHMAXwBTAGMAbwBwAGUAMwBfAFQAaQB0AGwAZQBcAG4AIAAgAD0ATABBAE0AQgBEAEEAKABcACIAQQB1AHMAdAByAGEAbABpAGEAbgAgAGQAYQB0AGEAIABzAGMAbwByAGUAcwAgAGYAbwByACAAcwBjAG8AcABlACAAMwBcACIAKQA7AFwAbgBcAG4AQwBvAG0AbQBvAG4AXwBTAG8AdQByAGMAZQBEAGEAdABhAF8ARABhAHQAYQBTAGMAbwByAGUAcwBfAFMAYwBvAHAAZQAzAF8AVgBhAHIAaQBhAGIAbABlAFwAbgAgACAAPQBMAEEATQBCAEQAQQAoAFwAIgBcACIAKQA7AFwAbgBcAG4AQwBvAG0AbQBvAG4AXwBTAG8AdQByAGMAZQBEAGEAdABhAF8ARABhAHQAYQBTAGMAbwByAGUAcwBfAFMAYwBvAHAAZQAzAF8AVQBuAGkAdABcAG4AIAAgAD0ATABBAE0AQgBEAEEAKABcACIAXAAiACkAOwBcAG4AXABuAEMAbwBtAG0AbwBuAF8AUwBvAHUAcgBjAGUARABhAHQAYQBfAEQAYQB0AGEAUwBjAG8AcgBlAHMAXwBTAGMAbwBwAGUAMwBfAFMAbwB1AHIAYwBlAFwAbgAgACAAPQBMAEEATQBCAEQAQQAoAFwAIgBWAEUARQBSAEcAIAAyADAAMgA2ADoAIABYAFgAWABYAFgAWABYAFgAXAAiACkAOwBcAG4AXABuAEMAbwBtAG0AbwBuAF8AUwBvAHUAcgBjAGUARABhAHQAYQBfAEQAYQB0AGEAUwBjAG8AcgBlAHMAXwBTAGMAbwBwAGUAMwBfAFYAYQByAGkAYQB0AGkAbwBuAFwAbgAgACAAPQBMAEEATQBCAEQAQQAoAFwAIgBcACIAKQA7AFwAbgBcAG4AQwBvAG0AbQBvAG4AXwBTAG8AdQByAGMAZQBEAGEAdABhAF8ARABhAHQAYQBTAGMAbwByAGUAcwBfAFMAYwBvAHAAZQAzAF8ARABhAHQAYQBcAG4AIAAgACAAPQBMAEEATQBCAEQAQQAoAFwAbgAgACAAIAAgAE0AQQBLAEUAQQBSAFIAQQBZACgANgAsACAAMgAsACAAXABuACAAIAAgACAAIAAgAEwAQQBNAEIARABBACgAcgAsAGMALAAgAFwAbgAgACAAIAAgACAAIAAgACAASQBOAEQARQBYACgAewBcAG4AIAAgACAAIAAgACAAIAAgACAAIABcACIARABhAHQAYQAgAHMAbwB1AHIAYwBlAFwAIgAsACAAXAAiAEQAYQB0AGEAIABzAGMAbwByAGUAXAAiADsAXABuACAAIAAgACAAIAAgACAAIAAgACAAXAAiAEkAbgB0AGUAcgBuAGEAdABpAG8AbgBhAGwAIABzAGMAbwBwAGUAIAAzACAAZABhAHQAYQBiAGEAcwBlAFwAIgAsACAAMQA7AFwAbgAgACAAIAAgACAAIAAgACAAIAAgAFwAIgBBAHUAcwB0AHIAYQBsAGkAYQBuACAAcwBjAG8AcABlACAAMwAgAGQAYQB0AGEAYgBhAHMAZQBcACIALAAgADIAOwBcAG4AIAAgACAAIAAgACAAIAAgACAAIABcACIAUwB0AGEAdABlACAAbwByACAAcgBlAGcAaQBvAG4AYQBsACAAcwBjAG8AcABlACAAMwAgAGQAYQB0AGEAYgBhAHMAZQBcACIALAAgADMAOwBcAG4AIAAgACAAIAAgACAAIAAgACAAIABcACIARQBtAGkAcwBzAGkAbwBuAHMAIABpAG4AdABlAG4AcwBpAHQAeQAgAGMAYQBsAGMAdQBsAGEAdABlAGQAIABmAHIAbwBtACAAYQBwAHAAcgBvAHYAZQBkACAAbQBlAHQAaABvAGQAXAAiACwAIAA0ADsAXABuACAAIAAgACAAIAAgACAAIAAgACAAXAAiAFYAZQByAGkAZgBpAGUAZAAgAGMAcgBlAGQAZQBuAHQAaQBhAGwAIABtAGEAdABjAGgAaQBuAGcAIABJAFMATwAxADQAMAA2ADcAXAAiACwAIAA1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RgByAGEAYwBMAEUAQQBDAEg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TABFAEEAQwBI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EwARQBBAEMASABfAFUAbgBpAHQAXABuACAAIAA9AEwAQQBNAEIARABBACgAXAAiACgARABpAG0AZQBuAHMAaQBvAG4AbABlAHMAcwBcACIAKQA7AFwAbgBcAG4AQwBvAG0AbQBvAG4AXwBTAG8AdQByAGMAZQBEAGEAdABhAF8ARgByAGEAYwBMAEUAQQBDAEgAXwBTAG8AdQByAGMAZQBcAG4AIAAgAD0ATABBAE0AQgBEAEEAKABcACIAVgBFAEUAUgBHACAAMgAwADIANgA6ADUALgA1AC4AMgAuADMAIABDAG8AbgBzAHQAYQBuAHQAIABQAGEAcgBhAG0AZQB0AGUAcgBzAFwAIgApADsAXABuAFwAbgBDAG8AbQBtAG8AbgBfAFMAbwB1AHIAYwBlAEQAYQB0AGEAXwBGAHIAYQBjAEwARQBBAEMASABfAE4ASQBSAFIAZQBmAGUAcgBlAG4AYwBlAFwAbgAgACAAPQBMAEEATQBCAEQAQQAoAFwAIgBOAGEAdABpAG8AbgBhAGwAIABJAG4AdgBlAG4AdABvAHIAeQAgAFIAZQBwAG8AcgB0ACAAVgBvAGwAdQBtAGUAIAAxADoAIABMAGUAYQBjAGgAaQBuAGcAIABhAG4AZAAgAHIAdQBuAG8AZgBmACAAKAAzAC4ARAAuAGIALgAyACkAXAAiACkAOwBcAG4AXABuAEMAbwBtAG0AbwBuAF8AUwBvAHUAcgBjAGUARABhAHQAYQBfAEYAcgBhAGMATABFAEEAQwBIAF8ARABhAHQAYQBcAG4AIAAgAD0ATABBAE0AQgBEAEEAKABcAG4AIAAgACAAIABNAEEASwBFAEEAUgBSAEEAWQAoADEALAAgADIALAAgAFwAbgAgACAAIAAgACAAIABMAEEATQBCAEQAQQAoAHIALABjACwAIABcAG4AIAAgACAAIAAgACAAIAAgAEkATgBEAEUAWAAoAHsAXABuACAAIAAgACAAIAAgACAAIAAgACAAXAAiAEYAcgBhAGMATABFAEEAQwBIAFwAIgAsADAALgAyADQAXABuACAAIAAgACAAIAAgACAAIAB9ACwAIAByACwAIABjACkAXABuACAAIAAgACAAIAAgACkAXABuACAAIAAgACAAKQBcAG4AIAAgACkAOwBcAG4AXABuACAAIABDAG8AbQBtAG8AbgBfAFMAbwB1AHIAYwBlAEQAYQB0AGEAXwBGAHIAYQBjAEwARQBBAEMASABfAFYAYQByAGkAYQB0AGkAbwBuAFwAbgAgACAAPQBMAEEATQBCAEQAQQAoACgAXAAiAFwAIgApACkAOwBcAG4AXABuAFwAbgBcAG4ALwAqACAAXABuAC0ALQAtAC0ALQAtAC0ALQAtAC0ALQAtAC0ALQAtAC0ALQAtAC0ALQAtAC0ALQAtAC0ALQAtAC0ALQAtAC0ALQAtAC0ALQAtAC0ALQBcAG4AQwBvAG0AbQBvAG4AXwBTAG8AdQByAGMAZQBEAGEAdABhAF8ARQBGAGwAZQBhAGMAaABcAG4ANQAuADUALgAyAC4AMwAgAEMAbwBuAHMAdABhAG4AdAAgAFAAYQByAGEAbQBlAHQAZQByAHMAXABuAEUAbQBpAHMAcwBpAG8AbgAgAGYAYQBjAHQAbwByACAAZgBvAHIAIABuAGkAdAByAG8AZwBlAG4AIABsAGUAYQBjAGgAaQBuAGcAIABhAG4AZAAgAHIAdQBuAG8AZgBmAFwAbgAtAC0ALQAtAC0ALQAtAC0ALQAtAC0ALQAtAC0ALQAtAC0ALQAtAC0ALQAtAC0ALQAtAC0ALQAtAC0ALQAtAC0ALQAtAC0ALQAtAC0AXABuACoALwBcAG4AXABuAEMAbwBtAG0AbwBuAF8AUwBvAHUAcgBjAGUARABhAHQAYQBfAEUARgBsAGUAYQBjAGgAXwBUAGkAdABsAGUAXABuACAAIAA9AEwAQQBNAEIARABBACgAXAAiAEUAbQBpAHMAcwBpAG8AbgAgAGYAYQBjAHQAbwByACAAZgBvAHIAIABuAGkAdAByAG8AZwBlAG4AIABsAGUAYQBjAGgAaQBuAGcAIABhAG4AZAAgAHIAdQBuAG8AZgBmAFwAIgApADsAXABuAFwAbgBDAG8AbQBtAG8AbgBfAFMAbwB1AHIAYwBlAEQAYQB0AGEAXwBFAEYAbABlAGEAYwBoAF8AVQBuAGkAdABcAG4AIAAgAD0ATABBAE0AQgBEAEEAKABcACIAKABrAGcAIABOADIATwAtAE4AIAAvACAAawBnACAATgBcACIAKQA7AFwAbgBcAG4AQwBvAG0AbQBvAG4AXwBTAG8AdQByAGMAZQBEAGEAdABhAF8ARQBGAGwAZQBhAGMAaABfAFMAbwB1AHIAYwBlAFwAbgAgACAAPQBMAEEATQBCAEQAQQAoAFwAIgBWAEUARQBSAEcAIAAyADAAMgA2ADoANQAuADUALgAyAC4AMwAgAEMAbwBuAHMAdABhAG4AdAAgAFAAYQByAGEAbQBlAHQAZQByAHMAXAAiACkAOwBcAG4AXABuAEMAbwBtAG0AbwBuAF8AUwBvAHUAcgBjAGUARABhAHQAYQBfAEUARgBsAGUAYQBjAGgAXwBOAEkAUgBSAGUAZgBlAHIAZQBuAGMAZQBcAG4AIAAgAD0ATABBAE0AQgBEAEEAKABcACIATgBhAHQAaQBvAG4AYQBsACAASQBuAHYAZQBuAHQAbwByAHkAIABSAGUAcABvAHIAdAAgAFYAbwBsAHUAbQBlACAAMQA6ACAARQBxAHUAYQB0AGkAbwBuACAAMwAuAEQALgBCAF8AMQAwAFwAIgApADsAXABuAFwAbgBDAG8AbQBtAG8AbgBfAFMAbwB1AHIAYwBlAEQAYQB0AGEAXwBFAEYAbABlAGEAYwBoAF8ARABhAHQAYQBcAG4AIAAgAD0ATABBAE0AQgBEAEEAKABcAG4AIAAgACAAIABNAEEASwBFAEEAUgBSAEEAWQAoADEALAAgADIALAAgAFwAbgAgACAAIAAgACAAIABMAEEATQBCAEQAQQAoAHIALABjACwAIABcAG4AIAAgACAAIAAgACAAIAAgAEkATgBEAEUAWAAoAHsAXABuACAAIAAgACAAIAAgACAAIAAgACAAXAAiAEUARgBsAGUAYQBjAGgAXAAiACwAMAAuADAAMQAxAFwAbgAgACAAIAAgACAAIAAgACAAfQAsACAAcgAsACAAYwApAFwAbgAgACAAIAAgACAAIAApAFwAbgAgACAAIAAgACkAXABuACAAIAApADsAXABuAFwAbgAgACAAQwBvAG0AbQBvAG4AXwBTAG8AdQByAGMAZQBEAGEAdABhAF8ARQBGAGwAZQBhAGMAaABfAFYAYQByAGkAYQB0AGkAbwBuAFwAbgAgACAAPQBMAEEATQBCAEQAQQAoACgAXAAiAFwAIgApACkAOwBcAG4AXABuAFwAbgAvACoAIABcAG4ALQAtAC0ALQAtAC0ALQAtAC0ALQAtAC0ALQAtAC0ALQAtAC0ALQAtAC0ALQAtAC0ALQAtAC0ALQAtAC0ALQAtAC0ALQAtAC0ALQAtAFwAbgBDAG8AbQBtAG8AbgBfAFMAbwB1AHIAYwBlAEQAYQB0AGEAXwBFAEYATgAyAE8AXABuAFQAYQBiAGwAZQAgAEEALgAyAC4AMgAuADEAXABuAE4AaQB0AHIAbwB1AHMAIABvAHgAaQBkAGUAIABlAG0AaQBzAHMAaQBvAG4AIABmAGEAYwB0AG8AcgBzACAAZgBvAHIAIABpAG4AbwByAGcAYQBuAGkAYwAgAGYAZQByAHQAaQBsAGkAcwBlAHIAIABhAHAAcABsAGkAYwBhAHQAaQBvAG4AIAAoAGsAZwAgAE4AMgBPAC0ATgAvAGsAZwAgAE4AKQAgACgARQBGAE4AMgBPACkAXABuAC0ALQAtAC0ALQAtAC0ALQAtAC0ALQAtAC0ALQAtAC0ALQAtAC0ALQAtAC0ALQAtAC0ALQAtAC0ALQAtAC0ALQAtAC0ALQAtAC0ALQBcAG4AKgAvAFwAbgBcAG4AQwBvAG0AbQBvAG4AXwBTAG8AdQByAGMAZQBEAGEAdABhAF8ARQBGAE4AMgBPAF8AVABpAHQAbABlAFwAbgAgACAAPQBMAEEATQBCAEQAQQAoAFwAIgBOAGkAdAByAG8AdQBzACAAbwB4AGkAZABlACAAZQBtAGkAcwBzAGkAbwBuACAAZgBhAGMAdABvAHIAcwAgAGYAbwByACAAaQBuAG8AcgBnAGEAbgBpAGMAIABmAGUAcgB0AGkAbABpAHMAZQByACAAYQBwAHAAbABpAGMAYQB0AGkAbwBuAFwAIgApADsAXABuAFwAbgBDAG8AbQBtAG8AbgBfAFMAbwB1AHIAYwBlAEQAYQB0AGEAXwBFAEYATgAyAE8AXwBVAG4AaQB0AFwAbgAgACAAPQBMAEEATQBCAEQAQQAoAFwAIgAoAGsAZwAgAE4AMgBPAC0ATgAgAC8AIABrAGcAIABOAFwAIgApADsAXABuAFwAbgBDAG8AbQBtAG8AbgBfAFMAbwB1AHIAYwBlAEQAYQB0AGEAXwBFAEYATgAyAE8AXwBTAG8AdQByAGMAZQBcAG4AIAAgAD0ATABBAE0AQgBEAEEAKABcACIAVgBFAEUAUgBHACAAMgAwADIANgA6ACAAVABhAGIAbABlACAAQQAuADIALgAyAC4AMQBcACIAKQA7AFwAbgBcAG4AQwBvAG0AbQBvAG4AXwBTAG8AdQByAGMAZQBEAGEAdABhAF8ARQBGAE4AMgBPAF8ATgBJAFIAUgBlAGYAZQByAGUAbgBjAGUAXABuACAAIAA9AEwAQQBNAEIARABBACgAXAAiAFwAIgApADsAXABuAFwAbgBDAG8AbQBtAG8AbgBfAFMAbwB1AHIAYwBlAEQAYQB0AGEAXwBFAEYATgAyAE8AXwBEAGEAdABhAFwAbgAgACAAPQBMAEEATQBCAEQAQQAoAFwAbgAgACAAIAAgAE0AQQBLAEUAQQBSAFIAQQBZACgAMQA1ACwAIAA1ACwAIABcAG4AIAAgACAAIAAgACAATABBAE0AQgBEAEEAKAByACwAYwAsACAAXABuACAAIAAgACAAIAAgACAAIABJAE4ARABFAFgAKAB7AFwAbgAgACAAIAAgACAAIAAgACAAIAAgAFwAIgBQAHIAbwBkAHUAYwB0AGkAbwBuACAAcwB5AHMAdABlAG0AIABqAFwAIgAsAFwAIgBFAEYATgAyAE8AXAAiACwAIABcACIAUAByAG8AZAB1AGMAdABpAG8AbgAgAHMAeQBzAHQAZQBtACAAbwBuAGwAeQBcACIALAAgAFwAIgBJAHIAcgBpAGcAYQB0AGkAbwBuACAAbQBlAHQAaABvAGQAXAAiACwAIABcACIAUgBhAGkAbgBmAGEAbABsACAAegBvAG4AZQBcACIAOwBcAG4AIAAgACAAIAAgACAAIAAgACAAIABcACIASQByAHIAaQBnAGEAdABlAGQAIABwAGEAcwB0AHUAcgBlAFwAIgAsADAALgAwADAANQA5ACwAIABcACIAUABhAHMAdAB1AHIAZQBcACIALAAgAFwAIgBBAG4AeQBcACIALAAgAFwAIgBBAG4AeQBcACIAOwBcAG4AIAAgACAAIAAgACAAIAAgACAAIABcACIASQByAHIAaQBnAGEAdABlAGQAIABjAHIAbwBwAFwAIgAsADAALgAwADAANwAsACAAXAAiAEMAcgBvAHAAXAAiACwAIABcACIAQQBuAHkAXAAiACwAIABcACIAQQBuAHkAXAAiADsAXABuACAAIAAgACAAIAAgACAAIAAgACAAXAAiAE4AbwBuAC0AaQByAHIAaQBnAGEAdABlAGQAIABwAGEAcwB0AHUAcgBlAFwAIgAsADAALgAwADAAMQA4ACwAIABcACIAUABhAHMAdAB1AHIAZQBcACIALAAgAFwAIgBOAG8AdAAgAGkAcgByAGkAZwBhAHQAZQBkAFwAIgAsACAAXAAiAEwAbwB3ACAAcgBhAGkAbgBmAGEAbABsAFwAIgA7AFwAbgAgACAAIAAgACAAIAAgACAAIAAgAFwAIgBOAG8AbgAtAGkAcgByAGkAZwBhAHQAZQBkACAAcABhAHMAdAB1AHIAZQBcACIALAAwAC4AMAAwADEAOAAsACAAXAAiAFAAYQBzAHQAdQByAGUAXAAiACwAIABcACIATgBvAHQAIABpAHIAcgBpAGcAYQB0AGUAZABcACIALAAgAFwAIgBIAGkAZwBoACAAcgBhAGkAbgBmAGEAbABsAFwAIgA7AFwAbgAgACAAIAAgACAAIAAgACAAIAAgAFwAIgBOAG8AbgAtAGkAcgByAGkAZwBhAHQAZQBkACAAYwByAG8AcAAgACgAbABvAHcAIAByAGEAaQBuAGYAYQBsAGwAKQBcACIALAAwAC4AMAAwADIAOQAsACAAXAAiAEMAcgBvAHAAXAAiACwAIABcACIATgBvAHQAIABpAHIAcgBpAGcAYQB0AGUAZABcACIALAAgAFwAIgBMAG8AdwAgAHIAYQBpAG4AZgBhAGwAbABcACIAOwBcAG4AIAAgACAAIAAgACAAIAAgACAAIABcACIATgBvAG4ALQBpAHIAcgBpAGcAYQB0AGUAZAAgAGMAcgBvAHAAIAAoAGgAaQBnAGgAIAByAGEAaQBuAGYAYQBsAGwAKQBcACIALAAwAC4AMAAwADgALAAgAFwAIgBDAHIAbwBwAFwAIgAsACAAXAAiAE4AbwB0ACAAaQByAHIAaQBnAGEAdABlAGQAXAAiACwAIABcACIASABpAGcAaAAgAHIAYQBpAG4AZgBhAGwAbABcACIAOwBcAG4AIAAgACAAIAAgACAAIAAgACAAIABcACIAUwB1AGcAYQByAFwAIgAsADAALgAwADEAOQA5ACwAIABcACIAUwB1AGcAYQByAFwAIgAsACAAXAAiAEEAbgB5AFwAIgAsACAAXAAiAEEAbgB5AFwAIgA7AFwAbgAgACAAIAAgACAAIAAgACAAIAAgAFwAIgBDAG8AdAB0AG8AbgBcACIALAAwAC4AMAAwADUAMwAsACAAXAAiAEMAbwB0AHQAbwBuAFwAIgAsACAAXAAiAEEAbgB5AFwAIgAsACAAXAAiAEEAbgB5AFwAIgA7AFwAbgAgACAAIAAgACAAIAAgACAAIAAgAFwAIgBIAG8AcgB0AGkAYwB1AGwAdAB1AHIAYQBsACAAYwByAG8AcABzAFwAIgAsADAALgAwADAANgA0ACwAIABcACIASABvAHIAdABpAGMAdQBsAHQAdQByAGEAbAAgAGMAcgBvAHAAcwBcACIALAAgAFwAIgBBAG4AeQBcACIALAAgAFwAIgBBAG4AeQBcACIAOwBcAG4AIAAgACAAIAAgACAAIAAgACAAIABcACIAUgBpAGMAZQAgACgAYwBvAG4AdABpAG4AdQBvAHUAcwAgAGYAbABvAG8AZABpAG4AZwApAFwAIgAsADAALgAwADAAMwAsACAAXAAiAFIAaQBjAGUAXAAiACwAIABcACIAQwBvAG4AdABpAG4AdQBvAHUAcwAgAGYAbABvAG8AZABpAG4AZwBcACIALAAgAFwAIgBBAG4AeQBcACIAOwBcAG4AIAAgACAAIAAgACAAIAAgACAAIABcACIAUgBpAGMAZQAgACgAcwBpAG4AZwBsAGUAIABhAG4AZAAgAG0AdQBsAHQAaQBwAGwAZQAgAGQAcgBhAGkAbgBhAGcAZQAsACAAbwByACAAYQBsAHQAZQByAG4AYQB0AGUAIAB3AGUAdAB0AGkAbgBnACAAYQBuAGQAIABkAHIAeQBpAG4AZwApAFwAIgAsADAALgAwADAANQAsACAAXAAiAFIAaQBjAGUAXAAiACwAIABcACIAUwBpAG4AZwBsAGUAIABhAG4AZAAgAG0AdQBsAHQAaQBwAGwAZQAgAGQAcgBhAGkAbgBhAGcAZQAsACAAbwByACAAYQBsAHQAZQByAG4AYQB0AGUAIAB3AGUAdAB0AGkAbgBnACAAYQBuAGQAIABkAHIAeQBpAG4AZwBcACIALAAgAFwAIgBBAG4AeQBcACIAOwBcAG4AIAAgACAAIAAgACAAIAAgACAAIABcACIAQQBxAHUAYQBjAHUAbAB0AHUAcgBlAFwAIgAsADAALgAwADAAMgA2ACwAIABcACIAQQBxAHUAYQBjAHUAbAB0AHUAcgBlAFwAIgAsACAAXAAiAEEAbgB5AFwAIgAsACAAXAAiAEEAbgB5AFwAIgA7AFwAbgAgACAAIAAgACAAIAAgACAAIAAgAFwAIgBGAG8AcgBlAHMAdAByAHkAXAAiACwAMAAuADAAMAAxADgALAAgAFwAIgBGAG8AcgBlAHMAdAByAHkAXAAiACwAIABcACIAQQBuAHkAXAAiACwAIABcACIAQQBuAHkAXAAiAFwAbgAgACAAIAAgACAAIAAgACAAfQAsACAAcgAsACAAYwApAFwAbgAgACAAIAAgACAAIAApAFwAbgAgACAAIAAgACkAXABuACAAIAApADsAXABuAFwAbgAgACAAQwBvAG0AbQBvAG4AXwBTAG8AdQByAGMAZQBEAGEAdABhAF8ARQBGAE4AMgBP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SAGUAbQBvAHYAZQBkACAAZAB1AHAAbABpAGMAYQB0AGUAIABcAHUAMAAwADIANwBBAHEAdQBhAGMAdQBsAHQAdQByAGUAXAB1ADAAMAAyADcAIAByAG8AdwAuAFwAIgA7AFwAbgAgACAAIAAgACAAIAAgACAAIAAgAFwAIgBSAGUAbQBvAHYAZQBkACAAYQBzAHQAZQByAGkAcwBrAHMAIAB0AG8AIABhAGkAZAAgAGwAbwBvAGsAdQBwAC4AXAAiADsAXABuACAAIAAgACAAIAAgACAAIAAgACAAXAAiAEEAZABkAGUAZAAgAFwAdQAwADAAMgA3AHAAcgBvAGQAdQBjAHQAaQBvAG4AIABzAHkAcwB0AGUAbQAgAG8AbgBsAHkAXAB1ADAAMAAyADcALAAgAFwAdQAwADAAMgA3AHIAYQBpAG4AZgBhAGwAbAAgAHoAbwBuAGUAXAB1ADAAMAAyADcAIABhAG4AZAAgAFwAdQAwADAAMgA3AGkAcgByAGkAZwBhAHQAaQBvAG4AIABtAGUAdABoAG8AZABcAHUAMAAwADIANwAgAGMAbwBsAHUAbQBuAHMAIAB0AG8AIABhAGkAZAAgAGwAbwBvAGsAdQBwAC4AXAAiADsAXABuACAAIAAgACAAIAAgACAAIAAgACAAXAAiAEQAdQBwAGwAaQBjAGEAdABlAGQAIABcAHUAMAAwADIANwBuAG8AbgAtAGkAcgByAGkAZwBhAHQAZQBkACAAcABhAHMAdAB1AHIAZQBcAHUAMAAwADIAN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BcAHUAMAAwADIANwBBAHIAZQBhAHMAIABhAHIAZQAgAHMAdQBiAGoAZQBjAHQAIAB0AG8AIABsAGUAYQBjAGgAaQBuAGcAIAAoAGkALgBlAC4ALAAgAGkAbgAgAHQAaABlACAAbABlAGEAYwBoAGkAbgBnACAAegBvAG4AZQApACAAdwBoAGUAbgAuAC4ALgAgAHQAaABlACAAbABhAG4AZAAgAGkAcwAgAGkAcgByAGkAZwBhAHQAZQBkACAAKABlAHgAYwBlAHAAdAAgAGQAcgBpAHAAIABpAHIAcgBpAGcAYQB0AGkAbwBuACkALgBcAHUAMAAwADIANwBcACIAKQA7AFwAbgBcAG4AXABuAC8AKgAgAFwAbgAtAC0ALQAtAC0ALQAtAC0ALQAtAC0ALQAtAC0ALQAtAC0ALQAtAC0ALQAtAC0ALQAtAC0ALQAtAC0ALQAtAC0ALQAtAC0ALQAtAC0AXABuAEMAbwBtAG0AbwBuAF8AUwBvAHUAcgBjAGUARABhAHQAYQBfAEUARgBQAGEAcwB0AHUAcgBlAFIAYQBuAGcAZQBBAG4AZABQAGEAZABkAG8AYwBrAFwAbgBUAGEAYgBsAGUAIABBAC4AMgAuADIALgAyADoAIABFAG0AaQBzAHMAaQBvAG4AIABmAGEAYwB0AG8AcgAgAGYAbwByACAAdQByAGkAbgBlACAAYQBuAGQAIABkAHUAbgBnACAAZABlAHAAbwBzAGkAdABlAGQAIABvAG4AIABwAGEAcwB0AHUAcgBlACwAIAByAGEAbgBnAGUAIABvAHIAIABwAGEAZABkAG8AYwBrACAAKABrAGcAIABOADIATwAtAE4ALwBrAGcAIABOACkAIAAoAEUARgBQAFIAUAApAFwAbgAtAC0ALQAtAC0ALQAtAC0ALQAtAC0ALQAtAC0ALQAtAC0ALQAtAC0ALQAtAC0ALQAtAC0ALQAtAC0ALQAtAC0ALQAtAC0ALQAtAC0AXABuACoALwBcAG4AXABuAEMAbwBtAG0AbwBuAF8AUwBvAHUAcgBjAGUARABhAHQAYQBfAEUARgBQAGEAcwB0AHUAcgBlAFIAYQBuAGcAZQBBAG4AZABQAGEAZABkAG8AYwBrAF8AVABpAHQAbABlAFwAbgAgACAAPQBMAEEATQBCAEQAQQAoAFwAIgBFAG0AaQBzAHMAaQBvAG4AIABmAGEAYwB0AG8AcgAgAGYAbwByACAAdQByAGkAbgBlACAAYQBuAGQAIABkAHUAbgBnACAAZABlAHAAbwBzAGkAdABlAGQAIABvAG4AIABwAGEAcwB0AHUAcgBlACwAIAByAGEAbgBnAGUAIABvAHIAIABwAGEAZABkAG8AYwBrAFwAIgApADsAXABuAFwAbgBDAG8AbQBtAG8AbgBfAFMAbwB1AHIAYwBlAEQAYQB0AGEAXwBFAEYAUABhAHMAdAB1AHIAZQBSAGEAbgBnAGUAQQBuAGQAUABhAGQAZABvAGMAawBfAFUAbgBpAHQAXABuACAAIAA9AEwAQQBNAEIARABBACgAXAAiAGsAZwAgAE4AMgBPACAALQAgAE4AIAAvACAAawBnACAATgBcACIAKQA7AFwAbgBcAG4AQwBvAG0AbQBvAG4AXwBTAG8AdQByAGMAZQBEAGEAdABhAF8ARQBGAFAAYQBzAHQAdQByAGUAUgBhAG4AZwBlAEEAbgBkAFAAYQBkAGQAbwBjAGsAXwBTAG8AdQByAGMAZQBcAG4AIAAgAD0ATABBAE0AQgBEAEEAKABcACIAVgBFAEUAUgBHACAAMgAwADIANgA6ACAAVABhAGIAbABlACAAQQAuADIALgAyAC4AMgBcACIAKQA7AFwAbgBcAG4AQwBvAG0AbQBvAG4AXwBTAG8AdQByAGMAZQBEAGEAdABhAF8ARQBGAFAAYQBzAHQAdQByAGUAUgBhAG4AZwBlAEEAbgBkAFAAYQBkAGQAbwBjAGsAXwBOAEkAUgBSAGUAZgBlAHIAZQBuAGMAZQBcAG4AIAAgAD0ATABBAE0AQgBEAEEAKABcACIAXAAiACkAOwBcAG4AXABuAEMAbwBtAG0AbwBuAF8AUwBvAHUAcgBjAGUARABhAHQAYQBfAEUARgBQAGEAcwB0AHUAcgBlAFIAYQBuAGcAZQBBAG4AZABQAGEAZABkAG8AYwBr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QAFIAUABcACIAOwBcAG4AIAAgACAAIAAgACAAIAAgACAAIABcACIAVwBlAHQAIABjAGwAaQBtAGEAdABlACAAegBvAG4AZQBcACIALAAgADAALgAwADAANgA7AFwAbgAgACAAIAAgACAAIAAgACAAIAAgAFwAIgBEAHIAeQAgAGMAbABpAG0AYQB0AGUAIAB6AG8AbgBlAFwAIgAsACAAMAAuADAAMAAyAFwAbgAgACAAIAAgACAAIAAgACAAfQAsACAAcgAsACAAYwApAFwAbgAgACAAIAAgACAAIAApAFwAbgAgACAAIAAgACkAXABuACAAIAApADsAXABuAFwAbgAgACAAQwBvAG0AbQBvAG4AXwBTAG8AdQByAGMAZQBEAGEAdABhAF8ARQBGAFAAYQBzAHQAdQByAGUAUgBhAG4AZwBlAEEAbgBkAFAAYQBkAGQAbwBjAGsAXwBWAGEAcgBpAGEAdABpAG8AbgBcAG4AIAAgAD0ATABBAE0AQgBEAEEAKABcACIAVgBBAFIASQBBAFQASQBPAE4AIABGAFIATwBNACAAUwBPAFUAUgBDAEUAIABEAEEAVABBADoAIABDAGgAYQBuAGcAZQBkACAAXAB1ADAAMAAyADcARAByAHkAIABjAGwAaQBtAGEAdABlACAAegBvAG4AZQBzAFwAdQAwADAAMgA3ACAAdABvACAAcwBpAG4AZwB1AGwAYQByACAAXAB1ADAAMAAyADcARAByAHkAIABjAGwAaQBtAGEAdABlACAAegBvAG4AZQBcAHUAMAAwADIAN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FwAdQAwADAAMwBjADEAIABtAG8AbgB0AGgAXAAiACwAIABcACIARABlAGUAcAAgAEwAaQB0AHQAZQByAFwAIgAsACAAXAAiAFAAbwB1AGwAdAByAHkAIABNAGEAbgB1AHIAZQAgACgAdwBpAHQAaAAvAHcAaQB0AGgAbwB1AHQAIABsAGkAdAB0AGUAcgApAFwAIgAsACAAXAAiAFwAIgAsACAAXAAiAEQAaQByAGUAYwB0ACAAcAByAG8AYwBlAHMAcwBpAG4AZwAgAGkAbgB0AG8AIABwAGUAbABsAGUAdABpAHoAZQBkACAAZgBlAHIAdABpAGwAaQBzAGUAcgBcACIALAAgAFwAIgBEAGkAcgBlAGMAdAAgAGEAcABwAGwAaQBjAGEAdABpAG8AbgAgAHQAbwAgAHMAbwBpAGwAXAAiACwAIABcACIAUABhAHMAdAB1AHIAZQAsACAAUgBhAG4AZwBlACAAYQBuAGQAIABQAGEAZABkAG8AYwBrACAAKABjACkAKABkACkAXAAiACwAIABcACIATQBBAFQAIAByAGEAdwBcACIAOwBcAG4AIAAgACAAIAAgACAAIAAgACAAIABcACIAQwBvAG8AbABcACIALAAgAFwAIgBkIjEAMABcACIALAAgADAALgA2ADYALAAgADAALgAxACwAIAAwAC4AMQAsACAAMAAuADAAMAAxACwAIAAwAC4AMAAwADUALAAgADAALgAwADIALAAgADAALgAwADMALAAgADAALgAwADQALAAgADAALgAwADEANQAsACAAMAAuADAAMQA1ACwAIAAwACwAIAAwACwAIAAwAC4AMAAwADQANwAsACAAMQAwADsAXABuACAAIAAgACAAIAAgACAAIAAgACAAXAAiAEMAbwBvAGwAXAAiACwAIAAxADEALAAgADAALgA2ADgALAAgADAALgAxACwAIAAwAC4AMQAxACwAIAAwAC4AMAAwADEALAAgADAALgAwADAANQAsACAAMAAuADAAMgAsACAAMAAuADAAMwAsACAAMAAuADAANAAsACAAMAAuADAAMQA1ACwAIAAwAC4AMAAxADUALAAgADAALAAgADAALAAgADAALgAwADAANAA3ACwAIAAxADEAOwBcAG4AIAAgACAAIAAgACAAIAAgACAAIABcACIAQwBvAG8AbABcACIALAAgADEAMgAsACAAMAAuADcALAAgADAALgAxACwAIAAwAC4AMQAzACwAIAAwAC4AMAAwADEALAAgADAALgAwADAANQAsACAAMAAuADAAMgAsACAAMAAuADAAMwAsACAAMAAuADAANAAsACAAMAAuADAAMQA1ACwAIAAwAC4AMAAxADUALAAgADAALAAgADAALAAgADAALgAwADAANAA3ACwAIAAxADIAOwBcAG4AIAAgACAAIAAgACAAIAAgACAAIABcACIAQwBvAG8AbABcACIALAAgADEAMwAsACAAMAAuADcAMQAsACAAMAAuADEALAAgADAALgAxADQALAAgADAALgAwADAAMQAsACAAMAAuADAAMAA1ACwAIAAwAC4AMAAyACwAIAAwAC4AMAAzACwAIAAwAC4AMAA0ACwAIAAwAC4AMAAxADUALAAgADAALgAwADEANQAsACAAMAAsACAAMAAsACAAMAAuADAAMAA0ADcALAAgADEAMwA7AFwAbgAgACAAIAAgACAAIAAgACAAIAAgAFwAIgBDAG8AbwBsAFwAIgAsACAAMQA0ACwAIAAwAC4ANwAzACwAIAAwAC4AMQAsACAAMAAuADEANQAsACAAMAAuADAAMAAxACwAIAAwAC4AMAAwADUALAAgADAALgAwADIALAAgADAALgAwADMALAAgADAALgAwADQALAAgADAALgAwADEANQAsACAAMAAuADAAMQA1ACwAIAAwACwAIAAwACwAIAAwAC4AMAAwADQANwAsACAAMQA0ADsAXABuACAAIAAgACAAIAAgACAAIAAgACAAXAAiAFQAZQBtAHAAZQByAGEAdABlAFwAIgAsACAAMQA1ACwAIAAwAC4ANwA0ACwAIAAwAC4AMQAsACAAMAAuADEANwAsACAAMAAuADAAMAA1ACwAIAAwAC4AMAAxACwAIAAwAC4AMAAyACwAIAAwAC4AMAAzACwAIAAwAC4AMAA0ACwAIAAwAC4AMAAxADUALAAgADAALgAwADEANQAsACAAMAAsACAAMAAsACAAMAAuADAAMAA0ADcALAAgADEANQA7AFwAbgAgACAAIAAgACAAIAAgACAAIAAgAFwAIgBUAGUAbQBwAGUAcgBhAHQAZQBcACIALAAgADEANgAsACAAMAAuADcANQAsACAAMAAuADEALAAgADAALgAxADgALAAgADAALgAwADAANQAsACAAMAAuADAAMQAsACAAMAAuADAAMgAsACAAMAAuADAAMwAsACAAMAAuADAANAAsACAAMAAuADAAMQA1ACwAIAAwAC4AMAAxADUALAAgADAALAAgADAALAAgADAALgAwADAANAA3ACwAIAAxADYAOwBcAG4AIAAgACAAIAAgACAAIAAgACAAIABcACIAVABlAG0AcABlAHIAYQB0AGUAXAAiACwAIAAxADcALAAgADAALgA3ADYALAAgADAALgAxACwAIAAwAC4AMgAsACAAMAAuADAAMAA1ACwAIAAwAC4AMAAxACwAIAAwAC4AMAAyACwAIAAwAC4AMAAzACwAIAAwAC4AMAA0ACwAIAAwAC4AMAAxADUALAAgADAALgAwADEANQAsACAAMAAsACAAMAAsACAAMAAuADAAMAA0ADcALAAgADEANwA7AFwAbgAgACAAIAAgACAAIAAgACAAIAAgAFwAIgBUAGUAbQBwAGUAcgBhAHQAZQBcACIALAAgADEAOAAsACAAMAAuADcANwAsACAAMAAuADEALAAgADAALgAyADIALAAgADAALgAwADAANQAsACAAMAAuADAAMQAsACAAMAAuADAAMgAsACAAMAAuADAAMwAsACAAMAAuADAANAAsACAAMAAuADAAMQA1ACwAIAAwAC4AMAAxADUALAAgADAALAAgADAALAAgADAALgAwADAANAA3ACwAIAAxADgAOwBcAG4AIAAgACAAIAAgACAAIAAgACAAIABcACIAVABlAG0AcABlAHIAYQB0AGUAXAAiACwAIAAxADkALAAgADAALgA3ADcALAAgADAALgAxACwAIAAwAC4AMgA0ACwAIAAwAC4AMAAwADUALAAgADAALgAwADEALAAgADAALgAwADIALAAgADAALgAwADMALAAgADAALgAwADQALAAgADAALgAwADEANQAsACAAMAAuADAAMQA1ACwAIAAwACwAIAAwACwAIAAwAC4AMAAwADQANwAsACAAMQA5ADsAXABuACAAIAAgACAAIAAgACAAIAAgACAAXAAiAFQAZQBtAHAAZQByAGEAdABlAFwAIgAsACAAMgAwACwAIAAwAC4ANwA4ACwAIAAwAC4AMQAsACAAMAAuADIANgAsACAAMAAuADAAMAA1ACwAIAAwAC4AMAAxACwAIAAwAC4AMAAyACwAIAAwAC4AMAAzACwAIAAwAC4AMAA0ACwAIAAwAC4AMAAxADUALAAgADAALgAwADEANQAsACAAMAAsACAAMAAsACAAMAAuADAAMAA0ADcALAAgADIAMAA7AFwAbgAgACAAIAAgACAAIAAgACAAIAAgAFwAIgBUAGUAbQBwAGUAcgBhAHQAZQBcACIALAAgADIAMQAsACAAMAAuADcAOAAsACAAMAAuADEALAAgADAALgAyADkALAAgADAALgAwADAANQAsACAAMAAuADAAMQAsACAAMAAuADAAMgAsACAAMAAuADAAMwAsACAAMAAuADAANAAsACAAMAAuADAAMQA1ACwAIAAwAC4AMAAxADUALAAgADAALAAgADAALAAgADAALgAwADAANAA3ACwAIAAyADEAOwBcAG4AIAAgACAAIAAgACAAIAAgACAAIABcACIAVABlAG0AcABlAHIAYQB0AGUAXAAiACwAIAAyADIALAAgADAALgA3ADgALAAgADAALgAxACwAIAAwAC4AMwAxACwAIAAwAC4AMAAwADUALAAgADAALgAwADEALAAgADAALgAwADIALAAgADAALgAwADMALAAgADAALgAwADQALAAgADAALgAwADEANQAsACAAMAAuADAAMQA1ACwAIAAwACwAIAAwACwAIAAwAC4AMAAwADQANwAsACAAMgAyADsAXABuACAAIAAgACAAIAAgACAAIAAgACAAXAAiAFQAZQBtAHAAZQByAGEAdABlAFwAIgAsACAAMgAzACwAIAAwAC4ANwA5ACwAIAAwAC4AMQAsACAAMAAuADMANAAsACAAMAAuADAAMAA1ACwAIAAwAC4AMAAxACwAIAAwAC4AMAAyACwAIAAwAC4AMAAzACwAIAAwAC4AMAA0ACwAIAAwAC4AMAAxADUALAAgADAALgAwADEANQAsACAAMAAsACAAMAAsACAAMAAuADAAMAA0ADcALAAgADIAMwA7AFwAbgAgACAAIAAgACAAIAAgACAAIAAgAFwAIgBUAGUAbQBwAGUAcgBhAHQAZQBcACIALAAgADIANAAsACAAMAAuADcAOQAsACAAMAAuADEALAAgADAALgAzADcALAAgADAALgAwADAANQAsACAAMAAuADAAMQAsACAAMAAuADAAMgAsACAAMAAuADAAMwAsACAAMAAuADAANAAsACAAMAAuADAAMQA1ACwAIAAwAC4AMAAxADUALAAgADAALAAgADAALAAgADAALgAwADAANAA3ACwAIAAyADQAOwBcAG4AIAAgACAAIAAgACAAIAAgACAAIABcACIAVABlAG0AcABlAHIAYQB0AGUAXAAiACwAIAAyADUALAAgADAALgA3ADkALAAgADAALgAxACwAIAAwAC4ANAAxACwAIAAwAC4AMAAwADUALAAgADAALgAwADEALAAgADAALgAwADIALAAgADAALgAwADMALAAgADAALgAwADQALAAgADAALgAwADEANQAsACAAMAAuADAAMQA1ACwAIAAwACwAIAAwACwAIAAwAC4AMAAwADQANwAsACAAMgA1ADsAXABuACAAIAAgACAAIAAgACAAIAAgACAAXAAiAFcAYQByAG0AXAAiACwAIAAyADYALAAgADAALgA3ADkALAAgADAALgAxACwAIAAwAC4ANAA0ACwAIAAwAC4AMAAxACwAIAAwAC4AMAAxADUALAAgADAALgAwADIALAAgADAALgAwADMALAAgADAALgAwADQALAAgADAALgAwADEANQAsACAAMAAuADAAMQA1ACwAIAAwACwAIAAwACwAIAAwAC4AMAAwADQANwAsACAAMgA2ADsAXABuACAAIAAgACAAIAAgACAAIAAgACAAXAAiAFcAYQByAG0AXAAiACwAIAAyADcALAAgADAALgA4ACwAIAAwAC4AMQAsACAAMAAuADQAOAAsACAAMAAuADAAMQAsACAAMAAuADAAMQA1ACwAIAAwAC4AMAAyACwAIAAwAC4AMAAzACwAIAAwAC4AMAA0ACwAIAAwAC4AMAAxADUALAAgADAALgAwADEANQAsACAAMAAsACAAMAAsACAAMAAuADAAMAA0ADcALAAgADIANwA7AFwAbgAgACAAIAAgACAAIAAgACAAIAAgAFwAIgBXAGEAcgBtAFwAIgAsACAAXAAiAGUiMgA4AFwAIgAsACAAMAAuADgALAAgADAALgAxACwAIAAwAC4ANQAsACAAMAAuADAAMQAsACAAMAAuADAAMQA1ACwAIAAwAC4AMAAyACwAIAAwAC4AMAAzACwAIAAwAC4AMAA0ACwAIAAwAC4AMAAxADUALAAgADAALgAwADEANQAsACAAMAAsACAAMAAsACAAMAAuADAAMAA0ADcALAAgADIAOAA7AFwAbgAgACAAIAAgACAAIAAgACAAIAAgAFwAIgBcACIALAAgAFwAIgBcACIALAAgAFwAIgBBAG4AYQBlAHIAbwBiAGkAYwAgAGwAYQBnAG8AbwBuAFwAIgAsACAAXAAiAEQAaQBnAGUAcwB0AGUAcgAgAC8AIABjAG8AdgBlAHIAZQBkACAAbABhAGcAbwBvAG4AcwBcACIALAAgAFwAIgBMAGkAcQB1AGkAZAAgAHMAeQBzAHQAZQBtAHMAXAAiACwAIABcACIARABhAGkAbAB5ACAAcwBwAHIAZQBhAGQAXAAiACwAIABcACIAQwBvAG0AcABvAHMAdABpAG4AZwAgACgAcABhAHMAcwBpAHYAZQAgAHcAaQBuAGQAcgBvAHcAKQBcACIALAAgAFwAIgBTAG8AbABpAGQAIABzAHQAbwByAGEAZwBlAFwAIgAsACAAXAAiAFAAaQB0ACAAcwB0AG8AcgBhAGcAZQBcACIALAAgAFwAIgBEAGUAZQBwACAAbABpAHQAdABlAHIAXAAiACwAIABcACIAUABvAHUAbAB0AHIAeQAgAG0AYQBuAHUAcgBlACAAdwBpAHQAaAAgAGIAZQBkAGQAaQBuAGcAXAAiACwAIABcACIAUABvAHUAbAB0AHIAeQAgAG0AYQBuAHUAcgBlACAAdwBpAHQAaABvAHUAdAAgAGIAZQBkAGQAaQBuAGcAXAAiACwAIABcACIARABpAHIAZQBjAHQAIABwAHIAbwBjAGUAcwBzAGkAbgBnAFwAIgAsACAAXAAiAEQAaQByAGUAYwB0ACAAYQBwAHAAbABpAGMAYQB0AGkAbwBuAFwAIgAsACAAXAAiAFAAYQBzAHQAdQByAGUAIAByAGEAbgBnAGUAIABhAG4AZAAgAHAAYQBkAGQAbwBjAGsAXAAiACwAIABcACIATQBBAFQAIAByAGEAdwBcACIAIABcAG4AIAAgACAAIAAgACAAIAAgAH0ALAAgAHIALAAgAGMAKQBcAG4AIAAgACAAIAAgACAAKQBcAG4AIAAgACAAIAApAFwAbgAgACAAKQA7AFwAbgBcAG4AQwBvAG0AbQBvAG4AXwBTAG8AdQByAGMAZQBEAGEAdABhAF8ATQBDAEYAVABlAG0AcABlAHIAYQB0AHUAcgBlAFoAbwBuAGUAXwBWAGEAcgBpAGEAdABpAG8AbgBcAG4AIAAgAD0ATABBAE0AQgBEAEEAKABcACIAVgBBAFIASQBBAFQASQBPAE4AIABGAFIATwBNACAAUwBPAFUAUgBDAEUAOgAgAEEAZABkAGUAZAAgAHIAbwB3ACAAbwBmACAATgBJAFIAIABNAE0AQQAgAGQAZQBmAGkAbgBpAHQAaQBvAG4AcwAgAHQAbwAgAGEAaQBkACAAbABvAG8AawB1AHAALgAgAEQAdQBwAGwAaQBjAGEAdABlAGQAIABcAHUAMAAwADIANwBQAG8AdQBsAHQAcgB5ACAAdwBpAHQAaAAgAGEAbgBkACAAdwBpAHQAaABvAHUAdAAgAGwAaQB0AHQAZQByAFwAdQAwADAAMgA3ACAAYwBvAGwAdQBtAG4AIAB3AGkAdABoACAAcwBlAHAAYQByAGEAdABlACAATgBJAFIAIABkAGUAZgBpAG4AaQB0AGkAbwBuAHMAIAB0AG8AIABhAGkAZAAgAGwAbwBvAGsAdQBwAC4AIABBAGQAZABlAGQAIABcAHUAMAAwADIANwBNAEEAVAAgAHIAYQB3AFwAdQAwADAAMgA3ACAAYwBvAGwAdQBtAG4AIAB0AG8AIABhAGwAbABvAHcAIABsAG8AbwBrAHUAcAAgAG8AZgAgAG4AdQBtAGIAZQByAHMALgBcACIAKQA7AFwAbgBcAG4AXABuAFwAbgAvACoAIABcAG4ALQAtAC0ALQAtAC0ALQAtAC0ALQAtAC0ALQAtAC0ALQAtAC0ALQAtAC0ALQAtAC0ALQAtAC0ALQAtAC0ALQAtAC0ALQAtAC0ALQAtAFwAbgBDAG8AbQBtAG8AbgBfAFMAbwB1AHIAYwBlAEQAYQB0AGEAXwBFAEYATwByAGcAYQBuAGkAYwBGAGUAcgB0AGkAbABpAHMAZQByAEEAbgBkAEMAcgBvAHAAUgBlAHMAaQBkAHUAZQBzAFwAbgAtAC0ALQAtAC0ALQAtAC0ALQAtAC0ALQAtAC0ALQAtAC0ALQAtAC0ALQAtAC0ALQAtAC0ALQAtAC0ALQAtAC0ALQAtAC0ALQAtAC0AXABuACoALwBcAG4AXABuAEMAbwBtAG0AbwBuAF8AUwBvAHUAcgBjAGUARABhAHQAYQBfAEUARgBPAHIAZwBhAG4AaQBjAEYAZQByAHQAaQBsAGkAcwBlAHIAQQBuAGQAQwByAG8AcABSAGUAcwBpAGQAdQBlAHM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QwBvAG0AbQBvAG4AXwBTAG8AdQByAGMAZQBEAGEAdABhAF8ARQBGAE8AcgBnAGEAbgBpAGMARgBlAHIAdABpAGwAaQBzAGUAcgBBAG4AZABDAHIAbwBwAFIAZQBzAGkAZAB1AGUAcwBfAFYAYQByAGkAYQBiAGwAZQBcAG4AIAAgAD0ATABBAE0AQgBEAEEAKABcACIARQBGAE4AaQAgAFwAdQAwADAAMgA2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XAB1ADAAMAAyADYAIABFAEYATgAyAE8AXAAiADsAXABuACAAIAAgACAAIAAgACAAIAAgACAAXAAiAFcAZQB0ACAAYwBsAGkAbQBhAHQAZQAgAHoAbwBuAGUAXAAiACwAIAAwAC4AMAAwADYAOwBcAG4AIAAgACAAIAAgACAAIAAgACAAIABcACIARAByAHkAIABjAGwAaQBtAGEAdABlACAAegBvAG4AZQBcACIALAAgADAALgAwADAANQBcAG4AIAAgACAAIAAgACAAIAAgAH0ALAAgAHIALAAgAGMAKQBcAG4AIAAgACAAIAAgACAAKQBcAG4AIAAgACAAIAApAFwAbgAgACAAKQA7AFwAbgBcAG4AQwBvAG0AbQBvAG4AXwBTAG8AdQByAGMAZQBEAGEAdABhAF8ARQBGAE8AcgBnAGEAbgBpAGMARgBlAHIAdABpAGwAaQBzAGUAcgBBAG4AZABDAHIAbwBwAFIAZQBzAGkAZAB1AGUAcwBfAFYAYQByAGkAYQB0AGkAbwBuAFwAbgAgACAAPQBMAEEATQBCAEQAQQAoAFwAIgBcACIAKQA7AFwAbgBcAG4AXABuAFwAbgBcAG4AXABuAFwAbgBcAG4AXABuAFwAbgBcAG4AXABuAFwAbgBcAG4AXABuAFwAbg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YAdQBlAGwAXwBJAG4AcAB1AHQARgB1AG4AYwB0AGkAbwBuAHMAIgAsACIAdABlAHgAdAAiADoAIgBGAHUAZQBsAF8ARwBlAHQAVAByAGEAbgBzAHAAbwByAHQARgB1AGUAbABTAHQAcgBpAG4AZwBcAG4APQBMAEEATQBCAEQAQQAoAFwAbgAgACAAIAAgAEMAZQBsAGwALABcAG4AIAAgACAAIABMAEUARgBUACgAQwBlAGwAbAAsACAARgBJAE4ARAAoAFwAIgAsACAAXAAiACwAQwBlAGwAbAApACAALQAxACkAXABuACkAOwBcAG4AXABuAEYAdQBlAGwAXwBHAGUAdABTAHQAYQB0AGkAbwBuAGEAcgB5AEYAdQBlAGwAUwB0AHIAaQBuAGcAXABuAD0ATABBAE0AQgBEAEEAKABcAG4AIAAgACAAIABDAGUAbABsACwAXABuACAAIAAgACAAUgBJAEcASABUACgAQwBlAGwAbAAsAEwARQBOACgAQwBlAGwAbAApAC0ARgBJAE4ARAAoAFwAIgAsACAAXAAiACwAQwBlAGwAbAApACkAXABuACkAOwBcAG4AXABuAEYAdQBlAGwAXwBUAG8AdABhAGwAQwBvAG4AcwB1AG0AcAB0AGkAbwBuAFwAbgA9ACAATABBAE0AQgBEAEEAKABcAG4AIAAgACAAIABGAHUAZQBsAEMAbwBuAHMAdQBtAHAAdABpAG8AbgBBAHIAcgBhAHkALAAgAEYAdQBlAGwAVQBzAGUAQQByAHIAYQB5ACwAIABGAHUAZQBsAFUAcwBlACwAIABGAHUAZQBsAFQAeQBwAGUAQQByAHIAYQB5ACwAIABGAHUAZQBsAFQAeQBwAGUALABcAG4AIAAgACAAIABJAEYARQBSAFIATwBSACgAXABuACAAIAAgACAAUwBVAE0AKABcAG4AIAAgACAAIAAgACAARgBJAEwAVABFAFIAKABcAG4AIAAgACAAIAAgACAAIAAgAEYAdQBlAGwAQwBvAG4AcwB1AG0AcAB0AGkAbwBuAEEAcgByAGEAeQAsAFwAbgAgACAAIAAgACAAIAAgACAAKABGAHUAZQBsAFQAeQBwAGUAQQByAHIAYQB5ACAAPQAgAEYAdQBlAGwAVAB5AHAAZQApACAAKgAgAFwAbgAgACAAIAAgACAAIAAgACAAKABGAHUAZQBsAFUAcwBlAEEAcgByAGEAeQAgAD0AIABGAHUAZQBsAFUAcwBlACkAXABuACAAIAAgACAAIAAgACkAXABuACAAIAAgACAAKQAsAFwAbgAgACAAIAAgADAAXABuACAAIAApAFwAbgApADsAIgB9ACwAewAiAHAAYQB0AGgAIgA6ACIALwBwAHIAbwBqAGUAYwB0AHMALwBGAGUAcgB0AGkAbABpAHMAZQByAF8AUwBvAHUAcgBjAGUARABhAHQAYQAiACwAIgB0AGUAeAB0ACIAOgAiAC8AKgBcAG4APQA9AD0APQA9AD0APQA9AD0APQA9AD0APQA9AD0APQA9AD0APQA9AD0APQA9AD0APQA9AD0APQA9AD0APQA9AD0APQA9AD0APQA9AD0APQA9AD0APQA9AD0APQA9AD0APQA9AD0APQA9AD0APQA9AD0APQA9AD0APQA9AD0APQA9AD0APQA9AD0APQA9AD0APQA9AD0APQBcAG4ARgBlAHIAdABpAGwAaQBzAGUAcgAgAGMAaABlAG0AaQBjAGEAbAAgAGMAbwBtAHAAbwB1AG4AZABzAFwAbgA9AD0APQA9AD0APQA9AD0APQA9AD0APQA9AD0APQA9AD0APQA9AD0APQA9AD0APQA9AD0APQA9AD0APQA9AD0APQA9AD0APQA9AD0APQA9AD0APQA9AD0APQA9AD0APQA9AD0APQA9AD0APQA9AD0APQA9AD0APQA9AD0APQA9AD0APQA9AD0APQA9AD0APQA9AD0APQA9AFwAbgAqAC8AXABuAFwAbgBGAGUAcgB0AGkAbABpAHMAZQByAF8AQwBoAGUAbQBpAGMAYQBsAEMAbwBtAHAAbwB1AG4AZABFAGwAZQBtAGUAbgB0AHMAXwBUAGkAdABsAGUAXABuAD0ATABBAE0AQgBEAEEAKAAoAFwAIgBDAG8AbQBtAG8AbgAgAGkAbgBvAHIAZwBhAG4AaQBjACAAZgBlAHIAdABpAGwAaQBzAGUAcgBzAFwAIgApACkAOwBcAG4AXABuAEYAZQByAHQAaQBsAGkAcwBlAHIAXwBDAGgAZQBtAGkAYwBhAGwAQwBvAG0AcABvAHUAbgBkAEUAbABlAG0AZQBuAHQAcwBfAFMAbwB1AHIAYwBlAFwAbgA9AEwAQQBNAEIARABBACgAKABcACIAVABhAGIAbABlACAAQQAuADIALgAyAC4AMwA6ACAARgByAGEAYwB0AGkAbwBuACAAbwBmACAAbgBpAHQAcgBvAGcAZQBuACAAaQBuACAAYwBvAG0AbQBvAG4AIABpAG4AbwByAGcAYQBuAGkAYwAgAGYAZQByAHQAaQBsAGkAcwBlAHIAcwAgACgAawBnAE4ALwBrAGcAKQAgACgARgBOAG8AcgBnAGEAbgBpAGMALABmACkAIABBAE4ARAAgAFQAYQBiAGwAZQAgAEEALgAyAC4AMgAuADQAOgAgAEYAcgBhAGMAdABpAG8AbgAgAG8AZgAgAHUAcgBlAGEAIABpAG4AIABjAG8AbQBtAG8AbgAgAGkAbgBvAHIAZwBhAG4AaQBjACAAZgBlAHIAdABpAGwAaQBzAGUAcgBzACAAKABrAGcAIAB1AHIAZQBhAC8AawBnACkAIAAoAEYAVQBmACkAXAAiACkAKQA7AFwAbgBcAG4ARgBlAHIAdABpAGwAaQBzAGUAcgBfAEMAaABlAG0AaQBjAGEAbABDAG8AbQBwAG8AdQBuAGQARQBsAGUAbQBlAG4AdABzAF8ARABhAHQAYQBcAG4APQBMAEEATQBCAEQAQQAoAFwAbgAgAE0AQQBLAEUAQQBSAFIAQQBZACgAMgAwACwAIAA2ACwAXABuACAATABBAE0AQgBEAEEAKAByACwAYwAsAFwAbgAgACAASQBOAEQARQBYACgAewBcAG4AIAAgAFwAIgBGAGUAcgB0AGkAbABpAHMAZQByACAAVAB5AHAAZQAgAGYAXAAiACwAIABcACIARgBOAGkAbgBvAHIAZwBhAG4AaQBjACwAZgBcACIALAAgAFwAIgBGAFUAZgBcACIALAAgAFwAIgBCAGEAcwBpAHMAXAAiACwAIABcACIATABpAGYAZQBDAHkAYwBsAGUAcwAgAFMAYwBvAHAAZQAgADMAIABkAGUAZgBpAG4AaQB0AGkAbwBuAFwAIgAsACAAXAAiAFMAbwB1AHIAYwBlAFwAIgA7AFwAbgAgACAAXAAiAE0AbwBuAG8AYQBtAG0AbwBuAGkAdQBtACAAcABoAG8AcwBwAGgAYQB0AGUAIAAoAE0AQQBQACkAXAAiACwAIAAwAC4AMQAwACwAIAAwACwAIABcACIAQQBtAG0AbwBuAGkAdQBtAC0AYgBhAHMAZQBkACAAZgBlAHIAdABpAGwAaQBzAGUAcgBzAFwAIgAsACAAXAAiAE0AbwBuAG8AYQBtAG0AbwBuAGkAdQBtACAAcABoAG8AcwBwAGgAYQB0AGUAIAAoAE0AQQBQACkAXAAiACwAIABcACIAVgBFAEUAUgBHAFwAIgA7AFwAbgAgACAAXAAiAEQAaQBhAG0AbQBvAG4AaQB1AG0AIABwAGgAbwBzAHAAaABhAHQAZQAgACgARABBAFAAKQBcACIALAAgADAALgAxADgALAAgADAALAAgAFwAIgBBAG0AbQBvAG4AaQB1AG0ALQBiAGEAcwBlAGQAIABmAGUAcgB0AGkAbABpAHMAZQByAHMAXAAiACwAIABcACIARABpAGEAbQBtAG8AbgBpAHUAbQAgAHAAaABvAHMAcABoAGEAdABlACAAKABEAEEAUAApAFwAIgAsACAAXAAiAFYARQBFAFIARwBcACIAOwBcAG4AIAAgAFwAIgBVAHIAZQBhAFwAIgAsACAAMAAuADQANgAsACAAMQAsACAAXAAiAFUAcgBlAGEALQBiAGEAcwBlAGQAIABmAGUAcgB0AGkAbABpAHMAZQByAHMAXAAiACwAIABcACIAVQByAGUAYQBcACIALAAgAFwAIgBWAEUARQBSAEcAXAAiADsAXABuACAAIABcACIAUwB1AGwAcABoAGEAdABlACAAbwBmACAAYQBtAG0AbwBuAGkAYQAgACgAUwBPAEEAKQBcACIALAAgADAALgAyADEALAAgADAALAAgAFwAIgBBAG0AbQBvAG4AaQB1AG0ALQBiAGEAcwBlAGQAIABmAGUAcgB0AGkAbABpAHMAZQByAHMAXAAiACwAIABcACIAUwB1AGwAcABoAGEAdABlACAAbwBmACAAYQBtAG0AbwBuAGkAYQAgACgAUwBPAEEAKQBcACIALAAgAFwAIgBWAEUARQBSAEcAXAAiADsAXABuACAAIABcACIAVQByAGUAYQAtAGEAbQBtAG8AbgBpAHUAbQAgAG4AaQB0AHIAYQB0AGUAIAAoAFUAQQBOACkAXAAiACwAIAAwAC4AMwAyACwAIAAwAC4AMwA1ACwAIABcACIAVQByAGUAYQAtAGIAYQBzAGUAZAAgAGYAZQByAHQAaQBsAGkAcwBlAHIAcwBcACIALAAgAFwAIgBVAHIAZQBhAC0AYQBtAG0AbwBuAGkAdQBtACAAbgBpAHQAcgBhAHQAZQAgACgAVQBBAE4AKQBcACIALAAgAFwAIgBWAEUARQBSAEcAXAAiADsAXABuACAAIABcACIAQQBtAG0AbwBuAGkAdQBtACAAbgBpAHQAcgBhAHQAZQAgACgAQQBOACkAXAAiACwAIAAwAC4AMwAzADcALAAgADAALAAgAFwAIgBBAG0AbQBvAG4AaQB1AG0ALQBuAGkAdAByAGEAdABlACAAYgBhAHMAZQBkACAAZgBlAHIAdABpAGwAaQBzAGUAcgBzAFwAIgAsACAAXAAiAEEAbQBtAG8AbgBpAHUAbQAgAG4AaQB0AHIAYQB0AGUAIAAoAEEATgApAFwAIgAsACAAXAAiAFYARQBFAFIARwBcACIAOwBcAG4AIAAgAFwAIgBDAGEAbABjAGkAdQBtACAAYQBtAG0AbwBuAGkAdQBtACAAbgBpAHQAcgBhAHQAZQAgACgAQwBBAE4AKQBcACIALAAgADAALgAyADcALAAgADAALAAgAFwAIgBBAG0AbQBvAG4AaQB1AG0ALQBuAGkAdAByAGEAdABlACAAYgBhAHMAZQBkACAAZgBlAHIAdABpAGwAaQBzAGUAcgBzAFwAIgAsACAAXAAiAEMAYQBsAGMAaQB1AG0AIABhAG0AbQBvAG4AaQB1AG0AIABuAGkAdAByAGEAdABlACAAKABDAEEATgApAFwAIgAsACAAXAAiAFYARQBFAFIARwBcACIAOwBcAG4AIAAgAFwAIgBOAGkAdAByAG8AZwBlAG4AIAAtACAAQQBtAG0AbwBuAGkAYQBjAGEAbABcACIALAAgADEALAAgADAALAAgAFwAIgBBAG0AbQBvAG4AaQB1AG0ALQBiAGEAcwBlAGQAIABmAGUAcgB0AGkAbABpAHMAZQByAHMAXAAiACwAIABcACIATgBpAHQAcgBvAGcAZQBuACAALQAgAEEAbQBtAG8AbgBpAGEAYwBhAGwAXAAiACwAIABcACIATABpAGYAZQBDAHkAYwBsAGUAcwBcACIAOwBcAG4AIAAgAFwAIgBOAGkAdAByAG8AZwBlAG4AIAAtACAATgBpAHQAcgBhAHQAZQBcACIALAAgADEALAAgADAALAAgAFwAIgBOAGkAdAByAGEAdABlAC0AYgBhAHMAZQBkACAAZgBlAHIAdABpAGwAaQBzAGUAcgBzAFwAIgAsACAAXAAiAE4AaQB0AHIAbwBnAGUAbgAgAGYAcgBvAG0AIABOAGkAdAByAGEAdABlAFwAIgAsACAAXAAiAEwAaQBmAGUAQwB5AGMAbABlAHMAXAAiADsAXABuACAAIABcACIATgBpAHQAcgBvAGcAZQBuACAALQAgAEcAZQBuAGUAcgBpAGMAXAAiACwAIAAxACwAIAAwACwAIABcACIAVQByAGUAYQAtAGIAYQBzAGUAZAAgAGYAZQByAHQAaQBsAGkAcwBlAHIAcwBcACIALAAgAFwAIgBOAGkAdAByAG8AZwBlAG4AIABmAHIAbwBtACAAZgBlAHIAdABpAGwAaQBzAGUAcgBcACIALAAgAFwAIgBMAGkAZgBlAEMAeQBjAGwAZQBzAFwAIgA7AFwAbgAgACAAXAAiAFAAaABvAHMAcABoAG8AcgB1AHMAIAAtACAARwBlAG4AZQByAGkAYwBcACIALAAgADAALAAgADAALAAgAFwAIgBPAHQAaABlAHIAIABmAGUAcgB0AGkAbABpAHMAZQByAHMAXAAiACwAIABcACIAUABoAG8AcwBwAGgAbwByAHUAcwAgAGYAcgBvAG0AIABmAGUAcgB0AGkAbABpAHMAZQByAFwAIgAsACAAXAAiAEwAaQBmAGUAQwB5AGMAbABlAHMAXAAiADsAXABuACAAIABcACIAUABvAHQAYQBzAHMAaQB1AG0AIAAtACAARwBlAG4AZQByAGkAYwBcACIALAAgADAALAAgADAALAAgAFwAIgBPAHQAaABlAHIAIABmAGUAcgB0AGkAbABpAHMAZQByAHMAXAAiACwAIABcACIAUABvAHQAYQBzAHMAaQB1AG0AIABmAHIAbwBtACAAZgBlAHIAdABpAGwAaQBzAGUAcgBcACIALAAgAFwAIgBMAGkAZgBlAEMAeQBjAGwAZQBzAFwAIgA7AFwAbgAgACAAXAAiAFMAdQBsAGYAdQByACAALQAgAEcAZQBuAGUAcgBpAGMAXAAiACwAIAAwACwAIAAwACwAIABcACIATwB0AGgAZQByACAAZgBlAHIAdABpAGwAaQBzAGUAcgBzAFwAIgAsACAAXAAiAFMAdQBsAGYAdQByACAAZgByAG8AbQAgAGYAZQByAHQAaQBsAGkAcwBlAHIAXAAiACwAIABcACIATABpAGYAZQBDAHkAYwBsAGUAcwBcACIAOwBcAG4AIAAgAFwAIgBaAGkAbgBjACAALQAgAEcAZQBuAGUAcgBpAGMAXAAiACwAIAAwACwAIAAwACwAIABcACIATwB0AGgAZQByACAAZgBlAHIAdABpAGwAaQBzAGUAcgBzAFwAIgAsACAAXAAiAFoAaQBuAGMAIABmAHIAbwBtACAAZgBlAHIAdABpAGwAaQBzAGUAcgBcACIALAAgAFwAIgBMAGkAZgBlAEMAeQBjAGwAZQBzAFwAIgA7AFwAbgAgACAAXAAiAE0AdQByAGkAYQB0AGUAIABvAGYAIABwAG8AdABhAHMAaAAgACgATQBPAFAAKQBcACIALAAgADAALAAgADAALAAgAFwAIgBPAHQAaABlAHIAIABmAGUAcgB0AGkAbABpAHMAZQByAHMAXAAiACwAIABcACIATQB1AHIAaQBhAHQAZQAgAG8AZgAgAHAAbwB0AGEAcwBoACAAKABNAE8AUAApAFwAIgAsACAAXAAiAEwAaQBmAGUAQwB5AGMAbABlAHMAXAAiADsAXABuACAAIABcACIARABvAHUAYgBsAGUAIABzAHUAcABlAHIAcABoAG8AcwBwAGgAYQB0AGUAXAAiACwAIAAwACwAIAAwACwAIABcACIATwB0AGgAZQByACAAZgBlAHIAdABpAGwAaQBzAGUAcgBzAFwAIgAsACAAXAAiAEQAbwB1AGIAbABlACAAcwB1AHAAZQByAHAAaABvAHMAcABoAGEAdABlAFwAIgAsACAAXAAiAEwAaQBmAGUAQwB5AGMAbABlAHMAXAAiADsAXABuACAAIABcACIAUwBpAG4AZwBsAGUAIABzAHUAcABlAHIAcABoAG8AcwBwAGgAYQB0AGUAIAAoAFMAUwBQACkAXAAiACwAIAAwACwAIAAwACwAIABcACIATwB0AGgAZQByACAAZgBlAHIAdABpAGwAaQBzAGUAcgBzAFwAIgAsACAAXAAiAFMAaQBuAGcAbABlACAAcwB1AHAAZQByAHAAaABvAHMAcABoAGEAdABlACAAKABTAFMAUAApAFwAIgAsACAAXAAiAEwAaQBmAGUAQwB5AGMAbABlAHMAXAAiADsAXABuACAAIABcACIAQQBtAG0AbwBuAGkAYQBcACIALAAgADAALgA4ADIAMwA1ACwAIAAwACwAIABcACIAQQBtAG0AbwBuAGkAdQBtAC0AYgBhAHMAZQBkACAAZgBlAHIAdABpAGwAaQBzAGUAcgBzAFwAIgAsACAAXAAiAEEAbQBtAG8AbgBpAGEAXAAiACwAIABcACIATABpAGYAZQBDAHkAYwBsAGUAcwBcACIAOwBcAG4AIAAgAFwAIgBDAGEAbABjAGkAdQBtACAAbgBpAHQAcgBhAHQAZQBcACIALAAgADAALgAxADUANQAsACAAMAAsACAAXAAiAE4AaQB0AHIAYQB0AGUALQBiAGEAcwBlAGQAIABmAGUAcgB0AGkAbABpAHMAZQByAHMAXAAiACwAIABcACIAQwBhAGwAYwBpAHUAbQAgAG4AaQB0AHIAYQB0AGUAXAAiACwAIABcACIAVgBFAEUAUgBHAFwAIgBcAG4AIAAgAH0ALAAgAHIALAAgAGMAKQBcAG4AKQApACkAOwBcAG4AXABuAEYAZQByAHQAaQBsAGkAcwBlAHIAXwBDAGgAZQBtAGkAYwBhAGwAQwBvAG0AcABvAHUAbgBkAEUAbABlAG0AZQBuAHQAcwBfAFYAYQByAGkAYQB0AGkAbwBuAFwAbgA9AEwAQQBNAEIARABBACgAXABuACAATQBBAEsARQBBAFIAUgBBAFkAKAAxADIALAAgADEALABcAG4AIABMAEEATQBCAEQAQQAoAHIALABjACwAXABuACAAIABJAE4ARABFAFgAKAB7AFwAbgAgACAAXAAiAFYAQQBSAEkAQQBUAEkATwBOACAATwBOACAAUwBPAFUAUgBDAEUAXAAiADsAXABuACAAIABcACIAQQBkAGQAZQBkACAAXAB1ADAAMAAyADcAQgBhAHMAaQBzAFwAdQAwADAAMgA3ACAAYwBvAGwAdQBtAG4AIAB0AG8AIABhAGwAbABvAHcAIABjAHIAbwBzAHMALQByAGUAZgBlAHIAZQBuAGMAaQBuAGcAIAB3AGkAdABoACAAdABhAGIAbABlACAAVABhAGIAbABlACAAQQAuADIALgAyAC4ANgA6ACAARgByAGEAYwB0AGkAbwBuACAAbwBmACAAaQBuAG8AcgBnAGEAbgBpAGMAIABmAGUAcgB0AGkAbABpAHMAZQByACAAZgAgAHQAaABhAHQAIAB2AG8AbABhAHQAaQBsAGkAcwBlAHMAIABhAHMAIABOAEgAMwAgAGEAbgBkACAATgBPAHgAIAAoACgAawBnACAATgBIADMALQBOACAAKwAgAE4ATwB4AC0ATgApAC8AawBnACAATgApACAAKABGAHIAYQBjAEcAQQBTAEYAZgApAFwAIgA7AFwAbgAgACAAXAAiAEEAZABkAGUAZAAgAGUAeAB0AHIAYQAgAGYAZQByAHQAaQBsAGkAcwBlAHIAIAB0AHkAcABlAHMAIABhAG4AZAAgAGcAZQBuAGUAcgBpAGMAIABjAGgAZQBtAGkAYwBhAGwAIABjAG8AbQBwAG8AdQBuAGQAcwAgAHQAbwAgAGEAbABsAG8AdwAgAGYAbwByACAAYwB1AHMAdABvAG0AIABOAFAASwBTACAAYgBsAGUAbgBkAHMAXAAiADsAXABuACAAIABcACIAQQBkAGQAZQBkACAAZQB4AHQAcgBhACAAXAB1ADAAMAAyADcAUwBjAG8AcABlACAAMwAgAGQAZQBmAGkAbgBpAHQAaQBvAG4AXAB1ADAAMAAyADcAIABjAG8AbAB1AG0AbgAgAHQAbwAgAGEAbABsAG8AdwAgAG0AYQBwAHAAaQBuAGcAIAB3AGkAdABoACAAcwBjAG8AcABlACAAMwAgAGQAYQB0AGEAXAAiADsAXABuACAAIABcACIAQQBkAGQAZQBkACAAXAB1ADAAMAAyADcAUwBvAHUAcgBjAGUAXAB1ADAAMAAyADcAIABjAG8AbAB1AG0AbgBcACIAOwBcAG4AIAAgAFwAIgBDAG8AbQBiAGkAbgBlAGQAIABkAGEAdABhACAAZgByAG8AbQAgAFQAYQBiAGwAZQAgAEEALgAyAC4AMgAuADMAIABhAG4AZAAgAFQAYQBiAGwAZQAgAEEALgAyAC4AMgAuADQAIABpAG4AdABvACAAbwBuAGUAIAB0AGEAYgBsAGUAIAB0AG8AIABhAGkAZAAgAGwAbwBvAGsAdQBwAC4AXAAiADsAXABuACAAIABcACIARQB4AGMAbAB1AGQAZQBkACAAXAB1ADAAMAAyADcAUgBlAGYAZQByAGUAbgBjAGUAcwBcAHUAMAAwADIANwAgAGMAbwBsAHUAbQBuAFwAIgA7AFwAbgAgACAAXAAiAEUAeABjAGwAdQBkAGUAZAAgAFwAdQAwADAAMgA3AEEAbQBtAG8AbgBpAHUAbQAgAHMAdQBsAGYAYQB0AGUAXAB1ADAAMAAyADcAIABhAHMAIABpAHQAIABpAHMAIABhACAAZAB1AHAAbABpAGMAYQB0AGUAIABvAGYAIABcAHUAMAAwADIANwBTAHUAbABwAGgAYQB0AGUAIABvAGYAIABhAG0AbQBvAG4AaQBhACAAKABTAE8AQQApAFwAdQAwADAAMgA3AFwAIgA7AFwAbgAgACAAXAAiAEUAeABjAGwAdQBkAGUAZAAgAFwAdQAwADAAMgA3AEMAYQBsAGMAaQB1AG0AIABuAGkAdAByAGEAdABlAFwAdQAwADAAMgA3ACAAYQBzACAAbgBvACAAcwBjAG8AcABlACAAMwAgAHYAYQBsAHUAZQAgAGEAdgBhAGkAbABhAGIAbABlAC4AXAAiADsAXABuACAAIABcACIAUwBlAHQAIABcAHUAMAAwADIANwBOAGkAdAByAG8AZwBlAG4AIAAtACAARwBlAG4AZQByAGkAYwBcAHUAMAAwADIANwAgAGIAYQBzAGkAcwAgAGEAcwAgAFwAdQAwADAAMgA3AFUAcgBlAGEALQBiAGEAcwBlAGQAIABmAGUAcgB0AGkAbABpAHMAZQByAHMALAAgAGEAcwAgAHUAcgBlAGEAIABpAHMAIAB0AGgAZQAgAG0AbwBzAHQAIABjAG8AbQBtAG8AbgBsAHkAIAB1AHMAZQBkACAAZgBvAHIAbQAgAG8AZgAgAG4AaQB0AHIAbwBnAGUAbgAgAGkAbgAgAEEAdQBzAHQAcgBhAGwAaQBhAG4AIABmAGUAcgB0AGkAbABpAHMAZQByAHMAXAAiADsAXABuACAAIABcACIAUwBlAHQAIABcAHUAMAAwADIANwBVAHIAZQBhAC0AYQBtAG0AbwBuAGkAdQBtACAAbgBpAHQAcgBhAHQAZQBcAHUAMAAwADIANwAgAGIAYQBzAGkAcwAgAGEAcwAgAFwAdQAwADAAMgA3AFUAcgBlAGEALQBiAGEAcwBlAGQAIABmAGUAcgB0AGkAbABpAHMAZQByAFwAdQAwADAAMgA3AFwAIgA7AFwAbgAgACAAXAAiAEEAbQBtAG8AbgBpAGEAIABoAGEAcwAgAGEAbgAgAEYATgAgAHYAYQBsAHUAZQAgAG8AZgAgADAALgA4ADIAMwA1ACAAYgBhAHMAZQBkACAAbwBuACAAKAAxADQALwAxADcAKQB4ADEAMAAwACwAIAB3AGgAZQByAGUAIAAxADQAIABpAHMAIAB0AGgAZQAgAG0AYQBzAHMAIABvAGYAIABuAGkAdAByAG8AZwBlAG4AIABpAG4AIABhAG0AbQBvAG4AaQBhACAAYQBuAGQAIAAxADcAIABpAHMAIAB0AGgAZQAgAG0AbwBsAGEAcgAgAG0AYQBzAHMAIABvAGYAIABhAG0AbQBvAG4AaQBhAC4AXAAiAFwAbgAgACAAfQAsACAAcgAsACAAYwApAFwAbgApACkAKQA7AFwAbgBcAG4AXABuAC8AKgBcAG4APQA9AD0APQA9AD0APQA9AD0APQA9AD0APQA9AD0APQA9AD0APQA9AD0APQA9AD0APQA9AD0APQA9AD0APQA9AD0APQA9AD0APQA9AD0APQA9AD0APQA9AD0APQA9AD0APQA9AD0APQA9AD0APQA9AD0APQA9AD0APQA9AD0APQA9AD0APQA9AD0APQA9AD0APQA9AD0APQBcAG4ARgByAGEAYwB0AGkAbwBuACAAbwBmACAAaQBuAG8AcgBnAGEAbgBpAGMAIABmAGUAcgB0AGkAbABpAHMAZQByACAAdABoAGEAdAAgAHYAbwBsAGEAdABpAGwAaQBzAGUAcwAgAGEAcwAgAE4ASAAzACAAYQBuAGQAIABOAE8AeABcAG4APQA9AD0APQA9AD0APQA9AD0APQA9AD0APQA9AD0APQA9AD0APQA9AD0APQA9AD0APQA9AD0APQA9AD0APQA9AD0APQA9AD0APQA9AD0APQA9AD0APQA9AD0APQA9AD0APQA9AD0APQA9AD0APQA9AD0APQA9AD0APQA9AD0APQA9AD0APQA9AD0APQA9AD0APQA9AD0APQBcAG4AKgAvAFwAbgBcAG4ARgBlAHIAdABpAGwAaQBzAGUAcgBfAEYAcgBhAGMARwBBAFMARgBfAFQAaQB0AGwAZQBcAG4APQBMAEEATQBCAEQAQQAoACgAXAAiAEYAcgBhAGMAdABpAG8AbgAgAG8AZgAgAGkAbgBvAHIAZwBhAG4AaQBjACAAZgBlAHIAdABpAGwAaQBzAGUAcgAgAHQAaABhAHQAIAB2AG8AbABhAHQAaQBsAGkAcwBlAHMAIABhAHMAIABOAEgAMwAgAGEAbgBkACAATgBPAHgAXAAiACkAKQA7AFwAbgBcAG4ARgBlAHIAdABpAGwAaQBzAGUAcgBfAEYAcgBhAGMARwBBAFMARgBfAFMAbwB1AHIAYwBlAFwAbgA9AEwAQQBNAEIARABBACgAKABcACIAVABhAGIAbABlACAAQQAuADIALgAyAC4ANgA6ACAARgByAGEAYwB0AGkAbwBuACAAbwBmACAAaQBuAG8AcgBnAGEAbgBpAGMAIABmAGUAcgB0AGkAbABpAHMAZQByACAAZgAgAHQAaABhAHQAIAB2AG8AbABhAHQAaQBsAGkAcwBlAHMAIABhAHMAIABOAEgAMwAgAGEAbgBkACAATgBPAHgAIAAoACgAawBnACAATgBIADMALQBOACAAKwAgAE4ATwB4AC0ATgApAC8AawBnACAATgApACAAKABGAHIAYQBjAEcAQQBTAEYAZgApAFwAIgApACkAOwBcAG4AXABuAEYAZQByAHQAaQBsAGkAcwBlAHIAXwBGAHIAYQBjAEcAQQBTAEYAXwBEAGEAdABhAFwAbgA9AEwAQQBNAEIARABBACgAXABuACAATQBBAEsARQBBAFIAUgBBAFkAKAA2ACwAIAAyACwAXABuACAATABBAE0AQgBEAEEAKAByACwAYwAsAFwAbgAgACAASQBOAEQARQBYACgAewBcAG4AIAAgAFwAIgBGAGUAcgB0AGkAbABpAHMAZQByACAAdAB5AHAAZQAgAGYAXAAiACwAIABcACIARgByAGEAYwBHAEEAUwBGAGYAXAAiADsAXABuACAAIABcACIAVQByAGUAYQAtAGIAYQBzAGUAZAAgAGYAZQByAHQAaQBsAGkAcwBlAHIAcwBcACIALAAgADAALgAxADUAOwBcAG4AIAAgAFwAIgBBAG0AbQBvAG4AaQB1AG0ALQBiAGEAcwBlAGQAIABmAGUAcgB0AGkAbABpAHMAZQByAHMAXAAiACwAIAAwAC4AMAA4ADsAXABuACAAIABcACIATgBpAHQAcgBhAHQAZQAtAGIAYQBzAGUAZAAgAGYAZQByAHQAaQBsAGkAcwBlAHIAcwBcACIALAAgADAALgAwADEAOwBcAG4AIAAgAFwAIgBBAG0AbQBvAG4AaQB1AG0ALQBuAGkAdAByAGEAdABlACAAYgBhAHMAZQBkACAAZgBlAHIAdABpAGwAaQBzAGUAcgBzAFwAIgAsACAAMAAuADAANQA7AFwAbgAgACAAXAAiAE8AdABoAGUAcgAgAGYAZQByAHQAaQBsAGkAcwBlAHIAcwBcACIALAAgADAALgAxADEAXABuACAAIAB9ACwAIAByACwAIABjACkAXABuACkAKQApADsAXABuAFwAbgBGAGUAcgB0AGkAbABpAHMAZQByAF8ARgByAGEAYwBHAEEAUwBG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UAbQBpAHMAcwBpAG8AbgAgAGYAYQBjAHQAbwByACAAZgBvAHIAIABjAGEAcgBiAG8AbgAgAGUAbQBpAHMAcwBpAG8AbgBzACAAZgByAG8AbQAgAHUAcgBlAGEAIABhAHAAcABsAGkAYwBhAHQAaQBvAG4AXABuAD0APQA9AD0APQA9AD0APQA9AD0APQA9AD0APQA9AD0APQA9AD0APQA9AD0APQA9AD0APQA9AD0APQA9AD0APQA9AD0APQA9AD0APQA9AD0APQA9AD0APQA9AD0APQA9AD0APQA9AD0APQA9AD0APQA9AD0APQA9AD0APQA9AD0APQA9AD0APQA9AD0APQA9AD0APQA9AD0AXABuACoALwBcAG4AXABuAEYAZQByAHQAaQBsAGkAcwBlAHIAXwBFAEYAVQByAGUAYQBDAE8AMgBfAFQAaQB0AGwAZQBcAG4APQBMAEEATQBCAEQAQQAoACgAXAAiAEUAbQBpAHMAcwBpAG8AbgAgAGYAYQBjAHQAbwByACAAZgBvAHIAIABjAGEAcgBiAG8AbgAgAGUAbQBpAHMAcwBpAG8AbgBzACAAZgByAG8AbQAgAHUAcgBlAGEAIABhAHAAcABsAGkAYwBhAHQAaQBvAG4AXAAiACkAKQA7AFwAbgBcAG4ARgBlAHIAdABpAGwAaQBzAGUAcgBfAEUARgBVAHIAZQBhAEMATwAyAF8AUwBvAHUAcgBjAGUAXABuAD0ATABBAE0AQgBEAEEAKAAoAFwAIgBWAEUARQBSAEcAIAAyADAAMgA2ADoAIAA1AC4AMQAuADIALgAyACAAQwBvAG4AcwB0AGEAbgB0ACAAUABhAHIAYQBtAGUAdABlAHIAcwBcACIAKQApADsAXABuAFwAbgBGAGUAcgB0AGkAbABpAHMAZQByAF8ARQBGAFUAcgBlAGEAQwBPADIAXwBWAGEAcgBpAGEAYgBsAGUAXABuAD0ATABBAE0AQgBEAEEAKAAoAFwAIgBFAEYAdQByAGUAYQBDAE8AMgBcACIAKQApADsAXABuAFwAbgBGAGUAcgB0AGkAbABpAHMAZQByAF8ARQBGAFUAcgBlAGEAQwBPADIAXwBVAG4AaQB0AFwAbgA9AEwAQQBNAEIARABBACgAKABcACIAawBnACAAQwAvAGsAZwAgAHUAcgBlAGEAXAAiACkAKQA7AFwAbgBcAG4ARgBlAHIAdABpAGwAaQBzAGUAcgBfAEUARgBVAHIAZQBhAEMATwAyAF8ARABhAHQAYQBcAG4APQBMAEEATQBCAEQAQQAoADAALgAyACkAOwBcAG4AXABuAEYAZQByAHQAaQBsAGkAcwBlAHIAXwBFAEYAVQByAGUAYQBDAE8AM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vAHIAZwBhAG4AaQBjACAAZgBlAHIAdABpAGwAaQBzAGUAcgAgAHQAaABhAHQAIAB2AG8AbABhAHQAaQBsAGkAcwBlAHMAIABhAHMAIABOAEgAMwAgAGEAbgBkACAATgBPAHgAXABuAD0APQA9AD0APQA9AD0APQA9AD0APQA9AD0APQA9AD0APQA9AD0APQA9AD0APQA9AD0APQA9AD0APQA9AD0APQA9AD0APQA9AD0APQA9AD0APQA9AD0APQA9AD0APQA9AD0APQA9AD0APQA9AD0APQA9AD0APQA9AD0APQA9AD0APQA9AD0APQA9AD0APQA9AD0APQA9AD0AXABuACoALwBcAG4AXABuAEYAZQByAHQAaQBsAGkAcwBlAHIAXwBGAHIAYQBjAEcAQQBTAE0AUwBvAGkAbABfAFQAaQB0AGwAZQBcAG4APQBMAEEATQBCAEQAQQAoACgAXAAiAEYAcgBhAGMAdABpAG8AbgAgAG8AZgAgAG8AcgBnAGEAbgBpAGMAIABmAGUAcgB0AGkAbABpAHMAZQByACAAdABoAGEAdAAgAHYAbwBsAGEAdABpAGwAaQBzAGUAcwAgAGEAcwAgAE4ASAAzACAAYQBuAGQAIABOAE8AeABcACIAKQApADsAXABuAFwAbgBGAGUAcgB0AGkAbABpAHMAZQByAF8ARgByAGEAYwBHAEEAUwBNAFMAbwBpAGwAXwBTAG8AdQByAGMAZQBcAG4APQBMAEEATQBCAEQAQQAoACgAXAAiAFYARQBFAFIARwAgADIAMAAyADYAOgAgADUALgA0AC4AMgAuADMAIABDAG8AbgBzAHQAYQBuAHQAIABQAGEAcgBhAG0AZQB0AGUAcgBzAFwAIgApACkAOwBcAG4AXABuAEYAZQByAHQAaQBsAGkAcwBlAHIAXwBGAHIAYQBjAEcAQQBTAE0AUwBvAGkAbABfAFYAYQByAGkAYQBiAGwAZQBcAG4APQBMAEEATQBCAEQAQQAoACgAXAAiAEYAcgBhAGMARwBBAFMATQBzAG8AaQBsAFwAIgApACkAOwBcAG4AXABuAEYAZQByAHQAaQBsAGkAcwBlAHIAXwBGAHIAYQBjAEcAQQBTAE0AUwBvAGkAbABfAFUAbgBpAHQAXABuAD0ATABBAE0AQgBEAEEAKAAoAFwAIgAoAGsAZwAgAE4ASAAzAC0ATgAgACsAIABOAE8AeAAtAE4AKQAvAGsAZwAgAE4AXAAiACkAKQA7AFwAbgBcAG4ARgBlAHIAdABpAGwAaQBzAGUAcgBfAEYAcgBhAGMARwBBAFMATQBTAG8AaQBsAF8ARABhAHQAYQBcAG4APQBMAEEATQBCAEQAQQAoADAALgAyADEAKQA7AFwAbgBcAG4ARgBlAHIAdABpAGwAaQBzAGUAcgBfAEYAcgBhAGMARwBBAFMATQBTAG8AaQBs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YAcgBhAGMAdABpAG8AbgAgAG8AZgAgAG4AaQB0AHIAbwBnAGUAbgAgAHQAaABhAHQAIABpAHMAIABsAG8AcwB0ACAAdABoAHIAbwB1AGcAaA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GAHIAYQBjAEwARQBBAEMASABfAFQAaQB0AGwAZQBcAG4APQBMAEEATQBCAEQAQQAoACgAXAAiAEYAcgBhAGMAdABpAG8AbgAgAG8AZgAgAG4AaQB0AHIAbwBnAGUAbgAgAHQAaABhAHQAIABpAHMAIABsAG8AcwB0ACAAdABoAHIAbwB1AGcAaAAgAGwAZQBhAGMAaABpAG4AZwAgAGEAbgBkACAAcgB1AG4AbwBmAGYAXAAiACkAKQA7AFwAbgBcAG4ARgBlAHIAdABpAGwAaQBzAGUAcgBfAEYAcgBhAGMATABFAEEAQwBIAF8AUwBvAHUAcgBjAGUAXABuAD0ATABBAE0AQgBEAEEAKAAoAFwAIgBWAEUARQBSAEcAIAAyADAAMgA2ADoAIAA1AC4ANQAuADIALgAzACAAQwBvAG4AcwB0AGEAbgB0ACAAUABhAHIAYQBtAGUAdABlAHIAcwBcACIAKQApADsAXABuAFwAbgBGAGUAcgB0AGkAbABpAHMAZQByAF8ARgByAGEAYwBMAEUAQQBDAEgAXwBWAGEAcgBpAGEAYgBsAGUAXABuAD0ATABBAE0AQgBEAEEAKAAoAFwAIgBGAHIAYQBjAEwARQBBAEMASABcACIAKQApADsAXABuAFwAbgBGAGUAcgB0AGkAbABpAHMAZQByAF8ARgByAGEAYwBMAEUAQQBDAEgAXwBVAG4AaQB0AFwAbgA9AEwAQQBNAEIARABBACgAKABcACIAZgByAGEAYwB0AGkAbwBuAFwAIgApACkAOwBcAG4AXABuAEYAZQByAHQAaQBsAGkAcwBlAHIAXwBGAHIAYQBjAEwARQBBAEMASABfAEQAYQB0AGEAXABuAD0ATABBAE0AQgBEAEEAKAAwAC4AMgA0ACkAOwBcAG4AXABuAEYAZQByAHQAaQBsAGkAcwBlAHIAXwBGAHIAYQBjAEwARQBBAEMAS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bgBpAHQAcgBvAGcAZQBuACAAbABlAGEAYwBoAGkAbgBnACAAYQBuAGQAIAByAHUAbgBvAGYAZgBcAG4APQA9AD0APQA9AD0APQA9AD0APQA9AD0APQA9AD0APQA9AD0APQA9AD0APQA9AD0APQA9AD0APQA9AD0APQA9AD0APQA9AD0APQA9AD0APQA9AD0APQA9AD0APQA9AD0APQA9AD0APQA9AD0APQA9AD0APQA9AD0APQA9AD0APQA9AD0APQA9AD0APQA9AD0APQA9AD0APQBcAG4AKgAvAFwAbgBcAG4ARgBlAHIAdABpAGwAaQBzAGUAcgBfAEUARgBMAGUAYQBjAGgAXwBUAGkAdABsAGUAXABuAD0ATABBAE0AQgBEAEEAKAAoAFwAIgBFAG0AaQBzAHMAaQBvAG4AIABmAGEAYwB0AG8AcgAgAGYAbwByACAAbgBpAHQAcgBvAGcAZQBuACAAbABlAGEAYwBoAGkAbgBnACAAYQBuAGQAIAByAHUAbgBvAGYAZgBcACIAKQApADsAXABuAFwAbgBGAGUAcgB0AGkAbABpAHMAZQByAF8ARQBGAEwAZQBhAGMAaABfAFMAbwB1AHIAYwBlAFwAbgA9AEwAQQBNAEIARABBACgAKABcACIAVgBFAEUAUgBHACAAMgAwADIANgA6ACAANQAuADUALgAyAC4AMwAgAEMAbwBuAHMAdABhAG4AdAAgAFAAYQByAGEAbQBlAHQAZQByAHMAXAAiACkAKQA7AFwAbgBcAG4ARgBlAHIAdABpAGwAaQBzAGUAcgBfAEUARgBMAGUAYQBjAGgAXwBWAGEAcgBpAGEAYgBsAGUAXABuAD0ATABBAE0AQgBEAEEAKAAoAFwAIgBFAEYATABlAGEAYwBoAFwAIgApACkAOwBcAG4AXABuAEYAZQByAHQAaQBsAGkAcwBlAHIAXwBFAEYATABlAGEAYwBoAF8AVQBuAGkAdABcAG4APQBMAEEATQBCAEQAQQAoACgAXAAiAGsAZwAgAE4AMgBPAC0ATgAgAC8AIABrAGcAIABOAFwAIgApACkAOwBcAG4AXABuAEYAZQByAHQAaQBsAGkAcwBlAHIAXwBFAEYATABlAGEAYwBoAF8ARABhAHQAYQBcAG4APQBMAEEATQBCAEQAQQAoADAALgAwADEAMQApADsAXABuAFwAbgBGAGUAcgB0AGkAbABpAHMAZQByAF8ARQBGAEwAZQBhAGMAaABfAFYAYQByAGkAYQB0AGkAbwBuAFwAbgA9AEwAQQBNAEIARABBACgAXAAiAFwAIgApADsAXABuAFwAbgBcAG4AXABuAC8AKgBcAG4APQA9AD0APQA9AD0APQA9AD0APQA9AD0APQA9AD0APQA9AD0APQA9AD0APQA9AD0APQA9AD0APQA9AD0APQA9AD0APQA9AD0APQA9AD0APQA9AD0APQA9AD0APQA9AD0APQA9AD0APQA9AD0APQA9AD0APQA9AD0APQA9AD0APQA9AD0APQA9AD0APQA9AD0APQA9AD0APQBcAG4ATABpAG0AZQAsACAAZABvAGwAbwBtAGkAdABlACAAYQBuAGQAIABnAHkAcABzAHUAbQBcAG4APQA9AD0APQA9AD0APQA9AD0APQA9AD0APQA9AD0APQA9AD0APQA9AD0APQA9AD0APQA9AD0APQA9AD0APQA9AD0APQA9AD0APQA9AD0APQA9AD0APQA9AD0APQA9AD0APQA9AD0APQA9AD0APQA9AD0APQA9AD0APQA9AD0APQA9AD0APQA9AD0APQA9AD0APQA9AD0APQBcAG4AKgAvAFwAbgBcAG4ARgBlAHIAdABpAGwAaQBzAGUAcgBfAEwAaQBtAGUARABvAGwAbwBtAGkAdABlAEcAeQBwAHMAdQBtAEMAbwBuAHMAdABhAG4AdABzAF8AVABpAHQAbABlAFwAbgA9AEwAQQBNAEIARABBACgAKABcACIAQwBvAG4AcwB0AGEAbgB0AHMAIABmAG8AcgAgAGwAaQBtAGUALAAgAGQAbwBsAG8AbQBpAHQAZQAgAGEAbgBkACAAZwB5AHAAcwB1AG0AXAAiACkAKQA7AFwAbgBcAG4ARgBlAHIAdABpAGwAaQBzAGUAcgBfAEwAaQBtAGUARABvAGwAbwBtAGkAdABlAEcAeQBwAHMAdQBtAEMAbwBuAHMAdABhAG4AdABzAF8ARABlAHMAYwByAGkAcAB0AGkAbwBuAFwAbgA9AEwAQQBNAEIARABBACgAKABcACIAQwBvAG4AcwB0AGEAbgB0AHMAIABmAG8AcgAgAGwAaQBtAGUALAAgAGQAbwBsAG8AbQBpAHQAZQAgAGEAbgBkACAAZwB5AHAAcwB1AG0AXAAiACkAKQA7AFwAbgBcAG4ARgBlAHIAdABpAGwAaQBzAGUAcgBfAEwAaQBtAGUARABvAGwAbwBtAGkAdABlAEcAeQBwAHMAdQBtAEMAbwBuAHMAdABhAG4AdABzAF8AUwBvAHUAcgBjAGUAXABuAD0ATABBAE0AQgBEAEEAKAAoAFwAIgBWAEUARQBSAEcAIAAyADAAMgA2ADoAIAA1AC4AMwAuADIALgAzACAAQwBvAG4AcwB0AGEAbgB0ACAAUABhAHIAYQBtAGUAdABlAHIAcwBcACIAKQApADsAXABuAFwAbgBGAGUAcgB0AGkAbABpAHMAZQByAF8ATABpAG0AZQBEAG8AbABvAG0AaQB0AGUARwB5AHAAcwB1AG0AQwBvAG4AcwB0AGEAbgB0AHMAXwBEAGEAdABhAFwAbgA9AEwAQQBNAEIARABBACgAXABuACAATQBBAEsARQBBAFIAUgBBAFkAKAA0ACwAIAAzACwAXABuACAATABBAE0AQgBEAEEAKAByACwAYwAsAFwAbgAgACAASQBOAEQARQBYACgAewBcAG4AIAAgAFwAIgBFAGwAZQBtAGUAbgB0AFwAIgAsACAAXAAiAFAAXAAiACwAIABcACIARQBGAFwAIgA7AFwAbgAgACAAXAAiAEwAaQBtAGUAIAAoAEMAYQBsAGMAaQB1AG0AIABjAGEAcgBiAG8AbgBhAHQAZQApAFwAIgAsACAAMAAuADkALAAgADAALgAxADIAOwBcAG4AIAAgAFwAIgBEAG8AbABvAG0AaQB0AGUAIAAoAE0AYQBnAG4AZQBzAGkAdQBtACAAYwBhAHIAYgBvAG4AYQB0AGUAKQBcACIALAAgADAALgA5ADUALAAgADAALgAxADMAOwBcAG4AIAAgAFwAIgBHAHkAcABzAHUAbQBcACIALAAgADAALAAgADAAXABuACAAIAB9ACwAIAByACwAIABjACkAXABuACkAKQApADsAXABuAFwAbgBGAGUAcgB0AGkAbABpAHMAZQByAF8ATABpAG0AZQBEAG8AbABvAG0AaQB0AGUARwB5AHAAcwB1AG0AQwBvAG4AcwB0AGEAbgB0AHMAXwBWAGEAcgBpAGEAdABpAG8AbgBcAG4APQBMAEEATQBCAEQAQQAoACgAXAAiAFYAQQBSAEkAQQBUAEkATwBOACAARgBSAE8ATQAgAFMATwBVAFIAQwBFACAARABBAFQAQQA6ACAARwB5AHAAcwB1AG0AIABoAGEAcwAgAGIAZQBlAG4AIABhAGQAZABlAGQAIAB3AGkAdABoACAAcABsAGEAYwBlAGgAbwBsAGQAZQByACAAdgBhAGwAdQBlAHMAIABvAGYAIAAwACAAZgBvAHIAIABQACAAYQBuAGQAIABFAEYAL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pAG4AIABjAG8AbQBtAG8AbgAgAGkAbgBvAHIAZwBhAG4AaQBjACAAZgBlAHIAdABpAGwAaQBzAGUAcgBzAFwAbgA9AD0APQA9AD0APQA9AD0APQA9AD0APQA9AD0APQA9AD0APQA9AD0APQA9AD0APQA9AD0APQA9AD0APQA9AD0APQA9AD0APQA9AD0APQA9AD0APQA9AD0APQA9AD0APQA9AD0APQA9AD0APQA9AD0APQA9AD0APQA9AD0APQA9AD0APQA9AD0APQA9AD0APQA9AD0APQA9AFwAbgAqAC8AXABuAFwAbgBGAGUAcgB0AGkAbABpAHMAZQByAF8ARgByAGEAYwB0AGkAbwBuAE4AQwBvAG0AbQBvAG4ARgBlAHIAdABpAGwAaQBzAGUAcgBzAF8AVABpAHQAbABlAFwAbgA9AEwAQQBNAEIARABBACgAKABcACIARgByAGEAYwB0AGkAbwBuACAAbwBmACAAbgBpAHQAcgBvAGcAZQBuACAAaQBuACAAYwBvAG0AbQBvAG4AIABpAG4AbwByAGcAYQBuAGkAYwAgAGYAZQByAHQAaQBsAGkAcwBlAHIAcwAgACgAawBnAE4ALwBrAGcAKQAgACgARgBOAG8AcgBnAGEAbgBpAGMALABmACkAXAAiACkAKQA7AFwAbgBcAG4ARgBlAHIAdABpAGwAaQBzAGUAcgBfAEYAcgBhAGMAdABpAG8AbgBOAEMAbwBtAG0AbwBuAEYAZQByAHQAaQBsAGkAcwBlAHIAcwBfAFMAbwB1AHIAYwBlAFwAbgA9AEwAQQBNAEIARABBACgAKABcACIAVgBFAEUAUgBHACAAMgAwADIANgA6ACAAVABhAGIAbABlACAAQQAuADIALgAyAC4AMwBcACIAKQApADsAXABuAFwAbgBGAGUAcgB0AGkAbABpAHMAZQByAF8ARgByAGEAYwB0AGkAbwBuAE4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OAGkAbgBvAHIAZwBhAG4AaQBjAGYAXAAiADsAXABuACAAIABcACIATQBvAG4AbwBhAG0AbQBvAG4AaQB1AG0AIABwAGgAbwBzAHAAaABhAHQAZQAgACgATQBBAFAAKQBcACIALAAgADAALgAxADAAOwBcAG4AIAAgAFwAIgBEAGkAYQBtAG0AbwBuAGkAdQBtACAAcABoAG8AcwBwAGgAYQB0AGUAIAAoAEQAQQBQACkAXAAiACwAIAAwAC4AMQA4ADsAXABuACAAIABcACIAVQByAGUAYQBcACIALAAgADAALgA0ADYAOwBcAG4AIAAgAFwAIgBTAHUAbABwAGgAYQB0AGUAIABvAGYAIABhAG0AbQBvAG4AaQBhACAAKABTAE8AQQApAFwAIgAsACAAMAAuADIAMQA7AFwAbgAgACAAXAAiAFUAcgBlAGEALQBhAG0AbQBvAG4AaQB1AG0AIABuAGkAdAByAGEAdABlACAAKABVAEEATgApAFwAIgAsACAAMAAuADMAMgA7AFwAbgAgACAAXAAiAEEAbQBtAG8AbgBpAHUAbQAgAG4AaQB0AHIAYQB0AGUAIAAoAEEATgApAFwAIgAsACAAMAAuADMAMwA3ADsAXABuACAAIABcACIAQwBhAGwAYwBpAHUAbQAgAGEAbQBtAG8AbgBpAHUAbQAgAG4AaQB0AHIAYQB0AGUAIAAoAEMAQQBOACkAXAAiACwAIAAwAC4AMgA3ADsAXABuACAAIABcACIAQQBtAG0AbwBuAGkAdQBtACAAUwB1AGwAZgBhAHQAZQBcACIALAAgADAALgAyADEAOwBcAG4AIAAgAFwAIgBDAGEAbABjAGkAdQBtACAATgBpAHQAcgBhAHQAZQBcACIALAAgADAALgAxADUANQBcAG4AIAAgAH0ALAAgAHIALAAgAGMAKQBcAG4AKQApACkAOwBcAG4AXABuAEYAZQByAHQAaQBsAGkAcwBlAHIAXwBGAHIAYQBjAHQAaQBvAG4ATgBDAG8AbQBtAG8AbgBGAGUAcgB0AGkAbABpAHMAZQByAHMAXwBWAGEAcgBpAGEAdABpAG8AbgBcAG4APQBMAEEATQBCAEQAQQAoACgAXAAiAFwAIgApACkAOwBcAG4AXABuAFwAbgAvACoAXABuAD0APQA9AD0APQA9AD0APQA9AD0APQA9AD0APQA9AD0APQA9AD0APQA9AD0APQA9AD0APQA9AD0APQA9AD0APQA9AD0APQA9AD0APQA9AD0APQA9AD0APQA9AD0APQA9AD0APQA9AD0APQA9AD0APQA9AD0APQA9AD0APQA9AD0APQA9AD0APQA9AD0APQA9AD0APQA9AD0AXABuAEYAcgBhAGMAdABpAG8AbgAgAG8AZgAgAHUAcgBlAGEAIABpAG4AIABjAG8AbQBtAG8AbgAgAGkAbgBvAHIAZwBhAG4AaQBjACAAZgBlAHIAdABpAGwAaQBzAGUAcgBzAFwAbgA9AD0APQA9AD0APQA9AD0APQA9AD0APQA9AD0APQA9AD0APQA9AD0APQA9AD0APQA9AD0APQA9AD0APQA9AD0APQA9AD0APQA9AD0APQA9AD0APQA9AD0APQA9AD0APQA9AD0APQA9AD0APQA9AD0APQA9AD0APQA9AD0APQA9AD0APQA9AD0APQA9AD0APQA9AD0APQA9AFwAbgAqAC8AXABuAFwAbgBGAGUAcgB0AGkAbABpAHMAZQByAF8ARgByAGEAYwB0AGkAbwBuAFUAcgBlAGEAQwBvAG0AbQBvAG4ARgBlAHIAdABpAGwAaQBzAGUAcgBzAF8AVABpAHQAbABlAFwAbgA9AEwAQQBNAEIARABBACgAKABcACIARgByAGEAYwB0AGkAbwBuACAAbwBmACAAdQByAGUAYQAgAGkAbgAgAGMAbwBtAG0AbwBuACAAaQBuAG8AcgBnAGEAbgBpAGMAIABmAGUAcgB0AGkAbABpAHMAZQByAHMAIAAoAGsAZwAgAHUAcgBlAGEALwBrAGcAKQAgACgARgBVAGYAKQBcACIAKQApADsAXABuAFwAbgBGAGUAcgB0AGkAbABpAHMAZQByAF8ARgByAGEAYwB0AGkAbwBuAFUAcgBlAGEAQwBvAG0AbQBvAG4ARgBlAHIAdABpAGwAaQBzAGUAcgBzAF8AUwBvAHUAcgBjAGUAXABuAD0ATABBAE0AQgBEAEEAKAAoAFwAIgBWAEUARQBSAEcAIAAyADAAMgA2ADoAIABUAGEAYgBsAGUAIABBAC4AMgAuADIALgA0AFwAIgApACkAOwBcAG4AXABuAEYAZQByAHQAaQBsAGkAcwBlAHIAXwBGAHIAYQBjAHQAaQBvAG4AVQByAGUAYQBDAG8AbQBtAG8AbgBGAGUAcgB0AGkAbABpAHMAZQByAHMAXwBEAGEAdABhAFwAbgA9AEwAQQBNAEIARABBACgAXABuACAATQBBAEsARQBBAFIAUgBBAFkAKAAxADAALAAgADIALABcAG4AIABMAEEATQBCAEQAQQAoAHIALABjACwAXABuACAAIABJAE4ARABFAFgAKAB7AFwAbgAgACAAXAAiAEYAZQByAHQAaQBsAGkAcwBlAHIAIABUAHkAcABlACAAZgBcACIALAAgAFwAIgBGAFUAZgBcACIAOwBcAG4AIAAgAFwAIgBNAG8AbgBvAGEAbQBtAG8AbgBpAHUAbQAgAHAAaABvAHMAcABoAGEAdABlACAAKABNAEEAUAApAFwAIgAsACAAMAA7AFwAbgAgACAAXAAiAEQAaQBhAG0AbQBvAG4AaQB1AG0AIABwAGgAbwBzAHAAaABhAHQAZQAgACgARABBAFAAKQBcACIALAAgADAAOwBcAG4AIAAgAFwAIgBVAHIAZQBhAFwAIgAsACAAMQA7AFwAbgAgACAAXAAiAFMAdQBsAHAAaABhAHQAZQAgAG8AZgAgAGEAbQBtAG8AbgBpAGEAIAAoAFMATwBBACkAXAAiACwAIAAwADsAXABuACAAIABcACIAVQByAGUAYQAtAGEAbQBtAG8AbgBpAHUAbQAgAG4AaQB0AHIAYQB0AGUAIAAoAFUAQQBOACkAXAAiACwAIAAwAC4AMwA1ADsAXABuACAAIABcACIAQQBtAG0AbwBuAGkAdQBtACAAbgBpAHQAcgBhAHQAZQAgACgAQQBOACkAXAAiACwAIAAwADsAXABuACAAIABcACIAQwBhAGwAYwBpAHUAbQAgAGEAbQBtAG8AbgBpAHUAbQAgAG4AaQB0AHIAYQB0AGUAIAAoAEMAQQBOACkAXAAiACwAIAAwADsAXABuACAAIABcACIAQQBtAG0AbwBuAGkAdQBtACAAUwB1AGwAZgBhAHQAZQBcACIALAAgADAAOwBcAG4AIAAgAFwAIgBDAGEAbABjAGkAdQBtACAATgBpAHQAcgBhAHQAZQBcACIALAAgADAAXABuACAAIAB9ACwAIAByACwAIABjACkAXABuACkAKQApADsAXABuAFwAbgBGAGUAcgB0AGkAbABpAHMAZQByAF8ARgByAGEAYwB0AGkAbwBuAFUAcgBlAGE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TAG8AdQByAGMAZQAgAHIAZQBnAGkAbwBuAHMAIABmAG8AcgAgAHUAcgBlAGEAIABhAG4AZAAgAGEAbQBtAG8AbgBpAGEAXABuAD0APQA9AD0APQA9AD0APQA9AD0APQA9AD0APQA9AD0APQA9AD0APQA9AD0APQA9AD0APQA9AD0APQA9AD0APQA9AD0APQA9AD0APQA9AD0APQA9AD0APQA9AD0APQA9AD0APQA9AD0APQA9AD0APQA9AD0APQA9AD0APQA9AD0APQA9AD0APQA9AD0APQA9AD0APQA9AD0AXABuACoALwBcAG4AXABuAEYAZQByAHQAaQBsAGkAcwBlAHIAXwBVAHIAZQBhAEEAbQBtAG8AbgBpAGEAUwBvAHUAcgBjAGUAUgBlAGcAaQBvAG4AcwBfAFQAaQB0AGwAZQBcAG4APQBMAEEATQBCAEQAQQAoAFwAIgBTAG8AdQByAGMAZQAgAHIAZQBnAGkAbwBuAHMAIABmAG8AcgAgAHUAcgBlAGEAIABhAG4AZAAgAGEAbQBtAG8AbgBpAGEAXAAiACkAOwBcAG4AXABuAEYAZQByAHQAaQBsAGkAcwBlAHIAXwBVAHIAZQBhAEEAbQBtAG8AbgBpAGEAUwBvAHUAcgBjAGUAUgBlAGcAaQBvAG4AcwBfAFMAbwB1AHIAYwBlAFwAbg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EYAZQByAHQAaQBsAGkAcwBlAHIAXwBVAHIAZQBhAEEAbQBtAG8AbgBpAGEAUwBvAHUAcgBjAGUAUgBlAGcAaQBvAG4AcwBfAEQAYQB0AGEAXABuAD0ATABBAE0AQgBEAEEAKABcAG4AIABNAEEASwBFAEEAUgBSAEEAWQAoADUALAAgADEALABcAG4AIABMAEEATQBCAEQAQQAoAHIALABjACwAXABuACAAIABJAE4ARABFAFgAKAB7AFwAbgAgACAAXAAiAFMAbwB1AHIAYwBlAFwAIgA7AFwAbgAgACAAXAAiAEcAbABvAGIAYQBsAFwAIgA7AFwAbgAgACAAXAAiAEMAYQBuAGEAZABhAFwAIgA7AFwAbgAgACAAXAAiAEMAaABpAG4AYQBcACIAOwBcAG4AIAAgAFwAIgBZAGUAbQBlAG4AXAAiAFwAbgAgACAAfQAsACAAcgAsACAAYwApAFwAbgApACkAKQA7AFwAbgBcAG4ALwAqAFwAbgA9AD0APQA9AD0APQA9AD0APQA9AD0APQA9AD0APQA9AD0APQA9AD0APQA9AD0APQA9AD0APQA9AD0APQA9AD0APQA9AD0APQA9AD0APQA9AD0APQA9AD0APQA9AD0APQA9AD0APQA9AD0APQA9AD0APQA9AD0APQA9AD0APQA9AD0APQA9AD0APQA9AD0APQA9AD0APQA9AFwAbgBCAHIAYQBuAGQAZQBkACAAZgBlAHIAdABpAGwAaQBzAGUAcgAgAHAAcgBvAGQAdQBjAHQAcwBcAG4APQA9AD0APQA9AD0APQA9AD0APQA9AD0APQA9AD0APQA9AD0APQA9AD0APQA9AD0APQA9AD0APQA9AD0APQA9AD0APQA9AD0APQA9AD0APQA9AD0APQA9AD0APQA9AD0APQA9AD0APQA9AD0APQA9AD0APQA9AD0APQA9AD0APQA9AD0APQA9AD0APQA9AD0APQA9AD0APQBcAG4AKgAvAFwAbgBcAG4ARgBlAHIAdABpAGwAaQBzAGUAcgBfAFAAcgBvAGQAdQBjAHQAcwBfAFQAaQB0AGwAZQBcAG4APQBMAEEATQBCAEQAQQAoACgAXAAiAEIAcgBhAG4AZABlAGQAIABmAGUAcgB0AGkAbABpAHMAZQByACAAcAByAG8AZAB1AGMAdABzACAAYQBuAGQAIAB0AGgAZQBpAHIAIABjAGgAZQBtAGkAYwBhAGwAIABjAG8AbQBwAG8AcwBpAHQAaQBvAG4AXAAiACkAKQA7AFwAbgBcAG4ARgBlAHIAdABpAGwAaQBzAGUAcgBfAFAAcgBvAGQAdQBjAHQAcwBfAFMAbwB1AHIAYwBlAFwAbgA9AEwAQQBNAEIARABBACgAKABcACIAXAAiACkAKQA7AFwAbgBcAG4ARgBlAHIAdABpAGwAaQBzAGUAcgBfAFAAcgBvAGQAdQBjAHQAcwBfAEQAYQB0AGEAMQBcAG4APQBMAEEATQBCAEQAQQAoAFwAbgAgAE0AQQBLAEUAQQBSAFIAQQBZACgAMgA0ACwAIAAzADIALABcAG4AIABMAEEATQBCAEQAQQAoAHIALABjACwAXABuACAAIABJAE4ARABFAFgAKAB7AFwAbgBcAG4AXAAiAEkAbgBjAGwAdQBkAGUAIABvAHIAIABlAHgAYwBsAHUAZABlAFwAIgAsAFwAIgBOAG8AdABlAHMAXAAiACwAXAAiAEMAbwBtAHAAYQBuAHkAXAAiACwAXAAiAFAAcgBvAGQAdQBjAHQAIABOAGEAbQBlAFwAIgAsAFwAIgBMAGkAbgBrAFwAIgAsAFwAIgBEAGEAdABhACAAcwBvAHUAcgBjAGUAXAAiACwAXAAiAFMAbwB1AHIAYwBlACAAaQBtAGEAZwBlAHMAXAAiACwAXAAiAFUAbgBpAHQAXAAiACwAXAAiAEQAZQBuAHMAaQB0AHkAIAAoAGwAIAB0AG8AIABrAGcAKQBcACIALABcACIAVQByAGUAYQAgAHMAbwB1AHIAYwBlAFwAIgAsAFwAIgBBAG0AbQBvAG4AaQBhACAAcwBvAHUAcgBjAGUAXAAiACwAXAAiAEkAbgBnAHIAZQBkAGkAZQBuAHQAIAAxAFwAIgAsAFwAIgBJAG4AZwByAGUAZABpAGUAbgB0ACAAMQAgAHAAZQByAGMAZQBuAHQAXAAiACwAXAAiAEkAbgBnAHIAZQBkAGkAZQBuAHQAIAAyAFwAIgAsAFwAIgBJAG4AZwByAGUAZABpAGUAbgB0ACAAMgAgAHAAZQByAGMAZQBuAHQAXAAiACwAXAAiAEkAbgBnAHIAZQBkAGkAZQBuAHQAIAAzAFwAIgAsAFwAIgBJAG4AZwByAGUAZABpAGUAbgB0ACAAMwAgAHAAZQByAGMAZQBuAHQAXAAiACwAXAAiAEkAbgBnAHIAZQBkAGkAZQBuAHQAIAA0AFwAIgAsAFwAIgBJAG4AZwByAGUAZABpAGUAbgB0ACAANAAgAHAAZQByAGMAZQBuAHQAXAAiACwAXAAiAEkAbgBnAHIAZQBkAGkAZQBuAHQAIAA1AFwAIgAsAFwAIgBJAG4AZwByAGUAZABpAGUAbgB0ACAANQAgAHAAZQByAGMAZQBuAHQAXAAiACwAXAAiAEkAbgBnAHIAZQBkAGkAZQBuAHQAIAA2AFwAIgAsAFwAIgBJAG4AZwByAGUAZABpAGUAbgB0ACAANgAgAHAAZQByAGMAZQBuAHQAXAAiACwAXAAiAEkAbgBnAHIAZQBkAGkAZQBuAHQAIAA3AFwAIgAsAFwAIgBJAG4AZwByAGUAZABpAGUAbgB0ACAANwAgAHAAZQByAGMAZQBuAHQAXAAiACwAXAAiAEkAbgBnAHIAZQBkAGkAZQBuAHQAIAA4AFwAIgAsAFwAIgBJAG4AZwByAGUAZABpAGUAbgB0ACAAOAAgAHAAZQByAGMAZQBuAHQAXAAiACwAXAAiAEkAbgBnAHIAZQBkAGkAZQBuAHQAIAA5AFwAIgAsAFwAIgBJAG4AZwByAGUAZABpAGUAbgB0ACAAOQAgAHAAZQByAGMAZQBuAHQAXAAiACwAXAAiAEkAbgBnAHIAZQBkAGkAZQBuAHQAIAAxADAAXAAiACwAXAAiAEkAbgBnAHIAZQBkAGkAZQBuAHQAIAAxADAAIABwAGUAcgBjAGUAbgB0AFwAIgAsAFwAIgBFAE4ARAAgAFIATwBXAFwAIgA7AFwAbgBcACIASQBuAGMAbAB1AGQAZQBcACIALABcACIAXAAiACwAXAAiAEMAYQBtAHAAYgBlAGwAbABzACAAZgBlAHIAdABpAGwAaQBzAGUAcgBzACAAQQB1AHMAdAByAGEAbABpAGEAXAAiACwAXAAiAEEAcQB1AGEAIABGAGkAbgBpAHMAaABcACIALABcACIAQQBxAHUAYQAgAEYAaQBuAGkAcwBoACAALQAgAEMAYQBtAHAAYgBlAGwAbABzACAARgBlAHIAdABpAGwAaQBzAGUAcgBzACAAQQB1AHMAdAByAGEAbABhAHMAaQBhAFwAIgAsAFwAIgBXAGUAYgBzAGkAdABlAFwAIgAsAFwAIgBcACIALABcACIATABcACIALAAxAC4AMgA2ACwAXAAiAFwAIgAsAFwAIgBcACIALABcACIAUABvAHQAYQBzAHMAaQB1AG0AIAAtACAARwBlAG4AZQByAGkAYwBcACIALAAwAC4AMgAyADUALABcACIAUABoAG8AcwBwAGgAbwByAHUAcwAgAC0AIABHAGUAbgBlAHIAaQBjAFwAIgAsADAALgAwADQALABcACIATgBpAHQAcgBvAGcAZQBuACAALQAgAEcAZQBuAGUAcgBpAGMAXAAiACwAMAAuADAAMgA2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RwByAG8AdwBcACIALABcACIAQQBxAHUAYQAgAEcAcgBvAHcAIAAtACAAQwBhAG0AcABiAGUAbABsAHMAIABGAGUAcgB0AGkAbABpAHMAZQByAHMAIABBAHUAcwB0AHIAYQBsAGEAcwBpAGEAXAAiACwAXAAiAFcAZQBiAHMAaQB0AGUAXAAiACwAXAAiAFwAIgAsAFwAIgBMAFwAIgAsADEALgAyADYALABcACIAXAAiACwAXAAiAFwAIgAsAFwAIgBQAG8AdABhAHMAcwBpAHUAbQAgAC0AIABHAGUAbgBlAHIAaQBjAFwAIgAsADAALgAxADAANQAsAFwAIgBOAGkAdAByAG8AZwBlAG4AIAAtACAARwBlAG4AZQByAGkAYwBcACIALAAwAC4AMAA5ADYALABcACIAUABoAG8AcwBwAGgAbwByAHUAcwAgAC0AIABHAGUAbgBlAHIAaQBjAFwAIgAsADAALgAwADUALABcACIAXAAiACwAXAAiAFwAIg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OAGkAdAByAG8AIABBAE4AXAAiACwAXAAiAEEAcQB1AGEAIABOAGkAdAByAG8AIABBAE4AIAAtACAAQwBhAG0AcABiAGUAbABsAHMAIABGAGUAcgB0AGkAbABpAHMAZQByAHMAIABBAHUAcwB0AHIAYQBsAGEAcwBpAGEAXAAiACwAXAAiAFcAZQBiAHMAaQB0AGUALgAgAEIAcgBvAGMAaAB1AHIAZQBcACIALABcACIAXAAiACwAXAAiAEwAXAAiACwAMQAuADIANAAsAFwAIgBcACIALABcACIAXAAiACwAXAAiAE4AaQB0AHIAbwBnAGUAbgAgAC0AIABBAG0AbQBvAG4AaQBhAGMAYQBsAFwAIgAsADAALgAyADIAMw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BAHEAdQBhACAATgBpAHQAcgBvAEMAYQBsAFwAIgAsAFwAIgBBAHEAdQBhACAATgBpAHQAcgBvAEMAYQBsACAALQAgAEMAYQBtAHAAYgBlAGwAbABzACAARgBlAHIAdABpAGwAaQBzAGUAcgBzACAAQQB1AHMAdAByAGEAbABhAHMAaQBhAFwAIgAsAFwAIgBXAGUAYgBzAGkAdABlACAAUwBEAFMAXAAiACwAXAAiAFwAIgAsAFwAIgBMAFwAIgAsADEALgA1ACwAXAAiAFwAIgAsAFwAIgBcACIALABcACIAQwBhAGwAYwBpAHUAbQAgAC0AIABHAGUAbgBlAHIAaQBjAFwAIgAsADAALgAxADYAMgAsAFwAIgBOAGkAdAByAG8AZwBlAG4AIAAtACAATgBpAHQAcgBhAHQAZQBcACIALAAwAC4AMQAz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EMAYQBtAHAAYgBlAGwAbABzACAAZgBlAHIAdABpAGwAaQBzAGUAcgBzACAAQQB1AHMAdAByAGEAbABpAGEAXAAiACwAXAAiAEEAcQB1AGEAIABOAGkAdAByAG8AQwBhAGwAIAAoAFYASQApAFwAIgAsAFwAIgBBAHEAdQBhACAATgBpAHQAcgBvAEMAYQBsACAAKABWAEkAKQ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4ADc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BAHEAdQBhACAATgBpAHQAcgBvAEMAYQBsACAAVQBsAHQAaQBtAGEAdABlAFwAIgAsAFwAIgBBAHEAdQBhACAATgBpAHQAcgBvAEMAYQBsACAAVQBsAHQAaQBtAGEAdABlACAALQAgAEMAYQBtAHAAYgBlAGwAbABzACAARgBlAHIAdABpAGwAaQBzAGUAcgBzACAAQQB1AHMAdAByAGEAbABhAHMAaQBhAFwAIgAsAFwAIgBXAGUAYgBzAGkAdABlACAAUwBEAFMAXAAiACwAXAAiAFwAIgAsAFwAIgBMAFwAIgAsADEALgA1ACwAXAAiAFwAIgAsAFwAIgBcACIALABcACIAQwBhAGwAYwBpAHUAbQAgAC0AIABHAGUAbgBlAHIAaQBjAFwAIgAsADAALgAxADgAMwAsAFwAIgBOAGkAdAByAG8AZwBlAG4AIAAgAC0AIABOAGkAdAByAGEAdABlAFwAIgAsADAALgAxADMAM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UwB0AGEAcgB0AFwAIgAsAFwAIgBBAHEAdQBhACAAUwB0AGEAcgB0ACAALQAgAEMAYQBtAHAAYgBlAGwAbABzACAARgBlAHIAdABpAGwAaQBzAGUAcgBzACAAQQB1AHMAdAByAGEAbABhAHMAaQBhAFwAIgAsAFwAIgBXAGUAYgBzAGkAdABlACAAUwBEAFMAXAAiACwAXAAiAFwAIgAsAFwAIgBMAFwAIgAsADEALgAyADUALABcACIAXAAiACwAXAAiAFwAIgAsAFwAIgBOAGkAdAByAG8AZwBlAG4AIAAtACAARwBlAG4AZQByAGkAYwBcACIALAAwAC4AMQAwADMALABcACIAUABoAG8AcwBwAGgAbwByAHUAcwAgAC0AIABHAGUAbgBlAHIAaQBjAFwAIgAsADAALgAxACwAXAAiAFAAbwB0AGEAcwBzAGkAdQBtACAALQAgAEcAZQBuAGUAcgBpAGMAXAAiACwAMAAuADAAMwA0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VABoAGkAbwAtAEMAbwBtAHAAbABlAHQAZQBcACIALABcACIAQQBxAHUAYQAgAFQAaABpAG8ALQBDAG8AbQBwAGwAZQB0AGUAIAAtACAAQwBhAG0AcABiAGUAbABsAHMAIABGAGUAcgB0AGkAbABpAHMAZQByAHMAIABBAHUAcwB0AHIAYQBsAGEAcwBpAGEAXAAiACwAXAAiAFcAZQBiAHMAaQB0AGUAIABTAEQAUwBcACIALABcACIAXAAiACwAXAAiAEwAXAAiACwAMQAuADQAMwAsAFwAIgBcACIALABcACIAXAAiACwAXAAiAFAAbwB0AGEAcwBzAGkAdQBtACAALQAgAEcAZQBuAGUAcgBpAGMAXAAiACwAMAAuADIAMgA1ACwAXAAiAFAAaABvAHMAcABoAG8AcgB1AHMAIAAtACAARwBlAG4AZQByAGkAYwBcACIALAAwAC4AMAAzADgALABcACIATgBpAHQAcgBvAGcAZQBuACAALQAgAEcAZQBuAGUAcgBpAGMAXAAiACwAMAAuADAAMgA1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VABoAGkAbwAtAEUAbQBlAHIAZwBlAFwAIgAsAFwAIgBBAHEAdQBhACAAVABoAGkAbwAtAEUAbQBlAHIAZwBlACAALQAgAEMAYQBtAHAAYgBlAGwAbABzACAARgBlAHIAdABpAGwAaQBzAGUAcgBzACAAQQB1AHMAdAByAGEAbABhAHMAaQBhAFwAIgAsAFwAIgBXAGUAYgBzAGkAdABlACAAUwBEAFMAXAAiACwAXAAiAFwAIgAsAFwAIgBMAFwAIgAsADEALgAyADkALABcACIAXAAiACwAXAAiAFwAIgAsAFwAIgBOAGkAdAByAG8AZwBlAG4AIAAtACAARwBlAG4AZQByAGkAYwBcACIALAAwAC4AMQAwADUALABcACIAUABoAG8AcwBwAGgAbwByAHUAcwAgAC0AIABHAGUAbgBlAHIAaQBjAFwAIgAsADAALgAwADkANAAsAFwAIgBQAG8AdABhAHMAcwBpAHUAbQAgAC0AIABHAGUAbgBlAHIAaQBjAFwAIgAsADAALgAwADQALABcACIAUwB1AGwAZgB1AHIAIAAtACAARwBlAG4AZQByAGkAYwBcACIALAAwAC4AMAAz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GAGwAbwB1AHIAaQBzAGgAXAAiACwAXAAiAEEAcQB1AGEAIABUAGgAaQBvAC0ARgBsAG8AdQByAGkAcwBoACAALQAgAEMAYQBtAHAAYgBlAGwAbABzACAARgBlAHIAdABpAGwAaQBzAGUAcgBzACAAQQB1AHMAdAByAGEAbABhAHMAaQBhAFwAIgAsAFwAIgBXAGUAYgBzAGkAdABlACAAUwBEAFMAXAAiACwAXAAiAFwAIgAsAFwAIgBMAFwAIgAsADEALgAzADIALABcACIAXAAiACwAXAAiAFwAIgAsAFwAIgBQAG8AdABhAHMAcwBpAHUAbQAgAC0AIABHAGUAbgBlAHIAaQBjAFwAIgAsADAALgAxADAAOAAsAFwAIgBOAGkAdAByAG8AZwBlAG4AIAAtACAARwBlAG4AZQByAGkAYwBcACIALAAwAC4AMAA5ADUALABcACIAUwB1AGwAZgB1AHIAIAAtACAARwBlAG4AZQByAGkAYwBcACIALAAwAC4AMAA4ADEALABcACIAUABoAG8AcwBwAGgAbwByAHUAcwAgAC0AIABHAGUAbgBlAHIAaQBjAFwAIgAsADAALgAwADQANw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EAcwBjAG8AIABGAG8AbAAgAFAAbAB1AHMAXAAiACwAXAAiAEEAcwBjAG8AIABGAG8AbAAgAFAAbAB1AHMAIAAtACAAQwBhAG0AcABiAGUAbABsAHMAIABGAGUAcgB0AGkAbABpAHMAZQByAHMAIABBAHUAcwB0AHIAYQBsAGEAcwBpAGEAXAAiACwAXAAiAFwAIgAsAFwAIgBPAHIAZwBhAG4AaQBj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BAHMAYwBvACAAUABsAHUAcwBcACIALABcACIAQQBzAGMAbwAgAFAAbAB1AHMAIAAtACAAQwBhAG0AcABiAGUAbABsAHMAIABGAGUAcgB0AGkAbABpAHMAZQByAHMAIABBAHUAcwB0AHIAYQBsAGEAcwBpAGEAXAAiACwAXAAiAFwAIgAsAFwAIgBPAHIAZwBhAG4AaQBj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BAHMAYwBvACAAUgBoAGkAegBvACAAUABsAHUAcwBcACIALABcACIAQQBzAGMAbwAgAFIAaABpAHoAbwAgAFAAbAB1AHMAIAAtACAAQwBhAG0AcABiAGUAbABsAHMAIABGAGUAcgB0AGkAbABpAHMAZQByAHMAIABBAHUAcwB0AHIAYQBsAGEAcwBpAGEAXAAiACwAXAAiAFwAIgAsAFwAIgBCAGkAbwBzAHQAaQBtAHUAbABhAG4AdA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gBlAG4AZQBmAGkAdAAgAFAAWgBcACIALABcACIAQgBlAG4AZQBmAGkAdAAgAFAAWg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CAALQAgAEEAYgBzAGUAbgB0ACAAaQBuAGcAcgBlAGQAaQBlAG4AdABzACAAXAB1ADAAMAAzAGMAIAAyACUAXAAiACwAXAAiAEEAbQBvAHUAbgB0ACAAbwBmACAAdQByAGUAYQAgAGMAYQBsAGMAdQBsAGEAdABlAGQAIABmAHIAbwBtACAAdQByAGUAYQAgAG4AaQB0AHIAbwBnAGUAbgAgAGEAbQBvAHUAbgB0AFwAIgAsAFwAIgBDAGEAbQBwAGIAZQBsAGwAcwAgAGYAZQByAHQAaQBsAGkAcwBlAHIAcwAgAEEAdQBzAHQAcgBhAGwAaQBhAFwAIgAsAFwAIgBCAG8AbwBzAHQALQBJAHQAXAAiACwAXAAiAEIAbwBvAHMAdAAtAEkAdAAgAC0AIABDAGEAbQBwAGIAZQBsAGwAcwAgAEYAZQByAHQAaQBsAGkAcwBlAHIAcwAgAEEAdQBzAHQAcgBhAGwAYQBzAGkAYQBcACIALABcACIAVwBlAGIAcwBpAHQAZQAgAFMARABTAFwAIgAsAFwAIgBcACIALABcACIAawBnAFwAIgAsADEALABcACIAXAAiACwAXAAiAFwAIgAsAFwAIgBVAHIAZQBhAFwAIgAsADAALgA1ADIAMQA3ADMAOQAxADMALABcACIAUABvAHQAYQBzAHMAaQB1AG0AIAAtACAARwBlAG4AZQByAGkAYwBcACIALAAwAC4AMAA4ACwAXAAiAFMAdQBsAGYAdQByACAALQAgAEcAZQBuAGUAcgBpAGMAXAAiACwAMAAuADAANQAzACwAXAAiAFAAaABvAHMAcABoAG8AcgB1AHMAIAAtACAARwBlAG4AZQByAGkAYwBcACIALAAwAC4AMAA1ADIALABcACIATQBhAGcAbgBlAHMAaQB1AG0AXAAiACwAMAAuADAAMQAzACwAXAAiAFoAaQBuAGMAXAAiACwAMAAuADAAMAAyACwAXAAiAE0AYQBuAGcAYQBuAGUAcwBlAFwAIgAsADAALgAwADAAMwA1ACwAXAAiAEkAcgBvAG4AXAAiACwAMAAuADAAMAAxADMALABcACIAQwBvAHAAcABlAHIAXAAiACwAMAAuADAAMAAwADcALABcACIAQgBvAHIAbwBuAFwAIgAsADAALgAwADAAMAA3ACwAXAAiAEUATgBEACAAUgBPAFcAXAAiADsAXABuAFwAIgBFAHgAYwBsAHUAZABlACAALQAgAE4AbwB0ACAAcgBlAGwAZQB2AGEAbgB0AFwAIgAsAFwAIgBcACIALABcACIAQwBhAG0AcABiAGUAbABsAHMAIABmAGUAcgB0AGkAbABpAHMAZQByAHMAIABBAHUAcwB0AHIAYQBsAGkAYQBcACIALABcACIAQgBvAHIAbwBwAGwAdQBzAFwAIgAsAFwAIgBCAG8AcgBvAHAAbAB1AHM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cgBlAHYAaQBzAG8AbAAgAFIAYQBuAGcAZQBcACIALABcACIAQgByAGUAdgBpAFMAbwBsACAAUgBhAG4AZwBl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CAHIAZQB4AGkAbAAgAEwAaQBuAGUAXAAiACwAXAAiAEIAcgBlAHgAaQBsACAATABpAG4AZQ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gByAG8AbgB6AGUAXAAiACwAXAAiAEIAcgBvAG4AegBlACAALQAgAEMAYQBtAHAAYgBlAGwAbABzACAARgBlAHIAdABpAGwAaQBzAGUAcgBzACAAQQB1AHMAdAByAGEAbABhAHMAaQBhAFwAIgAsAFwAIgBXAGUAYgBzAGkAdABlAFwAIgAsAFwAIgBcACIALABcACIAawBnAFwAIgAsAFwAIgBcACIALABcACIAXAAiACwAXAAiAFwAIgAsAFwAIgBNAHUAcgBpAGEAdABlACAAbwBmACAAUABvAHQAYQBzAGgAIAAoAE0ATwBQACkAXAAiACwAMAAuADIAMwAyACwAXAAiAE4AaQB0AHIAbwBnAGUAbgAgAC0AIABHAGUAbgBlAHIAaQBjAFwAIgAsADAALgAxADcALABcACIAUwB1AGwAZgB1AHIAIAAtACAARwBlAG4AZQByAGkAYwBcACIALAAwAC4AMAAwADUALABcACIATQBhAGcAbgBlAHMAaQB1AG0AXAAiACwAMAAuADAAMAAyADQALABcACIAUABoAG8AcwBwAGgAbwByAHUAcwAgAC0AIABHAGUAbgBlAHIAaQBjAFwAIgAsADAALgAwADAAMAA0ACwAXAAiAFwAIgAsAFwAIgBcACIALABcACIAXAAiACwAXAAiAFwAIgAsAFwAIgBcACIALABcACIAXAAiACwAXAAiAFwAIgAsAFwAIgBcACIALABcACIAXAAiACwAXAAiAFwAIgAsAFwAIgBFAE4ARAAgAFIATwBXAFwAIgA7AFwAbgBcACIARQB4AGMAbAB1AGQAZQAgAC0AIABBAGIAcwBlAG4AdAAgAGkAbgBnAHIAZQBkAGkAZQBuAHQAcwAgAFwAdQAwADAAMwBlACAAMgAlAFwAIgAsAFwAIgBcACIALABcACIAQwBhAG0AcABiAGUAbABsAHMAIABmAGUAcgB0AGkAbABpAHMAZQByAHMAIABBAHUAcwB0AHIAYQBsAGkAYQBcACIALABcACIAQgB1AGQALQBXAGkAcwBlAHIAIABEAHIAeQBcACIALABcACIAQgB1AGQALQBXAGkAcwBlAHIAIABEAHIAeQAgAC0AIABDAGEAbQBwAGIAZQBsAGwAcwAgAEYAZQByAHQAaQBsAGkAcwBlAHIAcwAgAEEAdQBzAHQAcgBhAGwAYQBzAGkAYQBcACIALABcACIAXAAiACwAXAAiAFwAIgAsAFwAIgBrAGcAXAAiACwAXAAiAFwAIgAsAFwAIgBcACIALABcACIAXAAiACwAXAAiAFMAdQBsAGYAdQByACAALQAgAEcAZQBuAGUAcgBpAGMAXAAiACwAMAAuADAAOQA0ACwAXAAiAE0AYQBnAG4AZQBzAGkAdQBtAFwAIgAsADAALgAwADYALABcACIAQgBvAHIAbwBuAFwAIgAsADAALgAwADQANQAsAFwAIgBaAGkAbgBjAFwAIgAsADAALgAwADIANw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MAYQBsAGIAaQB0ACAAQwBcACIALABcACIAQwBhAGwAYgBpAHQAIABDACAALQAgAEMAYQBtAHAAYgBlAGwAbABzACAARgBlAHIAdABpAGwAaQBzAGUAcgBzACAAQQB1AHMAdAByAGEAbABhAHMAaQBhAFwAIgAsAFwAIgBcACIALABcACIATgBvAHQAIABmAGUAcgB0AGkAbABpAHMAZQByACAALQAgAEQAbwAgAG4AbwB0ACAAaQBuAGMAbAB1AGQAZQBcACIALABcACIAT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MAYQBsAGMAaQB1AG0AIAAxADcANQBcACIALABcACIAQwBhAGwAYwBpAHUAbQAgADEANwA1ACAALQAgAEMAYQBtAHAAYgBlAGwAbABzACAARgBlAHIAdABpAGwAaQBzAGUAcgBzACAAQQB1AHMAdAByAGEAbABhAHMAaQBhAFwAIgAsAFwAIgBcACIALABcACIATgBvAHQAIABmAGUAcgB0AGkAbABpAHMAZQByACAALQAgAEQAbwAgAG4AbwB0ACAAaQBuAGMAbAB1AGQAZQBcACIALABcACIAT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DAGEAbABQAGgAbwBzAFwAIgAsAFwAIgBDAGEAbABwAGgAbwBzACAALQAgAEMAYQBtAHAAYgBlAGwAbABzACAARgBlAHIAdABpAGwAaQBzAGUAcgBzACAAQQB1AHMAdAByAGEAbABhAHMAaQBhAFwAIgAsAFwAIgBXAGUAYgBzAGkAdABlAFwAIgAsAFwAIgBcACIALABcACIATABcACIALAAxAC4AMgA4ADUALABcACIAXAAiACwAXAAiAFwAIgAsAFwAIgBQAGgAbwBzAHAAaABvAHIAdQBzACAALQAgAEcAZQBuAGUAcgBpAGMAXAAiACwAMAAuADEAMwA1ACwAXAAiAEMAYQBsAGMAaQB1AG0AIAAtACAARwBlAG4AZQByAGkAYwBcACIALAAwAC4AMAA0ACwAXAAiAFwAIgAsAFwAIgBcACIALABcACIAXAAiACwAXAAiAFwAIgAsAFwAIgBcACIALABcACIAXAAiACwAXAAiAFwAIgAsAFwAIgBcACIALABcACIAXAAiACwAXAAiAFwAIgAsAFwAIgBcACIALABcACIAXAAiACwAXAAiAFwAIgAsAFwAIgBcACIALABcACIAXAAiACwAXAAiAFwAIgAsAFwAIgBFAE4ARAAgAFIATwBXAFwAIgBcAG4AIAAgAH0ALAAgAHIALAAgAGMAKQBcAG4AKQApACkAOwBcAG4AXABuAC8AKgBcAG4ARgBlAHIAdABpAGwAaQBzAGUAcgBfAFAAcgBvAGQAdQBjAHQAcwBfAEQAYQB0AGEAMgBcAG4APQBMAEEATQBCAEQAQQAoAFwAbgAgAE0AQQBLAEUAQQBSAFIAQQBZACgAMgAxACwAIAAyADgALABcAG4AIABMAEEATQBCAEQAQQAoAHIALABjACwAXABuACAAIABJAE4ARABFAFgAKAB7AFwAbgBcACIASQBuAGMAbAB1AGQAZQBcACIALABcACIANQAwAC8ANQAwACAAbgBpAHQAcgBhAHQAZQAgAGEAbgBkACAAYQBtAG0AbwBuAGkAYQBjAGEAbAAgAG4AaQB0AHIAbwBnAGUAbgAgACgAYQBtAG0AbwBuAGkAdQBtACAAbgBpAHQAcgBhAHQAZQApAFwAIgAsAFwAIgBDAGEAbQBwAGIAZQBsAGwAcwAgAGYAZQByAHQAaQBsAGkAcwBlAHIAcwAgAEEAdQBzAHQAcgBhAGwAaQBhAFwAIgAsAFwAIgBDAG8AbQBwAGEAcwBzAFwAIgAsAFwAIgBDAG8AbQBwAGEAcwBzACAALQAgAEMAYQBtAHAAYgBlAGwAbABzACAARgBlAHIAdABpAGwAaQBzAGUAcgBzACAAQQB1AHMAdAByAGEAbABhAHMAaQBhAFwAIgAsAFwAIgBcACIALABcACIAXAAiACwAXAAiAGsAZwBcACIALAAxACwAXAAiAFwAIgAsAFwAIgBcACIALABcACIATgBpAHQAcgBvAGcAZQBuACAALQAgAEEAbQBtAG8AbgBpAGEAYwBhAGwAXAAiACwAMAAuADAANwA1ACwAXAAiAE4AaQB0AHIAbwBnAGUAbgAgAC0AIABOAGkAdAByAGEAdABlAFwAIgAsADAALgAwADcANQAsAFwAIgBQAG8AdABhAHMAcwBpAHUAbQAgAC0AIABHAGUAbgBlAHIAaQBjAFwAIgAsADAALgAxADIANQAsAFwAIgBQAGgAbwBzAHAAaABvAHIAdQBzAC0ARwBlAG4AZQByAGkAYwBcACIALAAwAC4AMAA2ADUALABcACIAUwB1AGwAZgB1AHIAIAAtACAARwBlAG4AZQByAGkAYwBcACIALAAwAC4AMAA2ACwAXAAiAFwAIgAsAFwAIgBcACIALABcACIAXAAiACwAXAAiAFwAIgAsAFwAIgBcACIALABcACIAXAAiACwAXAAiAFwAIgAsAFwAIgBcACIALABcACIAXAAiACwAXAAiAFwAIgAsAFwAIgBFAE4ARAAgAFIATwBXAFwAIgA7AFwAbgBcACIASQBuAGMAbAB1AGQAZQAgAC0AIABBAGIAcwBlAG4AdAAgAGkAbgBnAHIAZQBkAGkAZQBuAHQAcwAgAFwAdQAwADAAMwBjACAAMgAlAFwAIgAsAFwAIgBDAG8AbgB0AHIAbwBsAGwAZQBkACAAcgBlAGwAZQBhAHMAZQAgAE4AIAB0AHIAZQBhAHQAZQBkACAAYQBzACAAZwBlAG4AZQByAGkAYwAgAEEAbQBvAHUAbgB0ACAAbwBmACAAdQByAGUAYQAgAGMAYQBsAGMAdQBsAGEAdABlAGQAIABmAHIAbwBtACAAdQByAGUAYQAgAG4AaQB0AHIAbwBnAGUAbgAgAGEAbQBvAHUAbgB0AFwAIgAsAFwAIgBDAGEAbQBwAGIAZQBsAGwAcwAgAGYAZQByAHQAaQBsAGkAcwBlAHIAcwAgAEEAdQBzAHQAcgBhAGwAaQBhAFwAIgAsAFwAIgBDAG8AUgBvAE4AIAAxADIALQAwAC0AMQAwAFwAIgAsAFwAIgBDAG8AcgBvAG4AIAAxADIALQAwAC0AMQAwACAALQAgAEMAYQBtAHAAYgBlAGwAbABzACAARgBlAHIAdABpAGwAaQBzAGUAcgBzACAAQQB1AHMAdAByAGEAbABhAHMAaQBhAFwAIgAsAFwAIgBXAGUAYgBzAGkAdABlACAAUwBEAFMAIABCAHIAbwBjAGgAdQByAGUAXAAiACwAXAAiAFwAIgAsAFwAIgBMAFwAIgAsADEALgAyADEANQAsAFwAIgBcACIALABcACIAXAAiACwAXAAiAFUAcgBlAGEAXAAiACwAMAAuADEAOQA1ADYANQAyADEANwA0ACwAXAAiAFAAbwB0AGEAcwBzAGkAdQBtACAALQAgAEcAZQBuAGUAcgBpAGMAXAAiACwAMAAuADEALABcACIATgBpAHQAcgBvAGcAZQBuACAALQAgAEcAZQBuAGUAcgBpAGMAXAAiACwAMAAuADAAMwAsAFwAIgBCAG8AcgBvAG4AXAAiACwAMAAuADAAMAA1ACwAXAAiAFwAIgAsAFwAIgBcACIALABcACIAXAAiACwAXAAiAFwAIgAsAFwAIgBcACIALABcACIAXAAiACwAXAAiAFwAIgAsAFwAIgBcACIALABcACIAXAAiACwAXAAiAFwAIgAsAFwAIgBcACIALABcACIAXAAiACwAXAAiAEUATgBEACAAUgBPAFcAXAAiADsAXABuAFwAIgBJAG4AYwBsAHUAZABlAFwAIgAsAFwAIgBVAHMAZQBkACAAUwB1AGwAcABoAGEAdABlACAAbwBmACAAQQBtAG0AbwBuAGkAYQAgAGEAbgBkACAAQQBtAG0AbwBuAGkAdQBtACAAbgBpAHQAcgBhAHQAZQAgAHYAYQBsAHUAZQBzACAAZgByAG8AbQAgAFMARABTAFwAIgAsAFwAIgBDAGEAbQBwAGIAZQBsAGwAcwAgAGYAZQByAHQAaQBsAGkAcwBlAHIAcwAgAEEAdQBzAHQAcgBhAGwAaQBhAFwAIgAsAFwAIgBNAGEAeABpAG0AdQBtACAAUQB1AGkAYwBrAC0ATgBcACIALABcACIATQBhAHgAaQBtAHUAbQAgAFEAdQBpAGMAawAtAE4AIAAtACAAQwBhAG0AcABiAGUAbABsAHMAIABGAGUAcgB0AGkAbABpAHMAZQByAHMAIABBAHUAcwB0AHIAYQBsAGEAcwBpAGEAXAAiACwAXAAiAFcAZQBiAHMAaQB0AGUAIABTAEQAUwBcACIALABcACIAXAAiACwAXAAiAGsAZwBcACIALAAxACwAXAAiAFwAIgAsAFwAIgBcACIALABcACIAUwB1AGwAcABoAGEAdABlACAAbwBmACAAYQBtAG0AbwBuAGkAYQBcACIALAAwAC4ANQA1ACwAXAAiAEEAbQBtAG8AbgBpAHUAbQAgAG4AaQB0AHIAYQB0AGUAXAAiACwAMAAuADM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EAYgBzAGUAbgB0ACAAaQBuAGcAcgBlAGQAaQBlAG4AdABzACAAXAB1ADAAMAAzAGUAIAAyACUAXAAiACwAXAAiAFwAIgAsAFwAIgBBAGcAcwB0AGEAXAAiACwAXAAiAEEAZwBTAHQAYQByACAATQBhAG4AZwBhAG4AZQBzAGUAXAAiACwAXAAiAEEAZwBTAHQAYQByACAATQBhAG4AZwBhAG4AZQBzAGUAIAB8ACAAVwBlAGwAYwBvAG0AZQAgAHQAbwAgAEEAZwBzAHQAYQByAFwAIgAsAFwAIgBMAGEAYgBlAGwAIABTAEQAUwBcACIALABcACIAXAAiACwAXAAiAEwAXAAiACwAMQAuADQANwAsAFwAIgBcACIALABcACIAXAAiACwAXAAiAE0AYQBuAGcAYQBuAGUAcwBlACAAbgBpAHQAcgBhAHQAZQBcACIALAAwAC4ANAA1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UwBMACAAVABlAGMAXAAiACwAXAAiAEMAcgBvAHAAIABCAG8AbwBzAHQAZQByACAAUABMAFUAUwBcACIALABcACIAaAB0AHQAcABzADoALwAvAHcAdwB3AC4AcwBsAHQAZQBjAC4AYwBvAG0ALgBhAHUALwBzAGwAdABlAGMALwBmAGEAYwB0AF8AcwBoAGUAZQB0AHMALwBTAEwAVABFAEMAXwBDAHIAbwBwAEIAbwBvAHMAdABlAHIAUABsAHUAcwAuAHAAZABmAFwAIgAsAFwAIgBCAHIAbwBjAGgAdQByAGUAIAB3AGUAYgBzAGkAdABlAFwAIgAsAFwAIgBcACIALABcACIATABcACIALAAxAC4AMwAxADkALABcACIAXAAiACwAXAAiAFwAIgAsAFwAIgBQAGgAbwBzAHAAaABvAHIAdQBzACAALQAgAEcAZQBuAGUAcgBpAGMAXAAiACwAMAAuADEANQAsAFwAIgBDAGEAbABjAGkAdQBtACAALQAgAEcAZQBuAGUAcgBpAGMAXAAiACwAMAAuADAANAAsAFwAIgBOAGkAdAByAG8AZwBlAG4AIAAtACAAQQBtAG0AbwBuAGkAYQBjAGEAbABcACIALAAwAC4AMAAyADkALABcACIATgBpAHQAcgBvAGcAZQBuACAALQAgAE4AaQB0AHIAYQB0AGUAXAAiACwAMAAuADAAMgAxACwAXAAiAFAAbwB0AGEAcwBzAGkAdQBtACAALQAgAEcAZQBuAGUAcgBpAGMAXAAiACwAMAAuADAAMgAxACwAXAAiAEMAbwBvAHAAZQByAFwAIgAsADAALgAwADAANQAsAFwAIgBaAGkAbgBjAFwAIgAsADAALgAwADAANAAsAFwAIgBNAGEAbgBnAGEAbgBlAHMAZQBcACIALAAwAC4AMAAwADQALABcACIATQBhAGcAbgBlAHMAaQB1AG0AXAAiACwAMAAuADAAMAAyACwAXAAiAFwAIgAsAFwAIgBcACIALABcACIARQBOAEQAIABSAE8AVwBcACIAOwBcAG4AXAAiAEkAbgBjAGwAdQBkAGUAXAAiACwAXAAiAEkAbgBnAHIAZQBkAGkAZQBuAHQAIABpAHMAIABhAGMAdAB1AGEAbABsAHkAIABhAG0AbQBvAG4AaQB1AG0AIABiAGkAYwBhAHIAYgBvAG4AYQB0AGUAIAB0AGgAZQAgAGUAbABlAG0AZQBuAHQAYQBsACAAYwBvAG0AcABvAHMAaQB0AGkAbwBuACAAaABhAHMAIAAxADcALgA3ACUAIABOAGkAdAByAG8AZwBlAG4AXAAiACwAXAAiAFIAaQBzAHMAbwAtAEMAaABlAG0AaQBjAGEAbABcACIALABcACIAQQBtAG0AbwBuAGkAdQBtACAAQgBpAGMAYQByAGIAbwBuAGEAdABlAFwAIgAsAFwAIgBBAG0AbQBvAG4AaQB1AG0AIABCAGkAYwBhAHIAYgBvAG4AYQB0AGUAIABIAGkAZwBoAC0AUQB1AGEAbABpAHQAeQAgAEYAZQByAHQAaQBsAGkAegBlAHIAIABcAHUAMAAwADIANgAgAEwAZQBhAHYAZQBuAGkAbgBnACAAQQBnAGUAbgB0AFwAIgAsAFwAIgBXAGUAYgBzAGkAdABlACAAUwBEAFMAIAAgAGgAdAB0AHAAcwA6AC8ALwBtAGUAcgBjAGsAaQBuAGQAZQB4AC4AcgBzAGMALgBvAHIAZwAvAG0AbwBuAG8AZwByAGEAcABoAHMALwBtADEANwA2ADQAPwBhAGMAYwBlAHMAcwA9AGYAdABcACIALABcACIAXAAiACwAXAAiAGsAZwBcACIALAAxACwAXAAiAFwAIgAsAFwAIgBDAGgAaQBuAGEAXAAiACwAXAAiAE4AaQB0AHIAbwBnAGUAbgAgAC0AIABBAG0AbQBvAG4AaQBhAGMAYQBsAFwAIgAsADAALgAxADcANw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XAAiACwAXAAiAFIAaQBzAHMAbwAtAEMAaABlAG0AaQBjAGEAbABcACIALABcACIAQQBtAG0AbwBuAGkAdQBtACAAUwB1AGwAZgBhAHQAZQBcACIALABcACIAQQBtAG0AbwBuAGkAdQBtACAAUwB1AGwAZgBhAHQAZQAgAEYAZQByAHQAaQBsAGkAegBlAHIAIABIAGkAZwBoAC0AUQB1AGEAbABpAHQAeQAgAE4AaQB0AHIAbwBnAGUAbgAgAGEAbgBkACAAUwB1AGwAZgB1AHIAIABmAG8AcgAgAEMAcgBvAHAAcwBcACIALABcACIAVwBlAGIAcwBpAHQAZQBcACIALABcACIAXAAiACwAXAAiAGsAZwBcACIALAAxACwAXAAiAFwAIgAsAFwAIgBDAGgAaQBuAGEAXAAiACwAXAAiAFMAdQBsAGYAdQByACAALQAgAEcAZQBuAGUAcgBpAGMAXAAiACwAMAAuADIANAAsAFwAIgBOAGkAdAByAG8AZwBlAG4AIAAtACAAQQBtAG0AbwBuAGkAYQBjAGEAbABcACIALAAwAC4AMgAx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XAAiACwAXAAiAFIAYQB2AGUAbgBzAGQAbwB3AG4AXAAiACwAXAAiAEEAbQBtAG8AbgBpAHUAbQAgAFMAdQBsAHAAaABhAHQAZQAgAC0AIABHAHIAYQBuAHUAbABhAHIAXAAiACwAXAAiAFIAYQB2AGUAbgBzAGQAbwB3AG4AIAB8ACAARwByAGEAbgB1AGwAYQByACAAQQBtAG0AbwBuAGkAdQBtACAAUwB1AGwAcABoAGEAdABlACAAKABHAEEAUwAvAFMATwBBACkAXAAiACwAXAAiAFcAZQBiAHMAaQB0AGUAIABTAEQAUwBcACIALABcACIAXAAiACwAXAAiAGsAZwBcACIALAAxACwAXAAiAFwAIgAsAFwAIgBcACIALABcACIAUwB1AGwAZgB1AHIAIAAtACAARwBlAG4AZQByAGkAYwBcACIALAAwAC4AMgAzACwAXAAiAE4AaQB0AHIAbwBnAGUAbgAgAC0AIABBAG0AbQBvAG4AaQBhAGMAYQBsAFwAIgAsADAALg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XAAiACwAXAAiAEkAbQBwAGEAYwB0ACAARgBlAHIAdABpAGwAaQBzAGUAcgBzAFwAIgAsAFwAIgBEAGkALQBBAG0AbQBvAG4AaQB1AG0AIABQAGgAbwBzAHAAaABhAHQAZQAgACgARABBAFAAKQBcACIALABcACIARABpAC0AQQBtAG0AbwBuAGkAdQBtACAAUABoAG8AcwBwAGgAYQB0AGUAIAAoAEQAQQBQACkAIAAtACAASQBtAHAAYQBjAHQAIABGAGUAcgB0AGkAbABpAHMAZQByAHMAXAAiACwAXAAiAFcAZQBiAHMAaQB0AGUAXAAiACwAXAAiAFwAIgAsAFwAIgBrAGcAXAAiACwAMQAsAFwAIgBcACIALABcACIAXAAiACwAXAAiAFAAaABvAHMAcABoAG8AcgB1AHMAIAAtACAARwBlAG4AZQByAGkAYwBcACIALAAwAC4AMgAwADIALABcACIATgBpAHQAcgBvAGcAZQBuACAALQAgAEcAZQBuAGUAcgBpAGMAXAAiACwAMAAuADEAOAAsAFwAIgBTAHUAbABmAHUAcgAgAC0AIABHAGUAbgBlAHIAaQBjAFwAIgAsADAALgAwADEANQAsAFwAIgBcACIALABcACIAXAAiACwAXAAiAFwAIgAsAFwAIgBcACIALABcACIAXAAiACwAXAAiAFwAIgAsAFwAIgBcACIALABcACIAXAAiACwAXAAiAFwAIgAsAFwAIgBcACIALABcACIAXAAiACwAXAAiAFwAIgAsAFwAIgBcACIALABcACIAXAAiACwAXAAiAEUATgBEACAAUgBPAFcAXAAiADsAXABuAFwAIgBJAG4AYwBsAHUAZABlACAALQAgAEEAYgBzAGUAbgB0ACAAaQBuAGcAcgBlAGQAaQBlAG4AdABzACAAXAB1ADAAMAAzAGMAIAAyACUAXAAiACwAXAAiAFwAIgAsAFwAIgBJAG4AYwBpAHQAZQBjACAAUABpAHYAbwB0ACAARgBlAHIAdABpAGwAaQBzAGUAcgBzAFwAIgAsAFwAIgBCAGEAcwBhAGwAdAAgAEIAbwBvAFMAUwB0AGEAXAAiACwAXAAiAEIAYQBnACAAVABhAGcAcwBcACIALABcACIAQgByAG8AYwBoAHUAcgBlAFwAIgAsAFwAIgBcACIALABcACIAawBnAFwAIgAsADEALABcACIAXAAiACwAXAAiAFwAIgAsAFwAIgBTAHUAbABmAHUAcgAgAC0AIABHAGUAbgBlAHIAaQBjAFwAIgAsADAALgAyADcANgAsAFwAIgBQAGgAbwBzAHAAaABvAHIAdQBzACAALQAgAEcAZQBuAGUAcgBpAGMAXAAiACwAMAAuADEANAAsAFwAIgBOAGkAdAByAG8AZwBlAG4AIAAtACAARwBlAG4AZQByAGkAYwBcACIALAAwAC4AMAA4ACwAXAAiAEYAbABvAHUAcgBpAGQAZQBcACIALAAwAC4AMAAyADQALABcACIAXAAiACwAXAAiAFwAIgAsAFwAIgBcACIALABcACIAXAAiACwAXAAiAFwAIgAsAFwAIgBcACIALABcACIAXAAiACwAXAAiAFwAIgAsAFwAIgBcACIALABcACIAXAAiACwAXAAiAFwAIgAsAFwAIgBcACIALABcACIARQBOAEQAIABSAE8AVwBcACIAOwBcAG4AXAAiAEkAbgBjAGwAdQBkAGUAIAAtACAAQQBiAHMAZQBuAHQAIABpAG4AZwByAGUAZABpAGUAbgB0AHMAIABcAHUAMAAwADMAYwAgADIAJQBcACIALABcACIAXAAiACwAXAAiAFMAdQBtAG0AaQB0ACAARgBlAHIAdABpAGwAaQB6AGUAcgBzAFwAIgAsAFwAIgBEAEEAUABTAFoAQwBcACIALABcACIATQBpAGMAcgBvAHMAbwBmAHQAIABXAG8AcgBkACAALQAgAEQAQQBQAFMAWgBDACAAUwBhAGYAZQB0AHkAIABEAGEAdABhACAAUwBoAGUAZQB0AFwAIgAsAFwAIgBTAEQAUwBcACIALABcACIAXAAiACwAXAAiAGsAZwBcACIALAAxACwAXAAiAFwAIgAsAFwAIgBcACIALABcACIAUABoAG8AcwBwAGgAbwByAHUAcwAgAC0AIABHAGUAbgBlAHIAaQBjAFwAIgAsADAALgAxADgAMgAsAFwAIgBOAGkAdAByAG8AZwBlAG4AIAAtACAARwBlAG4AZQByAGkAYwBcACIALAAwAC4AMQA2ADkALABcACIAUwB1AGwAZgB1AHIAIAAtACAARwBlAG4AZQByAGkAYwBcACIALAAwAC4AMAA4ACwAXAAiAFoAaQBuAGMAIAAtACAARwBlAG4AZQByAGkAYwBcACIALAAwAC4AMAAwADIALABcACIAQwBvAHAAcABlAHIAXAAiACwAMAAuADAAMAAxACwAXAAiAFwAIgAsAFwAIgBcACIALABcACIAXAAiACwAXAAiAFwAIgAsAFwAIgBcACIALABcACIAXAAiACwAXAAiAFwAIgAsAFwAIgBcACIALABcACIAXAAiACwAXAAiAFwAIgAsAFwAIgBFAE4ARAAgAFIATwBXAFwAIgA7AFwAbgBcACIASQBuAGMAbAB1AGQAZQBcACIALABcACIAQQBtAG8AdQBuAHQAIABvAGYAIAB1AHIAZQBhACAAYwBhAGwAYwB1AGwAYQB0AGUAZAAgAGYAcgBvAG0AIAB1AHIAZQBhACAAbgBpAHQAcgBvAGcAZQBuACAAYQBtAG8AdQBuAHQAXAAiACwAXAAiAEkAbgBjAGkAdABlAGMAIABQAGkAdgBvAHQAIABGAGUAcgB0AGkAbABpAHMAZQByAHMAXAAiACwAXAAiAEUAYQBzAHkAIABOAFwAIgAsAFwAIgBoAHQAdABwAHMAOgAvAC8AdwB3AHcALgBpAG4AYwBpAHQAZQBjAHAAaQB2AG8AdABmAGUAcgB0AGkAbABpAHMAZQByAHMALgBjAG8AbQAuAGEAdQAvAHAAcgBvAGQAdQBjAHQAcwAtAHMAZQByAHYAaQBjAGUAcwAvAG8AdQByAC0AcAByAG8AZAB1AGMAdABzAC8AbABpAHEAdQBpAGQAcwAvAGUAYQBzAHkALQBuAC8AXAAiACwAXAAiAFcAZQBiAHMAaQB0AGUAIABiAHIAbwBjAGgAdQByAGUAIABCAGEAZwAgAHQAYQBnAFwAIgAsAFwAIgBcACIALABcACIATABcACIALAAxAC4AMwAyACwAXAAiAFwAIgAsAFwAIgBcACIALABcACIAVQByAGUAYQBcACIALAAwAC4ANAA2ADcAMwA5ADEAMwAwADQALABcACIATgBpAHQAcgBvAGcAZQBuACAALQAgAE4AaQB0AHIAYQB0AGUAXAAiACwAMAAuADEAMAA1ACwAXAAiAE4AaQB0AHIAbwBnAGUAbgAgAC0AIABBAG0AbQBvAG4AaQBhAGMAYQBsAFwAIgAsADAALgAxADAANQAsAFwAIgBCAGkAdQByAGUAdABcACIALAAwAC4AMAAwADY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UgBpAHMAcwBvAC0AQwBoAGUAbQBpAGMAYQBsAFwAIgAsAFwAIgBDAGEAbABjAGkAdQBtACAAQQBtAG0AbwBuAGkAdQBtACAATgBpAHQAcgBhAHQAZQBcACIALABcACIAQwBhAGwAYwBpAHUAbQAgAEEAbQBtAG8AbgBpAHUAbQAgAE4AaQB0AHIAYQB0AGUAIABCAGEAbABhAG4AYwBlAGQAIABGAGUAcgB0AGkAbABpAHoAZQByACAAZgBvAHIAIABFAG4AaABhAG4AYwBlAGQAIABDAHIAbwBwACAARwByAG8AdwB0AGgAIAB8ACAAUgBpAHMAcwBvAFwAIgAsAFwAIgBcACIALABcACIAXAAiACwAXAAiAGsAZwBcACIALAAxACwAXAAiAFwAIgAsAFwAIgBDAGgAaQBuAGEAXAAiACwAXAAiAE4AaQB0AHIAbwBnAGUAbgAgAC0AIABBAG0AbQBvAG4AaQBhAGMAYQBsAFwAIgAsADAALgAyADcALABcACIATgBpAHQAcgBvAGcAZQBuACAALQAgAE4AaQB0AHIAYQB0AGUAXAAiACwAMAAuADEAMwA1ACwAXAAiAEMAYQBsAGMAaQB1AG0AIAAtACAARwBlAG4AZQByAGkAYwBcACIALAAwAC4AMQAy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UwBMACAAVABlAGMAXAAiACwAXAAiAEMAZQBsAGwAQwBBAEwAIABQAGwAdQBzAFwAIgAsAFwAIgBTAEwAVABFAEMAXwBDAGUAbABsAEMAQQBMAFAATABVAFMALgBwAGQAZgBcACIALABcACIAQgByAG8AYwBoAHUAcgBlAFwAIgAsAFwAIgBcACIALABcACIATABcACIALAAxAC4AMQAzADgALABcACIAXAAiACwAXAAiAFwAIgAsAFwAIgBDAGEAbABjAGkAdQBtACAALQAgAEcAZQBuAGUAcgBpAGMAXAAiACwAMAAuADAANQA5ACwAXAAiAEMAbwBwAHAAZQByAFwAIgAsADAALgAwADAAMwAsAFwAIgBCAG8AcgBvAG4AXAAiACwAMAAuADAAMAAxACwAXAAiAFwAIgAsAFwAIgBcACIALABcACIAXAAiACwAXAAiAFwAIgAsAFwAIgBcACIALABcACIAXAAiACwAXAAiAFwAIgAsAFwAIgBcACIALABcACIAXAAiACwAXAAiAFwAIgAsAFwAIgBcACIALABcACIAXAAiACwAXAAiAFwAIgAsAFwAIgBcACIALABcACIARQBOAEQAIABSAE8AVwBcACIAOwBcAG4AXAAiAEkAbgBjAGwAdQBkAGUAIAAtACAAQQBiAHMAZQBuAHQAIABpAG4AZwByAGUAZABpAGUAbgB0AHMAIABcAHUAMAAwADMAYwAgADIAJQBcACIALABcACIAVQBzAGUAIABtAHUAcgBpAGEAdABlACAAbwBmACAAcABvAHQAYQBzAGgAIAAoAE0ATwBQACkAIABpAG4AcwB0AGUAYQBkACAAbwBmACAAXAB1ADAAMAAyADcAcABvAHQAYQBzAHMAaQB1AG0AIABhAHMAIABjAGgAbABvAHIAaQBkAGUAXAB1ADAAMAAyADcAXAAiACwAXAAiAEkAbgBjAGkAdABlAGMAIABQAGkAdgBvAHQAIABGAGUAcgB0AGkAbABpAHMAZQByAHMAXAAiACwAXAAiAEMASwA1ADUAXAAiACwAXAAiAEIAYQBnACAAVABhAGcAcwBcACIALABcACIAQgBhAGcAIAB0AGEAZwBcACIALABcACIAXAAiACwAXAAiAGsAZwBcACIALAAxACwAXAAiAFwAIgAsAFwAIgBcACIALABcACIAUABoAG8AcwBwAGgAbwByAHUAcwAgAC0AIABHAGUAbgBlAHIAaQBjAFwAIgAsADAALgAxADUALABcACIATgBpAHQAcgBvAGcAZQBuACAALQAgAEEAbQBtAG8AbgBpAGEAYwBhAGwAXAAiACwAMAAuADEAMwA1ACwAXAAiAE0AdQByAGkAYQB0AGUAIABvAGYAIABQAG8AdABhAHMAaAAgACgATQBPAFAAKQBcACIALAAwAC4AMQAyADUALABcACIARgBsAG8AdQByAGkAZABlAFwAIgAsADAALgAwADIAMwAsAFwAIgBTAHUAbABmAHUAcgAgAC0AIABHAGUAbgBlAHIAaQBjAFwAIgAsADAALgAwADEAMgAsAFwAIgBcACIALABcACIAXAAiACwAXAAiAFwAIgAsAFwAIgBcACIALABcACIAXAAiACwAXAAiAFwAIgAsAFwAIgBcACIALABcACIAXAAiACwAXAAiAFwAIgAsAFwAIgBcACIALABcACIARQBOAEQAIABSAE8AVwBcACIAOwBcAG4AIAAgACAAIABcACIARQB4AGMAbAB1AGQAZQAgAC0AIABBAGIAcwBlAG4AdAAgAGkAbgBnAHIAZQBkAGkAZQBuAHQAcwAgAFwAdQAwADAAMwBlACAAMgAlAFwAIgAsAFwAIgBcACIALABcACIAQwBhAG0AcABiAGUAbABsAHMAIABmAGUAcgB0AGkAbABpAHMAZQByAHMAIABBAHUAcwB0AHIAYQBsAGkAYQBcACIALABcACIAQgB1AGQALQBXAGkAcwBlAHIAIABEAHIAeQBcACIALABcACIAawBnAFwAIgAsAFwAIgBcACIALABcACIAXAAiACwAXAAiAFMAdQBsAGYAdQByACAALQAgAEcAZQBuAGUAcgBpAGMAXAAiACwAMAAuADAAOQA0ACwAXAAiAE0AYQBnAG4AZQBzAGkAdQBtAFwAIgAsADAALgAwADYALABcACIAQgBvAHIAbwBuAFwAIgAsADAALgAwADQANQAsAFwAIgBaAGkAbgBjAFwAIgAsADAALgAwADIANwAsAFwAIgBcACIALABcACIAXAAiACwAXAAiAFwAIgAsAFwAIgBcACIALABcACIAXAAiACwAXAAiAFwAIgAsAFwAIgBcACIALABcACIAXAAiACwAXAAiAFwAIgAsAFwAIgBcACIALABcACIAXAAiACwAXAAiAFwAIgA7AFwAbgBcACIARQB4AGMAbAB1AGQAZQAgAC0AIABOAG8AdAAgAHIAZQBsAGUAdgBhAG4AdABcACIALABcACIAXAAiACwAXAAiAEMAYQBtAHAAYgBlAGwAbABzACAAZgBlAHIAdABpAGwAaQBzAGUAcgBzACAAQQB1AHMAdAByAGEAbABpAGEAXAAiACwAXAAiAEMAYQBsAGIAaQB0ACAAQwBcACIALABcACIAT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RQB4AGMAbAB1AGQAZQAgAC0AIABOAG8AdAAgAHIAZQBsAGUAdgBhAG4AdABcACIALABcACIAXAAiACwAXAAiAEMAYQBtAHAAYgBlAGwAbABzACAAZgBlAHIAdABpAGwAaQBzAGUAcgBzACAAQQB1AHMAdAByAGEAbABpAGEAXAAiACwAXAAiAEMAYQBsAGMAaQB1AG0AIAAxADcANQBcACIALABcACIAT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RQB4AGMAbAB1AGQAZQAgAC0AIABBAGIAcwBlAG4AdAAgAGkAbgBnAHIAZQBkAGkAZQBuAHQAcwAgAFwAdQAwADAAMwBlACAAMgAlAFwAIgAsAFwAIgBcACIALABcACIAQwBhAG0AcABiAGUAbABsAHMAIABmAGUAcgB0AGkAbABpAHMAZQByAHMAIABBAHUAcwB0AHIAYQBsAGkAYQBcACIALABcACIAQwBhAGwAUABoAG8AcwBcACIALABcACIATABcACIALAAxAC4AMgA4ADUALABcACIAXAAiACwAXAAiAFAAaABvAHMAcABoAG8AcgB1AHMAIAAtACAARwBlAG4AZQByAGkAYwBcACIALAAwAC4AMQAzADUALABcACIAQwBhAGwAYwBpAHUAbQAgAC0AIABHAGUAbgBlAHIAaQBjAFwAIgAsADAALgAwADQALABcACIAXAAiACwAXAAiAFwAIgAsAFwAIgBcACIALABcACIAXAAiACwAXAAiAFwAIgAsAFwAIgBcACIALABcACIAXAAiACwAXAAiAFwAIgAsAFwAIgBcACIALABcACIAXAAiACwAXAAiAFwAIgAsAFwAIgBcACIALABcACIAXAAiACwAXAAiAFwAIgA7AFwAbgBcACIASQBuAGMAbAB1AGQAZQBcACIALABcACIANQAwAC8ANQAwACAAbgBpAHQAcgBhAHQAZQAgAGEAbgBkACAAYQBtAG0AbwBuAGkAYQBjAGEAbAAgAG4AaQB0AHIAbwBnAGUAbgAgACgAYQBtAG0AbwBuAGkAdQBtACAAbgBpAHQAcgBhAHQAZQApAFwAIgAsAFwAIgBcACIALABcACIAQwBhAG0AcABiAGUAbABsAHMAIABmAGUAcgB0AGkAbABpAHMAZQByAHMAIABBAHUAcwB0AHIAYQBsAGkAYQBcACIALABcACIAQwBvAG0AcABhAHMAcwBcACIALABcACIAawBnAFwAIgAsADEALABcACIAXAAiACwAXAAiAE4AaQB0AHIAbwBnAGUAbgAgAC0AIABBAG0AbQBvAG4AaQBhAGMAYQBsAFwAIgAsADAALgAwADcANQAsAFwAIgBOAGkAdAByAG8AZwBlAG4AIAAtACAATgBpAHQAcgBhAHQAZQBcACIALAAwAC4AMAA3ADUALABcACIAUABvAHQAYQBzAHMAaQB1AG0AIAAtACAARwBlAG4AZQByAGkAYwBcACIALAAwAC4AMQAyADUALABcACIAUABoAG8AcwBwAGgAbwByAHUAcwAtAEcAZQBuAGUAcgBpAGMAXAAiACwAMAAuADAANgA1ACwAXAAiAFMAdQBsAGYAdQByACAALQAgAEcAZQBuAGUAcgBpAGMAXAAiACwAMAAuADAANgAsAFwAIgBcACIALABcACIAXAAiACwAXAAiAFwAIgAsAFwAIgBcACIALABcACIAXAAiACwAXAAiAFwAIgAsAFwAIgBcACIALABcACIAXAAiADsAXABuAFwAIgBJAG4AYwBsAHUAZABlACAALQAgAEEAYgBzAGUAbgB0ACAAaQBuAGcAcgBlAGQAaQBlAG4AdABzACAAXAB1ADAAMAAzAGMAIAAyACUAXAAiACwAXAAiAEMAbwBuAHQAcgBvAGwAbABlAGQAIAByAGUAbABlAGEAcwBlACAATgAgAHQAcgBlAGEAdABlAGQAIABhAHMAIABnAGUAbgBlAHIAaQBjAFwAIgAsAFwAIgBcACIALABcACIAQwBhAG0AcABiAGUAbABsAHMAIABmAGUAcgB0AGkAbABpAHMAZQByAHMAIABBAHUAcwB0AHIAYQBsAGkAYQBcACIALABcACIAQwBvAFIAbwBOACAAMQAyAC0AMAAtADEAMABcACIALABcACIATABcACIALAAxAC4AMgAxADUALABcACIAXAAiACwAXAAiAE4AaQB0AHIAbwBnAGUAbgAgAC0AIABVAHIAZQBpAGMAXAAiACwAMAAuADAAOQ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BcAG4AIAAgAH0ALAAgAHIALAAgAGMAKQBcAG4AKQApACkAOwBcAG4AXABuAFwAbgBGAGUAcgB0AGkAbABpAHMAZQByAF8AUAByAG8AZAB1AGMAdABzAF8ARABhAHQAYQAzAFwAbgA9AEwAQQBNAEIARABBACgAXABuACAATQBBAEsARQBBAFIAUgBBAFkAKAAyADAALAAgADMANQAsAFwAbgAgAEwAQQBNAEIARABBACgAcgAsAGMALABcAG4AIAAgAEkATgBEAEUAWAAoAHsAXABuAFwAIgBSAHUAcwB0AGkAYwBhACAATgBlAHIAZwBlAHQAaQBjAFwAIgAsAFwAIgBrAGcAXAAiACwAMQAsAFwAIgBQAG8AdABhAHMAcwBpAHUAbQAgAC0AIABHAGUAbgBlAHIAaQBjAFwAIgAsADAALgAxADQAMQAsAFwAIgBMAG8AYwBhAHQAaQBvAG4AIABuAG8AdAAgAHMAcABlAGMAaQBmAGkAZQBkAFwAIgAsAFwAIgBOAGkAdAByAG8AZwBlAG4AIAAtACAARwBlAG4AZQByAGkAYwBcACIALAAwAC4AMQAyACwAXAAiAEwAbwBjAGEAdABpAG8AbgAgAG4AbwB0ACAAcwBwAGUAYwBpAGYAaQBlAGQAXAAiACwAXAAiAFMAdQBsAGYAdQByACAALQAgAEcAZQBuAGUAcgBpAGMAXAAiACwAMAAuADAAOQA2ACwAXAAiAEwAbwBjAGEAdABpAG8AbgAgAG4AbwB0ACAAcwBwAGUAYwBpAGYAaQBlAGQAXAAiACwAXAAiAFAAaABvAHMAcABoAG8AcgB1AHMAIAAtACAARwBlAG4AZQByAGkAYwBcACIALAAwAC4AMAA1ADIALABcACIATABvAGMAYQB0AGkAbwBuACAAbgBvAHQAIABzAHAAZQBjAGkAZgBpAGUAZABcACIALABcACIATQBhAGcAbgBlAHMAaQB1AG0AIAAtACAAZwBlAG4AZQByAGkAYwBcACIALAAwAC4AMAAxADIALABcACIATABvAGMAYQB0AGkAbwBuACAAbgBvAHQAIABzAHAAZQBjAGkAZgBpAGUAZABcACIALABcACIAWgBpAG4AYwAgAC0AIABHAGUAbgBlAHIAaQBjAFwAIgAsADAALgAwADAAMA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2ACwAXAAiAEwAbwBjAGEAdABpAG8AbgAgAG4AbwB0ACAAcwBwAGUAYwBpAGYAaQBlAGQAXAAiACwAXAAiAEIAbwByAG8AbgAgAC0AIABnAGUAbgBlAHIAaQBjAFwAIgAsADAALgAwADAAMAAyACwAXAAiAEwAbwBjAGEAdABpAG8AbgAgAG4AbwB0ACAAcwBwAGUAYwBpAGYAaQBlAGQAXAAiACwAXAAiAFwAIgAsAFwAIgBcACIALABcACIAXAAiADsAXABuAFwAIgBTAEUAVABuAFMASQBaAEUAXAAiACwAXAAiAEwAXAAiACwAMQAuADMALABcACIAUABvAHQAYQBzAHMAaQB1AG0AIAAtACAARwBlAG4AZQByAGkAYwBcACIALAAwAC4AMAA3ADkAMgAsAFwAIgBMAG8AYwBhAHQAaQBvAG4AIABuAG8AdAAgAHMAcABlAGMAaQBmAGkAZQBkAFwAIgAsAFwAIgBQAGgAbwBzAHAAaABvAHIAdQBzACAALQAgAEcAZQBuAGUAcgBpAGMAXAAiACwAMAAuADAANgAwADUALABcACIATABvAGMAYQB0AGkAbwBuACAAbgBvAHQAIABzAHAAZQBjAGkAZgBpAGUAZABcACIALABcACIATgBpAHQAcgBvAGcAZQBuACAALQAgAEcAZQBuAGUAcgBpAGMAXAAiACwAMAAuADAAMQAwADgALABcACIATABvAGMAYQB0AGkAbwBuACAAbgBvAHQAIABzAHAAZQBjAGkAZgBpAGUAZABcACIALABcACIAWgBpAG4AYwAgAC0AIABHAGUAbgBlAHIAaQBjAFwAIgAsADAALgAwADEAMAA3ACwAXAAiAEwAbwBjAGEAdABpAG8AbgAgAG4AbwB0ACAAcwBwAGUAYwBpAGYAaQBlAGQAXAAiACwAXAAiAE0AYQBnAG4AZQBzAGkAdQBtACAALQAgAGcAZQBuAGUAcgBpAGMAXAAiACwAMAAuADAAMQAwADQALABcACIATABvAGMAYQB0AGkAbwBuACAAbgBvAHQAIABzAHAAZQBjAGkAZgBpAGUAZABcACIALABcACIATQBhAG4AZwBhAG4AZQBzAGUAIAAtACAARwBlAG4AZQByAGkAYwBcACIALAAwAC4AMAAwADcANQAsAFwAIgBMAG8AYwBhAHQAaQBvAG4AIABuAG8AdAAgAHMAcABlAGMAaQBmAGkAZQBkAFwAIgAsAFwAIgBTAHUAbABmAHUAcgAgAC0AIABHAGUAbgBlAHIAaQBjAFwAIgAsADAALgAwADAANQA0ACwAXAAiAEwAbwBjAGEAdABpAG8AbgAgAG4AbwB0ACAAcwBwAGUAYwBpAGYAaQBlAGQAXAAiACwAXAAiAEMAbwBiAGEAbAB0ACAALQAgAGcAZQBuAGUAcgBpAGMAXAAiACwAMAAuADAAMAAxADgALABcACIATABvAGMAYQB0AGkAbwBuACAAbgBvAHQAIABzAHAAZQBjAGkAZgBpAGUAZABcACIALABcACIASQByAG8AbgAgAC0AIABnAGUAbgBlAHIAaQBjAFwAIgAsADAALgAwADAAMQA1ACwAXAAiAEwAbwBjAGEAdABpAG8AbgAgAG4AbwB0ACAAcwBwAGUAYwBpAGYAaQBlAGQAXAAiACwAXAAiAEMAbwBwAHAAZQByACAALQAgAGcAZQBuAGUAcgBpAGMAXAAiACwAMAAuADAAMAAxADEALABcACIATABvAGMAYQB0AGkAbwBuACAAbgBvAHQAIABzAHAAZQBjAGkAZgBpAGUAZABcACIAOwBcAG4AXAAiAFMATwBBAFwAIgAsAFwAIgBrAGcAXAAiACwAMQAsAFwAIgBOAGkAdAByAG8AZwBlAG4AIAAtACAAQQBtAG0AbwBuAGkAYQBjAGEAbABcACIALAAwAC4AMgAxACwAXAAiAEwAbwBjAGEAdABpAG8AbgAgAG4AbwB0ACAAcwBwAGUAYwBpAGYAaQBlAGQAXAAiACwAXAAiAFMAdQBsAGYAdQByACAALQAgAEcAZQBuAGUAcgBpAGMAXAAiACwAMAAuADIAN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E0AQQBQAFwAIgAsAFwAIgBrAGcAXAAiACwAMQAsAFwAIgBQAGgAbwBzAHAAaABvAHIAdQBzACAALQAgAEcAZQBuAGUAcgBpAGMAXAAiACwAMAAuADIANgA2ACwAXAAiAEwAbwBjAGEAdABpAG8AbgAgAG4AbwB0ACAAcwBwAGUAYwBpAGYAaQBlAGQAXAAiACwAXAAiAE4AaQB0AHIAbwBnAGUAbgAgAC0AIABBAG0AbQBvAG4AaQBhAGMAYQBsAFwAIgAsADAALgAxADI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NAEsAUABcACIALABcACIAawBnAFwAIgAsADEALABcACIAUABoAG8AcwBwAGgAbwByAHUAcwAgAC0AIABHAGUAbgBlAHIAaQBjAFwAIgAsADAALgAyADIANwAsAFwAIgBMAG8AYwBhAHQAaQBvAG4AIABuAG8AdAAgAHMAcABlAGMAaQBmAGkAZQBkAFwAIgAsAFwAIgBQAG8AdABhAHMAcwBpAHUAbQAgAC0AIABHAGUAbgBlAHIAaQBjAFwAIgAsADAALgAyADg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FMAYQBtAFwAIgAsAFwAIgBrAGcAXAAiACwAMQAsAFwAIgBOAGkAdAByAG8AZwBlAG4AIAAtACAAQQBtAG0AbwBuAGkAYQBjAGEAbABcACIALAAwAC4AMgAwADgALABcACIATABvAGMAYQB0AGkAbwBuACAAbgBvAHQAIABzAHAAZQBjAGkAZgBpAGUAZABcACIALABcACIAUwB1AGwAZgB1AHIAIAAtACAARwBlAG4AZQByAGkAYwBcACIALAAwAC4AMgAzADg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aAGkAbgBjAFwAIgAsAFwAIgBrAGcAXAAiACwAMQAsAFwAIgBaAGkAbgBjACAALQAgAEcAZQBuAGUAcgBpAGMAXAAiACwAMAAuADIAMQAsAFwAIgBMAG8AYwBhAHQAaQBvAG4AIABuAG8AdAAgAHMAcABlAGMAaQBmAGkAZQBkAFwAIgAsAFwAIgBTAHUAbABmAHUAcgAgAC0AIABHAGUAbgBlAHIAaQBjAFwAIgAsADAALgAxADA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sAXAAiACwAXAAiAEwAXAAiACwAMQAuADQANwAsAFwAIgBQAG8AdABhAHMAcwBpAHUAbQAgAC0AIABHAGUAbgBlAHIAaQBjAFwAIgAsADAALgAzACwAXAAiAEwAbwBjAGEAdABpAG8AbgAgAG4AbwB0ACAAcwBwAGUAYwBpAGYAaQBlAGQAXAAiACwAXAAiAFMAdQBsAGYAdQByACAALQAgAEcAZQBuAGUAcgBpAGMAXAAiACwAMAAuADI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4AXAAiACwAXAAiAEwAXAAiACwAMQAuADMAMgAsAFwAIgBOAGkAdAByAG8AZwBlAG4AIAAtACAARwBlAG4AZQByAGkAYwBcACIALAAwAC4AMwA3ADIALABcACIATABvAGMAYQB0AGkAbwBuACAAbgBvAHQAIABzAHAAZQBjAGkAZgBpAGUAZABcACIALABcACIAUwB1AGwAZgB1AHIAIAAtACAARwBlAG4AZQByAGkAYwBcACIALAAwAC4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TgAgAFAAbAB1AHMAXAAiACwAXAAiAEwAXAAiACwAMQAuADMAMgAsAFwAIgBOAGkAdAByAG8AZwBlAG4AIAAtACAARwBlAG4AZQByAGkAYwBcACIALAAwAC4AMwA2ADQALABcACIATABvAGMAYQB0AGkAbwBuACAAbgBvAHQAIABzAHAAZQBjAGkAZgBpAGUAZABcACIALABcACIAUwB1AGwAZgB1AHIAIAAtACAARwBlAG4AZQByAGkAYwBcACIALAAwAC4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UwB1AGwAXAAiACwAXAAiAEwAXAAiACwAMQAuADMANQAsAFwAIgBTAHUAbABmAHUAcgAgAC0AIABHAGUAbgBlAHIAaQBjAFwAIgAsADAALgAzADUALABcACIATABvAGMAYQB0AGkAbwBuACAAbgBvAHQAIABzAHAAZQBjAGkAZgBpAGUAZABcACIALABcACIATgBpAHQAcgBvAGcAZQBuACAALQAgAEEAbQBtAG8AbgBpAGEAYwBhAGwAXAAiACwAMAAuADEAN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QBBAFMAXAAiACwAXAAiAEwAXAAiACwAMQAuADIAMwA1ACwAXAAiAE4AaQB0AHIAbwBnAGUAbgAgAC0AIABHAGUAbgBlAHIAaQBjAFwAIgAsADAALgAyADAAOQAsAFwAIgBMAG8AYwBhAHQAaQBvAG4AIABuAG8AdAAgAHMAcABlAGMAaQBmAGkAZQBkAFwAIgAsAFwAIgBTAHUAbABmAHUAcgAgAC0AIABHAGUAbgBlAHIAaQBjAFwAIgAsADAALgAwADYANwAsAFwAIgBMAG8AYwBhAHQAaQBvAG4AIABuAG8AdAAgAHMAcABlAGMAaQBmAGkAZQBkAFwAIgAsAFwAIgBOAGkAdAByAG8AZwBlAG4AIAAtACAAQQBtAG0AbwBuAGkAYQBjAGEAbABcACIALAAwAC4AMAA1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IABMAGkAcQB1AGkAZABzACAATgAtAEYATwBMACAAMgA0ACsAVABFAFwAIgAsAFwAIgBrAGcAXAAiACwAMQAsAFwAIgBOAGkAdAByAG8AZwBlAG4AIAAtACAARwBlAG4AZQByAGkAYwBcACIALAAwAC4AMQA5ACwAXAAiAEwAbwBjAGEAdABpAG8AbgAgAG4AbwB0ACAAcwBwAGUAYwBpAGYAaQBlAGQAXAAiACwAXAAiAFAAbwB0AGEAcwBzAGkAdQBtACAALQAgAEcAZQBuAGUAcgBpAGMAXAAiACwAMAAuADEANgA2ACwAXAAiAEwAbwBjAGEAdABpAG8AbgAgAG4AbwB0ACAAcwBwAGUAYwBpAGYAaQBlAGQAXAAiACwAXAAiAFMAdQBsAGYAdQByACAALQAgAEcAZQBuAGUAcgBpAGMAXAAiACwAMAAuADAAMwAsAFwAIgBMAG8AYwBhAHQAaQBvAG4AIABuAG8AdAAgAHMAcABlAGMAaQBmAGkAZQBkAFwAIgAsAFwAIgBQAGgAbwBzAHAAaABvAHIAdQBzACAALQAgAEcAZQBuAGUAcgBpAGMAXAAiACwAMAAuADAAMgA2ACwAXAAiAEwAbwBjAGEAdABpAG8AbgAgAG4AbwB0ACAAcwBwAGUAYwBpAGYAaQBlAGQAXAAiACwAXAAiAE0AYQBnAG4AZQBzAGkAdQBtACAALQAgAGcAZQBuAGUAcgBpAGMAXAAiACwAMAAuADAAMQ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0ACwAXAAiAEwAbwBjAGEAdABpAG8AbgAgAG4AbwB0ACAAcwBwAGUAYwBpAGYAaQBlAGQAXAAiACwAXAAiAEIAbwByAG8AbgAgAC0AIABnAGUAbgBlAHIAaQBjAFwAIgAsADAALgAwADAAMAAyADUALABcACIATABvAGMAYQB0AGkAbwBuACAAbgBvAHQAIABzAHAAZQBjAGkAZgBpAGUAZABcACIALABcACIAWgBpAG4AYwAgAC0AIABHAGUAbgBlAHIAaQBjAFwAIgAsADAALgAwADAAMAAyADUALABcACIATABvAGMAYQB0AGkAbwBuACAAbgBvAHQAIABzAHAAZQBjAGkAZgBpAGUAZABcACIALABcACIAQwBvAHAAcABlAHIAIAAtACAAZwBlAG4AZQByAGkAYwBcACIALAAwAC4AMAAwADAAMQAsAFwAIgBMAG8AYwBhAHQAaQBvAG4AIABuAG8AdAAgAHMAcABlAGMAaQBmAGkAZQBkAFwAIgA7AFwAbgBcACIAWQBhAHIAYQAgAFUAbgBpAGsAYQAgAFAAbAB1AHMAXAAiACwAXAAiAGsAZwBcACIALAAxACwAXAAiAFAAbwB0AGEAcwBzAGkAdQBtACAALQAgAEcAZQBuAGUAcgBpAGMAXAAiACwAMAAuADMAOAAyACwAXAAiAEwAbwBjAGEAdABpAG8AbgAgAG4AbwB0ACAAcwBwAGUAYwBpAGYAaQBlAGQAXAAiACwAXAAiAE4AaQB0AHIAbwBnAGUAbgAgAC0AIABHAGUAbgBlAHIAaQBjAFwAIgAsADAALgAxADIALABcACIATABvAGMAYQB0AGkAbwBuACAAbgBvAHQAIABzAHAAZQBjAGkAZgBpAGUAZABcACIALABcACIAUwB1AGwAZgB1AHIAIAAtACAARwBlAG4AZQByAGkAYwBcACIALAAwAC4AMAAw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TQBpAGwAYQAgADIAMQAtADcALQAzACgANAApAFwAIgAsAFwAIgBrAGcAXAAiACwAMQAsAFwAIgBOAGkAdAByAG8AZwBlAG4AIAAtACAARwBlAG4AZQByAGkAYwBcACIALAAwAC4AMgAxACwAXAAiAEwAbwBjAGEAdABpAG8AbgAgAG4AbwB0ACAAcwBwAGUAYwBpAGYAaQBlAGQAXAAiACwAXAAiAFAAaABvAHMAcABoAG8AcgB1AHMAIAAtACAARwBlAG4AZQByAGkAYwBcACIALAAwAC4AMAA3ADQALABcACIATABvAGMAYQB0AGkAbwBuACAAbgBvAHQAIABzAHAAZQBjAGkAZgBpAGUAZABcACIALABcACIAUwB1AGwAZgB1AHIAIAAtACAARwBlAG4AZQByAGkAYwBcACIALAAwAC4AMAA0ACwAXAAiAEwAbwBjAGEAdABpAG8AbgAgAG4AbwB0ACAAcwBwAGUAYwBpAGYAaQBlAGQAXAAiACwAXAAiAFAAbwB0AGEAcwBzAGkAdQBtACAALQAgAEcAZQBuAGUAcgBpAGMAXAAiACwAMAAuADAAMgA1ACwAXAAiAEwAbwBjAGEAdABpAG8AbgAgAG4AbwB0ACAAcwBwAGUAYwBpAGYAaQBlAGQAXAAiACwAXAAiAE0AYQBnAG4AZQBzAGkAdQBtACAALQAgAGcAZQBuAGUAcgBpAGMAXAAiACwAMAAuADAAMAA0ACwAXAAiAEwAbwBjAGEAdABpAG8AbgAgAG4AbwB0ACAAcwBwAGUAYwBpAGYAaQBlAGQAXAAiACwAXAAiAFoAaQBuAGMAIAAtACAARwBlAG4AZQByAGkAYwBcACIALAAwAC4AMAAwADEANQAsAFwAIgBMAG8AYwBhAHQAaQBvAG4AIABuAG8AdAAgAHMAcABlAGMAaQBmAGkAZQBkAFwAIgAsAFwAIgBcACIALABcACIAXAAiACwAXAAiAFwAIgAsAFwAIgBcACIALABcACIAXAAiACwAXAAiAFwAIgAsAFwAIgBcACIALABcACIAXAAiACwAXAAiAFwAIgAsAFwAIgBcACIALABcACIAXAAiACwAXAAiAFwAIgA7AFwAbgBcACIAWQBhAHIAYQBSAGUAZwBhACAAMQAzAC0AMgAtADIAMQBcACIALABcACIAawBnAFwAIgAsADEALABcACIAUABvAHQAYQBzAHMAaQB1AG0AIAAtACAARwBlAG4AZQByAGkAYwBcACIALAAwAC4AMgAxACwAXAAiAEwAbwBjAGEAdABpAG8AbgAgAG4AbwB0ACAAcwBwAGUAYwBpAGYAaQBlAGQAXAAiACwAXAAiAFMAdQBsAGYAdQByACAALQAgAEcAZQBuAGUAcgBpAGMAXAAiACwAMAAuADEAMAA4ACwAXAAiAEwAbwBjAGEAdABpAG8AbgAgAG4AbwB0ACAAcwBwAGUAYwBpAGYAaQBlAGQAXAAiACwAXAAiAE4AaQB0AHIAbwBnAGUAbgAgAC0AIABBAG0AbQBvAG4AaQBhAGMAYQBsAFwAIgAsADAALgAwADcANwAsAFwAIgBMAG8AYwBhAHQAaQBvAG4AIABuAG8AdAAgAHMAcABlAGMAaQBmAGkAZQBkAFwAIgAsAFwAIgBOAGkAdAByAG8AZwBlAG4AIABmAHIAbwBtACAATgBpAHQAcgBhAHQAZQBcACIALAAwAC4AMAA1ADMALABcACIATABvAGMAYQB0AGkAbwBuACAAbgBvAHQAIABzAHAAZQBjAGkAZgBpAGUAZABcACIALABcACIAUABoAG8AcwBwAGgAbwByAHUAcwAgAC0AIABHAGUAbgBlAHIAaQBjAFwAIgAsADAALgAwADEANwA1ACwAXAAiAEwAbwBjAGEAdABpAG8AbgAgAG4AbwB0ACAAcwBwAGUAYwBpAGYAaQBlAGQAXAAiACwAXAAiAE0AYQBnAG4AZQBzAGkAdQBtACAALQAgAGcAZQBuAGUAcgBpAGMAXAAiACwAMAAuADAAMAA0ACwAXAAiAEwAbwBjAGEAdABpAG8AbgAgAG4AbwB0ACAAcwBwAGUAYwBpAGYAaQBlAGQAXAAiACwAXAAiAEIAbwByAG8AbgAgAC0AIABnAGUAbgBlAHIAaQBjAFwAIgAsADAALgAwADAAMAA4ACwAXAAiAEwAbwBjAGEAdABpAG8AbgAgAG4AbwB0ACAAcwBwAGUAYwBpAGYAaQBlAGQAXAAiACwAXAAiAFoAaQBuAGMAIAAtACAARwBlAG4AZQByAGkAYwBcACIALAAwAC4AMAAwADAAOAAsAFwAIgBMAG8AYwBhAHQAaQBvAG4AIABuAG8AdAAgAHMAcABlAGMAaQBmAGkAZQBkAFwAIgAsAFwAIgBcACIALABcACIAXAAiACwAXAAiAFwAIgAsAFwAIgBcACIALABcACIAXAAiACwAXAAiAFwAIgA7AFwAbgBcACIAWQBhAHIAYQBSAGUAZwBhACAAOQAtADAALQAzADAAIAAoADEANAApAFwAIgAsAFwAIgBrAGcAXAAiACwAMQAsAFwAIgBQAG8AdABhAHMAcwBpAHUAbQAgAC0AIABHAGUAbgBlAHIAaQBjAFwAIgAsADAALgAzACwAXAAiAEwAbwBjAGEAdABpAG8AbgAgAG4AbwB0ACAAcwBwAGUAYwBpAGYAaQBlAGQAXAAiACwAXAAiAFMAdQBsAGYAdQByACAALQAgAEcAZQBuAGUAcgBpAGMAXAAiACwAMAAuADEANAAsAFwAIgBMAG8AYwBhAHQAaQBvAG4AIABuAG8AdAAgAHMAcABlAGMAaQBmAGkAZQBkAFwAIgAsAFwAIgBOAGkAdAByAG8AZwBlAG4AIAAtACAAQQBtAG0AbwBuAGkAYQBjAGEAbABcACIALAAwAC4AMAA0ADUALABcACIATABvAGMAYQB0AGkAbwBuACAAbgBvAHQAIABzAHAAZQBjAGkAZgBpAGUAZABcACIALABcACIATgBpAHQAcgBvAGcAZQBuACAAZgByAG8AbQAgAE4AaQB0AHIAYQB0AGUAXAAiACwAMAAuADAANA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DsAXABuAFwAIgBZAGEAcgBhAFQAZQByAGEAIABLAFIASQBTAFQAQQAgAEsAIABQAEwAVQBTAFwAIgAsAFwAIgBrAGcAXAAiACwAMQAsAFwAIgBOAGkAdAByAG8AZwBlAG4AIAAtACAARwBlAG4AZQByAGkAYwBcACIALAAwAC4AMQAzADcALABcACIATABvAGMAYQB0AGkAbwBuACAAbgBvAHQAIABzAHAAZQBjAGkAZgBpAGUAZABcACIALABcACIAUABvAHQAYQBzAHMAaQB1AG0AIAAtACAARwBlAG4AZQByAGkAYwBcACIALAAwAC4AMwA4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ABlAHIAYQAgAEsAUgBJAFMAVABBACAATQBBAFAAXAAiACwAXAAiAGsAZwBcACIALAAxACwAXAAiAFAAaABvAHMAcABoAG8AcgB1AHMAIAAtACAARwBlAG4AZQByAGkAYwBcACIALAAwAC4AMgA2ADYALABcACIATABvAGMAYQB0AGkAbwBuACAAbgBvAHQAIABzAHAAZQBjAGkAZgBpAGUAZABcACIALABcACIATgBpAHQAcgBvAGcAZQBuACAALQAgAEEAbQBtAG8AbgBpAGEAYwBhAGwAXAAiACwAMAAuADEAM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UAGUAcgBhACAASwBSAEkAUwBUAEEAIABNAEsAUABcACIALABcACIAawBnAFwAIgAsADEALABcACIAUABvAHQAYQBzAHMAaQB1AG0AIAAtACAARwBlAG4AZQByAGkAYwBcACIALAAwAC4AMgA4ADIALABcACIATABvAGMAYQB0AGkAbwBuACAAbgBvAHQAIABzAHAAZQBjAGkAZgBpAGUAZABcACIALABcACIAUABoAG8AcwBwAGgAbwByAHUAcwAgAC0AIABHAGUAbgBlAHIAaQBjAFwAIgAsADAALgAyADI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BcAG4AIAAgAH0ALAAgAHIALAAgAGMAKQBcAG4AKQApACkAOwBcAG4AXABuAEYAZQByAHQAaQBsAGkAcwBlAHIAXwBQAHIAbwBkAHUAYwB0AHMAXwBEAGEAdABhADQAXABuAD0ATABBAE0AQgBEAEEAKABcAG4AIABNAEEASwBFAEEAUgBSAEEAWQAoADUALAAgADMANQAsAFwAbgAgAEwAQQBNAEIARABBACgAcgAsAGMALABcAG4AIAAgAEkATgBEAEUAWAAoAHsAXABuAFwAIgBZAGEAcgBhAFQAZQByAGEAIABLAFIASQBTAFQAQQBMAE8ATgAgAFIARQBEAFwAIgAsAFwAIgBrAGcAXAAiACwAMQAsAFwAIgBQAG8AdABhAHMAcwBpAHUAbQAgAC0AIABHAGUAbgBlAHIAaQBjAFwAIgAsADAALgAyADkAOAA4ACwAXAAiAEwAbwBjAGEAdABpAG8AbgAgAG4AbwB0ACAAcwBwAGUAYwBpAGYAaQBlAGQAXAAiACwAXAAiAE4AaQB0AHIAbwBnAGUAbgAgAC0AIABHAGUAbgBlAHIAaQBjAFwAIgAsADAALgAxADIALABcACIATABvAGMAYQB0AGkAbwBuACAAbgBvAHQAIABzAHAAZQBjAGkAZgBpAGUAZABcACIALABcACIAUABoAG8AcwBwAGgAbwByAHUAcwAgAC0AIABHAGUAbgBlAHIAaQBjAFwAIgAsADAALgAwADUAMgA0ADQALABcACIATABvAGMAYQB0AGkAbwBuACAAbgBvAHQAIABzAHAAZQBjAGkAZgBpAGUAZABcACIALABcACIAUwB1AGwAZgB1AHIAIAAtACAARwBlAG4AZQByAGkAYwBcACIALAAwAC4AMAAxACwAXAAiAEwAbwBjAGEAdABpAG8AbgAgAG4AbwB0ACAAcwBwAGUAYwBpAGYAaQBlAGQAXAAiACwAXAAiAE0AYQBnAG4AZQBzAGkAdQBtACAALQAgAGcAZQBuAGUAcgBpAGMAXAAiACwAMAAuADAAMAA2ADAAMw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VABlAHIAYQAgAEsAUgBJAFMAVABBAEwATwBOACAAUwBQAEUAQwBJAEEATABcACIALABcACIAawBnAFwAIgAsADEALABcACIATgBpAHQAcgBvAGcAZQBuACAALQAgAEcAZQBuAGUAcgBpAGMAXAAiACwAMAAuADEAOAAsAFwAIgBMAG8AYwBhAHQAaQBvAG4AIABuAG8AdAAgAHMAcABlAGMAaQBmAGkAZQBkAFwAIgAsAFwAIgBQAG8AdABhAHMAcwBpAHUAbQAgAC0AIABHAGUAbgBlAHIAaQBjAFwAIgAsADAALgAxADQAOQAsAFwAIgBMAG8AYwBhAHQAaQBvAG4AIABuAG8AdAAgAHMAcABlAGMAaQBmAGkAZQBkAFwAIgAsAFwAIgBQAGgAbwBzAHAAaABvAHIAdQBzACAALQAgAEcAZQBuAGUAcgBpAGMAXAAiACwAMAAuADAANwA5ACwAXAAiAEwAbwBjAGEAdABpAG8AbgAgAG4AbwB0ACAAcwBwAGUAYwBpAGYAaQBlAGQAXAAiACwAXAAiAFMAdQBsAGYAdQByACAALQAgAEcAZQBuAGUAcgBpAGMAXAAiACwAMAAuADAAMgAsAFwAIgBMAG8AYwBhAHQAaQBvAG4AIABuAG8AdAAgAHMAcABlAGMAaQBmAGkAZQBkAFwAIgAsAFwAIgBNAGEAZwBuAGUAcwBpAHUAbQAgAC0AIABnAGUAbgBlAHIAaQBjAFwAIgAsADAALgAwADEAOA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VgBpAHQAYQAgAEcAbAB5AHQAcgBlAGwAIABaAG4AUABcACIALABcACIATABcACIALAAxAC4AMwA1ADQALABcACIAWgBpAG4AYwAgAC0AIABHAGUAbgBlAHIAaQBjAFwAIgAsADAALgAxACwAXAAiAEwAbwBjAGEAdABpAG8AbgAgAG4AbwB0ACAAcwBwAGUAYwBpAGYAaQBlAGQAXAAiACwAXAAiAFAAaABvAHMAcABoAG8AcgB1AHMAIAAtACAARwBlAG4AZQByAGkAYwBcACIALAAwAC4AMAA0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gBpAHQAYQAgAFoAaQBuAHQAcgBhAGMAXAAiACwAXAAiAEwAXAAiACwAMQAuADcAMwA0ACwAXAAiAFoAaQBuAGMAIAAtACAARwBlAG4AZQByAGkAYwBcACIALAAwAC4ANwAsAFwAIgBMAG8AYwBhAHQAaQBvAG4AIABuAG8AdAAgAHMAcABlAGMAaQBmAGkAZQBkAFwAIgAsAFwAIgBOAGkAdAByAG8AZwBlAG4AIAAtACAARwBlAG4AZQByAGkAYwBcACIALAAwAC4AMAAxADg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oAaQBuAGMAUwB0AGEAcgBcACIALABcACIAawBnAFwAIgAsADEALABcACIATgBpAHQAcgBvAGcAZQBuACAALQAgAEEAbQBtAG8AbgBpAGEAYwBhAGwAXAAiACwAMAAuADEALABcACIATABvAGMAYQB0AGkAbwBuACAAbgBvAHQAIABzAHAAZQBjAGkAZgBpAGUAZABcACIALABcACIAUABoAG8AcwBwAGgAbwByAHUAcwAgAC0AIABHAGUAbgBlAHIAaQBjAFwAIgAsADAALgAyADIALABcACIATABvAGMAYQB0AGkAbwBuACAAbgBvAHQAIABzAHAAZQBjAGkAZgBpAGUAZABcACIALABcACIAUwB1AGwAZgB1AHIAIAAtACAARwBlAG4AZQByAGkAYwBcACIALAAwAC4AMAAyACwAXAAiAEwAbwBjAGEAdABpAG8AbgAgAG4AbwB0ACAAcwBwAGUAYwBpAGYAaQBlAGQAXAAiACwAXAAiAFoAaQBuAGMAIAAtACAARwBlAG4AZQByAGkAYwBcACIALAAwAC4AMAAx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FwAbgAgACAAfQAsACAAcgAsACAAYwApAFwAbgApACkAKQA7AFwAbgAqAC8AXABuAFwAbgBcAG4AXABuACIAfQAsAHsAIgBwAGEAdABoACIAOgAiAC8AcAByAG8AagBlAGMAdABzAC8ARgBlAHIAdABpAGwAaQBzAGUAcgBfAEkAbgBwAHUAdABGAHUAbgBjAHQAaQBvAG4AcwAiACwAIgB0AGUAeAB0ACIAOgAiAEYAZQByAHQAaQBsAGkAcwBlAHIAXwBGAGUAcgB0AGkAbABpAHMAZQByAFAAcgBvAGQAdQBjAHQATABvAG8AawB1AHAAXABuAD0ATABBAE0AQgBEAEEAKABcAG4AIAAgAFAAcgBvAGQAdQBjAHQALABcAG4AIAAgAFAAcgBvAGQAdQBjAHQAQQB0AHQAcgBpAGIAdQB0AGUALABcAG4AIAAgAFAAcgBvAGQAdQBjAHQAQQByAHIAYQB5ACwAXABuACAAIABQAHIAbwBkAHUAYwB0AEEAcgByAGEAeQBDAG8AbAB1AG0AbgAsAFwAbgAgACAAUAByAG8AZAB1AGMAdABBAHIAcgBhAHkASABlAGEAZABlAHIAcwAsAFwAbgAgACAASQBGAEUAUgBSAE8AUgAoAFwAbgAgACAAIAAgAEkATgBEAEUAWAAoAFwAbgAgACAAIAAgACAAIABQAHIAbwBkAHUAYwB0AEEAcgByAGEAeQAsAFwAbgAgACAAIAAgACAAIABYAE0AQQBUAEMASAAoAFwAbgAgACAAIAAgACAAIAAgACAAVABSAEkATQAoAFwAbgAgACAAIAAgACAAIAAgACAAIAAgAFAAcgBvAGQAdQBjAHQAXABuACAAIAAgACAAIAAgACAAIAApACwAXABuACAAIAAgACAAIAAgACAAIABQAHIAbwBkAHUAYwB0AEEAcgByAGEAeQBDAG8AbAB1AG0AbgAsAFwAbgAgACAAIAAgACAAIAAgACAAMABcAG4AIAAgACAAIAAgACAAKQAsAFwAbgAgACAAIAAgACAAIABYAE0AQQBUAEMASAAoAFwAbgAgACAAIAAgACAAIAAgACAAVABSAEkATQAoAFwAbgAgACAAIAAgACAAIAAgACAAIAAgAFAAcgBvAGQAdQBjAHQAQQB0AHQAcgBpAGIAdQB0AGUAXABuACAAIAAgACAAIAAgACAAIAApACwAXABuACAAIAAgACAAIAAgACAAIABQAHIAbwBkAHUAYwB0AEEAcgByAGEAeQBIAGUAYQBkAGUAcgBzACwAXABuACAAIAAgACAAIAAgACAAIAAwAFwAbgAgACAAIAAgACAAIAApAFwAbgAgACAAIAAgACkALABcAG4AIAAgACAAIABcACIAXAAiAFwAbgAgACAAKQBcAG4AKQA7AFwAbgBcAG4ARgBlAHIAdABpAGwAaQBzAGUAcgBfAFMAdQBtAFAAcgBvAGQAdQBjAHQAQQBwAHAAbABpAGUAZABcAG4APQBMAEEATQBCAEQAQQAoAFwAbgAgACAATABvAG8AawB1AHAAVABhAHIAZwBlAHQAMQAsAFwAbgAgACAATABvAG8AawB1AHAAQQByAHIAYQB5ADEALABcAG4AIAAgAEEAbQBvAHUAbgB0AEEAcABwAGwAaQBlAGQALABcAG4AIAAgAFsATABvAG8AawB1AHAAVABhAHIAZwBlAHQAMgBdACwAXABuACAAIABbAEwAbwBvAGsAdQBwAEEAcgByAGEAeQAyAF0ALABcAG4AIAAgAEwARQBUACgAXABuACAAIAAgACAAYwByAGkAdABlAHIAaQBhADEALABcAG4AIAAgACAAIAAtAC0AKABcAG4AIAAgACAAIAAgACAATABvAG8AawB1AHAAQQByAHIAYQB5ADEAIAA9ACAATABvAG8AawB1AHAAVABhAHIAZwBlAHQAMQBcAG4AIAAgACAAIAApACwAXABuACAAIAAgACAAYwByAGkAdABlAHIAaQBhADIALABcAG4AIAAgACAAIABJAEYAKABcAG4AIAAgACAAIAAgACAASQBTAE8ATQBJAFQAVABFAEQAKABcAG4AIAAgACAAIAAgACAAIAAgAEwAbwBvAGsAdQBwAFQAYQByAGcAZQB0ADIAXABuACAAIAAgACAAIAAgACkALABcAG4AIAAgACAAIAAgACAAMQAsAFwAbgAgACAAIAAgACAAIAAtAC0AKABcAG4AIAAgACAAIAAgACAAIAAgAEwAbwBvAGsAdQBwAEEAcgByAGEAeQAyACAAPQAgAEwAbwBvAGsAdQBwAFQAYQByAGcAZQB0ADIAXABuACAAIAAgACAAIAAgACkAXABuACAAIAAgACAAKQAsAFwAbgAgACAAIAAgAFMAVQBNAFAAUgBPAEQAVQBDAFQAKABcAG4AIAAgACAAIAAgACAASQBGAEUAUgBSAE8AUgAoAGMAcgBpAHQAZQByAGkAYQAxACAAKgAgAGMAcgBpAHQAZQByAGkAYQAyACAAKgAgAEEAbQBvAHUAbgB0AEEAcABwAGwAaQBlAGQALAAgADAAKQBcAG4AIAAgACAAIAApAFwAbgAgACAAKQBcAG4AKQA7AFwAbgBcAG4ARgBlAHIAdABpAGwAaQBzAGUAcgBfAFQAbwB0AGEAbABTAG8AaQBsAEEAbQBlAG4AZABtAGUAbgB0AEEAcABwAGwAaQBlAGQAXABuAD0ATABBAE0AQgBEAEEAKABcAG4AIAAgAEEAbQBvAHUAbgB0AEEAcABwAGwAaQBlAGQALABcAG4AIAAgAEEAbQBlAG4AZABtAGUAbgB0AFAAZQByAGMAZQBuAHQALABcAG4AIAAgAFMAVQBNAFAAUgBPAEQAVQBDAFQAKABcAG4AIAAgACAAIABBAG0AbwB1AG4AdABBAHAAcABsAGkAZQBkACAAKgAgAEEAbQBlAG4AZABtAGUAbgB0AFAAZQByAGMAZQBuAHQAXABuACAAIAApAFwAbgApADsAXABuAFwAbgBGAGUAcgB0AGkAbABpAHMAZQByAF8AVABvAHQAYQBsAEMAaABlAG0AaQBjAGEAbABDAG8AbQBwAG8AdQBuAG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UABlAHIAYwBlAG4AdAAx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FwAbgAgACAAIAAgACgAXABuACAAIAAgACAAIAAgAEEAbQBvAHUAbgB0AEEAcABwAGwAaQBlAGQAIAAqACAAUAByAG8AZAB1AGMAdABJAG4AZwByAGUAZABpAGUAbgB0AFAAZQByAGMAZQBuAHQAMQBcAG4AIAAgACAAIAApACwAXABuACAAIAAgACAAYwBhAGwAYwB1AGwAYQB0AGUAZABBAG0AbwB1AG4AdAAyACwAXABuACAAIAAgACAAKABcAG4AIAAgACAAIAAgACAAQQBtAG8AdQBuAHQAQQBwAHAAbABpAGUAZAAgACoAIABQAHIAbwBkAHUAYwB0AEkAbgBnAHIAZQBkAGkAZQBuAHQAUABlAHIAYwBlAG4AdAAyAFwAbgAgACAAIAAgACkALABcAG4AIAAgACAAIABjAGEAbABjAHUAbABhAHQAZQBkAEEAbQBvAHUAbgB0ADMALABcAG4AIAAgACAAIAAoAFwAbgAgACAAIAAgACAAIABBAG0AbwB1AG4AdABBAHAAcABsAGkAZQBkACAAKgAgAFAAcgBvAGQAdQBjAHQASQBuAGcAcgBlAGQAaQBlAG4AdABQAGUAcgBjAGUAbgB0ADMAXABuACAAIAAgACAAKQAsAFwAbgAgACAAIAAgAGMAYQBsAGMAdQBsAGEAdABlAGQAQQBtAG8AdQBuAHQANAAsAFwAbgAgACAAIAAgACgAXABuACAAIAAgACAAIAAgAEEAbQBvAHUAbgB0AEEAcABwAGwAaQBlAGQAIAAqACAAUAByAG8AZAB1AGMAdABJAG4AZwByAGUAZABpAGUAbgB0AFAAZQByAGMAZQBuAHQANABcAG4AIAAgACAAIAApACwAXABuACAAIAAgACAAYwBhAGwAYwB1AGwAYQB0AGUAZABBAG0AbwB1AG4AdAA1ACwAXABuACAAIAAgACAAKABcAG4AIAAgACAAIAAgACAAQQBtAG8AdQBuAHQAQQBwAHAAbABpAGUAZAAgACoAIABQAHIAbwBkAHUAYwB0AEkAbgBnAHIAZQBkAGkAZQBuAHQAUABlAHIAYwBlAG4AdAA1AFwAbgAgACAAIAAgACkALABcAG4AIAAgACAAIABjAGEAbABjAHUAbABhAHQAZQBkAEEAbQBvAHUAbgB0ADYALABcAG4AIAAgACAAIAAoAFwAbgAgACAAIAAgACAAIABBAG0AbwB1AG4AdABBAHAAcABsAGkAZQBkACAAKgAgAFAAcgBvAGQAdQBjAHQASQBuAGcAcgBlAGQAaQBlAG4AdABQAGUAcgBjAGUAbgB0ADY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AAsAFwAbgAgACAAIAAgACAAIAAgACAAYwBhAGwAYwB1AGwAYQB0AGUAZABBAG0AbwB1AG4AdAA0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1ACwAXABuACAAIAAgACAAIAAgACAAIABjAGEAbABjAHUAbABhAHQAZQBkAEEAbQBvAHUAbgB0AD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YALABcAG4AIAAgACAAIAAgACAAIAAgAGMAYQBsAGMAdQBsAGEAdABlAGQAQQBtAG8AdQBuAHQANgBcAG4AIAAgACAAIAAgACAAKQAsAFwAbgAgACAAIAAgACAAIAAwAFwAbgAgACAAIAAgACkAXABuACAAIAApAFwAbgApADsAXABuAFwAbgBGAGUAcgB0AGkAbABpAHMAZQByAF8AVABvAHQAYQBsAEMAaABlAG0AaQBjAGEAbABDAG8AbQBwAG8AdQBuAGQAdABBAHAAcABsAGkAZQBkAEIAeQBTAG8AdQByAGMAZQBBAGwAbABJAG4AZwByAGUAZABpAGUAbgB0AHMAXABuAD0ATABBAE0AQgBEAEEAKABcAG4AIAAgAEMAaABlAG0AaQBjAGEAbABDAG8AbQBwAG8AdQBuAGQALABcAG4AIAAgAFMAbwB1AHIAYwBlACwAXABuACAAIABBAG0AbwB1AG4AdABBAHAAcABsAGkAZQBkACwAXABuACAAIABQAHIAbwBkAHUAYwB0AEkAbgBnAHIAZQBkAGkAZQBuAHQAMQAsAFwAbgAgACAAUAByAG8AZAB1AGMAdABJAG4AZwByAGUAZABpAGUAbgB0AFAAZQByAGMAZQBuAHQAMQAsAFwAbgAgACAAWwBQAHIAbwBkAHUAYwB0AEkAbgBnAHIAZQBkAGkAZQBuAHQAUwBvAHUAcgBjAGUAX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QAHIAbwBkAHUAYwB0AEkAbgBnAHIAZQBkAGkAZQBuAHQAUwBvAHUAcgBjAGUALABcAG4AIAAgACAAIABJAEYAKABcAG4AIAAgACAAIAAgACAAUAByAG8AZAB1AGMAdABJAG4AZwByAGUAZABpAGUAbgB0AFMAbwB1AHIAYwBlACAAPQAgAFwAIgBcACIALABcAG4AIAAgACAAIAAgACAAXAAiAEcAbABvAGIAYQBsAFwAIgAsAFwAbgAgACAAIAAgACAAIABQAHIAbwBkAHUAYwB0AEkAbgBnAHIAZQBkAGkAZQBuAHQAUwBvAHUAcgBjAGU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LABcAG4AIAAgACAAIAAgACAAUwBvAHUAcgBjAGUALABcAG4AIAAgACAAIAAgACAAUAByAG8AZAB1AGMAdABJAG4AZwByAGUAZABpAGUAbgB0AFMAbwB1AHIAYwBl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LABcAG4AIAAgACAAIAAgACAAIAAgAFMAbwB1AHIAYwBlACwAXABuACAAIAAgACAAIAAgACAAIABQAHIAbwBkAHUAYwB0AEkAbgBnAHIAZQBkAGkAZQBuAHQAUwBvAHUAcgBjAGUAXABuACAAIAAgACAAIAAgACkALABcAG4AIAAgACAAIAAgACAAMABcAG4AIAAgACAAIAApAFwAbgAgACAAKQBcAG4AKQA7AFwAbgBcAG4ARgBlAHIAdABpAGwAaQBzAGUAcgBfAEcAZQB0AFMAYwBvAHAAZQAzAEUARgBcAG4APQBMAEEATQBCAEQAQQAoAFwAbgAgACAAQwBoAGUAbQBpAGMAYQBsAEMAbwBtAHAAbwB1AG4AZAAsAFwAbgAgACAAUwBjAG8AcABlADMAQQByAHIAYQB5ACwAXABuACAAIABDAGgAZQBtAGkAYwBhAGwAQwBvAG0AcABvAHUAbgBkAEMAbwBsAHUAbQBuACwAXABuACAAIABTAG8AdQByAGMAZQAsAFwAbgAgACAAUwBvAHUAcgBjAGUAUgBvAHcALABcAG4AIAAgAEkATgBEAEUAWAAoAFwAbgAgACAAIAAgAFMAYwBvAHAAZQAzAEEAcgByAGEAeQAsAFwAbgAgACAAIAAgAE0AQQBUAEMASAAoAFwAbgAgACAAIAAgACAAIABDAGgAZQBtAGkAYwBhAGwAQwBvAG0AcABvAHUAbgBkACwAXABuACAAIAAgACAAIAAgAEMAaABlAG0AaQBjAGEAbABDAG8AbQBwAG8AdQBuAGQAQwBvAGwAdQBtAG4ALABcAG4AIAAgACAAIAAgACAAMABcAG4AIAAgACAAIAApACwAXABuACAAIAAgACAATQBBAFQAQwBIACgAXABuACAAIAAgACAAIAAgAFMAbwB1AHIAYwBlACwAXABuACAAIAAgACAAIAAgAFMAbwB1AHIAYwBlAFIAbwB3ACwAXABuACAAIAAgACAAIAAgADAAXABuACAAIAAgACAAKQBcAG4AIAAgACkAXABuACkAOwBcAG4AXABuAEYAZQByAHQAaQBsAGkAcwBlAHIAXwBHAGUAdABDAGgAZQBtAGkAYwBhAGwAQwBvAG0AcABvAHUAbgBkAEUAbABlAG0AZQBuAHQARgByAGEAYwB0AGkAbwBuAFwAbgA9AEwAQQBNAEIARABBACgAXABuACAAIABDAGgAZQBtAGkAYwBhAGwAQwBvAG0AcABvAHUAbgBkACwAXABuACAAIABFAGwAZQBtAGUAbgB0ACwAXABuACAAIABDAGgAZQBtAGkAYwBhAGwAQwBvAG0AcABvAHUAbgBkAEEAcgByAGEAeQAsAFwAbgAgACAAQwBoAGUAbQBpAGMAYQBsAEMAbwBtAHAAbwB1AG4AZABDAG8AbAB1AG0AbgAsAFwAbgAgACAARQBsAGUAbQBlAG4AdABSAG8AdwAsAFwAbgAgACAASQBOAEQARQBYACgAXABuACAAIAAgACAAQwBoAGUAbQBpAGMAYQBsAEMAbwBtAHAAbwB1AG4AZA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FAGwAZQBtAGUAbgB0ACwAXABuACAAIAAgACAAIAAgAEUAbABlAG0AZQBuAHQAUgBvAHcALABcAG4AIAAgACAAIAAgACAAMABcAG4AIAAgACAAIAApAFwAbgAgACAAKQBcAG4AKQA7AFwAbgBcAG4ARgBlAHIAdABpAGwAaQBzAGUAcgBfAFQAbwB0AGEAbABBAGMAdABpAHYAZQBJAG4AZwByAGUAZABpAGUAbgB0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UAbgBpAHQAMQAsAFwAbgAgACAAUAByAG8AZAB1AGMAdABJAG4AZwByAGUAZABpAGUAbgB0AFAAZQByAGMAZQBuAHQAMQAsAFwAbgAgACAAWwBQAHIAbwBkAHUAYwB0AEkAbgBnAHIAZQBkAGkAZQBuAHQAMgBdACwAXABuACAAIABbAFAAcgBvAGQAdQBjAHQASQBuAGcAcgBlAGQAaQBlAG4AdABVAG4AaQB0ADIAXQAsAFwAbgAgACAAWwBQAHIAbwBkAHUAYwB0AEkAbgBnAHIAZQBkAGkAZQBuAHQAUABlAHIAYwBlAG4AdAAyAF0ALABcAG4AIAAgAFsAUAByAG8AZAB1AGMAdABJAG4AZwByAGUAZABpAGUAbgB0ADMAXQAsAFwAbgAgACAAWwBQAHIAbwBkAHUAYwB0AEkAbgBnAHIAZQBkAGkAZQBuAHQAVQBuAGkAdAAzAF0ALABcAG4AIAAgAFsAUAByAG8AZAB1AGMAdABJAG4AZwByAGUAZABpAGUAbgB0AFAAZQByAGMAZQBuAHQAMwBdACwAXABuACAAIABMAEUAVAAoAFwAbgAgACAAIAAgAGMAYQBsAGMAdQBsAGEAdABlAGQAQQBtAG8AdQBuAHQAMQ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EALABcAG4AIAAgACAAIAAgACAAIAAgAEEAbQBvAHUAbgB0AEEAcABwAGwAaQBlAGQAIAAqACgAXABuACAAIAAgACAAIAAgACAAIAAgACAAUAByAG8AZAB1AGMAdABJAG4AZwByAGUAZABpAGUAbgB0AFAAZQByAGMAZQBuAHQAMQAgACoAIAAxADAAIABeACAALQAgADMAXABuACAAIAAgACAAIAAgACAAIAApAFwAbgAgACAAIAAgACAAIAApAFwAbgAgACAAIAAgACkALABcAG4AIAAgACAAIABjAGEAbABjAHUAbABhAHQAZQBkAEEAbQBvAHUAbgB0ADI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yACwAXABuACAAIAAgACAAIAAgACAAIABBAG0AbwB1AG4AdABBAHAAcABsAGkAZQBkACAAKgAoAFwAbgAgACAAIAAgACAAIAAgACAAIAAgAFAAcgBvAGQAdQBjAHQASQBuAGcAcgBlAGQAaQBlAG4AdABQAGUAcgBjAGUAbgB0ADIAIAAqACAAMQAwACAAXgAgAC0AIAAzAFwAbgAgACAAIAAgACAAIAAgACAAKQBcAG4AIAAgACAAIAAgACAAKQBcAG4AIAAgACAAIAApACwAXABuACAAIAAgACAAYwBhAGwAYwB1AGwAYQB0AGUAZABBAG0AbwB1AG4AdAAz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wAsAFwAbgAgACAAIAAgACAAIAAgACAAQQBtAG8AdQBuAHQAQQBwAHAAbABpAGUAZAAgACoAKABcAG4AIAAgACAAIAAgACAAIAAgACAAIABQAHIAbwBkAHUAYwB0AEkAbgBnAHIAZQBkAGkAZQBuAHQAUABlAHIAYwBlAG4AdAAzACAAKgAgADEAMAAgAF4AIAAtACAAMwBcAG4AIAAgACAAIAAgACAAIAAgACkAXABuACAAIAAgACAAIAAgACkAXABuACAAIAAgACAAKQAsAFwAbgAgACAAIAAgAEYAZQByAHQAaQBsAGkAcwBlAHIAXwBJAG4AcAB1AHQARgB1AG4AYwB0AGkAbwBuAHMALg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BcAG4AIAAgACAAIAAgACAAKQAsAFwAbgAgACAAIAAgACAAIAAw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XABuACAAIAApAFwAbgApACIAfQAsAHsAIgBwAGEAdABoACIAOgAiAC8AcAByAG8AagBlAGMAdABzAC8ARQBsAGUAYwB0AHIAaQBjAGkAdAB5AF8AUwBvAHUAcgBjAGUARABhAHQAYQAiACwAIgB0AGUAeAB0ACIAOgAiAC8AKgBcAG4APQA9AD0APQA9AD0APQA9AD0APQA9AD0APQA9AD0APQA9AD0APQA9AD0APQA9AD0APQA9AD0APQA9AD0APQA9AD0APQA9AD0APQA9AD0APQA9AD0APQA9AD0APQA9AD0APQA9AD0APQA9AD0APQA9AD0APQA9AD0APQA9AD0APQA9AD0APQA9AD0APQA9AD0APQA9AD0APQBcAG4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Ag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MAG8AYwBhAHQAaQBvAG4AQgBhAHMAZQBkAF8AVABpAHQAbABlAFwAbgA9AEwAQQBNAEIARABBACgAKABcACIARQBsAGUAYwB0AHIAaQBjAGkAdAB5ACAAcwBjAG8AcABlACAAMgAgAGEAbgBkACAAcwBjAG8AcABlACAAMwAgAGwAbwBjAGEAdABpAG8AbgAtAGIAYQBzAGUAZAAgAGUAbQBpAHMAcwBpAG8AbgAgAGYAYQBjAHQAbwByAHMAXAAiACkAKQA7AFwAbgBcAG4ARQBsAGUAYwB0AHIAaQBjAGkAdAB5AF8AUwBjAG8AcABlADIATABvAGMAYQB0AGkAbwBuAEIAYQBzAGUAZABfAEQAZQBzAGMAcgBpAHAAdABpAG8AbgBcAG4APQBMAEEATQBCAEQAQQAoACgAXAAiAEkAbgBkAGkAcgBlAGMAdAAgACgAcwBjAG8AcABlACAAMgAgAGEAbgBkACAAcwBjAG8AcABlACAAMwApACAAbABvAGMAYQB0AGkAbwBuAC0AYgBhAHMAZQBkACAAZQBtAGkAcwBzAGkAbwBuACAAZgBhAGMAdABvAHIAcwAgAGEAcwBzAG8AYwBpAGEAdABlAGQAIAB3AGkAdABoACAAdABoAGUAIABjAG8AbgBzAHUAbQBwAHQAaQBvAG4AIABhAG4AZAAgAGwAbwBzAHMAZQBzACAAbwBmACAAcAB1AHIAYwBoAGEAcwBlAGQAIABvAHIAIABhAGMAcQB1AGkAcgBlAGQAIABlAGwAZQBjAHQAcgBpAGMAaQB0AHkAXAAiACkAKQA7AFwAbgBcAG4ARQBsAGUAYwB0AHIAaQBjAGkAdAB5AF8AUwBjAG8AcABlADIAUwBjAG8AcABlADMATABvAGMAYQB0AGkAbwBuAEIAYQBzAGUAZABfAFMAbwB1AHIAYwBlAFwAbgA9AEwAQQBNAEIARABBACgAKABcACIAQQB1AHMAdAByAGEAbABpAGEAbgAgAE4AYQB0AGkAbwBuAGEAbAAgAEcAcgBlAGUAbgBoAG8AdQBzAGUAIABBAGMAYwBvAHUAbgB0AHMAIABGAGEAYwB0AG8AcgBzACAAMgAwADIANQAgAC0AIABUAGEAYgBsAGUAIAAxAFwAIgApACkAOwBcAG4AXABuAEUAbABlAGMAdAByAGkAYwBpAHQAeQBfAFMAYwBvAHAAZQAyAFMAYwBvAHAAZQAzAEwAbwBjAGEAdABpAG8AbgBCAGEAcwBlAGQAXwBEAGEAdABhAFwAbgA9AEwAQQBNAEIARABBACgAXABuACAAIABNAEEASwBFAEEAUgBSAEEAWQAoADEAMQAsACAAMw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zACAARQBtAGkAcwBzAGkAbwBuACAARgBhAGMAdABvAHIAcwAgACgAawBnACAAQwBPADIALQBlAC8AawBXAGgAKQBcACIAOwBcAG4AIAAgACAAIAAgACAAIAAgAFwAIgBOAGUAdwAgAFMAbwB1AHQAaAAgAFcAYQBsAGUAcwBcACIALAAgADAALgA2ADQALAAgADAALgAwADMAOwBcAG4AIAAgACAAIAAgACAAIAAgAFwAIgBBAEMAVABcACIALAAgADAALgA2ADQALAAgADAALgAwADMAOwBcAG4AIAAgACAAIAAgACAAIAAgAFwAIgBWAGkAYwB0AG8AcgBpAGEAXAAiACwAIAAwAC4ANwA4ACwAIAAwAC4AMAA5ADsAXABuACAAIAAgACAAIAAgACAAIABcACIAUQB1AGUAZQBuAHMAbABhAG4AZABcACIALAAgADAALgA2ADcALAAgADAALgAwADkAOwBcAG4AIAAgACAAIAAgACAAIAAgAFwAIgBTAG8AdQB0AGgAIABBAHUAcwB0AHIAYQBsAGkAYQBcACIALAAgADAALgAyADIALAAgADAALgAwADQAOwBcAG4AIAAgACAAIAAgACAAIAAgAFwAIgBXAGUAcwB0AGUAcgBuACAAQQB1AHMAdAByAGEAbABpAGEAIAAtACAAUwBvAHUAdABoACAAVwBlAHMAdAAgAEkAbgB0AGUAcgBjAG8AbgBuAGUAYwB0AGUAZAAgAFMAeQBzAHQAZQBtACAAKABTAFcASQBTACkAXAAiACwAIAAwAC4ANQAwACwAIAAwAC4AMAA2ADsAXABuACAAIAAgACAAIAAgACAAIABcACIAVwBlAHMAdABlAHIAbgAgAEEAdQBzAHQAcgBhAGwAaQBhACAALQAgAE4AbwByAHQAaAAgAFcAZQBzAHQAZQByAG4AIABJAG4AdABlAHIAYwBvAG4AbgBlAGMAdABlAGQAIABTAHkAcwB0AGUAbQAgACgATgBXAEkAUwApAFwAIgAsACAAMAAuADUANgAsACAAMAAuADAAOQA7AFwAbgAgACAAIAAgACAAIAAgACAAXAAiAFQAYQBzAG0AYQBuAGkAYQBcACIALAAgADAALgAyADAALAAgADAALgAwADMAOwBcAG4AIAAgACAAIAAgACAAIAAgAFwAIgBOAG8AcgB0AGgAZQByAG4AIABUAGUAcgByAGkAdABvAHIAeQAgAC0AIABEAGEAcgB3AGkAbgAgAEsAYQB0AGgAZQByAGkAbgBlACAASQBuAHQAZQByAGMAbwBuAG4AZQBjAHQAZQBkACAAUwB5AHMAdABlAG0AIAAoAEQASwBJAFMAKQBcACIALAAgADAALgA1ADYALAAgADAALgAwADkAOwBcAG4AIAAgACAAIAAgACAAIAAgAFwAIgBOAGEAdABpAG8AbgBhAGwAXAAiACwAIAAwAC4ANgAyACwAIAAwAC4AMAA3AFwAbgAgACAAIAAgACAAIAB9ACwAIAByACwAIABjACkAXABuACkAKQApADsAXABuAFwAbgBFAGwAZQBjAHQAcgBpAGMAaQB0AHkAXwBTAGMAbwBwAGUAMgBTAGMAbwBwAGUAMwBMAG8AYwBhAHQAaQBvAG4AQgBhAHMAZQBkAF8AVgBhAHIAaQBhAHQAaQBvAG4AXABuAD0ATABBAE0AQgBEAEEAKAAoAFwAIgBWAEEAUgBJAEEAVABJAE8ATgAgAE8ARgAgAFMATwBVAFIAQwBFACAARABBAFQAQQA6ACAATgBTAFcAIABhAG4AZAAgAEEAQwBUACAAcwBwAGwAaQB0ACAAaQBuAHQAbwAgAHMAZQBwAGEAcgBhAHQAZQAgAHIAbwB3AHMALgBcACIAKQApADsAXABuAFwAbgBcAG4ALwAqAFwAbgA9AD0APQA9AD0APQA9AD0APQA9AD0APQA9AD0APQA9AD0APQA9AD0APQA9AD0APQA9AD0APQA9AD0APQA9AD0APQA9AD0APQA9AD0APQA9AD0APQA9AD0APQA9AD0APQA9AD0APQA9AD0APQA9AD0APQA9AD0APQA9AD0APQA9AD0APQA9AD0APQA9AD0APQA9AD0APQA9AFwAbgBSAGUAcwBpAGQAdQBhAGwAIABNAGkAeAAgAEYAYQBjAHQAbwByACAAZgBvAHIAIABtAGEAcgBrAGUAdAAtAGIAYQBzAGUAZAAgAGUAcQB1AGEAdABpAG8AbgBz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NAGEAcgBrAGUAdABCAGEAcwBlAGQAXwBUAGkAdABsAGUAXABuAD0ATABBAE0AQgBEAEEAKAAoAFwAIgBFAGwAZQBjAHQAcgBpAGMAaQB0AHkAIABzAGMAbwBwAGUAIAAyACAAYQBuAGQAIABzAGMAbwBwAGUAIAAzACAAbQBhAHIAawBlAHQALQBiAGEAcwBlAGQAIABlAG0AaQBzAHMAaQBvAG4AIABmAGEAYwB0AG8AcgBzAFwAIgApACkAOwBcAG4AXABuAEUAbABlAGMAdAByAGkAYwBpAHQAeQBfAFMAYwBvAHAAZQAyAE0AYQByAGsAZQB0AEIAYQBzAGUAZABfAEQAZQBzAGMAcgBpAHAAdABpAG8AbgBcAG4APQBMAEEATQBCAEQAQQAoACgAXAAiAFQAYQBiAGwAZQAgADIAYQAgAEkAbgBkAGkAcgBlAGMAdAAgACgAcwBjAG8AcABlACAAMgAgAGEAbgBkACAAcwBjAG8AcABlACAAMwApACAAZQBtAGkAcwBzAGkAbwBuACAAZgBhAGMAdABvAHIAcwAgAGYAcgBvAG0AIABjAG8AbgBzAHUAbQBwAHQAaQBvAG4AIABvAGYAIABwAHUAcgBjAGgAYQBzAGUAZAAgAG8AcgAgAGEAYwBxAHUAaQByAGUAZAAgAGUAbABlAGMAdAByAGkAYwBpAHQAeQA6ACAAbQBhAHIAawBlAHQALQBiAGEAcwBlAGQAIABmAGEAYwB0AG8AcgBzACAAXAAiACkAKQA7AFwAbgBcAG4ARQBsAGUAYwB0AHIAaQBjAGkAdAB5AF8AUwBjAG8AcABlADIAUwBjAG8AcABlADMATQBhAHIAawBlAHQAQgBhAHMAZQBkAF8AUwBvAHUAcgBjAGUAXABuAD0ATABBAE0AQgBEAEEAKAAoAFwAIgBBAHUAcwB0AHIAYQBsAGkAYQBuACAATgBhAHQAaQBvAG4AYQBsACAARwByAGUAZQBuAGgAbwB1AHMAZQAgAEEAYwBjAG8AdQBuAHQAcwAgAEYAYQBjAHQAbwByAHMAIAAyADAAMgA1ACAALQAgAFQAYQBiAGwAZQAgADIAYQBcACIAKQApADsAXABuAFwAbgBFAGwAZQBjAHQAcgBpAGMAaQB0AHkAXwBTAGMAbwBwAGUAMgBTAGMAbwBwAGUAMwBNAGEAcgBrAGUAdABCAGEAcwBlAGQAXwBEAGEAdABhAFwAbgA9AEwAQQBNAEIARABBACgAXABuACAAIABNAEEASwBFAEEAUgBSAEEAWQAoADIALAAgADUALABcAG4AIAAgACAAIABMAEEATQBCAEQAQQAoAHIALABjACwAXABuACAAIAAgACAAIAAgAEkATgBEAEUAWAAoAHsAXABuACAAIAAgACAAIAAgACAAIABcACIAUwB0AGEAdABlACwAIABUAGUAcgByAGkAdABvAHIAeQAgAG8AcgAgAGcAcgBpAGQAIABkAGUAcwBjAHIAaQBwAHQAaQBvAG4AXAAiACwAIABcACIAUwBjAG8AcABlACAAMgAgAEUAbQBpAHMAcwBpAG8AbgAgAEYAYQBjAHQAbwByAHMAIAAoAGsAZwAgAEMATwAyAC0AZQAvAGsAVwBoACkAXAAiACwAIABcACIAUwBjAG8AcABlACAAMgAgAEUAbQBpAHMAcwBpAG8AbgAgAEYAYQBjAHQAbwByAHMAIAAoAGsAZwAgAEMATwAyAC0AZQAvAEcASgApAFwAIgAsACAAXAAiAFMAYwBvAHAAZQAgADMAIABFAG0AaQBzAHMAaQBvAG4AIABGAGEAYwB0AG8AcgBzACAAKABrAGcAIABDAE8AMgAgAC0AIABlACAALwAgAGsAVwBoACkAXAAiACwAIABcACIAUwBjAG8AcABlACAAMwAgAEUAbQBpAHMAcwBpAG8AbgAgAEYAYQBjAHQAbwByAHMAIAAoAGsAZwAgAEMATwAyACAALQAgAGUAIAAvACAARwBKACkAXAAiADsAXABuACAAIAAgACAAIAAgACAAIABcACIATgBhAHQAaQBvAG4AYQBsAFwAIgAsACAAMAAuADgAMQAsACAAMgAyADYALAAgADAALgAxADAALAAgADIAOQBcAG4AIAAgACAAIAAgACAAfQAsACAAcgAsACAAYwApAFwAbgApACkAKQA7AFwAbgBcAG4ARQBsAGUAYwB0AHIAaQBjAGkAdAB5AF8AUwBjAG8AcABlADIAUwBjAG8AcABlADMATQBhAHIAawBlAHQAQgBhAHMAZQBkAF8AVgBhAHIAaQBhAHQAaQBvAG4AXABuAD0ATABBAE0AQgBEAEEAKAAoAFwAIgBcACIAKQApADsAIgB9ACwAewAiAHAAYQB0AGgAIgA6ACIALwBwAHIAbwBqAGUAYwB0AHMALwBTAGMAbwBwAGUAMwBfAFMAbwB1AHIAYwBlAEQAYQB0AGEAIgAsACIAdABlAHgAdAAiADoAIgBcAG4ALwAqAFwAbgA9AD0APQA9AD0APQA9AD0APQA9AD0APQA9AD0APQA9AD0APQA9AD0APQA9AD0APQA9AD0APQA9AD0APQA9AD0APQA9AD0APQA9AD0APQA9AD0APQA9AD0APQA9AD0APQA9AD0APQA9AD0APQA9AD0APQA9AD0APQA9AD0APQA9AD0APQA9AD0APQA9AD0APQA9AD0APQA9AFwAbgBBAG4AaQBtAGEAbABzAFwAbgA9AD0APQA9AD0APQA9AD0APQA9AD0APQA9AD0APQA9AD0APQA9AD0APQA9AD0APQA9AD0APQA9AD0APQA9AD0APQA9AD0APQA9AD0APQA9AD0APQA9AD0APQA9AD0APQA9AD0APQA9AD0APQA9AD0APQA9AD0APQA9AD0APQA9AD0APQA9AD0APQA9AD0APQA9AD0APQA9AFwAbgAqAC8AXABuAFwAbgBTAGMAbwBwAGUAMwBfAEwAaQB2AGUAcwB0AG8AYwBrAF8AVABpAHQAbABlAFwAbgA9AEwAQQBNAEIARABBACgAKABcACIATABpAHYAZQBzAHQAbwBjAGsAIABzAGMAbwBwAGUAIAAzAFwAIgApACkAOwBcAG4AXABuAFMAYwBvAHAAZQAzAF8ATABpAHYAZQBzAHQAbwBjAGs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MAGkAdgBlAHMAdABvAGMAawBfAFYAYQByAGkAYQB0AGkAbwBuAFwAbgA9AEwAQQBNAEIARABBACgAKABcACIAXAAiACkAKQA7AFwAbgBcAG4AUwBjAG8AcABlADMAXwBMAGkAdgBlAHMAdABvAGMAawBfAEQAYQB0AGEAXABuAD0ATABBAE0AQgBEAEEAKABcAG4AIAAgAE0AQQBLAEUAQQBSAFIAQQBZACgANAAy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QBuAGkAbQBhAGwAcwBcACIALAAgAFwAIgBCAGUAZQBmACAAYwBhAHQAdABsAGUAXAAiACwAIABcACIAQwBhAHQAdABsAGUALAAgAGYAbwByACAAbQBhAG4AdQBmAGEAYwB0AHUAcgBpAG4AZwAgAGIAZQBlAGYAXAAiACwAIABcACIAQQB1AHMAdAByAGEAbABpAGEAXAAiACwAIABcACIAawBnACAAbABpAHYAZQB3AGUAaQBnAGgAdABcACIALAAgADEAMQAsACAAXAAiAGEAdAAgAG0AYQByAGsAZQB0AFwAIgA7AFwAbgAgACAAIAAgACAAIAAgACAAXAAiAEEAbgBpAG0AYQBsAHMAXAAiACwAIABcACIAQgBlAGUAZgAgAGMAYQB0AHQAbABlAFwAIgAsACAAXAAiAEMAYQB0AHQAbABlACwAIABmAG8AcgAgAG0AYQBuAHUAZgBhAGMAdAB1AHIAaQBuAGcAIABiAGUAZQBmAFwAIgAsACAAXAAiAE4AUwBXAFwAIgAsACAAXAAiAGsAZwAgAGwAaQB2AGUAdwBlAGkAZwBoAHQAXAAiACwAIAA4AC4AMgAxACwAIABcACIAYQB0ACAAbQBhAHIAawBlAHQAXAAiADsAXABuACAAIAAgACAAIAAgACAAIABcACIAQQBuAGkAbQBhAGwAcwBcACIALAAgAFwAIgBCAGUAZQBmACAAYwBhAHQAdABsAGUAXAAiACwAIABcACIAQwBhAHQAdABsAGUALAAgAGYAbwByACAAbQBhAG4AdQBmAGEAYwB0AHUAcgBpAG4AZwAgAGIAZQBlAGYAXAAiACwAIABcACIATgBUAFwAIgAsACAAXAAiAGsAZwAgAGwAaQB2AGUAdwBlAGkAZwBoAHQAXAAiACwAIAAxADIALgAyACwAIABcACIAYQB0ACAAbQBhAHIAawBlAHQAXAAiADsAXABuACAAIAAgACAAIAAgACAAIABcACIAQQBuAGkAbQBhAGwAcwBcACIALAAgAFwAIgBCAGUAZQBmACAAYwBhAHQAdABsAGUAXAAiACwAIABcACIAQwBhAHQAdABsAGUALAAgAGYAbwByACAAbQBhAG4AdQBmAGEAYwB0AHUAcgBpAG4AZwAgAGIAZQBlAGYAXAAiACwAIABcACIAUQBMAEQAXAAiACwAIABcACIAawBnACAAbABpAHYAZQB3AGUAaQBnAGgAdABcACIALAAgADEAMAAuADkALAAgAFwAIgBhAHQAIABtAGEAcgBrAGUAdABcACIAOwBcAG4AIAAgACAAIAAgACAAIAAgAFwAIgBBAG4AaQBtAGEAbABzAFwAIgAsACAAXAAiAEIAZQBlAGYAIABjAGEAdAB0AGwAZQBcACIALAAgAFwAIgBDAGEAdAB0AGwAZQAsACAAZgBvAHIAIABtAGEAbgB1AGYAYQBjAHQAdQByAGkAbgBnACAAYgBlAGUAZgBcACIALAAgAFwAIgBTAEEAXAAiACwAIABcACIAawBnACAAbABpAHYAZQB3AGUAaQBnAGgAdABcACIALAAgADcALgA2ADMALAAgAFwAIgBhAHQAIABtAGEAcgBrAGUAdABcACIAOwBcAG4AIAAgACAAIAAgACAAIAAgAFwAIgBBAG4AaQBtAGEAbABzAFwAIgAsACAAXAAiAEIAZQBlAGYAIABjAGEAdAB0AGwAZQBcACIALAAgAFwAIgBDAGEAdAB0AGwAZQAsACAAZgBvAHIAIABtAGEAbgB1AGYAYQBjAHQAdQByAGkAbgBnACAAYgBlAGUAZgBcACIALAAgAFwAIgBUAEEAUwBcACIALAAgAFwAIgBrAGcAIABsAGkAdgBlAHcAZQBpAGcAaAB0AFwAIgAsACAAOAAuADcANQAsACAAXAAiAGEAdAAgAG0AYQByAGsAZQB0AFwAIgA7AFwAbgAgACAAIAAgACAAIAAgACAAXAAiAEEAbgBpAG0AYQBsAHMAXAAiACwAIABcACIAQgBlAGUAZgAgAGMAYQB0AHQAbABlAFwAIgAsACAAXAAiAEMAYQB0AHQAbABlACwAIABmAG8AcgAgAG0AYQBuAHUAZgBhAGMAdAB1AHIAaQBuAGcAIABiAGUAZQBmAFwAIgAsACAAXAAiAFYASQBDAFwAIgAsACAAXAAiAGsAZwAgAGwAaQB2AGUAdwBlAGkAZwBoAHQAXAAiACwAIAA4AC4AMQA3ACwAIABcACIAYQB0ACAAbQBhAHIAawBlAHQAXAAiADsAXABuACAAIAAgACAAIAAgACAAIABcACIAQQBuAGkAbQBhAGwAcwBcACIALAAgAFwAIgBCAGUAZQBmACAAYwBhAHQAdABsAGUAXAAiACwAIABcACIAQwBhAHQAdABsAGUALAAgAGYAbwByACAAbQBhAG4AdQBmAGEAYwB0AHUAcgBpAG4AZwAgAGIAZQBlAGYAXAAiACwAIABcACIAVwBBAFwAIgAsACAAXAAiAGsAZwAgAGwAaQB2AGUAdwBlAGkAZwBoAHQAXAAiACwAIAAxADMALgAxACwAIABcACIAYQB0ACAAbQBhAHIAawBlAHQAXAAiADsAXABuACAAIAAgACAAIAAgACAAIABcACIAQQBuAGkAbQBhAGwAcwBcACIALAAgAFwAIgBCAGUAZQBmACAAYwBhAHQAdABsAGUAXAAiACwAIABcACIAQwBhAHQAdABsAGUALAAgAGYAbwByACAAcAByAGkAbQBlACAAYgBlAGUAZgBcACIALAAgAFwAIgBBAHUAcwB0AHIAYQBsAGkAYQBcACIALAAgAFwAIgBrAGcAIABsAGkAdgBlAHcAZQBpAGcAaAB0AFwAIgAsACAAMQA0AC4ANQAsACAAXAAiAGEAdAAgAG0AYQByAGsAZQB0AFwAIgA7AFwAbgAgACAAIAAgACAAIAAgACAAXAAiAEEAbgBpAG0AYQBsAHMAXAAiACwAIABcACIAQgBlAGUAZgAgAGMAYQB0AHQAbABlAFwAIgAsACAAXAAiAEMAYQB0AHQAbABlACwAIABmAG8AcgAgAHAAcgBpAG0AZQAgAGIAZQBlAGYAXAAiACwAIABcACIATgBTAFcAXAAiACwAIABcACIAawBnACAAbABpAHYAZQB3AGUAaQBnAGgAdABcACIALAAgADEAMQAuADMALAAgAFwAIgBhAHQAIABtAGEAcgBrAGUAdABcACIAOwBcAG4AIAAgACAAIAAgACAAIAAgAFwAIgBBAG4AaQBtAGEAbABzAFwAIgAsACAAXAAiAEIAZQBlAGYAIABjAGEAdAB0AGwAZQBcACIALAAgAFwAIgBDAGEAdAB0AGwAZQAsACAAZgBvAHIAIABwAHIAaQBtAGUAIABiAGUAZQBmAFwAIgAsACAAXAAiAE4AVABcACIALAAgAFwAIgBrAGcAIABsAGkAdgBlAHcAZQBpAGcAaAB0AFwAIgAsACAAMQA4AC4AOQAsACAAXAAiAGEAdAAgAG0AYQByAGsAZQB0AFwAIgA7AFwAbgAgACAAIAAgACAAIAAgACAAXAAiAEEAbgBpAG0AYQBsAHMAXAAiACwAIABcACIAQgBlAGUAZgAgAGMAYQB0AHQAbABlAFwAIgAsACAAXAAiAEMAYQB0AHQAbABlACwAIABmAG8AcgAgAHAAcgBpAG0AZQAgAGIAZQBlAGYAXAAiACwAIABcACIAUQBMAEQAXAAiACwAIABcACIAawBnACAAbABpAHYAZQB3AGUAaQBnAGgAdABcACIALAAgADEAMwAuADkALAAgAFwAIgBhAHQAIABtAGEAcgBrAGUAdABcACIAOwBcAG4AIAAgACAAIAAgACAAIAAgAFwAIgBBAG4AaQBtAGEAbABzAFwAIgAsACAAXAAiAEIAZQBlAGYAIABjAGEAdAB0AGwAZQBcACIALAAgAFwAIgBDAGEAdAB0AGwAZQAsACAAZgBvAHIAIABwAHIAaQBtAGUAIABiAGUAZQBmAFwAIgAsACAAXAAiAFMAQQBcACIALAAgAFwAIgBrAGcAIABsAGkAdgBlAHcAZQBpAGcAaAB0AFwAIgAsACAAMQAyAC4AMwAsACAAXAAiAGEAdAAgAG0AYQByAGsAZQB0AFwAIgA7AFwAbgAgACAAIAAgACAAIAAgACAAXAAiAEEAbgBpAG0AYQBsAHMAXAAiACwAIABcACIAQgBlAGUAZgAgAGMAYQB0AHQAbABlAFwAIgAsACAAXAAiAEMAYQB0AHQAbABlACwAIABmAG8AcgAgAHAAcgBpAG0AZQAgAGIAZQBlAGYAXAAiACwAIABcACIAVABBAF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YASQBDAFwAIgAsACAAXAAiAGsAZwAgAGwAaQB2AGUAdwBlAGkAZwBoAHQAXAAiACwAIAAxADEALgA1ACwAIABcACIAYQB0ACAAbQBhAHIAawBlAHQAXAAiADsAXABuACAAIAAgACAAIAAgACAAIABcACIAQQBuAGkAbQBhAGwAcwBcACIALAAgAFwAIgBCAGUAZQBmACAAYwBhAHQAdABsAGUAXAAiACwAIABcACIAQwBhAHQAdABsAGUALAAgAGYAbwByACAAcAByAGkAbQBlACAAYgBlAGUAZgBcACIALAAgAFwAIgBXAEEAXAAiACwAIABcACIAawBnACAAbABpAHYAZQB3AGUAaQBnAGgAdABcACIALAAgADIAMAAuADgALAAgAFwAIgBhAHQAIABtAGEAcgBrAGUAdABcACIAOwBcAG4AIAAgACAAIAAgACAAIAAgAFwAIgBBAG4AaQBtAGEAbABzAFwAIgAsACAAXAAiAEIAZQBlAGYAIABjAGEAdAB0AGwAZQBcACIALAAgAFwAIgBDAGEAdAB0AGwAZQAsACAAdwBlAGEAbgBlAHIAcwBcACIALAAgAFwAIgBBAHUAcwB0AHIAYQBsAGkAYQBcACIALAAgAFwAIgBrAGcAIABsAGkAdgBlAHcAZQBpAGcAaAB0AFwAIgAsACAAMQA1AC4ANQAsACAAXAAiAGEAdAAgAG0AYQByAGsAZQB0AFwAIgA7AFwAbgAgACAAIAAgACAAIAAgACAAXAAiAEEAbgBpAG0AYQBsAHMAXAAiACwAIABcACIAQgBlAGUAZgAgAGMAYQB0AHQAbABlAFwAIgAsACAAXAAiAEMAYQB0AHQAbABlACwAIAB3AGUAYQBuAGUAcgBzAFwAIgAsACAAXAAiAE4AUwBXAFwAIgAsACAAXAAiAGsAZwAgAGwAaQB2AGUAdwBlAGkAZwBoAHQAXAAiACwAIAAxADIALgA3ACwAIABcACIAYQB0ACAAbQBhAHIAawBlAHQAXAAiADsAXABuACAAIAAgACAAIAAgACAAIABcACIAQQBuAGkAbQBhAGwAcwBcACIALAAgAFwAIgBCAGUAZQBmACAAYwBhAHQAdABsAGUAXAAiACwAIABcACIAQwBhAHQAdABsAGUALAAgAHcAZQBhAG4AZQByAHMAXAAiACwAIABcACIATgBUAFwAIgAsACAAXAAiAGsAZwAgAGwAaQB2AGUAdwBlAGkAZwBoAHQAXAAiACwAIAAxADkALgAxACwAIABcACIAYQB0ACAAbQBhAHIAawBlAHQAXAAiADsAXABuACAAIAAgACAAIAAgACAAIABcACIAQQBuAGkAbQBhAGwAcwBcACIALAAgAFwAIgBCAGUAZQBmACAAYwBhAHQAdABsAGUAXAAiACwAIABcACIAQwBhAHQAdABsAGUALAAgAHcAZQBhAG4AZQByAHMAXAAiACwAIABcACIAUQBMAEQAXAAiACwAIABcACIAawBnACAAbABpAHYAZQB3AGUAaQBnAGgAdABcACIALAAgADIAMAAuADUALAAgAFwAIgBhAHQAIABtAGEAcgBrAGUAdABcACIAOwBcAG4AIAAgACAAIAAgACAAIAAgAFwAIgBBAG4AaQBtAGEAbABzAFwAIgAsACAAXAAiAEIAZQBlAGYAIABjAGEAdAB0AGwAZQBcACIALAAgAFwAIgBDAGEAdAB0AGwAZQAsACAAdwBlAGEAbgBlAHIAcwBcACIALAAgAFwAIgBTAEEAXAAiACwAIABcACIAawBnACAAbABpAHYAZQB3AGUAaQBnAGgAdABcACIALAAgADEAMAAuADgALAAgAFwAIgBhAHQAIABtAGEAcgBrAGUAdABcACIAOwBcAG4AIAAgACAAIAAgACAAIAAgAFwAIgBBAG4AaQBtAGEAbABzAFwAIgAsACAAXAAiAEIAZQBlAGYAIABjAGEAdAB0AGwAZQBcACIALAAgAFwAIgBDAGEAdAB0AGwAZQAsACAAdwBlAGEAbgBlAHIAcwBcACIALAAgAFwAIgBUAEEAUwBcACIALAAgAFwAIgBrAGcAIABsAGkAdgBlAHcAZQBpAGcAaAB0AFwAIgAsACAAMQAzAC4ANAAsACAAXAAiAGEAdAAgAG0AYQByAGsAZQB0AFwAIgA7AFwAbgAgACAAIAAgACAAIAAgACAAXAAiAEEAbgBpAG0AYQBsAHMAXAAiACwAIABcACIAQgBlAGUAZgAgAGMAYQB0AHQAbABlAFwAIgAsACAAXAAiAEMAYQB0AHQAbABlACwAIAB3AGUAYQBuAGUAcgBzAFwAIgAsACAAXAAiAFYASQBDAFwAIgAsACAAXAAiAGsAZwAgAGwAaQB2AGUAdwBlAGkAZwBoAHQAXAAiACwAIAAxADIALAAgAFwAIgBhAHQAIABtAGEAcgBrAGUAdABcACIAOwBcAG4AIAAgACAAIAAgACAAIAAgAFwAIgBBAG4AaQBtAGEAbABzAFwAIgAsACAAXAAiAEIAZQBlAGYAIABjAGEAdAB0AGwAZQBcACIALAAgAFwAIgBDAGEAdAB0AGwAZQAsACAAdwBlAGEAbgBlAHIAcwBcACIALAAgAFwAIgBXAEEAXAAiACwAIABcACIAawBnACAAbABpAHYAZQB3AGUAaQBnAGgAdABcACIALAAgADEAMgAuADQALAAgAFwAIgBhAHQAIABtAGEAcgBrAGUAdABcACIAOwBcAG4AIAAgACAAIAAgACAAIAAgAFwAIgBBAG4AaQBtAGEAbABzAFwAIgAsACAAXAAiAEMAaABpAGMAawBlAG4AcwBcACIALAAgAFwAIgBDAGgAaQBjAGsAZQBuAHMAXAAiACwAIABcACIAQQB1AHMAdAByAGEAbABpAGEAXAAiACwAIABcACIAawBnACAAbABpAHYAZQB3AGUAaQBnAGgAdABcACIALAAgADEALgAzADYALAAgAFwAIgBhAHQAIABtAGEAcgBrAGUAdABcACIAOwBcAG4AIAAgACAAIAAgACAAIAAgAFwAIgBBAG4AaQBtAGEAbABzAFwAIgAsACAAXAAiAEQAYQBpAHIAeQAgAGMAYQB0AHQAbABlAFwAIgAsACAAXAAiAEQAYQBpAHIAeQAgAGMAbwB3AHMAXAAiACwAIABcACIAVgBJAEMAXAAiACwAIABcACIAawBnACAAbABpAHYAZQB3AGUAaQBnAGgAdABcACIALAAgADQALgA0ADEALAAgAFwAIgBhAHQAIABtAGEAcgBrAGUAdABcACIAOwBcAG4AIAAgACAAIAAgACAAIAAgAFwAIgBBAG4AaQBtAGEAbABzAFwAIgAsACAAXAAiAFAAaQBnAHMAXAAiACwAIABcACIAUABpAGcAcwBcACIALAAgAFwAIgBBAHUAcwB0AHIAYQBsAGkAYQBcACIALAAgAFwAIgBrAGcAIABsAGkAdgBlAHcAZQBpAGcAaAB0AFwAIgAsACAAMwAuADMAOAAsACAAXAAiAGEAdAAgAG0AYQByAGsAZQB0AFwAIgA7AFwAbgAgACAAIAAgACAAIAAgACAAXAAiAEEAbgBpAG0AYQBsAHMAXAAiACwAIABcACIAUwBoAGUAZQBwAFwAIgAsACAAXAAiAFMAaABlAGUAcAAsACAAZgBvAHIAIABtAHUAdAB0AG8AbgBcACIALAAgAFwAIgBBAHUAcwB0AHIAYQBsAGkAYQBcACIALAAgAFwAIgBrAGcAIABsAGkAdgBlAHcAZQBpAGcAaAB0AFwAIgAsACAANgAuADgAMQAsACAAXAAiAGEAdAAgAG0AYQByAGsAZQB0AFwAIgA7AFwAbgAgACAAIAAgACAAIAAgACAAXAAiAEEAbgBpAG0AYQBsAHMAXAAiACwAIABcACIAUwBoAGUAZQBwAFwAIgAsACAAXAAiAFMAaABlAGUAcAAsACAAZgBvAHIAIABtAHUAdAB0AG8AbgBcACIALAAgAFwAIgBOAFMAVwBcACIALAAgAFwAIgBrAGcAIABsAGkAdgBlAHcAZQBpAGcAaAB0AFwAIgAsACAAMgAuADIANgAsACAAXAAiAGEAdAAgAG0AYQByAGsAZQB0AFwAIgA7AFwAbgAgACAAIAAgACAAIAAgACAAXAAiAEEAbgBpAG0AYQBsAHMAXAAiACwAIABcACIAUwBoAGUAZQBwAFwAIgAsACAAXAAiAFMAaABlAGUAcAAsACAAZgBvAHIAIABtAHUAdAB0AG8AbgBcACIALAAgAFwAIgBRAEwARABcACIALAAgAFwAIgBrAGcAIABsAGkAdgBlAHcAZQBpAGcAaAB0AFwAIgAsACAANgAuADMAMwAsACAAXAAiAGEAdAAgAG0AYQByAGsAZQB0AFwAIgA7AFwAbgAgACAAIAAgACAAIAAgACAAXAAiAEEAbgBpAG0AYQBsAHMAXAAiACwAIABcACIAUwBoAGUAZQBwAFwAIgAsACAAXAAiAFMAaABlAGUAcAAsACAAZgBvAHIAIABtAHUAdAB0AG8AbgBcACIALAAgAFwAIgBTAEEAXAAiACwAIABcACIAawBnACAAbABpAHYAZQB3AGUAaQBnAGgAdABcACIALAAgADYALgAxADgALAAgAFwAIgBhAHQAIABtAGEAcgBrAGUAdABcACIAOwBcAG4AIAAgACAAIAAgACAAIAAgAFwAIgBBAG4AaQBtAGEAbABzAFwAIgAsACAAXAAiAFMAaABlAGUAcABcACIALAAgAFwAIgBTAGgAZQBlAHAALAAgAGYAbwByACAAbQB1AHQAdABvAG4AXAAiACwAIABcACIAVABBAFMAXAAiACwAIABcACIAawBnACAAbABpAHYAZQB3AGUAaQBnAGgAdABcACIALAAgADcALgA1ACwAIABcACIAYQB0ACAAbQBhAHIAawBlAHQAXAAiADsAXABuACAAIAAgACAAIAAgACAAIABcACIAQQBuAGkAbQBhAGwAcwBcACIALAAgAFwAIgBTAGgAZQBlAHAAXAAiACwAIABcACIAUwBoAGUAZQBwACwAIABmAG8AcgAgAG0AdQB0AHQAbwBuAFwAIgAsACAAXAAiAFYASQBDAFwAIgAsACAAXAAiAGsAZwAgAGwAaQB2AGUAdwBlAGkAZwBoAHQAXAAiACwAIAA4AC4AMAA4ACwAIABcACIAYQB0ACAAbQBhAHIAawBlAHQAXAAiADsAXABuACAAIAAgACAAIAAgACAAIABcACIAQQBuAGkAbQBhAGwAcwBcACIALAAgAFwAIgBTAGgAZQBlAHAAXAAiACwAIABcACIAUwBoAGUAZQBwACwAIABmAG8AcgAgAG0AdQB0AHQAbwBuAFwAIgAsACAAXAAiAFcAQQBcACIALAAgAFwAIgBrAGcAIABsAGkAdgBlAHcAZQBpAGcAaAB0AFwAIgAsACAANQAuADQANQAsACAAXAAiAGEAdAAgAG0AYQByAGsAZQB0AFwAIgA7AFwAbgAgACAAIAAgACAAIAAgACAAXAAiAEEAbgBpAG0AYQBsAHMAXAAiACwAIABcACIAUwBoAGUAZQBwAFwAIgAsACAAXAAiAFMAaABlAGUAcAAsACAAZgBvAHIAIABwAHIAaQBtAGUAIABsAGEAbQBiAFwAIgAsACAAXAAiAEEAdQBzAHQAcgBhAGwAaQBhAFwAIgAsACAAXAAiAGsAZwAgAGwAaQB2AGUAdwBlAGkAZwBoAHQAXAAiACwAIAA3AC4AMQA1ACwAIABcACIAYQB0ACAAbQBhAHIAawBlAHQAXAAiADsAXABuACAAIAAgACAAIAAgACAAIABcACIAQQBuAGkAbQBhAGwAcwBcACIALAAgAFwAIgBTAGgAZQBlAHAAXAAiACwAIABcACIAUwBoAGUAZQBwACwAIABmAG8AcgAgAHAAcgBpAG0AZQAgAGwAYQBtAGIAXAAiACwAIABcACIATgBTAFcAXAAiACwAIABcACIAawBnACAAbABpAHYAZQB3AGUAaQBnAGgAdABcACIALAAgADgALgAyADkALAAgAFwAIgBhAHQAIABtAGEAcgBrAGUAdABcACIAOwBcAG4AIAAgACAAIAAgACAAIAAgAFwAIgBBAG4AaQBtAGEAbABzAFwAIgAsACAAXAAiAFMAaABlAGUAcABcACIALAAgAFwAIgBTAGgAZQBlAHAALAAgAGYAbwByACAAcAByAGkAbQBlACAAbABhAG0AYgBcACIALAAgAFwAIgBRAEwARABcACIALAAgAFwAIgBrAGcAIABsAGkAdgBlAHcAZQBpAGcAaAB0AFwAIgAsACAANgAuADMAOQAsACAAXAAiAGEAdAAgAG0AYQByAGsAZQB0AFwAIgA7AFwAbgAgACAAIAAgACAAIAAgACAAXAAiAEEAbgBpAG0AYQBsAHMAXAAiACwAIABcACIAUwBoAGUAZQBwAFwAIgAsACAAXAAiAFMAaABlAGUAcAAsACAAZgBvAHIAIABwAHIAaQBtAGUAIABsAGEAbQBiAFwAIgAsACAAXAAiAFMAQQBcACIALAAgAFwAIgBrAGcAIABsAGkAdgBlAHcAZQBpAGcAaAB0AFwAIgAsACAANgAuADgANwAsACAAXAAiAGEAdAAgAG0AYQByAGsAZQB0AFwAIgA7AFwAbgAgACAAIAAgACAAIAAgACAAXAAiAEEAbgBpAG0AYQBsAHMAXAAiACwAIABcACIAUwBoAGUAZQBwAFwAIgAsACAAXAAiAFMAaABlAGUAcAAsACAAZgBvAHIAIABwAHIAaQBtAGUAIABsAGEAbQBiAFwAIgAsACAAXAAiAFQAQQBTAFwAIgAsACAAXAAiAGsAZwAgAGwAaQB2AGUAdwBlAGkAZwBoAHQAXAAiACwAIAA4AC4ANgA2ACwAIABcACIAYQB0ACAAbQBhAHIAawBlAHQAXAAiADsAXABuACAAIAAgACAAIAAgACAAIABcACIAQQBuAGkAbQBhAGwAcwBcACIALAAgAFwAIgBTAGgAZQBlAHAAXAAiACwAIABcACIAUwBoAGUAZQBwACwAIABmAG8AcgAgAHAAcgBpAG0AZQAgAGwAYQBtAGIAXAAiACwAIABcACIAVgBJAEMAXAAiACwAIABcACIAawBnACAAbABpAHYAZQB3AGUAaQBnAGgAdABcACIALAAgADEAMAAsACAAXAAiAGEAdAAgAG0AYQByAGsAZQB0AFwAIgA7AFwAbgAgACAAIAAgACAAIAAgACAAXAAiAEEAbgBpAG0AYQBsAHMAXAAiACwAIABcACIAUwBoAGUAZQBwAFwAIgAsACAAXAAiAFMAaABlAGUAcAAsACAAZgBvAHIAIABwAHIAaQBtAGUAIABsAGEAbQBiAFwAIgAsACAAXAAiAFcAQQBcACIALAAgAFwAIgBrAGcAIABsAGkAdgBlAHcAZQBpAGcAaAB0AFwAIgAsACAANQAuADYANw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QwBoAGUAbQBpAGMAYQBsAHMAXABuAD0APQA9AD0APQA9AD0APQA9AD0APQA9AD0APQA9AD0APQA9AD0APQA9AD0APQA9AD0APQA9AD0APQA9AD0APQA9AD0APQA9AD0APQA9AD0APQA9AD0APQA9AD0APQA9AD0APQA9AD0APQA9AD0APQA9AD0APQA9AD0APQA9AD0APQA9AD0APQA9AD0APQA9AD0APQA9AD0AXABuACoALwBcAG4AXABuAFMAYwBvAHAAZQAzAF8AQwBoAGUAbQBpAGMAYQBsAHMAXwBUAGkAdABsAGUAXABuAD0ATABBAE0AQgBEAEEAKAAoAFwAIgBDAGgAZQBtAGkAYwBhAGwAcwAgAHMAYwBvAHAAZQAgADMAXAAiACkAKQA7AFwAbgBcAG4AUwBjAG8AcABlADMAXwBDAGgAZQBtAGkAYwBhAGw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MAaABlAG0AaQBjAGEAbABzAF8AVgBhAHIAaQBhAHQAaQBvAG4AXABuAD0ATABBAE0AQgBEAEEAKAAoAFwAIgBcACIAKQApADsAXABuAFwAbgBTAGMAbwBwAGUAMwBfAEMAaABlAG0AaQBjAGEAbABzAF8ARABhAHQAYQBcAG4APQBMAEEATQBCAEQAQQAoAFwAbgAgACAATQBBAEsARQBBAFIAUgBBAFkAKAA4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wBoAGUAbQBpAGMAYQBsAHMAXAAiACwAIABcACIAQwBsAGUAYQBuAGkAbgBnACAAYwBoAGUAbQBpAGMAYQBsAHMAXAAiACwAIABcACIAQQBsAGsAYQBsAGkAbgBlACAAYwBsAGUAYQBuAGUAcgBcACIALAAgAFwAIgBHAGwAbwBiAGEAbABcACIALAAgAFwAIgBrAGcAXAAiACwAIAAwAC4ANwAyADIALAAgAFwAIgBhAHQAIABtAGEAbgB1AGYAYQBjAHQAdQByAGUAcgBcACIAOwBcAG4AIAAgACAAIAAgACAAIAAgAFwAIgBDAGgAZQBtAGkAYwBhAGwAcwBcACIALAAgAFwAIgBDAGwAZQBhAG4AaQBuAGcAIABjAGgAZQBtAGkAYwBhAGwAcwBcACIALAAgAFwAIgBCAGwAZQBhAGMAaABcACIALAAgAFwAIgBHAGwAbwBiAGEAbABcACIALAAgAFwAIgBrAGcAXAAiACwAIAAwAC4AOAAwADQALAAgAFwAIgBhAHQAIABtAGEAbgB1AGYAYQBjAHQAdQByAGUAcgBcACIAOwBcAG4AIAAgACAAIAAgACAAIAAgAFwAIgBDAGgAZQBtAGkAYwBhAGwAcwBcACIALAAgAFwAIgBDAGwAZQBhAG4AaQBuAGcAIABjAGgAZQBtAGkAYwBhAGwAcwBcACIALAAgAFwAIgBQAGgAbwBzAHAAaABvAHIAaQBjACAAYQBjAGkAZABcACIALAAgAFwAIgBHAGwAbwBiAGEAbABcACIALAAgAFwAIgBrAGcAXAAiACwAIAAwAC4AOQAwADcALAAgAFwAIgBhAHQAIABtAGEAbgB1AGYAYQBjAHQAdQByAGUAcgBcACIAOwBcAG4AIAAgACAAIAAgACAAIAAgAFwAIgBDAGgAZQBtAGkAYwBhAGwAcwBcACIALAAgAFwAIgBQAGgAYQByAG0AYQBjAHkAIABjAGgAZQBtAGkAYwBhAGwAcwBcACIALAAgAFwAIgBQAGEAcgBhAHMAaQB0AGUAIABjAG8AbgB0AHIAbwBsACAAZgBvAHIAIABjAGEAdAB0AGwAZQAgACgAZQB4AHQAZQByAG4AYQBsACkALAAgAGQAaQBwAHAAaQBuAGcAXAAiACwAIABcACIARwBsAG8AYgBhAGwAXAAiACwAIABcACIAcAAgACgAaABlAGEAZAApAFwAIgAsACAAMAAuADAANQA0ADcALAAgAFwAIgBhAHQAIABtAGEAbgB1AGYAYQBjAHQAdQByAGUAcgBcACIAOwBcAG4AIAAgACAAIAAgACAAIAAgAFwAIgBDAGgAZQBtAGkAYwBhAGwAcwBcACIALAAgAFwAIgBQAGgAYQByAG0AYQBjAHkAIABjAGgAZQBtAGkAYwBhAGwAcwBcACIALAAgAFwAIgBQAGEAcgBhAHMAaQB0AGUAIABjAG8AbgB0AHIAbwBsACAAZgBvAHIAIABjAGEAdAB0AGwAZQAgACgAaQBuAHQAZQByAG4AYQBsACkAXAAiACwAIABcACIARwBsAG8AYgBhAGwAXAAiACwAIABcACIAcAAgACgAaABlAGEAZAApAFwAIgAsACAAMAAuADAAMQA0ADIALAAgAFwAIgBhAHQAIABtAGEAbgB1AGYAYQBjAHQAdQByAGUAcgBcACIAOwBcAG4AIAAgACAAIAAgACAAIAAgAFwAIgBDAGgAZQBtAGkAYwBhAGwAcwBcACIALAAgAFwAIgBQAGgAYQByAG0AYQBjAHkAIABjAGgAZQBtAGkAYwBhAGwAcwBcACIALAAgAFwAIgBQAGEAcgBhAHMAaQB0AGUAIABjAG8AbgB0AHIAbwBsACAAZgBvAHIAIABzAGgAZQBlAHAAIAAoAGUAeAB0AGUAcgBuAGEAbAApAFwAIgAsACAAXAAiAEcAbABvAGIAYQBsAFwAIgAsACAAXAAiAHAAIAAoAGgAZQBhAGQAKQBcACIALAAgADAALgAwADEANAAzACwAIABcACIAYQB0ACAAbQBhAG4AdQBmAGEAYwB0AHUAcgBlAHIAXAAiADsAXABuACAAIAAgACAAIAAgACAAIABcACIAQwBoAGUAbQBpAGMAYQBsAHMAXAAiACwAIABcACIAUABoAGEAcgBtAGEAYwB5ACAAYwBoAGUAbQBpAGMAYQBsAHMAXAAiACwAIABcACIAUABhAHIAYQBzAGkAdABlACAAYwBvAG4AdAByAG8AbAAgAGYAbwByACAAcwBoAGUAZQBwACAAKABpAG4AdABlAHIAbgBhAGwAKQBcACIALAAgAFwAIgBHAGwAbwBiAGEAbABcACIALAAgAFwAIgBwACAAKABoAGUAYQBkACkAXAAiACwAIAAwAC4AMAAwADQAMgA2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GUAZQBkAFwAbgA9AD0APQA9AD0APQA9AD0APQA9AD0APQA9AD0APQA9AD0APQA9AD0APQA9AD0APQA9AD0APQA9AD0APQA9AD0APQA9AD0APQA9AD0APQA9AD0APQA9AD0APQA9AD0APQA9AD0APQA9AD0APQA9AD0APQA9AD0APQA9AD0APQA9AD0APQA9AD0APQA9AD0APQA9AD0APQA9AFwAbgAqAC8AXABuAFwAbgBTAGMAbwBwAGUAMwBfAEYAZQBlAGQAXwBUAGkAdABsAGUAXABuAD0ATABBAE0AQgBEAEEAKAAoAFwAIgBGAGUAZQBkACAAcwBjAG8AcABlACAAMwBcACIAKQApADsAXABuAFwAbgBTAGMAbwBwAGUAMwBfAEYAZQBlAGQ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GAGUAZQBkAF8AVgBhAHIAaQBhAHQAaQBvAG4AXABuAD0ATABBAE0AQgBEAEEAKAAoAFwAIgBcACIAKQApADsAXABuAFwAbgBTAGMAbwBwAGUAMwBfAEYAZQBlAGQAXwBEAGEAdABhAFwAbgA9AEwAQQBNAEIARABBACgAXABuACAAIABNAEEASwBFAEEAUgBSAEEAWQAoADcAO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lAGQAXAAiACwAIABcACIAQQBxAHUAYQBjAHUAbAB0AHUAcgBlACAAZgBlAGUAZABcACIALAAgAFwAIgBTAGEAcgBkAGkAbgBlAHMAIAAoAHcAaABvAGwAZQApAFwAIgAsACAAXAAiAFMAQQBcACIALAAgAFwAIgBrAGcAXAAiACwAIAAwAC4AMwA3ADYALAAgAFwAIgBhAHQAIABtAGEAcgBrAGUAdABcACIAOwBcAG4AIAAgACAAIAAgACAAIAAgAFwAIgBGAGUAZQBkAFwAIgAsACAAXAAiAEcAcgBhAGkAbgBcACIALAAgAFwAIgBCAGEAcgBsAGUAeQAgAGcAcgBhAGkAbgBcACIALAAgAFwAIgBBAHUAcwB0AHIAYQBsAGkAYQBcACIALAAgAFwAIgBrAGcAXAAiACwAIAAwAC4AMgAzADkALAAgAFwAIgBhAHQAIABtAGEAcgBrAGUAdABcACIAOwBcAG4AIAAgACAAIAAgACAAIAAgAFwAIgBGAGUAZQBkAFwAIgAsACAAXAAiAEcAcgBhAGkAbgBcACIALAAgAFwAIgBCAGEAcgBsAGUAeQAgAGcAcgBhAGkAbgBcACIALAAgAFwAIgBOAFMAVwBcACIALAAgAFwAIgBrAGcAXAAiACwAIAAwAC4AMgA1ADYALAAgAFwAIgBhAHQAIABtAGEAcgBrAGUAdABcACIAOwBcAG4AIAAgACAAIAAgACAAIAAgAFwAIgBGAGUAZQBkAFwAIgAsACAAXAAiAEcAcgBhAGkAbgBcACIALAAgAFwAIgBCAGEAcgBsAGUAeQAgAGcAcgBhAGkAbgBcACIALAAgAFwAIgBOAFQAXAAiACwAIABcACIAawBnAFwAIgAsACAAMAAuADMAMwAyACwAIABcACIAYQB0ACAAbQBhAHIAawBlAHQAXAAiADsAXABuACAAIAAgACAAIAAgACAAIABcACIARgBlAGUAZABcACIALAAgAFwAIgBHAHIAYQBpAG4AXAAiACwAIABcACIAQgBhAHIAbABlAHkAIABnAHIAYQBpAG4AXAAiACwAIABcACIAUQBMAEQAXAAiACwAIABcACIAawBnAFwAIgAsACAAMAAuADIANgA5ACwAIABcACIAYQB0ACAAbQBhAHIAawBlAHQAXAAiADsAXABuACAAIAAgACAAIAAgACAAIABcACIARgBlAGUAZABcACIALAAgAFwAIgBHAHIAYQBpAG4AXAAiACwAIABcACIAQgBhAHIAbABlAHkAIABnAHIAYQBpAG4AXAAiACwAIABcACIAUwBBAFwAIgAsACAAXAAiAGsAZwBcACIALAAgADAALgAyADIAMwAsACAAXAAiAGEAdAAgAG0AYQByAGsAZQB0AFwAIgA7AFwAbgAgACAAIAAgACAAIAAgACAAXAAiAEYAZQBlAGQAXAAiACwAIABcACIARwByAGEAaQBuAFwAIgAsACAAXAAiAEIAYQByAGwAZQB5ACAAZwByAGEAaQBuAFwAIgAsACAAXAAiAFQAQQBTAFwAIgAsACAAXAAiAGsAZwBcACIALAAgADAALgAzADAANwAsACAAXAAiAGEAdAAgAG0AYQByAGsAZQB0AFwAIgA7AFwAbgAgACAAIAAgACAAIAAgACAAXAAiAEYAZQBlAGQAXAAiACwAIABcACIARwByAGEAaQBuAFwAIgAsACAAXAAiAEIAYQByAGwAZQB5ACAAZwByAGEAaQBuAFwAIgAsACAAXAAiAFYASQBDAFwAIgAsACAAXAAiAGsAZwBcACIALAAgADAALgAyADQAMQAsACAAXAAiAGEAdAAgAG0AYQByAGsAZQB0AFwAIgA7AFwAbgAgACAAIAAgACAAIAAgACAAXAAiAEYAZQBlAGQAXAAiACwAIABcACIARwByAGEAaQBuAFwAIgAsACAAXAAiAEIAYQByAGwAZQB5ACAAZwByAGEAaQBuAFwAIgAsACAAXAAiAFcAQQBcACIALAAgAFwAIgBrAGcAXAAiACwAIAAwAC4AMgAzADYALAAgAFwAIgBhAHQAIABtAGEAcgBrAGUAdABcACIAOwBcAG4AIAAgACAAIAAgACAAIAAgAFwAIgBGAGUAZQBkAFwAIgAsACAAXAAiAEcAcgBhAGkAbgBcACIALAAgAFwAIgBNAGEAaQB6AGUAIABnAHIAYQBpAG4AXAAiACwAIABcACIAQQB1AHMAdAByAGEAbABpAGEAXAAiACwAIABcACIAawBnAFwAIgAsACAAMAAuADEAOAAxACwAIABcACIAYQB0ACAAbQBhAHIAawBlAHQAXAAiADsAXABuACAAIAAgACAAIAAgACAAIABcACIARgBlAGUAZABcACIALAAgAFwAIgBHAHIAYQBpAG4AXAAiACwAIABcACIATQBhAGkAegBlACAAZwByAGEAaQBuAFwAIgAsACAAXAAiAE4AUwBXAFwAIgAsACAAXAAiAGsAZwBcACIALAAgADAALgAxADYAOQAsACAAXAAiAGEAdAAgAG0AYQByAGsAZQB0AFwAIgA7AFwAbgAgACAAIAAgACAAIAAgACAAXAAiAEYAZQBlAGQAXAAiACwAIABcACIARwByAGEAaQBuAFwAIgAsACAAXAAiAE0AYQBpAHoAZQAgAGcAcgBhAGkAbgBcACIALAAgAFwAIgBOAFQAXAAiACwAIABcACIAawBnAFwAIgAsACAAMAAuADIANQA2ACwAIABcACIAYQB0ACAAbQBhAHIAawBlAHQAXAAiADsAXABuACAAIAAgACAAIAAgACAAIABcACIARgBlAGUAZABcACIALAAgAFwAIgBHAHIAYQBpAG4AXAAiACwAIABcACIATQBhAGkAegBlACAAZwByAGEAaQBuAFwAIgAsACAAXAAiAFEATABEAFwAIgAsACAAXAAiAGsAZwBcACIALAAgADAALgAxADgANgAsACAAXAAiAGEAdAAgAG0AYQByAGsAZQB0AFwAIgA7AFwAbgAgACAAIAAgACAAIAAgACAAXAAiAEYAZQBlAGQAXAAiACwAIABcACIARwByAGEAaQBuAFwAIgAsACAAXAAiAE0AYQBpAHoAZQAgAGcAcgBhAGkAbgBcACIALAAgAFwAIgBTAEEAXAAiACwAIABcACIAawBnAFwAIgAsACAAMAAuADEANwA2ACwAIABcACIAYQB0ACAAbQBhAHIAawBlAHQAXAAiADsAXABuACAAIAAgACAAIAAgACAAIABcACIARgBlAGUAZABcACIALAAgAFwAIgBHAHIAYQBpAG4AXAAiACwAIABcACIATQBhAGkAegBlACAAZwByAGEAaQBuAFwAIgAsACAAXAAiAFYASQBDAFwAIgAsACAAXAAiAGsAZwBcACIALAAgADAALgAxADUAOQAsACAAXAAiAGEAdAAgAG0AYQByAGsAZQB0AFwAIgA7AFwAbgAgACAAIAAgACAAIAAgACAAXAAiAEYAZQBlAGQAXAAiACwAIABcACIARwByAGEAaQBuAFwAIgAsACAAXAAiAE0AYQBpAHoAZQAgAGcAcgBhAGkAbgBcACIALAAgAFwAIgBXAEEAXAAiACwAIABcACIAawBnAFwAIgAsACAAMAAuADIAOAA1ACwAIABcACIAYQB0ACAAbQBhAHIAawBlAHQAXAAiADsAXABuACAAIAAgACAAIAAgACAAIABcACIARgBlAGUAZABcACIALAAgAFwAIgBHAHIAYQBpAG4AXAAiACwAIABcACIAUwBvAHIAZwBoAHUAbQAgAGcAcgBhAGkAbgBcACIALAAgAFwAIgBBAHUAcwB0AHIAYQBsAGkAYQBcACIALAAgAFwAIgBrAGcAXAAiACwAIAAwAC4AMgAzADIALAAgAFwAIgBhAHQAIABtAGEAcgBrAGUAdABcACIAOwBcAG4AIAAgACAAIAAgACAAIAAgAFwAIgBGAGUAZQBkAFwAIgAsACAAXAAiAEcAcgBhAGkAbgBcACIALAAgAFwAIgBTAG8AcgBnAGgAdQBtACAAZwByAGEAaQBuAFwAIgAsACAAXAAiAE4AUwBXAFwAIgAsACAAXAAiAGsAZwBcACIALAAgADAALgAyADMAMgAsACAAXAAiAGEAdAAgAG0AYQByAGsAZQB0AFwAIgA7AFwAbgAgACAAIAAgACAAIAAgACAAXAAiAEYAZQBlAGQAXAAiACwAIABcACIARwByAGEAaQBuAFwAIgAsACAAXAAiAFMAbwByAGcAaAB1AG0AIABnAHIAYQBpAG4AXAAiACwAIABcACIAUQBMAEQAXAAiACwAIABcACIAawBnAFwAIgAsACAAMAAuADIAMwAxACwAIABcACIAYQB0ACAAbQBhAHIAawBlAHQAXAAiADsAXABuACAAIAAgACAAIAAgACAAIABcACIARgBlAGUAZABcACIALAAgAFwAIgBHAHIAYQBpAG4AXAAiACwAIABcACIAUwBvAHIAZwBoAHUAbQAgAGcAcgBhAGkAbgBcACIALAAgAFwAIgBTAEEAXAAiACwAIABcACIAawBnAFwAIgAsACAAMAAuADIAMQA4ACwAIABcACIAYQB0ACAAbQBhAHIAawBlAHQAXAAiADsAXABuACAAIAAgACAAIAAgACAAIABcACIARgBlAGUAZABcACIALAAgAFwAIgBHAHIAYQBpAG4AXAAiACwAIABcACIAUwBvAHIAZwBoAHUAbQAgAGcAcgBhAGkAbgBcACIALAAgAFwAIgBWAEkAQwBcACIALAAgAFwAIgBrAGcAXAAiACwAIAAwAC4AMgA0ADYALAAgAFwAIgBhAHQAIABtAGEAcgBrAGUAdABcACIAOwBcAG4AIAAgACAAIAAgACAAIAAgAFwAIgBGAGUAZQBkAFwAIgAsACAAXAAiAEcAcgBhAGkAbgBcACIALAAgAFwAIgBXAGgAZQBhAHQAIABnAHIAYQBpAG4AXAAiACwAIABcACIAQQB1AHMAdAByAGEAbABpAGEAXAAiACwAIABcACIAawBnAFwAIgAsACAAMAAuADIANgA4ACwAIABcACIAYQB0ACAAbQBhAHIAawBlAHQAXAAiADsAXABuACAAIAAgACAAIAAgACAAIABcACIARgBlAGUAZABcACIALAAgAFwAIgBHAHIAYQBpAG4AXAAiACwAIABcACIAVwBoAGUAYQB0ACAAZwByAGEAaQBuAFwAIgAsACAAXAAiAE4AUwBXAFwAIgAsACAAXAAiAGsAZwBcACIALAAgADAALgAyADgAMgAsACAAXAAiAGEAdAAgAG0AYQByAGsAZQB0AFwAIgA7AFwAbgAgACAAIAAgACAAIAAgACAAXAAiAEYAZQBlAGQAXAAiACwAIABcACIARwByAGEAaQBuAFwAIgAsACAAXAAiAFcAaABlAGEAdAAgAGcAcgBhAGkAbgBcACIALAAgAFwAIgBOAFQAXAAiACwAIABcACIAawBnAFwAIgAsACAAMAAuADMAOAA1ACwAIABcACIAYQB0ACAAbQBhAHIAawBlAHQAXAAiADsAXABuACAAIAAgACAAIAAgACAAIABcACIARgBlAGUAZABcACIALAAgAFwAIgBHAHIAYQBpAG4AXAAiACwAIABcACIAVwBoAGUAYQB0ACAAZwByAGEAaQBuAFwAIgAsACAAXAAiAFEATABEAFwAIgAsACAAXAAiAGsAZwBcACIALAAgADAALgAyADkANgAsACAAXAAiAGEAdAAgAG0AYQByAGsAZQB0AFwAIgA7AFwAbgAgACAAIAAgACAAIAAgACAAXAAiAEYAZQBlAGQAXAAiACwAIABcACIARwByAGEAaQBuAFwAIgAsACAAXAAiAFcAaABlAGEAdAAgAGcAcgBhAGkAbgBcACIALAAgAFwAIgBTAEEAXAAiACwAIABcACIAawBnAFwAIgAsACAAMAAuADIANAAxACwAIABcACIAYQB0ACAAbQBhAHIAawBlAHQAXAAiADsAXABuACAAIAAgACAAIAAgACAAIABcACIARgBlAGUAZABcACIALAAgAFwAIgBHAHIAYQBpAG4AXAAiACwAIABcACIAVwBoAGUAYQB0ACAAZwByAGEAaQBuAFwAIgAsACAAXAAiAFQAQQBTAFwAIgAsACAAXAAiAGsAZwBcACIALAAgADAALgAzADMAOAAsACAAXAAiAGEAdAAgAG0AYQByAGsAZQB0AFwAIgA7AFwAbgAgACAAIAAgACAAIAAgACAAXAAiAEYAZQBlAGQAXAAiACwAIABcACIARwByAGEAaQBuAFwAIgAsACAAXAAiAFcAaABlAGEAdAAgAGcAcgBhAGkAbgBcACIALAAgAFwAIgBWAEkAQwBcACIALAAgAFwAIgBrAGcAXAAiACwAIAAwAC4AMgA2ADYALAAgAFwAIgBhAHQAIABtAGEAcgBrAGUAdABcACIAOwBcAG4AIAAgACAAIAAgACAAIAAgAFwAIgBGAGUAZQBkAFwAIgAsACAAXAAiAEcAcgBhAGkAbgBcACIALAAgAFwAIgBXAGgAZQBhAHQAIABnAHIAYQBpAG4AXAAiACwAIABcACIAVwBBAFwAIgAsACAAXAAiAGsAZwBcACIALAAgADAALgAyADYAMQAsACAAXAAiAGEAdAAgAG0AYQByAGsAZQB0AFwAIgA7AFwAbgAgACAAIAAgACAAIAAgACAAXAAiAEYAZQBlAGQAXAAiACwAIABcACIASABhAHkAXAAiACwAIABcACIAQwBlAHIAZQBhAGwAIABoAGEAeQBcACIALAAgAFwAIgBBAHUAcwB0AHIAYQBsAGkAYQBcACIALAAgAFwAIgBrAGcAXAAiACwAIAAwAC4AMQAxADcALAAgAFwAIgBhAHQAIABtAGEAcgBrAGUAdABcACIAOwBcAG4AIAAgACAAIAAgACAAIAAgAFwAIgBGAGUAZQBkAFwAIgAsACAAXAAiAEgAYQB5AFwAIgAsACAAXAAiAEMAZQByAGUAYQBsACAAaABhAHkAXAAiACwAIABcACIATgBTAFcAXAAiACwAIABcACIAawBnAFwAIgAsACAAMAAuADEAMQA2ACwAIABcACIAYQB0ACAAbQBhAHIAawBlAHQAXAAiADsAXABuACAAIAAgACAAIAAgACAAIABcACIARgBlAGUAZABcACIALAAgAFwAIgBIAGEAeQBcACIALAAgAFwAIgBDAGUAcgBlAGEAbAAgAGgAYQB5AFwAIgAsACAAXAAiAFEATABEAFwAIgAsACAAXAAiAGsAZwBcACIALAAgADAALgAxADEAOAAsACAAXAAiAGEAdAAgAG0AYQByAGsAZQB0AFwAIgA7AFwAbgAgACAAIAAgACAAIAAgACAAXAAiAEYAZQBlAGQAXAAiACwAIABcACIASABhAHkAXAAiACwAIABcACIAQwBlAHIAZQBhAGwAIABoAGEAeQBcACIALAAgAFwAIgBTAEEAXAAiACwAIABcACIAawBnAFwAIgAsACAAMAAuADEAMQAxACwAIABcACIAYQB0ACAAbQBhAHIAawBlAHQAXAAiADsAXABuACAAIAAgACAAIAAgACAAIABcACIARgBlAGUAZABcACIALAAgAFwAIgBIAGEAeQBcACIALAAgAFwAIgBDAGUAcgBlAGEAbAAgAGgAYQB5AFwAIgAsACAAXAAiAFQAQQBTAFwAIgAsACAAXAAiAGsAZwBcACIALAAgADAALgAxADMAOQAsACAAXAAiAGEAdAAgAG0AYQByAGsAZQB0AFwAIgA7AFwAbgAgACAAIAAgACAAIAAgACAAXAAiAEYAZQBlAGQAXAAiACwAIABcACIASABhAHkAXAAiACwAIABcACIAQwBlAHIAZQBhAGwAIABoAGEAeQBcACIALAAgAFwAIgBWAEkAQwBcACIALAAgAFwAIgBrAGcAXAAiACwAIAAwAC4AMQAxADYALAAgAFwAIgBhAHQAIABtAGEAcgBrAGUAdABcACIAOwBcAG4AIAAgACAAIAAgACAAIAAgAFwAIgBGAGUAZQBkAFwAIgAsACAAXAAiAEgAYQB5AFwAIgAsACAAXAAiAEMAZQByAGUAYQBsACAAaABhAHkAXAAiACwAIABcACIAVwBBAFwAIgAsACAAXAAiAGsAZwBcACIALAAgADAALgAxADIAMgAsACAAXAAiAGEAdAAgAG0AYQByAGsAZQB0AFwAIgA7AFwAbgAgACAAIAAgACAAIAAgACAAXAAiAEYAZQBlAGQAXAAiACwAIABcACIASABhAHkAXAAiACwAIABcACIAQwBlAHIAZQBhAGwAIABzAGkAbABhAGcAZQBcACIALAAgAFwAIgBBAHUAcwB0AHIAYQBsAGkAYQBcACIALAAgAFwAIgBrAGcAXAAiACwAIAAwAC4AMAA3ADQANAAsACAAXAAiAGEAdAAgAG0AYQByAGsAZQB0AFwAIgA7AFwAbgAgACAAIAAgACAAIAAgACAAXAAiAEYAZQBlAGQAXAAiACwAIABcACIASABhAHkAXAAiACwAIABcACIAQwBlAHIAZQBhAGwAIABzAGkAbABhAGcAZQBcACIALAAgAFwAIgBOAFMAVwBcACIALAAgAFwAIgBrAGcAXAAiACwAIAAwAC4AMAA3ADMAOQAsACAAXAAiAGEAdAAgAG0AYQByAGsAZQB0AFwAIgA7AFwAbgAgACAAIAAgACAAIAAgACAAXAAiAEYAZQBlAGQAXAAiACwAIABcACIASABhAHkAXAAiACwAIABcACIAQwBlAHIAZQBhAGwAIABzAGkAbABhAGcAZQBcACIALAAgAFwAIgBRAEwARABcACIALAAgAFwAIgBrAGcAXAAiACwAIAAwAC4AMAA3ADkALAAgAFwAIgBhAHQAIABtAGEAcgBrAGUAdABcACIAOwBcAG4AIAAgACAAIAAgACAAIAAgAFwAIgBGAGUAZQBkAFwAIgAsACAAXAAiAEgAYQB5AFwAIgAsACAAXAAiAEMAZQByAGUAYQBsACAAcwBpAGwAYQBnAGUAXAAiACwAIABcACIAUwBBAFwAIgAsACAAXAAiAGsAZwBcACIALAAgADAALgAwADcAMAA2ACwAIABcACIAYQB0ACAAbQBhAHIAawBlAHQAXAAiADsAXABuACAAIAAgACAAIAAgACAAIABcACIARgBlAGUAZABcACIALAAgAFwAIgBIAGEAeQBcACIALAAgAFwAIgBDAGUAcgBlAGEAbAAgAHMAaQBsAGEAZwBlAFwAIgAsACAAXAAiAFQAQQBTAFwAIgAsACAAXAAiAGsAZwBcACIALAAgADAALgAwADgAMAA4ACwAIABcACIAYQB0ACAAbQBhAHIAawBlAHQAXAAiADsAXABuACAAIAAgACAAIAAgACAAIABcACIARgBlAGUAZABcACIALAAgAFwAIgBIAGEAeQBcACIALAAgAFwAIgBDAGUAcgBlAGEAbAAgAHMAaQBsAGEAZwBlAFwAIgAsACAAXAAiAFYASQBDAFwAIgAsACAAXAAiAGsAZwBcACIALAAgADAALgAwADcAMwA2ACwAIABcACIAYQB0ACAAbQBhAHIAawBlAHQAXAAiADsAXABuACAAIAAgACAAIAAgACAAIABcACIARgBlAGUAZABcACIALAAgAFwAIgBIAGEAeQBcACIALAAgAFwAIgBMAHUAYwBlAHIAbgBlACAAaABhAHkAXAAiACwAIABcACIAQQB1AHMAdAByAGEAbABpAGEAXAAiACwAIABcACIAawBnAFwAIgAsACAAMAAuADEAMQA3ACwAIABcACIAYQB0ACAAbQBhAHIAawBlAHQAXAAiADsAXABuACAAIAAgACAAIAAgACAAIABcACIARgBlAGUAZABcACIALAAgAFwAIgBIAGEAeQBcACIALAAgAFwAIgBMAHUAYwBlAHIAbgBlACAAaABhAHkAXAAiACwAIABcACIATgBTAFcAXAAiACwAIABcACIAawBnAFwAIgAsACAAMAAuADEAMQAzACwAIABcACIAYQB0ACAAbQBhAHIAawBlAHQAXAAiADsAXABuACAAIAAgACAAIAAgACAAIABcACIARgBlAGUAZABcACIALAAgAFwAIgBIAGEAeQBcACIALAAgAFwAIgBMAHUAYwBlAHIAbgBlACAAaABhAHkAXAAiACwAIABcACIAUQBMAEQAXAAiACwAIABcACIAawBnAFwAIgAsACAAMAAuADEANAAzACwAIABcACIAYQB0ACAAbQBhAHIAawBlAHQAXAAiADsAXABuACAAIAAgACAAIAAgACAAIABcACIARgBlAGUAZABcACIALAAgAFwAIgBIAGEAeQBcACIALAAgAFwAIgBMAHUAYwBlAHIAbgBlACAAaABhAHkAXAAiACwAIABcACIAUwBBAFwAIgAsACAAXAAiAGsAZwBcACIALAAgADAALgAxADAANgAsACAAXAAiAGEAdAAgAG0AYQByAGsAZQB0AFwAIgA7AFwAbgAgACAAIAAgACAAIAAgACAAXAAiAEYAZQBlAGQAXAAiACwAIABcACIASABhAHkAXAAiACwAIABcACIATAB1AGMAZQByAG4AZQAgAGgAYQB5AFwAIgAsACAAXAAiAFQAQQBTAFwAIgAsACAAXAAiAGsAZwBcACIALAAgADAALgAxADEAMwAsACAAXAAiAGEAdAAgAG0AYQByAGsAZQB0AFwAIgA7AFwAbgAgACAAIAAgACAAIAAgACAAXAAiAEYAZQBlAGQAXAAiACwAIABcACIASABhAHkAXAAiACwAIABcACIATAB1AGMAZQByAG4AZQAgAGgAYQB5AFwAIgAsACAAXAAiAFYASQBDAFwAIgAsACAAXAAiAGsAZwBcACIALAAgADAALgAxADAANgAsACAAXAAiAGEAdAAgAG0AYQByAGsAZQB0AFwAIgA7AFwAbgAgACAAIAAgACAAIAAgACAAXAAiAEYAZQBlAGQAXAAiACwAIABcACIASABhAHkAXAAiACwAIABcACIATQBhAGkAegBlACAAcwBpAGwAYQBnAGUAXAAiACwAIABcACIAVgBJAEMAXAAiACwAIABcACIAawBnAFwAIgAsACAAMAAuADEANgAzACwAIABcACIAYQB0ACAAbQBhAHIAawBlAHQAXAAiADsAXABuACAAIAAgACAAIAAgACAAIABcACIARgBlAGUAZABcACIALAAgAFwAIgBIAGEAeQBcACIALAAgAFwAIgBPAGEAdABlAG4AIABoAGEAeQBcACIALAAgAFwAIgBBAHUAcwB0AHIAYQBsAGkAYQBcACIALAAgAFwAIgBrAGcAXAAiACwAIAAwAC4AMQAyACwAIABcACIAYQB0ACAAbQBhAHIAawBlAHQAXAAiADsAXABuACAAIAAgACAAIAAgACAAIABcACIARgBlAGUAZABcACIALAAgAFwAIgBIAGEAeQBcACIALAAgAFwAIgBPAGEAdABlAG4AIABoAGEAeQBcACIALAAgAFwAIgBOAFMAVwBcACIALAAgAFwAIgBrAGcAXAAiACwAIAAwAC4AMQAxADkALAAgAFwAIgBhAHQAIABtAGEAcgBrAGUAdABcACIAOwBcAG4AIAAgACAAIAAgACAAIAAgAFwAIgBGAGUAZQBkAFwAIgAsACAAXAAiAEgAYQB5AFwAIgAsACAAXAAiAE8AYQB0AGUAbgAgAGgAYQB5AFwAIgAsACAAXAAiAFEATABEAFwAIgAsACAAXAAiAGsAZwBcACIALAAgADAALgAxADEANwAsACAAXAAiAGEAdAAgAG0AYQByAGsAZQB0AFwAIgA7AFwAbgAgACAAIAAgACAAIAAgACAAXAAiAEYAZQBlAGQAXAAiACwAIABcACIASABhAHkAXAAiACwAIABcACIATwBhAHQAZQBuACAAaABhAHkAXAAiACwAIABcACIAUwBBAFwAIgAsACAAXAAiAGsAZwBcACIALAAgADAALgAxADEANAAsACAAXAAiAGEAdAAgAG0AYQByAGsAZQB0AFwAIgA7AFwAbgAgACAAIAAgACAAIAAgACAAXAAiAEYAZQBlAGQAXAAiACwAIABcACIASABhAHkAXAAiACwAIABcACIATwBhAHQAZQBuACAAaABhAHkAXAAiACwAIABcACIAVgBJAEMAXAAiACwAIABcACIAawBnAFwAIgAsACAAMAAuADEAMQA4ACwAIABcACIAYQB0ACAAbQBhAHIAawBlAHQAXAAiADsAXABuACAAIAAgACAAIAAgACAAIABcACIARgBlAGUAZABcACIALAAgAFwAIgBIAGEAeQBcACIALAAgAFwAIgBPAGEAdABlAG4AIABoAGEAeQBcACIALAAgAFwAIgBXAEEAXAAiACwAIABcACIAawBnAFwAIgAsACAAMAAuADEAMgA0ACwAIABcACIAYQB0ACAAbQBhAHIAawBlAHQAXAAiADsAXABuACAAIAAgACAAIAAgACAAIABcACIARgBlAGUAZABcACIALAAgAFwAIgBIAGEAeQBcACIALAAgAFwAIgBQAGEAcwB0AHUAcgBlACAAaABhAHkAXAAiACwAIABcACIAQQB1AHMAdAByAGEAbABpAGEAXAAiACwAIABcACIAawBnAFwAIgAsACAAMAAuADMAMwA5ACwAIABcACIAYQB0ACAAbQBhAHIAawBlAHQAXAAiADsAXABuACAAIAAgACAAIAAgACAAIABcACIARgBlAGUAZABcACIALAAgAFwAIgBIAGEAeQBcACIALAAgAFwAIgBQAGEAcwB0AHUAcgBlACAAaABhAHkAXAAiACwAIABcACIATgBTAFcAXAAiACwAIABcACIAawBnAFwAIgAsACAAMAAuADMAMQAxACwAIABcACIAYQB0ACAAbQBhAHIAawBlAHQAXAAiADsAXABuACAAIAAgACAAIAAgACAAIABcACIARgBlAGUAZABcACIALAAgAFwAIgBIAGEAeQBcACIALAAgAFwAIgBQAGEAcwB0AHUAcgBlACAAaABhAHkAXAAiACwAIABcACIAUQBMAEQAXAAiACwAIABcACIAawBnAFwAIgAsACAAMAAuADIANQA0ACwAIABcACIAYQB0ACAAbQBhAHIAawBlAHQAXAAiADsAXABuACAAIAAgACAAIAAgACAAIABcACIARgBlAGUAZABcACIALAAgAFwAIgBIAGEAeQBcACIALAAgAFwAIgBQAGEAcwB0AHUAcgBlACAAaABhAHkAXAAiACwAIABcACIAUwBBAFwAIgAsACAAXAAiAGsAZwBcACIALAAgADAALgAzADEAMwAsACAAXAAiAGEAdAAgAG0AYQByAGsAZQB0AFwAIgA7AFwAbgAgACAAIAAgACAAIAAgACAAXAAiAEYAZQBlAGQAXAAiACwAIABcACIASABhAHkAXAAiACwAIABcACIAUABhAHMAdAB1AHIAZQAgAGgAYQB5AFwAIgAsACAAXAAiAFQAQQBTAFwAIgAsACAAXAAiAGsAZwBcACIALAAgADAALgAzADkAOAAsACAAXAAiAGEAdAAgAG0AYQByAGsAZQB0AFwAIgA7AFwAbgAgACAAIAAgACAAIAAgACAAXAAiAEYAZQBlAGQAXAAiACwAIABcACIASABhAHkAXAAiACwAIABcACIAUABhAHMAdAB1AHIAZQAgAGgAYQB5AFwAIgAsACAAXAAiAFYASQBDAFwAIgAsACAAXAAiAGsAZwBcACIALAAgADAALgAzADQANQAsACAAXAAiAGEAdAAgAG0AYQByAGsAZQB0AFwAIgA7AFwAbgAgACAAIAAgACAAIAAgACAAXAAiAEYAZQBlAGQAXAAiACwAIABcACIASABhAHkAXAAiACwAIABcACIAUABhAHMAdAB1AHIAZQAgAGgAYQB5AFwAIgAsACAAXAAiAFcAQQBcACIALAAgAFwAIgBrAGcAXAAiACwAIAAwAC4AMwA2ADgALAAgAFwAIgBhAHQAIABtAGEAcgBrAGUAdABcACIAOwBcAG4AIAAgACAAIAAgACAAIAAgAFwAIgBGAGUAZQBkAFwAIgAsACAAXAAiAE0AZQBhAGwAXAAiACwAIABcACIAQwBhAG4AbwBsAGEAIABtAGUAYQBsAFwAIgAsACAAXAAiAEEAdQBzAHQAcgBhAGwAaQBhAFwAIgAsACAAXAAiAGsAZwBcACIALAAgADAALgAyADQANAAsACAAXAAiAGEAdAAgAG0AYQByAGsAZQB0AFwAIgA7AFwAbgAgACAAIAAgACAAIAAgACAAXAAiAEYAZQBlAGQAXAAiACwAIABcACIATQBlAGEAbABcACIALAAgAFwAIgBNAGUAYQB0ACAAbQBlAGEAbABcACIALAAgAFwAIgBBAHUAcwB0AHIAYQBsAGkAYQBcACIALAAgAFwAIgBrAGcAXAAiACwAIAAwAC4ANAAwADgALAAgAFwAIgBhAHQAIABtAGEAcgBrAGUAdABcACIAOwBcAG4AIAAgACAAIAAgACAAIAAgAFwAIgBGAGUAZQBkAFwAIgAsACAAXAAiAE0AZQBhAGwAXAAiACwAIABcACIAUwBvAHkAYgBlAGEAbgAgAG0AZQBhAGwAXAAiACwAIABcACIAQgByAGEAegBpAGwAXAAiACwAIABcACIAawBnAFwAIgAsACAAMAAuADQAMgA2ACwAIABcACIAYQB0ACAAbQBhAHIAawBlAHQAXAAiADsAXABuACAAIAAgACAAIAAgACAAIABcACIARgBlAGUAZABcACIALAAgAFwAIgBNAGUAYQBsAFwAIgAsACAAXAAiAFcAaABlAGEAdAAgAGIAcgBhAG4AXAAiACwAIABcACIAQQB1AHMAdAByAGEAbABpAGEAXAAiACwAIABcACIAawBnAFwAIgAsACAAMAAuADEAOQA2ACwAIABcACIAYQB0ACAAbQBhAHIAawBlAHQAXAAiADsAXABuACAAIAAgACAAIAAgACAAIABcACIARgBlAGUAZABcACIALAAgAFwAIgBNAGkAeABlAGQAIAByAGEAdABpAG8AbgBzAFwAIgAsACAAXAAiAEYAZQBlAGQAIABmAG8AcgAgAGMAaABpAGMAawBlAG4AcwBcACIALAAgAFwAIgBBAHUAcwB0AHIAYQBsAGkAYQBcACIALAAgAFwAIgBrAGcAXAAiACwAIAAwAC4ANQA5ADQALAAgAFwAIgBhAHQAIABtAGEAcgBrAGUAdABcACIAOwBcAG4AIAAgACAAIAAgACAAIAAgAFwAIgBGAGUAZQBkAFwAIgAsACAAXAAiAE0AaQB4AGUAZAAgAHIAYQB0AGkAbwBuAHMAXAAiACwAIABcACIARgBlAGUAZAAgAGYAbwByACAAZABhAGkAcgB5ACAAYwBhAGwAdgBlAHMAXAAiACwAIABcACIAQQB1AHMAdAByAGEAbABpAGEAXAAiACwAIABcACIAawBnAFwAIgAsACAAMAAuADQAMQA5ACwAIABcACIAYQB0ACAAbQBhAHIAawBlAHQAXAAiADsAXABuACAAIAAgACAAIAAgACAAIABcACIARgBlAGUAZABcACIALAAgAFwAIgBNAGkAeABlAGQAIAByAGEAdABpAG8AbgBzAFwAIgAsACAAXAAiAEYAZQBlAGQAIABmAG8AcgAgAGQAYQBpAHIAeQAgAGMAbwB3AHMAXAAiACwAIABcACIAQQB1AHMAdAByAGEAbABpAGEAXAAiACwAIABcACIAawBnAFwAIgAsACAAMAAuADMAMwAzACwAIABcACIAYQB0ACAAbQBhAHIAawBlAHQAXAAiADsAXABuACAAIAAgACAAIAAgACAAIABcACIARgBlAGUAZABcACIALAAgAFwAIgBNAGkAeABlAGQAIAByAGEAdABpAG8AbgBzAFwAIgAsACAAXAAiAEYAZQBlAGQAIABmAG8AcgAgAHAAaQBnAHMAXAAiACwAIABcACIAQQB1AHMAdAByAGEAbABpAGEAXAAiACwAIABcACIAawBnAFwAIgAsACAAMAAuADQAMAAzACwAIABcACIAYQB0ACAAbQBhAHIAawBlAHQAXAAiADsAXABuACAAIAAgACAAIAAgACAAIABcACIARgBlAGUAZABcACIALAAgAFwAIgBPAHQAaABlAHIAXAAiACwAIABcACIAQgBlAG4AdABvAG4AaQB0AGUAXAAiACwAIABcACIAQQB1AHMAdAByAGEAbABpAGEAXAAiACwAIABcACIAawBnAFwAIgAsACAAMAAuADAANgA1ADIALAAgAFwAIgBhAHQAIABtAGEAcgBrAGUAdABcACIAOwBcAG4AIAAgACAAIAAgACAAIAAgAFwAIgBGAGUAZQBkAFwAIgAsACAAXAAiAE8AdABoAGUAcgBcACIALAAgAFwAIgBDAGEAbgBvAGwAYQAgAG8AaQBsAFwAIgAsACAAXAAiAEEAdQBzAHQAcgBhAGwAaQBhAFwAIgAsACAAXAAiAGsAZwBcACIALAAgADAALgA4ADcALAAgAFwAIgBhAHQAIABtAGEAcgBrAGUAdABcACIAOwBcAG4AIAAgACAAIAAgACAAIAAgAFwAIgBGAGUAZQBkAFwAIgAsACAAXAAiAE8AdABoAGUAcgBcACIALAAgAFwAIgBDAG8AdAB0AG8AbgAgAHMAZQBlAGQAXAAiACwAIABcACIAQQB1AHMAdAByAGEAbABpAGEAXAAiACwAIABcACIAawBnAFwAIgAsACAAMAAuADEAOQA3ACwAIABcACIAYQB0ACAAbQBhAHIAawBlAHQAXAAiADsAXABuACAAIAAgACAAIAAgACAAIABcACIARgBlAGUAZABcACIALAAgAFwAIgBPAHQAaABlAHIAXAAiACwAIABcACIATABpAGMAawAgAGIAbABvAGMAawAsACAAZAByAHkAIABzAGUAYQBzAG8AbgAgAG0AaQB4AFwAIgAsACAAXAAiAEEAdQBzAHQAcgBhAGwAaQBhAFwAIgAsACAAXAAiAGsAZwBcACIALAAgADAALgA4ADgAMQAsACAAXAAiAGEAdAAgAG0AYQByAGsAZQB0AFwAIgA7AFwAbgAgACAAIAAgACAAIAAgACAAXAAiAEYAZQBlAGQAXAAiACwAIABcACIATwB0AGgAZQByAFwAIgAsACAAXAAiAEwAaQBjAGsAIABiAGwAbwBjAGsALAAgAG0AaQBuAGUAcgBhAGwAXAAiACwAIABcACIAQQB1AHMAdAByAGEAbABpAGEAXAAiACwAIABcACIAawBnAFwAIgAsACAAMAAuADYANwA3ACwAIABcACIAYQB0ACAAbQBhAHIAawBlAHQAXAAiADsAXABuACAAIAAgACAAIAAgACAAIABcACIARgBlAGUAZABcACIALAAgAFwAIgBPAHQAaABlAHIAXAAiACwAIABcACIATABpAGMAawAgAGIAbABvAGMAawAsACAAdwBlAGEAbgBlAHIAXAAiACwAIABcACIAQQB1AHMAdAByAGEAbABpAGEAXAAiACwAIABcACIAawBnAFwAIgAsACAAMAAuADIAMwAxACwAIABcACIAYQB0ACAAbQBhAHIAawBlAHQAXAAiADsAXABuACAAIAAgACAAIAAgACAAIABcACIARgBlAGUAZABcACIALAAgAFwAIgBPAHQAaABlAHIAXAAiACwAIABcACIATQBvAGwAYQBzAHMAZQBzAFwAIgAsACAAXAAiAFEATABEAFwAIgAsACAAXAAiAGsAZwBcACIALAAgADAALgAxADgANA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S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FMAYwBvAHAAZQAzAF8ASQBuAG8AcgBnAGEAbgBpAGMARgBlAHIAdABpAGwAaQBzAGUAcgBzAF8AVABpAHQAbABlAFwAbgA9AEwAQQBNAEIARABBACgAKABcACIASQBuAG8AcgBnAGEAbgBpAGMAIABmAGUAcgB0AGkAbABpAHMAZQByACAAYwBoAGUAbQBpAGMAYQBsACAAYwBvAG0AcABvAHUAbgBkACAAcwBjAG8AcABlACAAMwBcACIAKQApADsAXABuAFwAbgBTAGMAbwBwAGUAMwBfAEkAbgBvAHIAZwBhAG4AaQBjAEYAZQByAHQAaQBsAGkAcwBlAHI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kAbgBvAHIAZwBhAG4AaQBjAEYAZQByAHQAaQBsAGkAcwBlAHIAcwBfAFYAYQByAGkAYQB0AGkAbwBuAFwAbgA9AEwAQQBNAEIARABBACgAKABcACIAXAAiACkAKQA7AFwAbgBcAG4AUwBjAG8AcABlADMAXwBJAG4AbwByAGcAYQBuAGkAYwBGAGUAcgB0AGkAbABpAHMAZQByAHMAXwBEAGEAdABhAFwAbgA9AEwAQQBNAEIARABBACgAXABuACAAIABNAEEASwBFAEEAUgBSAEEAWQAoADIANg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yAHQAaQBsAGkAcwBlAHIAcwBcACIALAAgAFwAIgBJAG4AbwByAGcAYQBuAGkAYwAgAGYAZQByAHQAaQBsAGkAcwBlAHIAcwBcACIALAAgAFwAIgBBAG0AbQBvAG4AaQBhACwAIABBAFUAIABtAGEAcgBrAGUAdAAgAG0AaQB4AFwAIgAsACAAXAAiAEcAbABvAGIAYQBsAFwAIgAsACAAXAAiAGsAZwBcACIALAAgADIALgAzADIALAAgAFwAIgBhAHQAIABtAGEAcgBrAGUAdABcACIAOwBcAG4AIAAgACAAIAAgACAAIAAgAFwAIgBGAGUAcgB0AGkAbABpAHMAZQByAHMAXAAiACwAIABcACIASQBuAG8AcgBnAGEAbgBpAGMAIABmAGUAcgB0AGkAbABpAHMAZQByAHMAXAAiACwAIABcACIAQQBtAG0AbwBuAGkAYQAsACAAQwBhAG4AYQBkAGEAXAAiACwAIABcACIAQwBhAG4AYQBkAGEAXAAiACwAIABcACIAawBnAFwAIgAsACAAMgAuADEAMgAsACAAXAAiAGEAdAAgAG0AYQByAGsAZQB0AFwAIgA7AFwAbgAgACAAIAAgACAAIAAgACAAXAAiAEYAZQByAHQAaQBsAGkAcwBlAHIAcwBcACIALAAgAFwAIgBJAG4AbwByAGcAYQBuAGkAYwAgAGYAZQByAHQAaQBsAGkAcwBlAHIAcwBcACIALAAgAFwAIgBBAG0AbQBvAG4AaQBhACwAIABDAGgAaQBuAGEAXAAiACwAIABcACIAQwBoAGkAbgBhAFwAIgAsACAAXAAiAGsAZwBcACIALAAgADQALgAxADcALAAgAFwAIgBhAHQAIABtAGEAcgBrAGUAdABcACIAOwBcAG4AIAAgACAAIAAgACAAIAAgAFwAIgBGAGUAcgB0AGkAbABpAHMAZQByAHMAXAAiACwAIABcACIASQBuAG8AcgBnAGEAbgBpAGMAIABmAGUAcgB0AGkAbABpAHMAZQByAHMAXAAiACwAIABcACIAQQBtAG0AbwBuAGkAYQAsACAAWQBlAG0AZQBuAFwAIgAsACAAXAAiAFkAZQBtAGUAbgBcACIALAAgAFwAIgBrAGcAXAAiACwAIAAyAC4AMgA2ACwAIABcACIAYQB0ACAAbQBhAHIAawBlAHQAXAAiADsAXABuACAAIAAgACAAIAAgACAAIABcACIARgBlAHIAdABpAGwAaQBzAGUAcgBzAFwAIgAsACAAXAAiAEkAbgBvAHIAZwBhAG4AaQBjACAAZgBlAHIAdABpAGwAaQBzAGUAcgBzAFwAIgAsACAAXAAiAEEAbQBtAG8AbgBpAHUAbQAgAG4AaQB0AHIAYQB0AGUALAAgAEEAVQAgAG0AYQByAGsAZQB0ACAAbQBpAHgAXAAiACwAIABcACIARwBsAG8AYgBhAGwAXAAiACwAIABcACIAawBnAFwAIgAsACAAMgAuADIAMQAsACAAXAAiAGEAdAAgAG0AYQByAGsAZQB0AFwAIgA7AFwAbgAgACAAIAAgACAAIAAgACAAXAAiAEYAZQByAHQAaQBsAGkAcwBlAHIAcwBcACIALAAgAFwAIgBJAG4AbwByAGcAYQBuAGkAYwAgAGYAZQByAHQAaQBsAGkAcwBlAHIAcwBcACIALAAgAFwAIgBDAGEAbABjAGkAdQBtACAAYQBtAG0AbwBuAGkAdQBtACAAbgBpAHQAcgBhAHQAZQAsACAAQQBVACAAbQBhAHIAawBlAHQAIABtAGkAeABcACIALAAgAFwAIgBHAGwAbwBiAGEAbABcACIALAAgAFwAIgBrAGcAXAAiACwAIAAxAC4AMQA1ACwAIABcACIAYQB0ACAAbQBhAHIAawBlAHQAXAAiADsAXABuACAAIAAgACAAIAAgACAAIABcACIARgBlAHIAdABpAGwAaQBzAGUAcgBzAFwAIgAsACAAXAAiAEkAbgBvAHIAZwBhAG4AaQBjACAAZgBlAHIAdABpAGwAaQBzAGUAcgBzAFwAIgAsACAAXAAiAEMAYQBsAGMAaQB1AG0AIABuAGkAdAByAGEAdABlAFwAIgAsACAAXAAiAEcAbABvAGIAYQBsAFwAIgAsACAAXAAiAGsAZwBcACIALAAgADAALgA3ADUALAAgAFwAIgBhAHQAIABtAGEAcgBrAGUAdABcACIAOwBcAG4AIAAgACAAIAAgACAAIAAgAFwAIgBGAGUAcgB0AGkAbABpAHMAZQByAHMAXAAiACwAIABcACIASQBuAG8AcgBnAGEAbgBpAGMAIABmAGUAcgB0AGkAbABpAHMAZQByAHMAXAAiACwAIABcACIARABpAGEAbQBtAG8AbgBpAHUAbQAgAHAAaABvAHMAcABoAGEAdABlACwAIABBAFUAIABtAGEAcgBrAGUAdAAgAG0AaQB4AFwAIgAsACAAXAAiAEcAbABvAGIAYQBsAFwAIgAsACAAXAAiAGsAZwBcACIALAAgADEALgAzADQALAAgAFwAIgBhAHQAIABtAGEAcgBrAGUAdABcACIAOwBcAG4AIAAgACAAIAAgACAAIAAgAFwAIgBGAGUAcgB0AGkAbABpAHMAZQByAHMAXAAiACwAIABcACIASQBuAG8AcgBnAGEAbgBpAGMAIABmAGUAcgB0AGkAbABpAHMAZQByAHMAXAAiACwAIABcACIARABvAHUAYgBsAGUAIABzAHUAcABlAHIAcABoAG8AcwBwAGgAYQB0AGUALAAgAEEAVQAgAG0AYQByAGsAZQB0ACAAbQBpAHgAXAAiACwAIABcACIARwBsAG8AYgBhAGwAXAAiACwAIABcACIAawBnAFwAIgAsACAAMAAuADMAOQAyACwAIABcACIAYQB0ACAAbQBhAHIAawBlAHQAXAAiADsAXABuACAAIAAgACAAIAAgACAAIABcACIARgBlAHIAdABpAGwAaQBzAGUAcgBzAFwAIgAsACAAXAAiAEkAbgBvAHIAZwBhAG4AaQBjACAAZgBlAHIAdABpAGwAaQBzAGUAcgBzAFwAIgAsACAAXAAiAE0AbwBuAG8AYQBtAG0AbwBuAGkAdQBtACAAcABoAG8AcwBwAGgAYQB0AGUALAAgAEEAVQAgAG0AYQByAGsAZQB0ACAAbQBpAHgAXAAiACwAIABcACIARwBsAG8AYgBhAGwAXAAiACwAIABcACIAawBnAFwAIgAsACAAMAAuADgAMgA3ACwAIABcACIAYQB0ACAAbQBhAHIAawBlAHQAXAAiADsAXABuACAAIAAgACAAIAAgACAAIABcACIARgBlAHIAdABpAGwAaQBzAGUAcgBzAFwAIgAsACAAXAAiAEkAbgBvAHIAZwBhAG4AaQBjACAAZgBlAHIAdABpAGwAaQBzAGUAcgBzAFwAIgAsACAAXAAiAE0AdQByAGkAYQB0AGUAIABvAGYAIABwAG8AdABhAHMAaAAsACAAQQBVACAAbQBhAHIAawBlAHQAIABtAGkAeABcACIALAAgAFwAIgBHAGwAbwBiAGEAbABcACIALAAgAFwAIgBrAGcAXAAiACwAIAAwAC4ANQA0ADkALAAgAFwAIgBhAHQAIABtAGEAcgBrAGUAdABcACIAOwBcAG4AIAAgACAAIAAgACAAIAAgAFwAIgBGAGUAcgB0AGkAbABpAHMAZQByAHMAXAAiACwAIABcACIASQBuAG8AcgBnAGEAbgBpAGMAIABmAGUAcgB0AGkAbABpAHMAZQByAHMAXAAiACwAIABcACIATgBpAHQAcgBvAGcAZQBuACAAZgByAG8AbQAgAGEAbQBtAG8AbgBpAGEALAAgAEEAVQAgAG0AYQByAGsAZQB0ACAAbQBpAHgAXAAiACwAIABcACIARwBsAG8AYgBhAGwAXAAiACwAIABcACIAawBnACAATgBcACIALAAgADIALgA4ADMALAAgAFwAIgBhAHQAIABtAGEAcgBrAGUAdABcACIAOwBcAG4AIAAgACAAIAAgACAAIAAgAFwAIgBGAGUAcgB0AGkAbABpAHMAZQByAHMAXAAiACwAIABcACIASQBuAG8AcgBnAGEAbgBpAGMAIABmAGUAcgB0AGkAbABpAHMAZQByAHMAXAAiACwAIABcACIATgBpAHQAcgBvAGcAZQBuACAAZgByAG8AbQAgAGYAZQByAHQAaQBsAGkAegBlAHIALAAgAEEAVQAgAG0AYQByAGsAZQB0ACAAbQBpAHgAXAAiACwAIABcACIARwBsAG8AYgBhAGwAXAAiACwAIABcACIAawBnACAATgBcACIALAAgADQALgAyACwAIABcACIAYQB0ACAAbQBhAHIAawBlAHQAXAAiADsAXABuACAAIAAgACAAIAAgACAAIABcACIARgBlAHIAdABpAGwAaQBzAGUAcgBzAFwAIgAsACAAXAAiAEkAbgBvAHIAZwBhAG4AaQBjACAAZgBlAHIAdABpAGwAaQBzAGUAcgBzAFwAIgAsACAAXAAiAE4AaQB0AHIAbwBnAGUAbgAgAGYAcgBvAG0AIABuAGkAdAByAGEAdABlACAAZgBlAHIAdABpAGwAaQB6AGUAcgAsACAAQQBVACAAbQBhAHIAawBlAHQAIABtAGkAeABcACIALAAgAFwAIgBHAGwAbwBiAGEAbABcACIALAAgAFwAIgBrAGcAIABOAFwAIgAsACAANQAuADQANwAsACAAXAAiAGEAdAAgAG0AYQByAGsAZQB0AFwAIgA7AFwAbgAgACAAIAAgACAAIAAgACAAXAAiAEYAZQByAHQAaQBsAGkAcwBlAHIAcwBcACIALAAgAFwAIgBJAG4AbwByAGcAYQBuAGkAYwAgAGYAZQByAHQAaQBsAGkAcwBlAHIAcwBcACIALAAgAFwAIgBQAGgAbwBzAHAAaABvAHIAdQBzACAAZgByAG8AbQAgAGYAZQByAHQAaQBsAGkAegBlAHIALAAgAEEAVQAgAG0AYQByAGsAZQB0ACAAbQBpAHgAXAAiACwAIABcACIARwBsAG8AYgBhAGwAXAAiACwAIABcACIAawBnACAAUABcACIALAAgADMALgA5ADYALAAgAFwAIgBhAHQAIABtAGEAcgBrAGUAdABcACIAOwBcAG4AIAAgACAAIAAgACAAIAAgAFwAIgBGAGUAcgB0AGkAbABpAHMAZQByAHMAXAAiACwAIABcACIASQBuAG8AcgBnAGEAbgBpAGMAIABmAGUAcgB0AGkAbABpAHMAZQByAHMAXAAiACwAIABcACIAUABvAHQAYQBzAHMAaQB1AG0AIABmAHIAbwBtACAAZgBlAHIAdABpAGwAaQB6AGUAcgAsACAAQQBVACAAbQBhAHIAawBlAHQAIABtAGkAeABcACIALAAgAFwAIgBHAGwAbwBiAGEAbABcACIALAAgAFwAIgBrAGcAIABLAFwAIgAsACAAMAAuADkAMAA5ACwAIABcACIAYQB0ACAAbQBhAHIAawBlAHQAXAAiADsAXABuACAAIAAgACAAIAAgACAAIABcACIARgBlAHIAdABpAGwAaQBzAGUAcgBzAFwAIgAsACAAXAAiAEkAbgBvAHIAZwBhAG4AaQBjACAAZgBlAHIAdABpAGwAaQBzAGUAcgBzAFwAIgAsACAAXAAiAFMAaQBuAGcAbABlACAAcwB1AHAAZQByAHAAaABvAHMAcABoAGEAdABlACwAIABBAFUAIABtAGEAcgBrAGUAdAAgAG0AaQB4AFwAIgAsACAAXAAiAEcAbABvAGIAYQBsAFwAIgAsACAAXAAiAGsAZwBcACIALAAgADAALgAyADIANwAsACAAXAAiAGEAdAAgAG0AYQByAGsAZQB0AFwAIgA7AFwAbgAgACAAIAAgACAAIAAgACAAXAAiAEYAZQByAHQAaQBsAGkAcwBlAHIAcwBcACIALAAgAFwAIgBJAG4AbwByAGcAYQBuAGkAYwAgAGYAZQByAHQAaQBsAGkAcwBlAHIAcwBcACIALAAgAFwAIgBTAHUAbABmAHUAcgAgAGYAcgBvAG0AIABmAGUAcgB0AGkAbABpAHoAZQByACwAIABBAFUAIABtAGEAcgBrAGUAdAAgAG0AaQB4AFwAIgAsACAAXAAiAEcAbABvAGIAYQBsAFwAIgAsACAAXAAiAGsAZwAgAFMAXAAiACwAIAAyAC4ANQAsACAAXAAiAGEAdAAgAG0AYQByAGsAZQB0AFwAIgA7AFwAbgAgACAAIAAgACAAIAAgACAAXAAiAEYAZQByAHQAaQBsAGkAcwBlAHIAcwBcACIALAAgAFwAIgBJAG4AbwByAGcAYQBuAGkAYwAgAGYAZQByAHQAaQBsAGkAcwBlAHIAcwBcACIALAAgAFwAIgBBAG0AbQBvAG4AaQB1AG0AIABzAHUAbABwAGgAYQB0AGUALAAgAEEAVQAgAG0AYQByAGsAZQB0ACAAbQBpAHgAXAAiACwAIABcACIARwBsAG8AYgBhAGwAXAAiACwAIABcACIAawBnAFwAIgAsACAAMAAuADgANgA1ACwAIABcACIAYQB0ACAAbQBhAHIAawBlAHQAXAAiADsAXABuACAAIAAgACAAIAAgACAAIABcACIARgBlAHIAdABpAGwAaQBzAGUAcgBzAFwAIgAsACAAXAAiAEkAbgBvAHIAZwBhAG4AaQBjACAAZgBlAHIAdABpAGwAaQBzAGUAcgBzAFwAIgAsACAAXAAiAFUAcgBlAGEAIABhAG0AbQBvAG4AaQB1AG0AIABuAGkAdAByAGEAdABlACwAIABBAFUAIABtAGEAcgBrAGUAdAAgAG0AaQB4AFwAIgAsACAAXAAiAEcAbABvAGIAYQBsAFwAIgAsACAAXAAiAGsAZwBcACIALAAgADEALgA3ADUALAAgAFwAIgBhAHQAIABtAGEAcgBrAGUAdABcACIAOwBcAG4AIAAgACAAIAAgACAAIAAgAFwAIgBGAGUAcgB0AGkAbABpAHMAZQByAHMAXAAiACwAIABcACIASQBuAG8AcgBnAGEAbgBpAGMAIABmAGUAcgB0AGkAbABpAHMAZQByAHMAXAAiACwAIABcACIAVQByAGUAYQAsACAAQQBVACAAbQBhAHIAawBlAHQAIABtAGkAeABcACIALAAgAFwAIgBHAGwAbwBiAGEAbABcACIALAAgAFwAIgBrAGcAXAAiACwAIAAwAC4AOQA2ADgALAAgAFwAIgBhAHQAIABtAGEAcgBrAGUAdABcACIAOwBcAG4AIAAgACAAIAAgACAAIAAgAFwAIgBGAGUAcgB0AGkAbABpAHMAZQByAHMAXAAiACwAIABcACIASQBuAG8AcgBnAGEAbgBpAGMAIABmAGUAcgB0AGkAbABpAHMAZQByAHMAXAAiACwAIABcACIAVQByAGUAYQAsACAAQwBhAG4AYQBkAGEAXAAiACwAIABcACIAQwBhAG4AYQBkAGEAXAAiACwAIABcACIAawBnAFwAIgAsACAAMAAuADgAMgAzACwAIABcACIAYQB0ACAAbQBhAHIAawBlAHQAXAAiADsAXABuACAAIAAgACAAIAAgACAAIABcACIARgBlAHIAdABpAGwAaQBzAGUAcgBzAFwAIgAsACAAXAAiAEkAbgBvAHIAZwBhAG4AaQBjACAAZgBlAHIAdABpAGwAaQBzAGUAcgBzAFwAIgAsACAAXAAiAFUAcgBlAGEALAAgAEMAaABpAG4AYQBcACIALAAgAFwAIgBDAGgAaQBuAGEAXAAiACwAIABcACIAawBnAFwAIgAsACAAMgAuADAAOQAsACAAXAAiAGEAdAAgAG0AYQByAGsAZQB0AFwAIgA7AFwAbgAgACAAIAAgACAAIAAgACAAXAAiAEYAZQByAHQAaQBsAGkAcwBlAHIAcwBcACIALAAgAFwAIgBJAG4AbwByAGcAYQBuAGkAYwAgAGYAZQByAHQAaQBsAGkAcwBlAHIAcwBcACIALAAgAFwAIgBVAHIAZQBhACwAIABZAGUAbQBlAG4AXAAiACwAIABcACIAWQBlAG0AZQBuAFwAIgAsACAAXAAiAGsAZwBcACIALAAgADAALgA5ADYAMwAsACAAXAAiAGEAdAAgAG0AYQByAGsAZQB0AFwAIgA7AFwAbgAgACAAIAAgACAAIAAgACAAXAAiAEYAZQByAHQAaQBsAGkAcwBlAHIAcwBcACIALAAgAFwAIgBJAG4AbwByAGcAYQBuAGkAYwAgAGYAZQByAHQAaQBsAGkAcwBlAHIAcwBcACIALAAgAFwAIgBaAGkAbgBjACAAZgByAG8AbQAgAGYAZQByAHQAaQBsAGkAegBlAHIAXAAiACwAIABcACIARwBsAG8AYgBhAGwAXAAiACwAIABcACIAawBnACAAWgBuAFwAIgAsACAANAAuADgAMg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TwB0AGgAZQByACAAYQBnAHIAaQBjAHUAbAB0AHUAcgBhAGwAIABpAG4AcAB1AHQAcwBcAG4APQA9AD0APQA9AD0APQA9AD0APQA9AD0APQA9AD0APQA9AD0APQA9AD0APQA9AD0APQA9AD0APQA9AD0APQA9AD0APQA9AD0APQA9AD0APQA9AD0APQA9AD0APQA9AD0APQA9AD0APQA9AD0APQA9AD0APQA9AD0APQA9AD0APQA9AD0APQA9AD0APQA9AD0APQA9AD0APQBcAG4AKgAvAFwAbgBcAG4AUwBjAG8AcABlADMAXwBPAHQAaABlAHIAXwBUAGkAdABsAGUAXABuAD0ATABBAE0AQgBEAEEAKAAoAFwAIgBPAHQAaABlAHIAIABhAGcAcgBpAGMAdQBsAHQAdQByAGEAbAAgAGkAbgBwAHUAdABzACAAcwBjAG8AcABlACAAMwBcACIAKQApADsAXABuAFwAbgBTAGMAbwBwAGUAMwBfAE8AdABoAGUAcg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8AdABoAGUAcgBfAFYAYQByAGkAYQB0AGkAbwBuAFwAbgA9AEwAQQBNAEIARABBACgAKABcACIAXAAiACkAKQA7AFwAbgBcAG4AUwBjAG8AcABlADMAXwBPAHQAaABlAHIAXwBEAGEAdABhAFwAbgA9AEwAQQBNAEIARABBACgAXABuACAAIABNAEEASwBFAEEAUgBSAEEAWQAoADk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PAHQAaABlAHIAXAAiACwAIABcACIATwB0AGgAZQByAFwAIgAsACAAXAAiAEEAbgBpAG0AYQBsACAAZQBhAHIAIAB0AGEAZwBzACAAKABsAGEAcgBnAGUAKQBcACIALAAgAFwAIgBBAHUAcwB0AHIAYQBsAGkAYQBcACIALAAgAFwAIgBwAFwAIgAsACAAMAAuADAANAAyADQALAAgAFwAIgBhAHQAIABtAGEAcgBrAGUAdABcACIAOwBcAG4AIAAgACAAIAAgACAAIAAgAFwAIgBPAHQAaABlAHIAXAAiACwAIABcACIATwB0AGgAZQByAFwAIgAsACAAXAAiAEEAbgBpAG0AYQBsACAAZQBhAHIAIAB0AGEAZwBzACAAKABzAG0AYQBsAGwAKQBcACIALAAgAFwAIgBBAHUAcwB0AHIAYQBsAGkAYQBcACIALAAgAFwAIgBwAFwAIgAsACAAMAAuADAAMgA5ADMALAAgAFwAIgBhAHQAIABtAGEAcgBrAGUAdABcACIAOwBcAG4AIAAgACAAIAAgACAAIAAgAFwAIgBPAHQAaABlAHIAXAAiACwAIABcACIATwB0AGgAZQByAFwAIgAsACAAXAAiAEIAYQByAGwAZQB5ACAAZwByAGEAaQBuACAAKABmAG8AcgAgAHMAZQBlAGQAKQBcACIALAAgAFwAIgBBAHUAcwB0AHIAYQBsAGkAYQBcACIALAAgAFwAIgBrAGcAXAAiACwAIAAwAC4AMgAzADkALAAgAFwAIgBhAHQAIABtAGEAcgBrAGUAdABcACIAOwBcAG4AIAAgACAAIAAgACAAIAAgAFwAIgBPAHQAaABlAHIAXAAiACwAIABcACIATwB0AGgAZQByAFwAIgAsACAAXAAiAE0AYQBpAHoAZQAgAGcAcgBhAGkAbgAgACgAZgBvAHIAIABzAGUAZQBkACkAXAAiACwAIABcACIAQQB1AHMAdAByAGEAbABpAGEAXAAiACwAIABcACIAawBnAFwAIgAsACAAMAAuADEAOAAxACwAIABcACIAYQB0ACAAbQBhAHIAawBlAHQAXAAiADsAXABuACAAIAAgACAAIAAgACAAIABcACIATwB0AGgAZQByAFwAIgAsACAAXAAiAE8AdABoAGUAcgBcACIALAAgAFwAIgBOAHkAbABvAG4AIABuAGUAdAB0AGkAbgBnAFwAIgAsACAAXAAiAEcAbABvAGIAYQBsAFwAIgAsACAAXAAiAGsAZwBcACIALAAgADkALgA4ADEALAAgAFwAIgBhAHQAIABtAGEAcgBrAGUAdABcACIAOwBcAG4AIAAgACAAIAAgACAAIAAgAFwAIgBPAHQAaABlAHIAXAAiACwAIABcACIATwB0AGgAZQByAFwAIgAsACAAXAAiAE8AYQB0ACAAZwByAGEAaQBuACAAKABmAG8AcgAgAHMAZQBlAGQAKQBcACIALAAgAFwAIgBBAHUAcwB0AHIAYQBsAGkAYQBcACIALAAgAFwAIgBrAGcAXAAiACwAIAAwAC4AMgA3ACwAIABcACIAYQB0ACAAbQBhAHIAawBlAHQAXAAiADsAXABuACAAIAAgACAAIAAgACAAIABcACIATwB0AGgAZQByAFwAIgAsACAAXAAiAE8AdABoAGUAcgBcACIALAAgAFwAIgBTAG8AcgBnAGgAdQBtACAAZwByAGEAaQBuACAAKABmAG8AcgAgAHMAZQBlAGQAKQBcACIALAAgAFwAIgBBAHUAcwB0AHIAYQBsAGkAYQBcACIALAAgAFwAIgBrAGcAXAAiACwAIAAwAC4AMgAzADIALAAgAFwAIgBhAHQAIABtAGEAcgBrAGUAdABcACIAOwBcAG4AIAAgACAAIAAgACAAIAAgAFwAIgBPAHQAaABlAHIAXAAiACwAIABcACIATwB0AGgAZQByAFwAIgAsACAAXAAiAFcAaABlAGEAdAAgAGcAcgBhAGkAbgAgACgAZgBvAHIAIABzAGUAZQBkACkAXAAiACwAIABcACIAQQB1AHMAdAByAGEAbABpAGEAXAAiACwAIABcACIAawBnAFwAIgAsACAAMAAuADIANgA4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EAYwBrAGEAZwBpAG4AZwBcAG4APQA9AD0APQA9AD0APQA9AD0APQA9AD0APQA9AD0APQA9AD0APQA9AD0APQA9AD0APQA9AD0APQA9AD0APQA9AD0APQA9AD0APQA9AD0APQA9AD0APQA9AD0APQA9AD0APQA9AD0APQA9AD0APQA9AD0APQA9AD0APQA9AD0APQA9AD0APQA9AD0APQA9AD0APQA9AD0APQBcAG4AKgAvAFwAbgBcAG4AUwBjAG8AcABlADMAXwBQAGEAYwBrAGEAZwBpAG4AZwBfAFQAaQB0AGwAZQBcAG4APQBMAEEATQBCAEQAQQAoACgAXAAiAFAAYQBjAGsAYQBnAGkAbgBnACAAcwBjAG8AcABlACAAMwBcACIAKQApADsAXABuAFwAbgBTAGMAbwBwAGUAMwBfAFAAYQBjAGsAYQBnAGkAbgBn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hAGMAawBhAGcAaQBuAGcAXwBWAGEAcgBpAGEAdABpAG8AbgBcAG4APQBMAEEATQBCAEQAQQAoACgAXAAiAFwAIgApACkAOwBcAG4AXABuAFMAYwBvAHAAZQAzAF8AUABhAGMAawBhAGcAaQBuAGcAXwBEAGEAdABhAFwAbgA9AEwAQQBNAEIARABBACgAXABuACAAIABNAEEASwBFAEEAUgBSAEEAWQAoADU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EAYwBrAGEAZwBpAG4AZwBcACIALAAgAFwAIgBQAGEAYwBrAGEAZwBpAG4AZwBcACIALAAgAFwAIgBDAG8AcgByAHUAZwBhAHQAZQBkACAAYgBvAGEAcgBkAFwAIgAsACAAXAAiAEcAbABvAGIAYQBsAFwAIgAsACAAXAAiAGsAZwBcACIALAAgADEALgAwADUALAAgAFwAIgBhAHQAIABtAGEAbgB1AGYAYQBjAHQAdQByAGUAcgBcACIAOwBcAG4AIAAgACAAIAAgACAAIAAgAFwAIgBQAGEAYwBrAGEAZwBpAG4AZwBcACIALAAgAFwAIgBQAGEAYwBrAGEAZwBpAG4AZwBcACIALAAgAFwAIgBQAGwAYQBzAHQAaQBjACAAYwByAGEAdABlACAAcABvAGwAeQBwAHIAbwBwAHkAbABlAG4AZQBcACIALAAgAFwAIgBHAGwAbwBiAGEAbABcACIALAAgAFwAIgBwAFwAIgAsACAAMwAuADkAOQAsACAAXAAiAGEAdAAgAG0AYQBuAHUAZgBhAGMAdAB1AHIAZQByAFwAIgA7AFwAbgAgACAAIAAgACAAIAAgACAAXAAiAFAAYQBjAGsAYQBnAGkAbgBnAFwAIgAsACAAXAAiAFAAYQBjAGsAYQBnAGkAbgBnAFwAIgAsACAAXAAiAFAAbABhAHMAdABpAGMAIABmAGkAbABtACAATABEAFAARQBcACIALAAgAFwAIgBHAGwAbwBiAGEAbABcACIALAAgAFwAIgBrAGcAXAAiACwAIAAzAC4ANAA0ACwAIABcACIAYQB0ACAAbQBhAG4AdQBmAGEAYwB0AHUAcgBlAHIAXAAiADsAXABuACAAIAAgACAAIAAgACAAIABcACIAUABhAGMAawBhAGcAaQBuAGcAXAAiACwAIABcACIAUABhAGMAawBhAGcAaQBuAGcAXAAiACwAIABcACIAUABsAGEAcwB0AGkAYwAgAHMAaABlAGUAdAAgAEgARABQAEUAXAAiACwAIABcACIARwBsAG8AYgBhAGwAXAAiACwAIABcACIAawBnAFwAIgAsACAAMwAuADcAMgAsACAAXAAiAGEAdAAgAG0AYQBuAHUAZgBhAGMAdAB1AHIAZQBy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ABlAHMAdABpAGMAaQBkAGUAcwBcAG4APQA9AD0APQA9AD0APQA9AD0APQA9AD0APQA9AD0APQA9AD0APQA9AD0APQA9AD0APQA9AD0APQA9AD0APQA9AD0APQA9AD0APQA9AD0APQA9AD0APQA9AD0APQA9AD0APQA9AD0APQA9AD0APQA9AD0APQA9AD0APQA9AD0APQA9AD0APQA9AD0APQA9AD0APQA9AD0APQBcAG4AKgAvAFwAbgBcAG4AUwBjAG8AcABlADMAXwBQAGUAcwB0AGkAYwBpAGQAZQBzAF8AVABpAHQAbABlAFwAbgA9AEwAQQBNAEIARABBACgAKABcACIAUABlAHMAdABpAGMAaQBkAGUAcwAgAHMAYwBvAHAAZQAgADMAXAAiACkAKQA7AFwAbgBcAG4AUwBjAG8AcABlADMAXwBQAGUAcwB0AGkAYwBpAGQAZQ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lAHMAdABpAGMAaQBkAGUAcwBfAFYAYQByAGkAYQB0AGkAbwBuAFwAbgA9AEwAQQBNAEIARABBACgAKABcACIAXAAiACkAKQA7AFwAbgBcAG4AUwBjAG8AcABlADMAXwBQAGUAcwB0AGkAYwBpAGQAZQBzAF8ARABhAHQAYQBcAG4APQBMAEEATQBCAEQAQQAoAFwAbgAgACAATQBBAEsARQBBAFIAUgBBAFkAKAAxADM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UAcwB0AGkAYwBpAGQAZQBzAFwAIgAsACAAXAAiAFAAZQBzAHQAaQBjAGkAZABlAHMAXAAiACwAIABcACIAMgAsADQALQBEAFwAIgAsACAAXAAiAEcAbABvAGIAYQBsAFwAIgAsACAAXAAiAGsAZwAgAEEASQBcACIALAAgADUALgAyACwAIABcACIAYQB0ACAAbQBhAHIAawBlAHQAXAAiADsAXABuACAAIAAgACAAIAAgACAAIABcACIAUABlAHMAdABpAGMAaQBkAGUAcwBcACIALAAgAFwAIgBQAGUAcwB0AGkAYwBpAGQAZQBzAFwAIgAsACAAXAAiAEEAdAByAGEAegBpAG4AZQBcACIALAAgAFwAIgBHAGwAbwBiAGEAbABcACIALAAgAFwAIgBrAGcAIABBAEkAXAAiACwAIAA4AC4AMwA4ACwAIABcACIAYQB0ACAAbQBhAHIAawBlAHQAXAAiADsAXABuACAAIAAgACAAIAAgACAAIABcACIAUABlAHMAdABpAGMAaQBkAGUAcwBcACIALAAgAFwAIgBQAGUAcwB0AGkAYwBpAGQAZQBzAFwAIgAsACAAXAAiAEQAaQB1AHIAbwBuAFwAIgAsACAAXAAiAEcAbABvAGIAYQBsAFwAIgAsACAAXAAiAGsAZwAgAEEASQBcACIALAAgADgALgA4ACwAIABcACIAYQB0ACAAbQBhAHIAawBlAHQAXAAiADsAXABuACAAIAAgACAAIAAgACAAIABcACIAUABlAHMAdABpAGMAaQBkAGUAcwBcACIALAAgAFwAIgBQAGUAcwB0AGkAYwBpAGQAZQBzAFwAIgAsACAAXAAiAEcAbAB5AHAAaABvAHMAYQB0AGUAXAAiACwAIABcACIARwBsAG8AYgBhAGwAXAAiACwAIABcACIAawBnACAAQQBJAFwAIgAsACAAMQAwAC4AMwAsACAAXAAiAGEAdAAgAG0AYQByAGsAZQB0AFwAIgA7AFwAbgAgACAAIAAgACAAIAAgACAAXAAiAFAAZQBzAHQAaQBjAGkAZABlAHMAXAAiACwAIABcACIAUABlAHMAdABpAGMAaQBkAGUAcwBcACIALAAgAFwAIgBNAGEAbgBjAG8AegBlAGIAXAAiACwAIABcACIARwBsAG8AYgBhAGwAXAAiACwAIABcACIAawBnACAAQQBJAFwAIgAsACAANAAuADUANQAsACAAXAAiAGEAdAAgAG0AYQByAGsAZQB0AFwAIgA7AFwAbgAgACAAIAAgACAAIAAgACAAXAAiAFAAZQBzAHQAaQBjAGkAZABlAHMAXAAiACwAIABcACIAUABlAHMAdABpAGMAaQBkAGUAcwBcACIALAAgAFwAIgBNAEMAUABBAFwAIgAsACAAXAAiAEcAbABvAGIAYQBsAFwAIgAsACAAXAAiAGsAZwAgAEEASQBcACIALAAgADUALgA2ACwAIABcACIAYQB0ACAAbQBhAHIAawBlAHQAXAAiADsAXABuACAAIAAgACAAIAAgACAAIABcACIAUABlAHMAdABpAGMAaQBkAGUAcwBcACIALAAgAFwAIgBQAGUAcwB0AGkAYwBpAGQAZQBzAFwAIgAsACAAXAAiAE0AZQB0AG8AbABhAGMAaABsAG8AcgBcACIALAAgAFwAIgBHAGwAbwBiAGEAbABcACIALAAgAFwAIgBrAGcAIABBAEkAXAAiACwAIAA4AC4AMAA2ACwAIABcACIAYQB0ACAAbQBhAHIAawBlAHQAXAAiADsAXABuACAAIAAgACAAIAAgACAAIABcACIAUABlAHMAdABpAGMAaQBkAGUAcwBcACIALAAgAFwAIgBQAGUAcwB0AGkAYwBpAGQAZQBzAFwAIgAsACAAXAAiAE0AZQB0AHMAdQBsAGYAdQByAG8AbgAtAG0AZQB0AGgAeQBsAFwAIgAsACAAXAAiAEcAbABvAGIAYQBsAFwAIgAsACAAXAAiAGsAZwAgAEEASQBcACIALAAgADgALgA4ACwAIABcACIAYQB0ACAAbQBhAHIAawBlAHQAXAAiADsAXABuACAAIAAgACAAIAAgACAAIABcACIAUABlAHMAdABpAGMAaQBkAGUAcwBcACIALAAgAFwAIgBQAGUAcwB0AGkAYwBpAGQAZQBzAFwAIgAsACAAXAAiAFAAZQBzAHQAaQBjAGkAZABlAHMAIAAoAGcAZQBuAGUAcgBpAGMAKQBcACIALAAgAFwAIgBHAGwAbwBiAGEAbABcACIALAAgAFwAIgBrAGcAIABBAEkAXAAiACwAIAA5AC4AMQA2ACwAIABcACIAYQB0ACAAbQBhAHIAawBlAHQAXAAiADsAXABuACAAIAAgACAAIAAgACAAIABcACIAUABlAHMAdABpAGMAaQBkAGUAcwBcACIALAAgAFwAIgBQAGUAcwB0AGkAYwBpAGQAZQBzAFwAIgAsACAAXAAiAFQAcgBpAC0AYQBsAGwAYQB0AGUAXAAiACwAIABcACIARwBsAG8AYgBhAGwAXAAiACwAIABcACIAawBnACAAQQBJAFwAIgAsACAAOAAuADUANwAsACAAXAAiAGEAdAAgAG0AYQByAGsAZQB0AFwAIgA7AFwAbgAgACAAIAAgACAAIAAgACAAXAAiAFAAZQBzAHQAaQBjAGkAZABlAHMAXAAiACwAIABcACIAUABlAHMAdABpAGMAaQBkAGUAcwBcACIALAAgAFwAIgBUAHIAaQBiAGUAbgB1AHIAbwBuACAAbQBlAHQAaAB5AGwAXAAiACwAIABcACIARwBsAG8AYgBhAGwAXAAiACwAIABcACIAawBnACAAQQBJAFwAIgAsACAAOAAuADgALAAgAFwAIgBhAHQAIABtAGEAcgBrAGUAdABcACIAOwBcAG4AIAAgACAAIAAgACAAIAAgAFwAIgBQAGUAcwB0AGkAYwBpAGQAZQBzAFwAIgAsACAAXAAiAFAAZQBzAHQAaQBjAGkAZABlAHMAXAAiACwAIABcACIAVAByAGkAZgBsAHUAcgBhAGwAaQBuAFwAIgAsACAAXAAiAEcAbABvAGIAYQBsAFwAIgAsACAAXAAiAGsAZwAgAEEASQBcACIALAAgADYALgAxADY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MAbwBpAGwAIABhAG0AZQBuAGQAbQBlAG4AdABzAFwAbgA9AD0APQA9AD0APQA9AD0APQA9AD0APQA9AD0APQA9AD0APQA9AD0APQA9AD0APQA9AD0APQA9AD0APQA9AD0APQA9AD0APQA9AD0APQA9AD0APQA9AD0APQA9AD0APQA9AD0APQA9AD0APQA9AD0APQA9AD0APQA9AD0APQA9AD0APQA9AD0APQA9AD0APQA9AD0APQA9AFwAbgAqAC8AXABuAFwAbgBTAGMAbwBwAGUAMwBfAFMAbwBpAGwAQQBtAGUAbgBkAG0AZQBuAHQAcwBfAFQAaQB0AGwAZQBcAG4APQBMAEEATQBCAEQAQQAoACgAXAAiAFMAbwBpAGwAIABhAG0AZQBuAGQAbQBlAG4AdABzACAAcwBjAG8AcABlACAAMwBcACIAKQApADsAXABuAFwAbgBTAGMAbwBwAGUAMwBfAFMAbwBpAGwAQQBtAGUAbgBkAG0AZQBuAHQ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FMAbwBpAGwAQQBtAGUAbgBkAG0AZQBuAHQAcwBfAFYAYQByAGkAYQB0AGkAbwBuAFwAbgA9AEwAQQBNAEIARABBACgAKABcACIAXAAiACkAKQA7AFwAbgBcAG4AUwBjAG8AcABlADMAXwBTAG8AaQBsAEEAbQBlAG4AZABtAGUAbgB0AHMAXwBEAGEAdABhAFwAbgA9AEwAQQBNAEIARABBACgAXABuACAAIABNAEEASwBFAEEAUgBSAEEAWQAoADQ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TAG8AaQBsACAAYQBtAGUAbABpAG8AcgBhAG4AdABzAFwAIgAsACAAXAAiAFMAbwBpAGwAIABhAG0AZQBsAGkAbwByAGEAbgB0AHMAXAAiACwAIABcACIARABvAGwAbwBtAGkAdABl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cAeQBwAHMAdQBt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wAaQBtAGUAcwB0AG8AbgBlACAAKABjAHIAdQBzAGgAZQBkACkAXAAiACwAIABcACIAQQB1AHMAdAByAGEAbABpAGEAXAAiACwAIABcACIAawBnAFwAIgAsACAAMAAuADAANAA4ADUALAAgAFwAIgBhAHQAIABtAGEAcgBrAGUAdABcACIAXABuACAAIAAgACAAIAAgAH0ALAAgAHIALAAgAGMAKQBcAG4AKQApACkAOwBcAG4AIgB9ACwAewAiAHAAYQB0AGgAIgA6ACIALwBwAHIAbwBqAGUAYwB0AHMALwBDAG8AbQBtAG8AbgBMAGkAdgBlAHMAdABvAGMAaw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sAGkAdgBlAHMAdABvAGMAawAgAHQAeQBwAGUAcwBcAG4ARQB4AGMAZQBsACAAbQBvAGQAdQBsAGUAIABuAGEAbQBlADoAIABTAG8AdQByAGMAZQBEAGEAdABhAF8ATABpAHYAZQBzAHQAbwBjAGsAXwBDAG8AbQBtAG8Ab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UwBvAHUAcgBjAGUARABhAHQAYQBfAEwAaQB2AGUAcwB0AG8AYwBrAF8AQwBvAG0AbQBvAG4AXwBGAHIAYQBjAFcARQBUAE0ATQBTAFwAbgBGAHIAYQBjAFcARQBUAE0ATQBTAGkAIAA9ACAARgByAGEAYwB0AGkAbwBuACAAbwBmACAATgAgAGEAdgBhAGkAbABhAGIAbABlACAAZgBvAHIAIABsAGUAYQBjAGgAaQBuAGcAIABhAG4AZAAgAHIAdQBuAG8AZgBmAFwAbgAoAFQAYQBiAGwAZQAgAEEANQAuADUALgAxADAALgAyACAAaQBzACAAcgBlAGYAZQByAGUAbgBjAGUAZAAgAGkAbgAgAE4ASQBSACAAYgB1AHQAIAAxACAAaQBzACAAdQBzAGUAZAApAFwAbgAtAC0ALQAtAC0ALQAtAC0ALQAtAC0ALQAtAC0ALQAtAC0ALQAtAC0ALQAtAC0ALQAtAC0ALQAtAC0ALQAtAC0ALQAtAC0ALQAtAC0AXABuACoALwBcAG4AXABuAFMAbwB1AHIAYwBlAEQAYQB0AGEAXwBMAGkAdgBlAHMAdABvAGMAawBfAEMAbwBtAG0AbwBuAF8ARgByAGEAYwBXAEUAVABNAE0AUwBfAFQAaQB0AGwAZQBcAG4AIAAgAD0ATABBAE0AQgBEAEEAKABcACIARgByAGEAYwB0AGkAbwBuACAAbwBmACAATgAgAGEAdgBhAGkAbABhAGIAbABlACAAZgBvAHIAIABsAGUAYQBjAGgAaQBuAGcAIABhAG4AZAAgAHIAdQBuAG8AZgBmAFwAIgApADsAXABuAFwAbgBTAG8AdQByAGMAZQBEAGEAdABhAF8ATABpAHYAZQBzAHQAbwBjAGsAXwBDAG8AbQBtAG8AbgBfAEYAcgBhAGMAVwBFAFQATQBNAFMAXwBVAG4AaQB0AFwAbgAgACAAPQBMAEEATQBCAEQAQQAoAFwAIgBGAHIAYQBjAHQAaQBvAG4AXAAiACkAOwBcAG4AXABuAFMAbwB1AHIAYwBlAEQAYQB0AGEAXwBMAGkAdgBlAHMAdABvAGMAawBfAEMAbwBtAG0AbwBuAF8ARgByAGEAYwBXAEUAVABN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VwBFAFQATQBNAFMAXwBEAGEAdABhAFwAbgAgACAAPQBMAEEATQBCAEQAQQAoADEAKQA7AFwAbgBcAG4ALwAqACAAXABuAC0ALQAtAC0ALQAtAC0ALQAtAC0ALQAtAC0ALQAtAC0ALQAtAC0ALQAtAC0ALQAtAC0ALQAtAC0ALQAtAC0ALQAtAC0ALQAtAC0ALQBcAG4AUwBvAHUAcgBjAGUARABhAHQAYQBfAEwAaQB2AGUAcwB0AG8AYwBrAF8AQwBvAG0AbQBvAG4AXwBGAHIAYQBjAEwARQBBAEMASABfAE0AUwBcAG4ARgByAGEAYwBMAEUAQQBDAEgAXwBNAFMAIAA9ACAAMAAuADAAMgAgACgARwBnACAATgAvAEcAZwAgAGEAcABwAGwAaQBlAGQAKQAgACgAQwBTACAARQBGACwAIABzAG8AdQByAGMAZQAgAEkAUABDAEMAIAAoADIAMAAxADkAKQApACAAXABuAGYAcgBhAGMAdABpAG8AbgAgAG8AZgAgAE4AIABsAG8AcwB0ACAAdABoAHIAbwB1AGcAaAAgAGwAZQBhAGMAaABpAG4AZwAgAGEAbgBkACAAcgB1AG4AbwBmAGYAXABuAC0ALQAtAC0ALQAtAC0ALQAtAC0ALQAtAC0ALQAtAC0ALQAtAC0ALQAtAC0ALQAtAC0ALQAtAC0ALQAtAC0ALQAtAC0ALQAtAC0ALQBcAG4AKgAvAFwAbgBcAG4AUwBvAHUAcgBjAGUARABhAHQAYQBfAEwAaQB2AGUAcwB0AG8AYwBrAF8AQwBvAG0AbQBvAG4AXwBGAHIAYQBjAEwARQBBAEMASABfAE0AUwBfAFQAaQB0AGwAZQBcAG4AIAAgAD0ATABBAE0AQgBEAEEAKABcACIARgByAGEAYwB0AGkAbwBuACAAbwBmACAATgAgAGwAbwBzAHQAIAB0AGgAcgBvAHUAZwBoACAAbABlAGEAYwBoAGkAbgBnACAAYQBuAGQAIAByAHUAbgBvAGYAZgBcACIAKQA7AFwAbgBcAG4AUwBvAHUAcgBjAGUARABhAHQAYQBfAEwAaQB2AGUAcwB0AG8AYwBrAF8AQwBvAG0AbQBvAG4AXwBGAHIAYQBjAEwARQBBAEMASABfAE0AUwBfAFUAbgBpAHQAXABuACAAIAA9AEwAQQBNAEIARABBACgAXAAiAEYAcgBhAGMAdABpAG8AbgBcACIAKQA7AFwAbgBcAG4AUwBvAHUAcgBjAGUARABhAHQAYQBfAEwAaQB2AGUAcwB0AG8AYwBrAF8AQwBvAG0AbQBvAG4AXwBGAHIAYQBjAEwARQBBAEMASABf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TABFAEEAQwBIAF8ATQBTAF8ARABhAHQAYQBcAG4AIAAgAD0ATABBAE0AQgBEAEEAKABcAG4AIAAgACAAIABNAEEASwBFAEEAUgBSAEEAWQAoADgALAAgADIALAAgAFwAbgAgACAAIAAgACAAIABMAEEATQBCAEQAQQAoAHIALABjACwAIABcAG4AIAAgACAAIAAgACAAIAAgAEkATgBEAEUAWAAoAHsAXABuACAAIAAgACAAIAAgACAAIAAgACAAXAAiAFAAcgBvAGQAdQBjAHQAaQBvAG4AIABzAHkAcwB0AGUAbQBcACIALAAgAFwAIgBFAG0AaQBzAHMAaQBvAG4AIABmAGEAYwB0AG8AcgBcACIAOwBcAG4AIAAgACAAIAAgACAAIAAgACAAIAAgACAAXAAiAEkAcgByAGkAZwBhAHQAZQBkACAAcABhAHMAdAB1AHIAZQBcACIALAAgADAALgAwADAANQA5ADsAXABuACAAIAAgACAAIAAgACAAIAAgACAAIAAgAFwAIgBJAHIAcgBpAGcAYQB0AGUAZAAgAGMAcgBvAHAAXAAiACwAIAAwAC4AMAAwADcAOwBcAG4AIAAgACAAIAAgACAAIAAgACAAIAAgACAAXAAiAE4AbwBuAC0AaQByAHIAaQBnAGEAdABlAGQAIABwAGEAcwB0AHUAcgBlAFwAIgAsACAAMAAuADAAMAAxADgAOwBcAG4AIAAgACAAIAAgACAAIAAgACAAIAAgACAAXAAiAE4AbwBuAC0AaQByAHIAaQBnAGEAdABlAGQAIABjAHIAbwBwAFwAIgAsACAAMAAuADAAMAA0ADEAOwBcAG4AIAAgACAAIAAgACAAIAAgACAAIAAgACAAXAAiAFMAdQBnAGEAcgAgAGMAYQBuAGUAXAAiACwAIAAwAC4AMAAxADkAOQA7AFwAbgAgACAAIAAgACAAIAAgACAAIAAgACAAIABcACIAQwBvAHQAdABvAG4AXAAiACwAIAAwAC4AMAAwADUAMwA7AFwAbgAgACAAIAAgACAAIAAgACAAIAAgACAAIABcACIASABvAHIAdABpAGMAdQBsAHQAdQByAGUAXAAiACwAIAAwAC4AMAAwADYANA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EMAbwBtAG0AbwBuAF8AUwB5AG0AYgBvAGwAcwBNAE0AUwBcAG4AVABhAGIAbABlACAANQAuADEAMgAgAEEAZABkAGkAdABpAG8AbgBhAGwAIABzAHkAbQBiAG8AbABzACAAdQBzAGUAZAAgAGkAbgAgAGEAbABnAG8AcgBpAHQAaABtAHMAIABmAG8AcgAgAG0AYQBuAHUAcgBlACAAcgBlAGwAYQB0AGUAZAAgAGUAbQBpAHMAcwBpAG8AbgBzAFwAbgAtAC0ALQAtAC0ALQAtAC0ALQAtAC0ALQAtAC0ALQAtAC0ALQAtAC0ALQAtAC0ALQAtAC0ALQAtAC0ALQAtAC0ALQAtAC0ALQAtAC0AXABuACoALwBcAG4AXABuAFMAbwB1AHIAYwBlAEQAYQB0AGEAXwBMAGkAdgBlAHMAdABvAGMAawBfAEMAbwBtAG0AbwBuAF8AUwB5AG0AYgBvAGwAcwBNAE0AUwBfAFQAaQB0AGwAZQBcAG4AIAAgAD0ATABBAE0AQgBEAEEAKABcACIAVABhAGIAbABlACAANQAuADEAMgAgAEEAZABkAGkAdABpAG8AbgBhAGwAIABzAHkAbQBiAG8AbABzACAAdQBzAGUAZAAgAGkAbgAgAGEAbABnAG8AcgBpAHQAaABtAHMAIABmAG8AcgAgAG0AYQBuAHUAcgBlACAAcgBlAGwAYQB0AGUAZAAgAGUAbQBpAHMAcwBpAG8AbgBzAFwAIgApADsAXABuAFwAbgBTAG8AdQByAGMAZQBEAGEAdABhAF8ATABpAHYAZQBzAHQAbwBjAGsAXwBDAG8AbQBtAG8AbgBfAFMAeQBtAGIAbwBsAHMATQBNAFMAXwBWAGEAaQByAGEAYgBsAGUAXABuACAAIAA9AEwAQQBNAEIARABBACgAXAAiAE0ATQBTAFwAIgApADsAXABuAFwAbgBTAG8AdQByAGMAZQBEAGEAdABhAF8ATABpAHYAZQBzAHQAbwBjAGsAXwBDAG8AbQBtAG8AbgBfAFMAeQBtAGIAbwBsAHMATQBNAFMAXwBVAG4AaQB0AFwAbgAgACAAPQBMAEEATQBCAEQAQQAoAFwAIgBcACIAKQA7AFwAbgBcAG4AUwBvAHUAcgBjAGUARABhAHQAYQBfAEwAaQB2AGUAcwB0AG8AYwBrAF8AQwBvAG0AbQBvAG4AXwBTAHkAbQBiAG8AbABzAE0ATQBTAF8AUwBvAHUAcgBjAGUAXABuACAAIAA9AEwAQQBNAEIARABBACgAXAAiAE4AYQB0AGkAbwBuAGEAbAAgAEkAbgB2AGUAbgB0AG8AcgB5ACAAUgBlAHAAbwByAHQAIAAyADAAMgAzACAAVgBvAGwAdQBtAGUAIAAxADoAIABUAGEAYgBsAGUAIAA1AC4AMQAyAFwAIgApADsAXABuAFwAbgBTAG8AdQByAGMAZQBEAGEAdABhAF8ATABpAHYAZQBzAHQAbwBjAGsAXwBDAG8AbQBtAG8AbgBfAFMAeQBtAGIAbwBsAHMATQBNAFMAXwBEAGEAdABhAFwAbgAgACAAPQBMAEEATQBCAEQAQQAoAFwAbgAgACAAIAAgAE0AQQBLAEUAQQBSAFIAQQBZACgAMQA5ACwAIAAzACwAIABcAG4AIAAgACAAIAAgACAATABBAE0AQgBEAEEAKAByACwAYwAsACAAXABuACAAIAAgACAAIAAgACAAIABJAE4ARABFAFgAKAB7AFwAbgAgACAAIAAgACAAIAAgACAAIAAgAFwAIgBTAHkAbQBiAG8AbABcACIALAAgAFwAIgBNAGEAbgB1AHIAZQAgAG0AYQBuAGEAZwBlAG0AZQBuAHQAIABzAHkAcwB0AGUAbQBcACIALAAgAFwAIgBcACIAOwBcAG4AIAAgACAAIAAgACAAIAAgACAAIAAgACAAXAAiADEAXAAiACwAIABcACIAQQBuAGEAZQByAG8AYgBpAGMAIABsAGEAZwBvAG8AbgBcACIALAAgAFwAIgBBAG4AYQBlAHIAbwBiAGkAYwAgAGwAYQBnAG8AbwBuACAAKABtAD0AMQApAFwAIgA7AFwAbgAgACAAIAAgACAAIAAgACAAIAAgACAAIABcACIAMgBcACIALAAgAFwAIgBMAGkAcQB1AGkAZAAgAHMAeQBzAHQAZQBtAHMAXAAiACwAIABcACIATABpAHEAdQBpAGQAIABzAHkAcwB0AGUAbQBzACAAKABtAD0AMgApAFwAIgA7AFwAbgAgACAAIAAgACAAIAAgACAAIAAgACAAIABcACIAMwBcACIALAAgAFwAIgBEAGEAaQBsAHkAIABzAHAAcgBlAGEAZABcACIALAAgAFwAIgBEAGEAaQBsAHkAIABzAHAAcgBlAGEAZAAgACgAbQA9ADMAKQBcACIAOwBcAG4AIAAgACAAIAAgACAAIAAgACAAIAAgACAAXAAiADMAYQBcACIALAAgAFwAIgBTAHUAbQBwACAAYQBuAGQAIABkAGkAcwBwAGUAcgBzAGEAbAAgAHMAeQBzAHQAZQBtAFwAIgAsACAAXAAiAFMAdQBtAHAAIABhAG4AZAAgAGQAaQBzAHAAZQByAHMAYQBsACAAcwB5AHMAdABlAG0AIAAoAG0APQAzAGEAKQBcACIAOwBcAG4AIAAgACAAIAAgACAAIAAgACAAIAAgACAAXAAiADMAYgBcACIALAAgAFwAIgBEAHIAYQBpAG4AcwAgAHQAbwAgAHAAYQBkAGQAbwBjAGsAXAAiACwAIABcACIARAByAGEAaQBuAHMAIAB0AG8AIABwAGEAZABkAG8AYwBrACAAKABtAD0AMwBiACkAXAAiADsAXABuACAAIAAgACAAIAAgACAAIAAgACAAIAAgAFwAIgA0AFwAIgAsACAAXAAiAFMAbwBsAGkAZAAgAHMAdABvAHIAYQBnAGUAXAAiACwAIABcACIAUwBvAGwAaQBkACAAcwB0AG8AcgBhAGcAZQAgACgAbQA9ADQAKQBcACIAOwBcAG4AIAAgACAAIAAgACAAIAAgACAAIAAgACAAXAAiADUAXAAiACwAIABcACIARAByAHkAbABvAHQAIAAoAGYAZQBlAGQAIABwAGEAZAApAFwAIgAsACAAXAAiAEQAcgB5AGwAbwB0ACAAKABmAGUAZQBkACAAcABhAGQAKQAgACgAbQA9ADUAKQBcACIAOwBcAG4AIAAgACAAIAAgACAAIAAgACAAIAAgACAAXAAiADYAXAAiACwAIABcACIAQwBvAG0AcABvAHMAdABpAG4AZwAgACgAcABhAHMAcwBpAHYAZQAgAHcAaQBuAGQAcgBvAHcAKQBcACIALAAgAFwAIgBDAG8AbQBwAG8AcwB0AGkAbgBnACAAKABwAGEAcwBzAGkAdgBlACAAdwBpAG4AZAByAG8AdwApACAAKABtAD0ANgApAFwAIgA7AFwAbgAgACAAIAAgACAAIAAgACAAIAAgACAAIABcACIANwBcACIALAAgAFwAIgBEAGkAZwBlAHMAdABlAHIAIAAvACAAYwBvAHYAZQByAGUAZAAgAGwAYQBnAG8AbwBuAHMAXAAiACwAIABcACIARABpAGcAZQBzAHQAZQByACAALwAgAGMAbwB2AGUAcgBlAGQAIABsAGEAZwBvAG8AbgBzACAAKABtAD0ANwApAFwAIgA7AFwAbgAgACAAIAAgACAAIAAgACAAIAAgACAAIABcACIAOABcACIALAAgAFwAIgBEAGUAZQBwACAAbABpAHQAdABlAHIAXAAiACwAIABcACIARABlAGUAcAAgAGwAaQB0AHQAZQByACAAKABtAD0AOAApAFwAIgA7AFwAbgAgACAAIAAgACAAIAAgACAAIAAgACAAIABcACIAOQBcACIALAAgAFwAIgBQAGkAdAAgAHMAdABvAHIAYQBnAGUAXAAiACwAIABcACIAUABpAHQAIABzAHQAbwByAGEAZwBlACAAKABtAD0AOQApAFwAIgA7AFwAbgAgACAAIAAgACAAIAAgACAAIAAgACAAIABcACIAMQAwAFwAIgAsACAAXAAiAFAAbwB1AGwAdAByAHkAIABtAGEAbgB1AHIAZQAgAHcAaQB0AGgAIABiAGUAZABkAGkAbgBnAFwAIgAsACAAXAAiAFAAbwB1AGwAdAByAHkAIABtAGEAbgB1AHIAZQAgAHcAaQB0AGgAIABiAGUAZABkAGkAbgBnACAAKABtAD0AMQAwACkAXAAiADsAXABuACAAIAAgACAAIAAgACAAIAAgACAAIAAgAFwAIgAxADEAXAAiACwAIABcACIAUABvAHUAbAB0AHIAeQAgAG0AYQBuAHUAcgBlACAAdwBpAHQAaABvAHUAdAAgAGIAZQBkAGQAaQBuAGcAXAAiACwAIABcACIAUABvAHUAbAB0AHIAeQAgAG0AYQBuAHUAcgBlACAAdwBpAHQAaABvAHUAdAAgAGIAZQBkAGQAaQBuAGcAIAAoAG0APQAxADEAKQBcACIAOwBcAG4AIAAgACAAIAAgACAAIAAgACAAIAAgACAAXAAiADEAMQBhAFwAIgAsACAAXAAiAEIAZQBsAHQAIABtAGEAbgB1AHIAZQAgAHIAZQBtAG8AdgBhAGwAXAAiACwAIABcACIAQgBlAGwAdAAgAG0AYQBuAHUAcgBlACAAcgBlAG0AbwB2AGEAbAAgACgAbQA9ADEAMQBhACkAXAAiADsAXABuACAAIAAgACAAIAAgACAAIAAgACAAIAAgAFwAIgAxADEAYgBcACIALAAgAFwAIgBNAGEAbgB1AHIAZQAgAHMAdABvAHIAZQBkACAAaQBuACAAaABvAHUAcwBlAFwAIgAsACAAXAAiAE0AYQBuAHUAcgBlACAAcwB0AG8AcgBlAGQAIABpAG4AIABoAG8AdQBzAGUAIAAoAG0APQAxADEAYgApAFwAIgA7AFwAbgAgACAAIAAgACAAIAAgACAAIAAgACAAIABcACIAMQAyAFwAIgAsACAAXAAiAEQAaQByAGUAYwB0ACAAcAByAG8AYwBlAHMAcwBpAG4AZwBcACIALAAgAFwAIgBEAGkAcgBlAGMAdAAgAHAAcgBvAGMAZQBzAHMAaQBuAGcAIAAoAG0APQAxADIAKQBcACIAOwBcAG4AIAAgACAAIAAgACAAIAAgACAAIAAgACAAXAAiADEAMwBcACIALAAgAFwAIgBEAGkAcgBlAGMAdAAgAGEAcABwAGwAaQBjAGEAdABpAG8AbgBcACIALAAgAFwAIgBEAGkAcgBlAGMAdAAgAGEAcABwAGwAaQBjAGEAdABpAG8AbgAgACgAbQA9ADEAMwApAFwAIgA7AFwAbgAgACAAIAAgACAAIAAgACAAIAAgACAAIABcACIAMQA0AFwAIgAsACAAXAAiAFAAYQBzAHQAdQByAGUAIAByAGEAbgBnAGUAIABhAG4AZAAgAHAAYQBkAGQAbwBjAGsAXAAiACwAIABcACIAUABhAHMAdAB1AHIAZQAgAHIAYQBuAGcAZQAgAGEAbgBkACAAcABhAGQAZABvAGMAawAgACgAbQA9ADEANAAp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CAGUAZQBmAEMAYQB0AHQAbABlAFwAbgAtAC0ALQAtAC0ALQAtAC0ALQAtAC0ALQAtAC0ALQAtAC0ALQAtAC0ALQAtAC0ALQAtAC0ALQAtAC0ALQAtAC0ALQAtAC0ALQAtAC0AXABuACoALwBcAG4AXABuAFMAbwB1AHIAYwBlAEQAYQB0AGEAXwBMAGkAdgBlAHMAdABvAGMAawBfAFAAcgBvAGQAdQBjAHQAXwBCAGUAZQBmAEMAYQB0AHQAbABlAF8AVABpAHQAbABlAFwAbgAgACAAPQBMAEEATQBCAEQAQQAoAFwAIgBCAGUAZQBmACAAYwBhAHQAdABsAGUAIABwAHIAbwBkAHUAYwB0AHMAIABmAG8AcgAgAHMAYwBvAHAAZQAgADMAXAAiACkAOwBcAG4AXABuAFMAbwB1AHIAYwBlAEQAYQB0AGEAXwBMAGkAdgBlAHMAdABvAGMAawBfAFAAcgBvAGQAdQBjAHQAXwBCAGUAZQBmAEMAYQB0AHQAbABlAF8AVgBhAGkAcgBhAGIAbABlAFwAbgAgACAAPQBMAEEATQBCAEQAQQAoAFwAIgBcACIAKQA7AFwAbgBcAG4AUwBvAHUAcgBjAGUARABhAHQAYQBfAEwAaQB2AGUAcwB0AG8AYwBrAF8AUAByAG8AZAB1AGMAdABfAEIAZQBlAGYAQwBhAHQAdABsAGUAXwBVAG4AaQB0AFwAbgAgACAAPQBMAEEATQBCAEQAQQAoAFwAIgBcACIAKQA7AFwAbgBcAG4AUwBvAHUAcgBjAGUARABhAHQAYQBfAEwAaQB2AGUAcwB0AG8AYwBrAF8AUAByAG8AZAB1AGMAdABfAEIAZQBlAGYAQ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IAZQBlAGYAQwBhAHQAdABsAGUAXwBEAGEAdABhAFwAbgAgACAAPQBMAEEATQBCAEQAQQAoAFwAbgAgACAAIAAgAE0AQQBLAEUAQQBSAFIAQQBZACgAOQAsACAAMgAsACAAXABuACAAIAAgACAAIAAgAEwAQQBNAEIARABBACgAcgAsAGMALAAgAFwAbgAgACAAIAAgACAAIAAgACAASQBOAEQARQBYACgAewBcAG4AIAAgACAAIAAgACAAIAAgACAAIABcACIAUAByAG8AZAB1AGMAdABcACIALAAgAFwAIgBTAG8AdQByAGMAZQAgAHIAZQBnAGkAbwBuAFwAIgA7AFwAbgAgACAAIAAgACAAIAAgACAAIAAgACAAIABcACIAQwBhAHQAdABsAGUALAAgAGYAbwByACAAbQBhAG4AdQBmAGEAYwB0AHUAcgBpAG4AZwAgAGIAZQBlAGYAXAAiACwAIABcACIAQQB1AHMAdAByAGEAbABpAGEAXAAiADsAXABuACAAIAAgACAAIAAgACAAIAAgACAAIAAgAFwAIgBDAGEAdAB0AGwAZQAsACAAZgBvAHIAIABwAHIAaQBtAGUAIABiAGUAZQBmAFwAIgAsACAAXAAiAE4AUwBXAFwAIgA7AFwAbgAgACAAIAAgACAAIAAgACAAIAAgACAAIABcACIAQwBhAHQAdABsAGUALAAgAHcAZQBhAG4AZQByAHMAXAAiACwAIABcACIATgBU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LwAqACAAXABuAC0ALQAtAC0ALQAtAC0ALQAtAC0ALQAtAC0ALQAtAC0ALQAtAC0ALQAtAC0ALQAtAC0ALQAtAC0ALQAtAC0ALQAtAC0ALQAtAC0ALQBcAG4AUwBvAHUAcgBjAGUARABhAHQAYQBfAEwAaQB2AGUAcwB0AG8AYwBrAF8AUAByAG8AZAB1AGMAdABfAEMAaABpAGMAawBlAG4AcwBcAG4ALQAtAC0ALQAtAC0ALQAtAC0ALQAtAC0ALQAtAC0ALQAtAC0ALQAtAC0ALQAtAC0ALQAtAC0ALQAtAC0ALQAtAC0ALQAtAC0ALQAtAFwAbgAqAC8AXABuAFwAbgBTAG8AdQByAGMAZQBEAGEAdABhAF8ATABpAHYAZQBzAHQAbwBjAGsAXwBQAHIAbwBkAHUAYwB0AF8AQwBoAGkAYwBrAGUAbgBzAF8AVABpAHQAbABlAFwAbgAgACAAPQBMAEEATQBCAEQAQQAoAFwAIgBDAGgAaQBjAGsAZQBuAHMAIABwAHIAbwBkAHUAYwB0AHMAIABmAG8AcgAgAHMAYwBvAHAAZQAgADMAXAAiACkAOwBcAG4AXABuAFMAbwB1AHIAYwBlAEQAYQB0AGEAXwBMAGkAdgBlAHMAdABvAGMAawBfAFAAcgBvAGQAdQBjAHQAXwBDAGgAaQBjAGsAZQBuAHMAXwBWAGEAaQByAGEAYgBsAGUAXABuACAAIAA9AEwAQQBNAEIARABBACgAXAAiAFwAIgApADsAXABuAFwAbgBTAG8AdQByAGMAZQBEAGEAdABhAF8ATABpAHYAZQBzAHQAbwBjAGsAXwBQAHIAbwBkAHUAYwB0AF8AQwBoAGkAYwBrAGUAbgBzAF8AVQBuAGkAdABcAG4AIAAgAD0ATABBAE0AQgBEAEEAKABcACIAXAAiACkAOwBcAG4AXABuAFMAbwB1AHIAYwBlAEQAYQB0AGEAXwBMAGkAdgBlAHMAdABvAGMAawBfAFAAcgBvAGQAdQBjAHQAXwBDAGgAaQBjAGsAZQBuAHM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MAaABpAGMAawBlAG4Acw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DAGgAaQBjAGsAZQBuAHMAXAAiACwAIABcACIAQQB1AHMAdAByAGEAbABpAGE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EQAYQBpAHIAeQBjAGEAdAB0AGwAZQBcAG4ALQAtAC0ALQAtAC0ALQAtAC0ALQAtAC0ALQAtAC0ALQAtAC0ALQAtAC0ALQAtAC0ALQAtAC0ALQAtAC0ALQAtAC0ALQAtAC0ALQAtAFwAbgAqAC8AXABuAFwAbgBTAG8AdQByAGMAZQBEAGEAdABhAF8ATABpAHYAZQBzAHQAbwBjAGsAXwBQAHIAbwBkAHUAYwB0AF8ARABhAGkAcgB5AGMAYQB0AHQAbABlAF8AVABpAHQAbABlAFwAbgAgACAAPQBMAEEATQBCAEQAQQAoAFwAIgBEAGEAaQByAHkAIABjAGEAdAB0AGwAZQAgAHAAcgBvAGQAdQBjAHQAcwAgAGYAbwByACAAcwBjAG8AcABlACAAMwBcACIAKQA7AFwAbgBcAG4AUwBvAHUAcgBjAGUARABhAHQAYQBfAEwAaQB2AGUAcwB0AG8AYwBrAF8AUAByAG8AZAB1AGMAdABfAEQAYQBpAHIAeQBjAGEAdAB0AGwAZQBfAFYAYQBpAHIAYQBiAGwAZQBcAG4AIAAgAD0ATABBAE0AQgBEAEEAKABcACIAXAAiACkAOwBcAG4AXABuAFMAbwB1AHIAYwBlAEQAYQB0AGEAXwBMAGkAdgBlAHMAdABvAGMAawBfAFAAcgBvAGQAdQBjAHQAXwBEAGEAaQByAHkAYwBhAHQAdABsAGUAXwBVAG4AaQB0AFwAbgAgACAAPQBMAEEATQBCAEQAQQAoAFwAIgBcACIAKQA7AFwAbgBcAG4AUwBvAHUAcgBjAGUARABhAHQAYQBfAEwAaQB2AGUAcwB0AG8AYwBrAF8AUAByAG8AZAB1AGMAdABfAEQAYQBpAHIAeQBjAGEAdAB0AGwAZQ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RABhAGkAcgB5AGMAYQB0AHQAbABl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EQAYQBpAHIAeQAgAGMAbwB3AHMAXAAiACwAIABcACIAVgBJAEM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FAAaQBnAHMAXABuAC0ALQAtAC0ALQAtAC0ALQAtAC0ALQAtAC0ALQAtAC0ALQAtAC0ALQAtAC0ALQAtAC0ALQAtAC0ALQAtAC0ALQAtAC0ALQAtAC0ALQBcAG4AKgAvAFwAbgBcAG4AUwBvAHUAcgBjAGUARABhAHQAYQBfAEwAaQB2AGUAcwB0AG8AYwBrAF8AUAByAG8AZAB1AGMAdABfAFAAaQBnAHMAXwBUAGkAdABsAGUAXABuACAAIAA9AEwAQQBNAEIARABBACgAXAAiAFAAaQBnAHMAIABwAHIAbwBkAHUAYwB0AHMAIABmAG8AcgAgAHMAYwBvAHAAZQAgADMAXAAiACkAOwBcAG4AXABuAFMAbwB1AHIAYwBlAEQAYQB0AGEAXwBMAGkAdgBlAHMAdABvAGMAawBfAFAAcgBvAGQAdQBjAHQAXwBQAGkAZwBzAF8AVgBhAGkAcgBhAGIAbABlAFwAbgAgACAAPQBMAEEATQBCAEQAQQAoAFwAIgBcACIAKQA7AFwAbgBcAG4AUwBvAHUAcgBjAGUARABhAHQAYQBfAEwAaQB2AGUAcwB0AG8AYwBrAF8AUAByAG8AZAB1AGMAdABfAFAAaQBnAHMAXwBVAG4AaQB0AFwAbgAgACAAPQBMAEEATQBCAEQAQQAoAFwAIgBcACIAKQA7AFwAbgBcAG4AUwBvAHUAcgBjAGUARABhAHQAYQBfAEwAaQB2AGUAcwB0AG8AYwBrAF8AUAByAG8AZAB1AGMAdABfAFAAaQBnAHM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FAAaQBn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UABpAGcAcwBcACIALAAgAFwAIgBBAHUAcwB0AHIAYQBsAGkAY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TAGgAZQBlAHAAXABuAC0ALQAtAC0ALQAtAC0ALQAtAC0ALQAtAC0ALQAtAC0ALQAtAC0ALQAtAC0ALQAtAC0ALQAtAC0ALQAtAC0ALQAtAC0ALQAtAC0ALQBcAG4AKgAvAFwAbgBcAG4AUwBvAHUAcgBjAGUARABhAHQAYQBfAEwAaQB2AGUAcwB0AG8AYwBrAF8AUAByAG8AZAB1AGMAdABfAFMAaABlAGUAcABfAFQAaQB0AGwAZQBcAG4AIAAgAD0ATABBAE0AQgBEAEEAKABcACIAUwBoAGUAZQBwACAAcAByAG8AZAB1AGMAdABzACAAZgBvAHIAIABzAGMAbwBwAGUAIAAzAFwAIgApADsAXABuAFwAbgBTAG8AdQByAGMAZQBEAGEAdABhAF8ATABpAHYAZQBzAHQAbwBjAGsAXwBQAHIAbwBkAHUAYwB0AF8AUwBoAGUAZQBwAF8AVgBhAGkAcgBhAGIAbABlAFwAbgAgACAAPQBMAEEATQBCAEQAQQAoAFwAIgBcACIAKQA7AFwAbgBcAG4AUwBvAHUAcgBjAGUARABhAHQAYQBfAEwAaQB2AGUAcwB0AG8AYwBrAF8AUAByAG8AZAB1AGMAdABfAFMAaABlAGUAcABfAFUAbgBpAHQAXABuACAAIAA9AEwAQQBNAEIARABBACgAXAAiAFwAIgApADsAXABuAFwAbgBTAG8AdQByAGMAZQBEAGEAdABhAF8ATABpAHYAZQBzAHQAbwBjAGsAXwBQAHIAbwBkAHUAYwB0AF8AUwBoAGUAZQBw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TAGgAZQBlAHAAXwBEAGEAdABhAFwAbgAgACAAPQBMAEEATQBCAEQAQQAoAFwAbgAgACAAIAAgAE0AQQBLAEUAQQBSAFIAQQBZACgAOAAsACAAMgAsACAAXABuACAAIAAgACAAIAAgAEwAQQBNAEIARABBACgAcgAsAGMALAAgAFwAbgAgACAAIAAgACAAIAAgACAASQBOAEQARQBYACgAewBcAG4AIAAgACAAIAAgACAAIAAgACAAIABcACIAUAByAG8AZAB1AGMAdABcACIALAAgAFwAIgBTAG8AdQByAGMAZQAgAHIAZQBnAGkAbwBuAFwAIgA7AFwAbgAgACAAIAAgACAAIAAgACAAIAAgACAAIABcACIAUwBoAGUAZQBwACwAIABmAG8AcgAgAG0AdQB0AHQAbwBuAFwAIgAsACAAXAAiAEEAdQBzAHQAcgBhAGwAaQBhAFwAIgA7AFwAbgAgACAAIAAgACAAIAAgACAAIAAgACAAIABcACIAUwBoAGUAZQBwACwAIABmAG8AcgAgAHAAcgBpAG0AZQAgAGwAYQBtAGIAXAAiACwAIABcACIATgBTAFcAXAAiADsAXABuACAAIAAgACAAIAAgACAAIAAgACAAIAAgAFwAIgBcACIALAAgAFwAIgBRAEwARABcACIAOwBcAG4AIAAgACAAIAAgACAAIAAgACAAIAAgACAAXAAiAFwAIgAsACAAXAAiAFMAQQBcACIAOwBcAG4AIAAgACAAIAAgACAAIAAgACAAIAAgACAAXAAiAFwAIgAsACAAXAAiAFQAQQBTAFwAIgA7AFwAbgAgACAAIAAgACAAIAAgACAAIAAgACAAIABcACIAXAAiACwAIABcACIAVgBJAEMAXAAiADsAXABuACAAIAAgACAAIAAgACAAIAAgACAAIAAgAFwAIgBcACIALAAgAFwAIgBXAEEAXAAiAFwAbgAgACAAIAAgACAAIAAgACAAfQAsACAAcgAsACAAYwApAFwAbgAgACAAIAAgACAAIAApAFwAbgAgACAAIAAgACkAXABuACAAIAApADsAXABuAFwAbgAiAH0ALAB7ACIAcABhAHQAaAAiADoAIgAvAHAAcgBvAGoAZQBjAHQAcwAvAFMAbwB1AHIAYwBlAEQAYQB0AGEAXwBQAGEAcwB0AHUAcgBlAEIAZQBlAGYAIgAsACIAdABlAHgAdAAiADoAIgBcAG4ALwAqACAAXABuAC0ALQAtAC0ALQAtAC0ALQAtAC0ALQAtAC0ALQAtAC0ALQAtAC0ALQAtAC0ALQAtAC0ALQAtAC0ALQAtAC0ALQAtAC0ALQAtAC0ALQBcAG4AUwBvAHUAcgBjAGUARABhAHQAYQBfAFAAYQBzAHQAdQByAGUAQgBlAGUAZgBfAEwAaQB2AGUAdwBlAGkAZwBoAHQAXABuAFQAYQBiAGwAZQAgAEEALgAxAC4AMgAuADEAOgAgAEIAZQBlAGYAIABwAGEAcwB0AHUAcgBlACAAYwBhAHQAdABsAGUAIAAtACAATABpAHYAZQB3AGUAaQBnAGgAdAAgACgAawBnACkAIAAoAFcAagBrAGwAKQBcAG4ALQAtAC0ALQAtAC0ALQAtAC0ALQAtAC0ALQAtAC0ALQAtAC0ALQAtAC0ALQAtAC0ALQAtAC0ALQAtAC0ALQAtAC0ALQAtAC0ALQAtAFwAbgAqAC8AXABuAFwAbgBTAG8AdQByAGMAZQBEAGEAdABhAF8AUABhAHMAdAB1AHIAZQBCAGUAZQBmAF8ATABpAHYAZQB3AGUAaQBnAGgAdABfAFQAaQB0AGwAZQBcAG4AIAAgAD0ATABBAE0AQgBEAEEAKABcACIAQgBlAGUAZgAgAHAAYQBzAHQAdQByAGUAIABjAGEAdAB0AGwAZQAgAC0AIABMAGkAdgBlAHcAZQBpAGcAaAB0ACAAKABrAGcAKQAgACgAVwBqAGsAbAApAFwAIgApADsAXABuAFwAbgBTAG8AdQByAGMAZQBEAGEAdABhAF8AUABhAHMAdAB1AHIAZQBCAGUAZQBmAF8ATABpAHYAZQB3AGUAaQBnAGgAdABfAFYAYQByAGkAYQBiAGwAZQBcAG4AIAAgAD0ATABBAE0AQgBEAEEAKABcACIAVwBqAGsAbABcACIAKQA7AFwAbgBcAG4AUwBvAHUAcgBjAGUARABhAHQAYQBfAFAAYQBzAHQAdQByAGUAQgBlAGUAZgBfAEwAaQB2AGUAdwBlAGkAZwBoAHQAXwBVAG4AaQB0AFwAbgAgACAAPQBMAEEATQBCAEQAQQAoAFwAIgBrAGcAXAAiACkAOwBcAG4AXABuAFMAbwB1AHIAYwBlAEQAYQB0AGEAXwBQAGEAcwB0AHUAcgBlAEIAZQBlAGYAXwBMAGkAdgBlAHcAZQBpAGcAaAB0AF8AUwBvAHUAcgBjAGUAXABuACAAIAA9AEwAQQBNAEIARABBACgAXAAiAFYARQBFAFIARwAgADIAMAAyADYAOgAgAFQAYQBiAGwAZQAgAEEALgAxAC4AMgAuADEAXAAiACkAOwBcAG4AXABuAFMAbwB1AHIAYwBlAEQAYQB0AGEAXwBQAGEAcwB0AHUAcgBlAEIAZQBlAGYAXwBMAGkAdgBlAHcAZQBpAGcAaAB0AF8AVgBhAHIAaQBhAHQAaQBvAG4AXABuACAAIAA9AEwAQQBNAEIARABBACgAXAAiAFwAIgApADsAXABuAFwAbgBTAG8AdQByAGMAZQBEAGEAdABhAF8AUABhAHMAdAB1AHIAZQBCAGUAZQBmAF8ATABpAHYAZQB3AGUAaQBnAGgAdA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CAAMQBcACIALAAgAFwAIgBCAHUAbABsACAAXAB1ADAAMAAzAGUAIAAxAFwAIgAsACAAXAAiAEMAbwB3ACAAXAB1ADAAMAAzAGMAIAAxAFwAIgAsACAAXAAiAEMAbwB3ACAAMQAtADIAXAAiACwAIABcACIAQwBvAHcAIABcAHUAMAAwADMAZQAgADIAXAAiACwAIABcACIAUwB0AGUAZQByACAAXAB1ADAAMAAzAGMAIAAxAFwAIgAsACAAXAAiAFMAdABlAGUAcgAgAFwAdQAwADAAMwBlACAAMQBcACIAOwBcAG4AIAAgACAAIAAgACAAIAAgACAAIABcACIAQQBDAFQALwBOAFMAVwBcACIALAAgAFwAIgBuAC8AYQBcACIALAAgAFwAIgBTAHAAcgBpAG4AZwBcACIALAAgADgAMAAsACAANAA4ADAALAAgADcANQAsACAAMwAwADAALAAgADQANAAwACwAIAA3ADUALAAgADMAOAAwADsAXABuACAAIAAgACAAIAAgACAAIAAgACAAXAAiAEEAQwBUAC8ATgBTAFcAXAAiACwAIABcACIAbgAvAGEAXAAiACwAIABcACIAUwB1AG0AbQBlAHIAXAAiACwAIAAxADcAMAAsACAANQAyADAALAAgADEANgAwACwAIAAzADYAMAAsACAANAA3ADAALAAgADEANgAwACwAIAA0ADIAMAA7AFwAbgAgACAAIAAgACAAIAAgACAAIAAgAFwAIgBBAEMAVAAvAE4AUwBXAFwAIgAsACAAXAAiAG4ALwBhAFwAIgAsACAAXAAiAEEAdQB0AHUAbQBuAFwAIgAsACAAMgA0ADAALAAgADUANQAwACwAIAAyADIAMAAsACAAMwA5ADAALAAgADQAOQAwACwAIAAyADIAMAAsACAANAA1ADAAOwBcAG4AIAAgACAAIAAgACAAIAAgACAAIABcACIAQQBDAFQALwBOAFMAVwBcACIALAAgAFwAIgBuAC8AYQBcACIALAAgAFwAIgBXAGkAbgB0AGUAcgBcACIALAAgADIAOAAwACwAIAA1ADYAMAAsACAAMgA2ADAALAAgADQAMQAwACwAIAA1ADAAMAAsACAAMgA2ADAALAAgADQANgAwADsAXABuACAAIAAgACAAIAAgACAAIAAgACAAXAAiAFMAbwB1AHQAaAAgAEEAdQBzAHQAcgBhAGwAaQBhAFwAIgAsACAAXAAiAG4ALwBhAFwAIgAsACAAXAAiAFMAcAByAGkAbgBnAFwAIgAsACAAMgA1ADAALAAgADgAMAAwACwAIAAyADIAMAAsACAANAAwADAALAAgADUAMAAwACwAIAAyADMAMAAsACAANAAyADAAOwBcAG4AIAAgACAAIAAgACAAIAAgACAAIABcACIAUwBvAHUAdABoACAAQQB1AHMAdAByAGEAbABpAGEAXAAiACwAIABcACIAbgAvAGEAXAAiACwAIABcACIAUwB1AG0AbQBlAHIAXAAiACwAIAAzADIAMAAsACAAOAAwADAALAAgADIAOAAwACwAIAA0ADIAMAAsACAANQAwADAALAAgADIAOQAwACwAIAA0ADIAMAA7AFwAbgAgACAAIAAgACAAIAAgACAAIAAgAFwAIgBTAG8AdQB0AGgAIABBAHUAcwB0AHIAYQBsAGkAYQBcACIALAAgAFwAIgBuAC8AYQBcACIALAAgAFwAIgBBAHUAdAB1AG0AbgBcACIALAAgADgAMAAsACAANwAwADAALAAgADcAMAAsACAAMwAwADAALAAgADQANQAwACwAIAA3ADUALAAgADQAMAAwADsAXABuACAAIAAgACAAIAAgACAAIAAgACAAXAAiAFMAbwB1AHQAaAAgAEEAdQBzAHQAcgBhAGwAaQBhAFwAIgAsACAAXAAiAG4ALwBhAFwAIgAsACAAXAAiAFcAaQBuAHQAZQByAFwAIgAsACAAMQA2ADAALAAgADcAMAAwACwAIAAxADQAMAAsACAAMwA1ADAALAAgADQANQAwACwAIAAxADUAMAAsACAANAAwADAAOwBcAG4AIAAgACAAIAAgACAAIAAgACAAIABcACIAVABhAHMAbQBhAG4AaQBhAFwAIgAsACAAXAAiAG4ALwBhAFwAIgAsACAAXAAiAFMAcAByAGkAbgBnAFwAIgAsACAAMQAwADUALAAgADcAMAAwACwAIAA4ADUALAAgADMAMAAwACwAIAA0ADkAMAAsACAAOQAwACwAIAA0ADgAMAA7AFwAbgAgACAAIAAgACAAIAAgACAAIAAgAFwAIgBUAGEAcwBtAGEAbgBpAGEAXAAiACwAIABcACIAbgAvAGEAXAAiACwAIABcACIAUwB1AG0AbQBlAHIAXAAiACwAIAA0ADgAMAAsACAANwA1ADAALAAgADEANQAwACwAIAAzADUAMAAsACAANQAzADAALAAgADEANgAwACwAIAA0ADYAMAA7AFwAbgAgACAAIAAgACAAIAAgACAAIAAgAFwAIgBUAGEAcwBtAGEAbgBpAGEAXAAiACwAIABcACIAbgAvAGEAXAAiACwAIABcACIAQQB1AHQAdQBtAG4AXAAiACwAIAAyADUAMAAsACAANwAyADUALAAgADIAMAAwACwAIAAzADYAMAAsACAANQAwADAALAAgADIAMQA1ACwAIAA0ADkAMAA7AFwAbgAgACAAIAAgACAAIAAgACAAIAAgAFwAIgBUAGEAcwBtAGEAbgBpAGEAXAAiACwAIABcACIAbgAvAGEAXAAiACwAIABcACIAVwBpAG4AdABlAHIAXAAiACwAIAAyADYAMAAsACAANwAwADAALAAgADIAMQAwACwAIAAzADgAMAAsACAANAA2ADAALAAgADIAMwAwACwAIAA0ADcAMAA7AFwAbgAgACAAIAAgACAAIAAgACAAIAAgAFwAIgBWAGkAYwB0AG8AcgBpAGEAXAAiACwAIABcACIAbgAvAGEAXAAiACwAIABcACIAUwBwAHIAaQBuAGcAXAAiACwAIAAyADUAMAAsACAAOAAyADAALAAgADIANAAwACwAIAA0ADEAMAAsACAANQA2ADAALAAgADIANAAwACwAIAA1ADEAMAA7AFwAbgAgACAAIAAgACAAIAAgACAAIAAgAFwAIgBWAGkAYwB0AG8AcgBpAGEAXAAiACwAIABcACIAbgAvAGEAXAAiACwAIABcACIAUwB1AG0AbQBlAHIAXAAiACwAIAAyADgAMAAsACAAOAA1ADAALAAgADIANgAwACwAIAA0ADQAMAAsACAANQA1ADAALAAgADIANwAwACwAIAA1ADIAMAA7AFwAbgAgACAAIAAgACAAIAAgACAAIAAgAFwAIgBWAGkAYwB0AG8AcgBpAGEAXAAiACwAIABcACIAbgAvAGEAXAAiACwAIABcACIAQQB1AHQAdQBtAG4AXAAiACwAIAAxADAAMAAsACAANwAwADAALAAgADkANQAsACAAMwAwADAALAAgADQANQAwACwAIAA5ADUALAAgADQAMQAwADsAXABuACAAIAAgACAAIAAgACAAIAAgACAAXAAiAFYAaQBjAHQAbwByAGkAYQBcACIALAAgAFwAIgBuAC8AYQBcACIALAAgAFwAIgBXAGkAbgB0AGUAcgBcACIALAAgADEANQAwACwAIAA3ADIAMAAsACAAMQA0ADAALAAgADMAMgAwACwAIAA0ADcAMAAsACAAMQA0ADAALAAgADQANAAwADsAXABuACAAIAAgACAAIAAgACAAIAAgACAAXAAiAFcAZQBzAHQAZQByAG4AIABBAHUAcwB0AHIAYQBsAGkAYQBcACIALAAgAFwAIgBTAG8AdQB0AGgAIABXAGUAcwB0AFwAIgAsACAAXAAiAFMAcAByAGkAbgBnAFwAIgAsACAAMwA0ADAALAAgADgAMAAwACwAIAAyADYAMAAsACAANAAyADAALAAgADUANQAwACwAIAAzADAAMAAsACAANAA4ADAAOwBcAG4AIAAgACAAIAAgACAAIAAgACAAIABcACIAVwBlAHMAdABlAHIAbgAgAEEAdQBzAHQAcgBhAGwAaQBhAFwAIgAsACAAXAAiAFMAbwB1AHQAaAAgAFcAZQBzAHQAXAAiACwAIABcACIAUwB1AG0AbQBlAHIAXAAiACwAIAAzADgAMAAsACAANwA4ADAALAAgADMAMAAwACwAIAA0ADUAMAAsACAANQAzADAALAAgADMANAAwACwAIAA0ADcAMAA7AFwAbgAgACAAIAAgACAAIAAgACAAIAAgAFwAIgBXAGUAcwB0AGUAcgBuACAAQQB1AHMAdAByAGEAbABpAGEAXAAiACwAIABcACIAUwBvAHUAdABoACAAVwBlAHMAdABcACIALAAgAFwAIgBBAHUAdAB1AG0AbgBcACIALAAgADEAMAAwACwAIAA2ADgAMAAsACAAOAAwACwAIAAzADIAMAAsACAANAA4ADAALAAgADEAMAAwACwAIAAzADQAMAA7AFwAbgAgACAAIAAgACAAIAAgACAAIAAgAFwAIgBXAGUAcwB0AGUAcgBuACAAQQB1AHMAdAByAGEAbABpAGEAXAAiACwAIABcACIAUwBvAHUAdABoACAAVwBlAHMAdABcACIALAAgAFwAIgBXAGkAbgB0AGUAcgBcACIALAAgADEAOQAwACwAIAA3ADAAMAAsACAAMQA1ADAALAAgADMAMwAwACwAIAA0ADkAMAAsACAAMQA3ADAALAAgADMANgAwADsAXABuACAAIAAgACAAIAAgACAAIAAgACAAXAAiAFcAZQBzAHQAZQByAG4AIABBAHUAcwB0AHIAYQBsAGkAYQBcACIALAAgAFwAIgBQAGkAbABiAGEAcgBhAFwAIgAsACAAXAAiAFMAcAByAGkAbgBnAFwAIgAsACAAOAAwACwAIAA0ADUAMAAsACAANwAwACwAIAAyADYAMAAsACAAMwA0ADAALAAgADgAMAAsACAAMwA3ADAAOwBcAG4AIAAgACAAIAAgACAAIAAgACAAIABcACIAVwBlAHMAdABlAHIAbgAgAEEAdQBzAHQAcgBhAGwAaQBhAFwAIgAsACAAXAAiAFAAaQBsAGIAYQByAGEAXAAiACwAIABcACIAUwB1AG0AbQBlAHIAXAAiACwAIAAxADUAMAAsACAANQAwADAALAAgADEANAAwACwAIAAzADEAMAAsACAAMwA2ADAALAAgADEANQAwACwAIAA0ADAAMAA7AFwAbgAgACAAIAAgACAAIAAgACAAIAAgAFwAIgBXAGUAcwB0AGUAcgBuACAAQQB1AHMAdAByAGEAbABpAGEAXAAiACwAIABcACIAUABpAGwAYgBhAHIAYQBcACIALAAgAFwAIgBBAHUAdAB1AG0AbgBcACIALAAgADIAMwAwACwAIAA1ADUAMAAsACAAMgAyADAALAAgADMAMwAwACwAIAAzADgAMAAsACAAMgAzADAALAAgADQAMgAwADsAXABuACAAIAAgACAAIAAgACAAIAAgACAAXAAiAFcAZQBzAHQAZQByAG4AIABBAHUAcwB0AHIAYQBsAGkAYQBcACIALAAgAFwAIgBQAGkAbABiAGEAcgBhAFwAIgAsACAAXAAiAFcAaQBuAHQAZQByAFwAIgAsACAAMgA1ADAALAAgADUAMAAwACwAIAAyADQAMAAsACAAMwA0ADAALAAgADMANgAwACwAIAAyADUAMAAsACAAMwA5ADAAOwBcAG4AIAAgACAAIAAgACAAIAAgACAAIABcACIAVwBlAHMAdABlAHIAbgAgAEEAdQBzAHQAcgBhAGwAaQBhAFwAIgAsACAAXAAiAEsAaQBtAGIAZQByAGwAZQB5AFwAIgAsACAAXAAiAFMAcAByAGkAbgBnAFwAIgAsACAAMgAyADAALAAgADUAMAAwACwAIAAxADgAMAAsACAAMwAwADAALAAgADMAMgAwACwAIAAyADEAMAAsACAAMwA0ADAAOwBcAG4AIAAgACAAIAAgACAAIAAgACAAIABcACIAVwBlAHMAdABlAHIAbgAgAEEAdQBzAHQAcgBhAGwAaQBhAFwAIgAsACAAXAAiAEsAaQBtAGIAZQByAGwAZQB5AFwAIgAsACAAXAAiAFMAdQBtAG0AZQByAFwAIgAsACAAMQAxADAALAAgADUANQAwACwAIAA5ADAALAAgADIAMgAwACwAIAAzADgAMAAsACAAMQAwADAALAAgADMAOQAwADsAXABuACAAIAAgACAAIAAgACAAIAAgACAAXAAiAFcAZQBzAHQAZQByAG4AIABBAHUAcwB0AHIAYQBsAGkAYQBcACIALAAgAFwAIgBLAGkAbQBiAGUAcgBsAGUAeQBcACIALAAgAFwAIgBBAHUAdAB1AG0AbgBcACIALAAgADEANwAwACwAIAA2ADAAMAAsACAAMQA0ADAALAAgADIANwAwACwAIAAzADkAMAAsACAAMQA2ADAALAAgADQAMwAwADsAXABuACAAIAAgACAAIAAgACAAIAAgACAAXAAiAFcAZQBzAHQAZQByAG4AIABBAHUAcwB0AHIAYQBsAGkAYQBcACIALAAgAFwAIgBLAGkAbQBiAGUAcgBsAGUAeQBcACIALAAgAFwAIgBXAGkAbgB0AGUAcgBcACIALAAgADIAMAAwACwAIAA1ADUAMAAsACAAMQA1ADAALAAgADIAOAAwACwAIAAzADUAMAAsACAAMQA5ADAALAAgADQAM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OAFQAUQBMAEQAXABuAFQAYQBiAGwAZQAgAEEALgAxAC4AMgAuADIAOgAgAEIAZQBlAGYAIABwAGEAcwB0AHUAcgBlACAAYwBhAHQAdABsAGUAIAAtACAATABpAHYAZQB3AGUAaQBnAGgAdAAgACgAawBnACkAIAAoAFcAagBrAGwAKQAgAGYAbwByACAATgBUACAAYQBuAGQAIABRAEwARABcAG4ALQAtAC0ALQAtAC0ALQAtAC0ALQAtAC0ALQAtAC0ALQAtAC0ALQAtAC0ALQAtAC0ALQAtAC0ALQAtAC0ALQAtAC0ALQAtAC0ALQAtAFwAbgAqAC8AXABuAFwAbgBTAG8AdQByAGMAZQBEAGEAdABhAF8AUABhAHMAdAB1AHIAZQBCAGUAZQBmAF8ATABpAHYAZQB3AGUAaQBnAGgAdABOAFQAUQBMAEQAXwBUAGkAdABsAGUAXABuACAAIAA9AEwAQQBNAEIARABBACgAXAAiAEIAZQBlAGYAIABwAGEAcwB0AHUAcgBlACAAYwBhAHQAdABsAGUAIAAtACAATABpAHYAZQB3AGUAaQBnAGgAdAAgACgAawBnACkAIAAoAFcAagBrAGwAKQAgAGYAbwByACAATgBUACAAYQBuAGQAIABRAEwARABcACIAKQA7AFwAbgBcAG4AUwBvAHUAcgBjAGUARABhAHQAYQBfAFAAYQBzAHQAdQByAGUAQgBlAGUAZgBfAEwAaQB2AGUAdwBlAGkAZwBoAHQATgBUAFEATABEAF8AVgBhAHIAaQBhAGIAbABlAFwAbgAgACAAPQBMAEEATQBCAEQAQQAoAFwAIgBXAGoAawBsAFwAIgApADsAXABuAFwAbgBTAG8AdQByAGMAZQBEAGEAdABhAF8AUABhAHMAdAB1AHIAZQBCAGUAZQBmAF8ATABpAHYAZQB3AGUAaQBnAGgAdABOAFQAUQBMAEQAXwBVAG4AaQB0AFwAbgAgACAAPQBMAEEATQBCAEQAQQAoAFwAIgBrAGcAXAAiACkAOwBcAG4AXABuAFMAbwB1AHIAYwBlAEQAYQB0AGEAXwBQAGEAcwB0AHUAcgBlAEIAZQBlAGYAXwBMAGkAdgBlAHcAZQBpAGcAaAB0AE4AVABRAEwARABfAFMAbwB1AHIAYwBlAFwAbgAgACAAPQBMAEEATQBCAEQAQQAoAFwAIgBWAEUARQBSAEcAIAAyADAAMgA2ADoAIABUAGEAYgBsAGUAIABBAC4AMQAuADIALgAyAFwAIgApADsAXABuAFwAbgBTAG8AdQByAGMAZQBEAGEAdABhAF8AUABhAHMAdAB1AHIAZQBCAGUAZQBmAF8ATABpAHYAZQB3AGUAaQBnAGgAdABOAFQAUQBMAEQAXwBWAGEAcgBpAGEAdABpAG8AbgBcAG4AIAAgAD0ATABBAE0AQgBEAEEAKABcACIAXAAiACkAOwBcAG4AXABuAFMAbwB1AHIAYwBlAEQAYQB0AGEAXwBQAGEAcwB0AHUAcgBlAEIAZQBlAGYAXwBMAGkAdgBlAHcAZQBpAGcAaAB0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cwAgAFwAdQAwADAAMwBjADEAXAAiACwAIABcACIAQwBvAHcAcwAgADEALQAyAFwAIgAsACAAXAAiAEMAbwB3AHMAIAAyAC0AMwBcACIALAAgAFwAIgBDAG8AdwBzACAAXAB1ADAAMAAzAGUAMwBcACIALAAgAFwAIgBTAHQAZQBlAHIAIABcAHUAMAAwADMAYwAxAFwAIgAsACAAXAAiAFMAdABlAGUAcgAgADEALQAyAFwAIgAsACAAXAAiAFMAdABlAGUAcgAgADIALQAzAFwAIgAsACAAXAAiAFMAdABlAGUAcgAgAFwAdQAwADAAMwBlADMAXAAiADsAXABuACAAIAAgACAAIAAgACAAIAAgACAAXAAiAE4AbwByAHQAaABlAHIAbgAgAFQAZQByAHIAaQB0AG8AcgB5AFwAIgAsACAAXAAiAEEAbABpAGMAZQAgAFMAcAByAGkAbgBnAHMAXAAiACwAIABcACIAUwBwAHIAaQBuAGcAXAAiACwAIAAyADIAMAAsACAANwAwADYALAAgADIAMAA4ACwAIAAzADIAMwAsACAANAAxADUALAAgADQANgA3ACwAIAAyADIAMwAsACAAMwA3ADEALAAgADQAOQAzACwAIAA1ADgANQA7AFwAbgAgACAAIAAgACAAIAAgACAAIAAgAFwAIgBOAG8AcgB0AGgAZQByAG4AIABUAGUAcgByAGkAdABvAHIAeQBcACIALAAgAFwAIgBBAGwAaQBjAGUAIABTAHAAcgBpAG4AZwBzAFwAIgAsACAAXAAiAFMAdQBtAG0AZQByAFwAIgAsACAAMQAxADAALAAgADcAMAAzACwAIAAxADEAMgAsACAAMgA1ADYALAAgADMANgA4ACwAIAA0ADYANQAsACAAMQAwADgALAAgADIAOAAwACwAIAA0ADIAMQAsACAANQA0ADMAOwBcAG4AIAAgACAAIAAgACAAIAAgACAAIABcACIATgBvAHIAdABoAGUAcgBuACAAVABlAHIAcgBpAHQAbwByAHkAXAAiACwAIABcACIAQQBsAGkAYwBlACAAUwBwAHIAaQBuAGcAcwBcACIALAAgAFwAIgBBAHUAdAB1AG0AbgBcACIALAAgADEANwAwACwAIAA3ADIAMQAsACAAMQA2ADkALAAgADMAMAA2ACwAIAAzADkAMgAsACAANAA2ADQALAAgADEANwA2ACwAIAAzADMAOQAsACAANAA3ADAALAAgADUAOAAwADsAXABuACAAIAAgACAAIAAgACAAIAAgACAAXAAiAE4AbwByAHQAaABlAHIAbgAgAFQAZQByAHIAaQB0AG8AcgB5AFwAIgAsACAAXAAiAEEAbABpAGMAZQAgAFMAcAByAGkAbgBnAHMAXAAiACwAIABcACIAVwBpAG4AdABlAHIAXAAiACwAIAAyADAAMAAsACAANwAyADcALAAgADIAMQAxACwAIAAzADMAOAAsACAANAAzADIALAAgADQAOQAyACwAIAAyADIAMgAsACAAMwA3ADcALAAgADQAOQA4ACwAIAA1ADkAMAA7AFwAbgAgACAAIAAgACAAIAAgACAAIAAgAFwAIgBOAG8AcgB0AGgAZQByAG4AIABUAGUAcgByAGkAdABvAHIAeQBcACIALAAgAFwAIgBCAGEAcgBrAGwAeQBcACIALAAgAFwAIgBTAHAAcgBpAG4AZwBcACIALAAgADIAMgAwACwAIAA2ADIAMAAsACAAMgAyADcALAAgADMAMQA5ACwAIAAzADkAOAAsACAANAA1ADIALAAgADIAMQA2ACwAIAAzADMANAAsACAAXAAiAE4ATwBcACIALAAgAFwAIgBOAE8AXAAiADsAXABuACAAIAAgACAAIAAgACAAIAAgACAAXAAiAE4AbwByAHQAaABlAHIAbgAgAFQAZQByAHIAaQB0AG8AcgB5AFwAIgAsACAAXAAiAEIAYQByAGsAbAB5AFwAIgAsACAAXAAiAFMAdQBtAG0AZQByAFwAIgAsACAAMQAxADAALAAgADYANQAwACwAIAAxADAAOAAsACAAMgA2ADIALAAgADMANAA2ACwAIAA0ADMAMAAsACAAMQAxADEALAAgADIAMwA2ACwAIABcACIATgBPAFwAIgAsACAAXAAiAE4ATwBcACIAOwBcAG4AIAAgACAAIAAgACAAIAAgACAAIABcACIATgBvAHIAdABoAGUAcgBuACAAVABlAHIAcgBpAHQAbwByAHkAXAAiACwAIABcACIAQgBhAHIAawBsAHkAXAAiACwAIABcACIAQQB1AHQAdQBtAG4AXAAiACwAIAAxADcAMAAsACAANgA3ADAALAAgADEANwAwACwAIAAyADYANgAsACAAMwA2ADMALAAgADQANAA0ACwAIAAxADYAOQAsACAAMgA4ADIALAAgAFwAIgBOAE8AXAAiACwAIABcACIATgBPAFwAIgA7AFwAbgAgACAAIAAgACAAIAAgACAAIAAgAFwAIgBOAG8AcgB0AGgAZQByAG4AIABUAGUAcgByAGkAdABvAHIAeQBcACIALAAgAFwAIgBCAGEAcgBrAGwAeQBcACIALAAgAFwAIgBXAGkAbgB0AGUAcgBcACIALAAgADIAMAAwACwAIAA2ADYAMAAsACAAMgAyADUALAAgADMAMAA3ACwAIAAzADkAOAAsACAANAA1ADIALAAgADIAMQA0ACwAIAAzADIANgAsACAAXAAiAE4ATwBcACIALAAgAFwAIgBOAE8AXAAiADsAXABuACAAIAAgACAAIAAgACAAIAAgACAAXAAiAE4AbwByAHQAaABlAHIAbgAgAFQAZQByAHIAaQB0AG8AcgB5AFwAIgAsACAAXAAiAE4AbwByAHQAaABlAHIAbgBcACIALAAgAFwAIgBTAHAAcgBpAG4AZwBcACIALAAgADIAMgAwACwAIAA2ADIAMAAsACAAMQA3ADcALAAgADIANgA3ACwAIAAzADYANQAsACAANAAwADYALAAgADIAMwAxACwAIAAyADQAOQAsACAAMwAyADQALAAgAFwAIgBOAE8AXAAiADsAXABuACAAIAAgACAAIAAgACAAIAAgACAAXAAiAE4AbwByAHQAaABlAHIAbgAgAFQAZQByAHIAaQB0AG8AcgB5AFwAIgAsACAAXAAiAE4AbwByAHQAaABlAHIAbgBcACIALAAgAFwAIgBTAHUAbQBtAGUAcgBcACIALAAgADEAMQAwACwAIAA2ADUAMAAsACAAMQAwADIALAAgADIAMAAzACwAIAAyADkAOQAsACAAMwA4ADAALAAgADEAMAAyACwAIAAyADEAOAAsACAAMgA2ADMALAAgAFwAIgBOAE8AXAAiADsAXABuACAAIAAgACAAIAAgACAAIAAgACAAXAAiAE4AbwByAHQAaABlAHIAbgAgAFQAZQByAHIAaQB0AG8AcgB5AFwAIgAsACAAXAAiAE4AbwByAHQAaABlAHIAbgBcACIALAAgAFwAIgBBAHUAdAB1AG0AbgBcACIALAAgADEANwAwACwAIAA2ADcAMAAsACAAMQA3ADMALAAgADIANQAwACwAIAAzADMANgAsACAANAAxADQALAAgADEANwA1ACwAIAAyADQAMwAsACAAMwAwADQALAAgAFwAIgBOAE8AXAAiADsAXABuACAAIAAgACAAIAAgACAAIAAgACAAXAAiAE4AbwByAHQAaABlAHIAbgAgAFQAZQByAHIAaQB0AG8AcgB5AFwAIgAsACAAXAAiAE4AbwByAHQAaABlAHIAbgBcACIALAAgAFwAIgBXAGkAbgB0AGUAcgBcACIALAAgADIAMAAwACwAIAA2ADYAMAAsACAAMgAwADIALAAgADIANwAyACwAIAAzADYANQAsACAAMwA5ADAALAAgADIAMAA4ACwAIAAyADYAMAAsACAAMwAzADcALAAgAFwAIgBOAE8AXAAiADsAXABuACAAIAAgACAAIAAgACAAIAAgACAAXAAiAFEAdQBlAGUAbgBzAGwAYQBuAGQAXAAiACwAIABcACIASABpAGcAaABcACIALAAgAFwAIgBTAHAAcgBpAG4AZwBcACIALAAgADIANgAwACwAIAA3ADAANQAsACAAMgAxADUALAAgADMAMAAyACwAIAA0ADEANgAsACAANQAxADkALAAgADIAMwA0ACwAIAA0ADUANQAsACAANQA1ADEALAAgADYANgAwADsAXABuACAAIAAgACAAIAAgACAAIAAgACAAXAAiAFEAdQBlAGUAbgBzAGwAYQBuAGQAXAAiACwAIABcACIASABpAGcAaABcACIALAAgAFwAIgBTAHUAbQBtAGUAcgBcACIALAAgADEANQAzACwAIAA3ADAAMwAsACAAMQAxADgALAAgADIANwA3ACwAIAAzADkANwAsACAANAA4ADMALAAgADEAMQAxACwAIAAzADAANAAsACAANQAyADEALAAgADUANAA3ADsAXABuACAAIAAgACAAIAAgACAAIAAgACAAXAAiAFEAdQBlAGUAbgBzAGwAYQBuAGQAXAAiACwAIABcACIASABpAGcAaABcACIALAAgAFwAIgBBAHUAdAB1AG0AbgBcACIALAAgADEANgA4ACwAIAA3ADEAOAAsACAAMQA5ADEALAAgADMAMQA5ACwAIAA0ADQAMAAsACAANQAwADYALAAgADEAOAA4ACwAIAAzADIANgAsACAANQAyADAALAAgADUAOAAyADsAXABuACAAIAAgACAAIAAgACAAIAAgACAAXAAiAFEAdQBlAGUAbgBzAGwAYQBuAGQAXAAiACwAIABcACIASABpAGcAaABcACIALAAgAFwAIgBXAGkAbgB0AGUAcgBcACIALAAgADIAMwA1ACwAIAA3ADIAMgAsACAAMgAwADcALAAgADMANQAyACwAIAA0ADcAMAAsACAANQAxADQALAAgADIAMAA5ACwAIAA0ADIAMQAsACAANQAxADIALAAgADYAMAA1ADsAXABuACAAIAAgACAAIAAgACAAIAAgACAAXAAiAFEAdQBlAGUAbgBzAGwAYQBuAGQAXAAiACwAIABcACIATQBvAGQAZQByAGEAdABlAC8ASABpAGcAaABcACIALAAgAFwAIgBTAHAAcgBpAG4AZwBcACIALAAgADIAMwAwACwAIAA2ADcANAAsACAAMgAxADcALAAgADMANAA0ACwAIAAzADUANwAsACAANAA2ADcALAAgADIANAAyACwAIAAzADcAMAAsACAANQA1ADAALAAgADYAMgAwADsAXABuACAAIAAgACAAIAAgACAAIAAgACAAXAAiAFEAdQBlAGUAbgBzAGwAYQBuAGQAXAAiACwAIABcACIATQBvAGQAZQByAGEAdABlAC8ASABpAGcAaABcACIALAAgAFwAIgBTAHUAbQBtAGUAcgBcACIALAAgADEAMQAzACwAIAA2ADYAOQAsACAAMQAxADMALAAgADIAOAAzACwAIAAzADYAMQAsACAANAA3ADcALAAgADEAMgAwACwAIAAyADcAMwAsACAANQA0ADUALAAgADUANQAzADsAXABuACAAIAAgACAAIAAgACAAIAAgACAAXAAiAFEAdQBlAGUAbgBzAGwAYQBuAGQAXAAiACwAIABcACIATQBvAGQAZQByAGEAdABlAC8ASABpAGcAaABcACIALAAgAFwAIgBBAHUAdAB1AG0AbgBcACIALAAgADEANwAyACwAIAA2ADgANQAsACAAMQA3ADIALAAgADMAMAA5ACwAIAAzADcANgAsACAANAA3ADEALAAgADIAMwA4ACwAIAAzADIAOQAsACAANQA3ADMALAAgADYAMgAwADsAXABuACAAIAAgACAAIAAgACAAIAAgACAAXAAiAFEAdQBlAGUAbgBzAGwAYQBuAGQAXAAiACwAIABcACIATQBvAGQAZQByAGEAdABlAC8ASABpAGcAaABcACIALAAgAFwAIgBXAGkAbgB0AGUAcgBcACIALAAgADIANAAxACwAIAA2ADkAMgAsACAAMgAwADgALAAgADMANAA0ACwAIAAzADYANAAsACAANAA4ADQALAAgADIANgAwACwAIAAzADUAMAAsACAANQA2ADcALAAgADYAMgAwADsAXABuACAAIAAgACAAIAAgACAAIAAgACAAXAAiAFEAdQBlAGUAbgBzAGwAYQBuAGQAXAAiACwAIABcACIATQBvAGQAZQByAGEAdABlAC8ATABvAHcAXAAiACwAIABcACIAUwBwAHIAaQBuAGcAXAAiACwAIAAyADMANgAsACAANgA3ADQALAAgADEANwA4ACwAIAAzADEAMAAsACAANAAyADgALAAgADQANgA2ACwAIAAxADkAMwAsACAAMwA3ADAALAAgADUAMQA5ACwAIAA1ADYANQA7AFwAbgAgACAAIAAgACAAIAAgACAAIAAgAFwAIgBRAHUAZQBlAG4AcwBsAGEAbgBkAFwAIgAsACAAXAAiAE0AbwBkAGUAcgBhAHQAZQAvAEwAbwB3AFwAIgAsACAAXAAiAFMAdQBtAG0AZQByAFwAIgAsACAAMQAyADAALAAgADYANgA5ACwAIAAxADEAMgAsACAAMgA1ADAALAAgADMAOQAwACwAIAA0ADQAOAAsACAAMQAxADUALAAgADIANwAzACwAIAA0ADMAMwAsACAANQA1ADYAOwBcAG4AIAAgACAAIAAgACAAIAAgACAAIABcACIAUQB1AGUAZQBuAHMAbABhAG4AZABcACIALAAgAFwAIgBNAG8AZABlAHIAYQB0AGUALwBMAG8AdwBcACIALAAgAFwAIgBBAHUAdAB1AG0AbgBcACIALAAgADEAMgA1ACwAIAA2ADgANQAsACAAMQA0ADAALAAgADIANwA3ACwAIAA0ADAANwAsACAANAA1ADUALAAgADEANAAxACwAIAAyADkANgAsACAANAA0ADUALAAgADUAOQAzADsAXABuACAAIAAgACAAIAAgACAAIAAgACAAXAAiAFEAdQBlAGUAbgBzAGwAYQBuAGQAXAAiACwAIABcACIATQBvAGQAZQByAGEAdABlAC8ATABvAHcAXAAiACwAIABcACIAVwBpAG4AdABlAHIAXAAiACwAIAAxADgAMAAsACAANgA5ADIALAAgADEAOAAzACwAIAAzADEANgAsACAANAAzADgALAAgADQANgA4ACwAIAAxADgAOQAsACAAMwA1ADQALAAgADUAMAAwACwAIAA1ADUAMwA7AFwAbgAgACAAIAAgACAAIAAgACAAIAAgAFwAIgBRAHUAZQBlAG4AcwBsAGEAbgBkAFwAIgAsACAAXAAiAEwAbwB3AFwAIgAsACAAXAAiAFMAcAByAGkAbgBnAFwAIgAsACAAMQA5ADAALAAgADYAMQA3ACwAIAAxADcANAAsACAAMgA2ADUALAAgADMANwAxACwAIAA0ADEANQAsACAAMQA3ADAALAAgADIANwAyACwAIAAzADkAMgAsACAANQAzADEAOwBcAG4AIAAgACAAIAAgACAAIAAgACAAIABcACIAUQB1AGUAZQBuAHMAbABhAG4AZABcACIALAAgAFwAIgBMAG8AdwBcACIALAAgAFwAIgBTAHUAbQBtAGUAcgBcACIALAAgADEAMQA5ACwAIAA1ADkAMQAsACAAMQA0ADAALAAgADIAMAA1ACwAIAAzADEAMAAsACAANAAwADUALAAgADEAMwAzACwAIAAyADEAOAAsACAAMwAxADUALAAgADQANAA1ADsAXABuACAAIAAgACAAIAAgACAAIAAgACAAXAAiAFEAdQBlAGUAbgBzAGwAYQBuAGQAXAAiACwAIABcACIATABvAHcAXAAiACwAIABcACIAQQB1AHQAdQBtAG4AXAAiACwAIAAxADcANQAsACAANgAxADAALAAgADEANgAzACwAIAAyADMAMgAsACAAMwA1ADEALAAgADQAMgA3ACwAIAAxADQANgAsACAAMgA0ADIALAAgADMAMgAwACwAIAA0ADcAMQA7AFwAbgAgACAAIAAgACAAIAAgACAAIAAgAFwAIgBRAHUAZQBlAG4AcwBsAGEAbgBkAFwAIgAsACAAXAAiAEwAbwB3AFwAIgAsACAAXAAiAFcAaQBuAHQAZQByAFwAIgAsACAAMQA5ADIALAAgADYAMQA1ACwAIAAxADYAMgAsACAAMgA1ADUALAAgADMANgA0ACwAIAA0ADIAMAAsACAAMQA1ADcALAAgADIANgAxACwAIAAzADQAMgAsACAANAA4ADQ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TABpAHYAZQB3AGUAaQBnAGgAdABHAGEAaQBuAFwAbgBUAGEAYgBsAGUAIABBAC4AMQAuADIALgAzADoAIABCAGUAZQBmACAAcABhAHMAdAB1AHIAZQAgAGMAYQB0AHQAbABlACAALQAgAEwAaQB2AGUAdwBlAGkAZwBoAHQAIABnAGEAaQBuACAAKABrAGcAKQAgACgATABXAEcAagBrAGwAKQBcAG4ALQAtAC0ALQAtAC0ALQAtAC0ALQAtAC0ALQAtAC0ALQAtAC0ALQAtAC0ALQAtAC0ALQAtAC0ALQAtAC0ALQAtAC0ALQAtAC0ALQAtAFwAbgAqAC8AXABuAFwAbgBTAG8AdQByAGMAZQBEAGEAdABhAF8AUABhAHMAdAB1AHIAZQBCAGUAZQBmAF8ATABpAHYAZQB3AGUAaQBnAGgAdABHAGEAaQBuAF8AVABpAHQAbABlAFwAbgAgACAAPQBMAEEATQBCAEQAQQAoAFwAIgBCAGUAZQBmACAAcABhAHMAdAB1AHIAZQAgAGMAYQB0AHQAbABlACAALQAgAEwAaQB2AGUAdwBlAGkAZwBoAHQAIABnAGEAaQBuACAAKABrAGcAKQAgACgATABXAEcAagBrAGwAKQBcACIAKQA7AFwAbgBcAG4AUwBvAHUAcgBjAGUARABhAHQAYQBfAFAAYQBzAHQAdQByAGUAQgBlAGUAZgBfAEwAaQB2AGUAdwBlAGkAZwBoAHQARwBhAGkAbgBfAFYAYQByAGkAYQBiAGwAZQBcAG4AIAAgAD0ATABBAE0AQgBEAEEAKABcACIATABXAEcAagBrAGwAXAAiACkAOwBcAG4AXABuAFMAbwB1AHIAYwBlAEQAYQB0AGEAXwBQAGEAcwB0AHUAcgBlAEIAZQBlAGYAXwBMAGkAdgBlAHcAZQBpAGcAaAB0AEcAYQBpAG4AXwBVAG4AaQB0AFwAbgAgACAAPQBMAEEATQBCAEQAQQAoAFwAIgBrAGcAXAAiACkAOwBcAG4AXABuAFMAbwB1AHIAYwBlAEQAYQB0AGEAXwBQAGEAcwB0AHUAcgBlAEIAZQBlAGYAXwBMAGkAdgBlAHcAZQBpAGcAaAB0AEcAYQBpAG4AXwBTAG8AdQByAGMAZQBcAG4AIAAgAD0ATABBAE0AQgBEAEEAKABcACIAVgBFAEUAUgBHACAAMgAwADIANgA6ACAAVABhAGIAbABlACAAQQAuADEALgAyAC4AMwBcACIAKQA7AFwAbgBcAG4AUwBvAHUAcgBjAGUARABhAHQAYQBfAFAAYQBzAHQAdQByAGUAQgBlAGUAZgBfAEwAaQB2AGUAdwBlAGkAZwBoAHQARwBhAGkAbgBfAFYAYQByAGkAYQB0AGkAbwBuAFwAbgAgACAAPQBMAEEATQBCAEQAQQAoAFwAIgBWAEEAUgBJAEEAVABJAE8ATgAgAE8ATgAgAFMATwBVAFIAQwBFADoAIABSAGUAcABsAGEAYwBlAGQAIABcAHUAMAAwADIANwBuAC8AYQBcAHUAMAAwADIANwAgAHcAaQB0AGgAIABcAHUAMAAwADIANwBTAG8AdQB0AGgAIABXAGUAcwB0AFwAdQAwADAAMgA3ACAAZgBvAHIAIABmAGkAcgBzAHQAIABmAG8AdQByACAAcgBvAHcAcwAgAG8AZgAgAFcAZQBzAHQAZQByAG4AIABBAHUAcwB0AHIAYQBsAGkAYQAgAHQAbwAgAGIAZQAgAGMAbwBuAHMAaQBzAHQAZQBuAHQAIAB3AGkAdABoACAAdABhAGIAbABlACAAQQAuADEALgAyAC4AMQBcACIAKQA7AFwAbgBcAG4AUwBvAHUAcgBjAGUARABhAHQAYQBfAFAAYQBzAHQAdQByAGUAQgBlAGUAZgBfAEwAaQB2AGUAdwBlAGkAZwBoAHQARwBhAGkAbg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BcAHUAMAAwADMAZQAyAFwAIgAsACAAXAAiAFMAdABlAGUAcgAgAFwAdQAwADAAMwBjADEAXAAiACwAIABcACIAUwB0AGUAZQByACAAXAB1ADAAMAAzAGUAMQBcACIAOwBcAG4AIAAgACAAIAAgACAAIAAgACAAIABcACIAQQBDAFQALwBOAFMAVwBcACIALAAgAFwAIgBuAC8AYQBcACIALAAgAFwAIgBTAHAAcgBpAG4AZwBcACIALAAgADAALgA1ACwAIAAwAC4AMgAsACAAMAAuADUALAAgADAALgA0ACwAIAAwAC4AMwAsACAAMAAuADUALAAgADAALgA0ADsAXABuACAAIAAgACAAIAAgACAAIAAgACAAXAAiAEEAQwBUAC8ATgBTAFcAXAAiACwAIABcACIAbgAvAGEAXAAiACwAIABcACIAUwB1AG0AbQBlAHIAXAAiACwAIAAxAC4AMAAsACAAMAAuADQALAAgADAALgA5ACwAIAAwAC4ANwAsACAAMAAuADMALAAgADAALgA5ACwAIAAwAC4ANAA7AFwAbgAgACAAIAAgACAAIAAgACAAIAAgAFwAIgBBAEMAVAAvAE4AUwBXAFwAIgAsACAAXAAiAG4ALwBhAFwAIgAsACAAXAAiAEEAdQB0AHUAbQBuAFwAIgAsACAAMAAuADgALAAgADAALgAzACwAIAAwAC4ANwAsACAAMAAuADMALAAgADAALgAyACwAIAAwAC4ANwAsACAAMAAuADMAOwBcAG4AIAAgACAAIAAgACAAIAAgACAAIABcACIAQQBDAFQALwBOAFMAVwBcACIALAAgAFwAIgBuAC8AYQBcACIALAAgAFwAIgBXAGkAbgB0AGUAcgBcACIALAAgADAALgA0ACwAIAAwAC4AMQAsACAAMAAuADQALAAgADAALgAyACwAIAAwAC4AMQAsACAAMAAuADQALAAgADAALgAxADsAXABuACAAIAAgACAAIAAgACAAIAAgACAAXAAiAFMAbwB1AHQAaAAgAEEAdQBzAHQAcgBhAGwAaQBhAFwAIgAsACAAXAAiAG4ALwBhAFwAIgAsACAAXAAiAFMAcAByAGkAbgBnAFwAIgAsACAAMAAuADkAOQAsACAAMQAuADEALAAgADAALgA4ADgALAAgADAALgA1ADUALAAgADAALgA1ADUALAAgADAALgA4ADgALAAgADAALgAyADIAOwBcAG4AIAAgACAAIAAgACAAIAAgACAAIABcACIAUwBvAHUAdABoACAAQQB1AHMAdAByAGEAbABpAGEAXAAiACwAIABcACIAbgAvAGEAXAAiACwAIABcACIAUwB1AG0AbQBlAHIAXAAiACwAIAAwAC4ANwA3ACwAIAAwAC4AMAAsACAAMAAuADYANgAsACAAMAAuADIAMgAsACAAMAAuADAALAAgADAALgA2ADYALAAgADAALgAwADsAXABuACAAIAAgACAAIAAgACAAIAAgACAAXAAiAFMAbwB1AHQAaAAgAEEAdQBzAHQAcgBhAGwAaQBhAFwAIgAsACAAXAAiAG4ALwBhAFwAIgAsACAAXAAiAEEAdQB0AHUAbQBuAFwAIgAsACAAMAAuADkALAAgAC0AMQAuADEALAAgADAALgA3ACwAIAAwAC4AMgAyACwAIAAtADAALgA1ADUALAAgADAALgA4ACwAIAAtADAALgAyADIAOwBcAG4AIAAgACAAIAAgACAAIAAgACAAIABcACIAUwBvAHUAdABoACAAQQB1AHMAdAByAGEAbABpAGEAXAAiACwAIABcACIAbgAvAGEAXAAiACwAIABcACIAVwBpAG4AdABlAHIAXAAiACwAIAAwAC4AOAA4ACwAIAAwAC4AMAAsACAAMAAuADcANwAsACAAMAAuADUANQAsACAAMAAuADAALAAgADAALgA4ADIALAAgADAALgAwADsAXABuACAAIAAgACAAIAAgACAAIAAgACAAXAAiAFQAYQBzAG0AYQBuAGkAYQBcACIALAAgAFwAIgBuAC8AYQBcACIALAAgAFwAIgBTAHAAcgBpAG4AZwBcACIALAAgADEALgAwACwAIAAwAC4ANQAwACwAIAAxAC4AMAAsACAAMQAuADAALAAgAC0AMAAuADQANAAsACAAMQAuADAALAAgADAALgA1ADsAXABuACAAIAAgACAAIAAgACAAIAAgACAAXAAiAFQAYQBzAG0AYQBuAGkAYQBcACIALAAgAFwAIgBuAC8AYQBcACIALAAgAFwAIgBTAHUAbQBtAGUAcgBcACIALAAgADAALgA4ADIALAAgADAALgA1ADUALAAgADAALgA3ADEALAAgADAALgA1ADUALAAgADAALgA5ADkALAAgADAALgA3ADcALAAgADAALgA1ADsAXABuACAAIAAgACAAIAAgACAAIAAgACAAXAAiAFQAYQBzAG0AYQBuAGkAYQBcACIALAAgAFwAIgBuAC8AYQBcACIALAAgAFwAIgBBAHUAdAB1AG0AbgBcACIALAAgADAALgA3ADcALAAgADAALgA1ADAALAAgADAALgA1ADUALAAgADAALgAxADEALAAgAC0AMAAuADMAMwAsACAAMAAuADYALAAgADAALgAzADMAOwBcAG4AIAAgACAAIAAgACAAIAAgACAAIABcACIAVABhAHMAbQBhAG4AaQBhAFwAIgAsACAAXAAiAG4ALwBhAFwAIgAsACAAXAAiAFcAaQBuAHQAZQByAFwAIgAsACAAMAAuADEAMQAsACAALQAwAC4AMgA3ACwAIAAwAC4AMQAxACwAIAAwAC4AMgAyACwAIAAtADAALgA0ADQALAAgADAALgAxADYALAAgAC0AMAAuADIAMgA7AFwAbgAgACAAIAAgACAAIAAgACAAIAAgAFwAIgBWAGkAYwB0AG8AcgBpAGEAXAAiACwAIABcACIAbgAvAGEAXAAiACwAIABcACIAUwBwAHIAaQBuAGcAXAAiACwAIAAxAC4AMQAwACwAIAAxAC4AMQAwACwAIAAxAC4AMQAwACwAIAAwAC4AOQA5ACwAIAAwAC4AOQA5ACwAIAAxAC4AMQAwACwAIAAwAC4ANwA3ADsAXABuACAAIAAgACAAIAAgACAAIAAgACAAXAAiAFYAaQBjAHQAbwByAGkAYQBcACIALAAgAFwAIgBuAC8AYQBcACIALAAgAFwAIgBTAHUAbQBtAGUAcgBcACIALAAgADAALgAzADMALAAgADAALgAzADMALAAgADAALgAyADIALAAgADAALgAzADMALAAgAC0AMAAuADEAMAAsACAAMAAuADMAMwAsACAAMAAuADEAMQA7AFwAbgAgACAAIAAgACAAIAAgACAAIAAgAFwAIgBWAGkAYwB0AG8AcgBpAGEAXAAiACwAIABcACIAbgAvAGEAXAAiACwAIABcACIAQQB1AHQAdQBtAG4AXAAiACwAIAAwAC4ANQAwACwAIAAwAC4AMgAwACwAIAAwAC4ANQA1ACwAIAAwAC4ANAA0ACwAIAAwAC4AMgAwACwAIAAwAC4ANQA1ACwAIAAwAC4AMgAwADsAXABuACAAIAAgACAAIAAgACAAIAAgACAAXAAiAFYAaQBjAHQAbwByAGkAYQBcACIALAAgAFwAIgBuAC8AYQBcACIALAAgAFwAIgBXAGkAbgB0AGUAcgBcACIALAAgADAALgA1ADUALAAgADAALgAyADIALAAgADAALgA0ADkALAAgADAALgAyADIALAAgADAALgAyADIALAAgADAALgA0ADkALAAgADAALgAzADMAOwBcAG4AIAAgACAAIAAgACAAIAAgACAAIABcACIAVwBlAHMAdABlAHIAbgAgAEEAdQBzAHQAcgBhAGwAaQBhAFwAIgAsACAAXAAiAFMAbwB1AHQAaAAgAFcAZQBzAHQAXAAiACwAIABcACIAUwBwAHIAaQBuAGcAXAAiACwAIAAxAC4ANgA0ACwAIAAxAC4AMQAwACwAIAAxAC4AMgAxACwAIAAwAC4AOQA5ACwAIAAwAC4ANgA2ACwAIAAxAC4ANAAyACwAIAAxAC4AMQAwADsAXABuACAAIAAgACAAIAAgACAAIAAgACAAXAAiAFcAZQBzAHQAZQByAG4AIABBAHUAcwB0AHIAYQBsAGkAYQBcACIALAAgAFwAIgBTAG8AdQB0AGgAIABXAGUAcwB0AFwAIgAsACAAXAAiAFMAdQBtAG0AZQByAFwAIgAsACAAMAAuADQANAAsACAALQAwAC4AMgAyACwAIAAwAC4ANAA0ACwAIAAwAC4AMwAzACwAIAAtADAALgAyADIALAAgADAALgA0ADQALAAgAC0AMAAuADEAMQA7AFwAbgAgACAAIAAgACAAIAAgACAAIAAgAFwAIgBXAGUAcwB0AGUAcgBuACAAQQB1AHMAdAByAGEAbABpAGEAXAAiACwAIABcACIAUwBvAHUAdABoACAAVwBlAHMAdABcACIALAAgAFwAIgBBAHUAdAB1AG0AbgBcACIALAAgADAALgA2ADAALAAgADAALgAwADAALAAgADAALgA2ADAALAAgADAALgAyADIALAAgAC0AMAAuADUANQAsACAAMAAuADYAMAAsACAAMAAuADAAMAA7AFwAbgAgACAAIAAgACAAIAAgACAAIAAgAFwAIgBXAGUAcwB0AGUAcgBuACAAQQB1AHMAdAByAGEAbABpAGEAXAAiACwAIABcACIAUwBvAHUAdABoACAAVwBlAHMAdABcACIALAAgAFwAIgBXAGkAbgB0AGUAcgBcACIALAAgADAALgA5ADkALAAgADAALgAyADIALAAgADAALgA3ADcALAAgADAALgAxADEALAAgADAALgAxADEALAAgADAALgA3ADcALAAgADAALgA0ADQAOwBcAG4AIAAgACAAIAAgACAAIAAgACAAIABcACIAVwBlAHMAdABlAHIAbgAgAEEAdQBzAHQAcgBhAGwAaQBhAFwAIgAsACAAXAAiAFAAaQBsAGIAYQByAGEAXAAiACwAIABcACIAUwBwAHIAaQBuAGcAXAAiACwAIAAwAC4ANwAwACwAIAAtADAALgA1ADUALAAgADAALgA3ADAALAAgADAALgAyADIALAAgAC0AMAAuADIAMgAsACAAMAAuADcAMAAsACAALQAwAC4AMgAyADsAXABuACAAIAAgACAAIAAgACAAIAAgACAAXAAiAFcAZQBzAHQAZQByAG4AIABBAHUAcwB0AHIAYQBsAGkAYQBcACIALAAgAFwAIgBQAGkAbABiAGEAcgBhAFwAIgAsACAAXAAiAFMAdQBtAG0AZQByAFwAIgAsACAAMAAuADcANwAsACAAMAAuADUANQAsACAAMAAuADcANwAsACAAMAAuADYANgAsACAAMAAuADUANQAsACAAMAAuADcANwAsACAAMAAuADMAMwA7AFwAbgAgACAAIAAgACAAIAAgACAAIAAgAFwAIgBXAGUAcwB0AGUAcgBuACAAQQB1AHMAdAByAGEAbABpAGEAXAAiACwAIABcACIAUABpAGwAYgBhAHIAYQBcACIALAAgAFwAIgBBAHUAdAB1AG0AbgBcACIALAAgADAALgA4ADgALAAgADAALgA1ADUALAAgADAALgA4ADgALAAgADAALgAyADIALAAgADAALgAyADIALAAgADAALgA4ADgALAAgADAALgAyADIAOwBcAG4AIAAgACAAIAAgACAAIAAgACAAIABcACIAVwBlAHMAdABlAHIAbgAgAEEAdQBzAHQAcgBhAGwAaQBhAFwAIgAsACAAXAAiAFAAaQBsAGIAYQByAGEAXAAiACwAIABcACIAVwBpAG4AdABlAHIAXAAiACwAIAAwAC4AMgAyACwAIAAtADAALgA1ADUALAAgADAALgAyADIALAAgADAALgAxADEALAAgAC0AMAAuADIAMgAsACAAMAAuADIAMgAsACAALQAwAC4AMwAzADsAXABuACAAIAAgACAAIAAgACAAIAAgACAAXAAiAFcAZQBzAHQAZQByAG4AIABBAHUAcwB0AHIAYQBsAGkAYQBcACIALAAgAFwAIgBLAGkAbQBiAGUAcgBsAGUAeQBcACIALAAgAFwAIgBTAHAAcgBpAG4AZwBcACIALAAgADAALgAyADIALAAgAC0AMAAuADUANQAsACAAMAAuADMAMwAsACAAMAAuADIAMgAsACAALQAwAC4AMwAzACwAIAAwAC4AMgAyACwAIAAtADAALgA1ADUAOwBcAG4AIAAgACAAIAAgACAAIAAgACAAIABcACIAVwBlAHMAdABlAHIAbgAgAEEAdQBzAHQAcgBhAGwAaQBhAFwAIgAsACAAXAAiAEsAaQBtAGIAZQByAGwAZQB5AFwAIgAsACAAXAAiAFMAdQBtAG0AZQByAFwAIgAsACAAMAAuADgAMAAsACAAMAAuADUANQAsACAAMAAuADcAMAAsACAAMAAuADQANAAsACAAMAAuADYANgAsACAAMAAuADgAMAAsACAAMAAuADUANQA7AFwAbgAgACAAIAAgACAAIAAgACAAIAAgAFwAIgBXAGUAcwB0AGUAcgBuACAAQQB1AHMAdAByAGEAbABpAGEAXAAiACwAIABcACIASwBpAG0AYgBlAHIAbABlAHkAXAAiACwAIABcACIAQQB1AHQAdQBtAG4AXAAiACwAIAAwAC4ANgA2ACwAIAAwAC4ANQA1ACwAIAAwAC4ANQA1ACwAIAAwAC4ANQA1ACwAIAAwAC4AMQAxACwAIAAwAC4ANgA2ACwAIAAwAC4ANQA1ADsAXABuACAAIAAgACAAIAAgACAAIAAgACAAXAAiAFcAZQBzAHQAZQByAG4AIABBAHUAcwB0AHIAYQBsAGkAYQBcACIALAAgAFwAIgBLAGkAbQBiAGUAcgBsAGUAeQBcACIALAAgAFwAIgBXAGkAbgB0AGUAcgBcACIALAAgADAALgAzADMALAAgAC0AMAAuADUANQAsACAAMAAuADEAMQAsACAAMAAuADEAMQAsACAALQAwAC4ANAA0ACwAIAAwAC4AMwAzACwAIAAtADAALgA1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cAYQBpAG4ATgBUAFEATABEAFwAbgBUAGEAYgBsAGUAIABBAC4AMQAuADIALgA0ADoAIABCAGUAZQBmACAAcABhAHMAdAB1AHIAZQAgAGMAYQB0AHQAbABlACAALQAgAEwAaQB2AGUAdwBlAGkAZwBoAHQAIABnAGEAaQBuACAAKABrAGcAKQAgACgATABXAEcAagBrAGwAKQAgAGYAbwByACAATgBUACAAYQBuAGQAIABRAEwARABcAG4ALQAtAC0ALQAtAC0ALQAtAC0ALQAtAC0ALQAtAC0ALQAtAC0ALQAtAC0ALQAtAC0ALQAtAC0ALQAtAC0ALQAtAC0ALQAtAC0ALQAtAFwAbgAqAC8AXABuAFwAbgBTAG8AdQByAGMAZQBEAGEAdABhAF8AUABhAHMAdAB1AHIAZQBCAGUAZQBmAF8ATABpAHYAZQB3AGUAaQBnAGgAdABHAGEAaQBuAE4AVABRAEwARABfAFQAaQB0AGwAZQBcAG4AIAAgAD0ATABBAE0AQgBEAEEAKABcACIAQgBlAGUAZgAgAHAAYQBzAHQAdQByAGUAIABjAGEAdAB0AGwAZQAgAC0AIABMAGkAdgBlAHcAZQBpAGcAaAB0ACAAZwBhAGkAbgAgACgAawBnACkAIAAoAEwAVwBHAGoAawBsACkAIABmAG8AcgAgAE4AVAAgAGEAbgBkACAAUQBMAEQAXAAiACkAOwBcAG4AXABuAFMAbwB1AHIAYwBlAEQAYQB0AGEAXwBQAGEAcwB0AHUAcgBlAEIAZQBlAGYAXwBMAGkAdgBlAHcAZQBpAGcAaAB0AEcAYQBpAG4ATgBUAFEATABEAF8AVgBhAHIAaQBhAGIAbABlAFwAbgAgACAAPQBMAEEATQBCAEQAQQAoAFwAIgBMAFcARwBqAGsAbABcACIAKQA7AFwAbgBcAG4AUwBvAHUAcgBjAGUARABhAHQAYQBfAFAAYQBzAHQAdQByAGUAQgBlAGUAZgBfAEwAaQB2AGUAdwBlAGkAZwBoAHQARwBhAGkAbgBOAFQAUQBMAEQAXwBVAG4AaQB0AFwAbgAgACAAPQBMAEEATQBCAEQAQQAoAFwAIgBrAGcAXAAiACkAOwBcAG4AXABuAFMAbwB1AHIAYwBlAEQAYQB0AGEAXwBQAGEAcwB0AHUAcgBlAEIAZQBlAGYAXwBMAGkAdgBlAHcAZQBpAGcAaAB0AEcAYQBpAG4ATgBUAFEATABEAF8AUwBvAHUAcgBjAGUAXABuACAAIAA9AEwAQQBNAEIARABBACgAXAAiAFYARQBFAFIARwAgADIAMAAyADYAOgAgAFQAYQBiAGwAZQAgAEEALgAxAC4AMgAuADQAXAAiACkAOwBcAG4AXABuAFMAbwB1AHIAYwBlAEQAYQB0AGEAXwBQAGEAcwB0AHUAcgBlAEIAZQBlAGYAXwBMAGkAdgBlAHcAZQBpAGcAaAB0AEcAYQBpAG4ATgBUAFEATABEAF8AVgBhAHIAaQBhAHQAaQBvAG4AXABuACAAIAA9AEwAQQBNAEIARABBACgAXAAiAFwAIgApADsAXABuAFwAbgBTAG8AdQByAGMAZQBEAGEAdABhAF8AUABhAHMAdAB1AHIAZQBCAGUAZQBmAF8ATABpAHYAZQB3AGUAaQBnAGgAdABHAGEAaQBu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AyAC0AMwBcACIALAAgAFwAIgBDAG8Ad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AAuADIAMgAsACAALQAwAC4AMgAzACwAIAAwAC4AMgA1ACwAIAAwAC4AMQA3ACwAIAAwAC4AMQA4ACwAIAAtADAALgAyADgALAAgADAALgAzADIALAAgADAALgAyADQALAAgADAALgAyADUALAAgAC0AMAAuADAANQA7AFwAbgAgACAAIAAgACAAIAAgACAAIAAgAFwAIgBOAG8AcgB0AGgAZQByAG4AIABUAGUAcgByAGkAdABvAHIAeQBcACIALAAgAFwAIgBBAGwAaQBjAGUAIABTAHAAcgBpAG4AZwBzAFwAIgAsACAAXAAiAFMAdQBtAG0AZQByAFwAIgAsACAAMAAuADYANgAsACAAMAAuADIAMAAsACAAMAAuADYAMgAsACAAMAAuADUANAAsACAAMAAuADMAOAAsACAAMAAuADIANwAsACAAMAAuADcANQAsACAAMAAuADYANAAsACAAMAAuADUANQAsACAAMAAuADQAOAA7AFwAbgAgACAAIAAgACAAIAAgACAAIAAgAFwAIgBOAG8AcgB0AGgAZQByAG4AIABUAGUAcgByAGkAdABvAHIAeQBcACIALAAgAFwAIgBBAGwAaQBjAGUAIABTAHAAcgBpAG4AZwBzAFwAIgAsACAAXAAiAEEAdQB0AHUAbQBuAFwAIgAsACAAMAAuADQAOQAsACAAMAAuADEAMwAsACAAMAAuADUANAAsACAAMAAuADQANQAsACAAMAAuADMANQAsACAAMAAuADEANQAsACAAMAAuADYAMwAsACAAMAAuADUANAAsACAAMAAuADQAMgAsACAAMAAuADIANgA7AFwAbgAgACAAIAAgACAAIAAgACAAIAAgAFwAIgBOAG8AcgB0AGgAZQByAG4AIABUAGUAcgByAGkAdABvAHIAeQBcACIALAAgAFwAIgBBAGwAaQBjAGUAIABTAHAAcgBpAG4AZwBzAFwAIgAsACAAXAAiAFcAaQBuAHQAZQByAFwAIgAsACAAMAAuADIANwAsACAALQAwAC4AOAAwACwAIAAwAC4AMgAyACwAIAAwAC4AMAA5ACwAIAAwAC4AMQAyACwAIAAwAC4AMAAyACwAIAAwAC4AMgA1ACwAIAAwAC4AMQA4ACwAIAAwAC4AMQAyACwAIAAwAC4AMAAzADsAXABuACAAIAAgACAAIAAgACAAIAAgACAAXAAiAE4AbwByAHQAaABlAHIAbgAgAFQAZQByAHIAaQB0AG8AcgB5AFwAIgAsACAAXAAiAEIAYQByAGsAbAB5AFwAIgAsACAAXAAiAFMAcAByAGkAbgBnAFwAIgAsACAAMAAuADIAMgAsACAALQAwAC4ANAA0ACwAIAAwAC4AMgAwACwAIAAwAC4AMgAxACwAIAAwAC4AMQA4ACwAIAAwAC4AMAAxACwAIAAwAC4AMQAyACwAIAAwAC4AMAA5ACwAIABcACIATgBPAFwAIgAsACAAXAAiAE4ATwBcACIAOwBcAG4AIAAgACAAIAAgACAAIAAgACAAIABcACIATgBvAHIAdABoAGUAcgBuACAAVABlAHIAcgBpAHQAbwByAHkAXAAiACwAIABcACIAQgBhAHIAawBsAHkAXAAiACwAIABcACIAUwB1AG0AbQBlAHIAXAAiACwAIAAwAC4ANgA2ACwAIAAwAC4AMgAyACwAIAAwAC4ANgA4ACwAIAAwAC4AMgAyACwAIAAwAC4AMgA0ACwAIAAwAC4AMgA1ACwAIAAwAC4ANgA0ACwAIAAwAC4AMwA3ACwAIABcACIATgBPAFwAIgAsACAAXAAiAE4ATwBcACIAOwBcAG4AIAAgACAAIAAgACAAIAAgACAAIABcACIATgBvAHIAdABoAGUAcgBuACAAVABlAHIAcgBpAHQAbwByAHkAXAAiACwAIABcACIAQgBhAHIAawBsAHkAXAAiACwAIABcACIAQQB1AHQAdQBtAG4AXAAiACwAIAAwAC4ANAA5ACwAIAAwAC4AMAA1ACwAIAAwAC4ANgA0ACwAIAAwAC4AMgA1ACwAIAAwAC4AMgA5ACwAIAAwAC4AMQAyACwAIAAwAC4ANQA3ACwAIAAwAC4ANAA5ACwAIABcACIATgBPAFwAIgAsACAAXAAiAE4ATwBcACIAOwBcAG4AIAAgACAAIAAgACAAIAAgACAAIABcACIATgBvAHIAdABoAGUAcgBuACAAVABlAHIAcgBpAHQAbwByAHkAXAAiACwAIABcACIAQgBhAHIAawBsAHkAXAAiACwAIABcACIAVwBpAG4AdABlAHIAXAAiACwAIAAwAC4AMgA3ACwAIAAtADAALgAyADcALAAgADAALgAzADEALAAgADAALgAyADkALAAgADAALgAxADkALAAgADAALgAwADQALAAgADAALgAyADYALAAgADAALgAyADgALAAgAFwAIgBOAE8AXAAiACwAIABcACIATgBPAFwAIgA7AFwAbgAgACAAIAAgACAAIAAgACAAIAAgAFwAIgBOAG8AcgB0AGgAZQByAG4AIABUAGUAcgByAGkAdABvAHIAeQBcACIALAAgAFwAIgBOAG8AcgB0AGgAZQByAG4AXAAiACwAIABcACIAUwBwAHIAaQBuAGcAXAAiACwAIAAwAC4AMgAyACwAIAAtADAALgA0ADQALAAgADAALgAwADAALAAgADAALgAxADUALAAgADAALgAwADgALAAgADAALgAxADcALAAgADAALgAwADYALAAgADAALgAwADIALAAgAC0AMAAuADEANAAsACAAXAAiAE4ATwBcACIAOwBcAG4AIAAgACAAIAAgACAAIAAgACAAIABcACIATgBvAHIAdABoAGUAcgBuACAAVABlAHIAcgBpAHQAbwByAHkAXAAiACwAIABcACIATgBvAHIAdABoAGUAcgBuAFwAIgAsACAAXAAiAFMAdQBtAG0AZQByAFwAIgAsACAAMAAuADYANgAsACAAMAAuADIAMgAsACAAMAAuADcAOQAsACAAMAAuADQAMAAsACAAMAAuADMAOAAsACAAMAAuADIANwAsACAAMAAuADgAMAAsACAAMAAuADEANgAsACAAMAAuADMAMAAsACAAXAAiAE4ATwBcACIAOwBcAG4AIAAgACAAIAAgACAAIAAgACAAIABcACIATgBvAHIAdABoAGUAcgBuACAAVABlAHIAcgBpAHQAbwByAHkAXAAiACwAIABcACIATgBvAHIAdABoAGUAcgBuAFwAIgAsACAAXAAiAEEAdQB0AHUAbQBuAFwAIgAsACAAMAAuADQAOQAsACAAMAAuADAANQAsACAAMAAuADUANQAsACAAMAAuADMAOAAsACAAMAAuADMANgAsACAAMAAuADAANgAsACAAMAAuADUAOAAsACAAMAAuADIAMwAsACAAMAAuADQAMAAsACAAXAAiAE4ATwBcACIAOwBcAG4AIAAgACAAIAAgACAAIAAgACAAIABcACIATgBvAHIAdABoAGUAcgBuACAAVABlAHIAcgBpAHQAbwByAHkAXAAiACwAIABcACIATgBvAHIAdABoAGUAcgBuAFwAIgAsACAAXAAiAFcAaQBuAHQAZQByAFwAIgAsACAAMAAuADIANwAsACAALQAwAC4AMgA3ACwAIAAwAC4AMAAyACwAIAAwAC4AMAA5ACwAIAAwAC4AMQA2ACwAIAAtADAALgAwADQALAAgADAALgAyADEALAAgADAALgAwADMALAAgADAALgAxADEALAAgAFwAIgBOAE8AXAAiADsAXABuACAAIAAgACAAIAAgACAAIAAgACAAXAAiAFEAdQBlAGUAbgBzAGwAYQBuAGQAXAAiACwAIABcACIASABpAGcAaABcACIALAAgAFwAIgBTAHAAcgBpAG4AZwBcACIALAAgADAALgAyADcALAAgAC0AMAAuADEAOQAsACAAMAAuADMAOAAsACAAMAAuADIANQAsACAAMAAuADAANwAsACAAMAAuADAANQAsACAAMAAuADUAMgAsACAAMAAuADUANQAsACAAMAAuADEAOQAsACAAMAAuADYAMAA7AFwAbgAgACAAIAAgACAAIAAgACAAIAAgAFwAIgBRAHUAZQBlAG4AcwBsAGEAbgBkAFwAIgAsACAAXAAiAEgAaQBnAGgAXAAiACwAIABcACIAUwB1AG0AbQBlAHIAXAAiACwAIAAwAC4AMQA2ACwAIAAwAC4AMQA2ACwAIAAwAC4AOAAwACwAIAAwAC4ANQA3ACwAIAAwAC4ANwA2ACwAIAAwAC4ANAA5ACwAIAAwAC4AOAA0ACwAIAAwAC4ANQAxACwAIAAwAC4AMwA2ACwAIAAwAC4AMQA3ADsAXABuACAAIAAgACAAIAAgACAAIAAgACAAXAAiAFEAdQBlAGUAbgBzAGwAYQBuAGQAXAAiACwAIABcACIASABpAGcAaABcACIALAAgAFwAIgBBAHUAdAB1AG0AbgBcACIALAAgADAALgA0ADUALAAgADAALgAxADAALAAgADAALgA0ADkALAAgADAALgA0ADEALAAgADAALgA0ADAALAAgADAALgAxADcALAAgADAALgA1ADQALAAgADAALgA2ADQALAAgAC0AMAAuADAANQAsACAAMAAuADMAMgA7AFwAbgAgACAAIAAgACAAIAAgACAAIAAgAFwAIgBRAHUAZQBlAG4AcwBsAGEAbgBkAFwAIgAsACAAXAAiAEgAaQBnAGgAXAAiACwAIABcACIAVwBpAG4AdABlAHIAXAAiACwAIAAwAC4ANQAxACwAIAAtADAALgAwADcALAAgADAALgAxADMALAAgAC0AMAAuADAAOQAsACAALQAwAC4AMQAzACwAIAAwAC4AMAA3ACwAIAAwAC4AMgA1ACwAIAAwAC4ANwAxACwAIAAwAC4AMQA3ACwAIAAwAC4ANAAzADsAXABuACAAIAAgACAAIAAgACAAIAAgACAAXAAiAFEAdQBlAGUAbgBzAGwAYQBuAGQAXAAiACwAIABcACIATQBvAGQAZQByAGEAdABlAC8ASABpAGcAaABcACIALAAgAFwAIgBTAHAAcgBpAG4AZwBcACIALAAgAC0AMAAuADEAMgAsACAALQAwAC4AMQA5ACwAIAAwAC4ANAAxACwAIAAwAC4AMAA5ACwAIAAwAC4ANAAxACwAIAAtADAALgAxADkALAAgADAALgAwADcALAAgADEALgAwADcALAAgAC0AMAAuADAAOAAsACAAMAAuADAAMAA7AFwAbgAgACAAIAAgACAAIAAgACAAIAAgAFwAIgBRAHUAZQBlAG4AcwBsAGEAbgBkAFwAIgAsACAAXAAiAE0AbwBkAGUAcgBhAHQAZQAvAEgAaQBnAGgAXAAiACwAIABcACIAUwB1AG0AbQBlAHIAXAAiACwAIAAwAC4ANgA1ACwAIAAwAC4AMQA5ACwAIAAwAC4ANgA1ACwAIAAwAC4ANQAxACwAIAAwAC4AMQA4ACwAIAAwAC4ANgAzACwAIAAxAC4AMwAwACwAIAAwAC4ANAA4ACwAIAAxAC4AMQAyACwAIAAwAC4AMwA4ADsAXABuACAAIAAgACAAIAAgACAAIAAgACAAXAAiAFEAdQBlAGUAbgBzAGwAYQBuAGQAXAAiACwAIABcACIATQBvAGQAZQByAGEAdABlAC8ASABpAGcAaABcACIALAAgAFwAIgBBAHUAdAB1AG0AbgBcACIALAAgADAALgA3ADAALAAgADAALgAxADMALAAgADAALgA1ADIALAAgADAALgAzADQALAAgADAALgAwADIALAAgADAALgAwADQALAAgADAALgA3ADcALAAgADAALgA0ADIALAAgADAALgAxADIALAAgADAALgA3ADQAOwBcAG4AIAAgACAAIAAgACAAIAAgACAAIABcACIAUQB1AGUAZQBuAHMAbABhAG4AZABcACIALAAgAFwAIgBNAG8AZABlAHIAYQB0AGUALwBIAGkAZwBoAFwAIgAsACAAXAAiAFcAaQBuAHQAZQByAFwAIgAsACAAMAAuADMAMgAsACAALQAwAC4AMAA2ACwAIAAwAC4AMgA1ACwAIAAwAC4AMQA5ACwAIAAtADAALgAxADAALAAgAC0AMAAuADAAMgAsACAAMAAuADAAMgAsACAAMAAuADIAMwAsACAALQAwAC4AMQAzACwAIAAwAC4AMAAwADsAXABuACAAIAAgACAAIAAgACAAIAAgACAAXAAiAFEAdQBlAGUAbgBzAGwAYQBuAGQAXAAiACwAIABcACIATQBvAGQAZQByAGEAdABlAC8ATABvAHcAXAAiACwAIABcACIAUwBwAHIAaQBuAGcAXAAiACwAIAAwAC4ANgAyACwAIAAtADAALgAxADkALAAgADAALgAzADcALAAgADAALgA0ADEALAAgADAALgAwADYALAAgAC0AMAAuADAAMgAsACAAMAAuADQANwAsACAAMAAuADQANAAsACAAMAAuADMAMAAsACAAMAAuADEAMwA7AFwAbgAgACAAIAAgACAAIAAgACAAIAAgAFwAIgBRAHUAZQBlAG4AcwBsAGEAbgBkAFwAIgAsACAAXAAiAE0AbwBkAGUAcgBhAHQAZQAvAEwAbwB3AFwAIgAsACAAXAAiAFMAdQBtAG0AZQByAFwAIgAsACAAMAAuADAANQAsACAAMAAuADEAOQAsACAAMAAuADMAMQAsACAAMAAuADUANAAsACAAMAAuADUAMwAsACAAMAAuADEANQAsACAAMAAuADIAOAAsACAAMAAuADUANwAsACAAMAAuADQAMgAsACAAMAAuADQAMAA7AFwAbgAgACAAIAAgACAAIAAgACAAIAAgAFwAIgBRAHUAZQBlAG4AcwBsAGEAbgBkAFwAIgAsACAAXAAiAE0AbwBkAGUAcgBhAHQAZQAvAEwAbwB3AFwAIgAsACAAXAAiAEEAdQB0AHUAbQBuAFwAIgAsACAAMAAuADMAMwAsACAAMAAuADEAMwAsACAAMAAuADMAOQAsACAAMAAuADMANgAsACAAMAAuADIANgAsACAAMAAuADEAMQAsACAAMAAuADQAMAAsACAAMAAuADQANAAsACAAMAAuADMANwAsACAALQAwAC4AMAAxADsAXABuACAAIAAgACAAIAAgACAAIAAgACAAXAAiAFEAdQBlAGUAbgBzAGwAYQBuAGQAXAAiACwAIABcACIATQBvAGQAZQByAGEAdABlAC8ATABvAHcAXAAiACwAIABcACIAVwBpAG4AdABlAHIAXAAiACwAIAAwAC4ANgAxACwAIAAtADAALgAwADYALAAgADAALgAyADEALAAgADAALgAxADgALAAgADAALgAxADIALAAgADAALgAwADYALAAgADAALgAyADkALAAgADAALgA0ADEALAAgADAALgA0ADEALAAgAC0AMAAuADEANQA7AFwAbgAgACAAIAAgACAAIAAgACAAIAAgAFwAIgBRAHUAZQBlAG4AcwBsAGEAbgBkAFwAIgAsACAAXAAiAEwAbwB3AFwAIgAsACAAXAAiAFMAcAByAGkAbgBnAFwAIgAsACAALQAwAC4AMgAwACwAIAAwAC4AMAAyACwAIAAwAC4AMgA0ACwAIAAwAC4AMwAwACwAIAAwAC4AMgAzACwAIAAtADAALgAwADUALAAgADAALgAzADQALAAgADAALgAzADAALAAgADAALgA1ADcALAAgADAALgA1ADIAOwBcAG4AIAAgACAAIAAgACAAIAAgACAAIABcACIAUQB1AGUAZQBuAHMAbABhAG4AZABcACIALAAgAFwAIgBMAG8AdwBcACIALAAgAFwAIgBTAHUAbQBtAGUAcgBcACIALAAgADAALgA2ADIALAAgADAALgAyADEALAAgADAALgAyADUALAAgADAALgAzADIALAAgADAALgA0ADcALAAgADAALgAzADEALAAgADAALgAxADQALAAgADAALgA0ADAALAAgADAALgAyADYALAAgADAALgA0ADMAOwBcAG4AIAAgACAAIAAgACAAIAAgACAAIABcACIAUQB1AGUAZQBuAHMAbABhAG4AZABcACIALAAgAFwAIgBMAG8AdwBcACIALAAgAFwAIgBBAHUAdAB1AG0AbgBcACIALAAgADAALgA0ADAALAAgADAALgAxADMALAAgADAALgAxADIALAAgADAALgAyADcALAAgADAALgAzADAALAAgADAALgAwADgALAAgADAALgAxADMALAAgADAALgAyADQALAAgADAALgAxADUALAAgADAALgAyADEAOwBcAG4AIAAgACAAIAAgACAAIAAgACAAIABcACIAUQB1AGUAZQBuAHMAbABhAG4AZABcACIALAAgAFwAIgBMAG8AdwBcACIALAAgAFwAIgBXAGkAbgB0AGUAcgBcACIALAAgADAALgAwADgALAAgADAALgAwADQALAAgADAALgAwADYALAAgADAALgAxADgALAAgADAALgAxADEALAAgAC0AMAAuADAANwAsACAAMAAuADEAMwAsACAAMAAuADEANgAsACAAMAAuADQAMAAsACAAMAAuADMAMw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EAHIAeQBNAGEAdAB0AGUAcgBEAGkAZwBlAHMAdABpAGIAaQBsAGkAdAB5AFwAbgBUAGEAYgBsAGUAIABBAC4AMQAuADIALgA1ADoAIABCAGUAZQBmACAAcABhAHMAdAB1AHIAZQAgAGMAYQB0AHQAbABlACAALQAgAEQAcgB5ACAAbQBhAHQAdABlAHIAIABkAGkAZwBlAHMAdABpAGIAaQBsAGkAdAB5ACAAbwBmACAAZgBlAGUAZAAgAGkAbgB0AGEAawBlACAAKABmAHIAYQBjAHQAaQBvAG4AKQAgACgARABNAEQAagApAFwAbgAtAC0ALQAtAC0ALQAtAC0ALQAtAC0ALQAtAC0ALQAtAC0ALQAtAC0ALQAtAC0ALQAtAC0ALQAtAC0ALQAtAC0ALQAtAC0ALQAtAC0AXABuACoALwBcAG4AXABuAFMAbwB1AHIAYwBlAEQAYQB0AGEAXwBQAGEAcwB0AHUAcgBlAEIAZQBlAGYAXwBEAHIAeQBNAGEAdAB0AGUAcgBEAGkAZwBlAHMAdABpAGIAaQBsAGkAdAB5AF8AVABpAHQAbABlAFwAbgAgACAAPQBMAEEATQBCAEQAQQAoAFwAIgBCAGUAZQBmACAAcABhAHMAdAB1AHIAZQAgAGMAYQB0AHQAbABlACAALQAgAEQAcgB5ACAAbQBhAHQAdABlAHIAIABkAGkAZwBlAHMAdABpAGIAaQBsAGkAdAB5ACAAbwBmACAAZgBlAGUAZAAgAGkAbgB0AGEAawBlACAAKABmAHIAYQBjAHQAaQBvAG4AKQAgACgARABNAEQAagApAFwAIgApADsAXABuAFwAbgBTAG8AdQByAGMAZQBEAGEAdABhAF8AUABhAHMAdAB1AHIAZQBCAGUAZQBmAF8ARAByAHkATQBhAHQAdABlAHIARABpAGcAZQBzAHQAaQBiAGkAbABpAHQAeQBfAFYAYQByAGkAYQBiAGwAZQBcAG4AIAAgAD0ATABBAE0AQgBEAEEAKABcACIARABNAEQAagBcACIAKQA7AFwAbgBcAG4AUwBvAHUAcgBjAGUARABhAHQAYQBfAFAAYQBzAHQAdQByAGUAQgBlAGUAZgBfAEQAcgB5AE0AYQB0AHQAZQByAEQAaQBnAGUAcwB0AGkAYgBpAGwAaQB0AHkAXwBVAG4AaQB0AFwAbgAgACAAPQBMAEEATQBCAEQAQQAoAFwAIgBmAHIAYQBjAHQAaQBvAG4AXAAiACkAOwBcAG4AXABuAFMAbwB1AHIAYwBlAEQAYQB0AGEAXwBQAGEAcwB0AHUAcgBlAEIAZQBlAGYAXwBEAHIAeQBNAGEAdAB0AGUAcgBEAGkAZwBlAHMAdABpAGIAaQBsAGkAdAB5AF8AUwBvAHUAcgBjAGUAXABuACAAIAA9AEwAQQBNAEIARABBACgAXAAiAFYARQBFAFIARwAgADIAMAAyADYAOgAgAFQAYQBiAGwAZQAgAEEALgAxAC4AMgAuADUAXAAiACkAOwBcAG4AXABuAFMAbwB1AHIAYwBlAEQAYQB0AGEAXwBQAGEAcwB0AHUAcgBlAEIAZQBlAGYAXwBEAHIAeQBNAGEAdAB0AGUAcgBEAGkAZwBlAHMAdABpAGIAaQBsAGkAdAB5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QAcgB5AE0AYQB0AHQAZQByAEQAaQBnAGUAcwB0AGkAYgBpAGwAaQB0AHk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NQA1ACwAIAAwAC4ANgA1ACwAIAAwAC4ANgAwACwAIAAwAC4ANQAwADsAXABuACAAIAAgACAAIAAgACAAIAAgACAAXAAiAE4AUwBXAFwAIgAsACAAXAAiAG4ALwBhAFwAIgAsACAAMAAuADUANQAsACAAMAAuADYANQAsACAAMAAuADYAMAAsACAAMAAuADUAMAA7AFwAbgAgACAAIAAgACAAIAAgACAAIAAgAFwAIgBOAFQAXAAiACwAIABcACIAQQBsAGkAYwBlACAAUwBwAHIAaQBuAGcAcwBcACIALAAgADAALgA1ADUALAAgADAALgA2ADEALAAgADAALgA1ADcALAAgADAALgA1ADQAOwBcAG4AIAAgACAAIAAgACAAIAAgACAAIABcACIATgBUAFwAIgAsACAAXAAiAEIAYQByAGsAbAB5AFwAIgAsACAAMAAuADUANQAsACAAMAAuADYAMQAsACAAMAAuADUANwAsACAAMAAuADUANAA7AFwAbgAgACAAIAAgACAAIAAgACAAIAAgAFwAIgBOAFQAXAAiACwAIABcACIATgBvAHIAdABoAGUAcgBuAFwAIgAsACAAMAAuADUANQAsACAAMAAuADYAMQAsACAAMAAuADUANwAsACAAMAAuADUANAA7AFwAbgAgACAAIAAgACAAIAAgACAAIAAgAFwAIgBRAEwARABcACIALAAgAFwAIgBIAGkAZwBoAFwAIgAsACAAMAAuADUAMwAsACAAMAAuADUANwAsACAAMAAuADUANQAsACAAMAAuADUAMQA7AFwAbgAgACAAIAAgACAAIAAgACAAIAAgAFwAIgBRAEwARABcACIALAAgAFwAIgBNAG8AZABlAHIAYQB0AGUALwBIAGkAZwBoAFwAIgAsACAAMAAuADUAMwAsACAAMAAuADUANwAsACAAMAAuADUANQAsACAAMAAuADUAMQA7AFwAbgAgACAAIAAgACAAIAAgACAAIAAgAFwAIgBRAEwARABcACIALAAgAFwAIgBNAG8AZABlAHIAYQB0AGUALwBMAG8AdwBcACIALAAgADAALgA1ADMALAAgADAALgA1ADcALAAgADAALgA1ADUALAAgADAALgA1ADEAOwBcAG4AIAAgACAAIAAgACAAIAAgACAAIABcACIAUQBMAEQAXAAiACwAIABcACIATABvAHcAXAAiACwAIAAwAC4ANQAzACwAIAAwAC4ANQA3ACwAIAAwAC4ANQA1ACwAIAAwAC4ANQAxADsAXABuACAAIAAgACAAIAAgACAAIAAgACAAXAAiAFMAQQBcACIALAAgAFwAIgBuAC8AYQBcACIALAAgADAALgA3ADAALAAgADAALgA1ADUALAAgADAALgA1ADUALAAgADAALgA3ADUAOwBcAG4AIAAgACAAIAAgACAAIAAgACAAIABcACIAVABBAFMAXAAiACwAIABcACIAbgAvAGEAXAAiACwAIAAwAC4ANwA1ACwAIAAwAC4ANgAwACwAIAAwAC4ANwAwACwAIAAwAC4ANwA1ADsAXABuACAAIAAgACAAIAAgACAAIAAgACAAXAAiAFYASQBDAFwAIgAsACAAXAAiAG4ALwBhAFwAIgAsACAAMAAuADgAMAAsACAAMAAuADUANQAsACAAMAAuADYAMAAsACAAMAAuADcANgA7AFwAbgAgACAAIAAgACAAIAAgACAAIAAgAFwAIgBXAEEAXAAiACwAIABcACIAUwBvAHUAdABoACAAVwBlAHMAdABcACIALAAgADAALgA4ADAALAAgADAALgA1ADgALAAgADAALgA1ADAALAAgADAALgA3ADUAOwBcAG4AIAAgACAAIAAgACAAIAAgACAAIABcACIAVwBBAFwAIgAsACAAXAAiAFAAaQBsAGIAYQByAGEAXAAiACwAIAAwAC4ANAAwACwAIAAwAC4ANgA1ACwAIAAwAC4ANQA1ACwAIAAwAC4ANAA1ADsAXABuACAAIAAgACAAIAAgACAAIAAgACAAXAAiAFcAQQBcACIALAAgAFwAIgBLAGkAbQBiAGUAcgBsAGUAeQBcACIALAAgADAALgA0ADAALAAgADAALgA2ADUALAAgADAALgA1ADUALAAgADAALgA0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DAHIAdQBkAGUAUAByAG8AdABlAGkAbgBDAG8AbgB0AGUAbgB0AFwAbgBUAGEAYgBsAGUAIABBAC4AMQAuADIALgA2ADoAIABCAGUAZQBmACAAcABhAHMAdAB1AHIAZQAgAGMAYQB0AHQAbABlACAALQAgAEMAcgB1AGQAZQAgAHAAcgBvAHQAZQBpAG4AIABjAG8AbgB0AGUAbgB0ACAAbwBmACAAZgBlAGUAZAAgAGkAbgB0AGEAawBlACAAKABmAHIAYQBjAHQAaQBvAG4AKQAgACgAQwBQAGoAKQBcAG4ALQAtAC0ALQAtAC0ALQAtAC0ALQAtAC0ALQAtAC0ALQAtAC0ALQAtAC0ALQAtAC0ALQAtAC0ALQAtAC0ALQAtAC0ALQAtAC0ALQAtAFwAbgAqAC8AXABuAFwAbgBTAG8AdQByAGMAZQBEAGEAdABhAF8AUABhAHMAdAB1AHIAZQBCAGUAZQBmAF8AQwByAHUAZABlAFAAcgBvAHQAZQBpAG4AQwBvAG4AdABlAG4AdABfAFQAaQB0AGwAZQBcAG4AIAAgAD0ATABBAE0AQgBEAEEAKABcACIAQgBlAGUAZgAgAHAAYQBzAHQAdQByAGUAIABjAGEAdAB0AGwAZQAgAC0AIABDAHIAdQBkAGUAIABwAHIAbwB0AGUAaQBuACAAYwBvAG4AdABlAG4AdAAgAG8AZgAgAGYAZQBlAGQAIABpAG4AdABhAGsAZQAgACgAZgByAGEAYwB0AGkAbwBuACkAIAAoAEMAUABqACkAXAAiACkAOwBcAG4AXABuAFMAbwB1AHIAYwBlAEQAYQB0AGEAXwBQAGEAcwB0AHUAcgBlAEIAZQBlAGYAXwBDAHIAdQBkAGUAUAByAG8AdABlAGkAbgBDAG8AbgB0AGUAbgB0AF8AVgBhAHIAaQBhAGIAbABlAFwAbgAgACAAPQBMAEEATQBCAEQAQQAoAFwAIgBDAFAAagBcACIAKQA7AFwAbgBcAG4AUwBvAHUAcgBjAGUARABhAHQAYQBfAFAAYQBzAHQAdQByAGUAQgBlAGUAZgBfAEMAcgB1AGQAZQBQAHIAbwB0AGUAaQBuAEMAbwBuAHQAZQBuAHQAXwBVAG4AaQB0AFwAbgAgACAAPQBMAEEATQBCAEQAQQAoAFwAIgBmAHIAYQBjAHQAaQBvAG4AXAAiACkAOwBcAG4AXABuAFMAbwB1AHIAYwBlAEQAYQB0AGEAXwBQAGEAcwB0AHUAcgBlAEIAZQBlAGYAXwBDAHIAdQBkAGUAUAByAG8AdABlAGkAbgBDAG8AbgB0AGUAbgB0AF8AUwBvAHUAcgBjAGUAXABuACAAIAA9AEwAQQBNAEIARABBACgAXAAiAFYARQBFAFIARwAgADIAMAAyADYAOgAgAFQAYQBiAGwAZQAgAEEALgAxAC4AMgAuADYAXAAiACkAOwBcAG4AXABuAFMAbwB1AHIAYwBlAEQAYQB0AGEAXwBQAGEAcwB0AHUAcgBlAEIAZQBlAGYAXwBDAHIAdQBkAGUAUAByAG8AdABlAGkAbgBDAG8AbgB0AGUAbgB0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MAcgB1AGQAZQBQAHIAbwB0AGUAaQBuAEMAbwBuAHQAZQBuAHQ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MAA3ACwAIAAwAC4AMQAzACwAIAAwAC4AMQAsACAAMAAuADAANgA7AFwAbgAgACAAIAAgACAAIAAgACAAIAAgAFwAIgBOAFMAVwBcACIALAAgAFwAIgBuAC8AYQBcACIALAAgADAALgAwADcALAAgADAALgAxADMALAAgADAALgAxACwAIAAwAC4AMAA2ADsAXABuACAAIAAgACAAIAAgACAAIAAgACAAXAAiAE4AVABcACIALAAgAFwAIgBBAGwAaQBjAGUAIABTAHAAcgBpAG4AZwBzAFwAIgAsACAAMAAuADAANQA4ACwAIAAwAC4AMAA5ADIALAAgADAALgAwADcANQAsACAAMAAuADAANQAzADsAXABuACAAIAAgACAAIAAgACAAIAAgACAAXAAiAE4AVABcACIALAAgAFwAIgBCAGEAcgBrAGwAeQBcACIALAAgADAALgAwADUAOAAsACAAMAAuADAAOQAyACwAIAAwAC4AMAA3ADUALAAgADAALgAwADUAMwA7AFwAbgAgACAAIAAgACAAIAAgACAAIAAgAFwAIgBOAFQAXAAiACwAIABcACIATgBvAHIAdABoAGUAcgBuAFwAIgAsACAAMAAuADAANQA4ACwAIAAwAC4AMAA5ADIALAAgADAALgAwADcANQAsACAAMAAuADAANQAzADsAXABuACAAIAAgACAAIAAgACAAIAAgACAAXAAiAFEATABEAFwAIgAsACAAXAAiAEgAaQBnAGgAXAAiACwAIAAwAC4AMAA3ADIALAAgADAALgAwADkAOQAsACAAMAAuADAANwA4ACwAIAAwAC4AMAA1ADkAOwBcAG4AIAAgACAAIAAgACAAIAAgACAAIABcACIAUQBMAEQAXAAiACwAIABcACIATQBvAGQAZQByAGEAdABlAC8ASABpAGcAaABcACIALAAgADAALgAwADcAMgAsACAAMAAuADAAOQA5ACwAIAAwAC4AMAA3ADgALAAgADAALgAwADUAOQA7AFwAbgAgACAAIAAgACAAIAAgACAAIAAgAFwAIgBRAEwARABcACIALAAgAFwAIgBNAG8AZABlAHIAYQB0AGUALwBMAG8AdwBcACIALAAgADAALgAwADcAMgAsACAAMAAuADAAOQA5ACwAIAAwAC4AMAA3ADgALAAgADAALgAwADUAOQA7AFwAbgAgACAAIAAgACAAIAAgACAAIAAgAFwAIgBRAEwARABcACIALAAgAFwAIgBMAG8AdwBcACIALAAgADAALgAwADcAMgAsACAAMAAuADAAOQA5ACwAIAAwAC4AMAA3ADgALAAgADAALgAwADUAOQA7AFwAbgAgACAAIAAgACAAIAAgACAAIAAgAFwAIgBTAEEAXAAiACwAIABcACIAbgAvAGEAXAAiACwAIAAwAC4AMQA2ACwAIAAwAC4AMAA3ACwAIAAwAC4AMAA5ACwAIAAwAC4AMgA7AFwAbgAgACAAIAAgACAAIAAgACAAIAAgAFwAIgBUAEEAUwBcACIALAAgAFwAIgBuAC8AYQBcACIALAAgADAALgAyACwAIAAwAC4AMQAsACAAMAAuADEANgAsACAAMAAuADIAOwBcAG4AIAAgACAAIAAgACAAIAAgACAAIABcACIAVgBJAEMAXAAiACwAIABcACIAbgAvAGEAXAAiACwAIAAwAC4AMgA1ACwAIAAwAC4AMAA3ACwAIAAwAC4AMQAsACAAMAAuADIAMQA7AFwAbgAgACAAIAAgACAAIAAgACAAIAAgAFwAIgBXAEEAXAAiACwAIABcACIAUwBvAHUAdABoACAAVwBlAHMAdABcACIALAAgADAALgAyACwAIAAwAC4AMAA5ACwAIAAwAC4AMAA2ACwAIAAwAC4AMgA7AFwAbgAgACAAIAAgACAAIAAgACAAIAAgAFwAIgBXAEEAXAAiACwAIABcACIAUABpAGwAYgBhAHIAYQBcACIALAAgADAALgAwADQALAAgADAALgAxADIALAAgADAALgAwADkALAAgADAALgAwADYAOwBcAG4AIAAgACAAIAAgACAAIAAgACAAIABcACIAVwBBAFwAIgAsACAAXAAiAEsAaQBtAGIAZQByAGwAZQB5AFwAIgAsACAAMAAuADAANAAsACAAMAAuADEAMgAsACAAMAAuADAAOQAsACAAMAAuADAANg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GAGUAZQBkAEEAZABqAHUAcwB0AG0AZQBuAHQAQQBuAGQATQBpAGwAawBQAHIAbwBkAHUAYwB0AGkAbwBuAFwAbgBUAGEAYgBsAGUAIABBAC4AMQAuADIALgA3ADoAIABCAGUAZQBmACAAcABhAHMAdAB1AHIAZQAgAGMAYQB0AHQAbABlACAALQAgAEYAZQBlAGQAIABpAG4AdABhAGsAZQAgAGEAZABqAHUAcwB0AG0AZQBuAHQAIABhAG4AZAAgAG0AaQBsAGsAIABwAHIAbwBkAHUAYwB0AGkAbwBuACAAKABrAGcALwBoAGUAYQBkAC8AZABhAHkAKQBcAG4ALQAtAC0ALQAtAC0ALQAtAC0ALQAtAC0ALQAtAC0ALQAtAC0ALQAtAC0ALQAtAC0ALQAtAC0ALQAtAC0ALQAtAC0ALQAtAC0ALQAtAFwAbgAqAC8AXABuAFwAbgBTAG8AdQByAGMAZQBEAGEAdABhAF8AUABhAHMAdAB1AHIAZQBCAGUAZQBmAF8ARgBlAGUAZABBAGQAagB1AHMAdABtAGUAbgB0AEEAbgBkAE0AaQBsAGsAUAByAG8AZAB1AGMAdABpAG8AbgBfAFQAaQB0AGwAZQBcAG4AIAAgAD0ATABBAE0AQgBEAEEAKABcACIAQgBlAGUAZgAgAHAAYQBzAHQAdQByAGUAIABjAGEAdAB0AGwAZQAgAC0AIABGAGUAZQBkACAAaQBuAHQAYQBrAGUAIABhAGQAagB1AHMAdABtAGUAbgB0ACAAYQBuAGQAIABtAGkAbABrACAAcAByAG8AZAB1AGMAdABpAG8AbgAgACgAawBnAC8AaABlAGEAZAAvAGQAYQB5ACkAXAAiACkAOwBcAG4AXABuAFMAbwB1AHIAYwBlAEQAYQB0AGEAXwBQAGEAcwB0AHUAcgBlAEIAZQBlAGYAXwBGAGUAZQBkAEEAZABqAHUAcwB0AG0AZQBuAHQAQQBuAGQATQBpAGwAawBQAHIAbwBkAHUAYwB0AGkAbwBuAF8AVgBhAHIAaQBhAGIAbABlAFwAbgAgACAAPQBMAEEATQBCAEQAQQAoAFwAIgBNAEMAagBrAD0AMQAsADMALAA2ADsAIABEAE0AUABqAGsAPQA1AFwAIgApADsAXABuAFwAbgBTAG8AdQByAGMAZQBEAGEAdABhAF8AUABhAHMAdAB1AHIAZQBCAGUAZQBmAF8ARgBlAGUAZABBAGQAagB1AHMAdABtAGUAbgB0AEEAbgBkAE0AaQBsAGsAUAByAG8AZAB1AGMAdABpAG8AbgBfAFUAbgBpAHQAXABuACAAIAA9AEwAQQBNAEIARABBACgAXAAiAFwAIgApADsAXABuAFwAbgBTAG8AdQByAGMAZQBEAGEAdABhAF8AUABhAHMAdAB1AHIAZQBCAGUAZQBmAF8ARgBlAGUAZABBAGQAagB1AHMAdABtAGUAbgB0AEEAbgBkAE0AaQBsAGsAUAByAG8AZAB1AGMAdABpAG8AbgBfAFMAbwB1AHIAYwBlAFwAbgAgACAAPQBMAEEATQBCAEQAQQAoAFwAIgBWAEUARQBSAEcAIAAyADAAMgA2ADoAIABUAGEAYgBsAGUAIABBAC4AMQAuADIALgA3AFwAIgApADsAXABuAFwAbgBTAG8AdQByAGMAZQBEAGEAdABhAF8AUABhAHMAdAB1AHIAZQBCAGUAZQBmAF8ARgBlAGUAZABBAGQAagB1AHMAdABtAGUAbgB0AEEAbgBkAE0AaQBsAGsAUAByAG8AZAB1AGMAdABpAG8AbgBfAFYAYQByAGkAYQB0AGkAbwBuAFwAbgAgACAAPQBMAEEATQBCAEQAQQAoAFwAIgBcACIAKQA7AFwAbgBcAG4AUwBvAHUAcgBjAGUARABhAHQAYQBfAFAAYQBzAHQAdQByAGUAQgBlAGUAZgBfAEYAZQBlAGQAQQBkAGoAdQBzAHQAbQBlAG4AdABBAG4AZABNAGkAbABrAFAAcgBvAGQAdQBjAHQAaQBvAG4AXwBEAGEAdABhAFwAbgAgACAAPQBMAEEATQBCAEQAQQAoAFwAbgAgACAAIAAgAE0AQQBLAEUAQQBSAFIAQQBZACgAOQAsACAANAAsAFwAbgAgACAAIAAgACAAIABMAEEATQBCAEQAQQAoAHIALABjACwAXABuACAAIAAgACAAIAAgACAAIABJAE4ARABFAFgAKAB7AFwAbgAgACAAIAAgACAAIAAgACAAIAAgAFwAIgBCAHIAZQBlAGQAXAAiACwAIABcACIAUwBlAGEAcwBvAG4AXAAiACwAIABcACIARgBlAGUAZAAgAGEAZABqAHUAcwB0AG0AZQBuAHQAIAAoAE0AQwBqAGsAPQAxACwAMwAsADYAKQBcACIALAAgAFwAIgBNAGkAbABrACAAaQBuAHQAYQBrAGUAIAAvACAAcAByAG8AZAB1AGMAdABpAG8AbgAgACgARABNAFAAagBrAD0ANQApAFwAIgA7AFwAbgAgACAAIAAgACAAIAAgACAAIAAgAFwAIgBIAGUAcgBlAGYAbwByAGQAIABvAHIAIABTAGgAbwByAHQAaABvAHIAbgAgAGIAcgBlAGUAZABzAFwAIgAsACAAXAAiAFMAcAByAGkAbgBnAFwAIgAsACAAMQAuADMALAAgADYAOwBcAG4AIAAgACAAIAAgACAAIAAgACAAIABcACIASABlAHIAZQBmAG8AcgBkACAAbwByACAAUwBoAG8AcgB0AGgAbwByAG4AIABiAHIAZQBlAGQAcwBcACIALAAgAFwAIgBTAHUAbQBtAGUAcgBcACIALAAgADEALgAxACwAIAA0ADsAXABuACAAIAAgACAAIAAgACAAIAAgACAAXAAiAEgAZQByAGUAZgBvAHIAZAAgAG8AcgAgAFMAaABvAHIAdABoAG8AcgBuACAAYgByAGUAZQBkAHMAXAAiACwAIABcACIAQQB1AHQAdQBtAG4AXAAiACwAIAAwACwAIAAwADsAXABuACAAIAAgACAAIAAgACAAIAAgACAAXAAiAEgAZQByAGUAZgBvAHIAZAAgAG8AcgAgAFMAaABvAHIAdABoAG8AcgBuACAAYgByAGUAZQBkAHMAXAAiACwAIABcACIAVwBpAG4AdABlAHIAXAAiACwAIAAwACwAIAAwADsAXABuACAAIAAgACAAIAAgACAAIAAgACAAXAAiAE4AbwByAHQAaABlAHIAbgAgAEIAcgBhAGgAbQBhAG4AIABjAHIAbwBzAHMAIABiAHIAZQBlAGQAXAAiACwAIABcACIAUwBwAHIAaQBuAGcAXAAiACwAIAAwACwAIAAwADsAXABuACAAIAAgACAAIAAgACAAIAAgACAAXAAiAE4AbwByAHQAaABlAHIAbgAgAEIAcgBhAGgAbQBhAG4AIABjAHIAbwBzAHMAIABiAHIAZQBlAGQAXAAiACwAIABcACIAUwB1AG0AbQBlAHIAXAAiACwAIAAxAC4AMwAsACAANAA7AFwAbgAgACAAIAAgACAAIAAgACAAIAAgAFwAIgBOAG8AcgB0AGgAZQByAG4AIABCAHIAYQBoAG0AYQBuACAAYwByAG8AcwBzACAAYgByAGUAZQBkAFwAIgAsACAAXAAiAEEAdQB0AHUAbQBuAFwAIgAsACAAMQAuADEALAAgADMAOwBcAG4AIAAgACAAIAAgACAAIAAgACAAIABcACIATgBvAHIAdABoAGUAcgBuACAAQgByAGEAaABtAGEAbgAgAGMAcgBvAHMAcwAgAGIAcgBlAGUAZABcACIALAAgAFwAIgBXAGkAbgB0AGUAcgBcACIALAAgADAALAAg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TAHQAYQBuAGQAYQByAGQAUgBlAGYAZQByAGUAbgBjAGUAVwBlAGkAZwBoAHQAcwBcAG4AVABhAGIAbABlACAAQQAuADEALgAyAC4AOAA6ACAAQgBlAGUAZgAgAHAAYQBzAHQAdQByAGUAIABjAGEAdAB0AGwAZQAgAC0AIABTAHQAYQBuAGQAYQByAGQAIAByAGUAZgBlAHIAZQBuAGMAZQAgAHcAZQBpAGcAaAB0AHMAIAAoAGsAZwApACAAKABTAFIAVwBrACkAXABuAC0ALQAtAC0ALQAtAC0ALQAtAC0ALQAtAC0ALQAtAC0ALQAtAC0ALQAtAC0ALQAtAC0ALQAtAC0ALQAtAC0ALQAtAC0ALQAtAC0ALQBcAG4AKgAvAFwAbgBcAG4AUwBvAHUAcgBjAGUARABhAHQAYQBfAFAAYQBzAHQAdQByAGUAQgBlAGUAZgBfAFMAdABhAG4AZABhAHIAZABSAGUAZgBlAHIAZQBuAGMAZQBXAGUAaQBnAGgAdABzAF8AVABpAHQAbABlAFwAbgAgACAAPQBMAEEATQBCAEQAQQAoAFwAIgBCAGUAZQBmACAAcABhAHMAdAB1AHIAZQAgAGMAYQB0AHQAbABlACAALQAgAFMAdABhAG4AZABhAHIAZAAgAHIAZQBmAGUAcgBlAG4AYwBlACAAdwBlAGkAZwBoAHQAcwAgACgAawBnACkAIAAoAFMAUgBXAGsAKQBcACIAKQA7AFwAbgBcAG4AUwBvAHUAcgBjAGUARABhAHQAYQBfAFAAYQBzAHQAdQByAGUAQgBlAGUAZgBfAFMAdABhAG4AZABhAHIAZABSAGUAZgBlAHIAZQBuAGMAZQBXAGUAaQBnAGgAdABzAF8AVgBhAHIAaQBhAGIAbABlAFwAbgAgACAAPQBMAEEATQBCAEQAQQAoAFwAIgBTAFIAVwBrAFwAIgApADsAXABuAFwAbgBTAG8AdQByAGMAZQBEAGEAdABhAF8AUABhAHMAdAB1AHIAZQBCAGUAZQBmAF8AUwB0AGEAbgBkAGEAcgBkAFIAZQBmAGUAcgBlAG4AYwBlAFcAZQBpAGcAaAB0AHMAXwBVAG4AaQB0AFwAbgAgACAAPQBMAEEATQBCAEQAQQAoAFwAIgBrAGcAXAAiACkAOwBcAG4AXABuAFMAbwB1AHIAYwBlAEQAYQB0AGEAXwBQAGEAcwB0AHUAcgBlAEIAZQBlAGYAXwBTAHQAYQBuAGQAYQByAGQAUgBlAGYAZQByAGUAbgBjAGUAVwBlAGkAZwBoAHQAcwBfAFMAbwB1AHIAYwBlAFwAbgAgACAAPQBMAEEATQBCAEQAQQAoAFwAIgBWAEUARQBSAEcAIAAyADAAMgA2ADoAIABUAGEAYgBsAGUAIABBAC4AMQAuADIALgA4AFwAIgApADsAXABuAFwAbgBTAG8AdQByAGMAZQBEAGEAdABhAF8AUABhAHMAdAB1AHIAZQBCAGUAZQBmAF8AUwB0AGEAbgBkAGEAcgBkAFIAZQBmAGUAcgBlAG4AYwBlAFcAZQBpAGcAaAB0AHMAXwBWAGEAcgBpAGEAdABpAG8AbgBcAG4AIAAgAD0ATABBAE0AQgBEAEEAKABcACIAVgBBAFIASQBBAFQASQBPAE4AIABPAE4AIABTAE8AVQBSAEMARQA6ACAAUwBwAGwAaQB0ACAAQQBDAFQAIABhAG4AZAAgAE4AUwBXACAAaQBuAHQAbwAgAHMAZQBwAGEAcgBhAHQAZQAgAHIAbwB3AHMALgAgAEEAZABkAGUAZAAgAFwAdQAwADAAMgA3AFMAdABhAHQAZQAgAGEAYgBiAHIAZQB2AGkAYQB0AGkAbwBuAFwAdQAwADAAMgA3ACAAYwBvAGwAdQBtAG4AIAB0AG8AIABhAGkAZAAgAGwAbwBvAGsAdQBwAC4AXAAiACkAOwBcAG4AXABuAFMAbwB1AHIAYwBlAEQAYQB0AGEAXwBQAGEAcwB0AHUAcgBlAEIAZQBlAGYAXwBTAHQAYQBuAGQAYQByAGQAUgBlAGYAZQByAGUAbgBjAGUAVwBlAGkAZwBoAHQAcwBfAEQAYQB0AGEAXABuACAAIAA9AEwAQQBNAEIARABBACgAXABuACAAIAAgACAATQBBAEsARQBBAFIAUgBBAFkAKAA5ACwAIAA5ACwAXABuACAAIAAgACAAIAAgAEwAQQBNAEIARABBACgAcgAsAGMALABcAG4AIAAgACAAIAAgACAAIAAgAEkATgBEAEUAWAAoAHsAXABuACAAIAAgACAAIAAgACAAIAAgACAAXAAiAFMAdABhAHQAZQBcACIALAAgAFwAIgBCAHUAbABsAHMAIABcAHUAMAAwADMAYwAxAFwAIgAsACAAXAAiAEIAdQBsAGwAcwAgAFwAdQAwADAAMwBlADEAXAAiACwAIABcACIAQwBvAHcAcwAgAFwAdQAwADAAMwBjADEAXAAiACwAIABcACIAQwBvAHcAcwAgADEALQAyAFwAIgAsACAAXAAiAEMAbwB3AHMAIABcAHUAMAAwADMAZQAyAFwAIgAsACAAXAAiAFMAdABlAGUAcgAgAFwAdQAwADAAMwBjADEAXAAiACwAIABcACIAUwB0AGUAZQByACAAXAB1ADAAMAAzAGUAMQBcACIALAAgAFwAIgBTAHQAYQB0AGUAIABhAGIAYgByAGUAdgBpAGEAdABpAG8AbgBcACIAOwBcAG4AIAAgACAAIAAgACAAIAAgACAAIABcACIAQQBDAFQAXAAiACwAIAA3ADAAMAAsACAANwAwADAALAAgADUAMAAwACwAIAA1ADAAMAAsACAANQAwADAALAAgADYAMAAwACwAIAA2ADAAMAAsACAAXAAiAEEAQwBUAFwAIgA7AFwAbgAgACAAIAAgACAAIAAgACAAIAAgAFwAIgBOAFMAVwBcACIALAAgADcAMAAwACwAIAA3ADAAMAAsACAANQAwADAALAAgADUAMAAwACwAIAA1ADAAMAAsACAANgAwADAALAAgADYAMAAwACwAIABcACIATgBTAFcAXAAiADsAXABuACAAIAAgACAAIAAgACAAIAAgACAAXAAiAE4AbwByAHQAaABlAHIAbgAgAFQAZQByAHIAaQB0AG8AcgB5AFwAIgAsACAANwA3ADAALAAgADcANwAwACwAIAA1ADUAMAAsACAANQA1ADAALAAgADUANQAwACwAIAA2ADYAMAAsACAANgA2ADAALAAgAFwAIgBOAFQAXAAiADsAXABuACAAIAAgACAAIAAgACAAIAAgACAAXAAiAFEAdQBlAGUAbgBzAGwAYQBuAGQAXAAiACwAIAA3ADcAMAAsACAANwA3ADAALAAgADUANQAwACwAIAA1ADUAMAAsACAANQA1ADAALAAgADYANgAwACwAIAA2ADYAMAAsACAAXAAiAFEATABEAFwAIgA7AFwAbgAgACAAIAAgACAAIAAgACAAIAAgAFwAIgBTAG8AdQB0AGgAIABBAHUAcwB0AHIAYQBsAGkAYQBcACIALAAgADcANwAwACwAIAA3ADcAMAAsACAANQA1ADAALAAgADUANQAwACwAIAA1ADUAMAAsACAANgA2ADAALAAgADYANgAwACwAIABcACIAUwBBAFwAIgA7AFwAbgAgACAAIAAgACAAIAAgACAAIAAgAFwAIgBUAGEAcwBtAGEAbgBpAGEAXAAiACwAIAA3ADcAMAAsACAANwA3ADAALAAgADUANQAwACwAIAA1ADUAMAAsACAANQA1ADAALAAgADYANgAwACwAIAA2ADYAMAAsACAAXAAiAFQAQQBTAFwAIgA7AFwAbgAgACAAIAAgACAAIAAgACAAIAAgAFwAIgBWAGkAYwB0AG8AcgBpAGEAXAAiACwAIAA3ADcAMAAsACAANwA3ADAALAAgADUANQAwACwAIAA1ADUAMAAsACAANQA1ADAALAAgADYANgAwACwAIAA2ADYAMAAsACAAXAAiAFYASQBDAFwAIgA7AFwAbgAgACAAIAAgACAAIAAgACAAIAAgAFwAIgBXAGUAcwB0AGUAcgBuACAAQQB1AHMAdAByAGEAbABpAGEAXAAiACwAIAA3ADcAMAAsACAANwA3ADAALAAgADUANQAwACwAIAA1ADUAMAAsACAANQA1ADAALAAgADYANgAwACwAIAA2ADYAMA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GAHIAYQBjAHQAaQBvAG4ATwBmAE0AYQBuAHUAcgBlAFQAbwBNAE0AUwBcAG4AVABhAGIAbABlACAAQQAuADEALgAyAC4AOQA6ACAAQgBlAGUAZgAgAHAAYQBzAHQAdQByAGUAIABjAGEAdAB0AGwAZQAgAC0AIABGAHIAYQBjAHQAaQBvAG4AIABvAGYAIABtAGEAbgB1AHIAZQAgAHQAbwAgAGUAYQBjAGgAIABtAGEAbgB1AHIAZQAgAG0AYQBuAGEAZwBlAG0AZQBuAHQAIABzAHkAcwB0AGUAbQAgACgAZgByAGEAYwB0AGkAbwBuACkAIAAoAE0ATQBTAG0AKQBcAG4ALQAtAC0ALQAtAC0ALQAtAC0ALQAtAC0ALQAtAC0ALQAtAC0ALQAtAC0ALQAtAC0ALQAtAC0ALQAtAC0ALQAtAC0ALQAtAC0ALQAtAFwAbgAqAC8AXABuAFwAbgBTAG8AdQByAGMAZQBEAGEAdABhAF8AUABhAHMAdAB1AHIAZQBCAGUAZQBmAF8ARgByAGEAYwB0AGkAbwBuAE8AZgBNAGEAbgB1AHIAZQBUAG8ATQBNAFMAXwBUAGkAdABsAGUAXABuACAAIAA9AEwAQQBNAEIARABBACgAXAAiAEIAZQBlAGYAIABwAGEAcwB0AHUAcgBlACAAYwBhAHQAdABsAGUAIAAtACAARgByAGEAYwB0AGkAbwBuACAAbwBmACAAbQBhAG4AdQByAGUAIAB0AG8AIABlAGEAYwBoACAAbQBhAG4AdQByAGUAIABtAGEAbgBhAGcAZQBtAGUAbgB0ACAAcwB5AHMAdABlAG0AIAAoAGYAcgBhAGMAdABpAG8AbgApACAAKABNAE0AUwBtACkAXAAiACkAOwBcAG4AXABuAFMAbwB1AHIAYwBlAEQAYQB0AGEAXwBQAGEAcwB0AHUAcgBlAEIAZQBlAGYAXwBGAHIAYQBjAHQAaQBvAG4ATwBmAE0AYQBuAHUAcgBlAFQAbwBNAE0AUwBfAFYAYQByAGkAYQBiAGwAZQBcAG4AIAAgAD0ATABBAE0AQgBEAEEAKABcACIATQBNAFMAbQBcACIAKQA7AFwAbgBcAG4AUwBvAHUAcgBjAGUARABhAHQAYQBfAFAAYQBzAHQAdQByAGUAQgBlAGUAZgBfAEYAcgBhAGMAdABpAG8AbgBPAGYATQBhAG4AdQByAGUAVABvAE0ATQBTAF8AVQBuAGkAdABcAG4AIAAgAD0ATABBAE0AQgBEAEEAKABcACIAZgByAGEAYwB0AGkAbwBuAFwAIgApADsAXABuAFwAbgBTAG8AdQByAGMAZQBEAGEAdABhAF8AUABhAHMAdAB1AHIAZQBCAGUAZQBmAF8ARgByAGEAYwB0AGkAbwBuAE8AZgBNAGEAbgB1AHIAZQBUAG8ATQBNAFMAXwBTAG8AdQByAGMAZQBcAG4AIAAgAD0ATABBAE0AQgBEAEEAKABcACIAVgBFAEUAUgBHACAAMgAwADIANgA6ACAAVABhAGIAbABlACAAQQAuADEALgAyAC4AOQBcACIAKQA7AFwAbgBcAG4AUwBvAHUAcgBjAGUARABhAHQAYQBfAFAAYQBzAHQAdQByAGUAQgBlAGUAZgBfAEYAcgBhAGMAdABpAG8AbgBPAGYATQBhAG4AdQByAGUAVABvAE0ATQBT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GAHIAYQBjAHQAaQBvAG4ATwBmAE0AYQBuAHUAcgBlAFQAbwBNAE0AUw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kAOQAuADEAOQAyACwAIAAwAC4AOAAwADgAOwBcAG4AIAAgACAAIAAgACAAIAAgACAAIABcACIATgBTAFcAXAAiACwAIABcACIAbgAvAGEAXAAiACwAIAA5ADkALgA0ADUAMgAsACAAMAAuADUANAA4ADsAXABuACAAIAAgACAAIAAgACAAIAAgACAAXAAiAFMAQQBcACIALAAgAFwAIgBuAC8AYQBcACIALAAgADkAOQAuADcANQA5ACwAIAAwAC4AMgA0ADEAOwBcAG4AIAAgACAAIAAgACAAIAAgACAAIABcACIAVABBAFMAXAAiACwAIABcACIAbgAvAGEAXAAiACwAIAA5ADkALgAxADIAMgAsACAAMAAuADgANwA4ADsAXABuACAAIAAgACAAIAAgACAAIAAgACAAXAAiAFYASQBDAFwAIgAsACAAXAAiAG4ALwBhAFwAIgAsACAAOQA4AC4AOAA5ADQALAAgADEALgAxADAANgA7AFwAbgAgACAAIAAgACAAIAAgACAAIAAgAFwAIgBXAEEAXAAiACwAIABcACIAUwBvAHUAdABoACAAVwBlAHMAdABcACIALAAgADkAOQAuADYAMgAyACwAIAAwAC4AMwA3ADgAOwBcAG4AIAAgACAAIAAgACAAIAAgACAAIABcACIAVwBBAFwAIgAsACAAXAAiAFAAaQBsAGIAYQByAGEAXAAiACwAIAA5ADkALgA5ADkAOQAsACAAMAAuADAAMAAxADsAXABuACAAIAAgACAAIAAgACAAIAAgACAAXAAiAFcAQQBcACIALAAgAFwAIgBLAGkAbQBiAGUAcgBsAGUAeQBcACIALAAgADkAOQAuADkAOQA5ACwAIAAwAC4AMAAwADEAOwBcAG4AIAAgACAAIAAgACAAIAAgACAAIABcACIATgBUAFwAIgAsACAAXAAiAEEAbABpAGMAZQAgAFMAcAByAGkAbgBnAHMAXAAiACwAIAA5ADkALgA5ADkAOQAsACAAMAAuADAAMAAxADsAXABuACAAIAAgACAAIAAgACAAIAAgACAAXAAiAE4AVABcACIALAAgAFwAIgBCAGEAcgBrAGwAeQBcACIALAAgADkAOQAuADkAOQA0ACwAIAAwAC4AMAAwADYAOwBcAG4AIAAgACAAIAAgACAAIAAgACAAIABcACIATgBUAFwAIgAsACAAXAAiAE4AbwByAHQAaABlAHIAbgBcACIALAAgADkAOQAuADkAOQA5ACwAIAAwAC4AMAAwADEAOwBcAG4AIAAgACAAIAAgACAAIAAgACAAIABcACIAUQBMAEQAXAAiACwAIABcACIASABpAGcAaABcACIALAAgADkAOQAuADcANwAzACwAIAAwAC4AMgAyADcAOwBcAG4AIAAgACAAIAAgACAAIAAgACAAIABcACIAUQBMAEQAXAAiACwAIABcACIATQBvAGQAZQByAGEAdABlAC8ASABpAGcAaABcACIALAAgADkAOQAuADgAOQA4ACwAIAAwAC4AMQAwADIAOwBcAG4AIAAgACAAIAAgACAAIAAgACAAIABcACIAUQBMAEQAXAAiACwAIABcACIATQBvAGQAZQByAGEAdABlAC8ATABvAHcAXAAiACwAIAA5ADkALgA5ADcAOQAsACAAMAAuADAAMgAxADsAXABuACAAIAAgACAAIAAgACAAIAAgACAAXAAiAFEATABEAFwAIgAsACAAXAAiAEwAbwB3AFwAIgAsACAAOQA5AC4AOQA3ADcALAAgADAALgAwADIAMw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0AZQB0AGgAYQBuAGUAQwBvAG4AdgBlAHIAcwBpAG8AbgBGAGEAYwB0AG8AcgBQAGUAcgBSAGUAZwBpAG8AbgBcAG4AVABhAGIAbABlACAAQQAuADEALgAyAC4AMQAwADoAIABCAGUAZQBmACAAcABhAHMAdAB1AHIAZQAgAGMAYQB0AHQAbABlACAALQAgAE0AZQB0AGgAYQBuAGUAIABjAG8AbgB2AGUAcgBzAGkAbwBuACAAZgBhAGMAdABvAHIAIABwAGUAcgAgAHIAZQBnAGkAbwBuACAAKABmAHIAYQBjAHQAaQBvAG4AKQAgACgATQBDAEYAaQBtACkAXABuAC0ALQAtAC0ALQAtAC0ALQAtAC0ALQAtAC0ALQAtAC0ALQAtAC0ALQAtAC0ALQAtAC0ALQAtAC0ALQAtAC0ALQAtAC0ALQAtAC0ALQBcAG4AKgAvAFwAbgBcAG4AUwBvAHUAcgBjAGUARABhAHQAYQBfAFAAYQBzAHQAdQByAGUAQgBlAGUAZgBfAE0AZQB0AGgAYQBuAGUAQwBvAG4AdgBlAHIAcwBpAG8AbgBGAGEAYwB0AG8AcgBQAGUAcgBSAGUAZwBpAG8AbgBfAFQAaQB0AGwAZQBcAG4AIAAgAD0ATABBAE0AQgBEAEEAKABcACIAQgBlAGUAZgAgAHAAYQBzAHQAdQByAGUAIABjAGEAdAB0AGwAZQAgAC0AIABNAGUAdABoAGEAbgBlACAAYwBvAG4AdgBlAHIAcwBpAG8AbgAgAGYAYQBjAHQAbwByACAAcABlAHIAIAByAGUAZwBpAG8AbgAgACgAZgByAGEAYwB0AGkAbwBuACkAIAAoAE0AQwBGAGkAbQApAFwAIgApADsAXABuAFwAbgBTAG8AdQByAGMAZQBEAGEAdABhAF8AUABhAHMAdAB1AHIAZQBCAGUAZQBmAF8ATQBlAHQAaABhAG4AZQBDAG8AbgB2AGUAcgBzAGkAbwBuAEYAYQBjAHQAbwByAFAAZQByAFIAZQBnAGkAbwBuAF8AVgBhAHIAaQBhAGIAbABlAFwAbgAgACAAPQBMAEEATQBCAEQAQQAoAFwAIgBNAEMARgBpAG0AXAAiACkAOwBcAG4AXABuAFMAbwB1AHIAYwBlAEQAYQB0AGEAXwBQAGEAcwB0AHUAcgBlAEIAZQBlAGYAXwBNAGUAdABoAGEAbgBlAEMAbwBuAHYAZQByAHMAaQBvAG4ARgBhAGMAdABvAHIAUABlAHIAUgBlAGcAaQBvAG4AXwBVAG4AaQB0AFwAbgAgACAAPQBMAEEATQBCAEQAQQAoAFwAIgBmAHIAYQBjAHQAaQBvAG4AXAAiACkAOwBcAG4AXABuAFMAbwB1AHIAYwBlAEQAYQB0AGEAXwBQAGEAcwB0AHUAcgBlAEIAZQBlAGYAXwBNAGUAdABoAGEAbgBlAEMAbwBuAHYAZQByAHMAaQBvAG4ARgBhAGMAdABvAHIAUABlAHIAUgBlAGcAaQBvAG4AXwBTAG8AdQByAGMAZQBcAG4AIAAgAD0ATABBAE0AQgBEAEEAKABcACIAVgBFAEUAUgBHACAAMgAwADIANgA6ACAAVABhAGIAbABlACAAQQAuADEALgAyAC4AMQAwAFwAIgApADsAXABuAFwAbgBTAG8AdQByAGMAZQBEAGEAdABhAF8AUABhAHMAdAB1AHIAZQBCAGUAZQBmAF8ATQBlAHQAaABhAG4AZQBDAG8AbgB2AGUAcgBzAGkAbwBuAEYAYQBjAHQAbwByAFAAZQByAFIAZQBnAGkAbwBu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NAGUAdABoAGEAbgBlAEMAbwBuAHYAZQByAHMAaQBvAG4ARgBhAGMAdABvAHIAUABlAHIAUgBlAGcAaQBvAG4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wAC4AMAAwADQANwAsACAAMAAuADcAMQA7AFwAbgAgACAAIAAgACAAIAAgACAAIAAgAFwAIgBOAFMAVwBcACIALAAgAFwAIgBuAC8AYQBcACIALAAgADAALgAwADAANAA3ACwAIAAwAC4ANwA1ADsAXABuACAAIAAgACAAIAAgACAAIAAgACAAXAAiAFMAQQBcACIALAAgAFwAIgBuAC8AYQBcACIALAAgADAALgAwADAANAA3ACwAIAAwAC4ANwA0ADsAXABuACAAIAAgACAAIAAgACAAIAAgACAAXAAiAFQAQQBTAFwAIgAsACAAXAAiAG4ALwBhAFwAIgAsACAAMAAuADAAMAA0ADcALAAgADAALgA3ADsAXABuACAAIAAgACAAIAAgACAAIAAgACAAXAAiAFYASQBDAFwAIgAsACAAXAAiAG4ALwBhAFwAIgAsACAAMAAuADAAMAA0ADcALAAgADAALgA3ADQAOwBcAG4AIAAgACAAIAAgACAAIAAgACAAIABcACIAVwBBAFwAIgAsACAAXAAiAFMAbwB1AHQAaAAgAFcAZQBzAHQAXAAiACwAIAAwAC4AMAAwADQANwAsACAAMAAuADcANgA7AFwAbgAgACAAIAAgACAAIAAgACAAIAAgAFwAIgBXAEEAXAAiACwAIABcACIAUABpAGwAYgBhAHIAYQBcACIALAAgADAALgAwADAANAA3ACwAIAAwAC4ANwA2ADsAXABuACAAIAAgACAAIAAgACAAIAAgACAAXAAiAFcAQQBcACIALAAgAFwAIgBLAGkAbQBiAGUAcgBsAGUAeQBcACIALAAgADAALgAwADAANAA3ACwAIAAwAC4ANwA2ADsAXABuACAAIAAgACAAIAAgACAAIAAgACAAXAAiAE4AVABcACIALAAgAFwAIgBBAGwAaQBjAGUAIABTAHAAcgBpAG4AZwBzAFwAIgAsACAAMAAuADAAMAA0ADcALAAgADAALgA4ADsAXABuACAAIAAgACAAIAAgACAAIAAgACAAXAAiAE4AVABcACIALAAgAFwAIgBCAGEAcgBrAGwAeQBcACIALAAgADAALgAwADAANAA3ACwAIAAwAC4AOAA7AFwAbgAgACAAIAAgACAAIAAgACAAIAAgAFwAIgBOAFQAXAAiACwAIABcACIATgBvAHIAdABoAGUAcgBuAFwAIgAsACAAMAAuADAAMAA0ADcALAAgADAALgA4ADsAXABuACAAIAAgACAAIAAgACAAIAAgACAAXAAiAFEATABEAFwAIgAsACAAXAAiAEgAaQBnAGgAXAAiACwAIAAwAC4AMAAwADQANwAsACAAMAAuADcAOAA7AFwAbgAgACAAIAAgACAAIAAgACAAIAAgAFwAIgBRAEwARABcACIALAAgAFwAIgBNAG8AZABlAHIAYQB0AGUALwBIAGkAZwBoAFwAIgAsACAAMAAuADAAMAA0ADcALAAgADAALgA3ADgAOwBcAG4AIAAgACAAIAAgACAAIAAgACAAIABcACIAUQBMAEQAXAAiACwAIABcACIATQBvAGQAZQByAGEAdABlAC8ATABvAHcAXAAiACwAIAAwAC4AMAAwADQANwAsACAAMAAuADcAOAA7AFwAbgAgACAAIAAgACAAIAAgACAAIAAgAFwAIgBRAEwARABcACIALAAgAFwAIgBMAG8AdwBcACIALAAgADAALgAwADAANAA3ACwAIAAwAC4ANwA4AFwAbgAgACAAIAAgACAAIAAgACAAfQAsACAAcgAsACAAYwApAFwAbgAgACAAIAAgACAAIAApAFwAbgAgACAAIAAgACkAXABuACAAIAApADsAXABuAFwAbgBcAG4AXABuAC8AKgAgAFwAbgAtAC0ALQAtAC0ALQAtAC0ALQAtAC0ALQAtAC0ALQAtAC0ALQAtAC0ALQAtAC0ALQAtAC0ALQAtAC0ALQAtAC0ALQAtAC0ALQAtAC0AXABuAFMAbwB1AHIAYwBlAEQAYQB0AGEAXwBQAGEAcwB0AHUAcgBlAEIAZQBlAGYAXwBBAHMAaABDAG8AbgB0AGUAbgB0AE8AZgBGAGUAZQBkAEkAbgB0AGEAawBlAFwAbgBWAEUARQBSAEcAIAAyADAAMgA2ADoAIAA0AC4AMgAuADIALgAzACAAQwBPAE4AUwBUAEEATgBUAFMAXABuAC0ALQAtAC0ALQAtAC0ALQAtAC0ALQAtAC0ALQAtAC0ALQAtAC0ALQAtAC0ALQAtAC0ALQAtAC0ALQAtAC0ALQAtAC0ALQAtAC0ALQBcAG4AKgAvAFwAbgBcAG4AUwBvAHUAcgBjAGUARABhAHQAYQBfAFAAYQBzAHQAdQByAGUAQgBlAGUAZgBfAEEAcwBoAEMAbwBuAHQAZQBuAHQATwBmAEYAZQBlAGQASQBuAHQAYQBrAGUAXwBUAGkAdABsAGUAXABuACAAIAA9AEwAQQBNAEIARABBACgAXAAiAEEAcwBoACAAYwBvAG4AdABlAG4AdAAgAG8AZgAgAGYAZQBlAGQAIABpAG4AdABhAGsAZQBcACIAKQA7AFwAbgBcAG4AUwBvAHUAcgBjAGUARABhAHQAYQBfAFAAYQBzAHQAdQByAGUAQgBlAGUAZgBfAEEAcwBoAEMAbwBuAHQAZQBuAHQATwBmAEYAZQBlAGQASQBuAHQAYQBrAGUAXwBWAGEAcgBpAGEAYgBsAGUAXABuACAAIAA9AEwAQQBNAEIARABBACgAXAAiAEEAXAAiACkAOwBcAG4AXABuAFMAbwB1AHIAYwBlAEQAYQB0AGEAXwBQAGEAcwB0AHUAcgBlAEIAZQBlAGYAXwBBAHMAaABDAG8AbgB0AGUAbgB0AE8AZgBGAGUAZQBkAEkAbgB0AGEAawBlAF8AVQBuAGkAdABcAG4AIAAgAD0ATABBAE0AQgBEAEEAKABcACIAZgByAGEAYwB0AGkAbwBuAFwAIgApADsAXABuAFwAbgBTAG8AdQByAGMAZQBEAGEAdABhAF8AUABhAHMAdAB1AHIAZQBCAGUAZQBmAF8AQQBzAGgAQwBvAG4AdABlAG4AdABPAGYARgBlAGUAZABJAG4AdABhAGsAZQBfAFMAbwB1AHIAYwBlAFwAbgAgACAAPQBMAEEATQBCAEQAQQAoAFwAIgBWAEUARQBSAEcAIAAyADAAMgA2ADoAIAA0AC4AMgAuADIALgAzACAAQwBPAE4AUwBUAEEATgBUAFMAXAAiACkAOwBcAG4AXABuAFMAbwB1AHIAYwBlAEQAYQB0AGEAXwBQAGEAcwB0AHUAcgBlAEIAZQBlAGYAXwBBAHMAaABDAG8AbgB0AGUAbgB0AE8AZgBGAGUAZQBkAEkAbgB0AGEAawBlAF8AVgBhAHIAaQBhAHQAaQBvAG4AXABuACAAIAA9AEwAQQBNAEIARABBACgAXAAiAFwAIgApADsAXABuAFwAbgBTAG8AdQByAGMAZQBEAGEAdABhAF8AUABhAHMAdAB1AHIAZQBCAGUAZQBmAF8AQQBzAGgAQwBvAG4AdABlAG4AdABPAGYARgBlAGUAZABJAG4AdABhAGsAZQBfAEQAYQB0AGEAXABuACAAIAA9AEwAQQBNAEIARABBACgAMAAuADAAOAApADsAXABuAFwAbgAvACoAIABcAG4ALQAtAC0ALQAtAC0ALQAtAC0ALQAtAC0ALQAtAC0ALQAtAC0ALQAtAC0ALQAtAC0ALQAtAC0ALQAtAC0ALQAtAC0ALQAtAC0ALQAtAFwAbgBTAG8AdQByAGMAZQBEAGEAdABhAF8AUABhAHMAdAB1AHIAZQBCAGUAZQBm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UABhAHMAdAB1AHIAZQBCAGUAZQBmAF8ATQBlAHQAaABhAG4AZQBFAG0AaQBzAHMAaQBvAG4AcwBQAG8AdABlAG4AdABpAGEAbABfAFQAaQB0AGwAZQBcAG4AIAAgAD0ATABBAE0AQgBEAEEAKABcACIATQBlAHQAaABhAG4AZQAgAGUAbQBpAHMAcwBpAG8AbgBzACAAcABvAHQAZQBuAHQAaQBhAGwAXAAiACkAOwBcAG4AXABuAFMAbwB1AHIAYwBlAEQAYQB0AGEAXwBQAGEAcwB0AHUAcgBlAEIAZQBlAGYAXwBNAGUAdABoAGEAbgBlAEUAbQBpAHMAcwBpAG8AbgBzAFAAbwB0AGUAbgB0AGkAYQBsAF8AVgBhAHIAaQBhAGIAbABlAFwAbgAgACAAPQBMAEEATQBCAEQAQQAoAFwAIgBCADAAXAAiACkAOwBcAG4AXABuAFMAbwB1AHIAYwBlAEQAYQB0AGEAXwBQAGEAcwB0AHUAcgBlAEIAZQBlAGYAXwBNAGUAdABoAGEAbgBlAEUAbQBpAHMAcwBpAG8AbgBzAFAAbwB0AGUAbgB0AGkAYQBsAF8AVQBuAGkAdABcAG4AIAAgAD0ATABBAE0AQgBEAEEAKABcACIAbQAzACAAQwBIADQAIAAvACAAawBnACAAVgBTAFwAIgApADsAXABuAFwAbgBTAG8AdQByAGMAZQBEAGEAdABhAF8AUABhAHMAdAB1AHIAZQBCAGUAZQBmAF8ATQBlAHQAaABhAG4AZQBFAG0AaQBzAHMAaQBvAG4AcwBQAG8AdABlAG4AdABpAGEAbABfAFMAbwB1AHIAYwBlAFwAbgAgACAAPQBMAEEATQBCAEQAQQAoAFwAIgBWAEUARQBSAEcAIAAyADAAMgA2ADoAIAA0AC4AMgAuADIALgAzACAAQwBPAE4AUwBUAEEATgBUAFMAXAAiACkAOwBcAG4AXABuAFMAbwB1AHIAYwBlAEQAYQB0AGEAXwBQAGEAcwB0AHUAcgBlAEIAZQBlAGYAXwBNAGUAdABoAGEAbgBlAEUAbQBpAHMAcwBpAG8AbgBzAFAAbwB0AGUAbgB0AGkAYQBsAF8AVgBhAHIAaQBhAHQAaQBvAG4AXABuACAAIAA9AEwAQQBNAEIARABBACgAXAAiAFwAIgApADsAXABuAFwAbgBTAG8AdQByAGMAZQBEAGEAdABhAF8AUABhAHMAdAB1AHIAZQBCAGUAZQBmAF8ATQBlAHQAaABhAG4AZQBFAG0AaQBzAHMAaQBvAG4AcwBQAG8AdABlAG4AdABpAGEAbABfAEQAYQB0AGEAXABuACAAIAA9AEwAQQBNAEIARABBACgAMAAuADEAOQApADsAXABuAFwAbgAvACoAIABcAG4ALQAtAC0ALQAtAC0ALQAtAC0ALQAtAC0ALQAtAC0ALQAtAC0ALQAtAC0ALQAtAC0ALQAtAC0ALQAtAC0ALQAtAC0ALQAtAC0ALQAtAFwAbgBTAG8AdQByAGMAZQBEAGEAdABhAF8AUABhAHMAdAB1AHIAZQBCAGUAZQBmAF8ARgByAGEAYwBHAEEAUwBNAFMAbwBpAGwAXABuAEYAcgBhAGMAdABpAG8AbgAgAG8AZgAgAG4AaQB0AHIAbwBnAGUAbgAgAHYAbwBsAGEAdABpAGwAaQBzAGUAZAAgAGYAcgBvAG0AIAB1AHIAaQBuAGUAIABhAG4AZAAgAGYAYQBlAGMAZQBzACAAZABlAHAAbwBzAGkAdABlAGQAIABvAG4AIABwAGEAcwB0AHUAcgBlAFwAbgAtAC0ALQAtAC0ALQAtAC0ALQAtAC0ALQAtAC0ALQAtAC0ALQAtAC0ALQAtAC0ALQAtAC0ALQAtAC0ALQAtAC0ALQAtAC0ALQAtAC0AXABuACoALwBcAG4AXABuAFMAbwB1AHIAYwBlAEQAYQB0AGEAXwBQAGEAcwB0AHUAcgBlAEIAZQBlAGYAXwBGAHIAYQBjAEcAQQBTAE0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EAcwB0AHUAcgBlAEIAZQBlAGYAXwBGAHIAYQBjAEcAQQBTAE0AUwBvAGkAbABfAFYAYQByAGkAYQBiAGwAZQBcAG4AIAAgAD0ATABBAE0AQgBEAEEAKABcACIARgByAGEAYwBHAEEAUwBNAFMAbwBpAGwAXAAiACkAOwBcAG4AXABuAFMAbwB1AHIAYwBlAEQAYQB0AGEAXwBQAGEAcwB0AHUAcgBlAEIAZQBlAGYAXwBGAHIAYQBjAEcAQQBTAE0AUwBvAGkAbABfAFUAbgBpAHQAXABuACAAIAA9AEwAQQBNAEIARABBACgAXAAiAGYAcgBhAGMAdABpAG8AbgBcACIAKQA7AFwAbgBcAG4AUwBvAHUAcgBjAGUARABhAHQAYQBfAFAAYQBzAHQAdQByAGUAQgBlAGUAZgBfAEYAcgBhAGMARwBBAFMATQBTAG8AaQBsAF8AUwBvAHUAcgBjAGUAXABuACAAIAA9AEwAQQBNAEIARABBACgAXAAiAFYARQBFAFIARwAgADIAMAAyADYAOgAgADQALgAyAC4AMgAuADMAIABDAE8ATgBTAFQAQQBOAFQAUwBcACIAKQA7AFwAbgBcAG4AUwBvAHUAcgBjAGUARABhAHQAYQBfAFAAYQBzAHQAdQByAGUAQgBlAGUAZgBfAEYAcgBhAGMARwBBAFMATQBTAG8AaQBsAF8AVgBhAHIAaQBhAHQAaQBvAG4AXABuACAAIAA9AEwAQQBNAEIARABBACgAXAAiAFwAIgApADsAXABuAFwAbgBTAG8AdQByAGMAZQBEAGEAdABhAF8AUABhAHMAdAB1AHIAZQBCAGUAZQBmAF8ARgByAGEAYwBHAEEAUwBNAFMAbwBpAGwAXwBEAGEAdABhAFwAbgAgACAAPQBMAEEATQBCAEQAQQAoADAALgAyADEAKQA7AFwAbgBcAG4ALwAqACAAXABuAC0ALQAtAC0ALQAtAC0ALQAtAC0ALQAtAC0ALQAtAC0ALQAtAC0ALQAtAC0ALQAtAC0ALQAtAC0ALQAtAC0ALQAtAC0ALQAtAC0ALQBcAG4AUwBvAHUAcgBjAGUARABhAHQAYQBfAFAAYQBzAHQAdQByAGUAQgBlAGUAZgBfAEYAcgBhAGMATABFAEEAQwBIAFwAbgBEAGUAZgBhAHUAbAB0ACAAZgByAGEAYwB0AGkAbwBuACAAbwBmACAATgAgAHQAaABhAHQAIABpAHMAIABsAG8AcwB0ACAAdABoAHIAbwB1AGcAaAAgAGwAZQBhAGMAaABpAG4AZwAgAGEAbgBkACAAcgB1AG4AbwBmAGYAXABuAC0ALQAtAC0ALQAtAC0ALQAtAC0ALQAtAC0ALQAtAC0ALQAtAC0ALQAtAC0ALQAtAC0ALQAtAC0ALQAtAC0ALQAtAC0ALQAtAC0ALQBcAG4AKgAvAFwAbgBcAG4AUwBvAHUAcgBjAGUARABhAHQAYQBfAFAAYQBzAHQAdQByAGUAQgBlAGUAZgBfAEYAcgBhAGMATABFAEEAQwBIAF8AVABpAHQAbABlAFwAbgAgACAAPQBMAEEATQBCAEQAQQAoAFwAIgBEAGUAZgBhAHUAbAB0ACAAZgByAGEAYwB0AGkAbwBuACAAbwBmACAATgAgAHQAaABhAHQAIABpAHMAIABsAG8AcwB0ACAAdABoAHIAbwB1AGcAaAAgAGwAZQBhAGMAaABpAG4AZwAgAGEAbgBkACAAcgB1AG4AbwBmAGYAXAAiACkAOwBcAG4AXABuAFMAbwB1AHIAYwBlAEQAYQB0AGEAXwBQAGEAcwB0AHUAcgBlAEIAZQBlAGYAXwBGAHIAYQBjAEwARQBBAEMASABfAFYAYQByAGkAYQBiAGwAZQBcAG4AIAAgAD0ATABBAE0AQgBEAEEAKABcACIARgByAGEAYwBMAEUAQQBDAEgAXAAiACkAOwBcAG4AXABuAFMAbwB1AHIAYwBlAEQAYQB0AGEAXwBQAGEAcwB0AHUAcgBlAEIAZQBlAGYAXwBGAHIAYQBjAEwARQBBAEMASABfAFUAbgBpAHQAXABuACAAIAA9AEwAQQBNAEIARABBACgAXAAiAGYAcgBhAGMAdABpAG8AbgBcACIAKQA7AFwAbgBcAG4AUwBvAHUAcgBjAGUARABhAHQAYQBfAFAAYQBzAHQAdQByAGUAQgBlAGUAZgBfAEYAcgBhAGMATABFAEEAQwBIAF8AUwBvAHUAcgBjAGUAXABuACAAIAA9AEwAQQBNAEIARABBACgAXAAiAFYARQBFAFIARwAgADIAMAAyADYAOgAgADQALgAyAC4AMgAuADMAIABDAE8ATgBTAFQAQQBOAFQAUwBcACIAKQA7AFwAbgBcAG4AUwBvAHUAcgBjAGUARABhAHQAYQBfAFAAYQBzAHQAdQByAGUAQgBlAGUAZgBfAEYAcgBhAGMATABFAEEAQwBIAF8AVgBhAHIAaQBhAHQAaQBvAG4AXABuACAAIAA9AEwAQQBNAEIARABBACgAXAAiAFwAIgApADsAXABuAFwAbgBTAG8AdQByAGMAZQBEAGEAdABhAF8AUABhAHMAdAB1AHIAZQBCAGUAZQBmAF8ARgByAGEAYwBMAEUAQQBDAEgAXwBEAGEAdABhAFwAbgAgACAAPQBMAEEATQBCAEQAQQAoADAALgAyADQAKQA7ACIAfQAsAHsAIgBwAGEAdABoACIAOgAiAC8AcAByAG8AagBlAGMAdABzAC8AUwBjAG8AcABlADMAXwBJAG4AcAB1AHQARgB1AG4AYwB0AGkAbwBuAHMAIgAsACIAdABlAHgAdAAiADoAIgBcAG4ARwBlAHQATABpAHYAZQB3AGUAaQBnAGgAdABfAFAAYQBzAHQAdQByAGUAQgBlAGUAZgBcAG4APQBMAEEATQBCAEQAQQAoAFwAbgAgACAAUAB1AHIAYwBoAGEAcwBlAEQAYQB0AGUALAAgAEwAaQB2AGUAcwB0AG8AYwBrAEMAbABhAHMAcwAsACAAUwBvAHUAcgBjAGUAUgBlAGcAaQBvAG4ALABcAG4AIAAgAFMAbwB1AHIAYwBlAFIAZQBnAGkAbwBuAEwAZQBmAHQAQQByAHIAYQB5ACwAIABTAG8AdQByAGMAZQBSAGUAZwBpAG8AbgBSAGkAZwBoAHQAQQByAHIAYQB5ACwAIABTAGUAYQBzAG8AbgBBAHIAcgBhAHkALAAgAEwAaQB2AGUAcwB0AG8AYwBrAEMAbABhAHMAcwBBAHIAcgBhAHkALAAgAEwAaQB2AGUAdwBlAGkAZwBoAHQAQQByAHIAYQB5ACwAXABuACAAIABMAEUAVAAoAFwAbgAgACAAIAAgAFMAZQBhAHMAbwBuACwAIABJAEYAUwAoAFwAbgAgACAAIAAgACAAIABNAE8ATgBUAEgAKABQAHUAcgBjAGgAYQBzAGUARABhAHQAZQApACAAXAB1ADAAMAAzAGMAPQAgADIALAAgACAAXAAiAFMAdQBtAG0AZQByAFwAIgAsAFwAbgAgACAAIAAgACAAIABNAE8ATgBUAEgAKABQAHUAcgBjAGgAYQBzAGUARABhAHQAZQApACAAXAB1ADAAMAAzAGMAPQAgADUALAAgACAAXAAiAEEAdQB0AHUAbQBuAFwAIgAsAFwAbgAgACAAIAAgACAAIABNAE8ATgBUAEgAKABQAHUAcgBjAGgAYQBzAGUARABhAHQAZQApACAAXAB1ADAAMAAzAGMAPQAgADgALAAgACAAXAAiAFcAaQBuAHQAZQByAFwAIgAsAFwAbgAgACAAIAAgACAAIABNAE8ATgBUAEgAKABQAHUAcgBjAGgAYQBzAGUARABhAHQAZQApACAAXAB1ADAAMAAzAGMAPQAgADEAMQAsACAAXAAiAFMAcAByAGkAbgBnAFwAIgAsAFwAbgAgACAAIAAgACAAIABNAE8ATgBUAEgAKABQAHUAcgBjAGgAYQBzAGUARABhAHQAZQApACAAPQAgADEAMgAsACAAIABcACIAUwB1AG0AbQBlAHIAXAAiAFwAbgAgACAAIAAgACkALABcAG4AIAAgACAAIABTAG8AdQByAGMAZQBSAGUAZwBpAG8AbgBSAGkAZwBoAHQALAAgAEkARgAoAEkAUwBOAFUATQBCAEUAUgAoAEYASQBOAEQAKABcACIAIAAtACAAXAAiACwAIABTAG8AdQByAGMAZQBSAGUAZwBpAG8AbgApACkALAAgAE0ASQBEACgAUwBvAHUAcgBjAGUAUgBlAGcAaQBvAG4ALAAgAEYASQBOAEQAKABcACIAIAAtACAAXAAiACwAIABTAG8AdQByAGMAZQBSAGUAZwBpAG8AbgApACAAKwAgADMALAAgAEwARQBOACgAUwBvAHUAcgBjAGUAUgBlAGcAaQBvAG4AKQApACwAIABcACIAbgAvAGEAXAAiACkALABcAG4AIAAgACAAIABTAG8AdQByAGMAZQBSAGUAZwBpAG8AbgBMAGUAZgB0ACwAIAAgAEkARgAoAEkAUwBOAFUATQBCAEUAUgAoAEYASQBOAEQAKABcACIAIAAtACAAXAAiACwAIABTAG8AdQByAGMAZQBSAGUAZwBpAG8AbgApACkALAAgAEwARQBGAFQAKABTAG8AdQByAGMAZQBSAGUAZwBpAG8AbgAsACAARgBJAE4ARAAoAFwAIgAgAC0AIABcACIALAAgAFMAbwB1AHIAYwBlAFIAZQBnAGkAbwBuACkAIAAtACAAMQApACwAIABTAG8AdQByAGMAZQBSAGUAZwBpAG8AbgApACwAXABuACAAIAAgACAASQBGAEUAUgBSAE8AUgAoAFwAbgAgACAAIAAgACAAIABYAEwATwBPAEsAVQBQACgAMQAsAFwAbgAgACAAIAAgACAAIAAgACAAKABTAG8AdQByAGMAZQBSAGUAZwBpAG8AbgBMAGUAZgB0AEEAcgByAGEAeQAgAD0AIABTAG8AdQByAGMAZQBSAGUAZwBpAG8AbgBMAGUAZgB0ACkAIAAqACAAKABTAG8AdQByAGMAZQBSAGUAZwBpAG8AbgBSAGkAZwBoAHQAQQByAHIAYQB5ACAAPQAgAFMAbwB1AHIAYwBlAFIAZQBnAGkAbwBuAFIAaQBnAGgAdAApACAAKgAgACgAUwBlAGEAcwBvAG4AQQByAHIAYQB5ACAAPQAgAFMAZQBhAHMAbwBuACkALABcAG4AIAAgACAAIAAgACAAIAAgAFgATABPAE8ASwBVAFAAKABMAGkAdgBlAHMAdABvAGMAawBDAGwAYQBzAHMALAAgAEwAaQB2AGUAcwB0AG8AYwBrAEMAbABhAHMAcwBBAHIAcgBhAHkALAAgAEwAaQB2AGUAdwBlAGkAZwBoAHQAQQByAHIAYQB5ACwAIAAwACkALABcAG4AIAAgACAAIAAgACAAMAApACwAXABuACAAIAAgACAAMAApAFwAbgAgACAAKQBcAG4AKQA7ACIAfQAsAHsAIgBwAGEAdABoACIAOgAiAC8AcAByAG8AagBlAGMAdABzAC8AUwBvAHUAcgBjAGUARABhAHQAYQBfAEQAYQBpAHIAeQAiACwAIgB0AGUAeAB0ACIAOgAiAFwAbgAvACoAIABcAG4ALQAtAC0ALQAtAC0ALQAtAC0ALQAtAC0ALQAtAC0ALQAtAC0ALQAtAC0ALQAtAC0ALQAtAC0ALQAtAC0ALQAtAC0ALQAtAC0ALQAtAFwAbgBTAG8AdQByAGMAZQBEAGEAdABhAF8ARABhAGkAcgB5AF8ATABpAHYAZQB3AGUAaQBnAGgAdABDAG8AdwBzAEEAbgBkAEgAZQBpAGYAZQByAHMAXABuAFQAYQBiAGwAZQAgAEEALgAxAC4AMwAuADEAOgAgAEQAYQBpAHIAeQAgAGMAYQB0AHQAbABlACAALQAgAEwAaQB2AGUAdwBlAGkAZwBoAHQAIAAoAGsAZwApACAALQAgAEMAbwB3AHMAIABhAG4AZAAgAEgAZQBpAGYAZQByAHMAIAAoAFcAagApAFwAbgAtAC0ALQAtAC0ALQAtAC0ALQAtAC0ALQAtAC0ALQAtAC0ALQAtAC0ALQAtAC0ALQAtAC0ALQAtAC0ALQAtAC0ALQAtAC0ALQAtAC0AXABuACoALwBcAG4AXABuAFMAbwB1AHIAYwBlAEQAYQB0AGEAXwBEAGEAaQByAHkAXwBMAGkAdgBlAHcAZQBpAGcAaAB0AEMAbwB3AHMAQQBuAGQASABlAGkAZgBlAHIAcwBfAFQAaQB0AGwAZQBcAG4AIAAgAD0ATABBAE0AQgBEAEEAKABcACIAVABhAGIAbABlACAAQQAuADEALgAzAC4AMQA6ACAARABhAGkAcgB5ACAAYwBhAHQAdABsAGUAIAAtACAATABpAHYAZQB3AGUAaQBnAGgAdAAgACgAawBnACkAIAAtACAAQwBvAHcAcwAgAGEAbgBkACAASABlAGkAZgBlAHIAcwAgACgAVwBqACkAXAAiACkAOwBcAG4AXABuAFMAbwB1AHIAYwBlAEQAYQB0AGEAXwBEAGEAaQByAHkAXwBMAGkAdgBlAHcAZQBpAGcAaAB0AEMAbwB3AHMAQQBuAGQASABlAGkAZgBlAHIAcwBfAFYAYQByAGkAYQBiAGwAZQBcAG4AIAAgAD0ATABBAE0AQgBEAEEAKABcACIAVwBqAFwAIgApADsAXABuAFwAbgBTAG8AdQByAGMAZQBEAGEAdABhAF8ARABhAGkAcgB5AF8ATABpAHYAZQB3AGUAaQBnAGgAdABDAG8AdwBzAEEAbgBkAEgAZQBpAGYAZQByAHMAXwBVAG4AaQB0AFwAbgAgACAAPQBMAEEATQBCAEQAQQAoAFwAIgBrAGcAXAAiACkAOwBcAG4AXABuAFMAbwB1AHIAYwBlAEQAYQB0AGEAXwBEAGEAaQByAHkAXwBMAGkAdgBlAHcAZQBpAGcAaAB0AEMAbwB3AHMAQQBuAGQASABlAGkAZgBlAHIAcwBfAFMAbwB1AHIAYwBlAFwAbgAgACAAPQBMAEEATQBCAEQAQQAoAFwAIgBWAEUARQBSAEcAIAAyADAAMgA2ADoAIABUAGEAYgBsAGUAIABBAC4AMQAuADMALgAxAFwAIgApADsAXABuAFwAbgBTAG8AdQByAGMAZQBEAGEAdABhAF8ARABhAGkAcgB5AF8ATABpAHYAZQB3AGUAaQBnAGgAdABDAG8AdwBzAEEAbgBkAEgAZQBpAGYAZQByAHMAXwBWAGEAcgBpAGEAdABpAG8AbgBcAG4AIAAgAD0ATABBAE0AQgBEAEEAKABcACIAVgBBAFIASQBBAFQASQBPAE4AIABPAEYAIABTAE8AVQBSAEMARQA6ACAARQB4AGMAbAB1AGQAZQBkACAAXAB1ADAAMAAyADcAUgBlAGYAZQByAGUAbgBjAGUAXAB1ADAAMAAyADcALAAgAGEAcwAgAHQAaABlACAAdgBhAGwAdQBlACAAaQBzACAAYwBvAG4AcwBpAHMAdABlAG4AdABsAHkAIABcAHUAMAAwADIANwBEAGEAaQByAHkAIABBAHUAcwB0AHIAYQBsAGkAYQAgAFsAMQBdAFwAdQAwADAAMgA3ACAAYQBuAGQAIABpAHMAIABuAG8AdAAgAHUAcwBlAGQAIABpAG4AIABjAGEAbABjAHUAbABhAHQAaQBvAG4ALgBcACIAKQA7AFwAbgBcAG4AUwBvAHUAcgBjAGUARABhAHQAYQBfAEQAYQBpAHIAeQBfAEwAaQB2AGUAdwBlAGkAZwBoAHQAQwBvAHcAcwBBAG4AZABIAGUAaQBmAGUAcgBzAF8ARABhAHQAYQBcAG4AIAAgAD0ATABBAE0AQgBEAEEAKABcAG4AIAAgACAAIABNAEEASwBFAEEAUgBSAEEAWQAoADEAMQAsACAANAAsAFwAbgAgACAAIAAgACAAIABMAEEATQBCAEQAQQAoAHIALABjACwAXABuACAAIAAgACAAIAAgACAAIABJAE4ARABFAFgAKAB7AFwAbgAgACAAIAAgACAAIAAgACAAIAAgAFwAIgBCAHIAZQBlAGQAXAAiACwAIABcACIATQBpAGwAawBpAG4AZwAgAEMAbwB3AHMAXAAiACwAIABcACIASABlAGkAZgBlAHIAcwAgAFwAdQAwADAAMwBlADEAXAAiACwAIABcACIASABlAGkAZgBlAHIAcwAgAFwAdQAwADAAMwBjADEAIAAoAHcAZQBhAG4AZQBkACkAXAAiADsAXABuACAAIAAgACAAIAAgACAAIAAgACAAXAAiAE0AZQBkAGkAdQBtACAARgByAGkAZQBzAGkAYQBuAFwAIgAsACAANQA1ADAALAAgADMAOAAwACwAIAAxADUANQA7AFwAbgAgACAAIAAgACAAIAAgACAAIAAgAFwAIgBMAGEAcgBnAGUAIABGAHIAaQBlAHMAaQBhAG4AXAAiACwAIAA2ADAAMAAsACAANAAxADUALAAgADEANwAwADsAXABuACAAIAAgACAAIAAgACAAIAAgACAAXAAiAEgAbwBsAHMAdABlAGkAbgAtAEYAcgBpAGUAcwBpAGEAbgBcACIALAAgADYANQAwACwAIAA0ADUAMAAsACAAMQA4ADUAOwBcAG4AIAAgACAAIAAgACAAIAAgACAAIABcACIARgByAGkAZQBzAGkAYQBuACAAYwByAG8AcwBzAGIAcgBlAGQAXAAiACwAIAA1ADAAMAAsACAAMwA1ADAALAAgADEANAA1ADsAXABuACAAIAAgACAAIAAgACAAIAAgACAAXAAiAEoAZQByAHMAZQB5AFwAIgAsACAANAAwADAALAAgADIANwA1ACwAIAAxADEANQA7AFwAbgAgACAAIAAgACAAIAAgACAAIAAgAFwAIgBKAGUAcgBzAGUAeQAgAGMAcgBvAHMAcwBiAHIAZQBkAFwAIgAsACAANAA1ADAALAAgADMAMQA1ACwAIAAxADMAMAA7AFwAbgAgACAAIAAgACAAIAAgACAAIAAgAFwAIgBBAHkAcgBzAGgAaQByAGUAXAAiACwAIAA1ADQAMAAsACAAMwA3ADUALAAgADEANQAwADsAXABuACAAIAAgACAAIAAgACAAIAAgACAAXAAiAEcAdQBlAHIAbgBzAGUAeQBcACIALAAgADQAOAAwACwAIAAzADMANQAsACAAMQA0ADAAOwBcAG4AIAAgACAAIAAgACAAIAAgACAAIABcACIAQgByAG8AdwBuACAAUwB3AGkAcwBzAFwAIgAsACAANgAwADAALAAgADQAMQA1ACwAIAAxADcAMAA7AFwAbgAgACAAIAAgACAAIAAgACAAIAAgAFwAIgBJAGwAbABhAHcAYQByAHIAYQAvAEEAdQBzAHMAaQBlACAAUgBlAGQAXAAiACwAIAA1ADUAMAAsACAAMwA3ADUALAAgADEANQAw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wAaQB2AGUAdwBlAGkAZwBoAHQAQgB1AGwAbABzAFwAbgBUAGEAYgBsAGUAIABBAC4AMQAuADMALgAyADoAIABEAGEAaQByAHkAIABjAGEAdAB0AGwAZQAgAC0AIABMAGkAdgBlAHcAZQBpAGcAaAB0ACAAKABrAGcAKQAgAC0AIABCAHUAbABsAHMAIAAoAFcAagApAFwAbgAtAC0ALQAtAC0ALQAtAC0ALQAtAC0ALQAtAC0ALQAtAC0ALQAtAC0ALQAtAC0ALQAtAC0ALQAtAC0ALQAtAC0ALQAtAC0ALQAtAC0AXABuACoALwBcAG4AXABuAFMAbwB1AHIAYwBlAEQAYQB0AGEAXwBEAGEAaQByAHkAXwBMAGkAdgBlAHcAZQBpAGcAaAB0AEIAdQBsAGwAcwBfAFQAaQB0AGwAZQBcAG4AIAAgAD0ATABBAE0AQgBEAEEAKABcACIAVABhAGIAbABlACAAQQAuADEALgAzAC4AMgA6ACAARABhAGkAcgB5ACAAYwBhAHQAdABsAGUAIAAtACAATABpAHYAZQB3AGUAaQBnAGgAdAAgACgAawBnACkAIAAtACAAQgB1AGwAbABzACAAKABXAGoAKQBcACIAKQA7AFwAbgBcAG4AUwBvAHUAcgBjAGUARABhAHQAYQBfAEQAYQBpAHIAeQBfAEwAaQB2AGUAdwBlAGkAZwBoAHQAQgB1AGwAbABzAF8AVgBhAHIAaQBhAGIAbABlAFwAbgAgACAAPQBMAEEATQBCAEQAQQAoAFwAIgBXAGoAXAAiACkAOwBcAG4AXABuAFMAbwB1AHIAYwBlAEQAYQB0AGEAXwBEAGEAaQByAHkAXwBMAGkAdgBlAHcAZQBpAGcAaAB0AEIAdQBsAGwAcwBfAFUAbgBpAHQAXABuACAAIAA9AEwAQQBNAEIARABBACgAXAAiAGsAZwBcACIAKQA7AFwAbgBcAG4AUwBvAHUAcgBjAGUARABhAHQAYQBfAEQAYQBpAHIAeQBfAEwAaQB2AGUAdwBlAGkAZwBoAHQAQgB1AGwAbABzAF8AUwBvAHUAcgBjAGUAXABuACAAIAA9AEwAQQBNAEIARABBACgAXAAiAFYARQBFAFIARwAgADIAMAAyADYAOgAgAFQAYQBiAGwAZQAgAEEALgAxAC4AMwAuADIAXAAiACkAOwBcAG4AXABuAFMAbwB1AHIAYwBlAEQAYQB0AGEAXwBEAGEAaQByAHkAXwBMAGkAdgBlAHcAZQBpAGcAaAB0AEIAdQBsAGwAcwBfAFYAYQByAGkAYQB0AGkAbwBuAFwAbgAgACAAPQBMAEEATQBCAEQAQQAoAFwAIgBcACIAKQA7AFwAbgBcAG4AUwBvAHUAcgBjAGUARABhAHQAYQBfAEQAYQBpAHIAeQBfAEwAaQB2AGUAdwBlAGkAZwBoAHQAQgB1AGwAbABzAF8ARABhAHQAYQBcAG4AIAAgAD0ATABBAE0AQgBEAEEAKABcAG4AIAAgACAAIABNAEEASwBFAEEAUgBSAEEAWQAoADIALAAgADMALABcAG4AIAAgACAAIAAgACAATABBAE0AQgBEAEEAKAByACwAYwAsAFwAbgAgACAAIAAgACAAIAAgACAASQBOAEQARQBYACgAewBcAG4AIAAgACAAIAAgACAAIAAgACAAIABcACIAQgByAGUAZQBkAFwAIgAsACAAXAAiAEIAdQBsAGwAcwAgAFwAdQAwADAAMwBlADEAXAAiACwAIABcACIAQgB1AGwAbABzACAAXAB1ADAAMAAzAGMAMQAgACgAdwBlAGEAbgBlAGQAKQBcACIAOwBcAG4AIAAgACAAIAAgACAAIAAgACAAIABcACIAQQBsAGwAIABiAHIAZQBlAGQAcwBcACIALAAgADYAMAAwACwAIAAyADIANQ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wAaQB2AGUAdwBlAGkAZwBoAHQARwBhAGkAbgBcAG4AVABhAGIAbABlACAAQQAuADEALgAzAC4AMwA6ACAARABhAGkAcgB5ACAAYwBhAHQAdABsAGUAIAAtACAATABpAHYAZQB3AGUAaQBnAGgAdAAgAGcAYQBpAG4AIAAoAGsAZwApACAAKABMAFcARwBqACkAXABuAC0ALQAtAC0ALQAtAC0ALQAtAC0ALQAtAC0ALQAtAC0ALQAtAC0ALQAtAC0ALQAtAC0ALQAtAC0ALQAtAC0ALQAtAC0ALQAtAC0ALQBcAG4AKgAvAFwAbgBcAG4AUwBvAHUAcgBjAGUARABhAHQAYQBfAEQAYQBpAHIAeQBfAEwAaQB2AGUAdwBlAGkAZwBoAHQARwBhAGkAbgBfAFQAaQB0AGwAZQBcAG4AIAAgAD0ATABBAE0AQgBEAEEAKABcACIAVABhAGIAbABlACAAQQAuADEALgAzAC4AMwA6ACAARABhAGkAcgB5ACAAYwBhAHQAdABsAGUAIAAtACAATABpAHYAZQB3AGUAaQBnAGgAdAAgAGcAYQBpAG4AIAAoAGsAZwApACAAKABMAFcARwBqACkAXAAiACkAOwBcAG4AXABuAFMAbwB1AHIAYwBlAEQAYQB0AGEAXwBEAGEAaQByAHkAXwBMAGkAdgBlAHcAZQBpAGcAaAB0AEcAYQBpAG4AXwBWAGEAcgBpAGEAYgBsAGUAXABuACAAIAA9AEwAQQBNAEIARABBACgAXAAiAEwAVwBHAGoAXAAiACkAOwBcAG4AXABuAFMAbwB1AHIAYwBlAEQAYQB0AGEAXwBEAGEAaQByAHkAXwBMAGkAdgBlAHcAZQBpAGcAaAB0AEcAYQBpAG4AXwBVAG4AaQB0AFwAbgAgACAAPQBMAEEATQBCAEQAQQAoAFwAIgBrAGcAXAAiACkAOwBcAG4AXABuAFMAbwB1AHIAYwBlAEQAYQB0AGEAXwBEAGEAaQByAHkAXwBMAGkAdgBlAHcAZQBpAGcAaAB0AEcAYQBpAG4AXwBTAG8AdQByAGMAZQBcAG4AIAAgAD0ATABBAE0AQgBEAEEAKABcACIAVgBFAEUAUgBHACAAMgAwADIANgA6ACAAVABhAGIAbABlACAAQQAuADEALgAzAC4AMwBcACIAKQA7AFwAbgBcAG4AUwBvAHUAcgBjAGUARABhAHQAYQBfAEQAYQBpAHIAeQBfAEwAaQB2AGUAdwBlAGkAZwBoAHQARwBhAGkAbgBfAFYAYQByAGkAYQB0AGkAbwBuAFwAbgAgACAAPQBMAEEATQBCAEQAQQAoAFwAIgBcACIAKQA7AFwAbgBcAG4AUwBvAHUAcgBjAGUARABhAHQAYQBfAEQAYQBpAHIAeQBfAEwAaQB2AGUAdwBlAGkAZwBoAHQARwBhAGkAbgBfAEQAYQB0AGEAXABuACAAIAA9AEwAQQBNAEIARABBACgAXABuACAAIAAgACAATQBBAEsARQBBAFIAUgBBAFkAKAAyACwAIAA1ACwAXABuACAAIAAgACAAIAAgAEwAQQBNAEIARABBACgAcgAsAGMALABcAG4AIAAgACAAIAAgACAAIAAgAEkATgBEAEUAWAAoAHsAXABuACAAIAAgACAAIAAgACAAIAAgACAAXAAiAE0AaQBsAGsAaQBuAGcAIABDAG8AdwBzAFwAIgAsACAAXAAiAEgAZQBpAGYAZQByAHMAIABcAHUAMAAwADMAZQAxAFwAIgAsACAAXAAiAEgAZQBpAGYAZQByAHMAIABcAHUAMAAwADMAYwAxACAAKAB3AGUAYQBuAGUAZAApAFwAIgAsACAAXAAiAEIAdQBsAGwAcwAgAFwAdQAwADAAMwBlADEAXAAiACwAIABcACIAQgB1AGwAbABzACAAXAB1ADAAMAAzAGMAMQAgACgAdwBlAGEAbgBlAGQAKQBcACIAOwBcAG4AIAAgACAAIAAgACAAIAAgACAAIAAwAC4AMAAxADYALAAgADAALgA2ACwAIAAwAC4ANQA3ACwAIAAwAC4AMQAsACAAMAAuADg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SAGUAZgBlAHIAZQBuAGMAZQBXAGUAaQBnAGgAdABzAFwAbgBUAGEAYgBsAGUAIABBAC4AMQAuADMALgA0ADoAIABEAGEAaQByAHkAIABjAGEAdAB0AGwAZQAgAC0AIABSAGUAZgBlAHIAZQBuAGMAZQAgAHcAZQBpAGcAaAB0AHMAIAAoAGsAZwApACAAKABXAFIAagApAFwAbgAtAC0ALQAtAC0ALQAtAC0ALQAtAC0ALQAtAC0ALQAtAC0ALQAtAC0ALQAtAC0ALQAtAC0ALQAtAC0ALQAtAC0ALQAtAC0ALQAtAC0AXABuACoALwBcAG4AXABuAFMAbwB1AHIAYwBlAEQAYQB0AGEAXwBEAGEAaQByAHkAXwBSAGUAZgBlAHIAZQBuAGMAZQBXAGUAaQBnAGgAdABzAF8AVABpAHQAbABlAFwAbgAgACAAPQBMAEEATQBCAEQAQQAoAFwAIgBUAGEAYgBsAGUAIABBAC4AMQAuADMALgA0ADoAIABEAGEAaQByAHkAIABjAGEAdAB0AGwAZQAgAC0AIABSAGUAZgBlAHIAZQBuAGMAZQAgAHcAZQBpAGcAaAB0AHMAIAAoAGsAZwApACAAKABXAFIAagApAFwAIgApADsAXABuAFwAbgBTAG8AdQByAGMAZQBEAGEAdABhAF8ARABhAGkAcgB5AF8AUgBlAGYAZQByAGUAbgBjAGUAVwBlAGkAZwBoAHQAcwBfAFYAYQByAGkAYQBiAGwAZQBcAG4AIAAgAD0ATABBAE0AQgBEAEEAKABcACIAVwBSAGoAXAAiACkAOwBcAG4AXABuAFMAbwB1AHIAYwBlAEQAYQB0AGEAXwBEAGEAaQByAHkAXwBSAGUAZgBlAHIAZQBuAGMAZQBXAGUAaQBnAGgAdABzAF8AVQBuAGkAdABcAG4AIAAgAD0ATABBAE0AQgBEAEEAKABcACIAawBnAFwAIgApADsAXABuAFwAbgBTAG8AdQByAGMAZQBEAGEAdABhAF8ARABhAGkAcgB5AF8AUgBlAGYAZQByAGUAbgBjAGUAVwBlAGkAZwBoAHQAcwBfAFMAbwB1AHIAYwBlAFwAbgAgACAAPQBMAEEATQBCAEQAQQAoAFwAIgBWAEUARQBSAEcAIAAyADAAMgA2ADoAIABUAGEAYgBsAGUAIABBAC4AMQAuADMALgA0AFwAIgApADsAXABuAFwAbgBTAG8AdQByAGMAZQBEAGEAdABhAF8ARABhAGkAcgB5AF8AUgBlAGYAZQByAGUAbgBjAGUAVwBlAGkAZwBoAHQAcwBfAFYAYQByAGkAYQB0AGkAbwBuAFwAbgAgACAAPQBMAEEATQBCAEQAQQAoAFwAIgBcACIAKQA7AFwAbgBcAG4AUwBvAHUAcgBjAGUARABhAHQAYQBfAEQAYQBpAHIAeQBfAFIAZQBmAGUAcgBlAG4AYwBlAFcAZQBpAGcAaAB0AHM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XAB1ADAAMAAzAGUAMQBcACIALAAgAFwAIgBIAGUAaQBmAGUAcgBzACAAXAB1ADAAMAAzAGMAMQAgACgAdwBlAGEAbgBlAGQAKQBcACIALAAgAFwAIgBCAHUAbABsAHMAIABcAHUAMAAwADMAZQAxAFwAIgAsACAAXAAiAEIAdQBsAGwAcwAgAFwAdQAwADAAMwBjADEAIAAoAHcAZQBhAG4AZQBkACkAXAAiADsAXABuACAAIAAgACAAIAAgACAAIAAgACAANQA5ADAALAAgADUAOQAwACwAIAA1ADkAMAAsACAANwA3ADAALAAgADcANw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AByAGUAVwBlAGEAbgBlAGQAQwBhAGwAdgBlAHMAXABuAFQAYQBiAGwAZQAgAEEALgAxAC4AMwAuADUAOgAgAEQAYQBpAHIAeQAgAGMAYQB0AHQAbABlACAALQAgAEQAYQB0AGEAIABmAG8AcgAgAHAAcgBlACAALQAgAHcAZQBhAG4AZQBkACAAYwBhAGwAdgBlAHMAXABuAC0ALQAtAC0ALQAtAC0ALQAtAC0ALQAtAC0ALQAtAC0ALQAtAC0ALQAtAC0ALQAtAC0ALQAtAC0ALQAtAC0ALQAtAC0ALQAtAC0ALQBcAG4AKgAvAFwAbgBcAG4AUwBvAHUAcgBjAGUARABhAHQAYQBfAEQAYQBpAHIAeQBfAFAAcgBlAFcAZQBhAG4AZQBkAEMAYQBsAHYAZQBzAF8AVABpAHQAbABlAFwAbgAgACAAPQBMAEEATQBCAEQAQQAoAFwAIgBUAGEAYgBsAGUAIABBAC4AMQAuADMALgA1ADoAIABEAGEAaQByAHkAIABjAGEAdAB0AGwAZQAgAC0AIABEAGEAdABhACAAZgBvAHIAIABwAHIAZQAgAC0AIAB3AGUAYQBuAGUAZAAgAGMAYQBsAHYAZQBzAFwAIgApADsAXABuAFwAbgBTAG8AdQByAGMAZQBEAGEAdABhAF8ARABhAGkAcgB5AF8AUAByAGUAVwBlAGEAbgBlAGQAQwBhAGwAdgBlAHMAXwBWAGEAcgBpAGEAYgBsAGUAXABuACAAIAA9AEwAQQBNAEIARABBACgAXAAiAFYAUwBqAD0AMwAsADUAOwAgAE4AUABXAGoAPQAzACwANQBcACIAKQA7AFwAbgBcAG4AUwBvAHUAcgBjAGUARABhAHQAYQBfAEQAYQBpAHIAeQBfAFAAcgBlAFcAZQBhAG4AZQBkAEMAYQBsAHYAZQBzAF8AVQBuAGkAdABcAG4AIAAgAD0ATABBAE0AQgBEAEEAKABcACIAawBnAC8AZABhAHkAXAAiACkAOwBcAG4AXABuAFMAbwB1AHIAYwBlAEQAYQB0AGEAXwBEAGEAaQByAHkAXwBQAHIAZQBXAGUAYQBuAGUAZABDAGEAbAB2AGUAcwBfAFMAbwB1AHIAYwBlAFwAbgAgACAAPQBMAEEATQBCAEQAQQAoAFwAIgBWAEUARQBSAEcAIAAyADAAMgA2ADoAIABUAGEAYgBsAGUAIABBAC4AMQAuADMALgA1AFwAIgApADsAXABuAFwAbgBTAG8AdQByAGMAZQBEAGEAdABhAF8ARABhAGkAcgB5AF8AUAByAGUAVwBlAGEAbgBlAGQAQwBhAGwAdgBlAHMAXwBWAGEAcgBpAGEAdABpAG8AbgBcAG4AIAAgAD0ATABBAE0AQgBEAEEAKABcACIAVgBBAFIASQBBAFQASQBPAE4AIABPAEYAIABTAE8AVQBSAEMARQA6ACAAQQBkAGQAZQBkACAAXAB1ADAAMAAyADcAQQBuAGkAbQBhAGwAIABjAGwAYQBzAHMAIABqAFwAdQAwADAAMgA3ACAAYwBvAGwAdQBtAG4AIABoAGUAYQBkAGUAcgBcACIAKQA7AFwAbgBcAG4AUwBvAHUAcgBjAGUARABhAHQAYQBfAEQAYQBpAHIAeQBfAFAAcgBlAFcAZQBhAG4AZQBkAEMAYQBsAHYAZQBzAF8ARABhAHQAYQBcAG4AIAAgAD0ATABBAE0AQgBEAEEAKABcAG4AIAAgACAAIABNAEEASwBFAEEAUgBSAEEAWQAoADQALAAgADQALABcAG4AIAAgACAAIAAgACAATABBAE0AQgBEAEEAKAByACwAYwAsAFwAbgAgACAAIAAgACAAIAAgACAASQBOAEQARQBYACgAewBcAG4AIAAgACAAIAAgACAAIAAgACAAIABcACIAQQBuAGkAbQBhAGwAIABjAGwAYQBzAHMAIABqAFwAIgAsACAAXAAiAEMASAA0ACAAcAByAG8AZAB1AGMAdABpAG8AbgBcACIALAAgAFwAIgBWAG8AbABhAHQAaQBsAGUAIABzAG8AbABpAGQAcwAgACgAVgBTAGoAPQAzACwANQApAFwAIgAsACAAXAAiAE4AaQB0AHIAbwBnAGUAbgAgAEUAeABjAHIAZQB0AGUAZAAgACgATgBQAFcAagA9ADMALAA1ACkAXAAiADsAXABuACAAIAAgACAAIAAgACAAIAAgACAAXAAiAFwAIgAsACAAXAAiACgAawBnAC8AZABhAHkAKQBcACIALAAgAFwAIgAoAGsAZwAvAGQAYQB5ACkAXAAiACwAIABcACIAKABrAGcALwBkAGEAeQApAFwAIgA7AFwAbgAgACAAIAAgACAAIAAgACAAIAAgAFwAIgBIAGUAaQBmAGUAcgBzAFwAdQAwADAAMwBjADEAXAAiACwAIAAwAC4AMAAxADcANgAsACAAMAAuADIANgA4ADUALAAgADAALgAwADEAMwA3ADsAXABuACAAIAAgACAAIAAgACAAIAAgACAAXAAiAEIAdQBsAGwAcwBcAHUAMAAwADMAYwAxAFwAIgAsACAAMAAuADAAMgAwADQALAAgADAALgAzADAAMAAzACwAIAAwAC4AMAAwADkAM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0AQwBGAFwAbgBUAGEAYgBsAGUAIABBAC4AMQAuADMALgA2ADoAIABEAGEAaQByAHkAIABjAGEAdAB0AGwAZQAgAC0AIABEAGEAaQByAHkAIABjAGEAdAB0AGwAZQAgAC0AIABNAEMARgBzACAAKABmAHIAYQBjAHQAaQBvAG4AKQAgACgATQBDAEYAagBtACkAXABuAC0ALQAtAC0ALQAtAC0ALQAtAC0ALQAtAC0ALQAtAC0ALQAtAC0ALQAtAC0ALQAtAC0ALQAtAC0ALQAtAC0ALQAtAC0ALQAtAC0ALQBcAG4AKgAvAFwAbgBcAG4AUwBvAHUAcgBjAGUARABhAHQAYQBfAEQAYQBpAHIAeQBfAE0AQwBGAF8AVABpAHQAbABlAFwAbgAgACAAPQBMAEEATQBCAEQAQQAoAFwAIgBUAGEAYgBsAGUAIABBAC4AMQAuADMALgA2ADoAIABEAGEAaQByAHkAIABjAGEAdAB0AGwAZQAgAC0AIABEAGEAaQByAHkAIABjAGEAdAB0AGwAZQAgAC0AIABNAEMARgBzACAAKABmAHIAYQBjAHQAaQBvAG4AKQAgACgATQBDAEYAagBtACkAXAAiACkAOwBcAG4AXABuAFMAbwB1AHIAYwBlAEQAYQB0AGEAXwBEAGEAaQByAHkAXwBNAEMARgBfAFYAYQByAGkAYQBiAGwAZQBcAG4AIAAgAD0ATABBAE0AQgBEAEEAKABcACIATQBDAEYAagBtAFwAIgApADsAXABuAFwAbgBTAG8AdQByAGMAZQBEAGEAdABhAF8ARABhAGkAcgB5AF8ATQBDAEYAXwBVAG4AaQB0AFwAbgAgACAAPQBMAEEATQBCAEQAQQAoAFwAIgBmAHIAYQBjAHQAaQBvAG4AXAAiACkAOwBcAG4AXABuAFMAbwB1AHIAYwBlAEQAYQB0AGEAXwBEAGEAaQByAHkAXwBNAEMARgBfAFMAbwB1AHIAYwBlAFwAbgAgACAAPQBMAEEATQBCAEQAQQAoAFwAIgBWAEUARQBSAEcAIAAyADAAMgA2ADoAIABUAGEAYgBsAGUAIABBAC4AMQAuADMALgA2AFwAIgApADsAXABuAFwAbgBTAG8AdQByAGMAZQBEAGEAdABhAF8ARABhAGkAcgB5AF8ATQBDAEYAXwBWAGEAcgBpAGEAdABpAG8AbgBcAG4AIAAgAD0ATABBAE0AQgBEAEEAKABcACIAVgBBAFIASQBBAFQASQBPAE4AIABPAEYAIABTAE8AVQBSAEMARQA6ACAAQQBkAGQAZQBkACAAXAB1ADAAMAAyADcATgBJAFIAIAByAGUAZgBlAHIAZQBuAGMAZQBcAHUAMAAwADIANwAgAGMAbwBsAHUAbQBuACAAdABvACAAYQBpAGQAIABsAG8AbwBrAHUAcABcACIAKQA7AFwAbgBcAG4AUwBvAHUAcgBjAGUARABhAHQAYQBfAEQAYQBpAHIAeQBfAE0AQwBGAF8ARABhAHQAYQBcAG4AIAAgAD0ATABBAE0AQgBEAEEAKABcAG4AIAAgACAAIABNAEEASwBFAEEAUgBSAEEAWQAoADcALAAgADEAMAAsAFwAbgAgACAAIAAgACAAIABMAEEATQBCAEQAQQAoAHIALABjACwAXABuACAAIAAgACAAIAAgACAAIABJAE4ARABFAFgAKAB7AFwAbgAgACAAIAAgACAAIAAgACAAIAAgAFwAIgBNAE0AUwAgAG0AXAAiACwAIABcACIAQQBDAFQAXAAiACwAIABcACIATgBTAFcAXAAiACwAIABcACIATgBUAFwAIgAsACAAXAAiAFEATABEAFwAIgAsACAAXAAiAFMAQQBcACIALAAgAFwAIgBUAEEAUwBcACIALAAgAFwAIgBWAEkAQwBcACIALAAgAFwAIgBXAEEAXAAiACwAIABcACIATgBJAFIAIAByAGUAZgBlAHIAZQBuAGMAZQBcACIAOwBcAG4AIAAgACAAIAAgACAAIAAgACAAIABcACIAUABhAHMAdAB1AHIAZQBcACIALAAgADAALgAwADEALAAgADAALgAwADEALAAgADAALgAwADIALAAgADAALgAwADEALAAgADAALgAwADEALAAgADAALgAwADEALAAgADAALgAwADEALAAgADAALgAwADEALAAgAFwAIgBQAGEAcwB0AHUAcgBlACAAcgBhAG4AZwBlACAAYQBuAGQAIABwAGEAZABkAG8AYwBrAFwAIgA7AFwAbgAgACAAIAAgACAAIAAgACAAIAAgAFwAIgBBAG4AYQBlAHIAbwBiAGkAYwAgAGwAYQBnAG8AbwBuAFwAIgAsACAAMAAuADcAMgAsACAAMAAuADcANgAsACAAMAAuADgALAAgADAALgA3ADgALAAgADAALgA3ADQALAAgADAALgA2ADkALAAgADAALgA3ADMALAAgADAALgA3ADYALAAgAFwAIgBBAG4AYQBlAHIAbwBiAGkAYwAgAGwAYQBnAG8AbwBuAFwAIgA7AFwAbgAgACAAIAAgACAAIAAgACAAIAAgAFwAIgBEAGEAaQBsAHkAIABzAHAAcgBlAGEAZAAgAC0AIABTAHUAbQBwACAAYQBuAGQAIABkAGkAcwBwAGUAcgBzAGEAbAAgAHMAeQBzAHQAZQBtAHMAXAAiACwAIAAwAC4AMAAwADUALAAgADAALgAwADAANQAsACAAMAAuADAAMQAsACAAMAAuADAAMAA1ACwAIAAwAC4AMAAwADUALAAgADAALgAwADAAMQAsACAAMAAuADAAMAA1ACwAIAAwAC4AMAAwADUALAAgAFwAIgBTAHUAbQBwACAAYQBuAGQAIABkAGkAcwBwAGUAcgBzAGEAbAAgAHMAeQBzAHQAZQBtAFwAIgA7AFwAbgAgACAAIAAgACAAIAAgACAAIAAgAFwAIgBEAGEAaQBsAHkAIABzAHAAcgBlAGEAZAAgAC0AIABEAHIAYQBpAG4AcwAgAHQAbwAgAHAAYQBkAGQAbwBjAGsAcwAgACgAYQApAFwAIgAsACAAMAAuADEANQAsACAAMAAuADEAOAAsACAAMAAuADUAMAAsACAAMAAuADIANAAsACAAMAAuADEANwAsACAAMAAuADEAMwAsACAAMAAuADEANwAsACAAMAAuADEAOAAsACAAXAAiAEQAcgBhAGkAbgBzACAAdABvACAAcABhAGQAZABvAGMAawBcACIAOwBcAG4AIAAgACAAIAAgACAAIAAgACAAIABcACIAUwBvAGwAaQBkACAAUwB0AG8AcgBhAGcAZQBcACIALAAgADAALgAwADIALAAgADAALgAwADIALAAgADAALgAwADIALAAgADAALgAwADIALAAgADAALgAwADIALAAgADAALgAwADIALAAgADAALgAwADIALAAgADAALgAwADIALAAgAFwAIgBTAG8AbABpAGQAIABzAHQAbwByAGEAZwBlAFwAIgA7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gBpAHQAcgBvAHUAcwBPAHgAaQBkAGUARQBGAHMAQQBuAGQARgByAGEAYwBHAEEAUwBNAFwAbgBUAGEAYgBsAGUAIABBAC4AMQAuADMALgA3ADoAIABEAGEAaQByAHkAIABjAGEAdAB0AGwAZQAgAC0AIABOAGkAdAByAG8AdQBzACAAbwB4AGkAZABlACAARQBGAHMAIABhAG4AZAAgAGYAcgBhAGMAdABpAG8AbgAgAG8AZgAgAE4AIAB2AG8AbABhAHQAaQBsAGkAcwBlAGQAIABiAHkAIABNAE0AUwBcAG4ALQAtAC0ALQAtAC0ALQAtAC0ALQAtAC0ALQAtAC0ALQAtAC0ALQAtAC0ALQAtAC0ALQAtAC0ALQAtAC0ALQAtAC0ALQAtAC0ALQAtAFwAbgAqAC8AXABuAFwAbgBTAG8AdQByAGMAZQBEAGEAdABhAF8ARABhAGkAcgB5AF8ATgBpAHQAcgBvAHUAcwBPAHgAaQBkAGUARQBGAHMAQQBuAGQARgByAGEAYwBHAEEAUwBNAF8AVABpAHQAbABlAFwAbgAgACAAPQBMAEEATQBCAEQAQQAoAFwAIgBUAGEAYgBsAGUAIABBAC4AMQAuADMALgA3ADoAIABEAGEAaQByAHkAIABjAGEAdAB0AGwAZQAgAC0AIABOAGkAdAByAG8AdQBzACAAbwB4AGkAZABlACAARQBGAHMAIABhAG4AZAAgAGYAcgBhAGMAdABpAG8AbgAgAG8AZgAgAE4AIAB2AG8AbABhAHQAaQBsAGkAcwBlAGQAIABiAHkAIABNAE0AUwBcACIAKQA7AFwAbgBcAG4AUwBvAHUAcgBjAGUARABhAHQAYQBfAEQAYQBpAHIAeQBfAE4AaQB0AHIAbwB1AHMATwB4AGkAZABlAEUARgBzAEEAbgBkAEYAcgBhAGMARwBBAFMATQBfAFYAYQByAGkAYQBiAGwAZQBcAG4AIAAgAD0ATABBAE0AQgBEAEEAKABcACIARQBGAG0AOwAgAEYAcgBhAGMARwBBAFMATQBtAFwAIgApADsAXABuAFwAbgBTAG8AdQByAGMAZQBEAGEAdABhAF8ARABhAGkAcgB5AF8ATgBpAHQAcgBvAHUAcwBPAHgAaQBkAGUARQBGAHMAQQBuAGQARgByAGEAYwBHAEEAUwBNAF8AVQBuAGkAdABcAG4AIAAgAD0ATABBAE0AQgBEAEEAKABcACIAawBnACAATgAyAE8ALQBOAC8AawBnACAATgAgAGUAeABjAHIAZQB0AGUAZABcACIAKQA7AFwAbgBcAG4AUwBvAHUAcgBjAGUARABhAHQAYQBfAEQAYQBpAHIAeQBfAE4AaQB0AHIAbwB1AHMATwB4AGkAZABlAEUARgBzAEEAbgBkAEYAcgBhAGMARwBBAFMATQBfAFMAbwB1AHIAYwBlAFwAbgAgACAAPQBMAEEATQBCAEQAQQAoAFwAIgBWAEUARQBSAEcAIAAyADAAMgA2ADoAIABUAGEAYgBsAGUAIABBAC4AMQAuADMALgA3AFwAIgApADsAXABuAFwAbgBTAG8AdQByAGMAZQBEAGEAdABhAF8ARABhAGkAcgB5AF8ATgBpAHQAcgBvAHUAcwBPAHgAaQBkAGUARQBGAHMAQQBuAGQARgByAGEAYwBHAEEAUwBN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OAGkAdAByAG8AdQBzAE8AeABpAGQAZQBFAEYAcwBBAG4AZABGAHIAYQBjAEcAQQBTAE0AXwBEAGEAdABhAFwAbgAgACAAPQBMAEEATQBCAEQAQQAoAFwAbgAgACAAIAAgAE0AQQBLAEUAQQBSAFIAQQBZACgANgAsACAANAAsAFwAbgAgACAAIAAgACAAIABMAEEATQBCAEQAQQAoAHIALABjACwAXABuACAAIAAgACAAIAAgACAAIABJAE4ARABFAFgAKAB7AFwAbgAgACAAIAAgACAAIAAgACAAIAAgAFwAIgBNAE0AUwAgAG0AXAAiACwAIABcACIARQBGAG0AIAAoAGsAZwAgAE4AMgBPAC0ATgAvAGsAZwAgAE4AIABlAHgAYwByAGUAdABlAGQAKQBcACIALAAgAFwAIgBGAHIAYQBjAEcAQQBTAE0AbQAgACgAawBnACAATgAyAE8ALQBOAC8AawBnACAATgAgAGUAeABjAHIAZQB0AGUAZAApAFwAIgAsACAAXAAiAE4ASQBSACAAcgBlAGYAZQByAGUAbgBjAGUAXAAiADsAXABuACAAIAAgACAAIAAgACAAIAAgACAAXAAiAE0APQAxADQAIABQAGEAcwB0AHUAcgBlAFwAIgAsACAAMAAsACAAMAAsACAAXAAiAFAAYQBzAHQAdQByAGUAIAByAGEAbgBnAGUAIABhAG4AZAAgAHAAYQBkAGQAbwBjAGsAXAAiADsAXABuACAAIAAgACAAIAAgACAAIAAgACAAXAAiAE0APQAxACAAQQBuAGEAZQByAG8AYgBpAGMAIABsAGEAZwBvAG8AbgBcACIALAAgADAALAAgADAALgAzADUALAAgAFwAIgBBAG4AYQBlAHIAbwBiAGkAYwAgAGwAYQBnAG8AbwBuAFwAIgA7AFwAbgAgACAAIAAgACAAIAAgACAAIAAgAFwAIgBNAD0AMgAgAEQAYQBpAGwAeQAgAFMAcAByAGUAYQBkACAALQAgAFMAdQBtAHAAIABhAG4AZAAgAEQAaQBzAHAAZQByAHMAYQBsAFwAIgAsACAAMAAsACAAMAAuADAANwAsACAAXAAiAFMAdQBtAHAAIABhAG4AZAAgAGQAaQBzAHAAZQByAHMAYQBsACAAcwB5AHMAdABlAG0AXAAiADsAXABuACAAIAAgACAAIAAgACAAIAAgACAAXAAiAE0APQAzACAARABhAGkAbAB5ACAAUwBwAHIAZQBhAGQAIAAtACAARAByAGEAaQBuAHMAIAB0AG8AIABQAGEAZABkAG8AYwBrAFwAIgAsACAAMAAsACAAMAAuADIALAAgAFwAIgBEAHIAYQBpAG4AcwAgAHQAbwAgAHAAYQBkAGQAbwBjAGsAXAAiADsAXABuACAAIAAgACAAIAAgACAAIAAgACAAXAAiAE0APQAzACAAUwBvAGwAaQBkACAAUwB0AG8AcgBhAGcAZQBcACIALAAgADAALgAwADAANQAsACAAMAAuADMALAAgAFwAIgBTAG8AbABpAG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NAGUAdABoAGEAbgBlAFAAcgBvAGQAdQBjAHQAaQBvAG4AUAByAGUAVwBlAGEAbgBlAGQAQwBhAGwAdgBlAHMAXABu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bgAtAC0ALQAtAC0ALQAtAC0ALQAtAC0ALQAtAC0ALQAtAC0ALQAtAC0ALQAtAC0ALQAtAC0ALQAtAC0ALQAtAC0ALQAtAC0ALQAtAC0AXABuACoALwBcAG4AXABuAFMAbwB1AHIAYwBlAEQAYQB0AGEAXwBEAGEAaQByAHkAXwBNAGUAdABoAGEAbgBlAFAAcgBvAGQAdQBjAHQAaQBvAG4AUAByAGUAVwBlAGEAbgBlAGQAQwBhAGwAdgBlAHMAXwBUAGkAdABsAGUAXABuACAAIAA9AEwAQQBNAEIARABBACgAXAAi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IgApADsAXABuAFwAbgBTAG8AdQByAGMAZQBEAGEAdABhAF8ARABhAGkAcgB5AF8ATQBlAHQAaABhAG4AZQBQAHIAbwBkAHUAYwB0AGkAbwBuAFAAcgBlAFcAZQBhAG4AZQBkAEMAYQBsAHYAZQBzAF8AVgBhAHIAaQBhAGIAbABlAFwAbgAgACAAPQBMAEEATQBCAEQAQQAoAFwAIgBNAFAAVwBFAE4AVABFAFIASQBDACwAagA9ADMALAA1AFwAIgApADsAXABuAFwAbgBTAG8AdQByAGMAZQBEAGEAdABhAF8ARABhAGkAcgB5AF8ATQBlAHQAaABhAG4AZQBQAHIAbwBkAHUAYwB0AGkAbwBuAFAAcgBlAFcAZQBhAG4AZQBkAEMAYQBsAHYAZQBzAF8AVQBuAGkAdABcAG4AIAAgAD0ATABBAE0AQgBEAEEAKABcACIAawBnACAAQwBIADQALwBoAGUAYQBkAC8AZABhAHkAXAAiACkAOwBcAG4AXABuAFMAbwB1AHIAYwBlAEQAYQB0AGEAXwBEAGEAaQByAHkAXwBNAGUAdABoAGEAbgBlAFAAcgBvAGQAdQBjAHQAaQBvAG4AUAByAGUAVwBlAGEAbgBlAGQAQwBhAGwAdgBlAHMAXwBTAG8AdQByAGMAZQBcAG4AIAAgAD0ATABBAE0AQgBEAEEAKABcACIAVgBFAEUAUgBHACAAMgAwADIANgA6ACAAVABhAGIAbABlACAAQQAuADEALgAzAC4AOABcACIAKQA7AFwAbgBcAG4AUwBvAHUAcgBjAGUARABhAHQAYQBfAEQAYQBpAHIAeQBfAE0AZQB0AGgAYQBuAGUAUAByAG8AZAB1AGMAdABpAG8AbgBQAHIAZQBXAGUAYQBuAGUAZABDAGEAbAB2AGUAcwBfAFYAYQByAGkAYQB0AGkAbwBuAFwAbgAgACAAPQBMAEEATQBCAEQAQQAoAFwAIgBcACIAKQA7AFwAbgBcAG4AUwBvAHUAcgBjAGUARABhAHQAYQBfAEQAYQBpAHIAeQBfAE0AZQB0AGgAYQBuAGUAUAByAG8AZAB1AGMAdABpAG8AbgBQAHIAZQBXAGUAYQBuAGUAZABDAGEAbAB2AGUAc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AAVwBFAE4AVABFAFIASQBDAFwAIgA7AFwAbgAgACAAIAAgACAAIAAgACAAIAAgAFwAIgBIAGUAaQBmAGUAcgBzACAAXAB1ADAAMAAzAGMAIAAxACAAeQBlAGEAcgBcACIALAAgADAALgAwADEANwA2ADsAXABuACAAIAAgACAAIAAgACAAIAAgACAAXAAiAEIAdQBsAGwAcwAgAFwAdQAwADAAMwBjACAAMQAgAHkAZQBhAHIAXAAiACwAIAAwAC4AMAAyADAAN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kAbgBjAHIAZQBhAHMAZQBkAE0AZQB0AGEAYgBvAGwAaQBjAFIAYQB0AGUATQBpAGwAawBcAG4AVABhAGIAbABlACAAQQAuADEALgAzAC4AOQA6ACAARABhAGkAcgB5ACAAYwBhAHQAdABsAGUAIAAtACAASQBuAGMAcgBlAGEAcwBlAGQAIABtAGUAdABhAGIAbwBsAGkAYwAgAHIAYQB0AGUAIAB3AGgAZQBuACAAcAByAG8AZAB1AGMAaQBuAGcAIABtAGkAbABrACAAKABrAGcAIABEAE0ALwBoAGUAYQBkAC8AZABhAHkAKQAgACgATQBSAGoAKQBcAG4ALQAtAC0ALQAtAC0ALQAtAC0ALQAtAC0ALQAtAC0ALQAtAC0ALQAtAC0ALQAtAC0ALQAtAC0ALQAtAC0ALQAtAC0ALQAtAC0ALQAtAFwAbgAqAC8AXABuAFwAbgBTAG8AdQByAGMAZQBEAGEAdABhAF8ARABhAGkAcgB5AF8ASQBuAGMAcgBlAGEAcwBlAGQATQBlAHQAYQBiAG8AbABpAGMAUgBhAHQAZQBNAGkAbABrAF8AVABpAHQAbABlAFwAbgAgACAAPQBMAEEATQBCAEQAQQAoAFwAIgBUAGEAYgBsAGUAIABBAC4AMQAuADMALgA5ADoAIABEAGEAaQByAHkAIABjAGEAdAB0AGwAZQAgAC0AIABJAG4AYwByAGUAYQBzAGUAZAAgAG0AZQB0AGEAYgBvAGwAaQBjACAAcgBhAHQAZQAgAHcAaABlAG4AIABwAHIAbwBkAHUAYwBpAG4AZwAgAG0AaQBsAGsAIAAoAE0AUgBqACkAXAAiACkAOwBcAG4AXABuAFMAbwB1AHIAYwBlAEQAYQB0AGEAXwBEAGEAaQByAHkAXwBJAG4AYwByAGUAYQBzAGUAZABNAGUAdABhAGIAbwBsAGkAYwBSAGEAdABlAE0AaQBsAGsAXwBWAGEAcgBpAGEAYgBsAGUAXABuACAAIAA9AEwAQQBNAEIARABBACgAXAAiAE0AUgBqAFwAIgApADsAXABuAFwAbgBTAG8AdQByAGMAZQBEAGEAdABhAF8ARABhAGkAcgB5AF8ASQBuAGMAcgBlAGEAcwBlAGQATQBlAHQAYQBiAG8AbABpAGMAUgBhAHQAZQBNAGkAbABrAF8AVQBuAGkAdABcAG4AIAAgAD0ATABBAE0AQgBEAEEAKABcACIAXAAiACkAOwBcAG4AXABuAFMAbwB1AHIAYwBlAEQAYQB0AGEAXwBEAGEAaQByAHkAXwBJAG4AYwByAGUAYQBzAGUAZABNAGUAdABhAGIAbwBsAGkAYwBSAGEAdABlAE0AaQBsAGsAXwBTAG8AdQByAGMAZQBcAG4AIAAgAD0ATABBAE0AQgBEAEEAKABcACIAVgBFAEUAUgBHACAAMgAwADIANgA6ACAAVABhAGIAbABlACAAQQAuADEALgAzAC4AOQBcACIAKQA7AFwAbgBcAG4AUwBvAHUAcgBjAGUARABhAHQAYQBfAEQAYQBpAHIAeQBfAEkAbgBjAHIAZQBhAHMAZQBkAE0AZQB0AGEAYgBvAGwAaQBjAFIAYQB0AGUATQBpAGwAawBfAFYAYQByAGkAYQB0AGkAbwBuAFwAbgAgACAAPQBMAEEATQBCAEQAQQAoAFwAIgBcACIAKQA7AFwAbgBcAG4AUwBvAHUAcgBjAGUARABhAHQAYQBfAEQAYQBpAHIAeQBfAEkAbgBjAHIAZQBhAHMAZQBkAE0AZQB0AGEAYgBvAGwAaQBjAFIAYQB0AGUATQBpAGwAa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IAagBcACIAOwBcAG4AIAAgACAAIAAgACAAIAAgACAAIABcACIATQBpAGwAawBpAG4AZwAgAGMAbwB3AHMALAAgAGEAbgBkACAAaABvAHUAcwBlACAAYwBvAHcAcwBcACIALAAgADEALgAxADsAXABuACAAIAAgACAAIAAgACAAIAAgACAAXAAiAEEAbABsACAAbwB0AGgAZQByACAAYwBhAHQAdABsAGUAIABjAGwAYQBzAHMAZQBzAFwAIgAsACAAMQAu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GAHIAYQBjAHQAaQBvAG4AVgBvAGwAYQB0AGkAbABlAFMAbwBsAGkAZABzAFYAbwBpAGQAZQBkAE0ATQBTAFwAbgBUAGEAYgBsAGUAIABBAC4AMQAuADMALgAxADAAOgAgAEQAYQBpAHIAeQAgAGMAYQB0AHQAbABlACAALQAgAEYAcgBhAGMAdABpAG8AbgAgAG8AZgAgAHYAbwBsAGEAdABpAGwAZQAgAHMAbwBsAGkAZABzACAAdgBvAGkAZABlAGQAIAB0AG8AIABlAGEAYwBoACAAbQBhAG4AdQByAGUAIABtAGEAbgBhAGcAZQBtAGUAbgB0ACAAcwB5AHMAdABlAG0AIAAoAGYAcgBhAGMAdABpAG8AbgApACAAKABNAE0AUwBqAG0AKQBcAG4ALQAtAC0ALQAtAC0ALQAtAC0ALQAtAC0ALQAtAC0ALQAtAC0ALQAtAC0ALQAtAC0ALQAtAC0ALQAtAC0ALQAtAC0ALQAtAC0ALQAtAFwAbgAqAC8AXABuAFwAbgBTAG8AdQByAGMAZQBEAGEAdABhAF8ARABhAGkAcgB5AF8ARgByAGEAYwB0AGkAbwBuAFYAbwBsAGEAdABpAGwAZQBTAG8AbABpAGQAcwBWAG8AaQBkAGUAZABNAE0AUwBfAFQAaQB0AGwAZQBcAG4AIAAgAD0ATABBAE0AQgBEAEEAKABcACI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AiACkAOwBcAG4AXABuAFMAbwB1AHIAYwBlAEQAYQB0AGEAXwBEAGEAaQByAHkAXwBGAHIAYQBjAHQAaQBvAG4AVgBvAGwAYQB0AGkAbABlAFMAbwBsAGkAZABzAFYAbwBpAGQAZQBkAE0ATQBTAF8AVgBhAHIAaQBhAGIAbABlAFwAbgAgACAAPQBMAEEATQBCAEQAQQAoAFwAIgBNAE0AUwBqAG0AXAAiACkAOwBcAG4AXABuAFMAbwB1AHIAYwBlAEQAYQB0AGEAXwBEAGEAaQByAHkAXwBGAHIAYQBjAHQAaQBvAG4AVgBvAGwAYQB0AGkAbABlAFMAbwBsAGkAZABzAFYAbwBpAGQAZQBkAE0ATQBTAF8AVQBuAGkAdABcAG4AIAAgAD0ATABBAE0AQgBEAEEAKABcACIAZgByAGEAYwB0AGkAbwBuAFwAIgApADsAXABuAFwAbgBTAG8AdQByAGMAZQBEAGEAdABhAF8ARABhAGkAcgB5AF8ARgByAGEAYwB0AGkAbwBuAFYAbwBsAGEAdABpAGwAZQBTAG8AbABpAGQAcwBWAG8AaQBkAGUAZABNAE0AUwBfAFMAbwB1AHIAYwBlAFwAbgAgACAAPQBMAEEATQBCAEQAQQAoAFwAIgBWAEUARQBSAEcAIAAyADAAMgA2ADoAIABUAGEAYgBsAGUAIABBAC4AMQAuADMALgAxADAAXAAiACkAOwBcAG4AXABuAFMAbwB1AHIAYwBlAEQAYQB0AGEAXwBEAGEAaQByAHkAXwBGAHIAYQBjAHQAaQBvAG4AVgBvAGwAYQB0AGkAbABlAFMAbwBsAGkAZABzAFYAbwBpAGQAZQBkAE0ATQBTAF8AVgBhAHIAaQBhAHQAaQBvAG4AXABuACAAIAA9AEwAQQBNAEIARABBACgAXAAiAFYAQQBSAEkAQQBUAEkATwBOACAATwBGACAAUwBPAFUAUgBDAEUAOgAgAEUAeABjAGwAdQBkAGUAZAAgAFwAdQAwADAAMgA3AEEAbgBuAHUAYQBsACAAZgByAGEAYwB0AGkAbwBuACAAbwBmACAAdABpAG0AZQAgAHMAcABlAG4AdAAgAHAAZQByACAAYQByAGUAYQBcAHUAMAAwADIANwAgAHIAbwB3ACAAYQBzACAAdABoAGkAcwAgAGkAbgBmAG8AcgBtAGEAdABpAG8AbgAgAGkAcwAgAGkAbgAgAHQAaABlACAAdABhAGIAbABlACAAdABpAHQAbABlAC4AXAAiACkAOwBcAG4AXABuAFMAbwB1AHIAYwBlAEQAYQB0AGEAXwBEAGEAaQByAHkAXwBGAHIAYQBjAHQAaQBvAG4AVgBvAGwAYQB0AGkAbABlAFMAbwBsAGkAZABzAFYAbwBpAGQAZQBkAE0ATQBTAF8ARABhAHQAYQBcAG4AIAAgAD0ATABBAE0AQgBEAEEAKABcAG4AIAAgACAAIABNAEEASwBFAEEAUgBSAEEAWQAoADUALAAgADQALABcAG4AIAAgACAAIAAgACAATABBAE0AQgBEAEEAKAByACwAYwAsAFwAbgAgACAAIAAgACAAIAAgACAASQBOAEQARQBYACgAewBcAG4AIAAgACAAIAAgACAAIAAgACAAIABcACIAQQByAGUAYQBcACIALAAgAFwAIgBQAGEAcwB0AHUAcgBlAFwAIgAsACAAXAAiAE0AaQBsAGsAaQBuAGcAIABTAGgAZQBkAFwAIgAsACAAXAAiAEYAZQBlAGQAcABhAGQAXAAiADsAXABuACAAIAAgACAAIAAgACAAIAAgACAAXAAiAFMAeQBzAHQAZQBtACAAMQA6ACAARwByAGEAegBlAGQAIABPAG4AbAB5AFwAIgAsACAAMAAuADgAOQAsACAAMAAuADEAMQAsACAAMAA7AFwAbgAgACAAIAAgACAAIAAgACAAIAAgAFwAIgBTAHkAcwB0AGUAbQAgADIAOgAgAE8AbgAgAGYAZQBlAGQAcABhAGQAIABmAG8AcgAgAFwAdQAwADAAMwBjADEAMAAgAGgAcgAvAGQAYQB5ACAAZgBvAHIAIABcAHUAMAAwADMAYwAzACAAbQBvAG4AdABoAHMALwB5AGUAYQByAFwAIgAsACAAMAAuADcAOQAsACAAMAAuADEAMQAsACAAMAAuADEAMAA7AFwAbgAgACAAIAAgACAAIAAgACAAIAAgAFwAIgBTAHkAcwB0AGUAbQAgADMAOgAgAFAAYQBzAHQAdQByAGUALQBnAHIAYQB6AGUAZAAgADMALQA5ACAAbQBvAG4AdABoAHMALwB5AGUAYQByAFwAIgAsACAAMAAuADUAMwA0ACwAIAAwAC4AMQAxACwAIAAwAC4AMwA1ADYAOwBcAG4AIAAgACAAIAAgACAAIAAgACAAIABcACIAUwB5AHMAdABlAG0AIAA0ADoAIABaAGUAcgBvACAAZwByAGEAegBpAG4AZwBcACIALAAgADAALAAgADAALgAxADEALAAgADAALgA4ADk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FAEYATgBpAHQAcgBvAHUAcwBPAHgAaQBkAGUAUABlAHIATQBNAFMAXABuAFQAYQBiAGwAZQAgAEEALgAxAC4AMwAuADEAMQA6ACAARABhAGkAcgB5ACAAYwBhAHQAdABsAGUAIAAtACAARQBGACAAZgBvAHIAIABuAGkAdAByAG8AdQBzACAAbwB4AGkAZABlACAAcABlAHIAIABNAE0AUwAgACgAawBnACAATgAyAE8ALQBOAC8AawBnACAATgApACAAKABFAEYAbQApAFwAbgAtAC0ALQAtAC0ALQAtAC0ALQAtAC0ALQAtAC0ALQAtAC0ALQAtAC0ALQAtAC0ALQAtAC0ALQAtAC0ALQAtAC0ALQAtAC0ALQAtAC0AXABuACoALwBcAG4AXABuAFMAbwB1AHIAYwBlAEQAYQB0AGEAXwBEAGEAaQByAHkAXwBFAEYATgBpAHQAcgBvAHUAcwBPAHgAaQBkAGUAUABlAHIATQBNAFMAXwBUAGkAdABsAGUAXABuACAAIAA9AEwAQQBNAEIARABBACgAXAAiAFQAYQBiAGwAZQAgAEEALgAxAC4AMwAuADEAMQA6ACAARABhAGkAcgB5ACAAYwBhAHQAdABsAGUAIAAtACAARQBGACAAZgBvAHIAIABuAGkAdAByAG8AdQBzACAAbwB4AGkAZABlACAAcABlAHIAIABNAE0AUwAgACgAawBnACAATgAyAE8ALQBOAC8AawBnACAATgApACAAKABFAEYAbQApAFwAIgApADsAXABuAFwAbgBTAG8AdQByAGMAZQBEAGEAdABhAF8ARABhAGkAcgB5AF8ARQBGAE4AaQB0AHIAbwB1AHMATwB4AGkAZABlAFAAZQByAE0ATQBTAF8AVgBhAHIAaQBhAGIAbABlAFwAbgAgACAAPQBMAEEATQBCAEQAQQAoAFwAIgBFAEYAbQBcACIAKQA7AFwAbgBcAG4AUwBvAHUAcgBjAGUARABhAHQAYQBfAEQAYQBpAHIAeQBfAEUARgBOAGkAdAByAG8AdQBzAE8AeABpAGQAZQBQAGUAcgBNAE0AUwBfAFUAbgBpAHQAXABuACAAIAA9AEwAQQBNAEIARABBACgAXAAiAGsAZwAgAE4AMgBPAC0ATgAvAGsAZwAgAE4AXAAiACkAOwBcAG4AXABuAFMAbwB1AHIAYwBlAEQAYQB0AGEAXwBEAGEAaQByAHkAXwBFAEYATgBpAHQAcgBvAHUAcwBPAHgAaQBkAGUAUABlAHIATQBNAFMAXwBTAG8AdQByAGMAZQBcAG4AIAAgAD0ATABBAE0AQgBEAEEAKABcACIAVgBFAEUAUgBHACAAMgAwADIANgA6ACAAVABhAGIAbABlACAAQQAuADEALgAzAC4AMQAxAFwAIgApADsAXABuAFwAbgBTAG8AdQByAGMAZQBEAGEAdABhAF8ARABhAGkAcgB5AF8ARQBGAE4AaQB0AHIAbwB1AHMATwB4AGkAZABlAFAAZQByAE0ATQBT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FAEYATgBpAHQAcgBvAHUAcwBPAHgAaQBkAGUAUABlAHIATQBNAFMAXwBEAGEAdABhAFwAbgAgACAAPQBMAEEATQBCAEQAQQAoAFwAbgAgACAAIAAgAE0AQQBLAEUAQQBSAFIAQQBZACgANgAsACAAMwAsAFwAbgAgACAAIAAgACAAIABMAEEATQBCAEQAQQAoAHIALABjACwAXABuACAAIAAgACAAIAAgACAAIABJAE4ARABFAFgAKAB7AFwAbgAgACAAIAAgACAAIAAgACAAIAAgAFwAIgBNAE0AUwAgAG0AXAAiACwAIABcACIARQBGAG0AXAAiACwAIABcACIATgBJAFIAIAByAGUAZgBlAHIAZQBuAGMAZQBcACIAOwBcAG4AIAAgACAAIAAgACAAIAAgACAAIABcACIAbQA9ADEANAAgAFAAYQBzAHQAdQByAGUAXAAiACwAIAAwACwAIABcACIAUABhAHMAdAB1AHIAZQAgAHIAYQBuAGcAZQAgAGEAbgBkACAAcABhAGQAZABvAGMAawBcACIAOwBcAG4AIAAgACAAIAAgACAAIAAgACAAIABcACIAbQA9ADEAIABBAG4AZQByAG8AYgBpAGMAIABMAGEAZwBvAG8AbgBcACIALAAgADAALAAgAFwAIgBBAG4AYQBlAHIAbwBiAGkAYwAgAGwAYQBnAG8AbwBuAFwAIgA7AFwAbgAgACAAIAAgACAAIAAgACAAIAAgAFwAIgBtAD0AMgAgAEQAYQBpAGwAeQAgAFMAcAByAGUAYQBkADoAIABTAHUAbQBwACAAYQBuAGQAIABkAGkAcwBwAGUAcgBzAGEAbABcACIALAAgADAALAAgAFwAIgBTAHUAbQBwACAAYQBuAGQAIABkAGkAcwBwAGUAcgBzAGEAbAAgAHMAeQBzAHQAZQBtAFwAIgA7AFwAbgAgACAAIAAgACAAIAAgACAAIAAgAFwAIgBtAD0AMwAgAEQAYQBpAGwAeQAgAFMAcAByAGUAYQBkADoAIABEAHIAYQBpAG4AcwAgAHQAbwAgAHAAYQBkAGQAbwBjAGsAcwBcACIALAAgADAALAAgAFwAIgBEAHIAYQBpAG4AcwAgAHQAbwAgAHAAYQBkAGQAbwBjAGsAXAAiADsAXABuACAAIAAgACAAIAAgACAAIAAgACAAXAAiAG0APQA0ACAAUwBvAGwAaQBkACAAUwB0AG8AcgBhAGcAZQBcACIALAAgADAALgAwADAANQAsACAAXAAiAFMAbwBsAGkAZAAgAHMAdABvAHIAYQBnAGU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EAGEAaQByAHkAXwBEAHUAcgBhAHQAaQBvAG4ATwBmAFMAdABhAHkAXABuAEQAdQByAGEAdABpAG8AbgAgAG8AZgAgAHMAdABhAHkAIABmAG8AcgAgAGUAYQBjAGgAIABkAGEAaQByAHkAIABjAGEAdAB0AGwAZQAgAGkAbgBwAHUAdAAgAGMAbABhAHMAcwBcAG4ALQAtAC0ALQAtAC0ALQAtAC0ALQAtAC0ALQAtAC0ALQAtAC0ALQAtAC0ALQAtAC0ALQAtAC0ALQAtAC0ALQAtAC0ALQAtAC0ALQAtAFwAbgAqAC8AXABuAFwAbgBTAG8AdQByAGMAZQBEAGEAdABhAF8ARABhAGkAcgB5AF8ARAB1AHIAYQB0AGkAbwBuAE8AZgBTAHQAYQB5AF8AVABpAHQAbABlAFwAbgAgACAAPQBMAEEATQBCAEQAQQAoAFwAIgBEAHUAcgBhAHQAaQBvAG4AIABvAGYAIABzAHQAYQB5ACAAZgBvAHIAIABlAGEAYwBoACAAZABhAGkAcgB5ACAAYwBhAHQAdABsAGUAIABpAG4AcAB1AHQAIABjAGwAYQBzAHMAXAAiACkAOwBcAG4AXABuAFMAbwB1AHIAYwBlAEQAYQB0AGEAXwBEAGEAaQByAHkAXwBEAHUAcgBhAHQAaQBvAG4ATwBmAFMAdABhAHkAXwBWAGEAcgBpAGEAYgBsAGUAXABuACAAIAA9AEwAQQBNAEIARABBACgAXAAiAEQAXAAiACkAOwBcAG4AXABuAFMAbwB1AHIAYwBlAEQAYQB0AGEAXwBEAGEAaQByAHkAXwBEAHUAcgBhAHQAaQBvAG4ATwBmAFMAdABhAHkAXwBVAG4AaQB0AFwAbgAgACAAPQBMAEEATQBCAEQAQQAoAFwAIgBkAGEAeQBzAFwAIgApADsAXABuAFwAbgBTAG8AdQByAGMAZQBEAGEAdABhAF8ARABhAGkAcgB5AF8ARAB1AHIAYQB0AGkAbwBuAE8AZgBTAHQAYQB5AF8AUwBvAHUAcgBjAGUAXABuACAAIAA9AEwAQQBNAEIARABBACgAXAAiAFYARQBFAFIARwAgADIAMAAyADYAOgAgADQALgAzAC4AMgAuADIAXAB0AEQAQQBUAEEAIAAoAE0ARQBUAEgATwBEACAAMQAgAEEATgBEACAAMgAgAE8AUABUAEkATwBOAFMAKQBcACIAKQA7AFwAbgBcAG4AUwBvAHUAcgBjAGUARABhAHQAYQBfAEQAYQBpAHIAeQBfAEQAdQByAGEAdABpAG8AbgBPAGYAUwB0AGEAeQBfAFYAYQByAGkAYQB0AGkAbwBuAFwAbgAgACAAPQBMAEEATQBCAEQAQQAoAFwAIgBWAEEAUgBJAEEAVABJAE8ATgAgAE8ARgAgAFMATwBVAFIAQwBFADoAIABDAG8AbgB2AGUAcgB0AGUAZAAgAGYAcgBlAGUAIAB0AGUAeAB0ACAAaQBuACAAZABvAGMAdQBtAGUAbgB0ACAAdABvACAAdABhAGIAbABlACwAIABtAGEAdABjAGgAaQBuAGcAIABsAGkAdgBlAHMAdABvAGMAawAgAGMAbABhAHMAcwAgAG4AYQBtAGUAcwAuAFwAIgApADsAXABuAFwAbgBTAG8AdQByAGMAZQBEAGEAdABhAF8ARABhAGkAcgB5AF8ARAB1AHIAYQB0AGkAbwBuAE8AZgBTAHQAYQB5AF8ARABhAHQAYQBcAG4AIAAgAD0ATABBAE0AQgBEAEEAKABcAG4AIAAgACAAIABNAEEASwBFAEEAUgBSAEEAWQAoADYALAAgADMALABcAG4AIAAgACAAIAAgACAATABBAE0AQgBEAEEAKAByACwAYwAsAFwAbgAgACAAIAAgACAAIAAgACAASQBOAEQARQBYACgAewBcAG4AIAAgACAAIAAgACAAIAAgACAAIABcACIAQQBuAGkAbQBhAGwAIABjAGwAYQBzAHMAIABqAFwAIgAsACAAXAAiAEQAdQByAGEAdABpAG8AbgAgACgAdwBlAGEAbgBlAGQAKQBcACIALAAgAFwAIgBEAHUAcgBhAHQAaQBvAG4AIAAoAHAAcgBlAC0AdwBlAGEAbgBlAGQAKQBcACIAOwBcAG4AIAAgACAAIAAgACAAIAAgACAAIABcACIATQBpAGwAawBpAG4AZwAgAGMAbwB3AHMAXAAiACwAIAAzADYANQAsACAAMAA7AFwAbgAgACAAIAAgACAAIAAgACAAIAAgAFwAIgBIAGUAaQBmAGUAcgBzACAAXAB1ADAAMAAzAGUAIAAxACAAeQBlAGEAcgBcACIALAAgADMANgA1ACwAIAAwADsAXABuACAAIAAgACAAIAAgACAAIAAgACAAXAAiAEgAZQBpAGYAZQByAHMAIABcAHUAMAAwADMAYwAgADEAIAB5AGUAYQByAFwAIgAsACAAMgA4ADEALAAgADgANAA7AFwAbgAgACAAIAAgACAAIAAgACAAIAAgAFwAIgBCAHUAbABsAHMAIABcAHUAMAAwADMAZQAgADEAIAB5AGUAYQByAFwAIgAsACAAMwA2ADUALAAgADAAOwBcAG4AIAAgACAAIAAgACAAIAAgACAAIABcACIAQgB1AGwAbABzACAAXAB1ADAAMAAzAGMAIAAxACAAeQBlAGEAcgBcACIALAAgADIAOAAxACwAIAA4ADQ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QwByAHUAZABlAFAAcgBvAHQAZQBpAG4AXABuAEMAcgB1AGQAZQAgAHAAcgBvAHQAZQBpAG4AIABjAG8AbgB0AGUAbgB0ACAAbwBmACAAZgBlAGUAZAAgAGkAbgB0AGEAawBlAFwAbgAtAC0ALQAtAC0ALQAtAC0ALQAtAC0ALQAtAC0ALQAtAC0ALQAtAC0ALQAtAC0ALQAtAC0ALQAtAC0ALQAtAC0ALQAtAC0ALQAtAC0AXABuACoALwBcAG4AXABuAFMAbwB1AHIAYwBlAEQAYQB0AGEAXwBEAGEAaQByAHkAXwBDAHIAdQBkAGUAUAByAG8AdABlAGkAbgBfAFQAaQB0AGwAZQBcAG4AIAAgAD0ATABBAE0AQgBEAEEAKABcACIAQwByAHUAZABlACAAcAByAG8AdABlAGkAbgAgAGMAbwBuAHQAZQBuAHQAIABvAGYAIABmAGUAZQBkACAAaQBuAHQAYQBrAGUAXAAiACkAOwBcAG4AXABuAFMAbwB1AHIAYwBlAEQAYQB0AGEAXwBEAGEAaQByAHkAXwBDAHIAdQBkAGUAUAByAG8AdABlAGkAbgBfAFYAYQByAGkAYQBiAGwAZQBcAG4AIAAgAD0ATABBAE0AQgBEAEEAKABcACIAQwBQAFwAIgApADsAXABuAFwAbgBTAG8AdQByAGMAZQBEAGEAdABhAF8ARABhAGkAcgB5AF8AQwByAHUAZABlAFAAcgBvAHQAZQBpAG4AXwBVAG4AaQB0AFwAbgAgACAAPQBMAEEATQBCAEQAQQAoAFwAIgBmAHIAYQBjAHQAaQBvAG4AXAAiACkAOwBcAG4AXABuAFMAbwB1AHIAYwBlAEQAYQB0AGEAXwBEAGEAaQByAHkAXwBDAHIAdQBkAGUAUAByAG8AdABlAGkAbgBfAFMAbwB1AHIAYwBlAFwAbgAgACAAPQBMAEEATQBCAEQAQQAoAFwAIgBWAEUARQBSAEcAIAAyADAAMgA2ADoAIAA0AC4AMwAuADIALgAyAFwAdABEAEEAVABBACAAKABNAEUAVABIAE8ARAAgADEAIABBAE4ARAAgADIAIABPAFAAVABJAE8ATgBTACkAXAAiACkAOwBcAG4AXABuAFMAbwB1AHIAYwBlAEQAYQB0AGEAXwBEAGEAaQByAHkAXwBDAHIAdQBkAGUAUAByAG8AdABlAGkAbgBfAFYAYQByAGkAYQB0AGkAbwBuAFwAbgAgACAAPQBMAEEATQBCAEQAQQAoAFwAIgBcACIAKQA7AFwAbgBcAG4AUwBvAHUAcgBjAGUARABhAHQAYQBfAEQAYQBpAHIAeQBfAEMAcgB1AGQAZQBQAHIAbwB0AGUAaQBuAF8ARABhAHQAYQBcAG4AIAAgAD0ATABBAE0AQgBEAEEAKAAwAC4AMgAwACkAOwBcAG4AXABuAFwAbgAvACoAIABcAG4ALQAtAC0ALQAtAC0ALQAtAC0ALQAtAC0ALQAtAC0ALQAtAC0ALQAtAC0ALQAtAC0ALQAtAC0ALQAtAC0ALQAtAC0ALQAtAC0ALQAtAFwAbgBTAG8AdQByAGMAZQBEAGEAdABhAF8ARABhAGkAcgB5AF8ARAByAHkATQBhAHQAdABlAHIARABpAGcAZQBzAHQAaQBiAGkAbABpAHQAeQBcAG4ARAByAHkAIABtAGEAdAB0AGUAcgAgAGQAaQBnAGUAcwB0AGkAYgBpAGwAaQB0AHkAXABuAC0ALQAtAC0ALQAtAC0ALQAtAC0ALQAtAC0ALQAtAC0ALQAtAC0ALQAtAC0ALQAtAC0ALQAtAC0ALQAtAC0ALQAtAC0ALQAtAC0ALQBcAG4AKgAvAFwAbgBcAG4AUwBvAHUAcgBjAGUARABhAHQAYQBfAEQAYQBpAHIAeQBfAEQAcgB5AE0AYQB0AHQAZQByAEQAaQBnAGUAcwB0AGkAYgBpAGwAaQB0AHkAXwBUAGkAdABsAGUAXABuACAAIAA9AEwAQQBNAEIARABBACgAXAAiAEQAcgB5ACAAbQBhAHQAdABlAHIAIABkAGkAZwBlAHMAdABpAGIAaQBsAGkAdAB5AFwAIgApADsAXABuAFwAbgBTAG8AdQByAGMAZQBEAGEAdABhAF8ARABhAGkAcgB5AF8ARAByAHkATQBhAHQAdABlAHIARABpAGcAZQBzAHQAaQBiAGkAbABpAHQAeQBfAFYAYQByAGkAYQBiAGwAZQBcAG4AIAAgAD0ATABBAE0AQgBEAEEAKABcACIARABNAEQAXAAiACkAOwBcAG4AXABuAFMAbwB1AHIAYwBlAEQAYQB0AGEAXwBEAGEAaQByAHkAXwBEAHIAeQBNAGEAdAB0AGUAcgBEAGkAZwBlAHMAdABpAGIAaQBsAGkAdAB5AF8AVQBuAGkAdABcAG4AIAAgAD0ATABBAE0AQgBEAEEAKABcACIAZgByAGEAYwB0AGkAbwBuAFwAIgApADsAXABuAFwAbgBTAG8AdQByAGMAZQBEAGEAdABhAF8ARABhAGkAcgB5AF8ARAByAHkATQBhAHQAdABlAHIARABpAGcAZQBzAHQAaQBiAGkAbABpAHQAeQBfAFMAbwB1AHIAYwBlAFwAbgAgACAAPQBMAEEATQBCAEQAQQAoAFwAIgBWAEUARQBSAEcAIAAyADAAMgA2ADoAIAAzAC4AMwAuADIALgAyAFwAdABEAEEAVABBACAAKABNAEUAVABIAE8ARAAgADEAIABBAE4ARAAgADIAIABPAFAAVABJAE8ATgBTACkAXAAiACkAOwBcAG4AXABuAFMAbwB1AHIAYwBlAEQAYQB0AGEAXwBEAGEAaQByAHkAXwBEAHIAeQBNAGEAdAB0AGUAcgBEAGkAZwBlAHMAdABpAGIAaQBsAGkAdAB5AF8AVgBhAHIAaQBhAHQAaQBvAG4AXABuACAAIAA9AEwAQQBNAEIARABBACgAXAAiAFwAIgApADsAXABuAFwAbgBTAG8AdQByAGMAZQBEAGEAdABhAF8ARABhAGkAcgB5AF8ARAByAHkATQBhAHQAdABlAHIARABpAGcAZQBzAHQAaQBiAGkAbABpAHQAeQBfAEQAYQB0AGEAXABuACAAIAA9AEwAQQBNAEIARABBACgAMAAuADcANQApADsAXABuAFwAbgBcAG4ALwAqACAAXABuAC0ALQAtAC0ALQAtAC0ALQAtAC0ALQAtAC0ALQAtAC0ALQAtAC0ALQAtAC0ALQAtAC0ALQAtAC0ALQAtAC0ALQAtAC0ALQAtAC0ALQBcAG4AUwBvAHUAcgBjAGUARABhAHQAYQBfAEQAYQBpAHIAeQBfAE4AZQB0AEUAbgBlAHIAZwB5AFwAbgBOAGUAdAAgAGUAbgBlAHIAZwB5ACAAcgBlAHEAdQBpAHIAZQBkACAAZgBvAHIAIABtAGkAbABrACAAcAByAG8AZAB1AGMAdABpAG8AbgBcAG4ALQAtAC0ALQAtAC0ALQAtAC0ALQAtAC0ALQAtAC0ALQAtAC0ALQAtAC0ALQAtAC0ALQAtAC0ALQAtAC0ALQAtAC0ALQAtAC0ALQAtAFwAbgAqAC8AXABuAFwAbgBTAG8AdQByAGMAZQBEAGEAdABhAF8ARABhAGkAcgB5AF8ATgBlAHQARQBuAGUAcgBnAHkAXwBUAGkAdABsAGUAXABuACAAIAA9AEwAQQBNAEIARABBACgAXAAiAE4AZQB0ACAAZQBuAGUAcgBnAHkAIAByAGUAcQB1AGkAcgBlAGQAIABmAG8AcgAgAG0AaQBsAGsAIABwAHIAbwBkAHUAYwB0AGkAbwBuAFwAIgApADsAXABuAFwAbgBTAG8AdQByAGMAZQBEAGEAdABhAF8ARABhAGkAcgB5AF8ATgBlAHQARQBuAGUAcgBnAHkAXwBWAGEAcgBpAGEAYgBsAGUAXABuACAAIAA9AEwAQQBNAEIARABBACgAXAAiAE4ARQBcACIAKQA7AFwAbgBcAG4AUwBvAHUAcgBjAGUARABhAHQAYQBfAEQAYQBpAHIAeQBfAE4AZQB0AEUAbgBlAHIAZwB5AF8AVQBuAGkAdABcAG4AIAAgAD0ATABBAE0AQgBEAEEAKABcACIATQBKACAAbgBlAHQAIABlAG4AZQByAGcAeQAgAC8AIABrAGcAIABtAGkAbABrAFwAIgApADsAXABuAFwAbgBTAG8AdQByAGMAZQBEAGEAdABhAF8ARABhAGkAcgB5AF8ATgBlAHQARQBuAGUAcgBnAHkAXwBTAG8AdQByAGMAZQBcAG4AIAAgAD0ATABBAE0AQgBEAEEAKABcACIAVgBFAEUAUgBHACAAMgAwADIANgA6ACAAMwAuADMALgAyAC4AMwAgAEMATwBOAFMAVABBAE4AVABTAFwAIgApADsAXABuAFwAbgBTAG8AdQByAGMAZQBEAGEAdABhAF8ARABhAGkAcgB5AF8ATgBlAHQARQBuAGUAcgBnAHkAXwBWAGEAcgBpAGEAdABpAG8AbgBcAG4AIAAgAD0ATABBAE0AQgBEAEEAKABcACIAXAAiACkAOwBcAG4AXABuAFMAbwB1AHIAYwBlAEQAYQB0AGEAXwBEAGEAaQByAHkAXwBOAGUAdABFAG4AZQByAGcAeQBfAEQAYQB0AGEAXABuACAAIAA9AEwAQQBNAEIARABBACgAMwAuADAANQA0ACkAOwBcAG4AXABuAFwAbgAvACoAIABcAG4ALQAtAC0ALQAtAC0ALQAtAC0ALQAtAC0ALQAtAC0ALQAtAC0ALQAtAC0ALQAtAC0ALQAtAC0ALQAtAC0ALQAtAC0ALQAtAC0ALQAtAFwAbgBTAG8AdQByAGMAZQBEAGEAdABhAF8ARABhAGkAcgB5AF8ARwByAG8AcwBzAEUAbgBlAHIAZwB5AEMAbwBuAHQAZQBuAHQAXABuAEcAcgBvAHMAcwAgAGUAbgBlAHIAZwB5ACAAYwBvAG4AdABlAG4AdAAgAG8AZgAgAGYAZQBlAGQAIABkAHIAeQAgAG0AYQB0AHQAZQByAFwAbgAtAC0ALQAtAC0ALQAtAC0ALQAtAC0ALQAtAC0ALQAtAC0ALQAtAC0ALQAtAC0ALQAtAC0ALQAtAC0ALQAtAC0ALQAtAC0ALQAtAC0AXABuACoALwBcAG4AXABuAFMAbwB1AHIAYwBlAEQAYQB0AGEAXwBEAGEAaQByAHkAXwBHAHIAbwBzAHMARQBuAGUAcgBnAHkAQwBvAG4AdABlAG4AdABfAFQAaQB0AGwAZQBcAG4AIAAgAD0ATABBAE0AQgBEAEEAKABcACIARwByAG8AcwBzACAAZQBuAGUAcgBnAHkAIABjAG8AbgB0AGUAbgB0ACAAbwBmACAAZgBlAGUAZAAgAGQAcgB5ACAAbQBhAHQAdABlAHIAXAAiACkAOwBcAG4AXABuAFMAbwB1AHIAYwBlAEQAYQB0AGEAXwBEAGEAaQByAHkAXwBHAHIAbwBzAHMARQBuAGUAcgBnAHkAQwBvAG4AdABlAG4AdABfAFYAYQByAGkAYQBiAGwAZQBcAG4AIAAgAD0ATABBAE0AQgBEAEEAKABcACIARwBFAEMAXAAiACkAOwBcAG4AXABuAFMAbwB1AHIAYwBlAEQAYQB0AGEAXwBEAGEAaQByAHkAXwBHAHIAbwBzAHMARQBuAGUAcgBnAHkAQwBvAG4AdABlAG4AdABfAFUAbgBpAHQAXABuACAAIAA9AEwAQQBNAEIARABBACgAXAAiAE0ASgAgAC8AIABrAGcARABNAFwAIgApADsAXABuAFwAbgBTAG8AdQByAGMAZQBEAGEAdABhAF8ARABhAGkAcgB5AF8ARwByAG8AcwBzAEUAbgBlAHIAZwB5AEMAbwBuAHQAZQBuAHQAXwBTAG8AdQByAGMAZQBcAG4AIAAgAD0ATABBAE0AQgBEAEEAKABcACIAVgBFAEUAUgBHACAAMgAwADIANgA6ACAAMwAuADMALgAyAC4AMwAgAEMATwBOAFMAVABBAE4AVABTAFwAIgApADsAXABuAFwAbgBTAG8AdQByAGMAZQBEAGEAdABhAF8ARABhAGkAcgB5AF8ARwByAG8AcwBzAEUAbgBlAHIAZwB5AEMAbwBuAHQAZQBuAHQAXwBWAGEAcgBpAGEAdABpAG8AbgBcAG4AIAAgAD0ATABBAE0AQgBEAEEAKABcACIAXAAiACkAOwBcAG4AXABuAFMAbwB1AHIAYwBlAEQAYQB0AGEAXwBEAGEAaQByAHkAXwBHAHIAbwBzAHMARQBuAGUAcgBnAHkAQwBvAG4AdABlAG4AdABfAEQAYQB0AGEAXABuACAAIAA9AEwAQQBNAEIARABBACgAMQA4AC4ANAApADsAXABuAFwAbgBcAG4ALwAqACAAXABuAC0ALQAtAC0ALQAtAC0ALQAtAC0ALQAtAC0ALQAtAC0ALQAtAC0ALQAtAC0ALQAtAC0ALQAtAC0ALQAtAC0ALQAtAC0ALQAtAC0ALQBcAG4AUwBvAHUAcgBjAGUARABhAHQAYQBfAEQAYQBpAHIAeQBfAEUAZgBmAGkAYwBpAGUAbgBjAHkATwBmAFUAcwBlAE8AZgBNAGUAdABhAGIAbwBsAGkAegBhAGIAbABlAEUAbgBlAHIAZwB5AFwAbgBFAGYAZgBpAGMAaQBlAG4AYwB5ACAAbwBmACAAdQBzAGUAIABvAGYAIABtAGUAdABhAGIAbwBsAGkAegBhAGIAbABlACAAZQBuAGUAcgBnAHkAIABmAG8AcgAgAG0AaQBsAGsAIABwAHIAbwBkAHUAYwB0AGkAbwBuAFwAbgAtAC0ALQAtAC0ALQAtAC0ALQAtAC0ALQAtAC0ALQAtAC0ALQAtAC0ALQAtAC0ALQAtAC0ALQAtAC0ALQAtAC0ALQAtAC0ALQAtAC0AXABuACoALwBcAG4AXABuAFMAbwB1AHIAYwBlAEQAYQB0AGEAXwBEAGEAaQByAHkAXwBFAGYAZgBpAGMAaQBlAG4AYwB5AE8AZgBVAHMAZQBPAGYATQBlAHQAYQBiAG8AbABpAHoAYQBiAGwAZQBFAG4AZQByAGcAeQBfAFQAaQB0AGwAZQBcAG4AIAAgAD0ATABBAE0AQgBEAEEAKABcACIARQBmAGYAaQBjAGkAZQBuAGMAeQAgAG8AZgAgAHUAcwBlACAAbwBmACAAbQBlAHQAYQBiAG8AbABpAHoAYQBiAGwAZQAgAGUAbgBlAHIAZwB5ACAAZgBvAHIAIABtAGkAbABrACAAcAByAG8AZAB1AGMAdABpAG8AbgBcACIAKQA7AFwAbgBcAG4AUwBvAHUAcgBjAGUARABhAHQAYQBfAEQAYQBpAHIAeQBfAEUAZgBmAGkAYwBpAGUAbgBjAHkATwBmAFUAcwBlAE8AZgBNAGUAdABhAGIAbwBsAGkAegBhAGIAbABlAEUAbgBlAHIAZwB5AF8AVgBhAHIAaQBhAGIAbABlAFwAbgAgACAAPQBMAEEATQBCAEQAQQAoAFwAIgBrAFwAIgApADsAXABuAFwAbgBTAG8AdQByAGMAZQBEAGEAdABhAF8ARABhAGkAcgB5AF8ARQBmAGYAaQBjAGkAZQBuAGMAeQBPAGYAVQBzAGUATwBmAE0AZQB0AGEAYgBvAGwAaQB6AGEAYgBsAGUARQBuAGUAcgBnAHkAXwBVAG4AaQB0AFwAbgAgACAAPQBMAEEATQBCAEQAQQAoAFwAIgBmAHIAYQBjAHQAaQBvAG4AXAAiACkAOwBcAG4AXABuAFMAbwB1AHIAYwBlAEQAYQB0AGEAXwBEAGEAaQByAHkAXwBFAGYAZgBpAGMAaQBlAG4AYwB5AE8AZgBVAHMAZQBPAGYATQBlAHQAYQBiAG8AbABpAHoAYQBiAGwAZQBFAG4AZQByAGcAeQBfAFMAbwB1AHIAYwBlAFwAbgAgACAAPQBMAEEATQBCAEQAQQAoAFwAIgBWAEUARQBSAEcAIAAyADAAMgA2ADoAIAAzAC4AMwAuADIALgAzACAAQwBPAE4AUwBUAEEATgBUAFMAXAAiACkAOwBcAG4AXABuAFMAbwB1AHIAYwBlAEQAYQB0AGEAXwBEAGEAaQByAHkAXwBFAGYAZgBpAGMAaQBlAG4AYwB5AE8AZgBVAHMAZQBPAGYATQBlAHQAYQBiAG8AbABpAHoAYQBiAGwAZQBFAG4AZQByAGcAeQBfAFYAYQByAGkAYQB0AGkAbwBuAFwAbgAgACAAPQBMAEEATQBCAEQAQQAoAFwAIgBcACIAKQA7AFwAbgBcAG4AUwBvAHUAcgBjAGUARABhAHQAYQBfAEQAYQBpAHIAeQBfAEUAZgBmAGkAYwBpAGUAbgBjAHkATwBmAFUAcwBlAE8AZgBNAGUAdABhAGIAbwBsAGkAegBhAGIAbABlAEUAbgBlAHIAZwB5AF8ARABhAHQAYQBcAG4AIAAgAD0ATABBAE0AQgBEAEEAKAAwAC4ANgAwACkAOwBcAG4AXABuAFwAbgAvACoAIABcAG4ALQAtAC0ALQAtAC0ALQAtAC0ALQAtAC0ALQAtAC0ALQAtAC0ALQAtAC0ALQAtAC0ALQAtAC0ALQAtAC0ALQAtAC0ALQAtAC0ALQAtAFwAbgBTAG8AdQByAGMAZQBEAGEAdABhAF8ARABhAGkAcgB5AF8AQQBzAGgAQwBvAG4AdABlAG4AdABcAG4AQQBzAGgAIABjAG8AbgB0AGUAbgB0ACAAbwBmACAAbQBhAG4AdQByAGUAXABuAC0ALQAtAC0ALQAtAC0ALQAtAC0ALQAtAC0ALQAtAC0ALQAtAC0ALQAtAC0ALQAtAC0ALQAtAC0ALQAtAC0ALQAtAC0ALQAtAC0ALQBcAG4AKgAvAFwAbgBcAG4AUwBvAHUAcgBjAGUARABhAHQAYQBfAEQAYQBpAHIAeQBfAEEAcwBoAEMAbwBuAHQAZQBuAHQAXwBUAGkAdABsAGUAXABuACAAIAA9AEwAQQBNAEIARABBACgAXAAiAEEAcwBoACAAYwBvAG4AdABlAG4AdAAgAG8AZgAgAG0AYQBuAHUAcgBlAFwAIgApADsAXABuAFwAbgBTAG8AdQByAGMAZQBEAGEAdABhAF8ARABhAGkAcgB5AF8AQQBzAGgAQwBvAG4AdABlAG4AdABfAFYAYQByAGkAYQBiAGwAZQBcAG4AIAAgAD0ATABBAE0AQgBEAEEAKABcACIAQQBcACIAKQA7AFwAbgBcAG4AUwBvAHUAcgBjAGUARABhAHQAYQBfAEQAYQBpAHIAeQBfAEEAcwBoAEMAbwBuAHQAZQBuAHQAXwBVAG4AaQB0AFwAbgAgACAAPQBMAEEATQBCAEQAQQAoAFwAIgBmAHIAYQBjAHQAaQBvAG4AXAAiACkAOwBcAG4AXABuAFMAbwB1AHIAYwBlAEQAYQB0AGEAXwBEAGEAaQByAHkAXwBBAHMAaABDAG8AbgB0AGUAbgB0AF8AUwBvAHUAcgBjAGUAXABuACAAIAA9AEwAQQBNAEIARABBACgAXAAiAFYARQBFAFIARwAgADIAMAAyADYAOgAgADQALgAzAC4AMgAuADMAIABDAE8ATgBTAFQAQQBOAFQAUwBcACIAKQA7AFwAbgBcAG4AUwBvAHUAcgBjAGUARABhAHQAYQBfAEQAYQBpAHIAeQBfAEEAcwBoAEMAbwBuAHQAZQBuAHQAXwBWAGEAcgBpAGEAdABpAG8AbgBcAG4AIAAgAD0ATABBAE0AQgBEAEEAKABcACIAXAAiACkAOwBcAG4AXABuAFMAbwB1AHIAYwBlAEQAYQB0AGEAXwBEAGEAaQByAHkAXwBBAHMAaABDAG8AbgB0AGUAbgB0AF8ARABhAHQAYQBcAG4AIAAgAD0ATABBAE0AQgBEAEEAKAAwAC4AMAA4ACkAOwBcAG4AXABuAFwAbgAvACoAIABcAG4ALQAtAC0ALQAtAC0ALQAtAC0ALQAtAC0ALQAtAC0ALQAtAC0ALQAtAC0ALQAtAC0ALQAtAC0ALQAtAC0ALQAtAC0ALQAtAC0ALQAtAFwAbgBTAG8AdQByAGMAZQBEAGEAdABhAF8ARABhAGkAcgB5AF8ATQBlAHQAaABhAG4AZQBFAG0AaQBzAHMAaQBvAG4AcwBQAG8AdABlAG4AdABpAGEAbABcAG4AQQBzAGgAIABjAG8AbgB0AGUAbgB0ACAAbwBmACAAbQBhAG4AdQByAGUAXABuAC0ALQAtAC0ALQAtAC0ALQAtAC0ALQAtAC0ALQAtAC0ALQAtAC0ALQAtAC0ALQAtAC0ALQAtAC0ALQAtAC0ALQAtAC0ALQAtAC0ALQBcAG4AKgAvAFwAbgBcAG4AUwBvAHUAcgBjAGUARABhAHQAYQBfAEQAYQBpAHIAeQBfAE0AZQB0AGgAYQBuAGUARQBtAGkAcwBzAGkAbwBuAHMAUABvAHQAZQBuAHQAaQBhAGwAXwBUAGkAdABsAGUAXABuACAAIAA9AEwAQQBNAEIARABBACgAXAAiAE0AZQB0AGgAYQBuAGUAIABlAG0AaQBzAHMAaQBvAG4AcwAgAHAAbwB0AGUAbgB0AGkAYQBsAFwAIgApADsAXABuAFwAbgBTAG8AdQByAGMAZQBEAGEAdABhAF8ARABhAGkAcgB5AF8ATQBlAHQAaABhAG4AZQBFAG0AaQBzAHMAaQBvAG4AcwBQAG8AdABlAG4AdABpAGEAbABfAFYAYQByAGkAYQBiAGwAZQBcAG4AIAAgAD0ATABBAE0AQgBEAEEAKABcACIAQgBfAG8AXAAiACkAOwBcAG4AXABuAFMAbwB1AHIAYwBlAEQAYQB0AGEAXwBEAGEAaQByAHkAXwBNAGUAdABoAGEAbgBlAEUAbQBpAHMAcwBpAG8AbgBzAFAAbwB0AGUAbgB0AGkAYQBsAF8AVQBuAGkAdABcAG4AIAAgAD0ATABBAE0AQgBEAEEAKABcACIAbQAzACAAQwBIADQALwBrAGcAVgBTAFwAIgApADsAXABuAFwAbgBTAG8AdQByAGMAZQBEAGEAdABhAF8ARABhAGkAcgB5AF8ATQBlAHQAaABhAG4AZQBFAG0AaQBzAHMAaQBvAG4AcwBQAG8AdABlAG4AdABpAGEAbABfAFMAbwB1AHIAYwBlAFwAbgAgACAAPQBMAEEATQBCAEQAQQAoAFwAIgBWAEUARQBSAEcAIAAyADAAMgA2ADoAIAA0AC4AMwAuADIALgAzACAAQwBPAE4AUwBUAEEATgBUAFMAXAAiACkAOwBcAG4AXABuAFMAbwB1AHIAYwBlAEQAYQB0AGEAXwBEAGEAaQByAHkAXwBNAGUAdABoAGEAbgBlAEUAbQBpAHMAcwBpAG8AbgBzAFAAbwB0AGUAbgB0AGkAYQBsAF8AVgBhAHIAaQBhAHQAaQBvAG4AXABuACAAIAA9AEwAQQBNAEIARABBACgAXAAiAFwAIgApADsAXABuAFwAbgBTAG8AdQByAGMAZQBEAGEAdABhAF8ARABhAGkAcgB5AF8ATQBlAHQAaABhAG4AZQBFAG0AaQBzAHMAaQBvAG4AcwBQAG8AdABlAG4AdABpAGEAbABfAEQAYQB0AGEAXABuACAAIAA9AEwAQQBNAEIARABBACgAMAAuADIANAApADsAXABuAFwAbgAvACoAIABcAG4ALQAtAC0ALQAtAC0ALQAtAC0ALQAtAC0ALQAtAC0ALQAtAC0ALQAtAC0ALQAtAC0ALQAtAC0ALQAtAC0ALQAtAC0ALQAtAC0ALQAtAFwAbgBTAG8AdQByAGMAZQBEAGEAdABhAF8ARABhAGkAcgB5AF8ARQBtAGkAcwBzAGkAbwBuAEYAYQBjAHQAbwByAEYAbwByAEwAZQBhAGMAaABpAG4AZwBBAG4AZABSAHUAbgBvAGYAZgBcAG4ARQBtAGkAcwBzAGkAbwBuACAAZgBhAGMAdABvAHIAIABmAG8AcgAgAGwAZQBhAGMAaABpAG4AZwAgAGEAbgBkACAAcgB1AG4AbwBmAGYAXABuAC0ALQAtAC0ALQAtAC0ALQAtAC0ALQAtAC0ALQAtAC0ALQAtAC0ALQAtAC0ALQAtAC0ALQAtAC0ALQAtAC0ALQAtAC0ALQAtAC0ALQBcAG4AKgAvAFwAbgBcAG4AUwBvAHUAcgBjAGUARABhAHQAYQBfAEQAYQBpAHIAeQBfAEUAbQBpAHMAcwBpAG8AbgBGAGEAYwB0AG8AcgBGAG8AcgBMAGUAYQBjAGgAaQBuAGcAQQBuAGQAUgB1AG4AbwBmAGYAXwBUAGkAdABsAGUAXABuACAAIAA9AEwAQQBNAEIARABBACgAXAAiAEUAbQBpAHMAcwBpAG8AbgAgAGYAYQBjAHQAbwByACAAZgBvAHIAIABsAGUAYQBjAGgAaQBuAGcAIABhAG4AZAAgAHIAdQBuAG8AZgBmAFwAIgApADsAXABuAFwAbgBTAG8AdQByAGMAZQBEAGEAdABhAF8ARABhAGkAcgB5AF8ARQBtAGkAcwBzAGkAbwBuAEYAYQBjAHQAbwByAEYAbwByAEwAZQBhAGMAaABpAG4AZwBBAG4AZABSAHUAbgBvAGYAZgBfAFYAYQByAGkAYQBiAGwAZQBcAG4AIAAgAD0ATABBAE0AQgBEAEEAKABcACIARQBGAF8AbABlAGEAYwBoAFwAIgApADsAXABuAFwAbgBTAG8AdQByAGMAZQBEAGEAdABhAF8ARABhAGkAcgB5AF8ARQBtAGkAcwBzAGkAbwBuAEYAYQBjAHQAbwByAEYAbwByAEwAZQBhAGMAaABpAG4AZwBBAG4AZABSAHUAbgBvAGYAZgBfAFUAbgBpAHQAXABuACAAIAA9AEwAQQBNAEIARABBACgAXAAiAGsAZwAgAE4AMgBPAC0ATgAvAGsAZwAgAE4AXAAiACkAOwBcAG4AXABuAFMAbwB1AHIAYwBlAEQAYQB0AGEAXwBEAGEAaQByAHkAXwBFAG0AaQBzAHMAaQBvAG4ARgBhAGMAdABvAHIARgBvAHIATABlAGEAYwBoAGkAbgBnAEEAbgBkAFIAdQBuAG8AZgBmAF8AUwBvAHUAcgBjAGUAXABuACAAIAA9AEwAQQBNAEIARABBACgAXAAiAFYARQBFAFIARwAgADIAMAAyADYAOgAgADQALgAzAC4AMgAuADMAIABDAE8ATgBTAFQAQQBOAFQAUwBcACIAKQA7AFwAbgBcAG4AUwBvAHUAcgBjAGUARABhAHQAYQBfAEQAYQBpAHIAeQBfAEUAbQBpAHMAcwBpAG8AbgBGAGEAYwB0AG8AcgBGAG8AcgBMAGUAYQBjAGgAaQBuAGcAQQBuAGQAUgB1AG4AbwBmAGYAXwBWAGEAcgBpAGEAdABpAG8AbgBcAG4AIAAgAD0ATABBAE0AQgBEAEEAKABcACIAXAAiACkAOwBcAG4AXABuAFMAbwB1AHIAYwBlAEQAYQB0AGEAXwBEAGEAaQByAHkAXwBFAG0AaQBzAHMAaQBvAG4ARgBhAGMAdABvAHIARgBvAHIATABlAGEAYwBoAGkAbgBnAEEAbgBkAFIAdQBuAG8AZgBmAF8ARABhAHQAYQBcAG4AIAAgAD0ATABBAE0AQgBEAEEAKAAwAC4AMAAxADE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MAbwBsAGkAZABTAHQAbwByAGEAZwBlAFwAbgBGAHIAYQBjAHQAaQBvAG4AIABvAGYAIABuAGkAdAByAG8AZwBlAG4AIABsAG8AcwB0ACAAdABoAHIAbwB1AGcAaAAgAGwAZQBhAGMAaABpAG4AZwAgAGEAbgBkACAAcgB1AG4AbwBmAGYAIABmAG8AcgAgAHMAbwBsAGkAZAAgAHMAdABvAHIAYQBnAGUAIABNAE0AUwAgAG8AbgBsAHkAIAAoAGYAcgBhAGMAdABpAG8AbgAp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MAbwBsAGkAZABTAHQAbwByAGEAZwBlAF8AVABpAHQAbABlAFwAbgAgACAAPQBMAEEATQBCAEQAQQAoAFwAIgBGAHIAYQBjAHQAaQBvAG4AIABvAGYAIABuAGkAdAByAG8AZwBlAG4AIABsAG8AcwB0ACAAdABoAHIAbwB1AGcAaAAgAGwAZQBhAGMAaABpAG4AZwAgAGEAbgBkACAAcgB1AG4AbwBmAGYAIABmAG8AcgAgAHMAbwBsAGkAZAAgAHMAdABvAHIAYQBnAGUAIABNAE0AUwAgAG8AbgBsAHkAXAAiACkAOwBcAG4AXABuAFMAbwB1AHIAYwBlAEQAYQB0AGEAXwBEAGEAaQByAHkAXwBGAHIAYQBjAHQAaQBvAG4ATwBmAE4AaQB0AHIAbwBnAGUAbgBMAG8AcwB0AFQAaAByAG8AdQBnAGgATABlAGEAYwBoAGkAbgBnAEEAbgBkAFIAdQBuAG8AZgBmAFMAbwBsAGkAZABTAHQAbwByAGEAZwBl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TAG8AbABpAGQAUwB0AG8AcgBhAGcAZQBfAFUAbgBpAHQAXABuACAAIAA9AEwAQQBNAEIARABBACgAXAAiAEYAcgBhAGMAdABpAG8AbgBcACIAKQA7AFwAbgBcAG4AUwBvAHUAcgBjAGUARABhAHQAYQBfAEQAYQBpAHIAeQBfAEYAcgBhAGMAdABpAG8AbgBPAGYATgBpAHQAcgBvAGcAZQBuAEwAbwBzAHQAVABoAHIAbwB1AGcAaABMAGUAYQBjAGgAaQBuAGcAQQBuAGQAUgB1AG4AbwBmAGYAUwBvAGwAaQBkAFMAdABvAHIAYQBnAGU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TAG8AbABpAGQAUwB0AG8AcgBhAGcAZQBfAFYAYQByAGkAYQB0AGkAbwBuAFwAbgAgACAAPQBMAEEATQBCAEQAQQAoAFwAIgBcACIAKQA7AFwAbgBcAG4AUwBvAHUAcgBjAGUARABhAHQAYQBfAEQAYQBpAHIAeQBfAEYAcgBhAGMAdABpAG8AbgBPAGYATgBpAHQAcgBvAGcAZQBuAEwAbwBzAHQAVABoAHIAbwB1AGcAaABMAGUAYQBjAGgAaQBuAGcAQQBuAGQAUgB1AG4AbwBmAGYAUwBvAGwAaQBkAFMAdABvAHIAYQBnAGUAXwBEAGEAdABhAFwAbgAgACAAPQBMAEEATQBCAEQAQQAoADAALgAwADI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wAb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CAAXABuAC0ALQAtAC0ALQAtAC0ALQAtAC0ALQAtAC0ALQAtAC0ALQAtAC0ALQAtAC0ALQAtAC0ALQAtAC0ALQAtAC0ALQAtAC0ALQAtAC0ALQBcAG4AKgAvAFwAbgBcAG4AUwBvAHUAcgBjAGUARABhAHQAYQBfAEQAYQBpAHIAeQBfAEYAcgBhAGMAdABpAG8AbgBPAGYATgBpAHQAcgBvAGcAZQBuAEwAbwBzAHQAVABoAHIAbwB1AGcAaABMAGUAYQBjAGgAaQBuAGcAQQBuAGQAUgB1AG4AbwBmAGYAXwBUAGkAdABsAGUAXABuACAAIAA9AEwAQQBNAEIARABBACgAXAAiAEQAZQBmAGEAdQBsAHQAIABmAHIAYQBjAHQAaQBvAG4AIABvAGYAIABOACAAdABoAGEAdAAgAGkAcwAgAGwAbwBzAHQAIAB0AGgAcgBvAHUAZwBoACAAbABlAGEAYwBoAGkAbgBnACAAYQBuAGQAIAByAHUAbgBvAGYAZgAgAHcAaABlAG4AIABtAGEAbgB1AHIAZQAgAGkAcwAgAGUAeABjAHIAZQB0AGUAZAAgAHQAbwAgAHAAYQBzAHQAdQByAGUALAAgAHIAYQBuAGcAZQAgAGEAbgBkACAAcABhAGQAZABvAGMAawAgACgAbQA9ADEANAApAC4AXAAiACkAOwBcAG4AXABuAFMAbwB1AHIAYwBlAEQAYQB0AGEAXwBEAGEAaQByAHkAXwBGAHIAYQBjAHQAaQBvAG4ATwBmAE4AaQB0AHIAbwBnAGUAbgBMAG8AcwB0AFQAaAByAG8AdQBnAGgATABlAGEAYwBoAGkAbgBnAEEAbgBkAFIAdQBuAG8AZgBm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fAFUAbgBpAHQAXABuACAAIAA9AEwAQQBNAEIARABBACgAXAAiAEYAcgBhAGMAdABpAG8AbgBcACIAKQA7AFwAbgBcAG4AUwBvAHUAcgBjAGUARABhAHQAYQBfAEQAYQBpAHIAeQBfAEYAcgBhAGMAdABpAG8AbgBPAGYATgBpAHQAcgBvAGcAZQBuAEwAbwBzAHQAVABoAHIAbwB1AGcAaABMAGUAYQBjAGgAaQBuAGcAQQBuAGQAUgB1AG4AbwBmAGY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fAFYAYQByAGkAYQB0AGkAbwBuAFwAbgAgACAAPQBMAEEATQBCAEQAQQAoAFwAIgBcACIAKQA7AFwAbgBcAG4AUwBvAHUAcgBjAGUARABhAHQAYQBfAEQAYQBpAHIAeQBfAEYAcgBhAGMAdABpAG8AbgBPAGYATgBpAHQAcgBvAGcAZQBuAEwAbwBzAHQAVABoAHIAbwB1AGcAaABMAGUAYQBjAGgAaQBuAGcAQQBuAGQAUgB1AG4AbwBmAGYAXwBEAGEAdABhAFwAbgAgACAAPQBMAEEATQBCAEQAQQAoADAALgAyADQAKQA7AFwAbgBcAG4AXABuAC8AKgAgAFwAbgAtAC0ALQAtAC0ALQAtAC0ALQAtAC0ALQAtAC0ALQAtAC0ALQAtAC0ALQAtAC0ALQAtAC0ALQAtAC0ALQAtAC0ALQAtAC0ALQAtAC0AXABuAFMAbwB1AHIAYwBlAEQAYQB0AGEAXwBEAGEAaQByAHkAXwBGAHIAYQBjAEcAQQBTAE0AUwBvAGkAbABcAG4ARgByAGEAYwB0AGkAbwBuACAAbwBmACAAbgBpAHQAcgBvAGcAZQBuACAAdgBvAGwAYQB0AGkAbABpAHoAZQBkACAAZgByAG8AbQAgAHUAcgBpAG4AZQAgAGEAbgBkACAAZgBhAGUAYwBlAHMAIABkAGUAcABvAHMAaQB0AGUAZAAgAG8AbgAgAHAAYQBzAHQAdQByAGUALgBcAG4ALQAtAC0ALQAtAC0ALQAtAC0ALQAtAC0ALQAtAC0ALQAtAC0ALQAtAC0ALQAtAC0ALQAtAC0ALQAtAC0ALQAtAC0ALQAtAC0ALQAtAFwAbgAqAC8AXABuAFwAbgBTAG8AdQByAGMAZQBEAGEAdABhAF8ARABhAGkAcgB5AF8ARgByAGEAYwBHAEEAUwBNAFMAbwBpAGwAXwBUAGkAdABsAGUAXABuACAAIAA9AEwAQQBNAEIARABBACgAXAAiAEYAcgBhAGMAdABpAG8AbgAgAG8AZgAgAG4AaQB0AHIAbwBnAGUAbgAgAHYAbwBsAGEAdABpAGwAaQB6AGUAZAAgAGYAcgBvAG0AIAB1AHIAaQBuAGUAIABhAG4AZAAgAGYAYQBlAGMAZQBzACAAZABlAHAAbwBzAGkAdABlAGQAIABvAG4AIABwAGEAcwB0AHUAcgBlAFwAIgApADsAXABuAFwAbgBTAG8AdQByAGMAZQBEAGEAdABhAF8ARABhAGkAcgB5AF8ARgByAGEAYwBHAEEAUwBNAFMAbwBpAGwAXwBWAGEAcgBpAGEAYgBsAGUAXABuACAAIAA9AEwAQQBNAEIARABBACgAXAAiAEYAcgBhAGMARwBBAFMATQBzAG8AaQBsAFwAIgApADsAXABuAFwAbgBTAG8AdQByAGMAZQBEAGEAdABhAF8ARABhAGkAcgB5AF8ARgByAGEAYwBHAEEAUwBNAFMAbwBpAGwAXwBVAG4AaQB0AFwAbgAgACAAPQBMAEEATQBCAEQAQQAoAFwAIgAoAGsAZwAgAE4ASAAzAC0ATgAgACsAIABOAE8AeAAtAE4AKQAvAGsAZwAgAE4AXAAiACkAOwBcAG4AXABuAFMAbwB1AHIAYwBlAEQAYQB0AGEAXwBEAGEAaQByAHkAXwBGAHIAYQBjAEcAQQBTAE0AUwBvAGkAbABfAFMAbwB1AHIAYwBlAFwAbgAgACAAPQBMAEEATQBCAEQAQQAoAFwAIgBWAEUARQBSAEcAIAAyADAAMgA2ADoAIAA0AC4AMwAuADIALgAzACAAQwBPAE4AUwBUAEEATgBUAFMAXAAiACkAOwBcAG4AXABuAFMAbwB1AHIAYwBlAEQAYQB0AGEAXwBEAGEAaQByAHkAXwBGAHIAYQBjAEcAQQBTAE0AUwBvAGkAbABfAFYAYQByAGkAYQB0AGkAbwBuAFwAbgAgACAAPQBMAEEATQBCAEQAQQAoAFwAIgBcACIAKQA7AFwAbgBcAG4AUwBvAHUAcgBjAGUARABhAHQAYQBfAEQAYQBpAHIAeQBfAEYAcgBhAGMARwBBAFMATQBTAG8AaQBsAF8ARABhAHQAYQBcAG4AIAAgAD0ATABBAE0AQgBEAEEAKAAwAC4AMgAxACkAOwBcAG4AXABuAFwAbgAvACoAIABcAG4ALQAtAC0ALQAtAC0ALQAtAC0ALQAtAC0ALQAtAC0ALQAtAC0ALQAtAC0ALQAtAC0ALQAtAC0ALQAtAC0ALQAtAC0ALQAtAC0ALQAtAFwAbgBTAG8AdQByAGMAZQBEAGEAdABhAF8ARABhAGkAcgB5AF8ARgBhAHQAQwBvAG4AdABlAG4AdABJAG4ATQBpAGwAawBcAG4ARgBhAHQ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EYAYQB0AEMAbwBuAHQAZQBuAHQASQBuAE0AaQBsAGsAXwBUAGkAdABsAGUAXABuACAAIAA9AEwAQQBNAEIARABBACgAXAAiAEYAYQB0ACAAYwBvAG4AdABlAG4AdAAgAGkAbgAgAGYAYQB0ACAAYQBuAGQAIABwAHIAbwB0AGUAaQBuACAAYwBvAHIAcgBlAGMAdABlAGQAIABtAGkAbABrAFwAIgApADsAXABuAFwAbgBTAG8AdQByAGMAZQBEAGEAdABhAF8ARABhAGkAcgB5AF8ARgBhAHQAQwBvAG4AdABlAG4AdABJAG4ATQBpAGwAawBfAFYAYQByAGkAYQBiAGwAZQBcAG4AIAAgAD0ATABBAE0AQgBEAEEAKABcACIARgBDAF8AagBcACIAKQA7AFwAbgBcAG4AUwBvAHUAcgBjAGUARABhAHQAYQBfAEQAYQBpAHIAeQBfAEYAYQB0AEMAbwBuAHQAZQBuAHQASQBuAE0AaQBsAGsAXwBVAG4AaQB0AFwAbgAgACAAPQBMAEEATQBCAEQAQQAoAFwAIgBwAGUAcgBjAGUAbgB0AFwAIgApADsAXABuAFwAbgBTAG8AdQByAGMAZQBEAGEAdABhAF8ARABhAGkAcgB5AF8ARgBhAHQ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RgBhAHQAQwBvAG4AdABlAG4AdABJAG4ATQBpAGwAawBfAFYAYQByAGkAYQB0AGkAbwBuAFwAbgAgACAAPQBMAEEATQBCAEQAQQAoAFwAIgBcACIAKQA7AFwAbgBcAG4AUwBvAHUAcgBjAGUARABhAHQAYQBfAEQAYQBpAHIAeQBfAEYAYQB0AEMAbwBuAHQAZQBuAHQASQBuAE0AaQBsAGsAXwBEAGEAdABhAFwAbgAgACAAPQBMAEEATQBCAEQAQQAoADQALgAwACkAOwBcAG4AXABuAFwAbgAvACoAIABcAG4ALQAtAC0ALQAtAC0ALQAtAC0ALQAtAC0ALQAtAC0ALQAtAC0ALQAtAC0ALQAtAC0ALQAtAC0ALQAtAC0ALQAtAC0ALQAtAC0ALQAtAFwAbgBTAG8AdQByAGMAZQBEAGEAdABhAF8ARABhAGkAcgB5AF8AUAByAG8AdABlAGkAbgBDAG8AbgB0AGUAbgB0AEkAbgBNAGkAbABrAFwAbgBQAHIAbwB0AGUAaQBu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QAHIAbwB0AGUAaQBuAEMAbwBuAHQAZQBuAHQASQBuAE0AaQBsAGsAXwBUAGkAdABsAGUAXABuACAAIAA9AEwAQQBNAEIARABBACgAXAAiAFAAcgBvAHQAZQBpAG4AIABjAG8AbgB0AGUAbgB0ACAAaQBuACAAZgBhAHQAIABhAG4AZAAgAHAAcgBvAHQAZQBpAG4AIABjAG8AcgByAGUAYwB0AGUAZAAgAG0AaQBsAGsAXAAiACkAOwBcAG4AXABuAFMAbwB1AHIAYwBlAEQAYQB0AGEAXwBEAGEAaQByAHkAXwBQAHIAbwB0AGUAaQBuAEMAbwBuAHQAZQBuAHQASQBuAE0AaQBsAGsAXwBWAGEAcgBpAGEAYgBsAGUAXABuACAAIAA9AEwAQQBNAEIARABBACgAXAAiAFAAQwBfAGoAXAAiACkAOwBcAG4AXABuAFMAbwB1AHIAYwBlAEQAYQB0AGEAXwBEAGEAaQByAHkAXwBQAHIAbwB0AGUAaQBuAEMAbwBuAHQAZQBuAHQASQBuAE0AaQBsAGsAXwBVAG4AaQB0AFwAbgAgACAAPQBMAEEATQBCAEQAQQAoAFwAIgBwAGUAcgBjAGUAbgB0AFwAIgApADsAXABuAFwAbgBTAG8AdQByAGMAZQBEAGEAdABhAF8ARABhAGkAcgB5AF8AUAByAG8AdABlAGkAbg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QAHIAbwB0AGUAaQBuAEMAbwBuAHQAZQBuAHQASQBuAE0AaQBsAGsAXwBWAGEAcgBpAGEAdABpAG8AbgBcAG4AIAAgAD0ATABBAE0AQgBEAEEAKABcACIAXAAiACkAOwBcAG4AXABuAFMAbwB1AHIAYwBlAEQAYQB0AGEAXwBEAGEAaQByAHkAXwBQAHIAbwB0AGUAaQBuAEMAbwBuAHQAZQBuAHQASQBuAE0AaQBsAGsAXwBEAGEAdABhAFwAbgAgACAAPQBMAEEATQBCAEQAQQAoADMALgAzACkAOwAiAH0ALAB7ACIAcABhAHQAaAAiADoAIgAvAHAAcgBvAGoAZQBjAHQAcwAvAFMAbwB1AHIAYwBlAEQAYQB0AGEAXwBTAHcAaQBuAGU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EYAbwByACAAUwB3AGkAbgBlAFwAbgBFAHgAYwBlAGwAIABtAG8AZAB1AGwAZQAgAG4AYQBtAGUAOgAgAFMAbwB1AHIAYwBlAEQAYQB0AGEAXwBTAHcAaQBuAGU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FwAbgAvACoAIABcAG4ALQAtAC0ALQAtAC0ALQAtAC0ALQAtAC0ALQAtAC0ALQAtAC0ALQAtAC0ALQAtAC0ALQAtAC0ALQAtAC0ALQAtAC0ALQAtAC0ALQAtAFwAbgBTAG8AdQByAGMAZQBEAGEAdABhAF8AUwB3AGkAbgBlAF8AVgBvAGwAYQB0AGkAbABlAFMAbwBsAGkAZABzAFwAbgBWAFMAagBcAG4AawBnAC8AaABlAGEAZAAvAGQAYQB5AFwAbgAtAC0ALQAtAC0ALQAtAC0ALQAtAC0ALQAtAC0ALQAtAC0ALQAtAC0ALQAtAC0ALQAtAC0ALQAtAC0ALQAtAC0ALQAtAC0ALQAtAC0AXABuACoALwBcAG4AXABuAFMAbwB1AHIAYwBlAEQAYQB0AGEAXwBTAHcAaQBuAGUAXwBWAG8AbABhAHQAaQBsAGUAUwBvAGwAaQBkAHMAXwBUAGkAdABsAGUAXABuACAAIAA9AEwAQQBNAEIARABBACgAXAAiAFMAdwBpAG4AZQAgAC0AIABWAG8AbABhAHQAaQBsAGUAIABzAG8AbABpAGQAcwAgACgAVgBTAGoAKQAgAC0AIAAyADAAMgAwACAAdABvACAAMgAwADIANABcACIAKQA7AFwAbgBcAG4AUwBvAHUAcgBjAGUARABhAHQAYQBfAFMAdwBpAG4AZQBfAFYAbwBsAGEAdABpAGwAZQBTAG8AbABpAGQAcwBfAFUAbgBpAHQAXABuACAAIAA9AEwAQQBNAEIARABBACgAXAAiAGsAZwAvAGgAZQBhAGQALwBkAGEAeQBcACIAKQA7AFwAbgBcAG4AUwBvAHUAcgBjAGUARABhAHQAYQBfAFMAdwBpAG4AZQBfAFYAbwBsAGEAdABpAGwAZQBTAG8AbABpAGQAcwBfAFMAbwB1AHIAYwBlAFwAbgAgACAAPQBMAEEATQBCAEQAQQAoAFwAIgBWAEUARQBSAEcAIAAyADAAMgA2ADoAIABUAGEAYgBsAGUAIABBAC4AMQAuADYALgAxADoAIABTAHcAaQBuAGUAIAAtACAASQBuAHQAYQBrAGUAIABhAG4AZAAgAG0AYQBuAHUAcgBlACAAYwBoAGEAcgBhAGMAdABlAHIAaQBzAHQAaQBjAHMAIABkAGUAcgBpAHYAZQBkACAAZgByAG8AbQAgAFAAaQBnAEIAYQBsAFwAIgApADsAXABuAFwAbgBTAG8AdQByAGMAZQBEAGEAdABhAF8AUwB3AGkAbgBlAF8AVgBvAGwAYQB0AGkAbABlAFMAbwBsAGkAZABzAF8AVgBhAHIAaQBhAHQAaQBvAG4AXABuACAAIAA9AEwAQQBNAEIARABBACgAXAAiAFYAQQBSAEkAQQBUAEkATwBOACAATwBOACAAUwBPAFUAUgBDAEUAIABEAEEAVABBADoAIABPAG4AbAB5ACAAdQBzAGUAcwAgAGQAYQB0AGEAIABmAG8AcgAgADIAMAAyADAALQAyADAAMgA0AC4AIABVAHMAZQAgAFwAdQAwADAAMgA3AFMAbABhAHUAZwBoAHQAZQByACAAcABpAGcAcwBcAHUAMAAwADIANwAgAGQAYQB0AGEAIABmAG8AcgAgAFwAdQAwADAAMgA3AE8AdABoAGUAcgAgAGoAPQA0AFwAdQAwADAAMgA3ACAAYwBsAGEAcwBzAC4AXAAiACkAOwBcAG4AXABuAFMAbwB1AHIAYwBlAEQAYQB0AGEAXwBTAHcAaQBuAGUAXwBWAG8AbABhAHQAaQBsAGUAUwBvAGwAaQBkAHMAXwBEAGEAdABhAFwAbgAgACAAPQBMAEEATQBCAEQAQQAoAFwAbgAgACAAIAAgAE0AQQBLAEUAQQBSAFIAQQBZACgANQAsACAAMgAsACAAXABuACAAIAAgACAAIAAgAEwAQQBNAEIARABBACgAcgAsAGMALAAgAFwAbgAgACAAIAAgACAAIAAgACAASQBOAEQARQBYACgAewBcAG4AIAAgACAAIAAgACAAIAAgACAAIABcACIAQwBsAGEAcwBzAFwAIgAsACAAXAAiAFYAUwBqAFwAIgA7AFwAbgAgACAAIAAgACAAIAAgACAAIAAgAFwAIgBCAG8AYQByAHMAXAAiACwAIAAwAC4ANAAwADsAXABuACAAIAAgACAAIAAgACAAIAAgACAAXAAiAFMAbwB3AHMAXAAiACwAIAAwAC4ANAA2ADsAXABuACAAIAAgACAAIAAgACAAIAAgACAAXAAiAEcAaQBsAHQAcwBcACIALAAgADAALgA1ADUAOwBcAG4AIAAgACAAIAAgACAAIAAgACAAIABcACIATwB0AGgAZQByAHMAXAAiACwAIAAwAC4AMwA5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ZQBlAGQASQBuAHQAYQBrAGUAXABuAEkAagBcAG4AawBnAC8AaABlAGEAZAAvAGQAYQB5AFwAbgAtAC0ALQAtAC0ALQAtAC0ALQAtAC0ALQAtAC0ALQAtAC0ALQAtAC0ALQAtAC0ALQAtAC0ALQAtAC0ALQAtAC0ALQAtAC0ALQAtAC0AXABuACoALwBcAG4AXABuAFMAbwB1AHIAYwBlAEQAYQB0AGEAXwBTAHcAaQBuAGUAXwBGAGUAZQBkAEkAbgB0AGEAawBlAF8AVABpAHQAbABlAFwAbgAgACAAPQBMAEEATQBCAEQAQQAoAFwAIgBTAHcAaQBuAGUAIAAtACAARgBlAGUAZAAgAGkAbgB0AGEAawBlACAALQAgAGkAbgBnAGUAcwB0AGUAZAAgAGEAcwAgAGYAZQBkACAAIAAoAEkAagApACAALQAgADIAMAAyADAAIAB0AG8AIAAyADAAMgA0AFwAIgApADsAXABuAFwAbgBTAG8AdQByAGMAZQBEAGEAdABhAF8AUwB3AGkAbgBlAF8ARgBlAGUAZABJAG4AdABhAGsAZQBfAFUAbgBpAHQAXABuACAAIAA9AEwAQQBNAEIARABBACgAXAAiAGsAZwAvAGgAZQBhAGQALwBkAGEAeQBcACIAKQA7AFwAbgBcAG4AUwBvAHUAcgBjAGUARABhAHQAYQBfAFMAdwBpAG4AZQBfAEYAZQBlAGQASQBuAHQAYQBrAGUAXwBTAG8AdQByAGMAZQBcAG4AIAAgAD0ATABBAE0AQgBEAEEAKABcACIAVgBFAEUAUgBHACAAMgAwADIANgA6ACAAVABhAGIAbABlACAAQQAuADEALgA2AC4AMQA6ACAAUwB3AGkAbgBlACAALQAgAEkAbgB0AGEAawBlACAAYQBuAGQAIABtAGEAbgB1AHIAZQAgAGMAaABhAHIAYQBjAHQAZQByAGkAcwB0AGkAYwBzACAAZABlAHIAaQB2AGUAZAAgAGYAcgBvAG0AIABQAGkAZwBCAGEAbABcACIAKQA7AFwAbgBcAG4AUwBvAHUAcgBjAGUARABhAHQAYQBfAFMAdwBpAG4AZQBfAEYAZQBlAGQASQBuAHQAYQBrAGUAXwBWAGEAcgBpAGEAdABpAG8AbgBcAG4AIAAgAD0ATABBAE0AQgBEAEEAKABcACIAVgBBAFIASQBBAFQASQBPAE4AIABPAE4AIABTAE8AVQBSAEMARQAgAEQAQQBUAEEAOgAgAE8AbgBsAHkAIAB1AHMAZQBzACAAZABhAHQAYQAgAGYAbwByACAAMgAwADIAMAAtADIAMAAyADQALgAgAFUAcwBlACAAXAB1ADAAMAAyADcAUwBsAGEAdQBnAGgAdABlAHIAIABwAGkAZwBzAFwAdQAwADAAMgA3ACAAZABhAHQAYQAgAGYAbwByACAAXAB1ADAAMAAyADcATwB0AGgAZQByACAAagA9ADQAXAB1ADAAMAAyADcAIABjAGwAYQBzAHMALgBcACIAKQA7AFwAbgBcAG4AUwBvAHUAcgBjAGUARABhAHQAYQBfAFMAdwBpAG4AZQBfAEYAZQBlAGQASQBuAHQAYQBrAGUAXwBEAGEAdABhAFwAbgAgACAAPQBMAEEATQBCAEQAQQAoAFwAbgAgACAAIAAgAE0AQQBLAEUAQQBSAFIAQQBZACgANQAsACAAMgAsACAAXABuACAAIAAgACAAIAAgAEwAQQBNAEIARABBACgAcgAsAGMALAAgAFwAbgAgACAAIAAgACAAIAAgACAASQBOAEQARQBYACgAewBcAG4AIAAgACAAIAAgACAAIAAgACAAIABcACIAQwBsAGEAcwBzAFwAIgAsACAAXAAiAEkAagBcACIAOwBcAG4AIAAgACAAIAAgACAAIAAgACAAIABcACIAQgBvAGEAcgBzAFwAIgAsACAAMgAuADYAMgA7AFwAbgAgACAAIAAgACAAIAAgACAAIAAgAFwAIgBTAG8AdwBzAFwAIgAsADIALgAzADAAOwBcAG4AIAAgACAAIAAgACAAIAAgACAAIABcACIARwBpAGwAdABzAFwAIgAsACAAMgAuADUAMAA7AFwAbgAgACAAIAAgACAAIAAgACAAIAAgAFwAIgBPAHQAaABlAHIAcwBcACIALAAgADEALgA3ADEAXABuACAAIAAgACAAIAAgACAAIAB9ACwAIAByACwAIABjACkAXABuACAAIAAgACAAIAAgACkAXABuACAAIAAgACAAKQBcAG4AIAAgACkAOwBcAG4AXABuAC8AKgAgAFwAbgAtAC0ALQAtAC0ALQAtAC0ALQAtAC0ALQAtAC0ALQAtAC0ALQAtAC0ALQAtAC0ALQAtAC0ALQAtAC0ALQAtAC0ALQAtAC0ALQAtAC0AXABuAFMAbwB1AHIAYwBlAEQAYQB0AGEAXwBTAHcAaQBuAGUAXwBOAGkAdAByAG8AZwBlAG4ASQBuAFcAYQBzAHQAZQBcAG4ATgBXAGoAXABuAGsAZwAvAGgAZQBhAGQALwBkAGEAeQBcAG4ALQAtAC0ALQAtAC0ALQAtAC0ALQAtAC0ALQAtAC0ALQAtAC0ALQAtAC0ALQAtAC0ALQAtAC0ALQAtAC0ALQAtAC0ALQAtAC0ALQAtAFwAbgAqAC8AXABuAFwAbgBTAG8AdQByAGMAZQBEAGEAdABhAF8AUwB3AGkAbgBlAF8ATgBpAHQAcgBvAGcAZQBuAEkAbgBXAGEAcwB0AGUAXwBUAGkAdABsAGUAXABuACAAIAA9AEwAQQBNAEIARABBACgAXAAiAFMAdwBpAG4AZQAgAC0AIABOAGkAdAByAG8AZwBlAG4AIABpAG4AIAB3AGEAcwB0AGUAIAAoAE4AVwBqACkAIAAtACAAMgAwADIAMAAgAHQAbwAgADIAMAAyADQAXAAiACkAOwBcAG4AXABuAFMAbwB1AHIAYwBlAEQAYQB0AGEAXwBTAHcAaQBuAGUAXwBOAGkAdAByAG8AZwBlAG4ASQBuAFcAYQBzAHQAZQBfAFUAbgBpAHQAXABuACAAIAA9AEwAQQBNAEIARABBACgAXAAiAGsAZwAvAGgAZQBhAGQALwBkAGEAeQBcACIAKQA7AFwAbgBcAG4AUwBvAHUAcgBjAGUARABhAHQAYQBfAFMAdwBpAG4AZQBfAE4AaQB0AHIAbwBnAGUAbgBJAG4AVwBhAHMAdABlAF8AUwBvAHUAcgBjAGUAXABuACAAIAA9AEwAQQBNAEIARABBACgAXAAiAFYARQBFAFIARwAgADIAMAAyADYAOgAgAFQAYQBiAGwAZQAgAEEALgAxAC4ANgAuADEAOgAgAFMAdwBpAG4AZQAgAC0AIABJAG4AdABhAGsAZQAgAGEAbgBkACAAbQBhAG4AdQByAGUAIABjAGgAYQByAGEAYwB0AGUAcgBpAHMAdABpAGMAcwAgAGQAZQByAGkAdgBlAGQAIABmAHIAbwBtACAAUABpAGcAQgBhAGwAXAAiACkAOwBcAG4AXABuAFMAbwB1AHIAYwBlAEQAYQB0AGEAXwBTAHcAaQBuAGUAXwBOAGkAdAByAG8AZwBlAG4ASQBuAFcAYQBzAHQAZQBfAFYAYQByAGkAYQB0AGkAbwBuAFwAbgAgACAAPQBMAEEATQBCAEQAQQAoAFwAIgBWAEEAUgBJAEEAVABJAE8ATgAgAE8ATgAgAFMATwBVAFIAQwBFACAARABBAFQAQQA6ACAATwBuAGwAeQAgAHUAcwBlAHMAIABkAGEAdABhACAAZgBvAHIAIAAyADAAMgAwAC0AMgAwADIANAAuACAAVQBzAGUAIABcAHUAMAAwADIANwBTAGwAYQB1AGcAaAB0AGUAcgAgAHAAaQBnAHMAXAB1ADAAMAAyADcAIABkAGEAdABhACAAZgBvAHIAIABcAHUAMAAwADIANwBPAHQAaABlAHIAIABqAD0ANABcAHUAMAAwADIANwAgAGMAbABhAHMAcwAuACAAQQBkAGQAZQBkACAAXAB1ADAAMAAyADcATgBXAGoAIABkAGEAaQBsAHkAXAB1ADAAMAAyADcAIABjAG8AbAB1AG0AbgAgAHQAbwAgAHAAcgBvAHYAaQBkAGUAIABkAGEAaQBsAHkAIAB2AGEAbAB1AGUAIABmAG8AcgAgAE8AdABoAGUAcgBzACAAYwBsAGEAcwBzAC4AIABBAGQAZABlAGQAIABcAHUAMAAwADIANwBDAGwAYQBzAHMAIABuAGEAbQBlAFwAdQAwADAAMgA3ACAAYwBvAGwAdQBtAG4AIAB0AG8AIABhAGkAZAAgAGwAbwBvAGsAdQBwAC4AXAAiACkAOwBcAG4AXABuAFMAbwB1AHIAYwBlAEQAYQB0AGEAXwBTAHcAaQBuAGUAXwBOAGkAdAByAG8AZwBlAG4ASQBuAFcAYQBzAHQAZQBfAEQAYQB0AGEAXABuACAAIAA9AEwAQQBNAEIARABBACgAXABuACAAIAAgACAATQBBAEsARQBBAFIAUgBBAFkAKAA1ACwAIAA0ACwAIABcAG4AIAAgACAAIAAgACAATABBAE0AQgBEAEEAKAByACwAYwAsACAAXABuACAAIAAgACAAIAAgACAAIABJAE4ARABFAFgAKAB7AFwAbgAgACAAIAAgACAAIAAgACAAIAAgAFwAIgBDAGwAYQBzAHMAXAAiACwAIABcACIATgBXAGoAXAAiACwAIABcACIATgBXAGoAIABkAGEAaQBsAHkAXAAiACwAIABcACIAQwBsAGEAcwBzACAAbgBhAG0AZQBcACIAOwBcAG4AIAAgACAAIAAgACAAIAAgACAAIABcACIAQgBvAGEAcgBzAFwAIgAsACAAMAAuADAANAA2ACwAIAAwAC4AMAA0ADYALAAgAFwAIgBCAG8AYQByAHMAXAAiADsAXABuACAAIAAgACAAIAAgACAAIAAgACAAXAAiAFMAbwB3AHMAXAAiACwAMAAuADAANAA5ACwAIAAwAC4AMAA0ADkALAAgAFwAIgBTAG8AdwBzAFwAIgA7AFwAbgAgACAAIAAgACAAIAAgACAAIAAgAFwAIgBHAGkAbAB0AHMAXAAiACwAIAAwAC4AMAA0ADYALAAgADAALgAwADQANgAsACAAXAAiAEcAaQBsAHQAcwBcACIAOwBcAG4AIAAgACAAIAAgACAAIAAgACAAIABcACIATwB0AGgAZQByAHMAIAAoAGsAZwAvAGgAZQBhAGQALwB5AGUAYQByACkAXAAiACwAIAAxADEALgA0ACwAIAAwAC4AMAAzADEAMgAsACAAXAAiAE8AdABoAGUAcgBz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GAHIAYQBjAHQAaQBvAG4ATgBWAG8AbABhAHQAaQBsAGkAcwBlAGQAXABuAEYAcgBhAGMARwBBAFMATQBtAFQAXABuACgAawBnACAATgBIADMALQBOACAAKwAgAE4ATwB4AC0ATgApAC8AawBnAE4AXABuAC0ALQAtAC0ALQAtAC0ALQAtAC0ALQAtAC0ALQAtAC0ALQAtAC0ALQAtAC0ALQAtAC0ALQAtAC0ALQAtAC0ALQAtAC0ALQAtAC0ALQBcAG4AKgAvAFwAbgBcAG4AUwBvAHUAcgBjAGUARABhAHQAYQBfAFMAdwBpAG4AZQBfAEYAcgBhAGMAdABpAG8AbgBOAFYAbwBsAGEAdABpAGwAaQBzAGUAZABfAFQAaQB0AGwAZQBcAG4AIAAgAD0ATABBAE0AQgBEAEEAKABcACIAUwB3AGkAbgBlACAALQAgAEYAcgBhAGMAdABpAG8AbgAgAG8AZgAgAG4AaQB0AHIAbwBnAGUAbgAgAHYAbwBsAGEAdABpAGwAaQBzAGUAZAAgACgARgByAGEAYwBHAEEAUwBNAG0AVAApAFwAIgApADsAXABuAFwAbgBTAG8AdQByAGMAZQBEAGEAdABhAF8AUwB3AGkAbgBlAF8ARgByAGEAYwB0AGkAbwBuAE4AVgBvAGwAYQB0AGkAbABpAHMAZQBkAF8AVQBuAGkAdABcAG4AIAAgAD0ATABBAE0AQgBEAEEAKABcACIAKABrAGcAIABOAEgAMwAtAE4AIAArACAATgBPAHgALQBOACkALwBrAGcATgBcACIAKQA7AFwAbgBcAG4AUwBvAHUAcgBjAGUARABhAHQAYQBfAFMAdwBpAG4AZQBfAEYAcgBhAGMAdABpAG8AbgBOAFYAbwBsAGEAdABpAGwAaQBzAGUAZABfAFMAbwB1AHIAYwBlAFwAbgAgACAAPQBMAEEATQBCAEQAQQAoAFwAIgBWAEUARQBSAEcAIAAyADAAMgA2ADoAIABUAGEAYgBsAGUAIABBAC4AMQAuADYALgAyADoAIABTAHcAaQBuAGUAIAAtACAARgByAGEAYwB0AGkAbwBuACAAbwBmACAATgAgAHYAbwBsAGEAdABpAGwAaQBzAGUAZAAgAGIAeQAgAE0ATQBTACAAKAAoAGsAZwAgAE4ASAAzAC0ATgAgACsAIABOAE8AeAAtAE4AKQAvAGsAZwBOACkAIAAoAEYAcgBhAGMARwBBAFMATQBtAFQAKQBcACIAKQA7AFwAbgBcAG4AUwBvAHUAcgBjAGUARABhAHQAYQBfAFMAdwBpAG4AZQBfAEYAcgBhAGMAdABpAG8AbgBOAFYAbwBsAGEAdABpAGwAaQBzAGUAZABfAFYAYQByAGkAYQB0AGkAbwBuAFwAbgAgACAAPQBMAEEATQBCAEQAQQAoAFwAIgBWAEEAUgBJAEEAVABJAE8ATgAgAE8ATgAgAFMATwBVAFIAQwBFACAARABBAFQAQQA6ACAAQQBkAGQAZQBkACAAXAB1ADAAMAAyADcATgBJAFIAIAByAGUAZgBlAHIAZQBuAGMAZQAgAGMAbwBsAHUAbQBuACAAdABvACAAYQBpAGQAIABsAG8AbwBrAHUAcAAuAFwAIgApADsAXABuAFwAbgBTAG8AdQByAGMAZQBEAGEAdABhAF8AUwB3AGkAbgBlAF8ARgByAGEAYwB0AGkAbwBuAE4AVgBvAGwAYQB0AGkAbABpAHMAZQBkAF8ARABhAHQAYQBcAG4AIAAgAD0ATABBAE0AQgBEAEEAKABcAG4AIAAgACAAIABNAEEASwBFAEEAUgBSAEEAWQAoADcALAAgADMALAAgAFwAbgAgACAAIAAgACAAIABMAEEATQBCAEQAQQAoAHIALABjACwAIABcAG4AIAAgACAAIAAgACAAIAAgAEkATgBEAEUAWAAoAHsAXABuACAAIAAgACAAIAAgACAAIAAgACAAXAAiAE0ATQBTAG0AXAAiACwAIABcACIARgByAGEAYwBHAEEAUwBNAG0AVABcACIALAAgAFwAIgBOAEkAUgAgAHIAZQBmAGUAcgBlAG4AYwBlAFwAIgA7AFwAbgAgACAAIAAgACAAIAAgACAAIAAgAFwAIgBPAHUAdABkAG8AbwByACAAKABEAHIAeQAgAGwAbwB0ACkAXAAiACwAIAAwAC4AMwAsACAAXAAiAEQAcgB5AGwAbwB0ACAAKABmAGUAZQBkACAAcABhAGQAKQBcACIAOwBcAG4AIAAgACAAIAAgACAAIAAgACAAIABcACIARABlAGUAcAAgAGwAaQB0AHQAZQByAFwAIgAsACAAMAAuADEAMgA1ACwAIABcACIARABlAGUAcAAgAGwAaQB0AHQAZQByAFwAIgA7AFwAbgAgACAAIAAgACAAIAAgACAAIAAgAFwAIgBTAHQAbwBjAGsAcABpAGwAZQAgACgAUwBvAGwAaQBkACAAcwB0AG8AcgBhAGcAZQApAFwAIgAsACAAMAAuADIALAAgAFwAIgBTAG8AbABpAGQAIABzAHQAbwByAGEAZwBlAFwAIgA7AFwAbgAgACAAIAAgACAAIAAgACAAIAAgAFwAIgBFAGYAZgBsAHUAZQBuAHQAIABwAG8AbgBkACAAKABVAG4AYwBvAHYAZQByAGUAZAAgAGEAbgBhAGUAcgBvAGIAaQBjACAAbABhAGcAbwBvAG4AKQBcACIALAAgADAALgA1ADUALAAgAFwAIgBBAG4AYQBlAHIAbwBiAGkAYwAgAGwAYQBnAG8AbwBuAFwAIgA7AFwAbgAgACAAIAAgACAAIAAgACAAIAAgAFwAIgBBAG4AYQBlAHIAbwBiAGkAYwAgAGQAaQBnAGUAcwB0AGUAcgAgAC8AIABDAG8AdgBlAHIAZQBkACAAbABhAGcAbwBvAG4AXAAiACwAIAAwACwAIABcACIARABpAGcAZQBzAHQAZQByACAALwAgAGMAbwB2AGUAcgBlAGQAIABsAGEAZwBvAG8AbgBzAFwAIgA7AFwAbgAgACAAIAAgACAAIAAgACAAIAAgAFwAIgBTAGgAbwByAHQAIABIAFIAVAAgAHQAYQBuAGsAIABzAHQAbwByAGEAZwBlACAAXAB1ADAAMAAzAGMAIAAxACAAbQBvAG4AdABoACAAKABwAGkAdAAgAHMAdABvAHIAYQBnAGUAKQBcACIALAAgADAALgAyADUALAAgAFwAIgBQAGkAdAAgAHMAdABvAHI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4AaQB0AHIAbwB1AHMATwB4AGkAZABlAEUARgBzAFwAbgBGAHIAYQBjAEcAQQBTAE0AbQBUAFwAbgBrAGcATgAyAE8AIAAtACAATgAgAC8AIABrAGcATgBcAG4ALQAtAC0ALQAtAC0ALQAtAC0ALQAtAC0ALQAtAC0ALQAtAC0ALQAtAC0ALQAtAC0ALQAtAC0ALQAtAC0ALQAtAC0ALQAtAC0ALQAtAFwAbgAqAC8AXABuAFwAbgBTAG8AdQByAGMAZQBEAGEAdABhAF8AUwB3AGkAbgBlAF8ATgBpAHQAcgBvAHUAcwBPAHgAaQBkAGUARQBGAHMAXwBUAGkAdABsAGUAXABuACAAIAA9AEwAQQBNAEIARABBACgAXAAiAFMAdwBpAG4AZQAgAC0AIABOAGkAdAByAG8AdQBzACAAbwB4AGkAZABlACAARQBGAHMAIABiAHkAIABNAE0AUwAgACgARQBGAG0AVAApAFwAIgApADsAXABuAFwAbgBTAG8AdQByAGMAZQBEAGEAdABhAF8AUwB3AGkAbgBlAF8ATgBpAHQAcgBvAHUAcwBPAHgAaQBkAGUARQBGAHMAXwBVAG4AaQB0AFwAbgAgACAAPQBMAEEATQBCAEQAQQAoAFwAIgBrAGcATgAyAE8AIAAtACAATgAgAC8AIABrAGcATgBcACIAKQA7AFwAbgBcAG4AUwBvAHUAcgBjAGUARABhAHQAYQBfAFMAdwBpAG4AZQBfAE4AaQB0AHIAbwB1AHMATwB4AGkAZABlAEUARgBzAF8AUwBvAHUAcgBjAGUAXABuACAAIAA9AEwAQQBNAEIARABBACgAXAAiAFYARQBFAFIARwAgADIAMAAyADYAOgAgAFQAYQBiAGwAZQAgAEEALgAxAC4ANgAuADMAOgAgAFMAdwBpAG4AZQAgAC0AIABOAGkAdAByAG8AdQBzACAAbwB4AGkAZABlACAARQBGAHMAIABiAHkAIABNAE0AUwAgACgAawBnAE4AMgBPAC0ATgAvAGsAZwBOACkAIAAoAEUARgBtAFQAKQBcACIAKQA7AFwAbgBcAG4AUwBvAHUAcgBjAGUARABhAHQAYQBfAFMAdwBpAG4AZQBfAE4AaQB0AHIAbwB1AHMATwB4AGkAZABlAEUARgBzAF8AVgBhAHIAaQBhAHQAaQBvAG4AXABuACAAIAA9AEwAQQBNAEIARABBACgAXAAiAFYAQQBSAEkAQQBUAEkATwBOACAATwBOACAAUwBPAFUAUgBDAEUAIABEAEEAVABBADoAIABBAGQAZABlAGQAIABcAHUAMAAwADIANwBOAEkAUgAgAHIAZQBmAGUAcgBlAG4AYwBlACAAYwBvAGwAdQBtAG4AIAB0AG8AIABhAGkAZAAgAGwAbwBvAGsAdQBwAC4AXAAiACkAOwBcAG4AXABuAFMAbwB1AHIAYwBlAEQAYQB0AGEAXwBTAHcAaQBuAGUAXwBOAGkAdAByAG8AdQBzAE8AeABpAGQAZQBFAEYAcwBfAEQAYQB0AGEAXABuACAAIAA9AEwAQQBNAEIARABBACgAXABuACAAIAAgACAATQBBAEsARQBBAFIAUgBBAFkAKAA3ACwAIAAzACwAIABcAG4AIAAgACAAIAAgACAATABBAE0AQgBEAEEAKAByACwAYwAsACAAXABuACAAIAAgACAAIAAgACAAIABJAE4ARABFAFgAKAB7AFwAbgAgACAAIAAgACAAIAAgACAAIAAgAFwAIgBNAE0AUwBtAFwAIgAsACAAXAAiAEUARgBtAFQAXAAiACwAIABcACIATgBJAFIAIAByAGUAZgBlAHIAZQBuAGMAZQBcACIAOwBcAG4AIAAgACAAIAAgACAAIAAgACAAIABcACIATwB1AHQAZABvAG8AcgAgACgARAByAHkAIABsAG8AdAApAFwAIgAsACAAMAAuADAAMgAsACAAXAAiAEQAcgB5AGwAbwB0ACAAKABmAGUAZQBkACAAcABhAGQAKQBcACIAOwBcAG4AIAAgACAAIAAgACAAIAAgACAAIABcACIARABlAGUAcAAgAGwAaQB0AHQAZQByAFwAIgAsACAAMAAuADAAMQAsACAAXAAiAEQAZQBlAHAAIABsAGkAdAB0AGUAcgBcACIAOwBcAG4AIAAgACAAIAAgACAAIAAgACAAIABcACIAUwB0AG8AYwBrAHAAaQBsAGUAIAAoAFMAbwBsAGkAZAAgAHMAdABvAHIAYQBnAGUAKQBcACIALAAgADAALgAwADAANQAsACAAXAAiAFMAbwBsAGkAZAAgAHMAdABvAHIAYQBnAGUAXAAiADsAXABuACAAIAAgACAAIAAgACAAIAAgACAAXAAiAEUAZgBmAGwAdQBlAG4AdAAgAHAAbwBuAGQAIAAoAFUAbgBjAG8AdgBlAHIAZQBkACAAYQBuAGEAZQByAG8AYgBpAGMAIABsAGEAZwBvAG8AbgApAFwAIgAsACAAMAAsACAAXAAiAEEAbgBhAGUAcgBvAGIAaQBjACAAbABhAGcAbwBvAG4AXAAiADsAXABuACAAIAAgACAAIAAgACAAIAAgACAAXAAiAEEAbgBhAGUAcgBvAGIAaQBjACAAZABpAGcAZQBzAHQAbwByACAALwAgAEMAbwB2AGUAcgBlAGQAIABsAGEAZwBvAG8AbgBcACIALAAgADAALAAgAFwAIgBEAGkAZwBlAHMAdABlAHIAIAAvACAAYwBvAHYAZQByAGUAZAAgAGwAYQBnAG8AbwBuAHMAXAAiADsAXABuACAAIAAgACAAIAAgACAAIAAgACAAXAAiAFMAaABvAHIAdAAgAEgAUgBUACAAdABhAG4AawAgAHMAdABvAHIAYQBnAGUAIABcAHUAMAAwADMAYwAgADEAIABtAG8AbgB0AGgAIAAoAHAAaQB0ACAAcwB0AG8AcgBhAGcAZQApAFwAIgAsACAAMAAuADAAMAAyACwAIABcACIAUABpAH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NAGUAdABoAGEAbgBlAFYAbwBsAGEAdABpAGwAZQBTAG8AbABpAGQAcwBFAG0AaQBzAHMAaQBvAG4AcwBQAG8AdABlAG4AdABpAGEAbABcAG4AQgAwAFwAbgBtADMAIABDAEgANAAvAGsAZwAgAFYAUwBcAG4ALQAtAC0ALQAtAC0ALQAtAC0ALQAtAC0ALQAtAC0ALQAtAC0ALQAtAC0ALQAtAC0ALQAtAC0ALQAtAC0ALQAtAC0ALQAtAC0ALQAtAFwAbgAqAC8AXABuAFwAbgBTAG8AdQByAGMAZQBEAGEAdABhAF8AUwB3AGkAbgBlAF8ATQBlAHQAaABhAG4AZQBWAG8AbABhAHQAaQBsAGUAUwBvAGwAaQBkAHMARQBtAGkAcwBzAGkAbwBuAHMAUABvAHQAZQBuAHQAaQBhAGwAXwBUAGkAdABsAGUAXABuACAAIAA9AEwAQQBNAEIARABBACgAXAAiAEUAbQBpAHMAcwBpAG8AbgBzACAAcABvAHQAZQBuAHQAaQBhAGwAIABvAGYAIABtAGUAdABoAGEAbgBlACAAcABlAHIAIABrAGkAbABvAGcAcgBhAG0AIABvAGYAIAB2AG8AbABhAHQAaQBsAGUAIABzAG8AbABpAGQAcwBcACIAKQA7AFwAbgBcAG4AUwBvAHUAcgBjAGUARABhAHQAYQBfAFMAdwBpAG4AZQBfAE0AZQB0AGgAYQBuAGUAVgBvAGwAYQB0AGkAbABlAFMAbwBsAGkAZABzAEUAbQBpAHMAcwBpAG8AbgBzAFAAbwB0AGUAbgB0AGkAYQBsAF8AVgBhAHIAaQBhAGIAbABlAFwAbgAgACAAPQBMAEEATQBCAEQAQQAoAFwAIgBCADAAXAAiACkAOwBcAG4AXABuAFMAbwB1AHIAYwBlAEQAYQB0AGEAXwBTAHcAaQBuAGUAXwBNAGUAdABoAGEAbgBlAFYAbwBsAGEAdABpAGwAZQBTAG8AbABpAGQAcwBFAG0AaQBzAHMAaQBvAG4AcwBQAG8AdABlAG4AdABpAGEAbABfAFUAbgBpAHQAXABuACAAIAA9AEwAQQBNAEIARABBACgAXAAiAG0AMwAgAEMASAA0ACAALwAgAGsAZwAgAFYAUwBcACIAKQA7AFwAbgBcAG4AUwBvAHUAcgBjAGUARABhAHQAYQBfAFMAdwBpAG4AZQBfAE0AZQB0AGgAYQBuAGUAVgBvAGwAYQB0AGkAbABlAFMAbwBsAGkAZABzAEUAbQBpAHMAcwBpAG8AbgBzAFAAbwB0AGUAbgB0AGkAYQBsAF8AUwBvAHUAcgBjAGUAXABuACAAIAA9AEwAQQBNAEIARABBACgAXAAiAEkAUABDAEMAIAAoADIAMAAxADkAKQAsACAAQwBoAGEAcAB0AGUAcgAgADEAMAAgAFsANABdAFwAIgApADsAXABuAFwAbgBTAG8AdQByAGMAZQBEAGEAdABhAF8AUwB3AGkAbgBlAF8ATQBlAHQAaABhAG4AZQBWAG8AbABhAHQAaQBsAGUAUwBvAGwAaQBkAHMARQBtAGkAcwBzAGkAbwBuAHMAUABvAHQAZQBuAHQAaQBhAGwAXwBWAGEAcgBpAGEAdABpAG8AbgBcAG4AIAAgAD0ATABBAE0AQgBEAEEAKABcACIAXAAiACkAOwBcAG4AXABuAFMAbwB1AHIAYwBlAEQAYQB0AGEAXwBTAHcAaQBuAGUAXwBNAGUAdABoAGEAbgBlAFYAbwBsAGEAdABpAGwAZQBTAG8AbABpAGQAcwBFAG0AaQBzAHMAaQBvAG4AcwBQAG8AdABlAG4AdABpAGEAbABfAEQAYQB0AGEAXABuACAAIAA9AEwAQQBNAEIARABBACgAMAAuADEAOQApADsAXABuAFwAbgBcAG4ALwAqACAAXABuAC0ALQAtAC0ALQAtAC0ALQAtAC0ALQAtAC0ALQAtAC0ALQAtAC0ALQAtAC0ALQAtAC0ALQAtAC0ALQAtAC0ALQAtAC0ALQAtAC0ALQBcAG4AUwBvAHUAcgBjAGUARABhAHQAYQBfAFMAdwBpAG4AZQBfAE0ATQBTAF8ATQBDAEYAcwBcAG4AVABhAGIAbABlACAAQQAuADEALgA2AC4ANAA6ACAAUwB3AGkAbgBlACAALQAgAE0AQwBGAHMAIAAoAE0AQwBGAGkAbQApAFwAbgAtAC0ALQAtAC0ALQAtAC0ALQAtAC0ALQAtAC0ALQAtAC0ALQAtAC0ALQAtAC0ALQAtAC0ALQAtAC0ALQAtAC0ALQAtAC0ALQAtAC0AXABuACoALwBcAG4AXABuAFMAbwB1AHIAYwBlAEQAYQB0AGEAXwBTAHcAaQBuAGUAXwBNAE0AUwBfAE0AQwBGAHMAXwBUAGkAdABsAGUAXABuACAAIAA9AEwAQQBNAEIARABBACgAXAAiAE0AZQB0AGgAYQBuAGUAIABjAG8AbgB2AGUAcgBzAGkAbwBuACAAZgBhAGMAdABvAHIAIABmAG8AcgAgAHQAZQBtAHAAZQByAGEAdAB1AHIAZQAgAHoAbwBuAGUAIABhAG4AZAAgAG0AYQBuAHUAcgBlACAAbQBhAG4AYQBnAGUAbQBlAG4AdAAgAHMAeQBzAHQAZQBtAC4AXAAiACkAOwBcAG4AXABuAFMAbwB1AHIAYwBlAEQAYQB0AGEAXwBTAHcAaQBuAGUAXwBNAE0AUwBfAE0AQwBGAHMAXwBVAG4AaQB0AFwAbgAgACAAPQBMAEEATQBCAEQAQQAoAFwAIgBcACIAKQA7AFwAbgBcAG4AUwBvAHUAcgBjAGUARABhAHQAYQBfAFMAdwBpAG4AZQBfAE0ATQBTAF8ATQBDAEYAcwBfAFMAbwB1AHIAYwBlAFwAbgAgACAAPQBMAEEATQBCAEQAQQAoAFwAIgBWAEUARQBSAEcAIAAyADAAMgA2ADoAIABUAGEAYgBsAGUAIABBAC4AMQAuADYALgA0ADoAIABTAHcAaQBuAGUAIAAtACAATQBDAEYAcwAgACgATQBDAEYAaQBtACkAXAAiACkAOwBcAG4AXABuAFMAbwB1AHIAYwBlAEQAYQB0AGEAXwBTAHcAaQBuAGUAXwBNAE0AUwBfAE0AQwBGAHMAXwBWAGEAcgBpAGEAdABpAG8AbgBcAG4AIAAgAD0ATABBAE0AQgBEAEEAKABcACIAVgBBAFIASQBBAFQASQBPAE4AIABPAE4AIABTAE8AVQBSAEMARQAgAEQAQQBUAEEAOgAgAEEAZABkAGUAZAAgAGMAbwBsAHUAbQBuAHMAIABmAG8AcgAgAEEAQwBUACwAIABzAHAAbABpAHQAIABRAEwARAAgAGEAbgBkACAATgBUAC4AIABBAGQAZABlAGQAIABlAHgAdAByAGEAIABjAG8AbAB1AG0AbgAgAHcAaQB0AGgAIABNAE0AUwAgAG4AYQBtAGUAcwAgAHQAaABhAHQAIABtAGEAdABjAGgAIABOAEkAUgAgAGQAZQBmAGkAbgBpAHQAaQBvAG4AcwBcACIAKQA7AFwAbgBcAG4AUwBvAHUAcgBjAGUARABhAHQAYQBfAFMAdwBpAG4AZQBfAE0ATQBTAF8ATQBDAEYAcwBfAEQAYQB0AGEAXABuACAAIAA9AEwAQQBNAEIARABBACgAXABuACAAIAAgACAATQBBAEsARQBBAFIAUgBBAFkAKAA4ACwAIAAxADAALAAgAFwAbgAgACAAIAAgACAAIABMAEEATQBCAEQAQQAoAHIALABjACwAIABcAG4AIAAgACAAIAAgACAAIAAgAEkATgBEAEUAWAAoAHsAXABuACAAIAAgACAAIAAgACAAIAAgACAAXAAiAE0ATQBTAFwAIgAsACAAXAAiAE4AUwBXAFwAIgAsACAAXAAiAEEAQwBUAFwAIgAsACAAXAAiAFEATABEAFwAIgAsACAAXAAiAE4AVABcACIALAAgAFwAIgBTAEEAXAAiACwAIABcACIAVABBAFMAXAAiACwAIABcACIAVgBJAEMAXAAiACwAIABcACIAVwBBAFwAIgAsACAAXAAiAE4ASQBSACAAZABlAGYAaQBuAGkAdABpAG8AbgBcACIAOwBcAG4AIAAgACAAIAAgACAAIAAgACAAIABcACIATwB1AHQAZABvAG8AcgAgACgARAByAHkAIABsAG8AdAApAFwAIgAsACAAMAAuADAAMQAsACAAMAAuADAAMQAsACAAMAAuADAAMwAsACAAMAAuADAAMwAsACAAMAAuADAAMQAsACAAMAAuADAAMQAsACAAMAAuADAAMQAsACAAMAAuADAAMQAsACAAXAAiAEQAcgB5AGwAbwB0ACAAKABmAGUAZQBkACAAcABhAGQAKQBcACIAOwAgAFwAbgAgACAAIAAgACAAIAAgACAAIAAgAFwAIgBEAGUAZQBwACAAbABpAHQAdABlAHIAXAAiACwAIAAwAC4AMAA0ACwAIAAwAC4AMAA0ACwAIAAwAC4AMAA0ACwAIAAwAC4AMAA0ACwAIAAwAC4AMAA0ACwAIAAwAC4AMAA0ACwAIAAwAC4AMAA0ACwAIAAwAC4AMAA0ACwAIABcACIARABlAGUAcAAgAGwAaQB0AHQAZQByAFwAIgA7AFwAbgAgACAAIAAgACAAIAAgACAAIAAgAFwAIgBTAHQAbwBjAGsAcABpAGwAZQAgACgAUwBvAGwAaQBkACAAcwB0AG8AcgBhAGcAZQApAFwAIgAsACAAMAAuADAAMgAsACAAMAAuADAAMgAsACAAMAAuADAAMgAsACAAMAAuADAAMgAsACAAMAAuADAAMgAsACAAMAAuADAAMgAsACAAMAAuADAAMgAsACAAMAAuADAAMgAsACAAXAAiAFMAbwBsAGkAZAAgAHMAdABvAHIAYQBnAGUAXAAiADsAXABuACAAIAAgACAAIAAgACAAIAAgACAAXAAiAEUAZgBmAGwAdQBlAG4AdAAgAHAAbwBuAGQAIAAoAFUAbgBjAG8AdgBlAHIAZQBkACAAYQBuAGEAZQByAG8AYgBpAGMAIABsAGEAZwBvAG8AbgApAFwAIgAsACAAMAAuADcANQAsACAAMAAuADcANQAsACAAMAAuADcAOAAsACAAMAAuADcAOAAsACAAMAAuADcANQAsACAAMAAuADcAMAAsACAAMAAuADcANAAsACAAMAAuADcANgAsACAAXAAiAEEAbgBhAGUAcgBvAGIAaQBjACAAbABhAGcAbwBvAG4AXAAiADsAXABuACAAIAAgACAAIAAgACAAIAAgACAAXAAiAEEAbgBhAGUAcgBvAGIAaQBjACAAZABpAGcAZQBzAHQAZQByACAALwAgAEMAbwB2AGUAcgBlAGQAIABsAGEAZwBvAG8AbgBcACIALAAgADAALgAxACwAIAAwAC4AMQAsACAAMAAuADEALAAgADAALgAxACwAIAAwAC4AMQAsACAAMAAuADEALAAgADAALgAxACwAIAAwAC4AMQAsACAAXAAiAEQAaQBnAGUAcwB0AGUAcgAgAC8AIABjAG8AdgBlAHIAZQBkACAAbABhAGcAbwBvAG4AcwBcACIAOwAgAFwAbgAgACAAIAAgACAAIAAgACAAIAAgAFwAIgBTAGgAbwByAHQAIABIAFIAVAAgAHQAYQBuAGsAIABzAHQAbwByAGEAZwBlACAAXAB1ADAAMAAzAGMAIAAxACAAbQBvAG4AdABoACAAKABwAGkAdAAgAHMAdABvAHIAYQBnAGUAKQBcACIALAAgADAALgAwADMALAAgADAALgAwADMALAAgADAALgAwADMALAAgADAALgAwADMALAAgADAALgAwADMALAAgADAALgAwADMALAAgADAALgAwADMALAAgADAALgAwADMALAAgAFwAIgBQAGkAdAAgAHMAdABvAHIAYQBnAGUAXAAiADsAIABcAG4AIAAgACAAIAAgACAAIAAgACAAIABcACIARABpAHIAZQBjAHQAIABBAHAAcABsAGkAYwBhAHQAaQBvAG4AIAB0AG8AIABzAG8AaQBsAFwAIgAsACAAMAAsACAAMAAsACAAMAAsACAAMAAsACAAMAAsACAAMAAsACAAMAAsACAAMAAsACAAXAAiAEQAaQByAGUAYwB0ACAAYQBwAHAAbABpAGMAYQB0AGkAbwBu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BAHYAZQByAGEAZwBlAEwAaQB2AGUAdwBlAGkAZwBoAHQAXABuAFcAYwBvAFwAbgBrAGcAXABuAC0ALQAtAC0ALQAtAC0ALQAtAC0ALQAtAC0ALQAtAC0ALQAtAC0ALQAtAC0ALQAtAC0ALQAtAC0ALQAtAC0ALQAtAC0ALQAtAC0ALQBcAG4AKgAvAFwAbgBcAG4AUwBvAHUAcgBjAGUARABhAHQAYQBfAFMAdwBpAG4AZQBfAEEAdgBlAHIAYQBnAGUATABpAHYAZQB3AGUAaQBnAGgAdABfAFQAaQB0AGwAZQBcAG4AIAAgAD0ATABBAE0AQgBEAEEAKABcACIAUwB3AGkAbgBlACAALQAgAEEAdgBlAHIAYQBnAGUAIABsAGkAdgBlAHcAZQBpAGcAaAB0ACAAKABpAG4AdgBlAG4AdABvAHIAeQAgAGQAZQBmAGEAdQBsAHQAcwApACAAKABrAGcAKQAgACgAVwBjAG8AKQBcACIAKQA7AFwAbgBcAG4AUwBvAHUAcgBjAGUARABhAHQAYQBfAFMAdwBpAG4AZQBfAEEAdgBlAHIAYQBnAGUATABpAHYAZQB3AGUAaQBnAGgAdABfAFUAbgBpAHQAXABuACAAIAA9AEwAQQBNAEIARABBACgAXAAiAGsAZwBcACIAKQA7AFwAbgBcAG4AUwBvAHUAcgBjAGUARABhAHQAYQBfAFMAdwBpAG4AZQBfAEEAdgBlAHIAYQBnAGUATABpAHYAZQB3AGUAaQBnAGgAdABfAFMAbwB1AHIAYwBlAFwAbgAgACAAPQBMAEEATQBCAEQAQQAoAFwAIgBWAEUARQBSAEcAIAAyADAAMgA2ADoAIABUAGEAYgBsAGUAIABBAC4AMQAuADYALgA1ADoAIABTAHcAaQBuAGUAIAAtACAAQQB2AGUAcgBhAGcAZQAgAGwAaQB2AGUAdwBlAGkAZwBoAHQAIAAoAGkAbgB2AGUAbgB0AG8AcgB5ACAAZABlAGYAYQB1AGwAdABzACkAIAAoAGsAZwApACAAKABXAGMAbwApAFwAIgApADsAXABuAFwAbgBTAG8AdQByAGMAZQBEAGEAdABhAF8AUwB3AGkAbgBlAF8AQQB2AGUAcgBhAGcAZQBMAGkAdgBlAHcAZQBpAGcAaAB0AF8AVgBhAHIAaQBhAHQAaQBvAG4AXABuACAAIAA9AEwAQQBNAEIARABBACgAXAAiAC4AXAAiACkAOwBcAG4AXABuAFMAbwB1AHIAYwBlAEQAYQB0AGEAXwBTAHcAaQBuAGUAXwBBAHYAZQByAGEAZwBlAEwAaQB2AGUAdwBlAGkAZwBoAHQAXwBEAGEAdABhAFwAbgAgACAAPQBMAEEATQBCAEQAQQAoAFwAbgAgACAAIAAgAE0AQQBLAEUAQQBSAFIAQQBZACgANgAsACAAMgAsACAAXABuACAAIAAgACAAIAAgAEwAQQBNAEIARABBACgAcgAsAGMALAAgAFwAbgAgACAAIAAgACAAIAAgACAASQBOAEQARQBYACgAewBcAG4AIAAgACAAIAAgACAAIAAgACAAIABcACIATABpAHYAZQBzAHQAbwBjAGsAIABUAHkAcABlACAAagBcACIALAAgAFwAIgBBAHYAZQByAGEAZwBlACAATABpAHYAZQB3AGUAaQBnAGgAdAAgACgAawBnACkAXAAiADsAXABuACAAIAAgACAAIAAgACAAIAAgACAAXAAiAFMAbwB3AHMAXAAiACwAIAAxADgAOAA7AFwAbgAgACAAIAAgACAAIAAgACAAIAAgAFwAIgBCAG8AYQByAHMAXAAiACwAIAAyADAANgA7AFwAbgAgACAAIAAgACAAIAAgACAAIAAgAFwAIgBHAGkAbAB0AHMAXAAiACwAIAAxADIANQA7AFwAbgAgACAAIAAgACAAIAAgACAAIAAgAFwAIgBTAGwAYQB1AGcAaAB0AGUAcgAgAHAAaQBnAHMAXAAiACwAIAAzADkAOwBcAG4AIAAgACAAIAAgACAAIAAgACAAIABcACIAUwBsAGEAdQBnAGgAdABlAHIAIABwAGkAZwBzACAAYQB0ACAAdAB1AHIAbgBvAGYAZgBcACIALAAgADkANw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QAHIAbwBkAHUAYwB0AGkAbwBuAFMAeQBzAHQAZQBtAHMAXABuADQALgA1ACAAUwB3AGkAbgBlACAARgBpAGcAdQByAGUAIAA0AC4AOABcAG4ALQAtAC0ALQAtAC0ALQAtAC0ALQAtAC0ALQAtAC0ALQAtAC0ALQAtAC0ALQAtAC0ALQAtAC0ALQAtAC0ALQAtAC0ALQAtAC0ALQAtAFwAbgAqAC8AXABuAFwAbgBTAG8AdQByAGMAZQBEAGEAdABhAF8AUwB3AGkAbgBlAF8AUAByAG8AZAB1AGMAdABpAG8AbgBTAHkAcwB0AGUAbQBzAF8AVABpAHQAbABlAFwAbgAgACAAPQBMAEEATQBCAEQAQQAoAFwAIgBTAHcAaQBuAGUAIABwAHIAbwBkAHUAYwB0AGkAbwBuACAAcwB5AHMAdABlAG0AcwBcACIAKQA7AFwAbgBcAG4AUwBvAHUAcgBjAGUARABhAHQAYQBfAFMAdwBpAG4AZQBfAFAAcgBvAGQAdQBjAHQAaQBvAG4AUwB5AHMAdABlAG0AcwBfAFUAbgBpAHQAXABuACAAIAA9AEwAQQBNAEIARABBACgAXAAiAFwAIgApADsAXABuAFwAbgBTAG8AdQByAGMAZQBEAGEAdABhAF8AUwB3AGkAbgBlAF8AUAByAG8AZAB1AGMAdABpAG8AbgBTAHkAcwB0AGUAbQBzAF8AUwBvAHUAcgBjAGUAXABuACAAIAA9AEwAQQBNAEIARABBACgAXAAiAFYARQBFAFIARwAgADIAMAAyADYAOgAgADQALgA1ACAAUwB3AGkAbgBlACAARgBpAGcAdQByAGUAIAA0AC4AOABcACIAKQA7AFwAbgBcAG4AUwBvAHUAcgBjAGUARABhAHQAYQBfAFMAdwBpAG4AZQBfAFAAcgBvAGQAdQBjAHQAaQBvAG4AUwB5AHMAdABlAG0AcwBfAFYAYQByAGkAYQB0AGkAbwBuAFwAbgAgACAAPQBMAEEATQBCAEQAQQAoAFwAIgBcACIAKQA7AFwAbgBcAG4AUwBvAHUAcgBjAGUARABhAHQAYQBfAFMAdwBpAG4AZQBfAFAAcgBvAGQAdQBjAHQAaQBvAG4AUwB5AHMAdABlAG0AcwBfAEQAYQB0AGEAXABuACAAIAA9AEwAQQBNAEIARABBACgAXABuACAAIAAgACAATQBBAEsARQBBAFIAUgBBAFkAKAA0ACwAIAAxACwAIABcAG4AIAAgACAAIAAgACAATABBAE0AQgBEAEEAKAByACwAYwAsACAAXABuACAAIAAgACAAIAAgACAAIABJAE4ARABFAFgAKAB7AFwAbgAgACAAIAAgACAAIAAgACAAIAAgAFwAIgBQAHIAbwBkAHUAYwB0AGkAbwBuACAAcwB5AHMAdABlAG0AXAAiADsAXABuACAAIAAgACAAIAAgACAAIAAgACAAXAAiAEMAbwBuAHYAZQBuAHQAaQBvAG4AYQBsACAAaABvAHUAcwBpAG4AZwBcACIAOwBcAG4AIAAgACAAIAAgACAAIAAgACAAIABcACIARABlAGUAcAAgAGwAaQB0AHQAZQByACAAaABvAHUAcwBpAG4AZwBcACIAOwBcAG4AIAAgACAAIAAgACAAIAAgACAAIABcACIATwB1AHQAZABvAG8AcgAvAGYAcgBlAGUAIAByAGEAbg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YAcgBhAGMATABFAEEAQwBIAF8ARAByAHkAbABvAHQATQBNAFMAXABuAEYAcgBhAGMATABFAEEAQwBIAF8ATQBTAFwAbgBmAHIAYQBjAHQAaQBvAG4AXABuAC0ALQAtAC0ALQAtAC0ALQAtAC0ALQAtAC0ALQAtAC0ALQAtAC0ALQAtAC0ALQAtAC0ALQAtAC0ALQAtAC0ALQAtAC0ALQAtAC0ALQBcAG4AKgAvAFwAbgBcAG4AUwBvAHUAcgBjAGUARABhAHQAYQBfAFMAdwBpAG4AZQBfAEYAcgBhAGMATABFAEEAQwBIAF8ARAByAHkAbABvAHQATQBNAFMAXwBUAGkAdABsAGUAXABuACAAIAA9AEwAQQBNAEIARABBACgAXAAiAEYAcgBhAGMAdABpAG8AbgAgAG8AZgAgAG4AaQB0AHIAbwBnAGUAbgAgAGwAbwBzAHQAIAB0AGgAcgBvAHUAZwBoACAAbABlAGEAYwBoAGkAbgBnACAAYQBuAGQAIAByAHUAbgBvAGYAZgAgAGYAbwByACAAZAByAHkAbABvAHQAIABNAE0AUwBcACIAKQA7AFwAbgBcAG4AUwBvAHUAcgBjAGUARABhAHQAYQBfAFMAdwBpAG4AZQBfAEYAcgBhAGMATABFAEEAQwBIAF8ARAByAHkAbABvAHQATQBNAFMAXwBWAGEAcgBpAGEAYgBsAGUAXABuACAAIAA9AEwAQQBNAEIARABBACgAXAAiAEYAcgBhAGMATABFAEEAQwBIAF8ATQBTAFwAIgApADsAXABuAFwAbgBTAG8AdQByAGMAZQBEAGEAdABhAF8AUwB3AGkAbgBlAF8ARgByAGEAYwBMAEUAQQBDAEgAXwBEAHIAeQBsAG8AdABNAE0AUwBfAFUAbgBpAHQAXABuACAAIAA9AEwAQQBNAEIARABBACgAXAAiAGYAcgBhAGMAdABpAG8AbgBcACIAKQA7AFwAbgBcAG4AUwBvAHUAcgBjAGUARABhAHQAYQBfAFMAdwBpAG4AZQBfAEYAcgBhAGMATABFAEEAQwBIAF8ARAByAHkAbABvAHQATQBNAFMAXwBTAG8AdQByAGMAZQBcAG4AIAAgAD0ATABBAE0AQgBEAEEAKABcACIAVgBFAEUAUgBHACAAMgAwADIANgA6ACAANAAuADUALgAyAC4AMwAgAEMATwBOAFMAVABBAE4AVABcACIAKQA7AFwAbgBcAG4AUwBvAHUAcgBjAGUARABhAHQAYQBfAFMAdwBpAG4AZQBfAEYAcgBhAGMATABFAEEAQwBIAF8ARAByAHkAbABvAHQATQBNAFMAXwBWAGEAcgBpAGEAdABpAG8AbgBcAG4AIAAgAD0ATABBAE0AQgBEAEEAKABcACIAVgBBAFIASQBBAFQASQBPAE4AIABPAE4AIABTAE8AVQBSAEMARQA6ACAAVABlAHgAdAAgAHIAZQBmAGUAcgBzACAAdABvACAAXAB1ADAAMAAyADcAcwBvAGwAaQBkACAAcwB0AG8AcgBhAGcAZQBcAHUAMAAwADIANwAgAE0ATQBTACwAIABiAHUAdAAgAGUAcQB1AGEAdABpAG8AbgAgAHIAZQBmAGUAcgBzACAAdABvACAAXAB1ADAAMAAyADcAZAByAHkAbABvAHQAXAB1ADAAMAAyADcAIABNAE0AUwAuAFwAIgApADsAXABuAFwAbgBTAG8AdQByAGMAZQBEAGEAdABhAF8AUwB3AGkAbgBlAF8ARgByAGEAYwBMAEUAQQBDAEgAXwBEAHIAeQBsAG8AdABNAE0AUwBfAEQAYQB0AGEAXABuACAAIAA9AEwAQQBNAEIARABBACgAMAAuADAAMgApADsAXABuAFwAbgBcAG4ALwAqACAAXABuAC0ALQAtAC0ALQAtAC0ALQAtAC0ALQAtAC0ALQAtAC0ALQAtAC0ALQAtAC0ALQAtAC0ALQAtAC0ALQAtAC0ALQAtAC0ALQAtAC0ALQBcAG4AUwBvAHUAcgBjAGUARABhAHQAYQBfAFMAdwBpAG4AZQBfAE0AZQBnAGEAagBvAHUAbABlAHMAUABlAHIASwBpAGwAbwBnAHIAYQBtAE0AZQB0AGgAYQBuAGUAXABuAEYAXABuAE0ASgAvAGsAZwAgAEMASAA0AFwAbgBcAG4ALQAtAC0ALQAtAC0ALQAtAC0ALQAtAC0ALQAtAC0ALQAtAC0ALQAtAC0ALQAtAC0ALQAtAC0ALQAtAC0ALQAtAC0ALQAtAC0ALQAtAFwAbgAqAC8AXABuAFwAbgBTAG8AdQByAGMAZQBEAGEAdABhAF8AUwB3AGkAbgBlAF8ATQBlAGcAYQBqAG8AdQBsAGUAcwBQAGUAcgBLAGkAbABvAGcAcgBhAG0ATQBlAHQAaABhAG4AZQBfAFQAaQB0AGwAZQBcAG4AIAAgAD0ATABBAE0AQgBEAEEAKABcACIATQBlAGcAYQBqAG8AdQBsAGUAcwAgAHAAZQByACAAawBpAGwAbwBnAHIAYQBtACAAbwBmACAAbQBlAHQAaABhAG4AZQBcACIAKQA7AFwAbgBcAG4AUwBvAHUAcgBjAGUARABhAHQAYQBfAFMAdwBpAG4AZQBfAE0AZQBnAGEAagBvAHUAbABlAHMAUABlAHIASwBpAGwAbwBnAHIAYQBtAE0AZQB0AGgAYQBuAGUAXwBWAGEAcgBpAGEAYgBsAGUAXABuACAAIAA9AEwAQQBNAEIARABBACgAXAAiAEYAXAAiACkAOwBcAG4AXABuAFMAbwB1AHIAYwBlAEQAYQB0AGEAXwBTAHcAaQBuAGUAXwBNAGUAZwBhAGoAbwB1AGwAZQBzAFAAZQByAEsAaQBsAG8AZwByAGEAbQBNAGUAdABoAGEAbgBlAF8AVQBuAGkAdABcAG4AIAAgAD0ATABBAE0AQgBEAEEAKABcACIATQBKACAALwAgAGsAZwAgAEMASAA0AFwAIgApADsAXABuAFwAbgBTAG8AdQByAGMAZQBEAGEAdABhAF8AUwB3AGkAbgBlAF8ATQBlAGcAYQBqAG8AdQBsAGUAcwBQAGUAcgBLAGkAbABvAGcAcgBhAG0ATQBlAHQAaABhAG4AZQBfAFMAbwB1AHIAYwBlAFwAbgAgACAAPQBMAEEATQBCAEQAQQAoAFwAIgBWAEUARQBSAEcAIAAyADAAMgA2ADoAIAAzAC4ANQAuADIALgAzACAAQwBPAE4AUwBUAEEATgBUAFwAIgApADsAXABuAFwAbgBTAG8AdQByAGMAZQBEAGEAdABhAF8AUwB3AGkAbgBlAF8ATQBlAGcAYQBqAG8AdQBsAGUAcwBQAGUAcgBLAGkAbABvAGcAcgBhAG0ATQBlAHQAaABhAG4AZQBfAFYAYQByAGkAYQB0AGkAbwBuAFwAbgAgACAAPQBMAEEATQBCAEQAQQAoAFwAIgBcACIAKQA7AFwAbgBcAG4AUwBvAHUAcgBjAGUARABhAHQAYQBfAFMAdwBpAG4AZQBfAE0AZQBnAGEAagBvAHUAbABlAHMAUABlAHIASwBpAGwAbwBnAHIAYQBtAE0AZQB0AGgAYQBuAGUAXwBEAGEAdABhAFwAbgAgACAAPQBMAEEATQBCAEQAQQAoADUANQAuADIAMgApADsAIgB9ACwAewAiAHAAYQB0AGgAIgA6ACIALwBwAHIAbwBqAGUAYwB0AHMALwBTAG8AdQByAGMAZQBEAGEAdABhAF8AUABvAHUAbAB0AHIAeQAiACwAIgB0AGUAeAB0ACIAOgAiAC8AKgAgAFwAbgAtAC0ALQAtAC0ALQAtAC0ALQAtAC0ALQAtAC0ALQAtAC0ALQAtAC0ALQAtAC0ALQAtAC0ALQAtAC0ALQAtAC0ALQAtAC0ALQAtAC0AXABuAFMAbwB1AHIAYwBlAEQAYQB0AGEAXwBQAG8AdQBsAHQAcgB5AF8ARABpAGUAdABQAHIAbwBwAGUAcgB0AGkAZQBzAFwAbgBUAGEAYgBsAGUAIABBAC4AMQAuADcALgAxADoAIABQAG8AdQBsAHQAcgB5ACAALQAgAEQAaQBlAHQAIABwAHIAbwBwAGUAcgB0AGkAZQBzAFwAbgAtAC0ALQAtAC0ALQAtAC0ALQAtAC0ALQAtAC0ALQAtAC0ALQAtAC0ALQAtAC0ALQAtAC0ALQAtAC0ALQAtAC0ALQAtAC0ALQAtAC0AXABuACoALwBcAG4AXABuAFMAbwB1AHIAYwBlAEQAYQB0AGEAXwBQAG8AdQBsAHQAcgB5AF8ARABpAGUAdABQAHIAbwBwAGUAcgB0AGkAZQBzAF8AVABpAHQAbABlAFwAbgAgACAAPQBMAEEATQBCAEQAQQAoAFwAIgBQAG8AdQBsAHQAcgB5ACAALQAgAEQAaQBlAHQAIABwAHIAbwBwAGUAcgB0AGkAZQBzAFwAIgApADsAXABuAFwAbgBTAG8AdQByAGMAZQBEAGEAdABhAF8AUABvAHUAbAB0AHIAeQBfAEQAaQBlAHQAUAByAG8AcABlAHIAdABpAGUAcwBfAFUAbgBpAHQAXABuACAAIAA9AEwAQQBNAEIARABBACgAXAAiAFwAIgApADsAXABuAFwAbgBTAG8AdQByAGMAZQBEAGEAdABhAF8AUABvAHUAbAB0AHIAeQBfAEQAaQBlAHQAUAByAG8AcABlAHIAdABpAGUAcwBfAFMAbwB1AHIAYwBlAFwAbgAgACAAPQBMAEEATQBCAEQAQQAoAFwAIgBWAEUARQBSAEcAIAAyADAAMgA2ADoAIABUAGEAYgBsAGUAIABBAC4AMQAuADcALgAxADoAIABQAG8AdQBsAHQAcgB5ACAALQAgAEQAaQBlAHQAIABwAHIAbwBwAGUAcgB0AGkAZQBzAFwAIgApADsAXABuAFwAbgBTAG8AdQByAGMAZQBEAGEAdABhAF8AUABvAHUAbAB0AHIAeQBfAEQAaQBlAHQAUAByAG8AcABlAHIAdABpAGUAcwBfAFYAYQByAGkAYQB0AGkAbwBuAFwAbgAgACAAPQBMAEEATQBCAEQAQQAoAFwAIgBcACIAKQA7AFwAbgBcAG4AUwBvAHUAcgBjAGUARABhAHQAYQBfAFAAbwB1AGwAdAByAHkAXwBEAGkAZQB0AFAAcgBvAHAAZQByAHQAaQBlAHMAXwBEAGEAdABhAFwAbgAgACAAPQBMAEEATQBCAEQAQQAoAFwAbgAgACAAIAAgAE0AQQBLAEUAQQBSAFIAQQBZACgANgAsACAANQAsACAAXABuACAAIAAgACAAIAAgAEwAQQBNAEIARABBACgAcgAsAGMALAAgAFwAbgAgACAAIAAgACAAIAAgACAASQBOAEQARQBYACgAewBcAG4AIAAgACAAIAAgACAAIAAgACAAIABcACIATgB1AHQAcgBpAGUAbgB0ACAAYQBuAGEAbAB5AHMAaQBzAFwAIgAsACAAXAAiAEwAYQB5AGUAcgBzAFwAIgAsACAAXAAiAE0AZQBhAHQAIABjAGgAaQBjAGsAZQBuACAAZwByAG8AdwBlAHIAcwBcACIALAAgAFwAIgBNAGUAYQB0ACAAYwBoAGkAYwBrAGUAbgAgAGIAcgBlAGUAZABlAHIAXAAiACwAIABcACIATQBlAGEAdAAgAG8AdABoAGUAcgBcACIAOwBcAG4AIAAgACAAIAAgACAAIAAgACAAIABcACIARAByAHkAIABtAGEAdAB0AGUAcgAgAGkAbgB0AGEAawBlACAAKABrAGcALwBoAGUAYQBkAC8AZABhAHkAKQBcACIALAAgADAALgAwADgANgAsACAAMAAuADAAOQAzACwAIAAwAC4AMQAwADMALAAgADAALgAwADkAMwA7ACAAXABuACAAIAAgACAAIAAgACAAIAAgACAAXAAiAEQAcgB5ACAAbQBhAHQAdABlAHIAIABkAGkAZwBlAHMAdABpAGIAaQBsAGkAdAB5AFwAIgAsACAAMAAuADgAMAAsACAAMAAuADgAMAAsACAAMAAuADgAMAAsACAAMAAuADgAMAA7AFwAbgAgACAAIAAgACAAIAAgACAAIAAgAFwAIgBDAHIAdQBkAGUAIABwAHIAbwB0AGUAaQBuAFwAIgAsACAAMAAuADEAOQAsACAAMAAuADIAMwAsACAAMAAuADEAOQAsACAAMAAuADIAMwA7AFwAbgAgACAAIAAgACAAIAAgACAAIAAgAFwAIgBOAGkAdAByAG8AZwBlAG4AIAByAGUAdABlAG4AdABpAG8AbgAgAHIAYQB0AGUAXAAiACwAIAAwAC4AMwA1ACwAIAAwAC4ANAA3ACwAIAAwAC4AMwAyACwAIAAwAC4ANAA3ADsAXABuACAAIAAgACAAIAAgACAAIAAgACAAXAAiAE0AYQBuAHUAcgBlACAAYQBzAGgAXAAiACwAIAAwAC4AMQA4ACwAIAAwAC4AMQA1ACwAIAAwAC4AMQA4ACwAIAAwAC4AMQA1AFwAbgAgACAAIAAgACAAIAAgACAAfQAsACAAcgAsACAAYwApAFwAbgAgACAAIAAgACAAIAApAFwAbgAgACAAIAAgACkAXABuACAAIAApADsAXABuAFwAbgAvACoAIABcAG4ALQAtAC0ALQAtAC0ALQAtAC0ALQAtAC0ALQAtAC0ALQAtAC0ALQAtAC0ALQAtAC0ALQAtAC0ALQAtAC0ALQAtAC0ALQAtAC0ALQAtAFwAbgBTAG8AdQByAGMAZQBEAGEAdABhAF8AUABvAHUAbAB0AHIAeQBfAE0AQwBGAFwAbgBUAGEAYgBsAGUAIABBAC4AMQAuADcALgA0ADoAIABQAG8AdQBsAHQAcgB5ACAALQAgAE0AQwBGAHMAXABuAC0ALQAtAC0ALQAtAC0ALQAtAC0ALQAtAC0ALQAtAC0ALQAtAC0ALQAtAC0ALQAtAC0ALQAtAC0ALQAtAC0ALQAtAC0ALQAtAC0ALQBcAG4AKgAvAFwAbgBcAG4AUwBvAHUAcgBjAGUARABhAHQAYQBfAFAAbwB1AGwAdAByAHkAXwBNAEMARgBfAFQAaQB0AGwAZQBcAG4AIAAgAD0ATABBAE0AQgBEAEEAKABcACIAUABvAHUAbAB0AHIAeQAgAC0AIABNAEMARgBzAFwAIgApADsAXABuAFwAbgBTAG8AdQByAGMAZQBEAGEAdABhAF8AUABvAHUAbAB0AHIAeQBfAE0AQwBGAF8AVQBuAGkAdABcAG4AIAAgAD0ATABBAE0AQgBEAEEAKABcACIAXAAiACkAOwBcAG4AXABuAFMAbwB1AHIAYwBlAEQAYQB0AGEAXwBQAG8AdQBsAHQAcgB5AF8ATQBDAEYAXwBTAG8AdQByAGMAZQBcAG4AIAAgAD0ATABBAE0AQgBEAEEAKABcACIAVgBFAEUAUgBHACAAMgAwADIANgA6ACAAVABhAGIAbABlACAAQQAuADEALgA3AC4ANAA6ACAAUABvAHUAbAB0AHIAeQAgAC0AIABNAEMARgBzAFwAIgApADsAXABuAFwAbgBTAG8AdQByAGMAZQBEAGEAdABhAF8AUABvAHUAbAB0AHIAeQBfAE0AQwBG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TgAgAFMATwBVAFIAQwBFADoAXAAiADsAXABuACAAIAAgACAAIAAgACAAIAAgACAAXAAiAFMAcABsAGkAdAAgAE4AUwBXACAAYQBuAGQAIABBAEMAVAAgAGkAbgB0AG8AIABzAGUAcABhAHIAYQB0AGUAIABzAHQAYQB0AGUAcwAuACAAUwBwAGwAaQB0ACAAUQBMAEQAIABhAG4AZAAgAE4AVAAgAGkAbgB0AG8AIABzAGUAcABhAHIAYQB0AGUAIABzAHQAYQB0AGUAcwAuAFwAIgA7AFwAbgAgACAAIAAgACAAIAAgACAAIAAgAFwAIgBJAG4AYwBsAHUAZABlAGQAIAB2AGEAbAB1AGUAcwAgAGYAbwByACAAZQBhAGMAaAAgAHMAdABhAHQAZQAgAHcAaABlAG4AIABcAHUAMAAwADIANwBBAGwAbAAgAHMAdABhAHQAZQBzAFwAdQAwADAAMgA3ACAAdgBhAGwAdQBlACAAaQBzACAAZwBpAHYAZQBuAC4AXAAiADsAXABuACAAIAAgACAAIAAgACAAIAAgACAAXAAiAEEAZABkAGUAZAAgAFwAdQAwADAAMgA3AE4ASQBSACAAZABlAGYAaQBuAGkAdABpAG8AbgBcAHUAMAAwADIANwAgAGMAbwBsAHUAbQBuACAAdwBpAHQAaAAgAE0ATQBTACAAbgBhAG0AZQBzACAAdABoAGEAdAAgAG0AYQB0AGMAaAAgAE4ASQBSACAAZABlAGYAaQBuAGkAdABpAG8AbgBzAC4AXAAiADsAXABuACAAIAAgACAAIAAgACAAIAAgACAAXAAiAEQAdQBwAGwAaQBjAGEAdABlAGQAIABcAHUAMAAwADIANwBQAG8AdQBsAHQAcgB5ACAAbQBhAG4AdQByAGUAIAB3AGkAdABoAG8AdQB0ACAAbABpAHQAdABlAHIAXAB1ADAAMAAyADcAIAByAG8AdwAgAGYAbwByACAATgBJAFIAIABNAE0AUwAgAFwAdQAwADAAMgA3AEIAZQBsAHQAIABtAGEAbgB1AHIAZQAgAHIAZQBtAG8AdgBhAGwAXAB1ADAAMAAyADcAIABhAG4AZAAgAFwAdQAwADAAMgA3AE0AYQBuAHUAcgBlACAAcwB0AG8AcgBlAGQAIABpAG4AIABoAG8AdQBzAGUAXAB1ADAAMAAyADcAXAAiAFwAbgAgACAAIAAgACAAIAAgACAAfQAsACAAcgAsACAAYwApAFwAbgAgACAAIAAgACAAIAApAFwAbgAgACAAIAAgACkAXABuACAAIAApADsAXABuAFwAbgBTAG8AdQByAGMAZQBEAGEAdABhAF8AUABvAHUAbAB0AHIAeQBfAE0AQwBGAF8ARABhAHQAYQBcAG4AIAAgAD0ATABBAE0AQgBEAEEAKABcAG4AIAAgACAAIABNAEEASwBFAEEAUgBSAEEAWQAoADEAMAAsACAAMQAxACwAIABcAG4AIAAgACAAIAAgACAATABBAE0AQgBEAEEAKAByACwAYwAsACAAXABuACAAIAAgACAAIAAgACAAIABJAE4ARABFAFgAKAB7AFwAbgAgACAAIAAgACAAIAAgACAAIAAgAFwAIgBNAE0AUwAgAG0AXAAiACwAIABcACIAQQBsAGwAIABzAHQAYQB0AGUAcwBcACIALAAgAFwAIgBOAFMAVwBcACIALAAgAFwAIgBBAEMAVABcACIALAAgAFwAIgBRAEwARABcACIALAAgAFwAIgBOAFQAXAAiACwAIABcACIAVgBJAEMAXAAiACwAIABcACIAUwBBAFwAIgAsACAAXAAiAFcAQQBcACIALAAgAFwAIgBUAEEAUwBcACIALAAgAFwAIgBOAEkAUgAgAGQAZQBmAGkAbgBpAHQAaQBvAG4AXAAiADsAXABuACAAIAAgACAAIAAgACAAIAAgACAAXAAiAFAAbwB1AGwAdAByAHkAIABtAGEAbgB1AHIAZQAgAHcAaQB0AGgAIABsAGkAdAB0AGUAcgBcACIALAAgADAALgAwADEANQAsACAAMAAuADAAMQA1ACwAIAAwAC4AMAAxADUALAAgADAALgAwADEANQAsACAAMAAuADAAMQA1ACwAIAAwAC4AMAAxADUALAAgADAALgAwADEANQAsACAAMAAuADAAMQA1ACwAIAAwAC4AMAAxADUALAAgAFwAIgBQAG8AdQBsAHQAcgB5ACAAbQBhAG4AdQByAGUAIAB3AGkAdABoACAAYgBlAGQAZABpAG4AZwBcACIAOwAgAFwAbgAgACAAIAAgACAAIAAgACAAIAAgAFwAIgBQAG8AdQBsAHQAcgB5ACAAbQBhAG4AdQByAGUAIAB3AGkAdABoAG8AdQB0ACAAbABpAHQAdABlAHIAXAAiACwAIAAwAC4AMAAxADUALAAgADAALgAwADEANQAsACAAMAAuADAAMQA1ACwAIAAwAC4AMAAxADUALAAgADAALgAwADEANQAsACAAMAAuADAAMQA1ACwAIAAwAC4AMAAxADUALAAgADAALgAwADEANQAsACAAMAAuADAAMQA1ACwAIABcACIAQgBlAGwAdAAgAG0AYQBuAHUAcgBlACAAcgBlAG0AbwB2AGEAbABcACIAOwBcAG4AIAAgACAAIAAgACAAIAAgACAAIABcACIAUABvAHUAbAB0AHIAeQAgAG0AYQBuAHUAcgBlACAAdwBpAHQAaABvAHUAdAAgAGwAaQB0AHQAZQByAFwAIgAsACAAMAAuADAAMQA1ACwAIAAwAC4AMAAxADUALAAgADAALgAwADEANQAsACAAMAAuADAAMQA1ACwAIAAwAC4AMAAxADUALAAgADAALgAwADEANQAsACAAMAAuADAAMQA1ACwAIAAwAC4AMAAxADUALAAgADAALgAwADEANQAsACAAXAAiAE0AYQBuAHUAcgBlACAAcwB0AG8AcgBlAGQAIABpAG4AIABoAG8AdQBzAGUAXAAiADsAXABuACAAIAAgACAAIAAgACAAIAAgACAAXAAiAFAAYQBzAHQAdQByAGUAIAByAGEAbgBnAGUAIABhAG4AZAAgAHAAYQBkAGQAbwBjAGsAXAAiACwAIABcACIAbgAvAGEAXAAiACwAIAAwAC4AMAAxACwAIAAwAC4AMAAxACwAIAAwAC4AMAAzACwAIAAwAC4AMAAzACwAIAAwAC4AMAAxACwAIAAwAC4AMAAxACwAIAAwAC4AMAAxACwAIAAwAC4AMAAxACwAIABcACIAUABhAHMAdAB1AHIAZQAgAHIAYQBuAGcAZQAgAGEAbgBkACAAcABhAGQAZABvAGMAawBcACIAOwBcAG4AIAAgACAAIAAgACAAIAAgACAAIABcACIAUwBvAGwAaQBkACAAcwB0AG8AcgBhAGcAZQBcACIALAAgADAALgAwADIALAAgADAALgAwADIALAAgADAALgAwADIALAAgADAALgAwADIALAAgADAALgAwADIALAAgADAALgAwADIALAAgADAALgAwADIALAAgADAALgAwADIALAAgADAALgAwADIALAAgAFwAIgBTAG8AbABpAGQAIABzAHQAbwByAGEAZwBlAFwAIgA7AFwAbgAgACAAIAAgACAAIAAgACAAIAAgAFwAIgBDAG8AbQBwAG8AcwB0AGkAbgBnACAAKABwAGEAcwBzAGkAdgBlACAAdwBpAG4AZAByAG8AdwApAFwAIgAsACAAXAAiAG4ALwBhAFwAIgAsACAAMAAuADAAMQAsACAAMAAuADAAMQAsACAAMAAuADAAMQAsACAAMAAuADAAMQAsACAAMAAuADAAMQAsACAAMAAuADAAMQAsACAAMAAuADAAMQAsACAAMAAuADAAMAA1ACwAIABcACIAQwBvAG0AcABvAHMAdABpAG4AZwAgACgAcABhAHMAcwBpAHYAZQAgAHcAaQBuAGQAcgBvAHcAKQBcACIAOwBcAG4AIAAgACAAIAAgACAAIAAgACAAIABcACIAQQBuAGEAZQByAG8AYgBpAGMAIABkAGkAZwBlAHMAdABlAHIAIAAvACAAQwBvAHYAZQByAGUAZAAgAHAAbwBuAGQAXAAiACwAIAAwAC4AMQAsACAAMAAuADEALAAgADAALgAxACwAIAAwAC4AMQAsACAAMAAuADEALAAgADAALgAxACwAIAAwAC4AMQAsACAAMAAuADEALAAgADAALgAxACwAIABcACIARABpAGcAZQBzAHQAZQByACAALwAgAGMAbwB2AGUAcgBlAGQAIABsAGEAZwBvAG8AbgBzAFwAIgA7AFwAbgAgACAAIAAgACAAIAAgACAAIAAgAFwAIgBEAGkAcgBlAGMAdAAgAHAAcgBvAGMAZQBzAHMAaQBuAGcAXAAiACwAIAAwACwAIAAwACwAIAAwACwAIAAwACwAIAAwACwAIAAwACwAIAAwACwAIAAwACwAIAAwACwAIABcACIARABpAHIAZQBjAHQAIABwAHIAbwBjAGUAcwBzAGkAbgBnAFwAIgA7AFwAbgAgACAAIAAgACAAIAAgACAAIAAgAFwAIgBEAGkAcgBlAGMAdAAgAGEAcABwAGwAaQBjAGEAdABpAG8AbgAgAHQAbwAgAHMAbwBpAGwAXAAiACwAIAAwACwAIAAwACwAIAAwACwAIAAwACwAIAAwACwAIAAwACwAIAAwACwAIAAwACwAIAAwACwAIABcACIARABpAHIAZQBjAHQAIABhAHAAcABsAGkAYwBhAHQAaQBvAG4AXAAiAFwAbgAgACAAIAAgACAAIAAgACAAfQAsACAAcgAsACAAYwApAFwAbgAgACAAIAAgACAAIAApAFwAbgAgACAAIAAgACkAXABuACAAIAApADsAXABuAFwAbgBTAG8AdQByAGMAZQBEAGEAdABhAF8AUABvAHUAbAB0AHIAeQBfAE0AQwBGAF8ATgBvAHQAZQBzAFwAbgAgACAAPQBMAEEATQBCAEQAQQAoAFwAIgBcAHUAMAAwADIANwBQAGEAcwB0AHUAcgBlACAAcgBhAG4AZwBlACAAYQBuAGQAIABwAGEAZABkAG8AYwBrAFwAdQAwADAAMgA3ACAAYQBwAHAAbABpAGUAcwAgAE0AQwBGACAAZgBvAHIAIABkAHIAeQBsAG8AdAAuAFwAIgApADsAXABuAFwAbgBcAG4ALwAqACAAXABuAC0ALQAtAC0ALQAtAC0ALQAtAC0ALQAtAC0ALQAtAC0ALQAtAC0ALQAtAC0ALQAtAC0ALQAtAC0ALQAtAC0ALQAtAC0ALQAtAC0ALQBcAG4AUwBvAHUAcgBjAGUARABhAHQAYQBfAFAAbwB1AGwAdAByAHkAXwBNAGUAdABoAGEAbgBlAEUAbQBpAHMAcwBpAG8AbgBzAFAAbwB0AGUAbgB0AGkAYQBsAFwAbgBNAGUAdABoAGEAbgBlACAAZQBtAGkAcwBzAGkAbwBuAHMAIABwAG8AdABlAG4AdABpAGEAbAAgAHAAZQByACAAcABvAHUAbAB0AHIAeQAgAGMAbABhAHMAcwBcAG4ALQAtAC0ALQAtAC0ALQAtAC0ALQAtAC0ALQAtAC0ALQAtAC0ALQAtAC0ALQAtAC0ALQAtAC0ALQAtAC0ALQAtAC0ALQAtAC0ALQAtAFwAbgAqAC8AXABuAFwAbgBTAG8AdQByAGMAZQBEAGEAdABhAF8AUABvAHUAbAB0AHIAeQBfAE0AZQB0AGgAYQBuAGUARQBtAGkAcwBzAGkAbwBuAHMAUABvAHQAZQBuAHQAaQBhAGwAXwBUAGkAdABsAGUAXABuACAAIAA9AEwAQQBNAEIARABBACgAXAAiAFAAbwB1AGwAdAByAHkAIAAtACAATQBlAHQAaABhAG4AZQAgAGUAbQBpAHMAcwBpAG8AbgBzACAAcABvAHQAZQBuAHQAaQBhAGwAIABwAGUAcgAgAGMAbABhAHMAcwBcACIAKQA7AFwAbgBcAG4AUwBvAHUAcgBjAGUARABhAHQAYQBfAFAAbwB1AGwAdAByAHkAXwBNAGUAdABoAGEAbgBlAEUAbQBpAHMAcwBpAG8AbgBzAFAAbwB0AGUAbgB0AGkAYQBsAF8AVQBuAGkAdABcAG4AIAAgAD0ATABBAE0AQgBEAEEAKABcACIAbQAzACAAQwBIADQALwBrAGcAIABWAFMAXAAiACkAOwBcAG4AXABuAFMAbwB1AHIAYwBlAEQAYQB0AGEAXwBQAG8AdQBsAHQAcgB5AF8ATQBlAHQAaABhAG4AZQBFAG0AaQBzAHMAaQBvAG4AcwBQAG8AdABlAG4AdABpAGEAbABfAFMAbwB1AHIAYwBlAFwAbgAgACAAPQBMAEEATQBCAEQAQQAoAFwAIgBWAEUARQBSAEcAIAAyADAAMgA2ADoAIAA0AC4ANgAuADIALgAzACAAQwBPAE4AUwBUAEEATgBUADoAIABQAG8AdQBsAHQAcgB5ACAALQAgAE0AZQB0AGgAYQBuAGUAIABlAG0AaQBzAHMAaQBvAG4AcwAgAHAAbwB0AGUAbgB0AGkAYQBsACAAcABlAHIAIABjAGwAYQBzAHMAXAAiACkAOwBcAG4AXABuAFMAbwB1AHIAYwBlAEQAYQB0AGEAXwBQAG8AdQBsAHQAcgB5AF8ATQBlAHQAaABhAG4AZQBFAG0AaQBzAHMAaQBvAG4AcwBQAG8AdABlAG4AdABpAGEAbABfAFYAYQByAGkAYQB0AGkAbwBuAFwAbgAgACAAPQBMAEEATQBCAEQAQQAoAFwAIgBcACIAKQA7AFwAbgBcAG4AUwBvAHUAcgBjAGUARABhAHQAYQBfAFAAbwB1AGwAdAByAHkAXwBNAGUAdABoAGEAbgBlAEUAbQBpAHMAcwBpAG8AbgBzAFAAbwB0AGUAbgB0AGkAYQBsAF8ARABhAHQAYQBcAG4AIAAgAD0ATABBAE0AQgBEAEEAKABcAG4AIAAgACAAIABNAEEASwBFAEEAUgBSAEEAWQAoADMALAAgADIALAAgAFwAbgAgACAAIAAgACAAIABMAEEATQBCAEQAQQAoAHIALABjACwAIABcAG4AIAAgACAAIAAgACAAIAAgAEkATgBEAEUAWAAoAHsAXABuACAAIAAgACAAIAAgACAAIAAgACAAXAAiAFAAbwB1AGwAdAByAHkAIABjAGwAYQBzAHMAXAAiACwAIABcACIAQgAwAFwAIgA7AFwAbgAgACAAIAAgACAAIAAgACAAIAAgAFwAIgBMAGEAeQBlAHIAcwBcACIALAAgADAALgAzADkAOwAgAFwAbgAgACAAIAAgACAAIAAgACAAIAAgAFwAIgBNAGUAYQB0ACAAYwBoAGkAYwBrAGUAbgBzAFwAIgAsACAAMAAuADMANgBcAG4AIAAgACAAIAAgACAAIAAgAH0ALAAgAHIALAAgAGMAKQBcAG4AIAAgACAAIAAgACAAKQBcAG4AIAAgACAAIAApAFwAbgAgACAAKQA7AFwAbgBcAG4ALwAqACAAXABuAC0ALQAtAC0ALQAtAC0ALQAtAC0ALQAtAC0ALQAtAC0ALQAtAC0ALQAtAC0ALQAtAC0ALQAtAC0ALQAtAC0ALQAtAC0ALQAtAC0ALQBcAG4AUwBvAHUAcgBjAGUARABhAHQAYQBfAFAAbwB1AGwAdAByAHkAXwBQAHIAbwBkAHUAYwB0AGkAbwBuAFMAeQBzAHQAZQBtAHMAXABuAFAAbwB1AGwAdAByAHkAIABwAHIAbwBkAHUAYwB0AGkAbwBuACAAcwB5AHMAdABlAG0AcwBcAG4ALQAtAC0ALQAtAC0ALQAtAC0ALQAtAC0ALQAtAC0ALQAtAC0ALQAtAC0ALQAtAC0ALQAtAC0ALQAtAC0ALQAtAC0ALQAtAC0ALQAtAFwAbgAqAC8AXABuAFwAbgBTAG8AdQByAGMAZQBEAGEAdABhAF8AUABvAHUAbAB0AHIAeQBfAFAAcgBvAGQAdQBjAHQAaQBvAG4AUwB5AHMAdABlAG0AcwBfAFQAaQB0AGwAZQBcAG4AIAAgAD0ATABBAE0AQgBEAEEAKABcACIAUABvAHUAbAB0AHIAeQAgAC0AIABQAHIAbwBkAHUAYwB0AGkAbwBuACAAcwB5AHMAdABlAG0AcwBcACIAKQA7AFwAbgBcAG4AUwBvAHUAcgBjAGUARABhAHQAYQBfAFAAbwB1AGwAdAByAHkAXwBQAHIAbwBkAHUAYwB0AGkAbwBuAFMAeQBzAHQAZQBtAHMAXwBVAG4AaQB0AFwAbgAgACAAPQBMAEEATQBCAEQAQQAoAFwAIgBcACIAKQA7AFwAbgBcAG4AUwBvAHUAcgBjAGUARABhAHQAYQBfAFAAbwB1AGwAdAByAHkAXwBQAHIAbwBkAHUAYwB0AGkAbwBuAFMAeQBzAHQAZQBtAHMAXwBTAG8AdQByAGMAZQBcAG4AIAAgAD0ATABBAE0AQgBEAEEAKABcACIAVgBFAEUAUgBHACAAMgAwADIANgA6ACAANAAuADYAIABQAG8AdQBsAHQAcgB5AFwAIgApADsAXABuAFwAbgBTAG8AdQByAGMAZQBEAGEAdABhAF8AUABvAHUAbAB0AHIAeQBfAFAAcgBvAGQAdQBjAHQAaQBvAG4AUwB5AHMAdABlAG0AcwBfAFYAYQByAGkAYQB0AGkAbwBuAFwAbgAgACAAPQBMAEEATQBCAEQAQQAoAFwAIgBcACIAKQA7AFwAbgBcAG4AUwBvAHUAcgBjAGUARABhAHQAYQBfAFAAbwB1AGwAdAByAHkAXwBQAHIAbwBkAHUAYwB0AGkAbwBuAFMAeQBzAHQAZQBtAHMAXwBEAGEAdABhAFwAbgAgACAAPQBMAEEATQBCAEQAQQAoAFwAbgAgACAAIAAgAE0AQQBLAEUAQQBSAFIAQQBZACgANAAsACAAMQAsACAAXABuACAAIAAgACAAIAAgAEwAQQBNAEIARABBACgAcgAsAGMALAAgAFwAbgAgACAAIAAgACAAIAAgACAASQBOAEQARQBYACgAewBcAG4AIAAgACAAIAAgACAAIAAgACAAIABcACIAUAByAG8AZAB1AGMAdABpAG8AbgAgAHMAeQBzAHQAZQBtAFwAIgA7AFwAbgAgACAAIAAgACAAIAAgACAAIAAgAFwAIgBGAHIAZQBlACAAcgBhAG4AZwBlAFwAIgA7ACAAXABuACAAIAAgACAAIAAgACAAIAAgACAAXAAiAEIAYQByAG4AXAAiADsAXABuACAAIAAgACAAIAAgACAAIAAgACAAXAAiAEMAYQBnAGUAXAAiAFwAbgAgACAAIAAgACAAIAAgACAAfQAsACAAcgAsACAAYwApAFwAbgAgACAAIAAgACAAIAApAFwAbgAgACAAIAAgACkAXABuACAAIAApADsAXABuAFwAbgBcAG4ALwAqACAAXABuAC0ALQAtAC0ALQAtAC0ALQAtAC0ALQAtAC0ALQAtAC0ALQAtAC0ALQAtAC0ALQAtAC0ALQAtAC0ALQAtAC0ALQAtAC0ALQAtAC0ALQBcAG4AUwBvAHUAcgBjAGUARABhAHQAYQBfAFAAbwB1AGwAdAByAHkAXwBWAFMATABcAG4ARgByAGEAYwB0AGkAbwBuACAAbwBmACAAdgBvAGwAYQB0AGkAbABlACAAcwBvAGwAaQBkAHMAIABsAG8AcwB0ACAAaQBuACAAdABoAGUAIABwAHIAaQBtAGEAcgB5ACAATQBNAFMAXABuAC0ALQAtAC0ALQAtAC0ALQAtAC0ALQAtAC0ALQAtAC0ALQAtAC0ALQAtAC0ALQAtAC0ALQAtAC0ALQAtAC0ALQAtAC0ALQAtAC0ALQBcAG4AKgAvAFwAbgBcAG4AUwBvAHUAcgBjAGUARABhAHQAYQBfAFAAbwB1AGwAdAByAHkAXwBWAFMATABfAFQAaQB0AGwAZQBcAG4AIAAgAD0ATABBAE0AQgBEAEEAKABcACIAUABvAHUAbAB0AHIAeQAgAC0AIABGAHIAYQBjAHQAaQBvAG4AIABvAGYAIAB2AG8AbABhAHQAaQBsAGUAIABzAG8AbABpAGQAcwAgAGwAbwBzAHQAIABpAG4AIAB0AGgAZQAgAHAAcgBpAG0AYQByAHkAIABNAE0AUwBcACIAKQA7AFwAbgBcAG4AUwBvAHUAcgBjAGUARABhAHQAYQBfAFAAbwB1AGwAdAByAHkAXwBWAFMATABfAFUAbgBpAHQAXABuACAAIAA9AEwAQQBNAEIARABBACgAXAAiAFwAIgApADsAXABuAFwAbgBTAG8AdQByAGMAZQBEAGEAdABhAF8AUABvAHUAbAB0AHIAeQBfAFYAUwBMAF8AUwBvAHUAcgBjAGUAXABuACAAIAA9AEwAQQBNAEIARABBACgAXAAiAFYARQBFAFIARwAgADIAMAAyADYAOgAgADQALgA2AC4AMgAuADMAIABDAE8ATgBTAFQAQQBOAFQAXAAiACkAOwBcAG4AXABuAFMAbwB1AHIAYwBlAEQAYQB0AGEAXwBQAG8AdQBsAHQAcgB5AF8AVgBTAEwAXwBWAGEAcgBpAGEAdABpAG8AbgBcAG4AIAAgAD0ATABBAE0AQgBEAEEAKABcACIAVgBBAFIASQBBAFQASQBPAE4AIABPAE4AIABTAE8AVQBSAEMARQA6ACAAVABhAGIAbABlACAAZwBlAG4AZQByAGEAdABlAGQAIABmAHIAbwBtACAAbABpAG4AZQAgAGkAdABlAG0AcwAuACAAQQBkAGQAZQBkACAAXAB1ADAAMAAyADcATgBJAFIAIABkAGUAZgBpAG4AaQB0AGkAbwBuACAAYwBvAGwAdQBtAG4AXAB1ADAAMAAyADcALgBcACIAKQA7AFwAbgBcAG4AUwBvAHUAcgBjAGUARABhAHQAYQBfAFAAbwB1AGwAdAByAHkAXwBWAFMATABfAEQAYQB0AGEAXABuACAAIAA9AEwAQQBNAEIARABBACgAXABuACAAIAAgACAATQBBAEsARQBBAFIAUgBBAFkAKAA0ACwAIAAzACwAIABcAG4AIAAgACAAIAAgACAATABBAE0AQgBEAEEAKAByACwAYwAsACAAXABuACAAIAAgACAAIAAgACAAIABJAE4ARABFAFgAKAB7AFwAbgAgACAAIAAgACAAIAAgACAAIAAgAFwAIgBNAE0AUwBcACIALAAgAFwAIgBWAFMATABcACIALAAgAFwAIgBOAEkAUgAgAGQAZQBmAGkAbgBpAHQAaQBvAG4AXAAiADsAXABuACAAIAAgACAAIAAgACAAIAAgACAAXAAiAFAAbwB1AGwAdAByAHkAIABtAGEAbgB1AHIAZQAgAHcAaQB0AGgAIABsAGkAdAB0AGUAcgBcACIALAAgADAALgAxADUALAAgAFwAIgBQAG8AdQBsAHQAcgB5ACAAbQBhAG4AdQByAGUAIAB3AGkAdABoACAAYgBlAGQAZABpAG4AZwBcACIAOwBcAG4AIAAgACAAIAAgACAAIAAgACAAIABcACIAUABvAHUAbAB0AHIAeQAgAG0AYQBuAHUAcgBlACAAdwBpAHQAaABvAHUAdAAgAGwAaQB0AHQAZQByACAALQAgAHMAdABvAHIAZQBkACAAaQBuACAAaABvAHUAcwBlAFwAIgAsACAAMAAuADIALAAgAFwAIgBNAGEAbgB1AHIAZQAgAHMAdABvAHIAZQBkACAAaQBuACAAaABvAHUAcwBlAFwAIgA7AFwAbgAgACAAIAAgACAAIAAgACAAIAAgAFwAIgBQAG8AdQBsAHQAcgB5ACAAbQBhAG4AdQByAGUAIAB3AGkAdABoAG8AdQB0ACAAbABpAHQAdABlAHIAIAAtACAAYgBlAGwAdAAgAHIAZQBtAG8AdgBhAGwAXAAiACwAIAAwACwAIABcACIAQgBlAGwAdAAgAG0AYQBuAHUAcgBlACAAcgBlAG0AbwB2AGEAbA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FAAbwB1AGwAdAByAHkAXwBGAHIAYQBjAEcAQQBTAE0AbQBUAFwAbgBUAGEAYgBsAGUAIABBAC4AMQAuADcALgAyADoAIABQAG8AdQBsAHQAcgB5ACAALQAgAEYAcgBhAGMAdABpAG8AbgAgAG8AZgAgAE4AIAB2AG8AbABhAHQAaQBsAGkAcwBlAGQAIABiAHkAIABNAE0AUwAgACgAKABrAGcAIABOAEgAMwAtAE4AIAArACAATgBPAHgALQBOACkALwBrAGcATgApACAAKABGAHIAYQBjAEcAQQBTAE0AbQBUACkAXABuAC0ALQAtAC0ALQAtAC0ALQAtAC0ALQAtAC0ALQAtAC0ALQAtAC0ALQAtAC0ALQAtAC0ALQAtAC0ALQAtAC0ALQAtAC0ALQAtAC0ALQBcAG4AKgAvAFwAbgBcAG4AUwBvAHUAcgBjAGUARABhAHQAYQBfAFAAbwB1AGwAdAByAHkAXwBGAHIAYQBjAEcAQQBTAE0AbQBUAF8AVABpAHQAbABlAFwAbgAgACAAPQBMAEEATQBCAEQAQQAoAFwAIgBQAG8AdQBsAHQAcgB5ACAALQAgAEYAcgBhAGMAdABpAG8AbgAgAG8AZgAgAE4AIAB2AG8AbABhAHQAaQBsAGkAcwBlAGQAIABiAHkAIABNAE0AUwAgACgAKABrAGcAIABOAEgAMwAtAE4AIAArACAATgBPAHgALQBOACkALwBrAGcATgApACAAKABGAHIAYQBjAEcAQQBTAE0AbQBUACkAXAAiACkAOwBcAG4AXABuAFMAbwB1AHIAYwBlAEQAYQB0AGEAXwBQAG8AdQBsAHQAcgB5AF8ARgByAGEAYwBHAEEAUwBNAG0AVABfAFUAbgBpAHQAXABuACAAIAA9AEwAQQBNAEIARABBACgAXAAiACgAawBnACAATgBIADMALQBOACAAKwAgAE4ATwB4AC0ATgApAC8AawBnAE4AXAAiACkAOwBcAG4AXABuAFMAbwB1AHIAYwBlAEQAYQB0AGEAXwBQAG8AdQBsAHQAcgB5AF8ARgByAGEAYwBHAEEAUwBNAG0AVABfAFMAbwB1AHIAYwBlAFwAbgAgACAAPQBMAEEATQBCAEQAQQAoAFwAIgBWAEUARQBSAEcAIAAyADAAMgA2ADoAIABUAGEAYgBsAGUAIABBAC4AMQAuADcALgAyAFwAIgApADsAXABuAFwAbgBTAG8AdQByAGMAZQBEAGEAdABhAF8AUABvAHUAbAB0AHIAeQBfAEYAcgBhAGMARwBBAFMATQBtAFQAXwBWAGEAcgBpAGEAdABpAG8AbgBcAG4AIAAgAD0ATABBAE0AQgBEAEEAKABcACIAVgBBAFIASQBBAFQASQBPAE4AIABPAE4AIABTAE8AVQBSAEMARQA6ACAAQQBkAGQAZQBkACAAXAB1ADAAMAAyADcATgBJAFIAIABkAGUAZgBpAG4AaQB0AGkAbwBuACAAYwBvAGwAdQBtAG4AXAB1ADAAMAAyADcALgBcACIAKQA7AFwAbgBcAG4AUwBvAHUAcgBjAGUARABhAHQAYQBfAFAAbwB1AGwAdAByAHkAXwBGAHIAYQBjAEcAQQBTAE0AbQBUAF8ARABhAHQAYQBcAG4AIAAgAD0ATABBAE0AQgBEAEEAKABcAG4AIAAgACAAIABNAEEASwBFAEEAUgBSAEEAWQAoADgALAAgADMALAAgAFwAbgAgACAAIAAgACAAIABMAEEATQBCAEQAQQAoAHIALABjACwAIABcAG4AIAAgACAAIAAgACAAIAAgAEkATgBEAEUAWAAoAHsAXABuACAAIAAgACAAIAAgACAAIAAgACAAXAAiAE0ATQBTACAAbQBcACIALAAgAFwAIgBGAHIAYQBjAEcAQQBTAE0AbQBUAFwAIgAsACAAXAAiAE4ASQBSACAAcgBlAGYAZQByAGUAbgBjAGUAXAAiADsAXABuACAAIAAgACAAIAAgACAAIAAgACAAXAAiAFAAbwB1AGwAdAByAHkAIABtAGEAbgB1AHIAZQAgAHcAaQB0AGgAIABsAGkAdAB0AGUAcgAgACgAaABvAHUAcwBpAG4AZwApAFwAIgAsACAAMAAuADMALAAgAFwAIgBQAG8AdQBsAHQAcgB5ACAAbQBhAG4AdQByAGUAIAB3AGkAdABoACAAYgBlAGQAZABpAG4AZwBcACIAOwBcAG4AIAAgACAAIAAgACAAIAAgACAAIABcACIAUABvAHUAbAB0AHIAeQAgAG0AYQBuAHUAcgBlACAAdwBpAHQAaABvAHUAdAAgAGwAaQB0AHQAZQByACAAKABoAG8AdQBzAGkAbgBnACkAIABCAGUAbAB0ACAAbQBhAG4AdQByAGUAIAByAGUAbQBvAHYAYQBsAFwAIgAsACAAMAAuADAANQAsACAAXAAiAEIAZQBsAHQAIABtAGEAbgB1AHIAZQAgAHIAZQBtAG8AdgBhAGwAXAAiADsAXABuACAAIAAgACAAIAAgACAAIAAgACAAXAAiAFAAbwB1AGwAdAByAHkAIABtAGEAbgB1AHIAZQAgAHcAaQB0AGgAbwB1AHQAIABsAGkAdAB0AGUAcgAgACgAaABvAHUAcwBpAG4AZwApACAATQBhAG4AdQByAGUAIABzAHQAbwByAGUAZAAgAGkAbgAgAGgAbwB1AHMAZQAgAHUAbgBkAGUAcgAgAGMAYQBnAGUAcwAgAG8AcgAgAHMAbABhAHQAXAAiACwAIAAwAC4ANAAsACAAXAAiAE0AYQBuAHUAcgBlACAAcwB0AG8AcgBlAGQAIABpAG4AIABoAG8AdQBzAGUAXAAiADsAXABuACAAIAAgACAAIAAgACAAIAAgACAAXAAiAFMAbwBsAGkAZAAgAHMAdABvAHIAYQBnAGUAIAAoAHMAdABvAGMAawBwAGkAbABlACkAXAAiACwAIAAwAC4AMgAsACAAXAAiAFMAbwBsAGkAZAAgAHMAdABvAHIAYQBnAGUAXAAiADsAXABuACAAIAAgACAAIAAgACAAIAAgACAAXAAiAEMAbwBtAHAAbwBzAHQAaQBuAGcAIAAoAHAAYQBzAHMAaQB2AGUAIAB3AGkAbgBkAHIAbwB3ACkAXAAiACwAIAAwAC4AMgAsACAAXAAiAEMAbwBtAHAAbwBzAHQAaQBuAGcAIAAoAHAAYQBzAHMAaQB2AGUAIAB3AGkAbgBkAHIAbwB3ACkAXAAiADsAXABuACAAIAAgACAAIAAgACAAIAAgACAAXAAiAEQAaQByAGUAYwB0ACAAcAByAG8AYwBlAHMAcwBpAG4AZwBcACIALAAgADAALAAgAFwAIgBEAGkAcgBlAGMAdAAgAHAAcgBvAGMAZQBzAHMAaQBuAGcAXAAiADsAXABuACAAIAAgACAAIAAgACAAIAAgACAAXAAiAEEAbgBhAGUAcgBvAGIAaQBjACAAZABpAGcAZQBzAHQAZQByACAALwAgAGMAbwB2AGUAcgBlAGQAIABwAG8AbgBkAFwAIgAsACAAMAAsACAAXAAiAEQAaQBnAGUAcwB0AGUAcgAgAC8AIABjAG8AdgBlAHIAZQBkACAAbABhAGcAbwBvAG4AcwBcACIAXABuACAAIAAgACAAIAAgACAAIAB9ACwAIAByACwAIABjACkAXABuACAAIAAgACAAIAAgACkAXABuACAAIAAgACAAKQBcAG4AIAAgACkAOwBcAG4AXABuAFwAbgAvACoAIABcAG4ALQAtAC0ALQAtAC0ALQAtAC0ALQAtAC0ALQAtAC0ALQAtAC0ALQAtAC0ALQAtAC0ALQAtAC0ALQAtAC0ALQAtAC0ALQAtAC0ALQAtAFwAbgBTAG8AdQByAGMAZQBEAGEAdABhAF8AUABvAHUAbAB0AHIAeQBfAEUARgBtAFQAXABuAFQAYQBiAGwAZQAgAEEALgAxAC4ANwAuADMAOgAgAFAAbwB1AGwAdAByAHkAIAAtACAATgBpAHQAcgBvAHUAcwAgAG8AeABpAGQAZQAgAEUARgBzACAAYgB5ACAATQBNAFMAIAAoAGsAZwBOADIATwAtAE4ALwBrAGcATgApACAAKABFAEYAbQBUACkAXABuAC0ALQAtAC0ALQAtAC0ALQAtAC0ALQAtAC0ALQAtAC0ALQAtAC0ALQAtAC0ALQAtAC0ALQAtAC0ALQAtAC0ALQAtAC0ALQAtAC0ALQBcAG4AKgAvAFwAbgBcAG4AUwBvAHUAcgBjAGUARABhAHQAYQBfAFAAbwB1AGwAdAByAHkAXwBFAEYAbQBUAF8AVABpAHQAbABlAFwAbgAgACAAPQBMAEEATQBCAEQAQQAoAFwAIgBQAG8AdQBsAHQAcgB5ACAALQAgAE4AaQB0AHIAbwB1AHMAIABvAHgAaQBkAGUAIABFAEYAcwAgAGIAeQAgAE0ATQBTACAAKABrAGcATgAyAE8ALQBOAC8AawBnAE4AKQAgACgARQBGAG0AVAApAFwAIgApADsAXABuAFwAbgBTAG8AdQByAGMAZQBEAGEAdABhAF8AUABvAHUAbAB0AHIAeQBfAEUARgBtAFQAXwBVAG4AaQB0AFwAbgAgACAAPQBMAEEATQBCAEQAQQAoAFwAIgBrAGcATgAyAE8AIAAtACAATgAgAC8AIABrAGcATgBcACIAKQA7AFwAbgBcAG4AUwBvAHUAcgBjAGUARABhAHQAYQBfAFAAbwB1AGwAdAByAHkAXwBFAEYAbQBUAF8AUwBvAHUAcgBjAGUAXABuACAAIAA9AEwAQQBNAEIARABBACgAXAAiAFYARQBFAFIARwAgADIAMAAyADYAOgAgAFQAYQBiAGwAZQAgAEEALgAxAC4ANwAuADMAXAAiACkAOwBcAG4AXABuAFMAbwB1AHIAYwBlAEQAYQB0AGEAXwBQAG8AdQBsAHQAcgB5AF8ARQBGAG0AVABfAFYAYQByAGkAYQB0AGkAbwBuAFwAbgAgACAAPQBMAEEATQBCAEQAQQAoAFwAIgBWAEEAUgBJAEEAVABJAE8ATgAgAE8ATgAgAFMATwBVAFIAQwBFADoAIABBAGQAZABlAGQAIABcAHUAMAAwADIANwBOAEkAUgAgAGQAZQBmAGkAbgBpAHQAaQBvAG4AIABjAG8AbAB1AG0AbgBcAHUAMAAwADIANwAuACAARAB1AHAAbABpAGMAYQB0AGUAZAAgAFwAdQAwADAAMgA3AFAAbwB1AGwAdAByAHkAIABtAGEAbgB1AHIAZQAgAHcAaQB0AGgAbwB1AHQAIABsAGkAdAB0AGUAcgBcAHUAMAAwADIANwAgAHIAbwB3ACAAZgBvAHIAIABOAEkAUgAgAE0ATQBTACAAXAB1ADAAMAAyADcAQgBlAGwAdAAgAG0AYQBuAHUAcgBlACAAcgBlAG0AbwB2AGEAbABcAHUAMAAwADIANwAgAGEAbgBkACAAXAB1ADAAMAAyADcATQBhAG4AdQByAGUAIABzAHQAbwByAGUAZAAgAGkAbgAgAGgAbwB1AHMAZQBcAHUAMAAwADIANwAuAFwAIgApADsAXABuAFwAbgBTAG8AdQByAGMAZQBEAGEAdABhAF8AUABvAHUAbAB0AHIAeQBfAEUARgBtAFQAXwBEAGEAdABhAFwAbgAgACAAPQBMAEEATQBCAEQAQQAoAFwAbgAgACAAIAAgAE0AQQBLAEUAQQBSAFIAQQBZACgAOQAsACAAMwAsACAAXABuACAAIAAgACAAIAAgAEwAQQBNAEIARABBACgAcgAsAGMALAAgAFwAbgAgACAAIAAgACAAIAAgACAASQBOAEQARQBYACgAewBcAG4AIAAgACAAIAAgACAAIAAgACAAIABcACIATQBNAFMAIABtAFwAIgAsACAAXAAiAEUARgBtAFQAXAAiACwAIABcACIATgBJAFIAIAByAGUAZgBlAHIAZQBuAGMAZQBcACIAOwBcAG4AIAAgACAAIAAgACAAIAAgACAAIABcACIAUABvAHUAbAB0AHIAeQAgAG0AYQBuAHUAcgBlACAAdwBpAHQAaAAgAGwAaQB0AHQAZQByACAAKABoAG8AdQBzAGkAbgBnACkAXAAiACwAIAAwAC4AMAAwADEALAAgAFwAIgBQAG8AdQBsAHQAcgB5ACAAbQBhAG4AdQByAGUAIAB3AGkAdABoACAAYgBlAGQAZABpAG4AZwBcACIAOwBcAG4AIAAgACAAIAAgACAAIAAgACAAIABcACIAUABvAHUAbAB0AHIAeQAgAG0AYQBuAHUAcgBlACAAdwBpAHQAaABvAHUAdAAgAGwAaQB0AHQAZQByACAAKABoAG8AdQBzAGkAbgBnACkAXAAiACwAIAAwAC4AMAAwADEALAAgAFwAIgBCAGUAbAB0ACAAbQBhAG4AdQByAGUAIAByAGUAbQBvAHYAYQBsAFwAIgA7AFwAbgAgACAAIAAgACAAIAAgACAAIAAgAFwAIgBQAG8AdQBsAHQAcgB5ACAAbQBhAG4AdQByAGUAIAB3AGkAdABoAG8AdQB0ACAAbABpAHQAdABlAHIAIAAoAGgAbwB1AHMAaQBuAGcAKQBcACIALAAgADAALgAwADAAMQAsACAAXAAiAE0AYQBuAHUAcgBlACAAcwB0AG8AcgBlAGQAIABpAG4AIABoAG8AdQBzAGUAXAAiADsAXABuACAAIAAgACAAIAAgACAAIAAgACAAXAAiAFAAYQBzAHQAdQByAGUAIAByAGEAbgBnAGUAIABhAG4AZAAgAHAAYQBkAGQAbwBjAGsAIAAoAGYAcgBlAGUAIAByAGEAbgBnAGUAKQBcACIALAAgADAALgAwADIALAAgAFwAIgBQAGEAcwB0AHUAcgBlACAAcgBhAG4AZwBlACAAYQBuAGQAIABwAGEAZABkAG8AYwBrAFwAIgA7AFwAbgAgACAAIAAgACAAIAAgACAAIAAgAFwAIgBTAG8AbABpAGQAIABzAHQAbwByAGEAZwBlACAAKABzAHQAbwBjAGsAcABpAGwAZQApAFwAIgAsACAAMAAuADAAMAA1ACwAIABcACIAUwBvAGwAaQBkACAAcwB0AG8AcgBhAGcAZQBcACIAOwBcAG4AIAAgACAAIAAgACAAIAAgACAAIABcACIAQwBvAG0AcABvAHMAdABpAG4AZwAgACgAcABhAHMAcwBpAHYAZQAgAHcAaQBuAGQAcgBvAHcAKQBcACIALAAgADAALgAwADEALAAgAFwAIgBDAG8AbQBwAG8AcwB0AGkAbgBnACAAKABwAGEAcwBzAGkAdgBlACAAdwBpAG4AZAByAG8AdwApAFwAIgA7AFwAbgAgACAAIAAgACAAIAAgACAAIAAgAFwAIgBEAGkAcgBlAGMAdAAgAHAAcgBvAGMAZQBzAHMAaQBuAGcAXAAiACwAIAAwACwAIABcACIARABpAHIAZQBjAHQAIABwAHIAbwBjAGUAcwBzAGkAbgBnAFwAIgA7AFwAbgAgACAAIAAgACAAIAAgACAAIAAgAFwAIgBBAG4AYQBlAHIAbwBiAGkAYwAgAGQAaQBnAGUAcwB0AGUAcgAgAC8AIABjAG8AdgBlAHIAZQBkACAAcABvAG4AZABcACIALAAgADAALAAgAFwAIgBEAGkAZwBlAHMAdABlAHIAIAAvACAAYwBvAHYAZQByAGUAZAAgAGwAYQBnAG8AbwBuAHMAXAAiAFwAbgAgACAAIAAgACAAIAAgACAAfQAsACAAcgAsACAAYwApAFwAbgAgACAAIAAgACAAIAApAFwAbgAgACAAIAAgACkAXABuACAAIAApADsAXABuAFwAbgAvACoAIABcAG4ALQAtAC0ALQAtAC0ALQAtAC0ALQAtAC0ALQAtAC0ALQAtAC0ALQAtAC0ALQAtAC0ALQAtAC0ALQAtAC0ALQAtAC0ALQAtAC0ALQAtAFwAbgBTAG8AdQByAGMAZQBEAGEAdABhAF8AUABvAHUAbAB0AHIAeQBfAEYAcgBhAGMAdABpAG8AbgBPAGYATgBpAHQAcgBvAGcAZQBuAEwAbwBzAHQAVABoAHIAbwB1AGcAaABMAGUAYQBjAGgAaQBuAGcAQQBuAGQAUgB1AG4AbwBmAGYAXABuAEYAcgBhAGMAdABpAG8AbgAgAG8AZgAgAE4AIAB0AGgAYQB0ACAAaQBzACAAbABvAHMAdAAgAHQAaAByAG8AdQBnAGgAIABsAGUAYQBjAGgAaQBuAGcAIABhAG4AZAAgAHIAdQBuAG8AZgBmACAAKABkAGkAbQBlAG4AcwBpAG8AbgBsAGUAcwBzACkAXABuAC0ALQAtAC0ALQAtAC0ALQAtAC0ALQAtAC0ALQAtAC0ALQAtAC0ALQAtAC0ALQAtAC0ALQAtAC0ALQAtAC0ALQAtAC0ALQAtAC0ALQBcAG4AKgAvAFwAbgBcAG4AUwBvAHUAcgBjAGUARABhAHQAYQBfAFAAbwB1AGwAdAByAHkAXwBGAHIAYQBjAHQAaQBvAG4ATwBmAE4AaQB0AHIAbwBnAGUAbgBMAG8AcwB0AFQAaAByAG8AdQBnAGgATABlAGEAYwBoAGkAbgBnAEEAbgBkAFIAdQBuAG8AZgBmAF8AVABpAHQAbABlAFwAbgAgACAAPQBMAEEATQBCAEQAQQAoAFwAIgBGAHIAYQBjAHQAaQBvAG4AIABvAGYAIABOACAAdABoAGEAdAAgAGkAcwAgAGwAbwBzAHQAIAB0AGgAcgBvAHUAZwBoACAAbABlAGEAYwBoAGkAbgBnACAAYQBuAGQAIAByAHUAbgBvAGYAZgBcACIAKQA7AFwAbgBcAG4AUwBvAHUAcgBjAGUARABhAHQAYQBfAFAAbwB1AGwAdAByAHkAXwBGAHIAYQBjAHQAaQBvAG4ATwBmAE4AaQB0AHIAbwBnAGUAbgBMAG8AcwB0AFQAaAByAG8AdQBnAGgATABlAGEAYwBoAGkAbgBnAEEAbgBkAFIAdQBuAG8AZgBmAF8AVgBhAHIAaQBhAGIAbABlAFwAbgAgACAAPQBMAEEATQBCAEQAQQAoAFwAIgBGAHIAYQBjAF8ATABFAEEAQwBIAF8ATQBTAFwAIgApADsAXABuAFwAbgBTAG8AdQByAGMAZQBEAGEAdABhAF8AUABvAHUAbAB0AHIAeQBfAEYAcgBhAGMAdABpAG8AbgBPAGYATgBpAHQAcgBvAGcAZQBuAEwAbwBzAHQAVABoAHIAbwB1AGcAaABMAGUAYQBjAGgAaQBuAGcAQQBuAGQAUgB1AG4AbwBmAGYAXwBVAG4AaQB0AFwAbgAgACAAPQBMAEEATQBCAEQAQQAoAFwAIgBEAGkAbQBlAG4AcwBpAG8AbgBsAGUAcwBzAFwAIgApADsAXABuAFwAbgBTAG8AdQByAGMAZQBEAGEAdABhAF8AUABvAHUAbAB0AHIAeQBfAEYAcgBhAGMAdABpAG8AbgBPAGYATgBpAHQAcgBvAGcAZQBuAEwAbwBzAHQAVABoAHIAbwB1AGcAaABMAGUAYQBjAGgAaQBuAGcAQQBuAGQAUgB1AG4AbwBmAGYAXwBTAG8AdQByAGMAZQBcAG4AIAAgAD0ATABBAE0AQgBEAEEAKABcACIAVgBFAEUAUgBHACAAMgAwADIANgA6ACAANAAuADYALgAyAC4AMwAgAEMATwBOAFMAVABBAE4AVABTAFwAIgApADsAXABuAFwAbgBTAG8AdQByAGMAZQBEAGEAdABhAF8AUABvAHUAbAB0AHIAeQBfAEYAcgBhAGMAdABpAG8AbgBPAGYATgBpAHQAcgBvAGcAZQBuAEwAbwBzAHQAVABoAHIAbwB1AGcAaABMAGUAYQBjAGgAaQBuAGcAQQBuAGQAUgB1AG4AbwBmAGYAXwBWAGEAcgBpAGEAdABpAG8AbgBcAG4AIAAgAD0ATABBAE0AQgBEAEEAKABcACIAXAAiACkAOwBcAG4AXABuAFMAbwB1AHIAYwBlAEQAYQB0AGEAXwBQAG8AdQBsAHQAcgB5AF8ARgByAGEAYwB0AGkAbwBuAE8AZgBOAGkAdAByAG8AZwBlAG4ATABvAHMAdABUAGgAcgBvAHUAZwBoAEwAZQBhAGMAaABpAG4AZwBBAG4AZABSAHUAbgBvAGYAZgBfAEQAYQB0AGEAXABuACAAIAA9AEwAQQBNAEIARABBACgAMAAuADAAMgApADsAXABuAFwAbgBcAG4ALwAqACAAXABuAC0ALQAtAC0ALQAtAC0ALQAtAC0ALQAtAC0ALQAtAC0ALQAtAC0ALQAtAC0ALQAtAC0ALQAtAC0ALQAtAC0ALQAtAC0ALQAtAC0ALQBcAG4AUwBvAHUAcgBjAGUARABhAHQAYQBfAFAAbwB1AGwAdAByAHkAXwBGAHIAYQBjAEcAQQBNAFMAUwBvAGkAbABcAG4ARgByAGEAYwB0AGkAbwBuACAAbwBmACAAbgBpAHQAcgBvAGcAZQBuACAAdgBvAGwAYQB0AGkAbABpAHMAZQBkACAAZgByAG8AbQAgAHUAcgBpAG4AZQAgAGEAbgBkACAAZgBhAGUAYwBlAHMAIABkAGUAcABvAHMAaQB0AGUAZAAgAG8AbgAgAHAAYQBzAHQAdQByAGUAXABuAC0ALQAtAC0ALQAtAC0ALQAtAC0ALQAtAC0ALQAtAC0ALQAtAC0ALQAtAC0ALQAtAC0ALQAtAC0ALQAtAC0ALQAtAC0ALQAtAC0ALQBcAG4AKgAvAFwAbgBcAG4AUwBvAHUAcgBjAGUARABhAHQAYQBfAFAAbwB1AGwAdAByAHkAXwBGAHIAYQBjAEcAQQBNAFM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8AdQBsAHQAcgB5AF8ARgByAGEAYwBHAEEATQBTAFMAbwBpAGwAXwBWAGEAcgBpAGEAYgBsAGUAXABuACAAIAA9AEwAQQBNAEIARABBACgAXAAiAEYAcgBhAGMARwBBAFMATQBfAHMAbwBpAGwAXAAiACkAOwBcAG4AXABuAFMAbwB1AHIAYwBlAEQAYQB0AGEAXwBQAG8AdQBsAHQAcgB5AF8ARgByAGEAYwBHAEEATQBTAFMAbwBpAGwAXwBVAG4AaQB0AFwAbgAgACAAPQBMAEEATQBCAEQAQQAoAFwAIgAoAGsAZwAgAE4ASAAzAC0ATgAgACsAIABOAE8AeAAtAE4AKQAvAGsAZwAgAE4AXAAiACkAOwBcAG4AXABuAFMAbwB1AHIAYwBlAEQAYQB0AGEAXwBQAG8AdQBsAHQAcgB5AF8ARgByAGEAYwBHAEEATQBTAFMAbwBpAGwAXwBTAG8AdQByAGMAZQBcAG4AIAAgAD0ATABBAE0AQgBEAEEAKABcACIAVgBFAEUAUgBHACAAMgAwADIANgA6ACAANAAuADYALgAyAC4AMwAgAEMATwBOAFMAVABBAE4AVABTAFwAIgApADsAXABuAFwAbgBTAG8AdQByAGMAZQBEAGEAdABhAF8AUABvAHUAbAB0AHIAeQBfAEYAcgBhAGMARwBBAE0AUwBTAG8AaQBsAF8AVgBhAHIAaQBhAHQAaQBvAG4AXABuACAAIAA9AEwAQQBNAEIARABBACgAXAAiAFYAQQBSAEkAQQBUAEkATwBOACAATwBOACAAUwBPAFUAUgBDAEUAOgAgAFQAaABpAHMAIABjAG8AbgBzAHQAYQBuAHQAIABpAHMAIABuAG8AdAAgAGQAbwBjAHUAbQBlAG4AdABlAGQAIABpAG4AIAB0AGgAZQAgAGQAcgBhAGYAdAAsACAAdQBzAGUAZAAgAHQAaABlACAAcwBhAG0AZQAgAHYAYQBsAHUAZQAgAG8AZgAgADAALgAyADEAIABhAHMAIABhAGwAbAAgAG8AdABoAGUAcgAgAGwAaQB2AGUAcwB0AG8AYwBrAC4AXAAiACkAOwBcAG4AXABuAFMAbwB1AHIAYwBlAEQAYQB0AGEAXwBQAG8AdQBsAHQAcgB5AF8ARgByAGEAYwBHAEEATQBTAFMAbwBpAGwAXwBEAGEAdABhAFwAbgAgACAAPQBMAEEATQBCAEQAQQAoADAALgAyADEAKQA7AFwAbgBcAG4AXABuAC8AKgAgAFwAbgAtAC0ALQAtAC0ALQAtAC0ALQAtAC0ALQAtAC0ALQAtAC0ALQAtAC0ALQAtAC0ALQAtAC0ALQAtAC0ALQAtAC0ALQAtAC0ALQAtAC0AXABuAFMAbwB1AHIAYwBlAEQAYQB0AGEAXwBQAG8AdQBsAHQAcgB5AF8ATABpAHYAZQB3AGUAaQBnAGgAdABzAFwAbgBUAGEAYgBsAGUAIABBAC4AMQAuADcALgA1ADoAIABQAG8AdQBsAHQAcgB5ACAALQAgAEwAaQB2AGUAdwBlAGkAZwBoAHQAcwAgACgAVwBjAG8AKQAgACgAawBnACkAXABuAC0ALQAtAC0ALQAtAC0ALQAtAC0ALQAtAC0ALQAtAC0ALQAtAC0ALQAtAC0ALQAtAC0ALQAtAC0ALQAtAC0ALQAtAC0ALQAtAC0ALQBcAG4AKgAvAFwAbgBcAG4AUwBvAHUAcgBjAGUARABhAHQAYQBfAFAAbwB1AGwAdAByAHkAXwBMAGkAdgBlAHcAZQBpAGcAaAB0AHMAXwBUAGkAdABsAGUAXABuACAAIAA9AEwAQQBNAEIARABBACgAXAAiAFAAbwB1AGwAdAByAHkAIAAtACAATABpAHYAZQB3AGUAaQBnAGgAdABzACAAKABXAGMAbwApACAAKABrAGcAKQBcACIAKQA7AFwAbgBcAG4AUwBvAHUAcgBjAGUARABhAHQAYQBfAFAAbwB1AGwAdAByAHkAXwBMAGkAdgBlAHcAZQBpAGcAaAB0AHMAXwBVAG4AaQB0AFwAbgAgACAAPQBMAEEATQBCAEQAQQAoAFwAIgBrAGcAXAAiACkAOwBcAG4AXABuAFMAbwB1AHIAYwBlAEQAYQB0AGEAXwBQAG8AdQBsAHQAcgB5AF8ATABpAHYAZQB3AGUAaQBnAGgAdABzAF8AUwBvAHUAcgBjAGUAXABuACAAIAA9AEwAQQBNAEIARABBACgAXAAiAFYARQBFAFIARwAgADIAMAAyADYAOgAgAFQAYQBiAGwAZQAgAEEALgAxAC4ANwAuADUAXAAiACkAOwBcAG4AXABuAFMAbwB1AHIAYwBlAEQAYQB0AGEAXwBQAG8AdQBsAHQAcgB5AF8ATABpAHYAZQB3AGUAaQBnAGgAdABzAF8AVgBhAHIAaQBhAHQAaQBvAG4AXABuACAAIAA9AEwAQQBNAEIARABBACgAXAAiAFwAIgApADsAXABuAFwAbgBTAG8AdQByAGMAZQBEAGEAdABhAF8AUABvAHUAbAB0AHIAeQBfAEwAaQB2AGUAdwBlAGkAZwBoAHQAcwBfAEQAYQB0AGEAXABuACAAIAA9AEwAQQBNAEIARABBACgAXABuACAAIAAgACAATQBBAEsARQBBAFIAUgBBAFkAKAA5ACwAIAAzACwAIABcAG4AIAAgACAAIAAgACAATABBAE0AQgBEAEEAKAByACwAYwAsACAAXABuACAAIAAgACAAIAAgACAAIABJAE4ARABFAFgAKAB7AFwAbgAgACAAIAAgACAAIAAgACAAIAAgAFwAIgBMAGkAdgBlAHMAdABvAGMAawAgAEMAbABhAHMAcwAgAGoAXAAiACwAIABcACIAQQB2AGUAcgBhAGcAZQAgAEwAaQB2AGUAdwBlAGkAZwBoAHQAIAAoAGsAZwApAFwAIgA7AFwAbgAgACAAIAAgACAAIAAgACAAIAAgAFwAIgBDAGgAaQBjAGsAZQBuAFwAIgAsACAAMQAuADMAOwBcAG4AIAAgACAAIAAgACAAIAAgACAAIABcACIASABlAG4AIABcAHUAMAAwADMAZQAvAD0AMQAgAHkAcgBcACIALAAgADIAOwBcAG4AIAAgACAAIAAgACAAIAAgACAAIABcACIAUAB1AGwAbABlAHQAcwBcACIALAAgADEALgA0ADsAXABuACAAIAAgACAAIAAgACAAIAAgACAAXAAiAEIAcgBvAGkAbABlAHIAcwBcACIALAAgADEALgAyAFwAbgAgACAAIAAgACAAIAAgACAAfQAsACAAcgAsACAAYwApAFwAbgAgACAAIAAgACAAIAApAFwAbgAgACAAIAAgACkAXABuACAAIAApADsAIgB9ACwAewAiAHAAYQB0AGgAIgA6ACIALwBwAHIAbwBqAGUAYwB0AHMALwBTAGMAbwBwAGUAMwBfAEUAcQB1AGEAdABpAG8AbgBzACIALAAiAHQAZQB4AHQAIgA6ACIALwAqAFwAbgA9AD0APQA9AD0APQA9AD0APQA9AD0APQA9AD0APQA9AD0APQA9AD0APQA9AD0APQA9AD0APQA9AD0APQA9AD0APQA9AD0APQA9AD0APQA9AD0APQA9AD0APQA9AD0APQA9AD0APQA9AD0APQA9AD0APQA9AD0APQA9AD0APQA9AD0APQA9AD0APQA9AD0APQA9AD0APQA9AFwAbgAxADUAOgAgAFMAYwBvAHAAZQAgADMAIABFAG0AaQBzAHMAaQBvAG4Ac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NQBfADEAXwAxAF8AMQBfAF8AMQBfAEUAbQBpAHMAcwBpAG8AbgBzAEYAcgBvAG0AUAB1AHIAYwBoAGEAcwBlAGQATABpAHYAZQBzAHQAbwBjAGsAXABuAFQAbwB0AGEAbAAgAGUAbQBpAHMAcwBpAG8AbgBzACAAZgByAG8AbQAgAHAAdQByAGMAaABhAHMAZQBkACAAbABpAHYAZQBzAHQAbwBjAGsAXABuAEUAXABuAHQAIABDAE8AMgBlAFwAbgBFAD0AXABcAHMAdQBtAFwAXABuAG8AbABpAG0AaQB0AHMAXwBjAFwAXABzAHUAbQBcAFwAbgBvAGwAaQBtAGkAdABzAF8AbwBcAFwAbABlAGYAdAAoAE4AXwB7AGMAbwB9AFwAXAB0AGkAbQBlAHMAIABXAF8AewBjAG8AfQBcAFwAdABpAG0AZQBzACAARQBGAF8AewBjAG8AfQBcAFwAcgBpAGcAaAB0ACkAXABcAHQAaQBtAGUAcwAgADEAMABeAHsALQAzAH0AXABuAE4AXwBjAG8AIAA9ACAAbgB1AG0AYgBlAHIAIABvAGYAIABhAG4AaQBtAGEAbABzACAAcAB1AHIAYwBoAGEAcwBlAGQAIABpAG4AIABsAGkAdgBlAHMAdABvAGMAawAgAHQAeQBwAGUAIABjACAAZgByAG8AbQAgAG8AcgBpAGcAaQBuACAAbwBcAG4AVwBfAGMAbwAgAD0AIABhAHYAZQByAGEAZwBlACAAbABpAHYAZQB3AGUAaQBnAGgAdAAgAG8AZgAgAHAAdQByAGMAaABhAHMAZQBkACAAbABpAHYAZQBzAHQAbwBjAGsAIABhAHQAIABwAG8AaQBuAHQAIABvAGYAIABwAHUAcgBjAGgAYQBzAGUAXABuAEUARgBfAGMAbwAgAD0AIABlAG0AaQBzAHMAaQBvAG4AIABmAGEAYwB0AG8AcgAgAHAAZQByACAAbABpAHYAZQBzAHQAbwBjAGsAIAB0AHkAcABlACAAYQBuAGQAIABvAHIAaQBnAGkAbgBcAG4ALQAtAC0ALQAtAC0ALQAtAC0ALQAtAC0ALQAtAC0ALQAtAC0ALQAtAC0ALQAtAC0ALQAtAC0ALQAtAC0ALQAtAC0ALQAtAC0ALQAtAFwAbgAqAC8AXABuAFwAbgBWAEUARQBSAEcAXwAxADUAXwAxAF8AMQBfADEAXwBfADEAXwBFAG0AaQBzAHMAaQBvAG4AcwBGAHIAbwBtAFAAdQByAGMAaABhAHMAZQBkAEwAaQB2AGUAcwB0AG8AYwBrAFwAbgAgACAAPQBMAEEATQBCAEQAQQAoAFwAbgAgACAAIAAgAE4AXwBjAG8ALAAgAFcAXwBjAG8ALAAgAEUARgBfAGMAbwAsAFwAbgAgACAAIAAgACgATgBfAGMAbwAgACoAIABXAF8AYwBvACAAKgAgAEUARgBfAGMAbwApACAAKgAgADEAMAAgAF4AIAAtADMAXABuACAAIAApADsAXABuAFwAbgBWAEUARQBSAEcAXwAxADUAXwAxAF8AMQBfADEAXwBfADEAXwBFAG0AaQBzAHMAaQBvAG4AcwBGAHIAbwBtAFAAdQByAGMAaABhAHMAZQBkAEwAaQB2AGUAcwB0AG8AYwBrAF8AVABpAHQAbABlAFwAbgAgACAAPQBMAEEATQBCAEQAQQAoAFwAIgBUAG8AdABhAGwAIABlAG0AaQBzAHMAaQBvAG4AcwAgAGYAcgBvAG0AIABwAHUAcgBjAGgAYQBzAGUAZAAgAGwAaQB2AGUAcwB0AG8AYwBrAFwAIgApADsAXABuAFwAbgBWAEUARQBSAEcAXwAxADUAXwAxAF8AMQBfADEAXwBfADEAXwBFAG0AaQBzAHMAaQBvAG4AcwBGAHIAbwBtAFAAdQByAGMAaABhAHMAZQBkAEwAaQB2AGUAcwB0AG8AYwBrAF8AVgBhAHIAaQBhAGIAbABlAFwAbgAgACAAPQBMAEEATQBCAEQAQQAoAFwAIgBFAFwAIgApADsAXABuAFwAbgBWAEUARQBSAEcAXwAxADUAXwAxAF8AMQBfADEAXwBfADEAXwBFAG0AaQBzAHMAaQBvAG4AcwBGAHIAbwBtAFAAdQByAGMAaABhAHMAZQBkAEwAaQB2AGUAcwB0AG8AYwBrAF8AVQBuAGkAdABcAG4AIAAgAD0ATABBAE0AQgBEAEEAKABcACIAdAAgAEMATwAyAGUAXAAiACkAOwBcAG4AXABuAFYARQBFAFIARwBfADEANQBfADEAXwAxAF8AMQBfAF8AMQBfAEUAbQBpAHMAcwBpAG8AbgBzAEYAcgBvAG0AUAB1AHIAYwBoAGEAcwBlAGQATABpAHYAZQBzAHQAbwBjAGsAXwBTAG8AdQByAGMAZQBcAG4AIAAgAD0ATABBAE0AQgBEAEEAKABcACIAVgBFAEUAUgBHACAAMgAwADIANgA6ACAAMQA1AC4AMQAuADEALgAxACwAIABFAHEAdQBhAHQAaQBvAG4AIAAoADEAKQBcACIAKQA7AFwAbgBcAG4AVgBFAEUAUgBHAF8AMQA1AF8AMQBfADEAXwAxAF8AXwAxAF8ARQBtAGkAcwBzAGkAbwBuAHMARgByAG8AbQBQAHUAcgBjAGgAYQBzAGUAZABMAGkAdgBlAHMAdABvAGMAawBfAE4ASQBSAFIAZQBmAGUAcgBlAG4AYwBlAFwAbgAgACAAPQBMAEEATQBCAEQAQQAoAFwAIgBcACIAKQA7AFwAbgBcAG4AVgBFAEUAUgBHAF8AMQA1AF8AMQBfADEAXwAxAF8AXwAxAF8ARQBtAGkAcwBzAGkAbwBuAHMARgByAG8AbQBQAHUAcgBjAGgAYQBzAGUAZABMAGkAdgBlAHMAdABvAGMAawBfAEwAYQB0AGUAeABFAHEAdQBhAHQAaQBvAG4AXABuACAAIAA9AEwAQQBNAEIARABBACgAXAAiAEUAPQBcAFwAcwB1AG0AXABcAG4AbwBsAGkAbQBpAHQAcwBfAGMAXABcAHMAdQBtAFwAXABuAG8AbABpAG0AaQB0AHMAXwBvAFwAXABsAGUAZgB0ACgATgBfAHsAYwBvAH0AXABcAHQAaQBtAGUAcwAgAFcAXwB7AGMAbwB9AFwAXAB0AGkAbQBlAHMAIABFAEYAXwB7AGMAbwB9AFwAXAByAGkAZwBoAHQAKQBcAFwAdABpAG0AZQBzACAAMQAwAF4AewAtADMAfQBcACIAKQA7AFwAbgBcAG4AVgBFAEUAUgBHAF8AMQA1AF8AMQBfADEAXwAxAF8AXwAxAF8ARQBtAGkAcwBzAGkAbwBuAHMARgByAG8AbQBQAHUAcgBjAGgAYQBzAGUAZABMAGkAdgBlAHMAdABvAGMAawBfAEEAcgBnAHUAbQBlAG4AdABzAFwAbgAgACAAPQBMAEEATQBCAEQAQQAoAFwAbgAgACAAIAAgAE0AQQBLAEUAQQBSAFIAQQBZACgANQAsACAANAAsAFwAbgAgACAAIAAgACAAIABMAEEATQBCAEQAQQAoAHIALABjACwAXABuACAAIAAgACAAIAAgACAAIABJAE4ARABFAFgAKAB7AFwAbgAgACAAIAAgACAAIAAgACAAIAAgAFwAIgBOAF8AYwBvAFwAIgAsACAAXAAiAG4AdQBtAGIAZQByACAAbwBmACAAYQBuAGkAbQBhAGwAcwAgAHAAdQByAGMAaABhAHMAZQBkACAAaQBuACAAbABpAHYAZQBzAHQAbwBjAGsAIAB0AHkAcABlACAAYwAgAGYAcgBvAG0AIABvAHIAaQBnAGkAbgAgAG8AXAAiACwAIABcACIAaABlAGEAZABcACIALAAgAFwAIgBJAG4AcAB1AHQAXAAiADsAXABuACAAIAAgACAAIAAgACAAIAAgACAAXAAiAFcAXwBjAG8AXAAiACwAIABcACIAYQB2AGUAcgBhAGcAZQAgAGwAaQB2AGUAdwBlAGkAZwBoAHQAIABvAGYAIABwAHUAcgBjAGgAYQBzAGUAZAAgAGwAaQB2AGUAcwB0AG8AYwBrACAAYQB0ACAAcABvAGkAbgB0ACAAbwBmACAAcAB1AHIAYwBoAGEAcwBlAFwAIgAsACAAXAAiAGsAZwAvAGgAZQBhAGQAXAAiACwAIABcACIASQBuAHAAdQB0AFwAIgA7AFwAbgAgACAAIAAgACAAIAAgACAAIAAgAFwAIgBFAEYAXwBjAG8AXAAiACwAIABcACIAZQBtAGkAcwBzAGkAbwBuACAAZgBhAGMAdABvAHIAIABwAGUAcgAgAGwAaQB2AGUAcwB0AG8AYwBrACAAdAB5AHAAZQAgAGEAbgBkACAAbwByAGkAZwBpAG4AXAAiACwAIABcACIAawBnACAAQwBPADIAZQAvAGsAZwBcACIALAAgAFwAIgBDAG8AbgBzAHQAYQBuAHQAXAAiADsAXABuACAAIAAgACAAIAAgACAAIAAgACAAXAAiAGMAXAAiACwAIABcACIAbABpAHYAZQBzAHQAbwBjAGsAIAB0AHkAcABlAFwAIgAsACAAXAAiAFwAIgAsACAAXAAiAEkAbgBwAHUAdABcACIAOwBcAG4AIAAgACAAIAAgACAAIAAgACAAIABcACIAbwBcACIALAAgAFwAIgBvAHIAaQBnAGk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gBfADEAXwAxAF8AXwAxAF8ARQBtAGkAcwBzAGkAbwBuAHMARgByAG8AbQBQAHUAcgBjAGgAYQBzAGUAZABGAGUAZQBkAFwAbgBFAG0AaQBzAHMAaQBvAG4AcwAgAGYAcgBvAG0AIABwAHUAcgBjAGgAYQBzAGUAZAAgAGYAZQBlAGQAXABuAEUAXABuAHQAIABDAE8AMgBlAFwAbgBFAD0AXABcAHMAdQBtAFwAXABuAG8AbABpAG0AaQB0AHMAXwBqAFwAXABsAGUAZgB0ACgAUQBfAGoAXABcAHQAaQBtAGUAcwAgAEUARgBfAGoAXABcAHIAaQBnAGgAdAApAFwAbgBRAF8AagAgAD0AIABxAHUAYQBuAHQAaQB0AHkAIABvAGYAIABmAGUAZQBkACAAdAB5AHAAZQAgAGoAIABwAHUAcgBjAGgAYQBzAGUAZABcAG4ARQBGAF8AagAgAD0AIABlAG0AaQBzAHMAaQBvAG4AIABmAGEAYwB0AG8AcgAgAG8AZgAgAHAAdQByAGMAaABhAHMAZQBkACAAZgBlAGUAZABcAG4ALQAtAC0ALQAtAC0ALQAtAC0ALQAtAC0ALQAtAC0ALQAtAC0ALQAtAC0ALQAtAC0ALQAtAC0ALQAtAC0ALQAtAC0ALQAtAC0ALQAtAFwAbgAqAC8AXABuAFwAbgBWAEUARQBSAEcAXwAxADUAXwAyAF8AMQBfADEAXwBfADEAXwBFAG0AaQBzAHMAaQBvAG4AcwBGAHIAbwBtAFAAdQByAGMAaABhAHMAZQBkAEYAZQBlAGQAXABuACAAIAA9AEwAQQBNAEIARABBACgAXABuACAAIAAgACAAUQBfAGoALAAgAEUARgBfAGoALABcAG4AIAAgACAAIABRAF8AagAgACoAIABFAEYAXwBqAFwAbgAgACAAKQA7AFwAbgBcAG4AVgBFAEUAUgBHAF8AMQA1AF8AMgBfADEAXwAxAF8AXwAxAF8ARQBtAGkAcwBzAGkAbwBuAHMARgByAG8AbQBQAHUAcgBjAGgAYQBzAGUAZABGAGUAZQBkAF8AVABpAHQAbABlAFwAbgAgACAAPQBMAEEATQBCAEQAQQAoAFwAIgBFAG0AaQBzAHMAaQBvAG4AcwAgAGYAcgBvAG0AIABwAHUAcgBjAGgAYQBzAGUAZAAgAGYAZQBlAGQAXAAiACkAOwBcAG4AXABuAFYARQBFAFIARwBfADEANQBfADIAXwAxAF8AMQBfAF8AMQBfAEUAbQBpAHMAcwBpAG8AbgBzAEYAcgBvAG0AUAB1AHIAYwBoAGEAcwBlAGQARgBlAGUAZABfAFYAYQByAGkAYQBiAGwAZQBcAG4AIAAgAD0ATABBAE0AQgBEAEEAKABcACIARQBcACIAKQA7AFwAbgBcAG4AVgBFAEUAUgBHAF8AMQA1AF8AMgBfADEAXwAxAF8AXwAxAF8ARQBtAGkAcwBzAGkAbwBuAHMARgByAG8AbQBQAHUAcgBjAGgAYQBzAGUAZABGAGUAZQBkAF8AVQBuAGkAdABcAG4AIAAgAD0ATABBAE0AQgBEAEEAKABcACIAdAAgAEMATwAyAGUAXAAiACkAOwBcAG4AXABuAFYARQBFAFIARwBfADEANQBfADIAXwAxAF8AMQBfAF8AMQBfAEUAbQBpAHMAcwBpAG8AbgBzAEYAcgBvAG0AUAB1AHIAYwBoAGEAcwBlAGQARgBlAGUAZABfAFMAbwB1AHIAYwBlAFwAbgAgACAAPQBMAEEATQBCAEQAQQAoAFwAIgBWAEUARQBSAEcAIAAyADAAMgA2ADoAIAAxADUALgAyAC4AMQAuADEALAAgAEUAcQB1AGEAdABpAG8AbgAgACgAMQApAFwAIgApADsAXABuAFwAbgBWAEUARQBSAEcAXwAxADUAXwAyAF8AMQBfADEAXwBfADEAXwBFAG0AaQBzAHMAaQBvAG4AcwBGAHIAbwBtAFAAdQByAGMAaABhAHMAZQBkAEYAZQBlAGQAXwBOAEkAUgBSAGUAZgBlAHIAZQBuAGMAZQBcAG4AIAAgAD0ATABBAE0AQgBEAEEAKABcACIAXAAiACkAOwBcAG4AXABuAFYARQBFAFIARwBfADEANQBfADIAXwAxAF8AMQBfAF8AMQBfAEUAbQBpAHMAcwBpAG8AbgBzAEYAcgBvAG0AUAB1AHIAYwBoAGEAcwBlAGQARgBlAGUAZABfAEwAYQB0AGUAeABFAHEAdQBhAHQAaQBvAG4AXABuACAAIAA9AEwAQQBNAEIARABBACgAXAAiAEUAPQBcAFwAcwB1AG0AXABcAG4AbwBsAGkAbQBpAHQAcwBfAGoAXABcAGwAZQBmAHQAKABRAF8AagBcAFwAdABpAG0AZQBzACAARQBGAF8AagBcAFwAcgBpAGcAaAB0ACkAXAAiACkAOwBcAG4AXABuAFYARQBFAFIARwBfADEANQBfADIAXwAxAF8AMQBfAF8AMQBfAEUAbQBpAHMAcwBpAG8AbgBzAEYAcgBvAG0AUAB1AHIAYwBoAGEAcwBlAGQARgBlAGUAZABfAEEAcgBnAHUAbQBlAG4AdABzAFwAbgAgACAAPQBMAEEATQBCAEQAQQAoAFwAbgAgACAAIAAgAE0AQQBLAEUAQQBSAFIAQQBZACgAMwAsACAANAAsAFwAbgAgACAAIAAgACAAIABMAEEATQBCAEQAQQAoAHIALABjACwAXABuACAAIAAgACAAIAAgACAAIABJAE4ARABFAFgAKAB7AFwAbgAgACAAIAAgACAAIAAgACAAIAAgAFwAIgBRAF8AagBcACIALAAgAFwAIgBxAHUAYQBuAHQAaQB0AHkAIABvAGYAIABmAGUAZQBkACAAdAB5AHAAZQAgAGoAIABwAHUAcgBjAGgAYQBzAGUAZABcACIALAAgAFwAIgB0AFwAIgAsACAAXAAiAEkAbgBwAHUAdABcACIAOwBcAG4AIAAgACAAIAAgACAAIAAgACAAIABcACIARQBGAF8AagBcACIALAAgAFwAIgBlAG0AaQBzAHMAaQBvAG4AIABmAGEAYwB0AG8AcgAgAG8AZgAgAHAAdQByAGMAaABhAHMAZQBkACAAZgBlAGUAZABcACIALAAgAFwAIgBrAGcAIABDAE8AMgBlAC8AawBnAFwAIgAsACAAXAAiAEMAbwBuAHMAdABhAG4AdABcACIAOwBcAG4AIAAgACAAIAAgACAAIAAgACAAIABcACIAagBcACIALAAgAFwAIgBmAGUAZQBk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wBfADEAXwAxAF8AXwAxAF8ARQBtAGkAcwBzAGkAbwBuAHMARgByAG8AbQBQAHUAcgBjAGgAYQBzAGUAZABNAGkAbgBlAHIAYQBsAFMAdQBwAHAAbABlAG0AZQBuAHQAcwBcAG4AVABvAHQAYQBsACAAZQBtAGkAcwBzAGkAbwBuAHMAIABmAHIAbwBtACAAcAB1AHIAYwBoAGEAcwBlAGQAIABtAGkAbgBlAHIAYQBsACAAcwB1AHAAcABsAGUAbQBlAG4AdABzAFwAbgBFAFwAbgB0ACAAQwBPADIAZQBcAG4ARQA9AFwAXABzAHUAbQBcAFwAbgBvAGwAaQBtAGkAdABzAF8AbQBcAFwAbABlAGYAdAAoAFEAXwBtAFwAXAB0AGkAbQBlAHMAIABFAEYAXwBtAFwAXAByAGkAZwBoAHQAKQBcAG4AUQBfAG0AIAA9ACAAdABvAHQAYQBsACAAcQB1AGEAbgB0AGkAdAB5ACAAbwBmACAAbQBpAG4AZQByAGEAbAAgAHMAdQBwAHAAbABlAG0AZQBuAHQAIAB0AHkAcABlACAAbQAgAHUAcwBlAGQAXABuAEUARgBfAG0AIAA9ACAAZQBtAGkAcwBzAGkAbwBuACAAZgBhAGMAdABvAHIAIABvAGYAIABwAHUAcgBjAGgAYQBzAGUAZAAgAG0AaQBuAGUAcgBhAGwAIABzAHUAcABwAGwAZQBtAGUAbgB0AFwAbgAtAC0ALQAtAC0ALQAtAC0ALQAtAC0ALQAtAC0ALQAtAC0ALQAtAC0ALQAtAC0ALQAtAC0ALQAtAC0ALQAtAC0ALQAtAC0ALQAtAC0AXABuACoALwBcAG4AXABuAFYARQBFAFIARwBfADEANQBfADMAXwAxAF8AMQBfAF8AMQBfAEUAbQBpAHMAcwBpAG8AbgBzAEYAcgBvAG0AUAB1AHIAYwBoAGEAcwBlAGQATQBpAG4AZQByAGEAbABTAHUAcABwAGwAZQBtAGUAbgB0AHMAXABuACAAIAA9AEwAQQBNAEIARABBACgAXABuACAAIAAgACAAUQBfAG0ALAAgAEUARgBfAG0ALABcAG4AIAAgACAAIABRAF8AbQAgACoAIABFAEYAXwBtAFwAbgAgACAAKQA7AFwAbgBcAG4AVgBFAEUAUgBHAF8AMQA1AF8AMwBfADEAXwAxAF8AXwAxAF8ARQBtAGkAcwBzAGkAbwBuAHMARgByAG8AbQBQAHUAcgBjAGgAYQBzAGUAZABNAGkAbgBlAHIAYQBsAFMAdQBwAHAAbABlAG0AZQBuAHQAcwBfAFQAaQB0AGwAZQBcAG4AIAAgAD0ATABBAE0AQgBEAEEAKABcACIAVABvAHQAYQBsACAAZQBtAGkAcwBzAGkAbwBuAHMAIABmAHIAbwBtACAAcAB1AHIAYwBoAGEAcwBlAGQAIABtAGkAbgBlAHIAYQBsACAAcwB1AHAAcABsAGUAbQBlAG4AdABzAFwAIgApADsAXABuAFwAbgBWAEUARQBSAEcAXwAxADUAXwAzAF8AMQBfADEAXwBfADEAXwBFAG0AaQBzAHMAaQBvAG4AcwBGAHIAbwBtAFAAdQByAGMAaABhAHMAZQBkAE0AaQBuAGUAcgBhAGwAUwB1AHAAcABsAGUAbQBlAG4AdABzAF8AVgBhAHIAaQBhAGIAbABlAFwAbgAgACAAPQBMAEEATQBCAEQAQQAoAFwAIgBFAFwAIgApADsAXABuAFwAbgBWAEUARQBSAEcAXwAxADUAXwAzAF8AMQBfADEAXwBfADEAXwBFAG0AaQBzAHMAaQBvAG4AcwBGAHIAbwBtAFAAdQByAGMAaABhAHMAZQBkAE0AaQBuAGUAcgBhAGwAUwB1AHAAcABsAGUAbQBlAG4AdABzAF8AVQBuAGkAdABcAG4AIAAgAD0ATABBAE0AQgBEAEEAKABcACIAdAAgAEMATwAyAGUAXAAiACkAOwBcAG4AXABuAFYARQBFAFIARwBfADEANQBfADMAXwAxAF8AMQBfAF8AMQBfAEUAbQBpAHMAcwBpAG8AbgBzAEYAcgBvAG0AUAB1AHIAYwBoAGEAcwBlAGQATQBpAG4AZQByAGEAbABTAHUAcABwAGwAZQBtAGUAbgB0AHMAXwBTAG8AdQByAGMAZQBcAG4AIAAgAD0ATABBAE0AQgBEAEEAKABcACIAVgBFAEUAUgBHACAAMgAwADIANgA6ACAAMQA1AC4AMwAuADEALgAxACwAIABFAHEAdQBhAHQAaQBvAG4AIAAoADEAKQBcACIAKQA7AFwAbgBcAG4AVgBFAEUAUgBHAF8AMQA1AF8AMwBfADEAXwAxAF8AXwAxAF8ARQBtAGkAcwBzAGkAbwBuAHMARgByAG8AbQBQAHUAcgBjAGgAYQBzAGUAZABNAGkAbgBlAHIAYQBsAFMAdQBwAHAAbABlAG0AZQBuAHQAcwBfAE4ASQBSAFIAZQBmAGUAcgBlAG4AYwBlAFwAbgAgACAAPQBMAEEATQBCAEQAQQAoAFwAIgBcACIAKQA7AFwAbgBcAG4AVgBFAEUAUgBHAF8AMQA1AF8AMwBfADEAXwAxAF8AXwAxAF8ARQBtAGkAcwBzAGkAbwBuAHMARgByAG8AbQBQAHUAcgBjAGgAYQBzAGUAZABNAGkAbgBlAHIAYQBsAFMAdQBwAHAAbABlAG0AZQBuAHQAcwBfAEwAYQB0AGUAeABFAHEAdQBhAHQAaQBvAG4AXABuACAAIAA9AEwAQQBNAEIARABBACgAXAAiAEUAPQBcAFwAcwB1AG0AXABcAG4AbwBsAGkAbQBpAHQAcwBfAG0AXABcAGwAZQBmAHQAKABRAF8AbQBcAFwAdABpAG0AZQBzACAARQBGAF8AbQBcAFwAcgBpAGcAaAB0ACkAXAAiACkAOwBcAG4AXABuAFYARQBFAFIARwBfADEANQBfADMAXwAxAF8AMQBfAF8AMQBfAEUAbQBpAHMAcwBpAG8AbgBzAEYAcgBvAG0AUAB1AHIAYwBoAGEAcwBlAGQATQBpAG4AZQByAGEAbABTAHUAcABwAGwAZQBtAGUAbgB0AHMAXwBBAHIAZwB1AG0AZQBuAHQAcwBcAG4AIAAgAD0ATABBAE0AQgBEAEEAKABcAG4AIAAgACAAIABNAEEASwBFAEEAUgBSAEEAWQAoADMALAAgADQALABcAG4AIAAgACAAIAAgACAATABBAE0AQgBEAEEAKAByACwAYwAsAFwAbgAgACAAIAAgACAAIAAgACAASQBOAEQARQBYACgAewBcAG4AIAAgACAAIAAgACAAIAAgACAAIABcACIAUQBfAG0AXAAiACwAIABcACIAdABvAHQAYQBsACAAcQB1AGEAbgB0AGkAdAB5ACAAbwBmACAAbQBpAG4AZQByAGEAbAAgAHMAdQBwAHAAbABlAG0AZQBuAHQAIAB0AHkAcABlACAAbQAgAHUAcwBlAGQAXAAiACwAIABcACIAdABcACIALAAgAFwAIgBJAG4AcAB1AHQAXAAiADsAXABuACAAIAAgACAAIAAgACAAIAAgACAAXAAiAEUARgBfAG0AXAAiACwAIABcACIAZQBtAGkAcwBzAGkAbwBuACAAZgBhAGMAdABvAHIAIABvAGYAIABwAHUAcgBjAGgAYQBzAGUAZAAgAG0AaQBuAGUAcgBhAGwAIABzAHUAcABwAGwAZQBtAGUAbgB0AFwAIgAsACAAXAAiAGsAZwAgAEMATwAyAGUALwBrAGcAXAAiACwAIABcACIAQwBvAG4AcwB0AGEAbgB0AFwAIgA7AFwAbgAgACAAIAAgACAAIAAgACAAIAAgAFwAIgBtAFwAIgAsACAAXAAiAG0AaQBuAGUAcgBhAGwAIABzAHUAcABwAGwAZQBtAGUAbgB0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ABfADEAXwAxAF8AXwAxAF8ARQBtAGkAcwBzAGkAbwBuAHMARgByAG8AbQBQAHUAcgBjAGgAYQBzAGUAZABGAGUAcgB0AGkAbABpAHMAZQByAFwAbgBFAG0AaQBzAHMAaQBvAG4AcwAgAGYAcgBvAG0AIABwAHUAcgBjAGgAYQBzAGUAZAAgAGYAZQByAHQAaQBsAGkAcwBlAHIAXABuAEUAXABuAHQAIABDAE8AMgBlAFwAbgBFAD0AXABcAHMAdQBtAFwAXABuAG8AbABpAG0AaQB0AHMAXwBmAFwAXABzAHUAbQBcAFwAbgBvAGwAaQBtAGkAdABzAF8AagBcAFwAbABlAGYAdAAoAFQATQBfAHsAagBmAH0AXABcAHQAaQBtAGUAcwAgAEUARgBfAGYAXABcAHIAaQBnAGgAdAApAFwAXAB0AGkAbQBlAHMAIAAxADAAXgB7AC0AMwB9AFwAbgBUAE0AXwBqAGYAIAA9ACAAcQB1AGEAbgB0AGkAdAB5ACAAbwBmACAAaQBuAG8AcgBnAGEAbgBpAGMAIABmAGUAcgB0AGkAbABpAHMAZQByACAAdAB5AHAAZQAgAGYAIABwAHUAcgBjAGgAYQBzAGUAZAAgAGEAbgBkACAAYQBwAHAAbABpAGUAZAAgAHQAbwAgAHAAcgBvAGQAdQBjAHQAaQBvAG4AIABzAHkAcwB0AGUAbQAgAGoAXABuAEUARgBfAGYAIAA9ACAAZQBtAGkAcwBzAGkAbwBuACAAZgBhAGMAdABvAHIAIABvAGYAIABwAHUAcgBjAGgAYQBzAGUAZAAgAGkAbgBvAHIAZwBhAG4AaQBjACAAZgBlAHIAdABpAGwAaQBzAGUAcgBcAG4ALQAtAC0ALQAtAC0ALQAtAC0ALQAtAC0ALQAtAC0ALQAtAC0ALQAtAC0ALQAtAC0ALQAtAC0ALQAtAC0ALQAtAC0ALQAtAC0ALQAtAFwAbgAqAC8AXABuAFwAbgBWAEUARQBSAEcAXwAxADUAXwA0AF8AMQBfADEAXwBfADEAXwBFAG0AaQBzAHMAaQBvAG4AcwBGAHIAbwBtAFAAdQByAGMAaABhAHMAZQBkAEYAZQByAHQAaQBsAGkAcwBlAHIAXABuACAAIAA9AEwAQQBNAEIARABBACgAXABuACAAIAAgACAAVABNAF8AagBmACwAIABFAEYAXwBmACwAXABuACAAIAAgACAAKABUAE0AXwBqAGYAIAAqACAARQBGAF8AZgApACAAKgAgADEAMAAgAF4AIAAtADMAXABuACAAIAApADsAXABuAFwAbgBWAEUARQBSAEcAXwAxADUAXwA0AF8AMQBfADEAXwBfADEAXwBFAG0AaQBzAHMAaQBvAG4AcwBGAHIAbwBtAFAAdQByAGMAaABhAHMAZQBkAEYAZQByAHQAaQBsAGkAcwBlAHIAXwBUAGkAdABsAGUAXABuACAAIAA9AEwAQQBNAEIARABBACgAXAAiAEUAbQBpAHMAcwBpAG8AbgBzACAAZgByAG8AbQAgAHAAdQByAGMAaABhAHMAZQBkACAAZgBlAHIAdABpAGwAaQBzAGUAcgBcACIAKQA7AFwAbgBcAG4AVgBFAEUAUgBHAF8AMQA1AF8ANABfADEAXwAxAF8AXwAxAF8ARQBtAGkAcwBzAGkAbwBuAHMARgByAG8AbQBQAHUAcgBjAGgAYQBzAGUAZABGAGUAcgB0AGkAbABpAHMAZQByAF8AVgBhAHIAaQBhAGIAbABlAFwAbgAgACAAPQBMAEEATQBCAEQAQQAoAFwAIgBFAFwAIgApADsAXABuAFwAbgBWAEUARQBSAEcAXwAxADUAXwA0AF8AMQBfADEAXwBfADEAXwBFAG0AaQBzAHMAaQBvAG4AcwBGAHIAbwBtAFAAdQByAGMAaABhAHMAZQBkAEYAZQByAHQAaQBsAGkAcwBlAHIAXwBVAG4AaQB0AFwAbgAgACAAPQBMAEEATQBCAEQAQQAoAFwAIgB0ACAAQwBPADIAZQBcACIAKQA7AFwAbgBcAG4AVgBFAEUAUgBHAF8AMQA1AF8ANABfADEAXwAxAF8AXwAxAF8ARQBtAGkAcwBzAGkAbwBuAHMARgByAG8AbQBQAHUAcgBjAGgAYQBzAGUAZABGAGUAcgB0AGkAbABpAHMAZQByAF8AUwBvAHUAcgBjAGUAXABuACAAIAA9AEwAQQBNAEIARABBACgAXAAiAFYARQBFAFIARwAgADIAMAAyADYAOgAgADEANQAuADQALgAxAC4AMQAsACAARQBxAHUAYQB0AGkAbwBuACAAKAAxACkAXAAiACkAOwBcAG4AXABuAFYARQBFAFIARwBfADEANQBfADQAXwAxAF8AMQBfAF8AMQBfAEUAbQBpAHMAcwBpAG8AbgBzAEYAcgBvAG0AUAB1AHIAYwBoAGEAcwBlAGQARgBlAHIAdABpAGwAaQBzAGUAcgBfAE4ASQBSAFIAZQBmAGUAcgBlAG4AYwBlAFwAbgAgACAAPQBMAEEATQBCAEQAQQAoAFwAIgBcACIAKQA7AFwAbgBcAG4AVgBFAEUAUgBHAF8AMQA1AF8ANABfADEAXwAxAF8AXwAxAF8ARQBtAGkAcwBzAGkAbwBuAHMARgByAG8AbQBQAHUAcgBjAGgAYQBzAGUAZABGAGUAcgB0AGkAbABpAHMAZQByAF8ATABhAHQAZQB4AEUAcQB1AGEAdABpAG8AbgBcAG4AIAAgAD0ATABBAE0AQgBEAEEAKABcACIARQA9AFwAXABzAHUAbQBcAFwAbgBvAGwAaQBtAGkAdABzAF8AZgBcAFwAcwB1AG0AXABcAG4AbwBsAGkAbQBpAHQAcwBfAGoAXABcAGwAZQBmAHQAKABUAE0AXwB7AGoAZgB9AFwAXAB0AGkAbQBlAHMAIABFAEYAXwBmAFwAXAByAGkAZwBoAHQAKQBcAFwAdABpAG0AZQBzACAAMQAwAF4AewAtADMAfQBcACIAKQA7AFwAbgBcAG4AVgBFAEUAUgBHAF8AMQA1AF8ANABfADEAXwAxAF8AXwAxAF8ARQBtAGkAcwBzAGkAbwBuAHMARgByAG8AbQBQAHUAcgBjAGgAYQBzAGUAZABGAGUAcgB0AGkAbABpAHMAZQByAF8AQQByAGcAdQBtAGUAbgB0AHMAXABuACAAIAA9AEwAQQBNAEIARABBACgAXABuACAAIAAgACAATQBBAEsARQBBAFIAUgBBAFkAKAA0ACwAIAA0ACwAXABuACAAIAAgACAAIAAgAEwAQQBNAEIARABBACgAcgAsAGMALABcAG4AIAAgACAAIAAgACAAIAAgAEkATgBEAEUAWAAoAHsAXABuACAAIAAgACAAIAAgACAAIAAgACAAXAAiAFQATQBfAGoAZgBcACIALAAgAFwAIgBxAHUAYQBuAHQAaQB0AHkAIABvAGYAIABpAG4AbwByAGcAYQBuAGkAYwAgAGYAZQByAHQAaQBsAGkAcwBlAHIAIAB0AHkAcABlACAAZgAgAHAAdQByAGMAaABhAHMAZQBkACAAYQBuAGQAIABhAHAAcABsAGkAZQBkACAAdABvACAAcAByAG8AZAB1AGMAdABpAG8AbgAgAHMAeQBzAHQAZQBtACAAagBcACIALAAgAFwAIgBrAGcAXAAiACwAIABcACIASQBuAHAAdQB0AFwAIgA7AFwAbgAgACAAIAAgACAAIAAgACAAIAAgAFwAIgBFAEYAXwBmAFwAIgAsACAAXAAiAGUAbQBpAHMAcwBpAG8AbgAgAGYAYQBjAHQAbwByACAAbwBmACAAcAB1AHIAYwBoAGEAcwBlAGQAIABpAG4AbwByAGcAYQBuAGkAYwAgAGYAZQByAHQAaQBsAGkAcwBlAHIAXAAiACwAIABcACIAawBnACAAQwBPADIAZQAvAGsAZwBcACIALAAgAFwAIgBDAG8AbgBzAHQAYQBuAHQAXAAiADsAXABuACAAIAAgACAAIAAgACAAIAAgACAAXAAiAGoAXAAiACwAIABcACIAcAByAG8AZAB1AGMAdABpAG8AbgAgAHMAeQBzAHQAZQBt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0AF8AMQBfADEAXwBfADIAXwBFAG0AaQBzAHMAaQBvAG4AcwBGAHIAbwBtAFAAdQByAGMAaABhAHMAZQBkAEYAZQByAHQAaQBsAGkAcwBlAHIAQwBvAG0AcABvAG4AZQBuAHQAcwBcAG4ARQBtAGkAcwBzAGkAbwBuAHMAIABmAHIAbwBtACAAcAB1AHIAYwBoAGEAcwBlAGQAIABmAGUAcgB0AGkAbABpAHMAZQByACAAYwBvAG0AcABvAG4AZQBuAHQAcwBcAG4ARQBcAG4AdAAgAEMATwAyAGUAXABuAEUAPQBcAFwAcwB1AG0AXABcAG4AbwBsAGkAbQBpAHQAcwBfAGYAXABcAHMAdQBtAFwAXABuAG8AbABpAG0AaQB0AHMAXwBjAFwAXABzAHUAbQBcAFwAbgBvAGwAaQBtAGkAdABzAF8AagBcAFwAbABlAGYAdAAoACgARgBfAHsAYwBmAH0AXABcAHQAaQBtAGUAcwAgAFQATQBfAHsAagBmAH0AKQAvADEAMAAwAFwAXAB0AGkAbQBlAHMAIABFAEYAXwBjAFwAXAByAGkAZwBoAHQAKQBcAG4ARgBfAGMAZgAgAD0AIABmAHIAYQBjAHQAaQBvAG4AIABvAGYAIABjAG8AbQBwAG8AbgBlAG4AdAAgAGMAIABjAG8AbgB0AGEAaQBuAGUAZAAgAHcAaQB0AGgAaQBuACAAdABoAGUAIABpAG4AbwByAGcAYQBuAGkAYwAgAGYAZQByAHQAaQBsAGkAcwBlAHIAIABmAFwAbgBUAE0AXwBqAGYAIAA9ACAAcQB1AGEAbgB0AGkAdAB5ACAAbwBmACAAaQBuAG8AcgBnAGEAbgBpAGMAIABmAGUAcgB0AGkAbABpAHMAZQByACAAdAB5AHAAZQAgAGYAIABwAHUAcgBjAGgAYQBzAGUAZAAgAGEAbgBkACAAYQBwAHAAbABpAGUAZAAgAHQAbwAgAHAAcgBvAGQAdQBjAHQAaQBvAG4AIABzAHkAcwB0AGUAbQAgAGoAXABuAEUARgBfAGMAIAA9ACAAZQBtAGkAcwBzAGkAbwBuACAAZgBhAGMAdABvAHIAIABmAG8AcgAgAHQAaABlACAAcAByAG8AZAB1AGMAdABpAG8AbgAgAG8AZgAgAGMAbwBtAHAAbwBuAGUAbgB0ACAAYwBcAG4ALQAtAC0ALQAtAC0ALQAtAC0ALQAtAC0ALQAtAC0ALQAtAC0ALQAtAC0ALQAtAC0ALQAtAC0ALQAtAC0ALQAtAC0ALQAtAC0ALQAtAFwAbgAqAC8AXABuAFwAbgBWAEUARQBSAEcAXwAxADUAXwA0AF8AMQBfADEAXwBfADIAXwBFAG0AaQBzAHMAaQBvAG4AcwBGAHIAbwBtAFAAdQByAGMAaABhAHMAZQBkAEYAZQByAHQAaQBsAGkAcwBlAHIAQwBvAG0AcABvAG4AZQBuAHQAcwBcAG4AIAAgAD0ATABBAE0AQgBEAEEAKABcAG4AIAAgACAAIABGAF8AYwBmACwAIABUAE0AXwBqAGYALAAgAEUARgBfAGMALABcAG4AIAAgACAAIAAoACgARgBfAGMAZgAgACoAIABUAE0AXwBqAGYAKQAgAC8AIAAxADAAMAApACAAKgAgAEUARgBfAGMAXABuACAAIAApADsAXABuAFwAbgBWAEUARQBSAEcAXwAxADUAXwA0AF8AMQBfADEAXwBfADIAXwBFAG0AaQBzAHMAaQBvAG4AcwBGAHIAbwBtAFAAdQByAGMAaABhAHMAZQBkAEYAZQByAHQAaQBsAGkAcwBlAHIAQwBvAG0AcABvAG4AZQBuAHQAcwBWAGEAcgBpAGEAdABpAG8AbgBcAG4AIAAgAD0ATABBAE0AQgBEAEEAKABcAG4AIAAgACAAIABGAF8AYwBmACwAIABUAE0AXwBqAGYALAAgAEUARgBfAGMALABcAG4AIAAgACAAIAAoAEYAXwBjAGYAIAAqACAAVABNAF8AagBmACkAIAAqACAARQBGAF8AYwAgACoAIAAxADAAXgAtADMAXABuACAAIAApADsAXABuAFwAbgBWAEUARQBSAEcAXwAxADUAXwA0AF8AMQBfADEAXwBfADIAXwBFAG0AaQBzAHMAaQBvAG4AcwBGAHIAbwBtAFAAdQByAGMAaABhAHMAZQBkAEYAZQByAHQAaQBsAGkAcwBlAHIAQwBvAG0AcABvAG4AZQBuAHQAcwBfAFQAaQB0AGwAZQBcAG4AIAAgAD0ATABBAE0AQgBEAEEAKABcACIARQBtAGkAcwBzAGkAbwBuAHMAIABmAHIAbwBtACAAcAB1AHIAYwBoAGEAcwBlAGQAIABmAGUAcgB0AGkAbABpAHMAZQByACAAYwBvAG0AcABvAG4AZQBuAHQAcwBcACIAKQA7AFwAbgBcAG4AVgBFAEUAUgBHAF8AMQA1AF8ANABfADEAXwAxAF8AXwAyAF8ARQBtAGkAcwBzAGkAbwBuAHMARgByAG8AbQBQAHUAcgBjAGgAYQBzAGUAZABGAGUAcgB0AGkAbABpAHMAZQByAEMAbwBtAHAAbwBuAGUAbgB0AHMAXwBWAGEAcgBpAGEAYgBsAGUAXABuACAAIAA9AEwAQQBNAEIARABBACgAXAAiAEUAXAAiACkAOwBcAG4AXABuAFYARQBFAFIARwBfADEANQBfADQAXwAxAF8AMQBfAF8AMgBfAEUAbQBpAHMAcwBpAG8AbgBzAEYAcgBvAG0AUAB1AHIAYwBoAGEAcwBlAGQARgBlAHIAdABpAGwAaQBzAGUAcgBDAG8AbQBwAG8AbgBlAG4AdABzAF8AVQBuAGkAdABcAG4AIAAgAD0ATABBAE0AQgBEAEEAKABcACIAdAAgAEMATwAyAGUAXAAiACkAOwBcAG4AXABuAFYARQBFAFIARwBfADEANQBfADQAXwAxAF8AMQBfAF8AMgBfAEUAbQBpAHMAcwBpAG8AbgBzAEYAcgBvAG0AUAB1AHIAYwBoAGEAcwBlAGQARgBlAHIAdABpAGwAaQBzAGUAcgBDAG8AbQBwAG8AbgBlAG4AdABzAF8AUwBvAHUAcgBjAGUAXABuACAAIAA9AEwAQQBNAEIARABBACgAXAAiAFYARQBFAFIARwAgADIAMAAyADYAOgAgADEANQAuADQALgAxAC4AMQAsACAARQBxAHUAYQB0AGkAbwBuACAAKAAyACkAXAAiACkAOwBcAG4AXABuAFYARQBFAFIARwBfADEANQBfADQAXwAxAF8AMQBfAF8AMgBfAEUAbQBpAHMAcwBpAG8AbgBzAEYAcgBvAG0AUAB1AHIAYwBoAGEAcwBlAGQARgBlAHIAdABpAGwAaQBzAGUAcgBDAG8AbQBwAG8AbgBlAG4AdABzAF8ATgBJAFIAUgBlAGYAZQByAGUAbgBjAGUAXABuACAAIAA9AEwAQQBNAEIARABBACgAXAAiAFwAIgApADsAXABuAFwAbgBWAEUARQBSAEcAXwAxADUAXwA0AF8AMQBfADEAXwBfADIAXwBFAG0AaQBzAHMAaQBvAG4AcwBGAHIAbwBtAFAAdQByAGMAaABhAHMAZQBkAEYAZQByAHQAaQBsAGkAcwBlAHIAQwBvAG0AcABvAG4AZQBuAHQAcwBfAEwAYQB0AGUAeABFAHEAdQBhAHQAaQBvAG4AXABuACAAIAA9AEwAQQBNAEIARABBACgAXAAiAEUAPQBcAFwAcwB1AG0AXABcAG4AbwBsAGkAbQBpAHQAcwBfAGYAXABcAHMAdQBtAFwAXABuAG8AbABpAG0AaQB0AHMAXwBjAFwAXABzAHUAbQBcAFwAbgBvAGwAaQBtAGkAdABzAF8AagBcAFwAbABlAGYAdAAoAFwAXABmAHIAYQBjAHsARgBfAHsAYwBmAH0AXABcAHQAaQBtAGUAcwAgAFQATQBfAHsAagBmAH0AfQB7ADEAMAAwAH0AXABcAHQAaQBtAGUAcwAgAEUARgBfAGMAXABcAHIAaQBnAGgAdAApAFwAIgApADsAXABuAFwAbgBWAEUARQBSAEcAXwAxADUAXwA0AF8AMQBfADEAXwBfADIAXwBFAG0AaQBzAHMAaQBvAG4AcwBGAHIAbwBtAFAAdQByAGMAaABhAHMAZQBkAEYAZQByAHQAaQBsAGkAcwBlAHIAQwBvAG0AcABvAG4AZQBuAHQAcwBfAEwAYQB0AGUAeABFAHEAdQBhAHQAaQBvAG4AVgBhAHIAaQBhAHQAaQBvAG4AXABuACAAIAA9AEwAQQBNAEIARABBACgAXAAiAEUAPQBcAFwAcwB1AG0AXABcAG4AbwBsAGkAbQBpAHQAcwBfAGYAXABcAHMAdQBtAFwAXABuAG8AbABpAG0AaQB0AHMAXwBjAFwAXABzAHUAbQBcAFwAbgBvAGwAaQBtAGkAdABzAF8AagBcAFwAbABlAGYAdAAoAEYAXwB7AGMAZgB9AFwAXAB0AGkAbQBlAHMAIABUAE0AXwB7AGoAZgB9AFwAXAB0AGkAbQBlAHMAIABFAEYAXwBjAFwAXAByAGkAZwBoAHQAKQBcAFwAdABpAG0AZQBzACAAMQAwAF4AewAtADMAfQBcACIAKQA7AFwAbgBcAG4AVgBFAEUAUgBHAF8AMQA1AF8ANABfADEAXwAxAF8AXwAyAF8ARQBtAGkAcwBzAGkAbwBuAHMARgByAG8AbQBQAHUAcgBjAGgAYQBzAGUAZABGAGUAcgB0AGkAbABpAHMAZQByAEMAbwBtAHAAbwBuAGUAbgB0AHMAXwBBAHIAZwB1AG0AZQBuAHQAcwBcAG4AIAAgAD0ATABBAE0AQgBEAEEAKABcAG4AIAAgACAAIABNAEEASwBFAEEAUgBSAEEAWQAoADY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VABNAF8AagBmAFwAIgAsACAAXAAiAHEAdQBhAG4AdABpAHQAeQAgAG8AZgAgAGkAbgBvAHIAZwBhAG4AaQBjACAAZgBlAHIAdABpAGwAaQBzAGUAcgAgAHQAeQBwAGUAIABmACAAcAB1AHIAYwBoAGEAcwBlAGQAIABhAG4AZAAgAGEAcABwAGwAaQBlAGQAIAB0AG8AIABwAHIAbwBkAHUAYwB0AGkAbwBuACAAcwB5AHMAdABlAG0AIABqAFwAIgAsACAAXAAiAGsAZwBcACIALAAgAFwAIgBJAG4AcAB1AHQAXAAiADsAXABuACAAIAAgACAAIAAgACAAIAAgACAAXAAiAEUARgBfAGMAXAAiACwAIABcACIAZQBtAGkAcwBzAGkAbwBuACAAZgBhAGMAdABvAHIAIABmAG8AcgAgAHQAaABlACAAcAByAG8AZAB1AGMAdABpAG8AbgAgAG8AZgAgAGMAbwBtAHAAbwBuAGUAbgB0ACAAYwBcACIALAAgAFwAIgBrAGcAIABDAE8AMgBlAC8AawBnACAAYwBvAG0AcABvAG4AZQBuAHQAXAAiACwAIABcACIAQwBvAG4AcwB0AGEAbgB0AFwAIgA7AFwAbgAgACAAIAAgACAAIAAgACAAIAAgAFwAIgBjAFwAIgAsACAAXAAiAGYAZQByAHQAaQBsAGkAcwBlAHIAIABjAG8AbQBwAG8AbgBlAG4AdABcACIALAAgAFwAIgBcACIALAAgAFwAIgBJAG4AcAB1AHQAXAAiADsAXABuACAAIAAgACAAIAAgACAAIAAgACAAXAAiAGYAXAAiACwAIABcACIAaQBuAG8AcgBnAGEAbgBpAGMAIABmAGUAcgB0AGkAbABpAHMAZQByACAAdAB5AHAAZQBcACIALAAgAFwAIgBcACIALAAgAFwAIgBJAG4AcAB1AHQAXAAiADsAXABuACAAIAAgACAAIAAgACAAIAAgACAAXAAiAGoAXAAiACwAIABcACIAcAByAG8AZAB1AGMAdABpAG8AbgAgAHMAeQBzAHQAZQBtAFwAIgAsACAAXAAiAFwAIgAsACAAXAAiAEkAbgBwAHUAdABcACIAXABuACAAIAAgACAAIAAgACAAIAB9ACwAIAByACwAIABjACkAXABuACAAIAAgACAAIAAgACkAXABuACAAIAAgACAAKQBcAG4AIAAgACkAOwBcAG4AXABuAFYARQBFAFIARwBfADEANQBfADQAXwAxAF8AMQBfAF8AMgBfAEUAbQBpAHMAcwBpAG8AbgBzAEYAcgBvAG0AUAB1AHIAYwBoAGEAcwBlAGQARgBlAHIAdABpAGwAaQBzAGUAcgBDAG8AbQBwAG8AbgBlAG4AdABzAF8AVgBhAHIAaQBhAHQAaQBvAG4AXABuACAAIAA9AEwAQQBNAEIARABBACgAXAAiAFYAQQBSAEkAQQBUAEkATwBOACAATwBOACAAUwBPAFUAUgBDAEUAOgAgAHIAZQBtAG8AdgBlAHMAIABkAGkAdgBpAHMAaQBvAG4AIABiAHkAIAAxADAAMAAgAGYAbwByACAARgBfAGMAZgAsACAAdAByAGUAYQB0AGkAbgBnACAARgBfAGMAZgAgAGEAcwAgAGYAcgBhAGMAdABpAG8AbgAgAGkAbgBzAHQAZQBhAGQAIABvAGYAIABwAGUAcgBjAGUAbgB0ACAAYgBlAGMAYQB1AHMAZQAgAGkAdAAgAGkAcwAgAGEAIABmAHIAYQBjAHQAaQBvAG4AIABpAG4AIABzAGMAbwBwAGUAIAAxACAAZQBxAHUAYQB0AGkAbwBuAHMALgAgAEMAbwBuAHYAZQByAHQAIABrAGcAIAB0AG8AIAB0AG8AbgBuAGUAcwAgAGIAeQAgAG0AdQB0AGkAcABsAHkAaQBuAGcAIABiAHkAIAAxADAAXgAtADMALgBcACIAKQA7AFwAbgBcAG4AXABuAFwAbgBcAG4ALwAqAFwAbgAtAC0ALQAtAC0ALQAtAC0ALQAtAC0ALQAtAC0ALQAtAC0ALQAtAC0ALQAtAC0ALQAtAC0ALQAtAC0ALQAtAC0ALQAtAC0ALQAtAC0AXABuAFYARQBFAFIARwBfADEANQBfADQAXwAxAF8AMQBfAF8AWABfAEUAbQBpAHMAcwBpAG8AbgBGAGEAYwB0AG8AcgBGAHIAbwBtAFAAdQByAGMAaABhAHMAZQBkAEYAZQByAHQAaQBsAGkAcwBlAHIAQwBvAG0AcABvAG4AZQBuAHQAcwBcAG4ARQBtAGkAcwBzAGkAbwBuACAAZgBhAGMAdABvAHIAIABmAG8AcgAgAGYAZQByAHQAaQBsAGkAcwBlAHIAIABwAHIAbwBkAHUAYwB0ACAAZABlAHIAaQB2AGUAZAAgAGYAcgBvAG0AIABjAG8AbQBwAG8AbgBlAG4AdABzAFwAbgAtAC0ALQAtAC0ALQAtAC0ALQAtAC0ALQAtAC0ALQAtAC0ALQAtAC0ALQAtAC0ALQAtAC0ALQAtAC0ALQAtAC0ALQAtAC0ALQAtAC0AXABuACoALwBcAG4AXABuAFYARQBFAFIARwBfADEANQBfADQAXwAxAF8AMQBfAF8AWABfAEUAbQBpAHMAcwBpAG8AbgBGAGEAYwB0AG8AcgBGAHIAbwBtAFAAdQByAGMAaABhAHMAZQBkAEYAZQByAHQAaQBsAGkAcwBlAHIAQwBvAG0AcABvAG4AZQBuAHQAcwBcAG4AIAAgAD0ATABBAE0AQgBEAEEAKABcAG4AIAAgACAAIABGAF8AYwBmACwAIABFAEYAXwBjACwAXABuACAAIAAgACAARgBfAGMAZgAgACoAIABFAEYAXwBjAFwAbgAgACAAKQA7AFwAbgBcAG4AVgBFAEUAUgBHAF8AMQA1AF8ANABfADEAXwAxAF8AXwBYAF8ARQBtAGkAcwBzAGkAbwBuAEYAYQBjAHQAbwByAEYAcgBvAG0AUAB1AHIAYwBoAGEAcwBlAGQARgBlAHIAdABpAGwAaQBzAGUAcgBDAG8AbQBwAG8AbgBlAG4AdABzAF8AVABpAHQAbABlAFwAbgAgACAAPQBMAEEATQBCAEQAQQAoAFwAIgBFAG0AaQBzAHMAaQBvAG4AIABmAGEAYwB0AG8AcgAgAGYAbwByACAAZgBlAHIAdABpAGwAaQBzAGUAcgAgAHAAcgBvAGQAdQBjAHQAIABkAGUAcgBpAHYAZQBkACAAZgByAG8AbQAgAGMAbwBtAHAAbwBuAGUAbgB0AHMAXAAiACkAOwBcAG4AXABuAFYARQBFAFIARwBfADEANQBfADQAXwAxAF8AMQBfAF8AWABfAEUAbQBpAHMAcwBpAG8AbgBGAGEAYwB0AG8AcgBGAHIAbwBtAFAAdQByAGMAaABhAHMAZQBkAEYAZQByAHQAaQBsAGkAcwBlAHIAQwBvAG0AcABvAG4AZQBuAHQAcwBfAFYAYQByAGkAYQBiAGwAZQBcAG4AIAAgAD0ATABBAE0AQgBEAEEAKABcACIARQBGAF8AZgBcACIAKQA7AFwAbgBcAG4AVgBFAEUAUgBHAF8AMQA1AF8ANABfADEAXwAxAF8AXwBYAF8ARQBtAGkAcwBzAGkAbwBuAEYAYQBjAHQAbwByAEYAcgBvAG0AUAB1AHIAYwBoAGEAcwBlAGQARgBlAHIAdABpAGwAaQBzAGUAcgBDAG8AbQBwAG8AbgBlAG4AdABzAF8AVQBuAGkAdABcAG4AIAAgAD0ATABBAE0AQgBEAEEAKABcACIAawBnACAAQwBPADIAZQAvAGsAZwAgAGYAZQByAHQAaQBsAGkAcwBlAHIAXAAiACkAOwBcAG4AXABuAFYARQBFAFIARwBfADEANQBfADQAXwAxAF8AMQBfAF8AWABfAEUAbQBpAHMAcwBpAG8AbgBGAGEAYwB0AG8AcgBGAHIAbwBtAFAAdQByAGMAaABhAHMAZQBkAEYAZQByAHQAaQBsAGkAcwBlAHIAQwBvAG0AcABvAG4AZQBuAHQAcwBfAFMAbwB1AHIAYwBlAFwAbgAgACAAPQBMAEEATQBCAEQAQQAoAFwAIgBHAEEARgBcACIAKQA7AFwAbgBcAG4AVgBFAEUAUgBHAF8AMQA1AF8ANABfADEAXwAxAF8AXwBYAF8ARQBtAGkAcwBzAGkAbwBuAEYAYQBjAHQAbwByAEYAcgBvAG0AUAB1AHIAYwBoAGEAcwBlAGQARgBlAHIAdABpAGwAaQBzAGUAcgBDAG8AbQBwAG8AbgBlAG4AdABzAF8ATgBJAFIAUgBlAGYAZQByAGUAbgBjAGUAXABuACAAIAA9AEwAQQBNAEIARABBACgAXAAiAFwAIgApADsAXABuAFwAbgBWAEUARQBSAEcAXwAxADUAXwA0AF8AMQBfADEAXwBfAFgAXwBFAG0AaQBzAHMAaQBvAG4ARgBhAGMAdABvAHIARgByAG8AbQBQAHUAcgBjAGgAYQBzAGUAZABGAGUAcgB0AGkAbABpAHMAZQByAEMAbwBtAHAAbwBuAGUAbgB0AHMAXwBMAGEAdABlAHgARQBxAHUAYQB0AGkAbwBuAFwAbgAgACAAPQBMAEEATQBCAEQAQQAoAFwAIgBFAEYAXwBmAD0AXABcAHMAdQBtAFwAXABuAG8AbABpAG0AaQB0AHMAXwBjAFwAXABsAGUAZgB0ACgARgBfAHsAYwBmAH0AXABcAHQAaQBtAGUAcwAgAEUARgBfAGMAXABcAHIAaQBnAGgAdAApAFwAIgApADsAXABuAFwAbgBWAEUARQBSAEcAXwAxADUAXwA0AF8AMQBfADEAXwBfAFgAXwBFAG0AaQBzAHMAaQBvAG4ARgBhAGMAdABvAHIARgByAG8AbQBQAHUAcgBjAGgAYQBzAGUAZABGAGUAcgB0AGkAbABpAHMAZQByAEMAbwBtAHAAbwBuAGUAbgB0AHMAXwBBAHIAZwB1AG0AZQBuAHQAcwBcAG4AIAAgAD0ATABBAE0AQgBEAEEAKABcAG4AIAAgACAAIABNAEEASwBFAEEAUgBSAEEAWQAoADQ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RQBGAF8AYwBcACIALAAgAFwAIgBlAG0AaQBzAHMAaQBvAG4AIABmAGEAYwB0AG8AcgAgAGYAbwByACAAdABoAGUAIABwAHIAbwBkAHUAYwB0AGkAbwBuACAAbwBmACAAYwBvAG0AcABvAG4AZQBuAHQAIABjAFwAIgAsACAAXAAiAGsAZwAgAEMATwAyAGUALwBrAGcAIABjAG8AbQBwAG8AbgBlAG4AdABcACIALAAgAFwAIgBDAG8AbgBzAHQAYQBuAHQAXAAiADsAXABuACAAIAAgACAAIAAgACAAIAAgACAAXAAiAGMAXAAiACwAIABcACIAZgBlAHIAdABpAGwAaQBzAGUAcgAgAGMAbwBtAHAAbwBuAGUAbgB0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FYARQBFAFIARwBfADEANQBfADQAXwAxAF8AMQBfAF8AWABfAEUAbQBpAHMAcwBpAG8AbgBGAGEAYwB0AG8AcgBGAHIAbwBtAFAAdQByAGMAaABhAHMAZQBkAEYAZQByAHQAaQBsAGkAcwBlAHIAQwBvAG0AcABvAG4AZQBuAHQAcwBfAFYAYQByAGkAYQB0AGkAbwBuAFwAbgAgACAAPQBMAEEATQBCAEQAQQAoAFwAIgBWAEEAUgBJAEEAVABJAE8ATgAgAE8ATgAgAFMATwBVAFIAQwBFADoAIABUAGgAaQBzACAAZQBxAHUAYQB0AGkAbwBuACAAaQBzACAAYQBkAGQAZQBkACAAdABvACAAYwBhAGwAYwB1AGwAYQB0AGUAIABhAG4AIABFAEYAIAB2AGEAbAB1AGUAIABmAHIAbwBtACAAZgBlAHIAdABpAGwAaQBzAGUAcgAgAGMAbwBtAHAAbwBuAGUAbgB0AHMAIAB0AGgAYQB0ACAAYwBhAG4AIABiAGUAIAB1AHMAZQBkACAAaQBuACAAMQA1AC4ANAAuADEALgAxACAAKAAxACkAXAAiACkAOwBcAG4AXABuAC8AKgBcAG4ALQAtAC0ALQAtAC0ALQAtAC0ALQAtAC0ALQAtAC0ALQAtAC0ALQAtAC0ALQAtAC0ALQAtAC0ALQAtAC0ALQAtAC0ALQAtAC0ALQAtAFwAbgBWAEUARQBSAEcAXwAxADUAXwA1AF8AMQBfADEAXwBfADEAXwBFAG0AaQBzAHMAaQBvAG4AcwBGAHIAbwBtAFAAdQByAGMAaABhAHMAZQBkAEEAZwByAGkAYwBoAGUAbQBpAGMAYQBsAHMAXABuAFQAbwB0AGEAbAAgAGUAbQBpAHMAcwBpAG8AbgBzACAAZgByAG8AbQAgAHAAdQByAGMAaABhAHMAZQBkACAAYQBnAHIAaQBjAGgAZQBtAGkAYwBhAGwAcwBcAG4ARQBcAG4AdAAgAEMATwAyAGUAXABuAEUAPQBcAFwAcwB1AG0AXABcAG4AbwBsAGkAbQBpAHQAcwBfAGgAXABcAGwAZQBmAHQAKABRAF8AaABcAFwAdABpAG0AZQBzACAARQBGAF8AaABcAFwAcgBpAGcAaAB0ACkAXABcAHQAaQBtAGUAcwAgADEAMABeAHsALQAzAH0AXABuAFEAXwBoACAAPQAgAHEAdQBhAG4AdABpAHQAeQAgAG8AZgAgAGEAYwB0AGkAdgBlACAAaQBuAGcAcgBlAGQAaQBlAG4AdABzACAAaQBuACAAYQBnAHIAaQBjAGgAZQBtAGkAYwBhAGwAIAB0AHkAcABlACAAaAAgAHAAdQByAGMAaABhAHMAZQBkACAAYQBuAGQAIABhAHAAcABsAGkAZQBkACAAdABvACAAcwBvAGkAbABzAFwAbgBFAEYAXwBoACAAPQAgAGUAbQBpAHMAcwBpAG8AbgAgAGYAYQBjAHQAbwByACAAZgBvAHIAIABwAHUAcgBjAGgAYQBzAGUAZAAgAGEAZwByAGkAYwBoAGUAbQBpAGMAYQBsACAAYQBjAHQAaQB2AGUAIABpAG4AZwByAGUAZABpAGUAbgB0AFwAbgAtAC0ALQAtAC0ALQAtAC0ALQAtAC0ALQAtAC0ALQAtAC0ALQAtAC0ALQAtAC0ALQAtAC0ALQAtAC0ALQAtAC0ALQAtAC0ALQAtAC0AXABuACoALwBcAG4AXABuAFYARQBFAFIARwBfADEANQBfADUAXwAxAF8AMQBfAF8AMQBfAEUAbQBpAHMAcwBpAG8AbgBzAEYAcgBvAG0AUAB1AHIAYwBoAGEAcwBlAGQAQQBnAHIAaQBjAGgAZQBtAGkAYwBhAGwAcwBcAG4AIAAgAD0ATABBAE0AQgBEAEEAKABcAG4AIAAgACAAIABRAF8AaAAsACAARQBGAF8AaAAsAFwAbgAgACAAIAAgACgAUQBfAGgAIAAqACAARQBGAF8AaAApACAAKgAgADEAMAAgAF4AIAAtADMAXABuACAAIAApADsAXABuAFwAbgBWAEUARQBSAEcAXwAxADUAXwA1AF8AMQBfADEAXwBfADEAXwBFAG0AaQBzAHMAaQBvAG4AcwBGAHIAbwBtAFAAdQByAGMAaABhAHMAZQBkAEEAZwByAGkAYwBoAGUAbQBpAGMAYQBsAHMAXwBUAGkAdABsAGUAXABuACAAIAA9AEwAQQBNAEIARABBACgAXAAiAFQAbwB0AGEAbAAgAGUAbQBpAHMAcwBpAG8AbgBzACAAZgByAG8AbQAgAHAAdQByAGMAaABhAHMAZQBkACAAYQBnAHIAaQBjAGgAZQBtAGkAYwBhAGwAcwBcACIAKQA7AFwAbgBcAG4AVgBFAEUAUgBHAF8AMQA1AF8ANQBfADEAXwAxAF8AXwAxAF8ARQBtAGkAcwBzAGkAbwBuAHMARgByAG8AbQBQAHUAcgBjAGgAYQBzAGUAZABBAGcAcgBpAGMAaABlAG0AaQBjAGEAbABzAF8AVgBhAHIAaQBhAGIAbABlAFwAbgAgACAAPQBMAEEATQBCAEQAQQAoAFwAIgBFAFwAIgApADsAXABuAFwAbgBWAEUARQBSAEcAXwAxADUAXwA1AF8AMQBfADEAXwBfADEAXwBFAG0AaQBzAHMAaQBvAG4AcwBGAHIAbwBtAFAAdQByAGMAaABhAHMAZQBkAEEAZwByAGkAYwBoAGUAbQBpAGMAYQBsAHMAXwBVAG4AaQB0AFwAbgAgACAAPQBMAEEATQBCAEQAQQAoAFwAIgB0ACAAQwBPADIAZQBcACIAKQA7AFwAbgBcAG4AVgBFAEUAUgBHAF8AMQA1AF8ANQBfADEAXwAxAF8AXwAxAF8ARQBtAGkAcwBzAGkAbwBuAHMARgByAG8AbQBQAHUAcgBjAGgAYQBzAGUAZABBAGcAcgBpAGMAaABlAG0AaQBjAGEAbABzAF8AUwBvAHUAcgBjAGUAXABuACAAIAA9AEwAQQBNAEIARABBACgAXAAiAFYARQBFAFIARwAgADIAMAAyADYAOgAgADEANQAuADUALgAxAC4AMQAsACAARQBxAHUAYQB0AGkAbwBuACAAKAAxACkAXAAiACkAOwBcAG4AXABuAFYARQBFAFIARwBfADEANQBfADUAXwAxAF8AMQBfAF8AMQBfAEUAbQBpAHMAcwBpAG8AbgBzAEYAcgBvAG0AUAB1AHIAYwBoAGEAcwBlAGQAQQBnAHIAaQBjAGgAZQBtAGkAYwBhAGwAcwBfAE4ASQBSAFIAZQBmAGUAcgBlAG4AYwBlAFwAbgAgACAAPQBMAEEATQBCAEQAQQAoAFwAIgBcACIAKQA7AFwAbgBcAG4AVgBFAEUAUgBHAF8AMQA1AF8ANQBfADEAXwAxAF8AXwAxAF8ARQBtAGkAcwBzAGkAbwBuAHMARgByAG8AbQBQAHUAcgBjAGgAYQBzAGUAZABBAGcAcgBpAGMAaABlAG0AaQBjAGEAbABzAF8ATABhAHQAZQB4AEUAcQB1AGEAdABpAG8AbgBcAG4AIAAgAD0ATABBAE0AQgBEAEEAKABcACIARQA9AFwAXABzAHUAbQBcAFwAbgBvAGwAaQBtAGkAdABzAF8AaABcAFwAbABlAGYAdAAoAFEAXwBoAFwAXAB0AGkAbQBlAHMAIABFAEYAXwBoAFwAXAByAGkAZwBoAHQAKQBcAFwAdABpAG0AZQBzACAAMQAwAF4AewAtADMAfQBcACIAKQA7AFwAbgBcAG4AVgBFAEUAUgBHAF8AMQA1AF8ANQBfADEAXwAxAF8AXwAxAF8ARQBtAGkAcwBzAGkAbwBuAHMARgByAG8AbQBQAHUAcgBjAGgAYQBzAGUAZABBAGcAcgBpAGMAaABlAG0AaQBjAGEAbABzAF8AQQByAGcAdQBtAGUAbgB0AHMAXABuACAAIAA9AEwAQQBNAEIARABBACgAXABuACAAIAAgACAATQBBAEsARQBBAFIAUgBBAFkAKAAzACwAIAA0ACwAXABuACAAIAAgACAAIAAgAEwAQQBNAEIARABBACgAcgAsAGMALABcAG4AIAAgACAAIAAgACAAIAAgAEkATgBEAEUAWAAoAHsAXABuACAAIAAgACAAIAAgACAAIAAgACAAXAAiAFEAXwBoAFwAIgAsACAAXAAiAHEAdQBhAG4AdABpAHQAeQAgAG8AZgAgAGEAYwB0AGkAdgBlACAAaQBuAGcAcgBlAGQAaQBlAG4AdABzACAAaQBuACAAYQBnAHIAaQBjAGgAZQBtAGkAYwBhAGwAIAB0AHkAcABlACAAaAAgAHAAdQByAGMAaABhAHMAZQBkACAAYQBuAGQAIABhAHAAcABsAGkAZQBkACAAdABvACAAcwBvAGkAbABzAFwAIgAsACAAXAAiAGsAZwAgAGEAaQBcACIALAAgAFwAIgBJAG4AcAB1AHQAXAAiADsAXABuACAAIAAgACAAIAAgACAAIAAgACAAXAAiAEUARgBfAGgAXAAiACwAIABcACIAZQBtAGkAcwBzAGkAbwBuACAAZgBhAGMAdABvAHIAIABmAG8AcgAgAHAAdQByAGMAaABhAHMAZQBkACAAYQBnAHIAaQBjAGgAZQBtAGkAYwBhAGwAIABhAGMAdABpAHYAZQAgAGkAbgBnAHIAZQBkAGkAZQBuAHQAXAAiACwAIABcACIAawBnACAAQwBPADIAZQAvAGsAZwAgAGEAaQBcACIALAAgAFwAIgBDAG8AbgBzAHQAYQBuAHQAXAAiADsAXABuACAAIAAgACAAIAAgACAAIAAgACAAXAAiAGgAXAAiACwAIABcACIAYQBnAHIAaQBjAGgAZQBtAGkAYwBhAGw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2AF8AMQBfADEAXwBfADEAXwBFAG0AaQBzAHMAaQBvAG4AcwBGAHIAbwBtAFAAdQByAGMAaABhAHMAZQBkAEwAaQBtAGUAXABuAEUAbQBiAGUAZABkAGUAZAAgAGUAbQBpAHMAcwBpAG8AbgBzACAAZgBvAHIAIABwAHUAcgBjAGgAYQBzAGUAZAAgAGwAaQBtAGUAXABuAEUAXABuAHQAIABDAE8AMgBlAFwAbgBFAD0ATQBfAGwAaQBtAGUAXABcAHQAaQBtAGUAcwAgAEUARgBfAGwAXABuAE0AXwBsAGkAbQBlACAAPQAgAHQAbwB0AGEAbAAgAHEAdQBhAG4AdABpAHQAeQAgAG8AZgAgAGwAaQBtAGUAIABhAHAAcABsAGkAZQBkACAAdABvACAAcwBvAGkAbABzAFwAbgBFAEYAXwBsACAAPQAgAGUAbQBpAHMAcwBpAG8AbgAgAGYAYQBjAHQAbwByACAAZgBvAHIAIABwAHUAcgBjAGgAYQBzAGUAZAAgAGwAaQBtAGUAXABuAC0ALQAtAC0ALQAtAC0ALQAtAC0ALQAtAC0ALQAtAC0ALQAtAC0ALQAtAC0ALQAtAC0ALQAtAC0ALQAtAC0ALQAtAC0ALQAtAC0ALQBcAG4AKgAvAFwAbgBcAG4AVgBFAEUAUgBHAF8AMQA1AF8ANgBfADEAXwAxAF8AXwAxAF8ARQBtAGkAcwBzAGkAbwBuAHMARgByAG8AbQBQAHUAcgBjAGgAYQBzAGUAZABMAGkAbQBlAFwAbgAgACAAPQBMAEEATQBCAEQAQQAoAFwAbgAgACAAIAAgAE0AXwBsAGkAbQBlACwAIABFAEYAXwBsACwAXABuACAAIAAgACAATQBfAGwAaQBtAGUAIAAqACAARQBGAF8AbABcAG4AIAAgACkAOwBcAG4AXABuAFYARQBFAFIARwBfADEANQBfADYAXwAxAF8AMQBfAF8AMQBfAEUAbQBpAHMAcwBpAG8AbgBzAEYAcgBvAG0AUAB1AHIAYwBoAGEAcwBlAGQATABpAG0AZQBfAFQAaQB0AGwAZQBcAG4AIAAgAD0ATABBAE0AQgBEAEEAKABcACIARQBtAGIAZQBkAGQAZQBkACAAZQBtAGkAcwBzAGkAbwBuAHMAIABmAG8AcgAgAHAAdQByAGMAaABhAHMAZQBkACAAbABpAG0AZQBcACIAKQA7AFwAbgBcAG4AVgBFAEUAUgBHAF8AMQA1AF8ANgBfADEAXwAxAF8AXwAxAF8ARQBtAGkAcwBzAGkAbwBuAHMARgByAG8AbQBQAHUAcgBjAGgAYQBzAGUAZABMAGkAbQBlAF8AVgBhAHIAaQBhAGIAbABlAFwAbgAgACAAPQBMAEEATQBCAEQAQQAoAFwAIgBFAFwAIgApADsAXABuAFwAbgBWAEUARQBSAEcAXwAxADUAXwA2AF8AMQBfADEAXwBfADEAXwBFAG0AaQBzAHMAaQBvAG4AcwBGAHIAbwBtAFAAdQByAGMAaABhAHMAZQBkAEwAaQBtAGUAXwBVAG4AaQB0AFwAbgAgACAAPQBMAEEATQBCAEQAQQAoAFwAIgB0ACAAQwBPADIAZQBcACIAKQA7AFwAbgBcAG4AVgBFAEUAUgBHAF8AMQA1AF8ANgBfADEAXwAxAF8AXwAxAF8ARQBtAGkAcwBzAGkAbwBuAHMARgByAG8AbQBQAHUAcgBjAGgAYQBzAGUAZABMAGkAbQBlAF8AUwBvAHUAcgBjAGUAXABuACAAIAA9AEwAQQBNAEIARABBACgAXAAiAFYARQBFAFIARwAgADIAMAAyADYAOgAgADEANQAuADYALgAxAC4AMQAsACAARQBxAHUAYQB0AGkAbwBuACAAKAAxACkAXAAiACkAOwBcAG4AXABuAFYARQBFAFIARwBfADEANQBfADYAXwAxAF8AMQBfAF8AMQBfAEUAbQBpAHMAcwBpAG8AbgBzAEYAcgBvAG0AUAB1AHIAYwBoAGEAcwBlAGQATABpAG0AZQBfAE4ASQBSAFIAZQBmAGUAcgBlAG4AYwBlAFwAbgAgACAAPQBMAEEATQBCAEQAQQAoAFwAIgBcACIAKQA7AFwAbgBcAG4AVgBFAEUAUgBHAF8AMQA1AF8ANgBfADEAXwAxAF8AXwAxAF8ARQBtAGkAcwBzAGkAbwBuAHMARgByAG8AbQBQAHUAcgBjAGgAYQBzAGUAZABMAGkAbQBlAF8ATABhAHQAZQB4AEUAcQB1AGEAdABpAG8AbgBcAG4AIAAgAD0ATABBAE0AQgBEAEEAKABcACIARQA9AE0AXwB7AGwAaQBtAGUAfQBcAFwAdABpAG0AZQBzACAARQBGAF8AbABcACIAKQA7AFwAbgBcAG4AVgBFAEUAUgBHAF8AMQA1AF8ANgBfADEAXwAxAF8AXwAxAF8ARQBtAGkAcwBzAGkAbwBuAHMARgByAG8AbQBQAHUAcgBjAGgAYQBzAGUAZABMAGkAbQBlAF8AQQByAGcAdQBtAGUAbgB0AHMAXABuACAAIAA9AEwAQQBNAEIARABBACgAXABuACAAIAAgACAATQBBAEsARQBBAFIAUgBBAFkAKAAyACwAIAA0ACwAXABuACAAIAAgACAAIAAgAEwAQQBNAEIARABBACgAcgAsAGMALABcAG4AIAAgACAAIAAgACAAIAAgAEkATgBEAEUAWAAoAHsAXABuACAAIAAgACAAIAAgACAAIAAgACAAXAAiAE0AXwBsAGkAbQBlAFwAIgAsACAAXAAiAHQAbwB0AGEAbAAgAHEAdQBhAG4AdABpAHQAeQAgAG8AZgAgAGwAaQBtAGUAIABhAHAAcABsAGkAZQBkACAAdABvACAAcwBvAGkAbABzAFwAIgAsACAAXAAiAHQAXAAiACwAIABcACIASQBuAHAAdQB0AFwAIgA7AFwAbgAgACAAIAAgACAAIAAgACAAIAAgAFwAIgBFAEYAXwBsAFwAIgAsACAAXAAiAGUAbQBpAHMAcwBpAG8AbgAgAGYAYQBjAHQAbwByACAAZgBvAHIAIABwAHUAcgBjAGgAYQBzAGUAZAAgAGwAaQBtAGUAXAAiACwAIABcACIAdAAgAEMATwAyAGUALwB0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3AF8AMQBfADEAXwBfADEAXwBFAG0AaQBzAHMAaQBvAG4AcwBGAHIAbwBtAFAAdQByAGMAaABhAHMAZQBkAFMAZQByAHYAaQBjAGUAcwBcAG4ARQBtAGkAcwBzAGkAbwBuAHMAIABvAGYAIABwAHUAcgBjAGgAYQBzAGUAZAAgAHMAZQByAHYAaQBjAGUAcwAgAGEAbgBkACAAYwBvAG4AdAByAGEAYwB0AG8AcgAgAG8AcABlAHIAYQB0AGkAbwBuAHMAXABuAEUAXABuAHQAIABDAE8AMgBlAFwAbgBFAD0AXABcAHMAdQBtAFwAXABuAG8AbABpAG0AaQB0AHMAXwBwAFwAXABsAGUAZgB0ACgAQQBfAHAAXABcAHQAaQBtAGUAcwAgAEUARgBfAHAAXABcAHIAaQBnAGgAdAApAFwAXAB0AGkAbQBlAHMAIAAxADAAXgB7AC0AMwB9AFwAbgBBAF8AcAAgAD0AIABhAGMAdABpAHYAaQB0AHkAIABkAGEAdABhACAAbwBmACAAdABoAGUAIABzAGUAcgB2AGkAYwBlACAAdABoAGEAdAAgAHcAYQBzACAAcAB1AHIAYwBoAGEAcwBlAGQAXABuAEUARgBfAHAAIAA9ACAAbABpAGYAZQAgAGMAeQBjAGwAZQAgAGUAbQBpAHMAcwBpAG8AbgAgAGYAYQBjAHQAbwByACAAZgBvAHIAIAB0AGgAZQAgAHAAdQByAGMAaABhAHMAZQBkACAAcwBlAHIAdgBpAGMAZQBcAG4ALQAtAC0ALQAtAC0ALQAtAC0ALQAtAC0ALQAtAC0ALQAtAC0ALQAtAC0ALQAtAC0ALQAtAC0ALQAtAC0ALQAtAC0ALQAtAC0ALQAtAFwAbgAqAC8AXABuAFwAbgBWAEUARQBSAEcAXwAxADUAXwA3AF8AMQBfADEAXwBfADEAXwBFAG0AaQBzAHMAaQBvAG4AcwBGAHIAbwBtAFAAdQByAGMAaABhAHMAZQBkAFMAZQByAHYAaQBjAGUAcwBcAG4AIAAgAD0ATABBAE0AQgBEAEEAKABcAG4AIAAgACAAIABBAF8AcAAsACAARQBGAF8AcAAsAFwAbgAgACAAIAAgACgAQQBfAHAAIAAqACAARQBGAF8AcAApACAAKgAgADEAMAAgAF4AIAAtADMAXABuACAAIAApADsAXABuAFwAbgBWAEUARQBSAEcAXwAxADUAXwA3AF8AMQBfADEAXwBfADEAXwBFAG0AaQBzAHMAaQBvAG4AcwBGAHIAbwBtAFAAdQByAGMAaABhAHMAZQBkAFMAZQByAHYAaQBjAGUAcwBfAFQAaQB0AGwAZQBcAG4AIAAgAD0ATABBAE0AQgBEAEEAKABcACIARQBtAGkAcwBzAGkAbwBuAHMAIABvAGYAIABwAHUAcgBjAGgAYQBzAGUAZAAgAHMAZQByAHYAaQBjAGUAcwAgAGEAbgBkACAAYwBvAG4AdAByAGEAYwB0AG8AcgAgAG8AcABlAHIAYQB0AGkAbwBuAHMAXAAiACkAOwBcAG4AXABuAFYARQBFAFIARwBfADEANQBfADcAXwAxAF8AMQBfAF8AMQBfAEUAbQBpAHMAcwBpAG8AbgBzAEYAcgBvAG0AUAB1AHIAYwBoAGEAcwBlAGQAUwBlAHIAdgBpAGMAZQBzAF8AVgBhAHIAaQBhAGIAbABlAFwAbgAgACAAPQBMAEEATQBCAEQAQQAoAFwAIgBFAFwAIgApADsAXABuAFwAbgBWAEUARQBSAEcAXwAxADUAXwA3AF8AMQBfADEAXwBfADEAXwBFAG0AaQBzAHMAaQBvAG4AcwBGAHIAbwBtAFAAdQByAGMAaABhAHMAZQBkAFMAZQByAHYAaQBjAGUAcwBfAFUAbgBpAHQAXABuACAAIAA9AEwAQQBNAEIARABBACgAXAAiAHQAIABDAE8AMgBlAFwAIgApADsAXABuAFwAbgBWAEUARQBSAEcAXwAxADUAXwA3AF8AMQBfADEAXwBfADEAXwBFAG0AaQBzAHMAaQBvAG4AcwBGAHIAbwBtAFAAdQByAGMAaABhAHMAZQBkAFMAZQByAHYAaQBjAGUAcwBfAFMAbwB1AHIAYwBlAFwAbgAgACAAPQBMAEEATQBCAEQAQQAoAFwAIgBWAEUARQBSAEcAIAAyADAAMgA2ADoAIAAxADUALgA3AC4AMQAuADEALAAgAEUAcQB1AGEAdABpAG8AbgAgACgAMQApAFwAIgApADsAXABuAFwAbgBWAEUARQBSAEcAXwAxADUAXwA3AF8AMQBfADEAXwBfADEAXwBFAG0AaQBzAHMAaQBvAG4AcwBGAHIAbwBtAFAAdQByAGMAaABhAHMAZQBkAFMAZQByAHYAaQBjAGUAcwBfAE4ASQBSAFIAZQBmAGUAcgBlAG4AYwBlAFwAbgAgACAAPQBMAEEATQBCAEQAQQAoAFwAIgBcACIAKQA7AFwAbgBcAG4AVgBFAEUAUgBHAF8AMQA1AF8ANwBfADEAXwAxAF8AXwAxAF8ARQBtAGkAcwBzAGkAbwBuAHMARgByAG8AbQBQAHUAcgBjAGgAYQBzAGUAZABTAGUAcgB2AGkAYwBlAHMAXwBMAGEAdABlAHgARQBxAHUAYQB0AGkAbwBuAFwAbgAgACAAPQBMAEEATQBCAEQAQQAoAFwAIgBFAD0AXABcAHMAdQBtAFwAXABuAG8AbABpAG0AaQB0AHMAXwBwAFwAXABsAGUAZgB0ACgAQQBfAHAAXABcAHQAaQBtAGUAcwAgAEUARgBfAHAAXABcAHIAaQBnAGgAdAApAFwAXAB0AGkAbQBlAHMAIAAxADAAXgB7AC0AMwB9AFwAIgApADsAXABuAFwAbgBWAEUARQBSAEcAXwAxADUAXwA3AF8AMQBfADEAXwBfADEAXwBFAG0AaQBzAHMAaQBvAG4AcwBGAHIAbwBtAFAAdQByAGMAaABhAHMAZQBkAFMAZQByAHYAaQBjAGUAcwBfAEEAcgBnAHUAbQBlAG4AdABzAFwAbgAgACAAPQBMAEEATQBCAEQAQQAoAFwAbgAgACAAIAAgAE0AQQBLAEUAQQBSAFIAQQBZACgAMwAsACAANAAsAFwAbgAgACAAIAAgACAAIABMAEEATQBCAEQAQQAoAHIALABjACwAXABuACAAIAAgACAAIAAgACAAIABJAE4ARABFAFgAKAB7AFwAbgAgACAAIAAgACAAIAAgACAAIAAgAFwAIgBBAF8AcABcACIALAAgAFwAIgBhAGMAdABpAHYAaQB0AHkAIABkAGEAdABhACAAbwBmACAAdABoAGUAIABzAGUAcgB2AGkAYwBlACAAdABoAGEAdAAgAHcAYQBzACAAcAB1AHIAYwBoAGEAcwBlAGQAXAAiACwAIABcACIAaABhACAAbwByACAAaABcACIALAAgAFwAIgBJAG4AcAB1AHQAXAAiADsAXABuACAAIAAgACAAIAAgACAAIAAgACAAXAAiAEUARgBfAHAAXAAiACwAIABcACIAbABpAGYAZQAgAGMAeQBjAGwAZQAgAGUAbQBpAHMAcwBpAG8AbgAgAGYAYQBjAHQAbwByACAAZgBvAHIAIAB0AGgAZQAgAHAAdQByAGMAaABhAHMAZQBkACAAcwBlAHIAdgBpAGMAZQBcACIALAAgAFwAIgBrAGcAIABDAE8AMgBlAC8AaABhACAAbwByACAAawBnACAAQwBPADIAZQAvAGgAXAAiACwAIABcACIAQwBvAG4AcwB0AGEAbgB0AFwAIgA7AFwAbgAgACAAIAAgACAAIAAgACAAIAAgAFwAIgBwAFwAIgAsACAAXAAiAHMAZQByAHYAaQBjAGU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4AF8AMQBfADEAXwBfADEAXwBFAG0AaQBzAHMAaQBvAG4AcwBGAHIAbwBtAFAAdQByAGMAaABhAHMAZQBkAFAAYQBjAGsAYQBnAGkAbgBnAFwAbgBFAG0AYgBlAGQAZABlAGQAIABlAG0AaQBzAHMAaQBvAG4AcwAgAGYAcgBvAG0AIAB1AHMAZQAgAG8AZgAgAHAAYQBjAGsAYQBnAGkAbgBnACAAbQBhAHQAZQByAGkAYQBsAHMAXABuAEUAXABuAHQAIABDAE8AMgBlAFwAbgBFAD0AXABcAHMAdQBtAFwAXABuAG8AbABpAG0AaQB0AHMAXwBwAFwAXABsAGUAZgB0ACgAUQBfAHAAXABcAHQAaQBtAGUAcwAgAEUARgBfAHAAXABcAHIAaQBnAGgAdAApAFwAXAB0AGkAbQBlAHMAIAAxADAAXgB7AC0AMwB9AFwAbgBRAF8AcAAgAD0AIAB1AG4AaQB0AHMAIABvAGYAIABwAGEAYwBrAGEAZwBpAG4AZwAgAHQAeQBwAGUAIABwAFwAbgBFAEYAXwBwACAAPQAgAGUAbQBpAHMAcwBpAG8AbgAgAGYAYQBjAHQAbwByACAAZgBvAHIAIABwAGEAYwBrAGEAZwBpAG4AZwAgAHQAeQBwAGUAIABwAFwAbgAtAC0ALQAtAC0ALQAtAC0ALQAtAC0ALQAtAC0ALQAtAC0ALQAtAC0ALQAtAC0ALQAtAC0ALQAtAC0ALQAtAC0ALQAtAC0ALQAtAC0AXABuACoALwBcAG4AXABuAFYARQBFAFIARwBfADEANQBfADgAXwAxAF8AMQBfAF8AMQBfAEUAbQBpAHMAcwBpAG8AbgBzAEYAcgBvAG0AUAB1AHIAYwBoAGEAcwBlAGQAUABhAGMAawBhAGcAaQBuAGcAXABuACAAIAA9AEwAQQBNAEIARABBACgAXABuACAAIAAgACAAUQBfAHAALAAgAEUARgBfAHAALABcAG4AIAAgACAAIAAoAFEAXwBwACAAKgAgAEUARgBfAHAAKQAgACoAIAAxADAAIABeACAALQAzAFwAbgAgACAAKQA7AFwAbgBcAG4AVgBFAEUAUgBHAF8AMQA1AF8AOABfADEAXwAxAF8AXwAxAF8ARQBtAGkAcwBzAGkAbwBuAHMARgByAG8AbQBQAHUAcgBjAGgAYQBzAGUAZABQAGEAYwBrAGEAZwBpAG4AZwBfAFQAaQB0AGwAZQBcAG4AIAAgAD0ATABBAE0AQgBEAEEAKABcACIARQBtAGIAZQBkAGQAZQBkACAAZQBtAGkAcwBzAGkAbwBuAHMAIABmAHIAbwBtACAAdQBzAGUAIABvAGYAIABwAGEAYwBrAGEAZwBpAG4AZwAgAG0AYQB0AGUAcgBpAGEAbABzAFwAIgApADsAXABuAFwAbgBWAEUARQBSAEcAXwAxADUAXwA4AF8AMQBfADEAXwBfADEAXwBFAG0AaQBzAHMAaQBvAG4AcwBGAHIAbwBtAFAAdQByAGMAaABhAHMAZQBkAFAAYQBjAGsAYQBnAGkAbgBnAF8AVgBhAHIAaQBhAGIAbABlAFwAbgAgACAAPQBMAEEATQBCAEQAQQAoAFwAIgBFAFwAIgApADsAXABuAFwAbgBWAEUARQBSAEcAXwAxADUAXwA4AF8AMQBfADEAXwBfADEAXwBFAG0AaQBzAHMAaQBvAG4AcwBGAHIAbwBtAFAAdQByAGMAaABhAHMAZQBkAFAAYQBjAGsAYQBnAGkAbgBnAF8AVQBuAGkAdABcAG4AIAAgAD0ATABBAE0AQgBEAEEAKABcACIAdAAgAEMATwAyAGUAXAAiACkAOwBcAG4AXABuAFYARQBFAFIARwBfADEANQBfADgAXwAxAF8AMQBfAF8AMQBfAEUAbQBpAHMAcwBpAG8AbgBzAEYAcgBvAG0AUAB1AHIAYwBoAGEAcwBlAGQAUABhAGMAawBhAGcAaQBuAGcAXwBTAG8AdQByAGMAZQBcAG4AIAAgAD0ATABBAE0AQgBEAEEAKABcACIAVgBFAEUAUgBHACAAMgAwADIANgA6ACAAMQA1AC4AOAAuADEALgAxACwAIABFAHEAdQBhAHQAaQBvAG4AIAAoADEAKQBcACIAKQA7AFwAbgBcAG4AVgBFAEUAUgBHAF8AMQA1AF8AOABfADEAXwAxAF8AXwAxAF8ARQBtAGkAcwBzAGkAbwBuAHMARgByAG8AbQBQAHUAcgBjAGgAYQBzAGUAZABQAGEAYwBrAGEAZwBpAG4AZwBfAE4ASQBSAFIAZQBmAGUAcgBlAG4AYwBlAFwAbgAgACAAPQBMAEEATQBCAEQAQQAoAFwAIgBcACIAKQA7AFwAbgBcAG4AVgBFAEUAUgBHAF8AMQA1AF8AOABfADEAXwAxAF8AXwAxAF8ARQBtAGkAcwBzAGkAbwBuAHMARgByAG8AbQBQAHUAcgBjAGgAYQBzAGUAZABQAGEAYwBrAGEAZwBpAG4AZwBfAEwAYQB0AGUAeABFAHEAdQBhAHQAaQBvAG4AXABuACAAIAA9AEwAQQBNAEIARABBACgAXAAiAEUAPQBcAFwAcwB1AG0AXABcAG4AbwBsAGkAbQBpAHQAcwBfAHAAXABcAGwAZQBmAHQAKABRAF8AcABcAFwAdABpAG0AZQBzACAARQBGAF8AcABcAFwAcgBpAGcAaAB0ACkAXABcAHQAaQBtAGUAcwAgADEAMABeAHsALQAzAH0AXAAiACkAOwBcAG4AXABuAFYARQBFAFIARwBfADEANQBfADgAXwAxAF8AMQBfAF8AMQBfAEUAbQBpAHMAcwBpAG8AbgBzAEYAcgBvAG0AUAB1AHIAYwBoAGEAcwBlAGQAUABhAGMAawBhAGcAaQBuAGcAXwBBAHIAZwB1AG0AZQBuAHQAcwBcAG4AIAAgAD0ATABBAE0AQgBEAEEAKABcAG4AIAAgACAAIABNAEEASwBFAEEAUgBSAEEAWQAoADMALAAgADQALABcAG4AIAAgACAAIAAgACAATABBAE0AQgBEAEEAKAByACwAYwAsAFwAbgAgACAAIAAgACAAIAAgACAASQBOAEQARQBYACgAewBcAG4AIAAgACAAIAAgACAAIAAgACAAIABcACIAUQBfAHAAXAAiACwAIABcACIAdQBuAGkAdABzACAAbwBmACAAcABhAGMAawBhAGcAaQBuAGcAIAB0AHkAcABlACAAcABcACIALAAgAFwAIgB1AG4AaQB0AHMAXAAiACwAIABcACIASQBuAHAAdQB0AFwAIgA7AFwAbgAgACAAIAAgACAAIAAgACAAIAAgAFwAIgBFAEYAXwBwAFwAIgAsACAAXAAiAGUAbQBpAHMAcwBpAG8AbgAgAGYAYQBjAHQAbwByACAAZgBvAHIAIABwAGEAYwBrAGEAZwBpAG4AZwAgAHQAeQBwAGUAIABwAFwAIgAsACAAXAAiAGsAZwAgAEMATwAyAGUALwB1AG4AaQB0AFwAIgAsACAAXAAiAEMAbwBuAHMAdABhAG4AdABcACIAOwBcAG4AIAAgACAAIAAgACAAIAAgACAAIABcACIAcABcACIALAAgAFwAIgBwAGEAYwBrAGEAZwBpAG4AZwAgAHQAeQBwAGUAXAAiACwAIABcACIAXAAiACwAIABcACIASQBuAHAAdQB0AFwAIgBcAG4AIAAgACAAIAAgACAAIAAgAH0ALAAgAHIALAAgAGMAKQBcAG4AIAAgACAAIAAgACAAKQBcAG4AIAAgACAAIAApAFwAbgAgACAAKQA7AFwAbgBcAG4AVgBFAEUAUgBHAF8AMQA1AF8AOABfADEAXwAxAF8AXwAxAF8ARQBtAGkAcwBzAGkAbwBuAHMARgByAG8AbQBQAHUAcgBjAGgAYQBzAGUAZABQAGEAYwBrAGEAZwBpAG4AZwBfAFYAYQByAGkAYQB0AGkAbwBuAFwAbgAgACAAPQBMAEEATQBCAEQAQQAoAFwAIgBWAEEAUgBJAEEAVABJAE8ATgAgAE8ATgAgAFMATwBVAFIAQwBFADoAIABDAGgAYQBuAGcAZQBkACAAdQBuAGkAdAAgAG8AZgAgAFEAIABmAHIAbwBtACAAXAB1ADAAMAAyADcAdQBuAGkAdABzAFwAdQAwADAAMgA3ACAAdABvACAAXAB1ADAAMAAyADcAawBnAFwAdQAwADAAMgA3ACAAYQBzACAARQBGACAAZABhAHQAYQAgAGkAcwAgAGkAbgAgAGsAZwAuAFwAIgApADsAXABuACAAIABcAG4AXABuAC8AKgBcAG4ALQAtAC0ALQAtAC0ALQAtAC0ALQAtAC0ALQAtAC0ALQAtAC0ALQAtAC0ALQAtAC0ALQAtAC0ALQAtAC0ALQAtAC0ALQAtAC0ALQAtAFwAbgBWAEUARQBSAEcAXwAxADUAXwA5AF8AMQBfADEAXwBfADEAXwBFAG0AaQBzAHMAaQBvAG4AcwBGAHIAbwBtAFAAdQByAGMAaABhAHMAZQBkAEcAcgBvAHcATQBlAGQAaQBhAFwAbgBFAG0AYgBlAGQAZABlAGQAIABlAG0AaQBzAHMAaQBvAG4AcwAgAGYAcgBvAG0AIAB1AHMAZQAgAG8AZgAgAGcAcgBvAHcAIABtAGUAZABpAGEAIABwAHIAbwBkAHUAYwB0AHMAXABuAEUAXABuAHQAIABDAE8AMgBlAFwAbgBFAD0AXABcAHMAdQBtAFwAXABuAG8AbABpAG0AaQB0AHMAXwBnAFwAXABsAGUAZgB0ACgAUQBfAGcAXABcAHQAaQBtAGUAcwAgAEUARgBfAGcAXABcAHIAaQBnAGgAdAApAFwAXAB0AGkAbQBlAHMAIAAxADAAXgB7AC0AMwB9AFwAbgBRAF8AZwAgAD0AIAB0AG8AdABhAGwAIABxAHUAYQBuAHQAaQB0AHkAIABvAGYAIABnAHIAbwB3ACAAbQBlAGQAaQBhACAAdAB5AHAAZQAgAGcAXABuAEUARgBfAGcAIAA9ACAAZQBtAGkAcwBzAGkAbwBuACAAZgBhAGMAdABvAHIAIABmAG8AcgAgAGcAcgBvAHcAIABtAGUAZABpAGEAIAB0AHkAcABlACAAZwBcAG4ALQAtAC0ALQAtAC0ALQAtAC0ALQAtAC0ALQAtAC0ALQAtAC0ALQAtAC0ALQAtAC0ALQAtAC0ALQAtAC0ALQAtAC0ALQAtAC0ALQAtAFwAbgAqAC8AXABuAFwAbgBWAEUARQBSAEcAXwAxADUAXwA5AF8AMQBfADEAXwBfADEAXwBFAG0AaQBzAHMAaQBvAG4AcwBGAHIAbwBtAFAAdQByAGMAaABhAHMAZQBkAEcAcgBvAHcATQBlAGQAaQBhAFwAbgAgACAAPQBMAEEATQBCAEQAQQAoAFwAbgAgACAAIAAgAFEAXwBnACwAIABFAEYAXwBnACwAXABuACAAIAAgACAAKABRAF8AZwAgACoAIABFAEYAXwBnACkAIAAqACAAMQAwACAAXgAgAC0AMwBcAG4AIAAgACkAOwBcAG4AXABuAFYARQBFAFIARwBfADEANQBfADkAXwAxAF8AMQBfAF8AMQBfAEUAbQBpAHMAcwBpAG8AbgBzAEYAcgBvAG0AUAB1AHIAYwBoAGEAcwBlAGQARwByAG8AdwBNAGUAZABpAGEAXwBUAGkAdABsAGUAXABuACAAIAA9AEwAQQBNAEIARABBACgAXAAiAEUAbQBiAGUAZABkAGUAZAAgAGUAbQBpAHMAcwBpAG8AbgBzACAAZgByAG8AbQAgAHUAcwBlACAAbwBmACAAZwByAG8AdwAgAG0AZQBkAGkAYQAgAHAAcgBvAGQAdQBjAHQAcwBcACIAKQA7AFwAbgBcAG4AVgBFAEUAUgBHAF8AMQA1AF8AOQBfADEAXwAxAF8AXwAxAF8ARQBtAGkAcwBzAGkAbwBuAHMARgByAG8AbQBQAHUAcgBjAGgAYQBzAGUAZABHAHIAbwB3AE0AZQBkAGkAYQBfAFYAYQByAGkAYQBiAGwAZQBcAG4AIAAgAD0ATABBAE0AQgBEAEEAKABcACIARQBcACIAKQA7AFwAbgBcAG4AVgBFAEUAUgBHAF8AMQA1AF8AOQBfADEAXwAxAF8AXwAxAF8ARQBtAGkAcwBzAGkAbwBuAHMARgByAG8AbQBQAHUAcgBjAGgAYQBzAGUAZABHAHIAbwB3AE0AZQBkAGkAYQBfAFUAbgBpAHQAXABuACAAIAA9AEwAQQBNAEIARABBACgAXAAiAHQAIABDAE8AMgBlAFwAIgApADsAXABuAFwAbgBWAEUARQBSAEcAXwAxADUAXwA5AF8AMQBfADEAXwBfADEAXwBFAG0AaQBzAHMAaQBvAG4AcwBGAHIAbwBtAFAAdQByAGMAaABhAHMAZQBkAEcAcgBvAHcATQBlAGQAaQBhAF8AUwBvAHUAcgBjAGUAXABuACAAIAA9AEwAQQBNAEIARABBACgAXAAiAFYARQBFAFIARwAgADIAMAAyADYAOgAgADEANQAuADkALgAxAC4AMQAsACAARQBxAHUAYQB0AGkAbwBuACAAKAAxACkAXAAiACkAOwBcAG4AXABuAFYARQBFAFIARwBfADEANQBfADkAXwAxAF8AMQBfAF8AMQBfAEUAbQBpAHMAcwBpAG8AbgBzAEYAcgBvAG0AUAB1AHIAYwBoAGEAcwBlAGQARwByAG8AdwBNAGUAZABpAGEAXwBOAEkAUgBSAGUAZgBlAHIAZQBuAGMAZQBcAG4AIAAgAD0ATABBAE0AQgBEAEEAKABcACIAXAAiACkAOwBcAG4AXABuAFYARQBFAFIARwBfADEANQBfADkAXwAxAF8AMQBfAF8AMQBfAEUAbQBpAHMAcwBpAG8AbgBzAEYAcgBvAG0AUAB1AHIAYwBoAGEAcwBlAGQARwByAG8AdwBNAGUAZABpAGEAXwBMAGEAdABlAHgARQBxAHUAYQB0AGkAbwBuAFwAbgAgACAAPQBMAEEATQBCAEQAQQAoAFwAIgBFAD0AXABcAHMAdQBtAFwAXABuAG8AbABpAG0AaQB0AHMAXwBnAFwAXABsAGUAZgB0ACgAUQBfAGcAXABcAHQAaQBtAGUAcwAgAEUARgBfAGcAXABcAHIAaQBnAGgAdAApAFwAXAB0AGkAbQBlAHMAIAAxADAAXgB7AC0AMwB9AFwAIgApADsAXABuAFwAbgBWAEUARQBSAEcAXwAxADUAXwA5AF8AMQBfADEAXwBfADEAXwBFAG0AaQBzAHMAaQBvAG4AcwBGAHIAbwBtAFAAdQByAGMAaABhAHMAZQBkAEcAcgBvAHcATQBlAGQAaQBhAF8AQQByAGcAdQBtAGUAbgB0AHMAXABuACAAIAA9AEwAQQBNAEIARABBACgAXABuACAAIAAgACAATQBBAEsARQBBAFIAUgBBAFkAKAAzACwAIAA0ACwAXABuACAAIAAgACAAIAAgAEwAQQBNAEIARABBACgAcgAsAGMALABcAG4AIAAgACAAIAAgACAAIAAgAEkATgBEAEUAWAAoAHsAXABuACAAIAAgACAAIAAgACAAIAAgACAAXAAiAFEAXwBnAFwAIgAsACAAXAAiAHQAbwB0AGEAbAAgAHEAdQBhAG4AdABpAHQAeQAgAG8AZgAgAGcAcgBvAHcAIABtAGUAZABpAGEAIAB0AHkAcABlACAAZwBcACIALAAgAFwAIgBrAGcAIABvAHIAIABtADMAXAAiACwAIABcACIASQBuAHAAdQB0AFwAIgA7AFwAbgAgACAAIAAgACAAIAAgACAAIAAgAFwAIgBFAEYAXwBnAFwAIgAsACAAXAAiAGUAbQBpAHMAcwBpAG8AbgAgAGYAYQBjAHQAbwByACAAZgBvAHIAIABnAHIAbwB3ACAAbQBlAGQAaQBhACAAdAB5AHAAZQAgAGcAXAAiACwAIABcACIAawBnACAAQwBPADIAZQAvAGsAZwAgAG8AcgAgAGsAZwAgAEMATwAyAGUALwBtADMAXAAiACwAIABcACIAQwBvAG4AcwB0AGEAbgB0AFwAIgA7AFwAbgAgACAAIAAgACAAIAAgACAAIAAgAFwAIgBnAFwAIgAsACAAXAAiAGcAcgBvAHcAIABtAGUAZABpAGE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xADAAXwAxAF8AMQBfAF8AMQBfAE8AdABoAGUAcgBQAHUAcgBjAGgAYQBzAGUAZABHAG8AbwBkAHMAQQBuAGQAUwBlAHIAdgBpAGMAZQBzAFwAbgBPAHQAaABlAHIAIABwAHUAcgBjAGgAYQBzAGUAZAAgAGcAbwBvAGQAcwAgAGEAbgBkACAAcwBlAHIAdgBpAGMAZQBzACAAZwBlAG4AZQByAGkAYwAgAGUAcwB0AGkAbQBhAHQAZQBcAG4AZQBtAGkAcwBzAGkAbwBuAHMAXABuAHQAIABDAE8AMgBlAFwAbgBlAG0AaQBzAHMAaQBvAG4AcwA9AGEAYwB0AGkAdgBpAHQAeQBfAGQAYQB0AGEAXABcAHQAaQBtAGUAcwAgAGUAbQBpAHMAcwBpAG8AbgBfAGYAYQBjAHQAbwByAFwAbgBhAGMAdABpAHYAaQB0AHkAXwBkAGEAdABhACAAPQAgAG0AZQBhAHMAdQByAGUAZAAgAGEAYwB0AGkAdgBpAHQAeQAgAGYAbwByACAAdABoAGUAIABwAHUAcgBjAGgAYQBzAGUAZAAgAGcAbwBvAGQAIABvAHIAIABzAGUAcgB2AGkAYwBlAFwAbgBlAG0AaQBzAHMAaQBvAG4AXwBmAGEAYwB0AG8AcgAgAD0AIABsAGkAZgBlAGMAeQBjAGwAZQAgAGUAbQBpAHMAcwBpAG8AbgBzACAAcABlAHIAIAB1AG4AaQB0ACAAbwBmACAAYQBjAHQAaQB2AGkAdAB5AFwAbgAtAC0ALQAtAC0ALQAtAC0ALQAtAC0ALQAtAC0ALQAtAC0ALQAtAC0ALQAtAC0ALQAtAC0ALQAtAC0ALQAtAC0ALQAtAC0ALQAtAC0AXABuACoALwBcAG4AXABuAFYARQBFAFIARwBfADEANQBfADEAMABfADEAXwAxAF8AXwAxAF8ATwB0AGgAZQByAFAAdQByAGMAaABhAHMAZQBkAEcAbwBvAGQAcwBBAG4AZABTAGUAcgB2AGkAYwBlAHMAXABuACAAIAA9AEwAQQBNAEIARABBACgAXABuACAAIAAgACAAYQBjAHQAaQB2AGkAdAB5AF8AZABhAHQAYQAsACAAZQBtAGkAcwBzAGkAbwBuAF8AZgBhAGMAdABvAHIALABcAG4AIAAgACAAIABhAGMAdABpAHYAaQB0AHkAXwBkAGEAdABhACAAKgAgAGUAbQBpAHMAcwBpAG8AbgBfAGYAYQBjAHQAbwByAFwAbgAgACAAKQA7AFwAbgBcAG4AVgBFAEUAUgBHAF8AMQA1AF8AMQAwAF8AMQBfADEAXwBfADEAXwBPAHQAaABlAHIAUAB1AHIAYwBoAGEAcwBlAGQARwBvAG8AZABzAEEAbgBkAFMAZQByAHYAaQBjAGUAcwBfAFQAaQB0AGwAZQBcAG4AIAAgAD0ATABBAE0AQgBEAEEAKABcACIATwB0AGgAZQByACAAcAB1AHIAYwBoAGEAcwBlAGQAIABnAG8AbwBkAHMAIABhAG4AZAAgAHMAZQByAHYAaQBjAGUAcwAgAGcAZQBuAGUAcgBpAGMAIABlAHMAdABpAG0AYQB0AGUAXAAiACkAOwBcAG4AXABuAFYARQBFAFIARwBfADEANQBfADEAMABfADEAXwAxAF8AXwAxAF8ATwB0AGgAZQByAFAAdQByAGMAaABhAHMAZQBkAEcAbwBvAGQAcwBBAG4AZABTAGUAcgB2AGkAYwBlAHMAXwBWAGEAcgBpAGEAYgBsAGUAXABuACAAIAA9AEwAQQBNAEIARABBACgAXAAiAGUAbQBpAHMAcwBpAG8AbgBzAFwAIgApADsAXABuAFwAbgBWAEUARQBSAEcAXwAxADUAXwAxADAAXwAxAF8AMQBfAF8AMQBfAE8AdABoAGUAcgBQAHUAcgBjAGgAYQBzAGUAZABHAG8AbwBkAHMAQQBuAGQAUwBlAHIAdgBpAGMAZQBzAF8AVQBuAGkAdABcAG4AIAAgAD0ATABBAE0AQgBEAEEAKABcACIAdAAgAEMATwAyAGUAXAAiACkAOwBcAG4AXABuAFYARQBFAFIARwBfADEANQBfADEAMABfADEAXwAxAF8AXwAxAF8ATwB0AGgAZQByAFAAdQByAGMAaABhAHMAZQBkAEcAbwBvAGQAcwBBAG4AZABTAGUAcgB2AGkAYwBlAHMAXwBTAG8AdQByAGMAZQBcAG4AIAAgAD0ATABBAE0AQgBEAEEAKABcACIAVgBFAEUAUgBHACAAMgAwADIANgA6ACAAMQA1AC4AMQAwACwAIABnAGUAbgBlAHIAaQBjACAAcABsAGEAYwBlAGgAbwBsAGQAZQByACAAZQBxAHUAYQB0AGkAbwBuAFwAIgApADsAXABuAFwAbgBWAEUARQBSAEcAXwAxADUAXwAxADAAXwAxAF8AMQBfAF8AMQBfAE8AdABoAGUAcgBQAHUAcgBjAGgAYQBzAGUAZABHAG8AbwBkAHMAQQBuAGQAUwBlAHIAdgBpAGMAZQBzAF8ATgBJAFIAUgBlAGYAZQByAGUAbgBjAGUAXABuACAAIAA9AEwAQQBNAEIARABBACgAXAAiAFwAIgApADsAXABuAFwAbgBWAEUARQBSAEcAXwAxADUAXwAxADAAXwAxAF8AMQBfAF8AMQBfAE8AdABoAGUAcgBQAHUAcgBjAGgAYQBzAGUAZABHAG8AbwBkAHMAQQBuAGQAUwBlAHIAdgBpAGMAZQBzAF8ATABhAHQAZQB4AEUAcQB1AGEAdABpAG8AbgBcAG4AIAAgAD0ATABBAE0AQgBEAEEAKABcACIAZQBtAGkAcwBzAGkAbwBuAHMAPQBhAGMAdABpAHYAaQB0AHkAXABcAF8AZABhAHQAYQBcAFwAdABpAG0AZQBzACAAZQBtAGkAcwBzAGkAbwBuAFwAXABfAGYAYQBjAHQAbwByAFwAIgApADsAXABuAFwAbgBWAEUARQBSAEcAXwAxADUAXwAxADAAXwAxAF8AMQBfAF8AMQBfAE8AdABoAGUAcgBQAHUAcgBjAGgAYQBzAGUAZABHAG8AbwBkAHMAQQBuAGQAUwBlAHIAdgBpAGMAZQBzAF8AQQByAGcAdQBtAGUAbgB0AHMAXABuACAAIAA9AEwAQQBNAEIARABBACgAXABuACAAIAAgACAATQBBAEsARQBBAFIAUgBBAFkAKAAyACwAIAA0ACwAXABuACAAIAAgACAAIAAgAEwAQQBNAEIARABBACgAcgAsAGMALABcAG4AIAAgACAAIAAgACAAIAAgAEkATgBEAEUAWAAoAHsAXABuACAAIAAgACAAIAAgACAAIAAgACAAXAAiAGEAYwB0AGkAdgBpAHQAeQBfAGQAYQB0AGEAXAAiACwAIABcACIAbQBlAGEAcwB1AHIAZQBkACAAYQBjAHQAaQB2AGkAdAB5ACAAZgBvAHIAIAB0AGgAZQAgAHAAdQByAGMAaABhAHMAZQBkACAAZwBvAG8AZAAgAG8AcgAgAHMAZQByAHYAaQBjAGUAXAAiACwAIABcACIAdgBhAHIAaQBlAHMAXAAiACwAIABcACIASQBuAHAAdQB0AFwAIgA7AFwAbgAgACAAIAAgACAAIAAgACAAIAAgAFwAIgBlAG0AaQBzAHMAaQBvAG4AXwBmAGEAYwB0AG8AcgBcACIALAAgAFwAIgBsAGkAZgBlAGMAeQBjAGwAZQAgAGUAbQBpAHMAcwBpAG8AbgBzACAAcABlAHIAIAB1AG4AaQB0ACAAbwBmACAAYQBjAHQAaQB2AGkAdAB5AFwAIgAsACAAXAAiAHYAYQByAGkAZQBz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QBfAFQAbwB0AGEAbABVAHAAcwB0AHIAZQBhAG0ARQBtAGkAcwBzAGkAbwBuAHMARgByAG8AbQBGAHUAZQBsAFwAbgBUAG8AdABhAGwAIAB1AHAAcwB0AHIAZQBhAG0AIABlAG0AaQBzAHMAaQBvAG4AcwAgAGYAcgBvAG0AIABzAGMAbwBwAGUAIAAxACAAZgB1AGUAbAAgAGMAbwBuAHMAdQBtAHAAdABpAG8AbgBcAG4ARQBcAG4AdAAgAEMATwAyAGUAXABuAEUAPQBcAFwAcwB1AG0AXABcAG4AbwBsAGkAbQBpAHQAcwBfAHEARQBfAHsAVwBUAFQALAB0AHIAYQBuAHMALABxAH0AKwBcAFwAcwB1AG0AXABcAG4AbwBsAGkAbQBpAHQAcwBfAHEARQBfAHsAVwBUAFQALABTAEMALABxAH0AXABuAEUAXwBXAFQAVAB0AHIAYQBuAHMAcQAgAD0AIAB1AHAAcwB0AHIAZQBhAG0AIABlAG0AaQBzAHMAaQBvAG4AcwAgAGYAcgBvAG0AIABzAGMAbwBwAGUAIAAxACAAdAByAGEAbgBzAHAAbwByAHQAIABmAHUAZQBsACAAdQBzAGUAXABuAEUAXwBXAFQAVABTAEMAcQAgAD0AIAB1AHAAcwB0AHIAZQBhAG0AIABlAG0AaQBzAHMAaQBvAG4AcwAgAGYAcgBvAG0AIABzAGMAbwBwAGUAIAAxACAAcwB0AGEAdABpAG8AbgBhAHIAeQAgAGMAbwBtAGIAdQBzAHQAaQBvAG4AIABmAHUAZQBsACAAdQBzAGUAXABuAC0ALQAtAC0ALQAtAC0ALQAtAC0ALQAtAC0ALQAtAC0ALQAtAC0ALQAtAC0ALQAtAC0ALQAtAC0ALQAtAC0ALQAtAC0ALQAtAC0ALQBcAG4AKgAvAFwAbgBcAG4AVgBFAEUAUgBHAF8AMQA1AF8AMQAxAF8AMQBfADEAXwBfADEAXwBUAG8AdABhAGwAVQBwAHMAdAByAGUAYQBtAEUAbQBpAHMAcwBpAG8AbgBzAEYAcgBvAG0ARgB1AGUAbABcAG4AIAAgAD0ATABBAE0AQgBEAEEAKABcAG4AIAAgACAAIABFAF8AVwBUAFQAdAByAGEAbgBzAHEALAAgAEUAXwBXAFQAVABTAEMAcQAsAFwAbgAgACAAIAAgAEUAXwBXAFQAVAB0AHIAYQBuAHMAcQAgACsAIABFAF8AVwBUAFQAUwBDAHEAXABuACAAIAApADsAXABuAFwAbgBWAEUARQBSAEcAXwAxADUAXwAxADEAXwAxAF8AMQBfAF8AMQBfAFQAbwB0AGEAbABVAHAAcwB0AHIAZQBhAG0ARQBtAGkAcwBzAGkAbwBuAHMARgByAG8AbQBGAHUAZQBsAF8AVABpAHQAbABlAFwAbgAgACAAPQBMAEEATQBCAEQAQQAoAFwAIgBUAG8AdABhAGwAIAB1AHAAcwB0AHIAZQBhAG0AIABlAG0AaQBzAHMAaQBvAG4AcwAgAGYAcgBvAG0AIABzAGMAbwBwAGUAIAAxACAAZgB1AGUAbAAgAGMAbwBuAHMAdQBtAHAAdABpAG8AbgBcACIAKQA7AFwAbgBcAG4AVgBFAEUAUgBHAF8AMQA1AF8AMQAxAF8AMQBfADEAXwBfADEAXwBUAG8AdABhAGwAVQBwAHMAdAByAGUAYQBtAEUAbQBpAHMAcwBpAG8AbgBzAEYAcgBvAG0ARgB1AGUAbABfAFYAYQByAGkAYQBiAGwAZQBcAG4AIAAgAD0ATABBAE0AQgBEAEEAKABcACIARQBcACIAKQA7AFwAbgBcAG4AVgBFAEUAUgBHAF8AMQA1AF8AMQAxAF8AMQBfADEAXwBfADEAXwBUAG8AdABhAGwAVQBwAHMAdAByAGUAYQBtAEUAbQBpAHMAcwBpAG8AbgBzAEYAcgBvAG0ARgB1AGUAbABfAFUAbgBpAHQAXABuACAAIAA9AEwAQQBNAEIARABBACgAXAAiAHQAIABDAE8AMgBlAFwAIgApADsAXABuAFwAbgBWAEUARQBSAEcAXwAxADUAXwAxADEAXwAxAF8AMQBfAF8AMQBfAFQAbwB0AGEAbABVAHAAcwB0AHIAZQBhAG0ARQBtAGkAcwBzAGkAbwBuAHMARgByAG8AbQBGAHUAZQBsAF8AUwBvAHUAcgBjAGUAXABuACAAIAA9AEwAQQBNAEIARABBACgAXAAiAFYARQBFAFIARwAgADIAMAAyADYAOgAgADEANQAuADEAMQAuADEALgAxACwAIABFAHEAdQBhAHQAaQBvAG4AIAAoADEAKQBcACIAKQA7AFwAbgBcAG4AVgBFAEUAUgBHAF8AMQA1AF8AMQAxAF8AMQBfADEAXwBfADEAXwBUAG8AdABhAGwAVQBwAHMAdAByAGUAYQBtAEUAbQBpAHMAcwBpAG8AbgBzAEYAcgBvAG0ARgB1AGUAbABfAE4ASQBSAFIAZQBmAGUAcgBlAG4AYwBlAFwAbgAgACAAPQBMAEEATQBCAEQAQQAoAFwAIgBcACIAKQA7AFwAbgBcAG4AVgBFAEUAUgBHAF8AMQA1AF8AMQAxAF8AMQBfADEAXwBfADEAXwBUAG8AdABhAGwAVQBwAHMAdAByAGUAYQBtAEUAbQBpAHMAcwBpAG8AbgBzAEYAcgBvAG0ARgB1AGUAbABfAEwAYQB0AGUAeABFAHEAdQBhAHQAaQBvAG4AXABuACAAIAA9AEwAQQBNAEIARABBACgAXAAiAEUAPQBcAFwAcwB1AG0AXABcAG4AbwBsAGkAbQBpAHQAcwBfAHEARQBfAHsAVwBUAFQALAB0AHIAYQBuAHMALABxAH0AKwBcAFwAcwB1AG0AXABcAG4AbwBsAGkAbQBpAHQAcwBfAHEARQBfAHsAVwBUAFQALABTAEMALABxAH0AXAAiACkAOwBcAG4AXABuAFYARQBFAFIARwBfADEANQBfADEAMQBfADEAXwAxAF8AXwAxAF8AVABvAHQAYQBsAFUAcABzAHQAcgBlAGEAbQBFAG0AaQBzAHMAaQBvAG4AcwBGAHIAbwBtAEYAdQBlAGwAXwBBAHIAZwB1AG0AZQBuAHQAcwBcAG4AIAAgAD0ATABBAE0AQgBEAEEAKABcAG4AIAAgACAAIABNAEEASwBFAEEAUgBSAEEAWQAoADIALAAgADQALABcAG4AIAAgACAAIAAgACAATABBAE0AQgBEAEEAKAByACwAYwAsAFwAbgAgACAAIAAgACAAIAAgACAASQBOAEQARQBYACgAewBcAG4AIAAgACAAIAAgACAAIAAgACAAIABcACIARQBfAFcAVABUAHQAcgBhAG4AcwBxAFwAIgAsACAAXAAiAHUAcABzAHQAcgBlAGEAbQAgAGUAbQBpAHMAcwBpAG8AbgBzACAAZgByAG8AbQAgAHMAYwBvAHAAZQAgADEAIAB0AHIAYQBuAHMAcABvAHIAdAAgAGYAdQBlAGwAIAB1AHMAZQBcACIALAAgAFwAIgB0ACAAQwBPADIAZQBcACIALAAgAFwAIgBDAGEAbABjAHUAbABhAHQAZQBkACAAYgB5ACAAMQA1AC4AMQAxAC4AMQAuADEAIAAoADIAKQBcACIAOwBcAG4AIAAgACAAIAAgACAAIAAgACAAIABcACIARQBfAFcAVABUAFMAQwBxAFwAIgAsACAAXAAiAHUAcABzAHQAcgBlAGEAbQAgAGUAbQBpAHMAcwBpAG8AbgBzACAAZgByAG8AbQAgAHMAYwBvAHAAZQAgADEAIABzAHQAYQB0AGkAbwBuAGEAcgB5ACAAYwBvAG0AYgB1AHMAdABpAG8AbgAgAGYAdQBlAGwAIAB1AHMAZQBcACIALAAgAFwAIgB0ACAAQwBPADIAZQBcACIALAAgAFwAIgBDAGEAbABjAHUAbABhAHQAZQBkACAAYgB5ACAAMQA1AC4AMQAxAC4AMQAuADEAIAAoADMAKQBcACIAXABuACAAIAAgACAAIAAgACAAIAB9ACwAIAByACwAIABjACkAXABuACAAIAAgACAAIAAgACkAXABuACAAIAAgACAAKQBcAG4AIAAgACkAOwBcAG4AXABuAC8AKgBcAG4ALQAtAC0ALQAtAC0ALQAtAC0ALQAtAC0ALQAtAC0ALQAtAC0ALQAtAC0ALQAtAC0ALQAtAC0ALQAtAC0ALQAtAC0ALQAtAC0ALQAtAFwAbgBWAEUARQBSAEcAXwAxADUAXwAxADEAXwAxAF8AMQBfAF8AMgBfAFUAcABzAHQAcgBlAGEAbQBUAHIAYQBuAHMAcABvAHIAdABGAHUAZQBsAEUAbQBpAHMAcwBpAG8AbgBzAFwAbgBVAHAAcwB0AHIAZQBhAG0AIABlAG0AaQBzAHMAaQBvAG4AcwAgAGYAcgBvAG0AIABzAGMAbwBwAGUAIAAxACAAZgB1AGUAbAAgAHUAcwBlACAAZgBvAHIAIAB0AHIAYQBuAHMAcABvAHIAdAAgAHAAdQByAHAAbwBzAGUAcwBcAG4ARQBfAFcAVABUAHQAcgBhAG4AcwBxAFwAbgB0ACAAQwBPADIAZQBcAG4ARQBfAHsAVwBUAFQALAB0AHIAYQBuAHMALABxAH0APQBRAF8AewBUAHIAYQBuAHMALABxAH0AXABcAHQAaQBtAGUAcwAgAEUAQwBfAHsAVAByAGEAbgBzACwAcQB9AFwAXAB0AGkAbQBlAHMAIABFAEYAXwB7AFQAcgBhAG4AcwAsADMALABxAH0AXABcAHQAaQBtAGUAcwAgADEAMABeAHsALQAzAH0AXABuAFEAXwBUAHIAYQBuAHMAcQAgAD0AIABhAG0AbwB1AG4AdAAgAG8AZgAgAGYAdQBlAGwAIABxACAAYwBvAG0AYgB1AHMAdABlAGQAIABmAG8AcgAgAHQAcgBhAG4AcwBwAG8AcgB0ACAAZQBuAGUAcgBnAHkAIABwAHUAcgBwAG8AcwBlAHMAXABuAEUAQwBfAFQAcgBhAG4AcwBxACAAPQAgAGUAbgBlAHIAZwB5ACAAYwBvAG4AdABlAG4AdAAgAGYAYQBjAHQAbwByACAAZgBvAHIAIAB0AHIAYQBuAHMAcABvAHIAdAAgAGUAbgBlAHIAZwB5ACAAcAB1AHIAcABvAHMAZQBzAFwAbgBFAEYAXwBUAHIAYQBuAHMAMwBxACAAPQAgAHMAYwBvAHAAZQAgADMAIABlAG0AaQBzAHMAaQBvAG4AIABmAGEAYwB0AG8AcgAgAGYAbwByACAAdAByAGEAbgBzAHAAbwByAHQAIABlAG4AZQByAGcAeQAgAHAAdQByAHAAbwBzAGUAcwBcAG4ALQAtAC0ALQAtAC0ALQAtAC0ALQAtAC0ALQAtAC0ALQAtAC0ALQAtAC0ALQAtAC0ALQAtAC0ALQAtAC0ALQAtAC0ALQAtAC0ALQAtAFwAbgAqAC8AXABuAFwAbgBWAEUARQBSAEcAXwAxADUAXwAxADEAXwAxAF8AMQBfAF8AMgBfAFUAcABzAHQAcgBlAGEAbQBUAHIAYQBuAHMAcABvAHIAdABGAHUAZQBsAEUAbQBpAHMAcwBpAG8AbgBzAFwAbgAgACAAPQBMAEEATQBCAEQAQQAoAFwAbgAgACAAIAAgAFEAXwBUAHIAYQBuAHMAcQAsACAARQBDAF8AVAByAGEAbgBzAHEALAAgAEUARgBfAFQAcgBhAG4AcwAzAHEALABcAG4AIAAgACAAIAAoAFEAXwBUAHIAYQBuAHMAcQAgACoAIABFAEMAXwBUAHIAYQBuAHMAcQAgACoAIABFAEYAXwBUAHIAYQBuAHMAMwBxACkAIAAqACAAMQAwACAAXgAgAC0AMwBcAG4AIAAgACkAOwBcAG4AXABuAFYARQBFAFIARwBfADEANQBfADEAMQBfADEAXwAxAF8AXwAyAF8AVQBwAHMAdAByAGUAYQBtAFQAcgBhAG4AcwBwAG8AcgB0AEYAdQBlAGwARQBtAGkAcwBzAGkAbwBuAHMAXwBUAGkAdABsAGUAXABuACAAIAA9AEwAQQBNAEIARABBACgAXAAiAFUAcABzAHQAcgBlAGEAbQAgAGUAbQBpAHMAcwBpAG8AbgBzACAAZgByAG8AbQAgAHMAYwBvAHAAZQAgADEAIABmAHUAZQBsACAAdQBzAGUAIABmAG8AcgAgAHQAcgBhAG4AcwBwAG8AcgB0ACAAcAB1AHIAcABvAHMAZQBzAFwAIgApADsAXABuAFwAbgBWAEUARQBSAEcAXwAxADUAXwAxADEAXwAxAF8AMQBfAF8AMgBfAFUAcABzAHQAcgBlAGEAbQBUAHIAYQBuAHMAcABvAHIAdABGAHUAZQBsAEUAbQBpAHMAcwBpAG8AbgBzAF8AVgBhAHIAaQBhAGIAbABlAFwAbgAgACAAPQBMAEEATQBCAEQAQQAoAFwAIgBFAF8AVwBUAFQAdAByAGEAbgBzAHEAXAAiACkAOwBcAG4AXABuAFYARQBFAFIARwBfADEANQBfADEAMQBfADEAXwAxAF8AXwAyAF8AVQBwAHMAdAByAGUAYQBtAFQAcgBhAG4AcwBwAG8AcgB0AEYAdQBlAGwARQBtAGkAcwBzAGkAbwBuAHMAXwBVAG4AaQB0AFwAbgAgACAAPQBMAEEATQBCAEQAQQAoAFwAIgB0ACAAQwBPADIAZQBcACIAKQA7AFwAbgBcAG4AVgBFAEUAUgBHAF8AMQA1AF8AMQAxAF8AMQBfADEAXwBfADIAXwBVAHAAcwB0AHIAZQBhAG0AVAByAGEAbgBzAHAAbwByAHQARgB1AGUAbABFAG0AaQBzAHMAaQBvAG4AcwBfAFMAbwB1AHIAYwBlAFwAbgAgACAAPQBMAEEATQBCAEQAQQAoAFwAIgBWAEUARQBSAEcAIAAyADAAMgA2ADoAIAAxADUALgAxADEALgAxAC4AMQAsACAARQBxAHUAYQB0AGkAbwBuACAAKAAyACkAXAAiACkAOwBcAG4AXABuAFYARQBFAFIARwBfADEANQBfADEAMQBfADEAXwAxAF8AXwAyAF8AVQBwAHMAdAByAGUAYQBtAFQAcgBhAG4AcwBwAG8AcgB0AEYAdQBlAGwARQBtAGkAcwBzAGkAbwBuAHMAXwBOAEkAUgBSAGUAZgBlAHIAZQBuAGMAZQBcAG4AIAAgAD0ATABBAE0AQgBEAEEAKABcACIAXAAiACkAOwBcAG4AXABuAFYARQBFAFIARwBfADEANQBfADEAMQBfADEAXwAxAF8AXwAyAF8AVQBwAHMAdAByAGUAYQBtAFQAcgBhAG4AcwBwAG8AcgB0AEYAdQBlAGwARQBtAGkAcwBzAGkAbwBuAHMAXwBMAGEAdABlAHgARQBxAHUAYQB0AGkAbwBuAFwAbgAgACAAPQBMAEEATQBCAEQAQQAoAFwAIgBFAF8AewBXAFQAVAAsAHQAcgBhAG4AcwAsAHEAfQA9AFEAXwB7AFQAcgBhAG4AcwAsAHEAfQBcAFwAdABpAG0AZQBzACAARQBDAF8AewBUAHIAYQBuAHMALABxAH0AXABcAHQAaQBtAGUAcwAgAEUARgBfAHsAVAByAGEAbgBzACwAMwAsAHEAfQBcAFwAdABpAG0AZQBzACAAMQAwAF4AewAtADMAfQBcACIAKQA7AFwAbgBcAG4AVgBFAEUAUgBHAF8AMQA1AF8AMQAxAF8AMQBfADEAXwBfADIAXwBVAHAAcwB0AHIAZQBhAG0AVAByAGEAbgBzAHAAbwByAHQARgB1AGUAbABFAG0AaQBzAHMAaQBvAG4AcwBfAEEAcgBnAHUAbQBlAG4AdABzAFwAbgAgACAAPQBMAEEATQBCAEQAQQAoAFwAbgAgACAAIAAgAE0AQQBLAEUAQQBSAFIAQQBZACgAMwAsACAANAAsAFwAbgAgACAAIAAgACAAIABMAEEATQBCAEQAQQAoAHIALABjACwAXABuACAAIAAgACAAIAAgACAAIABJAE4ARABFAFgAKAB7AFwAbgAgACAAIAAgACAAIAAgACAAIAAgAFwAIgBRAF8AVAByAGEAbgBzAHEAXAAiACwAIABcACIAYQBtAG8AdQBuAHQAIABvAGYAIABmAHUAZQBsACAAcQAgAGMAbwBtAGIAdQBzAHQAZQBkACAAZgBvAHIAIAB0AHIAYQBuAHMAcABvAHIAdAAgAGUAbgBlAHIAZwB5ACAAcAB1AHIAcABvAHMAZQBzAFwAIgAsACAAXAAiAGsATABcACIALAAgAFwAIgBJAG4AcAB1AHQAXAAiADsAXABuACAAIAAgACAAIAAgACAAIAAgACAAXAAiAEUAQwBfAFQAcgBhAG4AcwBxAFwAIgAsACAAXAAiAGUAbgBlAHIAZwB5ACAAYwBvAG4AdABlAG4AdAAgAGYAYQBjAHQAbwByACAAZgBvAHIAIAB0AHIAYQBuAHMAcABvAHIAdAAgAGUAbgBlAHIAZwB5ACAAcAB1AHIAcABvAHMAZQBzAFwAIgAsACAAXAAiAEcASgAvAGsATAAgAG8AcgAgAEcASgAvAG0AMwBcACIALAAgAFwAIgBDAG8AbgBzAHQAYQBuAHQAXAAiADsAXABuACAAIAAgACAAIAAgACAAIAAgACAAXAAiAEUARgBfAFQAcgBhAG4AcwAzAHEAXAAiACwAIABcACIAcwBjAG8AcABlACAAMwAgAGUAbQBpAHMAcwBpAG8AbgAgAGYAYQBjAHQAbwByACAAZgBvAHIAIAB0AHIAYQBuAHMAcABvAHIAdAAgAGUAbgBlAHIAZwB5ACAAcAB1AHIAcABvAHMAZQBzAFwAIgAsACAAXAAiAGsAZwAgAEMATwAyAGUALwBHAEo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zAF8AVQBwAHMAdAByAGUAYQBtAFMAdABhAHQAaQBvAG4AYQByAHkARgB1AGUAbABFAG0AaQBzAHMAaQBvAG4AcwBcAG4AVQBwAHMAdAByAGUAYQBtACAAZQBtAGkAcwBzAGkAbwBuAHMAIABmAHIAbwBtACAAcwBjAG8AcABlACAAMQAgAHMAdABhAHQAaQBvAG4AYQByAHkAIABjAG8AbQBiAHUAcwB0AGkAbwBuACAAZgB1AGUAbAAgAHUAcwBlAFwAbgBFAF8AVwBUAFQAUwBDAHEAXABuAHQAIABDAE8AMgBlAFwAbgBFAF8AewBXAFQAVAAsAFMAQwAsAHEAfQA9AFEAXwB7AFMAQwAsAHEAfQBcAFwAdABpAG0AZQBzACAARQBDAF8AewBTAEMALABxAH0AXABcAHQAaQBtAGUAcwAgAEUARgBfAHsAUwBDACwAMwAsAHEAfQBcAFwAdABpAG0AZQBzACAAMQAwAF4AewAtADMAfQBcAG4AUQBfAFMAQwBxACAAPQAgAGEAbQBvAHUAbgB0ACAAbwBmACAAZgB1AGUAbAAgAHEAIAB1AHMAZQBkACAAZgBvAHIAIABzAHQAYQB0AGkAbwBuAGEAcgB5ACAAYwBvAG0AYgB1AHMAdABpAG8AbgAgAG8AcABlAHIAYQB0AGkAbwBuAHMAXABuAEUAQwBfAFMAQwBxACAAPQAgAGUAbgBlAHIAZwB5ACAAYwBvAG4AdABlAG4AdAAgAGYAYQBjAHQAbwByACAAZgBvAHIAIABzAHQAYQB0AGkAbwBuAGEAcgB5ACAAYwBvAG0AYgB1AHMAdABpAG8AbgAgAG8AcABlAHIAYQB0AGkAbwBuAHMAXABuAEUARgBfAFMAQwAzAHEAIAA9ACAAcwBjAG8AcABlACAAMwAgAGUAbQBpAHMAcwBpAG8AbgAgAGYAYQBjAHQAbwByACAAZgBvAHIAIABzAHQAYQB0AGkAbwBuAGEAcgB5ACAAYwBvAG0AYgB1AHMAdABpAG8AbgAgAG8AcABlAHIAYQB0AGkAbwBuAHMAXABuAC0ALQAtAC0ALQAtAC0ALQAtAC0ALQAtAC0ALQAtAC0ALQAtAC0ALQAtAC0ALQAtAC0ALQAtAC0ALQAtAC0ALQAtAC0ALQAtAC0ALQBcAG4AKgAvAFwAbgBcAG4AVgBFAEUAUgBHAF8AMQA1AF8AMQAxAF8AMQBfADEAXwBfADMAXwBVAHAAcwB0AHIAZQBhAG0AUwB0AGEAdABpAG8AbgBhAHIAeQBGAHUAZQBsAEUAbQBpAHMAcwBpAG8AbgBzAFwAbgAgACAAPQBMAEEATQBCAEQAQQAoAFwAbgAgACAAIAAgAFEAXwBTAEMAcQAsACAARQBDAF8AUwBDAHEALAAgAEUARgBfAFMAQwAzAHEALABcAG4AIAAgACAAIAAoAFEAXwBTAEMAcQAgACoAIABFAEMAXwBTAEMAcQAgACoAIABFAEYAXwBTAEMAMwBxACkAIAAqACAAMQAwACAAXgAgAC0AMwBcAG4AIAAgACkAOwBcAG4AXABuAFYARQBFAFIARwBfADEANQBfADEAMQBfADEAXwAxAF8AXwAzAF8AVQBwAHMAdAByAGUAYQBtAFMAdABhAHQAaQBvAG4AYQByAHkARgB1AGUAbABFAG0AaQBzAHMAaQBvAG4AcwBfAFQAaQB0AGwAZQBcAG4AIAAgAD0ATABBAE0AQgBEAEEAKABcACIAVQBwAHMAdAByAGUAYQBtACAAZQBtAGkAcwBzAGkAbwBuAHMAIABmAHIAbwBtACAAcwBjAG8AcABlACAAMQAgAHMAdABhAHQAaQBvAG4AYQByAHkAIABjAG8AbQBiAHUAcwB0AGkAbwBuACAAZgB1AGUAbAAgAHUAcwBlAFwAIgApADsAXABuAFwAbgBWAEUARQBSAEcAXwAxADUAXwAxADEAXwAxAF8AMQBfAF8AMwBfAFUAcABzAHQAcgBlAGEAbQBTAHQAYQB0AGkAbwBuAGEAcgB5AEYAdQBlAGwARQBtAGkAcwBzAGkAbwBuAHMAXwBWAGEAcgBpAGEAYgBsAGUAXABuACAAIAA9AEwAQQBNAEIARABBACgAXAAiAEUAXwBXAFQAVABTAEMAcQBcACIAKQA7AFwAbgBcAG4AVgBFAEUAUgBHAF8AMQA1AF8AMQAxAF8AMQBfADEAXwBfADMAXwBVAHAAcwB0AHIAZQBhAG0AUwB0AGEAdABpAG8AbgBhAHIAeQBGAHUAZQBsAEUAbQBpAHMAcwBpAG8AbgBzAF8AVQBuAGkAdABcAG4AIAAgAD0ATABBAE0AQgBEAEEAKABcACIAdAAgAEMATwAyAGUAXAAiACkAOwBcAG4AXABuAFYARQBFAFIARwBfADEANQBfADEAMQBfADEAXwAxAF8AXwAzAF8AVQBwAHMAdAByAGUAYQBtAFMAdABhAHQAaQBvAG4AYQByAHkARgB1AGUAbABFAG0AaQBzAHMAaQBvAG4AcwBfAFMAbwB1AHIAYwBlAFwAbgAgACAAPQBMAEEATQBCAEQAQQAoAFwAIgBWAEUARQBSAEcAIAAyADAAMgA2ADoAIAAxADUALgAxADEALgAxAC4AMQAsACAARQBxAHUAYQB0AGkAbwBuACAAKAAzACkAXAAiACkAOwBcAG4AXABuAFYARQBFAFIARwBfADEANQBfADEAMQBfADEAXwAxAF8AXwAzAF8AVQBwAHMAdAByAGUAYQBtAFMAdABhAHQAaQBvAG4AYQByAHkARgB1AGUAbABFAG0AaQBzAHMAaQBvAG4AcwBfAE4ASQBSAFIAZQBmAGUAcgBlAG4AYwBlAFwAbgAgACAAPQBMAEEATQBCAEQAQQAoAFwAIgBcACIAKQA7AFwAbgBcAG4AVgBFAEUAUgBHAF8AMQA1AF8AMQAxAF8AMQBfADEAXwBfADMAXwBVAHAAcwB0AHIAZQBhAG0AUwB0AGEAdABpAG8AbgBhAHIAeQBGAHUAZQBsAEUAbQBpAHMAcwBpAG8AbgBzAF8ATABhAHQAZQB4AEUAcQB1AGEAdABpAG8AbgBcAG4AIAAgAD0ATABBAE0AQgBEAEEAKABcACIARQBfAHsAVwBUAFQALABTAEMALABxAH0APQBRAF8AewBTAEMALABxAH0AXABcAHQAaQBtAGUAcwAgAEUAQwBfAHsAUwBDACwAcQB9AFwAXAB0AGkAbQBlAHMAIABFAEYAXwB7AFMAQwAsADMALABxAH0AXABcAHQAaQBtAGUAcwAgADEAMABeAHsALQAzAH0AXAAiACkAOwBcAG4AXABuAFYARQBFAFIARwBfADEANQBfADEAMQBfADEAXwAxAF8AXwAzAF8AVQBwAHMAdAByAGUAYQBtAFMAdABhAHQAaQBvAG4AYQByAHkARgB1AGUAbABFAG0AaQBzAHMAaQBvAG4AcwBfAEEAcgBnAHUAbQBlAG4AdABzAFwAbgAgACAAPQBMAEEATQBCAEQAQQAoAFwAbgAgACAAIAAgAE0AQQBLAEUAQQBSAFIAQQBZACgANQAsACAANAAsAFwAbgAgACAAIAAgACAAIABMAEEATQBCAEQAQQAoAHIALABjACwAXABuACAAIAAgACAAIAAgACAAIABJAE4ARABFAFgAKAB7AFwAbgAgACAAIAAgACAAIAAgACAAIAAgAFwAIgBRAF8AUwBDAHEAXAAiACwAIABcACIAYQBtAG8AdQBuAHQAIABvAGYAIABmAHUAZQBsACAAcQAgAHUAcwBlAGQAIABmAG8AcgAgAHMAdABhAHQAaQBvAG4AYQByAHkAIABjAG8AbQBiAHUAcwB0AGkAbwBuACAAbwBwAGUAcgBhAHQAaQBvAG4AcwBcACIALAAgAFwAIgBrAEwAXAAiACwAIABcACIASQBuAHAAdQB0AFwAIgA7AFwAbgAgACAAIAAgACAAIAAgACAAIAAgAFwAIgBFAEMAXwBTAEMAcQBcACIALAAgAFwAIgBlAG4AZQByAGcAeQAgAGMAbwBuAHQAZQBuAHQAIABmAGEAYwB0AG8AcgAgAGYAbwByACAAcwB0AGEAdABpAG8AbgBhAHIAeQAgAGMAbwBtAGIAdQBzAHQAaQBvAG4AIABvAHAAZQByAGEAdABpAG8AbgBzAFwAIgAsACAAXAAiAEcASgAvAGsATABcACIALAAgAFwAIgBDAG8AbgBzAHQAYQBuAHQAXAAiADsAXABuACAAIAAgACAAIAAgACAAIAAgACAAXAAiAEUARgBfAFMAQwAzAHEAXAAiACwAIABcACIAcwBjAG8AcABlACAAMwAgAGUAbQBpAHMAcwBpAG8AbgAgAGYAYQBjAHQAbwByACAAZgBvAHIAIABzAHQAYQB0AGkAbwBuAGEAcgB5ACAAYwBvAG0AYgB1AHMAdABpAG8AbgAgAG8AcABlAHIAYQB0AGkAbwBuAHMAXAAiACwAIABcACIAawBnACAAQwBPADIAZQAvAEcASgBcACIALAAgAFwAIgBDAG8AbgBzAHQAYQBuAHQAXAAiADsAXABuACAAIAAgACAAIAAgACAAIAAgACAAXAAiAGkAXAAiACwAIABcACIAcwB0AGEAdABlAFwAIgAsACAAXAAiAFwAIgAsACAAXAAiAEkAbgBwAHUAdABcACIAOwBcAG4AIAAgACAAIAAgACAAIAAgACAAIABcACIAbQBcACIALAAgAFwAIgBtAGUAdAByAG8AcABvAGwAaQB0AGEAbgAvAG4AbwBuAC0AbQBlAHQAcgBvAHAAbwBsAGkAdABhAG4AIABsAG8AYwBhAHQAaQBvAG4AXAAiACwAIABcACIAXAAiACwAIABcACIASQBuAHAAdQB0AFwAIgBcAG4AIAAgACAAIAAgACAAIAAgAH0ALAAgAHIALAAgAGMAKQBcAG4AIAAgACAAIAAgACAAKQBcAG4AIAAgACAAIAApAFwAbgAgACAAKQA7AFwAbgBcAG4AVgBFAEUAUgBHAF8AMQA1AF8AMQAxAF8AMQBfADEAXwBfADMAXwBVAHAAcwB0AHIAZQBhAG0AUwB0AGEAdABpAG8AbgBhAHIAeQBGAHUAZQBsAEUAbQBpAHMAcwBpAG8AbgBzAF8AVgBhAHIAaQBhAHQAaQBvAG4AXABuACAAIAA9AEwAQQBNAEIARABBACgAXAAiAFYAQQBSAEkAQQBUAEkATwBOACAATwBOACAAUwBPAFUAUgBDAEUAOgAgAEEAZABkAGUAZAAgAFwAdQAwADAAMgA3AHMAdABhAHQAZQBcAHUAMAAwADIANwAgAGEAbgBkACAAXAB1ADAAMAAyADcAbQBlAHQAcgBvAC8AbgBvAG4ALQBtAGUAdAByAG8AXAB1ADAAMAAyADcAIABhAHIAZwB1AG0AZQBuAHQAcwAgAGEAcwAgAGcAYQBzAGUAbwB1AHMAIABzAGMAbwBwAGUAIAAzACAARQBGAHMAIABhAHIAZQAgAHMAdABhAHQAZQAgAGEAbgBkACAAbQBlAHQAcgBvAC8AbgBvAG4ALQBtAGUAdAByAG8AIABsAG8AYwBhAHQAaQBvAG4ALQBiAGEAcwBlAGQALgBcACIAKQA7AFwAbgBcAG4ALwAqAFwAbgAtAC0ALQAtAC0ALQAtAC0ALQAtAC0ALQAtAC0ALQAtAC0ALQAtAC0ALQAtAC0ALQAtAC0ALQAtAC0ALQAtAC0ALQAtAC0ALQAtAC0AXABuAFYARQBFAFIARwBfADEANQBfADEAMgBfADEAXwAxAF8AXwAxAF8AVQBwAHMAdAByAGUAYQBtAFAAdQByAGMAaABhAHMAZQBkAEUAbABlAGMAdAByAGkAYwBpAHQAeQBMAG8AYwBhAHQAaQBvAG4AQgBhAHMAZQBkAFwAbgBTAGMAbwBwAGUAIAAzACAAZQBtAGkAcwBzAGkAbwBuAHMAIABmAHIAbwBtACAAcAB1AHIAYwBoAGEAcwBlAGQAIABlAGwAZQBjAHQAcgBpAGMAaQB0AHkAIABsAG8AYwBhAHQAaQBvAG4AIABiAGEAcwBlAGQAXABuAEUAXwAzAGUAbABlAGMAXABuAHQAIABDAE8AMgBlAFwAbgBFAF8AewAzACwAZQBsAGUAYwB9AD0AUQBfAHsAZQBsAGUAYwB9AFwAXAB0AGkAbQBlAHMAIABFAEYAXwB7ADMALABlAGwAZQBjAH0AXABcAHQAaQBtAGUAcwAgADEAMABeAHsALQAzAH0AXABuAFEAXwBlAGwAZQBjACAAPQAgAGEAbQBvAHUAbgB0ACAAbwBmACAAZQBsAGUAYwB0AHIAaQBjAGkAdAB5ACAAcAB1AHIAYwBoAGEAcwBlAGQAIABmAHIAbwBtACAAdABoAGUAIABnAHIAaQBkAFwAbgBFAEYAXwAzAGUAbABlAGMAIAA9ACAAcwBjAG8AcABlACAAMwAgAGUAbQBpAHMAcwBpAG8AbgAgAGYAYQBjAHQAbwByACAAZgBvAHIAIABwAHUAcgBjAGgAYQBzAGUAZAAgAGUAbABlAGMAdAByAGkAYwBpAHQAeQBcAG4ALQAtAC0ALQAtAC0ALQAtAC0ALQAtAC0ALQAtAC0ALQAtAC0ALQAtAC0ALQAtAC0ALQAtAC0ALQAtAC0ALQAtAC0ALQAtAC0ALQAtAFwAbgAqAC8AXABuAFwAbgBWAEUARQBSAEcAXwAxADUAXwAxADIAXwAxAF8AMQBfAF8AMQBfAFUAcABzAHQAcgBlAGEAbQBQAHUAcgBjAGgAYQBzAGUAZABFAGwAZQBjAHQAcgBpAGMAaQB0AHkATABvAGMAYQB0AGkAbwBuAEIAYQBzAGUAZABcAG4AIAAgAD0ATABBAE0AQgBEAEEAKABcAG4AIAAgACAAIABRAF8AZQBsAGUAYwAsACAARQBGAF8AMwBlAGwAZQBjACwAXABuACAAIAAgACAAKABRAF8AZQBsAGUAYwAgACoAIABFAEYAXwAzAGUAbABlAGMAKQAgACoAIAAxADAAIABeACAALQAzAFwAbgAgACAAKQA7AFwAbgBcAG4AVgBFAEUAUgBHAF8AMQA1AF8AMQAyAF8AMQBfADEAXwBfADEAXwBVAHAAcwB0AHIAZQBhAG0AUAB1AHIAYwBoAGEAcwBlAGQARQBsAGUAYwB0AHIAaQBjAGkAdAB5AEwAbwBjAGEAdABpAG8AbgBCAGEAcwBlAGQAXwBUAGkAdABsAGUAXABuACAAIAA9AEwAQQBNAEIARABBACgAXAAiAFMAYwBvAHAAZQAgADMAIABlAG0AaQBzAHMAaQBvAG4AcwAgAGYAcgBvAG0AIABwAHUAcgBjAGgAYQBzAGUAZAAgAGUAbABlAGMAdAByAGkAYwBpAHQAeQAgAGwAbwBjAGEAdABpAG8AbgAgAGIAYQBzAGUAZABcACIAKQA7AFwAbgBcAG4AVgBFAEUAUgBHAF8AMQA1AF8AMQAyAF8AMQBfADEAXwBfADEAXwBVAHAAcwB0AHIAZQBhAG0AUAB1AHIAYwBoAGEAcwBlAGQARQBsAGUAYwB0AHIAaQBjAGkAdAB5AEwAbwBjAGEAdABpAG8AbgBCAGEAcwBlAGQAXwBWAGEAcgBpAGEAYgBsAGUAXABuACAAIAA9AEwAQQBNAEIARABBACgAXAAiAEUAXwAzAGUAbABlAGMAXAAiACkAOwBcAG4AXABuAFYARQBFAFIARwBfADEANQBfADEAMgBfADEAXwAxAF8AXwAxAF8AVQBwAHMAdAByAGUAYQBtAFAAdQByAGMAaABhAHMAZQBkAEUAbABlAGMAdAByAGkAYwBpAHQAeQBMAG8AYwBhAHQAaQBvAG4AQgBhAHMAZQBkAF8AVQBuAGkAdABcAG4AIAAgAD0ATABBAE0AQgBEAEEAKABcACIAdAAgAEMATwAyAGUAXAAiACkAOwBcAG4AXABuAFYARQBFAFIARwBfADEANQBfADEAMgBfADEAXwAxAF8AXwAxAF8AVQBwAHMAdAByAGUAYQBtAFAAdQByAGMAaABhAHMAZQBkAEUAbABlAGMAdAByAGkAYwBpAHQAeQBMAG8AYwBhAHQAaQBvAG4AQgBhAHMAZQBkAF8AUwBvAHUAcgBjAGUAXABuACAAIAA9AEwAQQBNAEIARABBACgAXAAiAFYARQBFAFIARwAgADIAMAAyADYAOgAgADEANQAuADEAMgAuADEALgAxACwAIABFAHEAdQBhAHQAaQBvAG4AIAAoADEAKQBcACIAKQA7AFwAbgBcAG4AVgBFAEUAUgBHAF8AMQA1AF8AMQAyAF8AMQBfADEAXwBfADEAXwBVAHAAcwB0AHIAZQBhAG0AUAB1AHIAYwBoAGEAcwBlAGQARQBsAGUAYwB0AHIAaQBjAGkAdAB5AEwAbwBjAGEAdABpAG8AbgBCAGEAcwBlAGQAXwBOAEkAUgBSAGUAZgBlAHIAZQBuAGMAZQBcAG4AIAAgAD0ATABBAE0AQgBEAEEAKABcACIAXAAiACkAOwBcAG4AXABuAFYARQBFAFIARwBfADEANQBfADEAMgBfADEAXwAxAF8AXwAxAF8AVQBwAHMAdAByAGUAYQBtAFAAdQByAGMAaABhAHMAZQBkAEUAbABlAGMAdAByAGkAYwBpAHQAeQBMAG8AYwBhAHQAaQBvAG4AQgBhAHMAZQBkAF8ATABhAHQAZQB4AEUAcQB1AGEAdABpAG8AbgBcAG4AIAAgAD0ATABBAE0AQgBEAEEAKABcACIARQBfAHsAMwAsAGUAbABlAGMAfQA9AFEAXwB7AGUAbABlAGMAfQBcAFwAdABpAG0AZQBzACAARQBGAF8AewAzACwAZQBsAGUAYwB9AFwAXAB0AGkAbQBlAHMAIAAxADAAXgB7AC0AMwB9AFwAIgApADsAXABuAFwAbgBWAEUARQBSAEcAXwAxADUAXwAxADIAXwAxAF8AMQBfAF8AMQBfAFUAcABzAHQAcgBlAGEAbQBQAHUAcgBjAGgAYQBzAGUAZABFAGwAZQBjAHQAcgBpAGMAaQB0AHkATABvAGMAYQB0AGkAbwBuAEIAYQBzAGUAZABfAEEAcgBnAHUAbQBlAG4AdABzAFwAbgAgACAAPQBMAEEATQBCAEQAQQAoAFwAbgAgACAAIAAgAE0AQQBLAEUAQQBSAFIAQQBZACgAM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EUARgBfADMAZQBsAGUAYwBcACIALAAgAFwAIgBzAGMAbwBwAGUAIAAzACAAZQBtAGkAcwBzAGkAbwBuACAAZgBhAGMAdABvAHIAIABmAG8AcgAgAHAAdQByAGMAaABhAHMAZQBkACAAZQBsAGUAYwB0AHIAaQBjAGkAdAB5AFwAIgAsACAAXAAiAGsAZwAgAEMATwAyAGUALwBrAFcAaABcACIALAAgAFwAIgBDAG8AbgBzAHQAYQBuAHQAXAAiADsAXABuACAAIAAgACAAIAAgACAAIAAgACAAXAAiAGcAXAAiACwAIABcACIAZwByAGkAZAAgAGUAbABlAGMAdAByAGkAYwBpAHQAeQAgAHcAYQBzACAAcAB1AHIAYwBoAGEAcwBlAGQAIABmAHIAbwBt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xADIAXwAxAF8AMgBfAF8AMQBfAFUAcABzAHQAcgBlAGEAbQBQAHUAcgBjAGgAYQBzAGUAZABFAGwAZQBjAHQAcgBpAGMAaQB0AHkATQBhAHIAawBlAHQAQgBhAHMAZQBkAFwAbgBTAGMAbwBwAGUAIAAzACAAZQBtAGkAcwBzAGkAbwBuAHMAIABmAHIAbwBtACAAcAB1AHIAYwBoAGEAcwBlAGQAIABlAGwAZQBjAHQAcgBpAGMAaQB0AHkAIABtAGEAcgBrAGUAdAAgAGIAYQBzAGUAZABcAG4ARQBfADMAZQBsAGUAYwBcAG4AdAAgAEMATwAyAGUAXABuAEUAXwB7ADMALABlAGwAZQBjAH0APQBcAFwAbABlAGYAdABbAFEAXwB7AGUAbABlAGMAfQBcAFwAdABpAG0AZQBzAFwAXABsAGUAZgB0ACgAMQAtACgAUgBQAFAAKwBKAFIAUABQACkAXABcAHIAaQBnAGgAdAApAC0AXABcAGwAZQBmAHQAKABSAEUAQwBfAHsAcwB1AHIAcgBlAG4AZABlAHIAZQBkAH0ALQBSAEUAQwBfAHsAbwBuAHMAaQB0AGUAfQBcAFwAcgBpAGcAaAB0ACkAXABcAHQAaQBtAGUAcwAgADEAMABeAHsALQAzAH0AXABcAHIAaQBnAGgAdABdAFwAXAB0AGkAbQBlAHMAIABFAEYAXwB7AFIATQBGADMALABlAGwAZQBjAH0AXABcAHQAaQBtAGUAcwAgADEAMABeAHsALQAzAH0AXABuAFEAXwBlAGwAZQBjACAAPQAgAGEAbQBvAHUAbgB0ACAAbwBmACAAZQBsAGUAYwB0AHIAaQBjAGkAdAB5ACAAcAB1AHIAYwBoAGEAcwBlAGQAIABmAHIAbwBtACAAdABoAGUAIABnAHIAaQBkAFwAbgBSAFAAUAAgAD0AIAByAGUAbgBlAHcAYQBiAGwAZQAgAHAAbwB3AGUAcgAgAHAAZQByAGMAZQBuAHQAYQBnAGUAIAB1AG4AZABlAHIAIABMAFIARQBUACAAZgBvAHIAIAB0AGgAZQAgAGEAcABwAGwAaQBjAGEAYgBsAGUAIABwAGUAcgBpAG8AZABcAG4ASgBSAFAAUAAgAD0AIABqAHUAcgBpAHMAZABpAGMAdABpAG8AbgBhAGwAIAByAGUAbgBlAHcAYQBiAGwAZQAgAHAAbwB3AGUAcgAgAHAAZQByAGMAZQBuAHQAYQBnAGUAIABmAG8AcgAgAHQAaABlACAAYQBwAHAAbABpAGMAYQBiAGwAZQAgAHAAZQByAGkAbwBkAFwAbgBSAEUAQwBfAHMAdQByAHIAZQBuAGQAZQByAGUAZAAgAD0AIABlAGwAaQBnAGkAYgBsAGUAIAByAGUAbgBlAHcAYQBiAGwAZQAgAGUAbgBlAHIAZwB5ACAAYwBlAHIAdABpAGYAaQBjAGEAdABlAHMAIAB2AG8AbAB1AG4AdABhAHIAaQBsAHkAIABzAHUAcgByAGUAbgBkAGUAcgBlAGQAXABuAFIARQBDAF8AbwBuAHMAaQB0AGUAIAA9ACAAZQBsAGkAZwBpAGIAbABlACAAcgBlAG4AZQB3AGEAYgBsAGUAIABlAG4AZQByAGcAeQAgAGMAZQByAHQAaQBmAGkAYwBhAHQAZQBzACAAaQBzAHMAdQBlAGQAIABmAG8AcgAgAG8AbgBzAGkAdABlACAAZwBlAG4AZQByAGEAdABlAGQAIABlAGwAZQBjAHQAcgBpAGMAaQB0AHkAXABuAEUARgBfAFIATQBGADMAZQBsAGUAYwAgAD0AIABzAGMAbwBwAGUAIAAzACAAcgBlAHMAaQBkAHUAYQBsACAAbQBpAHgAIABlAG0AaQBzAHMAaQBvAG4AIABmAGEAYwB0AG8AcgAgAGYAbwByACAAZQBsAGUAYwB0AHIAaQBjAGkAdAB5AFwAbgAtAC0ALQAtAC0ALQAtAC0ALQAtAC0ALQAtAC0ALQAtAC0ALQAtAC0ALQAtAC0ALQAtAC0ALQAtAC0ALQAtAC0ALQAtAC0ALQAtAC0AXABuACoALwBcAG4AXABuAFYARQBFAFIARwBfADEANQBfADEAMgBfADEAXwAyAF8AXwAxAF8AVQBwAHMAdAByAGUAYQBtAFAAdQByAGMAaABhAHMAZQBkAEUAbABlAGMAdAByAGkAYwBpAHQAeQBNAGEAcgBrAGUAdABCAGEAcwBlAGQAXABuACAAIAA9AEwAQQBNAEIARABBACgAXABuACAAIAAgACAAUQBfAGUAbABlAGMALAAgAFIAUABQACwAIABKAFIAUABQACwAIABSAEUAQwBfAHMAdQByAHIAZQBuAGQAZQByAGUAZAAsACAAUgBFAEMAXwBvAG4AcwBpAHQAZQAsACAARQBGAF8AUgBNAEYAMwBlAGwAZQBjACwAXABuACAAIAAgACAAKAAoAFEAXwBlAGwAZQBjACAAKgAgACgAMQAgAC0AIAAoAFIAUABQACAAKwAgAEoAUgBQAFAAKQApACkAIAAtACAAKAAoAFIARQBDAF8AcwB1AHIAcgBlAG4AZABlAHIAZQBkACAALQAgAFIARQBDAF8AbwBuAHMAaQB0AGUAKQAgACoAIAAxADAAIABeACAALQAzACkAKQAgACoAIABFAEYAXwBSAE0ARgAzAGUAbABlAGMAIAAqACAAMQAwACAAXgAgAC0AMwBcAG4AIAAgACkAOwBcAG4AXABuAFYARQBFAFIARwBfADEANQBfADEAMgBfADEAXwAyAF8AXwAxAF8AVQBwAHMAdAByAGUAYQBtAFAAdQByAGMAaABhAHMAZQBkAEUAbABlAGMAdAByAGkAYwBpAHQAeQBNAGEAcgBrAGUAdABCAGEAcwBlAGQAVgBhAHIAaQBhAHQAaQBvAG4AXABuACAAIAA9AEwAQQBNAEIARABBACgAXABuACAAIAAgACAAUQBfAGUAbABlAGMALAAgAFIAUABQACwAIABKAFIAUABQACwAIABSAEUAQwBfAHMAdQByAHIAZQBuAGQAZQByAGUAZAAsACAAUgBFAEMAXwBvAG4AcwBpAHQAZQAsACAARQBGAF8AUgBNAEYAMwBlAGwAZQBjACwAXABuACAAIAAgACAAKAAoAFEAXwBlAGwAZQBjACAAKgAgACgAMQAgAC0AIAAoAFIAUABQACAAKwAgAEoAUgBQAFAAKQApACkAIAAtACAAKAAoAFIARQBDAF8AcwB1AHIAcgBlAG4AZABlAHIAZQBkACAALQAgAFIARQBDAF8AbwBuAHMAaQB0AGUAKQAgACoAIAAxADAAIABeACAAMwApACkAIAAqACAARQBGAF8AUgBNAEYAMwBlAGwAZQBjACAAKgAgADEAMAAgAF4AIAAtADMAXABuACAAIAApADsAXABuAFwAbgBWAEUARQBSAEcAXwAxADUAXwAxADIAXwAxAF8AMgBfAF8AMQBfAFUAcABzAHQAcgBlAGEAbQBQAHUAcgBjAGgAYQBzAGUAZABFAGwAZQBjAHQAcgBpAGMAaQB0AHkATQBhAHIAawBlAHQAQgBhAHMAZQBkAF8AVABpAHQAbABlAFwAbgAgACAAPQBMAEEATQBCAEQAQQAoAFwAIgBTAGMAbwBwAGUAIAAzACAAZQBtAGkAcwBzAGkAbwBuAHMAIABmAHIAbwBtACAAcAB1AHIAYwBoAGEAcwBlAGQAIABlAGwAZQBjAHQAcgBpAGMAaQB0AHkAIABtAGEAcgBrAGUAdAAgAGIAYQBzAGUAZABcACIAKQA7AFwAbgBcAG4AVgBFAEUAUgBHAF8AMQA1AF8AMQAyAF8AMQBfADIAXwBfADEAXwBVAHAAcwB0AHIAZQBhAG0AUAB1AHIAYwBoAGEAcwBlAGQARQBsAGUAYwB0AHIAaQBjAGkAdAB5AE0AYQByAGsAZQB0AEIAYQBzAGUAZABfAFYAYQByAGkAYQBiAGwAZQBcAG4AIAAgAD0ATABBAE0AQgBEAEEAKABcACIARQBfADMAZQBsAGUAYwBcACIAKQA7AFwAbgBcAG4AVgBFAEUAUgBHAF8AMQA1AF8AMQAyAF8AMQBfADIAXwBfADEAXwBVAHAAcwB0AHIAZQBhAG0AUAB1AHIAYwBoAGEAcwBlAGQARQBsAGUAYwB0AHIAaQBjAGkAdAB5AE0AYQByAGsAZQB0AEIAYQBzAGUAZABfAFUAbgBpAHQAXABuACAAIAA9AEwAQQBNAEIARABBACgAXAAiAHQAIABDAE8AMgBlAFwAIgApADsAXABuAFwAbgBWAEUARQBSAEcAXwAxADUAXwAxADIAXwAxAF8AMgBfAF8AMQBfAFUAcABzAHQAcgBlAGEAbQBQAHUAcgBjAGgAYQBzAGUAZABFAGwAZQBjAHQAcgBpAGMAaQB0AHkATQBhAHIAawBlAHQAQgBhAHMAZQBkAF8AUwBvAHUAcgBjAGUAXABuACAAIAA9AEwAQQBNAEIARABBACgAXAAiAFYARQBFAFIARwAgADIAMAAyADYAOgAgADEANQAuADEAMgAuADEALgAyACwAIABFAHEAdQBhAHQAaQBvAG4AIAAoADEAKQBcACIAKQA7AFwAbgBcAG4AVgBFAEUAUgBHAF8AMQA1AF8AMQAyAF8AMQBfADIAXwBfADEAXwBVAHAAcwB0AHIAZQBhAG0AUAB1AHIAYwBoAGEAcwBlAGQARQBsAGUAYwB0AHIAaQBjAGkAdAB5AE0AYQByAGsAZQB0AEIAYQBzAGUAZABfAE4ASQBSAFIAZQBmAGUAcgBlAG4AYwBlAFwAbgAgACAAPQBMAEEATQBCAEQAQQAoAFwAIgBcACIAKQA7AFwAbgBcAG4AVgBFAEUAUgBHAF8AMQA1AF8AMQAyAF8AMQBfADIAXwBfADEAXwBVAHAAcwB0AHIAZQBhAG0AUAB1AHIAYwBoAGEAcwBlAGQARQBsAGUAYwB0AHIAaQBjAGkAdAB5AE0AYQByAGsAZQB0AEIAYQBzAGUAZABfAEwAYQB0AGUAeABFAHEAdQBhAHQAaQBvAG4AXABuACAAIAA9AEwAQQBNAEIARABBACgAXAAiAEUAXwB7ADMALABlAGwAZQBjAH0APQAgAFsAIABRAF8AewBlAGwAZQBjAH0AXABcAHQAaQBtAGUAcwBcAFwAbABlAGYAdAAoADEALQAoAFIAUABQACsASgBSAFAAUAApAFwAXAByAGkAZwBoAHQAKQAtAFwAXABsAGUAZgB0AFwAXABsAGUAZgB0ACgAKABSAEUAQwBfAHsAcwB1AHIAcgBlAG4AZABlAHIAZQBkAH0ALQBSAEUAQwBfAHsAbwBuAHMAaQB0AGUAfQBcAFwAcgBpAGcAaAB0ACkAXABcAHQAaQBtAGUAcwAgADEAMABeAHsALQAzAH0AXABcAHIAaQBnAGgAdAApAFwAXAByAGkAZwBoAHQAXQBcAFwAdABpAG0AZQBzACAARQBGAF8AewBSAE0ARgAzACwAZQBsAGUAYwB9AFwAXAB0AGkAbQBlAHMAIAAxADAAXgB7AC0AMwB9AFwAIgApADsAXABuAFwAbgBWAEUARQBSAEcAXwAxADUAXwAxADIAXwAxAF8AMgBfAF8AMQBfAFUAcABzAHQAcgBlAGEAbQBQAHUAcgBjAGgAYQBzAGUAZABFAGwAZQBjAHQAcgBpAGMAaQB0AHkATQBhAHIAawBlAHQAQgBhAHMAZQBkAF8ATABhAHQAZQB4AEUAcQB1AGEAdABpAG8AbgBWAGEAcgBpAGEAdABpAG8AbgBcAG4AIAAgAD0ATABBAE0AQgBEAEEAKABcACIARQBfAHsAMwAsAGUAbABlAGMAfQA9ACAAWwAgAFEAXwB7AGUAbABlAGMAfQBcAFwAdABpAG0AZQBzAFwAXABsAGUAZgB0ACgAMQAtACgAUgBQAFAAKwBKAFIAUABQACkAXABcAHIAaQBnAGgAdAApAC0AXABcAGwAZQBmAHQAXABcAGwAZQBmAHQAKAAoAFIARQBDAF8AewBzAHUAcgByAGUAbgBkAGUAcgBlAGQAfQAtAFIARQBDAF8AewBvAG4AcwBpAHQAZQB9AFwAXAByAGkAZwBoAHQAKQBcAFwAdABpAG0AZQBzACAAMQAwAF4AewAzAH0AXABcAHIAaQBnAGgAdAApAFwAXAByAGkAZwBoAHQAXQBcAFwAdABpAG0AZQBzACAARQBGAF8AewBSAE0ARgAzACwAZQBsAGUAYwB9AFwAXAB0AGkAbQBlAHMAIAAxADAAXgB7AC0AMwB9AFwAIgApADsAXABuAFwAbgBWAEUARQBSAEcAXwAxADUAXwAxADIAXwAxAF8AMgBfAF8AMQBfAFUAcABzAHQAcgBlAGEAbQBQAHUAcgBjAGgAYQBzAGUAZABFAGwAZQBjAHQAcgBpAGMAaQB0AHkATQBhAHIAawBlAHQAQgBhAHMAZQBkAF8AQQByAGcAdQBtAGUAbgB0AHMAXABuACAAIAA9AEwAQQBNAEIARABBACgAXABuACAAIAAgACAATQBBAEsARQBBAFIAUgBBAFkAKAA3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UgBQAFAAXAAiACwAIABcACIAcgBlAG4AZQB3AGEAYgBsAGUAIABwAG8AdwBlAHIAIABwAGUAcgBjAGUAbgB0AGEAZwBlACAAdQBuAGQAZQByACAATABSAEUAVAAgAGYAbwByACAAdABoAGUAIABhAHAAcABsAGkAYwBhAGIAbABlACAAcABlAHIAaQBvAGQAXAAiACwAIABcACIAZgByAGEAYwB0AGkAbwBuAFwAIgAsACAAXAAiAEkAbgBwAHUAdABcACIAOwBcAG4AIAAgACAAIAAgACAAIAAgACAAIABcACIASgBSAFAAUABcACIALAAgAFwAIgBqAHUAcgBpAHMAZABpAGMAdABpAG8AbgBhAGwAIAByAGUAbgBlAHcAYQBiAGwAZQAgAHAAbwB3AGUAcgAgAHAAZQByAGMAZQBuAHQAYQBnAGUAIABmAG8AcgAgAHQAaABlACAAYQBwAHAAbABpAGMAYQBiAGwAZQAgAHAAZQByAGkAbwBkAFwAIgAsACAAXAAiAGYAcgBhAGMAdABpAG8AbgBcACIALAAgAFwAIgBJAG4AcAB1AHQAXAAiADsAXABuACAAIAAgACAAIAAgACAAIAAgACAAXAAiAFIARQBDAF8AcwB1AHIAcgBlAG4AZABlAHIAZQBkAFwAIgAsACAAXAAiAGUAbABpAGcAaQBiAGwAZQAgAHIAZQBuAGUAdwBhAGIAbABlACAAZQBuAGUAcgBnAHkAIABjAGUAcgB0AGkAZgBpAGMAYQB0AGUAcwAgAHYAbwBsAHUAbgB0AGEAcgBpAGwAeQAgAHMAdQByAHIAZQBuAGQAZQByAGUAZABcACIALAAgAFwAIgBNAFcAaABcACIALAAgAFwAIgBJAG4AcAB1AHQAXAAiADsAXABuACAAIAAgACAAIAAgACAAIAAgACAAXAAiAFIARQBDAF8AbwBuAHMAaQB0AGUAXAAiACwAIABcACIAZQBsAGkAZwBpAGIAbABlACAAcgBlAG4AZQB3AGEAYgBsAGUAIABlAG4AZQByAGcAeQAgAGMAZQByAHQAaQBmAGkAYwBhAHQAZQBzACAAaQBzAHMAdQBlAGQAIABmAG8AcgAgAG8AbgBzAGkAdABlACAAZwBlAG4AZQByAGEAdABlAGQAIABlAGwAZQBjAHQAcgBpAGMAaQB0AHkAXAAiACwAIABcACIATQBXAGgAXAAiACwAIABcACIASQBuAHAAdQB0AFwAIgA7AFwAbgAgACAAIAAgACAAIAAgACAAIAAgAFwAIgBFAEYAXwBSAE0ARgAzAGUAbABlAGMAXAAiACwAIABcACIAcwBjAG8AcABlACAAMwAgAHIAZQBzAGkAZAB1AGEAbAAgAG0AaQB4ACAAZQBtAGkAcwBzAGkAbwBuACAAZgBhAGMAdABvAHIAIABmAG8AcgAgAGUAbABlAGMAdAByAGkAYwBpAHQAeQBcACIALAAgAFwAIgBrAGcAIABDAE8AMgBlAC8AawBXAGg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xADUAXwAxADIAXwAxAF8AMgBfAF8AMQBfAFUAcABzAHQAcgBlAGEAbQBQAHUAcgBjAGgAYQBzAGUAZABFAGwAZQBjAHQAcgBpAGMAaQB0AHkATQBhAHIAawBlAHQAQgBhAHMAZQBkAF8AVgBhAHIAaQBhAHQAaQBvAG4AXABuACAAIAA9AEwAQQBNAEIARABBACgAXAAiAFYAQQBSAEkAQQBUAEkATwBOACAATwBOACAAUwBPAFUAUgBDAEUAOgAgAEkAbgAgAG8AcgBkAGUAcgAgAHQAbwAgAGMAbwBuAHYAZQByAHQAIABtAGUAZwBhAHcAYQB0AHQAIABoAG8AdQByAHMAIAB0AG8AIABrAGkAbABvAHcAYQB0AHQAIABoAG8AdQByAHMALAAgAHQAaABlACAAUgBFAEMAXwBzAHUAcgByAGUAbgBkAGUAcgBlAGQAIABhAG4AZAAgAFIARQBDAF8AbwBuAHMAaQB0AGUAIAB2AGEAcgBpAGEAYgBsAGUAcwAgAGEAcgBlACAAbQB1AGwAdABpAHAAbABpAGUAZAAgAGIAeQAgADEAMABeADMAIABpAG4AcwB0AGUAYQBkACAAbwBmACAAMQAwAF4ALQAzAC4AXAAiACkAOwBcAG4AXABuAC8AKgBcAG4ALQAtAC0ALQAtAC0ALQAtAC0ALQAtAC0ALQAtAC0ALQAtAC0ALQAtAC0ALQAtAC0ALQAtAC0ALQAtAC0ALQAtAC0ALQAtAC0ALQAtAFwAbgBWAEUARQBSAEcAXwAxADUAXwAxADMAXwAxAF8AMQBfAF8AMQBfAEUAbQBpAHMAcwBpAG8AbgBzAEYAcgBvAG0ATQBhAG4AdQByAGUAUwBlAG4AdABPAGYAZgBTAGkAdABlAFwAbgBFAG0AaQBzAHMAaQBvAG4AcwAgAGYAcgBvAG0AIABtAGEAbgB1AHIAZQAgAHMAZQBuAHQAIABvAGYAZgAgAHMAaQB0AGUAIABhAHAAcABsAGkAZQBkACAAdABvACAAcwBvAGkAbABzACAAaQBuACAAYQBuAG8AdABoAGUAcgAgAGYAYQByAG0AaQBuAGcAIABzAHkAcwB0AGUAbQAgAG8AcgAgAGUAbgB0AGUAcgBwAHIAaQBzAGUAXABuAEUAXABuAHQAIABOADIATwBcAG4ARQA9AEUAXwB7AE4AMgBPAH0AKwBFAF8AewBhAGQAfQArAEUAXwB7AGwAZQBhAGMAaAB9AFwAbgBFAF8ATgAyAE8AIAA9ACAAZABpAHIAZQBjAHQAIABuAGkAdAByAG8AdQBzACAAbwB4AGkAZABlACAAZQBtAGkAcwBzAGkAbwBuAHMAIABmAHIAbwBtACAAYQBwAHAAbABpAGMAYQB0AGkAbwBuACAAbwBmACAAbQBhAG4AdQByAGUAIAB0AG8AIABzAG8AaQBsAHMAIABvAHUAdABzAGkAZABlACAAbwBmACAAcwBjAG8AcABlACAAMQAgAGIAbwB1AG4AZABhAHIAeQBcAG4ARQBfAGEAZAAgAD0AIABuAGkAdAByAG8AdQBzACAAbwB4AGkAZABlACAAZQBtAGkAcwBzAGkAbwBuAHMAIABmAHIAbwBtACAAYQB0AG0AbwBzAHAAaABlAHIAaQBjACAAZABlAHAAbwBzAGkAdABpAG8AbgAgAG8AZgAgAG0AYQBuAHUAcgBlACAAdABvACAAcwBvAGkAbABzAFwAbgBFAF8AbABlAGEAYwBoACAAPQAgAG4AaQB0AHIAbwB1AHMAIABvAHgAaQBkAGUAIABlAG0AaQBzAHMAaQBvAG4AcwAgAGYAcgBvAG0AIABuAGkAdAByAG8AZwBlAG4AIABsAGUAYQBjAGgAaQBuAGcAIABhAG4AZAAgAHIAdQBuAG8AZgBmACAAbwBmACAAbQBhAG4AdQByAGUAIAB0AG8AIABzAG8AaQBsAHMAXABuAC0ALQAtAC0ALQAtAC0ALQAtAC0ALQAtAC0ALQAtAC0ALQAtAC0ALQAtAC0ALQAtAC0ALQAtAC0ALQAtAC0ALQAtAC0ALQAtAC0ALQBcAG4AKgAvAFwAbgBcAG4AVgBFAEUAUgBHAF8AMQA1AF8AMQAzAF8AMQBfADEAXwBfADEAXwBFAG0AaQBzAHMAaQBvAG4AcwBGAHIAbwBtAE0AYQBuAHUAcgBlAFMAZQBuAHQATwBmAGYAUwBpAHQAZQBcAG4AIAAgAD0ATABBAE0AQgBEAEEAKABcAG4AIAAgACAAIABFAF8ATgAyAE8ALAAgAEUAXwBhAGQALAAgAEUAXwBsAGUAYQBjAGgALABcAG4AIAAgACAAIABFAF8ATgAyAE8AIAArACAARQBfAGEAZAAgACsAIABFAF8AbABlAGEAYwBoAFwAbgAgACAAKQA7AFwAbgBcAG4AVgBFAEUAUgBHAF8AMQA1AF8AMQAzAF8AMQBfADEAXwBfADEAXwBFAG0AaQBzAHMAaQBvAG4AcwBGAHIAbwBtAE0AYQBuAHUAcgBlAFMAZQBuAHQATwBmAGYAUwBpAHQAZQBfAFQAaQB0AGwAZQBcAG4AIAAgAD0ATABBAE0AQgBEAEEAKABcACIARQBtAGkAcwBzAGkAbwBuAHMAIABmAHIAbwBtACAAbQBhAG4AdQByAGUAIABzAGUAbgB0ACAAbwBmAGYAIABzAGkAdABlACAAYQBwAHAAbABpAGUAZAAgAHQAbwAgAHMAbwBpAGwAcwAgAGkAbgAgAGEAbgBvAHQAaABlAHIAIABmAGEAcgBtAGkAbgBnACAAcwB5AHMAdABlAG0AIABvAHIAIABlAG4AdABlAHIAcAByAGkAcwBlAFwAIgApADsAXABuAFwAbgBWAEUARQBSAEcAXwAxADUAXwAxADMAXwAxAF8AMQBfAF8AMQBfAEUAbQBpAHMAcwBpAG8AbgBzAEYAcgBvAG0ATQBhAG4AdQByAGUAUwBlAG4AdABPAGYAZgBTAGkAdABlAF8AVgBhAHIAaQBhAGIAbABlAFwAbgAgACAAPQBMAEEATQBCAEQAQQAoAFwAIgBFAFwAIgApADsAXABuAFwAbgBWAEUARQBSAEcAXwAxADUAXwAxADMAXwAxAF8AMQBfAF8AMQBfAEUAbQBpAHMAcwBpAG8AbgBzAEYAcgBvAG0ATQBhAG4AdQByAGUAUwBlAG4AdABPAGYAZgBTAGkAdABlAF8AVQBuAGkAdABcAG4AIAAgAD0ATABBAE0AQgBEAEEAKABcACIAdAAgAE4AMgBPAFwAIgApADsAXABuAFwAbgBWAEUARQBSAEcAXwAxADUAXwAxADMAXwAxAF8AMQBfAF8AMQBfAEUAbQBpAHMAcwBpAG8AbgBzAEYAcgBvAG0ATQBhAG4AdQByAGUAUwBlAG4AdABPAGYAZgBTAGkAdABlAF8AUwBvAHUAcgBjAGUAXABuACAAIAA9AEwAQQBNAEIARABBACgAXAAiAFYARQBFAFIARwAgADIAMAAyADYAOgAgADEANQAuADEAMwAuADEALgAxACwAIABFAHEAdQBhAHQAaQBvAG4AIAAoADEAKQBcACIAKQA7AFwAbgBcAG4AVgBFAEUAUgBHAF8AMQA1AF8AMQAzAF8AMQBfADEAXwBfADEAXwBFAG0AaQBzAHMAaQBvAG4AcwBGAHIAbwBtAE0AYQBuAHUAcgBlAFMAZQBuAHQATwBmAGYAUwBpAHQAZQBfAE4ASQBSAFIAZQBmAGUAcgBlAG4AYwBlAFwAbgAgACAAPQBMAEEATQBCAEQAQQAoAFwAIgBcACIAKQA7AFwAbgBcAG4AVgBFAEUAUgBHAF8AMQA1AF8AMQAzAF8AMQBfADEAXwBfADEAXwBFAG0AaQBzAHMAaQBvAG4AcwBGAHIAbwBtAE0AYQBuAHUAcgBlAFMAZQBuAHQATwBmAGYAUwBpAHQAZQBfAEwAYQB0AGUAeABFAHEAdQBhAHQAaQBvAG4AXABuACAAIAA9AEwAQQBNAEIARABBACgAXAAiAEUAPQBFAF8AewBOADIATwB9ACsARQBfAHsAYQBkAH0AKwBFAF8AewBsAGUAYQBjAGgAfQBcACIAKQA7AFwAbgBcAG4AVgBFAEUAUgBHAF8AMQA1AF8AMQAzAF8AMQBfADEAXwBfADEAXwBFAG0AaQBzAHMAaQBvAG4AcwBGAHIAbwBtAE0AYQBuAHUAcgBlAFMAZQBuAHQATwBmAGYAUwBpAHQAZQBfAEEAcgBnAHUAbQBlAG4AdABzAFwAbgAgACAAPQBMAEEATQBCAEQAQQAoAFwAbgAgACAAIAAgAE0AQQBLAEUAQQBSAFIAQQBZACgAMwAsACAANAAsAFwAbgAgACAAIAAgACAAIABMAEEATQBCAEQAQQAoAHIALABjACwAXABuACAAIAAgACAAIAAgACAAIABJAE4ARABFAFgAKAB7AFwAbgAgACAAIAAgACAAIAAgACAAIAAgAFwAIgBFAF8ATgAyAE8AXAAiACwAIABcACIAZABpAHIAZQBjAHQAIABuAGkAdAByAG8AdQBzACAAbwB4AGkAZABlACAAZQBtAGkAcwBzAGkAbwBuAHMAIABmAHIAbwBtACAAYQBwAHAAbABpAGMAYQB0AGkAbwBuACAAbwBmACAAbQBhAG4AdQByAGUAIAB0AG8AIABzAG8AaQBsAHMAIABvAHUAdABzAGkAZABlACAAbwBmACAAcwBjAG8AcABlACAAMQAgAGIAbwB1AG4AZABhAHIAeQBcACIALAAgAFwAIgB0ACAATgAyAE8AXAAiACwAIABcACIAQwBhAGwAYwB1AGwAYQB0AGUAZABcACIAOwBcAG4AIAAgACAAIAAgACAAIAAgACAAIABcACIARQBfAGEAZABcACIALAAgAFwAIgBuAGkAdAByAG8AdQBzACAAbwB4AGkAZABlACAAZQBtAGkAcwBzAGkAbwBuAHMAIABmAHIAbwBtACAAYQB0AG0AbwBzAHAAaABlAHIAaQBjACAAZABlAHAAbwBzAGkAdABpAG8AbgAgAG8AZgAgAG0AYQBuAHUAcgBlACAAdABvACAAcwBvAGkAbABzAFwAIgAsACAAXAAiAHQAIABOADIATwBcACIALAAgAFwAIgBDAGEAbABjAHUAbABhAHQAZQBkAFwAIgA7AFwAbgAgACAAIAAgACAAIAAgACAAIAAgAFwAIgBFAF8AbABlAGEAYwBoAFwAIgAsACAAXAAiAG4AaQB0AHIAbwB1AHMAIABvAHgAaQBkAGUAIABlAG0AaQBzAHMAaQBvAG4AcwAgAGYAcgBvAG0AIABuAGkAdAByAG8AZwBlAG4AIABsAGUAYQBjAGgAaQBuAGcAIABhAG4AZAAgAHIAdQBuAG8AZgBmACAAbwBmACAAbQBhAG4AdQByAGUAIAB0AG8AIABzAG8AaQBsAHMAXAAiACwAIABcACIAdAAgAE4AMgBPAFwAIgAsACAAXAAiAEMAYQBsAGMAdQBsAGEAdABlAGQAXAAiAFwAbgAgACAAIAAgACAAIAAgACAAfQAsACAAcgAsACAAYwApAFwAbgAgACAAIAAgACAAIAApAFwAbgAgACAAIAAgACkAXABuACAAIAApADsAXABuAFwAbgBcAG4ALwAqAFwAbgAtAC0ALQAtAC0ALQAtAC0ALQAtAC0ALQAtAC0ALQAtAC0ALQAtAC0ALQAtAC0ALQAtAC0ALQAtAC0ALQAtAC0ALQAtAC0ALQAtAC0AXABuAFYARQBFAFIARwBfADEANQBfADEAMwBfADEAXwAzAF8AXwAxAF8ARQBtAGkAcwBzAGkAbwBuAHMARgByAG8AbQBTAG8AbABpAGQAVwBhAHMAdABlAFQAcgBlAGEAdABtAGUAbgB0AEYAYQBjAGkAbABpAHQAeQBcAG4ALQAtAC0ALQAtAC0ALQAtAC0ALQAtAC0ALQAtAC0ALQAtAC0ALQAtAC0ALQAtAC0ALQAtAC0ALQAtAC0ALQAtAC0ALQAtAC0ALQAtAFwAbgAqAC8AXABuAFwAbgBWAEUARQBSAEcAXwAxADUAXwAxADMAXwAxAF8AMwBfAF8AMQBfAEUAbQBpAHMAcwBpAG8AbgBzAEYAcgBvAG0AUwBvAGwAaQBkAFcAYQBzAHQAZQBUAHIAZQBhAHQAbQBlAG4AdABGAGEAYwBpAGwAaQB0AHkAXABuACAAIAA9AEwAQQBNAEIARABBACgAXABuACAAIAAgACAARQBfAE4AMgBPACwAIABFAF8AYQBkACwAIABFAF8AbABlAGEAYwBoACwAXABuACAAIAAgACAARQBfAE4AMgBPACAAKwAgAEUAXwBhAGQAIAArACAARQBfAGwAZQBhAGMAaABcAG4AIAAgACkAOwBcAG4AXABuAFYARQBFAFIARwBfADEANQBfADEAMwBfADEAXwAzAF8AXwAxAF8ARQBtAGkAcwBzAGkAbwBuAHMARgByAG8AbQBTAG8AbABpAGQAVwBhAHMAdABlAFQAcgBlAGEAdABtAGUAbgB0AEYAYQBjAGkAbABpAHQAeQBfAFQAaQB0AGwAZQBcAG4AIAAgAD0ATABBAE0AQgBEAEEAKABcACIARQBtAGkAcwBzAGkAbwBuAHMAIABmAHIAbwBtACAAcwBvAGwAaQBkACAAdwBhAHMAdABlACAAcwBlAG4AdAAgAHQAbwAgAGEAIAB0AHIAZQBhAHQAbQBlAG4AdAAgAGYAYQBjAGkAbABpAHQAeQBcACIAKQA7AFwAbgBcAG4AVgBFAEUAUgBHAF8AMQA1AF8AMQAzAF8AMQBfADMAXwBfADEAXwBFAG0AaQBzAHMAaQBvAG4AcwBGAHIAbwBtAFMAbwBsAGkAZABXAGEAcwB0AGUAVAByAGUAYQB0AG0AZQBuAHQARgBhAGMAaQBsAGkAdAB5AF8AVgBhAHIAaQBhAGIAbABlAFwAbgAgACAAPQBMAEEATQBCAEQAQQAoAFwAIgBFAFwAIgApADsAXABuAFwAbgBWAEUARQBSAEcAXwAxADUAXwAxADMAXwAxAF8AMwBfAF8AMQBfAEUAbQBpAHMAcwBpAG8AbgBzAEYAcgBvAG0AUwBvAGwAaQBkAFcAYQBzAHQAZQBUAHIAZQBhAHQAbQBlAG4AdABGAGEAYwBpAGwAaQB0AHkAXwBVAG4AaQB0AFwAbgAgACAAPQBMAEEATQBCAEQAQQAoAFwAIgB0ACAAQwBPADIAZQBcACIAKQA7AFwAbgBcAG4AVgBFAEUAUgBHAF8AMQA1AF8AMQAzAF8AMQBfADMAXwBfADEAXwBFAG0AaQBzAHMAaQBvAG4AcwBGAHIAbwBtAFMAbwBsAGkAZABXAGEAcwB0AGUAVAByAGUAYQB0AG0AZQBuAHQARgBhAGMAaQBsAGkAdAB5AF8AUwBvAHUAcgBjAGUAXABuACAAIAA9AEwAQQBNAEIARABBACgAXAAiAFYARQBFAFIARwAgADIAMAAyADYAOgAgADEANQAuADEAMwAuADEALgAzAFwAIgApADsAXABuAFwAbgBWAEUARQBSAEcAXwAxADUAXwAxADMAXwAxAF8AMwBfAF8AMQBfAEUAbQBpAHMAcwBpAG8AbgBzAEYAcgBvAG0AUwBvAGwAaQBkAFcAYQBzAHQAZQBUAHIAZQBhAHQAbQBlAG4AdABGAGEAYwBpAGwAaQB0AHkAXwBOAEkAUgBSAGUAZgBlAHIAZQBuAGMAZQBcAG4AIAAgAD0ATABBAE0AQgBEAEEAKABcACIAXAAiACkAOwBcAG4AXABuAFYARQBFAFIARwBfADEANQBfADEAMwBfADEAXwAzAF8AXwAxAF8ARQBtAGkAcwBzAGkAbwBuAHMARgByAG8AbQBTAG8AbABpAGQAVwBhAHMAdABlAFQAcgBlAGEAdABtAGUAbgB0AEYAYQBjAGkAbABpAHQAeQBfAEwAYQB0AGUAeABFAHEAdQBhAHQAaQBvAG4AXABuACAAIAA9AEwAQQBNAEIARABBACgAXAAiAFwAIgApADsAXABuAFwAbgBWAEUARQBSAEcAXwAxADUAXwAxADMAXwAxAF8AMwBfAF8AMQBfAEUAbQBpAHMAcwBpAG8AbgBzAEYAcgBvAG0AUwBvAGwAaQBkAFcAYQBzAHQAZQBUAHIAZQBhAHQAbQBlAG4AdABGAGEAYwBpAGwAaQB0AHkAXwBBAHIAZwB1AG0AZQBuAHQAcwBcAG4AIAAgAD0ATABBAE0AQgBEAEEAKABcACIAXAAiACkAOwBcAG4AXABuAFwAbgAvACoAXABuAC0ALQAtAC0ALQAtAC0ALQAtAC0ALQAtAC0ALQAtAC0ALQAtAC0ALQAtAC0ALQAtAC0ALQAtAC0ALQAtAC0ALQAtAC0ALQAtAC0ALQBcAG4AVgBFAEUAUgBHAF8AMQA1AF8AMQA0AF8AMQBfADEAXwBfADEAXwBFAG0AYgBlAGQAZABlAGQARQBtAGkAcwBzAGkAbwBuAHMARgByAG8AbQBVAHAAcwB0AHIAZQBhAG0ARgByAGUAaQBnAGgAdABcAG4ARQBtAGIAZQBkAGQAZQBkACAAZQBtAGkAcwBzAGkAbwBuAHMAIABmAHIAbwBtACAAdQBwAHMAdAByAGUAYQBtACAAZgByAGUAaQBnAGgAdABcAG4ARQBcAG4AdAAgAEMATwAyAGUAXABuAEUAPQBcAFwAcwB1AG0AXABcAG4AbwBsAGkAbQBpAHQAcwBfAGYAXABcAGwAZQBmAHQAKAAoAFcAXwBmAFwAXAB0AGkAbQBlAHMAIABEAF8AZgApAFwAXAB0AGkAbQBlAHMAIABFAEYAXwBmAFwAXAByAGkAZwBoAHQAKQBcAG4AVwBfAGYAIAA9ACAAdABvAHQAYQBsACAAbQBhAHMAcwAgAG8AZgAgAGcAbwBvAGQAcwAgAHQAcgBhAG4AcwBwAG8AcgB0AGUAZAAgAHAAZQByACAAZgByAGUAaQBnAGgAdAAgAHQAeQBwAGUAIABmAFwAbgBEAF8AZgAgAD0AIAB0AG8AdABhAGwAIABkAGkAcwB0AGEAbgBjAGUAIAB0AHIAYQBuAHMAcABvAHIAdABlAGQAIABwAGUAcgAgAGYAcgBlAGkAZwBoAHQAIAB0AHkAcABlACAAZgBcAG4ARQBGAF8AZgAgAD0AIABlAG0AaQBzAHMAaQBvAG4AIABmAGEAYwB0AG8AcgAgAGYAbwByACAAZgByAGUAaQBnAGgAdAAgAHQAeQBwAGUAIABmAFwAbgAtAC0ALQAtAC0ALQAtAC0ALQAtAC0ALQAtAC0ALQAtAC0ALQAtAC0ALQAtAC0ALQAtAC0ALQAtAC0ALQAtAC0ALQAtAC0ALQAtAC0AXABuACoALwBcAG4AXABuAFYARQBFAFIARwBfADEANQBfADEANABfADEAXwAxAF8AXwAxAF8ARQBtAGIAZQBkAGQAZQBkAEUAbQBpAHMAcwBpAG8AbgBzAEYAcgBvAG0AVQBwAHMAdAByAGUAYQBtAEYAcgBlAGkAZwBoAHQAXABuACAAIAA9AEwAQQBNAEIARABBACgAXABuACAAIAAgACAAVwBfAGYALAAgAEQAXwBmACwAIABFAEYAXwBmACwAXABuACAAIAAgACAAKABXAF8AZgAgACoAIABEAF8AZgApACAAKgAgAEUARgBfAGYAXABuACAAIAApADsAXABuAFwAbgBWAEUARQBSAEcAXwAxADUAXwAxADQAXwAxAF8AMQBfAF8AMQBfAEUAbQBiAGUAZABkAGUAZABFAG0AaQBzAHMAaQBvAG4AcwBGAHIAbwBtAFUAcABzAHQAcgBlAGEAbQBGAHIAZQBpAGcAaAB0AF8AVABpAHQAbABlAFwAbgAgACAAPQBMAEEATQBCAEQAQQAoAFwAIgBFAG0AYgBlAGQAZABlAGQAIABlAG0AaQBzAHMAaQBvAG4AcwAgAGYAcgBvAG0AIAB1AHAAcwB0AHIAZQBhAG0AIABmAHIAZQBpAGcAaAB0AFwAIgApADsAXABuAFwAbgBWAEUARQBSAEcAXwAxADUAXwAxADQAXwAxAF8AMQBfAF8AMQBfAEUAbQBiAGUAZABkAGUAZABFAG0AaQBzAHMAaQBvAG4AcwBGAHIAbwBtAFUAcABzAHQAcgBlAGEAbQBGAHIAZQBpAGcAaAB0AF8AVgBhAHIAaQBhAGIAbABlAFwAbgAgACAAPQBMAEEATQBCAEQAQQAoAFwAIgBFAFwAIgApADsAXABuAFwAbgBWAEUARQBSAEcAXwAxADUAXwAxADQAXwAxAF8AMQBfAF8AMQBfAEUAbQBiAGUAZABkAGUAZABFAG0AaQBzAHMAaQBvAG4AcwBGAHIAbwBtAFUAcABzAHQAcgBlAGEAbQBGAHIAZQBpAGcAaAB0AF8AVQBuAGkAdABcAG4AIAAgAD0ATABBAE0AQgBEAEEAKABcACIAdAAgAEMATwAyAGUAXAAiACkAOwBcAG4AXABuAFYARQBFAFIARwBfADEANQBfADEANABfADEAXwAxAF8AXwAxAF8ARQBtAGIAZQBkAGQAZQBkAEUAbQBpAHMAcwBpAG8AbgBzAEYAcgBvAG0AVQBwAHMAdAByAGUAYQBtAEYAcgBlAGkAZwBoAHQAXwBTAG8AdQByAGMAZQBcAG4AIAAgAD0ATABBAE0AQgBEAEEAKABcACIAVgBFAEUAUgBHACAAMgAwADIANgA6ACAAMQA1AC4AMQA0AC4AMQAuADEALAAgAEUAcQB1AGEAdABpAG8AbgAgACgAMQApAFwAIgApADsAXABuAFwAbgBWAEUARQBSAEcAXwAxADUAXwAxADQAXwAxAF8AMQBfAF8AMQBfAEUAbQBiAGUAZABkAGUAZABFAG0AaQBzAHMAaQBvAG4AcwBGAHIAbwBtAFUAcABzAHQAcgBlAGEAbQBGAHIAZQBpAGcAaAB0AF8ATgBJAFIAUgBlAGYAZQByAGUAbgBjAGUAXABuACAAIAA9AEwAQQBNAEIARABBACgAXAAiAFwAIgApADsAXABuAFwAbgBWAEUARQBSAEcAXwAxADUAXwAxADQAXwAxAF8AMQBfAF8AMQBfAEUAbQBiAGUAZABkAGUAZABFAG0AaQBzAHMAaQBvAG4AcwBGAHIAbwBtAFUAcABzAHQAcgBlAGEAbQBGAHIAZQBpAGcAaAB0AF8ATABhAHQAZQB4AEUAcQB1AGEAdABpAG8AbgBcAG4AIAAgAD0ATABBAE0AQgBEAEEAKABcACIARQA9AFwAXABzAHUAbQBcAFwAbgBvAGwAaQBtAGkAdABzAF8AZgBcAFwAbABlAGYAdAAoACgAVwBfAGYAXABcAHQAaQBtAGUAcwAgAEQAXwBmACkAXABcAHQAaQBtAGUAcwAgAEUARgBfAGYAXABcAHIAaQBnAGgAdAApAFwAIgApADsAXABuAFwAbgBWAEUARQBSAEcAXwAxADUAXwAxADQAXwAxAF8AMQBfAF8AMQBfAEUAbQBiAGUAZABkAGUAZABFAG0AaQBzAHMAaQBvAG4AcwBGAHIAbwBtAFUAcABzAHQAcgBlAGEAbQBGAHIAZQBpAGcAaAB0AF8AQQByAGcAdQBtAGUAbgB0AHMAXABuACAAIAA9AEwAQQBNAEIARABBACgAXABuACAAIAAgACAATQBBAEsARQBBAFIAUgBBAFkAKAA0ACwAIAA0ACwAXABuACAAIAAgACAAIAAgAEwAQQBNAEIARABBACgAcgAsAGMALABcAG4AIAAgACAAIAAgACAAIAAgAEkATgBEAEUAWAAoAHsAXABuACAAIAAgACAAIAAgACAAIAAgACAAXAAiAFcAXwBmAFwAIgAsACAAXAAiAHQAbwB0AGEAbAAgAG0AYQBzAHMAIABvAGYAIABnAG8AbwBkAHMAIAB0AHIAYQBuAHMAcABvAHIAdABlAGQAIABwAGUAcgAgAGYAcgBlAGkAZwBoAHQAIAB0AHkAcABlACAAZgBcACIALAAgAFwAIgB0AFwAIgAsACAAXAAiAEkAbgBwAHUAdABcACIAOwBcAG4AIAAgACAAIAAgACAAIAAgACAAIABcACIARABfAGYAXAAiACwAIABcACIAdABvAHQAYQBsACAAZABpAHMAdABhAG4AYwBlACAAdAByAGEAbgBzAHAAbwByAHQAZQBkACAAcABlAHIAIABmAHIAZQBpAGcAaAB0ACAAdAB5AHAAZQAgAGYAXAAiACwAIABcACIAawBtAFwAIgAsACAAXAAiAEkAbgBwAHUAdABcACIAOwBcAG4AIAAgACAAIAAgACAAIAAgACAAIABcACIARQBGAF8AZgBcACIALAAgAFwAIgBlAG0AaQBzAHMAaQBvAG4AIABmAGEAYwB0AG8AcgAgAGYAbwByACAAZgByAGUAaQBnAGgAdAAgAHQAeQBwAGUAIABmAFwAIgAsACAAXAAiAHQAIABDAE8AMgBlAC8AKAB0ACAAawBtACkAXAAiACwAIABcACIAQwBvAG4AcwB0AGEAbgB0AFwAIgA7AFwAbgAgACAAIAAgACAAIAAgACAAIAAgAFwAIgBmAFwAIgAsACAAXAAiAGYAcgBlAGkAZwBoAHQAIAB0AHkAcABlAFwAIgAsACAAXAAiAFwAIgAsACAAXAAiAEkAbgBwAHUAdABcACIAXABuACAAIAAgACAAIAAgACAAIAB9ACwAIAByACwAIABjACkAXABuACAAIAAgACAAIAAgACkAXABuACAAIAAgACAAKQBcAG4AIAAgACkAOwBcAG4AIgB9ACwAewAiAHAAYQB0AGgAIgA6ACIALwBwAHIAbwBqAGUAYwB0AHMALwBGAHUAZQBsAF8ARQBxAHUAYQB0AGkAbwBuAHMAIgAsACIAdABlAHgAdAAiADoAIgAvACoAXABuAD0APQA9AD0APQA9AD0APQA9AD0APQA9AD0APQA9AD0APQA9AD0APQA9AD0APQA9AD0APQA9AD0APQA9AD0APQA9AD0APQA9AD0APQBcAG4AOAA6ACAARgB1AGUAbAAgAFUAcwBlAFwAbgA9AD0APQA9AD0APQA9AD0APQA9AD0APQA9AD0APQA9AD0APQA9AD0APQA9AD0APQA9AD0APQA9AD0APQA9AD0APQA9AD0APQA9AD0AXABuADgALgAxACAARgB1AGUAbAAgAFUAcwBlACAALQAgAFQAcgBhAG4AcwBwAG8AcgB0ACAAZgB1AGUAbABcAG4APQA9AD0APQA9AD0APQA9AD0APQA9AD0APQA9AD0APQA9AD0APQA9AD0APQA9AD0APQA9AD0APQA9AD0APQA9AD0APQA9AD0APQA9AFwAbgAqAC8AXABuAFwAbgBcAG4AVgBFAEUAUgBHAF8AOABfAEYAdQBlAGwAQwBvAG0AYgB1AHMAdABpAG8AbgBcAG4AIAAgAD0ATABBAE0AQgBEAEEAKABcAG4AIAAgACAAIABRACwAIABFAEMALAAgAEUARgAsAFwAbgAgACAAIAAgACgAUQAgACoAIABFAEMAIAAqACAARQBGACkAIAAqACAAMQAwACAAXgAgAC0AIAAzAFwAbgAgACAAKQBcAG4AOwBcAG4AXABuAC8AKgAgAFwAbgAtAC0ALQAtAC0ALQAtAC0ALQAtAC0ALQAtAC0ALQAtAC0ALQAtAC0ALQAtAC0ALQAtAC0ALQAtAC0ALQAtAC0ALQAtAC0ALQAtAC0AXABuAFYARQBFAFIARwBfADgAXwAxAF8AMQBfADEAXwBfADEAXwBGAHUAZQBsAEMAbwBtAGIAdQBzAHQAaQBvAG4AVAByAGEAbgBzAHAAbwByAHQAXABuAEUAbQBpAHMAcwBpAG8AbgBzACAAZgBvAHIAIABlAGEAYwBoACAARwBIAEcAIABmAHIAbwBtACAAdABoAGUAIABjAG8AbQBiAHUAcwB0AGkAbwBuACAAbwBmACAAZgB1AGUAbABzACAAZgBvAHIAIAB0AHIAYQBuAHMAcABvAHIAdAAgAGUAbgBlAHIAZwB5ACAAcAB1AHIAcABvAHMAZQBzAFwAbgBRACAAOgAgAEEAbQBvAHUAbgB0ACAAbwBmACAAZgB1AGUAbAAgAHQAeQBwAGUAIABxACAAYwBvAG0AYgB1AHMAdABlAGQAIABmAG8AcgAgAHQAcgBhAG4AcwBwAG8AcgB0ACAAZQBuAGUAcgBnAHkAIABwAHUAcgBwAG8AcwBlAHMAIAA6ACAAawBMAFwAbgBFAEMAIAA6ACAAZQBuAGUAcgBnAHkAIABjAG8AbgB0AGUAbgB0ACAAZgBhAGMAdABvAHIAIABmAG8AcgAgAHQAcgBhAG4AcwBwAG8AcgB0ACAAZQBuAGUAcgBnAHkAIABwAHUAcgBwAG8AcwBlAHMAIAA6ACAARwBKAC8AawBMAFwAbgBFAEYAIAA6ACAAUwBjAG8AcABlACAAMQAgAGUAbQBpAHMAcwBpAG8AbgAgAGYAYQBjAHQAbwByACAAZgBvAHIAIAB0AHIAYQBuAHMAcABvAHIAdAAgAGUAbgBlAHIAZwB5ACAAcAB1AHIAcABvAHMAZQBzACAAZgBvAHIAIABlAGEAYwBoACAAZwByAGUAZQBuAGgAbwB1AHMAZQAgAGcAYQBzACAAOgAgAGsAZwAgAEMATwAyAGUAIAAvACAARwBKAFwAbgAtAC0ALQAtAC0ALQAtAC0ALQAtAC0ALQAtAC0ALQAtAC0ALQAtAC0ALQAtAC0ALQAtAC0ALQAtAC0ALQAtAC0ALQAtAC0ALQAtAC0AXABuACoALwBcAG4AXABuAFwAbgBWAEUARQBSAEcAXwA4AF8AMQBfADEAXwAxAF8AXwAxAF8ARgB1AGUAbABDAG8AbQBiAHUAcwB0AGkAbwBuAFQAcgBhAG4AcwBwAG8AcgB0AFwAbgAgACAAPQBMAEEATQBCAEQAQQAoAFwAbgAgACAAIAAgAFEAXwBUAHIAYQBuAHMAdABxACwAIABFAEMAXwBUAHIAYQBuAHMAcQAsACAARQBGAF8AVAByAGEAbgBzADEAdABxAGcALABcAG4AIAAgACAAIABWAEUARQBSAEcAXwA4AF8ARgB1AGUAbABDAG8AbQBiAHUAcwB0AGkAbwBuACgAUQBfAFQAcgBhAG4AcwB0AHEALAAgAEUAQwBfAFQAcgBhAG4AcwBxACwAIABFAEYAXwBUAHIAYQBuAHMAMQB0AHEAZwApAFwAbgAgACAAKQBcAG4AOwBcAG4AXABuAFYARQBFAFIARwBfADgAXwAxAF8AMQBfADEAXwBfADEAXwBGAHUAZQBsAEMAbwBtAGIAdQBzAHQAaQBvAG4AVAByAGEAbgBzAHAAbwByAHQAXwBUAGkAdABsAGUAXABuACAAIAA9AEwAQQBNAEIARABBACgAXAAiAEUAbQBpAHMAcwBpAG8AbgBzACAAZgBvAHIAIABlAGEAYwBoACAARwBIAEcAIABmAHIAbwBtACAAdABoAGUAIABjAG8AbQBiAHUAcwB0AGkAbwBuACAAbwBmACAAZgB1AGUAbABzACAAZgBvAHIAIAB0AHIAYQBuAHMAcABvAHIAdAAgAGUAbgBlAHIAZwB5ACAAcAB1AHIAcABvAHMAZQBzAFwAIgApADsAXABuAFwAbgBWAEUARQBSAEcAXwA4AF8AMQBfADEAXwAxAF8AXwAxAF8ARgB1AGUAbABDAG8AbQBiAHUAcwB0AGkAbwBuAFQAcgBhAG4AcwBwAG8AcgB0AF8AVgBhAHIAaQBhAGIAbABlAFwAbgAgACAAPQBMAEEATQBCAEQAQQAoAFwAIgBFAF8AZwBcACIAKQA7AFwAbgBcAG4AVgBFAEUAUgBHAF8AOABfADEAXwAxAF8AMQBfAF8AMQBfAEYAdQBlAGwAQwBvAG0AYgB1AHMAdABpAG8AbgBUAHIAYQBuAHMAcABvAHIAdABfAFUAbgBpAHQAXABuACAAIAA9AEwAQQBNAEIARABBACgAXAAiAHQAIABDAE8AMgAtAGUAXAAiACkAOwBcAG4AXABuAFYARQBFAFIARwBfADgAXwAxAF8AMQBfADEAXwBfADEAXwBGAHUAZQBsAEMAbwBtAGIAdQBzAHQAaQBvAG4AVAByAGEAbgBzAHAAbwByAHQAXwBTAG8AdQByAGMAZQBcAG4AIAAgAD0ATABBAE0AQgBEAEEAKABcACIAVgBFAEUAUgBHACAAMgAwADIANgA6ACAAOAAuADEALgAxAC4AMQAsACAARQBxAHUAYQB0AGkAbwBuACAAKAAxACkAXAAiACkAOwBcAG4AXABuAFYARQBFAFIARwBfADgAXwAxAF8AMQBfADEAXwBfADEAXwBGAHUAZQBsAEMAbwBtAGIAdQBzAHQAaQBvAG4AVAByAGEAbgBzAHAAbwByAHQAXwBOAEkAUgBSAGUAZgBlAHIAZQBuAGMAZQBcAG4AIAAgAD0ATABBAE0AQgBEAEEAKABcACIAQQB1AHMAdAByAGEAbABpAGEAbgAgAE4AYQB0AGkAbwBuAGEAbAAgAEcAcgBlAGUAbgBoAG8AdQBzAGUAIABBAGMAYwBvAHUAbgB0AHMAIABGAGEAYwB0AG8AcgBzACAAMgAwADIANQAgAC0AIAAyAC4AMwAgAEUAcwB0AGkAbQBhAHQAaQBuAGcAIABlAG0AaQBzAHMAaQBvAG4AcwAgAGYAcgBvAG0AIAB0AHIAYQBuAHMAcABvAHIAdAAgAGYAdQBlAGwAcwBcACIAKQA7AFwAbgBcAG4AVgBFAEUAUgBHAF8AOABfADEAXwAxAF8AMQBfAF8AMQBfAEYAdQBlAGwAQwBvAG0AYgB1AHMAdABpAG8AbgBUAHIAYQBuAHMAcABvAHIAdABfAEwAYQB0AGUAeABFAHEAdQBhAHQAaQBvAG4AXABuACAAIAA9AEwAQQBNAEIARABBACgAXAAiAEUAXwBnAD0AXABcAHMAdQBtAFwAXABuAG8AbABpAG0AaQB0AHMAXwB0ACAAXABcAHMAdQBtAFwAXABuAG8AbABpAG0AaQB0AHMAXwBxAFwAXABsAGUAZgB0ACgAUQBfAHsAVAByAGEAbgBzACwAdABxAH0AXABcAHQAaQBtAGUAcwAgAEUAQwBfAHsAVAByAGEAbgBzACwAcQB9AFwAXAB0AGkAbQBlAHMAIABFAEYAXwB7AFQAcgBhAG4AcwAsADEALAB0AHEAZwB9AFwAXAByAGkAZwBoAHQAKQBcAFwAdABpAG0AZQBzACAAMQAwAF4AewAtADMAfQBcACIAKQA7AFwAbgBcAG4AVgBFAEUAUgBHAF8AOABfADEAXwAxAF8AMQBfAF8AMQBfAEYAdQBlAGwAQwBvAG0AYgB1AHMAdABpAG8AbgBUAHIAYQBuAHMAcABvAHIAdABfAEEAcgBnAHUAbQBlAG4AdABzAFwAbgAgACAAPQBMAEEATQBCAEQAQQAoAFwAbgAgACAAIAAgAE0AQQBLAEUAQQBSAFIAQQBZACgANwAsACAANAAsACAAXABuACAAIAAgACAAIAAgAEwAQQBNAEIARABBACgAcgAsAGMALAAgAFwAbgAgACAAIAAgACAAIAAgACAASQBOAEQARQBYACgAewBcAG4AIAAgACAAIAAgACAAIAAgACAAIABcACIAUQBfAFQAcgBhAG4AcwB0AHEAXAAiACwAIABcACIAQQBtAG8AdQBuAHQAIABvAGYAIABmAHUAZQBsACAAdAB5AHAAZQAgAHEAIABjAG8AbQBiAHUAcwB0AGUAZAAgAGYAbwByACAAdAByAGEAbgBzAHAAbwByAHQAIABlAG4AZQByAGcAeQAgAHAAdQByAHAAbwBzAGUAcwBcACIALAAgAFwAIgBWAGEAcgBpAGUAcwAgAGIAYQBzAGUAZAAgAG8AbgAgAGYAdQBlAGwAIAB0AHkAcABlADoAIABrAEwALAAgAG0AMwAsACAARwBKAFwAIgAsACAAXAAiAEkAbgBwAHUAdABcACIAOwBcAG4AIAAgACAAIAAgACAAIAAgACAAIABcACIARQBDAF8AVAByAGEAbgBzAHEAXAAiACwAIABcACIARQBuAGUAcgBnAHkAIABjAG8AbgB0AGUAbgB0ACAAZgBhAGMAdABvAHIAIABmAG8AcgAgAHQAcgBhAG4AcwBwAG8AcgB0ACAAZQBuAGUAcgBnAHkAIABwAHUAcgBwAG8AcwBlAHMAXAAiACwAIABcACIARwBKACAALwAgAHUAbgBpAHQAIABvAGYAIABmAHUAZQBsAFwAIgAsACAAXAAiAEMAbwBuAHMAdABhAG4AdABcACIAOwBcAG4AIAAgACAAIAAgACAAIAAgACAAIABcACIARQBGAF8AVAByAGEAbgBzADEAdABxAGcAXAAiACwAIABcACIAUwBjAG8AcABlACAAMQAgAGUAbQBpAHMAcwBpAG8AbgAgAGYAYQBjAHQAbwByACAAZgBvAHIAIAB0AHIAYQBuAHMAcABvAHIAdAAgAGUAbgBlAHIAZwB5ACAAcAB1AHIAcABvAHMAZQBzACAAZgBvAHIAIABlAGEAYwBoACAAZwByAGUAZQBuAGgAbwB1AHMAZQAgAGcAYQBzAFwAIgAsACAAXAAiAGsAZwAgAEMATwAyAGUAIAAvACAARwBKAFwAIgAsACAAXAAiAEMAbwBuAHMAdABhAG4AdABcACIAOwBcAG4AIAAgACAAIAAgACAAIAAgACAAIABcACIAcQBcACIALAAgAFwAIgBGAHUAZQBsACAAdAB5AHAAZQBcACIALAAgAFwAIgBcACIALAAgAFwAIgBDAG8AbgBzAHQAYQBuAHQAXAAiADsAXABuACAAIAAgACAAIAAgACAAIAAgACAAXAAiAFQAcgBhAG4AcwBcACIALAAgAFwAIgBUAHIAYQBuAHMAcABvAHIAdAAgAGMAbwBtAGIAdQBzAHQAaQBvAG4AXAAiACwAIABcACIAXAAiACwAIABcACIAQwBvAG4AcwB0AGEAbgB0AFwAIgA7AFwAbgAgACAAIAAgACAAIAAgACAAIAAgAFwAIgBnAFwAIgAsACAAXAAiAEcAcgBlAGUAbgBoAG8AdQBzAGUAIABnAGEAcwBcACIALAAgAFwAIgBcACIALAAgAFwAIgBDAG8AbgBzAHQAYQBuAHQAXAAiADsAXABuACAAIAAgACAAIAAgACAAIAAgACAAXAAiADEAXAAiACwAIABcACIAUwBjAG8AcABlACAAM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4AF8AMgBfADEAXwAxAF8AXwAxAF8ARgB1AGUAbABDAG8AbQBiAHUAcwB0AGkAbwBuAFMAdABhAHQAaQBvAG4AYQByAHkAXABuAEUAbQBpAHMAcwBpAG8AbgBzACAAZgBvAHIAIABlAGEAYwBoACAARwBIAEcAIABmAHIAbwBtACAAdABoAGUAIABzAHQAYQB0AGkAbwBuAGEAcgB5ACAAYwBvAG0AYgB1AHMAdABpAG8AbgAgAG8AZgAgAGYAdQBlAGwAcwBcAG4AUQAgADoAIABBAG0AbwB1AG4AdAAgAG8AZgAgAGYAdQBlAGwAIAB0AHkAcABlACAAcQAgAHUAcwBlAGQAIABmAG8AcgAgAHMAdABhAHQAaQBvAG4AYQByAHkAIABjAG8AbQBiAHUAcwB0AGkAbwBuACAAbwBwAGUAcgBhAHQAaQBvAG4AcwAgADoAIABrAEwAXABuAEUAQwAgADoAIABFAG4AZQByAGcAeQAgAGMAbwBuAHQAZQBuAHQAIABmAGEAYwB0AG8AcgAgAGYAbwByACAAcwB0AGEAdABpAG8AbgBhAHIAeQAgAGMAbwBtAGIAdQBzAHQAaQBvAG4AIABvAHAAZQByAGEAdABpAG8AbgBzACAAOgAgAEcASgAvAGsATABcAG4ARQBGACAAOgAgAFMAYwBvAHAAZQAgADEAIABlAG0AaQBzAHMAaQBvAG4AIABmAGEAYwB0AG8AcgAgAGYAbwByACAAcwB0AGEAdABpAG8AbgBhAHIAeQAgAGMAbwBtAGIAdQBzAHQAaQBvAG4AIABmAG8AcgAgAGUAYQBjAGgAIABnAHIAZQBlAG4AaABvAHUAcwBlACAAZwBhAHMAIAA6ACAAawBnACAAQwBPADIAZQAgAC8AIABHAEoAXABuAC0ALQAtAC0ALQAtAC0ALQAtAC0ALQAtAC0ALQAtAC0ALQAtAC0ALQAtAC0ALQAtAC0ALQAtAC0ALQAtAC0ALQAtAC0ALQAtAC0ALQBcAG4AKgAvAFwAbgBcAG4AXABuAFYARQBFAFIARwBfADgAXwAyAF8AMQBfADEAXwBfADEAXwBGAHUAZQBsAEMAbwBtAGIAdQBzAHQAaQBvAG4AUwB0AGEAdABpAG8AbgBhAHIAeQBcAG4AIAAgAD0ATABBAE0AQgBEAEEAKABcAG4AIAAgACAAIABRAF8AUwBDAHEALAAgAEUAQwBfAFMAQwBxACwAIABFAEYAXwBTAEMAMQBxAGcALABcAG4AIAAgACAAIABWAEUARQBSAEcAXwA4AF8ARgB1AGUAbABDAG8AbQBiAHUAcwB0AGkAbwBuACgAUQBfAFMAQwBxACwAIABFAEMAXwBTAEMAcQAsACAARQBGAF8AUwBDADEAcQBnACkAXABuACAAIAApAFwAbgA7AFwAbgBcAG4AVgBFAEUAUgBHAF8AOABfADIAXwAxAF8AMQBfAF8AMQBfAEYAdQBlAGwAQwBvAG0AYgB1AHMAdABpAG8AbgBTAHQAYQB0AGkAbwBuAGEAcgB5AF8AVABpAHQAbABlAFwAbgAgACAAPQBMAEEATQBCAEQAQQAoAFwAIgBFAG0AaQBzAHMAaQBvAG4AcwAgAGYAbwByACAAZQBhAGMAaAAgAEcASABHACAAZgByAG8AbQAgAHQAaABlACAAcwB0AGEAdABpAG8AbgBhAHIAeQAgAGMAbwBtAGIAdQBzAHQAaQBvAG4AIABvAGYAIABmAHUAZQBsAHMAXAAiACkAOwBcAG4AXABuAFYARQBFAFIARwBfADgAXwAyAF8AMQBfADEAXwBfADEAXwBGAHUAZQBsAEMAbwBtAGIAdQBzAHQAaQBvAG4AUwB0AGEAdABpAG8AbgBhAHIAeQBfAFYAYQByAGkAYQBiAGwAZQBcAG4AIAAgAD0ATABBAE0AQgBEAEEAKABcACIARQBfAGcAXAAiACkAOwBcAG4AXABuAFYARQBFAFIARwBfADgAXwAyAF8AMQBfADEAXwBfADEAXwBGAHUAZQBsAEMAbwBtAGIAdQBzAHQAaQBvAG4AUwB0AGEAdABpAG8AbgBhAHIAeQBfAFUAbgBpAHQAXABuACAAIAA9AEwAQQBNAEIARABBACgAXAAiAHQAIABDAE8AMgAtAGUAXAAiACkAOwBcAG4AXABuAFYARQBFAFIARwBfADgAXwAyAF8AMQBfADEAXwBfADEAXwBGAHUAZQBsAEMAbwBtAGIAdQBzAHQAaQBvAG4AUwB0AGEAdABpAG8AbgBhAHIAeQBfAFMAbwB1AHIAYwBlAFwAbgAgACAAPQBMAEEATQBCAEQAQQAoAFwAIgBWAEUARQBSAEcAIAAyADAAMgA2ADoAIAA4AC4AMgAuADEALgAxACwAIABFAHEAdQBhAHQAaQBvAG4AIAAoADEAKQBcACIAKQA7AFwAbgBcAG4AVgBFAEUAUgBHAF8AOABfADIAXwAxAF8AMQBfAF8AMQBfAEYAdQBlAGwAQwBvAG0AYgB1AHMAdABpAG8AbgBTAHQAYQB0AGkAbwBuAGEAcgB5AF8ATgBJAFIAUgBlAGYAZQByAGUAbgBjAGUAXABuACAAIAA9AEwAQQBNAEIARABBACgAXAAiAEEAdQBzAHQAcgBhAGwAaQBhAG4AIABOAGEAdABpAG8AbgBhAGwAIABHAHIAZQBlAG4AaABvAHUAcwBlACAAQQBjAGMAbwB1AG4AdABzACAARgBhAGMAdABvAHIAcwAgADIAMAAyADUAIAAtACAAMgAuADIAIABFAHMAdABpAG0AYQB0AGkAbgBnACAAZQBtAGkAcwBzAGkAbwBuAHMAIABmAHIAbwBtACAAcwB0AGEAdABpAG8AbgBhAHIAeQAgAGUAbgBlAHIAZwB5ACAAcwBvAHUAcgBjAGUAcwAgAC0AIABDAGEAbABjAHUAbABhAHQAaQBuAGcAIABlAG0AaQBzAHMAaQBvAG4AcwAgAGYAcgBvAG0AIABzAHQAYQB0AGkAbwBuAGEAcgB5ACAAYwBvAG0AYgB1AHMAdABpAG8AbgAgAG8AZgAgAGwAaQBxAHUAaQBkACAAZgB1AGUAbABzAFwAIgApADsAXABuAFwAbgBWAEUARQBSAEcAXwA4AF8AMgBfADEAXwAxAF8AXwAxAF8ARgB1AGUAbABDAG8AbQBiAHUAcwB0AGkAbwBuAFMAdABhAHQAaQBvAG4AYQByAHkAXwBMAGEAdABlAHgARQBxAHUAYQB0AGkAbwBuAFwAbgAgACAAPQBMAEEATQBCAEQAQQAoAFwAIgBFAF8AZwA9AFwAXABzAHUAbQBcAFwAbgBvAGwAaQBtAGkAdABzAF8AdAAgAFwAXABzAHUAbQBcAFwAbgBvAGwAaQBtAGkAdABzAF8AcQBcAFwAbABlAGYAdAAoAFEAXwB7AFMAQwAsAHEAfQBcAFwAdABpAG0AZQBzACAARQBDAF8AewBTAEMALABxAH0AXABcAHQAaQBtAGUAcwAgAEUARgBfAHsAUwBDACwAMQAsAHEAZwB9AFwAXAByAGkAZwBoAHQAKQBcAFwAdABpAG0AZQBzACAAMQAwAF4AewAtADMAfQBcACIAKQA7AFwAbgBcAG4AVgBFAEUAUgBHAF8AOABfADIAXwAxAF8AMQBfAF8AMQBfAEYAdQBlAGwAQwBvAG0AYgB1AHMAdABpAG8AbgBTAHQAYQB0AGkAbwBuAGEAcgB5AF8AQQByAGcAdQBtAGUAbgB0AHMAXABuACAAIAA9AEwAQQBNAEIARABBACgAXABuACAAIAAgACAATQBBAEsARQBBAFIAUgBBAFkAKAA3ACwAIAA0ACwAIABcAG4AIAAgACAAIAAgACAATABBAE0AQgBEAEEAKAByACwAYwAsACAAXABuACAAIAAgACAAIAAgACAAIABJAE4ARABFAFgAKAB7AFwAbgAgACAAIAAgACAAIAAgACAAIAAgAFwAIgBRAF8AUwBDAHEAXAAiACwAIABcACIAQQBtAG8AdQBuAHQAIABvAGYAIABmAHUAZQBsACAAdAB5AHAAZQAgAHEAIAB1AHMAZQBkACAAZgBvAHIAIABzAHQAYQB0AGkAbwBuAGEAcgB5ACAAYwBvAG0AYgB1AHMAdABpAG8AbgAgAG8AcABlAHIAYQB0AGkAbwBuAHMAXAAiACwAIABcACIAVgBhAHIAaQBlAHMAIABiAGEAcwBlAGQAIABvAG4AIABmAHUAZQBsACAAdAB5AHAAZQA6ACAAawBMACwAIABtADMALAAgAEcASgBcACIALAAgAFwAIgBJAG4AcAB1AHQAXAAiADsAXABuACAAIAAgACAAIAAgACAAIAAgACAAXAAiAEUAQwBfAFMAQwBxAFwAIgAsACAAXAAiAEUAbgBlAHIAZwB5ACAAYwBvAG4AdABlAG4AdAAgAGYAYQBjAHQAbwByACAAZgBvAHIAIABzAHQAYQB0AGkAbwBuAGEAcgB5ACAAYwBvAG0AYgB1AHMAdABpAG8AbgAgAG8AcABlAHIAYQB0AGkAbwBuAHMAXAAiACwAIABcACIARwBKACAALwAgAHUAbgBpAHQAIABvAGYAIABmAHUAZQBsAFwAIgAsACAAXAAiAEMAbwBuAHMAdABhAG4AdABcACIAOwBcAG4AIAAgACAAIAAgACAAIAAgACAAIABcACIARQBGAF8AUwBDADEAcQBnAFwAIgAsACAAXAAiAFMAYwBvAHAAZQAgADEAIABlAG0AaQBzAHMAaQBvAG4AIABmAGEAYwB0AG8AcgAgAGYAbwByACAAcwB0AGEAdABpAG8AbgBhAHIAeQAgAGMAbwBtAGIAdQBzAHQAaQBvAG4AIABmAG8AcgAgAGUAYQBjAGgAIABnAHIAZQBlAG4AaABvAHUAcwBlACAAZwBhAHMAXAAiACwAIABcACIAawBnACAAQwBPADIAZQAgAC8AIABHAEoAXAAiACwAIABcACIAQwBvAG4AcwB0AGEAbgB0AFwAIgA7AFwAbgAgACAAIAAgACAAIAAgACAAIAAgAFwAIgBxAFwAIgAsACAAXAAiAEYAdQBlAGwAIAB0AHkAcABlAFwAIgAsACAAXAAiAFwAIgAsACAAXAAiAEMAbwBuAHMAdABhAG4AdABcACIAOwBcAG4AIAAgACAAIAAgACAAIAAgACAAIABcACIAUwBDAFwAIgAsACAAXAAiAFMAdABhAHQAaQBvAG4AYQByAHk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IgB9ACwAewAiAHAAYQB0AGgAIgA6ACIALwBwAHIAbwBqAGUAYwB0AHMALwBGAGUAcgB0AGkAbABpAHMAZQByAF8ARQBxAHUAYQB0AGkAbwBuAHMAXwBP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E4AMgBPAEUAbQBpAHMAcwBpAG8AbgBzAFwAb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bgBFAF8ATgAyAE8AXABuAHQAIABOADIATwBcAG4ARQBfAHsATgAyAE8AfQA9AFwAXABzAHUAbQBfAHsAagB9AFwAXABzAHUAbQBfAHsAZgB9ACgAKABNAE4AUwBvAGkAbABfAHsAagBmAH0AXABcAHQAaQBtAGUAcwAgAEUARgBfAHsATgAyAE8ALABpAH0AXABcAHQAaQBtAGUAcwAgAEMAXwB7AE4AMgBPAH0AKQBcAFwAdABpAG0AZQBzACAAMQAwAF4AewAtADMAfQApAFwAbgBNAE4AUwBvAGkAbABfAGoAZgBcAG4ARQBGAF8ATgAyAE8AaQBcAG4AQwBfAE4AMgBPAFwAbgBqAFwAbgBpAFwAbgBmAFwAbgAtAC0ALQAtAC0ALQAtAC0ALQAtAC0ALQAtAC0ALQAtAC0ALQAtAC0ALQAtAC0ALQAtAC0ALQAtAC0ALQAtAC0ALQAtAC0ALQAtAC0AXABuACoALwBcAG4AXABuAFYARQBFAFIARwBfADUAXwAyAF8AMQBfADEAXwBfADEAXwBPAHIAZwBhAG4AaQBjAEYAZQByAHQAaQBsAGkAcwBlAHIAQQBwAHAAbABpAGMAYQB0AGkAbwBuAE4AMgBPAEUAbQBpAHMAcwBpAG8AbgBzAFwAbgAgACAAPQBMAEEATQBCAEQAQQAoAFwAbgAgACAAIAAgAE0ATgBTAG8AaQBsAF8AagBmACwAIABFAEYAXwBOADIATwBpACwAIABDAF8ATgAyAE8ALABcAG4AIAAgACAAIAAoAE0ATgBTAG8AaQBsAF8AagBmACAAKgAgAEUARgBfAE4AMgBPAGkAIAAqACAAQwBfAE4AMgBPACkAIAAqACAAMQAwACAAXgAgAC0AMwBcAG4AIAAgACkAOwBcAG4AXABuAFYARQBFAFIARwBfADUAXwAyAF8AMQBfADEAXwBfADEAXwBP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IgApADsAXABuAFwAbgBWAEUARQBSAEcAXwA1AF8AMgBfADEAXwAxAF8AXwAxAF8ATwByAGcAYQBuAGkAYwBGAGUAcgB0AGkAbABpAHMAZQByAEEAcABwAGwAaQBjAGEAdABpAG8AbgBOADIATwBFAG0AaQBzAHMAaQBvAG4AcwBfAFYAYQByAGkAYQBiAGwAZQBcAG4AIAAgAD0ATABBAE0AQgBEAEEAKABcACIARQBfAE4AMgBPAFwAIgApADsAXABuAFwAbgBWAEUARQBSAEcAXwA1AF8AMgBfADEAXwAxAF8AXwAxAF8ATwByAGcAYQBuAGkAYwBGAGUAcgB0AGkAbABpAHMAZQByAEEAcABwAGwAaQBjAGEAdABpAG8AbgBOADIATwBFAG0AaQBzAHMAaQBvAG4AcwBfAFUAbgBpAHQAXABuACAAIAA9AEwAQQBNAEIARABBACgAXAAiAHQAIABOADIATwBcACIAKQA7AFwAbgBcAG4AVgBFAEUAUgBHAF8ANQBfADIAXwAxAF8AMQBfAF8AMQBfAE8AcgBnAGEAbgBpAGMARgBlAHIAdABpAGwAaQBzAGUAcgBBAHAAcABsAGkAYwBhAHQAaQBvAG4ATgAyAE8ARQBtAGkAcwBzAGkAbwBuAHMAXwBTAG8AdQByAGMAZQBcAG4AIAAgAD0ATABBAE0AQgBEAEEAKABcACIAVgBFAEUAUgBHACAAMgAwADIANgA6ACAANQAuADIALgAxAC4AMQAsACAARQBxAHUAYQB0AGkAbwBuACAAKAAxACkAXAAiACkAOwBcAG4AXABuAFYARQBFAFIARwBfADUAXwAyAF8AMQBfADEAXwBfADEAXwBPAHIAZwBhAG4AaQBjAEYAZQByAHQAaQBsAGkAcwBlAHIAQQBwAHAAbABpAGMAYQB0AGkAbwBuAE4AMgBPAEUAbQBpAHMAcwBpAG8AbgBzAF8ATgBJAFIAUgBlAGYAZQByAGUAbgBjAGUAXABuACAAIAA9AEwAQQBNAEIARABBACgAXAAiAFwAIgApADsAXABuAFwAbgBWAEUARQBSAEcAXwA1AF8AMgBfADEAXwAxAF8AXwAxAF8ATwByAGcAYQBuAGkAYwBGAGUAcgB0AGkAbABpAHMAZQByAEEAcABwAGwAaQBjAGEAdABpAG8AbgBOADIATwBFAG0AaQBzAHMAaQBvAG4AcwBfAEwAYQB0AGUAeABFAHEAdQBhAHQAaQBvAG4AXABuACAAIAA9AEwAQQBNAEIARABBACgAXAAiAEUAXwB7AE4AMgBPAH0APQBcAFwAcwB1AG0AXwB7AGoAfQBcAFwAcwB1AG0AXwB7AGYAfQAoACgATQBOAFMAbwBpAGwAXwB7AGoAZgB9AFwAXAB0AGkAbQBlAHMAIABFAEYAXwB7AE4AMgBPACwAaQB9AFwAXAB0AGkAbQBlAHMAIABDAF8AewBOADIATwB9ACkAXABcAHQAaQBtAGUAcwAgADEAMABeAHsALQAzAH0AKQBcACIAKQA7AFwAbgBcAG4AVgBFAEUAUgBHAF8ANQBfADIAXwAxAF8AMQBfAF8AMQBfAE8AcgBnAGEAbgBpAGMARgBlAHIAdABpAGwAaQBzAGUAcgBBAHAAcABsAGkAYwBhAHQAaQBvAG4ATgAyAE8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UARgBfAE4AMgBPAGkAXAAiACwAXAAiAGUAbQBpAHMAcwBpAG8AbgAgAGYAYQBjAHQAbwByACAAZgBvAHIAIABkAGkAcgBlAGMAdAAgAG4AaQB0AHIAbwB1AHMAIABvAHgAaQBkAGUAIABlAG0AaQBzAHMAaQBvAG4AcwAgAGYAcgBvAG0AIABvAHIAZwBhAG4AaQBjACAAZgBlAHIAdABpAGwAaQBzAGUAcgAgAGEAcABwAGwAaQBlAGQAIAB0AG8AIABzAG8AaQBsAHMAIABhAG4AZAAgAGEAcQB1AGEAdABpAGMAIABzAHkAcwB0AGUAbQBzACAAaQBuACAAYwBsAGkAbQBhAHQAZQAgAHoAbwBuAGUAIABpAFwAIgAsACAAXAAiAGsAZwAgAE4AMgBPAC0ATgAvAGsAZwAgAE4AXAAiACwAIABcACIATABvAG8AawB1AHA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gBfADEAXwAxAF8AXwAyAF8ATQBhAHMAcwBPAGYATgBpAHQAcgBvAGcAZQBuAEkAbgBPAHIAZwBhAG4AaQBjAEYAZQByAHQAaQBsAGkAcwBlAHIAXABuAE0AYQBzAHMAIABvAGYAIABuAGkAdAByAG8AZwBlAG4AIABpAG4AIABwAHUAcgBjAGgAYQBzAGUAZAAgAG8AcgBnAGEAbgBpAGMAIABmAGUAcgB0AGkAbABpAHMAZQByAHMAIABhAHAAcABsAGkAZQBkACAAdABvACAAcAByAG8AZAB1AGMAdABpAG8AbgAgAHMAeQBzAHQAZQBtAFwAbgBNAE4AUwBvAGkAbABfAGoAZgBcAG4AawBnACAATgBcAG4ATQBOAFMAbwBpAGwAXwB7AGoAZgB9AD0ATQBfAHsAbwByAGcAYQBuAGkAYwAsAGoAZgB9AFwAXAB0AGkAbQBlAHMAIABGAE4AXwB7AG8AcgBnAGEAbgBpAGMALABmAH0AXABuAE0AXwBvAHIAZwBhAG4AaQBjAGoAZgBcAG4ARgBOAF8AbwByAGcAYQBuAGkAYwBmAFwAbgBqAFwAbgBmAFwAbgAtAC0ALQAtAC0ALQAtAC0ALQAtAC0ALQAtAC0ALQAtAC0ALQAtAC0ALQAtAC0ALQAtAC0ALQAtAC0ALQAtAC0ALQAtAC0ALQAtAC0AXABuACoALwBcAG4AXABuAFYARQBFAFIARwBfADUAXwAyAF8AMQBfADEAXwBfADIAXwBNAGEAcwBzAE8AZgBOAGkAdAByAG8AZwBlAG4ASQBuAE8AcgBnAGEAbgBpAGMARgBlAHIAdABpAGwAaQBzAGUAcgBcAG4AIAAgAD0ATABBAE0AQgBEAEEAKABcAG4AIAAgACAAIABNAF8AbwByAGcAYQBuAGkAYwBqAGYALAAgAEYATgBfAG8AcgBnAGEAbgBpAGMAZgAsAFwAbgAgACAAIAAgAE0AXwBvAHIAZwBhAG4AaQBjAGoAZgAgACoAIABGAE4AXwBvAHIAZwBhAG4AaQBjAGYAXABuACAAIAAp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AByAG8AZAB1AGMAdABpAG8AbgAgAHMAeQBzAHQAZQBtAFwAIgApADsAXABuAFwAbgBWAEUARQBSAEcAXwA1AF8AMgBfADEAXwAxAF8AXwAyAF8ATQBhAHMAcwBPAGYATgBpAHQAcgBvAGcAZQBuAEkAbgBPAHIAZwBhAG4AaQBjAEYAZQByAHQAaQBsAGkAcwBlAHIAXwBWAGEAcgBpAGEAYgBsAGUAXABuACAAIAA9AEwAQQBNAEIARABBACgAXAAiAE0ATgBTAG8AaQBsAF8AagBmAFwAIgApADsAXABuAFwAbgBWAEUARQBSAEcAXwA1AF8AMgBfADEAXwAxAF8AXwAyAF8ATQBhAHMAcwBPAGYATgBpAHQAcgBvAGcAZQBuAEkAbgBPAHIAZwBhAG4AaQBjAEYAZQByAHQAaQBsAGkAcwBlAHIAXwBVAG4AaQB0AFwAbgAgACAAPQBMAEEATQBCAEQAQQAoAFwAIgBrAGcAIABO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TABhAHQAZQB4AEUAcQB1AGEAdABpAG8AbgBcAG4AIAAgAD0ATABBAE0AQgBEAEEAKABcACIATQBOAFMAbwBpAGwAXwB7AGoAZgB9AD0ATQBfAHsAbwByAGcAYQBuAGkAYwAsAGoAZgB9AFwAXAB0AGkAbQBlAHMAIABGAE4AXwB7AG8AcgBnAGEAbgBpAGMALABmAH0AXAAiACkAOwBcAG4AXABuAFYARQBFAFIARwBfADUAXwAyAF8AMQBfADEAXwBfADIAXwBNAGEAcwBzAE8AZgBOAGkAdAByAG8AZwBlAG4ASQBuAE8AcgBnAGEAbgBpAGMARgBlAHIAdABpAGwAaQBzAGUAcgBfAEEAcgBnAHUAbQBlAG4AdABzAFwAbgAgACAAPQBMAEEATQBCAEQAQQAoAFwAbgAgACAAIAAgAE0AQQBLAEUAQQBSAFIAQQBZACgAMwAsACAANAAsACAAXABuACAAIAAgACAAIAAgAEwAQQBNAEIARABBACgAcgAsAGMALAAgAFwAbgAgACAAIAAgACAAIAAgACAASQBOAEQARQBYACgAewBcAG4AIAAgACAAIAAgACAAIAAgACAAIABcACIATQBfAG8AcgBnAGEAbgBpAGMAagBmAFwAIgAsAFwAIgBtAGEAcwBzACAAbwBmACAAbwByAGcAYQBuAGkAYwAgAGYAZQByAHQAaQBsAGkAcwBlAHIAIAB0AHkAcABlACAAZgAgAGEAcABwAGwAaQBlAGQAIAB0AG8AIABwAHIAbwBkAHUAYwB0AGkAbwBuACAAcwB5AHMAdABlAG0AIABqAFwAIgAsACAAXAAiAGsAZwBcACIALAAgAFwAIgBJAG4AcAB1AHQAXAAiADsAXABuACAAIAAgACAAIAAgACAAIAAgACAAXAAiAEYATgBfAG8AcgBnAGEAbgBpAGMAZgBcACIALABcACIAbgBpAHQAcgBvAGcAZQBuACAAZgByAGEAYwB0AGkAbwBuACAAbwBmACAAbwByAGcAYQBuAGkAYwAgAGYAZQByAHQAaQBsAGkAcwBlAHIAIAB0AHkAcABlACAAZgBcACIALAAgAFwAIgBrAGcAIABOAC8AawBnAFwAIgAsACAAXAAiAEkAbgBwAHUAdABcACIAOwBcAG4AIAAgACAAIAAgACAAIAAgACAAIABcACIAZgBcACIALABcACIATwByAGcAYQBuAGkAYwAgAGYAZQByAHQAaQBsAGkAcwBlAHIAIAB0AHkAcABlAFwAIgAsACAAXAAiAFwAIgAsACAAXAAiAEkAbgBwAHUAdABcACIAXABuACAAIAAgACAAIAAgACAAIAB9ACwAIAByACwAIABjACkAXABuACAAIAAgACAAIAAgACkAXABuACAAIAAgACAAKQBcAG4AIAAgACkAOwBcAG4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JAG4AbwByAGcAYQBuAGkAYwAgAGYAZQByAHQAaQBsAGkAcwBlAHIAIABhAHQAbQBvAHMAcABoAGUAcgBpAGMAIABkAGUAcABvAHMAa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JAG4AbwByAGcAYQBuAGkAYwBGAGUAcgB0AGkAbABpAHMAZQByAEEAdABtAG8AcwBwAGgAZQByAGkAYwBEAGUAcABvAHMAaQB0AGkAbwBuAE4AMgBPAEUAbQBpAHMAcwBpAG8AbgBzAFwAb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bgBFAF8AYQBkAGkAbgBvAHIAZwBhAG4AaQBjAFwAbgB0ACAATgAyAE8AXABuAEUAXwB7AGEAZAAsAGkAbgBvAHIAZwBhAG4AaQBjAH0APQBcAFwAcwB1AG0AXwB7AGoAfQBcAFwAcwB1AG0AXwB7AGYAfQAoACgATQBfAHsAdgBvAGwALABpAG4AbwByAGcAYQBuAGkAYwAsAGoAZgB9AFwAXAB0AGkAbQBlAHMAIABFAEYAXwB7AE4AMgBPACwAagB9ACkAXABcAHQAaQBtAGUAcwAgAEMAXwB7AE4AMgBPAH0AXABcAHQAaQBtAGUAcwAgADEAMABeAHsALQAzAH0AKQBcAG4ATQBfAHYAbwBsAGkAbgBvAHIAZwBhAG4AaQBjAGoAZgBcAG4ARQBGAF8ATgAyAE8AagBcAG4AQwBfAE4AMgBPAFwAbgBqAFwAbgBmAFwAbgAtAC0ALQAtAC0ALQAtAC0ALQAtAC0ALQAtAC0ALQAtAC0ALQAtAC0ALQAtAC0ALQAtAC0ALQAtAC0ALQAtAC0ALQAtAC0ALQAtAC0AXABuACoALwBcAG4AXABuAFYARQBFAFIARwBfADUAXwA0AF8AMQBfADEAXwBfADEAXwBJAG4AbwByAGcAYQBuAGkAYwBGAGUAcgB0AGkAbABpAHMAZQByAEEAdABtAG8AcwBwAGgAZQByAGkAYwBEAGUAcABvAHMAaQB0AGkAbwBuAE4AMgBPAEUAbQBpAHMAcwBpAG8AbgBzAFwAbgAgACAAPQBMAEEATQBCAEQAQQAoAFwAbgAgACAAIAAgAE0AXwB2AG8AbABpAG4AbwByAGcAYQBuAGkAYwBqAGYALAAgAEUARgBfAE4AMgBPAGoALAAgAEMAXwBOADIATwAsAFwAbgAgACAAIAAgACgATQBfAHYAbwBsAGkAbgBvAHIAZwBhAG4AaQBjAGoAZgAgACoAIABFAEYAXwBOADIATwBqACkAIAAqACAAQwBfAE4AMgBPACAAKgAgADEAMAAgAF4AIAAtADMAXABuACAAIAApADsAXABuAFwAbgBWAEUARQBSAEcAXwA1AF8ANABfADEAXwAxAF8AXwAxAF8ASQBuAG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kAbgBvAHIAZwBhAG4AaQBjAEYAZQByAHQAaQBsAGkAcwBlAHIAQQB0AG0AbwBzAHAAaABlAHIAaQBjAEQAZQBwAG8AcwBpAHQAaQBvAG4ATgAyAE8ARQBtAGkAcwBzAGkAbwBuAHMAXwBWAGEAcgBpAGEAYgBsAGUAXABuACAAIAA9AEwAQQBNAEIARABBACgAXAAiAEUAXwBhAGQAaQBuAG8AcgBnAGEAbgBpAGMAXAAiACkAOwBcAG4AXABuAFYARQBFAFIARwBfADUAXwA0AF8AMQBfADEAXwBfADEAXwBJAG4AbwByAGcAYQBuAGkAYwBGAGUAcgB0AGkAbABpAHMAZQByAEEAdABtAG8AcwBwAGgAZQByAGkAYwBEAGUAcABvAHMAaQB0AGkAbwBuAE4AMgBPAEUAbQBpAHMAcwBpAG8AbgBzAF8AVQBuAGkAdABcAG4AIAAgAD0ATABBAE0AQgBEAEEAKABcACIAdAAgAE4AMgBPAFwAIgApADsAXABuAFwAbgBWAEUARQBSAEcAXwA1AF8ANABfADEAXwAxAF8AXwAxAF8ASQBuAG8AcgBnAGEAbgBpAGMARgBlAHIAdABpAGwAaQBzAGUAcgBBAHQAbQBvAHMAcABoAGUAcgBpAGMARABlAHAAbwBzAGkAdABpAG8AbgBOADIATwBFAG0AaQBzAHMAaQBvAG4AcwBfAFMAbwB1AHIAYwBlAFwAbgAgACAAPQBMAEEATQBCAEQAQQAoAFwAIgBWAEUARQBSAEcAIAAyADAAMgA2ADoAIAA1AC4ANAAuADEALgAxACwAIABFAHEAdQBhAHQAaQBvAG4AIAAoADEAKQBcACIAKQA7AFwAbgBcAG4AVgBFAEUAUgBHAF8ANQBfADQAXwAxAF8AMQBfAF8AMQBfAEkAbgBvAHIAZwBhAG4AaQBjAEYAZQByAHQAaQBsAGkAcwBlAHIAQQB0AG0AbwBzAHAAaABlAHIAaQBjAEQAZQBwAG8AcwBpAHQAaQBvAG4ATgAyAE8ARQBtAGkAcwBzAGkAbwBuAHMAXwBOAEkAUgBSAGUAZgBlAHIAZQBuAGMAZQBcAG4AIAAgAD0ATABBAE0AQgBEAEEAKABcACIAXAAiACkAOwBcAG4AXABuAFYARQBFAFIARwBfADUAXwA0AF8AMQBfADEAXwBfADEAXwBJAG4AbwByAGcAYQBuAGkAYwBGAGUAcgB0AGkAbABpAHMAZQByAEEAdABtAG8AcwBwAGgAZQByAGkAYwBEAGUAcABvAHMAaQB0AGkAbwBuAE4AMgBPAEUAbQBpAHMAcwBpAG8AbgBzAF8ATABhAHQAZQB4AEUAcQB1AGEAdABpAG8AbgBcAG4AIAAgAD0ATABBAE0AQgBEAEEAKABcACIARQBfAHsAYQBkACwAaQBuAG8AcgBnAGEAbgBpAGMAfQA9AFwAXABzAHUAbQBcAFwAbgBvAGwAaQBtAGkAdABzAF8AewBqAH0AXABcAHMAdQBtAFwAXABuAG8AbABpAG0AaQB0AHMAXwB7AGYAfQAoACgATQBfAHsAdgBvAGwALABpAG4AbwByAGcAYQBuAGkAYwAsAGoAZgB9AFwAXAB0AGkAbQBlAHMAIABFAEYAXwB7AE4AMgBPACwAagB9ACkAXABcAHQAaQBtAGUAcwAgAEMAXwB7AE4AMgBPAH0AXABcAHQAaQBtAGUAcwAgADEAMABeAHsALQAzAH0AKQBcACIAKQA7AFwAbgBcAG4AVgBFAEUAUgBHAF8ANQBfADQAXwAxAF8AMQBfAF8AMQBfAEkAbgBv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pAG4AbwByAGcAYQBuAGkAYwBqAGYAXAAiACwAXAAiAG0AYQBzAHMAIABvAGYAIABuAGkAdAByAG8AZwBlAG4AIAB2AG8AbABhAHQAaQBsAGkAcwBlAGQAIABmAHIAbwBtACAAaQBuAG8AcgBnAGEAbgBpAGMAIABmAGUAcgB0AGkAbABpAHMAZQByACAAYQBwAHAAbABpAGUAZAAgAHQAbwAgAHAAcgBvAGQAdQBjAHQAaQBvAG4AIABzAHkAcwB0AGUAbQBcACIALAAgAFwAIgBrAGcAIABOAFwAIgAsACAAXAAiAEMAYQBsAGMAdQBsAGEAdABlAGQAIABmAHIAbwBtACAANQAuADQALgAxAC4AMQAgACgAMgApAFwAIgA7AFwAbgAgACAAIAAgACAAIAAgACAAIAAgAFwAIgBFAEYAXwBOADIATwBqAFwAIgAsAFwAIg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xAF8AXwAyAF8ATQBhAHMAcwBPAGYATgBpAHQAcgBvAGcAZQBuAFYAbwBsAGEAdABpAGwAaQBzAGUAZABGAHIAbwBtAEkAbgBvAHIAZwBhAG4AaQBjAEYAZQByAHQAaQBsAGkAcwBlAHIAXABuAE0AYQBzAHMAIABvAGYAIABuAGkAdAByAG8AZwBlAG4AIAB2AG8AbABhAHQAaQBsAGkAcwBlAGQAIABmAHIAbwBtACAAaQBuAG8AcgBnAGEAbgBpAGMAIABmAGUAcgB0AGkAbABpAHMAZQByACAAYQBwAHAAbABpAGUAZAAgAHQAbwAgAHAAcgBvAGQAdQBjAHQAaQBvAG4AIABzAHkAcwB0AGUAbQBcAG4ATQBfAHYAbwBsAGkAbgBvAHIAZwBhAG4AaQBjAGoAZgBcAG4AawBnACAATgBcAG4ATQBfAHsAdgBvAGwALABpAG4AbwByAGcAYQBuAGkAYwAsAGoAZgB9AD0AewBNAE4AfQBfAHsAagBmAH0AXABcAHQAaQBtAGUAcwAgAEYAcgBhAGMARwBBAFMARgBfAHsAZgB9AFwAbgBNAE4AXwBqAGYAXABuAEYAcgBhAGMARwBBAFMARgBfAGYAXABuAGoAXABuAGYAXABuAC0ALQAtAC0ALQAtAC0ALQAtAC0ALQAtAC0ALQAtAC0ALQAtAC0ALQAtAC0ALQAtAC0ALQAtAC0ALQAtAC0ALQAtAC0ALQAtAC0ALQBcAG4AKgAvAFwAbgBcAG4AVgBFAEUAUgBHAF8ANQBfADQAXwAxAF8AMQBfAF8AMgBfAE0AYQBzAHMATwBmAE4AaQB0AHIAbwBnAGUAbgBWAG8AbABhAHQAaQBsAGkAcwBlAGQARgByAG8AbQBJAG4AbwByAGcAYQBuAGkAYwBGAGUAcgB0AGkAbABpAHMAZQByAFwAbgAgACAAPQBMAEEATQBCAEQAQQAoAFwAbgAgACAAIAAgAE0ATgBfAGoAZgAsACAARgByAGEAYwBHAEEAUwBGAF8AZgAsAFwAbgAgACAAIAAgAE0ATgBfAGoAZgAgACoAIABGAHIAYQBjAEcAQQBTAEYAXwBmAFwAbgAgACAAKQA7AFwAbgBcAG4AVgBFAEUAUgBHAF8ANQBfADQAXwAxAF8AMQBfAF8AMgBfAE0AYQBzAHMATwBmAE4AaQB0AHIAbwBnAGUAbgBWAG8AbABhAHQAaQBsAGkAcwBlAGQARgByAG8AbQBJAG4AbwByAGcAYQBuAGkAYwBGAGUAcgB0AGkAbABpAHMAZQByAF8AVABpAHQAbABlAFwAbgAgACAAPQBMAEEATQBCAEQAQQAoAFwAIgBNAGEAcwBzACAAbwBmACAAbgBpAHQAcgBvAGcAZQBuACAAdgBvAGwAYQB0AGkAbABpAHMAZQBkACAAZgByAG8AbQAgAGkAbgBvAHIAZwBhAG4AaQBjACAAZgBlAHIAdABpAGwAaQBzAGUAcgAgAGEAcABwAGwAaQBlAGQAIAB0AG8AIABwAHIAbwBkAHUAYwB0AGkAbwBuACAAcwB5AHMAdABlAG0AXAAiACkAOwBcAG4AXABuAFYARQBFAFIARwBfADUAXwA0AF8AMQBfADEAXwBfADIAXwBNAGEAcwBzAE8AZgBOAGkAdAByAG8AZwBlAG4AVgBvAGwAYQB0AGkAbABpAHMAZQBkAEYAcgBvAG0ASQBuAG8AcgBnAGEAbgBpAGMARgBlAHIAdABpAGwAaQBzAGUAcgBfAFYAYQByAGkAYQBiAGwAZQBcAG4AIAAgAD0ATABBAE0AQgBEAEEAKABcACIATQBfAHYAbwBsAGkAbgBvAHIAZwBhAG4AaQBjAGoAZgBcACIAKQA7AFwAbgBcAG4AVgBFAEUAUgBHAF8ANQBfADQAXwAxAF8AMQBfAF8AMgBfAE0AYQBzAHMATwBmAE4AaQB0AHIAbwBnAGUAbgBWAG8AbABhAHQAaQBsAGkAcwBlAGQARgByAG8AbQBJAG4AbwByAGcAYQBuAGkAYwBGAGUAcgB0AGkAbABpAHMAZQByAF8AVQBuAGkAdABcAG4AIAAgAD0ATABBAE0AQgBEAEEAKABcACIAawBnACAATgBcACIAKQA7AFwAbgBcAG4AVgBFAEUAUgBHAF8ANQBfADQAXwAxAF8AMQBfAF8AMgBfAE0AYQBzAHMATwBmAE4AaQB0AHIAbwBnAGUAbgBWAG8AbABhAHQAaQBsAGkAcwBlAGQARgByAG8AbQBJAG4AbwByAGcAYQBuAGkAYwBGAGUAcgB0AGkAbABpAHMAZQByAF8AUwBvAHUAcgBjAGUAXABuACAAIAA9AEwAQQBNAEIARABBACgAXAAiAFYARQBFAFIARwAgADIAMAAyADYAOgAgADUALgA0AC4AMQAuADEALAAgAEUAcQB1AGEAdABpAG8AbgAgACgAMgApAFwAIgApADsAXABuAFwAbgBWAEUARQBSAEcAXwA1AF8ANABfADEAXwAxAF8AXwAyAF8ATQBhAHMAcwBPAGYATgBpAHQAcgBvAGcAZQBuAFYAbwBsAGEAdABpAGwAaQBzAGUAZABGAHIAbwBtAEkAbgBvAHIAZwBhAG4AaQBjAEYAZQByAHQAaQBsAGkAcwBlAHIAXwBOAEkAUgBSAGUAZgBlAHIAZQBuAGMAZQBcAG4AIAAgAD0ATABBAE0AQgBEAEEAKABcACIAXAAiACkAOwBcAG4AXABuAFYARQBFAFIARwBfADUAXwA0AF8AMQBfADEAXwBfADIAXwBNAGEAcwBzAE8AZgBOAGkAdAByAG8AZwBlAG4AVgBvAGwAYQB0AGkAbABpAHMAZQBkAEYAcgBvAG0ASQBuAG8AcgBnAGEAbgBpAGMARgBlAHIAdABpAGwAaQBzAGUAcgBfAEwAYQB0AGUAeABFAHEAdQBhAHQAaQBvAG4AXABuACAAIAA9AEwAQQBNAEIARABBACgAXAAiAE0AXwB7AHYAbwBsACwAaQBuAG8AcgBnAGEAbgBpAGMALABqAGYAfQA9AHsATQBOAH0AXwB7AGoAZgB9AFwAXAB0AGkAbQBlAHMAIABGAHIAYQBjAEcAQQBTAEYAXwB7AGYAfQBcACIAKQA7AFwAbgBcAG4AVgBFAEUAUgBHAF8ANQBfADQAXwAxAF8AMQBfAF8AMgBfAE0AYQBzAHMATwBmAE4AaQB0AHIAbwBnAGUAbgBWAG8AbABhAHQAaQBsAGkAcwBlAGQARgByAG8AbQ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hAHAAcABsAGkAZQBkAFwAIgAsACAAXAAiAGsAZwAgAE4AXAAiACwAIABcACIAQwBhAGwAYwB1AGwAYQB0AGUAZAAgAGYAcgBvAG0AIAA1AC4AMQAuADEALgAxACAAKAAyACkAXAAiADsAXABuACAAIAAgACAAIAAgACAAIAAgACAAXAAiAEYAcgBhAGMARwBBAFMARgBfAGYAXAAiACwAXAAiAGYAcgBhAGMAdABpAG8AbgAgAG8AZgAgAGkAbgBvAHIAZwBhAG4AaQBjACAAZgBlAHIAdABpAGwAaQBzAGUAcgAgAHQAaABhAHQAIAB2AG8AbABhAHQAaQBsAGkAcwBlAHMAXAAiACwAIABcACIAKABrAGcAIABOAEgAMwAtAE4AIAArACAATgBPAHgALQBOACkALwBrAGcAIABO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NABfADEAXwAzAF8AXwAxAF8ATwByAGcAYQBuAGkAYwBGAGUAcgB0AGkAbABpAHMAZQByAEEAdABtAG8AcwBwAGgAZQByAGkAYwBEAGUAcABvAHMAaQB0AGkAbwBuAE4AMgBPAEUAbQBpAHMAcwBpAG8AbgBzAFwAb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G4ARQBfAGEAZABvAHIAZwBhAG4AaQBjAFwAbgB0ACAATgAyAE8AXABuAEUAXwB7AGEAZAAsAG8AcgBnAGEAbgBpAGMAfQA9AFwAXABzAHUAbQBfAHsAagB9AFwAXABzAHUAbQBfAHsAZgB9ACgAKABNAF8AewB2AG8AbAAsAG8AcgBnAGEAbgBpAGMALABqAGYAfQBcAFwAdABpAG0AZQBzACAARQBGAF8AewBOADIATwAsAGoAfQApAFwAXAB0AGkAbQBlAHMAIABDAF8AewBOADIATwB9AFwAXAB0AGkAbQBlAHMAIAAxADAAXgB7AC0AMwB9ACkAXABuAE0AXwB2AG8AbABvAHIAZwBhAG4AaQBjAGoAZgBcAG4ARQBGAF8ATgAyAE8AagBcAG4AQwBfAE4AMgBPAFwAbgBqAFwAbgBmAFwAbgAtAC0ALQAtAC0ALQAtAC0ALQAtAC0ALQAtAC0ALQAtAC0ALQAtAC0ALQAtAC0ALQAtAC0ALQAtAC0ALQAtAC0ALQAtAC0ALQAtAC0AXABuACoALwBcAG4AXABuAFYARQBFAFIARwBfADUAXwA0AF8AMQBfADMAXwBfADEAXwBPAHIAZwBhAG4AaQBjAEYAZQByAHQAaQBsAGkAcwBlAHIAQQB0AG0AbwBzAHAAaABlAHIAaQBjAEQAZQBwAG8AcwBpAHQAaQBvAG4ATgAyAE8ARQBtAGkAcwBzAGkAbwBuAHMAXABuACAAIAA9AEwAQQBNAEIARABBACgAXABuACAAIAAgACAATQBfAHYAbwBsAG8AcgBnAGEAbgBpAGMAagBmACwAIABFAEYAXwBOADIATwBqACwAIABDAF8ATgAyAE8ALABcAG4AIAAgACAAIAAoAE0AXwB2AG8AbABvAHIAZwBhAG4AaQBjAGoAZgAgACoAIABFAEYAXwBOADIATwBqACkAIAAqACAAQwBfAE4AMgBPACAAKgAgADEAMAAgAF4AIAAtADMAXABuACAAIAApADsAXABuAFwAbgBWAEUARQBSAEcAXwA1AF8ANABfADEAXwAzAF8AXwAxAF8AT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CIAKQA7AFwAbgBcAG4AVgBFAEUAUgBHAF8ANQBfADQAXwAxAF8AMwBfAF8AMQBfAE8AcgBnAGEAbgBpAGMARgBlAHIAdABpAGwAaQBzAGUAcgBBAHQAbQBvAHMAcABoAGUAcgBpAGMARABlAHAAbwBzAGkAdABpAG8AbgBOADIATwBFAG0AaQBzAHMAaQBvAG4AcwBfAFYAYQByAGkAYQBiAGwAZQBcAG4AIAAgAD0ATABBAE0AQgBEAEEAKABcACIARQBfAGEAZABvAHIAZwBhAG4AaQBjAFwAIgApADsAXABuAFwAbgBWAEUARQBSAEcAXwA1AF8ANABfADEAXwAzAF8AXwAxAF8ATwByAGcAYQBuAGkAYwBGAGUAcgB0AGkAbABpAHMAZQByAEEAdABtAG8AcwBwAGgAZQByAGkAYwBEAGUAcABvAHMAaQB0AGkAbwBuAE4AMgBPAEUAbQBpAHMAcwBpAG8AbgBzAF8AVQBuAGkAdABcAG4AIAAgAD0ATABBAE0AQgBEAEEAKABcACIAdAAgAE4AMgBPAFwAIgApADsAXABuAFwAbgBWAEUARQBSAEcAXwA1AF8ANABfADEAXwAzAF8AXwAxAF8ATwByAGcAYQBuAGkAYwBGAGUAcgB0AGkAbABpAHMAZQByAEEAdABtAG8AcwBwAGgAZQByAGkAYwBEAGUAcABvAHMAaQB0AGkAbwBuAE4AMgBPAEUAbQBpAHMAcwBpAG8AbgBzAF8AUwBvAHUAcgBjAGUAXABuACAAIAA9AEwAQQBNAEIARABBACgAXAAiAFYARQBFAFIARwAgADIAMAAyADYAOgAgADUALgA0AC4AMQAuADMALAAgAEUAcQB1AGEAdABpAG8AbgAgACgAMQApAFwAIgApADsAXABuAFwAbgBWAEUARQBSAEcAXwA1AF8ANABfADEAXwAzAF8AXwAxAF8ATwByAGcAYQBuAGkAYwBGAGUAcgB0AGkAbABpAHMAZQByAEEAdABtAG8AcwBwAGgAZQByAGkAYwBEAGUAcABvAHMAaQB0AGkAbwBuAE4AMgBPAEUAbQBpAHMAcwBpAG8AbgBzAF8ATgBJAFIAUgBlAGYAZQByAGUAbgBjAGUAXABuACAAIAA9AEwAQQBNAEIARABBACgAXAAiAFwAIgApADsAXABuAFwAbgBWAEUARQBSAEcAXwA1AF8ANABfADEAXwAzAF8AXwAxAF8ATwByAGcAYQBuAGkAYwBGAGUAcgB0AGkAbABpAHMAZQByAEEAdABtAG8AcwBwAGgAZQByAGkAYwBEAGUAcABvAHMAaQB0AGkAbwBuAE4AMgBPAEUAbQBpAHMAcwBpAG8AbgBzAF8ATABhAHQAZQB4AEUAcQB1AGEAdABpAG8AbgBcAG4AIAAgAD0ATABBAE0AQgBEAEEAKABcACIARQBfAHsAYQBkACwAbwByAGcAYQBuAGkAYwB9AD0AXABcAHMAdQBtAFwAXABuAG8AbABpAG0AaQB0AHMAXwB7AGoAfQBcAFwAcwB1AG0AXABcAG4AbwBsAGkAbQBpAHQAcwBfAHsAZgB9ACgAKABNAF8AewB2AG8AbAAsAG8AcgBnAGEAbgBpAGMALABqAGYAfQBcAFwAdABpAG0AZQBzACAARQBGAF8AewBOADIATwAsAGoAfQApAFwAXAB0AGkAbQBlAHMAIABDAF8AewBOADIATwB9AFwAXAB0AGkAbQBlAHMAIAAxADAAXgB7AC0AMwB9ACkAXAAiACkAOwBcAG4AXABuAFYARQBFAFIARwBfADUAXwA0AF8AMQBfADMAXwBfADEAXwBP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vAHIAZwBhAG4AaQBjAGoAZgBcACIALABcACIAbQBhAHMAcwAgAG8AZgAgAG4AaQB0AHIAbwBnAGUAbgAgAHYAbwBsAGEAdABpAGwAaQBzAGUAZAAgAGYAcgBvAG0AIABvAHIAZwBhAG4AaQBjACAAZgBlAHIAdABpAGwAaQBzAGUAcgAgAGEAcABwAGwAaQBlAGQAIAB0AG8AIABwAHIAbwBkAHUAYwB0AGkAbwBuACAAcwB5AHMAdABlAG0AXAAiACwAIABcACIAawBnACAATgBcACIALAAgAFwAIgBDAGEAbABjAHUAbABhAHQAZQBkACAAZgByAG8AbQAgADUALgA0AC4AMQAuADMAIAAoADIAKQBcACIAOwBcAG4AIAAgACAAIAAgACAAIAAgACAAIABcACIARQBGAF8ATgAyAE8AagBcACIALABcACIAZQBtAGkAcwBzAGkAbwBuACAAZgBhAGMAdABvAHIAIABmAG8AcgAgAGEAdABtAG8AcwBwAGgAZQByAGkAYwAgAGQAZQBwAG8AcwBpAHQAaQBvAG4AIABpAG4AIABwAHIAbwBkAHUAYwB0AGkAbwBuACAAcwB5AHMAdABlAG0AIABq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MAXwBfADIAXwBNAGEAcwBzAE8AZgBOAGkAdAByAG8AZwBlAG4AVgBvAGwAYQB0AGkAbABpAHMAZQBkAEYAcgBvAG0ATwByAGcAYQBuAGkAYwBGAGUAcgB0AGkAbABpAHMAZQByAFwAbgBNAGEAcwBzACAAbwBmACAAbgBpAHQAcgBvAGcAZQBuACAAdgBvAGwAYQB0AGkAbABpAHMAZQBkACAAZgByAG8AbQAgAG8AcgBnAGEAbgBpAGMAIABmAGUAcgB0AGkAbABpAHMAZQByACAAYQBwAHAAbABpAGUAZAAgAHQAbwAgAHAAcgBvAGQAdQBjAHQAaQBvAG4AIABzAHkAcwB0AGUAbQBcAG4ATQBfAHYAbwBsAG8AcgBnAGEAbgBpAGMAagBmAFwAbgBrAGcAIABOAFwAbgBNAF8AewB2AG8AbAAsAG8AcgBnAGEAbgBpAGMALABqAGYAfQA9AE0ATgBTAG8AaQBsAF8AewBqAGYAfQBcAFwAdABpAG0AZQBzACAARgByAGEAYwBHAEEAUwBNAF8AewBzAG8AaQBsAH0AXABuAE0ATgBTAG8AaQBsAF8AagBmAFwAbgBGAHIAYQBjAEcAQQBTAE0AXwBzAG8AaQBsAFwAbgBqAFwAbgBmAFwAbgAtAC0ALQAtAC0ALQAtAC0ALQAtAC0ALQAtAC0ALQAtAC0ALQAtAC0ALQAtAC0ALQAtAC0ALQAtAC0ALQAtAC0ALQAtAC0ALQAtAC0AXABuACoALwBcAG4AXABuAFYARQBFAFIARwBfADUAXwA0AF8AMQBfADMAXwBfADIAXwBNAGEAcwBzAE8AZgBOAGkAdAByAG8AZwBlAG4AVgBvAGwAYQB0AGkAbABpAHMAZQBkAEYAcgBvAG0ATwByAGcAYQBuAGkAYwBGAGUAcgB0AGkAbABpAHMAZQByAFwAbgAgACAAPQBMAEEATQBCAEQAQQAoAFwAbgAgACAAIAAgAE0ATgBTAG8AaQBsAF8AagBmACwAIABGAHIAYQBjAEcAQQBTAE0AXwBzAG8AaQBsACwAXABuACAAIAAgACAATQBOAFMAbwBpAGwAXwBqAGYAIAAqACAARgByAGEAYwBHAEEAUwBNAF8AcwBvAGkAbABcAG4AIAAgACkAOwBcAG4AXABuAFYARQBFAFIARwBfADUAXwA0AF8AMQBfADMAXwBfADIAXwBNAGEAcwBzAE8AZgBOAGkAdAByAG8AZwBlAG4AVgBvAGwAYQB0AGkAbABpAHMAZQBkAEYAcgBvAG0ATwByAGcAYQBuAGkAYwBGAGUAcgB0AGkAbABpAHMAZQByAF8AVABpAHQAbABlAFwAbgAgACAAPQBMAEEATQBCAEQAQQAoAFwAIgBNAGEAcwBzACAAbwBmACAAbgBpAHQAcgBvAGcAZQBuACAAdgBvAGwAYQB0AGkAbABpAHMAZQBkACAAZgByAG8AbQAgAG8AcgBnAGEAbgBpAGMAIABmAGUAcgB0AGkAbABpAHMAZQByACAAYQBwAHAAbABpAGUAZAAgAHQAbwAgAHAAcgBvAGQAdQBjAHQAaQBvAG4AIABzAHkAcwB0AGUAbQBcACIAKQA7AFwAbgBcAG4AVgBFAEUAUgBHAF8ANQBfADQAXwAxAF8AMwBfAF8AMgBfAE0AYQBzAHMATwBmAE4AaQB0AHIAbwBnAGUAbgBWAG8AbABhAHQAaQBsAGkAcwBlAGQARgByAG8AbQBPAHIAZwBhAG4AaQBjAEYAZQByAHQAaQBsAGkAcwBlAHIAXwBWAGEAcgBpAGEAYgBsAGUAXABuACAAIAA9AEwAQQBNAEIARABBACgAXAAiAE0AXwB2AG8AbABvAHIAZwBhAG4AaQBjAGoAZgBcACIAKQA7AFwAbgBcAG4AVgBFAEUAUgBHAF8ANQBfADQAXwAxAF8AMwBfAF8AMgBfAE0AYQBzAHMATwBmAE4AaQB0AHIAbwBnAGUAbgBWAG8AbABhAHQAaQBsAGkAcwBlAGQARgByAG8AbQBPAHIAZwBhAG4AaQBjAEYAZQByAHQAaQBsAGkAcwBlAHIAXwBVAG4AaQB0AFwAbgAgACAAPQBMAEEATQBCAEQAQQAoAFwAIgBrAGcAIABOAFwAIgApADsAXABuAFwAbgBWAEUARQBSAEcAXwA1AF8ANABfADEAXwAzAF8AXwAyAF8ATQBhAHMAcwBPAGYATgBpAHQAcgBvAGcAZQBuAFYAbwBsAGEAdABpAGwAaQBzAGUAZABGAHIAbwBtAE8AcgBnAGEAbgBpAGMARgBlAHIAdABpAGwAaQBzAGUAcgBfAFMAbwB1AHIAYwBlAFwAbgAgACAAPQBMAEEATQBCAEQAQQAoAFwAIgBWAEUARQBSAEcAIAAyADAAMgA2ADoAIAA1AC4ANAAuADEALgAzACwAIABFAHEAdQBhAHQAaQBvAG4AIAAoADIAKQBcACIAKQA7AFwAbgBcAG4AVgBFAEUAUgBHAF8ANQBfADQAXwAxAF8AMwBfAF8AMgBfAE0AYQBzAHMATwBmAE4AaQB0AHIAbwBnAGUAbgBWAG8AbABhAHQAaQBsAGkAcwBlAGQARgByAG8AbQBPAHIAZwBhAG4AaQBjAEYAZQByAHQAaQBsAGkAcwBlAHIAXwBOAEkAUgBSAGUAZgBlAHIAZQBuAGMAZQBcAG4AIAAgAD0ATABBAE0AQgBEAEEAKABcACIAXAAiACkAOwBcAG4AXABuAFYARQBFAFIARwBfADUAXwA0AF8AMQBfADMAXwBfADIAXwBNAGEAcwBzAE8AZgBOAGkAdAByAG8AZwBlAG4AVgBvAGwAYQB0AGkAbABpAHMAZQBkAEYAcgBvAG0ATwByAGcAYQBuAGkAYwBGAGUAcgB0AGkAbABpAHMAZQByAF8ATABhAHQAZQB4AEUAcQB1AGEAdABpAG8AbgBcAG4AIAAgAD0ATABBAE0AQgBEAEEAKABcACIATQBfAHsAdgBvAGwALABvAHIAZwBhAG4AaQBjACwAagBmAH0APQBNAE4AUwBvAGkAbABfAHsAagBmAH0AXABcAHQAaQBtAGUAcwAgAEYAcgBhAGMARwBBAFMATQBfAHsAcwBvAGkAbAB9AFwAIgApADsAXABuAFwAbgBWAEUARQBSAEcAXwA1AF8ANABfADEAXwAzAF8AXwAyAF8ATQBhAHMAcwBPAGYATgBpAHQAcgBvAGcAZQBuAFYAbwBsAGEAdABpAGwAaQBzAGUAZABGAHIAbwBtAE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gByAGEAYwBHAEEAUwBNAF8AcwBvAGkAbABcACIALABcACIAZgByAGEAYwB0AGkAbwBuACAAbwBmACAAbwByAGcAYQBuAGkAYwAgAGYAZQByAHQAaQBsAGkAcwBlAHIAIABOACAAdABoAGEAdAAgAHYAbwBsAGEAdABpAGwAaQBzAGUAc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YAZQByAHQAaQBsAGkAcwBlAHIAXwBFAHEAdQBhAHQAaQBvAG4AcwBfAEwAZQBhAGMAaABpAG4AZwBBAG4AZABSAHUAbgBvAGYAZ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UAIABMAGUAYQBjAGgAaQBuAGcAIABhAG4AZAAgAHIAdQBuAC0AbwBmAGYAIAByAGUAcwB1AGwAdABpAG4AZw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1AF8AMQBfADEAXwBfADEAXwBGAGUAcgB0AGkAbABpAHMAZQByAEwAZQBhAGMAaABpAG4AZwBBAG4AZABSAHUAbgBvAGYAZgBOADIATwBFAG0AaQBzAHMAaQBvAG4AcwBcAG4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BuAEUAXwBmAGUAcgB0AGwAZQBhAGMAaABcAG4AdAAgAE4AMgBPAFwAb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G4ATQBfAGwAZQBhAGMAaABpAG4AbwByAGcAYQBuAGkAYwBqAFwAbgBNAF8AbABlAGEAYwBoAG8AcgBnAGEAbgBpAGMAagBcAG4ARQBGAF8AbABlAGEAYwBoAFwAbgBDAF8ATgAyAE8AXABuAGoAXABuAC0ALQAtAC0ALQAtAC0ALQAtAC0ALQAtAC0ALQAtAC0ALQAtAC0ALQAtAC0ALQAtAC0ALQAtAC0ALQAtAC0ALQAtAC0ALQAtAC0ALQBcAG4AKgAvAFwAbgBcAG4AVgBFAEUAUgBHAF8ANQBfADUAXwAxAF8AMQBfAF8AMQBfAEYAZQByAHQAaQBsAGkAcwBlAHIATABlAGEAYwBoAGkAbgBnAEEAbgBkAFIAdQBuAG8AZgBmAE4AMgBPAEUAbQBpAHMAcwBpAG8AbgBzAFwAbgAgACAAPQBMAEEATQBCAEQAQQAoAFwAbgAgACAAIAAgAE0AXwBsAGUAYQBjAGgAaQBuAG8AcgBnAGEAbgBpAGMAagAsACAATQBfAGwAZQBhAGMAaABvAHIAZwBhAG4AaQBjAGoALAAgAEUARgBfAGwAZQBhAGMAaAAsACAAQwBfAE4AMgBPACwAXABuACAAIAAgACAAKABNAF8AbABlAGEAYwBoAGkAbgBvAHIAZwBhAG4AaQBjAGoAIAArACAATQBfAGwAZQBhAGMAaABvAHIAZwBhAG4AaQBjAGoAKQAgACoAIABFAEYAXwBsAGUAYQBjAGgAIAAqACAAQwBfAE4AMgBPACAAKgAgADEAMAAgAF4AIAAtADMAXABuACAAIAApADsAXABuAFwAbgBWAEUARQBSAEcAXwA1AF8ANQBfADEAXwAxAF8AXwAxAF8ARgBlAHIAdABpAGwAaQBzAGUAcgBMAGUAYQBjAGgAaQBuAGcAQQBuAGQAUgB1AG4AbwBmAGYATgAyAE8ARQBtAGkAcwBzAGkAbwBuAHMAXwBUAGkAdABsAGUAXABuACAAIAA9AEwAQQBNAEIARABBACgAXAAi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IgApADsAXABuAFwAbgBWAEUARQBSAEcAXwA1AF8ANQBfADEAXwAxAF8AXwAxAF8ARgBlAHIAdABpAGwAaQBzAGUAcgBMAGUAYQBjAGgAaQBuAGcAQQBuAGQAUgB1AG4AbwBmAGYATgAyAE8ARQBtAGkAcwBzAGkAbwBuAHMAXwBWAGEAcgBpAGEAYgBsAGUAXABuACAAIAA9AEwAQQBNAEIARABBACgAXAAiAEUAXwBmAGUAcgB0AGwAZQBhAGMAaABcACIAKQA7AFwAbgBcAG4AVgBFAEUAUgBHAF8ANQBfADUAXwAxAF8AMQBfAF8AMQBfAEYAZQByAHQAaQBsAGkAcwBlAHIATABlAGEAYwBoAGkAbgBnAEEAbgBkAFIAdQBuAG8AZgBmAE4AMgBPAEUAbQBpAHMAcwBpAG8AbgBzAF8AVQBuAGkAdABcAG4AIAAgAD0ATABBAE0AQgBEAEEAKABcACIAdAAgAE4AMgBPAFwAIgApADsAXABuAFwAbgBWAEUARQBSAEcAXwA1AF8ANQBfADEAXwAxAF8AXwAxAF8ARgBlAHIAdABpAGwAaQBzAGUAcgBMAGUAYQBjAGgAaQBuAGcAQQBuAGQAUgB1AG4AbwBmAGYATgAyAE8ARQBtAGkAcwBzAGkAbwBuAHMAXwBTAG8AdQByAGMAZQBcAG4AIAAgAD0ATABBAE0AQgBEAEEAKABcACIAVgBFAEUAUgBHACAAMgAwADIANgA6ACAANQAuADUALAAgAEUAcQB1AGEAdABpAG8AbgAgACgAMQApAFwAIgApADsAXABuAFwAbgBWAEUARQBSAEcAXwA1AF8ANQBfADEAXwAxAF8AXwAxAF8ARgBlAHIAdABpAGwAaQBzAGUAcgBMAGUAYQBjAGgAaQBuAGcAQQBuAGQAUgB1AG4AbwBmAGYATgAyAE8ARQBtAGkAcwBzAGkAbwBuAHMAXwBOAEkAUgBSAGUAZgBlAHIAZQBuAGMAZQBcAG4AIAAgAD0ATABBAE0AQgBEAEEAKABcACIAXAAiACkAOwBcAG4AXABuAFYARQBFAFIARwBfADUAXwA1AF8AMQBfADEAXwBfADEAXwBGAGUAcgB0AGkAbABpAHMAZQByAEwAZQBhAGMAaABpAG4AZwBBAG4AZABSAHUAbgBvAGYAZgBOADIATwBFAG0AaQBzAHMAaQBvAG4AcwBfAEwAYQB0AGUAeABFAHEAdQBhAHQAaQBvAG4AXABuACAAIAA9AEwAQQBNAEIARABBACgAXAAi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IgApADsAXABuAFwAbgBWAEUARQBSAEcAXwA1AF8ANQBfADEAXwAxAF8AXwAxAF8ARgBlAHIAdABpAGwAaQBzAGUAcgBMAGUAYQBjAGgAaQBuAGcAQQBuAGQAUgB1AG4AbwBmAGYATgAyAE8ARQBtAGkAcwBzAGkAbwBuAHMAXwBBAHIAZwB1AG0AZQBuAHQAcwBcAG4AIAAgAD0ATABBAE0AQgBEAEEAKABcAG4AIAAgACAAIABNAEEASwBFAEEAUgBSAEEAWQAoADQALAAgADQALAAgAFwAbgAgACAAIAAgACAAIABMAEEATQBCAEQAQQAoAHIALABjACwAIABcAG4AIAAgACAAIAAgACAAIAAgAEkATgBEAEUAWAAoAHsAXABuACAAIAAgACAAIAAgACAAIAAgACAAXAAiAE0AXwBsAGUAYQBjAGgAaQBuAG8AcgBnAGEAbgBpAGMAagBcACIALABcACIAb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sACAAXAAiAGsAZwAgAE4AXAAiACwAIABcACIAQwBhAGwAYwB1AGwAYQB0AGUAZAAgAGYAcgBvAG0AIAA1AC4ANQAuADEALgAxACAAKAAyACkAXAAiADsAXABuACAAIAAgACAAIAAgACAAIAAgACAAXAAiAE0AXwBsAGUAYQBjAGgAbwByAGcAYQBuAGkAYwBqAFwAIgAsAFwAIgBtAGEAcwBzACAAbwBmACAAbgBpAHQAcgBvAGcAZQBuACAAbABvAHMAdAAgAHQAaAByAG8AdQBnAGgAIABsAGUAYQBjAGgAaQBuAGcAIABhAG4AZAAgAHIAdQBuAG8AZgBmACAAZgByAG8AbQAgAG8AcgBnAGEAbgBpAGMAIABmAGUAcgB0AGkAbABpAHMAZQByACAAYQBwAHAAbABpAGMAYQB0AGkAbwBuAFwAIgAsACAAXAAiAGsAZwAgAE4AXAAiACwAIABcACIAQwBhAGwAYwB1AGwAYQB0AGUAZAAgAGYAcgBvAG0AIAA1AC4ANQAuADEALgAxACAAKAAzACkAXAAiADsAXABuACAAIAAgACAAIAAgACAAIAAgACAAXAAiAEUARgBfAGwAZQBhAGMAaABcACIALABcACIAZQBtAGkAcwBzAGkAbwBuACAAZgBhAGMAdABvAHIAIABmAG8AcgAgAG4AaQB0AHIAbwBnAGUAb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yAF8ATQBhAHMAcwBPAGYATgBpAHQAcgBvAGcAZQBuAEwAZQBhAGMAaABlAGQARgByAG8AbQBJAG4AbwByAGcAYQBuAGkAYwBGAGUAcgB0AGkAbABpAHMAZQByAFwAb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BuAE0AXwBsAGUAYQBjAGgAaQBuAG8AcgBnAGEAbgBpAGMAagBcAG4AawBnACAATgBcAG4ATQBfAHsAbABlAGEAYwBoACwAaQBuAG8AcgBnAGEAbgBpAGMALABqAH0APQBcAFwAcwB1AG0AXwB7AGYAfQAoAHsATQBOAH0AXwB7AGoAZgB9AFwAXAB0AGkAbQBlAHMAIABGAHIAYQBjAF8AewBXAEUAVAAsAGoAfQBcAFwAdABpAG0AZQBzACAARgByAGEAYwBfAHsATABFAEEAQwBIAH0AKQBcAG4ATQBOAF8AagBmAFwAbgBGAHIAYQBjAFcARQBUAGoAXABuAEYAcgBhAGMATABFAEEAQwBIAFwAbgBqAFwAbgBmAFwAbgAtAC0ALQAtAC0ALQAtAC0ALQAtAC0ALQAtAC0ALQAtAC0ALQAtAC0ALQAtAC0ALQAtAC0ALQAtAC0ALQAtAC0ALQAtAC0ALQAtAC0AXABuACoALwBcAG4AXABuAFYARQBFAFIARwBfADUAXwA1AF8AMQBfADEAXwBfADIAXwBNAGEAcwBzAE8AZgBOAGkAdAByAG8AZwBlAG4ATABlAGEAYwBoAGUAZABGAHIAbwBtAEkAbgBvAHIAZwBhAG4AaQBjAEYAZQByAHQAaQBsAGkAcwBlAHIAXABuACAAIAA9AEwAQQBNAEIARABBACgAXABuACAAIAAgACAATQBOAF8AagBmACwAIABGAHIAYQBjAFcARQBUAGoALAAgAEYAcgBhAGMATABFAEEAQwBIACwAXABuACAAIAAgACAATQBOAF8AagBmACAAKgAgAEYAcgBhAGMAVwBFAFQAagAgACoAIABGAHIAYQBjAEwARQBBAEMASABcAG4AIAAgACkAOwBcAG4AXABuAFYARQBFAFIARwBfADUAXwA1AF8AMQBfADEAXwBfADIAXwBNAGEAcwBzAE8AZgBOAGkAdAByAG8AZwBlAG4ATABlAGEAYwBoAGUAZABGAHIAbwBtAEkAbgBvAHIAZwBhAG4AaQBjAEYAZQByAHQAaQBsAGkAcwBlAHIAXwBUAGkAdABsAGUAXABuACAAIAA9AEwAQQBNAEIARABBACgAXAAi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KQA7AFwAbgBcAG4AVgBFAEUAUgBHAF8ANQBfADUAXwAxAF8AMQBfAF8AMgBfAE0AYQBzAHMATwBmAE4AaQB0AHIAbwBnAGUAbgBMAGUAYQBjAGgAZQBkAEYAcgBvAG0ASQBuAG8AcgBnAGEAbgBpAGMARgBlAHIAdABpAGwAaQBzAGUAcgBfAFYAYQByAGkAYQBiAGwAZQBcAG4AIAAgAD0ATABBAE0AQgBEAEEAKABcACIATQBfAGwAZQBhAGMAaABpAG4AbwByAGcAYQBuAGkAYwBqAFwAIgApADsAXABuAFwAbgBWAEUARQBSAEcAXwA1AF8ANQBfADEAXwAxAF8AXwAyAF8ATQBhAHMAcwBPAGYATgBpAHQAcgBvAGcAZQBuAEwAZQBhAGMAaABlAGQARgByAG8AbQBJAG4AbwByAGcAYQBuAGkAYwBGAGUAcgB0AGkAbABpAHMAZQByAF8AVQBuAGkAdABcAG4AIAAgAD0ATABBAE0AQgBEAEEAKABcACIAawBnACAATgBcACIAKQA7AFwAbgBcAG4AVgBFAEUAUgBHAF8ANQBfADUAXwAxAF8AMQBfAF8AMgBfAE0AYQBzAHMATwBmAE4AaQB0AHIAbwBnAGUAbgBMAGUAYQBjAGgAZQBkAEYAcgBvAG0ASQBuAG8AcgBnAGEAbgBpAGMARgBlAHIAdABpAGwAaQBzAGUAcgBfAFMAbwB1AHIAYwBlAFwAbgAgACAAPQBMAEEATQBCAEQAQQAoAFwAIgBWAEUARQBSAEcAIAAyADAAMgA2ADoAIAA1AC4ANQAsACAARQBxAHUAYQB0AGkAbwBuACAAKAAyACkAXAAiACkAOwBcAG4AXABuAFYARQBFAFIARwBfADUAXwA1AF8AMQBfADEAXwBfADIAXwBNAGEAcwBzAE8AZgBOAGkAdAByAG8AZwBlAG4ATABlAGEAYwBoAGUAZABGAHIAbwBtAEkAbgBvAHIAZwBhAG4AaQBjAEYAZQByAHQAaQBsAGkAcwBlAHIAXwBOAEkAUgBSAGUAZgBlAHIAZQBuAGMAZQBcAG4AIAAgAD0ATABBAE0AQgBEAEEAKABcACIAXAAiACkAOwBcAG4AXABuAFYARQBFAFIARwBfADUAXwA1AF8AMQBfADEAXwBfADIAXwBNAGEAcwBzAE8AZgBOAGkAdAByAG8AZwBlAG4ATABlAGEAYwBoAGUAZABGAHIAbwBtAEkAbgBvAHIAZwBhAG4AaQBjAEYAZQByAHQAaQBsAGkAcwBlAHIAXwBMAGEAdABlAHgARQBxAHUAYQB0AGkAbwBuAFwAbgAgACAAPQBMAEEATQBCAEQAQQAoAFwAIgBNAF8AewBsAGUAYQBjAGgALABpAG4AbwByAGcAYQBuAGkAYwAsAGoAfQA9AFwAXABzAHUAbQBcAFwAbgBvAGwAaQBtAGkAdABzAF8AewBmAH0AXABcAGwAZQBmAHQAKAB7AE0ATgB9AF8AewBqAGYAfQBcAFwAdABpAG0AZQBzACAARgByAGEAYwBfAHsAVwBFAFQALABqAH0AXABcAHQAaQBtAGUAcwAgAEYAcgBhAGMAXwB7AEwARQBBAEMASAB9AFwAXAByAGkAZwBoAHQAKQBcACIAKQA7AFwAbgBcAG4AVgBFAEUAUgBHAF8ANQBfADUAXwAxAF8AMQBfAF8AMgBfAE0AYQBzAHMATwBmAE4AaQB0AHIAbwBnAGUAbgBMAGUAYQBjAGgAZQBkAEYAcgBvAG0ASQBuAG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FwAIgAsACAAXAAiAGsAZwAgAE4AXAAiACwAIABcACIAQwBhAGwAYwB1AGwAYQB0AGUAZAAgAGYAcgBvAG0AIAA1AC4AMQ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CAAIABcACIAegBcACIALABcACIAbABvAGMAYQB0AGkAbwBuACAAaQBuACAAbABlAGEAYwBoAGkAbgBnACAAegBvAG4AZQBcACIALAAgAFwAIgBcACIALAAgAFwAIgBJAG4AcAB1AHQAXAAiADsAXABuACAAIAAgACAAIAAgACAAIAAgACAAIAAgAFwAIgBqAFwAIgAsAFwAIgBwAHIAbwBkAHUAYwB0AGkAbwBuACAAcwB5AHMAdABlAG0AXAAiACwAIABcACIAXAAiACwAIABcACIASQBuAHAAdQB0AFwAIgA7AFwAbgAgACAAIAAgACAAIAAgACAAIAAgACAAIABcACIAaQByAFwAIgAsAFwAIgBpAHIAcgBpAGcAYQB0AGkAbwBuACAAbQBlAHQAaABvAGQ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wBfAE0AYQBzAHMATwBmAE4AaQB0AHIAbwBnAGUAbgBMAGUAYQBjAGgAZQBkAEYAcgBvAG0ATwByAGcAYQBuAGkAYwBGAGUAcgB0AGkAbABpAHMAZQByAFwAb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G4ATQBfAGwAZQBhAGMAaABvAHIAZwBhAG4AaQBjAGoAXABuAGsAZwAgAE4AXABuAE0AXwB7AGwAZQBhAGMAaAAsAG8AcgBnAGEAbgBpAGMALABqAH0APQBcAFwAcwB1AG0AXwB7AGYAfQAoAHsATQBOAFMAbwBpAGwAfQBfAHsAagBmAH0AXABcAHQAaQBtAGUAcwAgAEYAcgBhAGMAXwB7AFcARQBUACwAagB9AFwAXAB0AGkAbQBlAHMAIABGAHIAYQBjAF8AewBMAEUAQQBDAEgAfQApAFwAbgBNAE4AUwBvAGkAbABfAGoAZgBcAG4ARgByAGEAYwBXAEUAVABqAFwAbgBGAHIAYQBjAEwARQBBAEMASABcAG4AagBcAG4AZgBcAG4ALQAtAC0ALQAtAC0ALQAtAC0ALQAtAC0ALQAtAC0ALQAtAC0ALQAtAC0ALQAtAC0ALQAtAC0ALQAtAC0ALQAtAC0ALQAtAC0ALQAtAFwAbgAqAC8AXABuAFwAbgBWAEUARQBSAEcAXwA1AF8ANQBfADEAXwAxAF8AXwAzAF8ATQBhAHMAcwBPAGYATgBpAHQAcgBvAGcAZQBuAEwAZQBhAGMAaABlAGQARgByAG8AbQBPAHIAZwBhAG4AaQBjAEYAZQByAHQAaQBsAGkAcwBlAHIAXABuACAAIAA9AEwAQQBNAEIARABBACgAXABuACAAIAAgACAATQBOAFMAbwBpAGwAXwBqAGYALAAgAEYAcgBhAGMAVwBFAFQAagAsACAARgByAGEAYwBMAEUAQQBDAEgALABcAG4AIAAgACAAIABNAE4AUwBvAGkAbABfAGoAZgAgACoAIABGAHIAYQBjAFcARQBUAGoAIAAqACAARgByAGEAYwBMAEUAQQBDAEgAXABuACAAIAApADsAXABuAFwAbgBWAEUARQBSAEcAXwA1AF8ANQBfADEAXwAxAF8AXwAzAF8ATQBhAHMAcwBPAGYATgBpAHQAcgBvAGcAZQBuAEwAZQBhAGMAaABlAGQARgByAG8AbQBPAHIAZwBhAG4AaQBjAEYAZQByAHQAaQBsAGkAcwBlAHIAXwBUAGkAdABsAGUAXABuACAAIAA9AEwAQQBNAEIARABBACgAXAAi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IgApADsAXABuAFwAbgBWAEUARQBSAEcAXwA1AF8ANQBfADEAXwAxAF8AXwAzAF8ATQBhAHMAcwBPAGYATgBpAHQAcgBvAGcAZQBuAEwAZQBhAGMAaABlAGQARgByAG8AbQBPAHIAZwBhAG4AaQBjAEYAZQByAHQAaQBsAGkAcwBlAHIAXwBWAGEAcgBpAGEAYgBsAGUAXABuACAAIAA9AEwAQQBNAEIARABBACgAXAAiAE0AXwBsAGUAYQBjAGgAbwByAGcAYQBuAGkAYwBqAFwAIgApADsAXABuAFwAbgBWAEUARQBSAEcAXwA1AF8ANQBfADEAXwAxAF8AXwAzAF8ATQBhAHMAcwBPAGYATgBpAHQAcgBvAGcAZQBuAEwAZQBhAGMAaABlAGQARgByAG8AbQBPAHIAZwBhAG4AaQBjAEYAZQByAHQAaQBsAGkAcwBlAHIAXwBVAG4AaQB0AFwAbgAgACAAPQBMAEEATQBCAEQAQQAoAFwAIgBrAGcAIABOAFwAIgApADsAXABuAFwAbgBWAEUARQBSAEcAXwA1AF8ANQBfADEAXwAxAF8AXwAzAF8ATQBhAHMAcwBPAGYATgBpAHQAcgBvAGcAZQBuAEwAZQBhAGMAaABlAGQARgByAG8AbQBPAHIAZwBhAG4AaQBjAEYAZQByAHQAaQBsAGkAcwBlAHIAXwBTAG8AdQByAGMAZQBcAG4AIAAgAD0ATABBAE0AQgBEAEEAKABcACIAVgBFAEUAUgBHACAAMgAwADIANgA6ACAANQAuADUALAAgAEUAcQB1AGEAdABpAG8AbgAgACgAMwApAFwAIgApADsAXABuAFwAbgBWAEUARQBSAEcAXwA1AF8ANQBfADEAXwAxAF8AXwAzAF8ATQBhAHMAcwBPAGYATgBpAHQAcgBvAGcAZQBuAEwAZQBhAGMAaABlAGQARgByAG8AbQBPAHIAZwBhAG4AaQBjAEYAZQByAHQAaQBsAGkAcwBlAHIAXwBOAEkAUgBSAGUAZgBlAHIAZQBuAGMAZQBcAG4AIAAgAD0ATABBAE0AQgBEAEEAKABcACIAXAAiACkAOwBcAG4AXABuAFYARQBFAFIARwBfADUAXwA1AF8AMQBfADEAXwBfADMAXwBNAGEAcwBzAE8AZgBOAGkAdAByAG8AZwBlAG4ATABlAGEAYwBoAGUAZABGAHIAbwBtAE8AcgBnAGEAbgBpAGMARgBlAHIAdABpAGwAaQBzAGUAcgBfAEwAYQB0AGUAeABFAHEAdQBhAHQAaQBvAG4AXABuACAAIAA9AEwAQQBNAEIARABBACgAXAAiAE0AXwB7AGwAZQBhAGMAaAAsAG8AcgBnAGEAbgBpAGMALABqAH0APQBcAFwAcwB1AG0AXABcAG4AbwBsAGkAbQBpAHQAcwBfAHsAZgB9AFwAXABsAGUAZgB0ACgAewBNAE4AUwBvAGkAbAB9AF8AewBqAGYAfQBcAFwAdABpAG0AZQBzACAARgByAGEAYwBfAHsAVwBFAFQALABqAH0AXABcAHQAaQBtAGUAcwAgAEYAcgBhAGMAXwB7AEwARQBBAEMASAB9AFwAXAByAGkAZwBoAHQAKQBcACIAKQA7AFwAbgBcAG4AVgBFAEUAUgBHAF8ANQBfADUAXwAxAF8AMQBfAF8AMwBfAE0AYQBzAHMATwBmAE4AaQB0AHIAbwBnAGUAbgBMAGUAYQBjAGgAZQBkAEYAcgBvAG0AT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FwAIgAsACAAXAAiAGsAZwAgAE4AXAAiACwAIABcACIAQwBhAGwAYwB1AGwAYQB0AGUAZAAgAGYAcgBvAG0AIAA1AC4AMg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FwAIgBsAG8AYwBhAHQAaQBvAG4AIABpAG4AIABsAGUAYQBjAGgAaQBuAGcAIAB6AG8AbgBlAFwAIgAsACAAXAAiAFwAIgAsACAAXAAiAEkAbgBwAHUAdABcACIAOwBcAG4AIAAgACAAIAAgACAAIAAgACAAIABcACIAagBcACIALABcACIAcAByAG8AZAB1AGMAdABpAG8AbgAgAHMAeQBzAHQAZQBtAFwAIgAsACAAXAAiAFwAIgAsACAAXAAiAEkAbgBwAHUAdABcACIAOwBcAG4AIAAgACAAIAAgACAAIAAgACAAIABcACIAaQByAFwAIgAsAFwAIgBpAHIAcgBpAGcAYQB0AGkAbwBuACAAbQBlAHQAaABvAGQAXAAiACwAIABcACIAXAAiACwAIABcACIASQBuAHAAdQB0AFwAIgBcAG4AIAAgACAAIAAgACAAIAAgAH0ALAAgAHIALAAgAGMAKQBcAG4AIAAgACAAIAAgACAAKQBcAG4AIAAgACAAIAApAFwAbgAgACAAKQA7AFwAbgAiAH0ALAB7ACIAcABhAHQAaAAiADoAIgAvAHAAcgBvAGoAZQBjAHQAcwAvAFcAYQBzAHQAZQBTAG8AbABpAGQAXwBJAG4AcAB1AHQARgB1AG4AYwB0AGkAbwBuAHMAIgAsACIAdABlAHgAdAAiADoAIgBcAG4AVwBhAHMAdABlAFMAbwBsAGkAZABfAEkAbgBwAHUAdABGAHUAbgBjAHQAaQBvAG4AcwBfAFMAdQBtAFcAYQBzAHQAZQBUAHIAZQBhAHQAbQBlAG4AdABcAG4APQBMAEEATQBCAEQAQQAoAFwAbgAgACAAVAByAGUAYQB0AG0AZQBuAHQAQQByAHIAYQB5ACwAIABXAGEAcwB0AGUAQQByAHIAYQB5ACwAIABUAHIAZQBhAHQAbQBlAG4AdABMAG8AYwBhAHQAaQBvAG4AQQByAHIAYQB5ACwAIABVAG4AaQB0AEEAcgByAGEAeQAsACAAQQBtAG8AdQBuAHQAQQByAHIAYQB5ACwAXABuACAAIABUAHIAZQBhAHQAbQBlAG4AdABUAHkAcABlACwAIABXAGEAcwB0AGUAVAB5AHAAZQAsACAAVAByAGUAYQB0AG0AZQBuAHQATABvAGMAYQB0AGkAbwBuAFQAeQBwAGUALAAgAFUAbgBpAHQAVAB5AHAAZQAsAFwAbgAgACAAUwBVAE0ASQBGAFMAKABcAG4AIAAgACAAIABBAG0AbwB1AG4AdABBAHIAcgBhAHkALABcAG4AIAAgACAAVAByAGUAYQB0AG0AZQBuAHQAQQByAHIAYQB5ACwAIABUAHIAZQBhAHQAbQBlAG4AdABUAHkAcABlACwAXABuACAAIAAgACAAVwBhAHMAdABlAEEAcgByAGEAeQAsACAAVwBhAHMAdABlAFQAeQBwAGUALABcAG4AIAAgACAAIABUAHIAZQBhAHQAbQBlAG4AdABMAG8AYwBhAHQAaQBvAG4AQQByAHIAYQB5ACwAIABUAHIAZQBhAHQAbQBlAG4AdABMAG8AYwBhAHQAaQBvAG4AVAB5AHAAZQAsACAAXABuACAAIAAgACAAVQBuAGkAdABBAHIAcgBhAHkALAAgAFUAbgBpAHQAVAB5AHAAZQBcAG4AIAAgACkAXABuACkAOwAiAH0ALAB7ACIAcABhAHQAaAAiADoAIgAvAHAAcgBvAGoAZQBjAHQAcwAvAFcAYQBzAHQAZQBTAG8AbABpAGQAXwBTAG8AdQByAGMAZQBEAGEAdABhACIALAAiAHQAZQB4AHQAIgA6ACIALwAqAFwAbgA9AD0APQA9AD0APQA9AD0APQA9AD0APQA9AD0APQA9AD0APQA9AD0APQA9AD0APQA9AD0APQA9AD0APQA9AD0APQA9AD0APQA9AD0APQA9AD0APQA9AD0APQA9AD0APQA9AD0APQA9AD0APQA9AD0APQA9AD0APQA9AD0APQA9AD0APQA9AD0APQA9AD0APQA9AD0APQA9AFwAbgBFAG0AaQBzAHMAaQBvAG4AIABmAGEAYwB0AG8AcgBzACAAZgBvAHIAIAB3AGEAcwB0AGUAcwAgAGQAaQBzAHAAbwBzAGUAZAAgAG8AZgAgAGEAdAAgAGQAaQBmAGYAZQByAGUAbgB0ACAAdAByAGUAYQB0AG0AZQBuAHQAIABmAGEAYwBpAGwAaQB0AGkAZQBzAFwAbgA9AD0APQA9AD0APQA9AD0APQA9AD0APQA9AD0APQA9AD0APQA9AD0APQA9AD0APQA9AD0APQA9AD0APQA9AD0APQA9AD0APQA9AD0APQA9AD0APQA9AD0APQA9AD0APQA9AD0APQA9AD0APQA9AD0APQA9AD0APQA9AD0APQA9AD0APQA9AD0APQA9AD0APQA9AD0APQA9AFwAbgAqAC8AXABuAFwAbgBXAGEAcwB0AGUAXwBFAG0AaQBzAHMAaQBvAG4ARgBhAGMAdABvAHIAcwBGAG8AcgBXAGEAcwB0AGUAVAByAGUAYQB0AG0AZQBuAHQAXwBUAGkAdABsAGUAXABuAD0ATABBAE0AQgBEAEEAKAAoAFwAIgBFAG0AaQBzAHMAaQBvAG4AIABmAGEAYwB0AG8AcgBzACAAZgBvAHIAIAB3AGEAcwB0AGUAcwAgAGQAaQBzAHAAbwBzAGUAZAAgAG8AZgAgAGEAdAAgAGQAaQBmAGYAZQByAGUAbgB0ACAAdAByAGUAYQB0AG0AZQBuAHQAIABmAGEAYwBpAGwAaQB0AGkAZQBzAFwAIgApACkAOwBcAG4AXABuAFcAYQBzAHQAZQBfAEUAbQBpAHMAcwBpAG8AbgBGAGEAYwB0AG8AcgBzAEYAbwByAFcAYQBzAHQAZQBUAHIAZQBhAHQAbQBlAG4AdABfAFYAYQByAGkAYQBiAGwAZQBcAG4APQBMAEEATQBCAEQAQQAoACgAXAAiAEUARgB3AHQAXAAiACkAKQA7AFwAbgBcAG4AVwBhAHMAdABlAF8ARQBtAGkAcwBzAGkAbwBuAEYAYQBjAHQAbwByAHMARgBvAHIAVwBhAHMAdABlAFQAcgBlAGEAdABtAGUAbgB0AF8AVQBuAGkAdABcAG4APQBMAEEATQBCAEQAQQAoACgAXAAiAHQAIABDAE8AMgBlACAALwAgAHQAXAAiACkAKQA7AFwAbgBcAG4AVwBhAHMAdABlAF8ARQBtAGkAcwBzAGkAbwBuAEYAYQBjAHQAbwByAHMARgBvAHIAVwBhAHMAdABlAFQAcgBlAGEAdABtAGUAbgB0AF8AUwBvAHUAcgBjAGUAXABuAD0ATABBAE0AQgBEAEEAKAAoAFwAIgBWAEUARQBSAEcAIAAyADAAMgA2ADoAIABUAGEAYgBsAGUAIABBAC4ANAAuADEALgAxAFwAIgApACkAOwBcAG4AXABuAFcAYQBzAHQAZQBfAEUAbQBpAHMAcwBpAG8AbgBGAGEAYwB0AG8AcgBzAEYAbwByAFcAYQBzAHQAZQBUAHIAZQBhAHQAbQBlAG4AdABfAEQAYQB0AGEAXABuAD0ATABBAE0AQgBEAEEAKABcAG4AIAAgAE0AQQBLAEUAQQBSAFIAQQBZACgAMwA1ACwAIAA0ACwAXABuACAAIAAgACAATABBAE0AQgBEAEEAKAByACwAYwAsAFwAbgAgACAAIAAgACAAIABJAE4ARABFAFgAKAB7AFwAbgAgACAAIAAgACAAIAAgACAAXAAiAFQAcgBlAGEAdABtAGUAbgB0ACAAdAB5AHAAZQAgAHQAXAAiACwAIABcACIAVwBhAHMAdABlACAAdAB5AHAAZQAgAHcAXAAiACwAIABcACIARQBGAHcAdABcACIALAAgAFwAIgBFAEYAIABzAG8AdQByAGMAZQBcACIAOwBcAG4AIAAgACAAIAAgACAAIAAgAFwAIgBMAGEAbgBkAGYAaQBsAGwAXAAiACwAIABcACIARgBvAG8AZAAgAHcAYQBzAHQAZQAgACgAaQBuAGMAbAB1AGQAaQBuAGcAIABhAG4AaQBtAGEAbAAgAGMAYQByAGMAYQBzAHMAZQBzACwAIABzAHAAbwBpAGwAZQBkACAAYQBuAGkAbQBhAGwAIABmAGUAZQBkACAAbwByACAAYwByAG8AcAApAFwAIgAsACAAMgAuADEALAAgAFwAIgBOAEcAQQBGACAAMgAwADIANQAgAHQAYQBiAGwAZQAgADEANQBcACIAOwBcAG4AIAAgACAAIAAgACAAIAAgAFwAIgBMAGEAbgBkAGYAaQBsAGwAXAAiACwAIABcACIAUABhAHAAZQByACAAYQBuAGQAIABjAGEAcgBkAGIAbwBhAHIAZABcACIALAAgADMALgAzACwAIABcACIATgBHAEEARgAgADIAMAAyADUAIAB0AGEAYgBsAGUAIAAxADUAXAAiADsAXABuACAAIAAgACAAIAAgACAAIABcACIATABhAG4AZABmAGkAbABsAFwAIgAsACAAXAAiAEcAcgBlAGUAbgAgAHcAYQBzAHQAZQAgACgAaQBuAGMAbAB1AGQAaQBuAGcAIABjAHIAbwBwACAAcgBlAHMAaQBkAHUAZQBzACAAbwByACAAcAByAHUAbgBpAG4AZwBzACkAXAAiACwAIAAxAC4ANgAsACAAXAAiAE4ARwBBAEYAIAAyADAAMgA1ACAAdABhAGIAbABlACAAMQA1AFwAIgA7AFwAbgAgACAAIAAgACAAIAAgACAAXAAiAEwAYQBuAGQAZgBpAGwAbABcACIALAAgAFwAIgBXAG8AbwBkAFwAIgAsACAAMAAuADcALAAgAFwAIgBOAEcAQQBGACAAMgAwADIANQAgAHQAYQBiAGwAZQAgADEANQBcACIAOwBcAG4AIAAgACAAIAAgACAAIAAgAFwAIgBMAGEAbgBkAGYAaQBsAGwAXAAiACwAIABcACIAVABlAHgAdABpAGwAZQBzAFwAIgAsACAAMgAuADAALAAgAFwAIgBOAEcAQQBGACAAMgAwADIANQAgAHQAYQBiAGwAZQAgADEANQBcACIAOwBcAG4AIAAgACAAIAAgACAAIAAgAFwAIgBMAGEAbgBkAGYAaQBsAGwAXAAiACwAIABcACIAUwBsAHUAZABnAGUAXAAiACwAIAAwAC4ANAAsACAAXAAiAE4ARwBBAEYAIAAyADAAMgA1ACAAdABhAGIAbABlACAAMQA1AFwAIgA7AFwAbgAgACAAIAAgACAAIAAgACAAXAAiAEwAYQBuAGQAZgBpAGwAbABcACIALAAgAFwAIgBSAHUAYgBiAGUAcgAgAGEAbgBkACAAbABlAGEAdABoAGUAcgBcACIALAAgADMALgAzACwAIABcACIATgBHAEEARgAgADIAMAAyADUAIAB0AGEAYgBsAGUAIAAxADUAXAAiADsAXABuACAAIAAgACAAIAAgACAAIABcACIATABhAG4AZABmAGkAbABsAFwAIgAsACAAXAAiAEkAbgBlAHIAdAAgAHcAYQBzAHQAZQAgACgAaQBuAGMAbAB1AGQAaQBuAGcAIABjAG8AbgBjAHIAZQB0AGUALAAgAG0AZQB0AGEAbAAsACAAcABsAGEAcwB0AGkAYwAgAG8AcgAgAGcAbABhAHMAcwApAFwAIgAsACAAMAAsACAAXAAiAE4ARwBBAEYAIAAyADAAMgA1ACAAdABhAGIAbABlACAAMQA1AFwAIgA7AFwAbgAgACAAIAAgACAAIAAgACAAXAAiAEwAYQBuAGQAZgBpAGwAbABcACIALAAgAFwAIgBNAHUAbgBpAGMAaQBwAGEAbAAgAHMAbwBsAGkAZAAgAHcAYQBzAHQAZQBcACIALAAgADEALgA2ACwAIABcACIATgBHAEEARgAgADIAMAAyADUAIAB0AGEAYgBsAGUAIAAxADUAXAAiADsAXABuACAAIAAgACAAIAAgACAAIABcACIATABhAG4AZABmAGkAbABsAFwAIgAsACAAXAAiAEMAbwBtAG0AZQByAGMAaQBhAGwAIABhAG4AZAAgAGkAbgBkAHUAcwB0AHIAaQBhAGwAIAB3AGEAcwB0AGUAXAAiACwAIAAxAC4AMwAsACAAXAAiAE4ARwBBAEYAIAAyADAAMgA1ACAAdABhAGIAbABlACAAMQA1AFwAIgA7AFwAbgAgACAAIAAgACAAIAAgACAAXAAiAEwAYQBuAGQAZgBpAGwAbABcACIALAAgAFwAIgBDAG8AbgBzAHQAcgB1AGMAdABpAG8AbgAgAGEAbgBkACAAZABlAG0AbwBsAGkAdABpAG8AbgAgAHcAYQBzAHQAZQBcACIALAAgADAALgAyACwAIABcACIATgBHAEEARgAgADIAMAAyADUAIAB0AGEAYgBsAGUAIAAxADUAXAAiADsAXABuACAAIAAgACAAIAAgACAAIABcAG4AIAAgACAAIAAgACAAIAAgAFwAIgBJAG4AYwBpAG4AZQByAGEAdABpAG8AbgBcACIALAAgAFwAIgBGAG8AbwBkACAAdwBhAHMAdABlACwAIABnAHIAZQBlAG4AIAB3AGEAcwB0AGUALAAgAHcAbwBvAGQALAAgAHMAbAB1AGQAZwBlAFwAIgAsACAAMAAsACAAXAAiAFwAIgA7AFwAbgAgACAAIAAgACAAIAAgACAAXAAiAEkAbgBjAGkAbgBlAHIAYQB0AGkAbwBuAFwAIgAsACAAXAAiAEYAbwBvAGQAIAB3AGEAcwB0AGUAIAAoAGkAbgBjAGwAdQBkAGkAbgBnACAAYQBuAGkAbQBhAGwAIABjAGEAcgBjAGEAcwBzAGUAcwAsACAAcwBwAG8AaQBsAGUAZAAgAGEAbgBpAG0AYQBsACAAZgBlAGUAZAAgAG8AcgAgAGMAcgBvAHAAKQBcACIALAAgADAALAAgAFwAIgBcACIAOwBcAG4AIAAgACAAIAAgACAAIAAgAFwAIgBJAG4AYwBpAG4AZQByAGEAdABpAG8AbgBcACIALAAgAFwAIgBHAHIAZQBlAG4AIAB3AGEAcwB0AGUAIAAoAGkAbgBjAGwAdQBkAGkAbgBnACAAYwByAG8AcAAgAHIAZQBzAGkAZAB1AGUAcwAgAG8AcgAgAHAAcgB1AG4AaQBuAGcAcwApAFwAIgAsACAAMAAsACAAXAAiAFwAIgA7AFwAbgAgACAAIAAgACAAIAAgACAAXAAiAEkAbgBjAGkAbgBlAHIAYQB0AGkAbwBuAFwAIgAsACAAXAAiAFcAbwBvAGQAXAAiACwAIAAwACwAIABcACIAXAAiADsAXABuACAAIAAgACAAIAAgACAAIABcACIASQBuAGMAaQBuAGUAcgBhAHQAaQBvAG4AXAAiACwAIABcACIAUwBsAHUAZABnAGUAXAAiACwAIAAwACwAIABcACIAXAAiADsAXABuACAAIAAgACAAIAAgACAAIABcACIASQBuAGMAaQBuAGUAcgBhAHQAaQBvAG4AXAAiACwAIABcACIAUABhAHAAZQByACAAYQBuAGQAIABjAGEAcgBkAGIAbwBhAHIAZABcACIALAAgADAALgAwADEANgA5ACwAIABcACIAXAAiADsAXABuACAAIAAgACAAIAAgACAAIABcACIASQBuAGMAaQBuAGUAcgBhAHQAaQBvAG4AXAAiACwAIABcACIAVABlAHgAdABpAGwAZQBzAFwAIgAsACAAMAAuADMANgA2ADcALAAgAFwAIgBcACIAOwBcAG4AIAAgACAAIAAgACAAIAAgAFwAIgBJAG4AYwBpAG4AZQByAGEAdABpAG8AbgBcACIALAAgAFwAIgBSAHUAYgBiAGUAcgAgAGEAbgBkACAAbABlAGEAdABoAGUAcgBcACIALAAgADAALgA0ADkAMQA5ACwAIABcACIAXAAiADsAXABuACAAIAAgACAAIAAgACAAIABcACIASQBuAGMAaQBuAGUAcgBhAHQAaQBvAG4AXAAiACwAIABcACIASQBuAGUAcgB0ACAAdwBhAHMAdABlACAAKABpAG4AYwBsAHUAZABpAG4AZwAgAGMAbwBuAGMAcgBlAHQAZQAsACAAbQBlAHQAYQBsACwAIABwAGwAYQBzAHQAaQBjACAAbwByACAAZwBsAGEAcwBzACkAXAAiACwAIAAwAC4AMQAxADAAMAAsACAAXAAiAFwAIgA7AFwAbgAgACAAIAAgACAAIAAgACAAXAAiAEkAbgBjAGkAbgBlAHIAYQB0AGkAbwBuAFwAIgAsACAAXAAiAE0AdQBuAGkAYwBpAHAAYQBsACAAcwBvAGwAaQBkACAAdwBhAHMAdABlAFwAIgAsACAAMAAuADAANQAzADcALAAgAFwAIgBOAEcAQQBGACAAMgAwADIANQAgAFQAYQBiAGwAZQAgADEAOABcACIAOwBcAG4AIAAgACAAIAAgACAAIAAgAFwAIgBJAG4AYwBpAG4AZQByAGEAdABpAG8AbgBcACIALAAgAFwAIgBDAG8AbQBtAGUAcgBjAGkAYQBsACAAYQBuAGQAIABpAG4AZAB1AHMAdAByAGkAYQBsACAAdwBhAHMAdABlAFwAIgAsACAAMQAuADYANAA5ACwAIABcACIATgBHAEEARgAgADIAMAAyADUAIABUAGEAYgBsAGUAIAAxADgAXAAiADsAXABuAFwAbgAgACAAIAAgACAAIAAgACAAXAAiAEMAbwBtAHAAbwBzAHQAaQBuAGcAXAAiACwAIABcACIAQQBsAGwAIABvAHIAZwBhAG4AaQBjACAAdwBhAHMAdABlAFwAIgAsACAAMAAuADAANAA2ACwAIABcACIATgBHAEEARgAgADIAMAAyADUAIABUAGEAYgBsAGUAIAAxADkAXAAiADsAXABuACAAIAAgACAAIAAgACAAIABcACIAQwBvAG0AcABvAHMAdABpAG4AZwBcACIALAAgAFwAIgBGAG8AbwBkACAAdwBhAHMAdABlACAAKABpAG4AYwBsAHUAZABpAG4AZwAgAGEAbgBpAG0AYQBsACAAYwBhAHIAYwBhAHMAcwBlAHMALAAgAHMAcABvAGkAbABlAGQAIABhAG4AaQBtAGEAbAAgAGYAZQBlAGQAIABvAHIAIABjAHIAbwBwACkAXAAiACwAIAAwAC4AMAA0ADYALAAgAFwAIgBcACIAOwBcAG4AIAAgACAAIAAgACAAIAAgAFwAIgBDAG8AbQBwAG8AcwB0AGkAbgBnAFwAIgAsACAAXAAiAEcAcgBlAGUAbgAgAHcAYQBzAHQAZQAgACgAaQBuAGMAbAB1AGQAaQBuAGcAIABjAHIAbwBwACAAcgBlAHMAaQBkAHUAZQBzACAAbwByACAAcAByAHUAbgBpAG4AZwBzACkAXAAiACwAIAAwAC4AMAA0ADYALAAgAFwAIgBcACIAOwBcAG4AIAAgACAAIAAgACAAIAAgAFwAIgBDAG8AbQBwAG8AcwB0AGkAbgBnAFwAIgAsACAAXAAiAFcAbwBvAGQAXAAiACwAIAAwAC4AMAA0ADYALAAgAFwAIgBcACIAOwBcAG4AIAAgACAAIAAgACAAIAAgAFwAIgBDAG8AbQBwAG8AcwB0AGkAbgBnAFwAIgAsACAAXAAiAFMAbAB1AGQAZwBlAFwAIgAsACAAMAAuADAANAA2ACwAIABcACIAXAAiADsAXABuACAAIAAgACAAIAAgACAAIABcACIAQwBvAG0AcABvAHMAdABpAG4AZwBcACIALAAgAFwAIgBQAGEAcABlAHIAIABhAG4AZAAgAGMAYQByAGQAYgBvAGEAcgBkAFwAIgAsACAAMAAuADAANAA2ACwAIABcACIAXAAiADsAXABuAFwAbgAgACAAIAAgACAAIAAgACAAXAAiAEEAbgBhAGUAcgBvAGIAaQBjACAAZABpAGcAZQBzAHQAaQBvAG4AXAAiACwAIABcACIAQQBsAGwAIABvAHIAZwBhAG4AaQBjACAAdwBhAHMAdABlAFwAIgAsACAAMAAuADAAMgA4ACwAIABcACIATgBHAEEARgAgADIAMAAyADUAIABUAGEAYgBsAGUAIAAxADkAXAAiADsAXABuACAAIAAgACAAIAAgACAAIABcACIAQQBuAGEAZQByAG8AYgBpAGMAIABkAGkAZwBlAHMAdABpAG8AbgBcACIALAAgAFwAIgBGAG8AbwBkACAAdwBhAHMAdABlACAAKABpAG4AYwBsAHUAZABpAG4AZwAgAGEAbgBpAG0AYQBsACAAYwBhAHIAYwBhAHMAcwBlAHMALAAgAHMAcABvAGkAbABlAGQAIABhAG4AaQBtAGEAbAAgAGYAZQBlAGQAIABvAHIAIABjAHIAbwBwACkAXAAiACwAIAAwAC4AMAAyADgALAAgAFwAIgBcACIAOwBcAG4AIAAgACAAIAAgACAAIAAgAFwAIgBBAG4AYQBlAHIAbwBiAGkAYwAgAGQAaQBnAGUAcwB0AGkAbwBuAFwAIgAsACAAXAAiAEcAcgBlAGUAbgAgAHcAYQBzAHQAZQAgACgAaQBuAGMAbAB1AGQAaQBuAGcAIABjAHIAbwBwACAAcgBlAHMAaQBkAHUAZQBzACAAbwByACAAcAByAHUAbgBpAG4AZwBzACkAXAAiACwAIAAwAC4AMAAyADgALAAgAFwAIgBcACIAOwBcAG4AIAAgACAAIAAgACAAIAAgAFwAIgBBAG4AYQBlAHIAbwBiAGkAYwAgAGQAaQBnAGUAcwB0AGkAbwBuAFwAIgAsACAAXAAiAFcAbwBvAGQAXAAiACwAIAAwAC4AMAAyADgALAAgAFwAIgBcACIAOwBcAG4AIAAgACAAIAAgACAAIAAgAFwAIgBBAG4AYQBlAHIAbwBiAGkAYwAgAGQAaQBnAGUAcwB0AGkAbwBuAFwAIgAsACAAXAAiAFMAbAB1AGQAZwBlAFwAIgAsACAAMAAuADAAMgA4ACwAIABcACIAXAAiADsAXABuACAAIAAgACAAIAAgACAAIABcACIAQQBuAGEAZQByAG8AYgBpAGMAIABkAGkAZwBlAHMAdABpAG8AbgBcACIALAAgAFwAIgBQAGEAcABlAHIAIABhAG4AZAAgAGMAYQByAGQAYgBvAGEAcgBkAFwAIgAsACAAMAAuADAAMgA4ACwAIABcACIAXAAiAFwAbgAgACAAIAAgACAAIAB9ACwAIAByACwAIABjACkAXABuACkAKQApADsAXABuAFwAbgBXAGEAcwB0AGUAXwBFAG0AaQBzAHMAaQBvAG4ARgBhAGMAdABvAHIAcwBGAG8AcgBXAGEAcwB0AGUAVAByAGUAYQB0AG0AZQBuAHQAXwBWAGEAcgBpAGEAdABpAG8AbgBcAG4APQBMAEEATQBCAEQAQQAoAFwAbgAgACAATQBBAEsARQBBAFIAUgBBAFkAKAA3ACwAIAAxACwAXABuACAAIAAgACAATABBAE0AQgBEAEEAKAByACwAYwAsAFwAbgAgACAAIAAgACAAIABJAE4ARABFAFgAKAB7AFwAbgAgACAAIAAgACAAIAAgACAAXAAiAFYAQQBSAEkAQQBUAEkATwBOACAATwBOACAAUwBPAFUAUgBDAEUAOgBcACIAOwBcAG4AIAAgACAAIAAgACAAIAAgAFwAIgBGAGkAeABlAGQAIAB0AHkAcABvACAAXAB1ADAAMAAyADcAcABhAHAAZQByACAAYQBuAGQAIABjAGEAcgBiAG8AYQByAGQAXAB1ADAAMAAyADcAIAB0AG8AIABcAHUAMAAwADIANwBwAGEAcABlAHIAIABhAG4AZAAgAGMAYQByAGQAYgBvAGEAcgBkAFwAdQAwADAAMgA3AFwAIgA7AFwAbgAgACAAIAAgACAAIAAgACAAXAAiAEYAaQB4AGUAZAAgAHQAeQBwAG8AIABcAHUAMAAwADIANwBwAHIAdQBuAG4AaQBuAGcAcwBcAHUAMAAwADIANwAgAHQAbwAgAFwAdQAwADAAMgA3AHAAcgB1AG4AaQBuAGcAcwBcAHUAMAAwADIANwBcACIAOwBcAG4AIAAgACAAIAAgACAAIAAgAFwAIgBBAGQAZABlAGQAIABFAEYAIABzAG8AdQByAGMAZQAgAGMAbwBsAHUAbQBuACAAdwBpAHQAaAAgAHMAcABlAGMAaQBmAGkAYwAgAHIAZQBmAGUAcgBlAG4AYwBlAHMAXAAiADsAXABuACAAIAAgACAAIAAgACAAIABcACIAQQBkAGQAZQBkACAAcwB1AGIALQBjAGEAdABlAGcAbwByAGkAZQBzACAAZgBvAHIAIABcAHUAMAAwADIANwBJAG4AYwBpAG4AZQByAGEAdABpAG8AbgA6ACAARgBvAG8AZAAgAHcAYQBzAHQAZQAsACAAZwByAGUAZQBuACAAdwBhAHMAdABlACwAIAB3AG8AbwBkACwAIABzAGwAdQBkAGcAZQBcAHUAMAAwADIANwAgAGkAbgAgAG8AcgBkAGUAcgAgAHQAbwAgAHUAcwBlACAAdgBvAGwAdQBtAGUAIAB0AG8AIABtAGEAcwBzACAAYwBvAG4AdgBlAHIAcwBpAG8AbgAgAGYAYQBjAHQAbwByACAAdgBhAGwAdQBlAHMAXAAiADsAXABuACAAIAAgACAAIAAgACAAIABcACIAQQBkAGQAZQBkACAAcwB1AGIALQBjAGEAdABlAGcAbwByAGkAZQBzACAAZgBvAHIAIABcAHUAMAAwADIANwBDAG8AbQBwAG8AcwB0AGkAbgBnADoAIABBAGwAbAAgAG8AcgBnAGEAbgBpAGMAIAB3AGEAcwB0AGUAXAB1ADAAMAAyADcAIABpAG4AIABvAHIAZABlAHIAIAB0AG8AIAB1AHMAZQAgAHYAbwBsAHUAbQBlACAAdABvACAAbQBhAHMAcwAgAGMAbwBuAHYAZQByAHMAaQBvAG4AIABmAGEAYwB0AG8AcgAgAHYAYQBsAHUAZQBzAFwAIgA7AFwAbgAgACAAIAAgACAAIAAgACAAXAAiAEEAZABkAGUAZAAgAHMAdQBiAC0AYwBhAHQAZQBnAG8AcgBpAGUAcwAgAGYAbwByACAAXAB1ADAAMAAyADcAQQBuAGEAZQByAG8AYgBpAGMAIABkAGkAZwBlAHMAdABpAG8AbgA6ACAAQQBsAGwAIABvAHIAZwBhAG4AaQBjACAAdwBhAHMAdABlAFwAdQAwADAAMgA3ACAAaQBuACAAbwByAGQAZQByACAAdABvACAAdQBzAGUAIAB2AG8AbAB1AG0AZQAgAHQAbwAgAG0AYQBzAHMAIABjAG8AbgB2AGUAcgBzAGkAbwBuACAAZgBhAGMAdABvAHIAIAB2AGEAbAB1AGUAcw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QAYQBiAGwAZQAgAEEALgA0AC4AMQAuADIAOgAgAFYAbwBsAHUAbQBlACAAdABvACAAbQBhAHMAcwAgAGMAbwBuAHYAZQByAHMAaQBvAG4AIABmAGEAYwB0AG8AcgAgAGYAbwByACAAdgBhAHIAaQBvAHUAcwAgAHcAYQBzAHQAZQAgAHQAeQBwAGUAcwAgACgAdAAvAG0AMwApACAAKABWAFQATQB3ACkAXABuAD0APQA9AD0APQA9AD0APQA9AD0APQA9AD0APQA9AD0APQA9AD0APQA9AD0APQA9AD0APQA9AD0APQA9AD0APQA9AD0APQA9AD0APQA9AD0APQA9AD0APQA9AD0APQA9AD0APQA9AD0APQA9AD0APQA9AD0APQA9AD0APQA9AD0APQA9AD0APQA9AD0APQA9AD0APQA9AD0AXABuACoALwBcAG4AXABuAFcAYQBzAHQAZQBfAFcAYQBzAHQAZQBWAG8AbAB1AG0AZQBUAG8ATQBhAHMAcwBDAG8AbgB2AGUAcgBzAGkAbwBuAF8AVABpAHQAbABlAFwAbgA9AEwAQQBNAEIARABBACgAKABcACIAVgBvAGwAdQBtAGUAIAB0AG8AIABtAGEAcwBzACAAYwBvAG4AdgBlAHIAcwBpAG8AbgAgAGYAYQBjAHQAbwByACAAZgBvAHIAIAB2AGEAcgBpAG8AdQBzACAAdwBhAHMAdABlACAAdAB5AHAAZQBzAFwAIgApACkAOwBcAG4AXABuAFcAYQBzAHQAZQBfAFcAYQBzAHQAZQBWAG8AbAB1AG0AZQBUAG8ATQBhAHMAcwBDAG8AbgB2AGUAcgBzAGkAbwBuAF8AVgBhAHIAaQBhAGIAbABlAFwAbgA9AEwAQQBNAEIARABBACgAKABcACIAVgBUAE0AdwBcACIAKQApADsAXABuAFwAbgBXAGEAcwB0AGUAXwBXAGEAcwB0AGUAVgBvAGwAdQBtAGUAVABvAE0AYQBzAHMAQwBvAG4AdgBlAHIAcwBpAG8AbgBfAFUAbgBpAHQAXABuAD0ATABBAE0AQgBEAEEAKAAoAFwAIgB0AC8AbQAzAFwAIgApACkAOwBcAG4AXABuAFcAYQBzAHQAZQBfAFcAYQBzAHQAZQBWAG8AbAB1AG0AZQBUAG8ATQBhAHMAcwBDAG8AbgB2AGUAcgBzAGkAbwBuAF8AUwBvAHUAcgBjAGUAXABuAD0ATABBAE0AQgBEAEEAKAAoAFwAIgBWAEUARQBSAEcAIAAyADAAMgA2ADoAIABUAGEAYgBsAGUAIABBAC4ANAAuADEALgAyAFwAIgApACkAOwBcAG4AXABuAFcAYQBzAHQAZQBfAFcAYQBzAHQAZQBWAG8AbAB1AG0AZQBUAG8ATQBhAHMAcwBDAG8AbgB2AGUAcgBzAGkAbwBuAF8ARABhAHQAYQBcAG4APQBMAEEATQBCAEQAQQAoAFwAbgAgACAATQBBAEsARQBBAFIAUgBBAFkAKAAxADIALAAgADIALABcAG4AIAAgACAAIABMAEEATQBCAEQAQQAoAHIALABjACwAXABuACAAIAAgACAAIAAgAEkATgBEAEUAWAAoAHsAXABuACAAIAAgACAAIAAgACAAIABcACIAVwBhAHMAdABlACAAdAB5AHAAZQAgAHcAXAAiACwAIABcACIAVgBUAE0AdwBcACIAOwBcAG4AIAAgACAAIAAgACAAIAAgAFwAIgBGAG8AbwBkACAAdwBhAHMAdABlACAAKABpAG4AYwBsAHUAZABpAG4AZwAgAGEAbgBpAG0AYQBsACAAYwBhAHIAYwBhAHMAcwBlAHMALAAgAHMAcABvAGkAbABlAGQAIABhAG4AaQBtAGEAbAAgAGYAZQBlAGQAIABvAHIAIABjAHIAbwBwACkAXAAiACwAIAAwAC4ANQAwADsAXABuACAAIAAgACAAIAAgACAAIABcACIAUABhAHAAZQByACAAYQBuAGQAIABjAGEAcgBkAGIAbwBhAHIAZABcACIALAAgADAALgAwADkAOwBcAG4AIAAgACAAIAAgACAAIAAgAFwAIgBHAHIAZQBlAG4AIAB3AGEAcwB0AGUAIAAoAGkAbgBjAGwAdQBkAGkAbgBnACAAYwByAG8AcAAgAHIAZQBzAGkAZAB1AGUAcwAgAG8AcgAgAHAAcgB1AG4AaQBuAGcAcwApAFwAIgAsACAAMAAuADIANAA7AFwAbgAgACAAIAAgACAAIAAgACAAXAAiAFcAbwBvAGQAXAAiACwAIAAwAC4AMQA1ADsAXABuACAAIAAgACAAIAAgACAAIABcACIAVABlAHgAdABpAGwAZQBzAFwAIgAsACAAMAAuADEANAA7AFwAbgAgACAAIAAgACAAIAAgACAAXAAiAFMAbAB1AGQAZwBlAFwAIgAsACAAMAAuADcAMgA7AFwAbgAgACAAIAAgACAAIAAgACAAXAAiAFIAdQBiAGIAZQByACAAYQBuAGQAIABsAGUAYQB0AGgAZQByAFwAIgAsACAAMAAuADEANAA7AFwAbgAgACAAIAAgACAAIAAgACAAXAAiAEkAbgBlAHIAdAAgAHcAYQBzAHQAZQAgACgAaQBuAGMAbAB1AGQAaQBuAGcAIABjAG8AbgBjAHIAZQB0AGUALAAgAG0AZQB0AGEAbAAsACAAcABsAGEAcwB0AGkAYwAgAG8AcgAgAGcAbABhAHMAcwApAFwAIgAsACAAMAAuADQAMgA7AFwAbgAgACAAIAAgACAAIAAgACAAXAAiAE0AdQBuAGkAYwBpAHAAYQBsACAAcwBvAGwAaQBkACAAdwBhAHMAdABlAFwAIgAsACAAMAAuADMANgA7AFwAbgAgACAAIAAgACAAIAAgACAAXAAiAEMAbwBtAG0AZQByAGMAaQBhAGwAIABhAG4AZAAgAGkAbgBkAHUAcwB0AHIAaQBhAGwAIAB3AGEAcwB0AGUAXAAiACwAIAAwAC4AMwAzADsAXABuACAAIAAgACAAIAAgACAAIABcACIAQwBvAG4AcwB0AHIAdQBjAHQAaQBvAG4AIABhAG4AZAAgAGQAZQBtAG8AbABpAHQAaQBvAG4AIAB3AGEAcwB0AGUAXAAiACwAIAAwAC4AMwA5AFwAbgAgACAAIAAgACAAIAB9ACwAIAByACwAIABjACkAXABuACkAKQApADsAXABuAFwAbgBXAGEAcwB0AGUAXwBXAGEAcwB0AGUAVgBvAGwAdQBtAGUAVABvAE0AYQBzAHMAQwBvAG4AdgBlAHIAcwBpAG8AbgBfAFYAYQByAGkAYQB0AGkAbwBuAFwAbgA9AEwAQQBNAEIARABBACgAKABcACIAVgBBAFIASQBBAFQASQBPAE4AIABPAEYAIABTAE8AVQBSAEMARQA6ACAAQwBoAGEAbgBnAGUAZAAgAGMAbwBsAHUAbQBuACAAaABlAGEAZABlAHIAIABDAEYAdwAgAHQAbwAgAFYAVABNAHcAIAB0AG8AIABtAGEAdABjAGgAIAB0AGkAdABsAGUAIAB2AGEAcgBpAGEAYgBsAGUALgBcACIAKQApADsAXABuAFwAbgBcAG4AIgB9ACwAewAiAHAAYQB0AGgAIgA6ACIALwBwAHIAbwBqAGUAYwB0AHMALwBXAGEAcwB0AGUAUwBvAGwAaQBkAF8ARQBxAHUAYQB0AGkAbwBuAHMAIgAsACIAdABlAHgAdAAiADoAIgAvACoAXABuAD0APQA9AD0APQA9AD0APQA9AD0APQA9AD0APQA9AD0APQA9AD0APQA9AD0APQA9AD0APQA9AD0APQA9AD0APQA9AD0APQA9AD0APQA9AD0APQA9AD0APQA9AD0APQA9AD0APQA9AD0APQA9AD0APQA9AD0APQA9AD0APQA9AD0APQA9AD0APQA9AD0APQA9AD0APQA9AD0AXABuADEAMAAuADEAOgAgAFcAYQBzAHQAZQBcAG4APQA9AD0APQA9AD0APQA9AD0APQA9AD0APQA9AD0APQA9AD0APQA9AD0APQA9AD0APQA9AD0APQA9AD0APQA9AD0APQA9AD0APQA9AD0APQA9AD0APQA9AD0APQA9AD0APQA9AD0APQA9AD0APQA9AD0APQA9AD0APQA9AD0APQA9AD0APQA9AD0APQA9AD0APQA9AD0APQBcAG4AMQAwAC4AMQAuADEALgAxACAATQBlAHQAaABvAGQAIAAxACAALQAgAFMAbwBsAGkAZAAgAFcAYQBzAHQAZQAgAFQAcgBlAGEAdABtAGUAbg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wAF8AMQBfADEAXwAxAF8AXwAxAF8ARQBtAGkAcwBzAGkAbwBuAHMARgByAG8AbQBXAGEAcwB0AGUATQBhAG4AYQBnAGUAbQBlAG4AdABcAG4ARQBtAGkAcwBzAGkAbwBuAHMAIABmAHIAbwBtACAAdwBhAHMAdABlACAAbQBhAG4AYQBnAGUAbQBlAG4AdAAgAGIAeQAgAGcAcgBlAGUAbgBoAG8AdQBzAGUAIABnAGEAcwBcAG4ARQBfAGcAXABuAHQAIABDAE8AMgBlAFwAbgBFAF8AZwA9AFwAXABzAHUAbQBfAHQAXABcAHMAdQBtAF8AdwAoAFEAXwB3AHQAXABcAHQAaQBtAGUAcwAgAEUARgBfAHcAdABnACkAXABuAFEAXwB3AHQAIAA9ACAAcQB1AGEAbgB0AGkAdAB5ACAAbwBmACAAcwBvAGwAaQBkACAAdwBhAHMAdABlACAAbwBmACAAdAB5AHAAZQAgAHcAIABiAGUAaQBuAGcAIABzAGUAbgB0ACAAdABvACAAdAByAGUAYQB0AG0AZQBuAHQAIABmAGEAYwBpAGwAaQB0AHkAIAB0ACwAIABvAG4AIABhACAAdwBlAHQAIAB3AGUAaQBnAGgAdAAgAGIAYQBzAGkAcwAgACgAdAApAFwAbgBFAEYAXwB3AHQAZwAgAD0AIABlAG0AaQBzAHMAaQBvAG4AIABmAGEAYwB0AG8AcgAgAGYAbwByACAAZwByAGUAZQBuAGgAbwB1AHMAZQAgAGcAYQBzACAAZwAgAGYAbwByACAAdABoAGUAIABtAGEAbgBhAGcAZQBtAGUAbgB0ACAAbwBmACAAdwBhAHMAdABlACAAYQB0ACAAdAByAGUAYQB0AG0AZQBuAHQAIABmAGEAYwBpAGwAaQB0AHkAIAB0ACAAKAB0ACAAQwBPADIAZQAvAHQAKQBcAG4ALQAtAC0ALQAtAC0ALQAtAC0ALQAtAC0ALQAtAC0ALQAtAC0ALQAtAC0ALQAtAC0ALQAtAC0ALQAtAC0ALQAtAC0ALQAtAC0ALQAtAFwAbgAqAC8AXABuAFwAbgBWAEUARQBSAEcAXwAxADAAXwAxAF8AMQBfADEAXwBfADEAXwBFAG0AaQBzAHMAaQBvAG4AcwBGAHIAbwBtAFcAYQBzAHQAZQBNAGEAbgBhAGcAZQBtAGUAbgB0AFwAbgAgACAAPQBMAEEATQBCAEQAQQAoAFwAbgAgACAAIAAgAFEAXwB3AHQALAAgAEUARgBfAHcAdABnACwAXABuACAAIAAgACAAUQBfAHcAdAAgACoAIABFAEYAXwB3AHQAZwBcAG4AIAAgACkAOwBcAG4AXABuAFYARQBFAFIARwBfADEAMABfADEAXwAxAF8AMQBfAF8AMQBfAEUAbQBpAHMAcwBpAG8AbgBzAEYAcgBvAG0AVwBhAHMAdABlAE0AYQBuAGEAZwBlAG0AZQBuAHQAXwBUAGkAdABsAGUAXABuACAAIAA9AEwAQQBNAEIARABBACgAXAAiAEUAbQBpAHMAcwBpAG8AbgBzACAAZgByAG8AbQAgAHcAYQBzAHQAZQAgAG0AYQBuAGEAZwBlAG0AZQBuAHQAIABiAHkAIABnAHIAZQBlAG4AaABvAHUAcwBlACAAZwBhAHMAXAAiACkAOwBcAG4AXABuAFYARQBFAFIARwBfADEAMABfADEAXwAxAF8AMQBfAF8AMQBfAEUAbQBpAHMAcwBpAG8AbgBzAEYAcgBvAG0AVwBhAHMAdABlAE0AYQBuAGEAZwBlAG0AZQBuAHQAXwBWAGEAcgBpAGEAYgBsAGUAXABuACAAIAA9AEwAQQBNAEIARABBACgAXAAiAEUAXwBnAFwAIgApADsAXABuAFwAbgBWAEUARQBSAEcAXwAxADAAXwAxAF8AMQBfADEAXwBfADEAXwBFAG0AaQBzAHMAaQBvAG4AcwBGAHIAbwBtAFcAYQBzAHQAZQBNAGEAbgBhAGcAZQBtAGUAbgB0AF8AVQBuAGkAdABcAG4AIAAgAD0ATABBAE0AQgBEAEEAKABcACIAdAAgAEMATwAyAGUAXAAiACkAOwBcAG4AXABuAFYARQBFAFIARwBfADEAMABfADEAXwAxAF8AMQBfAF8AMQBfAEUAbQBpAHMAcwBpAG8AbgBzAEYAcgBvAG0AVwBhAHMAdABlAE0AYQBuAGEAZwBlAG0AZQBuAHQAXwBTAG8AdQByAGMAZQBcAG4AIAAgAD0ATABBAE0AQgBEAEEAKABcACIAVgBFAEUAUgBHACAAMgAwADIANgA6ACAAMQAwAC4AMQAuADEALgAxACwAIABFAHEAdQBhAHQAaQBvAG4AIAAoADEAKQBcACIAKQA7AFwAbgBcAG4AVgBFAEUAUgBHAF8AMQAwAF8AMQBfADEAXwAxAF8AXwAxAF8ARQBtAGkAcwBzAGkAbwBuAHMARgByAG8AbQBXAGEAcwB0AGUATQBhAG4AYQBnAGUAbQBlAG4AdABfAE4ASQBSAFIAZQBmAGUAcgBlAG4AYwBlAFwAbgAgACAAPQBMAEEATQBCAEQAQQAoAFwAIgBcACIAKQA7AFwAbgBcAG4AVgBFAEUAUgBHAF8AMQAwAF8AMQBfADEAXwAxAF8AXwAxAF8ARQBtAGkAcwBzAGkAbwBuAHMARgByAG8AbQBXAGEAcwB0AGUATQBhAG4AYQBnAGUAbQBlAG4AdABfAEwAYQB0AGUAeABFAHEAdQBhAHQAaQBvAG4AXABuACAAIAA9AEwAQQBNAEIARABBACgAXAAiAEUAXwBnAD0AXABcAHMAdQBtAFwAXABuAG8AbABpAG0AaQB0AHMAXwB0AFwAXABzAHUAbQBcAFwAbgBvAGwAaQBtAGkAdABzAF8AdwAoAFEAXwB7AHcAdAB9AFwAXAB0AGkAbQBlAHMAIABFAEYAXwB7AHcAdABnAH0AKQBcACIAKQA7AFwAbgBcAG4AVgBFAEUAUgBHAF8AMQAwAF8AMQBfADEAXwAxAF8AXwAxAF8ARQBtAGkAcwBzAGkAbwBuAHMARgByAG8AbQBXAGEAcwB0AGUATQBhAG4AYQBnAGUAbQBlAG4AdABfAEEAcgBnAHUAbQBlAG4AdABzAFwAbgAgACAAPQBMAEEATQBCAEQAQQAoAFwAbgAgACAAIAAgAE0AQQBLAEUAQQBSAFIAQQBZACgANwAsACAANAAsAFwAbgAgACAAIAAgACAAIABMAEEATQBCAEQAQQAoAHIALABjACwAXABuACAAIAAgACAAIAAgACAAIABJAE4ARABFAFgAKAB7AFwAbgAgACAAIAAgACAAIAAgACAAIAAgAFwAIgBRAF8AdwB0AFwAIgAsACAAXAAiAHEAdQBhAG4AdABpAHQAeQAgAG8AZgAgAHMAbwBsAGkAZAAgAHcAYQBzAHQAZQAgAG8AZgAgAHQAeQBwAGUAIAB3ACAAYgBlAGkAbgBnACAAcwBlAG4AdAAgAHQAbwAgAHQAcgBlAGEAdABtAGUAbgB0ACAAZgBhAGMAaQBsAGkAdAB5ACAAdAAsACAAbwBuACAAYQAgAHcAZQB0ACAAdwBlAGkAZwBoAHQAIABiAGEAcwBpAHMAXAAiACwAIABcACIAdABcACIALAAgAFwAIgBTAHUAbQAgAG8AZgAgAFEAXwB2AG8AbAB3AHQAIABhAG4AZAAgAFEAXwBtAGEAcwBzAHcAdABcACIAOwBcAG4AIAAgACAAIAAgACAAIAAgACAAIABcACIARQBGAF8AdwB0AGcAXAAiACwAIABcACIAZQBtAGkAcwBzAGkAbwBuACAAZgBhAGMAdABvAHIAIABmAG8AcgAgAGcAcgBlAGUAbgBoAG8AdQBzAGUAIABnAGEAcwAgAGcAIABmAG8AcgAgAHQAaABlACAAbQBhAG4AYQBnAGUAbQBlAG4AdAAgAG8AZgAgAHcAYQBzAHQAZQAgAGEAdAAgAHQAcgBlAGEAdABtAGUAbgB0ACAAZgBhAGMAaQBsAGkAdAB5ACAAdABcACIALAAgAFwAIgB0ACAAQwBPADIAZQAvAHQAXAAiACwAIABcACIAQwBvAG4AcwB0AGEAbgB0AFwAIgA7AFwAbgAgACAAIAAgACAAIAAgACAAIAAgAFwAIgB3AFwAIgAsACAAXAAiAHcAYQBzAHQAZQAgAHQAeQBwAGUAXAAiACwAIABcACIAXAAiACwAIABcACIASQBuAHAAdQB0AFwAIgA7AFwAbgAgACAAIAAgACAAIAAgACAAIAAgAFwAIgB0AFwAIgAsACAAXAAiAHQAcgBlAGEAdABtAGUAbgB0ACAAZgBhAGMAaQBsAGkAdAB5AFwAIgAsACAAXAAiAFwAIgAsACAAXAAiAEkAbgBwAHUAdABcACIAOwBcAG4AIAAgACAAIAAgACAAIAAgACAAIABcACIAZwBcACIALAAgAFwAIgBnAHIAZQBlAG4AaABvAHUAcwBlACAAZwBhAHMAXAAiACwAIABcACIAXAAiACwAIABcACIASQBuAHAAdQB0AFwAIgA7AFwAbgAgACAAIAAgACAAIAAgACAAIAAgAFwAIgBRAF8AdgBvAGwAdwB0AFwAIgAsACAAXAAiAHEAdQBhAG4AdABpAHQAeQAgAG8AZgAgAHMAbwBsAGQAIAB3AGEAcwB0AGUAIABpAG4AcAB1AHQAIABhAHMAIAB2AG8AbAB1AG0AZQAgAGEAbgBkACAAYwBvAG4AdgBlAHIAdABlAGQAIAB0AG8AIAB0AG8AbgBuAGUAcwBcACIALAAgAFwAIgB0AG8AbgBuAGUAcwBcACIALAAgAFwAIgBDAGEAbABjAHUAbABhAHQAZQBkACAAZgByAG8AbQAgADEAMAAuADEALgAxAC4AMQAgACgAMgApAFwAIgA7AFwAbgAgACAAIAAgACAAIAAgACAAIAAgAFwAIgBRAF8AbQBhAHMAcwB3AHQAXAAiACwAIABcACIAcQB1AGEAbgB0AGkAdAB5ACAAbwBmACAAcwBvAGwAaQBkACAAdwBhAHMAdABlACAAaQBuAHAAdQB0ACAAYQBzACAAbQBhAHMAcwBcACIALAAgAFwAIgB0AG8AbgBuAGUAcwBcACIALAAgAFwAIgBJAG4AcAB1AHQAXAAiAFwAbgAgACAAIAAgACAAIAAgACAAfQAsACAAcgAsACAAYwApAFwAbgAgACAAIAAgACAAIAApAFwAbgAgACAAIAAgACkAXABuACAAIAApADsAXABuAFwAbgBWAEUARQBSAEcAXwAxADAAXwAxAF8AMQBfADEAXwBfADEAXwBFAG0AaQBzAHMAaQBvAG4AcwBGAHIAbwBtAFcAYQBzAHQAZQBNAGEAbgBhAGcAZQBtAGUAbgB0AF8AVgBhAHIAaQBhAHQAaQBvAG4AXABuACAAIAA9AEwAQQBNAEIARABBACgAXAAiAFYAQQBSAEkAQQBUAEkATwBOACAATwBOACAAUwBPAFUAUgBDAEUAOgAgAEEAZABkAGUAZAAgAFEAXwB2AG8AbAB3AHQAIABhAG4AZAAgAFEAXwBtAGEAcwBzAHcAdAAgAHYAYQByAGkAYQBiAGwAZQBzACAAdABvACAAYwBsAGUAYQByAGwAeQAgAHQAcgBhAGMAawAgAGkAbgBwAHUAdAAgAG8AcgAgAGMAYQBsAGMAdQBsAGEAdABlAGQAIABRACAAdgBhAGwAdQBlAHMAXAAiACkAOwBcAG4AXABuAC8AKgBcAG4ALQAtAC0ALQAtAC0ALQAtAC0ALQAtAC0ALQAtAC0ALQAtAC0ALQAtAC0ALQAtAC0ALQAtAC0ALQAtAC0ALQAtAC0ALQAtAC0ALQAtAFwAbgBWAEUARQBSAEcAXwAxADAAXwAxAF8AMQBfADEAXwBfADIAXwBNAGEAcwBzAE8AZgBXAGEAcwB0AGUARgByAG8AbQBWAG8AbAB1AG0AZQBcAG4ATQBhAHMAcwAgAG8AZgAgAHcAYQBzAHQAZQAgAGYAcgBvAG0AIAB3AGEAcwB0AGUAIAB2AG8AbAB1AG0AZQBcAG4AUQBfAHcAdABcAG4AdABcAG4AUQBfAHcAdAA9AFYAXwB3AHQAXABcAHQAaQBtAGUAcwAgAFYAVABNAF8AdwBcAG4AVgBfAHcAdAAgAD0AIAB2AG8AbAB1AG0AZQAgAG8AZgAgAHMAbwBsAGkAZAAgAHcAYQBzAHQAZQAgAHQAeQBwAGUAIAB3ACAAYgBlAGkAbgBnACAAcwBlAG4AdAAgAHQAbwAgAHQAcgBlAGEAdABtAGUAbgB0ACAAZgBhAGMAaQBsAGkAdAB5ACAAdAAgACgAbQAzACkAXABuAFYAVABNAF8AdwAgAD0AIABjAG8AbgB2AGUAcgBzAGkAbwBuACAAZgBhAGMAdABvAHIAIABvAGYAIAB2AG8AbAB1AG0AZQAgAHQAbwAgAG0AYQBzAHMAIABmAG8AcgAgAHcAYQBzAHQAZQAgAHQAeQBwAGUAIAB3ACAAKAB0AC8AbQAzACkAXABuAC0ALQAtAC0ALQAtAC0ALQAtAC0ALQAtAC0ALQAtAC0ALQAtAC0ALQAtAC0ALQAtAC0ALQAtAC0ALQAtAC0ALQAtAC0ALQAtAC0ALQBcAG4AKgAvAFwAbgBcAG4AVgBFAEUAUgBHAF8AMQAwAF8AMQBfADEAXwAxAF8AXwAyAF8ATQBhAHMAcwBPAGYAVwBhAHMAdABlAEYAcgBvAG0AVgBvAGwAdQBtAGUAXABuACAAIAA9AEwAQQBNAEIARABBACgAXABuACAAIAAgACAAVgBfAHcAdAAsACAAVgBUAE0AXwB3ACwAXABuACAAIAAgACAAVgBfAHcAdAAgACoAIABWAFQATQBfAHcAXABuACAAIAApADsAXABuAFwAbgBWAEUARQBSAEcAXwAxADAAXwAxAF8AMQBfADEAXwBfADIAXwBNAGEAcwBzAE8AZgBXAGEAcwB0AGUARgByAG8AbQBWAG8AbAB1AG0AZQBfAFQAaQB0AGwAZQBcAG4AIAAgAD0ATABBAE0AQgBEAEEAKABcACIATQBhAHMAcwAgAG8AZgAgAHcAYQBzAHQAZQAgAGYAcgBvAG0AIAB3AGEAcwB0AGUAIAB2AG8AbAB1AG0AZQBcACIAKQA7AFwAbgBcAG4AVgBFAEUAUgBHAF8AMQAwAF8AMQBfADEAXwAxAF8AXwAyAF8ATQBhAHMAcwBPAGYAVwBhAHMAdABlAEYAcgBvAG0AVgBvAGwAdQBtAGUAXwBWAGEAcgBpAGEAYgBsAGUAXABuACAAIAA9AEwAQQBNAEIARABBACgAXAAiAFEAXwB3AHQAXAAiACkAOwBcAG4AXABuAFYARQBFAFIARwBfADEAMABfADEAXwAxAF8AMQBfAF8AMgBfAE0AYQBzAHMATwBmAFcAYQBzAHQAZQBGAHIAbwBtAFYAbwBsAHUAbQBlAF8AVQBuAGkAdABcAG4AIAAgAD0ATABBAE0AQgBEAEEAKABcACIAdABcACIAKQA7AFwAbgBcAG4AVgBFAEUAUgBHAF8AMQAwAF8AMQBfADEAXwAxAF8AXwAyAF8ATQBhAHMAcwBPAGYAVwBhAHMAdABlAEYAcgBvAG0AVgBvAGwAdQBtAGUAXwBTAG8AdQByAGMAZQBcAG4AIAAgAD0ATABBAE0AQgBEAEEAKABcACIAVgBFAEUAUgBHACAAMgAwADIANgA6ACAAMQAwAC4AMQAuADEALgAxACwAIABFAHEAdQBhAHQAaQBvAG4AIAAoADIAKQBcACIAKQA7AFwAbgBcAG4AVgBFAEUAUgBHAF8AMQAwAF8AMQBfADEAXwAxAF8AXwAyAF8ATQBhAHMAcwBPAGYAVwBhAHMAdABlAEYAcgBvAG0AVgBvAGwAdQBtAGUAXwBOAEkAUgBSAGUAZgBlAHIAZQBuAGMAZQBcAG4AIAAgAD0ATABBAE0AQgBEAEEAKABcACIAXAAiACkAOwBcAG4AXABuAFYARQBFAFIARwBfADEAMABfADEAXwAxAF8AMQBfAF8AMgBfAE0AYQBzAHMATwBmAFcAYQBzAHQAZQBGAHIAbwBtAFYAbwBsAHUAbQBlAF8ATABhAHQAZQB4AEUAcQB1AGEAdABpAG8AbgBcAG4AIAAgAD0ATABBAE0AQgBEAEEAKABcACIAUQBfAHsAdwB0AH0APQBWAF8AewB3AHQAfQBcAFwAdABpAG0AZQBzACAAVgBUAE0AXwB3AFwAIgApADsAXABuAFwAbgBWAEUARQBSAEcAXwAxADAAXwAxAF8AMQBfADEAXwBfADIAXwBNAGEAcwBzAE8AZgBXAGEAcwB0AGUARgByAG8AbQBWAG8AbAB1AG0AZQBfAEEAcgBnAHUAbQBlAG4AdABzAFwAbgAgACAAPQBMAEEATQBCAEQAQQAoAFwAbgAgACAAIAAgAE0AQQBLAEUAQQBSAFIAQQBZACgANAAsACAANAAsAFwAbgAgACAAIAAgACAAIABMAEEATQBCAEQAQQAoAHIALABjACwAXABuACAAIAAgACAAIAAgACAAIABJAE4ARABFAFgAKAB7AFwAbgAgACAAIAAgACAAIAAgACAAIAAgAFwAIgBWAF8AdwB0AFwAIgAsACAAXAAiAHYAbwBsAHUAbQBlACAAbwBmACAAcwBvAGwAaQBkACAAdwBhAHMAdABlACAAdAB5AHAAZQAgAHcAIABiAGUAaQBuAGcAIABzAGUAbgB0ACAAdABvACAAdAByAGUAYQB0AG0AZQBuAHQAIABmAGEAYwBpAGwAaQB0AHkAIAB0AFwAIgAsACAAXAAiAG0AMwBcACIALAAgAFwAIgBJAG4AcAB1AHQAXAAiADsAXABuACAAIAAgACAAIAAgACAAIAAgACAAXAAiAFYAVABNAF8AdwBcACIALAAgAFwAIgBjAG8AbgB2AGUAcgBzAGkAbwBuACAAZgBhAGMAdABvAHIAIABvAGYAIAB2AG8AbAB1AG0AZQAgAHQAbwAgAG0AYQBzAHMAIABmAG8AcgAgAHcAYQBzAHQAZQAgAHQAeQBwAGUAIAB3AFwAIgAsACAAXAAiAHQALwBtADMAXAAiACwAIABcACIAQwBvAG4AcwB0AGEAbgB0AFwAIgA7AFwAbgAgACAAIAAgACAAIAAgACAAIAAgAFwAIgB3AFwAIgAsACAAXAAiAHcAYQBzAHQAZQAgAHQAeQBwAGUAXAAiACwAIABcACIAXAAiACwAIABcACIASQBuAHAAdQB0AFwAIgA7AFwAbgAgACAAIAAgACAAIAAgACAAIAAgAFwAIgB0AFwAIgAsACAAXAAiAHQAcgBlAGEAdABtAGUAbgB0ACAAZgBhAGMAaQBsAGkAdAB5AFwAIgAsACAAXAAiAFwAIgAsACAAXAAiAEkAbgBwAHUAdABcACIAXABuACAAIAAgACAAIAAgACAAIAB9ACwAIAByACwAIABjACkAXABuACAAIAAgACAAIAAgACkAXABuACAAIAAgACAAKQBcAG4AIAAgACkAOw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YAZQByAHQAaQBsAGkAcwBlAHIAXwBFAHEAdQBhAHQAaQBvAG4AcwBfAEkAbgBv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xAF8AXwAxAF8ASQBuAG8AcgBnAGEAbgBpAGMARgBlAHIAdABpAGwAaQBzAGUAcgBBAHAAcABsAGkAYwBhAHQAaQBvAG4ATgAyAE8ARQBtAGkAcwBzAGkAbwBuAHMAXABu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bgBFAF8ATgAyAE8AXABuAHQAIABOADIATwBcAG4AXABcAHMAdQBtAF8AewBqAH0AXABcAHMAdQBtAF8AewBmAH0AKAAoAE0ATgBfAHsAagBmAH0AXABcAHQAaQBtAGUAcwAgAEUARgBfAHsAagAsAE4AMgBPAH0AXABcAHQAaQBtAGUAcwAgAEMAXwB7AE4AMgBPAH0AKQBcAFwAdABpAG0AZQBzACAAMQAwAF4AewAtADMAfQApAFwAbgBNAE4AXwBqAGYAXABuAEUARgBfAGoATgAyAE8AXABuAEMAXwBOADIATwBcAG4AagBcAG4AZgBcAG4ALQAtAC0ALQAtAC0ALQAtAC0ALQAtAC0ALQAtAC0ALQAtAC0ALQAtAC0ALQAtAC0ALQAtAC0ALQAtAC0ALQAtAC0ALQAtAC0ALQAtAFwAbgAqAC8AXABuAFwAbgBWAEUARQBSAEcAXwA1AF8AMQBfADEAXwAxAF8AXwAxAF8ASQBuAG8AcgBnAGEAbgBpAGMARgBlAHIAdABpAGwAaQBzAGUAcgBBAHAAcABsAGkAYwBhAHQAaQBvAG4ATgAyAE8ARQBtAGkAcwBzAGkAbwBuAHMAXABuACAAIAA9AEwAQQBNAEIARABBACgAXABuACAAIAAgACAATQBOAF8AagBmACwAIABFAEYAXwBqAE4AMgBPACwAIABDAF8ATgAyAE8ALABcAG4AIAAgACAAIAAoAE0ATgBfAGoAZgAgACoAIABFAEYAXwBqAE4AMgBPACAAKgAgAEMAXwBOADIATwApACAAKgAgADEAMAAgAF4AIAAtADMAXABuACAAIAApADsAXABuAFwAbgBWAEUARQBSAEcAXwA1AF8AMQBfADEAXwAxAF8AXwAxAF8ASQBuAG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IgApADsAXABuAFwAbgBWAEUARQBSAEcAXwA1AF8AMQBfADEAXwAxAF8AXwAxAF8ASQBuAG8AcgBnAGEAbgBpAGMARgBlAHIAdABpAGwAaQBzAGUAcgBBAHAAcABsAGkAYwBhAHQAaQBvAG4ATgAyAE8ARQBtAGkAcwBzAGkAbwBuAHMAXwBWAGEAcgBpAGEAYgBsAGUAXABuACAAIAA9AEwAQQBNAEIARABBACgAXAAiAEUAXwBOADIATwBcACIAKQA7AFwAbgBcAG4AVgBFAEUAUgBHAF8ANQBfADEAXwAxAF8AMQBfAF8AMQBfAEkAbgBvAHIAZwBhAG4AaQBjAEYAZQByAHQAaQBsAGkAcwBlAHIAQQBwAHAAbABpAGMAYQB0AGkAbwBuAE4AMgBPAEUAbQBpAHMAcwBpAG8AbgBzAF8AVQBuAGkAdABcAG4AIAAgAD0ATABBAE0AQgBEAEEAKABcACIAdAAgAE4AMgBPAFwAIgApADsAXABuAFwAbgBWAEUARQBSAEcAXwA1AF8AMQBfADEAXwAxAF8AXwAxAF8ASQBuAG8AcgBnAGEAbgBpAGMARgBlAHIAdABpAGwAaQBzAGUAcgBBAHAAcABsAGkAYwBhAHQAaQBvAG4ATgAyAE8ARQBtAGkAcwBzAGkAbwBuAHMAXwBTAG8AdQByAGMAZQBcAG4AIAAgAD0ATABBAE0AQgBEAEEAKABcACIAVgBFAEUAUgBHACAAMgAwADIANgA6ACAANQAuADEALgAxAC4AMQAsACAARQBxAHUAYQB0AGkAbwBuACAAKAAxACkAXAAiACkAOwBcAG4AXABuAFYARQBFAFIARwBfADUAXwAxAF8AMQBfADEAXwBfADEAXwBJAG4AbwByAGcAYQBuAGkAYwBGAGUAcgB0AGkAbABpAHMAZQByAEEAcABwAGwAaQBjAGEAdABpAG8AbgBOADIATwBFAG0AaQBzAHMAaQBvAG4AcwBfAE4ASQBSAFIAZQBmAGUAcgBlAG4AYwBlAFwAbgAgACAAPQBMAEEATQBCAEQAQQAoAFwAIgBcACIAKQA7AFwAbgBcAG4AVgBFAEUAUgBHAF8ANQBfADEAXwAxAF8AMQBfAF8AMQBfAEkAbgBvAHIAZwBhAG4AaQBjAEYAZQByAHQAaQBsAGkAcwBlAHIAQQBwAHAAbABpAGMAYQB0AGkAbwBuAE4AMgBPAEUAbQBpAHMAcwBpAG8AbgBzAF8ATABhAHQAZQB4AEUAcQB1AGEAdABpAG8AbgBcAG4AIAAgAD0ATABBAE0AQgBEAEEAKABcACIARQBfAHsATgAyAE8AfQA9AFwAXABzAHUAbQBfAHsAagB9AFwAXABzAHUAbQBfAHsAZgB9ACgAKABNAE4AXwB7AGoAZgB9AFwAXAB0AGkAbQBlAHMAIABFAEYAXwB7AGoALABOADIATwB9AFwAXAB0AGkAbQBlAHMAIABDAF8AewBOADIATwB9ACkAXABcAHQAaQBtAGUAcwAgADEAMABeAHsALQAzAH0AKQBcACIAKQA7AFwAbgBcAG4AVgBFAEUAUgBHAF8ANQBfADEAXwAxAF8AMQBfAF8AMQBfAEkAbgBvAHIAZwBhAG4AaQBjAEYAZQByAHQAaQBsAGkAcwBlAHIAQQBwAHAAbABpAGMAYQB0AGkAbwBuAE4AMgBPAEUAbQBpAHMAcwBpAG8AbgBzAF8AQQByAGcAdQBtAGUAbgB0AHMAXABuACAAIAA9AEwAQQBNAEIARABBACgAXABuACAAIAAgACAATQBBAEsARQBBAFIAUgBBAFkAKAA3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FYARQBFAFIARwBfADUAXwAxAF8AMQBfADEAXwBfADEAXwBJAG4AbwByAGcAYQBuAGkAYwBGAGUAcgB0AGkAbABpAHMAZQByAEEAcABwAGwAaQBjAGEAdABpAG8AbgBOADIATwBFAG0AaQBzAHMAaQBvAG4AcwBfAEEAcgBnAHUAbQBlAG4AdABzAF8ATQBlAHQAaABvAGQAMgBcAG4AIAAgAD0ATABBAE0AQgBEAEEAKABcAG4AIAAgACAAIABNAEEASwBFAEEAUgBSAEEAWQAoADg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YQBsAGMAdQBsAGEAdABlAGQAIABmAHIAbwBtACAANQAuADEALgAxAC4AMgAgACgAMQApACgAMgApACgAMwAp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jAFwAIgAsAFwAIgBDAHIAbwBwACAAdAB5AHAAZ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xAF8AMQBfADEAXwBfADIAXwBNAGEAcwBzAE8AZgBOAGkAdAByAG8AZwBlAG4ASQBuAEkAbgBvAHIAZwBhAG4AaQBjAEYAZQByAHQAaQBsAGkAcwBlAHIAXABuAE0AYQBzAHMAIABvAGYAIABuAGkAdAByAG8AZwBlAG4AIABpAG4AIABpAG4AbwByAGcAYQBuAGkAYwAgAGYAZQByAHQAaQBsAGkAcwBlAHIAIABhAHAAcABsAGkAZQBkACAAdABvACAAcAByAG8AZAB1AGMAdABpAG8AbgAgAHMAeQBzAHQAZQBtAFwAbgBNAE4AXwBqAGYAXABuAGsAZwAgAE4AXABuAHsATQBOAH0AXwB7AGoAZgB9AD0AVABNAF8AewBqAGYAfQBcAFwAdABpAG0AZQBzACAARgBOAF8AewBpAG4AbwByAGcAYQBuAGkAYwAsAGYAfQBcAG4AVABNAF8AagBmAFwAbgBGAE4AXwBpAG4AbwByAGcAYQBuAGkAYwBmAFwAbgBqAFwAbgBpAG4AbwByAGcAYQBuAGkAYwBcAG4AZgBcAG4ALQAtAC0ALQAtAC0ALQAtAC0ALQAtAC0ALQAtAC0ALQAtAC0ALQAtAC0ALQAtAC0ALQAtAC0ALQAtAC0ALQAtAC0ALQAtAC0ALQAtAFwAbgAqAC8AXABuAFwAbgBWAEUARQBSAEcAXwA1AF8AMQBfADEAXwAxAF8AXwAyAF8ATQBhAHMAcwBPAGYATgBpAHQAcgBvAGcAZQBuAEkAbgBJAG4AbwByAGcAYQBuAGkAYwBGAGUAcgB0AGkAbABpAHMAZQByAFwAbgAgACAAPQBMAEEATQBCAEQAQQAoAFwAbgAgACAAIAAgAFQATQBfAGoAZgAsACAARgBOAF8AaQBuAG8AcgBnAGEAbgBpAGMAZgAsAFwAbgAgACAAIAAgAFQATQBfAGoAZgAgACoAIABGAE4AXwBpAG4AbwByAGcAYQBuAGkAYwBmAFwAbgAgACAAKQA7AFwAbgBcAG4AVgBFAEUAUgBHAF8ANQBfADEAXwAxAF8AMQBfAF8AMgBfAE0AYQBzAHMATwBmAE4AaQB0AHIAbwBnAGUAbgBJAG4ASQBuAG8AcgBnAGEAbgBpAGMARgBlAHIAdABpAGwAaQBzAGUAcgBfAFQAaQB0AGwAZQBcAG4AIAAgAD0ATABBAE0AQgBEAEEAKABcACIATQBhAHMAcwAgAG8AZgAgAG4AaQB0AHIAbwBnAGUAbgAgAGkAbgAgAGkAbgBvAHIAZwBhAG4AaQBjACAAZgBlAHIAdABpAGwAaQBzAGUAcgAgAGEAcABwAGwAaQBlAGQAIAB0AG8AIABwAHIAbwBkAHUAYwB0AGkAbwBuACAAcwB5AHMAdABlAG0AXAAiACkAOwBcAG4AXABuAFYARQBFAFIARwBfADUAXwAxAF8AMQBfADEAXwBfADIAXwBNAGEAcwBzAE8AZgBOAGkAdAByAG8AZwBlAG4ASQBuAEkAbgBvAHIAZwBhAG4AaQBjAEYAZQByAHQAaQBsAGkAcwBlAHIAXwBWAGEAcgBpAGEAYgBsAGUAXABuACAAIAA9AEwAQQBNAEIARABBACgAXAAiAE0ATgBfAGoAZgBcACIAKQA7AFwAbgBcAG4AVgBFAEUAUgBHAF8ANQBfADEAXwAxAF8AMQBfAF8AMgBfAE0AYQBzAHMATwBmAE4AaQB0AHIAbwBnAGUAbgBJAG4ASQBuAG8AcgBnAGEAbgBpAGMARgBlAHIAdABpAGwAaQBzAGUAcgBfAFUAbgBpAHQAXABuACAAIAA9AEwAQQBNAEIARABBACgAXAAiAGsAZwAgAE4AXAAiACkAOwBcAG4AXABuAFYARQBFAFIARwBfADUAXwAxAF8AMQBfADEAXwBfADIAXwBNAGEAcwBzAE8AZgBOAGkAdAByAG8AZwBlAG4ASQBuAEkAbgBvAHIAZwBhAG4AaQBjAEYAZQByAHQAaQBsAGkAcwBlAHIAXwBTAG8AdQByAGMAZQBcAG4AIAAgAD0ATABBAE0AQgBEAEEAKABcACIAVgBFAEUAUgBHACAAMgAwADIANgA6ACAANQAuADEALgAxAC4AMQAsACAARQBxAHUAYQB0AGkAbwBuACAAKAAyACkAXAAiACkAOwBcAG4AXABuAFYARQBFAFIARwBfADUAXwAxAF8AMQBfADEAXwBfADIAXwBNAGEAcwBzAE8AZgBOAGkAdAByAG8AZwBlAG4ASQBuAEkAbgBvAHIAZwBhAG4AaQBjAEYAZQByAHQAaQBsAGkAcwBlAHIAXwBOAEkAUgBSAGUAZgBlAHIAZQBuAGMAZQBcAG4AIAAgAD0ATABBAE0AQgBEAEEAKABcACIAXAAiACkAOwBcAG4AXABuAFYARQBFAFIARwBfADUAXwAxAF8AMQBfADEAXwBfADIAXwBNAGEAcwBzAE8AZgBOAGkAdAByAG8AZwBlAG4ASQBuAEkAbgBvAHIAZwBhAG4AaQBjAEYAZQByAHQAaQBsAGkAcwBlAHIAXwBMAGEAdABlAHgARQBxAHUAYQB0AGkAbwBuAFwAbgAgACAAPQBMAEEATQBCAEQAQQAoAFwAIgB7AE0ATgB9AF8AewBqAGYAfQA9AFQATQBfAHsAagBmAH0AXABcAHQAaQBtAGUAcwAgAEYATgBfAHsAaQBuAG8AcgBnAGEAbgBpAGMALABmAH0AXAAiACkAOwBcAG4AXABuAFYARQBFAFIARwBfADUAXwAxAF8AMQBfADEAXwBfADIAXwBNAGEAcwBzAE8AZgBOAGkAdAByAG8AZwBlAG4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IABcACIAawBnAFwAIgAsACAAXAAiAEkAbgBwAHUAdABcACIAOwBcAG4AIAAgACAAIAAgACAAIAAgACAAIABcACIARgBOAF8AaQBuAG8AcgBnAGEAbgBpAGMAZgBcACIALABcACIAZgByAGEAYwB0AGkAbwBuACAAbwBmACAAbgBpAHQAcgBvAGcAZQBuACAAaQBuACAAaQBuAG8AcgBnAGEAbgBpAGMAIABmAGUAcgB0AGkAbABpAHMAZQByACAAdAB5AHAAZQAgAGYAIABcACIALAAgAFwAIgBrAGcAIABOAC8AawBn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MQBfADEAXwAyAF8AXwAxAF8ARQBtAGkAcwBzAGkAbwBuAEYAYQBjAHQAbwByAEkAcgByAGkAZwBhAHQAZQBkAE0AYQBpAHoAZQBcAG4ARQBtAGkAcwBzAGkAbwBuACAAZgBhAGMAdABvAHIAIABmAG8AcgAgAG4AaQB0AHIAbwB1AHMAIABvAHgAaQBkAGUAIABmAG8AcgAgAGkAcgByAGkAZwBhAHQAZQBkACAAbQBhAGkAegBlAFwAbgBFAEYAXwBmAGoASQByAHIAaQBnAGEAdABlAGQATQBhAGkAegBlAE4AMgBPAFwAbgBrAGcAIABOADIATwAtAE4ALwBrAGcAIABOACAAYQBwAHAAbABpAGUAZABcAG4ARQBGAF8AewBmAGoAPQBpAHIAcgBpAGcAYQB0AGUAZABtAGEAaQB6AGUALABOADIATwB9AD0AKAAtADAALgAxADQANwA0ACsAKAAwAC4AMAAwADYAMQBcAFwAdABpAG0AZQBzACAATgBfAHsAZgBqAD0AaQByAHIAaQBnAGEAdABlAGQAbQBhAGkAegBlAH0AKQApAFwAXAB0AGkAbQBlAHMAIAAxADAAXgB7AC0AMgB9AFwAbgBOAF8AZgBqAEkAcgByAGkAZwBhAHQAZQBkAE0AYQBpAHoAZQBcAG4AZgBcAG4ALQAtAC0ALQAtAC0ALQAtAC0ALQAtAC0ALQAtAC0ALQAtAC0ALQAtAC0ALQAtAC0ALQAtAC0ALQAtAC0ALQAtAC0ALQAtAC0ALQAtAFwAbgAqAC8AXABuAFwAbgBWAEUARQBSAEcAXwA1AF8AMQBfADEAXwAyAF8AXwAxAF8ARQBtAGkAcwBzAGkAbwBuAEYAYQBjAHQAbwByAEkAcgByAGkAZwBhAHQAZQBkAE0AYQBpAHoAZQBcAG4AIAAgAD0ATABBAE0AQgBEAEEAKABcAG4AIAAgACAAIABOAF8AZgBqAEkAcgByAGkAZwBhAHQAZQBkAE0AYQBpAHoAZQAsAFwAbgAgACAAIAAgACgALQAwAC4AMQA0ADcANAAgACsAIAAoADAALgAwADAANgAxACAAKgAgAE4AXwBmAGoASQByAHIAaQBnAGEAdABlAGQATQBhAGkAegBlACkAKQAgACoAIAAxADAAIABeACAALQAyAFwAbgAgACAAKQA7AFwAbgBcAG4AVgBFAEUAUgBHAF8ANQBfADEAXwAxAF8AMgBfAF8AMQBfAEUAbQBpAHMAcwBpAG8AbgBGAGEAYwB0AG8AcgBJAHIAcgBpAGcAYQB0AGUAZABNAGEAaQB6AGUAXwBUAGkAdABsAGUAXABuACAAIAA9AEwAQQBNAEIARABBACgAXAAiAEUAbQBpAHMAcwBpAG8AbgAgAGYAYQBjAHQAbwByACAAZgBvAHIAIABuAGkAdAByAG8AdQBzACAAbwB4AGkAZABlACAAZgBvAHIAIABpAHIAcgBpAGcAYQB0AGUAZAAgAG0AYQBpAHoAZQBcACIAKQA7AFwAbgBcAG4AVgBFAEUAUgBHAF8ANQBfADEAXwAxAF8AMgBfAF8AMQBfAEUAbQBpAHMAcwBpAG8AbgBGAGEAYwB0AG8AcgBJAHIAcgBpAGcAYQB0AGUAZABNAGEAaQB6AGUAXwBWAGEAcgBpAGEAYgBsAGUAXABuACAAIAA9AEwAQQBNAEIARABBACgAXAAiAEUARgBfAGYAagBJAHIAcgBpAGcAYQB0AGUAZABNAGEAaQB6AGUATgAyAE8AXAAiACkAOwBcAG4AXABuAFYARQBFAFIARwBfADUAXwAxAF8AMQBfADIAXwBfADEAXwBFAG0AaQBzAHMAaQBvAG4ARgBhAGMAdABvAHIASQByAHIAaQBnAGEAdABlAGQATQBhAGkAegBlAF8AVQBuAGkAdABcAG4AIAAgAD0ATABBAE0AQgBEAEEAKABcACIAawBnACAATgAyAE8ALQBOAC8AawBnACAATgAgAGEAcABwAGwAaQBlAGQAXAAiACkAOwBcAG4AXABuAFYARQBFAFIARwBfADUAXwAxAF8AMQBfADIAXwBfADEAXwBFAG0AaQBzAHMAaQBvAG4ARgBhAGMAdABvAHIASQByAHIAaQBnAGEAdABlAGQATQBhAGkAegBlAF8AUwBvAHUAcgBjAGUAXABuACAAIAA9AEwAQQBNAEIARABBACgAXAAiAFYARQBFAFIARwAgADIAMAAyADYAOgAgADUALgAxAC4AMQAuADIALAAgAEUAcQB1AGEAdABpAG8AbgAgACgAMQApAFwAIgApADsAXABuAFwAbgBWAEUARQBSAEcAXwA1AF8AMQBfADEAXwAyAF8AXwAxAF8ARQBtAGkAcwBzAGkAbwBuAEYAYQBjAHQAbwByAEkAcgByAGkAZwBhAHQAZQBkAE0AYQBpAHoAZQBfAE4ASQBSAFIAZQBmAGUAcgBlAG4AYwBlAFwAbgAgACAAPQBMAEEATQBCAEQAQQAoAFwAIgBcACIAKQA7AFwAbgBcAG4AVgBFAEUAUgBHAF8ANQBfADEAXwAxAF8AMgBfAF8AMQBfAEUAbQBpAHMAcwBpAG8AbgBGAGEAYwB0AG8AcgBJAHIAcgBpAGcAYQB0AGUAZABNAGEAaQB6AGUAXwBMAGEAdABlAHgARQBxAHUAYQB0AGkAbwBuAFwAbgAgACAAPQBMAEEATQBCAEQAQQAoAFwAIgBFAEYAXwB7AGYAagA9AGkAcgByAGkAZwBhAHQAZQBkAG0AYQBpAHoAZQAsAE4AMgBPAH0APQAoAC0AMAAuADEANAA3ADQAKwAoADAALgAwADAANgAxAFwAXAB0AGkAbQBlAHMAIABOAF8AewBmAGoAPQBpAHIAcgBpAGcAYQB0AGUAZABtAGEAaQB6AGUAfQApACkAXABcAHQAaQBtAGUAcwAgADEAMABeAHsALQAyAH0AXAAiACkAOwBcAG4AXABuAFYARQBFAFIARwBfADUAXwAxAF8AMQBfADIAXwBfADEAXwBFAG0AaQBzAHMAaQBvAG4ARgBhAGMAdABvAHIASQByAHIAaQBnAGEAdABlAGQATQBhAGkAegBlAF8AQQByAGcAdQBtAGUAbgB0AHMAXABuACAAIAA9AEwAQQBNAEIARABBACgAXABuACAAIAAgACAATQBBAEsARQBBAFIAUgBBAFkAKAAyACwAIAA0ACwAIABcAG4AIAAgACAAIAAgACAATABBAE0AQgBEAEEAKAByACwAYwAsACAAXABuACAAIAAgACAAIAAgACAAIABJAE4ARABFAFgAKAB7AFwAbgAgACAAIAAgACAAIAAgACAAIAAgAFwAIgBOAF8AZgBqAEkAcgByAGkAZwBhAHQAZQBkAE0AYQBpAHoAZQBcACIALABcACIAYQBwAHAAbABpAGMAYQB0AGkAbwBuACAAcgBhAHQAZQAgAG8AZgAgAGkAbgBvAHIAZwBhAG4AaQBjACAAZgBlAHIAdABpAGwAaQBzAGUAcgAgAHQAeQBwAGUAIABmACAAaQBuACAAdABoAGUAIABpAHIAcgBpAGcAYQB0AGUAZAAgAG0AYQBpAHoAZQ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gBfAEUAbQBpAHMAcwBpAG8AbgBGAGEAYwB0AG8AcgBOAG8AbgBJAHIAcgBpAGcAYQB0AGUAZABHAHIAYQBpAG4AcwBIAGkAZwBoAFIAYQBpAG4AZgBhAGwAbABcAG4ARQBtAGkAcwBzAGkAbwBuACAAZgBhAGMAdABvAHIAIABmAG8AcgAgAG4AaQB0AHIAbwB1AHMAIABvAHgAaQBkAGUAIABmAG8AcgAgAG4AbwBuAC0AaQByAHIAaQBnAGEAdABlAGQAIABnAHIAYQBpAG4AcwAgAGkAbgAgAGgAaQBnAGgAIAByAGEAaQBuAGYAYQBsAGwAIAB6AG8AbgBlAFwAbgBFAEYAXwBmAGoATgBvAG4ASQByAHIAaQBnAGEAdABlAGQARwByAGEAaQBuAHMATgAyAE8AXABuAGsAZwAgAE4AMgBPAC0ATgAvAGsAZwAgAE4AIABhAHAAcABsAGkAZQBkAFwAbgBFAEYAXwB7AGYAagA9AG4AbwBuAGkAcgByAGkAZwBhAHQAZQBkAGcAcgBhAGkAbgBzACwATgAyAE8AfQA9ACgAMAAuADAANwA4ADEAKwAoADAALgAwADAANwA1AFwAXAB0AGkAbQBlAHMAIABOAF8AewBmAGoAPQBuAG8AbgBpAHIAcgBpAGcAYQB0AGUAZABnAHIAYQBpAG4AcwB9ACkAKQBcAFwAdABpAG0AZQBzACAAMQAwAF4AewAtADIAfQBcAG4ATgBfAGYAagBOAG8AbgBJAHIAcgBpAGcAYQB0AGUAZABHAHIAYQBpAG4AcwBcAG4AZgBcAG4ALQAtAC0ALQAtAC0ALQAtAC0ALQAtAC0ALQAtAC0ALQAtAC0ALQAtAC0ALQAtAC0ALQAtAC0ALQAtAC0ALQAtAC0ALQAtAC0ALQAtAFwAbgAqAC8AXABuAFwAbgBWAEUARQBSAEcAXwA1AF8AMQBfADEAXwAyAF8AXwAyAF8ARQBtAGkAcwBzAGkAbwBuAEYAYQBjAHQAbwByAE4AbwBuAEkAcgByAGkAZwBhAHQAZQBkAEcAcgBhAGkAbgBzAEgAaQBnAGgAUgBhAGkAbgBmAGEAbABsAFwAbgAgACAAPQBMAEEATQBCAEQAQQAoAFwAbgAgACAAIAAgAE4AXwBmAGoATgBvAG4ASQByAHIAaQBnAGEAdABlAGQARwByAGEAaQBuAHMALABcAG4AIAAgACAAIAAoADAALgAwADcAOAAxACAAKwAgACgAMAAuADAAMAA3ADUAIAAqACAATgBfAGYAagBOAG8AbgBJAHIAcgBpAGcAYQB0AGUAZABHAHIAYQBpAG4AcwApACkAIAAqACAAMQAwACAAXgAgAC0AMgBcAG4AIAAgACkAOwBcAG4AXABuAFYARQBFAFIARwBfADUAXwAxAF8AMQBfADIAXwBfADIAXwBFAG0AaQBzAHMAaQBvAG4ARgBhAGMAdABvAHIATgBvAG4ASQByAHIAaQBnAGEAdABlAGQARwByAGEAaQBuAHMASABpAGcAaABSAGEAaQBuAGYAYQBsAGwAXwBUAGkAdABsAGUAXABuACAAIAA9AEwAQQBNAEIARABBACgAXAAiAEUAbQBpAHMAcwBpAG8AbgAgAGYAYQBjAHQAbwByACAAZgBvAHIAIABuAGkAdAByAG8AdQBzACAAbwB4AGkAZABlACAAZgBvAHIAIABuAG8AbgAtAGkAcgByAGkAZwBhAHQAZQBkACAAZwByAGEAaQBuAHMAIABpAG4AIABoAGkAZwBoACAAcgBhAGkAbgBmAGEAbABsACAAegBvAG4AZQBcACIAKQA7AFwAbgBcAG4AVgBFAEUAUgBHAF8ANQBfADEAXwAxAF8AMgBfAF8AMgBfAEUAbQBpAHMAcwBpAG8AbgBGAGEAYwB0AG8AcgBOAG8AbgBJAHIAcgBpAGcAYQB0AGUAZABHAHIAYQBpAG4AcwBIAGkAZwBoAFIAYQBpAG4AZgBhAGwAbABfAFYAYQByAGkAYQBiAGwAZQBcAG4AIAAgAD0ATABBAE0AQgBEAEEAKABcACIARQBGAF8AZgBqAE4AbwBuAEkAcgByAGkAZwBhAHQAZQBkAEcAcgBhAGkAbgBzAE4AMgBPAFwAIgApADsAXABuAFwAbgBWAEUARQBSAEcAXwA1AF8AMQBfADEAXwAyAF8AXwAyAF8ARQBtAGkAcwBzAGkAbwBuAEYAYQBjAHQAbwByAE4AbwBuAEkAcgByAGkAZwBhAHQAZQBkAEcAcgBhAGkAbgBzAEgAaQBnAGgAUgBhAGkAbgBmAGEAbABsAF8AVQBuAGkAdABcAG4AIAAgAD0ATABBAE0AQgBEAEEAKABcACIAawBnACAATgAyAE8ALQBOAC8AawBnACAATgAgAGEAcABwAGwAaQBlAGQAXAAiACkAOwBcAG4AXABuAFYARQBFAFIARwBfADUAXwAxAF8AMQBfADIAXwBfADIAXwBFAG0AaQBzAHMAaQBvAG4ARgBhAGMAdABvAHIATgBvAG4ASQByAHIAaQBnAGEAdABlAGQARwByAGEAaQBuAHMASABpAGcAaABSAGEAaQBuAGYAYQBsAGwAXwBTAG8AdQByAGMAZQBcAG4AIAAgAD0ATABBAE0AQgBEAEEAKABcACIAVgBFAEUAUgBHACAAMgAwADIANgA6ACAANQAuADEALgAxAC4AMgAsACAARQBxAHUAYQB0AGkAbwBuACAAKAAyACkAXAAiACkAOwBcAG4AXABuAFYARQBFAFIARwBfADUAXwAxAF8AMQBfADIAXwBfADIAXwBFAG0AaQBzAHMAaQBvAG4ARgBhAGMAdABvAHIATgBvAG4ASQByAHIAaQBnAGEAdABlAGQARwByAGEAaQBuAHMASABpAGcAaABSAGEAaQBuAGYAYQBsAGwAXwBOAEkAUgBSAGUAZgBlAHIAZQBuAGMAZQBcAG4AIAAgAD0ATABBAE0AQgBEAEEAKABcACIAXAAiACkAOwBcAG4AXABuAFYARQBFAFIARwBfADUAXwAxAF8AMQBfADIAXwBfADIAXwBFAG0AaQBzAHMAaQBvAG4ARgBhAGMAdABvAHIATgBvAG4ASQByAHIAaQBnAGEAdABlAGQARwByAGEAaQBuAHMASABpAGcAaABSAGEAaQBuAGYAYQBsAGwAXwBMAGEAdABlAHgARQBxAHUAYQB0AGkAbwBuAFwAbgAgACAAPQBMAEEATQBCAEQAQQAoAFwAIgBFAEYAXwB7AGYAagA9AG4AbwBuAGkAcgByAGkAZwBhAHQAZQBkAGcAcgBhAGkAbgBzACwATgAyAE8AfQA9ACgAMAAuADAANwA4ADEAKwAoADAALgAwADAANwA1AFwAXAB0AGkAbQBlAHMAIABOAF8AewBmAGoAPQBuAG8AbgBpAHIAcgBpAGcAYQB0AGUAZABnAHIAYQBpAG4AcwB9ACkAKQBcAFwAdABpAG0AZQBzACAAMQAwAF4AewAtADIAfQBcACIAKQA7AFwAbgBcAG4AVgBFAEUAUgBHAF8ANQBfADEAXwAxAF8AMgBfAF8AMgBfAEUAbQBpAHMAcwBpAG8AbgBGAGEAYwB0AG8AcgBOAG8AbgBJAHIAcgBpAGcAYQB0AGUAZABHAHIAYQBpAG4AcwBIAGkAZwBoAFIAYQBpAG4AZgBhAGwAbABfAEEAcgBnAHUAbQBlAG4AdABzAFwAbgAgACAAPQBMAEEATQBCAEQAQQAoAFwAbgAgACAAIAAgAE0AQQBLAEUAQQBSAFIAQQBZACgAMgAsACAANAAsACAAXABuACAAIAAgACAAIAAgAEwAQQBNAEIARABBACgAcgAsAGMALAAgAFwAbgAgACAAIAAgACAAIAAgACAASQBOAEQARQBYACgAewBcAG4AIAAgACAAIAAgACAAIAAgACAAIABcACIATgBfAGYAagBOAG8AbgBJAHIAcgBpAGcAYQB0AGUAZABHAHIAYQBpAG4AcwBcACIALABcACIAYQBwAHAAbABpAGMAYQB0AGkAbwBuACAAcgBhAHQAZQAgAG8AZgAgAGkAbgBvAHIAZwBhAG4AaQBjACAAZgBlAHIAdABpAGwAaQBzAGUAcgAgAHQAeQBwAGUAIABmACAAaQBuACAAdABoAGUAIABnAHIAYQBpAG4Acw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wBfAEUAbQBpAHMAcwBpAG8AbgBGAGEAYwB0AG8AcgBDAG8AdAB0AG8AbgBcAG4ARQBtAGkAcwBzAGkAbwBuACAAZgBhAGMAdABvAHIAIABmAG8AcgAgAG4AaQB0AHIAbwB1AHMAIABvAHgAaQBkAGUAIABmAG8AcgAgAGMAbwB0AHQAbwBuAFwAbgBFAEYAXwBmAGoAQwBvAHQAdABvAG4ATgAyAE8AXABuAGsAZwAgAE4AMgBPAC0ATgAvAGsAZwAgAE4AIABhAHAAcABsAGkAZQBkAFwAbgBFAEYAXwB7AGYAagA9AGMAbwB0AHQAbwBuACwATgAyAE8AfQA9AFwAXABtAGkAbgBcAFwAbABlAGYAdAAoACgAMAAuADAAMQBcAFwAdABpAG0AZQBzACgAMAAuADIAOQArADAALgAwADAANwBcAFwAdABpAG0AZQBzACgAKABlAF4AewAoADAALgAwADMANwBcAFwAdABpAG0AZQBzACAATgBfAHsAZgBqAD0AYwBvAHQAdABvAG4AfQApAH0ALQAxACkALwBOAF8AewBmAGoAPQBjAG8AdAB0AG8AbgB9ACkAKQApAFwAXAB0AGkAbQBlAHMAIAAxADAAXgB7AC0AMgB9ACwAMAAuADAAMQA4ADMAXABcAHIAaQBnAGgAdAApAFwAbgBOAF8AZgBqAEMAbwB0AHQAbwBuAFwAbgBmAFwAbgAtAC0ALQAtAC0ALQAtAC0ALQAtAC0ALQAtAC0ALQAtAC0ALQAtAC0ALQAtAC0ALQAtAC0ALQAtAC0ALQAtAC0ALQAtAC0ALQAtAC0AXABuACoALwBcAG4AXABuAFYARQBFAFIARwBfADUAXwAxAF8AMQBfADIAXwBfADMAXwBFAG0AaQBzAHMAaQBvAG4ARgBhAGMAdABvAHIAQwBvAHQAdABvAG4AXABuACAAIAA9AEwAQQBNAEIARABBACgAXABuACAAIAAgACAATgBfAGYAagBDAG8AdAB0AG8AbgAsAFwAbgAgACAAIAAgACgAMAAuADAAMQAgACoAIAAoADAALgAyADkAIAArACAAKAAgACAAKAAwAC4AMAAwADcAIAAqACAAKABFAFgAUAAoADAALgAwADMANwAgACoAIABOAF8AZgBqAEMAbwB0AHQAbwBuACkAIAAtACAAMQApACkAIAAvACAATgBfAGYAagBDAG8AdAB0AG8AbgAgACAAKQAgACkAKQAgACoAIAAxADAAIABeACAALQAyAFwAbgAgACAAKQA7AFwAbgBcAG4AVgBFAEUAUgBHAF8ANQBfADEAXwAxAF8AMgBfAF8AMwBfAEUAbQBpAHMAcwBpAG8AbgBGAGEAYwB0AG8AcgBDAG8AdAB0AG8AbgBfAFQAaQB0AGwAZQBcAG4AIAAgAD0ATABBAE0AQgBEAEEAKABcACIARQBtAGkAcwBzAGkAbwBuACAAZgBhAGMAdABvAHIAIABmAG8AcgAgAG4AaQB0AHIAbwB1AHMAIABvAHgAaQBkAGUAIABmAG8AcgAgAGMAbwB0AHQAbwBuAFwAIgApADsAXABuAFwAbgBWAEUARQBSAEcAXwA1AF8AMQBfADEAXwAyAF8AXwAzAF8ARQBtAGkAcwBzAGkAbwBuAEYAYQBjAHQAbwByAEMAbwB0AHQAbwBuAF8AVgBhAHIAaQBhAGIAbABlAFwAbgAgACAAPQBMAEEATQBCAEQAQQAoAFwAIgBFAEYAXwBmAGoAQwBvAHQAdABvAG4ATgAyAE8AXAAiACkAOwBcAG4AXABuAFYARQBFAFIARwBfADUAXwAxAF8AMQBfADIAXwBfADMAXwBFAG0AaQBzAHMAaQBvAG4ARgBhAGMAdABvAHIAQwBvAHQAdABvAG4AXwBVAG4AaQB0AFwAbgAgACAAPQBMAEEATQBCAEQAQQAoAFwAIgBrAGcAIABOADIATwAtAE4ALwBrAGcAIABOACAAYQBwAHAAbABpAGUAZABcACIAKQA7AFwAbgBcAG4AVgBFAEUAUgBHAF8ANQBfADEAXwAxAF8AMgBfAF8AMwBfAEUAbQBpAHMAcwBpAG8AbgBGAGEAYwB0AG8AcgBDAG8AdAB0AG8AbgBfAFMAbwB1AHIAYwBlAFwAbgAgACAAPQBMAEEATQBCAEQAQQAoAFwAIgBWAEUARQBSAEcAIAAyADAAMgA2ADoAIAA1AC4AMQAuADEALgAyACwAIABFAHEAdQBhAHQAaQBvAG4AIAAoADMAKQBcACIAKQA7AFwAbgBcAG4AVgBFAEUAUgBHAF8ANQBfADEAXwAxAF8AMgBfAF8AMwBfAEUAbQBpAHMAcwBpAG8AbgBGAGEAYwB0AG8AcgBDAG8AdAB0AG8AbgBfAE4ASQBSAFIAZQBmAGUAcgBlAG4AYwBlAFwAbgAgACAAPQBMAEEATQBCAEQAQQAoAFwAIgBcACIAKQA7AFwAbgBcAG4AVgBFAEUAUgBHAF8ANQBfADEAXwAxAF8AMgBfAF8AMwBfAEUAbQBpAHMAcwBpAG8AbgBGAGEAYwB0AG8AcgBDAG8AdAB0AG8AbgBfAEwAYQB0AGUAeABFAHEAdQBhAHQAaQBvAG4AXABuACAAIAA9AEwAQQBNAEIARABBACgAXAAiAEUARgBfAHsAZgBqAD0AYwBvAHQAdABvAG4ALABOADIATwB9AD0AKAAwAC4AMAAxACAAXABcAHQAaQBtAGUAcwAgACgAMAAuADIAOQAgACsAIABcAFwAZgByAGEAYwB7ADAALgAwADAANwAoAGUAXgB7ADAALgAwADMANwAgAFwAXAB0AGkAbQBlAHMAIABOAF8AewBmAGoAPQBjAG8AdAB0AG8AbgB9AH0ALQAxACkAfQB7AE4AXwB7AGYAagA9AGMAbwB0AHQAbwBuAH0AfQApACkAIABcAFwAdABpAG0AZQBzACAAMQAwAF4AewAtADIAfQBcAG4AXAAiACkAOwBcAG4AXABuAFYARQBFAFIARwBfADUAXwAxAF8AMQBfADIAXwBfADMAXwBFAG0AaQBzAHMAaQBvAG4ARgBhAGMAdABvAHIAQwBvAHQAdABvAG4AXwBBAHIAZwB1AG0AZQBuAHQAcwBcAG4AIAAgAD0ATABBAE0AQgBEAEEAKABcAG4AIAAgACAAIABNAEEASwBFAEEAUgBSAEEAWQAoADIALAAgADQALAAgAFwAbgAgACAAIAAgACAAIABMAEEATQBCAEQAQQAoAHIALABjACwAIABcAG4AIAAgACAAIAAgACAAIAAgAEkATgBEAEUAWAAoAHsAXABuACAAIAAgACAAIAAgACAAIAAgACAAXAAiAE4AXwBmAGoAQwBvAHQAdABvAG4AXAAiACwAXAAiAGEAcABwAGwAaQBjAGEAdABpAG8AbgAgAHIAYQB0AGUAIABvAGYAIABpAG4AbwByAGcAYQBuAGkAYwAgAGYAZQByAHQAaQBsAGkAcwBlAHIAIAB0AHkAcABlACAAZgAgAGkAbgAgAHQAaABlACAAYwBvAHQAdABvAG4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IAfQAsAHsAIgBwAGEAdABoACIAOgAiAC8AcAByAG8AagBlAGMAdABzAC8ARgBlAHIAdABpAGwAaQBzAGUAcgBfAEUAcQB1AGEAdABpAG8AbgBzAF8ASQBuAG8AcgBnAGEAbgBpAGMAQwBPADI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MAXwBfADEAXwBJAG4AbwByAGcAYQBuAGkAYwBGAGUAcgB0AGkAbABpAHMAZQByAEEAcABwAGwAaQBjAGEAdABpAG8AbgBDAE8AMgBFAG0AaQBzAHMAaQBvAG4AcwBcAG4AQwBhAHIAYgBvAG4AIABkAGkAbwB4AGkAZABlACAAZQBtAGkAcwBzAGkAbwBuAHMAIAByAGUAcwB1AGwAdABpAG4AZwAgAGYAcgBvAG0AIAB0AGgAZQAgAHUAcwBlACAAbwBmACAAYQBsAGwAIABpAG4AbwByAGcAYQBuAGkAYwAsACAAdQByAGUAYQAtAGIAYQBzAGUAZAAgAGYAZQByAHQAaQBsAGkAcwBlAHIAcwBcAG4ARQBfAEMATwAyAFwAbgB0ACAAQwBPADIAXABuAEUAXwB7AEMATwAyAH0APQBcAFwAcwB1AG0AXwB7AGoAfQBcAFwAcwB1AG0AXwB7AGYAfQAoACgATQBVAF8AewBqAGYAfQBcAFwAdABpAG0AZQBzACAARQBGAF8AewB1AHIAZQBhACwAQwBPADIAfQBcAFwAdABpAG0AZQBzACAAQwBfAHsAQwBPADIAfQApAFwAXAB0AGkAbQBlAHMAIAAxADAAXgB7AC0AMwB9ACkAXABuAE0AVQBfAGoAZgBcAG4ARQBGAF8AdQByAGUAYQBDAE8AMgBcAG4AQwBfAEMATwAyAFwAbgBqAFwAbgBmAFwAbgAtAC0ALQAtAC0ALQAtAC0ALQAtAC0ALQAtAC0ALQAtAC0ALQAtAC0ALQAtAC0ALQAtAC0ALQAtAC0ALQAtAC0ALQAtAC0ALQAtAC0AXABuACoALwBcAG4AXABuAFYARQBFAFIARwBfADUAXwAxAF8AMQBfADMAXwBfADEAXwBJAG4AbwByAGcAYQBuAGkAYwBGAGUAcgB0AGkAbABpAHMAZQByAEEAcABwAGwAaQBjAGEAdABpAG8AbgBDAE8AMgBFAG0AaQBzAHMAaQBvAG4AcwBcAG4AIAAgAD0ATABBAE0AQgBEAEEAKABcAG4AIAAgACAAIABNAFUAXwBqAGYALAAgAEUARgBfAHUAcgBlAGEAQwBPADIALAAgAEMAXwBDAE8AMgAsAFwAbgAgACAAIAAgACgATQBVAF8AagBmACAAKgAgAEUARgBfAHUAcgBlAGEAQwBPADIAIAAqACAAQwBfAEMATwAyACkAIAAqACAAMQAwACAAXgAgAC0AMwBcAG4AIAAgACkAOwBcAG4AXABuAFYARQBFAFIARwBfADUAXwAxAF8AMQBfADMAXwBfADEAXwBJAG4AbwByAGcAYQBuAGkAYwBGAGUAcgB0AGkAbABpAHMAZQByAEEAcABwAGwAaQBjAGEAdABpAG8AbgBDAE8AMgBFAG0AaQBzAHMAaQBvAG4AcwBfAFQAaQB0AGwAZQBcAG4AIAAgAD0ATABBAE0AQgBEAEEAKABcACIAQwBhAHIAYgBvAG4AIABkAGkAbwB4AGkAZABlACAAZQBtAGkAcwBzAGkAbwBuAHMAIAByAGUAcwB1AGwAdABpAG4AZwAgAGYAcgBvAG0AIAB0AGgAZQAgAHUAcwBlACAAbwBmACAAYQBsAGwAIABpAG4AbwByAGcAYQBuAGkAYwAsACAAdQByAGUAYQAtAGIAYQBzAGUAZAAgAGYAZQByAHQAaQBsAGkAcwBlAHIAcwBcACIAKQA7AFwAbgBcAG4AVgBFAEUAUgBHAF8ANQBfADEAXwAxAF8AMwBfAF8AMQBfAEkAbgBvAHIAZwBhAG4AaQBjAEYAZQByAHQAaQBsAGkAcwBlAHIAQQBwAHAAbABpAGMAYQB0AGkAbwBuAEMATwAyAEUAbQBpAHMAcwBpAG8AbgBzAF8AVgBhAHIAaQBhAGIAbABlAFwAbgAgACAAPQBMAEEATQBCAEQAQQAoAFwAIgBFAF8AQwBPADIAXAAiACkAOwBcAG4AXABuAFYARQBFAFIARwBfADUAXwAxAF8AMQBfADMAXwBfADEAXwBJAG4AbwByAGcAYQBuAGkAYwBGAGUAcgB0AGkAbABpAHMAZQByAEEAcABwAGwAaQBjAGEAdABpAG8AbgBDAE8AMgBFAG0AaQBzAHMAaQBvAG4AcwBfAFUAbgBpAHQAXABuACAAIAA9AEwAQQBNAEIARABBACgAXAAiAHQAIABDAE8AMgBcACIAKQA7AFwAbgBcAG4AVgBFAEUAUgBHAF8ANQBfADEAXwAxAF8AMwBfAF8AMQBfAEkAbgBvAHIAZwBhAG4AaQBjAEYAZQByAHQAaQBsAGkAcwBlAHIAQQBwAHAAbABpAGMAYQB0AGkAbwBuAEMATwAyAEUAbQBpAHMAcwBpAG8AbgBzAF8AUwBvAHUAcgBjAGUAXABuACAAIAA9AEwAQQBNAEIARABBACgAXAAiAFYARQBFAFIARwAgADIAMAAyADYAOgAgADUALgAxAC4AMQAuADMALAAgAEUAcQB1AGEAdABpAG8AbgAgACgAMQApAFwAIgApADsAXABuAFwAbgBWAEUARQBSAEcAXwA1AF8AMQBfADEAXwAzAF8AXwAxAF8ASQBuAG8AcgBnAGEAbgBpAGMARgBlAHIAdABpAGwAaQBzAGUAcgBBAHAAcABsAGkAYwBhAHQAaQBvAG4AQwBPADIARQBtAGkAcwBzAGkAbwBuAHMAXwBOAEkAUgBSAGUAZgBlAHIAZQBuAGMAZQBcAG4AIAAgAD0ATABBAE0AQgBEAEEAKABcACIAXAAiACkAOwBcAG4AXABuAFYARQBFAFIARwBfADUAXwAxAF8AMQBfADMAXwBfADEAXwBJAG4AbwByAGcAYQBuAGkAYwBGAGUAcgB0AGkAbABpAHMAZQByAEEAcABwAGwAaQBjAGEAdABpAG8AbgBDAE8AMgBFAG0AaQBzAHMAaQBvAG4AcwBfAEwAYQB0AGUAeABFAHEAdQBhAHQAaQBvAG4AXABuACAAIAA9AEwAQQBNAEIARABBACgAXAAiAEUAXwB7AEMATwAyAH0APQBcAFwAcwB1AG0AXwB7AGoAfQBcAFwAcwB1AG0AXwB7AGYAfQAoACgATQBVAF8AewBqAGYAfQBcAFwAdABpAG0AZQBzACAARQBGAF8AewB1AHIAZQBhACwAQwBPADIAfQBcAFwAdABpAG0AZQBzACAAQwBfAHsAQwBPADIAfQApAFwAXAB0AGkAbQBlAHMAIAAxADAAXgB7AC0AMwB9ACkAXAAiACkAOwBcAG4AXABuAFYARQBFAFIARwBfADUAXwAxAF8AMQBfADMAXwBfADEAXwBJAG4AbwByAGcAYQBuAGkAYwBGAGUAcgB0AGkAbABpAHMAZQByAEEAcABwAGwAaQBjAGEAdABpAG8AbgBDAE8AMg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VAF8AagBmAFwAIgAsAFwAIgBtAGEAcwBzACAAbwBmACAAdQByAGUAYQAgAG8AZgAgAGkAbgBvAHIAZwBhAG4AaQBjACAAZgBlAHIAdABpAGwAaQBzAGUAcgAgAHQAeQBwAGUAIABmACAAYQBwAHAAbABpAGUAZAAgAHQAbwAgAHAAcgBvAGQAdQBjAHQAaQBvAG4AIABzAHkAcwB0AGUAbQAgAGoAXAAiACwAIABcACIAawBnACAAdQByAGUAYQBcACIALAAgAFwAIgBDAGEAbABjAHUAbABhAHQAZQBkAFwAIgA7AFwAbgAgACAAIAAgACAAIAAgACAAIAAgAFwAIgBFAEYAXwB1AHIAZQBhAEMATwAyAFwAIgAsAFwAIgBlAG0AaQBzAHMAaQBvAG4AIABmAGEAYwB0AG8AcgAgAGYAbwByACAAYwBhAHIAYgBvAG4AIABlAG0AaQBzAHMAaQBvAG4AcwAgAGYAcgBvAG0AIAB1AHIAZQBhAC0AYgBhAHMAZQBkACAAZgBlAHIAdABpAGwAaQBzAGUAcgBzAFwAIgAsACAAXAAiAGsAZwAgAEMALwBrAGcAIAB1AHIAZQBhAFwAIgAsACAAXAAiAEMAbwBuAHMAdABhAG4AdABcACIAOwBcAG4AIAAgACAAIAAgACAAIAAgACAAIABcACIAQwBfAEMATwAyAFwAIgAsAFwAIgBmAGEAYwB0AG8AcgAgAHQAbwAgAGMAbwBuAHYAZQByAHQAIABlAGwAZQBtAGUAbgB0AGEAbAAgAG0AYQBzAHMAIABvAGYAIABjAGEAcgBiAG8AbgAgAHQAbwAgAG0AbwBsAGUAYwB1AGwAYQByACAAbQBhAHMAcwAgAG8AZgAgAGMAYQByAGIAbwBuACAAZABpAG8AeABpAGQAZQ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TABvAG8AawB1AHAAXAAiAFwAbgAgACAAIAAgACAAIAAgACAAfQAsACAAcgAsACAAYwApAFwAbgAgACAAIAAgACAAIAApAFwAbgAgACAAIAAgACkAXABuACAAIAApADsAXABuAFwAbgAvACoAIABcAG4ALQAtAC0ALQAtAC0ALQAtAC0ALQAtAC0ALQAtAC0ALQAtAC0ALQAtAC0ALQAtAC0ALQAtAC0ALQAtAC0ALQAtAC0ALQAtAC0ALQAtAFwAbgBWAEUARQBSAEcAXwA1AF8AMQBfADEAXwAzAF8AXwAyAF8ATQBhAHMAcwBPAGYAVQByAGUAYQBJAG4ASQBuAG8AcgBnAGEAbgBpAGMARgBlAHIAdABpAGwAaQBzAGUAcgBcAG4ATQBhAHMAcwAgAG8AZgAgAHUAcgBlAGEAIABhAHAAcABsAGkAZQBkACAAdABvACAAcAByAG8AZAB1AGMAdABpAG8AbgAgAHMAeQBzAHQAZQBtAFwAbgBNAFUAXwBqAGYAXABuAGsAZwAgAHUAcgBlAGEAXABuAHsATQBVAH0AXwB7AGoAZgB9AD0AVABNAF8AewBqAGYAfQBcAFwAdABpAG0AZQBzACAARgBVAF8AZgBcAG4AVABNAF8AagBmAFwAbgBGAFUAXwBmAFwAbgBqAFwAbgBmAFwAbgAtAC0ALQAtAC0ALQAtAC0ALQAtAC0ALQAtAC0ALQAtAC0ALQAtAC0ALQAtAC0ALQAtAC0ALQAtAC0ALQAtAC0ALQAtAC0ALQAtAC0AXABuACoALwBcAG4AXABuAFYARQBFAFIARwBfADUAXwAxAF8AMQBfADMAXwBfADIAXwBNAGEAcwBzAE8AZgBVAHIAZQBhAEkAbgBJAG4AbwByAGcAYQBuAGkAYwBGAGUAcgB0AGkAbABpAHMAZQByAFwAbgAgACAAPQBMAEEATQBCAEQAQQAoAFwAbgAgACAAIAAgAFQATQBfAGoAZgAsACAARgBVAF8AZgAsAFwAbgAgACAAIAAgAFQATQBfAGoAZgAgACoAIABGAFUAXwBmAFwAbgAgACAAKQA7AFwAbgBcAG4AVgBFAEUAUgBHAF8ANQBfADEAXwAxAF8AMwBfAF8AMgBfAE0AYQBzAHMATwBmAFUAcgBlAGEASQBuAEkAbgBvAHIAZwBhAG4AaQBjAEYAZQByAHQAaQBsAGkAcwBlAHIAXwBUAGkAdABsAGUAXABuACAAIAA9AEwAQQBNAEIARABBACgAXAAiAE0AYQBzAHMAIABvAGYAIAB1AHIAZQBhACAAYQBwAHAAbABpAGUAZAAgAHQAbwAgAHAAcgBvAGQAdQBjAHQAaQBvAG4AIABzAHkAcwB0AGUAbQBcACIAKQA7AFwAbgBcAG4AVgBFAEUAUgBHAF8ANQBfADEAXwAxAF8AMwBfAF8AMgBfAE0AYQBzAHMATwBmAFUAcgBlAGEASQBuAEkAbgBvAHIAZwBhAG4AaQBjAEYAZQByAHQAaQBsAGkAcwBlAHIAXwBWAGEAcgBpAGEAYgBsAGUAXABuACAAIAA9AEwAQQBNAEIARABBACgAXAAiAE0AVQBfAGoAZgBcACIAKQA7AFwAbgBcAG4AVgBFAEUAUgBHAF8ANQBfADEAXwAxAF8AMwBfAF8AMgBfAE0AYQBzAHMATwBmAFUAcgBlAGEASQBuAEkAbgBvAHIAZwBhAG4AaQBjAEYAZQByAHQAaQBsAGkAcwBlAHIAXwBVAG4AaQB0AFwAbgAgACAAPQBMAEEATQBCAEQAQQAoAFwAIgBrAGcAIAB1AHIAZQBhAFwAIgApADsAXABuAFwAbgBWAEUARQBSAEcAXwA1AF8AMQBfADEAXwAzAF8AXwAyAF8ATQBhAHMAcwBPAGYAVQByAGUAYQBJAG4ASQBuAG8AcgBnAGEAbgBpAGMARgBlAHIAdABpAGwAaQBzAGUAcgBfAFMAbwB1AHIAYwBlAFwAbgAgACAAPQBMAEEATQBCAEQAQQAoAFwAIgBWAEUARQBSAEcAIAAyADAAMgA2ADoAIAA1AC4AMQAuADEALgAzACwAIABFAHEAdQBhAHQAaQBvAG4AIAAoADIAKQBcACIAKQA7AFwAbgBcAG4AVgBFAEUAUgBHAF8ANQBfADEAXwAxAF8AMwBfAF8AMgBfAE0AYQBzAHMATwBmAFUAcgBlAGEASQBuAEkAbgBvAHIAZwBhAG4AaQBjAEYAZQByAHQAaQBsAGkAcwBlAHIAXwBOAEkAUgBSAGUAZgBlAHIAZQBuAGMAZQBcAG4AIAAgAD0ATABBAE0AQgBEAEEAKABcACIAXAAiACkAOwBcAG4AXABuAFYARQBFAFIARwBfADUAXwAxAF8AMQBfADMAXwBfADIAXwBNAGEAcwBzAE8AZgBVAHIAZQBhAEkAbgBJAG4AbwByAGcAYQBuAGkAYwBGAGUAcgB0AGkAbABpAHMAZQByAF8ATABhAHQAZQB4AEUAcQB1AGEAdABpAG8AbgBcAG4AIAAgAD0ATABBAE0AQgBEAEEAKABcACIAewBNAFUAfQBfAHsAagBmAH0APQBUAE0AXwB7AGoAZgB9AFwAXAB0AGkAbQBlAHMAIABGAFUAXwBmAFwAIgApADsAXABuAFwAbgBWAEUARQBSAEcAXwA1AF8AMQBfADEAXwAzAF8AXwAyAF8ATQBhAHMAcwBPAGYAVQByAGUAYQ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BcACIAawBnAFwAIgAsACAAXAAiAEkAbgBwAHUAdABcACIAOwBcAG4AIAAgACAAIAAgACAAIAAgACAAIABcACIARgBVAF8AZgBcACIALABcACIAZgByAGEAYwB0AGkAbwBuACAAbwBmACAAdQByAGUAYQAgAGkAbgAgAGYAZQByAHQAaQBsAGkAcwBlAHIAIAB0AHkAcABlACAAZgBcACIALABcACIAawBnACAAdQByAGUAYQAvAGsAZwBcACIALAAgAFwAIgBMAG8AbwBrAHUAcABcACIAXABuACAAIAAgACAAIAAgACAAIAB9ACwAIAByACwAIABjACkAXABuACAAIAAgACAAIAAgACkAXABuACAAIAAgACAAKQBcAG4AIAAgACkAOwBcAG4AIgB9ACwAewAiAHAAYQB0AGgAIgA6ACIALwBwAHIAbwBqAGUAYwB0AHMALwBGAGUAcgB0AGkAbABpAHMAZQByAF8ARQBxAHUAYQB0AGkAbwBuAHMAXwBMAGkAbQBl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wAgAEwAaQBtAGU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MAXwAxAF8AMQBfAF8AMQBfAEwAaQBtAGUAQQBwAHAAbABpAGMAYQB0AGkAbwBuAEMATwAyAEUAbQBpAHMAcwBpAG8AbgBzAFwAbgBFAG0AaQBzAHMAaQBvAG4AcwAgAGYAcgBvAG0AIAB0AGgAZQAgAGEAcABwAGwAaQBjAGEAdABpAG8AbgAgAG8AZgAgAGwAaQBtAGUAIABhAG4AZAAgAGQAbwBsAG8AbQBpAHQAZQAgAHQAbwAgAHAAcgBvAGQAdQBjAHQAaQBvAG4AIABzAHkAcwB0AGUAbQBzAFwAbgBFAF8AbABpAG0AZQBcAG4AdAAgAEMATwAyAFwAb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bgBNAF8AbABpAG0AZQBcAG4ARgByAGEAYwBMAGkAbQBlAFwAbgBQAF8AbABpAG0AZQBcAG4ARQBGAF8AbABpAG0AZQBcAG4ARgByAGEAYwBEAG8AbABcAG4AUABfAGQAbwBsAFwAbgBFAEYAXwBkAG8AbABcAG4AQwBfAEMATwAyAFwAbgAtAC0ALQAtAC0ALQAtAC0ALQAtAC0ALQAtAC0ALQAtAC0ALQAtAC0ALQAtAC0ALQAtAC0ALQAtAC0ALQAtAC0ALQAtAC0ALQAtAC0AXABuACoALwBcAG4AXABuAFYARQBFAFIARwBfADUAXwAzAF8AMQBfADEAXwBfADEAXwBMAGkAbQBlAEEAcABwAGwAaQBjAGEAdABpAG8AbgBDAE8AMgBFAG0AaQBzAHMAaQBvAG4AcwBcAG4AIAAgAD0ATABBAE0AQgBEAEEAKABcAG4AIAAgACAAIABNAF8AbABpAG0AZQAsACAARgByAGEAYwBMAGkAbQBlACwAIABQAF8AbABpAG0AZQAsACAARQBGAF8AbABpAG0AZQAsACAARgByAGEAYwBEAG8AbAAsACAAUABfAGQAbwBsACwAIABFAEYAXwBkAG8AbAAsACAAQwBfAEMATwAyACwAXABuACAAIAAgACAAKAAoAE0AXwBsAGkAbQBlACAAKgAgAEYAcgBhAGMATABpAG0AZQAgACoAIABQAF8AbABpAG0AZQAgACoAIABFAEYAXwBsAGkAbQBlACkAIAArACAAKABNAF8AbABpAG0AZQAgACoAIABGAHIAYQBjAEQAbwBsACAAKgAgAFAAXwBkAG8AbAAgACoAIABFAEYAXwBkAG8AbAApACkAIAAqACAAQwBfAEMATwAyACAAKgAgADEAMAAgAF4AIAAtADMAXABuACAAIAApADsAXABuAFwAbgBWAEUARQBSAEcAXwA1AF8AMwBfADEAXwAxAF8AXwAxAF8ATABpAG0AZQBBAHAAcABsAGkAYwBhAHQAaQBvAG4AQwBPADIARQBtAGkAcwBzAGkAbwBuAHMAXwBUAGkAdABsAGUAXABuACAAIAA9AEwAQQBNAEIARABBACgAXAAiAEUAbQBpAHMAcwBpAG8AbgBzACAAZgByAG8AbQAgAHQAaABlACAAYQBwAHAAbABpAGMAYQB0AGkAbwBuACAAbwBmACAAbABpAG0AZQAgAGEAbgBkACAAZABvAGwAbwBtAGkAdABlACAAdABvACAAcAByAG8AZAB1AGMAdABpAG8AbgAgAHMAeQBzAHQAZQBtAHMAXAAiACkAOwBcAG4AXABuAFYARQBFAFIARwBfADUAXwAzAF8AMQBfADEAXwBfADEAXwBMAGkAbQBlAEEAcABwAGwAaQBjAGEAdABpAG8AbgBDAE8AMgBFAG0AaQBzAHMAaQBvAG4AcwBfAFYAYQByAGkAYQBiAGwAZQBcAG4AIAAgAD0ATABBAE0AQgBEAEEAKABcACIARQBfAGwAaQBtAGUAXAAiACkAOwBcAG4AXABuAFYARQBFAFIARwBfADUAXwAzAF8AMQBfADEAXwBfADEAXwBMAGkAbQBlAEEAcABwAGwAaQBjAGEAdABpAG8AbgBDAE8AMgBFAG0AaQBzAHMAaQBvAG4AcwBfAFUAbgBpAHQAXABuACAAIAA9AEwAQQBNAEIARABBACgAXAAiAHQAIABDAE8AMgBcACIAKQA7AFwAbgBcAG4AVgBFAEUAUgBHAF8ANQBfADMAXwAxAF8AMQBfAF8AMQBfAEwAaQBtAGUAQQBwAHAAbABpAGMAYQB0AGkAbwBuAEMATwAyAEUAbQBpAHMAcwBpAG8AbgBzAF8AUwBvAHUAcgBjAGUAXABuACAAIAA9AEwAQQBNAEIARABBACgAXAAiAFYARQBFAFIARwAgADIAMAAyADYAOgAgADUALgAzAC4AMQAuADEALAAgAEUAcQB1AGEAdABpAG8AbgAgACgAMQApAFwAIgApADsAXABuAFwAbgBWAEUARQBSAEcAXwA1AF8AMwBfADEAXwAxAF8AXwAxAF8ATABpAG0AZQBBAHAAcABsAGkAYwBhAHQAaQBvAG4AQwBPADIARQBtAGkAcwBzAGkAbwBuAHMAXwBOAEkAUgBSAGUAZgBlAHIAZQBuAGMAZQBcAG4AIAAgAD0ATABBAE0AQgBEAEEAKABcACIAXAAiACkAOwBcAG4AXABuAFYARQBFAFIARwBfADUAXwAzAF8AMQBfADEAXwBfADEAXwBMAGkAbQBlAEEAcABwAGwAaQBjAGEAdABpAG8AbgBDAE8AMgBFAG0AaQBzAHMAaQBvAG4AcwBfAEwAYQB0AGUAeABFAHEAdQBhAHQAaQBvAG4AXABuACAAIAA9AEwAQQBNAEIARABBACgAXAAi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AiACkAOwBcAG4AXABuAFYARQBFAFIARwBfADUAXwAzAF8AMQBfADEAXwBfADEAXwBMAGkAbQBlAEEAcABwAGwAaQBjAGEAdABpAG8AbgBDAE8AMgBFAG0AaQBzAHMAaQBvAG4AcwBfAEEAcgBnAHUAbQBlAG4AdABzAFwAbgAgACAAPQBMAEEATQBCAEQAQQAoAFwAbgAgACAAIAAgAE0AQQBLAEUAQQBSAFIAQQBZACgAOAAsACAANAAsACAAXABuACAAIAAgACAAIAAgAEwAQQBNAEIARABBACgAcgAsAGMALAAgAFwAbgAgACAAIAAgACAAIAAgACAASQBOAEQARQBYACgAewBcAG4AIAAgACAAIAAgACAAIAAgACAAIABcACIATQBfAGwAaQBtAGUAXAAiACwAXAAiAHQAbwB0AGEAbAAgAG0AYQBzAHMAIABvAGYAIABsAGkAbQBlACAAYQBwAHAAbABpAGUAZAAgAHQAbwAgAHAAcgBvAGQAdQBjAHQAaQBvAG4AIABzAHkAcwB0AGUAbQBcACIALAAgAFwAIgBrAGcAXAAiACwAIABcACIASQBuAHAAdQB0AFwAIgA7AFwAbgAgACAAIAAgACAAIAAgACAAIAAgAFwAIgBGAHIAYQBjAEwAaQBtAGUAXAAiACwAXAAiAGYAcgBhAGMAdABpAG8AbgAgAG8AZgAgAGwAaQBtAGUAIABhAHMAIABsAGkAbQBlAHMAdABvAG4AZQAgACgAQwBhAEMATwAzACkAXAAiACwAIABcACIAZgByAGEAYwB0AGkAbwBuAFwAIgAsACAAXAAiAEkAbgBwAHUAdABcACIAOwBcAG4AIAAgACAAIAAgACAAIAAgACAAIABcACIAUABfAGwAaQBtAGUAXAAiACwAXAAiAGYAcgBhAGMAdABpAG8AbgBhAGwAIABwAHUAcgBpAHQAeQAgAG8AZgAgAGwAaQBtAGUAcwB0AG8AbgBlAFwAIgAsACAAXAAiAGYAcgBhAGMAdABpAG8AbgBcACIALAAgAFwAIgBDAG8AbgBzAHQAYQBuAHQAXAAiADsAXABuACAAIAAgACAAIAAgACAAIAAgACAAXAAiAEUARgBfAGwAaQBtAGUAXAAiACwAXAAiAGUAbQBpAHMAcwBpAG8AbgAgAGYAYQBjAHQAbwByACAAZgBvAHIAIABsAGkAbQBlAHMAdABvAG4AZQAgAGYAcgBhAGMAdABpAG8AbgAgAG8AZgAgAGwAaQBtAGUAXAAiACwAIABcACIAawBnACAAQwAvAGsAZwBcACIALAAgAFwAIgBDAG8AbgBzAHQAYQBuAHQAXAAiADsAXABuACAAIAAgACAAIAAgACAAIAAgACAAXAAiAEYAcgBhAGMARABvAGwAXAAiACwAXAAiAGYAcgBhAGMAdABpAG8AbgAgAG8AZgAgAGwAaQBtAGUAIABhAHMAIABkAG8AbABvAG0AaQB0AGUAXAAiACwAIABcACIAZgByAGEAYwB0AGkAbwBuAFwAIgAsACAAXAAiAEkAbgBwAHUAdABcACIAOwBcAG4AIAAgACAAIAAgACAAIAAgACAAIABcACIAUABfAGQAbwBsAFwAIgAsAFwAIgBmAHIAYQBjAHQAaQBvAG4AYQBsACAAcAB1AHIAaQB0AHkAIABvAGYAIABkAG8AbABvAG0AaQB0AGUAXAAiACwAIABcACIAZgByAGEAYwB0AGkAbwBuAFwAIgAsACAAXAAiAEMAbwBuAHMAdABhAG4AdABcACIAOwBcAG4AIAAgACAAIAAgACAAIAAgACAAIABcACIARQBGAF8AZABvAGwAXAAiACwAXAAiAGUAbQBpAHMAcwBpAG8AbgAgAGYAYQBjAHQAbwByACAAZgBvAHIAIABkAG8AbABvAG0AaQB0AGUAIABmAHIAYQBjAHQAaQBvAG4AIABvAGYAIABsAGkAbQBlAFwAIgAsACAAXAAiAGsAZwAgAEMALwBrAGcAXAAiACwAIABcACIAQwBvAG4AcwB0AGEAbgB0AFwAIgA7AFwAbgAgACAAIAAgACAAIAAgACAAIAAgAFwAIgBDAF8AQwBPADIAXAAiACwAXAAiAGYAYQBjAHQAbwByACAAdABvACAAYwBvAG4AdgBlAHIAdAAgAGUAbABlAG0AZQBuAHQAYQBsACAAbQBhAHMAcwAgAG8AZgAgAGMAYQByAGIAbwBuACAAZABpAG8AeABpAGQAZQAgAHQAbwAgAG0AbwBsAGUAYwB1AGwAYQByACAAbQBhAHMAcwBcACIALAAgAFwAIgBcACIALAAgAFwAIgBDAG8AbgBzAHQAYQBuAHQAXAAiAFwAbgAgACAAIAAgACAAIAAgACAAfQAsACAAcgAsACAAYwApAFwAbgAgACAAIAAgACAAIAApAFwAbgAgACAAIAAgACkAXABuACAAIAApADsAXABuAFwAbgBcAG4AIgB9ACwAewAiAHAAYQB0AGgAIgA6ACIALwBwAHIAbwBqAGUAYwB0AHMALwBNAE0AUwBfAEQAYQBpAHIAeQ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UAIABNAGUAdABoAG8AZAAgADEAIAAtACAATQBhAG4AdQByAGUAIABBAHQAbQBvAHMAcABoAGUAcgBpAGMAIABEAGUAcABvAHMAaQB0AGkAbwBu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NQBfAF8AMQBfAEEAbgBuAHUAYQBsAEEAdABtAG8AcwBwAGgAZQByAGkAYwBEAGUAcABvAHMAaQB0AGkAbwBuAEUAbQBpAHMAcwBpAG8AbgBzAEYAcgBvAG0ATQBNAFMAXABuAEEAbgBuAHUAYQBsACAAYQB0AG0AbwBzAHAAaABlAHIAaQBjACAAZABlAHAAbwBzAGkAdABpAG8AbgAgAGUAbQBpAHMAcwBpAG8AbgBzACAAZgByAG8AbQAgAE0ATQBTAFwAbgBFAF8ATgAyAE8ATQBNAFMAYQBkAFwAbgB0ACAATgAyAE8AXABuAEUAXwB7AE4AMgBPACwATQBNAFMALABhAGQAfQA9AE0ATgBfAHsAQQBUAE0ATwBTAH0AXABcAHQAaQBtAGUAcwAgAEUARgBfAHsATgAyAE8AfQBcAFwAdABpAG0AZQBzACAAQwBfAHsATgAyAE8AfQBcAFwAdABpAG0AZQBzACAAMQAwAF4AewAtADMAfQBcAG4ATQBOAF8AQQBUAE0ATwBTACAAPQAgAG0AYQBzAHMAIABvAGYAIABOACAAdgBvAGwAYQB0AGkAbABpAHMAZQBkACAAZgByAG8AbQAgAE0ATQBT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NQBfAF8AMQBfAEEAbgBuAHUAYQBsAEEAdABtAG8AcwBwAGgAZQByAGkAYwBEAGUAcABvAHMAaQB0AGkAbwBuAEUAbQBpAHMAcwBpAG8AbgBzAEYAcgBvAG0ATQBNAFMAXABuACAAIAA9AEwAQQBNAEIARABBACgAXABuACAAIAAgACAATQBOAF8AQQBUAE0ATwBTACwAIABFAEYAXwBOADIATwAsACAAQwBfAE4AMgBPACwAXABuACAAIAAgACAATQBOAF8AQQBUAE0ATwBTACAAKgAgAEUARgBfAE4AMgBPACAAKgAgAEMAXwBOADIATwAgACoAIAAxADAAIABeACAALQAzAFwAbgAgACAAKQA7AFwAbgBcAG4AVgBFAEUAUgBHAF8ANABfADMAXwAxAF8ANQBfAF8AMQBfAEEAbgBuAHUAYQBsAEEAdABtAG8AcwBwAGgAZQByAGkAYwBEAGUAcABvAHMAaQB0AGkAbwBuAEUAbQBpAHMAcwBpAG8AbgBzAEYAcgBvAG0ATQBNAFMAXwBUAGkAdABsAGUAXABuACAAIAA9AEwAQQBNAEIARABBACgAXAAiAEEAbgBuAHUAYQBsACAAYQB0AG0AbwBzAHAAaABlAHIAaQBjACAAZABlAHAAbwBzAGkAdABpAG8AbgAgAGUAbQBpAHMAcwBpAG8AbgBzACAAZgByAG8AbQAgAE0ATQBTAFwAIgApADsAXABuAFwAbgBWAEUARQBSAEcAXwA0AF8AMwBfADEAXwA1AF8AXwAxAF8AQQBuAG4AdQBhAGwAQQB0AG0AbwBzAHAAaABlAHIAaQBjAEQAZQBwAG8AcwBpAHQAaQBvAG4ARQBtAGkAcwBzAGkAbwBuAHMARgByAG8AbQBNAE0AUwBfAFYAYQByAGkAYQBiAGwAZQBcAG4AIAAgAD0ATABBAE0AQgBEAEEAKABcACIARQBfAE4AMgBPAE0ATQBTAGEAZABcACIAKQA7AFwAbgBcAG4AVgBFAEUAUgBHAF8ANABfADMAXwAxAF8ANQBfAF8AMQBfAEEAbgBuAHUAYQBsAEEAdABtAG8AcwBwAGgAZQByAGkAYwBEAGUAcABvAHMAaQB0AGkAbwBuAEUAbQBpAHMAcwBpAG8AbgBzAEYAcgBvAG0ATQBNAFMAXwBVAG4AaQB0AFwAbgAgACAAPQBMAEEATQBCAEQAQQAoAFwAIgB0ACAATgAyAE8AXAAiACkAOwBcAG4AXABuAFYARQBFAFIARwBfADQAXwAzAF8AMQBfADUAXwBfADEAXwBBAG4AbgB1AGEAbABBAHQAbQBvAHMAcABoAGUAcgBpAGMARABlAHAAbwBzAGkAdABpAG8AbgBFAG0AaQBzAHMAaQBvAG4AcwBGAHIAbwBtAE0ATQBTAF8AUwBvAHUAcgBjAGUAXABuACAAIAA9AEwAQQBNAEIARABBACgAXAAiAFYARQBFAFIARwAgADIAMAAyADYAOgAgADQALgAzAC4AMQAuADUALAAgAEUAcQB1AGEAdABpAG8AbgAgACgAMQApAFwAIgApADsAXABuAFwAbgBWAEUARQBSAEcAXwA0AF8AMwBfADEAXwA1AF8AXwAxAF8AQQBuAG4AdQBhAGwAQQB0AG0AbwBzAHAAaABlAHIAaQBjAEQAZQBwAG8AcwBpAHQAaQBvAG4ARQBtAGkAcwBzAGkAbwBuAHMARgByAG8AbQBNAE0AUwBfAE4ASQBSAFIAZQBmAGUAcgBlAG4AYwBlAFwAbgAgACAAPQBMAEEATQBCAEQAQQAoAFwAIgBcACIAKQA7AFwAbgBcAG4AVgBFAEUAUgBHAF8ANABfADMAXwAxAF8ANQBfAF8AMQBfAEEAbgBuAHUAYQBsAEEAdABtAG8AcwBwAGgAZQByAGkAYwBEAGUAcABvAHMAaQB0AGkAbwBuAEUAbQBpAHMAcwBpAG8AbgBzAEYAcgBvAG0ATQBNAFMAXwBMAGEAdABlAHgARQBxAHUAYQB0AGkAbwBuAFwAbgAgACAAPQBMAEEATQBCAEQAQQAoAFwAIgBFAF8AewBOADIATwAsAE0ATQBTACwAYQBkAH0APQBNAE4AXwB7AEEAVABNAE8AUwB9AFwAXAB0AGkAbQBlAHMAIABFAEYAXwB7AE4AMgBPAH0AXABcAHQAaQBtAGUAcwAgAEMAXwB7AE4AMgBPAH0AXABcAHQAaQBtAGUAcwAgADEAMABeAHsALQAzAH0AXAAiACkAOwBcAG4AXABuAFYARQBFAFIARwBfADQAXwAzAF8AMQBfADUAXwBfADEAXwBBAG4AbgB1AGEAbABBAHQAbQBvAHMAcABoAGUAcgBpAGMARABlAHAAbwBzAGkAdABpAG8AbgBFAG0AaQBzAHMAaQBvAG4AcwBGAHIAbwBtAE0ATQBTAF8AQQByAGcAdQBtAGUAbgB0AHMAXABuACAAIAA9AEwAQQBNAEIARABBACgAXABuACAAIAAgACAATQBBAEsARQBBAFIAUgBBAFkAKAA2ACwAIAA0ACwAXABuACAAIAAgACAAIAAgAEwAQQBNAEIARABBACgAcgAsAGMALABcAG4AIAAgACAAIAAgACAAIAAgAEkATgBEAEUAWAAoAHsAXABuACAAIAAgACAAIAAgACAAIAAgACAAXAAiAE0ATgBfAEEAVABNAE8AUwBcACIALAAgAFwAIgBtAGEAcwBzACAAbwBmACAATgAgAHYAbwBsAGEAdABpAGwAaQBzAGUAZAAgAGYAcgBvAG0AIABNAE0AUwBcACIALAAgAFwAIgBrAGcAIABOAFwAIgAsACAAXAAiAEMAYQBsAGMAdQBsAGEAdABlAGQAIABmAHIAbwBtACAANAAuADMALgAxAC4ANQAgACgAMgApAFwAIgA7AFwAbgAgACAAIAAgACAAIAAgACAAIAAgAFwAIgBFAEYAXwBOADIATwBcACIALAAg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UAXwBfADIAXwBUAG8AdABhAGwATgBpAHQAcgBvAGcAZQBuAFYAbwBsAGEAdABpAGwAaQBzAGUAZABGAHIAbwBtAE0ATQBTAFwAbgBUAG8AdABhAGwAIABuAGkAdAByAG8AZwBlAG4AIAB2AG8AbABhAHQAaQBsAGkAcwBlAGQAIABmAHIAbwBtACAATQBNAFMAXABuAE0ATgBfAEEAVABNAE8AUwBcAG4AawBnACAATgBcAG4ATQBOAF8AewBBAFQATQBPAFMAfQA9AE0ATgBfAHsAagBtAH0AXABcAHQAaQBtAGUAcwAgAEYAcgBhAGMARwBBAFMATQBfAG0AXABuAE0ATgBfAGoAbQAgAD0AIAB0AG8AdABhAGwAIABuAGkAdAByAG8AZwBlAG4AIABpAG4AIABlAGEAYwBoACAATQBNAFMAIABmAG8AcgAgAGQAYQBpAHIAeQAgAGMAYQB0AHQAbABlACAAYwBsAGEAcwBzAGUAcwAgACgAawBnACAATgApAFwAbgBGAHIAYQBjAEcAQQBTAE0AXwBtACAAPQAgAGYAcgBhAGMAdABpAG8AbgAgAG8AZgAgAE4AIAB2AG8AbABhAHQAaQBsAGkAcwBlAGQAIABmAHIAbwBtACAATQBNAFMAIAAoAGYAcgBhAGMAdABpAG8AbgApAFwAbgAtAC0ALQAtAC0ALQAtAC0ALQAtAC0ALQAtAC0ALQAtAC0ALQAtAC0ALQAtAC0ALQAtAC0ALQAtAC0ALQAtAC0ALQAtAC0ALQAtAC0AXABuACoALwBcAG4AXABuAFYARQBFAFIARwBfADQAXwAzAF8AMQBfADUAXwBfADIAXwBUAG8AdABhAGwATgBpAHQAcgBvAGcAZQBuAFYAbwBsAGEAdABpAGwAaQBzAGUAZABGAHIAbwBtAE0ATQBTAFwAbgAgACAAPQBMAEEATQBCAEQAQQAoAFwAbgAgACAAIAAgAE0ATgBfAGoAbQAsACAARgByAGEAYwBHAEEAUwBNAF8AbQAsAFwAbgAgACAAIAAgAE0ATgBfAGoAbQAgACoAIABGAHIAYQBjAEcAQQBTAE0AXwBtAFwAbgAgACAAKQA7AFwAbgBcAG4AVgBFAEUAUgBHAF8ANABfADMAXwAxAF8ANQBfAF8AMgBfAFQAbwB0AGEAbABOAGkAdAByAG8AZwBlAG4AVgBvAGwAYQB0AGkAbABpAHMAZQBkAEYAcgBvAG0ATQBNAFMAXwBUAGkAdABsAGUAXABuACAAIAA9AEwAQQBNAEIARABBACgAXAAiAFQAbwB0AGEAbAAgAG4AaQB0AHIAbwBnAGUAbgAgAHYAbwBsAGEAdABpAGwAaQBzAGUAZAAgAGYAcgBvAG0AIABNAE0AUwBcACIAKQA7AFwAbgBcAG4AVgBFAEUAUgBHAF8ANABfADMAXwAxAF8ANQBfAF8AMgBfAFQAbwB0AGEAbABOAGkAdAByAG8AZwBlAG4AVgBvAGwAYQB0AGkAbABpAHMAZQBkAEYAcgBvAG0ATQBNAFMAXwBWAGEAcgBpAGEAYgBsAGUAXABuACAAIAA9AEwAQQBNAEIARABBACgAXAAiAE0ATgBfAEEAVABNAE8AUwBcACIAKQA7AFwAbgBcAG4AVgBFAEUAUgBHAF8ANABfADMAXwAxAF8ANQBfAF8AMgBfAFQAbwB0AGEAbABOAGkAdAByAG8AZwBlAG4AVgBvAGwAYQB0AGkAbABpAHMAZQBkAEYAcgBvAG0ATQBNAFMAXwBVAG4AaQB0AFwAbgAgACAAPQBMAEEATQBCAEQAQQAoAFwAIgBrAGcAIABOAFwAIgApADsAXABuAFwAbgBWAEUARQBSAEcAXwA0AF8AMwBfADEAXwA1AF8AXwAyAF8AVABvAHQAYQBsAE4AaQB0AHIAbwBnAGUAbgBWAG8AbABhAHQAaQBsAGkAcwBlAGQARgByAG8AbQBNAE0AUwBfAFMAbwB1AHIAYwBlAFwAbgAgACAAPQBMAEEATQBCAEQAQQAoAFwAIgBWAEUARQBSAEcAIAAyADAAMgA2ADoAIAA0AC4AMwAuADEALgA1ACwAIABFAHEAdQBhAHQAaQBvAG4AIAAoADIAKQBcACIAKQA7AFwAbgBcAG4AVgBFAEUAUgBHAF8ANABfADMAXwAxAF8ANQBfAF8AMgBfAFQAbwB0AGEAbABOAGkAdAByAG8AZwBlAG4AVgBvAGwAYQB0AGkAbABpAHMAZQBkAEYAcgBvAG0ATQBNAFMAXwBOAEkAUgBSAGUAZgBlAHIAZQBuAGMAZQBcAG4AIAAgAD0ATABBAE0AQgBEAEEAKABcACIAXAAiACkAOwBcAG4AXABuAFYARQBFAFIARwBfADQAXwAzAF8AMQBfADUAXwBfADIAXwBUAG8AdABhAGwATgBpAHQAcgBvAGcAZQBuAFYAbwBsAGEAdABpAGwAaQBzAGUAZABGAHIAbwBtAE0ATQBTAF8ATABhAHQAZQB4AEUAcQB1AGEAdABpAG8AbgBcAG4AIAAgAD0ATABBAE0AQgBEAEEAKABcACIATQBOAF8AewBBAFQATQBPAFMAfQA9AFwAXABzAHUAbQBcAFwAbgBvAGwAaQBtAGkAdABzAF8AewBqAH0AXABcAHMAdQBtAFwAXABuAG8AbABpAG0AaQB0AHMAXwB7AG0AfQAoAE0ATgBfAHsAagBtAH0AXABcAHQAaQBtAGUAcwAgAEYAcgBhAGMARwBBAFMATQBfAG0AKQBcACIAKQA7AFwAbgBcAG4AVgBFAEUAUgBHAF8ANABfADMAXwAxAF8ANQBfAF8AMgBfAFQAbwB0AGEAbABOAGkAdAByAG8AZwBlAG4AVgBvAGwAYQB0AGkAbABpAHMAZQBkAEYAcgBvAG0ATQBNAFMAXwBBAHIAZwB1AG0AZQBuAHQAcwBcAG4AIAAgAD0ATABBAE0AQgBEAEEAKABcAG4AIAAgACAAIABNAEEASwBFAEEAUgBSAEEAWQAoADI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YAcgBhAGMARwBBAFMATQBfAG0AXAAiACwAIABcACIAZgByAGEAYwB0AGkAbwBuACAAbwBmACAATgAgAHYAbwBsAGEAdABpAGwAaQBzAGUAZAAgAGYAcgBvAG0AIABNAE0AUwBcACIALAAgAFwAIgBmAHIAYQBjAHQAaQBvAG4AXAAiACwAIABcACIAQwBvAG4AcwB0AGEAbgB0AFwAIgBcAG4AIAAgACAAIAAgACAAIAAgAH0ALAAgAHIALAAgAGMAKQBcAG4AIAAgACAAIAAgACAAKQBcAG4AIAAgACAAIAApAFwAbgAgACAAKQA7AFwAbgAiAH0ALAB7ACIAcABhAHQAaAAiADoAIgAvAHAAcgBvAGoAZQBjAHQAcwAvAE0ATQBTAF8ARABhAGkAcgB5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gAIABNAGUAdABoAG8AZAAgADEAIAAtACAATQBhAG4AdQByAGUAIABBAHAAcABsAGkAZQBkACAAVABvACAAUwBvAGkAbABz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OABfAF8AMQBfAE0AYQBzAHMATwBmAE4AaQB0AHIAbwBnAGUAbgBBAHAAcABsAGkAZQBkAFQAbwBTAG8AaQBsAHMAUwBjAG8AcABlADEAXABuAE0AYQBzAHMAIABvAGYAIABuAGkAdAByAG8AZwBlAG4AIABmAHIAbwBtACAAbQBhAG4AdQByAGUAIABhAHAAcABsAGkAZQBkACAAdABvACAAcwBvAGkAbABzACAAZgBvAHIAIABzAGMAbwBwAGUAIAAxACAAZQBtAGkAcwBzAGkAbwBuAHMAXABuAE0ATgBTAG8AaQBsAF8AcwBjAG8AcABlADEAXABuAGsAZwAgAE4AXABuAE0ATgBTAG8AaQBsAF8AewBzAGMAbwBwAGUAMQB9AD0AKABNAE4AXwB7AGoAbQB9AFwAXAB0AGkAbQBlAHMAIAAoADEALQBFAEYAXwBtAC0ARgByAGEAYwBHAEEAUwBNAF8AbQApAC0ATQBOAEwAZQBhAGMAaABfAGoAbQApAFwAXAB0AGkAbQBlAHMAIABQAEYAXwBzAGMAbwBwAGUAXABuAE0ATgBfAGoAbQAgAD0AIAB0AG8AdABhAGwAIABuAGkAdAByAG8AZwBlAG4AIABpAG4AIABlAGEAYwBoACAATQBNAFMAIABmAG8AcgAgAGQAYQBpAHIAeQAgAGMAYQB0AHQAbABlACAAYwBsAGEAcwBzAGUAcwAgACgAawBnACAATgApAFwAbgBFAEYAXwBtACAAPQAgAGUAbQBpAHMAcwBpAG8AbgAgAGYAYQBjAHQAbwByACAAZgBvAHIAIABuAGkAdAByAG8AdQBzACAAbwB4AGkAZABlACAAZQBtAGkAcwBzAGkAbwBuAHMAIABwAGUAcgAgAE0ATQBTACAAKABrAGcAIABOADIATwAtAE4ALwBrAGcAIABOACkAXABuAEYAcgBhAGMARwBBAFMATQBfAG0AIAA9ACAAZgByAGEAYwB0AGkAbwBuACAAbwBmACAATgAgAHYAbwBsAGEAdABpAGwAaQBzAGUAZAAgAGYAcgBvAG0AIABNAE0AUwBcAG4ATQBOAEwAZQBhAGMAaABfAGoAbQAgAD0AIABtAGEAcwBzACAAbwBmACAATgAgAGwAbwBzAHQAIAB0AGgAcgBvAHUAZwBoACAAbABlAGEAYwBoAGkAbgBnACAAYQBuAGQAIAByAHUAbgBvAGYAZgAgAGYAcgBvAG0AIABlAGEAYwBoACAATQBNAFMAIAAoAGsAZwAgAE4AKQBcAG4AUABGAF8AcwBjAG8AcABlACAAPQAgAGYAcgBhAGMAdABpAG8AbgAgAG8AZgAgAG0AYQBuAHUAcgBlACAAYQBwAHAAbABpAGUAZAAgAHQAbwAgAHMAbwBpAGwAIAB3AGkAdABoAGkAbgAgAGYAYQByAG0AIABiAG8AdQBuAGQAYQByAHkAXABuAC0ALQAtAC0ALQAtAC0ALQAtAC0ALQAtAC0ALQAtAC0ALQAtAC0ALQAtAC0ALQAtAC0ALQAtAC0ALQAtAC0ALQAtAC0ALQAtAC0ALQBcAG4AKgAvAFwAbgBcAG4AVgBFAEUAUgBHAF8ANABfADMAXwAxAF8AOABfAF8AMQBfAE0AYQBzAHMATwBmAE4AaQB0AHIAbwBnAGUAbgBBAHAAcABsAGkAZQBkAFQAbwBTAG8AaQBsAHMAUwBjAG8AcABlADEAXABuACAAIAA9AEwAQQBNAEIARABBACgAXABuACAAIAAgACAATQBOAF8AagBtACwAIABFAEYAXwBtACwAIABGAHIAYQBjAEcAQQBTAE0AXwBtACwAIABNAE4ATABlAGEAYwBoAF8AagBtACwAIABQAEYAXwBzAGMAbwBwAGUALABcAG4AIAAgACAAIAAoAE0ATgBfAGoAbQAgACoAIAAoADEAIAAtACAARQBGAF8AbQAgAC0AIABGAHIAYQBjAEcAQQBTAE0AXwBtACkAIAAtACAATQBOAEwAZQBhAGMAaABfAGoAbQApACAAKgAgAFAARgBfAHMAYwBvAHAAZQBcAG4AIAAgACkAOwBcAG4AXABuAFYARQBFAFIARwBfADQAXwAzAF8AMQBfADgAXwBfADEAXwBNAGEAcwBzAE8AZgBOAGkAdAByAG8AZwBlAG4AQQBwAHAAbABpAGUAZABUAG8AUwBvAGkAbABzAFMAYwBvAHAAZQAxAF8AVABpAHQAbABlAFwAbgAgACAAPQBMAEEATQBCAEQAQQAoAFwAIgBNAGEAcwBzACAAbwBmACAAbgBpAHQAcgBvAGcAZQBuACAAZgByAG8AbQAgAG0AYQBuAHUAcgBlACAAYQBwAHAAbABpAGUAZAAgAHQAbwAgAHMAbwBpAGwAcwAgAGYAbwByACAAcwBjAG8AcABlACAAMQAgAGUAbQBpAHMAcwBpAG8AbgBzAFwAIgApADsAXABuAFwAbgBWAEUARQBSAEcAXwA0AF8AMwBfADEAXwA4AF8AXwAxAF8ATQBhAHMAcwBPAGYATgBpAHQAcgBvAGcAZQBuAEEAcABwAGwAaQBlAGQAVABvAFMAbwBpAGwAcwBTAGMAbwBwAGUAMQBfAFYAYQByAGkAYQBiAGwAZQBcAG4AIAAgAD0ATABBAE0AQgBEAEEAKABcACIATQBOAFMAbwBpAGwAXwBzAGMAbwBwAGUAMQBcACIAKQA7AFwAbgBcAG4AVgBFAEUAUgBHAF8ANABfADMAXwAxAF8AOABfAF8AMQBfAE0AYQBzAHMATwBmAE4AaQB0AHIAbwBnAGUAbgBBAHAAcABsAGkAZQBkAFQAbwBTAG8AaQBsAHMAUwBjAG8AcABlADEAXwBVAG4AaQB0AFwAbgAgACAAPQBMAEEATQBCAEQAQQAoAFwAIgBrAGcAIABOAFwAIgApADsAXABuAFwAbgBWAEUARQBSAEcAXwA0AF8AMwBfADEAXwA4AF8AXwAxAF8ATQBhAHMAcwBPAGYATgBpAHQAcgBvAGcAZQBuAEEAcABwAGwAaQBlAGQAVABvAFMAbwBpAGwAcwBTAGMAbwBwAGUAMQBfAFMAbwB1AHIAYwBlAFwAbgAgACAAPQBMAEEATQBCAEQAQQAoAFwAIgBWAEUARQBSAEcAIAAyADAAMgA2ADoAIAA0AC4AMwAuADEALgA4ACwAIABFAHEAdQBhAHQAaQBvAG4AIAAoADEAKQBcACIAKQA7AFwAbgBcAG4AVgBFAEUAUgBHAF8ANABfADMAXwAxAF8AOABfAF8AMQBfAE0AYQBzAHMATwBmAE4AaQB0AHIAbwBnAGUAbgBBAHAAcABsAGkAZQBkAFQAbwBTAG8AaQBsAHMAUwBjAG8AcABlADEAXwBOAEkAUgBSAGUAZgBlAHIAZQBuAGMAZQBcAG4AIAAgAD0ATABBAE0AQgBEAEEAKABcACIAXAAiACkAOwBcAG4AXABuAFYARQBFAFIARwBfADQAXwAzAF8AMQBfADgAXwBfADEAXwBNAGEAcwBzAE8AZgBOAGkAdAByAG8AZwBlAG4AQQBwAHAAbABpAGUAZABUAG8AUwBvAGkAbABzAFMAYwBvAHAAZQAxAF8ATABhAHQAZQB4AEUAcQB1AGEAdABpAG8AbgBcAG4AIAAgAD0ATABBAE0AQgBEAEEAKABcACIATQBOAFMAbwBpAGwAXwB7AHMAYwBvAHAAZQAxAH0APQBcAFwAcwB1AG0AXABcAG4AbwBsAGkAbQBpAHQAcwBfAHsAagB9AFwAXABzAHUAbQBcAFwAbgBvAGwAaQBtAGkAdABzAF8AewBtAH0AKABNAE4AXwB7AGoAbQA9ADEALQAxADMAfQBcAFwAdABpAG0AZQBzACAAKAAxAC0ARQBGAF8AewBtAD0AMQAtADEAMwB9AC0ARgByAGEAYwBHAEEAUwBNAF8AewBtAD0AMQAtADEAMwB9ACkALQBNAE4ATABlAGEAYwBoAF8AewBqAG0AfQApAFwAXAB0AGkAbQBlAHMAIABQAEYAXAAiACkAOwBcAG4AXABuAFYARQBFAFIARwBfADQAXwAzAF8AMQBfADgAXwBfADEAXwBNAGEAcwBzAE8AZgBOAGkAdAByAG8AZwBlAG4AQQBwAHAAbABpAGUAZABUAG8AUwBvAGkAbABzAFMAYwBvAHAAZQAxAF8AQQByAGcAdQBtAGUAbgB0AHMAXABuACAAIAA9AEwAQQBNAEIARABBACgAXABuACAAIAAgACAATQBBAEsARQBBAFIAUgBBAFkAKAA1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UAbQBpAHMAcwBpAG8AbgAgAGYAYQBjAHQAbwByACAAZgBvAHIAIABuAGkAdAByAG8AdQBzACAAbwB4AGkAZABlACAAZQBtAGkAcwBzAGkAbwBuAHMAIABwAGUAcgAgAE0ATQBTAFwAIgAsACAAXAAiAGsAZwAgAE4AMgBPAC0ATgAvAGsAZwAgAE4AXAAiACwAIABcACIAQwBvAG4AcwB0AGEAbgB0AFwAIgA7AFwAbgAgACAAIAAgACAAIAAgACAAIAAgAFwAIgBGAHIAYQBjAEcAQQBTAE0AXwBtAFwAIgAsACAAXAAiAGYAcgBhAGMAdABpAG8AbgAgAG8AZgAgAE4AIAB2AG8AbABhAHQAaQBsAGkAcwBlAGQAIABmAHIAbwBtACAATQBNAFMAXAAiACwAIABcACIAZgByAGEAYwB0AGkAbwBuAFwAIgAsACAAXAAiAEMAbwBuAHMAdABhAG4AdABcACIAOwBcAG4AIAAgACAAIAAgACAAIAAgACAAIABcACIATQBOAEwAZQBhAGMAaABfAGoAbQBcACIALAAgAFwAIgBtAGEAcwBzACAAbwBmACAATgAgAGwAbwBzAHQAIAB0AGgAcgBvAHUAZwBoACAAbABlAGEAYwBoAGkAbgBnACAAYQBuAGQAIAByAHUAbgBvAGYAZgAgAGYAcgBvAG0AIABlAGEAYwBoACAATQBNAFMAXAAiACwAIABcACIAawBnACAATgBcACIALAAgAFwAIgBDAGEAbABjAHUAbABhAHQAZQBkACAAZgByAG8AbQAgADQALgAzAC4AMQAuADYAIAAoADIAKQBcACIAOwBcAG4AIAAgACAAIAAgACAAIAAgACAAIABcACIAUABGAF8AcwBjAG8AcABlAFwAIgAsACAAXAAiAGYAcgBhAGMAdABpAG8AbgAgAG8AZgAgAG0AYQBuAHUAcgBlACAAYQBwAHAAbABpAGUAZAAgAHQAbwAgAHMAbwBpAGwAIAB3AGkAdABoAGkAbgAgAGYAYQByAG0AIABiAG8AdQBuAGQAYQByAHk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4AF8AXwAyAF8ATQBhAHMAcwBPAGYATgBpAHQAcgBvAGcAZQBuAEEAcABwAGwAaQBlAGQAVABvAFMAbwBpAGwAcwBTAGMAbwBwAGUAMwBcAG4ATQBhAHMAcwAgAG8AZgAgAG4AaQB0AHIAbwBnAGUAbgAgAGYAcgBvAG0AIABtAGEAbgB1AHIAZQAgAGEAcABwAGwAaQBlAGQAIAB0AG8AIABzAG8AaQBsAHMAIABmAG8AcgAgAHMAYwBvAHAAZQAgADMAIABlAG0AaQBzAHMAaQBvAG4AcwBcAG4ATQBOAFMAbwBpAGwAXwBzAGMAbwBwAGUAMwBcAG4AawBnACAATgBcAG4ATQBOAFMAbwBpAGwAXwB7AHMAYwBvAHAAZQAzAH0APQAoAE0ATgBfAHsAagBtAH0AXABcAHQAaQBtAGUAcwAgACgAMQAtAEUARgBfAG0ALQBGAHIAYQBjAEcAQQBTAE0AXwBtACkALQBNAE4ATABlAGEAYwBoAF8AagBtACkAXABcAHQAaQBtAGUAcwAgACgAMQAtAFAARgApAFwAbgBNAE4AXwBqAG0AIAA9ACAAdABvAHQAYQBsACAAbgBpAHQAcgBvAGcAZQBuACAAaQBuACAAZQBhAGMAaAAgAE0ATQBTACAAZgBvAHIAIABkAGEAaQByAHkAIABjAGEAdAB0AGwAZQAgAGMAbABhAHMAcwBlAHMAIAAoAGsAZwAgAE4AKQBcAG4ARQBGAF8AbQAgAD0AIABlAG0AaQBzAHMAaQBvAG4AIABmAGEAYwB0AG8AcgAgAGYAbwByACAAbgBpAHQAcgBvAHUAcwAgAG8AeABpAGQAZQAgAGUAbQBpAHMAcwBpAG8AbgBzACAAcABlAHIAIABNAE0AUwAgACgAawBnACAATgAyAE8ALQBOAC8AawBnACAATgApAFwAbgBGAHIAYQBjAEcAQQBTAE0AXwBtACAAPQAgAGYAcgBhAGMAdABpAG8AbgAgAG8AZgAgAE4AIAB2AG8AbABhAHQAaQBsAGkAcwBlAGQAIABmAHIAbwBtACAATQBNAFMAXABuAE0ATgBMAGUAYQBjAGgAXwBqAG0AIAA9ACAAbQBhAHMAcwAgAG8AZgAgAE4AIABsAG8AcwB0ACAAdABoAHIAbwB1AGcAaAAgAGwAZQBhAGMAaABpAG4AZwAgAGEAbgBkACAAcgB1AG4AbwBmAGYAIABmAHIAbwBtACAAZQBhAGMAaAAgAE0ATQBTACAAKABrAGcAIABOACkAXABuAFAARgAgAD0AIABmAHIAYQBjAHQAaQBvAG4AIABvAGYAIABtAGEAbgB1AHIAZQAgAGEAcABwAGwAaQBlAGQAIAB0AG8AIABzAG8AaQBsACAAdwBpAHQAaABpAG4AIABmAGEAcgBtACAAYgBvAHUAbgBkAGEAcgB5AFwAbgAtAC0ALQAtAC0ALQAtAC0ALQAtAC0ALQAtAC0ALQAtAC0ALQAtAC0ALQAtAC0ALQAtAC0ALQAtAC0ALQAtAC0ALQAtAC0ALQAtAC0AXABuACoALwBcAG4AXABuAFYARQBFAFIARwBfADQAXwAzAF8AMQBfADgAXwBfADIAXwBNAGEAcwBzAE8AZgBOAGkAdAByAG8AZwBlAG4AQQBwAHAAbABpAGUAZABUAG8AUwBvAGkAbABzAFMAYwBvAHAAZQAzAFwAbgAgACAAPQBMAEEATQBCAEQAQQAoAFwAbgAgACAAIAAgAE0ATgBfAGoAbQAsACAARQBGAF8AbQAsACAARgByAGEAYwBHAEEAUwBNAF8AbQAsACAATQBOAEwAZQBhAGMAaABfAGoAbQAsACAAUABGACwAXABuACAAIAAgACAAKABNAE4AXwBqAG0AIAAqACAAKAAxACAALQAgAEUARgBfAG0AIAAtACAARgByAGEAYwBHAEEAUwBNAF8AbQApACAALQAgAE0ATgBMAGUAYQBjAGgAXwBqAG0AKQAgACoAIAAoADEAIAAtACAAUABGACkAXABuACAAIAApADsAXABuAFwAbgBWAEUARQBSAEcAXwA0AF8AMwBfADEAXwA4AF8AXwAyAF8ATQBhAHMAcwBPAGYATgBpAHQAcgBvAGcAZQBuAEEAcABwAGwAaQBlAGQAVABvAFMAbwBpAGwAcwBTAGMAbwBwAGUAMwBfAFQAaQB0AGwAZQBcAG4AIAAgAD0ATABBAE0AQgBEAEEAKABcACIATQBhAHMAcwAgAG8AZgAgAG4AaQB0AHIAbwBnAGUAbgAgAGYAcgBvAG0AIABtAGEAbgB1AHIAZQAgAGEAcABwAGwAaQBlAGQAIAB0AG8AIABzAG8AaQBsAHMAIABmAG8AcgAgAHMAYwBvAHAAZQAgADMAIABlAG0AaQBzAHMAaQBvAG4AcwBcACIAKQA7AFwAbgBcAG4AVgBFAEUAUgBHAF8ANABfADMAXwAxAF8AOABfAF8AMgBfAE0AYQBzAHMATwBmAE4AaQB0AHIAbwBnAGUAbgBBAHAAcABsAGkAZQBkAFQAbwBTAG8AaQBsAHMAUwBjAG8AcABlADMAXwBWAGEAcgBpAGEAYgBsAGUAXABuACAAIAA9AEwAQQBNAEIARABBACgAXAAiAE0ATgBTAG8AaQBsAF8AcwBjAG8AcABlADMAXAAiACkAOwBcAG4AXABuAFYARQBFAFIARwBfADQAXwAzAF8AMQBfADgAXwBfADIAXwBNAGEAcwBzAE8AZgBOAGkAdAByAG8AZwBlAG4AQQBwAHAAbABpAGUAZABUAG8AUwBvAGkAbABzAFMAYwBvAHAAZQAzAF8AVQBuAGkAdABcAG4AIAAgAD0ATABBAE0AQgBEAEEAKABcACIAawBnACAATgBcACIAKQA7AFwAbgBcAG4AVgBFAEUAUgBHAF8ANABfADMAXwAxAF8AOABfAF8AMgBfAE0AYQBzAHMATwBmAE4AaQB0AHIAbwBnAGUAbgBBAHAAcABsAGkAZQBkAFQAbwBTAG8AaQBsAHMAUwBjAG8AcABlADMAXwBTAG8AdQByAGMAZQBcAG4AIAAgAD0ATABBAE0AQgBEAEEAKABcACIAVgBFAEUAUgBHACAAMgAwADIANgA6ACAANAAuADMALgAxAC4AOAAsACAARQBxAHUAYQB0AGkAbwBuACAAKAAyACkAXAAiACkAOwBcAG4AXABuAFYARQBFAFIARwBfADQAXwAzAF8AMQBfADgAXwBfADIAXwBNAGEAcwBzAE8AZgBOAGkAdAByAG8AZwBlAG4AQQBwAHAAbABpAGUAZABUAG8AUwBvAGkAbABzAFMAYwBvAHAAZQAzAF8ATgBJAFIAUgBlAGYAZQByAGUAbgBjAGUAXABuACAAIAA9AEwAQQBNAEIARABBACgAXAAiAFwAIgApADsAXABuAFwAbgBWAEUARQBSAEcAXwA0AF8AMwBfADEAXwA4AF8AXwAyAF8ATQBhAHMAcwBPAGYATgBpAHQAcgBvAGcAZQBuAEEAcABwAGwAaQBlAGQAVABvAFMAbwBpAGwAcwBTAGMAbwBwAGUAMwBfAEwAYQB0AGUAeABFAHEAdQBhAHQAaQBvAG4AXABuACAAIAA9AEwAQQBNAEIARABBACgAXAAiAE0ATgBTAG8AaQBsAF8AewBzAGMAbwBwAGUAMwB9AD0AXABcAHMAdQBtAFwAXABuAG8AbABpAG0AaQB0AHMAXwB7AGoAfQBcAFwAcwB1AG0AXABcAG4AbwBsAGkAbQBpAHQAcwBfAHsAbQB9ACgATQBOAF8AewBqAG0APQAxAC0AMQAzAH0AXABcAHQAaQBtAGUAcwAgACgAMQAtAEUARgBfAHsAbQA9ADEALQAxADMAfQAtAEYAcgBhAGMARwBBAFMATQBfAHsAbQA9ADEALQAxADMAfQApAC0ATQBOAEwAZQBhAGMAaABfAHsAagBtAH0AKQBcAFwAdABpAG0AZQBzACAAKAAxAC0AUABGACkAXAAiACkAOwBcAG4AXABuAFYARQBFAFIARwBfADQAXwAzAF8AMQBfADgAXwBfADIAXwBNAGEAcwBzAE8AZgBOAGkAdAByAG8AZwBlAG4AQQBwAHAAbABpAGUAZABUAG8AUwBvAGkAbABzAFMAYwBvAHAAZQAzAF8AQQByAGcAdQBtAGUAbgB0AHMAXABuACAAIAA9AEwAQQBNAEIARABBACgAXABuACAAIAAgACAATQBBAEsARQBBAFIAUgBBAFkAKAA1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UAbQBpAHMAcwBpAG8AbgAgAGYAYQBjAHQAbwByACAAZgBvAHIAIABuAGkAdAByAG8AdQBzACAAbwB4AGkAZABlACAAZQBtAGkAcwBzAGkAbwBuAHMAIABwAGUAcgAgAE0ATQBTAFwAIgAsACAAXAAiAGsAZwAgAE4AMgBPAC0ATgAvAGsAZwAgAE4AXAAiACwAIABcACIAQwBvAG4AcwB0AGEAbgB0AFwAIgA7AFwAbgAgACAAIAAgACAAIAAgACAAIAAgAFwAIgBGAHIAYQBjAEcAQQBTAE0AXwBtAFwAIgAsACAAXAAiAGYAcgBhAGMAdABpAG8AbgAgAG8AZgAgAE4AIAB2AG8AbABhAHQAaQBsAGkAcwBlAGQAIABmAHIAbwBtACAATQBNAFMAXAAiACwAIABcACIAZgByAGEAYwB0AGkAbwBuAFwAIgAsACAAXAAiAEMAbwBuAHMAdABhAG4AdABcACIAOwBcAG4AIAAgACAAIAAgACAAIAAgACAAIABcACIATQBOAEwAZQBhAGMAaABfAGoAbQBcACIALAAgAFwAIgBtAGEAcwBzACAAbwBmACAATgAgAGwAbwBzAHQAIAB0AGgAcgBvAHUAZwBoACAAbABlAGEAYwBoAGkAbgBnACAAYQBuAGQAIAByAHUAbgBvAGYAZgAgAGYAcgBvAG0AIABlAGEAYwBoACAATQBNAFMAXAAiACwAIABcACIAawBnACAATgBcACIALAAgAFwAIgBDAGEAbABjAHUAbABhAHQAZQBkACAAZgByAG8AbQAgADQALgAzAC4AMQAuADYAIAAoADIAKQBcACIAOwBcAG4AIAAgACAAIAAgACAAIAAgACAAIABcACIAUABGAFwAIgAsACAAXAAiAGYAcgBhAGMAdABpAG8AbgAgAG8AZgAgAG0AYQBuAHUAcgBlACAAYQBwAHAAbABpAGUAZAAgAHQAbwAgAHMAbwBpAGwAIAB3AGkAdABoAGkAbgAgAGYAYQByAG0AIABiAG8AdQBuAGQAYQByAHkAXAAiACwAIABcACIAZgByAGEAYwB0AGkAbwBuAFwAIgAsACAAXAAiAEkAbgBwAHUAdABcACIAXABuACAAIAAgACAAIAAgACAAIAB9ACwAIAByACwAIABjACkAXABuACAAIAAgACAAIAAgACkAXABuACAAIAAgACAAKQBcAG4AIAAgACkAOwBcAG4AIgB9ACwAewAiAHAAYQB0AGgAIgA6ACIALwBwAHIAbwBqAGUAYwB0AHMALwBNAE0AUwBfAEQAYQBpAHIAeQ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QAgAE0AZQB0AGgAbwBkACAAMQAgAC0AIABNAGEAbgB1AHIAZQAgAE0AZQB0AGgAYQBuAGU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xAF8AXwAxAF8AVABvAHQAYQBsAEEAbgBuAHUAYQBsAE0AZQB0AGgAYQBuAGUARgByAG8AbQBNAGEAbgB1AHIAZQBNAGEAbgBhAGcAZQBtAGUAbgB0AFwAbgBUAG8AdABhAGwAIABhAG4AbgB1AGEAbAAgAG0AZQB0AGgAYQBuAGUAIABwAHIAbwBkAHUAYwB0AGkAbwBuACAAZgByAG8AbQAgAG0AYQBuAHUAcgBlACAAbQBhAG4AYQBnAGUAbQBlAG4AdABcAG4ARQBfAEMASAA0AFwAbgB0ACAAQwBIADQAXABuAEUAXwB7AEMASAA0AH0AP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8AewBqAD0AMwAsADUAfQApACkAXABcAHQAaQBtAGUAcwAgADEAMABeAHsALQAzAH0AXABuAE4AXwBqADEAMgA0ACAAPQAgAG4AdQBtAGIAZQByACAAbwBmACAAZABhAGkAcgB5ACAAYwBhAHQAdABsAGUAIABpAG4AIABjAGwAYQBzAHMAZQBzACAAagA9ADEALAAyACwANABcAG4ATQBfAGoAMQAyADQAbQAgAD0AIABtAGUAdABoAGEAbgBlACAAcAByAG8AZAB1AGMAdABpAG8AbgAgAGYAcgBvAG0AIABtAGEAbgB1AHIAZQAgAG8AZgAgAHcAZQBhAG4AZQBkACAAZABhAGkAcgB5ACAAYwBhAHQAdABsAGUAIABpAG4AIABjAGwAYQBzAHMAZQBzACAAagA9ADEALAAyACwANAAgAGkAbgAgAE0ATQBTACAAbQAgACgAawBnACAAQwBIADQALwBoAGUAYQBkAC8AZABhAHkAKQBcAG4ARABfAGoAMQAyADQAIAA9ACAAZAB1AHIAYQB0AGkAbwBuACAAbwBmACAAcwB0AGEAeQAgAG8AbgAgAGYAYQByAG0AIABmAG8AcgAgAGMAbABhAHMAcwBlAHMAIABqAD0AMQAsADIALAA0ACAAKABkAGEAeQBzACkAXABuAE4AXwBqADMANQAgAD0AIABuAHUAbQBiAGUAcgAgAG8AZgAgAGQAYQBpAHIAeQAgAGMAYQB0AHQAbABlACAAaQBuACAAYwBsAGEAcwBzAGUAcwAgAGoAPQAzACwANQBcAG4ATQBfAGoAMwA1AG0AIAA9ACAAbQBlAHQAaABhAG4AZQAgAHAAcgBvAGQAdQBjAHQAaQBvAG4AIABmAHIAbwBtACAAbQBhAG4AdQByAGUAIABvAGYAIAB3AGUAYQBuAGUAZAAgAGQAYQBpAHIAeQAgAGMAYQB0AHQAbABlACAAaQBuACAAYwBsAGEAcwBzAGUAcwAgAGoAPQAzACwANQAgAGkAbgAgAE0ATQBTACAAbQAgACgAawBnACAAQwBIADQALwBoAGUAYQBkAC8AZABhAHkAKQBcAG4ARABfAGoAMwA1ACAAPQAgAGQAdQByAGEAdABpAG8AbgAgAG8AZgAgAHMAdABhAHkAIABvAG4AIABmAGEAcgBtACAAZgBvAHIAIABjAGwAYQBzAHMAZQBzACAAagA9ADMALAA1ACAAKABkAGEAeQBzACkAXABuAE0AUABXAF8AbQBhAG4AdQByAGUAXwBqADMANQAgAD0AIABtAGUAdABoAGEAbgBlACAAcAByAG8AZAB1AGMAdABpAG8AbgAgAGYAcgBvAG0AIABtAGEAbgB1AHIAZQAgAG8AZgAgAHAAcgBlAC0AdwBlAGEAbgBlAGQAIABoAGUAaQBmAGUAcgAgAGEAbgBkACAAYgB1AGwAbAAgAGMAYQBsAHYAZQBzACAAKABrAGcAIABDAEgANAAvAGgAZQBhAGQALwBkAGEAeQApAFwAbgAtAC0ALQAtAC0ALQAtAC0ALQAtAC0ALQAtAC0ALQAtAC0ALQAtAC0ALQAtAC0ALQAtAC0ALQAtAC0ALQAtAC0ALQAtAC0ALQAtAC0AXABuACoALwBcAG4AXABuAFYARQBFAFIARwBfADQAXwAzAF8AMQBfADEAXwBfADEAXwBUAG8AdABhAGwAQQBuAG4AdQBhAGwATQBlAHQAaABhAG4AZQBGAHIAbwBtAE0AYQBuAHUAcgBlAE0AYQBuAGEAZwBlAG0AZQBuAHQAXABuACAAIAA9AEwAQQBNAEIARABBACgAXABuACAAIAAgACAATgBfAGoAMQAyADQALAAgAE0AXwBqADEAMgA0AG0ALAAgAEQAXwBqADEAMgA0ACwAIABOAF8AagAzADUALAAgAE0AXwBqADMANQBtACwAIABEAF8AagAzADUALAAgAE0AUABXAF8AbQBhAG4AdQByAGUAXwBqADMANQAsAFwAbgAgACAAIAAgACgAKABOAF8AagAxADIANAAgACoAIABNAF8AagAxADIANABtACAAKgAgAEQAXwBqADEAMgA0ACkAIAArACAAKABOAF8AagAzADUAIAAqACAATQBfAGoAMwA1AG0AIAAqACAARABfAGoAMwA1ACkAIAArACAAKABOAF8AagAzADUAIAAqACAATQBQAFcAXwBtAGEAbgB1AHIAZQBfAGoAMwA1ACAAKgAgAEQAXwBqADMANQApACkAIAAqACAAMQAwACAAXgAgAC0AMwBcAG4AIAAgACkAOwBcAG4AXABuAFYARQBFAFIARwBfADQAXwAzAF8AMQBfADEAXwBfADEAXwBUAG8AdABhAGwAQQBuAG4AdQBhAGwATQBlAHQAaABhAG4AZQBGAHIAbwBtAE0AYQBuAHUAcgBlAE0AYQBuAGEAZwBlAG0AZQBuAHQAVgBhAHIAaQBhAHQAaQBvAG4AXABuACAAIAA9AEwAQQBNAEIARABBACgAXABuACAAIAAgACAATgBfAGoAMQAyADQALAAgAE0AXwBqADEAMgA0AG0ALAAgAEQAXwBqADEAMgA0ACwAIABOAF8AagAzADUALAAgAE0AXwBqADMANQBtACwAIABEAF8AagAzADUALAAgAE0AUABXAF8AbQBhAG4AdQByAGUAXwBqADMANQAsACAARABQAFcAXwBqADMANQAsAFwAbgAgACAAIAAgACgAKABOAF8AagAxADIANAAgACoAIABNAF8AagAxADIANABtACAAKgAgAEQAXwBqADEAMgA0ACkAIAArACAAKABOAF8AagAzADUAIAAqACAATQBfAGoAMwA1AG0AIAAqACAARABfAGoAMwA1ACkAIAArACAAKABOAF8AagAzADUAIAAqACAATQBQAFcAXwBtAGEAbgB1AHIAZQBfAGoAMwA1ACAAKgAgAEQAUABXAF8AagAzADUAKQApACAAKgAgADEAMAAgAF4AIAAtADMAXABuACAAIAApADsAXABuAFwAbgBcAG4AVgBFAEUAUgBHAF8ANABfADMAXwAxAF8AMQBfAF8AMQBfAFQAbwB0AGEAbABBAG4AbgB1AGEAbABNAGUAdABoAGEAbgBlAEYAcgBvAG0ATQBhAG4AdQByAGUATQBhAG4AYQBnAGUAbQBlAG4AdABfAFQAaQB0AGwAZQBcAG4AIAAgAD0ATABBAE0AQgBEAEEAKABcACIAVABvAHQAYQBsACAAYQBuAG4AdQBhAGwAIABtAGUAdABoAGEAbgBlACAAcAByAG8AZAB1AGMAdABpAG8AbgAgAGYAcgBvAG0AIABtAGEAbgB1AHIAZQAgAG0AYQBuAGEAZwBlAG0AZQBuAHQAXAAiACkAOwBcAG4AXABuAFYARQBFAFIARwBfADQAXwAzAF8AMQBfADEAXwBfADEAXwBUAG8AdABhAGwAQQBuAG4AdQBhAGwATQBlAHQAaABhAG4AZQBGAHIAbwBtAE0AYQBuAHUAcgBlAE0AYQBuAGEAZwBlAG0AZQBuAHQAXwBWAGEAcgBpAGEAYgBsAGUAXABuACAAIAA9AEwAQQBNAEIARABBACgAXAAiAEUAXwBDAEgANABcACIAKQA7AFwAbgBcAG4AVgBFAEUAUgBHAF8ANABfADMAXwAxAF8AMQBfAF8AMQBfAFQAbwB0AGEAbABBAG4AbgB1AGEAbABNAGUAdABoAGEAbgBlAEYAcgBvAG0ATQBhAG4AdQByAGUATQBhAG4AYQBnAGUAbQBlAG4AdABfAFUAbgBpAHQAXABuACAAIAA9AEwAQQBNAEIARABBACgAXAAiAHQAIABDAEgANABcACIAKQA7AFwAbgBcAG4AVgBFAEUAUgBHAF8ANABfADMAXwAxAF8AMQBfAF8AMQBfAFQAbwB0AGEAbABBAG4AbgB1AGEAbABNAGUAdABoAGEAbgBlAEYAcgBvAG0ATQBhAG4AdQByAGUATQBhAG4AYQBnAGUAbQBlAG4AdABfAFMAbwB1AHIAYwBlAFwAbgAgACAAPQBMAEEATQBCAEQAQQAoAFwAIgBWAEUARQBSAEcAIAAyADAAMgA2ADoAIAA0AC4AMwAuADEALgAxACwAIABFAHEAdQBhAHQAaQBvAG4AIAAoADEAKQBcACIAKQA7AFwAbgBcAG4AVgBFAEUAUgBHAF8ANABfADMAXwAxAF8AMQBfAF8AMQBfAFQAbwB0AGEAbABBAG4AbgB1AGEAbABNAGUAdABoAGEAbgBlAEYAcgBvAG0ATQBhAG4AdQByAGUATQBhAG4AYQBnAGUAbQBlAG4AdABfAE4ASQBSAFIAZQBmAGUAcgBlAG4AYwBlAFwAbgAgACAAPQBMAEEATQBCAEQAQQAoAFwAIgBcACIAKQA7AFwAbgBcAG4AVgBFAEUAUgBHAF8ANABfADMAXwAxAF8AMQBfAF8AMQBfAFQAbwB0AGEAbABBAG4AbgB1AGEAbABNAGUAdABoAGEAbgBlAEYAcgBvAG0ATQBhAG4AdQByAGUATQBhAG4AYQBnAGUAbQBlAG4AdABfAEwAYQB0AGUAeABFAHEAdQBhAHQAaQBvAG4AXABuACAAIAA9AEwAQQBNAEIARABBACgAXAAiAEUAXwB7AEMASAA0AH0APQBcAFwAcwB1AG0AXABcAG4AbwBsAGkAbQBpAHQAcwBfAHsAagB9AFwAXABzAHUAbQBcAFwAbgBvAGwAaQBtAGkAdABzAF8AewBtAH0AKAAoAE4AXwB7AGoAPQAxACwAMgAsADQAfQBcAFwAdABpAG0AZQBzACAATQBfAHsAagA9ADEALAAyACwANAAsAG0AfQBcAFwAdABpAG0AZQBzACAARABfAHsAagA9ADEALAAyACwANAB9ACkAKwAoAE4AXwB7AGoAPQAzACwANQB9AFwAXAB0AGkAbQBlAHMAIABNAF8AewBqAD0AMwAsADUALABtAH0AXABcAHQAaQBtAGUAcwAgAEQAXwB7AGoAPQAzACwANQB9ACkAKwAoAE4AXwB7AGoAPQAzACwANQB9AFwAXAB0AGkAbQBlAHMAIABNAFAAVwBfAHsAbQBhAG4AdQByAGUALABqAD0AMwAsADUAfQBcAFwAdABpAG0AZQBzACAARABfAHsAagA9ADMALAA1AH0AKQApAFwAXAB0AGkAbQBlAHMAIAAxADAAXgB7AC0AMwB9AFwAIgApADsAXABuAFwAbgBWAEUARQBSAEcAXwA0AF8AMwBfADEAXwAxAF8AXwAxAF8AVABvAHQAYQBsAEEAbgBuAHUAYQBsAE0AZQB0AGgAYQBuAGUARgByAG8AbQBNAGEAbgB1AHIAZQBNAGEAbgBhAGcAZQBtAGUAbgB0AF8ATABhAHQAZQB4AEUAcQB1AGEAdABpAG8AbgBWAGEAcgBpAGEAdABpAG8AbgBcAG4AIAAgAD0ATABBAE0AQgBEAEEAKABcACIARQBfAHsAQwBIADQAfQA9AFwAXABzAHUAbQBcAFwAbgBvAGwAaQBtAGkAdABzAF8AewBqAH0AXABcAHMAdQBtAFwAXABuAG8AbABpAG0AaQB0AHMAXwB7AG0Af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AAVwBfAHsAagA9ADMALAA1AH0AKQApAFwAXAB0AGkAbQBlAHMAIAAxADAAXgB7AC0AMwB9AFwAIgApADsAXABuAFwAbgBWAEUARQBSAEcAXwA0AF8AMwBfADEAXwAxAF8AXwAxAF8AVABvAHQAYQBsAEEAbgBuAHUAYQBsAE0AZQB0AGgAYQBuAGUARgByAG8AbQBNAGEAbgB1AHIAZQBNAGEAbgBhAGcAZQBtAGUAbgB0AF8AQQByAGcAdQBtAGUAbgB0AHMAXABuACAAIAA9AEwAQQBNAEIARABBACgAXABuACAAIAAgACAATQBBAEsARQBBAFIAUgBBAFkAKAA4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QBfAGoAMQAyADQAbQBcACIALAAgAFwAIgBtAGUAdABoAGEAbgBlACAAcAByAG8AZAB1AGMAdABpAG8AbgAgAGYAcgBvAG0AIABtAGEAbgB1AHIAZQAgAG8AZgAgAHcAZQBhAG4AZQBkACAAZABhAGkAcgB5ACAAYwBhAHQAdABsAGUAIABpAG4AIABjAGwAYQBzAHMAZQBzACAAagA9ADEALAAyACwANAAgAGkAbgAgAE0ATQBTACAAbQBcACIALAAgAFwAIgBrAGcAIABDAEgANAAvAGgAZQBhAGQALwBkAGEAeQBcACIALAAgAFwAIgBDAGEAbABjAHUAbABhAHQAZQBkACAAZgByAG8AbQAgADQALgAzAC4AMQAuADEAIAAoADIAKQBcACIAOwBcAG4AIAAgACAAIAAgACAAIAAgACAAIABcACIARABfAGoAMQAyADQAXAAiACwAIABcACIAZAB1AHIAYQB0AGkAbwBuACAAbwBmACAAcwB0AGEAeQAgAG8AbgAgAGYAYQByAG0AIABmAG8AcgAgAGMAbABhAHMAcwBlAHMAIABqAD0AMQAsADIALAA0AFwAIgAsACAAXAAiAGQAYQB5AHMAXAAiACwAIABcACIASQBuAHAAdQB0AFwAIgA7AFwAbgAgACAAIAAgACAAIAAgACAAIAAgAFwAIgBOAF8AagAzADUAXAAiACwAIABcACIAbgB1AG0AYgBlAHIAIABvAGYAIABkAGEAaQByAHkAIABjAGEAdAB0AGwAZQAgAGkAbgAgAGMAbABhAHMAcwBlAHMAIABqAD0AMwAsADUAXAAiACwAIABcACIAaABlAGEAZABcACIALAAgAFwAIgBJAG4AcAB1AHQAXAAiADsAXABuACAAIAAgACAAIAAgACAAIAAgACAAXAAiAE0AXwBqADMANQBtAFwAIgAsACAAXAAiAG0AZQB0AGgAYQBuAGUAIABwAHIAbwBkAHUAYwB0AGkAbwBuACAAZgByAG8AbQAgAG0AYQBuAHUAcgBlACAAbwBmACAAdwBlAGEAbgBlAGQAIABkAGEAaQByAHkAIABjAGEAdAB0AGwAZQAgAGkAbgAgAGMAbABhAHMAcwBlAHMAIABqAD0AMwAsADUAIABpAG4AIABNAE0AUwAgAG0AXAAiACwAIABcACIAawBnACAAQwBIADQALwBoAGUAYQBkAC8AZABhAHkAXAAiACwAIABcACIAQwBhAGwAYwB1AGwAYQB0AGUAZAAgAGYAcgBvAG0AIAA0AC4AMwAuADEALgAxACAAKAAyACkAXAAiADsAXABuACAAIAAgACAAIAAgACAAIAAgACAAXAAiAEQAXwBqADMANQBcACIALAAgAFwAIgBkAHUAcgBhAHQAaQBvAG4AIABvAGYAIABzAHQAYQB5ACAAbwBuACAAZgBhAHIAbQAgAGYAbwByACAAYwBsAGEAcwBzAGUAcwAgAGoAPQAzACwANQBcACIALAAgAFwAIgBkAGEAeQBzAFwAIgAsACAAXAAiAEkAbgBwAHUAdABcACIAOwBcAG4AIAAgACAAIAAgACAAIAAgACAAIABcACIATQBQAFcAXwBtAGEAbgB1AHIAZQBfAGoAMwA1AFwAIgAsACAAXAAiAG0AZQB0AGgAYQBuAGUAIABwAHIAbwBkAHUAYwB0AGkAbwBuACAAZgByAG8AbQAgAG0AYQBuAHUAcgBlACAAbwBmACAAcAByAGUALQB3AGUAYQBuAGUAZAAgAGgAZQBpAGYAZQByACAAYQBuAGQAIABiAHUAbABsACAAYwBhAGwAdgBlAHMAXAAiACwAIABcACIAawBnACAAQwBIADQALwBoAGUAYQBkAC8AZABhAHkAXAAiACwAIABcACIAQwBvAG4AcwB0AGEAbgB0AFwAIgA7AFwAbgAgACAAIAAgACAAIAAgACAAIAAgAFwAIgBEAFAAVwBfAGoAMwA1AFwAIgAsACAAXAAiAGQAdQByAGEAdABpAG8AbgAgAG8AZgAgAHMAdABhAHkAIABvAG4AIABmAGEAcgBtACAAZgBvAHIAIABwAHIAZQAtAHcAZQBhAG4AZQBkACAAaABlAGkAZgBlAHIAIABhAG4AZAAgAGIAdQBsAGwAIABjAGEAbAB2AGUAcwBcACIALAAgAFwAIgBkAGEAeQBzAFwAIgAsACAAXAAiAEkAbgBwAHUAdABcACIAXABuACAAIAAgACAAIAAgACAAIAB9ACwAIAByACwAIABjACkAXABuACAAIAAgACAAIAAgACkAXABuACAAIAAgACAAKQBcAG4AIAAgACkAOwBcAG4AXABuAFYARQBFAFIARwBfADQAXwAzAF8AMQBfADEAXwBfADEAXwBUAG8AdABhAGwAQQBuAG4AdQBhAGwATQBlAHQAaABhAG4AZQBGAHIAbwBtAE0AYQBuAHUAcgBlAE0AYQBuAGEAZwBlAG0AZQBuAHQAXwBWAGEAcgBpAGEAdABpAG8AbgBcAG4AIAAgAD0ATABBAE0AQgBEAEEAKABcACIAVgBBAFIASQBBAFQASQBPAE4AOgAgAFUAcwBlAGQAIABzAGUAcABhAHIAYQB0AGUAIAB2AGEAcgBpAGEAYgBsAGUAIABmAG8AcgAgAGQAdQByAGEAdABpAG8AbgAgAG8AZgAgAHMAdABhAHkAIABvAG4AIABmAGEAcgBtACAAZgBvAHIAIABwAHIAZQAtAHcAZQBhAG4AZQBkACAAaABlAGkAZgBlAHIAIABhAG4AZAAgAGIAdQBsAGwAIABjAGEAbAB2AGUAcwAuAFwAIgApADsAXABuAFwAbgAvACoAXABuAC0ALQAtAC0ALQAtAC0ALQAtAC0ALQAtAC0ALQAtAC0ALQAtAC0ALQAtAC0ALQAtAC0ALQAtAC0ALQAtAC0ALQAtAC0ALQAtAC0ALQBcAG4AVgBFAEUAUgBHAF8ANABfADMAXwAxAF8AMQBfAF8AMgBfAE0AZQB0AGgAYQBuAGUARgByAG8AbQBNAGEAbgB1AHIAZQBQAHIAbwBkAHUAYwB0AGkAbwBuAFwAbgBNAGUAdABoAGEAbgBlACAAZgByAG8AbQAgAG0AYQBuAHUAcgBlACAAcAByAG8AZAB1AGMAdABpAG8AbgAgAGYAcgBvAG0AIAB3AGUAYQBuAGUAZAAgAGQAYQBpAHIAeQAgAGMAYQB0AHQAbABlAFwAbgBNAF8AagBtAFwAbgBrAGcAIABDAEgANAAvAGgAZQBhAGQALwBkAGEAeQBcAG4ATQBfAHsAagBtAH0APQBWAFMAXwBqAFwAXAB0AGkAbQBlAHMAIABGAFYAUwBfAHsAagBtACwAVAA9ADEAfQBcAFwAdABpAG0AZQBzACAATQBDAEYAXwB7AGkAbQB9AFwAXAB0AGkAbQBlAHMAIABCAF8AbwBcAFwAdABpAG0AZQBzACAAXABcAHIAaABvAFwAbgBWAFMAXwBqACAAPQAgAGQAYQBpAGwAeQAgAHYAbwBsAGEAdABpAGwAZQAgAHMAbwBsAGkAZABzACAAcAByAG8AZAB1AGMAdABpAG8AbgAgAHAAZQByACAAaABlAGEAZAAgAGYAbwByACAAZABhAGkAcgB5ACAAYwBhAHQAdABsAGUAIAAoAGsAZwAvAGgAZQBhAGQALwBkAGEAeQApAFwAbgBGAFYAUwBfAGoAbQBUADEAIAA9ACAAZgByAGEAYwB0AGkAbwBuACAAbwBmACAAdwBhAHMAdABlACAAZgByAG8AbQAgAGUAYQBjAGgAIABjAGwAYQBzAHMAIABpAG4AIABlAGEAYwBoACAAbQBhAG4AYQBnAGUAbQBlAG4AdAAgAHMAeQBzAHQAZQBtAFwAbgBNAEMARgBfAGkAbQAgAD0AIABtAGUAdABoAGEAbgBlACAAYwBvAG4AdgBlAHIAcwBpAG8AbgAgAGYAYQBjAHQAbwByACAAZgBvAHIAIAB0AGUAbQBwAGUAcgBhAHQAdQByAGUAIAB6AG8AbgBlACAAYQBuAGQAIABNAE0AUwBcAG4AQgBfAG8AIAA9ACAAZQBtAGkAcwBzAGkAbwBuAHMAIABwAG8AdABlAG4AdABpAGEAbAAgACgAbQAzACAAQwBIADQALwBrAGcAVgBTACkAXABuAHIAaABvACAAPQAgAGQAZQBuAHMAaQB0AHkAIABvAGYAIABtAGUAdABoAGEAbgBlACAAKABrAGcALwBtADMAKQBcAG4ALQAtAC0ALQAtAC0ALQAtAC0ALQAtAC0ALQAtAC0ALQAtAC0ALQAtAC0ALQAtAC0ALQAtAC0ALQAtAC0ALQAtAC0ALQAtAC0ALQAtAFwAbgAqAC8AXABuAFwAbgBWAEUARQBSAEcAXwA0AF8AMwBfADEAXwAxAF8AXwAyAF8ATQBlAHQAaABhAG4AZQBGAHIAbwBtAE0AYQBuAHUAcgBlAFAAcgBvAGQAdQBjAHQAaQBvAG4AXABuACAAIAA9AEwAQQBNAEIARABBACgAXABuACAAIAAgACAAVgBTAF8AagAsACAARgBWAFMAXwBqAG0AVAAxACwAIABNAEMARgBfAGkAbQAsACAAQgBfAG8ALAAgAHIAaABvACwAXABuACAAIAAgACAAVgBTAF8AagAgACoAIABGAFYAUwBfAGoAbQBUADEAIAAqACAATQBDAEYAXwBpAG0AIAAqACAAQgBfAG8AIAAqACAAcgBoAG8AXABuACAAIAApADsAXABuAFwAbgBWAEUARQBSAEcAXwA0AF8AMwBfADEAXwAxAF8AXwAyAF8ATQBlAHQAaABhAG4AZQBGAHIAbwBtAE0AYQBuAHUAcgBlAFAAcgBvAGQAdQBjAHQAaQBvAG4AXwBUAGkAdABsAGUAXABuACAAIAA9AEwAQQBNAEIARABBACgAXAAiAE0AZQB0AGgAYQBuAGUAIABmAHIAbwBtACAAbQBhAG4AdQByAGUAIABwAHIAbwBkAHUAYwB0AGkAbwBuACAAZgByAG8AbQAgAHcAZQBhAG4AZQBkACAAZABhAGkAcgB5ACAAYwBhAHQAdABsAGUAXAAiACkAOwBcAG4AXABuAFYARQBFAFIARwBfADQAXwAzAF8AMQBfADEAXwBfADIAXwBNAGUAdABoAGEAbgBlAEYAcgBvAG0ATQBhAG4AdQByAGUAUAByAG8AZAB1AGMAdABpAG8AbgBfAFYAYQByAGkAYQBiAGwAZQBcAG4AIAAgAD0ATABBAE0AQgBEAEEAKABcACIATQBfAGoAbQBcACIAKQA7AFwAbgBcAG4AVgBFAEUAUgBHAF8ANABfADMAXwAxAF8AMQBfAF8AMgBfAE0AZQB0AGgAYQBuAGUARgByAG8AbQBNAGEAbgB1AHIAZQBQAHIAbwBkAHUAYwB0AGkAbwBuAF8AVQBuAGkAdABcAG4AIAAgAD0ATABBAE0AQgBEAEEAKABcACIAawBnACAAQwBIADQALwBoAGUAYQBkAC8AZABhAHkAXAAiACkAOwBcAG4AXABuAFYARQBFAFIARwBfADQAXwAzAF8AMQBfADEAXwBfADIAXwBNAGUAdABoAGEAbgBlAEYAcgBvAG0ATQBhAG4AdQByAGUAUAByAG8AZAB1AGMAdABpAG8AbgBfAFMAbwB1AHIAYwBlAFwAbgAgACAAPQBMAEEATQBCAEQAQQAoAFwAIgBWAEUARQBSAEcAIAAyADAAMgA2ADoAIAA0AC4AMwAuADEALgAxACwAIABFAHEAdQBhAHQAaQBvAG4AIAAoADIAKQBcACIAKQA7AFwAbgBcAG4AVgBFAEUAUgBHAF8ANABfADMAXwAxAF8AMQBfAF8AMgBfAE0AZQB0AGgAYQBuAGUARgByAG8AbQBNAGEAbgB1AHIAZQBQAHIAbwBkAHUAYwB0AGkAbwBuAF8ATgBJAFIAUgBlAGYAZQByAGUAbgBjAGUAXABuACAAIAA9AEwAQQBNAEIARABBACgAXAAiAFwAIgApADsAXABuAFwAbgBWAEUARQBSAEcAXwA0AF8AMwBfADEAXwAxAF8AXwAyAF8ATQBlAHQAaABhAG4AZQBGAHIAbwBtAE0AYQBuAHUAcgBlAFAAcgBvAGQAdQBjAHQAaQBvAG4AXwBMAGEAdABlAHgARQBxAHUAYQB0AGkAbwBuAFwAbgAgACAAPQBMAEEATQBCAEQAQQAoAFwAIgBNAF8AewBqAG0AfQA9AFYAUwBfAGoAXABcAHQAaQBtAGUAcwAgAEYAVgBTAF8AewBqAG0ALABUAD0AMQB9AFwAXAB0AGkAbQBlAHMAIABNAEMARgBfAHsAaQBtAH0AXABcAHQAaQBtAGUAcwAgAEIAXwBvAFwAXAB0AGkAbQBlAHMAIABcAFwAcgBoAG8AXAAiACkAOwBcAG4AXABuAFYARQBFAFIARwBfADQAXwAzAF8AMQBfADEAXwBfADIAXwBNAGUAdABoAGEAbgBlAEYAcgBvAG0ATQBhAG4AdQByAGUAUAByAG8AZAB1AGMAdABpAG8AbgBfAEEAcgBnAHUAbQBlAG4AdABzAFwAbgAgACAAPQBMAEEATQBCAEQAQQAoAFwAbgAgACAAIAAgAE0AQQBLAEUAQQBSAFIAQQBZACgANgAsACAANAAsAFwAbgAgACAAIAAgACAAIABMAEEATQBCAEQAQQAoAHIALABjACwAXABuACAAIAAgACAAIAAgACAAIABJAE4ARABFAFgAKAB7AFwAbgAgACAAIAAgACAAIAAgACAAIAAgAFwAIgBWAFMAXwBqAFwAIgAsACAAXAAiAGQAYQBpAGwAeQAgAHYAbwBsAGEAdABpAGwAZQAgAHMAbwBsAGkAZABzACAAcAByAG8AZAB1AGMAdABpAG8AbgAgAHAAZQByACAAaABlAGEAZAAgAGYAbwByACAAZABhAGkAcgB5ACAAYwBhAHQAdABsAGUAIAAoAGsAZwAvAGgAZQBhAGQALwBkAGEAeQApAFwAIgAsACAAXAAiAGsAZwAvAGgAZQBhAGQALwBkAGEAeQBcACIALAAgAFwAIgBDAGEAbABjAHUAbABhAHQAZQBkACAAZgByAG8AbQAgADQALgAzAC4AMQAuADEAIAAoADMAKQBcACIAOwBcAG4AIAAgACAAIAAgACAAIAAgACAAIABcACIARgBWAFMAXwBqAG0AVAAxAFwAIgAsACAAXAAiAGYAcgBhAGMAdABpAG8AbgAgAG8AZgAgAHcAYQBzAHQAZQAgAGYAcgBvAG0AIABlAGEAYwBoACAAYwBsAGEAcwBzACAAaQBuACAAZQBhAGMAaAAgAG0AYQBuAGEAZwBlAG0AZQBuAHQAIABzAHkAcwB0AGUAbQBcACIALAAgAFwAIgBmAHIAYQBjAHQAaQBvAG4AXAAiACwAIABcACIAQwBhAGwAYwB1AGwAYQB0AGUAZAAgAGYAcgBvAG0AIAA0AC4AMwAuADEALgAxACAAKAA0ACkAKAA1ACk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EIAXwBvAFwAIgAsACAAXAAiAGUAbQBpAHMAcwBpAG8AbgBzACAAcABvAHQAZQBuAHQAaQBhAGwAIAAoAG0AMwAgAEMASAA0AC8AawBnAFYAUwApAFwAIgAsACAAXAAiAG0AMwAgAEMASAA0AC8AawBnAFYAUwBcACIALAAgAFwAIgBDAG8AbgBzAHQAYQBuAHQAXAAiADsAXABuACAAIAAgACAAIAAgACAAIAAgACAAXAAiAHIAaABvAFwAIgAsACAAXAAiAGQAZQBuAHMAaQB0AHkAIABvAGYAIABtAGUAdABoAGEAbgBlACAAKABrAGcALwBtADMAKQBcACIALAAgAFwAIgBrAGcALwBtADMAXAAiACwAIABcACIAQwBvAG4AcwB0AGEAbgB0AFwAIgA7AFwAbgAgACAAIAAgACAAIAAgACAAIAAgAFwAIgBpAFwAIgAsACAAXAAiAHMAdABhAHQAZQBcACIALAAgAFwAIgBzAHQAYQB0AGUAXAAiACwAIABcACIASQBuAHAAdQB0AFwAIgBcAG4AIAAgACAAIAAgACAAIAAgAH0ALAAgAHIALAAgAGMAKQBcAG4AIAAgACAAIAAgACAAKQBcAG4AIAAgACAAIAApAFwAbgAgACAAKQA7AFwAbgBcAG4AVgBFAEUAUgBHAF8ANABfADMAXwAxAF8AMQBfAF8AMgBfAE0AZQB0AGgAYQBuAGUARgByAG8AbQBNAGEAbgB1AHIAZQBQAHIAbwBkAHUAYwB0AGk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FwAIgAsACAAXAAiAGQAYQBpAGwAeQAgAHYAbwBsAGEAdABpAGwAZQAgAHMAbwBsAGkAZABzACAAcAByAG8AZAB1AGMAdABpAG8AbgAgAHAAZQByACAAaABlAGEAZAAgAGYAbwByACAAZABhAGkAcgB5ACAAYwBhAHQAdABsAGUAIAAoAGsAZwAvAGgAZQBhAGQALwBkAGEAeQApAFwAIgAsACAAXAAiAGsAZwAvAGgAZQBhAGQALwBkAGEAeQBcACIALAAgAFwAIgBDAGEAbABjAHUAbABhAHQAZQBkACAAZgByAG8AbQAgADQALgAzAC4AMQAuADEAIAAoADMAKQBcACIAOwBcAG4AIAAgACAAIAAgACAAIAAgACAAIABcACIARgBWAFMAXwBqAG0AVAAxAFwAIgAsACAAXAAiAGYAcgBhAGMAdABpAG8AbgAgAG8AZgAgAHcAYQBzAHQAZQAgAGYAcgBvAG0AIABlAGEAYwBoACAAYwBsAGEAcwBzACAAaQBuACAAZQBhAGMAaAAgAG0AYQBuAGEAZwBlAG0AZQBuAHQAIABzAHkAcwB0AGUAbQBcACIALAAgAFwAIgBmAHIAYQBjAHQAaQBvAG4AXAAiACwAIABcACIAQwBhAGwAYwB1AGwAYQB0AGUAZAAgAGYAcgBvAG0AIAA0AC4AMwAuADEALgAxACAAKAA0ACkAKAA1ACk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EIAXwBvAFwAIgAsACAAXAAiAGUAbQBpAHMAcwBpAG8AbgBzACAAcABvAHQAZQBuAHQAaQBhAGwAIAAoAG0AMwAgAEMASAA0AC8AawBnAFYAUwApAFwAIgAsACAAXAAiAG0AMwAgAEMASAA0AC8AawBnAFYAUwBcACIALAAgAFwAIgBDAG8AbgBzAHQAYQBuAHQAXAAiADsAXABuACAAIAAgACAAIAAgACAAIAAgACAAXAAiAHIAaABvAFwAIgAsACAAXAAiAGQAZQBuAHMAaQB0AHkAIABvAGYAIABtAGUAdABoAGEAbgBlACAAKABrAGcALwBtADMAKQBcACIALAAgAFwAIgBrAGcALwBtADMAXAAiACwAIABcACIAQwBvAG4AcwB0AGEAbgB0AFwAIgA7AFwAbgAgACAAIAAgACAAIAAgACAAIAAgAFwAIgBNAEEAVABcACIALAAgAFwAIgBNAGUAYQBuACAAYQBuAG4AdQBhAGwAIAB0AGUAbQBwAGUAcgBhAHQAdQByAGUAXAAiACwAIABcACIAsABD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xAF8AXwAzAF8AVgBvAGwAYQB0AGkAbABlAFMAbwBsAGkAZABzAEYAbwByAFcAZQBhAG4AZQBkAEQAYQBpAHIAeQBDAGEAdAB0AGwAZQBcAG4AVgBvAGwAYQB0AGkAbABlACAAcwBvAGwAaQBkAHMAIABmAG8AcgAgAHcAZQBhAG4AZQBkACAAZABhAGkAcgB5ACAAYwBhAHQAdABsAGUAXABuAFYAUwBfAGoAXABuAGsAZwAvAGgAZQBhAGQALwBkAGEAeQBcAG4AVgBTAF8AagA9ACgASQBfAGoAXABcAHQAaQBtAGUAcwAgACgAMQAtAEQATQBEAF8AagApACsAKAAwAC4AMAA0AFwAXAB0AGkAbQBlAHMAIABJAF8AagApACkAXABcAHQAaQBtAGUAcwAgACgAMQAtAEEAKQBcAG4ASQBfAGoAIAA9ACAAZAByAHkAIABtAGEAdAB0AGUAcgAgAGYAZQBlAGQAIABpAG4AdABhAGsAZQAgACgAawBnAEQATQAvAGgAZQBhAGQALwBkAGEAeQApAFwAbgBEAE0ARABfAGoAIAA9ACAAZAByAHkAIABtAGEAdAB0AGUAcgAgAGQAaQBnAGUAcwB0AGkAYgBpAGwAaQB0AHkAXABuAEEAIAA9ACAAYQBzAGgAIABjAG8AbgB0AGUAbgB0ACAAbwBmACAAZgBlAGUAZAAgAGkAbgB0AGEAawBlAFwAbgAtAC0ALQAtAC0ALQAtAC0ALQAtAC0ALQAtAC0ALQAtAC0ALQAtAC0ALQAtAC0ALQAtAC0ALQAtAC0ALQAtAC0ALQAtAC0ALQAtAC0AXABuACoALwBcAG4AXABuAFYARQBFAFIARwBfADQAXwAzAF8AMQBfADEAXwBfADMAXwBWAG8AbABhAHQAaQBsAGUAUwBvAGwAaQBkAHMARgBvAHIAVwBlAGEAbgBlAGQARABhAGkAcgB5AEMAYQB0AHQAbABlAFwAbgAgACAAPQBMAEEATQBCAEQAQQAoAFwAbgAgACAAIAAgAEkAXwBqACwAIABEAE0ARABfAGoALAAgAEEALABcAG4AIAAgACAAIAAoAEkAXwBqACAAKgAgACgAMQAgAC0AIABEAE0ARABfAGoAKQAgACsAIAAoADAALgAwADQAIAAqACAASQBfAGoAKQApACAAKgAgACgAMQAgAC0AIABBACkAXABuACAAIAApADsAXABuAFwAbgBWAEUARQBSAEcAXwA0AF8AMwBfADEAXwAxAF8AXwAzAF8AVgBvAGwAYQB0AGkAbABlAFMAbwBsAGkAZABzAEYAbwByAFcAZQBhAG4AZQBkAEQAYQBpAHIAeQBDAGEAdAB0AGwAZQBfAFQAaQB0AGwAZQBcAG4AIAAgAD0ATABBAE0AQgBEAEEAKABcACIAVgBvAGwAYQB0AGkAbABlACAAcwBvAGwAaQBkAHMAIABmAG8AcgAgAHcAZQBhAG4AZQBkACAAZABhAGkAcgB5ACAAYwBhAHQAdABsAGUAXAAiACkAOwBcAG4AXABuAFYARQBFAFIARwBfADQAXwAzAF8AMQBfADEAXwBfADMAXwBWAG8AbABhAHQAaQBsAGUAUwBvAGwAaQBkAHMARgBvAHIAVwBlAGEAbgBlAGQARABhAGkAcgB5AEMAYQB0AHQAbABlAF8AVgBhAHIAaQBhAGIAbABlAFwAbgAgACAAPQBMAEEATQBCAEQAQQAoAFwAIgBWAFMAXwBqAFwAIgApADsAXABuAFwAbgBWAEUARQBSAEcAXwA0AF8AMwBfADEAXwAxAF8AXwAzAF8AVgBvAGwAYQB0AGkAbABlAFMAbwBsAGkAZABzAEYAbwByAFcAZQBhAG4AZQBkAEQAYQBpAHIAeQBDAGEAdAB0AGwAZQBfAFUAbgBpAHQAXABuACAAIAA9AEwAQQBNAEIARABBACgAXAAiAGsAZwAvAGgAZQBhAGQALwBkAGEAeQBcACIAKQA7AFwAbgBcAG4AVgBFAEUAUgBHAF8ANABfADMAXwAxAF8AMQBfAF8AMwBfAFYAbwBsAGEAdABpAGwAZQBTAG8AbABpAGQAcwBGAG8AcgBXAGUAYQBuAGUAZABEAGEAaQByAHkAQwBhAHQAdABsAGUAXwBTAG8AdQByAGMAZQBcAG4AIAAgAD0ATABBAE0AQgBEAEEAKABcACIAVgBFAEUAUgBHACAAMgAwADIANgA6ACAANAAuADMALgAxAC4AMQAsACAARQBxAHUAYQB0AGkAbwBuACAAKAAzACkAXAAiACkAOwBcAG4AXABuAFYARQBFAFIARwBfADQAXwAzAF8AMQBfADEAXwBfADMAXwBWAG8AbABhAHQAaQBsAGUAUwBvAGwAaQBkAHMARgBvAHIAVwBlAGEAbgBlAGQARABhAGkAcgB5AEMAYQB0AHQAbABlAF8ATgBJAFIAUgBlAGYAZQByAGUAbgBjAGUAXABuACAAIAA9AEwAQQBNAEIARABBACgAXAAiAFwAIgApADsAXABuAFwAbgBWAEUARQBSAEcAXwA0AF8AMwBfADEAXwAxAF8AXwAzAF8AVgBvAGwAYQB0AGkAbABlAFMAbwBsAGkAZABzAEYAbwByAFcAZQBhAG4AZQBkAEQAYQBpAHIAeQBDAGEAdAB0AGwAZQBfAEwAYQB0AGUAeABFAHEAdQBhAHQAaQBvAG4AXABuACAAIAA9AEwAQQBNAEIARABBACgAXAAiAFYAUwBfAGoAPQAoAEkAXwBqAFwAXAB0AGkAbQBlAHMAIAAoADEALQBEAE0ARABfAGoAKQArACgAMAAuADAANABcAFwAdABpAG0AZQBzACAASQBfAGoAKQApAFwAXAB0AGkAbQBlAHMAIAAoADEALQBBACkAXAAiACkAOwBcAG4AXABuAFYARQBFAFIARwBfADQAXwAzAF8AMQBfADEAXwBfADMAXwBWAG8AbABhAHQAaQBsAGUAUwBvAGwAaQBkAHMARgBvAHIAVwBlAGEAbgBlAGQARABhAGkAcgB5AEMAYQB0AHQAbABlAF8AQQByAGcAdQBtAGUAbgB0AHMAXABuACAAIAA9AEwAQQBNAEIARABBACgAXABuACAAIAAgACAATQBBAEsARQBBAFIAUgBBAFkAKAAzACwAIAA0ACwAXABuACAAIAAgACAAIAAgAEwAQQBNAEIARABBACgAcgAsAGMALABcAG4AIAAgACAAIAAgACAAIAAgAEkATgBEAEUAWAAoAHsAXABuACAAIAAgACAAIAAgACAAIAAgACAAXAAiAEkAXwBqAFwAIgAsACAAXAAiAGQAcgB5ACAAbQBhAHQAdABlAHIAIABmAGUAZQBkACAAaQBuAHQAYQBrAGUAIAAoAGsAZwBEAE0ALwBoAGUAYQBkAC8AZABhAHkAKQBcACIALAAgAFwAIgBrAGcARABNAC8AaABlAGEAZAAvAGQAYQB5AFwAIgAsACAAXAAiAEMAYQBsAGMAdQBsAGEAdABlAGQAIABmAHIAbwBtACAAMwAuADMALgAxAC4AMQAgACgAMwApAFwAIgA7AFwAbgAgACAAIAAgACAAIAAgACAAIAAgAFwAIgBEAE0ARABfAGoAXAAiACwAIABcACIAZAByAHkAIABtAGEAdAB0AGUAcgAgAGQAaQBnAGUAcwB0AGkAYgBpAGwAaQB0AHkAXAAiACwAIABcACIAZgByAGEAYwB0AGkAbwBuAFwAIgAsACAAXAAiAEkAbgBwAHUAdABcACIAOwBcAG4AIAAgACAAIAAgACAAIAAgACAAIABcACIAQQBcACIALAAgAFwAIgBhAHMAaAAgAGMAbwBuAHQAZQBuAHQAIABvAGYAIABmAGUAZQBkACAAaQBuAHQAYQBrAGUAXAAiACwAIABcACIAZgByAGEAYwB0AGkAbwBu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wBfADEAXwAxAF8AXwA0AF8ARgByAGEAYwB0AGkAbwBuAFYAbwBsAGEAdABpAGwAZQBTAG8AbABpAGQAcwBOAG8AdABTAG8AbABpAGQAUwB0AG8AcgBhAGcAZQBcAG4ARgByAGEAYwB0AGkAbwBuACAAbwBmACAAdgBvAGwAYQB0AGkAbABlACAAcwBvAGwAaQBkAHMAIABpAG4AIABlAGEAYwBoACAAcwB5AHMAdABlAG0AIABvAHQAaABlAHIAIAB0AGgAYQBuACAAcwBvAGwAaQBkACAAcwB0AG8AcgBhAGcAZQBcAG4ARgBWAFMAXwBqAG0AXABuAGYAcgBhAGMAdABpAG8AbgBcAG4ARgBWAFMAXwB7AGoAbQB9AD0ATQBNAFMAXwB7AGoAbQB9AFwAXAB0AGkAbQBlAHMAIAAoADEALQBTAFMAXwBtACkAXABuAFMAUwBfAG0AIAA9ACAAZgByAGEAYwB0AGkAbwBuACAAbwBmACAAdgBvAGwAYQB0AGkAbABlACAAcwBvAGwAaQBkAHMAIABzAGUAcABhAHIAYQB0AGUAZAAgAHQAbwAgAHMAbwBsAGkAZAAgAHMAdABvAHIAYQBnAGUAIABmAG8AcgAgAGUAYQBjAGgAIABNAE0AUwBcAG4ATQBNAFMAXwBqAG0AIAA9ACAAZgByAGEAYwB0AGkAbwBuACAAbwBmACAAbQBhAG4AdQByAGUAIAB0AG8AIABlAGEAYwBoACAAcAByAGkAbQBhAHIAeQAgAE0ATQBTACAAZgBvAHIAIABlAGEAYwBoACAAYwBsAGEAcwBzACAAcAByAGkAbwByACAAdABvACAAcwBvAGwAaQBkACAAcwBlAHAAYQByAGEAdABpAG8AbgBcAG4ALQAtAC0ALQAtAC0ALQAtAC0ALQAtAC0ALQAtAC0ALQAtAC0ALQAtAC0ALQAtAC0ALQAtAC0ALQAtAC0ALQAtAC0ALQAtAC0ALQAtAFwAbgAqAC8AXABuAFwAbgBWAEUARQBSAEcAXwA0AF8AMwBfADEAXwAxAF8AXwA0AF8ARgByAGEAYwB0AGkAbwBuAFYAbwBsAGEAdABpAGwAZQBTAG8AbABpAGQAcwBOAG8AdABTAG8AbABpAGQAUwB0AG8AcgBhAGcAZQBcAG4AIAAgAD0ATABBAE0AQgBEAEEAKABcAG4AIAAgACAAIABNAE0AUwBfAGoAbQAsACAAUwBTAF8AbQAsAFwAbgAgACAAIAAgAE0ATQBTAF8AagBtACAAKgAgACgAMQAgAC0AIABTAFMAXwBtACkAXABuACAAIAApADsAXABuAFwAbgBWAEUARQBSAEcAXwA0AF8AMwBfADEAXwAxAF8AXwA0AF8ARgByAGEAYwB0AGkAbwBuAFYAbwBsAGEAdABpAGwAZQBTAG8AbABpAGQAcwBOAG8AdABTAG8AbABpAGQAUwB0AG8AcgBhAGcAZQBfAFQAaQB0AGwAZQBcAG4AIAAgAD0ATABBAE0AQgBEAEEAKABcACIARgByAGEAYwB0AGkAbwBuACAAbwBmACAAdgBvAGwAYQB0AGkAbABlACAAcwBvAGwAaQBkAHMAIABpAG4AIABlAGEAYwBoACAAcwB5AHMAdABlAG0AIABvAHQAaABlAHIAIAB0AGgAYQBuACAAcwBvAGwAaQBkACAAcwB0AG8AcgBhAGcAZQBcACIAKQA7AFwAbgBcAG4AVgBFAEUAUgBHAF8ANABfADMAXwAxAF8AMQBfAF8ANABfAEYAcgBhAGMAdABpAG8AbgBWAG8AbABhAHQAaQBsAGUAUwBvAGwAaQBkAHMATgBvAHQAUwBvAGwAaQBkAFMAdABvAHIAYQBnAGUAXwBWAGEAcgBpAGEAYgBsAGUAXABuACAAIAA9AEwAQQBNAEIARABBACgAXAAiAEYAVgBTAF8AagBtAFwAIgApADsAXABuAFwAbgBWAEUARQBSAEcAXwA0AF8AMwBfADEAXwAxAF8AXwA0AF8ARgByAGEAYwB0AGkAbwBuAFYAbwBsAGEAdABpAGwAZQBTAG8AbABpAGQAcwBOAG8AdABTAG8AbABpAGQAUwB0AG8AcgBhAGcAZQBfAFUAbgBpAHQAXABuACAAIAA9AEwAQQBNAEIARABBACgAXAAiAGYAcgBhAGMAdABpAG8AbgBcACIAKQA7AFwAbgBcAG4AVgBFAEUAUgBHAF8ANABfADMAXwAxAF8AMQBfAF8ANABfAEYAcgBhAGMAdABpAG8AbgBWAG8AbABhAHQAaQBsAGUAUwBvAGwAaQBkAHMATgBvAHQAUwBvAGwAaQBkAFMAdABvAHIAYQBnAGUAXwBTAG8AdQByAGMAZQBcAG4AIAAgAD0ATABBAE0AQgBEAEEAKABcACIAVgBFAEUAUgBHACAAMgAwADIANgA6ACAANAAuADMALgAxAC4AMQAsACAARQBxAHUAYQB0AGkAbwBuACAAKAA0ACkAXAAiACkAOwBcAG4AXABuAFYARQBFAFIARwBfADQAXwAzAF8AMQBfADEAXwBfADQAXwBGAHIAYQBjAHQAaQBvAG4AVgBvAGwAYQB0AGkAbABlAFMAbwBsAGkAZABzAE4AbwB0AFMAbwBsAGkAZABTAHQAbwByAGEAZwBlAF8ATgBJAFIAUgBlAGYAZQByAGUAbgBjAGUAXABuACAAIAA9AEwAQQBNAEIARABBACgAXAAiAFwAIgApADsAXABuAFwAbgBWAEUARQBSAEcAXwA0AF8AMwBfADEAXwAxAF8AXwA0AF8ARgByAGEAYwB0AGkAbwBuAFYAbwBsAGEAdABpAGwAZQBTAG8AbABpAGQAcwBOAG8AdABTAG8AbABpAGQAUwB0AG8AcgBhAGcAZQBfAEwAYQB0AGUAeABFAHEAdQBhAHQAaQBvAG4AXABuACAAIAA9AEwAQQBNAEIARABBACgAXAAiAEYAVgBTAF8AewBqAG0AfQA9AE0ATQBTAF8AewBqAG0AfQBcAFwAdABpAG0AZQBzACAAKAAxAC0AUwBTAF8AbQApAFwAIgApADsAXABuAFwAbgBWAEUARQBSAEcAXwA0AF8AMwBfADEAXwAxAF8AXwA0AF8ARgByAGEAYwB0AGkAbwBuAFYAbwBsAGEAdABpAGwAZQBTAG8AbABpAGQAcwBOAG8AdABTAG8AbABpAGQAUwB0AG8AcgBhAGcAZQBfAEEAcgBnAHUAbQBlAG4AdABzAFwAbgAgACAAPQBMAEEATQBCAEQAQQAoAFwAbgAgACAAIAAgAE0AQQBLAEUAQQBSAFIAQQBZACgAMgAsACAANAAsAFwAbgAgACAAIAAgACAAIABMAEEATQBCAEQAQQAoAHIALABjACwAXABuACAAIAAgACAAIAAgACAAIABJAE4ARABFAFgAKAB7AFwAbgAgACAAIAAgACAAIAAgACAAIAAgAFwAIgBNAE0AUwBfAGoAbQBcACIALAAgAFwAIgBmAHIAYQBjAHQAaQBvAG4AIABvAGYAIABtAGEAbgB1AHIAZQAgAHQAbwAgAGUAYQBjAGgAIABwAHIAaQBtAGEAcgB5ACAATQBNAFMAIABmAG8AcgAgAGUAYQBjAGgAIABjAGwAYQBzAHMAIABwAHIAaQBvAHIAIAB0AG8AIABzAG8AbABpAGQAIABzAGUAcABhAHIAYQB0AGkAbwBuAFwAIgAsACAAXAAiAGYAcgBhAGMAdABpAG8AbgBcACIALAAgAFwAIgBJAG4AcAB1AHQAXAAiADsAXABuACAAIAAgACAAIAAgACAAIAAgACAAXAAiAFMAUwBfAG0AXAAiACwAIABcACIAZgByAGEAYwB0AGkAbwBuACAAbwBmACAAdgBvAGwAYQB0AGkAbABlACAAcwBvAGwAaQBkAHMAIABzAGUAcABhAHIAYQB0AGUAZAAgAHQAbwAgAHMAbwBsAGkAZAAgAHMAdABvAHIAYQBnAGUAIABmAG8AcgAgAGUAYQBjAGgAIABNAE0AUw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UAXwBGAHIAYQBjAHQAaQBvAG4AVgBvAGwAYQB0AGkAbABlAFMAbwBsAGkAZABzAFMAbwBsAGkAZABTAHQAbwByAGEAZwBlAFwAbgBGAHIAYQBjAHQAaQBvAG4AIABvAGYAIAB2AG8AbABhAHQAaQBsAGUAIABzAG8AbABpAGQAcwAgAGkAbgAgAHMAbwBsAGkAZAAgAHMAdABvAHIAYQBnAGUAXABuAEYAVgBTAF8AagBtADQAXABuAGYAcgBhAGMAdABpAG8AbgBcAG4ARgBWAFMAXwB7AGoAbQA9ADQAfQA9AE0ATQBTAF8AewBqAG0APQA0AH0AKwAoAE0ATQBTAF8AewBqAG0APQAxACwANwAsADkAfQBcAFwAdABpAG0AZQBzACAAUwBTAF8AbQApAFwAbgBNAE0AUwBfAGoAbQA0ACAAPQAgAGYAcgBhAGMAdABpAG8AbgAgAG8AZgAgAHYAbwBsAGEAdABpAGwAZQAgAHMAbwBsAGkAZABzACAAaQBuACAAcwBvAGwAaQBkACAAcwB0AG8AcgBhAGcAZQAgAGIAZQBmAG8AcgBlACAAdAByAGEAbgBzAGYAZQByAFwAbgBNAE0AUwBfAGoAbQAxADcAOQAgAD0AIABmAHIAYQBjAHQAaQBvAG4AIABvAGYAIAB2AG8AbABhAHQAaQBsAGUAIABzAG8AbABpAGQAcwAgAGkAbgAgAE0ATQBTACAAbQA9ADEALAA3ACwAOQAgAGIAZQBmAG8AcgBlACAAdAByAGEAbgBzAGYAZQByAFwAbgBTAFMAXwBtACAAPQAgAGYAcgBhAGMAdABpAG8AbgAgAG8AZgAgAHYAbwBsAGEAdABpAGwAZQAgAHMAbwBsAGkAZABzACAAcwBlAHAAYQByAGEAdABlAGQAIAB0AG8AIABzAG8AbABpAGQAIABzAHQAbwByAGEAZwBlACAAZgBvAHIAIABlAGEAYwBoACAATQBNAFMAXABuAC0ALQAtAC0ALQAtAC0ALQAtAC0ALQAtAC0ALQAtAC0ALQAtAC0ALQAtAC0ALQAtAC0ALQAtAC0ALQAtAC0ALQAtAC0ALQAtAC0ALQBcAG4AKgAvAFwAbgBcAG4AVgBFAEUAUgBHAF8ANABfADMAXwAxAF8AMQBfAF8ANQBfAEYAcgBhAGMAdABpAG8AbgBWAG8AbABhAHQAaQBsAGUAUwBvAGwAaQBkAHMAUwBvAGwAaQBkAFMAdABvAHIAYQBnAGUAXABuACAAIAA9AEwAQQBNAEIARABBACgAXABuACAAIAAgACAATQBNAFMAXwBqAG0ANAAsACAATQBNAFMAXwBqAG0AMQA3ADkALAAgAFMAUwBfAG0ALABcAG4AIAAgACAAIABNAE0AUwBfAGoAbQA0ACAAKwAgACgATQBNAFMAXwBqAG0AMQA3ADkAIAAqACAAUwBTAF8AbQApAFwAbgAgACAAKQA7AFwAbgBcAG4AVgBFAEUAUgBHAF8ANABfADMAXwAxAF8AMQBfAF8ANQBfAEYAcgBhAGMAdABpAG8AbgBWAG8AbABhAHQAaQBsAGUAUwBvAGwAaQBkAHMAUwBvAGwAaQBkAFMAdABvAHIAYQBnAGUAVgBhAHIAaQBhAHQAaQBvAG4AXABuACAAIAA9AEwAQQBNAEIARABBACgAXABuACAAIAAgACAATQBNAFMAXwBqAG0ANAAsACAATQBNAFMAXwBqAG0AMQAsACAATQBNAFMAXwBqAG0ANwAsACAATQBNAFMAXwBqAG0AOQAsACAAUwBTAF8AbQAxACwAIABTAFMAXwBtADcALAAgAFMAUwBfAG0AOQAsAFwAbgAgACAAIAAgAE0ATQBTAF8AagBtADQAIAArACAAKABNAE0AUwBfAGoAbQAxACAAKgAgAFMAUwBfAG0AMQApACAAKwAgACgATQBNAFMAXwBqAG0ANwAgACoAIABTAFMAXwBtADcAKQAgACsAIAAoAE0ATQBTAF8AagBtADkAIAAqACAAUwBTAF8AbQA5ACkAXABuACAAIAApADsAXABuAFwAbgBcAG4AVgBFAEUAUgBHAF8ANABfADMAXwAxAF8AMQBfAF8ANQBfAEYAcgBhAGMAdABpAG8AbgBWAG8AbABhAHQAaQBsAGUAUwBvAGwAaQBkAHMAUwBvAGwAaQBkAFMAdABvAHIAYQBnAGUAXwBUAGkAdABsAGUAXABuACAAIAA9AEwAQQBNAEIARABBACgAXAAiAEYAcgBhAGMAdABpAG8AbgAgAG8AZgAgAHYAbwBsAGEAdABpAGwAZQAgAHMAbwBsAGkAZABzACAAaQBuACAAcwBvAGwAaQBkACAAcwB0AG8AcgBhAGcAZQBcACIAKQA7AFwAbgBcAG4AVgBFAEUAUgBHAF8ANABfADMAXwAxAF8AMQBfAF8ANQBfAEYAcgBhAGMAdABpAG8AbgBWAG8AbABhAHQAaQBsAGUAUwBvAGwAaQBkAHMAUwBvAGwAaQBkAFMAdABvAHIAYQBnAGUAXwBWAGEAcgBpAGEAYgBsAGUAXABuACAAIAA9AEwAQQBNAEIARABBACgAXAAiAEYAVgBTAF8AagBtADQAXAAiACkAOwBcAG4AXABuAFYARQBFAFIARwBfADQAXwAzAF8AMQBfADEAXwBfADUAXwBGAHIAYQBjAHQAaQBvAG4AVgBvAGwAYQB0AGkAbABlAFMAbwBsAGkAZABzAFMAbwBsAGkAZABTAHQAbwByAGEAZwBlAF8AVQBuAGkAdABcAG4AIAAgAD0ATABBAE0AQgBEAEEAKABcACIAZgByAGEAYwB0AGkAbwBuAFwAIgApADsAXABuAFwAbgBWAEUARQBSAEcAXwA0AF8AMwBfADEAXwAxAF8AXwA1AF8ARgByAGEAYwB0AGkAbwBuAFYAbwBsAGEAdABpAGwAZQBTAG8AbABpAGQAcwBTAG8AbABpAGQAUwB0AG8AcgBhAGcAZQBfAFMAbwB1AHIAYwBlAFwAbgAgACAAPQBMAEEATQBCAEQAQQAoAFwAIgBWAEUARQBSAEcAIAAyADAAMgA2ADoAIAA0AC4AMwAuADEALgAxACwAIABFAHEAdQBhAHQAaQBvAG4AIAAoADUAKQBcACIAKQA7AFwAbgBcAG4AVgBFAEUAUgBHAF8ANABfADMAXwAxAF8AMQBfAF8ANQBfAEYAcgBhAGMAdABpAG8AbgBWAG8AbABhAHQAaQBsAGUAUwBvAGwAaQBkAHMAUwBvAGwAaQBkAFMAdABvAHIAYQBnAGUAXwBOAEkAUgBSAGUAZgBlAHIAZQBuAGMAZQBcAG4AIAAgAD0ATABBAE0AQgBEAEEAKABcACIAXAAiACkAOwBcAG4AXABuAFYARQBFAFIARwBfADQAXwAzAF8AMQBfADEAXwBfADUAXwBGAHIAYQBjAHQAaQBvAG4AVgBvAGwAYQB0AGkAbABlAFMAbwBsAGkAZABzAFMAbwBsAGkAZABTAHQAbwByAGEAZwBlAF8ATABhAHQAZQB4AEUAcQB1AGEAdABpAG8AbgBcAG4AIAAgAD0ATABBAE0AQgBEAEEAKABcACIARgBWAFMAXwB7AGoAbQA9ADQAfQA9AE0ATQBTAF8AewBqAG0APQA0AH0AKwAoAE0ATQBTAF8AewBqAG0APQAxACwANwAsADkAfQBcAFwAdABpAG0AZQBzACAAUwBTAF8AbQApAFwAIgApADsAXABuAFwAbgBWAEUARQBSAEcAXwA0AF8AMwBfADEAXwAxAF8AXwA1AF8ARgByAGEAYwB0AGkAbwBuAFYAbwBsAGEAdABpAGwAZQBTAG8AbABpAGQAcwBTAG8AbABpAGQAUwB0AG8AcgBhAGcAZQBfAEwAYQB0AGUAeABFAHEAdQBhAHQAaQBvAG4AVgBhAHIAaQBhAHQAaQBvAG4AXABuACAAIAA9AEwAQQBNAEIARABBACgAXAAiAEYAVgBTAF8AewBqAG0APQA0AH0APQBNAE0AUwBfAHsAagBtAD0ANAB9ACsAKABNAE0AUwBfAHsAagBtAD0AMQB9AFwAXAB0AGkAbQBlAHMAIABTAFMAXwB7AG0APQAxAH0AKQArACgATQBNAFMAXwB7AGoAbQA9ADcAfQBcAFwAdABpAG0AZQBzACAAUwBTAF8AewBtAD0ANwB9ACkAKwAoAE0ATQBTAF8AewBqAG0APQA5AH0AXABcAHQAaQBtAGUAcwAgAFMAUwBfAHsAbQA9ADkAfQApAFwAIgApADsAXABuAFwAbgBWAEUARQBSAEcAXwA0AF8AMwBfADEAXwAxAF8AXwA1AF8ARgByAGEAYwB0AGkAbwBuAFYAbwBsAGEAdABpAGwAZQBTAG8AbABpAGQAcwBTAG8AbABpAGQAUwB0AG8AcgBhAGcAZQBfAEEAcgBnAHUAbQBlAG4AdABzAFwAbgAgACAAPQBMAEEATQBCAEQAQQAoAFwAbgAgACAAIAAgAE0AQQBLAEUAQQBSAFIAQQBZACgAMwAsACAANAAsAFwAbgAgACAAIAAgACAAIABMAEEATQBCAEQAQQAoAHIALABjACwAXABuACAAIAAgACAAIAAgACAAIABJAE4ARABFAFgAKAB7AFwAbgAgACAAIAAgACAAIAAgACAAIAAgAFwAIgBNAE0AUwBfAGoAbQA0AFwAIgAsACAAXAAiAGYAcgBhAGMAdABpAG8AbgAgAG8AZgAgAHYAbwBsAGEAdABpAGwAZQAgAHMAbwBsAGkAZABzACAAaQBuACAAcwBvAGwAaQBkACAAcwB0AG8AcgBhAGcAZQAgAGIAZQBmAG8AcgBlACAAdAByAGEAbgBzAGYAZQByAFwAIgAsACAAXAAiAGYAcgBhAGMAdABpAG8AbgBcACIALAAgAFwAIgBJAG4AcAB1AHQAXAAiADsAXABuACAAIAAgACAAIAAgACAAIAAgACAAXAAiAE0ATQBTAF8AagBtADEANwA5AFwAIgAsACAAXAAiAGYAcgBhAGMAdABpAG8AbgAgAG8AZgAgAHYAbwBsAGEAdABpAGwAZQAgAHMAbwBsAGkAZABzACAAaQBuACAATQBNAFMAIABtAD0AMQAsADcALAA5ACAAYgBlAGYAbwByAGUAIAB0AHIAYQBuAHMAZgBlAHIAXAAiACwAIABcACIAZgByAGEAYwB0AGkAbwBuAFwAIgAsACAAXAAiAEkAbgBwAHUAdABcACIAOwBcAG4AIAAgACAAIAAgACAAIAAgACAAIABcACIAUwBTAF8AbQBcACIALAAg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MwBfADEAXwAxAF8AXwA1AF8ARgByAGEAYwB0AGkAbwBuAFYAbwBsAGEAdABpAGwAZQBTAG8AbABpAGQAcwBTAG8AbABpAGQAUwB0AG8AcgBhAGcAZQBfAFYAYQByAGkAYQB0AGkAbwBuAFwAbgAgACAAPQBMAEEATQBCAEQAQQAoAFwAIgBVAHMAZQBkACAAcwBlAHAAYQByAGEAdABlACAAdgBhAHIAaQBhAGIAbABlAHMAIABmAG8AcgAgAE0ATQBTACAAYQBuAGQAIABTAFMAIABtACAAMQAsACAANwAgAGEAbgBkACAAOQAuAFwAIgApADsAXABuAFwAbgAiAH0ALAB7ACIAcABhAHQAaAAiADoAIgAvAHAAcgBvAGoAZQBjAHQAcwAvAE0ATQBTAF8ARABhAGkAcgB5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wAgAE0AZQB0AGgAbwBkACAAMQAgAC0AIABNAGEAbgB1AHIAZQAgAEQAaQByAGUAYwB0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zAF8AXwAxAF8AVABvAHQAYQBsAEEAbgBuAHUAYQBsAEQAaQByAGUAYwB0AE4AaQB0AHIAbwB1AHMATwB4AGkAZABlAEUAbQBpAHMAcwBpAG8AbgBzAEYAcgBvAG0ATQBNAFMAXABuAFQAbwB0AGEAbAAgAGEAbgBuAHUAYQBsACAAZABpAHIAZQBjAHQAIABuAGkAdAByAG8AdQBzACAAbwB4AGkAZABlACAAZQBtAGkAcwBzAGkAbwBuAHMAIABmAHIAbwBtACAAbQBhAG4AdQByAGUAIABtAGEAbgBhAGcAZQBtAGUAbgB0ACAAcwB5AHMAdABlAG0AcwBcAG4ARQBfAE4AMgBPAGQAaQByAFwAbgB0ACAATgAyAE8AXABuAEUAXwB7AE4AMgBPACwAZABpAHIAfQA9AE0ATgBfAHsAagBtAH0AXABcAHQAaQBtAGUAcwAgAEUARgBfAG0AXABcAHQAaQBtAGUAcwAgAEMAXwB7AE4AMgBPAH0AXABcAHQAaQBtAGUAcwAgADEAMABeAHsALQAzAH0AXABuAE0ATgBfAGoAbQAgAD0AIAB0AG8AdABhAGwAIABuAGkAdAByAG8AZwBlAG4AIABpAG4AIABlAGEAYwBoACAATQBNAFMAIABmAG8AcgAgAGQAYQBpAHIAeQAgAGMAYQB0AHQAbABlACAAYwBsAGEAcwBzAGUAcwAgACgAawBnACAATgApAFwAbgBFAEYAXwBtACAAPQAgAG4AaQB0AHIAbwB1AHMAIABvAHgAaQBkAGUAIABlAG0AaQBzAHMAaQBvAG4AIABmAGEAYwB0AG8AcgAgAGYAbwByACAAZQBhAGMAaAAgAE0ATQBTACAAKABrAGcAIABOADIATwAtAE4ALwBrAGcAIABOACAAZABlAHAAbwBzAGkAdABlAGQ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MAXwBfADEAXwBUAG8AdABhAGwAQQBuAG4AdQBhAGwARABpAHIAZQBjAHQATgBpAHQAcgBvAHUAcwBPAHgAaQBkAGUARQBtAGkAcwBzAGkAbwBuAHMARgByAG8AbQBNAE0AUwBcAG4AIAAgAD0ATABBAE0AQgBEAEEAKABcAG4AIAAgACAAIABNAE4AXwBqAG0ALAAgAEUARgBfAG0ALAAgAEMAXwBOADIATwAsAFwAbgAgACAAIAAgAE0ATgBfAGoAbQAgACoAIABFAEYAXwBtACAAKgAgAEMAXwBOADIATwAgACoAIAAxADAAIABeACAALQAzAFwAbgAgACAAKQA7AFwAbgBcAG4AVgBFAEUAUgBHAF8ANABfADMAXwAxAF8AMwBfAF8AMQBfAFQAbwB0AGEAbABBAG4AbgB1AGEAbABEAGkAcgBlAGMAdABOAGkAdAByAG8AdQBzAE8AeABpAGQAZQBFAG0AaQBzAHMAaQBvAG4AcwBGAHIAbwBtAE0ATQBTAF8AVABpAHQAbABlAFwAbgAgACAAPQBMAEEATQBCAEQAQQAoAFwAIgBUAG8AdABhAGwAIABhAG4AbgB1AGEAbAAgAGQAaQByAGUAYwB0ACAAbgBpAHQAcgBvAHUAcwAgAG8AeABpAGQAZQAgAGUAbQBpAHMAcwBpAG8AbgBzACAAZgByAG8AbQAgAG0AYQBuAHUAcgBlACAAbQBhAG4AYQBnAGUAbQBlAG4AdAAgAHMAeQBzAHQAZQBtAHMAXAAiACkAOwBcAG4AXABuAFYARQBFAFIARwBfADQAXwAzAF8AMQBfADMAXwBfADEAXwBUAG8AdABhAGwAQQBuAG4AdQBhAGwARABpAHIAZQBjAHQATgBpAHQAcgBvAHUAcwBPAHgAaQBkAGUARQBtAGkAcwBzAGkAbwBuAHMARgByAG8AbQBNAE0AUwBfAFYAYQByAGkAYQBiAGwAZQBcAG4AIAAgAD0ATABBAE0AQgBEAEEAKABcACIARQBfAE4AMgBPAGQAaQByAFwAIgApADsAXABuAFwAbgBWAEUARQBSAEcAXwA0AF8AMwBfADEAXwAzAF8AXwAxAF8AVABvAHQAYQBsAEEAbgBuAHUAYQBsAEQAaQByAGUAYwB0AE4AaQB0AHIAbwB1AHMATwB4AGkAZABlAEUAbQBpAHMAcwBpAG8AbgBzAEYAcgBvAG0ATQBNAFMAXwBVAG4AaQB0AFwAbgAgACAAPQBMAEEATQBCAEQAQQAoAFwAIgB0ACAATgAyAE8AXAAiACkAOwBcAG4AXABuAFYARQBFAFIARwBfADQAXwAzAF8AMQBfADMAXwBfADEAXwBUAG8AdABhAGwAQQBuAG4AdQBhAGwARABpAHIAZQBjAHQATgBpAHQAcgBvAHUAcwBPAHgAaQBkAGUARQBtAGkAcwBzAGkAbwBuAHMARgByAG8AbQBNAE0AUwBfAFMAbwB1AHIAYwBlAFwAbgAgACAAPQBMAEEATQBCAEQAQQAoAFwAIgBWAEUARQBSAEcAIAAyADAAMgA2ADoAIAA0AC4AMwAuADEALgAzACwAIABFAHEAdQBhAHQAaQBvAG4AIAAoADEAKQBcACIAKQA7AFwAbgBcAG4AVgBFAEUAUgBHAF8ANABfADMAXwAxAF8AMwBfAF8AMQBfAFQAbwB0AGEAbABBAG4AbgB1AGEAbABEAGkAcgBlAGMAdABOAGkAdAByAG8AdQBzAE8AeABpAGQAZQBFAG0AaQBzAHMAaQBvAG4AcwBGAHIAbwBtAE0ATQBTAF8ATgBJAFIAUgBlAGYAZQByAGUAbgBjAGUAXABuACAAIAA9AEwAQQBNAEIARABBACgAXAAiAFwAIgApADsAXABuAFwAbgBWAEUARQBSAEcAXwA0AF8AMwBfADEAXwAzAF8AXwAxAF8AVABvAHQAYQBsAEEAbgBuAHUAYQBsAEQAaQByAGUAYwB0AE4AaQB0AHIAbwB1AHMATwB4AGkAZABlAEUAbQBpAHMAcwBpAG8AbgBzAEYAcgBvAG0ATQBNAFMAXwBMAGEAdABlAHgARQBxAHUAYQB0AGkAbwBuAFwAbgAgACAAPQBMAEEATQBCAEQAQQAoAFwAIgBFAF8AewBOADIATwAsAGQAaQByAH0APQBcAFwAcwB1AG0AXABcAG4AbwBsAGkAbQBpAHQAcwBfAHsAagB9AFwAXABzAHUAbQBcAFwAbgBvAGwAaQBtAGkAdABzAF8AewBtAH0AKABNAE4AXwB7AGoAbQB9AFwAXAB0AGkAbQBlAHMAIABFAEYAXwBtAFwAXAB0AGkAbQBlAHMAIABDAF8AewBOADIATwB9AFwAXAB0AGkAbQBlAHMAIAAxADAAXgB7AC0AMwB9ACkAXAAiACkAOwBcAG4AXABuAFYARQBFAFIARwBfADQAXwAzAF8AMQBfADMAXwBfADEAXwBUAG8AdABhAGwAQQBuAG4AdQBhAGwARABpAHIAZQBjAHQATgBpAHQAcgBvAHUAcwBPAHgAaQBkAGUARQBtAGkAcwBzAGkAbwBuAHMARgByAG8AbQBNAE0AUwBfAEEAcgBnAHUAbQBlAG4AdABzAFwAbgAgACAAPQBMAEEATQBCAEQAQQAoAFwAbgAgACAAIAAgAE0AQQBLAEUAQQBSAFIAQQBZACgAMwAsACAANA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XAAiACwAIABcACIAawBnACAATgBcACIALAAgAFwAIgBDAGEAbABjAHUAbABhAHQAZQBkACAAZgByAG8AbQAgADQALgAzAC4AMQAuADMAIAAoADIAKQBcACIAOwBcAG4AIAAgACAAIAAgACAAIAAgACAAIABcACIARQBGAF8AbQBcACIALAAgAFwAIgBuAGkAdAByAG8AdQBzACAAbwB4AGkAZABlACAAZQBtAGkAcwBzAGkAbwBuACAAZgBhAGMAdABvAHIAIABmAG8AcgAgAGUAYQBjAGgAIABNAE0AUwAgACgAawBnACAATgAyAE8ALQBOAC8AawBnACAATgAgAGQAZQBwAG8AcwBpAHQAZQBkACk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mAHIAYQBjAHQAaQBvAG4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IAXwBUAG8AdABhAGwATgBpAHQAcgBvAGcAZQBuAEkAbgBFAGEAYwBoAE0ATQBTAFwAbgBUAG8AdABhAGwAIABuAGkAdAByAG8AZwBlAG4AIABpAG4AIABlAGEAYwBoACAATQBNAFMAXABuAE0ATgBfAGoAbQBcAG4AawBnACAATgBcAG4ATQBOAF8AewBqAG0AfQA9AEEARQBfAGoAXABcAHQAaQBtAGUAcwAgAE0ATQBTAF8AewBqAG0AfQBcAG4AQQBFAF8AagAgAD0AIAB0AG8AdABhAGwAIABuAGkAdAByAG8AZwBlAG4AIABlAHgAYwByAGUAdABlAGQAIABiAHkAIABlAGEAYwBoACAAZABhAGkAcgB5ACAAYwBsAGEAcwBzACAAKABrAGcAIABOACkAXABuAE0ATQBTAF8AagBtACAAPQAgAG0AYQBuAHUAcgBlACAAbQBhAG4AYQBnAGUAbQBlAG4AdAAgAHMAeQBzAHQAZQBtACAAZgByAGEAYwB0AGkAbwBuACAAZgBvAHIAIABjAGwAYQBzAHMAIABqACAAYQBuAGQAIABzAHkAcwB0AGUAbQAgAG0AXABuAC0ALQAtAC0ALQAtAC0ALQAtAC0ALQAtAC0ALQAtAC0ALQAtAC0ALQAtAC0ALQAtAC0ALQAtAC0ALQAtAC0ALQAtAC0ALQAtAC0ALQBcAG4AKgAvAFwAbgBcAG4AVgBFAEUAUgBHAF8ANABfADMAXwAxAF8AMwBfAF8AMgBfAFQAbwB0AGEAbABOAGkAdAByAG8AZwBlAG4ASQBuAEUAYQBjAGgATQBNAFMAXABuACAAIAA9AEwAQQBNAEIARABBACgAXABuACAAIAAgACAAQQBFAF8AagAsACAATQBNAFMAXwBqAG0ALABcAG4AIAAgACAAIABBAEUAXwBqACAAKgAgAE0ATQBTAF8AagBtAFwAbgAgACAAKQA7AFwAbgBcAG4AVgBFAEUAUgBHAF8ANABfADMAXwAxAF8AMwBfAF8AMgBfAFQAbwB0AGEAbABOAGkAdAByAG8AZwBlAG4ASQBuAEUAYQBjAGgATQBNAFMAXwBUAGkAdABsAGUAXABuACAAIAA9AEwAQQBNAEIARABBACgAXAAiAFQAbwB0AGEAbAAgAG4AaQB0AHIAbwBnAGUAbgAgAGkAbgAgAGUAYQBjAGgAIABNAE0AUwBcACIAKQA7AFwAbgBcAG4AVgBFAEUAUgBHAF8ANABfADMAXwAxAF8AMwBfAF8AMgBfAFQAbwB0AGEAbABOAGkAdAByAG8AZwBlAG4ASQBuAEUAYQBjAGgATQBNAFMAXwBWAGEAcgBpAGEAYgBsAGUAXABuACAAIAA9AEwAQQBNAEIARABBACgAXAAiAE0ATgBfAGoAbQBcACIAKQA7AFwAbgBcAG4AVgBFAEUAUgBHAF8ANABfADMAXwAxAF8AMwBfAF8AMgBfAFQAbwB0AGEAbABOAGkAdAByAG8AZwBlAG4ASQBuAEUAYQBjAGgATQBNAFMAXwBVAG4AaQB0AFwAbgAgACAAPQBMAEEATQBCAEQAQQAoAFwAIgBrAGcAIABOAFwAIgApADsAXABuAFwAbgBWAEUARQBSAEcAXwA0AF8AMwBfADEAXwAzAF8AXwAyAF8AVABvAHQAYQBsAE4AaQB0AHIAbwBnAGUAbgBJAG4ARQBhAGMAaABNAE0AUwBfAFMAbwB1AHIAYwBlAFwAbgAgACAAPQBMAEEATQBCAEQAQQAoAFwAIgBWAEUARQBSAEcAIAAyADAAMgA2ADoAIAA0AC4AMwAuADEALgAzACwAIABFAHEAdQBhAHQAaQBvAG4AIAAoADIAKQBcACIAKQA7AFwAbgBcAG4AVgBFAEUAUgBHAF8ANABfADMAXwAxAF8AMwBfAF8AMgBfAFQAbwB0AGEAbABOAGkAdAByAG8AZwBlAG4ASQBuAEUAYQBjAGgATQBNAFMAXwBOAEkAUgBSAGUAZgBlAHIAZQBuAGMAZQBcAG4AIAAgAD0ATABBAE0AQgBEAEEAKABcACIAXAAiACkAOwBcAG4AXABuAFYARQBFAFIARwBfADQAXwAzAF8AMQBfADMAXwBfADIAXwBUAG8AdABhAGwATgBpAHQAcgBvAGcAZQBuAEkAbgBFAGEAYwBoAE0ATQBTAF8ATABhAHQAZQB4AEUAcQB1AGEAdABpAG8AbgBcAG4AIAAgAD0ATABBAE0AQgBEAEEAKABcACIATQBOAF8AewBqAG0AfQA9AEEARQBfAGoAXABcAHQAaQBtAGUAcwAgAE0ATQBTAF8AewBqAG0AfQBcACIAKQA7AFwAbgBcAG4AVgBFAEUAUgBHAF8ANABfADMAXwAxAF8AMwBfAF8AMgBfAFQAbwB0AGEAbABOAGkAdAByAG8AZwBlAG4ASQBuAEUAYQBjAGgATQBNAFMAXwBBAHIAZwB1AG0AZQBuAHQAcwBcAG4AIAAgAD0ATABBAE0AQgBEAEEAKABcAG4AIAAgACAAIABNAEEASwBFAEEAUgBSAEEAWQAoADIALAAgADQALABcAG4AIAAgACAAIAAgACAATABBAE0AQgBEAEEAKAByACwAYwAsAFwAbgAgACAAIAAgACAAIAAgACAASQBOAEQARQBYACgAewBcAG4AIAAgACAAIAAgACAAIAAgACAAIABcACIAQQBFAF8AagBcACIALAAgAFwAIgB0AG8AdABhAGwAIABuAGkAdAByAG8AZwBlAG4AIABlAHgAYwByAGUAdABlAGQAIABiAHkAIABlAGEAYwBoACAAZABhAGkAcgB5ACAAYwBsAGEAcwBzAFwAIgAsACAAXAAiAGsAZwAgAE4AXAAiACwAIABcACIAQwBhAGwAYwB1AGwAYQB0AGUAZAAgAGYAcgBvAG0AIAA0AC4AMwAuADEALgAzACAAKAAzAGEAKQAgAGEAbgBkACAAKAAzAGIAKQBcACIAOwBcAG4AIAAgACAAIAAgACAAIAAgACAAIABcACIATQBNAFMAXwBqAG0AXAAiACwAIABcACIAbQBhAG4AdQByAGUAIABtAGEAbgBhAGcAZQBtAGUAbgB0ACAAcwB5AHMAdABlAG0AIABmAHIAYQBjAHQAaQBvAG4AIABmAG8AcgAgAGMAbABhAHMAcwAgAGoAIABhAG4AZAAgAHMAeQBzAHQAZQBtACAAb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MAYQBfAFQAbwB0AGEAbABBAG4AbgB1AGEAbABOAGkAdAByAG8AZwBlAG4ARQB4AGMAcgBlAHQAZQBkAEcAcgBlAGEAdABlAHIAVABoAGEAbgBPAG4AZQBZAGUAYQByAFwAbgBUAG8AdABhAGwAIABhAG4AbgB1AGEAbAAgAG4AaQB0AHIAbwBnAGUAbgAgAGUAeABjAHIAZQB0AGUAZAAgAGIAeQAgAGQAYQBpAHIAeQAgAGMAYQB0AHQAbABlACAAXAB1ADAAMAAzAGUAMQAgAHkAZQBhAHIAIABvAGwAZABcAG4AQQBFAF8AagAxADIANABcAG4AawBnACAATgBcAG4AQQBFAF8AewBqAD0AMQAsADIALAA0AH0APQBOAF8AewBqAD0AMQAsADIALAA0AH0AXABcAHQAaQBtAGUAcwAgAE4ARQBfAHsAagA9ADEALAAyACwANAB9AFwAXAB0AGkAbQBlAHMAIAAzADYANQBcAG4ATgBfAGoAMQAyADQAIAA9ACAAbgB1AG0AYgBlAHIAIABvAGYAIABkAGEAaQByAHkAIABjAGEAdAB0AGwAZQAgAGkAbgAgAGMAbABhAHMAcwBlAHMAIABqAD0AMQAsADIALAA0AFwAbgBOAEUAXwBqADEAMgA0ACAAPQAgAG4AaQB0AHIAbwBnAGUAbgAgAGUAeABjAHIAZQB0AGUAZAAgAGIAeQAgAGQAYQBpAHIAeQAgAGMAYQB0AHQAbABlACAAXAB1ADAAMAAzAGUAMQAgAHkAZQBhAHIAIABvAGwAZAAgACgAawBnACAATgAvAGgAZQBhAGQALwBkAGEAeQApAFwAbgAtAC0ALQAtAC0ALQAtAC0ALQAtAC0ALQAtAC0ALQAtAC0ALQAtAC0ALQAtAC0ALQAtAC0ALQAtAC0ALQAtAC0ALQAtAC0ALQAtAC0AXABuACoALwBcAG4AXABuAFYARQBFAFIARwBfADQAXwAzAF8AMQBfADMAXwBfADMAYQBfAFQAbwB0AGEAbABBAG4AbgB1AGEAbABOAGkAdAByAG8AZwBlAG4ARQB4AGMAcgBlAHQAZQBkAEcAcgBlAGEAdABlAHIAVABoAGEAbgBPAG4AZQBZAGUAYQByAFwAbgAgACAAPQBMAEEATQBCAEQAQQAoAFwAbgAgACAAIAAgAE4AXwBqADEAMgA0ACwAIABOAEUAXwBqADEAMgA0ACwAXABuACAAIAAgACAATgBfAGoAMQAyADQAIAAqACAATgBFAF8AagAxADIANAAgACoAIAAzADYANQBcAG4AIAAgACkAOwBcAG4AXABuAFYARQBFAFIARwBfADQAXwAzAF8AMQBfADMAXwBfADMAYQBfAFQAbwB0AGEAbABBAG4AbgB1AGEAbABOAGkAdAByAG8AZwBlAG4ARQB4AGMAcgBlAHQAZQBkAEcAcgBlAGEAdABlAHIAVABoAGEAbgBPAG4AZQBZAGUAYQByAFYAYQByAGkAYQB0AGkAbwBuAFwAbgAgACAAPQBMAEEATQBCAEQAQQAoAFwAbgAgACAAIAAgAE4AXwBqADEAMgA0ACwAIABOAEUAXwBqADEAMgA0ACwAIABEAF8AagAxADIANAAsAFwAbgAgACAAIAAgAE4AXwBqADEAMgA0ACAAKgAgAE4ARQBfAGoAMQAyADQAIAAqACAARABfAGoAMQAyADQAXABuACAAIAApADsAXABuAFwAbgBWAEUARQBSAEcAXwA0AF8AMwBfADEAXwAzAF8AXwAzAGEAXwBUAG8AdABhAGwAQQBuAG4AdQBhAGwATgBpAHQAcgBvAGcAZQBuAEUAeABjAHIAZQB0AGUAZABHAHIAZQBhAHQAZQByAFQAaABhAG4ATwBuAGUAWQBlAGEAcgBfAFQAaQB0AGwAZQBcAG4AIAAgAD0ATABBAE0AQgBEAEEAKABcACIAVABvAHQAYQBsACAAYQBuAG4AdQBhAGwAIABuAGkAdAByAG8AZwBlAG4AIABlAHgAYwByAGUAdABlAGQAIABiAHkAIABkAGEAaQByAHkAIABjAGEAdAB0AGwAZQAgAGcAcgBlAGEAdABlAHIAIAB0AGgAYQBuACAAbwBuAGUAIAB5AGUAYQByACAAbwBsAGQAXAAiACkAOwBcAG4AXABuAFYARQBFAFIARwBfADQAXwAzAF8AMQBfADMAXwBfADMAYQBfAFQAbwB0AGEAbABBAG4AbgB1AGEAbABOAGkAdAByAG8AZwBlAG4ARQB4AGMAcgBlAHQAZQBkAEcAcgBlAGEAdABlAHIAVABoAGEAbgBPAG4AZQBZAGUAYQByAF8AVgBhAHIAaQBhAGIAbABlAFwAbgAgACAAPQBMAEEATQBCAEQAQQAoAFwAIgBBAEUAXwBqADEAMgA0AFwAIgApADsAXABuAFwAbgBWAEUARQBSAEcAXwA0AF8AMwBfADEAXwAzAF8AXwAzAGEAXwBUAG8AdABhAGwAQQBuAG4AdQBhAGwATgBpAHQAcgBvAGcAZQBuAEUAeABjAHIAZQB0AGUAZABHAHIAZQBhAHQAZQByAFQAaABhAG4ATwBuAGUAWQBlAGEAcgBfAFUAbgBpAHQAXABuACAAIAA9AEwAQQBNAEIARABBACgAXAAiAGsAZwAgAE4AXAAiACkAOwBcAG4AXABuAFYARQBFAFIARwBfADQAXwAzAF8AMQBfADMAXwBfADMAYQBfAFQAbwB0AGEAbABBAG4AbgB1AGEAbABOAGkAdAByAG8AZwBlAG4ARQB4AGMAcgBlAHQAZQBkAEcAcgBlAGEAdABlAHIAVABoAGEAbgBPAG4AZQBZAGUAYQByAF8AUwBvAHUAcgBjAGUAXABuACAAIAA9AEwAQQBNAEIARABBACgAXAAiAFYARQBFAFIARwAgADIAMAAyADYAOgAgADQALgAzAC4AMQAuADMALAAgAEUAcQB1AGEAdABpAG8AbgAgACgAMwBhACkAXAAiACkAOwBcAG4AXABuAFYARQBFAFIARwBfADQAXwAzAF8AMQBfADMAXwBfADMAYQBfAFQAbwB0AGEAbABBAG4AbgB1AGEAbABOAGkAdAByAG8AZwBlAG4ARQB4AGMAcgBlAHQAZQBkAEcAcgBlAGEAdABlAHIAVABoAGEAbgBPAG4AZQBZAGUAYQByAF8ATgBJAFIAUgBlAGYAZQByAGUAbgBjAGUAXABuACAAIAA9AEwAQQBNAEIARABBACgAXAAiAFwAIgApADsAXABuAFwAbgBWAEUARQBSAEcAXwA0AF8AMwBfADEAXwAzAF8AXwAzAGEAXwBUAG8AdABhAGwAQQBuAG4AdQBhAGwATgBpAHQAcgBvAGcAZQBuAEUAeABjAHIAZQB0AGUAZABHAHIAZQBhAHQAZQByAFQAaABhAG4ATwBuAGUAWQBlAGEAcgBfAEwAYQB0AGUAeABFAHEAdQBhAHQAaQBvAG4AXABuACAAIAA9AEwAQQBNAEIARABBACgAXAAiAEEARQBfAHsAagA9ADEALAAyACwANAB9AD0ATgBfAHsAagA9ADEALAAyACwANAB9AFwAXAB0AGkAbQBlAHMAIABOAEUAXwB7AGoAPQAxACwAMgAsADQAfQBcAFwAdABpAG0AZQBzACAAMwA2ADUAXAAiACkAOwBcAG4AXABuAFYARQBFAFIARwBfADQAXwAzAF8AMQBfADMAXwBfADMAYQBfAFQAbwB0AGEAbABBAG4AbgB1AGEAbABOAGkAdAByAG8AZwBlAG4ARQB4AGMAcgBlAHQAZQBkAEcAcgBlAGEAdABlAHIAVABoAGEAbgBPAG4AZQBZAGUAYQByAF8ATABhAHQAZQB4AEUAcQB1AGEAdABpAG8AbgBWAGEAcgBpAGEAdABpAG8AbgBcAG4AIAAgAD0ATABBAE0AQgBEAEEAKABcACIAQQBFAF8AewBqAD0AMQAsADIALAA0AH0APQBOAF8AewBqAD0AMQAsADIALAA0AH0AXABcAHQAaQBtAGUAcwAgAE4ARQBfAHsAagA9ADEALAAyACwANAB9AFwAXAB0AGkAbQBlAHMAIABEAF8AewBqAD0AMQAsADIALAA0AH0AXAAiACkAOwBcAG4AXABuAFYARQBFAFIARwBfADQAXwAzAF8AMQBfADMAXwBfADMAYQBfAFQAbwB0AGEAbABBAG4AbgB1AGEAbABOAGkAdAByAG8AZwBlAG4ARQB4AGMAcgBlAHQAZQBkAEcAcgBlAGEAdABlAHIAVABoAGEAbgBPAG4AZQBZAGUAYQByAF8AQQByAGcAdQBtAGUAbgB0AHMAXABuACAAIAA9AEwAQQBNAEIARABBACgAXABuACAAIAAgACAATQBBAEsARQBBAFIAUgBBAFkAKAAz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gBFAF8AagAxADIANABcACIALAAgAFwAIgBuAGkAdAByAG8AZwBlAG4AIABlAHgAYwByAGUAdABlAGQAIABiAHkAIABkAGEAaQByAHkAIABjAGEAdAB0AGwAZQAgAGcAcgBlAGEAdABlAHIAIAB0AGgAYQBuACAAbwBuAGUAIAB5AGUAYQByACAAbwBsAGQAIAAoAGsAZwAgAE4ALwBoAGUAYQBkAC8AZABhAHkAKQBcACIALAAgAFwAIgBrAGcAIABOAC8AaABlAGEAZAAvAGQAYQB5AFwAIgAsACAAXAAiAEMAYQBsAGMAdQBsAGEAdABlAGQAIABmAHIAbwBtACAANAAuADMALgAxAC4AMwAgACgANAApAFwAIgA7AFwAbgAgACAAIAAgACAAIAAgACAAIAAgAFwAIgBEAF8AagAxADIANABcACIALAAgAFwAIgBkAHUAcgBhAHQAaQBvAG4AIABvAGYAIABzAHQAYQB5ACAAbwBuACAAZgBhAHIAbQAgAGYAbwByACAAYwBsAGEAcwBzAGUAcwAgAGoAPQAxACwAMgAsADQAIAAoAGQAYQB5AHMAKQBcACIALAAgAFwAIgBkAGEAeQBzAFwAIgAsACAAXAAiAEkAbgBwAHUAdABcACIAXABuACAAIAAgACAAIAAgACAAIAB9ACwAIAByACwAIABjACkAXABuACAAIAAgACAAIAAgACkAXABuACAAIAAgACAAKQBcAG4AIAAgACkAOwBcAG4AXABuAFYARQBFAFIARwBfADQAXwAzAF8AMQBfADMAXwBfADMAYQBfAFQAbwB0AGEAbABBAG4AbgB1AGEAbABOAGkAdAByAG8AZwBlAG4ARQB4AGMAcgBlAHQAZQBkAEcAcgBlAGEAdABlAHIAVABoAGEAbgBPAG4AZQBZAGUAYQByAF8AVgBhAHIAaQBhAHQAaQBvAG4AXABuACAAIAA9AEwAQQBNAEIARABBACgAXAAiAFYAQQBSAEkAQQBUAEkATwBOADoAIABVAHMAZQBkACAARAB1AHIAYQB0AGkAbwBuACAAdgBhAHIAaQBhAGIAbABlAHMAIABpAG4AcwB0AGUAYQBkACAAbwBmACAAaABhAHIAZAAtAGMAbwBkAGUAZAAgADMANgA1ACAAdgBhAGwAdQBlAC4AXAAiACkAOwBcAG4AXABuAC8AKgBcAG4ALQAtAC0ALQAtAC0ALQAtAC0ALQAtAC0ALQAtAC0ALQAtAC0ALQAtAC0ALQAtAC0ALQAtAC0ALQAtAC0ALQAtAC0ALQAtAC0ALQAtAFwAbgBWAEUARQBSAEcAXwA0AF8AMwBfADEAXwAzAF8AXwAzAGIAXwBUAG8AdABhAGwAQQBuAG4AdQBhAGwATgBpAHQAcgBvAGcAZQBuAEUAeABjAHIAZQB0AGUAZABMAGUAcwBzAFQAaABhAG4ATwBuAGUAWQBlAGEAcgBcAG4AVABvAHQAYQBsACAAYQBuAG4AdQBhAGwAIABuAGkAdAByAG8AZwBlAG4AIABlAHgAYwByAGUAdABlAGQAIABiAHkAIABkAGEAaQByAHkAIABjAGEAdAB0AGwAZQAgAFwAdQAwADAAMwBjADEAIAB5AGUAYQByACAAbwBsAGQAXABuAEEARQBfAGoAMwA1AFwAbgBrAGcAIABOAFwAbgBBAEUAXwB7AGoAPQAzACwANQB9AD0AKABOAF8AewBqAD0AMwAsADUAfQBcAFwAdABpAG0AZQBzACAATgBFAF8AewBqAD0AMwAsADUAfQBcAFwAdABpAG0AZQBzACAAMgA4ADEAKQArACgATgBfAHsAagA9ADMALAA1AH0AXABcAHQAaQBtAGUAcwAgAE4AUABXAF8AewBqAD0AMwAsADUAfQBcAFwAdABpAG0AZQBzACAAOAA0ACkAXABuAE4AXwBqADMANQAgAD0AIABuAHUAbQBiAGUAcgAgAG8AZgAgAGQAYQBpAHIAeQAgAGMAYQB0AHQAbABlACAAaQBuACAAYwBsAGEAcwBzAGUAcwAgAGoAPQAzACwANQBcAG4ATgBFAF8AagAzADUAIAA9ACAAbgBpAHQAcgBvAGcAZQBuACAAZQB4AGMAcgBlAHQAZQBkACAAYgB5ACAAdwBlAGEAbgBlAGQAIABkAGEAaQByAHkAIABjAGEAdAB0AGwAZQAgAFwAdQAwADAAMwBjADEAIAB5AGUAYQByACAAbwBsAGQAIAAoAGsAZwAgAE4ALwBoAGUAYQBkAC8AZABhAHkAKQBcAG4ATgBQAFcAXwBqADMANQAgAD0AIABuAGkAdAByAG8AZwBlAG4AIABlAHgAYwByAGUAdABlAGQAIABiAHkAIABwAHIAZQAtAHcAZQBhAG4AZQBkACAAYwBhAGwAdgBlAHMAIAAoAGsAZwAgAE4ALwBoAGUAYQBkAC8AZABhAHkAKQBcAG4ALQAtAC0ALQAtAC0ALQAtAC0ALQAtAC0ALQAtAC0ALQAtAC0ALQAtAC0ALQAtAC0ALQAtAC0ALQAtAC0ALQAtAC0ALQAtAC0ALQAtAFwAbgAqAC8AXABuAFwAbgBWAEUARQBSAEcAXwA0AF8AMwBfADEAXwAzAF8AXwAzAGIAXwBUAG8AdABhAGwAQQBuAG4AdQBhAGwATgBpAHQAcgBvAGcAZQBuAEUAeABjAHIAZQB0AGUAZABMAGUAcwBzAFQAaABhAG4ATwBuAGUAWQBlAGEAcgBcAG4AIAAgAD0ATABBAE0AQgBEAEEAKABcAG4AIAAgACAAIABOAF8AagAzADUALAAgAE4ARQBfAGoAMwA1ACwAIABOAFAAVwBfAGoAMwA1ACwAXABuACAAIAAgACAAKABOAF8AagAzADUAIAAqACAATgBFAF8AagAzADUAIAAqACAAMgA4ADEAKQAgACsAIAAoAE4AXwBqADMANQAgACoAIABOAFAAVwBfAGoAMwA1ACAAKgAgADgANAApAFwAbgAgACAAKQA7AFwAbgBcAG4AVgBFAEUAUgBHAF8ANABfADMAXwAxAF8AMwBfAF8AMwBiAF8AVABvAHQAYQBsAEEAbgBuAHUAYQBsAE4AaQB0AHIAbwBnAGUAbgBFAHgAYwByAGUAdABlAGQATABlAHMAcwBUAGgAYQBuAE8AbgBlAFkAZQBhAHIAVgBhAHIAaQBhAHQAaQBvAG4AXABuACAAIAA9AEwAQQBNAEIARABBACgAXABuACAAIAAgACAATgBfAGoAMwA1ACwAIABOAEUAXwBqADMANQAsACAATgBQAFcAXwBqADMANQAsACAARABfAGoAMwA1ACwAIABEAFAAVwBfAGoAMwA1ACwAXABuACAAIAAgACAAKABOAF8AagAzADUAIAAqACAATgBFAF8AagAzADUAIAAqACAARABfAGoAMwA1ACkAIAArACAAKABOAF8AagAzADUAIAAqACAATgBQAFcAXwBqADMANQAgACoAIABEAFAAVwBfAGoAMwA1ACkAXABuACAAIAApADsAXABuAFwAbgBWAEUARQBSAEcAXwA0AF8AMwBfADEAXwAzAF8AXwAzAGIAXwBUAG8AdABhAGwAQQBuAG4AdQBhAGwATgBpAHQAcgBvAGcAZQBuAEUAeABjAHIAZQB0AGUAZABMAGUAcwBzAFQAaABhAG4ATwBuAGUAWQBlAGEAcgBfAFQAaQB0AGwAZQBcAG4AIAAgAD0ATABBAE0AQgBEAEEAKABcACIAVABvAHQAYQBsACAAYQBuAG4AdQBhAGwAIABuAGkAdAByAG8AZwBlAG4AIABlAHgAYwByAGUAdABlAGQAIABiAHkAIABkAGEAaQByAHkAIABjAGEAdAB0AGwAZQAgAGwAZQBzAHMAIAB0AGgAYQBuACAAbwBuAGUAIAB5AGUAYQByACAAbwBsAGQAXAAiACkAOwBcAG4AXABuAFYARQBFAFIARwBfADQAXwAzAF8AMQBfADMAXwBfADMAYgBfAFQAbwB0AGEAbABBAG4AbgB1AGEAbABOAGkAdAByAG8AZwBlAG4ARQB4AGMAcgBlAHQAZQBkAEwAZQBzAHMAVABoAGEAbgBPAG4AZQBZAGUAYQByAF8AVgBhAHIAaQBhAGIAbABlAFwAbgAgACAAPQBMAEEATQBCAEQAQQAoAFwAIgBBAEUAXwBqADMANQBcACIAKQA7AFwAbgBcAG4AVgBFAEUAUgBHAF8ANABfADMAXwAxAF8AMwBfAF8AMwBiAF8AVABvAHQAYQBsAEEAbgBuAHUAYQBsAE4AaQB0AHIAbwBnAGUAbgBFAHgAYwByAGUAdABlAGQATABlAHMAcwBUAGgAYQBuAE8AbgBlAFkAZQBhAHIAXwBVAG4AaQB0AFwAbgAgACAAPQBMAEEATQBCAEQAQQAoAFwAIgBrAGcAIABOAFwAIgApADsAXABuAFwAbgBWAEUARQBSAEcAXwA0AF8AMwBfADEAXwAzAF8AXwAzAGIAXwBUAG8AdABhAGwAQQBuAG4AdQBhAGwATgBpAHQAcgBvAGcAZQBuAEUAeABjAHIAZQB0AGUAZABMAGUAcwBzAFQAaABhAG4ATwBuAGUAWQBlAGEAcgBfAFMAbwB1AHIAYwBlAFwAbgAgACAAPQBMAEEATQBCAEQAQQAoAFwAIgBWAEUARQBSAEcAIAAyADAAMgA2ADoAIAA0AC4AMwAuADEALgAzACwAIABFAHEAdQBhAHQAaQBvAG4AIAAoADMAYgApAFwAIgApADsAXABuAFwAbgBWAEUARQBSAEcAXwA0AF8AMwBfADEAXwAzAF8AXwAzAGIAXwBUAG8AdABhAGwAQQBuAG4AdQBhAGwATgBpAHQAcgBvAGcAZQBuAEUAeABjAHIAZQB0AGUAZABMAGUAcwBzAFQAaABhAG4ATwBuAGUAWQBlAGEAcgBfAE4ASQBSAFIAZQBmAGUAcgBlAG4AYwBlAFwAbgAgACAAPQBMAEEATQBCAEQAQQAoAFwAIgBcACIAKQA7AFwAbgBcAG4AVgBFAEUAUgBHAF8ANABfADMAXwAxAF8AMwBfAF8AMwBiAF8AVABvAHQAYQBsAEEAbgBuAHUAYQBsAE4AaQB0AHIAbwBnAGUAbgBFAHgAYwByAGUAdABlAGQATABlAHMAcwBUAGgAYQBuAE8AbgBlAFkAZQBhAHIAXwBMAGEAdABlAHgARQBxAHUAYQB0AGkAbwBuAFwAbgAgACAAPQBMAEEATQBCAEQAQQAoAFwAIgBBAEUAXwB7AGoAPQAzACwANQB9AD0AKABOAF8AewBqAD0AMwAsADUAfQBcAFwAdABpAG0AZQBzACAATgBFAF8AewBqAD0AMwAsADUAfQBcAFwAdABpAG0AZQBzACAAMgA4ADEAKQArACgATgBfAHsAagA9ADMALAA1AH0AXABcAHQAaQBtAGUAcwAgAE4AUABXAF8AewBqAD0AMwAsADUAfQBcAFwAdABpAG0AZQBzACAAOAA0ACkAXAAiACkAOwBcAG4AXABuAFYARQBFAFIARwBfADQAXwAzAF8AMQBfADMAXwBfADMAYgBfAFQAbwB0AGEAbABBAG4AbgB1AGEAbABOAGkAdAByAG8AZwBlAG4ARQB4AGMAcgBlAHQAZQBkAEwAZQBzAHMAVABoAGEAbgBPAG4AZQBZAGUAYQByAF8ATABhAHQAZQB4AEUAcQB1AGEAdABpAG8AbgBWAGEAcgBpAGEAdABpAG8AbgBcAG4AIAAgAD0ATABBAE0AQgBEAEEAKABcACIAQQBFAF8AewBqAD0AMwAsADUAfQA9ACgATgBfAHsAagA9ADMALAA1AH0AXABcAHQAaQBtAGUAcwAgAE4ARQBfAHsAagA9ADMALAA1AH0AXABcAHQAaQBtAGUAcwAgAEQAXwB7AGoAPQAzACwANQB9ACkAKwAoAE4AXwB7AGoAPQAzACwANQB9AFwAXAB0AGkAbQBlAHMAIABOAFAAVwBfAHsAagA9ADMALAA1AH0AXABcAHQAaQBtAGUAcwAgAEQAUABXAF8AewBqAD0AMwAsADUAfQApAFwAIgApADsAXABuAFwAbgBWAEUARQBSAEcAXwA0AF8AMwBfADEAXwAzAF8AXwAzAGIAXwBUAG8AdABhAGwAQQBuAG4AdQBhAGwATgBpAHQAcgBvAGcAZQBuAEUAeABjAHIAZQB0AGUAZABMAGUAcwBzAFQAaABhAG4ATwBuAGUAWQBlAGEAcgBfAEEAcgBnAHUAbQBlAG4AdABzAFwAbgAgACAAPQBMAEEATQBCAEQAQQAoAFwAbgAgACAAIAAgAE0AQQBLAEUAQQBSAFIAQQBZACgANQAsACAANAAsAFwAbgAgACAAIAAgACAAIABMAEEATQBCAEQAQQAoAHIALABjACwAXABuACAAIAAgACAAIAAgACAAIABJAE4ARABFAFgAKAB7AFwAbgAgACAAIAAgACAAIAAgACAAIAAgAFwAIgBOAF8AagAzADUAXAAiACwAIABcACIAbgB1AG0AYgBlAHIAIABvAGYAIABkAGEAaQByAHkAIABjAGEAdAB0AGwAZQAgAGkAbgAgAGMAbABhAHMAcwBlAHMAIABqAD0AMwAsADUAXAAiACwAIABcACIAaABlAGEAZABcACIALAAgAFwAIgBJAG4AcAB1AHQAXAAiADsAXABuACAAIAAgACAAIAAgACAAIAAgACAAXAAiAE4ARQBfAGoAMwA1AFwAIgAsACAAXAAiAG4AaQB0AHIAbwBnAGUAbgAgAGUAeABjAHIAZQB0AGUAZAAgAGIAeQAgAHcAZQBhAG4AZQBkACAAZABhAGkAcgB5ACAAYwBhAHQAdABsAGUAIABsAGUAcwBzACAAdABoAGEAbgAgAG8AbgBlACAAeQBlAGEAcgAgAG8AbABkACAAKABrAGcAIABOAC8AaABlAGEAZAAvAGQAYQB5ACkAXAAiACwAIABcACIAawBnACAATgAvAGgAZQBhAGQALwBkAGEAeQBcACIALAAgAFwAIgBDAGEAbABjAHUAbABhAHQAZQBkACAAZgByAG8AbQAgADQALgAzAC4AMQAuADMAIAAoADQAKQBcACIAOwBcAG4AIAAgACAAIAAgACAAIAAgACAAIABcACIATgBQAFcAXwBqADMANQBcACIALAAgAFwAIgBuAGkAdAByAG8AZwBlAG4AIABlAHgAYwByAGUAdABlAGQAIABiAHkAIABwAHIAZQAtAHcAZQBhAG4AZQBkACAAYwBhAGwAdgBlAHMAIAAoAGsAZwAgAE4ALwBoAGUAYQBkAC8AZABhAHkAKQBcACIALAAgAFwAIgBrAGcAIABOAC8AaABlAGEAZAAvAGQAYQB5AFwAIgAsACAAXAAiAEMAbwBuAHMAdABhAG4AdABcACIAOwBcAG4AIAAgACAAIAAgACAAIAAgACAAIABcACIARABfAGoAMwA1AFwAIgAsACAAXAAiAGQAdQByAGEAdABpAG8AbgAgAG8AZgAgAHMAdABhAHkAIABvAG4AIABmAGEAcgBtACAAZgBvAHIAIAB3AGUAYQBuAGUAZAAgAGQAYQBpAHIAeQAgAGMAYQB0AHQAbABlACAAbABlAHMAcwAgAHQAaABhAG4AIABvAG4AZQAgAHkAZQBhAHIAIABvAGwAZAAgACgAZABhAHkAcwApAFwAIgAsACAAXAAiAGQAYQB5AHMAXAAiACwAIABcACIASQBuAHAAdQB0AFwAIgA7AFwAbgAgACAAIAAgACAAIAAgACAAIAAgAFwAIgBEAFAAVwBfAGoAMwA1AFwAIgAsACAAXAAiAGQAdQByAGEAdABpAG8AbgAgAG8AZgAgAHMAdABhAHkAIABvAG4AIABmAGEAcgBtACAAZgBvAHIAIABwAHIAZQAtAHcAZQBhAG4AZQBkACAAYwBhAGwAdgBlAHMAIAAoAGQAYQB5AHMAKQBcACIALAAgAFwAIgBkAGEAeQBzAFwAIgAsACAAXAAiAEkAbgBwAHUAdABcACIAXABuACAAIAAgACAAIAAgACAAIAB9ACwAIAByACwAIABjACkAXABuACAAIAAgACAAIAAgACkAXABuACAAIAAgACAAKQBcAG4AIAAgACkAOwBcAG4AXABuAFYARQBFAFIARwBfADQAXwAzAF8AMQBfADMAXwBfADMAYgBfAFQAbwB0AGEAbABBAG4AbgB1AGEAbABOAGkAdAByAG8AZwBlAG4ARQB4AGMAcgBlAHQAZQBkAEwAZQBzAHMAVABoAGEAbgBPAG4AZQBZAGUAYQByAF8AVgBhAHIAaQBhAHQAaQBvAG4AXABuACAAIAA9AEwAQQBNAEIARABBACgAXAAiAFYAQQBSAEkAQQBUAEkATwBOADoAIABVAHMAZQBkACAARAB1AHIAYQB0AGkAbwBuACAAdgBhAHIAaQBhAGIAbABlAHMAIABpAG4AcwB0AGUAYQBkACAAbwBmACAAaABhAHIAZAAtAGMAbwBkAGUAZAAgADIAOAAxACAAYQBuAGQAIAA4ADQAIAB2AGEAbAB1AGUAcwAuAFwAIgApADsAXABuAFwAbgAvACoAXABuAC0ALQAtAC0ALQAtAC0ALQAtAC0ALQAtAC0ALQAtAC0ALQAtAC0ALQAtAC0ALQAtAC0ALQAtAC0ALQAtAC0ALQAtAC0ALQAtAC0ALQBcAG4AVgBFAEUAUgBHAF8ANABfADMAXwAxAF8AMwBfAF8ANABfAE4AaQB0AHIAbwBnAGUAbgBFAHgAYwByAGUAdABlAGQAQgB5AEQAYQBpAHIAeQBDAGEAdAB0AGwAZQBHAHIAZQBhAHQAZQByAFQAaABhAG4ATwBuAGUAWQBlAGEAcgBcAG4ATgBpAHQAcgBvAGcAZQBuACAAZQB4AGMAcgBlAHQAZQBkACAAYgB5ACAAZABhAGkAcgB5ACAAYwBhAHQAdABsAGUAIABcAHUAMAAwADMAZQAxACAAeQBlAGEAcgAgAG8AbABkAFwAbgBOAEUAXwBqAFwAbgBrAGcAIABOAC8AaABlAGEAZAAvAGQAYQB5AFwAbgBOAEUAXwBqAD0AKABDAFAASQBfAGoALwA2AC4AMgA1ACkALQBOAFIAXwBqAC0AKAAoADEALgAxAFwAXAB0AGkAbQBlAHMAIAAxADAAXgB7AC0ANAB9AFwAXAB0AGkAbQBlAHMAIABXAF8AagBeAHsAMAAuADcANQB9ACkALwA2AC4AMgA1ACkAXABuAEMAUABJAF8AagAgAD0AIABjAHIAdQBkAGUAIABwAHIAbwB0AGUAaQBuACAAaQBuAHQAYQBrAGUAIAAoAGsAZwAvAGgAZQBhAGQALwBkAGEAeQApAFwAbgBOAFIAXwBqACAAPQAgAGEAbQBvAHUAbgB0ACAAbwBmACAAbgBpAHQAcgBvAGcAZQBuACAAcgBlAHQAYQBpAG4AZQBkACAAYgB5ACAAdABoAGUAIABiAG8AZAB5ACAAKABrAGcAIABOAC8AaABlAGEAZAAvAGQAYQB5ACkAXABuAFcAXwBqACAAPQAgAGwAaQB2AGUAdwBlAGkAZwBoAHQAIAAoAGsAZwApAFwAbgAtAC0ALQAtAC0ALQAtAC0ALQAtAC0ALQAtAC0ALQAtAC0ALQAtAC0ALQAtAC0ALQAtAC0ALQAtAC0ALQAtAC0ALQAtAC0ALQAtAC0AXABuACoALwBcAG4AXABuAFYARQBFAFIARwBfADQAXwAzAF8AMQBfADMAXwBfADQAXwBOAGkAdAByAG8AZwBlAG4ARQB4AGMAcgBlAHQAZQBkAEIAeQBEAGEAaQByAHkAQwBhAHQAdABsAGUARwByAGUAYQB0AGUAcgBUAGgAYQBuAE8AbgBlAFkAZQBhAHIAXABuACAAIAA9AEwAQQBNAEIARABBACgAXABuACAAIAAgACAAQwBQAEkAXwBqACwAIABOAFIAXwBqACwAIABXAF8AagAsAFwAbgAgACAAIAAgACgAQwBQAEkAXwBqACAALwAgADYALgAyADUAKQAgAC0AIABOAFIAXwBqACAALQAgACgAKAAxAC4AMQAgACoAIAAxADAAIABeACAALQA0ACAAKgAgAFcAXwBqACAAXgAgADAALgA3ADUAKQAgAC8AIAA2AC4AMgA1ACkAXABuACAAIAApADsAXABuAFwAbgBWAEUARQBSAEcAXwA0AF8AMwBfADEAXwAzAF8AXwA0AF8ATgBpAHQAcgBvAGcAZQBuAEUAeABjAHIAZQB0AGUAZABCAHkARABhAGkAcgB5AEMAYQB0AHQAbABlAEcAcgBlAGEAdABlAHIAVABoAGEAbgBPAG4AZQBZAGUAYQByAF8AVABpAHQAbABlAFwAbgAgACAAPQBMAEEATQBCAEQAQQAoAFwAIgBOAGkAdAByAG8AZwBlAG4AIABlAHgAYwByAGUAdABlAGQAIABiAHkAIABkAGEAaQByAHkAIABjAGEAdAB0AGwAZQAgAGcAcgBlAGEAdABlAHIAIAB0AGgAYQBuACAAbwBuAGUAIAB5AGUAYQByACAAbwBsAGQAXAAiACkAOwBcAG4AXABuAFYARQBFAFIARwBfADQAXwAzAF8AMQBfADMAXwBfADQAXwBOAGkAdAByAG8AZwBlAG4ARQB4AGMAcgBlAHQAZQBkAEIAeQBEAGEAaQByAHkAQwBhAHQAdABsAGUARwByAGUAYQB0AGUAcgBUAGgAYQBuAE8AbgBlAFkAZQBhAHIAXwBWAGEAcgBpAGEAYgBsAGUAXABuACAAIAA9AEwAQQBNAEIARABBACgAXAAiAE4ARQBfAGoAXAAiACkAOwBcAG4AXABuAFYARQBFAFIARwBfADQAXwAzAF8AMQBfADMAXwBfADQAXwBOAGkAdAByAG8AZwBlAG4ARQB4AGMAcgBlAHQAZQBkAEIAeQBEAGEAaQByAHkAQwBhAHQAdABsAGUARwByAGUAYQB0AGUAcgBUAGgAYQBuAE8AbgBlAFkAZQBhAHIAXwBVAG4AaQB0AFwAbgAgACAAPQBMAEEATQBCAEQAQQAoAFwAIgBrAGcAIABOAC8AaABlAGEAZAAvAGQAYQB5AFwAIgApADsAXABuAFwAbgBWAEUARQBSAEcAXwA0AF8AMwBfADEAXwAzAF8AXwA0AF8ATgBpAHQAcgBvAGcAZQBuAEUAeABjAHIAZQB0AGUAZABCAHkARABhAGkAcgB5AEMAYQB0AHQAbABlAEcAcgBlAGEAdABlAHIAVABoAGEAbgBPAG4AZQBZAGUAYQByAF8AUwBvAHUAcgBjAGUAXABuACAAIAA9AEwAQQBNAEIARABBACgAXAAiAFYARQBFAFIARwAgADIAMAAyADYAOgAgADQALgAzAC4AMQAuADMALAAgAEUAcQB1AGEAdABpAG8AbgAgACgANAApAFwAIgApADsAXABuAFwAbgBWAEUARQBSAEcAXwA0AF8AMwBfADEAXwAzAF8AXwA0AF8ATgBpAHQAcgBvAGcAZQBuAEUAeABjAHIAZQB0AGUAZABCAHkARABhAGkAcgB5AEMAYQB0AHQAbABlAEcAcgBlAGEAdABlAHIAVABoAGEAbgBPAG4AZQBZAGUAYQByAF8ATgBJAFIAUgBlAGYAZQByAGUAbgBjAGUAXABuACAAIAA9AEwAQQBNAEIARABBACgAXAAiAFwAIgApADsAXABuAFwAbgBWAEUARQBSAEcAXwA0AF8AMwBfADEAXwAzAF8AXwA0AF8ATgBpAHQAcgBvAGcAZQBuAEUAeABjAHIAZQB0AGUAZABCAHkARABhAGkAcgB5AEMAYQB0AHQAbABlAEcAcgBlAGEAdABlAHIAVABoAGEAbgBPAG4AZQBZAGUAYQByAF8ATABhAHQAZQB4AEUAcQB1AGEAdABpAG8AbgBcAG4AIAAgAD0ATABBAE0AQgBEAEEAKABcACIATgBFAF8AagA9ACgAXABcAGYAcgBhAGMAewBDAFAASQBfAGoAfQB7ADYALgAyADUAfQApAC0ATgBSAF8AagAtAFwAXABsAGUAZgB0AFsAXABcAGYAcgBhAGMAewAxAC4AMQBcAFwAdABpAG0AZQBzADEAMABeAHsALQA0AH0AIABcAFwAdABpAG0AZQBzACAAVwBfAGoAXgB7ADAALgA3ADUAfQB9AHsANgAuADIANQB9AFwAXAByAGkAZwBoAHQAXQBcACIAKQA7AFwAbgBcAG4AVgBFAEUAUgBHAF8ANABfADMAXwAxAF8AMwBfAF8ANABfAE4AaQB0AHIAbwBnAGUAbgBFAHgAYwByAGUAdABlAGQAQgB5AEQAYQBpAHIAeQBDAGEAdAB0AGwAZQBHAHIAZQBhAHQAZQByAFQAaABhAG4ATwBuAGUAWQBlAGEAcgBfAEEAcgBnAHUAbQBlAG4AdABzAFwAbgAgACAAPQBMAEEATQBCAEQAQQAoAFwAbgAgACAAIAAgAE0AQQBLAEUAQQBSAFIAQQBZACgAMwAsACAANAAsAFwAbgAgACAAIAAgACAAIABMAEEATQBCAEQAQQAoAHIALABjACwAXABuACAAIAAgACAAIAAgACAAIABJAE4ARABFAFgAKAB7AFwAbgAgACAAIAAgACAAIAAgACAAIAAgAFwAIgBDAFAASQBfAGoAXAAiACwAIABcACIAYwByAHUAZABlACAAcAByAG8AdABlAGkAbgAgAGkAbgB0AGEAawBlACAAKABrAGcALwBoAGUAYQBkAC8AZABhAHkAKQBcACIALAAgAFwAIgBrAGcALwBoAGUAYQBkAC8AZABhAHkAXAAiACwAIABcACIAQwBhAGwAYwB1AGwAYQB0AGUAZAAgAGYAcgBvAG0AIAA0AC4AMwAuADEALgAzACAAKAA1ACkAXAAiADsAXABuACAAIAAgACAAIAAgACAAIAAgACAAXAAiAE4AUgBfAGoAXAAiACwAIABcACIAYQBtAG8AdQBuAHQAIABvAGYAIABuAGkAdAByAG8AZwBlAG4AIAByAGUAdABhAGkAbgBlAGQAIABiAHkAIAB0AGgAZQAgAGIAbwBkAHkAXAAiACwAIABcACIAawBnACAATgAvAGgAZQBhAGQALwBkAGEAeQBcACIALAAgAFwAIgBDAGEAbABjAHUAbABhAHQAZQBkACAAZgByAG8AbQAgADQALgAzAC4AMQAuADMAIAAoADYAKQBcACIAOwBcAG4AIAAgACAAIAAgACAAIAAgACAAIABcACIAVwBfAGoAXAAiACwAIABcACIAbABpAHYAZQB3AGUAaQBnAGgAdAAgACgAawBnACkAXAAiACwAIABcACIAawBn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1AF8AQwByAHUAZABlAFAAcgBvAHQAZQBpAG4ASQBuAHQAYQBrAGUATwBmAEQAYQBpAHIAeQBDAGEAdAB0AGwAZQBcAG4AQwByAHUAZABlACAAcAByAG8AdABlAGkAbgAgAGkAbgB0AGEAawBlACAAbwBmACAAZABhAGkAcgB5ACAAYwBhAHQAdABsAGUAXABuAEMAUABJAF8AagBcAG4AawBnAC8AaABlAGEAZAAvAGQAYQB5AFwAbgBDAFAASQBfAGoAPQBJAF8AagBcAFwAdABpAG0AZQBzACAAQwBQAF8AagBcAG4ASQBfAGoAIAA9ACAAZAByAHkAIABtAGEAdAB0AGUAcgAgAGkAbgB0AGEAawBlACAAKABrAGcARABNAC8AaABlAGEAZAAvAGQAYQB5ACkAXABuAEMAUABfAGoAIAA9ACAAYwByAHUAZABlACAAcAByAG8AdABlAGkAbgAgAGMAbwBuAHQAZQBuAHQAIABvAGYAIABmAGUAZQBkACAAaQBuAHQAYQBrAGUAIAAoAGYAcgBhAGMAdABpAG8AbgApAFwAbgAtAC0ALQAtAC0ALQAtAC0ALQAtAC0ALQAtAC0ALQAtAC0ALQAtAC0ALQAtAC0ALQAtAC0ALQAtAC0ALQAtAC0ALQAtAC0ALQAtAC0AXABuACoALwBcAG4AXABuAFYARQBFAFIARwBfADQAXwAzAF8AMQBfADMAXwBfADUAXwBDAHIAdQBkAGUAUAByAG8AdABlAGkAbgBJAG4AdABhAGsAZQBPAGYARABhAGkAcgB5AEMAYQB0AHQAbABlAFwAbgAgACAAPQBMAEEATQBCAEQAQQAoAFwAbgAgACAAIAAgAEkAXwBqACwAIABDAFAAXwBqACwAXABuACAAIAAgACAASQBfAGoAIAAqACAAQwBQAF8AagBcAG4AIAAgACkAOwBcAG4AXABuAFYARQBFAFIARwBfADQAXwAzAF8AMQBfADMAXwBfADUAXwBDAHIAdQBkAGUAUAByAG8AdABlAGkAbgBJAG4AdABhAGsAZQBPAGYARABhAGkAcgB5AEMAYQB0AHQAbABlAF8AVABpAHQAbABlAFwAbgAgACAAPQBMAEEATQBCAEQAQQAoAFwAIgBDAHIAdQBkAGUAIABwAHIAbwB0AGUAaQBuACAAaQBuAHQAYQBrAGUAIABvAGYAIABkAGEAaQByAHkAIABjAGEAdAB0AGwAZQBcACIAKQA7AFwAbgBcAG4AVgBFAEUAUgBHAF8ANABfADMAXwAxAF8AMwBfAF8ANQBfAEMAcgB1AGQAZQBQAHIAbwB0AGUAaQBuAEkAbgB0AGEAawBlAE8AZgBEAGEAaQByAHkAQwBhAHQAdABsAGUAXwBWAGEAcgBpAGEAYgBsAGUAXABuACAAIAA9AEwAQQBNAEIARABBACgAXAAiAEMAUABJAF8AagBcACIAKQA7AFwAbgBcAG4AVgBFAEUAUgBHAF8ANABfADMAXwAxAF8AMwBfAF8ANQBfAEMAcgB1AGQAZQBQAHIAbwB0AGUAaQBuAEkAbgB0AGEAawBlAE8AZgBEAGEAaQByAHkAQwBhAHQAdABsAGUAXwBVAG4AaQB0AFwAbgAgACAAPQBMAEEATQBCAEQAQQAoAFwAIgBrAGcALwBoAGUAYQBkAC8AZABhAHkAXAAiACkAOwBcAG4AXABuAFYARQBFAFIARwBfADQAXwAzAF8AMQBfADMAXwBfADUAXwBDAHIAdQBkAGUAUAByAG8AdABlAGkAbgBJAG4AdABhAGsAZQBPAGYARABhAGkAcgB5AEMAYQB0AHQAbABlAF8AUwBvAHUAcgBjAGUAXABuACAAIAA9AEwAQQBNAEIARABBACgAXAAiAFYARQBFAFIARwAgADIAMAAyADYAOgAgADQALgAzAC4AMQAuADMALAAgAEUAcQB1AGEAdABpAG8AbgAgACgANQApAFwAIgApADsAXABuAFwAbgBWAEUARQBSAEcAXwA0AF8AMwBfADEAXwAzAF8AXwA1AF8AQwByAHUAZABlAFAAcgBvAHQAZQBpAG4ASQBuAHQAYQBrAGUATwBmAEQAYQBpAHIAeQBDAGEAdAB0AGwAZQBfAE4ASQBSAFIAZQBmAGUAcgBlAG4AYwBlAFwAbgAgACAAPQBMAEEATQBCAEQAQQAoAFwAIgBcACIAKQA7AFwAbgBcAG4AVgBFAEUAUgBHAF8ANABfADMAXwAxAF8AMwBfAF8ANQBfAEMAcgB1AGQAZQBQAHIAbwB0AGUAaQBuAEkAbgB0AGEAawBlAE8AZgBEAGEAaQByAHkAQwBhAHQAdABsAGUAXwBMAGEAdABlAHgARQBxAHUAYQB0AGkAbwBuAFwAbgAgACAAPQBMAEEATQBCAEQAQQAoAFwAIgBDAFAASQBfAGoAPQBJAF8AagBcAFwAdABpAG0AZQBzACAAQwBQAF8AagBcACIAKQA7AFwAbgBcAG4AVgBFAEUAUgBHAF8ANABfADMAXwAxAF8AMwBfAF8ANQBfAEMAcgB1AGQAZQBQAHIAbwB0AGUAaQBuAEkAbgB0AGEAawBlAE8AZgBEAGEAaQByAHkAQwBhAHQAdABsAGUAXwBBAHIAZwB1AG0AZQBuAHQAcwBcAG4AIAAgAD0ATABBAE0AQgBEAEEAKABcAG4AIAAgACAAIABNAEEASwBFAEEAUgBSAEEAWQAoADIALAAgADQALABcAG4AIAAgACAAIAAgACAATABBAE0AQgBEAEEAKAByACwAYwAsAFwAbgAgACAAIAAgACAAIAAgACAASQBOAEQARQBYACgAewBcAG4AIAAgACAAIAAgACAAIAAgACAAIABcACIASQBfAGoAXAAiACwAIABcACIAZAByAHkAIABtAGEAdAB0AGUAcgAgAGkAbgB0AGEAawBlAFwAIgAsACAAXAAiAGsAZwBEAE0ALwBoAGUAYQBkAC8AZABhAHkAXAAiACwAIABcACIAQwBhAGwAYwB1AGwAYQB0AGUAZAAgAGYAcgBvAG0AIAAzAC4AMwAuADEALgAxACAAKAAzACkAXAAiADsAXABuACAAIAAgACAAIAAgACAAIAAgACAAXAAiAEMAUABfAGoAXAAiACwAIABcACIAYwByAHUAZABlACAAcAByAG8AdABlAGkAbgAgAGMAbwBuAHQAZQBuAHQAIABvAGYAIABmAGUAZQBkACAAaQBuAHQAYQBrAGU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2AF8ATgBpAHQAcgBvAGcAZQBuAFIAZQB0AGEAaQBuAGUAZABCAHkAQgBvAGQAeQBcAG4AQQBtAG8AdQBuAHQAIABvAGYAIABuAGkAdAByAG8AZwBlAG4AIAByAGUAdABhAGkAbgBlAGQAIABiAHkAIAB0AGgAZQAgAGIAbwBkAHkAXABuAE4AUgBfAGoAXABuAGsAZwAgAE4ALwBoAGUAYQBkAC8AZABhAHkAXABuAE4AUgBfAGoAPQAoACgAKAAwAC4AMAAzADIAXABcAHQAaQBtAGUAcwAgAE0AUABfAGoAXABcAHQAaQBtAGUAcwAgADEALgAwADMAKQAvADYALgAzADgAKQArACgAKAAwAC4AMgAxADIALQAwAC4AMAAwADgAXABcAHQAaQBtAGUAcwAgACgATABfAGoALQAyACkALQAoACgAMAAuADEANAAwAC0AMAAuADAAMAA4AFwAXAB0AGkAbQBlAHMAIAAoAEwAXwBqAC0AMgApACkALwAoADEAKwBFAFgAUAAoAC0ANgBcAFwAdABpAG0AZQBzACAAKABaAF8AagAtADAALgA0ACkAKQApACkAKQBcAFwAdABpAG0AZQBzACAAKABMAFcARwBfAGoAXABcAHQAaQBtAGUAcwAgADAALgA5ADIAKQApACkAXABcAHQAaQBtAGUAcwAgACgAMQAvADYALgAyADUAKQBcAG4ATQBQAF8AagAgAD0AIABtAGkAbABrACAAcAByAG8AZAB1AGMAdABpAG8AbgAgACgATAAvAGgAZQBhAGQALwBkAGEAeQApAFwAbgBMAF8AagAgAD0AIABpAG4AdABhAGsAZQAgAHIAZQBsAGEAdABpAHYAZQAgAHQAbwAgAG0AYQBpAG4AdABlAG4AYQBuAGMAZQBcAG4AWgBfAGoAIAA9ACAAcgBlAGwAYQB0AGkAdgBlACAAcwBpAHoAZQBcAG4ATABXAEcAXwBqACAAPQAgAGwAaQB2AGUAdwBlAGkAZwBoAHQAIABnAGEAaQBuACAAKABrAGcALwBkAGEAeQApAFwAbgAtAC0ALQAtAC0ALQAtAC0ALQAtAC0ALQAtAC0ALQAtAC0ALQAtAC0ALQAtAC0ALQAtAC0ALQAtAC0ALQAtAC0ALQAtAC0ALQAtAC0AXABuACoALwBcAG4AXABuAFYARQBFAFIARwBfADQAXwAzAF8AMQBfADMAXwBfADYAXwBOAGkAdAByAG8AZwBlAG4AUgBlAHQAYQBpAG4AZQBkAEIAeQBCAG8AZAB5AFwAbgAgACAAPQBMAEEATQBCAEQAQQAoAFwAbgAgACAAIAAgAE0AUABfAGoALAAgAEwAXwBqACwAIABaAF8AagAsACAATABXAEcAXwBqACwAXABuACAAIAAgACAAKAAoACgAMAAuADAAMwAyACAAKgAgAE0AUABfAGoAIAAqACAAMQAuADAAMwApACAALwAgADYALgAzADgAKQAgACsAIAAoACgAMAAuADIAMQAyACAALQAgADAALgAwADAAOAAgACoAIAAoAEwAXwBqACAALQAgADIAKQAgAC0AIAAoACgAMAAuADEANAAwACAALQAgADAALgAwADAAOAAgACoAIAAoAEwAXwBqACAALQAgADIAKQApACAALwAgACgAMQAgACsAIABFAFgAUAAoAC0ANgAgACoAIAAoAFoAXwBqACAALQAgADAALgA0ACkAKQApACkAKQAgACoAIAAoAEwAVwBHAF8AagAgACoAIAAwAC4AOQAyACkAKQApACAAKgAgACgAMQAgAC8AIAA2AC4AMgA1ACkAXABuACAAIAApADsAXABuAFwAbgBWAEUARQBSAEcAXwA0AF8AMwBfADEAXwAzAF8AXwA2AF8ATgBpAHQAcgBvAGcAZQBuAFIAZQB0AGEAaQBuAGUAZABCAHkAQgBvAGQAeQBfAFQAaQB0AGwAZQBcAG4AIAAgAD0ATABBAE0AQgBEAEEAKABcACIAQQBtAG8AdQBuAHQAIABvAGYAIABuAGkAdAByAG8AZwBlAG4AIAByAGUAdABhAGkAbgBlAGQAIABiAHkAIAB0AGgAZQAgAGIAbwBkAHkAXAAiACkAOwBcAG4AXABuAFYARQBFAFIARwBfADQAXwAzAF8AMQBfADMAXwBfADYAXwBOAGkAdAByAG8AZwBlAG4AUgBlAHQAYQBpAG4AZQBkAEIAeQBCAG8AZAB5AF8AVgBhAHIAaQBhAGIAbABlAFwAbgAgACAAPQBMAEEATQBCAEQAQQAoAFwAIgBOAFIAXwBqAFwAIgApADsAXABuAFwAbgBWAEUARQBSAEcAXwA0AF8AMwBfADEAXwAzAF8AXwA2AF8ATgBpAHQAcgBvAGcAZQBuAFIAZQB0AGEAaQBuAGUAZABCAHkAQgBvAGQAeQBfAFUAbgBpAHQAXABuACAAIAA9AEwAQQBNAEIARABBACgAXAAiAGsAZwAgAE4ALwBoAGUAYQBkAC8AZABhAHkAXAAiACkAOwBcAG4AXABuAFYARQBFAFIARwBfADQAXwAzAF8AMQBfADMAXwBfADYAXwBOAGkAdAByAG8AZwBlAG4AUgBlAHQAYQBpAG4AZQBkAEIAeQBCAG8AZAB5AF8AUwBvAHUAcgBjAGUAXABuACAAIAA9AEwAQQBNAEIARABBACgAXAAiAFYARQBFAFIARwAgADIAMAAyADYAOgAgADQALgAzAC4AMQAuADMALAAgAEUAcQB1AGEAdABpAG8AbgAgACgANgApAFwAIgApADsAXABuAFwAbgBWAEUARQBSAEcAXwA0AF8AMwBfADEAXwAzAF8AXwA2AF8ATgBpAHQAcgBvAGcAZQBuAFIAZQB0AGEAaQBuAGUAZABCAHkAQgBvAGQAeQBfAE4ASQBSAFIAZQBmAGUAcgBlAG4AYwBlAFwAbgAgACAAPQBMAEEATQBCAEQAQQAoAFwAIgBcACIAKQA7AFwAbgBcAG4AVgBFAEUAUgBHAF8ANABfADMAXwAxAF8AMwBfAF8ANgBfAE4AaQB0AHIAbwBnAGUAbgBSAGUAdABhAGkAbgBlAGQAQgB5AEIAbwBkAHkAXwBMAGEAdABlAHgARQBxAHUAYQB0AGkAbwBuAFwAbgAgACAAPQBMAEEATQBCAEQAQQAoAFwAIgBOAFIAXwBqAD0AXABcAGwAZQBmAHQAKABcAFwAZgByAGEAYwB7ADAALgAwADMAMgAgAFwAXAB0AGkAbQBlAHMAIABNAFAAXwBqACAAXABcAHQAaQBtAGUAcwAgADEALgAwADMAfQB7ADYALgAzADgAfQBcAFwAcgBpAGcAaAB0ACkAIAArACAAXABcAGwAZQBmAHQAXABcAHsAXABcAGwAZQBmAHQAKAAwAC4AMgAxADIALQAwAC4AMAAwADgAIABcAFwAdABpAG0AZQBzACAAKABMAF8AagAgAC0AIAAyACkAIAAtACAAXABcAGwAZQBmAHQAWwBcAFwAZgByAGEAYwB7ADAALgAxADQAMAAtADAALgAwADAAOABcAFwAdABpAG0AZQBzACgATABfAGoALQAyACkAfQB7ADEAKwBlAF4AewAtADYAXABcAHQAaQBtAGUAcwAoAFoAXwBqAC0AMAAuADQAKQB9AH0AXABcAHIAaQBnAGgAdABdAFwAXAByAGkAZwBoAHQAKQAgAFwAXAB0AGkAbQBlAHMAIAAoAEwAVwBHAF8AagAgAFwAXAB0AGkAbQBlAHMAIAAwAC4AOQAyACkAXABcAHIAaQBnAGgAdABcAFwAfQAgAFwAXAB0AGkAbQBlAHMAIABcAFwAZgByAGEAYwB7ADEAfQB7ADYALgAyADUAfQBcACIAKQA7AFwAbgBcAG4AVgBFAEUAUgBHAF8ANABfADMAXwAxAF8AMwBfAF8ANgBfAE4AaQB0AHIAbwBnAGUAbgBSAGUAdABhAGkAbgBlAGQAQgB5AEIAbwBkAHkAXwBBAHIAZwB1AG0AZQBuAHQAcwBcAG4AIAAgAD0ATABBAE0AQgBEAEEAKABcAG4AIAAgACAAIABNAEEASwBFAEEAUgBSAEEAWQAoADY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wAXwBqAFwAIgAsACAAXAAiAGkAbgB0AGEAawBlACAAcgBlAGwAYQB0AGkAdgBlACAAdABvACAAbQBhAGkAbgB0AGUAbgBhAG4AYwBlAFwAIgAsACAAXAAiAFwAIgAsACAAXAAiAEMAYQBsAGMAdQBsAGEAdABlAGQAIABmAHIAbwBtACAANAAuADMALgAxAC4AMwAgACgANwApAFwAIgA7AFwAbgAgACAAIAAgACAAIAAgACAAIAAgAFwAIgBaAF8AagBcACIALAAgAFwAIgByAGUAbABhAHQAaQB2AGUAIABzAGkAegBlAFwAIgAsACAAXAAiAFwAIgAsACAAXAAiAEMAYQBsAGMAdQBsAGEAdABlAGQAIABmAHIAbwBtACAANAAuADMALgAxAC4AMwAgACgAOAApAFwAIgA7AFwAbgAgACAAIAAgACAAIAAgACAAIAAgAFwAIgBMAFcARwBfAGoAXAAiACwAIABcACIAbABpAHYAZQB3AGUAaQBnAGgAdAAgAGcAYQBpAG4AXAAiACwAIABcACIAawBnAC8AaABlAGEAZAAvAGQAYQB5AFwAIgAsACAAXAAiAEkAbgBwAHUAdABcACIAXABuACAAIAAgACAAIAAgACAAIAB9ACwAIAByACwAIABjACkAXABuACAAIAAgACAAIAAgACkAXABuACAAIAAgACAAKQBcAG4AIAAgACkAOwBcAG4AXABuAFYARQBFAFIARwBfADQAXwAzAF8AMQBfADMAXwBfADYAXwBOAGkAdAByAG8AZwBlAG4AUgBlAHQAYQBpAG4AZQBkAEIAeQBCAG8AZAB5AF8AVgBhAHIAaQBhAHQAaQBvAG4AXABuACAAIAA9AEwAQQBNAEIARABBACgAXAAiAFYAQQBSAEkAQQBUAEkATwBOACAATwBOACAAUwBPAFUAUgBDAEUAOgAgAEEAZABkAGUAZAAgAGMAaABlAGMAawAgAGYAbwByACAAbQBpAGwAawAgAHAAcgBvAGQAdQBjAHQAaQBvAG4AIABpAG4AcAB1AHQAIAB1AG4AaQB0ACAAYQBuAGQAIABjAGgAbwBvAHMAZQAgAGMAbwByAHIAZQBzAHAAbwBuAGQAaQBuAGcAIABNAFAAXwBqACAAdgBhAGwAdQBlACAAYQBjAGMAbwByAGQAaQBuAGcAbAB5AC4AXAAiACkAOwBcAG4AXABuAC8AKgBcAG4ALQAtAC0ALQAtAC0ALQAtAC0ALQAtAC0ALQAtAC0ALQAtAC0ALQAtAC0ALQAtAC0ALQAtAC0ALQAtAC0ALQAtAC0ALQAtAC0ALQAtAFwAbgBWAEUARQBSAEcAXwA0AF8AMwBfADEAXwAzAF8AXwA3AF8ASQBuAHQAYQBrAGUAUgBlAGwAYQB0AGkAdgBlAFQAbwBNAGEAaQBuAHQAZQBuAGEAbgBjAGUAXABuAEkAbgB0AGEAawBlACAAcgBlAGwAYQB0AGkAdgBlACAAdABvACAAbQBhAGkAbgB0AGUAbgBhAG4AYwBlAFwAbgBMAF8AagBcAG4AcgBhAHQAaQBvAFwAbgBMAF8AagA9AEkAXwBqAC8AKAAoADEALgAxADgANQArADAALgAwADAANAA1ADQAXABcAHQAaQBtAGUAcwAgAFcAXwBqAC0AMAAuADAAMAAwADAAMAAyADYAXABcAHQAaQBtAGUAcwAgAFcAXwBqAF4AMgApAF4AMgBcAFwAdABpAG0AZQBzACAATQBSAF8AagArAE0ASQBfAGoAKQBcAG4ASQBfAGoAIAA9ACAAZAByAHkAIABtAGEAdAB0AGUAcgAgAGkAbgB0AGEAawBlACAAKABrAGcARABNAC8AaABlAGEAZAAvAGQAYQB5ACkAXABuAFcAXwBqACAAPQAgAGwAaQB2AGUAdwBlAGkAZwBoAHQAIAAoAGsAZwApAFwAbgBNAFIAXwBqACAAPQAgAGkAbgBjAHIAZQBhAHMAZQAgAGkAbgAgAG0AZQB0AGEAYgBvAGwAaQBjACAAcgBhAHQAZQAgAHcAaABlAG4AIABwAHIAbwBkAHUAYwBpAG4AZwAgAG0AaQBsAGsAXABuAE0ASQBfAGoAIAA9ACAAYQBkAGQAaQB0AGkAbwBuAGEAbAAgAGkAbgB0AGEAawBlACAAcgBlAHEAdQBpAHIAZQBkACAAZgBvAHIAIABtAGkAbABrACAAcAByAG8AZAB1AGMAdABpAG8AbgAgACgAawBnAEQATQAvAGgAZQBhAGQALwBkAGEAeQApAFwAbgAtAC0ALQAtAC0ALQAtAC0ALQAtAC0ALQAtAC0ALQAtAC0ALQAtAC0ALQAtAC0ALQAtAC0ALQAtAC0ALQAtAC0ALQAtAC0ALQAtAC0AXABuACoALwBcAG4AXABuAFYARQBFAFIARwBfADQAXwAzAF8AMQBfADMAXwBfADcAXwBJAG4AdABhAGsAZQBSAGUAbABhAHQAaQB2AGUAVABvAE0AYQBpAG4AdABlAG4AYQBuAGMAZQBcAG4AIAAgAD0ATABBAE0AQgBEAEEAKABcAG4AIAAgACAAIABJAF8AagAsACAAVwBfAGoALAAgAE0AUgBfAGoALAAgAE0ASQBfAGoALABcAG4AIAAgACAAIABJAF8AagAgAC8AIAAoACgAKAAxAC4AMQA4ADUAIAArACAAMAAuADAAMAA0ADUANAAgACoAIABXAF8AagAgAC0AIAAwAC4AMAAwADAAMAAwADIANgAgACoAIABXAF8AagAgAF4AIAAyACkAIABeACAAMgAgACoAIABNAFIAXwBqACkAIAArACAATQBJAF8AagApAFwAbgAgACAAKQA7AFwAbgBcAG4AVgBFAEUAUgBHAF8ANABfADMAXwAxAF8AMwBfAF8ANwBfAEkAbgB0AGEAawBlAFIAZQBsAGEAdABpAHYAZQBUAG8ATQBhAGkAbgB0AGUAbgBhAG4AYwBlAF8AVABpAHQAbABlAFwAbgAgACAAPQBMAEEATQBCAEQAQQAoAFwAIgBJAG4AdABhAGsAZQAgAHIAZQBsAGEAdABpAHYAZQAgAHQAbwAgAG0AYQBpAG4AdABlAG4AYQBuAGMAZQBcACIAKQA7AFwAbgBcAG4AVgBFAEUAUgBHAF8ANABfADMAXwAxAF8AMwBfAF8ANwBfAEkAbgB0AGEAawBlAFIAZQBsAGEAdABpAHYAZQBUAG8ATQBhAGkAbgB0AGUAbgBhAG4AYwBlAF8AVgBhAHIAaQBhAGIAbABlAFwAbgAgACAAPQBMAEEATQBCAEQAQQAoAFwAIgBMAF8AagBcACIAKQA7AFwAbgBcAG4AVgBFAEUAUgBHAF8ANABfADMAXwAxAF8AMwBfAF8ANwBfAEkAbgB0AGEAawBlAFIAZQBsAGEAdABpAHYAZQBUAG8ATQBhAGkAbgB0AGUAbgBhAG4AYwBlAF8AVQBuAGkAdABcAG4AIAAgAD0ATABBAE0AQgBEAEEAKABcACIAcgBhAHQAaQBvAFwAIgApADsAXABuAFwAbgBWAEUARQBSAEcAXwA0AF8AMwBfADEAXwAzAF8AXwA3AF8ASQBuAHQAYQBrAGUAUgBlAGwAYQB0AGkAdgBlAFQAbwBNAGEAaQBuAHQAZQBuAGEAbgBjAGUAXwBTAG8AdQByAGMAZQBcAG4AIAAgAD0ATABBAE0AQgBEAEEAKABcACIAVgBFAEUAUgBHACAAMgAwADIANgA6ACAANAAuADMALgAxAC4AMwAsACAARQBxAHUAYQB0AGkAbwBuACAAKAA3ACkAXAAiACkAOwBcAG4AXABuAFYARQBFAFIARwBfADQAXwAzAF8AMQBfADMAXwBfADcAXwBJAG4AdABhAGsAZQBSAGUAbABhAHQAaQB2AGUAVABvAE0AYQBpAG4AdABlAG4AYQBuAGMAZQBfAE4ASQBSAFIAZQBmAGUAcgBlAG4AYwBlAFwAbgAgACAAPQBMAEEATQBCAEQAQQAoAFwAIgBcACIAKQA7AFwAbgBcAG4AVgBFAEUAUgBHAF8ANABfADMAXwAxAF8AMwBfAF8ANwBfAEkAbgB0AGEAawBlAFIAZQBsAGEAdABpAHYAZQBUAG8ATQBhAGkAbgB0AGUAbgBhAG4AYwBlAF8ATABhAHQAZQB4AEUAcQB1AGEAdABpAG8AbgBcAG4AIAAgAD0ATABBAE0AQgBEAEEAKABcACIATABfAGoAPQBcAFwAZgByAGEAYwB7AEkAXwBqAH0AewAoADEALgAxADgANQArADAALgAwADAANAA1ADQAXABcAHQAaQBtAGUAcwAgAFcAXwBqAC0AMAAuADAAMAAwADAAMAAyADYAXABcAHQAaQBtAGUAcwAgAFcAXwBqAF4AMgApAF4AMgBcAFwAdABpAG0AZQBzACAATQBSAF8AagArAE0ASQBfAGoAfQBcACIAKQA7AFwAbgBcAG4AVgBFAEUAUgBHAF8ANABfADMAXwAxAF8AMwBfAF8ANwBfAEkAbgB0AGEAawBlAFIAZQBsAGEAdABpAHYAZQBUAG8ATQBhAGkAbgB0AGUAbgBhAG4AYwBlAF8AQQByAGcAdQBtAGUAbgB0AHMAXABuACAAIAA9AEwAQQBNAEIARABBACgAXABuACAAIAAgACAATQBBAEsARQBBAFIAUgBBAFkAKAA0ACwAIAA0ACwAXABuACAAIAAgACAAIAAgAEwAQQBNAEIARABBACgAcgAsAGMALABcAG4AIAAgACAAIAAgACAAIAAgAEkATgBEAEUAWAAoAHsAXABuACAAIAAgACAAIAAgACAAIAAgACAAXAAiAEkAXwBqAFwAIgAsACAAXAAiAGQAcgB5ACAAbQBhAHQAdABlAHIAIABpAG4AdABhAGsAZQBcACIALAAgAFwAIgBrAGcARABNAC8AaABlAGEAZAAvAGQAYQB5AFwAIgAsACAAXAAiAEMAYQBsAGMAdQBsAGEAdABlAGQAIABmAHIAbwBtACAAMwAuADMALgAxAC4AMQAgACgAMwApAFwAIgA7AFwAbgAgACAAIAAgACAAIAAgACAAIAAgAFwAIgBXAF8AagBcACIALAAgAFwAIgBsAGkAdgBlAHcAZQBpAGcAaAB0AFwAIgAsACAAXAAiAGsAZwAvAGgAZQBhAGQAXAAiACwAIABcACIASQBuAHAAdQB0AFwAIgA7AFwAbgAgACAAIAAgACAAIAAgACAAIAAgAFwAIgBNAFIAXwBqAFwAIgAsACAAXAAiAGkAbgBjAHIAZQBhAHMAZQAgAGkAbgAgAG0AZQB0AGEAYgBvAGwAaQBjACAAcgBhAHQAZQAgAHcAaABlAG4AIABwAHIAbwBkAHUAYwBpAG4AZwAgAG0AaQBsAGsAXAAiACwAIABcACIAXAAiACwAIABcACIAQwBvAG4AcwB0AGEAbgB0AFwAIgA7AFwAbgAgACAAIAAgACAAIAAgACAAIAAgAFwAIgBNAEkAXwBqAFwAIgAsACAAXAAiAGEAZABkAGkAdABpAG8AbgBhAGwAIABpAG4AdABhAGsAZQAgAHIAZQBxAHUAaQByAGUAZAAgAGYAbwByACAAbQBpAGwAawAgAHAAcgBvAGQAdQBjAHQAaQBvAG4AXAAiACwAIABcACIAawBnAEQATQAvAGgAZQBhAGQALwBkAGEAeQBcACIALAAgAFwAIgBDAGEAbABjAHUAbABhAHQAZQBkACAAZgByAG8AbQAgADMALgAzAC4AMQAuADEAIAAoADQAKQ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4AF8AUgBlAGwAYQB0AGkAdgBlAFMAaQB6AGUAXABuAFIAZQBsAGEAdABpAHYAZQAgAHMAaQB6AGUAXABuAFoAXwBqAFwAbgByAGEAdABpAG8AXABuAFoAXwBqAD0AVwBfAGoALwBXAFIAXwBqAFwAbgBXAF8AagAgAD0AIABsAGkAdgBlAHcAZQBpAGcAaAB0ACAAKABrAGcAKQBcAG4AVwBSAF8AagAgAD0AIAByAGUAZgBlAHIAZQBuAGMAZQAgAHcAZQBpAGcAaAB0ACAAKABrAGcAKQBcAG4ALQAtAC0ALQAtAC0ALQAtAC0ALQAtAC0ALQAtAC0ALQAtAC0ALQAtAC0ALQAtAC0ALQAtAC0ALQAtAC0ALQAtAC0ALQAtAC0ALQAtAFwAbgAqAC8AXABuAFwAbgBWAEUARQBSAEcAXwA0AF8AMwBfADEAXwAzAF8AXwA4AF8AUgBlAGwAYQB0AGkAdgBlAFMAaQB6AGUAXABuACAAIAA9AEwAQQBNAEIARABBACgAXABuACAAIAAgACAAVwBfAGoALAAgAFcAUgBfAGoALABcAG4AIAAgACAAIABXAF8AagAgAC8AIABXAFIAXwBqAFwAbgAgACAAKQA7AFwAbgBcAG4AVgBFAEUAUgBHAF8ANABfADMAXwAxAF8AMwBfAF8AOABfAFIAZQBsAGEAdABpAHYAZQBTAGkAegBlAF8AVABpAHQAbABlAFwAbgAgACAAPQBMAEEATQBCAEQAQQAoAFwAIgBSAGUAbABhAHQAaQB2AGUAIABzAGkAegBlAFwAIgApADsAXABuAFwAbgBWAEUARQBSAEcAXwA0AF8AMwBfADEAXwAzAF8AXwA4AF8AUgBlAGwAYQB0AGkAdgBlAFMAaQB6AGUAXwBWAGEAcgBpAGEAYgBsAGUAXABuACAAIAA9AEwAQQBNAEIARABBACgAXAAiAFoAXwBqAFwAIgApADsAXABuAFwAbgBWAEUARQBSAEcAXwA0AF8AMwBfADEAXwAzAF8AXwA4AF8AUgBlAGwAYQB0AGkAdgBlAFMAaQB6AGUAXwBVAG4AaQB0AFwAbgAgACAAPQBMAEEATQBCAEQAQQAoAFwAIgByAGEAdABpAG8AXAAiACkAOwBcAG4AXABuAFYARQBFAFIARwBfADQAXwAzAF8AMQBfADMAXwBfADgAXwBSAGUAbABhAHQAaQB2AGUAUwBpAHoAZQBfAFMAbwB1AHIAYwBlAFwAbgAgACAAPQBMAEEATQBCAEQAQQAoAFwAIgBWAEUARQBSAEcAIAAyADAAMgA2ADoAIAA0AC4AMwAuADEALgAzACwAIABFAHEAdQBhAHQAaQBvAG4AIAAoADgAKQBcACIAKQA7AFwAbgBcAG4AVgBFAEUAUgBHAF8ANABfADMAXwAxAF8AMwBfAF8AOABfAFIAZQBsAGEAdABpAHYAZQBTAGkAegBlAF8ATgBJAFIAUgBlAGYAZQByAGUAbgBjAGUAXABuACAAIAA9AEwAQQBNAEIARABBACgAXAAiAFwAIgApADsAXABuAFwAbgBWAEUARQBSAEcAXwA0AF8AMwBfADEAXwAzAF8AXwA4AF8AUgBlAGwAYQB0AGkAdgBlAFMAaQB6AGUAXwBMAGEAdABlAHgARQBxAHUAYQB0AGkAbwBuAFwAbgAgACAAPQBMAEEATQBCAEQAQQAoAFwAIgBaAF8AagA9AFwAXABmAHIAYQBjAHsAVwBfAGoAfQB7AFcAUgBfAGoAfQBcACIAKQA7AFwAbgBcAG4AVgBFAEUAUgBHAF8ANABfADMAXwAxAF8AMwBfAF8AOABfAFIAZQBsAGEAdABpAHYAZQBTAGkAegBlAF8AQQByAGcAdQBtAGUAbgB0AHMAXABuACAAIAA9AEwAQQBNAEIARABBACgAXABuACAAIAAgACAATQBBAEsARQBBAFIAUgBBAFkAKAAyACwAIAA0ACwAXABuACAAIAAgACAAIAAgAEwAQQBNAEIARABBACgAcgAsAGMALABcAG4AIAAgACAAIAAgACAAIAAgAEkATgBEAEUAWAAoAHsAXABuACAAIAAgACAAIAAgACAAIAAgACAAXAAiAFcAXwBqAFwAIgAsACAAXAAiAGwAaQB2AGUAdwBlAGkAZwBoAHQAXAAiACwAIABcACIAawBnAC8AaABlAGEAZABcACIALAAgAFwAIgBJAG4AcAB1AHQAXAAiADsAXABuACAAIAAgACAAIAAgACAAIAAgACAAXAAiAFcAUgBfAGoAXAAiACwAIABcACIAcgBlAGYAZQByAGUAbgBjAGUAIAB3AGUAaQBnAGgAdABcACIALAAgAFwAIgBrAGcALwBoAGUAYQBkAFwAIgAsACAAXAAiAEMAbwBuAHMAdABhAG4AdABcACIAXABuACAAIAAgACAAIAAgACAAIAB9ACwAIAByACwAIABjACkAXABuACAAIAAgACAAIAAgACkAXABuACAAIAAgACAAKQBcAG4AIAAgACkAOwBcAG4AIgB9ACwAewAiAHAAYQB0AGgAIgA6ACIALwBwAHIAbwBqAGUAYwB0AHMALwBFAG4AdABlAHIAaQBjAE0AZQB0AGgAYQBuAGUAXwBEAGEAaQByAHkAXwBFAHEAdQBhAHQAaQBvAG4AcwAiACwAIgB0AGUAeAB0ACIAOgAiAC8AKgBcAG4APQA9AD0APQA9AD0APQA9AD0APQA9AD0APQA9AD0APQA9AD0APQA9AD0APQA9AD0APQA9AD0APQA9AD0APQA9AD0APQA9AD0APQA9AD0APQA9AD0APQA9AD0APQA9AD0APQA9AD0APQA9AD0APQA9AD0APQA9AD0APQA9AD0APQA9AD0APQA9AD0APQA9AD0APQA9AD0APQBcAG4AMwAuADMAOgAgAEUAbgB0AGUAcgBpAGMAIABNAGUAdABoAGEAbgBlACAALQAgAEQAYQBpAHIAeQAgAEMAYQB0AHQAbABlAFwAbgA9AD0APQA9AD0APQA9AD0APQA9AD0APQA9AD0APQA9AD0APQA9AD0APQA9AD0APQA9AD0APQA9AD0APQA9AD0APQA9AD0APQA9AD0APQA9AD0APQA9AD0APQA9AD0APQA9AD0APQA9AD0APQA9AD0APQA9AD0APQA9AD0APQA9AD0APQA9AD0APQA9AD0APQA9AD0APQA9AFwAbgAzAC4AMwAuADEALgAxACAATQBlAHQAaABvAGQAIAAxACAALQAgAEUAbgB0AGUAcgBpAGMAIABEAGEAaQByAHkAIABDAGEAdAB0AGwAZ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z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ZABhAGkAcgB5ACAAYwBhAHQAdABsAGUAXABuAEUAXwBlAG4AdABlAHIAaQBjAFwAbgB0ACAAQwBIADQAXABuAEUAXwB7AGUAbgB0AGUAcgBpAGMAfQA9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G4ATgBfAGoAMQAyADQAIAA9ACAAbgB1AG0AYgBlAHIAIABvAGYAIABkAGEAaQByAHkAIABjAGEAdAB0AGwAZQAgAGkAbgAgAGMAbABhAHMAcwBlAHMAIABqAD0AMQAsADIALAA0ACAAKABoAGUAYQBkACkAXABuAE0AXwBqADEAMgA0ACAAPQAgAGQAYQBpAGwAeQAgAGUAbgB0AGUAcgBpAGMAIABtAGUAdABoAGEAbgBlACAAcAByAG8AZAB1AGMAdABpAG8AbgAgAGYAbwByACAAYwBsAGEAcwBzAGUAcwAgAGoAPQAxACwAMgAsADQAIAAoAGsAZwAgAEMASAA0AC8AaABlAGEAZAAvAGQAYQB5ACkAXABuAEQAXwBqADEAMgA0ACAAPQAgAGQAdQByAGEAdABpAG8AbgAgAG8AZgAgAHMAdABhAHkAIABvAG4AIAB0AGgAZQAgAGYAYQByAG0AIABmAG8AcgAgAGMAbABhAHMAcwBlAHMAIABqAD0AMQAsADIALAA0ACAAKABkAGEAeQBzACkAXABuAE4AXwBqADMANQAgAD0AIABuAHUAbQBiAGUAcgAgAG8AZgAgAGQAYQBpAHIAeQAgAGMAYQB0AHQAbABlACAAaQBuACAAYwBsAGEAcwBzAGUAcwAgAGoAPQAzACwANQAgACgAaABlAGEAZAApAFwAbgBNAF8AagAzADUAIAA9ACAAZABhAGkAbAB5ACAAZQBuAHQAZQByAGkAYwAgAG0AZQB0AGgAYQBuAGUAIABwAHIAbwBkAHUAYwB0AGkAbwBuACAAZgBvAHIAIABjAGwAYQBzAHMAZQBzACAAagA9ADMALAA1ACAAKABrAGcAIABDAEgANAAvAGgAZQBhAGQALwBkAGEAeQApAFwAbgBEAF8AagAzADUAIAA9ACAAZAB1AHIAYQB0AGkAbwBuACAAbwBmACAAcwB0AGEAeQAgAG8AbgAgAHQAaABlACAAZgBhAHIAbQAgAGYAbwByACAAYwBsAGEAcwBzAGUAcwAgAGoAPQAzACwANQAgACgAZABhAHkAcwApAFwAbgBNAFAAVwBfAEUATgBUAEUAUgBJAEMAXwBqADMANQAgAD0AIABkAGEAaQBsAHkAIABtAGUAdABoAGEAbgBlACAAcAByAG8AZAB1AGMAdABpAG8AbgAgAGYAbwByACAAcAByAGUALQB3AGUAYQBuAGUAZAAgAGgAZQBpAGYAZQByACAAYQBuAGQAIABiAHUAbABsACAAYwBhAGwAdgBlAHMAIAAoAGsAZwAgAEMASAA0AC8AaABlAGEAZAAvAGQAYQB5ACkAXABuAC0ALQAtAC0ALQAtAC0ALQAtAC0ALQAtAC0ALQAtAC0ALQAtAC0ALQAtAC0ALQAtAC0ALQAtAC0ALQAtAC0ALQAtAC0ALQAtAC0ALQBcAG4AKgAvAFwAbgBcAG4AVgBFAEUAUgBHAF8AMwBfADMAXwAxAF8AMQBfAF8AMQBfAFQAbwB0AGEAbABBAG4AbgB1AGEAbABNAGUAdABoAGEAbgBlAEYAcgBvAG0ARQBuAHQAZQByAGkAYwBGAGUAcgBtAGUAbgB0AGEAdABpAG8AbgBcAG4AIAAgAD0ATABBAE0AQgBEAEEAKABcAG4AIAAgACAAIABOAF8AagAxADIANAAsACAATQBfAGoAMQAyADQALAAgAEQAXwBqADEAMgA0ACwAIABOAF8AagAzADUALAAgAE0AXwBqADMANQAsACAARABfAGoAMwA1ACwAIABNAFAAVwBfAEUATgBUAEUAUgBJAEMAXwBqADMANQAsAFwAbgAgACAAIAAgACgAKABOAF8AagAxADIANAAgACoAIABNAF8AagAxADIANAAgACoAIABEAF8AagAxADIANAApACAAKwAgACgATgBfAGoAMwA1ACAAKgAgAE0AXwBqADMANQAgACoAIABEAF8AagAzADUAKQAgACsAIAAoAE4AXwBqADMANQAgACoAIABNAFAAVwBfAEUATgBUAEUAUgBJAEMAXwBqADMANQAgACoAIABEAF8AagAzADUAKQApACAAKgAgADEAMAAgAF4AIAAtADMAXABuACAAIAApADsAXABuAFwAbgBWAEUARQBSAEcAXwAzAF8AMwBfADEAXwAxAF8AXwAxAF8AVABvAHQAYQBsAEEAbgBuAHUAYQBsAE0AZQB0AGgAYQBuAGUARgByAG8AbQBFAG4AdABlAHIAaQBjAEYAZQByAG0AZQBuAHQAYQB0AGkAbwBuAFYAYQByAGkAYQB0AGkAbwBuAFwAbgAgACAAPQBMAEEATQBCAEQAQQAoAFwAbgAgACAAIAAgAE4AXwBqADEAMgA0ACwAIABNAF8AagAxADIANAAsACAARABfAGoAMQAyADQALAAgAE4AXwBqADMANQAsACAATQBfAGoAMwA1ACwAIABEAF8AagAzADUALAAgAEQAUABX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UABXAF8AagAzADUAKQApACAAKgAgADEAMAAgAF4AIAAtADMAXABuACAAIAApADsAXABuAFwAbgBWAEUARQBSAEcAXwAzAF8AMw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QAYQBpAHIAeQAgAGMAYQB0AHQAbABlAFwAIgApADsAXABuAFwAbgBWAEUARQBSAEcAXwAzAF8AMwBfADEAXwAxAF8AXwAxAF8AVABvAHQAYQBsAEEAbgBuAHUAYQBsAE0AZQB0AGgAYQBuAGUARgByAG8AbQBFAG4AdABlAHIAaQBjAEYAZQByAG0AZQBuAHQAYQB0AGkAbwBuAF8AVgBhAHIAaQBhAGIAbABlAFwAbgAgACAAPQBMAEEATQBCAEQAQQAoAFwAIgBFAF8AZQBuAHQAZQByAGkAYwBcACIAKQA7AFwAbgBcAG4AVgBFAEUAUgBHAF8AMwBfADMAXwAxAF8AMQBfAF8AMQBfAFQAbwB0AGEAbABBAG4AbgB1AGEAbABNAGUAdABoAGEAbgBlAEYAcgBvAG0ARQBuAHQAZQByAGkAYwBGAGUAcgBtAGUAbgB0AGEAdABpAG8AbgBfAFUAbgBpAHQAXABuACAAIAA9AEwAQQBNAEIARABBACgAXAAiAHQAIABDAEgANABcACIAKQA7AFwAbgBcAG4AVgBFAEUAUgBHAF8AMwBfADMAXwAxAF8AMQBfAF8AMQBfAFQAbwB0AGEAbABBAG4AbgB1AGEAbABNAGUAdABoAGEAbgBlAEYAcgBvAG0ARQBuAHQAZQByAGkAYwBGAGUAcgBtAGUAbgB0AGEAdABpAG8AbgBfAFMAbwB1AHIAYwBlAFwAbgAgACAAPQBMAEEATQBCAEQAQQAoAFwAIgBWAEUARQBSAEcAIAAyADAAMgA2ADoAIAAzAC4AMwAuADEALgAxACwAIABFAHEAdQBhAHQAaQBvAG4AIAAoADEAKQBcACIAKQA7AFwAbgBcAG4AVgBFAEUAUgBHAF8AMwBfADMAXwAxAF8AMQBfAF8AMQBfAFQAbwB0AGEAbABBAG4AbgB1AGEAbABNAGUAdABoAGEAbgBlAEYAcgBvAG0ARQBuAHQAZQByAGkAYwBGAGUAcgBtAGUAbgB0AGEAdABpAG8AbgBfAE4ASQBSAFIAZQBmAGUAcgBlAG4AYwBlAFwAbgAgACAAPQBMAEEATQBCAEQAQQAoAFwAIgBcACIAKQA7AFwAbgBcAG4AVgBFAEUAUgBHAF8AMwBfADMAXwAxAF8AMQBfAF8AMQBfAFQAbwB0AGEAbABBAG4AbgB1AGEAbABNAGUAdABoAGEAbgBlAEYAcgBvAG0ARQBuAHQAZQByAGkAYwBGAGUAcgBtAGUAbgB0AGEAdABpAG8AbgBfAEwAYQB0AGUAeABFAHEAd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8AewBqAD0AMwAsADUAfQApACkAXABcAHQAaQBtAGUAcwAgADEAMABeAHsALQAzAH0AXAAiACkAOwBcAG4AXABuAFYARQBFAFIARwBfADMAXwAzAF8AMQBfADEAXwBfADEAXwBUAG8AdABhAGwAQQBuAG4AdQBhAGwATQBlAHQAaABhAG4AZQBGAHIAbwBtAEUAbgB0AGUAcgBpAGMARgBlAHIAbQBlAG4AdABhAHQAaQBvAG4AXwBMAGEAdABlAHgARQBxAHUAYQB0AGkAbwBuAFYAYQByAGkAYQB0AGkAbwBuAFwAbgAgACAAPQBMAEEATQBCAEQAQQAoAFwAIgBFAF8AewBlAG4AdABlAHIAaQBjAH0APQBcAFwAcwB1AG0AXABcAG4AbwBsAGkAbQBpAHQAcwBfAGo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QAFcAXwB7AGoAPQAzACwANQB9ACkAKQBcAFwAdABpAG0AZQBzACAAMQAwAF4AewAtADMAfQBcACIAKQA7AFwAbgBcAG4AVgBFAEUAUgBHAF8AMwBfADMAXwAxAF8AMQBfAF8AMQBfAFQAbwB0AGEAbABBAG4AbgB1AGEAbABNAGUAdABoAGEAbgBlAEYAcgBvAG0ARQBuAHQAZQByAGkAYwBGAGUAcgBtAGUAbgB0AGEAdABpAG8AbgBfAEEAcgBnAHUAbQBlAG4AdABzAFwAbgAgACAAPQBMAEEATQBCAEQAQQAoAFwAbgAgACAAIAAgAE0AQQBLAEUAQQBSAFIAQQBZACgAOAAsACAANAAsAFwAbgAgACAAIAAgACAAIABMAEEATQBCAEQAQQAoAHIALABjACwAXABuACAAIAAgACAAIAAgACAAIABJAE4ARABFAFgAKAB7AFwAbgAgACAAIAAgACAAIAAgACAAIAAgAFwAIgBOAF8AagAxADIANABcACIALAAgAFwAIgBuAHUAbQBiAGUAcgAgAG8AZgAgAGQAYQBpAHIAeQAgAGMAYQB0AHQAbABlACAAaQBuACAAYwBsAGEAcwBzAGUAcwAgAGoAPQAxACwAMgAsADQAXAAiACwAIABcACIAaABlAGEAZABcACIALAAgAFwAIgBJAG4AcAB1AHQAXAAiADsAXABuACAAIAAgACAAIAAgACAAIAAgACAAXAAiAE0AXwBqADEAMgA0AFwAIgAsACAAXAAiAGQAYQBpAGwAeQAgAGUAbgB0AGUAcgBpAGMAIABtAGUAdABoAGEAbgBlACAAcAByAG8AZAB1AGMAdABpAG8AbgAgAGYAbwByACAAYwBsAGEAcwBzAGUAcwAgAGoAPQAxACwAMgAsADQAXAAiACwAIABcACIAawBnACAAQwBIADQALwBoAGUAYQBkAC8AZABhAHkAXAAiACwAIABcACIAQwBhAGwAYwB1AGwAYQB0AGUAZAAgAGYAcgBvAG0AIAAzAC4AMwAuADEALgAxACAAKAAyACkAXAAiADsAXABuACAAIAAgACAAIAAgACAAIAAgACAAXAAiAEQAXwBqADEAMgA0AFwAIgAsACAAXAAiAGQAdQByAGEAdABpAG8AbgAgAG8AZgAgAHMAdABhAHkAIABvAG4AIAB0AGgAZQAgAGYAYQByAG0AIABmAG8AcgAgAGMAbABhAHMAcwBlAHMAIABqAD0AMQAsADIALAA0AFwAIgAsACAAXAAiAGQAYQB5AHMAXAAiACwAIABcACIASQBuAHAAdQB0AFwAIgA7AFwAbgAgACAAIAAgACAAIAAgACAAIAAgAFwAIgBOAF8AagAzADUAXAAiACwAIABcACIAbgB1AG0AYgBlAHIAIABvAGYAIABkAGEAaQByAHkAIABjAGEAdAB0AGwAZQAgAGkAbgAgAGMAbABhAHMAcwBlAHMAIABqAD0AMwAsADUAXAAiACwAIABcACIAaABlAGEAZABcACIALAAgAFwAIgBJAG4AcAB1AHQAXAAiADsAXABuACAAIAAgACAAIAAgACAAIAAgACAAXAAiAE0AXwBqADMANQBcACIALAAgAFwAIgBkAGEAaQBsAHkAIABlAG4AdABlAHIAaQBjACAAbQBlAHQAaABhAG4AZQAgAHAAcgBvAGQAdQBjAHQAaQBvAG4AIABmAG8AcgAgAHcAZQBhAG4AZQBkACAAYwBsAGEAcwBzAGUAcwAgAGoAPQAzACwANQBcACIALAAgAFwAIgBrAGcAIABDAEgANAAvAGgAZQBhAGQALwBkAGEAeQBcACIALAAgAFwAIgBDAGEAbABjAHUAbABhAHQAZQBkACAAZgByAG8AbQAgADMALgAzAC4AMQAuADEAIAAoADIAKQBcACIAOwBcAG4AIAAgACAAIAAgACAAIAAgACAAIABcACIARABfAGoAMwA1AFwAIgAsACAAXAAiAGQAdQByAGEAdABpAG8AbgAgAG8AZgAgAHMAdABhAHkAIABvAG4AIAB0AGgAZQAgAGYAYQByAG0AIABmAG8AcgAgAHcAZQBhAG4AZQBkACAAYwBsAGEAcwBzAGUAcwAgAGoAPQAzACwANQBcACIALAAgAFwAIgBkAGEAeQBzAFwAIgAsACAAXAAiAEkAbgBwAHUAdABcACIAOwBcAG4AIAAgACAAIAAgACAAIAAgACAAIABcACIARABQAFcAXwBqADMANQBcACIALAAgAFwAIgBkAHUAcgBhAHQAaQBvAG4AIABvAGYAIABzAHQAYQB5ACAAbwBuACAAdABoAGUAIABmAGEAcgBtACAAZgBvAHIAIABwAHIAZQAtAHcAZQBhAG4AZQBkACAAaABlAGkAZgBlAHIAIABhAG4AZAAgAGIAdQBsAGwAIABjAGEAbAB2AGUAcwBcACIALAAgAFwAIgBkAGEAeQBzAFwAIgAsACAAXAAiAEkAbgBwAHUAdABcACIAOwBcAG4AIAAgACAAIAAgACAAIAAgACAAIABcACIATQBQAFcAXwBFAE4AVABFAFIASQBDAF8AagAzADUAXAAiACwAIABcACIAZABhAGkAbAB5ACAAbQBlAHQAaABhAG4AZQAgAHAAcgBvAGQAdQBjAHQAaQBvAG4AIABmAG8AcgAgAHAAcgBlAC0AdwBlAGEAbgBlAGQAIABoAGUAaQBmAGUAcgAgAGEAbgBkACAAYgB1AGwAbAAgAGMAYQBsAHYAZQBzAFwAIgAsACAAXAAiAGsAZwAgAEMASAA0AC8AaABlAGEAZAAvAGQAYQB5AFwAIgAsACAAXAAiAEMAbwBuAHMAdABhAG4AdABcACIAXABuAFwAbgAgACAAIAAgACAAIAAgACAAfQAsACAAcgAsACAAYwApAFwAbgAgACAAIAAgACAAIAApAFwAbgAgACAAIAAgACkAXABuACAAIAApADsAXABuAFwAbgBWAEUARQBSAEcAXwAzAF8AMwBfADEAXwAxAF8AXwAxAF8AVABvAHQAYQBsAEEAbgBuAHUAYQBsAE0AZQB0AGgAYQBuAGUARgByAG8AbQBFAG4AdABlAHIAaQBjAEYAZQByAG0AZQBuAHQAYQB0AGkAbwBuAF8AVgBhAHIAaQBhAHQAaQBvAG4AXABuACAAIAA9AEwAQQBNAEIARABBACgAXAAiAFYAQQBSAEkAQQBUAEkATwBOACAATwBOACAAUwBPAFUAUgBDAEUAOgAgAEEAZABkAGUAZAAgAFwAdQAwADAAMgA3AEQAUABXAFwAdQAwADAAMgA3ACAAdgBhAHIAaQBhAGIAbABlACAAdABvACAAYQBsAGwAbwB3ACAAZgBvAHIAIABhACAAcwBlAHAAYQByAGEAdABlACAAaABhAG4AZABsAGkAbgBnACAAbwBmACAAcAByAGUALQB3AGUAYQBuAGUAZAAgAGQAdQByAGEAdABpAG8AbgAuAFwAIgApADsAXABuAFwAbgAvACoAXABuAC0ALQAtAC0ALQAtAC0ALQAtAC0ALQAtAC0ALQAtAC0ALQAtAC0ALQAtAC0ALQAtAC0ALQAtAC0ALQAtAC0ALQAtAC0ALQAtAC0ALQBcAG4AVgBFAEUAUgBHAF8AMwBfADMAXwAxAF8AMQBfAF8AMgBfAEQAYQBpAGwAeQBFAG4AdABlAHIAaQBjAE0AZQB0AGgAYQBuAGUAUAByAG8AZAB1AGMAdABpAG8AbgBcAG4ARABhAGkAbAB5ACAAcAByAG8AZAB1AGMAdABpAG8AbgAgAG8AZgAgAGUAbgB0AGUAcgBpAGMAIABtAGUAdABoAGEAbgBlAFwAbgBNAF8AagBcAG4AawBnACAAQwBIADQALwBoAGUAYQBkAC8AZABhAHkAXABuAE0AXwBqAD0AMgAwAC4ANwBcAFwAdABpAG0AZQBzACAASQBfAGoAXABcAHQAaQBtAGUAcwAgADEAMABeAHsALQAzAH0AXABuAEkAXwBqACAAPQAgAGQAcgB5ACAAbQBhAHQAdABlAHIAIABmAGUAZQBkACAAaQBuAHQAYQBrAGUAIAAoAGsAZwAgAEQATQAvAGgAZQBhAGQALwBkAGEAeQApAFwAbgAtAC0ALQAtAC0ALQAtAC0ALQAtAC0ALQAtAC0ALQAtAC0ALQAtAC0ALQAtAC0ALQAtAC0ALQAtAC0ALQAtAC0ALQAtAC0ALQAtAC0AXABuACoALwBcAG4AXABuAFYARQBFAFIARwBfADMAXwAzAF8AMQBfADEAXwBfADIAXwBEAGEAaQBsAHkARQBuAHQAZQByAGkAYwBNAGUAdABoAGEAbgBlAFAAcgBvAGQAdQBjAHQAaQBvAG4AXABuACAAIAA9AEwAQQBNAEIARABBACgAXABuACAAIAAgACAASQBfAGoALABcAG4AIAAgACAAIAAyADAALgA3ACAAKgAgAEkAXwBqACAAKgAgADEAMAAgAF4AIAAtADMAXABuACAAIAApADsAXABuAFwAbgBWAEUARQBSAEcAXwAzAF8AMw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zAF8AMQBfADEAXwBfADIAXwBEAGEAaQBsAHkARQBuAHQAZQByAGkAYwBNAGUAdABoAGEAbgBlAFAAcgBvAGQAdQBjAHQAaQBvAG4AXwBWAGEAcgBpAGEAYgBsAGUAXABuACAAIAA9AEwAQQBNAEIARABBACgAXAAiAE0AXwBqAFwAIgApADsAXABuAFwAbgBWAEUARQBSAEcAXwAzAF8AMwBfADEAXwAxAF8AXwAyAF8ARABhAGkAbAB5AEUAbgB0AGUAcgBpAGMATQBlAHQAaABhAG4AZQBQAHIAbwBkAHUAYwB0AGkAbwBuAF8AVQBuAGkAdABcAG4AIAAgAD0ATABBAE0AQgBEAEEAKABcACIAawBnACAAQwBIADQALwBoAGUAYQBkAC8AZABhAHkAXAAiACkAOwBcAG4AXABuAFYARQBFAFIARwBfADMAXwAzAF8AMQBfADEAXwBfADIAXwBEAGEAaQBsAHkARQBuAHQAZQByAGkAYwBNAGUAdABoAGEAbgBlAFAAcgBvAGQAdQBjAHQAaQBvAG4AXwBTAG8AdQByAGMAZQBcAG4AIAAgAD0ATABBAE0AQgBEAEEAKABcACIAVgBFAEUAUgBHACAAMgAwADIANgA6ACAAMwAuADMALgAxAC4AMQAsACAARQBxAHUAYQB0AGkAbwBuACAAKAAyACkAXAAiACkAOwBcAG4AXABuAFYARQBFAFIARwBfADMAXwAzAF8AMQBfADEAXwBfADIAXwBEAGEAaQBsAHkARQBuAHQAZQByAGkAYwBNAGUAdABoAGEAbgBlAFAAcgBvAGQAdQBjAHQAaQBvAG4AXwBOAEkAUgBSAGUAZgBlAHIAZQBuAGMAZQBcAG4AIAAgAD0ATABBAE0AQgBEAEEAKABcACIAQwBoAGEAcgBtAGwAZQB5ACAAZQB0ACAAYQBsAC4AIAAoADIAMAAxADUAKQBcACIAKQA7AFwAbgBcAG4AVgBFAEUAUgBHAF8AMwBfADMAXwAxAF8AMQBfAF8AMgBfAEQAYQBpAGwAeQBFAG4AdABlAHIAaQBjAE0AZQB0AGgAYQBuAGUAUAByAG8AZAB1AGMAdABpAG8AbgBfAEwAYQB0AGUAeABFAHEAdQBhAHQAaQBvAG4AXABuACAAIAA9AEwAQQBNAEIARABBACgAXAAiAE0AXwBqAD0AMgAwAC4ANwBcAFwAdABpAG0AZQBzACAASQBfAGoAXABcAHQAaQBtAGUAcwAgADEAMABeAHsALQAzAH0AXAAiACkAOwBcAG4AXABuAFYARQBFAFIARwBfADMAXwAz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XAAiACwAIABcACIAZAByAHkAIABtAGEAdAB0AGUAcgAgAGYAZQBlAGQAIABpAG4AdABhAGsAZQBcACIALAAgAFwAIgBrAGcAIABEAE0ALwBoAGUAYQBkAC8AZABhAHkAXAAiACwAIABcACIAQwBhAGwAYwB1AGwAYQB0AGUAZAAgAGYAcgBvAG0AIAAzAC4AMwAuADEALgAxACAAKAAz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MwBfAEQAcgB5AE0AYQB0AHQAZQByAEYAZQBlAGQASQBuAHQAYQBrAGUAXABuAEYAZQBlAGQAIABpAG4AdABhAGsAZQBcAG4ASQBfAGoAXABuAGsAZwAgAEQATQAvAGgAZQBhAGQALwBkAGEAeQBcAG4ASQBfAGoAPQAoADEALgAxADgANQArADAALgAwADAANAA1ADQAXABcAHQAaQBtAGUAcwAgAFcAXwBqAC0AMAAuADAAMAAwADAAMAAyADYAXABcAHQAaQBtAGUAcwAgAFcAXwBqAF4AMgArADAALgAzADEANQBcAFwAdABpAG0AZQBzACAATABXAEcAXwBqACkAXgAyAFwAXAB0AGkAbQBlAHMAIABNAFIAXwBqACsATQBJAF8AagBcAG4AVwBfAGoAIAA9ACAAbABpAHYAZQB3AGUAaQBnAGgAdAAgACgAawBnACkAXABuAEwAVwBHAF8AagAgAD0AIABsAGkAdgBlAHcAZQBpAGcAaAB0ACAAZwBhAGkAbgAgACgAawBnAC8AaABlAGEAZAAvAGQAYQB5ACkAXABuAE0AUgBfAGoAIAA9ACAAaQBuAGMAcgBlAGEAcwBlACAAaQBuACAAbQBlAHQAYQBiAG8AbABpAGMAIAByAGEAdABlACAAdwBoAGUAbgAgAHAAcgBvAGQAdQBjAGkAbgBnACAAbQBpAGwAawAgACgAZgByAGEAYwB0AGkAbwBuACkAXABuAE0ASQBfAGoAIAA9ACAAYQBkAGQAaQB0AGkAbwBuAGEAbAAgAGkAbgB0AGEAawBlACAAcgBlAHEAdQBpAHIAZQBkACAAZgBvAHIAIABtAGkAbABrACAAcAByAG8AZAB1AGMAdABpAG8AbgAgACgAawBnACAARABNAC8AaABlAGEAZAAvAGQAYQB5ACkAXABuAC0ALQAtAC0ALQAtAC0ALQAtAC0ALQAtAC0ALQAtAC0ALQAtAC0ALQAtAC0ALQAtAC0ALQAtAC0ALQAtAC0ALQAtAC0ALQAtAC0ALQBcAG4AKgAvAFwAbgBcAG4AVgBFAEUAUgBHAF8AMwBfADMAXwAxAF8AMQBfAF8AMwBfAEQAcgB5AE0AYQB0AHQAZQByAEYAZQBlAGQASQBuAHQAYQBrAGUAXABuACAAIAA9AEwAQQBNAEIARABBACgAXABuACAAIAAgACAAVwBfAGoALAAgAEwAVwBHAF8AagAsACAATQBSAF8AagAsACAATQBJAF8AagAsAFwAbgAgACAAIAAgACgAMQAuADEAOAA1ACAAKwAgADAALgAwADAANAA1ADQAIAAqACAAVwBfAGoAIAAtACAAMAAuADAAMAAwADAAMAAyADYAIAAqACAAVwBfAGoAIABeACAAMgAgACsAIAAwAC4AMwAxADUAIAAqACAATABXAEcAXwBqACkAIABeACAAMgAgACoAIABNAFIAXwBqACAAKwAgAE0ASQBfAGoAXABuACAAIAApADsAXABuAFwAbgBWAEUARQBSAEcAXwAzAF8AMwBfADEAXwAxAF8AXwAzAF8ARAByAHkATQBhAHQAdABlAHIARgBlAGUAZABJAG4AdABhAGsAZQBfAFQAaQB0AGwAZQBcAG4AIAAgAD0ATABBAE0AQgBEAEEAKABcACIARgBlAGUAZAAgAGkAbgB0AGEAawBlAFwAIgApADsAXABuAFwAbgBWAEUARQBSAEcAXwAzAF8AMwBfADEAXwAxAF8AXwAzAF8ARAByAHkATQBhAHQAdABlAHIARgBlAGUAZABJAG4AdABhAGsAZQBfAFYAYQByAGkAYQBiAGwAZQBcAG4AIAAgAD0ATABBAE0AQgBEAEEAKABcACIASQBfAGoAXAAiACkAOwBcAG4AXABuAFYARQBFAFIARwBfADMAXwAzAF8AMQBfADEAXwBfADMAXwBEAHIAeQBNAGEAdAB0AGUAcgBGAGUAZQBkAEkAbgB0AGEAawBlAF8AVQBuAGkAdABcAG4AIAAgAD0ATABBAE0AQgBEAEEAKABcACIAawBnACAARABNAC8AaABlAGEAZAAvAGQAYQB5AFwAIgApADsAXABuAFwAbgBWAEUARQBSAEcAXwAzAF8AMwBfADEAXwAxAF8AXwAzAF8ARAByAHkATQBhAHQAdABlAHIARgBlAGUAZABJAG4AdABhAGsAZQBfAFMAbwB1AHIAYwBlAFwAbgAgACAAPQBMAEEATQBCAEQAQQAoAFwAIgBWAEUARQBSAEcAIAAyADAAMgA2ADoAIAAzAC4AMwAuADEALgAxACwAIABFAHEAdQBhAHQAaQBvAG4AIAAoADMAKQBcACIAKQA7AFwAbgBcAG4AVgBFAEUAUgBHAF8AMwBfADMAXwAxAF8AMQBfAF8AMwBfAEQAcgB5AE0AYQB0AHQAZQByAEYAZQBlAGQASQBuAHQAYQBrAGUAXwBOAEkAUgBSAGUAZgBlAHIAZQBuAGMAZQBcAG4AIAAgAD0ATABBAE0AQgBEAEEAKABcACIAXAAiACkAOwBcAG4AXABuAFYARQBFAFIARwBfADMAXwAzAF8AMQBfADEAXwBfADMAXwBEAHIAeQBNAGEAdAB0AGUAcgBGAGUAZQBkAEkAbgB0AGEAawBlAF8ATABhAHQAZQB4AEUAcQB1AGEAdABpAG8AbgBcAG4AIAAgAD0ATABBAE0AQgBEAEEAKABcACIASQBfAGoAPQAoADEALgAxADgANQArADAALgAwADAANAA1ADQAXABcAHQAaQBtAGUAcwAgAFcAXwBqAC0AMAAuADAAMAAwADAAMAAyADYAXABcAHQAaQBtAGUAcwAgAFcAXwBqAF4AMgArADAALgAzADEANQBcAFwAdABpAG0AZQBzACAATABXAEcAXwBqACkAXgAyAFwAXAB0AGkAbQBlAHMAIABNAFIAXwBqACsATQBJAF8AagBcACIAKQA7AFwAbgBcAG4AVgBFAEUAUgBHAF8AMwBfADMAXwAxAF8AMQBfAF8AMwBfAEQAcgB5AE0AYQB0AHQAZQByAEYAZQBlAGQASQBuAHQAYQBrAGUAXwBBAHIAZwB1AG0AZQBuAHQAcwBcAG4AIAAgAD0ATABBAE0AQgBEAEEAKABcAG4AIAAgACAAIABNAEEASwBFAEEAUgBSAEEAWQAoADQALAAgADQALABcAG4AIAAgACAAIAAgACAATABBAE0AQgBEAEEAKAByACwAYwAsAFwAbgAgACAAIAAgACAAIAAgACAASQBOAEQARQBYACgAewBcAG4AIAAgACAAIAAgACAAIAAgACAAIABcACIAVwBfAGoAXAAiACwAIABcACIAbABpAHYAZQB3AGUAaQBnAGgAdABcACIALAAgAFwAIgBrAGcAXAAiACwAIABcACIASQBuAHAAdQB0AFwAIgA7AFwAbgAgACAAIAAgACAAIAAgACAAIAAgAFwAIgBMAFcARwBfAGoAXAAiACwAIABcACIAbABpAHYAZQB3AGUAaQBnAGgAdAAgAGcAYQBpAG4AXAAiACwAIABcACIAawBnAC8AaABlAGEAZAAvAGQAYQB5AFwAIgAsACAAXAAiAEkAbgBwAHUAdABcACIAOwBcAG4AIAAgACAAIAAgACAAIAAgACAAIABcACIATQBSAF8AagBcACIALAAgAFwAIgBpAG4AYwByAGUAYQBzAGUAIABpAG4AIABtAGUAdABhAGIAbwBsAGkAYwAgAHIAYQB0AGUAIAB3AGgAZQBuACAAcAByAG8AZAB1AGMAaQBuAGcAIABtAGkAbABrAFwAIgAsACAAXAAiAGYAcgBhAGMAdABpAG8AbgBcACIALAAgAFwAIgBDAG8AbgBzAHQAYQBuAHQAXAAiADsAXABuACAAIAAgACAAIAAgACAAIAAgACAAXAAiAE0ASQBfAGoAXAAiACwAIABcACIAYQBkAGQAaQB0AGkAbwBuAGEAbAAgAGkAbgB0AGEAawBlACAAcgBlAHEAdQBpAHIAZQBkACAAZgBvAHIAIABtAGkAbABrACAAcAByAG8AZAB1AGMAdABpAG8AbgBcACIALAAgAFwAIgBrAGcAIABEAE0ALwBoAGUAYQBkAC8AZABhAHkAXAAiACwAIABcACIAQwBhAGwAYwB1AGwAYQB0AGUAZAAgAGYAcgBvAG0AIAAzAC4AMwAuADEALgAxACAAKAA0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NABfAEEAZABkAGkAdABpAG8AbgBhAGwASQBuAHQAYQBrAGUARgBvAHIATQBpAGwAawBQAHIAbwBkAHUAYwB0AGkAbwBuAFwAbgBBAGQAZABpAHQAaQBvAG4AYQBsACAAaQBuAHQAYQBrAGUAIAByAGUAcQB1AGkAcgBlAGQAIABmAG8AcgAgAG0AaQBsAGsAIABwAHIAbwBkAHUAYwB0AGkAbwBuAFwAbgBNAEkAXwBqAFwAbgBrAGcAIABEAE0ALwBoAGUAYQBkAC8AZABhAHkAXABuAE0ASQBfAGoAPQAoAE0AUABfAGoAXABcAHQAaQBtAGUAcwAgADEALgAwADMAXABcAHQAaQBtAGUAcwAgAE4ARQApAC8AKABHAEUAQwBcAFwAdABpAG0AZQBzACAAawBcAFwAdABpAG0AZQBzACAAcQBtAF8AagApAFwAbgBNAFAAXwBqACAAPQAgAG0AaQBsAGsAIABwAHIAbwBkAHUAYwB0AGkAbwBuACAAKABMAC8AaABlAGEAZAAvAGQAYQB5ACkAXABuAE4ARQAgAD0AIABuAGUAdAAgAGUAbgBlAHIAZwB5ACAAKABNAEoAIABuAGUAdAAgAGUAbgBlAHIAZwB5AC8AawBnACAAbQBpAGwAawApAFwAbgBHAEUAQwAgAD0AIABnAHIAbwBzAHMAIABlAG4AZQByAGcAeQAgAGMAbwBuAHQAZQBuAHQAIAAoAE0ASgAvAGsAZwBEAE0AKQBcAG4AawAgAD0AIABlAGYAZgBpAGMAaQBlAG4AYwB5ACAAbwBmACAAbQBlAHQAYQBiAG8AbABpAHoAYQBiAGwAZQAgAGUAbgBlAHIAZwB5ACAAdQBzAGUAIABmAG8AcgAgAG0AaQBsAGsAIABwAHIAbwBkAHUAYwB0AGkAbwBuACAAKABmAHIAYQBjAHQAaQBvAG4AKQBcAG4AcQBtAF8AagAgAD0AIABtAGUAdABhAGIAbwBsAGkAcwBhAGIAaQBsAGkAdAB5ACAAbwBmACAAdABoAGUAIABkAGkAZQB0ACAAKABmAHIAYQBjAHQAaQBvAG4AKQBcAG4ALQAtAC0ALQAtAC0ALQAtAC0ALQAtAC0ALQAtAC0ALQAtAC0ALQAtAC0ALQAtAC0ALQAtAC0ALQAtAC0ALQAtAC0ALQAtAC0ALQAtAFwAbgAqAC8AXABuAFwAbgBWAEUARQBSAEcAXwAzAF8AMwBfADEAXwAxAF8AXwA0AF8AQQBkAGQAaQB0AGkAbwBuAGEAbABJAG4AdABhAGsAZQBGAG8AcgBNAGkAbABrAFAAcgBvAGQAdQBjAHQAaQBvAG4AXABuACAAIAA9AEwAQQBNAEIARABBACgAXABuACAAIAAgACAATQBQAF8AagAsACAATgBFACwAIABHAEUAQwAsACAAawAsACAAcQBtAF8AagAsAFwAbgAgACAAIAAgACgATQBQAF8AagAgACoAIAAxAC4AMAAzACAAKgAgAE4ARQApACAALwAgACgARwBFAEMAIAAqACAAawAgACoAIABxAG0AXwBqACkAXABuACAAIAApADsAXABuAFwAbgBWAEUARQBSAEcAXwAzAF8AMwBfADEAXwAxAF8AXwA0AF8AQQBkAGQAaQB0AGkAbwBuAGEAbABJAG4AdABhAGsAZQBGAG8AcgBNAGkAbABrAFAAcgBvAGQAdQBjAHQAaQBvAG4AXwBUAGkAdABsAGUAXABuACAAIAA9AEwAQQBNAEIARABBACgAXAAiAEEAZABkAGkAdABpAG8AbgBhAGwAIABpAG4AdABhAGsAZQAgAHIAZQBxAHUAaQByAGUAZAAgAGYAbwByACAAbQBpAGwAawAgAHAAcgBvAGQAdQBjAHQAaQBvAG4AXAAiACkAOwBcAG4AXABuAFYARQBFAFIARwBfADMAXwAzAF8AMQBfADEAXwBfADQAXwBBAGQAZABpAHQAaQBvAG4AYQBsAEkAbgB0AGEAawBlAEYAbwByAE0AaQBsAGsAUAByAG8AZAB1AGMAdABpAG8AbgBfAFYAYQByAGkAYQBiAGwAZQBcAG4AIAAgAD0ATABBAE0AQgBEAEEAKABcACIATQBJAF8AagBcACIAKQA7AFwAbgBcAG4AVgBFAEUAUgBHAF8AMwBfADMAXwAxAF8AMQBfAF8ANABfAEEAZABkAGkAdABpAG8AbgBhAGwASQBuAHQAYQBrAGUARgBvAHIATQBpAGwAawBQAHIAbwBkAHUAYwB0AGkAbwBuAF8AVQBuAGkAdABcAG4AIAAgAD0ATABBAE0AQgBEAEEAKABcACIAawBnACAARABNAC8AaABlAGEAZAAvAGQAYQB5AFwAIgApADsAXABuAFwAbgBWAEUARQBSAEcAXwAzAF8AMwBfADEAXwAxAF8AXwA0AF8AQQBkAGQAaQB0AGkAbwBuAGEAbABJAG4AdABhAGsAZQBGAG8AcgBNAGkAbABrAFAAcgBvAGQAdQBjAHQAaQBvAG4AXwBTAG8AdQByAGMAZQBcAG4AIAAgAD0ATABBAE0AQgBEAEEAKABcACIAVgBFAEUAUgBHACAAMgAwADIANgA6ACAAMwAuADMALgAxAC4AMQAsACAARQBxAHUAYQB0AGkAbwBuACAAKAA0ACkAXAAiACkAOwBcAG4AXABuAFYARQBFAFIARwBfADMAXwAzAF8AMQBfADEAXwBfADQAXwBBAGQAZABpAHQAaQBvAG4AYQBsAEkAbgB0AGEAawBlAEYAbwByAE0AaQBsAGsAUAByAG8AZAB1AGMAdABpAG8AbgBfAE4ASQBSAFIAZQBmAGUAcgBlAG4AYwBlAFwAbgAgACAAPQBMAEEATQBCAEQAQQAoAFwAIgBcACIAKQA7AFwAbgBcAG4AVgBFAEUAUgBHAF8AMwBfADMAXwAxAF8AMQBfAF8ANABfAEEAZABkAGkAdABpAG8AbgBhAGwASQBuAHQAYQBrAGUARgBvAHIATQBpAGwAawBQAHIAbwBkAHUAYwB0AGkAbwBuAF8ATABhAHQAZQB4AEUAcQB1AGEAdABpAG8AbgBcAG4AIAAgAD0ATABBAE0AQgBEAEEAKABcACIATQBJAF8AagA9AFwAXABmAHIAYQBjAHsATQBQAF8AagBcAFwAdABpAG0AZQBzACAAMQAuADAAMwBcAFwAdABpAG0AZQBzACAATgBFAH0AewBHAEUAQwBcAFwAdABpAG0AZQBzACAAawBcAFwAdABpAG0AZQBzACAAcQBtAF8AagB9AFwAIgApADsAXABuAFwAbgBWAEUARQBSAEcAXwAzAF8AMwBfADEAXwAxAF8AXwA0AF8AQQBkAGQAaQB0AGkAbwBuAGEAbABJAG4AdABhAGsAZQBGAG8AcgBNAGkAbABrAFAAcgBvAGQAdQBjAHQAaQBvAG4AXwBBAHIAZwB1AG0AZQBuAHQAcwBcAG4AIAAgAD0ATABBAE0AQgBEAEEAKABcAG4AIAAgACAAIABNAEEASwBFAEEAUgBSAEEAWQAoADc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4ARQBcACIALAAgAFwAIgBuAGUAdAAgAGUAbgBlAHIAZwB5AFwAIgAsACAAXAAiAE0ASgAgAG4AZQB0ACAAZQBuAGUAcgBnAHkALwBrAGcAIABtAGkAbABrAFwAIgAsACAAXAAiAEMAbwBuAHMAdABhAG4AdABcACIAOwBcAG4AIAAgACAAIAAgACAAIAAgACAAIABcACIARwBFAEMAXAAiACwAIABcACIAZwByAG8AcwBzACAAZQBuAGUAcgBnAHkAIABjAG8AbgB0AGUAbgB0AFwAIgAsACAAXAAiAE0ASgAvAGsAZwBEAE0AXAAiACwAIABcACIAQwBvAG4AcwB0AGEAbgB0AFwAIgA7AFwAbgAgACAAIAAgACAAIAAgACAAIAAgAFwAIgBrAFwAIgAsACAAXAAiAGUAZgBmAGkAYwBpAGUAbgBjAHkAIABvAGYAIABtAGUAdABhAGIAbwBsAGkAegBhAGIAbABlACAAZQBuAGUAcgBnAHkAIAB1AHMAZQAgAGYAbwByACAAbQBpAGwAawAgAHAAcgBvAGQAdQBjAHQAaQBvAG4AXAAiACwAIABcACIAZgByAGEAYwB0AGkAbwBuAFwAIgAsACAAXAAiAEMAbwBuAHMAdABhAG4AdABcACIAOwBcAG4AIAAgACAAIAAgACAAIAAgACAAIABcACIAcQBtAF8AagBcACIALAAgAFwAIgBtAGUAdABhAGIAbwBsAGkAcwBhAGIAaQBsAGkAdAB5ACAAbwBmACAAdABoAGUAIABkAGkAZQB0AFwAIgAsACAAXAAiAGYAcgBhAGMAdABpAG8AbgBcACIALAAgAFwAIgBDAGEAbABjAHUAbABhAHQAZQBkACAAZgByAG8AbQAgADMALgAzAC4AMQAuADEAIAAoADYAKQBcACIAXABuACAAIAAgACAAIAAgACAAIAB9ACwAIAByACwAIABjACkAXABuACAAIAAgACAAIAAgACkAXABuACAAIAAgACAAKQBcAG4AIAAgACkAOwBcAG4AXABuAFYARQBFAFIARwBfADMAXwAzAF8AMQBfADEAXwBfADQAXwBBAGQAZABpAHQAaQBvAG4AYQBsAEkAbgB0AGEAawBlAEYAbwByAE0AaQBsAGsAUAByAG8AZAB1AGMAdABpAG8AbgBfAFYAYQByAGkAYQB0AGkAbwBuAFwAbgAgACAAPQBMAEEATQBCAEQAQQAoAFwAIgBWAEEAUgBBAFQASQBPAE4AIABPAE4AIABTAE8AVQBSAEMARQA6ACAAQQBkAGQAZQBkACAAbQBpAGwAawAgAHAAcgBvAGQAdQBjAHQAaQBvAG4AIAB1AG4AaQB0ACAAdgBhAHIAaQBhAGIAbABlACAAdABvACAAYQBsAGwAbwB3ACAAZgBvAHIAIAB1AHMAZQAgAG8AZgAgAGUAaQB0AGgAZQByACAAbQBpAGwAawAgAHMAbwBsAGkAZABzACAAbwByACAAbABpAHQAcgBlAHMAIABvAGYAIABtAGkAbABrAC4AXAAiACkAOwBcAG4AXABuAC8AKgBcAG4ALQAtAC0ALQAtAC0ALQAtAC0ALQAtAC0ALQAtAC0ALQAtAC0ALQAtAC0ALQAtAC0ALQAtAC0ALQAtAC0ALQAtAC0ALQAtAC0ALQAtAFwAbgBWAEUARQBSAEcAXwAzAF8AMwBfADEAXwAxAF8AXwA1AF8ATQBpAGwAawBQAHIAbwBkAHUAYwB0AGkAbwBuAEYAcgBvAG0ATQBpAGwAawBTAG8AbABpAGQAcwBcAG4ATQBpAGwAawAgAHAAcgBvAGQAdQBjAHQAaQBvAG4AIABjAG8AbgB2AGUAcgB0AGUAZAAgAGYAcgBvAG0AIABtAGkAbABrACAAcwBvAGwAaQBkAHMAXABuAE0AUABfAGoAXABuAEwALwBoAGUAYQBkAC8AZABhAHkAXABuAE0AUABfAGoAPQBNAFMAXwBqAC8AKAAwAC4AMAAxAFwAXAB0AGkAbQBlAHMAIAAoAEYAQwBfAGoAKwBQAEMAXwBqACkAKQBcAG4ATQBTAF8AagAgAD0AIABkAGEAaQBsAHkAIABwAHIAbwBkAHUAYwB0AGkAbwBuACAAbwBmACAAbQBpAGwAawAgAHMAbwBsAGkAZABzACAAKABrAGcAIABNAFMALwBoAGUAYQBkAC8AZABhAHkAKQBcAG4ARgBDAF8AagAgAD0AIABmAGEAdAAgAGMAbwBuAHQAZQBuAHQAIABpAG4AIABmAGEAdAAgAGEAbgBkACAAcAByAG8AdABlAGkAbgAgAGMAbwByAHIAZQBjAHQAZQBkACAAbQBpAGwAawAgACgAcABlAHIAIABjAGUAbgB0ACkAXABuAFAAQwBfAGoAIAA9ACAAcAByAG8AdABlAGkAbgAgAGMAbwBuAHQAZQBuAHQAIABpAG4AIABmAGEAdAAgAGEAbgBkACAAcAByAG8AdABlAGkAbgAgAGMAbwByAHIAZQBjAHQAZQBkACAAbQBpAGwAawAgACgAcABlAHIAIABjAGUAbgB0ACkAXABuAC0ALQAtAC0ALQAtAC0ALQAtAC0ALQAtAC0ALQAtAC0ALQAtAC0ALQAtAC0ALQAtAC0ALQAtAC0ALQAtAC0ALQAtAC0ALQAtAC0ALQBcAG4AKgAvAFwAbgBcAG4AVgBFAEUAUgBHAF8AMwBfADMAXwAxAF8AMQBfAF8ANQBfAE0AaQBsAGsAUAByAG8AZAB1AGMAdABpAG8AbgBGAHIAbwBtAE0AaQBsAGsAUwBvAGwAaQBkAHMAXABuACAAIAA9AEwAQQBNAEIARABBACgAXABuACAAIAAgACAATQBTAF8AagAsACAARgBDAF8AagAsACAAUABDAF8AagAsAFwAbgAgACAAIAAgAE0AUwBfAGoAIAAvACAAKAAwAC4AMAAxACAAKgAgACgARgBDAF8AagAgACsAIABQAEMAXwBqACkAKQBcAG4AIAAgACkAOwBcAG4AXABuAFYARQBFAFIARwBfADMAXwAzAF8AMQBfADEAXwBfADUAXwBNAGkAbABrAFAAcgBvAGQAdQBjAHQAaQBvAG4ARgByAG8AbQBNAGkAbABrAFMAbwBsAGkAZABzAF8AVABpAHQAbABlAFwAbgAgACAAPQBMAEEATQBCAEQAQQAoAFwAIgBNAGkAbABrACAAcAByAG8AZAB1AGMAdABpAG8AbgAgAGMAbwBuAHYAZQByAHQAZQBkACAAZgByAG8AbQAgAG0AaQBsAGsAIABzAG8AbABpAGQAcwBcACIAKQA7AFwAbgBcAG4AVgBFAEUAUgBHAF8AMwBfADMAXwAxAF8AMQBfAF8ANQBfAE0AaQBsAGsAUAByAG8AZAB1AGMAdABpAG8AbgBGAHIAbwBtAE0AaQBsAGsAUwBvAGwAaQBkAHMAXwBWAGEAcgBpAGEAYgBsAGUAXABuACAAIAA9AEwAQQBNAEIARABBACgAXAAiAE0AUABfAGoAXAAiACkAOwBcAG4AXABuAFYARQBFAFIARwBfADMAXwAzAF8AMQBfADEAXwBfADUAXwBNAGkAbABrAFAAcgBvAGQAdQBjAHQAaQBvAG4ARgByAG8AbQBNAGkAbABrAFMAbwBsAGkAZABzAF8AVQBuAGkAdABcAG4AIAAgAD0ATABBAE0AQgBEAEEAKABcACIATAAvAGgAZQBhAGQALwBkAGEAeQBcACIAKQA7AFwAbgBcAG4AVgBFAEUAUgBHAF8AMwBfADMAXwAxAF8AMQBfAF8ANQBfAE0AaQBsAGsAUAByAG8AZAB1AGMAdABpAG8AbgBGAHIAbwBtAE0AaQBsAGsAUwBvAGwAaQBkAHMAXwBTAG8AdQByAGMAZQBcAG4AIAAgAD0ATABBAE0AQgBEAEEAKABcACIAVgBFAEUAUgBHACAAMgAwADIANgA6ACAAMwAuADMALgAxAC4AMQAsACAARQBxAHUAYQB0AGkAbwBuACAAKAA1ACkAXAAiACkAOwBcAG4AXABuAFYARQBFAFIARwBfADMAXwAzAF8AMQBfADEAXwBfADUAXwBNAGkAbABrAFAAcgBvAGQAdQBjAHQAaQBvAG4ARgByAG8AbQBNAGkAbABrAFMAbwBsAGkAZABzAF8ATgBJAFIAUgBlAGYAZQByAGUAbgBjAGUAXABuACAAIAA9AEwAQQBNAEIARABBACgAXAAiAFwAIgApADsAXABuAFwAbgBWAEUARQBSAEcAXwAzAF8AMwBfADEAXwAxAF8AXwA1AF8ATQBpAGwAawBQAHIAbwBkAHUAYwB0AGkAbwBuAEYAcgBvAG0ATQBpAGwAawBTAG8AbABpAGQAcwBfAEwAYQB0AGUAeABFAHEAdQBhAHQAaQBvAG4AXABuACAAIAA9AEwAQQBNAEIARABBACgAXAAiAE0AUABfAGoAPQBcAFwAZgByAGEAYwB7AE0AUwBfAGoAfQB7ADAALgAwADEAXABcAHQAaQBtAGUAcwAgACgARgBDAF8AagArAFAAQwBfAGoAKQB9AFwAIgApADsAXABuAFwAbgBWAEUARQBSAEcAXwAzAF8AMwBfADEAXwAxAF8AXwA1AF8ATQBpAGwAawBQAHIAbwBkAHUAYwB0AGkAbwBuAEYAcgBvAG0ATQBpAGwAawBTAG8AbABpAGQAcwBfAEEAcgBnAHUAbQBlAG4AdABzAFwAbgAgACAAPQBMAEEATQBCAEQAQQAoAFwAbgAgACAAIAAgAE0AQQBLAEUAQQBSAFIAQQBZACgANA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SQBuAHAAdQB0AFwAIgA7AFwAbgAgACAAIAAgACAAIAAgACAAIAAgAFwAIgBQAEMAXwBqAFwAIgAsACAAXAAiAHAAcgBvAHQAZQBpAG4AIABjAG8AbgB0AGUAbgB0ACAAaQBuACAAZgBhAHQAIABhAG4AZAAgAHAAcgBvAHQAZQBpAG4AIABjAG8AcgByAGUAYwB0AGUAZAAgAG0AaQBsAGsAXAAiACwAIABcACIAcABlAHIAIABjAGUAbgB0AFwAIgAsACAAXAAiAEkAbgBwAHUAdABcACIAXABuACAAIAAgACAAIAAgACAAIAB9ACwAIAByACwAIABjACkAXABuACAAIAAgACAAIAAgACkAXABuACAAIAAgACAAKQBcAG4AIAAgACkAOwBcAG4AXABuAFYARQBFAFIARwBfADMAXwAzAF8AMQBfADEAXwBfADUAXwBNAGkAbABrAFAAcgBvAGQAdQBjAHQAaQBvAG4ARgByAG8AbQBNAGkAbABrAFMAbwBsAGkAZABzAF8AQQByAGcAdQBtAGUAbgB0AHMAXwBNAGUAdABoAG8AZAAyAFwAbgAgACAAPQBMAEEATQBCAEQAQQAoAFwAbgAgACAAIAAgAE0AQQBLAEUAQQBSAFIAQQBZACgANAAsACAANAAsAFwAbgAgACAAIAAgACAAIABMAEEATQBCAEQAQQAoAHIALABjACwAXABuACAAIAAgACAAIAAgACAAIABJAE4ARABFAFgAKAB7AFwAbgAgACAAIAAgACAAIAAgACAAIAAgAFwAIgBNAFAAVQBcACIALAAgAFwAIg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SQBuAHAAdQB0AFwAIgA7AFwAbgAgACAAIAAgACAAIAAgACAAIAAgAFwAIgBQAEMAXwBqAFwAIgAsACAAXAAiAHAAcgBvAHQAZQBpAG4AIABjAG8AbgB0AGUAbgB0ACAAaQBuACAAZgBhAHQAIABhAG4AZAAgAHAAcgBvAHQAZQBpAG4AIABjAG8AcgByAGUAYwB0AGUAZAAgAG0AaQBsAGsAXAAiACwAIABcACIAcABlAHIAIABjAGUAbgB0AFwAIgAsACAAXAAiAEkAbgBwAHUAdABcACIAXABuACAAIAAgACAAIAAgACAAIAB9ACwAIAByACwAIABjACkAXABuACAAIAAgACAAIAAgACkAXABuACAAIAAgACAAKQBcAG4AIAAgACkAOwBcAG4AXABuAFYARQBFAFIARwBfADMAXwAzAF8AMQBfADEAXwBfADUAXwBNAGkAbABrAFAAcgBvAGQAdQBjAHQAaQBvAG4ARgByAG8AbQBNAGkAbABrAFMAbwBsAGkAZABzAF8AVgBhAHIAaQBhAHQAaQBvAG4AXABuACAAIAA9AEwAQQBNAEIARABBACgAXAAiAFYAQQBSAEEAVABJAE8ATgAgAE8ATgAgAFMATwBVAFIAQwBFADoAIABBAGQAZABlAGQAIABtAGkAbABrACAAcAByAG8AZAB1AGMAdABpAG8AbgAgAHUAbgBpAHQAIAB2AGEAcgBpAGEAYgBsAGUAIAB0AG8AIABhAGwAbABvAHcAIABmAG8AcgAgAHUAcwBlACAAbwBmACAAZQBpAHQAaABlAHIAIABtAGkAbABrACAAcwBvAGwAaQBkAHMAIABvAHIAIABsAGkAdAByAGUAcwAgAG8AZgAgAG0AaQBsAGsALgAgAEMAbwBuAHYAZQByAHQAZQBkACAAaQBuAHAAdQB0ACAARgBDACAAYQBuAGQAIABQAEMAIABwAGUAcgBjAGUAbgB0ACAAdABvACAAaQBuAHQAZQBnAGUAcgAuAFwAIgApADsAXABuAFwAbgAvACoAXABuAC0ALQAtAC0ALQAtAC0ALQAtAC0ALQAtAC0ALQAtAC0ALQAtAC0ALQAtAC0ALQAtAC0ALQAtAC0ALQAtAC0ALQAtAC0ALQAtAC0ALQBcAG4AVgBFAEUAUgBHAF8AMwBfADMAXwAxAF8AMQBfAF8ANgBfAE0AZQB0AGEAYgBvAGwAaQBzAGEAYgBpAGwAaQB0AHkATwBmAEQAaQBlAHQAXABuAE0AZQB0AGEAYgBvAGwAaQBzAGEAYgBpAGwAaQB0AHkAIABvAGYAIABkAGkAZQB0AFwAbgBxAG0AXwBqAFwAbgBmAHIAYQBjAHQAaQBvAG4AXABuAHEAbQBfAGoAPQAwAC4ANwA5ADUAXABcAHQAaQBtAGUAcwAgACgARABNAEQAXwBqAFwAXAB0AGkAbQBlAHMAIAAxADAAMAApAC0AMAAuADAAMAAxADQAXABuAEQATQBEAF8AagAgAD0AIABkAHIAeQAgAG0AYQB0AHQAZQByACAAZABpAGcAZQBzAHQAaQBiAGkAbABpAHQAeQAgAGUAeABwAHIAZQBzAHMAZQBkACAAYQBzACAAYQAgAGYAcgBhAGMAdABpAG8AbgBcAG4ALQAtAC0ALQAtAC0ALQAtAC0ALQAtAC0ALQAtAC0ALQAtAC0ALQAtAC0ALQAtAC0ALQAtAC0ALQAtAC0ALQAtAC0ALQAtAC0ALQAtAFwAbgAqAC8AXABuAFwAbgBWAEUARQBSAEcAXwAzAF8AMwBfADEAXwAxAF8AXwA2AF8ATQBlAHQAYQBiAG8AbABpAHMAYQBiAGkAbABpAHQAeQBPAGYARABpAGUAdABcAG4AIAAgAD0ATABBAE0AQgBEAEEAKABcAG4AIAAgACAAIABEAE0ARABfAGoALABcAG4AIAAgACAAIAAwAC4ANwA5ADUAIAAqACAAKABEAE0ARABfAGoAIAAqACAAMQAwADAAKQAgAC0AIAAwAC4AMAAwADEANABcAG4AIAAgACkAOwBcAG4AXABuAFYARQBFAFIARwBfADMAXwAzAF8AMQBfADEAXwBfADYAXwBNAGUAdABhAGIAbwBsAGkAcwBhAGIAaQBsAGkAdAB5AE8AZgBEAGkAZQB0AFYAYQByAGkAYQB0AGkAbwBuAFwAbgAgACAAPQBMAEEATQBCAEQAQQAoAFwAbgAgACAAIAAgAEQATQBEAF8AagAsAFwAbgAgACAAIAAgADAALgAwADAANwA5ADUAIAAqACAAKABEAE0ARABfAGoAIAAqACAAMQAwADAAKQAgAC0AIAAwAC4AMAAwADEANABcAG4AIAAgACkAOwBcAG4AXABuAFwAbgBWAEUARQBSAEcAXwAzAF8AMwBfADEAXwAxAF8AXwA2AF8ATQBlAHQAYQBiAG8AbABpAHMAYQBiAGkAbABpAHQAeQBPAGYARABpAGUAdABfAFQAaQB0AGwAZQBcAG4AIAAgAD0ATABBAE0AQgBEAEEAKABcACIATQBlAHQAYQBiAG8AbABpAHMAYQBiAGkAbABpAHQAeQAgAG8AZgAgAGQAaQBlAHQAXAAiACkAOwBcAG4AXABuAFYARQBFAFIARwBfADMAXwAzAF8AMQBfADEAXwBfADYAXwBNAGUAdABhAGIAbwBsAGkAcwBhAGIAaQBsAGkAdAB5AE8AZgBEAGkAZQB0AF8AVgBhAHIAaQBhAGIAbABlAFwAbgAgACAAPQBMAEEATQBCAEQAQQAoAFwAIgBxAG0AXwBqAFwAIgApADsAXABuAFwAbgBWAEUARQBSAEcAXwAzAF8AMwBfADEAXwAxAF8AXwA2AF8ATQBlAHQAYQBiAG8AbABpAHMAYQBiAGkAbABpAHQAeQBPAGYARABpAGUAdABfAFUAbgBpAHQAXABuACAAIAA9AEwAQQBNAEIARABBACgAXAAiAGYAcgBhAGMAdABpAG8AbgBcACIAKQA7AFwAbgBcAG4AVgBFAEUAUgBHAF8AMwBfADMAXwAxAF8AMQBfAF8ANgBfAE0AZQB0AGEAYgBvAGwAaQBzAGEAYgBpAGwAaQB0AHkATwBmAEQAaQBlAHQAXwBTAG8AdQByAGMAZQBcAG4AIAAgAD0ATABBAE0AQgBEAEEAKABcACIAVgBFAEUAUgBHACAAMgAwADIANgA6ACAAMwAuADMALgAxAC4AMQAsACAARQBxAHUAYQB0AGkAbwBuACAAKAA2ACkAXAAiACkAOwBcAG4AXABuAFYARQBFAFIARwBfADMAXwAzAF8AMQBfADEAXwBfADYAXwBNAGUAdABhAGIAbwBsAGkAcwBhAGIAaQBsAGkAdAB5AE8AZgBEAGkAZQB0AF8ATgBJAFIAUgBlAGYAZQByAGUAbgBjAGUAXABuACAAIAA9AEwAQQBNAEIARABBACgAXAAiAFwAIgApADsAXABuAFwAbgBWAEUARQBSAEcAXwAzAF8AMwBfADEAXwAxAF8AXwA2AF8ATQBlAHQAYQBiAG8AbABpAHMAYQBiAGkAbABpAHQAeQBPAGYARABpAGUAdABfAEwAYQB0AGUAeABFAHEAdQBhAHQAaQBvAG4AXABuACAAIAA9AEwAQQBNAEIARABBACgAXAAiAHEAbQBfAGoAPQAwAC4ANwA5ADUAXABcAHQAaQBtAGUAcwAgACgARABNAEQAXwBqAFwAXAB0AGkAbQBlAHMAIAAxADAAMAApAC0AMAAuADAAMAAxADQAXAAiACkAOwBcAG4AXABuAFYARQBFAFIARwBfADMAXwAzAF8AMQBfADEAXwBfADYAXwBNAGUAdABhAGIAbwBsAGkAcwBhAGIAaQBsAGkAdAB5AE8AZgBEAGkAZQB0AF8ATABhAHQAZQB4AEUAcQB1AGEAdABpAG8AbgBWAGEAcgBpAGEAdABpAG8AbgBcAG4AIAAgAD0ATABBAE0AQgBEAEEAKABcACIAcQBtAF8AagA9ADAALgAwADAANwA5ADUAXABcAHQAaQBtAGUAcwAgACgARABNAEQAXwBqAFwAXAB0AGkAbQBlAHMAIAAxADAAMAApAC0AMAAuADAAMAAxADQAXAAiACkAOwBcAG4AXABuAFYARQBFAFIARwBfADMAXwAzAF8AMQBfADEAXwBfADYAXwBNAGUAdABhAGIAbwBsAGkAcwBhAGIAaQBsAGkAdAB5AE8AZgBEAGkAZQB0AF8AQQByAGcAdQBtAGUAbgB0AHMAXABuACAAIAA9AEwAQQBNAEIARABBACgAXABuACAAIAAgACAATQBBAEsARQBBAFIAUgBBAFkAKAAxACwAIAA0ACwAXABuACAAIAAgACAAIAAgAEwAQQBNAEIARABBACgAcgAsAGMALABcAG4AIAAgACAAIAAgACAAIAAgAEkATgBEAEUAWAAoAHsAXABuACAAIAAgACAAIAAgACAAIAAgACAAXAAiAEQATQBEAF8AagBcACIALAAgAFwAIgBkAHIAeQAgAG0AYQB0AHQAZQByACAAZABpAGcAZQBzAHQAaQBiAGkAbABpAHQAeQAgAGUAeABwAHIAZQBzAHMAZQBkACAAYQBzACAAYQAgAGYAcgBhAGMAdABpAG8AbgBcACIALAAgAFwAIgBmAHIAYQBjAHQAaQBvAG4AXAAiACwAIABcACIASQBuAHAAdQB0AFwAIgBcAG4AIAAgACAAIAAgACAAIAAgAH0ALAAgAHIALAAgAGMAKQBcAG4AIAAgACAAIAAgACAAKQBcAG4AIAAgACAAIAApAFwAbgAgACAAKQA7AFwAbgBcAG4AVgBFAEUAUgBHAF8AMwBfADMAXwAxAF8AMQBfAF8ANgBfAE0AZQB0AGEAYgBvAGwAaQBzAGEAYgBpAGwAaQB0AHkATwBmAEQAaQBlAHQAXwBWAGEAcgBpAGEAdABpAG8AbgBcAG4AIAAgAD0ATABBAE0AQgBEAEEAKABcACIAVgBBAFIASQBBAFQASQBPAE4AIABPAE4AIABTAE8AVQBSAEMARQA6ACAAYwBoAGEAbgBnAGUAZAAgADAALgA3ADkANQAgAHQAbwAgADAALgAwADAANwA5ADUAIAB3AGgAaQBjAGgAIABpAHMAIAB0AGgAZQAgAHYAYQBsAHUAZQAgAHUAcwBlAGQAIABpAG4AIAB0AGgAZQAgAE4AYQB0AGkAbwBuAGEAbAAgAEkAbgB2AGUAbgB0AG8AcgB5ACAAUgBlAHAAbwByAHQAXAAiACkAOwBcAG4AXABuACIAfQAsAHsAIgBwAGEAdABoACIAOgAiAC8AcAByAG8AagBlAGMAdABzAC8ASQBuAHAAdQB0AEYAdQBuAGMAdABpAG8AbgBzAF8ARABhAGkAcgB5ACIALAAiAHQAZQB4AHQAIgA6ACIAQwBhAGwAYwB1AGwAYQB0AGUARgByAGEAYwB0AGkAbwBuAEkAbgBNAE0AUwBBAGYAdABlAHIAUwBvAGwAaQBkAFMAZQBwAGEAcgBhAHQAaQBvAG4AXABuAD0ATABBAE0AQgBEAEEAKABcAG4AIAAgACAAIABQAHIAbwBkAHUAYwB0AGkAbwBuAFMAeQBzAHQAZQBtACwAIABNAE0AUwBGAHIAYQBjAHQAaQBvAG4ALAAgAEYAcgBhAGMAdABpAG8AbgBTAGUAcABhAHIAYQB0AGUAZAAsAFwAbgAgACAAIAAgAFAAcgBvAGQAdQBjAHQAaQBvAG4AUwB5AHMAdABlAG0AIAAqACAAKABNAE0AUwBGAHIAYQBjAHQAaQBvAG4ALQAoAE0ATQBTAEYAcgBhAGMAdABpAG8AbgAqAEYAcgBhAGMAdABpAG8AbgBTAGUAcABhAHIAYQB0AGUAZAApACkAXABuACkAOwBcAG4AXABuAEMAYQBsAGMAdQBsAGEAdABlAEYAcgBhAGMAdABpAG8AbgBJAG4AUwBvAGwAaQBkAFMAdABvAHIAYQBnAGUAXABuAD0ATABBAE0AQgBEAEEAKABcAG4AIAAgACAAIABQAHIAbwBkAHUAYwB0AGkAbwBuAFMAeQBzAHQAZQBtACwAIABJAG4AaQB0AGEAbABTAG8AbABpAGQAUwB0AG8AcgBhAGcAZQBGAHIAYQBjAHQAaQBvAG4ALABcAG4AIAAgACAAIABNAE0AUwAxAEYAcgBhAGMAdABpAG8AbgAsACAATQBNAFMAMQBTAGUAcABhAHIAYQB0AGUAZAAsACAAXABuACAAIAAgACAATQBNAFMAMgBGAHIAYQBjAHQAaQBvAG4ALAAgAE0ATQBTADIAUwBlAHAAYQByAGEAdABlAGQALAAgAFwAbgAgACAAIAAgAE0ATQBTADMARgByAGEAYwB0AGkAbwBuACwAIABNAE0AUwAzAFMAZQBwAGEAcgBhAHQAZQBkACwAXABuACAAIAAgACAAUAByAG8AZAB1AGMAdABpAG8AbgBTAHkAcwB0AGUAbQAgACoAIAAoAFwAbgAgACAAIAAgACAAIAAgACAASQBuAGkAdABhAGwAUwBvAGwAaQBkAFMAdABvAHIAYQBnAGUARgByAGEAYwB0AGkAbwBuACAAKwBcAG4AIAAgACAAIAAgACAAIAAgACgATQBNAFMAMQBGAHIAYQBjAHQAaQBvAG4AIAAqACAATQBNAFMAMQBTAGUAcABhAHIAYQB0AGUAZAApACAAKwBcAG4AIAAgACAAIAAgACAAIAAgACgATQBNAFMAMgBGAHIAYQBjAHQAaQBvAG4AIAAqACAATQBNAFMAMgBTAGUAcABhAHIAYQB0AGUAZAApACAAKwBcAG4AIAAgACAAIAAgACAAIAAgACgATQBNAFMAMwBGAHIAYQBjAHQAaQBvAG4AIAAqACAATQBNAFMAMwBTAGUAcABhAHIAYQB0AGUAZAApAFwAbgAgACAAIAAgACkAXABuACkAOwAiAH0ALAB7ACIAcABhAHQAaAAiADoAIgAvAHAAcgBvAGoAZQBjAHQAcwAvAE0ATQBTAF8ARABhAGkAcgB5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YAIABNAGUAdABoAG8AZAAgADEAIAAtACAATQBhAG4AdQByAGUAIABMAGUAYQBjAGgAaQBuAGcAIABBAG4AZAAgAFIAdQBuAG8AZgBm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2AF8AXwAxAF8AQQBuAG4AdQBhAGwARQBtAGkAcwBzAGkAbwBuAHMARgByAG8AbQBMAGUAYQBjAGgAaQBuAGcAQQBuAGQAUgB1AG4AbwBmAGYARgByAG8AbQBNAE0AUwBcAG4AQQBuAG4AdQBhAGwAIABlAG0AaQBzAHMAaQBvAG4AcwAgAGYAcgBvAG0AIABsAGUAYQBjAGgAaQBuAGcAIABhAG4AZAAgAHIAdQBuAG8AZgBmACAAZgByAG8AbQAgAGUAYQBjAGgAIABNAE0AUwBcAG4ARQBfAE4AMgBPAGwAZQBhAGMAaABcAG4AdAAgAE4AMgBPAFwAbgBFAF8AewBOADIATwAsAGwAZQBhAGMAaAB9AD0ATQBOAEwAZQBhAGMAaABfAHsAagBtAH0AXABcAHQAaQBtAGUAcwAgAEUARgBfAHsAbABlAGEAYwBoAH0AXABcAHQAaQBtAGUAcwAgAEMAXwB7AE4AMgBPAH0AXABcAHQAaQBtAGUAcwAgADEAMABeAHsALQAzAH0AXABuAE0ATgBMAGUAYQBjAGgAXwBqAG0AIAA9ACAAbQBhAHMAcwAgAG8AZgAgAE4AIABsAG8AcwB0ACAAdABoAHIAbwB1AGcAaAAgAGwAZQBhAGMAaABpAG4AZwAgAGEAbgBkACAAcgB1AG4AbwBmAGYAIABmAHIAbwBtACAAZQBhAGMAaAAgAE0ATQBT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BWAEEAUgBJAEEAVABJAE8ATgAgAE8ARgAgAFMATwBVAFIAQwBFADoAIABGAG8AcgAgAE0AZQB0AGgAbwBkACAAMQAsACAAZQBtAGkAcwBzAGkAbwBuAHMAIABhAHIAZQAgAGUAcwB0AGkAbQBhAHQAZQBkACAAbwBuAGwAeQAgAGYAbwByACAAcwBvAGwAaQBkACAAcwB0AG8AcgBhAGcAZQAgACgAbQA9ADQAKQAuAFwAbgAtAC0ALQAtAC0ALQAtAC0ALQAtAC0ALQAtAC0ALQAtAC0ALQAtAC0ALQAtAC0ALQAtAC0ALQAtAC0ALQAtAC0ALQAtAC0ALQAtAC0AXABuACoALwBcAG4AXABuAFYARQBFAFIARwBfADQAXwAzAF8AMQBfADYAXwBfADEAXwBBAG4AbgB1AGEAbABFAG0AaQBzAHMAaQBvAG4AcwBGAHIAbwBtAEwAZQBhAGMAaABpAG4AZwBBAG4AZABSAHUAbgBvAGYAZgBGAHIAbwBtAE0ATQBTAFwAbgAgACAAPQBMAEEATQBCAEQAQQAoAFwAbgAgACAAIAAgAE0ATgBMAGUAYQBjAGgAXwBqAG0ALAAgAEUARgBfAGwAZQBhAGMAaAAsACAAQwBfAE4AMgBPACwAXABuACAAIAAgACAAKABNAE4ATABlAGEAYwBoAF8AagBtACAAKgAgAEUARgBfAGwAZQBhAGMAaAAgACoAIABDAF8ATgAyAE8AKQAgACoAIAAxADAAIABeACAALQAzAFwAbgAgACAAKQA7AFwAbgBcAG4AVgBFAEUAUgBHAF8ANABfADMAXwAxAF8ANgBfAF8AMQBfAEEAbgBuAHUAYQBsAEUAbQBpAHMAcwBpAG8AbgBzAEYAcgBvAG0ATABlAGEAYwBoAGkAbgBnAEEAbgBkAFIAdQBuAG8AZgBmAEYAcgBvAG0ATQBNAFMAXwBUAGkAdABsAGUAXABuACAAIAA9AEwAQQBNAEIARABBACgAXAAiAEEAbgBuAHUAYQBsACAAZQBtAGkAcwBzAGkAbwBuAHMAIABmAHIAbwBtACAAbABlAGEAYwBoAGkAbgBnACAAYQBuAGQAIAByAHUAbgBvAGYAZgAgAGYAcgBvAG0AIABlAGEAYwBoACAATQBNAFMAXAAiACkAOwBcAG4AXABuAFYARQBFAFIARwBfADQAXwAzAF8AMQBfADYAXwBfADEAXwBBAG4AbgB1AGEAbABFAG0AaQBzAHMAaQBvAG4AcwBGAHIAbwBtAEwAZQBhAGMAaABpAG4AZwBBAG4AZABSAHUAbgBvAGYAZgBGAHIAbwBtAE0ATQBTAF8AVgBhAHIAaQBhAGIAbABlAFwAbgAgACAAPQBMAEEATQBCAEQAQQAoAFwAIgBFAF8ATgAyAE8AbABlAGEAYwBoAFwAIgApADsAXABuAFwAbgBWAEUARQBSAEcAXwA0AF8AMwBfADEAXwA2AF8AXwAxAF8AQQBuAG4AdQBhAGwARQBtAGkAcwBzAGkAbwBuAHMARgByAG8AbQBMAGUAYQBjAGgAaQBuAGcAQQBuAGQAUgB1AG4AbwBmAGYARgByAG8AbQBNAE0AUwBfAFUAbgBpAHQAXABuACAAIAA9AEwAQQBNAEIARABBACgAXAAiAHQAIABOADIATwBcACIAKQA7AFwAbgBcAG4AVgBFAEUAUgBHAF8ANABfADMAXwAxAF8ANgBfAF8AMQBfAEEAbgBuAHUAYQBsAEUAbQBpAHMAcwBpAG8AbgBzAEYAcgBvAG0ATABlAGEAYwBoAGkAbgBnAEEAbgBkAFIAdQBuAG8AZgBmAEYAcgBvAG0ATQBNAFMAXwBTAG8AdQByAGMAZQBcAG4AIAAgAD0ATABBAE0AQgBEAEEAKABcACIAVgBFAEUAUgBHACAAMgAwADIANgA6ACAANAAuADMALgAxAC4ANgAsACAARQBxAHUAYQB0AGkAbwBuACAAKAAxACkAXAAiACkAOwBcAG4AXABuAFYARQBFAFIARwBfADQAXwAzAF8AMQBfADYAXwBfADEAXwBBAG4AbgB1AGEAbABFAG0AaQBzAHMAaQBvAG4AcwBGAHIAbwBtAEwAZQBhAGMAaABpAG4AZwBBAG4AZABSAHUAbgBvAGYAZgBGAHIAbwBtAE0ATQBTAF8ATgBJAFIAUgBlAGYAZQByAGUAbgBjAGUAXABuACAAIAA9AEwAQQBNAEIARABBACgAXAAiAFwAIgApADsAXABuAFwAbgBWAEUARQBSAEcAXwA0AF8AMwBfADEAXwA2AF8AXwAxAF8AQQBuAG4AdQBhAGwARQBtAGkAcwBzAGkAbwBuAHMARgByAG8AbQBMAGUAYQBjAGgAaQBuAGcAQQBuAGQAUgB1AG4AbwBmAGYARgByAG8AbQBNAE0AUwBfAEwAYQB0AGUAeABFAHEAdQBhAHQAaQBvAG4AXABuACAAIAA9AEwAQQBNAEIARABBACgAXAAiAEUAXwB7AE4AMgBPACwAbABlAGEAYwBoAH0APQBcAFwAcwB1AG0AXABcAG4AbwBsAGkAbQBpAHQAcwBfAHsAagB9AFwAXABzAHUAbQBcAFwAbgBvAGwAaQBtAGkAdABzAF8AewBtAD0AMQAtADEAMwB9ACgATQBOAEwAZQBhAGMAaABfAHsAagBtAH0AXABcAHQAaQBtAGUAcwAgAEUARgBfAHsAbABlAGEAYwBoAH0AXABcAHQAaQBtAGUAcwAgAEMAXwB7AE4AMgBPAH0AKQBcAFwAdABpAG0AZQBzACAAMQAwAF4AewAtADMAfQBcACIAKQA7AFwAbgBcAG4AVgBFAEUAUgBHAF8ANABfADMAXwAxAF8ANgBfAF8AMQBfAEEAbgBuAHUAYQBsAEUAbQBpAHMAcwBpAG8AbgBzAEYAcgBvAG0ATABlAGEAYwBoAGkAbgBnAEEAbgBkAFIAdQBuAG8AZgBmAEYAcgBvAG0ATQBNAFMAXwBBAHIAZwB1AG0AZQBuAHQAcwBcAG4AIAAgAD0ATABBAE0AQgBEAEEAKABcAG4AIAAgACAAIABNAEEASwBFAEEAUgBSAEEAWQAoADMALAAgADQALABcAG4AIAAgACAAIAAgACAATABBAE0AQgBEAEEAKAByACwAYwAsAFwAbgAgACAAIAAgACAAIAAgACAASQBOAEQARQBYACgAewBcAG4AIAAgACAAIAAgACAAIAAgACAAIABcACIATQBOAEwAZQBhAGMAaABfAGoAbQBcACIALAAgAFwAIgBtAGEAcwBzACAAbwBmACAATgAgAGwAbwBzAHQAIAB0AGgAcgBvAHUAZwBoACAAbABlAGEAYwBoAGkAbgBnACAAYQBuAGQAIAByAHUAbgBvAGYAZgBcACIALAAgAFwAIgBrAGcAIABOAFwAIgAsACAAXAAiAEMAYQBsAGMAdQBsAGEAdABlAGQAIABmAHIAbwBtACAANAAuADMALgAxAC4ANgAgACgAMgApAFwAIgA7AFwAbgAgACAAIAAgACAAIAAgACAAIAAgAFwAIgBFAEYAXwBsAGUAYQBjAGgAXAAiACwAIABcACIAbgBpAHQAcgBvAHUAcwAgAG8AeABpAGQAZQAg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YAXwBfADIAXwBNAGEAcwBzAE8AZgBOAGkAdAByAG8AZwBlAG4ATABvAHMAdABUAG8ATABlAGEAYwBoAGkAbgBnAEEAbgBkAFIAdQBuAG8AZgBmAEYAcgBvAG0AUwBvAGwAaQBkAFMAdABvAHIAYQBnAGUAXABuAE0AYQBzAHMAIABvAGYAIABuAGkAdAByAG8AZwBlAG4AIABsAG8AcwB0ACAAdABvACAAbABlAGEAYwBoAGkAbgBnACAAYQBuAGQAIAByAHUAbgBvAGYAZgAgAGYAcgBvAG0AIABzAG8AbABpAGQAIABzAHQAbwByAGEAZwBlACAAcwB5AHMAdABlAG0AcwBcAG4ATQBOAEwAZQBhAGMAaABfAGoAbQA0AFwAbgBrAGcAIABOAFwAbgBNAE4ATABlAGEAYwBoAF8AewBqAG0APQA0AH0APQBNAE4AXwB7AGoAbQA9ADQAfQBcAFwAdABpAG0AZQBzACAARgByAGEAYwBXAEUAVABfAGkAXABcAHQAaQBtAGUAcwAgAEYAcgBhAGMATABFAEEAQwBIAF8ATQBTAFwAbgBNAE4AXwBqAG0ANAAgAD0AIAB0AG8AdABhAGwAIABuAGkAdAByAG8AZwBlAG4AIABpAG4AIABzAG8AbABpAGQAIABzAHQAbwByAGEAZwBlACAAcwB5AHMAdABlAG0AIABtAD0ANAAgACgAawBnACAATgApAFwAbgBGAHIAYQBjAFcARQBUAF8AaQAgAD0AIABmAHIAYQBjAHQAaQBvAG4AIABvAGYAIABOACAAYQB2AGEAaQBsAGEAYgBsAGUAIABmAG8AcgAgAGwAZQBhAGMAaABpAG4AZwAgAGEAbgBkACAAcgB1AG4AbwBmAGYAXABuAEYAcgBhAGMATABFAEEAQwBIAF8ATQBTACAAPQAgAGYAcgBhAGMAdABpAG8AbgAgAG8AZgAgAE4AIABsAG8AcwB0ACAAdABoAHIAbwB1AGcAaAAgAGwAZQBhAGMAaABpAG4AZwAgAGEAbgBkACAAcgB1AG4AbwBmAGYAXABuAC0ALQAtAC0ALQAtAC0ALQAtAC0ALQAtAC0ALQAtAC0ALQAtAC0ALQAtAC0ALQAtAC0ALQAtAC0ALQAtAC0ALQAtAC0ALQAtAC0ALQBcAG4AKgAvAFwAbgBcAG4AVgBFAEUAUgBHAF8ANABfADMAXwAxAF8ANgBfAF8AMgBfAE0AYQBzAHMATwBmAE4AaQB0AHIAbwBnAGUAbgBMAG8AcwB0AFQAbwBMAGUAYQBjAGgAaQBuAGcAQQBuAGQAUgB1AG4AbwBmAGYARgByAG8AbQBTAG8AbABpAGQAUwB0AG8AcgBhAGcAZQBcAG4AIAAgAD0ATABBAE0AQgBEAEEAKABcAG4AIAAgACAAIABNAE4AXwBqAG0ANAAsACAARgByAGEAYwBXAEUAVABfAGkALAAgAEYAcgBhAGMATABFAEEAQwBIAF8ATQBTACwAXABuACAAIAAgACAATQBOAF8AagBtADQAIAAqACAARgByAGEAYwBXAEUAVABfAGkAIAAqACAARgByAGEAYwBMAEUAQQBDAEgAXwBNAFMAXABuACAAIAApADsAXABuAFwAbgBWAEUARQBSAEcAXwA0AF8AMwBfADEAXwA2AF8AXwAyAF8ATQBhAHMAcwBPAGYATgBpAHQAcgBvAGcAZQBuAEwAbwBzAHQAVABvAEwAZQBhAGMAaABpAG4AZwBBAG4AZABSAHUAbgBvAGYAZgBGAHIAbwBtAFMAbwBsAGkAZABTAHQAbwByAGEAZwBlAF8AVABpAHQAbABlAFwAbgAgACAAPQBMAEEATQBCAEQAQQAoAFwAIgBNAGEAcwBzACAAbwBmACAAbgBpAHQAcgBvAGcAZQBuACAAbABvAHMAdAAgAHQAbwAgAGwAZQBhAGMAaABpAG4AZwAgAGEAbgBkACAAcgB1AG4AbwBmAGYAIABmAHIAbwBtACAAcwBvAGwAaQBkACAAcwB0AG8AcgBhAGcAZQAgAHMAeQBzAHQAZQBtAHMAXAAiACkAOwBcAG4AXABuAFYARQBFAFIARwBfADQAXwAzAF8AMQBfADYAXwBfADIAXwBNAGEAcwBzAE8AZgBOAGkAdAByAG8AZwBlAG4ATABvAHMAdABUAG8ATABlAGEAYwBoAGkAbgBnAEEAbgBkAFIAdQBuAG8AZgBmAEYAcgBvAG0AUwBvAGwAaQBkAFMAdABvAHIAYQBnAGUAXwBWAGEAcgBpAGEAYgBsAGUAXABuACAAIAA9AEwAQQBNAEIARABBACgAXAAiAE0ATgBMAGUAYQBjAGgAXwBqAG0ANABcACIAKQA7AFwAbgBcAG4AVgBFAEUAUgBHAF8ANABfADMAXwAxAF8ANgBfAF8AMgBfAE0AYQBzAHMATwBmAE4AaQB0AHIAbwBnAGUAbgBMAG8AcwB0AFQAbwBMAGUAYQBjAGgAaQBuAGcAQQBuAGQAUgB1AG4AbwBmAGYARgByAG8AbQBTAG8AbABpAGQAUwB0AG8AcgBhAGcAZQBfAFUAbgBpAHQAXABuACAAIAA9AEwAQQBNAEIARABBACgAXAAiAGsAZwAgAE4AXAAiACkAOwBcAG4AXABuAFYARQBFAFIARwBfADQAXwAzAF8AMQBfADYAXwBfADIAXwBNAGEAcwBzAE8AZgBOAGkAdAByAG8AZwBlAG4ATABvAHMAdABUAG8ATABlAGEAYwBoAGkAbgBnAEEAbgBkAFIAdQBuAG8AZgBmAEYAcgBvAG0AUwBvAGwAaQBkAFMAdABvAHIAYQBnAGUAXwBTAG8AdQByAGMAZQBcAG4AIAAgAD0ATABBAE0AQgBEAEEAKABcACIAVgBFAEUAUgBHACAAMgAwADIANgA6ACAANAAuADMALgAxAC4ANgAsACAARQBxAHUAYQB0AGkAbwBuACAAKAAyACkAXAAiACkAOwBcAG4AXABuAFYARQBFAFIARwBfADQAXwAzAF8AMQBfADYAXwBfADIAXwBNAGEAcwBzAE8AZgBOAGkAdAByAG8AZwBlAG4ATABvAHMAdABUAG8ATABlAGEAYwBoAGkAbgBnAEEAbgBkAFIAdQBuAG8AZgBmAEYAcgBvAG0AUwBvAGwAaQBkAFMAdABvAHIAYQBnAGUAXwBOAEkAUgBSAGUAZgBlAHIAZQBuAGMAZQBcAG4AIAAgAD0ATABBAE0AQgBEAEEAKABcACIAXAAiACkAOwBcAG4AXABuAFYARQBFAFIARwBfADQAXwAzAF8AMQBfADYAXwBfADIAXwBNAGEAcwBzAE8AZgBOAGkAdAByAG8AZwBlAG4ATABvAHMAdABUAG8ATABlAGEAYwBoAGkAbgBnAEEAbgBkAFIAdQBuAG8AZgBmAEYAcgBvAG0AUwBvAGwAaQBkAFMAdABvAHIAYQBnAGUAXwBMAGEAdABlAHgARQBxAHUAYQB0AGkAbwBuAFwAbgAgACAAPQBMAEEATQBCAEQAQQAoAFwAIgBNAE4ATABlAGEAYwBoAF8AewBqAG0APQA0AH0APQBNAE4AXwB7AGoAbQA9ADQAfQBcAFwAdABpAG0AZQBzACAARgByAGEAYwBXAEUAVABfAGkAXABcAHQAaQBtAGUAcwAgAEYAcgBhAGMATABFAEEAQwBIAF8AewBNAFMAfQBcACIAKQA7AFwAbgBcAG4AVgBFAEUAUgBHAF8ANABfADMAXwAxAF8ANgBfAF8AMgBfAE0AYQBzAHMATwBmAE4AaQB0AHIAbwBnAGUAbgBMAG8AcwB0AFQAbwBMAGUAYQBjAGgAaQBuAGcAQQBuAGQAUgB1AG4AbwBmAGYARgByAG8AbQBTAG8AbABpAGQAUwB0AG8AcgBhAGcAZQBfAEEAcgBnAHUAbQBlAG4AdABzAFwAbgAgACAAPQBMAEEATQBCAEQAQQAoAFwAbgAgACAAIAAgAE0AQQBLAEUAQQBSAFIAQQBZACgANgAsACAANAAsAFwAbgAgACAAIAAgACAAIABMAEEATQBCAEQAQQAoAHIALABjACwAXABuACAAIAAgACAAIAAgACAAIABJAE4ARABFAFgAKAB7AFwAbgAgACAAIAAgACAAIAAgACAAIAAgAFwAIgBNAE4AXwBqAG0ANABcACIALAAgAFwAIgB0AG8AdABhAGwAIABuAGkAdAByAG8AZwBlAG4AIABpAG4AIABzAG8AbABpAGQAIABzAHQAbwByAGEAZwBlACAAcwB5AHMAdABlAG0AIABtAD0ANAAgACgAawBnACAATgApAFwAIgAsACAAXAAiAGsAZwAgAE4AXAAiACwAIABcACIAQwBhAGwAYwB1AGwAYQB0AGUAZAAgAGYAcgBvAG0AIAA0AC4AMwAuADEALgAzACAAKAAyACkAXAAiADsAXABuACAAIAAgACAAIAAgACAAIAAgACAAXAAiAEYAcgBhAGMAVwBFAFQAXwBpAFwAIgAsACAAXAAiAGYAcgBhAGMAdABpAG8AbgAgAG8AZgAgAE4AIAB0AGgAYQB0ACAAaQBzACAAYQB2AGEAaQBsAGEAYgBsAGUAIABmAG8AcgAgAGwAZQBhAGMAaABpAG4AZwAgAGEAbgBkACAAcgB1AG4AbwBmAGYAIABmAHIAbwBtACAAdABoAGUAIABsAGUAYQBjAGgAaQBuAGcAIAB6AG8AbgBlACAAegAgAGEAbgBkACAAaQByAHIAaQBnAGEAdABpAG8AbgAgAHQAeQBwAGUAIABpAHIAXAAiACwAIABcACIAZgByAGEAYwB0AGkAbwBuAFwAIgAsACAAXAAiAEMAbwBuAHMAdABhAG4AdABcACIAOwBcAG4AIAAgACAAIAAgACAAIAAgACAAIABcACIARgByAGEAYwBMAEUAQQBDAEgAXwBNAFMAXAAiACwAIABcACIAZgByAGEAYwB0AGkAbwBuACAAbwBmACAATgAgAHQAaABhAHQAIABpAHM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CwAewAiAHAAYQB0AGgAIgA6ACIALwBwAHIAbwBqAGUAYwB0AHMALwBNAE0AUwBfAEQAYQBpAHIAeQ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5ACAATQBlAHQAaABvAGQAIAAxACAALQAgAFMAbwBpAGwAIABEAGkAcgBlAGMAdA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OQBfAF8AMQBfAEQAaQByAGUAYwB0AE4AaQB0AHIAbwB1AHMATwB4AGkAZABlAEUAbQBpAHMAcwBpAG8AbgBzAE8AbgBQAGEAcwB0AHUAcgBlAFwAbgBEAGkAcgBlAGMAdAAgAG4AaQB0AHIAbwB1AHMAIABvAHgAaQBkAGUAIABlAG0AaQBzAHMAaQBvAG4AcwAgAG8AbgAgAHAAYQBzAHQAdQByAGUAXABuAEUAXwBOADIATwBkAGkAcgBcAG4AdAAgAE4AMgBPAFwAbgBFAF8AewBOADIATwAsAGQAaQByAH0APQBNAE4AXwB7AGoAbQA9ADEANAB9AFwAXAB0AGkAbQBlAHMAIABFAEYAXwB7AFAAUgBQAH0AXABcAHQAaQBtAGUAcwAgAEMAXwB7AE4AMgBPAH0AXABcAHQAaQBtAGUAcwAgADEAMABeAHsALQAzAH0AXABuAE0ATgBfAGoAbQAxADQAIAA9ACAAbQBhAHMAcwAgAG8AZgAgAG4AaQB0AHIAbwBnAGUAbgAgAGUAeABjAHIAZQB0AGUAZAAgAG8AbgAgAHAAYQBzAHQAdQByAGUALAAgAHIAYQBuAGcAZQAsACAAYQBuAGQAIABwAGEAZABkAG8AYwBrACAAZgBvAHIAIABlAGEAYwBoACAAZABhAGkAcgB5ACAAYwBhAHQAdABsAGUAIABjAGwAYQBzAHMAIAAoAGsAZwAgAE4AKQBcAG4ARQBGAF8AUABSAFAAIAA9ACAAZQBtAGkAcwBzAGkAbwBuACAAZgBhAGMAdABvAHIAIABmAG8AcgAgAG4AaQB0AHIAbwB1AHMAIABvAHgAaQBkAGUAIABlAG0AaQBzAHMAaQBvAG4AcwAgAGYAbwByACAAdQByAGkAbgBlACAAYQBuAGQAIABkAHUAbgBnACAAZABlAHAAbwBzAGkAdABlAGQAIABvAG4AIABQAFIAUAAgACgAawBnACAATgAyAE8ALQBOAC8AawBnACAATgAgAGQAZQBwAG8AcwBpAHQAZQBk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5AF8AXwAxAF8ARABpAHIAZQBjAHQATgBpAHQAcgBvAHUAcwBPAHgAaQBkAGUARQBtAGkAcwBzAGkAbwBuAHMATwBuAFAAYQBzAHQAdQByAGUAXABuACAAIAA9AEwAQQBNAEIARABBACgAXABuACAAIAAgACAATQBOAF8AagBtADEANAAsACAARQBGAF8AUABSAFAALAAgAEMAXwBOADIATwAsAFwAbgAgACAAIAAgAE0ATgBfAGoAbQAxADQAIAAqACAARQBGAF8AUABSAFAAIAAqACAAQwBfAE4AMgBPACAAKgAgADEAMAAgAF4AIAAtADMAXABuACAAIAApADsAXABuAFwAbgBWAEUARQBSAEcAXwA0AF8AMwBfADEAXwA5AF8AXwAxAF8ARABpAHIAZQBjAHQATgBpAHQAcgBvAHUAcwBPAHgAaQBkAGUARQBtAGkAcwBzAGkAbwBuAHMATwBuAFAAYQBzAHQAdQByAGUAXwBUAGkAdABsAGUAXABuACAAIAA9AEwAQQBNAEIARABBACgAXAAiAEQAaQByAGUAYwB0ACAAbgBpAHQAcgBvAHUAcwAgAG8AeABpAGQAZQAgAGUAbQBpAHMAcwBpAG8AbgBzACAAbwBuACAAcABhAHMAdAB1AHIAZQBcACIAKQA7AFwAbgBcAG4AVgBFAEUAUgBHAF8ANABfADMAXwAxAF8AOQBfAF8AMQBfAEQAaQByAGUAYwB0AE4AaQB0AHIAbwB1AHMATwB4AGkAZABlAEUAbQBpAHMAcwBpAG8AbgBzAE8AbgBQAGEAcwB0AHUAcgBlAF8AVgBhAHIAaQBhAGIAbABlAFwAbgAgACAAPQBMAEEATQBCAEQAQQAoAFwAIgBFAF8ATgAyAE8AZABpAHIAXAAiACkAOwBcAG4AXABuAFYARQBFAFIARwBfADQAXwAzAF8AMQBfADkAXwBfADEAXwBEAGkAcgBlAGMAdABOAGkAdAByAG8AdQBzAE8AeABpAGQAZQBFAG0AaQBzAHMAaQBvAG4AcwBPAG4AUABhAHMAdAB1AHIAZQBfAFUAbgBpAHQAXABuACAAIAA9AEwAQQBNAEIARABBACgAXAAiAHQAIABOADIATwBcACIAKQA7AFwAbgBcAG4AVgBFAEUAUgBHAF8ANABfADMAXwAxAF8AOQBfAF8AMQBfAEQAaQByAGUAYwB0AE4AaQB0AHIAbwB1AHMATwB4AGkAZABlAEUAbQBpAHMAcwBpAG8AbgBzAE8AbgBQAGEAcwB0AHUAcgBlAF8AUwBvAHUAcgBjAGUAXABuACAAIAA9AEwAQQBNAEIARABBACgAXAAiAFYARQBFAFIARwAgADIAMAAyADYAOgAgADQALgAzAC4AMQAuADkALAAgAEUAcQB1AGEAdABpAG8AbgAgACgAMQApAFwAIgApADsAXABuAFwAbgBWAEUARQBSAEcAXwA0AF8AMwBfADEAXwA5AF8AXwAxAF8ARABpAHIAZQBjAHQATgBpAHQAcgBvAHUAcwBPAHgAaQBkAGUARQBtAGkAcwBzAGkAbwBuAHMATwBuAFAAYQBzAHQAdQByAGUAXwBOAEkAUgBSAGUAZgBlAHIAZQBuAGMAZQBcAG4AIAAgAD0ATABBAE0AQgBEAEEAKABcACIAXAAiACkAOwBcAG4AXABuAFYARQBFAFIARwBfADQAXwAzAF8AMQBfADkAXwBfADEAXwBEAGkAcgBlAGMAdABOAGkAdAByAG8AdQBzAE8AeABpAGQAZQBFAG0AaQBzAHMAaQBvAG4AcwBPAG4AUABhAHMAdAB1AHIAZQBfAEwAYQB0AGUAeABFAHEAdQBhAHQAaQBvAG4AXABuACAAIAA9AEwAQQBNAEIARABBACgAXAAiAEUAXwB7AE4AMgBPACwAZABpAHIAfQA9AFwAXABzAHUAbQBcAFwAbgBvAGwAaQBtAGkAdABzAF8AewBqAH0AKABNAE4AXwB7AGoAbQA9ADEANAB9AFwAXAB0AGkAbQBlAHMAIABFAEYAXwB7AFAAUgBQAH0AXABcAHQAaQBtAGUAcwAgAEMAXwB7AE4AMgBPAH0AXABcAHQAaQBtAGUAcwAgADEAMABeAHsALQAzAH0AKQBcACIAKQA7AFwAbgBcAG4AVgBFAEUAUgBHAF8ANABfADMAXwAxAF8AOQBfAF8AMQBfAEQAaQByAGUAYwB0AE4AaQB0AHIAbwB1AHMATwB4AGkAZABlAEUAbQBpAHMAcwBpAG8AbgBzAE8AbgBQAGEAcwB0AHUAcgBlAF8AQQByAGcAdQBtAGUAbgB0AHMAXABuACAAIAA9AEwAQQBNAEIARABBACgAXABuACAAIAAgACAATQBBAEsARQBBAFIAUgBBAFkAKAA0ACwAIAA0ACwAXABuACAAIAAgACAAIAAgAEwAQQBNAEIARABBACgAcgAsAGMALABcAG4AIAAgACAAIAAgACAAIAAgAEkATgBEAEUAWAAoAHsAXABuACAAIAAgACAAIAAgACAAIAAgACAAXAAiAE0ATgBfAGoAbQAxADQAXAAiACwAIABcACIAbQBhAHMAcwAgAG8AZgAgAG4AaQB0AHIAbwBnAGUAbgAgAGUAeABjAHIAZQB0AGUAZAAgAG8AbgAgAHAAYQBzAHQAdQByAGUALAAgAHIAYQBuAGcAZQAsACAAYQBuAGQAIABwAGEAZABkAG8AYwBrACAAZgBvAHIAIABlAGEAYwBoACAAZABhAGkAcgB5ACAAYwBhAHQAdABsAGUAIABjAGwAYQBzAHMAXAAiACwAIABcACIAawBnACAATgBcACIALAAgAFwAIgBDAGEAbABjAHUAbABhAHQAZQBkACAAZgByAG8AbQAgADQALgAzAC4AMQAuADMAIAAoADIAKQBcACIAOwBcAG4AIAAgACAAIAAgACAAIAAgACAAIABcACIARQBGAF8AUABSAFAAXAAiACwAIABcACIAZQBtAGkAcwBzAGkAbwBuACAAZgBhAGMAdABvAHIAIABmAG8AcgAgAG4AaQB0AHIAbwB1AHMAIABvAHgAaQBkAGUAIABlAG0AaQBzAHMAaQBvAG4AcwAgAGYAbwByACAAdQByAGkAbgBlACAAYQBuAGQAIABkAHUAbgBnACAAZABlAHAAbwBzAGkAdABlAGQAIABvAG4AIABQAFIAUABcACIALAAgAFwAIgBrAGcAIABOADIATwAtAE4ALwBrAGcAIABOACAAZABlAHAAbwBzAGkAdABlAGQ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6AFwAIgAsAFwAIgBXAGUAdAAgAG8AcgAgAGQAcgB5ACAAYwBsAGkAbQBhAHQAZQAgAHoAbwBuAGUAXAAiACwAIABcACIAXAAiACwAIABcACIASQBuAHAAdQB0AFwAIgBcAG4AIAAgACAAIAAgACAAIAAgAH0ALAAgAHIALAAgAGMAKQBcAG4AIAAgACAAIAAgACAAKQBcAG4AIAAgACAAIAApAFwAbgAgACAAKQA7AFwAbgAiAH0ALAB7ACIAcABhAHQAaAAiADoAIgAvAHAAcgBvAGoAZQBjAHQAcwAvAE0ATQBTAF8ARABhAGkAcgB5AF8AUwBvAGkAb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MAAgAE0AZQB0AGgAbwBkACAAMQAgAC0AIABTAG8AaQBsACAAQQB0AG0AbwBzAHAAaABlAHIAaQBjACAARABlAHAAbwBzAGkAdABpAG8Ab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AwAF8AXwAxAF8AQQB0AG0AbwBzAHAAaABlAHIAaQBjAEQAZQBwAG8AcwBpAHQAaQBvAG4ARQBtAGkAcwBzAGkAbwBuAHMARgByAG8AbQBVAHIAaQBuAGUAQQBuAGQARAB1AG4AZwBPAG4AUABhAHMAdAB1AHIAZQBcAG4AQQB0AG0AbwBzAHAAaABlAHIAaQBjACAAZABlAHAAbwBzAGkAdABpAG8AbgAgAGUAbQBpAHMAcwBpAG8AbgBzACAAZgByAG8AbQAgAHUAcgBpAG4AZQAgAGEAbgBkACAAZAB1AG4AZwAgAGQAZQBwAG8AcwBpAHQAZQBkACAAbwBuACAAcABhAHMAdAB1AHIAZQBcAG4ARQBfAE4AMgBPAGEAZABcAG4AdAAgAE4AMgBPAFwAbgBFAF8AewBOADIATwAsAGEAZAB9AD0ATQBfAHsAdgBvAGwALABtAD0AMQA0AH0AXABcAHQAaQBtAGUAcwAgAEUARgBfAHsATgAyAE8AfQBcAFwAdABpAG0AZQBzACAAQwBfAHsATgAyAE8AfQBcAFwAdABpAG0AZQBzACAAMQAwAF4AewAtADMAfQBcAG4ATQBfAHYAbwBsAF8AbQAxADQAIAA9ACAAbQBhAHMAcwAgAG8AZgAgAG4AaQB0AHIAbwBnAGUAbgAgAHYAbwBsAGEAdABpAGwAaQBzAGUAZAAgAGYAcgBvAG0AIAB1AHIAaQBuAGUAIABhAG4AZAAgAGYAYQBlAGMAZQBzACAAZABlAHAAbwBzAGkAdABlAGQAIABvAG4AIABwAGEAcwB0AHUAcgBl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QAwAF8AXwAxAF8AQQB0AG0AbwBzAHAAaABlAHIAaQBjAEQAZQBwAG8AcwBpAHQAaQBvAG4ARQBtAGkAcwBzAGkAbwBuAHMARgByAG8AbQBVAHIAaQBuAGUAQQBuAGQARAB1AG4AZwBPAG4AUABhAHMAdAB1AHIAZQBcAG4AIAAgAD0ATABBAE0AQgBEAEEAKABcAG4AIAAgACAAIABNAF8AdgBvAGwAXwBtADEANAAsACAARQBGAF8ATgAyAE8ALAAgAEMAXwBOADIATwAsAFwAbgAgACAAIAAgAE0AXwB2AG8AbABfAG0AMQA0ACAAKgAgAEUARgBfAE4AMgBPACAAKgAgAEMAXwBOADIATwAgACoAIAAxADAAIABeACAALQAzAFwAbgAgACAAKQA7AFwAbgBcAG4AVgBFAEUAUgBHAF8ANABfADMAXwAxAF8AMQAw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MAXwAxAF8AMQAwAF8AXwAxAF8AQQB0AG0AbwBzAHAAaABlAHIAaQBjAEQAZQBwAG8AcwBpAHQAaQBvAG4ARQBtAGkAcwBzAGkAbwBuAHMARgByAG8AbQBVAHIAaQBuAGUAQQBuAGQARAB1AG4AZwBPAG4AUABhAHMAdAB1AHIAZQBfAFYAYQByAGkAYQBiAGwAZQBcAG4AIAAgAD0ATABBAE0AQgBEAEEAKABcACIARQBfAE4AMgBPAGEAZABcACIAKQA7AFwAbgBcAG4AVgBFAEUAUgBHAF8ANABfADMAXwAxAF8AMQAwAF8AXwAxAF8AQQB0AG0AbwBzAHAAaABlAHIAaQBjAEQAZQBwAG8AcwBpAHQAaQBvAG4ARQBtAGkAcwBzAGkAbwBuAHMARgByAG8AbQBVAHIAaQBuAGUAQQBuAGQARAB1AG4AZwBPAG4AUABhAHMAdAB1AHIAZQBfAFUAbgBpAHQAXABuACAAIAA9AEwAQQBNAEIARABBACgAXAAiAHQAIABOADIATwBcACIAKQA7AFwAbgBcAG4AVgBFAEUAUgBHAF8ANABfADMAXwAxAF8AMQAwAF8AXwAxAF8AQQB0AG0AbwBzAHAAaABlAHIAaQBjAEQAZQBwAG8AcwBpAHQAaQBvAG4ARQBtAGkAcwBzAGkAbwBuAHMARgByAG8AbQBVAHIAaQBuAGUAQQBuAGQARAB1AG4AZwBPAG4AUABhAHMAdAB1AHIAZQBfAFMAbwB1AHIAYwBlAFwAbgAgACAAPQBMAEEATQBCAEQAQQAoAFwAIgBWAEUARQBSAEcAIAAyADAAMgA2ADoAIAA0AC4AMwAuADEALgAxADAALAAgAEUAcQB1AGEAdABpAG8AbgAgACgAMQApAFwAIgApADsAXABuAFwAbgBWAEUARQBSAEcAXwA0AF8AMwBfADEAXwAxADAAXwBfADEAXwBBAHQAbQBvAHMAcABoAGUAcgBpAGMARABlAHAAbwBzAGkAdABpAG8AbgBFAG0AaQBzAHMAaQBvAG4AcwBGAHIAbwBtAFUAcgBpAG4AZQBBAG4AZABEAHUAbgBnAE8AbgBQAGEAcwB0AHUAcgBlAF8ATgBJAFIAUgBlAGYAZQByAGUAbgBjAGUAXABuACAAIAA9AEwAQQBNAEIARABBACgAXAAiAFwAIgApADsAXABuAFwAbgBWAEUARQBSAEcAXwA0AF8AMwBfADEAXwAxADAAXwBfADEAXwBBAHQAbQBvAHMAcABoAGUAcgBpAGMARABlAHAAbwBzAGkAdABpAG8AbgBFAG0AaQBzAHMAaQBvAG4AcwBGAHIAbwBtAFUAcgBpAG4AZQBBAG4AZABEAHUAbgBnAE8AbgBQAGEAcwB0AHUAcgBlAF8ATABhAHQAZQB4AEUAcQB1AGEAdABpAG8AbgBcAG4AIAAgAD0ATABBAE0AQgBEAEEAKABcACIARQBfAHsATgAyAE8ALABhAGQAfQA9AE0AXwB7AHYAbwBsACwAbQA9ADEANAB9AFwAXAB0AGkAbQBlAHMAIABFAEYAXwB7AE4AMgBPAH0AXABcAHQAaQBtAGUAcwAgAEMAXwB7AE4AMgBPAH0AXABcAHQAaQBtAGUAcwAgADEAMABeAHsALQAzAH0AXAAiACkAOwBcAG4AXABuAFYARQBFAFIARwBfADQAXwAzAF8AMQBfADEAMABfAF8AMQBfAEEAdABtAG8AcwBwAGgAZQByAGkAYwBEAGUAcABvAHMAaQB0AGkAbwBuAEUAbQBpAHMAcwBpAG8AbgBzAEYAcgBvAG0AVQByAGkAbgBlAEEAbgBkAEQAdQBuAGcATwBuAFAAYQBzAHQAdQByAGUAXwBBAHIAZwB1AG0AZQBuAHQAcwBcAG4AIAAgAD0ATABBAE0AQgBEAEEAKABcAG4AIAAgACAAIABNAEEASwBFAEEAUgBSAEEAWQAoADYALAAgADQALABcAG4AIAAgACAAIAAgACAATABBAE0AQgBEAEEAKAByACwAYwAsAFwAbgAgACAAIAAgACAAIAAgACAASQBOAEQARQBYACgAewBcAG4AIAAgACAAIAAgACAAIAAgACAAIABcACIATQBfAHYAbwBsAF8AbQAxADQ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MwAuADEALgAxADAAIAAoADIAKQBcACIAOwBcAG4AIAAgACAAIAAgACAAIAAgACAAIABcACIARQBGAF8ATgAyAE8AXAAiACwAIABcACIAbgBpAHQAcgBvAHUAcwAgAG8AeABpAGQAZQAgAGUAbQBpAHMAcwBpAG8AbgAgAGYAYQBjAHQAbwByACAAZgBvAHIAIABhAHQAbQBvAHMAcABoAGUAcgBpAGMAIABkAGUAcABvAHMAaQB0AGkAbwBu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A7AFwAbgAgACAAIAAgACAAIAAgACAAIAAgAFwAIgByAFwAIgAsACAAXAAiAHIAYQBpAG4AZgBhAGwAbAAgAHIAZQBnAGkAbw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xADAAXwBfADIAXwBNAGEAcwBzAE8AZgBOAGkAdAByAG8AZwBlAG4AVgBvAGwAYQB0AGkAbABpAHMAZQBkAE8AbgBQAGEAcwB0AHUAcgBlAFwAbgBNAGEAcwBzACAAbwBmACAAbgBpAHQAcgBvAGcAZQBuACAAdgBvAGwAYQB0AGkAbABpAHMAZQBkACAAZgByAG8AbQAgAHUAcgBpAG4AZQAgAGEAbgBkACAAZgBhAGUAYwBlAHMAIABkAGUAcABvAHMAaQB0AGUAZAAgAG8AbgAgAHAAYQBzAHQAdQByAGUAXABuAE0AXwB2AG8AbABfAG0AMQA0AFwAbgBrAGcAIABOAFwAbgBNAF8AewB2AG8AbAAsAG0APQAxADQAfQA9AE0ATgBfAHsAagBtAD0AMQA0AH0AXABcAHQAaQBtAGUAcwAgAEYAcgBhAGMARwBBAFMATQBzAG8AaQBsAFwAbgBNAE4AXwBqAG0AMQA0ACAAPQAgAG0AYQBzAHMAIABvAGYAIABuAGkAdAByAG8AZwBlAG4AIABlAHgAYwByAGUAdABlAGQAIABvAG4AIABwAGEAcwB0AHUAcgBlACwAIAByAGEAbgBnAGUAIABhAG4AZAAgAHAAYQBkAGQAbwBjAGsAIABmAG8AcgAgAGUAYQBjAGgAIABkAGEAaQByAHkAIABjAGwAYQBzAHMAIAAoAGsAZwAgAE4AKQBcAG4ARgByAGEAYwBHAEEAUwBNAHMAbwBpAGwAIAA9ACAAZgByAGEAYwB0AGkAbwBuACAAbwBmACAAbgBpAHQAcgBvAGcAZQBuACAAdgBvAGwAYQB0AGkAbABpAHMAZQBkACAAZgByAG8AbQAgAHUAcgBpAG4AZQAgAGEAbgBkACAAZgBhAGUAYwBlAHMAIABkAGUAcABvAHMAaQB0AGUAZAAgAG8AbgAgAHAAYQBzAHQAdQByAGUAIAAoACgAawBnACAATgBIADMALQBOACAAKwAgAE4ATwB4AC0ATgApAC8AawBnACAATgApAFwAbgAtAC0ALQAtAC0ALQAtAC0ALQAtAC0ALQAtAC0ALQAtAC0ALQAtAC0ALQAtAC0ALQAtAC0ALQAtAC0ALQAtAC0ALQAtAC0ALQAtAC0AXABuACoALwBcAG4AXABuAFYARQBFAFIARwBfADQAXwAzAF8AMQBfADEAMABfAF8AMgBfAE0AYQBzAHMATwBmAE4AaQB0AHIAbwBnAGUAbgBWAG8AbABhAHQAaQBsAGkAcwBlAGQATwBuAFAAYQBzAHQAdQByAGUAXABuACAAIAA9AEwAQQBNAEIARABBACgAXABuACAAIAAgACAATQBOAF8AagBtADEANAAsACAARgByAGEAYwBHAEEAUwBNAHMAbwBpAGwALABcAG4AIAAgACAAIABNAE4AXwBqAG0AMQA0ACAAKgAgAEYAcgBhAGMARwBBAFMATQBzAG8AaQBsAFwAbgAgACAAKQA7AFwAbgBcAG4AVgBFAEUAUgBHAF8ANABfADMAXwAxAF8AMQAwAF8AXwAyAF8ATQBhAHMAcwBPAGYATgBpAHQAcgBvAGcAZQBuAFYAbwBsAGEAdABpAGwAaQBzAGUAZABPAG4AUABhAHMAdAB1AHIAZQBfAFQAaQB0AGwAZQBcAG4AIAAgAD0ATABBAE0AQgBEAEEAKABcACIATQBhAHMAcwAgAG8AZgAgAG4AaQB0AHIAbwBnAGUAbgAgAHYAbwBsAGEAdABpAGwAaQBzAGUAZAAgAGYAcgBvAG0AIAB1AHIAaQBuAGUAIABhAG4AZAAgAGYAYQBlAGMAZQBzACAAZABlAHAAbwBzAGkAdABlAGQAIABvAG4AIABwAGEAcwB0AHUAcgBlAFwAIgApADsAXABuAFwAbgBWAEUARQBSAEcAXwA0AF8AMwBfADEAXwAxADAAXwBfADIAXwBNAGEAcwBzAE8AZgBOAGkAdAByAG8AZwBlAG4AVgBvAGwAYQB0AGkAbABpAHMAZQBkAE8AbgBQAGEAcwB0AHUAcgBlAF8AVgBhAHIAaQBhAGIAbABlAFwAbgAgACAAPQBMAEEATQBCAEQAQQAoAFwAIgBNAF8AdgBvAGwAXwBtADEANABcACIAKQA7AFwAbgBcAG4AVgBFAEUAUgBHAF8ANABfADMAXwAxAF8AMQAwAF8AXwAyAF8ATQBhAHMAcwBPAGYATgBpAHQAcgBvAGcAZQBuAFYAbwBsAGEAdABpAGwAaQBzAGUAZABPAG4AUABhAHMAdAB1AHIAZQBfAFUAbgBpAHQAXABuACAAIAA9AEwAQQBNAEIARABBACgAXAAiAGsAZwAgAE4AXAAiACkAOwBcAG4AXABuAFYARQBFAFIARwBfADQAXwAzAF8AMQBfADEAMABfAF8AMgBfAE0AYQBzAHMATwBmAE4AaQB0AHIAbwBnAGUAbgBWAG8AbABhAHQAaQBsAGkAcwBlAGQATwBuAFAAYQBzAHQAdQByAGUAXwBTAG8AdQByAGMAZQBcAG4AIAAgAD0ATABBAE0AQgBEAEEAKABcACIAVgBFAEUAUgBHACAAMgAwADIANgA6ACAANAAuADMALgAxAC4AMQAwACwAIABFAHEAdQBhAHQAaQBvAG4AIAAoADIAKQBcACIAKQA7AFwAbgBcAG4AVgBFAEUAUgBHAF8ANABfADMAXwAxAF8AMQAwAF8AXwAyAF8ATQBhAHMAcwBPAGYATgBpAHQAcgBvAGcAZQBuAFYAbwBsAGEAdABpAGwAaQBzAGUAZABPAG4AUABhAHMAdAB1AHIAZQBfAE4ASQBSAFIAZQBmAGUAcgBlAG4AYwBlAFwAbgAgACAAPQBMAEEATQBCAEQAQQAoAFwAIgBcACIAKQA7AFwAbgBcAG4AVgBFAEUAUgBHAF8ANABfADMAXwAxAF8AMQAwAF8AXwAyAF8ATQBhAHMAcwBPAGYATgBpAHQAcgBvAGcAZQBuAFYAbwBsAGEAdABpAGwAaQBzAGUAZABPAG4AUABhAHMAdAB1AHIAZQBfAEwAYQB0AGUAeABFAHEAdQBhAHQAaQBvAG4AXABuACAAIAA9AEwAQQBNAEIARABBACgAXAAiAE0AXwB7AHYAbwBsACwAbQA9ADEANAB9AD0AXABcAHMAdQBtAFwAXABuAG8AbABpAG0AaQB0AHMAXwB7AGoAfQAoAE0ATgBfAHsAagBtAD0AMQA0AH0AXABcAHQAaQBtAGUAcwAgAEYAcgBhAGMARwBBAFMATQBzAG8AaQBsACkAXAAiACkAOwBcAG4AXABuAFYARQBFAFIARwBfADQAXwAzAF8AMQBfADEAMABfAF8AMgBfAE0AYQBzAHMATwBmAE4AaQB0AHIAbwBnAGUAbgBWAG8AbABhAHQAaQBsAGkAcwBlAGQATwBuAFAAYQBzAHQAdQByAGUAXwBBAHIAZwB1AG0AZQBuAHQAcwBcAG4AIAAgAD0ATABBAE0AQgBEAEEAKABcAG4AIAAgACAAIABNAEEASwBFAEEAUgBSAEEAWQAoADIALAAgADQALABcAG4AIAAgACAAIAAgACAATABBAE0AQgBEAEEAKAByACwAYwAsAFwAbgAgACAAIAAgACAAIAAgACAASQBOAEQARQBYACgAewBcAG4AIAAgACAAIAAgACAAIAAgACAAIABcACIATQBOAF8AagBtADEANABcACIALAAgAFwAIgBtAGEAcwBzACAAbwBmACAAbgBpAHQAcgBvAGcAZQBuACAAZQB4AGMAcgBlAHQAZQBkACAAbwBuACAAcABhAHMAdAB1AHIAZQAsACAAcgBhAG4AZwBlACAAYQBuAGQAIABwAGEAZABkAG8AYwBrACAAZgBvAHIAIABlAGEAYwBoACAAZABhAGkAcgB5ACAAYwBsAGEAcwBzAFwAIgAsACAAXAAiAGsAZwAgAE4AXAAiACwAIABcACIAQwBhAGwAYwB1AGwAYQB0AGUAZAAgAGYAcgBvAG0AIAA0AC4AMwAuADEALgAz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FwAIgAsACAAXAAiACgAawBnACAATgBIADMALQBOACAAKwAgAE4ATwB4AC0ATgApAC8AawBnACAATgApAFwAIgAsACAAXAAiAEMAbwBuAHMAdABhAG4AdABcACIAXABuACAAIAAgACAAIAAgACAAIAB9ACwAIAByACwAIABjACkAXABuACAAIAAgACAAIAAgACkAXABuACAAIAAgACAAKQBcAG4AIAAgACkAOwBcAG4AIgB9ACwAewAiAHAAYQB0AGgAIgA6ACIALwBwAHIAbwBqAGUAYwB0AHMALwBNAE0AUwBfAEQAYQBpAHIAeQBfAFMAbwBpAGwAXwBMAGUAYQBjAGgAaQBuAGcAQQBuAGQAUgB1AG4AbwBmAGY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MgAgAE0AZQB0AGgAbwBkACAAMQAgAC0AIABTAG8AaQBsACAATABlAGEAYwBoAGkAbgBnACAAQQBuAGQAIABSAHUAbgBvAGYAZ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AyAF8AXwAxAF8ATABlAGEAYwBoAGkAbgBnAEEAbgBkAFIAdQBuAG8AZgBmAEUAbQBpAHMAcwBpAG8AbgBzAEYAcgBvAG0AVQByAGkAbgBlAEEAbgBkAEQAdQBuAGcATwBuAFAAYQBzAHQAdQByAGUAXABuAEwAZQBhAGMAaABpAG4AZwAgAGEAbgBkACAAcgB1AG4AbwBmAGYAIABlAG0AaQBzAHMAaQBvAG4AcwAgAGYAcgBvAG0AIAB1AHIAaQBuAGUAIABhAG4AZAAgAGQAdQBuAGcAIABkAGUAcABvAHMAaQB0AGUAZAAgAG8AbgAgAHAAYQBzAHQAdQByAGUAXABuAEUAXwBOADIATwBsAGUAYQBjAGgAXABuAHQAIABOADIATwBcAG4ARQBfAHsATgAyAE8ALABsAGUAYQBjAGgAfQA9AE0AXwB7AGwAZQBhAGMAaAAsAG0APQAxADQAfQBcAFwAdABpAG0AZQBzACAARQBGAF8AewBsAGUAYQBjAGgAfQBcAFwAdABpAG0AZQBzACAAQwBfAHsATgAyAE8AfQBcAFwAdABpAG0AZQBzACAAMQAwAF4AewAtADMAfQBcAG4ATQBfAGwAZQBhAGMAaABfAG0AMQA0ACAAPQAgAG0AYQBzAHMAIABvAGYAIABuAGkAdAByAG8AZwBlAG4AIABsAG8AcwB0ACAAdABvACAAbABlAGEAYwBoAGkAbgBnACAAYQBuAGQAIAByAHUAbgBvAGYAZgAgAGYAcgBvAG0AIAB1AHIAaQBuAGUAIABhAG4AZAAgAGYAYQBlAGMAZQBzACAAZABlAHAAbwBzAGkAdABlAGQAIABvAG4AIABwAGEAcwB0AHUAcgBl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EAMgBfAF8AMQBfAEwAZQBhAGMAaABpAG4AZwBBAG4AZABSAHUAbgBvAGYAZgBFAG0AaQBzAHMAaQBvAG4AcwBGAHIAbwBtAFUAcgBpAG4AZQBBAG4AZABEAHUAbgBnAE8AbgBQAGEAcwB0AHUAcgBlAFwAbgAgACAAPQBMAEEATQBCAEQAQQAoAFwAbgAgACAAIAAgAE0AXwBsAGUAYQBjAGgAXwBtADEANAAsACAARQBGAF8AbABlAGEAYwBoACwAIABDAF8ATgAyAE8ALABcAG4AIAAgACAAIABNAF8AbABlAGEAYwBoAF8AbQAxADQAIAAqACAARQBGAF8AbABlAGEAYwBoACAAKgAgAEMAXwBOADIATwAgACoAIAAxADAAIABeACAALQAzAFwAbgAgACAAKQA7AFwAbgBcAG4AVgBFAEUAUgBHAF8ANABfADMAXwAxAF8AMQAy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zAF8AMQBfADEAMgBfAF8AMQBfAEwAZQBhAGMAaABpAG4AZwBBAG4AZABSAHUAbgBvAGYAZgBFAG0AaQBzAHMAaQBvAG4AcwBGAHIAbwBtAFUAcgBpAG4AZQBBAG4AZABEAHUAbgBnAE8AbgBQAGEAcwB0AHUAcgBlAF8AVgBhAHIAaQBhAGIAbABlAFwAbgAgACAAPQBMAEEATQBCAEQAQQAoAFwAIgBFAF8ATgAyAE8AbABlAGEAYwBoAFwAIgApADsAXABuAFwAbgBWAEUARQBSAEcAXwA0AF8AMwBfADEAXwAxADIAXwBfADEAXwBMAGUAYQBjAGgAaQBuAGcAQQBuAGQAUgB1AG4AbwBmAGYARQBtAGkAcwBzAGkAbwBuAHMARgByAG8AbQBVAHIAaQBuAGUAQQBuAGQARAB1AG4AZwBPAG4AUABhAHMAdAB1AHIAZQBfAFUAbgBpAHQAXABuACAAIAA9AEwAQQBNAEIARABBACgAXAAiAHQAIABOADIATwBcACIAKQA7AFwAbgBcAG4AVgBFAEUAUgBHAF8ANABfADMAXwAxAF8AMQAyAF8AXwAxAF8ATABlAGEAYwBoAGkAbgBnAEEAbgBkAFIAdQBuAG8AZgBmAEUAbQBpAHMAcwBpAG8AbgBzAEYAcgBvAG0AVQByAGkAbgBlAEEAbgBkAEQAdQBuAGcATwBuAFAAYQBzAHQAdQByAGUAXwBTAG8AdQByAGMAZQBcAG4AIAAgAD0ATABBAE0AQgBEAEEAKABcACIAVgBFAEUAUgBHACAAMgAwADIANgA6ACAANAAuADMALgAxAC4AMQAyACwAIABFAHEAdQBhAHQAaQBvAG4AIAAoADEAKQBcACIAKQA7AFwAbgBcAG4AVgBFAEUAUgBHAF8ANABfADMAXwAxAF8AMQAyAF8AXwAxAF8ATABlAGEAYwBoAGkAbgBnAEEAbgBkAFIAdQBuAG8AZgBmAEUAbQBpAHMAcwBpAG8AbgBzAEYAcgBvAG0AVQByAGkAbgBlAEEAbgBkAEQAdQBuAGcATwBuAFAAYQBzAHQAdQByAGUAXwBOAEkAUgBSAGUAZgBlAHIAZQBuAGMAZQBcAG4AIAAgAD0ATABBAE0AQgBEAEEAKABcACIAXAAiACkAOwBcAG4AXABuAFYARQBFAFIARwBfADQAXwAzAF8AMQBfADEAMg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AsAG0APQAxADQAfQBcAFwAdABpAG0AZQBzACAARQBGAF8AewBsAGUAYQBjAGgAfQBcAFwAdABpAG0AZQBzACAAQwBfAHsATgAyAE8AfQBcAFwAdABpAG0AZQBzACAAMQAwAF4AewAtADMAfQBcACIAKQA7AFwAbgBcAG4AVgBFAEUAUgBHAF8ANABfADMAXwAxAF8AMQAyAF8AXwAxAF8ATABlAGEAYwBoAGkAbgBnAEEAbgBkAFIAdQBuAG8AZgBmAEUAbQBpAHMAcwBpAG8AbgBzAEYAcgBvAG0AVQByAGkAbgBlAEEAbgBkAEQAdQBuAGc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fAG0AMQA0AFwAIgAsACAAXAAiAG0AYQBzAHMAIABvAGYAIABuAGkAdAByAG8AZwBlAG4AIABsAG8AcwB0ACAAdABvACAAbABlAGEAYwBoAGkAbgBnACAAYQBuAGQAIAByAHUAbgBvAGYAZgAgAGYAcgBvAG0AIAB1AHIAaQBuAGUAIABhAG4AZAAgAGYAYQBlAGMAZQBzACAAZABlAHAAbwBzAGkAdABlAGQAIABvAG4AIABwAGEAcwB0AHUAcgBlAFwAIgAsACAAXAAiAGsAZwAgAE4AXAAiACwAIABcACIAQwBhAGwAYwB1AGwAYQB0AGUAZAAgAGYAcgBvAG0AIAA0AC4AMwAuADEALgAxADIAIAAoADIAKQBcACIAOwBcAG4AIAAgACAAIAAgACAAIAAgACAAIABcACIARQBGAF8AbABlAGEAYwBoAFwAIgAsACAAXAAiAG4AaQB0AHIAbwB1AHMAIABvAHgAaQBkAGUAIABlAG0AaQBzAHMAaQBvAG4AIABmAGEAYwB0AG8AcgAgAGYAbwByACAAbABlAGEAYwBoAGkAbgBnACAAYQBuAGQAIAByAHUAbgBvAGYAZ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wBfADEAXwAxADIAXwBfADIAXwBNAGEAcwBzAE8AZgBOAGkAdAByAG8AZwBlAG4ATABvAHMAdABUAG8ATABlAGEAYwBoAGkAbgBnAEEAbgBkAFIAdQBuAG8AZgBmAE8AbgBQAGEAcwB0AHUAcgBlAFwAbgBNAGEAcwBzACAAbwBmACAAbgBpAHQAcgBvAGcAZQBuACAAbABvAHMAdAAgAHQAbwAgAGwAZQBhAGMAaABpAG4AZwAgAGEAbgBkACAAcgB1AG4AbwBmAGYAIABmAHIAbwBtACAAdQByAGkAbgBlACAAYQBuAGQAIABmAGEAZQBjAGUAcwAgAG8AbgAgAHAAYQBzAHQAdQByAGUAXABuAE0AXwBsAGUAYQBjAGgAXwBtADEANABcAG4AawBnACAATgBcAG4ATQBfAHsAbABlAGEAYwBoACwAbQA9ADEANAB9AD0ATQBOAF8AewBqAG0APQAxADQAfQBcAFwAdABpAG0AZQBzACAARgByAGEAYwBXAGUAdABcAFwAdABpAG0AZQBzACAARgByAGEAYwBMAEUAQQBDAEgAXABuAE0ATgBfAGoAbQAxADQAIAA9ACAAbQBhAHMAcwAgAG8AZgAgAG4AaQB0AHIAbwBnAGUAbgAgAGUAeABjAHIAZQB0AGUAZAAgAG8AbgAgAHAAYQBzAHQAdQByAGUALAAgAHIAYQBuAGcAZQAgAGEAbgBkACAAcABhAGQAZABvAGMAawAgAGYAbwByACAAZQBhAGMAaAAgAGQAYQBpAHIAeQAgAGMAbABhAHMAcwAgACgAawBnACAATgApAFwAbgBGAHIAYQBjAFcAZQB0ACAAPQAgAGYAcgBhAGMAdABpAG8AbgAgAG8AZgAgAE4AIABhAHYAYQBpAGwAYQBiAGwAZQAgAGYAbwByACAAbABlAGEAYwBoAGkAbgBnACAAYQBuAGQAIAByAHUAbgBvAGYAZgBcAG4ARgByAGEAYwBMAEUAQQBDAEgAIAA9ACAAZgByAGEAYwB0AGkAbwBuACAAbwBmACAATgAgAGwAbwBzAHQAIAB0AGgAcgBvAHUAZwBoACAAbABlAGEAYwBoAGkAbgBnACAAYQBuAGQAIAByAHUAbgBvAGYAZgBcAG4ALQAtAC0ALQAtAC0ALQAtAC0ALQAtAC0ALQAtAC0ALQAtAC0ALQAtAC0ALQAtAC0ALQAtAC0ALQAtAC0ALQAtAC0ALQAtAC0ALQAtAFwAbgAqAC8AXABuAFwAbgBWAEUARQBSAEcAXwA0AF8AMwBfADEAXwAxADIAXwBfADIAXwBNAGEAcwBzAE8AZgBOAGkAdAByAG8AZwBlAG4ATABvAHMAdABUAG8ATABlAGEAYwBoAGkAbgBnAEEAbgBkAFIAdQBuAG8AZgBmAE8AbgBQAGEAcwB0AHUAcgBlAFwAbgAgACAAPQBMAEEATQBCAEQAQQAoAFwAbgAgACAAIAAgAE0ATgBfAGoAbQAxADQALAAgAEYAcgBhAGMAVwBlAHQALAAgAEYAcgBhAGMATABFAEEAQwBIACwAXABuACAAIAAgACAATQBOAF8AagBtADEANAAgACoAIABGAHIAYQBjAFcAZQB0ACAAKgAgAEYAcgBhAGMATABFAEEAQwBIAFwAbgAgACAAKQA7AFwAbgBcAG4AVgBFAEUAUgBHAF8ANABfADMAXwAxAF8AMQAy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CAAZgByAG8AbQAgAHUAcgBpAG4AZQAgAGEAbgBkACAAZgBhAGUAYwBlAHMAIABvAG4AIABwAGEAcwB0AHUAcgBlAFwAIgApADsAXABuAFwAbgBWAEUARQBSAEcAXwA0AF8AMwBfADEAXwAxADIAXwBfADIAXwBNAGEAcwBzAE8AZgBOAGkAdAByAG8AZwBlAG4ATABvAHMAdABUAG8ATABlAGEAYwBoAGkAbgBnAEEAbgBkAFIAdQBuAG8AZgBmAE8AbgBQAGEAcwB0AHUAcgBlAF8AVgBhAHIAaQBhAGIAbABlAFwAbgAgACAAPQBMAEEATQBCAEQAQQAoAFwAIgBNAF8AbABlAGEAYwBoAF8AbQAxADQAXAAiACkAOwBcAG4AXABuAFYARQBFAFIARwBfADQAXwAzAF8AMQBfADEAMgBfAF8AMgBfAE0AYQBzAHMATwBmAE4AaQB0AHIAbwBnAGUAbgBMAG8AcwB0AFQAbwBMAGUAYQBjAGgAaQBuAGcAQQBuAGQAUgB1AG4AbwBmAGYATwBuAFAAYQBzAHQAdQByAGUAXwBVAG4AaQB0AFwAbgAgACAAPQBMAEEATQBCAEQAQQAoAFwAIgBrAGcAIABOAFwAIgApADsAXABuAFwAbgBWAEUARQBSAEcAXwA0AF8AMwBfADEAXwAxADIAXwBfADIAXwBNAGEAcwBzAE8AZgBOAGkAdAByAG8AZwBlAG4ATABvAHMAdABUAG8ATABlAGEAYwBoAGkAbgBnAEEAbgBkAFIAdQBuAG8AZgBmAE8AbgBQAGEAcwB0AHUAcgBlAF8AUwBvAHUAcgBjAGUAXABuACAAIAA9AEwAQQBNAEIARABBACgAXAAiAFYARQBFAFIARwAgADIAMAAyADYAOgAgADQALgAzAC4AMQAuADEAMgAsACAARQBxAHUAYQB0AGkAbwBuACAAKAAyACkAXAAiACkAOwBcAG4AXABuAFYARQBFAFIARwBfADQAXwAzAF8AMQBfADEAMgBfAF8AMgBfAE0AYQBzAHMATwBmAE4AaQB0AHIAbwBnAGUAbgBMAG8AcwB0AFQAbwBMAGUAYQBjAGgAaQBuAGcAQQBuAGQAUgB1AG4AbwBmAGYATwBuAFAAYQBzAHQAdQByAGUAXwBOAEkAUgBSAGUAZgBlAHIAZQBuAGMAZQBcAG4AIAAgAD0ATABBAE0AQgBEAEEAKABcACIAXAAiACkAOwBcAG4AXABuAFYARQBFAFIARwBfADQAXwAzAF8AMQBfADEAMgBfAF8AMgBfAE0AYQBzAHMATwBmAE4AaQB0AHIAbwBnAGUAbgBMAG8AcwB0AFQAbwBMAGUAYQBjAGgAaQBuAGcAQQBuAGQAUgB1AG4AbwBmAGYATwBuAFAAYQBzAHQAdQByAGUAXwBMAGEAdABlAHgARQBxAHUAYQB0AGkAbwBuAFwAbgAgACAAPQBMAEEATQBCAEQAQQAoAFwAIgBNAF8AewBsAGUAYQBjAGgALABtAD0AMQA0AH0APQBcAFwAcwB1AG0AXABcAG4AbwBsAGkAbQBpAHQAcwBfAHsAagB9ACgATQBOAF8AewBqAG0APQAxADQAfQBcAFwAdABpAG0AZQBzACAARgByAGEAYwBXAGUAdABcAFwAdABpAG0AZQBzACAARgByAGEAYwBMAEUAQQBDAEgAKQBcACIAKQA7AFwAbgBcAG4AVgBFAEUAUgBHAF8ANABfADMAXwAxAF8AMQAyAF8AXwAyAF8ATQBhAHMAcwBPAGYATgBpAHQAcgBvAGcAZQBuAEwAbwBzAHQAVABvAEwAZQBhAGMAaABpAG4AZwBBAG4AZABSAHUAbgBvAGYAZgBPAG4AUABhAHMAdAB1AHIAZQBfAEEAcgBnAHUAbQBlAG4AdABzAFwAbgAgACAAPQBMAEEATQBCAEQAQQAoAFwAbgAgACAAIAAgAE0AQQBLAEUAQQBSAFIAQQBZACgANgAsACAANAAsAFwAbgAgACAAIAAgACAAIABMAEEATQBCAEQAQQAoAHIALABjACwAXABuACAAIAAgACAAIAAgACAAIABJAE4ARABFAFgAKAB7AFwAbgAgACAAIAAgACAAIAAgACAAIAAgAFwAIgBNAE4AXwBqAG0AMQA0AFwAIgAsACAAXAAiAG0AYQBzAHMAIABvAGYAIABuAGkAdAByAG8AZwBlAG4AIABlAHgAYwByAGUAdABlAGQAIABvAG4AIABwAGEAcwB0AHUAcgBlACwAIAByAGEAbgBnAGUAIABhAG4AZAAgAHAAYQBkAGQAbwBjAGsAIABmAG8AcgAgAGUAYQBjAGgAIABkAGEAaQByAHkAIABjAGwAYQBzAHMAXAAiACwAIABcACIAawBnACAATgBcACIALAAgAFwAIgBDAGEAbABjAHUAbABhAHQAZQBkACAAZgByAG8AbQAgADQALgAzAC4AMQAuADMAIAAoADIAKQBcACIAOwBcAG4AIAAgACAAIAAgACAAIAAgACAAIABcACIARgByAGEAYwBXAGUAdABcACIALAAgAFwAIgBmAHIAYQBjAHQAaQBvAG4AIABvAGYAIABOACAAYQB2AGEAaQBsAGEAYgBsAGUAIABmAG8AcgAgAGwAZQBhAGMAaABpAG4AZwAgAGEAbgBkACAAcgB1AG4AbwBmAGYAXAAiACwAIABcACIAXAAiACwAIABcACIAQwBvAG4AcwB0AGEAbgB0AFwAIgA7AFwAbgAgACAAIAAgACAAIAAgACAAIAAgAFwAIgBGAHIAYQBjAEwARQBBAEMASABcACIALAAgAFwAIgBmAHIAYQBjAHQAaQBvAG4AIABvAGYAIABOACAAbABvAHMAdAAgAHQAaAByAG8AdQBnAGgAIABsAGUAYQBjAGgAaQBuAGcAIABhAG4AZAAgAHIAdQBuAG8AZgBmAFwAIgAsACAAXAAi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CwAewAiAHAAYQB0AGgAIgA6ACIALwBwAHIAbwBqAGUAYwB0AHMALwBFAG4AdABlAHIAaQBjAE0AZQB0AGgAYQBuAGUAXwBTAHcAaQBuAGUAXwBFAHEAdQBhAHQAaQBvAG4AcwAiACwAIgB0AGUAeAB0ACIAOgAiAC8AKgBcAG4APQA9AD0APQA9AD0APQA9AD0APQA9AD0APQA9AD0APQA9AD0APQA9AD0APQA9AD0APQA9AD0APQA9AD0APQA9AD0APQA9AD0APQA9AD0APQA9AD0APQA9AD0APQA9AD0APQA9AD0APQA9AD0APQA9AD0APQA9AD0APQA9AD0APQA9AD0APQA9AD0APQA9AD0APQA9AD0APQBcAG4AMwAuADUAOgAgAEUAbgB0AGUAcgBpAGMAIABNAGUAdABoAGEAbgBlACAALQAgAFMAdwBpAG4AZQBcAG4APQA9AD0APQA9AD0APQA9AD0APQA9AD0APQA9AD0APQA9AD0APQA9AD0APQA9AD0APQA9AD0APQA9AD0APQA9AD0APQA9AD0APQA9AD0APQA9AD0APQA9AD0APQA9AD0APQA9AD0APQA9AD0APQA9AD0APQA9AD0APQA9AD0APQA9AD0APQA9AD0APQA9AD0APQA9AD0APQBcAG4AMwAuADUALgAxAC4AMQAgAE0AZQB0AGgAbwBkACAAMQAgAC0AIABFAG4AdABlAHIAaQBj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U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zAHcAaQBuAGUAXABuAEUAXwBlAG4AdABlAHIAaQBjAFwAbgB0ACAAQwBIADQAXABuAEUAXwB7AGUAbgB0AGUAcgBpAGMAfQA9AFwAXABzAHUAbQBfAHsAagB9ACgATgBfAGoAXABcAHQAaQBtAGUAcwAgAE0AXwBqAFwAXAB0AGkAbQBlAHMAIABEAF8AagApAFwAXAB0AGkAbQBlAHMAIAAxADAAXgB7AC0AMwB9AFwAbgBOAF8AagAgAD0AIABuAHUAbQBiAGUAcgBzACAAbwBmACAAcwB3AGkAbgBlACAAbwBmACAAZQBhAGMAaAAgAGMAbABhAHMAcwAgACgAaABlAGEAZAApAFwAbgBNAF8AagAgAD0AIABtAGUAdABoAGEAbgBlACAAcAByAG8AZAB1AGMAdABpAG8AbgAgACgAawBnACAAQwBIADQALwBoAGUAYQBkAC8AZABhAHkAKQBcAG4ARABfAGoAIAA9ACAAdABoAGUAIABhAHYAZQByAGEAZwBlACAAbgB1AG0AYgBlAHIAIABvAGYAIABkAGEAeQBzACAAbwBuACAAZgBhAHIAbQAgAGYAbwByACAAZQBhAGMAaAAgAHMAdwBpAG4AZQAgAGMAbABhAHMAcwAgACgAZABhAHkAcwApAFwAbgAtAC0ALQAtAC0ALQAtAC0ALQAtAC0ALQAtAC0ALQAtAC0ALQAtAC0ALQAtAC0ALQAtAC0ALQAtAC0ALQAtAC0ALQAtAC0ALQAtAC0AXABuACoALwBcAG4AXABuAFYARQBFAFIARwBfADMAXwA1AF8AMQBfADEAXwBfADEAXwBUAG8AdABhAGwAQQBuAG4AdQBhAGwATQBlAHQAaABhAG4AZQBGAHIAbwBtAEUAbgB0AGUAcgBpAGMARgBlAHIAbQBlAG4AdABhAHQAaQBvAG4AXABuACAAIAA9AEwAQQBNAEIARABBACgAXABuACAAIAAgACAATgBfAGoALAAgAE0AXwBqACwAIABEAF8AagAsAFwAbgAgACAAIAAgACgATgBfAGoAIAAqACAATQBfAGoAIAAqACAARABfAGoAKQAgACoAIAAxADAAIABeACAALQAzAFwAbgAgACAAKQA7AFwAbgBcAG4AVgBFAEUAUgBHAF8AMwBfADUAXwAxAF8AMQBfAF8AMQBfAFQAbwB0AGEAbABBAG4AbgB1AGEAbABNAGUAdABoAGEAbgBlAEYAcgBvAG0ARQBuAHQAZQByAGkAYwBGAGUAcgBtAGUAbgB0AGEAdABpAG8AbgBfAFQAaQB0AGwAZQBcAG4AIAAgAD0ATABBAE0AQgBEAEEAKABcACIAVABvAHQAYQBsACAAYQBuAG4AdQBhAGwAIABtAGUAdABoAGEAbgBlACAAcAByAG8AZAB1AGMAdABpAG8AbgAgAGYAcgBvAG0AIABlAG4AdABlAHIAaQBjACAAZgBlAHIAbQBlAG4AdABhAHQAaQBvAG4AIABpAG4AIABzAHcAaQBuAGUAXAAiACkAOwBcAG4AXABuAFYARQBFAFIARwBfADMAXwA1AF8AMQBfADEAXwBfADEAXwBUAG8AdABhAGwAQQBuAG4AdQBhAGwATQBlAHQAaABhAG4AZQBGAHIAbwBtAEUAbgB0AGUAcgBpAGMARgBlAHIAbQBlAG4AdABhAHQAaQBvAG4AXwBWAGEAcgBpAGEAYgBsAGUAXABuACAAIAA9AEwAQQBNAEIARABBACgAXAAiAEUAXwBlAG4AdABlAHIAaQBjAFwAIgApADsAXABuAFwAbgBWAEUARQBSAEcAXwAzAF8ANQBfADEAXwAxAF8AXwAxAF8AVABvAHQAYQBsAEEAbgBuAHUAYQBsAE0AZQB0AGgAYQBuAGUARgByAG8AbQBFAG4AdABlAHIAaQBjAEYAZQByAG0AZQBuAHQAYQB0AGkAbwBuAF8AVQBuAGkAdABcAG4AIAAgAD0ATABBAE0AQgBEAEEAKABcACIAdAAgAEMASAA0AFwAIgApADsAXABuAFwAbgBWAEUARQBSAEcAXwAzAF8ANQBfADEAXwAxAF8AXwAxAF8AVABvAHQAYQBsAEEAbgBuAHUAYQBsAE0AZQB0AGgAYQBuAGUARgByAG8AbQBFAG4AdABlAHIAaQBjAEYAZQByAG0AZQBuAHQAYQB0AGkAbwBuAF8AUwBvAHUAcgBjAGUAXABuACAAIAA9AEwAQQBNAEIARABBACgAXAAiAFYARQBFAFIARwAgADIAMAAyADYAOgAgADMALgA1AC4AMQAuADEALAAgAEUAcQB1AGEAdABpAG8AbgAgACgAMQApAFwAIgApADsAXABuAFwAbgBWAEUARQBSAEcAXwAzAF8ANQBfADEAXwAxAF8AXwAxAF8AVABvAHQAYQBsAEEAbgBuAHUAYQBsAE0AZQB0AGgAYQBuAGUARgByAG8AbQBFAG4AdABlAHIAaQBjAEYAZQByAG0AZQBuAHQAYQB0AGkAbwBuAF8ATgBJAFIAUgBlAGYAZQByAGUAbgBjAGUAXABuACAAIAA9AEwAQQBNAEIARABBACgAXAAiAFwAIgApADsAXABuAFwAbgBWAEUARQBSAEcAXwAzAF8ANQBfADEAXwAxAF8AXwAxAF8AVABvAHQAYQBsAEEAbgBuAHUAYQBsAE0AZQB0AGgAYQBuAGUARgByAG8AbQBFAG4AdABlAHIAaQBjAEYAZQByAG0AZQBuAHQAYQB0AGkAbwBuAF8ATABhAHQAZQB4AEUAcQB1AGEAdABpAG8AbgBcAG4AIAAgAD0ATABBAE0AQgBEAEEAKABcACIARQBfAHsAZQBuAHQAZQByAGkAYwB9AD0AXABcAHMAdQBtAFwAXABuAG8AbABpAG0AaQB0AHMAXwBqACgATgBfAGoAXABcAHQAaQBtAGUAcwAgAE0AXwBqAFwAXAB0AGkAbQBlAHMAIABEAF8AagApAFwAXAB0AGkAbQBlAHMAIAAxADAAXgB7AC0AMwB9AFwAIgApADsAXABuAFwAbgBWAEUARQBSAEcAXwAzAF8ANQ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4AXwBqAFwAIgAsACAAXAAiAG4AdQBtAGIAZQByAHMAIABvAGYAIABzAHcAaQBuAGUAIABvAGYAIABlAGEAYwBoACAAYwBsAGEAcwBzAFwAIgAsACAAXAAiAGgAZQBhAGQAXAAiACwAIABcACIASQBuAHAAdQB0AFwAIgA7AFwAbgAgACAAIAAgACAAIAAgACAAIAAgAFwAIgBNAF8AagBcACIALAAgAFwAIgBtAGUAdABoAGEAbgBlACAAcAByAG8AZAB1AGMAdABpAG8AbgBcACIALAAgAFwAIgBrAGcAIABDAEgANAAvAGgAZQBhAGQALwBkAGEAeQBcACIALAAgAFwAIgBDAGEAbABjAHUAbABhAHQAZQBkACAAZgByAG8AbQAgADMALgA1AC4AMQAuADEALAAgACgAMgApAFwAIgA7AFwAbgAgACAAIAAgACAAIAAgACAAIAAgAFwAIgBEAF8AagBcACIALAAgAFwAIgB0AGgAZQAgAGEAdgBlAHIAYQBnAGUAIABuAHUAbQBiAGUAcgAgAG8AZgAgAGQAYQB5AHMAIABvAG4AIABmAGEAcgBtACAAZgBvAHIAIABlAGEAYwBoACAAcwB3AGkAbgBlACAAYwBsAGEAcwBzAFwAIgAsACAAXAAiAGQAYQB5AH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MAXwA1AF8AMQBfADEAXwBfADIAXwBEAGEAaQBsAHkARQBuAHQAZQByAGkAYwBNAGUAdABoAGEAbgBlAFAAcgBvAGQAdQBjAHQAaQBvAG4AXABuAFQAbwB0AGEAbAAgAGQAYQBpAGwAeQAgAHAAcgBvAGQAdQBjAHQAaQBvAG4AIABvAGYAIABlAG4AdABlAHIAaQBjACAAbQBlAHQAaABhAG4AZQAgAG8AZgAgAHMAdwBpAG4AZQBcAG4ATQBfAGoAXABuAGsAZwAgAEMASAA0AC8AaABlAGEAZAAvAGQAYQB5AFwAbgBNAF8AagA9AFwAXABmAHIAYQBjAHsASQBfAGoAXABcAHQAaQBtAGUAcwAgADEAOAAuADYAXABcAHQAaQBtAGUAcwAgADAALgAwADAANwB9AHsARgB9AFwAbgBJAF8AagAgAD0AIABkAGEAaQBsAHkAIABmAGUAZQBkACAAaQBuAGcAZQBzAHQAZQBkACAAYgB5ACAAZQBhAGMAaAAgAHMAdwBpAG4AZQAgAGMAbABhAHMAcwAgACgAawBnAC8AaABlAGEAZAAvAGQAYQB5ACkAXABuAEYAIAA9ACAAbQBlAGcAYQBqAG8AdQBsAGUAcwAgAHAAZQByACAAawBpAGwAbwBnAHIAYQBtACAAbwBmACAAbQBlAHQAaABhAG4AZQAgACgATQBKAC8AawBnACAAQwBIADQAKQBcAG4ALQAtAC0ALQAtAC0ALQAtAC0ALQAtAC0ALQAtAC0ALQAtAC0ALQAtAC0ALQAtAC0ALQAtAC0ALQAtAC0ALQAtAC0ALQAtAC0ALQAtAFwAbgAqAC8AXABuAFwAbgBWAEUARQBSAEcAXwAzAF8ANQBfADEAXwAxAF8AXwAyAF8ARABhAGkAbAB5AEUAbgB0AGUAcgBpAGMATQBlAHQAaABhAG4AZQBQAHIAbwBkAHUAYwB0AGkAbwBuAFwAbgAgACAAPQBMAEEATQBCAEQAQQAoAFwAbgAgACAAIAAgAEkAXwBqACwAIABGACwAXABuACAAIAAgACAAKABJAF8AagAgACoAIAAxADgALgA2ACAAKgAgADAALgAwADAANwApACAALwAgAEYAXABuACAAIAApADsAXABuAFwAbgBWAEUARQBSAEcAXwAzAF8ANQBfADEAXwAxAF8AXwAyAF8ARABhAGkAbAB5AEUAbgB0AGUAcgBpAGMATQBlAHQAaABhAG4AZQBQAHIAbwBkAHUAYwB0AGkAbwBuAF8AVABpAHQAbABlAFwAbgAgACAAPQBMAEEATQBCAEQAQQAoAFwAIgBUAG8AdABhAGwAIABkAGEAaQBsAHkAIABwAHIAbwBkAHUAYwB0AGkAbwBuACAAbwBmACAAZQBuAHQAZQByAGkAYwAgAG0AZQB0AGgAYQBuAGUAIABvAGYAIABzAHcAaQBuAGUAXAAiACkAOwBcAG4AXABuAFYARQBFAFIARwBfADMAXwA1AF8AMQBfADEAXwBfADIAXwBEAGEAaQBsAHkARQBuAHQAZQByAGkAYwBNAGUAdABoAGEAbgBlAFAAcgBvAGQAdQBjAHQAaQBvAG4AXwBWAGEAcgBpAGEAYgBsAGUAXABuACAAIAA9AEwAQQBNAEIARABBACgAXAAiAE0AXwBqAFwAIgApADsAXABuAFwAbgBWAEUARQBSAEcAXwAzAF8ANQBfADEAXwAxAF8AXwAyAF8ARABhAGkAbAB5AEUAbgB0AGUAcgBpAGMATQBlAHQAaABhAG4AZQBQAHIAbwBkAHUAYwB0AGkAbwBuAF8AVQBuAGkAdABcAG4AIAAgAD0ATABBAE0AQgBEAEEAKABcACIAawBnACAAQwBIADQALwBoAGUAYQBkAC8AZABhAHkAXAAiACkAOwBcAG4AXABuAFYARQBFAFIARwBfADMAXwA1AF8AMQBfADEAXwBfADIAXwBEAGEAaQBsAHkARQBuAHQAZQByAGkAYwBNAGUAdABoAGEAbgBlAFAAcgBvAGQAdQBjAHQAaQBvAG4AXwBTAG8AdQByAGMAZQBcAG4AIAAgAD0ATABBAE0AQgBEAEEAKABcACIAVgBFAEUAUgBHACAAMgAwADIANgA6ACAAMwAuADUALgAxAC4AMQAsACAARQBxAHUAYQB0AGkAbwBuACAAKAAyACkAXAAiACkAOwBcAG4AXABuAFYARQBFAFIARwBfADMAXwA1AF8AMQBfADEAXwBfADIAXwBEAGEAaQBsAHkARQBuAHQAZQByAGkAYwBNAGUAdABoAGEAbgBlAFAAcgBvAGQAdQBjAHQAaQBvAG4AXwBOAEkAUgBSAGUAZgBlAHIAZQBuAGMAZQBcAG4AIAAgAD0ATABBAE0AQgBEAEEAKABcACIAXAAiACkAOwBcAG4AXABuAFYARQBFAFIARwBfADMAXwA1AF8AMQBfADEAXwBfADIAXwBEAGEAaQBsAHkARQBuAHQAZQByAGkAYwBNAGUAdABoAGEAbgBlAFAAcgBvAGQAdQBjAHQAaQBvAG4AXwBMAGEAdABlAHgARQBxAHUAYQB0AGkAbwBuAFwAbgAgACAAPQBMAEEATQBCAEQAQQAoAFwAIgBNAF8AagA9AFwAXABmAHIAYQBjAHsASQBfAGoAXABcAHQAaQBtAGUAcwAgADEAOAAuADYAXABcAHQAaQBtAGUAcwAgADAALgAwADAANwB9AHsARgB9AFwAIgApADsAXABuAFwAbgBWAEUARQBSAEcAXwAzAF8ANQBfADEAXwAxAF8AXwAyAF8ARABhAGkAbAB5AEUAbgB0AGUAcgBpAGMATQBlAHQAaABhAG4AZQBQAHIAbwBkAHUAYwB0AGkAbwBuAF8AQQByAGcAdQBtAGUAbgB0AHMAXABuACAAIAA9AEwAQQBNAEIARABBACgAXABuACAAIAAgACAATQBBAEsARQBBAFIAUgBBAFkAKAA0ACwAIAA0ACwAXABuACAAIAAgACAAIAAgAEwAQQBNAEIARABBACgAcgAsAGMALABcAG4AIAAgACAAIAAgACAAIAAgAEkATgBEAEUAWAAoAHsAXABuACAAIAAgACAAIAAgACAAIAAgACAAXAAiAEkAXwBqAFwAIgAsACAAXAAiAGQAYQBpAGwAeQAgAGYAZQBlAGQAIABpAG4AZwBlAHMAdABlAGQAIABiAHkAIABlAGEAYwBoACAAcwB3AGkAbgBlACAAYwBsAGEAcwBzAFwAIgAsACAAXAAiAGsAZwAvAGgAZQBhAGQALwBkAGEAeQBcACIALAAgAFwAIgBJAG4AcAB1AHQAXAAiADsAXABuACAAIAAgACAAIAAgACAAIAAgACAAXAAiADEAOAAuADYAXAAiACwAIABcACIAZwByAG8AcwBzACAAZQBuAGUAcgBnAHkAIAAoAEcARQApACAAYwBvAG4AdABlAG4AdAAgAG8AZgAgAGYAZQBlAGQAXAAiACwAIABcACIATQBKACAARwBFAC8AawBnACAAZgBlAGUAZABcACIALAAgAFwAIgBDAG8AbgBzAHQAYQBuAHQAXAAiADsAXABuACAAIAAgACAAIAAgACAAIAAgACAAXAAiADAALgAwADAANwBcACIALAAgAFwAIgBmAHIAYQBjAHQAaQBvAG4AIABvAGYAIABHAEUAIABpAG4AdABhAGsAZQAgAGMAbwBuAHYAZQByAHQAZQBkACAAdABvACAAbQBlAHQAaABhAG4AZQAgAGIAeQAgAHMAdwBpAG4AZQBcACIALAAgAFwAIgBmAHIAYQBjAHQAaQBvAG4AXAAiACwAIABcACIAQwBvAG4AcwB0AGEAbgB0AFwAIgA7AFwAbgAgACAAIAAgACAAIAAgACAAIAAgAFwAIgBGAFwAIgAsACAAXAAiAG0AZQBnAGEAagBvAHUAbABlAHMAIABwAGUAcgAgAGsAaQBsAG8AZwByAGEAbQAgAG8AZgAgAG0AZQB0AGgAYQBuAGUAXAAiACwAIABcACIATQBKAC8AawBnACAAQwBIADQAXAAiACwAIABcACIAQwBvAG4AcwB0AGEAbgB0AFwAIgBcAG4AIAAgACAAIAAgACAAIAAgAH0ALAAgAHIALAAgAGMAKQBcAG4AIAAgACAAIAAgACAAKQBcAG4AIAAgACAAIAApAFwAbgAgACAAKQA7AFwAbgBcAG4AXABuACIAfQAsAHsAIgBwAGEAdABoACIAOgAiAC8AcAByAG8AagBlAGMAdABzAC8ATQBNAFMAXwBTAHcAaQBuAGU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EAIABNAGUAdABoAG8AZAAgADEAIAAUICAATQBhAG4AdQByAGUAIABNAGUAdABoAGEAbgBl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MQBfAF8AMQBfAFQAbwB0AGEAbABBAG4AbgB1AGEAbABNAGUAdABoAGEAbgBlAEUAbQBpAHMAcwBpAG8AbgBzAFwAbgBUAG8AdABhAGwAIABhAG4AbgB1AGEAbAAgAG0AZQB0AGgAYQBuAGUAIABlAG0AaQBzAHMAaQBvAG4AcwAgAGYAcgBvAG0AIABtAGEAbgB1AHIAZQAgAG0AYQBuAGEAZwBlAG0AZQBuAHQAXABuAEUAQwBIADQAXABuAHQAIABDAEgANABcAG4AewBFAH0AXwB7AEMASAA0AH0APQBcAFwAcwB1AG0AXwB7AGoAfQAoAEQAXwB7AGoAfQBcAFwAdABpAG0AZQBzACAATQBfAHsAbQBqAH0AXABcAHQAaQBtAGUAcwAgAE4AXwB7AGoAfQApAFwAXAB0AGkAbQBlAHMAMQAwAF4AewAtADMAfQBcAG4ARABqACAAPQAgAGwAZQBuAGcAdABoACAAbwBmACAAcwB0AGEAeQAgAG8AZgAgAGUAYQBjAGgAIABjAGwAYQBzAHMAIABvAGYAIABzAHcAaQBuAGUAIAA6ACAAZABhAHkAcwBcAG4ATQBtAGoAIAA9ACAAbQBlAHQAaABhAG4AZQAgAHAAcgBvAGQAdQBjAHQAaQBvAG4AIABmAHIAbwBtACAAbQBhAG4AdQByAGUAIABpAG4AIABlAGEAYwBoACAAcwB3AGkAbgBlACAAYwBsAGEAcwBzACAAOgAgAGsAZwAgAEMASAA0AC8AaABlAGEAZAAvAGQAYQB5AFwAbgBOAGoAIAA9ACAAbgB1AG0AYgBlAHIAcwAgAG8AZgAgAHMAdwBpAG4AZQAgAGkAbgAgAGUAYQBjAGgAIABjAGwAYQBzAHMAIAA6ACAAaABlAGEAZABcAG4ALQAtAC0ALQAtAC0ALQAtAC0ALQAtAC0ALQAtAC0ALQAtAC0ALQAtAC0ALQAtAC0ALQAtAC0ALQAtAC0ALQAtAC0ALQAtAC0ALQAtAFwAbgAqAC8AXABuAFwAbgBWAEUARQBSAEcAXwA0AF8ANQBfADEAXwAxAF8AXwAxAF8AVABvAHQAYQBsAEEAbgBuAHUAYQBsAE0AZQB0AGgAYQBuAGUARQBtAGkAcwBzAGkAbwBuAHMAXABuACAAIAA9AEwAQQBNAEIARABBACgAXABuACAAIAAgACAARABqACwAIABNAG0AagAsACAATgBqACwAXABuACAAIAAgACAARABqACAAKgAgAE0AbQBqACAAKgAgAE4AagAgACoAIAAxADAAIABeACAALQAzAFwAbgAgACAAKQA7AFwAbgBcAG4AVgBFAEUAUgBHAF8ANABfADUAXwAxAF8AMQBfAF8AMQBfAFQAbwB0AGEAbABBAG4AbgB1AGEAbABNAGUAdABoAGEAbgBlAEUAbQBpAHMAcwBpAG8AbgBzAF8AVABpAHQAbABlAFwAbgAgACAAPQBMAEEATQBCAEQAQQAoAFwAIgBUAG8AdABhAGwAIABhAG4AbgB1AGEAbAAgAG0AZQB0AGgAYQBuAGUAIABlAG0AaQBzAHMAaQBvAG4AcwAgAGYAcgBvAG0AIABtAGEAbgB1AHIAZQAgAG0AYQBuAGEAZwBlAG0AZQBuAHQAXAAiACkAOwBcAG4AXABuAFYARQBFAFIARwBfADQAXwA1AF8AMQBfADEAXwBfADEAXwBUAG8AdABhAGwAQQBuAG4AdQBhAGwATQBlAHQAaABhAG4AZQBFAG0AaQBzAHMAaQBvAG4AcwBfAFYAYQByAGkAYQBiAGwAZQBcAG4AIAAgAD0ATABBAE0AQgBEAEEAKABcACIARQBDAEgANABcACIAKQA7AFwAbgBcAG4AVgBFAEUAUgBHAF8ANABfADUAXwAxAF8AMQBfAF8AMQBfAFQAbwB0AGEAbABBAG4AbgB1AGEAbABNAGUAdABoAGEAbgBlAEUAbQBpAHMAcwBpAG8AbgBzAF8AVQBuAGkAdABcAG4AIAAgAD0ATABBAE0AQgBEAEEAKABcACIAdAAgAEMASAA0AFwAIgApADsAXABuAFwAbgBWAEUARQBSAEcAXwA0AF8ANQBfADEAXwAxAF8AXwAxAF8AVABvAHQAYQBsAEEAbgBuAHUAYQBsAE0AZQB0AGgAYQBuAGUARQBtAGkAcwBzAGkAbwBuAHMAXwBTAG8AdQByAGMAZQBcAG4AIAAgAD0ATABBAE0AQgBEAEEAKABcACIAVgBFAEUAUgBHACAAMgAwADIANgA6ACAANAAuADUALgAxAC4AMQAsACAARQBxAHUAYQB0AGkAbwBuACAAKAAxACkAXAAiACkAOwBcAG4AXABuAFYARQBFAFIARwBfADQAXwA1AF8AMQBfADEAXwBfADEAXwBUAG8AdABhAGwAQQBuAG4AdQBhAGwATQBlAHQAaABhAG4AZQBFAG0AaQBzAHMAaQBvAG4AcwBfAE4ASQBSAFIAZQBmAGUAcgBlAG4AYwBlAFwAbgAgACAAPQBMAEEATQBCAEQAQQAoAFwAIgBcACIAKQA7AFwAbgBcAG4AVgBFAEUAUgBHAF8ANABfADUAXwAxAF8AMQBfAF8AMQBfAFQAbwB0AGEAbABBAG4AbgB1AGEAbABNAGUAdABoAGEAbgBlAEUAbQBpAHMAcwBpAG8AbgBzAF8ATABhAHQAZQB4AEUAcQB1AGEAdABpAG8AbgBcAG4AIAAgAD0ATABBAE0AQgBEAEEAKABcACIAewBFAH0AXwB7AEMASAA0AH0APQBcAFwAcwB1AG0AXwB7AGoAfQAoAEQAXwB7AGoAfQBcAFwAdABpAG0AZQBzACAATQBfAHsAbQBqAH0AXABcAHQAaQBtAGUAcwAgAE4AXwB7AGoAfQApAFwAXAB0AGkAbQBlAHMAMQAwAF4AewAtADMAfQBcACIAKQA7AFwAbgBcAG4AVgBFAEUAUgBHAF8ANABfADUAXwAxAF8AMQBfAF8AMQBfAFQAbwB0AGEAbABBAG4AbgB1AGEAbABNAGUAdABoAGEAbgBlAEUAbQBpAHMAcwBpAG8AbgBzAF8AQQByAGcAdQBtAGUAbgB0AHMAXABuACAAIAA9AEwAQQBNAEIARABBACgAXABuACAAIAAgACAATQBBAEsARQBBAFIAUgBBAFkAKAAzACwAIAA0ACwAXABuACAAIAAgACAAIAAgAEwAQQBNAEIARABBACgAcgAsAGMALABcAG4AIAAgACAAIAAgACAAIAAgAEkATgBEAEUAWAAoAHsAXABuACAAIAAgACAAIAAgACAAIAAgACAAXAAiAEQAagBcACIALABcACIAbABlAG4AZwB0AGgAIABvAGYAIABzAHQAYQB5ACAAbwBmACAAZQBhAGMAaAAgAGMAbABhAHMAcwAgAG8AZgAgAHMAdwBpAG4AZQBcACIALAAgAFwAIgBkAGEAeQBzAFwAIgAsACAAXAAiAEkAbgBwAHUAdABcACIAOwBcAG4AIAAgACAAIAAgACAAIAAgACAAIABcACIATQBtAGoAXAAiACwAXAAiAG0AZQB0AGgAYQBuAGUAIABwAHIAbwBkAHUAYwB0AGkAbwBuACAAZgByAG8AbQAgAG0AYQBuAHUAcgBlACAAaQBuACAAZQBhAGMAaAAgAHMAdwBpAG4AZQAgAGMAbABhAHMAcwBcACIALAAgAFwAIgBrAGcAIABDAEgANAAvAGgAZQBhAGQALwBkAGEAeQBcACIALAAgAFwAIgBDAGEAbABjAHUAbABhAHQAZQBkACAAZgByAG8AbQAgADQALgA1AC4AMQAuADEAIAAoADIAKQBcACIAOwBcAG4AIAAgACAAIAAgACAAIAAgACAAIABcACIATgBqAFwAIgAsAFwAIgBuAHUAbQBiAGUAcgBzACAAbwBmACAAcwB3AGkAbgBlACAAaQBuACAAZQBhAGMAaAAgAGMAbABhAHMAcw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xAF8AXwAyAF8ATQBlAHQAaABhAG4AZQBQAHIAbwBkAHUAYwB0AGkAbwBuAFAAZQByAEMAbABhAHMAcwBcAG4ATQBlAHQAaABhAG4AZQAgAHAAcgBvAGQAdQBjAHQAaQBvAG4AIABmAHIAbwBtACAAdABoAGUAIABtAGEAbgB1AHIAZQAgAG8AZgAgAGUAYQBjAGgAIABjAGwAYQBzAHMAIABvAGYAIABzAHcAaQBuAGUAXABuAE0AbQBqAFwAbgBrAGcAIABDAEgANAAvAGgAZQBhAGQALwBkAGEAeQBcAG4ATQBfAHsAbQBqAH0APQBcAFwAcwB1AG0AXwB7AG0AfQBcAFwAcwB1AG0AXwB7AFQAfQBNAF8AewBqAG0AVAB9AFwAbgBNAGoAbQBUACAAPQAgAG0AZQB0AGgAYQBuAGUAIABwAHIAbwBkAHUAYwB0AGkAbwBuACAAZgByAG8AbQAgAG0AYQBuAHUAcgBlACAAcABlAHIAIABjAGwAYQBzAHMALAAgAE0ATQBTACwAIABhAG4AZAAgAHQAcgBlAGEAdABtAGUAbgB0ACAAcwB0AGEAZwBlACAAOgAgAGsAZwAgAEMASAA0AC8AaABlAGEAZAAvAGQAYQB5AFwAbgAtAC0ALQAtAC0ALQAtAC0ALQAtAC0ALQAtAC0ALQAtAC0ALQAtAC0ALQAtAC0ALQAtAC0ALQAtAC0ALQAtAC0ALQAtAC0ALQAtAC0AXABuACoALwBcAG4AXABuAFYARQBFAFIARwBfADQAXwA1AF8AMQBfADEAXwBfADIAXwBNAGUAdABoAGEAbgBlAFAAcgBvAGQAdQBjAHQAaQBvAG4AUABlAHIAQwBsAGEAcwBzAFwAbgAgACAAPQBMAEEATQBCAEQAQQAoAFwAbgAgACAAIAAgAE0AagBtAFQALABcAG4AIAAgACAAIABTAFUATQAoAE0AagBtAFQAKQBcAG4AIAAgACkAOwBcAG4AXABuAFYARQBFAFIARwBfADQAXwA1AF8AMQBfADEAXwBfADIAXwBNAGUAdABoAGEAbgBlAFAAcgBvAGQAdQBjAHQAaQBvAG4AUABlAHIAQwBsAGEAcwBzAFYAYQByAGkAYQB0AGkAbwBuAFwAbgAgACAAPQBMAEEATQBCAEQAQQAoAFwAbgAgACAAIAAgAE0AagBtAFQAMQAsACAATQBqAG0AVAAyACwAXABuACAAIAAgACAAIABTAFUATQAoAE0AagBtAFQAMQAsACAATQBqAG0AVAAyACkAXABuACAAIAApADsAXABuAFwAbgBWAEUARQBSAEcAXwA0AF8ANQBfADEAXwAxAF8AXwAyAF8ATQBlAHQAaABhAG4AZQBQAHIAbwBkAHUAYwB0AGkAbwBuAFAAZQByAEMAbABhAHMAcwBfAFQAaQB0AGwAZQBcAG4AIAAgAD0ATABBAE0AQgBEAEEAKABcACIATQBlAHQAaABhAG4AZQAgAHAAcgBvAGQAdQBjAHQAaQBvAG4AIABmAHIAbwBtACAAdABoAGUAIABtAGEAbgB1AHIAZQAgAG8AZgAgAGUAYQBjAGgAIABjAGwAYQBzAHMAIABvAGYAIABzAHcAaQBuAGUAXAAiACkAOwBcAG4AXABuAFYARQBFAFIARwBfADQAXwA1AF8AMQBfADEAXwBfADIAXwBNAGUAdABoAGEAbgBlAFAAcgBvAGQAdQBjAHQAaQBvAG4AUABlAHIAQwBsAGEAcwBzAF8AVgBhAHIAaQBhAGIAbABlAFwAbgAgACAAPQBMAEEATQBCAEQAQQAoAFwAIgBNAG0AagBcACIAKQA7AFwAbgBcAG4AVgBFAEUAUgBHAF8ANABfADUAXwAxAF8AMQBfAF8AMgBfAE0AZQB0AGgAYQBuAGUAUAByAG8AZAB1AGMAdABpAG8AbgBQAGUAcgBDAGwAYQBzAHMAXwBVAG4AaQB0AFwAbgAgACAAPQBMAEEATQBCAEQAQQAoAFwAIgBrAGcAIABDAEgANAAvAGgAZQBhAGQALwBkAGEAeQBcACIAKQA7AFwAbgBcAG4AVgBFAEUAUgBHAF8ANABfADUAXwAxAF8AMQBfAF8AMgBfAE0AZQB0AGgAYQBuAGUAUAByAG8AZAB1AGMAdABpAG8AbgBQAGUAcgBDAGwAYQBzAHMAXwBTAG8AdQByAGMAZQBcAG4AIAAgAD0ATABBAE0AQgBEAEEAKABcACIAVgBFAEUAUgBHACAAMgAwADIANgA6ACAANAAuADUALgAxAC4AMQAsACAARQBxAHUAYQB0AGkAbwBuACAAKAAyACkAXAAiACkAOwBcAG4AXABuAFYARQBFAFIARwBfADQAXwA1AF8AMQBfADEAXwBfADIAXwBNAGUAdABoAGEAbgBlAFAAcgBvAGQAdQBjAHQAaQBvAG4AUABlAHIAQwBsAGEAcwBzAF8ATgBJAFIAUgBlAGYAZQByAGUAbgBjAGUAXABuACAAIAA9AEwAQQBNAEIARABBACgAXAAiAFwAIgApADsAXABuAFwAbgBWAEUARQBSAEcAXwA0AF8ANQBfADEAXwAxAF8AXwAyAF8ATQBlAHQAaABhAG4AZQBQAHIAbwBkAHUAYwB0AGkAbwBuAFAAZQByAEMAbABhAHMAcwBfAEwAYQB0AGUAeABFAHEAdQBhAHQAaQBvAG4AXABuACAAIAA9AEwAQQBNAEIARABBACgAXAAiAE0AXwB7AG0AagB9AD0AXABcAHMAdQBtAF8AewBtAH0AXABcAHMAdQBtAF8AewBUAH0ATQBfAHsAagBtAFQAfQBcACIAKQA7AFwAbgBcAG4AVgBFAEUAUgBHAF8ANABfADUAXwAxAF8AMQBfAF8AMgBfAE0AZQB0AGgAYQBuAGUAUAByAG8AZAB1AGMAdABpAG8AbgBQAGUAcgBDAGwAYQBzAHMAXwBBAHIAZwB1AG0AZQBuAHQAcwBcAG4AIAAgAD0ATABBAE0AQgBEAEEAKABcAG4AIAAgACAAIABNAEEASwBFAEEAUgBSAEEAWQAoADEALAAgADQALABcAG4AIAAgACAAIAAgACAATABBAE0AQgBEAEEAKAByACwAYwAsAFwAbgAgACAAIAAgACAAIAAgACAASQBOAEQARQBYACgAewBcAG4AIAAgACAAIAAgACAAIAAgACAAIABcACIATQBqAG0AVABcACIALABcACIAbQBlAHQAaABhAG4AZQAgAHAAcgBvAGQAdQBjAHQAaQBvAG4AIABmAHIAbwBtACAAbQBhAG4AdQByAGUAIABwAGUAcgAgAGMAbABhAHMAcwAsACAATQBNAFMALAAgAGEAbgBkACAAdAByAGUAYQB0AG0AZQBuAHQAIABzAHQAYQBnAGUAXAAiACwAIABcACIAawBnACAAQwBIADQALwBoAGUAYQBkAC8AZABhAHkAXAAiACwAIABcACIAQwBhAGwAYwB1AGwAYQB0AGUAZAAgAGYAcgBvAG0AIAA0AC4ANQAuADEALgAxACAAKAAzACkAIABhAG4AZAAgACgANgApAFwAIgBcAG4AIAAgACAAIAAgACAAIAAgAH0ALAAgAHIALAAgAGMAKQBcAG4AIAAgACAAIAAgACAAKQBcAG4AIAAgACAAIAApAFwAbgAgACAAKQA7AFwAbgBcAG4AVgBFAEUAUgBHAF8ANABfADUAXwAxAF8AMQBfAF8AMgBfAE0AZQB0AGgAYQBuAGUAUAByAG8AZAB1AGMAdABpAG8AbgBQAGUAcgBDAGwAYQBzAHMAXwBWAGEAcgBpAGEAdABpAG8AbgBcAG4AIAAgAD0ATABBAE0AQgBEAEEAKABcACIAVgBBAFIASQBBAFQASQBPAE4AIABPAE4AIABTAE8AVQBSAEMARQA6ACAAUwBwAGwAaQB0ACAAdgBhAHIAaQBhAGIAbABlACAATQBqAG0AIABpAG4AdABvACAATQBqAG0AVAAxACAAYQBuAGQAIABNAGoAbQBUADIAIABmAG8AcgAgAHMAdABhAGcAZQAgADEAIABhAG4AZAAgADIAIABNAE0AUwAuAFwAIgApADsAXABuAFwAbgAvACoAXABuAC0ALQAtAC0ALQAtAC0ALQAtAC0ALQAtAC0ALQAtAC0ALQAtAC0ALQAtAC0ALQAtAC0ALQAtAC0ALQAtAC0ALQAtAC0ALQAtAC0ALQBcAG4AVgBFAEUAUgBHAF8ANABfADUAXwAxAF8AMQBfAF8AMwBfAFMAdABhAGcAZQAxAE0AZQB0AGgAYQBuAGUAUAByAG8AZAB1AGMAdABpAG8AbgBcAG4AUAByAG8AZAB1AGMAdABpAG8AbgAgAG8AZgAgAG0AZQB0AGgAYQBuAGUAIABpAG4AIAB0AHIAZQBhAHQAbQBlAG4AdAAgAHMAdABhAGcAZQAgADEAIABNAE0AUwBcAG4ATQBpAGoAbQBUADEAXABuAGsAZwAgAEMASAA0AC8AaABlAGEAZAAvAGQAYQB5AFwAbgBNAF8AewBpAGoAbQAsAFQAPQAxAH0APQBWAFMAXwB7AGoAfQBcAFwAdABpAG0AZQBzACAARgBWAFMAXwB7AGoAbQAsAFQAPQAxAH0AXABcAHQAaQBtAGUAcwAgAE0AQwBGAF8AewBpAG0AfQBcAFwAdABpAG0AZQBzACAAQgBPAFwAXAB0AGkAbQBlAHMAIABcAFwAcgBoAG8AXABuAFYAUwBqACAAPQAgAHYAbwBsAGEAdABpAGwAZQAgAHMAbwBsAGkAZAAgAHAAcgBvAGQAdQBjAHQAaQBvAG4AIABmAHIAbwBtACAAcwB3AGkAbgBlACAAaQBuACAAZQBhAGMAaAAgAGMAbABhAHMAcwAgADoAIABrAGcALwBoAGUAYQBkAC8AZABhAHkAXABuAEYAVgBTAGoAbQBUADEAIAA9ACAAZgByAGEAYwB0AGkAbwBuACAAbwBmACAAdgBvAGwAYQB0AGkAbABlACAAcwBvAGwAaQBkAHMAIABpAG4AIABlAGEAYwBoACAAcAByAGkAbQBhAHIAeQAgAHMAeQBzAHQAZQBtACAAOgAgAGYAcgBhAGMAdABpAG8AbgBcAG4ATQBDAEYAaQBtACAAPQAgAG0AZQB0AGgAYQBuAGUAIABjAG8AbgB2AGUAcgBzAGkAbwBuACAAZgBhAGMAdABvAHIAIABmAG8AcgAgAHQAZQBtAHAAZQByAGEAdABlACAAegBvAG4AZQAgAGEAbgBkACAAcwB5AHMAdABlAG0AIAA6ACAAZgByAGEAYwB0AGkAbwBuAFwAbgBCAE8AIAA9ACAAZQBtAGkAcwBzAGkAbwBuAHMAIABwAG8AdABlAG4AdABpAGEAbAAgADoAIABtADMAIABDAEgANAAvAGsAZwAgAFYAUwBcAG4AcgBoAG8AIAA9ACAAZABlAG4AcwBpAHQAeQAgAG8AZgAgAG0AZQB0AGgAYQBuAGUAIAA6ACAAawBnAC8AbQAzAFwAbgAtAC0ALQAtAC0ALQAtAC0ALQAtAC0ALQAtAC0ALQAtAC0ALQAtAC0ALQAtAC0ALQAtAC0ALQAtAC0ALQAtAC0ALQAtAC0ALQAtAC0AXABuACoALwBcAG4AXABuAFYARQBFAFIARwBfADQAXwA1AF8AMQBfADEAXwBfADMAXwBTAHQAYQBnAGUAMQBNAGUAdABoAGEAbgBlAFAAcgBvAGQAdQBjAHQAaQBvAG4AXABuACAAIAA9AEwAQQBNAEIARABBACgAXABuACAAIAAgACAAVgBTAGoALAAgAEYAVgBTAGoAbQBUADEALAAgAE0AQwBGAGkAbQAsACAAQgBPACwAIAByAGgAbwAsAFwAbgAgACAAIAAgAFYAUwBqACAAKgAgAEYAVgBTAGoAbQBUADEAIAAqACAATQBDAEYAaQBtACAAKgAgAEIATwAgACoAIAByAGgAbwBcAG4AIAAgACkAOwBcAG4AXABuAFYARQBFAFIARwBfADQAXwA1AF8AMQBfADEAXwBfADMAXwBTAHQAYQBnAGUAMQBNAGUAdABoAGEAbgBlAFAAcgBvAGQAdQBjAHQAaQBvAG4AXwBUAGkAdABsAGUAXABuACAAIAA9AEwAQQBNAEIARABBACgAXAAiAFAAcgBvAGQAdQBjAHQAaQBvAG4AIABvAGYAIABtAGUAdABoAGEAbgBlACAAaQBuACAAdAByAGUAYQB0AG0AZQBuAHQAIABzAHQAYQBnAGUAIAAxACAATQBNAFMAXAAiACkAOwBcAG4AXABuAFYARQBFAFIARwBfADQAXwA1AF8AMQBfADEAXwBfADMAXwBTAHQAYQBnAGUAMQBNAGUAdABoAGEAbgBlAFAAcgBvAGQAdQBjAHQAaQBvAG4AXwBWAGEAcgBpAGEAYgBsAGUAXABuACAAIAA9AEwAQQBNAEIARABBACgAXAAiAE0AaQBqAG0AVAAxAFwAIgApADsAXABuAFwAbgBWAEUARQBSAEcAXwA0AF8ANQBfADEAXwAxAF8AXwAzAF8AUwB0AGEAZwBlADEATQBlAHQAaABhAG4AZQBQAHIAbwBkAHUAYwB0AGkAbwBuAF8AVQBuAGkAdABcAG4AIAAgAD0ATABBAE0AQgBEAEEAKABcACIAawBnACAAQwBIADQALwBoAGUAYQBkAC8AZABhAHkAXAAiACkAOwBcAG4AXABuAFYARQBFAFIARwBfADQAXwA1AF8AMQBfADEAXwBfADMAXwBTAHQAYQBnAGUAMQBNAGUAdABoAGEAbgBlAFAAcgBvAGQAdQBjAHQAaQBvAG4AXwBTAG8AdQByAGMAZQBcAG4AIAAgAD0ATABBAE0AQgBEAEEAKABcACIAVgBFAEUAUgBHACAAMgAwADIANgA6ACAANAAuADUALgAxAC4AMQAsACAARQBxAHUAYQB0AGkAbwBuACAAKAAzACkAXAAiACkAOwBcAG4AXABuAFYARQBFAFIARwBfADQAXwA1AF8AMQBfADEAXwBfADMAXwBTAHQAYQBnAGUAMQBNAGUAdABoAGEAbgBlAFAAcgBvAGQAdQBjAHQAaQBvAG4AXwBOAEkAUgBSAGUAZgBlAHIAZQBuAGMAZQBcAG4AIAAgAD0ATABBAE0AQgBEAEEAKABcACIAXAAiACkAOwBcAG4AXABuAFYARQBFAFIARwBfADQAXwA1AF8AMQBfADEAXwBfADMAXwBTAHQAYQBnAGUAMQBNAGUAdABoAGEAbgBlAFAAcgBvAGQAdQBjAHQAaQBvAG4AXwBMAGEAdABlAHgARQBxAHUAYQB0AGkAbwBuAFwAbgAgACAAPQBMAEEATQBCAEQAQQAoAFwAIgBNAF8AewBpAGoAbQAsAFQAPQAxAH0APQBWAFMAXwB7AGoAfQBcAFwAdABpAG0AZQBzACAARgBWAFMAXwB7AGoAbQAsAFQAPQAxAH0AXABcAHQAaQBtAGUAcwAgAE0AQwBGAF8AewBpAG0AfQBcAFwAdABpAG0AZQBzACAAQgBPAFwAXAB0AGkAbQBlAHMAIABcAFwAcgBoAG8AXAAiACkAOwBcAG4AXABuAFYARQBFAFIARwBfADQAXwA1AF8AMQBfADEAXwBfADMAXwBTAHQAYQBnAGUAMQBNAGUAdABoAGEAbgBlAFAAcgBvAGQAdQBjAHQAaQBvAG4AXwBBAHIAZwB1AG0AZQBuAHQAcwBcAG4AIAAgAD0ATABBAE0AQgBEAEEAKABcAG4AIAAgACAAIABNAEEASwBFAEEAUgBSAEEAWQAoADUALAAgADQALABcAG4AIAAgACAAIAAgACAATABBAE0AQgBEAEEAKAByACwAYwAsAFwAbgAgACAAIAAgACAAIAAgACAASQBOAEQARQBYACgAewBcAG4AIAAgACAAIAAgACAAIAAgACAAIABcACIAVgBTAGoAXAAiACwAXAAiAHYAbwBsAGEAdABpAGwAZQAgAHMAbwBsAGkAZAAgAHAAcgBvAGQAdQBjAHQAaQBvAG4AIABmAHIAbwBtACAAcwB3AGkAbgBlACAAaQBuACAAZQBhAGMAaAAgAGMAbABhAHMAcwBcACIALAAgAFwAIgBrAGcALwBoAGUAYQBkAC8AZABhAHkAXAAiACwAIABcACIASQBuAHAAdQB0AFwAIgA7AFwAbgAgACAAIAAgACAAIAAgACAAIAAgAFwAIgBGAFYAUwBqAG0AVAAxAFwAIgAsAFwAIgBmAHIAYQBjAHQAaQBvAG4AIABvAGYAIAB2AG8AbABhAHQAaQBsAGUAIABzAG8AbABpAGQAcwAgAGkAbgAgAGUAYQBjAGgAIABwAHIAaQBtAGEAcgB5ACAAcwB5AHMAdABlAG0AXAAiACwAIABcACIAZgByAGEAYwB0AGkAbwBuAFwAIgAsACAAXAAiAEMAYQBsAGMAdQBsAGEAdABlAGQAIABmAHIAbwBtACAANAAuADUALgAxAC4AMQAgACgANAApACgANQApAFwAIgA7AFwAbgAgACAAIAAgACAAIAAgACAAIAAgAFwAIgBNAEMARgBpAG0AXAAiACwAXAAiAG0AZQB0AGgAYQBuAGUAIABjAG8AbgB2AGUAcgBzAGkAbwBuACAAZgBhAGMAdABvAHIAIABmAG8AcgAgAHQAZQBtAHAAZQByAGEAdABlACAAegBvAG4AZQAgAGEAbgBkACAAcwB5AHMAdABlAG0AXAAiACwAIABcACIAZgByAGEAYwB0AGkAbwBuAFwAIgAsACAAXAAiAEMAbwBuAHMAdABhAG4AdABcACIAOwBcAG4AIAAgACAAIAAgACAAIAAgACAAIABcACIAQgBPAFwAIgAsAFwAIgBlAG0AaQBzAHMAaQBvAG4AcwAgAHAAbwB0AGUAbgB0AGkAYQBsAFwAIgAsACAAXAAiAG0AMwAgAEMASAA0AC8AawBnACAAVgBTAFwAIgAsACAAXAAiAEMAbwBuAHMAdABhAG4AdABcACIAOwBcAG4AIAAgACAAIAAgACAAIAAgACAAIABcACIAcgBoAG8AXAAiACwAXAAiAGQAZQBuAHMAaQB0AHkAIABvAGYAIABtAGUAdABoAGEAbgBlAFwAIgAsACAAXAAiAGsAZwAvAG0AM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UAXwAxAF8AMQBfAF8ANABfAEYAcgBhAGMAdABpAG8AbgBWAG8AbABhAHQAaQBsAGUAUwBvAGwAaQBkAHMAUAByAGkAbQBhAHIAeQBTAHkAcwB0AGUAbQBcAG4ARgByAGEAYwB0AGkAbwBuACAAbwBmACAAdgBvAGwAYQB0AGkAbABlACAAcwBvAGwAaQBkAHMAIABpAG4AIABlAGEAYwBoACAAcAByAGkAbQBhAHIAeQAgAHMAeQBzAHQAZQBtACAAbwB0AGgAZQByACAAdABoAGEAbgAgAHMAbwBsAGkAZAAgAHMAdABvAHIAYQBnAGUAXABuAEYAVgBTAGoAbQBUADEAXABuAGYAcgBhAGMAdABpAG8AbgBcAG4ARgBWAFMAXwB7AGoAbQAsAFQAPQAxAH0APQBNAE0AUwBfAHsAagBtACwAVAA9ADEAfQBcAFwAdABpAG0AZQBzACgAMQAtAFMAUwBfAHsAbQB9ACkAXABuAE0ATQBTAGoAbQBUADEAIAA9ACAAZgByAGEAYwB0AGkAbwBuACAAbwBmACAAbQBhAG4AdQByAGUAIAB0AG8AIABlAGEAYwBoACAAcAByAGkAbQBhAHIAeQAgAE0ATQBTACAAZgBvAHIAIABlAGEAYwBoACAAYwBsAGEAcwBzACAAcAByAGkAbwByACAAdABvACAAcwBvAGwAaQBkACAAcwBlAHAAYQByAGEAdABpAG8AbgAgADoAIABmAHIAYQBjAHQAaQBvAG4AXABuAFMAUwBtACAAPQAgAGYAcgBhAGMAdABpAG8AbgAgAG8AZgAgAHYAbwBsAGEAdABpAGwAZQAgAHMAbwBsAGkAZABzACAAcwBlAHAAYQByAGEAdABlAGQAIAB0AG8AIABzAG8AbABpAGQAIABzAHQAbwByAGEAZwBlACAAZgBvAHIAIABlAGEAYwBoACAATQBNAFMAIAA6ACAAZgByAGEAYwB0AGkAbwBuAFwAbgAtAC0ALQAtAC0ALQAtAC0ALQAtAC0ALQAtAC0ALQAtAC0ALQAtAC0ALQAtAC0ALQAtAC0ALQAtAC0ALQAtAC0ALQAtAC0ALQAtAC0AXABuACoALwBcAG4AXABuAFYARQBFAFIARwBfADQAXwA1AF8AMQBfADEAXwBfADQAXwBGAHIAYQBjAHQAaQBvAG4AVgBvAGwAYQB0AGkAbABlAFMAbwBsAGkAZABzAFAAcgBpAG0AYQByAHkAUwB5AHMAdABlAG0AXABuACAAIAA9AEwAQQBNAEIARABBACgAXABuACAAIAAgACAATQBNAFMAagBtAFQAMQAsACAAUwBTAG0ALABcAG4AIAAgACAAIABNAE0AUwBqAG0AVAAxACAAKgAgACgAMQAgAC0AIABTAFMAbQApAFwAbgAgACAAKQA7AFwAbgBcAG4AVgBFAEUAUgBHAF8ANABfADUAXwAxAF8AMQBfAF8ANABfAEYAcgBhAGMAdABpAG8AbgBWAG8AbABhAHQAaQBsAGUAUwBvAGwAaQBkAHMAUAByAGkAbQBhAHIAeQBTAHkAcwB0AGUAbQBfAFQAaQB0AGwAZQBcAG4AIAAgAD0ATABBAE0AQgBEAEEAKABcACIARgByAGEAYwB0AGkAbwBuACAAbwBmACAAdgBvAGwAYQB0AGkAbABlACAAcwBvAGwAaQBkAHMAIABpAG4AIABlAGEAYwBoACAAcAByAGkAbQBhAHIAeQAgAHMAeQBzAHQAZQBtACAAbwB0AGgAZQByACAAdABoAGEAbgAgAHMAbwBsAGkAZAAgAHMAdABvAHIAYQBnAGUAXAAiACkAOwBcAG4AXABuAFYARQBFAFIARwBfADQAXwA1AF8AMQBfADEAXwBfADQAXwBGAHIAYQBjAHQAaQBvAG4AVgBvAGwAYQB0AGkAbABlAFMAbwBsAGkAZABzAFAAcgBpAG0AYQByAHkAUwB5AHMAdABlAG0AXwBWAGEAcgBpAGEAYgBsAGUAXABuACAAIAA9AEwAQQBNAEIARABBACgAXAAiAEYAVgBTAGoAbQBUADEAXAAiACkAOwBcAG4AXABuAFYARQBFAFIARwBfADQAXwA1AF8AMQBfADEAXwBfADQAXwBGAHIAYQBjAHQAaQBvAG4AVgBvAGwAYQB0AGkAbABlAFMAbwBsAGkAZABzAFAAcgBpAG0AYQByAHkAUwB5AHMAdABlAG0AXwBVAG4AaQB0AFwAbgAgACAAPQBMAEEATQBCAEQAQQAoAFwAIgBmAHIAYQBjAHQAaQBvAG4AXAAiACkAOwBcAG4AXABuAFYARQBFAFIARwBfADQAXwA1AF8AMQBfADEAXwBfADQAXwBGAHIAYQBjAHQAaQBvAG4AVgBvAGwAYQB0AGkAbABlAFMAbwBsAGkAZABzAFAAcgBpAG0AYQByAHkAUwB5AHMAdABlAG0AXwBTAG8AdQByAGMAZQBcAG4AIAAgAD0ATABBAE0AQgBEAEEAKABcACIAVgBFAEUAUgBHACAAMgAwADIANgA6ACAANAAuADUALgAxAC4AMQAsACAARQBxAHUAYQB0AGkAbwBuACAAKAA0ACkAXAAiACkAOwBcAG4AXABuAFYARQBFAFIARwBfADQAXwA1AF8AMQBfADEAXwBfADQAXwBGAHIAYQBjAHQAaQBvAG4AVgBvAGwAYQB0AGkAbABlAFMAbwBsAGkAZABzAFAAcgBpAG0AYQByAHkAUwB5AHMAdABlAG0AXwBOAEkAUgBSAGUAZgBlAHIAZQBuAGMAZQBcAG4AIAAgAD0ATABBAE0AQgBEAEEAKABcACIAXAAiACkAOwBcAG4AXABuAFYARQBFAFIARwBfADQAXwA1AF8AMQBfADEAXwBfADQAXwBGAHIAYQBjAHQAaQBvAG4AVgBvAGwAYQB0AGkAbABlAFMAbwBsAGkAZABzAFAAcgBpAG0AYQByAHkAUwB5AHMAdABlAG0AXwBMAGEAdABlAHgARQBxAHUAYQB0AGkAbwBuAFwAbgAgACAAPQBMAEEATQBCAEQAQQAoAFwAIgBGAFYAUwBfAHsAagBtACwAVAA9ADEAfQA9AE0ATQBTAF8AewBqAG0ALABUAD0AMQB9AFwAXAB0AGkAbQBlAHMAKAAxAC0AUwBTAF8AewBtAH0AKQBcACIAKQA7AFwAbgBcAG4AVgBFAEUAUgBHAF8ANABfADUAXwAxAF8AMQBfAF8ANABfAEYAcgBhAGMAdABpAG8AbgBWAG8AbABhAHQAaQBsAGUAUwBvAGwAaQBkAHMAUAByAGkAbQBhAHIAeQBTAHkAcwB0AGUAbQBfAEEAcgBnAHUAbQBlAG4AdABzAFwAbgAgACAAPQBMAEEATQBCAEQAQQAoAFwAbgAgACAAIAAgAE0AQQBLAEUAQQBSAFIAQQBZACgAMgAsACAANAAsAFwAbgAgACAAIAAgACAAIABMAEEATQBCAEQAQQAoAHIALABjACwAXABuACAAIAAgACAAIAAgACAAIABJAE4ARABFAFgAKAB7AFwAbgAgACAAIAAgACAAIAAgACAAIAAgAFwAIgBNAE0AUwBqAG0AVAAxAFwAIgAsAFwAIgBmAHIAYQBjAHQAaQBvAG4AIABvAGYAIABtAGEAbgB1AHIAZQAgAHQAbwAgAGUAYQBjAGgAIABwAHIAaQBtAGEAcgB5ACAATQBNAFMAIABmAG8AcgAgAGUAYQBjAGgAIABjAGwAYQBzAHMAIABwAHIAaQBvAHIAIAB0AG8AIABzAG8AbABpAGQAIABzAGUAcABhAHIAYQB0AGkAbwBuAFwAIgAsACAAXAAiAGYAcgBhAGMAdABpAG8AbgBcACIALAAgAFwAIgBJAG4AcAB1AHQAXAAiADsAXABuACAAIAAgACAAIAAgACAAIAAgACAAXAAiAFMAUwBtAFwAIgAs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NQBfADEAXwAxAF8AXwA0AF8ARgByAGEAYwB0AGkAbwBuAFYAbwBsAGEAdABpAGwAZQBTAG8AbABpAGQAcwBQAHIAaQBtAGEAcgB5AFMAeQBzAHQAZQBtAF8AVgBhAHIAaQBhAHQAaQBvAG4AXABuACAAIAA9AEwAQQBNAEIARABBACgAXAAiAFwAIgApADsAXABuAFwAbgAvACoAXABuAC0ALQAtAC0ALQAtAC0ALQAtAC0ALQAtAC0ALQAtAC0ALQAtAC0ALQAtAC0ALQAtAC0ALQAtAC0ALQAtAC0ALQAtAC0ALQAtAC0ALQBcAG4AVgBFAEUAUgBHAF8ANABfADUAXwAxAF8AMQBfAF8ANQBfAEYAcgBhAGMAdABpAG8AbgBWAG8AbABhAHQAaQBsAGUAUwBvAGwAaQBkAHMAUwBvAGwAaQBkAFMAdABvAHIAYQBnAGUAXABuAEYAcgBhAGMAdABpAG8AbgAgAG8AZgAgAHYAbwBsAGEAdABpAGwAZQAgAHMAbwBsAGkAZABzACAAaQBuACAAcwBvAGwAaQBkACAAcwB0AG8AcgBhAGcAZQBcAG4ARgBWAFMAagBtADQAVAAxAFwAbgBmAHIAYQBjAHQAaQBvAG4AXABuAEYAVgBTAF8AewBqACwAbQA9ADQALABUAD0AMQB9AD0ATQBNAFMAXwB7AGoALABtAD0ANAAsAFQAPQAxAH0AKwAoAE0ATQBTAF8AewBqACwAbQA9ADEALAA3ACwAOQAsAFQAPQAxAH0AXABcAHQAaQBtAGUAcwAgAFMAUwBfAHsAbQB9ACkAXABuAE0ATQBTAGoAbQA0AFQAMQAgAD0AIABmAHIAYQBjAHQAaQBvAG4AIABvAGYAIABtAGEAbgB1AHIAZQAgAGkAbgAgAHMAbwBsAGkAZAAgAHMAdABvAHIAYQBnAGUAIABwAHIAaQBtAGEAcgB5ACAAcwB5AHMAdABlAG0AIAA6ACAAZgByAGEAYwB0AGkAbwBuAFwAbgBNAE0AUwBqAG0AMQA3ADkAVAAxACAAPQAgAGYAcgBhAGMAdABpAG8AbgAgAG8AZgAgAG0AYQBuAHUAcgBlACAAaQBuACAATQBNAFMAIAAxACwAIAA3ACwAIABhAG4AZAAgADkAIABpAG4AIAB0AHIAZQBhAHQAbQBlAG4AdAAgAHMAdABhAGcAZQAgADEAIAA6ACAAZgByAGEAYwB0AGkAbwBuAFwAbgBTAFMAbQAgAD0AIABmAHIAYQBjAHQAaQBvAG4AIABvAGYAIAB2AG8AbABhAHQAaQBsAGUAIABzAG8AbABpAGQAcwAgAHMAZQBwAGEAcgBhAHQAZQBkACAAdABvACAAcwBvAGwAaQBkACAAcwB0AG8AcgBhAGcAZQAgAGYAbwByACAAZQBhAGMAaAAgAE0ATQBTACAAOgAgAGYAcgBhAGMAdABpAG8AbgBcAG4ALQAtAC0ALQAtAC0ALQAtAC0ALQAtAC0ALQAtAC0ALQAtAC0ALQAtAC0ALQAtAC0ALQAtAC0ALQAtAC0ALQAtAC0ALQAtAC0ALQAtAFwAbgAqAC8AXABuAFwAbgBWAEUARQBSAEcAXwA0AF8ANQBfADEAXwAxAF8AXwA1AF8ARgByAGEAYwB0AGkAbwBuAFYAbwBsAGEAdABpAGwAZQBTAG8AbABpAGQAcwBTAG8AbABpAGQAUwB0AG8AcgBhAGcAZQBcAG4AIAAgAD0ATABBAE0AQgBEAEEAKABcAG4AIAAgACAAIABNAE0AUwBqAG0ANABUADEALAAgAE0ATQBTAGoAbQAxADcAOQBUADEALAAgAFMAUwBtACwAXABuACAAIAAgACAATQBNAFMAagBtADQAVAAxACAAKwAgACgATQBNAFMAagBtADEANwA5AFQAMQAgACoAIABTAFMAbQApAFwAbgAgACAAKQA7AFwAbgBcAG4AVgBFAEUAUgBHAF8ANABfADUAXwAxAF8AMQBfAF8ANQBfAEYAcgBhAGMAdABpAG8AbgBWAG8AbABhAHQAaQBsAGUAUwBvAGwAaQBkAHMAUwBvAGwAaQBkAFMAdABvAHIAYQBnAGUAVgBhAHIAaQBhAHQAaQBvAG4AXABuACAAIAA9AEwAQQBNAEIARABBACgAXABuACAAIAAgACAATQBNAFMAagBtADQAVAAxACwAXABuACAAIAAgACAATQBNAFMAagBtAFQAMQBfADEALAAgAE0ATQBTAGoAbQBUADEAXwAyACwAIABNAE0AUwBqAG0AVAAxAF8AMwAsACAATQBNAFMAagBtAFQAMQBfADQALAAgAE0ATQBTAGoAbQBUADEAXwA1ACwAXABuACAAIAAgACAAUwBTAGoAbQBUADEAXwAxACwAIABTAFMAagBtAFQAMQBfADIALAAgAFMAUwBqAG0AVAAxAF8AMwAsACAAUwBTAGoAbQBUADEAXwA0ACwAIABTAFMAagBtAFQAMQBfADUALABcAG4AIAAgACAAIAAgACAATQBNAFMAagBtADQAVAAxACAAKwAgAFwAbgAgACAAIAAgACAAIAAoAE0ATQBTAGoAbQBUADEAXwAxACAAKgAgAFMAUwBqAG0AVAAxAF8AMQApACAAKwAgAFwAbgAgACAAIAAgACAAIAAoAE0ATQBTAGoAbQBUADEAXwAyACAAKgAgAFMAUwBqAG0AVAAxAF8AMgApACAAKwAgAFwAbgAgACAAIAAgACAAIAAoAE0ATQBTAGoAbQBUADEAXwAzACAAKgAgAFMAUwBqAG0AVAAxAF8AMwApACAAKwBcAG4AIAAgACAAIAAgACAAKABNAE0AUwBqAG0AVAAxAF8ANAAgACoAIABTAFMAagBtAFQAMQBfADQAKQAgACsAXABuACAAIAAgACAAIAAgACgATQBNAFMAagBtAFQAMQBfADUAIAAqACAAUwBTAGoAbQBUADEAXwA1ACkAXABuACAAIAApADsAXABuAFwAbgBWAEUARQBSAEcAXwA0AF8ANQBfADEAXwAxAF8AXwA1AF8ARgByAGEAYwB0AGkAbwBuAFYAbwBsAGEAdABpAGwAZQBTAG8AbABpAGQAcwBTAG8AbABpAGQAUwB0AG8AcgBhAGcAZQBfAFQAaQB0AGwAZQBcAG4AIAAgAD0ATABBAE0AQgBEAEEAKABcACIARgByAGEAYwB0AGkAbwBuACAAbwBmACAAdgBvAGwAYQB0AGkAbABlACAAcwBvAGwAaQBkAHMAIABpAG4AIABzAG8AbABpAGQAIABzAHQAbwByAGEAZwBlAFwAIgApADsAXABuAFwAbgBWAEUARQBSAEcAXwA0AF8ANQBfADEAXwAxAF8AXwA1AF8ARgByAGEAYwB0AGkAbwBuAFYAbwBsAGEAdABpAGwAZQBTAG8AbABpAGQAcwBTAG8AbABpAGQAUwB0AG8AcgBhAGcAZQBfAFYAYQByAGkAYQBiAGwAZQBcAG4AIAAgAD0ATABBAE0AQgBEAEEAKABcACIARgBWAFMAagBtADQAVAAxAFwAIgApADsAXABuAFwAbgBWAEUARQBSAEcAXwA0AF8ANQBfADEAXwAxAF8AXwA1AF8ARgByAGEAYwB0AGkAbwBuAFYAbwBsAGEAdABpAGwAZQBTAG8AbABpAGQAcwBTAG8AbABpAGQAUwB0AG8AcgBhAGcAZQBfAFUAbgBpAHQAXABuACAAIAA9AEwAQQBNAEIARABBACgAXAAiAGYAcgBhAGMAdABpAG8AbgBcACIAKQA7AFwAbgBcAG4AVgBFAEUAUgBHAF8ANABfADUAXwAxAF8AMQBfAF8ANQBfAEYAcgBhAGMAdABpAG8AbgBWAG8AbABhAHQAaQBsAGUAUwBvAGwAaQBkAHMAUwBvAGwAaQBkAFMAdABvAHIAYQBnAGUAXwBTAG8AdQByAGMAZQBcAG4AIAAgAD0ATABBAE0AQgBEAEEAKABcACIAVgBFAEUAUgBHACAAMgAwADIANgA6ACAANAAuADUALgAxAC4AMQAsACAARQBxAHUAYQB0AGkAbwBuACAAKAA1ACkAXAAiACkAOwBcAG4AXABuAFYARQBFAFIARwBfADQAXwA1AF8AMQBfADEAXwBfADUAXwBGAHIAYQBjAHQAaQBvAG4AVgBvAGwAYQB0AGkAbABlAFMAbwBsAGkAZABzAFMAbwBsAGkAZABTAHQAbwByAGEAZwBlAF8ATgBJAFIAUgBlAGYAZQByAGUAbgBjAGUAXABuACAAIAA9AEwAQQBNAEIARABBACgAXAAiAFwAIgApADsAXABuAFwAbgBWAEUARQBSAEcAXwA0AF8ANQBfADEAXwAxAF8AXwA1AF8ARgByAGEAYwB0AGkAbwBuAFYAbwBsAGEAdABpAGwAZQBTAG8AbABpAGQAcwBTAG8AbABpAGQAUwB0AG8AcgBhAGcAZQBfAEwAYQB0AGUAeABFAHEAdQBhAHQAaQBvAG4AXABuACAAIAA9AEwAQQBNAEIARABBACgAXAAiAEYAVgBTAF8AewBqACwAbQA9ADQALABUAD0AMQB9AD0ATQBNAFMAXwB7AGoALABtAD0ANAAsAFQAPQAxAH0AKwAoAE0ATQBTAF8AewBqACwAbQA9ADEALAA3ACwAOQAsAFQAPQAxAH0AXABcAHQAaQBtAGUAcwAgAFMAUwBfAHsAbQB9ACkAXAAiACkAOwBcAG4AXABuAFYARQBFAFIARwBfADQAXwA1AF8AMQBfADEAXwBfADUAXwBGAHIAYQBjAHQAaQBvAG4AVgBvAGwAYQB0AGkAbABlAFMAbwBsAGkAZABzAFMAbwBsAGkAZABTAHQAbwByAGEAZwBlAF8ATABhAHQAZQB4AEUAcQB1AGEAdABpAG8AbgBWAGEAcgBpAGEAdABpAG8AbgBcAG4AIAAgAD0ATABBAE0AQgBEAEEAKABcACIARgBWAFMAXwB7AGoALABtAD0ANAAsAFQAPQAxAH0APQBNAE0AUwBfAHsAagAsAG0APQA0ACwAVAA9ADEAfQArACgATQBNAFMAXwB7AGoALABtAD0AMQAsAFQAPQAxAH0AXABcAHQAaQBtAGUAcwAgAFMAUwBfAHsAbQA9ADEALABUAD0AMQB9ACkAKwAoAE0ATQBTAF8AewBqACwAbQA9ADcALABUAD0AMQB9AFwAXAB0AGkAbQBlAHMAIABTAFMAXwB7AG0APQA3ACwAVAA9ADEAfQApACsAKABNAE0AUwBfAHsAagAsAG0APQA5ACwAVAA9ADEAfQBcAFwAdABpAG0AZQBzACAAUwBTAF8AewBtAD0AOQAsAFQAPQAxAH0AKQBcACIAKQA7AFwAbgBcAG4AVgBFAEUAUgBHAF8ANABfADUAXwAxAF8AMQBfAF8ANQBfAEYAcgBhAGMAdABpAG8AbgBWAG8AbABhAHQAaQBsAGUAUwBvAGwAaQBkAHMAUwBvAGwAaQBkAFMAdABvAHIAYQBnAGUAXwBBAHIAZwB1AG0AZQBuAHQAcwBcAG4AIAAgAD0ATABBAE0AQgBEAEEAKABcAG4AIAAgACAAIABNAEEASwBFAEEAUgBSAEEAWQAoADMALAAgADQALABcAG4AIAAgACAAIAAgACAATABBAE0AQgBEAEEAKAByACwAYwAsAFwAbgAgACAAIAAgACAAIAAgACAASQBOAEQARQBYACgAewBcAG4AIAAgACAAIAAgACAAIAAgACAAIABcACIATQBNAFMAagBtADQAVAAxAFwAIgAsAFwAIgBmAHIAYQBjAHQAaQBvAG4AIABvAGYAIABtAGEAbgB1AHIAZQAgAGkAbgAgAHMAbwBsAGkAZAAgAHMAdABvAHIAYQBnAGUAIABwAHIAaQBtAGEAcgB5ACAAcwB5AHMAdABlAG0AXAAiACwAIABcACIAZgByAGEAYwB0AGkAbwBuAFwAIgAsACAAXAAiAEkAbgBwAHUAdABcACIAOwBcAG4AIAAgACAAIAAgACAAIAAgACAAIABcACIATQBNAFMAagBtADEANwA5AFQAMQBcACIALABcACIAZgByAGEAYwB0AGkAbwBuACAAbwBmACAAbQBhAG4AdQByAGUAIABpAG4AIABNAE0AUwAgADEALAAgADcALAAgAGEAbgBkACAAOQAgAGkAbgAgAHQAcgBlAGEAdABtAGUAbgB0ACAAcwB0AGEAZwBlACAAMQBcACIALAAgAFwAIgBmAHIAYQBjAHQAaQBvAG4AXAAiACwAIABcACIASQBuAHAAdQB0AFwAIgA7AFwAbgAgACAAIAAgACAAIAAgACAAIAAgAFwAIgBTAFMAbQBcACIALABcACIAZgByAGEAYwB0AGkAbwBuACAAbwBmACAAdgBvAGwAYQB0AGkAbABlACAAcwBvAGwAaQBkAHMAIABzAGUAcABhAHIAYQB0AGUAZAAgAHQAbwAgAHMAbwBsAGkAZAAgAHMAdABvAHIAYQBnAGUAIABmAG8AcgAgAGUAYQBjAGgAIABNAE0AUwBcACIALAAgAFwAIgBmAHIAYQBjAHQAaQBvAG4AXAAiACwAIABcACIASQBuAHAAdQB0AFwAIgBcAG4AIAAgACAAIAAgACAAIAAgAH0ALAAgAHIALAAgAGMAKQBcAG4AIAAgACAAIAAgACAAKQBcAG4AIAAgACAAIAApAFwAbgAgACAAKQA7AFwAbgBcAG4AVgBFAEUAUgBHAF8ANABfADUAXwAxAF8AMQBfAF8ANQBfAEYAcgBhAGMAdABpAG8AbgBWAG8AbABhAHQAaQBsAGUAUwBvAGwAaQBkAHMAUwBvAGwAaQBkAFMAdABvAHIAYQBnAGUAXwBWAGEAcgBpAGEAdABpAG8AbgBcAG4AIAAgAD0ATABBAE0AQgBEAEEAKABcACIAVgBBAFIASQBBAFQASQBPAE4AIABPAE4AIABTAE8AVQBSAEMARQA6ACAAUwBwAGwAaQB0ACAAZQBxAHUAYQB0AGkAbwBuACAAZgBvAHIAIABNAE0AUwBtAD0AMQAsADcALAA5ACAAaQBuAHQAbwAgAHMAZQBwAGEAcgBhAHQAZQAgAGkAdABlAG0AcwAgAHQAbwAgAGEAbABsAG8AdwAgAGYAbwByACAAYwBhAGwAYwB1AGwAYQB0AGkAbwBuAFwAIgApADsAXABuACAAIABcAG4AXABuAC8AKgBcAG4ALQAtAC0ALQAtAC0ALQAtAC0ALQAtAC0ALQAtAC0ALQAtAC0ALQAtAC0ALQAtAC0ALQAtAC0ALQAtAC0ALQAtAC0ALQAtAC0ALQAtAFwAbgBWAEUARQBSAEcAXwA0AF8ANQBfADEAXwAxAF8AXwA2AF8AUwB0AGEAZwBlADIATQBlAHQAaABhAG4AZQBQAHIAbwBkAHUAYwB0AGkAbwBuAFwAbgBQAHIAbwBkAHUAYwB0AGkAbwBuACAAbwBmACAAbQBlAHQAaABhAG4AZQAgAGkAbgAgAGUAYQBjAGgAIAB0AHIAZQBhAHQAbQBlAG4AdAAgAHMAdABhAGcAZQAgADIAIABNAE0AUwBcAG4ATQBpAGoAbQBUADIAXABuAGsAZwAgAEMASAA0AC8AaABlAGEAZAAvAGQAYQB5AFwAbgBNAF8AewBpAGoAbQAsAFQAPQAyAH0APQBWAFMAVABfAHsAagBtACwAVAA9ADIAfQBcAFwAdABpAG0AZQBzACAAQgBPAFwAXAB0AGkAbQBlAHMAIABNAE0AUwBfAHsAagBtACwAVAA9ADIAfQBcAFwAdABpAG0AZQBzACAATQBDAEYAXwB7AGkAbQB9AFwAXAB0AGkAbQBlAHMAIABcAFwAcgBoAG8AXABuAFYAUwBUAGoAbQBUADIAIAA9ACAAdgBvAGwAYQB0AGkAbABlACAAcwBvAGwAaQBkAHMAIAB0AHIAYQBuAHMAZgBlAHIAcgBlAGQAIAB0AG8AIAB0AHIAZQBhAHQAbQBlAG4AdAAgAHMAdABhAGcAZQAgADIAIABNAE0AUwAgADoAIABrAGcALwBoAGUAYQBkAC8AZABhAHkAXABuAEIATwAgAD0AIABlAG0AaQBzAHMAaQBvAG4AcwAgAHAAbwB0AGUAbgB0AGkAYQBsACAAOgAgAG0AMwAgAEMASAA0AC8AawBnACAAVgBTAFwAbgBNAE0AUwBqAG0AVAAyACAAPQAgAGYAcgBhAGMAdABpAG8AbgAgAG8AZgAgAG0AYQBuAHUAcgBlACAAaQBuACAAZQBhAGMAaAAgAHMAZQBjAG8AbgBkAGEAcgB5ACAAcwB5AHMAdABlAG0AIAA6ACAAZgByAGEAYwB0AGkAbwBuAFwAbgBNAEMARgBpAG0AIAA9ACAAbQBlAHQAaABhAG4AZQAgAGMAbwBuAHYAZQByAHMAaQBvAG4AIABmAGEAYwB0AG8AcgAgAGYAbwByACAAdABlAG0AcABlAHIAYQB0AGUAIAB6AG8AbgBlACAAYQBuAGQAIABzAHkAcwB0AGUAbQAgADoAIABmAHIAYQBjAHQAaQBvAG4AXABuAHIAaABvACAAPQAgAGQAZQBuAHMAaQB0AHkAIABvAGYAIABtAGUAdABoAGEAbgBlACAAOgAgAGsAZwAvAG0AMwBcAG4AaQAgAD0AIABzAHQAYQB0AGUAXABuAC0ALQAtAC0ALQAtAC0ALQAtAC0ALQAtAC0ALQAtAC0ALQAtAC0ALQAtAC0ALQAtAC0ALQAtAC0ALQAtAC0ALQAtAC0ALQAtAC0ALQBcAG4AKgAvAFwAbgBcAG4AVgBFAEUAUgBHAF8ANABfADUAXwAxAF8AMQBfAF8ANgBfAFMAdABhAGcAZQAyAE0AZQB0AGgAYQBuAGUAUAByAG8AZAB1AGMAdABpAG8AbgBcAG4AIAAgAD0ATABBAE0AQgBEAEEAKABcAG4AIAAgACAAIABWAFMAVABqAG0AVAAyACwAIABCAE8ALAAgAE0ATQBTAGoAbQBUADIALAAgAE0AQwBGAGkAbQAsACAAcgBoAG8ALABcAG4AIAAgACAAIABMAEUAVAAoAFwAbgAgACAAIAAgACAAIABWAFMAVABqAG0AVAAyACwAIABJAEYAKABJAFMATgBVAE0AQgBFAFIAKABWAFMAVABqAG0AVAAyACkALAAgAFYAUwBUAGoAbQBUADIALAAgADAAKQAsAFwAbgAgACAAIAAgACAAIABNAE0AUwBqAG0AVAAyACwAIABJAEYAKABJAFMATgBVAE0AQgBFAFIAKABNAE0AUwBqAG0AVAAyACkALAAgAE0ATQBTAGoAbQBUADIALAAgADAAKQAsAFwAbgAgACAAIAAgACAAIABWAFMAVABqAG0AVAAyACAAKgAgAEIATwAgACoAIABNAE0AUwBqAG0AVAAyACAAKgAgAE0AQwBGAGkAbQAgACoAIAByAGgAbwBcAG4AIAAgACAAIAApAFwAbgAgACAAKQA7AFwAbgBcAG4AVgBFAEUAUgBHAF8ANABfADUAXwAxAF8AMQBfAF8ANgBfAFMAdABhAGcAZQAyAE0AZQB0AGgAYQBuAGUAUAByAG8AZAB1AGMAdABpAG8AbgBfAFQAaQB0AGwAZQBcAG4AIAAgAD0ATABBAE0AQgBEAEEAKABcACIAUAByAG8AZAB1AGMAdABpAG8AbgAgAG8AZgAgAG0AZQB0AGgAYQBuAGUAIABpAG4AIABlAGEAYwBoACAAdAByAGUAYQB0AG0AZQBuAHQAIABzAHQAYQBnAGUAIAAyACAATQBNAFMAXAAiACkAOwBcAG4AXABuAFYARQBFAFIARwBfADQAXwA1AF8AMQBfADEAXwBfADYAXwBTAHQAYQBnAGUAMgBNAGUAdABoAGEAbgBlAFAAcgBvAGQAdQBjAHQAaQBvAG4AXwBWAGEAcgBpAGEAYgBsAGUAXABuACAAIAA9AEwAQQBNAEIARABBACgAXAAiAE0AaQBqAG0AVAAyAFwAIgApADsAXABuAFwAbgBWAEUARQBSAEcAXwA0AF8ANQBfADEAXwAxAF8AXwA2AF8AUwB0AGEAZwBlADIATQBlAHQAaABhAG4AZQBQAHIAbwBkAHUAYwB0AGkAbwBuAF8AVQBuAGkAdABcAG4AIAAgAD0ATABBAE0AQgBEAEEAKABcACIAawBnACAAQwBIADQALwBoAGUAYQBkAC8AZABhAHkAXAAiACkAOwBcAG4AXABuAFYARQBFAFIARwBfADQAXwA1AF8AMQBfADEAXwBfADYAXwBTAHQAYQBnAGUAMgBNAGUAdABoAGEAbgBlAFAAcgBvAGQAdQBjAHQAaQBvAG4AXwBTAG8AdQByAGMAZQBcAG4AIAAgAD0ATABBAE0AQgBEAEEAKABcACIAVgBFAEUAUgBHACAAMgAwADIANgA6ACAANAAuADUALgAxAC4AMQAsACAARQBxAHUAYQB0AGkAbwBuACAAKAA2ACkAXAAiACkAOwBcAG4AXABuAFYARQBFAFIARwBfADQAXwA1AF8AMQBfADEAXwBfADYAXwBTAHQAYQBnAGUAMgBNAGUAdABoAGEAbgBlAFAAcgBvAGQAdQBjAHQAaQBvAG4AXwBOAEkAUgBSAGUAZgBlAHIAZQBuAGMAZQBcAG4AIAAgAD0ATABBAE0AQgBEAEEAKABcACIAXAAiACkAOwBcAG4AXABuAFYARQBFAFIARwBfADQAXwA1AF8AMQBfADEAXwBfADYAXwBTAHQAYQBnAGUAMgBNAGUAdABoAGEAbgBlAFAAcgBvAGQAdQBjAHQAaQBvAG4AXwBMAGEAdABlAHgARQBxAHUAYQB0AGkAbwBuAFwAbgAgACAAPQBMAEEATQBCAEQAQQAoAFwAIgBNAF8AewBpAGoAbQAsAFQAPQAyAH0APQBWAFMAVABfAHsAagBtACwAVAA9ADIAfQBcAFwAdABpAG0AZQBzACAAQgBPAFwAXAB0AGkAbQBlAHMAIABNAE0AUwBfAHsAagBtACwAVAA9ADIAfQBcAFwAdABpAG0AZQBzACAATQBDAEYAXwB7AGkAbQB9AFwAXAB0AGkAbQBlAHMAIABcAFwAcgBoAG8AXAAiACkAOwBcAG4AXABuAFYARQBFAFIARwBfADQAXwA1AF8AMQBfADEAXwBfADYAXwBTAHQAYQBnAGUAMgBNAGUAdABoAGEAbgBlAFAAcgBvAGQAdQBjAHQAaQBvAG4AXwBBAHIAZwB1AG0AZQBuAHQAcwBcAG4AIAAgAD0ATABBAE0AQgBEAEEAKABcAG4AIAAgACAAIABNAEEASwBFAEEAUgBSAEEAWQAoADYALAAgADQALABcAG4AIAAgACAAIAAgACAATABBAE0AQgBEAEEAKAByACwAYwAsAFwAbgAgACAAIAAgACAAIAAgACAASQBOAEQARQBYACgAewBcAG4AIAAgACAAIAAgACAAIAAgACAAIABcACIAVgBTAFQAagBtAFQAMgBcACIALABcACIAdgBvAGwAYQB0AGkAbABlACAAcwBvAGwAaQBkAHMAIAB0AHIAYQBuAHMAZgBlAHIAcgBlAGQAIAB0AG8AIAB0AHIAZQBhAHQAbQBlAG4AdAAgAHMAdABhAGcAZQAgADIAIABNAE0AUwBcACIALAAgAFwAIgBrAGcALwBoAGUAYQBkAC8AZABhAHkAXAAiACwAIABcACIAQwBhAGwAYwB1AGwAYQB0AGUAZAAgAGYAcgBvAG0AIAA0AC4ANQAuADEALgAxACAAKAA3ACkAXAAiADsAXABuACAAIAAgACAAIAAgACAAIAAgACAAXAAiAEIATwBcACIALABcACIAZQBtAGkAcwBzAGkAbwBuAHMAIABwAG8AdABlAG4AdABpAGEAbABcACIALAAgAFwAIgBtADMAIABDAEgANAAvAGsAZwAgAFYAUwBcACIALAAgAFwAIgBDAG8AbgBzAHQAYQBuAHQAXAAiADsAXABuACAAIAAgACAAIAAgACAAIAAgACAAXAAiAE0ATQBTAGoAbQBUADIAXAAiACwAXAAiAGYAcgBhAGMAdABpAG8AbgAgAG8AZgAgAG0AYQBuAHUAcgBlACAAaQBuACAAZQBhAGMAaAAgAHMAZQBjAG8AbgBkAGEAcgB5ACAAcwB5AHMAdABlAG0AXAAiACwAIABcACIAZgByAGEAYwB0AGkAbwBuAFwAIgAsACAAXAAiAEkAbgBwAHUAdABcACIAOwBcAG4AIAAgACAAIAAgACAAIAAgACAAIABcACIATQBDAEYAaQBtAFwAIgAsAFwAIgBtAGUAdABoAGEAbgBlACAAYwBvAG4AdgBlAHIAcwBpAG8AbgAgAGYAYQBjAHQAbwByACAAZgBvAHIAIAB0AGUAbQBwAGUAcgBhAHQAZQAgAHoAbwBuAGUAIABhAG4AZAAgAHMAeQBzAHQAZ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FwAIgBzAHQAYQB0AGUAXAAiACwAIABcACIAXAAiACwAIABcACIASQBuAHAAdQB0AFwAIgBcAG4AIAAgACAAIAAgACAAIAAgAH0ALAAgAHIALAAgAGMAKQBcAG4AIAAgACAAIAAgACAAKQBcAG4AIAAgACAAIAApAFwAbgAgACAAKQA7AFwAbgBcAG4AVgBFAEUAUgBHAF8ANABfADUAXwAxAF8AMQBfAF8ANgBfAFMAdABhAGcAZQAyAE0AZQB0AGgAYQBuAGUAUAByAG8AZAB1AGMAdABpAG8AbgBfAEEAcgBnAHUAbQBlAG4AdABzAF8ATQBlAHQAaABvAGQAMgBcAG4AIAAgAD0ATABBAE0AQgBEAEEAKABcAG4AIAAgACAAIABNAEEASwBFAEEAUgBSAEEAWQAoADYALAAgADQALABcAG4AIAAgACAAIAAgACAATABBAE0AQgBEAEEAKAByACwAYwAsAFwAbgAgACAAIAAgACAAIAAgACAASQBOAEQARQBYACgAewBcAG4AIAAgACAAIAAgACAAIAAgACAAIABcACIAVgBTAFQAagBtAFQAMgBcACIALABcACIAdgBvAGwAYQB0AGkAbABlACAAcwBvAGwAaQBkAHMAIAB0AHIAYQBuAHMAZgBlAHIAcgBlAGQAIAB0AG8AIAB0AHIAZQBhAHQAbQBlAG4AdAAgAHMAdABhAGcAZQAgADIAIABNAE0AUwBcACIALAAgAFwAIgBrAGcALwBoAGUAYQBkAC8AZABhAHkAXAAiACwAIABcACIAQwBhAGwAYwB1AGwAYQB0AGUAZAAgAGYAcgBvAG0AIAA0AC4ANQAuADEALgAxACAAKAA3ACkAXAAiADsAXABuACAAIAAgACAAIAAgACAAIAAgACAAXAAiAEIATwBcACIALABcACIAZQBtAGkAcwBzAGkAbwBuAHMAIABwAG8AdABlAG4AdABpAGEAbABcACIALAAgAFwAIgBtADMAIABDAEgANAAvAGsAZwAgAFYAUwBcACIALAAgAFwAIgBDAG8AbgBzAHQAYQBuAHQAXAAiADsAXABuACAAIAAgACAAIAAgACAAIAAgACAAXAAiAE0ATQBTAGoAbQBUADIAXAAiACwAXAAiAGYAcgBhAGMAdABpAG8AbgAgAG8AZgAgAG0AYQBuAHUAcgBlACAAaQBuACAAZQBhAGMAaAAgAHMAZQBjAG8AbgBkAGEAcgB5ACAAcwB5AHMAdABlAG0AXAAiACwAIABcACIAZgByAGEAYwB0AGkAbwBuAFwAIgAsACAAXAAiAEkAbgBwAHUAdABcACIAOwBcAG4AIAAgACAAIAAgACAAIAAgACAAIABcACIATQBDAEYAaQBtAFwAIgAsAFwAIgBtAGUAdABoAGEAbgBlACAAYwBvAG4AdgBlAHIAcwBpAG8AbgAgAGYAYQBjAHQAbwByACAAZgBvAHIAIAB0AGUAbQBwAGUAcgBhAHQAZQAgAHoAbwBuAGUAIABhAG4AZAAgAHMAeQBzAHQAZ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NAEEAVABcACIALABcACIATQBlAGEAbgAgAGEAbgBuAHUAYQBsACAAdABlAG0AcABlAHIAYQB0AHUAcgBlAFwAIgAsACAAXAAiALAAQwBcACIALAAgAFwAIgBJAG4AcAB1AHQAXAAiAFwAbgAgACAAIAAgACAAIAAgACAAfQAsACAAcgAsACAAYwApAFwAbgAgACAAIAAgACAAIAApAFwAbgAgACAAIAAgACkAXABuACAAIAApADsAXABuAFwAbgBcAG4ALwAqAFwAbgAtAC0ALQAtAC0ALQAtAC0ALQAtAC0ALQAtAC0ALQAtAC0ALQAtAC0ALQAtAC0ALQAtAC0ALQAtAC0ALQAtAC0ALQAtAC0ALQAtAC0AXABuAFYARQBFAFIARwBfADQAXwA1AF8AMQBfADEAXwBfADcAXwBWAG8AbABhAHQAaQBsAGUAUwBvAGwAaQBkAHMAVAByAGEAbgBzAGYAZQByAHIAZQBkAFMAdABhAGcAZQAyAFwAbgBWAG8AbABhAHQAaQBsAGUAIABzAG8AbABpAGQAcwAgAHQAcgBhAG4AcwBmAGUAcgByAGUAZAAgAHQAbwAgAHQAcgBlAGEAdABtAGUAbgB0ACAAcwB0AGEAZwBlACAAMgAgAE0ATQBTAFwAbgBWAFMAVABpAGoAbQBUADIAXABuAGsAZwAgAFYAUwBcAG4AVgBTAFQAXwB7AGkAagBtACwAVAA9ADIAfQA9AFYAUwBfAHsAagB9AFwAXAB0AGkAbQBlAHMAIABGAFYAUwBfAHsAagBtACwAVAA9ADEAfQBcAFwAdABpAG0AZQBzACgAMQAtAFYAUwBMAF8AewBtACwAVAA9ADEAfQApAFwAbgBWAFMAagAgAD0AIAB2AG8AbABhAHQAaQBsAGUAIABzAG8AbABpAGQAIABwAHIAbwBkAHUAYwB0AGkAbwBuACAAZgByAG8AbQAgAHMAdwBpAG4AZQAgAGkAbgAgAGUAYQBjAGgAIABjAGwAYQBzAHMAIAA6ACAAawBnAC8AaABlAGEAZAAvAGQAYQB5AFwAbgBGAFYAUwBqAG0AVAAxACAAPQAgAGYAcgBhAGMAdABpAG8AbgAgAG8AZgAgAHYAbwBsAGEAdABpAGwAZQAgAHMAbwBsAGkAZABzACAAaQBuACAAZQBhAGMAaAAgAHAAcgBpAG0AYQByAHkAIABzAHkAcwB0AGUAbQAgADoAIABmAHIAYQBjAHQAaQBvAG4AXABuAFYAUwBMAG0AVAAxACAAPQAgAGYAcgBhAGMAdABpAG8AbgAgAG8AZgAgAHYAbwBsAGEAdABpAGwAZQAgAHMAbwBsAGkAZABzACAAbABvAHMAdAAgAGQAdQByAGkAbgBnACAAcwB0AG8AcgBhAGcAZQAgAGkAbgAgAHQAaABlACAAcAByAGkAbQBhAHIAeQAgAHMAeQBzAHQAZQBtACAAOgAgAGYAcgBhAGMAdABpAG8AbgBcAG4ALQAtAC0ALQAtAC0ALQAtAC0ALQAtAC0ALQAtAC0ALQAtAC0ALQAtAC0ALQAtAC0ALQAtAC0ALQAtAC0ALQAtAC0ALQAtAC0ALQAtAFwAbgAqAC8AXABuAFwAbgBWAEUARQBSAEcAXwA0AF8ANQBfADEAXwAxAF8AXwA3AF8AVgBvAGwAYQB0AGkAbABlAFMAbwBsAGkAZABzAFQAcgBhAG4AcwBmAGUAcgByAGUAZABTAHQAYQBnAGUAMgBcAG4AIAAgAD0ATABBAE0AQgBEAEEAKABcAG4AIAAgACAAIABWAFMAagAsACAARgBWAFMAagBtAFQAMQAsACAAVgBTAEwAbQBUADEALABcAG4AIAAgACAAIABWAFMAagAgACoAIABGAFYAUwBqAG0AVAAxACAAKgAgACgAMQAgAC0AIABWAFMATABtAFQAMQApAFwAbgAgACAAKQA7AFwAbgBcAG4AVgBFAEUAUgBHAF8ANABfADUAXwAxAF8AMQBfAF8ANwBfAFYAbwBsAGEAdABpAGwAZQBTAG8AbABpAGQAcwBUAHIAYQBuAHMAZgBlAHIAcgBlAGQAUwB0AGEAZwBlADIAXwBUAGkAdABsAGUAXABuACAAIAA9AEwAQQBNAEIARABBACgAXAAiAFYAbwBsAGEAdABpAGwAZQAgAHMAbwBsAGkAZABzACAAdAByAGEAbgBzAGYAZQByAHIAZQBkACAAdABvACAAdAByAGUAYQB0AG0AZQBuAHQAIABzAHQAYQBnAGUAIAAyACAATQBNAFMAXAAiACkAOwBcAG4AXABuAFYARQBFAFIARwBfADQAXwA1AF8AMQBfADEAXwBfADcAXwBWAG8AbABhAHQAaQBsAGUAUwBvAGwAaQBkAHMAVAByAGEAbgBzAGYAZQByAHIAZQBkAFMAdABhAGcAZQAyAF8AVgBhAHIAaQBhAGIAbABlAFwAbgAgACAAPQBMAEEATQBCAEQAQQAoAFwAIgBWAFMAVABpAGoAbQBUADIAXAAiACkAOwBcAG4AXABuAFYARQBFAFIARwBfADQAXwA1AF8AMQBfADEAXwBfADcAXwBWAG8AbABhAHQAaQBsAGUAUwBvAGwAaQBkAHMAVAByAGEAbgBzAGYAZQByAHIAZQBkAFMAdABhAGcAZQAyAF8AVQBuAGkAdABcAG4AIAAgAD0ATABBAE0AQgBEAEEAKABcACIAawBnACAAVgBTAFwAIgApADsAXABuAFwAbgBWAEUARQBSAEcAXwA0AF8ANQBfADEAXwAxAF8AXwA3AF8AVgBvAGwAYQB0AGkAbABlAFMAbwBsAGkAZABzAFQAcgBhAG4AcwBmAGUAcgByAGUAZABTAHQAYQBnAGUAMgBfAFMAbwB1AHIAYwBlAFwAbgAgACAAPQBMAEEATQBCAEQAQQAoAFwAIgBWAEUARQBSAEcAIAAyADAAMgA2ADoAIAA0AC4ANQAuADEALgAxACwAIABFAHEAdQBhAHQAaQBvAG4AIAAoADcAKQBcACIAKQA7AFwAbgBcAG4AVgBFAEUAUgBHAF8ANABfADUAXwAxAF8AMQBfAF8ANwBfAFYAbwBsAGEAdABpAGwAZQBTAG8AbABpAGQAcwBUAHIAYQBuAHMAZgBlAHIAcgBlAGQAUwB0AGEAZwBlADIAXwBOAEkAUgBSAGUAZgBlAHIAZQBuAGMAZQBcAG4AIAAgAD0ATABBAE0AQgBEAEEAKABcACIAXAAiACkAOwBcAG4AXABuAFYARQBFAFIARwBfADQAXwA1AF8AMQBfADEAXwBfADcAXwBWAG8AbABhAHQAaQBsAGUAUwBvAGwAaQBkAHMAVAByAGEAbgBzAGYAZQByAHIAZQBkAFMAdABhAGcAZQAyAF8ATABhAHQAZQB4AEUAcQB1AGEAdABpAG8AbgBcAG4AIAAgAD0ATABBAE0AQgBEAEEAKABcACIAVgBTAFQAXwB7AGkAagBtACwAVAA9ADIAfQA9AFYAUwBfAHsAagB9AFwAXAB0AGkAbQBlAHMAIABGAFYAUwBfAHsAagBtACwAVAA9ADEAfQBcAFwAdABpAG0AZQBzACgAMQAtAFYAUwBMAF8AewBtACwAVAA9ADEAfQApAFwAIgApADsAXABuAFwAbgBWAEUARQBSAEcAXwA0AF8ANQBfADEAXwAxAF8AXwA3AF8AVgBvAGwAYQB0AGkAbABlAFMAbwBsAGkAZABzAFQAcgBhAG4AcwBmAGUAcgByAGUAZABTAHQAYQBnAGUAMgBfAEEAcgBnAHUAbQBlAG4AdABzAFwAbgAgACAAPQBMAEEATQBCAEQAQQAoAFwAbgAgACAAIAAgAE0AQQBLAEUAQQBSAFIAQQBZACgAMwAsACAANAAsAFwAbgAgACAAIAAgACAAIABMAEEATQBCAEQAQQAoAHIALABjACwAXABuACAAIAAgACAAIAAgACAAIABJAE4ARABFAFgAKAB7AFwAbgAgACAAIAAgACAAIAAgACAAIAAgAFwAIgBWAFMAagBcACIALABcACIAdgBvAGwAYQB0AGkAbABlACAAcwBvAGwAaQBkACAAcAByAG8AZAB1AGMAdABpAG8AbgAgAGYAcgBvAG0AIABzAHcAaQBuAGUAIABpAG4AIABlAGEAYwBoACAAYwBsAGEAcwBzAFwAIgAsACAAXAAiAGsAZwAvAGgAZQBhAGQALwBkAGEAeQBcACIALAAgAFwAIgBJAG4AcAB1AHQAXAAiADsAXABuACAAIAAgACAAIAAgACAAIAAgACAAXAAiAEYAVgBTAGoAbQBUADEAXAAiACwAXAAiAGYAcgBhAGMAdABpAG8AbgAgAG8AZgAgAHYAbwBsAGEAdABpAGwAZQAgAHMAbwBsAGkAZABzACAAaQBuACAAZQBhAGMAaAAgAHAAcgBpAG0AYQByAHkAIABzAHkAcwB0AGUAbQBcACIALAAgAFwAIgBmAHIAYQBjAHQAaQBvAG4AXAAiACwAIABcACIAQwBhAGwAYwB1AGwAYQB0AGUAZAAgAGYAcgBvAG0AIAA0AC4ANQAuADEALgAxACAAKAA0ACkAKAA1ACkAXAAiADsAXABuACAAIAAgACAAIAAgACAAIAAgACAAXAAiAFYAUwBMAG0AVAAxAFwAIgAsAFwAIgBmAHIAYQBjAHQAaQBvAG4AIABvAGYAIAB2AG8AbABhAHQAaQBsAGUAIABzAG8AbABpAGQAcwAgAGwAbwBzAHQAIABkAHUAcgBpAG4AZwAgAHMAdABvAHIAYQBnAGUAIABpAG4AIAB0AGgAZQAgAHAAcgBpAG0AYQByAHkAIABzAHkAcwB0AGUAbQBcACIALAAgAFwAIgBmAHIAYQBjAHQAaQBvAG4AXAAiACwAIABcACIATABvAG8AawB1AHAAXAAiAFwAbgAgACAAIAAgACAAIAAgACAAfQAsACAAcgAsACAAYwApAFwAbgAgACAAIAAgACAAIAApAFwAbgAgACAAIAAgACkAXABuACAAIAApADsAIgB9ACwAewAiAHAAYQB0AGgAIgA6ACIALwBwAHIAbwBqAGUAYwB0AHMALwBNAE0AUwBfAFMAdwBpAG4AZQ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MAIABNAGUAdABoAG8AZAAgADEAIAAtACAATQBhAG4AdQByAGUAIABEAGkAcgBlAGMAdAAgAE4AMgBP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MwBfAF8AMQBfAFQAbwB0AGEAbABBAG4AbgB1AGEAbABEAGkAcgBlAGMAdABOAGkAdAByAG8AdQBzAE8AeABpAGQAZQBFAG0AaQBzAHMAaQBvAG4AcwBGAHIAbwBtAE0ATQBTAFwAbgBUAG8AdABhAGwAIABhAG4AbgB1AGEAbAAgAGQAaQByAGUAYwB0ACAAbgBpAHQAcgBvAHUAcwAgAG8AeABpAGQAZQAgAGUAbQBpAHMAcwBpAG8AbgBzACAAZgByAG8AbQAgAG0AYQBuAHUAcgBlACAAbQBhAG4AYQBnAGUAbQBlAG4AdAAgAHMAeQBzAHQAZQBtAHMAXABuAEUAXwBOADIATwBkAGkAcgBcAG4AdAAgAE4AMgBPAFwAbgBFAF8AewBOADIATwAsAGQAaQByAH0APQBcAFwAcwB1AG0AXwB7AGoAfQBcAFwAcwB1AG0AXwB7AG0AfQBcAFwAcwB1AG0AXwB7AFQAfQAoAE0ATgBfAHsAagBtAFQAfQBcAFwAdABpAG0AZQBzACAARQBGAF8AewBqAG0AfQBcAFwAdABpAG0AZQBzACAAQwBfAHsATgAyAE8AfQApAFwAXAB0AGkAbQBlAHMAMQAwAF4AewAtADMAfQBcAG4ATQBOAF8AagBtAFQAIAA9ACAAbgBpAHQAcgBvAGcAZQBuACAAcABlAHIAIABzAHcAaQBuAGUAIABjAGwAYQBzAHMALAAgAE0ATQBTACAAYQBuAGQAIAB0AHIAZQBhAHQAbQBlAG4AdAAgAHMAdABhAGcAZQAgACgAawBnACAATgApAFwAbgBFAEYAXwBqAG0AIAA9ACAAbgBpAHQAcgBvAHUAcwAgAG8AeABpAGQAZQAgAGUAbQBpAHMAcwBpAG8AbgAgAGYAYQBjAHQAbwByACAAZgBvAHIAIABNAE0AUwAgACgAawBnACAATgAyAE8ALQBOAC8AawBnACAATgApAFwAbgBDAF8ATgAyAE8AIAA9ACAAZgBhAGMAdABvAHIAIAB0AG8AIABjAG8AbgB2AGUAcgB0ACAAZQBsAGUAbQBlAG4AdABhAGwAIABtAGEAcwBzACAAbwBmACAAbgBpAHQAcgBvAHUAcwAgAG8AeABpAGQAZQAgAHQAbwAgAG0AbwBsAGUAYwB1AGwAYQByACAAbQBhAHMAcwBcAG4ALQAtAC0ALQAtAC0ALQAtAC0ALQAtAC0ALQAtAC0ALQAtAC0ALQAtAC0ALQAtAC0ALQAtAC0ALQAtAC0ALQAtAC0ALQAtAC0ALQAtAFwAbgAqAC8AXABuAFwAbgBWAEUARQBSAEcAXwA0AF8ANQBfADEAXwAzAF8AXwAxAF8AVABvAHQAYQBsAEEAbgBuAHUAYQBsAEQAaQByAGUAYwB0AE4AaQB0AHIAbwB1AHMATwB4AGkAZABlAEUAbQBpAHMAcwBpAG8AbgBzAEYAcgBvAG0ATQBNAFMAXABuACAAIAA9AEwAQQBNAEIARABBACgAXABuACAAIAAgACAATQBOAF8AagBtAFQALAAgAEUARgBfAGoAbQAsACAAQwBfAE4AMgBPACwAXABuACAAIAAgACAATQBOAF8AagBtAFQAIAAqACAARQBGAF8AagBtACAAKgAgAEMAXwBOADIATwAgACoAIAAxADAAIABeACAALQAzAFwAbgAgACAAKQA7AFwAbgBcAG4AVgBFAEUAUgBHAF8ANABfADUAXwAxAF8AMwBfAF8AMQBfAFQAbwB0AGEAbABBAG4AbgB1AGEAbABEAGkAcgBlAGMAdABOAGkAdAByAG8AdQBzAE8AeABpAGQAZQBFAG0AaQBzAHMAaQBvAG4AcwBGAHIAbwBtAE0ATQBTAF8AVABpAHQAbABlAFwAbgAgACAAPQBMAEEATQBCAEQAQQAoAFwAIgBUAG8AdABhAGwAIABhAG4AbgB1AGEAbAAgAGQAaQByAGUAYwB0ACAAbgBpAHQAcgBvAHUAcwAgAG8AeABpAGQAZQAgAGUAbQBpAHMAcwBpAG8AbgBzACAAZgByAG8AbQAgAG0AYQBuAHUAcgBlACAAbQBhAG4AYQBnAGUAbQBlAG4AdAAgAHMAeQBzAHQAZQBtAHMAXAAiACkAOwBcAG4AXABuAFYARQBFAFIARwBfADQAXwA1AF8AMQBfADMAXwBfADEAXwBUAG8AdABhAGwAQQBuAG4AdQBhAGwARABpAHIAZQBjAHQATgBpAHQAcgBvAHUAcwBPAHgAaQBkAGUARQBtAGkAcwBzAGkAbwBuAHMARgByAG8AbQBNAE0AUwBfAFYAYQByAGkAYQBiAGwAZQBcAG4AIAAgAD0ATABBAE0AQgBEAEEAKABcACIARQBfAE4AMgBPAGQAaQByAFwAIgApADsAXABuAFwAbgBWAEUARQBSAEcAXwA0AF8ANQBfADEAXwAzAF8AXwAxAF8AVABvAHQAYQBsAEEAbgBuAHUAYQBsAEQAaQByAGUAYwB0AE4AaQB0AHIAbwB1AHMATwB4AGkAZABlAEUAbQBpAHMAcwBpAG8AbgBzAEYAcgBvAG0ATQBNAFMAXwBVAG4AaQB0AFwAbgAgACAAPQBMAEEATQBCAEQAQQAoAFwAIgB0ACAATgAyAE8AXAAiACkAOwBcAG4AXABuAFYARQBFAFIARwBfADQAXwA1AF8AMQBfADMAXwBfADEAXwBUAG8AdABhAGwAQQBuAG4AdQBhAGwARABpAHIAZQBjAHQATgBpAHQAcgBvAHUAcwBPAHgAaQBkAGUARQBtAGkAcwBzAGkAbwBuAHMARgByAG8AbQBNAE0AUwBfAFMAbwB1AHIAYwBlAFwAbgAgACAAPQBMAEEATQBCAEQAQQAoAFwAIgBWAEUARQBSAEcAIAAyADAAMgA2ADoAIAA0AC4ANQAuADEALgAzACwAIABFAHEAdQBhAHQAaQBvAG4AIAAoADEAKQBcACIAKQA7AFwAbgBcAG4AVgBFAEUAUgBHAF8ANABfADUAXwAxAF8AMwBfAF8AMQBfAFQAbwB0AGEAbABBAG4AbgB1AGEAbABEAGkAcgBlAGMAdABOAGkAdAByAG8AdQBzAE8AeABpAGQAZQBFAG0AaQBzAHMAaQBvAG4AcwBGAHIAbwBtAE0ATQBTAF8ATgBJAFIAUgBlAGYAZQByAGUAbgBjAGUAXABuACAAIAA9AEwAQQBNAEIARABBACgAXAAiAFwAIgApADsAXABuAFwAbgBWAEUARQBSAEcAXwA0AF8ANQBfADEAXwAzAF8AXwAxAF8AVABvAHQAYQBsAEEAbgBuAHUAYQBsAEQAaQByAGUAYwB0AE4AaQB0AHIAbwB1AHMATwB4AGkAZABlAEUAbQBpAHMAcwBpAG8AbgBzAEYAcgBvAG0ATQBNAFMAXwBMAGEAdABlAHgARQBxAHUAYQB0AGkAbwBuAFwAbgAgACAAPQBMAEEATQBCAEQAQQAoAFwAIgBFAF8AewBOADIATwAsAGQAaQByAH0APQBcAFwAcwB1AG0AXwB7AGoAfQBcAFwAcwB1AG0AXwB7AG0AfQBcAFwAcwB1AG0AXwB7AFQAfQAoAE0ATgBfAHsAagBtAFQAfQBcAFwAdABpAG0AZQBzACAARQBGAF8AewBqAG0AfQBcAFwAdABpAG0AZQBzACAAQwBfAHsATgAyAE8AfQApAFwAXAB0AGkAbQBlAHMAMQAwAF4AewAtADMAfQBcACIAKQA7AFwAbgBcAG4AVgBFAEUAUgBHAF8ANABfADUAXwAxAF8AMwBfAF8AMQBfAFQAbwB0AGEAbABBAG4AbgB1AGEAbABEAGkAcgBlAGMAdABOAGkAdAByAG8AdQBzAE8AeABpAGQAZQBFAG0AaQBzAHMAaQBvAG4AcwBGAHIAbwBtAE0ATQBTAF8AQQByAGcAdQBtAGUAbgB0AHMAXABuACAAIAA9AEwAQQBNAEIARABBACgAXABuACAAIAAgACAATQBBAEsARQBBAFIAUgBBAFkAKAAzACwAIAA0ACwAXABuACAAIAAgACAAIAAgAEwAQQBNAEIARABBACgAcgAsAGMALABcAG4AIAAgACAAIAAgACAAIAAgAEkATgBEAEUAWAAoAHsAXABuACAAIAAgACAAIAAgACAAIAAgACAAXAAiAE0ATgBfAGoAbQBUAFwAIgAsACAAXAAiAG4AaQB0AHIAbwBnAGUAbgAgAHAAZQByACAAcwB3AGkAbgBlACAAYwBsAGEAcwBzACwAIABNAE0AUwAgAGEAbgBkACAAdAByAGUAYQB0AG0AZQBuAHQAIABzAHQAYQBnAGUAXAAiACwAIABcACIAawBnACAATgBcACIALAAgAFwAIgBDAGEAbABjAHUAbABhAHQAZQBkACAAZgByAG8AbQAgADQALgA1AC4AMQAuADMAIAAoADIAKQAoADYAKQBcACIAOwBcAG4AIAAgACAAIAAgACAAIAAgACAAIABcACIARQBGAF8AagBtAFwAIgAsACAAXAAiAG4AaQB0AHIAbwB1AHMAIABvAHgAaQBkAGUAIABlAG0AaQBzAHMAaQBvAG4AIABmAGEAYwB0AG8AcgAgAGYAbwByACAATQBNAFMAXAAiACwAIABcACIAawBnACAATgAyAE8ALQBOAC8AawBnACAATgBcACIALAAgAFwAIgBDAG8AbgBzAHQAYQBuAHQAXAAiADsAXABuACAAIAAgACAAIAAgACAAIAAgACAAXAAiAEMAXwBOADIATwBcACIALAAgAFwAIgBmAGEAYwB0AG8AcgAgAHQAbwAgAGMAbwBuAHYAZQByAHQAIABlAGwAZQBtAGUAbgB0AGEAbAAgAG0AYQBzAHMAIABvAGYAIABuAGkAdAByAG8AdQBzACAAbwB4AGkAZABl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yAF8AUwB0AGEAZwBlADEATgBpAHQAcgBvAGcAZQBuAEkAbgBNAE0AUwBcAG4ATgBpAHQAcgBvAGcAZQBuACAAaQBuACAAdAByAGUAYQB0AG0AZQBuAHQAIABzAHQAYQBnAGUAIAAxACAATQBNAFMAXABuAE0ATgBfAGoAbQBUADEAXABuAGsAZwAgAE4AXABuAE0ATgBfAHsAagBtACwAVAA9ADEAfQA9AEEARQBfAHsAagB9AFwAXAB0AGkAbQBlAHMAIABGAE4AXwB7AGoAbQAsAFQAPQAxAH0AXABuAEEARQBfAGoAIAA9ACAAdABvAHQAYQBsACAAbgBpAHQAcgBvAGcAZQBuACAAZQB4AGMAcgBlAHQAZQBkACAAYgB5ACAAZQBhAGMAaAAgAHMAdwBpAG4AZQAgAGMAbABhAHMAcwAgACgAawBnACAATgApAFwAbgBGAE4AXwBqAG0AVAAxACAAPQAgAGYAcgBhAGMAdABpAG8AbgAgAG8AZgAgAG4AaQB0AHIAbwBnAGUAbgAgAGkAbgAgAGUAYQBjAGgAIABwAHIAaQBtAGEAcgB5ACAATQBNAFMAIABzAHkAcwB0AGUAbQBcAG4ALQAtAC0ALQAtAC0ALQAtAC0ALQAtAC0ALQAtAC0ALQAtAC0ALQAtAC0ALQAtAC0ALQAtAC0ALQAtAC0ALQAtAC0ALQAtAC0ALQAtAFwAbgAqAC8AXABuAFwAbgBWAEUARQBSAEcAXwA0AF8ANQBfADEAXwAzAF8AXwAyAF8AUwB0AGEAZwBlADEATgBpAHQAcgBvAGcAZQBuAEkAbgBNAE0AUwBcAG4AIAAgAD0ATABBAE0AQgBEAEEAKABcAG4AIAAgACAAIABBAEUAXwBqACwAIABGAE4AXwBqAG0AVAAxACwAXABuACAAIAAgACAAQQBFAF8AagAgACoAIABGAE4AXwBqAG0AVAAxAFwAbgAgACAAKQA7AFwAbgBcAG4AVgBFAEUAUgBHAF8ANABfADUAXwAxAF8AMwBfAF8AMgBfAFMAdABhAGcAZQAxAE4AaQB0AHIAbwBnAGUAbgBJAG4ATQBNAFMAXwBUAGkAdABsAGUAXABuACAAIAA9AEwAQQBNAEIARABBACgAXAAiAE4AaQB0AHIAbwBnAGUAbgAgAGkAbgAgAHQAcgBlAGEAdABtAGUAbgB0ACAAcwB0AGEAZwBlACAAMQAgAE0ATQBTAFwAIgApADsAXABuAFwAbgBWAEUARQBSAEcAXwA0AF8ANQBfADEAXwAzAF8AXwAyAF8AUwB0AGEAZwBlADEATgBpAHQAcgBvAGcAZQBuAEkAbgBNAE0AUwBfAFYAYQByAGkAYQBiAGwAZQBcAG4AIAAgAD0ATABBAE0AQgBEAEEAKABcACIATQBOAF8AagBtAFQAMQBcACIAKQA7AFwAbgBcAG4AVgBFAEUAUgBHAF8ANABfADUAXwAxAF8AMwBfAF8AMgBfAFMAdABhAGcAZQAxAE4AaQB0AHIAbwBnAGUAbgBJAG4ATQBNAFMAXwBVAG4AaQB0AFwAbgAgACAAPQBMAEEATQBCAEQAQQAoAFwAIgBrAGcAIABOAFwAIgApADsAXABuAFwAbgBWAEUARQBSAEcAXwA0AF8ANQBfADEAXwAzAF8AXwAyAF8AUwB0AGEAZwBlADEATgBpAHQAcgBvAGcAZQBuAEkAbgBNAE0AUwBfAFMAbwB1AHIAYwBlAFwAbgAgACAAPQBMAEEATQBCAEQAQQAoAFwAIgBWAEUARQBSAEcAIAAyADAAMgA2ADoAIAA0AC4ANQAuADEALgAzACwAIABFAHEAdQBhAHQAaQBvAG4AIAAoADIAKQBcACIAKQA7AFwAbgBcAG4AVgBFAEUAUgBHAF8ANABfADUAXwAxAF8AMwBfAF8AMgBfAFMAdABhAGcAZQAxAE4AaQB0AHIAbwBnAGUAbgBJAG4ATQBNAFMAXwBOAEkAUgBSAGUAZgBlAHIAZQBuAGMAZQBcAG4AIAAgAD0ATABBAE0AQgBEAEEAKABcACIAXAAiACkAOwBcAG4AXABuAFYARQBFAFIARwBfADQAXwA1AF8AMQBfADMAXwBfADIAXwBTAHQAYQBnAGUAMQBOAGkAdAByAG8AZwBlAG4ASQBuAE0ATQBTAF8ATABhAHQAZQB4AEUAcQB1AGEAdABpAG8AbgBcAG4AIAAgAD0ATABBAE0AQgBEAEEAKABcACIATQBOAF8AewBqAG0ALABUAD0AMQB9AD0AQQBFAF8AewBqAH0AXABcAHQAaQBtAGUAcwAgAEYATgBfAHsAagBtACwAVAA9ADEAfQBcACIAKQA7AFwAbgBcAG4AVgBFAEUAUgBHAF8ANABfADUAXwAxAF8AMwBfAF8AMgBfAFMAdABhAGcAZQAxAE4AaQB0AHIAbwBnAGUAbgBJAG4ATQBNAFMAXwBBAHIAZwB1AG0AZQBuAHQAcwBcAG4AIAAgAD0ATABBAE0AQgBEAEEAKABcAG4AIAAgACAAIABNAEEASwBFAEEAUgBSAEEAWQAoADIALAAgADQALABcAG4AIAAgACAAIAAgACAATABBAE0AQgBEAEEAKAByACwAYwAsAFwAbgAgACAAIAAgACAAIAAgACAASQBOAEQARQBYACgAewBcAG4AIAAgACAAIAAgACAAIAAgACAAIABcACIAQQBFAF8AagBcACIALAAgAFwAIgB0AG8AdABhAGwAIABuAGkAdAByAG8AZwBlAG4AIABlAHgAYwByAGUAdABlAGQAIABiAHkAIABlAGEAYwBoACAAcwB3AGkAbgBlACAAYwBsAGEAcwBzAFwAIgAsACAAXAAiAGsAZwAgAE4AXAAiACwAIABcACIAQwBhAGwAYwB1AGwAYQB0AGUAZAAgAGYAcgBvAG0AIAA0AC4ANQAuADEALgAzACAAKAA1ACkAXAAiADsAXABuACAAIAAgACAAIAAgACAAIAAgACAAXAAiAEYATgBfAGoAbQBUADEAXAAiACwAIABcACIAZgByAGEAYwB0AGkAbwBuACAAbwBmACAAbgBpAHQAcgBvAGcAZQBuACAAaQBuACAAZQBhAGMAaAAgAHAAcgBpAG0AYQByAHkAIABNAE0AUwAgAHMAeQBzAHQAZQBtAFwAIgAsACAAXAAiAGYAcgBhAGMAdABpAG8AbgBcACIALAAgAFwAIgBDAGEAbABjAHUAbABhAHQAZQBkACAAZgByAG8AbQAgADQALgA1AC4AMQAuADMAIAAoADMAKQAoADQAKQ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zAF8ARgByAGEAYwB0AGkAbwBuAE8AZgBOAGkAdAByAG8AZwBlAG4ASQBuAFAAcgBpAG0AYQByAHkATQBNAFMAXABuAEYAcgBhAGMAdABpAG8AbgAgAG8AZgAgAG4AaQB0AHIAbwBnAGUAbgAgAGkAbgAgAGUAYQBjAGgAIABwAHIAaQBtAGEAcgB5ACAATQBNAFMAIAAoAGUAeABjAGwAdQBkAGkAbgBnACAAcwBvAGwAaQBkACAAcwB0AG8AcgBhAGcAZQApAFwAbgBGAE4AXwBqAG0AVAAxAFwAbgBmAHIAYQBjAHQAaQBvAG4AXABuAEYATgBfAHsAagBtACwAVAA9ADEAfQA9AE0ATQBTAF8AewBqAG0ALABUAD0AMQB9AFwAXAB0AGkAbQBlAHMAKAAxAC0AUwBOAF8AewBtAH0AKQBcAG4ATQBNAFMAXwBqAG0AVAAxACAAPQAgAGYAcgBhAGMAdABpAG8AbgAgAG8AZgAgAG0AYQBuAHUAcgBlACAAaQBuACAAcAByAGkAbQBhAHIAeQAgAE0ATQBTAFwAbgBTAE4AXwBtACAAPQAgAGYAcgBhAGMAdABpAG8AbgAgAG8AZgAgAG4AaQB0AHIAbwBnAGUAbgAgAHMAZQBwAGEAcgBhAHQAZQBkACAAdABvACAAcwBvAGwAaQBkACAAcwB0AG8AcgBhAGcAZQAgAGYAbwByACAAZQBhAGMAaAAgAE0ATQBTAFwAbgAtAC0ALQAtAC0ALQAtAC0ALQAtAC0ALQAtAC0ALQAtAC0ALQAtAC0ALQAtAC0ALQAtAC0ALQAtAC0ALQAtAC0ALQAtAC0ALQAtAC0AXABuACoALwBcAG4AXABuAFYARQBFAFIARwBfADQAXwA1AF8AMQBfADMAXwBfADMAXwBGAHIAYQBjAHQAaQBvAG4ATwBmAE4AaQB0AHIAbwBnAGUAbgBJAG4AUAByAGkAbQBhAHIAeQBNAE0AUwBcAG4AIAAgAD0ATABBAE0AQgBEAEEAKABcAG4AIAAgACAAIABNAE0AUwBfAGoAbQBUADEALAAgAFMATgBfAG0ALABcAG4AIAAgACAAIABNAE0AUwBfAGoAbQBUADEAIAAqACAAKAAxACAALQAgAFMATgBfAG0AKQBcAG4AIAAgACkAOwBcAG4AXABuAFYARQBFAFIARwBfADQAXwA1AF8AMQBfADMAXwBfADMAXwBGAHIAYQBjAHQAaQBvAG4ATwBmAE4AaQB0AHIAbwBnAGUAbgBJAG4AUAByAGkAbQBhAHIAeQBNAE0AUwBfAFQAaQB0AGwAZQBcAG4AIAAgAD0ATABBAE0AQgBEAEEAKABcACIARgByAGEAYwB0AGkAbwBuACAAbwBmACAAbgBpAHQAcgBvAGcAZQBuACAAaQBuACAAZQBhAGMAaAAgAHAAcgBpAG0AYQByAHkAIABNAE0AUwAgACgAZQB4AGMAbAB1AGQAaQBuAGcAIABzAG8AbABpAGQAIABzAHQAbwByAGEAZwBlACkAXAAiACkAOwBcAG4AXABuAFYARQBFAFIARwBfADQAXwA1AF8AMQBfADMAXwBfADMAXwBGAHIAYQBjAHQAaQBvAG4ATwBmAE4AaQB0AHIAbwBnAGUAbgBJAG4AUAByAGkAbQBhAHIAeQBNAE0AUwBfAFYAYQByAGkAYQBiAGwAZQBcAG4AIAAgAD0ATABBAE0AQgBEAEEAKABcACIARgBOAF8AagBtAFQAMQBcACIAKQA7AFwAbgBcAG4AVgBFAEUAUgBHAF8ANABfADUAXwAxAF8AMwBfAF8AMwBfAEYAcgBhAGMAdABpAG8AbgBPAGYATgBpAHQAcgBvAGcAZQBuAEkAbgBQAHIAaQBtAGEAcgB5AE0ATQBTAF8AVQBuAGkAdABcAG4AIAAgAD0ATABBAE0AQgBEAEEAKABcACIAZgByAGEAYwB0AGkAbwBuAFwAIgApADsAXABuAFwAbgBWAEUARQBSAEcAXwA0AF8ANQBfADEAXwAzAF8AXwAzAF8ARgByAGEAYwB0AGkAbwBuAE8AZgBOAGkAdAByAG8AZwBlAG4ASQBuAFAAcgBpAG0AYQByAHkATQBNAFMAXwBTAG8AdQByAGMAZQBcAG4AIAAgAD0ATABBAE0AQgBEAEEAKABcACIAVgBFAEUAUgBHACAAMgAwADIANgA6ACAANAAuADUALgAxAC4AMwAsACAARQBxAHUAYQB0AGkAbwBuACAAKAAzACkAXAAiACkAOwBcAG4AXABuAFYARQBFAFIARwBfADQAXwA1AF8AMQBfADMAXwBfADMAXwBGAHIAYQBjAHQAaQBvAG4ATwBmAE4AaQB0AHIAbwBnAGUAbgBJAG4AUAByAGkAbQBhAHIAeQBNAE0AUwBfAE4ASQBSAFIAZQBmAGUAcgBlAG4AYwBlAFwAbgAgACAAPQBMAEEATQBCAEQAQQAoAFwAIgBcACIAKQA7AFwAbgBcAG4AVgBFAEUAUgBHAF8ANABfADUAXwAxAF8AMwBfAF8AMwBfAEYAcgBhAGMAdABpAG8AbgBPAGYATgBpAHQAcgBvAGcAZQBuAEkAbgBQAHIAaQBtAGEAcgB5AE0ATQBTAF8ATABhAHQAZQB4AEUAcQB1AGEAdABpAG8AbgBcAG4AIAAgAD0ATABBAE0AQgBEAEEAKABcACIARgBOAF8AewBqAG0ALABUAD0AMQB9AD0ATQBNAFMAXwB7AGoAbQAsAFQAPQAxAH0AXABcAHQAaQBtAGUAcwAoADEALQBTAE4AXwB7AG0AfQApAFwAIgApADsAXABuAFwAbgBWAEUARQBSAEcAXwA0AF8ANQBfADEAXwAzAF8AXwAzAF8ARgByAGEAYwB0AGkAbwBuAE8AZgBOAGkAdAByAG8AZwBlAG4ASQBuAFAAcgBpAG0AYQByAHkATQBNAFMAXwBBAHIAZwB1AG0AZQBuAHQAcwBcAG4AIAAgAD0ATABBAE0AQgBEAEEAKABcAG4AIAAgACAAIABNAEEASwBFAEEAUgBSAEEAWQAoADIALAAgADQALABcAG4AIAAgACAAIAAgACAATABBAE0AQgBEAEEAKAByACwAYwAsAFwAbgAgACAAIAAgACAAIAAgACAASQBOAEQARQBYACgAewBcAG4AIAAgACAAIAAgACAAIAAgACAAIABcACIATQBNAFMAXwBqAG0AVAAxAFwAIgAsACAAXAAiAGYAcgBhAGMAdABpAG8AbgAgAG8AZgAgAG0AYQBuAHUAcgBlACAAaQBuACAAcAByAGkAbQBhAHIAeQAgAE0ATQBTAFwAIgAsACAAXAAiAGYAcgBhAGMAdABpAG8AbgBcACIALAAgAFwAIgBJAG4AcAB1AHQAXAAiADsAXABuACAAIAAgACAAIAAgACAAIAAgACAAXAAiAFMATgBfAG0AXAAiACwAIABcACIAZgByAGEAYwB0AGkAbwBuACAAbwBmACAAbgBpAHQAcgBvAGcAZQBu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0AF8ARgByAGEAYwB0AGkAbwBuAE8AZgBOAGkAdAByAG8AZwBlAG4ASQBuAFMAbwBsAGkAZABTAHQAbwByAGEAZwBlAFwAbgBGAHIAYQBjAHQAaQBvAG4AIABvAGYAIABuAGkAdAByAG8AZwBlAG4AIABpAG4AIABzAG8AbABpAGQAIABzAHQAbwByAGEAZwBlAFwAbgBGAE4AXwBqAG0ANABUADEAXABuAGYAcgBhAGMAdABpAG8AbgBcAG4ARgBOAF8AewBqAG0APQA0ACwAVAA9ADEAfQA9AE0ATQBTAF8AewBqAG0APQA0ACwAVAA9ADEAfQArACgATQBNAFMAXwB7AGoAbQA9ADEALAA3ACwAOQAsAFQAPQAxAH0AXABcAHQAaQBtAGUAcwAgAFMATgBfAHsAbQB9ACkAXABuAE0ATQBTAF8AagBtADQAVAAxACAAPQAgAGYAcgBhAGMAdABpAG8AbgAgAG8AZgAgAG0AYQBuAHUAcgBlACAAaQBuACAAcwBvAGwAaQBkACAAcwB0AG8AcgBhAGcAZQAgAE0ATQBTAFwAbgBNAE0AUwBfAGoAbQAxADcAOQBUADEAIAA9ACAAZgByAGEAYwB0AGkAbwBuACAAbwBmACAAbQBhAG4AdQByAGUAIABpAG4AIABwAHIAaQBtAGEAcgB5ACAAbABpAHEAdQBpAGQAIABzAHkAcwB0AGUAbQBzACAAKABtAD0AMQAsADcALAA5ACkAXABuAFMATgBfAG0AIAA9ACAAZgByAGEAYwB0AGkAbwBuACAAbwBmACAAbgBpAHQAcgBvAGcAZQBuACAAcwBlAHAAYQByAGEAdABlAGQAIAB0AG8AIABzAG8AbABpAGQAIABzAHQAbwByAGEAZwBlACAAZgBvAHIAIABlAGEAYwBoACAATQBNAFMAXABuAC0ALQAtAC0ALQAtAC0ALQAtAC0ALQAtAC0ALQAtAC0ALQAtAC0ALQAtAC0ALQAtAC0ALQAtAC0ALQAtAC0ALQAtAC0ALQAtAC0ALQBcAG4AKgAvAFwAbgBcAG4AVgBFAEUAUgBHAF8ANABfADUAXwAxAF8AMwBfAF8ANABfAEYAcgBhAGMAdABpAG8AbgBPAGYATgBpAHQAcgBvAGcAZQBuAEkAbgBTAG8AbABpAGQAUwB0AG8AcgBhAGcAZQBcAG4AIAAgAD0ATABBAE0AQgBEAEEAKABcAG4AIAAgACAAIABNAE0AUwBfAGoAbQA0AFQAMQAsACAATQBNAFMAXwBqAG0AMQA3ADkAVAAxACwAIABTAE4AXwBtACwAXABuACAAIAAgACAATQBNAFMAXwBqAG0ANABUADEAIAArACAAKABNAE0AUwBfAGoAbQAxADcAOQBUADEAIAAqACAAUwBOAF8AbQApAFwAbgAgACAAKQA7AFwAbgBcAG4AVgBFAEUAUgBHAF8ANABfADUAXwAxAF8AMwBfAF8ANABfAEYAcgBhAGMAdABpAG8AbgBPAGYATgBpAHQAcgBvAGcAZQBuAEkAbgBTAG8AbABpAGQAUwB0AG8AcgBhAGcAZQBWAGEAcgBpAGEAdABpAG8AbgBcAG4AIAAgAD0ATABBAE0AQgBEAEEAKABcAG4AIAAgACAAIABNAE0AUwBfAGoAbQA0AFQAMQAsAFwAbgAgACAAIAAgAE0ATQBTAGoAbQBUADEAXwAxACwAIABNAE0AUwBqAG0AVAAxAF8AMgAsACAATQBNAFMAagBtAFQAMQBfADMALAAgAE0ATQBTAGoAbQBUADEAXwA0ACwAIABNAE0AUwBqAG0AVAAxAF8ANQAsAFwAbgAgACAAIAAgAFMAUwBqAG0AVAAxAF8AMQAsACAAUwBTAGoAbQBUADEAXwAyACwAIABTAFMAagBtAFQAMQBfADMALAAgAFMAUwBqAG0AVAAxAF8ANAAsACAAUwBTAGoAbQBUADEAXwA1ACwAXABuACAAIAAgACAATQBNAFMAXwBqAG0ANABUADEAIAArACAAKABNAE0AUwBqAG0AVAAxAF8AMQAgACoAIABTAFMAagBtAFQAMQBfADEAKQAgACsAIAAoAE0ATQBTAGoAbQBUADEAXwAyACAAKgAgAFMAUwBqAG0AVAAxAF8AMgApACAAKwAgACgATQBNAFMAagBtAFQAMQBfADMAIAAqACAAUwBTAGoAbQBUADEAXwAzACkAIAArACAAKABNAE0AUwBqAG0AVAAxAF8ANAAgACoAIABTAFMAagBtAFQAMQBfADQAKQAgACsAIAAoAE0ATQBTAGoAbQBUADEAXwA1ACAAKgAgAFMAUwBqAG0AVAAxAF8ANQApAFwAbgAgACAAKQA7AFwAbgBcAG4AVgBFAEUAUgBHAF8ANABfADUAXwAxAF8AMwBfAF8ANABfAEYAcgBhAGMAdABpAG8AbgBPAGYATgBpAHQAcgBvAGcAZQBuAEkAbgBTAG8AbABpAGQAUwB0AG8AcgBhAGcAZQBfAFQAaQB0AGwAZQBcAG4AIAAgAD0ATABBAE0AQgBEAEEAKABcACIARgByAGEAYwB0AGkAbwBuACAAbwBmACAAbgBpAHQAcgBvAGcAZQBuACAAaQBuACAAcwBvAGwAaQBkACAAcwB0AG8AcgBhAGcAZQBcACIAKQA7AFwAbgBcAG4AVgBFAEUAUgBHAF8ANABfADUAXwAxAF8AMwBfAF8ANABfAEYAcgBhAGMAdABpAG8AbgBPAGYATgBpAHQAcgBvAGcAZQBuAEkAbgBTAG8AbABpAGQAUwB0AG8AcgBhAGcAZQBfAFYAYQByAGkAYQBiAGwAZQBcAG4AIAAgAD0ATABBAE0AQgBEAEEAKABcACIARgBOAF8AagBtADQAVAAxAFwAIgApADsAXABuAFwAbgBWAEUARQBSAEcAXwA0AF8ANQBfADEAXwAzAF8AXwA0AF8ARgByAGEAYwB0AGkAbwBuAE8AZgBOAGkAdAByAG8AZwBlAG4ASQBuAFMAbwBsAGkAZABTAHQAbwByAGEAZwBlAF8AVQBuAGkAdABcAG4AIAAgAD0ATABBAE0AQgBEAEEAKABcACIAZgByAGEAYwB0AGkAbwBuAFwAIgApADsAXABuAFwAbgBWAEUARQBSAEcAXwA0AF8ANQBfADEAXwAzAF8AXwA0AF8ARgByAGEAYwB0AGkAbwBuAE8AZgBOAGkAdAByAG8AZwBlAG4ASQBuAFMAbwBsAGkAZABTAHQAbwByAGEAZwBlAF8AUwBvAHUAcgBjAGUAXABuACAAIAA9AEwAQQBNAEIARABBACgAXAAiAFYARQBFAFIARwAgADIAMAAyADYAOgAgADQALgA1AC4AMQAuADMALAAgAEUAcQB1AGEAdABpAG8AbgAgACgANAApAFwAIgApADsAXABuAFwAbgBWAEUARQBSAEcAXwA0AF8ANQBfADEAXwAzAF8AXwA0AF8ARgByAGEAYwB0AGkAbwBuAE8AZgBOAGkAdAByAG8AZwBlAG4ASQBuAFMAbwBsAGkAZABTAHQAbwByAGEAZwBlAF8ATgBJAFIAUgBlAGYAZQByAGUAbgBjAGUAXABuACAAIAA9AEwAQQBNAEIARABBACgAXAAiAFwAIgApADsAXABuAFwAbgBWAEUARQBSAEcAXwA0AF8ANQBfADEAXwAzAF8AXwA0AF8ARgByAGEAYwB0AGkAbwBuAE8AZgBOAGkAdAByAG8AZwBlAG4ASQBuAFMAbwBsAGkAZABTAHQAbwByAGEAZwBlAF8ATABhAHQAZQB4AEUAcQB1AGEAdABpAG8AbgBcAG4AIAAgAD0ATABBAE0AQgBEAEEAKABcACIARgBOAF8AewBqAG0APQA0ACwAVAA9ADEAfQA9AE0ATQBTAF8AewBqAG0APQA0ACwAVAA9ADEAfQArACgATQBNAFMAXwB7AGoAbQA9ADEALAA3ACwAOQAsAFQAPQAxAH0AXABcAHQAaQBtAGUAcwAgAFMATgBfAHsAbQB9ACkAXAAiACkAOwBcAG4AXABuAFYARQBFAFIARwBfADQAXwA1AF8AMQBfADMAXwBfADQAXwBGAHIAYQBjAHQAaQBvAG4ATwBmAE4AaQB0AHIAbwBnAGUAbgBJAG4AUwBvAGwAaQBkAFMAdABvAHIAYQBnAGUAXwBMAGEAdABlAHgARQBxAHUAYQB0AGkAbwBuAFYAYQByAGkAYQB0AGkAbwBuAFwAbgAgACAAPQBMAEEATQBCAEQAQQAoAFwAIgBGAE4AXwB7AGoAbQA9ADQALABUAD0AMQB9AD0ATQBNAFMAXwB7AGoAbQA9ADQALABUAD0AMQB9ACsAKABNAE0AUwBfAHsAagAsAG0APQAxACwAVAA9ADEAfQBcAFwAdABpAG0AZQBzACAAUwBTAF8AewBtAD0AMQAsAFQAPQAxAH0AKQArACgATQBNAFMAXwB7AGoALABtAD0ANwAsAFQAPQAxAH0AXABcAHQAaQBtAGUAcwAgAFMAUwBfAHsAbQA9ADcALABUAD0AMQB9ACkAKwAoAE0ATQBTAF8AewBqACwAbQA9ADkALABUAD0AMQB9AFwAXAB0AGkAbQBlAHMAIABTAFMAXwB7AG0APQA5ACwAVAA9ADEAfQApAFwAIgApADsAXABuAFwAbgBWAEUARQBSAEcAXwA0AF8ANQBfADEAXwAzAF8AXwA0AF8ARgByAGEAYwB0AGkAbwBuAE8AZgBOAGkAdAByAG8AZwBlAG4ASQBuAFMAbwBsAGkAZABTAHQAbwByAGEAZwBlAF8AQQByAGcAdQBtAGUAbgB0AHMAXABuACAAIAA9AEwAQQBNAEIARABBACgAXABuACAAIAAgACAATQBBAEsARQBBAFIAUgBBAFkAKAAzACwAIAA0ACwAXABuACAAIAAgACAAIAAgAEwAQQBNAEIARABBACgAcgAsAGMALABcAG4AIAAgACAAIAAgACAAIAAgAEkATgBEAEUAWAAoAHsAXABuACAAIAAgACAAIAAgACAAIAAgACAAXAAiAE0ATQBTAF8AagBtADQAVAAxAFwAIgAsACAAXAAiAGYAcgBhAGMAdABpAG8AbgAgAG8AZgAgAG0AYQBuAHUAcgBlACAAaQBuACAAcwBvAGwAaQBkACAAcwB0AG8AcgBhAGcAZQAgAE0ATQBTAFwAIgAsACAAXAAiAGYAcgBhAGMAdABpAG8AbgBcACIALAAgAFwAIgBJAG4AcAB1AHQAXAAiADsAXABuACAAIAAgACAAIAAgACAAIAAgACAAXAAiAE0ATQBTAF8AagBtADEANwA5AFQAMQBcACIALAAgAFwAIgBmAHIAYQBjAHQAaQBvAG4AIABvAGYAIABtAGEAbgB1AHIAZQAgAGkAbgAgAHAAcgBpAG0AYQByAHkAIABsAGkAcQB1AGkAZAAgAHMAeQBzAHQAZQBtAHMAIAAoAG0APQAxACwANwAsADkAKQBcACIALAAgAFwAIgBmAHIAYQBjAHQAaQBvAG4AXAAiACwAIABcACIASQBuAHAAdQB0AFwAIgA7AFwAbgAgACAAIAAgACAAIAAgACAAIAAgAFwAIgBTAE4AXwBtAFwAIgAsACAAXAAiAGYAcgBhAGMAdABpAG8AbgAgAG8AZgAgAG4AaQB0AHIAbwBnAGUAbg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NQBfADEAXwAzAF8AXwA0AF8ARgByAGEAYwB0AGkAbwBuAE8AZgBOAGkAdAByAG8AZwBlAG4ASQBuAFMAbwBsAGkAZABTAHQAbwByAGEAZwBlAF8AVgBhAHIAaQBhAHQAaQBvAG4AXABuACAAIAA9AEwAQQBNAEIARABBACgAXAAiAFYAQQBSAEkAQQBUAEkATwBOACAATwBOACAAUwBPAFUAUgBDAEUAOgAgAFMAcABsAGkAdAAgAGUAcQB1AGEAdABpAG8AbgAgAGYAbwByACAATQBNAFMAbQA9ADEALAA3ACwAOQAgAGkAbgB0AG8AIABzAGUAcABhAHIAYQB0AGUAIABpAHQAZQBtAHMAIAB0AG8AIABhAGwAbABvAHcAIABmAG8AcgAgAGMAYQBsAGMAdQBsAGEAdABpAG8AbgBcACIAKQA7AFwAbgBcAG4ALwAqAFwAbgAtAC0ALQAtAC0ALQAtAC0ALQAtAC0ALQAtAC0ALQAtAC0ALQAtAC0ALQAtAC0ALQAtAC0ALQAtAC0ALQAtAC0ALQAtAC0ALQAtAC0AXABuAFYARQBFAFIARwBfADQAXwA1AF8AMQBfADMAXwBfADUAXwBBAG4AbgB1AGEAbABOAGkAdAByAG8AZwBlAG4ARQB4AGMAcgBlAHQAaQBvAG4AXABuAEEAbgBuAHUAYQBsACAAbgBpAHQAcgBvAGcAZQBuACAAZQB4AGMAcgBlAHQAaQBvAG4AIABmAHIAbwBtACAAZQBhAGMAaAAgAHMAdwBpAG4AZQAgAGcAcgBvAHUAcABcAG4AQQBFAF8AagBcAG4AawBnACAATgBcAG4AQQBFAF8AewBqAH0APQBOAF8AewBqAH0AXABcAHQAaQBtAGUAcwAgAE4AVwBfAHsAagB9AFwAXAB0AGkAbQBlAHMAIABEAF8AewBqAH0AXABuAE4AXwBqACAAPQAgAG4AdQBtAGIAZQByACAAbwBmACAAcwB3AGkAbgBlACAAaQBuACAAZQBhAGMAaAAgAGcAcgBvAHUAcAAgACgAaABlAGEAZAApAFwAbgBOAFcAXwBqACAAPQAgAG4AaQB0AHIAbwBnAGUAbgAgAHAAcgBvAGQAdQBjAGUAZAAgAGkAbgAgAHMAdwBpAG4AZQAgAG0AYQBuAHUAcgBlACAAYQBuAGQAIAB3AGEAcwB0AGUAIABmAGUAZQBkACAAaQBuACAAZQBhAGMAaAAgAGMAbABhAHMAcwAgACgAawBnACAATgAvAGgAZQBhAGQALwBkAGEAeQApAFwAbgBEAF8AagAgAD0AIABkAHUAcgBhAHQAaQBvAG4AIABvAGYAIABzAHQAYQB5ACAAbwBmACAAcwB3AGkAbgBlACAAZwByAG8AdQBwACAAKABkAGEAeQBzACkAXABuAC0ALQAtAC0ALQAtAC0ALQAtAC0ALQAtAC0ALQAtAC0ALQAtAC0ALQAtAC0ALQAtAC0ALQAtAC0ALQAtAC0ALQAtAC0ALQAtAC0ALQBcAG4AKgAvAFwAbgBcAG4AVgBFAEUAUgBHAF8ANABfADUAXwAxAF8AMwBfAF8ANQBfAEEAbgBuAHUAYQBsAE4AaQB0AHIAbwBnAGUAbgBFAHgAYwByAGUAdABpAG8AbgBcAG4AIAAgAD0ATABBAE0AQgBEAEEAKABcAG4AIAAgACAAIABOAF8AagAsACAATgBXAF8AagAsACAARABfAGoALABcAG4AIAAgACAAIABOAF8AagAgACoAIABOAFcAXwBqACAAKgAgAEQAXwBqAFwAbgAgACAAKQA7AFwAbgBcAG4AVgBFAEUAUgBHAF8ANABfADUAXwAxAF8AMwBfAF8ANQBfAEEAbgBuAHUAYQBsAE4AaQB0AHIAbwBnAGUAbgBFAHgAYwByAGUAdABpAG8AbgBfAFQAaQB0AGwAZQBcAG4AIAAgAD0ATABBAE0AQgBEAEEAKABcACIAQQBuAG4AdQBhAGwAIABuAGkAdAByAG8AZwBlAG4AIABlAHgAYwByAGUAdABpAG8AbgAgAGYAcgBvAG0AIABlAGEAYwBoACAAcwB3AGkAbgBlACAAZwByAG8AdQBwAFwAIgApADsAXABuAFwAbgBWAEUARQBSAEcAXwA0AF8ANQBfADEAXwAzAF8AXwA1AF8AQQBuAG4AdQBhAGwATgBpAHQAcgBvAGcAZQBuAEUAeABjAHIAZQB0AGkAbwBuAF8AVgBhAHIAaQBhAGIAbABlAFwAbgAgACAAPQBMAEEATQBCAEQAQQAoAFwAIgBBAEUAXwBqAFwAIgApADsAXABuAFwAbgBWAEUARQBSAEcAXwA0AF8ANQBfADEAXwAzAF8AXwA1AF8AQQBuAG4AdQBhAGwATgBpAHQAcgBvAGcAZQBuAEUAeABjAHIAZQB0AGkAbwBuAF8AVQBuAGkAdABcAG4AIAAgAD0ATABBAE0AQgBEAEEAKABcACIAawBnACAATgBcACIAKQA7AFwAbgBcAG4AVgBFAEUAUgBHAF8ANABfADUAXwAxAF8AMwBfAF8ANQBfAEEAbgBuAHUAYQBsAE4AaQB0AHIAbwBnAGUAbgBFAHgAYwByAGUAdABpAG8AbgBfAFMAbwB1AHIAYwBlAFwAbgAgACAAPQBMAEEATQBCAEQAQQAoAFwAIgBWAEUARQBSAEcAIAAyADAAMgA2ADoAIAA0AC4ANQAuADEALgAzACwAIABFAHEAdQBhAHQAaQBvAG4AIAAoADUAKQBcACIAKQA7AFwAbgBcAG4AVgBFAEUAUgBHAF8ANABfADUAXwAxAF8AMwBfAF8ANQBfAEEAbgBuAHUAYQBsAE4AaQB0AHIAbwBnAGUAbgBFAHgAYwByAGUAdABpAG8AbgBfAE4ASQBSAFIAZQBmAGUAcgBlAG4AYwBlAFwAbgAgACAAPQBMAEEATQBCAEQAQQAoAFwAIgBcACIAKQA7AFwAbgBcAG4AVgBFAEUAUgBHAF8ANABfADUAXwAxAF8AMwBfAF8ANQBfAEEAbgBuAHUAYQBsAE4AaQB0AHIAbwBnAGUAbgBFAHgAYwByAGUAdABpAG8AbgBfAEwAYQB0AGUAeABFAHEAdQBhAHQAaQBvAG4AXABuACAAIAA9AEwAQQBNAEIARABBACgAXAAiAEEARQBfAHsAagB9AD0ATgBfAHsAagB9AFwAXAB0AGkAbQBlAHMAIABOAFcAXwB7AGoAfQBcAFwAdABpAG0AZQBzACAARABfAHsAagB9AFwAIgApADsAXABuAFwAbgBWAEUARQBSAEcAXwA0AF8ANQBfADEAXwAzAF8AXwA1AF8AQQBuAG4AdQBhAGwATgBpAHQAcgBvAGcAZQBuAEUAeABjAHIAZQB0AGkAbwBuAF8AQQByAGcAdQBtAGUAbgB0AHMAXABuACAAIAA9AEwAQQBNAEIARABBACgAXABuACAAIAAgACAATQBBAEsARQBBAFIAUgBBAFkAKAAzACwAIAA0ACwAXABuACAAIAAgACAAIAAgAEwAQQBNAEIARABBACgAcgAsAGMALABcAG4AIAAgACAAIAAgACAAIAAgAEkATgBEAEUAWAAoAHsAXABuACAAIAAgACAAIAAgACAAIAAgACAAXAAiAE4AXwBqAFwAIgAsACAAXAAiAG4AdQBtAGIAZQByACAAbwBmACAAcwB3AGkAbgBlACAAaQBuACAAZQBhAGMAaAAgAGcAcgBvAHUAcABcACIALAAgAFwAIgBoAGUAYQBkAFwAIgAsACAAXAAiAEkAbgBwAHUAdABcACIAOwBcAG4AIAAgACAAIAAgACAAIAAgACAAIABcACIATgBXAF8AagBcACIALAAgAFwAIgBuAGkAdAByAG8AZwBlAG4AIABwAHIAbwBkAHUAYwBlAGQAIABpAG4AIABzAHcAaQBuAGUAIABtAGEAbgB1AHIAZQAgAGEAbgBkACAAdwBhAHMAdABlACAAZgBlAGUAZAAgAGkAbgAgAGUAYQBjAGgAIABjAGwAYQBzAHMAXAAiACwAIABcACIAawBnACAATgAvAGgAZQBhAGQALwBkAGEAeQBcACIALAAgAFwAIgBJAG4AcAB1AHQAXAAiADsAXABuACAAIAAgACAAIAAgACAAIAAgACAAXAAiAEQAXwBqAFwAIgAsACAAXAAiAGQAdQByAGEAdABpAG8AbgAgAG8AZgAgAHMAdABhAHkAIABvAGYAIABzAHcAaQBuAGUAIABnAHIAbwB1AHA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UAXwAxAF8AMwBfAF8ANgBfAFMAdABhAGcAZQAyAE4AaQB0AHIAbwBnAGUAbgBJAG4ATQBNAFMAXABuAE4AaQB0AHIAbwBnAGUAbgAgAGkAbgAgAHQAcgBlAGEAdABtAGUAbgB0ACAAcwB0AGEAZwBlACAAMgAgAE0ATQBTAFwAbgBNAE4AXwBqAG0AVAAyAFwAbgBrAGcAIABOAFwAbgBNAE4AXwB7AGoAbQAsAFQAPQAyAH0APQBOAFQAXwB7AGoAbQAsAFQAPQAyAH0AXABcAHQAaQBtAGUAcwAgAE0ATQBTAF8AewBqAG0ALABUAD0AMgB9AFwAbgBOAFQAXwBqAG0AVAAyACAAPQAgAG4AaQB0AHIAbwBnAGUAbgAgAHQAcgBhAG4AcwBmAGUAcgByAGUAZAAgAHQAbwAgAHMAZQBjAG8AbgBkAGEAcgB5ACAAdAByAGUAYQB0AG0AZQBuAHQAIABNAE0AUwAgACgAawBnACAATgApAFwAbgBNAE0AUwBfAGoAbQBUADIAIAA9ACAAZgByAGEAYwB0AGkAbwBuACAAbwBmACAAbQBhAG4AdQByAGUAIABpAG4AIABlAGEAYwBoACAAcwBlAGMAbwBuAGQAYQByAHkAIABzAHkAcwB0AGUAbQBcAG4ALQAtAC0ALQAtAC0ALQAtAC0ALQAtAC0ALQAtAC0ALQAtAC0ALQAtAC0ALQAtAC0ALQAtAC0ALQAtAC0ALQAtAC0ALQAtAC0ALQAtAFwAbgAqAC8AXABuAFwAbgBWAEUARQBSAEcAXwA0AF8ANQBfADEAXwAzAF8AXwA2AF8AUwB0AGEAZwBlADIATgBpAHQAcgBvAGcAZQBuAEkAbgBNAE0AUwBcAG4AIAAgAD0ATABBAE0AQgBEAEEAKABcAG4AIAAgACAAIABOAFQAXwBqAG0AVAAyACwAIABNAE0AUwBfAGoAbQBUADIALABcAG4AIAAgACAAIABOAFQAXwBqAG0AVAAyACAAKgAgAE0ATQBTAF8AagBtAFQAMgBcAG4AIAAgACkAOwBcAG4AXABuAFYARQBFAFIARwBfADQAXwA1AF8AMQBfADMAXwBfADYAXwBTAHQAYQBnAGUAMgBOAGkAdAByAG8AZwBlAG4ASQBuAE0ATQBTAF8AVABpAHQAbABlAFwAbgAgACAAPQBMAEEATQBCAEQAQQAoAFwAIgBOAGkAdAByAG8AZwBlAG4AIABpAG4AIAB0AHIAZQBhAHQAbQBlAG4AdAAgAHMAdABhAGcAZQAgADIAIABNAE0AUwBcACIAKQA7AFwAbgBcAG4AVgBFAEUAUgBHAF8ANABfADUAXwAxAF8AMwBfAF8ANgBfAFMAdABhAGcAZQAyAE4AaQB0AHIAbwBnAGUAbgBJAG4ATQBNAFMAXwBWAGEAcgBpAGEAYgBsAGUAXABuACAAIAA9AEwAQQBNAEIARABBACgAXAAiAE0ATgBfAGoAbQBUADIAXAAiACkAOwBcAG4AXABuAFYARQBFAFIARwBfADQAXwA1AF8AMQBfADMAXwBfADYAXwBTAHQAYQBnAGUAMgBOAGkAdAByAG8AZwBlAG4ASQBuAE0ATQBTAF8AVQBuAGkAdABcAG4AIAAgAD0ATABBAE0AQgBEAEEAKABcACIAawBnACAATgBcACIAKQA7AFwAbgBcAG4AVgBFAEUAUgBHAF8ANABfADUAXwAxAF8AMwBfAF8ANgBfAFMAdABhAGcAZQAyAE4AaQB0AHIAbwBnAGUAbgBJAG4ATQBNAFMAXwBTAG8AdQByAGMAZQBcAG4AIAAgAD0ATABBAE0AQgBEAEEAKABcACIAVgBFAEUAUgBHACAAMgAwADIANgA6ACAANAAuADUALgAxAC4AMwAsACAARQBxAHUAYQB0AGkAbwBuACAAKAA2ACkAXAAiACkAOwBcAG4AXABuAFYARQBFAFIARwBfADQAXwA1AF8AMQBfADMAXwBfADYAXwBTAHQAYQBnAGUAMgBOAGkAdAByAG8AZwBlAG4ASQBuAE0ATQBTAF8ATgBJAFIAUgBlAGYAZQByAGUAbgBjAGUAXABuACAAIAA9AEwAQQBNAEIARABBACgAXAAiAFwAIgApADsAXABuAFwAbgBWAEUARQBSAEcAXwA0AF8ANQBfADEAXwAzAF8AXwA2AF8AUwB0AGEAZwBlADIATgBpAHQAcgBvAGcAZQBuAEkAbgBNAE0AUwBfAEwAYQB0AGUAeABFAHEAdQBhAHQAaQBvAG4AXABuACAAIAA9AEwAQQBNAEIARABBACgAXAAiAE0ATgBfAHsAagBtACwAVAA9ADIAfQA9AE4AVABfAHsAagBtACwAVAA9ADIAfQBcAFwAdABpAG0AZQBzACAATQBNAFMAXwB7AGoAbQAsAFQAPQAyAH0AXAAiACkAOwBcAG4AXABuAFYARQBFAFIARwBfADQAXwA1AF8AMQBfADMAXwBfADYAXwBTAHQAYQBnAGUAMgBOAGkAdAByAG8AZwBlAG4ASQBuAE0ATQBTAF8AQQByAGcAdQBtAGUAbgB0AHMAXABuACAAIAA9AEwAQQBNAEIARABBACgAXABuACAAIAAgACAATQBBAEsARQBBAFIAUgBBAFkAKAAyACwAIAA0ACwAXABuACAAIAAgACAAIAAgAEwAQQBNAEIARABBACgAcgAsAGMALABcAG4AIAAgACAAIAAgACAAIAAgAEkATgBEAEUAWAAoAHsAXABuACAAIAAgACAAIAAgACAAIAAgACAAXAAiAE4AVABfAGoAbQBUADIAXAAiACwAIABcACIAbgBpAHQAcgBvAGcAZQBuACAAdAByAGEAbgBzAGYAZQByAHIAZQBkACAAdABvACAAcwBlAGMAbwBuAGQAYQByAHkAIAB0AHIAZQBhAHQAbQBlAG4AdAAgAE0ATQBTAFwAIgAsACAAXAAiAGsAZwAgAE4AXAAiACwAIABcACIAQwBhAGwAYwB1AGwAYQB0AGUAZAAgAGYAcgBvAG0AIAA0AC4ANQAuADEALgAzACAAKAA3ACkAXAAiADsAXABuACAAIAAgACAAIAAgACAAIAAgACAAXAAiAE0ATQBTAF8AagBtAFQAMgBcACIALAAgAFwAIgBmAHIAYQBjAHQAaQBvAG4AIABvAGYAIABtAGEAbgB1AHIAZQAgAGkAbgAgAGUAYQBjAGgAIABzAGUAYwBvAG4AZABhAHIAeQAgAHMAeQBzAHQAZ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UAXwAxAF8AMwBfAF8ANwBfAE4AaQB0AHIAbwBnAGUAbgBUAHIAYQBuAHMAZgBlAHIAcgBlAGQAVABvAFMAdABhAGcAZQAyAE0ATQBTAFwAbgBOAGkAdAByAG8AZwBlAG4AIAB0AHIAYQBuAHMAZgBlAHIAcgBlAGQAIAB0AG8AIAB0AHIAZQBhAHQAbQBlAG4AdAAgAHMAdABhAGcAZQAgADIAIABNAE0AUwBcAG4ATgBUAF8AagBtAFQAMgBcAG4AawBnACAATgBcAG4ATgBUAF8AewBqAG0ALABUAD0AMgB9AD0ATQBOAF8AewBqAG0ALABUAD0AMQB9AFwAXAB0AGkAbQBlAHMAKAAxAC0ARgByAGEAYwBHAEEAUwBNAF8AewBtACwAVAA9ADEAfQAtAEUARgBfAHsAbQAsAFQAPQAxAH0AKQBcAG4ATQBOAF8AagBtAFQAMQAgAD0AIABuAGkAdAByAG8AZwBlAG4AIABwAGUAcgAgAHMAdwBpAG4AZQAgAGMAbABhAHMAcwAgAGkAbgAgAHQAcgBlAGEAdABtAGUAbgB0ACAAcwB0AGEAZwBlACAAMQAgAE0ATQBTACAAKABrAGcAIABOACkAXABuAEYAcgBhAGMARwBBAFMATQBtAFQAMQAgAD0AIABmAHIAYQBjAHQAaQBvAG4AIABvAGYAIABOACAAdgBvAGwAYQB0AGkAbABpAHMAZQBkACAAZgByAG8AbQAgAE0ATQBTACAAdAByAGUAYQB0AG0AZQBuAHQAIABhAHQAIABzAHQAYQBnAGUAIAAxAFwAbgBFAEYAXwBtAFQAMQAgAD0AIABuAGkAdAByAG8AdQBzACAAbwB4AGkAZABlACAAZQBtAGkAcwBzAGkAbwBuACAAZgBhAGMAdABvAHIAIABmAG8AcgAgAE0ATQBTACAAdAByAGUAYQB0AG0AZQBuAHQAIABhAHQAIABzAHQAYQBnAGUAIAAxAFwAbgAtAC0ALQAtAC0ALQAtAC0ALQAtAC0ALQAtAC0ALQAtAC0ALQAtAC0ALQAtAC0ALQAtAC0ALQAtAC0ALQAtAC0ALQAtAC0ALQAtAC0AXABuACoALwBcAG4AXABuAFYARQBFAFIARwBfADQAXwA1AF8AMQBfADMAXwBfADcAXwBOAGkAdAByAG8AZwBlAG4AVAByAGEAbgBzAGYAZQByAHIAZQBkAFQAbwBTAHQAYQBnAGUAMgBNAE0AUwBcAG4AIAAgAD0ATABBAE0AQgBEAEEAKABcAG4AIAAgACAAIABNAE4AXwBqAG0AVAAxACwAIABGAHIAYQBjAEcAQQBTAE0AbQBUADEALAAgAEUARgBfAG0AVAAxACwAXABuACAAIAAgACAATQBOAF8AagBtAFQAMQAgACoAIAAoADEAIAAtACAARgByAGEAYwBHAEEAUwBNAG0AVAAxACAALQAgAEUARgBfAG0AVAAxACkAXABuACAAIAApADsAXABuAFwAbgBWAEUARQBSAEcAXwA0AF8ANQBfADEAXwAzAF8AXwA3AF8ATgBpAHQAcgBvAGcAZQBuAFQAcgBhAG4AcwBmAGUAcgByAGUAZABUAG8AUwB0AGEAZwBlADIATQBNAFMAXwBUAGkAdABsAGUAXABuACAAIAA9AEwAQQBNAEIARABBACgAXAAiAE4AaQB0AHIAbwBnAGUAbgAgAHQAcgBhAG4AcwBmAGUAcgByAGUAZAAgAHQAbwAgAHQAcgBlAGEAdABtAGUAbgB0ACAAcwB0AGEAZwBlACAAMgAgAE0ATQBTAFwAIgApADsAXABuAFwAbgBWAEUARQBSAEcAXwA0AF8ANQBfADEAXwAzAF8AXwA3AF8ATgBpAHQAcgBvAGcAZQBuAFQAcgBhAG4AcwBmAGUAcgByAGUAZABUAG8AUwB0AGEAZwBlADIATQBNAFMAXwBWAGEAcgBpAGEAYgBsAGUAXABuACAAIAA9AEwAQQBNAEIARABBACgAXAAiAE4AVABfAGoAbQBUADIAXAAiACkAOwBcAG4AXABuAFYARQBFAFIARwBfADQAXwA1AF8AMQBfADMAXwBfADcAXwBOAGkAdAByAG8AZwBlAG4AVAByAGEAbgBzAGYAZQByAHIAZQBkAFQAbwBTAHQAYQBnAGUAMgBNAE0AUwBfAFUAbgBpAHQAXABuACAAIAA9AEwAQQBNAEIARABBACgAXAAiAGsAZwAgAE4AXAAiACkAOwBcAG4AXABuAFYARQBFAFIARwBfADQAXwA1AF8AMQBfADMAXwBfADcAXwBOAGkAdAByAG8AZwBlAG4AVAByAGEAbgBzAGYAZQByAHIAZQBkAFQAbwBTAHQAYQBnAGUAMgBNAE0AUwBfAFMAbwB1AHIAYwBlAFwAbgAgACAAPQBMAEEATQBCAEQAQQAoAFwAIgBWAEUARQBSAEcAIAAyADAAMgA2ADoAIAA0AC4ANQAuADEALgAzACwAIABFAHEAdQBhAHQAaQBvAG4AIAAoADcAKQBcACIAKQA7AFwAbgBcAG4AVgBFAEUAUgBHAF8ANABfADUAXwAxAF8AMwBfAF8ANwBfAE4AaQB0AHIAbwBnAGUAbgBUAHIAYQBuAHMAZgBlAHIAcgBlAGQAVABvAFMAdABhAGcAZQAyAE0ATQBTAF8ATgBJAFIAUgBlAGYAZQByAGUAbgBjAGUAXABuACAAIAA9AEwAQQBNAEIARABBACgAXAAiAFwAIgApADsAXABuAFwAbgBWAEUARQBSAEcAXwA0AF8ANQBfADEAXwAzAF8AXwA3AF8ATgBpAHQAcgBvAGcAZQBuAFQAcgBhAG4AcwBmAGUAcgByAGUAZABUAG8AUwB0AGEAZwBlADIATQBNAFMAXwBMAGEAdABlAHgARQBxAHUAYQB0AGkAbwBuAFwAbgAgACAAPQBMAEEATQBCAEQAQQAoAFwAIgBOAFQAXwB7AGoAbQAsAFQAPQAyAH0APQBNAE4AXwB7AGoAbQAsAFQAPQAxAH0AXABcAHQAaQBtAGUAcwAoADEALQBGAHIAYQBjAEcAQQBTAE0AXwB7AG0ALABUAD0AMQB9AC0ARQBGAF8AewBtACwAVAA9ADEAfQApAFwAIgApADsAXABuAFwAbgBWAEUARQBSAEcAXwA0AF8ANQBfADEAXwAzAF8AXwA3AF8ATgBpAHQAcgBvAGcAZQBuAFQAcgBhAG4AcwBmAGUAcgByAGUAZABUAG8AUwB0AGEAZwBlADIATQBNAFMAXwBBAHIAZwB1AG0AZQBuAHQAcwBcAG4AIAAgAD0ATABBAE0AQgBEAEEAKABcAG4AIAAgACAAIABNAEEASwBFAEEAUgBSAEEAWQAoADMALAAgADQALABcAG4AIAAgACAAIAAgACAATABBAE0AQgBEAEEAKAByACwAYwAsAFwAbgAgACAAIAAgACAAIAAgACAASQBOAEQARQBYACgAewBcAG4AIAAgACAAIAAgACAAIAAgACAAIABcACIATQBOAF8AagBtAFQAMQBcACIALAAgAFwAIgBuAGkAdAByAG8AZwBlAG4AIABwAGUAcgAgAHMAdwBpAG4AZQAgAGMAbABhAHMAcwAgAGkAbgAgAHQAcgBlAGEAdABtAGUAbgB0ACAAcwB0AGEAZwBlACAAMQAgAE0ATQBTAFwAIgAsACAAXAAiAGsAZwAgAE4AXAAiACwAIABcACIAQwBhAGwAYwB1AGwAYQB0AGUAZAAgAGYAcgBvAG0AIAA0AC4ANQAuADEALgAzACAAKAAyACkAKAA2ACkAXAAiADsAXABuACAAIAAgACAAIAAgACAAIAAgACAAXAAiAEYAcgBhAGMARwBBAFMATQBtAFQAMQBcACIALAAgAFwAIgBmAHIAYQBjAHQAaQBvAG4AIABvAGYAIABOACAAdgBvAGwAYQB0AGkAbABpAHMAZQBkACAAZgByAG8AbQAgAE0ATQBTACAAdAByAGUAYQB0AG0AZQBuAHQAIABhAHQAIABzAHQAYQBnAGUAIAAxAFwAIgAsACAAXAAiAGYAcgBhAGMAdABpAG8AbgBcACIALAAgAFwAIgBMAG8AbwBrAHUAcABcACIAOwBcAG4AIAAgACAAIAAgACAAIAAgACAAIABcACIARQBGAF8AbQBUADEAXAAiACwAIABcACIAbgBpAHQAcgBvAHUAcwAgAG8AeABpAGQAZQAgAGUAbQBpAHMAcwBpAG8AbgAgAGYAYQBjAHQAbwByACAAZgBvAHIAIABNAE0AUwAgAHQAcgBlAGEAdABtAGUAbgB0ACAAYQB0ACAAcwB0AGEAZwBlACAAMQBcACIALAAgAFwAIgBrAGcAIABOADIATwAtAE4ALwBrAGcAIABOAFwAIgAsACAAXAAiAEwAbwBvAGsAdQBwAFwAIgBcAG4AIAAgACAAIAAgACAAIAAgAH0ALAAgAHIALAAgAGMAKQBcAG4AIAAgACAAIAAgACAAKQBcAG4AIAAgACAAIAApAFwAbgAgACAAKQA7AFwAbgAiAH0ALAB7ACIAcABhAHQAaAAiADoAIgAvAHAAcgBvAGoAZQBjAHQAcwAvAE0ATQBTAF8AUwB3AGkAbgBl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UAOgAgAFMAdwBpAG4AZQBcAG4APQA9AD0APQA9AD0APQA9AD0APQA9AD0APQA9AD0APQA9AD0APQA9AD0APQA9AD0APQA9AD0APQA9AD0APQA9AD0APQA9AD0APQA9AD0APQA9AD0APQA9AD0APQA9AD0APQA9AD0APQA9AD0APQA9AD0APQA9AD0APQA9AD0APQA9AD0APQA9AD0APQA9AD0APQA9AD0APQBcAG4ANAAuADUALgAxAC4ANQAgAE0AZQB0AGgAbwBkACAAMQAgAC0AIABNAGEAbgB1AHIAZQAgAEEAdABtAG8AcwBwAGgAZQByAGkAYwAgAEQAZQBwAG8AcwBpAHQAaQBvAG4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1AF8AXwAxAF8AQQBuAG4AdQBhAGwAQQB0AG0AbwBzAHAAaABlAHIAaQBjAEQAZQBwAG8AcwBpAHQAaQBvAG4ARQBtAGkAcwBzAGkAbwBuAHMARgByAG8AbQBNAE0AUwBcAG4AQQBuAG4AdQBhAGwAIABhAHQAbQBvAHMAcABoAGUAcgBpAGMAIABkAGUAcABvAHMAaQB0AGkAbwBuACAAZQBtAGkAcwBzAGkAbwBuAHMAIABmAHIAbwBtACAATQBNAFMAXABuAEUAXwBOADIATwBNAE0AUwBhAGQAXABuAHQAIABOADIATwBcAG4ARQBfAHsATgAyAE8ALABhAGQAfQA9AE0ATQBTAF8AewBBAFQATQBPAFMAfQBcAFwAdABpAG0AZQBzACAARQBGAF8AewBOADIATwB9AFwAXAB0AGkAbQBlAHMAIABDAF8AewBOADIATwB9AFwAXAB0AGkAbQBlAHMAIAAxADAAXgB7AC0AMwB9AFwAbgBNAE0AUwBfAEEAVABNAE8AUwAgAD0AIABtAGEAcwBzACAAbwBmACAATgAgAHYAbwBsAGEAdABpAGwAaQBzAGUAZAAgAGYAcgBvAG0AIABNAE0AUw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1AF8AMQBfADUAXwBfADEAXwBBAG4AbgB1AGEAbABBAHQAbQBvAHMAcABoAGUAcgBpAGMARABlAHAAbwBzAGkAdABpAG8AbgBFAG0AaQBzAHMAaQBvAG4AcwBGAHIAbwBtAE0ATQBTAFwAbgAgACAAPQBMAEEATQBCAEQAQQAoAFwAbgAgACAAIAAgAE0ATQBTAF8AQQBUAE0ATwBTACwAIABFAEYAXwBOADIATwAsACAAQwBfAE4AMgBPACwAXABuACAAIAAgACAATQBNAFMAXwBBAFQATQBPAFMAIAAqACAARQBGAF8ATgAyAE8AIAAqACAAQwBfAE4AMgBPACAAKgAgADEAMAAgAF4AIAAtADMAXABuACAAIAApADsAXABuAFwAbgBWAEUARQBSAEcAXwA0AF8ANQBfADEAXwA1AF8AXwAxAF8AQQBuAG4AdQBhAGwAQQB0AG0AbwBzAHAAaABlAHIAaQBjAEQAZQBwAG8AcwBpAHQAaQBvAG4ARQBtAGkAcwBzAGkAbwBuAHMARgByAG8AbQBNAE0AUwBfAFQAaQB0AGwAZQBcAG4AIAAgAD0ATABBAE0AQgBEAEEAKABcACIAQQBuAG4AdQBhAGwAIABhAHQAbQBvAHMAcABoAGUAcgBpAGMAIABkAGUAcABvAHMAaQB0AGkAbwBuACAAZQBtAGkAcwBzAGkAbwBuAHMAIABmAHIAbwBtACAATQBNAFMAXAAiACkAOwBcAG4AXABuAFYARQBFAFIARwBfADQAXwA1AF8AMQBfADUAXwBfADEAXwBBAG4AbgB1AGEAbABBAHQAbQBvAHMAcABoAGUAcgBpAGMARABlAHAAbwBzAGkAdABpAG8AbgBFAG0AaQBzAHMAaQBvAG4AcwBGAHIAbwBtAE0ATQBTAF8AVgBhAHIAaQBhAGIAbABlAFwAbgAgACAAPQBMAEEATQBCAEQAQQAoAFwAIgBFAF8ATgAyAE8ATQBNAFMAYQBkAFwAIgApADsAXABuAFwAbgBWAEUARQBSAEcAXwA0AF8ANQBfADEAXwA1AF8AXwAxAF8AQQBuAG4AdQBhAGwAQQB0AG0AbwBzAHAAaABlAHIAaQBjAEQAZQBwAG8AcwBpAHQAaQBvAG4ARQBtAGkAcwBzAGkAbwBuAHMARgByAG8AbQBNAE0AUwBfAFUAbgBpAHQAXABuACAAIAA9AEwAQQBNAEIARABBACgAXAAiAHQAIABOADIATwBcACIAKQA7AFwAbgBcAG4AVgBFAEUAUgBHAF8ANABfADUAXwAxAF8ANQBfAF8AMQBfAEEAbgBuAHUAYQBsAEEAdABtAG8AcwBwAGgAZQByAGkAYwBEAGUAcABvAHMAaQB0AGkAbwBuAEUAbQBpAHMAcwBpAG8AbgBzAEYAcgBvAG0ATQBNAFMAXwBTAG8AdQByAGMAZQBcAG4AIAAgAD0ATABBAE0AQgBEAEEAKABcACIAVgBFAEUAUgBHACAAMgAwADIANgA6ACAANAAuADUALgAxAC4AMQAsACAARQBxAHUAYQB0AGkAbwBuACAAKAAxACkAXAAiACkAOwBcAG4AXABuAFYARQBFAFIARwBfADQAXwA1AF8AMQBfADUAXwBfADEAXwBBAG4AbgB1AGEAbABBAHQAbQBvAHMAcABoAGUAcgBpAGMARABlAHAAbwBzAGkAdABpAG8AbgBFAG0AaQBzAHMAaQBvAG4AcwBGAHIAbwBtAE0ATQBTAF8ATgBJAFIAUgBlAGYAZQByAGUAbgBjAGUAXABuACAAIAA9AEwAQQBNAEIARABBACgAXAAiAFwAIgApADsAXABuAFwAbgBWAEUARQBSAEcAXwA0AF8ANQBfADEAXwA1AF8AXwAxAF8AQQBuAG4AdQBhAGwAQQB0AG0AbwBzAHAAaABlAHIAaQBjAEQAZQBwAG8AcwBpAHQAaQBvAG4ARQBtAGkAcwBzAGkAbwBuAHMARgByAG8AbQBNAE0AUwBfAEwAYQB0AGUAeABFAHEAdQBhAHQAaQBvAG4AXABuACAAIAA9AEwAQQBNAEIARABBACgAXAAiAEUAXwB7AE4AMgBPACwAYQBkAH0APQBNAE0AUwBfAHsAQQBUAE0ATwBTAH0AXABcAHQAaQBtAGUAcwAgAEUARgBfAHsATgAyAE8AfQBcAFwAdABpAG0AZQBzACAAQwBfAHsATgAyAE8AfQBcAFwAdABpAG0AZQBzACAAMQAwAF4AewAtADMAfQBcACIAKQA7AFwAbgBcAG4AVgBFAEUAUgBHAF8ANABfADUAXwAxAF8ANQBfAF8AMQBfAEEAbgBuAHUAYQBsAEEAdABtAG8AcwBwAGgAZQByAGkAYwBEAGUAcABvAHMAaQB0AGkAbwBuAEUAbQBpAHMAcwBpAG8AbgBzAEYAcgBvAG0ATQBNAFMAXwBBAHIAZwB1AG0AZQBuAHQAcwBcAG4AIAAgAD0ATABBAE0AQgBEAEEAKABcAG4AIAAgACAAIABNAEEASwBFAEEAUgBSAEEAWQAoADYALAAgADQALABcAG4AIAAgACAAIAAgACAATABBAE0AQgBEAEEAKAByACwAYwAsAFwAbgAgACAAIAAgACAAIAAgACAASQBOAEQARQBYACgAewBcAG4AIAAgACAAIAAgACAAIAAgACAAIABcACIATQBNAFMAXwBBAFQATQBPAFMAXAAiACwAIABcACIAbQBhAHMAcwAgAG8AZgAgAE4AIAB2AG8AbABhAHQAaQBsAGkAcwBlAGQAIABmAHIAbwBtACAATQBNAFMAXAAiACwAIABcACIAawBnACAATgBcACIALAAgAFwAIgBDAGEAbABjAHUAbABhAHQAZQBkACAAZgByAG8AbQAgADQALgA1AC4AMQAuADUAIAAoADIAKQBcACIAOwBcAG4AIAAgACAAIAAgACAAIAAgACAAIABcACIARQBGAF8ATgAyAE8AXAAiACwAIABcACIAbgBpAHQAcgBvAHUAcwAgAG8AeABpAGQAZQAgAGUAbQBpAHMAcwBpAG8AbgAgAGYAYQBjAHQAbwByACAAZgBvAHIAIABhAHQAbQBvAHMAcABoAGUAcgBpAGMAIABkAGUAcABvAHMAaQB0AGkAbwBu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A7AFwAbgAgACAAIAAgACAAIAAgACAAIAAgAFwAIgByAFwAIgAsACAAXAAiAHIAYQBpAG4AZgBhAGwAbAAgAHIAZQBnAGkAbw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1AF8AXwAyAF8AVABvAHQAYQBsAE4AaQB0AHIAbwBnAGUAbgBWAG8AbABhAHQAaQBsAGkAcwBlAGQARgByAG8AbQBNAE0AUwBcAG4AVABvAHQAYQBsACAAbgBpAHQAcgBvAGcAZQBuACAAdgBvAGwAYQB0AGkAbABpAHMAZQBkACAAZgByAG8AbQAgAE0ATQBTAFwAbgBNAE0AUwBfAEEAVABNAE8AUwBcAG4AawBnACAATgBcAG4ATQBNAFMAXwB7AEEAVABNAE8AUwB9AD0AXABcAHMAdQBtAF8AewBqAH0AXABcAHMAdQBtAF8AewBtAH0AXABcAHMAdQBtAF8AewBUAH0AKABNAE4AXwB7AGoAbQBUAH0AXABcAHQAaQBtAGUAcwAgAEYAcgBhAGMARwBBAFMATQBfAHsAbQBUAH0AKQBcAG4ATQBOAF8AagBtAFQAIAA9ACAAbgBpAHQAcgBvAGcAZQBuACAAcABlAHIAIABzAHcAaQBuAGUAIABjAGwAYQBzAHMALAAgAE0ATQBTACAAYQBuAGQAIAB0AHIAZQBhAHQAbQBlAG4AdAAgAHMAdABhAGcAZQAgACgAawBnACAATgApAFwAbgBGAHIAYQBjAEcAQQBTAE0AbQBUACAAPQAgAGYAcgBhAGMAdABpAG8AbgAgAG8AZgAgAE4AIAB2AG8AbABhAHQAaQBsAGkAcwBlAGQAIABpAG4AIABlAGEAYwBoACAATQBNAFMAIAAoACgAawBnACAATgBIADMALQBOACAAKwAgAE4ATwB4AC0ATgApAC8AawBnACAATgApAFwAbgAtAC0ALQAtAC0ALQAtAC0ALQAtAC0ALQAtAC0ALQAtAC0ALQAtAC0ALQAtAC0ALQAtAC0ALQAtAC0ALQAtAC0ALQAtAC0ALQAtAC0AXABuACoALwBcAG4AXABuAFYARQBFAFIARwBfADQAXwA1AF8AMQBfADUAXwBfADIAXwBUAG8AdABhAGwATgBpAHQAcgBvAGcAZQBuAFYAbwBsAGEAdABpAGwAaQBzAGUAZABGAHIAbwBtAE0ATQBTAFwAbgAgACAAPQBMAEEATQBCAEQAQQAoAFwAbgAgACAAIAAgAE0ATgBfAGoAbQBUACwAIABGAHIAYQBjAEcAQQBTAE0AbQBUACwAXABuACAAIAAgACAATQBOAF8AagBtAFQAIAAqACAARgByAGEAYwBHAEEAUwBNAG0AVABcAG4AIAAgACkAOwBcAG4AXABuAFYARQBFAFIARwBfADQAXwA1AF8AMQBfADUAXwBfADIAXwBUAG8AdABhAGwATgBpAHQAcgBvAGcAZQBuAFYAbwBsAGEAdABpAGwAaQBzAGUAZABGAHIAbwBtAE0ATQBTAF8AVABpAHQAbABlAFwAbgAgACAAPQBMAEEATQBCAEQAQQAoAFwAIgBUAG8AdABhAGwAIABuAGkAdAByAG8AZwBlAG4AIAB2AG8AbABhAHQAaQBsAGkAcwBlAGQAIABmAHIAbwBtACAATQBNAFMAXAAiACkAOwBcAG4AXABuAFYARQBFAFIARwBfADQAXwA1AF8AMQBfADUAXwBfADIAXwBUAG8AdABhAGwATgBpAHQAcgBvAGcAZQBuAFYAbwBsAGEAdABpAGwAaQBzAGUAZABGAHIAbwBtAE0ATQBTAF8AVgBhAHIAaQBhAGIAbABlAFwAbgAgACAAPQBMAEEATQBCAEQAQQAoAFwAIgBNAE0AUwBfAEEAVABNAE8AUwBcACIAKQA7AFwAbgBcAG4AVgBFAEUAUgBHAF8ANABfADUAXwAxAF8ANQBfAF8AMgBfAFQAbwB0AGEAbABOAGkAdAByAG8AZwBlAG4AVgBvAGwAYQB0AGkAbABpAHMAZQBkAEYAcgBvAG0ATQBNAFMAXwBVAG4AaQB0AFwAbgAgACAAPQBMAEEATQBCAEQAQQAoAFwAIgBrAGcAIABOAFwAIgApADsAXABuAFwAbgBWAEUARQBSAEcAXwA0AF8ANQBfADEAXwA1AF8AXwAyAF8AVABvAHQAYQBsAE4AaQB0AHIAbwBnAGUAbgBWAG8AbABhAHQAaQBsAGkAcwBlAGQARgByAG8AbQBNAE0AUwBfAFMAbwB1AHIAYwBlAFwAbgAgACAAPQBMAEEATQBCAEQAQQAoAFwAIgBWAEUARQBSAEcAIAAyADAAMgA2ADoAIAA0AC4ANQAuADEALgAxACwAIABFAHEAdQBhAHQAaQBvAG4AIAAoADIAKQBcACIAKQA7AFwAbgBcAG4AVgBFAEUAUgBHAF8ANABfADUAXwAxAF8ANQBfAF8AMgBfAFQAbwB0AGEAbABOAGkAdAByAG8AZwBlAG4AVgBvAGwAYQB0AGkAbABpAHMAZQBkAEYAcgBvAG0ATQBNAFMAXwBOAEkAUgBSAGUAZgBlAHIAZQBuAGMAZQBcAG4AIAAgAD0ATABBAE0AQgBEAEEAKABcACIAXAAiACkAOwBcAG4AXABuAFYARQBFAFIARwBfADQAXwA1AF8AMQBfADUAXwBfADIAXwBUAG8AdABhAGwATgBpAHQAcgBvAGcAZQBuAFYAbwBsAGEAdABpAGwAaQBzAGUAZABGAHIAbwBtAE0ATQBTAF8ATABhAHQAZQB4AEUAcQB1AGEAdABpAG8AbgBcAG4AIAAgAD0ATABBAE0AQgBEAEEAKABcACIATQBNAFMAXwB7AEEAVABNAE8AUwB9AD0AXABcAHMAdQBtAF8AewBqAH0AXABcAHMAdQBtAF8AewBtAH0AXABcAHMAdQBtAF8AewBUAH0AKABNAE4AXwB7AGoAbQBUAH0AXABcAHQAaQBtAGUAcwAgAEYAcgBhAGMARwBBAFMATQBfAHsAbQBUAH0AKQBcACIAKQA7AFwAbgBcAG4AVgBFAEUAUgBHAF8ANABfADUAXwAxAF8ANQBfAF8AMgBfAFQAbwB0AGEAbABOAGkAdAByAG8AZwBlAG4AVgBvAGwAYQB0AGkAbABpAHMAZQBkAEYAcgBvAG0ATQBNAFMAXwBBAHIAZwB1AG0AZQBuAHQAcwBcAG4AIAAgAD0ATABBAE0AQgBEAEEAKABcAG4AIAAgACAAIABNAEEASwBFAEEAUgBSAEEAWQAoADIALAAgADQALABcAG4AIAAgACAAIAAgACAATABBAE0AQgBEAEEAKAByACwAYwAsAFwAbgAgACAAIAAgACAAIAAgACAASQBOAEQARQBYACgAewBcAG4AIAAgACAAIAAgACAAIAAgACAAIABcACIATQBOAF8AagBtAFQAXAAiACwAIABcACIAbgBpAHQAcgBvAGcAZQBuACAAcABlAHIAIABzAHcAaQBuAGUAIABjAGwAYQBzAHMALAAgAE0ATQBTACAAYQBuAGQAIAB0AHIAZQBhAHQAbQBlAG4AdAAgAHMAdABhAGcAZQBcACIALAAgAFwAIgBrAGcAIABOAFwAIgAsACAAXAAiAEMAYQBsAGMAdQBsAGEAdABlAGQAIABmAHIAbwBtACAANAAuADUALgAxAC4AMwAgACgAMgApACgANgApAFwAIgA7AFwAbgAgACAAIAAgACAAIAAgACAAIAAgAFwAIgBGAHIAYQBjAEcAQQBTAE0AbQBUAFwAIgAsACAAXAAiAGYAcgBhAGMAdABpAG8AbgAgAG8AZgAgAE4AIAB2AG8AbABhAHQAaQBsAGkAcwBlAGQAIABpAG4AIABlAGEAYwBoACAATQBNAFMAXAAiACwAIABcACIAKABrAGcAIABOAEgAMwAtAE4AIAArACAATgBPAHgALQBOACkALwBrAGcAIABOAFwAIgAsACAAXAAiAEMAbwBuAHMAdABhAG4AdABcACIAXABuACAAIAAgACAAIAAgACAAIAB9ACwAIAByACwAIABjACkAXABuACAAIAAgACAAIAAgACkAXABuACAAIAAgACAAKQBcAG4AIAAgACkAOwBcAG4AIgB9ACwAewAiAHAAYQB0AGgAIgA6ACIALwBwAHIAbwBqAGUAYwB0AHMALwBNAE0AUwBfAFMAdwBpAG4AZQBfAEwAZQBhAGMAaABpAG4AZwBBAG4AZABSAHUAbgBvAGYAZ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QA6ACAAUwB3AGkAbgBlAFwAbgA9AD0APQA9AD0APQA9AD0APQA9AD0APQA9AD0APQA9AD0APQA9AD0APQA9AD0APQA9AD0APQA9AD0APQA9AD0APQA9AD0APQA9AD0APQA9AD0APQA9AD0APQA9AD0APQA9AD0APQA9AD0APQA9AD0APQA9AD0APQA9AD0APQA9AD0APQA9AD0APQA9AD0APQA9AD0APQA9AFwAbgA0AC4ANQAuADEALgA3ACAATQBlAHQAaABvAGQAIAAxACAALQAgAE0AYQBuAHUAcgBlACAATABlAGEAYwBoAGkAbgBnACAAQQBuAGQAIABSAHUAbgBvAGYAZgAgAE4AMgBP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NwBfAF8AMQBfAEEAbgBuAHUAYQBsAEUAbQBpAHMAcwBpAG8AbgBzAEYAcgBvAG0ATABlAGEAYwBoAGkAbgBnAEEAbgBkAFIAdQBuAG8AZgBmAEYAcgBvAG0ATQBNAFMAXABuAEEAbgBuAHUAYQBsACAAZQBtAGkAcwBzAGkAbwBuAHMAIABmAHIAbwBtACAAbABlAGEAYwBoAGkAbgBnACAAYQBuAGQAIAByAHUAbgBvAGYAZgAgAGYAcgBvAG0AIABlAGEAYwBoACAATQBNAFMAXABuAEUAXwBOADIATwBsAGUAYQBjAGgAXABuAHQAIABOADIATwBcAG4ARQBfAHsATgAyAE8ALABsAGUAYQBjAGgAfQA9AE0ATgBMAGUAYQBjAGgAXwB7AGoAbQA9ADUAfQBcAFwAdABpAG0AZQBzACAARQBGAF8AewBsAGUAYQBjAGgAfQBcAFwAdABpAG0AZQBzACAAQwBfAHsATgAyAE8AfQBcAFwAdABpAG0AZQBzACAAMQAwAF4AewAtADMAfQBcAG4ATQBOAEwAZQBhAGMAaABfAGoAbQA1ACAAPQAgAG0AYQBzAHMAIABvAGYAIABOACAAbABvAHMAdAAgAHQAaAByAG8AdQBnAGgAIABsAGUAYQBjAGgAaQBuAGcAIABhAG4AZAAgAHIAdQBuAG8AZgBmACAAZgByAG8AbQAgAGQAcgB5AGwAbwB0ACAATQBNAFMAIAAoAGsAZwAgAE4AKQBcAG4ARQBGAF8AbABlAGEAYwBoACAAPQAgAGUAbQBpAHMAcwBpAG8AbgAgAGYAYQBjAHQAbwByACAAZgBvAHIAIABsAGUAYQBjAGgAaQBuAGcAIABhAG4AZAAgAHIAdQBuAG8AZgBmACAAKABrAGcAIABOADIATwAtAE4ALwBrAGcAIABOACkAXABuAEMAXwBOADIATwAgAD0AIABmAGEAYwB0AG8AcgAgAHQAbwAgAGMAbwBuAHYAZQByAHQAIABlAGwAZQBtAGUAbgB0AGEAbAAgAG0AYQBzAHMAIABvAGYAIABOADIATwAgAHQAbwAgAG0AbwBsAGUAYwB1AGwAYQByACAAbQBhAHMAcwBcAG4AVgBBAFIASQBBAFQASQBPAE4AIABPAEYAIABTAE8AVQBSAEMARQA6ACAARAB1AGUAIAB0AG8AIABzAHQAcgBpAGMAdAAgAGUAbgB2AGkAcgBvAG4AbQBlAG4AdABhAGwAIABjAG8AbgB0AHIAbwBsAHMALAAgAGUAbQBpAHMAcwBpAG8AbgBzACAAYQByAGUAIABlAHMAdABpAG0AYQB0AGUAZAAgAG8AbgBsAHkAIABmAG8AcgAgAGQAcgB5AGwAbwB0ACAATQBNAFMAIAAoAG0APQA1ACkALgBcAG4ALQAtAC0ALQAtAC0ALQAtAC0ALQAtAC0ALQAtAC0ALQAtAC0ALQAtAC0ALQAtAC0ALQAtAC0ALQAtAC0ALQAtAC0ALQAtAC0ALQAtAFwAbgAqAC8AXABuAFwAbgBWAEUARQBSAEcAXwA0AF8ANQBfADEAXwA3AF8AXwAxAF8AQQBuAG4AdQBhAGwARQBtAGkAcwBzAGkAbwBuAHMARgByAG8AbQBMAGUAYQBjAGgAaQBuAGcAQQBuAGQAUgB1AG4AbwBmAGYARgByAG8AbQBNAE0AUwBcAG4AIAAgAD0ATABBAE0AQgBEAEEAKABcAG4AIAAgACAAIABNAE4ATABlAGEAYwBoAF8AagBtADUALAAgAEUARgBfAGwAZQBhAGMAaAAsACAAQwBfAE4AMgBPACwAXABuACAAIAAgACAATQBOAEwAZQBhAGMAaABfAGoAbQA1ACAAKgAgAEUARgBfAGwAZQBhAGMAaAAgACoAIABDAF8ATgAyAE8AIAAqACAAMQAwACAAXgAgAC0AMwBcAG4AIAAgACkAOwBcAG4AXABuAFYARQBFAFIARwBfADQAXwA1AF8AMQBfADcAXwBfADEAXwBBAG4AbgB1AGEAbABFAG0AaQBzAHMAaQBvAG4AcwBGAHIAbwBtAEwAZQBhAGMAaABpAG4AZwBBAG4AZABSAHUAbgBvAGYAZgBGAHIAbwBtAE0ATQBTAF8AVABpAHQAbABlAFwAbgAgACAAPQBMAEEATQBCAEQAQQAoAFwAIgBBAG4AbgB1AGEAbAAgAGUAbQBpAHMAcwBpAG8AbgBzACAAZgByAG8AbQAgAGwAZQBhAGMAaABpAG4AZwAgAGEAbgBkACAAcgB1AG4AbwBmAGYAIABmAHIAbwBtACAAZQBhAGMAaAAgAE0ATQBTAFwAIgApADsAXABuAFwAbgBWAEUARQBSAEcAXwA0AF8ANQBfADEAXwA3AF8AXwAxAF8AQQBuAG4AdQBhAGwARQBtAGkAcwBzAGkAbwBuAHMARgByAG8AbQBMAGUAYQBjAGgAaQBuAGcAQQBuAGQAUgB1AG4AbwBmAGYARgByAG8AbQBNAE0AUwBfAFYAYQByAGkAYQBiAGwAZQBcAG4AIAAgAD0ATABBAE0AQgBEAEEAKABcACIARQBfAE4AMgBPAGwAZQBhAGMAaABcACIAKQA7AFwAbgBcAG4AVgBFAEUAUgBHAF8ANABfADUAXwAxAF8ANwBfAF8AMQBfAEEAbgBuAHUAYQBsAEUAbQBpAHMAcwBpAG8AbgBzAEYAcgBvAG0ATABlAGEAYwBoAGkAbgBnAEEAbgBkAFIAdQBuAG8AZgBmAEYAcgBvAG0ATQBNAFMAXwBVAG4AaQB0AFwAbgAgACAAPQBMAEEATQBCAEQAQQAoAFwAIgB0ACAATgAyAE8AXAAiACkAOwBcAG4AXABuAFYARQBFAFIARwBfADQAXwA1AF8AMQBfADcAXwBfADEAXwBBAG4AbgB1AGEAbABFAG0AaQBzAHMAaQBvAG4AcwBGAHIAbwBtAEwAZQBhAGMAaABpAG4AZwBBAG4AZABSAHUAbgBvAGYAZgBGAHIAbwBtAE0ATQBTAF8AUwBvAHUAcgBjAGUAXABuACAAIAA9AEwAQQBNAEIARABBACgAXAAiAFYARQBFAFIARwAgADIAMAAyADYAOgAgADQALgA1AC4AMQAuADcALAAgAEUAcQB1AGEAdABpAG8AbgAgACgAMQApAFwAIgApADsAXABuAFwAbgBWAEUARQBSAEcAXwA0AF8ANQBfADEAXwA3AF8AXwAxAF8AQQBuAG4AdQBhAGwARQBtAGkAcwBzAGkAbwBuAHMARgByAG8AbQBMAGUAYQBjAGgAaQBuAGcAQQBuAGQAUgB1AG4AbwBmAGYARgByAG8AbQBNAE0AUwBfAE4ASQBSAFIAZQBmAGUAcgBlAG4AYwBlAFwAbgAgACAAPQBMAEEATQBCAEQAQQAoAFwAIgBcACIAKQA7AFwAbgBcAG4AVgBFAEUAUgBHAF8ANABfADUAXwAxAF8ANwBfAF8AMQBfAEEAbgBuAHUAYQBsAEUAbQBpAHMAcwBpAG8AbgBzAEYAcgBvAG0ATABlAGEAYwBoAGkAbgBnAEEAbgBkAFIAdQBuAG8AZgBmAEYAcgBvAG0ATQBNAFMAXwBMAGEAdABlAHgARQBxAHUAYQB0AGkAbwBuAFwAbgAgACAAPQBMAEEATQBCAEQAQQAoAFwAIgBFAF8AewBOADIATwAsAGwAZQBhAGMAaAB9AD0ATQBOAEwAZQBhAGMAaABfAHsAagBtAD0ANQB9AFwAXAB0AGkAbQBlAHMAIABFAEYAXwB7AGwAZQBhAGMAaAB9AFwAXAB0AGkAbQBlAHMAIABDAF8AewBOADIATwB9AFwAXAB0AGkAbQBlAHMAIAAxADAAXgB7AC0AMwB9AFwAIgApADsAXABuAFwAbgBWAEUARQBSAEcAXwA0AF8ANQBfADEAXwA3AF8AXwAxAF8AQQBuAG4AdQBhAGwARQBtAGkAcwBzAGkAbwBuAHMARgByAG8AbQBMAGUAYQBjAGgAaQBuAGcAQQBuAGQAUgB1AG4AbwBmAGYARgByAG8AbQBNAE0AUwBfAEEAcgBnAHUAbQBlAG4AdABzAFwAbgAgACAAPQBMAEEATQBCAEQAQQAoAFwAbgAgACAAIAAgAE0AQQBLAEUAQQBSAFIAQQBZACgAMwAsACAANAAsAFwAbgAgACAAIAAgACAAIABMAEEATQBCAEQAQQAoAHIALABjACwAXABuACAAIAAgACAAIAAgACAAIABJAE4ARABFAFgAKAB7AFwAbgAgACAAIAAgACAAIAAgACAAIAAgAFwAIgBNAE4ATABlAGEAYwBoAF8AagBtADUAXAAiACwAIABcACIAbQBhAHMAcwAgAG8AZgAgAE4AIABsAG8AcwB0ACAAdABoAHIAbwB1AGcAaAAgAGwAZQBhAGMAaABpAG4AZwAgAGEAbgBkACAAcgB1AG4AbwBmAGYAIABmAHIAbwBtACAAZAByAHkAbABvAHQAIABNAE0AUwBcACIALAAgAFwAIgBrAGcAIABOAFwAIgAsACAAXAAiAEMAYQBsAGMAdQBsAGEAdABlAGQAIABmAHIAbwBtACAANAAuADUALgAxAC4ANwAgACgAMgApAFwAIgA7AFwAbgAgACAAIAAgACAAIAAgACAAIAAgAFwAIgBFAEYAXwBsAGUAYQBjAGgAXAAiACwAIABcACIAZQBtAGkAcwBzAGkAbwBuACAAZgBhAGMAdABvAHIAIABmAG8AcgAgAGwAZQBhAGMAaABpAG4AZwAgAGEAbgBkACAAcgB1AG4AbwBmAGY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UAXwAxAF8ANwBfAF8AMgBfAE0AYQBzAHMATwBmAE4AaQB0AHIAbwBnAGUAbgBMAG8AcwB0AFQAbwBMAGUAYQBjAGgAaQBuAGcAQQBuAGQAUgB1AG4AbwBmAGYARgByAG8AbQBEAHIAeQBsAG8AdABNAE0AUwBcAG4ATQBhAHMAcwAgAG8AZgAgAG4AaQB0AHIAbwBnAGUAbgAgAGwAbwBzAHQAIAB0AG8AIABsAGUAYQBjAGgAaQBuAGcAIABhAG4AZAAgAHIAdQBuAG8AZgBmACAAZgByAG8AbQAgAGQAcgB5AGwAbwB0ACAATQBNAFMAXABuAE0ATgBMAGUAYQBjAGgAXwBqAG0ANQBcAG4AawBnACAATgBcAG4ATQBOAEwAZQBhAGMAaABfAHsAagBtAD0ANQB9AD0ATQBOAF8AewBqAG0APQA1ACwAVAA9ADEAfQBcAFwAdABpAG0AZQBzACAARgByAGEAYwBXAEUAVABcAFwAdABpAG0AZQBzACAARgByAGEAYwBMAEUAQQBDAEgAXwB7AE0AUwB9AFwAbgBNAE4AXwBqAG0ANQBUADEAIAA9ACAAbgBpAHQAcgBvAGcAZQBuACAAaQBuACAAdAByAGUAYQB0AG0AZQBuAHQAIABzAHQAYQBnAGUAIAAxACAAZAByAHkAbABvAHQAIABNAE0AUwAgACgAawBnACAATgApAFwAbgBGAHIAYQBjAFcARQBUACAAPQAgAGYAcgBhAGMAdABpAG8AbgAgAG8AZgAgAE4AIABhAHYAYQBpAGwAYQBiAGwAZQAgAGYAbwByACAAbABlAGEAYwBoAGkAbgBnACAAYQBuAGQAIAByAHUAbgBvAGYAZgBcAG4ARgByAGEAYwBMAEUAQQBDAEgAXwBNAFMAIAA9ACAAZgByAGEAYwB0AGkAbwBuACAAbwBmACAATgAgAGwAbwBzAHQAIAB0AGgAcgBvAHUAZwBoACAAbABlAGEAYwBoAGkAbgBnACAAYQBuAGQAIAByAHUAbgBvAGYAZgBcAG4ALQAtAC0ALQAtAC0ALQAtAC0ALQAtAC0ALQAtAC0ALQAtAC0ALQAtAC0ALQAtAC0ALQAtAC0ALQAtAC0ALQAtAC0ALQAtAC0ALQAtAFwAbgAqAC8AXABuAFwAbgBWAEUARQBSAEcAXwA0AF8ANQBfADEAXwA3AF8AXwAyAF8ATQBhAHMAcwBPAGYATgBpAHQAcgBvAGcAZQBuAEwAbwBzAHQAVABvAEwAZQBhAGMAaABpAG4AZwBBAG4AZABSAHUAbgBvAGYAZgBGAHIAbwBtAEQAcgB5AGwAbwB0AE0ATQBTAFwAbgAgACAAPQBMAEEATQBCAEQAQQAoAFwAbgAgACAAIAAgAE0ATgBfAGoAbQA1AFQAMQAsACAARgByAGEAYwBXAEUAVAAsACAARgByAGEAYwBMAEUAQQBDAEgAXwBNAFMALABcAG4AIAAgACAAIABNAE4AXwBqAG0ANQBUADEAIAAqACAARgByAGEAYwBXAEUAVAAgACoAIABGAHIAYQBjAEwARQBBAEMASABfAE0AUwBcAG4AIAAgACkAOwBcAG4AXABuAFYARQBFAFIARwBfADQAXwA1AF8AMQBfADcAXwBfADIAXwBNAGEAcwBzAE8AZgBOAGkAdAByAG8AZwBlAG4ATABvAHMAdABUAG8ATABlAGEAYwBoAGkAbgBnAEEAbgBkAFIAdQBuAG8AZgBmAEYAcgBvAG0ARAByAHkAbABvAHQATQBNAFMAXwBUAGkAdABsAGUAXABuACAAIAA9AEwAQQBNAEIARABBACgAXAAiAE0AYQBzAHMAIABvAGYAIABuAGkAdAByAG8AZwBlAG4AIABsAG8AcwB0ACAAdABvACAAbABlAGEAYwBoAGkAbgBnACAAYQBuAGQAIAByAHUAbgBvAGYAZgAgAGYAcgBvAG0AIABkAHIAeQBsAG8AdAAgAE0ATQBTAFwAIgApADsAXABuAFwAbgBWAEUARQBSAEcAXwA0AF8ANQBfADEAXwA3AF8AXwAyAF8ATQBhAHMAcwBPAGYATgBpAHQAcgBvAGcAZQBuAEwAbwBzAHQAVABvAEwAZQBhAGMAaABpAG4AZwBBAG4AZABSAHUAbgBvAGYAZgBGAHIAbwBtAEQAcgB5AGwAbwB0AE0ATQBTAF8AVgBhAHIAaQBhAGIAbABlAFwAbgAgACAAPQBMAEEATQBCAEQAQQAoAFwAIgBNAE4ATABlAGEAYwBoAF8AagBtADUAXAAiACkAOwBcAG4AXABuAFYARQBFAFIARwBfADQAXwA1AF8AMQBfADcAXwBfADIAXwBNAGEAcwBzAE8AZgBOAGkAdAByAG8AZwBlAG4ATABvAHMAdABUAG8ATABlAGEAYwBoAGkAbgBnAEEAbgBkAFIAdQBuAG8AZgBmAEYAcgBvAG0ARAByAHkAbABvAHQATQBNAFMAXwBVAG4AaQB0AFwAbgAgACAAPQBMAEEATQBCAEQAQQAoAFwAIgBrAGcAIABOAFwAIgApADsAXABuAFwAbgBWAEUARQBSAEcAXwA0AF8ANQBfADEAXwA3AF8AXwAyAF8ATQBhAHMAcwBPAGYATgBpAHQAcgBvAGcAZQBuAEwAbwBzAHQAVABvAEwAZQBhAGMAaABpAG4AZwBBAG4AZABSAHUAbgBvAGYAZgBGAHIAbwBtAEQAcgB5AGwAbwB0AE0ATQBTAF8AUwBvAHUAcgBjAGUAXABuACAAIAA9AEwAQQBNAEIARABBACgAXAAiAFYARQBFAFIARwAgADIAMAAyADYAOgAgADQALgA1AC4AMQAuADcALAAgAEUAcQB1AGEAdABpAG8AbgAgACgAMgApAFwAIgApADsAXABuAFwAbgBWAEUARQBSAEcAXwA0AF8ANQBfADEAXwA3AF8AXwAyAF8ATQBhAHMAcwBPAGYATgBpAHQAcgBvAGcAZQBuAEwAbwBzAHQAVABvAEwAZQBhAGMAaABpAG4AZwBBAG4AZABSAHUAbgBvAGYAZgBGAHIAbwBtAEQAcgB5AGwAbwB0AE0ATQBTAF8ATgBJAFIAUgBlAGYAZQByAGUAbgBjAGUAXABuACAAIAA9AEwAQQBNAEIARABBACgAXAAiAFwAIgApADsAXABuAFwAbgBWAEUARQBSAEcAXwA0AF8ANQBfADEAXwA3AF8AXwAyAF8ATQBhAHMAcwBPAGYATgBpAHQAcgBvAGcAZQBuAEwAbwBzAHQAVABvAEwAZQBhAGMAaABpAG4AZwBBAG4AZABSAHUAbgBvAGYAZgBGAHIAbwBtAEQAcgB5AGwAbwB0AE0ATQBTAF8ATABhAHQAZQB4AEUAcQB1AGEAdABpAG8AbgBcAG4AIAAgAD0ATABBAE0AQgBEAEEAKABcACIATQBOAEwAZQBhAGMAaABfAHsAagBtAD0ANQB9AD0ATQBOAF8AewBqAG0APQA1ACwAVAA9ADEAfQBcAFwAdABpAG0AZQBzACAARgByAGEAYwBXAEUAVABcAFwAdABpAG0AZQBzACAARgByAGEAYwBMAEUAQQBDAEgAXwB7AE0AUwB9AFwAIgApADsAXABuAFwAbgBWAEUARQBSAEcAXwA0AF8ANQBfADEAXwA3AF8AXwAyAF8ATQBhAHMAcwBPAGYATgBpAHQAcgBvAGcAZQBuAEwAbwBzAHQAVABvAEwAZQBhAGMAaABpAG4AZwBBAG4AZABSAHUAbgBvAGYAZgBGAHIAbwBtAEQAcgB5AGwAbwB0AE0ATQBTAF8AQQByAGcAdQBtAGUAbgB0AHMAXABuACAAIAA9AEwAQQBNAEIARABBACgAXABuACAAIAAgACAATQBBAEsARQBBAFIAUgBBAFkAKAA2ACwAIAA0ACwAXABuACAAIAAgACAAIAAgAEwAQQBNAEIARABBACgAcgAsAGMALABcAG4AIAAgACAAIAAgACAAIAAgAEkATgBEAEUAWAAoAHsAXABuACAAIAAgACAAIAAgACAAIAAgACAAXAAiAE0ATgBfAGoAbQA1AFQAMQBcACIALAAgAFwAIgBuAGkAdAByAG8AZwBlAG4AIABpAG4AIAB0AHIAZQBhAHQAbQBlAG4AdAAgAHMAdABhAGcAZQAgADEAIABkAHIAeQBsAG8AdAAgAE0ATQBTAFwAIgAsACAAXAAiAGsAZwAgAE4AXAAiACwAIABcACIAQwBhAGwAYwB1AGwAYQB0AGUAZAAgAGYAcgBvAG0AIAA0AC4ANQAuADEALgAzACAAKAAyACkAXAAiADsAXABuACAAIAAgACAAIAAgACAAIAAgACAAXAAiAEYAcgBhAGMAVwBFAFQAXAAiACwAIABcACIAZgByAGEAYwB0AGkAbwBuACAAbwBmACAATgAgAGEAdgBhAGkAbABhAGIAbABlACAAZgBvAHIAIABsAGUAYQBjAGgAaQBuAGcAIABhAG4AZAAgAHIAdQBuAG8AZgBmAFwAIgAsACAAXAAiAGYAcgBhAGMAdABpAG8AbgBcACIALAAgAFwAIgBDAG8AbgBzAHQAYQBuAHQAXAAiADsAXABuACAAIAAgACAAIAAgACAAIAAgACAAXAAiAEYAcgBhAGMATABFAEEAQwBIAF8ATQBTAFwAIgAsACAAXAAiAGYAcgBhAGMAdABpAG8AbgAgAG8AZgAgAE4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XABuAFwAbgBcAG4AIgB9ACwAewAiAHAAYQB0AGgAIgA6ACIALwBwAHIAbwBqAGUAYwB0AHMALwBNAE0AUwBfAFMAdwBpAG4AZQBfAE0AYQBuAHUAcgBlAEEAcABwAGwAaQBlAGQAVABvAFMAbwBpAGwAcwBfAEUAcQB1AGEAdABpAG8AbgBzACIALAAiAHQAZQB4AHQAIgA6ACIALwAqAFwAbgA9AD0APQA9AD0APQA9AD0APQA9AD0APQA9AD0APQA9AD0APQA9AD0APQA9AD0APQA9AD0APQA9AD0APQA9AD0APQA9AD0APQA9AD0APQA9AD0APQA9AD0APQA9AD0APQA9AD0APQA9AD0APQA9AD0APQA9AD0APQA9AD0APQA9AD0APQA9AD0APQA9AD0APQA9AD0APQA9AFwAbgA0AC4ANQA6ACAAUwB3AGkAbgBlAFwAbgA9AD0APQA9AD0APQA9AD0APQA9AD0APQA9AD0APQA9AD0APQA9AD0APQA9AD0APQA9AD0APQA9AD0APQA9AD0APQA9AD0APQA9AD0APQA9AD0APQA9AD0APQA9AD0APQA9AD0APQA9AD0APQA9AD0APQA9AD0APQA9AD0APQA9AD0APQA9AD0APQA9AD0APQA9AD0APQA9AFwAbgA0AC4ANQAuADEALgA5ACAATQBhAG4AdQByAGUAIABBAHAAcABsAGkAZQBkACAAdABvACAAUwBvAGkAbABz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OQBfAF8AMQBfAE0AYQBzAHMATwBmAE4AaQB0AHIAbwBnAGUAbgBBAHAAcABsAGkAZQBkAFQAbwBTAG8AaQBsAHMAUwBjAG8AcABlADEAXABuAE0AYQBzAHMAIABvAGYAIABuAGkAdAByAG8AZwBlAG4AIABhAHAAcABsAGkAZQBkACAAdABvACAAcwBvAGkAbABzACAAZgBvAHIAIABzAGMAbwBwAGUAIAAxACAAZQBtAGkAcwBzAGkAbwBuAHMAXABuAE0ATgBTAG8AaQBsAF8AcwBjAG8AcABlADEAXABuAGsAZwAgAE4AXABuAE0ATgBTAG8AaQBsAF8AewBzAGMAbwBwAGUAMQB9AD0AXABcAHMAdQBtAF8AewBqAH0AXABcAHMAdQBtAF8AewBtAH0AKABNAE4AXwB7AGoAbQBUAD0AMgB9AFwAXAB0AGkAbQBlAHMAKAAxAC0ARQBGAF8AewBtAFQAPQAyAH0ALQBGAHIAYQBjAEcAQQBTAE0AXwB7AG0AVAA9ADIAfQApAC0ATQBOAEwAZQBhAGMAaABfAHsAagBtAD0ANQB9ACkAXABcAHQAaQBtAGUAcwAgAFAARgBcAG4ATQBOAF8AagBtAFQAMgAgAD0AIABtAGEAcwBzACAAbwBmACAATgAgAGkAbgAgAE0ATQBTACAAYQB0ACAAdAByAGUAYQB0AG0AZQBuAHQAIABzAHQAYQBnAGUAIAAyACAAOgAgAGsAZwAgAE4AXABuAEUARgBfAG0AVAAyACAAPQAgAG4AaQB0AHIAbwB1AHMAIABvAHgAaQBkAGUAIABlAG0AaQBzAHMAaQBvAG4AIABmAGEAYwB0AG8AcgAgAGYAbwByACAAZQBhAGMAaAAgAE0ATQBTACAAYQB0ACAAdAByAGUAYQB0AG0AZQBuAHQAIABzAHQAYQBnAGUAIAAyACAAOgAgAGsAZwAgAE4AMgBPAC0ATgAvAGsAZwAgAE4AXABuAEYAcgBhAGMARwBBAFMATQBfAG0AVAAyACAAPQAgAGYAcgBhAGMAdABpAG8AbgAgAG8AZgAgAGEAbgBpAG0AYQBsACAAdwBhAHMAdABlACAATgAgAHYAbwBsAGEAdABpAGwAaQBzAGUAZAAgAGkAbgAgAGUAYQBjAGgAIABNAE0AUwAgAGEAdAAgAHQAcgBlAGEAdABtAGUAbgB0ACAAcwB0AGEAZwBlACAAMgAgADoAIAAoAGsAZwAgAE4ASAAzAC0ATgAgACsAIABOAE8AeAAtAE4AKQAvAGsAZwAgAE4AXABuAE0ATgBMAGUAYQBjAGgAXwBqAG0ANQAgAD0AIABtAGEAcwBzACAAbwBmACAATgAgAGwAbwBzAHQAIAB0AG8AIABsAGUAYQBjAGgAaQBuAGcAIABhAG4AZAAgAHIAdQBuAG8AZgBmACAAZgByAG8AbQAgAGQAcgB5AGwAbwB0ACAATQBNAFMAIAA6ACAAawBnACAATgBcAG4AUABGACAAPQAgAGYAcgBhAGMAdABpAG8AbgAgAG8AZgAgAG0AYQBuAHUAcgBlACAAYQBwAHAAbABpAGUAZAAgAHQAbwAgAHMAbwBpAGwAIAB3AGkAdABoAGkAbgAgAHQAaABlACAAcABpAGcAZwBlAHIAeQAgAGIAbwB1AG4AZABhAHIAeQAgADoAIABmAHIAYQBjAHQAaQBvAG4AXABuAC0ALQAtAC0ALQAtAC0ALQAtAC0ALQAtAC0ALQAtAC0ALQAtAC0ALQAtAC0ALQAtAC0ALQAtAC0ALQAtAC0ALQAtAC0ALQAtAC0ALQBcAG4AKgAvAFwAbgBcAG4AVgBFAEUAUgBHAF8ANABfADUAXwAxAF8AOQBfAF8AMQBfAE0AYQBzAHMATwBmAE4AaQB0AHIAbwBnAGUAbgBBAHAAcABsAGkAZQBkAFQAbwBTAG8AaQBsAHMAUwBjAG8AcABlADEAXABuACAAIAA9AEwAQQBNAEIARABBACgAXABuACAAIAAgACAATQBOAF8AagBtAFQAMgAsACAARQBGAF8AbQBUADIALAAgAEYAcgBhAGMARwBBAFMATQBfAG0AVAAyACwAIABNAE4ATABlAGEAYwBoAF8AagBtADUALAAgAFAARgAsAFwAbgAgACAAIAAgACgATQBOAF8AagBtAFQAMgAgACoAIAAoADEAIAAtACAARQBGAF8AbQBUADIAIAAtACAARgByAGEAYwBHAEEAUwBNAF8AbQBUADIAKQAgAC0AIABNAE4ATABlAGEAYwBoAF8AagBtADUAKQAgACoAIABQAEYAXABuACAAIAApADsAXABuAFwAbgBWAEUARQBSAEcAXwA0AF8ANQBfADEAXwA5AF8AXwAxAF8ATQBhAHMAcwBPAGYATgBpAHQAcgBvAGcAZQBuAEEAcABwAGwAaQBlAGQAVABvAFMAbwBpAGwAcwBTAGMAbwBwAGUAMQBfAFQAaQB0AGwAZQBcAG4AIAAgAD0ATABBAE0AQgBEAEEAKABcACIATQBhAHMAcwAgAG8AZgAgAG4AaQB0AHIAbwBnAGUAbgAgAGEAcABwAGwAaQBlAGQAIAB0AG8AIABzAG8AaQBsAHMAIABmAG8AcgAgAHMAYwBvAHAAZQAgADEAIABlAG0AaQBzAHMAaQBvAG4AcwBcACIAKQA7AFwAbgBcAG4AVgBFAEUAUgBHAF8ANABfADUAXwAxAF8AOQBfAF8AMQBfAE0AYQBzAHMATwBmAE4AaQB0AHIAbwBnAGUAbgBBAHAAcABsAGkAZQBkAFQAbwBTAG8AaQBsAHMAUwBjAG8AcABlADEAXwBWAGEAcgBpAGEAYgBsAGUAXABuACAAIAA9AEwAQQBNAEIARABBACgAXAAiAE0ATgBTAG8AaQBsAF8AcwBjAG8AcABlADEAXAAiACkAOwBcAG4AXABuAFYARQBFAFIARwBfADQAXwA1AF8AMQBfADkAXwBfADEAXwBNAGEAcwBzAE8AZgBOAGkAdAByAG8AZwBlAG4AQQBwAHAAbABpAGUAZABUAG8AUwBvAGkAbABzAFMAYwBvAHAAZQAxAF8AVQBuAGkAdABcAG4AIAAgAD0ATABBAE0AQgBEAEEAKABcACIAawBnACAATgBcACIAKQA7AFwAbgBcAG4AVgBFAEUAUgBHAF8ANABfADUAXwAxAF8AOQBfAF8AMQBfAE0AYQBzAHMATwBmAE4AaQB0AHIAbwBnAGUAbgBBAHAAcABsAGkAZQBkAFQAbwBTAG8AaQBsAHMAUwBjAG8AcABlADEAXwBTAG8AdQByAGMAZQBcAG4AIAAgAD0ATABBAE0AQgBEAEEAKABcACIAVgBFAEUAUgBHACAAMgAwADIANgA6ACAANAAuADUALgAxAC4AOQAsACAARQBxAHUAYQB0AGkAbwBuACAAKAAxACkAXAAiACkAOwBcAG4AXABuAFYARQBFAFIARwBfADQAXwA1AF8AMQBfADkAXwBfADEAXwBNAGEAcwBzAE8AZgBOAGkAdAByAG8AZwBlAG4AQQBwAHAAbABpAGUAZABUAG8AUwBvAGkAbABzAFMAYwBvAHAAZQAxAF8ATgBJAFIAUgBlAGYAZQByAGUAbgBjAGUAXABuACAAIAA9AEwAQQBNAEIARABBACgAXAAiAFwAIgApADsAXABuAFwAbgBWAEUARQBSAEcAXwA0AF8ANQBfADEAXwA5AF8AXwAxAF8ATQBhAHMAcwBPAGYATgBpAHQAcgBvAGcAZQBuAEEAcABwAGwAaQBlAGQAVABvAFMAbwBpAGwAcwBTAGMAbwBwAGUAMQBfAEwAYQB0AGUAeABFAHEAdQBhAHQAaQBvAG4AXABuACAAIAA9AEwAQQBNAEIARABBACgAXAAiAE0ATgBTAG8AaQBsAF8AewBzAGMAbwBwAGUAMQB9AD0AXABcAHMAdQBtAF8AewBqAH0AXABcAHMAdQBtAF8AewBtAH0AKABNAE4AXwB7AGoAbQBUAD0AMgB9AFwAXAB0AGkAbQBlAHMAKAAxAC0ARQBGAF8AewBtAFQAPQAyAH0ALQBGAHIAYQBjAEcAQQBTAE0AXwB7AG0AVAA9ADIAfQApAC0ATQBOAEwAZQBhAGMAaABfAHsAagBtAD0ANQB9ACkAXABcAHQAaQBtAGUAcwAgAFAARgBcACIAKQA7AFwAbgBcAG4AVgBFAEUAUgBHAF8ANABfADUAXwAxAF8AOQBfAF8AMQBfAE0AYQBzAHMATwBmAE4AaQB0AHIAbwBnAGUAbgBBAHAAcABsAGkAZQBkAFQAbwBTAG8AaQBsAHMAUwBjAG8AcABlADEAXwBBAHIAZwB1AG0AZQBuAHQAcwBcAG4AIAAgAD0ATABBAE0AQgBEAEEAKABcAG4AIAAgACAAIABNAEEASwBFAEEAUgBSAEEAWQAoADUALAAgADQALABcAG4AIAAgACAAIAAgACAATABBAE0AQgBEAEEAKAByACwAYwAsAFwAbgAgACAAIAAgACAAIAAgACAASQBOAEQARQBYACgAewBcAG4AIAAgACAAIAAgACAAIAAgACAAIABcACIATQBOAF8AagBtAFQAMgBcACIALABcACIAbQBhAHMAcwAgAG8AZgAgAE4AIABpAG4AIABNAE0AUwAgAGEAdAAgAHQAcgBlAGEAdABtAGUAbgB0ACAAcwB0AGEAZwBlACAAMgBcACIALAAgAFwAIgBrAGcAIABOAFwAIgAsACAAXAAiAEMAYQBsAGMAdQBsAGEAdABlAGQAIABmAHIAbwBtACAANAAuADUALgAxAC4AMwAgACgANgApAFwAIgA7AFwAbgAgACAAIAAgACAAIAAgACAAIAAgAFwAIgBFAEYAXwBtAFQAMgBcACIALABcACIAbgBpAHQAcgBvAHUAcwAgAG8AeABpAGQAZQAgAGUAbQBpAHMAcwBpAG8AbgAgAGYAYQBjAHQAbwByACAAZgBvAHIAIABlAGEAYwBoACAATQBNAFMAIABhAHQAIAB0AHIAZQBhAHQAbQBlAG4AdAAgAHMAdABhAGcAZQAgADIAXAAiACwAIABcACIAawBnACAATgAyAE8ALQBOAC8AawBnACAATgBcACIALAAgAFwAIgBDAG8AbgBzAHQAYQBuAHQAXAAiADsAXABuACAAIAAgACAAIAAgACAAIAAgACAAXAAiAEYAcgBhAGMARwBBAFMATQBfAG0AVAAyAFwAIgAsAFwAIgBmAHIAYQBjAHQAaQBvAG4AIABvAGYAIABhAG4AaQBtAGEAbAAgAHcAYQBzAHQAZQAgAE4AIAB2AG8AbABhAHQAaQBsAGkAcwBlAGQAIABpAG4AIABlAGEAYwBoACAATQBNAFMAIABhAHQAIAB0AHIAZQBhAHQAbQBlAG4AdAAgAHMAdABhAGcAZQAgADIAXAAiACwAIABcACIAKABrAGcAIABOAEgAMwAtAE4AIAArACAATgBPAHgALQBOACkALwBrAGcAIABOAFwAIgAsACAAXAAiAEMAbwBuAHMAdABhAG4AdABcACIAOwBcAG4AIAAgACAAIAAgACAAIAAgACAAIABcACIATQBOAEwAZQBhAGMAaABfAGoAbQA1AFwAIgAsAFwAIgBtAGEAcwBzACAAbwBmACAATgAgAGwAbwBzAHQAIAB0AG8AIABsAGUAYQBjAGgAaQBuAGcAIABhAG4AZAAgAHIAdQBuAG8AZgBmACAAZgByAG8AbQAgAGQAcgB5AGwAbwB0ACAATQBNAFMAXAAiACwAIABcACIAawBnACAATgBcACIALAAgAFwAIgBDAGEAbABjAHUAbABhAHQAZQBkACAAZgByAG8AbQAgADQALgA1AC4AMQAuADcAIAAoADIAKQBcACIAOwBcAG4AIAAgACAAIAAgACAAIAAgACAAIABcACIAUABGAFwAIgAsAFwAIgBmAHIAYQBjAHQAaQBvAG4AIABvAGYAIABtAGEAbgB1AHIAZQAgAGEAcABwAGwAaQBlAGQAIAB0AG8AIABzAG8AaQBsACAAdwBpAHQAaABpAG4AIAB0AGgAZQAgAHAAaQBnAGcAZQByAHkAIABiAG8AdQBuAGQAYQByAHk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QBfADEAXwA5AF8AXwAyAF8ATQBhAHMAcwBPAGYATgBpAHQAcgBvAGcAZQBuAEEAcABwAGwAaQBlAGQAVABvAFMAbwBpAGwAcwBTAGMAbwBwAGUAMwBcAG4ATQBhAHMAcwAgAG8AZgAgAG4AaQB0AHIAbwBnAGUAbgAgAGEAcABwAGwAaQBlAGQAIAB0AG8AIABzAG8AaQBsAHMAIABmAG8AcgAgAHMAYwBvAHAAZQAgADMAIABlAG0AaQBzAHMAaQBvAG4AcwBcAG4ATQBOAFMAbwBpAGwAXwBzAGMAbwBwAGUAMwBcAG4AawBnACAATgBcAG4ATQBOAFMAbwBpAGwAXwB7AHMAYwBvAHAAZQAzAH0APQBcAFwAcwB1AG0AXwB7AGoAfQBcAFwAcwB1AG0AXwB7AG0AfQAoAE0ATgBfAHsAagBtAFQAPQAyAH0AXABcAHQAaQBtAGUAcwAoADEALQBFAEYAXwB7AG0AVAA9ADIAfQAtAEYAcgBhAGMARwBBAFMATQBfAHsAbQBUAD0AMgB9ACkALQBNAE4ATABlAGEAYwBoAF8AewBqAG0APQA1AH0AKQBcAFwAdABpAG0AZQBzACgAMQAtAFAARgApAFwAbgBNAE4AXwBqAG0AVAAyACAAPQAgAG0AYQBzAHMAIABvAGYAIABOACAAaQBuACAATQBNAFMAIABhAHQAIAB0AHIAZQBhAHQAbQBlAG4AdAAgAHMAdABhAGcAZQAgADIAIAA6ACAAawBnACAATgBcAG4ARQBGAF8AbQBUADIAIAA9ACAAbgBpAHQAcgBvAHUAcwAgAG8AeABpAGQAZQAgAGUAbQBpAHMAcwBpAG8AbgAgAGYAYQBjAHQAbwByACAAZgBvAHIAIABlAGEAYwBoACAATQBNAFMAIABhAHQAIAB0AHIAZQBhAHQAbQBlAG4AdAAgAHMAdABhAGcAZQAgADIAIAA6ACAAawBnACAATgAyAE8ALQBOAC8AawBnACAATgBcAG4ARgByAGEAYwBHAEEAUwBNAF8AbQBUADIAIAA9ACAAZgByAGEAYwB0AGkAbwBuACAAbwBmACAAYQBuAGkAbQBhAGwAIAB3AGEAcwB0AGUAIABOACAAdgBvAGwAYQB0AGkAbABpAHMAZQBkACAAaQBuACAAZQBhAGMAaAAgAE0ATQBTACAAYQB0ACAAdAByAGUAYQB0AG0AZQBuAHQAIABzAHQAYQBnAGUAIAAyACAAOgAgACgAawBnACAATgBIADMALQBOACAAKwAgAE4ATwB4AC0ATgApAC8AawBnACAATgBcAG4ATQBOAEwAZQBhAGMAaABfAGoAbQA1ACAAPQAgAG0AYQBzAHMAIABvAGYAIABOACAAbABvAHMAdAAgAHQAbwAgAGwAZQBhAGMAaABpAG4AZwAgAGEAbgBkACAAcgB1AG4AbwBmAGYAIABmAHIAbwBtACAAZAByAHkAbABvAHQAIABNAE0AUwAgADoAIABrAGcAIABOAFwAbgBQAEYAIAA9ACAAZgByAGEAYwB0AGkAbwBuACAAbwBmACAAbQBhAG4AdQByAGUAIABhAHAAcABsAGkAZQBkACAAdABvACAAcwBvAGkAbAAgAHcAaQB0AGgAaQBuACAAdABoAGUAIABwAGkAZwBnAGUAcgB5ACAAYgBvAHUAbgBkAGEAcgB5ACAAOgAgAGYAcgBhAGMAdABpAG8AbgBcAG4ALQAtAC0ALQAtAC0ALQAtAC0ALQAtAC0ALQAtAC0ALQAtAC0ALQAtAC0ALQAtAC0ALQAtAC0ALQAtAC0ALQAtAC0ALQAtAC0ALQAtAFwAbgAqAC8AXABuAFwAbgBWAEUARQBSAEcAXwA0AF8ANQBfADEAXwA5AF8AXwAyAF8ATQBhAHMAcwBPAGYATgBpAHQAcgBvAGcAZQBuAEEAcABwAGwAaQBlAGQAVABvAFMAbwBpAGwAcwBTAGMAbwBwAGUAMwBcAG4AIAAgAD0ATABBAE0AQgBEAEEAKABcAG4AIAAgACAAIABNAE4AXwBqAG0AVAAyACwAIABFAEYAXwBtAFQAMgAsACAARgByAGEAYwBHAEEAUwBNAF8AbQBUADIALAAgAE0ATgBMAGUAYQBjAGgAXwBqAG0ANQAsACAAUABGACwAXABuACAAIAAgACAAKABNAE4AXwBqAG0AVAAyACAAKgAgACgAMQAgAC0AIABFAEYAXwBtAFQAMgAgAC0AIABGAHIAYQBjAEcAQQBTAE0AXwBtAFQAMgApACAALQAgAE0ATgBMAGUAYQBjAGgAXwBqAG0ANQApACAAKgAgACgAMQAgAC0AIABQAEYAKQBcAG4AIAAgACkAOwBcAG4AXABuAFYARQBFAFIARwBfADQAXwA1AF8AMQBfADkAXwBfADIAXwBNAGEAcwBzAE8AZgBOAGkAdAByAG8AZwBlAG4AQQBwAHAAbABpAGUAZABUAG8AUwBvAGkAbABzAFMAYwBvAHAAZQAzAF8AVABpAHQAbABlAFwAbgAgACAAPQBMAEEATQBCAEQAQQAoAFwAIgBNAGEAcwBzACAAbwBmACAAbgBpAHQAcgBvAGcAZQBuACAAYQBwAHAAbABpAGUAZAAgAHQAbwAgAHMAbwBpAGwAcwAgAGYAbwByACAAcwBjAG8AcABlACAAMwAgAGUAbQBpAHMAcwBpAG8AbgBzAFwAIgApADsAXABuAFwAbgBWAEUARQBSAEcAXwA0AF8ANQBfADEAXwA5AF8AXwAyAF8ATQBhAHMAcwBPAGYATgBpAHQAcgBvAGcAZQBuAEEAcABwAGwAaQBlAGQAVABvAFMAbwBpAGwAcwBTAGMAbwBwAGUAMwBfAFYAYQByAGkAYQBiAGwAZQBcAG4AIAAgAD0ATABBAE0AQgBEAEEAKABcACIATQBOAFMAbwBpAGwAXwBzAGMAbwBwAGUAMwBcACIAKQA7AFwAbgBcAG4AVgBFAEUAUgBHAF8ANABfADUAXwAxAF8AOQBfAF8AMgBfAE0AYQBzAHMATwBmAE4AaQB0AHIAbwBnAGUAbgBBAHAAcABsAGkAZQBkAFQAbwBTAG8AaQBsAHMAUwBjAG8AcABlADMAXwBVAG4AaQB0AFwAbgAgACAAPQBMAEEATQBCAEQAQQAoAFwAIgBrAGcAIABOAFwAIgApADsAXABuAFwAbgBWAEUARQBSAEcAXwA0AF8ANQBfADEAXwA5AF8AXwAyAF8ATQBhAHMAcwBPAGYATgBpAHQAcgBvAGcAZQBuAEEAcABwAGwAaQBlAGQAVABvAFMAbwBpAGwAcwBTAGMAbwBwAGUAMwBfAFMAbwB1AHIAYwBlAFwAbgAgACAAPQBMAEEATQBCAEQAQQAoAFwAIgBWAEUARQBSAEcAIAAyADAAMgA2ADoAIAA0AC4ANQAuADEALgA5ACwAIABFAHEAdQBhAHQAaQBvAG4AIAAoADIAKQBcACIAKQA7AFwAbgBcAG4AVgBFAEUAUgBHAF8ANABfADUAXwAxAF8AOQBfAF8AMgBfAE0AYQBzAHMATwBmAE4AaQB0AHIAbwBnAGUAbgBBAHAAcABsAGkAZQBkAFQAbwBTAG8AaQBsAHMAUwBjAG8AcABlADMAXwBOAEkAUgBSAGUAZgBlAHIAZQBuAGMAZQBcAG4AIAAgAD0ATABBAE0AQgBEAEEAKABcACIAXAAiACkAOwBcAG4AXABuAFYARQBFAFIARwBfADQAXwA1AF8AMQBfADkAXwBfADIAXwBNAGEAcwBzAE8AZgBOAGkAdAByAG8AZwBlAG4AQQBwAHAAbABpAGUAZABUAG8AUwBvAGkAbABzAFMAYwBvAHAAZQAzAF8ATABhAHQAZQB4AEUAcQB1AGEAdABpAG8AbgBcAG4AIAAgAD0ATABBAE0AQgBEAEEAKABcACIATQBOAFMAbwBpAGwAXwB7AHMAYwBvAHAAZQAzAH0APQBcAFwAcwB1AG0AXwB7AGoAfQBcAFwAcwB1AG0AXwB7AG0AfQAoAE0ATgBfAHsAagBtAFQAPQAyAH0AXABcAHQAaQBtAGUAcwAoADEALQBFAEYAXwB7AG0AVAA9ADIAfQAtAEYAcgBhAGMARwBBAFMATQBfAHsAbQBUAD0AMgB9ACkALQBNAE4ATABlAGEAYwBoAF8AewBqAG0APQA1AH0AKQBcAFwAdABpAG0AZQBzACgAMQAtAFAARgApAFwAIgApADsAXABuAFwAbgBWAEUARQBSAEcAXwA0AF8ANQBfADEAXwA5AF8AXwAyAF8ATQBhAHMAcwBPAGYATgBpAHQAcgBvAGcAZQBuAEEAcABwAGwAaQBlAGQAVABvAFMAbwBpAGwAcwBTAGMAbwBwAGUAMwBfAEEAcgBnAHUAbQBlAG4AdABzAFwAbgAgACAAPQBMAEEATQBCAEQAQQAoAFwAbgAgACAAIAAgAE0AQQBLAEUAQQBSAFIAQQBZACgANQAsACAANAAsAFwAbgAgACAAIAAgACAAIABMAEEATQBCAEQAQQAoAHIALABjACwAXABuACAAIAAgACAAIAAgACAAIABJAE4ARABFAFgAKAB7AFwAbgAgACAAIAAgACAAIAAgACAAIAAgAFwAIgBNAE4AXwBqAG0AVAAyAFwAIgAsAFwAIgBtAGEAcwBzACAAbwBmACAATgAgAGkAbgAgAE0ATQBTACAAYQB0ACAAdAByAGUAYQB0AG0AZQBuAHQAIABzAHQAYQBnAGUAIAAyAFwAIgAsACAAXAAiAGsAZwAgAE4AXAAiACwAIABcACIAQwBhAGwAYwB1AGwAYQB0AGUAZAAgAGYAcgBvAG0AIAA0AC4ANQAuADEALgAzACAAKAA2ACkAXAAiADsAXABuACAAIAAgACAAIAAgACAAIAAgACAAXAAiAEUARgBfAG0AVAAyAFwAIgAsAFwAIgBuAGkAdAByAG8AdQBzACAAbwB4AGkAZABlACAAZQBtAGkAcwBzAGkAbwBuACAAZgBhAGMAdABvAHIAIABmAG8AcgAgAGUAYQBjAGgAIABNAE0AUwAgAGEAdAAgAHQAcgBlAGEAdABtAGUAbgB0ACAAcwB0AGEAZwBlACAAMgBcACIALAAgAFwAIgBrAGcAIABOADIATwAtAE4ALwBrAGcAIABOAFwAIgAsACAAXAAiAEMAbwBuAHMAdABhAG4AdABcACIAOwBcAG4AIAAgACAAIAAgACAAIAAgACAAIABcACIARgByAGEAYwBHAEEAUwBNAF8AbQBUADIAXAAiACwAXAAiAGYAcgBhAGMAdABpAG8AbgAgAG8AZgAgAGEAbgBpAG0AYQBsACAAdwBhAHMAdABlACAATgAgAHYAbwBsAGEAdABpAGwAaQBzAGUAZAAgAGkAbgAgAGUAYQBjAGgAIABNAE0AUwAgAGEAdAAgAHQAcgBlAGEAdABtAGUAbgB0ACAAcwB0AGEAZwBlACAAMgBcACIALAAgAFwAIgAoAGsAZwAgAE4ASAAzAC0ATgAgACsAIABOAE8AeAAtAE4AKQAvAGsAZwAgAE4AXAAiACwAIABcACIAQwBvAG4AcwB0AGEAbgB0AFwAIgA7AFwAbgAgACAAIAAgACAAIAAgACAAIAAgAFwAIgBNAE4ATABlAGEAYwBoAF8AagBtADUAXAAiACwAXAAiAG0AYQBzAHMAIABvAGYAIABOACAAbABvAHMAdAAgAHQAbwAgAGwAZQBhAGMAaABpAG4AZwAgAGEAbgBkACAAcgB1AG4AbwBmAGYAIABmAHIAbwBtACAAZAByAHkAbABvAHQAIABNAE0AUwBcACIALAAgAFwAIgBrAGcAIABOAFwAIgAsACAAXAAiAEMAYQBsAGMAdQBsAGEAdABlAGQAIABmAHIAbwBtACAANAAuADUALgAxAC4ANwAgACgAMgApAFwAIgA7AFwAbgAgACAAIAAgACAAIAAgACAAIAAgAFwAIgBQAEYAXAAiACwAXAAiAGYAcgBhAGMAdABpAG8AbgAgAG8AZgAgAG0AYQBuAHUAcgBlACAAYQBwAHAAbABpAGUAZAAgAHQAbwAgAHMAbwBpAGwAIAB3AGkAdABoAGkAbgAgAHQAaABlACAAcABpAGcAZwBlAHIAeQAgAGIAbwB1AG4AZABhAHIAeQBcACIALAAgAFwAIgBmAHIAYQBjAHQAaQBvAG4AXAAiACwAIABcACIASQBuAHAAdQB0AFwAIgBcAG4AIAAgACAAIAAgACAAIAAgAH0ALAAgAHIALAAgAGMAKQBcAG4AIAAgACAAIAAgACAAKQBcAG4AIAAgACAAIAApAFwAbgAgACAAKQA7AFwAbgAiAH0ALAB7ACIAcABhAHQAaAAiADoAIgAvAHAAcgBvAGoAZQBjAHQAcwAvAE0ATQBTAF8AUABvAHUAbAB0AHIAeQ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zACAATQBlAHQAaABvAGQAIAAxACAALQAgAE0AYQBuAHUAcgBlACAARABpAHIAZQBjAHQ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zAF8AXwAxAF8AVABvAHQAYQBsAEEAbgBuAHUAYQBsAEQAaQByAGUAYwB0AE4AaQB0AHIAbwB1AHMATwB4AGkAZABlAEUAbQBpAHMAcwBpAG8AbgBzAEYAcgBvAG0ATQBNAFMAXABuAFQAbwB0AGEAbAAgAGEAbgBuAHUAYQBsACAAZABpAHIAZQBjAHQAIABuAGkAdAByAG8AdQBzACAAbwB4AGkAZABlACAAZQBtAGkAcwBzAGkAbwBuAHMAIABmAHIAbwBtACAAbQBhAG4AdQByAGUAIABtAGEAbgBhAGcAZQBtAGUAbgB0ACAAcwB5AHMAdABlAG0AcwBcAG4ARQBfAE4AMgBPAGQAaQByAFwAbgB0ACAATgAyAE8AXABuAEUAXwB7AE4AMgBPACwAZABpAHIAfQA9AFwAXABzAHUAbQBfAHsAagB9AFwAXABzAHUAbQBfAHsAawB9AFwAXABzAHUAbQBfAHsAbQB9AFwAXABzAHUAbQBfAHsAVAB9ACgATQBOAF8AewBqAGsAbQBUAH0AXABcAHQAaQBtAGUAcwAgAEUARgBfAHsAagBtAH0AXABcAHQAaQBtAGUAcwAgAEMAXwB7AE4AMgBPAH0AKQBcAFwAdABpAG0AZQBzADEAMABeAHsALQAzAH0AXABuAE0ATgBfAGoAawBtAFQAIAA9ACAAbgBpAHQAcgBvAGcAZQBuACAAcABlAHIAIABwAG8AdQBsAHQAcgB5ACAAYwBsAGEAcwBzACwAIABzAHUAYgBjAGwAYQBzAHMALAAgAE0ATQBTACAAYQBuAGQAIAB0AHIAZQBhAHQAbQBlAG4AdAAgAHMAdABhAGcAZQAgADoAIABrAGcAIABOAFwAbgBFAEYAXwBqAG0AIAA9ACAAbgBpAHQAcgBvAHUAcwAgAG8AeABpAGQAZQAgAGUAbQBpAHMAcwBpAG8AbgAgAGYAYQBjAHQAbwByACAAZgBvAHIAIABNAE0AUwAgADoAIABrAGcAIABOADIATwAtAE4ALwBrAGcAIABOAFwAbgBDAF8ATgAyAE8AIAA9ACAAZgBhAGMAdABvAHIAIAB0AG8AIABjAG8AbgB2AGUAcgB0ACAAZQBsAGUAbQBlAG4AdABhAGwAIABtAGEAcwBzACAAbwBmACAAbgBpAHQAcgBvAHUAcwAgAG8AeABpAGQAZQAgAHQAbwAgAG0AbwBsAGUAYwB1AGwAYQByACAAbQBhAHMAcwAgADoAIAByAGEAdABpAG8AXABuAC0ALQAtAC0ALQAtAC0ALQAtAC0ALQAtAC0ALQAtAC0ALQAtAC0ALQAtAC0ALQAtAC0ALQAtAC0ALQAtAC0ALQAtAC0ALQAtAC0ALQBcAG4AKgAvAFwAbgBcAG4AVgBFAEUAUgBHAF8ANABfADYAXwAxAF8AMwBfAF8AMQBfAFQAbwB0AGEAbABBAG4AbgB1AGEAbABEAGkAcgBlAGMAdABOAGkAdAByAG8AdQBzAE8AeABpAGQAZQBFAG0AaQBzAHMAaQBvAG4AcwBGAHIAbwBtAE0ATQBTAFwAbgAgACAAPQBMAEEATQBCAEQAQQAoAFwAbgAgACAAIAAgAE0ATgBfAGoAawBtAFQALAAgAEUARgBfAGoAbQAsACAAQwBfAE4AMgBPACwAXABuACAAIAAgACAATQBOAF8AagBrAG0AVAAgACoAIABFAEYAXwBqAG0AIAAqACAAQwBfAE4AMgBPACAAKgAgADEAMAAgAF4AIAAtADMAXABuACAAIAApADsAXABuAFwAbgBWAEUARQBSAEcAXwA0AF8ANgBfADEAXwAzAF8AXwAxAF8AVABvAHQAYQBsAEEAbgBuAHUAYQBsAEQAaQByAGUAYwB0AE4AaQB0AHIAbwB1AHMATwB4AGkAZABlAEUAbQBpAHMAcwBpAG8AbgBzAEYAcgBvAG0ATQBNAFMAXwBUAGkAdABsAGUAXABuACAAIAA9AEwAQQBNAEIARABBACgAXAAiAFQAbwB0AGEAbAAgAGEAbgBuAHUAYQBsACAAZABpAHIAZQBjAHQAIABuAGkAdAByAG8AdQBzACAAbwB4AGkAZABlACAAZQBtAGkAcwBzAGkAbwBuAHMAIABmAHIAbwBtACAAbQBhAG4AdQByAGUAIABtAGEAbgBhAGcAZQBtAGUAbgB0ACAAcwB5AHMAdABlAG0AcwBcACIAKQA7AFwAbgBcAG4AVgBFAEUAUgBHAF8ANABfADYAXwAxAF8AMwBfAF8AMQBfAFQAbwB0AGEAbABBAG4AbgB1AGEAbABEAGkAcgBlAGMAdABOAGkAdAByAG8AdQBzAE8AeABpAGQAZQBFAG0AaQBzAHMAaQBvAG4AcwBGAHIAbwBtAE0ATQBTAF8AVgBhAHIAaQBhAGIAbABlAFwAbgAgACAAPQBMAEEATQBCAEQAQQAoAFwAIgBFAF8ATgAyAE8AZABpAHIAXAAiACkAOwBcAG4AXABuAFYARQBFAFIARwBfADQAXwA2AF8AMQBfADMAXwBfADEAXwBUAG8AdABhAGwAQQBuAG4AdQBhAGwARABpAHIAZQBjAHQATgBpAHQAcgBvAHUAcwBPAHgAaQBkAGUARQBtAGkAcwBzAGkAbwBuAHMARgByAG8AbQBNAE0AUwBfAFUAbgBpAHQAXABuACAAIAA9AEwAQQBNAEIARABBACgAXAAiAHQAIABOADIATwBcACIAKQA7AFwAbgBcAG4AVgBFAEUAUgBHAF8ANABfADYAXwAxAF8AMwBfAF8AMQBfAFQAbwB0AGEAbABBAG4AbgB1AGEAbABEAGkAcgBlAGMAdABOAGkAdAByAG8AdQBzAE8AeABpAGQAZQBFAG0AaQBzAHMAaQBvAG4AcwBGAHIAbwBtAE0ATQBTAF8AUwBvAHUAcgBjAGUAXABuACAAIAA9AEwAQQBNAEIARABBACgAXAAiAFYARQBFAFIARwAgADIAMAAyADYAOgAgADQALgA2AC4AMQAuADMALAAgAEUAcQB1AGEAdABpAG8AbgAgACgAMQApAFwAIgApADsAXABuAFwAbgBWAEUARQBSAEcAXwA0AF8ANgBfADEAXwAzAF8AXwAxAF8AVABvAHQAYQBsAEEAbgBuAHUAYQBsAEQAaQByAGUAYwB0AE4AaQB0AHIAbwB1AHMATwB4AGkAZABlAEUAbQBpAHMAcwBpAG8AbgBzAEYAcgBvAG0ATQBNAFMAXwBOAEkAUgBSAGUAZgBlAHIAZQBuAGMAZQBcAG4AIAAgAD0ATABBAE0AQgBEAEEAKABcACIAXAAiACkAOwBcAG4AXABuAFYARQBFAFIARwBfADQAXwA2AF8AMQBfADMAXwBfADEAXwBUAG8AdABhAGwAQQBuAG4AdQBhAGwARABpAHIAZQBjAHQATgBpAHQAcgBvAHUAcwBPAHgAaQBkAGUARQBtAGkAcwBzAGkAbwBuAHMARgByAG8AbQBNAE0AUwBfAEwAYQB0AGUAeABFAHEAdQBhAHQAaQBvAG4AXABuACAAIAA9AEwAQQBNAEIARABBACgAXAAiAEUAXwB7AE4AMgBPACwAZABpAHIAfQA9AFwAXABzAHUAbQBfAHsAagB9AFwAXABzAHUAbQBfAHsAawB9AFwAXABzAHUAbQBfAHsAbQB9AFwAXABzAHUAbQBfAHsAVAB9ACgATQBOAF8AewBqAGsAbQBUAH0AXABcAHQAaQBtAGUAcwAgAEUARgBfAHsAagBtAH0AXABcAHQAaQBtAGUAcwAgAEMAXwB7AE4AMgBPAH0AKQBcAFwAdABpAG0AZQBzADEAMABeAHsALQAzAH0AXAAiACkAOwBcAG4AXABuAFYARQBFAFIARwBfADQAXwA2AF8AMQBfADMAXwBfADEAXwBUAG8AdABhAGwAQQBuAG4AdQBhAGwARABpAHIAZQBjAHQATgBpAHQAcgBvAHUAcwBPAHgAaQBkAGUARQBtAGkAcwBzAGkAbwBuAHMARgByAG8AbQBNAE0AUwBfAEEAcgBnAHUAbQBlAG4AdABzAFwAbgAgACAAPQBMAEEATQBCAEQAQQAoAFwAbgAgACAAIAAgAE0AQQBLAEUAQQBSAFIAQQBZACgAMwAsACAANAAsAFwAbgAgACAAIAAgACAAIABMAEEATQBCAEQAQQAoAHIALABjACwAXABuACAAIAAgACAAIAAgACAAIABJAE4ARABFAFgAKAB7AFwAbgAgACAAIAAgACAAIAAgACAAIAAgAFwAIgBNAE4AXwBqAGsAbQBUAFwAIgAsAFwAIgBuAGkAdAByAG8AZwBlAG4AIABwAGUAcgAgAHAAbwB1AGwAdAByAHkAIABjAGwAYQBzAHMALAAgAHMAdQBiAGMAbABhAHMAcwAsACAATQBNAFMAIABhAG4AZAAgAHQAcgBlAGEAdABtAGUAbgB0ACAAcwB0AGEAZwBlAFwAIgAsACAAXAAiAGsAZwAgAE4AXAAiACwAIABcACIAQwBhAGwAYwB1AGwAYQB0AGUAZAAgAGYAcgBvAG0AIAA0AC4ANgAuADEALgAzACAAKAAyACkAKAA2ACkAXAAiADsAXABuACAAIAAgACAAIAAgACAAIAAgACAAXAAiAEUARgBfAGoAbQBcACIALABcACIAbgBpAHQAcgBvAHUAcwAgAG8AeABpAGQAZQAgAGUAbQBpAHMAcwBpAG8AbgAgAGYAYQBjAHQAbwByACAAZgBvAHIAIABNAE0AUw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HIAYQB0AGkAb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MgBfAFMAdABhAGcAZQAxAE4AaQB0AHIAbwBnAGUAbgBJAG4ATQBNAFMAXABuAE4AaQB0AHIAbwBnAGUAbgAgAGkAbgAgAHQAcgBlAGEAdABtAGUAbgB0ACAAcwB0AGEAZwBlACAAMQAgAE0ATQBTAFwAbgBNAE4AXwBqAGsAbQBUADEAXABuAGsAZwAgAE4AXABuAE0ATgBfAHsAagBrAG0ALABUAD0AMQB9AD0AQQBFAF8AewBqAGsAfQBcAFwAdABpAG0AZQBzACAATQBNAFMAXwB7AGoAbQAsAFQAPQAxAH0AXABuAEEARQBfAGoAawAgAD0AIAB0AG8AdABhAGwAIABuAGkAdAByAG8AZwBlAG4AIABlAHgAYwByAGUAdABlAGQAIABiAHkAIABlAGEAYwBoACAAcABvAHUAbAB0AHIAeQAgAGMAbABhAHMAcwAgAGEAbgBkACAAcwB1AGIAYwBsAGEAcwBzACAAOgAgAGsAZwAgAE4AXABuAE0ATQBTAF8AagBtAFQAMQAgAD0AIABmAHIAYQBjAHQAaQBvAG4AIABvAGYAIABtAGEAbgB1AHIAZQAgAGkAbgAgAGUAYQBjAGgAIABwAHIAaQBtAGEAcgB5ACAAcwB5AHMAdABlAG0AIAA6ACAAZgByAGEAYwB0AGkAbwBuAFwAbgAtAC0ALQAtAC0ALQAtAC0ALQAtAC0ALQAtAC0ALQAtAC0ALQAtAC0ALQAtAC0ALQAtAC0ALQAtAC0ALQAtAC0ALQAtAC0ALQAtAC0AXABuACoALwBcAG4AXABuAFYARQBFAFIARwBfADQAXwA2AF8AMQBfADMAXwBfADIAXwBTAHQAYQBnAGUAMQBOAGkAdAByAG8AZwBlAG4ASQBuAE0ATQBTAFwAbgAgACAAPQBMAEEATQBCAEQAQQAoAFwAbgAgACAAIAAgAEEARQBfAGoAawAsACAATQBNAFMAXwBqAG0AVAAxACwAXABuACAAIAAgACAAQQBFAF8AagBrACAAKgAgAE0ATQBTAF8AagBtAFQAMQBcAG4AIAAgACkAOwBcAG4AXABuAFYARQBFAFIARwBfADQAXwA2AF8AMQBfADMAXwBfADIAXwBTAHQAYQBnAGUAMQBOAGkAdAByAG8AZwBlAG4ASQBuAE0ATQBTAF8AVABpAHQAbABlAFwAbgAgACAAPQBMAEEATQBCAEQAQQAoAFwAIgBOAGkAdAByAG8AZwBlAG4AIABpAG4AIAB0AHIAZQBhAHQAbQBlAG4AdAAgAHMAdABhAGcAZQAgADEAIABNAE0AUwBcACIAKQA7AFwAbgBcAG4AVgBFAEUAUgBHAF8ANABfADYAXwAxAF8AMwBfAF8AMgBfAFMAdABhAGcAZQAxAE4AaQB0AHIAbwBnAGUAbgBJAG4ATQBNAFMAXwBWAGEAcgBpAGEAYgBsAGUAXABuACAAIAA9AEwAQQBNAEIARABBACgAXAAiAE0ATgBfAGoAawBtAFQAMQBcACIAKQA7AFwAbgBcAG4AVgBFAEUAUgBHAF8ANABfADYAXwAxAF8AMwBfAF8AMgBfAFMAdABhAGcAZQAxAE4AaQB0AHIAbwBnAGUAbgBJAG4ATQBNAFMAXwBVAG4AaQB0AFwAbgAgACAAPQBMAEEATQBCAEQAQQAoAFwAIgBrAGcAIABOAFwAIgApADsAXABuAFwAbgBWAEUARQBSAEcAXwA0AF8ANgBfADEAXwAzAF8AXwAyAF8AUwB0AGEAZwBlADEATgBpAHQAcgBvAGcAZQBuAEkAbgBNAE0AUwBfAFMAbwB1AHIAYwBlAFwAbgAgACAAPQBMAEEATQBCAEQAQQAoAFwAIgBWAEUARQBSAEcAIAAyADAAMgA2ADoAIAA0AC4ANgAuADEALgAzACwAIABFAHEAdQBhAHQAaQBvAG4AIAAoADIAKQBcACIAKQA7AFwAbgBcAG4AVgBFAEUAUgBHAF8ANABfADYAXwAxAF8AMwBfAF8AMgBfAFMAdABhAGcAZQAxAE4AaQB0AHIAbwBnAGUAbgBJAG4ATQBNAFMAXwBOAEkAUgBSAGUAZgBlAHIAZQBuAGMAZQBcAG4AIAAgAD0ATABBAE0AQgBEAEEAKABcACIAXAAiACkAOwBcAG4AXABuAFYARQBFAFIARwBfADQAXwA2AF8AMQBfADMAXwBfADIAXwBTAHQAYQBnAGUAMQBOAGkAdAByAG8AZwBlAG4ASQBuAE0ATQBTAF8ATABhAHQAZQB4AEUAcQB1AGEAdABpAG8AbgBcAG4AIAAgAD0ATABBAE0AQgBEAEEAKABcACIATQBOAF8AewBqAGsAbQAsAFQAPQAxAH0APQBBAEUAXwB7AGoAawB9AFwAXAB0AGkAbQBlAHMAIABNAE0AUwBfAHsAagBtACwAVAA9ADEAfQBcACIAKQA7AFwAbgBcAG4AVgBFAEUAUgBHAF8ANABfADYAXwAxAF8AMwBfAF8AMgBfAFMAdABhAGcAZQAxAE4AaQB0AHIAbwBnAGUAbgBJAG4ATQBNAFMAXwBBAHIAZwB1AG0AZQBuAHQAcwBcAG4AIAAgAD0ATABBAE0AQgBEAEEAKABcAG4AIAAgACAAIABNAEEASwBFAEEAUgBSAEEAWQAoADIALAAgADQALABcAG4AIAAgACAAIAAgACAATABBAE0AQgBEAEEAKAByACwAYwAsAFwAbgAgACAAIAAgACAAIAAgACAASQBOAEQARQBYACgAewBcAG4AIAAgACAAIAAgACAAIAAgACAAIABcACIAQQBFAF8AagBrAFwAIgAsAFwAIgB0AG8AdABhAGwAIABuAGkAdAByAG8AZwBlAG4AIABlAHgAYwByAGUAdABlAGQAIABiAHkAIABlAGEAYwBoACAAcABvAHUAbAB0AHIAeQAgAGMAbABhAHMAcwAgAGEAbgBkACAAcwB1AGIAYwBsAGEAcwBzAFwAIgAsACAAXAAiAGsAZwAgAE4AXAAiACwAIABcACIAQwBhAGwAYwB1AGwAYQB0AGUAZAAgAGYAcgBvAG0AIAA0AC4ANgAuADEALgAzACAAKAAzACkAXAAiADsAXABuACAAIAAgACAAIAAgACAAIAAgACAAXAAiAE0ATQBTAF8AagBtAFQAMQBcACIALABcACIAZgByAGEAYwB0AGkAbwBuACAAbwBmACAAbQBhAG4AdQByAGUAIABpAG4AIABlAGEAYwBoACAAcAByAGkAbQBhAHIAeQAgAHMAeQBzAHQAZ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MwBfAEEAbgBuAHUAYQBsAE4AaQB0AHIAbwBnAGUAbgBFAHgAYwByAGUAdABpAG8AbgBcAG4AQQBuAG4AdQBhAGwAIABuAGkAdAByAG8AZwBlAG4AIABlAHgAYwByAGUAdABpAG8AbgAgAGYAbwByACAAZQBhAGMAaAAgAHAAbwB1AGwAdAByAHkAIABjAGwAYQBzAHMAIABhAG4AZAAgAHMAdQBiAGMAbABhAHMAcwBcAG4AQQBFAF8AagBrAFwAbgBrAGcAIABOAFwAbgBBAEUAXwB7AGoAawB9AD0ATgBfAHsAagBrAH0AXABcAHQAaQBtAGUAcwAgAE4ARQBfAHsAagBrAH0AXABcAHQAaQBtAGUAcwAgAEQAXwB7AGoAawB9AFwAbgBOAF8AagBrACAAPQAgAG4AdQBtAGIAZQByACAAbwBmACAAcABvAHUAbAB0AHIAeQAgAGkAbgAgAGUAYQBjAGgAIABjAGwAYQBzAHMAIABhAG4AZAAgAHMAdQBiAGMAbABhAHMAcwAgADoAIABiAGkAcgBkAFwAbgBOAEUAXwBqAGsAIAA9ACAAbgBpAHQAcgBvAGcAZQBuACAAZQB4AGMAcgBlAHQAaQBvAG4AIAA6ACAAawBnACAATgAvAGIAaQByAGQALwBkAGEAeQBcAG4ARABfAGoAawAgAD0AIABkAHUAcgBhAHQAaQBvAG4AIABvAGYAIABzAHQAYQB5ACAAbwBmACAAZQBhAGMAaAAgAGMAbABhAHMAcwAgAGEAbgBkACAAcwB1AGIAYwBsAGEAcwBzACAAOgAgAGQAYQB5AHMAXABuAC0ALQAtAC0ALQAtAC0ALQAtAC0ALQAtAC0ALQAtAC0ALQAtAC0ALQAtAC0ALQAtAC0ALQAtAC0ALQAtAC0ALQAtAC0ALQAtAC0ALQBcAG4AKgAvAFwAbgBcAG4AVgBFAEUAUgBHAF8ANABfADYAXwAxAF8AMwBfAF8AMwBfAEEAbgBuAHUAYQBsAE4AaQB0AHIAbwBnAGUAbgBFAHgAYwByAGUAdABpAG8AbgBcAG4AIAAgAD0ATABBAE0AQgBEAEEAKABcAG4AIAAgACAAIABOAF8AagBrACwAIABOAEUAXwBqAGsALAAgAEQAXwBqAGsALABcAG4AIAAgACAAIABOAF8AagBrACAAKgAgAE4ARQBfAGoAawAgACoAIABEAF8AagBrAFwAbgAgACAAKQA7AFwAbgBcAG4AVgBFAEUAUgBHAF8ANABfADYAXwAxAF8AMwBfAF8AMwBfAEEAbgBuAHUAYQBsAE4AaQB0AHIAbwBnAGUAbgBFAHgAYwByAGUAdABpAG8AbgBfAFQAaQB0AGwAZQBcAG4AIAAgAD0ATABBAE0AQgBEAEEAKABcACIAQQBuAG4AdQBhAGwAIABuAGkAdAByAG8AZwBlAG4AIABlAHgAYwByAGUAdABpAG8AbgAgAGYAbwByACAAZQBhAGMAaAAgAHAAbwB1AGwAdAByAHkAIABjAGwAYQBzAHMAIABhAG4AZAAgAHMAdQBiAGMAbABhAHMAcwBcACIAKQA7AFwAbgBcAG4AVgBFAEUAUgBHAF8ANABfADYAXwAxAF8AMwBfAF8AMwBfAEEAbgBuAHUAYQBsAE4AaQB0AHIAbwBnAGUAbgBFAHgAYwByAGUAdABpAG8AbgBfAFYAYQByAGkAYQBiAGwAZQBcAG4AIAAgAD0ATABBAE0AQgBEAEEAKABcACIAQQBFAF8AagBrAFwAIgApADsAXABuAFwAbgBWAEUARQBSAEcAXwA0AF8ANgBfADEAXwAzAF8AXwAzAF8AQQBuAG4AdQBhAGwATgBpAHQAcgBvAGcAZQBuAEUAeABjAHIAZQB0AGkAbwBuAF8AVQBuAGkAdABcAG4AIAAgAD0ATABBAE0AQgBEAEEAKABcACIAawBnACAATgBcACIAKQA7AFwAbgBcAG4AVgBFAEUAUgBHAF8ANABfADYAXwAxAF8AMwBfAF8AMwBfAEEAbgBuAHUAYQBsAE4AaQB0AHIAbwBnAGUAbgBFAHgAYwByAGUAdABpAG8AbgBfAFMAbwB1AHIAYwBlAFwAbgAgACAAPQBMAEEATQBCAEQAQQAoAFwAIgBWAEUARQBSAEcAIAAyADAAMgA2ADoAIAA0AC4ANgAuADEALgAzACwAIABFAHEAdQBhAHQAaQBvAG4AIAAoADMAKQBcACIAKQA7AFwAbgBcAG4AVgBFAEUAUgBHAF8ANABfADYAXwAxAF8AMwBfAF8AMwBfAEEAbgBuAHUAYQBsAE4AaQB0AHIAbwBnAGUAbgBFAHgAYwByAGUAdABpAG8AbgBfAE4ASQBSAFIAZQBmAGUAcgBlAG4AYwBlAFwAbgAgACAAPQBMAEEATQBCAEQAQQAoAFwAIgBcACIAKQA7AFwAbgBcAG4AVgBFAEUAUgBHAF8ANABfADYAXwAxAF8AMwBfAF8AMwBfAEEAbgBuAHUAYQBsAE4AaQB0AHIAbwBnAGUAbgBFAHgAYwByAGUAdABpAG8AbgBfAEwAYQB0AGUAeABFAHEAdQBhAHQAaQBvAG4AXABuACAAIAA9AEwAQQBNAEIARABBACgAXAAiAEEARQBfAHsAagBrAH0APQBOAF8AewBqAGsAfQBcAFwAdABpAG0AZQBzACAATgBFAF8AewBqAGsAfQBcAFwAdABpAG0AZQBzACAARABfAHsAagBrAH0AXAAiACkAOwBcAG4AXABuAFYARQBFAFIARwBfADQAXwA2AF8AMQBfADMAXwBfADMAXwBBAG4AbgB1AGEAbABOAGkAdAByAG8AZwBlAG4ARQB4AGMAcgBlAHQAaQBvAG4AXwBBAHIAZwB1AG0AZQBuAHQAcwBcAG4AIAAgAD0ATABBAE0AQgBEAEEAKABcAG4AIAAgACAAIABNAEEASwBFAEEAUgBSAEEAWQAoADMALAAgADQALABcAG4AIAAgACAAIAAgACAATABBAE0AQgBEAEEAKAByACwAYwAsAFwAbgAgACAAIAAgACAAIAAgACAASQBOAEQARQBYACgAewBcAG4AIAAgACAAIAAgACAAIAAgACAAIABcACIATgBfAGoAawBcACIALABcACIAbgB1AG0AYgBlAHIAIABvAGYAIABwAG8AdQBsAHQAcgB5ACAAaQBuACAAZQBhAGMAaAAgAGMAbABhAHMAcwAgAGEAbgBkACAAcwB1AGIAYwBsAGEAcwBzAFwAIgAsACAAXAAiAGIAaQByAGQAXAAiACwAIABcACIASQBuAHAAdQB0AFwAIgA7AFwAbgAgACAAIAAgACAAIAAgACAAIAAgAFwAIgBOAEUAXwBqAGsAXAAiACwAXAAiAG4AaQB0AHIAbwBnAGUAbgAgAGUAeABjAHIAZQB0AGkAbwBuAFwAIgAsACAAXAAiAGsAZwAgAE4ALwBiAGkAcgBkAC8AZABhAHkAXAAiACwAIABcACIAQwBhAGwAYwB1AGwAYQB0AGUAZAAgAGYAcgBvAG0AIAA0AC4ANgAuADEALgAzACAAKAA0ACkAXAAiADsAXABuACAAIAAgACAAIAAgACAAIAAgACAAXAAiAEQAXwBqAGsAXAAiACwAXAAiAGQAdQByAGEAdABpAG8AbgAgAG8AZgAgAHMAdABhAHkAIABvAGYAIABlAGEAYwBoACAAYwBsAGEAcwBzACAAYQBuAGQAIABzAHUAYgBjAGwAYQBzAHM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NABfAE4AaQB0AHIAbwBnAGUAbgBFAHgAYwByAGUAdABpAG8AbgBQAGUAcgBCAGkAcgBkAFwAbgBOAGkAdAByAG8AZwBlAG4AIABlAHgAYwByAGUAdABpAG8AbgAgAHAAZQByACAAYgBpAHIAZAAgAHAAZQByACAAZABhAHkAXABuAE4ARQBfAGoAawBcAG4AawBnACAATgAvAGIAaQByAGQALwBkAGEAeQBcAG4ATgBFAF8AewBqAGsAfQA9AE4ASQBfAHsAagBrAH0AXABcAHQAaQBtAGUAcwAoADEALQBOAFIAXwB7AGoAawB9ACkAXABuAE4ASQBfAGoAawAgAD0AIABuAGkAdAByAG8AZwBlAG4AIABpAG4AdABhAGsAZQAgADoAIABrAGcAIABOAC8AYgBpAHIAZAAvAGQAYQB5AFwAbgBOAFIAXwBqAGsAIAA9ACAAbgBpAHQAcgBvAGcAZQBuACAAcgBlAHQAZQBuAHQAaQBvAG4AIABlAHgAcAByAGUAcwBzAGUAZAAgAGEAcwAgAGEAIABmAHIAYQBjAHQAaQBvAG4AIABvAGYAIABpAG4AdABhAGsAZQAgADoAIABmAHIAYQBjAHQAaQBvAG4AXABuAC0ALQAtAC0ALQAtAC0ALQAtAC0ALQAtAC0ALQAtAC0ALQAtAC0ALQAtAC0ALQAtAC0ALQAtAC0ALQAtAC0ALQAtAC0ALQAtAC0ALQBcAG4AKgAvAFwAbgBcAG4AVgBFAEUAUgBHAF8ANABfADYAXwAxAF8AMwBfAF8ANABfAE4AaQB0AHIAbwBnAGUAbgBFAHgAYwByAGUAdABpAG8AbgBQAGUAcgBCAGkAcgBkAFwAbgAgACAAPQBMAEEATQBCAEQAQQAoAFwAbgAgACAAIAAgAE4ASQBfAGoAawAsACAATgBSAF8AagBrACwAXABuACAAIAAgACAATgBJAF8AagBrACAAKgAgACgAMQAgAC0AIABOAFIAXwBqAGsAKQBcAG4AIAAgACkAOwBcAG4AXABuAFYARQBFAFIARwBfADQAXwA2AF8AMQBfADMAXwBfADQAXwBOAGkAdAByAG8AZwBlAG4ARQB4AGMAcgBlAHQAaQBvAG4AUABlAHIAQgBpAHIAZABfAFQAaQB0AGwAZQBcAG4AIAAgAD0ATABBAE0AQgBEAEEAKABcACIATgBpAHQAcgBvAGcAZQBuACAAZQB4AGMAcgBlAHQAaQBvAG4AIABwAGUAcgAgAGIAaQByAGQAIABwAGUAcgAgAGQAYQB5AFwAIgApADsAXABuAFwAbgBWAEUARQBSAEcAXwA0AF8ANgBfADEAXwAzAF8AXwA0AF8ATgBpAHQAcgBvAGcAZQBuAEUAeABjAHIAZQB0AGkAbwBuAFAAZQByAEIAaQByAGQAXwBWAGEAcgBpAGEAYgBsAGUAXABuACAAIAA9AEwAQQBNAEIARABBACgAXAAiAE4ARQBfAGoAawBcACIAKQA7AFwAbgBcAG4AVgBFAEUAUgBHAF8ANABfADYAXwAxAF8AMwBfAF8ANABfAE4AaQB0AHIAbwBnAGUAbgBFAHgAYwByAGUAdABpAG8AbgBQAGUAcgBCAGkAcgBkAF8AVQBuAGkAdABcAG4AIAAgAD0ATABBAE0AQgBEAEEAKABcACIAawBnACAATgAvAGIAaQByAGQALwBkAGEAeQBcACIAKQA7AFwAbgBcAG4AVgBFAEUAUgBHAF8ANABfADYAXwAxAF8AMwBfAF8ANABfAE4AaQB0AHIAbwBnAGUAbgBFAHgAYwByAGUAdABpAG8AbgBQAGUAcgBCAGkAcgBkAF8AUwBvAHUAcgBjAGUAXABuACAAIAA9AEwAQQBNAEIARABBACgAXAAiAFYARQBFAFIARwAgADIAMAAyADYAOgAgADQALgA2AC4AMQAuADMALAAgAEUAcQB1AGEAdABpAG8AbgAgACgANAApAFwAIgApADsAXABuAFwAbgBWAEUARQBSAEcAXwA0AF8ANgBfADEAXwAzAF8AXwA0AF8ATgBpAHQAcgBvAGcAZQBuAEUAeABjAHIAZQB0AGkAbwBuAFAAZQByAEIAaQByAGQAXwBOAEkAUgBSAGUAZgBlAHIAZQBuAGMAZQBcAG4AIAAgAD0ATABBAE0AQgBEAEEAKABcACIAXAAiACkAOwBcAG4AXABuAFYARQBFAFIARwBfADQAXwA2AF8AMQBfADMAXwBfADQAXwBOAGkAdAByAG8AZwBlAG4ARQB4AGMAcgBlAHQAaQBvAG4AUABlAHIAQgBpAHIAZABfAEwAYQB0AGUAeABFAHEAdQBhAHQAaQBvAG4AXABuACAAIAA9AEwAQQBNAEIARABBACgAXAAiAE4ARQBfAHsAagBrAH0APQBOAEkAXwB7AGoAawB9AFwAXAB0AGkAbQBlAHMAKAAxAC0ATgBSAF8AewBqAGsAfQApAFwAIgApADsAXABuAFwAbgBWAEUARQBSAEcAXwA0AF8ANgBfADEAXwAzAF8AXwA0AF8ATgBpAHQAcgBvAGcAZQBuAEUAeABjAHIAZQB0AGkAbwBuAFAAZQByAEIAaQByAGQAXwBBAHIAZwB1AG0AZQBuAHQAcwBcAG4AIAAgAD0ATABBAE0AQgBEAEEAKABcAG4AIAAgACAAIABNAEEASwBFAEEAUgBSAEEAWQAoADIALAAgADQALABcAG4AIAAgACAAIAAgACAATABBAE0AQgBEAEEAKAByACwAYwAsAFwAbgAgACAAIAAgACAAIAAgACAASQBOAEQARQBYACgAewBcAG4AIAAgACAAIAAgACAAIAAgACAAIABcACIATgBJAF8AagBrAFwAIgAsAFwAIgBuAGkAdAByAG8AZwBlAG4AIABpAG4AdABhAGsAZQBcACIALABcACIAawBnACAATgAvAGIAaQByAGQALwBkAGEAeQBcACIALAAgAFwAIgBDAGEAbABjAHUAbABhAHQAZQBkACAAZgByAG8AbQAgADQALgA2AC4AMQAuADMAIAAoADUAKQBcACIAOwBcAG4AIAAgACAAIAAgACAAIAAgACAAIABcACIATgBSAF8AagBrAFwAIgAsAFwAIgBuAGkAdAByAG8AZwBlAG4AIAByAGUAdABlAG4AdABpAG8AbgAgAGUAeABwAHIAZQBzAHMAZQBkACAAYQBzACAAYQAgAGYAcgBhAGMAdABpAG8AbgAgAG8AZgAgAGkAbgB0AGEAawBlAFwAIgAsACAAXAAiAGYAcgBhAGMAdABpAG8Ab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NQBfAE4AaQB0AHIAbwBnAGUAbgBJAG4AdABhAGsAZQBcAG4ATgBpAHQAcgBvAGcAZQBuACAAaQBuAHQAYQBrAGUAIABvAGYAIABwAG8AdQBsAHQAcgB5AFwAbgBOAEkAXwBqAGsAXABuAGsAZwAgAE4ALwBiAGkAcgBkAC8AZABhAHkAXABuAE4ASQBfAHsAagBrAH0APQBJAF8AewBqAGsAfQBcAFwAdABpAG0AZQBzACAAQwBQAF8AewBqAGsAfQBcAFwAZABpAHYAIAA2AC4AMgA1AFwAbgBJAF8AagBrACAAPQAgAGQAcgB5ACAAbQBhAHQAdABlAHIAIABpAG4AdABhAGsAZQAgAGYAbwByACAAZQBhAGMAaAAgAGMAbABhAHMAcwAgAGEAbgBkACAAcwB1AGIAYwBsAGEAcwBzACAAOgAgAGsAZwAgAEQATQAvAGIAaQByAGQALwBkAGEAeQBcAG4AQwBQAF8AagBrACAAPQAgAGMAcgB1AGQAZQAgAHAAcgBvAHQAZQBpAG4AIABjAG8AbgB0AGUAbgB0ACAAbwBmACAAZgBlAGUAZAAgADoAIABmAHIAYQBjAHQAaQBvAG4AXABuADYALgAyADUAIAA9ACAAZgBhAGMAdABvAHIAIABmAG8AcgAgAGMAbwBuAHYAZQByAHQAaQBuAGcAIABjAHIAdQBkAGUAIABwAHIAbwB0AGUAaQBuACAAaQBuAHQAbwAgAG4AaQB0AHIAbwBnAGUAbgAgADoAIAByAGEAdABpAG8AXABuAC0ALQAtAC0ALQAtAC0ALQAtAC0ALQAtAC0ALQAtAC0ALQAtAC0ALQAtAC0ALQAtAC0ALQAtAC0ALQAtAC0ALQAtAC0ALQAtAC0ALQBcAG4AKgAvAFwAbgBcAG4AVgBFAEUAUgBHAF8ANABfADYAXwAxAF8AMwBfAF8ANQBfAE4AaQB0AHIAbwBnAGUAbgBJAG4AdABhAGsAZQBcAG4AIAAgAD0ATABBAE0AQgBEAEEAKABcAG4AIAAgACAAIABJAF8AagBrACwAIABDAFAAXwBqAGsALABcAG4AIAAgACAAIABJAF8AagBrACAAKgAgAEMAUABfAGoAawAgAC8AIAA2AC4AMgA1AFwAbgAgACAAKQA7AFwAbgBcAG4AVgBFAEUAUgBHAF8ANABfADYAXwAxAF8AMwBfAF8ANQBfAE4AaQB0AHIAbwBnAGUAbgBJAG4AdABhAGsAZQBfAFQAaQB0AGwAZQBcAG4AIAAgAD0ATABBAE0AQgBEAEEAKABcACIATgBpAHQAcgBvAGcAZQBuACAAaQBuAHQAYQBrAGUAIABvAGYAIABwAG8AdQBsAHQAcgB5AFwAIgApADsAXABuAFwAbgBWAEUARQBSAEcAXwA0AF8ANgBfADEAXwAzAF8AXwA1AF8ATgBpAHQAcgBvAGcAZQBuAEkAbgB0AGEAawBlAF8AVgBhAHIAaQBhAGIAbABlAFwAbgAgACAAPQBMAEEATQBCAEQAQQAoAFwAIgBOAEkAXwBqAGsAXAAiACkAOwBcAG4AXABuAFYARQBFAFIARwBfADQAXwA2AF8AMQBfADMAXwBfADUAXwBOAGkAdAByAG8AZwBlAG4ASQBuAHQAYQBrAGUAXwBVAG4AaQB0AFwAbgAgACAAPQBMAEEATQBCAEQAQQAoAFwAIgBrAGcAIABOAC8AYgBpAHIAZAAvAGQAYQB5AFwAIgApADsAXABuAFwAbgBWAEUARQBSAEcAXwA0AF8ANgBfADEAXwAzAF8AXwA1AF8ATgBpAHQAcgBvAGcAZQBuAEkAbgB0AGEAawBlAF8AUwBvAHUAcgBjAGUAXABuACAAIAA9AEwAQQBNAEIARABBACgAXAAiAFYARQBFAFIARwAgADIAMAAyADYAOgAgADQALgA2AC4AMQAuADMALAAgAEUAcQB1AGEAdABpAG8AbgAgACgANQApAFwAIgApADsAXABuAFwAbgBWAEUARQBSAEcAXwA0AF8ANgBfADEAXwAzAF8AXwA1AF8ATgBpAHQAcgBvAGcAZQBuAEkAbgB0AGEAawBlAF8ATgBJAFIAUgBlAGYAZQByAGUAbgBjAGUAXABuACAAIAA9AEwAQQBNAEIARABBACgAXAAiAFwAIgApADsAXABuAFwAbgBWAEUARQBSAEcAXwA0AF8ANgBfADEAXwAzAF8AXwA1AF8ATgBpAHQAcgBvAGcAZQBuAEkAbgB0AGEAawBlAF8ATABhAHQAZQB4AEUAcQB1AGEAdABpAG8AbgBcAG4AIAAgAD0ATABBAE0AQgBEAEEAKABcACIATgBJAF8AewBqAGsAfQA9AEkAXwB7AGoAawB9AFwAXAB0AGkAbQBlAHMAIABDAFAAXwB7AGoAawB9AFwAXABkAGkAdgAgADYALgAyADUAXAAiACkAOwBcAG4AXABuAFYARQBFAFIARwBfADQAXwA2AF8AMQBfADMAXwBfADUAXwBOAGkAdAByAG8AZwBlAG4ASQBuAHQAYQBrAGUAXwBBAHIAZwB1AG0AZQBuAHQAcwBcAG4AIAAgAD0ATABBAE0AQgBEAEEAKABcAG4AIAAgACAAIABNAEEASwBFAEEAUgBSAEEAWQAoADMALAAgADQALABcAG4AIAAgACAAIAAgACAATABBAE0AQgBEAEEAKAByACwAYwAsAFwAbgAgACAAIAAgACAAIAAgACAASQBOAEQARQBYACgAewBcAG4AIAAgACAAIAAgACAAIAAgACAAIABcACIASQBfAGoAawBcACIALABcACIAZAByAHkAIABtAGEAdAB0AGUAcgAgAGkAbgB0AGEAawBlACAAZgBvAHIAIABlAGEAYwBoACAAYwBsAGEAcwBzACAAYQBuAGQAIABzAHUAYgBjAGwAYQBzAHMAXAAiACwAIABcACIAawBnACAARABNAC8AYgBpAHIAZAAvAGQAYQB5AFwAIgAsACAAXAAiAEkAbgBwAHUAdABcACIAOwBcAG4AIAAgACAAIAAgACAAIAAgACAAIABcACIAQwBQAF8AagBrAFwAIgAsAFwAIgBjAHIAdQBkAGUAIABwAHIAbwB0AGUAaQBuACAAYwBvAG4AdABlAG4AdAAgAG8AZgAgAGYAZQBlAGQAXAAiACwAIABcACIAZgByAGEAYwB0AGkAbwBuAFwAIgAsACAAXAAiAEkAbgBwAHUAdABcACIAOwBcAG4AIAAgACAAIAAgACAAIAAgACAAIABcACIANgAuADIANQBcACIALABcACIAZgBhAGMAdABvAHIAIABmAG8AcgAgAGMAbwBuAHYAZQByAHQAaQBuAGcAIABjAHIAdQBkAGUAIABwAHIAbwB0AGUAaQBuACAAaQBuAHQAbwAgAG4AaQB0AHIAbwBnAGUAbgBcACIALAAgAFwAIgByAGEAdABpAG8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2AF8AMQBfADMAXwBfADYAXwBTAHQAYQBnAGUAMgBOAGkAdAByAG8AZwBlAG4ASQBuAE0ATQBTAFwAbgBOAGkAdAByAG8AZwBlAG4AIABpAG4AIAB0AHIAZQBhAHQAbQBlAG4AdAAgAHMAdABhAGcAZQAgADIAIABNAE0AUwBcAG4ATQBOAF8AagBrAG0AVAAyAFwAbgBrAGcAIABOAFwAbgBNAE4AXwB7AGoAawBtACwAVAA9ADIAfQA9AE4AVABfAHsAagBrAG0ALABUAD0AMgB9AFwAXAB0AGkAbQBlAHMAIABNAE0AUwBfAHsAbQAsAFQAPQAyAH0AXABuAE4AVABfAGoAawBtAFQAMgAgAD0AIABuAGkAdAByAG8AZwBlAG4AIAB0AHIAYQBuAHMAZgBlAHIAcgBlAGQAIAB0AG8AIABzAGUAYwBvAG4AZABhAHIAeQAgAHQAcgBlAGEAdABtAGUAbgB0ACAATQBNAFMAIAA6ACAAawBnACAATgBcAG4ATQBNAFMAXwBtAFQAMgAgAD0AIABmAHIAYQBjAHQAaQBvAG4AIABvAGYAIABtAGEAbgB1AHIAZQAgAGkAbgAgAGUAYQBjAGgAIABzAGUAYwBvAG4AZABhAHIAeQAgAHMAeQBzAHQAZQBtACAAOgAgAGYAcgBhAGMAdABpAG8AbgBcAG4ATgBvAHQAZQAgAD0AIABkAGkAcgBlAGMAdAAgAGEAcABwAGwAaQBjAGEAdABpAG8AbgAgAGEAdAAgAG0APQAxADMALAB0AD0AMgAgAGkAcwAgAG0AbwB2AGUAZAAgAHQAbwAgAG0AYQBuAHUAcgBlACAAYQBwAHAAbABpAGUAZAAgAHQAbwAgAHMAbwBpAGwAcwAgAGEAbgBkACAAZQB4AGMAbAB1AGQAZQBkACAAZgByAG8AbQAgAHQAaABpAHMAIABlAHEAdQBhAHQAaQBvAG4AXABuAC0ALQAtAC0ALQAtAC0ALQAtAC0ALQAtAC0ALQAtAC0ALQAtAC0ALQAtAC0ALQAtAC0ALQAtAC0ALQAtAC0ALQAtAC0ALQAtAC0ALQBcAG4AKgAvAFwAbgBcAG4AVgBFAEUAUgBHAF8ANABfADYAXwAxAF8AMwBfAF8ANgBfAFMAdABhAGcAZQAyAE4AaQB0AHIAbwBnAGUAbgBJAG4ATQBNAFMAXABuACAAIAA9AEwAQQBNAEIARABBACgAXABuACAAIAAgACAATgBUAF8AagBrAG0AVAAyACwAIABNAE0AUwBfAG0AVAAyACwAXABuACAAIAAgACAATgBUAF8AagBrAG0AVAAyACAAKgAgAE0ATQBTAF8AbQBUADIAXABuACAAIAApADsAXABuAFwAbgBWAEUARQBSAEcAXwA0AF8ANgBfADEAXwAzAF8AXwA2AF8AUwB0AGEAZwBlADIATgBpAHQAcgBvAGcAZQBuAEkAbgBNAE0AUwBfAFQAaQB0AGwAZQBcAG4AIAAgAD0ATABBAE0AQgBEAEEAKABcACIATgBpAHQAcgBvAGcAZQBuACAAaQBuACAAdAByAGUAYQB0AG0AZQBuAHQAIABzAHQAYQBnAGUAIAAyACAATQBNAFMAXAAiACkAOwBcAG4AXABuAFYARQBFAFIARwBfADQAXwA2AF8AMQBfADMAXwBfADYAXwBTAHQAYQBnAGUAMgBOAGkAdAByAG8AZwBlAG4ASQBuAE0ATQBTAF8AVgBhAHIAaQBhAGIAbABlAFwAbgAgACAAPQBMAEEATQBCAEQAQQAoAFwAIgBNAE4AXwBqAGsAbQBUADIAXAAiACkAOwBcAG4AXABuAFYARQBFAFIARwBfADQAXwA2AF8AMQBfADMAXwBfADYAXwBTAHQAYQBnAGUAMgBOAGkAdAByAG8AZwBlAG4ASQBuAE0ATQBTAF8AVQBuAGkAdABcAG4AIAAgAD0ATABBAE0AQgBEAEEAKABcACIAawBnACAATgBcACIAKQA7AFwAbgBcAG4AVgBFAEUAUgBHAF8ANABfADYAXwAxAF8AMwBfAF8ANgBfAFMAdABhAGcAZQAyAE4AaQB0AHIAbwBnAGUAbgBJAG4ATQBNAFMAXwBTAG8AdQByAGMAZQBcAG4AIAAgAD0ATABBAE0AQgBEAEEAKABcACIAVgBFAEUAUgBHACAAMgAwADIANgA6ACAANAAuADYALgAxAC4AMwAsACAARQBxAHUAYQB0AGkAbwBuACAAKAA2ACkAXAAiACkAOwBcAG4AXABuAFYARQBFAFIARwBfADQAXwA2AF8AMQBfADMAXwBfADYAXwBTAHQAYQBnAGUAMgBOAGkAdAByAG8AZwBlAG4ASQBuAE0ATQBTAF8ATgBJAFIAUgBlAGYAZQByAGUAbgBjAGUAXABuACAAIAA9AEwAQQBNAEIARABBACgAXAAiAFwAIgApADsAXABuAFwAbgBWAEUARQBSAEcAXwA0AF8ANgBfADEAXwAzAF8AXwA2AF8AUwB0AGEAZwBlADIATgBpAHQAcgBvAGcAZQBuAEkAbgBNAE0AUwBfAEwAYQB0AGUAeABFAHEAdQBhAHQAaQBvAG4AXABuACAAIAA9AEwAQQBNAEIARABBACgAXAAiAE0ATgBfAHsAagBrAG0ALABUAD0AMgB9AD0ATgBUAF8AewBqAGsAbQAsAFQAPQAyAH0AXABcAHQAaQBtAGUAcwAgAE0ATQBTAF8AewBtACwAVAA9ADIAfQBcACIAKQA7AFwAbgBcAG4AVgBFAEUAUgBHAF8ANABfADYAXwAxAF8AMwBfAF8ANgBfAFMAdABhAGcAZQAyAE4AaQB0AHIAbwBnAGUAbgBJAG4ATQBNAFMAXwBBAHIAZwB1AG0AZQBuAHQAcwBcAG4AIAAgAD0ATABBAE0AQgBEAEEAKABcAG4AIAAgACAAIABNAEEASwBFAEEAUgBSAEEAWQAoADIALAAgADQALABcAG4AIAAgACAAIAAgACAATABBAE0AQgBEAEEAKAByACwAYwAsAFwAbgAgACAAIAAgACAAIAAgACAASQBOAEQARQBYACgAewBcAG4AIAAgACAAIAAgACAAIAAgACAAIABcACIATgBUAF8AagBrAG0AVAAyAFwAIgAsAFwAIgBuAGkAdAByAG8AZwBlAG4AIAB0AHIAYQBuAHMAZgBlAHIAcgBlAGQAIAB0AG8AIABzAGUAYwBvAG4AZABhAHIAeQAgAHQAcgBlAGEAdABtAGUAbgB0ACAATQBNAFMAXAAiACwAIABcACIAawBnACAATgBcACIALAAgAFwAIgBDAGEAbABjAHUAbABhAHQAZQBkACAAZgByAG8AbQAgADQALgA2AC4AMQAuADMAIAAoADcAKQBcACIAOwBcAG4AIAAgACAAIAAgACAAIAAgACAAIABcACIATQBNAFMAXwBtAFQAMgBcACIALABcACIAZgByAGEAYwB0AGkAbwBuACAAbwBmACAAbQBhAG4AdQByAGUAIABpAG4AIABlAGEAYwBoACAAcwBlAGMAbwBuAGQAYQByAHkAIABzAHkAcwB0AGUAb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2AF8AMQBfADMAXwBfADcAXwBOAGkAdAByAG8AZwBlAG4AVAByAGEAbgBzAGYAZQByAHIAZQBkAFQAbwBTAHQAYQBnAGUAMgBNAE0AUwBcAG4ATgBpAHQAcgBvAGcAZQBuACAAdAByAGEAbgBzAGYAZQByAHIAZQBkACAAdABvACAAdAByAGUAYQB0AG0AZQBuAHQAIABzAHQAYQBnAGUAIAAyACAATQBNAFMAXABuAE4AVABfAGoAawBtAFQAMgBcAG4AawBnACAATgBcAG4ATgBUAF8AewBqAGsAbQAsAFQAPQAyAH0APQBNAE4AXwB7AGoAawBtACwAVAA9ADEAfQBcAFwAdABpAG0AZQBzACgAMQAtAEYAcgBhAGMARwBBAFMATQBfAHsAbQAsAFQAPQAxAH0ALQBFAEYAXwB7AG0ALABUAD0AMQB9ACkAXABuAE0ATgBfAGoAawBtAFQAMQAgAD0AIABuAGkAdAByAG8AZwBlAG4AIABpAG4AIABNAE0AUwAgAHQAcgBlAGEAdABtAGUAbgB0ACAAcwB0AGEAZwBlACAAMQAgADoAIABrAGcAIABOAFwAbgBGAHIAYQBjAEcAQQBTAE0AXwBtAFQAMQAgAD0AIABmAHIAYQBjAHQAaQBvAG4AIABvAGYAIABOACAAdgBvAGwAYQB0AGkAbABpAHMAZQBkACAAZgByAG8AbQAgAE0ATQBTACAAdAByAGUAYQB0AG0AZQBuAHQAIABhAHQAIABzAHQAYQBnAGUAIAAxACAAOgAgAGYAcgBhAGMAdABpAG8AbgBcAG4ARQBGAF8AbQBUADEAIAA9ACAAbgBpAHQAcgBvAHUAcwAgAG8AeABpAGQAZQAgAGUAbQBpAHMAcwBpAG8AbgAgAGYAYQBjAHQAbwByACAAZgBvAHIAIABNAE0AUwAgAHQAcgBlAGEAdABtAGUAbgB0ACAAYQB0ACAAcwB0AGEAZwBlACAAMQAgADoAIABrAGcAIABOADIATwAtAE4ALwBrAGcAIABOAFwAbgAtAC0ALQAtAC0ALQAtAC0ALQAtAC0ALQAtAC0ALQAtAC0ALQAtAC0ALQAtAC0ALQAtAC0ALQAtAC0ALQAtAC0ALQAtAC0ALQAtAC0AXABuACoALwBcAG4AXABuAFYARQBFAFIARwBfADQAXwA2AF8AMQBfADMAXwBfADcAXwBOAGkAdAByAG8AZwBlAG4AVAByAGEAbgBzAGYAZQByAHIAZQBkAFQAbwBTAHQAYQBnAGUAMgBNAE0AUwBcAG4AIAAgAD0ATABBAE0AQgBEAEEAKABcAG4AIAAgACAAIABNAE4AXwBqAGsAbQBUADEALAAgAEYAcgBhAGMARwBBAFMATQBfAG0AVAAxACwAIABFAEYAXwBtAFQAMQAsAFwAbgAgACAAIAAgAE0ATgBfAGoAawBtAFQAMQAgACoAIAAoADEAIAAtACAARgByAGEAYwBHAEEAUwBNAF8AbQBUADEAIAAtACAARQBGAF8AbQBUADEAKQBcAG4AIAAgACkAOwBcAG4AXABuAFYARQBFAFIARwBfADQAXwA2AF8AMQBfADMAXwBfADcAXwBOAGkAdAByAG8AZwBlAG4AVAByAGEAbgBzAGYAZQByAHIAZQBkAFQAbwBTAHQAYQBnAGUAMgBNAE0AUwBfAFQAaQB0AGwAZQBcAG4AIAAgAD0ATABBAE0AQgBEAEEAKABcACIATgBpAHQAcgBvAGcAZQBuACAAdAByAGEAbgBzAGYAZQByAHIAZQBkACAAdABvACAAdAByAGUAYQB0AG0AZQBuAHQAIABzAHQAYQBnAGUAIAAyACAATQBNAFMAXAAiACkAOwBcAG4AXABuAFYARQBFAFIARwBfADQAXwA2AF8AMQBfADMAXwBfADcAXwBOAGkAdAByAG8AZwBlAG4AVAByAGEAbgBzAGYAZQByAHIAZQBkAFQAbwBTAHQAYQBnAGUAMgBNAE0AUwBfAFYAYQByAGkAYQBiAGwAZQBcAG4AIAAgAD0ATABBAE0AQgBEAEEAKABcACIATgBUAF8AagBrAG0AVAAyAFwAIgApADsAXABuAFwAbgBWAEUARQBSAEcAXwA0AF8ANgBfADEAXwAzAF8AXwA3AF8ATgBpAHQAcgBvAGcAZQBuAFQAcgBhAG4AcwBmAGUAcgByAGUAZABUAG8AUwB0AGEAZwBlADIATQBNAFMAXwBVAG4AaQB0AFwAbgAgACAAPQBMAEEATQBCAEQAQQAoAFwAIgBrAGcAIABOAFwAIgApADsAXABuAFwAbgBWAEUARQBSAEcAXwA0AF8ANgBfADEAXwAzAF8AXwA3AF8ATgBpAHQAcgBvAGcAZQBuAFQAcgBhAG4AcwBmAGUAcgByAGUAZABUAG8AUwB0AGEAZwBlADIATQBNAFMAXwBTAG8AdQByAGMAZQBcAG4AIAAgAD0ATABBAE0AQgBEAEEAKABcACIAVgBFAEUAUgBHACAAMgAwADIANgA6ACAANAAuADYALgAxAC4AMwAsACAARQBxAHUAYQB0AGkAbwBuACAAKAA3ACkAXAAiACkAOwBcAG4AXABuAFYARQBFAFIARwBfADQAXwA2AF8AMQBfADMAXwBfADcAXwBOAGkAdAByAG8AZwBlAG4AVAByAGEAbgBzAGYAZQByAHIAZQBkAFQAbwBTAHQAYQBnAGUAMgBNAE0AUwBfAE4ASQBSAFIAZQBmAGUAcgBlAG4AYwBlAFwAbgAgACAAPQBMAEEATQBCAEQAQQAoAFwAIgBcACIAKQA7AFwAbgBcAG4AVgBFAEUAUgBHAF8ANABfADYAXwAxAF8AMwBfAF8ANwBfAE4AaQB0AHIAbwBnAGUAbgBUAHIAYQBuAHMAZgBlAHIAcgBlAGQAVABvAFMAdABhAGcAZQAyAE0ATQBTAF8ATABhAHQAZQB4AEUAcQB1AGEAdABpAG8AbgBcAG4AIAAgAD0ATABBAE0AQgBEAEEAKABcACIATgBUAF8AewBqAGsAbQAsAFQAPQAyAH0APQBNAE4AXwB7AGoAawBtACwAVAA9ADEAfQBcAFwAdABpAG0AZQBzACgAMQAtAEYAcgBhAGMARwBBAFMATQBfAHsAbQAsAFQAPQAxAH0ALQBFAEYAXwB7AG0ALABUAD0AMQB9ACkAXAAiACkAOwBcAG4AXABuAFYARQBFAFIARwBfADQAXwA2AF8AMQBfADMAXwBfADcAXwBOAGkAdAByAG8AZwBlAG4AVAByAGEAbgBzAGYAZQByAHIAZQBkAFQAbwBTAHQAYQBnAGUAMgBNAE0AUwBfAEEAcgBnAHUAbQBlAG4AdABzAFwAbgAgACAAPQBMAEEATQBCAEQAQQAoAFwAbgAgACAAIAAgAE0AQQBLAEUAQQBSAFIAQQBZACgAMwAsACAANAAsAFwAbgAgACAAIAAgACAAIABMAEEATQBCAEQAQQAoAHIALABjACwAXABuACAAIAAgACAAIAAgACAAIABJAE4ARABFAFgAKAB7AFwAbgAgACAAIAAgACAAIAAgACAAIAAgAFwAIgBNAE4AXwBqAGsAbQBUADEAXAAiACwAXAAiAG4AaQB0AHIAbwBnAGUAbgAgAGkAbgAgAE0ATQBTACAAdAByAGUAYQB0AG0AZQBuAHQAIABzAHQAYQBnAGUAIAAxAFwAIgAsACAAXAAiAGsAZwAgAE4AXAAiACwAIABcACIAQwBhAGwAYwB1AGwAYQB0AGUAZAAgAGYAcgBvAG0AIAA0AC4ANgAuADEALgAzACAAKAA2ACkAXAAiADsAXABuACAAIAAgACAAIAAgACAAIAAgACAAXAAiAEYAcgBhAGMARwBBAFMATQBfAG0AVAAxAFwAIgAsAFwAIgBmAHIAYQBjAHQAaQBvAG4AIABvAGYAIABOACAAdgBvAGwAYQB0AGkAbABpAHMAZQBkACAAZgByAG8AbQAgAE0ATQBTACAAdAByAGUAYQB0AG0AZQBuAHQAIABhAHQAIABzAHQAYQBnAGUAIAAxAFwAIgAsACAAXAAiAGYAcgBhAGMAdABpAG8AbgBcACIALAAgAFwAIgBDAG8AbgBzAHQAYQBuAHQAXAAiADsAXABuACAAIAAgACAAIAAgACAAIAAgACAAXAAiAEUARgBfAG0AVAAxAFwAIgAsAFwAIgBuAGkAdAByAG8AdQBzACAAbwB4AGkAZABlACAAZQBtAGkAcwBzAGkAbwBuACAAZgBhAGMAdABvAHIAIABmAG8AcgAgAE0ATQBTACAAdAByAGUAYQB0AG0AZQBuAHQAIABhAHQAIABzAHQAYQBnAGUAIAAxAFwAIgAsACAAXAAiAGsAZwAgAE4AMgBPAC0ATgAvAGsAZwAgAE4AXAAiACwAIABcACIAQwBvAG4AcwB0AGEAbgB0AFwAIgBcAG4AIAAgACAAIAAgACAAIAAgAH0ALAAgAHIALAAgAGMAKQBcAG4AIAAgACAAIAAgACAAKQBcAG4AIAAgACAAIAApAFwAbgAgACAAKQA7AFwAbgBcAG4AIgB9ACwAewAiAHAAYQB0AGgAIgA6ACIALwBwAHIAbwBqAGUAYwB0AHMALwBNAE0AUwBfAFAAbwB1AGwAdAByAHk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NQAgAE0AZQB0AGgAbwBkACAAMQAgAC0AIABNAGEAbgB1AHIAZQAgAEEAdABtAG8AcwBwAGgAZQByAGkAYwAgAEQAZQBwAG8AcwBpAHQAaQBvAG4AIABQAG8AdQBsAHQ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NQBfAF8AMQBfAFQAbwB0AGEAbABBAG4AbgB1AGEAbABBAHQAbQBvAHMAcABoAGUAcgBpAGMARABlAHAAbwBzAGkAdABpAG8AbgBFAG0AaQBzAHMAaQBvAG4AcwBGAHIAbwBtAE0ATQBTAFwAbgBUAG8AdABhAGwAIABhAG4AbgB1AGEAbAAgAGEAdABtAG8AcwBwAGgAZQByAGkAYwAgAGQAZQBwAG8AcwBpAHQAaQBvAG4AIABlAG0AaQBzAHMAaQBvAG4AcwAgAGYAcgBvAG0AIABtAGEAbgB1AHIAZQAgAG0AYQBuAGEAZwBlAG0AZQBuAHQAXABuAEUAXwBOADIATwBhAGQAXABuAHQAIABOADIATwBcAG4ARQBfAHsATgAyAE8ALABhAGQAfQA9ACgATQBNAFMAXwB7AEEAVABNAE8AUwB9AFwAXAB0AGkAbQBlAHMAIABFAEYAXwB7AE4AMgBPAH0AXABcAHQAaQBtAGUAcwAgAEMAXwB7AE4AMgBPAH0AKQBcAFwAdABpAG0AZQBzADEAMABeAHsALQAzAH0AXABuAE0ATQBTAF8AQQBUAE0ATwBTACAAPQAgAG0AYQBzAHMAIABvAGYAIABOACAAdgBvAGwAYQB0AGkAbABpAHMAZQBkACAAZgByAG8AbQAgAE0ATQBTACAAOgAgAGsAZwAgAE4AXABuAEUARgBfAE4AMgBPACAAPQAgAG4AaQB0AHIAbwB1AHMAIABvAHgAaQBkAGUAIABlAG0AaQBzAHMAaQBvAG4AIABmAGEAYwB0AG8AcgAgAGYAbwByACAAYQB0AG0AbwBzAHAAaABlAHIAaQBjACAAZABlAHAAbwBzAGkAdABpAG8AbgAgADoAIABrAGcAIABOADIATwAtAE4ALwBrAGcAIABOAFwAbgBDAF8ATgAyAE8AIAA9ACAAZgBhAGMAdABvAHIAIAB0AG8AIABjAG8AbgB2AGUAcgB0ACAAZQBsAGUAbQBlAG4AdABhAGwAIABtAGEAcwBzACAAbwBmACAAbgBpAHQAcgBvAHUAcwAgAG8AeABpAGQAZQAgAHQAbwAgAG0AbwBsAGUAYwB1AGwAYQByACAAbQBhAHMAcwAgADoAIAByAGEAdABpAG8AXABuAC0ALQAtAC0ALQAtAC0ALQAtAC0ALQAtAC0ALQAtAC0ALQAtAC0ALQAtAC0ALQAtAC0ALQAtAC0ALQAtAC0ALQAtAC0ALQAtAC0ALQBcAG4AKgAvAFwAbgBcAG4AVgBFAEUAUgBHAF8ANABfADYAXwAxAF8ANQBfAF8AMQBfAFQAbwB0AGEAbABBAG4AbgB1AGEAbABBAHQAbQBvAHMAcABoAGUAcgBpAGMARABlAHAAbwBzAGkAdABpAG8AbgBFAG0AaQBzAHMAaQBvAG4AcwBGAHIAbwBtAE0ATQBTAFwAbgAgACAAPQBMAEEATQBCAEQAQQAoAFwAbgAgACAAIAAgAE0ATQBTAF8AQQBUAE0ATwBTACwAIABFAEYAXwBOADIATwAsACAAQwBfAE4AMgBPACwAXABuACAAIAAgACAAKABNAE0AUwBfAEEAVABNAE8AUwAgACoAIABFAEYAXwBOADIATwAgACoAIABDAF8ATgAyAE8AKQAgACoAIAAxADAAIABeACAALQAzAFwAbgAgACAAKQA7AFwAbgBcAG4AVgBFAEUAUgBHAF8ANABfADYAXwAxAF8ANQBfAF8AMQBfAFQAbwB0AGEAbABBAG4AbgB1AGEAbABBAHQAbQBvAHMAcABoAGUAcgBpAGMARABlAHAAbwBzAGkAdABpAG8AbgBFAG0AaQBzAHMAaQBvAG4AcwBGAHIAbwBtAE0ATQBTAF8AVABpAHQAbABlAFwAbgAgACAAPQBMAEEATQBCAEQAQQAoAFwAIgBUAG8AdABhAGwAIABhAG4AbgB1AGEAbAAgAGEAdABtAG8AcwBwAGgAZQByAGkAYwAgAGQAZQBwAG8AcwBpAHQAaQBvAG4AIABlAG0AaQBzAHMAaQBvAG4AcwAgAGYAcgBvAG0AIABtAGEAbgB1AHIAZQAgAG0AYQBuAGEAZwBlAG0AZQBuAHQAXAAiACkAOwBcAG4AXABuAFYARQBFAFIARwBfADQAXwA2AF8AMQBfADUAXwBfADEAXwBUAG8AdABhAGwAQQBuAG4AdQBhAGwAQQB0AG0AbwBzAHAAaABlAHIAaQBjAEQAZQBwAG8AcwBpAHQAaQBvAG4ARQBtAGkAcwBzAGkAbwBuAHMARgByAG8AbQBNAE0AUwBfAFYAYQByAGkAYQBiAGwAZQBcAG4AIAAgAD0ATABBAE0AQgBEAEEAKABcACIARQBfAE4AMgBPAGEAZABcACIAKQA7AFwAbgBcAG4AVgBFAEUAUgBHAF8ANABfADYAXwAxAF8ANQBfAF8AMQBfAFQAbwB0AGEAbABBAG4AbgB1AGEAbABBAHQAbQBvAHMAcABoAGUAcgBpAGMARABlAHAAbwBzAGkAdABpAG8AbgBFAG0AaQBzAHMAaQBvAG4AcwBGAHIAbwBtAE0ATQBTAF8AVQBuAGkAdABcAG4AIAAgAD0ATABBAE0AQgBEAEEAKABcACIAdAAgAE4AMgBPAFwAIgApADsAXABuAFwAbgBWAEUARQBSAEcAXwA0AF8ANgBfADEAXwA1AF8AXwAxAF8AVABvAHQAYQBsAEEAbgBuAHUAYQBsAEEAdABtAG8AcwBwAGgAZQByAGkAYwBEAGUAcABvAHMAaQB0AGkAbwBuAEUAbQBpAHMAcwBpAG8AbgBzAEYAcgBvAG0ATQBNAFMAXwBTAG8AdQByAGMAZQBcAG4AIAAgAD0ATABBAE0AQgBEAEEAKABcACIAVgBFAEUAUgBHACAAMgAwADIANgA6ACAANAAuADYALgAxAC4ANQAsACAARQBxAHUAYQB0AGkAbwBuACAAKAAxACkAXAAiACkAOwBcAG4AXABuAFYARQBFAFIARwBfADQAXwA2AF8AMQBfADUAXwBfADEAXwBUAG8AdABhAGwAQQBuAG4AdQBhAGwAQQB0AG0AbwBzAHAAaABlAHIAaQBjAEQAZQBwAG8AcwBpAHQAaQBvAG4ARQBtAGkAcwBzAGkAbwBuAHMARgByAG8AbQBNAE0AUwBfAE4ASQBSAFIAZQBmAGUAcgBlAG4AYwBlAFwAbgAgACAAPQBMAEEATQBCAEQAQQAoAFwAIgBcACIAKQA7AFwAbgBcAG4AVgBFAEUAUgBHAF8ANABfADYAXwAxAF8ANQBfAF8AMQBfAFQAbwB0AGEAbABBAG4AbgB1AGEAbABBAHQAbQBvAHMAcABoAGUAcgBpAGMARABlAHAAbwBzAGkAdABpAG8AbgBFAG0AaQBzAHMAaQBvAG4AcwBGAHIAbwBtAE0ATQBTAF8ATABhAHQAZQB4AEUAcQB1AGEAdABpAG8AbgBcAG4AIAAgAD0ATABBAE0AQgBEAEEAKABcACIARQBfAHsATgAyAE8ALABhAGQAfQA9ACgATQBNAFMAXwB7AEEAVABNAE8AUwB9AFwAXAB0AGkAbQBlAHMAIABFAEYAXwB7AE4AMgBPAH0AXABcAHQAaQBtAGUAcwAgAEMAXwB7AE4AMgBPAH0AKQBcAFwAdABpAG0AZQBzADEAMABeAHsALQAzAH0AXAAiACkAOwBcAG4AXABuAFYARQBFAFIARwBfADQAXwA2AF8AMQBfADUAXwBfADEAXwBUAG8AdABhAGwAQQBuAG4AdQBhAGwAQQB0AG0AbwBzAHAAaABlAHIAaQBjAEQAZQBwAG8AcwBpAHQAaQBvAG4ARQBtAGkAcwBzAGkAbwBuAHMARgByAG8AbQBNAE0AUwBfAEEAcgBnAHUAbQBlAG4AdABzAFwAbgAgACAAPQBMAEEATQBCAEQAQQAoAFwAbgAgACAAIAAgAE0AQQBLAEUAQQBSAFIAQQBZACgANgAsACAANAAsAFwAbgAgACAAIAAgACAAIABMAEEATQBCAEQAQQAoAHIALABjACwAXABuACAAIAAgACAAIAAgACAAIABJAE4ARABFAFgAKAB7AFwAbgAgACAAIAAgACAAIAAgACAAIAAgAFwAIgBNAE0AUwBfAEEAVABNAE8AUwBcACIALABcACIAbQBhAHMAcwAgAG8AZgAgAE4AIAB2AG8AbABhAHQAaQBsAGkAcwBlAGQAIABmAHIAbwBtACAATQBNAFMAXAAiACwAIABcACIAawBnACAATgBcACIALAAgAFwAIgBDAGEAbABjAHUAbABhAHQAZQBkACAAZgByAG8AbQAgADQALgA2AC4AMQAuADUAIAAoADIAKQBcACIAOwBcAG4AIAAgACAAIAAgACAAIAAgACAAIABcACIARQBGAF8ATgAyAE8AXAAiACw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HIAYQB0AGkAbw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2AF8AMQBfADUAXwBfADIAXwBUAG8AdABhAGwATgBpAHQAcgBvAGcAZQBuAFYAbwBsAGEAdABpAGwAaQBzAGUAZABGAHIAbwBtAE0ATQBTAFwAbgBUAG8AdABhAGwAIABuAGkAdAByAG8AZwBlAG4AIAB2AG8AbABhAHQAaQBsAGkAcwBlAGQAIABmAHIAbwBtACAAbQBhAG4AdQByAGUAIABtAGEAbgBhAGcAZQBtAGUAbgB0ACAAcwB5AHMAdABlAG0AcwBcAG4ATQBNAFMAXwBBAFQATQBPAFMAXABuAGsAZwAgAE4AXABuAE0ATQBTAF8AewBBAFQATQBPAFMAfQA9AFwAXABzAHUAbQBfAHsAagB9AFwAXABzAHUAbQBfAHsAawB9AFwAXABzAHUAbQBfAHsAbQB9AFwAXABzAHUAbQBfAHsAVAB9ACgATQBOAF8AewBqAGsAbQBUAH0AXABcAHQAaQBtAGUAcwAgAEYAcgBhAGMARwBBAFMATQBfAHsAbQBUAH0AKQBcAG4ATQBOAF8AagBrAG0AVAAgAD0AIABuAGkAdAByAG8AZwBlAG4AIABpAG4AIABlAGEAYwBoACAAdAByAGUAYQB0AG0AZQBuAHQAIABzAHQAYQBnAGUAIABNAE0AUwAgACgAZQB4AGMAbAB1AGQAaQBuAGcAIABNAE4AXwBqAGsAbQAxADMAVAAyACkAIAA6ACAAawBnACAATgBcAG4ARgByAGEAYwBHAEEAUwBNAF8AbQBUACAAPQAgAGYAcgBhAGMAdABpAG8AbgAgAG8AZgAgAE4AIAB2AG8AbABhAHQAaQBsAGkAcwBlAGQAIABpAG4AIABlAGEAYwBoACAATQBNAFMAIAA6ACAAKABrAGcAIABOAEgAMwAtAE4AIAArACAATgBPAHgALQBOACkALwBrAGcAIABOAFwAbgAtAC0ALQAtAC0ALQAtAC0ALQAtAC0ALQAtAC0ALQAtAC0ALQAtAC0ALQAtAC0ALQAtAC0ALQAtAC0ALQAtAC0ALQAtAC0ALQAtAC0AXABuACoALwBcAG4AXABuAFYARQBFAFIARwBfADQAXwA2AF8AMQBfADUAXwBfADIAXwBUAG8AdABhAGwATgBpAHQAcgBvAGcAZQBuAFYAbwBsAGEAdABpAGwAaQBzAGUAZABGAHIAbwBtAE0ATQBTAFwAbgAgACAAPQBMAEEATQBCAEQAQQAoAFwAbgAgACAAIAAgAE0ATgBfAGoAawBtAFQALAAgAEYAcgBhAGMARwBBAFMATQBfAG0AVAAsAFwAbgAgACAAIAAgAE0ATgBfAGoAawBtAFQAIAAqACAARgByAGEAYwBHAEEAUwBNAF8AbQBUAFwAbgAgACAAKQA7AFwAbgBcAG4AVgBFAEUAUgBHAF8ANABfADYAXwAxAF8ANQBfAF8AMgBfAFQAbwB0AGEAbABOAGkAdAByAG8AZwBlAG4AVgBvAGwAYQB0AGkAbABpAHMAZQBkAEYAcgBvAG0ATQBNAFMAXwBUAGkAdABsAGUAXABuACAAIAA9AEwAQQBNAEIARABBACgAXAAiAFQAbwB0AGEAbAAgAG4AaQB0AHIAbwBnAGUAbgAgAHYAbwBsAGEAdABpAGwAaQBzAGUAZAAgAGYAcgBvAG0AIABtAGEAbgB1AHIAZQAgAG0AYQBuAGEAZwBlAG0AZQBuAHQAIABzAHkAcwB0AGUAbQBzAFwAIgApADsAXABuAFwAbgBWAEUARQBSAEcAXwA0AF8ANgBfADEAXwA1AF8AXwAyAF8AVABvAHQAYQBsAE4AaQB0AHIAbwBnAGUAbgBWAG8AbABhAHQAaQBsAGkAcwBlAGQARgByAG8AbQBNAE0AUwBfAFYAYQByAGkAYQBiAGwAZQBcAG4AIAAgAD0ATABBAE0AQgBEAEEAKABcACIATQBNAFMAXwBBAFQATQBPAFMAXAAiACkAOwBcAG4AXABuAFYARQBFAFIARwBfADQAXwA2AF8AMQBfADUAXwBfADIAXwBUAG8AdABhAGwATgBpAHQAcgBvAGcAZQBuAFYAbwBsAGEAdABpAGwAaQBzAGUAZABGAHIAbwBtAE0ATQBTAF8AVQBuAGkAdABcAG4AIAAgAD0ATABBAE0AQgBEAEEAKABcACIAawBnACAATgBcACIAKQA7AFwAbgBcAG4AVgBFAEUAUgBHAF8ANABfADYAXwAxAF8ANQBfAF8AMgBfAFQAbwB0AGEAbABOAGkAdAByAG8AZwBlAG4AVgBvAGwAYQB0AGkAbABpAHMAZQBkAEYAcgBvAG0ATQBNAFMAXwBTAG8AdQByAGMAZQBcAG4AIAAgAD0ATABBAE0AQgBEAEEAKABcACIAVgBFAEUAUgBHACAAMgAwADIANgA6ACAANAAuADYALgAxAC4ANQAsACAARQBxAHUAYQB0AGkAbwBuACAAKAAyACkAXAAiACkAOwBcAG4AXABuAFYARQBFAFIARwBfADQAXwA2AF8AMQBfADUAXwBfADIAXwBUAG8AdABhAGwATgBpAHQAcgBvAGcAZQBuAFYAbwBsAGEAdABpAGwAaQBzAGUAZABGAHIAbwBtAE0ATQBTAF8ATgBJAFIAUgBlAGYAZQByAGUAbgBjAGUAXABuACAAIAA9AEwAQQBNAEIARABBACgAXAAiAFwAIgApADsAXABuAFwAbgBWAEUARQBSAEcAXwA0AF8ANgBfADEAXwA1AF8AXwAyAF8AVABvAHQAYQBsAE4AaQB0AHIAbwBnAGUAbgBWAG8AbABhAHQAaQBsAGkAcwBlAGQARgByAG8AbQBNAE0AUwBfAEwAYQB0AGUAeABFAHEAdQBhAHQAaQBvAG4AXABuACAAIAA9AEwAQQBNAEIARABBACgAXAAiAE0ATQBTAF8AewBBAFQATQBPAFMAfQA9AFwAXABzAHUAbQBfAHsAagB9AFwAXABzAHUAbQBfAHsAawB9AFwAXABzAHUAbQBfAHsAbQB9AFwAXABzAHUAbQBfAHsAVAB9ACgATQBOAF8AewBqAGsAbQBUAH0AXABcAHQAaQBtAGUAcwAgAEYAcgBhAGMARwBBAFMATQBfAHsAbQBUAH0AKQBcACIAKQA7AFwAbgBcAG4AVgBFAEUAUgBHAF8ANABfADYAXwAxAF8ANQBfAF8AMgBfAFQAbwB0AGEAbABOAGkAdAByAG8AZwBlAG4AVgBvAGwAYQB0AGkAbABpAHMAZQBkAEYAcgBvAG0ATQBNAFMAXwBBAHIAZwB1AG0AZQBuAHQAcwBcAG4AIAAgAD0ATABBAE0AQgBEAEEAKABcAG4AIAAgACAAIABNAEEASwBFAEEAUgBSAEEAWQAoADIALAAgADQALABcAG4AIAAgACAAIAAgACAATABBAE0AQgBEAEEAKAByACwAYwAsAFwAbgAgACAAIAAgACAAIAAgACAASQBOAEQARQBYACgAewBcAG4AIAAgACAAIAAgACAAIAAgACAAIABcACIATQBOAF8AagBrAG0AVABcACIALABcACIAbgBpAHQAcgBvAGcAZQBuACAAaQBuACAAZQBhAGMAaAAgAHQAcgBlAGEAdABtAGUAbgB0ACAAcwB0AGEAZwBlACAATQBNAFMAIAAoAGUAeABjAGwAdQBkAGkAbgBnACAATQBOAF8AagBrAG0AMQAzAFQAMgApAFwAIgAsACAAXAAiAGsAZwAgAE4AXAAiACwAIABcACIAQwBhAGwAYwB1AGwAYQB0AGUAZAAgAGYAcgBvAG0AIAA0AC4ANgAuADEALgAzACAAKAAyACkAKAA2ACkAXAAiADsAXABuACAAIAAgACAAIAAgACAAIAAgACAAXAAiAEYAcgBhAGMARwBBAFMATQBfAG0AVABcACIALABcACIAZgByAGEAYwB0AGkAbwBuACAAbwBmACAATgAgAHYAbwBsAGEAdABpAGwAaQBzAGUAZAAgAGkAbgAgAGUAYQBjAGgAIABNAE0AU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0ATQBTAF8AUABvAHUAbAB0AHIAeQBfAEwAZQBhAGMAaABpAG4AZwBBAG4AZABSAHUAbgBvAGYAZ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NwAgAE0AZQB0AGgAbwBkACAAMQAgAC0AIABNAGEAbgB1AHIAZQAgAEwAZQBhAGMAaABpAG4AZwAgAGEAbgBkACAAUgB1AG4AbwBmAGY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3AF8AXwAxAF8AQQBuAG4AdQBhAGwARQBtAGkAcwBzAGkAbwBuAHMARgByAG8AbQBMAGUAYQBjAGgAaQBuAGcAQQBuAGQAUgB1AG4AbwBmAGYARgByAG8AbQBNAE0AUwBcAG4AQQBuAG4AdQBhAGwAIABlAG0AaQBzAHMAaQBvAG4AcwAgAGYAcgBvAG0AIABsAGUAYQBjAGgAaQBuAGcAIABhAG4AZAAgAHIAdQBuAG8AZgBmACAAZgByAG8AbQAgAGUAYQBjAGgAIABNAE0AUwBcAG4ARQBfAE4AMgBPAGwAZQBhAGMAaABcAG4AdAAgAE4AMgBPAFwAbgBFAF8AewBOADIATwAsAGwAZQBhAGMAaAB9AD0ATQBOAEwAZQBhAGMAaABfAHsAagBrAG0APQA0AH0AXABcAHQAaQBtAGUAcwAgAEUARgBfAHsAbABlAGEAYwBoAH0AXABcAHQAaQBtAGUAcwAgAEMAXwB7AE4AMgBPAH0AXABcAHQAaQBtAGUAcwAxADAAXgB7AC0AMwB9AFwAbgBNAE4ATABlAGEAYwBoAF8AagBrAG0ANAAgAD0AIABtAGEAcwBzACAAbwBmACAATgAgAGwAbwBzAHQAIAB0AGgAcgBvAHUAZwBoACAAbABlAGEAYwBoAGkAbgBnACAAYQBuAGQAIAByAHUAbgBvAGYAZgAgAGYAcgBvAG0AIABlAGEAYwBoACAATQBNAFMAIAA6ACAAawBnACAATgBcAG4ARQBGAF8AbABlAGEAYwBoACAAPQAgAGUAbQBpAHMAcwBpAG8AbgAgAGYAYQBjAHQAbwByACAAZgBvAHIAIABsAGUAYQBjAGgAaQBuAGcAIABhAG4AZAAgAHIAdQBuAG8AZgBmACAAOgAgAGsAZwAgAE4AMgBPAC0ATgAvAGsAZwAgAE4AXABuAEMAXwBOADIATwAgAD0AIABmAGEAYwB0AG8AcgAgAHQAbwAgAGMAbwBuAHYAZQByAHQAIABlAGwAZQBtAGUAbgB0AGEAbAAgAG0AYQBzAHMAIABvAGYAIABOADIATwAgAHQAbwAgAG0AbwBsAGUAYwB1AGwAYQByACAAbQBhAHMAcwAgADoAIAByAGEAdABpAG8AXABuAFYAQQBSAEkAQQBUAEkATwBOACAATwBGACAAUwBPAFUAUgBDAEUAOgAgAEYAbwByACAATQBlAHQAaABvAGQAIAAxACwAIABlAG0AaQBzAHMAaQBvAG4AcwAgAGEAcgBlACAAZQBzAHQAaQBtAGEAdABlAGQAIABmAG8AcgAgAHMAbwBsAGkAZAAgAHMAdABvAHIAYQBnAGUAIAAoAG0APQA0ACkALgBcAG4ALQAtAC0ALQAtAC0ALQAtAC0ALQAtAC0ALQAtAC0ALQAtAC0ALQAtAC0ALQAtAC0ALQAtAC0ALQAtAC0ALQAtAC0ALQAtAC0ALQAtAFwAbgAqAC8AXABuAFwAbgBWAEUARQBSAEcAXwA0AF8ANgBfADEAXwA3AF8AXwAxAF8AQQBuAG4AdQBhAGwARQBtAGkAcwBzAGkAbwBuAHMARgByAG8AbQBMAGUAYQBjAGgAaQBuAGcAQQBuAGQAUgB1AG4AbwBmAGYARgByAG8AbQBNAE0AUwBcAG4AIAAgAD0ATABBAE0AQgBEAEEAKABcAG4AIAAgACAAIABNAE4ATABlAGEAYwBoAF8AagBrAG0ANAAsACAARQBGAF8AbABlAGEAYwBoACwAIABDAF8ATgAyAE8ALABcAG4AIAAgACAAIAAoAE0ATgBMAGUAYQBjAGgAXwBqAGsAbQA0ACAAKgAgAEUARgBfAGwAZQBhAGMAaAAgACoAIABDAF8ATgAyAE8AKQAgACoAIAAxADAAIABeACAALQAzAFwAbgAgACAAKQA7AFwAbgBcAG4AVgBFAEUAUgBHAF8ANABfADYAXwAxAF8ANwBfAF8AMQBfAEEAbgBuAHUAYQBsAEUAbQBpAHMAcwBpAG8AbgBzAEYAcgBvAG0ATABlAGEAYwBoAGkAbgBnAEEAbgBkAFIAdQBuAG8AZgBmAEYAcgBvAG0ATQBNAFMAXwBUAGkAdABsAGUAXABuACAAIAA9AEwAQQBNAEIARABBACgAXAAiAEEAbgBuAHUAYQBsACAAZQBtAGkAcwBzAGkAbwBuAHMAIABmAHIAbwBtACAAbABlAGEAYwBoAGkAbgBnACAAYQBuAGQAIAByAHUAbgBvAGYAZgAgAGYAcgBvAG0AIABlAGEAYwBoACAATQBNAFMAXAAiACkAOwBcAG4AXABuAFYARQBFAFIARwBfADQAXwA2AF8AMQBfADcAXwBfADEAXwBBAG4AbgB1AGEAbABFAG0AaQBzAHMAaQBvAG4AcwBGAHIAbwBtAEwAZQBhAGMAaABpAG4AZwBBAG4AZABSAHUAbgBvAGYAZgBGAHIAbwBtAE0ATQBTAF8AVgBhAHIAaQBhAGIAbABlAFwAbgAgACAAPQBMAEEATQBCAEQAQQAoAFwAIgBFAF8ATgAyAE8AbABlAGEAYwBoAFwAIgApADsAXABuAFwAbgBWAEUARQBSAEcAXwA0AF8ANgBfADEAXwA3AF8AXwAxAF8AQQBuAG4AdQBhAGwARQBtAGkAcwBzAGkAbwBuAHMARgByAG8AbQBMAGUAYQBjAGgAaQBuAGcAQQBuAGQAUgB1AG4AbwBmAGYARgByAG8AbQBNAE0AUwBfAFUAbgBpAHQAXABuACAAIAA9AEwAQQBNAEIARABBACgAXAAiAHQAIABOADIATwBcACIAKQA7AFwAbgBcAG4AVgBFAEUAUgBHAF8ANABfADYAXwAxAF8ANwBfAF8AMQBfAEEAbgBuAHUAYQBsAEUAbQBpAHMAcwBpAG8AbgBzAEYAcgBvAG0ATABlAGEAYwBoAGkAbgBnAEEAbgBkAFIAdQBuAG8AZgBmAEYAcgBvAG0ATQBNAFMAXwBTAG8AdQByAGMAZQBcAG4AIAAgAD0ATABBAE0AQgBEAEEAKABcACIAVgBFAEUAUgBHACAAMgAwADIANgA6ACAANAAuADYALgAxAC4ANwAsACAARQBxAHUAYQB0AGkAbwBuACAAKAAxACkAXAAiACkAOwBcAG4AXABuAFYARQBFAFIARwBfADQAXwA2AF8AMQBfADcAXwBfADEAXwBBAG4AbgB1AGEAbABFAG0AaQBzAHMAaQBvAG4AcwBGAHIAbwBtAEwAZQBhAGMAaABpAG4AZwBBAG4AZABSAHUAbgBvAGYAZgBGAHIAbwBtAE0ATQBTAF8ATgBJAFIAUgBlAGYAZQByAGUAbgBjAGUAXABuACAAIAA9AEwAQQBNAEIARABBACgAXAAiAFwAIgApADsAXABuAFwAbgBWAEUARQBSAEcAXwA0AF8ANgBfADEAXwA3AF8AXwAxAF8AQQBuAG4AdQBhAGwARQBtAGkAcwBzAGkAbwBuAHMARgByAG8AbQBMAGUAYQBjAGgAaQBuAGcAQQBuAGQAUgB1AG4AbwBmAGYARgByAG8AbQBNAE0AUwBfAEwAYQB0AGUAeABFAHEAdQBhAHQAaQBvAG4AXABuACAAIAA9AEwAQQBNAEIARABBACgAXAAiAEUAXwB7AE4AMgBPACwAbABlAGEAYwBoAH0APQBNAE4ATABlAGEAYwBoAF8AewBqAGsAbQA9ADQAfQBcAFwAdABpAG0AZQBzACAARQBGAF8AewBsAGUAYQBjAGgAfQBcAFwAdABpAG0AZQBzACAAQwBfAHsATgAyAE8AfQBcAFwAdABpAG0AZQBzADEAMABeAHsALQAzAH0AXAAiACkAOwBcAG4AXABuAFYARQBFAFIARwBfADQAXwA2AF8AMQBfADcAXwBfADEAXwBBAG4AbgB1AGEAbABFAG0AaQBzAHMAaQBvAG4AcwBGAHIAbwBtAEwAZQBhAGMAaABpAG4AZwBBAG4AZABSAHUAbgBvAGYAZgBGAHIAbwBtAE0ATQBTAF8AQQByAGcAdQBtAGUAbgB0AHMAXABuACAAIAA9AEwAQQBNAEIARABBACgAXABuACAAIAAgACAATQBBAEsARQBBAFIAUgBBAFkAKAAzACwAIAA0ACwAXABuACAAIAAgACAAIAAgAEwAQQBNAEIARABBACgAcgAsAGMALABcAG4AIAAgACAAIAAgACAAIAAgAEkATgBEAEUAWAAoAHsAXABuACAAIAAgACAAIAAgACAAIAAgACAAXAAiAE0ATgBMAGUAYQBjAGgAXwBqAGsAbQA0AFwAIgAsAFwAIgBtAGEAcwBzACAAbwBmACAATgAgAGwAbwBzAHQAIAB0AGgAcgBvAHUAZwBoACAAbABlAGEAYwBoAGkAbgBnACAAYQBuAGQAIAByAHUAbgBvAGYAZgAgAGYAcgBvAG0AIABlAGEAYwBoACAATQBNAFMAXAAiACwAIABcACIAawBnACAATgBcACIALAAgAFwAIgBDAGEAbABjAHUAbABhAHQAZQBkACAAZgByAG8AbQAgADQALgA2AC4AMQAuADcAIAAoADIAKQBcACIAOwBcAG4AIAAgACAAIAAgACAAIAAgACAAIABcACIARQBGAF8AbABlAGEAYwBoAFwAIgAsAFwAIgBlAG0AaQBzAHMAaQBvAG4AIABmAGEAYwB0AG8AcgAgAGYAbwBy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OADIATwAgAHQAbwAgAG0AbwBsAGUAYwB1AGwAYQByACAAbQBhAHMAcwBcACIALAAgAFwAIgByAGEAdABpAG8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2AF8AMQBfADcAXwBfADIAXwBNAGEAcwBzAE8AZgBOAGkAdAByAG8AZwBlAG4ATABvAHMAdABUAG8ATABlAGEAYwBoAGkAbgBnAEEAbgBkAFIAdQBuAG8AZgBmAEYAcgBvAG0AUwBvAGwAaQBkAFMAdABvAHIAYQBnAGUAXABuAE0AYQBzAHMAIABvAGYAIABuAGkAdAByAG8AZwBlAG4AIABsAG8AcwB0ACAAdABvACAAbABlAGEAYwBoAGkAbgBnACAAYQBuAGQAIAByAHUAbgBvAGYAZgAgAGYAcgBvAG0AIABzAG8AbABpAGQAIABzAHQAbwByAGEAZwBlACAAcwB5AHMAdABlAG0AcwBcAG4ATQBOAEwAZQBhAGMAaABfAGoAawBtADQAXABuAGsAZwAgAE4AXABuAE0ATgBMAGUAYQBjAGgAXwB7AGoAawBtAD0ANAB9AD0ATQBOAF8AewBqAGsAbQA9ADQALABUAD0AMQB9AFwAXAB0AGkAbQBlAHMAIABGAHIAYQBjAFcARQBUAFwAXAB0AGkAbQBlAHMAIABGAHIAYQBjAEwARQBBAEMASABfAHsATQBTAH0AXABuAE0ATgBfAGoAawBtADQAVAAxACAAPQAgAG4AaQB0AHIAbwBnAGUAbgAgAGkAbgAgAHMAbwBsAGkAZAAgAHMAdABvAHIAYQBnAGUAIABNAE0AUwAgAHQAcgBlAGEAdABtAGUAbgB0ACAAcwB0AGEAZwBlACAAMQAgADoAIABrAGcAIABOAFwAbgBGAHIAYQBjAFcARQBUACAAPQAgAGYAcgBhAGMAdABpAG8AbgAgAG8AZgAgAE4AIABhAHYAYQBpAGwAYQBiAGwAZQAgAGYAbwByACAAbABlAGEAYwBoAGkAbgBnACAAYQBuAGQAIAByAHUAbgBvAGYAZgAgADoAIABmAHIAYQBjAHQAaQBvAG4AXABuAEYAcgBhAGMATABFAEEAQwBIAF8ATQBTACAAPQAgAGYAcgBhAGMAdABpAG8AbgAgAG8AZgAgAE4AIABsAG8AcwB0ACAAdABoAHIAbwB1AGcAaAAgAGwAZQBhAGMAaABpAG4AZwAgAGEAbgBkACAAcgB1AG4AbwBmAGYAIAA6ACAAZgByAGEAYwB0AGkAbwBuAFwAbgAtAC0ALQAtAC0ALQAtAC0ALQAtAC0ALQAtAC0ALQAtAC0ALQAtAC0ALQAtAC0ALQAtAC0ALQAtAC0ALQAtAC0ALQAtAC0ALQAtAC0AXABuACoALwBcAG4AXABuAFYARQBFAFIARwBfADQAXwA2AF8AMQBfADcAXwBfADIAXwBNAGEAcwBzAE8AZgBOAGkAdAByAG8AZwBlAG4ATABvAHMAdABUAG8ATABlAGEAYwBoAGkAbgBnAEEAbgBkAFIAdQBuAG8AZgBmAEYAcgBvAG0AUwBvAGwAaQBkAFMAdABvAHIAYQBnAGUAXABuACAAIAA9AEwAQQBNAEIARABBACgAXABuACAAIAAgACAATQBOAF8AagBrAG0ANABUADIALAAgAEYAcgBhAGMAVwBFAFQALAAgAEYAcgBhAGMATABFAEEAQwBIAF8ATQBTACwAXABuACAAIAAgACAATQBOAF8AagBrAG0ANABUADIAIAAqACAARgByAGEAYwBXAEUAVAAgACoAIABGAHIAYQBjAEwARQBBAEMASABfAE0AUwBcAG4AIAAgACkAOwBcAG4AXABuAFYARQBFAFIARwBfADQAXwA2AF8AMQBfADcAXwBfADIAXwBNAGEAcwBzAE8AZgBOAGkAdAByAG8AZwBlAG4ATABvAHMAdABUAG8ATABlAGEAYwBoAGkAbgBnAEEAbgBkAFIAdQBuAG8AZgBmAEYAcgBvAG0AUwBvAGwAaQBkAFMAdABvAHIAYQBnAGUAXwBUAGkAdABsAGUAXABuACAAIAA9AEwAQQBNAEIARABBACgAXAAiAE0AYQBzAHMAIABvAGYAIABuAGkAdAByAG8AZwBlAG4AIABsAG8AcwB0ACAAdABvACAAbABlAGEAYwBoAGkAbgBnACAAYQBuAGQAIAByAHUAbgBvAGYAZgAgAGYAcgBvAG0AIABzAG8AbABpAGQAIABzAHQAbwByAGEAZwBlACAAcwB5AHMAdABlAG0AcwBcACIAKQA7AFwAbgBcAG4AVgBFAEUAUgBHAF8ANABfADYAXwAxAF8ANwBfAF8AMgBfAE0AYQBzAHMATwBmAE4AaQB0AHIAbwBnAGUAbgBMAG8AcwB0AFQAbwBMAGUAYQBjAGgAaQBuAGcAQQBuAGQAUgB1AG4AbwBmAGYARgByAG8AbQBTAG8AbABpAGQAUwB0AG8AcgBhAGcAZQBfAFYAYQByAGkAYQBiAGwAZQBcAG4AIAAgAD0ATABBAE0AQgBEAEEAKABcACIATQBOAEwAZQBhAGMAaABfAGoAawBtADQAXAAiACkAOwBcAG4AXABuAFYARQBFAFIARwBfADQAXwA2AF8AMQBfADcAXwBfADIAXwBNAGEAcwBzAE8AZgBOAGkAdAByAG8AZwBlAG4ATABvAHMAdABUAG8ATABlAGEAYwBoAGkAbgBnAEEAbgBkAFIAdQBuAG8AZgBmAEYAcgBvAG0AUwBvAGwAaQBkAFMAdABvAHIAYQBnAGUAXwBVAG4AaQB0AFwAbgAgACAAPQBMAEEATQBCAEQAQQAoAFwAIgBrAGcAIABOAFwAIgApADsAXABuAFwAbgBWAEUARQBSAEcAXwA0AF8ANgBfADEAXwA3AF8AXwAyAF8ATQBhAHMAcwBPAGYATgBpAHQAcgBvAGcAZQBuAEwAbwBzAHQAVABvAEwAZQBhAGMAaABpAG4AZwBBAG4AZABSAHUAbgBvAGYAZgBGAHIAbwBtAFMAbwBsAGkAZABTAHQAbwByAGEAZwBlAF8AUwBvAHUAcgBjAGUAXABuACAAIAA9AEwAQQBNAEIARABBACgAXAAiAFYARQBFAFIARwAgADIAMAAyADYAOgAgADQALgA2AC4AMQAuADcALAAgAEUAcQB1AGEAdABpAG8AbgAgACgAMgApAFwAIgApADsAXABuAFwAbgBWAEUARQBSAEcAXwA0AF8ANgBfADEAXwA3AF8AXwAyAF8ATQBhAHMAcwBPAGYATgBpAHQAcgBvAGcAZQBuAEwAbwBzAHQAVABvAEwAZQBhAGMAaABpAG4AZwBBAG4AZABSAHUAbgBvAGYAZgBGAHIAbwBtAFMAbwBsAGkAZABTAHQAbwByAGEAZwBlAF8ATgBJAFIAUgBlAGYAZQByAGUAbgBjAGUAXABuACAAIAA9AEwAQQBNAEIARABBACgAXAAiAFwAIgApADsAXABuAFwAbgBWAEUARQBSAEcAXwA0AF8ANgBfADEAXwA3AF8AXwAyAF8ATQBhAHMAcwBPAGYATgBpAHQAcgBvAGcAZQBuAEwAbwBzAHQAVABvAEwAZQBhAGMAaABpAG4AZwBBAG4AZABSAHUAbgBvAGYAZgBGAHIAbwBtAFMAbwBsAGkAZABTAHQAbwByAGEAZwBlAF8ATABhAHQAZQB4AEUAcQB1AGEAdABpAG8AbgBcAG4AIAAgAD0ATABBAE0AQgBEAEEAKABcACIATQBOAEwAZQBhAGMAaABfAHsAagBrAG0APQA0AH0APQBNAE4AXwB7AGoAawBtAD0ANAAsAFQAPQAyAH0AXABcAHQAaQBtAGUAcwAgAEYAcgBhAGMAVwBFAFQAXABcAHQAaQBtAGUAcwAgAEYAcgBhAGMATABFAEEAQwBIAF8AewBNAFMAfQBcACIAKQA7AFwAbgBcAG4AVgBFAEUAUgBHAF8ANABfADYAXwAxAF8ANwBfAF8AMgBfAE0AYQBzAHMATwBmAE4AaQB0AHIAbwBnAGUAbgBMAG8AcwB0AFQAbwBMAGUAYQBjAGgAaQBuAGcAQQBuAGQAUgB1AG4AbwBmAGYARgByAG8AbQBTAG8AbABpAGQAUwB0AG8AcgBhAGcAZQBfAEEAcgBnAHUAbQBlAG4AdABzAFwAbgAgACAAPQBMAEEATQBCAEQAQQAoAFwAbgAgACAAIAAgAE0AQQBLAEUAQQBSAFIAQQBZACgANgAsACAANAAsAFwAbgAgACAAIAAgACAAIABMAEEATQBCAEQAQQAoAHIALABjACwAXABuACAAIAAgACAAIAAgACAAIABJAE4ARABFAFgAKAB7AFwAbgAgACAAIAAgACAAIAAgACAAIAAgAFwAIgBNAE4AXwBqAGsAbQA0AFQAMgBcACIALABcACIAbgBpAHQAcgBvAGcAZQBuACAAaQBuACAAcwBvAGwAaQBkACAAcwB0AG8AcgBhAGcAZQAgAE0ATQBTACAAdAByAGUAYQB0AG0AZQBuAHQAIABzAHQAYQBnAGUAIAAyAFwAIgAsACAAXAAiAGsAZwAgAE4AXAAiACwAIABcACIAQwBhAGwAYwB1AGwAYQB0AGUAZAAgAGYAcgBvAG0AIAA0AC4ANgAuADEALgAzACAAKAA2ACkAXAAiADsAXABuACAAIAAgACAAIAAgACAAIAAgACAAXAAiAEYAcgBhAGMAVwBFAFQAXAAiACwAXAAiAGYAcgBhAGMAdABpAG8AbgAgAG8AZgAgAE4AIABhAHYAYQBpAGwAYQBiAGwAZQAgAGYAbwByACAAbABlAGEAYwBoAGkAbgBnACAAYQBuAGQAIAByAHUAbgBvAGYAZgBcACIALAAgAFwAIgBmAHIAYQBjAHQAaQBvAG4AXAAiACwAIABcACIAQwBvAG4AcwB0AGEAbgB0AFwAIgA7AFwAbgAgACAAIAAgACAAIAAgACAAIAAgAFwAIgBGAHIAYQBjAEwARQBBAEMASABfAE0AUwBcACIALABcACIAZgByAGEAYwB0AGkAbwBuACAAbwBmACAATgAgAGwAbwBzAHQAIAB0AGgAcgBvAHUAZwBoACAAbABlAGEAYwBoAGkAbgBnACAAYQBuAGQAIAByAHUAbgBvAGYAZgBcACIALAAgAFwAIgBmAHIAYQBjAHQAaQBvAG4AXAAiACwAIABcACIAQwBvAG4AcwB0AGEAbgB0AFwAIgA7AFwAbgAgACAAIAAgACAAIAAgACAAIAAgAFwAIgB6AFwAIgAsACAAXAAiAGwAbwBjAGEAdABpAG8AbgAgAGkAbgAgAGwAZQBhAGMAaABpAG4AZwAgAHoAbwBuAGUAXAAiACwAIABcACIAXAAiACwAIABcACIASQBuAHAAdQ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BcAG4AIAAgACAAIAAgACAAIAAgAH0ALAAgAHIALAAgAGMAKQBcAG4AIAAgACAAIAAgACAAKQBcAG4AIAAgACAAIAApAFwAbgAgACAAKQA7AFwAbgAiAH0ALAB7ACIAcABhAHQAaAAiADoAIgAvAHAAcgBvAGoAZQBjAHQAcwAvAE0ATQBTAF8AUABvAHUAbAB0AHIAeQ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EAIABNAGUAdABoAG8AZAAgADEAIAAtACAATQBhAG4AdQByAGUAIABNAGUAdABoAGEAbgBl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EAXwBfADEAXwBUAG8AdABhAGwAQQBuAG4AdQBhAGwATQBlAHQAaABhAG4AZQBFAG0AaQBzAHMAaQBvAG4AcwBcAG4AVABvAHQAYQBsACAAYQBuAG4AdQBhAGwAIABtAGUAdABoAGEAbgBlACAAZQBtAGkAcwBzAGkAbwBuAHMAIABmAHIAbwBtACAAbQBhAG4AdQByAGUAIABtAGEAbgBhAGcAZQBtAGUAbgB0AFwAbgBFAF8AQwBIADQAXABuAHQAIABDAEgANABcAG4ARQBfAHsAQwBIADQAfQA9AFwAXABzAHUAbQBfAHsAagB9AFwAXABzAHUAbQBfAHsAawB9AFwAXABzAHUAbQBfAHsAbQB9AFwAXABzAHUAbQBfAHsAVAB9ACgARABfAHsAagBrAH0AXABcAHQAaQBtAGUAcwAgAE0AXwB7AGoAawBtAFQAfQBcAFwAdABpAG0AZQBzACAATgBfAHsAagBrAH0AKQBcAFwAdABpAG0AZQBzADEAMABeAHsALQAzAH0AXABuAEQAXwBqAGsAIAA9ACAAZAB1AHIAYQB0AGkAbwBuACAAbwBmACAAcwB0AGEAeQAgAG8AZgAgAGUAYQBjAGgAIABjAGwAYQBzAHMAIABhAG4AZAAgAHMAdQBiAGMAbABhAHMAcwAgAG8AZgAgAHAAbwB1AGwAdAByAHkAIAA6ACAAZABhAHkAcwBcAG4ATQBfAGoAawBtAFQAIAA9ACAAbQBlAHQAaABhAG4AZQAgAHAAcgBvAGQAdQBjAHQAaQBvAG4AIABmAHIAbwBtACAAbQBhAG4AdQByAGUAIABwAGUAcgAgAGMAbABhAHMAcwAsACAAcwB1AGIAYwBsAGEAcwBzACwAIABNAE0AUwAsACAAYQBuAGQAIAB0AHIAZQBhAHQAbQBlAG4AdAAgAHMAdABhAGcAZQAgADoAIABrAGcAIABDAEgANAAvAGIAaQByAGQALwBkAGEAeQBcAG4ATgBfAGoAawAgAD0AIABuAHUAbQBiAGUAcgBzACAAbwBmACAAcABvAHUAbAB0AHIAeQAgAGkAbgAgAGUAYQBjAGgAIABjAGwAYQBzAHMAIABhAG4AZAAgAHMAdQBiAGMAbABhAHMAcwAgADoAIABiAGkAcgBkAFwAbgAtAC0ALQAtAC0ALQAtAC0ALQAtAC0ALQAtAC0ALQAtAC0ALQAtAC0ALQAtAC0ALQAtAC0ALQAtAC0ALQAtAC0ALQAtAC0ALQAtAC0AXABuACoALwBcAG4AXABuAFYARQBFAFIARwBfADQAXwA2AF8AMQBfADEAXwBfADEAXwBUAG8AdABhAGwAQQBuAG4AdQBhAGwATQBlAHQAaABhAG4AZQBFAG0AaQBzAHMAaQBvAG4AcwBcAG4AIAAgAD0ATABBAE0AQgBEAEEAKABcAG4AIAAgACAAIABEAF8AagBrACwAIABNAF8AagBrAG0AVAAsACAATgBfAGoAawAsAFwAbgAgACAAIAAgACgARABfAGoAawAgACoAIABNAF8AagBrAG0AVAAgACoAIABOAF8AagBrACkAIAAqACAAMQAwACAAXgAgAC0AMwBcAG4AIAAgACkAOwBcAG4AXABuAFYARQBFAFIARwBfADQAXwA2AF8AMQBfADEAXwBfADEAXwBUAG8AdABhAGwAQQBuAG4AdQBhAGwATQBlAHQAaABhAG4AZQBFAG0AaQBzAHMAaQBvAG4AcwBfAFQAaQB0AGwAZQBcAG4AIAAgAD0ATABBAE0AQgBEAEEAKABcACIAVABvAHQAYQBsACAAYQBuAG4AdQBhAGwAIABtAGUAdABoAGEAbgBlACAAZQBtAGkAcwBzAGkAbwBuAHMAIABmAHIAbwBtACAAbQBhAG4AdQByAGUAIABtAGEAbgBhAGcAZQBtAGUAbgB0AFwAIgApADsAXABuAFwAbgBWAEUARQBSAEcAXwA0AF8ANgBfADEAXwAxAF8AXwAxAF8AVABvAHQAYQBsAEEAbgBuAHUAYQBsAE0AZQB0AGgAYQBuAGUARQBtAGkAcwBzAGkAbwBuAHMAXwBWAGEAcgBpAGEAYgBsAGUAXABuACAAIAA9AEwAQQBNAEIARABBACgAXAAiAEUAXwBDAEgANABcACIAKQA7AFwAbgBcAG4AVgBFAEUAUgBHAF8ANABfADYAXwAxAF8AMQBfAF8AMQBfAFQAbwB0AGEAbABBAG4AbgB1AGEAbABNAGUAdABoAGEAbgBlAEUAbQBpAHMAcwBpAG8AbgBzAF8AVQBuAGkAdABcAG4AIAAgAD0ATABBAE0AQgBEAEEAKABcACIAdAAgAEMASAA0AFwAIgApADsAXABuAFwAbgBWAEUARQBSAEcAXwA0AF8ANgBfADEAXwAxAF8AXwAxAF8AVABvAHQAYQBsAEEAbgBuAHUAYQBsAE0AZQB0AGgAYQBuAGUARQBtAGkAcwBzAGkAbwBuAHMAXwBTAG8AdQByAGMAZQBcAG4AIAAgAD0ATABBAE0AQgBEAEEAKABcACIAVgBFAEUAUgBHACAAMgAwADIANgA6ACAANAAuADQALgAxAC4AMQAsACAARQBxAHUAYQB0AGkAbwBuACAAKAAxACkAXAAiACkAOwBcAG4AXABuAFYARQBFAFIARwBfADQAXwA2AF8AMQBfADEAXwBfADEAXwBUAG8AdABhAGwAQQBuAG4AdQBhAGwATQBlAHQAaABhAG4AZQBFAG0AaQBzAHMAaQBvAG4AcwBfAE4ASQBSAFIAZQBmAGUAcgBlAG4AYwBlAFwAbgAgACAAPQBMAEEATQBCAEQAQQAoAFwAIgBcACIAKQA7AFwAbgBcAG4AVgBFAEUAUgBHAF8ANABfADYAXwAxAF8AMQBfAF8AMQBfAFQAbwB0AGEAbABBAG4AbgB1AGEAbABNAGUAdABoAGEAbgBlAEUAbQBpAHMAcwBpAG8AbgBzAF8ATABhAHQAZQB4AEUAcQB1AGEAdABpAG8AbgBcAG4AIAAgAD0ATABBAE0AQgBEAEEAKABcACIARQBfAHsAQwBIADQAfQA9AFwAXABzAHUAbQBfAHsAagB9AFwAXABzAHUAbQBfAHsAawB9AFwAXABzAHUAbQBfAHsAbQB9AFwAXABzAHUAbQBfAHsAVAB9ACgARABfAHsAagBrAH0AXABcAHQAaQBtAGUAcwAgAE0AXwB7AGoAawBtAFQAfQBcAFwAdABpAG0AZQBzACAATgBfAHsAagBrAH0AKQBcAFwAdABpAG0AZQBzADEAMABeAHsALQAzAH0AXAAiACkAOwBcAG4AXABuAFYARQBFAFIARwBfADQAXwA2AF8AMQBfADEAXwBfADEAXwBUAG8AdABhAGwAQQBuAG4AdQBhAGwATQBlAHQAaABhAG4AZQBFAG0AaQBzAHMAaQBvAG4AcwBfAEEAcgBnAHUAbQBlAG4AdABzAFwAbgAgACAAPQBMAEEATQBCAEQAQQAoAFwAbgAgACAAIAAgAE0AQQBLAEUAQQBSAFIAQQBZACgAMwAsACAANAAsAFwAbgAgACAAIAAgACAAIABMAEEATQBCAEQAQQAoAHIALABjACwAXABuACAAIAAgACAAIAAgACAAIABJAE4ARABFAFgAKAB7AFwAbgAgACAAIAAgACAAIAAgACAAIAAgAFwAIgBEAF8AagBrAFwAIgAsAFwAIgBkAHUAcgBhAHQAaQBvAG4AIABvAGYAIABzAHQAYQB5ACAAbwBmACAAZQBhAGMAaAAgAGMAbABhAHMAcwAgAGEAbgBkACAAcwB1AGIAYwBsAGEAcwBzACAAbwBmACAAcABvAHUAbAB0AHIAeQBcACIALAAgAFwAIgBkAGEAeQBzAFwAIgAsACAAXAAiAEkAbgBwAHUAdABcACIAOwBcAG4AIAAgACAAIAAgACAAIAAgACAAIABcACIATQBfAGoAawBtAFQAXAAiACwAXAAiAG0AZQB0AGgAYQBuAGUAIABwAHIAbwBkAHUAYwB0AGkAbwBuACAAZgByAG8AbQAgAG0AYQBuAHUAcgBlACAAcABlAHIAIABjAGwAYQBzAHMALAAgAHMAdQBiAGMAbABhAHMAcwAsACAATQBNAFMALAAgAGEAbgBkACAAdAByAGUAYQB0AG0AZQBuAHQAIABzAHQAYQBnAGUAXAAiACwAIABcACIAawBnACAAQwBIADQALwBiAGkAcgBkAC8AZABhAHkAXAAiACwAIABcACIAQwBhAGwAYwB1AGwAYQB0AGUAZAAgAGYAcgBvAG0AIAA0AC4ANgAuADEALgAxACAAKAAyACkAKAAzACkAXAAiADsAXABuACAAIAAgACAAIAAgACAAIAAgACAAXAAiAE4AXwBqAGsAXAAiACwAXAAiAG4AdQBtAGIAZQByAHMAIABvAGYAIABwAG8AdQBsAHQAcgB5ACAAaQBuACAAZQBhAGMAaAAgAGMAbABhAHMAcwAgAGEAbgBkACAAcwB1AGIAYwBsAGEAcwBzAFwAIgAsACAAXAAiAGIAaQByAGQ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MQBfAF8AMgBfAFMAdABhAGcAZQAxAE0AZQB0AGgAYQBuAGUAUAByAG8AZAB1AGMAdABpAG8AbgBcAG4AUAByAG8AZAB1AGMAdABpAG8AbgAgAG8AZgAgAG0AZQB0AGgAYQBuAGUAIABpAG4AIAB0AHIAZQBhAHQAbQBlAG4AdAAgAHMAdABhAGcAZQAgADEAIABNAE0AUwBcAG4ATQBfAGoAawBtAFQAMQBcAG4AawBnACAAQwBIADQALwBiAGkAcgBkAC8AZABhAHkAXABuAE0AXwB7AGoAawBtAFQAPQAxAH0APQBWAFMAXwB7AGoAawB9AFwAXAB0AGkAbQBlAHMAIABCAE8AXwB7AGoAfQBcAFwAdABpAG0AZQBzACAATQBNAFMAXwB7AGoAbQBUAD0AMQB9AFwAXAB0AGkAbQBlAHMAIABNAEMARgBfAHsAaQBtAH0AXABcAHQAaQBtAGUAcwAgAFwAXAByAGgAbwBcAG4AVgBTAF8AagBrACAAPQAgAHYAbwBsAGEAdABpAGwAZQAgAHMAbwBsAGkAZAAgAHAAcgBvAGQAdQBjAHQAaQBvAG4AIABwAG8AdQBsAHQAcgB5ACAAYwBsAGEAcwBzAGUAcwAgADoAIABrAGcAIABWAFMALwBiAGkAcgBkAC8AZABhAHkAXABuAEIATwBfAGoAIAA9ACAAZQBtAGkAcwBzAGkAbwBuAHMAIABwAG8AdABlAG4AdABpAGEAbAAgAHAAZQByACAAYwBsAGEAcwBzACAAOgAgAG0AMwAgAEMASAA0AC8AawBnACAAVgBTAFwAbgBNAE0AUwBfAGoAbQBUADEAIAA9ACAAZgByAGEAYwB0AGkAbwBuACAAbwBmACAAbQBhAG4AdQByAGUAIABpAG4AIABlAGEAYwBoACAAcAByAGkAbQBhAHIAeQAgAHMAeQBzAHQAZQBtACAAOgAgAGYAcgBhAGMAdABpAG8AbgBcAG4ATQBDAEYAXwBpAG0AIAA9ACAAbQBlAHQAaABhAG4AZQAgAGMAbwBuAHYAZQByAHMAaQBvAG4AIABmAGEAYwB0AG8AcgAgAGYAbwByACAAdABlAG0AcABlAHIAYQB0AHUAcgBlACAAegBvAG4AZQAgAGEAbgBkACAATQBNAFMAIAA6ACAAZgByAGEAYwB0AGkAbwBuAFwAbgByAGgAbwAgAD0AIABkAGUAbgBzAGkAdAB5ACAAbwBmACAAbQBlAHQAaABhAG4AZQAgADoAIABrAGcALwBtADMAXABuAC0ALQAtAC0ALQAtAC0ALQAtAC0ALQAtAC0ALQAtAC0ALQAtAC0ALQAtAC0ALQAtAC0ALQAtAC0ALQAtAC0ALQAtAC0ALQAtAC0ALQBcAG4AKgAvAFwAbgBcAG4AVgBFAEUAUgBHAF8ANABfADYAXwAxAF8AMQBfAF8AMgBfAFMAdABhAGcAZQAxAE0AZQB0AGgAYQBuAGUAUAByAG8AZAB1AGMAdABpAG8AbgBcAG4AIAAgAD0ATABBAE0AQgBEAEEAKABcAG4AIAAgACAAIABWAFMAXwBqAGsALAAgAEIATwBfAGoALAAgAE0ATQBTAF8AagBtAFQAMQAsACAATQBDAEYAXwBpAG0ALAAgAHIAaABvACwAXABuACAAIAAgACAAVgBTAF8AagBrACAAKgAgAEIATwBfAGoAIAAqACAATQBNAFMAXwBqAG0AVAAxACAAKgAgAE0AQwBGAF8AaQBtACAAKgAgAHIAaABvAFwAbgAgACAAKQA7AFwAbgBcAG4AVgBFAEUAUgBHAF8ANABfADYAXwAxAF8AMQBfAF8AMgBfAFMAdABhAGcAZQAxAE0AZQB0AGgAYQBuAGUAUAByAG8AZAB1AGMAdABpAG8AbgBfAFQAaQB0AGwAZQBcAG4AIAAgAD0ATABBAE0AQgBEAEEAKABcACIAUAByAG8AZAB1AGMAdABpAG8AbgAgAG8AZgAgAG0AZQB0AGgAYQBuAGUAIABpAG4AIAB0AHIAZQBhAHQAbQBlAG4AdAAgAHMAdABhAGcAZQAgADEAIABNAE0AUwBcACIAKQA7AFwAbgBcAG4AVgBFAEUAUgBHAF8ANABfADYAXwAxAF8AMQBfAF8AMgBfAFMAdABhAGcAZQAxAE0AZQB0AGgAYQBuAGUAUAByAG8AZAB1AGMAdABpAG8AbgBfAFYAYQByAGkAYQBiAGwAZQBcAG4AIAAgAD0ATABBAE0AQgBEAEEAKABcACIATQBfAGoAawBtAFQAMQBcACIAKQA7AFwAbgBcAG4AVgBFAEUAUgBHAF8ANABfADYAXwAxAF8AMQBfAF8AMgBfAFMAdABhAGcAZQAxAE0AZQB0AGgAYQBuAGUAUAByAG8AZAB1AGMAdABpAG8AbgBfAFUAbgBpAHQAXABuACAAIAA9AEwAQQBNAEIARABBACgAXAAiAGsAZwAgAEMASAA0AC8AYgBpAHIAZAAvAGQAYQB5AFwAIgApADsAXABuAFwAbgBWAEUARQBSAEcAXwA0AF8ANgBfADEAXwAxAF8AXwAyAF8AUwB0AGEAZwBlADEATQBlAHQAaABhAG4AZQBQAHIAbwBkAHUAYwB0AGkAbwBuAF8AUwBvAHUAcgBjAGUAXABuACAAIAA9AEwAQQBNAEIARABBACgAXAAiAFYARQBFAFIARwAgADIAMAAyADYAOgAgADQALgA0AC4AMQAuADEALAAgAEUAcQB1AGEAdABpAG8AbgAgACgAMgApAFwAIgApADsAXABuAFwAbgBWAEUARQBSAEcAXwA0AF8ANgBfADEAXwAxAF8AXwAyAF8AUwB0AGEAZwBlADEATQBlAHQAaABhAG4AZQBQAHIAbwBkAHUAYwB0AGkAbwBuAF8ATgBJAFIAUgBlAGYAZQByAGUAbgBjAGUAXABuACAAIAA9AEwAQQBNAEIARABBACgAXAAiAFwAIgApADsAXABuAFwAbgBWAEUARQBSAEcAXwA0AF8ANgBfADEAXwAxAF8AXwAyAF8AUwB0AGEAZwBlADEATQBlAHQAaABhAG4AZQBQAHIAbwBkAHUAYwB0AGkAbwBuAF8ATABhAHQAZQB4AEUAcQB1AGEAdABpAG8AbgBcAG4AIAAgAD0ATABBAE0AQgBEAEEAKABcACIATQBfAHsAagBrAG0AVAA9ADEAfQA9AFYAUwBfAHsAagBrAH0AXABcAHQAaQBtAGUAcwAgAEIATwBfAHsAagB9AFwAXAB0AGkAbQBlAHMAIABNAE0AUwBfAHsAagBtAFQAPQAxAH0AXABcAHQAaQBtAGUAcwAgAE0AQwBGAF8AewBpAG0AfQBcAFwAdABpAG0AZQBzACAAXABcAHIAaABvAFwAIgApADsAXABuAFwAbgBWAEUARQBSAEcAXwA0AF8ANgBfADEAXwAxAF8AXwAyAF8AUwB0AGEAZwBlADEATQBlAHQAaABhAG4AZQBQAHIAbwBkAHUAYwB0AGkAbwBuAF8AQQByAGcAdQBtAGUAbgB0AHMAXABuACAAIAA9AEwAQQBNAEIARABBACgAXABuACAAIAAgACAATQBBAEsARQBBAFIAUgBBAFkAKAA2ACwAIAA0ACwAXABuACAAIAAgACAAIAAgAEwAQQBNAEIARABBACgAcgAsAGMALABcAG4AIAAgACAAIAAgACAAIAAgAEkATgBEAEUAWAAoAHsAXABuACAAIAAgACAAIAAgACAAIAAgACAAXAAiAFYAUwBfAGoAawBcACIALABcACIAdgBvAGwAYQB0AGkAbABlACAAcwBvAGwAaQBkACAAcAByAG8AZAB1AGMAdABpAG8AbgAgAHAAbwB1AGwAdAByAHkAIABjAGwAYQBzAHMAZQBzAFwAIgAsACAAXAAiAGsAZwAgAFYAUwAvAGIAaQByAGQALwBkAGEAeQBcACIALAAgAFwAIgBDAGEAbABjAHUAbABhAHQAZQBkACAAZgByAG8AbQAgADQALgA2AC4AMQAuADEAIAAoADUAKQBcACIAOwBcAG4AIAAgACAAIAAgACAAIAAgACAAIABcACIAQgBPAF8AagBcACIALABcACIAZQBtAGkAcwBzAGkAbwBuAHMAIABwAG8AdABlAG4AdABpAGEAbAAgAHAAZQByACAAYwBsAGEAcwBzAFwAIgAsACAAXAAiAG0AMwAgAEMASAA0AC8AawBnACAAVgBTAFwAIgAsACAAXAAiAEMAbwBuAHMAdABhAG4AdABcACIAOwBcAG4AIAAgACAAIAAgACAAIAAgACAAIABcACIATQBNAFMAXwBqAG0AVAAxAFwAIgAsAFwAIgBmAHIAYQBjAHQAaQBvAG4AIABvAGYAIABtAGEAbgB1AHIAZQAgAGkAbgAgAGUAYQBjAGgAIABwAHIAaQBtAGEAcgB5ACAAcwB5AHMAdABlAG0AXAAiACwAIABcACIAZgByAGEAYwB0AGkAbwBuAFwAIgAsACAAXAAiAEkAbgBwAHUAdABcACIAOwBcAG4AIAAgACAAIAAgACAAIAAgACAAIABcACIATQBDAEYAXwBpAG0AXAAiACw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0AF8ANgBfADEAXwAxAF8AXwAyAF8AUwB0AGEAZwBlADEATQBlAHQAaABhAG4AZQBQAHIAbwBkAHUAYwB0AGk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GsAXAAiACwAXAAiAHYAbwBsAGEAdABpAGwAZQAgAHMAbwBsAGkAZAAgAHAAcgBvAGQAdQBjAHQAaQBvAG4AIABwAG8AdQBsAHQAcgB5ACAAYwBsAGEAcwBzAGUAcwBcACIALAAgAFwAIgBrAGcAIABWAFMALwBiAGkAcgBkAC8AZABhAHkAXAAiACwAIABcACIAQwBhAGwAYwB1AGwAYQB0AGUAZAAgAGYAcgBvAG0AIAA0AC4ANgAuADEALgAxACAAKAA1ACkAXAAiADsAXABuACAAIAAgACAAIAAgACAAIAAgACAAXAAiAEIATwBfAGoAXAAiACwAXAAiAGUAbQBpAHMAcwBpAG8AbgBzACAAcABvAHQAZQBuAHQAaQBhAGwAIABwAGUAcgAgAGMAbABhAHMAcwBcACIALAAgAFwAIgBtADMAIABDAEgANAAvAGsAZwAgAFYAUwBcACIALAAgAFwAIgBDAG8AbgBzAHQAYQBuAHQAXAAiADsAXABuACAAIAAgACAAIAAgACAAIAAgACAAXAAiAE0ATQBTAF8AagBtAFQAMQBcACIALABcACIAZgByAGEAYwB0AGkAbwBuACAAbwBmACAAbQBhAG4AdQByAGUAIABpAG4AIABlAGEAYwBoACAAcAByAGkAbQBhAHIAeQAgAHMAeQBzAHQAZQBtAFwAIgAsACAAXAAiAGYAcgBhAGMAdABpAG8AbgBcACIALAAgAFwAIgBJAG4AcAB1AHQAXAAiADsAXABuACAAIAAgACAAIAAgACAAIAAgACAAXAAiAE0AQwBGAF8AaQBtAFwAIgAs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tAGUAYQBuACAAYQBuAG4AdQBhAGwAIAB0AGUAbQBwAGUAcgBhAHQAdQByAGUAXAAiACwAIABcACIAsABDAFwAIgAsACAAXAAiAEkAbgBwAHUAdABcACIAXABuACAAIAAgACAAIAAgACAAIAB9ACwAIAByACwAIABjACkAXABuACAAIAAgACAAIAAgACkAXABuACAAIAAgACAAKQBcAG4AIAAgACkAOwBcAG4AXABuAFYARQBFAFIARwBfADQAXwA2AF8AMQBfADEAXwBfADIAXwBTAHQAYQBnAGUAMQBNAGUAdABoAGEAbgBlAFAAcgBvAGQAdQBjAHQAaQBvAG4AXwBWAGEAcgBpAGEAdABpAG8AbgBcAG4AIAAgACAAPQBMAEEATQBCAEQAQQAoAFwAbgAgACAAIAAgAE0AQQBLAEUAQQBSAFIAQQBZACgAMwAsACAAMQAsAFwAbgAgACAAIAAgACAAIABMAEEATQBCAEQAQQAoAHIALABjACwAXABuACAAIAAgACAAIAAgACAAIABJAE4ARABFAFgAKAB7AFwAbgAgACAAIAAgACAAIAAgACAAIAAgAFwAIgBWAEEAUgBJAEEAVABJAE8ATgAgAE8ATgAgAFMATwBVAFIAQwBFADoAXAAiADsAXABuACAAIAAgACAAIAAgACAAIAAgACAAXAAiAFUAcwBlAGQAIABtAGUAYQBuACAAYQBuAG4AdQBhAGwAIAB0AGUAbQBwAGUAcgBhAHQAdQByAGUAIABpAG4AcwB0AGUAYQBkACAAbwBmACAAdABlAG0AcABlAHIAYQB0AHUAcgBlACAAegBvAG4AZQAgAHQAbwAgAGQAZQB0AGUAcgBtAGkAbgBlACAATQBDAEYAIABhAHMAIABNAEMARgAgAHYAYQBsAHUAZQBzACAAYQByAGUAIABzAHAAZQBjAGkAZgBpAGMAIAB0AG8AIAB0AGUAbQBwAGUAcgBhAHQAdQByAGUAXAAiADsAXABuACAAIAAgACAAIAAgACAAIAAgACAAXAAiAE0AZQB0AGgAbwBkACAAMgA6ACAAVQBzAGUAZAAgAHMAdABhAHQAZQAgAGIAYQBzAGUAZAAgAE0AQwBGACAAdgBhAGwAdQBlAHMAIABmAG8AcgAgAFwAdQAwADAAMgA3AEIAZQBsAHQAIABtAGEAbgB1AHIAZQAgAHIAZQBtAG8AdgBhAGwAXAB1ADAAMAAyADcAIABhAG4AZAAgAFwAdQAwADAAMgA3AE0AYQBuAHUAcgBlACAAcwB0AG8AcgBlAGQAIABpAG4AIABoAG8AdQBzAGUAXAB1ADAAMAAyADcAIABNAE0AUwAgAGEAcwAgAG4AbwAgAHQAZQBtAHAAZQByAGEAdAB1AHIAZQAgAHYAYQBsAHUAZQBzACAAZQB4AGkAcwB0ACAAaQBuACAAVABhAGIAbABlACAAQQAuADEALgA4AC4AMQBcACIAXABuACAAIAAgACAAIAAgACAAIAB9ACwAIAByACwAIABjACkAXABuACAAIAAgACAAIAAgACkAXABuACAAIAAgACAAKQBcAG4AIAAgACkAOwBcAG4AXABuAC8AKgBcAG4ALQAtAC0ALQAtAC0ALQAtAC0ALQAtAC0ALQAtAC0ALQAtAC0ALQAtAC0ALQAtAC0ALQAtAC0ALQAtAC0ALQAtAC0ALQAtAC0ALQAtAFwAbgBWAEUARQBSAEcAXwA0AF8ANgBfADEAXwAxAF8AXwAzAF8AUwB0AGEAZwBlADIATQBlAHQAaABhAG4AZQBQAHIAbwBkAHUAYwB0AGkAbwBuAFwAbgBQAHIAbwBkAHUAYwB0AGkAbwBuACAAbwBmACAAbQBlAHQAaABhAG4AZQAgAGkAbgAgAHQAcgBlAGEAdABtAGUAbgB0ACAAcwB0AGEAZwBlACAAMgAgAE0ATQBTAFwAbgBNAF8AagBrAG0AVAAyAFwAbgBrAGcAIABDAEgANAAvAGIAaQByAGQALwBkAGEAeQBcAG4ATQBfAHsAagBrAG0AVAA9ADIAfQA9AFYAUwBUAF8AewBqAGsAfQBcAFwAdABpAG0AZQBzACAAQgBPAFwAXAB0AGkAbQBlAHMAIABNAE0AUwBfAHsAagBtAFQAPQAyAH0AXABcAHQAaQBtAGUAcwAgAE0AQwBGAF8AewBpAG0AfQBcAFwAdABpAG0AZQBzACAAXABcAHIAaABvAFwAbgBWAFMAVABfAGoAawAgAD0AIAB2AG8AbABhAHQAaQBsAGUAIABzAG8AbABpAGQAcwAgAHQAcgBhAG4AcwBmAGUAcgByAGUAZAAgAHQAbwAgAHQAcgBlAGEAdABtAGUAbgB0ACAAcwB0AGEAZwBlACAAMgAgAE0ATQBTACAAOgAgAGsAZwAgAFYAUwAvAGIAaQByAGQALwBkAGEAeQBcAG4AQgBPACAAPQAgAGUAbQBpAHMAcwBpAG8AbgBzACAAcABvAHQAZQBuAHQAaQBhAGwAIAA6ACAAbQAzACAAQwBIADQALwBrAGcAIABWAFMAXABuAE0ATQBTAF8AagBtAFQAMgAgAD0AIABmAHIAYQBjAHQAaQBvAG4AIABvAGYAIABtAGEAbgB1AHIAZQAgAGkAbgAgAGUAYQBjAGgAIABzAGUAYwBvAG4AZABhAHIAeQAgAHMAeQBzAHQAZQBtACAAOgAgAGYAcgBhAGMAdABpAG8AbgBcAG4ATQBDAEYAXwBpAG0AIAA9ACAAbQBlAHQAaABhAG4AZQAgAGMAbwBuAHYAZQByAHMAaQBvAG4AIABmAGEAYwB0AG8AcgAgAGYAbwByACAAdABlAG0AcABlAHIAYQB0AHUAcgBlACAAegBvAG4AZQAgAGEAbgBkACAATQBNAFMAIAA6ACAAZgByAGEAYwB0AGkAbwBuAFwAbgByAGgAbwAgAD0AIABkAGUAbgBzAGkAdAB5ACAAbwBmACAAbQBlAHQAaABhAG4AZQAgADoAIABrAGcALwBtADMAXABuAC0ALQAtAC0ALQAtAC0ALQAtAC0ALQAtAC0ALQAtAC0ALQAtAC0ALQAtAC0ALQAtAC0ALQAtAC0ALQAtAC0ALQAtAC0ALQAtAC0ALQBcAG4AKgAvAFwAbgBcAG4AVgBFAEUAUgBHAF8ANABfADYAXwAxAF8AMQBfAF8AMwBfAFMAdABhAGcAZQAyAE0AZQB0AGgAYQBuAGUAUAByAG8AZAB1AGMAdABpAG8AbgBcAG4AIAAgAD0ATABBAE0AQgBEAEEAKABcAG4AIAAgACAAIABWAFMAVABfAGoAawAsACAAQgBPACwAIABNAE0AUwBfAGoAbQBUADIALAAgAE0AQwBGAF8AaQBtACwAIAByAGgAbwAsAFwAbgAgACAAIAAgAFYAUwBUAF8AagBrACAAKgAgAEIATwAgACoAIABNAE0AUwBfAGoAbQBUADIAIAAqACAATQBDAEYAXwBpAG0AIAAqACAAcgBoAG8AXABuACAAIAApADsAXABuAFwAbgBWAEUARQBSAEcAXwA0AF8ANgBfADEAXwAxAF8AXwAzAF8AUwB0AGEAZwBlADIATQBlAHQAaABhAG4AZQBQAHIAbwBkAHUAYwB0AGkAbwBuAF8AVABpAHQAbABlAFwAbgAgACAAPQBMAEEATQBCAEQAQQAoAFwAIgBQAHIAbwBkAHUAYwB0AGkAbwBuACAAbwBmACAAbQBlAHQAaABhAG4AZQAgAGkAbgAgAHQAcgBlAGEAdABtAGUAbgB0ACAAcwB0AGEAZwBlACAAMgAgAE0ATQBTAFwAIgApADsAXABuAFwAbgBWAEUARQBSAEcAXwA0AF8ANgBfADEAXwAxAF8AXwAzAF8AUwB0AGEAZwBlADIATQBlAHQAaABhAG4AZQBQAHIAbwBkAHUAYwB0AGkAbwBuAF8AVgBhAHIAaQBhAGIAbABlAFwAbgAgACAAPQBMAEEATQBCAEQAQQAoAFwAIgBNAF8AagBrAG0AVAAyAFwAIgApADsAXABuAFwAbgBWAEUARQBSAEcAXwA0AF8ANgBfADEAXwAxAF8AXwAzAF8AUwB0AGEAZwBlADIATQBlAHQAaABhAG4AZQBQAHIAbwBkAHUAYwB0AGkAbwBuAF8AVQBuAGkAdABcAG4AIAAgAD0ATABBAE0AQgBEAEEAKABcACIAawBnACAAQwBIADQALwBiAGkAcgBkAC8AZABhAHkAXAAiACkAOwBcAG4AXABuAFYARQBFAFIARwBfADQAXwA2AF8AMQBfADEAXwBfADMAXwBTAHQAYQBnAGUAMgBNAGUAdABoAGEAbgBlAFAAcgBvAGQAdQBjAHQAaQBvAG4AXwBTAG8AdQByAGMAZQBcAG4AIAAgAD0ATABBAE0AQgBEAEEAKABcACIAVgBFAEUAUgBHACAAMgAwADIANgA6ACAANAAuADQALgAxAC4AMQAsACAARQBxAHUAYQB0AGkAbwBuACAAKAAzACkAXAAiACkAOwBcAG4AXABuAFYARQBFAFIARwBfADQAXwA2AF8AMQBfADEAXwBfADMAXwBTAHQAYQBnAGUAMgBNAGUAdABoAGEAbgBlAFAAcgBvAGQAdQBjAHQAaQBvAG4AXwBOAEkAUgBSAGUAZgBlAHIAZQBuAGMAZQBcAG4AIAAgAD0ATABBAE0AQgBEAEEAKABcACIAXAAiACkAOwBcAG4AXABuAFYARQBFAFIARwBfADQAXwA2AF8AMQBfADEAXwBfADMAXwBTAHQAYQBnAGUAMgBNAGUAdABoAGEAbgBlAFAAcgBvAGQAdQBjAHQAaQBvAG4AXwBMAGEAdABlAHgARQBxAHUAYQB0AGkAbwBuAFwAbgAgACAAPQBMAEEATQBCAEQAQQAoAFwAIgBNAF8AewBqAGsAbQBUAD0AMgB9AD0AVgBTAFQAXwB7AGoAawB9AFwAXAB0AGkAbQBlAHMAIABCAE8AXABcAHQAaQBtAGUAcwAgAE0ATQBTAF8AewBqAG0AVAA9ADIAfQBcAFwAdABpAG0AZQBzACAATQBDAEYAXwB7AGkAbQB9AFwAXAB0AGkAbQBlAHMAIABcAFwAcgBoAG8AXAAiACkAOwBcAG4AXABuAFYARQBFAFIARwBfADQAXwA2AF8AMQBfADEAXwBfADMAXwBTAHQAYQBnAGUAMgBNAGUAdABoAGEAbgBlAFAAcgBvAGQAdQBjAHQAaQBvAG4AXwBBAHIAZwB1AG0AZQBuAHQAcwBcAG4AIAAgAD0ATABBAE0AQgBEAEEAKABcAG4AIAAgACAAIABNAEEASwBFAEEAUgBSAEEAWQAoADYALAAgADQALABcAG4AIAAgACAAIAAgACAATABBAE0AQgBEAEEAKAByACwAYwAsAFwAbgAgACAAIAAgACAAIAAgACAASQBOAEQARQBYACgAewBcAG4AIAAgACAAIAAgACAAIAAgACAAIABcACIAVgBTAFQAXwBqAGsAXAAiACwAXAAiAHYAbwBsAGEAdABpAGwAZQAgAHMAbwBsAGkAZABzACAAdAByAGEAbgBzAGYAZQByAHIAZQBkACAAdABvACAAdAByAGUAYQB0AG0AZQBuAHQAIABzAHQAYQBnAGUAIAAyACAATQBNAFMAXAAiACwAIABcACIAawBnACAAVgBTAC8AYgBpAHIAZAAvAGQAYQB5AFwAIgAsACAAXAAiAEMAYQBsAGMAdQBsAGEAdABlAGQAIABmAHIAbwBtACAANAAuADYALgAxAC4AMQAgACgANAApAFwAIgA7AFwAbgAgACAAIAAgACAAIAAgACAAIAAgAFwAIgBCAE8AXAAiACwAXAAiAGUAbQBpAHMAcwBpAG8AbgBzACAAcABvAHQAZQBuAHQAaQBhAGwAXAAiACwAIABcACIAbQAzACAAQwBIADQALwBrAGcAIABWAFMAXAAiACwAIABcACIAQwBvAG4AcwB0AGEAbgB0AFwAIgA7AFwAbgAgACAAIAAgACAAIAAgACAAIAAgAFwAIgBNAE0AUwBfAGoAbQBUADIAXAAiACwAXAAiAGYAcgBhAGMAdABpAG8AbgAgAG8AZgAgAG0AYQBuAHUAcgBlACAAaQBuACAAZQBhAGMAaAAgAHMAZQBjAG8AbgBkAGEAcgB5ACAAcwB5AHMAdABlAG0AXAAiACwAIABcACIAZgByAGEAYwB0AGkAbwBuAFwAIgAsACAAXAAiAEkAbgBwAHUAdABcACIAOwBcAG4AIAAgACAAIAAgACAAIAAgACAAIABcACIATQBDAEYAXwBpAG0AXAAiACw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0AF8ANgBfADEAXwAxAF8AXwAzAF8AUwB0AGEAZwBlADIATQBlAHQAaABhAG4AZQBQAHIAbwBkAHUAYwB0AGk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VABfAGoAawBcACIALABcACIAdgBvAGwAYQB0AGkAbABlACAAcwBvAGwAaQBkAHMAIAB0AHIAYQBuAHMAZgBlAHIAcgBlAGQAIAB0AG8AIAB0AHIAZQBhAHQAbQBlAG4AdAAgAHMAdABhAGcAZQAgADIAIABNAE0AUwBcACIALAAgAFwAIgBrAGcAIABWAFMALwBiAGkAcgBkAC8AZABhAHkAXAAiACwAIABcACIAQwBhAGwAYwB1AGwAYQB0AGUAZAAgAGYAcgBvAG0AIAA0AC4ANgAuADEALgAxACAAKAA0ACkAXAAiADsAXABuACAAIAAgACAAIAAgACAAIAAgACAAXAAiAEIATwBcACIALABcACIAZQBtAGkAcwBzAGkAbwBuAHMAIABwAG8AdABlAG4AdABpAGEAbABcACIALAAgAFwAIgBtADMAIABDAEgANAAvAGsAZwAgAFYAUwBcACIALAAgAFwAIgBDAG8AbgBzAHQAYQBuAHQAXAAiADsAXABuACAAIAAgACAAIAAgACAAIAAgACAAXAAiAE0ATQBTAF8AagBtAFQAMgBcACIALABcACIAZgByAGEAYwB0AGkAbwBuACAAbwBmACAAbQBhAG4AdQByAGUAIABpAG4AIABlAGEAYwBoACAAcwBlAGMAbwBuAGQAYQByAHkAIABzAHkAcwB0AGUAbQBcACIALAAgAFwAIgBmAHIAYQBjAHQAaQBvAG4AXAAiACwAIABcACIASQBuAHAAdQB0AFwAIgA7AFwAbgAgACAAIAAgACAAIAAgACAAIAAgAFwAIgBNAEMARgBfAGkAbQBcACIAL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bQBlAGEAbgAgAGEAbgBuAHUAYQBsACAAdABlAG0AcABlAHIAYQB0AHUAcgBlAFwAIgAsACAAXAAiALAAQwBcACIALAAgAFwAIgBJAG4AcAB1AHQAXAAiAFwAbgAgACAAIAAgACAAIAAgACAAfQAsACAAcgAsACAAYwApAFwAbgAgACAAIAAgACAAIAApAFwAbgAgACAAIAAgACkAXABuACAAIAApADsAXABuAFwAbgBWAEUARQBSAEcAXwA0AF8ANgBfADEAXwAxAF8AXwAzAF8AUwB0AGEAZwBlADIATQBlAHQAaABhAG4AZQBQAHIAbwBkAHUAYwB0AGkAbwBuAF8AVgBhAHIAaQBhAHQAaQBvAG4AXABuACAAIAAgAD0ATABBAE0AQgBEAEEAKABcACIAVgBBAFIASQBBAFQASQBPAE4AIABPAE4AIABTAE8AVQBSAEMARQA6ACAAVQBzAGUAZAAgAG0AZQBhAG4AIABhAG4AbgB1AGEAbAAgAHQAZQBtAHAAZQByAGEAdAB1AHIAZQAgAGkAbgBzAHQAZQBhAGQAIABvAGYAIAB0AGUAbQBwAGUAcgBhAHQAdQByAGUAIAB6AG8AbgBlACAAdABvACAAZABlAHQAZQByAG0AaQBuAGUAIABNAEMARgAgAGEAcwAgAE0AQwBGACAAdgBhAGwAdQBlAHMAIABhAHIAZQAgAHMAcABlAGMAaQBmAGkAYwAgAHQAbwAgAHQAZQBtAHAAZQByAGEAdAB1AHIAZQBcACIAKQA7AFwAbgBcAG4ALwAqAFwAbgAtAC0ALQAtAC0ALQAtAC0ALQAtAC0ALQAtAC0ALQAtAC0ALQAtAC0ALQAtAC0ALQAtAC0ALQAtAC0ALQAtAC0ALQAtAC0ALQAtAC0AXABuAFYARQBFAFIARwBfADQAXwA2AF8AMQBfADEAXwBfADQAXwBWAG8AbABhAHQAaQBsAGUAUwBvAGwAaQBkAHMAVAByAGEAbgBzAGYAZQByAHIAZQBkAFwAbgBWAG8AbABhAHQAaQBsAGUAIABzAG8AbABpAGQAcwAgAHQAcgBhAG4AcwBmAGUAcgByAGUAZAAgAHQAbwAgAHQAcgBlAGEAdABtAGUAbgB0ACAAcwB0AGEAZwBlACAAMgAgAE0ATQBTAFwAbgBWAFMAVABfAGoAawBcAG4AawBnACAAVgBTAC8AYgBpAHIAZAAvAGQAYQB5AFwAbgBWAFMAVABfAHsAagBrAH0APQBWAFMAXwB7AGoAawB9AFwAXAB0AGkAbQBlAHMAIABNAE0AUwBfAHsAagBtAFQAPQAxAH0AXABcAHQAaQBtAGUAcwAgACgAMQAtAFYAUwBMAF8AewBtAFQAPQAxAH0AKQBcAG4AVgBTAF8AagBrACAAPQAgAHYAbwBsAGEAdABpAGwAZQAgAHMAbwBsAGkAZAAgAHAAcgBvAGQAdQBjAHQAaQBvAG4AIABwAG8AdQBsAHQAcgB5ACAAYwBsAGEAcwBzAGUAcwAgADoAIABrAGcAIABWAFMALwBiAGkAcgBkAC8AZABhAHkAXABuAE0ATQBTAF8AagBtAFQAMQAgAD0AIABmAHIAYQBjAHQAaQBvAG4AIABvAGYAIABtAGEAbgB1AHIAZQAgAGkAbgAgAGUAYQBjAGgAIABwAHIAaQBtAGEAcgB5ACAAcwB5AHMAdABlAG0AIAA6ACAAZgByAGEAYwB0AGkAbwBuAFwAbgBWAFMATABfAG0AVAAxACAAPQAgAGYAcgBhAGMAdABpAG8AbgAgAG8AZgAgAHYAbwBsAGEAdABpAGwAZQAgAHMAbwBsAGkAZABzACAAbABvAHMAdAAgAGQAdQByAGkAbgBnACAAcwB0AG8AcgBhAGcAZQAgAGkAbgAgAHQAaABlACAAcAByAGkAbQBhAHIAeQAgAHMAeQBzAHQAZQBtACAAOgAgAGYAcgBhAGMAdABpAG8AbgBcAG4ALQAtAC0ALQAtAC0ALQAtAC0ALQAtAC0ALQAtAC0ALQAtAC0ALQAtAC0ALQAtAC0ALQAtAC0ALQAtAC0ALQAtAC0ALQAtAC0ALQAtAFwAbgAqAC8AXABuAFwAbgBWAEUARQBSAEcAXwA0AF8ANgBfADEAXwAxAF8AXwA0AF8AVgBvAGwAYQB0AGkAbABlAFMAbwBsAGkAZABzAFQAcgBhAG4AcwBmAGUAcgByAGUAZABcAG4AIAAgAD0ATABBAE0AQgBEAEEAKABcAG4AIAAgACAAIABWAFMAXwBqAGsALAAgAE0ATQBTAF8AagBtAFQAMQAsACAAVgBTAEwAXwBtAFQAMQAsAFwAbgAgACAAIAAgAFYAUwBfAGoAawAgACoAIABNAE0AUwBfAGoAbQBUADEAIAAqACAAKAAxACAALQAgAFYAUwBMAF8AbQBUADEAKQBcAG4AIAAgACkAOwBcAG4AXABuAFYARQBFAFIARwBfADQAXwA2AF8AMQBfADEAXwBfADQAXwBWAG8AbABhAHQAaQBsAGUAUwBvAGwAaQBkAHMAVAByAGEAbgBzAGYAZQByAHIAZQBkAF8AVABpAHQAbABlAFwAbgAgACAAPQBMAEEATQBCAEQAQQAoAFwAIgBWAG8AbABhAHQAaQBsAGUAIABzAG8AbABpAGQAcwAgAHQAcgBhAG4AcwBmAGUAcgByAGUAZAAgAHQAbwAgAHQAcgBlAGEAdABtAGUAbgB0ACAAcwB0AGEAZwBlACAAMgAgAE0ATQBTAFwAIgApADsAXABuAFwAbgBWAEUARQBSAEcAXwA0AF8ANgBfADEAXwAxAF8AXwA0AF8AVgBvAGwAYQB0AGkAbABlAFMAbwBsAGkAZABzAFQAcgBhAG4AcwBmAGUAcgByAGUAZABfAFYAYQByAGkAYQBiAGwAZQBcAG4AIAAgAD0ATABBAE0AQgBEAEEAKABcACIAVgBTAFQAXwBqAGsAXAAiACkAOwBcAG4AXABuAFYARQBFAFIARwBfADQAXwA2AF8AMQBfADEAXwBfADQAXwBWAG8AbABhAHQAaQBsAGUAUwBvAGwAaQBkAHMAVAByAGEAbgBzAGYAZQByAHIAZQBkAF8AVQBuAGkAdABcAG4AIAAgAD0ATABBAE0AQgBEAEEAKABcACIAawBnACAAVgBTAC8AYgBpAHIAZAAvAGQAYQB5AFwAIgApADsAXABuAFwAbgBWAEUARQBSAEcAXwA0AF8ANgBfADEAXwAxAF8AXwA0AF8AVgBvAGwAYQB0AGkAbABlAFMAbwBsAGkAZABzAFQAcgBhAG4AcwBmAGUAcgByAGUAZABfAFMAbwB1AHIAYwBlAFwAbgAgACAAPQBMAEEATQBCAEQAQQAoAFwAIgBWAEUARQBSAEcAIAAyADAAMgA2ADoAIAA0AC4ANAAuADEALgAxACwAIABFAHEAdQBhAHQAaQBvAG4AIAAoADQAKQBcACIAKQA7AFwAbgBcAG4AVgBFAEUAUgBHAF8ANABfADYAXwAxAF8AMQBfAF8ANABfAFYAbwBsAGEAdABpAGwAZQBTAG8AbABpAGQAcwBUAHIAYQBuAHMAZgBlAHIAcgBlAGQAXwBOAEkAUgBSAGUAZgBlAHIAZQBuAGMAZQBcAG4AIAAgAD0ATABBAE0AQgBEAEEAKABcACIAXAAiACkAOwBcAG4AXABuAFYARQBFAFIARwBfADQAXwA2AF8AMQBfADEAXwBfADQAXwBWAG8AbABhAHQAaQBsAGUAUwBvAGwAaQBkAHMAVAByAGEAbgBzAGYAZQByAHIAZQBkAF8ATABhAHQAZQB4AEUAcQB1AGEAdABpAG8AbgBcAG4AIAAgAD0ATABBAE0AQgBEAEEAKABcACIAVgBTAFQAXwB7AGoAawB9AD0AVgBTAF8AewBqAGsAfQBcAFwAdABpAG0AZQBzACAATQBNAFMAXwB7AGoAbQBUAD0AMQB9AFwAXAB0AGkAbQBlAHMAIAAoADEALQBWAFMATABfAHsAbQBUAD0AMQB9ACkAXAAiACkAOwBcAG4AXABuAFYARQBFAFIARwBfADQAXwA2AF8AMQBfADEAXwBfADQAXwBWAG8AbABhAHQAaQBsAGUAUwBvAGwAaQBkAHMAVAByAGEAbgBzAGYAZQByAHIAZQBkAF8AQQByAGcAdQBtAGUAbgB0AHMAXABuACAAIAA9AEwAQQBNAEIARABBACgAXABuACAAIAAgACAATQBBAEsARQBBAFIAUgBBAFkAKAAzACwAIAA0ACwAXABuACAAIAAgACAAIAAgAEwAQQBNAEIARABBACgAcgAsAGMALABcAG4AIAAgACAAIAAgACAAIAAgAEkATgBEAEUAWAAoAHsAXABuACAAIAAgACAAIAAgACAAIAAgACAAXAAiAFYAUwBfAGoAawBcACIALABcACIAdgBvAGwAYQB0AGkAbABlACAAcwBvAGwAaQBkACAAcAByAG8AZAB1AGMAdABpAG8AbgAgAHAAbwB1AGwAdAByAHkAIABjAGwAYQBzAHMAZQBzAFwAIgAsACAAXAAiAGsAZwAgAFYAUwAvAGIAaQByAGQALwBkAGEAeQBcACIALAAgAFwAIgBDAGEAbABjAHUAbABhAHQAZQBkACAAZgByAG8AbQAgADQALgA2AC4AMQAuADEAIAAoADUAKQBcACIAOwBcAG4AIAAgACAAIAAgACAAIAAgACAAIABcACIATQBNAFMAXwBqAG0AVAAxAFwAIgAsAFwAIgBmAHIAYQBjAHQAaQBvAG4AIABvAGYAIABtAGEAbgB1AHIAZQAgAGkAbgAgAGUAYQBjAGgAIABwAHIAaQBtAGEAcgB5ACAAcwB5AHMAdABlAG0AXAAiACwAIABcACIAZgByAGEAYwB0AGkAbwBuAFwAIgAsACAAXAAiAEkAbgBwAHUAdABcACIAOwBcAG4AIAAgACAAIAAgACAAIAAgACAAIABcACIAVgBTAEwAXwBtAFQAMQBcACIALABcACIAZgByAGEAYwB0AGkAbwBuACAAbwBmACAAdgBvAGwAYQB0AGkAbABlACAAcwBvAGwAaQBkAHMAIABsAG8AcwB0ACAAZAB1AHIAaQBuAGcAIABzAHQAbwByAGEAZwBlACAAaQBuACAAdABoAGUAIABwAHIAaQBtAGEAcgB5ACAAcwB5AHMAdABlAG0AXAAiACwAIABcACIAZgByAGEAYwB0AGkAbwBu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gBfADEAXwAxAF8AXwA1AF8AVgBvAGwAYQB0AGkAbABlAFMAbwBsAGkAZABQAHIAbwBkAHUAYwB0AGkAbwBuAFwAbgBWAG8AbABhAHQAaQBsAGUAIABzAG8AbABpAGQAIABwAHIAbwBkAHUAYwB0AGkAbwBuACAAcABvAHUAbAB0AHIAeQAgAGMAbABhAHMAcwBlAHMAXABuAFYAUwBfAGoAawBcAG4AawBnACAAVgBTAC8AYgBpAHIAZAAvAGQAYQB5AFwAbgBWAFMAXwB7AGoAawB9AD0ASQBfAHsAagBrAH0AXABcAHQAaQBtAGUAcwAgACgAMQAtAEQATQBEAF8AewBqAGsAfQApAFwAXAB0AGkAbQBlAHMAIAAoADEALQBBAF8AewBqAH0AKQBcAG4ASQBfAGoAawAgAD0AIABkAHIAeQAgAG0AYQB0AHQAZQByACAAaQBuAHQAYQBrAGUAIABmAG8AcgAgAGUAYQBjAGgAIABjAGwAYQBzAHMAIABhAG4AZAAgAHMAdQBiAGMAbABhAHMAcwAgADoAIABrAGcAIABEAE0ALwBiAGkAcgBkAC8AZABhAHkAXABuAEQATQBEAF8AagBrACAAPQAgAGQAcgB5ACAAbQBhAHQAdABlAHIAIABkAGkAZwBlAHMAdABpAGIAaQBsAGkAdAB5ACAAZgBvAHIAIABlAGEAYwBoACAAYwBsAGEAcwBzACAAYQBuAGQAIABzAHUAYgBjAGwAYQBzAHMAIAA6ACAAZgByAGEAYwB0AGkAbwBuAFwAbgBBAF8AagAgAD0AIABhAHMAaAAgAGMAbwBuAHQAZQBuAHQAIABvAGYAIABtAGEAbgB1AHIAZQAgAGYAbwByACAAZQBhAGMAaAAgAGMAbABhAHMAcwAgAGEAbgBkACAAcwB1AGIAYwBsAGEAcwBzACAAOgAgAGYAcgBhAGMAdABpAG8AbgBcAG4ALQAtAC0ALQAtAC0ALQAtAC0ALQAtAC0ALQAtAC0ALQAtAC0ALQAtAC0ALQAtAC0ALQAtAC0ALQAtAC0ALQAtAC0ALQAtAC0ALQAtAFwAbgAqAC8AXABuAFwAbgBWAEUARQBSAEcAXwA0AF8ANgBfADEAXwAxAF8AXwA1AF8AVgBvAGwAYQB0AGkAbABlAFMAbwBsAGkAZABQAHIAbwBkAHUAYwB0AGkAbwBuAFwAbgAgACAAPQBMAEEATQBCAEQAQQAoAFwAbgAgACAAIAAgAEkAXwBqAGsALAAgAEQATQBEAF8AagBrACwAIABBAF8AagAsAFwAbgAgACAAIAAgAEkAXwBqAGsAIAAqACAAKAAxACAALQAgAEQATQBEAF8AagBrACkAIAAqACAAKAAxACAALQAgAEEAXwBqACkAXABuACAAIAApADsAXABuAFwAbgBWAEUARQBSAEcAXwA0AF8ANgBfADEAXwAxAF8AXwA1AF8AVgBvAGwAYQB0AGkAbABlAFMAbwBsAGkAZABQAHIAbwBkAHUAYwB0AGkAbwBuAF8AVABpAHQAbABlAFwAbgAgACAAPQBMAEEATQBCAEQAQQAoAFwAIgBWAG8AbABhAHQAaQBsAGUAIABzAG8AbABpAGQAIABwAHIAbwBkAHUAYwB0AGkAbwBuACAAcABvAHUAbAB0AHIAeQAgAGMAbABhAHMAcwBlAHMAXAAiACkAOwBcAG4AXABuAFYARQBFAFIARwBfADQAXwA2AF8AMQBfADEAXwBfADUAXwBWAG8AbABhAHQAaQBsAGUAUwBvAGwAaQBkAFAAcgBvAGQAdQBjAHQAaQBvAG4AXwBWAGEAcgBpAGEAYgBsAGUAXABuACAAIAA9AEwAQQBNAEIARABBACgAXAAiAFYAUwBfAGoAawBcACIAKQA7AFwAbgBcAG4AVgBFAEUAUgBHAF8ANABfADYAXwAxAF8AMQBfAF8ANQBfAFYAbwBsAGEAdABpAGwAZQBTAG8AbABpAGQAUAByAG8AZAB1AGMAdABpAG8AbgBfAFUAbgBpAHQAXABuACAAIAA9AEwAQQBNAEIARABBACgAXAAiAGsAZwAgAFYAUwAvAGIAaQByAGQALwBkAGEAeQBcACIAKQA7AFwAbgBcAG4AVgBFAEUAUgBHAF8ANABfADYAXwAxAF8AMQBfAF8ANQBfAFYAbwBsAGEAdABpAGwAZQBTAG8AbABpAGQAUAByAG8AZAB1AGMAdABpAG8AbgBfAFMAbwB1AHIAYwBlAFwAbgAgACAAPQBMAEEATQBCAEQAQQAoAFwAIgBWAEUARQBSAEcAIAAyADAAMgA2ADoAIAA0AC4ANAAuADEALgAxACwAIABFAHEAdQBhAHQAaQBvAG4AIAAoADUAKQBcACIAKQA7AFwAbgBcAG4AVgBFAEUAUgBHAF8ANABfADYAXwAxAF8AMQBfAF8ANQBfAFYAbwBsAGEAdABpAGwAZQBTAG8AbABpAGQAUAByAG8AZAB1AGMAdABpAG8AbgBfAE4ASQBSAFIAZQBmAGUAcgBlAG4AYwBlAFwAbgAgACAAPQBMAEEATQBCAEQAQQAoAFwAIgBcACIAKQA7AFwAbgBcAG4AVgBFAEUAUgBHAF8ANABfADYAXwAxAF8AMQBfAF8ANQBfAFYAbwBsAGEAdABpAGwAZQBTAG8AbABpAGQAUAByAG8AZAB1AGMAdABpAG8AbgBfAEwAYQB0AGUAeABFAHEAdQBhAHQAaQBvAG4AXABuACAAIAA9AEwAQQBNAEIARABBACgAXAAiAFYAUwBfAHsAagBrAH0APQBJAF8AewBqAGsAfQBcAFwAdABpAG0AZQBzACAAKAAxAC0ARABNAEQAXwB7AGoAawB9ACkAXABcAHQAaQBtAGUAcwAgACgAMQAtAEEAXwB7AGoAfQApAFwAIgApADsAXABuAFwAbgBWAEUARQBSAEcAXwA0AF8ANgBfADEAXwAxAF8AXwA1AF8AVgBvAGwAYQB0AGkAbABlAFMAbwBsAGkAZABQAHIAbwBkAHUAYwB0AGkAbwBuAF8AQQByAGcAdQBtAGUAbgB0AHMAXABuACAAIAA9AEwAQQBNAEIARABBACgAXABuACAAIAAgACAATQBBAEsARQBBAFIAUgBBAFkAKAAzACwAIAA0ACwAXABuACAAIAAgACAAIAAgAEwAQQBNAEIARABBACgAcgAsAGMALABcAG4AIAAgACAAIAAgACAAIAAgAEkATgBEAEUAWAAoAHsAXABuACAAIAAgACAAIAAgACAAIAAgACAAXAAiAEkAXwBqAGsAXAAiACwAXAAiAGQAcgB5ACAAbQBhAHQAdABlAHIAIABpAG4AdABhAGsAZQAgAGYAbwByACAAZQBhAGMAaAAgAGMAbABhAHMAcwAgAGEAbgBkACAAcwB1AGIAYwBsAGEAcwBzAFwAIgAsACAAXAAiAGsAZwAgAEQATQAvAGIAaQByAGQALwBkAGEAeQBcACIALAAgAFwAIgBJAG4AcAB1AHQAXAAiADsAXABuACAAIAAgACAAIAAgACAAIAAgACAAXAAiAEQATQBEAF8AagBrAFwAIgAsAFwAIgBkAHIAeQAgAG0AYQB0AHQAZQByACAAZABpAGcAZQBzAHQAaQBiAGkAbABpAHQAeQAgAGYAbwByACAAZQBhAGMAaAAgAGMAbABhAHMAcwAgAGEAbgBkACAAcwB1AGIAYwBsAGEAcwBzAFwAIgAsACAAXAAiAGYAcgBhAGMAdABpAG8AbgBcACIALAAgAFwAIgBJAG4AcAB1AHQAXAAiADsAXABuACAAIAAgACAAIAAgACAAIAAgACAAXAAiAEEAXwBqAFwAIgAsAFwAIgBhAHMAaAAgAGMAbwBuAHQAZQBuAHQAIABvAGYAIABtAGEAbgB1AHIAZQAgAGYAbwByACAAZQBhAGMAaAAgAGMAbABhAHMAcwAgAGEAbgBkACAAcwB1AGIAYwBsAGEAcwBzAFwAIgAsACAAXAAiAGYAcgBhAGMAdABpAG8AbgBcACIALAAgAFwAIgBDAG8AbgBzAHQAYQBuAHQAXAAiAFwAbgAgACAAIAAgACAAIAAgACAAfQAsACAAcgAsACAAYwApAFwAbgAgACAAIAAgACAAIAApAFwAbgAgACAAIAAgACkAXABuACAAIAApADsAXABuACIAfQAsAHsAIgBwAGEAdABoACIAOgAiAC8AcAByAG8AagBlAGMAdABzAC8ATQBNAFMAXwBQAG8AdQBsAHQAcgB5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5ACAATQBhAG4AdQByAGUAIABBAHAAcABsAGkAZQBkACAAdABvACAAUwBvAGkAbABz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OQBfAF8AMQBfAE0AYQBzAHMATwBmAE4AaQB0AHIAbwBnAGUAbgBBAHAAcABsAGkAZQBkAFQAbwBTAG8AaQBsAHMAUwBjAG8AcABlADEAXABuAE0AYQBzAHMAIABvAGYAIABuAGkAdAByAG8AZwBlAG4AIABhAHAAcABsAGkAZQBkACAAdABvACAAcwBvAGkAbABzACAAZgBvAHIAIABzAGMAbwBwAGUAIAAxACAAZQBtAGkAcwBzAGkAbwBuAHMAXABuAE0ATgBTAG8AaQBsAF8AcwBjAG8AcABlADEAXABuAGsAZwAgAE4AXABuAE0ATgBTAG8AaQBsAF8AewBzAGMAbwBwAGUAMQB9AD0AXABcAHMAdQBtAF8AewBqAH0AXABcAHMAdQBtAF8AewBtAH0AKABNAE4AXwB7AGoAbQAsAFQAPQAyAH0AXABcAHQAaQBtAGUAcwAoADEALQBFAEYAXwB7AG0AVAA9ADIAfQAtAEYAcgBhAGMARwBBAFMATQBfAHsAbQBUAD0AMgB9ACkALQBNAE4ATABlAGEAYwBoAF8AewBNAE0AUwB9ACkAXABcAHQAaQBtAGUAcwAgAFAARgBcAG4ATQBOAF8AagBtAFQAMgAgAD0AIABtAGEAcwBzACAAbwBmACAATgAgAGkAbgAgAHMAZQBjAG8AbgBkAGEAcgB5ACAAdAByAGUAYQB0AG0AZQBuAHQAIABzAHQAYQBnAGUAIABhAHMAIABjAGEAbABjAHUAbABhAHQAZQBkACAAZgBvAHIAIABtAGEAbgB1AHIAZQAgAG0AYQBuAGEAZwBlAG0AZQBuAHQAIAA6ACAAawBnACAATgBcAG4ARQBGAF8AbQBUADIAIAA9ACAAbgBpAHQAcgBvAHUAcwAgAG8AeABpAGQAZQAgAGUAbQBpAHMAcwBpAG8AbgAgAGYAYQBjAHQAbwByACAAZgBvAHIAIABlAGEAYwBoACAATQBNAFMAIAA6ACAAawBnACAATgAyAE8ALQBOAC8AawBnACAATgBcAG4ARgByAGEAYwBHAEEAUwBNAF8AbQBUADIAIAA9ACAAZgByAGEAYwB0AGkAbwBuACAAbwBmACAAYQBuAGkAbQBhAGwAIAB3AGEAcwB0AGUAIABOACAAdgBvAGwAYQB0AGkAbABpAHMAZQBkACAAaQBuACAAZQBhAGMAaAAgAE0ATQBTACAAOgAgACgAawBnACAATgBIADMALQBOACAAKwAgAE4ATwB4AC0ATgApAC8AawBnACAATgBcAG4ATQBOAEwAZQBhAGMAaABfAE0ATQBTACAAPQAgAG0AYQBzAHMAIABvAGYAIABOACAAbABvAHMAdAAgAHQAaAByAG8AdQBnAGgAIABsAGUAYQBjAGgAaQBuAGcAIABhAG4AZAAgAHIAdQBuAG8AZgBmACAAZgByAG8AbQAgAE0ATQBTACAAOgAgAGsAZwAgAE4AXABuAFAARgAgAD0AIABmAHIAYQBjAHQAaQBvAG4AIABvAGYAIABtAGEAbgB1AHIAZQAgAGEAcABwAGwAaQBlAGQAIAB0AG8AIABzAG8AaQBsACAAdwBpAHQAaABpAG4AIAB0AGgAZQAgAGYAYQByAG0AIABiAG8AdQBuAGQAYQByAHkAIAA6ACAAZgByAGEAYwB0AGkAbwBuAFwAbgAtAC0ALQAtAC0ALQAtAC0ALQAtAC0ALQAtAC0ALQAtAC0ALQAtAC0ALQAtAC0ALQAtAC0ALQAtAC0ALQAtAC0ALQAtAC0ALQAtAC0AXABuACoALwBcAG4AXABuAFYARQBFAFIARwBfADQAXwA2AF8AMQBfADkAXwBfADEAXwBNAGEAcwBzAE8AZgBOAGkAdAByAG8AZwBlAG4AQQBwAHAAbABpAGUAZABUAG8AUwBvAGkAbABzAFMAYwBvAHAAZQAxAFwAbgAgACAAPQBMAEEATQBCAEQAQQAoAFwAbgAgACAAIAAgAE0ATgBfAGoAbQBUADIALAAgAEUARgBfAG0AVAAyACwAIABGAHIAYQBjAEcAQQBTAE0AXwBtAFQAMgAsACAATQBOAEwAZQBhAGMAaABfAE0ATQBTACwAIABQAEYALABcAG4AIAAgACAAIAAoAE0ATgBfAGoAbQBUADIAIAAqACAAKAAxACAALQAgAEUARgBfAG0AVAAyACAALQAgAEYAcgBhAGMARwBBAFMATQBfAG0AVAAyACkAIAAtACAATQBOAEwAZQBhAGMAaABfAE0ATQBTACkAIAAqACAAUABGAFwAbgAgACAAKQA7AFwAbgBcAG4AVgBFAEUAUgBHAF8ANABfADYAXwAxAF8AOQBfAF8AMQBfAE0AYQBzAHMATwBmAE4AaQB0AHIAbwBnAGUAbgBBAHAAcABsAGkAZQBkAFQAbwBTAG8AaQBsAHMAUwBjAG8AcABlADEAXwBUAGkAdABsAGUAXABuACAAIAA9AEwAQQBNAEIARABBACgAXAAiAE0AYQBzAHMAIABvAGYAIABuAGkAdAByAG8AZwBlAG4AIABhAHAAcABsAGkAZQBkACAAdABvACAAcwBvAGkAbABzACAAZgBvAHIAIABzAGMAbwBwAGUAIAAxACAAZQBtAGkAcwBzAGkAbwBuAHMAXAAiACkAOwBcAG4AXABuAFYARQBFAFIARwBfADQAXwA2AF8AMQBfADkAXwBfADEAXwBNAGEAcwBzAE8AZgBOAGkAdAByAG8AZwBlAG4AQQBwAHAAbABpAGUAZABUAG8AUwBvAGkAbABzAFMAYwBvAHAAZQAxAF8AVgBhAHIAaQBhAGIAbABlAFwAbgAgACAAPQBMAEEATQBCAEQAQQAoAFwAIgBNAE4AUwBvAGkAbABfAHMAYwBvAHAAZQAxAFwAIgApADsAXABuAFwAbgBWAEUARQBSAEcAXwA0AF8ANgBfADEAXwA5AF8AXwAxAF8ATQBhAHMAcwBPAGYATgBpAHQAcgBvAGcAZQBuAEEAcABwAGwAaQBlAGQAVABvAFMAbwBpAGwAcwBTAGMAbwBwAGUAMQBfAFUAbgBpAHQAXABuACAAIAA9AEwAQQBNAEIARABBACgAXAAiAGsAZwAgAE4AXAAiACkAOwBcAG4AXABuAFYARQBFAFIARwBfADQAXwA2AF8AMQBfADkAXwBfADEAXwBNAGEAcwBzAE8AZgBOAGkAdAByAG8AZwBlAG4AQQBwAHAAbABpAGUAZABUAG8AUwBvAGkAbABzAFMAYwBvAHAAZQAxAF8AUwBvAHUAcgBjAGUAXABuACAAIAA9AEwAQQBNAEIARABBACgAXAAiAFYARQBFAFIARwAgADIAMAAyADYAOgAgADQALgA2AC4AMQAuADkALAAgAEUAcQB1AGEAdABpAG8AbgAgACgAMQApAFwAIgApADsAXABuAFwAbgBWAEUARQBSAEcAXwA0AF8ANgBfADEAXwA5AF8AXwAxAF8ATQBhAHMAcwBPAGYATgBpAHQAcgBvAGcAZQBuAEEAcABwAGwAaQBlAGQAVABvAFMAbwBpAGwAcwBTAGMAbwBwAGUAMQBfAE4ASQBSAFIAZQBmAGUAcgBlAG4AYwBlAFwAbgAgACAAPQBMAEEATQBCAEQAQQAoAFwAIgBcACIAKQA7AFwAbgBcAG4AVgBFAEUAUgBHAF8ANABfADYAXwAxAF8AOQBfAF8AMQBfAE0AYQBzAHMATwBmAE4AaQB0AHIAbwBnAGUAbgBBAHAAcABsAGkAZQBkAFQAbwBTAG8AaQBsAHMAUwBjAG8AcABlADEAXwBMAGEAdABlAHgARQBxAHUAYQB0AGkAbwBuAFwAbgAgACAAPQBMAEEATQBCAEQAQQAoAFwAIgBNAE4AUwBvAGkAbABfAHsAcwBjAG8AcABlADEAfQA9AFwAXABzAHUAbQBfAHsAagB9AFwAXABzAHUAbQBfAHsAbQB9ACgATQBOAF8AewBqAG0ALABUAD0AMgB9AFwAXAB0AGkAbQBlAHMAKAAxAC0ARQBGAF8AewBtAFQAPQAyAH0ALQBGAHIAYQBjAEcAQQBTAE0AXwB7AG0AVAA9ADIAfQApAC0ATQBOAEwAZQBhAGMAaABfAHsATQBNAFMAfQApAFwAXAB0AGkAbQBlAHMAIABQAEYAXAAiACkAOwBcAG4AXABuAFYARQBFAFIARwBfADQAXwA2AF8AMQBfADkAXwBfADEAXwBNAGEAcwBzAE8AZgBOAGkAdAByAG8AZwBlAG4AQQBwAHAAbABpAGUAZABUAG8AUwBvAGkAbABzAFMAYwBvAHAAZQAxAF8AQQByAGcAdQBtAGUAbgB0AHMAXABuACAAIAA9AEwAQQBNAEIARABBACgAXABuACAAIAAgACAATQBBAEsARQBBAFIAUgBBAFkAKAA1ACwAIAA0ACwAXABuACAAIAAgACAAIAAgAEwAQQBNAEIARABBACgAcgAsAGMALABcAG4AIAAgACAAIAAgACAAIAAgAEkATgBEAEUAWAAoAHsAXABuACAAIAAgACAAIAAgACAAIAAgACAAXAAiAE0ATgBfAGoAbQBUADIAXAAiACwAXAAiAG0AYQBzAHMAIABvAGYAIABOACAAaQBuACAAcwBlAGMAbwBuAGQAYQByAHkAIAB0AHIAZQBhAHQAbQBlAG4AdAAgAHMAdABhAGcAZQAgAGEAcwAgAGMAYQBsAGMAdQBsAGEAdABlAGQAIABmAG8AcgAgAG0AYQBuAHUAcgBlACAAbQBhAG4AYQBnAGUAbQBlAG4AdABcACIALAAgAFwAIgBrAGcAIABOAFwAIgAsACAAXAAiAEMAYQBsAGMAdQBsAGEAdABlAGQAIABmAHIAbwBtACAANAAuADYALgAxAC4AMwAgACgANgApAFwAIgA7AFwAbgAgACAAIAAgACAAIAAgACAAIAAgAFwAIgBFAEYAXwBtAFQAMgBcACIALABcACIAbgBpAHQAcgBvAHUAcwAgAG8AeABpAGQAZQAgAGUAbQBpAHMAcwBpAG8AbgAgAGYAYQBjAHQAbwByACAAZgBvAHIAIABlAGEAYwBoACAATQBNAFMAXAAiACwAIABcACIAawBnACAATgAyAE8ALQBOAC8AawBnACAATgBcACIALAAgAFwAIgBDAG8AbgBzAHQAYQBuAHQAXAAiADsAXABuACAAIAAgACAAIAAgACAAIAAgACAAXAAiAEYAcgBhAGMARwBBAFMATQBfAG0AVAAyAFwAIgAsAFwAIgBmAHIAYQBjAHQAaQBvAG4AIABvAGYAIABhAG4AaQBtAGEAbAAgAHcAYQBzAHQAZQAgAE4AIAB2AG8AbABhAHQAaQBsAGkAcwBlAGQAIABpAG4AIABlAGEAYwBoACAATQBNAFMAXAAiACwAIABcACIAKABrAGcAIABOAEgAMwAtAE4AIAArACAATgBPAHgALQBOACkALwBrAGcAIABOAFwAIgAsACAAXAAiAEMAbwBuAHMAdABhAG4AdABcACIAOwBcAG4AIAAgACAAIAAgACAAIAAgACAAIABcACIATQBOAEwAZQBhAGMAaABfAE0ATQBTAFwAIgAsAFwAIgBtAGEAcwBzACAAbwBmACAATgAgAGwAbwBzAHQAIAB0AGgAcgBvAHUAZwBoACAAbABlAGEAYwBoAGkAbgBnACAAYQBuAGQAIAByAHUAbgBvAGYAZgAgAGYAcgBvAG0AIABNAE0AUwBcACIALAAgAFwAIgBrAGcAIABOAFwAIgAsACAAXAAiAEMAYQBsAGMAdQBsAGEAdABlAGQAIABmAHIAbwBtACAANAAuADYALgAxAC4ANwAgACgAMgApAFwAIgA7AFwAbgAgACAAIAAgACAAIAAgACAAIAAgAFwAIgBQAEYAXAAiACwAXAAiAGYAcgBhAGMAdABpAG8AbgAgAG8AZgAgAG0AYQBuAHUAcgBlACAAYQBwAHAAbABpAGUAZAAgAHQAbwAgAHMAbwBpAGwAIAB3AGkAdABoAGkAbgAgAHQAaABlACAAZgBhAHIAbQAgAGIAbwB1AG4AZABhAHIAe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2AF8AMQBfADkAXwBfADIAXwBNAGEAcwBzAE8AZgBOAGkAdAByAG8AZwBlAG4AQQBwAHAAbABpAGUAZABUAG8AUwBvAGkAbABzAFMAYwBvAHAAZQAzAFwAbgBNAGEAcwBzACAAbwBmACAAbgBpAHQAcgBvAGcAZQBuACAAYQBwAHAAbABpAGUAZAAgAHQAbwAgAHMAbwBpAGwAcwAgAGYAbwByACAAcwBjAG8AcABlACAAMwAgAGUAbQBpAHMAcwBpAG8AbgBzAFwAbgBNAE4AUwBvAGkAbABfAHMAYwBvAHAAZQAzAFwAbgBrAGcAIABOAFwAbgBNAE4AUwBvAGkAbABfAHsAcwBjAG8AcABlADMAfQA9AFwAXABzAHUAbQBfAHsAagB9AFwAXABzAHUAbQBfAHsAbQB9ACgATQBOAF8AewBqAG0ALABUAD0AMgB9AFwAXAB0AGkAbQBlAHMAKAAxAC0ARQBGAF8AewBtAFQAPQAyAH0ALQBGAHIAYQBjAEcAQQBTAE0AXwB7AG0AVAA9ADIAfQApAC0ATQBOAEwAZQBhAGMAaABfAHsATQBNAFMAfQApAFwAXAB0AGkAbQBlAHMAKAAxAC0AUABGACkAXABuAE0ATgBfAGoAbQBUADIAIAA9ACAAbQBhAHMAcwAgAG8AZgAgAE4AIABpAG4AIABzAGUAYwBvAG4AZABhAHIAeQAgAHQAcgBlAGEAdABtAGUAbgB0ACAAcwB0AGEAZwBlACAAYQBzACAAYwBhAGwAYwB1AGwAYQB0AGUAZAAgAGYAbwByACAAbQBhAG4AdQByAGUAIABtAGEAbgBhAGcAZQBtAGUAbgB0ACAAOgAgAGsAZwAgAE4AXABuAEUARgBfAG0AVAAyACAAPQAgAG4AaQB0AHIAbwB1AHMAIABvAHgAaQBkAGUAIABlAG0AaQBzAHMAaQBvAG4AIABmAGEAYwB0AG8AcgAgAGYAbwByACAAZQBhAGMAaAAgAE0ATQBTACAAOgAgAGsAZwAgAE4AMgBPAC0ATgAvAGsAZwAgAE4AXABuAEYAcgBhAGMARwBBAFMATQBfAG0AVAAyACAAPQAgAGYAcgBhAGMAdABpAG8AbgAgAG8AZgAgAGEAbgBpAG0AYQBsACAAdwBhAHMAdABlACAATgAgAHYAbwBsAGEAdABpAGwAaQBzAGUAZAAgAGkAbgAgAGUAYQBjAGgAIABNAE0AUwAgADoAIAAoAGsAZwAgAE4ASAAzAC0ATgAgACsAIABOAE8AeAAtAE4AKQAvAGsAZwAgAE4AXABuAE0ATgBMAGUAYQBjAGgAXwBNAE0AUwAgAD0AIABtAGEAcwBzACAAbwBmACAATgAgAGwAbwBzAHQAIAB0AGgAcgBvAHUAZwBoACAAbABlAGEAYwBoAGkAbgBnACAAYQBuAGQAIAByAHUAbgBvAGYAZgAgAGYAcgBvAG0AIABNAE0AUwAgADoAIABrAGcAIABOAFwAbgBQAEYAIAA9ACAAZgByAGEAYwB0AGkAbwBuACAAbwBmACAAbQBhAG4AdQByAGUAIABhAHAAcABsAGkAZQBkACAAdABvACAAcwBvAGkAbAAgAHcAaQB0AGgAaQBuACAAdABoAGUAIABmAGEAcgBtACAAYgBvAHUAbgBkAGEAcgB5ACAAOgAgAGYAcgBhAGMAdABpAG8AbgBcAG4ALQAtAC0ALQAtAC0ALQAtAC0ALQAtAC0ALQAtAC0ALQAtAC0ALQAtAC0ALQAtAC0ALQAtAC0ALQAtAC0ALQAtAC0ALQAtAC0ALQAtAFwAbgAqAC8AXABuAFwAbgBWAEUARQBSAEcAXwA0AF8ANgBfADEAXwA5AF8AXwAyAF8ATQBhAHMAcwBPAGYATgBpAHQAcgBvAGcAZQBuAEEAcABwAGwAaQBlAGQAVABvAFMAbwBpAGwAcwBTAGMAbwBwAGUAMwBcAG4AIAAgAD0ATABBAE0AQgBEAEEAKABcAG4AIAAgACAAIABNAE4AXwBqAG0AVAAyACwAIABFAEYAXwBtAFQAMgAsACAARgByAGEAYwBHAEEAUwBNAF8AbQBUADIALAAgAE0ATgBMAGUAYQBjAGgAXwBNAE0AUwAsACAAUABGACwAXABuACAAIAAgACAAKABNAE4AXwBqAG0AVAAyACAAKgAgACgAMQAgAC0AIABFAEYAXwBtAFQAMgAgAC0AIABGAHIAYQBjAEcAQQBTAE0AXwBtAFQAMgApACAALQAgAE0ATgBMAGUAYQBjAGgAXwBNAE0AUwApACAAKgAgACgAMQAgAC0AIABQAEYAKQBcAG4AIAAgACkAOwBcAG4AXABuAFYARQBFAFIARwBfADQAXwA2AF8AMQBfADkAXwBfADIAXwBNAGEAcwBzAE8AZgBOAGkAdAByAG8AZwBlAG4AQQBwAHAAbABpAGUAZABUAG8AUwBvAGkAbABzAFMAYwBvAHAAZQAzAF8AVABpAHQAbABlAFwAbgAgACAAPQBMAEEATQBCAEQAQQAoAFwAIgBNAGEAcwBzACAAbwBmACAAbgBpAHQAcgBvAGcAZQBuACAAYQBwAHAAbABpAGUAZAAgAHQAbwAgAHMAbwBpAGwAcwAgAGYAbwByACAAcwBjAG8AcABlACAAMwAgAGUAbQBpAHMAcwBpAG8AbgBzAFwAIgApADsAXABuAFwAbgBWAEUARQBSAEcAXwA0AF8ANgBfADEAXwA5AF8AXwAyAF8ATQBhAHMAcwBPAGYATgBpAHQAcgBvAGcAZQBuAEEAcABwAGwAaQBlAGQAVABvAFMAbwBpAGwAcwBTAGMAbwBwAGUAMwBfAFYAYQByAGkAYQBiAGwAZQBcAG4AIAAgAD0ATABBAE0AQgBEAEEAKABcACIATQBOAFMAbwBpAGwAXwBzAGMAbwBwAGUAMwBcACIAKQA7AFwAbgBcAG4AVgBFAEUAUgBHAF8ANABfADYAXwAxAF8AOQBfAF8AMgBfAE0AYQBzAHMATwBmAE4AaQB0AHIAbwBnAGUAbgBBAHAAcABsAGkAZQBkAFQAbwBTAG8AaQBsAHMAUwBjAG8AcABlADMAXwBVAG4AaQB0AFwAbgAgACAAPQBMAEEATQBCAEQAQQAoAFwAIgBrAGcAIABOAFwAIgApADsAXABuAFwAbgBWAEUARQBSAEcAXwA0AF8ANgBfADEAXwA5AF8AXwAyAF8ATQBhAHMAcwBPAGYATgBpAHQAcgBvAGcAZQBuAEEAcABwAGwAaQBlAGQAVABvAFMAbwBpAGwAcwBTAGMAbwBwAGUAMwBfAFMAbwB1AHIAYwBlAFwAbgAgACAAPQBMAEEATQBCAEQAQQAoAFwAIgBWAEUARQBSAEcAIAAyADAAMgA2ADoAIAA0AC4ANgAuADEALgA5ACwAIABFAHEAdQBhAHQAaQBvAG4AIAAoADIAKQBcACIAKQA7AFwAbgBcAG4AVgBFAEUAUgBHAF8ANABfADYAXwAxAF8AOQBfAF8AMgBfAE0AYQBzAHMATwBmAE4AaQB0AHIAbwBnAGUAbgBBAHAAcABsAGkAZQBkAFQAbwBTAG8AaQBsAHMAUwBjAG8AcABlADMAXwBOAEkAUgBSAGUAZgBlAHIAZQBuAGMAZQBcAG4AIAAgAD0ATABBAE0AQgBEAEEAKABcACIAXAAiACkAOwBcAG4AXABuAFYARQBFAFIARwBfADQAXwA2AF8AMQBfADkAXwBfADIAXwBNAGEAcwBzAE8AZgBOAGkAdAByAG8AZwBlAG4AQQBwAHAAbABpAGUAZABUAG8AUwBvAGkAbABzAFMAYwBvAHAAZQAzAF8ATABhAHQAZQB4AEUAcQB1AGEAdABpAG8AbgBcAG4AIAAgAD0ATABBAE0AQgBEAEEAKABcACIATQBOAFMAbwBpAGwAXwB7AHMAYwBvAHAAZQAzAH0APQBcAFwAcwB1AG0AXwB7AGoAfQBcAFwAcwB1AG0AXwB7AG0AfQAoAE0ATgBfAHsAagBtACwAVAA9ADIAfQBcAFwAdABpAG0AZQBzACgAMQAtAEUARgBfAHsAbQBUAD0AMgB9AC0ARgByAGEAYwBHAEEAUwBNAF8AewBtAFQAPQAyAH0AKQAtAE0ATgBMAGUAYQBjAGgAXwB7AE0ATQBTAH0AKQBcAFwAdABpAG0AZQBzACgAMQAtAFAARgApAFwAIgApADsAXABuAFwAbgBWAEUARQBSAEcAXwA0AF8ANgBfADEAXwA5AF8AXwAyAF8ATQBhAHMAcwBPAGYATgBpAHQAcgBvAGcAZQBuAEEAcABwAGwAaQBlAGQAVABvAFMAbwBpAGwAcwBTAGMAbwBwAGUAMwBfAEEAcgBnAHUAbQBlAG4AdABzAFwAbgAgACAAPQBMAEEATQBCAEQAQQAoAFwAbgAgACAAIAAgAE0AQQBLAEUAQQBSAFIAQQBZACgANQAsACAANAAsAFwAbgAgACAAIAAgACAAIABMAEEATQBCAEQAQQAoAHIALABjACwAXABuACAAIAAgACAAIAAgACAAIABJAE4ARABFAFgAKAB7AFwAbgAgACAAIAAgACAAIAAgACAAIAAgAFwAIgBNAE4AXwBqAG0AVAAyAFwAIgAsAFwAIgBtAGEAcwBzACAAbwBmACAATgAgAGkAbgAgAHMAZQBjAG8AbgBkAGEAcgB5ACAAdAByAGUAYQB0AG0AZQBuAHQAIABzAHQAYQBnAGUAIABhAHMAIABjAGEAbABjAHUAbABhAHQAZQBkACAAZgBvAHIAIABtAGEAbgB1AHIAZQAgAG0AYQBuAGEAZwBlAG0AZQBuAHQAXAAiACwAIABcACIAawBnACAATgBcACIALAAgAFwAIgBDAGEAbABjAHUAbABhAHQAZQBkACAAZgByAG8AbQAgADQALgA2AC4AMQAuADMAIAAoADYAKQBcACIAOwBcAG4AIAAgACAAIAAgACAAIAAgACAAIABcACIARQBGAF8AbQBUADIAXAAiACwAXAAiAG4AaQB0AHIAbwB1AHMAIABvAHgAaQBkAGUAIABlAG0AaQBzAHMAaQBvAG4AIABmAGEAYwB0AG8AcgAgAGYAbwByACAAZQBhAGMAaAAgAE0ATQBTAFwAIgAsACAAXAAiAGsAZwAgAE4AMgBPAC0ATgAvAGsAZwAgAE4AXAAiACwAIABcACIAQwBvAG4AcwB0AGEAbgB0AFwAIgA7AFwAbgAgACAAIAAgACAAIAAgACAAIAAgAFwAIgBGAHIAYQBjAEcAQQBTAE0AXwBtAFQAMgBcACIALABcACIAZgByAGEAYwB0AGkAbwBuACAAbwBmACAAYQBuAGkAbQBhAGwAIAB3AGEAcwB0AGUAIABOACAAdgBvAGwAYQB0AGkAbABpAHMAZQBkACAAaQBuACAAZQBhAGMAaAAgAE0ATQBTAFwAIgAsACAAXAAiACgAawBnACAATgBIADMALQBOACAAKwAgAE4ATwB4AC0ATgApAC8AawBnACAATgBcACIALAAgAFwAIgBDAG8AbgBzAHQAYQBuAHQAXAAiADsAXABuACAAIAAgACAAIAAgACAAIAAgACAAXAAiAE0ATgBMAGUAYQBjAGgAXwBNAE0AUwBcACIALABcACIAbQBhAHMAcwAgAG8AZgAgAE4AIABsAG8AcwB0ACAAdABoAHIAbwB1AGcAaAAgAGwAZQBhAGMAaABpAG4AZwAgAGEAbgBkACAAcgB1AG4AbwBmAGYAIABmAHIAbwBtACAATQBNAFMAXAAiACwAIABcACIAawBnACAATgBcACIALAAgAFwAIgBDAGEAbABjAHUAbABhAHQAZQBkACAAZgByAG8AbQAgADQALgA2AC4AMQAuADcAIAAoADIAKQBcACIAOwBcAG4AIAAgACAAIAAgACAAIAAgACAAIABcACIAUABGAFwAIgAsAFwAIgBmAHIAYQBjAHQAaQBvAG4AIABvAGYAIABtAGEAbgB1AHIAZQAgAGEAcABwAGwAaQBlAGQAIAB0AG8AIABzAG8AaQBsACAAdwBpAHQAaABpAG4AIAB0AGgAZQAgAGYAYQByAG0AIABiAG8AdQBuAGQAYQByAHkAXAAiACwAIABcACIAZgByAGEAYwB0AGkAbwBuAFwAIgAsACAAXAAiAEkAbgBwAHUAdABcACIAXABuACAAIAAgACAAIAAgACAAIAB9ACwAIAByACwAIABjACkAXABuACAAIAAgACAAIAAgACkAXABuACAAIAAgACAAKQBcAG4AIAAgACkAOwBcAG4AIgB9ACwAewAiAHAAYQB0AGgAIgA6ACIALwBwAHIAbwBqAGUAYwB0AHMALwBNAE0AUwBfAFAAbwB1AGwAdAByAHk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EAMAAgAE0AZQB0AGgAbwBkACAAMQAgAC0AIABTAG8AaQBsACAARABpAHIAZQBjAHQ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xADAAXwBfADEAXwBEAGkAcgBlAGMAdABOAGkAdAByAG8AdQBzAE8AeABpAGQAZQBFAG0AaQBzAHMAaQBvAG4AcwBGAHIAbwBtAFAAbwB1AGwAdAByAHkATQBhAG4AdQByAGUAXABuAEQAaQByAGUAYwB0ACAAbgBpAHQAcgBvAHUAcwAgAG8AeABpAGQAZQAgAGUAbQBpAHMAcwBpAG8AbgBzACAAZgByAG8AbQAgAHAAbwB1AGwAdAByAHkAIABtAGEAbgB1AHIAZQAgAG8AbgAgAHAAYQBzAHQAdQByAGUAXABuAEUATQBfAE4AMgBPAFAAUgBQAGQAaQByAFwAbgB0ACAATgAyAE8AXABuAEUATQBfAHsATgAyAE8ALABQAFIAUAAsAGQAaQByAH0APQBcAFwAcwB1AG0AXwB7AGoAfQBcAFwAcwB1AG0AXwB7AGsAfQAoAE0ATgBfAHsAagBrAG0APQAxADQALABUAD0AMQB9AFwAXAB0AGkAbQBlAHMAIABFAEYAXwB7AFAAUgBQAH0AXABcAHQAaQBtAGUAcwAgAEMAXwB7AE4AMgBPAH0AKQBcAFwAdABpAG0AZQBzACAAMQAwAF4AewAtADMAfQBcAG4ATQBOAF8AagBrAG0AMQA0AFQAMQAgAD0AIABtAGEAcwBzACAAbwBmACAAbgBpAHQAcgBvAGcAZQBuACAAZQB4AGMAcgBlAHQAZQBkACAAZABpAHIAZQBjAHQAbAB5ACAAbwBuACAAcABhAHMAdAB1AHIAZQAgAGIAeQAgAHAAbwB1AGwAdAByAHkAIABjAGwAYQBzAHMAIABhAG4AZAAgAHMAdQBiAGMAbABhAHMAcwAgACgAawBnACAATgApAFwAbgBFAEYAXwBQAFIAUAAgAD0AIABuAGkAdAByAG8AdQBzACAAbwB4AGkAZABlACAAZQBtAGkAcwBzAGkAbwBuACAAZgBhAGMAdABvAHIAIABmAG8AcgAgAG0AYQBuAHUAcgBlACAAZABlAHAAbwBzAGkAdABlAGQAIABvAG4AIABwAGEAcwB0AHUAcgBlACAAKABrAGcAIABOADIATwAtAE4ALwBrAGcAIABOACAAZABlAHAAbwBzAGkAdABlAGQ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2AF8AMQBfADEAMABfAF8AMQBfAEQAaQByAGUAYwB0AE4AaQB0AHIAbwB1AHMATwB4AGkAZABlAEUAbQBpAHMAcwBpAG8AbgBzAEYAcgBvAG0AUABvAHUAbAB0AHIAeQBNAGEAbgB1AHIAZQBcAG4AIAAgAD0ATABBAE0AQgBEAEEAKABcAG4AIAAgACAAIABNAE4AXwBqAGsAbQAxADQAVAAxACwAIABFAEYAXwBQAFIAUAAsACAAQwBfAE4AMgBPACwAXABuACAAIAAgACAATQBOAF8AagBrAG0AMQA0AFQAMQAgACoAIABFAEYAXwBQAFIAUAAgACoAIABDAF8ATgAyAE8AIAAqACAAMQAwACAAXgAgAC0AMwBcAG4AIAAgACkAOwBcAG4AXABuAFYARQBFAFIARwBfADQAXwA2AF8AMQBfADEAMABfAF8AMQBfAEQAaQByAGUAYwB0AE4AaQB0AHIAbwB1AHMATwB4AGkAZABlAEUAbQBpAHMAcwBpAG8AbgBzAEYAcgBvAG0AUABvAHUAbAB0AHIAeQBNAGEAbgB1AHIAZQBfAFQAaQB0AGwAZQBcAG4AIAAgAD0ATABBAE0AQgBEAEEAKABcACIARABpAHIAZQBjAHQAIABuAGkAdAByAG8AdQBzACAAbwB4AGkAZABlACAAZQBtAGkAcwBzAGkAbwBuAHMAIABmAHIAbwBtACAAcABvAHUAbAB0AHIAeQAgAG0AYQBuAHUAcgBlACAAbwBuACAAcABhAHMAdAB1AHIAZQBcACIAKQA7AFwAbgBcAG4AVgBFAEUAUgBHAF8ANABfADYAXwAxAF8AMQAwAF8AXwAxAF8ARABpAHIAZQBjAHQATgBpAHQAcgBvAHUAcwBPAHgAaQBkAGUARQBtAGkAcwBzAGkAbwBuAHMARgByAG8AbQBQAG8AdQBsAHQAcgB5AE0AYQBuAHUAcgBlAF8AVgBhAHIAaQBhAGIAbABlAFwAbgAgACAAPQBMAEEATQBCAEQAQQAoAFwAIgBFAE0AXwBOADIATwBQAFIAUABkAGkAcgBcACIAKQA7AFwAbgBcAG4AVgBFAEUAUgBHAF8ANABfADYAXwAxAF8AMQAwAF8AXwAxAF8ARABpAHIAZQBjAHQATgBpAHQAcgBvAHUAcwBPAHgAaQBkAGUARQBtAGkAcwBzAGkAbwBuAHMARgByAG8AbQBQAG8AdQBsAHQAcgB5AE0AYQBuAHUAcgBlAF8AVQBuAGkAdABcAG4AIAAgAD0ATABBAE0AQgBEAEEAKABcACIAdAAgAE4AMgBPAFwAIgApADsAXABuAFwAbgBWAEUARQBSAEcAXwA0AF8ANgBfADEAXwAxADAAXwBfADEAXwBEAGkAcgBlAGMAdABOAGkAdAByAG8AdQBzAE8AeABpAGQAZQBFAG0AaQBzAHMAaQBvAG4AcwBGAHIAbwBtAFAAbwB1AGwAdAByAHkATQBhAG4AdQByAGUAXwBTAG8AdQByAGMAZQBcAG4AIAAgAD0ATABBAE0AQgBEAEEAKABcACIAVgBFAEUAUgBHACAAMgAwADIANgA6ACAANAAuADYALgAxAC4AMQAwACwAIABFAHEAdQBhAHQAaQBvAG4AIAAoADEAKQBcACIAKQA7AFwAbgBcAG4AVgBFAEUAUgBHAF8ANABfADYAXwAxAF8AMQAwAF8AXwAxAF8ARABpAHIAZQBjAHQATgBpAHQAcgBvAHUAcwBPAHgAaQBkAGUARQBtAGkAcwBzAGkAbwBuAHMARgByAG8AbQBQAG8AdQBsAHQAcgB5AE0AYQBuAHUAcgBlAF8ATgBJAFIAUgBlAGYAZQByAGUAbgBjAGUAXABuACAAIAA9AEwAQQBNAEIARABBACgAXAAiAFwAIgApADsAXABuAFwAbgBWAEUARQBSAEcAXwA0AF8ANgBfADEAXwAxADAAXwBfADEAXwBEAGkAcgBlAGMAdABOAGkAdAByAG8AdQBzAE8AeABpAGQAZQBFAG0AaQBzAHMAaQBvAG4AcwBGAHIAbwBtAFAAbwB1AGwAdAByAHkATQBhAG4AdQByAGUAXwBMAGEAdABlAHgARQBxAHUAYQB0AGkAbwBuAFwAbgAgACAAPQBMAEEATQBCAEQAQQAoAFwAIgBFAE0AXwB7AE4AMgBPACwAUABSAFAALABkAGkAcgB9AD0AXABcAHMAdQBtAF8AewBqAH0AXABcAHMAdQBtAF8AewBrAH0AKABNAE4AXwB7AGoAawBtAD0AMQA0ACwAVAA9ADEAfQBcAFwAdABpAG0AZQBzACAARQBGAF8AewBQAFIAUAB9AFwAXAB0AGkAbQBlAHMAIABDAF8AewBOADIATwB9ACkAXABcAHQAaQBtAGUAcwAgADEAMABeAHsALQAzAH0AXAAiACkAOwBcAG4AXABuAFYARQBFAFIARwBfADQAXwA2AF8AMQBfADEAMABfAF8AMQBfAEQAaQByAGUAYwB0AE4AaQB0AHIAbwB1AHMATwB4AGkAZABlAEUAbQBpAHMAcwBpAG8AbgBzAEYAcgBvAG0AUABvAHUAbAB0AHIAeQBNAGEAbgB1AHIAZQBfAEEAcgBnAHUAbQBlAG4AdABzAFwAbgAgACAAPQBMAEEATQBCAEQAQQAoAFwAbgAgACAAIAAgAE0AQQBLAEUAQQBSAFIAQQBZACgAMwAsACAANAAsAFwAbgAgACAAIAAgACAAIABMAEEATQBCAEQAQQAoAHIALABjACwAXABuACAAIAAgACAAIAAgACAAIABJAE4ARABFAFgAKAB7AFwAbgAgACAAIAAgACAAIAAgACAAIAAgAFwAIgBNAE4AXwBqAGsAbQAxADQAVAAxAFwAIgAsACAAXAAiAG0AYQBzAHMAIABvAGYAIABuAGkAdAByAG8AZwBlAG4AIABlAHgAYwByAGUAdABlAGQAIABkAGkAcgBlAGMAdABsAHkAIABvAG4AIABwAGEAcwB0AHUAcgBlACAAYgB5ACAAcABvAHUAbAB0AHIAeQAgAGMAbABhAHMAcwAgAGEAbgBkACAAcwB1AGIAYwBsAGEAcwBzAFwAIgAsACAAXAAiAGsAZwAgAE4AXAAiACwAIABcACIAQwBhAGwAYwB1AGwAYQB0AGUAZAAgAGYAcgBvAG0AIAA0AC4ANgAuADEALgAzACAAKAAyACkAXAAiADsAXABuACAAIAAgACAAIAAgACAAIAAgACAAXAAiAEUARgBfAFAAUgBQAFwAIgAsACAAXAAiAG4AaQB0AHIAbwB1AHMAIABvAHgAaQBkAGUAIABlAG0AaQBzAHMAaQBvAG4AIABmAGEAYwB0AG8AcgAgAGYAbwByACAAbQBhAG4AdQByAGUAIABkAGUAcABvAHMAaQB0AGUAZAAgAG8AbgAgAHAAYQBzAHQAdQByAGUAXAAiACwAIABcACIAawBnACAATgAyAE8ALQBOAC8AawBnACAATgAgAGQAZQBwAG8AcwBpAHQAZQBk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HIAYQB0AGkAbwBcACIALAAgAFwAIgBDAG8AbgBzAHQAYQBuAHQAXAAiAFwAbgAgACAAIAAgACAAIAAgACAAfQAsACAAcgAsACAAYwApAFwAbgAgACAAIAAgACAAIAApAFwAbgAgACAAIAAgACkAXABuACAAIAApADsAXABuACIAfQAsAHsAIgBwAGEAdABoACIAOgAiAC8AcAByAG8AagBlAGMAdABzAC8ATQBNAFMAXwBQAG8AdQBsAHQAcgB5AF8AUwBvAGkAb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xADIAIABNAGUAdABoAG8AZAAgADEAIAAtACAAUwBvAGkAbAAgAEEAdABtAG8AcwBwAGgAZQByAGkAYwAgAEQAZQBwAG8AcwBpAHQAaQBvAG4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xADIAXwBfADEAXwBBAHQAbQBvAHMAcABoAGUAcgBpAGMARABlAHAAbwBzAGkAdABpAG8AbgBFAG0AaQBzAHMAaQBvAG4AcwBGAHIAbwBtAFAAbwB1AGwAdAByAHkATQBhAG4AdQByAGUATwBuAFAAYQBzAHQAdQByAGUAXABuAEEAdABtAG8AcwBwAGgAZQByAGkAYwAgAGQAZQBwAG8AcwBpAHQAaQBvAG4AIABlAG0AaQBzAHMAaQBvAG4AcwAgAGYAcgBvAG0AIABwAG8AdQBsAHQAcgB5ACAAbQBhAG4AdQByAGUAIABkAGUAcABvAHMAaQB0AGUAZAAgAG8AbgAgAHAAYQBzAHQAdQByAGUAXABuAEUAXwBOADIATwBhAGQAXABuAHQAIABOADIATwBcAG4ARQBfAHsATgAyAE8ALABhAGQAfQA9AE0AXwB7AHYAbwBsACwAbQA9ADEANAB9AFwAXAB0AGkAbQBlAHMAIABFAEYAXwB7AE4AMgBPAH0AXABcAHQAaQBtAGUAcwAgAEMAXwB7AE4AMgBPAH0AXABcAHQAaQBtAGUAcwAgADEAMABeAHsALQAzAH0AXABuAE0AXwB2AG8AbABfAG0AMQA0ACAAPQAgAG0AYQBzAHMAIABvAGYAIABuAGkAdAByAG8AZwBlAG4AIAB2AG8AbABhAHQAaQBsAGkAcwBlAGQAIABmAHIAbwBtACAAbQBhAG4AdQByAGUAIABkAGUAcABvAHMAaQB0AGUAZAAgAG8AbgAgAHAAYQBzAHQAdQByAGUAIAAoAGsAZwAgAE4AKQBcAG4ARQBGAF8ATgAyAE8AIAA9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2AF8AMQBfADEAMgBfAF8AMQBfAEEAdABtAG8AcwBwAGgAZQByAGkAYwBEAGUAcABvAHMAaQB0AGkAbwBuAEUAbQBpAHMAcwBpAG8AbgBzAEYAcgBvAG0AUABvAHUAbAB0AHIAeQBNAGEAbgB1AHIAZQBPAG4AUABhAHMAdAB1AHIAZQBcAG4AIAAgAD0ATABBAE0AQgBEAEEAKABcAG4AIAAgACAAIABNAF8AdgBvAGwAXwBtADEANAAsACAARQBGAF8ATgAyAE8ALAAgAEMAXwBOADIATwAsAFwAbgAgACAAIAAgAE0AXwB2AG8AbABfAG0AMQA0ACAAKgAgAEUARgBfAE4AMgBPACAAKgAgAEMAXwBOADIATwAgACoAIAAxADAAIABeACAALQAzAFwAbgAgACAAKQA7AFwAbgBcAG4AVgBFAEUAUgBHAF8ANABfADYAXwAxAF8AMQAyAF8AXwAxAF8AQQB0AG0AbwBzAHAAaABlAHIAaQBjAEQAZQBwAG8AcwBpAHQAaQBvAG4ARQBtAGkAcwBzAGkAbwBuAHMARgByAG8AbQBQAG8AdQBsAHQAcgB5AE0AYQBuAHUAcgBlAE8AbgBQAGEAcwB0AHUAcgBlAF8AVABpAHQAbABlAFwAbgAgACAAPQBMAEEATQBCAEQAQQAoAFwAIgBBAHQAbQBvAHMAcABoAGUAcgBpAGMAIABkAGUAcABvAHMAaQB0AGkAbwBuACAAZQBtAGkAcwBzAGkAbwBuAHMAIABmAHIAbwBtACAAcABvAHUAbAB0AHIAeQAgAG0AYQBuAHUAcgBlACAAZABlAHAAbwBzAGkAdABlAGQAIABvAG4AIABwAGEAcwB0AHUAcgBlAFwAIgApADsAXABuAFwAbgBWAEUARQBSAEcAXwA0AF8ANgBfADEAXwAxADIAXwBfADEAXwBBAHQAbQBvAHMAcABoAGUAcgBpAGMARABlAHAAbwBzAGkAdABpAG8AbgBFAG0AaQBzAHMAaQBvAG4AcwBGAHIAbwBtAFAAbwB1AGwAdAByAHkATQBhAG4AdQByAGUATwBuAFAAYQBzAHQAdQByAGUAXwBWAGEAcgBpAGEAYgBsAGUAXABuACAAIAA9AEwAQQBNAEIARABBACgAXAAiAEUAXwBOADIATwBhAGQAXAAiACkAOwBcAG4AXABuAFYARQBFAFIARwBfADQAXwA2AF8AMQBfADEAMgBfAF8AMQBfAEEAdABtAG8AcwBwAGgAZQByAGkAYwBEAGUAcABvAHMAaQB0AGkAbwBuAEUAbQBpAHMAcwBpAG8AbgBzAEYAcgBvAG0AUABvAHUAbAB0AHIAeQBNAGEAbgB1AHIAZQBPAG4AUABhAHMAdAB1AHIAZQBfAFUAbgBpAHQAXABuACAAIAA9AEwAQQBNAEIARABBACgAXAAiAHQAIABOADIATwBcACIAKQA7AFwAbgBcAG4AVgBFAEUAUgBHAF8ANABfADYAXwAxAF8AMQAyAF8AXwAxAF8AQQB0AG0AbwBzAHAAaABlAHIAaQBjAEQAZQBwAG8AcwBpAHQAaQBvAG4ARQBtAGkAcwBzAGkAbwBuAHMARgByAG8AbQBQAG8AdQBsAHQAcgB5AE0AYQBuAHUAcgBlAE8AbgBQAGEAcwB0AHUAcgBlAF8AUwBvAHUAcgBjAGUAXABuACAAIAA9AEwAQQBNAEIARABBACgAXAAiAFYARQBFAFIARwAgADIAMAAyADYAOgAgADQALgA2AC4AMQAuADEAMgAsACAARQBxAHUAYQB0AGkAbwBuACAAKAAxACkAXAAiACkAOwBcAG4AXABuAFYARQBFAFIARwBfADQAXwA2AF8AMQBfADEAMgBfAF8AMQBfAEEAdABtAG8AcwBwAGgAZQByAGkAYwBEAGUAcABvAHMAaQB0AGkAbwBuAEUAbQBpAHMAcwBpAG8AbgBzAEYAcgBvAG0AUABvAHUAbAB0AHIAeQBNAGEAbgB1AHIAZQBPAG4AUABhAHMAdAB1AHIAZQBfAE4ASQBSAFIAZQBmAGUAcgBlAG4AYwBlAFwAbgAgACAAPQBMAEEATQBCAEQAQQAoAFwAIgBcACIAKQA7AFwAbgBcAG4AVgBFAEUAUgBHAF8ANABfADYAXwAxAF8AMQAyAF8AXwAxAF8AQQB0AG0AbwBzAHAAaABlAHIAaQBjAEQAZQBwAG8AcwBpAHQAaQBvAG4ARQBtAGkAcwBzAGkAbwBuAHMARgByAG8AbQBQAG8AdQBsAHQAcgB5AE0AYQBuAHUAcgBlAE8AbgBQAGEAcwB0AHUAcgBlAF8ATABhAHQAZQB4AEUAcQB1AGEAdABpAG8AbgBcAG4AIAAgAD0ATABBAE0AQgBEAEEAKABcACIARQBfAHsATgAyAE8ALABhAGQAfQA9AE0AXwB7AHYAbwBsACwAbQA9ADEANAB9AFwAXAB0AGkAbQBlAHMAIABFAEYAXwB7AE4AMgBPAH0AXABcAHQAaQBtAGUAcwAgAEMAXwB7AE4AMgBPAH0AXABcAHQAaQBtAGUAcwAgADEAMABeAHsALQAzAH0AXAAiACkAOwBcAG4AXABuAFYARQBFAFIARwBfADQAXwA2AF8AMQBfADEAMgBfAF8AMQBfAEEAdABtAG8AcwBwAGgAZQByAGkAYwBEAGUAcABvAHMAaQB0AGkAbwBuAEUAbQBpAHMAcwBpAG8AbgBzAEYAcgBvAG0AUABvAHUAbAB0AHIAeQBNAGEAbgB1AHIAZQBPAG4AUABhAHMAdAB1AHIAZQBfAEEAcgBnAHUAbQBlAG4AdABzAFwAbgAgACAAPQBMAEEATQBCAEQAQQAoAFwAbgAgACAAIAAgAE0AQQBLAEUAQQBSAFIAQQBZACgANgAsACAANAAsAFwAbgAgACAAIAAgACAAIABMAEEATQBCAEQAQQAoAHIALABjACwAXABuACAAIAAgACAAIAAgACAAIABJAE4ARABFAFgAKAB7AFwAbgAgACAAIAAgACAAIAAgACAAIAAgAFwAIgBNAF8AdgBvAGwAXwBtADEANABcACIALAAgAFwAIgBtAGEAcwBzACAAbwBmACAAbgBpAHQAcgBvAGcAZQBuACAAdgBvAGwAYQB0AGkAbABpAHMAZQBkACAAZgByAG8AbQAgAG0AYQBuAHUAcgBlACAAZABlAHAAbwBzAGkAdABlAGQAIABvAG4AIABwAGEAcwB0AHUAcgBlAFwAIgAsAFwAIgBrAGcAIABOAFwAIgAsACAAXAAiAEMAYQBsAGMAdQBsAGEAdABlAGQAIABmAHIAbwBtACAANAAuADYALgAxAC4AMQAyACAAKAAyACkAXAAiADsAXABuACAAIAAgACAAIAAgACAAIAAgACAAXAAiAEUARgBfAE4AMgBPAFwAIgAsACAAXAAiAGUAbQBpAHMAcwBpAG8AbgAgAGYAYQBjAHQAbwByACAAZgBvAHIAIABhAHQAbQBvAHMAcABoAGUAcgBpAGMAIABkAGUAcABvAHMAaQB0AGkAbwBuACAAKABrAGcAIABOADIATwAtAE4ALwBrAGcAIABOACk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yAGEAdABpAG8AXAAiACwAIABcACIAQwBvAG4AcwB0AGEAbg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A7AFwAbgAgACAAIAAgACAAIAAgACAAIAAgAFwAIgByAFwAIgAsACAAXAAiAHIAYQBpAG4AZgBhAGwAbAAgAHIAZQBnAGkAbw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gBfADEAXwAxADIAXwBfADIAXwBNAGEAcwBzAE8AZgBOAGkAdAByAG8AZwBlAG4AVgBvAGwAYQB0AGkAbABpAHMAZQBkAEYAcgBvAG0AUABvAHUAbAB0AHIAeQBNAGEAbgB1AHIAZQBPAG4AUABhAHMAdAB1AHIAZQBcAG4ATQBhAHMAcwAgAG8AZgAgAG4AaQB0AHIAbwBnAGUAbgAgAHYAbwBsAGEAdABpAGwAaQBzAGUAZAAgAGYAcgBvAG0AIABwAG8AdQBsAHQAcgB5ACAAbQBhAG4AdQByAGUAIABkAGUAcABvAHMAaQB0AGUAZAAgAG8AbgAgAHAAYQBzAHQAdQByAGUAXABuAE0AXwB2AG8AbABfAG0AMQA0AFwAbgBrAGcAIABOAFwAbgBNAF8AewB2AG8AbAAsAG0APQAxADQAfQA9AE0ATgBfAHsAagBrAG0APQAxADQALABUAD0AMQB9AFwAXAB0AGkAbQBlAHMAIABGAHIAYQBjAEcAQQBTAE0AcwBvAGkAbABcAG4ATQBOAF8AagBrAG0AMQA0AFQAMQAgAD0AIABtAGEAcwBzACAAbwBmACAAbgBpAHQAcgBvAGcAZQBuACAAZQB4AGMAcgBlAHQAZQBkACAAZABpAHIAZQBjAHQAbAB5ACAAbwBuACAAcABhAHMAdAB1AHIAZQAgAGIAeQAgAHAAbwB1AGwAdAByAHkAIABjAGwAYQBzAHMAIABhAG4AZAAgAHMAdQBiAGMAbABhAHMAcwAgACgAawBnACAATgApAFwAbgBGAHIAYQBjAEcAQQBTAE0AcwBvAGkAbAAgAD0AIABmAHIAYQBjAHQAaQBvAG4AIABvAGYAIABuAGkAdAByAG8AZwBlAG4AIAB2AG8AbABhAHQAaQBsAGkAcwBlAGQAIABmAHIAbwBtACAAbQBhAG4AdQByAGUAIABkAGUAcABvAHMAaQB0AGUAZAAgAG8AbgAgAHAAYQBzAHQAdQByAGUAIAAoACgAawBnACAATgBIADMALQBOACAAKwAgAE4ATwB4AC0ATgApAC8AawBnACAATgApAFwAbgAtAC0ALQAtAC0ALQAtAC0ALQAtAC0ALQAtAC0ALQAtAC0ALQAtAC0ALQAtAC0ALQAtAC0ALQAtAC0ALQAtAC0ALQAtAC0ALQAtAC0AXABuACoALwBcAG4AXABuAFYARQBFAFIARwBfADQAXwA2AF8AMQBfADEAMgBfAF8AMgBfAE0AYQBzAHMATwBmAE4AaQB0AHIAbwBnAGUAbgBWAG8AbABhAHQAaQBsAGkAcwBlAGQARgByAG8AbQBQAG8AdQBsAHQAcgB5AE0AYQBuAHUAcgBlAE8AbgBQAGEAcwB0AHUAcgBlAFwAbgAgACAAPQBMAEEATQBCAEQAQQAoAFwAbgAgACAAIAAgAE0ATgBfAGoAawBtADEANABUADEALAAgAEYAcgBhAGMARwBBAFMATQBzAG8AaQBsACwAXABuACAAIAAgACAATQBOAF8AagBrAG0AMQA0AFQAMQAgACoAIABGAHIAYQBjAEcAQQBTAE0AcwBvAGkAbABcAG4AIAAgACkAOwBcAG4AXABuAFYARQBFAFIARwBfADQAXwA2AF8AMQBfADEAMgBfAF8AMgBfAE0AYQBzAHMATwBmAE4AaQB0AHIAbwBnAGUAbgBWAG8AbABhAHQAaQBsAGkAcwBlAGQARgByAG8AbQBQAG8AdQBsAHQAcgB5AE0AYQBuAHUAcgBlAE8AbgBQAGEAcwB0AHUAcgBlAF8AVABpAHQAbABlAFwAbgAgACAAPQBMAEEATQBCAEQAQQAoAFwAIgBNAGEAcwBzACAAbwBmACAAbgBpAHQAcgBvAGcAZQBuACAAdgBvAGwAYQB0AGkAbABpAHMAZQBkACAAZgByAG8AbQAgAHAAbwB1AGwAdAByAHkAIABtAGEAbgB1AHIAZQAgAGQAZQBwAG8AcwBpAHQAZQBkACAAbwBuACAAcABhAHMAdAB1AHIAZQBcACIAKQA7AFwAbgBcAG4AVgBFAEUAUgBHAF8ANABfADYAXwAxAF8AMQAyAF8AXwAyAF8ATQBhAHMAcwBPAGYATgBpAHQAcgBvAGcAZQBuAFYAbwBsAGEAdABpAGwAaQBzAGUAZABGAHIAbwBtAFAAbwB1AGwAdAByAHkATQBhAG4AdQByAGUATwBuAFAAYQBzAHQAdQByAGUAXwBWAGEAcgBpAGEAYgBsAGUAXABuACAAIAA9AEwAQQBNAEIARABBACgAXAAiAE0AXwB2AG8AbABfAG0AMQA0AFwAIgApADsAXABuAFwAbgBWAEUARQBSAEcAXwA0AF8ANgBfADEAXwAxADIAXwBfADIAXwBNAGEAcwBzAE8AZgBOAGkAdAByAG8AZwBlAG4AVgBvAGwAYQB0AGkAbABpAHMAZQBkAEYAcgBvAG0AUABvAHUAbAB0AHIAeQBNAGEAbgB1AHIAZQBPAG4AUABhAHMAdAB1AHIAZQBfAFUAbgBpAHQAXABuACAAIAA9AEwAQQBNAEIARABBACgAXAAiAGsAZwAgAE4AXAAiACkAOwBcAG4AXABuAFYARQBFAFIARwBfADQAXwA2AF8AMQBfADEAMgBfAF8AMgBfAE0AYQBzAHMATwBmAE4AaQB0AHIAbwBnAGUAbgBWAG8AbABhAHQAaQBsAGkAcwBlAGQARgByAG8AbQBQAG8AdQBsAHQAcgB5AE0AYQBuAHUAcgBlAE8AbgBQAGEAcwB0AHUAcgBlAF8AUwBvAHUAcgBjAGUAXABuACAAIAA9AEwAQQBNAEIARABBACgAXAAiAFYARQBFAFIARwAgADIAMAAyADYAOgAgADQALgA2AC4AMQAuADEAMgAsACAARQBxAHUAYQB0AGkAbwBuACAAKAAyACkAXAAiACkAOwBcAG4AXABuAFYARQBFAFIARwBfADQAXwA2AF8AMQBfADEAMgBfAF8AMgBfAE0AYQBzAHMATwBmAE4AaQB0AHIAbwBnAGUAbgBWAG8AbABhAHQAaQBsAGkAcwBlAGQARgByAG8AbQBQAG8AdQBsAHQAcgB5AE0AYQBuAHUAcgBlAE8AbgBQAGEAcwB0AHUAcgBlAF8ATgBJAFIAUgBlAGYAZQByAGUAbgBjAGUAXABuACAAIAA9AEwAQQBNAEIARABBACgAXAAiAFwAIgApADsAXABuAFwAbgBWAEUARQBSAEcAXwA0AF8ANgBfADEAXwAxADIAXwBfADIAXwBNAGEAcwBzAE8AZgBOAGkAdAByAG8AZwBlAG4AVgBvAGwAYQB0AGkAbABpAHMAZQBkAEYAcgBvAG0AUABvAHUAbAB0AHIAeQBNAGEAbgB1AHIAZQBPAG4AUABhAHMAdAB1AHIAZQBfAEwAYQB0AGUAeABFAHEAdQBhAHQAaQBvAG4AXABuACAAIAA9AEwAQQBNAEIARABBACgAXAAiAE0AXwB7AHYAbwBsACwAbQA9ADEANAB9AD0AXABcAHMAdQBtAF8AewBqAH0AXABcAHMAdQBtAF8AewBrAH0AKABNAE4AXwB7AGoAawBtAD0AMQA0ACwAVAA9ADEAfQBcAFwAdABpAG0AZQBzACAARgByAGEAYwBHAEEAUwBNAHMAbwBpAGwAKQBcACIAKQA7AFwAbgBcAG4AVgBFAEUAUgBHAF8ANABfADYAXwAxAF8AMQAyAF8AXwAyAF8ATQBhAHMAcwBPAGYATgBpAHQAcgBvAGcAZQBuAFYAbwBsAGEAdABpAGwAaQBzAGUAZABGAHIAbwBtAFAAbwB1AGwAdAByAHkATQBhAG4AdQByAGUATwBuAFAAYQBzAHQAdQByAGUAXwBBAHIAZwB1AG0AZQBuAHQAcwBcAG4AIAAgAD0ATABBAE0AQgBEAEEAKABcAG4AIAAgACAAIABNAEEASwBFAEEAUgBSAEEAWQAoADIALAAgADQALABcAG4AIAAgACAAIAAgACAATABBAE0AQgBEAEEAKAByACwAYwAsAFwAbgAgACAAIAAgACAAIAAgACAASQBOAEQARQBYACgAewBcAG4AIAAgACAAIAAgACAAIAAgACAAIABcACIATQBOAF8AagBrAG0AMQA0AFQAMQBcACIALAAgAFwAIgBtAGEAcwBzACAAbwBmACAAbgBpAHQAcgBvAGcAZQBuACAAZQB4AGMAcgBlAHQAZQBkACAAZABpAHIAZQBjAHQAbAB5ACAAbwBuACAAcABhAHMAdAB1AHIAZQAgAGIAeQAgAHAAbwB1AGwAdAByAHkAIABjAGwAYQBzAHMAIABhAG4AZAAgAHMAdQBiAGMAbABhAHMAcwBcACIALAAgAFwAIgBrAGcAIABOAFwAIgAsACAAXAAiAEMAYQBsAGMAdQBsAGEAdABlAGQAIABmAHIAbwBtACAANAAuADYALgAxAC4AMwAgACgAMgApAFwAIgA7AFwAbgAgACAAIAAgACAAIAAgACAAIAAgAFwAIgBGAHIAYQBjAEcAQQBTAE0AcwBvAGkAbABcACIALAAgAFwAIgBmAHIAYQBjAHQAaQBvAG4AIABvAGYAIABuAGkAdAByAG8AZwBlAG4AIAB2AG8AbABhAHQAaQBsAGkAcwBlAGQAIABmAHIAbwBtACAAbQBhAG4AdQByAGUAIABkAGUAcABvAHMAaQB0AGUAZAAgAG8AbgAgAHAAYQBzAHQAdQByAGUAXAAiACwAIABcACIAKABrAGcAIABOAEgAMwAtAE4AIAArACAATgBPAHgALQBOACkALwBrAGcAIABOAFwAIgAsACAAXAAiAEMAbwBuAHMAdABhAG4AdABcACIAXABuACAAIAAgACAAIAAgACAAIAB9ACwAIAByACwAIABjACkAXABuACAAIAAgACAAIAAgACkAXABuACAAIAAgACAAKQBcAG4AIAAgACkAOwBcAG4AIgB9ACwAewAiAHAAYQB0AGgAIgA6ACIALwBwAHIAbwBqAGUAYwB0AHMALwBNAE0AUwBfAFAAbwB1AGwAdAByAHkAXwBTAG8AaQBs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xADQAIABNAGUAdABoAG8AZAAgADEAIAAtACAAUwBvAGkAbAAgAEwAZQBhAGMAaABpAG4AZwAgAEEAbgBkACAAUgB1AG4AbwBmAGYAIABOADIATw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xADQAXwBfADEAXwBMAGUAYQBjAGgAaQBuAGcAQQBuAGQAUgB1AG4AbwBmAGYARQBtAGkAcwBzAGkAbwBuAHMARgByAG8AbQBQAG8AdQBsAHQAcgB5AE0AYQBuAHUAcgBlAE8AbgBQAGEAcwB0AHUAcgBlAFwAbgBMAGUAYQBjAGgAaQBuAGcAIABhAG4AZAAgAHIAdQBuAG8AZgBmACAAZQBtAGkAcwBzAGkAbwBuAHMAIABmAHIAbwBtACAAcABvAHUAbAB0AHIAeQAgAG0AYQBuAHUAcgBlACAAZABlAHAAbwBzAGkAdABlAGQAIABvAG4AIABwAGEAcwB0AHUAcgBlAFwAbgBFAF8ATgAyAE8AbABlAGEAYwBoAFwAbgB0ACAATgAyAE8AXABuAEUAXwB7AE4AMgBPACwAbABlAGEAYwBoAH0APQBNAF8AewBsAGUAYQBjAGgALABtAD0AMQA0AH0AXABcAHQAaQBtAGUAcwAgAEUARgBfAHsAbABlAGEAYwBoAH0AXABcAHQAaQBtAGUAcwAgAEMAXwB7AE4AMgBPAH0AXABcAHQAaQBtAGUAcwAgADEAMABeAHsALQAzAH0AXABuAE0AXwBsAGUAYQBjAGgAXwBtADEANAAgAD0AIABtAGEAcwBzACAAbwBmACAAbgBpAHQAcgBvAGcAZQBuACAAbABvAHMAdAAgAHQAbwAgAGwAZQBhAGMAaABpAG4AZwAgAGEAbgBkACAAcgB1AG4AbwBmAGYAIABmAHIAbwBtACAAcABvAHUAbAB0AHIAeQAgAG0AYQBuAHUAcgBlACAAZABlAHAAbwBzAGkAdABlAGQAIABvAG4AIABwAGEAcwB0AHUAcgBl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YAXwAxAF8AMQA0AF8AXwAxAF8ATABlAGEAYwBoAGkAbgBnAEEAbgBkAFIAdQBuAG8AZgBmAEUAbQBpAHMAcwBpAG8AbgBzAEYAcgBvAG0AUABvAHUAbAB0AHIAeQBNAGEAbgB1AHIAZQBPAG4AUABhAHMAdAB1AHIAZQBcAG4AIAAgAD0ATABBAE0AQgBEAEEAKABcAG4AIAAgACAAIABNAF8AbABlAGEAYwBoAF8AbQAxADQALAAgAEUARgBfAGwAZQBhAGMAaAAsACAAQwBfAE4AMgBPACwAXABuACAAIAAgACAATQBfAGwAZQBhAGMAaABfAG0AMQA0ACAAKgAgAEUARgBfAGwAZQBhAGMAaAAgACoAIABDAF8ATgAyAE8AIAAqACAAMQAwACAAXgAgAC0AMwBcAG4AIAAgACkAOwBcAG4AXABuAFYARQBFAFIARwBfADQAXwA2AF8AMQBfADEANABfAF8AMQBfAEwAZQBhAGMAaABpAG4AZwBBAG4AZABSAHUAbgBvAGYAZgBFAG0AaQBzAHMAaQBvAG4AcwBGAHIAbwBtAFAAbwB1AGwAdAByAHkATQBhAG4AdQByAGUATwBuAFAAYQBzAHQAdQByAGUAXwBUAGkAdABsAGUAXABuACAAIAA9AEwAQQBNAEIARABBACgAXAAiAEwAZQBhAGMAaABpAG4AZwAgAGEAbgBkACAAcgB1AG4AbwBmAGYAIABlAG0AaQBzAHMAaQBvAG4AcwAgAGYAcgBvAG0AIABwAG8AdQBsAHQAcgB5ACAAbQBhAG4AdQByAGUAIABkAGUAcABvAHMAaQB0AGUAZAAgAG8AbgAgAHAAYQBzAHQAdQByAGUAXAAiACkAOwBcAG4AXABuAFYARQBFAFIARwBfADQAXwA2AF8AMQBfADEANABfAF8AMQBfAEwAZQBhAGMAaABpAG4AZwBBAG4AZABSAHUAbgBvAGYAZgBFAG0AaQBzAHMAaQBvAG4AcwBGAHIAbwBtAFAAbwB1AGwAdAByAHkATQBhAG4AdQByAGUATwBuAFAAYQBzAHQAdQByAGUAXwBWAGEAcgBpAGEAYgBsAGUAXABuACAAIAA9AEwAQQBNAEIARABBACgAXAAiAEUAXwBOADIATwBsAGUAYQBjAGgAXAAiACkAOwBcAG4AXABuAFYARQBFAFIARwBfADQAXwA2AF8AMQBfADEANABfAF8AMQBfAEwAZQBhAGMAaABpAG4AZwBBAG4AZABSAHUAbgBvAGYAZgBFAG0AaQBzAHMAaQBvAG4AcwBGAHIAbwBtAFAAbwB1AGwAdAByAHkATQBhAG4AdQByAGUATwBuAFAAYQBzAHQAdQByAGUAXwBVAG4AaQB0AFwAbgAgACAAPQBMAEEATQBCAEQAQQAoAFwAIgB0ACAATgAyAE8AXAAiACkAOwBcAG4AXABuAFYARQBFAFIARwBfADQAXwA2AF8AMQBfADEANABfAF8AMQBfAEwAZQBhAGMAaABpAG4AZwBBAG4AZABSAHUAbgBvAGYAZgBFAG0AaQBzAHMAaQBvAG4AcwBGAHIAbwBtAFAAbwB1AGwAdAByAHkATQBhAG4AdQByAGUATwBuAFAAYQBzAHQAdQByAGUAXwBTAG8AdQByAGMAZQBcAG4AIAAgAD0ATABBAE0AQgBEAEEAKABcACIAVgBFAEUAUgBHACAAMgAwADIANgA6ACAANAAuADYALgAxAC4AMQA0ACwAIABFAHEAdQBhAHQAaQBvAG4AIAAoADEAKQBcACIAKQA7AFwAbgBcAG4AVgBFAEUAUgBHAF8ANABfADYAXwAxAF8AMQA0AF8AXwAxAF8ATABlAGEAYwBoAGkAbgBnAEEAbgBkAFIAdQBuAG8AZgBmAEUAbQBpAHMAcwBpAG8AbgBzAEYAcgBvAG0AUABvAHUAbAB0AHIAeQBNAGEAbgB1AHIAZQBPAG4AUABhAHMAdAB1AHIAZQBfAE4ASQBSAFIAZQBmAGUAcgBlAG4AYwBlAFwAbgAgACAAPQBMAEEATQBCAEQAQQAoAFwAIgBcACIAKQA7AFwAbgBcAG4AVgBFAEUAUgBHAF8ANABfADYAXwAxAF8AMQA0AF8AXwAxAF8ATABlAGEAYwBoAGkAbgBnAEEAbgBkAFIAdQBuAG8AZgBmAEUAbQBpAHMAcwBpAG8AbgBzAEYAcgBvAG0AUABvAHUAbAB0AHIAeQBNAGEAbgB1AHIAZQBPAG4AUABhAHMAdAB1AHIAZQBfAEwAYQB0AGUAeABFAHEAdQBhAHQAaQBvAG4AXABuACAAIAA9AEwAQQBNAEIARABBACgAXAAiAEUAXwB7AE4AMgBPACwAbABlAGEAYwBoAH0APQBNAF8AewBsAGUAYQBjAGgALABtAD0AMQA0AH0AXABcAHQAaQBtAGUAcwAgAEUARgBfAHsAbABlAGEAYwBoAH0AXABcAHQAaQBtAGUAcwAgAEMAXwB7AE4AMgBPAH0AXABcAHQAaQBtAGUAcwAgADEAMABeAHsALQAzAH0AXAAiACkAOwBcAG4AXABuAFYARQBFAFIARwBfADQAXwA2AF8AMQBfADEANABfAF8AMQBfAEwAZQBhAGMAaABpAG4AZwBBAG4AZABSAHUAbgBvAGYAZgBFAG0AaQBzAHMAaQBvAG4AcwBGAHIAbwBtAFAAbwB1AGwAdAByAHkATQBhAG4AdQByAGU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fAG0AMQA0AFwAIgAsACAAXAAiAG0AYQBzAHMAIABvAGYAIABuAGkAdAByAG8AZwBlAG4AIABsAG8AcwB0ACAAdABvACAAbABlAGEAYwBoAGkAbgBnACAAYQBuAGQAIAByAHUAbgBvAGYAZgAgAGYAcgBvAG0AIABwAG8AdQBsAHQAcgB5ACAAbQBhAG4AdQByAGUAIABkAGUAcABvAHMAaQB0AGUAZAAgAG8AbgAgAHAAYQBzAHQAdQByAGUAXAAiACwAXAAiAGsAZwAgAE4AXAAiACwAIABcACIAQwBhAGwAYwB1AGwAYQB0AGUAZAAgAGYAcgBvAG0AIAA0AC4ANgAuADEALgAxADQAIAAoADIAKQBcACIAOwBcAG4AIAAgACAAIAAgACAAIAAgACAAIABcACIARQBGAF8AbABlAGEAYwBoAFwAIgAsACAAXAAiAGUAbQBpAHMAcwBpAG8AbgAgAGYAYQBjAHQAbwByACAAZgBvAHIAIABsAGUAYQBjAGgAaQBuAGcAIABhAG4AZAAgAHIAdQBuAG8AZgBmACAAKABrAGcAIABOADIATwAtAE4ALwBrAGcAIABOACk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yAGEAdABpAG8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2AF8AMQBfADEANABfAF8AMgBfAE0AYQBzAHMATwBmAE4AaQB0AHIAbwBnAGUAbgBMAG8AcwB0AFQAbwBMAGUAYQBjAGgAaQBuAGcAQQBuAGQAUgB1AG4AbwBmAGYARgByAG8AbQBQAG8AdQBsAHQAcgB5AE0AYQBuAHUAcgBlAE8AbgBQAGEAcwB0AHUAcgBlAFwAbgBNAGEAcwBzACAAbwBmACAAbgBpAHQAcgBvAGcAZQBuACAAbABvAHMAdAAgAHQAbwAgAGwAZQBhAGMAaABpAG4AZwAgAGEAbgBkACAAcgB1AG4AbwBmAGYAIABmAHIAbwBtACAAcABvAHUAbAB0AHIAeQAgAG0AYQBuAHUAcgBlACAAZABlAHAAbwBzAGkAdABlAGQAIABvAG4AIABwAGEAcwB0AHUAcgBlAFwAbgBNAF8AbABlAGEAYwBoAF8AbQAxADQAXABuAGsAZwAgAE4AXABuAE0AXwB7AGwAZQBhAGMAaAAsAG0APQAxADQAfQA9AE0ATgBfAHsAagBrAG0APQAxADQALABUAD0AMQB9AFwAXAB0AGkAbQBlAHMAIABGAHIAYQBjAFcAZQB0AFwAXAB0AGkAbQBlAHMAIABGAHIAYQBjAEwARQBBAEMASABfAE0AUwBcAG4ATQBOAF8AagBrAG0AMQA0AFQAMQAgAD0AIABtAGEAcwBzACAAbwBmACAAbgBpAHQAcgBvAGcAZQBuACAAZQB4AGMAcgBlAHQAZQBkACAAZABpAHIAZQBjAHQAbAB5ACAAbwBuACAAcABhAHMAdAB1AHIAZQAgAGIAeQAgAHAAbwB1AGwAdAByAHkAIABjAGwAYQBzAHMAIABhAG4AZAAgAHMAdQBiAGMAbABhAHMAcwAgACgAawBnACAATgApAFwAbgBGAHIAYQBjAFcAZQB0ACAAPQAgAGYAcgBhAGMAdABpAG8AbgAgAG8AZgAgAE4AIABhAHYAYQBpAGwAYQBiAGwAZQAgAGYAbwByACAAbABlAGEAYwBoAGkAbgBnACAAYQBuAGQAIAByAHUAbgBvAGYAZgBcAG4ARgByAGEAYwBMAEUAQQBDAEgAXwBNAFMAIAA9ACAAZgByAGEAYwB0AGkAbwBuACAAbwBmACAATgAgAHQAaABhAHQAIABpAHMAIABsAG8AcwB0ACAAdABoAHIAbwB1AGcAaAAgAGwAZQBhAGMAaABpAG4AZwAgAGEAbgBkACAAcgB1AG4AbwBmAGYAXABuAC0ALQAtAC0ALQAtAC0ALQAtAC0ALQAtAC0ALQAtAC0ALQAtAC0ALQAtAC0ALQAtAC0ALQAtAC0ALQAtAC0ALQAtAC0ALQAtAC0ALQBcAG4AKgAvAFwAbgBcAG4AVgBFAEUAUgBHAF8ANABfADYAXwAxAF8AMQA0AF8AXwAyAF8ATQBhAHMAcwBPAGYATgBpAHQAcgBvAGcAZQBuAEwAbwBzAHQAVABvAEwAZQBhAGMAaABpAG4AZwBBAG4AZABSAHUAbgBvAGYAZgBGAHIAbwBtAFAAbwB1AGwAdAByAHkATQBhAG4AdQByAGUATwBuAFAAYQBzAHQAdQByAGUAXABuACAAIAA9AEwAQQBNAEIARABBACgAXABuACAAIAAgACAATQBOAF8AagBrAG0AMQA0AFQAMQAsACAARgByAGEAYwBXAGUAdAAsACAARgByAGEAYwBMAEUAQQBDAEgAXwBNAFMALABcAG4AIAAgACAAIABNAE4AXwBqAGsAbQAxADQAVAAxACAAKgAgAEYAcgBhAGMAVwBlAHQAIAAqACAARgByAGEAYwBMAEUAQQBDAEgAXwBNAFMAXABuACAAIAApADsAXABuAFwAbgBWAEUARQBSAEcAXwA0AF8ANgBfADEAXwAxADQAXwBfADIAXwBNAGEAcwBzAE8AZgBOAGkAdAByAG8AZwBlAG4ATABvAHMAdABUAG8ATABlAGEAYwBoAGkAbgBnAEEAbgBkAFIAdQBuAG8AZgBmAEYAcgBvAG0AUABvAHUAbAB0AHIAeQBNAGEAbgB1AHIAZQBPAG4AUABhAHMAdAB1AHIAZQBfAFQAaQB0AGwAZQBcAG4AIAAgAD0ATABBAE0AQgBEAEEAKABcACIATQBhAHMAcwAgAG8AZgAgAG4AaQB0AHIAbwBnAGUAbgAgAGwAbwBzAHQAIAB0AG8AIABsAGUAYQBjAGgAaQBuAGcAIABhAG4AZAAgAHIAdQBuAG8AZgBmACAAZgByAG8AbQAgAHAAbwB1AGwAdAByAHkAIABtAGEAbgB1AHIAZQAgAGQAZQBwAG8AcwBpAHQAZQBkACAAbwBuACAAcABhAHMAdAB1AHIAZQBcACIAKQA7AFwAbgBcAG4AVgBFAEUAUgBHAF8ANABfADYAXwAxAF8AMQA0AF8AXwAyAF8ATQBhAHMAcwBPAGYATgBpAHQAcgBvAGcAZQBuAEwAbwBzAHQAVABvAEwAZQBhAGMAaABpAG4AZwBBAG4AZABSAHUAbgBvAGYAZgBGAHIAbwBtAFAAbwB1AGwAdAByAHkATQBhAG4AdQByAGUATwBuAFAAYQBzAHQAdQByAGUAXwBWAGEAcgBpAGEAYgBsAGUAXABuACAAIAA9AEwAQQBNAEIARABBACgAXAAiAE0AXwBsAGUAYQBjAGgAXwBtADEANABcACIAKQA7AFwAbgBcAG4AVgBFAEUAUgBHAF8ANABfADYAXwAxAF8AMQA0AF8AXwAyAF8ATQBhAHMAcwBPAGYATgBpAHQAcgBvAGcAZQBuAEwAbwBzAHQAVABvAEwAZQBhAGMAaABpAG4AZwBBAG4AZABSAHUAbgBvAGYAZgBGAHIAbwBtAFAAbwB1AGwAdAByAHkATQBhAG4AdQByAGUATwBuAFAAYQBzAHQAdQByAGUAXwBVAG4AaQB0AFwAbgAgACAAPQBMAEEATQBCAEQAQQAoAFwAIgBrAGcAIABOAFwAIgApADsAXABuAFwAbgBWAEUARQBSAEcAXwA0AF8ANgBfADEAXwAxADQAXwBfADIAXwBNAGEAcwBzAE8AZgBOAGkAdAByAG8AZwBlAG4ATABvAHMAdABUAG8ATABlAGEAYwBoAGkAbgBnAEEAbgBkAFIAdQBuAG8AZgBmAEYAcgBvAG0AUABvAHUAbAB0AHIAeQBNAGEAbgB1AHIAZQBPAG4AUABhAHMAdAB1AHIAZQBfAFMAbwB1AHIAYwBlAFwAbgAgACAAPQBMAEEATQBCAEQAQQAoAFwAIgBWAEUARQBSAEcAIAAyADAAMgA2ADoAIAA0AC4ANgAuADEALgAxADQALAAgAEUAcQB1AGEAdABpAG8AbgAgACgAMgApAFwAIgApADsAXABuAFwAbgBWAEUARQBSAEcAXwA0AF8ANgBfADEAXwAxADQAXwBfADIAXwBNAGEAcwBzAE8AZgBOAGkAdAByAG8AZwBlAG4ATABvAHMAdABUAG8ATABlAGEAYwBoAGkAbgBnAEEAbgBkAFIAdQBuAG8AZgBmAEYAcgBvAG0AUABvAHUAbAB0AHIAeQBNAGEAbgB1AHIAZQBPAG4AUABhAHMAdAB1AHIAZQBfAE4ASQBSAFIAZQBmAGUAcgBlAG4AYwBlAFwAbgAgACAAPQBMAEEATQBCAEQAQQAoAFwAIgBcACIAKQA7AFwAbgBcAG4AVgBFAEUAUgBHAF8ANABfADYAXwAxAF8AMQA0AF8AXwAyAF8ATQBhAHMAcwBPAGYATgBpAHQAcgBvAGcAZQBuAEwAbwBzAHQAVABvAEwAZQBhAGMAaABpAG4AZwBBAG4AZABSAHUAbgBvAGYAZgBGAHIAbwBtAFAAbwB1AGwAdAByAHkATQBhAG4AdQByAGUATwBuAFAAYQBzAHQAdQByAGUAXwBMAGEAdABlAHgARQBxAHUAYQB0AGkAbwBuAFwAbgAgACAAPQBMAEEATQBCAEQAQQAoAFwAIgBNAF8AewBsAGUAYQBjAGgALABtAD0AMQA0AH0APQBcAFwAcwB1AG0AXwB7AGoAfQBcAFwAcwB1AG0AXwB7AGsAfQAoAE0ATgBfAHsAagBrAG0APQAxADQALABUAD0AMQB9AFwAXAB0AGkAbQBlAHMAIABGAHIAYQBjAFcAZQB0AFwAXAB0AGkAbQBlAHMAIABGAHIAYQBjAEwARQBBAEMASABfAE0AUwApAFwAIgApADsAXABuAFwAbgBWAEUARQBSAEcAXwA0AF8ANgBfADEAXwAxADQAXwBfADIAXwBNAGEAcwBzAE8AZgBOAGkAdAByAG8AZwBlAG4ATABvAHMAdABUAG8ATABlAGEAYwBoAGkAbgBnAEEAbgBkAFIAdQBuAG8AZgBmAEYAcgBvAG0AUABvAHUAbAB0AHIAeQBNAGEAbgB1AHIAZQBPAG4AUABhAHMAdAB1AHIAZQBfAEEAcgBnAHUAbQBlAG4AdABzAFwAbgAgACAAPQBMAEEATQBCAEQAQQAoAFwAbgAgACAAIAAgAE0AQQBLAEUAQQBSAFIAQQBZACgANgAsACAANAAsAFwAbgAgACAAIAAgACAAIABMAEEATQBCAEQAQQAoAHIALABjACwAXABuACAAIAAgACAAIAAgACAAIABJAE4ARABFAFgAKAB7AFwAbgAgACAAIAAgACAAIAAgACAAIAAgAFwAIgBNAE4AXwBqAGsAbQAxADQAVAAxAFwAIgAsACAAXAAiAG0AYQBzAHMAIABvAGYAIABuAGkAdAByAG8AZwBlAG4AIABlAHgAYwByAGUAdABlAGQAIABkAGkAcgBlAGMAdABsAHkAIABvAG4AIABwAGEAcwB0AHUAcgBlACAAYgB5ACAAcABvAHUAbAB0AHIAeQAgAGMAbABhAHMAcwAgAGEAbgBkACAAcwB1AGIAYwBsAGEAcwBzAFwAIgAsACAAXAAiAGsAZwAgAE4AXAAiACwAIABcACIAQwBhAGwAYwB1AGwAYQB0AGUAZAAgAGYAcgBvAG0AIAA0AC4ANgAuADEALgAzACAAKAAyACkAXAAiADsAXABuACAAIAAgACAAIAAgACAAIAAgACAAXAAiAEYAcgBhAGMAVwBlAHQAXAAiACwAIABcACIAZgByAGEAYwB0AGkAbwBuACAAbwBmACAATgAgAGEAdgBhAGkAbABhAGIAbABlACAAZgBvAHIAIABsAGUAYQBjAGgAaQBuAGcAIABhAG4AZAAgAHIAdQBuAG8AZgBmAFwAIgAsACAAXAAiAGYAcgBhAGMAdABpAG8AbgBcACIALAAgAFwAIgBDAG8AbgBzAHQAYQBuAHQAXAAiADsAXABuACAAIAAgACAAIAAgACAAIAAgACAAXAAiAEYAcgBhAGMATABFAEEAQwBIAF8ATQBTAFwAIgAsACA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CIAfQAsAHsAIgBwAGEAdABoACIAOgAiAC8AcAByAG8AagBlAGMAdABzAC8ARQBsAGUAYwB0AHIAaQBjAGkAdAB5AF8ARQBxAHUAYQB0AGkAbwBuAHMAIgAsACIAdABlAHgAdAAiADoAIgAvACoAXABuAD0APQA9AD0APQA9AD0APQA9AD0APQA9AD0APQA9AD0APQA9AD0APQA9AD0APQA9AD0APQA9AD0APQA9AD0APQA9AD0APQA9AD0APQA9AD0APQA9AD0APQA9AD0APQA9AD0APQA9AD0APQA9AD0APQA9AD0APQA9AD0APQA9AD0APQA9AD0APQA9AD0APQA9AD0APQA9AD0AXABuADEANAA6ACAARQBsAGUAYwB0AHIAaQBjAGkAdAB5AFwAbgA9AD0APQA9AD0APQA9AD0APQA9AD0APQA9AD0APQA9AD0APQA9AD0APQA9AD0APQA9AD0APQA9AD0APQA9AD0APQA9AD0APQA9AD0APQA9AD0APQA9AD0APQA9AD0APQA9AD0APQA9AD0APQA9AD0APQA9AD0APQA9AD0APQA9AD0APQA9AD0APQA9AD0APQA9AD0APQA9AFwAbgAxADQALgAxAC4AMQAgAFAAdQByAGMAaABhAHMAZQBkACAARQBsAGUAYwB0AHIAaQBjAGkAdAB5ACAAKABMAG8AYwBhAHQAaQBvAG4ALQBCAGEAcwBlAGQAKQBcAG4AMQA0AC4AMQAuADIAIABQAHUAcgBjAGgAYQBzAGUAZAAgAEUAbABlAGMAdAByAGkAYwBpAHQAeQAgACgATQBhAHIAawBlAHQALQBCAGEAcwBlAGQAK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NABfADEAXwAxAF8AXwAxAF8ATABvAGMAYQB0AGkAbwBuAEIAYQBzAGUAZABTAGMAbwBwAGUARQBsAGUAYwB0AHIAaQBjAGkAdAB5AEUAbQBpAHMAcwBpAG8AbgBzAFwAbgBMAG8AYwBhAHQAaQBvAG4ALQBiAGEAcwBlAGQAIABTAGMAbwBwAGUAIAAyACAAZQBtAGkAcwBzAGkAbwBuAHMAIABmAHIAbwBtACAAcAB1AHIAYwBoAGEAcwBlAGQAIABlAGwAZQBjAHQAcgBpAGMAaQB0AHkAXABuAEUAXwAyAGUAbABlAGMAXABuAHQAIABDAE8AMgBlAFwAbgBFAF8AewAyACwAZQBsAGUAYwB9AD0AUQBfAHsAZQBsAGUAYwB9AFwAXAB0AGkAbQBlAHMAIABFAEYAXwB7ADIALABlAGwAZQBjAH0AXABcAHQAaQBtAGUAcwAgADEAMABeAHsALQAzAH0AXABuAFEAXwBlAGwAZQBjACAAPQAgAGEAbQBvAHUAbgB0ACAAbwBmACAAZQBsAGUAYwB0AHIAaQBjAGkAdAB5ACAAcAB1AHIAYwBoAGEAcwBlAGQAIABmAHIAbwBtACAAdABoAGUAIABnAHIAaQBkACAAKABrAFcAaAApAFwAbgBFAEYAXwAyAGUAbABlAGMAIAA9ACAAbABvAGMAYQB0AGkAbwBuAC0AYgBhAHMAZQBkACAAUwBjAG8AcABlACAAMgAgAGUAbQBpAHMAcwBpAG8AbgAgAGYAYQBjAHQAbwByACAAZgBvAHIAIABlAGwAZQBjAHQAcgBpAGMAaQB0AHkAIAAoAGsAZwAgAEMATwAyAGUALwBrAFcAaAApAFwAbgAtAC0ALQAtAC0ALQAtAC0ALQAtAC0ALQAtAC0ALQAtAC0ALQAtAC0ALQAtAC0ALQAtAC0ALQAtAC0ALQAtAC0ALQAtAC0ALQAtAC0AXABuACoALwBcAG4AXABuAFYARQBFAFIARwBfADEANABfADEAXwAxAF8AXwAxAF8ATABvAGMAYQB0AGkAbwBuAEIAYQBzAGUAZABTAGMAbwBwAGUARQBsAGUAYwB0AHIAaQBjAGkAdAB5AEUAbQBpAHMAcwBpAG8AbgBzAFwAbgAgACAAPQBMAEEATQBCAEQAQQAoAFwAbgAgACAAIAAgAFEAXwBlAGwAZQBjACwAIABFAEYAXwAyAGUAbABlAGMALABcAG4AIAAgACAAIABRAF8AZQBsAGUAYwAgACoAIABFAEYAXwAyAGUAbABlAGMAIAAqACAAMQAwACAAXgAgAC0AMwBcAG4AIAAgACkAOwBcAG4AXABuAFYARQBFAFIARwBfADEANABfADEAXwAxAF8AXwAxAF8ATABvAGMAYQB0AGkAbwBuAEIAYQBzAGUAZABTAGMAbwBwAGUARQBsAGUAYwB0AHIAaQBjAGkAdAB5AEUAbQBpAHMAcwBpAG8AbgBzAF8AVABpAHQAbABlAFwAbgAgACAAPQBMAEEATQBCAEQAQQAoAFwAIgBMAG8AYwBhAHQAaQBvAG4ALQBiAGEAcwBlAGQAIABTAGMAbwBwAGUAIAAyACAAZQBtAGkAcwBzAGkAbwBuAHMAIABmAHIAbwBtACAAcAB1AHIAYwBoAGEAcwBlAGQAIABlAGwAZQBjAHQAcgBpAGMAaQB0AHkAXAAiACkAOwBcAG4AXABuAFYARQBFAFIARwBfADEANABfADEAXwAxAF8AXwAxAF8ATABvAGMAYQB0AGkAbwBuAEIAYQBzAGUAZABTAGMAbwBwAGUARQBsAGUAYwB0AHIAaQBjAGkAdAB5AEUAbQBpAHMAcwBpAG8AbgBzAF8AVgBhAHIAaQBhAGIAbABlAFwAbgAgACAAPQBMAEEATQBCAEQAQQAoAFwAIgBFAF8AMgBlAGwAZQBjAFwAIgApADsAXABuAFwAbgBWAEUARQBSAEcAXwAxADQAXwAxAF8AMQBfAF8AMQBfAEwAbwBjAGEAdABpAG8AbgBCAGEAcwBlAGQAUwBjAG8AcABlAEUAbABlAGMAdAByAGkAYwBpAHQAeQBFAG0AaQBzAHMAaQBvAG4AcwBfAFUAbgBpAHQAXABuACAAIAA9AEwAQQBNAEIARABBACgAXAAiAHQAIABDAE8AMgBlAFwAIgApADsAXABuAFwAbgBWAEUARQBSAEcAXwAxADQAXwAxAF8AMQBfAF8AMQBfAEwAbwBjAGEAdABpAG8AbgBCAGEAcwBlAGQAUwBjAG8AcABlAEUAbABlAGMAdAByAGkAYwBpAHQAeQBFAG0AaQBzAHMAaQBvAG4AcwBfAFMAbwB1AHIAYwBlAFwAbgAgACAAPQBMAEEATQBCAEQAQQAoAFwAIgBWAEUARQBSAEcAIAAyADAAMgA2ADoAIAAxADQALgAxAC4AMQAsACAARQBxAHUAYQB0AGkAbwBuACAAKAAxACkAXAAiACkAOwBcAG4AXABuAFYARQBFAFIARwBfADEANABfADEAXwAxAF8AXwAxAF8ATABvAGMAYQB0AGkAbwBuAEIAYQBzAGUAZABTAGMAbwBwAGUARQBsAGUAYwB0AHIAaQBjAGkAdAB5AEUAbQBpAHMAcwBpAG8AbgBzAF8ATgBJAFIAUgBlAGYAZQByAGUAbgBjAGUAXABuACAAIAA9AEwAQQBNAEIARABBACgAXAAiAFwAIgApADsAXABuAFwAbgBWAEUARQBSAEcAXwAxADQAXwAxAF8AMQBfAF8AMQBfAEwAbwBjAGEAdABpAG8AbgBCAGEAcwBlAGQAUwBjAG8AcABlAEUAbABlAGMAdAByAGkAYwBpAHQAeQBFAG0AaQBzAHMAaQBvAG4AcwBfAEwAYQB0AGUAeABFAHEAdQBhAHQAaQBvAG4AXABuACAAIAA9AEwAQQBNAEIARABBACgAXAAiAEUAXwB7ADIALABlAGwAZQBjAH0APQBRAF8AewBlAGwAZQBjAH0AXABcAHQAaQBtAGUAcwAgAEUARgBfAHsAMgAsAGUAbABlAGMAfQBcAFwAdABpAG0AZQBzACAAMQAwAF4AewAtADMAfQBcACIAKQA7AFwAbgBcAG4AVgBFAEUAUgBHAF8AMQA0AF8AMQBfADEAXwBfADEAXwBMAG8AYwBhAHQAaQBvAG4AQgBhAHMAZQBkAFMAYwBvAHAAZQBFAGwAZQBjAHQAcgBpAGMAaQB0AHkARQBtAGkAcwBzAGkAbwBuAHMAXwBBAHIAZwB1AG0AZQBuAHQAcwBcAG4AIAAgAD0ATABBAE0AQgBEAEEAKABcAG4AIAAgACAAIABNAEEASwBFAEEAUgBSAEEAWQAoADM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FAEYAXwAyAGUAbABlAGMAXAAiACwAIABcACIAbABvAGMAYQB0AGkAbwBuAC0AYgBhAHMAZQBkACAAUwBjAG8AcABlACAAMgAgAGUAbQBpAHMAcwBpAG8AbgAgAGYAYQBjAHQAbwByACAAZgBvAHIAIABlAGwAZQBjAHQAcgBpAGMAaQB0AHkAXAAiACwAIABcACIAawBnACAAQwBPADIAZQAvAGsAVwBoAFwAIgAsACAAXAAiAEMAbwBuAHMAdABhAG4AdABcACIAOwBcAG4AIAAgACAAIAAgACAAIAAgACAAIABcACIAZwBcACIALAAgAFwAIgBHAHIAaQBkACAAZQBsAGUAYwB0AHIAaQBjAGkAdAB5ACAAdwBhAHMAIABwAHUAcgBjAGgAYQBzAGUAZAAgAGYAcgBvAG0AXAAiACwAIABcACIAXAAiACwAIABcACIASQBuAHAAdQB0AFwAIgBcAG4AIAAgACAAIAAgACAAIAAgAH0ALAAgAHIALAAgAGMAKQBcAG4AIAAgACAAIAAgACAAKQBcAG4AIAAgACAAIAApAFwAbgAgACAAKQA7AFwAbgBcAG4AVgBFAEUAUgBHAF8AMQA0AF8AMQBfADEAXwBfADEAXwBMAG8AYwBhAHQAaQBvAG4AQgBhAHMAZQBkAFMAYwBvAHAAZQBFAGwAZQBjAHQAcgBpAGMAaQB0AHkARQBtAGkAcwBzAGkAbwBuAHMAXwBWAGEAcgBpAGEAdABpAG8AbgBcAG4AIAAgAD0ATABBAE0AQgBEAEEAKABcACIAQQBkAGQAZQBkACAAZwAgAHYAYQByAGkAYQBiAGwAZQAgAHQAbwAgAGMAYQBwAHQAdQByAGUAIAB3AGgAaQBjAGgAIABnAHIAaQBkACAAZQBsAGUAYwB0AHIAaQBjAGkAdAB5ACAAdwBhAHMAIABwAHUAcgBjAGgAYQBzAGUAZAAgAGYAcgBvAG0AXAAiACkAOwBcAG4AXABuAC8AKgBcAG4ALQAtAC0ALQAtAC0ALQAtAC0ALQAtAC0ALQAtAC0ALQAtAC0ALQAtAC0ALQAtAC0ALQAtAC0ALQAtAC0ALQAtAC0ALQAtAC0ALQAtAFwAbgBWAEUARQBSAEcAXwAxADQAXwAxAF8AMgBfAF8AMQBfAE0AYQByAGsAZQB0AEIAYQBzAGUAZABTAGMAbwBwAGUARQBsAGUAYwB0AHIAaQBjAGkAdAB5AEUAbQBpAHMAcwBpAG8AbgBzAFwAbgBNAGEAcgBrAGUAdAAtAGIAYQBzAGUAZAAgAFMAYwBvAHAAZQAgADIAIABlAG0AaQBzAHMAaQBvAG4AcwAgAGYAcgBvAG0AIABwAHUAcgBjAGgAYQBzAGUAZAAgAGUAbABlAGMAdAByAGkAYwBpAHQAeQBcAG4ARQBfADIAZQBsAGUAYwBcAG4AdAAgAEMATwAyAGUAXABuAEUAXwB7ADIALABlAGwAZQBjAH0APQAoACgAUQBfAHsAZQBsAGUAYwB9AFwAXAB0AGkAbQBlAHMAKAAxAC0AKABSAFAAUAArAEoAUgBQAFAAKQApACkALQAoACgAUgBFAEMAXwB7AHMAdQByAHIAZQBuAGQAZQByAGUAZAB9AC0AUgBFAEMAXwB7AG8AbgBzAGkAdABlAH0AKQBcAFwAdABpAG0AZQBzACAAMQAwAF4AewAtADMAfQApACkAXABcAHQAaQBtAGUAcwAgAEUARgBfAHsAUgBNAEYAMgAsAGUAbABlAGMAfQBcAFwAdABpAG0AZQBzACAAMQAwAF4AewAtADMAfQBcAG4AUQBfAGUAbABlAGMAIAA9ACAAYQBtAG8AdQBuAHQAIABvAGYAIABlAGwAZQBjAHQAcgBpAGMAaQB0AHkAIABwAHUAcgBjAGgAYQBzAGUAZAAgAGYAcgBvAG0AIAB0AGgAZQAgAGcAcgBpAGQAIAAoAGsAVwBoACkAXABuAFIAUABQACAAPQAgAFIAZQBuAGUAdwBhAGIAbABlACAAUABvAHcAZQByACAAUABlAHIAYwBlAG4AdABhAGcAZQAgAHUAbgBkAGUAcgAgAHQAaABlACAATABhAHIAZwBlAC0AcwBjAGEAbABlACAAUgBlAG4AZQB3AGEAYgBsAGUAIABFAG4AZQByAGcAeQAgAFQAYQByAGcAZQB0ACAAKABMAFIARQBUACkAIABmAG8AcgAgAHQAaABlACAAYQBwAHAAbABpAGMAYQBiAGwAZQAgAHAAZQByAGkAbwBkACAAKABwAGUAcgAgAGMAZQBuAHQAKQBcAG4ASgBSAFAAUAAgAD0AIABqAHUAcgBpAHMAZABpAGMAdABpAG8AbgBhAGwAIAByAGUAbgBlAHcAYQBiAGwAZQAgAHAAbwB3AGUAcgAgAHAAZQByAGMAZQBuAHQAYQBnAGUAIABmAG8AcgAgAHQAaABlACAAYQBwAHAAbABpAGMAYQBiAGwAZQAgAHAAZQByAGkAbwBkACAAKABvAG4AbAB5ACAAYQBwAHAAbABpAGUAcwAgAHQAbwAgAHQAaABlACAAQQBDAFQAKQAgACgAcABlAHIAIABjAGUAbgB0ACkAXABuAFIARQBDAF8AcwB1AHIAcgBlAG4AZABlAHIAZQBkACAAPQAgAG4AdQBtAGIAZQByACAAbwBmACAAZQBsAGkAZwBpAGIAbABlACAAUgBlAG4AZQB3AGEAYgBsAGUAIABFAG4AZQByAGcAeQAgAEMAZQByAHQAaQBmAGkAYwBhAHQAZQBzACAAdgBvAGwAdQBuAHQAYQByAGkAbAB5ACAAcwB1AHIAcgBlAG4AZABlAHIAZQBkACAAaQBuACAAdABoAGUAIAByAGUAcABvAHIAdABpAG4AZwAgAHkAZQBhAHIAIABlAHEAdQBpAHYAYQBsAGUAbgB0ACAAdABvACAAbQBlAGcAYQB3AGEAdAB0ACAAaABvAHUAcgBzACAAKABNAFcAaAApAFwAbgBSAEUAQwBfAG8AbgBzAGkAdABlACAAPQAgAG4AdQBtAGIAZQByACAAbwBmACAAZQBsAGkAZwBpAGIAbABlACAAUgBlAG4AZQB3AGEAYgBsAGUAIABFAG4AZQByAGcAeQAgAEMAZQByAHQAaQBmAGkAYwBhAHQAZQBzACAAdABoAGEAdAAgAGgAYQB2AGUAIABiAGUAZQBuACAAbwByACAAdwBpAGwAbAAgAGIAZQAgAGkAcwBzAHUAZQBkACAAZgBvAHIAIABlAGwAZQBjAHQAcgBpAGMAaQB0AHkAIABwAHIAbwBkAHUAYwBlAGQAIABvAG4ALQBzAGkAdABlACAAZAB1AHIAaQBuAGcAIAB0AGgAZQAgAHkAZQBhAHIAIABhAG4AZAAgAGMAbwBuAHMAdQBtAGUAZAAgAGIAeQAgAHQAaABlACAAZQBuAHQAaQB0AHkAIABlAHEAdQBpAHYAYQBsAGUAbgB0ACAAdABvACAAbQBlAGcAYQB3AGEAdAB0ACAAaABvAHUAcgBzACAAKABNAFcAaAApAFwAbgBFAEYAXwBSAE0ARgAyAGUAbABlAGMAIAA9ACAAUwBjAG8AcABlACAAMgAgAHIAZQBzAGkAZAB1AGEAbAAgAG0AaQB4ACAAZQBtAGkAcwBzAGkAbwBuACAAZgBhAGMAdABvAHIAIABmAG8AcgAgAGUAbABlAGMAdAByAGkAYwBpAHQAeQAgACgAawBnACAAQwBPADIAZQAvAGsAVwBoACkAXABuAC0ALQAtAC0ALQAtAC0ALQAtAC0ALQAtAC0ALQAtAC0ALQAtAC0ALQAtAC0ALQAtAC0ALQAtAC0ALQAtAC0ALQAtAC0ALQAtAC0ALQBcAG4AKgAvAFwAbgBcAG4AVgBFAEUAUgBHAF8AMQA0AF8AMQBfADIAXwBfADEAXwBNAGEAcgBrAGUAdABCAGEAcwBlAGQAUwBjAG8AcABlAEUAbABlAGMAdAByAGkAYwBpAHQAeQBFAG0AaQBzAHMAaQBvAG4AcwBcAG4AIAAgAD0ATABBAE0AQgBEAEEAKABcAG4AIAAgACAAIABRAF8AZQBsAGUAYwAsACAAUgBQAFAALAAgAEoAUgBQAFAALAAgAFIARQBDAF8AcwB1AHIAcgBlAG4AZABlAHIAZQBkACwAIABSAEUAQwBfAG8AbgBzAGkAdABlACwAIABFAEYAXwBSAE0ARgAyAGUAbABlAGMALABcAG4AIAAgACAAIAAoACgAUQBfAGUAbABlAGMAIAAqACAAKAAxACAALQAgACgAUgBQAFAAIAArACAASgBSAFAAUAApACkAKQAgAC0AIAAoACgAUgBFAEMAXwBzAHUAcgByAGUAbgBkAGUAcgBlAGQAIAAtACAAUgBFAEMAXwBvAG4AcwBpAHQAZQApACAAKgAgADEAMAAgAF4AIAAtADMAKQApACAAKgAgAEUARgBfAFIATQBGADIAZQBsAGUAYwAgACoAIAAxADAAIABeACAALQAzAFwAbgAgACAAKQA7AFwAbgBcAG4AVgBFAEUAUgBHAF8AMQA0AF8AMQBfADIAXwBfADEAXwBNAGEAcgBrAGUAdABCAGEAcwBlAGQAUwBjAG8AcABlAEUAbABlAGMAdAByAGkAYwBpAHQAeQBFAG0AaQBzAHMAaQBvAG4AcwBWAGEAcgBpAGEAdABpAG8AbgBcAG4AIAAgAD0ATABBAE0AQgBEAEEAKABcAG4AIAAgACAAIABRAF8AZQBsAGUAYwAsACAAUgBQAFAALAAgAEoAUgBQAFAALAAgAFIARQBDAF8AcwB1AHIAcgBlAG4AZABlAHIAZQBkACwAIABSAEUAQwBfAG8AbgBzAGkAdABlACwAIABFAEYAXwBSAE0ARgAyAGUAbABlAGMALABcAG4AIAAgACAAIAAoACgAUQBfAGUAbABlAGMAIAAqACAAKAAxACAALQAgACgAUgBQAFAAIAArACAASgBSAFAAUAApACkAKQAgAC0AIAAoACgAUgBFAEMAXwBzAHUAcgByAGUAbgBkAGUAcgBlAGQAIAAtACAAUgBFAEMAXwBvAG4AcwBpAHQAZQApACAAKgAgADEAMAAgAF4AIAAzACkAKQAgACoAIABFAEYAXwBSAE0ARgAyAGUAbABlAGMAIAAqACAAMQAwACAAXgAgAC0AMwBcAG4AIAAgACkAOwBcAG4AXABuAFYARQBFAFIARwBfADEANABfADEAXwAyAF8AXwAxAF8ATQBhAHIAawBlAHQAQgBhAHMAZQBkAFMAYwBvAHAAZQBFAGwAZQBjAHQAcgBpAGMAaQB0AHkARQBtAGkAcwBzAGkAbwBuAHMAXwBUAGkAdABsAGUAXABuACAAIAA9AEwAQQBNAEIARABBACgAXAAiAE0AYQByAGsAZQB0AC0AYgBhAHMAZQBkACAAUwBjAG8AcABlACAAMgAgAGUAbQBpAHMAcwBpAG8AbgBzACAAZgByAG8AbQAgAHAAdQByAGMAaABhAHMAZQBkACAAZQBsAGUAYwB0AHIAaQBjAGkAdAB5AFwAIgApADsAXABuAFwAbgBWAEUARQBSAEcAXwAxADQAXwAxAF8AMgBfAF8AMQBfAE0AYQByAGsAZQB0AEIAYQBzAGUAZABTAGMAbwBwAGUARQBsAGUAYwB0AHIAaQBjAGkAdAB5AEUAbQBpAHMAcwBpAG8AbgBzAF8AVgBhAHIAaQBhAGIAbABlAFwAbgAgACAAPQBMAEEATQBCAEQAQQAoAFwAIgBFAF8AMgBlAGwAZQBjAFwAIgApADsAXABuAFwAbgBWAEUARQBSAEcAXwAxADQAXwAxAF8AMgBfAF8AMQBfAE0AYQByAGsAZQB0AEIAYQBzAGUAZABTAGMAbwBwAGUARQBsAGUAYwB0AHIAaQBjAGkAdAB5AEUAbQBpAHMAcwBpAG8AbgBzAF8AVQBuAGkAdABcAG4AIAAgAD0ATABBAE0AQgBEAEEAKABcACIAdAAgAEMATwAyAGUAXAAiACkAOwBcAG4AXABuAFYARQBFAFIARwBfADEANABfADEAXwAyAF8AXwAxAF8ATQBhAHIAawBlAHQAQgBhAHMAZQBkAFMAYwBvAHAAZQBFAGwAZQBjAHQAcgBpAGMAaQB0AHkARQBtAGkAcwBzAGkAbwBuAHMAXwBTAG8AdQByAGMAZQBcAG4AIAAgAD0ATABBAE0AQgBEAEEAKABcACIAVgBFAEUAUgBHACAAMgAwADIANgA6ACAAMQA0AC4AMQAuADIALAAgAEUAcQB1AGEAdABpAG8AbgAgACgAMQApAFwAIgApADsAXABuAFwAbgBWAEUARQBSAEcAXwAxADQAXwAxAF8AMgBfAF8AMQBfAE0AYQByAGsAZQB0AEIAYQBzAGUAZABTAGMAbwBwAGUARQBsAGUAYwB0AHIAaQBjAGkAdAB5AEUAbQBpAHMAcwBpAG8AbgBzAF8ATgBJAFIAUgBlAGYAZQByAGUAbgBjAGUAXABuACAAIAA9AEwAQQBNAEIARABBACgAXAAiAFwAIgApADsAXABuAFwAbgBWAEUARQBSAEcAXwAxADQAXwAxAF8AMgBfAF8AMQBfAE0AYQByAGsAZQB0AEIAYQBzAGUAZABTAGMAbwBwAGUARQBsAGUAYwB0AHIAaQBjAGkAdAB5AEUAbQBpAHMAcwBpAG8AbgBzAF8ATABhAHQAZQB4AEUAcQB1AGEAdABpAG8AbgBcAG4AIAAgAD0ATABBAE0AQgBEAEEAKABcACIARQBfAHsAMgAsAGUAbABlAGMAfQA9ACgAUQBfAHsAZQBsAGUAYwB9ACAAXABcAHQAaQBtAGUAcwAgACgAMQAtACgAUgBQAFAAKwBKAFIAUABQACkAKQAgAC0AIAAoACgAUgBFAEMAXwB7AHMAdQByAHIAZQBuAGQAZQByAGUAZAB9AC0AUgBFAEMAXwB7AG8AbgBzAGkAdABlAH0AKQBcAFwAdABpAG0AZQBzACAAMQAwAF4AewAtADMAfQApACkAIABcAFwAdABpAG0AZQBzACAARQBGAF8AewBSAE0ARgAyACwAZQBsAGUAYwB9ACAAXABcAHQAaQBtAGUAcwAgADEAMABeAHsALQAzAH0AXAAiACkAOwBcAG4AXABuAFYARQBFAFIARwBfADEANABfADEAXwAyAF8AXwAxAF8ATQBhAHIAawBlAHQAQgBhAHMAZQBkAFMAYwBvAHAAZQBFAGwAZQBjAHQAcgBpAGMAaQB0AHkARQBtAGkAcwBzAGkAbwBuAHMAVgBhAHIAaQBhAHQAaQBvAG4AXwBMAGEAdABlAHgARQBxAHUAYQB0AGkAbwBuAFwAbgAgACAAPQBMAEEATQBCAEQAQQAoAFwAIgBFAF8AewAyACwAZQBsAGUAYwB9AD0AKABRAF8AewBlAGwAZQBjAH0AIABcAFwAdABpAG0AZQBzACAAKAAxAC0AKABSAFAAUAArAEoAUgBQAFAAKQApACAALQAgACgAKABSAEUAQwBfAHsAcwB1AHIAcgBlAG4AZABlAHIAZQBkAH0ALQBSAEUAQwBfAHsAbwBuAHMAaQB0AGUAfQApAFwAXAB0AGkAbQBlAHMAIAAxADAAXgB7ADMAfQApACkAIABcAFwAdABpAG0AZQBzACAARQBGAF8AewBSAE0ARgAyACwAZQBsAGUAYwB9ACAAXABcAHQAaQBtAGUAcwAgADEAMABeAHsALQAzAH0AXAAiACkAOwBcAG4AXABuAFYARQBFAFIARwBfADEANABfADEAXwAyAF8AXwAxAF8ATQBhAHIAawBlAHQAQgBhAHMAZQBkAFMAYwBvAHAAZQBFAGwAZQBjAHQAcgBpAGMAaQB0AHkARQBtAGkAcwBzAGkAbwBuAHMAXwBBAHIAZwB1AG0AZQBuAHQAcwBcAG4AIAAgAD0ATABBAE0AQgBEAEEAKABcAG4AIAAgACAAIABNAEEASwBFAEEAUgBSAEEAWQAoADc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SAFAAUABcACIALAAgAFwAIgBSAGUAbgBlAHcAYQBiAGwAZQAgAFAAbwB3AGUAcgAgAFAAZQByAGMAZQBuAHQAYQBnAGUAIAB1AG4AZABlAHIAIAB0AGgAZQAgAEwAYQByAGcAZQAtAHMAYwBhAGwAZQAgAFIAZQBuAGUAdwBhAGIAbABlACAARQBuAGUAcgBnAHkAIABUAGEAcgBnAGUAdAAgACgATABSAEUAVAApAFwAIgAsACAAXAAiAHAAZQByACAAYwBlAG4AdABcACIALAAgAFwAIgBJAG4AcAB1AHQAXAAiADsAXABuACAAIAAgACAAIAAgACAAIAAgACAAXAAiAEoAUgBQAFAAXAAiACwAIABcACIAagB1AHIAaQBzAGQAaQBjAHQAaQBvAG4AYQBsACAAcgBlAG4AZQB3AGEAYgBsAGUAIABwAG8AdwBlAHIAIABwAGUAcgBjAGUAbgB0AGEAZwBlACAAZgBvAHIAIAB0AGgAZQAgAGEAcABwAGwAaQBjAGEAYgBsAGUAIABwAGUAcgBpAG8AZAAgACgAQQBDAFQAIABvAG4AbAB5ACkAXAAiACwAIABcACIAcABlAHIAIABjAGUAbgB0AFwAIgAsACAAXAAiAEkAbgBwAHUAdABcACIAOwBcAG4AIAAgACAAIAAgACAAIAAgACAAIABcACIAUgBFAEMAXwBzAHUAcgByAGUAbgBkAGUAcgBlAGQAXAAiACwAIABcACIAUgBlAG4AZQB3AGEAYgBsAGUAIABFAG4AZQByAGcAeQAgAEMAZQByAHQAaQBmAGkAYwBhAHQAZQBzACAAdgBvAGwAdQBuAHQAYQByAGkAbAB5ACAAcwB1AHIAcgBlAG4AZABlAHIAZQBkACAAaQBuACAAdABoAGUAIAByAGUAcABvAHIAdABpAG4AZwAgAHkAZQBhAHIAXAAiACwAIABcACIATQBXAGgAXAAiACwAIABcACIASQBuAHAAdQB0AFwAIgA7AFwAbgAgACAAIAAgACAAIAAgACAAIAAgAFwAIgBSAEUAQwBfAG8AbgBzAGkAdABlAFwAIgAsACAAXAAiAFIAZQBuAGUAdwBhAGIAbABlACAARQBuAGUAcgBnAHkAIABDAGUAcgB0AGkAZgBpAGMAYQB0AGUAcwAgAGkAcwBzAHUAZQBkACAAZgBvAHIAIABlAGwAZQBjAHQAcgBpAGMAaQB0AHkAIABwAHIAbwBkAHUAYwBlAGQAIABvAG4ALQBzAGkAdABlACAAZAB1AHIAaQBuAGcAIAB0AGgAZQAgAHkAZQBhAHIAIABhAG4AZAAgAGMAbwBuAHMAdQBtAGUAZAAgAGIAeQAgAHQAaABlACAAZQBuAHQAaQB0AHkAXAAiACwAIABcACIATQBXAGgAXAAiACwAIABcACIASQBuAHAAdQB0AFwAIgA7AFwAbgAgACAAIAAgACAAIAAgACAAIAAgAFwAIgBFAEYAXwBSAE0ARgAyAGUAbABlAGMAXAAiACwAIABcACIAUwBjAG8AcABlACAAMgAgAHIAZQBzAGkAZAB1AGEAbAAgAG0AaQB4ACAAZQBtAGkAcwBzAGkAbwBuACAAZgBhAGMAdABvAHIAIABmAG8AcgAgAGUAbABlAGMAdAByAGkAYwBpAHQAeQBcACIALAAgAFwAIgBrAGcAIABDAE8AMgBlAC8AawBXAGg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xADQAXwAxAF8AMgBfAF8AMQBfAE0AYQByAGsAZQB0AEIAYQBzAGUAZABTAGMAbwBwAGUARQBsAGUAYwB0AHIAaQBjAGkAdAB5AEUAbQBpAHMAcwBpAG8AbgBzAF8AVgBhAHIAaQBhAHQAaQBvAG4AXABuACAAIAA9AEwAQQBNAEIARABBACgAXAAiAFYAQQBSAEkAQQBUAEkATwBOACAATwBOACAAUwBPAFUAUgBDAEUAOgAgAEkAbgAgAG8AcgBkAGUAcgAgAHQAbwAgAGMAbwBuAHYAZQByAHQAIABtAGUAZwBhAHcAYQB0AHQAIABoAG8AdQByAHMAIAB0AG8AIABrAGkAbABvAHcAYQB0AHQAIABoAG8AdQByAHMALAAgAHQAaABlACAAUgBFAEMAXwBzAHUAcgByAGUAbgBkAGUAcgBlAGQAIABhAG4AZAAgAFIARQBDAF8AbwBuAHMAaQB0AGUAIAB2AGEAcgBpAGEAYgBsAGUAcwAgAGEAcgBlACAAbQB1AGwAdABpAHAAbABpAGUAZAAgAGIAeQAgADEAMABeADMAIABpAG4AcwB0AGUAYQBkACAAbwBmACAAMQAwAF4ALQAzAC4AXAAiACkAOwBcAG4AIgB9ACwAewAiAHAAYQB0AGgAIgA6ACIALwBwAHIAbwBqAGUAYwB0AHMALwBNAE0AUwBfAFAAYQBzAHQAdQByAGUAQgBlAGUAZg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xACAATQBlAHQAaABvAGQAIAAxACAALQAgAE0AYQBuAHUAcgBlACAATQBlAHQAaABhAG4AZQ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IAXwAxAF8AMQBfAF8AMQBfAFQAbwB0AGEAbABBAG4AbgB1AGEAbABNAGUAdABoAGEAbgBlAFAAcgBvAGQAdQBjAHQAaQBvAG4ARgByAG8AbQBNAGEAbgB1AHIAZQBNAGEAbgBhAGcAZQBtAGUAbgB0AFwAbgBUAG8AdABhAGwAIABhAG4AbgB1AGEAbAAgAG0AZQB0AGgAYQBuAGUAIABwAHIAbwBkAHUAYwB0AGkAbwBuACAAZgByAG8AbQAgAG0AYQBuAHUAcgBlACAAbQBhAG4AYQBnAGUAbQBlAG4AdAAgAGYAbwByACAAZwByAGEAegBpAG4AZwAgAGIAZQBlAGYAIABjAGEAdAB0AGwAZQBcAG4ARQBfAEMASAA0AFwAbgB0ACAAQwBIADQAXABuAEUAXwB7AEMASAA0AH0APQBcAFwAcwB1AG0AXwB7AGoAfQBcAFwAcwB1AG0AXwB7AGsAfQBcAFwAcwB1AG0AXwB7AGwAfQBcAFwAcwB1AG0AXwB7AG0AfQAoAE4AXwB7AGoAawBsAH0AXABcAHQAaQBtAGUAcwAgAE0AXwB7AGoAawBsAG0AfQBcAFwAdABpAG0AZQBzACAARABfAGoAKQBcAFwAdABpAG0AZQBzACAAMQAwAF4AewAtADMAfQBcAG4ATgBfAGoAawBsACAAPQAgAG4AdQBtAGIAZQByACAAbwBmACAAYgBlAGUAZgAgAGMAYQB0AHQAbABlACAAaQBuACAAZQBhAGMAaAAgAHQAaQBtAGUALQBwAGUAcgBpAG8AZAAsACAAYwBsAGEAcwBzACAAYQBuAGQAIABzAHUAYgBjAGwAYQBzAHMAIAAoAGgAZQBhAGQAKQBcAG4ATQBfAGoAawBsAG0AIAA9ACAAbQBlAHQAaABhAG4AZQAgAHAAcgBvAGQAdQBjAHQAaQBvAG4AIABmAHIAbwBtACAAbQBhAG4AdQByAGUAIABpAG4AIABlAGEAYwBoACAAdABpAG0AZQAtAHAAZQByAGkAbwBkACwAIABjAGwAYQBzAHMALAAgAHMAdQBiAGMAbABhAHMAcwAgAGEAbgBkACAATQBNAFMAIAAoAGsAZwAvAGgAZQBhAGQALwBkAGEAeQApAFwAbgBEAF8AagAgAD0AIABuAHUAbQBiAGUAcgAgAG8AZgAgAGQAYQB5AHMAIABpAG4AIABlAGEAYwBoACAAdABpAG0AZQAtAHAAZQByAGkAbwBkACAAZgBvAHIAIABlAGEAYwBoACAAaQBuAHAAdQB0ACAAYwBsAGEAcwBzACAAKABkAGEAeQBzACkAXABuAC0ALQAtAC0ALQAtAC0ALQAtAC0ALQAtAC0ALQAtAC0ALQAtAC0ALQAtAC0ALQAtAC0ALQAtAC0ALQAtAC0ALQAtAC0ALQAtAC0ALQBcAG4AKgAvAFwAbgBcAG4AVgBFAEUAUgBHAF8ANABfADIAXwAxAF8AMQBfAF8AMQBfAFQAbwB0AGEAbABBAG4AbgB1AGEAbABNAGUAdABoAGEAbgBlAFAAcgBvAGQAdQBjAHQAaQBvAG4ARgByAG8AbQBNAGEAbgB1AHIAZQBNAGEAbgBhAGcAZQBtAGUAbgB0AFwAbgAgACAAPQBMAEEATQBCAEQAQQAoAFwAbgAgACAAIAAgAE4AXwBqAGsAbAAsACAATQBfAGoAawBsAG0ALAAgAEQAXwBqACwAXABuACAAIAAgACAAKABOAF8AagBrAGwAIAAqACAATQBfAGoAawBsAG0AIAAqACAARABfAGoAKQAgACoAIAAxADAAIABeACAALQAzAFwAbgAgACAAKQA7AFwAbgBcAG4AVgBFAEUAUgBHAF8ANABfADIAXwAxAF8AMQBfAF8AMQBfAFQAbwB0AGEAbABBAG4AbgB1AGEAbABNAGUAdABoAGEAbgBlAFAAcgBvAGQAdQBjAHQAaQBvAG4ARgByAG8AbQBNAGEAbgB1AHIAZQBNAGEAbgBhAGcAZQBtAGUAbgB0AF8AVABpAHQAbABlAFwAbgAgACAAPQBMAEEATQBCAEQAQQAoAFwAIgBUAG8AdABhAGwAIABhAG4AbgB1AGEAbAAgAG0AZQB0AGgAYQBuAGUAIABwAHIAbwBkAHUAYwB0AGkAbwBuACAAZgByAG8AbQAgAG0AYQBuAHUAcgBlACAAbQBhAG4AYQBnAGUAbQBlAG4AdAAgAGYAbwByACAAZwByAGEAegBpAG4AZwAgAGIAZQBlAGYAIABjAGEAdAB0AGwAZQBcACIAKQA7AFwAbgBcAG4AVgBFAEUAUgBHAF8ANABfADIAXwAxAF8AMQBfAF8AMQBfAFQAbwB0AGEAbABBAG4AbgB1AGEAbABNAGUAdABoAGEAbgBlAFAAcgBvAGQAdQBjAHQAaQBvAG4ARgByAG8AbQBNAGEAbgB1AHIAZQBNAGEAbgBhAGcAZQBtAGUAbgB0AF8AVgBhAHIAaQBhAGIAbABlAFwAbgAgACAAPQBMAEEATQBCAEQAQQAoAFwAIgBFAF8AQwBIADQAXAAiACkAOwBcAG4AXABuAFYARQBFAFIARwBfADQAXwAyAF8AMQBfADEAXwBfADEAXwBUAG8AdABhAGwAQQBuAG4AdQBhAGwATQBlAHQAaABhAG4AZQBQAHIAbwBkAHUAYwB0AGkAbwBuAEYAcgBvAG0ATQBhAG4AdQByAGUATQBhAG4AYQBnAGUAbQBlAG4AdABfAFUAbgBpAHQAXABuACAAIAA9AEwAQQBNAEIARABBACgAXAAiAHQAIABDAEgANABcACIAKQA7AFwAbgBcAG4AVgBFAEUAUgBHAF8ANABfADIAXwAxAF8AMQBfAF8AMQBfAFQAbwB0AGEAbABBAG4AbgB1AGEAbABNAGUAdABoAGEAbgBlAFAAcgBvAGQAdQBjAHQAaQBvAG4ARgByAG8AbQBNAGEAbgB1AHIAZQBNAGEAbgBhAGcAZQBtAGUAbgB0AF8AUwBvAHUAcgBjAGUAXABuACAAIAA9AEwAQQBNAEIARABBACgAXAAiAFYARQBFAFIARwAgADIAMAAyADYAOgAgADQALgAyAC4AMQAuADEALAAgAEUAcQB1AGEAdABpAG8AbgAgACgAMQApAFwAIgApADsAXABuAFwAbgBWAEUARQBSAEcAXwA0AF8AMgBfADEAXwAxAF8AXwAxAF8AVABvAHQAYQBsAEEAbgBuAHUAYQBsAE0AZQB0AGgAYQBuAGUAUAByAG8AZAB1AGMAdABpAG8AbgBGAHIAbwBtAE0AYQBuAHUAcgBlAE0AYQBuAGEAZwBlAG0AZQBuAHQAXwBOAEkAUgBSAGUAZgBlAHIAZQBuAGMAZQBcAG4AIAAgAD0ATABBAE0AQgBEAEEAKABcACIAXAAiACkAOwBcAG4AXABuAFYARQBFAFIARwBfADQAXwAyAF8AMQBfADEAXwBfADEAXwBUAG8AdABhAGwAQQBuAG4AdQBhAGwATQBlAHQAaABhAG4AZQBQAHIAbwBkAHUAYwB0AGkAbwBuAEYAcgBvAG0ATQBhAG4AdQByAGUATQBhAG4AYQBnAGUAbQBlAG4AdABfAEwAYQB0AGUAeABFAHEAdQBhAHQAaQBvAG4AXABuACAAIAA9AEwAQQBNAEIARABBACgAXAAiAEUAXwB7AEMASAA0AH0APQBcAFwAcwB1AG0AXwB7AGoAfQBcAFwAcwB1AG0AXwB7AGsAfQBcAFwAcwB1AG0AXwB7AGwAfQBcAFwAcwB1AG0AXwB7AG0AfQAoAE4AXwB7AGoAawBsAH0AXABcAHQAaQBtAGUAcwAgAE0AXwB7AGoAawBsAG0AfQBcAFwAdABpAG0AZQBzACAARABfAGoAKQBcAFwAdABpAG0AZQBzACAAMQAwAF4AewAtADMAfQBcACIAKQA7AFwAbgBcAG4AVgBFAEUAUgBHAF8ANABfADIAXwAxAF8AMQBfAF8AMQBfAFQAbwB0AGEAbABBAG4AbgB1AGEAbABNAGUAdABoAGEAbgBlAFAAcgBvAGQAdQBjAHQAaQBvAG4ARgByAG8AbQBNAGEAbgB1AHIAZQBNAGEAbgBhAGcAZQBtAGUAbgB0AF8AQQByAGcAdQBtAGUAbgB0AHMAXABuACAAIAA9AEwAQQBNAEIARABBACgAXABuACAAIAAgACAATQBBAEsARQBBAFIAUgBBAFkAKAAzACwAIAA0ACwAXABuACAAIAAgACAAIAAgAEwAQQBNAEIARABBACgAcgAsAGMALABcAG4AIAAgACAAIAAgACAAIAAgAEkATgBEAEUAWAAoAHsAXABuACAAIAAgACAAIAAgACAAIAAgACAAXAAiAE4AXwBqAGsAbABcACIALAAgAFwAIgBuAHUAbQBiAGUAcgAgAG8AZgAgAGIAZQBlAGYAIABjAGEAdAB0AGwAZQAgAGkAbgAgAGUAYQBjAGgAIAB0AGkAbQBlAC0AcABlAHIAaQBvAGQALAAgAGMAbABhAHMAcwAgAGEAbgBkACAAcwB1AGIAYwBsAGEAcwBzAFwAIgAsACAAXAAiAGgAZQBhAGQAXAAiACwAIABcACIASQBuAHAAdQB0AFwAIgA7AFwAbgAgACAAIAAgACAAIAAgACAAIAAgAFwAIgBNAF8AagBrAGwAbQBcACIALAAgAFwAIgBtAGUAdABoAGEAbgBlACAAcAByAG8AZAB1AGMAdABpAG8AbgAgAGYAcgBvAG0AIABtAGEAbgB1AHIAZQAgAGkAbgAgAGUAYQBjAGgAIAB0AGkAbQBlAC0AcABlAHIAaQBvAGQALAAgAGMAbABhAHMAcwAsACAAcwB1AGIAYwBsAGEAcwBzACAAYQBuAGQAIABNAE0AUwBcACIALAAgAFwAIgBrAGcALwBoAGUAYQBkAC8AZABhAHkAXAAiACwAIABcACIAQwBhAGwAYwB1AGwAYQB0AGUAZAAgAGYAcgBvAG0AIAA0AC4AMgAuADEALgAxACAAKAAyACkAXAAiADsAXABuACAAIAAgACAAIAAgACAAIAAgACAAXAAiAEQAXwBqAFwAIgAsACAAXAAiAG4AdQBtAGIAZQByACAAbwBmACAAZABhAHkAcwAgAGkAbgAgAGUAYQBjAGgAIAB0AGkAbQBlAC0AcABlAHIAaQBvAGQAIABmAG8AcgAgAGUAYQBjAGgAIABpAG4AcAB1AHQAIABjAGwAYQBzAHM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QBfAF8AMgBfAE0AZQB0AGgAYQBuAGUAUAByAG8AZAB1AGMAdABpAG8AbgBGAHIAbwBtAE0AYQBuAHUAcgBlAFwAbgBNAGUAdABoAGEAbgBlACAAcAByAG8AZAB1AGMAdABpAG8AbgAgAGYAcgBvAG0AIAB0AGgAZQAgAG0AYQBuAHUAcgBlACAAbwBmACAAZwByAGEAegBpAG4AZwAgAGIAZQBlAGYAIABjAGEAdAB0AGwAZQBcAG4ATQBfAGoAawBsAG0AXABuAGsAZwAgAEMASAA0AC8AaABlAGEAZAAvAGQAYQB5AFwAbgBNAF8AewBqAGsAbABtAH0APQBWAFMAXwB7AGoAawBsAH0AXABcAHQAaQBtAGUAcwAgAEIAXwBvAFwAXAB0AGkAbQBlAHMAIABNAE0AUwBfAG0AXABcAHQAaQBtAGUAcwAgAE0AQwBGAF8AewBpAG0AfQBcAFwAdABpAG0AZQBzACAAXABcAHIAaABvAFwAbgBWAFMAXwBqAGsAbAAgAD0AIAB2AG8AbABhAHQAaQBsAGUAIABzAG8AbABpAGQAIABwAHIAbwBkAHUAYwB0AGkAbwBuACAAKABrAGcALwBkAGEAeQApAFwAbgBCAF8AbwAgAD0AIABlAG0AaQBzAHMAaQBvAG4AcwAgAHAAbwB0AGUAbgB0AGkAYQBsACAAKABtADMAIABDAEgANAAvAGsAZwAgAFYAUwApAFwAbgBNAE0AUwBfAG0AIAA9ACAAZgByAGEAYwB0AGkAbwBuACAAbwBmACAAdwBhAHMAdABlACAAaQBuACAAZQBhAGMAaAAgAG0AYQBuAHUAcgBlACAAbQBhAG4AYQBnAGUAbQBlAG4AdAAgAHMAeQBzAHQAZQBtAFwAbgBNAEMARgBfAGkAbQAgAD0AIABtAGUAdABoAGEAbgBlACAAYwBvAG4AdgBlAHIAcwBpAG8AbgAgAGYAYQBjAHQAbwByACAAZgBvAHIAIAB0AGUAbQBwAGUAcgBhAHQAdQByAGUAIAB6AG8AbgBlACAAYQBuAGQAIABNAE0AUwBcAG4AcgBoAG8AIAA9ACAAZABlAG4AcwBpAHQAeQAgAG8AZgAgAG0AZQB0AGgAYQBuAGUAIAAoAGsAZwAvAG0AMwApAFwAbgAtAC0ALQAtAC0ALQAtAC0ALQAtAC0ALQAtAC0ALQAtAC0ALQAtAC0ALQAtAC0ALQAtAC0ALQAtAC0ALQAtAC0ALQAtAC0ALQAtAC0AXABuACoALwBcAG4AXABuAFYARQBFAFIARwBfADQAXwAyAF8AMQBfADEAXwBfADIAXwBNAGUAdABoAGEAbgBlAFAAcgBvAGQAdQBjAHQAaQBvAG4ARgByAG8AbQBNAGEAbgB1AHIAZQBcAG4AIAAgAD0ATABBAE0AQgBEAEEAKABcAG4AIAAgACAAIABWAFMAXwBqAGsAbAAsACAAQgBfAG8ALAAgAE0ATQBTAF8AbQAsACAATQBDAEYAXwBpAG0ALAAgAHIAaABvACwAXABuACAAIAAgACAAVgBTAF8AagBrAGwAIAAqACAAQgBfAG8AIAAqACAATQBNAFMAXwBtACAAKgAgAE0AQwBGAF8AaQBtACAAKgAgAHIAaABvAFwAbgAgACAAKQA7AFwAbgBcAG4AVgBFAEUAUgBHAF8ANABfADIAXwAxAF8AMQBfAF8AMgBfAE0AZQB0AGgAYQBuAGUAUAByAG8AZAB1AGMAdABpAG8AbgBGAHIAbwBtAE0AYQBuAHUAcgBlAF8AVABpAHQAbABlAFwAbgAgACAAPQBMAEEATQBCAEQAQQAoAFwAIgBNAGUAdABoAGEAbgBlACAAcAByAG8AZAB1AGMAdABpAG8AbgAgAGYAcgBvAG0AIAB0AGgAZQAgAG0AYQBuAHUAcgBlACAAbwBmACAAZwByAGEAegBpAG4AZwAgAGIAZQBlAGYAIABjAGEAdAB0AGwAZQBcACIAKQA7AFwAbgBcAG4AVgBFAEUAUgBHAF8ANABfADIAXwAxAF8AMQBfAF8AMgBfAE0AZQB0AGgAYQBuAGUAUAByAG8AZAB1AGMAdABpAG8AbgBGAHIAbwBtAE0AYQBuAHUAcgBlAF8AVgBhAHIAaQBhAGIAbABlAFwAbgAgACAAPQBMAEEATQBCAEQAQQAoAFwAIgBNAF8AagBrAGwAbQBcACIAKQA7AFwAbgBcAG4AVgBFAEUAUgBHAF8ANABfADIAXwAxAF8AMQBfAF8AMgBfAE0AZQB0AGgAYQBuAGUAUAByAG8AZAB1AGMAdABpAG8AbgBGAHIAbwBtAE0AYQBuAHUAcgBlAF8AVQBuAGkAdABcAG4AIAAgAD0ATABBAE0AQgBEAEEAKABcACIAawBnACAAQwBIADQALwBoAGUAYQBkAC8AZABhAHkAXAAiACkAOwBcAG4AXABuAFYARQBFAFIARwBfADQAXwAyAF8AMQBfADEAXwBfADIAXwBNAGUAdABoAGEAbgBlAFAAcgBvAGQAdQBjAHQAaQBvAG4ARgByAG8AbQBNAGEAbgB1AHIAZQBfAFMAbwB1AHIAYwBlAFwAbgAgACAAPQBMAEEATQBCAEQAQQAoAFwAIgBWAEUARQBSAEcAIAAyADAAMgA2ADoAIAA0AC4AMgAuADEALgAxACwAIABFAHEAdQBhAHQAaQBvAG4AIAAoADIAKQBcACIAKQA7AFwAbgBcAG4AVgBFAEUAUgBHAF8ANABfADIAXwAxAF8AMQBfAF8AMgBfAE0AZQB0AGgAYQBuAGUAUAByAG8AZAB1AGMAdABpAG8AbgBGAHIAbwBtAE0AYQBuAHUAcgBlAF8ATgBJAFIAUgBlAGYAZQByAGUAbgBjAGUAXABuACAAIAA9AEwAQQBNAEIARABBACgAXAAiAFwAIgApADsAXABuAFwAbgBWAEUARQBSAEcAXwA0AF8AMgBfADEAXwAxAF8AXwAyAF8ATQBlAHQAaABhAG4AZQBQAHIAbwBkAHUAYwB0AGkAbwBuAEYAcgBvAG0ATQBhAG4AdQByAGUAXwBMAGEAdABlAHgARQBxAHUAYQB0AGkAbwBuAFwAbgAgACAAPQBMAEEATQBCAEQAQQAoAFwAIgBNAF8AewBqAGsAbABtAH0APQBWAFMAXwB7AGoAawBsAH0AXABcAHQAaQBtAGUAcwAgAEIAXwBvAFwAXAB0AGkAbQBlAHMAIABNAE0AUwBfAG0AXABcAHQAaQBtAGUAcwAgAE0AQwBGAF8AewBpAG0AfQBcAFwAdABpAG0AZQBzACAAXABcAHIAaABvAFwAIgApADsAXABuAFwAbgBWAEUARQBSAEcAXwA0AF8AMgBfADEAXwAxAF8AXwAyAF8ATQBlAHQAaABhAG4AZQBQAHIAbwBkAHUAYwB0AGkAbwBuAEYAcgBvAG0ATQBhAG4AdQByAGUAXwBBAHIAZwB1AG0AZQBuAHQAcwBcAG4AIAAgAD0ATABBAE0AQgBEAEEAKABcAG4AIAAgACAAIABNAEEASwBFAEEAUgBSAEEAWQAoADcALAAgADQALABcAG4AIAAgACAAIAAgACAATABBAE0AQgBEAEEAKAByACwAYwAsAFwAbgAgACAAIAAgACAAIAAgACAASQBOAEQARQBYACgAewBcAG4AIAAgACAAIAAgACAAIAAgACAAIABcACIAVgBTAF8AagBrAGwAXAAiACwAIABcACIAdgBvAGwAYQB0AGkAbABlACAAcwBvAGwAaQBkACAAcAByAG8AZAB1AGMAdABpAG8AbgBcACIALAAgAFwAIgBrAGcALwBkAGEAeQBcACIALAAgAFwAIgBDAGEAbABjAHUAbABhAHQAZQBkACAAZgByAG8AbQAgADQALgAyAC4AMQAuADEAIAAoADMAKQBcACIAOwBcAG4AIAAgACAAIAAgACAAIAAgACAAIABcACIAQgBfAG8AXAAiACwAIABcACI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kAbgBwAHUAdA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IABcACIAZABlAG4AcwBpAHQAeQAgAG8AZgAgAG0AZQB0AGgAYQBuAGUAXAAiACwAIABcACIAawBnAC8AbQAzAFwAIgAsACAAXAAiAEMAbwBuAHMAdABhAG4AdABcACIAOwBcAG4AIAAgACAAIAAgACAAIAAgACAAIABcACIAaQBcACIALAAgAFwAIgBzAHQAYQB0AGUAXAAiACwAIABcACIAXAAiACwAIABcACIASQBuAHAAdQB0AFwAIgA7AFwAbgAgACAAIAAgACAAIAAgACAAIAAgAFwAIgBpAFwAIgAsACAAXAAiAHIAZQBnAGkAbwBuAFwAIgAsACAAXAAiAFwAIgAsACAAXAAiAEkAbgBwAHUAdABcACIAXABuACAAIAAgACAAIAAgACAAIAB9ACwAIAByACwAIABjACkAXABuACAAIAAgACAAIAAgACkAXABuACAAIAAgACAAKQBcAG4AIAAgACkAOwBcAG4AXABuAFwAbgBWAEUARQBSAEcAXwA0AF8AMgBfADEAXwAxAF8AXwAyAF8ATQBlAHQAaABhAG4AZQBQAHIAbwBkAHUAYwB0AGkAbwBuAEYAcgBvAG0ATQBhAG4AdQByAGUAXwBBAHIAZwB1AG0AZQBuAHQAcwBfAE0AZQB0AGgAbwBkADIAXABuACAAIAA9AEwAQQBNAEIARABBACgAXABuACAAIAAgACAATQBBAEsARQBBAFIAUgBBAFkAKAA2ACwAIAA0ACwAXABuACAAIAAgACAAIAAgAEwAQQBNAEIARABBACgAcgAsAGMALABcAG4AIAAgACAAIAAgACAAIAAgAEkATgBEAEUAWAAoAHsAXABuACAAIAAgACAAIAAgACAAIAAgACAAXAAiAFYAUwBfAGoAawBsAFwAIgAsACAAXAAiAHYAbwBsAGEAdABpAGwAZQAgAHMAbwBsAGkAZAAgAHAAcgBvAGQAdQBjAHQAaQBvAG4AXAAiACwAIABcACIAawBnAC8AZABhAHkAXAAiACwAIABcACIAQwBhAGwAYwB1AGwAYQB0AGUAZAAgAGYAcgBvAG0AIAA0AC4AMgAuADEALgAxACAAKAAzACkAXAAiADsAXABuACAAIAAgACAAIAAgACAAIAAgACAAXAAiAEIAXwBvAFwAIgAsACAAXAAiAGUAbQBpAHMAcwBpAG8AbgBzACAAcABvAHQAZQBuAHQAaQBhAGwAXAAiACwAIABcACIAbQAzACAAQwBIADQALwBrAGcAIABWAFMAXAAiACwAIABcACIAQwBvAG4AcwB0AGEAbgB0AFwAIgA7AFwAbgAgACAAIAAgACAAIAAgACAAIAAgAFwAIgBNAE0AUwBfAG0AXAAiACwAIABcACIAZgByAGEAYwB0AGkAbwBuACAAbwBmACAAdwBhAHMAdABlACAAaQBuACAAZQBhAGMAaAAgAG0AYQBuAHUAcgBlACAAbQBhAG4AYQBnAGUAbQBlAG4AdAAgAHMAeQBzAHQAZQBtAFwAIgAsACAAXAAiAGYAcgBhAGMAdABpAG8AbgBcACIALAAgAFwAIgBJAG4AcAB1AHQ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CAAXAAiAGQAZQBuAHMAaQB0AHkAIABvAGYAIABtAGUAdABoAGEAbgBlAFwAIgAsACAAXAAiAGsAZwAvAG0AMwBcACIALAAgAFwAIgBDAG8AbgBzAHQAYQBuAHQAXAAiADsAXABuACAAIAAgACAAIAAgACAAIAAgACAAXAAiAE0AQQBUAFwAIgAsAFwAIgBNAGUAYQBuACAAYQBuAG4AdQBhAGwAIAB0AGUAbQBwAGUAcgBhAHQAdQByAGUAXAAiACwAIABcACIAsABDAFwAIgAsACAAXAAiAEkAbgBwAHUAdABcACIAXABuACAAIAAgACAAIAAgACAAIAB9ACwAIAByACwAIABjACkAXABuACAAIAAgACAAIAAgACkAXABuACAAIAAgACAAKQBcAG4AIAAgACkAOwBcAG4AXABuAFwAbgAvACoAXABuAC0ALQAtAC0ALQAtAC0ALQAtAC0ALQAtAC0ALQAtAC0ALQAtAC0ALQAtAC0ALQAtAC0ALQAtAC0ALQAtAC0ALQAtAC0ALQAtAC0ALQBcAG4AVgBFAEUAUgBHAF8ANABfADIAXwAxAF8AMQBfAF8AMwBfAFYAbwBsAGEAdABpAGwAZQBTAG8AbABpAGQAUAByAG8AZAB1AGMAdABpAG8AbgBGAHIAbwBtAEcAcgBhAHoAaQBuAGcAQgBlAGUAZgBcAG4AVgBvAGwAYQB0AGkAbABlACAAcwBvAGwAaQBkACAAcAByAG8AZAB1AGMAdABpAG8AbgAgAGYAcgBvAG0AIABnAHIAYQB6AGkAbgBnACAAYgBlAGUAZgBcAG4AVgBTAF8AagBrAGwAXABuAGsAZwAvAGgAZQBhAGQALwBkAGEAeQBcAG4AVgBTAF8AewBqAGsAbAB9AD0AKABJAF8AewBqAGsAbAB9AFwAXAB0AGkAbQBlAHMAIAAoADEALQBEAE0ARABfAHsAagBrAGwAfQApACsAKAAwAC4AMAA0AFwAXAB0AGkAbQBlAHMAIABJAF8AewBqAGsAbAB9ACkAKQBcAFwAdABpAG0AZQBzACAAKAAxAC0AQQApAFwAbgBJAF8AagBrAGwAIAA9ACAAZAByAHkAIABtAGEAdAB0AGUAcgAgAGkAbgB0AGEAawBlACAAYQBzACAAYwBhAGwAYwB1AGwAYQB0AGUAZAAgAGkAbgAgAEMAaABhAHAAdABlAHIAIAAzACAAUwBlAGMAdABpAG8AbgAgADMALgAyAC4AMQAgACgAawBnAC8AaABlAGEAZAAvAGQAYQB5ACkAXABuAEQATQBEAF8AagBrAGwAIAA9ACAAZAByAHkAIABtAGEAdAB0AGUAcgAgAGQAaQBnAGUAcwB0AGkAYgBpAGwAaQB0AHkAIABlAHgAcAByAGUAcwBzAGUAZAAgAGEAcwAgAGEAIABmAHIAYQBjAHQAaQBvAG4AXABuAEEAIAA9ACAAYQBzAGgAIABjAG8AbgB0AGUAbgB0ACAAbwBmACAAZgBlAGUAZAAgAGkAbgB0AGEAawBlACAAZQB4AHAAcgBlAHMAcwBlAGQAIABhAHMAIABhACAAZgByAGEAYwB0AGkAbwBuAFwAbgAtAC0ALQAtAC0ALQAtAC0ALQAtAC0ALQAtAC0ALQAtAC0ALQAtAC0ALQAtAC0ALQAtAC0ALQAtAC0ALQAtAC0ALQAtAC0ALQAtAC0AXABuACoALwBcAG4AXABuAFYARQBFAFIARwBfADQAXwAyAF8AMQBfADEAXwBfADMAXwBWAG8AbABhAHQAaQBsAGUAUwBvAGwAaQBkAFAAcgBvAGQAdQBjAHQAaQBvAG4ARgByAG8AbQBHAHIAYQB6AGkAbgBnAEIAZQBlAGYAXABuACAAIAA9AEwAQQBNAEIARABBACgAXABuACAAIAAgACAASQBfAGoAawBsACwAIABEAE0ARABfAGoAawBsACwAIABBACwAXABuACAAIAAgACAAKABJAF8AagBrAGwAIAAqACAAKAAxACAALQAgAEQATQBEAF8AagBrAGwAKQAgACsAIAAoADAALgAwADQAIAAqACAASQBfAGoAawBsACkAKQAgACoAIAAoADEAIAAtACAAQQApAFwAbgAgACAAKQA7AFwAbgBcAG4AVgBFAEUAUgBHAF8ANABfADIAXwAxAF8AMQBfAF8AMwBfAFYAbwBsAGEAdABpAGwAZQBTAG8AbABpAGQAUAByAG8AZAB1AGMAdABpAG8AbgBGAHIAbwBtAEcAcgBhAHoAaQBuAGcAQgBlAGUAZgBfAFQAaQB0AGwAZQBcAG4AIAAgAD0ATABBAE0AQgBEAEEAKABcACIAVgBvAGwAYQB0AGkAbABlACAAcwBvAGwAaQBkACAAcAByAG8AZAB1AGMAdABpAG8AbgAgAGYAcgBvAG0AIABnAHIAYQB6AGkAbgBnACAAYgBlAGUAZgBcACIAKQA7AFwAbgBcAG4AVgBFAEUAUgBHAF8ANABfADIAXwAxAF8AMQBfAF8AMwBfAFYAbwBsAGEAdABpAGwAZQBTAG8AbABpAGQAUAByAG8AZAB1AGMAdABpAG8AbgBGAHIAbwBtAEcAcgBhAHoAaQBuAGcAQgBlAGUAZgBfAFYAYQByAGkAYQBiAGwAZQBcAG4AIAAgAD0ATABBAE0AQgBEAEEAKABcACIAVgBTAF8AagBrAGwAXAAiACkAOwBcAG4AXABuAFYARQBFAFIARwBfADQAXwAyAF8AMQBfADEAXwBfADMAXwBWAG8AbABhAHQAaQBsAGUAUwBvAGwAaQBkAFAAcgBvAGQAdQBjAHQAaQBvAG4ARgByAG8AbQBHAHIAYQB6AGkAbgBnAEIAZQBlAGYAXwBVAG4AaQB0AFwAbgAgACAAPQBMAEEATQBCAEQAQQAoAFwAIgBrAGcALwBoAGUAYQBkAC8AZABhAHkAXAAiACkAOwBcAG4AXABuAFYARQBFAFIARwBfADQAXwAyAF8AMQBfADEAXwBfADMAXwBWAG8AbABhAHQAaQBsAGUAUwBvAGwAaQBkAFAAcgBvAGQAdQBjAHQAaQBvAG4ARgByAG8AbQBHAHIAYQB6AGkAbgBnAEIAZQBlAGYAXwBTAG8AdQByAGMAZQBcAG4AIAAgAD0ATABBAE0AQgBEAEEAKABcACIAVgBFAEUAUgBHACAAMgAwADIANgA6ACAANAAuADIALgAxAC4AMQAsACAARQBxAHUAYQB0AGkAbwBuACAAKAAzACkAXAAiACkAOwBcAG4AXABuAFYARQBFAFIARwBfADQAXwAyAF8AMQBfADEAXwBfADMAXwBWAG8AbABhAHQAaQBsAGUAUwBvAGwAaQBkAFAAcgBvAGQAdQBjAHQAaQBvAG4ARgByAG8AbQBHAHIAYQB6AGkAbgBnAEIAZQBlAGYAXwBOAEkAUgBSAGUAZgBlAHIAZQBuAGMAZQBcAG4AIAAgAD0ATABBAE0AQgBEAEEAKABcACIAXAAiACkAOwBcAG4AXABuAFYARQBFAFIARwBfADQAXwAyAF8AMQBfADEAXwBfADMAXwBWAG8AbABhAHQAaQBsAGUAUwBvAGwAaQBkAFAAcgBvAGQAdQBjAHQAaQBvAG4ARgByAG8AbQBHAHIAYQB6AGkAbgBnAEIAZQBlAGYAXwBMAGEAdABlAHgARQBxAHUAYQB0AGkAbwBuAFwAbgAgACAAPQBMAEEATQBCAEQAQQAoAFwAIgBWAFMAXwB7AGoAawBsAH0APQAoAEkAXwB7AGoAawBsAH0AXABcAHQAaQBtAGUAcwAgACgAMQAtAEQATQBEAF8AewBqAGsAbAB9ACkAKwAoADAALgAwADQAXABcAHQAaQBtAGUAcwAgAEkAXwB7AGoAawBsAH0AKQApAFwAXAB0AGkAbQBlAHMAIAAoADEALQBBACkAXAAiACkAOwBcAG4AXABuAFYARQBFAFIARwBfADQAXwAyAF8AMQBfADEAXwBfADMAXwBWAG8AbABhAHQAaQBsAGUAUwBvAGwAaQBkAFAAcgBvAGQAdQBjAHQAaQBvAG4ARgByAG8AbQBHAHIAYQB6AGkAbgBnAEIAZQBlAGYAXwBBAHIAZwB1AG0AZQBuAHQAcwBcAG4AIAAgAD0ATABBAE0AQgBEAEEAKABcAG4AIAAgACAAIABNAEEASwBFAEEAUgBSAEEAWQAoADMALAAgADQALABcAG4AIAAgACAAIAAgACAATABBAE0AQgBEAEEAKAByACwAYwAsAFwAbgAgACAAIAAgACAAIAAgACAASQBOAEQARQBYACgAewBcAG4AIAAgACAAIAAgACAAIAAgACAAIABcACIASQBfAGoAawBsAFwAIgAsACAAXAAiAGQAcgB5ACAAbQBhAHQAdABlAHIAIABpAG4AdABhAGsAZQAgAGEAcwAgAGMAYQBsAGMAdQBsAGEAdABlAGQAIABpAG4AIABDAGgAYQBwAHQAZQByACAAMwAgAFMAZQBjAHQAaQBvAG4AIAAzAC4AMgAuADEAXAAiACwAIABcACIAawBnAC8AaABlAGEAZAAvAGQAYQB5AFwAIgAsACAAXAAiAEMAYQBsAGMAdQBsAGEAdABlAGQAIABmAHIAbwBtACAAMwAuADIALgAxAC4AMQAsACAAKAAzACkAXAAiADsAXABuACAAIAAgACAAIAAgACAAIAAgACAAXAAiAEQATQBEAF8AagBrAGwAXAAiACwAIABcACIAZAByAHkAIABtAGEAdAB0AGUAcgAgAGQAaQBnAGUAcwB0AGkAYgBpAGwAaQB0AHkAIABlAHgAcAByAGUAcwBzAGUAZAAgAGEAcwAgAGEAIABmAHIAYQBjAHQAaQBvAG4AXAAiACwAIABcACIAZgByAGEAYwB0AGkAbwBuAFwAIgAsACAAXAAiAEkAbgBwAHUAdABcACIAOwBcAG4AIAAgACAAIAAgACAAIAAgACAAIABcACIAQQBcACIALAAgAFwAIgBhAHMAaAAgAGMAbwBuAHQAZQBuAHQAIABvAGYAIABmAGUAZQBkACAAaQBuAHQAYQBrAGUAIABlAHgAcAByAGUAcwBzAGUAZAAgAGEAcwAgAGEAIABmAHIAYQBjAHQAaQBvAG4AXAAiACwAIABcACIAZgByAGEAYwB0AGkAbwBuAFwAIgAsACAAXAAiAEMAbwBuAHMAdABhAG4AdABcACIAXABuACAAIAAgACAAIAAgACAAIAB9ACwAIAByACwAIABjACkAXABuACAAIAAgACAAIAAgACkAXABuACAAIAAgACAAKQBcAG4AIAAgACkAOwBcAG4AIgB9ACwAewAiAHAAYQB0AGgAIgA6ACIALwBwAHIAbwBqAGUAYwB0AHMALwBFAG4AdABlAHIAaQBjAE0AZQB0AGgAYQBuAGUAXwBQAGEAcwB0AHUAcgBlAEIAZQBlAGYAXwBFAHEAdQBhAHQAaQBvAG4AcwAiACwAIgB0AGUAeAB0ACIAOgAiAC8AKgBcAG4APQA9AD0APQA9AD0APQA9AD0APQA9AD0APQA9AD0APQA9AD0APQA9AD0APQA9AD0APQA9AD0APQA9AD0APQA9AD0APQA9AD0APQA9AD0APQA9AD0APQA9AD0APQA9AD0APQA9AD0APQA9AD0APQA9AD0APQA9AD0APQA9AD0APQA9AD0APQA9AD0APQA9AD0APQA9AD0APQBcAG4AMwAuADIAOgAgAEUAbgB0AGUAcgBpAGMAIABNAGUAdABoAGEAbgBlACAALQAgAFAAYQBzAHQAdQByAGUAIABCAGUAZQBmAFwAbgA9AD0APQA9AD0APQA9AD0APQA9AD0APQA9AD0APQA9AD0APQA9AD0APQA9AD0APQA9AD0APQA9AD0APQA9AD0APQA9AD0APQA9AD0APQA9AD0APQA9AD0APQA9AD0APQA9AD0APQA9AD0APQA9AD0APQA9AD0APQA9AD0APQA9AD0APQA9AD0APQA9AD0APQA9AD0APQA9AFwAbgAzAC4AMgAuADEALgAxACAATQBlAHQAaABvAGQAIAAxACAALQAgAEUAbgB0AGUAcgBpAGM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y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ZwByAGEAegBpAG4AZwAgAGIAZQBlAGYAIABjAGEAdAB0AGwAZQBcAG4ARQBfAGUAbgB0AGUAcgBpAGMAXABuAHQAIABDAEgANABcAG4ARQBfAHsAZQBuAHQAZQByAGkAYwB9AD0AXABcAHMAdQBtAF8AewBqAH0AXABcAHMAdQBtAF8AewBrAH0AXABcAHMAdQBtAF8AewBsAH0AKABEAF8AagBcAFwAdABpAG0AZQBzACAATQBfAHsAagBrAGwAfQBcAFwAdABpAG0AZQBzACAATgBfAHsAagBrAGwAfQApAFwAXAB0AGkAbQBlAHMAIAAxADAAXgB7AC0AMwB9AFwAbgBEAF8AagAgAD0AIABuAHUAbQBiAGUAcgAgAG8AZgAgAGQAYQB5AHMAIAB0AGgAZQAgAGEAbgBpAG0AYQBsACAAaQBzACAAbwBuACAAdABoAGUAIABmAGEAcgBtACAAaQBuACAAZQBhAGMAaAAgAHQAaQBtAGUALQBwAGUAcgBpAG8AZAAgACgAZABhAHkAcwApAFwAbgBNAF8AagBrAGwAIAA9ACAAZABhAGkAbAB5ACAAcAByAG8AZAB1AGMAdABpAG8AbgAgAG8AZgAgAGUAbgB0AGUAcgBpAGMAIABtAGUAdABoAGEAbgBlACAAaQBuACAAZQBhAGMAaAAgAHQAaQBtAGUALQBwAGUAcgBpAG8AZAAsACAAYwBsAGEAcwBzACAAYQBuAGQAIABzAHUAYgBjAGwAYQBzAHMAIAAoAGsAZwAgAEMASAA0AC8AaABlAGEAZAAvAGQAYQB5ACkAXABuAE4AXwBqAGsAbAAgAD0AIABuAHUAbQBiAGUAcgAgAG8AZgAgAGIAZQBlAGYAIABjAGEAdAB0AGwAZQAgAGkAbgAgAGUAYQBjAGgAIAB0AGkAbQBlAC0AcABlAHIAaQBvAGQALAAgAGMAbABhAHMAcwAgAGEAbgBkACAAcwB1AGIAYwBsAGEAcwBzACAAKABoAGUAYQBkACkAXABuAC0ALQAtAC0ALQAtAC0ALQAtAC0ALQAtAC0ALQAtAC0ALQAtAC0ALQAtAC0ALQAtAC0ALQAtAC0ALQAtAC0ALQAtAC0ALQAtAC0ALQBcAG4AKgAvAFwAbgBcAG4AVgBFAEUAUgBHAF8AMwBfADIAXwAxAF8AMQBfAF8AMQBfAFQAbwB0AGEAbABBAG4AbgB1AGEAbABNAGUAdABoAGEAbgBlAEYAcgBvAG0ARQBuAHQAZQByAGkAYwBGAGUAcgBtAGUAbgB0AGEAdABpAG8AbgBcAG4AIAAgAD0ATABBAE0AQgBEAEEAKABcAG4AIAAgACAAIABEAF8AagAsACAATQBfAGoAawBsACwAIABOAF8AagBrAGwALABcAG4AIAAgACAAIAAoAEQAXwBqACAAKgAgAE0AXwBqAGsAbAAgACoAIABOAF8AagBrAGwAKQAgACoAIAAxADAAIABeACAALQAzAFwAbgAgACAAKQA7AFwAbgBcAG4AVgBFAEUAUgBHAF8AMwBfADIAXwAxAF8AMQBfAF8AMQBfAFQAbwB0AGEAbABBAG4AbgB1AGEAbABNAGUAdABoAGEAbgBlAEYAcgBvAG0ARQBuAHQAZQByAGkAYwBGAGUAcgBtAGUAbgB0AGEAdABpAG8AbgBfAFQAaQB0AGwAZQBcAG4AIAAgAD0ATABBAE0AQgBEAEEAKABcACIAVABvAHQAYQBsACAAYQBuAG4AdQBhAGwAIABtAGUAdABoAGEAbgBlACAAcAByAG8AZAB1AGMAdABpAG8AbgAgAGYAcgBvAG0AIABlAG4AdABlAHIAaQBjACAAZgBlAHIAbQBlAG4AdABhAHQAaQBvAG4AIABpAG4AIABnAHIAYQB6AGkAbgBnACAAYgBlAGUAZgAgAGMAYQB0AHQAbABlAFwAIgApADsAXABuAFwAbgBWAEUARQBSAEcAXwAzAF8AMgBfADEAXwAxAF8AXwAxAF8AVABvAHQAYQBsAEEAbgBuAHUAYQBsAE0AZQB0AGgAYQBuAGUARgByAG8AbQBFAG4AdABlAHIAaQBjAEYAZQByAG0AZQBuAHQAYQB0AGkAbwBuAF8AVgBhAHIAaQBhAGIAbABlAFwAbgAgACAAPQBMAEEATQBCAEQAQQAoAFwAIgBFAF8AZQBuAHQAZQByAGkAYwBcACIAKQA7AFwAbgBcAG4AVgBFAEUAUgBHAF8AMwBfADIAXwAxAF8AMQBfAF8AMQBfAFQAbwB0AGEAbABBAG4AbgB1AGEAbABNAGUAdABoAGEAbgBlAEYAcgBvAG0ARQBuAHQAZQByAGkAYwBGAGUAcgBtAGUAbgB0AGEAdABpAG8AbgBfAFUAbgBpAHQAXABuACAAIAA9AEwAQQBNAEIARABBACgAXAAiAHQAIABDAEgANABcACIAKQA7AFwAbgBcAG4AVgBFAEUAUgBHAF8AMwBfADIAXwAxAF8AMQBfAF8AMQBfAFQAbwB0AGEAbABBAG4AbgB1AGEAbABNAGUAdABoAGEAbgBlAEYAcgBvAG0ARQBuAHQAZQByAGkAYwBGAGUAcgBtAGUAbgB0AGEAdABpAG8AbgBfAFMAbwB1AHIAYwBlAFwAbgAgACAAPQBMAEEATQBCAEQAQQAoAFwAIgBWAEUARQBSAEcAIAAyADAAMgA2ADoAIAAzAC4AMgAuADEALgAxACwAIABFAHEAdQBhAHQAaQBvAG4AIAAoADEAKQBcACIAKQA7AFwAbgBcAG4AVgBFAEUAUgBHAF8AMwBfADIAXwAxAF8AMQBfAF8AMQBfAFQAbwB0AGEAbABBAG4AbgB1AGEAbABNAGUAdABoAGEAbgBlAEYAcgBvAG0ARQBuAHQAZQByAGkAYwBGAGUAcgBtAGUAbgB0AGEAdABpAG8AbgBfAE4ASQBSAFIAZQBmAGUAcgBlAG4AYwBlAFwAbgAgACAAPQBMAEEATQBCAEQAQQAoAFwAIgBcACIAKQA7AFwAbgBcAG4AVgBFAEUAUgBHAF8AMwBfADIAXwAxAF8AMQBfAF8AMQBfAFQAbwB0AGEAbABBAG4AbgB1AGEAbABNAGUAdABoAGEAbgBlAEYAcgBvAG0ARQBuAHQAZQByAGkAYwBGAGUAcgBtAGUAbgB0AGEAdABpAG8AbgBfAEwAYQB0AGUAeABFAHEAdQBhAHQAaQBvAG4AXABuACAAIAA9AEwAQQBNAEIARABBACgAXAAiAEUAXwB7AGUAbgB0AGUAcgBpAGMAfQA9AFwAXABzAHUAbQBfAHsAagB9AFwAXABzAHUAbQBfAHsAawB9AFwAXABzAHUAbQBfAHsAbAB9ACgARABfAGoAXABcAHQAaQBtAGUAcwAgAE0AXwB7AGoAawBsAH0AXABcAHQAaQBtAGUAcwAgAE4AXwB7AGoAawBsAH0AKQBcAFwAdABpAG0AZQBzACAAMQAwAF4AewAtADMAfQBcACIAKQA7AFwAbgBcAG4AVgBFAEUAUgBHAF8AMwBfADIAXwAxAF8AMQBfAF8AMQBfAFQAbwB0AGEAbABBAG4AbgB1AGEAbABNAGUAdABoAGEAbgBlAEYAcgBvAG0ARQBuAHQAZQByAGkAYwBGAGUAcgBtAGUAbgB0AGEAdABpAG8AbgBfAEEAcgBnAHUAbQBlAG4AdABzAFwAbgAgACAAPQBMAEEATQBCAEQAQQAoAFwAbgAgACAAIAAgAE0AQQBLAEUAQQBSAFIAQQBZACgAMwAsACAANAAsAFwAbgAgACAAIAAgACAAIABMAEEATQBCAEQAQQAoAHIALABjACwAXABuACAAIAAgACAAIAAgACAAIABJAE4ARABFAFgAKAB7AFwAbgAgACAAIAAgACAAIAAgACAAIAAgAFwAIgBEAF8AagBcACIALAAgAFwAIgBuAHUAbQBiAGUAcgAgAG8AZgAgAGQAYQB5AHMAIAB0AGgAZQAgAGEAbgBpAG0AYQBsACAAaQBzACAAbwBuACAAdABoAGUAIABmAGEAcgBtACAAaQBuACAAZQBhAGMAaAAgAHQAaQBtAGUALQBwAGUAcgBpAG8AZABcACIALAAgAFwAIgBkAGEAeQBzAFwAIgAsACAAXAAiAEkAbgBwAHUAdABcACIAOwBcAG4AIAAgACAAIAAgACAAIAAgACAAIABcACIATQBfAGoAawBsAFwAIgAsACAAXAAiAGQAYQBpAGwAeQAgAHAAcgBvAGQAdQBjAHQAaQBvAG4AIABvAGYAIABlAG4AdABlAHIAaQBjACAAbQBlAHQAaABhAG4AZQAgAGkAbgAgAGUAYQBjAGgAIAB0AGkAbQBlAC0AcABlAHIAaQBvAGQALAAgAGMAbABhAHMAcwAgAGEAbgBkACAAcwB1AGIAYwBsAGEAcwBzAFwAIgAsACAAXAAiAGsAZwAgAEMASAA0AC8AaABlAGEAZAAvAGQAYQB5AFwAIgAsACAAXAAiAEMAYQBsAGMAdQBsAGEAdABlAGQAIABmAHIAbwBtACAAMwAuADIALgAxAC4AMQAsACAAKAAyACkAXAAiADsAXABuACAAIAAgACAAIAAgACAAIAAgACAAXAAiAE4AXwBqAGsAbABcACIALAAgAFwAIgBuAHUAbQBiAGUAcgAgAG8AZgAgAGIAZQBlAGYAIABjAGEAdAB0AGwAZQAgAGkAbgAgAGUAYQBjAGgAIAB0AGkAbQBlAC0AcABlAHIAaQBvAGQALAAgAGMAbABhAHMAcwAgAGEAbgBkACAAcwB1AGIAYwBsAGEAcwBzAFwAIgAsACAAXAAiAGgAZQBhAGQ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IAXwBEAGEAaQBsAHkARQBuAHQAZQByAGkAYwBNAGUAdABoAGEAbgBlAFAAcgBvAGQAdQBjAHQAaQBvAG4AXABuAEQAYQBpAGwAeQAgAHAAcgBvAGQAdQBjAHQAaQBvAG4AIABvAGYAIABlAG4AdABlAHIAaQBjACAAbQBlAHQAaABhAG4AZQBcAG4ATQBfAGoAawBsAFwAbgBrAGcAIABDAEgANAAvAGgAZQBhAGQALwBkAGEAeQBcAG4ATQBfAHsAagBrAGwAfQA9ADIAMAAuADcAXABcAHQAaQBtAGUAcwAgAEkAXwB7AGoAawBsAH0AXABcAHQAaQBtAGUAcwAgADEAMABeAHsALQAzAH0AXABuAEkAXwBqAGsAbAAgAD0AIABkAHIAeQAgAG0AYQB0AHQAZQByACAAaQBuAHQAYQBrAGUAIAAoAGsAZwAgAEQATQAvAGgAZQBhAGQALwBkAGEAeQApAFwAbgAtAC0ALQAtAC0ALQAtAC0ALQAtAC0ALQAtAC0ALQAtAC0ALQAtAC0ALQAtAC0ALQAtAC0ALQAtAC0ALQAtAC0ALQAtAC0ALQAtAC0AXABuACoALwBcAG4AXABuAFYARQBFAFIARwBfADMAXwAyAF8AMQBfADEAXwBfADIAXwBEAGEAaQBsAHkARQBuAHQAZQByAGkAYwBNAGUAdABoAGEAbgBlAFAAcgBvAGQAdQBjAHQAaQBvAG4AXABuACAAIAA9AEwAQQBNAEIARABBACgAXABuACAAIAAgACAASQBfAGoAawBsACwAXABuACAAIAAgACAAMgAwAC4ANwAgACoAIABJAF8AagBrAGwAIAAqACAAMQAwACAAXgAgAC0AMwBcAG4AIAAgACkAOwBcAG4AXABuAFYARQBFAFIARwBfADMAXwAy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IAXwAxAF8AMQBfAF8AMgBfAEQAYQBpAGwAeQBFAG4AdABlAHIAaQBjAE0AZQB0AGgAYQBuAGUAUAByAG8AZAB1AGMAdABpAG8AbgBfAFYAYQByAGkAYQBiAGwAZQBcAG4AIAAgAD0ATABBAE0AQgBEAEEAKABcACIATQBfAGoAawBsAFwAIgApADsAXABuAFwAbgBWAEUARQBSAEcAXwAzAF8AMgBfADEAXwAxAF8AXwAyAF8ARABhAGkAbAB5AEUAbgB0AGUAcgBpAGMATQBlAHQAaABhAG4AZQBQAHIAbwBkAHUAYwB0AGkAbwBuAF8AVQBuAGkAdABcAG4AIAAgAD0ATABBAE0AQgBEAEEAKABcACIAawBnACAAQwBIADQALwBoAGUAYQBkAC8AZABhAHkAXAAiACkAOwBcAG4AXABuAFYARQBFAFIARwBfADMAXwAyAF8AMQBfADEAXwBfADIAXwBEAGEAaQBsAHkARQBuAHQAZQByAGkAYwBNAGUAdABoAGEAbgBlAFAAcgBvAGQAdQBjAHQAaQBvAG4AXwBTAG8AdQByAGMAZQBcAG4AIAAgAD0ATABBAE0AQgBEAEEAKABcACIAVgBFAEUAUgBHACAAMgAwADIANgA6ACAAMwAuADIALgAxAC4AMQAsACAARQBxAHUAYQB0AGkAbwBuACAAKAAyACkAXAAiACkAOwBcAG4AXABuAFYARQBFAFIARwBfADMAXwAyAF8AMQBfADEAXwBfADIAXwBEAGEAaQBsAHkARQBuAHQAZQByAGkAYwBNAGUAdABoAGEAbgBlAFAAcgBvAGQAdQBjAHQAaQBvAG4AXwBOAEkAUgBSAGUAZgBlAHIAZQBuAGMAZQBcAG4AIAAgAD0ATABBAE0AQgBEAEEAKABcACIAQwBoAGEAcgBtAGwAZQB5ACAAZQB0ACAAYQBsAC4AIAAoADIAMAAxADUAKQBcACIAKQA7AFwAbgBcAG4AVgBFAEUAUgBHAF8AMwBfADIAXwAxAF8AMQBfAF8AMgBfAEQAYQBpAGwAeQBFAG4AdABlAHIAaQBjAE0AZQB0AGgAYQBuAGUAUAByAG8AZAB1AGMAdABpAG8AbgBfAEwAYQB0AGUAeABFAHEAdQBhAHQAaQBvAG4AXABuACAAIAA9AEwAQQBNAEIARABBACgAXAAiAE0AXwB7AGoAawBsAH0APQAyADAALgA3AFwAXAB0AGkAbQBlAHMAIABJAF8AewBqAGsAbAB9AFwAXAB0AGkAbQBlAHMAIAAxADAAXgB7AC0AMwB9AFwAIgApADsAXABuAFwAbgBWAEUARQBSAEcAXwAzAF8AMgBfADEAXwAxAF8AXwAyAF8ARABhAGkAbAB5AEUAbgB0AGUAcgBpAGMATQBlAHQAaABhAG4AZQBQAHIAbwBkAHUAYwB0AGkAbwBuAF8AQQByAGcAdQBtAGUAbgB0AHMAXABuACAAIAA9AEwAQQBNAEIARABBACgAXABuACAAIAAgACAATQBBAEsARQBBAFIAUgBBAFkAKAAxACwAIAA0ACwAXABuACAAIAAgACAAIAAgAEwAQQBNAEIARABBACgAcgAsAGMALABcAG4AIAAgACAAIAAgACAAIAAgAEkATgBEAEUAWAAoAHsAXABuACAAIAAgACAAIAAgACAAIAAgACAAXAAiAEkAXwBqAGsAbABcACIALAAgAFwAIgBkAHIAeQAgAG0AYQB0AHQAZQByACAAaQBuAHQAYQBrAGUAXAAiACwAIABcACIAawBnACAARABNAC8AaABlAGEAZAAvAGQAYQB5AFwAIgAsACAAXAAiAEMAYQBsAGMAdQBsAGEAdABlAGQAIABmAHIAbwBtACAAMwAuADIALgAxAC4AMQAsACAAKAAzACk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wBfAEYAZQBlAGQASQBuAHQAYQBrAGUARgBvAHIARwByAGEAegBpAG4AZwBCAGUAZQBmAFwAbgBGAGUAZQBkACAAaQBuAHQAYQBrAGUAIABmAG8AcgAgAGcAcgBhAHoAaQBuAGcAIABiAGUAZQBmACAAYwBhAHQAdABsAGUAXABuAEkAXwBqAGsAbABcAG4AawBnACAARABNAC8AaABlAGEAZAAvAGQAYQB5AFwAbgBJAF8AewBqAGsAbAB9AD0AKAAxAC4AMQA4ADUAKwAwAC4AMAAwADQANQA0AFwAXAB0AGkAbQBlAHMAIABXAF8AewBqAGsAbAB9AC0AMAAuADAAMAAwADAAMAAyADYAXABcAHQAaQBtAGUAcwAgAFcAXwB7AGoAawBsAH0AXgB7ADIAfQArADAALgAzADEANQBcAFwAdABpAG0AZQBzACAATABXAEcAXwB7AGoAawBsAH0AKQBeADIAXABcAHQAaQBtAGUAcwAgAE0AQQBfAHsAagBrAD0ANAAsADUAfQBcAG4AVwBfAGoAawBsACAAPQAgAGwAaQB2AGUAdwBlAGkAZwBoAHQAIAAoAGsAZwApAFwAbgBMAFcARwBfAGoAawBsACAAPQAgAGwAaQB2AGUAIAB3AGUAaQBnAGgAdAAgAGcAYQBpAG4AIAAoAGsAZwAvAGgAZQBhAGQALwBkAGEAeQApAFwAbgBNAEEAXwBqAGsANAA1ACAAPQAgAGEAZABkAGkAdABpAG8AbgBhAGwAIABpAG4AdABhAGsAZQAgAGYAbwByACAAbQBpAGwAawAgAHAAcgBvAGQAdQBjAHQAaQBvAG4AIABpAG4AIABjAG8AdwBzACAAZwByAGUAYQB0AGUAcgAgAHQAaABhAG4AIAAyACAAeQBlAGEAcgBzACAAKABrAGcALwBoAGUAYQBkAC8AZABhAHkAKQBcAG4ALQAtAC0ALQAtAC0ALQAtAC0ALQAtAC0ALQAtAC0ALQAtAC0ALQAtAC0ALQAtAC0ALQAtAC0ALQAtAC0ALQAtAC0ALQAtAC0ALQAtAFwAbgAqAC8AXABuAFwAbgBWAEUARQBSAEcAXwAzAF8AMgBfADEAXwAxAF8AXwAzAF8ARgBlAGUAZABJAG4AdABhAGsAZQBGAG8AcgBHAHIAYQB6AGkAbgBnAEIAZQBlAGYAXABuACAAIAA9AEwAQQBNAEIARABBACgAXABuACAAIAAgACAAVwBfAGoAawBsACwAIABMAFcARwBfAGoAawBsACwAIABNAEEAXwBqAGsANAA1ACwAXABuACAAIAAgACAAKAAxAC4AMQA4ADUAIAArACAAMAAuADAAMAA0ADUANAAgACoAIABXAF8AagBrAGwAIAAtACAAMAAuADAAMAAwADAAMAAyADYAIAAqACAAVwBfAGoAawBsACAAXgAgADIAIAArACAAMAAuADMAMQA1ACAAKgAgAEwAVwBHAF8AagBrAGwAKQAgAF4AIAAyACAAKgAgAE0AQQBfAGoAawA0ADUAXABuACAAIAApADsAXABuAFwAbgBWAEUARQBSAEcAXwAzAF8AMgBfADEAXwAxAF8AXwAzAF8ARgBlAGUAZABJAG4AdABhAGsAZQBGAG8AcgBHAHIAYQB6AGkAbgBnAEIAZQBlAGYAXwBUAGkAdABsAGUAXABuACAAIAA9AEwAQQBNAEIARABBACgAXAAiAEYAZQBlAGQAIABpAG4AdABhAGsAZQAgAGYAbwByACAAZwByAGEAegBpAG4AZwAgAGIAZQBlAGYAIABjAGEAdAB0AGwAZQBcACIAKQA7AFwAbgBcAG4AVgBFAEUAUgBHAF8AMwBfADIAXwAxAF8AMQBfAF8AMwBfAEYAZQBlAGQASQBuAHQAYQBrAGUARgBvAHIARwByAGEAegBpAG4AZwBCAGUAZQBmAF8AVgBhAHIAaQBhAGIAbABlAFwAbgAgACAAPQBMAEEATQBCAEQAQQAoAFwAIgBJAF8AagBrAGwAXAAiACkAOwBcAG4AXABuAFYARQBFAFIARwBfADMAXwAyAF8AMQBfADEAXwBfADMAXwBGAGUAZQBkAEkAbgB0AGEAawBlAEYAbwByAEcAcgBhAHoAaQBuAGcAQgBlAGUAZgBfAFUAbgBpAHQAXABuACAAIAA9AEwAQQBNAEIARABBACgAXAAiAGsAZwAgAEQATQAvAGgAZQBhAGQALwBkAGEAeQBcACIAKQA7AFwAbgBcAG4AVgBFAEUAUgBHAF8AMwBfADIAXwAxAF8AMQBfAF8AMwBfAEYAZQBlAGQASQBuAHQAYQBrAGUARgBvAHIARwByAGEAegBpAG4AZwBCAGUAZQBmAF8AUwBvAHUAcgBjAGUAXABuACAAIAA9AEwAQQBNAEIARABBACgAXAAiAFYARQBFAFIARwAgADIAMAAyADYAOgAgADMALgAyAC4AMQAuADEALAAgAEUAcQB1AGEAdABpAG8AbgAgACgAMwApAFwAIgApADsAXABuAFwAbgBWAEUARQBSAEcAXwAzAF8AMgBfADEAXwAxAF8AXwAzAF8ARgBlAGUAZABJAG4AdABhAGsAZQBGAG8AcgBHAHIAYQB6AGkAbgBnAEIAZQBlAGYAXwBOAEkAUgBSAGUAZgBlAHIAZQBuAGMAZQBcAG4AIAAgAD0ATABBAE0AQgBEAEEAKABcACIATQBpAG4AcwBvAG4AIABhAG4AZAAgAE0AYwBEAG8AbgBhAGwAZAAgACgAMQA5ADgANwApAFwAIgApADsAXABuAFwAbgBWAEUARQBSAEcAXwAzAF8AMgBfADEAXwAxAF8AXwAzAF8ARgBlAGUAZABJAG4AdABhAGsAZQBGAG8AcgBHAHIAYQB6AGkAbgBnAEIAZQBlAGYAXwBMAGEAdABlAHgARQBxAHUAYQB0AGkAbwBuAFwAbgAgACAAPQBMAEEATQBCAEQAQQAoAFwAIgBJAF8AewBqAGsAbAB9AD0AKAAxAC4AMQA4ADUAKwAwAC4AMAAwADQANQA0AFwAXAB0AGkAbQBlAHMAIABXAF8AewBqAGsAbAB9AC0AMAAuADAAMAAwADAAMAAyADYAXABcAHQAaQBtAGUAcwAgAFcAXwB7AGoAawBsAH0AXgB7ADIAfQArADAALgAzADEANQBcAFwAdABpAG0AZQBzACAATABXAEcAXwB7AGoAawBsAH0AKQBeADIAXABcAHQAaQBtAGUAcwAgAE0AQQBfAHsAagBrAD0ANAAsADUAfQBcACIAKQA7AFwAbgBcAG4AVgBFAEUAUgBHAF8AMwBfADIAXwAxAF8AMQBfAF8AMwBfAEYAZQBlAGQASQBuAHQAYQBrAGUARgBvAHIARwByAGEAegBpAG4AZwBCAGUAZQBmAF8AQQByAGcAdQBtAGUAbgB0AHMAXABuACAAIAA9AEwAQQBNAEIARABBACgAXABuACAAIAAgACAATQBBAEsARQBBAFIAUgBBAFkAKAAzACwAIAA0ACwAXABuACAAIAAgACAAIAAgAEwAQQBNAEIARABBACgAcgAsAGMALABcAG4AIAAgACAAIAAgACAAIAAgAEkATgBEAEUAWAAoAHsAXABuACAAIAAgACAAIAAgACAAIAAgACAAXAAiAFcAXwBqAGsAbABcACIALAAgAFwAIgBsAGkAdgBlAHcAZQBpAGcAaAB0ACAAKABrAGcAKQBcACIALAAgAFwAIgBrAGcAXAAiACwAIABcACIASQBuAHAAdQB0AFwAIgA7AFwAbgAgACAAIAAgACAAIAAgACAAIAAgAFwAIgBMAFcARwBfAGoAawBsAFwAIgAsACAAXAAiAGwAaQB2AGUAIAB3AGUAaQBnAGgAdAAgAGcAYQBpAG4AIAAoAGsAZwAvAGgAZQBhAGQALwBkAGEAeQApAFwAIgAsACAAXAAiAGsAZwAvAGgAZQBhAGQALwBkAGEAeQBcACIALAAgAFwAIgBJAG4AcAB1AHQAXAAiADsAXABuACAAIAAgACAAIAAgACAAIAAgACAAXAAiAE0AQQBfAGoAawA0ADUAXAAiACwAIABcACIAYQBkAGQAaQB0AGkAbwBuAGEAbAAgAGkAbgB0AGEAawBlACAAZgBvAHIAIABtAGkAbABrACAAcAByAG8AZAB1AGMAdABpAG8AbgAgAGkAbgAgAGMAbwB3AHMAIABnAHIAZQBhAHQAZQByACAAdABoAGEAbgAgADIAIAB5AGUAYQByAHMAXAAiACwAIABcACIAawBnAC8AaABlAGEAZAAvAGQAYQB5AFwAIgAsACAAXAAiAEMAYQBsAGMAdQBsAGEAdABlAGQAIABmAHIAbwBtACAAMwAuADIALgAxAC4AMQAsACAAKAA0ACk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NABfAEEAZABkAGkAdABpAG8AbgBhAGwASQBuAHQAYQBrAGUARgBvAHIATQBpAGwAawBQAHIAbwBkAHUAYwB0AGkAbwBuAFwAbgBBAGQAZABpAHQAaQBvAG4AYQBsACAAaQBuAHQAYQBrAGUAIABmAG8AcgAgAG0AaQBsAGsAIABwAHIAbwBkAHUAYwB0AGkAbwBuACAAaQBuACAAdABoAGUAIABzAGUAYQBzAG8AbgAgAG8AZgAgAGMAYQBsAHYAaQBuAGcAIABhAG4AZAAgAHQAaABlACAAcwBlAGEAcwBvAG4AIABhAGYAdABlAHIAIABjAGEAbAB2AGkAbgBnAFwAbgBNAEEAXwBqAGsANAA1AFwAbgBmAHIAYQBjAHQAaQBvAG4AXABuAE0AQQBfAHsAagBrAD0ANAAsADUAfQA9ACgATABDAF8AewBqAGsAPQA0ACwANQB9AFwAXAB0AGkAbQBlAHMAIABGAEEAXwB7AGoAawA9ADQALAA1AH0AKQArACgAMQAtAEwAQwBfAHsAagBrAD0ANAAsADUAfQApAFwAbgBMAEMAXwBqAGsANAA1ACAAPQAgAHAAcgBvAHAAbwByAHQAaQBvAG4AIABvAGYAIABjAG8AdwBzACAAZwByAGUAYQB0AGUAcgAgAHQAaABhAG4AIAAxACAAeQBlAGEAcgAgAGkAbgAgAGMAYQBsAGYAIABpAG4AIAB0AGgAZQAgAHMAZQBhAHMAbwBuACAAbwBmACAAYwBhAGwAdgBpAG4AZwAgAGUAeABwAHIAZQBzAHMAZQBkACAAYQBzACAAYQAgAGYAcgBhAGMAdABpAG8AbgBcAG4ARgBBAF8AagBrADQANQAgAD0AIABmAGUAZQBkACAAYQBkAGoAdQBzAHQAbQBlAG4AdAAgAHYAYQBsAHUAZQAgAGYAbwByACAAbABhAGMAdABhAHQAaQBuAGcAIABjAG8AdwBzACAAaQBuACAAdABoAGUAIABzAGUAYQBzAG8AbgAgAG8AZgAgAGMAYQBsAHYAaQBuAGcAIABhAG4AZAAgAHQAaABlACAAcwBlAGEAcwBvAG4AIABpAG0AbQBlAGQAaQBhAHQAZQBsAHkAIABhAGYAdABlAHIAIABjAGEAbAB2AGkAbgBnACAAZQB4AHAAcgBlAHMAcwBlAGQAIABhAHMAIABhACAAZgByAGEAYwB0AGkAbwBuAFwAbgAtAC0ALQAtAC0ALQAtAC0ALQAtAC0ALQAtAC0ALQAtAC0ALQAtAC0ALQAtAC0ALQAtAC0ALQAtAC0ALQAtAC0ALQAtAC0ALQAtAC0AXABuACoALwBcAG4AXABuAFYARQBFAFIARwBfADMAXwAyAF8AMQBfADEAXwBfADQAXwBBAGQAZABpAHQAaQBvAG4AYQBsAEkAbgB0AGEAawBlAEYAbwByAE0AaQBsAGsAUAByAG8AZAB1AGMAdABpAG8AbgBcAG4AIAAgAD0ATABBAE0AQgBEAEEAKABcAG4AIAAgACAAIABMAEMAXwBqAGsANAA1ACwAIABGAEEAXwBqAGsANAA1ACwAXABuACAAIAAgACAAKABMAEMAXwBqAGsANAA1ACAAKgAgAEYAQQBfAGoAawA0ADUAKQAgACsAIAAoADEAIAAtACAATABDAF8AagBrADQANQApAFwAbgAgACAAKQA7AFwAbgBcAG4AXABuAFYARQBFAFIARwBfADMAXwAyAF8AMQBfADEAXwBfADQAXwBBAGQAZABpAHQAaQBvAG4AYQBsAEkAbgB0AGEAawBlAEYAbwByAE0AaQBsAGsAUAByAG8AZAB1AGMAdABpAG8AbgBWAGEAcgBpAGEAdABpAG8AbgBcAG4AIAAgAD0ATABBAE0AQgBEAEEAKABcAG4AIAAgACAAIABMAEMAXwBqAGsANAA1AGMAYQBsAHYALAAgAEwAQwBfAGoAawA0ADUAcAByAGUAdgAsACAARgBBAF8AagBrADQANQBjAGEAbAB2ACwAIABGAEEAXwBqAGsANAA1AGEAZgB0AGUAcgAsAFwAbgAgACAAIAAgACgAKABMAEMAXwBqAGsANAA1AGMAYQBsAHYAIAAqACAARgBBAF8AagBrADQANQBjAGEAbAB2ACkAIAArACAAKABMAEMAXwBqAGsANAA1AHAAcgBlAHYAIAAqACAARgBBAF8AagBrADQANQBhAGYAdABlAHIAKQApACAAKwAgACgAMQAgAC0AIAAoAEwAQwBfAGoAawA0ADUAYwBhAGwAdgAgACsAIABMAEMAXwBqAGsANAA1AHAAcgBlAHYAKQApAFwAbgAgACAAKQA7AFwAbgBcAG4AVgBFAEUAUgBHAF8AMwBfADIAXwAxAF8AMQBfAF8ANABfAEEAZABkAGkAdABpAG8AbgBhAGwASQBuAHQAYQBrAGUARgBvAHIATQBpAGwAawBQAHIAbwBkAHUAYwB0AGkAbwBuAF8AVABpAHQAbABlAFwAbgAgACAAPQBMAEEATQBCAEQAQQAoAFwAIgBBAGQAZABpAHQAaQBvAG4AYQBsACAAaQBuAHQAYQBrAGUAIABmAG8AcgAgAG0AaQBsAGsAIABwAHIAbwBkAHUAYwB0AGkAbwBuACAAaQBuACAAdABoAGUAIABzAGUAYQBzAG8AbgAgAG8AZgAgAGMAYQBsAHYAaQBuAGcAIABhAG4AZAAgAHQAaABlACAAcwBlAGEAcwBvAG4AIABhAGYAdABlAHIAIABjAGEAbAB2AGkAbgBnAFwAIgApADsAXABuAFwAbgBWAEUARQBSAEcAXwAzAF8AMgBfADEAXwAxAF8AXwA0AF8AQQBkAGQAaQB0AGkAbwBuAGEAbABJAG4AdABhAGsAZQBGAG8AcgBNAGkAbABrAFAAcgBvAGQAdQBjAHQAaQBvAG4AXwBWAGEAcgBpAGEAYgBsAGUAXABuACAAIAA9AEwAQQBNAEIARABBACgAXAAiAE0AQQBfAGoAawA0ADUAXAAiACkAOwBcAG4AXABuAFYARQBFAFIARwBfADMAXwAyAF8AMQBfADEAXwBfADQAXwBBAGQAZABpAHQAaQBvAG4AYQBsAEkAbgB0AGEAawBlAEYAbwByAE0AaQBsAGsAUAByAG8AZAB1AGMAdABpAG8AbgBfAFUAbgBpAHQAXABuACAAIAA9AEwAQQBNAEIARABBACgAXAAiAGYAcgBhAGMAdABpAG8AbgBcACIAKQA7AFwAbgBcAG4AVgBFAEUAUgBHAF8AMwBfADIAXwAxAF8AMQBfAF8ANABfAEEAZABkAGkAdABpAG8AbgBhAGwASQBuAHQAYQBrAGUARgBvAHIATQBpAGwAawBQAHIAbwBkAHUAYwB0AGkAbwBuAF8AUwBvAHUAcgBjAGUAXABuACAAIAA9AEwAQQBNAEIARABBACgAXAAiAFYARQBFAFIARwAgADIAMAAyADYAOgAgADMALgAyAC4AMQAuADEALAAgAEUAcQB1AGEAdABpAG8AbgAgACgANAApAFwAIgApADsAXABuAFwAbgBWAEUARQBSAEcAXwAzAF8AMgBfADEAXwAxAF8AXwA0AF8AQQBkAGQAaQB0AGkAbwBuAGEAbABJAG4AdABhAGsAZQBGAG8AcgBNAGkAbABrAFAAcgBvAGQAdQBjAHQAaQBvAG4AXwBOAEkAUgBSAGUAZgBlAHIAZQBuAGMAZQBcAG4AIAAgAD0ATABBAE0AQgBEAEEAKABcACIAXAAiACkAOwBcAG4AXABuAFYARQBFAFIARwBfADMAXwAyAF8AMQBfADEAXwBfADQAXwBBAGQAZABpAHQAaQBvAG4AYQBsAEkAbgB0AGEAawBlAEYAbwByAE0AaQBsAGsAUAByAG8AZAB1AGMAdABpAG8AbgBfAEwAYQB0AGUAeABFAHEAdQBhAHQAaQBvAG4AXABuACAAIAA9AEwAQQBNAEIARABBACgAXAAiAE0AQQBfAHsAagBrAD0ANAAsADUAfQA9ACgATABDAF8AewBqAGsAPQA0ACwANQB9AFwAXAB0AGkAbQBlAHMAIABGAEEAXwB7AGoAawA9ADQALAA1AH0AKQArACgAMQAtAEwAQwBfAHsAagBrAD0ANAAsADUAfQApAFwAIgApADsAXABuAFwAbgBWAEUARQBSAEcAXwAzAF8AMgBfADEAXwAxAF8AXwA0AF8AQQBkAGQAaQB0AGkAbwBuAGEAbABJAG4AdABhAGsAZQBGAG8AcgBNAGkAbABrAFAAcgBvAGQAdQBjAHQAaQBvAG4AXwBMAGEAdABlAHgARQBxAHUAYQB0AGkAbwBuAFYAYQByAGkAYQB0AGkAbwBuAFwAbgAgACAAPQBMAEEATQBCAEQAQQAoAFwAIgBNAEEAXwB7AGoAawA9ADQALAA1AH0APQAoACgATABDAF8AewBqAGsAPQA0ACwANQAsAGMAYQBsAHYAfQBcAFwAdABpAG0AZQBzACAARgBBAF8AewBqAGsAPQA0ACwANQAsAGMAYQBsAHYAfQApACsAKABMAEMAXwB7AGoAawA9ADQALAA1ACwAcAByAGUAdgB9AFwAXAB0AGkAbQBlAHMAIABGAEEAXwB7AGoAawA9ADQALAA1ACwAYQBmAHQAZQByAH0AKQApACsAKAAxAC0AKABMAEMAXwB7AGoAawA9ADQALAA1ACwAYwBhAGwAdgB9ACsATABDAF8AewBqAGsAPQA0ACwANQAsAHAAcgBlAHYAfQApACkAXAAiACkAOwBcAG4AXABuAFYARQBFAFIARwBfADMAXwAyAF8AMQBfADEAXwBfADQAXwBBAGQAZABpAHQAaQBvAG4AYQBsAEkAbgB0AGEAawBlAEYAbwByAE0AaQBsAGsAUAByAG8AZAB1AGMAdABpAG8AbgBfAEEAcgBnAHUAbQBlAG4AdABzAFwAbgAgACAAPQBMAEEATQBCAEQAQQAoAFwAbgAgACAAIAAgAE0AQQBLAEUAQQBSAFIAQQBZACgAMw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FwAIgAsACAAXAAi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AiACwAIABcACIAZgByAGEAYwB0AGkAbwBuAFwAIgAsACAAXAAiAEMAbwBuAHMAdABhAG4AdABcACIAOwBcAG4AIAAgACAAIAAgACAAIAAgACAAIABcACIAYgBcACIALAAgAFwAIgBiAHIAZQBlAGQAIABvAGYAIABjAGEAdAB0AGwAZQBcACIALAAgAFwAIgBcACIALAAgAFwAIgBJAG4AcAB1AHQAXAAiAFwAbgAgACAAIAAgACAAIAAgACAAfQAsACAAcgAsACAAYwApAFwAbgAgACAAIAAgACAAIAApAFwAbgAgACAAIAAgACkAXABuACAAIAApADsAXABuAFwAbgBWAEUARQBSAEcAXwAzAF8AMgBfADEAXwAxAF8AXwA0AF8AQQBkAGQAaQB0AGkAbwBuAGEAbABJAG4AdABhAGsAZQBGAG8AcgBNAGkAbABrAFAAcgBvAGQAdQBjAHQAaQBvAG4AXwBBAHIAZwB1AG0AZQBuAHQAcwBWAGEAcgBpAGEAdABpAG8AbgBcAG4AIAAgAD0ATABBAE0AQgBEAEEAKABcAG4AIAAgACAAIABNAEEASwBFAEEAUgBSAEEAWQAoADQALAAgADQALABcAG4AIAAgACAAIAAgACAATABBAE0AQgBEAEEAKAByACwAYwAsAFwAbgAgACAAIAAgACAAIAAgACAASQBOAEQARQBYACgAewBcAG4AIAAgACAAIAAgACAAIAAgACAAIABcACIATABDAF8AagBrADQANQBcACIALAAgAFwAIgBwAHIAbwBwAG8AcgB0AGkAbwBuACAAbwBmACAAYwBvAHcAcwAgAGcAcgBlAGEAdABlAHIAIAB0AGgAYQBuACAAMQAgAHkAZQBhAHIAIABpAG4AIABjAGEAbABmACAAaQBuACAAdABoAGUAIABzAGUAYQBzAG8AbgAgAG8AZgAgAGMAYQBsAHYAaQBuAGcAIABlAHgAcAByAGUAcwBzAGUAZAAgAGEAcwAgAGEAIABmAHIAYQBjAHQAaQBvAG4AXAAiACwAIABcACIAZgByAGEAYwB0AGkAbwBuAFwAIgAsACAAXAAiAEkAbgBwAHUAdABcACIAOwBcAG4AIAAgACAAIAAgACAAIAAgACAAIABcACIARgBBAF8AagBrADQANQBjAGEAbAB2AFwAIgAsACAAXAAiAGYAZQBlAGQAIABhAGQAagB1AHMAdABtAGUAbgB0ACAAdgBhAGwAdQBlACAAZgBvAHIAIABsAGEAYwB0AGEAdABpAG4AZwAgAGMAbwB3AHMAIABpAG4AIAB0AGgAZQAgAHMAZQBhAHMAbwBuACAAbwBmACAAYwBhAGwAdgBpAG4AZwAgAGUAeABwAHIAZQBzAHMAZQBkACAAYQBzACAAYQAgAGYAcgBhAGMAdABpAG8AbgBcACIALAAgAFwAIgBmAHIAYQBjAHQAaQBvAG4AXAAiACwAIABcACIAQwBvAG4AcwB0AGEAbgB0AFwAIgA7AFwAbgAgACAAIAAgACAAIAAgACAAIAAgAFwAIgBGAEEAXwBqAGsANAA1AGEAZgB0AGUAcgBcACIALAAgAFwAIgBmAGUAZQBkACAAYQBkAGoAdQBzAHQAbQBlAG4AdAAgAHYAYQBsAHUAZQAgAGYAbwByACAAbABhAGMAdABhAHQAaQBuAGcAIABjAG8AdwBzACAAaQBuACAAdABoAGUAIABzAGUAYQBzAG8AbgAgAGkAbQBtAGUAZABpAGEAdABlAGwAeQAgAGEAZgB0AGUAcgAgAGMAYQBsAHYAaQBuAGcAIABlAHgAcAByAGUAcwBzAGUAZAAgAGEAcwAgAGEAIABmAHIAYQBjAHQAaQBvAG4AXAAiACwAIABcACIAZgByAGEAYwB0AGkAbwBuAFwAIgAsACAAXAAiAEMAbwBuAHMAdABhAG4AdABcACIAOwBcAG4AIAAgACAAIAAgACAAIAAgACAAIABcACIAYgBcACIALAAgAFwAIgBiAHIAZQBlAGQAIABvAGYAIABjAGEAdAB0AGwAZQBcACIALAAgAFwAIgBcACIALAAgAFwAIgBJAG4AcAB1AHQAXAAiAFwAbgAgACAAIAAgACAAIAAgACAAfQAsACAAcgAsACAAYwApAFwAbgAgACAAIAAgACAAIAApAFwAbgAgACAAIAAgACkAXABuACAAIAApADsAXABuAFwAbgBWAEUARQBSAEcAXwAzAF8AMgBfADEAXwAxAF8AXwA0AF8AQQBkAGQAaQB0AGkAbwBuAGEAbABJAG4AdABhAGsAZQBGAG8AcgBNAGkAbABrAFAAcgBvAGQAdQBjAHQAaQBvAG4AXwBWAGEAcgBpAGEAdABpAG8AbgBcAG4APQBMAEEATQBCAEQAQQAoAFwAIgBWAEEAUgBJAEEAVABJAE8ATgAgAE8ATgAgAFMATwBVAFIAQwBFADoAIABFAHgAcABhAG4AZABlAGQAIABlAHEAdQBhAHQAaQBvAG4AIAB0AG8AIABhAGMAYwBvAHUAbgB0ACAAZgBvAHIAIABzAGUAYQBzAG8AbgAgAGEAZgB0AGUAcgAgAGMAYQBsAHYAaQBuAGcALAAgAHIAYQB0AGgAZQByACAAdABoAGEAbgAgAGQAbwBpAG4AZwAgAHQAaABlACAAcwBhAG0AZQAgAGUAcQB1AGEAdABpAG8AbgAgAHQAdwBpAGMAZQAgAGYAbwByACAAYgBvAHQAaAAgAHMAZQBhAHMAbwBuAHMAXAAiACkAXABuACIAfQAsAHsAIgBwAGEAdABoACIAOgAiAC8AcAByAG8AagBlAGMAdABzAC8ASQBuAHAAdQB0AEYAdQBuAGMAdABpAG8AbgBzAF8AUABhAHMAdAB1AHIAZQBCAGUAZQBmACIALAAiAHQAZQB4AHQAIgA6ACIATABvAG8AawB1AHAATABpAHYAZQB3AGUAaQBnAGgAdABGAHIAbwBtAFMAZQBhAHMAbwBuAFwAbgA9AEwAQQBNAEIARABBACgAXABuACAAIAAgACAAUwB0AGEAdABlACwAIABSAGUAZwBpAG8AbgAsACAAUwBlAGEAcwBvAG4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ABlAH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wAbwBvAGsAdQBwAEwAaQB2AGUAdwBlAGkAZwBoAHQARgByAG8AbQBNAG8AbgB0AGgAXABuAD0ATABBAE0AQgBEAEEAKABcAG4AIAAgACAAIABTAHQAYQB0AGUALAAgAFIAZQBnAGkAbwBuACwAIABNAG8AbgB0AGg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QBvAG4AdABoAEEAcgByAGEAeQAsACAATQBvAG4AdABoAFQAbwBTAGUAYQBzAG8AbgBBAHIAcgBhAHkALABcAG4AIAAgACAAIABMAGUAdAAoAFwAbgAgACAAIAAgACAAIAAgACAATQBvAG4AdABoACwAIABUAEUAWABUACgATQBvAG4AdABoACwAIABcACIAbQBtAG0AbQBcACIAKQAsAFwAbgAgACAAIAAgACAAIAAgACAAUwB0AGEAdABlACwAIABYAEwATwBPAEsAVQBQACgAUwB0AGEAdABlACwAIABTAHQAYQB0AGUAQwBvAG0AbQBvAG4ATgBhAG0AZQBBAHIAcgBhAHkALAAgAFMAdABhAHQAZQBBAGIAYgByAGUAdgBpAGEAdABpAG8AbgBBAHIAcgBhAHkAKQAsAFwAbgAgACAAIAAgACAAIAAgACAAUwBlAGEAcwBvAG4ALAAgAFgATABPAE8ASwBVAFAAKABNAG8AbgB0AGgALAAgAE0AbwBuAHQAaABBAHIAcgBhAHkALAAgAE0AbwBuAHQAaABUAG8AUwBlAGEAcw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MAbwBuAHYAZQByAHQATQBvAG4AdABoAGwAeQBDAGEAbAB2AGkAbgBnAFQAbwBTAGUAYQBzAG8AbgBcAG4AXABuAD0AIABMAEEATQBCAEQAQQAoAFwAbgAgACAAIAAgAFMAZQBhAHMAbwBuACwAIABTAHUAbQBBAHIAcgBhAHkALAAgAEMAYQBsAHYAaQBuAGcATQBvAG4AdABoAEEAcgByAGEAeQAsACAATQBvAG4AdABoAEEAcgByAGEAeQAsACAATQBvAG4AdABoAFQAbwBTAGUAYQBzAG8AbgBBAHIAcgBhAHkALABcAG4AIAAgACAAIABMAEUAVAAoAFwAbgAgACAAIAAgACAAIAAgACAATQBvAG4AdABoAFQAZQB4AHQALAAgAFQARQBYAFQAKABDAGEAbAB2AGkAbgBnAE0AbwBuAHQAaABBAHIAcgBhAHkALAAgAFwAIgBtAG0AbQBtAFwAIgApACwAXABuACAAIAAgACAAIAAgACAAIABTAGUAYQBzAG8AbgBQAGUAcgBSAG8AdwAsACAAWABMAE8ATwBLAFUAUAAoAE0AbwBuAHQAaABUAGUAeAB0ACwAIABNAG8AbgB0AGgAQQByAHIAYQB5ACwAIABNAG8AbgB0AGgAVABvAFMAZQBhAHMAbwBuAEEAcgByAGEAeQAsACAAXAAiAFwAIgAsACAAMAApACwAXABuACAAIAAgACAAIAAgACAAIABTAFUATQAoAFMAdQBtAEEAcgByAGEAeQAgACoAIAAoAFMAZQBhAHMAbwBuAFAAZQByAFIAbwB3AD0AUwBlAGEAcwBvAG4AKQApAFwAbgAgACAAIAAgACkAXABuACkAOwBcAG4AXABuAEwAbwBvAGsAdQBwAFYAYQBsAHUAZQBGAHIAbwBtAFMAdABhAHQAZQBSAGUAZwBpAG8AbgBTAGUAYQBzAG8AbgBcAG4APQBMAEEATQBCAEQAQQAoAFwAbgAgACAAIAAgAFMAdABhAHQAZQAsACAAUgBlAGcAaQBvAG4ALAAgAFMAZQBhAHMAbwBuACwAXABuACAAIAAgACAAUwB0AGEAdABlAEEAcgByAGEAeQAsACAAUgBlAGcAaQBvAG4AQQByAHIAYQB5ACwAIABTAGUAYQBzAG8AbgBBAHIAcgBhAHkALABcAG4AIAAgACAAIABSAGUAdAB1AHIAbgBBAHIAcgBhAHkALABcAG4AIAAgACAAIABTAHQAYQB0AGUAQwBvAG0AbQBvAG4ATgBhAG0AZQBBAHIAcgBhAHkALAAgAFMAdABhAHQAZQBBAGIAYgByAGUAdgBpAGEAdABp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FwAbgBcAG4ATABvAG8AawB1AHAAVgBhAGwAdQBlAEYAcgBvAG0AUwB0AGEAdABlAFIAZQBnAGkAbwBuAE0AbwBuAHQAaABcAG4APQBMAEEATQBCAEQAQQAoAFwAbgAgACAAIAAgAFMAdABhAHQAZQAsACAAUgBlAGcAaQBvAG4ALAAgAE0AbwBuAHQAaA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IABNAG8AbgB0AGgAQQByAHIAYQB5ACwAIABNAG8AbgB0AGgAVABvAFMAZQBhAHMAbwBuAEEAcgByAGEAeQAsAFwAbgAgACAAIAAgAEwARQBUACgAXABuACAAIAAgACAAIAAgACAAIABTAHQAYQB0AGUALAAgAFgATABPAE8ASwBVAFAAKABTAHQAYQB0AGUALAAgAFMAdABhAHQAZQBDAG8AbQBtAG8AbgBOAGEAbQBlAEEAcgByAGEAeQAsACAAUwB0AGEAdABlAEEAYgBiAHIAZQB2AGkAYQB0AGkAbwBuAEEAcgByAGEAeQApACwAXABuACAAIAAgACAAIAAgACAAIABTAGUAYQBzAG8AbgAsACAAWABMAE8ATwBLAFUAUAAoAFQARQBYAFQAKABNAG8AbgB0AGgALAAgAFwAIgBtAG0AbQBtAFwAIgApACwAIABNAG8AbgB0AGgAQQByAHIAYQB5ACwAIABNAG8AbgB0AGgAVABvAFMAZQBhAHMAbwBuAEEAcgByAGEAeQApACwAXABuACAAIAAgACAAIAAgACAAIABYAEwATwBPAEsAVQBQACgAXABuACAAIAAgACAAIAAgACAAIAAgACAAIAAgADEALAAgACgAUwB0AGEAdABlAEEAcgByAGEAeQA9AFMAdABhAHQAZQApACoAXABuACAAIAAgACAAIAAgACAAIAAgACAAIAAgACgAUgBlAGcAaQBvAG4AQQByAHIAYQB5AD0AUgBlAGcAaQBvAG4AKQAsAFwAbgAgACAAIAAgACAAIAAgACAAIAAgACAAIABYAEwATwBPAEsAVQBQACgAXABuACAAIAAgACAAIAAgACAAIAAgACAAIAAgACAAIAAgACAAUwBlAGEAcwBvAG4ALAAgAFMAZQBhAHMAbwBuAEEAcgByAGEAeQAsACAAUgBlAHQAdQByAG4AQQByAHIAYQB5AFwAbgAgACAAIAAgACAAIAAgACAAIAAgACAAIAApAFwAbgAgACAAIAAgACAAIAAgACAAKQBcAG4AIAAgACAAIAApAFwAbgApADsAIgB9ACwAewAiAHAAYQB0AGgAIgA6ACIALwBwAHIAbwBqAGUAYwB0AHMALwBNAE0AUwBfAFAAYQBzAHQAdQByAGUAQgBlAGUAZg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MAIABNAGUAdABoAG8AZAAgADEAIAAtACAAUwBvAGkAbAAgAEQAaQByAGUAYwB0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MAXwBfADEAXwBEAGkAcgBlAGMAdABOAGkAdAByAG8AdQBzAE8AeABpAGQAZQBFAG0AaQBzAHMAaQBvAG4AcwBPAG4AUABhAHMAdAB1AHIAZQBcAG4AVABvAHQAYQBsACAAYQBuAG4AdQBhAGwAIABkAGkAcgBlAGMAdAAgAG4AaQB0AHIAbwB1AHMAIABvAHgAaQBkAGUAIABlAG0AaQBzAHMAaQBvAG4AcwAgAGYAcgBvAG0AIABhAGcAcgBpAGMAdQBsAHQAdQByAGEAbAAgAHMAbwBpAGwAcwAgAGYAcgBvAG0AIABkAGUAcABvAHMAaQB0AGkAbwBuACAAbwBmACAAdQByAGkAbgBlACAAYQBuAGQAIABkAHUAbgBnAFwAbgBFAF8ATgAyAE8AZABpAHIAXABuAHQAIABOADIATwBcAG4ARQBfAHsATgAyAE8ALABkAGkAcgB9AD0AQQBFAFwAXAB0AGkAbQBlAHMAIABFAEYAXwB7AFAAUgBQAH0AXABcAHQAaQBtAGUAcwAgAEMAXwB7AE4AMgBPAH0AXABcAHQAaQBtAGUAcwAgADEAMABeAHsALQAzAH0AXABuAEEARQAgAD0AIAB0AG8AdABhAGwAIABtAGEAcwBzACAAbwBmACAAbgBpAHQAcgBvAGcAZQBuACAAZQB4AGMAcgBlAHQAZQBkACAAbwBuACAAUABSAFAAIABmAG8AcgAgAGIAZQBlAGYAIABjAGEAdAB0AGwAZQAgACgAawBnACAATgApAFwAbgBFAEYAXwBQAFIAUAAgAD0AIABlAG0AaQBzAHMAaQBvAG4AIABmAGEAYwB0AG8AcgAgAGYAbwByACAAbgBpAHQAcgBvAHUAcwAgAG8AeABpAGQAZQAgAGYAcgBvAG0AIAB1AHIAaQBuAGUAIABhAG4AZAAgAGQAdQBuAGcAIABkAGUAcABvAHMAaQB0AGUAZAAgAHQAbwAgAHMAbwBpAGwAIAAoAGsAZwAgAE4AMgBPAC0ATgAvAGsAZwAgAE4AIABkAGUAcABvAHMAaQB0AGUAZAApAFwAbgBDAF8ATgAyAE8AIAA9ACAAZgBhAGMAdABvAHIAIAB0AG8AIABjAG8AbgB2AGUAcgB0ACAAZQBsAGUAbQBlAG4AdABhAGwAIABtAGEAcwBzACAAbwBmACAAbgBpAHQAcgBvAHUAcwAgAG8AeABpAGQAZQAgAHQAbwAgAG0AbwBsAGUAYwB1AGwAYQByACAAbQBhAHMAcwBcAG4ALQAtAC0ALQAtAC0ALQAtAC0ALQAtAC0ALQAtAC0ALQAtAC0ALQAtAC0ALQAtAC0ALQAtAC0ALQAtAC0ALQAtAC0ALQAtAC0ALQAtAFwAbgAqAC8AXABuAFwAbgBWAEUARQBSAEcAXwA0AF8AMgBfADEAXwAzAF8AXwAxAF8ARABpAHIAZQBjAHQATgBpAHQAcgBvAHUAcwBPAHgAaQBkAGUARQBtAGkAcwBzAGkAbwBuAHMATwBuAFAAYQBzAHQAdQByAGUAXABuACAAIAA9AEwAQQBNAEIARABBACgAXABuACAAIAAgACAAQQBFACwAIABFAEYAXwBQAFIAUAAsACAAQwBfAE4AMgBPACwAXABuACAAIAAgACAAQQBFACAAKgAgAEUARgBfAFAAUgBQACAAKgAgAEMAXwBOADIATwAgACoAIAAxADAAIABeACAALQAzAFwAbgAgACAAKQA7AFwAbgBcAG4AVgBFAEUAUgBHAF8ANABfADIAXwAxAF8AMwBfAF8AMQBfAEQAaQByAGUAYwB0AE4AaQB0AHIAbwB1AHMATwB4AGkAZABlAEUAbQBpAHMAcwBpAG8AbgBzAE8AbgBQAGEAcwB0AHUAcgBlAF8AVABpAHQAbABlAFwAbgAgACAAPQBMAEEATQBCAEQAQQAoAFwAIgBUAG8AdABhAGwAIABhAG4AbgB1AGEAbAAgAGQAaQByAGUAYwB0ACAAbgBpAHQAcgBvAHUAcwAgAG8AeABpAGQAZQAgAGUAbQBpAHMAcwBpAG8AbgBzACAAZgByAG8AbQAgAGEAZwByAGkAYwB1AGwAdAB1AHIAYQBsACAAcwBvAGkAbABzACAAZgByAG8AbQAgAGQAZQBwAG8AcwBpAHQAaQBvAG4AIABvAGYAIAB1AHIAaQBuAGUAIABhAG4AZAAgAGQAdQBuAGcAXAAiACkAOwBcAG4AXABuAFYARQBFAFIARwBfADQAXwAyAF8AMQBfADMAXwBfADEAXwBEAGkAcgBlAGMAdABOAGkAdAByAG8AdQBzAE8AeABpAGQAZQBFAG0AaQBzAHMAaQBvAG4AcwBPAG4AUABhAHMAdAB1AHIAZQBfAFYAYQByAGkAYQBiAGwAZQBcAG4AIAAgAD0ATABBAE0AQgBEAEEAKABcACIARQBfAE4AMgBPAGQAaQByAFwAIgApADsAXABuAFwAbgBWAEUARQBSAEcAXwA0AF8AMgBfADEAXwAzAF8AXwAxAF8ARABpAHIAZQBjAHQATgBpAHQAcgBvAHUAcwBPAHgAaQBkAGUARQBtAGkAcwBzAGkAbwBuAHMATwBuAFAAYQBzAHQAdQByAGUAXwBVAG4AaQB0AFwAbgAgACAAPQBMAEEATQBCAEQAQQAoAFwAIgB0ACAATgAyAE8AXAAiACkAOwBcAG4AXABuAFYARQBFAFIARwBfADQAXwAyAF8AMQBfADMAXwBfADEAXwBEAGkAcgBlAGMAdABOAGkAdAByAG8AdQBzAE8AeABpAGQAZQBFAG0AaQBzAHMAaQBvAG4AcwBPAG4AUABhAHMAdAB1AHIAZQBfAFMAbwB1AHIAYwBlAFwAbgAgACAAPQBMAEEATQBCAEQAQQAoAFwAIgBWAEUARQBSAEcAIAAyADAAMgA2ADoAIAA0AC4AMgAuADEALgAzACwAIABFAHEAdQBhAHQAaQBvAG4AIAAoADEAKQBcACIAKQA7AFwAbgBcAG4AVgBFAEUAUgBHAF8ANABfADIAXwAxAF8AMwBfAF8AMQBfAEQAaQByAGUAYwB0AE4AaQB0AHIAbwB1AHMATwB4AGkAZABlAEUAbQBpAHMAcwBpAG8AbgBzAE8AbgBQAGEAcwB0AHUAcgBlAF8ATgBJAFIAUgBlAGYAZQByAGUAbgBjAGUAXABuACAAIAA9AEwAQQBNAEIARABBACgAXAAiAFwAIgApADsAXABuAFwAbgBWAEUARQBSAEcAXwA0AF8AMgBfADEAXwAzAF8AXwAxAF8ARABpAHIAZQBjAHQATgBpAHQAcgBvAHUAcwBPAHgAaQBkAGUARQBtAGkAcwBzAGkAbwBuAHMATwBuAFAAYQBzAHQAdQByAGUAXwBMAGEAdABlAHgARQBxAHUAYQB0AGkAbwBuAFwAbgAgACAAPQBMAEEATQBCAEQAQQAoAFwAIgBFAF8AewBOADIATwAsAGQAaQByAH0APQBBAEUAXABcAHQAaQBtAGUAcwAgAEUARgBfAHsAUABSAFAAfQBcAFwAdABpAG0AZQBzACAAQwBfAHsATgAyAE8AfQBcAFwAdABpAG0AZQBzACAAMQAwAF4AewAtADMAfQBcACIAKQA7AFwAbgBcAG4AVgBFAEUAUgBHAF8ANABfADIAXwAxAF8AMwBfAF8AMQBfAEQAaQByAGUAYwB0AE4AaQB0AHIAbwB1AHMATwB4AGkAZABlAEUAbQBpAHMAcwBpAG8AbgBzAE8AbgBQAGEAcwB0AHUAcgBlAF8AQQByAGcAdQBtAGUAbgB0AHMAXABuACAAIAA9AEwAQQBNAEIARABBACgAXABuACAAIAAgACAATQBBAEsARQBBAFIAUgBBAFkAKAA0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FAEYAXwBQAFIAUABcACIALAAgAFwAIgBlAG0AaQBzAHMAaQBvAG4AIABmAGEAYwB0AG8AcgAgAGYAbwByACAAbgBpAHQAcgBvAHUAcwAgAG8AeABpAGQAZQAgAGYAcgBvAG0AIAB1AHIAaQBuAGUAIABhAG4AZAAgAGQAdQBuAGcAIABkAGUAcABvAHMAaQB0AGUAZAAgAHQAbwAgAHMAbwBpAGwAXAAiACwAIABcACIAawBnACAATgAyAE8ALQBOAC8AawBnACAATgAgAGQAZQBwAG8AcwBpAHQAZQBkAFwAIgAsACAAXAAiAEMAbwBuAHMAdABhAG4AdABcACIAOwBcAG4AIAAgACAAIAAgACAAIAAgACAAIABcACIAQwBfAE4AMgBPAFwAIgAsACA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6AFwAIgAsACAAXAAiAHcAZQB0ACAAbwByACAAZAByAHkAIABjAGwAaQBtAGEAdABl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MgBfAFQAbwB0AGEAbABOAGkAdAByAG8AZwBlAG4ARQB4AGMAcgBlAHQAZQBkAFQAbwBQAGEAcwB0AHUAcgBlAFIAYQBuAGcAZQBBAG4AZABQAGEAZABkAG8AYwBrAFwAbgBUAG8AdABhAGwAIABuAGkAdAByAG8AZwBlAG4AIABlAHgAYwByAGUAdABlAGQAIAB0AG8AIABwAGEAcwB0AHUAcgBlACwAIAByAGEAbgBnAGUAIABhAG4AZAAgAHAAYQBkAGQAbwBjAGsAXABuAEEARQBcAG4AawBnACAATgBcAG4AQQBFAD0AXABcAHMAdQBtAF8AewBqAH0AXABcAHMAdQBtAF8AewBrAH0AXABcAHMAdQBtAF8AewBsAH0AKABOAF8AewBqAGsAbAB9AFwAXAB0AGkAbQBlAHMAIABOAEUAXwB7AGoAawBsAH0AXABcAHQAaQBtAGUAcwAgAEQAXwBqACkAXABuAE4AXwBqAGsAbAAgAD0AIABuAHUAbQBiAGUAcgAgAG8AZgAgAGIAZQBlAGYAIABjAGEAdAB0AGwAZQAgAGIAeQAgAHQAaQBtAGUALQBwAGUAcgBpAG8AZAAsACAAYwBsAGEAcwBzACAAYQBuAGQAIABzAHUAYgBjAGwAYQBzAHMAIAAoAGgAZQBhAGQAKQBcAG4ATgBFAF8AagBrAGwAIAA9ACAAbgBpAHQAcgBvAGcAZQBuACAAZQB4AGMAcgBlAHQAZQBkACAAaQBuACAAZQBhAGMAaAAgAHQAaQBtAGUALQBwAGUAcgBpAG8AZAAsACAAYgB5ACAAZQBhAGMAaAAgAGMAbABhAHMAcwAgAGEAbgBkACAAcwB1AGIAYwBsAGEAcwBzACAAKABrAGcAIABOAC8AaABlAGEAZAAvAGQAYQB5ACkAXABuAEQAXwBqACAAPQAgAG4AdQBtAGIAZQByACAAbwBmACAAZABhAHkAcwAgAGkAbgAgAGUAYQBjAGgAIAB0AGkAbQBlAC0AcABlAHIAaQBvAGQAIAAoAGQAYQB5AHMAKQBcAG4ALQAtAC0ALQAtAC0ALQAtAC0ALQAtAC0ALQAtAC0ALQAtAC0ALQAtAC0ALQAtAC0ALQAtAC0ALQAtAC0ALQAtAC0ALQAtAC0ALQAtAFwAbgAqAC8AXABuAFwAbgBWAEUARQBSAEcAXwA0AF8AMgBfADEAXwAzAF8AXwAyAF8AVABvAHQAYQBsAE4AaQB0AHIAbwBnAGUAbgBFAHgAYwByAGUAdABlAGQAVABvAFAAYQBzAHQAdQByAGUAUgBhAG4AZwBlAEEAbgBkAFAAYQBkAGQAbwBjAGsAXABuACAAIAA9AEwAQQBNAEIARABBACgAXABuACAAIAAgACAATgBfAGoAawBsACwAIABOAEUAXwBqAGsAbAAsACAARABfAGoALABcAG4AIAAgACAAIABTAFUATQAoACgATgBfAGoAawBsACAAKgAgAE4ARQBfAGoAawBsACkAIAAqACAARABfAGoAKQBcAG4AIAAgACkAOwBcAG4AXABuAFYARQBFAFIARwBfADQAXwAyAF8AMQBfADMAXwBfADIAXwBUAG8AdABhAGwATgBpAHQAcgBvAGcAZQBuAEUAeABjAHIAZQB0AGUAZABUAG8AUABhAHMAdAB1AHIAZQBSAGEAbgBnAGUAQQBuAGQAUABhAGQAZABvAGMAawBfAFQAaQB0AGwAZQBcAG4AIAAgAD0ATABBAE0AQgBEAEEAKABcACIAVABvAHQAYQBsACAAbgBpAHQAcgBvAGcAZQBuACAAZQB4AGMAcgBlAHQAZQBkACAAdABvACAAcABhAHMAdAB1AHIAZQAsACAAcgBhAG4AZwBlACAAYQBuAGQAIABwAGEAZABkAG8AYwBrAFwAIgApADsAXABuAFwAbgBWAEUARQBSAEcAXwA0AF8AMgBfADEAXwAzAF8AXwAyAF8AVABvAHQAYQBsAE4AaQB0AHIAbwBnAGUAbgBFAHgAYwByAGUAdABlAGQAVABvAFAAYQBzAHQAdQByAGUAUgBhAG4AZwBlAEEAbgBkAFAAYQBkAGQAbwBjAGsAXwBWAGEAcgBpAGEAYgBsAGUAXABuACAAIAA9AEwAQQBNAEIARABBACgAXAAiAEEARQBcACIAKQA7AFwAbgBcAG4AVgBFAEUAUgBHAF8ANABfADIAXwAxAF8AMwBfAF8AMgBfAFQAbwB0AGEAbABOAGkAdAByAG8AZwBlAG4ARQB4AGMAcgBlAHQAZQBkAFQAbwBQAGEAcwB0AHUAcgBlAFIAYQBuAGcAZQBBAG4AZABQAGEAZABkAG8AYwBrAF8AVQBuAGkAdABcAG4AIAAgAD0ATABBAE0AQgBEAEEAKABcACIAawBnACAATgBcACIAKQA7AFwAbgBcAG4AVgBFAEUAUgBHAF8ANABfADIAXwAxAF8AMwBfAF8AMgBfAFQAbwB0AGEAbABOAGkAdAByAG8AZwBlAG4ARQB4AGMAcgBlAHQAZQBkAFQAbwBQAGEAcwB0AHUAcgBlAFIAYQBuAGcAZQBBAG4AZABQAGEAZABkAG8AYwBrAF8AUwBvAHUAcgBjAGUAXABuACAAIAA9AEwAQQBNAEIARABBACgAXAAiAFYARQBFAFIARwAgADIAMAAyADYAOgAgADQALgAyAC4AMQAuADMALAAgAEUAcQB1AGEAdABpAG8AbgAgACgAMgApAFwAIgApADsAXABuAFwAbgBWAEUARQBSAEcAXwA0AF8AMgBfADEAXwAzAF8AXwAyAF8AVABvAHQAYQBsAE4AaQB0AHIAbwBnAGUAbgBFAHgAYwByAGUAdABlAGQAVABvAFAAYQBzAHQAdQByAGUAUgBhAG4AZwBlAEEAbgBkAFAAYQBkAGQAbwBjAGsAXwBOAEkAUgBSAGUAZgBlAHIAZQBuAGMAZQBcAG4AIAAgAD0ATABBAE0AQgBEAEEAKABcACIAXAAiACkAOwBcAG4AXABuAFYARQBFAFIARwBfADQAXwAyAF8AMQBfADMAXwBfADIAXwBUAG8AdABhAGwATgBpAHQAcgBvAGcAZQBuAEUAeABjAHIAZQB0AGUAZABUAG8AUABhAHMAdAB1AHIAZQBSAGEAbgBnAGUAQQBuAGQAUABhAGQAZABvAGMAawBfAEwAYQB0AGUAeABFAHEAdQBhAHQAaQBvAG4AXABuACAAIAA9AEwAQQBNAEIARABBACgAXAAiAEEARQA9AFwAXABzAHUAbQBfAHsAagB9AFwAXABzAHUAbQBfAHsAawB9AFwAXABzAHUAbQBfAHsAbAB9ACgATgBfAHsAagBrAGwAfQBcAFwAdABpAG0AZQBzACAATgBFAF8AewBqAGsAbAB9AFwAXAB0AGkAbQBlAHMAIABEAF8AagApAFwAIgApADsAXABuAFwAbgBWAEUARQBSAEcAXwA0AF8AMgBfADEAXwAzAF8AXwAyAF8AVABvAHQAYQBsAE4AaQB0AHIAbwBnAGUAbgBFAHgAYwByAGUAdABlAGQAVABvAFAAYQBzAHQAdQByAGUAUgBhAG4AZwBlAEEAbgBkAFAAYQBkAGQAbwBjAGs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YgB5ACAAdABpAG0AZQAtAHAAZQByAGkAbwBkACwAIABjAGwAYQBzAHMAIABhAG4AZAAgAHMAdQBiAGMAbABhAHMAcwBcACIALAAgAFwAIgBoAGUAYQBkAFwAIgAsACAAXAAiAEkAbgBwAHUAdABcACIAOwBcAG4AIAAgACAAIAAgACAAIAAgACAAIABcACIATgBFAF8AagBrAGwAXAAiACwAIABcACIAbgBpAHQAcgBvAGcAZQBuACAAZQB4AGMAcgBlAHQAZQBkACAAaQBuACAAZQBhAGMAaAAgAHQAaQBtAGUALQBwAGUAcgBpAG8AZAAsACAAYgB5ACAAZQBhAGMAaAAgAGMAbABhAHMAcwAgAGEAbgBkACAAcwB1AGIAYwBsAGEAcwBzAFwAIgAsACAAXAAiAGsAZwAgAE4ALwBoAGUAYQBkAC8AZABhAHkAXAAiACwAIABcACIAQwBhAGwAYwB1AGwAYQB0AGUAZAAgAGYAcgBvAG0AIAA0AC4AMgAuADEALgAzACAAKAAzACkAXAAiADsAXABuACAAIAAgACAAIAAgACAAIAAgACAAXAAiAEQAXwBqAFwAIgAsACAAXAAiAG4AdQBtAGIAZQByACAAbwBmACAAZABhAHkAcwAgAGkAbgAgAGUAYQBjAGgAIAB0AGkAbQBlAC0AcABlAHIAaQBvAGQAIAAoAGQAYQB5AHMAKQ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LAAgAFwAIgBrAGcAIABEAE0ALwBoAGUAYQBkAC8AZABhAHkAXAAiACwAIABcACIAQwBhAGwAYwB1AGwAYQB0AGUAZAAgAGYAcgBvAG0AIAAzAC4AMgAuADEALgAxACAAKAAzACkAXAAiADsAXABuACAAIAAgACAAIAAgACAAIAAgACAAXAAiAEMAUABfAGoAXAAiACwAIABcACIAYwByAHUAZABlACAAcAByAG8AdABlAGkAbgAgAGMAbwBuAHQAZQBuAHQAIABvAGYAIABkAHIAeQAgAG0AYQB0AHQAZQByACAAaQBuAHQAYQBrAGUAXAAiACwAIABcACIAZgByAGEAYwB0AGkAbwBuAFwAIgAsACAAXAAiAEkAbgBwAHUAdABcACIAOwBcAG4AIAAgACAAIAAgACAAIAAgACAAIABcACIATQBDAF8AagBrADEAMwA2AFwAIgAsACAAXAAiAG0AaQBsAGsAIABpAG4AdABhAGsAZQAgACgAawBnAC8AaABlAGEAZAAvAGQAYQB5ACkAXAAiACwAIABcACIAawBnAC8AaABlAGEAZAAvAGQAYQB5AFwAIgAsACAAXAAiAEMAbwBuAHMAdABhAG4AdABcACIAOwBcAG4AIAAgACAAIAAgACAAIAAgACAAIABcACIATgBSAF8AagBrAGwAXAAiACwAIABcACIAdABoAGUAIABhAG0AbwB1AG4AdAAgAG8AZgAgAG4AaQB0AHIAbwBnAGUAbgAgAHIAZQB0AGEAaQBuAGUAZAAgAGIAeQAgAHQAaABlACAAYgBvAGQAeQAgACgAawBnACAATgAvAGgAZQBhAGQALwBkAGEAeQApAFwAIgAsACAAXAAiAGsAZwAgAE4ALwBoAGUAYQBkAC8AZABhAHkAXAAiACwAIABcACIAQwBhAGwAYwB1AGwAYQB0AGUAZAAgAGYAcgBvAG0AIAA0AC4AMgAuADEALgAzACAAKAA0ACkAXAAiADsAXABuACAAIAAgACAAIAAgACAAIAAgACAAXAAiAFcAXwBqAGsAbABcACIALAAgAFwAIgBsAGkAdgBlAHcAZQBpAGcAaAB0ACAAKABrAGcALwBoAGUAYQBkACkAXAAiACwAIABcACIAawBnAC8AaABlAGEAZABcACIALAAgAFwAIgBJAG4AcAB1AHQAXAAiADsAXABuACAAIAAgACAAIAAgACAAIAAgACAAXAAiAGIAXAAiACwAIABcACIAYgByAGUAZQBkACAAbwBmACAAYwBhAHQAdABsAGUAXAAiACwAIABcACIAXAAiACwAIABcACIASQBuAHAAdQB0AFwAIgA7AFwAbgAgACAAIAAgACAAIAAgACAAIAAgAFwAIgBzAFwAIgAsACAAXAAiAEMAYQBsAHYAaQBuAGcAIABzAGUAYQBz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NAAsAFwAbgAgACAAIAAgACAAIABMAEEATQBCAEQAQQAoAHIALABjACwAXABuACAAIAAgACAAIAAgACAAIABJAE4ARABFAFgAKAB7AFwAbgAgACAAIAAgACAAIAAgACAAIAAgAFwAIgBNAFAAXwBqAGsANQBcACIALAAgAFwAIgBtAGkAbABrACAAcAByAG8AZAB1AGMAdABpAG8AbgAgACgAawBnAC8AaABlAGEAZAAvAGQAYQB5ACkAXAAiACwAIABcACIAawBnAC8AaABlAGEAZAAvAGQAYQB5AFwAIgAsACAAXAAiAEMAYQBsAGMAdQBsAGEAdABlAGQAIABmAHIAbwBtACAANAAuADIALgAxAC4AMwAgACgANQApAFwAIgA7AFwAbgAgACAAIAAgACAAIAAgACAAIAAgAFwAIgBMAF8AagBrAGwAXAAiACwAIABcACIAaQBuAHQAYQBrAGUAIAByAGUAbABhAHQAaQB2AGUAIAB0AG8AIAB0AGgAYQB0ACAAbgBlAGUAZABlAGQAIABmAG8AcgAgAG0AYQBpAG4AdABlAG4AYQBuAGMAZQBcACIALAAgAFwAIgBcACIALAAgAFwAIgBDAGEAbABjAHUAbABhAHQAZQBkACAAZgByAG8AbQAgADQALgAyAC4AMQAuADMAIAAoADYAKQBcACIAOwBcAG4AIAAgACAAIAAgACAAIAAgACAAIABcACIAWgBfAGoAawBsAFwAIgAsACAAXAAiAHIAZQBsAGEAdABpAHYAZQAgAHMAaQB6AGUAXAAiACwAIABcACIAXAAiACwAIABcACIAQwBhAGwAYwB1AGwAYQB0AGUAZAAgAGYAcgBvAG0AIAA0AC4AMgAuADEALgAzACAAKAA3ACkAXAAiADsAXABuACAAIAAgACAAIAAgACAAIAAgACAAXAAiAEwAVwBHAF8AagBrAGwAXAAiACwAIABcACIAbABpAHYAZQB3AGUAaQBnAGgAdAAgAGcAYQBpAG4AIAAoAGsAZwAvAGgAZQBhAGQALwBkAGEAeQApAFwAIgAsACAAXAAiAGsAZwAvAGgAZQBhAGQALwBkAGEAeQ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NA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sACAAXAAiAGYAcgBhAGMAdABpAG8AbgBcACIALAAgAFwAIgBJAG4AcAB1AHQAXAAiADsAXABuACAAIAAgACAAIAAgACAAIAAgACAAXAAiAEQATQBQAF8AagBrADUAXAAiACwAIABcACIAZABhAGkAbAB5ACAAbQBpAGwAawAgAHAAcgBvAGQAdQBjAHQAaQBvAG4AIAAoAGsAZwAvAGgAZQBhAGQALwBkAGEAeQApAFwAIgAsACAAXAAiAGsAZwAvAGgAZQBhAGQALwBkAGEAeQ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NABfADIAXwAxAF8AMwBfAF8ANQBfAE0AaQBsAGsAUAByAG8AZAB1AGMAdABpAG8AbgBGAG8AcgBDAGEAbAB2AGkAbgBnAFMAZQBhAHMAbwBuAF8AQQByAGcAdQBtAGUAbgB0AHMAVgBhAHIAaQBhAHQAaQBvAG4AXABuACAAIAA9AEwAQQBNAEIARABBACgAXABuACAAIAAgACAATQBBAEsARQBBAFIAUgBBAFkAKAA1ACwAIAA0ACwAXABuACAAIAAgACAAIAAgAEwAQQBNAEIARABBACgAcgAsAGMALABcAG4AIAAgACAAIAAgACAAIAAgAEkATgBEAEUAWAAoAHsAXABuACAAIAAgACAAIAAgACAAIAAgACAAXAAiAEwAQwBfAGoAawA1AGMAdQByAHIAXAAiACwAIABcACIAcAByAG8AcABvAHIAdABpAG8AbgAgAG8AZgAgAGMAbwB3AHMAIABnAHIAZQBhAHQAZQByACAAdABoAGEAbgAgADIAIAB5AGUAYQByAHMAIABsAGEAYwB0AGEAdABpAG4AZwAgAGYAbwByACAAdABoAGUAIABzAGUAYQBzAG8AbgAgAG8AZgAgAGMAYQBsAHYAaQBuAGcAXAAiACwAIABcACIAZgByAGEAYwB0AGkAbwBuAFwAIgAsACAAXAAiAEkAbgBwAHUAdABcACIAOwBcAG4AIAAgACAAIAAgACAAIAAgACAAIABcACIATABDAF8AagBrADUAcAByAGUAdgBcACIALAAgAFwAIgBwAHIAbwBwAG8AcgB0AGkAbwBuACAAbwBmACAAYwBvAHcAcwAgAGcAcgBlAGEAdABlAHIAIAB0AGgAYQBuACAAMgAgAHkAZQBhAHIAcwAgAGwAYQBjAHQAYQB0AGkAbgBnACAAZgBvAHIAIAB0AGgAZQAgAHMAZQBhAHMAbwBuACAAYQBmAHQAZQByACAAYwBhAGwAdgBpAG4AZwBcACIALAAgAFwAIgBmAHIAYQBjAHQAaQBvAG4AXAAiACwAIABcACIASQBuAHAAdQB0AFwAIgA7AFwAbgAgACAAIAAgACAAIAAgACAAIAAgAFwAIgBEAE0AUABfAGoAawA1AGMAYQBsAHYAXAAiACwAIABcACIAZABhAGkAbAB5ACAAbQBpAGwAawAgAHAAcgBvAGQAdQBjAHQAaQBvAG4AIABmAG8AcgAgAHQAaABlACAAcwBlAGEAcwBvAG4AIABvAGYAIABjAGEAbAB2AGkAbgBnACAAKABrAGcALwBoAGUAYQBkAC8AZABhAHkAKQBcACIALAAgAFwAIgBrAGcALwBoAGUAYQBkAC8AZABhAHkAXAAiACwAIABcACIAQwBvAG4AcwB0AGEAbgB0AFwAIgA7AFwAbgAgACAAIAAgACAAIAAgACAAIAAgAFwAIgBEAE0AUABfAGoAawA1AGEAZgB0AGUAcgBcACIALAAgAFwAIgBkAGEAaQBsAHkAIABtAGkAbABrACAAcAByAG8AZAB1AGMAdABpAG8AbgAgAGYAbwByACAAdABoAGUAIABzAGUAYQBzAG8AbgAgAGEAZgB0AGUAcgAgAGMAYQBsAHYAaQBuAGcAIAAoAGsAZwAvAGgAZQBhAGQALwBkAGEAeQApAFwAIgAsACAAXAAiAGsAZwAvAGgAZQBhAGQALwBkAGEAeQ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NABfADIAXwAxAF8AMwBfAF8ANQBfAE0AaQBsAGsAUAByAG8AZAB1AGMAdABpAG8AbgBGAG8AcgBDAGEAbAB2AGkAbgBnAFMAZQBhAHMAbwBuAF8AVgBhAHIAaQBhAHQAaQBvAG4AXABuAD0ATABBAE0AQgBEAEEAKABcACIAVgBBAFIASQBBAFQASQBPAE4AIABPAE4AIABTAE8AVQBSAEMARQA6ACAAUwBwAGwAaQB0ACAATABDACAAYQBuAGQAIABEAE0AUAAgAGkAbgB0AG8AIABjAGEAbAB2AGkAbgBnACAAcwBlAGEAcwBvAG4AIABhAG4AZAAgAGEAZgB0AGUAcgAgAGMAYQBsAHYAaQBuAGcAIABzAGUAYQBzAG8AbgAgAHYAYQBsAHUAZQBzAC4AXAAiACkAOwBcAG4AXABuAC8AKgBcAG4ALQAtAC0ALQAtAC0ALQAtAC0ALQAtAC0ALQAtAC0ALQAtAC0ALQAtAC0ALQAtAC0ALQAtAC0ALQAtAC0ALQAtAC0ALQAtAC0ALQAtAFwAbgBWAEUARQBSAEcAXwA0AF8AMgBfADEAXwAzAF8AXwA2AF8ASQBuAHQAYQBrAGUAUgBlAGwAYQB0AGkAdgBlAFQAbwBNAGEAaQBuAHQAZQBuAGEAbgBjAGUAXABuAEkAbgB0AGEAawBlACAAcgBlAGwAYQB0AGkAdgBlACAAdABvACAAdABoAGEAdAAgAG4AZQBlAGQAZQBkACAAZgBvAHIAIABtAGEAaQBuAHQAZQBuAGEAbgBjAGUAXABuAEwAXwBqAGsAbABcAG4AcgBhAHQAaQBvAFwAbgBMAF8AewBqAGsAbAB9AD0AXABcAGYAcgBhAGMAewBJAF8AewBqAGsAbAB9AH0AewAoADEALgAxADgANQArADAALgAwADAANAA1ADQAXABcAHQAaQBtAGUAcwAgAFcAXwB7AGoAawBsAH0ALQAwAC4AMAAwADAAMAAwADIANgBcAFwAdABpAG0AZQBzACAAVwBfAHsAagBrAGwAfQBeAHsAMgB9ACkAXgB7ADIAfQB9AFwAbgBJAF8AagBrAGwAIAA9ACAAZAByAHkAIABtAGEAdAB0AGUAcgAgAGkAbgB0AGEAawBlACAAYQBzACAAYwBhAGwAYwB1AGwAYQB0AGUAZAAgAGkAbgAgAEMAaABhAHAAdABlAHIAIAAzACAAUwBlAGMAdABpAG8AbgAgADMALgAyAC4AMQAgACgAawBnACAARABNAC8AaABlAGEAZAAvAGQAYQB5ACkAXABuAFcAXwBqAGsAbAAgAD0AIABsAGkAdgBlAHcAZQBpAGcAaAB0ACAAKABrAGcALwBoAGUAYQBkACkAXABuAC0ALQAtAC0ALQAtAC0ALQAtAC0ALQAtAC0ALQAtAC0ALQAtAC0ALQAtAC0ALQAtAC0ALQAtAC0ALQAtAC0ALQAtAC0ALQAtAC0ALQBcAG4AKgAvAFwAbgBcAG4AVgBFAEUAUgBHAF8ANABfADIAXwAxAF8AMwBfAF8ANgBfAEkAbgB0AGEAawBlAFIAZQBsAGEAdABpAHYAZQBUAG8ATQBhAGkAbgB0AGUAbgBhAG4AYwBlAFwAbgAgACAAPQBMAEEATQBCAEQAQQAoAFwAbgAgACAAIAAgAEkAXwBqAGsAbAAsACAAVwBfAGoAawBsACwAXABuACAAIAAgACAASQBfAGoAawBsACAALwAgACgAKAAxAC4AMQA4ADUAIAArACAAMAAuADAAMAA0ADUANAAgACoAIABXAF8AagBrAGwAIAAtACAAMAAuADAAMAAwADAAMAAyADYAIAAqACAAVwBfAGoAawBsACAAXgAgADIAKQAgAF4AIAAyACkAXABuACAAIAApADsAXABuAFwAbgBWAEUARQBSAEcAXwA0AF8AMgBfADEAXwAzAF8AXwA2AF8ASQBuAHQAYQBrAGUAUgBlAGwAYQB0AGkAdgBlAFQAbwBNAGEAaQBuAHQAZQBuAGEAbgBjAGUAXwBUAGkAdABsAGUAXABuACAAIAA9AEwAQQBNAEIARABBACgAXAAiAEkAbgB0AGEAawBlACAAcgBlAGwAYQB0AGkAdgBlACAAdABvACAAdABoAGEAdAAgAG4AZQBlAGQAZQBkACAAZgBvAHIAIABtAGEAaQBuAHQAZQBuAGEAbgBjAGUAXAAiACkAOwBcAG4AXABuAFYARQBFAFIARwBfADQAXwAyAF8AMQBfADMAXwBfADYAXwBJAG4AdABhAGsAZQBSAGUAbABhAHQAaQB2AGUAVABvAE0AYQBpAG4AdABlAG4AYQBuAGMAZQBfAFYAYQByAGkAYQBiAGwAZQBcAG4AIAAgAD0ATABBAE0AQgBEAEEAKABcACIATABfAGoAawBsAFwAIgApADsAXABuAFwAbgBWAEUARQBSAEcAXwA0AF8AMgBfADEAXwAzAF8AXwA2AF8ASQBuAHQAYQBrAGUAUgBlAGwAYQB0AGkAdgBlAFQAbwBNAGEAaQBuAHQAZQBuAGEAbgBjAGUAXwBVAG4AaQB0AFwAbgAgACAAPQBMAEEATQBCAEQAQQAoAFwAIgByAGEAdABpAG8AXAAiACkAOwBcAG4AXABuAFYARQBFAFIARwBfADQAXwAyAF8AMQBfADMAXwBfADYAXwBJAG4AdABhAGsAZQBSAGUAbABhAHQAaQB2AGUAVABvAE0AYQBpAG4AdABlAG4AYQBuAGMAZQBfAFMAbwB1AHIAYwBlAFwAbgAgACAAPQBMAEEATQBCAEQAQQAoAFwAIgBWAEUARQBSAEcAIAAyADAAMgA2ADoAIAA0AC4AMgAuADEALgAzACwAIABFAHEAdQBhAHQAaQBvAG4AIAAoADYAKQBcACIAKQA7AFwAbgBcAG4AVgBFAEUAUgBHAF8ANABfADIAXwAxAF8AMwBfAF8ANgBfAEkAbgB0AGEAawBlAFIAZQBsAGEAdABpAHYAZQBUAG8ATQBhAGkAbgB0AGUAbgBhAG4AYwBlAF8ATgBJAFIAUgBlAGYAZQByAGUAbgBjAGUAXABuACAAIAA9AEwAQQBNAEIARABBACgAXAAiAFwAIgApADsAXABuAFwAbgBWAEUARQBSAEcAXwA0AF8AMgBfADEAXwAzAF8AXwA2AF8ASQBuAHQAYQBrAGUAUgBlAGwAYQB0AGkAdgBlAFQAbwBNAGEAaQBuAHQAZQBuAGEAbgBjAGUAXwBMAGEAdABlAHgARQBxAHUAYQB0AGkAbwBuAFwAbgAgACAAPQBMAEEATQBCAEQAQQAoAFwAIgBMAF8AewBqAGsAbAB9AD0AXABcAGYAcgBhAGMAewBJAF8AewBqAGsAbAB9AH0AewAoADEALgAxADgANQArADAALgAwADAANAA1ADQAXABcAHQAaQBtAGUAcwAgAFcAXwB7AGoAawBsAH0ALQAwAC4AMAAwADAAMAAwADIANgBcAFwAdABpAG0AZQBzACAAVwBfAHsAagBrAGwAfQBeAHsAMgB9ACkAXgB7ADIAfQB9AFwAIgApADsAXABuAFwAbgBWAEUARQBSAEcAXwA0AF8AMgBfADEAXwAzAF8AXwA2AF8ASQBuAHQAYQBrAGUAUgBlAGwAYQB0AGkAdgBlAFQAbwBNAGEAaQBuAHQAZQBuAGEAbgBjAGUAXwBBAHIAZwB1AG0AZQBuAHQAcwBcAG4AIAAgAD0ATABBAE0AQgBEAEEAKABcAG4AIAAgACAAIABNAEEASwBFAEEAUgBSAEEAWQAoADIALAAgADQALABcAG4AIAAgACAAIAAgACAATABBAE0AQgBEAEEAKAByACwAYwAsAFwAbgAgACAAIAAgACAAIAAgACAASQBOAEQARQBYACgAewBcAG4AIAAgACAAIAAgACAAIAAgACAAIABcACIASQBfAGoAawBsAFwAIgAsACAAXAAiAGQAcgB5ACAAbQBhAHQAdABlAHIAIABpAG4AdABhAGsAZQAgAGEAcwAgAGMAYQBsAGMAdQBsAGEAdABlAGQAIABpAG4AIABDAGgAYQBwAHQAZQByACAAMwAgAFMAZQBjAHQAaQBvAG4AIAAzAC4AMgAuADEAIAAoAGsAZwAgAEQATQAvAGgAZQBhAGQALwBkAGEAeQApAFwAIgAsACAAXAAiAGsAZwAgAEQATQAvAGgAZQBhAGQALwBkAGEAeQBcACIALAAgAFwAIgBDAGEAbABjAHUAbABhAHQAZQBkACAAZgByAG8AbQAgADMALgAyAC4AMQAuADEAIAAoADMAKQBcACIAOwBcAG4AIAAgACAAIAAgACAAIAAgACAAIABcACIAVwBfAGoAawBsAFwAIgAsACAAXAAiAGwAaQB2AGUAdwBlAGkAZwBoAHQAIAAoAGsAZwAvAGgAZQBhAGQAKQBcACIALAAgAFwAIgBrAGcALw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UwBSAFcAXwBrAFwAIgAsACAAXAAiAHMAdABhAG4AZABhAHIAZAAgAHIAZQBmAGUAcgBlAG4AYwBlACAAdwBlAGkAZwBoAHQAIAAoAGsAZwApAFwAIgAsACAAXAAiAGsAZwBcACIALAAgAFwAIgBDAG8AbgBzAHQAYQBuAHQAXAAiADsAXABuACAAIAAgACAAIAAgACAAIAAgACAAXAAiAGkAXAAiACwAIABcACIAcwB0AGEAdABlAFwAIgAsACAAXAAiAFwAIgAsACAAXAAiAEkAbgBwAHUAdABcACIAXABuACAAIAAgACAAIAAgACAAIAB9ACwAIAByACwAIABjACkAXABuACAAIAAgACAAIAAgACkAXABuACAAIAAgACAAKQBcAG4AIAAgACkAOwBcAG4AIgB9ACwAewAiAHAAYQB0AGgAIgA6ACIALwBwAHIAbwBqAGUAYwB0AHMALwBNAE0AUwBfAFAAYQBzAHQAdQByAGUAQgBlAGUAZgBfAFMAbwBpAGw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UAIABNAGUAdABoAG8AZAAgADEAIAAtACAAUwBvAGkAbAAgAEEAdABtAG8AcwBwAGgAZQByAGkAYwAgAEQAZQBwAG8AcwBpAHQAaQBvAG4AIABOADIAT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IAXwAxAF8ANQBfAF8AMQBfAEEAdABtAG8AcwBwAGgAZQByAGkAYwBEAGUAcABvAHMAaQB0AGkAbwBuAEUAbQBpAHMAcwBpAG8AbgBzAEYAcgBvAG0AVQByAGkAbgBlAEEAbgBkAEQAdQBuAGcATwBuAFAAYQBzAHQAdQByAGUAXABuAEEAdABtAG8AcwBwAGgAZQByAGkAYwAgAGQAZQBwAG8AcwBpAHQAaQBvAG4AIABlAG0AaQBzAHMAaQBvAG4AcwAgAGYAcgBvAG0AIAB1AHIAaQBuAGUAIABhAG4AZAAgAGQAdQBuAGcAIABkAGUAcABvAHMAaQB0AGUAZAAgAG8AbgAgAHAAYQBzAHQAdQByAGUAXABuAEUAXwBOADIATwBhAGQAXABuAHQAIABOADIATwBcAG4ARQBfAHsATgAyAE8ALABhAGQAfQA9AE0AXwB7AHYAbwBsAH0AXABcAHQAaQBtAGUAcwAgAEUARgBfAHsATgAyAE8AfQBcAFwAdABpAG0AZQBzACAAQwBfAHsATgAyAE8AfQBcAFwAdABpAG0AZQBzACAAMQAwAF4AewAtADMAfQBcAG4ATQBfAHYAbwBsACAAPQAgAG0AYQBzAHMAIABvAGYAIABuAGkAdAByAG8AZwBlAG4AIAB2AG8AbABhAHQAaQBsAGkAcwBlAGQAIABmAHIAbwBtACAAdQByAGkAbgBlACAAYQBuAGQAIABmAGEAZQBjAGUAcwAgAGQAZQBwAG8AcwBpAHQAZQBkACAAbwBuACAAcABhAHMAdAB1AHIAZQ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yAF8AMQBfADUAXwBfADEAXwBBAHQAbQBvAHMAcABoAGUAcgBpAGMARABlAHAAbwBzAGkAdABpAG8AbgBFAG0AaQBzAHMAaQBvAG4AcwBGAHIAbwBtAFUAcgBpAG4AZQBBAG4AZABEAHUAbgBnAE8AbgBQAGEAcwB0AHUAcgBlAFwAbgAgACAAPQBMAEEATQBCAEQAQQAoAFwAbgAgACAAIAAgAE0AXwB2AG8AbAAsACAARQBGAF8ATgAyAE8ALAAgAEMAXwBOADIATwAsAFwAbgAgACAAIAAgAE0AXwB2AG8AbAAgACoAIABFAEYAXwBOADIATwAgACoAIABDAF8ATgAyAE8AIAAqACAAMQAwACAAXgAgAC0AMwBcAG4AIAAgACkAOwBcAG4AXABuAFYARQBFAFIARwBfADQAXwAyAF8AMQBfADUAXwBfADEAXwBBAHQAbQBvAHMAcABoAGUAcgBpAGMARABlAHAAbwBzAGkAdABpAG8AbgBFAG0AaQBzAHMAaQBvAG4AcwBGAHIAbwBtAFUAcgBpAG4AZQBBAG4AZABEAHUAbgBnAE8AbgBQAGEAcwB0AHUAcgBlAF8AVABpAHQAbABlAFwAbgAgACAAPQBMAEEATQBCAEQAQQAoAFwAIgBBAHQAbQBvAHMAcABoAGUAcgBpAGMAIABkAGUAcABvAHMAaQB0AGkAbwBuACAAZQBtAGkAcwBzAGkAbwBuAHMAIABmAHIAbwBtACAAdQByAGkAbgBlACAAYQBuAGQAIABkAHUAbgBnACAAZABlAHAAbwBzAGkAdABlAGQAIABvAG4AIABwAGEAcwB0AHUAcgBlAFwAIgApADsAXABuAFwAbgBWAEUARQBSAEcAXwA0AF8AMgBfADEAXwA1AF8AXwAxAF8AQQB0AG0AbwBzAHAAaABlAHIAaQBjAEQAZQBwAG8AcwBpAHQAaQBvAG4ARQBtAGkAcwBzAGkAbwBuAHMARgByAG8AbQBVAHIAaQBuAGUAQQBuAGQARAB1AG4AZwBPAG4AUABhAHMAdAB1AHIAZQBfAFYAYQByAGkAYQBiAGwAZQBcAG4AIAAgAD0ATABBAE0AQgBEAEEAKABcACIARQBfAE4AMgBPAGEAZABcACIAKQA7AFwAbgBcAG4AVgBFAEUAUgBHAF8ANABfADIAXwAxAF8ANQBfAF8AMQBfAEEAdABtAG8AcwBwAGgAZQByAGkAYwBEAGUAcABvAHMAaQB0AGkAbwBuAEUAbQBpAHMAcwBpAG8AbgBzAEYAcgBvAG0AVQByAGkAbgBlAEEAbgBkAEQAdQBuAGcATwBuAFAAYQBzAHQAdQByAGUAXwBVAG4AaQB0AFwAbgAgACAAPQBMAEEATQBCAEQAQQAoAFwAIgB0ACAATgAyAE8AXAAiACkAOwBcAG4AXABuAFYARQBFAFIARwBfADQAXwAyAF8AMQBfADUAXwBfADEAXwBBAHQAbQBvAHMAcABoAGUAcgBpAGMARABlAHAAbwBzAGkAdABpAG8AbgBFAG0AaQBzAHMAaQBvAG4AcwBGAHIAbwBtAFUAcgBpAG4AZQBBAG4AZABEAHUAbgBnAE8AbgBQAGEAcwB0AHUAcgBlAF8AUwBvAHUAcgBjAGUAXABuACAAIAA9AEwAQQBNAEIARABBACgAXAAiAFYARQBFAFIARwAgADIAMAAyADYAOgAgADQALgAyAC4AMQAuADUALAAgAEUAcQB1AGEAdABpAG8AbgAgACgAMQApAFwAIgApADsAXABuAFwAbgBWAEUARQBSAEcAXwA0AF8AMgBfADEAXwA1AF8AXwAxAF8AQQB0AG0AbwBzAHAAaABlAHIAaQBjAEQAZQBwAG8AcwBpAHQAaQBvAG4ARQBtAGkAcwBzAGkAbwBuAHMARgByAG8AbQBVAHIAaQBuAGUAQQBuAGQARAB1AG4AZwBPAG4AUABhAHMAdAB1AHIAZQBfAE4ASQBSAFIAZQBmAGUAcgBlAG4AYwBlAFwAbgAgACAAPQBMAEEATQBCAEQAQQAoAFwAIgBcACIAKQA7AFwAbgBcAG4AVgBFAEUAUgBHAF8ANABfADIAXwAxAF8ANQBfAF8AMQBfAEEAdABtAG8AcwBwAGgAZQByAGkAYwBEAGUAcABvAHMAaQB0AGkAbwBuAEUAbQBpAHMAcwBpAG8AbgBzAEYAcgBvAG0AVQByAGkAbgBlAEEAbgBkAEQAdQBuAGcATwBuAFAAYQBzAHQAdQByAGUAXwBMAGEAdABlAHgARQBxAHUAYQB0AGkAbwBuAFwAbgAgACAAPQBMAEEATQBCAEQAQQAoAFwAIgBFAF8AewBOADIATwAsAGEAZAB9AD0ATQBfAHsAdgBvAGwAfQBcAFwAdABpAG0AZQBzACAARQBGAF8AewBOADIATwB9AFwAXAB0AGkAbQBlAHMAIABDAF8AewBOADIATwB9AFwAXAB0AGkAbQBlAHMAIAAxADAAXgB7AC0AMwB9AFwAIgApADsAXABuAFwAbgBWAEUARQBSAEcAXwA0AF8AMgBfADEAXwA1AF8AXwAxAF8AQQB0AG0AbwBzAHAAaABlAHIAaQBjAEQAZQBwAG8AcwBpAHQAaQBvAG4ARQBtAGkAcwBzAGkAbwBuAHMARgByAG8AbQBVAHIAaQBuAGUAQQBuAGQARAB1AG4AZwBPAG4AUABhAHMAdAB1AHIAZQBfAEEAcgBnAHUAbQBlAG4AdABzAFwAbgAgACAAPQBMAEEATQBCAEQAQQAoAFwAbgAgACAAIAAgAE0AQQBLAEUAQQBSAFIAQQBZACgANgAsACAANAAsAFwAbgAgACAAIAAgACAAIABMAEEATQBCAEQAQQAoAHIALABjACwAXABuACAAIAAgACAAIAAgACAAIABJAE4ARABFAFgAKAB7AFwAbgAgACAAIAAgACAAIAAgACAAIAAgAFwAIgBNAF8AdgBvAGw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MgAuADEALgA1ACAAKAAyACkAXAAiADsAXABuACAAIAAgACAAIAAgACAAIAAgACAAXAAiAEUARgBfAE4AMgBPAFwAIgAsACA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FwAIgAsACAAXAAiAGkAcgByAGkAZwBhAHQAaQBvAG4AIABtAGUAdABoAG8AZABcACIALAAgAFwAIgBcACIALAAgAFwAIgBJAG4AcAB1AHQAXAAiADsAXABuACAAIAAgACAAIAAgACAAIAAgACAAXAAiAHIAXAAiACwAIABcACIAcgBhAGkAbgBmAGEAbABs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NQBfAF8AMgBfAE0AYQBzAHMATwBmAE4AaQB0AHIAbwBnAGUAbgBWAG8AbABhAHQAaQBsAGkAcwBlAGQATwBuAFAAYQBzAHQAdQByAGUAXABuAE0AYQBzAHMAIABvAGYAIABuAGkAdAByAG8AZwBlAG4AIAB2AG8AbABhAHQAaQBsAGkAcwBlAGQAXABuAE0AXwB2AG8AbABcAG4AawBnACAATgBcAG4ATQBfAHsAdgBvAGwAfQA9AEEARQBcAFwAdABpAG0AZQBzACAARgByAGEAYwBHAEEAUwBNAHMAbwBpAGwAXABuAEEARQAgAD0AIAB0AG8AdABhAGwAIABtAGEAcwBzACAAbwBmACAAbgBpAHQAcgBvAGcAZQBuACAAZQB4AGMAcgBlAHQAZQBkACAAbwBuACAAUABSAFAAIABmAG8AcgAgAGIAZQBlAGYAIABjAGEAdAB0AGwAZQAgACgAawBnACAATgApAFwAbgBGAHIAYQBjAEcAQQBTAE0AcwBvAGkAbAAgAD0AIABmAHIAYQBjAHQAaQBvAG4AIABvAGYAIABuAGkAdAByAG8AZwBlAG4AIAB2AG8AbABhAHQAaQBsAGkAcwBlAGQAIABmAHIAbwBtACAAdQByAGkAbgBlACAAYQBuAGQAIABmAGEAZQBjAGUAcwAgAGQAZQBwAG8AcwBpAHQAZQBkACAAbwBuACAAcABhAHMAdAB1AHIAZQAgACgAKABrAGcAIABOAEgAMwAtAE4AIAArACAATgBPAHgALQBOACkALwBrAGcAIABOACkAXABuAC0ALQAtAC0ALQAtAC0ALQAtAC0ALQAtAC0ALQAtAC0ALQAtAC0ALQAtAC0ALQAtAC0ALQAtAC0ALQAtAC0ALQAtAC0ALQAtAC0ALQBcAG4AKgAvAFwAbgBcAG4AVgBFAEUAUgBHAF8ANABfADIAXwAxAF8ANQBfAF8AMgBfAE0AYQBzAHMATwBmAE4AaQB0AHIAbwBnAGUAbgBWAG8AbABhAHQAaQBsAGkAcwBlAGQATwBuAFAAYQBzAHQAdQByAGUAXABuACAAIAA9AEwAQQBNAEIARABBACgAXABuACAAIAAgACAAQQBFACwAIABGAHIAYQBjAEcAQQBTAE0AcwBvAGkAbAAsAFwAbgAgACAAIAAgAEEARQAgACoAIABGAHIAYQBjAEcAQQBTAE0AcwBvAGkAbABcAG4AIAAgACkAOwBcAG4AXABuAFYARQBFAFIARwBfADQAXwAyAF8AMQBfADUAXwBfADIAXwBNAGEAcwBzAE8AZgBOAGkAdAByAG8AZwBlAG4AVgBvAGwAYQB0AGkAbABpAHMAZQBkAE8AbgBQAGEAcwB0AHUAcgBlAF8AVABpAHQAbABlAFwAbgAgACAAPQBMAEEATQBCAEQAQQAoAFwAIgBNAGEAcwBzACAAbwBmACAAbgBpAHQAcgBvAGcAZQBuACAAdgBvAGwAYQB0AGkAbABpAHMAZQBkAFwAIgApADsAXABuAFwAbgBWAEUARQBSAEcAXwA0AF8AMgBfADEAXwA1AF8AXwAyAF8ATQBhAHMAcwBPAGYATgBpAHQAcgBvAGcAZQBuAFYAbwBsAGEAdABpAGwAaQBzAGUAZABPAG4AUABhAHMAdAB1AHIAZQBfAFYAYQByAGkAYQBiAGwAZQBcAG4AIAAgAD0ATABBAE0AQgBEAEEAKABcACIATQBfAHYAbwBsAFwAIgApADsAXABuAFwAbgBWAEUARQBSAEcAXwA0AF8AMgBfADEAXwA1AF8AXwAyAF8ATQBhAHMAcwBPAGYATgBpAHQAcgBvAGcAZQBuAFYAbwBsAGEAdABpAGwAaQBzAGUAZABPAG4AUABhAHMAdAB1AHIAZQBfAFUAbgBpAHQAXABuACAAIAA9AEwAQQBNAEIARABBACgAXAAiAGsAZwAgAE4AXAAiACkAOwBcAG4AXABuAFYARQBFAFIARwBfADQAXwAyAF8AMQBfADUAXwBfADIAXwBNAGEAcwBzAE8AZgBOAGkAdAByAG8AZwBlAG4AVgBvAGwAYQB0AGkAbABpAHMAZQBkAE8AbgBQAGEAcwB0AHUAcgBlAF8AUwBvAHUAcgBjAGUAXABuACAAIAA9AEwAQQBNAEIARABBACgAXAAiAFYARQBFAFIARwAgADIAMAAyADYAOgAgADQALgAyAC4AMQAuADUALAAgAEUAcQB1AGEAdABpAG8AbgAgACgAMgApAFwAIgApADsAXABuAFwAbgBWAEUARQBSAEcAXwA0AF8AMgBfADEAXwA1AF8AXwAyAF8ATQBhAHMAcwBPAGYATgBpAHQAcgBvAGcAZQBuAFYAbwBsAGEAdABpAGwAaQBzAGUAZABPAG4AUABhAHMAdAB1AHIAZQBfAE4ASQBSAFIAZQBmAGUAcgBlAG4AYwBlAFwAbgAgACAAPQBMAEEATQBCAEQAQQAoAFwAIgBcACIAKQA7AFwAbgBcAG4AVgBFAEUAUgBHAF8ANABfADIAXwAxAF8ANQBfAF8AMgBfAE0AYQBzAHMATwBmAE4AaQB0AHIAbwBnAGUAbgBWAG8AbABhAHQAaQBsAGkAcwBlAGQATwBuAFAAYQBzAHQAdQByAGUAXwBMAGEAdABlAHgARQBxAHUAYQB0AGkAbwBuAFwAbgAgACAAPQBMAEEATQBCAEQAQQAoAFwAIgBNAF8AewB2AG8AbAB9AD0AQQBFAFwAXAB0AGkAbQBlAHMAIABGAHIAYQBjAEcAQQBTAE0AcwBvAGkAbABcACIAKQA7AFwAbgBcAG4AVgBFAEUAUgBHAF8ANABfADIAXwAxAF8ANQBfAF8AMgBfAE0AYQBzAHMATwBmAE4AaQB0AHIAbwBnAGUAbgBWAG8AbABhAHQAaQBsAGkAcwBlAGQATwBuAFAAYQBzAHQAdQByAGUAXwBBAHIAZwB1AG0AZQBuAHQAcwBcAG4AIAAgAD0ATABBAE0AQgBEAEEAKABcAG4AIAAgACAAIABNAEEASwBFAEEAUgBSAEEAWQAoADIALAAgADQALABcAG4AIAAgACAAIAAgACAATABBAE0AQgBEAEEAKAByACwAYwAsAFwAbgAgACAAIAAgACAAIAAgACAASQBOAEQARQBYACgAewBcAG4AIAAgACAAIAAgACAAIAAgACAAIABcACIAQQBFAFwAIgAsACAAXAAiAHQAbwB0AGEAbAAgAG0AYQBzAHMAIABvAGYAIABuAGkAdAByAG8AZwBlAG4AIABlAHgAYwByAGUAdABlAGQAIABvAG4AIABQAFIAUAAgAGYAbwByACAAYgBlAGUAZgAgAGMAYQB0AHQAbABlAFwAIgAsACAAXAAiAGsAZwAgAE4AXAAiACwAIABcACIAQwBhAGwAYwB1AGwAYQB0AGUAZAAgAGYAcgBvAG0AIAA0AC4AMgAuADEALgAz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CAAKAAoAGsAZwAgAE4ASAAzAC0ATgAgACsAIABOAE8AeAAtAE4AKQAvAGsAZwAgAE4AKQBcACIALAAgAFwAIgBmAHIAYQBjAHQAaQBvAG4AXAAiACwAIABcACIAQwBvAG4AcwB0AGEAbgB0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XAAiACwAIABcACIAawBnACAATgBcACIALAAgAFwAIgBDAGEAbABjAHUAbABhAHQAZQBkACAAZgByAG8AbQAgADQALgAyAC4AMQAuADcAIAAoADIAKQBcACIAOwBcAG4AIAAgACAAIAAgACAAIAAgACAAIABcACIARQBGAF8AbABlAGEAYwBoAFwAIgAsACAAXAAi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yAF8AMQBfADcAXwBfADIAXwBNAGEAcwBzAE8AZgBOAGkAdAByAG8AZwBlAG4ATABvAHMAdABUAG8ATABlAGEAYwBoAGkAbgBnAEEAbgBkAFIAdQBuAG8AZgBmAE8AbgBQAGEAcwB0AHUAcgBlAFwAbgBNAGEAcwBzACAAbwBmACAAbgBpAHQAcgBvAGcAZQBuACAAbABvAHMAdAAgAHQAbwAgAGwAZQBhAGMAaABpAG4AZwAgAGEAbgBkACAAcgB1AG4AbwBmAGYAXABuAE0AXwBsAGUAYQBjAGgAXABuAGsAZwAgAE4AXABuAE0AXwB7AGwAZQBhAGMAaAB9AD0AQQBFAFwAXAB0AGkAbQBlAHMAIABGAHIAYQBjAFcAZQB0AFwAXAB0AGkAbQBlAHMAIABGAHIAYQBjAEwARQBBAEMASABcAG4AQQBFACAAPQAgAHQAbwB0AGEAbAAgAG0AYQBzAHMAIABvAGYAIABuAGkAdAByAG8AZwBlAG4AIABlAHgAYwByAGUAdABlAGQAIABvAG4AIABQAFIAUAAgAGYAbwByACAAYgBlAGUAZgAgAGMAYQB0AHQAbABlACAAKABrAGcAIABOACkAXABuAEYAcgBhAGMAVwBlAHQAIAA9ACAAZgByAGEAYwB0AGkAbwBuACAAbwBmACAATgAgAGEAdgBhAGkAbABhAGIAbABlACAAZgBvAHIAIABsAGUAYQBjAGgAaQBuAGcAIABhAG4AZAAgAHIAdQBuAG8AZgBmAFwAbgBGAHIAYQBjAEwARQBBAEMASAAgAD0AIABmAHIAYQBjAHQAaQBvAG4AIABvAGYAIABhAGwAbAAgAE4AIAB0AGgAYQB0ACAAaQBzACAAbABvAHMAdAAgAHQAaAByAG8AdQBnAGgAIABsAGUAYQBjAGgAaQBuAGcAIABhAG4AZAAgAHIAdQBuAG8AZgBmAFwAbgAtAC0ALQAtAC0ALQAtAC0ALQAtAC0ALQAtAC0ALQAtAC0ALQAtAC0ALQAtAC0ALQAtAC0ALQAtAC0ALQAtAC0ALQAtAC0ALQAtAC0AXABuACoALwBcAG4AXABuAFYARQBFAFIARwBfADQAXwAyAF8AMQBfADcAXwBfADIAXwBNAGEAcwBzAE8AZgBOAGkAdAByAG8AZwBlAG4ATABvAHMAdABUAG8ATABlAGEAYwBoAGkAbgBnAEEAbgBkAFIAdQBuAG8AZgBmAE8AbgBQAGEAcwB0AHUAcgBlAFwAbgAgACAAPQBMAEEATQBCAEQAQQAoAFwAbgAgACAAIAAgAEEARQAsACAARgByAGEAYwBXAGUAdAAsACAARgByAGEAYwBMAEUAQQBDAEgALABcAG4AIAAgACAAIABBAEUAIAAqACAARgByAGEAYwBXAGUAdAAgACoAIABGAHIAYQBjAEwARQBBAEMASABcAG4AIAAgACkAOwBcAG4AXABuAFYARQBFAFIARwBfADQAXwAyAF8AMQBfADcAXwBfADIAXwBNAGEAcwBzAE8AZgBOAGkAdAByAG8AZwBlAG4ATABvAHMAdABUAG8ATABlAGEAYwBoAGkAbgBnAEEAbgBkAFIAdQBuAG8AZgBmAE8AbgBQAGEAcwB0AHUAcgBlAF8AVABpAHQAbABlAFwAbgAgACAAPQBMAEEATQBCAEQAQQAoAFwAIgBNAGEAcwBzACAAbwBmACAAbgBpAHQAcgBvAGcAZQBuACAAbABvAHMAdAAgAHQAbwAgAGwAZQBhAGMAaABpAG4AZwAgAGEAbgBkACAAcgB1AG4AbwBmAGYAXAAiACkAOwBcAG4AXABuAFYARQBFAFIARwBfADQAXwAyAF8AMQBfADcAXwBfADIAXwBNAGEAcwBzAE8AZgBOAGkAdAByAG8AZwBlAG4ATABvAHMAdABUAG8ATABlAGEAYwBoAGkAbgBnAEEAbgBkAFIAdQBuAG8AZgBmAE8AbgBQAGEAcwB0AHUAcgBlAF8AVgBhAHIAaQBhAGIAbABlAFwAbgAgACAAPQBMAEEATQBCAEQAQQAoAFwAIgBNAF8AbABlAGEAYwBoAFwAIgApADsAXABuAFwAbgBWAEUARQBSAEcAXwA0AF8AMgBfADEAXwA3AF8AXwAyAF8ATQBhAHMAcwBPAGYATgBpAHQAcgBvAGcAZQBuAEwAbwBzAHQAVABvAEwAZQBhAGMAaABpAG4AZwBBAG4AZABSAHUAbgBvAGYAZgBPAG4AUABhAHMAdAB1AHIAZQBfAFUAbgBpAHQAXABuACAAIAA9AEwAQQBNAEIARABBACgAXAAiAGsAZwAgAE4AXAAiACkAOwBcAG4AXABuAFYARQBFAFIARwBfADQAXwAyAF8AMQBfADcAXwBfADIAXwBNAGEAcwBzAE8AZgBOAGkAdAByAG8AZwBlAG4ATABvAHMAdABUAG8ATABlAGEAYwBoAGkAbgBnAEEAbgBkAFIAdQBuAG8AZgBmAE8AbgBQAGEAcwB0AHUAcgBlAF8AUwBvAHUAcgBjAGUAXABuACAAIAA9AEwAQQBNAEIARABBACgAXAAiAFYARQBFAFIARwAgADIAMAAyADYAOgAgADQALgAyAC4AMQAuADcALAAgAEUAcQB1AGEAdABpAG8AbgAgACgAMgApAFwAIgApADsAXABuAFwAbgBWAEUARQBSAEcAXwA0AF8AMgBfADEAXwA3AF8AXwAyAF8ATQBhAHMAcwBPAGYATgBpAHQAcgBvAGcAZQBuAEwAbwBzAHQAVABvAEwAZQBhAGMAaABpAG4AZwBBAG4AZABSAHUAbgBvAGYAZgBPAG4AUABhAHMAdAB1AHIAZQBfAE4ASQBSAFIAZQBmAGUAcgBlAG4AYwBlAFwAbgAgACAAPQBMAEEATQBCAEQAQQAoAFwAIgBcACIAKQA7AFwAbgBcAG4AVgBFAEUAUgBHAF8ANABfADIAXwAxAF8ANwBfAF8AMgBfAE0AYQBzAHMATwBmAE4AaQB0AHIAbwBnAGUAbgBMAG8AcwB0AFQAbwBMAGUAYQBjAGgAaQBuAGcAQQBuAGQAUgB1AG4AbwBmAGYATwBuAFAAYQBzAHQAdQByAGUAXwBMAGEAdABlAHgARQBxAHUAYQB0AGkAbwBuAFwAbgAgACAAPQBMAEEATQBCAEQAQQAoAFwAIgBNAF8AewBsAGUAYQBjAGgAfQA9AEEARQBcAFwAdABpAG0AZQBzACAARgByAGEAYwBXAGUAdABcAFwAdABpAG0AZQBzACAARgByAGEAYwBMAEUAQQBDAEgAXAAiACkAOwBcAG4AXABuAFYARQBFAFIARwBfADQAXwAyAF8AMQBfADcAXwBfADIAXwBNAGEAcwBzAE8AZgBOAGkAdAByAG8AZwBlAG4ATABvAHMAdABUAG8ATABlAGEAYwBoAGkAbgBnAEEAbgBkAFIAdQBuAG8AZgBmAE8AbgBQAGEAcwB0AHUAcgBlAF8AQQByAGcAdQBtAGUAbgB0AHMAXABuACAAIAA9AEwAQQBNAEIARABBACgAXABuACAAIAAgACAATQBBAEsARQBBAFIAUgBBAFkAKAA2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GAHIAYQBjAFcAZQB0AFwAIgAsACAAXAAiAGYAcgBhAGMAdABpAG8AbgAgAG8AZgAgAE4AIABhAHYAYQBpAGwAYQBiAGwAZQAgAGYAbwByACAAbABlAGEAYwBoAGkAbgBnACAAYQBuAGQAIAByAHUAbgBvAGYAZgBcACIALAAgAFwAIgBmAHIAYQBjAHQAaQBvAG4AXAAiACwAIABcACIAQwBvAG4AcwB0AGEAbgB0AFwAIgA7AFwAbgAgACAAIAAgACAAIAAgACAAIAAgAFwAIgBGAHIAYQBjAEwARQBBAEMASABcACIALAAgAFwAIgBmAHIAYQBjAHQAaQBvAG4AIABvAGYAIABhAGwAbAAgAE4AIAB0AGgAYQB0ACAAaQBzACAAbABvAHMAdAAgAHQAaAByAG8AdQBnAGgAIABsAGUAYQBjAGgAaQBuAGcAIABhAG4AZAAgAHIAdQBuAG8AZgBmAFwAIgAsACAAXAAiAGYAcgBhAGMAdABpAG8Ab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FwAbgAiAH0AXQB9AA==</AFEJSONBlob>
</file>

<file path=customXml/itemProps1.xml><?xml version="1.0" encoding="utf-8"?>
<ds:datastoreItem xmlns:ds="http://schemas.openxmlformats.org/officeDocument/2006/customXml" ds:itemID="{8523A1ED-64A4-4F28-87AE-B321FB11927F}">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140</vt:i4>
      </vt:variant>
    </vt:vector>
  </HeadingPairs>
  <TitlesOfParts>
    <vt:vector size="170" baseType="lpstr">
      <vt:lpstr>Overview</vt:lpstr>
      <vt:lpstr>Results</vt:lpstr>
      <vt:lpstr>Input - Site</vt:lpstr>
      <vt:lpstr>Input - Fuel</vt:lpstr>
      <vt:lpstr>Input - Fertiliser</vt:lpstr>
      <vt:lpstr>Input - Farm Inputs</vt:lpstr>
      <vt:lpstr>Input - Beef cattle purchases</vt:lpstr>
      <vt:lpstr>Input - Dairy cattle purchases</vt:lpstr>
      <vt:lpstr>Input - Pig purchases</vt:lpstr>
      <vt:lpstr>Input - Poultry purchases</vt:lpstr>
      <vt:lpstr>Input - Freight</vt:lpstr>
      <vt:lpstr>Input - Solid waste</vt:lpstr>
      <vt:lpstr>Input - Manure sent off-site</vt:lpstr>
      <vt:lpstr>Input - Electricity</vt:lpstr>
      <vt:lpstr>15 Scope 3</vt:lpstr>
      <vt:lpstr>10.1.1-2 Solid waste treatment</vt:lpstr>
      <vt:lpstr>Calcs - Manure sent off-site</vt:lpstr>
      <vt:lpstr>8.1.1.1-2 Transport fuel</vt:lpstr>
      <vt:lpstr>8.2.1.1-2 Stationary fuel</vt:lpstr>
      <vt:lpstr>Constants - Scope 3</vt:lpstr>
      <vt:lpstr>Constants - Solid Waste</vt:lpstr>
      <vt:lpstr>Constants - Fuel</vt:lpstr>
      <vt:lpstr>Constants - Poultry</vt:lpstr>
      <vt:lpstr>Constants - Swine</vt:lpstr>
      <vt:lpstr>Constants - Dairy</vt:lpstr>
      <vt:lpstr>Constants - Pasture Beef</vt:lpstr>
      <vt:lpstr>Constants - Common Livestock</vt:lpstr>
      <vt:lpstr>Constants - Fertiliser</vt:lpstr>
      <vt:lpstr>Constants - Electricity</vt:lpstr>
      <vt:lpstr>Constants - Common</vt:lpstr>
      <vt:lpstr>Common_SourceData_DensityOfMethane_Data</vt:lpstr>
      <vt:lpstr>SourceData_Dairy_AshContent_Data</vt:lpstr>
      <vt:lpstr>SourceData_Dairy_CrudeProtein_Data</vt:lpstr>
      <vt:lpstr>SourceData_Dairy_DryMatterDigestibility_Data</vt:lpstr>
      <vt:lpstr>SourceData_Dairy_EfficiencyOfUseOfMetabolizableEnergy_Data</vt:lpstr>
      <vt:lpstr>SourceData_Dairy_EmissionFactorForLeachingAndRunoff_Data</vt:lpstr>
      <vt:lpstr>SourceData_Dairy_FatContentInMilk_Data</vt:lpstr>
      <vt:lpstr>SourceData_Dairy_FracGASMSoil_Data</vt:lpstr>
      <vt:lpstr>SourceData_Dairy_FractionOfNitrogenLostThroughLeachingAndRunoff_Data</vt:lpstr>
      <vt:lpstr>SourceData_Dairy_FractionOfNitrogenLostThroughLeachingAndRunoffSolidStorage_Data</vt:lpstr>
      <vt:lpstr>SourceData_Dairy_GrossEnergyContent_Data</vt:lpstr>
      <vt:lpstr>SourceData_Dairy_MethaneEmissionsPotential_Data</vt:lpstr>
      <vt:lpstr>SourceData_Dairy_NetEnergy_Data</vt:lpstr>
      <vt:lpstr>SourceData_Dairy_ProteinContentInMilk_Data</vt:lpstr>
      <vt:lpstr>SourceData_PastureBeef_AshContentOfFeedIntake_Data</vt:lpstr>
      <vt:lpstr>SourceData_PastureBeef_FracGASMSoil_Data</vt:lpstr>
      <vt:lpstr>SourceData_PastureBeef_FracLEACH_Data</vt:lpstr>
      <vt:lpstr>SourceData_PastureBeef_MethaneEmissionsPotential_Data</vt:lpstr>
      <vt:lpstr>SourceData_Poultry_FracGAMSSoil_Data</vt:lpstr>
      <vt:lpstr>SourceData_Poultry_FractionOfNitrogenLostThroughLeachingAndRunoff_Data</vt:lpstr>
      <vt:lpstr>SourceData_Swine_FracLEACH_DrylotMMS_Data</vt:lpstr>
      <vt:lpstr>SourceData_Swine_MegajoulesPerKilogramMethane_Data</vt:lpstr>
      <vt:lpstr>SourceData_Swine_MethaneVolatileSolidsEmissionsPotential_Data</vt:lpstr>
      <vt:lpstr>Table_E_g</vt:lpstr>
      <vt:lpstr>Table_E_g_Consumer_1</vt:lpstr>
      <vt:lpstr>Table_E_g_offsite</vt:lpstr>
      <vt:lpstr>Table_E_g_onsite</vt:lpstr>
      <vt:lpstr>Table_V_w_t_offsite</vt:lpstr>
      <vt:lpstr>Table_V_w_t_onsite</vt:lpstr>
      <vt:lpstr>VEERG_10_1_1_1__1_EmissionsFromWasteManagement_Scope1_Result_Method1</vt:lpstr>
      <vt:lpstr>VEERG_10_1_1_1__1_EmissionsFromWasteManagement_Scope3_Result_Method1</vt:lpstr>
      <vt:lpstr>VEERG_15_1_1_1__1_EmissionsFromPurchasedLivestock_BeefCattle_Result_Method1</vt:lpstr>
      <vt:lpstr>VEERG_15_1_1_1__1_EmissionsFromPurchasedLivestock_BeefCattle_Result_Method2</vt:lpstr>
      <vt:lpstr>VEERG_15_1_1_1__1_EmissionsFromPurchasedLivestock_DairyCattle_Result_Method1</vt:lpstr>
      <vt:lpstr>VEERG_15_1_1_1__1_EmissionsFromPurchasedLivestock_DairyCattle_Result_Method2</vt:lpstr>
      <vt:lpstr>VEERG_15_1_1_1__1_EmissionsFromPurchasedLivestock_Pigs_Result_Method1</vt:lpstr>
      <vt:lpstr>VEERG_15_1_1_1__1_EmissionsFromPurchasedLivestock_Pigs_Result_Method2</vt:lpstr>
      <vt:lpstr>VEERG_15_1_1_1__1_EmissionsFromPurchasedLivestock_Poultry_Result_Method1</vt:lpstr>
      <vt:lpstr>VEERG_15_1_1_1__1_EmissionsFromPurchasedLivestock_Poultry_Result_Method2</vt:lpstr>
      <vt:lpstr>VEERG_15_10_1_1__1_OtherPurchasedGoodsAndServices_CleaningChemicals_Result_Method1</vt:lpstr>
      <vt:lpstr>VEERG_15_10_1_1__1_OtherPurchasedGoodsAndServices_CleaningChemicals_Result_Method2</vt:lpstr>
      <vt:lpstr>VEERG_15_10_1_1__1_OtherPurchasedGoodsAndServices_Misc_Result_Method1</vt:lpstr>
      <vt:lpstr>VEERG_15_10_1_1__1_OtherPurchasedGoodsAndServices_Misc_Result_Method2</vt:lpstr>
      <vt:lpstr>VEERG_15_10_1_1__1_OtherPurchasedGoodsAndServices_PharmacyChemicals_Result_Method1</vt:lpstr>
      <vt:lpstr>VEERG_15_10_1_1__1_OtherPurchasedGoodsAndServices_PharmacyChemicals_Result_Method2</vt:lpstr>
      <vt:lpstr>VEERG_15_10_1_1__1_OtherPurchasedGoodsAndServices_Seed_Result_Method1</vt:lpstr>
      <vt:lpstr>VEERG_15_10_1_1__1_OtherPurchasedGoodsAndServices_Seed_Result_Method2</vt:lpstr>
      <vt:lpstr>VEERG_15_10_1_1__1_OtherPurchasedGoodsAndServices_Uncategorised_Result_Method1</vt:lpstr>
      <vt:lpstr>VEERG_15_10_1_1__1_OtherPurchasedGoodsAndServices_Uncategorised_Result_Method2</vt:lpstr>
      <vt:lpstr>VEERG_15_11_1_1__1_TotalUpstreamEmissionsFromFuel_Result</vt:lpstr>
      <vt:lpstr>VEERG_15_12_1_1__1_UpstreamPurchasedElectricityLocationBased_Result</vt:lpstr>
      <vt:lpstr>VEERG_15_12_1_2__1_UpstreamPurchasedElectricityMarketBasedVariation_Result</vt:lpstr>
      <vt:lpstr>VEERG_15_13_1_1__1_EmissionsFromManureSentOffSite_Result_Method1_CO2e</vt:lpstr>
      <vt:lpstr>VEERG_15_13_1_1__1_EmissionsFromManureSentOffSite_Result_Method2_CO2e</vt:lpstr>
      <vt:lpstr>VEERG_15_14_1_1__1_EmbeddedEmissionsFromUpstreamFreight_Incoming_Result_Method1</vt:lpstr>
      <vt:lpstr>VEERG_15_14_1_1__1_EmbeddedEmissionsFromUpstreamFreight_Incoming_Result_Method2</vt:lpstr>
      <vt:lpstr>VEERG_15_14_1_1__1_EmbeddedEmissionsFromUpstreamFreight_Outgoing_Result_Method1</vt:lpstr>
      <vt:lpstr>VEERG_15_14_1_1__1_EmbeddedEmissionsFromUpstreamFreight_Outgoing_Result_Method2</vt:lpstr>
      <vt:lpstr>VEERG_15_2_1_1__1_EmissionsFromPurchasedFeed_Result_Method1</vt:lpstr>
      <vt:lpstr>VEERG_15_2_1_1__1_EmissionsFromPurchasedFeed_Result_Method2</vt:lpstr>
      <vt:lpstr>VEERG_15_3_1_1__1_EmissionsFromPurchasedMineralSupplements_Result_Method1</vt:lpstr>
      <vt:lpstr>VEERG_15_3_1_1__1_EmissionsFromPurchasedMineralSupplements_Result_Method2</vt:lpstr>
      <vt:lpstr>VEERG_15_4_1_1__2_EmissionsFromPurchasedFertiliserComponentsVariation_Result_Method1</vt:lpstr>
      <vt:lpstr>VEERG_15_4_1_1__2_EmissionsFromPurchasedFertiliserComponentsVariation_Result_Method2</vt:lpstr>
      <vt:lpstr>VEERG_15_5_1_1__1_EmissionsFromPurchasedAgrichemicals_Result_Method1</vt:lpstr>
      <vt:lpstr>VEERG_15_5_1_1__1_EmissionsFromPurchasedAgrichemicals_Result_Method2</vt:lpstr>
      <vt:lpstr>VEERG_15_6_1_1__1_EmissionsFromPurchasedLime_Result_Method1</vt:lpstr>
      <vt:lpstr>VEERG_15_6_1_1__1_EmissionsFromPurchasedLime_Result_Method2</vt:lpstr>
      <vt:lpstr>VEERG_15_7_1_1__1_EmissionsFromPurchasedServices_Result_Method1</vt:lpstr>
      <vt:lpstr>VEERG_15_7_1_1__1_EmissionsFromPurchasedServices_Result_Method2</vt:lpstr>
      <vt:lpstr>VEERG_15_8_1_1__1_EmissionsFromPurchasedPackaging_Result_Method1</vt:lpstr>
      <vt:lpstr>VEERG_15_8_1_1__1_EmissionsFromPurchasedPackaging_Result_Method2</vt:lpstr>
      <vt:lpstr>VEERG_15_9_1_1__1_EmissionsFromPurchasedGrowMedia_Result_Method1</vt:lpstr>
      <vt:lpstr>VEERG_15_9_1_1__1_EmissionsFromPurchasedGrowMedia_Result_Method2</vt:lpstr>
      <vt:lpstr>VEERG_5_2_1_1__1_OrganicFertiliserApplicationN2OEmissions_Result_Method1</vt:lpstr>
      <vt:lpstr>VEERG_5_2_1_1__1_OrganicFertiliserApplicationN2OEmissions_Result_Method2</vt:lpstr>
      <vt:lpstr>VEERG_5_4_1_3__1_OrganicFertiliserAtmosphericDepositionN2OEmissions_Result_Method1</vt:lpstr>
      <vt:lpstr>VEERG_5_4_1_3__1_OrganicFertiliserAtmosphericDepositionN2OEmissions_Result_Method2</vt:lpstr>
      <vt:lpstr>VEERG_5_5_1_1__1_FertiliserLeachingAndRunoffN2OEmissions_Result_Method1</vt:lpstr>
      <vt:lpstr>VEERG_5_5_1_1__1_FertiliserLeachingAndRunoffN2OEmissions_Result_Method2</vt:lpstr>
      <vt:lpstr>VEERG_8_1_1_1__1_FuelCombustionTransport_Result</vt:lpstr>
      <vt:lpstr>VEERG_8_1_1_1__1_FuelCombustionTransport_Result_CH4</vt:lpstr>
      <vt:lpstr>VEERG_8_1_1_1__1_FuelCombustionTransport_Result_CO2</vt:lpstr>
      <vt:lpstr>VEERG_8_1_1_1__1_FuelCombustionTransport_Result_N2O</vt:lpstr>
      <vt:lpstr>VEERG_8_1_1_1__1_FuelCombustionTransport_Result_Scope3</vt:lpstr>
      <vt:lpstr>VEERG_8_2_1_1__1_FuelCombustionStationary_Result</vt:lpstr>
      <vt:lpstr>VEERG_8_2_1_1__1_FuelCombustionStationary_Result_CH4</vt:lpstr>
      <vt:lpstr>VEERG_8_2_1_1__1_FuelCombustionStationary_Result_CO2</vt:lpstr>
      <vt:lpstr>VEERG_8_2_1_1__1_FuelCombustionStationary_Result_N2O</vt:lpstr>
      <vt:lpstr>VEERG_8_2_1_1__1_FuelCombustionStationary_Result_Scope3</vt:lpstr>
      <vt:lpstr>X_Cell_Electricity_CalculationMethod</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lpstr>X_Cell_FarmInputs_FeedRations_Chickens</vt:lpstr>
      <vt:lpstr>X_Cell_FarmInputs_FeedRations_DairyCalves</vt:lpstr>
      <vt:lpstr>X_Cell_FarmInputs_FeedRations_DairyCows</vt:lpstr>
      <vt:lpstr>X_Cell_FarmInputs_FeedRations_Pigs</vt:lpstr>
      <vt:lpstr>X_Cell_FarmInputs_LickBlocks_DrySeasonMix</vt:lpstr>
      <vt:lpstr>X_Cell_FarmInputs_LickBlocks_Mineral</vt:lpstr>
      <vt:lpstr>X_Cell_FarmInputs_LickBlocks_Weaner</vt:lpstr>
      <vt:lpstr>X_Cell_FarmInputs_Misc_AnimalEarTagsLarge</vt:lpstr>
      <vt:lpstr>X_Cell_FarmInputs_Misc_AnimalEarTagsSmall</vt:lpstr>
      <vt:lpstr>X_Cell_FarmInputs_Misc_NylonNetting</vt:lpstr>
      <vt:lpstr>X_Cell_FarmInputs_Seed_BarleyGrain</vt:lpstr>
      <vt:lpstr>X_Cell_FarmInputs_Seed_MaizeGrain</vt:lpstr>
      <vt:lpstr>X_Cell_FarmInputs_Seed_OatGrain</vt:lpstr>
      <vt:lpstr>X_Cell_FarmInputs_Seed_SorghumGrain</vt:lpstr>
      <vt:lpstr>X_Cell_FarmInputs_Seed_WheatGrain</vt:lpstr>
      <vt:lpstr>X_Cell_Fertiliser_AreaUnderCropping</vt:lpstr>
      <vt:lpstr>X_Cell_Fertiliser_CropType</vt:lpstr>
      <vt:lpstr>X_Cell_Fertiliser_IrrigationMethod</vt:lpstr>
      <vt:lpstr>X_Cell_Fertiliser_ProductionSystem</vt:lpstr>
      <vt:lpstr>X_Cell_Fuel_IsMetroLocation</vt:lpstr>
      <vt:lpstr>X_Cell_ManureSentOffsite_ManureIrrigationMethod</vt:lpstr>
      <vt:lpstr>X_Cell_ManureSentOffsite_ManureProductionSystem</vt:lpstr>
      <vt:lpstr>X_Cell_ManureSentOffsite_MassNitrogenManure_Method1</vt:lpstr>
      <vt:lpstr>X_Cell_ManureSentOffsite_MassNitrogenManure_Method2</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X_Cell_TotalElegibleRECsForElectricityProducedOnSite</vt:lpstr>
      <vt:lpstr>X_Cell_TotalElegibleVoluntarilySurrenderedRECs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2026-05-25T02:58:55Z</dcterms:created>
  <dcterms:modified xsi:type="dcterms:W3CDTF">2026-07-31T05:55:33Z</dcterms:modified>
</cp:coreProperties>
</file>