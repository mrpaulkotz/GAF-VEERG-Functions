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7BF4E55-B1D2-4CF7-AE0E-2383CE93EA8C}"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7"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
  )</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Site_EndDate">'Input - Site'!$E$13</definedName>
    <definedName name="Input_Site_FarmName">'Input - Site'!$E$7</definedName>
    <definedName name="Input_Site_ReportingEntityName">'Input - Site'!$E$8</definedName>
    <definedName name="Input_Site_StartDate">'Input - Site'!$E$12</definedName>
    <definedName name="M1_Table_E_CH4">'3.1.1.1-2 Enteric Methane'!$D$64:$F$65</definedName>
    <definedName name="M1_Table_EE_j">'3.1.1.1-2 Enteric Methane'!$D$24:$F$25</definedName>
    <definedName name="M1_Table_I_j">'3.1.1.1-2 Enteric Methane'!$D$19:$F$20</definedName>
    <definedName name="M1_Table_M_j">'3.1.1.1-2 Enteric Methane'!$D$34:$F$35</definedName>
    <definedName name="M1_Table_NDF_j">'3.1.1.1-2 Enteric Methane'!$D$29:$F$30</definedName>
    <definedName name="M2_Table_E_CH4">'3.1.1.1-2 Enteric Methane'!$M$64:$O$65</definedName>
    <definedName name="M2_Table_EE_j">'3.1.1.1-2 Enteric Methane'!$M$24:$O$25</definedName>
    <definedName name="M2_Table_I_j">'3.1.1.1-2 Enteric Methane'!$M$19:$O$20</definedName>
    <definedName name="M2_Table_M_j">'3.1.1.1-2 Enteric Methane'!$M$34:$O$35</definedName>
    <definedName name="M2_Table_NDF_j">'3.1.1.1-2 Enteric Methane'!$M$29:$O$30</definedName>
    <definedName name="Range_LivestockStartingValues">#REF!</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Step1">#REF!</definedName>
    <definedName name="Step2">#REF!</definedName>
    <definedName name="Step3">#REF!</definedName>
    <definedName name="Table_D_j">'3.1.1.1-2 Enteric Methane'!$D$54:$F$55</definedName>
    <definedName name="Table_N_j">'3.1.1.1-2 Enteric Methane'!$D$59:$F$60</definedName>
    <definedName name="VEERG_3_1_1_1__1_TotalAnnualMethaneFromEntericFermentation_Result">'3.1.1.1-2 Enteric Methane'!$E$67</definedName>
    <definedName name="X_Table_Feedlot_HerdMovement">'Input - Feedlot'!$D$7:$G$9</definedName>
    <definedName name="X_Table_Feedlot_Intake_Method1">'Input - Feedlot'!$D$13:$G$16</definedName>
    <definedName name="X_Table_Feedlot_Intake_Method2">'Input - Feedlot'!$D$18:$G$21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74" l="1"/>
  <c r="A21" i="74"/>
  <c r="A20" i="74"/>
  <c r="A19" i="74"/>
  <c r="A18" i="74"/>
  <c r="A14" i="74"/>
  <c r="A10" i="74"/>
  <c r="A9" i="74"/>
  <c r="A5" i="74"/>
  <c r="A4" i="74"/>
  <c r="A3" i="74"/>
  <c r="A22" i="72"/>
  <c r="A21" i="72"/>
  <c r="A20" i="72"/>
  <c r="A19" i="72"/>
  <c r="A18" i="72"/>
  <c r="A14" i="72"/>
  <c r="A10" i="72"/>
  <c r="A9" i="72"/>
  <c r="A5" i="72"/>
  <c r="A4" i="72"/>
  <c r="A3" i="72"/>
  <c r="A22" i="43"/>
  <c r="A21" i="43"/>
  <c r="A20" i="43"/>
  <c r="A19" i="43"/>
  <c r="A18" i="43"/>
  <c r="A14" i="43"/>
  <c r="A10" i="43"/>
  <c r="A9" i="43"/>
  <c r="A5" i="43"/>
  <c r="A4" i="43"/>
  <c r="A3" i="43"/>
  <c r="A22" i="107"/>
  <c r="A21" i="107"/>
  <c r="A20" i="107"/>
  <c r="A19" i="107"/>
  <c r="A18" i="107"/>
  <c r="A14" i="107"/>
  <c r="A10" i="107"/>
  <c r="A9" i="107"/>
  <c r="A5" i="107"/>
  <c r="A4" i="107"/>
  <c r="A3" i="107"/>
  <c r="A22" i="79"/>
  <c r="A21" i="79"/>
  <c r="A20" i="79"/>
  <c r="A19" i="79"/>
  <c r="A18" i="79"/>
  <c r="A14" i="79"/>
  <c r="A10" i="79"/>
  <c r="A9" i="79"/>
  <c r="A5" i="79"/>
  <c r="A4" i="79"/>
  <c r="A3" i="79"/>
  <c r="A22" i="69"/>
  <c r="A21" i="69"/>
  <c r="A20" i="69"/>
  <c r="A19" i="69"/>
  <c r="A18" i="69"/>
  <c r="A14" i="69"/>
  <c r="A10" i="69"/>
  <c r="A9" i="69"/>
  <c r="A5" i="69"/>
  <c r="A4" i="69"/>
  <c r="A3" i="69"/>
  <c r="A22" i="70"/>
  <c r="A21" i="70"/>
  <c r="A20" i="70"/>
  <c r="A19" i="70"/>
  <c r="A18" i="70"/>
  <c r="A14" i="70"/>
  <c r="A10" i="70"/>
  <c r="A9" i="70"/>
  <c r="A5" i="70"/>
  <c r="A4" i="70"/>
  <c r="A3" i="70"/>
  <c r="A22" i="15"/>
  <c r="A21" i="15"/>
  <c r="A20" i="15"/>
  <c r="A19" i="15"/>
  <c r="A18" i="15"/>
  <c r="A14" i="15"/>
  <c r="A10" i="15"/>
  <c r="A9" i="15"/>
  <c r="A5" i="15"/>
  <c r="A4" i="15"/>
  <c r="A3" i="15"/>
  <c r="A22" i="13"/>
  <c r="A21" i="13"/>
  <c r="A20" i="13"/>
  <c r="A19" i="13"/>
  <c r="A18" i="13"/>
  <c r="A14" i="13"/>
  <c r="A10" i="13"/>
  <c r="A9" i="13"/>
  <c r="A5" i="13"/>
  <c r="A4" i="13"/>
  <c r="A3" i="13"/>
  <c r="A22" i="100"/>
  <c r="A21" i="100"/>
  <c r="A20" i="100"/>
  <c r="A19" i="100"/>
  <c r="A18" i="100"/>
  <c r="A14" i="100"/>
  <c r="A10" i="100"/>
  <c r="A9" i="100"/>
  <c r="A5" i="100"/>
  <c r="A4" i="100"/>
  <c r="A3" i="100"/>
  <c r="A22" i="71"/>
  <c r="A21" i="71"/>
  <c r="A20" i="71"/>
  <c r="A19" i="71"/>
  <c r="A18" i="71"/>
  <c r="A14" i="71"/>
  <c r="A10" i="71"/>
  <c r="A9" i="71"/>
  <c r="A5" i="71"/>
  <c r="A4" i="71"/>
  <c r="A3" i="71"/>
  <c r="G29" i="79"/>
  <c r="G28" i="79"/>
  <c r="P70" i="69"/>
  <c r="G70"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c r="D227" i="107" a="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a="1"/>
  <c r="D179" i="107" s="1"/>
  <c r="D178" i="107" a="1"/>
  <c r="D178" i="107" s="1"/>
  <c r="E175" i="107" a="1"/>
  <c r="E175" i="107" s="1"/>
  <c r="D175" i="107"/>
  <c r="D175" i="107" a="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a="1"/>
  <c r="D161" i="107" s="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c r="D140" i="107" a="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c r="D105" i="107" a="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c r="D59" i="107" a="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D60" i="69" a="1"/>
  <c r="D60" i="69" s="1"/>
  <c r="D55" i="69" a="1"/>
  <c r="D55" i="69" s="1"/>
  <c r="H50" i="107" l="1"/>
  <c r="H54" i="107"/>
  <c r="H49" i="107"/>
  <c r="H51" i="107"/>
  <c r="H52" i="107"/>
  <c r="H53" i="107"/>
  <c r="H48" i="107"/>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E41" i="69" l="1"/>
  <c r="P20" i="69"/>
  <c r="P30" i="69"/>
  <c r="P25" i="69"/>
  <c r="G30" i="69"/>
  <c r="G25" i="69"/>
  <c r="E7" i="69"/>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E19" i="70" l="1" a="1"/>
  <c r="E19" i="70" s="1"/>
  <c r="G14" i="70" a="1"/>
  <c r="G14" i="70" s="1"/>
  <c r="E15" i="70" a="1"/>
  <c r="E15" i="70" s="1"/>
  <c r="F14" i="70" a="1"/>
  <c r="F14" i="70" s="1"/>
  <c r="E14" i="70" a="1"/>
  <c r="E14" i="70" s="1"/>
  <c r="G21" i="70" a="1"/>
  <c r="G21" i="70" s="1"/>
  <c r="F19" i="70" a="1"/>
  <c r="F19" i="70" s="1"/>
  <c r="G19" i="70" a="1"/>
  <c r="G19" i="70" s="1"/>
  <c r="G15" i="70" a="1"/>
  <c r="G15" i="70" s="1"/>
  <c r="E16" i="70" a="1"/>
  <c r="E16" i="70" s="1"/>
  <c r="F16" i="70" a="1"/>
  <c r="F16" i="70" s="1"/>
  <c r="G16" i="70" a="1"/>
  <c r="G16" i="70" s="1"/>
  <c r="E20" i="70" a="1"/>
  <c r="E20" i="70" s="1"/>
  <c r="E21" i="70" a="1"/>
  <c r="E21" i="70" s="1"/>
  <c r="F21" i="70" a="1"/>
  <c r="F21" i="70" s="1"/>
  <c r="F15" i="70" a="1"/>
  <c r="F15" i="70" s="1"/>
  <c r="F20" i="70" a="1"/>
  <c r="F20" i="70" s="1"/>
  <c r="G20" i="70" a="1"/>
  <c r="G20" i="70" s="1"/>
  <c r="D69" i="69" a="1"/>
  <c r="D69" i="69" s="1"/>
  <c r="F72" i="69" a="1"/>
  <c r="F72" i="69" s="1"/>
  <c r="D30" i="69" l="1" a="1"/>
  <c r="D30" i="69" s="1"/>
  <c r="M30" i="69" a="1"/>
  <c r="M30" i="69" s="1"/>
  <c r="M25" i="69" a="1"/>
  <c r="M25" i="69" s="1"/>
  <c r="D20" i="69" a="1"/>
  <c r="D20" i="69" s="1"/>
  <c r="D25" i="69" a="1"/>
  <c r="D25" i="69" s="1"/>
  <c r="M20" i="69" a="1"/>
  <c r="M20" i="69" s="1"/>
  <c r="M35" i="69" l="1" a="1"/>
  <c r="M35" i="69" s="1"/>
  <c r="M65" i="69" s="1" a="1"/>
  <c r="M65" i="69" s="1"/>
  <c r="O35" i="69" a="1"/>
  <c r="O35" i="69" s="1"/>
  <c r="O65" i="69" s="1" a="1"/>
  <c r="O65" i="69" s="1"/>
  <c r="N35" i="69" a="1"/>
  <c r="N35" i="69" s="1"/>
  <c r="N65" i="69" s="1" a="1"/>
  <c r="N65" i="69" s="1"/>
  <c r="D8" i="70"/>
  <c r="D9" i="70"/>
  <c r="G35" i="69" l="1"/>
  <c r="P65" i="69"/>
  <c r="H69" i="69"/>
  <c r="Q69" i="69"/>
  <c r="G65" i="69"/>
  <c r="O67" i="69"/>
  <c r="F67" i="69"/>
  <c r="G7" i="13" s="1"/>
  <c r="F35" i="69" a="1"/>
  <c r="F35" i="69" s="1"/>
  <c r="F65" i="69" s="1" a="1"/>
  <c r="F65" i="69" s="1"/>
  <c r="E35" i="69" a="1"/>
  <c r="E35" i="69" s="1"/>
  <c r="E65" i="69" s="1" a="1"/>
  <c r="E65" i="69" s="1"/>
  <c r="D35" i="69"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N67" i="69"/>
  <c r="P69" i="69" s="1"/>
  <c r="N72" i="69" s="1" a="1"/>
  <c r="N72" i="69" s="1"/>
  <c r="I7" i="13" s="1"/>
  <c r="I8" i="13" s="1"/>
  <c r="G69" i="69" l="1"/>
  <c r="E72" i="69" s="1" a="1"/>
  <c r="E72" i="69" s="1"/>
  <c r="H7" i="13" s="1"/>
  <c r="H8" i="13" s="1"/>
  <c r="E7" i="13"/>
  <c r="F7"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<sst xmlns="http://schemas.openxmlformats.org/spreadsheetml/2006/main" count="286" uniqueCount="181">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</sst>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5" fillId="4" borderId="0">
      <alignment horizontal="left" vertical="center"/>
    </xf>
    <xf numFmtId="0" fontId="40" fillId="4" borderId="0">
      <alignment vertical="center"/>
    </xf>
    <xf numFmtId="0" fontId="3" fillId="4" borderId="0">
      <alignment horizontal="left" vertical="center"/>
    </xf>
    <xf numFmtId="0" fontId="3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1"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0" fillId="4" borderId="0">
      <alignment horizontal="left" vertical="center"/>
    </xf>
    <xf numFmtId="0" fontId="36"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39" fillId="4" borderId="0">
      <alignment horizontal="left" vertical="center"/>
    </xf>
    <xf numFmtId="0" fontId="10" fillId="0" borderId="0"/>
    <xf numFmtId="0" fontId="2" fillId="0" borderId="2">
      <alignment horizontal="center" vertical="center"/>
    </xf>
    <xf numFmtId="0" fontId="44" fillId="4" borderId="0">
      <alignment horizontal="left" vertical="center"/>
    </xf>
    <xf numFmtId="0" fontId="45" fillId="4" borderId="0">
      <alignment horizontal="left" vertical="center"/>
    </xf>
    <xf numFmtId="0" fontId="51" fillId="4" borderId="0">
      <alignment horizontal="left" vertical="center"/>
    </xf>
    <xf numFmtId="0" fontId="43" fillId="11" borderId="0">
      <alignment horizontal="center" vertical="center"/>
    </xf>
    <xf numFmtId="0" fontId="22" fillId="11" borderId="0">
      <alignment horizontal="left" vertical="center" indent="1"/>
    </xf>
    <xf numFmtId="0" fontId="55" fillId="14" borderId="2">
      <alignment horizontal="center" vertical="center"/>
    </xf>
    <xf numFmtId="0" fontId="56" fillId="15" borderId="2">
      <alignment horizontal="center" vertical="center"/>
    </xf>
    <xf numFmtId="0" fontId="33" fillId="4" borderId="2">
      <alignment horizontal="left" vertical="center"/>
    </xf>
    <xf numFmtId="0" fontId="57" fillId="4" borderId="2">
      <alignment horizontal="left" vertical="center"/>
    </xf>
  </cellStyleXfs>
  <cellXfs count="112">
    <xf numFmtId="0" fontId="0" fillId="0" borderId="0" xfId="0"/>
    <xf numFmtId="0" fontId="37"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0" fillId="4" borderId="0" xfId="6">
      <alignment vertical="center"/>
    </xf>
    <xf numFmtId="0" fontId="35"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1"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7"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5" fillId="0" borderId="0" xfId="5" applyFill="1">
      <alignment horizontal="left" vertical="center"/>
    </xf>
    <xf numFmtId="0" fontId="40" fillId="0" borderId="0" xfId="6" applyFill="1">
      <alignment vertical="center"/>
    </xf>
    <xf numFmtId="0" fontId="37" fillId="0" borderId="0" xfId="8" applyFill="1">
      <alignment horizontal="left" vertical="center"/>
    </xf>
    <xf numFmtId="0" fontId="9" fillId="0" borderId="0" xfId="12" applyFont="1" applyFill="1" applyAlignment="1">
      <alignment horizontal="left" vertical="center"/>
    </xf>
    <xf numFmtId="0" fontId="37"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8" fillId="4" borderId="0" xfId="8" applyFont="1">
      <alignment horizontal="left" vertical="center"/>
    </xf>
    <xf numFmtId="0" fontId="6" fillId="4" borderId="0" xfId="55">
      <alignment horizontal="left" vertical="center"/>
    </xf>
    <xf numFmtId="0" fontId="39"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2" xfId="58">
      <alignment horizontal="center" vertical="center"/>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1" fillId="13" borderId="10" xfId="40" applyBorder="1">
      <alignment horizontal="left" vertical="center"/>
    </xf>
    <xf numFmtId="0" fontId="41" fillId="13" borderId="12" xfId="40" applyBorder="1">
      <alignment horizontal="left" vertical="center"/>
    </xf>
    <xf numFmtId="0" fontId="41" fillId="13" borderId="14" xfId="40" applyBorder="1">
      <alignment horizontal="left" vertical="center"/>
    </xf>
    <xf numFmtId="0" fontId="41" fillId="13" borderId="13" xfId="40" applyBorder="1">
      <alignment horizontal="left" vertical="center"/>
    </xf>
    <xf numFmtId="0" fontId="41" fillId="13" borderId="15" xfId="40" applyBorder="1">
      <alignment horizontal="left" vertical="center"/>
    </xf>
    <xf numFmtId="0" fontId="41" fillId="13" borderId="17" xfId="40" applyBorder="1">
      <alignment horizontal="left" vertical="center"/>
    </xf>
    <xf numFmtId="0" fontId="41" fillId="13" borderId="11" xfId="40" applyBorder="1">
      <alignment horizontal="left" vertical="center"/>
    </xf>
    <xf numFmtId="0" fontId="41" fillId="13" borderId="16" xfId="40" applyBorder="1">
      <alignment horizontal="left" vertical="center"/>
    </xf>
    <xf numFmtId="0" fontId="41" fillId="13" borderId="18" xfId="40" applyBorder="1">
      <alignment horizontal="left" vertical="center"/>
    </xf>
    <xf numFmtId="0" fontId="0" fillId="0" borderId="0" xfId="1" applyFont="1" applyFill="1">
      <alignment horizontal="left" vertical="center" indent="1"/>
      <protection locked="0"/>
    </xf>
    <xf numFmtId="0" fontId="45" fillId="4" borderId="0" xfId="60">
      <alignment horizontal="left" vertical="center"/>
    </xf>
    <xf numFmtId="0" fontId="44"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6" fillId="4" borderId="1" xfId="8" applyFont="1" applyBorder="1">
      <alignment horizontal="left" vertical="center"/>
    </xf>
    <xf numFmtId="0" fontId="47" fillId="4" borderId="1" xfId="8" applyFont="1" applyBorder="1">
      <alignment horizontal="left" vertical="center"/>
    </xf>
    <xf numFmtId="0" fontId="48"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1" fillId="4" borderId="0" xfId="61">
      <alignment horizontal="left" vertical="center"/>
    </xf>
    <xf numFmtId="0" fontId="52" fillId="2" borderId="0" xfId="8" applyFont="1" applyFill="1">
      <alignment horizontal="left" vertical="center"/>
    </xf>
    <xf numFmtId="0" fontId="41"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3" fillId="11" borderId="0" xfId="62">
      <alignment horizontal="center" vertical="center"/>
    </xf>
    <xf numFmtId="0" fontId="22" fillId="11" borderId="0" xfId="63">
      <alignment horizontal="left" vertical="center" indent="1"/>
    </xf>
    <xf numFmtId="0" fontId="54" fillId="0" borderId="0" xfId="2" applyFont="1"/>
    <xf numFmtId="0" fontId="55" fillId="14" borderId="2" xfId="64">
      <alignment horizontal="center" vertical="center"/>
    </xf>
    <xf numFmtId="0" fontId="56" fillId="15" borderId="2" xfId="65">
      <alignment horizontal="center" vertical="center"/>
    </xf>
    <xf numFmtId="0" fontId="33" fillId="4" borderId="2" xfId="66">
      <alignment horizontal="left" vertical="center"/>
    </xf>
    <xf numFmtId="0" fontId="57"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58" fillId="9" borderId="0" xfId="32" applyFont="1" applyFill="1"/>
    <xf numFmtId="0" fontId="37" fillId="9" borderId="0" xfId="8" applyFill="1">
      <alignment horizontal="left" vertical="center"/>
    </xf>
    <xf numFmtId="0" fontId="17" fillId="11" borderId="0" xfId="31" applyFill="1">
      <alignment vertical="center"/>
    </xf>
    <xf numFmtId="0" fontId="41" fillId="13" borderId="20" xfId="40" applyBorder="1">
      <alignment horizontal="left" vertical="center"/>
    </xf>
    <xf numFmtId="0" fontId="42" fillId="13" borderId="21" xfId="40" applyFont="1" applyBorder="1">
      <alignment horizontal="left" vertical="center"/>
    </xf>
    <xf numFmtId="0" fontId="41" fillId="13" borderId="21" xfId="40" applyBorder="1">
      <alignment horizontal="left" vertical="center"/>
    </xf>
    <xf numFmtId="0" fontId="59" fillId="9" borderId="5" xfId="35" applyFont="1">
      <alignment horizontal="left" vertical="center" indent="1"/>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2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2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2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2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2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2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2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2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1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1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1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1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1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1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1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1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1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1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0DF746-1091-4B49-8367-0E131494536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0A422C8-5A53-41C0-9E90-814DD95CDF96}" name="State/Territory">
      <calculatedColumnFormula array="1">Common_InputFunctions.Utility_DisplayArrayInTable(Common_SourceData.Common_SourceData_AustralianStatesTerritories_Data(),Table_AustralianStates[[#Headers],[State/Territory]],0)</calculatedColumnFormula>
    </tableColumn>
    <tableColumn id="2" xr3:uid="{01C18A80-F5AF-4E30-97E5-8C731BC8B1DB}" name="Common Name">
      <calculatedColumnFormula array="1">Common_InputFunctions.Utility_DisplayArrayInTable(Common_SourceData.Common_SourceData_AustralianStatesTerritories_Data(),Table_AustralianStates[[#Headers],[State/Territory]],0)</calculatedColumnFormula>
    </tableColumn>
    <tableColumn id="3" xr3:uid="{9824EB3C-3059-4024-A6A6-F31515C4CC9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A7632E-7B49-4CE4-8083-41C4298423F1}" name="Table_WASA4Areas" displayName="Table_WASA4Areas" ref="D20:D30" totalsRowShown="0">
  <autoFilter ref="D20:D30" xr:uid="{5FA81339-C6C8-4D36-BEEA-6C4AEDD9E676}">
    <filterColumn colId="0" hiddenButton="1"/>
  </autoFilter>
  <tableColumns count="1">
    <tableColumn id="1" xr3:uid="{035D2322-17F8-4DEB-903A-B31A1A884C98}"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BB9B5A-5C50-4503-A178-5D2FB02C585A}" name="Table_GWPData" displayName="Table_GWPData" ref="D36:E43" totalsRowShown="0">
  <autoFilter ref="D36:E43" xr:uid="{B8E87A66-3E41-4AD3-925D-01EE21B43D7A}">
    <filterColumn colId="0" hiddenButton="1"/>
    <filterColumn colId="1" hiddenButton="1"/>
  </autoFilter>
  <tableColumns count="2">
    <tableColumn id="1" xr3:uid="{674C93DA-C543-4013-8933-BF2533EC31D5}" name="Gas">
      <calculatedColumnFormula array="1">Common_InputFunctions.Utility_DisplayArrayInTable(Common_SourceData.Common_SourceData_GWP_Data(), Table_GWPData[[#Headers],[Gas]], 0)</calculatedColumnFormula>
    </tableColumn>
    <tableColumn id="2" xr3:uid="{63884D34-C41A-41E3-8958-D679063A2B7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7ABF2C0-8818-493B-A6E9-19ED9DEAC03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6F87F341-B413-4C34-B907-481E311E9542}" name="Gas">
      <calculatedColumnFormula array="1">Common_InputFunctions.Utility_DisplayArrayInTable(Common_SourceData.Common_SourceData_ConvertGasElementalToMolecular_Data(),Table_GasToMolecularConversionFactor[[#Headers],[Gas]], 0)</calculatedColumnFormula>
    </tableColumn>
    <tableColumn id="5" xr3:uid="{026728A7-43FD-423D-99FE-E0378BAAB74C}" name="Conversion factor">
      <calculatedColumnFormula array="1">Common_InputFunctions.Utility_DisplayArrayInTable(Common_SourceData.Common_SourceData_ConvertGasElementalToMolecular_Data(),Table_GasToMolecularConversionFactor[[#Headers],[Gas]], 0)</calculatedColumnFormula>
    </tableColumn>
    <tableColumn id="2" xr3:uid="{98872CE2-81D2-44A2-9E19-D072C2BBC87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7FF3C4F-98BC-4655-96C8-739FE21B7FB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B4A6EF34-0103-4906-A028-3987DBD89C4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60F170A-A51C-442F-BA7D-3823102A202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839A1EF-4B15-4234-B343-1A1F493979C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BD0DF90-744F-40F3-8580-9EA58BA68AA6}"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51762F92-021A-47FE-9970-49A6EAE787E0}"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BB4F3789-5D46-456C-A52B-220A3B381575}"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91E49774-65D5-4958-BDCA-2B8FC9019534}"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241FA067-2AA3-4A5A-B367-097B727E4485}"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881A68ED-CEDC-49BD-94A6-596099115680}"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70A7B61F-EAED-44DF-BFA2-D774B5F3305C}"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C0653685-C35A-456E-B9D8-598BE728FF4F}"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2C889719-50FA-4A39-9AEF-C11A12F6DF60}"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D915D114-A168-40F6-822B-AFF782FBADF6}"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92764924-DF23-42A6-A4B5-8055A4D84219}"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F7926A3B-850E-4EE9-A5CD-E2ED42C12773}"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ED6ECA7E-360E-4402-85AB-8A72354B2A0E}"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8D74C06B-B882-45C8-99DD-B7A2A2488C02}"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FB03C88B-3B9E-45C3-A0D2-CE021FE5F063}"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2CAB8B5-86F8-4ACE-A4EB-B856DAEFA83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0D1A967-5587-4E04-8CD4-0CFD5458CD8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288AF53-4B13-4FE4-AE46-2A46570F98DB}"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BB5C444-CB6F-46ED-A105-044C2CEB241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F097C5B-3F34-4356-A14B-D6D17A22D7D6}" name="Temperature Zone">
      <calculatedColumnFormula array="1">Common_InputFunctions.Utility_DisplayArrayInTable(Common_SourceData.Common_SourceData_TemperatureZones_Data(),Table_SourceData_TemperatureZones[[#Headers],[Temperature Zone]],0)</calculatedColumnFormula>
    </tableColumn>
    <tableColumn id="2" xr3:uid="{1E4A5E8F-7A5E-486D-955B-07CAC097BDB2}" name="MAT">
      <calculatedColumnFormula array="1">Common_InputFunctions.Utility_DisplayArrayInTable(Common_SourceData.Common_SourceData_TemperatureZones_Data(),Table_SourceData_TemperatureZones[[#Headers],[Temperature Zone]],0)</calculatedColumnFormula>
    </tableColumn>
    <tableColumn id="3" xr3:uid="{1DBFEF9C-EE42-45D2-BF57-B808DFAD8544}" name="Min MAT">
      <calculatedColumnFormula array="1">Common_InputFunctions.Utility_DisplayArrayInTable(Common_SourceData.Common_SourceData_TemperatureZones_Data(),Table_SourceData_TemperatureZones[[#Headers],[Temperature Zone]],0)</calculatedColumnFormula>
    </tableColumn>
    <tableColumn id="4" xr3:uid="{65E56E11-843D-41B9-A470-35B73CBC1BA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4316562-19BE-4E33-A414-5C86DE06DF1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5BB9981-F52F-4668-A357-9A2F801F1BAA}" name="Rainfall Zone">
      <calculatedColumnFormula array="1">Common_InputFunctions.Utility_DisplayArrayInTable(Common_SourceData.Common_SourceData_RainfallZones_Data(),Table_SourceData_RainfallZones[[#Headers],[Rainfall Zone]],0)</calculatedColumnFormula>
    </tableColumn>
    <tableColumn id="2" xr3:uid="{0877EA21-2B68-4ACC-818A-A112B8BB5DF4}" name="Annual rainfall">
      <calculatedColumnFormula array="1">Common_InputFunctions.Utility_DisplayArrayInTable(Common_SourceData.Common_SourceData_RainfallZones_Data(),Table_SourceData_RainfallZones[[#Headers],[Rainfall Zone]],0)</calculatedColumnFormula>
    </tableColumn>
    <tableColumn id="3" xr3:uid="{08CC5C20-1D45-48CC-9EB2-55EAD86FBE6C}" name="Min rainfall">
      <calculatedColumnFormula array="1">Common_InputFunctions.Utility_DisplayArrayInTable(Common_SourceData.Common_SourceData_RainfallZones_Data(),Table_SourceData_RainfallZones[[#Headers],[Rainfall Zone]],0)</calculatedColumnFormula>
    </tableColumn>
    <tableColumn id="4" xr3:uid="{69074396-694A-4E33-8A51-3653286D527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1C38F06-8644-4A46-B4A3-A0B52CABEFE2}"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76F536A-FCA1-4B44-9EA9-7294FA4DCC20}" name="Leaching Zone">
      <calculatedColumnFormula array="1">Common_InputFunctions.Utility_DisplayArrayInTable(Common_SourceData.Common_SourceData_LeachingZones_Data(), Table_SourceData_LeachingZones[[#Headers],[Leaching Zone]], 0)</calculatedColumnFormula>
    </tableColumn>
    <tableColumn id="2" xr3:uid="{7BCD05AE-D51D-40D1-9E49-81220DB15BB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3381EA1-5E35-4163-9634-9CF88F95A95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DE80CB5-5EC6-4557-8353-5CF6F8B382E7}" name="Data source">
      <calculatedColumnFormula array="1">Common_InputFunctions.Utility_DisplayArrayInTable(Common_SourceData.Common_SourceData_DataScores_Scope3_Data(), Table_SourceData_DataScores_Scope3[[#Headers],[Data source]], 0)</calculatedColumnFormula>
    </tableColumn>
    <tableColumn id="2" xr3:uid="{2F946DA3-9F28-4898-B9B2-BA5484A5C95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CDAC0A4-1A64-445C-9176-901E9DDE53A5}" name="Table_SourceData_FracWET" displayName="Table_SourceData_FracWET" ref="D134:E136" totalsRowShown="0">
  <autoFilter ref="D134:E136" xr:uid="{308E99BE-FE1F-47A4-B2CA-97217277C4E9}">
    <filterColumn colId="0" hiddenButton="1"/>
    <filterColumn colId="1" hiddenButton="1"/>
  </autoFilter>
  <tableColumns count="2">
    <tableColumn id="1" xr3:uid="{9CF66B83-D2FA-49C4-9E4B-54C843C834EE}" name="Is in leaching zone">
      <calculatedColumnFormula array="1">Common_InputFunctions.Utility_DisplayArrayInTable(Common_SourceData.Common_SourceData_FracWET_Data(),Table_SourceData_FracWET[[#Headers],[Is in leaching zone]],0)</calculatedColumnFormula>
    </tableColumn>
    <tableColumn id="2" xr3:uid="{8A20141D-2DA9-4678-A6AC-EDB1BB6508E4}"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80EE179C-2F94-41D2-9BC4-63683000E51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CAB5FBE-F9CD-416D-9A3D-46997F389769}" name="Production system j">
      <calculatedColumnFormula array="1">Common_InputFunctions.Utility_DisplayArrayInTable(Common_SourceData.Common_SourceData_EFN2O_Data(), Table_SourceData_Common_EFN2O[[#Headers],[Production system j]], 0)</calculatedColumnFormula>
    </tableColumn>
    <tableColumn id="2" xr3:uid="{086C94B8-7E74-491B-90E9-8D27493A087A}" name="EFN2O">
      <calculatedColumnFormula array="1">Common_InputFunctions.Utility_DisplayArrayInTable(Common_SourceData.Common_SourceData_EFN2O_Data(), Table_SourceData_Common_EFN2O[[#Headers],[Production system j]], 0)</calculatedColumnFormula>
    </tableColumn>
    <tableColumn id="3" xr3:uid="{C320C41B-0F1B-475C-B148-8CBCF9ED3ADB}" name="Production system only">
      <calculatedColumnFormula array="1">Common_InputFunctions.Utility_DisplayArrayInTable(Common_SourceData.Common_SourceData_EFN2O_Data(), Table_SourceData_Common_EFN2O[[#Headers],[Production system j]], 0)</calculatedColumnFormula>
    </tableColumn>
    <tableColumn id="4" xr3:uid="{71E3ABDC-C06B-40B7-858E-69D77D0A784E}" name="Irrigation method">
      <calculatedColumnFormula array="1">Common_InputFunctions.Utility_DisplayArrayInTable(Common_SourceData.Common_SourceData_EFN2O_Data(), Table_SourceData_Common_EFN2O[[#Headers],[Production system j]], 0)</calculatedColumnFormula>
    </tableColumn>
    <tableColumn id="5" xr3:uid="{844E9173-FBA9-464D-8646-260EDAC237C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5520D2E-0A9C-4EA1-B7AE-36FEC993248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DBE0C98E-72D7-4DB6-817E-6D48E4ECEE67}" name="Irrigation type i">
      <calculatedColumnFormula array="1">Common_InputFunctions.Utility_DisplayArrayInTable(Common_SourceData.Common_SourceData_FracWETIrrigation_Data(), Table_SourceData_FracWETIrrigation[[#Headers],[Irrigation type i]], 0)</calculatedColumnFormula>
    </tableColumn>
    <tableColumn id="2" xr3:uid="{865703EA-30C9-41B1-8EE4-44790AF4D3A8}"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51BD3E8-1667-4B62-A4D0-6494864CE7F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E6CA8B-5FFD-4A0D-BAD4-0F6E0A5C5B8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CABD41E-538A-44DA-B87C-CD7CE228807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9840E69-2E7D-48FA-A398-67BB1C47903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D561E3C-4A4E-48CF-A9B1-A79C380B6FEB}" name="Month">
      <calculatedColumnFormula array="1">Common_InputFunctions.Utility_DisplayArrayInTable(Common_SourceData.Common_SourceData_MonthsToSeasons_Data(), Table_SourceData_Common_MonthToSeason[[#Headers],[Month]], 0)</calculatedColumnFormula>
    </tableColumn>
    <tableColumn id="2" xr3:uid="{66B1BDBD-ABEC-4545-930A-37DA1BEB645B}"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9BE7E91-DD21-4E22-B414-88FD8AEEFBA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482B0AE-B0D5-4C67-A9F6-707B4CA2126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5D13444-ECFF-44CB-9E50-5F9269384C7D}"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001071D-2E16-4D3D-A3D0-2E725C6BAADC}"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C1136B2-0D7F-4DC1-A704-4B9B9788F917}"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BC6B816-7E55-407C-ADA9-EAE4535B7842}"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BBBD85B-F6F6-46B2-B24D-2002DA2A50BC}"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554C4A8-D624-48AE-BEED-5D7197A41002}"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A18D9A4-D09F-4EE2-834F-C4AF02BF4C86}"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26F798B-E711-4106-87DF-14FACEB85D9B}"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B7EE6E-C885-42A4-9399-56AB0403D839}"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3F45D80-B1F5-4175-8180-06A3AC5BE276}"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B9300A6-E099-4D1F-A8BD-7D245A229702}"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FEE8CC0-2EF0-4FF8-897C-B616A3C45287}"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2222282-B40F-41CA-89A4-7D22FDF8E96C}"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5D897E5-FD95-4218-9F3D-69525A2E3627}"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0DE5FD5-6F35-4C17-A0A3-0CF3356A1771}"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3FD9086-431B-4592-A5D7-8742920CE1A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B6957C6-8F5D-4F62-9C94-E294D277612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301D630-DBAB-4AA6-9814-F89A9B100298}"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2"/>
  <sheetViews>
    <sheetView zoomScaleNormal="100" workbookViewId="0">
      <selection activeCell="A22" sqref="A22"/>
    </sheetView>
  </sheetViews>
  <sheetFormatPr defaultRowHeight="15" x14ac:dyDescent="0.25"/>
  <sheetData>
    <row r="1" spans="1:1" ht="25.5" x14ac:dyDescent="0.35">
      <c r="A1" s="59" t="e" vm="1">
        <v>#VALUE!</v>
      </c>
    </row>
    <row r="3" spans="1:1" ht="15.75" x14ac:dyDescent="0.25">
      <c r="A3" s="9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Feedlot'!A1", "Feedlot")</f>
        <v>Feedlot</v>
      </c>
    </row>
    <row r="13" spans="1:1" x14ac:dyDescent="0.25">
      <c r="A13" s="18" t="s">
        <v>53</v>
      </c>
    </row>
    <row r="14" spans="1:1" ht="15.75" x14ac:dyDescent="0.25">
      <c r="A14" s="17" t="str">
        <f>HYPERLINK("#'3.1.1.1-2 Enteric Methane'!A1", "3.1.1.1-2 Enteric Methane")</f>
        <v>3.1.1.1-2 Enteric Methane</v>
      </c>
    </row>
    <row r="17" spans="1:1" x14ac:dyDescent="0.25">
      <c r="A17" s="111" t="s">
        <v>1</v>
      </c>
    </row>
    <row r="18" spans="1:1" ht="15.75" x14ac:dyDescent="0.25">
      <c r="A18" s="17" t="str">
        <f>HYPERLINK("#'Constants - Feedlot'!A1", "Constants - Feedlot")</f>
        <v>Constants - Feedlot</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row r="22" spans="1:1" ht="15.75" x14ac:dyDescent="0.25">
      <c r="A22"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election activeCell="A22" sqref="A22"/>
    </sheetView>
  </sheetViews>
  <sheetFormatPr defaultRowHeight="15" x14ac:dyDescent="0.25"/>
  <cols>
    <col min="1" max="1" width="30.7109375" customWidth="1"/>
    <col min="2" max="3" width="4.7109375" customWidth="1"/>
  </cols>
  <sheetData>
    <row r="1" spans="1:64" ht="30" customHeight="1" x14ac:dyDescent="0.35">
      <c r="A1" s="59" t="e" vm="1">
        <v>#VALUE!</v>
      </c>
      <c r="C1" s="105" t="s">
        <v>170</v>
      </c>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row>
    <row r="2" spans="1:64" ht="20.100000000000001" customHeight="1" x14ac:dyDescent="0.25">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row>
    <row r="3" spans="1:64" ht="20.100000000000001" customHeight="1" x14ac:dyDescent="0.25">
      <c r="A3" s="17" t="str">
        <f>HYPERLINK("#'Home'!A1", "Home")</f>
        <v>Home</v>
      </c>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row>
    <row r="4" spans="1:64" ht="20.100000000000001" customHeight="1" x14ac:dyDescent="0.25">
      <c r="A4" s="9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08" t="s">
        <v>172</v>
      </c>
      <c r="E5" s="108"/>
      <c r="F5" s="108"/>
      <c r="G5" s="108"/>
      <c r="H5" s="108"/>
      <c r="I5" s="92"/>
      <c r="J5" s="75"/>
      <c r="K5" s="75"/>
      <c r="L5" s="75"/>
      <c r="M5" s="75"/>
      <c r="N5" s="75"/>
      <c r="O5" s="71"/>
      <c r="P5" s="1"/>
      <c r="Q5" s="1"/>
      <c r="R5" s="1"/>
      <c r="S5" s="1"/>
      <c r="T5" s="1"/>
      <c r="U5" s="1"/>
      <c r="V5" s="1"/>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09" t="s">
        <v>152</v>
      </c>
      <c r="E6" s="110"/>
      <c r="F6" s="110"/>
      <c r="G6" s="110"/>
      <c r="H6" s="110"/>
      <c r="I6" s="77"/>
      <c r="J6" s="74"/>
      <c r="K6" s="74"/>
      <c r="L6" s="74"/>
      <c r="M6" s="74"/>
      <c r="N6" s="74"/>
      <c r="O6" s="72"/>
      <c r="P6" s="1"/>
      <c r="Q6" s="1"/>
      <c r="R6" s="1"/>
      <c r="S6" s="1"/>
      <c r="T6" s="1"/>
      <c r="U6" s="1"/>
      <c r="V6" s="1"/>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Feedlot'!A1", "Feedlot")</f>
        <v>Feedlot</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53</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HYPERLINK("#'3.1.1.1-2 Enteric Methane'!A1", "3.1.1.1-2 Enteric Methane")</f>
        <v>3.1.1.1-2 Enteric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11" t="s">
        <v>1</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A22" s="17" t="str">
        <f>HYPERLINK("#'Tab template'!A1", "Tab template")</f>
        <v>Tab template</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22" sqref="A22"/>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59" t="e" vm="1">
        <v>#VALUE!</v>
      </c>
      <c r="C1" s="98" t="s">
        <v>171</v>
      </c>
    </row>
    <row r="2" spans="1:12" ht="20.100000000000001" customHeight="1" x14ac:dyDescent="0.25">
      <c r="C2" s="9"/>
    </row>
    <row r="3" spans="1:12" ht="20.100000000000001" customHeight="1" x14ac:dyDescent="0.25">
      <c r="A3" s="17" t="str">
        <f>HYPERLINK("#'Home'!A1", "Home")</f>
        <v>Home</v>
      </c>
      <c r="C3" s="23"/>
      <c r="D3" s="23"/>
      <c r="E3" s="23"/>
      <c r="F3" s="23"/>
      <c r="G3" s="23"/>
      <c r="H3" s="23"/>
      <c r="I3" s="23"/>
      <c r="J3" s="23"/>
      <c r="K3" s="23"/>
      <c r="L3" s="23"/>
    </row>
    <row r="4" spans="1:12" ht="20.100000000000001" customHeight="1" x14ac:dyDescent="0.25">
      <c r="A4" s="17" t="str">
        <f>HYPERLINK("#'Overview'!A1", "Overview")</f>
        <v>Overview</v>
      </c>
      <c r="C4" s="23"/>
      <c r="D4" s="6" t="s">
        <v>2</v>
      </c>
      <c r="E4" s="25"/>
      <c r="F4" s="25"/>
      <c r="G4" s="25"/>
      <c r="H4" s="6"/>
      <c r="I4" s="6"/>
      <c r="J4" s="6"/>
      <c r="K4" s="6"/>
      <c r="L4" s="26"/>
    </row>
    <row r="5" spans="1:12" ht="20.100000000000001" customHeight="1" x14ac:dyDescent="0.3">
      <c r="A5" s="97" t="str">
        <f>HYPERLINK("#'Results'!A1", "Results")</f>
        <v>Results</v>
      </c>
      <c r="C5" s="23"/>
      <c r="D5" s="27"/>
      <c r="E5" s="28"/>
      <c r="F5" s="28"/>
      <c r="G5" s="28"/>
      <c r="H5" s="25"/>
      <c r="I5" s="23"/>
      <c r="J5" s="23"/>
      <c r="K5" s="23"/>
      <c r="L5" s="23"/>
    </row>
    <row r="6" spans="1:12" ht="20.100000000000001" customHeight="1" x14ac:dyDescent="0.25">
      <c r="C6" s="23"/>
      <c r="D6" s="96" t="s">
        <v>108</v>
      </c>
      <c r="E6" s="96" t="s">
        <v>130</v>
      </c>
      <c r="F6" s="96" t="s">
        <v>131</v>
      </c>
      <c r="G6" s="96" t="s">
        <v>122</v>
      </c>
      <c r="H6" s="96" t="s">
        <v>132</v>
      </c>
      <c r="I6" s="96" t="s">
        <v>134</v>
      </c>
      <c r="J6" s="96" t="s">
        <v>123</v>
      </c>
      <c r="K6" s="23"/>
      <c r="L6" s="23"/>
    </row>
    <row r="7" spans="1:12" ht="20.100000000000001" customHeight="1" x14ac:dyDescent="0.25">
      <c r="C7" s="23"/>
      <c r="D7" s="1" t="s">
        <v>153</v>
      </c>
      <c r="E7" s="94">
        <f ca="1">VEERG_3_1_1_1__1_TotalAnnualMethaneFromEntericFermentation_Result</f>
        <v>35.420230000000004</v>
      </c>
      <c r="F7" s="94">
        <f ca="1">'3.1.1.1-2 Enteric Methane'!N67</f>
        <v>35.420230000000004</v>
      </c>
      <c r="G7" s="50" t="str">
        <f>'3.1.1.1-2 Enteric Methane'!F67</f>
        <v>t CH4</v>
      </c>
      <c r="H7" s="94">
        <f ca="1">'3.1.1.1-2 Enteric Methane'!E72</f>
        <v>991.7664400000001</v>
      </c>
      <c r="I7" s="94">
        <f ca="1">'3.1.1.1-2 Enteric Methane'!N72</f>
        <v>991.7664400000001</v>
      </c>
      <c r="J7" s="50" t="s">
        <v>133</v>
      </c>
      <c r="K7" s="23"/>
      <c r="L7" s="23"/>
    </row>
    <row r="8" spans="1:12" ht="20.100000000000001" customHeight="1" x14ac:dyDescent="0.3">
      <c r="A8" s="19" t="s">
        <v>0</v>
      </c>
      <c r="C8" s="23"/>
      <c r="D8" s="30" t="s">
        <v>121</v>
      </c>
      <c r="E8" s="24"/>
      <c r="F8" s="30"/>
      <c r="G8" s="30"/>
      <c r="H8" s="95">
        <f ca="1">SUM(H7:H7)</f>
        <v>991.7664400000001</v>
      </c>
      <c r="I8" s="95">
        <f ca="1">SUM(I7:I7)</f>
        <v>991.7664400000001</v>
      </c>
      <c r="J8" s="89" t="s">
        <v>133</v>
      </c>
      <c r="K8" s="23"/>
      <c r="L8" s="23"/>
    </row>
    <row r="9" spans="1:12" ht="20.100000000000001" customHeight="1" x14ac:dyDescent="0.25">
      <c r="A9" s="17" t="str">
        <f>HYPERLINK("#'Input - Site'!A1", "Site")</f>
        <v>Site</v>
      </c>
      <c r="C9" s="23"/>
      <c r="D9" s="1"/>
      <c r="E9" s="1"/>
      <c r="F9" s="1"/>
      <c r="G9" s="25"/>
      <c r="H9" s="23"/>
      <c r="I9" s="1"/>
      <c r="J9" s="1"/>
      <c r="K9" s="23"/>
      <c r="L9" s="23"/>
    </row>
    <row r="10" spans="1:12" ht="20.100000000000001" customHeight="1" x14ac:dyDescent="0.25">
      <c r="A10" s="17" t="str">
        <f>HYPERLINK("#'Input - Feedlot'!A1", "Feedlot")</f>
        <v>Feedlot</v>
      </c>
      <c r="C10" s="23"/>
      <c r="D10" s="1"/>
      <c r="E10" s="1"/>
      <c r="F10" s="1"/>
      <c r="G10" s="1"/>
      <c r="H10" s="1"/>
      <c r="I10" s="1"/>
      <c r="J10" s="1"/>
      <c r="K10" s="23"/>
      <c r="L10" s="23"/>
    </row>
    <row r="11" spans="1:12" ht="20.100000000000001" customHeight="1" x14ac:dyDescent="0.25">
      <c r="C11" s="23"/>
      <c r="D11" s="1"/>
      <c r="E11" s="1"/>
      <c r="F11" s="1"/>
      <c r="G11" s="1"/>
      <c r="H11" s="1"/>
      <c r="I11" s="1"/>
      <c r="J11" s="1"/>
      <c r="K11" s="23"/>
      <c r="L11" s="23"/>
    </row>
    <row r="12" spans="1:12" ht="20.100000000000001" customHeight="1" x14ac:dyDescent="0.25">
      <c r="C12" s="23"/>
      <c r="D12" s="1"/>
      <c r="E12" s="1"/>
      <c r="F12" s="1"/>
      <c r="G12" s="1"/>
      <c r="H12" s="1"/>
      <c r="I12" s="1"/>
      <c r="J12" s="1"/>
      <c r="K12" s="23"/>
      <c r="L12" s="23"/>
    </row>
    <row r="13" spans="1:12" ht="20.100000000000001" customHeight="1" x14ac:dyDescent="0.25">
      <c r="A13" s="18" t="s">
        <v>53</v>
      </c>
      <c r="C13" s="23"/>
      <c r="D13" s="1"/>
      <c r="E13" s="1"/>
      <c r="F13" s="1"/>
      <c r="G13" s="1"/>
      <c r="H13" s="1"/>
      <c r="I13" s="1"/>
      <c r="J13" s="1"/>
      <c r="K13" s="23"/>
      <c r="L13" s="23"/>
    </row>
    <row r="14" spans="1:12" ht="20.100000000000001" customHeight="1" x14ac:dyDescent="0.25">
      <c r="A14" s="17" t="str">
        <f>HYPERLINK("#'3.1.1.1-2 Enteric Methane'!A1", "3.1.1.1-2 Enteric Methane")</f>
        <v>3.1.1.1-2 Enteric Methane</v>
      </c>
      <c r="C14" s="23"/>
      <c r="D14" s="1"/>
      <c r="E14" s="1"/>
      <c r="F14" s="1"/>
      <c r="G14" s="1"/>
      <c r="H14" s="1"/>
      <c r="I14" s="1"/>
      <c r="J14" s="1"/>
      <c r="K14" s="23"/>
      <c r="L14" s="23"/>
    </row>
    <row r="15" spans="1:12" ht="20.100000000000001" customHeight="1" x14ac:dyDescent="0.25">
      <c r="C15" s="23"/>
      <c r="D15" s="1"/>
      <c r="E15" s="1"/>
      <c r="F15" s="1"/>
      <c r="G15" s="1"/>
      <c r="H15" s="1"/>
      <c r="I15" s="1"/>
      <c r="J15" s="1"/>
      <c r="K15" s="23"/>
      <c r="L15" s="23"/>
    </row>
    <row r="16" spans="1:12" ht="20.100000000000001" customHeight="1" x14ac:dyDescent="0.25">
      <c r="C16" s="23"/>
      <c r="D16" s="1"/>
      <c r="E16" s="1"/>
      <c r="F16" s="1"/>
      <c r="G16" s="1"/>
      <c r="H16" s="1"/>
      <c r="I16" s="1"/>
      <c r="J16" s="1"/>
      <c r="K16" s="23"/>
      <c r="L16" s="23"/>
    </row>
    <row r="17" spans="1:12" ht="20.100000000000001" customHeight="1" x14ac:dyDescent="0.25">
      <c r="A17" s="111" t="s">
        <v>1</v>
      </c>
      <c r="C17" s="23"/>
      <c r="D17" s="1"/>
      <c r="E17" s="1"/>
      <c r="F17" s="1"/>
      <c r="G17" s="1"/>
      <c r="H17" s="1"/>
      <c r="I17" s="1"/>
      <c r="J17" s="1"/>
      <c r="K17" s="23"/>
      <c r="L17" s="23"/>
    </row>
    <row r="18" spans="1:12" ht="20.100000000000001" customHeight="1" x14ac:dyDescent="0.25">
      <c r="A18" s="17" t="str">
        <f>HYPERLINK("#'Constants - Feedlot'!A1", "Constants - Feedlot")</f>
        <v>Constants - Feedlot</v>
      </c>
      <c r="C18" s="23"/>
      <c r="D18" s="1"/>
      <c r="E18" s="1"/>
      <c r="F18" s="1"/>
      <c r="G18" s="1"/>
      <c r="H18" s="1"/>
      <c r="I18" s="1"/>
      <c r="J18" s="1"/>
      <c r="K18" s="23"/>
      <c r="L18" s="23"/>
    </row>
    <row r="19" spans="1:12" ht="20.100000000000001" customHeight="1" x14ac:dyDescent="0.25">
      <c r="A19" s="17" t="str">
        <f>HYPERLINK("#'Constants - Common'!A1", "Constants - Common")</f>
        <v>Constants - Common</v>
      </c>
      <c r="C19" s="23"/>
      <c r="D19" s="1"/>
      <c r="E19" s="1"/>
      <c r="F19" s="1"/>
      <c r="G19" s="1"/>
      <c r="H19" s="1"/>
      <c r="I19" s="1"/>
      <c r="J19" s="1"/>
      <c r="K19" s="23"/>
      <c r="L19" s="23"/>
    </row>
    <row r="20" spans="1:12" ht="20.100000000000001" customHeight="1" x14ac:dyDescent="0.25">
      <c r="A20" s="17" t="str">
        <f>HYPERLINK("#'Constants - Livestock'!A1", "Constants - Livestock")</f>
        <v>Constants - Livestock</v>
      </c>
      <c r="C20" s="23"/>
      <c r="D20" s="1"/>
      <c r="E20" s="1"/>
      <c r="F20" s="1"/>
      <c r="G20" s="1"/>
      <c r="H20" s="1"/>
      <c r="I20" s="1"/>
      <c r="J20" s="1"/>
      <c r="K20" s="23"/>
      <c r="L20" s="23"/>
    </row>
    <row r="21" spans="1:12" ht="20.100000000000001" customHeight="1" x14ac:dyDescent="0.25">
      <c r="A21" s="17" t="str">
        <f>HYPERLINK("#'Acknowledgements'!A1", "Acknowledgements")</f>
        <v>Acknowledgements</v>
      </c>
      <c r="C21" s="23"/>
      <c r="D21" s="1"/>
      <c r="E21" s="1"/>
      <c r="F21" s="1"/>
      <c r="G21" s="1"/>
      <c r="H21" s="1"/>
      <c r="I21" s="1"/>
      <c r="J21" s="1"/>
      <c r="K21" s="23"/>
      <c r="L21" s="23"/>
    </row>
    <row r="22" spans="1:12" ht="20.100000000000001" customHeight="1" x14ac:dyDescent="0.25">
      <c r="A22" s="17" t="str">
        <f>HYPERLINK("#'Tab template'!A1", "Tab template")</f>
        <v>Tab template</v>
      </c>
      <c r="C22" s="23"/>
      <c r="D22" s="1"/>
      <c r="E22" s="1"/>
      <c r="F22" s="1"/>
      <c r="G22" s="1"/>
      <c r="H22" s="1"/>
      <c r="I22" s="1"/>
      <c r="J22" s="1"/>
      <c r="K22" s="23"/>
      <c r="L22" s="23"/>
    </row>
    <row r="23" spans="1:12" ht="20.100000000000001" customHeight="1" x14ac:dyDescent="0.25">
      <c r="C23" s="23"/>
      <c r="D23" s="1"/>
      <c r="E23" s="1"/>
      <c r="F23" s="1"/>
      <c r="G23" s="1"/>
      <c r="H23" s="1"/>
      <c r="I23" s="1"/>
      <c r="J23" s="1"/>
      <c r="K23" s="23"/>
      <c r="L23" s="23"/>
    </row>
    <row r="24" spans="1:12" ht="20.100000000000001" customHeight="1" x14ac:dyDescent="0.25">
      <c r="C24" s="23"/>
      <c r="D24" s="1"/>
      <c r="E24" s="1"/>
      <c r="F24" s="1"/>
      <c r="G24" s="1"/>
      <c r="H24" s="1"/>
      <c r="I24" s="1"/>
      <c r="J24" s="1"/>
      <c r="K24" s="23"/>
      <c r="L24" s="23"/>
    </row>
    <row r="25" spans="1:12" ht="20.100000000000001" customHeight="1" x14ac:dyDescent="0.25">
      <c r="C25" s="23"/>
      <c r="D25" s="1"/>
      <c r="E25" s="1"/>
      <c r="F25" s="1"/>
      <c r="G25" s="1"/>
      <c r="H25" s="1"/>
      <c r="I25" s="1"/>
      <c r="J25" s="1"/>
      <c r="K25" s="23"/>
      <c r="L25" s="23"/>
    </row>
    <row r="26" spans="1:12" ht="20.100000000000001" customHeight="1" x14ac:dyDescent="0.25">
      <c r="C26" s="23"/>
      <c r="D26" s="1"/>
      <c r="E26" s="1"/>
      <c r="F26" s="1"/>
      <c r="G26" s="1"/>
      <c r="H26" s="1"/>
      <c r="I26" s="1"/>
      <c r="J26" s="1"/>
      <c r="K26" s="23"/>
      <c r="L26" s="23"/>
    </row>
    <row r="27" spans="1:12" ht="20.100000000000001" customHeight="1" x14ac:dyDescent="0.25">
      <c r="C27" s="23"/>
      <c r="D27" s="1"/>
      <c r="E27" s="1"/>
      <c r="F27" s="1"/>
      <c r="G27" s="1"/>
      <c r="H27" s="1"/>
      <c r="I27" s="1"/>
      <c r="J27" s="1"/>
      <c r="K27" s="23"/>
      <c r="L27" s="23"/>
    </row>
    <row r="28" spans="1:12" ht="20.100000000000001" customHeight="1" x14ac:dyDescent="0.25">
      <c r="C28" s="23"/>
      <c r="D28" s="1"/>
      <c r="E28" s="1"/>
      <c r="F28" s="1"/>
      <c r="G28" s="1"/>
      <c r="H28" s="1"/>
      <c r="I28" s="1"/>
      <c r="J28" s="1"/>
      <c r="K28" s="23"/>
      <c r="L28" s="23"/>
    </row>
    <row r="29" spans="1:12" ht="20.100000000000001" customHeight="1" x14ac:dyDescent="0.25">
      <c r="C29" s="23"/>
      <c r="D29" s="1"/>
      <c r="E29" s="1"/>
      <c r="F29" s="1"/>
      <c r="G29" s="1"/>
      <c r="H29" s="23"/>
      <c r="I29" s="23"/>
      <c r="J29" s="23"/>
      <c r="K29" s="23"/>
      <c r="L29" s="23"/>
    </row>
    <row r="30" spans="1:12" ht="20.100000000000001" customHeight="1" x14ac:dyDescent="0.25">
      <c r="C30" s="23"/>
      <c r="D30" s="1"/>
      <c r="E30" s="1"/>
      <c r="F30" s="1"/>
      <c r="G30" s="1"/>
      <c r="H30" s="23"/>
      <c r="I30" s="23"/>
      <c r="J30" s="23"/>
      <c r="K30" s="23"/>
      <c r="L30" s="23"/>
    </row>
    <row r="31" spans="1:12" ht="20.100000000000001" customHeight="1" x14ac:dyDescent="0.25">
      <c r="C31" s="23"/>
      <c r="D31" s="1"/>
      <c r="E31" s="1"/>
      <c r="F31" s="1"/>
      <c r="G31" s="1"/>
      <c r="H31" s="23"/>
      <c r="I31" s="23"/>
      <c r="J31" s="23"/>
      <c r="K31" s="23"/>
      <c r="L31" s="23"/>
    </row>
    <row r="32" spans="1:12" ht="20.100000000000001" customHeight="1" x14ac:dyDescent="0.25">
      <c r="C32" s="23"/>
      <c r="D32" s="1"/>
      <c r="E32" s="1"/>
      <c r="F32" s="1"/>
      <c r="G32" s="1"/>
      <c r="H32" s="25"/>
      <c r="I32" s="23"/>
      <c r="J32" s="23"/>
      <c r="K32" s="23"/>
      <c r="L32" s="23"/>
    </row>
    <row r="33" spans="3:12" ht="20.100000000000001" customHeight="1" x14ac:dyDescent="0.3">
      <c r="C33" s="23"/>
      <c r="D33" s="1"/>
      <c r="E33" s="1"/>
      <c r="F33" s="1"/>
      <c r="G33" s="1"/>
      <c r="H33" s="28"/>
      <c r="I33" s="23"/>
      <c r="J33" s="23"/>
      <c r="K33" s="23"/>
      <c r="L33" s="23"/>
    </row>
    <row r="34" spans="3:12" ht="20.100000000000001" customHeight="1" x14ac:dyDescent="0.25">
      <c r="C34" s="23"/>
      <c r="D34" s="1"/>
      <c r="E34" s="1"/>
      <c r="F34" s="1"/>
      <c r="G34" s="1"/>
      <c r="H34" s="1"/>
      <c r="I34" s="23"/>
      <c r="J34" s="23"/>
      <c r="K34" s="23"/>
      <c r="L34" s="23"/>
    </row>
    <row r="35" spans="3:12" ht="20.100000000000001" customHeight="1" x14ac:dyDescent="0.25">
      <c r="C35" s="23"/>
      <c r="D35" s="1"/>
      <c r="E35" s="1"/>
      <c r="F35" s="1"/>
      <c r="G35" s="1"/>
      <c r="H35" s="1"/>
      <c r="I35" s="23"/>
      <c r="J35" s="23"/>
      <c r="K35" s="23"/>
      <c r="L35" s="23"/>
    </row>
    <row r="36" spans="3:12" ht="20.100000000000001" customHeight="1" x14ac:dyDescent="0.25">
      <c r="C36" s="23"/>
      <c r="D36" s="1"/>
      <c r="E36" s="1"/>
      <c r="F36" s="1"/>
      <c r="G36" s="1"/>
      <c r="H36" s="1"/>
      <c r="I36" s="23"/>
      <c r="J36" s="23"/>
      <c r="K36" s="23"/>
      <c r="L36" s="23"/>
    </row>
    <row r="37" spans="3:12" ht="20.100000000000001" customHeight="1" x14ac:dyDescent="0.25">
      <c r="C37" s="23"/>
      <c r="D37" s="1"/>
      <c r="E37" s="1"/>
      <c r="F37" s="1"/>
      <c r="G37" s="1"/>
      <c r="H37" s="1"/>
      <c r="I37" s="23"/>
      <c r="J37" s="23"/>
      <c r="K37" s="23"/>
      <c r="L37" s="23"/>
    </row>
    <row r="38" spans="3:12" ht="20.100000000000001" customHeight="1" x14ac:dyDescent="0.25">
      <c r="C38" s="23"/>
      <c r="D38" s="1"/>
      <c r="E38" s="1"/>
      <c r="F38" s="1"/>
      <c r="G38" s="1"/>
      <c r="H38" s="1"/>
      <c r="I38" s="93"/>
      <c r="J38" s="93"/>
      <c r="K38" s="93"/>
      <c r="L38" s="23"/>
    </row>
    <row r="39" spans="3:12" ht="20.100000000000001" customHeight="1" x14ac:dyDescent="0.25">
      <c r="C39" s="23"/>
      <c r="D39" s="1"/>
      <c r="E39" s="1"/>
      <c r="F39" s="1"/>
      <c r="G39" s="1"/>
      <c r="H39" s="1"/>
      <c r="I39" s="93"/>
      <c r="J39" s="93"/>
      <c r="K39" s="93"/>
      <c r="L39" s="23"/>
    </row>
    <row r="40" spans="3:12" ht="20.100000000000001" customHeight="1" x14ac:dyDescent="0.25">
      <c r="C40" s="23"/>
      <c r="D40" s="1"/>
      <c r="E40" s="1"/>
      <c r="F40" s="1"/>
      <c r="G40" s="1"/>
      <c r="H40" s="1"/>
      <c r="I40" s="93"/>
      <c r="J40" s="93"/>
      <c r="K40" s="93"/>
      <c r="L40" s="23"/>
    </row>
    <row r="41" spans="3:12" ht="20.100000000000001" customHeight="1" x14ac:dyDescent="0.25">
      <c r="C41" s="23"/>
      <c r="D41" s="1"/>
      <c r="E41" s="1"/>
      <c r="F41" s="1"/>
      <c r="G41" s="1"/>
      <c r="H41" s="1"/>
      <c r="I41" s="93"/>
      <c r="J41" s="93"/>
      <c r="K41" s="93"/>
      <c r="L41" s="23"/>
    </row>
    <row r="42" spans="3:12" ht="20.100000000000001" customHeight="1" x14ac:dyDescent="0.25">
      <c r="C42" s="23"/>
      <c r="D42" s="1"/>
      <c r="E42" s="1"/>
      <c r="F42" s="1"/>
      <c r="G42" s="1"/>
      <c r="H42" s="1"/>
      <c r="I42" s="93"/>
      <c r="J42" s="93"/>
      <c r="K42" s="93"/>
      <c r="L42" s="23"/>
    </row>
    <row r="43" spans="3:12" ht="20.100000000000001" customHeight="1" x14ac:dyDescent="0.25">
      <c r="C43" s="23"/>
      <c r="D43" s="1"/>
      <c r="E43" s="1"/>
      <c r="F43" s="1"/>
      <c r="G43" s="1"/>
      <c r="H43" s="1"/>
      <c r="I43" s="93"/>
      <c r="J43" s="93"/>
      <c r="K43" s="93"/>
      <c r="L43" s="23"/>
    </row>
    <row r="44" spans="3:12" ht="20.100000000000001" customHeight="1" x14ac:dyDescent="0.25">
      <c r="C44" s="23"/>
      <c r="D44" s="1"/>
      <c r="E44" s="1"/>
      <c r="F44" s="1"/>
      <c r="G44" s="1"/>
      <c r="H44" s="1"/>
      <c r="I44" s="93"/>
      <c r="J44" s="93"/>
      <c r="K44" s="93"/>
      <c r="L44" s="23"/>
    </row>
    <row r="45" spans="3:12" ht="20.100000000000001" customHeight="1" x14ac:dyDescent="0.25">
      <c r="C45" s="23"/>
      <c r="D45" s="1"/>
      <c r="E45" s="1"/>
      <c r="F45" s="1"/>
      <c r="G45" s="1"/>
      <c r="H45" s="1"/>
      <c r="I45" s="93"/>
      <c r="J45" s="93"/>
      <c r="K45" s="93"/>
      <c r="L45" s="23"/>
    </row>
    <row r="46" spans="3:12" ht="20.100000000000001" customHeight="1" x14ac:dyDescent="0.25">
      <c r="C46" s="23"/>
      <c r="D46" s="1"/>
      <c r="E46" s="1"/>
      <c r="F46" s="1"/>
      <c r="G46" s="1"/>
      <c r="H46" s="1"/>
      <c r="I46" s="93"/>
      <c r="J46" s="93"/>
      <c r="K46" s="93"/>
      <c r="L46" s="23"/>
    </row>
    <row r="47" spans="3:12" ht="20.100000000000001" customHeight="1" x14ac:dyDescent="0.25">
      <c r="C47" s="23"/>
      <c r="D47" s="1"/>
      <c r="E47" s="1"/>
      <c r="F47" s="1"/>
      <c r="G47" s="1"/>
      <c r="H47" s="1"/>
      <c r="I47" s="93"/>
      <c r="J47" s="93"/>
      <c r="K47" s="93"/>
      <c r="L47" s="23"/>
    </row>
    <row r="48" spans="3:12" ht="20.100000000000001" customHeight="1" x14ac:dyDescent="0.25">
      <c r="C48" s="23"/>
      <c r="D48" s="1"/>
      <c r="E48" s="1"/>
      <c r="F48" s="1"/>
      <c r="G48" s="1"/>
      <c r="H48" s="1"/>
      <c r="I48" s="93"/>
      <c r="J48" s="93"/>
      <c r="K48" s="93"/>
      <c r="L48" s="23"/>
    </row>
    <row r="49" spans="3:12" ht="20.100000000000001" customHeight="1" x14ac:dyDescent="0.25">
      <c r="C49" s="23"/>
      <c r="D49" s="1"/>
      <c r="E49" s="1"/>
      <c r="F49" s="1"/>
      <c r="G49" s="1"/>
      <c r="H49" s="93"/>
      <c r="I49" s="93"/>
      <c r="J49" s="93"/>
      <c r="K49" s="93"/>
      <c r="L49" s="23"/>
    </row>
    <row r="50" spans="3:12" ht="20.100000000000001" customHeight="1" x14ac:dyDescent="0.25">
      <c r="C50" s="23"/>
      <c r="D50" s="1"/>
      <c r="E50" s="1"/>
      <c r="F50" s="1"/>
      <c r="G50" s="1"/>
      <c r="H50" s="93"/>
      <c r="I50" s="93"/>
      <c r="J50" s="93"/>
      <c r="K50" s="93"/>
      <c r="L50" s="23"/>
    </row>
    <row r="51" spans="3:12" ht="20.100000000000001" customHeight="1" x14ac:dyDescent="0.25">
      <c r="C51" s="23"/>
      <c r="D51" s="1"/>
      <c r="E51" s="1"/>
      <c r="F51" s="1"/>
      <c r="G51" s="1"/>
      <c r="H51" s="93"/>
      <c r="I51" s="93"/>
      <c r="J51" s="93"/>
      <c r="K51" s="93"/>
      <c r="L51" s="23"/>
    </row>
    <row r="52" spans="3:12" ht="20.100000000000001" customHeight="1" x14ac:dyDescent="0.25">
      <c r="C52" s="23"/>
      <c r="D52" s="1"/>
      <c r="E52" s="1"/>
      <c r="F52" s="1"/>
      <c r="G52" s="1"/>
      <c r="H52" s="93"/>
      <c r="I52" s="93"/>
      <c r="J52" s="93"/>
      <c r="K52" s="93"/>
      <c r="L52" s="23"/>
    </row>
    <row r="53" spans="3:12" ht="20.100000000000001" customHeight="1" x14ac:dyDescent="0.25">
      <c r="C53" s="23"/>
      <c r="D53" s="1"/>
      <c r="E53" s="1"/>
      <c r="F53" s="1"/>
      <c r="G53" s="1"/>
      <c r="H53" s="93"/>
      <c r="I53" s="93"/>
      <c r="J53" s="93"/>
      <c r="K53" s="93"/>
      <c r="L53" s="23"/>
    </row>
    <row r="54" spans="3:12" ht="20.100000000000001" customHeight="1" x14ac:dyDescent="0.25">
      <c r="C54" s="23"/>
      <c r="D54" s="1"/>
      <c r="E54" s="1"/>
      <c r="F54" s="1"/>
      <c r="G54" s="1"/>
      <c r="H54" s="23"/>
      <c r="I54" s="23"/>
      <c r="J54" s="23"/>
      <c r="K54" s="23"/>
      <c r="L54" s="23"/>
    </row>
    <row r="55" spans="3:12" ht="20.100000000000001" customHeight="1" x14ac:dyDescent="0.25">
      <c r="C55" s="23"/>
      <c r="D55" s="1"/>
      <c r="E55" s="1"/>
      <c r="F55" s="1"/>
      <c r="G55" s="1"/>
      <c r="H55" s="23"/>
      <c r="I55" s="23"/>
      <c r="J55" s="23"/>
      <c r="K55" s="23"/>
      <c r="L55" s="23"/>
    </row>
    <row r="56" spans="3:12" ht="20.100000000000001" customHeight="1" x14ac:dyDescent="0.25">
      <c r="C56" s="23"/>
      <c r="D56" s="1"/>
      <c r="E56" s="1"/>
      <c r="F56" s="1"/>
      <c r="G56" s="1"/>
      <c r="H56" s="23"/>
      <c r="I56" s="23"/>
      <c r="J56" s="23"/>
      <c r="K56" s="23"/>
      <c r="L56" s="23"/>
    </row>
    <row r="57" spans="3:12" ht="20.100000000000001" customHeight="1" x14ac:dyDescent="0.25">
      <c r="C57" s="23"/>
      <c r="D57" s="1"/>
      <c r="E57" s="1"/>
      <c r="F57" s="1"/>
      <c r="G57" s="1"/>
      <c r="H57" s="23"/>
      <c r="I57" s="23"/>
      <c r="J57" s="23"/>
      <c r="K57" s="23"/>
      <c r="L57" s="23"/>
    </row>
    <row r="58" spans="3:12" ht="20.100000000000001" customHeight="1" x14ac:dyDescent="0.25">
      <c r="C58" s="23"/>
      <c r="D58" s="1"/>
      <c r="E58" s="31"/>
      <c r="F58" s="29"/>
      <c r="G58" s="23"/>
      <c r="H58" s="23"/>
      <c r="I58" s="23"/>
      <c r="J58" s="23"/>
      <c r="K58" s="23"/>
      <c r="L58" s="23"/>
    </row>
    <row r="59" spans="3:12" ht="20.100000000000001" customHeight="1" x14ac:dyDescent="0.25">
      <c r="C59" s="23"/>
      <c r="D59" s="1"/>
      <c r="E59" s="1"/>
      <c r="F59" s="1"/>
      <c r="G59" s="1"/>
      <c r="H59" s="1"/>
      <c r="I59" s="1"/>
      <c r="J59" s="1"/>
      <c r="K59" s="1"/>
      <c r="L59" s="23"/>
    </row>
    <row r="60" spans="3:12" ht="20.100000000000001" customHeight="1" x14ac:dyDescent="0.25">
      <c r="C60" s="23"/>
      <c r="D60" s="1"/>
      <c r="E60" s="1"/>
      <c r="F60" s="1"/>
      <c r="G60" s="1"/>
      <c r="H60" s="1"/>
      <c r="I60" s="1"/>
      <c r="J60" s="1"/>
      <c r="K60" s="1"/>
      <c r="L60" s="23"/>
    </row>
    <row r="61" spans="3:12" ht="20.100000000000001" customHeight="1" x14ac:dyDescent="0.25">
      <c r="C61" s="23"/>
      <c r="D61" s="1"/>
      <c r="E61" s="1"/>
      <c r="F61" s="1"/>
      <c r="G61" s="1"/>
      <c r="H61" s="1"/>
      <c r="I61" s="1"/>
      <c r="J61" s="1"/>
      <c r="K61" s="1"/>
      <c r="L61" s="23"/>
    </row>
    <row r="62" spans="3:12" ht="20.100000000000001" customHeight="1" x14ac:dyDescent="0.25">
      <c r="C62" s="23"/>
      <c r="D62" s="1"/>
      <c r="E62" s="1"/>
      <c r="F62" s="1"/>
      <c r="G62" s="1"/>
      <c r="H62" s="1"/>
      <c r="I62" s="1"/>
      <c r="J62" s="1"/>
      <c r="K62" s="1"/>
      <c r="L62" s="23"/>
    </row>
    <row r="63" spans="3:12" ht="20.100000000000001" customHeight="1" x14ac:dyDescent="0.25">
      <c r="C63" s="23"/>
      <c r="D63" s="1"/>
      <c r="E63" s="1"/>
      <c r="F63" s="1"/>
      <c r="G63" s="1"/>
      <c r="H63" s="1"/>
      <c r="I63" s="1"/>
      <c r="J63" s="1"/>
      <c r="K63" s="1"/>
      <c r="L63" s="23"/>
    </row>
    <row r="64" spans="3:12" ht="20.100000000000001" customHeight="1" x14ac:dyDescent="0.25">
      <c r="C64" s="23"/>
      <c r="D64" s="1"/>
      <c r="E64" s="1"/>
      <c r="F64" s="1"/>
      <c r="G64" s="1"/>
      <c r="H64" s="1"/>
      <c r="I64" s="1"/>
      <c r="J64" s="1"/>
      <c r="K64" s="1"/>
      <c r="L64" s="23"/>
    </row>
    <row r="65" spans="3:12" ht="20.100000000000001" customHeight="1" x14ac:dyDescent="0.25">
      <c r="C65" s="23"/>
      <c r="D65" s="1"/>
      <c r="E65" s="1"/>
      <c r="F65" s="1"/>
      <c r="G65" s="1"/>
      <c r="H65" s="1"/>
      <c r="I65" s="1"/>
      <c r="J65" s="1"/>
      <c r="K65" s="1"/>
      <c r="L65" s="23"/>
    </row>
    <row r="66" spans="3:12" ht="20.100000000000001" customHeight="1" x14ac:dyDescent="0.25">
      <c r="C66" s="23"/>
      <c r="D66" s="1"/>
      <c r="E66" s="1"/>
      <c r="F66" s="1"/>
      <c r="G66" s="1"/>
      <c r="H66" s="1"/>
      <c r="I66" s="1"/>
      <c r="J66" s="1"/>
      <c r="K66" s="1"/>
      <c r="L66" s="23"/>
    </row>
    <row r="67" spans="3:12" ht="20.100000000000001" customHeight="1" x14ac:dyDescent="0.25">
      <c r="C67" s="23"/>
      <c r="D67" s="1"/>
      <c r="E67" s="1"/>
      <c r="F67" s="1"/>
      <c r="G67" s="1"/>
      <c r="H67" s="1"/>
      <c r="I67" s="1"/>
      <c r="J67" s="1"/>
      <c r="K67" s="1"/>
      <c r="L67" s="23"/>
    </row>
    <row r="68" spans="3:12" ht="20.100000000000001" customHeight="1" x14ac:dyDescent="0.25">
      <c r="C68" s="23"/>
      <c r="D68" s="1"/>
      <c r="E68" s="1"/>
      <c r="F68" s="1"/>
      <c r="G68" s="1"/>
      <c r="H68" s="1"/>
      <c r="I68" s="1"/>
      <c r="J68" s="1"/>
      <c r="K68" s="1"/>
      <c r="L68" s="23"/>
    </row>
    <row r="69" spans="3:12" ht="20.100000000000001" customHeight="1" x14ac:dyDescent="0.25">
      <c r="C69" s="23"/>
      <c r="D69" s="1"/>
      <c r="E69" s="1"/>
      <c r="F69" s="1"/>
      <c r="G69" s="1"/>
      <c r="H69" s="1"/>
      <c r="I69" s="1"/>
      <c r="J69" s="1"/>
      <c r="K69" s="1"/>
      <c r="L69" s="23"/>
    </row>
    <row r="70" spans="3:12" ht="20.100000000000001" customHeight="1" x14ac:dyDescent="0.25">
      <c r="C70" s="23"/>
      <c r="D70" s="1"/>
      <c r="E70" s="1"/>
      <c r="F70" s="1"/>
      <c r="G70" s="1"/>
      <c r="H70" s="1"/>
      <c r="I70" s="1"/>
      <c r="J70" s="1"/>
      <c r="K70" s="1"/>
      <c r="L70" s="23"/>
    </row>
    <row r="71" spans="3:12" ht="20.100000000000001" customHeight="1" x14ac:dyDescent="0.25">
      <c r="C71" s="23"/>
      <c r="D71" s="1"/>
      <c r="E71" s="1"/>
      <c r="F71" s="1"/>
      <c r="G71" s="1"/>
      <c r="H71" s="1"/>
      <c r="I71" s="1"/>
      <c r="J71" s="1"/>
      <c r="K71" s="1"/>
      <c r="L71" s="23"/>
    </row>
    <row r="72" spans="3:12" ht="20.100000000000001" customHeight="1" x14ac:dyDescent="0.25">
      <c r="C72" s="23"/>
      <c r="D72" s="1"/>
      <c r="E72" s="1"/>
      <c r="F72" s="1"/>
      <c r="G72" s="1"/>
      <c r="H72" s="1"/>
      <c r="I72" s="1"/>
      <c r="J72" s="1"/>
      <c r="K72" s="1"/>
      <c r="L72" s="23"/>
    </row>
    <row r="73" spans="3:12" ht="20.100000000000001" customHeight="1" x14ac:dyDescent="0.25">
      <c r="C73" s="23"/>
      <c r="D73" s="1"/>
      <c r="E73" s="1"/>
      <c r="F73" s="1"/>
      <c r="G73" s="1"/>
      <c r="H73" s="1"/>
      <c r="I73" s="1"/>
      <c r="J73" s="1"/>
      <c r="K73" s="1"/>
      <c r="L73" s="23"/>
    </row>
    <row r="74" spans="3:12" ht="20.100000000000001" customHeight="1" x14ac:dyDescent="0.25">
      <c r="C74" s="23"/>
      <c r="D74" s="1"/>
      <c r="E74" s="1"/>
      <c r="F74" s="1"/>
      <c r="G74" s="1"/>
      <c r="H74" s="1"/>
      <c r="I74" s="1"/>
      <c r="J74" s="1"/>
      <c r="K74" s="1"/>
      <c r="L74" s="23"/>
    </row>
    <row r="75" spans="3:12" ht="20.100000000000001" customHeight="1" x14ac:dyDescent="0.25">
      <c r="C75" s="23"/>
      <c r="D75" s="1"/>
      <c r="E75" s="1"/>
      <c r="F75" s="1"/>
      <c r="G75" s="1"/>
      <c r="H75" s="1"/>
      <c r="I75" s="1"/>
      <c r="J75" s="1"/>
      <c r="K75" s="1"/>
      <c r="L75" s="23"/>
    </row>
    <row r="76" spans="3:12" ht="15.75" x14ac:dyDescent="0.25">
      <c r="C76" s="23"/>
      <c r="D76" s="1"/>
      <c r="E76" s="1"/>
      <c r="F76" s="1"/>
      <c r="G76" s="1"/>
      <c r="H76" s="1"/>
      <c r="I76" s="1"/>
      <c r="J76" s="1"/>
      <c r="K76" s="1"/>
      <c r="L76" s="23"/>
    </row>
    <row r="77" spans="3:12" ht="15.75" x14ac:dyDescent="0.25">
      <c r="C77" s="23"/>
      <c r="D77" s="1"/>
      <c r="E77" s="1"/>
      <c r="F77" s="1"/>
      <c r="G77" s="1"/>
      <c r="H77" s="1"/>
      <c r="I77" s="1"/>
      <c r="J77" s="1"/>
      <c r="K77" s="1"/>
      <c r="L77" s="23"/>
    </row>
    <row r="78" spans="3:12" ht="15.75" x14ac:dyDescent="0.25">
      <c r="C78" s="23"/>
      <c r="D78" s="1"/>
      <c r="E78" s="1"/>
      <c r="F78" s="1"/>
      <c r="G78" s="1"/>
      <c r="H78" s="1"/>
      <c r="I78" s="1"/>
      <c r="J78" s="1"/>
      <c r="K78" s="1"/>
      <c r="L78" s="23"/>
    </row>
    <row r="79" spans="3:12" ht="15.75" x14ac:dyDescent="0.25">
      <c r="C79" s="23"/>
      <c r="D79" s="1"/>
      <c r="E79" s="1"/>
      <c r="F79" s="1"/>
      <c r="G79" s="1"/>
      <c r="H79" s="1"/>
      <c r="I79" s="1"/>
      <c r="J79" s="1"/>
      <c r="K79" s="1"/>
      <c r="L79" s="23"/>
    </row>
    <row r="80" spans="3:12" ht="15.75" x14ac:dyDescent="0.25">
      <c r="C80" s="23"/>
      <c r="D80" s="1"/>
      <c r="E80" s="1"/>
      <c r="F80" s="1"/>
      <c r="G80" s="1"/>
      <c r="H80" s="1"/>
      <c r="I80" s="1"/>
      <c r="J80" s="1"/>
      <c r="K80" s="1"/>
      <c r="L80" s="23"/>
    </row>
    <row r="81" spans="3:12" ht="15.75" x14ac:dyDescent="0.25">
      <c r="C81" s="23"/>
      <c r="D81" s="1"/>
      <c r="E81" s="1"/>
      <c r="F81" s="1"/>
      <c r="G81" s="1"/>
      <c r="H81" s="1"/>
      <c r="I81" s="1"/>
      <c r="J81" s="1"/>
      <c r="K81" s="1"/>
      <c r="L81" s="23"/>
    </row>
    <row r="82" spans="3:12" ht="15.75" x14ac:dyDescent="0.25">
      <c r="C82" s="23"/>
      <c r="D82" s="1"/>
      <c r="E82" s="1"/>
      <c r="F82" s="1"/>
      <c r="G82" s="1"/>
      <c r="H82" s="1"/>
      <c r="I82" s="1"/>
      <c r="J82" s="1"/>
      <c r="K82" s="1"/>
      <c r="L82" s="23"/>
    </row>
    <row r="83" spans="3:12" ht="15.75" x14ac:dyDescent="0.25">
      <c r="C83" s="23"/>
      <c r="D83" s="1"/>
      <c r="E83" s="1"/>
      <c r="F83" s="1"/>
      <c r="G83" s="1"/>
      <c r="H83" s="1"/>
      <c r="I83" s="1"/>
      <c r="J83" s="1"/>
      <c r="K83" s="1"/>
      <c r="L83" s="23"/>
    </row>
    <row r="84" spans="3:12" ht="15.75" x14ac:dyDescent="0.25">
      <c r="C84" s="23"/>
      <c r="D84" s="1"/>
      <c r="E84" s="1"/>
      <c r="F84" s="1"/>
      <c r="G84" s="1"/>
      <c r="H84" s="1"/>
      <c r="I84" s="1"/>
      <c r="J84" s="1"/>
      <c r="K84" s="1"/>
      <c r="L84" s="23"/>
    </row>
    <row r="85" spans="3:12" ht="15.75" x14ac:dyDescent="0.25">
      <c r="C85" s="23"/>
      <c r="D85" s="1"/>
      <c r="E85" s="1"/>
      <c r="F85" s="1"/>
      <c r="G85" s="1"/>
      <c r="H85" s="1"/>
      <c r="I85" s="1"/>
      <c r="J85" s="1"/>
      <c r="K85" s="1"/>
      <c r="L85" s="23"/>
    </row>
    <row r="86" spans="3:12" x14ac:dyDescent="0.25">
      <c r="C86" s="23"/>
      <c r="D86" s="23"/>
      <c r="E86" s="23"/>
      <c r="F86" s="23"/>
      <c r="G86" s="23"/>
      <c r="H86" s="23"/>
      <c r="I86" s="23"/>
      <c r="J86" s="23"/>
      <c r="K86" s="23"/>
      <c r="L86" s="23"/>
    </row>
    <row r="87" spans="3:12" x14ac:dyDescent="0.25">
      <c r="C87" s="23"/>
      <c r="D87" s="23"/>
      <c r="E87" s="23"/>
      <c r="F87" s="23"/>
      <c r="G87" s="23"/>
      <c r="H87" s="23"/>
      <c r="I87" s="23"/>
      <c r="J87" s="23"/>
      <c r="K87" s="23"/>
      <c r="L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2" sqref="A2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9" t="e" vm="1">
        <v>#VALUE!</v>
      </c>
      <c r="C1" s="12" t="s">
        <v>67</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6</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51</v>
      </c>
      <c r="E8" s="32" t="s">
        <v>52</v>
      </c>
    </row>
    <row r="9" spans="1:24" ht="20.100000000000001" customHeight="1" x14ac:dyDescent="0.25">
      <c r="A9" s="20" t="str">
        <f>HYPERLINK("#'Input - Site'!A1", "Site")</f>
        <v>Site</v>
      </c>
      <c r="N9" s="41"/>
    </row>
    <row r="10" spans="1:24" ht="20.100000000000001" customHeight="1" x14ac:dyDescent="0.25">
      <c r="A10" s="17" t="str">
        <f>HYPERLINK("#'Input - Feedlot'!A1", "Feedlot")</f>
        <v>Feedlot</v>
      </c>
      <c r="D10" s="78" t="s">
        <v>66</v>
      </c>
      <c r="E10" s="76"/>
      <c r="F10" s="79"/>
      <c r="G10" s="73"/>
      <c r="N10" s="41"/>
    </row>
    <row r="11" spans="1:24" ht="20.100000000000001" customHeight="1" x14ac:dyDescent="0.25">
      <c r="A11"/>
      <c r="N11" s="42"/>
    </row>
    <row r="12" spans="1:24" ht="20.100000000000001" customHeight="1" x14ac:dyDescent="0.25">
      <c r="A12"/>
      <c r="D12" s="10" t="s">
        <v>70</v>
      </c>
      <c r="E12" s="57">
        <v>45292</v>
      </c>
      <c r="F12" s="2" t="s">
        <v>50</v>
      </c>
    </row>
    <row r="13" spans="1:24" ht="20.100000000000001" customHeight="1" x14ac:dyDescent="0.25">
      <c r="A13" s="18" t="s">
        <v>53</v>
      </c>
      <c r="D13" s="10" t="s">
        <v>71</v>
      </c>
      <c r="E13" s="62">
        <f>DATE(YEAR(E12)+1,MONTH(E12),DAY(E12))-1</f>
        <v>45657</v>
      </c>
      <c r="F13" s="2" t="s">
        <v>7</v>
      </c>
      <c r="N13" s="37"/>
      <c r="O13" s="37"/>
    </row>
    <row r="14" spans="1:24" ht="20.100000000000001" customHeight="1" x14ac:dyDescent="0.25">
      <c r="A14" s="17" t="str">
        <f>HYPERLINK("#'3.1.1.1-2 Enteric Methane'!A1", "3.1.1.1-2 Enteric Methane")</f>
        <v>3.1.1.1-2 Enteric Methane</v>
      </c>
      <c r="N14" s="37"/>
      <c r="O14" s="37"/>
    </row>
    <row r="15" spans="1:24" ht="20.100000000000001" customHeight="1" x14ac:dyDescent="0.25">
      <c r="A15"/>
      <c r="D15" s="33"/>
      <c r="E15" s="33"/>
      <c r="F15" s="33"/>
      <c r="G15" s="33"/>
      <c r="H15" s="33"/>
      <c r="I15" s="33"/>
      <c r="J15" s="33"/>
      <c r="K15" s="33"/>
      <c r="N15" s="37"/>
      <c r="O15" s="37"/>
    </row>
    <row r="16" spans="1:24" ht="20.100000000000001" customHeight="1" x14ac:dyDescent="0.25">
      <c r="A16"/>
      <c r="D16" s="33"/>
      <c r="E16" s="33"/>
      <c r="F16" s="33"/>
      <c r="G16" s="33"/>
      <c r="H16" s="33"/>
      <c r="I16" s="33"/>
      <c r="J16" s="33"/>
      <c r="K16" s="33"/>
      <c r="N16" s="37"/>
      <c r="O16" s="37"/>
    </row>
    <row r="17" spans="1:25" ht="20.100000000000001" customHeight="1" x14ac:dyDescent="0.25">
      <c r="A17" s="111" t="s">
        <v>1</v>
      </c>
      <c r="D17" s="33"/>
      <c r="E17" s="33"/>
      <c r="F17" s="33"/>
      <c r="G17" s="33"/>
      <c r="H17" s="33"/>
      <c r="I17" s="33"/>
      <c r="J17" s="33"/>
      <c r="K17" s="33"/>
    </row>
    <row r="18" spans="1:25" ht="20.100000000000001" customHeight="1" x14ac:dyDescent="0.25">
      <c r="A18" s="17" t="str">
        <f>HYPERLINK("#'Constants - Feedlot'!A1", "Constants - Feedlot")</f>
        <v>Constants - Feedlot</v>
      </c>
      <c r="D18" s="33"/>
      <c r="E18" s="33"/>
      <c r="F18" s="33"/>
      <c r="G18" s="33"/>
      <c r="H18" s="33"/>
      <c r="I18" s="33"/>
      <c r="J18" s="33"/>
      <c r="K18" s="33"/>
    </row>
    <row r="19" spans="1:25" ht="20.100000000000001" customHeight="1" x14ac:dyDescent="0.25">
      <c r="A19" s="17" t="str">
        <f>HYPERLINK("#'Constants - Common'!A1", "Constants - Common")</f>
        <v>Constants - Common</v>
      </c>
      <c r="D19" s="33"/>
      <c r="E19" s="33"/>
      <c r="F19" s="33"/>
      <c r="G19" s="33"/>
      <c r="H19" s="33"/>
      <c r="I19" s="33"/>
      <c r="J19" s="33"/>
      <c r="K19" s="33"/>
      <c r="N19" s="39"/>
    </row>
    <row r="20" spans="1:25" ht="20.100000000000001" customHeight="1" x14ac:dyDescent="0.25">
      <c r="A20" s="17" t="str">
        <f>HYPERLINK("#'Constants - Livestock'!A1", "Constants - Livestock")</f>
        <v>Constants - Livestock</v>
      </c>
      <c r="D20" s="33"/>
      <c r="E20" s="33"/>
      <c r="F20" s="33"/>
      <c r="G20" s="33"/>
      <c r="H20" s="33"/>
      <c r="I20" s="33"/>
      <c r="J20" s="33"/>
      <c r="K20" s="33"/>
      <c r="N20" s="40"/>
    </row>
    <row r="21" spans="1:25" ht="20.100000000000001" customHeight="1" x14ac:dyDescent="0.25">
      <c r="A21" s="17" t="str">
        <f>HYPERLINK("#'Acknowledgements'!A1", "Acknowledgements")</f>
        <v>Acknowledgements</v>
      </c>
      <c r="D21" s="33"/>
      <c r="E21" s="33"/>
      <c r="F21" s="33"/>
      <c r="G21" s="33"/>
      <c r="H21" s="33"/>
      <c r="I21" s="33"/>
      <c r="J21" s="33"/>
      <c r="K21" s="33"/>
    </row>
    <row r="22" spans="1:25" ht="20.100000000000001" customHeight="1" x14ac:dyDescent="0.25">
      <c r="A22" s="17" t="str">
        <f>HYPERLINK("#'Tab template'!A1", "Tab template")</f>
        <v>Tab template</v>
      </c>
      <c r="D22" s="33"/>
      <c r="E22" s="33"/>
      <c r="F22" s="33"/>
      <c r="G22" s="33"/>
      <c r="H22" s="33"/>
      <c r="I22" s="33"/>
      <c r="J22" s="33"/>
      <c r="K22" s="33"/>
    </row>
    <row r="23" spans="1:25" ht="20.100000000000001" customHeight="1" x14ac:dyDescent="0.25">
      <c r="A23"/>
      <c r="D23" s="33"/>
      <c r="E23" s="33"/>
      <c r="F23" s="33"/>
      <c r="G23" s="33"/>
      <c r="H23" s="33"/>
      <c r="I23" s="33"/>
      <c r="J23" s="33"/>
      <c r="K23" s="33"/>
    </row>
    <row r="24" spans="1:25" ht="20.100000000000001" customHeight="1" x14ac:dyDescent="0.25">
      <c r="A24"/>
      <c r="D24" s="33"/>
      <c r="E24" s="33"/>
      <c r="F24" s="33"/>
      <c r="G24" s="33"/>
      <c r="H24" s="33"/>
      <c r="I24" s="33"/>
      <c r="J24" s="33"/>
      <c r="K24" s="33"/>
    </row>
    <row r="25" spans="1:25" ht="20.100000000000001" customHeight="1" x14ac:dyDescent="0.25">
      <c r="A25"/>
      <c r="D25" s="33"/>
      <c r="E25" s="33"/>
      <c r="F25" s="33"/>
      <c r="G25" s="33"/>
      <c r="H25" s="33"/>
      <c r="I25" s="33"/>
      <c r="J25" s="33"/>
      <c r="K25" s="33"/>
      <c r="N25" s="40"/>
    </row>
    <row r="26" spans="1:25" ht="20.100000000000001" customHeight="1" x14ac:dyDescent="0.25">
      <c r="A26"/>
      <c r="D26" s="33"/>
      <c r="E26" s="33"/>
      <c r="F26" s="33"/>
      <c r="G26" s="33"/>
      <c r="H26" s="33"/>
      <c r="I26" s="33"/>
      <c r="J26" s="33"/>
      <c r="K26" s="33"/>
    </row>
    <row r="27" spans="1:25" ht="20.100000000000001" customHeight="1" x14ac:dyDescent="0.25">
      <c r="A27"/>
      <c r="D27" s="33"/>
      <c r="E27" s="33"/>
      <c r="F27" s="33"/>
      <c r="G27" s="33"/>
      <c r="H27" s="33"/>
      <c r="I27" s="33"/>
      <c r="J27" s="33"/>
      <c r="K27" s="33"/>
    </row>
    <row r="28" spans="1:25" ht="20.100000000000001" customHeight="1" x14ac:dyDescent="0.25">
      <c r="A28"/>
      <c r="D28" s="33"/>
      <c r="E28" s="33"/>
      <c r="F28" s="33"/>
      <c r="G28" s="33"/>
      <c r="H28" s="33"/>
      <c r="I28" s="33"/>
      <c r="J28" s="33"/>
      <c r="K28" s="33"/>
    </row>
    <row r="29" spans="1:25" ht="20.100000000000001" customHeight="1" x14ac:dyDescent="0.25">
      <c r="A29"/>
      <c r="D29" s="33"/>
      <c r="E29" s="33"/>
      <c r="F29" s="33"/>
      <c r="G29" s="33"/>
      <c r="H29" s="33"/>
      <c r="I29" s="33"/>
      <c r="J29" s="33"/>
      <c r="K29" s="33"/>
    </row>
    <row r="30" spans="1:25" ht="20.100000000000001" customHeight="1" x14ac:dyDescent="0.25">
      <c r="A30"/>
      <c r="D30" s="33"/>
      <c r="E30" s="33"/>
      <c r="F30" s="33"/>
      <c r="G30" s="33"/>
      <c r="H30" s="33"/>
      <c r="I30" s="33"/>
      <c r="J30" s="33"/>
      <c r="K30" s="33"/>
      <c r="L30" s="45"/>
      <c r="M30" s="45"/>
      <c r="N30" s="45"/>
      <c r="O30" s="45"/>
      <c r="P30" s="45"/>
      <c r="Q30" s="45"/>
      <c r="R30" s="45"/>
      <c r="S30" s="45"/>
      <c r="T30" s="45"/>
      <c r="U30" s="45"/>
      <c r="V30" s="45"/>
      <c r="W30" s="45"/>
      <c r="X30" s="45"/>
      <c r="Y30" s="45"/>
    </row>
    <row r="31" spans="1:25" ht="20.100000000000001" customHeight="1" x14ac:dyDescent="0.25">
      <c r="A31"/>
      <c r="D31" s="33"/>
      <c r="E31" s="33"/>
      <c r="F31" s="33"/>
      <c r="G31" s="33"/>
      <c r="H31" s="33"/>
      <c r="I31" s="33"/>
      <c r="J31" s="33"/>
      <c r="K31" s="33"/>
      <c r="L31" s="44"/>
      <c r="M31" s="44"/>
      <c r="N31" s="44"/>
      <c r="O31" s="44"/>
      <c r="P31" s="44"/>
      <c r="Q31" s="44"/>
      <c r="R31" s="44"/>
      <c r="S31" s="44"/>
      <c r="T31" s="44"/>
      <c r="U31" s="44"/>
      <c r="V31" s="44"/>
      <c r="W31" s="44"/>
      <c r="X31" s="44"/>
      <c r="Y31" s="44"/>
    </row>
    <row r="32" spans="1:25" ht="20.100000000000001" customHeight="1" x14ac:dyDescent="0.25">
      <c r="A32"/>
      <c r="D32" s="33"/>
      <c r="E32" s="33"/>
      <c r="F32" s="33"/>
      <c r="G32" s="33"/>
      <c r="H32" s="33"/>
      <c r="I32" s="33"/>
      <c r="J32" s="33"/>
      <c r="K32" s="33"/>
      <c r="L32" s="44"/>
      <c r="M32" s="44"/>
      <c r="N32" s="44"/>
      <c r="O32" s="44"/>
      <c r="P32" s="44"/>
      <c r="Q32" s="44"/>
      <c r="R32" s="44"/>
      <c r="S32" s="44"/>
      <c r="T32" s="44"/>
      <c r="U32" s="44"/>
      <c r="V32" s="44"/>
      <c r="W32" s="44"/>
      <c r="X32" s="44"/>
      <c r="Y32" s="44"/>
    </row>
    <row r="33" spans="1:25" ht="20.100000000000001" customHeight="1" x14ac:dyDescent="0.25">
      <c r="A33"/>
      <c r="D33" s="33"/>
      <c r="E33" s="33"/>
      <c r="F33" s="33"/>
      <c r="G33" s="33"/>
      <c r="H33" s="33"/>
      <c r="I33" s="33"/>
      <c r="J33" s="33"/>
      <c r="K33" s="33"/>
      <c r="L33" s="44"/>
      <c r="M33" s="44"/>
      <c r="N33" s="44"/>
      <c r="O33" s="44"/>
      <c r="P33" s="44"/>
      <c r="Q33" s="44"/>
      <c r="R33" s="44"/>
      <c r="S33" s="44"/>
      <c r="T33" s="44"/>
      <c r="U33" s="44"/>
      <c r="V33" s="44"/>
      <c r="W33" s="44"/>
      <c r="X33" s="44"/>
      <c r="Y33" s="44"/>
    </row>
    <row r="34" spans="1:25" ht="20.100000000000001" customHeight="1" x14ac:dyDescent="0.25">
      <c r="A34"/>
      <c r="D34" s="33"/>
      <c r="E34" s="33"/>
      <c r="F34" s="33"/>
      <c r="G34" s="33"/>
      <c r="H34" s="33"/>
      <c r="I34" s="33"/>
      <c r="J34" s="33"/>
      <c r="K34" s="33"/>
      <c r="L34" s="44"/>
      <c r="M34" s="44"/>
      <c r="N34" s="44"/>
      <c r="O34" s="44"/>
      <c r="P34" s="44"/>
      <c r="Q34" s="44"/>
      <c r="R34" s="44"/>
      <c r="S34" s="44"/>
      <c r="T34" s="44"/>
      <c r="U34" s="44"/>
      <c r="V34" s="44"/>
      <c r="W34" s="44"/>
      <c r="X34" s="44"/>
      <c r="Y34" s="44"/>
    </row>
    <row r="35" spans="1:25" ht="20.100000000000001" customHeight="1" x14ac:dyDescent="0.25">
      <c r="A35"/>
      <c r="D35" s="33"/>
      <c r="E35" s="33"/>
      <c r="F35" s="33"/>
      <c r="G35" s="33"/>
      <c r="H35" s="33"/>
      <c r="I35" s="33"/>
      <c r="J35" s="33"/>
      <c r="K35" s="33"/>
      <c r="L35" s="44"/>
      <c r="M35" s="44"/>
      <c r="N35" s="44"/>
      <c r="O35" s="44"/>
      <c r="P35" s="44"/>
      <c r="Q35" s="44"/>
      <c r="R35" s="44"/>
      <c r="S35" s="44"/>
      <c r="T35" s="44"/>
      <c r="U35" s="44"/>
      <c r="V35" s="44"/>
      <c r="W35" s="44"/>
      <c r="X35" s="44"/>
      <c r="Y35" s="44"/>
    </row>
    <row r="36" spans="1:25" ht="20.100000000000001" customHeight="1" x14ac:dyDescent="0.25">
      <c r="A36"/>
      <c r="D36" s="33"/>
      <c r="E36" s="33"/>
      <c r="F36" s="33"/>
      <c r="G36" s="33"/>
      <c r="H36" s="33"/>
      <c r="I36" s="33"/>
      <c r="J36" s="33"/>
      <c r="K36" s="33"/>
      <c r="L36" s="44"/>
      <c r="M36" s="44"/>
      <c r="N36" s="44"/>
      <c r="O36" s="44"/>
      <c r="P36" s="44"/>
      <c r="Q36" s="44"/>
      <c r="R36" s="44"/>
      <c r="S36" s="44"/>
      <c r="T36" s="44"/>
      <c r="U36" s="44"/>
      <c r="V36" s="44"/>
      <c r="W36" s="44"/>
      <c r="X36" s="44"/>
      <c r="Y36" s="44"/>
    </row>
    <row r="37" spans="1:25" ht="20.100000000000001" customHeight="1" x14ac:dyDescent="0.25">
      <c r="A37"/>
      <c r="D37" s="33"/>
      <c r="E37" s="33"/>
      <c r="F37" s="33"/>
      <c r="G37" s="33"/>
      <c r="H37" s="33"/>
      <c r="I37" s="33"/>
      <c r="J37" s="33"/>
      <c r="K37" s="33"/>
      <c r="L37" s="44"/>
      <c r="M37" s="44"/>
      <c r="N37" s="44"/>
      <c r="O37" s="44"/>
      <c r="P37" s="44"/>
      <c r="Q37" s="44"/>
      <c r="R37" s="44"/>
      <c r="S37" s="44"/>
      <c r="T37" s="44"/>
      <c r="U37" s="44"/>
      <c r="V37" s="44"/>
      <c r="W37" s="44"/>
      <c r="X37" s="44"/>
      <c r="Y37" s="44"/>
    </row>
    <row r="38" spans="1:25" ht="20.100000000000001" customHeight="1" x14ac:dyDescent="0.25">
      <c r="A38"/>
      <c r="D38" s="33"/>
      <c r="E38" s="33"/>
      <c r="F38" s="33"/>
      <c r="G38" s="33"/>
      <c r="H38" s="33"/>
      <c r="I38" s="33"/>
      <c r="J38" s="33"/>
      <c r="K38" s="33"/>
      <c r="L38" s="44"/>
      <c r="M38" s="44"/>
      <c r="N38" s="44"/>
      <c r="O38" s="44"/>
      <c r="P38" s="44"/>
      <c r="Q38" s="44"/>
      <c r="R38" s="44"/>
      <c r="S38" s="44"/>
      <c r="T38" s="44"/>
      <c r="U38" s="44"/>
      <c r="V38" s="44"/>
      <c r="W38" s="44"/>
      <c r="X38" s="44"/>
      <c r="Y38" s="44"/>
    </row>
    <row r="39" spans="1:25" ht="20.100000000000001" customHeight="1" x14ac:dyDescent="0.25">
      <c r="A39"/>
      <c r="D39" s="33"/>
      <c r="E39" s="33"/>
      <c r="F39" s="33"/>
      <c r="G39" s="33"/>
      <c r="H39" s="33"/>
      <c r="I39" s="33"/>
      <c r="J39" s="33"/>
      <c r="K39" s="33"/>
      <c r="L39" s="44"/>
      <c r="M39" s="44"/>
      <c r="N39" s="44"/>
      <c r="O39" s="44"/>
      <c r="P39" s="44"/>
      <c r="Q39" s="44"/>
      <c r="R39" s="44"/>
      <c r="S39" s="44"/>
      <c r="T39" s="44"/>
      <c r="U39" s="44"/>
      <c r="V39" s="44"/>
      <c r="W39" s="44"/>
      <c r="X39" s="44"/>
      <c r="Y39" s="44"/>
    </row>
    <row r="40" spans="1:25" ht="20.100000000000001" customHeight="1" x14ac:dyDescent="0.25">
      <c r="A40"/>
      <c r="D40" s="33"/>
      <c r="E40" s="33"/>
      <c r="F40" s="33"/>
      <c r="G40" s="33"/>
      <c r="H40" s="33"/>
      <c r="I40" s="33"/>
      <c r="J40" s="33"/>
      <c r="K40" s="33"/>
      <c r="L40" s="46"/>
      <c r="M40" s="46"/>
      <c r="N40" s="46"/>
      <c r="O40" s="46"/>
      <c r="P40" s="46"/>
      <c r="Q40" s="46"/>
      <c r="R40" s="46"/>
      <c r="S40" s="46"/>
      <c r="T40" s="46"/>
      <c r="U40" s="46"/>
      <c r="V40" s="46"/>
      <c r="W40" s="46"/>
      <c r="X40" s="46"/>
      <c r="Y40" s="46"/>
    </row>
    <row r="41" spans="1:25" ht="20.100000000000001" customHeight="1" x14ac:dyDescent="0.25">
      <c r="A41"/>
      <c r="D41" s="33"/>
      <c r="E41" s="33"/>
      <c r="F41" s="33"/>
      <c r="G41" s="33"/>
      <c r="H41" s="33"/>
      <c r="I41" s="33"/>
      <c r="J41" s="33"/>
      <c r="K41" s="33"/>
    </row>
    <row r="42" spans="1:25" ht="20.100000000000001" customHeight="1" x14ac:dyDescent="0.25">
      <c r="A42"/>
      <c r="D42" s="33"/>
      <c r="E42" s="33"/>
      <c r="F42" s="33"/>
      <c r="G42" s="33"/>
      <c r="H42" s="33"/>
      <c r="I42" s="33"/>
      <c r="J42" s="33"/>
      <c r="K42" s="33"/>
    </row>
    <row r="43" spans="1:25" ht="20.100000000000001" customHeight="1" x14ac:dyDescent="0.25">
      <c r="A43"/>
      <c r="D43" s="33"/>
      <c r="E43" s="33"/>
      <c r="F43" s="33"/>
      <c r="G43" s="33"/>
      <c r="H43" s="33"/>
      <c r="I43" s="33"/>
      <c r="J43" s="33"/>
      <c r="K43" s="33"/>
    </row>
    <row r="44" spans="1:25" ht="20.100000000000001" customHeight="1" x14ac:dyDescent="0.25">
      <c r="A44"/>
      <c r="D44" s="33"/>
      <c r="E44" s="33"/>
      <c r="F44" s="33"/>
      <c r="G44" s="33"/>
      <c r="H44" s="33"/>
      <c r="I44" s="33"/>
      <c r="J44" s="33"/>
      <c r="K44" s="33"/>
    </row>
    <row r="45" spans="1:25" ht="20.100000000000001" customHeight="1" x14ac:dyDescent="0.25">
      <c r="A45"/>
      <c r="D45" s="33"/>
      <c r="E45" s="33"/>
      <c r="F45" s="33"/>
      <c r="G45" s="33"/>
      <c r="H45" s="33"/>
      <c r="I45" s="33"/>
      <c r="J45" s="33"/>
      <c r="K45" s="33"/>
    </row>
    <row r="46" spans="1:25" ht="20.100000000000001" customHeight="1" x14ac:dyDescent="0.25">
      <c r="A46"/>
      <c r="D46" s="33"/>
      <c r="E46" s="33"/>
      <c r="F46" s="33"/>
      <c r="G46" s="33"/>
      <c r="H46" s="33"/>
      <c r="I46" s="33"/>
      <c r="J46" s="33"/>
      <c r="K46" s="33"/>
    </row>
    <row r="47" spans="1:25" ht="20.100000000000001" customHeight="1" x14ac:dyDescent="0.25">
      <c r="A47"/>
      <c r="D47" s="33"/>
      <c r="E47" s="33"/>
      <c r="F47" s="33"/>
      <c r="G47" s="33"/>
      <c r="H47" s="33"/>
      <c r="I47" s="33"/>
      <c r="J47" s="33"/>
      <c r="K47" s="33"/>
    </row>
    <row r="48" spans="1:25" ht="20.100000000000001" customHeight="1" x14ac:dyDescent="0.25">
      <c r="A48"/>
      <c r="D48" s="33"/>
      <c r="E48" s="33"/>
      <c r="F48" s="33"/>
      <c r="G48" s="33"/>
      <c r="H48" s="33"/>
      <c r="I48" s="33"/>
      <c r="J48" s="33"/>
      <c r="K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63"/>
      <c r="E51" s="64"/>
      <c r="F51" s="64"/>
      <c r="G51" s="64"/>
      <c r="H51" s="65"/>
    </row>
    <row r="52" spans="1:8" ht="20.100000000000001" customHeight="1" x14ac:dyDescent="0.25">
      <c r="A52"/>
    </row>
    <row r="53" spans="1:8" ht="20.100000000000001" customHeight="1" x14ac:dyDescent="0.25">
      <c r="A53"/>
    </row>
    <row r="54" spans="1:8" ht="20.100000000000001" customHeight="1" x14ac:dyDescent="0.25">
      <c r="A54"/>
      <c r="G54" s="66"/>
    </row>
    <row r="55" spans="1:8" ht="20.100000000000001" customHeight="1" x14ac:dyDescent="0.25">
      <c r="A55"/>
      <c r="D55" s="6"/>
    </row>
    <row r="56" spans="1:8" ht="20.100000000000001" customHeight="1" x14ac:dyDescent="0.25">
      <c r="A56"/>
    </row>
    <row r="57" spans="1:8" ht="20.100000000000001" customHeight="1" x14ac:dyDescent="0.25">
      <c r="A57"/>
      <c r="D57" s="22"/>
      <c r="F57" s="67"/>
    </row>
    <row r="58" spans="1:8" ht="20.100000000000001" customHeight="1" x14ac:dyDescent="0.25">
      <c r="A58"/>
      <c r="D58" s="1"/>
      <c r="E58" s="68"/>
    </row>
    <row r="59" spans="1:8" ht="20.100000000000001" customHeight="1" x14ac:dyDescent="0.25">
      <c r="A59"/>
      <c r="D59" s="1"/>
      <c r="E59" s="68"/>
    </row>
    <row r="60" spans="1:8" ht="20.100000000000001" customHeight="1" x14ac:dyDescent="0.25">
      <c r="A60"/>
      <c r="D60" s="1"/>
      <c r="E60" s="69"/>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68"/>
    </row>
    <row r="65" spans="1:9" ht="20.100000000000001" customHeight="1" x14ac:dyDescent="0.25">
      <c r="A65"/>
      <c r="D65" s="1"/>
      <c r="E65" s="68"/>
    </row>
    <row r="66" spans="1:9" ht="20.100000000000001" customHeight="1" x14ac:dyDescent="0.25">
      <c r="A66"/>
      <c r="D66" s="1"/>
      <c r="E66" s="69"/>
    </row>
    <row r="67" spans="1:9" ht="20.100000000000001" customHeight="1" x14ac:dyDescent="0.25">
      <c r="A67"/>
    </row>
    <row r="68" spans="1:9" ht="20.100000000000001" customHeight="1" x14ac:dyDescent="0.25">
      <c r="A68"/>
    </row>
    <row r="69" spans="1:9" ht="20.100000000000001" customHeight="1" x14ac:dyDescent="0.25">
      <c r="A69"/>
      <c r="D69" s="55"/>
      <c r="E69" s="55"/>
      <c r="F69" s="55"/>
      <c r="G69" s="55"/>
      <c r="H69" s="55"/>
      <c r="I69" s="55"/>
    </row>
    <row r="70" spans="1:9" ht="20.100000000000001" customHeight="1" x14ac:dyDescent="0.25">
      <c r="A70"/>
      <c r="D70" s="55"/>
      <c r="E70" s="55"/>
      <c r="F70" s="55"/>
      <c r="G70" s="55"/>
      <c r="H70" s="55"/>
      <c r="I70" s="55"/>
    </row>
    <row r="71" spans="1:9" ht="20.100000000000001" customHeight="1" x14ac:dyDescent="0.25">
      <c r="A71"/>
      <c r="D71" s="55"/>
      <c r="E71" s="55"/>
      <c r="F71" s="55"/>
      <c r="G71" s="55"/>
      <c r="H71" s="55"/>
      <c r="I71" s="55"/>
    </row>
    <row r="72" spans="1:9" ht="20.100000000000001" customHeight="1" x14ac:dyDescent="0.25">
      <c r="A72"/>
      <c r="D72" s="55"/>
      <c r="E72" s="55"/>
      <c r="F72" s="55"/>
      <c r="G72" s="55"/>
      <c r="H72" s="55"/>
      <c r="I72" s="55"/>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0"/>
    </row>
    <row r="79" spans="1:9" ht="20.100000000000001" customHeight="1" x14ac:dyDescent="0.25">
      <c r="A79"/>
      <c r="D79" s="70"/>
    </row>
    <row r="80" spans="1:9" ht="20.100000000000001" customHeight="1" x14ac:dyDescent="0.25">
      <c r="A80"/>
      <c r="D80" s="70"/>
    </row>
    <row r="81" spans="1:4" ht="20.100000000000001" customHeight="1" x14ac:dyDescent="0.25">
      <c r="A81"/>
      <c r="D81" s="70"/>
    </row>
    <row r="82" spans="1:4" ht="20.100000000000001" customHeight="1" x14ac:dyDescent="0.25">
      <c r="A82"/>
      <c r="D82" s="70"/>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2" customWidth="1"/>
    <col min="15" max="20" width="30.7109375" style="52" customWidth="1"/>
    <col min="21" max="21" width="4.7109375" style="52" customWidth="1"/>
  </cols>
  <sheetData>
    <row r="1" spans="1:21" s="59" customFormat="1" ht="30" customHeight="1" x14ac:dyDescent="0.35">
      <c r="A1" s="59" t="e" vm="1">
        <v>#VALUE!</v>
      </c>
      <c r="C1" s="59" t="s">
        <v>174</v>
      </c>
      <c r="N1" s="52"/>
      <c r="O1" s="52"/>
      <c r="P1" s="52"/>
      <c r="Q1" s="52"/>
      <c r="R1" s="52"/>
      <c r="S1" s="52"/>
      <c r="T1" s="52"/>
      <c r="U1" s="52"/>
    </row>
    <row r="2" spans="1:21" s="9" customFormat="1" ht="20.100000000000001" customHeight="1" x14ac:dyDescent="0.25">
      <c r="A2"/>
      <c r="N2" s="52"/>
      <c r="O2" s="52"/>
      <c r="P2" s="52"/>
      <c r="Q2" s="52"/>
      <c r="R2" s="52"/>
      <c r="S2" s="52"/>
      <c r="T2" s="52"/>
      <c r="U2" s="52"/>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78</v>
      </c>
    </row>
    <row r="6" spans="1:21" ht="20.100000000000001" customHeight="1" x14ac:dyDescent="0.25"/>
    <row r="7" spans="1:21" ht="20.100000000000001" customHeight="1" x14ac:dyDescent="0.25">
      <c r="D7" s="56"/>
      <c r="E7" s="38" t="s">
        <v>90</v>
      </c>
      <c r="F7" s="38" t="s">
        <v>91</v>
      </c>
      <c r="G7" s="38" t="s">
        <v>92</v>
      </c>
    </row>
    <row r="8" spans="1:21" ht="20.100000000000001" customHeight="1" x14ac:dyDescent="0.25">
      <c r="A8" s="19" t="s">
        <v>0</v>
      </c>
      <c r="D8" s="1" t="str">
        <f>"Average number of head between " &amp; TEXT('Input - Site'!$E$12, "dd mmm yy") &amp; " and " &amp; TEXT('Input - Site'!$E$13, "dd mmm yy")</f>
        <v>Average number of head between 01 Jan 24 and 31 Dec 24</v>
      </c>
      <c r="E8" s="83">
        <v>4300</v>
      </c>
      <c r="F8" s="83">
        <v>100</v>
      </c>
      <c r="G8" s="83">
        <v>100</v>
      </c>
      <c r="H8" s="2" t="s">
        <v>80</v>
      </c>
      <c r="I8" s="2"/>
      <c r="J8" s="2"/>
      <c r="K8" s="2"/>
    </row>
    <row r="9" spans="1:21" ht="20.100000000000001" customHeight="1" x14ac:dyDescent="0.25">
      <c r="A9" s="17" t="str">
        <f>HYPERLINK("#'Input - Site'!A1", "Site")</f>
        <v>Site</v>
      </c>
      <c r="D9" s="1" t="str">
        <f>"Average duration of stay between " &amp; TEXT('Input - Site'!$E$12, "dd mmm yy") &amp; " and " &amp; TEXT('Input - Site'!$E$13, "dd mmm yy")</f>
        <v>Average duration of stay between 01 Jan 24 and 31 Dec 24</v>
      </c>
      <c r="E9" s="83">
        <v>90</v>
      </c>
      <c r="F9" s="83">
        <v>140</v>
      </c>
      <c r="G9" s="83">
        <v>250</v>
      </c>
      <c r="H9" s="2" t="s">
        <v>136</v>
      </c>
      <c r="I9" s="2"/>
      <c r="J9" s="2"/>
      <c r="K9" s="2"/>
    </row>
    <row r="10" spans="1:21" ht="20.100000000000001" customHeight="1" x14ac:dyDescent="0.25">
      <c r="A10" s="20" t="str">
        <f>HYPERLINK("#'Input - Feedlot'!A1", "Feedlot")</f>
        <v>Feedlot</v>
      </c>
    </row>
    <row r="11" spans="1:21" ht="20.100000000000001" customHeight="1" x14ac:dyDescent="0.25">
      <c r="D11" s="6" t="s">
        <v>73</v>
      </c>
    </row>
    <row r="12" spans="1:21" ht="20.100000000000001" customHeight="1" x14ac:dyDescent="0.25"/>
    <row r="13" spans="1:21" ht="20.100000000000001" customHeight="1" x14ac:dyDescent="0.25">
      <c r="A13" s="18" t="s">
        <v>53</v>
      </c>
      <c r="D13" s="56" t="s">
        <v>124</v>
      </c>
      <c r="E13" s="38" t="s">
        <v>90</v>
      </c>
      <c r="F13" s="38" t="s">
        <v>91</v>
      </c>
      <c r="G13" s="38" t="s">
        <v>92</v>
      </c>
    </row>
    <row r="14" spans="1:21" ht="20.100000000000001" customHeight="1" x14ac:dyDescent="0.25">
      <c r="A14" s="17" t="str">
        <f>HYPERLINK("#'3.1.1.1-2 Enteric Methane'!A1", "3.1.1.1-2 Enteric Methane")</f>
        <v>3.1.1.1-2 Enteric Methane</v>
      </c>
      <c r="D14" s="1" t="s">
        <v>96</v>
      </c>
      <c r="E14" s="48" cm="1">
        <f t="array" ref="E14">_xlfn.XLOOKUP(1, (Table_SourceData_Feedlot_AnimalCharacteristics[Feedlot type] = E$13) * (Table_SourceData_Feedlot_AnimalCharacteristics[Characteristic] = $D$14), Table_SourceData_Feedlot_AnimalCharacteristics[2020-2023], "Not Found")</f>
        <v>10.4</v>
      </c>
      <c r="F14" s="48" cm="1">
        <f t="array" ref="F14">_xlfn.XLOOKUP(1, (Table_SourceData_Feedlot_AnimalCharacteristics[Feedlot type] = F$13) * (Table_SourceData_Feedlot_AnimalCharacteristics[Characteristic] = $D$14), Table_SourceData_Feedlot_AnimalCharacteristics[2020-2023], "Not Found")</f>
        <v>10.8</v>
      </c>
      <c r="G14" s="48" cm="1">
        <f t="array" ref="G14">_xlfn.XLOOKUP(1, (Table_SourceData_Feedlot_AnimalCharacteristics[Feedlot type] = G$13) * (Table_SourceData_Feedlot_AnimalCharacteristics[Characteristic] = $D$14), Table_SourceData_Feedlot_AnimalCharacteristics[2020-2023], "Not Found")</f>
        <v>8.1999999999999993</v>
      </c>
      <c r="H14" s="2" t="s">
        <v>75</v>
      </c>
      <c r="I14" s="2"/>
      <c r="J14" s="2"/>
      <c r="K14" s="2"/>
    </row>
    <row r="15" spans="1:21" ht="20.100000000000001" customHeight="1" x14ac:dyDescent="0.25">
      <c r="D15" s="1" t="s">
        <v>154</v>
      </c>
      <c r="E15" s="48" cm="1">
        <f t="array" ref="E15">_xlfn.XLOOKUP(1, (Table_SourceData_Feedlot_DietProperties[Feedlot type] = E$13) * (Table_SourceData_Feedlot_DietProperties[Nutrient analysis] = $D$15), Table_SourceData_Feedlot_DietProperties[2020-2023 Converted to fraction], "Not Found")</f>
        <v>4.8</v>
      </c>
      <c r="F15" s="48" cm="1">
        <f t="array" ref="F15">_xlfn.XLOOKUP(1, (Table_SourceData_Feedlot_DietProperties[Feedlot type] = F$13) * (Table_SourceData_Feedlot_DietProperties[Nutrient analysis] = $D$15), Table_SourceData_Feedlot_DietProperties[2020-2023 Converted to fraction], "Not Found")</f>
        <v>5</v>
      </c>
      <c r="G15" s="48" cm="1">
        <f t="array" ref="G15">_xlfn.XLOOKUP(1, (Table_SourceData_Feedlot_DietProperties[Feedlot type] = G$13) * (Table_SourceData_Feedlot_DietProperties[Nutrient analysis] = $D$15), Table_SourceData_Feedlot_DietProperties[2020-2023 Converted to fraction], "Not Found")</f>
        <v>5.5</v>
      </c>
      <c r="H15" s="2" t="s">
        <v>137</v>
      </c>
      <c r="I15" s="2"/>
      <c r="J15" s="2"/>
      <c r="K15" s="2"/>
    </row>
    <row r="16" spans="1:21" ht="20.100000000000001" customHeight="1" x14ac:dyDescent="0.25">
      <c r="D16" s="1" t="s">
        <v>155</v>
      </c>
      <c r="E16" s="48" cm="1">
        <f t="array" ref="E16">_xlfn.XLOOKUP(1, (Table_SourceData_Feedlot_DietProperties[Feedlot type] = E$13) * (Table_SourceData_Feedlot_DietProperties[Nutrient analysis] = $D$16), Table_SourceData_Feedlot_DietProperties[2020-2023 Converted to fraction], "Not Found")</f>
        <v>22</v>
      </c>
      <c r="F16" s="48" cm="1">
        <f t="array" ref="F16">_xlfn.XLOOKUP(1, (Table_SourceData_Feedlot_DietProperties[Feedlot type] = F$13) * (Table_SourceData_Feedlot_DietProperties[Nutrient analysis] = $D$16), Table_SourceData_Feedlot_DietProperties[2020-2023 Converted to fraction], "Not Found")</f>
        <v>22</v>
      </c>
      <c r="G16" s="48" cm="1">
        <f t="array" ref="G16">_xlfn.XLOOKUP(1, (Table_SourceData_Feedlot_DietProperties[Feedlot type] = G$13) * (Table_SourceData_Feedlot_DietProperties[Nutrient analysis] = $D$16), Table_SourceData_Feedlot_DietProperties[2020-2023 Converted to fraction], "Not Found")</f>
        <v>24</v>
      </c>
      <c r="H16" s="2" t="s">
        <v>137</v>
      </c>
      <c r="I16" s="2"/>
      <c r="J16" s="2"/>
      <c r="K16" s="2"/>
    </row>
    <row r="17" spans="1:11" ht="20.100000000000001" customHeight="1" x14ac:dyDescent="0.25">
      <c r="A17" s="111" t="s">
        <v>1</v>
      </c>
      <c r="J17" s="2"/>
      <c r="K17" s="2"/>
    </row>
    <row r="18" spans="1:11" ht="20.100000000000001" customHeight="1" x14ac:dyDescent="0.25">
      <c r="A18" s="17" t="str">
        <f>HYPERLINK("#'Constants - Feedlot'!A1", "Constants - Feedlot")</f>
        <v>Constants - Feedlot</v>
      </c>
      <c r="D18" s="56" t="s">
        <v>125</v>
      </c>
      <c r="E18" s="38" t="s">
        <v>90</v>
      </c>
      <c r="F18" s="38" t="s">
        <v>91</v>
      </c>
      <c r="G18" s="38" t="s">
        <v>92</v>
      </c>
    </row>
    <row r="19" spans="1:11" ht="20.100000000000001" customHeight="1" x14ac:dyDescent="0.25">
      <c r="A19" s="17" t="str">
        <f>HYPERLINK("#'Constants - Common'!A1", "Constants - Common")</f>
        <v>Constants - Common</v>
      </c>
      <c r="D19" s="1" t="s">
        <v>96</v>
      </c>
      <c r="E19" s="58" cm="1">
        <f t="array" ref="E19">_xlfn.XLOOKUP(1, (Table_SourceData_Feedlot_AnimalCharacteristics[Feedlot type] = E$18) * (Table_SourceData_Feedlot_AnimalCharacteristics[Characteristic] = $D$19), Table_SourceData_Feedlot_AnimalCharacteristics[2020-2023], "Not Found")</f>
        <v>10.4</v>
      </c>
      <c r="F19" s="58" cm="1">
        <f t="array" ref="F19">_xlfn.XLOOKUP(1, (Table_SourceData_Feedlot_AnimalCharacteristics[Feedlot type] = F$18) * (Table_SourceData_Feedlot_AnimalCharacteristics[Characteristic] = $D$19), Table_SourceData_Feedlot_AnimalCharacteristics[2020-2023], "Not Found")</f>
        <v>10.8</v>
      </c>
      <c r="G19" s="58" cm="1">
        <f t="array" ref="G19">_xlfn.XLOOKUP(1, (Table_SourceData_Feedlot_AnimalCharacteristics[Feedlot type] = G$18) * (Table_SourceData_Feedlot_AnimalCharacteristics[Characteristic] = $D$19), Table_SourceData_Feedlot_AnimalCharacteristics[2020-2023], "Not Found")</f>
        <v>8.1999999999999993</v>
      </c>
      <c r="H19" s="2" t="s">
        <v>75</v>
      </c>
      <c r="I19" s="2"/>
    </row>
    <row r="20" spans="1:11" ht="20.100000000000001" customHeight="1" x14ac:dyDescent="0.25">
      <c r="A20" s="17" t="str">
        <f>HYPERLINK("#'Constants - Livestock'!A1", "Constants - Livestock")</f>
        <v>Constants - Livestock</v>
      </c>
      <c r="D20" s="1" t="s">
        <v>154</v>
      </c>
      <c r="E20" s="58" cm="1">
        <f t="array" ref="E20">_xlfn.XLOOKUP(1, (Table_SourceData_Feedlot_DietProperties[Feedlot type] = E$18) * (Table_SourceData_Feedlot_DietProperties[Nutrient analysis] = $D$20), Table_SourceData_Feedlot_DietProperties[2020-2023 Converted to fraction], "Not Found")</f>
        <v>4.8</v>
      </c>
      <c r="F20" s="58" cm="1">
        <f t="array" ref="F20">_xlfn.XLOOKUP(1, (Table_SourceData_Feedlot_DietProperties[Feedlot type] = F$18) * (Table_SourceData_Feedlot_DietProperties[Nutrient analysis] = $D$20), Table_SourceData_Feedlot_DietProperties[2020-2023 Converted to fraction], "Not Found")</f>
        <v>5</v>
      </c>
      <c r="G20" s="58" cm="1">
        <f t="array" ref="G20">_xlfn.XLOOKUP(1, (Table_SourceData_Feedlot_DietProperties[Feedlot type] = G$18) * (Table_SourceData_Feedlot_DietProperties[Nutrient analysis] = $D$20), Table_SourceData_Feedlot_DietProperties[2020-2023 Converted to fraction], "Not Found")</f>
        <v>5.5</v>
      </c>
      <c r="H20" s="2" t="s">
        <v>137</v>
      </c>
      <c r="I20" s="2"/>
      <c r="J20" s="2"/>
      <c r="K20" s="2"/>
    </row>
    <row r="21" spans="1:11" ht="20.100000000000001" customHeight="1" x14ac:dyDescent="0.25">
      <c r="A21" s="17" t="str">
        <f>HYPERLINK("#'Acknowledgements'!A1", "Acknowledgements")</f>
        <v>Acknowledgements</v>
      </c>
      <c r="D21" s="1" t="s">
        <v>155</v>
      </c>
      <c r="E21" s="58" cm="1">
        <f t="array" ref="E21">_xlfn.XLOOKUP(1, (Table_SourceData_Feedlot_DietProperties[Feedlot type] = E$18) * (Table_SourceData_Feedlot_DietProperties[Nutrient analysis] = $D$21), Table_SourceData_Feedlot_DietProperties[2020-2023 Converted to fraction], "Not Found")</f>
        <v>22</v>
      </c>
      <c r="F21" s="58" cm="1">
        <f t="array" ref="F21">_xlfn.XLOOKUP(1, (Table_SourceData_Feedlot_DietProperties[Feedlot type] = F$18) * (Table_SourceData_Feedlot_DietProperties[Nutrient analysis] = $D$21), Table_SourceData_Feedlot_DietProperties[2020-2023 Converted to fraction], "Not Found")</f>
        <v>22</v>
      </c>
      <c r="G21" s="58" cm="1">
        <f t="array" ref="G21">_xlfn.XLOOKUP(1, (Table_SourceData_Feedlot_DietProperties[Feedlot type] = G$18) * (Table_SourceData_Feedlot_DietProperties[Nutrient analysis] = $D$21), Table_SourceData_Feedlot_DietProperties[2020-2023 Converted to fraction], "Not Found")</f>
        <v>24</v>
      </c>
      <c r="H21" s="2" t="s">
        <v>137</v>
      </c>
      <c r="I21" s="2"/>
      <c r="J21" s="2"/>
      <c r="K21" s="2"/>
    </row>
    <row r="22" spans="1:11" ht="20.100000000000001" customHeight="1" x14ac:dyDescent="0.25">
      <c r="A22" s="17" t="str">
        <f>HYPERLINK("#'Tab template'!A1", "Tab template")</f>
        <v>Tab template</v>
      </c>
      <c r="J22" s="2"/>
      <c r="K22" s="2"/>
    </row>
    <row r="23" spans="1:11" ht="20.100000000000001" customHeight="1" x14ac:dyDescent="0.25">
      <c r="J23" s="2"/>
      <c r="K23" s="2"/>
    </row>
    <row r="24" spans="1:11" ht="20.100000000000001" customHeight="1" x14ac:dyDescent="0.25"/>
    <row r="25" spans="1:11" ht="20.100000000000001" customHeight="1" x14ac:dyDescent="0.25">
      <c r="D25" s="6"/>
    </row>
    <row r="26" spans="1:11" ht="20.100000000000001" customHeight="1" x14ac:dyDescent="0.25"/>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spans="9:11" ht="20.100000000000001" customHeight="1" x14ac:dyDescent="0.25"/>
    <row r="34" spans="9:11" ht="20.100000000000001" customHeight="1" x14ac:dyDescent="0.25"/>
    <row r="35" spans="9:11" ht="20.100000000000001" customHeight="1" x14ac:dyDescent="0.25"/>
    <row r="36" spans="9:11" ht="20.100000000000001" customHeight="1" x14ac:dyDescent="0.25"/>
    <row r="37" spans="9:11" ht="20.100000000000001" customHeight="1" x14ac:dyDescent="0.25"/>
    <row r="38" spans="9:11" ht="20.100000000000001" customHeight="1" x14ac:dyDescent="0.25"/>
    <row r="39" spans="9:11" ht="20.100000000000001" customHeight="1" x14ac:dyDescent="0.25"/>
    <row r="40" spans="9:11" ht="20.100000000000001" customHeight="1" x14ac:dyDescent="0.25"/>
    <row r="41" spans="9:11" ht="20.100000000000001" customHeight="1" x14ac:dyDescent="0.25"/>
    <row r="42" spans="9:11" ht="20.100000000000001" customHeight="1" x14ac:dyDescent="0.25"/>
    <row r="43" spans="9:11" ht="20.100000000000001" customHeight="1" x14ac:dyDescent="0.25"/>
    <row r="44" spans="9:11" ht="20.100000000000001" customHeight="1" x14ac:dyDescent="0.25"/>
    <row r="45" spans="9:11" ht="20.100000000000001" customHeight="1" x14ac:dyDescent="0.25">
      <c r="I45" s="2"/>
      <c r="J45" s="2"/>
      <c r="K45" s="2"/>
    </row>
    <row r="46" spans="9:11" ht="20.100000000000001" customHeight="1" x14ac:dyDescent="0.25"/>
    <row r="47" spans="9:11" ht="20.100000000000001" customHeight="1" x14ac:dyDescent="0.25"/>
    <row r="48" spans="9: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0"/>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53"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59" t="e" vm="1">
        <v>#VALUE!</v>
      </c>
      <c r="C1" s="8" t="s">
        <v>173</v>
      </c>
      <c r="K1"/>
    </row>
    <row r="2" spans="1:19" s="9" customFormat="1" ht="20.100000000000001" customHeight="1" x14ac:dyDescent="0.25">
      <c r="A2"/>
      <c r="K2"/>
    </row>
    <row r="3" spans="1:19" ht="20.100000000000001" customHeight="1" x14ac:dyDescent="0.25">
      <c r="A3" s="17" t="str">
        <f>HYPERLINK("#'Home'!A1", "Home")</f>
        <v>Home</v>
      </c>
      <c r="C3" s="4"/>
      <c r="D3" s="4" t="s">
        <v>102</v>
      </c>
      <c r="E3" s="4"/>
      <c r="F3" s="4"/>
      <c r="G3" s="4"/>
      <c r="H3" s="4"/>
      <c r="I3" s="4"/>
      <c r="J3" s="4"/>
      <c r="L3" s="4"/>
      <c r="M3" s="4" t="s">
        <v>103</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D6" s="5" t="str" cm="1">
        <f t="array" ref="D6">EntericMethane_Feedlot_Equations.VEERG_3_1_1_1__2_DailyEntericMethaneProduction_Source()</f>
        <v>VEERG 2026: 3.1.1.1, Equation (2)</v>
      </c>
    </row>
    <row r="7" spans="1:19" ht="20.100000000000001" customHeight="1" x14ac:dyDescent="0.25">
      <c r="D7" s="13" t="s">
        <v>14</v>
      </c>
      <c r="E7" s="13" t="str" cm="1">
        <f t="array" aca="1" ref="E7" ca="1">Common_InputFunctions.Utility_DisplayFunctionName(D35)</f>
        <v>=EntericMethane_Feedlot_Equations.VEERG_3_1_1_1__2_DailyEntericMethaneProduction</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Feedlot'!A1", "Feedlot")</f>
        <v>Feedlot</v>
      </c>
      <c r="D10" s="49" t="s">
        <v>17</v>
      </c>
      <c r="E10" s="1" t="str" cm="1">
        <f t="array" ref="E10">EntericMethane_Feedlot_Equations.VEERG_3_1_1_1__2_DailyEntericMethaneProduction_Variable()</f>
        <v>M_j</v>
      </c>
    </row>
    <row r="11" spans="1:19" ht="20.100000000000001" customHeight="1" x14ac:dyDescent="0.25">
      <c r="D11" s="49" t="s">
        <v>8</v>
      </c>
      <c r="E11" s="50" t="str" cm="1">
        <f t="array" ref="E11">EntericMethane_Feedlot_Equations.VEERG_3_1_1_1__2_DailyEntericMethaneProduction_Unit()</f>
        <v>kg CH4/head/day</v>
      </c>
    </row>
    <row r="12" spans="1:19" ht="20.100000000000001" customHeight="1" x14ac:dyDescent="0.25"/>
    <row r="13" spans="1:19" ht="20.100000000000001" customHeight="1" x14ac:dyDescent="0.25">
      <c r="A13" s="18" t="s">
        <v>53</v>
      </c>
      <c r="D13" s="101" t="str" cm="1">
        <f t="array" ref="D13:E15">_xlfn.CHOOSECOLS(EntericMethane_Feedlot_Equations.VEERG_3_1_1_1__2_DailyEntericMethaneProduction_Arguments(),1,2)</f>
        <v>I_j</v>
      </c>
      <c r="E13" s="104" t="str">
        <v>dry matter intake</v>
      </c>
      <c r="F13" s="103"/>
      <c r="G13" s="101" t="str" cm="1">
        <f t="array" ref="G13:H15">_xlfn.CHOOSECOLS(EntericMethane_Feedlot_Equations.VEERG_3_1_1_1__2_DailyEntericMethaneProduction_Arguments(),3,4)</f>
        <v>kg DM/head/day</v>
      </c>
      <c r="H13" s="99" t="str">
        <v>Input</v>
      </c>
      <c r="I13" s="102" t="str" cm="1">
        <f t="array" aca="1" ref="I13" ca="1">HYPERLINK(Common_InputFunctions.Utility_SourceHyperlink($D$17),$D$17)</f>
        <v>M1_Table_I_j</v>
      </c>
    </row>
    <row r="14" spans="1:19" ht="20.100000000000001" customHeight="1" x14ac:dyDescent="0.25">
      <c r="A14" s="21" t="str">
        <f>HYPERLINK("#'3.1.1.1-2 Enteric Methane'!A1", "3.1.1.1-2 Enteric Methane")</f>
        <v>3.1.1.1-2 Enteric Methane</v>
      </c>
      <c r="D14" s="101" t="str">
        <v>EE_j</v>
      </c>
      <c r="E14" s="104" t="str">
        <v>ether extract as a percentage of I_j</v>
      </c>
      <c r="F14" s="103"/>
      <c r="G14" s="101" t="str">
        <v>per cent</v>
      </c>
      <c r="H14" s="99" t="str">
        <v>Input</v>
      </c>
      <c r="I14" s="102" t="str" cm="1">
        <f t="array" aca="1" ref="I14" ca="1">HYPERLINK(Common_InputFunctions.Utility_SourceHyperlink($D$22),$D$22)</f>
        <v>M1_Table_EE_j</v>
      </c>
    </row>
    <row r="15" spans="1:19" ht="20.100000000000001" customHeight="1" x14ac:dyDescent="0.25">
      <c r="D15" s="101" t="str">
        <v>NDF_j</v>
      </c>
      <c r="E15" s="104" t="str">
        <v>neutral detergent fibre as a percentage of I_j</v>
      </c>
      <c r="F15" s="103"/>
      <c r="G15" s="101" t="str">
        <v>per cent</v>
      </c>
      <c r="H15" s="99" t="str">
        <v>Input</v>
      </c>
      <c r="I15" s="102" t="str" cm="1">
        <f t="array" aca="1" ref="I15" ca="1">HYPERLINK(Common_InputFunctions.Utility_SourceHyperlink($D$27),$D$27)</f>
        <v>M1_Table_NDF_j</v>
      </c>
    </row>
    <row r="16" spans="1:19" ht="20.100000000000001" customHeight="1" x14ac:dyDescent="0.25"/>
    <row r="17" spans="1:16" ht="20.100000000000001" customHeight="1" x14ac:dyDescent="0.25">
      <c r="A17" s="111" t="s">
        <v>1</v>
      </c>
      <c r="D17" s="82" t="s">
        <v>100</v>
      </c>
      <c r="M17" s="82" t="s">
        <v>101</v>
      </c>
    </row>
    <row r="18" spans="1:16" ht="20.100000000000001" customHeight="1" x14ac:dyDescent="0.25">
      <c r="A18" s="17" t="str">
        <f>HYPERLINK("#'Constants - Feedlot'!A1", "Constants - Feedlot")</f>
        <v>Constants - Feedlot</v>
      </c>
      <c r="D18" s="81" t="s">
        <v>104</v>
      </c>
      <c r="M18" s="81" t="s">
        <v>105</v>
      </c>
    </row>
    <row r="19" spans="1:16" ht="20.100000000000001" customHeight="1" x14ac:dyDescent="0.25">
      <c r="A19" s="17" t="str">
        <f>HYPERLINK("#'Constants - Common'!A1", "Constants - Common")</f>
        <v>Constants - Common</v>
      </c>
      <c r="D19" s="38" t="s">
        <v>90</v>
      </c>
      <c r="E19" s="38" t="s">
        <v>91</v>
      </c>
      <c r="F19" s="38" t="s">
        <v>92</v>
      </c>
      <c r="M19" s="38" t="s">
        <v>90</v>
      </c>
      <c r="N19" s="38" t="s">
        <v>91</v>
      </c>
      <c r="O19" s="38" t="s">
        <v>92</v>
      </c>
    </row>
    <row r="20" spans="1:16" ht="20.100000000000001" customHeight="1" x14ac:dyDescent="0.25">
      <c r="A20" s="17" t="str">
        <f>HYPERLINK("#'Constants - Livestock'!A1", "Constants - Livestock")</f>
        <v>Constants - Livestock</v>
      </c>
      <c r="D20" s="48" cm="1">
        <f t="array" aca="1" ref="D20:F20" ca="1">OFFSET(X_Table_Feedlot_Intake_Method1, 1,1, 1,3)</f>
        <v>10.4</v>
      </c>
      <c r="E20" s="48">
        <f ca="1"/>
        <v>10.8</v>
      </c>
      <c r="F20" s="48">
        <f ca="1"/>
        <v>8.1999999999999993</v>
      </c>
      <c r="G20" s="2" t="str">
        <f>$G$13</f>
        <v>kg DM/head/day</v>
      </c>
      <c r="M20" s="48" cm="1">
        <f t="array" aca="1" ref="M20:O20" ca="1">OFFSET(X_Table_Feedlot_Intake_Method2, 1,1, 1,3)</f>
        <v>10.4</v>
      </c>
      <c r="N20" s="48">
        <f ca="1"/>
        <v>10.8</v>
      </c>
      <c r="O20" s="48">
        <f ca="1"/>
        <v>8.1999999999999993</v>
      </c>
      <c r="P20" s="2" t="str">
        <f>$G$13</f>
        <v>kg DM/head/day</v>
      </c>
    </row>
    <row r="21" spans="1:16" ht="20.100000000000001" customHeight="1" x14ac:dyDescent="0.25">
      <c r="A21" s="17" t="str">
        <f>HYPERLINK("#'Acknowledgements'!A1", "Acknowledgements")</f>
        <v>Acknowledgements</v>
      </c>
    </row>
    <row r="22" spans="1:16" ht="20.100000000000001" customHeight="1" x14ac:dyDescent="0.25">
      <c r="A22" s="17" t="str">
        <f>HYPERLINK("#'Tab template'!A1", "Tab template")</f>
        <v>Tab template</v>
      </c>
      <c r="D22" s="82" t="s">
        <v>156</v>
      </c>
      <c r="M22" s="82" t="s">
        <v>164</v>
      </c>
    </row>
    <row r="23" spans="1:16" ht="20.100000000000001" customHeight="1" x14ac:dyDescent="0.25">
      <c r="D23" s="81" t="s">
        <v>157</v>
      </c>
      <c r="M23" s="81" t="s">
        <v>165</v>
      </c>
    </row>
    <row r="24" spans="1:16" ht="20.100000000000001" customHeight="1" x14ac:dyDescent="0.25">
      <c r="D24" s="38" t="s">
        <v>90</v>
      </c>
      <c r="E24" s="38" t="s">
        <v>91</v>
      </c>
      <c r="F24" s="38" t="s">
        <v>92</v>
      </c>
      <c r="M24" s="38" t="s">
        <v>90</v>
      </c>
      <c r="N24" s="38" t="s">
        <v>91</v>
      </c>
      <c r="O24" s="38" t="s">
        <v>92</v>
      </c>
    </row>
    <row r="25" spans="1:16" ht="20.100000000000001" customHeight="1" x14ac:dyDescent="0.25">
      <c r="D25" s="48" cm="1">
        <f t="array" aca="1" ref="D25:F25" ca="1">OFFSET(X_Table_Feedlot_Intake_Method1, 2,1, 1,3)</f>
        <v>4.8</v>
      </c>
      <c r="E25" s="48">
        <f ca="1"/>
        <v>5</v>
      </c>
      <c r="F25" s="48">
        <f ca="1"/>
        <v>5.5</v>
      </c>
      <c r="G25" s="2" t="str">
        <f>$G$14</f>
        <v>per cent</v>
      </c>
      <c r="M25" s="48" cm="1">
        <f t="array" aca="1" ref="M25:O25" ca="1">OFFSET(X_Table_Feedlot_Intake_Method2, 2,1, 1,3)</f>
        <v>4.8</v>
      </c>
      <c r="N25" s="48">
        <f ca="1"/>
        <v>5</v>
      </c>
      <c r="O25" s="48">
        <f ca="1"/>
        <v>5.5</v>
      </c>
      <c r="P25" s="2" t="str">
        <f>$G$14</f>
        <v>per cent</v>
      </c>
    </row>
    <row r="26" spans="1:16" ht="20.100000000000001" customHeight="1" x14ac:dyDescent="0.25"/>
    <row r="27" spans="1:16" ht="20.100000000000001" customHeight="1" x14ac:dyDescent="0.25">
      <c r="D27" s="82" t="s">
        <v>158</v>
      </c>
      <c r="M27" s="82" t="s">
        <v>166</v>
      </c>
    </row>
    <row r="28" spans="1:16" ht="20.100000000000001" customHeight="1" x14ac:dyDescent="0.25">
      <c r="D28" s="81" t="s">
        <v>159</v>
      </c>
      <c r="M28" s="81" t="s">
        <v>167</v>
      </c>
    </row>
    <row r="29" spans="1:16" ht="20.100000000000001" customHeight="1" x14ac:dyDescent="0.25">
      <c r="D29" s="38" t="s">
        <v>90</v>
      </c>
      <c r="E29" s="38" t="s">
        <v>91</v>
      </c>
      <c r="F29" s="38" t="s">
        <v>92</v>
      </c>
      <c r="M29" s="38" t="s">
        <v>90</v>
      </c>
      <c r="N29" s="38" t="s">
        <v>91</v>
      </c>
      <c r="O29" s="38" t="s">
        <v>92</v>
      </c>
    </row>
    <row r="30" spans="1:16" ht="20.100000000000001" customHeight="1" x14ac:dyDescent="0.25">
      <c r="D30" s="48" cm="1">
        <f t="array" aca="1" ref="D30:F30" ca="1">OFFSET(X_Table_Feedlot_Intake_Method1, 3,1, 1,3)</f>
        <v>22</v>
      </c>
      <c r="E30" s="48">
        <f ca="1"/>
        <v>22</v>
      </c>
      <c r="F30" s="48">
        <f ca="1"/>
        <v>24</v>
      </c>
      <c r="G30" s="2" t="str">
        <f>$G$15</f>
        <v>per cent</v>
      </c>
      <c r="M30" s="48" cm="1">
        <f t="array" aca="1" ref="M30:O30" ca="1">OFFSET(X_Table_Feedlot_Intake_Method2, 3,1, 1,3)</f>
        <v>22</v>
      </c>
      <c r="N30" s="48">
        <f ca="1"/>
        <v>22</v>
      </c>
      <c r="O30" s="48">
        <f ca="1"/>
        <v>24</v>
      </c>
      <c r="P30" s="2" t="str">
        <f>$G$15</f>
        <v>per cent</v>
      </c>
    </row>
    <row r="31" spans="1:16" ht="20.100000000000001" customHeight="1" x14ac:dyDescent="0.25"/>
    <row r="32" spans="1:16" ht="20.100000000000001" customHeight="1" x14ac:dyDescent="0.25">
      <c r="D32" s="82" t="s">
        <v>160</v>
      </c>
      <c r="M32" s="82" t="s">
        <v>162</v>
      </c>
    </row>
    <row r="33" spans="3:18" ht="20.100000000000001" customHeight="1" x14ac:dyDescent="0.25">
      <c r="D33" s="81" t="s">
        <v>161</v>
      </c>
      <c r="M33" s="81" t="s">
        <v>163</v>
      </c>
    </row>
    <row r="34" spans="3:18" ht="20.100000000000001" customHeight="1" x14ac:dyDescent="0.25">
      <c r="D34" s="47" t="s">
        <v>90</v>
      </c>
      <c r="E34" s="47" t="s">
        <v>91</v>
      </c>
      <c r="F34" s="47" t="s">
        <v>92</v>
      </c>
      <c r="M34" s="47" t="s">
        <v>90</v>
      </c>
      <c r="N34" s="47" t="s">
        <v>91</v>
      </c>
      <c r="O34" s="47" t="s">
        <v>92</v>
      </c>
    </row>
    <row r="35" spans="3:18" ht="20.100000000000001" customHeight="1" x14ac:dyDescent="0.25">
      <c r="D35" s="48" cm="1">
        <f t="array" aca="1" ref="D35" ca="1">EntericMethane_Feedlot_Equations.VEERG_3_1_1_1__2_DailyEntericMethaneProduction(D20,D25,D30)</f>
        <v>8.3664000000000002E-2</v>
      </c>
      <c r="E35" s="48" cm="1">
        <f t="array" aca="1" ref="E35" ca="1">EntericMethane_Feedlot_Equations.VEERG_3_1_1_1__2_DailyEntericMethaneProduction(E20,E25,E30)</f>
        <v>8.4908000000000011E-2</v>
      </c>
      <c r="F35" s="48" cm="1">
        <f t="array" aca="1" ref="F35" ca="1">EntericMethane_Feedlot_Equations.VEERG_3_1_1_1__2_DailyEntericMethaneProduction(F20,F25,F30)</f>
        <v>7.4142E-2</v>
      </c>
      <c r="G35" s="2" t="str">
        <f>$E$11</f>
        <v>kg CH4/head/day</v>
      </c>
      <c r="M35" s="48" cm="1">
        <f t="array" aca="1" ref="M35" ca="1">EntericMethane_Feedlot_Equations.VEERG_3_1_1_1__2_DailyEntericMethaneProduction(M20,M25,M30)</f>
        <v>8.3664000000000002E-2</v>
      </c>
      <c r="N35" s="48" cm="1">
        <f t="array" aca="1" ref="N35" ca="1">EntericMethane_Feedlot_Equations.VEERG_3_1_1_1__2_DailyEntericMethaneProduction(N20,N25,N30)</f>
        <v>8.4908000000000011E-2</v>
      </c>
      <c r="O35" s="48" cm="1">
        <f t="array" aca="1" ref="O35" ca="1">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3"/>
      <c r="D38" s="43"/>
      <c r="E38" s="43"/>
      <c r="F38" s="43"/>
      <c r="G38" s="43"/>
      <c r="H38" s="43"/>
      <c r="I38" s="43"/>
      <c r="J38" s="43"/>
      <c r="L38" s="43"/>
      <c r="M38" s="43"/>
      <c r="N38" s="43"/>
      <c r="O38" s="43"/>
      <c r="P38" s="43"/>
      <c r="Q38" s="43"/>
      <c r="R38" s="43"/>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14</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49" t="s">
        <v>17</v>
      </c>
      <c r="E45" s="1" t="str" cm="1">
        <f t="array" ref="E45">EntericMethane_Feedlot_Equations.VEERG_3_1_1_1__1_TotalAnnualMethaneFromEntericFermentation_Variable()</f>
        <v>E_enteric</v>
      </c>
    </row>
    <row r="46" spans="3:18" ht="20.100000000000001" customHeight="1" x14ac:dyDescent="0.25">
      <c r="D46" s="49" t="s">
        <v>8</v>
      </c>
      <c r="E46" s="50"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1" t="str" cm="1">
        <f t="array" ref="D48:E50">_xlfn.CHOOSECOLS(EntericMethane_Feedlot_Equations.VEERG_3_1_1_1__1_TotalAnnualMethaneFromEntericFermentation_Arguments(),1,2)</f>
        <v>D_j</v>
      </c>
      <c r="E48" s="104" t="str">
        <v>duration of stay of each cattle lot</v>
      </c>
      <c r="F48" s="103"/>
      <c r="G48" s="101" t="str" cm="1">
        <f t="array" ref="G48:H50">_xlfn.CHOOSECOLS(EntericMethane_Feedlot_Equations.VEERG_3_1_1_1__1_TotalAnnualMethaneFromEntericFermentation_Arguments(),3,4)</f>
        <v>days</v>
      </c>
      <c r="H48" s="99" t="str">
        <v>Input</v>
      </c>
      <c r="I48" s="102" t="str" cm="1">
        <f t="array" aca="1" ref="I48" ca="1">HYPERLINK(Common_InputFunctions.Utility_SourceHyperlink($D$52),$D$52)</f>
        <v>Table_D_j</v>
      </c>
    </row>
    <row r="49" spans="4:15" ht="20.100000000000001" customHeight="1" x14ac:dyDescent="0.25">
      <c r="D49" s="101" t="str">
        <v>M_j</v>
      </c>
      <c r="E49" s="104" t="str">
        <v>daily methane production</v>
      </c>
      <c r="F49" s="103"/>
      <c r="G49" s="101" t="str">
        <v>kg CH4/head/day</v>
      </c>
      <c r="H49" s="100" t="str">
        <v>Calculated from 3.1.1.1, (2)</v>
      </c>
      <c r="I49" s="102" t="str" cm="1">
        <f t="array" aca="1" ref="I49" ca="1">HYPERLINK(Common_InputFunctions.Utility_SourceHyperlink($D$32),$D$32)</f>
        <v>M1_Table_M_j</v>
      </c>
    </row>
    <row r="50" spans="4:15" ht="20.100000000000001" customHeight="1" x14ac:dyDescent="0.25">
      <c r="D50" s="101" t="str">
        <v>N_j</v>
      </c>
      <c r="E50" s="104" t="str">
        <v>numbers of feedlot cattle in each cattle lot</v>
      </c>
      <c r="F50" s="103"/>
      <c r="G50" s="101" t="str">
        <v>head</v>
      </c>
      <c r="H50" s="99" t="str">
        <v>Input</v>
      </c>
      <c r="I50" s="102" t="str" cm="1">
        <f t="array" aca="1" ref="I50" ca="1">HYPERLINK(Common_InputFunctions.Utility_SourceHyperlink($D$57),$D$57)</f>
        <v>Table_N_j</v>
      </c>
    </row>
    <row r="51" spans="4:15" ht="20.100000000000001" customHeight="1" x14ac:dyDescent="0.25"/>
    <row r="52" spans="4:15" ht="20.100000000000001" customHeight="1" x14ac:dyDescent="0.25">
      <c r="D52" s="82" t="s">
        <v>81</v>
      </c>
    </row>
    <row r="53" spans="4:15" ht="20.100000000000001" customHeight="1" x14ac:dyDescent="0.25">
      <c r="D53" s="81" t="s">
        <v>79</v>
      </c>
    </row>
    <row r="54" spans="4:15" ht="20.100000000000001" customHeight="1" x14ac:dyDescent="0.25">
      <c r="D54" s="38" t="s">
        <v>90</v>
      </c>
      <c r="E54" s="38" t="s">
        <v>91</v>
      </c>
      <c r="F54" s="38" t="s">
        <v>92</v>
      </c>
    </row>
    <row r="55" spans="4:15" ht="20.100000000000001" customHeight="1" x14ac:dyDescent="0.25">
      <c r="D55" s="84" cm="1">
        <f t="array" aca="1" ref="D55:F55" ca="1">OFFSET(X_Table_Feedlot_HerdMovement, 2, 1, 1, 3)</f>
        <v>90</v>
      </c>
      <c r="E55" s="84">
        <f ca="1"/>
        <v>140</v>
      </c>
      <c r="F55" s="84">
        <f ca="1"/>
        <v>250</v>
      </c>
      <c r="G55" s="2" t="str">
        <f>G48</f>
        <v>days</v>
      </c>
    </row>
    <row r="56" spans="4:15" ht="20.100000000000001" customHeight="1" x14ac:dyDescent="0.25"/>
    <row r="57" spans="4:15" ht="20.100000000000001" customHeight="1" x14ac:dyDescent="0.25">
      <c r="D57" s="82" t="s">
        <v>82</v>
      </c>
    </row>
    <row r="58" spans="4:15" ht="20.100000000000001" customHeight="1" x14ac:dyDescent="0.25">
      <c r="D58" s="81" t="s">
        <v>83</v>
      </c>
    </row>
    <row r="59" spans="4:15" ht="20.100000000000001" customHeight="1" x14ac:dyDescent="0.25">
      <c r="D59" s="38" t="s">
        <v>90</v>
      </c>
      <c r="E59" s="38" t="s">
        <v>91</v>
      </c>
      <c r="F59" s="38" t="s">
        <v>92</v>
      </c>
    </row>
    <row r="60" spans="4:15" ht="20.100000000000001" customHeight="1" x14ac:dyDescent="0.25">
      <c r="D60" s="84" cm="1">
        <f t="array" aca="1" ref="D60:F60" ca="1">OFFSET(X_Table_Feedlot_HerdMovement, 1, 1, 1, 3)</f>
        <v>4300</v>
      </c>
      <c r="E60" s="84">
        <f ca="1"/>
        <v>100</v>
      </c>
      <c r="F60" s="84">
        <f ca="1"/>
        <v>100</v>
      </c>
      <c r="G60" s="2" t="str">
        <f>G50</f>
        <v>head</v>
      </c>
    </row>
    <row r="61" spans="4:15" ht="20.100000000000001" customHeight="1" x14ac:dyDescent="0.25"/>
    <row r="62" spans="4:15" ht="20.100000000000001" customHeight="1" x14ac:dyDescent="0.25">
      <c r="D62" s="82" t="s">
        <v>179</v>
      </c>
      <c r="M62" s="82" t="s">
        <v>177</v>
      </c>
    </row>
    <row r="63" spans="4:15" ht="20.100000000000001" customHeight="1" x14ac:dyDescent="0.25">
      <c r="D63" s="81" t="s">
        <v>180</v>
      </c>
      <c r="M63" s="81" t="s">
        <v>178</v>
      </c>
    </row>
    <row r="64" spans="4:15" ht="20.100000000000001" customHeight="1" x14ac:dyDescent="0.25">
      <c r="D64" s="47" t="s">
        <v>90</v>
      </c>
      <c r="E64" s="47" t="s">
        <v>91</v>
      </c>
      <c r="F64" s="47" t="s">
        <v>92</v>
      </c>
      <c r="M64" s="47" t="s">
        <v>90</v>
      </c>
      <c r="N64" s="47" t="s">
        <v>91</v>
      </c>
      <c r="O64" s="47" t="s">
        <v>92</v>
      </c>
    </row>
    <row r="65" spans="4:17" ht="20.100000000000001" customHeight="1" x14ac:dyDescent="0.25">
      <c r="D65" s="48" cm="1">
        <f t="array" aca="1" ref="D65" ca="1">EntericMethane_Feedlot_Equations.VEERG_3_1_1_1__1_TotalAnnualMethaneFromEntericFermentation(D55,D35,D60)</f>
        <v>32.377968000000003</v>
      </c>
      <c r="E65" s="48" cm="1">
        <f t="array" aca="1" ref="E65" ca="1">EntericMethane_Feedlot_Equations.VEERG_3_1_1_1__1_TotalAnnualMethaneFromEntericFermentation(E55,E35,E60)</f>
        <v>1.1887120000000002</v>
      </c>
      <c r="F65" s="48" cm="1">
        <f t="array" aca="1" ref="F65" ca="1">EntericMethane_Feedlot_Equations.VEERG_3_1_1_1__1_TotalAnnualMethaneFromEntericFermentation(F55,F35,F60)</f>
        <v>1.85355</v>
      </c>
      <c r="G65" s="2" t="str">
        <f>$E$46</f>
        <v>t CH4</v>
      </c>
      <c r="M65" s="48" cm="1">
        <f t="array" aca="1" ref="M65" ca="1">EntericMethane_Feedlot_Equations.VEERG_3_1_1_1__1_TotalAnnualMethaneFromEntericFermentation(D55,M35,D60)</f>
        <v>32.377968000000003</v>
      </c>
      <c r="N65" s="48" cm="1">
        <f t="array" aca="1" ref="N65" ca="1">EntericMethane_Feedlot_Equations.VEERG_3_1_1_1__1_TotalAnnualMethaneFromEntericFermentation(E55,N35,E60)</f>
        <v>1.1887120000000002</v>
      </c>
      <c r="O65" s="48" cm="1">
        <f t="array" aca="1" ref="O65" ca="1">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5" t="s">
        <v>168</v>
      </c>
      <c r="E67" s="86">
        <f ca="1">SUM(D65:F65)</f>
        <v>35.420230000000004</v>
      </c>
      <c r="F67" s="87" t="str">
        <f>$E$46</f>
        <v>t CH4</v>
      </c>
      <c r="M67" s="85" t="s">
        <v>169</v>
      </c>
      <c r="N67" s="86">
        <f ca="1">SUM(M65:O65)</f>
        <v>35.420230000000004</v>
      </c>
      <c r="O67" s="87" t="str">
        <f>$E$46</f>
        <v>t CH4</v>
      </c>
    </row>
    <row r="68" spans="4:17" ht="20.100000000000001" customHeight="1" x14ac:dyDescent="0.25"/>
    <row r="69" spans="4:17" ht="20.100000000000001" customHeight="1" x14ac:dyDescent="0.25">
      <c r="D69" s="53" t="str" cm="1">
        <f t="array" ref="D69:E70">Common_Equations.Common_ConvertCH4ToCO2e_Arguments()</f>
        <v>ECH4</v>
      </c>
      <c r="E69" s="54" t="str">
        <v>Methane emissions (t CH4)</v>
      </c>
      <c r="F69" s="88"/>
      <c r="G69" s="48">
        <f ca="1">E67</f>
        <v>35.420230000000004</v>
      </c>
      <c r="H69" s="2" t="str">
        <f>$E$46</f>
        <v>t CH4</v>
      </c>
      <c r="M69" s="53" t="str" cm="1">
        <f t="array" ref="M69:N70">Common_Equations.Common_ConvertCH4ToCO2e_Arguments()</f>
        <v>ECH4</v>
      </c>
      <c r="N69" s="54" t="str">
        <v>Methane emissions (t CH4)</v>
      </c>
      <c r="O69" s="88"/>
      <c r="P69" s="48">
        <f ca="1">N67</f>
        <v>35.420230000000004</v>
      </c>
      <c r="Q69" s="2" t="str">
        <f>$E$46</f>
        <v>t CH4</v>
      </c>
    </row>
    <row r="70" spans="4:17" ht="20.100000000000001" customHeight="1" x14ac:dyDescent="0.25">
      <c r="D70" s="53" t="str">
        <v>GWPCH4</v>
      </c>
      <c r="E70" s="54" t="str">
        <v>Global warming potential for methane (t CO2-e / t CH4)</v>
      </c>
      <c r="F70" s="88"/>
      <c r="G70" s="48">
        <f>Common_InputFunctions.Utility_LookupValueInTableNumber("CH4",Table_GWPData[Gas],Table_GWPData[CO2-e factor])</f>
        <v>28</v>
      </c>
      <c r="M70" s="53" t="str">
        <v>GWPCH4</v>
      </c>
      <c r="N70" s="54" t="str">
        <v>Global warming potential for methane (t CO2-e / t CH4)</v>
      </c>
      <c r="O70" s="88"/>
      <c r="P70" s="48">
        <f>Common_InputFunctions.Utility_LookupValueInTableNumber("CH4",Table_GWPData[Gas],Table_GWPData[CO2-e factor])</f>
        <v>28</v>
      </c>
    </row>
    <row r="71" spans="4:17" ht="20.100000000000001" customHeight="1" x14ac:dyDescent="0.25"/>
    <row r="72" spans="4:17" ht="20.100000000000001" customHeight="1" x14ac:dyDescent="0.25">
      <c r="D72" s="43" t="s">
        <v>106</v>
      </c>
      <c r="E72" s="43" cm="1">
        <f t="array" aca="1" ref="E72" ca="1">Common_Equations.Common_ConvertCH4ToCO2e(G69,G70)</f>
        <v>991.7664400000001</v>
      </c>
      <c r="F72" s="89" t="str" cm="1">
        <f t="array" ref="F72">Common_Equations.Common_ConvertN2OToCO2e_Unit()</f>
        <v>t CO2e</v>
      </c>
      <c r="M72" s="43" t="s">
        <v>107</v>
      </c>
      <c r="N72" s="43" cm="1">
        <f t="array" aca="1" ref="N72" ca="1">Common_Equations.Common_ConvertCH4ToCO2e(P69,P70)</f>
        <v>991.7664400000001</v>
      </c>
      <c r="O72" s="89"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133:G133 E138:G138 N138:P138 D55:F55 D60:F6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59" t="e" vm="1">
        <v>#VALUE!</v>
      </c>
      <c r="C1" s="8" t="s">
        <v>89</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D6" s="5" t="str" cm="1">
        <f t="array" ref="D6">SourceData_Feedlot.SourceData_Feedlot_VSL_Source()</f>
        <v>VEERG 2026: 4.1.2.3 CONSTANTS</v>
      </c>
      <c r="M6" s="1"/>
    </row>
    <row r="7" spans="1:21" ht="20.100000000000001" customHeight="1" x14ac:dyDescent="0.25">
      <c r="D7" s="49" t="str" cm="1">
        <f t="array" ref="D7">SourceData_Feedlot.SourceData_Feedlot_VSL_Variable()</f>
        <v>VSL</v>
      </c>
      <c r="E7" s="1" cm="1">
        <f t="array" ref="E7">SourceData_Feedlot.SourceData_Feedlot_VSL_Data()</f>
        <v>0.5</v>
      </c>
      <c r="F7" s="50" t="str" cm="1">
        <f t="array" ref="F7">SourceData_Feedlot.SourceData_Feedlot_VSL_Unit()</f>
        <v>Fraction</v>
      </c>
      <c r="M7" s="1"/>
    </row>
    <row r="8" spans="1:21" ht="20.100000000000001" customHeight="1" x14ac:dyDescent="0.25">
      <c r="A8" s="19" t="s">
        <v>0</v>
      </c>
      <c r="M8" s="1"/>
    </row>
    <row r="9" spans="1:21" ht="20.100000000000001" customHeight="1" x14ac:dyDescent="0.25">
      <c r="A9" s="17" t="str">
        <f>HYPERLINK("#'Input - Site'!A1", "Site")</f>
        <v>Site</v>
      </c>
      <c r="M9" s="1"/>
    </row>
    <row r="10" spans="1:21" ht="20.100000000000001" customHeight="1" x14ac:dyDescent="0.25">
      <c r="A10" s="17" t="str">
        <f>HYPERLINK("#'Input - Feedlot'!A1", "Feedlot")</f>
        <v>Feedlot</v>
      </c>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D11" s="5" t="str" cm="1">
        <f t="array" ref="D11">SourceData_Feedlot.SourceData_Feedlot_MMSm1T3_Source()</f>
        <v>VEERG 2026: 4.1.2.3 CONSTANTS</v>
      </c>
      <c r="M11" s="1"/>
    </row>
    <row r="12" spans="1:21" ht="20.100000000000001" customHeight="1" x14ac:dyDescent="0.25">
      <c r="D12" s="49" t="str" cm="1">
        <f t="array" ref="D12">SourceData_Feedlot.SourceData_Feedlot_MMSm1T3_Variable()</f>
        <v>MMSm1T3</v>
      </c>
      <c r="E12" s="1" cm="1">
        <f t="array" ref="E12">SourceData_Feedlot.SourceData_Feedlot_MMSm1T3_Data()</f>
        <v>0.02</v>
      </c>
      <c r="F12" s="50" t="str" cm="1">
        <f t="array" ref="F12">SourceData_Feedlot.SourceData_Feedlot_MMSm1T3_Unit()</f>
        <v>Fraction</v>
      </c>
      <c r="M12" s="1"/>
    </row>
    <row r="13" spans="1:21" ht="20.100000000000001" customHeight="1" x14ac:dyDescent="0.25">
      <c r="A13" s="18" t="s">
        <v>53</v>
      </c>
      <c r="M13" s="1"/>
    </row>
    <row r="14" spans="1:21" ht="20.100000000000001" customHeight="1" x14ac:dyDescent="0.25">
      <c r="A14" s="17" t="str">
        <f>HYPERLINK("#'3.1.1.1-2 Enteric Methane'!A1", "3.1.1.1-2 Enteric Methane")</f>
        <v>3.1.1.1-2 Enteric Methane</v>
      </c>
      <c r="M14" s="1"/>
    </row>
    <row r="15" spans="1:21" ht="20.100000000000001" customHeight="1" x14ac:dyDescent="0.25">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11" t="s">
        <v>1</v>
      </c>
      <c r="D17" s="49" t="str" cm="1">
        <f t="array" ref="D17">SourceData_Feedlot.SourceData_Feedlot_AshContent_Variable()</f>
        <v>A</v>
      </c>
      <c r="E17" s="1" cm="1">
        <f t="array" ref="E17">SourceData_Feedlot.SourceData_Feedlot_AshContent_Data()</f>
        <v>0.16</v>
      </c>
      <c r="F17" s="50" t="str" cm="1">
        <f t="array" ref="F17">SourceData_Feedlot.SourceData_Feedlot_AshContent_Unit()</f>
        <v>Fraction</v>
      </c>
      <c r="M17" s="1"/>
    </row>
    <row r="18" spans="1:13" ht="20.100000000000001" customHeight="1" x14ac:dyDescent="0.25">
      <c r="A18" s="60" t="str">
        <f>HYPERLINK("#'Constants - Feedlot'!A1", "Constants - Feedlot")</f>
        <v>Constants - Feedlot</v>
      </c>
      <c r="M18" s="1"/>
    </row>
    <row r="19" spans="1:13" ht="20.100000000000001" customHeight="1" x14ac:dyDescent="0.25">
      <c r="A19" s="17" t="str">
        <f>HYPERLINK("#'Constants - Common'!A1", "Constants - Common")</f>
        <v>Constants - Common</v>
      </c>
      <c r="M19" s="1"/>
    </row>
    <row r="20" spans="1:13" ht="20.100000000000001" customHeight="1" x14ac:dyDescent="0.25">
      <c r="A20" s="17" t="str">
        <f>HYPERLINK("#'Constants - Livestock'!A1", "Constants - Livestock")</f>
        <v>Constants - Livestock</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A22" s="17" t="str">
        <f>HYPERLINK("#'Tab template'!A1", "Tab template")</f>
        <v>Tab template</v>
      </c>
      <c r="D22" s="49" t="str" cm="1">
        <f t="array" ref="D22">SourceData_Feedlot.SourceData_Feedlot_MethaneEmissionsPotential_Variable()</f>
        <v>B0</v>
      </c>
      <c r="E22" s="1" cm="1">
        <f t="array" ref="E22">SourceData_Feedlot.SourceData_Feedlot_MethaneEmissionsPotential_Data()</f>
        <v>0.19</v>
      </c>
      <c r="F22" s="50"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D25" s="6" t="s">
        <v>77</v>
      </c>
      <c r="G25" s="6" t="s">
        <v>113</v>
      </c>
      <c r="J25" s="6" t="s">
        <v>115</v>
      </c>
      <c r="M25" s="1"/>
    </row>
    <row r="26" spans="1:13" ht="20.100000000000001" customHeight="1" x14ac:dyDescent="0.25">
      <c r="M26" s="1"/>
    </row>
    <row r="27" spans="1:13" ht="20.100000000000001" customHeight="1" x14ac:dyDescent="0.25">
      <c r="D27" s="80" t="s">
        <v>47</v>
      </c>
      <c r="E27" s="36" t="s">
        <v>57</v>
      </c>
      <c r="G27" s="36" t="s">
        <v>114</v>
      </c>
      <c r="J27" s="36" t="s">
        <v>112</v>
      </c>
      <c r="M27" s="1"/>
    </row>
    <row r="28" spans="1:13" ht="20.100000000000001" customHeight="1" x14ac:dyDescent="0.25">
      <c r="D28" s="36" t="str">
        <f>'Constants - Livestock'!$E$16</f>
        <v>Drylot (feed pad)</v>
      </c>
      <c r="E28" s="36" t="str">
        <f>'Constants - Livestock'!$F$16</f>
        <v>Drylot (feed pad) (m=5)</v>
      </c>
      <c r="G28" s="36" t="str">
        <f>'Constants - Common'!$F$188</f>
        <v>Crop</v>
      </c>
      <c r="J28" s="36" t="s">
        <v>116</v>
      </c>
      <c r="M28" s="1"/>
    </row>
    <row r="29" spans="1:13" ht="20.100000000000001" customHeight="1" x14ac:dyDescent="0.25">
      <c r="D29" s="36" t="str">
        <f>'Constants - Livestock'!$E$15</f>
        <v>Solid storage</v>
      </c>
      <c r="E29" s="36" t="str">
        <f>'Constants - Livestock'!$F$15</f>
        <v>Solid storage (m=4)</v>
      </c>
      <c r="G29" s="1" t="str">
        <f>'Constants - Common'!$F$187</f>
        <v>Pasture</v>
      </c>
      <c r="J29" s="36" t="s">
        <v>117</v>
      </c>
      <c r="M29" s="1"/>
    </row>
    <row r="30" spans="1:13" ht="20.100000000000001" customHeight="1" x14ac:dyDescent="0.25">
      <c r="D30" s="36" t="str">
        <f>'Constants - Livestock'!$E$17</f>
        <v>Composting (passive windrow)</v>
      </c>
      <c r="E30" s="36" t="str">
        <f>'Constants - Livestock'!$F$17</f>
        <v>Composting (passive windrow) (m=6)</v>
      </c>
      <c r="J30" s="1" t="s">
        <v>118</v>
      </c>
      <c r="M30" s="1"/>
    </row>
    <row r="31" spans="1:13" ht="20.100000000000001" customHeight="1" x14ac:dyDescent="0.25">
      <c r="D31" s="36" t="str">
        <f>'Constants - Livestock'!$E$26</f>
        <v>Direct application</v>
      </c>
      <c r="E31" s="36" t="str">
        <f>'Constants - Livestock'!$F$26</f>
        <v>Direct application (m=13)</v>
      </c>
      <c r="J31" s="1" t="s">
        <v>119</v>
      </c>
      <c r="M31" s="1"/>
    </row>
    <row r="32" spans="1:13" ht="20.100000000000001" customHeight="1" x14ac:dyDescent="0.25">
      <c r="D32" s="1" t="str">
        <f>'Constants - Livestock'!$E$10</f>
        <v>Anaerobic lagoon</v>
      </c>
      <c r="E32" s="1" t="str">
        <f>'Constants - Livestock'!$F$10</f>
        <v>Anaerobic lagoon (m=1)</v>
      </c>
      <c r="J32" s="1" t="s">
        <v>120</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6" t="s">
        <v>84</v>
      </c>
      <c r="E38" s="36" t="s">
        <v>97</v>
      </c>
      <c r="M38" s="1"/>
    </row>
    <row r="39" spans="4:13" ht="20.100000000000001" customHeight="1" x14ac:dyDescent="0.25">
      <c r="D39" s="36" t="str" cm="1">
        <f t="array" ref="D39">Common_InputFunctions.Utility_DisplayArrayInTable(SourceData_Feedlot.SourceData_Feedlot_DurationOfStay_Data(), Table_SourceData_Feedlot_LengthOfStay[[#Headers],[Feedlot type]], 0)</f>
        <v>Domestic</v>
      </c>
      <c r="E39" s="36" t="str" cm="1">
        <f t="array" ref="E39">Common_InputFunctions.Utility_DisplayArrayInTable(SourceData_Feedlot.SourceData_Feedlot_DurationOfStay_Data(), Table_SourceData_Feedlot_LengthOfStay[[#Headers],[Feedlot type]], 0)</f>
        <v>1-80 days</v>
      </c>
      <c r="M39" s="23"/>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6" t="str" cm="1">
        <f t="array" ref="E40">Common_InputFunctions.Utility_DisplayArrayInTable(SourceData_Feedlot.SourceData_Feedlot_DurationOfStay_Data(), Table_SourceData_Feedlot_LengthOfStay[[#Headers],[Feedlot type]], 0)</f>
        <v>81-200 days</v>
      </c>
      <c r="M40" s="23"/>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6" t="str" cm="1">
        <f t="array" ref="E41">Common_InputFunctions.Utility_DisplayArrayInTable(SourceData_Feedlot.SourceData_Feedlot_DurationOfStay_Data(), Table_SourceData_Feedlot_LengthOfStay[[#Headers],[Feedlot type]], 0)</f>
        <v>201+ days</v>
      </c>
      <c r="M41" s="23"/>
    </row>
    <row r="42" spans="4:13" ht="20.100000000000001" customHeight="1" x14ac:dyDescent="0.25">
      <c r="M42" s="23"/>
    </row>
    <row r="43" spans="4:13" ht="20.100000000000001" customHeight="1" x14ac:dyDescent="0.25">
      <c r="M43" s="23"/>
    </row>
    <row r="44" spans="4:13" ht="20.100000000000001" customHeight="1" x14ac:dyDescent="0.25">
      <c r="D44" s="6" t="str" cm="1">
        <f t="array" ref="D44">SourceData_Feedlot.SourceData_Feedlot_AnimalCharacteristics_Title()</f>
        <v>Beef feedlot cattle - Animal characteristics</v>
      </c>
      <c r="M44" s="23"/>
    </row>
    <row r="45" spans="4:13" ht="20.100000000000001" customHeight="1" x14ac:dyDescent="0.25">
      <c r="D45" s="5" t="str" cm="1">
        <f t="array" ref="D45">SourceData_Feedlot.SourceData_Feedlot_AnimalCharacteristics_Source()</f>
        <v>VEERG 2026: Table A.1.1.2: Beef feedlot cattle - Animal characteristics</v>
      </c>
      <c r="M45" s="23"/>
    </row>
    <row r="46" spans="4:13" ht="20.100000000000001" customHeight="1" x14ac:dyDescent="0.25">
      <c r="D46" s="51" t="str" cm="1">
        <f t="array" ref="D46:D48">SourceData_Feedlot.SourceData_Feedlot_AnimalCharacteristics_Variation()</f>
        <v>VARIATION ON SOURCE:</v>
      </c>
      <c r="M46" s="23"/>
    </row>
    <row r="47" spans="4:13" ht="20.100000000000001" customHeight="1" x14ac:dyDescent="0.25">
      <c r="D47" s="51" t="str">
        <v>Moved feedlot types to a separate column to aid lookup.</v>
      </c>
      <c r="M47" s="23"/>
    </row>
    <row r="48" spans="4:13" ht="20.100000000000001" customHeight="1" x14ac:dyDescent="0.25">
      <c r="D48" s="51" t="str">
        <v>Named 'characteristic' column - original has header 'Unit' which covers two columns)</v>
      </c>
      <c r="M48" s="23"/>
    </row>
    <row r="49" spans="4:13" ht="20.100000000000001" customHeight="1" x14ac:dyDescent="0.25">
      <c r="D49" s="36" t="s">
        <v>84</v>
      </c>
      <c r="E49" s="36" t="s">
        <v>94</v>
      </c>
      <c r="F49" s="36" t="s">
        <v>8</v>
      </c>
      <c r="G49" s="36" t="s">
        <v>95</v>
      </c>
      <c r="H49" s="36" t="s">
        <v>86</v>
      </c>
      <c r="I49" s="36" t="s">
        <v>87</v>
      </c>
      <c r="J49" s="36" t="s">
        <v>88</v>
      </c>
      <c r="M49" s="23"/>
    </row>
    <row r="50" spans="4:13" ht="20.100000000000001" customHeight="1" x14ac:dyDescent="0.25">
      <c r="D50" s="36" t="str" cm="1">
        <f t="array" ref="D50">Common_InputFunctions.Utility_DisplayArrayInTable(SourceData_Feedlot.SourceData_Feedlot_AnimalCharacteristics_Data(), Table_SourceData_Feedlot_AnimalCharacteristics[[#Headers],[Feedlot type]], 0)</f>
        <v>Domestic</v>
      </c>
      <c r="E50" s="36" t="str" cm="1">
        <f t="array" ref="E50">Common_InputFunctions.Utility_DisplayArrayInTable(SourceData_Feedlot.SourceData_Feedlot_AnimalCharacteristics_Data(), Table_SourceData_Feedlot_AnimalCharacteristics[[#Headers],[Feedlot type]], 0)</f>
        <v>Days on feed</v>
      </c>
      <c r="F50" s="36" t="str" cm="1">
        <f t="array" ref="F50">Common_InputFunctions.Utility_DisplayArrayInTable(SourceData_Feedlot.SourceData_Feedlot_AnimalCharacteristics_Data(), Table_SourceData_Feedlot_AnimalCharacteristics[[#Headers],[Feedlot type]], 0)</f>
        <v>days</v>
      </c>
      <c r="G50" s="36" cm="1">
        <f t="array" ref="G50">Common_InputFunctions.Utility_DisplayArrayInTable(SourceData_Feedlot.SourceData_Feedlot_AnimalCharacteristics_Data(), Table_SourceData_Feedlot_AnimalCharacteristics[[#Headers],[Feedlot type]], 0)</f>
        <v>70</v>
      </c>
      <c r="H50" s="36" cm="1">
        <f t="array" ref="H50">Common_InputFunctions.Utility_DisplayArrayInTable(SourceData_Feedlot.SourceData_Feedlot_AnimalCharacteristics_Data(), Table_SourceData_Feedlot_AnimalCharacteristics[[#Headers],[Feedlot type]], 0)</f>
        <v>70</v>
      </c>
      <c r="I50" s="36" cm="1">
        <f t="array" ref="I50">Common_InputFunctions.Utility_DisplayArrayInTable(SourceData_Feedlot.SourceData_Feedlot_AnimalCharacteristics_Data(), Table_SourceData_Feedlot_AnimalCharacteristics[[#Headers],[Feedlot type]], 0)</f>
        <v>70</v>
      </c>
      <c r="J50" s="36" cm="1">
        <f t="array" ref="J50">Common_InputFunctions.Utility_DisplayArrayInTable(SourceData_Feedlot.SourceData_Feedlot_AnimalCharacteristics_Data(), Table_SourceData_Feedlot_AnimalCharacteristics[[#Headers],[Feedlot type]], 0)</f>
        <v>75</v>
      </c>
      <c r="M50" s="23"/>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6" t="str" cm="1">
        <f t="array" ref="E51">Common_InputFunctions.Utility_DisplayArrayInTable(SourceData_Feedlot.SourceData_Feedlot_AnimalCharacteristics_Data(), Table_SourceData_Feedlot_AnimalCharacteristics[[#Headers],[Feedlot type]], 0)</f>
        <v>Feed intake</v>
      </c>
      <c r="F51" s="36" t="str" cm="1">
        <f t="array" ref="F51">Common_InputFunctions.Utility_DisplayArrayInTable(SourceData_Feedlot.SourceData_Feedlot_AnimalCharacteristics_Data(), Table_SourceData_Feedlot_AnimalCharacteristics[[#Headers],[Feedlot type]], 0)</f>
        <v>kg DM/day</v>
      </c>
      <c r="G51" s="36" cm="1">
        <f t="array" ref="G51">Common_InputFunctions.Utility_DisplayArrayInTable(SourceData_Feedlot.SourceData_Feedlot_AnimalCharacteristics_Data(), Table_SourceData_Feedlot_AnimalCharacteristics[[#Headers],[Feedlot type]], 0)</f>
        <v>10</v>
      </c>
      <c r="H51" s="36" cm="1">
        <f t="array" ref="H51">Common_InputFunctions.Utility_DisplayArrayInTable(SourceData_Feedlot.SourceData_Feedlot_AnimalCharacteristics_Data(), Table_SourceData_Feedlot_AnimalCharacteristics[[#Headers],[Feedlot type]], 0)</f>
        <v>10</v>
      </c>
      <c r="I51" s="36" cm="1">
        <f t="array" ref="I51">Common_InputFunctions.Utility_DisplayArrayInTable(SourceData_Feedlot.SourceData_Feedlot_AnimalCharacteristics_Data(), Table_SourceData_Feedlot_AnimalCharacteristics[[#Headers],[Feedlot type]], 0)</f>
        <v>10.4</v>
      </c>
      <c r="J51" s="36" cm="1">
        <f t="array" ref="J51">Common_InputFunctions.Utility_DisplayArrayInTable(SourceData_Feedlot.SourceData_Feedlot_AnimalCharacteristics_Data(), Table_SourceData_Feedlot_AnimalCharacteristics[[#Headers],[Feedlot type]], 0)</f>
        <v>10.4</v>
      </c>
      <c r="M51" s="23"/>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6" t="str" cm="1">
        <f t="array" ref="E52">Common_InputFunctions.Utility_DisplayArrayInTable(SourceData_Feedlot.SourceData_Feedlot_AnimalCharacteristics_Data(), Table_SourceData_Feedlot_AnimalCharacteristics[[#Headers],[Feedlot type]], 0)</f>
        <v>N retention</v>
      </c>
      <c r="F52" s="36" t="str" cm="1">
        <f t="array" ref="F52">Common_InputFunctions.Utility_DisplayArrayInTable(SourceData_Feedlot.SourceData_Feedlot_AnimalCharacteristics_Data(), Table_SourceData_Feedlot_AnimalCharacteristics[[#Headers],[Feedlot type]], 0)</f>
        <v>per cent of intake</v>
      </c>
      <c r="G52" s="36" cm="1">
        <f t="array" ref="G52">Common_InputFunctions.Utility_DisplayArrayInTable(SourceData_Feedlot.SourceData_Feedlot_AnimalCharacteristics_Data(), Table_SourceData_Feedlot_AnimalCharacteristics[[#Headers],[Feedlot type]], 0)</f>
        <v>21.1</v>
      </c>
      <c r="H52" s="36" cm="1">
        <f t="array" ref="H52">Common_InputFunctions.Utility_DisplayArrayInTable(SourceData_Feedlot.SourceData_Feedlot_AnimalCharacteristics_Data(), Table_SourceData_Feedlot_AnimalCharacteristics[[#Headers],[Feedlot type]], 0)</f>
        <v>20.399999999999999</v>
      </c>
      <c r="I52" s="36" cm="1">
        <f t="array" ref="I52">Common_InputFunctions.Utility_DisplayArrayInTable(SourceData_Feedlot.SourceData_Feedlot_AnimalCharacteristics_Data(), Table_SourceData_Feedlot_AnimalCharacteristics[[#Headers],[Feedlot type]], 0)</f>
        <v>20.399999999999999</v>
      </c>
      <c r="J52" s="36" cm="1">
        <f t="array" ref="J52">Common_InputFunctions.Utility_DisplayArrayInTable(SourceData_Feedlot.SourceData_Feedlot_AnimalCharacteristics_Data(), Table_SourceData_Feedlot_AnimalCharacteristics[[#Headers],[Feedlot type]], 0)</f>
        <v>20.399999999999999</v>
      </c>
      <c r="M52" s="23"/>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6" t="str" cm="1">
        <f t="array" ref="E53">Common_InputFunctions.Utility_DisplayArrayInTable(SourceData_Feedlot.SourceData_Feedlot_AnimalCharacteristics_Data(), Table_SourceData_Feedlot_AnimalCharacteristics[[#Headers],[Feedlot type]], 0)</f>
        <v>Days on feed</v>
      </c>
      <c r="F53" s="36" t="str" cm="1">
        <f t="array" ref="F53">Common_InputFunctions.Utility_DisplayArrayInTable(SourceData_Feedlot.SourceData_Feedlot_AnimalCharacteristics_Data(), Table_SourceData_Feedlot_AnimalCharacteristics[[#Headers],[Feedlot type]], 0)</f>
        <v>days</v>
      </c>
      <c r="G53" s="36" cm="1">
        <f t="array" ref="G53">Common_InputFunctions.Utility_DisplayArrayInTable(SourceData_Feedlot.SourceData_Feedlot_AnimalCharacteristics_Data(), Table_SourceData_Feedlot_AnimalCharacteristics[[#Headers],[Feedlot type]], 0)</f>
        <v>115</v>
      </c>
      <c r="H53" s="36" cm="1">
        <f t="array" ref="H53">Common_InputFunctions.Utility_DisplayArrayInTable(SourceData_Feedlot.SourceData_Feedlot_AnimalCharacteristics_Data(), Table_SourceData_Feedlot_AnimalCharacteristics[[#Headers],[Feedlot type]], 0)</f>
        <v>115</v>
      </c>
      <c r="I53" s="36" cm="1">
        <f t="array" ref="I53">Common_InputFunctions.Utility_DisplayArrayInTable(SourceData_Feedlot.SourceData_Feedlot_AnimalCharacteristics_Data(), Table_SourceData_Feedlot_AnimalCharacteristics[[#Headers],[Feedlot type]], 0)</f>
        <v>120</v>
      </c>
      <c r="J53" s="36" cm="1">
        <f t="array" ref="J53">Common_InputFunctions.Utility_DisplayArrayInTable(SourceData_Feedlot.SourceData_Feedlot_AnimalCharacteristics_Data(), Table_SourceData_Feedlot_AnimalCharacteristics[[#Headers],[Feedlot type]], 0)</f>
        <v>150</v>
      </c>
      <c r="M53" s="23"/>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6" t="str" cm="1">
        <f t="array" ref="E54">Common_InputFunctions.Utility_DisplayArrayInTable(SourceData_Feedlot.SourceData_Feedlot_AnimalCharacteristics_Data(), Table_SourceData_Feedlot_AnimalCharacteristics[[#Headers],[Feedlot type]], 0)</f>
        <v>Feed intake</v>
      </c>
      <c r="F54" s="36" t="str" cm="1">
        <f t="array" ref="F54">Common_InputFunctions.Utility_DisplayArrayInTable(SourceData_Feedlot.SourceData_Feedlot_AnimalCharacteristics_Data(), Table_SourceData_Feedlot_AnimalCharacteristics[[#Headers],[Feedlot type]], 0)</f>
        <v>kg DM/day</v>
      </c>
      <c r="G54" s="36" cm="1">
        <f t="array" ref="G54">Common_InputFunctions.Utility_DisplayArrayInTable(SourceData_Feedlot.SourceData_Feedlot_AnimalCharacteristics_Data(), Table_SourceData_Feedlot_AnimalCharacteristics[[#Headers],[Feedlot type]], 0)</f>
        <v>11.2</v>
      </c>
      <c r="H54" s="36" cm="1">
        <f t="array" ref="H54">Common_InputFunctions.Utility_DisplayArrayInTable(SourceData_Feedlot.SourceData_Feedlot_AnimalCharacteristics_Data(), Table_SourceData_Feedlot_AnimalCharacteristics[[#Headers],[Feedlot type]], 0)</f>
        <v>10.8</v>
      </c>
      <c r="I54" s="36" cm="1">
        <f t="array" ref="I54">Common_InputFunctions.Utility_DisplayArrayInTable(SourceData_Feedlot.SourceData_Feedlot_AnimalCharacteristics_Data(), Table_SourceData_Feedlot_AnimalCharacteristics[[#Headers],[Feedlot type]], 0)</f>
        <v>10.8</v>
      </c>
      <c r="J54" s="36" cm="1">
        <f t="array" ref="J54">Common_InputFunctions.Utility_DisplayArrayInTable(SourceData_Feedlot.SourceData_Feedlot_AnimalCharacteristics_Data(), Table_SourceData_Feedlot_AnimalCharacteristics[[#Headers],[Feedlot type]], 0)</f>
        <v>10.8</v>
      </c>
      <c r="M54" s="23"/>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6" t="str" cm="1">
        <f t="array" ref="E55">Common_InputFunctions.Utility_DisplayArrayInTable(SourceData_Feedlot.SourceData_Feedlot_AnimalCharacteristics_Data(), Table_SourceData_Feedlot_AnimalCharacteristics[[#Headers],[Feedlot type]], 0)</f>
        <v>N retention</v>
      </c>
      <c r="F55" s="36" t="str" cm="1">
        <f t="array" ref="F55">Common_InputFunctions.Utility_DisplayArrayInTable(SourceData_Feedlot.SourceData_Feedlot_AnimalCharacteristics_Data(), Table_SourceData_Feedlot_AnimalCharacteristics[[#Headers],[Feedlot type]], 0)</f>
        <v>per cent of intake</v>
      </c>
      <c r="G55" s="36" cm="1">
        <f t="array" ref="G55">Common_InputFunctions.Utility_DisplayArrayInTable(SourceData_Feedlot.SourceData_Feedlot_AnimalCharacteristics_Data(), Table_SourceData_Feedlot_AnimalCharacteristics[[#Headers],[Feedlot type]], 0)</f>
        <v>12.5</v>
      </c>
      <c r="H55" s="36" cm="1">
        <f t="array" ref="H55">Common_InputFunctions.Utility_DisplayArrayInTable(SourceData_Feedlot.SourceData_Feedlot_AnimalCharacteristics_Data(), Table_SourceData_Feedlot_AnimalCharacteristics[[#Headers],[Feedlot type]], 0)</f>
        <v>12.7</v>
      </c>
      <c r="I55" s="36" cm="1">
        <f t="array" ref="I55">Common_InputFunctions.Utility_DisplayArrayInTable(SourceData_Feedlot.SourceData_Feedlot_AnimalCharacteristics_Data(), Table_SourceData_Feedlot_AnimalCharacteristics[[#Headers],[Feedlot type]], 0)</f>
        <v>12.7</v>
      </c>
      <c r="J55" s="36" cm="1">
        <f t="array" ref="J55">Common_InputFunctions.Utility_DisplayArrayInTable(SourceData_Feedlot.SourceData_Feedlot_AnimalCharacteristics_Data(), Table_SourceData_Feedlot_AnimalCharacteristics[[#Headers],[Feedlot type]], 0)</f>
        <v>12.7</v>
      </c>
      <c r="M55" s="23"/>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6" t="str" cm="1">
        <f t="array" ref="E56">Common_InputFunctions.Utility_DisplayArrayInTable(SourceData_Feedlot.SourceData_Feedlot_AnimalCharacteristics_Data(), Table_SourceData_Feedlot_AnimalCharacteristics[[#Headers],[Feedlot type]], 0)</f>
        <v>Days on feed</v>
      </c>
      <c r="F56" s="36" t="str" cm="1">
        <f t="array" ref="F56">Common_InputFunctions.Utility_DisplayArrayInTable(SourceData_Feedlot.SourceData_Feedlot_AnimalCharacteristics_Data(), Table_SourceData_Feedlot_AnimalCharacteristics[[#Headers],[Feedlot type]], 0)</f>
        <v>days</v>
      </c>
      <c r="G56" s="36" cm="1">
        <f t="array" ref="G56">Common_InputFunctions.Utility_DisplayArrayInTable(SourceData_Feedlot.SourceData_Feedlot_AnimalCharacteristics_Data(), Table_SourceData_Feedlot_AnimalCharacteristics[[#Headers],[Feedlot type]], 0)</f>
        <v>250</v>
      </c>
      <c r="H56" s="36" cm="1">
        <f t="array" ref="H56">Common_InputFunctions.Utility_DisplayArrayInTable(SourceData_Feedlot.SourceData_Feedlot_AnimalCharacteristics_Data(), Table_SourceData_Feedlot_AnimalCharacteristics[[#Headers],[Feedlot type]], 0)</f>
        <v>250</v>
      </c>
      <c r="I56" s="36" cm="1">
        <f t="array" ref="I56">Common_InputFunctions.Utility_DisplayArrayInTable(SourceData_Feedlot.SourceData_Feedlot_AnimalCharacteristics_Data(), Table_SourceData_Feedlot_AnimalCharacteristics[[#Headers],[Feedlot type]], 0)</f>
        <v>250</v>
      </c>
      <c r="J56" s="36" cm="1">
        <f t="array" ref="J56">Common_InputFunctions.Utility_DisplayArrayInTable(SourceData_Feedlot.SourceData_Feedlot_AnimalCharacteristics_Data(), Table_SourceData_Feedlot_AnimalCharacteristics[[#Headers],[Feedlot type]], 0)</f>
        <v>250</v>
      </c>
      <c r="M56" s="23"/>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6" t="str" cm="1">
        <f t="array" ref="E57">Common_InputFunctions.Utility_DisplayArrayInTable(SourceData_Feedlot.SourceData_Feedlot_AnimalCharacteristics_Data(), Table_SourceData_Feedlot_AnimalCharacteristics[[#Headers],[Feedlot type]], 0)</f>
        <v>Feed intake</v>
      </c>
      <c r="F57" s="36" t="str" cm="1">
        <f t="array" ref="F57">Common_InputFunctions.Utility_DisplayArrayInTable(SourceData_Feedlot.SourceData_Feedlot_AnimalCharacteristics_Data(), Table_SourceData_Feedlot_AnimalCharacteristics[[#Headers],[Feedlot type]], 0)</f>
        <v>kg DM/day</v>
      </c>
      <c r="G57" s="36" cm="1">
        <f t="array" ref="G57">Common_InputFunctions.Utility_DisplayArrayInTable(SourceData_Feedlot.SourceData_Feedlot_AnimalCharacteristics_Data(), Table_SourceData_Feedlot_AnimalCharacteristics[[#Headers],[Feedlot type]], 0)</f>
        <v>9</v>
      </c>
      <c r="H57" s="36" cm="1">
        <f t="array" ref="H57">Common_InputFunctions.Utility_DisplayArrayInTable(SourceData_Feedlot.SourceData_Feedlot_AnimalCharacteristics_Data(), Table_SourceData_Feedlot_AnimalCharacteristics[[#Headers],[Feedlot type]], 0)</f>
        <v>8.5</v>
      </c>
      <c r="I57" s="36" cm="1">
        <f t="array" ref="I57">Common_InputFunctions.Utility_DisplayArrayInTable(SourceData_Feedlot.SourceData_Feedlot_AnimalCharacteristics_Data(), Table_SourceData_Feedlot_AnimalCharacteristics[[#Headers],[Feedlot type]], 0)</f>
        <v>8.1999999999999993</v>
      </c>
      <c r="J57" s="36" cm="1">
        <f t="array" ref="J57">Common_InputFunctions.Utility_DisplayArrayInTable(SourceData_Feedlot.SourceData_Feedlot_AnimalCharacteristics_Data(), Table_SourceData_Feedlot_AnimalCharacteristics[[#Headers],[Feedlot type]], 0)</f>
        <v>8.1999999999999993</v>
      </c>
      <c r="M57" s="23"/>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6" t="str" cm="1">
        <f t="array" ref="E58">Common_InputFunctions.Utility_DisplayArrayInTable(SourceData_Feedlot.SourceData_Feedlot_AnimalCharacteristics_Data(), Table_SourceData_Feedlot_AnimalCharacteristics[[#Headers],[Feedlot type]], 0)</f>
        <v>N retention</v>
      </c>
      <c r="F58" s="36" t="str" cm="1">
        <f t="array" ref="F58">Common_InputFunctions.Utility_DisplayArrayInTable(SourceData_Feedlot.SourceData_Feedlot_AnimalCharacteristics_Data(), Table_SourceData_Feedlot_AnimalCharacteristics[[#Headers],[Feedlot type]], 0)</f>
        <v>per cent of intake</v>
      </c>
      <c r="G58" s="36" cm="1">
        <f t="array" ref="G58">Common_InputFunctions.Utility_DisplayArrayInTable(SourceData_Feedlot.SourceData_Feedlot_AnimalCharacteristics_Data(), Table_SourceData_Feedlot_AnimalCharacteristics[[#Headers],[Feedlot type]], 0)</f>
        <v>6.6</v>
      </c>
      <c r="H58" s="36" cm="1">
        <f t="array" ref="H58">Common_InputFunctions.Utility_DisplayArrayInTable(SourceData_Feedlot.SourceData_Feedlot_AnimalCharacteristics_Data(), Table_SourceData_Feedlot_AnimalCharacteristics[[#Headers],[Feedlot type]], 0)</f>
        <v>7</v>
      </c>
      <c r="I58" s="36" cm="1">
        <f t="array" ref="I58">Common_InputFunctions.Utility_DisplayArrayInTable(SourceData_Feedlot.SourceData_Feedlot_AnimalCharacteristics_Data(), Table_SourceData_Feedlot_AnimalCharacteristics[[#Headers],[Feedlot type]], 0)</f>
        <v>7</v>
      </c>
      <c r="J58" s="36" cm="1">
        <f t="array" ref="J58">Common_InputFunctions.Utility_DisplayArrayInTable(SourceData_Feedlot.SourceData_Feedlot_AnimalCharacteristics_Data(), Table_SourceData_Feedlot_AnimalCharacteristics[[#Headers],[Feedlot type]], 0)</f>
        <v>7</v>
      </c>
      <c r="M58" s="23"/>
    </row>
    <row r="59" spans="4:13" ht="20.100000000000001" customHeight="1" x14ac:dyDescent="0.25">
      <c r="M59" s="23"/>
    </row>
    <row r="60" spans="4:13" ht="20.100000000000001" customHeight="1" x14ac:dyDescent="0.25">
      <c r="M60" s="23"/>
    </row>
    <row r="61" spans="4:13" ht="20.100000000000001" customHeight="1" x14ac:dyDescent="0.25">
      <c r="D61" s="6" t="str" cm="1">
        <f t="array" ref="D61">SourceData_Feedlot.SourceData_Feedlot_DietProperties_Title()</f>
        <v>Beef feedlot cattle - Diet properties</v>
      </c>
      <c r="M61" s="23"/>
    </row>
    <row r="62" spans="4:13" ht="20.100000000000001" customHeight="1" x14ac:dyDescent="0.25">
      <c r="D62" s="5" t="str" cm="1">
        <f t="array" ref="D62">SourceData_Feedlot.SourceData_Feedlot_DietProperties_Source()</f>
        <v>VEERG 2026: Table A.1.1.3: Beef feedlot cattle - Diet properties</v>
      </c>
      <c r="M62" s="23"/>
    </row>
    <row r="63" spans="4:13" ht="20.100000000000001" customHeight="1" x14ac:dyDescent="0.25">
      <c r="D63" s="51" t="str" cm="1">
        <f t="array" ref="D63:D65">SourceData_Feedlot.SourceData_Feedlot_DietProperties_Variation()</f>
        <v>VARIATION ON SOURCE:</v>
      </c>
      <c r="M63" s="23"/>
    </row>
    <row r="64" spans="4:13" ht="20.100000000000001" customHeight="1" x14ac:dyDescent="0.25">
      <c r="D64" s="51" t="str">
        <v>Added 'Converted to fraction column and converted NDF and Ether extract values to fractions.</v>
      </c>
      <c r="M64" s="23"/>
    </row>
    <row r="65" spans="4:13" ht="20.100000000000001" customHeight="1" x14ac:dyDescent="0.25">
      <c r="D65" s="51" t="str">
        <v>Moved feedlot types to a separate column to aid lookup.</v>
      </c>
      <c r="M65" s="23"/>
    </row>
    <row r="66" spans="4:13" ht="20.100000000000001" customHeight="1" x14ac:dyDescent="0.25">
      <c r="D66" s="36" t="s">
        <v>84</v>
      </c>
      <c r="E66" s="36" t="s">
        <v>85</v>
      </c>
      <c r="F66" s="36" t="s">
        <v>8</v>
      </c>
      <c r="G66" s="36" t="s">
        <v>86</v>
      </c>
      <c r="H66" s="36" t="s">
        <v>87</v>
      </c>
      <c r="I66" s="36" t="s">
        <v>88</v>
      </c>
      <c r="J66" s="36" t="s">
        <v>93</v>
      </c>
      <c r="M66" s="23"/>
    </row>
    <row r="67" spans="4:13" ht="20.100000000000001" customHeight="1" x14ac:dyDescent="0.25">
      <c r="D67" s="36" t="str" cm="1">
        <f t="array" ref="D67">Common_InputFunctions.Utility_DisplayArrayInTable(SourceData_Feedlot.SourceData_Feedlot_DietProperties_Data(), Table_SourceData_Feedlot_DietProperties[[#Headers],[Feedlot type]], 0)</f>
        <v>Domestic</v>
      </c>
      <c r="E67" s="36" t="str" cm="1">
        <f t="array" ref="E67">Common_InputFunctions.Utility_DisplayArrayInTable(SourceData_Feedlot.SourceData_Feedlot_DietProperties_Data(), Table_SourceData_Feedlot_DietProperties[[#Headers],[Feedlot type]], 0)</f>
        <v>Dry matter digestibility</v>
      </c>
      <c r="F67" s="36" t="str" cm="1">
        <f t="array" ref="F67">Common_InputFunctions.Utility_DisplayArrayInTable(SourceData_Feedlot.SourceData_Feedlot_DietProperties_Data(), Table_SourceData_Feedlot_DietProperties[[#Headers],[Feedlot type]], 0)</f>
        <v>fraction</v>
      </c>
      <c r="G67" s="36" cm="1">
        <f t="array" ref="G67">Common_InputFunctions.Utility_DisplayArrayInTable(SourceData_Feedlot.SourceData_Feedlot_DietProperties_Data(), Table_SourceData_Feedlot_DietProperties[[#Headers],[Feedlot type]], 0)</f>
        <v>0.81</v>
      </c>
      <c r="H67" s="36" cm="1">
        <f t="array" ref="H67">Common_InputFunctions.Utility_DisplayArrayInTable(SourceData_Feedlot.SourceData_Feedlot_DietProperties_Data(), Table_SourceData_Feedlot_DietProperties[[#Headers],[Feedlot type]], 0)</f>
        <v>0.81</v>
      </c>
      <c r="I67" s="36" cm="1">
        <f t="array" ref="I67">Common_InputFunctions.Utility_DisplayArrayInTable(SourceData_Feedlot.SourceData_Feedlot_DietProperties_Data(), Table_SourceData_Feedlot_DietProperties[[#Headers],[Feedlot type]], 0)</f>
        <v>0.81</v>
      </c>
      <c r="J67" s="36" cm="1">
        <f t="array" ref="J67">Common_InputFunctions.Utility_DisplayArrayInTable(SourceData_Feedlot.SourceData_Feedlot_DietProperties_Data(), Table_SourceData_Feedlot_DietProperties[[#Headers],[Feedlot type]], 0)</f>
        <v>0.81</v>
      </c>
      <c r="M67" s="23"/>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6" t="str" cm="1">
        <f t="array" ref="E68">Common_InputFunctions.Utility_DisplayArrayInTable(SourceData_Feedlot.SourceData_Feedlot_DietProperties_Data(), Table_SourceData_Feedlot_DietProperties[[#Headers],[Feedlot type]], 0)</f>
        <v>Crude protein</v>
      </c>
      <c r="F68" s="36" t="str" cm="1">
        <f t="array" ref="F68">Common_InputFunctions.Utility_DisplayArrayInTable(SourceData_Feedlot.SourceData_Feedlot_DietProperties_Data(), Table_SourceData_Feedlot_DietProperties[[#Headers],[Feedlot type]], 0)</f>
        <v>fraction</v>
      </c>
      <c r="G68" s="36" cm="1">
        <f t="array" ref="G68">Common_InputFunctions.Utility_DisplayArrayInTable(SourceData_Feedlot.SourceData_Feedlot_DietProperties_Data(), Table_SourceData_Feedlot_DietProperties[[#Headers],[Feedlot type]], 0)</f>
        <v>0.14000000000000001</v>
      </c>
      <c r="H68" s="36" cm="1">
        <f t="array" ref="H68">Common_InputFunctions.Utility_DisplayArrayInTable(SourceData_Feedlot.SourceData_Feedlot_DietProperties_Data(), Table_SourceData_Feedlot_DietProperties[[#Headers],[Feedlot type]], 0)</f>
        <v>0.14000000000000001</v>
      </c>
      <c r="I68" s="36" cm="1">
        <f t="array" ref="I68">Common_InputFunctions.Utility_DisplayArrayInTable(SourceData_Feedlot.SourceData_Feedlot_DietProperties_Data(), Table_SourceData_Feedlot_DietProperties[[#Headers],[Feedlot type]], 0)</f>
        <v>0.14000000000000001</v>
      </c>
      <c r="J68" s="36" cm="1">
        <f t="array" ref="J68">Common_InputFunctions.Utility_DisplayArrayInTable(SourceData_Feedlot.SourceData_Feedlot_DietProperties_Data(), Table_SourceData_Feedlot_DietProperties[[#Headers],[Feedlot type]], 0)</f>
        <v>0.14000000000000001</v>
      </c>
      <c r="M68" s="23"/>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6" t="str" cm="1">
        <f t="array" ref="E69">Common_InputFunctions.Utility_DisplayArrayInTable(SourceData_Feedlot.SourceData_Feedlot_DietProperties_Data(), Table_SourceData_Feedlot_DietProperties[[#Headers],[Feedlot type]], 0)</f>
        <v>NDF</v>
      </c>
      <c r="F69" s="36" t="str" cm="1">
        <f t="array" ref="F69">Common_InputFunctions.Utility_DisplayArrayInTable(SourceData_Feedlot.SourceData_Feedlot_DietProperties_Data(), Table_SourceData_Feedlot_DietProperties[[#Headers],[Feedlot type]], 0)</f>
        <v>per cent</v>
      </c>
      <c r="G69" s="36" cm="1">
        <f t="array" ref="G69">Common_InputFunctions.Utility_DisplayArrayInTable(SourceData_Feedlot.SourceData_Feedlot_DietProperties_Data(), Table_SourceData_Feedlot_DietProperties[[#Headers],[Feedlot type]], 0)</f>
        <v>23</v>
      </c>
      <c r="H69" s="36" cm="1">
        <f t="array" ref="H69">Common_InputFunctions.Utility_DisplayArrayInTable(SourceData_Feedlot.SourceData_Feedlot_DietProperties_Data(), Table_SourceData_Feedlot_DietProperties[[#Headers],[Feedlot type]], 0)</f>
        <v>22</v>
      </c>
      <c r="I69" s="36" cm="1">
        <f t="array" ref="I69">Common_InputFunctions.Utility_DisplayArrayInTable(SourceData_Feedlot.SourceData_Feedlot_DietProperties_Data(), Table_SourceData_Feedlot_DietProperties[[#Headers],[Feedlot type]], 0)</f>
        <v>22</v>
      </c>
      <c r="J69" s="36" cm="1">
        <f t="array" ref="J69">Common_InputFunctions.Utility_DisplayArrayInTable(SourceData_Feedlot.SourceData_Feedlot_DietProperties_Data(), Table_SourceData_Feedlot_DietProperties[[#Headers],[Feedlot type]], 0)</f>
        <v>22</v>
      </c>
      <c r="M69" s="23"/>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6" t="str" cm="1">
        <f t="array" ref="E70">Common_InputFunctions.Utility_DisplayArrayInTable(SourceData_Feedlot.SourceData_Feedlot_DietProperties_Data(), Table_SourceData_Feedlot_DietProperties[[#Headers],[Feedlot type]], 0)</f>
        <v>Ether Extract</v>
      </c>
      <c r="F70" s="36" t="str" cm="1">
        <f t="array" ref="F70">Common_InputFunctions.Utility_DisplayArrayInTable(SourceData_Feedlot.SourceData_Feedlot_DietProperties_Data(), Table_SourceData_Feedlot_DietProperties[[#Headers],[Feedlot type]], 0)</f>
        <v>per cent</v>
      </c>
      <c r="G70" s="36" cm="1">
        <f t="array" ref="G70">Common_InputFunctions.Utility_DisplayArrayInTable(SourceData_Feedlot.SourceData_Feedlot_DietProperties_Data(), Table_SourceData_Feedlot_DietProperties[[#Headers],[Feedlot type]], 0)</f>
        <v>4.5</v>
      </c>
      <c r="H70" s="36" cm="1">
        <f t="array" ref="H70">Common_InputFunctions.Utility_DisplayArrayInTable(SourceData_Feedlot.SourceData_Feedlot_DietProperties_Data(), Table_SourceData_Feedlot_DietProperties[[#Headers],[Feedlot type]], 0)</f>
        <v>4.5</v>
      </c>
      <c r="I70" s="36" cm="1">
        <f t="array" ref="I70">Common_InputFunctions.Utility_DisplayArrayInTable(SourceData_Feedlot.SourceData_Feedlot_DietProperties_Data(), Table_SourceData_Feedlot_DietProperties[[#Headers],[Feedlot type]], 0)</f>
        <v>4.8</v>
      </c>
      <c r="J70" s="36" cm="1">
        <f t="array" ref="J70">Common_InputFunctions.Utility_DisplayArrayInTable(SourceData_Feedlot.SourceData_Feedlot_DietProperties_Data(), Table_SourceData_Feedlot_DietProperties[[#Headers],[Feedlot type]], 0)</f>
        <v>4.8</v>
      </c>
      <c r="M70" s="23"/>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6" t="str" cm="1">
        <f t="array" ref="E71">Common_InputFunctions.Utility_DisplayArrayInTable(SourceData_Feedlot.SourceData_Feedlot_DietProperties_Data(), Table_SourceData_Feedlot_DietProperties[[#Headers],[Feedlot type]], 0)</f>
        <v>Dry matter digestibility</v>
      </c>
      <c r="F71" s="36" t="str" cm="1">
        <f t="array" ref="F71">Common_InputFunctions.Utility_DisplayArrayInTable(SourceData_Feedlot.SourceData_Feedlot_DietProperties_Data(), Table_SourceData_Feedlot_DietProperties[[#Headers],[Feedlot type]], 0)</f>
        <v>fraction</v>
      </c>
      <c r="G71" s="36" cm="1">
        <f t="array" ref="G71">Common_InputFunctions.Utility_DisplayArrayInTable(SourceData_Feedlot.SourceData_Feedlot_DietProperties_Data(), Table_SourceData_Feedlot_DietProperties[[#Headers],[Feedlot type]], 0)</f>
        <v>0.81</v>
      </c>
      <c r="H71" s="36" cm="1">
        <f t="array" ref="H71">Common_InputFunctions.Utility_DisplayArrayInTable(SourceData_Feedlot.SourceData_Feedlot_DietProperties_Data(), Table_SourceData_Feedlot_DietProperties[[#Headers],[Feedlot type]], 0)</f>
        <v>0.81</v>
      </c>
      <c r="I71" s="36" cm="1">
        <f t="array" ref="I71">Common_InputFunctions.Utility_DisplayArrayInTable(SourceData_Feedlot.SourceData_Feedlot_DietProperties_Data(), Table_SourceData_Feedlot_DietProperties[[#Headers],[Feedlot type]], 0)</f>
        <v>0.81</v>
      </c>
      <c r="J71" s="36" cm="1">
        <f t="array" ref="J71">Common_InputFunctions.Utility_DisplayArrayInTable(SourceData_Feedlot.SourceData_Feedlot_DietProperties_Data(), Table_SourceData_Feedlot_DietProperties[[#Headers],[Feedlot type]], 0)</f>
        <v>0.81</v>
      </c>
      <c r="M71" s="23"/>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6" t="str" cm="1">
        <f t="array" ref="E72">Common_InputFunctions.Utility_DisplayArrayInTable(SourceData_Feedlot.SourceData_Feedlot_DietProperties_Data(), Table_SourceData_Feedlot_DietProperties[[#Headers],[Feedlot type]], 0)</f>
        <v>Crude protein</v>
      </c>
      <c r="F72" s="36" t="str" cm="1">
        <f t="array" ref="F72">Common_InputFunctions.Utility_DisplayArrayInTable(SourceData_Feedlot.SourceData_Feedlot_DietProperties_Data(), Table_SourceData_Feedlot_DietProperties[[#Headers],[Feedlot type]], 0)</f>
        <v>fraction</v>
      </c>
      <c r="G72" s="36" cm="1">
        <f t="array" ref="G72">Common_InputFunctions.Utility_DisplayArrayInTable(SourceData_Feedlot.SourceData_Feedlot_DietProperties_Data(), Table_SourceData_Feedlot_DietProperties[[#Headers],[Feedlot type]], 0)</f>
        <v>0.13</v>
      </c>
      <c r="H72" s="36" cm="1">
        <f t="array" ref="H72">Common_InputFunctions.Utility_DisplayArrayInTable(SourceData_Feedlot.SourceData_Feedlot_DietProperties_Data(), Table_SourceData_Feedlot_DietProperties[[#Headers],[Feedlot type]], 0)</f>
        <v>0.125</v>
      </c>
      <c r="I72" s="36" cm="1">
        <f t="array" ref="I72">Common_InputFunctions.Utility_DisplayArrayInTable(SourceData_Feedlot.SourceData_Feedlot_DietProperties_Data(), Table_SourceData_Feedlot_DietProperties[[#Headers],[Feedlot type]], 0)</f>
        <v>0.12</v>
      </c>
      <c r="J72" s="36" cm="1">
        <f t="array" ref="J72">Common_InputFunctions.Utility_DisplayArrayInTable(SourceData_Feedlot.SourceData_Feedlot_DietProperties_Data(), Table_SourceData_Feedlot_DietProperties[[#Headers],[Feedlot type]], 0)</f>
        <v>0.12</v>
      </c>
      <c r="M72" s="23"/>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6" t="str" cm="1">
        <f t="array" ref="E73">Common_InputFunctions.Utility_DisplayArrayInTable(SourceData_Feedlot.SourceData_Feedlot_DietProperties_Data(), Table_SourceData_Feedlot_DietProperties[[#Headers],[Feedlot type]], 0)</f>
        <v>NDF</v>
      </c>
      <c r="F73" s="36" t="str" cm="1">
        <f t="array" ref="F73">Common_InputFunctions.Utility_DisplayArrayInTable(SourceData_Feedlot.SourceData_Feedlot_DietProperties_Data(), Table_SourceData_Feedlot_DietProperties[[#Headers],[Feedlot type]], 0)</f>
        <v>per cent</v>
      </c>
      <c r="G73" s="36" cm="1">
        <f t="array" ref="G73">Common_InputFunctions.Utility_DisplayArrayInTable(SourceData_Feedlot.SourceData_Feedlot_DietProperties_Data(), Table_SourceData_Feedlot_DietProperties[[#Headers],[Feedlot type]], 0)</f>
        <v>24</v>
      </c>
      <c r="H73" s="36" cm="1">
        <f t="array" ref="H73">Common_InputFunctions.Utility_DisplayArrayInTable(SourceData_Feedlot.SourceData_Feedlot_DietProperties_Data(), Table_SourceData_Feedlot_DietProperties[[#Headers],[Feedlot type]], 0)</f>
        <v>22</v>
      </c>
      <c r="I73" s="36" cm="1">
        <f t="array" ref="I73">Common_InputFunctions.Utility_DisplayArrayInTable(SourceData_Feedlot.SourceData_Feedlot_DietProperties_Data(), Table_SourceData_Feedlot_DietProperties[[#Headers],[Feedlot type]], 0)</f>
        <v>22</v>
      </c>
      <c r="J73" s="36" cm="1">
        <f t="array" ref="J73">Common_InputFunctions.Utility_DisplayArrayInTable(SourceData_Feedlot.SourceData_Feedlot_DietProperties_Data(), Table_SourceData_Feedlot_DietProperties[[#Headers],[Feedlot type]], 0)</f>
        <v>22</v>
      </c>
      <c r="M73" s="23"/>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6" t="str" cm="1">
        <f t="array" ref="E74">Common_InputFunctions.Utility_DisplayArrayInTable(SourceData_Feedlot.SourceData_Feedlot_DietProperties_Data(), Table_SourceData_Feedlot_DietProperties[[#Headers],[Feedlot type]], 0)</f>
        <v>Ether Extract</v>
      </c>
      <c r="F74" s="36" t="str" cm="1">
        <f t="array" ref="F74">Common_InputFunctions.Utility_DisplayArrayInTable(SourceData_Feedlot.SourceData_Feedlot_DietProperties_Data(), Table_SourceData_Feedlot_DietProperties[[#Headers],[Feedlot type]], 0)</f>
        <v>per cent</v>
      </c>
      <c r="G74" s="36" cm="1">
        <f t="array" ref="G74">Common_InputFunctions.Utility_DisplayArrayInTable(SourceData_Feedlot.SourceData_Feedlot_DietProperties_Data(), Table_SourceData_Feedlot_DietProperties[[#Headers],[Feedlot type]], 0)</f>
        <v>5</v>
      </c>
      <c r="H74" s="36" cm="1">
        <f t="array" ref="H74">Common_InputFunctions.Utility_DisplayArrayInTable(SourceData_Feedlot.SourceData_Feedlot_DietProperties_Data(), Table_SourceData_Feedlot_DietProperties[[#Headers],[Feedlot type]], 0)</f>
        <v>5</v>
      </c>
      <c r="I74" s="36" cm="1">
        <f t="array" ref="I74">Common_InputFunctions.Utility_DisplayArrayInTable(SourceData_Feedlot.SourceData_Feedlot_DietProperties_Data(), Table_SourceData_Feedlot_DietProperties[[#Headers],[Feedlot type]], 0)</f>
        <v>5</v>
      </c>
      <c r="J74" s="36" cm="1">
        <f t="array" ref="J74">Common_InputFunctions.Utility_DisplayArrayInTable(SourceData_Feedlot.SourceData_Feedlot_DietProperties_Data(), Table_SourceData_Feedlot_DietProperties[[#Headers],[Feedlot type]], 0)</f>
        <v>5</v>
      </c>
      <c r="M74" s="23"/>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6" t="str" cm="1">
        <f t="array" ref="E75">Common_InputFunctions.Utility_DisplayArrayInTable(SourceData_Feedlot.SourceData_Feedlot_DietProperties_Data(), Table_SourceData_Feedlot_DietProperties[[#Headers],[Feedlot type]], 0)</f>
        <v>Dry matter digestibility</v>
      </c>
      <c r="F75" s="36" t="str" cm="1">
        <f t="array" ref="F75">Common_InputFunctions.Utility_DisplayArrayInTable(SourceData_Feedlot.SourceData_Feedlot_DietProperties_Data(), Table_SourceData_Feedlot_DietProperties[[#Headers],[Feedlot type]], 0)</f>
        <v>fraction</v>
      </c>
      <c r="G75" s="36" cm="1">
        <f t="array" ref="G75">Common_InputFunctions.Utility_DisplayArrayInTable(SourceData_Feedlot.SourceData_Feedlot_DietProperties_Data(), Table_SourceData_Feedlot_DietProperties[[#Headers],[Feedlot type]], 0)</f>
        <v>0.81</v>
      </c>
      <c r="H75" s="36" cm="1">
        <f t="array" ref="H75">Common_InputFunctions.Utility_DisplayArrayInTable(SourceData_Feedlot.SourceData_Feedlot_DietProperties_Data(), Table_SourceData_Feedlot_DietProperties[[#Headers],[Feedlot type]], 0)</f>
        <v>0.81</v>
      </c>
      <c r="I75" s="36" cm="1">
        <f t="array" ref="I75">Common_InputFunctions.Utility_DisplayArrayInTable(SourceData_Feedlot.SourceData_Feedlot_DietProperties_Data(), Table_SourceData_Feedlot_DietProperties[[#Headers],[Feedlot type]], 0)</f>
        <v>0.81</v>
      </c>
      <c r="J75" s="36" cm="1">
        <f t="array" ref="J75">Common_InputFunctions.Utility_DisplayArrayInTable(SourceData_Feedlot.SourceData_Feedlot_DietProperties_Data(), Table_SourceData_Feedlot_DietProperties[[#Headers],[Feedlot type]], 0)</f>
        <v>0.81</v>
      </c>
      <c r="M75" s="23"/>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6" t="str" cm="1">
        <f t="array" ref="E76">Common_InputFunctions.Utility_DisplayArrayInTable(SourceData_Feedlot.SourceData_Feedlot_DietProperties_Data(), Table_SourceData_Feedlot_DietProperties[[#Headers],[Feedlot type]], 0)</f>
        <v>Crude protein</v>
      </c>
      <c r="F76" s="36" t="str" cm="1">
        <f t="array" ref="F76">Common_InputFunctions.Utility_DisplayArrayInTable(SourceData_Feedlot.SourceData_Feedlot_DietProperties_Data(), Table_SourceData_Feedlot_DietProperties[[#Headers],[Feedlot type]], 0)</f>
        <v>fraction</v>
      </c>
      <c r="G76" s="36" cm="1">
        <f t="array" ref="G76">Common_InputFunctions.Utility_DisplayArrayInTable(SourceData_Feedlot.SourceData_Feedlot_DietProperties_Data(), Table_SourceData_Feedlot_DietProperties[[#Headers],[Feedlot type]], 0)</f>
        <v>0.13</v>
      </c>
      <c r="H76" s="36" cm="1">
        <f t="array" ref="H76">Common_InputFunctions.Utility_DisplayArrayInTable(SourceData_Feedlot.SourceData_Feedlot_DietProperties_Data(), Table_SourceData_Feedlot_DietProperties[[#Headers],[Feedlot type]], 0)</f>
        <v>0.125</v>
      </c>
      <c r="I76" s="36" cm="1">
        <f t="array" ref="I76">Common_InputFunctions.Utility_DisplayArrayInTable(SourceData_Feedlot.SourceData_Feedlot_DietProperties_Data(), Table_SourceData_Feedlot_DietProperties[[#Headers],[Feedlot type]], 0)</f>
        <v>0.12</v>
      </c>
      <c r="J76" s="36" cm="1">
        <f t="array" ref="J76">Common_InputFunctions.Utility_DisplayArrayInTable(SourceData_Feedlot.SourceData_Feedlot_DietProperties_Data(), Table_SourceData_Feedlot_DietProperties[[#Headers],[Feedlot type]], 0)</f>
        <v>0.12</v>
      </c>
      <c r="M76" s="23"/>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6" t="str" cm="1">
        <f t="array" ref="E77">Common_InputFunctions.Utility_DisplayArrayInTable(SourceData_Feedlot.SourceData_Feedlot_DietProperties_Data(), Table_SourceData_Feedlot_DietProperties[[#Headers],[Feedlot type]], 0)</f>
        <v>NDF</v>
      </c>
      <c r="F77" s="36" t="str" cm="1">
        <f t="array" ref="F77">Common_InputFunctions.Utility_DisplayArrayInTable(SourceData_Feedlot.SourceData_Feedlot_DietProperties_Data(), Table_SourceData_Feedlot_DietProperties[[#Headers],[Feedlot type]], 0)</f>
        <v>per cent</v>
      </c>
      <c r="G77" s="36" cm="1">
        <f t="array" ref="G77">Common_InputFunctions.Utility_DisplayArrayInTable(SourceData_Feedlot.SourceData_Feedlot_DietProperties_Data(), Table_SourceData_Feedlot_DietProperties[[#Headers],[Feedlot type]], 0)</f>
        <v>24</v>
      </c>
      <c r="H77" s="36" cm="1">
        <f t="array" ref="H77">Common_InputFunctions.Utility_DisplayArrayInTable(SourceData_Feedlot.SourceData_Feedlot_DietProperties_Data(), Table_SourceData_Feedlot_DietProperties[[#Headers],[Feedlot type]], 0)</f>
        <v>24</v>
      </c>
      <c r="I77" s="36" cm="1">
        <f t="array" ref="I77">Common_InputFunctions.Utility_DisplayArrayInTable(SourceData_Feedlot.SourceData_Feedlot_DietProperties_Data(), Table_SourceData_Feedlot_DietProperties[[#Headers],[Feedlot type]], 0)</f>
        <v>24</v>
      </c>
      <c r="J77" s="36" cm="1">
        <f t="array" ref="J77">Common_InputFunctions.Utility_DisplayArrayInTable(SourceData_Feedlot.SourceData_Feedlot_DietProperties_Data(), Table_SourceData_Feedlot_DietProperties[[#Headers],[Feedlot type]], 0)</f>
        <v>24</v>
      </c>
      <c r="M77" s="23"/>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6" t="str" cm="1">
        <f t="array" ref="E78">Common_InputFunctions.Utility_DisplayArrayInTable(SourceData_Feedlot.SourceData_Feedlot_DietProperties_Data(), Table_SourceData_Feedlot_DietProperties[[#Headers],[Feedlot type]], 0)</f>
        <v>Ether Extract</v>
      </c>
      <c r="F78" s="36" t="str" cm="1">
        <f t="array" ref="F78">Common_InputFunctions.Utility_DisplayArrayInTable(SourceData_Feedlot.SourceData_Feedlot_DietProperties_Data(), Table_SourceData_Feedlot_DietProperties[[#Headers],[Feedlot type]], 0)</f>
        <v>per cent</v>
      </c>
      <c r="G78" s="36" cm="1">
        <f t="array" ref="G78">Common_InputFunctions.Utility_DisplayArrayInTable(SourceData_Feedlot.SourceData_Feedlot_DietProperties_Data(), Table_SourceData_Feedlot_DietProperties[[#Headers],[Feedlot type]], 0)</f>
        <v>5</v>
      </c>
      <c r="H78" s="36" cm="1">
        <f t="array" ref="H78">Common_InputFunctions.Utility_DisplayArrayInTable(SourceData_Feedlot.SourceData_Feedlot_DietProperties_Data(), Table_SourceData_Feedlot_DietProperties[[#Headers],[Feedlot type]], 0)</f>
        <v>5</v>
      </c>
      <c r="I78" s="36" cm="1">
        <f t="array" ref="I78">Common_InputFunctions.Utility_DisplayArrayInTable(SourceData_Feedlot.SourceData_Feedlot_DietProperties_Data(), Table_SourceData_Feedlot_DietProperties[[#Headers],[Feedlot type]], 0)</f>
        <v>5.5</v>
      </c>
      <c r="J78" s="36" cm="1">
        <f t="array" ref="J78">Common_InputFunctions.Utility_DisplayArrayInTable(SourceData_Feedlot.SourceData_Feedlot_DietProperties_Data(), Table_SourceData_Feedlot_DietProperties[[#Headers],[Feedlot type]], 0)</f>
        <v>5.5</v>
      </c>
      <c r="M78" s="23"/>
    </row>
    <row r="79" spans="4:13" ht="20.100000000000001" customHeight="1" x14ac:dyDescent="0.25">
      <c r="M79" s="23"/>
    </row>
    <row r="80" spans="4:13" ht="20.100000000000001" customHeight="1" x14ac:dyDescent="0.25">
      <c r="M80" s="23"/>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1" t="str" cm="1">
        <f t="array" ref="D83:D86">SourceData_Feedlot.SourceData_Feedlot_MCF_Variation()</f>
        <v>VARIATION ON SOURCE:</v>
      </c>
      <c r="M83" s="1"/>
    </row>
    <row r="84" spans="4:14" ht="20.100000000000001" customHeight="1" x14ac:dyDescent="0.25">
      <c r="D84" s="51" t="str">
        <v>Duplicated NSW values for ACT</v>
      </c>
      <c r="M84" s="1"/>
    </row>
    <row r="85" spans="4:14" ht="20.100000000000001" customHeight="1" x14ac:dyDescent="0.25">
      <c r="D85" s="51" t="str">
        <v>Added NT column that duplicates QLD values as per advice from source data provider.</v>
      </c>
      <c r="M85" s="1"/>
    </row>
    <row r="86" spans="4:14" ht="20.100000000000001" customHeight="1" x14ac:dyDescent="0.25">
      <c r="D86" s="51" t="str">
        <v>Added TAS column that duplicates VIC values as per advice from source data provider.</v>
      </c>
      <c r="M86" s="1"/>
    </row>
    <row r="87" spans="4:14" ht="20.100000000000001" customHeight="1" x14ac:dyDescent="0.25">
      <c r="M87" s="1"/>
    </row>
    <row r="88" spans="4:14" ht="20.100000000000001" customHeight="1" x14ac:dyDescent="0.25">
      <c r="D88" s="36" t="s">
        <v>76</v>
      </c>
      <c r="E88" s="36" t="s">
        <v>74</v>
      </c>
      <c r="F88" s="36" t="s">
        <v>59</v>
      </c>
      <c r="G88" s="36" t="s">
        <v>58</v>
      </c>
      <c r="H88" s="36" t="s">
        <v>61</v>
      </c>
      <c r="I88" s="36" t="s">
        <v>60</v>
      </c>
      <c r="J88" s="36" t="s">
        <v>62</v>
      </c>
      <c r="K88" s="36" t="s">
        <v>64</v>
      </c>
      <c r="L88" s="36" t="s">
        <v>65</v>
      </c>
      <c r="M88" s="36" t="s">
        <v>63</v>
      </c>
      <c r="N88" s="36" t="s">
        <v>72</v>
      </c>
    </row>
    <row r="89" spans="4:14" ht="20.100000000000001" customHeight="1" x14ac:dyDescent="0.25">
      <c r="D89" s="36" t="str" cm="1">
        <f t="array" ref="D89">Common_InputFunctions.Utility_DisplayArrayInTable(SourceData_Feedlot.SourceData_Feedlot_MCF_Data(), Table_SourceData_Feedlot_MCF[[#Headers],[Treatment stage T]], 0)</f>
        <v>Primary</v>
      </c>
      <c r="E89" s="36" t="str" cm="1">
        <f t="array" ref="E89">Common_InputFunctions.Utility_DisplayArrayInTable(SourceData_Feedlot.SourceData_Feedlot_MCF_Data(), Table_SourceData_Feedlot_MCF[[#Headers],[Treatment stage T]], 0)</f>
        <v>Dry lot (Feedpad)</v>
      </c>
      <c r="F89" s="36" cm="1">
        <f t="array" ref="F89">Common_InputFunctions.Utility_DisplayArrayInTable(SourceData_Feedlot.SourceData_Feedlot_MCF_Data(), Table_SourceData_Feedlot_MCF[[#Headers],[Treatment stage T]], 0)</f>
        <v>0.01</v>
      </c>
      <c r="G89" s="36" cm="1">
        <f t="array" ref="G89">Common_InputFunctions.Utility_DisplayArrayInTable(SourceData_Feedlot.SourceData_Feedlot_MCF_Data(), Table_SourceData_Feedlot_MCF[[#Headers],[Treatment stage T]], 0)</f>
        <v>0.01</v>
      </c>
      <c r="H89" s="36" cm="1">
        <f t="array" ref="H89">Common_InputFunctions.Utility_DisplayArrayInTable(SourceData_Feedlot.SourceData_Feedlot_MCF_Data(), Table_SourceData_Feedlot_MCF[[#Headers],[Treatment stage T]], 0)</f>
        <v>0.03</v>
      </c>
      <c r="I89" s="36" cm="1">
        <f t="array" ref="I89">Common_InputFunctions.Utility_DisplayArrayInTable(SourceData_Feedlot.SourceData_Feedlot_MCF_Data(), Table_SourceData_Feedlot_MCF[[#Headers],[Treatment stage T]], 0)</f>
        <v>0.03</v>
      </c>
      <c r="J89" s="36" cm="1">
        <f t="array" ref="J89">Common_InputFunctions.Utility_DisplayArrayInTable(SourceData_Feedlot.SourceData_Feedlot_MCF_Data(), Table_SourceData_Feedlot_MCF[[#Headers],[Treatment stage T]], 0)</f>
        <v>0.01</v>
      </c>
      <c r="K89" s="36" cm="1">
        <f t="array" ref="K89">Common_InputFunctions.Utility_DisplayArrayInTable(SourceData_Feedlot.SourceData_Feedlot_MCF_Data(), Table_SourceData_Feedlot_MCF[[#Headers],[Treatment stage T]], 0)</f>
        <v>0.01</v>
      </c>
      <c r="L89" s="36" cm="1">
        <f t="array" ref="L89">Common_InputFunctions.Utility_DisplayArrayInTable(SourceData_Feedlot.SourceData_Feedlot_MCF_Data(), Table_SourceData_Feedlot_MCF[[#Headers],[Treatment stage T]], 0)</f>
        <v>0.01</v>
      </c>
      <c r="M89" s="36" cm="1">
        <f t="array" ref="M89">Common_InputFunctions.Utility_DisplayArrayInTable(SourceData_Feedlot.SourceData_Feedlot_MCF_Data(), Table_SourceData_Feedlot_MCF[[#Headers],[Treatment stage T]], 0)</f>
        <v>0.01</v>
      </c>
      <c r="N89" s="36"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6" t="str" cm="1">
        <f t="array" ref="E90">Common_InputFunctions.Utility_DisplayArrayInTable(SourceData_Feedlot.SourceData_Feedlot_MCF_Data(), Table_SourceData_Feedlot_MCF[[#Headers],[Treatment stage T]], 0)</f>
        <v>Solid Storage (Stockpile)</v>
      </c>
      <c r="F90" s="36" cm="1">
        <f t="array" ref="F90">Common_InputFunctions.Utility_DisplayArrayInTable(SourceData_Feedlot.SourceData_Feedlot_MCF_Data(), Table_SourceData_Feedlot_MCF[[#Headers],[Treatment stage T]], 0)</f>
        <v>0.02</v>
      </c>
      <c r="G90" s="36" cm="1">
        <f t="array" ref="G90">Common_InputFunctions.Utility_DisplayArrayInTable(SourceData_Feedlot.SourceData_Feedlot_MCF_Data(), Table_SourceData_Feedlot_MCF[[#Headers],[Treatment stage T]], 0)</f>
        <v>0.02</v>
      </c>
      <c r="H90" s="36" cm="1">
        <f t="array" ref="H90">Common_InputFunctions.Utility_DisplayArrayInTable(SourceData_Feedlot.SourceData_Feedlot_MCF_Data(), Table_SourceData_Feedlot_MCF[[#Headers],[Treatment stage T]], 0)</f>
        <v>0.02</v>
      </c>
      <c r="I90" s="36" cm="1">
        <f t="array" ref="I90">Common_InputFunctions.Utility_DisplayArrayInTable(SourceData_Feedlot.SourceData_Feedlot_MCF_Data(), Table_SourceData_Feedlot_MCF[[#Headers],[Treatment stage T]], 0)</f>
        <v>0.02</v>
      </c>
      <c r="J90" s="36" cm="1">
        <f t="array" ref="J90">Common_InputFunctions.Utility_DisplayArrayInTable(SourceData_Feedlot.SourceData_Feedlot_MCF_Data(), Table_SourceData_Feedlot_MCF[[#Headers],[Treatment stage T]], 0)</f>
        <v>0.02</v>
      </c>
      <c r="K90" s="36" cm="1">
        <f t="array" ref="K90">Common_InputFunctions.Utility_DisplayArrayInTable(SourceData_Feedlot.SourceData_Feedlot_MCF_Data(), Table_SourceData_Feedlot_MCF[[#Headers],[Treatment stage T]], 0)</f>
        <v>0.02</v>
      </c>
      <c r="L90" s="36" cm="1">
        <f t="array" ref="L90">Common_InputFunctions.Utility_DisplayArrayInTable(SourceData_Feedlot.SourceData_Feedlot_MCF_Data(), Table_SourceData_Feedlot_MCF[[#Headers],[Treatment stage T]], 0)</f>
        <v>0.02</v>
      </c>
      <c r="M90" s="36" cm="1">
        <f t="array" ref="M90">Common_InputFunctions.Utility_DisplayArrayInTable(SourceData_Feedlot.SourceData_Feedlot_MCF_Data(), Table_SourceData_Feedlot_MCF[[#Headers],[Treatment stage T]], 0)</f>
        <v>0.02</v>
      </c>
      <c r="N90" s="36"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6" t="str" cm="1">
        <f t="array" ref="E91">Common_InputFunctions.Utility_DisplayArrayInTable(SourceData_Feedlot.SourceData_Feedlot_MCF_Data(), Table_SourceData_Feedlot_MCF[[#Headers],[Treatment stage T]], 0)</f>
        <v>Composting (Passive Windrow)</v>
      </c>
      <c r="F91" s="36" cm="1">
        <f t="array" ref="F91">Common_InputFunctions.Utility_DisplayArrayInTable(SourceData_Feedlot.SourceData_Feedlot_MCF_Data(), Table_SourceData_Feedlot_MCF[[#Headers],[Treatment stage T]], 0)</f>
        <v>0.01</v>
      </c>
      <c r="G91" s="36" cm="1">
        <f t="array" ref="G91">Common_InputFunctions.Utility_DisplayArrayInTable(SourceData_Feedlot.SourceData_Feedlot_MCF_Data(), Table_SourceData_Feedlot_MCF[[#Headers],[Treatment stage T]], 0)</f>
        <v>0.01</v>
      </c>
      <c r="H91" s="36" cm="1">
        <f t="array" ref="H91">Common_InputFunctions.Utility_DisplayArrayInTable(SourceData_Feedlot.SourceData_Feedlot_MCF_Data(), Table_SourceData_Feedlot_MCF[[#Headers],[Treatment stage T]], 0)</f>
        <v>0.01</v>
      </c>
      <c r="I91" s="36" cm="1">
        <f t="array" ref="I91">Common_InputFunctions.Utility_DisplayArrayInTable(SourceData_Feedlot.SourceData_Feedlot_MCF_Data(), Table_SourceData_Feedlot_MCF[[#Headers],[Treatment stage T]], 0)</f>
        <v>0.01</v>
      </c>
      <c r="J91" s="36" cm="1">
        <f t="array" ref="J91">Common_InputFunctions.Utility_DisplayArrayInTable(SourceData_Feedlot.SourceData_Feedlot_MCF_Data(), Table_SourceData_Feedlot_MCF[[#Headers],[Treatment stage T]], 0)</f>
        <v>0.01</v>
      </c>
      <c r="K91" s="36" cm="1">
        <f t="array" ref="K91">Common_InputFunctions.Utility_DisplayArrayInTable(SourceData_Feedlot.SourceData_Feedlot_MCF_Data(), Table_SourceData_Feedlot_MCF[[#Headers],[Treatment stage T]], 0)</f>
        <v>0.01</v>
      </c>
      <c r="L91" s="36" cm="1">
        <f t="array" ref="L91">Common_InputFunctions.Utility_DisplayArrayInTable(SourceData_Feedlot.SourceData_Feedlot_MCF_Data(), Table_SourceData_Feedlot_MCF[[#Headers],[Treatment stage T]], 0)</f>
        <v>0.01</v>
      </c>
      <c r="M91" s="36" cm="1">
        <f t="array" ref="M91">Common_InputFunctions.Utility_DisplayArrayInTable(SourceData_Feedlot.SourceData_Feedlot_MCF_Data(), Table_SourceData_Feedlot_MCF[[#Headers],[Treatment stage T]], 0)</f>
        <v>0.01</v>
      </c>
      <c r="N91" s="36"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6" t="str" cm="1">
        <f t="array" ref="E92">Common_InputFunctions.Utility_DisplayArrayInTable(SourceData_Feedlot.SourceData_Feedlot_MCF_Data(), Table_SourceData_Feedlot_MCF[[#Headers],[Treatment stage T]], 0)</f>
        <v>Direct Application to soil</v>
      </c>
      <c r="F92" s="36" cm="1">
        <f t="array" ref="F92">Common_InputFunctions.Utility_DisplayArrayInTable(SourceData_Feedlot.SourceData_Feedlot_MCF_Data(), Table_SourceData_Feedlot_MCF[[#Headers],[Treatment stage T]], 0)</f>
        <v>0</v>
      </c>
      <c r="G92" s="36" cm="1">
        <f t="array" ref="G92">Common_InputFunctions.Utility_DisplayArrayInTable(SourceData_Feedlot.SourceData_Feedlot_MCF_Data(), Table_SourceData_Feedlot_MCF[[#Headers],[Treatment stage T]], 0)</f>
        <v>0</v>
      </c>
      <c r="H92" s="36" cm="1">
        <f t="array" ref="H92">Common_InputFunctions.Utility_DisplayArrayInTable(SourceData_Feedlot.SourceData_Feedlot_MCF_Data(), Table_SourceData_Feedlot_MCF[[#Headers],[Treatment stage T]], 0)</f>
        <v>0</v>
      </c>
      <c r="I92" s="36" cm="1">
        <f t="array" ref="I92">Common_InputFunctions.Utility_DisplayArrayInTable(SourceData_Feedlot.SourceData_Feedlot_MCF_Data(), Table_SourceData_Feedlot_MCF[[#Headers],[Treatment stage T]], 0)</f>
        <v>0</v>
      </c>
      <c r="J92" s="36" cm="1">
        <f t="array" ref="J92">Common_InputFunctions.Utility_DisplayArrayInTable(SourceData_Feedlot.SourceData_Feedlot_MCF_Data(), Table_SourceData_Feedlot_MCF[[#Headers],[Treatment stage T]], 0)</f>
        <v>0</v>
      </c>
      <c r="K92" s="36" cm="1">
        <f t="array" ref="K92">Common_InputFunctions.Utility_DisplayArrayInTable(SourceData_Feedlot.SourceData_Feedlot_MCF_Data(), Table_SourceData_Feedlot_MCF[[#Headers],[Treatment stage T]], 0)</f>
        <v>0</v>
      </c>
      <c r="L92" s="36" cm="1">
        <f t="array" ref="L92">Common_InputFunctions.Utility_DisplayArrayInTable(SourceData_Feedlot.SourceData_Feedlot_MCF_Data(), Table_SourceData_Feedlot_MCF[[#Headers],[Treatment stage T]], 0)</f>
        <v>0</v>
      </c>
      <c r="M92" s="36" cm="1">
        <f t="array" ref="M92">Common_InputFunctions.Utility_DisplayArrayInTable(SourceData_Feedlot.SourceData_Feedlot_MCF_Data(), Table_SourceData_Feedlot_MCF[[#Headers],[Treatment stage T]], 0)</f>
        <v>0</v>
      </c>
      <c r="N92" s="36"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6" t="str" cm="1">
        <f t="array" ref="E93">Common_InputFunctions.Utility_DisplayArrayInTable(SourceData_Feedlot.SourceData_Feedlot_MCF_Data(), Table_SourceData_Feedlot_MCF[[#Headers],[Treatment stage T]], 0)</f>
        <v>Uncovered anaerobic lagoon (Effluent pond)</v>
      </c>
      <c r="F93" s="36" cm="1">
        <f t="array" ref="F93">Common_InputFunctions.Utility_DisplayArrayInTable(SourceData_Feedlot.SourceData_Feedlot_MCF_Data(), Table_SourceData_Feedlot_MCF[[#Headers],[Treatment stage T]], 0)</f>
        <v>0.75</v>
      </c>
      <c r="G93" s="36" cm="1">
        <f t="array" ref="G93">Common_InputFunctions.Utility_DisplayArrayInTable(SourceData_Feedlot.SourceData_Feedlot_MCF_Data(), Table_SourceData_Feedlot_MCF[[#Headers],[Treatment stage T]], 0)</f>
        <v>0.75</v>
      </c>
      <c r="H93" s="36" cm="1">
        <f t="array" ref="H93">Common_InputFunctions.Utility_DisplayArrayInTable(SourceData_Feedlot.SourceData_Feedlot_MCF_Data(), Table_SourceData_Feedlot_MCF[[#Headers],[Treatment stage T]], 0)</f>
        <v>0.77</v>
      </c>
      <c r="I93" s="36" cm="1">
        <f t="array" ref="I93">Common_InputFunctions.Utility_DisplayArrayInTable(SourceData_Feedlot.SourceData_Feedlot_MCF_Data(), Table_SourceData_Feedlot_MCF[[#Headers],[Treatment stage T]], 0)</f>
        <v>0.77</v>
      </c>
      <c r="J93" s="36" cm="1">
        <f t="array" ref="J93">Common_InputFunctions.Utility_DisplayArrayInTable(SourceData_Feedlot.SourceData_Feedlot_MCF_Data(), Table_SourceData_Feedlot_MCF[[#Headers],[Treatment stage T]], 0)</f>
        <v>0.75</v>
      </c>
      <c r="K93" s="36" cm="1">
        <f t="array" ref="K93">Common_InputFunctions.Utility_DisplayArrayInTable(SourceData_Feedlot.SourceData_Feedlot_MCF_Data(), Table_SourceData_Feedlot_MCF[[#Headers],[Treatment stage T]], 0)</f>
        <v>0.75</v>
      </c>
      <c r="L93" s="36" cm="1">
        <f t="array" ref="L93">Common_InputFunctions.Utility_DisplayArrayInTable(SourceData_Feedlot.SourceData_Feedlot_MCF_Data(), Table_SourceData_Feedlot_MCF[[#Headers],[Treatment stage T]], 0)</f>
        <v>0.77</v>
      </c>
      <c r="M93" s="36" cm="1">
        <f t="array" ref="M93">Common_InputFunctions.Utility_DisplayArrayInTable(SourceData_Feedlot.SourceData_Feedlot_MCF_Data(), Table_SourceData_Feedlot_MCF[[#Headers],[Treatment stage T]], 0)</f>
        <v>0.75</v>
      </c>
      <c r="N93" s="36" t="str" cm="1">
        <f t="array" ref="N93">Common_InputFunctions.Utility_DisplayArrayInTable(SourceData_Feedlot.SourceData_Feedlot_MCF_Data(), Table_SourceData_Feedlot_MCF[[#Headers],[Treatment stage T]], 0)</f>
        <v>Anaerobic lagoon</v>
      </c>
    </row>
    <row r="94" spans="4:14" ht="20.100000000000001" customHeight="1" x14ac:dyDescent="0.25">
      <c r="M94" s="23"/>
    </row>
    <row r="95" spans="4:14" ht="20.100000000000001" customHeight="1" x14ac:dyDescent="0.25">
      <c r="M95" s="23"/>
    </row>
    <row r="96" spans="4:14" ht="20.100000000000001" customHeight="1" x14ac:dyDescent="0.25">
      <c r="D96" s="6" t="str" cm="1">
        <f t="array" ref="D96">SourceData_Feedlot.SourceData_Feedlot_NitrousOxideEFs_Title()</f>
        <v>Feedlot - Nitrous oxide EFs</v>
      </c>
      <c r="M96" s="23"/>
    </row>
    <row r="97" spans="4:14" ht="20.100000000000001" customHeight="1" x14ac:dyDescent="0.25">
      <c r="D97" s="5" t="str" cm="1">
        <f t="array" ref="D97">SourceData_Feedlot.SourceData_Feedlot_NitrousOxideEFs_Source()</f>
        <v>VEERG 2026: Table A.1.1.5: Beef feedlot cattle - Nitrous oxide EFs (EFmT)</v>
      </c>
      <c r="M97" s="23"/>
    </row>
    <row r="98" spans="4:14" ht="20.100000000000001" customHeight="1" x14ac:dyDescent="0.25">
      <c r="D98" s="51" t="str" cm="1">
        <f t="array" ref="D98:D99">SourceData_Feedlot.SourceData_Feedlot_NitrousOxideEFs_Variation()</f>
        <v>VARIATION ON SOURCE:</v>
      </c>
      <c r="M98" s="23"/>
    </row>
    <row r="99" spans="4:14" ht="20.100000000000001" customHeight="1" x14ac:dyDescent="0.25">
      <c r="D99" s="51" t="str">
        <v>Added 'NIR definition' column with MMS names that match NIR definitions.</v>
      </c>
      <c r="M99" s="23"/>
    </row>
    <row r="100" spans="4:14" ht="20.100000000000001" customHeight="1" x14ac:dyDescent="0.25">
      <c r="D100" s="36" t="s">
        <v>76</v>
      </c>
      <c r="E100" s="36" t="s">
        <v>74</v>
      </c>
      <c r="F100" s="36" t="s">
        <v>98</v>
      </c>
      <c r="G100" s="36" t="s">
        <v>72</v>
      </c>
      <c r="M100" s="1"/>
      <c r="N100" s="23"/>
    </row>
    <row r="101" spans="4:14" ht="20.100000000000001" customHeight="1" x14ac:dyDescent="0.25">
      <c r="D101" s="36" t="str" cm="1">
        <f t="array" ref="D101">Common_InputFunctions.Utility_DisplayArrayInTable(SourceData_Feedlot.SourceData_Feedlot_NitrousOxideEFs_Data(), Table_SourceData_Feedlot_NO2EFs[[#Headers],[Treatment stage T]], 0)</f>
        <v>Primary</v>
      </c>
      <c r="E101" s="36" t="str" cm="1">
        <f t="array" ref="E101">Common_InputFunctions.Utility_DisplayArrayInTable(SourceData_Feedlot.SourceData_Feedlot_NitrousOxideEFs_Data(), Table_SourceData_Feedlot_NO2EFs[[#Headers],[Treatment stage T]], 0)</f>
        <v>Dry lot (Feedpad)</v>
      </c>
      <c r="F101" s="36" cm="1">
        <f t="array" ref="F101">Common_InputFunctions.Utility_DisplayArrayInTable(SourceData_Feedlot.SourceData_Feedlot_NitrousOxideEFs_Data(), Table_SourceData_Feedlot_NO2EFs[[#Headers],[Treatment stage T]], 0)</f>
        <v>5.4000000000000003E-3</v>
      </c>
      <c r="G101" s="36" t="str" cm="1">
        <f t="array" ref="G101">Common_InputFunctions.Utility_DisplayArrayInTable(SourceData_Feedlot.SourceData_Feedlot_NitrousOxideEFs_Data(), Table_SourceData_Feedlot_NO2EFs[[#Headers],[Treatment stage T]], 0)</f>
        <v>Drylot (feed pad)</v>
      </c>
      <c r="M101" s="1"/>
      <c r="N101" s="23"/>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6" t="str" cm="1">
        <f t="array" ref="E102">Common_InputFunctions.Utility_DisplayArrayInTable(SourceData_Feedlot.SourceData_Feedlot_NitrousOxideEFs_Data(), Table_SourceData_Feedlot_NO2EFs[[#Headers],[Treatment stage T]], 0)</f>
        <v>Solid Storage (Stockpile)</v>
      </c>
      <c r="F102" s="36" cm="1">
        <f t="array" ref="F102">Common_InputFunctions.Utility_DisplayArrayInTable(SourceData_Feedlot.SourceData_Feedlot_NitrousOxideEFs_Data(), Table_SourceData_Feedlot_NO2EFs[[#Headers],[Treatment stage T]], 0)</f>
        <v>5.0000000000000001E-3</v>
      </c>
      <c r="G102" s="36" t="str" cm="1">
        <f t="array" ref="G102">Common_InputFunctions.Utility_DisplayArrayInTable(SourceData_Feedlot.SourceData_Feedlot_NitrousOxideEFs_Data(), Table_SourceData_Feedlot_NO2EFs[[#Headers],[Treatment stage T]], 0)</f>
        <v>Solid storage</v>
      </c>
      <c r="M102" s="1"/>
      <c r="N102" s="23"/>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6" t="str" cm="1">
        <f t="array" ref="E103">Common_InputFunctions.Utility_DisplayArrayInTable(SourceData_Feedlot.SourceData_Feedlot_NitrousOxideEFs_Data(), Table_SourceData_Feedlot_NO2EFs[[#Headers],[Treatment stage T]], 0)</f>
        <v>Composting (Passive Windrow)</v>
      </c>
      <c r="F103" s="36" cm="1">
        <f t="array" ref="F103">Common_InputFunctions.Utility_DisplayArrayInTable(SourceData_Feedlot.SourceData_Feedlot_NitrousOxideEFs_Data(), Table_SourceData_Feedlot_NO2EFs[[#Headers],[Treatment stage T]], 0)</f>
        <v>0.01</v>
      </c>
      <c r="G103" s="36" t="str" cm="1">
        <f t="array" ref="G103">Common_InputFunctions.Utility_DisplayArrayInTable(SourceData_Feedlot.SourceData_Feedlot_NitrousOxideEFs_Data(), Table_SourceData_Feedlot_NO2EFs[[#Headers],[Treatment stage T]], 0)</f>
        <v>Composting (passive windrow)</v>
      </c>
      <c r="M103" s="23"/>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6" t="str" cm="1">
        <f t="array" ref="E104">Common_InputFunctions.Utility_DisplayArrayInTable(SourceData_Feedlot.SourceData_Feedlot_NitrousOxideEFs_Data(), Table_SourceData_Feedlot_NO2EFs[[#Headers],[Treatment stage T]], 0)</f>
        <v>Direct Application to soil</v>
      </c>
      <c r="F104" s="36" cm="1">
        <f t="array" ref="F104">Common_InputFunctions.Utility_DisplayArrayInTable(SourceData_Feedlot.SourceData_Feedlot_NitrousOxideEFs_Data(), Table_SourceData_Feedlot_NO2EFs[[#Headers],[Treatment stage T]], 0)</f>
        <v>0</v>
      </c>
      <c r="G104" s="36" t="str" cm="1">
        <f t="array" ref="G104">Common_InputFunctions.Utility_DisplayArrayInTable(SourceData_Feedlot.SourceData_Feedlot_NitrousOxideEFs_Data(), Table_SourceData_Feedlot_NO2EFs[[#Headers],[Treatment stage T]], 0)</f>
        <v>Direct application</v>
      </c>
      <c r="M104" s="23"/>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6" t="str" cm="1">
        <f t="array" ref="E105">Common_InputFunctions.Utility_DisplayArrayInTable(SourceData_Feedlot.SourceData_Feedlot_NitrousOxideEFs_Data(), Table_SourceData_Feedlot_NO2EFs[[#Headers],[Treatment stage T]], 0)</f>
        <v>Uncovered anaerobic lagoon (Effluent Pond)</v>
      </c>
      <c r="F105" s="36" cm="1">
        <f t="array" ref="F105">Common_InputFunctions.Utility_DisplayArrayInTable(SourceData_Feedlot.SourceData_Feedlot_NitrousOxideEFs_Data(), Table_SourceData_Feedlot_NO2EFs[[#Headers],[Treatment stage T]], 0)</f>
        <v>0</v>
      </c>
      <c r="G105" s="36" t="str" cm="1">
        <f t="array" ref="G105">Common_InputFunctions.Utility_DisplayArrayInTable(SourceData_Feedlot.SourceData_Feedlot_NitrousOxideEFs_Data(), Table_SourceData_Feedlot_NO2EFs[[#Headers],[Treatment stage T]], 0)</f>
        <v>Anaerobic lagoon</v>
      </c>
      <c r="M105" s="23"/>
    </row>
    <row r="106" spans="4:14" ht="20.100000000000001" customHeight="1" x14ac:dyDescent="0.25">
      <c r="M106" s="23"/>
    </row>
    <row r="107" spans="4:14" ht="20.100000000000001" customHeight="1" x14ac:dyDescent="0.25">
      <c r="M107" s="23"/>
    </row>
    <row r="108" spans="4:14" ht="20.100000000000001" customHeight="1" x14ac:dyDescent="0.25">
      <c r="D108" s="6" t="str" cm="1">
        <f t="array" ref="D108">SourceData_Feedlot.SourceData_Feedlot_FracNVolatilised_Title()</f>
        <v>Feedlot - Fraction of N volatilised by MMS (FracGASMmT)</v>
      </c>
      <c r="M108" s="23"/>
    </row>
    <row r="109" spans="4:14" ht="20.100000000000001" customHeight="1" x14ac:dyDescent="0.25">
      <c r="D109" s="5" t="str" cm="1">
        <f t="array" ref="D109">SourceData_Feedlot.SourceData_Feedlot_FracNVolatilised_Source()</f>
        <v>VEERG 2026: Table A.1.1.6: Beef feedlot cattle - Fraction of N volatilised by MMS (FracGASMmT)</v>
      </c>
      <c r="M109" s="23"/>
    </row>
    <row r="110" spans="4:14" ht="20.100000000000001" customHeight="1" x14ac:dyDescent="0.25">
      <c r="D110" s="51" t="str" cm="1">
        <f t="array" ref="D110:D111">SourceData_Feedlot.SourceData_Feedlot_FracNVolatilised_Variation()</f>
        <v>VARIATION ON SOURCE:</v>
      </c>
      <c r="M110" s="23"/>
    </row>
    <row r="111" spans="4:14" ht="20.100000000000001" customHeight="1" x14ac:dyDescent="0.25">
      <c r="D111" s="51" t="str">
        <v>Added 'NIR definition' column with MMS names that match NIR definitions.</v>
      </c>
      <c r="M111" s="23"/>
    </row>
    <row r="112" spans="4:14" ht="20.100000000000001" customHeight="1" x14ac:dyDescent="0.25">
      <c r="D112" s="91" t="s">
        <v>76</v>
      </c>
      <c r="E112" s="91" t="s">
        <v>74</v>
      </c>
      <c r="F112" s="91" t="s">
        <v>99</v>
      </c>
      <c r="G112" s="91" t="s">
        <v>72</v>
      </c>
      <c r="M112" s="23"/>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3"/>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3"/>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3"/>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3"/>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3"/>
      <c r="V117" s="1"/>
    </row>
    <row r="118" spans="4:22" ht="20.100000000000001" customHeight="1" x14ac:dyDescent="0.25">
      <c r="M118" s="23"/>
    </row>
    <row r="119" spans="4:22" ht="20.100000000000001" customHeight="1" x14ac:dyDescent="0.25">
      <c r="M119" s="23"/>
    </row>
    <row r="120" spans="4:22" ht="20.100000000000001" customHeight="1" x14ac:dyDescent="0.25">
      <c r="M120" s="23"/>
    </row>
    <row r="121" spans="4:22" ht="20.100000000000001" customHeight="1" x14ac:dyDescent="0.25">
      <c r="M121" s="23"/>
    </row>
    <row r="122" spans="4:22" ht="20.100000000000001" customHeight="1" x14ac:dyDescent="0.25">
      <c r="M122" s="23"/>
    </row>
    <row r="123" spans="4:22" ht="20.100000000000001" customHeight="1" x14ac:dyDescent="0.25">
      <c r="M123" s="23"/>
    </row>
    <row r="124" spans="4:22" ht="20.100000000000001" customHeight="1" x14ac:dyDescent="0.25">
      <c r="M124" s="23"/>
    </row>
    <row r="125" spans="4:22" ht="20.100000000000001" customHeight="1" x14ac:dyDescent="0.25">
      <c r="M125" s="23"/>
    </row>
    <row r="126" spans="4:22" ht="20.100000000000001" customHeight="1" x14ac:dyDescent="0.25">
      <c r="M126" s="23"/>
    </row>
    <row r="127" spans="4:22" ht="20.100000000000001" customHeight="1" x14ac:dyDescent="0.25">
      <c r="M127" s="23"/>
    </row>
    <row r="128" spans="4:22" ht="20.100000000000001" customHeight="1" x14ac:dyDescent="0.25">
      <c r="M128" s="23"/>
    </row>
    <row r="129" spans="13:13" ht="20.100000000000001" customHeight="1" x14ac:dyDescent="0.25">
      <c r="M129" s="23"/>
    </row>
    <row r="130" spans="13:13" ht="20.100000000000001" customHeight="1" x14ac:dyDescent="0.25">
      <c r="M130" s="23"/>
    </row>
    <row r="131" spans="13:13" ht="20.100000000000001" customHeight="1" x14ac:dyDescent="0.25">
      <c r="M131" s="23"/>
    </row>
    <row r="132" spans="13:13" ht="20.100000000000001" customHeight="1" x14ac:dyDescent="0.25">
      <c r="M132" s="23"/>
    </row>
    <row r="133" spans="13:13" ht="20.100000000000001" customHeight="1" x14ac:dyDescent="0.25">
      <c r="M133" s="23"/>
    </row>
    <row r="134" spans="13:13" ht="20.100000000000001" customHeight="1" x14ac:dyDescent="0.25">
      <c r="M134" s="23"/>
    </row>
    <row r="135" spans="13:13" ht="20.100000000000001" customHeight="1" x14ac:dyDescent="0.25">
      <c r="M135" s="23"/>
    </row>
    <row r="136" spans="13:13" ht="20.100000000000001" customHeight="1" x14ac:dyDescent="0.25">
      <c r="M136" s="23"/>
    </row>
    <row r="137" spans="13:13" ht="20.100000000000001" customHeight="1" x14ac:dyDescent="0.25">
      <c r="M137" s="23"/>
    </row>
    <row r="138" spans="13:13" ht="20.100000000000001" customHeight="1" x14ac:dyDescent="0.25">
      <c r="M138" s="23"/>
    </row>
    <row r="139" spans="13:13" ht="20.100000000000001" customHeight="1" x14ac:dyDescent="0.25">
      <c r="M139" s="23"/>
    </row>
    <row r="140" spans="13:13" ht="20.100000000000001" customHeight="1" x14ac:dyDescent="0.25">
      <c r="M140" s="23"/>
    </row>
    <row r="141" spans="13:13" ht="20.100000000000001" customHeight="1" x14ac:dyDescent="0.25">
      <c r="M141" s="23"/>
    </row>
    <row r="142" spans="13:13" ht="20.100000000000001" customHeight="1" x14ac:dyDescent="0.25">
      <c r="M142" s="23"/>
    </row>
    <row r="143" spans="13:13" ht="20.100000000000001" customHeight="1" x14ac:dyDescent="0.25">
      <c r="M143" s="23"/>
    </row>
    <row r="144" spans="13:13" ht="20.100000000000001" customHeight="1" x14ac:dyDescent="0.25">
      <c r="M144" s="23"/>
    </row>
    <row r="145" spans="13:13" ht="20.100000000000001" customHeight="1" x14ac:dyDescent="0.25">
      <c r="M145" s="23"/>
    </row>
    <row r="146" spans="13:13" ht="20.100000000000001" customHeight="1" x14ac:dyDescent="0.25">
      <c r="M146" s="23"/>
    </row>
    <row r="147" spans="13:13" ht="20.100000000000001" customHeight="1" x14ac:dyDescent="0.25">
      <c r="M147" s="23"/>
    </row>
    <row r="148" spans="13:13" ht="20.100000000000001" customHeight="1" x14ac:dyDescent="0.25">
      <c r="M148" s="23"/>
    </row>
    <row r="149" spans="13:13" ht="20.100000000000001" customHeight="1" x14ac:dyDescent="0.25">
      <c r="M149" s="23"/>
    </row>
    <row r="150" spans="13:13" ht="20.100000000000001" customHeight="1" x14ac:dyDescent="0.25">
      <c r="M150" s="23"/>
    </row>
    <row r="151" spans="13:13" ht="20.100000000000001" customHeight="1" x14ac:dyDescent="0.25">
      <c r="M151" s="23"/>
    </row>
    <row r="152" spans="13:13" ht="20.100000000000001" customHeight="1" x14ac:dyDescent="0.25">
      <c r="M152" s="23"/>
    </row>
    <row r="153" spans="13:13" ht="20.100000000000001" customHeight="1" x14ac:dyDescent="0.25">
      <c r="M153" s="23"/>
    </row>
    <row r="154" spans="13:13" ht="20.100000000000001" customHeight="1" x14ac:dyDescent="0.25">
      <c r="M154" s="23"/>
    </row>
    <row r="155" spans="13:13" ht="20.100000000000001" customHeight="1" x14ac:dyDescent="0.25">
      <c r="M155" s="23"/>
    </row>
    <row r="156" spans="13:13" ht="20.100000000000001" customHeight="1" x14ac:dyDescent="0.25">
      <c r="M156" s="23"/>
    </row>
    <row r="157" spans="13:13" ht="20.100000000000001" customHeight="1" x14ac:dyDescent="0.25">
      <c r="M157" s="23"/>
    </row>
    <row r="158" spans="13:13" ht="20.100000000000001" customHeight="1" x14ac:dyDescent="0.25">
      <c r="M158" s="23"/>
    </row>
    <row r="159" spans="13:13" ht="20.100000000000001" customHeight="1" x14ac:dyDescent="0.25">
      <c r="M159" s="23"/>
    </row>
    <row r="160" spans="13:13" ht="20.100000000000001" customHeight="1" x14ac:dyDescent="0.25">
      <c r="M160" s="23"/>
    </row>
    <row r="161" spans="13:13" ht="20.100000000000001" customHeight="1" x14ac:dyDescent="0.25">
      <c r="M161" s="23"/>
    </row>
    <row r="162" spans="13:13" ht="20.100000000000001" customHeight="1" x14ac:dyDescent="0.25">
      <c r="M162" s="23"/>
    </row>
    <row r="163" spans="13:13" ht="20.100000000000001" customHeight="1" x14ac:dyDescent="0.25">
      <c r="M163" s="23"/>
    </row>
    <row r="164" spans="13:13" ht="20.100000000000001" customHeight="1" x14ac:dyDescent="0.25">
      <c r="M164" s="23"/>
    </row>
    <row r="165" spans="13:13" ht="20.100000000000001" customHeight="1" x14ac:dyDescent="0.25">
      <c r="M165" s="23"/>
    </row>
    <row r="166" spans="13:13" x14ac:dyDescent="0.25">
      <c r="M166" s="23"/>
    </row>
    <row r="167" spans="13:13" x14ac:dyDescent="0.25">
      <c r="M167" s="23"/>
    </row>
    <row r="168" spans="13:13" x14ac:dyDescent="0.25">
      <c r="M168" s="23"/>
    </row>
    <row r="169" spans="13:13" x14ac:dyDescent="0.25">
      <c r="M169" s="23"/>
    </row>
    <row r="170" spans="13:13" x14ac:dyDescent="0.25">
      <c r="M170" s="23"/>
    </row>
    <row r="171" spans="13:13" x14ac:dyDescent="0.25">
      <c r="M171" s="23"/>
    </row>
    <row r="172" spans="13:13" x14ac:dyDescent="0.25">
      <c r="M172" s="23"/>
    </row>
    <row r="173" spans="13:13" x14ac:dyDescent="0.25">
      <c r="M173" s="23"/>
    </row>
    <row r="174" spans="13:13" x14ac:dyDescent="0.25">
      <c r="M174" s="23"/>
    </row>
    <row r="175" spans="13:13" x14ac:dyDescent="0.25">
      <c r="M175" s="23"/>
    </row>
    <row r="176" spans="13:13" x14ac:dyDescent="0.25">
      <c r="M176" s="23"/>
    </row>
    <row r="177" spans="13:13" x14ac:dyDescent="0.25">
      <c r="M177" s="23"/>
    </row>
    <row r="178" spans="13:13" x14ac:dyDescent="0.25">
      <c r="M178" s="23"/>
    </row>
    <row r="179" spans="13:13" x14ac:dyDescent="0.25">
      <c r="M179" s="23"/>
    </row>
    <row r="180" spans="13:13" x14ac:dyDescent="0.25">
      <c r="M180" s="23"/>
    </row>
    <row r="181" spans="13:13" x14ac:dyDescent="0.25">
      <c r="M181" s="23"/>
    </row>
    <row r="182" spans="13:13" x14ac:dyDescent="0.25">
      <c r="M182" s="23"/>
    </row>
    <row r="183" spans="13:13" x14ac:dyDescent="0.25">
      <c r="M183" s="23"/>
    </row>
    <row r="184" spans="13:13" x14ac:dyDescent="0.25">
      <c r="M184" s="23"/>
    </row>
    <row r="185" spans="13:13" x14ac:dyDescent="0.25">
      <c r="M185" s="23"/>
    </row>
    <row r="186" spans="13:13" x14ac:dyDescent="0.25">
      <c r="M186" s="23"/>
    </row>
    <row r="187" spans="13:13" x14ac:dyDescent="0.25">
      <c r="M187" s="23"/>
    </row>
    <row r="188" spans="13:13" x14ac:dyDescent="0.25">
      <c r="M188" s="23"/>
    </row>
    <row r="189" spans="13:13" x14ac:dyDescent="0.25">
      <c r="M189" s="23"/>
    </row>
    <row r="190" spans="13:13" x14ac:dyDescent="0.25">
      <c r="M190" s="23"/>
    </row>
    <row r="191" spans="13:13" x14ac:dyDescent="0.25">
      <c r="M191" s="23"/>
    </row>
    <row r="192" spans="13:13" x14ac:dyDescent="0.25">
      <c r="M192" s="23"/>
    </row>
    <row r="193" spans="13:13" x14ac:dyDescent="0.25">
      <c r="M193" s="23"/>
    </row>
    <row r="194" spans="13:13" x14ac:dyDescent="0.25">
      <c r="M194" s="23"/>
    </row>
    <row r="195" spans="13:13" x14ac:dyDescent="0.25">
      <c r="M195" s="23"/>
    </row>
    <row r="196" spans="13:13" x14ac:dyDescent="0.25">
      <c r="M196" s="23"/>
    </row>
    <row r="197" spans="13:13" x14ac:dyDescent="0.25">
      <c r="M197" s="23"/>
    </row>
    <row r="198" spans="13:13" x14ac:dyDescent="0.25">
      <c r="M198" s="23"/>
    </row>
    <row r="199" spans="13:13" x14ac:dyDescent="0.25">
      <c r="M199" s="23"/>
    </row>
    <row r="200" spans="13:13" x14ac:dyDescent="0.25">
      <c r="M200" s="23"/>
    </row>
    <row r="201" spans="13:13" x14ac:dyDescent="0.25">
      <c r="M201" s="23"/>
    </row>
    <row r="202" spans="13:13" x14ac:dyDescent="0.25">
      <c r="M202" s="23"/>
    </row>
    <row r="203" spans="13:13" x14ac:dyDescent="0.25">
      <c r="M203" s="23"/>
    </row>
    <row r="204" spans="13:13" x14ac:dyDescent="0.25">
      <c r="M204" s="23"/>
    </row>
    <row r="205" spans="13:13" x14ac:dyDescent="0.25">
      <c r="M205" s="23"/>
    </row>
    <row r="206" spans="13:13" x14ac:dyDescent="0.25">
      <c r="M206" s="23"/>
    </row>
    <row r="207" spans="13:13" x14ac:dyDescent="0.25">
      <c r="M207" s="23"/>
    </row>
    <row r="208" spans="13:13" x14ac:dyDescent="0.25">
      <c r="M208" s="23"/>
    </row>
    <row r="209" spans="13:13" x14ac:dyDescent="0.25">
      <c r="M209" s="23"/>
    </row>
    <row r="210" spans="13:13" x14ac:dyDescent="0.25">
      <c r="M210" s="23"/>
    </row>
    <row r="211" spans="13:13" x14ac:dyDescent="0.25">
      <c r="M211" s="23"/>
    </row>
    <row r="212" spans="13:13" x14ac:dyDescent="0.25">
      <c r="M212" s="23"/>
    </row>
    <row r="213" spans="13:13" x14ac:dyDescent="0.25">
      <c r="M213" s="23"/>
    </row>
    <row r="214" spans="13:13" x14ac:dyDescent="0.25">
      <c r="M214" s="23"/>
    </row>
    <row r="215" spans="13:13" x14ac:dyDescent="0.25">
      <c r="M215" s="23"/>
    </row>
    <row r="216" spans="13:13" x14ac:dyDescent="0.25">
      <c r="M216" s="23"/>
    </row>
    <row r="217" spans="13:13" x14ac:dyDescent="0.25">
      <c r="M217" s="23"/>
    </row>
    <row r="218" spans="13:13" x14ac:dyDescent="0.25">
      <c r="M218" s="23"/>
    </row>
    <row r="219" spans="13:13" x14ac:dyDescent="0.25">
      <c r="M219" s="23"/>
    </row>
    <row r="220" spans="13:13" x14ac:dyDescent="0.25">
      <c r="M220" s="23"/>
    </row>
    <row r="221" spans="13:13" x14ac:dyDescent="0.25">
      <c r="M221" s="23"/>
    </row>
    <row r="222" spans="13:13" x14ac:dyDescent="0.25">
      <c r="M222" s="23"/>
    </row>
    <row r="223" spans="13:13" x14ac:dyDescent="0.25">
      <c r="M223" s="23"/>
    </row>
    <row r="224" spans="13:13" x14ac:dyDescent="0.25">
      <c r="M224" s="23"/>
    </row>
    <row r="225" spans="13:13" x14ac:dyDescent="0.25">
      <c r="M225" s="23"/>
    </row>
    <row r="226" spans="13:13" x14ac:dyDescent="0.25">
      <c r="M226" s="23"/>
    </row>
    <row r="227" spans="13:13" x14ac:dyDescent="0.25">
      <c r="M227" s="23"/>
    </row>
    <row r="228" spans="13:13" x14ac:dyDescent="0.25">
      <c r="M228" s="23"/>
    </row>
    <row r="229" spans="13:13" x14ac:dyDescent="0.25">
      <c r="M229" s="23"/>
    </row>
    <row r="230" spans="13:13" x14ac:dyDescent="0.25">
      <c r="M230" s="23"/>
    </row>
    <row r="231" spans="13:13" x14ac:dyDescent="0.25">
      <c r="M231" s="23"/>
    </row>
    <row r="232" spans="13:13" x14ac:dyDescent="0.25">
      <c r="M232" s="23"/>
    </row>
    <row r="233" spans="13:13" x14ac:dyDescent="0.25">
      <c r="M233" s="23"/>
    </row>
    <row r="234" spans="13:13" x14ac:dyDescent="0.25">
      <c r="M234" s="23"/>
    </row>
    <row r="235" spans="13:13" x14ac:dyDescent="0.25">
      <c r="M235" s="23"/>
    </row>
    <row r="236" spans="13:13" x14ac:dyDescent="0.25">
      <c r="M236" s="23"/>
    </row>
    <row r="237" spans="13:13" x14ac:dyDescent="0.25">
      <c r="M237" s="23"/>
    </row>
    <row r="238" spans="13:13" x14ac:dyDescent="0.25">
      <c r="M238" s="23"/>
    </row>
    <row r="239" spans="13:13" x14ac:dyDescent="0.25">
      <c r="M239" s="23"/>
    </row>
    <row r="240" spans="13: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02772-5964-47E7-9E47-ACBAB8ECD248}">
  <dimension ref="A1:BY259"/>
  <sheetViews>
    <sheetView showGridLines="0" tabSelected="1" topLeftCell="A86" zoomScaleNormal="100" workbookViewId="0">
      <selection activeCell="A21" sqref="A2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59" t="e" vm="1">
        <v>#VALUE!</v>
      </c>
      <c r="C1" s="8" t="s">
        <v>54</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10</v>
      </c>
      <c r="E6" s="36" t="s">
        <v>11</v>
      </c>
      <c r="F6" s="36" t="s">
        <v>12</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Feedlot'!A1", "Feedlot")</f>
        <v>Feedlot</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53</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HYPERLINK("#'3.1.1.1-2 Enteric Methane'!A1", "3.1.1.1-2 Enteric Methane")</f>
        <v>3.1.1.1-2 Enteric Methane</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11" t="s">
        <v>1</v>
      </c>
    </row>
    <row r="18" spans="1:4" ht="20.100000000000001" customHeight="1" x14ac:dyDescent="0.25">
      <c r="A18" s="17" t="str">
        <f>HYPERLINK("#'Constants - Feedlot'!A1", "Constants - Feedlot")</f>
        <v>Constants - Feedlot</v>
      </c>
      <c r="D18" s="6" t="str" cm="1">
        <f t="array" ref="D18">Common_SourceData.Common_SourceData_WASA4Areas_Title()</f>
        <v>ABS Statistcal Areas Level 4 - Western Australia</v>
      </c>
    </row>
    <row r="19" spans="1:4" ht="20.100000000000001" customHeight="1" x14ac:dyDescent="0.25">
      <c r="A19" s="60"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6" t="s">
        <v>13</v>
      </c>
    </row>
    <row r="21" spans="1:4" ht="20.100000000000001" customHeight="1" x14ac:dyDescent="0.25">
      <c r="A21" s="17" t="str">
        <f>HYPERLINK("#'Acknowledgements'!A1", "Acknowledgements")</f>
        <v>Acknowledgements</v>
      </c>
      <c r="D21" s="36" t="str" cm="1">
        <f t="array" ref="D21">Common_InputFunctions.Utility_DisplayArrayInTable(Common_SourceData.Common_SourceData_WASA4Areas_Data(), Table_WASA4Areas[[#Headers],[SA 4 Name]], 0)</f>
        <v>Bunbury</v>
      </c>
    </row>
    <row r="22" spans="1:4" ht="20.100000000000001" customHeight="1" x14ac:dyDescent="0.25">
      <c r="A22" s="17" t="str">
        <f>HYPERLINK("#'Tab template'!A1", "Tab template")</f>
        <v>Tab template</v>
      </c>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15</v>
      </c>
      <c r="E36" s="36" t="s">
        <v>16</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15</v>
      </c>
      <c r="E47" s="36" t="s">
        <v>18</v>
      </c>
      <c r="F47" s="36" t="s">
        <v>19</v>
      </c>
      <c r="G47" s="36" t="s">
        <v>20</v>
      </c>
      <c r="H47" s="36" t="s">
        <v>21</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1" t="str" cm="1">
        <f t="array" ref="D59:D61">"⚠️" &amp; Common_SourceData.Common_SourceData_WetAndDryZones_Variation()</f>
        <v>⚠️VARIATION OF SOURCE DATA:</v>
      </c>
    </row>
    <row r="60" spans="1:8" ht="20.100000000000001" customHeight="1" x14ac:dyDescent="0.25">
      <c r="A60"/>
      <c r="D60" s="51" t="str">
        <v>⚠️Added warm / cool temperate moist / dry - low frost and high temp classes to accommodate climate scenarios excluded by VEERG criteria.</v>
      </c>
    </row>
    <row r="61" spans="1:8" ht="20.100000000000001" customHeight="1" x14ac:dyDescent="0.25">
      <c r="A61"/>
      <c r="D61" s="51" t="str">
        <v>⚠️Fixed typo - Changed 'Fry' to 'Dry'.</v>
      </c>
    </row>
    <row r="62" spans="1:8" ht="20.100000000000001" customHeight="1" x14ac:dyDescent="0.25">
      <c r="A62"/>
    </row>
    <row r="63" spans="1:8" ht="20.100000000000001" customHeight="1" x14ac:dyDescent="0.25">
      <c r="A63"/>
      <c r="D63" s="36" t="s">
        <v>5</v>
      </c>
      <c r="E63" s="36" t="s">
        <v>35</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1" t="str" cm="1">
        <f t="array" ref="D83:D87">"⚠️" &amp; Common_SourceData.Common_SourceData_ClimateZones_Variation()</f>
        <v>⚠️VARIATION OF SOURCE DATA:</v>
      </c>
    </row>
    <row r="84" spans="1:20" ht="20.100000000000001" customHeight="1" x14ac:dyDescent="0.25">
      <c r="A84"/>
      <c r="D84" s="51" t="str">
        <v>⚠️Added warm / cool temperate moist / dry - low frost and high temp classes to accommodate climate scenarios excluded by VEERG criteria.</v>
      </c>
    </row>
    <row r="85" spans="1:20" ht="20.100000000000001" customHeight="1" x14ac:dyDescent="0.25">
      <c r="A85"/>
      <c r="D85" s="51" t="str">
        <v>⚠️Fixed typo in MAT value for warm temperate dry - changed 10 to 11.</v>
      </c>
    </row>
    <row r="86" spans="1:20" ht="20.100000000000001" customHeight="1" x14ac:dyDescent="0.25">
      <c r="A86"/>
      <c r="D86" s="51" t="str">
        <v>⚠️Added min and max columns for MAT, MAP, frost days per year, elevation, MAP:PET to calculate zones from real climate data.</v>
      </c>
    </row>
    <row r="87" spans="1:20" ht="20.100000000000001" customHeight="1" x14ac:dyDescent="0.25">
      <c r="A87"/>
      <c r="D87" s="51" t="str">
        <v>⚠️GAF accepts rainfall as a proxy for precipitation.</v>
      </c>
    </row>
    <row r="88" spans="1:20" ht="20.100000000000001" customHeight="1" x14ac:dyDescent="0.25">
      <c r="A88"/>
    </row>
    <row r="89" spans="1:20" ht="20.100000000000001" customHeight="1" x14ac:dyDescent="0.25">
      <c r="A89"/>
      <c r="D89" s="36" t="s">
        <v>5</v>
      </c>
      <c r="E89" s="36" t="s">
        <v>23</v>
      </c>
      <c r="F89" s="36" t="s">
        <v>24</v>
      </c>
      <c r="G89" s="36" t="s">
        <v>25</v>
      </c>
      <c r="H89" s="36" t="s">
        <v>26</v>
      </c>
      <c r="I89" s="36" t="s">
        <v>27</v>
      </c>
      <c r="J89" s="36" t="s">
        <v>28</v>
      </c>
      <c r="K89" s="36" t="s">
        <v>29</v>
      </c>
      <c r="L89" s="36" t="s">
        <v>30</v>
      </c>
      <c r="M89" s="36" t="s">
        <v>31</v>
      </c>
      <c r="N89" s="36" t="s">
        <v>32</v>
      </c>
      <c r="O89" s="36" t="s">
        <v>36</v>
      </c>
      <c r="P89" s="36" t="s">
        <v>33</v>
      </c>
      <c r="Q89" s="36" t="s">
        <v>37</v>
      </c>
      <c r="R89" s="36" t="s">
        <v>34</v>
      </c>
      <c r="S89" s="36" t="s">
        <v>38</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0" t="str" cm="1">
        <f t="array" ref="D99:D102">Common_SourceData.Common_SourceData_ClimateZones_Appendices()</f>
        <v>Note:</v>
      </c>
    </row>
    <row r="100" spans="1:20" ht="20.100000000000001" customHeight="1" x14ac:dyDescent="0.25">
      <c r="A100"/>
      <c r="D100" s="50" t="str">
        <v>MAT = mean annual temperature</v>
      </c>
    </row>
    <row r="101" spans="1:20" ht="20.100000000000001" customHeight="1" x14ac:dyDescent="0.25">
      <c r="A101"/>
      <c r="D101" s="50" t="str">
        <v>MAP = mean annual precipitation</v>
      </c>
    </row>
    <row r="102" spans="1:20" ht="20.100000000000001" customHeight="1" x14ac:dyDescent="0.25">
      <c r="A102"/>
      <c r="D102" s="50" t="str">
        <v>PET = potential evapotranspiration</v>
      </c>
    </row>
    <row r="103" spans="1:20" ht="20.100000000000001" customHeight="1" x14ac:dyDescent="0.25">
      <c r="A103"/>
      <c r="D103" s="50"/>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1"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40</v>
      </c>
      <c r="E109" s="36" t="s">
        <v>23</v>
      </c>
      <c r="F109" s="36" t="s">
        <v>41</v>
      </c>
      <c r="G109" s="36" t="s">
        <v>42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1"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43</v>
      </c>
      <c r="E119" s="36" t="s">
        <v>44</v>
      </c>
      <c r="F119" s="36" t="s">
        <v>30</v>
      </c>
      <c r="G119" s="36" t="s">
        <v>31</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45</v>
      </c>
      <c r="E127" s="36" t="s">
        <v>46</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68</v>
      </c>
      <c r="E134" t="s">
        <v>69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1"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126</v>
      </c>
      <c r="E142" s="36" t="s">
        <v>69</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48</v>
      </c>
      <c r="E153" s="36" t="s">
        <v>49</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0"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0" t="str" cm="1">
        <f t="array" ref="D180">Common_SourceData.Common_SourceData_EFN2O_Unit()</f>
        <v>(kg N2O-N / kg N</v>
      </c>
    </row>
    <row r="181" spans="4:68" ht="20.100000000000001" customHeight="1" x14ac:dyDescent="0.25">
      <c r="D181" s="51" t="str" cm="1">
        <f t="array" ref="D181:D185">Common_SourceData.Common_SourceData_EFN2O_Variation()</f>
        <v>VARIATION OF SOURCE DATA:</v>
      </c>
    </row>
    <row r="182" spans="4:68" ht="20.100000000000001" customHeight="1" x14ac:dyDescent="0.25">
      <c r="D182" s="51" t="str">
        <v>Removed duplicate 'Aquaculture' row.</v>
      </c>
    </row>
    <row r="183" spans="4:68" ht="20.100000000000001" customHeight="1" x14ac:dyDescent="0.25">
      <c r="D183" s="51" t="str">
        <v>Removed asterisks to aid lookup.</v>
      </c>
    </row>
    <row r="184" spans="4:68" ht="20.100000000000001" customHeight="1" x14ac:dyDescent="0.25">
      <c r="D184" s="51" t="str">
        <v>Added 'production system only', 'rainfall zone' and 'irrigation method' columns to aid lookup.</v>
      </c>
    </row>
    <row r="185" spans="4:68" ht="20.100000000000001" customHeight="1" x14ac:dyDescent="0.25">
      <c r="D185" s="51" t="str">
        <v>Duplicated 'non-irrigated pasture' row with same EF for low and high rainfall zones to aid lookup.</v>
      </c>
    </row>
    <row r="186" spans="4:68" ht="20.100000000000001" customHeight="1" x14ac:dyDescent="0.25">
      <c r="D186" s="36" t="s">
        <v>109</v>
      </c>
      <c r="E186" s="36" t="s">
        <v>110</v>
      </c>
      <c r="F186" s="36" t="s">
        <v>111</v>
      </c>
      <c r="G186" s="36" t="s">
        <v>112</v>
      </c>
      <c r="H186" s="36" t="s">
        <v>22</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1" t="str" cm="1">
        <f t="array" ref="D204">Common_SourceData.Common_SourceData_EFPastureRangeAndPaddock_Variation()</f>
        <v>VARIATION FROM SOURCE DATA: Changed 'Dry climate zones' to singular 'Dry climate zone' to aid lookup.</v>
      </c>
    </row>
    <row r="205" spans="4:8" x14ac:dyDescent="0.25">
      <c r="D205" s="50" t="str" cm="1">
        <f t="array" ref="D205">Common_SourceData.Common_SourceData_EFPastureRangeAndPaddock_Unit()</f>
        <v>kg N2O - N / kg N</v>
      </c>
    </row>
    <row r="206" spans="4:8" x14ac:dyDescent="0.25">
      <c r="D206" s="36" t="s">
        <v>5</v>
      </c>
      <c r="E206" s="36" t="s">
        <v>127</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128</v>
      </c>
      <c r="E212" s="36" t="s">
        <v>129</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39</v>
      </c>
      <c r="E231" s="36" t="s">
        <v>138</v>
      </c>
      <c r="F231" s="35" t="s">
        <v>139</v>
      </c>
      <c r="G231" s="36" t="s">
        <v>140</v>
      </c>
      <c r="H231" s="36" t="s">
        <v>141</v>
      </c>
      <c r="I231" s="36" t="s">
        <v>142</v>
      </c>
      <c r="J231" s="36" t="s">
        <v>143</v>
      </c>
      <c r="K231" s="36" t="s">
        <v>144</v>
      </c>
      <c r="L231" s="36" t="s">
        <v>145</v>
      </c>
      <c r="M231" s="36" t="s">
        <v>146</v>
      </c>
      <c r="N231" s="36" t="s">
        <v>147</v>
      </c>
      <c r="O231" s="36" t="s">
        <v>148</v>
      </c>
      <c r="P231" s="36" t="s">
        <v>149</v>
      </c>
      <c r="Q231" s="36" t="s">
        <v>135</v>
      </c>
      <c r="R231" s="36" t="s">
        <v>150</v>
      </c>
      <c r="S231" s="36" t="s">
        <v>151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0" t="str" cm="1">
        <f t="array" ref="D256">Common_SourceData.Common_SourceData_EFOrganicFertiliserAndCropResidues_Unit()</f>
        <v>kg N2O - N / kg N</v>
      </c>
    </row>
    <row r="257" spans="4:5" x14ac:dyDescent="0.25">
      <c r="D257" s="36" t="s">
        <v>175</v>
      </c>
      <c r="E257" s="36" t="s">
        <v>176</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59" t="e" vm="1">
        <v>#VALUE!</v>
      </c>
      <c r="C1" s="8" t="s">
        <v>55</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5" t="s">
        <v>56</v>
      </c>
      <c r="E9" s="36" t="s">
        <v>9</v>
      </c>
      <c r="F9" s="36" t="s">
        <v>57</v>
      </c>
      <c r="G9" s="3"/>
    </row>
    <row r="10" spans="1:13" ht="20.100000000000001" customHeight="1" x14ac:dyDescent="0.25">
      <c r="A10" s="17" t="str">
        <f>HYPERLINK("#'Input - Feedlot'!A1", "Feedlot")</f>
        <v>Feedlot</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53</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HYPERLINK("#'3.1.1.1-2 Enteric Methane'!A1", "3.1.1.1-2 Enteric Methane")</f>
        <v>3.1.1.1-2 Enteric Methane</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11" t="s">
        <v>1</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60" t="str">
        <f>HYPERLINK("#'Constants - Livestock'!A1", "Constants - Livestock")</f>
        <v>Constants - Livestock</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HYPERLINK("#'Tab template'!A1", "Tab template")</f>
        <v>Tab template</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2"/>
  <sheetViews>
    <sheetView zoomScaleNormal="100" workbookViewId="0">
      <selection activeCell="A22" sqref="A22"/>
    </sheetView>
  </sheetViews>
  <sheetFormatPr defaultRowHeight="15" x14ac:dyDescent="0.25"/>
  <sheetData>
    <row r="1" spans="1:1" ht="25.5" x14ac:dyDescent="0.35">
      <c r="A1" s="59"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Feedlot'!A1", "Feedlot")</f>
        <v>Feedlot</v>
      </c>
    </row>
    <row r="13" spans="1:1" x14ac:dyDescent="0.25">
      <c r="A13" s="18" t="s">
        <v>53</v>
      </c>
    </row>
    <row r="14" spans="1:1" ht="15.75" x14ac:dyDescent="0.25">
      <c r="A14" s="17" t="str">
        <f>HYPERLINK("#'3.1.1.1-2 Enteric Methane'!A1", "3.1.1.1-2 Enteric Methane")</f>
        <v>3.1.1.1-2 Enteric Methane</v>
      </c>
    </row>
    <row r="17" spans="1:1" x14ac:dyDescent="0.25">
      <c r="A17" s="111" t="s">
        <v>1</v>
      </c>
    </row>
    <row r="18" spans="1:1" ht="15.75" x14ac:dyDescent="0.25">
      <c r="A18" s="17" t="str">
        <f>HYPERLINK("#'Constants - Feedlot'!A1", "Constants - Feedlot")</f>
        <v>Constants - Feedlot</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60" t="str">
        <f>HYPERLINK("#'Acknowledgements'!A1", "Acknowledgements")</f>
        <v>Acknowledgements</v>
      </c>
    </row>
    <row r="22" spans="1:1" ht="15.75" x14ac:dyDescent="0.25">
      <c r="A22" s="17" t="str">
        <f>HYPERLINK("#'Tab template'!A1", "Tab template")</f>
        <v>Tab template</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59"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Feedlot'!A1", "Feedlot")</f>
        <v>Feedlot</v>
      </c>
    </row>
    <row r="11" spans="1:21" ht="20.100000000000001" customHeight="1" x14ac:dyDescent="0.25"/>
    <row r="12" spans="1:21" ht="20.100000000000001" customHeight="1" x14ac:dyDescent="0.25"/>
    <row r="13" spans="1:21" ht="20.100000000000001" customHeight="1" x14ac:dyDescent="0.25">
      <c r="A13" s="18" t="s">
        <v>53</v>
      </c>
    </row>
    <row r="14" spans="1:21" ht="20.100000000000001" customHeight="1" x14ac:dyDescent="0.25">
      <c r="A14" s="17" t="str">
        <f>HYPERLINK("#'3.1.1.1-2 Enteric Methane'!A1", "3.1.1.1-2 Enteric Methane")</f>
        <v>3.1.1.1-2 Enteric Methane</v>
      </c>
    </row>
    <row r="15" spans="1:21" ht="20.100000000000001" customHeight="1" x14ac:dyDescent="0.25"/>
    <row r="16" spans="1:21" ht="20.100000000000001" customHeight="1" x14ac:dyDescent="0.25"/>
    <row r="17" spans="1:1" ht="20.100000000000001" customHeight="1" x14ac:dyDescent="0.25">
      <c r="A17" s="111" t="s">
        <v>1</v>
      </c>
    </row>
    <row r="18" spans="1:1" ht="20.100000000000001" customHeight="1" x14ac:dyDescent="0.25">
      <c r="A18" s="17" t="str">
        <f>HYPERLINK("#'Constants - Feedlot'!A1", "Constants - Feedlot")</f>
        <v>Constants - Feedlot</v>
      </c>
    </row>
    <row r="19" spans="1:1" ht="20.100000000000001" customHeight="1" x14ac:dyDescent="0.25">
      <c r="A19" s="17" t="str">
        <f>HYPERLINK("#'Constants - Common'!A1", "Constants - Common")</f>
        <v>Constants - Common</v>
      </c>
    </row>
    <row r="20" spans="1:1" ht="20.100000000000001" customHeight="1" x14ac:dyDescent="0.25">
      <c r="A20" s="17" t="str">
        <f>HYPERLINK("#'Constants - Livestock'!A1", "Constants - Livestock")</f>
        <v>Constants - Livestock</v>
      </c>
    </row>
    <row r="21" spans="1:1" ht="20.100000000000001" customHeight="1" x14ac:dyDescent="0.25">
      <c r="A21" s="17" t="str">
        <f>HYPERLINK("#'Acknowledgements'!A1", "Acknowledgements")</f>
        <v>Acknowledgements</v>
      </c>
    </row>
    <row r="22" spans="1:1" ht="20.100000000000001" customHeight="1" x14ac:dyDescent="0.25">
      <c r="A22" s="60" t="str">
        <f>HYPERLINK("#'Tab template'!A1", "Tab template")</f>
        <v>Tab template</v>
      </c>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FMAbwB1AHIAYwBlAEQAYQB0AGEAXwBGAGUAZQBkAGwAbwB0AC4AUwBvAHUAcgBjAGUARABhAHQAYQBfAEYAZQBlAGQAbABvAHQAXwBEAHUAcgBhAHQAaQBvAG4ATwBmAFMAdABhAHkAXwBUAGkAdABsAGUAIgAsACIAUwBvAHUAcgBjAGUARABhAHQAYQBfAEYAZQBlAGQAbABvAHQALgBTAG8AdQByAGMAZQBEAGEAdABhAF8ARgBlAGUAZABsAG8AdABfAEQAdQByAGEAdABpAG8AbgBPAGYAUwB0AGEAeQBfAFUAbgBpAHQAIgAsACIAUwBvAHUAcgBjAGUARABhAHQAYQBfAEYAZQBlAGQAbABvAHQALgBTAG8AdQByAGMAZQBEAGEAdABhAF8ARgBlAGUAZABsAG8AdABfAEQAdQByAGEAdABpAG8AbgBPAGYAUwB0AGEAeQBfAFMAbwB1AHIAYwBlACIALAAiAFMAbwB1AHIAYwBlAEQAYQB0AGEAXwBGAGUAZQBkAGwAbwB0AC4AUwBvAHUAcgBjAGUARABhAHQAYQBfAEYAZQBlAGQAbABvAHQAXwBEAHUAcgBhAHQAaQBvAG4ATwBmAFMAdABhAHkAXwBWAGEAcgBpAGEAdABpAG8AbgAiACwAIgBTAG8AdQByAGMAZQBEAGEAdABhAF8ARgBlAGUAZABsAG8AdAAuAFMAbwB1AHIAYwBlAEQAYQB0AGEAXwBGAGUAZQBkAGwAbwB0AF8ARAB1AHIAYQB0AGkAbwBuAE8AZgBTAHQAYQB5AF8ARABhAHQAYQAiACwAIgBTAG8AdQByAGMAZQBEAGEAdABhAF8ARgBlAGUAZABsAG8AdAAuAFMAbwB1AHIAYwBlAEQAYQB0AGEAXwBGAGUAZQBkAGwAbwB0AF8AQQBuAGkAbQBhAGwAQwBoAGEAcgBhAGMAdABlAHIAaQBzAHQAaQBjAHMAXwBUAGkAdABsAGUAIgAsACIAUwBvAHUAcgBjAGUARABhAHQAYQBfAEYAZQBlAGQAbABvAHQALgBTAG8AdQByAGMAZQBEAGEAdABhAF8ARgBlAGUAZABsAG8AdABfAEEAbgBpAG0AYQBsAEMAaABhAHIAYQBjAHQAZQByAGkAcwB0AGkAYwBzAF8AVQBuAGkAdAAiACwAIgBTAG8AdQByAGMAZQBEAGEAdABhAF8ARgBlAGUAZABsAG8AdAAuAFMAbwB1AHIAYwBlAEQAYQB0AGEAXwBGAGUAZQBkAGwAbwB0AF8AQQBuAGkAbQBhAGwAQwBoAGEAcgBhAGMAdABlAHIAaQBzAHQAaQBjAHMAXwBTAG8AdQByAGMAZQAiACwAIgBTAG8AdQByAGMAZQBEAGEAdABhAF8ARgBlAGUAZABsAG8AdAAuAFMAbwB1AHIAYwBlAEQAYQB0AGEAXwBGAGUAZQBkAGwAbwB0AF8AQQBuAGkAbQBhAGwAQwBoAGEAcgBhAGMAdABlAHIAaQBzAHQAaQBjAHMAXwBWAGEAcgBpAGEAdABpAG8AbgAiACwAIgBTAG8AdQByAGMAZQBEAGEAdABhAF8ARgBlAGUAZABsAG8AdAAuAFMAbwB1AHIAYwBlAEQAYQB0AGEAXwBGAGUAZQBkAGwAbwB0AF8AQQBuAGkAbQBhAGwAQwBoAGEAcgBhAGMAdABlAHIAaQBzAHQAaQBjAHMAXwBEAGEAdABhACIALAAiAFMAbwB1AHIAYwBlAEQAYQB0AGEAXwBGAGUAZQBkAGwAbwB0AC4AUwBvAHUAcgBjAGUARABhAHQAYQBfAEYAZQBlAGQAbABvAHQAXwBEAGkAZQB0AFAAcgBvAHAAZQByAHQAaQBlAHMAXwBUAGkAdABsAGUAIgAsACIAUwBvAHUAcgBjAGUARABhAHQAYQBfAEYAZQBlAGQAbABvAHQALgBTAG8AdQByAGMAZQBEAGEAdABhAF8ARgBlAGUAZABsAG8AdABfAEQAaQBlAHQAUAByAG8AcABlAHIAdABpAGUAcwBfAFUAbgBpAHQAIgAsACIAUwBvAHUAcgBjAGUARABhAHQAYQBfAEYAZQBlAGQAbABvAHQALgBTAG8AdQByAGMAZQBEAGEAdABhAF8ARgBlAGUAZABsAG8AdABfAEQAaQBlAHQAUAByAG8AcABlAHIAdABpAGUAcwBfAFMAbwB1AHIAYwBlACIALAAiAFMAbwB1AHIAYwBlAEQAYQB0AGEAXwBGAGUAZQBkAGwAbwB0AC4AUwBvAHUAcgBjAGUARABhAHQAYQBfAEYAZQBlAGQAbABvAHQAXwBEAGkAZQB0AFAAcgBvAHAAZQByAHQAaQBlAHMAXwBWAGEAcgBpAGEAdABpAG8AbgAiACwAIgBTAG8AdQByAGMAZQBEAGEAdABhAF8ARgBlAGUAZABsAG8AdAAuAFMAbwB1AHIAYwBlAEQAYQB0AGEAXwBGAGUAZQBkAGwAbwB0AF8ARABpAGUAdABQAHIAbwBwAGUAcgB0AGkAZQBz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OAGkAdAByAG8AdQBzAE8AeABpAGQAZQBFAEYAcwBfAFQAaQB0AGwAZQAiACwAIgBTAG8AdQByAGMAZQBEAGEAdABhAF8ARgBlAGUAZABsAG8AdAAuAFMAbwB1AHIAYwBlAEQAYQB0AGEAXwBGAGUAZQBkAGwAbwB0AF8ATgBpAHQAcgBvAHUAcwBPAHgAaQBkAGUARQBGAHMAXwBVAG4AaQB0ACIALAAiAFMAbwB1AHIAYwBlAEQAYQB0AGEAXwBGAGUAZQBkAGwAbwB0AC4AUwBvAHUAcgBjAGUARABhAHQAYQBfAEYAZQBlAGQAbABvAHQAXwBOAGkAdAByAG8AdQBzAE8AeABpAGQAZQBFAEYAcwBfAFMAbwB1AHIAYwBlACIALAAiAFMAbwB1AHIAYwBlAEQAYQB0AGEAXwBGAGUAZQBkAGwAbwB0AC4AUwBvAHUAcgBjAGUARABhAHQAYQBfAEYAZQBlAGQAbABvAHQAXwBOAGkAdAByAG8AdQBzAE8AeABpAGQAZQBFAEYAcwBfAFYAYQByAGkAYQB0AGkAbwBuACIALAAiAFMAbwB1AHIAYwBlAEQAYQB0AGEAXwBGAGUAZQBkAGwAbwB0AC4AUwBvAHUAcgBjAGUARABhAHQAYQBfAEYAZQBlAGQAbABvAHQAXwBOAGkAdAByAG8AdQBzAE8AeABpAGQAZQBFAEYAcwBfAEQAYQB0AGEAIgAsACIAUwBvAHUAcgBjAGUARABhAHQAYQBfAEYAZQBlAGQAbABvAHQALgBTAG8AdQByAGMAZQBEAGEAdABhAF8ARgBlAGUAZABsAG8AdABfAEYAcgBhAGMATgBWAG8AbABhAHQAaQBsAGkAcwBlAGQAXwBUAGkAdABsAGUAIgAsACIAUwBvAHUAcgBjAGUARABhAHQAYQBfAEYAZQBlAGQAbABvAHQALgBTAG8AdQByAGMAZQBEAGEAdABhAF8ARgBlAGUAZABsAG8AdABfAEYAcgBhAGMATgBWAG8AbABhAHQAaQBsAGkAcwBlAGQAXwBVAG4AaQB0ACIALAAiAFMAbwB1AHIAYwBlAEQAYQB0AGEAXwBGAGUAZQBkAGwAbwB0AC4AUwBvAHUAcgBjAGUARABhAHQAYQBfAEYAZQBlAGQAbABvAHQAXwBGAHIAYQBjAE4AVgBvAGwAYQB0AGkAbABpAHMAZQBkAF8AUwBvAHUAcgBjAGUAIgAsACIAUwBvAHUAcgBjAGUARABhAHQAYQBfAEYAZQBlAGQAbABvAHQALgBTAG8AdQByAGMAZQBEAGEAdABhAF8ARgBlAGUAZABsAG8AdABfAEYAcgBhAGMATgBWAG8AbABhAHQAaQBsAGkAcwBlAGQAXwBWAGEAcgBpAGEAdABpAG8AbgAiACwAIgBTAG8AdQByAGMAZQBEAGEAdABhAF8ARgBlAGUAZABsAG8AdAAuAFMAbwB1AHIAYwBlAEQAYQB0AGEAXwBGAGUAZQBkAGwAbwB0AF8ARgByAGEAYwBOAFYAbwBsAGEAdABpAGwAaQBzAGUAZABfAEQAYQB0AGEAIgAsACIARQBuAHQAZQByAGkAYwBNAGUAdABoAGEAbgBlAF8ARgBlAGUAZABsAG8AdABfAEUAcQB1AGEAdABpAG8AbgBzAC4AVgBFAEUAUgBHAF8AMwBfADEAXwAxAF8AMQBfAF8AMQBfAFQAbwB0AGEAbABBAG4AbgB1AGEAbABNAGUAdABoAGEAbgBlAEYAcgBvAG0ARQBuAHQAZQByAGkAYwBGAGUAcgBtAGUAbgB0AGEAdABpAG8AbgAiACwAIgBFAG4AdABlAHIAaQBjAE0AZQB0AGgAYQBuAGUAXwBGAGUAZQBkAGwAbwB0AF8ARQBxAHUAYQB0AGkAbwBuAHMALgBWAEUARQBSAEcAXwAzAF8AMQBfADEAXwAxAF8AXwAxAF8AVABvAHQAYQBsAEEAbgBuAHUAYQBsAE0AZQB0AGgAYQBuAGUARgByAG8AbQBFAG4AdABlAHIAaQBjAEYAZQByAG0AZQBuAHQAYQB0AGkAbwBuAF8AVABpAHQAbABlACIALAAiAEUAbgB0AGUAcgBpAGMATQBlAHQAaABhAG4AZQBfAEYAZQBlAGQAbABvAHQAXwBFAHEAdQBhAHQAaQBvAG4AcwAuAFYARQBFAFIARwBfADMAXwAxAF8AMQBfADEAXwBfADEAXwBUAG8AdABhAGwAQQBuAG4AdQBhAGwATQBlAHQAaABhAG4AZQBGAHIAbwBtAEUAbgB0AGUAcgBpAGMARgBlAHIAbQBlAG4AdABhAHQAaQBvAG4AXwBWAGEAcgBpAGEAYgBsAGUAIgAsACIARQBuAHQAZQByAGkAYwBNAGUAdABoAGEAbgBlAF8ARgBlAGUAZABsAG8AdABfAEUAcQB1AGEAdABpAG8AbgBzAC4AVgBFAEUAUgBHAF8AMwBfADEAXwAxAF8AMQBfAF8AMQBfAFQAbwB0AGEAbABBAG4AbgB1AGEAbABNAGUAdABoAGEAbgBlAEYAcgBvAG0ARQBuAHQAZQByAGkAYwBGAGUAcgBtAGUAbgB0AGEAdABpAG8AbgBfAFUAbgBpAHQAIgAsACIARQBuAHQAZQByAGkAYwBNAGUAdABoAGEAbgBlAF8ARgBlAGUAZABsAG8AdABfAEUAcQB1AGEAdABpAG8AbgBzAC4AVgBFAEUAUgBHAF8AMwBfADEAXwAxAF8AMQBfAF8AMQBfAFQAbwB0AGEAbABBAG4AbgB1AGEAbABNAGUAdABoAGEAbgBlAEYAcgBvAG0ARQBuAHQAZQByAGkAYwBGAGUAcgBtAGUAbgB0AGEAdABpAG8AbgBfAFMAbwB1AHIAYwBlACIALAAiAEUAbgB0AGUAcgBpAGMATQBlAHQAaABhAG4AZQBfAEYAZQBlAGQAbABvAHQAXwBFAHEAdQBhAHQAaQBvAG4AcwAuAFYARQBFAFIARwBfADMAXwAxAF8AMQBfADEAXwBfADEAXwBUAG8AdABhAGwAQQBuAG4AdQBhAGwATQBlAHQAaABhAG4AZQBGAHIAbwBtAEUAbgB0AGUAcgBpAGMARgBlAHIAbQBlAG4AdABhAHQAaQBvAG4AXwBOAEkAUgBSAGUAZgBlAHIAZQBuAGMAZQAiACwAIgBFAG4AdABlAHIAaQBjAE0AZQB0AGgAYQBuAGUAXwBGAGUAZQBkAGwAbwB0AF8ARQBxAHUAYQB0AGkAbwBuAHMALgBWAEUARQBSAEcAXwAzAF8AMQBfADEAXwAxAF8AXwAxAF8AVABvAHQAYQBsAEEAbgBuAHUAYQBsAE0AZQB0AGgAYQBuAGUARgByAG8AbQBFAG4AdABlAHIAaQBjAEYAZQByAG0AZQBuAHQAYQB0AGkAbwBuAF8ATABhAHQAZQB4AEUAcQB1AGEAdABpAG8AbgAiACwAIgBFAG4AdABlAHIAaQBjAE0AZQB0AGgAYQBuAGUAXwBGAGUAZQBkAGwAbwB0AF8ARQBxAHUAYQB0AGkAbwBuAHMALgBWAEUARQBSAEcAXwAzAF8AMQBfADEAXwAxAF8AXwAxAF8AVABvAHQAYQBsAEEAbgBuAHUAYQBsAE0AZQB0AGgAYQBuAGUARgByAG8AbQBFAG4AdABlAHIAaQBjAEYAZQByAG0AZQBuAHQAYQB0AGkAbwBuAF8AQQByAGcAdQBtAGUAbgB0AHMAIgAsACIARQBuAHQAZQByAGkAYwBNAGUAdABoAGEAbgBlAF8ARgBlAGUAZABsAG8AdABfAEUAcQB1AGEAdABpAG8AbgBzAC4AVgBFAEUAUgBHAF8AMwBfADEAXwAxAF8AMQBfAF8AMgBfAEQAYQBpAGwAeQBFAG4AdABlAHIAaQBjAE0AZQB0AGgAYQBuAGUAUAByAG8AZAB1AGMAdABpAG8AbgAiACwAIgBFAG4AdABlAHIAaQBjAE0AZQB0AGgAYQBuAGUAXwBGAGUAZQBkAGwAbwB0AF8ARQBxAHUAYQB0AGkAbwBuAHMALgBWAEUARQBSAEcAXwAzAF8AMQBfADEAXwAxAF8AXwAyAF8ARABhAGkAbAB5AEUAbgB0AGUAcgBpAGMATQBlAHQAaABhAG4AZQBQAHIAbwBkAHUAYwB0AGkAbwBuAF8AVABpAHQAbABlACIALAAiAEUAbgB0AGUAcgBpAGMATQBlAHQAaABhAG4AZQBfAEYAZQBlAGQAbABvAHQAXwBFAHEAdQBhAHQAaQBvAG4AcwAuAFYARQBFAFIARwBfADMAXwAxAF8AMQBfADEAXwBfADIAXwBEAGEAaQBsAHkARQBuAHQAZQByAGkAYwBNAGUAdABoAGEAbgBlAFAAcgBvAGQAdQBjAHQAaQBvAG4AXwBWAGEAcgBpAGEAYgBsAGUAIgAsACIARQBuAHQAZQByAGkAYwBNAGUAdABoAGEAbgBlAF8ARgBlAGUAZABsAG8AdABfAEUAcQB1AGEAdABpAG8AbgBzAC4AVgBFAEUAUgBHAF8AMwBfADEAXwAxAF8AMQBfAF8AMgBfAEQAYQBpAGwAeQBFAG4AdABlAHIAaQBjAE0AZQB0AGgAYQBuAGUAUAByAG8AZAB1AGMAdABpAG8AbgBfAFUAbgBpAHQAIgAsACIARQBuAHQAZQByAGkAYwBNAGUAdABoAGEAbgBlAF8ARgBlAGUAZABsAG8AdABfAEUAcQB1AGEAdABpAG8AbgBzAC4AVgBFAEUAUgBHAF8AMwBfADEAXwAxAF8AMQBfAF8AMgBfAEQAYQBpAGwAeQBFAG4AdABlAHIAaQBjAE0AZQB0AGgAYQBuAGUAUAByAG8AZAB1AGMAdABpAG8AbgBfAFMAbwB1AHIAYwBlACIALAAiAEUAbgB0AGUAcgBpAGMATQBlAHQAaABhAG4AZQBfAEYAZQBlAGQAbABvAHQAXwBFAHEAdQBhAHQAaQBvAG4AcwAuAFYARQBFAFIARwBfADMAXwAxAF8AMQBfADEAXwBfADIAXwBEAGEAaQBsAHkARQBuAHQAZQByAGkAYwBNAGUAdABoAGEAbgBlAFAAcgBvAGQAdQBjAHQAaQBvAG4AXwBOAEkAUgBSAGUAZgBlAHIAZQBuAGMAZQAiACwAIgBFAG4AdABlAHIAaQBjAE0AZQB0AGgAYQBuAGUAXwBGAGUAZQBkAGwAbwB0AF8ARQBxAHUAYQB0AGkAbwBuAHMALgBWAEUARQBSAEcAXwAzAF8AMQBfADEAXwAxAF8AXwAyAF8ARABhAGkAbAB5AEUAbgB0AGUAcgBpAGMATQBlAHQAaABhAG4AZQBQAHIAbwBkAHUAYwB0AGkAbwBuAF8ATABhAHQAZQB4AEUAcQB1AGEAdABpAG8AbgAiACwAIgBFAG4AdABlAHIAaQBjAE0AZQB0AGgAYQBuAGUAXwBGAGUAZQBkAGwAbwB0AF8ARQBxAHUAYQB0AGkAbwBuAHMALgBWAEUARQBSAEcAXwAzAF8AMQBfADEAXwAxAF8AXwAyAF8ARABhAGkAbAB5AEUAbgB0AGUAcgBpAGMATQBlAHQAaABhAG4AZQBQAHIAbwBkAHUAYwB0AGkAbwBu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25</vt:i4>
      </vt:variant>
    </vt:vector>
  </HeadingPairs>
  <TitlesOfParts>
    <vt:vector size="36"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Common_SourceData_DensityOfMethane_Data</vt:lpstr>
      <vt:lpstr>Input_Site_EndDate</vt:lpstr>
      <vt:lpstr>Input_Site_FarmName</vt:lpstr>
      <vt:lpstr>Input_Site_ReportingEntityName</vt:lpstr>
      <vt:lpstr>Input_Site_StartDate</vt:lpstr>
      <vt:lpstr>M1_Table_E_CH4</vt:lpstr>
      <vt:lpstr>M1_Table_EE_j</vt:lpstr>
      <vt:lpstr>M1_Table_I_j</vt:lpstr>
      <vt:lpstr>M1_Table_M_j</vt:lpstr>
      <vt:lpstr>M1_Table_NDF_j</vt:lpstr>
      <vt:lpstr>M2_Table_E_CH4</vt:lpstr>
      <vt:lpstr>M2_Table_EE_j</vt:lpstr>
      <vt:lpstr>M2_Table_I_j</vt:lpstr>
      <vt:lpstr>M2_Table_M_j</vt:lpstr>
      <vt:lpstr>M2_Table_NDF_j</vt:lpstr>
      <vt:lpstr>SourceData_Feedlot_AshContent_Data</vt:lpstr>
      <vt:lpstr>SourceData_Feedlot_MethaneEmissionsPotential_Data</vt:lpstr>
      <vt:lpstr>SourceData_Feedlot_MMSm1T3_Data</vt:lpstr>
      <vt:lpstr>SourceData_Feedlot_VSL_Data</vt:lpstr>
      <vt:lpstr>Table_D_j</vt:lpstr>
      <vt:lpstr>Table_N_j</vt:lpstr>
      <vt:lpstr>VEERG_3_1_1_1__1_TotalAnnualMethaneFromEntericFermentation_Result</vt:lpstr>
      <vt:lpstr>X_Table_Feedlot_HerdMovement</vt:lpstr>
      <vt:lpstr>X_Table_Feedlot_Intake_Method1</vt:lpstr>
      <vt:lpstr>X_Table_Feedlot_Intake_Method2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