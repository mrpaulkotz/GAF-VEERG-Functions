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BCD7420-3FE8-46C8-A4A3-AAA4BEE5AE50}" xr6:coauthVersionLast="47" xr6:coauthVersionMax="47" xr10:uidLastSave="{00000000-0000-0000-0000-000000000000}"/>
  <bookViews>
    <workbookView xWindow="525" yWindow="420" windowWidth="36900" windowHeight="18960" firstSheet="1" activeTab="3" xr2:uid="{992023F3-CAB7-4E5B-A348-08D563A0EF40}"/>
  </bookViews>
  <sheets>
    <sheet name="Home" sheetId="71" r:id="rId1"/>
    <sheet name="Overview" sheetId="118" r:id="rId2"/>
    <sheet name="Results" sheetId="13" r:id="rId3"/>
    <sheet name="Input - Site" sheetId="15" r:id="rId4"/>
    <sheet name="Input - Fuel" sheetId="70" r:id="rId5"/>
    <sheet name="8.1.1.1-2 Transport fuel" sheetId="69" r:id="rId6"/>
    <sheet name="8.2.1.1-2 Stationary fuel" sheetId="74" r:id="rId7"/>
    <sheet name="8.X.1.1-2 General use fuel" sheetId="120" r:id="rId8"/>
    <sheet name="Constants - Fuel" sheetId="110" r:id="rId9"/>
    <sheet name="Constants - Common" sheetId="111"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7">_xlfn.LAMBDA(_xlpm.Month,_xlpm.LivestockClass,_xlpm.HeadAtStart,_xlpm.LiveweightAtStart,_xlpm.LiveweightGain, [0]!CommonLivestock_InputFunctions.LivestockMovement_ProportionalAverageLiveweightAddedDuringMonth(_xlpm.Month, _xlpm.LivestockClass, _xlpm.HeadAtStart) + '8.X.1.1-2 General use fuel'!CommonLivestock_InputFunctions.LivestockMovement_ProportionalAverageLiveweightRemainingAtEndOfMonth(_xlpm.Month,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7">_xlfn.LAMBDA(_xlpm.LivestockClass,_xlpm.MovementDate,_xlpm.WeightAtMovementDate,_xlpm.Head, IFERROR(_xlpm.Head * (_xlpm.WeightAtMovementDate + '8.X.1.1-2 General use fuel'!CommonLivestock_InputFunctions.LivestockMovement_LiveweightGrownDuringMonthPerHead(_xlpm.LivestockClass,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7">_xlfn.LAMBDA(_xlpm.LivestockClass,_xlpm.Month, '8.X.1.1-2 General use fuel'!CommonLivestock_InputFunctions.LivestockMovement_LiveweightGrownDuringMonthPerHead(_xlpm.LivestockClass,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7">_xlfn.LAMBDA(_xlpm.LivestockClass,_xlpm.Month,_xlpm.HeadAtStartOfMonth, [0]!CommonLivestock_InputFunctions.LivestockMovement_HeadRemainingAtMonthEnd(_xlpm.Month, _xlpm.LivestockClass, _xlpm.HeadAtStartOfMonth) * '8.X.1.1-2 General use fuel'!CommonLivestock_InputFunctions.LivestockMovement_LiveweightGrownFromMonthStartPerHead(_xlpm.LivestockClass,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7">_xlfn.LAMBDA(_xlpm.LivestockClass,_xlpm.MovementDate,_xlpm.Head, '8.X.1.1-2 General use fuel'!CommonLivestock_InputFunctions.LivestockMovement_LiveweightGrownDuringMonthPerHead(_xlpm.LivestockClass,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7">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7">_xlfn.LAMBDA(_xlpm.Month,_xlpm.LivestockClass,_xlpm.HeadAtStart, '8.X.1.1-2 General use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Ureic",1,0,"Urea-based fertilisers","Nitrogen from fertiliser","LifeCycles";"Nitrogen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_xlfn.LAMBDA(_xlfn.MAKEARRAY(20,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Generic",0.225,"Phosphorus",0.04,"Nitrogen - Generic",0.026,"","","","","","","","","","","","","","";"Include","","Campbells fertilisers Australia","Aqua Grow","L",1.26,"","","Potassium - Generic",0.105,"Nitrogen - Generic ",0.096,"Phosphorus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 ",0.095,"Sulfur - Generic",0.081,"Phosphorus - Generic",0.047,"","","","","","","","","","","","";"Include - Absent ingredients &lt; 2%","","Campbells fertilisers Australia","Boost-It","kg",1,"","","Nitrogen - Ureic",0.24,"Potassium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generic","Campbells fertilisers Australia","CoRoN 12-0-10","L",1.215,"","","Nitrogen - Ureic",0.09,"Potassium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20" l="1"/>
  <c r="E37" i="120"/>
  <c r="E36" i="120"/>
  <c r="J31" i="120"/>
  <c r="J30" i="120"/>
  <c r="J29" i="120"/>
  <c r="J28" i="120"/>
  <c r="J27" i="120"/>
  <c r="J26" i="120"/>
  <c r="J25" i="120"/>
  <c r="J33" i="120"/>
  <c r="J32" i="120"/>
  <c r="I33" i="120"/>
  <c r="I32" i="120"/>
  <c r="I31" i="120"/>
  <c r="I30" i="120"/>
  <c r="I29" i="120"/>
  <c r="I28" i="120"/>
  <c r="I27" i="120"/>
  <c r="I26" i="120"/>
  <c r="I25" i="120"/>
  <c r="H33" i="120"/>
  <c r="H32" i="120"/>
  <c r="H31" i="120"/>
  <c r="H30" i="120"/>
  <c r="H29" i="120"/>
  <c r="H28" i="120"/>
  <c r="H27" i="120"/>
  <c r="H26" i="120"/>
  <c r="H25" i="120"/>
  <c r="G33" i="120"/>
  <c r="G32" i="120"/>
  <c r="E31" i="120"/>
  <c r="E30" i="120"/>
  <c r="E29" i="120"/>
  <c r="E28" i="120"/>
  <c r="E27" i="120"/>
  <c r="E26" i="120"/>
  <c r="G31" i="120"/>
  <c r="G30" i="120"/>
  <c r="G29" i="120"/>
  <c r="G28" i="120"/>
  <c r="G27" i="120"/>
  <c r="G26" i="120"/>
  <c r="G25" i="120"/>
  <c r="E25" i="120"/>
  <c r="D33" i="120"/>
  <c r="D32" i="120"/>
  <c r="D31" i="120"/>
  <c r="D30" i="120"/>
  <c r="D29" i="120"/>
  <c r="D28" i="120"/>
  <c r="D27" i="120"/>
  <c r="F33" i="120"/>
  <c r="F32" i="120"/>
  <c r="F31" i="120"/>
  <c r="F30" i="120"/>
  <c r="F29" i="120"/>
  <c r="F28" i="120"/>
  <c r="F27" i="120"/>
  <c r="L27" i="120" s="1" a="1"/>
  <c r="L27" i="120" s="1"/>
  <c r="F26" i="120"/>
  <c r="F25" i="120"/>
  <c r="D25" i="120"/>
  <c r="G14" i="120" a="1"/>
  <c r="G14" i="120" s="1"/>
  <c r="D14" i="120" a="1"/>
  <c r="D14" i="120" s="1"/>
  <c r="E12" i="120" a="1"/>
  <c r="E12" i="120" s="1"/>
  <c r="E11" i="120" a="1"/>
  <c r="E11" i="120" s="1"/>
  <c r="D6" i="120" a="1"/>
  <c r="D6" i="120"/>
  <c r="D5" i="120" a="1"/>
  <c r="D5" i="120" s="1"/>
  <c r="A76" i="120"/>
  <c r="A38" i="120"/>
  <c r="L33" i="120" a="1"/>
  <c r="L33" i="120" s="1"/>
  <c r="L32" i="120" a="1"/>
  <c r="L32" i="120" s="1"/>
  <c r="L31" i="120" a="1"/>
  <c r="L31" i="120" s="1"/>
  <c r="L30" i="120" a="1"/>
  <c r="L30" i="120" s="1"/>
  <c r="L29" i="120" a="1"/>
  <c r="L29" i="120" s="1"/>
  <c r="L28" i="120" a="1"/>
  <c r="L28" i="120" s="1"/>
  <c r="L26" i="120" a="1"/>
  <c r="L26" i="120" s="1"/>
  <c r="L25" i="120" a="1"/>
  <c r="L25" i="120" s="1"/>
  <c r="K25" i="120" a="1"/>
  <c r="K25" i="120" s="1"/>
  <c r="D35" i="120"/>
  <c r="A21" i="120"/>
  <c r="A20" i="120"/>
  <c r="A17" i="120"/>
  <c r="I16" i="120" a="1"/>
  <c r="I16" i="120" s="1"/>
  <c r="A16" i="120"/>
  <c r="I15" i="120" a="1"/>
  <c r="I15" i="120" s="1"/>
  <c r="A15" i="120"/>
  <c r="I14" i="120" a="1"/>
  <c r="I14" i="120" s="1"/>
  <c r="A14" i="120"/>
  <c r="A13" i="120"/>
  <c r="A12" i="120"/>
  <c r="A9" i="120"/>
  <c r="A8" i="120"/>
  <c r="A5" i="120"/>
  <c r="A4" i="120"/>
  <c r="A3" i="120"/>
  <c r="G14" i="74" a="1"/>
  <c r="G14" i="74" s="1"/>
  <c r="D14" i="74" a="1"/>
  <c r="D14" i="74" s="1"/>
  <c r="E12" i="74" a="1"/>
  <c r="E12" i="74" s="1"/>
  <c r="E11" i="74" a="1"/>
  <c r="E11" i="74" s="1"/>
  <c r="D6" i="74" a="1"/>
  <c r="D6" i="74" s="1"/>
  <c r="D5" i="74" a="1"/>
  <c r="D5" i="74" s="1"/>
  <c r="L40" i="74" a="1"/>
  <c r="L40" i="74" s="1"/>
  <c r="L39" i="74" a="1"/>
  <c r="L39" i="74" s="1"/>
  <c r="K40" i="74" a="1"/>
  <c r="K40" i="74" s="1"/>
  <c r="K39" i="74" a="1"/>
  <c r="K39" i="74" s="1"/>
  <c r="F40" i="74"/>
  <c r="F39" i="74"/>
  <c r="F38" i="74"/>
  <c r="F37" i="74"/>
  <c r="F36" i="74"/>
  <c r="F35" i="74"/>
  <c r="L35" i="74" s="1" a="1"/>
  <c r="L35" i="74" s="1"/>
  <c r="F34" i="74"/>
  <c r="F33" i="74"/>
  <c r="F32" i="74"/>
  <c r="D32" i="74"/>
  <c r="D38" i="74" s="1"/>
  <c r="D34" i="74"/>
  <c r="F31" i="74"/>
  <c r="F30" i="74"/>
  <c r="F29" i="74"/>
  <c r="F28" i="74"/>
  <c r="L28" i="74" s="1" a="1"/>
  <c r="L28" i="74" s="1"/>
  <c r="F27" i="74"/>
  <c r="L27" i="74" s="1" a="1"/>
  <c r="L27" i="74" s="1"/>
  <c r="F26" i="74"/>
  <c r="L26" i="74" s="1" a="1"/>
  <c r="L26" i="74" s="1"/>
  <c r="F25" i="74"/>
  <c r="D25" i="74"/>
  <c r="L38" i="74" a="1"/>
  <c r="L38" i="74" s="1"/>
  <c r="L37" i="74" a="1"/>
  <c r="L37" i="74" s="1"/>
  <c r="L34" i="74" a="1"/>
  <c r="L34" i="74" s="1"/>
  <c r="L33" i="74" a="1"/>
  <c r="L33" i="74" s="1"/>
  <c r="L32" i="74" a="1"/>
  <c r="L32" i="74" s="1"/>
  <c r="D49" i="74"/>
  <c r="L31" i="74" a="1"/>
  <c r="L31" i="74" s="1"/>
  <c r="L30" i="74" a="1"/>
  <c r="L30" i="74" s="1"/>
  <c r="L29" i="74" a="1"/>
  <c r="L29" i="74" s="1"/>
  <c r="L25" i="74" a="1"/>
  <c r="L25" i="74" s="1"/>
  <c r="K25" i="74" a="1"/>
  <c r="K25" i="74" s="1"/>
  <c r="D43" i="74"/>
  <c r="I16" i="74" a="1"/>
  <c r="I16" i="74" s="1"/>
  <c r="I15" i="74" a="1"/>
  <c r="I15" i="74" s="1"/>
  <c r="I14" i="74" a="1"/>
  <c r="I14" i="74" s="1"/>
  <c r="A69" i="69"/>
  <c r="I16" i="69" a="1"/>
  <c r="I16" i="69" s="1"/>
  <c r="I15" i="69" a="1"/>
  <c r="I15" i="69" s="1"/>
  <c r="I14" i="69" a="1"/>
  <c r="I14" i="69" s="1"/>
  <c r="E11" i="69" a="1"/>
  <c r="E11" i="69" s="1"/>
  <c r="E12" i="69" a="1"/>
  <c r="E12" i="69" s="1"/>
  <c r="F49" i="69" s="1"/>
  <c r="G14" i="69" a="1"/>
  <c r="G14" i="69" s="1"/>
  <c r="D14" i="69" a="1"/>
  <c r="D14" i="69" s="1"/>
  <c r="E7" i="120" a="1"/>
  <c r="E7" i="74" a="1"/>
  <c r="K27" i="120" l="1" a="1"/>
  <c r="K27" i="120" s="1"/>
  <c r="E7" i="120"/>
  <c r="F38" i="120"/>
  <c r="F37" i="120"/>
  <c r="F36" i="120"/>
  <c r="K33" i="120" a="1"/>
  <c r="K33" i="120" s="1"/>
  <c r="K30" i="120" a="1"/>
  <c r="K30" i="120" s="1"/>
  <c r="K26" i="120" a="1"/>
  <c r="K26" i="120" s="1"/>
  <c r="K31" i="120" a="1"/>
  <c r="K31" i="120" s="1"/>
  <c r="K29" i="120" a="1"/>
  <c r="K29" i="120" s="1"/>
  <c r="D34" i="120"/>
  <c r="K32" i="120" a="1"/>
  <c r="K32" i="120" s="1"/>
  <c r="K28" i="120" a="1"/>
  <c r="K28" i="120" s="1"/>
  <c r="D26" i="120"/>
  <c r="D33" i="74"/>
  <c r="D35" i="74"/>
  <c r="D36" i="74"/>
  <c r="K33" i="74" a="1"/>
  <c r="K33" i="74" s="1"/>
  <c r="D37" i="74"/>
  <c r="K37" i="74" s="1" a="1"/>
  <c r="K37" i="74" s="1"/>
  <c r="K36" i="74" a="1"/>
  <c r="K36" i="74" s="1"/>
  <c r="L36" i="74" a="1"/>
  <c r="L36" i="74" s="1"/>
  <c r="K32" i="74" a="1"/>
  <c r="K32" i="74" s="1"/>
  <c r="E7" i="74"/>
  <c r="F45" i="74"/>
  <c r="F44" i="74"/>
  <c r="F52" i="74"/>
  <c r="F51" i="74"/>
  <c r="F50" i="74"/>
  <c r="F46" i="74"/>
  <c r="D27" i="74"/>
  <c r="K27" i="74" s="1" a="1"/>
  <c r="K27" i="74" s="1"/>
  <c r="D29" i="74"/>
  <c r="K29" i="74" s="1" a="1"/>
  <c r="K29" i="74" s="1"/>
  <c r="D31" i="74"/>
  <c r="K31" i="74" s="1" a="1"/>
  <c r="K31" i="74" s="1"/>
  <c r="K34" i="74" a="1"/>
  <c r="K34" i="74" s="1"/>
  <c r="K38" i="74" a="1"/>
  <c r="K38" i="74" s="1"/>
  <c r="D26" i="74"/>
  <c r="K26" i="74" s="1" a="1"/>
  <c r="K26" i="74" s="1"/>
  <c r="D28" i="74"/>
  <c r="K28" i="74" s="1" a="1"/>
  <c r="K28" i="74" s="1"/>
  <c r="D30" i="74"/>
  <c r="K30" i="74" s="1" a="1"/>
  <c r="K30" i="74" s="1"/>
  <c r="K35" i="74" a="1"/>
  <c r="K35" i="74" s="1"/>
  <c r="F61" i="69"/>
  <c r="F50" i="69"/>
  <c r="F51" i="69"/>
  <c r="F55" i="69"/>
  <c r="F56" i="69"/>
  <c r="F57" i="69"/>
  <c r="F62" i="69"/>
  <c r="F63" i="69"/>
  <c r="F67" i="69"/>
  <c r="F68" i="69"/>
  <c r="F69" i="69"/>
  <c r="F44" i="69"/>
  <c r="F43" i="69"/>
  <c r="F45" i="69"/>
  <c r="L34" i="69" l="1" a="1"/>
  <c r="L34" i="69" s="1"/>
  <c r="D34" i="110"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8" i="69"/>
  <c r="F37" i="69"/>
  <c r="F36" i="69"/>
  <c r="F35" i="69"/>
  <c r="F34" i="69"/>
  <c r="F33" i="69"/>
  <c r="L33" i="69" s="1" a="1"/>
  <c r="L33" i="69" s="1"/>
  <c r="D37" i="69"/>
  <c r="D60" i="69" s="1"/>
  <c r="D34" i="69"/>
  <c r="D35" i="69" s="1"/>
  <c r="D25" i="69"/>
  <c r="D27" i="69" s="1"/>
  <c r="D33" i="69"/>
  <c r="D48" i="69" s="1"/>
  <c r="F32" i="69"/>
  <c r="L32" i="69" s="1" a="1"/>
  <c r="L32" i="69" s="1"/>
  <c r="F29" i="69"/>
  <c r="L29" i="69" s="1" a="1"/>
  <c r="L29" i="69" s="1"/>
  <c r="F27" i="69"/>
  <c r="K27" i="69" s="1" a="1"/>
  <c r="K27" i="69" s="1"/>
  <c r="F26" i="69"/>
  <c r="L26" i="69" s="1" a="1"/>
  <c r="L26" i="69" s="1"/>
  <c r="D6" i="69" a="1"/>
  <c r="D6" i="69" s="1"/>
  <c r="D5" i="69" a="1"/>
  <c r="D5" i="69" s="1"/>
  <c r="H131" i="110"/>
  <c r="I132" i="110"/>
  <c r="I131" i="110"/>
  <c r="J139" i="110"/>
  <c r="J138" i="110"/>
  <c r="J137" i="110"/>
  <c r="J136" i="110"/>
  <c r="J135" i="110"/>
  <c r="J134" i="110"/>
  <c r="J133" i="110"/>
  <c r="J132" i="110"/>
  <c r="J131" i="110"/>
  <c r="G138" i="110"/>
  <c r="G137" i="110"/>
  <c r="F31" i="69" s="1"/>
  <c r="G136" i="110"/>
  <c r="F30" i="69" s="1"/>
  <c r="G135" i="110"/>
  <c r="G134" i="110"/>
  <c r="F28" i="69" s="1"/>
  <c r="G133" i="110"/>
  <c r="G132" i="110"/>
  <c r="G131" i="110"/>
  <c r="F25" i="69" s="1"/>
  <c r="F133" i="110"/>
  <c r="F132" i="110"/>
  <c r="F131" i="110"/>
  <c r="E139" i="110"/>
  <c r="E138" i="110"/>
  <c r="E137" i="110"/>
  <c r="E136" i="110"/>
  <c r="E135" i="110"/>
  <c r="E134" i="110"/>
  <c r="E133" i="110"/>
  <c r="E132" i="110"/>
  <c r="E131" i="110"/>
  <c r="D137" i="110"/>
  <c r="D136" i="110"/>
  <c r="D135" i="110"/>
  <c r="D134" i="110"/>
  <c r="D133" i="110"/>
  <c r="D132" i="110"/>
  <c r="D131" i="110"/>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E32" i="69" s="1"/>
  <c r="D17" i="110" a="1"/>
  <c r="D17" i="110" s="1"/>
  <c r="L16" i="110" a="1"/>
  <c r="L16" i="110" s="1"/>
  <c r="K16" i="110" a="1"/>
  <c r="K16" i="110" s="1"/>
  <c r="J16" i="110" a="1"/>
  <c r="J16" i="110" s="1"/>
  <c r="I16" i="110" a="1"/>
  <c r="I16" i="110" s="1"/>
  <c r="H16" i="110" a="1"/>
  <c r="H16" i="110" s="1"/>
  <c r="G16" i="110" a="1"/>
  <c r="G16" i="110" s="1"/>
  <c r="F16" i="110" a="1"/>
  <c r="F16" i="110" s="1"/>
  <c r="E16" i="110" a="1"/>
  <c r="E16" i="110" s="1"/>
  <c r="E31" i="69" s="1"/>
  <c r="D16" i="110" a="1"/>
  <c r="D16" i="110" s="1"/>
  <c r="L15" i="110" a="1"/>
  <c r="L15" i="110" s="1"/>
  <c r="K15" i="110" a="1"/>
  <c r="K15" i="110" s="1"/>
  <c r="J15" i="110" a="1"/>
  <c r="J15" i="110" s="1"/>
  <c r="I15" i="110" a="1"/>
  <c r="I15" i="110" s="1"/>
  <c r="H15" i="110" a="1"/>
  <c r="H15" i="110" s="1"/>
  <c r="G15" i="110" a="1"/>
  <c r="G15" i="110" s="1"/>
  <c r="F15" i="110" a="1"/>
  <c r="F15" i="110" s="1"/>
  <c r="E15" i="110" a="1"/>
  <c r="E15" i="110" s="1"/>
  <c r="E30" i="69" s="1"/>
  <c r="D15" i="110" a="1"/>
  <c r="D15" i="110" s="1"/>
  <c r="L14" i="110" a="1"/>
  <c r="L14" i="110" s="1"/>
  <c r="K14" i="110" a="1"/>
  <c r="K14" i="110" s="1"/>
  <c r="J14" i="110" a="1"/>
  <c r="J14" i="110" s="1"/>
  <c r="I14" i="110" a="1"/>
  <c r="I14" i="110" s="1"/>
  <c r="H14" i="110" a="1"/>
  <c r="H14" i="110" s="1"/>
  <c r="G14" i="110" a="1"/>
  <c r="G14" i="110" s="1"/>
  <c r="F14" i="110" a="1"/>
  <c r="F14" i="110" s="1"/>
  <c r="E14" i="110" a="1"/>
  <c r="E14" i="110" s="1"/>
  <c r="E29" i="69"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E27" i="69" s="1"/>
  <c r="D12" i="110" a="1"/>
  <c r="D12" i="110" s="1"/>
  <c r="L11" i="110" a="1"/>
  <c r="L11" i="110" s="1"/>
  <c r="K11" i="110" a="1"/>
  <c r="K11" i="110" s="1"/>
  <c r="J11" i="110" a="1"/>
  <c r="J11" i="110" s="1"/>
  <c r="I11" i="110" a="1"/>
  <c r="I11" i="110" s="1"/>
  <c r="H11" i="110" a="1"/>
  <c r="H11" i="110" s="1"/>
  <c r="G11" i="110" a="1"/>
  <c r="G11" i="110" s="1"/>
  <c r="F11" i="110" a="1"/>
  <c r="F11" i="110" s="1"/>
  <c r="E11" i="110" a="1"/>
  <c r="E11" i="110" s="1"/>
  <c r="E38" i="69" s="1"/>
  <c r="D11" i="110" a="1"/>
  <c r="D11" i="110" s="1"/>
  <c r="L10" i="110" a="1"/>
  <c r="L10" i="110" s="1"/>
  <c r="K10" i="110" a="1"/>
  <c r="K10" i="110" s="1"/>
  <c r="J10" i="110" a="1"/>
  <c r="J10" i="110" s="1"/>
  <c r="I10" i="110" a="1"/>
  <c r="I10" i="110" s="1"/>
  <c r="H10" i="110" a="1"/>
  <c r="H10" i="110" s="1"/>
  <c r="G10" i="110" a="1"/>
  <c r="G10" i="110" s="1"/>
  <c r="F10" i="110" a="1"/>
  <c r="F10" i="110" s="1"/>
  <c r="E10" i="110" a="1"/>
  <c r="E10" i="110" s="1"/>
  <c r="E37" i="69" s="1"/>
  <c r="D10" i="110" a="1"/>
  <c r="D10" i="110" s="1"/>
  <c r="D8" i="110" a="1"/>
  <c r="D8" i="110" s="1"/>
  <c r="D7" i="110" a="1"/>
  <c r="D7" i="110" s="1"/>
  <c r="D6" i="110" a="1"/>
  <c r="D6" i="110" s="1"/>
  <c r="D5" i="110" a="1"/>
  <c r="D5" i="110" s="1"/>
  <c r="H22" i="70"/>
  <c r="I22" i="70" s="1"/>
  <c r="G22" i="70" a="1"/>
  <c r="G22" i="70" s="1"/>
  <c r="I21" i="70"/>
  <c r="H21" i="70"/>
  <c r="G21" i="70" a="1"/>
  <c r="G21" i="70" s="1"/>
  <c r="H20" i="70"/>
  <c r="I20" i="70" s="1"/>
  <c r="G20" i="70" a="1"/>
  <c r="G20" i="70" s="1"/>
  <c r="H19" i="70"/>
  <c r="I19" i="70" s="1"/>
  <c r="G19" i="70" a="1"/>
  <c r="G19" i="70" s="1"/>
  <c r="H18" i="70"/>
  <c r="I18" i="70" s="1"/>
  <c r="G18" i="70" a="1"/>
  <c r="G18" i="70" s="1"/>
  <c r="H17" i="70"/>
  <c r="I17" i="70" s="1"/>
  <c r="G17" i="70" a="1"/>
  <c r="G17" i="70" s="1"/>
  <c r="H16" i="70"/>
  <c r="I16" i="70" s="1"/>
  <c r="G16" i="70" a="1"/>
  <c r="G16" i="70" s="1"/>
  <c r="H15" i="70"/>
  <c r="I15" i="70" s="1"/>
  <c r="G15" i="70" a="1"/>
  <c r="G15" i="70" s="1"/>
  <c r="H14" i="70"/>
  <c r="I14" i="70" s="1"/>
  <c r="G14" i="70" a="1"/>
  <c r="G14" i="70" s="1"/>
  <c r="H13" i="70"/>
  <c r="I13" i="70" s="1"/>
  <c r="G13" i="70" a="1"/>
  <c r="G13" i="70" s="1"/>
  <c r="H12" i="70"/>
  <c r="I12" i="70" s="1"/>
  <c r="G12" i="70" a="1"/>
  <c r="G12" i="70" s="1"/>
  <c r="H11" i="70"/>
  <c r="I11" i="70" s="1"/>
  <c r="G11" i="70" a="1"/>
  <c r="G11" i="70" s="1"/>
  <c r="E7" i="69" a="1"/>
  <c r="E33" i="120" l="1"/>
  <c r="E40" i="74"/>
  <c r="E29" i="74"/>
  <c r="E36" i="74"/>
  <c r="E28" i="74"/>
  <c r="E35" i="74"/>
  <c r="E30" i="74"/>
  <c r="E37" i="74"/>
  <c r="E32" i="120"/>
  <c r="E39" i="74"/>
  <c r="E27" i="74"/>
  <c r="E34" i="74"/>
  <c r="E26" i="74"/>
  <c r="E33" i="74"/>
  <c r="E38" i="74"/>
  <c r="E31" i="74"/>
  <c r="E25" i="74"/>
  <c r="E32" i="74"/>
  <c r="K35" i="69" a="1"/>
  <c r="K35" i="69" s="1"/>
  <c r="D26" i="69"/>
  <c r="D31" i="69"/>
  <c r="K37" i="69" a="1"/>
  <c r="K37" i="69" s="1"/>
  <c r="L27" i="69" a="1"/>
  <c r="L27" i="69" s="1"/>
  <c r="K34" i="69" a="1"/>
  <c r="K34" i="69" s="1"/>
  <c r="I31" i="69" a="1"/>
  <c r="I31" i="69" s="1"/>
  <c r="H36" i="69" a="1"/>
  <c r="H36" i="69" s="1"/>
  <c r="J28" i="69" a="1"/>
  <c r="J28" i="69" s="1"/>
  <c r="J39" i="69" a="1"/>
  <c r="J39" i="69" s="1"/>
  <c r="I39" i="69" a="1"/>
  <c r="I39" i="69" s="1"/>
  <c r="H39" i="69" a="1"/>
  <c r="H39" i="69" s="1"/>
  <c r="H37" i="69" a="1"/>
  <c r="H37" i="69" s="1"/>
  <c r="G30" i="69" a="1"/>
  <c r="G30" i="69" s="1"/>
  <c r="I37" i="69" a="1"/>
  <c r="I37" i="69" s="1"/>
  <c r="J27" i="69" a="1"/>
  <c r="J27" i="69" s="1"/>
  <c r="J37" i="69" a="1"/>
  <c r="J37" i="69" s="1"/>
  <c r="H38" i="69" a="1"/>
  <c r="H38" i="69" s="1"/>
  <c r="I38" i="69" a="1"/>
  <c r="I38" i="69" s="1"/>
  <c r="J32" i="69" a="1"/>
  <c r="J32" i="69" s="1"/>
  <c r="I29" i="69" a="1"/>
  <c r="I29" i="69" s="1"/>
  <c r="J38" i="69" a="1"/>
  <c r="J38" i="69" s="1"/>
  <c r="L28" i="69" a="1"/>
  <c r="L28" i="69" s="1"/>
  <c r="L30" i="69" a="1"/>
  <c r="L30" i="69" s="1"/>
  <c r="L25" i="69" a="1"/>
  <c r="L25" i="69" s="1"/>
  <c r="K25" i="69" a="1"/>
  <c r="K25" i="69" s="1"/>
  <c r="L31" i="69" a="1"/>
  <c r="L31" i="69" s="1"/>
  <c r="K31" i="69" a="1"/>
  <c r="K31" i="69" s="1"/>
  <c r="G36" i="69" a="1"/>
  <c r="G36" i="69" s="1"/>
  <c r="G29" i="69" a="1"/>
  <c r="G29" i="69" s="1"/>
  <c r="I27" i="69" a="1"/>
  <c r="I27" i="69" s="1"/>
  <c r="H31" i="69" a="1"/>
  <c r="H31" i="69" s="1"/>
  <c r="I36" i="69" a="1"/>
  <c r="I36" i="69" s="1"/>
  <c r="H28" i="69" a="1"/>
  <c r="H28" i="69" s="1"/>
  <c r="L35" i="69" a="1"/>
  <c r="L35" i="69" s="1"/>
  <c r="J36" i="69" a="1"/>
  <c r="J36" i="69" s="1"/>
  <c r="G31" i="69" a="1"/>
  <c r="G31" i="69" s="1"/>
  <c r="I28" i="69" a="1"/>
  <c r="I28" i="69" s="1"/>
  <c r="J31" i="69" a="1"/>
  <c r="J31" i="69" s="1"/>
  <c r="G32" i="69" a="1"/>
  <c r="G32" i="69" s="1"/>
  <c r="H32" i="69" a="1"/>
  <c r="H32" i="69" s="1"/>
  <c r="L36" i="69" a="1"/>
  <c r="L36" i="69" s="1"/>
  <c r="G34" i="69" a="1"/>
  <c r="G34" i="69" s="1"/>
  <c r="H29" i="69" a="1"/>
  <c r="H29" i="69" s="1"/>
  <c r="L37" i="69" a="1"/>
  <c r="L37" i="69" s="1"/>
  <c r="G37" i="69" a="1"/>
  <c r="G37" i="69" s="1"/>
  <c r="H34" i="69" a="1"/>
  <c r="H34" i="69" s="1"/>
  <c r="L38" i="69" a="1"/>
  <c r="L38" i="69" s="1"/>
  <c r="I32" i="69" a="1"/>
  <c r="I32" i="69" s="1"/>
  <c r="I34" i="69" a="1"/>
  <c r="I34" i="69" s="1"/>
  <c r="L39" i="69" a="1"/>
  <c r="L39" i="69" s="1"/>
  <c r="G38" i="69" a="1"/>
  <c r="G38" i="69" s="1"/>
  <c r="J34" i="69" a="1"/>
  <c r="J34" i="69" s="1"/>
  <c r="J29" i="69" a="1"/>
  <c r="J29" i="69" s="1"/>
  <c r="D38" i="69"/>
  <c r="K38" i="69" s="1" a="1"/>
  <c r="K38" i="69" s="1"/>
  <c r="G39" i="69" a="1"/>
  <c r="G39" i="69" s="1"/>
  <c r="G35" i="69" a="1"/>
  <c r="G35" i="69" s="1"/>
  <c r="G27" i="69" a="1"/>
  <c r="G27" i="69" s="1"/>
  <c r="H30" i="69" a="1"/>
  <c r="H30" i="69" s="1"/>
  <c r="D39" i="69"/>
  <c r="K39" i="69" s="1" a="1"/>
  <c r="K39" i="69" s="1"/>
  <c r="H35" i="69" a="1"/>
  <c r="H35" i="69" s="1"/>
  <c r="I30" i="69" a="1"/>
  <c r="I30" i="69" s="1"/>
  <c r="K26" i="69" a="1"/>
  <c r="K26" i="69" s="1"/>
  <c r="K33" i="69" a="1"/>
  <c r="K33" i="69" s="1"/>
  <c r="I35" i="69" a="1"/>
  <c r="I35" i="69" s="1"/>
  <c r="G28" i="69" a="1"/>
  <c r="G28" i="69" s="1"/>
  <c r="J30" i="69" a="1"/>
  <c r="J30" i="69" s="1"/>
  <c r="J35" i="69" a="1"/>
  <c r="J35" i="69" s="1"/>
  <c r="H27" i="69" a="1"/>
  <c r="H27" i="69" s="1"/>
  <c r="E33" i="69"/>
  <c r="G33" i="69" s="1" a="1"/>
  <c r="G33" i="69" s="1"/>
  <c r="E25" i="69"/>
  <c r="E26" i="69"/>
  <c r="H26" i="69" s="1" a="1"/>
  <c r="H26" i="69" s="1"/>
  <c r="E7" i="69"/>
  <c r="D30" i="69"/>
  <c r="K30" i="69" s="1" a="1"/>
  <c r="K30" i="69" s="1"/>
  <c r="D42" i="69"/>
  <c r="D29" i="69"/>
  <c r="K29" i="69" s="1" a="1"/>
  <c r="K29" i="69" s="1"/>
  <c r="D28" i="69"/>
  <c r="K28" i="69" s="1" a="1"/>
  <c r="K28" i="69" s="1"/>
  <c r="D36" i="69"/>
  <c r="K36" i="69" s="1" a="1"/>
  <c r="K36" i="69" s="1"/>
  <c r="D54" i="69"/>
  <c r="D32" i="69"/>
  <c r="K32" i="69" s="1" a="1"/>
  <c r="K32" i="69" s="1"/>
  <c r="J38" i="74" l="1"/>
  <c r="I38" i="74"/>
  <c r="H38" i="74"/>
  <c r="G38" i="74"/>
  <c r="I30" i="74"/>
  <c r="G30" i="74"/>
  <c r="J30" i="74"/>
  <c r="H30" i="74"/>
  <c r="G33" i="74"/>
  <c r="H33" i="74"/>
  <c r="I33" i="74"/>
  <c r="J33" i="74"/>
  <c r="J26" i="74"/>
  <c r="H26" i="74"/>
  <c r="I26" i="74"/>
  <c r="G26" i="74"/>
  <c r="J28" i="74"/>
  <c r="H28" i="74"/>
  <c r="I28" i="74"/>
  <c r="G28" i="74"/>
  <c r="G37" i="74"/>
  <c r="J37" i="74"/>
  <c r="I37" i="74"/>
  <c r="H37" i="74"/>
  <c r="J35" i="74"/>
  <c r="I35" i="74"/>
  <c r="H35" i="74"/>
  <c r="G35" i="74"/>
  <c r="J34" i="74"/>
  <c r="I34" i="74"/>
  <c r="H34" i="74"/>
  <c r="G34" i="74"/>
  <c r="I36" i="74"/>
  <c r="H36" i="74"/>
  <c r="G36" i="74"/>
  <c r="J36" i="74"/>
  <c r="I31" i="74"/>
  <c r="G31" i="74"/>
  <c r="H31" i="74"/>
  <c r="J31" i="74"/>
  <c r="J27" i="74"/>
  <c r="H27" i="74"/>
  <c r="I27" i="74"/>
  <c r="G27" i="74"/>
  <c r="J29" i="74"/>
  <c r="H29" i="74"/>
  <c r="I29" i="74"/>
  <c r="G29" i="74"/>
  <c r="J32" i="74"/>
  <c r="I32" i="74"/>
  <c r="H32" i="74"/>
  <c r="G32" i="74"/>
  <c r="G25" i="74"/>
  <c r="J25" i="74"/>
  <c r="H25" i="74"/>
  <c r="I25" i="74"/>
  <c r="J39" i="74"/>
  <c r="I39" i="74"/>
  <c r="H39" i="74"/>
  <c r="G39" i="74"/>
  <c r="G40" i="74"/>
  <c r="J40" i="74"/>
  <c r="I40" i="74"/>
  <c r="H40" i="74"/>
  <c r="M34" i="69" a="1"/>
  <c r="M34" i="69" s="1"/>
  <c r="I26" i="69" a="1"/>
  <c r="I26" i="69" s="1"/>
  <c r="G25" i="69" a="1"/>
  <c r="G25" i="69" s="1"/>
  <c r="H25" i="69" a="1"/>
  <c r="H25" i="69" s="1"/>
  <c r="I25" i="69" a="1"/>
  <c r="I25" i="69" s="1"/>
  <c r="N25" i="69" s="1" a="1"/>
  <c r="N25" i="69" s="1"/>
  <c r="H33" i="69" a="1"/>
  <c r="H33" i="69" s="1"/>
  <c r="M33" i="69" s="1" a="1"/>
  <c r="M33" i="69" s="1"/>
  <c r="I33" i="69" a="1"/>
  <c r="I33" i="69" s="1"/>
  <c r="J33" i="69" a="1"/>
  <c r="J33" i="69" s="1"/>
  <c r="J25" i="69" a="1"/>
  <c r="J25" i="69" s="1"/>
  <c r="G26" i="69" a="1"/>
  <c r="G26" i="69" s="1"/>
  <c r="J26" i="69" a="1"/>
  <c r="J26" i="69" s="1"/>
  <c r="N34" i="69" a="1"/>
  <c r="N34" i="69" s="1"/>
  <c r="M38" i="69" a="1"/>
  <c r="M38" i="69" s="1"/>
  <c r="O37" i="69" a="1"/>
  <c r="O37" i="69" s="1"/>
  <c r="O34" i="69" a="1"/>
  <c r="O34" i="69" s="1"/>
  <c r="M37" i="69" a="1"/>
  <c r="M37" i="69" s="1"/>
  <c r="N37" i="69" a="1"/>
  <c r="N37" i="69" s="1"/>
  <c r="N38" i="69" a="1"/>
  <c r="N38" i="69" s="1"/>
  <c r="O38" i="69" a="1"/>
  <c r="O38" i="69" s="1"/>
  <c r="O27" i="69" a="1"/>
  <c r="O27" i="69" s="1"/>
  <c r="N35" i="69" a="1"/>
  <c r="N35" i="69" s="1"/>
  <c r="O31" i="69" a="1"/>
  <c r="O31" i="69" s="1"/>
  <c r="O32" i="69" a="1"/>
  <c r="O32" i="69" s="1"/>
  <c r="M32" i="69" a="1"/>
  <c r="M32" i="69" s="1"/>
  <c r="N32" i="69" a="1"/>
  <c r="N32" i="69" s="1"/>
  <c r="M35" i="69" a="1"/>
  <c r="M35" i="69" s="1"/>
  <c r="M36" i="69" a="1"/>
  <c r="M36" i="69" s="1"/>
  <c r="N36" i="69" a="1"/>
  <c r="N36" i="69" s="1"/>
  <c r="O36" i="69" a="1"/>
  <c r="O36" i="69" s="1"/>
  <c r="M27" i="69" a="1"/>
  <c r="M27" i="69" s="1"/>
  <c r="O35" i="69" a="1"/>
  <c r="O35" i="69" s="1"/>
  <c r="M30" i="69" a="1"/>
  <c r="M30" i="69" s="1"/>
  <c r="O30" i="69" a="1"/>
  <c r="O30" i="69" s="1"/>
  <c r="N30" i="69" a="1"/>
  <c r="N30" i="69" s="1"/>
  <c r="M31" i="69" a="1"/>
  <c r="M31" i="69" s="1"/>
  <c r="N27" i="69" a="1"/>
  <c r="N27" i="69" s="1"/>
  <c r="M28" i="69" a="1"/>
  <c r="M28" i="69" s="1"/>
  <c r="N28" i="69" a="1"/>
  <c r="N28" i="69" s="1"/>
  <c r="O28" i="69" a="1"/>
  <c r="O28" i="69" s="1"/>
  <c r="N31" i="69" a="1"/>
  <c r="N31" i="69" s="1"/>
  <c r="N29" i="69" a="1"/>
  <c r="N29" i="69" s="1"/>
  <c r="O29" i="69" a="1"/>
  <c r="O29" i="69" s="1"/>
  <c r="M29" i="69" a="1"/>
  <c r="M29" i="69" s="1"/>
  <c r="O29" i="120" l="1" a="1"/>
  <c r="O29" i="120" s="1"/>
  <c r="N29" i="120" a="1"/>
  <c r="N29" i="120" s="1"/>
  <c r="M29" i="120" a="1"/>
  <c r="M29" i="120" s="1"/>
  <c r="M29" i="74" a="1"/>
  <c r="M29" i="74" s="1"/>
  <c r="O29" i="74" a="1"/>
  <c r="O29" i="74" s="1"/>
  <c r="N29" i="74" a="1"/>
  <c r="N29" i="74" s="1"/>
  <c r="N34" i="74" a="1"/>
  <c r="N34" i="74" s="1"/>
  <c r="M34" i="74" a="1"/>
  <c r="M34" i="74" s="1"/>
  <c r="O34" i="74" a="1"/>
  <c r="O34" i="74" s="1"/>
  <c r="O28" i="120" a="1"/>
  <c r="O28" i="120" s="1"/>
  <c r="N28" i="120" a="1"/>
  <c r="N28" i="120" s="1"/>
  <c r="M28" i="120" a="1"/>
  <c r="M28" i="120" s="1"/>
  <c r="N40" i="74" a="1"/>
  <c r="N40" i="74" s="1"/>
  <c r="M40" i="74" a="1"/>
  <c r="M40" i="74" s="1"/>
  <c r="O40" i="74" a="1"/>
  <c r="O40" i="74" s="1"/>
  <c r="M27" i="120" a="1"/>
  <c r="M27" i="120" s="1"/>
  <c r="N27" i="120" a="1"/>
  <c r="N27" i="120" s="1"/>
  <c r="O27" i="120" a="1"/>
  <c r="O27" i="120" s="1"/>
  <c r="M39" i="74" a="1"/>
  <c r="M39" i="74" s="1"/>
  <c r="N39" i="74" a="1"/>
  <c r="N39" i="74" s="1"/>
  <c r="O39" i="74" a="1"/>
  <c r="O39" i="74" s="1"/>
  <c r="N35" i="74" a="1"/>
  <c r="N35" i="74" s="1"/>
  <c r="O35" i="74" a="1"/>
  <c r="O35" i="74" s="1"/>
  <c r="M35" i="74" a="1"/>
  <c r="M35" i="74" s="1"/>
  <c r="O37" i="74" a="1"/>
  <c r="O37" i="74" s="1"/>
  <c r="M37" i="74" a="1"/>
  <c r="M37" i="74" s="1"/>
  <c r="N37" i="74" a="1"/>
  <c r="N37" i="74" s="1"/>
  <c r="M30" i="120" a="1"/>
  <c r="M30" i="120" s="1"/>
  <c r="O30" i="120" a="1"/>
  <c r="O30" i="120" s="1"/>
  <c r="N30" i="120" a="1"/>
  <c r="N30" i="120" s="1"/>
  <c r="M27" i="74" a="1"/>
  <c r="M27" i="74" s="1"/>
  <c r="N27" i="74" a="1"/>
  <c r="N27" i="74" s="1"/>
  <c r="O27" i="74" a="1"/>
  <c r="O27" i="74" s="1"/>
  <c r="O33" i="120" a="1"/>
  <c r="O33" i="120" s="1"/>
  <c r="N33" i="120" a="1"/>
  <c r="N33" i="120" s="1"/>
  <c r="M33" i="120" a="1"/>
  <c r="M33" i="120" s="1"/>
  <c r="M28" i="74" a="1"/>
  <c r="M28" i="74" s="1"/>
  <c r="N28" i="74" a="1"/>
  <c r="N28" i="74" s="1"/>
  <c r="O28" i="74" a="1"/>
  <c r="O28" i="74" s="1"/>
  <c r="M31" i="120" a="1"/>
  <c r="M31" i="120" s="1"/>
  <c r="O31" i="120" a="1"/>
  <c r="O31" i="120" s="1"/>
  <c r="N31" i="120" a="1"/>
  <c r="N31" i="120" s="1"/>
  <c r="O33" i="74" a="1"/>
  <c r="O33" i="74" s="1"/>
  <c r="N33" i="74" a="1"/>
  <c r="N33" i="74" s="1"/>
  <c r="M33" i="74" a="1"/>
  <c r="M33" i="74" s="1"/>
  <c r="O25" i="120" a="1"/>
  <c r="O25" i="120" s="1"/>
  <c r="N25" i="120" a="1"/>
  <c r="N25" i="120" s="1"/>
  <c r="M25" i="120" a="1"/>
  <c r="M25" i="120" s="1"/>
  <c r="N32" i="120" a="1"/>
  <c r="N32" i="120" s="1"/>
  <c r="M32" i="120" a="1"/>
  <c r="M32" i="120" s="1"/>
  <c r="O32" i="120" a="1"/>
  <c r="O32" i="120" s="1"/>
  <c r="N31" i="74" a="1"/>
  <c r="N31" i="74" s="1"/>
  <c r="M31" i="74" a="1"/>
  <c r="M31" i="74" s="1"/>
  <c r="O31" i="74" a="1"/>
  <c r="O31" i="74" s="1"/>
  <c r="M26" i="74" a="1"/>
  <c r="M26" i="74" s="1"/>
  <c r="O26" i="74" a="1"/>
  <c r="O26" i="74" s="1"/>
  <c r="N26" i="74" a="1"/>
  <c r="N26" i="74" s="1"/>
  <c r="N30" i="74" a="1"/>
  <c r="N30" i="74" s="1"/>
  <c r="O30" i="74" a="1"/>
  <c r="O30" i="74" s="1"/>
  <c r="M30" i="74" a="1"/>
  <c r="M30" i="74" s="1"/>
  <c r="O38" i="74" a="1"/>
  <c r="O38" i="74" s="1"/>
  <c r="M38" i="74" a="1"/>
  <c r="M38" i="74" s="1"/>
  <c r="N38" i="74" a="1"/>
  <c r="N38" i="74" s="1"/>
  <c r="N25" i="74" a="1"/>
  <c r="N25" i="74" s="1"/>
  <c r="M25" i="74" a="1"/>
  <c r="M25" i="74" s="1"/>
  <c r="O25" i="74" a="1"/>
  <c r="O25" i="74" s="1"/>
  <c r="M32" i="74" a="1"/>
  <c r="M32" i="74" s="1"/>
  <c r="O32" i="74" a="1"/>
  <c r="O32" i="74" s="1"/>
  <c r="N32" i="74" a="1"/>
  <c r="N32" i="74" s="1"/>
  <c r="O26" i="120" a="1"/>
  <c r="O26" i="120" s="1"/>
  <c r="N26" i="120" a="1"/>
  <c r="N26" i="120" s="1"/>
  <c r="M26" i="120" a="1"/>
  <c r="M26" i="120" s="1"/>
  <c r="O36" i="74" a="1"/>
  <c r="O36" i="74" s="1"/>
  <c r="N36" i="74" a="1"/>
  <c r="N36" i="74" s="1"/>
  <c r="M36" i="74" a="1"/>
  <c r="M36" i="74" s="1"/>
  <c r="M25" i="69" a="1"/>
  <c r="M25" i="69" s="1"/>
  <c r="O25" i="69" a="1"/>
  <c r="O25" i="69" s="1"/>
  <c r="N33" i="69" a="1"/>
  <c r="N33" i="69" s="1"/>
  <c r="E50" i="69" s="1"/>
  <c r="O33" i="69" a="1"/>
  <c r="O33" i="69" s="1"/>
  <c r="E51" i="69" s="1"/>
  <c r="N26" i="69" a="1"/>
  <c r="N26" i="69" s="1"/>
  <c r="E44" i="69" s="1"/>
  <c r="M26" i="69" a="1"/>
  <c r="M26" i="69" s="1"/>
  <c r="O26" i="69" a="1"/>
  <c r="O26" i="69" s="1"/>
  <c r="O39" i="69" a="1"/>
  <c r="O39" i="69" s="1"/>
  <c r="E63" i="69" s="1"/>
  <c r="N39" i="69" a="1"/>
  <c r="N39" i="69" s="1"/>
  <c r="E62" i="69" s="1"/>
  <c r="M39" i="69" a="1"/>
  <c r="M39" i="69" s="1"/>
  <c r="E61" i="69" s="1"/>
  <c r="E56" i="69"/>
  <c r="E57" i="69"/>
  <c r="E55" i="69"/>
  <c r="E49" i="69"/>
  <c r="E46" i="74" l="1"/>
  <c r="E44" i="74"/>
  <c r="E45" i="74"/>
  <c r="E51" i="74"/>
  <c r="E52" i="74"/>
  <c r="E50" i="74"/>
  <c r="E43" i="69"/>
  <c r="E67" i="69" s="1"/>
  <c r="E45" i="69"/>
  <c r="E69" i="69" s="1"/>
  <c r="E68" i="69"/>
  <c r="A21" i="118" l="1"/>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74"/>
  <c r="A20" i="74"/>
  <c r="A17" i="74"/>
  <c r="A16" i="74"/>
  <c r="A15" i="74"/>
  <c r="A14" i="74"/>
  <c r="A13" i="74"/>
  <c r="A12" i="74"/>
  <c r="A9" i="74"/>
  <c r="A8" i="74"/>
  <c r="A5" i="74"/>
  <c r="A4" i="74"/>
  <c r="A3" i="74"/>
  <c r="A21" i="15"/>
  <c r="A20" i="15"/>
  <c r="A17" i="15"/>
  <c r="A16" i="15"/>
  <c r="A15" i="15"/>
  <c r="A14" i="15"/>
  <c r="A13" i="15"/>
  <c r="A12" i="15"/>
  <c r="A9" i="15"/>
  <c r="A8" i="15"/>
  <c r="A5" i="15"/>
  <c r="A4" i="15"/>
  <c r="A3" i="15"/>
  <c r="A20" i="13"/>
  <c r="A17" i="13"/>
  <c r="A16" i="13"/>
  <c r="A15" i="13"/>
  <c r="A14" i="13"/>
  <c r="A13" i="13"/>
  <c r="A12" i="13"/>
  <c r="A9" i="13"/>
  <c r="A4" i="13"/>
  <c r="A37" i="69" l="1"/>
  <c r="A83" i="69"/>
  <c r="A76" i="74"/>
  <c r="A38" i="74"/>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E33" i="15" l="1"/>
  <c r="E30" i="15"/>
  <c r="H50" i="111"/>
  <c r="H51" i="111"/>
  <c r="H49" i="111"/>
  <c r="H53" i="111"/>
  <c r="H48" i="111"/>
  <c r="H54" i="111"/>
  <c r="H52" i="111"/>
  <c r="H13" i="13" l="1"/>
  <c r="I13" i="13" s="1"/>
  <c r="E13" i="13" l="1"/>
  <c r="F13" i="13" s="1"/>
  <c r="H12" i="13"/>
  <c r="I12" i="13" s="1"/>
  <c r="E12" i="13"/>
  <c r="F12" i="13" s="1"/>
  <c r="A21" i="13" l="1"/>
  <c r="A8" i="13" l="1"/>
  <c r="A5" i="13"/>
  <c r="A3" i="13"/>
  <c r="H10" i="13" l="1"/>
  <c r="I10" i="13" s="1"/>
  <c r="E10" i="13"/>
  <c r="F10" i="13" s="1"/>
  <c r="E14" i="13"/>
  <c r="F14" i="13" s="1"/>
  <c r="H14" i="13"/>
  <c r="I14" i="13" s="1"/>
  <c r="E29" i="15" l="1"/>
  <c r="E31" i="15" s="1"/>
  <c r="E32" i="15" s="1"/>
  <c r="H11" i="13" l="1"/>
  <c r="I11" i="13" s="1"/>
  <c r="E11" i="13"/>
  <c r="F11" i="13" s="1"/>
  <c r="E13" i="15"/>
  <c r="H9" i="13" l="1"/>
  <c r="H15" i="13" s="1"/>
  <c r="E9" i="13"/>
  <c r="I9" i="13" l="1"/>
  <c r="I15"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<sst xmlns="http://schemas.openxmlformats.org/spreadsheetml/2006/main" count="367" uniqueCount="218">
  <si>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</si>
  <si>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</si>
  <si>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</si>
  <si>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</si>
  <si>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</si>
  <si>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</si>
  <si>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</si>
  <si>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</si>
  <si>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</si>
  <si>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</si>
  <si>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</si>
  <si>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</si>
  <si>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</si>
  <si>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</si>
  <si>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</si>
  <si>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</si>
  <si>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</si>
  <si>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</si>
  <si>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</si>
  <si>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</si>
  <si>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</si>
  <si>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</si>
  <si>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</si>
  <si>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</si>
  <si>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</si>
  <si>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</si>
  <si>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</si>
  <si>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</si>
  <si>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</si>
  <si>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</si>
  <si>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</si>
  <si>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</si>
  <si>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</si>
  <si>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</si>
  <si>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</si>
  <si>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</si>
  <si>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</si>
  <si>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</si>
  <si>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</si>
  <si>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</si>
  <si>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</si>
  <si>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</si>
  <si>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</si>
  <si>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</si>
  <si>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</si>
  <si>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</si>
  <si>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</si>
  <si>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</si>
  <si>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</si>
  <si>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</si>
  <si>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</si>
  <si>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</si>
  <si>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</si>
  <si>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</si>
  <si>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</si>
  <si>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</si>
  <si>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</si>
  <si>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</si>
  <si>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</si>
  <si>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</si>
  <si>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</si>
  <si>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</si>
  <si>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</si>
  <si>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</si>
  <si>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</si>
  <si>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</si>
  <si>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</si>
  <si>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</si>
  <si>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</si>
  <si>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</si>
  <si>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</si>
  <si>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</si>
  <si>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</si>
  <si>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</si>
  <si>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</si>
  <si>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</si>
  <si>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</si>
  <si>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</si>
  <si>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</si>
  <si>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Method 1</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</si>
  <si>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</si>
  <si>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</si>
  <si>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</si>
  <si>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</si>
  <si>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</si>
  <si>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</si>
  <si>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</si>
  <si>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</si>
  <si>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</si>
  <si>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</si>
  <si>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</si>
  <si>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</si>
  <si>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</si>
  <si>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</si>
  <si>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</si>
  <si>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</si>
  <si>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</si>
  <si>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</si>
  <si>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</si>
  <si>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</si>
  <si>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</si>
  <si>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</si>
  <si>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</si>
  <si>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</si>
  <si>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</si>
  <si>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</si>
  <si>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</si>
  <si>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</si>
  <si>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</si>
  <si>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</si>
  <si>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</si>
  <si>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</si>
  <si>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</si>
  <si>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</si>
  <si>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</si>
  <si>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</si>
  <si>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t CO2</t>
  </si>
  <si>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</si>
  <si>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</si>
  <si>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</si>
  <si>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</si>
  <si>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</si>
  <si>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</si>
  <si>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</si>
  <si>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</si>
  <si>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</si>
  <si>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5: Fertiliser Use: Overview</t>
  </si>
  <si>
    <t>5: Fertiliser Use: Results</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</si>
  <si>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</si>
  <si>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</si>
  <si>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</si>
  <si>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</si>
  <si>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</si>
  <si>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</si>
  <si>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</si>
  <si>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</si>
  <si>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</si>
  <si>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</si>
  <si>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</si>
  <si>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</si>
  <si>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</si>
  <si>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</si>
  <si>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</si>
  <si>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</si>
  <si>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</si>
  <si>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</si>
  <si>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</si>
  <si>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</si>
  <si>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</si>
  <si>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</si>
  <si>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</si>
  <si>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</si>
  <si>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</si>
  <si>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</si>
  <si>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</si>
  <si>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</si>
  <si>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</si>
  <si>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</si>
  <si>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</si>
  <si>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</si>
  <si>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</si>
  <si>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</si>
  <si>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</si>
  <si>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</si>
  <si>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</si>
  <si>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</si>
  <si>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Scope 3 Emission Factors for Natural Gas (kg CO2 - e / GJ) Metro</t>
  </si>
  <si>
    <t>Scope 3 Emission Factors for Natural Gas (kg CO2 - e / GJ) Non - Metro</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</si>
  <si>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</si>
  <si>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</si>
  <si>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</si>
  <si>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</si>
  <si>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</si>
  <si>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</si>
  <si>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</si>
  <si>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</si>
  <si>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</si>
  <si>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</si>
  <si>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</si>
  <si>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</si>
  <si>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</si>
  <si>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</si>
  <si>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</si>
  <si>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</si>
  <si>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</si>
  <si>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</si>
  <si>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</si>
  <si>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</si>
  <si>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</si>
  <si>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</si>
  <si>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General use</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</si>
  <si>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</si>
  <si>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</si>
  <si>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</si>
  <si>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</si>
  <si>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</si>
  <si>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</si>
  <si>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</si>
  <si>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</si>
  <si>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</si>
  <si>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</si>
  <si>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</si>
  <si>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</si>
  <si>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</si>
  <si>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</si>
  <si>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</si>
  <si>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Total - All transport fuel combustion</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</si>
  <si>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</si>
  <si>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</si>
  <si>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</si>
  <si>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</si>
  <si>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</si>
  <si>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</si>
  <si>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</si>
  <si>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</si>
  <si>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</si>
  <si>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</si>
  <si>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Emissions for general use fuel combustion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</si>
</sst>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7" formatCode="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0"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1" fillId="4" borderId="0">
      <alignment horizontal="left" vertical="center"/>
    </xf>
    <xf numFmtId="0" fontId="47" fillId="11" borderId="0">
      <alignment horizontal="center" vertical="center"/>
    </xf>
    <xf numFmtId="0" fontId="22" fillId="11" borderId="0">
      <alignment horizontal="left" vertical="center" indent="1"/>
    </xf>
    <xf numFmtId="0" fontId="54" fillId="14" borderId="2">
      <alignment horizontal="center" vertical="center"/>
    </xf>
    <xf numFmtId="0" fontId="53" fillId="15" borderId="2">
      <alignment horizontal="center" vertical="center"/>
    </xf>
    <xf numFmtId="0" fontId="57" fillId="4" borderId="2">
      <alignment horizontal="left" vertical="center"/>
    </xf>
    <xf numFmtId="0" fontId="35" fillId="4" borderId="2">
      <alignment horizontal="left" vertical="center"/>
    </xf>
    <xf numFmtId="0" fontId="58" fillId="0" borderId="0"/>
  </cellStyleXfs>
  <cellXfs count="16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6" fillId="4" borderId="1" xfId="56" applyBorder="1">
      <alignment horizontal="left" vertical="center"/>
    </xf>
    <xf numFmtId="0" fontId="51"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2"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13" fillId="6" borderId="0" xfId="30">
      <alignment horizontal="center" vertical="center"/>
      <protection locked="0"/>
    </xf>
    <xf numFmtId="0" fontId="53" fillId="15" borderId="2" xfId="66">
      <alignment horizontal="center" vertical="center"/>
    </xf>
    <xf numFmtId="0" fontId="54"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37" fillId="0" borderId="0" xfId="0" applyFont="1" applyAlignment="1">
      <alignment wrapText="1"/>
    </xf>
    <xf numFmtId="0" fontId="57"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58" fillId="0" borderId="0" xfId="69"/>
    <xf numFmtId="4" fontId="35" fillId="4" borderId="2" xfId="49">
      <alignment horizontal="center" vertical="center"/>
    </xf>
    <xf numFmtId="170" fontId="8" fillId="4" borderId="0" xfId="10" applyNumberFormat="1">
      <alignment horizontal="center" vertical="center"/>
    </xf>
    <xf numFmtId="0" fontId="59"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0" fillId="0" borderId="0" xfId="7" applyFont="1" applyFill="1" applyAlignment="1">
      <alignment horizontal="center" vertical="center"/>
    </xf>
    <xf numFmtId="9" fontId="0" fillId="0" borderId="0" xfId="17" applyFont="1" applyBorder="1">
      <alignment horizontal="center" vertical="center"/>
    </xf>
    <xf numFmtId="0" fontId="60" fillId="0" borderId="0" xfId="0" applyFont="1" applyAlignment="1">
      <alignment vertical="center" wrapText="1"/>
    </xf>
    <xf numFmtId="0" fontId="61" fillId="0" borderId="0" xfId="0" applyFont="1" applyAlignment="1">
      <alignment horizontal="left" vertical="center"/>
    </xf>
    <xf numFmtId="0" fontId="60" fillId="0" borderId="0" xfId="0" applyFont="1" applyAlignment="1">
      <alignment vertical="center"/>
    </xf>
    <xf numFmtId="0" fontId="60" fillId="0" borderId="0" xfId="0" applyFont="1" applyAlignment="1">
      <alignment horizontal="left" vertical="center"/>
    </xf>
    <xf numFmtId="0" fontId="60" fillId="4" borderId="0" xfId="0" applyFont="1" applyFill="1" applyAlignment="1">
      <alignment horizontal="left" vertical="center"/>
    </xf>
    <xf numFmtId="0" fontId="0" fillId="0" borderId="0" xfId="0" applyAlignment="1">
      <alignment horizontal="left" vertical="center"/>
    </xf>
    <xf numFmtId="0" fontId="41" fillId="4" borderId="0" xfId="8" applyFont="1" applyAlignment="1">
      <alignment horizontal="right" vertical="center"/>
    </xf>
    <xf numFmtId="0" fontId="62" fillId="4" borderId="0" xfId="0" applyFont="1" applyFill="1"/>
    <xf numFmtId="0" fontId="60" fillId="0" borderId="0" xfId="0" applyFont="1"/>
    <xf numFmtId="0" fontId="60" fillId="0" borderId="0" xfId="7" applyFont="1" applyFill="1">
      <alignment horizontal="left" vertical="center"/>
    </xf>
    <xf numFmtId="0" fontId="60" fillId="4" borderId="0" xfId="0" applyFont="1" applyFill="1"/>
    <xf numFmtId="0" fontId="60" fillId="4" borderId="0" xfId="7" applyFont="1">
      <alignment horizontal="left" vertical="center"/>
    </xf>
    <xf numFmtId="0" fontId="0" fillId="0" borderId="0" xfId="8" applyFont="1" applyFill="1" applyBorder="1">
      <alignment horizontal="left" vertical="center"/>
    </xf>
    <xf numFmtId="0" fontId="39" fillId="4" borderId="0" xfId="51" applyAlignment="1">
      <alignment horizontal="left" vertical="center"/>
    </xf>
    <xf numFmtId="0" fontId="34" fillId="4" borderId="0" xfId="53">
      <alignment horizontal="left" vertical="center"/>
    </xf>
    <xf numFmtId="4" fontId="35" fillId="4" borderId="20" xfId="49" applyBorder="1">
      <alignment horizontal="center" vertical="center"/>
    </xf>
    <xf numFmtId="0" fontId="3" fillId="4" borderId="1" xfId="7" applyBorder="1">
      <alignment horizontal="left" vertical="center"/>
    </xf>
    <xf numFmtId="0" fontId="39" fillId="4" borderId="1" xfId="51" applyBorder="1" applyAlignment="1">
      <alignment horizontal="left" vertical="center"/>
    </xf>
    <xf numFmtId="4" fontId="35" fillId="4" borderId="21" xfId="49" applyBorder="1">
      <alignment horizontal="center" vertical="center"/>
    </xf>
    <xf numFmtId="0" fontId="63" fillId="4" borderId="21" xfId="55" applyFont="1" applyBorder="1">
      <alignment horizontal="center" vertical="center"/>
    </xf>
    <xf numFmtId="0" fontId="3" fillId="4" borderId="19" xfId="7" applyBorder="1">
      <alignment horizontal="left" vertical="center"/>
    </xf>
    <xf numFmtId="165" fontId="37" fillId="4" borderId="19" xfId="0" applyNumberFormat="1" applyFont="1" applyFill="1" applyBorder="1"/>
    <xf numFmtId="0" fontId="6" fillId="4" borderId="19" xfId="12" applyBorder="1">
      <alignment horizontal="left" vertical="center" indent="1"/>
    </xf>
    <xf numFmtId="165" fontId="37" fillId="4" borderId="0" xfId="0" applyNumberFormat="1" applyFont="1" applyFill="1" applyAlignment="1">
      <alignment vertical="center"/>
    </xf>
    <xf numFmtId="165" fontId="37" fillId="4" borderId="19" xfId="0" applyNumberFormat="1" applyFont="1" applyFill="1" applyBorder="1" applyAlignment="1">
      <alignment vertical="center"/>
    </xf>
    <xf numFmtId="0" fontId="37" fillId="4" borderId="0" xfId="0" applyFont="1" applyFill="1" applyAlignment="1">
      <alignment vertical="center"/>
    </xf>
    <xf numFmtId="165" fontId="64" fillId="4" borderId="19" xfId="0" applyNumberFormat="1" applyFont="1" applyFill="1" applyBorder="1" applyAlignment="1">
      <alignment vertical="center"/>
    </xf>
    <xf numFmtId="0" fontId="61" fillId="0" borderId="0" xfId="0" applyFont="1" applyFill="1" applyAlignment="1">
      <alignment horizontal="left" vertical="center"/>
    </xf>
    <xf numFmtId="0" fontId="61" fillId="0" borderId="0" xfId="8" applyFont="1" applyFill="1" applyAlignment="1">
      <alignment horizontal="left" vertical="center"/>
    </xf>
    <xf numFmtId="0" fontId="35" fillId="4" borderId="20" xfId="55" applyBorder="1">
      <alignment horizontal="center" vertical="center"/>
    </xf>
    <xf numFmtId="0" fontId="35" fillId="4" borderId="22" xfId="55" applyFont="1" applyBorder="1">
      <alignment horizontal="center" vertical="center"/>
    </xf>
    <xf numFmtId="0" fontId="35" fillId="4" borderId="21" xfId="55" applyBorder="1">
      <alignment horizontal="center" vertical="center"/>
    </xf>
    <xf numFmtId="4" fontId="35" fillId="4" borderId="22" xfId="49" applyBorder="1">
      <alignment horizontal="center" vertical="center"/>
    </xf>
    <xf numFmtId="169" fontId="37" fillId="4" borderId="0" xfId="0" applyNumberFormat="1" applyFont="1" applyFill="1" applyAlignment="1">
      <alignment vertical="center"/>
    </xf>
    <xf numFmtId="169" fontId="35" fillId="4" borderId="2" xfId="49" applyNumberFormat="1">
      <alignment horizontal="center" vertical="center"/>
    </xf>
    <xf numFmtId="177" fontId="63" fillId="4" borderId="2" xfId="55" applyNumberFormat="1" applyFont="1">
      <alignment horizontal="center" vertical="center"/>
    </xf>
    <xf numFmtId="177" fontId="63" fillId="4" borderId="20" xfId="55" applyNumberFormat="1" applyFont="1" applyBorder="1">
      <alignment horizontal="center" vertical="center"/>
    </xf>
    <xf numFmtId="177" fontId="63" fillId="4" borderId="21" xfId="55" applyNumberFormat="1" applyFont="1" applyBorder="1">
      <alignment horizontal="center" vertical="center"/>
    </xf>
    <xf numFmtId="169" fontId="63" fillId="4" borderId="2" xfId="49" applyNumberFormat="1" applyFont="1">
      <alignment horizontal="center" vertical="center"/>
    </xf>
    <xf numFmtId="169" fontId="63" fillId="4" borderId="20" xfId="49" applyNumberFormat="1" applyFont="1" applyBorder="1">
      <alignment horizontal="center" vertical="center"/>
    </xf>
    <xf numFmtId="169" fontId="63" fillId="4" borderId="21" xfId="49" applyNumberFormat="1" applyFont="1" applyBorder="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3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32"/>
      <tableStyleElement type="headerRow" dxfId="131"/>
      <tableStyleElement type="totalRow" dxfId="130"/>
      <tableStyleElement type="firstColumn" dxfId="129"/>
      <tableStyleElement type="firstRowStripe" dxfId="128"/>
      <tableStyleElement type="secondRowStripe" dxfId="127"/>
    </tableStyle>
    <tableStyle name="Equation table" pivot="0" count="6" xr9:uid="{B247698E-E41D-4CCD-AA0A-C14817E9DE65}">
      <tableStyleElement type="wholeTable" dxfId="126"/>
      <tableStyleElement type="headerRow" dxfId="125"/>
      <tableStyleElement type="totalRow" dxfId="124"/>
      <tableStyleElement type="firstColumn" dxfId="123"/>
      <tableStyleElement type="firstRowStripe" dxfId="122"/>
      <tableStyleElement type="secondRowStripe" dxfId="12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8.1.1.1-2 Transport fuel'!D42">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Total scope 1 - Cars and light commercial vehicles</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8.1.1.1-2 Transport fuel'!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8.1.1.1-2 Transport fuel'!M18">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8.1.1.1-2 Transport fuel'!L31">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kL</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8.2.1.1-2 Stationary fuel'!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Emissions for each GHG from the stationary combustion of fuels</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8.2.1.1-2 Stationary fuel'!D39">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 </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REF!">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REF!">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REF!">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REF!">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REF!">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REF!">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REF!">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REF!">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REF!">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REF!">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2</xdr:col>
      <xdr:colOff>301902</xdr:colOff>
      <xdr:row>7</xdr:row>
      <xdr:rowOff>192157</xdr:rowOff>
    </xdr:from>
    <xdr:ext cx="3734164" cy="331501"/>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𝐸_𝑔=∑10_𝑡▒∑10_𝑞▒(𝑄_(𝑇𝑟𝑎𝑛𝑠,𝑡𝑞)×𝐸𝐶_(𝑇𝑟𝑎𝑛𝑠,𝑞)×𝐸𝐹_(𝑇𝑟𝑎𝑛𝑠,𝑞,1,𝑡𝑞𝑔)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301902</xdr:colOff>
      <xdr:row>7</xdr:row>
      <xdr:rowOff>192157</xdr:rowOff>
    </xdr:from>
    <xdr:ext cx="3734164" cy="331501"/>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𝐸_𝑔=∑10_𝑡▒∑10_𝑞▒(𝑄_(𝑇𝑟𝑎𝑛𝑠,𝑡𝑞)×𝐸𝐶_(𝑇𝑟𝑎𝑛𝑠,𝑞)×𝐸𝐹_(𝑇𝑟𝑎𝑛𝑠,𝑞,1,𝑡𝑞𝑔)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734164" cy="331501"/>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𝐸_𝑔=∑10_𝑡▒∑10_𝑞▒(𝑄_(𝑇𝑟𝑎𝑛𝑠,𝑡𝑞)×𝐸𝐶_(𝑇𝑟𝑎𝑛𝑠,𝑞)×𝐸𝐹_(𝑇𝑟𝑎𝑛𝑠,𝑞,1,𝑡𝑞𝑔)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Old\GAF2-Template-WIP-v30.xlsx" TargetMode="External"/><Relationship Id="rId1" Type="http://schemas.openxmlformats.org/officeDocument/2006/relationships/externalLinkPath" Target="Old/GAF2-Template-WIP-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0:I22" totalsRowDxfId="84" headerRowCellStyle="Input table column header">
  <autoFilter ref="D10:I2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9540E705-999C-466B-A6B4-24C60E9153AE}" name="Fuel use (select)" totalsRowFunction="average" totalsRowDxfId="83" dataCellStyle="Input select" totalsRowCellStyle="Input select"/>
    <tableColumn id="3" xr3:uid="{30909C53-73F3-46FE-93B7-F60E126CD84F}" name="Fuel type (select)" totalsRowDxfId="82" dataCellStyle="Input select" totalsRowCellStyle="Input select"/>
    <tableColumn id="4" xr3:uid="{9DFFE0DC-C289-47FB-8F0C-2D2F480EEE4C}" name="Amount purchased" totalsRowDxfId="81" totalsRowCellStyle="Content bold"/>
    <tableColumn id="6" xr3:uid="{29AE264C-132E-48F6-8BA3-262EAF9E4687}" name="Amount unit" totalsRowFunction="custom" totalsRowDxfId="80" dataCellStyle="Input number general calculated" totalsRowCellStyle="Input text calculated">
      <calculatedColumnFormula array="1">Common_InputFunctions.Utility_LookupValueInTable(Table_Input_Fuel[[#This Row],[Fuel type (select)]],[1]!Table_FuelTypes_Units[Fuel type], [1]!Table_FuelTypes_Units[Unit])</calculatedColumnFormula>
      <totalsRowFormula array="1">InputFunctions_Fuel.Fuel_GetFuelAttribute(Table_Input_Fuel[[#This Row],[Fuel type (select)]],[1]!Table_FuelTypes_Units[Fuel type], [1]!Table_FuelTypes_Units[Unit])</totalsRowFormula>
    </tableColumn>
    <tableColumn id="5" xr3:uid="{B9F0EEB0-BF4E-4AB9-8B4B-25BBC232DE33}" name="Percent consumed" totalsRowDxfId="79" totalsRowCellStyle="Input percent">
      <calculatedColumnFormula>1</calculatedColumnFormula>
    </tableColumn>
    <tableColumn id="1" xr3:uid="{AE1D2D8C-400E-46F5-850E-2BBEDF1657F8}" name="Amount consumed" totalsRowFunction="custom" totalsRowDxfId="78"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77" dataDxfId="7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75">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74">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73">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72">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71">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70">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69">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6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67" dataDxfId="6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65">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64">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63">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62">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61">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60">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59">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58">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5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J139" totalsRowShown="0" headerRowDxfId="56" dataDxfId="55">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2D4BA3-A3CE-460F-A250-E2A6690A9C59}" name="Generators" dataDxfId="54"/>
    <tableColumn id="2" xr3:uid="{6E069153-6950-4C63-9ADE-F4A2F0DF67AF}" name="Power standalone machinery or heating" dataDxfId="53"/>
    <tableColumn id="3" xr3:uid="{3917BF44-833D-42F1-B3B3-C62FEF76A321}" name="Aviation" dataDxfId="52"/>
    <tableColumn id="5" xr3:uid="{4F35E2A0-90CD-4AC1-B52F-870485779A73}" name="Cars and light commercial vehicles" dataDxfId="51"/>
    <tableColumn id="7" xr3:uid="{1651A844-7E2B-435C-A7B4-4B0FFD5577CE}" name="Off-road Agriculture and forestry equipment" dataDxfId="29" dataCellStyle="Content bold"/>
    <tableColumn id="8" xr3:uid="{FCED622E-3FDD-4E8D-B2D1-E4C99EF7323A}" name="Vessels" dataDxfId="28" dataCellStyle="Content bold"/>
    <tableColumn id="6" xr3:uid="{1E441AA6-3AB5-4373-8C13-AD2F41D6BA71}" name="General use" dataDxfId="50"/>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49" dataDxfId="4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47">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46">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45">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44">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43">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42">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4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40" totalsRowDxfId="39">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38">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Scope 3 Emission Factors for Natural Gas (kg CO2 - e / GJ) Metro" totalsRowDxfId="37">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Scope 3 Emission Factors for Natural Gas (kg CO2 - e / GJ) Non - Metro" totalsRowDxfId="3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E162" totalsRowShown="0">
  <autoFilter ref="D142:E162" xr:uid="{74386805-E5CF-44F9-982C-CBCADB323E30}">
    <filterColumn colId="0" hiddenButton="1"/>
    <filterColumn colId="1" hiddenButton="1"/>
  </autoFilter>
  <tableColumns count="2">
    <tableColumn id="1" xr3:uid="{792636F9-F5FE-469C-B560-C7E663FA77BA}" name="Fuel type"/>
    <tableColumn id="2" xr3:uid="{529B0AD7-20FC-4E42-A872-AF12092332B1}" name="Uni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3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10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10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10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10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10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10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8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8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7" t="e" vm="1">
        <v>#VALUE!</v>
      </c>
      <c r="C1" s="113" t="s">
        <v>126</v>
      </c>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row>
    <row r="2" spans="1:42" ht="20.100000000000001" customHeight="1" x14ac:dyDescent="0.25">
      <c r="A2" s="9"/>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5"/>
    </row>
    <row r="3" spans="1:42" ht="20.100000000000001" customHeight="1" x14ac:dyDescent="0.25">
      <c r="A3" s="17" t="str">
        <f>HYPERLINK("#'Home'!A1", "Home")</f>
        <v>Home</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row>
    <row r="4" spans="1:42" ht="20.100000000000001" customHeight="1" x14ac:dyDescent="0.25">
      <c r="A4" s="98" t="str">
        <f>HYPERLINK("#'Overview'!A1", "Overview")</f>
        <v>Overview</v>
      </c>
    </row>
    <row r="5" spans="1:42" ht="20.100000000000001" customHeight="1" x14ac:dyDescent="0.25">
      <c r="A5" s="17" t="str">
        <f>HYPERLINK("#'Results'!A1", "Results")</f>
        <v>Results</v>
      </c>
      <c r="D5" s="95" t="s">
        <v>128</v>
      </c>
      <c r="E5" s="80"/>
      <c r="F5" s="80"/>
      <c r="G5" s="80"/>
      <c r="H5" s="80"/>
      <c r="I5" s="80"/>
      <c r="J5" s="80"/>
      <c r="K5" s="80"/>
      <c r="L5" s="80"/>
      <c r="M5" s="80"/>
      <c r="N5" s="80"/>
      <c r="O5" s="76"/>
    </row>
    <row r="6" spans="1:42" ht="20.100000000000001" customHeight="1" x14ac:dyDescent="0.25">
      <c r="A6" s="16"/>
      <c r="D6" s="117" t="s">
        <v>129</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124</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57" t="e" vm="1">
        <v>#VALUE!</v>
      </c>
      <c r="C1" s="113" t="s">
        <v>127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98" t="str">
        <f>HYPERLINK("#'Results'!A1", "Results")</f>
        <v>Results</v>
      </c>
      <c r="C5" s="22"/>
      <c r="D5" s="26"/>
      <c r="E5" s="27"/>
      <c r="F5" s="27"/>
      <c r="G5" s="27"/>
      <c r="H5" s="24"/>
      <c r="I5" s="22"/>
      <c r="J5" s="22"/>
      <c r="K5" s="22"/>
    </row>
    <row r="6" spans="1:11" ht="20.100000000000001" customHeight="1" x14ac:dyDescent="0.25">
      <c r="A6" s="16"/>
      <c r="C6" s="22"/>
      <c r="D6" s="21" t="s">
        <v>123</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3" t="s">
        <v>80</v>
      </c>
      <c r="E8" s="93" t="s">
        <v>92</v>
      </c>
      <c r="F8" s="93" t="s">
        <v>93</v>
      </c>
      <c r="G8" s="93" t="s">
        <v>86</v>
      </c>
      <c r="H8" s="93" t="s">
        <v>94</v>
      </c>
      <c r="I8" s="93" t="s">
        <v>95</v>
      </c>
      <c r="J8" s="93" t="s">
        <v>87</v>
      </c>
      <c r="K8" s="22"/>
    </row>
    <row r="9" spans="1:11" ht="20.100000000000001" customHeight="1" x14ac:dyDescent="0.25">
      <c r="A9" s="17" t="str">
        <f>HYPERLINK("#'Input - Fertiliser'!A1", "Fertiliser")</f>
        <v>Fertiliser</v>
      </c>
      <c r="C9" s="22"/>
      <c r="D9" s="1" t="s">
        <v>117</v>
      </c>
      <c r="E9" s="112">
        <f>'8.1.1.1-2 Transport fuel'!$E$80</f>
        <v>0</v>
      </c>
      <c r="F9" s="112">
        <f>'8.1.1.1-2 Transport fuel'!$N$88</f>
        <v>0</v>
      </c>
      <c r="G9" s="50" t="s">
        <v>98</v>
      </c>
      <c r="H9" s="91">
        <f>'8.1.1.1-2 Transport fuel'!E85</f>
        <v>0</v>
      </c>
      <c r="I9" s="91">
        <f>'8.1.1.1-2 Transport fuel'!N93</f>
        <v>0</v>
      </c>
      <c r="J9" s="50" t="s">
        <v>90</v>
      </c>
      <c r="K9" s="22"/>
    </row>
    <row r="10" spans="1:11" ht="20.100000000000001" customHeight="1" x14ac:dyDescent="0.25">
      <c r="A10" s="17"/>
      <c r="C10" s="22"/>
      <c r="D10" s="1" t="s">
        <v>118</v>
      </c>
      <c r="E10" s="112">
        <f>'8.2.1.1-2 Stationary fuel'!$E$77</f>
        <v>0</v>
      </c>
      <c r="F10" s="112">
        <f>E10</f>
        <v>0</v>
      </c>
      <c r="G10" s="50" t="s">
        <v>116</v>
      </c>
      <c r="H10" s="91">
        <f>'8.2.1.1-2 Stationary fuel'!$E$77</f>
        <v>0</v>
      </c>
      <c r="I10" s="91">
        <f>H10</f>
        <v>0</v>
      </c>
      <c r="J10" s="50" t="s">
        <v>90</v>
      </c>
      <c r="K10" s="22"/>
    </row>
    <row r="11" spans="1:11" ht="20.100000000000001" customHeight="1" x14ac:dyDescent="0.25">
      <c r="A11" s="19" t="s">
        <v>69</v>
      </c>
      <c r="C11" s="22"/>
      <c r="D11" s="1" t="s">
        <v>119</v>
      </c>
      <c r="E11" s="112" t="e">
        <f>#REF!</f>
        <v>#REF!</v>
      </c>
      <c r="F11" s="112" t="e">
        <f>E11</f>
        <v>#REF!</v>
      </c>
      <c r="G11" s="50" t="s">
        <v>98</v>
      </c>
      <c r="H11" s="91" t="e">
        <f>#REF!</f>
        <v>#REF!</v>
      </c>
      <c r="I11" s="91" t="e">
        <f>H11</f>
        <v>#REF!</v>
      </c>
      <c r="J11" s="50" t="s">
        <v>90</v>
      </c>
      <c r="K11" s="22"/>
    </row>
    <row r="12" spans="1:11" ht="20.100000000000001" customHeight="1" x14ac:dyDescent="0.25">
      <c r="A12" s="17" t="str">
        <f>HYPERLINK("#'5.1.1.1-2 Inorganic Fert N2O'!A1", "5.1.1.1-2 Inorganic Fert N2O")</f>
        <v>5.1.1.1-2 Inorganic Fert N2O</v>
      </c>
      <c r="C12" s="22"/>
      <c r="D12" s="1" t="s">
        <v>120</v>
      </c>
      <c r="E12" s="112" t="e">
        <f>#REF!</f>
        <v>#REF!</v>
      </c>
      <c r="F12" s="112" t="e">
        <f>E12</f>
        <v>#REF!</v>
      </c>
      <c r="G12" s="50" t="s">
        <v>116</v>
      </c>
      <c r="H12" s="91" t="e">
        <f>#REF!</f>
        <v>#REF!</v>
      </c>
      <c r="I12" s="91" t="e">
        <f>H12</f>
        <v>#REF!</v>
      </c>
      <c r="J12" s="50" t="s">
        <v>90</v>
      </c>
      <c r="K12" s="22"/>
    </row>
    <row r="13" spans="1:11" ht="20.100000000000001" customHeight="1" x14ac:dyDescent="0.25">
      <c r="A13" s="17" t="str">
        <f>HYPERLINK("#'5.1.1.3-4 Inorganic fert CO2'!A1", "5.1.1.3-4 Inorganic fert CO2")</f>
        <v>5.1.1.3-4 Inorganic fert CO2</v>
      </c>
      <c r="C13" s="22"/>
      <c r="D13" s="1" t="s">
        <v>121</v>
      </c>
      <c r="E13" s="112" t="e">
        <f>#REF!</f>
        <v>#REF!</v>
      </c>
      <c r="F13" s="112" t="e">
        <f>E13</f>
        <v>#REF!</v>
      </c>
      <c r="G13" s="50" t="s">
        <v>98</v>
      </c>
      <c r="H13" s="91" t="e">
        <f>#REF!</f>
        <v>#REF!</v>
      </c>
      <c r="I13" s="91" t="e">
        <f>H13</f>
        <v>#REF!</v>
      </c>
      <c r="J13" s="50" t="s">
        <v>90</v>
      </c>
      <c r="K13" s="22"/>
    </row>
    <row r="14" spans="1:11" ht="20.100000000000001" customHeight="1" x14ac:dyDescent="0.25">
      <c r="A14" s="17" t="str">
        <f>HYPERLINK("#'5.2.1.1-2 Organic Fert N2O'!A1", "5.2.1.1-2 Organic Fert N2O")</f>
        <v>5.2.1.1-2 Organic Fert N2O</v>
      </c>
      <c r="C14" s="22"/>
      <c r="D14" s="1" t="s">
        <v>122</v>
      </c>
      <c r="E14" s="112" t="e">
        <f>#REF!</f>
        <v>#REF!</v>
      </c>
      <c r="F14" s="112" t="e">
        <f>E14</f>
        <v>#REF!</v>
      </c>
      <c r="G14" s="50" t="s">
        <v>98</v>
      </c>
      <c r="H14" s="91" t="e">
        <f>#REF!</f>
        <v>#REF!</v>
      </c>
      <c r="I14" s="91" t="e">
        <f>H14</f>
        <v>#REF!</v>
      </c>
      <c r="J14" s="50" t="s">
        <v>90</v>
      </c>
      <c r="K14" s="22"/>
    </row>
    <row r="15" spans="1:11" ht="20.100000000000001" customHeight="1" x14ac:dyDescent="0.3">
      <c r="A15" s="17" t="str">
        <f>HYPERLINK("#'5.3.1.1-2 Lime CO2'!A1", "5.3.1.1-2 Lime CO2")</f>
        <v>5.3.1.1-2 Lime CO2</v>
      </c>
      <c r="C15" s="22"/>
      <c r="D15" s="29" t="s">
        <v>85</v>
      </c>
      <c r="E15" s="23"/>
      <c r="F15" s="23"/>
      <c r="G15" s="29"/>
      <c r="H15" s="92" t="e">
        <f>SUM(H9:H14)</f>
        <v>#REF!</v>
      </c>
      <c r="I15" s="92" t="e">
        <f>SUM(I9:I14)</f>
        <v>#REF!</v>
      </c>
      <c r="J15" s="88" t="s">
        <v>90</v>
      </c>
      <c r="K15" s="22"/>
    </row>
    <row r="16" spans="1:11" ht="20.100000000000001" customHeight="1" x14ac:dyDescent="0.25">
      <c r="A16" s="17" t="str">
        <f>HYPERLINK("#'5.4.1.1-4 Atmos deposition'!A1", "5.4.1.1-4 Atmos deposition")</f>
        <v>5.4.1.1-4 Atmos deposition</v>
      </c>
      <c r="C16" s="22"/>
      <c r="D16" s="89"/>
      <c r="E16" s="89"/>
      <c r="F16" s="89"/>
      <c r="G16" s="89"/>
      <c r="H16" s="89"/>
      <c r="I16" s="89"/>
      <c r="J16" s="89"/>
      <c r="K16" s="22"/>
    </row>
    <row r="17" spans="1:11" ht="20.100000000000001" customHeight="1" x14ac:dyDescent="0.25">
      <c r="A17" s="17" t="str">
        <f>HYPERLINK("#'5.5.1.1-2 Leaching and runoff'!A1", "5.5.1.1-2 Leaching and runoff")</f>
        <v>5.5.1.1-2 Leaching and runoff</v>
      </c>
      <c r="C17" s="22"/>
      <c r="D17" s="89"/>
      <c r="E17" s="1"/>
      <c r="F17" s="1"/>
      <c r="G17" s="1"/>
      <c r="H17" s="1"/>
      <c r="I17" s="1"/>
      <c r="J17" s="22"/>
      <c r="K17" s="22"/>
    </row>
    <row r="18" spans="1:11" ht="20.100000000000001" customHeight="1" x14ac:dyDescent="0.25">
      <c r="C18" s="22"/>
      <c r="D18" s="96"/>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94"/>
      <c r="F21" s="50"/>
      <c r="G21" s="1"/>
      <c r="H21" s="1"/>
      <c r="I21" s="22"/>
      <c r="J21" s="22"/>
      <c r="K21" s="22"/>
    </row>
    <row r="22" spans="1:11" ht="20.100000000000001" customHeight="1" x14ac:dyDescent="0.25">
      <c r="C22" s="22"/>
      <c r="D22" s="1"/>
      <c r="E22" s="94"/>
      <c r="F22" s="50"/>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0"/>
      <c r="J38" s="90"/>
      <c r="K38" s="22"/>
    </row>
    <row r="39" spans="3:11" ht="20.100000000000001" customHeight="1" x14ac:dyDescent="0.25">
      <c r="C39" s="22"/>
      <c r="D39" s="1"/>
      <c r="E39" s="1"/>
      <c r="F39" s="1"/>
      <c r="G39" s="1"/>
      <c r="H39" s="1"/>
      <c r="I39" s="90"/>
      <c r="J39" s="90"/>
      <c r="K39" s="22"/>
    </row>
    <row r="40" spans="3:11" ht="20.100000000000001" customHeight="1" x14ac:dyDescent="0.25">
      <c r="C40" s="22"/>
      <c r="D40" s="1"/>
      <c r="E40" s="1"/>
      <c r="F40" s="1"/>
      <c r="G40" s="1"/>
      <c r="H40" s="1"/>
      <c r="I40" s="90"/>
      <c r="J40" s="90"/>
      <c r="K40" s="22"/>
    </row>
    <row r="41" spans="3:11" ht="20.100000000000001" customHeight="1" x14ac:dyDescent="0.25">
      <c r="C41" s="22"/>
      <c r="D41" s="1"/>
      <c r="E41" s="1"/>
      <c r="F41" s="1"/>
      <c r="G41" s="1"/>
      <c r="H41" s="1"/>
      <c r="I41" s="90"/>
      <c r="J41" s="90"/>
      <c r="K41" s="22"/>
    </row>
    <row r="42" spans="3:11" ht="20.100000000000001" customHeight="1" x14ac:dyDescent="0.25">
      <c r="C42" s="22"/>
      <c r="D42" s="1"/>
      <c r="E42" s="1"/>
      <c r="F42" s="1"/>
      <c r="G42" s="1"/>
      <c r="H42" s="1"/>
      <c r="I42" s="90"/>
      <c r="J42" s="90"/>
      <c r="K42" s="22"/>
    </row>
    <row r="43" spans="3:11" ht="20.100000000000001" customHeight="1" x14ac:dyDescent="0.25">
      <c r="C43" s="22"/>
      <c r="D43" s="1"/>
      <c r="E43" s="1"/>
      <c r="F43" s="1"/>
      <c r="G43" s="1"/>
      <c r="H43" s="1"/>
      <c r="I43" s="90"/>
      <c r="J43" s="90"/>
      <c r="K43" s="22"/>
    </row>
    <row r="44" spans="3:11" ht="20.100000000000001" customHeight="1" x14ac:dyDescent="0.25">
      <c r="C44" s="22"/>
      <c r="D44" s="1"/>
      <c r="E44" s="1"/>
      <c r="F44" s="1"/>
      <c r="G44" s="1"/>
      <c r="H44" s="1"/>
      <c r="I44" s="90"/>
      <c r="J44" s="90"/>
      <c r="K44" s="22"/>
    </row>
    <row r="45" spans="3:11" ht="20.100000000000001" customHeight="1" x14ac:dyDescent="0.25">
      <c r="C45" s="22"/>
      <c r="D45" s="1"/>
      <c r="E45" s="1"/>
      <c r="F45" s="1"/>
      <c r="G45" s="1"/>
      <c r="H45" s="1"/>
      <c r="I45" s="90"/>
      <c r="J45" s="90"/>
      <c r="K45" s="22"/>
    </row>
    <row r="46" spans="3:11" ht="20.100000000000001" customHeight="1" x14ac:dyDescent="0.25">
      <c r="C46" s="22"/>
      <c r="D46" s="1"/>
      <c r="E46" s="1"/>
      <c r="F46" s="1"/>
      <c r="G46" s="1"/>
      <c r="H46" s="1"/>
      <c r="I46" s="90"/>
      <c r="J46" s="90"/>
      <c r="K46" s="22"/>
    </row>
    <row r="47" spans="3:11" ht="20.100000000000001" customHeight="1" x14ac:dyDescent="0.25">
      <c r="C47" s="22"/>
      <c r="D47" s="1"/>
      <c r="E47" s="1"/>
      <c r="F47" s="1"/>
      <c r="G47" s="1"/>
      <c r="H47" s="1"/>
      <c r="I47" s="90"/>
      <c r="J47" s="90"/>
      <c r="K47" s="22"/>
    </row>
    <row r="48" spans="3:11" ht="20.100000000000001" customHeight="1" x14ac:dyDescent="0.25">
      <c r="C48" s="22"/>
      <c r="D48" s="1"/>
      <c r="E48" s="1"/>
      <c r="F48" s="1"/>
      <c r="G48" s="1"/>
      <c r="H48" s="1"/>
      <c r="I48" s="90"/>
      <c r="J48" s="90"/>
      <c r="K48" s="22"/>
    </row>
    <row r="49" spans="3:11" ht="20.100000000000001" customHeight="1" x14ac:dyDescent="0.25">
      <c r="C49" s="22"/>
      <c r="D49" s="1"/>
      <c r="E49" s="1"/>
      <c r="F49" s="1"/>
      <c r="G49" s="1"/>
      <c r="H49" s="90"/>
      <c r="I49" s="90"/>
      <c r="J49" s="90"/>
      <c r="K49" s="22"/>
    </row>
    <row r="50" spans="3:11" ht="20.100000000000001" customHeight="1" x14ac:dyDescent="0.25">
      <c r="C50" s="22"/>
      <c r="D50" s="1"/>
      <c r="E50" s="1"/>
      <c r="F50" s="1"/>
      <c r="G50" s="1"/>
      <c r="H50" s="90"/>
      <c r="I50" s="90"/>
      <c r="J50" s="90"/>
      <c r="K50" s="22"/>
    </row>
    <row r="51" spans="3:11" ht="20.100000000000001" customHeight="1" x14ac:dyDescent="0.25">
      <c r="C51" s="22"/>
      <c r="D51" s="1"/>
      <c r="E51" s="1"/>
      <c r="F51" s="1"/>
      <c r="G51" s="1"/>
      <c r="H51" s="90"/>
      <c r="I51" s="90"/>
      <c r="J51" s="90"/>
      <c r="K51" s="22"/>
    </row>
    <row r="52" spans="3:11" ht="20.100000000000001" customHeight="1" x14ac:dyDescent="0.25">
      <c r="C52" s="22"/>
      <c r="D52" s="1"/>
      <c r="E52" s="1"/>
      <c r="F52" s="1"/>
      <c r="G52" s="1"/>
      <c r="H52" s="90"/>
      <c r="I52" s="90"/>
      <c r="J52" s="90"/>
      <c r="K52" s="22"/>
    </row>
    <row r="53" spans="3:11" ht="20.100000000000001" customHeight="1" x14ac:dyDescent="0.25">
      <c r="C53" s="22"/>
      <c r="D53" s="1"/>
      <c r="E53" s="1"/>
      <c r="F53" s="1"/>
      <c r="G53" s="1"/>
      <c r="H53" s="90"/>
      <c r="I53" s="90"/>
      <c r="J53" s="90"/>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7"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8"/>
      <c r="D4" s="58"/>
      <c r="E4" s="58"/>
      <c r="F4" s="58"/>
      <c r="G4" s="58"/>
      <c r="H4" s="58"/>
      <c r="I4" s="58"/>
      <c r="J4" s="58"/>
      <c r="K4" s="5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97"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3" t="s">
        <v>71</v>
      </c>
      <c r="E10" s="81"/>
      <c r="F10" s="84"/>
      <c r="G10" s="78"/>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55">
        <v>45292</v>
      </c>
      <c r="F12" s="2" t="s">
        <v>65</v>
      </c>
    </row>
    <row r="13" spans="1:24" ht="20.100000000000001" customHeight="1" x14ac:dyDescent="0.25">
      <c r="A13" s="17" t="str">
        <f>HYPERLINK("#'5.1.1.3-4 Inorganic fert CO2'!A1", "5.1.1.3-4 Inorganic fert CO2")</f>
        <v>5.1.1.3-4 Inorganic fert CO2</v>
      </c>
      <c r="D13" s="10" t="s">
        <v>78</v>
      </c>
      <c r="E13" s="59">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85" t="s">
        <v>14</v>
      </c>
      <c r="E18" s="80"/>
      <c r="F18" s="80"/>
      <c r="G18" s="76"/>
    </row>
    <row r="19" spans="1:25" ht="20.100000000000001" customHeight="1" x14ac:dyDescent="0.25">
      <c r="A19" s="18" t="s">
        <v>2</v>
      </c>
      <c r="D19" s="82" t="s">
        <v>66</v>
      </c>
      <c r="E19" s="79"/>
      <c r="F19" s="79"/>
      <c r="G19" s="77"/>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97</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48">
        <f>E26/E27</f>
        <v>0.45173453996983409</v>
      </c>
      <c r="F29" s="2"/>
    </row>
    <row r="30" spans="1:25" ht="20.100000000000001" customHeight="1" x14ac:dyDescent="0.25">
      <c r="A30"/>
      <c r="D30" s="10" t="s">
        <v>31</v>
      </c>
      <c r="E30" s="48" t="str">
        <f>Common_InputFunctions.Utility_LookupItemFromMinMax(E26,Table_SourceData_RainfallZones[Min rainfall],Table_SourceData_RainfallZones[Max rainfall],Table_SourceData_RainfallZones[Rainfall Zone])</f>
        <v>Low rainfall</v>
      </c>
      <c r="G30" s="32"/>
      <c r="L30" s="45"/>
      <c r="M30" s="45"/>
      <c r="N30" s="45"/>
      <c r="O30" s="45"/>
      <c r="P30" s="45"/>
      <c r="Q30" s="45"/>
      <c r="R30" s="45"/>
      <c r="S30" s="45"/>
      <c r="T30" s="45"/>
      <c r="U30" s="45"/>
      <c r="V30" s="45"/>
      <c r="W30" s="45"/>
      <c r="X30" s="45"/>
      <c r="Y30" s="45"/>
    </row>
    <row r="31" spans="1:25" ht="20.100000000000001" customHeight="1" x14ac:dyDescent="0.25">
      <c r="A31"/>
      <c r="D31" s="1" t="s">
        <v>8</v>
      </c>
      <c r="E31" s="48"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4"/>
      <c r="M31" s="44"/>
      <c r="N31" s="44"/>
      <c r="O31" s="44"/>
      <c r="P31" s="44"/>
      <c r="Q31" s="44"/>
      <c r="R31" s="44"/>
      <c r="S31" s="44"/>
      <c r="T31" s="44"/>
      <c r="U31" s="44"/>
      <c r="V31" s="44"/>
      <c r="W31" s="44"/>
      <c r="X31" s="44"/>
      <c r="Y31" s="44"/>
    </row>
    <row r="32" spans="1:25" ht="20.100000000000001" customHeight="1" x14ac:dyDescent="0.25">
      <c r="A32"/>
      <c r="D32" s="1" t="s">
        <v>73</v>
      </c>
      <c r="E32" s="48" t="str">
        <f>Common_InputFunctions.Utility_LookupValueInTable($E$31,Table_SourceData_WetDryZones[Climate zone],Table_SourceData_WetDryZones[Wet or Dry Zone])</f>
        <v>Dry climate zone</v>
      </c>
      <c r="F32" s="1"/>
      <c r="G32" s="31"/>
      <c r="L32" s="44"/>
      <c r="M32" s="44"/>
      <c r="N32" s="44"/>
      <c r="O32" s="44"/>
      <c r="P32" s="44"/>
      <c r="Q32" s="44"/>
      <c r="R32" s="44"/>
      <c r="S32" s="44"/>
      <c r="T32" s="44"/>
      <c r="U32" s="44"/>
      <c r="V32" s="44"/>
      <c r="W32" s="44"/>
      <c r="X32" s="44"/>
      <c r="Y32" s="44"/>
    </row>
    <row r="33" spans="1:25" ht="20.100000000000001" customHeight="1" x14ac:dyDescent="0.25">
      <c r="A33"/>
      <c r="D33" s="1" t="s">
        <v>48</v>
      </c>
      <c r="E33" s="48" t="str">
        <f>Common_InputFunctions.Utility_LookupItemFromMinMax(E25,Table_SourceData_TemperatureZones[Min MAT],Table_SourceData_TemperatureZones[Max MAT],Table_SourceData_TemperatureZones[Temperature Zone])</f>
        <v>Temperate</v>
      </c>
      <c r="G33" s="60"/>
      <c r="L33" s="44"/>
      <c r="M33" s="44"/>
      <c r="N33" s="44"/>
      <c r="O33" s="44"/>
      <c r="P33" s="44"/>
      <c r="Q33" s="44"/>
      <c r="R33" s="44"/>
      <c r="S33" s="44"/>
      <c r="T33" s="44"/>
      <c r="U33" s="44"/>
      <c r="V33" s="44"/>
      <c r="W33" s="44"/>
      <c r="X33" s="44"/>
      <c r="Y33" s="44"/>
    </row>
    <row r="34" spans="1:25" ht="20.100000000000001" customHeight="1" x14ac:dyDescent="0.25">
      <c r="A34"/>
      <c r="J34" s="53"/>
      <c r="K34" s="63"/>
      <c r="L34" s="44"/>
      <c r="M34" s="44"/>
      <c r="N34" s="44"/>
      <c r="O34" s="44"/>
      <c r="P34" s="44"/>
      <c r="Q34" s="44"/>
      <c r="R34" s="44"/>
      <c r="S34" s="44"/>
      <c r="T34" s="44"/>
      <c r="U34" s="44"/>
      <c r="V34" s="44"/>
      <c r="W34" s="44"/>
      <c r="X34" s="44"/>
      <c r="Y34" s="44"/>
    </row>
    <row r="35" spans="1:25" ht="20.100000000000001" customHeight="1" x14ac:dyDescent="0.25">
      <c r="A35"/>
      <c r="J35" s="53"/>
      <c r="K35" s="63"/>
      <c r="L35" s="44"/>
      <c r="M35" s="44"/>
      <c r="N35" s="44"/>
      <c r="O35" s="44"/>
      <c r="P35" s="44"/>
      <c r="Q35" s="44"/>
      <c r="R35" s="44"/>
      <c r="S35" s="44"/>
      <c r="T35" s="44"/>
      <c r="U35" s="44"/>
      <c r="V35" s="44"/>
      <c r="W35" s="44"/>
      <c r="X35" s="44"/>
      <c r="Y35" s="44"/>
    </row>
    <row r="36" spans="1:25" ht="20.100000000000001" customHeight="1" x14ac:dyDescent="0.25">
      <c r="A36"/>
      <c r="D36" s="61"/>
      <c r="E36" s="61"/>
      <c r="F36" s="62"/>
      <c r="G36" s="53"/>
      <c r="H36" s="53"/>
      <c r="I36" s="54"/>
      <c r="J36" s="53"/>
      <c r="K36" s="63"/>
      <c r="L36" s="44"/>
      <c r="M36" s="44"/>
      <c r="N36" s="44"/>
      <c r="O36" s="44"/>
      <c r="P36" s="44"/>
      <c r="Q36" s="44"/>
      <c r="R36" s="44"/>
      <c r="S36" s="44"/>
      <c r="T36" s="44"/>
      <c r="U36" s="44"/>
      <c r="V36" s="44"/>
      <c r="W36" s="44"/>
      <c r="X36" s="44"/>
      <c r="Y36" s="44"/>
    </row>
    <row r="37" spans="1:25" ht="20.100000000000001" customHeight="1" x14ac:dyDescent="0.25">
      <c r="A37"/>
      <c r="D37" s="61"/>
      <c r="E37" s="61"/>
      <c r="F37" s="62"/>
      <c r="G37" s="53"/>
      <c r="H37" s="53"/>
      <c r="I37" s="54"/>
      <c r="J37" s="53"/>
      <c r="K37" s="63"/>
      <c r="L37" s="44"/>
      <c r="M37" s="44"/>
      <c r="N37" s="44"/>
      <c r="O37" s="44"/>
      <c r="P37" s="44"/>
      <c r="Q37" s="44"/>
      <c r="R37" s="44"/>
      <c r="S37" s="44"/>
      <c r="T37" s="44"/>
      <c r="U37" s="44"/>
      <c r="V37" s="44"/>
      <c r="W37" s="44"/>
      <c r="X37" s="44"/>
      <c r="Y37" s="44"/>
    </row>
    <row r="38" spans="1:25" ht="20.100000000000001" customHeight="1" x14ac:dyDescent="0.25">
      <c r="A38"/>
      <c r="D38" s="61"/>
      <c r="E38" s="61"/>
      <c r="F38" s="62"/>
      <c r="G38" s="53"/>
      <c r="H38" s="53"/>
      <c r="I38" s="54"/>
      <c r="J38" s="53"/>
      <c r="K38" s="63"/>
      <c r="L38" s="44"/>
      <c r="M38" s="44"/>
      <c r="N38" s="44"/>
      <c r="O38" s="44"/>
      <c r="P38" s="44"/>
      <c r="Q38" s="44"/>
      <c r="R38" s="44"/>
      <c r="S38" s="44"/>
      <c r="T38" s="44"/>
      <c r="U38" s="44"/>
      <c r="V38" s="44"/>
      <c r="W38" s="44"/>
      <c r="X38" s="44"/>
      <c r="Y38" s="44"/>
    </row>
    <row r="39" spans="1:25" ht="20.100000000000001" customHeight="1" x14ac:dyDescent="0.25">
      <c r="A39"/>
      <c r="D39" s="61"/>
      <c r="E39" s="61"/>
      <c r="F39" s="62"/>
      <c r="G39" s="53"/>
      <c r="H39" s="53"/>
      <c r="I39" s="54"/>
      <c r="J39" s="53"/>
      <c r="K39" s="63"/>
      <c r="L39" s="44"/>
      <c r="M39" s="44"/>
      <c r="N39" s="44"/>
      <c r="O39" s="44"/>
      <c r="P39" s="44"/>
      <c r="Q39" s="44"/>
      <c r="R39" s="44"/>
      <c r="S39" s="44"/>
      <c r="T39" s="44"/>
      <c r="U39" s="44"/>
      <c r="V39" s="44"/>
      <c r="W39" s="44"/>
      <c r="X39" s="44"/>
      <c r="Y39" s="44"/>
    </row>
    <row r="40" spans="1:25" ht="20.100000000000001" customHeight="1" x14ac:dyDescent="0.25">
      <c r="A40"/>
      <c r="D40" s="64"/>
      <c r="E40" s="64"/>
      <c r="F40" s="64"/>
      <c r="G40" s="65"/>
      <c r="H40" s="66"/>
      <c r="I40" s="66"/>
      <c r="J40" s="66"/>
      <c r="K40" s="66"/>
      <c r="L40" s="46"/>
      <c r="M40" s="46"/>
      <c r="N40" s="46"/>
      <c r="O40" s="46"/>
      <c r="P40" s="46"/>
      <c r="Q40" s="46"/>
      <c r="R40" s="46"/>
      <c r="S40" s="46"/>
      <c r="T40" s="46"/>
      <c r="U40" s="46"/>
      <c r="V40" s="46"/>
      <c r="W40" s="46"/>
      <c r="X40" s="46"/>
      <c r="Y40" s="46"/>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2"/>
      <c r="E69" s="52"/>
      <c r="F69" s="52"/>
      <c r="G69" s="52"/>
      <c r="H69" s="52"/>
      <c r="I69" s="52"/>
    </row>
    <row r="70" spans="4:9" ht="20.100000000000001" customHeight="1" x14ac:dyDescent="0.25">
      <c r="D70" s="52"/>
      <c r="E70" s="52"/>
      <c r="F70" s="52"/>
      <c r="G70" s="52"/>
      <c r="H70" s="52"/>
      <c r="I70" s="52"/>
    </row>
    <row r="71" spans="4:9" ht="20.100000000000001" customHeight="1" x14ac:dyDescent="0.25">
      <c r="D71" s="52"/>
      <c r="E71" s="52"/>
      <c r="F71" s="52"/>
      <c r="G71" s="52"/>
      <c r="H71" s="52"/>
      <c r="I71" s="52"/>
    </row>
    <row r="72" spans="4:9" ht="20.100000000000001" customHeight="1" x14ac:dyDescent="0.25">
      <c r="D72" s="52"/>
      <c r="E72" s="52"/>
      <c r="F72" s="52"/>
      <c r="G72" s="52"/>
      <c r="H72" s="52"/>
      <c r="I72" s="5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J361"/>
  <sheetViews>
    <sheetView showGridLines="0" zoomScale="85" zoomScaleNormal="85" workbookViewId="0">
      <selection activeCell="E28" sqref="E28"/>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57" customFormat="1" ht="30" customHeight="1" x14ac:dyDescent="0.35">
      <c r="A1" s="57" t="e" vm="1">
        <v>#VALUE!</v>
      </c>
      <c r="C1" s="57" t="s">
        <v>130</v>
      </c>
    </row>
    <row r="2" spans="1:10" s="9" customFormat="1" ht="20.100000000000001" customHeight="1" x14ac:dyDescent="0.25"/>
    <row r="3" spans="1:10" ht="20.100000000000001" customHeight="1" x14ac:dyDescent="0.25">
      <c r="C3" s="15"/>
      <c r="D3" s="15"/>
      <c r="E3" s="15"/>
      <c r="F3" s="15"/>
      <c r="G3" s="15"/>
      <c r="H3" s="15"/>
      <c r="I3" s="15"/>
      <c r="J3" s="15"/>
    </row>
    <row r="4" spans="1:10" ht="20.100000000000001" customHeight="1" x14ac:dyDescent="0.25"/>
    <row r="5" spans="1:10" ht="20.100000000000001" customHeight="1" x14ac:dyDescent="0.25">
      <c r="D5" s="6" t="s">
        <v>152</v>
      </c>
      <c r="E5" s="3"/>
      <c r="F5" s="3"/>
      <c r="G5" s="3"/>
      <c r="H5" s="3"/>
    </row>
    <row r="6" spans="1:10" ht="20.100000000000001" customHeight="1" x14ac:dyDescent="0.25">
      <c r="D6" s="22"/>
      <c r="E6" s="22"/>
      <c r="F6" s="22"/>
      <c r="G6" s="22"/>
      <c r="H6" s="22"/>
      <c r="I6" s="22"/>
    </row>
    <row r="7" spans="1:10" ht="20.100000000000001" customHeight="1" x14ac:dyDescent="0.25">
      <c r="D7" s="95" t="s">
        <v>131</v>
      </c>
      <c r="E7" s="80"/>
      <c r="F7" s="80"/>
      <c r="G7" s="80"/>
      <c r="H7" s="76"/>
    </row>
    <row r="8" spans="1:10" ht="20.100000000000001" customHeight="1" x14ac:dyDescent="0.25">
      <c r="D8" s="82" t="s">
        <v>132</v>
      </c>
      <c r="E8" s="79"/>
      <c r="F8" s="79"/>
      <c r="G8" s="79"/>
      <c r="H8" s="77"/>
    </row>
    <row r="9" spans="1:10" ht="20.100000000000001" customHeight="1" x14ac:dyDescent="0.25">
      <c r="D9" s="22"/>
      <c r="E9" s="22"/>
      <c r="F9" s="22"/>
      <c r="G9" s="22"/>
      <c r="H9" s="22"/>
      <c r="I9" s="22"/>
    </row>
    <row r="10" spans="1:10" ht="20.100000000000001" customHeight="1" x14ac:dyDescent="0.25">
      <c r="D10" s="100" t="s">
        <v>133</v>
      </c>
      <c r="E10" s="100" t="s">
        <v>134</v>
      </c>
      <c r="F10" s="100" t="s">
        <v>135</v>
      </c>
      <c r="G10" s="100" t="s">
        <v>136</v>
      </c>
      <c r="H10" s="100" t="s">
        <v>137</v>
      </c>
      <c r="I10" s="100" t="s">
        <v>138</v>
      </c>
    </row>
    <row r="11" spans="1:10" ht="20.100000000000001" customHeight="1" x14ac:dyDescent="0.25">
      <c r="D11" s="39" t="s">
        <v>190</v>
      </c>
      <c r="E11" s="39" t="s">
        <v>142</v>
      </c>
      <c r="F11" s="120">
        <v>100</v>
      </c>
      <c r="G11" s="48" t="str" cm="1">
        <f t="array" ref="G11">Common_InputFunctions.Utility_LookupValueInTable(Table_Input_Fuel[[#This Row],[Fuel type (select)]],[1]!Table_FuelTypes_Units[Fuel type], [1]!Table_FuelTypes_Units[Unit])</f>
        <v>kL</v>
      </c>
      <c r="H11" s="121">
        <f>1</f>
        <v>1</v>
      </c>
      <c r="I11" s="48">
        <f>Table_Input_Fuel[[#This Row],[Amount purchased]]*Table_Input_Fuel[[#This Row],[Percent consumed]]*10^-3</f>
        <v>0.1</v>
      </c>
    </row>
    <row r="12" spans="1:10" ht="20.100000000000001" customHeight="1" x14ac:dyDescent="0.25">
      <c r="D12" s="39" t="s">
        <v>190</v>
      </c>
      <c r="E12" s="39" t="s">
        <v>149</v>
      </c>
      <c r="F12" s="120">
        <v>100</v>
      </c>
      <c r="G12" s="48" t="str" cm="1">
        <f t="array" ref="G12">Common_InputFunctions.Utility_LookupValueInTable(Table_Input_Fuel[[#This Row],[Fuel type (select)]],[1]!Table_FuelTypes_Units[Fuel type], [1]!Table_FuelTypes_Units[Unit])</f>
        <v>kL</v>
      </c>
      <c r="H12" s="121">
        <f>1</f>
        <v>1</v>
      </c>
      <c r="I12" s="48">
        <f>Table_Input_Fuel[[#This Row],[Amount purchased]]*Table_Input_Fuel[[#This Row],[Percent consumed]]*10^-3</f>
        <v>0.1</v>
      </c>
    </row>
    <row r="13" spans="1:10" ht="20.100000000000001" customHeight="1" x14ac:dyDescent="0.25">
      <c r="D13" s="39" t="s">
        <v>190</v>
      </c>
      <c r="E13" s="39" t="s">
        <v>171</v>
      </c>
      <c r="F13" s="120">
        <v>100</v>
      </c>
      <c r="G13" s="48" t="str" cm="1">
        <f t="array" ref="G13">Common_InputFunctions.Utility_LookupValueInTable(Table_Input_Fuel[[#This Row],[Fuel type (select)]],[1]!Table_FuelTypes_Units[Fuel type], [1]!Table_FuelTypes_Units[Unit])</f>
        <v>kL</v>
      </c>
      <c r="H13" s="121">
        <f>1</f>
        <v>1</v>
      </c>
      <c r="I13" s="48">
        <f>Table_Input_Fuel[[#This Row],[Amount purchased]]*Table_Input_Fuel[[#This Row],[Percent consumed]]*10^-3</f>
        <v>0.1</v>
      </c>
    </row>
    <row r="14" spans="1:10" ht="20.100000000000001" customHeight="1" x14ac:dyDescent="0.25">
      <c r="D14" s="39" t="s">
        <v>190</v>
      </c>
      <c r="E14" s="39" t="s">
        <v>140</v>
      </c>
      <c r="F14" s="120">
        <v>100</v>
      </c>
      <c r="G14" s="48" t="str" cm="1">
        <f t="array" ref="G14">Common_InputFunctions.Utility_LookupValueInTable(Table_Input_Fuel[[#This Row],[Fuel type (select)]],[1]!Table_FuelTypes_Units[Fuel type], [1]!Table_FuelTypes_Units[Unit])</f>
        <v>kL</v>
      </c>
      <c r="H14" s="121">
        <f>1</f>
        <v>1</v>
      </c>
      <c r="I14" s="48">
        <f>Table_Input_Fuel[[#This Row],[Amount purchased]]*Table_Input_Fuel[[#This Row],[Percent consumed]]*10^-3</f>
        <v>0.1</v>
      </c>
    </row>
    <row r="15" spans="1:10" ht="20.100000000000001" customHeight="1" x14ac:dyDescent="0.25">
      <c r="D15" s="39" t="s">
        <v>190</v>
      </c>
      <c r="E15" s="39" t="s">
        <v>172</v>
      </c>
      <c r="F15" s="120">
        <v>100</v>
      </c>
      <c r="G15" s="48" t="str" cm="1">
        <f t="array" ref="G15">Common_InputFunctions.Utility_LookupValueInTable(Table_Input_Fuel[[#This Row],[Fuel type (select)]],[1]!Table_FuelTypes_Units[Fuel type], [1]!Table_FuelTypes_Units[Unit])</f>
        <v>kL</v>
      </c>
      <c r="H15" s="121">
        <f>1</f>
        <v>1</v>
      </c>
      <c r="I15" s="48">
        <f>Table_Input_Fuel[[#This Row],[Amount purchased]]*Table_Input_Fuel[[#This Row],[Percent consumed]]*10^-3</f>
        <v>0.1</v>
      </c>
    </row>
    <row r="16" spans="1:10" ht="20.100000000000001" customHeight="1" x14ac:dyDescent="0.25">
      <c r="D16" s="39" t="s">
        <v>190</v>
      </c>
      <c r="E16" s="39" t="s">
        <v>171</v>
      </c>
      <c r="F16" s="120">
        <v>100</v>
      </c>
      <c r="G16" s="48" t="str" cm="1">
        <f t="array" ref="G16">Common_InputFunctions.Utility_LookupValueInTable(Table_Input_Fuel[[#This Row],[Fuel type (select)]],[1]!Table_FuelTypes_Units[Fuel type], [1]!Table_FuelTypes_Units[Unit])</f>
        <v>kL</v>
      </c>
      <c r="H16" s="121">
        <f>1</f>
        <v>1</v>
      </c>
      <c r="I16" s="48">
        <f>Table_Input_Fuel[[#This Row],[Amount purchased]]*Table_Input_Fuel[[#This Row],[Percent consumed]]*10^-3</f>
        <v>0.1</v>
      </c>
    </row>
    <row r="17" spans="1:9" ht="20.100000000000001" customHeight="1" x14ac:dyDescent="0.25">
      <c r="D17" s="39" t="s">
        <v>190</v>
      </c>
      <c r="E17" s="39" t="s">
        <v>150</v>
      </c>
      <c r="F17" s="120">
        <v>100</v>
      </c>
      <c r="G17" s="48" t="str" cm="1">
        <f t="array" ref="G17">Common_InputFunctions.Utility_LookupValueInTable(Table_Input_Fuel[[#This Row],[Fuel type (select)]],[1]!Table_FuelTypes_Units[Fuel type], [1]!Table_FuelTypes_Units[Unit])</f>
        <v>kL</v>
      </c>
      <c r="H17" s="121">
        <f>1</f>
        <v>1</v>
      </c>
      <c r="I17" s="48">
        <f>Table_Input_Fuel[[#This Row],[Amount purchased]]*Table_Input_Fuel[[#This Row],[Percent consumed]]*10^-3</f>
        <v>0.1</v>
      </c>
    </row>
    <row r="18" spans="1:9" ht="20.100000000000001" customHeight="1" x14ac:dyDescent="0.25">
      <c r="D18" s="39" t="s">
        <v>190</v>
      </c>
      <c r="E18" s="39" t="s">
        <v>142</v>
      </c>
      <c r="F18" s="120">
        <v>100</v>
      </c>
      <c r="G18" s="48" t="str" cm="1">
        <f t="array" ref="G18">Common_InputFunctions.Utility_LookupValueInTable(Table_Input_Fuel[[#This Row],[Fuel type (select)]],[1]!Table_FuelTypes_Units[Fuel type], [1]!Table_FuelTypes_Units[Unit])</f>
        <v>kL</v>
      </c>
      <c r="H18" s="121">
        <f>1</f>
        <v>1</v>
      </c>
      <c r="I18" s="48">
        <f>Table_Input_Fuel[[#This Row],[Amount purchased]]*Table_Input_Fuel[[#This Row],[Percent consumed]]*10^-3</f>
        <v>0.1</v>
      </c>
    </row>
    <row r="19" spans="1:9" ht="20.100000000000001" customHeight="1" x14ac:dyDescent="0.25">
      <c r="D19" s="39" t="s">
        <v>190</v>
      </c>
      <c r="E19" s="39" t="s">
        <v>142</v>
      </c>
      <c r="F19" s="120">
        <v>100</v>
      </c>
      <c r="G19" s="48" t="str" cm="1">
        <f t="array" ref="G19">Common_InputFunctions.Utility_LookupValueInTable(Table_Input_Fuel[[#This Row],[Fuel type (select)]],[1]!Table_FuelTypes_Units[Fuel type], [1]!Table_FuelTypes_Units[Unit])</f>
        <v>kL</v>
      </c>
      <c r="H19" s="121">
        <f>1</f>
        <v>1</v>
      </c>
      <c r="I19" s="48">
        <f>Table_Input_Fuel[[#This Row],[Amount purchased]]*Table_Input_Fuel[[#This Row],[Percent consumed]]*10^-3</f>
        <v>0.1</v>
      </c>
    </row>
    <row r="20" spans="1:9" ht="20.100000000000001" customHeight="1" x14ac:dyDescent="0.25">
      <c r="D20" s="39" t="s">
        <v>190</v>
      </c>
      <c r="E20" s="39" t="s">
        <v>173</v>
      </c>
      <c r="F20" s="120">
        <v>100</v>
      </c>
      <c r="G20" s="48" t="str" cm="1">
        <f t="array" ref="G20">Common_InputFunctions.Utility_LookupValueInTable(Table_Input_Fuel[[#This Row],[Fuel type (select)]],[1]!Table_FuelTypes_Units[Fuel type], [1]!Table_FuelTypes_Units[Unit])</f>
        <v>kL</v>
      </c>
      <c r="H20" s="121">
        <f>1</f>
        <v>1</v>
      </c>
      <c r="I20" s="48">
        <f>Table_Input_Fuel[[#This Row],[Amount purchased]]*Table_Input_Fuel[[#This Row],[Percent consumed]]*10^-3</f>
        <v>0.1</v>
      </c>
    </row>
    <row r="21" spans="1:9" ht="20.100000000000001" customHeight="1" x14ac:dyDescent="0.25">
      <c r="D21" s="39" t="s">
        <v>190</v>
      </c>
      <c r="E21" s="39" t="s">
        <v>143</v>
      </c>
      <c r="F21" s="120">
        <v>100</v>
      </c>
      <c r="G21" s="48" t="str" cm="1">
        <f t="array" ref="G21">Common_InputFunctions.Utility_LookupValueInTable(Table_Input_Fuel[[#This Row],[Fuel type (select)]],[1]!Table_FuelTypes_Units[Fuel type], [1]!Table_FuelTypes_Units[Unit])</f>
        <v>GJ</v>
      </c>
      <c r="H21" s="121">
        <f>1</f>
        <v>1</v>
      </c>
      <c r="I21" s="48">
        <f>Table_Input_Fuel[[#This Row],[Amount purchased]]*Table_Input_Fuel[[#This Row],[Percent consumed]]*10^-3</f>
        <v>0.1</v>
      </c>
    </row>
    <row r="22" spans="1:9" ht="20.100000000000001" customHeight="1" x14ac:dyDescent="0.25">
      <c r="D22" s="39" t="s">
        <v>190</v>
      </c>
      <c r="E22" s="39" t="s">
        <v>151</v>
      </c>
      <c r="F22" s="120">
        <v>100</v>
      </c>
      <c r="G22" s="48" t="str" cm="1">
        <f t="array" ref="G22">Common_InputFunctions.Utility_LookupValueInTable(Table_Input_Fuel[[#This Row],[Fuel type (select)]],[1]!Table_FuelTypes_Units[Fuel type], [1]!Table_FuelTypes_Units[Unit])</f>
        <v>GJ</v>
      </c>
      <c r="H22" s="121">
        <f>1</f>
        <v>1</v>
      </c>
      <c r="I22" s="48">
        <f>Table_Input_Fuel[[#This Row],[Amount purchased]]*Table_Input_Fuel[[#This Row],[Percent consumed]]*10^-3</f>
        <v>0.1</v>
      </c>
    </row>
    <row r="23" spans="1:9" ht="20.100000000000001" customHeight="1" x14ac:dyDescent="0.25"/>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7"/>
    </row>
    <row r="30" spans="1:9" ht="20.100000000000001" customHeight="1" x14ac:dyDescent="0.25">
      <c r="A30" s="17"/>
    </row>
    <row r="31" spans="1:9" ht="20.100000000000001" customHeight="1" x14ac:dyDescent="0.25">
      <c r="A31" s="56"/>
    </row>
    <row r="32" spans="1:9" ht="20.100000000000001" customHeight="1" x14ac:dyDescent="0.25">
      <c r="A32" s="56"/>
    </row>
    <row r="33" spans="1:10" ht="20.100000000000001" customHeight="1" x14ac:dyDescent="0.25">
      <c r="A33" s="17"/>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103"/>
      <c r="J38" s="103"/>
    </row>
    <row r="39" spans="1:10" ht="20.100000000000001" customHeight="1" x14ac:dyDescent="0.25">
      <c r="A39" s="17"/>
      <c r="C39" s="103"/>
      <c r="J39" s="103"/>
    </row>
    <row r="40" spans="1:10" s="104" customFormat="1" ht="20.100000000000001" customHeight="1" x14ac:dyDescent="0.25">
      <c r="C40" s="1"/>
      <c r="D40" s="1"/>
      <c r="E40" s="1"/>
      <c r="F40" s="1"/>
      <c r="G40" s="1"/>
      <c r="H40" s="1"/>
      <c r="I40" s="1"/>
      <c r="J40" s="1"/>
    </row>
    <row r="41" spans="1:10" s="104" customFormat="1" ht="20.100000000000001" customHeight="1" x14ac:dyDescent="0.25">
      <c r="A41" s="105"/>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110"/>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89"/>
    </row>
  </sheetData>
  <conditionalFormatting sqref="F47">
    <cfRule type="cellIs" dxfId="27" priority="62" operator="lessThan">
      <formula>0</formula>
    </cfRule>
  </conditionalFormatting>
  <conditionalFormatting sqref="F126:F127">
    <cfRule type="cellIs" dxfId="26" priority="21" operator="lessThan">
      <formula>0</formula>
    </cfRule>
  </conditionalFormatting>
  <conditionalFormatting sqref="F138:F139">
    <cfRule type="cellIs" dxfId="25" priority="20" operator="lessThan">
      <formula>0</formula>
    </cfRule>
  </conditionalFormatting>
  <conditionalFormatting sqref="F150:F151">
    <cfRule type="cellIs" dxfId="24" priority="19" operator="lessThan">
      <formula>0</formula>
    </cfRule>
  </conditionalFormatting>
  <conditionalFormatting sqref="F162:F163">
    <cfRule type="cellIs" dxfId="23" priority="18" operator="lessThan">
      <formula>0</formula>
    </cfRule>
  </conditionalFormatting>
  <conditionalFormatting sqref="F250:F251">
    <cfRule type="cellIs" dxfId="22" priority="93" operator="lessThan">
      <formula>0</formula>
    </cfRule>
  </conditionalFormatting>
  <conditionalFormatting sqref="F255:F256">
    <cfRule type="cellIs" dxfId="21" priority="92" operator="lessThan">
      <formula>0</formula>
    </cfRule>
  </conditionalFormatting>
  <conditionalFormatting sqref="F260:F261">
    <cfRule type="cellIs" dxfId="20" priority="91" operator="lessThan">
      <formula>0</formula>
    </cfRule>
  </conditionalFormatting>
  <conditionalFormatting sqref="F284:F285">
    <cfRule type="cellIs" dxfId="19" priority="85" operator="lessThan">
      <formula>0</formula>
    </cfRule>
  </conditionalFormatting>
  <conditionalFormatting sqref="F289:F290">
    <cfRule type="cellIs" dxfId="18" priority="84" operator="lessThan">
      <formula>0</formula>
    </cfRule>
  </conditionalFormatting>
  <conditionalFormatting sqref="F294:F295">
    <cfRule type="cellIs" dxfId="17" priority="83" operator="lessThan">
      <formula>0</formula>
    </cfRule>
  </conditionalFormatting>
  <conditionalFormatting sqref="I31 I33:I37 I41:I42 H43:H45 I46 I48:I50 I52:I53 I204 E210:G210 I210">
    <cfRule type="cellIs" dxfId="16" priority="79" operator="lessThan">
      <formula>0</formula>
    </cfRule>
  </conditionalFormatting>
  <conditionalFormatting sqref="I57:I61">
    <cfRule type="cellIs" dxfId="15" priority="5" operator="lessThan">
      <formula>0</formula>
    </cfRule>
  </conditionalFormatting>
  <conditionalFormatting sqref="I65 I124">
    <cfRule type="cellIs" dxfId="14" priority="74" operator="lessThan">
      <formula>0</formula>
    </cfRule>
  </conditionalFormatting>
  <conditionalFormatting sqref="I76:I78">
    <cfRule type="cellIs" dxfId="13" priority="4" operator="lessThan">
      <formula>0</formula>
    </cfRule>
  </conditionalFormatting>
  <conditionalFormatting sqref="I82:I85">
    <cfRule type="cellIs" dxfId="12" priority="3" operator="lessThan">
      <formula>0</formula>
    </cfRule>
  </conditionalFormatting>
  <conditionalFormatting sqref="I89:I93">
    <cfRule type="cellIs" dxfId="11" priority="1" operator="lessThan">
      <formula>0</formula>
    </cfRule>
  </conditionalFormatting>
  <dataValidations count="9">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H24:H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E11:E22" xr:uid="{76773934-728A-4512-A789-D38AF73B28FA}">
      <formula1>_xlfn.TRIMRANGE(INDIRECT("Table_FuelTypesPerUse["&amp;D11&amp;"]"))</formula1>
    </dataValidation>
    <dataValidation type="list" allowBlank="1" showInputMessage="1" showErrorMessage="1" sqref="D11:D22" xr:uid="{44BCE1B2-993E-4D7C-8172-C366FD07D726}">
      <formula1>INDIRECT("Table_FuelTypesPerUse[#Headers]")</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topLeftCell="B1" zoomScale="85" zoomScaleNormal="85" workbookViewId="0">
      <selection activeCell="H49" sqref="H49"/>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8" customFormat="1" ht="30" customHeight="1" x14ac:dyDescent="0.35">
      <c r="A1" s="57" t="e" vm="1">
        <v>#VALUE!</v>
      </c>
      <c r="C1" s="8" t="s">
        <v>153</v>
      </c>
    </row>
    <row r="2" spans="1:16" s="9" customFormat="1" ht="20.100000000000001" customHeight="1" x14ac:dyDescent="0.25"/>
    <row r="3" spans="1:16" ht="20.100000000000001" customHeight="1" x14ac:dyDescent="0.25">
      <c r="C3" s="4"/>
      <c r="D3" s="4" t="s">
        <v>79</v>
      </c>
      <c r="E3" s="4"/>
      <c r="F3" s="4"/>
      <c r="G3" s="4"/>
      <c r="H3" s="4"/>
      <c r="I3" s="4"/>
      <c r="J3" s="4"/>
      <c r="K3" s="4"/>
      <c r="L3" s="4"/>
      <c r="M3" s="4"/>
      <c r="N3" s="4"/>
      <c r="O3" s="4"/>
      <c r="P3" s="4"/>
    </row>
    <row r="4" spans="1:16" ht="20.100000000000001" customHeight="1" x14ac:dyDescent="0.25"/>
    <row r="5" spans="1:16" ht="20.100000000000001" customHeight="1" x14ac:dyDescent="0.25">
      <c r="D5" s="6" t="str" cm="1">
        <f t="array" ref="D5">Fuel_Equations.VEERG_8_1_1_1__1_FuelCombustionTransport_Title()</f>
        <v>Emissions for each GHG from the combustion of fuels for transport energy purposes</v>
      </c>
      <c r="O5" s="99"/>
    </row>
    <row r="6" spans="1:16" ht="20.100000000000001" customHeight="1" x14ac:dyDescent="0.25">
      <c r="D6" s="5" t="str" cm="1">
        <f t="array" ref="D6">Fuel_Equations.VEERG_8_1_1_1__1_FuelCombustionTransport_Source()</f>
        <v>VEERG 2026: 8.1.1.1, Equation (1)</v>
      </c>
      <c r="O6" s="99"/>
    </row>
    <row r="7" spans="1:16" ht="20.100000000000001" customHeight="1" x14ac:dyDescent="0.25">
      <c r="D7" s="13" t="s">
        <v>22</v>
      </c>
      <c r="E7" s="13" t="str" cm="1">
        <f t="array" aca="1" ref="E7" ca="1">Common_InputFunctions.Utility_DisplayFunctionName(M25)</f>
        <v>=Fuel_Equations.VEERG_8_1_1_1__1_FuelCombustionTransport</v>
      </c>
      <c r="O7" s="99"/>
    </row>
    <row r="8" spans="1:16" ht="20.100000000000001" customHeight="1" x14ac:dyDescent="0.25">
      <c r="O8" s="99"/>
    </row>
    <row r="9" spans="1:16" ht="20.100000000000001" customHeight="1" x14ac:dyDescent="0.25">
      <c r="G9" s="5"/>
      <c r="O9" s="99"/>
    </row>
    <row r="10" spans="1:16" ht="20.100000000000001" customHeight="1" x14ac:dyDescent="0.25">
      <c r="O10" s="99"/>
    </row>
    <row r="11" spans="1:16" ht="20.100000000000001" customHeight="1" x14ac:dyDescent="0.25">
      <c r="D11" s="49" t="s">
        <v>25</v>
      </c>
      <c r="E11" s="1" t="str" cm="1">
        <f t="array" ref="E11">Fuel_Equations.VEERG_8_1_1_1__1_FuelCombustionTransport_Variable()</f>
        <v>E_g</v>
      </c>
      <c r="O11" s="99"/>
    </row>
    <row r="12" spans="1:16" ht="20.100000000000001" customHeight="1" x14ac:dyDescent="0.25">
      <c r="D12" s="49" t="s">
        <v>16</v>
      </c>
      <c r="E12" s="50" t="str" cm="1">
        <f t="array" ref="E12">Fuel_Equations.VEERG_8_1_1_1__1_FuelCombustionTransport_Unit()</f>
        <v>t CO2-e</v>
      </c>
    </row>
    <row r="13" spans="1:16" ht="20.100000000000001" customHeight="1" x14ac:dyDescent="0.25"/>
    <row r="14" spans="1:16" ht="20.100000000000001" customHeight="1" x14ac:dyDescent="0.25">
      <c r="D14" s="107" t="str" cm="1">
        <f t="array" ref="D14:E20">_xlfn.CHOOSECOLS(Fuel_Equations.VEERG_8_1_1_1__1_FuelCombustionTransport_Arguments(), 1,2)</f>
        <v>Q_Transtq</v>
      </c>
      <c r="E14" s="109" t="str">
        <v>Amount of fuel type q combusted for transport energy purposes</v>
      </c>
      <c r="F14" s="108"/>
      <c r="G14" s="107" t="str" cm="1">
        <f t="array" ref="G14:H20">_xlfn.CHOOSECOLS(Fuel_Equations.VEERG_8_1_1_1__1_FuelCombustionTransport_Arguments(), 3,4)</f>
        <v>Varies based on fuel type: kL, m3, GJ</v>
      </c>
      <c r="H14" s="102" t="str">
        <v>Input</v>
      </c>
      <c r="I14" s="106" t="str" cm="1">
        <f t="array" aca="1" ref="I14" ca="1">HYPERLINK(Common_InputFunctions.Utility_SourceHyperlink($D$22), $D$22)</f>
        <v>Table_E_g</v>
      </c>
      <c r="O14" s="99"/>
    </row>
    <row r="15" spans="1:16" ht="20.100000000000001" customHeight="1" x14ac:dyDescent="0.25">
      <c r="D15" s="107" t="str">
        <v>EC_Transq</v>
      </c>
      <c r="E15" s="109" t="str">
        <v>Energy content factor for transport energy purposes</v>
      </c>
      <c r="F15" s="108"/>
      <c r="G15" s="107" t="str">
        <v>GJ / unit of fuel</v>
      </c>
      <c r="H15" s="101" t="str">
        <v>Constant</v>
      </c>
      <c r="I15" s="106" t="str" cm="1">
        <f t="array" aca="1" ref="I15" ca="1">HYPERLINK(Common_InputFunctions.Utility_SourceHyperlink($D$22), $D$22)</f>
        <v>Table_E_g</v>
      </c>
      <c r="O15" s="99"/>
    </row>
    <row r="16" spans="1:16" ht="20.100000000000001" customHeight="1" x14ac:dyDescent="0.25">
      <c r="D16" s="107" t="str">
        <v>EF_Trans1tqg</v>
      </c>
      <c r="E16" s="109" t="str">
        <v>Scope 1 emission factor for transport energy purposes for each greenhouse gas</v>
      </c>
      <c r="F16" s="108"/>
      <c r="G16" s="107" t="str">
        <v>kg CO2e / GJ</v>
      </c>
      <c r="H16" s="101" t="str">
        <v>Constant</v>
      </c>
      <c r="I16" s="106" t="str" cm="1">
        <f t="array" aca="1" ref="I16" ca="1">HYPERLINK(Common_InputFunctions.Utility_SourceHyperlink($D$22), $D$22)</f>
        <v>Table_E_g</v>
      </c>
      <c r="O16" s="99"/>
    </row>
    <row r="17" spans="4:15" ht="20.100000000000001" customHeight="1" x14ac:dyDescent="0.25">
      <c r="D17" s="107" t="str">
        <v>q</v>
      </c>
      <c r="E17" s="109" t="str">
        <v>Fuel type</v>
      </c>
      <c r="F17" s="108"/>
      <c r="G17" s="107" t="str">
        <v/>
      </c>
      <c r="H17" s="101" t="str">
        <v>Constant</v>
      </c>
      <c r="I17" s="106"/>
      <c r="J17" s="99"/>
      <c r="L17" s="99"/>
      <c r="M17" s="99"/>
      <c r="N17" s="99"/>
      <c r="O17" s="99"/>
    </row>
    <row r="18" spans="4:15" ht="20.100000000000001" customHeight="1" x14ac:dyDescent="0.25">
      <c r="D18" s="107" t="str">
        <v>Trans</v>
      </c>
      <c r="E18" s="109" t="str">
        <v>Transport combustion</v>
      </c>
      <c r="F18" s="108"/>
      <c r="G18" s="107" t="str">
        <v/>
      </c>
      <c r="H18" s="101" t="str">
        <v>Constant</v>
      </c>
      <c r="I18" s="106"/>
      <c r="J18" s="99"/>
      <c r="L18" s="99"/>
      <c r="M18" s="99"/>
      <c r="N18" s="99"/>
      <c r="O18" s="99"/>
    </row>
    <row r="19" spans="4:15" ht="20.100000000000001" customHeight="1" x14ac:dyDescent="0.25">
      <c r="D19" s="107" t="str">
        <v>g</v>
      </c>
      <c r="E19" s="109" t="str">
        <v>Greenhouse gas</v>
      </c>
      <c r="F19" s="108"/>
      <c r="G19" s="107" t="str">
        <v/>
      </c>
      <c r="H19" s="101" t="str">
        <v>Constant</v>
      </c>
      <c r="I19" s="106"/>
      <c r="J19" s="99"/>
      <c r="L19" s="99"/>
      <c r="M19" s="99"/>
      <c r="N19" s="99"/>
      <c r="O19" s="99"/>
    </row>
    <row r="20" spans="4:15" ht="20.100000000000001" customHeight="1" x14ac:dyDescent="0.25">
      <c r="D20" s="107" t="str">
        <v>1</v>
      </c>
      <c r="E20" s="109" t="str">
        <v>Scope 1</v>
      </c>
      <c r="F20" s="108"/>
      <c r="G20" s="107" t="str">
        <v/>
      </c>
      <c r="H20" s="101" t="str">
        <v>Constant</v>
      </c>
      <c r="I20" s="106"/>
      <c r="J20" s="99"/>
      <c r="L20" s="99"/>
      <c r="M20" s="99"/>
      <c r="N20" s="99"/>
      <c r="O20" s="99"/>
    </row>
    <row r="21" spans="4:15" ht="20.100000000000001" customHeight="1" x14ac:dyDescent="0.25">
      <c r="O21" s="99"/>
    </row>
    <row r="22" spans="4:15" ht="20.100000000000001" customHeight="1" x14ac:dyDescent="0.25">
      <c r="D22" s="87" t="s">
        <v>208</v>
      </c>
    </row>
    <row r="23" spans="4:15" ht="20.100000000000001" customHeight="1" x14ac:dyDescent="0.25">
      <c r="D23" s="86" t="s">
        <v>209</v>
      </c>
    </row>
    <row r="24" spans="4:15" ht="20.100000000000001" customHeight="1" x14ac:dyDescent="0.25">
      <c r="D24" s="47" t="s">
        <v>193</v>
      </c>
      <c r="E24" s="47" t="s">
        <v>207</v>
      </c>
      <c r="F24" s="47" t="s">
        <v>194</v>
      </c>
      <c r="G24" s="47" t="s">
        <v>195</v>
      </c>
      <c r="H24" s="47" t="s">
        <v>196</v>
      </c>
      <c r="I24" s="47" t="s">
        <v>197</v>
      </c>
      <c r="J24" s="47" t="s">
        <v>198</v>
      </c>
      <c r="K24" s="100" t="s">
        <v>216</v>
      </c>
      <c r="L24" s="47" t="s">
        <v>199</v>
      </c>
      <c r="M24" s="47" t="s">
        <v>200</v>
      </c>
      <c r="N24" s="47" t="s">
        <v>201</v>
      </c>
      <c r="O24" s="47" t="s">
        <v>202</v>
      </c>
    </row>
    <row r="25" spans="4:15" ht="20.100000000000001" customHeight="1" x14ac:dyDescent="0.25">
      <c r="D25" s="3" t="str">
        <f>Table_FuelTypesPerUse[[#Headers],[Cars and light commercial vehicles]]</f>
        <v>Cars and light commercial vehicles</v>
      </c>
      <c r="E25" s="135" t="str">
        <f>'Constants - Fuel'!$E$10</f>
        <v>Gasoline</v>
      </c>
      <c r="F25" s="135" t="str">
        <f>'Constants - Fuel'!G131</f>
        <v>Petrol</v>
      </c>
      <c r="G25" s="48" cm="1">
        <f t="array" ref="G25">IFERROR(_xlfn.XLOOKUP(1, (Table_Fuel_EFs_Transport[Fuel combusted]=$E25)*(Table_Fuel_EFs_Transport[Transport type]=$D$25), Table_Fuel_EFs_Transport[Energy Content Factor (GJ per unit of fuel)]), 0)</f>
        <v>34.200000000000003</v>
      </c>
      <c r="H25" s="48" cm="1">
        <f t="array" ref="H25">IFERROR(_xlfn.XLOOKUP(1, (Table_Fuel_EFs_Transport[Fuel combusted]=$E25)*(Table_Fuel_EFs_Transport[Transport type]=$D$25), Table_Fuel_EFs_Transport[Scope 1 Emission Factor (kg CO2 - e / GJ) CO2]), 0)</f>
        <v>67.400000000000006</v>
      </c>
      <c r="I25" s="48" cm="1">
        <f t="array" ref="I25">IFERROR(_xlfn.XLOOKUP(1, (Table_Fuel_EFs_Transport[Fuel combusted]=$E25)*(Table_Fuel_EFs_Transport[Transport type]=$D$25), Table_Fuel_EFs_Transport[Scope 1 Emission Factor (kg CO2 - e / GJ) CH4]), 0)</f>
        <v>0.02</v>
      </c>
      <c r="J25" s="48" cm="1">
        <f t="array" ref="J25">IFERROR(_xlfn.XLOOKUP(1, (Table_Fuel_EFs_Transport[Fuel combusted]=$E25)*(Table_Fuel_EFs_Transport[Transport type]=$D$25), Table_Fuel_EFs_Transport[Scope 1 Emission Factor (kg CO2 - e / GJ) N2O]), 0)</f>
        <v>0.2</v>
      </c>
      <c r="K25" s="111" cm="1">
        <f t="array" ref="K25">Fuel_InputFunctions.Fuel_TotalConsumption(Table_Input_Fuel[Amount consumed], Table_Input_Fuel[Fuel use (select)], D25, Table_Input_Fuel[Fuel type (select)],F25)</f>
        <v>0</v>
      </c>
      <c r="L25" s="111" t="str" cm="1">
        <f t="array" ref="L25">Common_InputFunctions.Utility_LookupValueInTable(F25,Table_FuelTypes_Units[Fuel type],Table_FuelTypes_Units[Unit])</f>
        <v>kL</v>
      </c>
      <c r="M25" s="157" cm="1">
        <f t="array" ref="M25">Fuel_Equations.VEERG_8_1_1_1__1_FuelCombustionTransport($K25,$G25,$H25)</f>
        <v>0</v>
      </c>
      <c r="N25" s="157" cm="1">
        <f t="array" ref="N25">Fuel_Equations.VEERG_8_1_1_1__1_FuelCombustionTransport($K25,$G25,$I25)</f>
        <v>0</v>
      </c>
      <c r="O25" s="157" cm="1">
        <f t="array" ref="O25">Fuel_Equations.VEERG_8_1_1_1__1_FuelCombustionTransport($K25,$G25,$J25)</f>
        <v>0</v>
      </c>
    </row>
    <row r="26" spans="4:15" ht="20.100000000000001" customHeight="1" x14ac:dyDescent="0.25">
      <c r="D26" s="136" t="str">
        <f>$D$25</f>
        <v>Cars and light commercial vehicles</v>
      </c>
      <c r="E26" s="135" t="str">
        <f>'Constants - Fuel'!$E$11</f>
        <v>Diesel oil</v>
      </c>
      <c r="F26" s="135" t="str">
        <f>'Constants - Fuel'!G132</f>
        <v>Diesel</v>
      </c>
      <c r="G26" s="48" cm="1">
        <f t="array" ref="G26">IFERROR(_xlfn.XLOOKUP(1, (Table_Fuel_EFs_Transport[Fuel combusted]=$E26)*(Table_Fuel_EFs_Transport[Transport type]=$D$25), Table_Fuel_EFs_Transport[Energy Content Factor (GJ per unit of fuel)]), 0)</f>
        <v>38.6</v>
      </c>
      <c r="H26" s="48" cm="1">
        <f t="array" ref="H26">IFERROR(_xlfn.XLOOKUP(1, (Table_Fuel_EFs_Transport[Fuel combusted]=$E26)*(Table_Fuel_EFs_Transport[Transport type]=$D$25), Table_Fuel_EFs_Transport[Scope 1 Emission Factor (kg CO2 - e / GJ) CO2]), 0)</f>
        <v>69.900000000000006</v>
      </c>
      <c r="I26" s="48" cm="1">
        <f t="array" ref="I26">IFERROR(_xlfn.XLOOKUP(1, (Table_Fuel_EFs_Transport[Fuel combusted]=$E26)*(Table_Fuel_EFs_Transport[Transport type]=$D$25), Table_Fuel_EFs_Transport[Scope 1 Emission Factor (kg CO2 - e / GJ) CH4]), 0)</f>
        <v>0.01</v>
      </c>
      <c r="J26" s="48" cm="1">
        <f t="array" ref="J26">IFERROR(_xlfn.XLOOKUP(1, (Table_Fuel_EFs_Transport[Fuel combusted]=$E26)*(Table_Fuel_EFs_Transport[Transport type]=$D$25), Table_Fuel_EFs_Transport[Scope 1 Emission Factor (kg CO2 - e / GJ) N2O]), 0)</f>
        <v>0.5</v>
      </c>
      <c r="K26" s="111" cm="1">
        <f t="array" ref="K26">Fuel_InputFunctions.Fuel_TotalConsumption(Table_Input_Fuel[Amount consumed], Table_Input_Fuel[Fuel use (select)], D26, Table_Input_Fuel[Fuel type (select)],F26)</f>
        <v>0</v>
      </c>
      <c r="L26" s="111" t="str" cm="1">
        <f t="array" ref="L26">Common_InputFunctions.Utility_LookupValueInTable(F26,Table_FuelTypes_Units[Fuel type],Table_FuelTypes_Units[Unit])</f>
        <v>kL</v>
      </c>
      <c r="M26" s="157" cm="1">
        <f t="array" ref="M26">Fuel_Equations.VEERG_8_1_1_1__1_FuelCombustionTransport($K26,$G26,$H26)</f>
        <v>0</v>
      </c>
      <c r="N26" s="157" cm="1">
        <f t="array" ref="N26">Fuel_Equations.VEERG_8_1_1_1__1_FuelCombustionTransport($K26,$G26,$I26)</f>
        <v>0</v>
      </c>
      <c r="O26" s="157" cm="1">
        <f t="array" ref="O26">Fuel_Equations.VEERG_8_1_1_1__1_FuelCombustionTransport($K26,$G26,$J26)</f>
        <v>0</v>
      </c>
    </row>
    <row r="27" spans="4:15" ht="20.100000000000001" customHeight="1" x14ac:dyDescent="0.25">
      <c r="D27" s="136" t="str">
        <f>$D$25</f>
        <v>Cars and light commercial vehicles</v>
      </c>
      <c r="E27" s="135" t="str">
        <f>'Constants - Fuel'!$E$12</f>
        <v>Liquefied petroleum gas (LPG)</v>
      </c>
      <c r="F27" s="135" t="str">
        <f>'Constants - Fuel'!G133</f>
        <v>Liquefied petroleum gas (LPG)</v>
      </c>
      <c r="G27" s="48" cm="1">
        <f t="array" ref="G27">IFERROR(_xlfn.XLOOKUP(1, (Table_Fuel_EFs_Transport[Fuel combusted]=$E27)*(Table_Fuel_EFs_Transport[Transport type]=$D$25), Table_Fuel_EFs_Transport[Energy Content Factor (GJ per unit of fuel)]), 0)</f>
        <v>26.2</v>
      </c>
      <c r="H27" s="48" cm="1">
        <f t="array" ref="H27">IFERROR(_xlfn.XLOOKUP(1, (Table_Fuel_EFs_Transport[Fuel combusted]=$E27)*(Table_Fuel_EFs_Transport[Transport type]=$D$25), Table_Fuel_EFs_Transport[Scope 1 Emission Factor (kg CO2 - e / GJ) CO2]), 0)</f>
        <v>60.2</v>
      </c>
      <c r="I27" s="48" cm="1">
        <f t="array" ref="I27">IFERROR(_xlfn.XLOOKUP(1, (Table_Fuel_EFs_Transport[Fuel combusted]=$E27)*(Table_Fuel_EFs_Transport[Transport type]=$D$25), Table_Fuel_EFs_Transport[Scope 1 Emission Factor (kg CO2 - e / GJ) CH4]), 0)</f>
        <v>0.5</v>
      </c>
      <c r="J27" s="48" cm="1">
        <f t="array" ref="J27">IFERROR(_xlfn.XLOOKUP(1, (Table_Fuel_EFs_Transport[Fuel combusted]=$E27)*(Table_Fuel_EFs_Transport[Transport type]=$D$25), Table_Fuel_EFs_Transport[Scope 1 Emission Factor (kg CO2 - e / GJ) N2O]), 0)</f>
        <v>0.3</v>
      </c>
      <c r="K27" s="111" cm="1">
        <f t="array" ref="K27">Fuel_InputFunctions.Fuel_TotalConsumption(Table_Input_Fuel[Amount consumed], Table_Input_Fuel[Fuel use (select)], D27, Table_Input_Fuel[Fuel type (select)],F27)</f>
        <v>0</v>
      </c>
      <c r="L27" s="111" t="str" cm="1">
        <f t="array" ref="L27">Common_InputFunctions.Utility_LookupValueInTable(F27,Table_FuelTypes_Units[Fuel type],Table_FuelTypes_Units[Unit])</f>
        <v>kL</v>
      </c>
      <c r="M27" s="157" cm="1">
        <f t="array" ref="M27">Fuel_Equations.VEERG_8_1_1_1__1_FuelCombustionTransport($K27,$G27,$H27)</f>
        <v>0</v>
      </c>
      <c r="N27" s="157" cm="1">
        <f t="array" ref="N27">Fuel_Equations.VEERG_8_1_1_1__1_FuelCombustionTransport($K27,$G27,$I27)</f>
        <v>0</v>
      </c>
      <c r="O27" s="157" cm="1">
        <f t="array" ref="O27">Fuel_Equations.VEERG_8_1_1_1__1_FuelCombustionTransport($K27,$G27,$J27)</f>
        <v>0</v>
      </c>
    </row>
    <row r="28" spans="4:15" ht="20.100000000000001" customHeight="1" x14ac:dyDescent="0.25">
      <c r="D28" s="136" t="str">
        <f>$D$25</f>
        <v>Cars and light commercial vehicles</v>
      </c>
      <c r="E28" s="135" t="str">
        <f>'Constants - Fuel'!$E$13</f>
        <v>Fuel oil</v>
      </c>
      <c r="F28" s="135" t="str">
        <f>'Constants - Fuel'!G134</f>
        <v>Fuel oil</v>
      </c>
      <c r="G28" s="48" cm="1">
        <f t="array" ref="G28">IFERROR(_xlfn.XLOOKUP(1, (Table_Fuel_EFs_Transport[Fuel combusted]=$E28)*(Table_Fuel_EFs_Transport[Transport type]=$D$25), Table_Fuel_EFs_Transport[Energy Content Factor (GJ per unit of fuel)]), 0)</f>
        <v>39.700000000000003</v>
      </c>
      <c r="H28" s="48" cm="1">
        <f t="array" ref="H28">IFERROR(_xlfn.XLOOKUP(1, (Table_Fuel_EFs_Transport[Fuel combusted]=$E28)*(Table_Fuel_EFs_Transport[Transport type]=$D$25), Table_Fuel_EFs_Transport[Scope 1 Emission Factor (kg CO2 - e / GJ) CO2]), 0)</f>
        <v>73.599999999999994</v>
      </c>
      <c r="I28" s="48" cm="1">
        <f t="array" ref="I28">IFERROR(_xlfn.XLOOKUP(1, (Table_Fuel_EFs_Transport[Fuel combusted]=$E28)*(Table_Fuel_EFs_Transport[Transport type]=$D$25), Table_Fuel_EFs_Transport[Scope 1 Emission Factor (kg CO2 - e / GJ) CH4]), 0)</f>
        <v>0.08</v>
      </c>
      <c r="J28" s="48" cm="1">
        <f t="array" ref="J28">IFERROR(_xlfn.XLOOKUP(1, (Table_Fuel_EFs_Transport[Fuel combusted]=$E28)*(Table_Fuel_EFs_Transport[Transport type]=$D$25), Table_Fuel_EFs_Transport[Scope 1 Emission Factor (kg CO2 - e / GJ) N2O]), 0)</f>
        <v>0.5</v>
      </c>
      <c r="K28" s="111" cm="1">
        <f t="array" ref="K28">Fuel_InputFunctions.Fuel_TotalConsumption(Table_Input_Fuel[Amount consumed], Table_Input_Fuel[Fuel use (select)], D28, Table_Input_Fuel[Fuel type (select)],F28)</f>
        <v>0</v>
      </c>
      <c r="L28" s="111" t="str" cm="1">
        <f t="array" ref="L28">Common_InputFunctions.Utility_LookupValueInTable(F28,Table_FuelTypes_Units[Fuel type],Table_FuelTypes_Units[Unit])</f>
        <v>kL</v>
      </c>
      <c r="M28" s="157" cm="1">
        <f t="array" ref="M28">Fuel_Equations.VEERG_8_1_1_1__1_FuelCombustionTransport($K28,$G28,$H28)</f>
        <v>0</v>
      </c>
      <c r="N28" s="157" cm="1">
        <f t="array" ref="N28">Fuel_Equations.VEERG_8_1_1_1__1_FuelCombustionTransport($K28,$G28,$I28)</f>
        <v>0</v>
      </c>
      <c r="O28" s="157" cm="1">
        <f t="array" ref="O28">Fuel_Equations.VEERG_8_1_1_1__1_FuelCombustionTransport($K28,$G28,$J28)</f>
        <v>0</v>
      </c>
    </row>
    <row r="29" spans="4:15" ht="20.100000000000001" customHeight="1" x14ac:dyDescent="0.25">
      <c r="D29" s="136" t="str">
        <f>$D$25</f>
        <v>Cars and light commercial vehicles</v>
      </c>
      <c r="E29" s="135" t="str">
        <f>'Constants - Fuel'!$E$14</f>
        <v>Ethanol</v>
      </c>
      <c r="F29" s="135" t="str">
        <f>'Constants - Fuel'!G135</f>
        <v>Ethanol</v>
      </c>
      <c r="G29" s="48" cm="1">
        <f t="array" ref="G29">IFERROR(_xlfn.XLOOKUP(1, (Table_Fuel_EFs_Transport[Fuel combusted]=$E29)*(Table_Fuel_EFs_Transport[Transport type]=$D$25), Table_Fuel_EFs_Transport[Energy Content Factor (GJ per unit of fuel)]), 0)</f>
        <v>23.4</v>
      </c>
      <c r="H29" s="48" cm="1">
        <f t="array" ref="H29">IFERROR(_xlfn.XLOOKUP(1, (Table_Fuel_EFs_Transport[Fuel combusted]=$E29)*(Table_Fuel_EFs_Transport[Transport type]=$D$25), Table_Fuel_EFs_Transport[Scope 1 Emission Factor (kg CO2 - e / GJ) CO2]), 0)</f>
        <v>0</v>
      </c>
      <c r="I29" s="48" cm="1">
        <f t="array" ref="I29">IFERROR(_xlfn.XLOOKUP(1, (Table_Fuel_EFs_Transport[Fuel combusted]=$E29)*(Table_Fuel_EFs_Transport[Transport type]=$D$25), Table_Fuel_EFs_Transport[Scope 1 Emission Factor (kg CO2 - e / GJ) CH4]), 0)</f>
        <v>0.2</v>
      </c>
      <c r="J29" s="48" cm="1">
        <f t="array" ref="J29">IFERROR(_xlfn.XLOOKUP(1, (Table_Fuel_EFs_Transport[Fuel combusted]=$E29)*(Table_Fuel_EFs_Transport[Transport type]=$D$25), Table_Fuel_EFs_Transport[Scope 1 Emission Factor (kg CO2 - e / GJ) N2O]), 0)</f>
        <v>0.2</v>
      </c>
      <c r="K29" s="111" cm="1">
        <f t="array" ref="K29">Fuel_InputFunctions.Fuel_TotalConsumption(Table_Input_Fuel[Amount consumed], Table_Input_Fuel[Fuel use (select)], D29, Table_Input_Fuel[Fuel type (select)],F29)</f>
        <v>0</v>
      </c>
      <c r="L29" s="111" t="str" cm="1">
        <f t="array" ref="L29">Common_InputFunctions.Utility_LookupValueInTable(F29,Table_FuelTypes_Units[Fuel type],Table_FuelTypes_Units[Unit])</f>
        <v>kL</v>
      </c>
      <c r="M29" s="157" cm="1">
        <f t="array" ref="M29">Fuel_Equations.VEERG_8_1_1_1__1_FuelCombustionTransport($K29,$G29,$H29)</f>
        <v>0</v>
      </c>
      <c r="N29" s="157" cm="1">
        <f t="array" ref="N29">Fuel_Equations.VEERG_8_1_1_1__1_FuelCombustionTransport($K29,$G29,$I29)</f>
        <v>0</v>
      </c>
      <c r="O29" s="157" cm="1">
        <f t="array" ref="O29">Fuel_Equations.VEERG_8_1_1_1__1_FuelCombustionTransport($K29,$G29,$J29)</f>
        <v>0</v>
      </c>
    </row>
    <row r="30" spans="4:15" ht="20.100000000000001" customHeight="1" x14ac:dyDescent="0.25">
      <c r="D30" s="136" t="str">
        <f>$D$25</f>
        <v>Cars and light commercial vehicles</v>
      </c>
      <c r="E30" s="135" t="str">
        <f>'Constants - Fuel'!$E$15</f>
        <v>Biodiesel</v>
      </c>
      <c r="F30" s="135" t="str">
        <f>'Constants - Fuel'!G136</f>
        <v>Biodiesel</v>
      </c>
      <c r="G30" s="48" cm="1">
        <f t="array" ref="G30">IFERROR(_xlfn.XLOOKUP(1, (Table_Fuel_EFs_Transport[Fuel combusted]=$E30)*(Table_Fuel_EFs_Transport[Transport type]=$D$25), Table_Fuel_EFs_Transport[Energy Content Factor (GJ per unit of fuel)]), 0)</f>
        <v>34.6</v>
      </c>
      <c r="H30" s="48" cm="1">
        <f t="array" ref="H30">IFERROR(_xlfn.XLOOKUP(1, (Table_Fuel_EFs_Transport[Fuel combusted]=$E30)*(Table_Fuel_EFs_Transport[Transport type]=$D$25), Table_Fuel_EFs_Transport[Scope 1 Emission Factor (kg CO2 - e / GJ) CO2]), 0)</f>
        <v>0</v>
      </c>
      <c r="I30" s="48" cm="1">
        <f t="array" ref="I30">IFERROR(_xlfn.XLOOKUP(1, (Table_Fuel_EFs_Transport[Fuel combusted]=$E30)*(Table_Fuel_EFs_Transport[Transport type]=$D$25), Table_Fuel_EFs_Transport[Scope 1 Emission Factor (kg CO2 - e / GJ) CH4]), 0)</f>
        <v>0.8</v>
      </c>
      <c r="J30" s="48" cm="1">
        <f t="array" ref="J30">IFERROR(_xlfn.XLOOKUP(1, (Table_Fuel_EFs_Transport[Fuel combusted]=$E30)*(Table_Fuel_EFs_Transport[Transport type]=$D$25), Table_Fuel_EFs_Transport[Scope 1 Emission Factor (kg CO2 - e / GJ) N2O]), 0)</f>
        <v>1.7</v>
      </c>
      <c r="K30" s="111" cm="1">
        <f t="array" ref="K30">Fuel_InputFunctions.Fuel_TotalConsumption(Table_Input_Fuel[Amount consumed], Table_Input_Fuel[Fuel use (select)], D30, Table_Input_Fuel[Fuel type (select)],F30)</f>
        <v>0</v>
      </c>
      <c r="L30" s="111" t="str" cm="1">
        <f t="array" ref="L30">Common_InputFunctions.Utility_LookupValueInTable(F30,Table_FuelTypes_Units[Fuel type],Table_FuelTypes_Units[Unit])</f>
        <v>kL</v>
      </c>
      <c r="M30" s="157" cm="1">
        <f t="array" ref="M30">Fuel_Equations.VEERG_8_1_1_1__1_FuelCombustionTransport($K30,$G30,$H30)</f>
        <v>0</v>
      </c>
      <c r="N30" s="157" cm="1">
        <f t="array" ref="N30">Fuel_Equations.VEERG_8_1_1_1__1_FuelCombustionTransport($K30,$G30,$I30)</f>
        <v>0</v>
      </c>
      <c r="O30" s="157" cm="1">
        <f t="array" ref="O30">Fuel_Equations.VEERG_8_1_1_1__1_FuelCombustionTransport($K30,$G30,$J30)</f>
        <v>0</v>
      </c>
    </row>
    <row r="31" spans="4:15" ht="20.100000000000001" customHeight="1" x14ac:dyDescent="0.25">
      <c r="D31" s="136" t="str">
        <f>$D$25</f>
        <v>Cars and light commercial vehicles</v>
      </c>
      <c r="E31" s="135" t="str">
        <f>'Constants - Fuel'!$E$16</f>
        <v>Renewable diesel</v>
      </c>
      <c r="F31" s="135" t="str">
        <f>'Constants - Fuel'!G137</f>
        <v>Renewable diesel</v>
      </c>
      <c r="G31" s="48" cm="1">
        <f t="array" ref="G31">IFERROR(_xlfn.XLOOKUP(1, (Table_Fuel_EFs_Transport[Fuel combusted]=$E31)*(Table_Fuel_EFs_Transport[Transport type]=$D$25), Table_Fuel_EFs_Transport[Energy Content Factor (GJ per unit of fuel)]), 0)</f>
        <v>38.6</v>
      </c>
      <c r="H31" s="48" cm="1">
        <f t="array" ref="H31">IFERROR(_xlfn.XLOOKUP(1, (Table_Fuel_EFs_Transport[Fuel combusted]=$E31)*(Table_Fuel_EFs_Transport[Transport type]=$D$25), Table_Fuel_EFs_Transport[Scope 1 Emission Factor (kg CO2 - e / GJ) CO2]), 0)</f>
        <v>0</v>
      </c>
      <c r="I31" s="48" cm="1">
        <f t="array" ref="I31">IFERROR(_xlfn.XLOOKUP(1, (Table_Fuel_EFs_Transport[Fuel combusted]=$E31)*(Table_Fuel_EFs_Transport[Transport type]=$D$25), Table_Fuel_EFs_Transport[Scope 1 Emission Factor (kg CO2 - e / GJ) CH4]), 0)</f>
        <v>0.01</v>
      </c>
      <c r="J31" s="48" cm="1">
        <f t="array" ref="J31">IFERROR(_xlfn.XLOOKUP(1, (Table_Fuel_EFs_Transport[Fuel combusted]=$E31)*(Table_Fuel_EFs_Transport[Transport type]=$D$25), Table_Fuel_EFs_Transport[Scope 1 Emission Factor (kg CO2 - e / GJ) N2O]), 0)</f>
        <v>0.5</v>
      </c>
      <c r="K31" s="111" cm="1">
        <f t="array" ref="K31">Fuel_InputFunctions.Fuel_TotalConsumption(Table_Input_Fuel[Amount consumed], Table_Input_Fuel[Fuel use (select)], D31, Table_Input_Fuel[Fuel type (select)],F31)</f>
        <v>0</v>
      </c>
      <c r="L31" s="111" t="str" cm="1">
        <f t="array" ref="L31">Common_InputFunctions.Utility_LookupValueInTable(F31,Table_FuelTypes_Units[Fuel type],Table_FuelTypes_Units[Unit])</f>
        <v>kL</v>
      </c>
      <c r="M31" s="157" cm="1">
        <f t="array" ref="M31">Fuel_Equations.VEERG_8_1_1_1__1_FuelCombustionTransport($K31,$G31,$H31)</f>
        <v>0</v>
      </c>
      <c r="N31" s="157" cm="1">
        <f t="array" ref="N31">Fuel_Equations.VEERG_8_1_1_1__1_FuelCombustionTransport($K31,$G31,$I31)</f>
        <v>0</v>
      </c>
      <c r="O31" s="157" cm="1">
        <f t="array" ref="O31">Fuel_Equations.VEERG_8_1_1_1__1_FuelCombustionTransport($K31,$G31,$J31)</f>
        <v>0</v>
      </c>
    </row>
    <row r="32" spans="4:15" ht="20.100000000000001" customHeight="1" x14ac:dyDescent="0.25">
      <c r="D32" s="136" t="str">
        <f>$D$25</f>
        <v>Cars and light commercial vehicles</v>
      </c>
      <c r="E32" s="135" t="str">
        <f>'Constants - Fuel'!$E$17</f>
        <v>Other biofuels</v>
      </c>
      <c r="F32" s="135" t="str">
        <f>'Constants - Fuel'!G138</f>
        <v>Other biofuels</v>
      </c>
      <c r="G32" s="48" cm="1">
        <f t="array" ref="G32">IFERROR(_xlfn.XLOOKUP(1, (Table_Fuel_EFs_Transport[Fuel combusted]=$E32)*(Table_Fuel_EFs_Transport[Transport type]=$D$25), Table_Fuel_EFs_Transport[Energy Content Factor (GJ per unit of fuel)]), 0)</f>
        <v>23.4</v>
      </c>
      <c r="H32" s="48" cm="1">
        <f t="array" ref="H32">IFERROR(_xlfn.XLOOKUP(1, (Table_Fuel_EFs_Transport[Fuel combusted]=$E32)*(Table_Fuel_EFs_Transport[Transport type]=$D$25), Table_Fuel_EFs_Transport[Scope 1 Emission Factor (kg CO2 - e / GJ) CO2]), 0)</f>
        <v>0</v>
      </c>
      <c r="I32" s="48" cm="1">
        <f t="array" ref="I32">IFERROR(_xlfn.XLOOKUP(1, (Table_Fuel_EFs_Transport[Fuel combusted]=$E32)*(Table_Fuel_EFs_Transport[Transport type]=$D$25), Table_Fuel_EFs_Transport[Scope 1 Emission Factor (kg CO2 - e / GJ) CH4]), 0)</f>
        <v>0.8</v>
      </c>
      <c r="J32" s="48" cm="1">
        <f t="array" ref="J32">IFERROR(_xlfn.XLOOKUP(1, (Table_Fuel_EFs_Transport[Fuel combusted]=$E32)*(Table_Fuel_EFs_Transport[Transport type]=$D$25), Table_Fuel_EFs_Transport[Scope 1 Emission Factor (kg CO2 - e / GJ) N2O]), 0)</f>
        <v>1.7</v>
      </c>
      <c r="K32" s="137" cm="1">
        <f t="array" ref="K32">Fuel_InputFunctions.Fuel_TotalConsumption(Table_Input_Fuel[Amount consumed], Table_Input_Fuel[Fuel use (select)], D32, Table_Input_Fuel[Fuel type (select)],F32)</f>
        <v>0</v>
      </c>
      <c r="L32" s="111" t="str" cm="1">
        <f t="array" ref="L32">Common_InputFunctions.Utility_LookupValueInTable(F32,Table_FuelTypes_Units[Fuel type],Table_FuelTypes_Units[Unit])</f>
        <v>kL</v>
      </c>
      <c r="M32" s="158" cm="1">
        <f t="array" ref="M32">Fuel_Equations.VEERG_8_1_1_1__1_FuelCombustionTransport($K32,$G32,$H32)</f>
        <v>0</v>
      </c>
      <c r="N32" s="158" cm="1">
        <f t="array" ref="N32">Fuel_Equations.VEERG_8_1_1_1__1_FuelCombustionTransport($K32,$G32,$I32)</f>
        <v>0</v>
      </c>
      <c r="O32" s="158" cm="1">
        <f t="array" ref="O32">Fuel_Equations.VEERG_8_1_1_1__1_FuelCombustionTransport($K32,$G32,$J32)</f>
        <v>0</v>
      </c>
    </row>
    <row r="33" spans="1:15" ht="20.100000000000001" customHeight="1" x14ac:dyDescent="0.25">
      <c r="D33" s="138" t="str">
        <f>Table_FuelTypesPerUse[[#Headers],[Off-road Agriculture and forestry equipment]]</f>
        <v>Off-road Agriculture and forestry equipment</v>
      </c>
      <c r="E33" s="139" t="str">
        <f>'Constants - Fuel'!$E$11</f>
        <v>Diesel oil</v>
      </c>
      <c r="F33" s="139" t="str">
        <f>'Constants - Fuel'!H131</f>
        <v>Diesel</v>
      </c>
      <c r="G33" s="152" cm="1">
        <f t="array" ref="G33">IFERROR(_xlfn.XLOOKUP(1, (Table_Fuel_EFs_Transport[Fuel combusted]=$E33)*(Table_Fuel_EFs_Transport[Transport type]=$D$33), Table_Fuel_EFs_Transport[Energy Content Factor (GJ per unit of fuel)]), 0)</f>
        <v>38.6</v>
      </c>
      <c r="H33" s="152" cm="1">
        <f t="array" ref="H33">IFERROR(_xlfn.XLOOKUP(1, (Table_Fuel_EFs_Transport[Fuel combusted]=$E33)*(Table_Fuel_EFs_Transport[Transport type]=$D$33), Table_Fuel_EFs_Transport[Scope 1 Emission Factor (kg CO2 - e / GJ) CO2]), 0)</f>
        <v>69.900000000000006</v>
      </c>
      <c r="I33" s="152" cm="1">
        <f t="array" ref="I33">IFERROR(_xlfn.XLOOKUP(1, (Table_Fuel_EFs_Transport[Fuel combusted]=$E33)*(Table_Fuel_EFs_Transport[Transport type]=$D$33), Table_Fuel_EFs_Transport[Scope 1 Emission Factor (kg CO2 - e / GJ) CH4]), 0)</f>
        <v>0.3</v>
      </c>
      <c r="J33" s="152" cm="1">
        <f t="array" ref="J33">IFERROR(_xlfn.XLOOKUP(1, (Table_Fuel_EFs_Transport[Fuel combusted]=$E33)*(Table_Fuel_EFs_Transport[Transport type]=$D$33), Table_Fuel_EFs_Transport[Scope 1 Emission Factor (kg CO2 - e / GJ) N2O]), 0)</f>
        <v>0.5</v>
      </c>
      <c r="K33" s="154" cm="1">
        <f t="array" ref="K33">Fuel_InputFunctions.Fuel_TotalConsumption(Table_Input_Fuel[Amount consumed], Table_Input_Fuel[Fuel use (select)], D33, Table_Input_Fuel[Fuel type (select)],F33)</f>
        <v>0</v>
      </c>
      <c r="L33" s="140" t="str" cm="1">
        <f t="array" ref="L33">Common_InputFunctions.Utility_LookupValueInTable(F33,Table_FuelTypes_Units[Fuel type],Table_FuelTypes_Units[Unit])</f>
        <v>kL</v>
      </c>
      <c r="M33" s="159" cm="1">
        <f t="array" ref="M33">Fuel_Equations.VEERG_8_1_1_1__1_FuelCombustionTransport($K33,$G33,$H33)</f>
        <v>0</v>
      </c>
      <c r="N33" s="159" cm="1">
        <f t="array" ref="N33">Fuel_Equations.VEERG_8_1_1_1__1_FuelCombustionTransport($K33,$G33,$I33)</f>
        <v>0</v>
      </c>
      <c r="O33" s="159" cm="1">
        <f t="array" ref="O33">Fuel_Equations.VEERG_8_1_1_1__1_FuelCombustionTransport($K33,$G33,$J33)</f>
        <v>0</v>
      </c>
    </row>
    <row r="34" spans="1:15" ht="20.100000000000001" customHeight="1" x14ac:dyDescent="0.25">
      <c r="D34" s="138" t="str">
        <f>Table_FuelTypesPerUse[[#Headers],[Aviation]]</f>
        <v>Aviation</v>
      </c>
      <c r="E34" s="139" t="str">
        <f>'Constants - Fuel'!$E$28</f>
        <v>Gasoline for use as fuel in an aircraft</v>
      </c>
      <c r="F34" s="139" t="str">
        <f>'Constants - Fuel'!$F$131</f>
        <v>Avgas</v>
      </c>
      <c r="G34" s="153" cm="1">
        <f t="array" ref="G34">IFERROR(_xlfn.XLOOKUP(1, (Table_Fuel_EFs_Transport[Fuel combusted]=$E34)*(Table_Fuel_EFs_Transport[Transport type]=$D$34), Table_Fuel_EFs_Transport[Energy Content Factor (GJ per unit of fuel)]), 0)</f>
        <v>33.1</v>
      </c>
      <c r="H34" s="153" cm="1">
        <f t="array" ref="H34">IFERROR(_xlfn.XLOOKUP(1, (Table_Fuel_EFs_Transport[Fuel combusted]=$E34)*(Table_Fuel_EFs_Transport[Transport type]=$D$34), Table_Fuel_EFs_Transport[Scope 1 Emission Factor (kg CO2 - e / GJ) CO2]), 0)</f>
        <v>67</v>
      </c>
      <c r="I34" s="153" cm="1">
        <f t="array" ref="I34">IFERROR(_xlfn.XLOOKUP(1, (Table_Fuel_EFs_Transport[Fuel combusted]=$E34)*(Table_Fuel_EFs_Transport[Transport type]=$D$34), Table_Fuel_EFs_Transport[Scope 1 Emission Factor (kg CO2 - e / GJ) CH4]), 0)</f>
        <v>0.06</v>
      </c>
      <c r="J34" s="153" cm="1">
        <f t="array" ref="J34">IFERROR(_xlfn.XLOOKUP(1, (Table_Fuel_EFs_Transport[Fuel combusted]=$E34)*(Table_Fuel_EFs_Transport[Transport type]=$D$34), Table_Fuel_EFs_Transport[Scope 1 Emission Factor (kg CO2 - e / GJ) N2O]), 0)</f>
        <v>0.6</v>
      </c>
      <c r="K34" s="140" cm="1">
        <f t="array" ref="K34">Fuel_InputFunctions.Fuel_TotalConsumption(Table_Input_Fuel[Amount consumed], Table_Input_Fuel[Fuel use (select)], D34, Table_Input_Fuel[Fuel type (select)],F34)</f>
        <v>0</v>
      </c>
      <c r="L34" s="140" t="str" cm="1">
        <f t="array" ref="L34">Common_InputFunctions.Utility_LookupValueInTable(F34,Table_FuelTypes_Units[Fuel type],Table_FuelTypes_Units[Unit])</f>
        <v>kL</v>
      </c>
      <c r="M34" s="159" cm="1">
        <f t="array" ref="M34">Fuel_Equations.VEERG_8_1_1_1__1_FuelCombustionTransport($K34,$G34,$H34)</f>
        <v>0</v>
      </c>
      <c r="N34" s="159" cm="1">
        <f t="array" ref="N34">Fuel_Equations.VEERG_8_1_1_1__1_FuelCombustionTransport($K34,$G34,$I34)</f>
        <v>0</v>
      </c>
      <c r="O34" s="159" cm="1">
        <f t="array" ref="O34">Fuel_Equations.VEERG_8_1_1_1__1_FuelCombustionTransport($K34,$G34,$J34)</f>
        <v>0</v>
      </c>
    </row>
    <row r="35" spans="1:15" ht="20.100000000000001" customHeight="1" x14ac:dyDescent="0.25">
      <c r="D35" s="136" t="str">
        <f>$D$34</f>
        <v>Aviation</v>
      </c>
      <c r="E35" s="135" t="str">
        <f>'Constants - Fuel'!$E$29</f>
        <v>Kerosene for use as fuel in an aircraft</v>
      </c>
      <c r="F35" s="135" t="str">
        <f>'Constants - Fuel'!$F$132</f>
        <v>Jet A1, Jet B</v>
      </c>
      <c r="G35" s="48" cm="1">
        <f t="array" ref="G35">IFERROR(_xlfn.XLOOKUP(1, (Table_Fuel_EFs_Transport[Fuel combusted]=$E35)*(Table_Fuel_EFs_Transport[Transport type]=$D$34), Table_Fuel_EFs_Transport[Energy Content Factor (GJ per unit of fuel)]), 0)</f>
        <v>36.799999999999997</v>
      </c>
      <c r="H35" s="48" cm="1">
        <f t="array" ref="H35">IFERROR(_xlfn.XLOOKUP(1, (Table_Fuel_EFs_Transport[Fuel combusted]=$E35)*(Table_Fuel_EFs_Transport[Transport type]=$D$34), Table_Fuel_EFs_Transport[Scope 1 Emission Factor (kg CO2 - e / GJ) CO2]), 0)</f>
        <v>69.599999999999994</v>
      </c>
      <c r="I35" s="48" cm="1">
        <f t="array" ref="I35">IFERROR(_xlfn.XLOOKUP(1, (Table_Fuel_EFs_Transport[Fuel combusted]=$E35)*(Table_Fuel_EFs_Transport[Transport type]=$D$34), Table_Fuel_EFs_Transport[Scope 1 Emission Factor (kg CO2 - e / GJ) CH4]), 0)</f>
        <v>0.01</v>
      </c>
      <c r="J35" s="48" cm="1">
        <f t="array" ref="J35">IFERROR(_xlfn.XLOOKUP(1, (Table_Fuel_EFs_Transport[Fuel combusted]=$E35)*(Table_Fuel_EFs_Transport[Transport type]=$D$34), Table_Fuel_EFs_Transport[Scope 1 Emission Factor (kg CO2 - e / GJ) N2O]), 0)</f>
        <v>0.6</v>
      </c>
      <c r="K35" s="111" cm="1">
        <f t="array" ref="K35">Fuel_InputFunctions.Fuel_TotalConsumption(Table_Input_Fuel[Amount consumed], Table_Input_Fuel[Fuel use (select)], D35, Table_Input_Fuel[Fuel type (select)],F35)</f>
        <v>0</v>
      </c>
      <c r="L35" s="111" t="str" cm="1">
        <f t="array" ref="L35">Common_InputFunctions.Utility_LookupValueInTable(F35,Table_FuelTypes_Units[Fuel type],Table_FuelTypes_Units[Unit])</f>
        <v>kL</v>
      </c>
      <c r="M35" s="157" cm="1">
        <f t="array" ref="M35">Fuel_Equations.VEERG_8_1_1_1__1_FuelCombustionTransport($K35,$G35,$H35)</f>
        <v>0</v>
      </c>
      <c r="N35" s="157" cm="1">
        <f t="array" ref="N35">Fuel_Equations.VEERG_8_1_1_1__1_FuelCombustionTransport($K35,$G35,$I35)</f>
        <v>0</v>
      </c>
      <c r="O35" s="157" cm="1">
        <f t="array" ref="O35">Fuel_Equations.VEERG_8_1_1_1__1_FuelCombustionTransport($K35,$G35,$J35)</f>
        <v>0</v>
      </c>
    </row>
    <row r="36" spans="1:15" ht="20.100000000000001" customHeight="1" x14ac:dyDescent="0.25">
      <c r="D36" s="136" t="str">
        <f>$D$34</f>
        <v>Aviation</v>
      </c>
      <c r="E36" s="135" t="str">
        <f>'Constants - Fuel'!$E$30</f>
        <v>Renewable aviation kerosene</v>
      </c>
      <c r="F36" s="135" t="str">
        <f>'Constants - Fuel'!$F$133</f>
        <v>Renewable aviation kerosene</v>
      </c>
      <c r="G36" s="151" cm="1">
        <f t="array" ref="G36">IFERROR(_xlfn.XLOOKUP(1, (Table_Fuel_EFs_Transport[Fuel combusted]=$E36)*(Table_Fuel_EFs_Transport[Transport type]=$D$34), Table_Fuel_EFs_Transport[Energy Content Factor (GJ per unit of fuel)]), 0)</f>
        <v>36.799999999999997</v>
      </c>
      <c r="H36" s="151" cm="1">
        <f t="array" ref="H36">IFERROR(_xlfn.XLOOKUP(1, (Table_Fuel_EFs_Transport[Fuel combusted]=$E36)*(Table_Fuel_EFs_Transport[Transport type]=$D$34), Table_Fuel_EFs_Transport[Scope 1 Emission Factor (kg CO2 - e / GJ) CO2]), 0)</f>
        <v>0</v>
      </c>
      <c r="I36" s="151" cm="1">
        <f t="array" ref="I36">IFERROR(_xlfn.XLOOKUP(1, (Table_Fuel_EFs_Transport[Fuel combusted]=$E36)*(Table_Fuel_EFs_Transport[Transport type]=$D$34), Table_Fuel_EFs_Transport[Scope 1 Emission Factor (kg CO2 - e / GJ) CH4]), 0)</f>
        <v>0.01</v>
      </c>
      <c r="J36" s="151" cm="1">
        <f t="array" ref="J36">IFERROR(_xlfn.XLOOKUP(1, (Table_Fuel_EFs_Transport[Fuel combusted]=$E36)*(Table_Fuel_EFs_Transport[Transport type]=$D$34), Table_Fuel_EFs_Transport[Scope 1 Emission Factor (kg CO2 - e / GJ) N2O]), 0)</f>
        <v>0.6</v>
      </c>
      <c r="K36" s="137" cm="1">
        <f t="array" ref="K36">Fuel_InputFunctions.Fuel_TotalConsumption(Table_Input_Fuel[Amount consumed], Table_Input_Fuel[Fuel use (select)], D36, Table_Input_Fuel[Fuel type (select)],F36)</f>
        <v>0</v>
      </c>
      <c r="L36" s="111" t="str" cm="1">
        <f t="array" ref="L36">Common_InputFunctions.Utility_LookupValueInTable(F36,Table_FuelTypes_Units[Fuel type],Table_FuelTypes_Units[Unit])</f>
        <v>kL</v>
      </c>
      <c r="M36" s="157" cm="1">
        <f t="array" ref="M36">Fuel_Equations.VEERG_8_1_1_1__1_FuelCombustionTransport($K36,$G36,$H36)</f>
        <v>0</v>
      </c>
      <c r="N36" s="157" cm="1">
        <f t="array" ref="N36">Fuel_Equations.VEERG_8_1_1_1__1_FuelCombustionTransport($K36,$G36,$I36)</f>
        <v>0</v>
      </c>
      <c r="O36" s="157" cm="1">
        <f t="array" ref="O36">Fuel_Equations.VEERG_8_1_1_1__1_FuelCombustionTransport($K36,$G36,$J36)</f>
        <v>0</v>
      </c>
    </row>
    <row r="37" spans="1:15" ht="20.100000000000001" customHeight="1" x14ac:dyDescent="0.25">
      <c r="A37" s="110" t="str">
        <f>HYPERLINK("#A1", "▲ Back to top")</f>
        <v>▲ Back to top</v>
      </c>
      <c r="D37" s="138" t="str">
        <f>Table_FuelTypesPerUse[[#Headers],[Vessels]]</f>
        <v>Vessels</v>
      </c>
      <c r="E37" s="139" t="str">
        <f>'Constants - Fuel'!$E$10</f>
        <v>Gasoline</v>
      </c>
      <c r="F37" s="139" t="str">
        <f>'Constants - Fuel'!$I$131</f>
        <v>Petrol</v>
      </c>
      <c r="G37" s="153" cm="1">
        <f t="array" ref="G37">IFERROR(_xlfn.XLOOKUP(1, (Table_Fuel_EFs_Transport[Fuel combusted]=$E37)*(Table_Fuel_EFs_Transport[Transport type]=$D$37), Table_Fuel_EFs_Transport[Energy Content Factor (GJ per unit of fuel)]), 0)</f>
        <v>34.200000000000003</v>
      </c>
      <c r="H37" s="153" cm="1">
        <f t="array" ref="H37">IFERROR(_xlfn.XLOOKUP(1, (Table_Fuel_EFs_Transport[Fuel combusted]=$E37)*(Table_Fuel_EFs_Transport[Transport type]=$D$37), Table_Fuel_EFs_Transport[Scope 1 Emission Factor (kg CO2 - e / GJ) CO2]), 0)</f>
        <v>67.400000000000006</v>
      </c>
      <c r="I37" s="153" cm="1">
        <f t="array" ref="I37">IFERROR(_xlfn.XLOOKUP(1, (Table_Fuel_EFs_Transport[Fuel combusted]=$E37)*(Table_Fuel_EFs_Transport[Transport type]=$D$37), Table_Fuel_EFs_Transport[Scope 1 Emission Factor (kg CO2 - e / GJ) CH4]), 0)</f>
        <v>10.1</v>
      </c>
      <c r="J37" s="153" cm="1">
        <f t="array" ref="J37">IFERROR(_xlfn.XLOOKUP(1, (Table_Fuel_EFs_Transport[Fuel combusted]=$E37)*(Table_Fuel_EFs_Transport[Transport type]=$D$37), Table_Fuel_EFs_Transport[Scope 1 Emission Factor (kg CO2 - e / GJ) N2O]), 0)</f>
        <v>0.3</v>
      </c>
      <c r="K37" s="140" cm="1">
        <f t="array" ref="K37">Fuel_InputFunctions.Fuel_TotalConsumption(Table_Input_Fuel[Amount consumed], Table_Input_Fuel[Fuel use (select)], D37, Table_Input_Fuel[Fuel type (select)],F37)</f>
        <v>0</v>
      </c>
      <c r="L37" s="141" t="str" cm="1">
        <f t="array" ref="L37">Common_InputFunctions.Utility_LookupValueInTable(F37,Table_FuelTypes_Units[Fuel type],Table_FuelTypes_Units[Unit])</f>
        <v>kL</v>
      </c>
      <c r="M37" s="159" cm="1">
        <f t="array" ref="M37">Fuel_Equations.VEERG_8_1_1_1__1_FuelCombustionTransport($K37,$G37,$H37)</f>
        <v>0</v>
      </c>
      <c r="N37" s="159" cm="1">
        <f t="array" ref="N37">Fuel_Equations.VEERG_8_1_1_1__1_FuelCombustionTransport($K37,$G37,$I37)</f>
        <v>0</v>
      </c>
      <c r="O37" s="159" cm="1">
        <f t="array" ref="O37">Fuel_Equations.VEERG_8_1_1_1__1_FuelCombustionTransport($K37,$G37,$J37)</f>
        <v>0</v>
      </c>
    </row>
    <row r="38" spans="1:15" ht="20.100000000000001" customHeight="1" x14ac:dyDescent="0.25">
      <c r="D38" s="136" t="str">
        <f>D37</f>
        <v>Vessels</v>
      </c>
      <c r="E38" s="135" t="str">
        <f>'Constants - Fuel'!$E$11</f>
        <v>Diesel oil</v>
      </c>
      <c r="F38" s="135" t="str">
        <f>'Constants - Fuel'!$I$132</f>
        <v>Diesel</v>
      </c>
      <c r="G38" s="48" cm="1">
        <f t="array" ref="G38">IFERROR(_xlfn.XLOOKUP(1, (Table_Fuel_EFs_Transport[Fuel combusted]=$E38)*(Table_Fuel_EFs_Transport[Transport type]=$D$37), Table_Fuel_EFs_Transport[Energy Content Factor (GJ per unit of fuel)]), 0)</f>
        <v>38.6</v>
      </c>
      <c r="H38" s="48" cm="1">
        <f t="array" ref="H38">IFERROR(_xlfn.XLOOKUP(1, (Table_Fuel_EFs_Transport[Fuel combusted]=$E38)*(Table_Fuel_EFs_Transport[Transport type]=$D$37), Table_Fuel_EFs_Transport[Scope 1 Emission Factor (kg CO2 - e / GJ) CO2]), 0)</f>
        <v>69.900000000000006</v>
      </c>
      <c r="I38" s="48" cm="1">
        <f t="array" ref="I38">IFERROR(_xlfn.XLOOKUP(1, (Table_Fuel_EFs_Transport[Fuel combusted]=$E38)*(Table_Fuel_EFs_Transport[Transport type]=$D$37), Table_Fuel_EFs_Transport[Scope 1 Emission Factor (kg CO2 - e / GJ) CH4]), 0)</f>
        <v>0.2</v>
      </c>
      <c r="J38" s="48" cm="1">
        <f t="array" ref="J38">IFERROR(_xlfn.XLOOKUP(1, (Table_Fuel_EFs_Transport[Fuel combusted]=$E38)*(Table_Fuel_EFs_Transport[Transport type]=$D$37), Table_Fuel_EFs_Transport[Scope 1 Emission Factor (kg CO2 - e / GJ) N2O]), 0)</f>
        <v>0.5</v>
      </c>
      <c r="K38" s="111" cm="1">
        <f t="array" ref="K38">Fuel_InputFunctions.Fuel_TotalConsumption(Table_Input_Fuel[Amount consumed], Table_Input_Fuel[Fuel use (select)], D38, Table_Input_Fuel[Fuel type (select)],F38)</f>
        <v>0</v>
      </c>
      <c r="L38" s="111" t="str" cm="1">
        <f t="array" ref="L38">Common_InputFunctions.Utility_LookupValueInTable(F38,Table_FuelTypes_Units[Fuel type],Table_FuelTypes_Units[Unit])</f>
        <v>kL</v>
      </c>
      <c r="M38" s="157" cm="1">
        <f t="array" ref="M38">Fuel_Equations.VEERG_8_1_1_1__1_FuelCombustionTransport($K38,$G38,$H38)</f>
        <v>0</v>
      </c>
      <c r="N38" s="157" cm="1">
        <f t="array" ref="N38">Fuel_Equations.VEERG_8_1_1_1__1_FuelCombustionTransport($K38,$G38,$I38)</f>
        <v>0</v>
      </c>
      <c r="O38" s="157" cm="1">
        <f t="array" ref="O38">Fuel_Equations.VEERG_8_1_1_1__1_FuelCombustionTransport($K38,$G38,$J38)</f>
        <v>0</v>
      </c>
    </row>
    <row r="39" spans="1:15" ht="20.100000000000001" customHeight="1" x14ac:dyDescent="0.25">
      <c r="D39" s="136" t="str">
        <f>D37</f>
        <v>Vessels</v>
      </c>
      <c r="E39" s="135" t="str">
        <f>'Constants - Fuel'!E33</f>
        <v>Fuel Oil</v>
      </c>
      <c r="F39" s="135" t="str">
        <f>'Constants - Fuel'!$I$133</f>
        <v>Fuel oil</v>
      </c>
      <c r="G39" s="48" cm="1">
        <f t="array" ref="G39">IFERROR(_xlfn.XLOOKUP(1, (Table_Fuel_EFs_Transport[Fuel combusted]=$E39)*(Table_Fuel_EFs_Transport[Transport type]=$D$37), Table_Fuel_EFs_Transport[Energy Content Factor (GJ per unit of fuel)]), 0)</f>
        <v>39.700000000000003</v>
      </c>
      <c r="H39" s="48" cm="1">
        <f t="array" ref="H39">IFERROR(_xlfn.XLOOKUP(1, (Table_Fuel_EFs_Transport[Fuel combusted]=$E39)*(Table_Fuel_EFs_Transport[Transport type]=$D$37), Table_Fuel_EFs_Transport[Scope 1 Emission Factor (kg CO2 - e / GJ) CO2]), 0)</f>
        <v>73.599999999999994</v>
      </c>
      <c r="I39" s="48" cm="1">
        <f t="array" ref="I39">IFERROR(_xlfn.XLOOKUP(1, (Table_Fuel_EFs_Transport[Fuel combusted]=$E39)*(Table_Fuel_EFs_Transport[Transport type]=$D$37), Table_Fuel_EFs_Transport[Scope 1 Emission Factor (kg CO2 - e / GJ) CH4]), 0)</f>
        <v>0.2</v>
      </c>
      <c r="J39" s="48" cm="1">
        <f t="array" ref="J39">IFERROR(_xlfn.XLOOKUP(1, (Table_Fuel_EFs_Transport[Fuel combusted]=$E39)*(Table_Fuel_EFs_Transport[Transport type]=$D$37), Table_Fuel_EFs_Transport[Scope 1 Emission Factor (kg CO2 - e / GJ) N2O]), 0)</f>
        <v>0.5</v>
      </c>
      <c r="K39" s="111" cm="1">
        <f t="array" ref="K39">Fuel_InputFunctions.Fuel_TotalConsumption(Table_Input_Fuel[Amount consumed], Table_Input_Fuel[Fuel use (select)], D39, Table_Input_Fuel[Fuel type (select)],F39)</f>
        <v>0</v>
      </c>
      <c r="L39" s="111" t="str" cm="1">
        <f t="array" ref="L39">Common_InputFunctions.Utility_LookupValueInTable(F39,Table_FuelTypes_Units[Fuel type],Table_FuelTypes_Units[Unit])</f>
        <v>kL</v>
      </c>
      <c r="M39" s="157" cm="1">
        <f t="array" ref="M39">Fuel_Equations.VEERG_8_1_1_1__1_FuelCombustionTransport($K39,$G39,$H39)</f>
        <v>0</v>
      </c>
      <c r="N39" s="157" cm="1">
        <f t="array" ref="N39">Fuel_Equations.VEERG_8_1_1_1__1_FuelCombustionTransport($K39,$G39,$I39)</f>
        <v>0</v>
      </c>
      <c r="O39" s="157" cm="1">
        <f t="array" ref="O39">Fuel_Equations.VEERG_8_1_1_1__1_FuelCombustionTransport($K39,$G39,$J39)</f>
        <v>0</v>
      </c>
    </row>
    <row r="40" spans="1:15" ht="20.100000000000001" customHeight="1" x14ac:dyDescent="0.25">
      <c r="H40" s="99"/>
      <c r="I40" s="99"/>
      <c r="J40" s="99"/>
      <c r="L40" s="99"/>
      <c r="M40" s="99"/>
      <c r="N40" s="99"/>
      <c r="O40" s="99"/>
    </row>
    <row r="41" spans="1:15" ht="20.100000000000001" customHeight="1" x14ac:dyDescent="0.25">
      <c r="H41" s="99"/>
      <c r="I41" s="99"/>
      <c r="J41" s="99"/>
      <c r="L41" s="99"/>
      <c r="M41" s="99"/>
      <c r="N41" s="99"/>
      <c r="O41" s="99"/>
    </row>
    <row r="42" spans="1:15" ht="20.100000000000001" customHeight="1" x14ac:dyDescent="0.25">
      <c r="D42" s="142" t="str">
        <f>"Total scope 1 - " &amp; D25</f>
        <v>Total scope 1 - Cars and light commercial vehicles</v>
      </c>
      <c r="E42" s="143"/>
      <c r="F42" s="144"/>
    </row>
    <row r="43" spans="1:15" ht="20.100000000000001" customHeight="1" x14ac:dyDescent="0.25">
      <c r="D43" s="3" t="s">
        <v>203</v>
      </c>
      <c r="E43" s="155">
        <f>SUM(M25:M32)</f>
        <v>0</v>
      </c>
      <c r="F43" s="2" t="str">
        <f>$E$12</f>
        <v>t CO2-e</v>
      </c>
    </row>
    <row r="44" spans="1:15" ht="20.100000000000001" customHeight="1" x14ac:dyDescent="0.25">
      <c r="D44" s="3" t="s">
        <v>204</v>
      </c>
      <c r="E44" s="155">
        <f>SUM(N25:N32)</f>
        <v>0</v>
      </c>
      <c r="F44" s="2" t="str">
        <f t="shared" ref="F44:F45" si="0">$E$12</f>
        <v>t CO2-e</v>
      </c>
    </row>
    <row r="45" spans="1:15" ht="20.100000000000001" customHeight="1" x14ac:dyDescent="0.25">
      <c r="D45" s="3" t="s">
        <v>205</v>
      </c>
      <c r="E45" s="155">
        <f>SUM(O25:O32)</f>
        <v>0</v>
      </c>
      <c r="F45" s="2" t="str">
        <f t="shared" si="0"/>
        <v>t CO2-e</v>
      </c>
    </row>
    <row r="46" spans="1:15" ht="20.100000000000001" customHeight="1" x14ac:dyDescent="0.25">
      <c r="D46" s="3"/>
      <c r="E46" s="145"/>
      <c r="F46" s="2"/>
    </row>
    <row r="47" spans="1:15" ht="20.100000000000001" customHeight="1" x14ac:dyDescent="0.25">
      <c r="D47" s="99"/>
      <c r="E47" s="99"/>
      <c r="F47" s="99"/>
    </row>
    <row r="48" spans="1:15" ht="20.100000000000001" customHeight="1" x14ac:dyDescent="0.25">
      <c r="D48" s="142" t="str">
        <f>"Total - " &amp; D33</f>
        <v>Total - Off-road Agriculture and forestry equipment</v>
      </c>
      <c r="E48" s="146"/>
      <c r="F48" s="144"/>
      <c r="H48" s="99"/>
      <c r="I48" s="99"/>
      <c r="J48" s="99"/>
      <c r="L48" s="99"/>
      <c r="M48" s="99"/>
      <c r="N48" s="99"/>
      <c r="O48" s="99"/>
    </row>
    <row r="49" spans="4:15" ht="20.100000000000001" customHeight="1" x14ac:dyDescent="0.25">
      <c r="D49" s="3" t="s">
        <v>203</v>
      </c>
      <c r="E49" s="155">
        <f>SUM(M33:M33)</f>
        <v>0</v>
      </c>
      <c r="F49" s="2" t="str">
        <f t="shared" ref="F49:F51" si="1">$E$12</f>
        <v>t CO2-e</v>
      </c>
      <c r="H49" s="99"/>
      <c r="I49" s="99"/>
      <c r="J49" s="99"/>
      <c r="L49" s="99"/>
      <c r="M49" s="99"/>
      <c r="N49" s="99"/>
      <c r="O49" s="99"/>
    </row>
    <row r="50" spans="4:15" ht="20.100000000000001" customHeight="1" x14ac:dyDescent="0.25">
      <c r="D50" s="3" t="s">
        <v>204</v>
      </c>
      <c r="E50" s="155">
        <f>SUM(N33:N33)</f>
        <v>0</v>
      </c>
      <c r="F50" s="2" t="str">
        <f t="shared" si="1"/>
        <v>t CO2-e</v>
      </c>
      <c r="H50" s="99"/>
      <c r="I50" s="99"/>
      <c r="J50" s="99"/>
      <c r="L50" s="99"/>
      <c r="M50" s="99"/>
      <c r="N50" s="99"/>
      <c r="O50" s="99"/>
    </row>
    <row r="51" spans="4:15" ht="20.100000000000001" customHeight="1" x14ac:dyDescent="0.25">
      <c r="D51" s="3" t="s">
        <v>205</v>
      </c>
      <c r="E51" s="155">
        <f>SUM(O33:O33)</f>
        <v>0</v>
      </c>
      <c r="F51" s="2" t="str">
        <f t="shared" si="1"/>
        <v>t CO2-e</v>
      </c>
      <c r="H51" s="99"/>
      <c r="I51" s="99"/>
      <c r="J51" s="99"/>
      <c r="L51" s="99"/>
      <c r="M51" s="99"/>
      <c r="N51" s="99"/>
      <c r="O51" s="99"/>
    </row>
    <row r="52" spans="4:15" ht="20.100000000000001" customHeight="1" x14ac:dyDescent="0.25">
      <c r="D52" s="3"/>
      <c r="E52" s="145"/>
      <c r="F52" s="2"/>
      <c r="H52" s="99"/>
      <c r="I52" s="99"/>
      <c r="J52" s="99"/>
      <c r="L52" s="99"/>
      <c r="M52" s="99"/>
      <c r="N52" s="99"/>
      <c r="O52" s="99"/>
    </row>
    <row r="53" spans="4:15" ht="20.100000000000001" customHeight="1" x14ac:dyDescent="0.25">
      <c r="D53" s="99"/>
      <c r="E53" s="147"/>
      <c r="F53" s="99"/>
      <c r="G53" s="99"/>
      <c r="H53" s="99"/>
      <c r="I53" s="99"/>
      <c r="J53" s="99"/>
      <c r="L53" s="99"/>
      <c r="M53" s="99"/>
      <c r="N53" s="99"/>
      <c r="O53" s="99"/>
    </row>
    <row r="54" spans="4:15" ht="20.100000000000001" customHeight="1" x14ac:dyDescent="0.25">
      <c r="D54" s="142" t="str">
        <f>"Total - " &amp; D34</f>
        <v>Total - Aviation</v>
      </c>
      <c r="E54" s="146"/>
      <c r="F54" s="144"/>
      <c r="G54" s="99"/>
      <c r="H54" s="99"/>
      <c r="I54" s="99"/>
      <c r="J54" s="99"/>
      <c r="L54" s="99"/>
      <c r="M54" s="99"/>
      <c r="N54" s="99"/>
      <c r="O54" s="99"/>
    </row>
    <row r="55" spans="4:15" ht="20.100000000000001" customHeight="1" x14ac:dyDescent="0.25">
      <c r="D55" s="3" t="s">
        <v>203</v>
      </c>
      <c r="E55" s="155">
        <f>SUM(M34:M36)</f>
        <v>0</v>
      </c>
      <c r="F55" s="2" t="str">
        <f t="shared" ref="F55:F57" si="2">$E$12</f>
        <v>t CO2-e</v>
      </c>
      <c r="G55" s="99"/>
      <c r="H55" s="99"/>
      <c r="I55" s="99"/>
      <c r="J55" s="99"/>
      <c r="L55" s="99"/>
      <c r="M55" s="99"/>
      <c r="N55" s="99"/>
      <c r="O55" s="99"/>
    </row>
    <row r="56" spans="4:15" ht="20.100000000000001" customHeight="1" x14ac:dyDescent="0.25">
      <c r="D56" s="3" t="s">
        <v>204</v>
      </c>
      <c r="E56" s="155">
        <f>SUM(N34:N36)</f>
        <v>0</v>
      </c>
      <c r="F56" s="2" t="str">
        <f t="shared" si="2"/>
        <v>t CO2-e</v>
      </c>
      <c r="G56" s="99"/>
      <c r="H56" s="99"/>
      <c r="I56" s="99"/>
      <c r="J56" s="99"/>
      <c r="L56" s="99"/>
      <c r="M56" s="99"/>
      <c r="N56" s="99"/>
      <c r="O56" s="99"/>
    </row>
    <row r="57" spans="4:15" ht="20.100000000000001" customHeight="1" x14ac:dyDescent="0.25">
      <c r="D57" s="3" t="s">
        <v>205</v>
      </c>
      <c r="E57" s="155">
        <f>SUM(O34:O36)</f>
        <v>0</v>
      </c>
      <c r="F57" s="2" t="str">
        <f t="shared" si="2"/>
        <v>t CO2-e</v>
      </c>
      <c r="G57" s="99"/>
      <c r="H57" s="99"/>
      <c r="I57" s="99"/>
      <c r="J57" s="99"/>
      <c r="L57" s="99"/>
      <c r="M57" s="99"/>
      <c r="N57" s="99"/>
      <c r="O57" s="99"/>
    </row>
    <row r="58" spans="4:15" ht="20.100000000000001" customHeight="1" x14ac:dyDescent="0.25">
      <c r="D58" s="3"/>
      <c r="E58" s="145"/>
      <c r="F58" s="2"/>
      <c r="G58" s="99"/>
      <c r="H58" s="99"/>
      <c r="I58" s="99"/>
      <c r="J58" s="99"/>
      <c r="L58" s="99"/>
      <c r="M58" s="99"/>
      <c r="N58" s="99"/>
      <c r="O58" s="99"/>
    </row>
    <row r="59" spans="4:15" ht="20.100000000000001" customHeight="1" x14ac:dyDescent="0.25">
      <c r="D59" s="99"/>
      <c r="E59" s="147"/>
      <c r="F59" s="99"/>
      <c r="G59" s="99"/>
      <c r="H59" s="99"/>
      <c r="I59" s="99"/>
      <c r="J59" s="99"/>
      <c r="L59" s="99"/>
      <c r="M59" s="99"/>
      <c r="N59" s="99"/>
      <c r="O59" s="99"/>
    </row>
    <row r="60" spans="4:15" ht="20.100000000000001" customHeight="1" x14ac:dyDescent="0.25">
      <c r="D60" s="142" t="str">
        <f>"Total - " &amp; D37</f>
        <v>Total - Vessels</v>
      </c>
      <c r="E60" s="146"/>
      <c r="F60" s="144"/>
      <c r="G60" s="99"/>
      <c r="H60" s="99"/>
      <c r="I60" s="99"/>
      <c r="J60" s="99"/>
      <c r="L60" s="99"/>
      <c r="M60" s="99"/>
      <c r="N60" s="99"/>
      <c r="O60" s="99"/>
    </row>
    <row r="61" spans="4:15" ht="20.100000000000001" customHeight="1" x14ac:dyDescent="0.25">
      <c r="D61" s="3" t="s">
        <v>203</v>
      </c>
      <c r="E61" s="155">
        <f>SUM(M37:M39)</f>
        <v>0</v>
      </c>
      <c r="F61" s="2" t="str">
        <f t="shared" ref="F61:F63" si="3">$E$12</f>
        <v>t CO2-e</v>
      </c>
      <c r="G61" s="99"/>
      <c r="H61" s="99"/>
      <c r="I61" s="99"/>
      <c r="J61" s="99"/>
      <c r="L61" s="99"/>
      <c r="M61" s="99"/>
      <c r="N61" s="99"/>
      <c r="O61" s="99"/>
    </row>
    <row r="62" spans="4:15" ht="20.100000000000001" customHeight="1" x14ac:dyDescent="0.25">
      <c r="D62" s="3" t="s">
        <v>204</v>
      </c>
      <c r="E62" s="155">
        <f>SUM(N37:N39)</f>
        <v>0</v>
      </c>
      <c r="F62" s="2" t="str">
        <f t="shared" si="3"/>
        <v>t CO2-e</v>
      </c>
      <c r="G62" s="99"/>
      <c r="H62" s="99"/>
      <c r="I62" s="99"/>
      <c r="J62" s="99"/>
      <c r="L62" s="99"/>
      <c r="M62" s="99"/>
      <c r="N62" s="99"/>
      <c r="O62" s="99"/>
    </row>
    <row r="63" spans="4:15" ht="20.100000000000001" customHeight="1" x14ac:dyDescent="0.25">
      <c r="D63" s="3" t="s">
        <v>205</v>
      </c>
      <c r="E63" s="155">
        <f>SUM(O37:O39)</f>
        <v>0</v>
      </c>
      <c r="F63" s="2" t="str">
        <f t="shared" si="3"/>
        <v>t CO2-e</v>
      </c>
      <c r="G63" s="99"/>
      <c r="H63" s="99"/>
      <c r="I63" s="99"/>
      <c r="J63" s="99"/>
      <c r="L63" s="99"/>
      <c r="M63" s="99"/>
      <c r="N63" s="99"/>
      <c r="O63" s="99"/>
    </row>
    <row r="64" spans="4:15" ht="20.100000000000001" customHeight="1" x14ac:dyDescent="0.25">
      <c r="D64" s="3"/>
      <c r="E64" s="145"/>
      <c r="F64" s="2"/>
      <c r="G64" s="99"/>
      <c r="H64" s="99"/>
      <c r="I64" s="99"/>
      <c r="J64" s="99"/>
      <c r="L64" s="99"/>
      <c r="M64" s="99"/>
      <c r="N64" s="99"/>
      <c r="O64" s="99"/>
    </row>
    <row r="65" spans="1:15" ht="20.100000000000001" customHeight="1" x14ac:dyDescent="0.25">
      <c r="G65" s="99"/>
      <c r="H65" s="99"/>
      <c r="I65" s="99"/>
      <c r="J65" s="99"/>
      <c r="L65" s="99"/>
      <c r="M65" s="99"/>
      <c r="N65" s="99"/>
      <c r="O65" s="99"/>
    </row>
    <row r="66" spans="1:15" ht="20.100000000000001" customHeight="1" x14ac:dyDescent="0.25">
      <c r="D66" s="142" t="s">
        <v>206</v>
      </c>
      <c r="E66" s="148"/>
      <c r="F66" s="144"/>
      <c r="G66" s="99"/>
      <c r="H66" s="99"/>
      <c r="I66" s="99"/>
      <c r="J66" s="99"/>
      <c r="L66" s="99"/>
      <c r="M66" s="99"/>
      <c r="N66" s="99"/>
      <c r="O66" s="99"/>
    </row>
    <row r="67" spans="1:15" ht="20.100000000000001" customHeight="1" x14ac:dyDescent="0.25">
      <c r="D67" s="3" t="s">
        <v>203</v>
      </c>
      <c r="E67" s="155">
        <f>E43+E49+E55</f>
        <v>0</v>
      </c>
      <c r="F67" s="2" t="str">
        <f t="shared" ref="F67:F69" si="4">$E$12</f>
        <v>t CO2-e</v>
      </c>
      <c r="G67" s="99"/>
    </row>
    <row r="68" spans="1:15" ht="20.100000000000001" customHeight="1" x14ac:dyDescent="0.25">
      <c r="D68" s="3" t="s">
        <v>204</v>
      </c>
      <c r="E68" s="155">
        <f>E44+E50+E56</f>
        <v>0</v>
      </c>
      <c r="F68" s="2" t="str">
        <f t="shared" si="4"/>
        <v>t CO2-e</v>
      </c>
      <c r="G68" s="99"/>
    </row>
    <row r="69" spans="1:15" ht="20.100000000000001" customHeight="1" x14ac:dyDescent="0.25">
      <c r="A69" s="110" t="str">
        <f>HYPERLINK("#A1", "▲ Back to top")</f>
        <v>▲ Back to top</v>
      </c>
      <c r="D69" s="3" t="s">
        <v>205</v>
      </c>
      <c r="E69" s="155">
        <f>E45+E51+E57</f>
        <v>0</v>
      </c>
      <c r="F69" s="2" t="str">
        <f t="shared" si="4"/>
        <v>t CO2-e</v>
      </c>
      <c r="G69" s="99"/>
    </row>
    <row r="70" spans="1:15" ht="20.100000000000001" customHeight="1" x14ac:dyDescent="0.25">
      <c r="G70" s="99"/>
    </row>
    <row r="71" spans="1:15" ht="20.100000000000001" customHeight="1" x14ac:dyDescent="0.25">
      <c r="G71" s="99"/>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spans="1:1" ht="20.100000000000001" customHeight="1" x14ac:dyDescent="0.25"/>
    <row r="82" spans="1:1" ht="20.100000000000001" customHeight="1" x14ac:dyDescent="0.25"/>
    <row r="83" spans="1:1" ht="20.100000000000001" customHeight="1" x14ac:dyDescent="0.25">
      <c r="A83" s="110"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P165"/>
  <sheetViews>
    <sheetView showGridLines="0" topLeftCell="B2" zoomScale="85" zoomScaleNormal="85" workbookViewId="0">
      <selection activeCell="J30" sqref="J30"/>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154</v>
      </c>
    </row>
    <row r="2" spans="1:16" s="9" customFormat="1" ht="20.100000000000001" customHeight="1" x14ac:dyDescent="0.25">
      <c r="A2"/>
    </row>
    <row r="3" spans="1:16" ht="20.100000000000001" customHeight="1" x14ac:dyDescent="0.25">
      <c r="A3" s="17" t="str">
        <f>HYPERLINK("#'Home'!A1", "Home")</f>
        <v>Home</v>
      </c>
      <c r="C3" s="4"/>
      <c r="D3" s="4" t="s">
        <v>79</v>
      </c>
      <c r="E3" s="4"/>
      <c r="F3" s="4"/>
      <c r="G3" s="4"/>
      <c r="H3" s="4"/>
      <c r="I3" s="4"/>
      <c r="J3" s="4"/>
      <c r="K3" s="4"/>
      <c r="L3" s="4"/>
      <c r="M3" s="4"/>
      <c r="N3" s="4"/>
      <c r="O3" s="4"/>
      <c r="P3" s="4"/>
    </row>
    <row r="4" spans="1:16" ht="20.100000000000001" customHeight="1" x14ac:dyDescent="0.25">
      <c r="A4" s="17" t="str">
        <f>HYPERLINK("#'Overview'!A1", "Overview")</f>
        <v>Overview</v>
      </c>
    </row>
    <row r="5" spans="1:16" ht="20.100000000000001" customHeight="1" x14ac:dyDescent="0.25">
      <c r="A5" s="17" t="str">
        <f>HYPERLINK("#'Results'!A1", "Results")</f>
        <v>Results</v>
      </c>
      <c r="D5" s="6" t="str" cm="1">
        <f t="array" ref="D5">Fuel_Equations.VEERG_8_2_1_1__1_FuelCombustionStationary_Title()</f>
        <v>Emissions for each GHG from the stationary combustion of fuels</v>
      </c>
      <c r="O5" s="99"/>
    </row>
    <row r="6" spans="1:16" ht="20.100000000000001" customHeight="1" x14ac:dyDescent="0.25">
      <c r="A6" s="16"/>
      <c r="D6" s="5" t="str" cm="1">
        <f t="array" ref="D6">Fuel_Equations.VEERG_8_2_1_1__1_FuelCombustionStationary_Source()</f>
        <v>VEERG 2026: 8.2.1.1, Equation (1)</v>
      </c>
      <c r="O6" s="99"/>
    </row>
    <row r="7" spans="1:16" ht="20.100000000000001" customHeight="1" x14ac:dyDescent="0.25">
      <c r="A7" s="20" t="s">
        <v>1</v>
      </c>
      <c r="D7" s="13" t="s">
        <v>22</v>
      </c>
      <c r="E7" s="13" t="str" cm="1">
        <f t="array" aca="1" ref="E7" ca="1">Common_InputFunctions.Utility_DisplayFunctionName(M25)</f>
        <v>=Fuel_Equations.VEERG_8_2_1_1__1_FuelCombustionStationary</v>
      </c>
      <c r="O7" s="99"/>
    </row>
    <row r="8" spans="1:16" ht="20.100000000000001" customHeight="1" x14ac:dyDescent="0.25">
      <c r="A8" s="17" t="str">
        <f>HYPERLINK("#'Input - Site'!A1", "Site")</f>
        <v>Site</v>
      </c>
      <c r="O8" s="99"/>
    </row>
    <row r="9" spans="1:16" ht="20.100000000000001" customHeight="1" x14ac:dyDescent="0.25">
      <c r="A9" s="17" t="str">
        <f>HYPERLINK("#'Input - Fertiliser'!A1", "Fertiliser")</f>
        <v>Fertiliser</v>
      </c>
      <c r="G9" s="5"/>
      <c r="O9" s="99"/>
    </row>
    <row r="10" spans="1:16" ht="20.100000000000001" customHeight="1" x14ac:dyDescent="0.25">
      <c r="A10" s="17"/>
      <c r="O10" s="99"/>
    </row>
    <row r="11" spans="1:16" ht="20.100000000000001" customHeight="1" x14ac:dyDescent="0.25">
      <c r="A11" s="19" t="s">
        <v>69</v>
      </c>
      <c r="D11" s="49" t="s">
        <v>25</v>
      </c>
      <c r="E11" s="1" t="str" cm="1">
        <f t="array" ref="E11">Fuel_Equations.VEERG_8_2_1_1__1_FuelCombustionStationary_Variable()</f>
        <v>E_g</v>
      </c>
      <c r="O11" s="99"/>
    </row>
    <row r="12" spans="1:16" ht="20.100000000000001" customHeight="1" x14ac:dyDescent="0.25">
      <c r="A12" s="17" t="str">
        <f>HYPERLINK("#'5.1.1.1-2 Inorganic Fert N2O'!A1", "5.1.1.1-2 Inorganic Fert N2O")</f>
        <v>5.1.1.1-2 Inorganic Fert N2O</v>
      </c>
      <c r="D12" s="49" t="s">
        <v>16</v>
      </c>
      <c r="E12" s="50" t="str" cm="1">
        <f t="array" ref="E12">Fuel_Equations.VEERG_8_2_1_1__1_FuelCombustionStationary_Unit()</f>
        <v>t CO2-e</v>
      </c>
    </row>
    <row r="13" spans="1:16" ht="20.100000000000001" customHeight="1" x14ac:dyDescent="0.25">
      <c r="A13" s="118" t="str">
        <f>HYPERLINK("#'5.1.1.3-4 Inorganic fert CO2'!A1", "5.1.1.3-4 Inorganic fert CO2")</f>
        <v>5.1.1.3-4 Inorganic fert CO2</v>
      </c>
    </row>
    <row r="14" spans="1:16" ht="20.100000000000001" customHeight="1" x14ac:dyDescent="0.25">
      <c r="A14" s="17" t="str">
        <f>HYPERLINK("#'5.2.1.1-2 Organic Fert N2O'!A1", "5.2.1.1-2 Organic Fert N2O")</f>
        <v>5.2.1.1-2 Organic Fert N2O</v>
      </c>
      <c r="D14" s="107" t="str" cm="1">
        <f t="array" ref="D14:E20">_xlfn.CHOOSECOLS(Fuel_Equations.VEERG_8_2_1_1__1_FuelCombustionStationary_Arguments(), 1,2)</f>
        <v>Q_SCq</v>
      </c>
      <c r="E14" s="109" t="str">
        <v>Amount of fuel type q used for stationary combustion operations</v>
      </c>
      <c r="F14" s="108"/>
      <c r="G14" s="107" t="str" cm="1">
        <f t="array" ref="G14:H20">_xlfn.CHOOSECOLS(Fuel_Equations.VEERG_8_2_1_1__1_FuelCombustionStationary_Arguments(), 3,4)</f>
        <v>Varies based on fuel type: kL, m3, GJ</v>
      </c>
      <c r="H14" s="102" t="str">
        <v>Input</v>
      </c>
      <c r="I14" s="106" t="str" cm="1">
        <f t="array" aca="1" ref="I14" ca="1">HYPERLINK(Common_InputFunctions.Utility_SourceHyperlink($D$22), $D$22)</f>
        <v>Table_E_g</v>
      </c>
      <c r="O14" s="99"/>
    </row>
    <row r="15" spans="1:16" ht="20.100000000000001" customHeight="1" x14ac:dyDescent="0.25">
      <c r="A15" s="17" t="str">
        <f>HYPERLINK("#'5.3.1.1-2 Lime CO2'!A1", "5.3.1.1-2 Lime CO2")</f>
        <v>5.3.1.1-2 Lime CO2</v>
      </c>
      <c r="D15" s="107" t="str">
        <v>EC_SCq</v>
      </c>
      <c r="E15" s="109" t="str">
        <v>Energy content factor for stationary combustion operations</v>
      </c>
      <c r="F15" s="108"/>
      <c r="G15" s="107" t="str">
        <v>GJ / unit of fuel</v>
      </c>
      <c r="H15" s="101" t="str">
        <v>Constant</v>
      </c>
      <c r="I15" s="106" t="str" cm="1">
        <f t="array" aca="1" ref="I15" ca="1">HYPERLINK(Common_InputFunctions.Utility_SourceHyperlink($D$22), $D$22)</f>
        <v>Table_E_g</v>
      </c>
      <c r="O15" s="99"/>
    </row>
    <row r="16" spans="1:16" ht="20.100000000000001" customHeight="1" x14ac:dyDescent="0.25">
      <c r="A16" s="17" t="str">
        <f>HYPERLINK("#'5.4.1.1-4 Atmos deposition'!A1", "5.4.1.1-4 Atmos deposition")</f>
        <v>5.4.1.1-4 Atmos deposition</v>
      </c>
      <c r="D16" s="107" t="str">
        <v>EF_SC1qg</v>
      </c>
      <c r="E16" s="109" t="str">
        <v>Scope 1 emission factor for stationary combustion for each greenhouse gas</v>
      </c>
      <c r="F16" s="108"/>
      <c r="G16" s="107" t="str">
        <v>kg CO2e / GJ</v>
      </c>
      <c r="H16" s="101" t="str">
        <v>Constant</v>
      </c>
      <c r="I16" s="106" t="str" cm="1">
        <f t="array" aca="1" ref="I16" ca="1">HYPERLINK(Common_InputFunctions.Utility_SourceHyperlink($D$22), $D$22)</f>
        <v>Table_E_g</v>
      </c>
      <c r="O16" s="99"/>
    </row>
    <row r="17" spans="1:15" ht="20.100000000000001" customHeight="1" x14ac:dyDescent="0.25">
      <c r="A17" s="17" t="str">
        <f>HYPERLINK("#'5.5.1.1-2 Leaching and runoff'!A1", "5.5.1.1-2 Leaching and runoff")</f>
        <v>5.5.1.1-2 Leaching and runoff</v>
      </c>
      <c r="D17" s="107" t="str">
        <v>q</v>
      </c>
      <c r="E17" s="109" t="str">
        <v>Fuel type</v>
      </c>
      <c r="F17" s="108"/>
      <c r="G17" s="107" t="str">
        <v/>
      </c>
      <c r="H17" s="101" t="str">
        <v>Constant</v>
      </c>
      <c r="I17" s="106"/>
      <c r="J17" s="99"/>
      <c r="L17" s="99"/>
      <c r="N17" s="99"/>
      <c r="O17" s="99"/>
    </row>
    <row r="18" spans="1:15" ht="20.100000000000001" customHeight="1" x14ac:dyDescent="0.25">
      <c r="D18" s="107" t="str">
        <v>SC</v>
      </c>
      <c r="E18" s="109" t="str">
        <v>Stationary combustion</v>
      </c>
      <c r="F18" s="108"/>
      <c r="G18" s="107" t="str">
        <v/>
      </c>
      <c r="H18" s="101" t="str">
        <v>Constant</v>
      </c>
      <c r="I18" s="106"/>
      <c r="J18" s="99"/>
      <c r="L18" s="99"/>
      <c r="N18" s="99"/>
      <c r="O18" s="99"/>
    </row>
    <row r="19" spans="1:15" ht="20.100000000000001" customHeight="1" x14ac:dyDescent="0.25">
      <c r="A19" s="18" t="s">
        <v>2</v>
      </c>
      <c r="D19" s="107" t="str">
        <v>g</v>
      </c>
      <c r="E19" s="109" t="str">
        <v>Greenhouse gas</v>
      </c>
      <c r="F19" s="108"/>
      <c r="G19" s="107" t="str">
        <v/>
      </c>
      <c r="H19" s="101" t="str">
        <v>Constant</v>
      </c>
      <c r="I19" s="106"/>
      <c r="J19" s="99"/>
      <c r="L19" s="99"/>
      <c r="N19" s="99"/>
      <c r="O19" s="99"/>
    </row>
    <row r="20" spans="1:15" ht="20.100000000000001" customHeight="1" x14ac:dyDescent="0.25">
      <c r="A20" s="17" t="str">
        <f>HYPERLINK("#'Constants - Fertiliser'!A1", "Constants - Fertiliser")</f>
        <v>Constants - Fertiliser</v>
      </c>
      <c r="D20" s="107" t="str">
        <v>1</v>
      </c>
      <c r="E20" s="109" t="str">
        <v>Scope 1</v>
      </c>
      <c r="F20" s="108"/>
      <c r="G20" s="107" t="str">
        <v/>
      </c>
      <c r="H20" s="101" t="str">
        <v>Constant</v>
      </c>
      <c r="I20" s="106"/>
      <c r="J20" s="99"/>
      <c r="L20" s="99"/>
      <c r="N20" s="99"/>
      <c r="O20" s="99"/>
    </row>
    <row r="21" spans="1:15" ht="20.100000000000001" customHeight="1" x14ac:dyDescent="0.25">
      <c r="A21" s="17" t="str">
        <f>HYPERLINK("#'Constants - Common'!A1", "Constants - Common")</f>
        <v>Constants - Common</v>
      </c>
      <c r="O21" s="99"/>
    </row>
    <row r="22" spans="1:15" ht="20.100000000000001" customHeight="1" x14ac:dyDescent="0.25">
      <c r="D22" s="87" t="s">
        <v>208</v>
      </c>
    </row>
    <row r="23" spans="1:15" ht="20.100000000000001" customHeight="1" x14ac:dyDescent="0.25">
      <c r="A23" s="17"/>
      <c r="D23" s="86" t="s">
        <v>210</v>
      </c>
    </row>
    <row r="24" spans="1:15" ht="20.100000000000001" customHeight="1" x14ac:dyDescent="0.25">
      <c r="D24" s="47" t="s">
        <v>193</v>
      </c>
      <c r="E24" s="47" t="s">
        <v>207</v>
      </c>
      <c r="F24" s="47" t="s">
        <v>194</v>
      </c>
      <c r="G24" s="47" t="s">
        <v>211</v>
      </c>
      <c r="H24" s="47" t="s">
        <v>212</v>
      </c>
      <c r="I24" s="47" t="s">
        <v>213</v>
      </c>
      <c r="J24" s="47" t="s">
        <v>214</v>
      </c>
      <c r="K24" s="100" t="s">
        <v>215</v>
      </c>
      <c r="L24" s="47" t="s">
        <v>199</v>
      </c>
      <c r="M24" s="47" t="s">
        <v>200</v>
      </c>
      <c r="N24" s="47" t="s">
        <v>201</v>
      </c>
      <c r="O24" s="47" t="s">
        <v>202</v>
      </c>
    </row>
    <row r="25" spans="1:15" ht="20.100000000000001" customHeight="1" x14ac:dyDescent="0.25">
      <c r="D25" s="3" t="str">
        <f>Table_FuelTypesPerUse[[#Headers],[Generators]]</f>
        <v>Generators</v>
      </c>
      <c r="E25" s="135" t="str">
        <f>'Constants - Fuel'!$D$58</f>
        <v>Automotive gasoline / petrol (other than for use as fuel in an aircraft)</v>
      </c>
      <c r="F25" s="135" t="str">
        <f>'Constants - Fuel'!D131</f>
        <v>Petrol</v>
      </c>
      <c r="G25" s="48">
        <f>IFERROR(_xlfn.XLOOKUP($E25, Table_Fuel_EFs_StationaryLiquid[Fuel combusted], Table_Fuel_EFs_StationaryLiquid[Energy Content Factor (GJ per unit of fuel)]),0)</f>
        <v>34.200000000000003</v>
      </c>
      <c r="H25" s="48">
        <f>IFERROR(_xlfn.XLOOKUP($E25, Table_Fuel_EFs_StationaryLiquid[Fuel combusted], Table_Fuel_EFs_StationaryLiquid[Scope 1 Emission Factor (kg CO2 - e / GJ) CO2]),0)</f>
        <v>67.400000000000006</v>
      </c>
      <c r="I25" s="48">
        <f>IFERROR(_xlfn.XLOOKUP($E25, Table_Fuel_EFs_StationaryLiquid[Fuel combusted], Table_Fuel_EFs_StationaryLiquid[Scope 1 Emission Factor (kg CO2 - e / GJ) CH4]),0)</f>
        <v>0.2</v>
      </c>
      <c r="J25" s="48">
        <f>IFERROR(_xlfn.XLOOKUP($E25, Table_Fuel_EFs_StationaryLiquid[Fuel combusted], Table_Fuel_EFs_StationaryLiquid[Scope 1 Emission Factor (kg CO2 - e / GJ) N2O]),0)</f>
        <v>0.2</v>
      </c>
      <c r="K25" s="111" cm="1">
        <f t="array" ref="K25">Fuel_InputFunctions.Fuel_TotalConsumption(Table_Input_Fuel[Amount consumed], Table_Input_Fuel[Fuel use (select)], D25, Table_Input_Fuel[Fuel type (select)],F25)</f>
        <v>0</v>
      </c>
      <c r="L25" s="111" t="str" cm="1">
        <f t="array" ref="L25">Common_InputFunctions.Utility_LookupValueInTable(F25,Table_FuelTypes_Units[Fuel type],Table_FuelTypes_Units[Unit])</f>
        <v>kL</v>
      </c>
      <c r="M25" s="160" cm="1">
        <f t="array" ref="M25">Fuel_Equations.VEERG_8_2_1_1__1_FuelCombustionStationary($K25,$G25,H25)</f>
        <v>0</v>
      </c>
      <c r="N25" s="160" cm="1">
        <f t="array" ref="N25">Fuel_Equations.VEERG_8_2_1_1__1_FuelCombustionStationary($K25,$G25,I25)</f>
        <v>0</v>
      </c>
      <c r="O25" s="160" cm="1">
        <f t="array" ref="O25">Fuel_Equations.VEERG_8_2_1_1__1_FuelCombustionStationary($K25,$G25,J25)</f>
        <v>0</v>
      </c>
    </row>
    <row r="26" spans="1:15" ht="20.100000000000001" customHeight="1" x14ac:dyDescent="0.25">
      <c r="D26" s="136" t="str">
        <f>$D$25</f>
        <v>Generators</v>
      </c>
      <c r="E26" s="135" t="str">
        <f>'Constants - Fuel'!$D$63</f>
        <v>Diesel oil</v>
      </c>
      <c r="F26" s="135" t="str">
        <f>'Constants - Fuel'!D132</f>
        <v>Diesel</v>
      </c>
      <c r="G26" s="48">
        <f>IFERROR(_xlfn.XLOOKUP($E26, Table_Fuel_EFs_StationaryLiquid[Fuel combusted], Table_Fuel_EFs_StationaryLiquid[Energy Content Factor (GJ per unit of fuel)]),0)</f>
        <v>38.6</v>
      </c>
      <c r="H26" s="48">
        <f>IFERROR(_xlfn.XLOOKUP($E26, Table_Fuel_EFs_StationaryLiquid[Fuel combusted], Table_Fuel_EFs_StationaryLiquid[Scope 1 Emission Factor (kg CO2 - e / GJ) CO2]),0)</f>
        <v>69.900000000000006</v>
      </c>
      <c r="I26" s="48">
        <f>IFERROR(_xlfn.XLOOKUP($E26, Table_Fuel_EFs_StationaryLiquid[Fuel combusted], Table_Fuel_EFs_StationaryLiquid[Scope 1 Emission Factor (kg CO2 - e / GJ) CH4]),0)</f>
        <v>0.1</v>
      </c>
      <c r="J26" s="48">
        <f>IFERROR(_xlfn.XLOOKUP($E26, Table_Fuel_EFs_StationaryLiquid[Fuel combusted], Table_Fuel_EFs_StationaryLiquid[Scope 1 Emission Factor (kg CO2 - e / GJ) N2O]),0)</f>
        <v>0.2</v>
      </c>
      <c r="K26" s="111" cm="1">
        <f t="array" ref="K26">Fuel_InputFunctions.Fuel_TotalConsumption(Table_Input_Fuel[Amount consumed], Table_Input_Fuel[Fuel use (select)], D26, Table_Input_Fuel[Fuel type (select)],F26)</f>
        <v>0</v>
      </c>
      <c r="L26" s="111" t="str" cm="1">
        <f t="array" ref="L26">Common_InputFunctions.Utility_LookupValueInTable(F26,Table_FuelTypes_Units[Fuel type],Table_FuelTypes_Units[Unit])</f>
        <v>kL</v>
      </c>
      <c r="M26" s="160" cm="1">
        <f t="array" ref="M26">Fuel_Equations.VEERG_8_2_1_1__1_FuelCombustionStationary($K26,$G26,H26)</f>
        <v>0</v>
      </c>
      <c r="N26" s="160" cm="1">
        <f t="array" ref="N26">Fuel_Equations.VEERG_8_2_1_1__1_FuelCombustionStationary($K26,$G26,I26)</f>
        <v>0</v>
      </c>
      <c r="O26" s="160" cm="1">
        <f t="array" ref="O26">Fuel_Equations.VEERG_8_2_1_1__1_FuelCombustionStationary($K26,$G26,J26)</f>
        <v>0</v>
      </c>
    </row>
    <row r="27" spans="1:15" ht="20.100000000000001" customHeight="1" x14ac:dyDescent="0.25">
      <c r="D27" s="136" t="str">
        <f>$D$25</f>
        <v>Generators</v>
      </c>
      <c r="E27" s="135" t="str">
        <f>'Constants - Fuel'!$D$67</f>
        <v>Liquefied petroleum gas (LPG)</v>
      </c>
      <c r="F27" s="135" t="str">
        <f>'Constants - Fuel'!D133</f>
        <v>Liquefied petroleum gas (LPG)</v>
      </c>
      <c r="G27" s="48">
        <f>IFERROR(_xlfn.XLOOKUP($E27, Table_Fuel_EFs_StationaryLiquid[Fuel combusted], Table_Fuel_EFs_StationaryLiquid[Energy Content Factor (GJ per unit of fuel)]),0)</f>
        <v>25.7</v>
      </c>
      <c r="H27" s="48">
        <f>IFERROR(_xlfn.XLOOKUP($E27, Table_Fuel_EFs_StationaryLiquid[Fuel combusted], Table_Fuel_EFs_StationaryLiquid[Scope 1 Emission Factor (kg CO2 - e / GJ) CO2]),0)</f>
        <v>60.2</v>
      </c>
      <c r="I27" s="48">
        <f>IFERROR(_xlfn.XLOOKUP($E27, Table_Fuel_EFs_StationaryLiquid[Fuel combusted], Table_Fuel_EFs_StationaryLiquid[Scope 1 Emission Factor (kg CO2 - e / GJ) CH4]),0)</f>
        <v>0.2</v>
      </c>
      <c r="J27" s="48">
        <f>IFERROR(_xlfn.XLOOKUP($E27, Table_Fuel_EFs_StationaryLiquid[Fuel combusted], Table_Fuel_EFs_StationaryLiquid[Scope 1 Emission Factor (kg CO2 - e / GJ) N2O]),0)</f>
        <v>0.2</v>
      </c>
      <c r="K27" s="111" cm="1">
        <f t="array" ref="K27">Fuel_InputFunctions.Fuel_TotalConsumption(Table_Input_Fuel[Amount consumed], Table_Input_Fuel[Fuel use (select)], D27, Table_Input_Fuel[Fuel type (select)],F27)</f>
        <v>0</v>
      </c>
      <c r="L27" s="111" t="str" cm="1">
        <f t="array" ref="L27">Common_InputFunctions.Utility_LookupValueInTable(F27,Table_FuelTypes_Units[Fuel type],Table_FuelTypes_Units[Unit])</f>
        <v>kL</v>
      </c>
      <c r="M27" s="160" cm="1">
        <f t="array" ref="M27">Fuel_Equations.VEERG_8_2_1_1__1_FuelCombustionStationary($K27,$G27,H27)</f>
        <v>0</v>
      </c>
      <c r="N27" s="160" cm="1">
        <f t="array" ref="N27">Fuel_Equations.VEERG_8_2_1_1__1_FuelCombustionStationary($K27,$G27,I27)</f>
        <v>0</v>
      </c>
      <c r="O27" s="160" cm="1">
        <f t="array" ref="O27">Fuel_Equations.VEERG_8_2_1_1__1_FuelCombustionStationary($K27,$G27,J27)</f>
        <v>0</v>
      </c>
    </row>
    <row r="28" spans="1:15" ht="20.100000000000001" customHeight="1" x14ac:dyDescent="0.25">
      <c r="D28" s="136" t="str">
        <f>$D$25</f>
        <v>Generators</v>
      </c>
      <c r="E28" s="135" t="str">
        <f>'Constants - Fuel'!$D$73</f>
        <v>Biodiesel</v>
      </c>
      <c r="F28" s="135" t="str">
        <f>'Constants - Fuel'!D134</f>
        <v>Biodiesel</v>
      </c>
      <c r="G28" s="48">
        <f>IFERROR(_xlfn.XLOOKUP($E28, Table_Fuel_EFs_StationaryLiquid[Fuel combusted], Table_Fuel_EFs_StationaryLiquid[Energy Content Factor (GJ per unit of fuel)]),0)</f>
        <v>34.6</v>
      </c>
      <c r="H28" s="48">
        <f>IFERROR(_xlfn.XLOOKUP($E28, Table_Fuel_EFs_StationaryLiquid[Fuel combusted], Table_Fuel_EFs_StationaryLiquid[Scope 1 Emission Factor (kg CO2 - e / GJ) CO2]),0)</f>
        <v>0</v>
      </c>
      <c r="I28" s="48">
        <f>IFERROR(_xlfn.XLOOKUP($E28, Table_Fuel_EFs_StationaryLiquid[Fuel combusted], Table_Fuel_EFs_StationaryLiquid[Scope 1 Emission Factor (kg CO2 - e / GJ) CH4]),0)</f>
        <v>0.08</v>
      </c>
      <c r="J28" s="48">
        <f>IFERROR(_xlfn.XLOOKUP($E28, Table_Fuel_EFs_StationaryLiquid[Fuel combusted], Table_Fuel_EFs_StationaryLiquid[Scope 1 Emission Factor (kg CO2 - e / GJ) N2O]),0)</f>
        <v>0.2</v>
      </c>
      <c r="K28" s="111" cm="1">
        <f t="array" ref="K28">Fuel_InputFunctions.Fuel_TotalConsumption(Table_Input_Fuel[Amount consumed], Table_Input_Fuel[Fuel use (select)], D28, Table_Input_Fuel[Fuel type (select)],F28)</f>
        <v>0</v>
      </c>
      <c r="L28" s="111" t="str" cm="1">
        <f t="array" ref="L28">Common_InputFunctions.Utility_LookupValueInTable(F28,Table_FuelTypes_Units[Fuel type],Table_FuelTypes_Units[Unit])</f>
        <v>kL</v>
      </c>
      <c r="M28" s="160" cm="1">
        <f t="array" ref="M28">Fuel_Equations.VEERG_8_2_1_1__1_FuelCombustionStationary($K28,$G28,H28)</f>
        <v>0</v>
      </c>
      <c r="N28" s="160" cm="1">
        <f t="array" ref="N28">Fuel_Equations.VEERG_8_2_1_1__1_FuelCombustionStationary($K28,$G28,I28)</f>
        <v>0</v>
      </c>
      <c r="O28" s="160" cm="1">
        <f t="array" ref="O28">Fuel_Equations.VEERG_8_2_1_1__1_FuelCombustionStationary($K28,$G28,J28)</f>
        <v>0</v>
      </c>
    </row>
    <row r="29" spans="1:15" ht="20.100000000000001" customHeight="1" x14ac:dyDescent="0.25">
      <c r="D29" s="136" t="str">
        <f>$D$25</f>
        <v>Generators</v>
      </c>
      <c r="E29" s="135" t="str">
        <f>'Constants - Fuel'!$D$74</f>
        <v>Ethanol for use as a fuel in an internal combustion engine</v>
      </c>
      <c r="F29" s="135" t="str">
        <f>'Constants - Fuel'!D135</f>
        <v>Ethanol</v>
      </c>
      <c r="G29" s="48">
        <f>IFERROR(_xlfn.XLOOKUP($E29, Table_Fuel_EFs_StationaryLiquid[Fuel combusted], Table_Fuel_EFs_StationaryLiquid[Energy Content Factor (GJ per unit of fuel)]),0)</f>
        <v>23.4</v>
      </c>
      <c r="H29" s="48">
        <f>IFERROR(_xlfn.XLOOKUP($E29, Table_Fuel_EFs_StationaryLiquid[Fuel combusted], Table_Fuel_EFs_StationaryLiquid[Scope 1 Emission Factor (kg CO2 - e / GJ) CO2]),0)</f>
        <v>0</v>
      </c>
      <c r="I29" s="48">
        <f>IFERROR(_xlfn.XLOOKUP($E29, Table_Fuel_EFs_StationaryLiquid[Fuel combusted], Table_Fuel_EFs_StationaryLiquid[Scope 1 Emission Factor (kg CO2 - e / GJ) CH4]),0)</f>
        <v>0.08</v>
      </c>
      <c r="J29" s="48">
        <f>IFERROR(_xlfn.XLOOKUP($E29, Table_Fuel_EFs_StationaryLiquid[Fuel combusted], Table_Fuel_EFs_StationaryLiquid[Scope 1 Emission Factor (kg CO2 - e / GJ) N2O]),0)</f>
        <v>0.2</v>
      </c>
      <c r="K29" s="111" cm="1">
        <f t="array" ref="K29">Fuel_InputFunctions.Fuel_TotalConsumption(Table_Input_Fuel[Amount consumed], Table_Input_Fuel[Fuel use (select)], D29, Table_Input_Fuel[Fuel type (select)],F29)</f>
        <v>0</v>
      </c>
      <c r="L29" s="111" t="str" cm="1">
        <f t="array" ref="L29">Common_InputFunctions.Utility_LookupValueInTable(F29,Table_FuelTypes_Units[Fuel type],Table_FuelTypes_Units[Unit])</f>
        <v>kL</v>
      </c>
      <c r="M29" s="160" cm="1">
        <f t="array" ref="M29">Fuel_Equations.VEERG_8_2_1_1__1_FuelCombustionStationary($K29,$G29,H29)</f>
        <v>0</v>
      </c>
      <c r="N29" s="160" cm="1">
        <f t="array" ref="N29">Fuel_Equations.VEERG_8_2_1_1__1_FuelCombustionStationary($K29,$G29,I29)</f>
        <v>0</v>
      </c>
      <c r="O29" s="160" cm="1">
        <f t="array" ref="O29">Fuel_Equations.VEERG_8_2_1_1__1_FuelCombustionStationary($K29,$G29,J29)</f>
        <v>0</v>
      </c>
    </row>
    <row r="30" spans="1:15" ht="20.100000000000001" customHeight="1" x14ac:dyDescent="0.25">
      <c r="D30" s="136" t="str">
        <f>$D$25</f>
        <v>Generators</v>
      </c>
      <c r="E30" s="135" t="str">
        <f>'Constants - Fuel'!$D$75</f>
        <v>Biofuels other than those mentioned in the items above and below</v>
      </c>
      <c r="F30" s="135" t="str">
        <f>'Constants - Fuel'!D136</f>
        <v>Other biofuels</v>
      </c>
      <c r="G30" s="48">
        <f>IFERROR(_xlfn.XLOOKUP($E30, Table_Fuel_EFs_StationaryLiquid[Fuel combusted], Table_Fuel_EFs_StationaryLiquid[Energy Content Factor (GJ per unit of fuel)]),0)</f>
        <v>23.4</v>
      </c>
      <c r="H30" s="48">
        <f>IFERROR(_xlfn.XLOOKUP($E30, Table_Fuel_EFs_StationaryLiquid[Fuel combusted], Table_Fuel_EFs_StationaryLiquid[Scope 1 Emission Factor (kg CO2 - e / GJ) CO2]),0)</f>
        <v>0</v>
      </c>
      <c r="I30" s="48">
        <f>IFERROR(_xlfn.XLOOKUP($E30, Table_Fuel_EFs_StationaryLiquid[Fuel combusted], Table_Fuel_EFs_StationaryLiquid[Scope 1 Emission Factor (kg CO2 - e / GJ) CH4]),0)</f>
        <v>0.08</v>
      </c>
      <c r="J30" s="48">
        <f>IFERROR(_xlfn.XLOOKUP($E30, Table_Fuel_EFs_StationaryLiquid[Fuel combusted], Table_Fuel_EFs_StationaryLiquid[Scope 1 Emission Factor (kg CO2 - e / GJ) N2O]),0)</f>
        <v>0.2</v>
      </c>
      <c r="K30" s="111" cm="1">
        <f t="array" ref="K30">Fuel_InputFunctions.Fuel_TotalConsumption(Table_Input_Fuel[Amount consumed], Table_Input_Fuel[Fuel use (select)], D30, Table_Input_Fuel[Fuel type (select)],F30)</f>
        <v>0</v>
      </c>
      <c r="L30" s="111" t="str" cm="1">
        <f t="array" ref="L30">Common_InputFunctions.Utility_LookupValueInTable(F30,Table_FuelTypes_Units[Fuel type],Table_FuelTypes_Units[Unit])</f>
        <v>kL</v>
      </c>
      <c r="M30" s="160" cm="1">
        <f t="array" ref="M30">Fuel_Equations.VEERG_8_2_1_1__1_FuelCombustionStationary($K30,$G30,H30)</f>
        <v>0</v>
      </c>
      <c r="N30" s="160" cm="1">
        <f t="array" ref="N30">Fuel_Equations.VEERG_8_2_1_1__1_FuelCombustionStationary($K30,$G30,I30)</f>
        <v>0</v>
      </c>
      <c r="O30" s="160" cm="1">
        <f t="array" ref="O30">Fuel_Equations.VEERG_8_2_1_1__1_FuelCombustionStationary($K30,$G30,J30)</f>
        <v>0</v>
      </c>
    </row>
    <row r="31" spans="1:15" ht="20.100000000000001" customHeight="1" x14ac:dyDescent="0.25">
      <c r="D31" s="136" t="str">
        <f>$D$25</f>
        <v>Generators</v>
      </c>
      <c r="E31" s="135" t="str">
        <f>'Constants - Fuel'!$D$77</f>
        <v>Renewable diesel</v>
      </c>
      <c r="F31" s="135" t="str">
        <f>'Constants - Fuel'!D137</f>
        <v>Renewable diesel</v>
      </c>
      <c r="G31" s="151">
        <f>IFERROR(_xlfn.XLOOKUP($E31, Table_Fuel_EFs_StationaryLiquid[Fuel combusted], Table_Fuel_EFs_StationaryLiquid[Energy Content Factor (GJ per unit of fuel)]),0)</f>
        <v>38.6</v>
      </c>
      <c r="H31" s="151">
        <f>IFERROR(_xlfn.XLOOKUP($E31, Table_Fuel_EFs_StationaryLiquid[Fuel combusted], Table_Fuel_EFs_StationaryLiquid[Scope 1 Emission Factor (kg CO2 - e / GJ) CO2]),0)</f>
        <v>0</v>
      </c>
      <c r="I31" s="151">
        <f>IFERROR(_xlfn.XLOOKUP($E31, Table_Fuel_EFs_StationaryLiquid[Fuel combusted], Table_Fuel_EFs_StationaryLiquid[Scope 1 Emission Factor (kg CO2 - e / GJ) CH4]),0)</f>
        <v>0.1</v>
      </c>
      <c r="J31" s="151">
        <f>IFERROR(_xlfn.XLOOKUP($E31, Table_Fuel_EFs_StationaryLiquid[Fuel combusted], Table_Fuel_EFs_StationaryLiquid[Scope 1 Emission Factor (kg CO2 - e / GJ) N2O]),0)</f>
        <v>0.2</v>
      </c>
      <c r="K31" s="137" cm="1">
        <f t="array" ref="K31">Fuel_InputFunctions.Fuel_TotalConsumption(Table_Input_Fuel[Amount consumed], Table_Input_Fuel[Fuel use (select)], D31, Table_Input_Fuel[Fuel type (select)],F31)</f>
        <v>0</v>
      </c>
      <c r="L31" s="137" t="str" cm="1">
        <f t="array" ref="L31">Common_InputFunctions.Utility_LookupValueInTable(F31,Table_FuelTypes_Units[Fuel type],Table_FuelTypes_Units[Unit])</f>
        <v>kL</v>
      </c>
      <c r="M31" s="161" cm="1">
        <f t="array" ref="M31">Fuel_Equations.VEERG_8_2_1_1__1_FuelCombustionStationary($K31,$G31,H31)</f>
        <v>0</v>
      </c>
      <c r="N31" s="161" cm="1">
        <f t="array" ref="N31">Fuel_Equations.VEERG_8_2_1_1__1_FuelCombustionStationary($K31,$G31,I31)</f>
        <v>0</v>
      </c>
      <c r="O31" s="161" cm="1">
        <f t="array" ref="O31">Fuel_Equations.VEERG_8_2_1_1__1_FuelCombustionStationary($K31,$G31,J31)</f>
        <v>0</v>
      </c>
    </row>
    <row r="32" spans="1:15" ht="20.100000000000001" customHeight="1" x14ac:dyDescent="0.25">
      <c r="D32" s="138" t="str">
        <f>Table_FuelTypesPerUse[[#Headers],[Power standalone machinery or heating]]</f>
        <v>Power standalone machinery or heating</v>
      </c>
      <c r="E32" s="139" t="str">
        <f>'Constants - Fuel'!$D$58</f>
        <v>Automotive gasoline / petrol (other than for use as fuel in an aircraft)</v>
      </c>
      <c r="F32" s="139" t="str">
        <f>'Constants - Fuel'!E131</f>
        <v>Petrol</v>
      </c>
      <c r="G32" s="153">
        <f>IFERROR(_xlfn.XLOOKUP($E32, Table_Fuel_EFs_StationaryLiquid[Fuel combusted], Table_Fuel_EFs_StationaryLiquid[Energy Content Factor (GJ per unit of fuel)]),0)</f>
        <v>34.200000000000003</v>
      </c>
      <c r="H32" s="153">
        <f>IFERROR(_xlfn.XLOOKUP($E32, Table_Fuel_EFs_StationaryLiquid[Fuel combusted], Table_Fuel_EFs_StationaryLiquid[Scope 1 Emission Factor (kg CO2 - e / GJ) CO2]),0)</f>
        <v>67.400000000000006</v>
      </c>
      <c r="I32" s="153">
        <f>IFERROR(_xlfn.XLOOKUP($E32, Table_Fuel_EFs_StationaryLiquid[Fuel combusted], Table_Fuel_EFs_StationaryLiquid[Scope 1 Emission Factor (kg CO2 - e / GJ) CH4]),0)</f>
        <v>0.2</v>
      </c>
      <c r="J32" s="153">
        <f>IFERROR(_xlfn.XLOOKUP($E32, Table_Fuel_EFs_StationaryLiquid[Fuel combusted], Table_Fuel_EFs_StationaryLiquid[Scope 1 Emission Factor (kg CO2 - e / GJ) N2O]),0)</f>
        <v>0.2</v>
      </c>
      <c r="K32" s="154" cm="1">
        <f t="array" ref="K32">Fuel_InputFunctions.Fuel_TotalConsumption(Table_Input_Fuel[Amount consumed], Table_Input_Fuel[Fuel use (select)], D32, Table_Input_Fuel[Fuel type (select)],F32)</f>
        <v>0</v>
      </c>
      <c r="L32" s="140" t="str" cm="1">
        <f t="array" ref="L32">Common_InputFunctions.Utility_LookupValueInTable(F32,Table_FuelTypes_Units[Fuel type],Table_FuelTypes_Units[Unit])</f>
        <v>kL</v>
      </c>
      <c r="M32" s="162" cm="1">
        <f t="array" ref="M32">Fuel_Equations.VEERG_8_2_1_1__1_FuelCombustionStationary($K32,$G32,H32)</f>
        <v>0</v>
      </c>
      <c r="N32" s="162" cm="1">
        <f t="array" ref="N32">Fuel_Equations.VEERG_8_2_1_1__1_FuelCombustionStationary($K32,$G32,I32)</f>
        <v>0</v>
      </c>
      <c r="O32" s="162" cm="1">
        <f t="array" ref="O32">Fuel_Equations.VEERG_8_2_1_1__1_FuelCombustionStationary($K32,$G32,J32)</f>
        <v>0</v>
      </c>
    </row>
    <row r="33" spans="1:15" ht="20.100000000000001" customHeight="1" x14ac:dyDescent="0.25">
      <c r="D33" s="136" t="str">
        <f>$D$32</f>
        <v>Power standalone machinery or heating</v>
      </c>
      <c r="E33" s="135" t="str">
        <f>'Constants - Fuel'!$D$63</f>
        <v>Diesel oil</v>
      </c>
      <c r="F33" s="135" t="str">
        <f>'Constants - Fuel'!E132</f>
        <v>Diesel</v>
      </c>
      <c r="G33" s="48">
        <f>IFERROR(_xlfn.XLOOKUP($E33, Table_Fuel_EFs_StationaryLiquid[Fuel combusted], Table_Fuel_EFs_StationaryLiquid[Energy Content Factor (GJ per unit of fuel)]),0)</f>
        <v>38.6</v>
      </c>
      <c r="H33" s="48">
        <f>IFERROR(_xlfn.XLOOKUP($E33, Table_Fuel_EFs_StationaryLiquid[Fuel combusted], Table_Fuel_EFs_StationaryLiquid[Scope 1 Emission Factor (kg CO2 - e / GJ) CO2]),0)</f>
        <v>69.900000000000006</v>
      </c>
      <c r="I33" s="48">
        <f>IFERROR(_xlfn.XLOOKUP($E33, Table_Fuel_EFs_StationaryLiquid[Fuel combusted], Table_Fuel_EFs_StationaryLiquid[Scope 1 Emission Factor (kg CO2 - e / GJ) CH4]),0)</f>
        <v>0.1</v>
      </c>
      <c r="J33" s="48">
        <f>IFERROR(_xlfn.XLOOKUP($E33, Table_Fuel_EFs_StationaryLiquid[Fuel combusted], Table_Fuel_EFs_StationaryLiquid[Scope 1 Emission Factor (kg CO2 - e / GJ) N2O]),0)</f>
        <v>0.2</v>
      </c>
      <c r="K33" s="48" cm="1">
        <f t="array" ref="K33">Fuel_InputFunctions.Fuel_TotalConsumption(Table_Input_Fuel[Amount consumed], Table_Input_Fuel[Fuel use (select)], D33, Table_Input_Fuel[Fuel type (select)],F33)</f>
        <v>0</v>
      </c>
      <c r="L33" s="48" t="str" cm="1">
        <f t="array" ref="L33">Common_InputFunctions.Utility_LookupValueInTable(F33,Table_FuelTypes_Units[Fuel type],Table_FuelTypes_Units[Unit])</f>
        <v>kL</v>
      </c>
      <c r="M33" s="160" cm="1">
        <f t="array" ref="M33">Fuel_Equations.VEERG_8_2_1_1__1_FuelCombustionStationary($K33,$G33,H33)</f>
        <v>0</v>
      </c>
      <c r="N33" s="160" cm="1">
        <f t="array" ref="N33">Fuel_Equations.VEERG_8_2_1_1__1_FuelCombustionStationary($K33,$G33,I33)</f>
        <v>0</v>
      </c>
      <c r="O33" s="160" cm="1">
        <f t="array" ref="O33">Fuel_Equations.VEERG_8_2_1_1__1_FuelCombustionStationary($K33,$G33,J33)</f>
        <v>0</v>
      </c>
    </row>
    <row r="34" spans="1:15" ht="20.100000000000001" customHeight="1" x14ac:dyDescent="0.25">
      <c r="D34" s="136" t="str">
        <f>$D$32</f>
        <v>Power standalone machinery or heating</v>
      </c>
      <c r="E34" s="135" t="str">
        <f>'Constants - Fuel'!$D$67</f>
        <v>Liquefied petroleum gas (LPG)</v>
      </c>
      <c r="F34" s="135" t="str">
        <f>'Constants - Fuel'!E133</f>
        <v>Liquefied petroleum gas (LPG)</v>
      </c>
      <c r="G34" s="48">
        <f>IFERROR(_xlfn.XLOOKUP($E34, Table_Fuel_EFs_StationaryLiquid[Fuel combusted], Table_Fuel_EFs_StationaryLiquid[Energy Content Factor (GJ per unit of fuel)]),0)</f>
        <v>25.7</v>
      </c>
      <c r="H34" s="48">
        <f>IFERROR(_xlfn.XLOOKUP($E34, Table_Fuel_EFs_StationaryLiquid[Fuel combusted], Table_Fuel_EFs_StationaryLiquid[Scope 1 Emission Factor (kg CO2 - e / GJ) CO2]),0)</f>
        <v>60.2</v>
      </c>
      <c r="I34" s="48">
        <f>IFERROR(_xlfn.XLOOKUP($E34, Table_Fuel_EFs_StationaryLiquid[Fuel combusted], Table_Fuel_EFs_StationaryLiquid[Scope 1 Emission Factor (kg CO2 - e / GJ) CH4]),0)</f>
        <v>0.2</v>
      </c>
      <c r="J34" s="48">
        <f>IFERROR(_xlfn.XLOOKUP($E34, Table_Fuel_EFs_StationaryLiquid[Fuel combusted], Table_Fuel_EFs_StationaryLiquid[Scope 1 Emission Factor (kg CO2 - e / GJ) N2O]),0)</f>
        <v>0.2</v>
      </c>
      <c r="K34" s="48" cm="1">
        <f t="array" ref="K34">Fuel_InputFunctions.Fuel_TotalConsumption(Table_Input_Fuel[Amount consumed], Table_Input_Fuel[Fuel use (select)], D34, Table_Input_Fuel[Fuel type (select)],F34)</f>
        <v>0</v>
      </c>
      <c r="L34" s="48" t="str" cm="1">
        <f t="array" ref="L34">Common_InputFunctions.Utility_LookupValueInTable(F34,Table_FuelTypes_Units[Fuel type],Table_FuelTypes_Units[Unit])</f>
        <v>kL</v>
      </c>
      <c r="M34" s="160" cm="1">
        <f t="array" ref="M34">Fuel_Equations.VEERG_8_2_1_1__1_FuelCombustionStationary($K34,$G34,H34)</f>
        <v>0</v>
      </c>
      <c r="N34" s="160" cm="1">
        <f t="array" ref="N34">Fuel_Equations.VEERG_8_2_1_1__1_FuelCombustionStationary($K34,$G34,I34)</f>
        <v>0</v>
      </c>
      <c r="O34" s="160" cm="1">
        <f t="array" ref="O34">Fuel_Equations.VEERG_8_2_1_1__1_FuelCombustionStationary($K34,$G34,J34)</f>
        <v>0</v>
      </c>
    </row>
    <row r="35" spans="1:15" ht="20.100000000000001" customHeight="1" x14ac:dyDescent="0.25">
      <c r="D35" s="136" t="str">
        <f>$D$32</f>
        <v>Power standalone machinery or heating</v>
      </c>
      <c r="E35" s="135" t="str">
        <f>'Constants - Fuel'!$D$73</f>
        <v>Biodiesel</v>
      </c>
      <c r="F35" s="135" t="str">
        <f>'Constants - Fuel'!E134</f>
        <v>Biodiesel</v>
      </c>
      <c r="G35" s="48">
        <f>IFERROR(_xlfn.XLOOKUP($E35, Table_Fuel_EFs_StationaryLiquid[Fuel combusted], Table_Fuel_EFs_StationaryLiquid[Energy Content Factor (GJ per unit of fuel)]),0)</f>
        <v>34.6</v>
      </c>
      <c r="H35" s="48">
        <f>IFERROR(_xlfn.XLOOKUP($E35, Table_Fuel_EFs_StationaryLiquid[Fuel combusted], Table_Fuel_EFs_StationaryLiquid[Scope 1 Emission Factor (kg CO2 - e / GJ) CO2]),0)</f>
        <v>0</v>
      </c>
      <c r="I35" s="48">
        <f>IFERROR(_xlfn.XLOOKUP($E35, Table_Fuel_EFs_StationaryLiquid[Fuel combusted], Table_Fuel_EFs_StationaryLiquid[Scope 1 Emission Factor (kg CO2 - e / GJ) CH4]),0)</f>
        <v>0.08</v>
      </c>
      <c r="J35" s="48">
        <f>IFERROR(_xlfn.XLOOKUP($E35, Table_Fuel_EFs_StationaryLiquid[Fuel combusted], Table_Fuel_EFs_StationaryLiquid[Scope 1 Emission Factor (kg CO2 - e / GJ) N2O]),0)</f>
        <v>0.2</v>
      </c>
      <c r="K35" s="48" cm="1">
        <f t="array" ref="K35">Fuel_InputFunctions.Fuel_TotalConsumption(Table_Input_Fuel[Amount consumed], Table_Input_Fuel[Fuel use (select)], D35, Table_Input_Fuel[Fuel type (select)],F35)</f>
        <v>0</v>
      </c>
      <c r="L35" s="48" t="str" cm="1">
        <f t="array" ref="L35">Common_InputFunctions.Utility_LookupValueInTable(F35,Table_FuelTypes_Units[Fuel type],Table_FuelTypes_Units[Unit])</f>
        <v>kL</v>
      </c>
      <c r="M35" s="160" cm="1">
        <f t="array" ref="M35">Fuel_Equations.VEERG_8_2_1_1__1_FuelCombustionStationary($K35,$G35,H35)</f>
        <v>0</v>
      </c>
      <c r="N35" s="160" cm="1">
        <f t="array" ref="N35">Fuel_Equations.VEERG_8_2_1_1__1_FuelCombustionStationary($K35,$G35,I35)</f>
        <v>0</v>
      </c>
      <c r="O35" s="160" cm="1">
        <f t="array" ref="O35">Fuel_Equations.VEERG_8_2_1_1__1_FuelCombustionStationary($K35,$G35,J35)</f>
        <v>0</v>
      </c>
    </row>
    <row r="36" spans="1:15" ht="20.100000000000001" customHeight="1" x14ac:dyDescent="0.25">
      <c r="D36" s="136" t="str">
        <f>$D$32</f>
        <v>Power standalone machinery or heating</v>
      </c>
      <c r="E36" s="135" t="str">
        <f>'Constants - Fuel'!$D$74</f>
        <v>Ethanol for use as a fuel in an internal combustion engine</v>
      </c>
      <c r="F36" s="135" t="str">
        <f>'Constants - Fuel'!E135</f>
        <v>Ethanol</v>
      </c>
      <c r="G36" s="48">
        <f>IFERROR(_xlfn.XLOOKUP($E36, Table_Fuel_EFs_StationaryLiquid[Fuel combusted], Table_Fuel_EFs_StationaryLiquid[Energy Content Factor (GJ per unit of fuel)]),0)</f>
        <v>23.4</v>
      </c>
      <c r="H36" s="48">
        <f>IFERROR(_xlfn.XLOOKUP($E36, Table_Fuel_EFs_StationaryLiquid[Fuel combusted], Table_Fuel_EFs_StationaryLiquid[Scope 1 Emission Factor (kg CO2 - e / GJ) CO2]),0)</f>
        <v>0</v>
      </c>
      <c r="I36" s="48">
        <f>IFERROR(_xlfn.XLOOKUP($E36, Table_Fuel_EFs_StationaryLiquid[Fuel combusted], Table_Fuel_EFs_StationaryLiquid[Scope 1 Emission Factor (kg CO2 - e / GJ) CH4]),0)</f>
        <v>0.08</v>
      </c>
      <c r="J36" s="48">
        <f>IFERROR(_xlfn.XLOOKUP($E36, Table_Fuel_EFs_StationaryLiquid[Fuel combusted], Table_Fuel_EFs_StationaryLiquid[Scope 1 Emission Factor (kg CO2 - e / GJ) N2O]),0)</f>
        <v>0.2</v>
      </c>
      <c r="K36" s="48" cm="1">
        <f t="array" ref="K36">Fuel_InputFunctions.Fuel_TotalConsumption(Table_Input_Fuel[Amount consumed], Table_Input_Fuel[Fuel use (select)], D36, Table_Input_Fuel[Fuel type (select)],F36)</f>
        <v>0</v>
      </c>
      <c r="L36" s="48" t="str" cm="1">
        <f t="array" ref="L36">Common_InputFunctions.Utility_LookupValueInTable(F36,Table_FuelTypes_Units[Fuel type],Table_FuelTypes_Units[Unit])</f>
        <v>kL</v>
      </c>
      <c r="M36" s="160" cm="1">
        <f t="array" ref="M36">Fuel_Equations.VEERG_8_2_1_1__1_FuelCombustionStationary($K36,$G36,H36)</f>
        <v>0</v>
      </c>
      <c r="N36" s="160" cm="1">
        <f t="array" ref="N36">Fuel_Equations.VEERG_8_2_1_1__1_FuelCombustionStationary($K36,$G36,I36)</f>
        <v>0</v>
      </c>
      <c r="O36" s="160" cm="1">
        <f t="array" ref="O36">Fuel_Equations.VEERG_8_2_1_1__1_FuelCombustionStationary($K36,$G36,J36)</f>
        <v>0</v>
      </c>
    </row>
    <row r="37" spans="1:15" ht="20.100000000000001" customHeight="1" x14ac:dyDescent="0.25">
      <c r="D37" s="136" t="str">
        <f>$D$32</f>
        <v>Power standalone machinery or heating</v>
      </c>
      <c r="E37" s="135" t="str">
        <f>'Constants - Fuel'!$D$75</f>
        <v>Biofuels other than those mentioned in the items above and below</v>
      </c>
      <c r="F37" s="135" t="str">
        <f>'Constants - Fuel'!E136</f>
        <v>Other biofuels</v>
      </c>
      <c r="G37" s="48">
        <f>IFERROR(_xlfn.XLOOKUP($E37, Table_Fuel_EFs_StationaryLiquid[Fuel combusted], Table_Fuel_EFs_StationaryLiquid[Energy Content Factor (GJ per unit of fuel)]),0)</f>
        <v>23.4</v>
      </c>
      <c r="H37" s="48">
        <f>IFERROR(_xlfn.XLOOKUP($E37, Table_Fuel_EFs_StationaryLiquid[Fuel combusted], Table_Fuel_EFs_StationaryLiquid[Scope 1 Emission Factor (kg CO2 - e / GJ) CO2]),0)</f>
        <v>0</v>
      </c>
      <c r="I37" s="48">
        <f>IFERROR(_xlfn.XLOOKUP($E37, Table_Fuel_EFs_StationaryLiquid[Fuel combusted], Table_Fuel_EFs_StationaryLiquid[Scope 1 Emission Factor (kg CO2 - e / GJ) CH4]),0)</f>
        <v>0.08</v>
      </c>
      <c r="J37" s="48">
        <f>IFERROR(_xlfn.XLOOKUP($E37, Table_Fuel_EFs_StationaryLiquid[Fuel combusted], Table_Fuel_EFs_StationaryLiquid[Scope 1 Emission Factor (kg CO2 - e / GJ) N2O]),0)</f>
        <v>0.2</v>
      </c>
      <c r="K37" s="48" cm="1">
        <f t="array" ref="K37">Fuel_InputFunctions.Fuel_TotalConsumption(Table_Input_Fuel[Amount consumed], Table_Input_Fuel[Fuel use (select)], D37, Table_Input_Fuel[Fuel type (select)],F37)</f>
        <v>0</v>
      </c>
      <c r="L37" s="48" t="str" cm="1">
        <f t="array" ref="L37">Common_InputFunctions.Utility_LookupValueInTable(F37,Table_FuelTypes_Units[Fuel type],Table_FuelTypes_Units[Unit])</f>
        <v>kL</v>
      </c>
      <c r="M37" s="160" cm="1">
        <f t="array" ref="M37">Fuel_Equations.VEERG_8_2_1_1__1_FuelCombustionStationary($K37,$G37,H37)</f>
        <v>0</v>
      </c>
      <c r="N37" s="160" cm="1">
        <f t="array" ref="N37">Fuel_Equations.VEERG_8_2_1_1__1_FuelCombustionStationary($K37,$G37,I37)</f>
        <v>0</v>
      </c>
      <c r="O37" s="160" cm="1">
        <f t="array" ref="O37">Fuel_Equations.VEERG_8_2_1_1__1_FuelCombustionStationary($K37,$G37,J37)</f>
        <v>0</v>
      </c>
    </row>
    <row r="38" spans="1:15" ht="20.100000000000001" customHeight="1" x14ac:dyDescent="0.25">
      <c r="A38" s="110" t="str">
        <f>HYPERLINK("#A1", "▲ Back to top")</f>
        <v>▲ Back to top</v>
      </c>
      <c r="D38" s="136" t="str">
        <f>$D$32</f>
        <v>Power standalone machinery or heating</v>
      </c>
      <c r="E38" s="135" t="str">
        <f>'Constants - Fuel'!$D$77</f>
        <v>Renewable diesel</v>
      </c>
      <c r="F38" s="135" t="str">
        <f>'Constants - Fuel'!E137</f>
        <v>Renewable diesel</v>
      </c>
      <c r="G38" s="48">
        <f>IFERROR(_xlfn.XLOOKUP($E38, Table_Fuel_EFs_StationaryLiquid[Fuel combusted], Table_Fuel_EFs_StationaryLiquid[Energy Content Factor (GJ per unit of fuel)]),0)</f>
        <v>38.6</v>
      </c>
      <c r="H38" s="48">
        <f>IFERROR(_xlfn.XLOOKUP($E38, Table_Fuel_EFs_StationaryLiquid[Fuel combusted], Table_Fuel_EFs_StationaryLiquid[Scope 1 Emission Factor (kg CO2 - e / GJ) CO2]),0)</f>
        <v>0</v>
      </c>
      <c r="I38" s="48">
        <f>IFERROR(_xlfn.XLOOKUP($E38, Table_Fuel_EFs_StationaryLiquid[Fuel combusted], Table_Fuel_EFs_StationaryLiquid[Scope 1 Emission Factor (kg CO2 - e / GJ) CH4]),0)</f>
        <v>0.1</v>
      </c>
      <c r="J38" s="48">
        <f>IFERROR(_xlfn.XLOOKUP($E38, Table_Fuel_EFs_StationaryLiquid[Fuel combusted], Table_Fuel_EFs_StationaryLiquid[Scope 1 Emission Factor (kg CO2 - e / GJ) N2O]),0)</f>
        <v>0.2</v>
      </c>
      <c r="K38" s="48" cm="1">
        <f t="array" ref="K38">Fuel_InputFunctions.Fuel_TotalConsumption(Table_Input_Fuel[Amount consumed], Table_Input_Fuel[Fuel use (select)], D38, Table_Input_Fuel[Fuel type (select)],F38)</f>
        <v>0</v>
      </c>
      <c r="L38" s="48" t="str" cm="1">
        <f t="array" ref="L38">Common_InputFunctions.Utility_LookupValueInTable(F38,Table_FuelTypes_Units[Fuel type],Table_FuelTypes_Units[Unit])</f>
        <v>kL</v>
      </c>
      <c r="M38" s="160" cm="1">
        <f t="array" ref="M38">Fuel_Equations.VEERG_8_2_1_1__1_FuelCombustionStationary($K38,$G38,H38)</f>
        <v>0</v>
      </c>
      <c r="N38" s="160" cm="1">
        <f t="array" ref="N38">Fuel_Equations.VEERG_8_2_1_1__1_FuelCombustionStationary($K38,$G38,I38)</f>
        <v>0</v>
      </c>
      <c r="O38" s="160" cm="1">
        <f t="array" ref="O38">Fuel_Equations.VEERG_8_2_1_1__1_FuelCombustionStationary($K38,$G38,J38)</f>
        <v>0</v>
      </c>
    </row>
    <row r="39" spans="1:15" ht="20.100000000000001" customHeight="1" x14ac:dyDescent="0.25">
      <c r="E39" s="135" t="str">
        <f>'Constants - Fuel'!$D$103</f>
        <v>Natural gas distributed in a pipeline - Gigajoules</v>
      </c>
      <c r="F39" s="135" t="str">
        <f>'Constants - Fuel'!E138</f>
        <v>Natural gas (via pipeline) in GJ</v>
      </c>
      <c r="G39" s="48">
        <f>IFERROR(_xlfn.XLOOKUP($E39, Table_Fuel_EFs_StationaryGaseous[Fuel combusted], Table_Fuel_EFs_StationaryGaseous[Energy Content Factor (GJ per unit of fuel)]),0)</f>
        <v>1</v>
      </c>
      <c r="H39" s="48">
        <f>IFERROR(_xlfn.XLOOKUP($E39, Table_Fuel_EFs_StationaryGaseous[Fuel combusted], Table_Fuel_EFs_StationaryGaseous[Scope 1 Emission Factor (kg CO2 - e / GJ) CO2]),0)</f>
        <v>51.4</v>
      </c>
      <c r="I39" s="48">
        <f>IFERROR(_xlfn.XLOOKUP($E39, Table_Fuel_EFs_StationaryGaseous[Fuel combusted], Table_Fuel_EFs_StationaryGaseous[Scope 1 Emission Factor (kg CO2 - e / GJ) CH4]),0)</f>
        <v>0.1</v>
      </c>
      <c r="J39" s="48">
        <f>IFERROR(_xlfn.XLOOKUP($E39, Table_Fuel_EFs_StationaryGaseous[Fuel combusted], Table_Fuel_EFs_StationaryGaseous[Scope 1 Emission Factor (kg CO2 - e / GJ) N2O]),0)</f>
        <v>0.03</v>
      </c>
      <c r="K39" s="111" cm="1">
        <f t="array" ref="K39">Fuel_InputFunctions.Fuel_TotalConsumption(Table_Input_Fuel[Amount consumed], Table_Input_Fuel[Fuel use (select)], D39, Table_Input_Fuel[Fuel type (select)],F39)</f>
        <v>0</v>
      </c>
      <c r="L39" s="111" t="str" cm="1">
        <f t="array" ref="L39">Common_InputFunctions.Utility_LookupValueInTable(F39,Table_FuelTypes_Units[Fuel type],Table_FuelTypes_Units[Unit])</f>
        <v>GJ</v>
      </c>
      <c r="M39" s="160" cm="1">
        <f t="array" ref="M39">Fuel_Equations.VEERG_8_2_1_1__1_FuelCombustionStationary($K39,$G39,H39)</f>
        <v>0</v>
      </c>
      <c r="N39" s="160" cm="1">
        <f t="array" ref="N39">Fuel_Equations.VEERG_8_2_1_1__1_FuelCombustionStationary($K39,$G39,I39)</f>
        <v>0</v>
      </c>
      <c r="O39" s="160" cm="1">
        <f t="array" ref="O39">Fuel_Equations.VEERG_8_2_1_1__1_FuelCombustionStationary($K39,$G39,J39)</f>
        <v>0</v>
      </c>
    </row>
    <row r="40" spans="1:15" ht="20.100000000000001" customHeight="1" x14ac:dyDescent="0.25">
      <c r="E40" s="135" t="str">
        <f>'Constants - Fuel'!$D$104</f>
        <v>Town gas - Gigajoules</v>
      </c>
      <c r="F40" s="135" t="str">
        <f>'Constants - Fuel'!E139</f>
        <v>Town gas in GJ</v>
      </c>
      <c r="G40" s="48">
        <f>IFERROR(_xlfn.XLOOKUP($E40, Table_Fuel_EFs_StationaryGaseous[Fuel combusted], Table_Fuel_EFs_StationaryGaseous[Energy Content Factor (GJ per unit of fuel)]),0)</f>
        <v>1</v>
      </c>
      <c r="H40" s="48">
        <f>IFERROR(_xlfn.XLOOKUP($E40, Table_Fuel_EFs_StationaryGaseous[Fuel combusted], Table_Fuel_EFs_StationaryGaseous[Scope 1 Emission Factor (kg CO2 - e / GJ) CO2]),0)</f>
        <v>60.2</v>
      </c>
      <c r="I40" s="48">
        <f>IFERROR(_xlfn.XLOOKUP($E40, Table_Fuel_EFs_StationaryGaseous[Fuel combusted], Table_Fuel_EFs_StationaryGaseous[Scope 1 Emission Factor (kg CO2 - e / GJ) CH4]),0)</f>
        <v>0.04</v>
      </c>
      <c r="J40" s="48">
        <f>IFERROR(_xlfn.XLOOKUP($E40, Table_Fuel_EFs_StationaryGaseous[Fuel combusted], Table_Fuel_EFs_StationaryGaseous[Scope 1 Emission Factor (kg CO2 - e / GJ) N2O]),0)</f>
        <v>0.03</v>
      </c>
      <c r="K40" s="111" cm="1">
        <f t="array" ref="K40">Fuel_InputFunctions.Fuel_TotalConsumption(Table_Input_Fuel[Amount consumed], Table_Input_Fuel[Fuel use (select)], D40, Table_Input_Fuel[Fuel type (select)],F40)</f>
        <v>0</v>
      </c>
      <c r="L40" s="111" t="str" cm="1">
        <f t="array" ref="L40">Common_InputFunctions.Utility_LookupValueInTable(F40,Table_FuelTypes_Units[Fuel type],Table_FuelTypes_Units[Unit])</f>
        <v>GJ</v>
      </c>
      <c r="M40" s="160" cm="1">
        <f t="array" ref="M40">Fuel_Equations.VEERG_8_2_1_1__1_FuelCombustionStationary($K40,$G40,H40)</f>
        <v>0</v>
      </c>
      <c r="N40" s="160" cm="1">
        <f t="array" ref="N40">Fuel_Equations.VEERG_8_2_1_1__1_FuelCombustionStationary($K40,$G40,I40)</f>
        <v>0</v>
      </c>
      <c r="O40" s="160" cm="1">
        <f t="array" ref="O40">Fuel_Equations.VEERG_8_2_1_1__1_FuelCombustionStationary($K40,$G40,J40)</f>
        <v>0</v>
      </c>
    </row>
    <row r="41" spans="1:15" ht="20.100000000000001" customHeight="1" x14ac:dyDescent="0.25"/>
    <row r="42" spans="1:15" ht="20.100000000000001" customHeight="1" x14ac:dyDescent="0.25"/>
    <row r="43" spans="1:15" ht="20.100000000000001" customHeight="1" x14ac:dyDescent="0.25">
      <c r="D43" s="142" t="str">
        <f>"Total scope 1 - " &amp; D25</f>
        <v>Total scope 1 - Generators</v>
      </c>
      <c r="E43" s="143"/>
      <c r="F43" s="144"/>
    </row>
    <row r="44" spans="1:15" ht="20.100000000000001" customHeight="1" x14ac:dyDescent="0.25">
      <c r="D44" s="3" t="s">
        <v>203</v>
      </c>
      <c r="E44" s="155">
        <f>SUM(M25:M31)</f>
        <v>0</v>
      </c>
      <c r="F44" s="2" t="str">
        <f>$E$12</f>
        <v>t CO2-e</v>
      </c>
    </row>
    <row r="45" spans="1:15" ht="20.100000000000001" customHeight="1" x14ac:dyDescent="0.25">
      <c r="D45" s="3" t="s">
        <v>204</v>
      </c>
      <c r="E45" s="155">
        <f>SUM(N25:N31)</f>
        <v>0</v>
      </c>
      <c r="F45" s="2" t="str">
        <f t="shared" ref="F45:F46" si="0">$E$12</f>
        <v>t CO2-e</v>
      </c>
    </row>
    <row r="46" spans="1:15" ht="20.100000000000001" customHeight="1" x14ac:dyDescent="0.25">
      <c r="D46" s="3" t="s">
        <v>205</v>
      </c>
      <c r="E46" s="155">
        <f>SUM(O25:O31)</f>
        <v>0</v>
      </c>
      <c r="F46" s="2" t="str">
        <f t="shared" si="0"/>
        <v>t CO2-e</v>
      </c>
    </row>
    <row r="47" spans="1:15" ht="20.100000000000001" customHeight="1" x14ac:dyDescent="0.25">
      <c r="D47" s="3"/>
      <c r="E47" s="145"/>
      <c r="F47" s="2"/>
      <c r="H47" s="99"/>
      <c r="I47" s="99"/>
      <c r="J47" s="99"/>
      <c r="L47" s="99"/>
      <c r="N47" s="99"/>
      <c r="O47" s="99"/>
    </row>
    <row r="48" spans="1:15" ht="20.100000000000001" customHeight="1" x14ac:dyDescent="0.25">
      <c r="D48" s="99"/>
      <c r="E48" s="99"/>
      <c r="F48" s="99"/>
      <c r="H48" s="99"/>
      <c r="I48" s="99"/>
      <c r="J48" s="99"/>
      <c r="L48" s="99"/>
      <c r="N48" s="99"/>
      <c r="O48" s="99"/>
    </row>
    <row r="49" spans="4:15" ht="20.100000000000001" customHeight="1" x14ac:dyDescent="0.25">
      <c r="D49" s="142" t="str">
        <f>"Total - " &amp; D32</f>
        <v>Total - Power standalone machinery or heating</v>
      </c>
      <c r="E49" s="146"/>
      <c r="F49" s="144"/>
      <c r="H49" s="99"/>
      <c r="I49" s="99"/>
      <c r="J49" s="99"/>
      <c r="L49" s="99"/>
      <c r="N49" s="99"/>
      <c r="O49" s="99"/>
    </row>
    <row r="50" spans="4:15" ht="20.100000000000001" customHeight="1" x14ac:dyDescent="0.25">
      <c r="D50" s="3" t="s">
        <v>203</v>
      </c>
      <c r="E50" s="155">
        <f>SUM(M32:M40)</f>
        <v>0</v>
      </c>
      <c r="F50" s="2" t="str">
        <f t="shared" ref="F50:F52" si="1">$E$12</f>
        <v>t CO2-e</v>
      </c>
      <c r="H50" s="99"/>
      <c r="I50" s="99"/>
      <c r="J50" s="99"/>
      <c r="L50" s="99"/>
      <c r="N50" s="99"/>
      <c r="O50" s="99"/>
    </row>
    <row r="51" spans="4:15" ht="20.100000000000001" customHeight="1" x14ac:dyDescent="0.25">
      <c r="D51" s="3" t="s">
        <v>204</v>
      </c>
      <c r="E51" s="155">
        <f>SUM(N32:N40)</f>
        <v>0</v>
      </c>
      <c r="F51" s="2" t="str">
        <f t="shared" si="1"/>
        <v>t CO2-e</v>
      </c>
      <c r="H51" s="99"/>
      <c r="I51" s="99"/>
      <c r="J51" s="99"/>
      <c r="L51" s="99"/>
      <c r="N51" s="99"/>
      <c r="O51" s="99"/>
    </row>
    <row r="52" spans="4:15" ht="20.100000000000001" customHeight="1" x14ac:dyDescent="0.25">
      <c r="D52" s="3" t="s">
        <v>205</v>
      </c>
      <c r="E52" s="155">
        <f>SUM(O32:O40)</f>
        <v>0</v>
      </c>
      <c r="F52" s="2" t="str">
        <f t="shared" si="1"/>
        <v>t CO2-e</v>
      </c>
      <c r="G52" s="99"/>
      <c r="H52" s="99"/>
      <c r="I52" s="99"/>
      <c r="J52" s="99"/>
      <c r="L52" s="99"/>
      <c r="N52" s="99"/>
      <c r="O52" s="99"/>
    </row>
    <row r="53" spans="4:15" ht="20.100000000000001" customHeight="1" x14ac:dyDescent="0.25">
      <c r="D53" s="3"/>
      <c r="E53" s="145"/>
      <c r="F53" s="2"/>
      <c r="G53" s="99"/>
      <c r="H53" s="99"/>
      <c r="I53" s="99"/>
      <c r="J53" s="99"/>
      <c r="L53" s="99"/>
      <c r="N53" s="99"/>
      <c r="O53" s="99"/>
    </row>
    <row r="54" spans="4:15" ht="20.100000000000001" customHeight="1" x14ac:dyDescent="0.25">
      <c r="D54" s="99"/>
      <c r="E54" s="147"/>
      <c r="F54" s="99"/>
      <c r="G54" s="99"/>
      <c r="H54" s="99"/>
      <c r="I54" s="99"/>
      <c r="J54" s="99"/>
      <c r="L54" s="99"/>
      <c r="N54" s="99"/>
      <c r="O54" s="99"/>
    </row>
    <row r="55" spans="4:15" ht="20.100000000000001" customHeight="1" x14ac:dyDescent="0.25">
      <c r="G55" s="99"/>
      <c r="H55" s="99"/>
      <c r="I55" s="99"/>
      <c r="J55" s="99"/>
      <c r="L55" s="99"/>
      <c r="N55" s="99"/>
      <c r="O55" s="99"/>
    </row>
    <row r="56" spans="4:15" ht="20.100000000000001" customHeight="1" x14ac:dyDescent="0.25"/>
    <row r="57" spans="4:15" ht="20.100000000000001" customHeight="1" x14ac:dyDescent="0.25">
      <c r="G57" s="99"/>
      <c r="H57" s="99"/>
      <c r="I57" s="99"/>
      <c r="J57" s="99"/>
      <c r="L57" s="99"/>
      <c r="N57" s="99"/>
      <c r="O57" s="99"/>
    </row>
    <row r="58" spans="4:15" ht="20.100000000000001" customHeight="1" x14ac:dyDescent="0.25">
      <c r="G58" s="99"/>
      <c r="H58" s="99"/>
      <c r="I58" s="99"/>
      <c r="J58" s="99"/>
      <c r="L58" s="99"/>
      <c r="N58" s="99"/>
      <c r="O58" s="99"/>
    </row>
    <row r="59" spans="4:15" ht="20.100000000000001" customHeight="1" x14ac:dyDescent="0.25">
      <c r="G59" s="99"/>
      <c r="H59" s="99"/>
      <c r="I59" s="99"/>
      <c r="J59" s="99"/>
      <c r="L59" s="99"/>
      <c r="N59" s="99"/>
      <c r="O59" s="99"/>
    </row>
    <row r="60" spans="4:15" ht="20.100000000000001" customHeight="1" x14ac:dyDescent="0.25">
      <c r="G60" s="99"/>
      <c r="H60" s="99"/>
      <c r="I60" s="99"/>
      <c r="J60" s="99"/>
      <c r="L60" s="99"/>
      <c r="N60" s="99"/>
      <c r="O60" s="99"/>
    </row>
    <row r="61" spans="4:15" ht="20.100000000000001" customHeight="1" x14ac:dyDescent="0.25">
      <c r="G61" s="99"/>
      <c r="H61" s="99"/>
      <c r="I61" s="99"/>
      <c r="J61" s="99"/>
      <c r="L61" s="99"/>
      <c r="N61" s="99"/>
      <c r="O61" s="99"/>
    </row>
    <row r="62" spans="4:15" ht="20.100000000000001" customHeight="1" x14ac:dyDescent="0.25">
      <c r="G62" s="99"/>
      <c r="H62" s="99"/>
      <c r="I62" s="99"/>
      <c r="J62" s="99"/>
      <c r="L62" s="99"/>
      <c r="N62" s="99"/>
      <c r="O62" s="99"/>
    </row>
    <row r="63" spans="4:15" ht="20.100000000000001" customHeight="1" x14ac:dyDescent="0.25">
      <c r="G63" s="99"/>
      <c r="H63" s="99"/>
      <c r="I63" s="99"/>
      <c r="J63" s="99"/>
      <c r="L63" s="99"/>
      <c r="N63" s="99"/>
      <c r="O63" s="99"/>
    </row>
    <row r="64" spans="4:15" ht="20.100000000000001" customHeight="1" x14ac:dyDescent="0.25">
      <c r="G64" s="99"/>
      <c r="H64" s="99"/>
      <c r="I64" s="99"/>
      <c r="J64" s="99"/>
      <c r="L64" s="99"/>
      <c r="N64" s="99"/>
      <c r="O64" s="99"/>
    </row>
    <row r="65" spans="1:15" ht="20.100000000000001" customHeight="1" x14ac:dyDescent="0.25">
      <c r="G65" s="99"/>
      <c r="H65" s="99"/>
      <c r="I65" s="99"/>
      <c r="J65" s="99"/>
      <c r="L65" s="99"/>
      <c r="N65" s="99"/>
      <c r="O65" s="99"/>
    </row>
    <row r="66" spans="1:15" ht="20.100000000000001" customHeight="1" x14ac:dyDescent="0.25">
      <c r="G66" s="99"/>
      <c r="H66" s="99"/>
      <c r="I66" s="99"/>
      <c r="J66" s="99"/>
      <c r="L66" s="99"/>
      <c r="N66" s="99"/>
      <c r="O66" s="99"/>
    </row>
    <row r="67" spans="1:15" ht="20.100000000000001" customHeight="1" x14ac:dyDescent="0.25">
      <c r="G67" s="99"/>
    </row>
    <row r="68" spans="1:15" ht="20.100000000000001" customHeight="1" x14ac:dyDescent="0.25">
      <c r="G68" s="99"/>
    </row>
    <row r="69" spans="1:15" ht="20.100000000000001" customHeight="1" x14ac:dyDescent="0.25">
      <c r="G69" s="99"/>
    </row>
    <row r="70" spans="1:15" ht="20.100000000000001" customHeight="1" x14ac:dyDescent="0.25">
      <c r="G70" s="99"/>
    </row>
    <row r="71" spans="1:15" ht="20.100000000000001" customHeight="1" x14ac:dyDescent="0.25">
      <c r="G71" s="99"/>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110"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1F92-97DF-4533-8AD2-2A18034CC3AD}">
  <dimension ref="A1:P165"/>
  <sheetViews>
    <sheetView showGridLines="0" topLeftCell="B5" zoomScale="85" zoomScaleNormal="85" workbookViewId="0">
      <selection activeCell="H38" sqref="H38"/>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154</v>
      </c>
    </row>
    <row r="2" spans="1:16" s="9" customFormat="1" ht="20.100000000000001" customHeight="1" x14ac:dyDescent="0.25">
      <c r="A2"/>
    </row>
    <row r="3" spans="1:16" ht="20.100000000000001" customHeight="1" x14ac:dyDescent="0.25">
      <c r="A3" s="17" t="str">
        <f>HYPERLINK("#'Home'!A1", "Home")</f>
        <v>Home</v>
      </c>
      <c r="C3" s="4"/>
      <c r="D3" s="4" t="s">
        <v>79</v>
      </c>
      <c r="E3" s="4"/>
      <c r="F3" s="4"/>
      <c r="G3" s="4"/>
      <c r="H3" s="4"/>
      <c r="I3" s="4"/>
      <c r="J3" s="4"/>
      <c r="K3" s="4"/>
      <c r="L3" s="4"/>
      <c r="M3" s="4"/>
      <c r="N3" s="4"/>
      <c r="O3" s="4"/>
      <c r="P3" s="4"/>
    </row>
    <row r="4" spans="1:16" ht="20.100000000000001" customHeight="1" x14ac:dyDescent="0.25">
      <c r="A4" s="17" t="str">
        <f>HYPERLINK("#'Overview'!A1", "Overview")</f>
        <v>Overview</v>
      </c>
    </row>
    <row r="5" spans="1:16" ht="20.100000000000001" customHeight="1" x14ac:dyDescent="0.25">
      <c r="A5" s="17" t="str">
        <f>HYPERLINK("#'Results'!A1", "Results")</f>
        <v>Results</v>
      </c>
      <c r="D5" s="6" t="str" cm="1">
        <f t="array" ref="D5">Fuel_Equations.VEERG_8_X_FuelCombustionGeneric_Title()</f>
        <v>Emissions for each GHG from the generic combustion of fuels</v>
      </c>
      <c r="O5" s="99"/>
    </row>
    <row r="6" spans="1:16" ht="20.100000000000001" customHeight="1" x14ac:dyDescent="0.25">
      <c r="A6" s="16"/>
      <c r="D6" s="5" t="str" cm="1">
        <f t="array" ref="D6">Fuel_Equations.VEERG_8_X_FuelCombustionGeneric_Source()</f>
        <v>Uses VEERG 2026: 8.1.1.1, Equation (1), 8.2.1.1, Equation (1) and everages the Australian National Greenhouse Accounts Factors 2025 for transport and stationary fuel combustion</v>
      </c>
      <c r="O6" s="99"/>
    </row>
    <row r="7" spans="1:16" ht="20.100000000000001" customHeight="1" x14ac:dyDescent="0.25">
      <c r="A7" s="20" t="s">
        <v>1</v>
      </c>
      <c r="D7" s="13" t="s">
        <v>22</v>
      </c>
      <c r="E7" s="13" t="str" cm="1">
        <f t="array" aca="1" ref="E7" ca="1">Common_InputFunctions.Utility_DisplayFunctionName(M25)</f>
        <v>=Fuel_Equations.VEERG_8_2_1_1__1_FuelCombustionStationary</v>
      </c>
      <c r="O7" s="99"/>
    </row>
    <row r="8" spans="1:16" ht="20.100000000000001" customHeight="1" x14ac:dyDescent="0.25">
      <c r="A8" s="17" t="str">
        <f>HYPERLINK("#'Input - Site'!A1", "Site")</f>
        <v>Site</v>
      </c>
      <c r="O8" s="99"/>
    </row>
    <row r="9" spans="1:16" ht="20.100000000000001" customHeight="1" x14ac:dyDescent="0.25">
      <c r="A9" s="17" t="str">
        <f>HYPERLINK("#'Input - Fertiliser'!A1", "Fertiliser")</f>
        <v>Fertiliser</v>
      </c>
      <c r="G9" s="5"/>
      <c r="O9" s="99"/>
    </row>
    <row r="10" spans="1:16" ht="20.100000000000001" customHeight="1" x14ac:dyDescent="0.25">
      <c r="A10" s="17"/>
      <c r="O10" s="99"/>
    </row>
    <row r="11" spans="1:16" ht="20.100000000000001" customHeight="1" x14ac:dyDescent="0.25">
      <c r="A11" s="19" t="s">
        <v>69</v>
      </c>
      <c r="D11" s="49" t="s">
        <v>25</v>
      </c>
      <c r="E11" s="1" t="str" cm="1">
        <f t="array" ref="E11">Fuel_Equations.VEERG_8_X_FuelCombustionGeneric_Variable()</f>
        <v>E_g</v>
      </c>
      <c r="O11" s="99"/>
    </row>
    <row r="12" spans="1:16" ht="20.100000000000001" customHeight="1" x14ac:dyDescent="0.25">
      <c r="A12" s="17" t="str">
        <f>HYPERLINK("#'5.1.1.1-2 Inorganic Fert N2O'!A1", "5.1.1.1-2 Inorganic Fert N2O")</f>
        <v>5.1.1.1-2 Inorganic Fert N2O</v>
      </c>
      <c r="D12" s="49" t="s">
        <v>16</v>
      </c>
      <c r="E12" s="50" t="str" cm="1">
        <f t="array" ref="E12">Fuel_Equations.VEERG_8_X_FuelCombustionGeneric_Unit()</f>
        <v>t CO2-e</v>
      </c>
    </row>
    <row r="13" spans="1:16" ht="20.100000000000001" customHeight="1" x14ac:dyDescent="0.25">
      <c r="A13" s="118" t="str">
        <f>HYPERLINK("#'5.1.1.3-4 Inorganic fert CO2'!A1", "5.1.1.3-4 Inorganic fert CO2")</f>
        <v>5.1.1.3-4 Inorganic fert CO2</v>
      </c>
    </row>
    <row r="14" spans="1:16" ht="20.100000000000001" customHeight="1" x14ac:dyDescent="0.25">
      <c r="A14" s="17" t="str">
        <f>HYPERLINK("#'5.2.1.1-2 Organic Fert N2O'!A1", "5.2.1.1-2 Organic Fert N2O")</f>
        <v>5.2.1.1-2 Organic Fert N2O</v>
      </c>
      <c r="D14" s="107" t="str" cm="1">
        <f t="array" ref="D14:E20">_xlfn.CHOOSECOLS(Fuel_Equations.VEERG_8_X_FuelCombustionGeneric_Arguments(), 1,2)</f>
        <v>Q_GCq</v>
      </c>
      <c r="E14" s="109" t="str">
        <v>Amount of fuel type q used for generic combustion operations</v>
      </c>
      <c r="F14" s="108"/>
      <c r="G14" s="107" t="str" cm="1">
        <f t="array" ref="G14:H20">_xlfn.CHOOSECOLS(Fuel_Equations.VEERG_8_X_FuelCombustionGeneric_Arguments(), 3,4)</f>
        <v>Varies based on fuel type: kL, m3, GJ</v>
      </c>
      <c r="H14" s="102" t="str">
        <v>Input</v>
      </c>
      <c r="I14" s="106" t="str" cm="1">
        <f t="array" aca="1" ref="I14" ca="1">HYPERLINK(Common_InputFunctions.Utility_SourceHyperlink($D$22), $D$22)</f>
        <v>Table_E_g</v>
      </c>
      <c r="O14" s="99"/>
    </row>
    <row r="15" spans="1:16" ht="20.100000000000001" customHeight="1" x14ac:dyDescent="0.25">
      <c r="A15" s="17" t="str">
        <f>HYPERLINK("#'5.3.1.1-2 Lime CO2'!A1", "5.3.1.1-2 Lime CO2")</f>
        <v>5.3.1.1-2 Lime CO2</v>
      </c>
      <c r="D15" s="107" t="str">
        <v>EC_GCq</v>
      </c>
      <c r="E15" s="109" t="str">
        <v>Energy content factor for generic combustion operations</v>
      </c>
      <c r="F15" s="108"/>
      <c r="G15" s="107" t="str">
        <v>GJ / unit of fuel</v>
      </c>
      <c r="H15" s="101" t="str">
        <v>Constant</v>
      </c>
      <c r="I15" s="106" t="str" cm="1">
        <f t="array" aca="1" ref="I15" ca="1">HYPERLINK(Common_InputFunctions.Utility_SourceHyperlink($D$22), $D$22)</f>
        <v>Table_E_g</v>
      </c>
      <c r="O15" s="99"/>
    </row>
    <row r="16" spans="1:16" ht="20.100000000000001" customHeight="1" x14ac:dyDescent="0.25">
      <c r="A16" s="17" t="str">
        <f>HYPERLINK("#'5.4.1.1-4 Atmos deposition'!A1", "5.4.1.1-4 Atmos deposition")</f>
        <v>5.4.1.1-4 Atmos deposition</v>
      </c>
      <c r="D16" s="107" t="str">
        <v>EF_GC1qg</v>
      </c>
      <c r="E16" s="109" t="str">
        <v>Scope 1 emission factor for generic combustion for each greenhouse gas</v>
      </c>
      <c r="F16" s="108"/>
      <c r="G16" s="107" t="str">
        <v>kg CO2e / GJ</v>
      </c>
      <c r="H16" s="101" t="str">
        <v>Constant</v>
      </c>
      <c r="I16" s="106" t="str" cm="1">
        <f t="array" aca="1" ref="I16" ca="1">HYPERLINK(Common_InputFunctions.Utility_SourceHyperlink($D$22), $D$22)</f>
        <v>Table_E_g</v>
      </c>
      <c r="O16" s="99"/>
    </row>
    <row r="17" spans="1:15" ht="20.100000000000001" customHeight="1" x14ac:dyDescent="0.25">
      <c r="A17" s="17" t="str">
        <f>HYPERLINK("#'5.5.1.1-2 Leaching and runoff'!A1", "5.5.1.1-2 Leaching and runoff")</f>
        <v>5.5.1.1-2 Leaching and runoff</v>
      </c>
      <c r="D17" s="107" t="str">
        <v>q</v>
      </c>
      <c r="E17" s="109" t="str">
        <v>Fuel type</v>
      </c>
      <c r="F17" s="108"/>
      <c r="G17" s="107" t="str">
        <v/>
      </c>
      <c r="H17" s="101" t="str">
        <v>Constant</v>
      </c>
      <c r="I17" s="106"/>
      <c r="J17" s="99"/>
      <c r="L17" s="99"/>
      <c r="N17" s="99"/>
      <c r="O17" s="99"/>
    </row>
    <row r="18" spans="1:15" ht="20.100000000000001" customHeight="1" x14ac:dyDescent="0.25">
      <c r="D18" s="107" t="str">
        <v>GC</v>
      </c>
      <c r="E18" s="109" t="str">
        <v>Generic combustion</v>
      </c>
      <c r="F18" s="108"/>
      <c r="G18" s="107" t="str">
        <v/>
      </c>
      <c r="H18" s="101" t="str">
        <v>Constant</v>
      </c>
      <c r="I18" s="106"/>
      <c r="J18" s="99"/>
      <c r="L18" s="99"/>
      <c r="N18" s="99"/>
      <c r="O18" s="99"/>
    </row>
    <row r="19" spans="1:15" ht="20.100000000000001" customHeight="1" x14ac:dyDescent="0.25">
      <c r="A19" s="18" t="s">
        <v>2</v>
      </c>
      <c r="D19" s="107" t="str">
        <v>g</v>
      </c>
      <c r="E19" s="109" t="str">
        <v>Greenhouse gas</v>
      </c>
      <c r="F19" s="108"/>
      <c r="G19" s="107" t="str">
        <v/>
      </c>
      <c r="H19" s="101" t="str">
        <v>Constant</v>
      </c>
      <c r="I19" s="106"/>
      <c r="J19" s="99"/>
      <c r="L19" s="99"/>
      <c r="N19" s="99"/>
      <c r="O19" s="99"/>
    </row>
    <row r="20" spans="1:15" ht="20.100000000000001" customHeight="1" x14ac:dyDescent="0.25">
      <c r="A20" s="17" t="str">
        <f>HYPERLINK("#'Constants - Fertiliser'!A1", "Constants - Fertiliser")</f>
        <v>Constants - Fertiliser</v>
      </c>
      <c r="D20" s="107" t="str">
        <v>1</v>
      </c>
      <c r="E20" s="109" t="str">
        <v>Scope 1</v>
      </c>
      <c r="F20" s="108"/>
      <c r="G20" s="107" t="str">
        <v/>
      </c>
      <c r="H20" s="101" t="str">
        <v>Constant</v>
      </c>
      <c r="I20" s="106"/>
      <c r="J20" s="99"/>
      <c r="L20" s="99"/>
      <c r="N20" s="99"/>
      <c r="O20" s="99"/>
    </row>
    <row r="21" spans="1:15" ht="20.100000000000001" customHeight="1" x14ac:dyDescent="0.25">
      <c r="A21" s="17" t="str">
        <f>HYPERLINK("#'Constants - Common'!A1", "Constants - Common")</f>
        <v>Constants - Common</v>
      </c>
      <c r="O21" s="99"/>
    </row>
    <row r="22" spans="1:15" ht="20.100000000000001" customHeight="1" x14ac:dyDescent="0.25">
      <c r="D22" s="87" t="s">
        <v>208</v>
      </c>
    </row>
    <row r="23" spans="1:15" ht="20.100000000000001" customHeight="1" x14ac:dyDescent="0.25">
      <c r="A23" s="17"/>
      <c r="D23" s="86" t="s">
        <v>217</v>
      </c>
    </row>
    <row r="24" spans="1:15" ht="20.100000000000001" customHeight="1" x14ac:dyDescent="0.25">
      <c r="D24" s="47" t="s">
        <v>193</v>
      </c>
      <c r="E24" s="47" t="s">
        <v>207</v>
      </c>
      <c r="F24" s="47" t="s">
        <v>194</v>
      </c>
      <c r="G24" s="47" t="s">
        <v>211</v>
      </c>
      <c r="H24" s="47" t="s">
        <v>212</v>
      </c>
      <c r="I24" s="47" t="s">
        <v>213</v>
      </c>
      <c r="J24" s="47" t="s">
        <v>214</v>
      </c>
      <c r="K24" s="100" t="s">
        <v>215</v>
      </c>
      <c r="L24" s="47" t="s">
        <v>199</v>
      </c>
      <c r="M24" s="47" t="s">
        <v>200</v>
      </c>
      <c r="N24" s="47" t="s">
        <v>201</v>
      </c>
      <c r="O24" s="47" t="s">
        <v>202</v>
      </c>
    </row>
    <row r="25" spans="1:15" ht="20.100000000000001" customHeight="1" x14ac:dyDescent="0.25">
      <c r="D25" s="3" t="str">
        <f>Table_FuelTypesPerUse[[#Headers],[General use]]</f>
        <v>General use</v>
      </c>
      <c r="E25" s="135" t="str">
        <f>'Constants - Fuel'!E10 &amp; ", " &amp; 'Constants - Fuel'!$D$58</f>
        <v>Gasoline, Automotive gasoline / petrol (other than for use as fuel in an aircraft)</v>
      </c>
      <c r="F25" s="135" t="str">
        <f>'Constants - Fuel'!J131</f>
        <v>Petrol</v>
      </c>
      <c r="G25" s="48">
        <f>AVERAGE(Common_InputFunctions.Utility_LookupValueInTableNumber(Fuel_InputFunctions.Fuel_GetStationaryFuelString($E25), Table_Fuel_EFs_StationaryLiquid[Fuel combusted], Table_Fuel_EFs_StationaryLiquid[Energy Content Factor (GJ per unit of fuel)]), Common_InputFunctions.Utility_LookupValueInTableNumber(Fuel_InputFunctions.Fuel_GetTransportFuelString($E25), Table_Fuel_EFs_Transport[Fuel combusted], Table_Fuel_EFs_Transport[Energy Content Factor (GJ per unit of fuel)]))</f>
        <v>34.200000000000003</v>
      </c>
      <c r="H25" s="48">
        <f>AVERAGE(Common_InputFunctions.Utility_LookupValueInTableNumber(Fuel_InputFunctions.Fuel_GetStationaryFuelString($E25), Table_Fuel_EFs_StationaryLiquid[Fuel combusted], Table_Fuel_EFs_StationaryLiquid[Scope 1 Emission Factor (kg CO2 - e / GJ) CO2]), Common_InputFunctions.Utility_LookupValueInTableNumber(Fuel_InputFunctions.Fuel_GetTransportFuelString($E25), Table_Fuel_EFs_Transport[Fuel combusted], Table_Fuel_EFs_Transport[Scope 1 Emission Factor (kg CO2 - e / GJ) CO2]))</f>
        <v>67.400000000000006</v>
      </c>
      <c r="I25" s="48">
        <f>AVERAGE(Common_InputFunctions.Utility_LookupValueInTableNumber(Fuel_InputFunctions.Fuel_GetStationaryFuelString($E25), Table_Fuel_EFs_StationaryLiquid[Fuel combusted], Table_Fuel_EFs_StationaryLiquid[Scope 1 Emission Factor (kg CO2 - e / GJ) CH4]), Common_InputFunctions.Utility_LookupValueInTableNumber(Fuel_InputFunctions.Fuel_GetTransportFuelString($E25), Table_Fuel_EFs_Transport[Fuel combusted], Table_Fuel_EFs_Transport[Scope 1 Emission Factor (kg CO2 - e / GJ) CH4]))</f>
        <v>0.11</v>
      </c>
      <c r="J25" s="48">
        <f>AVERAGE(Common_InputFunctions.Utility_LookupValueInTableNumber(Fuel_InputFunctions.Fuel_GetStationaryFuelString($E25), Table_Fuel_EFs_StationaryLiquid[Fuel combusted], Table_Fuel_EFs_StationaryLiquid[Scope 1 Emission Factor (kg CO2 - e / GJ) N2O]), Common_InputFunctions.Utility_LookupValueInTableNumber(Fuel_InputFunctions.Fuel_GetTransportFuelString($E25), Table_Fuel_EFs_Transport[Fuel combusted], Table_Fuel_EFs_Transport[Scope 1 Emission Factor (kg CO2 - e / GJ) N2O]))</f>
        <v>0.2</v>
      </c>
      <c r="K25" s="111" cm="1">
        <f t="array" ref="K25">Fuel_InputFunctions.Fuel_TotalConsumption(Table_Input_Fuel[Amount consumed], Table_Input_Fuel[Fuel use (select)], D25, Table_Input_Fuel[Fuel type (select)],F25)</f>
        <v>0.30000000000000004</v>
      </c>
      <c r="L25" s="111" t="str" cm="1">
        <f t="array" ref="L25">Common_InputFunctions.Utility_LookupValueInTable(F25,Table_FuelTypes_Units[Fuel type],Table_FuelTypes_Units[Unit])</f>
        <v>kL</v>
      </c>
      <c r="M25" s="156" cm="1">
        <f t="array" ref="M25">Fuel_Equations.VEERG_8_2_1_1__1_FuelCombustionStationary($K25,$G25,H25)</f>
        <v>0.69152400000000014</v>
      </c>
      <c r="N25" s="156" cm="1">
        <f t="array" ref="N25">Fuel_Equations.VEERG_8_2_1_1__1_FuelCombustionStationary($K25,$G25,I25)</f>
        <v>1.1286000000000002E-3</v>
      </c>
      <c r="O25" s="156" cm="1">
        <f t="array" ref="O25">Fuel_Equations.VEERG_8_2_1_1__1_FuelCombustionStationary($K25,$G25,J25)</f>
        <v>2.0520000000000004E-3</v>
      </c>
    </row>
    <row r="26" spans="1:15" ht="20.100000000000001" customHeight="1" x14ac:dyDescent="0.25">
      <c r="D26" s="136" t="str">
        <f>$D$25</f>
        <v>General use</v>
      </c>
      <c r="E26" s="135" t="str">
        <f>'Constants - Fuel'!E11 &amp; ", " &amp; 'Constants - Fuel'!$D$63</f>
        <v>Diesel oil, Diesel oil</v>
      </c>
      <c r="F26" s="135" t="str">
        <f>'Constants - Fuel'!J132</f>
        <v>Diesel</v>
      </c>
      <c r="G26" s="48">
        <f>AVERAGE(Common_InputFunctions.Utility_LookupValueInTableNumber(Fuel_InputFunctions.Fuel_GetStationaryFuelString($E26), Table_Fuel_EFs_StationaryLiquid[Fuel combusted], Table_Fuel_EFs_StationaryLiquid[Energy Content Factor (GJ per unit of fuel)]), Common_InputFunctions.Utility_LookupValueInTableNumber(Fuel_InputFunctions.Fuel_GetTransportFuelString($E26), Table_Fuel_EFs_Transport[Fuel combusted], Table_Fuel_EFs_Transport[Energy Content Factor (GJ per unit of fuel)]))</f>
        <v>38.6</v>
      </c>
      <c r="H26" s="48">
        <f>AVERAGE(Common_InputFunctions.Utility_LookupValueInTableNumber(Fuel_InputFunctions.Fuel_GetStationaryFuelString($E26), Table_Fuel_EFs_StationaryLiquid[Fuel combusted], Table_Fuel_EFs_StationaryLiquid[Scope 1 Emission Factor (kg CO2 - e / GJ) CO2]), Common_InputFunctions.Utility_LookupValueInTableNumber(Fuel_InputFunctions.Fuel_GetTransportFuelString($E26), Table_Fuel_EFs_Transport[Fuel combusted], Table_Fuel_EFs_Transport[Scope 1 Emission Factor (kg CO2 - e / GJ) CO2]))</f>
        <v>69.900000000000006</v>
      </c>
      <c r="I26" s="48">
        <f>AVERAGE(Common_InputFunctions.Utility_LookupValueInTableNumber(Fuel_InputFunctions.Fuel_GetStationaryFuelString($E26), Table_Fuel_EFs_StationaryLiquid[Fuel combusted], Table_Fuel_EFs_StationaryLiquid[Scope 1 Emission Factor (kg CO2 - e / GJ) CH4]), Common_InputFunctions.Utility_LookupValueInTableNumber(Fuel_InputFunctions.Fuel_GetTransportFuelString($E26), Table_Fuel_EFs_Transport[Fuel combusted], Table_Fuel_EFs_Transport[Scope 1 Emission Factor (kg CO2 - e / GJ) CH4]))</f>
        <v>5.5E-2</v>
      </c>
      <c r="J26" s="48">
        <f>AVERAGE(Common_InputFunctions.Utility_LookupValueInTableNumber(Fuel_InputFunctions.Fuel_GetStationaryFuelString($E26), Table_Fuel_EFs_StationaryLiquid[Fuel combusted], Table_Fuel_EFs_StationaryLiquid[Scope 1 Emission Factor (kg CO2 - e / GJ) N2O]), Common_InputFunctions.Utility_LookupValueInTableNumber(Fuel_InputFunctions.Fuel_GetTransportFuelString($E26), Table_Fuel_EFs_Transport[Fuel combusted], Table_Fuel_EFs_Transport[Scope 1 Emission Factor (kg CO2 - e / GJ) N2O]))</f>
        <v>0.35</v>
      </c>
      <c r="K26" s="111" cm="1">
        <f t="array" ref="K26">Fuel_InputFunctions.Fuel_TotalConsumption(Table_Input_Fuel[Amount consumed], Table_Input_Fuel[Fuel use (select)], D26, Table_Input_Fuel[Fuel type (select)],F26)</f>
        <v>0.1</v>
      </c>
      <c r="L26" s="111" t="str" cm="1">
        <f t="array" ref="L26">Common_InputFunctions.Utility_LookupValueInTable(F26,Table_FuelTypes_Units[Fuel type],Table_FuelTypes_Units[Unit])</f>
        <v>kL</v>
      </c>
      <c r="M26" s="156" cm="1">
        <f t="array" ref="M26">Fuel_Equations.VEERG_8_2_1_1__1_FuelCombustionStationary($K26,$G26,H26)</f>
        <v>0.26981400000000005</v>
      </c>
      <c r="N26" s="156" cm="1">
        <f t="array" ref="N26">Fuel_Equations.VEERG_8_2_1_1__1_FuelCombustionStationary($K26,$G26,I26)</f>
        <v>2.1230000000000001E-4</v>
      </c>
      <c r="O26" s="156" cm="1">
        <f t="array" ref="O26">Fuel_Equations.VEERG_8_2_1_1__1_FuelCombustionStationary($K26,$G26,J26)</f>
        <v>1.351E-3</v>
      </c>
    </row>
    <row r="27" spans="1:15" ht="20.100000000000001" customHeight="1" x14ac:dyDescent="0.25">
      <c r="D27" s="136" t="str">
        <f t="shared" ref="D27:D33" si="0">$D$25</f>
        <v>General use</v>
      </c>
      <c r="E27" s="135" t="str">
        <f>'Constants - Fuel'!E12 &amp; ", " &amp; 'Constants - Fuel'!$D$67</f>
        <v>Liquefied petroleum gas (LPG), Liquefied petroleum gas (LPG)</v>
      </c>
      <c r="F27" s="135" t="str">
        <f>'Constants - Fuel'!J133</f>
        <v>Liquefied petroleum gas (LPG)</v>
      </c>
      <c r="G27" s="48">
        <f>AVERAGE(Common_InputFunctions.Utility_LookupValueInTableNumber(Fuel_InputFunctions.Fuel_GetStationaryFuelString($E27), Table_Fuel_EFs_StationaryLiquid[Fuel combusted], Table_Fuel_EFs_StationaryLiquid[Energy Content Factor (GJ per unit of fuel)]), Common_InputFunctions.Utility_LookupValueInTableNumber(Fuel_InputFunctions.Fuel_GetTransportFuelString($E27), Table_Fuel_EFs_Transport[Fuel combusted], Table_Fuel_EFs_Transport[Energy Content Factor (GJ per unit of fuel)]))</f>
        <v>25.95</v>
      </c>
      <c r="H27" s="48">
        <f>AVERAGE(Common_InputFunctions.Utility_LookupValueInTableNumber(Fuel_InputFunctions.Fuel_GetStationaryFuelString($E27), Table_Fuel_EFs_StationaryLiquid[Fuel combusted], Table_Fuel_EFs_StationaryLiquid[Scope 1 Emission Factor (kg CO2 - e / GJ) CO2]), Common_InputFunctions.Utility_LookupValueInTableNumber(Fuel_InputFunctions.Fuel_GetTransportFuelString($E27), Table_Fuel_EFs_Transport[Fuel combusted], Table_Fuel_EFs_Transport[Scope 1 Emission Factor (kg CO2 - e / GJ) CO2]))</f>
        <v>60.2</v>
      </c>
      <c r="I27" s="48">
        <f>AVERAGE(Common_InputFunctions.Utility_LookupValueInTableNumber(Fuel_InputFunctions.Fuel_GetStationaryFuelString($E27), Table_Fuel_EFs_StationaryLiquid[Fuel combusted], Table_Fuel_EFs_StationaryLiquid[Scope 1 Emission Factor (kg CO2 - e / GJ) CH4]), Common_InputFunctions.Utility_LookupValueInTableNumber(Fuel_InputFunctions.Fuel_GetTransportFuelString($E27), Table_Fuel_EFs_Transport[Fuel combusted], Table_Fuel_EFs_Transport[Scope 1 Emission Factor (kg CO2 - e / GJ) CH4]))</f>
        <v>0.35</v>
      </c>
      <c r="J27" s="48">
        <f>AVERAGE(Common_InputFunctions.Utility_LookupValueInTableNumber(Fuel_InputFunctions.Fuel_GetStationaryFuelString($E27), Table_Fuel_EFs_StationaryLiquid[Fuel combusted], Table_Fuel_EFs_StationaryLiquid[Scope 1 Emission Factor (kg CO2 - e / GJ) N2O]), Common_InputFunctions.Utility_LookupValueInTableNumber(Fuel_InputFunctions.Fuel_GetTransportFuelString($E27), Table_Fuel_EFs_Transport[Fuel combusted], Table_Fuel_EFs_Transport[Scope 1 Emission Factor (kg CO2 - e / GJ) N2O]))</f>
        <v>0.25</v>
      </c>
      <c r="K27" s="111" cm="1">
        <f t="array" ref="K27">Fuel_InputFunctions.Fuel_TotalConsumption(Table_Input_Fuel[Amount consumed], Table_Input_Fuel[Fuel use (select)], D27, Table_Input_Fuel[Fuel type (select)],F27)</f>
        <v>0.1</v>
      </c>
      <c r="L27" s="111" t="str" cm="1">
        <f t="array" ref="L27">Common_InputFunctions.Utility_LookupValueInTable(F27,Table_FuelTypes_Units[Fuel type],Table_FuelTypes_Units[Unit])</f>
        <v>kL</v>
      </c>
      <c r="M27" s="156" cm="1">
        <f t="array" ref="M27">Fuel_Equations.VEERG_8_2_1_1__1_FuelCombustionStationary($K27,$G27,H27)</f>
        <v>0.15621900000000002</v>
      </c>
      <c r="N27" s="156" cm="1">
        <f t="array" ref="N27">Fuel_Equations.VEERG_8_2_1_1__1_FuelCombustionStationary($K27,$G27,I27)</f>
        <v>9.0824999999999999E-4</v>
      </c>
      <c r="O27" s="156" cm="1">
        <f t="array" ref="O27">Fuel_Equations.VEERG_8_2_1_1__1_FuelCombustionStationary($K27,$G27,J27)</f>
        <v>6.4875000000000002E-4</v>
      </c>
    </row>
    <row r="28" spans="1:15" ht="20.100000000000001" customHeight="1" x14ac:dyDescent="0.25">
      <c r="D28" s="136" t="str">
        <f t="shared" si="0"/>
        <v>General use</v>
      </c>
      <c r="E28" s="135" t="str">
        <f>'Constants - Fuel'!E15 &amp; ", " &amp; 'Constants - Fuel'!$D$73</f>
        <v>Biodiesel, Biodiesel</v>
      </c>
      <c r="F28" s="135" t="str">
        <f>'Constants - Fuel'!J134</f>
        <v>Biodiesel</v>
      </c>
      <c r="G28" s="48">
        <f>AVERAGE(Common_InputFunctions.Utility_LookupValueInTableNumber(Fuel_InputFunctions.Fuel_GetStationaryFuelString($E28), Table_Fuel_EFs_StationaryLiquid[Fuel combusted], Table_Fuel_EFs_StationaryLiquid[Energy Content Factor (GJ per unit of fuel)]), Common_InputFunctions.Utility_LookupValueInTableNumber(Fuel_InputFunctions.Fuel_GetTransportFuelString($E28), Table_Fuel_EFs_Transport[Fuel combusted], Table_Fuel_EFs_Transport[Energy Content Factor (GJ per unit of fuel)]))</f>
        <v>34.6</v>
      </c>
      <c r="H28" s="48">
        <f>AVERAGE(Common_InputFunctions.Utility_LookupValueInTableNumber(Fuel_InputFunctions.Fuel_GetStationaryFuelString($E28), Table_Fuel_EFs_StationaryLiquid[Fuel combusted], Table_Fuel_EFs_StationaryLiquid[Scope 1 Emission Factor (kg CO2 - e / GJ) CO2]), Common_InputFunctions.Utility_LookupValueInTableNumber(Fuel_InputFunctions.Fuel_GetTransportFuelString($E28), Table_Fuel_EFs_Transport[Fuel combusted], Table_Fuel_EFs_Transport[Scope 1 Emission Factor (kg CO2 - e / GJ) CO2]))</f>
        <v>0</v>
      </c>
      <c r="I28" s="48">
        <f>AVERAGE(Common_InputFunctions.Utility_LookupValueInTableNumber(Fuel_InputFunctions.Fuel_GetStationaryFuelString($E28), Table_Fuel_EFs_StationaryLiquid[Fuel combusted], Table_Fuel_EFs_StationaryLiquid[Scope 1 Emission Factor (kg CO2 - e / GJ) CH4]), Common_InputFunctions.Utility_LookupValueInTableNumber(Fuel_InputFunctions.Fuel_GetTransportFuelString($E28), Table_Fuel_EFs_Transport[Fuel combusted], Table_Fuel_EFs_Transport[Scope 1 Emission Factor (kg CO2 - e / GJ) CH4]))</f>
        <v>0.44</v>
      </c>
      <c r="J28" s="48">
        <f>AVERAGE(Common_InputFunctions.Utility_LookupValueInTableNumber(Fuel_InputFunctions.Fuel_GetStationaryFuelString($E28), Table_Fuel_EFs_StationaryLiquid[Fuel combusted], Table_Fuel_EFs_StationaryLiquid[Scope 1 Emission Factor (kg CO2 - e / GJ) N2O]), Common_InputFunctions.Utility_LookupValueInTableNumber(Fuel_InputFunctions.Fuel_GetTransportFuelString($E28), Table_Fuel_EFs_Transport[Fuel combusted], Table_Fuel_EFs_Transport[Scope 1 Emission Factor (kg CO2 - e / GJ) N2O]))</f>
        <v>0.95</v>
      </c>
      <c r="K28" s="111" cm="1">
        <f t="array" ref="K28">Fuel_InputFunctions.Fuel_TotalConsumption(Table_Input_Fuel[Amount consumed], Table_Input_Fuel[Fuel use (select)], D28, Table_Input_Fuel[Fuel type (select)],F28)</f>
        <v>0.2</v>
      </c>
      <c r="L28" s="111" t="str" cm="1">
        <f t="array" ref="L28">Common_InputFunctions.Utility_LookupValueInTable(F28,Table_FuelTypes_Units[Fuel type],Table_FuelTypes_Units[Unit])</f>
        <v>kL</v>
      </c>
      <c r="M28" s="156" cm="1">
        <f t="array" ref="M28">Fuel_Equations.VEERG_8_2_1_1__1_FuelCombustionStationary($K28,$G28,H28)</f>
        <v>0</v>
      </c>
      <c r="N28" s="156" cm="1">
        <f t="array" ref="N28">Fuel_Equations.VEERG_8_2_1_1__1_FuelCombustionStationary($K28,$G28,I28)</f>
        <v>3.0448000000000003E-3</v>
      </c>
      <c r="O28" s="156" cm="1">
        <f t="array" ref="O28">Fuel_Equations.VEERG_8_2_1_1__1_FuelCombustionStationary($K28,$G28,J28)</f>
        <v>6.5740000000000008E-3</v>
      </c>
    </row>
    <row r="29" spans="1:15" ht="20.100000000000001" customHeight="1" x14ac:dyDescent="0.25">
      <c r="D29" s="136" t="str">
        <f t="shared" si="0"/>
        <v>General use</v>
      </c>
      <c r="E29" s="135" t="str">
        <f>'Constants - Fuel'!E14 &amp; ", " &amp; 'Constants - Fuel'!$D$74</f>
        <v>Ethanol, Ethanol for use as a fuel in an internal combustion engine</v>
      </c>
      <c r="F29" s="135" t="str">
        <f>'Constants - Fuel'!J135</f>
        <v>Ethanol</v>
      </c>
      <c r="G29" s="48">
        <f>AVERAGE(Common_InputFunctions.Utility_LookupValueInTableNumber(Fuel_InputFunctions.Fuel_GetStationaryFuelString($E29), Table_Fuel_EFs_StationaryLiquid[Fuel combusted], Table_Fuel_EFs_StationaryLiquid[Energy Content Factor (GJ per unit of fuel)]), Common_InputFunctions.Utility_LookupValueInTableNumber(Fuel_InputFunctions.Fuel_GetTransportFuelString($E29), Table_Fuel_EFs_Transport[Fuel combusted], Table_Fuel_EFs_Transport[Energy Content Factor (GJ per unit of fuel)]))</f>
        <v>23.4</v>
      </c>
      <c r="H29" s="48">
        <f>AVERAGE(Common_InputFunctions.Utility_LookupValueInTableNumber(Fuel_InputFunctions.Fuel_GetStationaryFuelString($E29), Table_Fuel_EFs_StationaryLiquid[Fuel combusted], Table_Fuel_EFs_StationaryLiquid[Scope 1 Emission Factor (kg CO2 - e / GJ) CO2]), Common_InputFunctions.Utility_LookupValueInTableNumber(Fuel_InputFunctions.Fuel_GetTransportFuelString($E29), Table_Fuel_EFs_Transport[Fuel combusted], Table_Fuel_EFs_Transport[Scope 1 Emission Factor (kg CO2 - e / GJ) CO2]))</f>
        <v>0</v>
      </c>
      <c r="I29" s="48">
        <f>AVERAGE(Common_InputFunctions.Utility_LookupValueInTableNumber(Fuel_InputFunctions.Fuel_GetStationaryFuelString($E29), Table_Fuel_EFs_StationaryLiquid[Fuel combusted], Table_Fuel_EFs_StationaryLiquid[Scope 1 Emission Factor (kg CO2 - e / GJ) CH4]), Common_InputFunctions.Utility_LookupValueInTableNumber(Fuel_InputFunctions.Fuel_GetTransportFuelString($E29), Table_Fuel_EFs_Transport[Fuel combusted], Table_Fuel_EFs_Transport[Scope 1 Emission Factor (kg CO2 - e / GJ) CH4]))</f>
        <v>0.14000000000000001</v>
      </c>
      <c r="J29" s="48">
        <f>AVERAGE(Common_InputFunctions.Utility_LookupValueInTableNumber(Fuel_InputFunctions.Fuel_GetStationaryFuelString($E29), Table_Fuel_EFs_StationaryLiquid[Fuel combusted], Table_Fuel_EFs_StationaryLiquid[Scope 1 Emission Factor (kg CO2 - e / GJ) N2O]), Common_InputFunctions.Utility_LookupValueInTableNumber(Fuel_InputFunctions.Fuel_GetTransportFuelString($E29), Table_Fuel_EFs_Transport[Fuel combusted], Table_Fuel_EFs_Transport[Scope 1 Emission Factor (kg CO2 - e / GJ) N2O]))</f>
        <v>0.2</v>
      </c>
      <c r="K29" s="111" cm="1">
        <f t="array" ref="K29">Fuel_InputFunctions.Fuel_TotalConsumption(Table_Input_Fuel[Amount consumed], Table_Input_Fuel[Fuel use (select)], D29, Table_Input_Fuel[Fuel type (select)],F29)</f>
        <v>0.1</v>
      </c>
      <c r="L29" s="111" t="str" cm="1">
        <f t="array" ref="L29">Common_InputFunctions.Utility_LookupValueInTable(F29,Table_FuelTypes_Units[Fuel type],Table_FuelTypes_Units[Unit])</f>
        <v>kL</v>
      </c>
      <c r="M29" s="156" cm="1">
        <f t="array" ref="M29">Fuel_Equations.VEERG_8_2_1_1__1_FuelCombustionStationary($K29,$G29,H29)</f>
        <v>0</v>
      </c>
      <c r="N29" s="156" cm="1">
        <f t="array" ref="N29">Fuel_Equations.VEERG_8_2_1_1__1_FuelCombustionStationary($K29,$G29,I29)</f>
        <v>3.2759999999999999E-4</v>
      </c>
      <c r="O29" s="156" cm="1">
        <f t="array" ref="O29">Fuel_Equations.VEERG_8_2_1_1__1_FuelCombustionStationary($K29,$G29,J29)</f>
        <v>4.6799999999999999E-4</v>
      </c>
    </row>
    <row r="30" spans="1:15" ht="20.100000000000001" customHeight="1" x14ac:dyDescent="0.25">
      <c r="D30" s="136" t="str">
        <f t="shared" si="0"/>
        <v>General use</v>
      </c>
      <c r="E30" s="135" t="str">
        <f>'Constants - Fuel'!E17 &amp; ", " &amp; 'Constants - Fuel'!$D$75</f>
        <v>Other biofuels, Biofuels other than those mentioned in the items above and below</v>
      </c>
      <c r="F30" s="135" t="str">
        <f>'Constants - Fuel'!J136</f>
        <v>Other biofuels</v>
      </c>
      <c r="G30" s="48">
        <f>AVERAGE(Common_InputFunctions.Utility_LookupValueInTableNumber(Fuel_InputFunctions.Fuel_GetStationaryFuelString($E30), Table_Fuel_EFs_StationaryLiquid[Fuel combusted], Table_Fuel_EFs_StationaryLiquid[Energy Content Factor (GJ per unit of fuel)]), Common_InputFunctions.Utility_LookupValueInTableNumber(Fuel_InputFunctions.Fuel_GetTransportFuelString($E30), Table_Fuel_EFs_Transport[Fuel combusted], Table_Fuel_EFs_Transport[Energy Content Factor (GJ per unit of fuel)]))</f>
        <v>23.4</v>
      </c>
      <c r="H30" s="48">
        <f>AVERAGE(Common_InputFunctions.Utility_LookupValueInTableNumber(Fuel_InputFunctions.Fuel_GetStationaryFuelString($E30), Table_Fuel_EFs_StationaryLiquid[Fuel combusted], Table_Fuel_EFs_StationaryLiquid[Scope 1 Emission Factor (kg CO2 - e / GJ) CO2]), Common_InputFunctions.Utility_LookupValueInTableNumber(Fuel_InputFunctions.Fuel_GetTransportFuelString($E30), Table_Fuel_EFs_Transport[Fuel combusted], Table_Fuel_EFs_Transport[Scope 1 Emission Factor (kg CO2 - e / GJ) CO2]))</f>
        <v>0</v>
      </c>
      <c r="I30" s="48">
        <f>AVERAGE(Common_InputFunctions.Utility_LookupValueInTableNumber(Fuel_InputFunctions.Fuel_GetStationaryFuelString($E30), Table_Fuel_EFs_StationaryLiquid[Fuel combusted], Table_Fuel_EFs_StationaryLiquid[Scope 1 Emission Factor (kg CO2 - e / GJ) CH4]), Common_InputFunctions.Utility_LookupValueInTableNumber(Fuel_InputFunctions.Fuel_GetTransportFuelString($E30), Table_Fuel_EFs_Transport[Fuel combusted], Table_Fuel_EFs_Transport[Scope 1 Emission Factor (kg CO2 - e / GJ) CH4]))</f>
        <v>0.44</v>
      </c>
      <c r="J30" s="48">
        <f>AVERAGE(Common_InputFunctions.Utility_LookupValueInTableNumber(Fuel_InputFunctions.Fuel_GetStationaryFuelString($E30), Table_Fuel_EFs_StationaryLiquid[Fuel combusted], Table_Fuel_EFs_StationaryLiquid[Scope 1 Emission Factor (kg CO2 - e / GJ) N2O]), Common_InputFunctions.Utility_LookupValueInTableNumber(Fuel_InputFunctions.Fuel_GetTransportFuelString($E30), Table_Fuel_EFs_Transport[Fuel combusted], Table_Fuel_EFs_Transport[Scope 1 Emission Factor (kg CO2 - e / GJ) N2O]))</f>
        <v>0.95</v>
      </c>
      <c r="K30" s="111" cm="1">
        <f t="array" ref="K30">Fuel_InputFunctions.Fuel_TotalConsumption(Table_Input_Fuel[Amount consumed], Table_Input_Fuel[Fuel use (select)], D30, Table_Input_Fuel[Fuel type (select)],F30)</f>
        <v>0.1</v>
      </c>
      <c r="L30" s="111" t="str" cm="1">
        <f t="array" ref="L30">Common_InputFunctions.Utility_LookupValueInTable(F30,Table_FuelTypes_Units[Fuel type],Table_FuelTypes_Units[Unit])</f>
        <v>kL</v>
      </c>
      <c r="M30" s="156" cm="1">
        <f t="array" ref="M30">Fuel_Equations.VEERG_8_2_1_1__1_FuelCombustionStationary($K30,$G30,H30)</f>
        <v>0</v>
      </c>
      <c r="N30" s="156" cm="1">
        <f t="array" ref="N30">Fuel_Equations.VEERG_8_2_1_1__1_FuelCombustionStationary($K30,$G30,I30)</f>
        <v>1.0295999999999999E-3</v>
      </c>
      <c r="O30" s="156" cm="1">
        <f t="array" ref="O30">Fuel_Equations.VEERG_8_2_1_1__1_FuelCombustionStationary($K30,$G30,J30)</f>
        <v>2.2229999999999997E-3</v>
      </c>
    </row>
    <row r="31" spans="1:15" ht="20.100000000000001" customHeight="1" x14ac:dyDescent="0.25">
      <c r="D31" s="136" t="str">
        <f t="shared" si="0"/>
        <v>General use</v>
      </c>
      <c r="E31" s="135" t="str">
        <f>'Constants - Fuel'!E16 &amp; ", " &amp; 'Constants - Fuel'!$D$77</f>
        <v>Renewable diesel, Renewable diesel</v>
      </c>
      <c r="F31" s="135" t="str">
        <f>'Constants - Fuel'!J137</f>
        <v>Renewable diesel</v>
      </c>
      <c r="G31" s="48">
        <f>AVERAGE(Common_InputFunctions.Utility_LookupValueInTableNumber(Fuel_InputFunctions.Fuel_GetStationaryFuelString($E31), Table_Fuel_EFs_StationaryLiquid[Fuel combusted], Table_Fuel_EFs_StationaryLiquid[Energy Content Factor (GJ per unit of fuel)]), Common_InputFunctions.Utility_LookupValueInTableNumber(Fuel_InputFunctions.Fuel_GetTransportFuelString($E31), Table_Fuel_EFs_Transport[Fuel combusted], Table_Fuel_EFs_Transport[Energy Content Factor (GJ per unit of fuel)]))</f>
        <v>38.6</v>
      </c>
      <c r="H31" s="48">
        <f>AVERAGE(Common_InputFunctions.Utility_LookupValueInTableNumber(Fuel_InputFunctions.Fuel_GetStationaryFuelString($E31), Table_Fuel_EFs_StationaryLiquid[Fuel combusted], Table_Fuel_EFs_StationaryLiquid[Scope 1 Emission Factor (kg CO2 - e / GJ) CO2]), Common_InputFunctions.Utility_LookupValueInTableNumber(Fuel_InputFunctions.Fuel_GetTransportFuelString($E31), Table_Fuel_EFs_Transport[Fuel combusted], Table_Fuel_EFs_Transport[Scope 1 Emission Factor (kg CO2 - e / GJ) CO2]))</f>
        <v>0</v>
      </c>
      <c r="I31" s="48">
        <f>AVERAGE(Common_InputFunctions.Utility_LookupValueInTableNumber(Fuel_InputFunctions.Fuel_GetStationaryFuelString($E31), Table_Fuel_EFs_StationaryLiquid[Fuel combusted], Table_Fuel_EFs_StationaryLiquid[Scope 1 Emission Factor (kg CO2 - e / GJ) CH4]), Common_InputFunctions.Utility_LookupValueInTableNumber(Fuel_InputFunctions.Fuel_GetTransportFuelString($E31), Table_Fuel_EFs_Transport[Fuel combusted], Table_Fuel_EFs_Transport[Scope 1 Emission Factor (kg CO2 - e / GJ) CH4]))</f>
        <v>5.5E-2</v>
      </c>
      <c r="J31" s="48">
        <f>AVERAGE(Common_InputFunctions.Utility_LookupValueInTableNumber(Fuel_InputFunctions.Fuel_GetStationaryFuelString($E31), Table_Fuel_EFs_StationaryLiquid[Fuel combusted], Table_Fuel_EFs_StationaryLiquid[Scope 1 Emission Factor (kg CO2 - e / GJ) N2O]), Common_InputFunctions.Utility_LookupValueInTableNumber(Fuel_InputFunctions.Fuel_GetTransportFuelString($E31), Table_Fuel_EFs_Transport[Fuel combusted], Table_Fuel_EFs_Transport[Scope 1 Emission Factor (kg CO2 - e / GJ) N2O]))</f>
        <v>0.35</v>
      </c>
      <c r="K31" s="48" cm="1">
        <f t="array" ref="K31">Fuel_InputFunctions.Fuel_TotalConsumption(Table_Input_Fuel[Amount consumed], Table_Input_Fuel[Fuel use (select)], D31, Table_Input_Fuel[Fuel type (select)],F31)</f>
        <v>0.1</v>
      </c>
      <c r="L31" s="48" t="str" cm="1">
        <f t="array" ref="L31">Common_InputFunctions.Utility_LookupValueInTable(F31,Table_FuelTypes_Units[Fuel type],Table_FuelTypes_Units[Unit])</f>
        <v>kL</v>
      </c>
      <c r="M31" s="48" cm="1">
        <f t="array" ref="M31">Fuel_Equations.VEERG_8_2_1_1__1_FuelCombustionStationary($K31,$G31,H31)</f>
        <v>0</v>
      </c>
      <c r="N31" s="48" cm="1">
        <f t="array" ref="N31">Fuel_Equations.VEERG_8_2_1_1__1_FuelCombustionStationary($K31,$G31,I31)</f>
        <v>2.1230000000000001E-4</v>
      </c>
      <c r="O31" s="48" cm="1">
        <f t="array" ref="O31">Fuel_Equations.VEERG_8_2_1_1__1_FuelCombustionStationary($K31,$G31,J31)</f>
        <v>1.351E-3</v>
      </c>
    </row>
    <row r="32" spans="1:15" ht="20.100000000000001" customHeight="1" x14ac:dyDescent="0.25">
      <c r="D32" s="136" t="str">
        <f t="shared" si="0"/>
        <v>General use</v>
      </c>
      <c r="E32" s="135" t="str">
        <f>'Constants - Fuel'!$D$103</f>
        <v>Natural gas distributed in a pipeline - Gigajoules</v>
      </c>
      <c r="F32" s="135" t="str">
        <f>'Constants - Fuel'!J138</f>
        <v>Natural gas (via pipeline) in GJ</v>
      </c>
      <c r="G32" s="48">
        <f>IFERROR(_xlfn.XLOOKUP($E32, Table_Fuel_EFs_StationaryGaseous[Fuel combusted], Table_Fuel_EFs_StationaryGaseous[Energy Content Factor (GJ per unit of fuel)]),0)</f>
        <v>1</v>
      </c>
      <c r="H32" s="48">
        <f>IFERROR(_xlfn.XLOOKUP($E32, Table_Fuel_EFs_StationaryGaseous[Fuel combusted], Table_Fuel_EFs_StationaryGaseous[Scope 1 Emission Factor (kg CO2 - e / GJ) CO2]),0)</f>
        <v>51.4</v>
      </c>
      <c r="I32" s="48">
        <f>IFERROR(_xlfn.XLOOKUP($E32, Table_Fuel_EFs_StationaryGaseous[Fuel combusted], Table_Fuel_EFs_StationaryGaseous[Scope 1 Emission Factor (kg CO2 - e / GJ) CH4]),0)</f>
        <v>0.1</v>
      </c>
      <c r="J32" s="48">
        <f>IFERROR(_xlfn.XLOOKUP($E32, Table_Fuel_EFs_StationaryGaseous[Fuel combusted], Table_Fuel_EFs_StationaryGaseous[Scope 1 Emission Factor (kg CO2 - e / GJ) N2O]),0)</f>
        <v>0.03</v>
      </c>
      <c r="K32" s="48" cm="1">
        <f t="array" ref="K32">Fuel_InputFunctions.Fuel_TotalConsumption(Table_Input_Fuel[Amount consumed], Table_Input_Fuel[Fuel use (select)], D32, Table_Input_Fuel[Fuel type (select)],F32)</f>
        <v>0.1</v>
      </c>
      <c r="L32" s="48" t="str" cm="1">
        <f t="array" ref="L32">Common_InputFunctions.Utility_LookupValueInTable(F32,Table_FuelTypes_Units[Fuel type],Table_FuelTypes_Units[Unit])</f>
        <v>GJ</v>
      </c>
      <c r="M32" s="48" cm="1">
        <f t="array" ref="M32">Fuel_Equations.VEERG_8_2_1_1__1_FuelCombustionStationary($K32,$G32,H32)</f>
        <v>5.1400000000000005E-3</v>
      </c>
      <c r="N32" s="48" cm="1">
        <f t="array" ref="N32">Fuel_Equations.VEERG_8_2_1_1__1_FuelCombustionStationary($K32,$G32,I32)</f>
        <v>1.0000000000000003E-5</v>
      </c>
      <c r="O32" s="48" cm="1">
        <f t="array" ref="O32">Fuel_Equations.VEERG_8_2_1_1__1_FuelCombustionStationary($K32,$G32,J32)</f>
        <v>3.0000000000000001E-6</v>
      </c>
    </row>
    <row r="33" spans="1:15" ht="20.100000000000001" customHeight="1" x14ac:dyDescent="0.25">
      <c r="D33" s="136" t="str">
        <f t="shared" si="0"/>
        <v>General use</v>
      </c>
      <c r="E33" s="135" t="str">
        <f>'Constants - Fuel'!$D$104</f>
        <v>Town gas - Gigajoules</v>
      </c>
      <c r="F33" s="135" t="str">
        <f>'Constants - Fuel'!J139</f>
        <v>Town gas in GJ</v>
      </c>
      <c r="G33" s="48">
        <f>IFERROR(_xlfn.XLOOKUP($E33, Table_Fuel_EFs_StationaryGaseous[Fuel combusted], Table_Fuel_EFs_StationaryGaseous[Energy Content Factor (GJ per unit of fuel)]),0)</f>
        <v>1</v>
      </c>
      <c r="H33" s="48">
        <f>IFERROR(_xlfn.XLOOKUP($E33, Table_Fuel_EFs_StationaryGaseous[Fuel combusted], Table_Fuel_EFs_StationaryGaseous[Scope 1 Emission Factor (kg CO2 - e / GJ) CO2]),0)</f>
        <v>60.2</v>
      </c>
      <c r="I33" s="48">
        <f>IFERROR(_xlfn.XLOOKUP($E33, Table_Fuel_EFs_StationaryGaseous[Fuel combusted], Table_Fuel_EFs_StationaryGaseous[Scope 1 Emission Factor (kg CO2 - e / GJ) CH4]),0)</f>
        <v>0.04</v>
      </c>
      <c r="J33" s="48">
        <f>IFERROR(_xlfn.XLOOKUP($E33, Table_Fuel_EFs_StationaryGaseous[Fuel combusted], Table_Fuel_EFs_StationaryGaseous[Scope 1 Emission Factor (kg CO2 - e / GJ) N2O]),0)</f>
        <v>0.03</v>
      </c>
      <c r="K33" s="48" cm="1">
        <f t="array" ref="K33">Fuel_InputFunctions.Fuel_TotalConsumption(Table_Input_Fuel[Amount consumed], Table_Input_Fuel[Fuel use (select)], D33, Table_Input_Fuel[Fuel type (select)],F33)</f>
        <v>0.1</v>
      </c>
      <c r="L33" s="48" t="str" cm="1">
        <f t="array" ref="L33">Common_InputFunctions.Utility_LookupValueInTable(F33,Table_FuelTypes_Units[Fuel type],Table_FuelTypes_Units[Unit])</f>
        <v>GJ</v>
      </c>
      <c r="M33" s="48" cm="1">
        <f t="array" ref="M33">Fuel_Equations.VEERG_8_2_1_1__1_FuelCombustionStationary($K33,$G33,H33)</f>
        <v>6.0200000000000002E-3</v>
      </c>
      <c r="N33" s="48" cm="1">
        <f t="array" ref="N33">Fuel_Equations.VEERG_8_2_1_1__1_FuelCombustionStationary($K33,$G33,I33)</f>
        <v>3.9999999999999998E-6</v>
      </c>
      <c r="O33" s="48" cm="1">
        <f t="array" ref="O33">Fuel_Equations.VEERG_8_2_1_1__1_FuelCombustionStationary($K33,$G33,J33)</f>
        <v>3.0000000000000001E-6</v>
      </c>
    </row>
    <row r="34" spans="1:15" ht="20.100000000000001" customHeight="1" x14ac:dyDescent="0.25">
      <c r="D34" s="136" t="str">
        <f>$D$32</f>
        <v>General use</v>
      </c>
    </row>
    <row r="35" spans="1:15" ht="20.100000000000001" customHeight="1" x14ac:dyDescent="0.25">
      <c r="D35" s="142" t="str">
        <f>"Total scope 1 - " &amp; D25</f>
        <v>Total scope 1 - General use</v>
      </c>
      <c r="E35" s="143"/>
      <c r="F35" s="144"/>
    </row>
    <row r="36" spans="1:15" ht="20.100000000000001" customHeight="1" x14ac:dyDescent="0.25">
      <c r="D36" s="3" t="s">
        <v>203</v>
      </c>
      <c r="E36" s="155">
        <f>SUM(M25:M33)</f>
        <v>1.1287170000000002</v>
      </c>
      <c r="F36" s="2" t="str">
        <f>$E$12</f>
        <v>t CO2-e</v>
      </c>
    </row>
    <row r="37" spans="1:15" ht="20.100000000000001" customHeight="1" x14ac:dyDescent="0.25">
      <c r="D37" s="3" t="s">
        <v>204</v>
      </c>
      <c r="E37" s="155">
        <f>SUM(N25:N33)</f>
        <v>6.8774499999999994E-3</v>
      </c>
      <c r="F37" s="2" t="str">
        <f t="shared" ref="F37:F38" si="1">$E$12</f>
        <v>t CO2-e</v>
      </c>
    </row>
    <row r="38" spans="1:15" ht="20.100000000000001" customHeight="1" x14ac:dyDescent="0.25">
      <c r="A38" s="110" t="str">
        <f>HYPERLINK("#A1", "▲ Back to top")</f>
        <v>▲ Back to top</v>
      </c>
      <c r="D38" s="3" t="s">
        <v>205</v>
      </c>
      <c r="E38" s="155">
        <f>SUM(O25:O33)</f>
        <v>1.4673749999999999E-2</v>
      </c>
      <c r="F38" s="2" t="str">
        <f t="shared" si="1"/>
        <v>t CO2-e</v>
      </c>
    </row>
    <row r="39" spans="1:15" ht="20.100000000000001" customHeight="1" x14ac:dyDescent="0.25"/>
    <row r="40" spans="1:15" ht="20.100000000000001" customHeight="1" x14ac:dyDescent="0.25"/>
    <row r="41" spans="1:15" ht="20.100000000000001" customHeight="1" x14ac:dyDescent="0.25"/>
    <row r="42" spans="1:15" ht="20.100000000000001" customHeight="1" x14ac:dyDescent="0.25"/>
    <row r="43" spans="1:15" ht="20.100000000000001" customHeight="1" x14ac:dyDescent="0.25"/>
    <row r="44" spans="1:15" ht="20.100000000000001" customHeight="1" x14ac:dyDescent="0.25"/>
    <row r="45" spans="1:15" ht="20.100000000000001" customHeight="1" x14ac:dyDescent="0.25"/>
    <row r="46" spans="1:15" ht="20.100000000000001" customHeight="1" x14ac:dyDescent="0.25"/>
    <row r="47" spans="1:15" ht="20.100000000000001" customHeight="1" x14ac:dyDescent="0.25">
      <c r="D47" s="3"/>
      <c r="E47" s="145"/>
      <c r="F47" s="2"/>
      <c r="H47" s="99"/>
      <c r="I47" s="99"/>
      <c r="J47" s="99"/>
      <c r="L47" s="99"/>
      <c r="N47" s="99"/>
      <c r="O47" s="99"/>
    </row>
    <row r="48" spans="1:15" ht="20.100000000000001" customHeight="1" x14ac:dyDescent="0.25">
      <c r="D48" s="99"/>
      <c r="E48" s="99"/>
      <c r="F48" s="99"/>
      <c r="G48" s="99"/>
      <c r="H48" s="99"/>
      <c r="I48" s="99"/>
      <c r="J48" s="99"/>
      <c r="L48" s="99"/>
      <c r="N48" s="99"/>
      <c r="O48" s="99"/>
    </row>
    <row r="49" spans="4:15" ht="20.100000000000001" customHeight="1" x14ac:dyDescent="0.25">
      <c r="D49" s="99"/>
      <c r="E49" s="99"/>
      <c r="F49" s="99"/>
      <c r="G49" s="99"/>
      <c r="H49" s="99"/>
      <c r="I49" s="99"/>
      <c r="J49" s="99"/>
      <c r="L49" s="99"/>
      <c r="N49" s="99"/>
      <c r="O49" s="99"/>
    </row>
    <row r="50" spans="4:15" ht="20.100000000000001" customHeight="1" x14ac:dyDescent="0.25">
      <c r="D50" s="99"/>
      <c r="E50" s="99"/>
      <c r="F50" s="99"/>
      <c r="G50" s="99"/>
      <c r="H50" s="99"/>
      <c r="I50" s="99"/>
      <c r="J50" s="99"/>
      <c r="L50" s="99"/>
      <c r="N50" s="99"/>
      <c r="O50" s="99"/>
    </row>
    <row r="51" spans="4:15" ht="20.100000000000001" customHeight="1" x14ac:dyDescent="0.25">
      <c r="D51" s="99"/>
      <c r="E51" s="99"/>
      <c r="F51" s="99"/>
      <c r="G51" s="99"/>
      <c r="H51" s="99"/>
      <c r="I51" s="99"/>
      <c r="J51" s="99"/>
      <c r="L51" s="99"/>
      <c r="N51" s="99"/>
      <c r="O51" s="99"/>
    </row>
    <row r="52" spans="4:15" ht="20.100000000000001" customHeight="1" x14ac:dyDescent="0.25">
      <c r="D52" s="3"/>
      <c r="E52" s="155"/>
      <c r="F52" s="2"/>
      <c r="G52" s="99"/>
      <c r="H52" s="99"/>
      <c r="I52" s="99"/>
      <c r="J52" s="99"/>
      <c r="L52" s="99"/>
      <c r="N52" s="99"/>
      <c r="O52" s="99"/>
    </row>
    <row r="53" spans="4:15" ht="20.100000000000001" customHeight="1" x14ac:dyDescent="0.25">
      <c r="D53" s="3"/>
      <c r="E53" s="145"/>
      <c r="F53" s="2"/>
      <c r="G53" s="99"/>
      <c r="H53" s="99"/>
      <c r="I53" s="99"/>
      <c r="J53" s="99"/>
      <c r="L53" s="99"/>
      <c r="N53" s="99"/>
      <c r="O53" s="99"/>
    </row>
    <row r="54" spans="4:15" ht="20.100000000000001" customHeight="1" x14ac:dyDescent="0.25">
      <c r="D54" s="99"/>
      <c r="E54" s="147"/>
      <c r="F54" s="99"/>
      <c r="G54" s="99"/>
      <c r="H54" s="99"/>
      <c r="I54" s="99"/>
      <c r="J54" s="99"/>
      <c r="L54" s="99"/>
      <c r="N54" s="99"/>
      <c r="O54" s="99"/>
    </row>
    <row r="55" spans="4:15" ht="20.100000000000001" customHeight="1" x14ac:dyDescent="0.25">
      <c r="G55" s="99"/>
      <c r="H55" s="99"/>
      <c r="I55" s="99"/>
      <c r="J55" s="99"/>
      <c r="L55" s="99"/>
      <c r="N55" s="99"/>
      <c r="O55" s="99"/>
    </row>
    <row r="56" spans="4:15" ht="20.100000000000001" customHeight="1" x14ac:dyDescent="0.25"/>
    <row r="57" spans="4:15" ht="20.100000000000001" customHeight="1" x14ac:dyDescent="0.25">
      <c r="G57" s="99"/>
      <c r="H57" s="99"/>
      <c r="I57" s="99"/>
      <c r="J57" s="99"/>
      <c r="L57" s="99"/>
      <c r="N57" s="99"/>
      <c r="O57" s="99"/>
    </row>
    <row r="58" spans="4:15" ht="20.100000000000001" customHeight="1" x14ac:dyDescent="0.25">
      <c r="G58" s="99"/>
      <c r="H58" s="99"/>
      <c r="I58" s="99"/>
      <c r="J58" s="99"/>
      <c r="L58" s="99"/>
      <c r="N58" s="99"/>
      <c r="O58" s="99"/>
    </row>
    <row r="59" spans="4:15" ht="20.100000000000001" customHeight="1" x14ac:dyDescent="0.25">
      <c r="G59" s="99"/>
      <c r="H59" s="99"/>
      <c r="I59" s="99"/>
      <c r="J59" s="99"/>
      <c r="L59" s="99"/>
      <c r="N59" s="99"/>
      <c r="O59" s="99"/>
    </row>
    <row r="60" spans="4:15" ht="20.100000000000001" customHeight="1" x14ac:dyDescent="0.25">
      <c r="G60" s="99"/>
      <c r="H60" s="99"/>
      <c r="I60" s="99"/>
      <c r="J60" s="99"/>
      <c r="L60" s="99"/>
      <c r="N60" s="99"/>
      <c r="O60" s="99"/>
    </row>
    <row r="61" spans="4:15" ht="20.100000000000001" customHeight="1" x14ac:dyDescent="0.25">
      <c r="G61" s="99"/>
      <c r="H61" s="99"/>
      <c r="I61" s="99"/>
      <c r="J61" s="99"/>
      <c r="L61" s="99"/>
      <c r="N61" s="99"/>
      <c r="O61" s="99"/>
    </row>
    <row r="62" spans="4:15" ht="20.100000000000001" customHeight="1" x14ac:dyDescent="0.25">
      <c r="G62" s="99"/>
      <c r="H62" s="99"/>
      <c r="I62" s="99"/>
      <c r="J62" s="99"/>
      <c r="L62" s="99"/>
      <c r="N62" s="99"/>
      <c r="O62" s="99"/>
    </row>
    <row r="63" spans="4:15" ht="20.100000000000001" customHeight="1" x14ac:dyDescent="0.25">
      <c r="G63" s="99"/>
      <c r="H63" s="99"/>
      <c r="I63" s="99"/>
      <c r="J63" s="99"/>
      <c r="L63" s="99"/>
      <c r="N63" s="99"/>
      <c r="O63" s="99"/>
    </row>
    <row r="64" spans="4:15" ht="20.100000000000001" customHeight="1" x14ac:dyDescent="0.25">
      <c r="G64" s="99"/>
      <c r="H64" s="99"/>
      <c r="I64" s="99"/>
      <c r="J64" s="99"/>
      <c r="L64" s="99"/>
      <c r="N64" s="99"/>
      <c r="O64" s="99"/>
    </row>
    <row r="65" spans="1:15" ht="20.100000000000001" customHeight="1" x14ac:dyDescent="0.25">
      <c r="G65" s="99"/>
      <c r="H65" s="99"/>
      <c r="I65" s="99"/>
      <c r="J65" s="99"/>
      <c r="L65" s="99"/>
      <c r="N65" s="99"/>
      <c r="O65" s="99"/>
    </row>
    <row r="66" spans="1:15" ht="20.100000000000001" customHeight="1" x14ac:dyDescent="0.25">
      <c r="G66" s="99"/>
      <c r="H66" s="99"/>
      <c r="I66" s="99"/>
      <c r="J66" s="99"/>
      <c r="L66" s="99"/>
      <c r="N66" s="99"/>
      <c r="O66" s="99"/>
    </row>
    <row r="67" spans="1:15" ht="20.100000000000001" customHeight="1" x14ac:dyDescent="0.25">
      <c r="G67" s="99"/>
    </row>
    <row r="68" spans="1:15" ht="20.100000000000001" customHeight="1" x14ac:dyDescent="0.25">
      <c r="G68" s="99"/>
    </row>
    <row r="69" spans="1:15" ht="20.100000000000001" customHeight="1" x14ac:dyDescent="0.25">
      <c r="G69" s="99"/>
    </row>
    <row r="70" spans="1:15" ht="20.100000000000001" customHeight="1" x14ac:dyDescent="0.25">
      <c r="G70" s="99"/>
    </row>
    <row r="71" spans="1:15" ht="20.100000000000001" customHeight="1" x14ac:dyDescent="0.25">
      <c r="G71" s="99"/>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110"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5" zoomScaleNormal="100" workbookViewId="0">
      <selection activeCell="D58" sqref="D58"/>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155</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Fuel_SourceData.Fuel_Scope1Scope3EmissionFactorsTransport_Title()</f>
        <v>Fuel scope 1 and 3 emission factors - Transport</v>
      </c>
      <c r="E5" s="99"/>
      <c r="F5" s="99"/>
      <c r="G5" s="99"/>
      <c r="H5" s="99"/>
      <c r="I5" s="99"/>
      <c r="J5" s="99"/>
      <c r="K5" s="99"/>
      <c r="L5" s="99"/>
    </row>
    <row r="6" spans="1:35" ht="20.100000000000001" customHeight="1" x14ac:dyDescent="0.25">
      <c r="A6" s="16"/>
      <c r="D6" s="1" t="str" cm="1">
        <f t="array" ref="D6">Fuel_SourceData.Fuel_Scope1Scope3EmissionFactorsTransport_Description()</f>
        <v>Direct (scope 1) and indirect (scope 3) emission factors for the consumption of transport fuels in different transport equipment</v>
      </c>
      <c r="E6" s="99"/>
      <c r="F6" s="99"/>
      <c r="G6" s="99"/>
      <c r="H6" s="99"/>
      <c r="I6" s="99"/>
      <c r="J6" s="99"/>
      <c r="K6" s="99"/>
      <c r="L6" s="99"/>
    </row>
    <row r="7" spans="1:35" ht="20.100000000000001" customHeight="1" x14ac:dyDescent="0.25">
      <c r="A7" s="20" t="s">
        <v>1</v>
      </c>
      <c r="D7" s="5" t="str" cm="1">
        <f t="array" ref="D7">Fuel_SourceData.Fuel_Scope1Scope3EmissionFactorsTransport_Source()</f>
        <v>Australian National Greenhouse Accounts Factors 2025 - Table 9</v>
      </c>
      <c r="E7" s="99"/>
      <c r="F7" s="99"/>
      <c r="G7" s="99"/>
      <c r="H7" s="99"/>
      <c r="I7" s="99"/>
      <c r="J7" s="99"/>
      <c r="K7" s="99"/>
      <c r="L7" s="99"/>
    </row>
    <row r="8" spans="1:35" ht="20.100000000000001" customHeight="1" x14ac:dyDescent="0.25">
      <c r="A8" s="17" t="str">
        <f>HYPERLINK("#'Input - Site'!A1", "Site")</f>
        <v>Site</v>
      </c>
      <c r="D8" s="51" t="str" cm="1">
        <f t="array" ref="D8">"⚠️" &amp; Fuel_SourceData.Fuel_Scope1Scope3EmissionFactorsTransport_Variation()</f>
        <v>⚠️VARIATION OF SOURCE DATA: 'NE' values returned as zero for calculations.</v>
      </c>
      <c r="E8" s="99"/>
      <c r="F8" s="99"/>
      <c r="G8" s="99"/>
      <c r="H8" s="99"/>
      <c r="I8" s="99"/>
      <c r="J8" s="99"/>
      <c r="K8" s="99"/>
      <c r="L8" s="99"/>
    </row>
    <row r="9" spans="1:35" ht="20.100000000000001" customHeight="1" x14ac:dyDescent="0.25">
      <c r="A9" s="17" t="str">
        <f>HYPERLINK("#'Input - Fertiliser'!A1", "Fertiliser")</f>
        <v>Fertiliser</v>
      </c>
      <c r="D9" s="122" t="s">
        <v>156</v>
      </c>
      <c r="E9" s="122" t="s">
        <v>157</v>
      </c>
      <c r="F9" s="122" t="s">
        <v>158</v>
      </c>
      <c r="G9" s="122" t="s">
        <v>159</v>
      </c>
      <c r="H9" s="122" t="s">
        <v>160</v>
      </c>
      <c r="I9" s="122" t="s">
        <v>161</v>
      </c>
      <c r="J9" s="122" t="s">
        <v>162</v>
      </c>
      <c r="K9" s="122" t="s">
        <v>163</v>
      </c>
      <c r="L9" s="122" t="s">
        <v>164</v>
      </c>
    </row>
    <row r="10" spans="1:35" ht="20.100000000000001" customHeight="1" x14ac:dyDescent="0.25">
      <c r="A10" s="17"/>
      <c r="D10" s="123" t="str" cm="1">
        <f t="array" ref="D10">Common_InputFunctions.Utility_DisplayArrayInTable(Fuel_SourceData.Fuel_Scope1Scope3EmissionFactorsTransport_Data(), Table_Fuel_EFs_Transport[[#Headers],[Transport type]], 0)</f>
        <v>Cars and light commercial vehicles</v>
      </c>
      <c r="E10" s="123" t="str" cm="1">
        <f t="array" ref="E10">Common_InputFunctions.Utility_DisplayArrayInTable(Fuel_SourceData.Fuel_Scope1Scope3EmissionFactorsTransport_Data(), Table_Fuel_EFs_Transport[[#Headers],[Transport type]], 0)</f>
        <v>Gasoline</v>
      </c>
      <c r="F10" s="123" cm="1">
        <f t="array" ref="F10">Common_InputFunctions.Utility_DisplayArrayInTable(Fuel_SourceData.Fuel_Scope1Scope3EmissionFactorsTransport_Data(), Table_Fuel_EFs_Transport[[#Headers],[Transport type]], 0)</f>
        <v>34.200000000000003</v>
      </c>
      <c r="G10" s="123" t="str" cm="1">
        <f t="array" ref="G10">Common_InputFunctions.Utility_DisplayArrayInTable(Fuel_SourceData.Fuel_Scope1Scope3EmissionFactorsTransport_Data(), Table_Fuel_EFs_Transport[[#Headers],[Transport type]], 0)</f>
        <v>kl</v>
      </c>
      <c r="H10" s="123" cm="1">
        <f t="array" ref="H10">Common_InputFunctions.Utility_DisplayArrayInTable(Fuel_SourceData.Fuel_Scope1Scope3EmissionFactorsTransport_Data(), Table_Fuel_EFs_Transport[[#Headers],[Transport type]], 0)</f>
        <v>67.400000000000006</v>
      </c>
      <c r="I10" s="123" cm="1">
        <f t="array" ref="I10">Common_InputFunctions.Utility_DisplayArrayInTable(Fuel_SourceData.Fuel_Scope1Scope3EmissionFactorsTransport_Data(), Table_Fuel_EFs_Transport[[#Headers],[Transport type]], 0)</f>
        <v>0.02</v>
      </c>
      <c r="J10" s="123" cm="1">
        <f t="array" ref="J10">Common_InputFunctions.Utility_DisplayArrayInTable(Fuel_SourceData.Fuel_Scope1Scope3EmissionFactorsTransport_Data(), Table_Fuel_EFs_Transport[[#Headers],[Transport type]], 0)</f>
        <v>0.2</v>
      </c>
      <c r="K10" s="123" cm="1">
        <f t="array" ref="K10">Common_InputFunctions.Utility_DisplayArrayInTable(Fuel_SourceData.Fuel_Scope1Scope3EmissionFactorsTransport_Data(), Table_Fuel_EFs_Transport[[#Headers],[Transport type]], 0)</f>
        <v>67.62</v>
      </c>
      <c r="L10" s="123" cm="1">
        <f t="array" ref="L10">Common_InputFunctions.Utility_DisplayArrayInTable(Fuel_SourceData.Fuel_Scope1Scope3EmissionFactorsTransport_Data(), Table_Fuel_EFs_Transport[[#Headers],[Transport type]], 0)</f>
        <v>17.2</v>
      </c>
    </row>
    <row r="11" spans="1:35" ht="20.100000000000001" customHeight="1" x14ac:dyDescent="0.25">
      <c r="A11" s="19" t="s">
        <v>69</v>
      </c>
      <c r="D11" s="123" t="str" cm="1">
        <f t="array" ref="D11">Common_InputFunctions.Utility_DisplayArrayInTable(Fuel_SourceData.Fuel_Scope1Scope3EmissionFactorsTransport_Data(), Table_Fuel_EFs_Transport[[#Headers],[Transport type]], 0)</f>
        <v>Cars and light commercial vehicles</v>
      </c>
      <c r="E11" s="123" t="str" cm="1">
        <f t="array" ref="E11">Common_InputFunctions.Utility_DisplayArrayInTable(Fuel_SourceData.Fuel_Scope1Scope3EmissionFactorsTransport_Data(), Table_Fuel_EFs_Transport[[#Headers],[Transport type]], 0)</f>
        <v>Diesel oil</v>
      </c>
      <c r="F11" s="123" cm="1">
        <f t="array" ref="F11">Common_InputFunctions.Utility_DisplayArrayInTable(Fuel_SourceData.Fuel_Scope1Scope3EmissionFactorsTransport_Data(), Table_Fuel_EFs_Transport[[#Headers],[Transport type]], 0)</f>
        <v>38.6</v>
      </c>
      <c r="G11" s="123" t="str" cm="1">
        <f t="array" ref="G11">Common_InputFunctions.Utility_DisplayArrayInTable(Fuel_SourceData.Fuel_Scope1Scope3EmissionFactorsTransport_Data(), Table_Fuel_EFs_Transport[[#Headers],[Transport type]], 0)</f>
        <v>kl</v>
      </c>
      <c r="H11" s="123" cm="1">
        <f t="array" ref="H11">Common_InputFunctions.Utility_DisplayArrayInTable(Fuel_SourceData.Fuel_Scope1Scope3EmissionFactorsTransport_Data(), Table_Fuel_EFs_Transport[[#Headers],[Transport type]], 0)</f>
        <v>69.900000000000006</v>
      </c>
      <c r="I11" s="123" cm="1">
        <f t="array" ref="I11">Common_InputFunctions.Utility_DisplayArrayInTable(Fuel_SourceData.Fuel_Scope1Scope3EmissionFactorsTransport_Data(), Table_Fuel_EFs_Transport[[#Headers],[Transport type]], 0)</f>
        <v>0.01</v>
      </c>
      <c r="J11" s="123" cm="1">
        <f t="array" ref="J11">Common_InputFunctions.Utility_DisplayArrayInTable(Fuel_SourceData.Fuel_Scope1Scope3EmissionFactorsTransport_Data(), Table_Fuel_EFs_Transport[[#Headers],[Transport type]], 0)</f>
        <v>0.5</v>
      </c>
      <c r="K11" s="123" cm="1">
        <f t="array" ref="K11">Common_InputFunctions.Utility_DisplayArrayInTable(Fuel_SourceData.Fuel_Scope1Scope3EmissionFactorsTransport_Data(), Table_Fuel_EFs_Transport[[#Headers],[Transport type]], 0)</f>
        <v>70.41</v>
      </c>
      <c r="L11" s="123" cm="1">
        <f t="array" ref="L11">Common_InputFunctions.Utility_DisplayArrayInTable(Fuel_SourceData.Fuel_Scope1Scope3EmissionFactorsTransport_Data(), Table_Fuel_EFs_Transport[[#Headers],[Transport type]], 0)</f>
        <v>17.3</v>
      </c>
    </row>
    <row r="12" spans="1:35" ht="20.100000000000001" customHeight="1" x14ac:dyDescent="0.25">
      <c r="A12" s="17" t="str">
        <f>HYPERLINK("#'5.1.1.1-2 Inorganic Fert N2O'!A1", "5.1.1.1-2 Inorganic Fert N2O")</f>
        <v>5.1.1.1-2 Inorganic Fert N2O</v>
      </c>
      <c r="D12" s="123" t="str" cm="1">
        <f t="array" ref="D12">Common_InputFunctions.Utility_DisplayArrayInTable(Fuel_SourceData.Fuel_Scope1Scope3EmissionFactorsTransport_Data(), Table_Fuel_EFs_Transport[[#Headers],[Transport type]], 0)</f>
        <v>Cars and light commercial vehicles</v>
      </c>
      <c r="E12" s="123" t="str" cm="1">
        <f t="array" ref="E12">Common_InputFunctions.Utility_DisplayArrayInTable(Fuel_SourceData.Fuel_Scope1Scope3EmissionFactorsTransport_Data(), Table_Fuel_EFs_Transport[[#Headers],[Transport type]], 0)</f>
        <v>Liquefied petroleum gas (LPG)</v>
      </c>
      <c r="F12" s="123" cm="1">
        <f t="array" ref="F12">Common_InputFunctions.Utility_DisplayArrayInTable(Fuel_SourceData.Fuel_Scope1Scope3EmissionFactorsTransport_Data(), Table_Fuel_EFs_Transport[[#Headers],[Transport type]], 0)</f>
        <v>26.2</v>
      </c>
      <c r="G12" s="123" t="str" cm="1">
        <f t="array" ref="G12">Common_InputFunctions.Utility_DisplayArrayInTable(Fuel_SourceData.Fuel_Scope1Scope3EmissionFactorsTransport_Data(), Table_Fuel_EFs_Transport[[#Headers],[Transport type]], 0)</f>
        <v>kl</v>
      </c>
      <c r="H12" s="123" cm="1">
        <f t="array" ref="H12">Common_InputFunctions.Utility_DisplayArrayInTable(Fuel_SourceData.Fuel_Scope1Scope3EmissionFactorsTransport_Data(), Table_Fuel_EFs_Transport[[#Headers],[Transport type]], 0)</f>
        <v>60.2</v>
      </c>
      <c r="I12" s="123" cm="1">
        <f t="array" ref="I12">Common_InputFunctions.Utility_DisplayArrayInTable(Fuel_SourceData.Fuel_Scope1Scope3EmissionFactorsTransport_Data(), Table_Fuel_EFs_Transport[[#Headers],[Transport type]], 0)</f>
        <v>0.5</v>
      </c>
      <c r="J12" s="123" cm="1">
        <f t="array" ref="J12">Common_InputFunctions.Utility_DisplayArrayInTable(Fuel_SourceData.Fuel_Scope1Scope3EmissionFactorsTransport_Data(), Table_Fuel_EFs_Transport[[#Headers],[Transport type]], 0)</f>
        <v>0.3</v>
      </c>
      <c r="K12" s="123" cm="1">
        <f t="array" ref="K12">Common_InputFunctions.Utility_DisplayArrayInTable(Fuel_SourceData.Fuel_Scope1Scope3EmissionFactorsTransport_Data(), Table_Fuel_EFs_Transport[[#Headers],[Transport type]], 0)</f>
        <v>61</v>
      </c>
      <c r="L12" s="123" cm="1">
        <f t="array" ref="L12">Common_InputFunctions.Utility_DisplayArrayInTable(Fuel_SourceData.Fuel_Scope1Scope3EmissionFactorsTransport_Data(), Table_Fuel_EFs_Transport[[#Headers],[Transport type]], 0)</f>
        <v>20.2</v>
      </c>
    </row>
    <row r="13" spans="1:35" ht="20.100000000000001" customHeight="1" x14ac:dyDescent="0.25">
      <c r="A13" s="17" t="str">
        <f>HYPERLINK("#'5.1.1.3-4 Inorganic fert CO2'!A1", "5.1.1.3-4 Inorganic fert CO2")</f>
        <v>5.1.1.3-4 Inorganic fert CO2</v>
      </c>
      <c r="D13" s="123" t="str" cm="1">
        <f t="array" ref="D13">Common_InputFunctions.Utility_DisplayArrayInTable(Fuel_SourceData.Fuel_Scope1Scope3EmissionFactorsTransport_Data(), Table_Fuel_EFs_Transport[[#Headers],[Transport type]], 0)</f>
        <v>Cars and light commercial vehicles</v>
      </c>
      <c r="E13" s="123" t="str" cm="1">
        <f t="array" ref="E13">Common_InputFunctions.Utility_DisplayArrayInTable(Fuel_SourceData.Fuel_Scope1Scope3EmissionFactorsTransport_Data(), Table_Fuel_EFs_Transport[[#Headers],[Transport type]], 0)</f>
        <v>Fuel oil</v>
      </c>
      <c r="F13" s="123" cm="1">
        <f t="array" ref="F13">Common_InputFunctions.Utility_DisplayArrayInTable(Fuel_SourceData.Fuel_Scope1Scope3EmissionFactorsTransport_Data(), Table_Fuel_EFs_Transport[[#Headers],[Transport type]], 0)</f>
        <v>39.700000000000003</v>
      </c>
      <c r="G13" s="123" t="str" cm="1">
        <f t="array" ref="G13">Common_InputFunctions.Utility_DisplayArrayInTable(Fuel_SourceData.Fuel_Scope1Scope3EmissionFactorsTransport_Data(), Table_Fuel_EFs_Transport[[#Headers],[Transport type]], 0)</f>
        <v>kl</v>
      </c>
      <c r="H13" s="123" cm="1">
        <f t="array" ref="H13">Common_InputFunctions.Utility_DisplayArrayInTable(Fuel_SourceData.Fuel_Scope1Scope3EmissionFactorsTransport_Data(), Table_Fuel_EFs_Transport[[#Headers],[Transport type]], 0)</f>
        <v>73.599999999999994</v>
      </c>
      <c r="I13" s="123" cm="1">
        <f t="array" ref="I13">Common_InputFunctions.Utility_DisplayArrayInTable(Fuel_SourceData.Fuel_Scope1Scope3EmissionFactorsTransport_Data(), Table_Fuel_EFs_Transport[[#Headers],[Transport type]], 0)</f>
        <v>0.08</v>
      </c>
      <c r="J13" s="123" cm="1">
        <f t="array" ref="J13">Common_InputFunctions.Utility_DisplayArrayInTable(Fuel_SourceData.Fuel_Scope1Scope3EmissionFactorsTransport_Data(), Table_Fuel_EFs_Transport[[#Headers],[Transport type]], 0)</f>
        <v>0.5</v>
      </c>
      <c r="K13" s="123" cm="1">
        <f t="array" ref="K13">Common_InputFunctions.Utility_DisplayArrayInTable(Fuel_SourceData.Fuel_Scope1Scope3EmissionFactorsTransport_Data(), Table_Fuel_EFs_Transport[[#Headers],[Transport type]], 0)</f>
        <v>74.180000000000007</v>
      </c>
      <c r="L13" s="123" cm="1">
        <f t="array" ref="L13">Common_InputFunctions.Utility_DisplayArrayInTable(Fuel_SourceData.Fuel_Scope1Scope3EmissionFactorsTransport_Data(), Table_Fuel_EFs_Transport[[#Headers],[Transport type]], 0)</f>
        <v>18</v>
      </c>
    </row>
    <row r="14" spans="1:35" ht="20.100000000000001" customHeight="1" x14ac:dyDescent="0.25">
      <c r="A14" s="17" t="str">
        <f>HYPERLINK("#'5.2.1.1-2 Organic Fert N2O'!A1", "5.2.1.1-2 Organic Fert N2O")</f>
        <v>5.2.1.1-2 Organic Fert N2O</v>
      </c>
      <c r="D14" s="123" t="str" cm="1">
        <f t="array" ref="D14">Common_InputFunctions.Utility_DisplayArrayInTable(Fuel_SourceData.Fuel_Scope1Scope3EmissionFactorsTransport_Data(), Table_Fuel_EFs_Transport[[#Headers],[Transport type]], 0)</f>
        <v>Cars and light commercial vehicles</v>
      </c>
      <c r="E14" s="123" t="str" cm="1">
        <f t="array" ref="E14">Common_InputFunctions.Utility_DisplayArrayInTable(Fuel_SourceData.Fuel_Scope1Scope3EmissionFactorsTransport_Data(), Table_Fuel_EFs_Transport[[#Headers],[Transport type]], 0)</f>
        <v>Ethanol</v>
      </c>
      <c r="F14" s="123" cm="1">
        <f t="array" ref="F14">Common_InputFunctions.Utility_DisplayArrayInTable(Fuel_SourceData.Fuel_Scope1Scope3EmissionFactorsTransport_Data(), Table_Fuel_EFs_Transport[[#Headers],[Transport type]], 0)</f>
        <v>23.4</v>
      </c>
      <c r="G14" s="123" t="str" cm="1">
        <f t="array" ref="G14">Common_InputFunctions.Utility_DisplayArrayInTable(Fuel_SourceData.Fuel_Scope1Scope3EmissionFactorsTransport_Data(), Table_Fuel_EFs_Transport[[#Headers],[Transport type]], 0)</f>
        <v>kl</v>
      </c>
      <c r="H14" s="123" cm="1">
        <f t="array" ref="H14">Common_InputFunctions.Utility_DisplayArrayInTable(Fuel_SourceData.Fuel_Scope1Scope3EmissionFactorsTransport_Data(), Table_Fuel_EFs_Transport[[#Headers],[Transport type]], 0)</f>
        <v>0</v>
      </c>
      <c r="I14" s="123" cm="1">
        <f t="array" ref="I14">Common_InputFunctions.Utility_DisplayArrayInTable(Fuel_SourceData.Fuel_Scope1Scope3EmissionFactorsTransport_Data(), Table_Fuel_EFs_Transport[[#Headers],[Transport type]], 0)</f>
        <v>0.2</v>
      </c>
      <c r="J14" s="123" cm="1">
        <f t="array" ref="J14">Common_InputFunctions.Utility_DisplayArrayInTable(Fuel_SourceData.Fuel_Scope1Scope3EmissionFactorsTransport_Data(), Table_Fuel_EFs_Transport[[#Headers],[Transport type]], 0)</f>
        <v>0.2</v>
      </c>
      <c r="K14" s="123" cm="1">
        <f t="array" ref="K14">Common_InputFunctions.Utility_DisplayArrayInTable(Fuel_SourceData.Fuel_Scope1Scope3EmissionFactorsTransport_Data(), Table_Fuel_EFs_Transport[[#Headers],[Transport type]], 0)</f>
        <v>0.4</v>
      </c>
      <c r="L14" s="123" t="str" cm="1">
        <f t="array" ref="L14">Common_InputFunctions.Utility_DisplayArrayInTable(Fuel_SourceData.Fuel_Scope1Scope3EmissionFactorsTransport_Data(), Table_Fuel_EFs_Transport[[#Headers],[Transport type]], 0)</f>
        <v>NE</v>
      </c>
    </row>
    <row r="15" spans="1:35" ht="20.100000000000001" customHeight="1" x14ac:dyDescent="0.25">
      <c r="A15" s="17" t="str">
        <f>HYPERLINK("#'5.3.1.1-2 Lime CO2'!A1", "5.3.1.1-2 Lime CO2")</f>
        <v>5.3.1.1-2 Lime CO2</v>
      </c>
      <c r="D15" s="123" t="str" cm="1">
        <f t="array" ref="D15">Common_InputFunctions.Utility_DisplayArrayInTable(Fuel_SourceData.Fuel_Scope1Scope3EmissionFactorsTransport_Data(), Table_Fuel_EFs_Transport[[#Headers],[Transport type]], 0)</f>
        <v>Cars and light commercial vehicles</v>
      </c>
      <c r="E15" s="123" t="str" cm="1">
        <f t="array" ref="E15">Common_InputFunctions.Utility_DisplayArrayInTable(Fuel_SourceData.Fuel_Scope1Scope3EmissionFactorsTransport_Data(), Table_Fuel_EFs_Transport[[#Headers],[Transport type]], 0)</f>
        <v>Biodiesel</v>
      </c>
      <c r="F15" s="123" cm="1">
        <f t="array" ref="F15">Common_InputFunctions.Utility_DisplayArrayInTable(Fuel_SourceData.Fuel_Scope1Scope3EmissionFactorsTransport_Data(), Table_Fuel_EFs_Transport[[#Headers],[Transport type]], 0)</f>
        <v>34.6</v>
      </c>
      <c r="G15" s="123" t="str" cm="1">
        <f t="array" ref="G15">Common_InputFunctions.Utility_DisplayArrayInTable(Fuel_SourceData.Fuel_Scope1Scope3EmissionFactorsTransport_Data(), Table_Fuel_EFs_Transport[[#Headers],[Transport type]], 0)</f>
        <v>kl</v>
      </c>
      <c r="H15" s="123" cm="1">
        <f t="array" ref="H15">Common_InputFunctions.Utility_DisplayArrayInTable(Fuel_SourceData.Fuel_Scope1Scope3EmissionFactorsTransport_Data(), Table_Fuel_EFs_Transport[[#Headers],[Transport type]], 0)</f>
        <v>0</v>
      </c>
      <c r="I15" s="123" cm="1">
        <f t="array" ref="I15">Common_InputFunctions.Utility_DisplayArrayInTable(Fuel_SourceData.Fuel_Scope1Scope3EmissionFactorsTransport_Data(), Table_Fuel_EFs_Transport[[#Headers],[Transport type]], 0)</f>
        <v>0.8</v>
      </c>
      <c r="J15" s="123" cm="1">
        <f t="array" ref="J15">Common_InputFunctions.Utility_DisplayArrayInTable(Fuel_SourceData.Fuel_Scope1Scope3EmissionFactorsTransport_Data(), Table_Fuel_EFs_Transport[[#Headers],[Transport type]], 0)</f>
        <v>1.7</v>
      </c>
      <c r="K15" s="123" cm="1">
        <f t="array" ref="K15">Common_InputFunctions.Utility_DisplayArrayInTable(Fuel_SourceData.Fuel_Scope1Scope3EmissionFactorsTransport_Data(), Table_Fuel_EFs_Transport[[#Headers],[Transport type]], 0)</f>
        <v>2.5</v>
      </c>
      <c r="L15" s="123" t="str" cm="1">
        <f t="array" ref="L15">Common_InputFunctions.Utility_DisplayArrayInTable(Fuel_SourceData.Fuel_Scope1Scope3EmissionFactorsTransport_Data(), Table_Fuel_EFs_Transport[[#Headers],[Transport type]], 0)</f>
        <v>NE</v>
      </c>
    </row>
    <row r="16" spans="1:35" ht="20.100000000000001" customHeight="1" x14ac:dyDescent="0.25">
      <c r="A16" s="17" t="str">
        <f>HYPERLINK("#'5.4.1.1-4 Atmos deposition'!A1", "5.4.1.1-4 Atmos deposition")</f>
        <v>5.4.1.1-4 Atmos deposition</v>
      </c>
      <c r="D16" s="123" t="str" cm="1">
        <f t="array" ref="D16">Common_InputFunctions.Utility_DisplayArrayInTable(Fuel_SourceData.Fuel_Scope1Scope3EmissionFactorsTransport_Data(), Table_Fuel_EFs_Transport[[#Headers],[Transport type]], 0)</f>
        <v>Cars and light commercial vehicles</v>
      </c>
      <c r="E16" s="123" t="str" cm="1">
        <f t="array" ref="E16">Common_InputFunctions.Utility_DisplayArrayInTable(Fuel_SourceData.Fuel_Scope1Scope3EmissionFactorsTransport_Data(), Table_Fuel_EFs_Transport[[#Headers],[Transport type]], 0)</f>
        <v>Renewable diesel</v>
      </c>
      <c r="F16" s="123" cm="1">
        <f t="array" ref="F16">Common_InputFunctions.Utility_DisplayArrayInTable(Fuel_SourceData.Fuel_Scope1Scope3EmissionFactorsTransport_Data(), Table_Fuel_EFs_Transport[[#Headers],[Transport type]], 0)</f>
        <v>38.6</v>
      </c>
      <c r="G16" s="123" t="str" cm="1">
        <f t="array" ref="G16">Common_InputFunctions.Utility_DisplayArrayInTable(Fuel_SourceData.Fuel_Scope1Scope3EmissionFactorsTransport_Data(), Table_Fuel_EFs_Transport[[#Headers],[Transport type]], 0)</f>
        <v>kl</v>
      </c>
      <c r="H16" s="123" cm="1">
        <f t="array" ref="H16">Common_InputFunctions.Utility_DisplayArrayInTable(Fuel_SourceData.Fuel_Scope1Scope3EmissionFactorsTransport_Data(), Table_Fuel_EFs_Transport[[#Headers],[Transport type]], 0)</f>
        <v>0</v>
      </c>
      <c r="I16" s="123" cm="1">
        <f t="array" ref="I16">Common_InputFunctions.Utility_DisplayArrayInTable(Fuel_SourceData.Fuel_Scope1Scope3EmissionFactorsTransport_Data(), Table_Fuel_EFs_Transport[[#Headers],[Transport type]], 0)</f>
        <v>0.01</v>
      </c>
      <c r="J16" s="123" cm="1">
        <f t="array" ref="J16">Common_InputFunctions.Utility_DisplayArrayInTable(Fuel_SourceData.Fuel_Scope1Scope3EmissionFactorsTransport_Data(), Table_Fuel_EFs_Transport[[#Headers],[Transport type]], 0)</f>
        <v>0.5</v>
      </c>
      <c r="K16" s="123" cm="1">
        <f t="array" ref="K16">Common_InputFunctions.Utility_DisplayArrayInTable(Fuel_SourceData.Fuel_Scope1Scope3EmissionFactorsTransport_Data(), Table_Fuel_EFs_Transport[[#Headers],[Transport type]], 0)</f>
        <v>0.51</v>
      </c>
      <c r="L16" s="123" t="str" cm="1">
        <f t="array" ref="L16">Common_InputFunctions.Utility_DisplayArrayInTable(Fuel_SourceData.Fuel_Scope1Scope3EmissionFactorsTransport_Data(), Table_Fuel_EFs_Transport[[#Headers],[Transport type]], 0)</f>
        <v>NE</v>
      </c>
    </row>
    <row r="17" spans="1:12" ht="20.100000000000001" customHeight="1" x14ac:dyDescent="0.25">
      <c r="A17" s="17" t="str">
        <f>HYPERLINK("#'5.5.1.1-2 Leaching and runoff'!A1", "5.5.1.1-2 Leaching and runoff")</f>
        <v>5.5.1.1-2 Leaching and runoff</v>
      </c>
      <c r="D17" s="123" t="str" cm="1">
        <f t="array" ref="D17">Common_InputFunctions.Utility_DisplayArrayInTable(Fuel_SourceData.Fuel_Scope1Scope3EmissionFactorsTransport_Data(), Table_Fuel_EFs_Transport[[#Headers],[Transport type]], 0)</f>
        <v>Cars and light commercial vehicles</v>
      </c>
      <c r="E17" s="123" t="str" cm="1">
        <f t="array" ref="E17">Common_InputFunctions.Utility_DisplayArrayInTable(Fuel_SourceData.Fuel_Scope1Scope3EmissionFactorsTransport_Data(), Table_Fuel_EFs_Transport[[#Headers],[Transport type]], 0)</f>
        <v>Other biofuels</v>
      </c>
      <c r="F17" s="123" cm="1">
        <f t="array" ref="F17">Common_InputFunctions.Utility_DisplayArrayInTable(Fuel_SourceData.Fuel_Scope1Scope3EmissionFactorsTransport_Data(), Table_Fuel_EFs_Transport[[#Headers],[Transport type]], 0)</f>
        <v>23.4</v>
      </c>
      <c r="G17" s="123" t="str" cm="1">
        <f t="array" ref="G17">Common_InputFunctions.Utility_DisplayArrayInTable(Fuel_SourceData.Fuel_Scope1Scope3EmissionFactorsTransport_Data(), Table_Fuel_EFs_Transport[[#Headers],[Transport type]], 0)</f>
        <v>kl</v>
      </c>
      <c r="H17" s="123" cm="1">
        <f t="array" ref="H17">Common_InputFunctions.Utility_DisplayArrayInTable(Fuel_SourceData.Fuel_Scope1Scope3EmissionFactorsTransport_Data(), Table_Fuel_EFs_Transport[[#Headers],[Transport type]], 0)</f>
        <v>0</v>
      </c>
      <c r="I17" s="123" cm="1">
        <f t="array" ref="I17">Common_InputFunctions.Utility_DisplayArrayInTable(Fuel_SourceData.Fuel_Scope1Scope3EmissionFactorsTransport_Data(), Table_Fuel_EFs_Transport[[#Headers],[Transport type]], 0)</f>
        <v>0.8</v>
      </c>
      <c r="J17" s="123" cm="1">
        <f t="array" ref="J17">Common_InputFunctions.Utility_DisplayArrayInTable(Fuel_SourceData.Fuel_Scope1Scope3EmissionFactorsTransport_Data(), Table_Fuel_EFs_Transport[[#Headers],[Transport type]], 0)</f>
        <v>1.7</v>
      </c>
      <c r="K17" s="123" cm="1">
        <f t="array" ref="K17">Common_InputFunctions.Utility_DisplayArrayInTable(Fuel_SourceData.Fuel_Scope1Scope3EmissionFactorsTransport_Data(), Table_Fuel_EFs_Transport[[#Headers],[Transport type]], 0)</f>
        <v>2.5</v>
      </c>
      <c r="L17" s="123" t="str" cm="1">
        <f t="array" ref="L17">Common_InputFunctions.Utility_DisplayArrayInTable(Fuel_SourceData.Fuel_Scope1Scope3EmissionFactorsTransport_Data(), Table_Fuel_EFs_Transport[[#Headers],[Transport type]], 0)</f>
        <v>NE</v>
      </c>
    </row>
    <row r="18" spans="1:12" ht="20.100000000000001" customHeight="1" x14ac:dyDescent="0.25">
      <c r="D18" s="123" t="str" cm="1">
        <f t="array" ref="D18">Common_InputFunctions.Utility_DisplayArrayInTable(Fuel_SourceData.Fuel_Scope1Scope3EmissionFactorsTransport_Data(), Table_Fuel_EFs_Transport[[#Headers],[Transport type]], 0)</f>
        <v>Light duty vehicles</v>
      </c>
      <c r="E18" s="123" t="str" cm="1">
        <f t="array" ref="E18">Common_InputFunctions.Utility_DisplayArrayInTable(Fuel_SourceData.Fuel_Scope1Scope3EmissionFactorsTransport_Data(), Table_Fuel_EFs_Transport[[#Headers],[Transport type]], 0)</f>
        <v>Compressed natural gas</v>
      </c>
      <c r="F18" s="123" cm="1">
        <f t="array" ref="F18">Common_InputFunctions.Utility_DisplayArrayInTable(Fuel_SourceData.Fuel_Scope1Scope3EmissionFactorsTransport_Data(), Table_Fuel_EFs_Transport[[#Headers],[Transport type]], 0)</f>
        <v>3.9300000000000002E-2</v>
      </c>
      <c r="G18" s="123" t="str" cm="1">
        <f t="array" ref="G18">Common_InputFunctions.Utility_DisplayArrayInTable(Fuel_SourceData.Fuel_Scope1Scope3EmissionFactorsTransport_Data(), Table_Fuel_EFs_Transport[[#Headers],[Transport type]], 0)</f>
        <v>m3</v>
      </c>
      <c r="H18" s="123" cm="1">
        <f t="array" ref="H18">Common_InputFunctions.Utility_DisplayArrayInTable(Fuel_SourceData.Fuel_Scope1Scope3EmissionFactorsTransport_Data(), Table_Fuel_EFs_Transport[[#Headers],[Transport type]], 0)</f>
        <v>51.4</v>
      </c>
      <c r="I18" s="123" cm="1">
        <f t="array" ref="I18">Common_InputFunctions.Utility_DisplayArrayInTable(Fuel_SourceData.Fuel_Scope1Scope3EmissionFactorsTransport_Data(), Table_Fuel_EFs_Transport[[#Headers],[Transport type]], 0)</f>
        <v>7.3</v>
      </c>
      <c r="J18" s="123" cm="1">
        <f t="array" ref="J18">Common_InputFunctions.Utility_DisplayArrayInTable(Fuel_SourceData.Fuel_Scope1Scope3EmissionFactorsTransport_Data(), Table_Fuel_EFs_Transport[[#Headers],[Transport type]], 0)</f>
        <v>0.3</v>
      </c>
      <c r="K18" s="123" cm="1">
        <f t="array" ref="K18">Common_InputFunctions.Utility_DisplayArrayInTable(Fuel_SourceData.Fuel_Scope1Scope3EmissionFactorsTransport_Data(), Table_Fuel_EFs_Transport[[#Headers],[Transport type]], 0)</f>
        <v>59</v>
      </c>
      <c r="L18" s="123" cm="1">
        <f t="array" ref="L18">Common_InputFunctions.Utility_DisplayArrayInTable(Fuel_SourceData.Fuel_Scope1Scope3EmissionFactorsTransport_Data(), Table_Fuel_EFs_Transport[[#Headers],[Transport type]], 0)</f>
        <v>18</v>
      </c>
    </row>
    <row r="19" spans="1:12" ht="20.100000000000001" customHeight="1" x14ac:dyDescent="0.25">
      <c r="A19" s="18" t="s">
        <v>2</v>
      </c>
      <c r="D19" s="123" t="str" cm="1">
        <f t="array" ref="D19">Common_InputFunctions.Utility_DisplayArrayInTable(Fuel_SourceData.Fuel_Scope1Scope3EmissionFactorsTransport_Data(), Table_Fuel_EFs_Transport[[#Headers],[Transport type]], 0)</f>
        <v>Light duty vehicles</v>
      </c>
      <c r="E19" s="123" t="str" cm="1">
        <f t="array" ref="E19">Common_InputFunctions.Utility_DisplayArrayInTable(Fuel_SourceData.Fuel_Scope1Scope3EmissionFactorsTransport_Data(), Table_Fuel_EFs_Transport[[#Headers],[Transport type]], 0)</f>
        <v>Liquefied natural gas</v>
      </c>
      <c r="F19" s="123" cm="1">
        <f t="array" ref="F19">Common_InputFunctions.Utility_DisplayArrayInTable(Fuel_SourceData.Fuel_Scope1Scope3EmissionFactorsTransport_Data(), Table_Fuel_EFs_Transport[[#Headers],[Transport type]], 0)</f>
        <v>25.3</v>
      </c>
      <c r="G19" s="123" t="str" cm="1">
        <f t="array" ref="G19">Common_InputFunctions.Utility_DisplayArrayInTable(Fuel_SourceData.Fuel_Scope1Scope3EmissionFactorsTransport_Data(), Table_Fuel_EFs_Transport[[#Headers],[Transport type]], 0)</f>
        <v>kl</v>
      </c>
      <c r="H19" s="123" cm="1">
        <f t="array" ref="H19">Common_InputFunctions.Utility_DisplayArrayInTable(Fuel_SourceData.Fuel_Scope1Scope3EmissionFactorsTransport_Data(), Table_Fuel_EFs_Transport[[#Headers],[Transport type]], 0)</f>
        <v>51.4</v>
      </c>
      <c r="I19" s="123" cm="1">
        <f t="array" ref="I19">Common_InputFunctions.Utility_DisplayArrayInTable(Fuel_SourceData.Fuel_Scope1Scope3EmissionFactorsTransport_Data(), Table_Fuel_EFs_Transport[[#Headers],[Transport type]], 0)</f>
        <v>7.3</v>
      </c>
      <c r="J19" s="123" cm="1">
        <f t="array" ref="J19">Common_InputFunctions.Utility_DisplayArrayInTable(Fuel_SourceData.Fuel_Scope1Scope3EmissionFactorsTransport_Data(), Table_Fuel_EFs_Transport[[#Headers],[Transport type]], 0)</f>
        <v>0.3</v>
      </c>
      <c r="K19" s="123" cm="1">
        <f t="array" ref="K19">Common_InputFunctions.Utility_DisplayArrayInTable(Fuel_SourceData.Fuel_Scope1Scope3EmissionFactorsTransport_Data(), Table_Fuel_EFs_Transport[[#Headers],[Transport type]], 0)</f>
        <v>59</v>
      </c>
      <c r="L19" s="123" cm="1">
        <f t="array" ref="L19">Common_InputFunctions.Utility_DisplayArrayInTable(Fuel_SourceData.Fuel_Scope1Scope3EmissionFactorsTransport_Data(), Table_Fuel_EFs_Transport[[#Headers],[Transport type]], 0)</f>
        <v>18</v>
      </c>
    </row>
    <row r="20" spans="1:12" ht="20.100000000000001" customHeight="1" x14ac:dyDescent="0.25">
      <c r="A20" s="119" t="str">
        <f>HYPERLINK("#'Constants - Fertiliser'!A1", "Constants - Fertiliser")</f>
        <v>Constants - Fertiliser</v>
      </c>
      <c r="D20" s="123" t="str" cm="1">
        <f t="array" ref="D20">Common_InputFunctions.Utility_DisplayArrayInTable(Fuel_SourceData.Fuel_Scope1Scope3EmissionFactorsTransport_Data(), Table_Fuel_EFs_Transport[[#Headers],[Transport type]], 0)</f>
        <v>Heavy duty vehicles</v>
      </c>
      <c r="E20" s="123" t="str" cm="1">
        <f t="array" ref="E20">Common_InputFunctions.Utility_DisplayArrayInTable(Fuel_SourceData.Fuel_Scope1Scope3EmissionFactorsTransport_Data(), Table_Fuel_EFs_Transport[[#Headers],[Transport type]], 0)</f>
        <v>Compressed natural gas</v>
      </c>
      <c r="F20" s="123" cm="1">
        <f t="array" ref="F20">Common_InputFunctions.Utility_DisplayArrayInTable(Fuel_SourceData.Fuel_Scope1Scope3EmissionFactorsTransport_Data(), Table_Fuel_EFs_Transport[[#Headers],[Transport type]], 0)</f>
        <v>3.9300000000000002E-2</v>
      </c>
      <c r="G20" s="123" t="str" cm="1">
        <f t="array" ref="G20">Common_InputFunctions.Utility_DisplayArrayInTable(Fuel_SourceData.Fuel_Scope1Scope3EmissionFactorsTransport_Data(), Table_Fuel_EFs_Transport[[#Headers],[Transport type]], 0)</f>
        <v>m3</v>
      </c>
      <c r="H20" s="123" cm="1">
        <f t="array" ref="H20">Common_InputFunctions.Utility_DisplayArrayInTable(Fuel_SourceData.Fuel_Scope1Scope3EmissionFactorsTransport_Data(), Table_Fuel_EFs_Transport[[#Headers],[Transport type]], 0)</f>
        <v>51.4</v>
      </c>
      <c r="I20" s="123" cm="1">
        <f t="array" ref="I20">Common_InputFunctions.Utility_DisplayArrayInTable(Fuel_SourceData.Fuel_Scope1Scope3EmissionFactorsTransport_Data(), Table_Fuel_EFs_Transport[[#Headers],[Transport type]], 0)</f>
        <v>2.8</v>
      </c>
      <c r="J20" s="123" cm="1">
        <f t="array" ref="J20">Common_InputFunctions.Utility_DisplayArrayInTable(Fuel_SourceData.Fuel_Scope1Scope3EmissionFactorsTransport_Data(), Table_Fuel_EFs_Transport[[#Headers],[Transport type]], 0)</f>
        <v>0.3</v>
      </c>
      <c r="K20" s="123" cm="1">
        <f t="array" ref="K20">Common_InputFunctions.Utility_DisplayArrayInTable(Fuel_SourceData.Fuel_Scope1Scope3EmissionFactorsTransport_Data(), Table_Fuel_EFs_Transport[[#Headers],[Transport type]], 0)</f>
        <v>54.5</v>
      </c>
      <c r="L20" s="123" cm="1">
        <f t="array" ref="L20">Common_InputFunctions.Utility_DisplayArrayInTable(Fuel_SourceData.Fuel_Scope1Scope3EmissionFactorsTransport_Data(), Table_Fuel_EFs_Transport[[#Headers],[Transport type]], 0)</f>
        <v>18</v>
      </c>
    </row>
    <row r="21" spans="1:12" ht="20.100000000000001" customHeight="1" x14ac:dyDescent="0.25">
      <c r="A21" s="17" t="str">
        <f>HYPERLINK("#'Constants - Common'!A1", "Constants - Common")</f>
        <v>Constants - Common</v>
      </c>
      <c r="D21" s="123" t="str" cm="1">
        <f t="array" ref="D21">Common_InputFunctions.Utility_DisplayArrayInTable(Fuel_SourceData.Fuel_Scope1Scope3EmissionFactorsTransport_Data(), Table_Fuel_EFs_Transport[[#Headers],[Transport type]], 0)</f>
        <v>Heavy duty vehicles</v>
      </c>
      <c r="E21" s="123" t="str" cm="1">
        <f t="array" ref="E21">Common_InputFunctions.Utility_DisplayArrayInTable(Fuel_SourceData.Fuel_Scope1Scope3EmissionFactorsTransport_Data(), Table_Fuel_EFs_Transport[[#Headers],[Transport type]], 0)</f>
        <v>Liquefied natural gas</v>
      </c>
      <c r="F21" s="123" cm="1">
        <f t="array" ref="F21">Common_InputFunctions.Utility_DisplayArrayInTable(Fuel_SourceData.Fuel_Scope1Scope3EmissionFactorsTransport_Data(), Table_Fuel_EFs_Transport[[#Headers],[Transport type]], 0)</f>
        <v>25.3</v>
      </c>
      <c r="G21" s="123" t="str" cm="1">
        <f t="array" ref="G21">Common_InputFunctions.Utility_DisplayArrayInTable(Fuel_SourceData.Fuel_Scope1Scope3EmissionFactorsTransport_Data(), Table_Fuel_EFs_Transport[[#Headers],[Transport type]], 0)</f>
        <v>kl</v>
      </c>
      <c r="H21" s="123" cm="1">
        <f t="array" ref="H21">Common_InputFunctions.Utility_DisplayArrayInTable(Fuel_SourceData.Fuel_Scope1Scope3EmissionFactorsTransport_Data(), Table_Fuel_EFs_Transport[[#Headers],[Transport type]], 0)</f>
        <v>51.4</v>
      </c>
      <c r="I21" s="123" cm="1">
        <f t="array" ref="I21">Common_InputFunctions.Utility_DisplayArrayInTable(Fuel_SourceData.Fuel_Scope1Scope3EmissionFactorsTransport_Data(), Table_Fuel_EFs_Transport[[#Headers],[Transport type]], 0)</f>
        <v>2.8</v>
      </c>
      <c r="J21" s="123" cm="1">
        <f t="array" ref="J21">Common_InputFunctions.Utility_DisplayArrayInTable(Fuel_SourceData.Fuel_Scope1Scope3EmissionFactorsTransport_Data(), Table_Fuel_EFs_Transport[[#Headers],[Transport type]], 0)</f>
        <v>0.3</v>
      </c>
      <c r="K21" s="123" cm="1">
        <f t="array" ref="K21">Common_InputFunctions.Utility_DisplayArrayInTable(Fuel_SourceData.Fuel_Scope1Scope3EmissionFactorsTransport_Data(), Table_Fuel_EFs_Transport[[#Headers],[Transport type]], 0)</f>
        <v>54.5</v>
      </c>
      <c r="L21" s="123" cm="1">
        <f t="array" ref="L21">Common_InputFunctions.Utility_DisplayArrayInTable(Fuel_SourceData.Fuel_Scope1Scope3EmissionFactorsTransport_Data(), Table_Fuel_EFs_Transport[[#Headers],[Transport type]], 0)</f>
        <v>18</v>
      </c>
    </row>
    <row r="22" spans="1:12" ht="20.100000000000001" customHeight="1" x14ac:dyDescent="0.25">
      <c r="D22" s="123" t="str" cm="1">
        <f t="array" ref="D22">Common_InputFunctions.Utility_DisplayArrayInTable(Fuel_SourceData.Fuel_Scope1Scope3EmissionFactorsTransport_Data(), Table_Fuel_EFs_Transport[[#Headers],[Transport type]], 0)</f>
        <v>Heavy duty vehicles</v>
      </c>
      <c r="E22" s="123" t="str" cm="1">
        <f t="array" ref="E22">Common_InputFunctions.Utility_DisplayArrayInTable(Fuel_SourceData.Fuel_Scope1Scope3EmissionFactorsTransport_Data(), Table_Fuel_EFs_Transport[[#Headers],[Transport type]], 0)</f>
        <v>Diesel oil - Euro iv or higher</v>
      </c>
      <c r="F22" s="123" cm="1">
        <f t="array" ref="F22">Common_InputFunctions.Utility_DisplayArrayInTable(Fuel_SourceData.Fuel_Scope1Scope3EmissionFactorsTransport_Data(), Table_Fuel_EFs_Transport[[#Headers],[Transport type]], 0)</f>
        <v>38.6</v>
      </c>
      <c r="G22" s="123" t="str" cm="1">
        <f t="array" ref="G22">Common_InputFunctions.Utility_DisplayArrayInTable(Fuel_SourceData.Fuel_Scope1Scope3EmissionFactorsTransport_Data(), Table_Fuel_EFs_Transport[[#Headers],[Transport type]], 0)</f>
        <v>kl</v>
      </c>
      <c r="H22" s="123" cm="1">
        <f t="array" ref="H22">Common_InputFunctions.Utility_DisplayArrayInTable(Fuel_SourceData.Fuel_Scope1Scope3EmissionFactorsTransport_Data(), Table_Fuel_EFs_Transport[[#Headers],[Transport type]], 0)</f>
        <v>69.900000000000006</v>
      </c>
      <c r="I22" s="123" cm="1">
        <f t="array" ref="I22">Common_InputFunctions.Utility_DisplayArrayInTable(Fuel_SourceData.Fuel_Scope1Scope3EmissionFactorsTransport_Data(), Table_Fuel_EFs_Transport[[#Headers],[Transport type]], 0)</f>
        <v>7.0000000000000007E-2</v>
      </c>
      <c r="J22" s="123" cm="1">
        <f t="array" ref="J22">Common_InputFunctions.Utility_DisplayArrayInTable(Fuel_SourceData.Fuel_Scope1Scope3EmissionFactorsTransport_Data(), Table_Fuel_EFs_Transport[[#Headers],[Transport type]], 0)</f>
        <v>0.4</v>
      </c>
      <c r="K22" s="123" cm="1">
        <f t="array" ref="K22">Common_InputFunctions.Utility_DisplayArrayInTable(Fuel_SourceData.Fuel_Scope1Scope3EmissionFactorsTransport_Data(), Table_Fuel_EFs_Transport[[#Headers],[Transport type]], 0)</f>
        <v>70.37</v>
      </c>
      <c r="L22" s="123" cm="1">
        <f t="array" ref="L22">Common_InputFunctions.Utility_DisplayArrayInTable(Fuel_SourceData.Fuel_Scope1Scope3EmissionFactorsTransport_Data(), Table_Fuel_EFs_Transport[[#Headers],[Transport type]], 0)</f>
        <v>17.3</v>
      </c>
    </row>
    <row r="23" spans="1:12" ht="20.100000000000001" customHeight="1" x14ac:dyDescent="0.25">
      <c r="A23" s="17"/>
      <c r="D23" s="123" t="str" cm="1">
        <f t="array" ref="D23">Common_InputFunctions.Utility_DisplayArrayInTable(Fuel_SourceData.Fuel_Scope1Scope3EmissionFactorsTransport_Data(), Table_Fuel_EFs_Transport[[#Headers],[Transport type]], 0)</f>
        <v>Heavy duty vehicles</v>
      </c>
      <c r="E23" s="123" t="str" cm="1">
        <f t="array" ref="E23">Common_InputFunctions.Utility_DisplayArrayInTable(Fuel_SourceData.Fuel_Scope1Scope3EmissionFactorsTransport_Data(), Table_Fuel_EFs_Transport[[#Headers],[Transport type]], 0)</f>
        <v>Diesel oil - Euro iii</v>
      </c>
      <c r="F23" s="123" cm="1">
        <f t="array" ref="F23">Common_InputFunctions.Utility_DisplayArrayInTable(Fuel_SourceData.Fuel_Scope1Scope3EmissionFactorsTransport_Data(), Table_Fuel_EFs_Transport[[#Headers],[Transport type]], 0)</f>
        <v>38.6</v>
      </c>
      <c r="G23" s="123" t="str" cm="1">
        <f t="array" ref="G23">Common_InputFunctions.Utility_DisplayArrayInTable(Fuel_SourceData.Fuel_Scope1Scope3EmissionFactorsTransport_Data(), Table_Fuel_EFs_Transport[[#Headers],[Transport type]], 0)</f>
        <v>kl</v>
      </c>
      <c r="H23" s="123" cm="1">
        <f t="array" ref="H23">Common_InputFunctions.Utility_DisplayArrayInTable(Fuel_SourceData.Fuel_Scope1Scope3EmissionFactorsTransport_Data(), Table_Fuel_EFs_Transport[[#Headers],[Transport type]], 0)</f>
        <v>69.900000000000006</v>
      </c>
      <c r="I23" s="123" cm="1">
        <f t="array" ref="I23">Common_InputFunctions.Utility_DisplayArrayInTable(Fuel_SourceData.Fuel_Scope1Scope3EmissionFactorsTransport_Data(), Table_Fuel_EFs_Transport[[#Headers],[Transport type]], 0)</f>
        <v>0.1</v>
      </c>
      <c r="J23" s="123" cm="1">
        <f t="array" ref="J23">Common_InputFunctions.Utility_DisplayArrayInTable(Fuel_SourceData.Fuel_Scope1Scope3EmissionFactorsTransport_Data(), Table_Fuel_EFs_Transport[[#Headers],[Transport type]], 0)</f>
        <v>0.4</v>
      </c>
      <c r="K23" s="123" cm="1">
        <f t="array" ref="K23">Common_InputFunctions.Utility_DisplayArrayInTable(Fuel_SourceData.Fuel_Scope1Scope3EmissionFactorsTransport_Data(), Table_Fuel_EFs_Transport[[#Headers],[Transport type]], 0)</f>
        <v>70.400000000000006</v>
      </c>
      <c r="L23" s="123" cm="1">
        <f t="array" ref="L23">Common_InputFunctions.Utility_DisplayArrayInTable(Fuel_SourceData.Fuel_Scope1Scope3EmissionFactorsTransport_Data(), Table_Fuel_EFs_Transport[[#Headers],[Transport type]], 0)</f>
        <v>17.3</v>
      </c>
    </row>
    <row r="24" spans="1:12" ht="20.100000000000001" customHeight="1" x14ac:dyDescent="0.25">
      <c r="D24" s="123" t="str" cm="1">
        <f t="array" ref="D24">Common_InputFunctions.Utility_DisplayArrayInTable(Fuel_SourceData.Fuel_Scope1Scope3EmissionFactorsTransport_Data(), Table_Fuel_EFs_Transport[[#Headers],[Transport type]], 0)</f>
        <v>Heavy duty vehicles</v>
      </c>
      <c r="E24" s="123" t="str" cm="1">
        <f t="array" ref="E24">Common_InputFunctions.Utility_DisplayArrayInTable(Fuel_SourceData.Fuel_Scope1Scope3EmissionFactorsTransport_Data(), Table_Fuel_EFs_Transport[[#Headers],[Transport type]], 0)</f>
        <v>Diesel oil - Euro i</v>
      </c>
      <c r="F24" s="123" cm="1">
        <f t="array" ref="F24">Common_InputFunctions.Utility_DisplayArrayInTable(Fuel_SourceData.Fuel_Scope1Scope3EmissionFactorsTransport_Data(), Table_Fuel_EFs_Transport[[#Headers],[Transport type]], 0)</f>
        <v>38.6</v>
      </c>
      <c r="G24" s="123" t="str" cm="1">
        <f t="array" ref="G24">Common_InputFunctions.Utility_DisplayArrayInTable(Fuel_SourceData.Fuel_Scope1Scope3EmissionFactorsTransport_Data(), Table_Fuel_EFs_Transport[[#Headers],[Transport type]], 0)</f>
        <v>kl</v>
      </c>
      <c r="H24" s="123" cm="1">
        <f t="array" ref="H24">Common_InputFunctions.Utility_DisplayArrayInTable(Fuel_SourceData.Fuel_Scope1Scope3EmissionFactorsTransport_Data(), Table_Fuel_EFs_Transport[[#Headers],[Transport type]], 0)</f>
        <v>69.900000000000006</v>
      </c>
      <c r="I24" s="123" cm="1">
        <f t="array" ref="I24">Common_InputFunctions.Utility_DisplayArrayInTable(Fuel_SourceData.Fuel_Scope1Scope3EmissionFactorsTransport_Data(), Table_Fuel_EFs_Transport[[#Headers],[Transport type]], 0)</f>
        <v>0.2</v>
      </c>
      <c r="J24" s="123" cm="1">
        <f t="array" ref="J24">Common_InputFunctions.Utility_DisplayArrayInTable(Fuel_SourceData.Fuel_Scope1Scope3EmissionFactorsTransport_Data(), Table_Fuel_EFs_Transport[[#Headers],[Transport type]], 0)</f>
        <v>0.4</v>
      </c>
      <c r="K24" s="123" cm="1">
        <f t="array" ref="K24">Common_InputFunctions.Utility_DisplayArrayInTable(Fuel_SourceData.Fuel_Scope1Scope3EmissionFactorsTransport_Data(), Table_Fuel_EFs_Transport[[#Headers],[Transport type]], 0)</f>
        <v>70.5</v>
      </c>
      <c r="L24" s="123" cm="1">
        <f t="array" ref="L24">Common_InputFunctions.Utility_DisplayArrayInTable(Fuel_SourceData.Fuel_Scope1Scope3EmissionFactorsTransport_Data(), Table_Fuel_EFs_Transport[[#Headers],[Transport type]], 0)</f>
        <v>17.3</v>
      </c>
    </row>
    <row r="25" spans="1:12" ht="20.100000000000001" customHeight="1" x14ac:dyDescent="0.25">
      <c r="D25" s="123" t="str" cm="1">
        <f t="array" ref="D25">Common_InputFunctions.Utility_DisplayArrayInTable(Fuel_SourceData.Fuel_Scope1Scope3EmissionFactorsTransport_Data(), Table_Fuel_EFs_Transport[[#Headers],[Transport type]], 0)</f>
        <v>Heavy duty vehicles</v>
      </c>
      <c r="E25" s="123" t="str" cm="1">
        <f t="array" ref="E25">Common_InputFunctions.Utility_DisplayArrayInTable(Fuel_SourceData.Fuel_Scope1Scope3EmissionFactorsTransport_Data(), Table_Fuel_EFs_Transport[[#Headers],[Transport type]], 0)</f>
        <v>Renewable diesel – Euro iv or higher</v>
      </c>
      <c r="F25" s="123" cm="1">
        <f t="array" ref="F25">Common_InputFunctions.Utility_DisplayArrayInTable(Fuel_SourceData.Fuel_Scope1Scope3EmissionFactorsTransport_Data(), Table_Fuel_EFs_Transport[[#Headers],[Transport type]], 0)</f>
        <v>38.6</v>
      </c>
      <c r="G25" s="123" t="str" cm="1">
        <f t="array" ref="G25">Common_InputFunctions.Utility_DisplayArrayInTable(Fuel_SourceData.Fuel_Scope1Scope3EmissionFactorsTransport_Data(), Table_Fuel_EFs_Transport[[#Headers],[Transport type]], 0)</f>
        <v>kl</v>
      </c>
      <c r="H25" s="123" cm="1">
        <f t="array" ref="H25">Common_InputFunctions.Utility_DisplayArrayInTable(Fuel_SourceData.Fuel_Scope1Scope3EmissionFactorsTransport_Data(), Table_Fuel_EFs_Transport[[#Headers],[Transport type]], 0)</f>
        <v>0</v>
      </c>
      <c r="I25" s="123" cm="1">
        <f t="array" ref="I25">Common_InputFunctions.Utility_DisplayArrayInTable(Fuel_SourceData.Fuel_Scope1Scope3EmissionFactorsTransport_Data(), Table_Fuel_EFs_Transport[[#Headers],[Transport type]], 0)</f>
        <v>7.0000000000000007E-2</v>
      </c>
      <c r="J25" s="123" cm="1">
        <f t="array" ref="J25">Common_InputFunctions.Utility_DisplayArrayInTable(Fuel_SourceData.Fuel_Scope1Scope3EmissionFactorsTransport_Data(), Table_Fuel_EFs_Transport[[#Headers],[Transport type]], 0)</f>
        <v>0.4</v>
      </c>
      <c r="K25" s="123" cm="1">
        <f t="array" ref="K25">Common_InputFunctions.Utility_DisplayArrayInTable(Fuel_SourceData.Fuel_Scope1Scope3EmissionFactorsTransport_Data(), Table_Fuel_EFs_Transport[[#Headers],[Transport type]], 0)</f>
        <v>0.47</v>
      </c>
      <c r="L25" s="123" t="str" cm="1">
        <f t="array" ref="L25">Common_InputFunctions.Utility_DisplayArrayInTable(Fuel_SourceData.Fuel_Scope1Scope3EmissionFactorsTransport_Data(), Table_Fuel_EFs_Transport[[#Headers],[Transport type]], 0)</f>
        <v>NE</v>
      </c>
    </row>
    <row r="26" spans="1:12" ht="20.100000000000001" customHeight="1" x14ac:dyDescent="0.25">
      <c r="D26" s="123" t="str" cm="1">
        <f t="array" ref="D26">Common_InputFunctions.Utility_DisplayArrayInTable(Fuel_SourceData.Fuel_Scope1Scope3EmissionFactorsTransport_Data(), Table_Fuel_EFs_Transport[[#Headers],[Transport type]], 0)</f>
        <v>Heavy duty vehicles</v>
      </c>
      <c r="E26" s="123" t="str" cm="1">
        <f t="array" ref="E26">Common_InputFunctions.Utility_DisplayArrayInTable(Fuel_SourceData.Fuel_Scope1Scope3EmissionFactorsTransport_Data(), Table_Fuel_EFs_Transport[[#Headers],[Transport type]], 0)</f>
        <v>Renewable diesel – Euro iii</v>
      </c>
      <c r="F26" s="123" cm="1">
        <f t="array" ref="F26">Common_InputFunctions.Utility_DisplayArrayInTable(Fuel_SourceData.Fuel_Scope1Scope3EmissionFactorsTransport_Data(), Table_Fuel_EFs_Transport[[#Headers],[Transport type]], 0)</f>
        <v>38.6</v>
      </c>
      <c r="G26" s="123" t="str" cm="1">
        <f t="array" ref="G26">Common_InputFunctions.Utility_DisplayArrayInTable(Fuel_SourceData.Fuel_Scope1Scope3EmissionFactorsTransport_Data(), Table_Fuel_EFs_Transport[[#Headers],[Transport type]], 0)</f>
        <v>kl</v>
      </c>
      <c r="H26" s="123" cm="1">
        <f t="array" ref="H26">Common_InputFunctions.Utility_DisplayArrayInTable(Fuel_SourceData.Fuel_Scope1Scope3EmissionFactorsTransport_Data(), Table_Fuel_EFs_Transport[[#Headers],[Transport type]], 0)</f>
        <v>0</v>
      </c>
      <c r="I26" s="123" cm="1">
        <f t="array" ref="I26">Common_InputFunctions.Utility_DisplayArrayInTable(Fuel_SourceData.Fuel_Scope1Scope3EmissionFactorsTransport_Data(), Table_Fuel_EFs_Transport[[#Headers],[Transport type]], 0)</f>
        <v>0.1</v>
      </c>
      <c r="J26" s="123" cm="1">
        <f t="array" ref="J26">Common_InputFunctions.Utility_DisplayArrayInTable(Fuel_SourceData.Fuel_Scope1Scope3EmissionFactorsTransport_Data(), Table_Fuel_EFs_Transport[[#Headers],[Transport type]], 0)</f>
        <v>0.4</v>
      </c>
      <c r="K26" s="123" cm="1">
        <f t="array" ref="K26">Common_InputFunctions.Utility_DisplayArrayInTable(Fuel_SourceData.Fuel_Scope1Scope3EmissionFactorsTransport_Data(), Table_Fuel_EFs_Transport[[#Headers],[Transport type]], 0)</f>
        <v>0.5</v>
      </c>
      <c r="L26" s="123" t="str" cm="1">
        <f t="array" ref="L26">Common_InputFunctions.Utility_DisplayArrayInTable(Fuel_SourceData.Fuel_Scope1Scope3EmissionFactorsTransport_Data(), Table_Fuel_EFs_Transport[[#Headers],[Transport type]], 0)</f>
        <v>NE</v>
      </c>
    </row>
    <row r="27" spans="1:12" ht="20.100000000000001" customHeight="1" x14ac:dyDescent="0.25">
      <c r="D27" s="123" t="str" cm="1">
        <f t="array" ref="D27">Common_InputFunctions.Utility_DisplayArrayInTable(Fuel_SourceData.Fuel_Scope1Scope3EmissionFactorsTransport_Data(), Table_Fuel_EFs_Transport[[#Headers],[Transport type]], 0)</f>
        <v>Heavy duty vehicles</v>
      </c>
      <c r="E27" s="123" t="str" cm="1">
        <f t="array" ref="E27">Common_InputFunctions.Utility_DisplayArrayInTable(Fuel_SourceData.Fuel_Scope1Scope3EmissionFactorsTransport_Data(), Table_Fuel_EFs_Transport[[#Headers],[Transport type]], 0)</f>
        <v>Renewable diesel – Euro i</v>
      </c>
      <c r="F27" s="123" cm="1">
        <f t="array" ref="F27">Common_InputFunctions.Utility_DisplayArrayInTable(Fuel_SourceData.Fuel_Scope1Scope3EmissionFactorsTransport_Data(), Table_Fuel_EFs_Transport[[#Headers],[Transport type]], 0)</f>
        <v>38.6</v>
      </c>
      <c r="G27" s="123" t="str" cm="1">
        <f t="array" ref="G27">Common_InputFunctions.Utility_DisplayArrayInTable(Fuel_SourceData.Fuel_Scope1Scope3EmissionFactorsTransport_Data(), Table_Fuel_EFs_Transport[[#Headers],[Transport type]], 0)</f>
        <v>kl</v>
      </c>
      <c r="H27" s="123" cm="1">
        <f t="array" ref="H27">Common_InputFunctions.Utility_DisplayArrayInTable(Fuel_SourceData.Fuel_Scope1Scope3EmissionFactorsTransport_Data(), Table_Fuel_EFs_Transport[[#Headers],[Transport type]], 0)</f>
        <v>0</v>
      </c>
      <c r="I27" s="123" cm="1">
        <f t="array" ref="I27">Common_InputFunctions.Utility_DisplayArrayInTable(Fuel_SourceData.Fuel_Scope1Scope3EmissionFactorsTransport_Data(), Table_Fuel_EFs_Transport[[#Headers],[Transport type]], 0)</f>
        <v>0.2</v>
      </c>
      <c r="J27" s="123" cm="1">
        <f t="array" ref="J27">Common_InputFunctions.Utility_DisplayArrayInTable(Fuel_SourceData.Fuel_Scope1Scope3EmissionFactorsTransport_Data(), Table_Fuel_EFs_Transport[[#Headers],[Transport type]], 0)</f>
        <v>0.4</v>
      </c>
      <c r="K27" s="123" cm="1">
        <f t="array" ref="K27">Common_InputFunctions.Utility_DisplayArrayInTable(Fuel_SourceData.Fuel_Scope1Scope3EmissionFactorsTransport_Data(), Table_Fuel_EFs_Transport[[#Headers],[Transport type]], 0)</f>
        <v>0.6</v>
      </c>
      <c r="L27" s="123" t="str" cm="1">
        <f t="array" ref="L27">Common_InputFunctions.Utility_DisplayArrayInTable(Fuel_SourceData.Fuel_Scope1Scope3EmissionFactorsTransport_Data(), Table_Fuel_EFs_Transport[[#Headers],[Transport type]], 0)</f>
        <v>NE</v>
      </c>
    </row>
    <row r="28" spans="1:12" ht="20.100000000000001" customHeight="1" x14ac:dyDescent="0.25">
      <c r="D28" s="123" t="str" cm="1">
        <f t="array" ref="D28">Common_InputFunctions.Utility_DisplayArrayInTable(Fuel_SourceData.Fuel_Scope1Scope3EmissionFactorsTransport_Data(), Table_Fuel_EFs_Transport[[#Headers],[Transport type]], 0)</f>
        <v>Aviation</v>
      </c>
      <c r="E28" s="123" t="str" cm="1">
        <f t="array" ref="E28">Common_InputFunctions.Utility_DisplayArrayInTable(Fuel_SourceData.Fuel_Scope1Scope3EmissionFactorsTransport_Data(), Table_Fuel_EFs_Transport[[#Headers],[Transport type]], 0)</f>
        <v>Gasoline for use as fuel in an aircraft</v>
      </c>
      <c r="F28" s="123" cm="1">
        <f t="array" ref="F28">Common_InputFunctions.Utility_DisplayArrayInTable(Fuel_SourceData.Fuel_Scope1Scope3EmissionFactorsTransport_Data(), Table_Fuel_EFs_Transport[[#Headers],[Transport type]], 0)</f>
        <v>33.1</v>
      </c>
      <c r="G28" s="123" t="str" cm="1">
        <f t="array" ref="G28">Common_InputFunctions.Utility_DisplayArrayInTable(Fuel_SourceData.Fuel_Scope1Scope3EmissionFactorsTransport_Data(), Table_Fuel_EFs_Transport[[#Headers],[Transport type]], 0)</f>
        <v>kl</v>
      </c>
      <c r="H28" s="123" cm="1">
        <f t="array" ref="H28">Common_InputFunctions.Utility_DisplayArrayInTable(Fuel_SourceData.Fuel_Scope1Scope3EmissionFactorsTransport_Data(), Table_Fuel_EFs_Transport[[#Headers],[Transport type]], 0)</f>
        <v>67</v>
      </c>
      <c r="I28" s="123" cm="1">
        <f t="array" ref="I28">Common_InputFunctions.Utility_DisplayArrayInTable(Fuel_SourceData.Fuel_Scope1Scope3EmissionFactorsTransport_Data(), Table_Fuel_EFs_Transport[[#Headers],[Transport type]], 0)</f>
        <v>0.06</v>
      </c>
      <c r="J28" s="123" cm="1">
        <f t="array" ref="J28">Common_InputFunctions.Utility_DisplayArrayInTable(Fuel_SourceData.Fuel_Scope1Scope3EmissionFactorsTransport_Data(), Table_Fuel_EFs_Transport[[#Headers],[Transport type]], 0)</f>
        <v>0.6</v>
      </c>
      <c r="K28" s="123" cm="1">
        <f t="array" ref="K28">Common_InputFunctions.Utility_DisplayArrayInTable(Fuel_SourceData.Fuel_Scope1Scope3EmissionFactorsTransport_Data(), Table_Fuel_EFs_Transport[[#Headers],[Transport type]], 0)</f>
        <v>67.66</v>
      </c>
      <c r="L28" s="123" cm="1">
        <f t="array" ref="L28">Common_InputFunctions.Utility_DisplayArrayInTable(Fuel_SourceData.Fuel_Scope1Scope3EmissionFactorsTransport_Data(), Table_Fuel_EFs_Transport[[#Headers],[Transport type]], 0)</f>
        <v>18</v>
      </c>
    </row>
    <row r="29" spans="1:12" ht="20.100000000000001" customHeight="1" x14ac:dyDescent="0.25">
      <c r="D29" s="123" t="str" cm="1">
        <f t="array" ref="D29">Common_InputFunctions.Utility_DisplayArrayInTable(Fuel_SourceData.Fuel_Scope1Scope3EmissionFactorsTransport_Data(), Table_Fuel_EFs_Transport[[#Headers],[Transport type]], 0)</f>
        <v>Aviation</v>
      </c>
      <c r="E29" s="123" t="str" cm="1">
        <f t="array" ref="E29">Common_InputFunctions.Utility_DisplayArrayInTable(Fuel_SourceData.Fuel_Scope1Scope3EmissionFactorsTransport_Data(), Table_Fuel_EFs_Transport[[#Headers],[Transport type]], 0)</f>
        <v>Kerosene for use as fuel in an aircraft</v>
      </c>
      <c r="F29" s="123" cm="1">
        <f t="array" ref="F29">Common_InputFunctions.Utility_DisplayArrayInTable(Fuel_SourceData.Fuel_Scope1Scope3EmissionFactorsTransport_Data(), Table_Fuel_EFs_Transport[[#Headers],[Transport type]], 0)</f>
        <v>36.799999999999997</v>
      </c>
      <c r="G29" s="123" t="str" cm="1">
        <f t="array" ref="G29">Common_InputFunctions.Utility_DisplayArrayInTable(Fuel_SourceData.Fuel_Scope1Scope3EmissionFactorsTransport_Data(), Table_Fuel_EFs_Transport[[#Headers],[Transport type]], 0)</f>
        <v>kl</v>
      </c>
      <c r="H29" s="123" cm="1">
        <f t="array" ref="H29">Common_InputFunctions.Utility_DisplayArrayInTable(Fuel_SourceData.Fuel_Scope1Scope3EmissionFactorsTransport_Data(), Table_Fuel_EFs_Transport[[#Headers],[Transport type]], 0)</f>
        <v>69.599999999999994</v>
      </c>
      <c r="I29" s="123" cm="1">
        <f t="array" ref="I29">Common_InputFunctions.Utility_DisplayArrayInTable(Fuel_SourceData.Fuel_Scope1Scope3EmissionFactorsTransport_Data(), Table_Fuel_EFs_Transport[[#Headers],[Transport type]], 0)</f>
        <v>0.01</v>
      </c>
      <c r="J29" s="123" cm="1">
        <f t="array" ref="J29">Common_InputFunctions.Utility_DisplayArrayInTable(Fuel_SourceData.Fuel_Scope1Scope3EmissionFactorsTransport_Data(), Table_Fuel_EFs_Transport[[#Headers],[Transport type]], 0)</f>
        <v>0.6</v>
      </c>
      <c r="K29" s="123" cm="1">
        <f t="array" ref="K29">Common_InputFunctions.Utility_DisplayArrayInTable(Fuel_SourceData.Fuel_Scope1Scope3EmissionFactorsTransport_Data(), Table_Fuel_EFs_Transport[[#Headers],[Transport type]], 0)</f>
        <v>70.209999999999994</v>
      </c>
      <c r="L29" s="123" cm="1">
        <f t="array" ref="L29">Common_InputFunctions.Utility_DisplayArrayInTable(Fuel_SourceData.Fuel_Scope1Scope3EmissionFactorsTransport_Data(), Table_Fuel_EFs_Transport[[#Headers],[Transport type]], 0)</f>
        <v>18</v>
      </c>
    </row>
    <row r="30" spans="1:12" ht="20.100000000000001" customHeight="1" x14ac:dyDescent="0.25">
      <c r="D30" s="123" t="str" cm="1">
        <f t="array" ref="D30">Common_InputFunctions.Utility_DisplayArrayInTable(Fuel_SourceData.Fuel_Scope1Scope3EmissionFactorsTransport_Data(), Table_Fuel_EFs_Transport[[#Headers],[Transport type]], 0)</f>
        <v>Aviation</v>
      </c>
      <c r="E30" s="123" t="str" cm="1">
        <f t="array" ref="E30">Common_InputFunctions.Utility_DisplayArrayInTable(Fuel_SourceData.Fuel_Scope1Scope3EmissionFactorsTransport_Data(), Table_Fuel_EFs_Transport[[#Headers],[Transport type]], 0)</f>
        <v>Renewable aviation kerosene</v>
      </c>
      <c r="F30" s="123" cm="1">
        <f t="array" ref="F30">Common_InputFunctions.Utility_DisplayArrayInTable(Fuel_SourceData.Fuel_Scope1Scope3EmissionFactorsTransport_Data(), Table_Fuel_EFs_Transport[[#Headers],[Transport type]], 0)</f>
        <v>36.799999999999997</v>
      </c>
      <c r="G30" s="123" t="str" cm="1">
        <f t="array" ref="G30">Common_InputFunctions.Utility_DisplayArrayInTable(Fuel_SourceData.Fuel_Scope1Scope3EmissionFactorsTransport_Data(), Table_Fuel_EFs_Transport[[#Headers],[Transport type]], 0)</f>
        <v>kl</v>
      </c>
      <c r="H30" s="123" cm="1">
        <f t="array" ref="H30">Common_InputFunctions.Utility_DisplayArrayInTable(Fuel_SourceData.Fuel_Scope1Scope3EmissionFactorsTransport_Data(), Table_Fuel_EFs_Transport[[#Headers],[Transport type]], 0)</f>
        <v>0</v>
      </c>
      <c r="I30" s="123" cm="1">
        <f t="array" ref="I30">Common_InputFunctions.Utility_DisplayArrayInTable(Fuel_SourceData.Fuel_Scope1Scope3EmissionFactorsTransport_Data(), Table_Fuel_EFs_Transport[[#Headers],[Transport type]], 0)</f>
        <v>0.01</v>
      </c>
      <c r="J30" s="123" cm="1">
        <f t="array" ref="J30">Common_InputFunctions.Utility_DisplayArrayInTable(Fuel_SourceData.Fuel_Scope1Scope3EmissionFactorsTransport_Data(), Table_Fuel_EFs_Transport[[#Headers],[Transport type]], 0)</f>
        <v>0.6</v>
      </c>
      <c r="K30" s="123" cm="1">
        <f t="array" ref="K30">Common_InputFunctions.Utility_DisplayArrayInTable(Fuel_SourceData.Fuel_Scope1Scope3EmissionFactorsTransport_Data(), Table_Fuel_EFs_Transport[[#Headers],[Transport type]], 0)</f>
        <v>0.61</v>
      </c>
      <c r="L30" s="123" t="str" cm="1">
        <f t="array" ref="L30">Common_InputFunctions.Utility_DisplayArrayInTable(Fuel_SourceData.Fuel_Scope1Scope3EmissionFactorsTransport_Data(), Table_Fuel_EFs_Transport[[#Headers],[Transport type]], 0)</f>
        <v>NE</v>
      </c>
    </row>
    <row r="31" spans="1:12" ht="20.100000000000001" customHeight="1" x14ac:dyDescent="0.25">
      <c r="D31" s="149" t="str" cm="1">
        <f t="array" ref="D31">Common_InputFunctions.Utility_DisplayArrayInTable(Fuel_SourceData.Fuel_Scope1Scope3EmissionFactorsTransport_Data(), Table_Fuel_EFs_Transport[[#Headers],[Transport type]], 0)</f>
        <v>Vessels</v>
      </c>
      <c r="E31" s="149" t="str" cm="1">
        <f t="array" ref="E31">Common_InputFunctions.Utility_DisplayArrayInTable(Fuel_SourceData.Fuel_Scope1Scope3EmissionFactorsTransport_Data(), Table_Fuel_EFs_Transport[[#Headers],[Transport type]], 0)</f>
        <v>Gasoline</v>
      </c>
      <c r="F31" s="149" cm="1">
        <f t="array" ref="F31">Common_InputFunctions.Utility_DisplayArrayInTable(Fuel_SourceData.Fuel_Scope1Scope3EmissionFactorsTransport_Data(), Table_Fuel_EFs_Transport[[#Headers],[Transport type]], 0)</f>
        <v>34.200000000000003</v>
      </c>
      <c r="G31" s="149" t="str" cm="1">
        <f t="array" ref="G31">Common_InputFunctions.Utility_DisplayArrayInTable(Fuel_SourceData.Fuel_Scope1Scope3EmissionFactorsTransport_Data(), Table_Fuel_EFs_Transport[[#Headers],[Transport type]], 0)</f>
        <v>kL</v>
      </c>
      <c r="H31" s="149" cm="1">
        <f t="array" ref="H31">Common_InputFunctions.Utility_DisplayArrayInTable(Fuel_SourceData.Fuel_Scope1Scope3EmissionFactorsTransport_Data(), Table_Fuel_EFs_Transport[[#Headers],[Transport type]], 0)</f>
        <v>67.400000000000006</v>
      </c>
      <c r="I31" s="149" cm="1">
        <f t="array" ref="I31">Common_InputFunctions.Utility_DisplayArrayInTable(Fuel_SourceData.Fuel_Scope1Scope3EmissionFactorsTransport_Data(), Table_Fuel_EFs_Transport[[#Headers],[Transport type]], 0)</f>
        <v>10.1</v>
      </c>
      <c r="J31" s="149" cm="1">
        <f t="array" ref="J31">Common_InputFunctions.Utility_DisplayArrayInTable(Fuel_SourceData.Fuel_Scope1Scope3EmissionFactorsTransport_Data(), Table_Fuel_EFs_Transport[[#Headers],[Transport type]], 0)</f>
        <v>0.3</v>
      </c>
      <c r="K31" s="149" t="str" cm="1">
        <f t="array" ref="K31">Common_InputFunctions.Utility_DisplayArrayInTable(Fuel_SourceData.Fuel_Scope1Scope3EmissionFactorsTransport_Data(), Table_Fuel_EFs_Transport[[#Headers],[Transport type]], 0)</f>
        <v/>
      </c>
      <c r="L31" s="149" cm="1">
        <f t="array" ref="L31">Common_InputFunctions.Utility_DisplayArrayInTable(Fuel_SourceData.Fuel_Scope1Scope3EmissionFactorsTransport_Data(), Table_Fuel_EFs_Transport[[#Headers],[Transport type]], 0)</f>
        <v>17.2</v>
      </c>
    </row>
    <row r="32" spans="1:12" ht="20.100000000000001" customHeight="1" x14ac:dyDescent="0.25">
      <c r="D32" s="150" t="str" cm="1">
        <f t="array" ref="D32">Common_InputFunctions.Utility_DisplayArrayInTable(Fuel_SourceData.Fuel_Scope1Scope3EmissionFactorsTransport_Data(), Table_Fuel_EFs_Transport[[#Headers],[Transport type]], 0)</f>
        <v>Vessels</v>
      </c>
      <c r="E32" s="150" t="str" cm="1">
        <f t="array" ref="E32">Common_InputFunctions.Utility_DisplayArrayInTable(Fuel_SourceData.Fuel_Scope1Scope3EmissionFactorsTransport_Data(), Table_Fuel_EFs_Transport[[#Headers],[Transport type]], 0)</f>
        <v>Diesel oil</v>
      </c>
      <c r="F32" s="150" cm="1">
        <f t="array" ref="F32">Common_InputFunctions.Utility_DisplayArrayInTable(Fuel_SourceData.Fuel_Scope1Scope3EmissionFactorsTransport_Data(), Table_Fuel_EFs_Transport[[#Headers],[Transport type]], 0)</f>
        <v>38.6</v>
      </c>
      <c r="G32" s="150" t="str" cm="1">
        <f t="array" ref="G32">Common_InputFunctions.Utility_DisplayArrayInTable(Fuel_SourceData.Fuel_Scope1Scope3EmissionFactorsTransport_Data(), Table_Fuel_EFs_Transport[[#Headers],[Transport type]], 0)</f>
        <v>kL</v>
      </c>
      <c r="H32" s="150" cm="1">
        <f t="array" ref="H32">Common_InputFunctions.Utility_DisplayArrayInTable(Fuel_SourceData.Fuel_Scope1Scope3EmissionFactorsTransport_Data(), Table_Fuel_EFs_Transport[[#Headers],[Transport type]], 0)</f>
        <v>69.900000000000006</v>
      </c>
      <c r="I32" s="150" cm="1">
        <f t="array" ref="I32">Common_InputFunctions.Utility_DisplayArrayInTable(Fuel_SourceData.Fuel_Scope1Scope3EmissionFactorsTransport_Data(), Table_Fuel_EFs_Transport[[#Headers],[Transport type]], 0)</f>
        <v>0.2</v>
      </c>
      <c r="J32" s="150" cm="1">
        <f t="array" ref="J32">Common_InputFunctions.Utility_DisplayArrayInTable(Fuel_SourceData.Fuel_Scope1Scope3EmissionFactorsTransport_Data(), Table_Fuel_EFs_Transport[[#Headers],[Transport type]], 0)</f>
        <v>0.5</v>
      </c>
      <c r="K32" s="150" t="str" cm="1">
        <f t="array" ref="K32">Common_InputFunctions.Utility_DisplayArrayInTable(Fuel_SourceData.Fuel_Scope1Scope3EmissionFactorsTransport_Data(), Table_Fuel_EFs_Transport[[#Headers],[Transport type]], 0)</f>
        <v/>
      </c>
      <c r="L32" s="150" cm="1">
        <f t="array" ref="L32">Common_InputFunctions.Utility_DisplayArrayInTable(Fuel_SourceData.Fuel_Scope1Scope3EmissionFactorsTransport_Data(), Table_Fuel_EFs_Transport[[#Headers],[Transport type]], 0)</f>
        <v>17.3</v>
      </c>
    </row>
    <row r="33" spans="4:12" ht="20.100000000000001" customHeight="1" x14ac:dyDescent="0.25">
      <c r="D33" s="150" t="str" cm="1">
        <f t="array" ref="D33">Common_InputFunctions.Utility_DisplayArrayInTable(Fuel_SourceData.Fuel_Scope1Scope3EmissionFactorsTransport_Data(), Table_Fuel_EFs_Transport[[#Headers],[Transport type]], 0)</f>
        <v>Vessels</v>
      </c>
      <c r="E33" s="150" t="str" cm="1">
        <f t="array" ref="E33">Common_InputFunctions.Utility_DisplayArrayInTable(Fuel_SourceData.Fuel_Scope1Scope3EmissionFactorsTransport_Data(), Table_Fuel_EFs_Transport[[#Headers],[Transport type]], 0)</f>
        <v>Fuel Oil</v>
      </c>
      <c r="F33" s="150" cm="1">
        <f t="array" ref="F33">Common_InputFunctions.Utility_DisplayArrayInTable(Fuel_SourceData.Fuel_Scope1Scope3EmissionFactorsTransport_Data(), Table_Fuel_EFs_Transport[[#Headers],[Transport type]], 0)</f>
        <v>39.700000000000003</v>
      </c>
      <c r="G33" s="150" t="str" cm="1">
        <f t="array" ref="G33">Common_InputFunctions.Utility_DisplayArrayInTable(Fuel_SourceData.Fuel_Scope1Scope3EmissionFactorsTransport_Data(), Table_Fuel_EFs_Transport[[#Headers],[Transport type]], 0)</f>
        <v>kL</v>
      </c>
      <c r="H33" s="150" cm="1">
        <f t="array" ref="H33">Common_InputFunctions.Utility_DisplayArrayInTable(Fuel_SourceData.Fuel_Scope1Scope3EmissionFactorsTransport_Data(), Table_Fuel_EFs_Transport[[#Headers],[Transport type]], 0)</f>
        <v>73.599999999999994</v>
      </c>
      <c r="I33" s="150" cm="1">
        <f t="array" ref="I33">Common_InputFunctions.Utility_DisplayArrayInTable(Fuel_SourceData.Fuel_Scope1Scope3EmissionFactorsTransport_Data(), Table_Fuel_EFs_Transport[[#Headers],[Transport type]], 0)</f>
        <v>0.2</v>
      </c>
      <c r="J33" s="150" cm="1">
        <f t="array" ref="J33">Common_InputFunctions.Utility_DisplayArrayInTable(Fuel_SourceData.Fuel_Scope1Scope3EmissionFactorsTransport_Data(), Table_Fuel_EFs_Transport[[#Headers],[Transport type]], 0)</f>
        <v>0.5</v>
      </c>
      <c r="K33" s="150" t="str" cm="1">
        <f t="array" ref="K33">Common_InputFunctions.Utility_DisplayArrayInTable(Fuel_SourceData.Fuel_Scope1Scope3EmissionFactorsTransport_Data(), Table_Fuel_EFs_Transport[[#Headers],[Transport type]], 0)</f>
        <v/>
      </c>
      <c r="L33" s="150" cm="1">
        <f t="array" ref="L33">Common_InputFunctions.Utility_DisplayArrayInTable(Fuel_SourceData.Fuel_Scope1Scope3EmissionFactorsTransport_Data(), Table_Fuel_EFs_Transport[[#Headers],[Transport type]], 0)</f>
        <v>18</v>
      </c>
    </row>
    <row r="34" spans="4:12" ht="20.100000000000001" customHeight="1" x14ac:dyDescent="0.25">
      <c r="D34" s="150" t="str" cm="1">
        <f t="array" ref="D34">Common_InputFunctions.Utility_DisplayArrayInTable(Fuel_SourceData.Fuel_Scope1Scope3EmissionFactorsTransport_Data(), Table_Fuel_EFs_Transport[[#Headers],[Transport type]], 0)</f>
        <v>Off-road Agriculture and forestry equipment</v>
      </c>
      <c r="E34" s="150" t="str" cm="1">
        <f t="array" ref="E34">Common_InputFunctions.Utility_DisplayArrayInTable(Fuel_SourceData.Fuel_Scope1Scope3EmissionFactorsTransport_Data(), Table_Fuel_EFs_Transport[[#Headers],[Transport type]], 0)</f>
        <v>Diesel oil</v>
      </c>
      <c r="F34" s="150" cm="1">
        <f t="array" ref="F34">Common_InputFunctions.Utility_DisplayArrayInTable(Fuel_SourceData.Fuel_Scope1Scope3EmissionFactorsTransport_Data(), Table_Fuel_EFs_Transport[[#Headers],[Transport type]], 0)</f>
        <v>38.6</v>
      </c>
      <c r="G34" s="150" t="str" cm="1">
        <f t="array" ref="G34">Common_InputFunctions.Utility_DisplayArrayInTable(Fuel_SourceData.Fuel_Scope1Scope3EmissionFactorsTransport_Data(), Table_Fuel_EFs_Transport[[#Headers],[Transport type]], 0)</f>
        <v>kL</v>
      </c>
      <c r="H34" s="150" cm="1">
        <f t="array" ref="H34">Common_InputFunctions.Utility_DisplayArrayInTable(Fuel_SourceData.Fuel_Scope1Scope3EmissionFactorsTransport_Data(), Table_Fuel_EFs_Transport[[#Headers],[Transport type]], 0)</f>
        <v>69.900000000000006</v>
      </c>
      <c r="I34" s="150" cm="1">
        <f t="array" ref="I34">Common_InputFunctions.Utility_DisplayArrayInTable(Fuel_SourceData.Fuel_Scope1Scope3EmissionFactorsTransport_Data(), Table_Fuel_EFs_Transport[[#Headers],[Transport type]], 0)</f>
        <v>0.3</v>
      </c>
      <c r="J34" s="150" cm="1">
        <f t="array" ref="J34">Common_InputFunctions.Utility_DisplayArrayInTable(Fuel_SourceData.Fuel_Scope1Scope3EmissionFactorsTransport_Data(), Table_Fuel_EFs_Transport[[#Headers],[Transport type]], 0)</f>
        <v>0.5</v>
      </c>
      <c r="K34" s="150" t="str" cm="1">
        <f t="array" ref="K34">Common_InputFunctions.Utility_DisplayArrayInTable(Fuel_SourceData.Fuel_Scope1Scope3EmissionFactorsTransport_Data(), Table_Fuel_EFs_Transport[[#Headers],[Transport type]], 0)</f>
        <v/>
      </c>
      <c r="L34" s="15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134" t="s">
        <v>183</v>
      </c>
      <c r="E39" s="134" t="s">
        <v>184</v>
      </c>
      <c r="F39" s="134" t="s">
        <v>185</v>
      </c>
      <c r="G39" s="134" t="s">
        <v>186</v>
      </c>
      <c r="H39" s="134" t="s">
        <v>187</v>
      </c>
      <c r="I39" s="134" t="s">
        <v>188</v>
      </c>
      <c r="J39" s="134" t="s">
        <v>189</v>
      </c>
    </row>
    <row r="40" spans="4:12" ht="20.100000000000001" customHeight="1" x14ac:dyDescent="0.25">
      <c r="D40" s="134" t="str" cm="1">
        <f t="array" ref="D40">Common_InputFunctions.Utility_DisplayArrayInTable(Fuel_SourceData.Fuel_Scope1Scope3EmissionFactorsTransportOffRoad_Data(), Table_SourceData_Fuel_TransportOffroad[[#Headers],[Transport type t]],0)</f>
        <v>Vessel</v>
      </c>
      <c r="E40" s="134" t="str" cm="1">
        <f t="array" ref="E40">Common_InputFunctions.Utility_DisplayArrayInTable(Fuel_SourceData.Fuel_Scope1Scope3EmissionFactorsTransportOffRoad_Data(), Table_SourceData_Fuel_TransportOffroad[[#Headers],[Transport type t]],0)</f>
        <v>Petrol</v>
      </c>
      <c r="F40" s="134" cm="1">
        <f t="array" ref="F40">Common_InputFunctions.Utility_DisplayArrayInTable(Fuel_SourceData.Fuel_Scope1Scope3EmissionFactorsTransportOffRoad_Data(), Table_SourceData_Fuel_TransportOffroad[[#Headers],[Transport type t]],0)</f>
        <v>34.200000000000003</v>
      </c>
      <c r="G40" s="134" cm="1">
        <f t="array" ref="G40">Common_InputFunctions.Utility_DisplayArrayInTable(Fuel_SourceData.Fuel_Scope1Scope3EmissionFactorsTransportOffRoad_Data(), Table_SourceData_Fuel_TransportOffroad[[#Headers],[Transport type t]],0)</f>
        <v>67.400000000000006</v>
      </c>
      <c r="H40" s="134" cm="1">
        <f t="array" ref="H40">Common_InputFunctions.Utility_DisplayArrayInTable(Fuel_SourceData.Fuel_Scope1Scope3EmissionFactorsTransportOffRoad_Data(), Table_SourceData_Fuel_TransportOffroad[[#Headers],[Transport type t]],0)</f>
        <v>10.1</v>
      </c>
      <c r="I40" s="134" cm="1">
        <f t="array" ref="I40">Common_InputFunctions.Utility_DisplayArrayInTable(Fuel_SourceData.Fuel_Scope1Scope3EmissionFactorsTransportOffRoad_Data(), Table_SourceData_Fuel_TransportOffroad[[#Headers],[Transport type t]],0)</f>
        <v>0.3</v>
      </c>
      <c r="J40" s="134"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37" t="str" cm="1">
        <f t="array" ref="E41">Common_InputFunctions.Utility_DisplayArrayInTable(Fuel_SourceData.Fuel_Scope1Scope3EmissionFactorsTransportOffRoad_Data(), Table_SourceData_Fuel_TransportOffroad[[#Headers],[Transport type t]],0)</f>
        <v>Diesel</v>
      </c>
      <c r="F41" s="37" cm="1">
        <f t="array" ref="F41">Common_InputFunctions.Utility_DisplayArrayInTable(Fuel_SourceData.Fuel_Scope1Scope3EmissionFactorsTransportOffRoad_Data(), Table_SourceData_Fuel_TransportOffroad[[#Headers],[Transport type t]],0)</f>
        <v>38.6</v>
      </c>
      <c r="G41" s="37" cm="1">
        <f t="array" ref="G41">Common_InputFunctions.Utility_DisplayArrayInTable(Fuel_SourceData.Fuel_Scope1Scope3EmissionFactorsTransportOffRoad_Data(), Table_SourceData_Fuel_TransportOffroad[[#Headers],[Transport type t]],0)</f>
        <v>69.900000000000006</v>
      </c>
      <c r="H41" s="37" cm="1">
        <f t="array" ref="H41">Common_InputFunctions.Utility_DisplayArrayInTable(Fuel_SourceData.Fuel_Scope1Scope3EmissionFactorsTransportOffRoad_Data(), Table_SourceData_Fuel_TransportOffroad[[#Headers],[Transport type t]],0)</f>
        <v>0.2</v>
      </c>
      <c r="I41" s="37" cm="1">
        <f t="array" ref="I41">Common_InputFunctions.Utility_DisplayArrayInTable(Fuel_SourceData.Fuel_Scope1Scope3EmissionFactorsTransportOffRoad_Data(), Table_SourceData_Fuel_TransportOffroad[[#Headers],[Transport type t]],0)</f>
        <v>0.5</v>
      </c>
      <c r="J41" s="37"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37" t="str" cm="1">
        <f t="array" ref="E42">Common_InputFunctions.Utility_DisplayArrayInTable(Fuel_SourceData.Fuel_Scope1Scope3EmissionFactorsTransportOffRoad_Data(), Table_SourceData_Fuel_TransportOffroad[[#Headers],[Transport type t]],0)</f>
        <v>Fuel Oil</v>
      </c>
      <c r="F42" s="37" cm="1">
        <f t="array" ref="F42">Common_InputFunctions.Utility_DisplayArrayInTable(Fuel_SourceData.Fuel_Scope1Scope3EmissionFactorsTransportOffRoad_Data(), Table_SourceData_Fuel_TransportOffroad[[#Headers],[Transport type t]],0)</f>
        <v>39.700000000000003</v>
      </c>
      <c r="G42" s="37" cm="1">
        <f t="array" ref="G42">Common_InputFunctions.Utility_DisplayArrayInTable(Fuel_SourceData.Fuel_Scope1Scope3EmissionFactorsTransportOffRoad_Data(), Table_SourceData_Fuel_TransportOffroad[[#Headers],[Transport type t]],0)</f>
        <v>73.599999999999994</v>
      </c>
      <c r="H42" s="37" cm="1">
        <f t="array" ref="H42">Common_InputFunctions.Utility_DisplayArrayInTable(Fuel_SourceData.Fuel_Scope1Scope3EmissionFactorsTransportOffRoad_Data(), Table_SourceData_Fuel_TransportOffroad[[#Headers],[Transport type t]],0)</f>
        <v>0.2</v>
      </c>
      <c r="I42" s="37" cm="1">
        <f t="array" ref="I42">Common_InputFunctions.Utility_DisplayArrayInTable(Fuel_SourceData.Fuel_Scope1Scope3EmissionFactorsTransportOffRoad_Data(), Table_SourceData_Fuel_TransportOffroad[[#Headers],[Transport type t]],0)</f>
        <v>0.5</v>
      </c>
      <c r="J42" s="37"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37" t="str" cm="1">
        <f t="array" ref="E43">Common_InputFunctions.Utility_DisplayArrayInTable(Fuel_SourceData.Fuel_Scope1Scope3EmissionFactorsTransportOffRoad_Data(), Table_SourceData_Fuel_TransportOffroad[[#Headers],[Transport type t]],0)</f>
        <v>Diesel</v>
      </c>
      <c r="F43" s="37" cm="1">
        <f t="array" ref="F43">Common_InputFunctions.Utility_DisplayArrayInTable(Fuel_SourceData.Fuel_Scope1Scope3EmissionFactorsTransportOffRoad_Data(), Table_SourceData_Fuel_TransportOffroad[[#Headers],[Transport type t]],0)</f>
        <v>38.6</v>
      </c>
      <c r="G43" s="37" cm="1">
        <f t="array" ref="G43">Common_InputFunctions.Utility_DisplayArrayInTable(Fuel_SourceData.Fuel_Scope1Scope3EmissionFactorsTransportOffRoad_Data(), Table_SourceData_Fuel_TransportOffroad[[#Headers],[Transport type t]],0)</f>
        <v>69.900000000000006</v>
      </c>
      <c r="H43" s="37" cm="1">
        <f t="array" ref="H43">Common_InputFunctions.Utility_DisplayArrayInTable(Fuel_SourceData.Fuel_Scope1Scope3EmissionFactorsTransportOffRoad_Data(), Table_SourceData_Fuel_TransportOffroad[[#Headers],[Transport type t]],0)</f>
        <v>0.3</v>
      </c>
      <c r="I43" s="37" cm="1">
        <f t="array" ref="I43">Common_InputFunctions.Utility_DisplayArrayInTable(Fuel_SourceData.Fuel_Scope1Scope3EmissionFactorsTransportOffRoad_Data(), Table_SourceData_Fuel_TransportOffroad[[#Headers],[Transport type t]],0)</f>
        <v>0.5</v>
      </c>
      <c r="J43" s="37"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99"/>
      <c r="F49" s="99"/>
      <c r="G49" s="99"/>
      <c r="H49" s="99"/>
      <c r="I49" s="99"/>
      <c r="J49" s="99"/>
      <c r="K49" s="99"/>
      <c r="L49" s="99"/>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99"/>
      <c r="F50" s="99"/>
      <c r="G50" s="99"/>
      <c r="H50" s="99"/>
      <c r="I50" s="99"/>
      <c r="J50" s="99"/>
      <c r="K50" s="99"/>
      <c r="L50" s="99"/>
    </row>
    <row r="51" spans="4:12" ht="20.100000000000001" customHeight="1" x14ac:dyDescent="0.25">
      <c r="D51" s="5" t="str" cm="1">
        <f t="array" ref="D51">Fuel_SourceData.Fuel_Scope1Scope3EmissionFactorsStationaryLiquid_Source()</f>
        <v>Australian National Greenhouse Accounts Factors 2025 - Table 8</v>
      </c>
      <c r="E51" s="99"/>
      <c r="F51" s="99"/>
      <c r="G51" s="99"/>
      <c r="H51" s="99"/>
      <c r="I51" s="99"/>
      <c r="J51" s="99"/>
      <c r="K51" s="99"/>
      <c r="L51" s="99"/>
    </row>
    <row r="52" spans="4:12" ht="20.100000000000001" customHeight="1" x14ac:dyDescent="0.25">
      <c r="D52" s="51" t="str" cm="1">
        <f t="array" ref="D52">"⚠️" &amp; Fuel_SourceData.Fuel_Scope1Scope3EmissionFactorsStationaryLiquid_Variation()</f>
        <v>⚠️VARIATION OF SOURCE DATA: 'NE' values returned as zero for calculations.</v>
      </c>
      <c r="E52" s="99"/>
      <c r="F52" s="99"/>
      <c r="G52" s="99"/>
      <c r="H52" s="99"/>
      <c r="I52" s="99"/>
      <c r="J52" s="99"/>
      <c r="K52" s="99"/>
      <c r="L52" s="99"/>
    </row>
    <row r="53" spans="4:12" ht="20.100000000000001" customHeight="1" x14ac:dyDescent="0.25">
      <c r="D53" s="124" t="s">
        <v>157</v>
      </c>
      <c r="E53" s="122" t="s">
        <v>158</v>
      </c>
      <c r="F53" s="124" t="s">
        <v>159</v>
      </c>
      <c r="G53" s="122" t="s">
        <v>160</v>
      </c>
      <c r="H53" s="122" t="s">
        <v>161</v>
      </c>
      <c r="I53" s="122" t="s">
        <v>162</v>
      </c>
      <c r="J53" s="122" t="s">
        <v>163</v>
      </c>
      <c r="K53" s="122" t="s">
        <v>164</v>
      </c>
      <c r="L53" s="99"/>
    </row>
    <row r="54" spans="4:12" ht="20.100000000000001" customHeight="1" x14ac:dyDescent="0.25">
      <c r="D54" s="125"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25" cm="1">
        <f t="array" ref="E54">Common_InputFunctions.Utility_DisplayArrayInTable(Fuel_SourceData.Fuel_Scope1Scope3EmissionFactorsStationaryLiquid_Data(), Table_Fuel_EFs_StationaryLiquid[[#Headers],[Fuel combusted]],0)</f>
        <v>38.799999999999997</v>
      </c>
      <c r="F54" s="125" t="str" cm="1">
        <f t="array" ref="F54">Common_InputFunctions.Utility_DisplayArrayInTable(Fuel_SourceData.Fuel_Scope1Scope3EmissionFactorsStationaryLiquid_Data(), Table_Fuel_EFs_StationaryLiquid[[#Headers],[Fuel combusted]],0)</f>
        <v>kl</v>
      </c>
      <c r="G54" s="125" cm="1">
        <f t="array" ref="G54">Common_InputFunctions.Utility_DisplayArrayInTable(Fuel_SourceData.Fuel_Scope1Scope3EmissionFactorsStationaryLiquid_Data(), Table_Fuel_EFs_StationaryLiquid[[#Headers],[Fuel combusted]],0)</f>
        <v>13.9</v>
      </c>
      <c r="H54" s="125" cm="1">
        <f t="array" ref="H54">Common_InputFunctions.Utility_DisplayArrayInTable(Fuel_SourceData.Fuel_Scope1Scope3EmissionFactorsStationaryLiquid_Data(), Table_Fuel_EFs_StationaryLiquid[[#Headers],[Fuel combusted]],0)</f>
        <v>0</v>
      </c>
      <c r="I54" s="125" cm="1">
        <f t="array" ref="I54">Common_InputFunctions.Utility_DisplayArrayInTable(Fuel_SourceData.Fuel_Scope1Scope3EmissionFactorsStationaryLiquid_Data(), Table_Fuel_EFs_StationaryLiquid[[#Headers],[Fuel combusted]],0)</f>
        <v>0</v>
      </c>
      <c r="J54" s="125" cm="1">
        <f t="array" ref="J54">Common_InputFunctions.Utility_DisplayArrayInTable(Fuel_SourceData.Fuel_Scope1Scope3EmissionFactorsStationaryLiquid_Data(), Table_Fuel_EFs_StationaryLiquid[[#Headers],[Fuel combusted]],0)</f>
        <v>13.9</v>
      </c>
      <c r="K54" s="125" cm="1">
        <f t="array" ref="K54">Common_InputFunctions.Utility_DisplayArrayInTable(Fuel_SourceData.Fuel_Scope1Scope3EmissionFactorsStationaryLiquid_Data(), Table_Fuel_EFs_StationaryLiquid[[#Headers],[Fuel combusted]],0)</f>
        <v>18</v>
      </c>
      <c r="L54" s="99"/>
    </row>
    <row r="55" spans="4:12" ht="20.100000000000001" customHeight="1" x14ac:dyDescent="0.25">
      <c r="D55" s="125" t="str" cm="1">
        <f t="array" ref="D55">Common_InputFunctions.Utility_DisplayArrayInTable(Fuel_SourceData.Fuel_Scope1Scope3EmissionFactorsStationaryLiquid_Data(), Table_Fuel_EFs_StationaryLiquid[[#Headers],[Fuel combusted]],0)</f>
        <v>Petroleum based greases</v>
      </c>
      <c r="E55" s="125" cm="1">
        <f t="array" ref="E55">Common_InputFunctions.Utility_DisplayArrayInTable(Fuel_SourceData.Fuel_Scope1Scope3EmissionFactorsStationaryLiquid_Data(), Table_Fuel_EFs_StationaryLiquid[[#Headers],[Fuel combusted]],0)</f>
        <v>38.799999999999997</v>
      </c>
      <c r="F55" s="125" t="str" cm="1">
        <f t="array" ref="F55">Common_InputFunctions.Utility_DisplayArrayInTable(Fuel_SourceData.Fuel_Scope1Scope3EmissionFactorsStationaryLiquid_Data(), Table_Fuel_EFs_StationaryLiquid[[#Headers],[Fuel combusted]],0)</f>
        <v>kl</v>
      </c>
      <c r="G55" s="125" cm="1">
        <f t="array" ref="G55">Common_InputFunctions.Utility_DisplayArrayInTable(Fuel_SourceData.Fuel_Scope1Scope3EmissionFactorsStationaryLiquid_Data(), Table_Fuel_EFs_StationaryLiquid[[#Headers],[Fuel combusted]],0)</f>
        <v>3.5</v>
      </c>
      <c r="H55" s="125" cm="1">
        <f t="array" ref="H55">Common_InputFunctions.Utility_DisplayArrayInTable(Fuel_SourceData.Fuel_Scope1Scope3EmissionFactorsStationaryLiquid_Data(), Table_Fuel_EFs_StationaryLiquid[[#Headers],[Fuel combusted]],0)</f>
        <v>0</v>
      </c>
      <c r="I55" s="125" cm="1">
        <f t="array" ref="I55">Common_InputFunctions.Utility_DisplayArrayInTable(Fuel_SourceData.Fuel_Scope1Scope3EmissionFactorsStationaryLiquid_Data(), Table_Fuel_EFs_StationaryLiquid[[#Headers],[Fuel combusted]],0)</f>
        <v>0</v>
      </c>
      <c r="J55" s="125" cm="1">
        <f t="array" ref="J55">Common_InputFunctions.Utility_DisplayArrayInTable(Fuel_SourceData.Fuel_Scope1Scope3EmissionFactorsStationaryLiquid_Data(), Table_Fuel_EFs_StationaryLiquid[[#Headers],[Fuel combusted]],0)</f>
        <v>3.5</v>
      </c>
      <c r="K55" s="125" cm="1">
        <f t="array" ref="K55">Common_InputFunctions.Utility_DisplayArrayInTable(Fuel_SourceData.Fuel_Scope1Scope3EmissionFactorsStationaryLiquid_Data(), Table_Fuel_EFs_StationaryLiquid[[#Headers],[Fuel combusted]],0)</f>
        <v>18</v>
      </c>
      <c r="L55" s="99"/>
    </row>
    <row r="56" spans="4:12" ht="20.100000000000001" customHeight="1" x14ac:dyDescent="0.25">
      <c r="D56" s="125" t="str" cm="1">
        <f t="array" ref="D56">Common_InputFunctions.Utility_DisplayArrayInTable(Fuel_SourceData.Fuel_Scope1Scope3EmissionFactorsStationaryLiquid_Data(), Table_Fuel_EFs_StationaryLiquid[[#Headers],[Fuel combusted]],0)</f>
        <v>Crude oil including crude oil condensates</v>
      </c>
      <c r="E56" s="125" cm="1">
        <f t="array" ref="E56">Common_InputFunctions.Utility_DisplayArrayInTable(Fuel_SourceData.Fuel_Scope1Scope3EmissionFactorsStationaryLiquid_Data(), Table_Fuel_EFs_StationaryLiquid[[#Headers],[Fuel combusted]],0)</f>
        <v>45.3</v>
      </c>
      <c r="F56" s="125" t="str" cm="1">
        <f t="array" ref="F56">Common_InputFunctions.Utility_DisplayArrayInTable(Fuel_SourceData.Fuel_Scope1Scope3EmissionFactorsStationaryLiquid_Data(), Table_Fuel_EFs_StationaryLiquid[[#Headers],[Fuel combusted]],0)</f>
        <v>t</v>
      </c>
      <c r="G56" s="125" cm="1">
        <f t="array" ref="G56">Common_InputFunctions.Utility_DisplayArrayInTable(Fuel_SourceData.Fuel_Scope1Scope3EmissionFactorsStationaryLiquid_Data(), Table_Fuel_EFs_StationaryLiquid[[#Headers],[Fuel combusted]],0)</f>
        <v>69.599999999999994</v>
      </c>
      <c r="H56" s="125" cm="1">
        <f t="array" ref="H56">Common_InputFunctions.Utility_DisplayArrayInTable(Fuel_SourceData.Fuel_Scope1Scope3EmissionFactorsStationaryLiquid_Data(), Table_Fuel_EFs_StationaryLiquid[[#Headers],[Fuel combusted]],0)</f>
        <v>0.08</v>
      </c>
      <c r="I56" s="125" cm="1">
        <f t="array" ref="I56">Common_InputFunctions.Utility_DisplayArrayInTable(Fuel_SourceData.Fuel_Scope1Scope3EmissionFactorsStationaryLiquid_Data(), Table_Fuel_EFs_StationaryLiquid[[#Headers],[Fuel combusted]],0)</f>
        <v>0.2</v>
      </c>
      <c r="J56" s="125" cm="1">
        <f t="array" ref="J56">Common_InputFunctions.Utility_DisplayArrayInTable(Fuel_SourceData.Fuel_Scope1Scope3EmissionFactorsStationaryLiquid_Data(), Table_Fuel_EFs_StationaryLiquid[[#Headers],[Fuel combusted]],0)</f>
        <v>69.88</v>
      </c>
      <c r="K56" s="125" t="str" cm="1">
        <f t="array" ref="K56">Common_InputFunctions.Utility_DisplayArrayInTable(Fuel_SourceData.Fuel_Scope1Scope3EmissionFactorsStationaryLiquid_Data(), Table_Fuel_EFs_StationaryLiquid[[#Headers],[Fuel combusted]],0)</f>
        <v>NE</v>
      </c>
      <c r="L56" s="99"/>
    </row>
    <row r="57" spans="4:12" ht="20.100000000000001" customHeight="1" x14ac:dyDescent="0.25">
      <c r="D57" s="125" t="str" cm="1">
        <f t="array" ref="D57">Common_InputFunctions.Utility_DisplayArrayInTable(Fuel_SourceData.Fuel_Scope1Scope3EmissionFactorsStationaryLiquid_Data(), Table_Fuel_EFs_StationaryLiquid[[#Headers],[Fuel combusted]],0)</f>
        <v>Other natural gas liquids</v>
      </c>
      <c r="E57" s="125" cm="1">
        <f t="array" ref="E57">Common_InputFunctions.Utility_DisplayArrayInTable(Fuel_SourceData.Fuel_Scope1Scope3EmissionFactorsStationaryLiquid_Data(), Table_Fuel_EFs_StationaryLiquid[[#Headers],[Fuel combusted]],0)</f>
        <v>46.5</v>
      </c>
      <c r="F57" s="125" t="str" cm="1">
        <f t="array" ref="F57">Common_InputFunctions.Utility_DisplayArrayInTable(Fuel_SourceData.Fuel_Scope1Scope3EmissionFactorsStationaryLiquid_Data(), Table_Fuel_EFs_StationaryLiquid[[#Headers],[Fuel combusted]],0)</f>
        <v>t</v>
      </c>
      <c r="G57" s="125" cm="1">
        <f t="array" ref="G57">Common_InputFunctions.Utility_DisplayArrayInTable(Fuel_SourceData.Fuel_Scope1Scope3EmissionFactorsStationaryLiquid_Data(), Table_Fuel_EFs_StationaryLiquid[[#Headers],[Fuel combusted]],0)</f>
        <v>61</v>
      </c>
      <c r="H57" s="125" cm="1">
        <f t="array" ref="H57">Common_InputFunctions.Utility_DisplayArrayInTable(Fuel_SourceData.Fuel_Scope1Scope3EmissionFactorsStationaryLiquid_Data(), Table_Fuel_EFs_StationaryLiquid[[#Headers],[Fuel combusted]],0)</f>
        <v>0.08</v>
      </c>
      <c r="I57" s="125" cm="1">
        <f t="array" ref="I57">Common_InputFunctions.Utility_DisplayArrayInTable(Fuel_SourceData.Fuel_Scope1Scope3EmissionFactorsStationaryLiquid_Data(), Table_Fuel_EFs_StationaryLiquid[[#Headers],[Fuel combusted]],0)</f>
        <v>0.2</v>
      </c>
      <c r="J57" s="125" cm="1">
        <f t="array" ref="J57">Common_InputFunctions.Utility_DisplayArrayInTable(Fuel_SourceData.Fuel_Scope1Scope3EmissionFactorsStationaryLiquid_Data(), Table_Fuel_EFs_StationaryLiquid[[#Headers],[Fuel combusted]],0)</f>
        <v>61.28</v>
      </c>
      <c r="K57" s="125" t="str" cm="1">
        <f t="array" ref="K57">Common_InputFunctions.Utility_DisplayArrayInTable(Fuel_SourceData.Fuel_Scope1Scope3EmissionFactorsStationaryLiquid_Data(), Table_Fuel_EFs_StationaryLiquid[[#Headers],[Fuel combusted]],0)</f>
        <v>NE</v>
      </c>
      <c r="L57" s="99"/>
    </row>
    <row r="58" spans="4:12" ht="20.100000000000001" customHeight="1" x14ac:dyDescent="0.25">
      <c r="D58" s="125"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25" cm="1">
        <f t="array" ref="E58">Common_InputFunctions.Utility_DisplayArrayInTable(Fuel_SourceData.Fuel_Scope1Scope3EmissionFactorsStationaryLiquid_Data(), Table_Fuel_EFs_StationaryLiquid[[#Headers],[Fuel combusted]],0)</f>
        <v>34.200000000000003</v>
      </c>
      <c r="F58" s="125" t="str" cm="1">
        <f t="array" ref="F58">Common_InputFunctions.Utility_DisplayArrayInTable(Fuel_SourceData.Fuel_Scope1Scope3EmissionFactorsStationaryLiquid_Data(), Table_Fuel_EFs_StationaryLiquid[[#Headers],[Fuel combusted]],0)</f>
        <v>kL</v>
      </c>
      <c r="G58" s="125" cm="1">
        <f t="array" ref="G58">Common_InputFunctions.Utility_DisplayArrayInTable(Fuel_SourceData.Fuel_Scope1Scope3EmissionFactorsStationaryLiquid_Data(), Table_Fuel_EFs_StationaryLiquid[[#Headers],[Fuel combusted]],0)</f>
        <v>67.400000000000006</v>
      </c>
      <c r="H58" s="125" cm="1">
        <f t="array" ref="H58">Common_InputFunctions.Utility_DisplayArrayInTable(Fuel_SourceData.Fuel_Scope1Scope3EmissionFactorsStationaryLiquid_Data(), Table_Fuel_EFs_StationaryLiquid[[#Headers],[Fuel combusted]],0)</f>
        <v>0.2</v>
      </c>
      <c r="I58" s="125" cm="1">
        <f t="array" ref="I58">Common_InputFunctions.Utility_DisplayArrayInTable(Fuel_SourceData.Fuel_Scope1Scope3EmissionFactorsStationaryLiquid_Data(), Table_Fuel_EFs_StationaryLiquid[[#Headers],[Fuel combusted]],0)</f>
        <v>0.2</v>
      </c>
      <c r="J58" s="125" cm="1">
        <f t="array" ref="J58">Common_InputFunctions.Utility_DisplayArrayInTable(Fuel_SourceData.Fuel_Scope1Scope3EmissionFactorsStationaryLiquid_Data(), Table_Fuel_EFs_StationaryLiquid[[#Headers],[Fuel combusted]],0)</f>
        <v>67.8</v>
      </c>
      <c r="K58" s="125" cm="1">
        <f t="array" ref="K58">Common_InputFunctions.Utility_DisplayArrayInTable(Fuel_SourceData.Fuel_Scope1Scope3EmissionFactorsStationaryLiquid_Data(), Table_Fuel_EFs_StationaryLiquid[[#Headers],[Fuel combusted]],0)</f>
        <v>17.2</v>
      </c>
      <c r="L58" s="99"/>
    </row>
    <row r="59" spans="4:12" ht="20.100000000000001" customHeight="1" x14ac:dyDescent="0.25">
      <c r="D59" s="125" t="str" cm="1">
        <f t="array" ref="D59">Common_InputFunctions.Utility_DisplayArrayInTable(Fuel_SourceData.Fuel_Scope1Scope3EmissionFactorsStationaryLiquid_Data(), Table_Fuel_EFs_StationaryLiquid[[#Headers],[Fuel combusted]],0)</f>
        <v>Aviation gasoline</v>
      </c>
      <c r="E59" s="125" cm="1">
        <f t="array" ref="E59">Common_InputFunctions.Utility_DisplayArrayInTable(Fuel_SourceData.Fuel_Scope1Scope3EmissionFactorsStationaryLiquid_Data(), Table_Fuel_EFs_StationaryLiquid[[#Headers],[Fuel combusted]],0)</f>
        <v>33.1</v>
      </c>
      <c r="F59" s="125" t="str" cm="1">
        <f t="array" ref="F59">Common_InputFunctions.Utility_DisplayArrayInTable(Fuel_SourceData.Fuel_Scope1Scope3EmissionFactorsStationaryLiquid_Data(), Table_Fuel_EFs_StationaryLiquid[[#Headers],[Fuel combusted]],0)</f>
        <v>kL</v>
      </c>
      <c r="G59" s="125" cm="1">
        <f t="array" ref="G59">Common_InputFunctions.Utility_DisplayArrayInTable(Fuel_SourceData.Fuel_Scope1Scope3EmissionFactorsStationaryLiquid_Data(), Table_Fuel_EFs_StationaryLiquid[[#Headers],[Fuel combusted]],0)</f>
        <v>67</v>
      </c>
      <c r="H59" s="125" cm="1">
        <f t="array" ref="H59">Common_InputFunctions.Utility_DisplayArrayInTable(Fuel_SourceData.Fuel_Scope1Scope3EmissionFactorsStationaryLiquid_Data(), Table_Fuel_EFs_StationaryLiquid[[#Headers],[Fuel combusted]],0)</f>
        <v>0.2</v>
      </c>
      <c r="I59" s="125" cm="1">
        <f t="array" ref="I59">Common_InputFunctions.Utility_DisplayArrayInTable(Fuel_SourceData.Fuel_Scope1Scope3EmissionFactorsStationaryLiquid_Data(), Table_Fuel_EFs_StationaryLiquid[[#Headers],[Fuel combusted]],0)</f>
        <v>0.2</v>
      </c>
      <c r="J59" s="125" cm="1">
        <f t="array" ref="J59">Common_InputFunctions.Utility_DisplayArrayInTable(Fuel_SourceData.Fuel_Scope1Scope3EmissionFactorsStationaryLiquid_Data(), Table_Fuel_EFs_StationaryLiquid[[#Headers],[Fuel combusted]],0)</f>
        <v>67.400000000000006</v>
      </c>
      <c r="K59" s="125" cm="1">
        <f t="array" ref="K59">Common_InputFunctions.Utility_DisplayArrayInTable(Fuel_SourceData.Fuel_Scope1Scope3EmissionFactorsStationaryLiquid_Data(), Table_Fuel_EFs_StationaryLiquid[[#Headers],[Fuel combusted]],0)</f>
        <v>18</v>
      </c>
      <c r="L59" s="99"/>
    </row>
    <row r="60" spans="4:12" ht="20.100000000000001" customHeight="1" x14ac:dyDescent="0.25">
      <c r="D60" s="125" t="str" cm="1">
        <f t="array" ref="D60">Common_InputFunctions.Utility_DisplayArrayInTable(Fuel_SourceData.Fuel_Scope1Scope3EmissionFactorsStationaryLiquid_Data(), Table_Fuel_EFs_StationaryLiquid[[#Headers],[Fuel combusted]],0)</f>
        <v>Kerosene (other than for use as fuel in an aircraft)</v>
      </c>
      <c r="E60" s="125" cm="1">
        <f t="array" ref="E60">Common_InputFunctions.Utility_DisplayArrayInTable(Fuel_SourceData.Fuel_Scope1Scope3EmissionFactorsStationaryLiquid_Data(), Table_Fuel_EFs_StationaryLiquid[[#Headers],[Fuel combusted]],0)</f>
        <v>37.5</v>
      </c>
      <c r="F60" s="125" t="str" cm="1">
        <f t="array" ref="F60">Common_InputFunctions.Utility_DisplayArrayInTable(Fuel_SourceData.Fuel_Scope1Scope3EmissionFactorsStationaryLiquid_Data(), Table_Fuel_EFs_StationaryLiquid[[#Headers],[Fuel combusted]],0)</f>
        <v>kL</v>
      </c>
      <c r="G60" s="125" cm="1">
        <f t="array" ref="G60">Common_InputFunctions.Utility_DisplayArrayInTable(Fuel_SourceData.Fuel_Scope1Scope3EmissionFactorsStationaryLiquid_Data(), Table_Fuel_EFs_StationaryLiquid[[#Headers],[Fuel combusted]],0)</f>
        <v>68.900000000000006</v>
      </c>
      <c r="H60" s="125" cm="1">
        <f t="array" ref="H60">Common_InputFunctions.Utility_DisplayArrayInTable(Fuel_SourceData.Fuel_Scope1Scope3EmissionFactorsStationaryLiquid_Data(), Table_Fuel_EFs_StationaryLiquid[[#Headers],[Fuel combusted]],0)</f>
        <v>0.01</v>
      </c>
      <c r="I60" s="125" cm="1">
        <f t="array" ref="I60">Common_InputFunctions.Utility_DisplayArrayInTable(Fuel_SourceData.Fuel_Scope1Scope3EmissionFactorsStationaryLiquid_Data(), Table_Fuel_EFs_StationaryLiquid[[#Headers],[Fuel combusted]],0)</f>
        <v>0.2</v>
      </c>
      <c r="J60" s="125" cm="1">
        <f t="array" ref="J60">Common_InputFunctions.Utility_DisplayArrayInTable(Fuel_SourceData.Fuel_Scope1Scope3EmissionFactorsStationaryLiquid_Data(), Table_Fuel_EFs_StationaryLiquid[[#Headers],[Fuel combusted]],0)</f>
        <v>69.11</v>
      </c>
      <c r="K60" s="125" cm="1">
        <f t="array" ref="K60">Common_InputFunctions.Utility_DisplayArrayInTable(Fuel_SourceData.Fuel_Scope1Scope3EmissionFactorsStationaryLiquid_Data(), Table_Fuel_EFs_StationaryLiquid[[#Headers],[Fuel combusted]],0)</f>
        <v>18</v>
      </c>
      <c r="L60" s="99"/>
    </row>
    <row r="61" spans="4:12" ht="20.100000000000001" customHeight="1" x14ac:dyDescent="0.25">
      <c r="D61" s="125" t="str" cm="1">
        <f t="array" ref="D61">Common_InputFunctions.Utility_DisplayArrayInTable(Fuel_SourceData.Fuel_Scope1Scope3EmissionFactorsStationaryLiquid_Data(), Table_Fuel_EFs_StationaryLiquid[[#Headers],[Fuel combusted]],0)</f>
        <v>Aviation turbine fuel / kerosene</v>
      </c>
      <c r="E61" s="125" cm="1">
        <f t="array" ref="E61">Common_InputFunctions.Utility_DisplayArrayInTable(Fuel_SourceData.Fuel_Scope1Scope3EmissionFactorsStationaryLiquid_Data(), Table_Fuel_EFs_StationaryLiquid[[#Headers],[Fuel combusted]],0)</f>
        <v>36.799999999999997</v>
      </c>
      <c r="F61" s="125" t="str" cm="1">
        <f t="array" ref="F61">Common_InputFunctions.Utility_DisplayArrayInTable(Fuel_SourceData.Fuel_Scope1Scope3EmissionFactorsStationaryLiquid_Data(), Table_Fuel_EFs_StationaryLiquid[[#Headers],[Fuel combusted]],0)</f>
        <v>kL</v>
      </c>
      <c r="G61" s="125" cm="1">
        <f t="array" ref="G61">Common_InputFunctions.Utility_DisplayArrayInTable(Fuel_SourceData.Fuel_Scope1Scope3EmissionFactorsStationaryLiquid_Data(), Table_Fuel_EFs_StationaryLiquid[[#Headers],[Fuel combusted]],0)</f>
        <v>69.599999999999994</v>
      </c>
      <c r="H61" s="125" cm="1">
        <f t="array" ref="H61">Common_InputFunctions.Utility_DisplayArrayInTable(Fuel_SourceData.Fuel_Scope1Scope3EmissionFactorsStationaryLiquid_Data(), Table_Fuel_EFs_StationaryLiquid[[#Headers],[Fuel combusted]],0)</f>
        <v>0.02</v>
      </c>
      <c r="I61" s="125" cm="1">
        <f t="array" ref="I61">Common_InputFunctions.Utility_DisplayArrayInTable(Fuel_SourceData.Fuel_Scope1Scope3EmissionFactorsStationaryLiquid_Data(), Table_Fuel_EFs_StationaryLiquid[[#Headers],[Fuel combusted]],0)</f>
        <v>0.2</v>
      </c>
      <c r="J61" s="125" cm="1">
        <f t="array" ref="J61">Common_InputFunctions.Utility_DisplayArrayInTable(Fuel_SourceData.Fuel_Scope1Scope3EmissionFactorsStationaryLiquid_Data(), Table_Fuel_EFs_StationaryLiquid[[#Headers],[Fuel combusted]],0)</f>
        <v>69.819999999999993</v>
      </c>
      <c r="K61" s="125" cm="1">
        <f t="array" ref="K61">Common_InputFunctions.Utility_DisplayArrayInTable(Fuel_SourceData.Fuel_Scope1Scope3EmissionFactorsStationaryLiquid_Data(), Table_Fuel_EFs_StationaryLiquid[[#Headers],[Fuel combusted]],0)</f>
        <v>18</v>
      </c>
      <c r="L61" s="99"/>
    </row>
    <row r="62" spans="4:12" ht="20.100000000000001" customHeight="1" x14ac:dyDescent="0.25">
      <c r="D62" s="125" t="str" cm="1">
        <f t="array" ref="D62">Common_InputFunctions.Utility_DisplayArrayInTable(Fuel_SourceData.Fuel_Scope1Scope3EmissionFactorsStationaryLiquid_Data(), Table_Fuel_EFs_StationaryLiquid[[#Headers],[Fuel combusted]],0)</f>
        <v>Heating oil</v>
      </c>
      <c r="E62" s="125" cm="1">
        <f t="array" ref="E62">Common_InputFunctions.Utility_DisplayArrayInTable(Fuel_SourceData.Fuel_Scope1Scope3EmissionFactorsStationaryLiquid_Data(), Table_Fuel_EFs_StationaryLiquid[[#Headers],[Fuel combusted]],0)</f>
        <v>37.299999999999997</v>
      </c>
      <c r="F62" s="125" t="str" cm="1">
        <f t="array" ref="F62">Common_InputFunctions.Utility_DisplayArrayInTable(Fuel_SourceData.Fuel_Scope1Scope3EmissionFactorsStationaryLiquid_Data(), Table_Fuel_EFs_StationaryLiquid[[#Headers],[Fuel combusted]],0)</f>
        <v>kL</v>
      </c>
      <c r="G62" s="125" cm="1">
        <f t="array" ref="G62">Common_InputFunctions.Utility_DisplayArrayInTable(Fuel_SourceData.Fuel_Scope1Scope3EmissionFactorsStationaryLiquid_Data(), Table_Fuel_EFs_StationaryLiquid[[#Headers],[Fuel combusted]],0)</f>
        <v>69.5</v>
      </c>
      <c r="H62" s="125" cm="1">
        <f t="array" ref="H62">Common_InputFunctions.Utility_DisplayArrayInTable(Fuel_SourceData.Fuel_Scope1Scope3EmissionFactorsStationaryLiquid_Data(), Table_Fuel_EFs_StationaryLiquid[[#Headers],[Fuel combusted]],0)</f>
        <v>0.03</v>
      </c>
      <c r="I62" s="125" cm="1">
        <f t="array" ref="I62">Common_InputFunctions.Utility_DisplayArrayInTable(Fuel_SourceData.Fuel_Scope1Scope3EmissionFactorsStationaryLiquid_Data(), Table_Fuel_EFs_StationaryLiquid[[#Headers],[Fuel combusted]],0)</f>
        <v>0.2</v>
      </c>
      <c r="J62" s="125" cm="1">
        <f t="array" ref="J62">Common_InputFunctions.Utility_DisplayArrayInTable(Fuel_SourceData.Fuel_Scope1Scope3EmissionFactorsStationaryLiquid_Data(), Table_Fuel_EFs_StationaryLiquid[[#Headers],[Fuel combusted]],0)</f>
        <v>69.73</v>
      </c>
      <c r="K62" s="125" cm="1">
        <f t="array" ref="K62">Common_InputFunctions.Utility_DisplayArrayInTable(Fuel_SourceData.Fuel_Scope1Scope3EmissionFactorsStationaryLiquid_Data(), Table_Fuel_EFs_StationaryLiquid[[#Headers],[Fuel combusted]],0)</f>
        <v>18</v>
      </c>
      <c r="L62" s="99"/>
    </row>
    <row r="63" spans="4:12" ht="20.100000000000001" customHeight="1" x14ac:dyDescent="0.25">
      <c r="D63" s="125" t="str" cm="1">
        <f t="array" ref="D63">Common_InputFunctions.Utility_DisplayArrayInTable(Fuel_SourceData.Fuel_Scope1Scope3EmissionFactorsStationaryLiquid_Data(), Table_Fuel_EFs_StationaryLiquid[[#Headers],[Fuel combusted]],0)</f>
        <v>Diesel oil</v>
      </c>
      <c r="E63" s="125" cm="1">
        <f t="array" ref="E63">Common_InputFunctions.Utility_DisplayArrayInTable(Fuel_SourceData.Fuel_Scope1Scope3EmissionFactorsStationaryLiquid_Data(), Table_Fuel_EFs_StationaryLiquid[[#Headers],[Fuel combusted]],0)</f>
        <v>38.6</v>
      </c>
      <c r="F63" s="125" t="str" cm="1">
        <f t="array" ref="F63">Common_InputFunctions.Utility_DisplayArrayInTable(Fuel_SourceData.Fuel_Scope1Scope3EmissionFactorsStationaryLiquid_Data(), Table_Fuel_EFs_StationaryLiquid[[#Headers],[Fuel combusted]],0)</f>
        <v>kL</v>
      </c>
      <c r="G63" s="125" cm="1">
        <f t="array" ref="G63">Common_InputFunctions.Utility_DisplayArrayInTable(Fuel_SourceData.Fuel_Scope1Scope3EmissionFactorsStationaryLiquid_Data(), Table_Fuel_EFs_StationaryLiquid[[#Headers],[Fuel combusted]],0)</f>
        <v>69.900000000000006</v>
      </c>
      <c r="H63" s="125" cm="1">
        <f t="array" ref="H63">Common_InputFunctions.Utility_DisplayArrayInTable(Fuel_SourceData.Fuel_Scope1Scope3EmissionFactorsStationaryLiquid_Data(), Table_Fuel_EFs_StationaryLiquid[[#Headers],[Fuel combusted]],0)</f>
        <v>0.1</v>
      </c>
      <c r="I63" s="125" cm="1">
        <f t="array" ref="I63">Common_InputFunctions.Utility_DisplayArrayInTable(Fuel_SourceData.Fuel_Scope1Scope3EmissionFactorsStationaryLiquid_Data(), Table_Fuel_EFs_StationaryLiquid[[#Headers],[Fuel combusted]],0)</f>
        <v>0.2</v>
      </c>
      <c r="J63" s="125" cm="1">
        <f t="array" ref="J63">Common_InputFunctions.Utility_DisplayArrayInTable(Fuel_SourceData.Fuel_Scope1Scope3EmissionFactorsStationaryLiquid_Data(), Table_Fuel_EFs_StationaryLiquid[[#Headers],[Fuel combusted]],0)</f>
        <v>70.2</v>
      </c>
      <c r="K63" s="125" cm="1">
        <f t="array" ref="K63">Common_InputFunctions.Utility_DisplayArrayInTable(Fuel_SourceData.Fuel_Scope1Scope3EmissionFactorsStationaryLiquid_Data(), Table_Fuel_EFs_StationaryLiquid[[#Headers],[Fuel combusted]],0)</f>
        <v>17.3</v>
      </c>
      <c r="L63" s="99"/>
    </row>
    <row r="64" spans="4:12" ht="20.100000000000001" customHeight="1" x14ac:dyDescent="0.25">
      <c r="D64" s="125" t="str" cm="1">
        <f t="array" ref="D64">Common_InputFunctions.Utility_DisplayArrayInTable(Fuel_SourceData.Fuel_Scope1Scope3EmissionFactorsStationaryLiquid_Data(), Table_Fuel_EFs_StationaryLiquid[[#Headers],[Fuel combusted]],0)</f>
        <v>Fuel oil</v>
      </c>
      <c r="E64" s="125" cm="1">
        <f t="array" ref="E64">Common_InputFunctions.Utility_DisplayArrayInTable(Fuel_SourceData.Fuel_Scope1Scope3EmissionFactorsStationaryLiquid_Data(), Table_Fuel_EFs_StationaryLiquid[[#Headers],[Fuel combusted]],0)</f>
        <v>39.700000000000003</v>
      </c>
      <c r="F64" s="125" t="str" cm="1">
        <f t="array" ref="F64">Common_InputFunctions.Utility_DisplayArrayInTable(Fuel_SourceData.Fuel_Scope1Scope3EmissionFactorsStationaryLiquid_Data(), Table_Fuel_EFs_StationaryLiquid[[#Headers],[Fuel combusted]],0)</f>
        <v>kL</v>
      </c>
      <c r="G64" s="125" cm="1">
        <f t="array" ref="G64">Common_InputFunctions.Utility_DisplayArrayInTable(Fuel_SourceData.Fuel_Scope1Scope3EmissionFactorsStationaryLiquid_Data(), Table_Fuel_EFs_StationaryLiquid[[#Headers],[Fuel combusted]],0)</f>
        <v>73.599999999999994</v>
      </c>
      <c r="H64" s="125" cm="1">
        <f t="array" ref="H64">Common_InputFunctions.Utility_DisplayArrayInTable(Fuel_SourceData.Fuel_Scope1Scope3EmissionFactorsStationaryLiquid_Data(), Table_Fuel_EFs_StationaryLiquid[[#Headers],[Fuel combusted]],0)</f>
        <v>0.04</v>
      </c>
      <c r="I64" s="125" cm="1">
        <f t="array" ref="I64">Common_InputFunctions.Utility_DisplayArrayInTable(Fuel_SourceData.Fuel_Scope1Scope3EmissionFactorsStationaryLiquid_Data(), Table_Fuel_EFs_StationaryLiquid[[#Headers],[Fuel combusted]],0)</f>
        <v>0.2</v>
      </c>
      <c r="J64" s="125" cm="1">
        <f t="array" ref="J64">Common_InputFunctions.Utility_DisplayArrayInTable(Fuel_SourceData.Fuel_Scope1Scope3EmissionFactorsStationaryLiquid_Data(), Table_Fuel_EFs_StationaryLiquid[[#Headers],[Fuel combusted]],0)</f>
        <v>73.84</v>
      </c>
      <c r="K64" s="125" cm="1">
        <f t="array" ref="K64">Common_InputFunctions.Utility_DisplayArrayInTable(Fuel_SourceData.Fuel_Scope1Scope3EmissionFactorsStationaryLiquid_Data(), Table_Fuel_EFs_StationaryLiquid[[#Headers],[Fuel combusted]],0)</f>
        <v>18</v>
      </c>
      <c r="L64" s="99"/>
    </row>
    <row r="65" spans="4:13" ht="20.100000000000001" customHeight="1" x14ac:dyDescent="0.25">
      <c r="D65" s="125" t="str" cm="1">
        <f t="array" ref="D65">Common_InputFunctions.Utility_DisplayArrayInTable(Fuel_SourceData.Fuel_Scope1Scope3EmissionFactorsStationaryLiquid_Data(), Table_Fuel_EFs_StationaryLiquid[[#Headers],[Fuel combusted]],0)</f>
        <v>Liquefied aromatic hydrocarbons</v>
      </c>
      <c r="E65" s="125" cm="1">
        <f t="array" ref="E65">Common_InputFunctions.Utility_DisplayArrayInTable(Fuel_SourceData.Fuel_Scope1Scope3EmissionFactorsStationaryLiquid_Data(), Table_Fuel_EFs_StationaryLiquid[[#Headers],[Fuel combusted]],0)</f>
        <v>34.4</v>
      </c>
      <c r="F65" s="125" t="str" cm="1">
        <f t="array" ref="F65">Common_InputFunctions.Utility_DisplayArrayInTable(Fuel_SourceData.Fuel_Scope1Scope3EmissionFactorsStationaryLiquid_Data(), Table_Fuel_EFs_StationaryLiquid[[#Headers],[Fuel combusted]],0)</f>
        <v>kL</v>
      </c>
      <c r="G65" s="125" cm="1">
        <f t="array" ref="G65">Common_InputFunctions.Utility_DisplayArrayInTable(Fuel_SourceData.Fuel_Scope1Scope3EmissionFactorsStationaryLiquid_Data(), Table_Fuel_EFs_StationaryLiquid[[#Headers],[Fuel combusted]],0)</f>
        <v>69.7</v>
      </c>
      <c r="H65" s="125" cm="1">
        <f t="array" ref="H65">Common_InputFunctions.Utility_DisplayArrayInTable(Fuel_SourceData.Fuel_Scope1Scope3EmissionFactorsStationaryLiquid_Data(), Table_Fuel_EFs_StationaryLiquid[[#Headers],[Fuel combusted]],0)</f>
        <v>0.03</v>
      </c>
      <c r="I65" s="125" cm="1">
        <f t="array" ref="I65">Common_InputFunctions.Utility_DisplayArrayInTable(Fuel_SourceData.Fuel_Scope1Scope3EmissionFactorsStationaryLiquid_Data(), Table_Fuel_EFs_StationaryLiquid[[#Headers],[Fuel combusted]],0)</f>
        <v>0.2</v>
      </c>
      <c r="J65" s="125" cm="1">
        <f t="array" ref="J65">Common_InputFunctions.Utility_DisplayArrayInTable(Fuel_SourceData.Fuel_Scope1Scope3EmissionFactorsStationaryLiquid_Data(), Table_Fuel_EFs_StationaryLiquid[[#Headers],[Fuel combusted]],0)</f>
        <v>69.930000000000007</v>
      </c>
      <c r="K65" s="125" cm="1">
        <f t="array" ref="K65">Common_InputFunctions.Utility_DisplayArrayInTable(Fuel_SourceData.Fuel_Scope1Scope3EmissionFactorsStationaryLiquid_Data(), Table_Fuel_EFs_StationaryLiquid[[#Headers],[Fuel combusted]],0)</f>
        <v>18</v>
      </c>
      <c r="L65" s="99"/>
    </row>
    <row r="66" spans="4:13" ht="20.100000000000001" customHeight="1" x14ac:dyDescent="0.25">
      <c r="D66" s="125" t="str" cm="1">
        <f t="array" ref="D66">Common_InputFunctions.Utility_DisplayArrayInTable(Fuel_SourceData.Fuel_Scope1Scope3EmissionFactorsStationaryLiquid_Data(), Table_Fuel_EFs_StationaryLiquid[[#Headers],[Fuel combusted]],0)</f>
        <v>Solvents: mineral turpentine or white spirits</v>
      </c>
      <c r="E66" s="125" cm="1">
        <f t="array" ref="E66">Common_InputFunctions.Utility_DisplayArrayInTable(Fuel_SourceData.Fuel_Scope1Scope3EmissionFactorsStationaryLiquid_Data(), Table_Fuel_EFs_StationaryLiquid[[#Headers],[Fuel combusted]],0)</f>
        <v>34.4</v>
      </c>
      <c r="F66" s="125" t="str" cm="1">
        <f t="array" ref="F66">Common_InputFunctions.Utility_DisplayArrayInTable(Fuel_SourceData.Fuel_Scope1Scope3EmissionFactorsStationaryLiquid_Data(), Table_Fuel_EFs_StationaryLiquid[[#Headers],[Fuel combusted]],0)</f>
        <v>kL</v>
      </c>
      <c r="G66" s="125" cm="1">
        <f t="array" ref="G66">Common_InputFunctions.Utility_DisplayArrayInTable(Fuel_SourceData.Fuel_Scope1Scope3EmissionFactorsStationaryLiquid_Data(), Table_Fuel_EFs_StationaryLiquid[[#Headers],[Fuel combusted]],0)</f>
        <v>69.7</v>
      </c>
      <c r="H66" s="125" cm="1">
        <f t="array" ref="H66">Common_InputFunctions.Utility_DisplayArrayInTable(Fuel_SourceData.Fuel_Scope1Scope3EmissionFactorsStationaryLiquid_Data(), Table_Fuel_EFs_StationaryLiquid[[#Headers],[Fuel combusted]],0)</f>
        <v>0.03</v>
      </c>
      <c r="I66" s="125" cm="1">
        <f t="array" ref="I66">Common_InputFunctions.Utility_DisplayArrayInTable(Fuel_SourceData.Fuel_Scope1Scope3EmissionFactorsStationaryLiquid_Data(), Table_Fuel_EFs_StationaryLiquid[[#Headers],[Fuel combusted]],0)</f>
        <v>0.2</v>
      </c>
      <c r="J66" s="125" cm="1">
        <f t="array" ref="J66">Common_InputFunctions.Utility_DisplayArrayInTable(Fuel_SourceData.Fuel_Scope1Scope3EmissionFactorsStationaryLiquid_Data(), Table_Fuel_EFs_StationaryLiquid[[#Headers],[Fuel combusted]],0)</f>
        <v>69.930000000000007</v>
      </c>
      <c r="K66" s="125" cm="1">
        <f t="array" ref="K66">Common_InputFunctions.Utility_DisplayArrayInTable(Fuel_SourceData.Fuel_Scope1Scope3EmissionFactorsStationaryLiquid_Data(), Table_Fuel_EFs_StationaryLiquid[[#Headers],[Fuel combusted]],0)</f>
        <v>18</v>
      </c>
      <c r="L66" s="99"/>
    </row>
    <row r="67" spans="4:13" ht="20.100000000000001" customHeight="1" x14ac:dyDescent="0.25">
      <c r="D67" s="125" t="str" cm="1">
        <f t="array" ref="D67">Common_InputFunctions.Utility_DisplayArrayInTable(Fuel_SourceData.Fuel_Scope1Scope3EmissionFactorsStationaryLiquid_Data(), Table_Fuel_EFs_StationaryLiquid[[#Headers],[Fuel combusted]],0)</f>
        <v>Liquefied petroleum gas (LPG)</v>
      </c>
      <c r="E67" s="125" cm="1">
        <f t="array" ref="E67">Common_InputFunctions.Utility_DisplayArrayInTable(Fuel_SourceData.Fuel_Scope1Scope3EmissionFactorsStationaryLiquid_Data(), Table_Fuel_EFs_StationaryLiquid[[#Headers],[Fuel combusted]],0)</f>
        <v>25.7</v>
      </c>
      <c r="F67" s="125" t="str" cm="1">
        <f t="array" ref="F67">Common_InputFunctions.Utility_DisplayArrayInTable(Fuel_SourceData.Fuel_Scope1Scope3EmissionFactorsStationaryLiquid_Data(), Table_Fuel_EFs_StationaryLiquid[[#Headers],[Fuel combusted]],0)</f>
        <v>kL</v>
      </c>
      <c r="G67" s="125" cm="1">
        <f t="array" ref="G67">Common_InputFunctions.Utility_DisplayArrayInTable(Fuel_SourceData.Fuel_Scope1Scope3EmissionFactorsStationaryLiquid_Data(), Table_Fuel_EFs_StationaryLiquid[[#Headers],[Fuel combusted]],0)</f>
        <v>60.2</v>
      </c>
      <c r="H67" s="125" cm="1">
        <f t="array" ref="H67">Common_InputFunctions.Utility_DisplayArrayInTable(Fuel_SourceData.Fuel_Scope1Scope3EmissionFactorsStationaryLiquid_Data(), Table_Fuel_EFs_StationaryLiquid[[#Headers],[Fuel combusted]],0)</f>
        <v>0.2</v>
      </c>
      <c r="I67" s="125" cm="1">
        <f t="array" ref="I67">Common_InputFunctions.Utility_DisplayArrayInTable(Fuel_SourceData.Fuel_Scope1Scope3EmissionFactorsStationaryLiquid_Data(), Table_Fuel_EFs_StationaryLiquid[[#Headers],[Fuel combusted]],0)</f>
        <v>0.2</v>
      </c>
      <c r="J67" s="125" cm="1">
        <f t="array" ref="J67">Common_InputFunctions.Utility_DisplayArrayInTable(Fuel_SourceData.Fuel_Scope1Scope3EmissionFactorsStationaryLiquid_Data(), Table_Fuel_EFs_StationaryLiquid[[#Headers],[Fuel combusted]],0)</f>
        <v>60.6</v>
      </c>
      <c r="K67" s="125" cm="1">
        <f t="array" ref="K67">Common_InputFunctions.Utility_DisplayArrayInTable(Fuel_SourceData.Fuel_Scope1Scope3EmissionFactorsStationaryLiquid_Data(), Table_Fuel_EFs_StationaryLiquid[[#Headers],[Fuel combusted]],0)</f>
        <v>20.2</v>
      </c>
      <c r="L67" s="99"/>
    </row>
    <row r="68" spans="4:13" ht="20.100000000000001" customHeight="1" x14ac:dyDescent="0.25">
      <c r="D68" s="125" t="str" cm="1">
        <f t="array" ref="D68">Common_InputFunctions.Utility_DisplayArrayInTable(Fuel_SourceData.Fuel_Scope1Scope3EmissionFactorsStationaryLiquid_Data(), Table_Fuel_EFs_StationaryLiquid[[#Headers],[Fuel combusted]],0)</f>
        <v>Naphtha</v>
      </c>
      <c r="E68" s="125" cm="1">
        <f t="array" ref="E68">Common_InputFunctions.Utility_DisplayArrayInTable(Fuel_SourceData.Fuel_Scope1Scope3EmissionFactorsStationaryLiquid_Data(), Table_Fuel_EFs_StationaryLiquid[[#Headers],[Fuel combusted]],0)</f>
        <v>31.4</v>
      </c>
      <c r="F68" s="125" t="str" cm="1">
        <f t="array" ref="F68">Common_InputFunctions.Utility_DisplayArrayInTable(Fuel_SourceData.Fuel_Scope1Scope3EmissionFactorsStationaryLiquid_Data(), Table_Fuel_EFs_StationaryLiquid[[#Headers],[Fuel combusted]],0)</f>
        <v>kL</v>
      </c>
      <c r="G68" s="125" cm="1">
        <f t="array" ref="G68">Common_InputFunctions.Utility_DisplayArrayInTable(Fuel_SourceData.Fuel_Scope1Scope3EmissionFactorsStationaryLiquid_Data(), Table_Fuel_EFs_StationaryLiquid[[#Headers],[Fuel combusted]],0)</f>
        <v>69.8</v>
      </c>
      <c r="H68" s="125" cm="1">
        <f t="array" ref="H68">Common_InputFunctions.Utility_DisplayArrayInTable(Fuel_SourceData.Fuel_Scope1Scope3EmissionFactorsStationaryLiquid_Data(), Table_Fuel_EFs_StationaryLiquid[[#Headers],[Fuel combusted]],0)</f>
        <v>0.01</v>
      </c>
      <c r="I68" s="125" cm="1">
        <f t="array" ref="I68">Common_InputFunctions.Utility_DisplayArrayInTable(Fuel_SourceData.Fuel_Scope1Scope3EmissionFactorsStationaryLiquid_Data(), Table_Fuel_EFs_StationaryLiquid[[#Headers],[Fuel combusted]],0)</f>
        <v>0.01</v>
      </c>
      <c r="J68" s="125" cm="1">
        <f t="array" ref="J68">Common_InputFunctions.Utility_DisplayArrayInTable(Fuel_SourceData.Fuel_Scope1Scope3EmissionFactorsStationaryLiquid_Data(), Table_Fuel_EFs_StationaryLiquid[[#Headers],[Fuel combusted]],0)</f>
        <v>69.819999999999993</v>
      </c>
      <c r="K68" s="125" cm="1">
        <f t="array" ref="K68">Common_InputFunctions.Utility_DisplayArrayInTable(Fuel_SourceData.Fuel_Scope1Scope3EmissionFactorsStationaryLiquid_Data(), Table_Fuel_EFs_StationaryLiquid[[#Headers],[Fuel combusted]],0)</f>
        <v>18</v>
      </c>
      <c r="L68" s="99"/>
    </row>
    <row r="69" spans="4:13" ht="20.100000000000001" customHeight="1" x14ac:dyDescent="0.25">
      <c r="D69" s="125" t="str" cm="1">
        <f t="array" ref="D69">Common_InputFunctions.Utility_DisplayArrayInTable(Fuel_SourceData.Fuel_Scope1Scope3EmissionFactorsStationaryLiquid_Data(), Table_Fuel_EFs_StationaryLiquid[[#Headers],[Fuel combusted]],0)</f>
        <v>Petroleum coke</v>
      </c>
      <c r="E69" s="125" cm="1">
        <f t="array" ref="E69">Common_InputFunctions.Utility_DisplayArrayInTable(Fuel_SourceData.Fuel_Scope1Scope3EmissionFactorsStationaryLiquid_Data(), Table_Fuel_EFs_StationaryLiquid[[#Headers],[Fuel combusted]],0)</f>
        <v>34.200000000000003</v>
      </c>
      <c r="F69" s="125" t="str" cm="1">
        <f t="array" ref="F69">Common_InputFunctions.Utility_DisplayArrayInTable(Fuel_SourceData.Fuel_Scope1Scope3EmissionFactorsStationaryLiquid_Data(), Table_Fuel_EFs_StationaryLiquid[[#Headers],[Fuel combusted]],0)</f>
        <v>t</v>
      </c>
      <c r="G69" s="125" cm="1">
        <f t="array" ref="G69">Common_InputFunctions.Utility_DisplayArrayInTable(Fuel_SourceData.Fuel_Scope1Scope3EmissionFactorsStationaryLiquid_Data(), Table_Fuel_EFs_StationaryLiquid[[#Headers],[Fuel combusted]],0)</f>
        <v>92.6</v>
      </c>
      <c r="H69" s="125" cm="1">
        <f t="array" ref="H69">Common_InputFunctions.Utility_DisplayArrayInTable(Fuel_SourceData.Fuel_Scope1Scope3EmissionFactorsStationaryLiquid_Data(), Table_Fuel_EFs_StationaryLiquid[[#Headers],[Fuel combusted]],0)</f>
        <v>0.08</v>
      </c>
      <c r="I69" s="125" cm="1">
        <f t="array" ref="I69">Common_InputFunctions.Utility_DisplayArrayInTable(Fuel_SourceData.Fuel_Scope1Scope3EmissionFactorsStationaryLiquid_Data(), Table_Fuel_EFs_StationaryLiquid[[#Headers],[Fuel combusted]],0)</f>
        <v>0.2</v>
      </c>
      <c r="J69" s="125" cm="1">
        <f t="array" ref="J69">Common_InputFunctions.Utility_DisplayArrayInTable(Fuel_SourceData.Fuel_Scope1Scope3EmissionFactorsStationaryLiquid_Data(), Table_Fuel_EFs_StationaryLiquid[[#Headers],[Fuel combusted]],0)</f>
        <v>92.88</v>
      </c>
      <c r="K69" s="125" cm="1">
        <f t="array" ref="K69">Common_InputFunctions.Utility_DisplayArrayInTable(Fuel_SourceData.Fuel_Scope1Scope3EmissionFactorsStationaryLiquid_Data(), Table_Fuel_EFs_StationaryLiquid[[#Headers],[Fuel combusted]],0)</f>
        <v>18</v>
      </c>
      <c r="L69" s="99"/>
    </row>
    <row r="70" spans="4:13" ht="20.100000000000001" customHeight="1" x14ac:dyDescent="0.25">
      <c r="D70" s="125" t="str" cm="1">
        <f t="array" ref="D70">Common_InputFunctions.Utility_DisplayArrayInTable(Fuel_SourceData.Fuel_Scope1Scope3EmissionFactorsStationaryLiquid_Data(), Table_Fuel_EFs_StationaryLiquid[[#Headers],[Fuel combusted]],0)</f>
        <v>Refinery gas and liquids</v>
      </c>
      <c r="E70" s="125" cm="1">
        <f t="array" ref="E70">Common_InputFunctions.Utility_DisplayArrayInTable(Fuel_SourceData.Fuel_Scope1Scope3EmissionFactorsStationaryLiquid_Data(), Table_Fuel_EFs_StationaryLiquid[[#Headers],[Fuel combusted]],0)</f>
        <v>42.9</v>
      </c>
      <c r="F70" s="125" t="str" cm="1">
        <f t="array" ref="F70">Common_InputFunctions.Utility_DisplayArrayInTable(Fuel_SourceData.Fuel_Scope1Scope3EmissionFactorsStationaryLiquid_Data(), Table_Fuel_EFs_StationaryLiquid[[#Headers],[Fuel combusted]],0)</f>
        <v>t</v>
      </c>
      <c r="G70" s="125" cm="1">
        <f t="array" ref="G70">Common_InputFunctions.Utility_DisplayArrayInTable(Fuel_SourceData.Fuel_Scope1Scope3EmissionFactorsStationaryLiquid_Data(), Table_Fuel_EFs_StationaryLiquid[[#Headers],[Fuel combusted]],0)</f>
        <v>54.7</v>
      </c>
      <c r="H70" s="125" cm="1">
        <f t="array" ref="H70">Common_InputFunctions.Utility_DisplayArrayInTable(Fuel_SourceData.Fuel_Scope1Scope3EmissionFactorsStationaryLiquid_Data(), Table_Fuel_EFs_StationaryLiquid[[#Headers],[Fuel combusted]],0)</f>
        <v>0.03</v>
      </c>
      <c r="I70" s="125" cm="1">
        <f t="array" ref="I70">Common_InputFunctions.Utility_DisplayArrayInTable(Fuel_SourceData.Fuel_Scope1Scope3EmissionFactorsStationaryLiquid_Data(), Table_Fuel_EFs_StationaryLiquid[[#Headers],[Fuel combusted]],0)</f>
        <v>0.03</v>
      </c>
      <c r="J70" s="125" cm="1">
        <f t="array" ref="J70">Common_InputFunctions.Utility_DisplayArrayInTable(Fuel_SourceData.Fuel_Scope1Scope3EmissionFactorsStationaryLiquid_Data(), Table_Fuel_EFs_StationaryLiquid[[#Headers],[Fuel combusted]],0)</f>
        <v>54.76</v>
      </c>
      <c r="K70" s="125" cm="1">
        <f t="array" ref="K70">Common_InputFunctions.Utility_DisplayArrayInTable(Fuel_SourceData.Fuel_Scope1Scope3EmissionFactorsStationaryLiquid_Data(), Table_Fuel_EFs_StationaryLiquid[[#Headers],[Fuel combusted]],0)</f>
        <v>18</v>
      </c>
      <c r="L70" s="99"/>
    </row>
    <row r="71" spans="4:13" ht="20.100000000000001" customHeight="1" x14ac:dyDescent="0.25">
      <c r="D71" s="125" t="str" cm="1">
        <f t="array" ref="D71">Common_InputFunctions.Utility_DisplayArrayInTable(Fuel_SourceData.Fuel_Scope1Scope3EmissionFactorsStationaryLiquid_Data(), Table_Fuel_EFs_StationaryLiquid[[#Headers],[Fuel combusted]],0)</f>
        <v>Refinery coke</v>
      </c>
      <c r="E71" s="125" cm="1">
        <f t="array" ref="E71">Common_InputFunctions.Utility_DisplayArrayInTable(Fuel_SourceData.Fuel_Scope1Scope3EmissionFactorsStationaryLiquid_Data(), Table_Fuel_EFs_StationaryLiquid[[#Headers],[Fuel combusted]],0)</f>
        <v>34.200000000000003</v>
      </c>
      <c r="F71" s="125" t="str" cm="1">
        <f t="array" ref="F71">Common_InputFunctions.Utility_DisplayArrayInTable(Fuel_SourceData.Fuel_Scope1Scope3EmissionFactorsStationaryLiquid_Data(), Table_Fuel_EFs_StationaryLiquid[[#Headers],[Fuel combusted]],0)</f>
        <v>t</v>
      </c>
      <c r="G71" s="125" cm="1">
        <f t="array" ref="G71">Common_InputFunctions.Utility_DisplayArrayInTable(Fuel_SourceData.Fuel_Scope1Scope3EmissionFactorsStationaryLiquid_Data(), Table_Fuel_EFs_StationaryLiquid[[#Headers],[Fuel combusted]],0)</f>
        <v>92.6</v>
      </c>
      <c r="H71" s="125" cm="1">
        <f t="array" ref="H71">Common_InputFunctions.Utility_DisplayArrayInTable(Fuel_SourceData.Fuel_Scope1Scope3EmissionFactorsStationaryLiquid_Data(), Table_Fuel_EFs_StationaryLiquid[[#Headers],[Fuel combusted]],0)</f>
        <v>0.08</v>
      </c>
      <c r="I71" s="125" cm="1">
        <f t="array" ref="I71">Common_InputFunctions.Utility_DisplayArrayInTable(Fuel_SourceData.Fuel_Scope1Scope3EmissionFactorsStationaryLiquid_Data(), Table_Fuel_EFs_StationaryLiquid[[#Headers],[Fuel combusted]],0)</f>
        <v>0.2</v>
      </c>
      <c r="J71" s="125" cm="1">
        <f t="array" ref="J71">Common_InputFunctions.Utility_DisplayArrayInTable(Fuel_SourceData.Fuel_Scope1Scope3EmissionFactorsStationaryLiquid_Data(), Table_Fuel_EFs_StationaryLiquid[[#Headers],[Fuel combusted]],0)</f>
        <v>92.88</v>
      </c>
      <c r="K71" s="125" cm="1">
        <f t="array" ref="K71">Common_InputFunctions.Utility_DisplayArrayInTable(Fuel_SourceData.Fuel_Scope1Scope3EmissionFactorsStationaryLiquid_Data(), Table_Fuel_EFs_StationaryLiquid[[#Headers],[Fuel combusted]],0)</f>
        <v>18</v>
      </c>
      <c r="L71" s="99"/>
    </row>
    <row r="72" spans="4:13" ht="20.100000000000001" customHeight="1" x14ac:dyDescent="0.25">
      <c r="D72" s="125" t="str" cm="1">
        <f t="array" ref="D72">Common_InputFunctions.Utility_DisplayArrayInTable(Fuel_SourceData.Fuel_Scope1Scope3EmissionFactorsStationaryLiquid_Data(), Table_Fuel_EFs_StationaryLiquid[[#Headers],[Fuel combusted]],0)</f>
        <v>Petroleum based products other than mentioned in the items above</v>
      </c>
      <c r="E72" s="125" cm="1">
        <f t="array" ref="E72">Common_InputFunctions.Utility_DisplayArrayInTable(Fuel_SourceData.Fuel_Scope1Scope3EmissionFactorsStationaryLiquid_Data(), Table_Fuel_EFs_StationaryLiquid[[#Headers],[Fuel combusted]],0)</f>
        <v>34.4</v>
      </c>
      <c r="F72" s="125" t="str" cm="1">
        <f t="array" ref="F72">Common_InputFunctions.Utility_DisplayArrayInTable(Fuel_SourceData.Fuel_Scope1Scope3EmissionFactorsStationaryLiquid_Data(), Table_Fuel_EFs_StationaryLiquid[[#Headers],[Fuel combusted]],0)</f>
        <v>kL</v>
      </c>
      <c r="G72" s="125" cm="1">
        <f t="array" ref="G72">Common_InputFunctions.Utility_DisplayArrayInTable(Fuel_SourceData.Fuel_Scope1Scope3EmissionFactorsStationaryLiquid_Data(), Table_Fuel_EFs_StationaryLiquid[[#Headers],[Fuel combusted]],0)</f>
        <v>69.8</v>
      </c>
      <c r="H72" s="125" cm="1">
        <f t="array" ref="H72">Common_InputFunctions.Utility_DisplayArrayInTable(Fuel_SourceData.Fuel_Scope1Scope3EmissionFactorsStationaryLiquid_Data(), Table_Fuel_EFs_StationaryLiquid[[#Headers],[Fuel combusted]],0)</f>
        <v>0.02</v>
      </c>
      <c r="I72" s="125" cm="1">
        <f t="array" ref="I72">Common_InputFunctions.Utility_DisplayArrayInTable(Fuel_SourceData.Fuel_Scope1Scope3EmissionFactorsStationaryLiquid_Data(), Table_Fuel_EFs_StationaryLiquid[[#Headers],[Fuel combusted]],0)</f>
        <v>0.1</v>
      </c>
      <c r="J72" s="125" cm="1">
        <f t="array" ref="J72">Common_InputFunctions.Utility_DisplayArrayInTable(Fuel_SourceData.Fuel_Scope1Scope3EmissionFactorsStationaryLiquid_Data(), Table_Fuel_EFs_StationaryLiquid[[#Headers],[Fuel combusted]],0)</f>
        <v>69.92</v>
      </c>
      <c r="K72" s="125" cm="1">
        <f t="array" ref="K72">Common_InputFunctions.Utility_DisplayArrayInTable(Fuel_SourceData.Fuel_Scope1Scope3EmissionFactorsStationaryLiquid_Data(), Table_Fuel_EFs_StationaryLiquid[[#Headers],[Fuel combusted]],0)</f>
        <v>18</v>
      </c>
      <c r="L72" s="99"/>
    </row>
    <row r="73" spans="4:13" ht="20.100000000000001" customHeight="1" x14ac:dyDescent="0.25">
      <c r="D73" s="125" t="str" cm="1">
        <f t="array" ref="D73">Common_InputFunctions.Utility_DisplayArrayInTable(Fuel_SourceData.Fuel_Scope1Scope3EmissionFactorsStationaryLiquid_Data(), Table_Fuel_EFs_StationaryLiquid[[#Headers],[Fuel combusted]],0)</f>
        <v>Biodiesel</v>
      </c>
      <c r="E73" s="125" cm="1">
        <f t="array" ref="E73">Common_InputFunctions.Utility_DisplayArrayInTable(Fuel_SourceData.Fuel_Scope1Scope3EmissionFactorsStationaryLiquid_Data(), Table_Fuel_EFs_StationaryLiquid[[#Headers],[Fuel combusted]],0)</f>
        <v>34.6</v>
      </c>
      <c r="F73" s="125" t="str" cm="1">
        <f t="array" ref="F73">Common_InputFunctions.Utility_DisplayArrayInTable(Fuel_SourceData.Fuel_Scope1Scope3EmissionFactorsStationaryLiquid_Data(), Table_Fuel_EFs_StationaryLiquid[[#Headers],[Fuel combusted]],0)</f>
        <v>kL</v>
      </c>
      <c r="G73" s="125" cm="1">
        <f t="array" ref="G73">Common_InputFunctions.Utility_DisplayArrayInTable(Fuel_SourceData.Fuel_Scope1Scope3EmissionFactorsStationaryLiquid_Data(), Table_Fuel_EFs_StationaryLiquid[[#Headers],[Fuel combusted]],0)</f>
        <v>0</v>
      </c>
      <c r="H73" s="125" cm="1">
        <f t="array" ref="H73">Common_InputFunctions.Utility_DisplayArrayInTable(Fuel_SourceData.Fuel_Scope1Scope3EmissionFactorsStationaryLiquid_Data(), Table_Fuel_EFs_StationaryLiquid[[#Headers],[Fuel combusted]],0)</f>
        <v>0.08</v>
      </c>
      <c r="I73" s="125" cm="1">
        <f t="array" ref="I73">Common_InputFunctions.Utility_DisplayArrayInTable(Fuel_SourceData.Fuel_Scope1Scope3EmissionFactorsStationaryLiquid_Data(), Table_Fuel_EFs_StationaryLiquid[[#Headers],[Fuel combusted]],0)</f>
        <v>0.2</v>
      </c>
      <c r="J73" s="125" cm="1">
        <f t="array" ref="J73">Common_InputFunctions.Utility_DisplayArrayInTable(Fuel_SourceData.Fuel_Scope1Scope3EmissionFactorsStationaryLiquid_Data(), Table_Fuel_EFs_StationaryLiquid[[#Headers],[Fuel combusted]],0)</f>
        <v>0.28000000000000003</v>
      </c>
      <c r="K73" s="125" t="str" cm="1">
        <f t="array" ref="K73">Common_InputFunctions.Utility_DisplayArrayInTable(Fuel_SourceData.Fuel_Scope1Scope3EmissionFactorsStationaryLiquid_Data(), Table_Fuel_EFs_StationaryLiquid[[#Headers],[Fuel combusted]],0)</f>
        <v>NE</v>
      </c>
      <c r="L73" s="99"/>
    </row>
    <row r="74" spans="4:13" ht="20.100000000000001" customHeight="1" x14ac:dyDescent="0.25">
      <c r="D74" s="125" t="str" cm="1">
        <f t="array" ref="D74">Common_InputFunctions.Utility_DisplayArrayInTable(Fuel_SourceData.Fuel_Scope1Scope3EmissionFactorsStationaryLiquid_Data(), Table_Fuel_EFs_StationaryLiquid[[#Headers],[Fuel combusted]],0)</f>
        <v>Ethanol for use as a fuel in an internal combustion engine</v>
      </c>
      <c r="E74" s="125" cm="1">
        <f t="array" ref="E74">Common_InputFunctions.Utility_DisplayArrayInTable(Fuel_SourceData.Fuel_Scope1Scope3EmissionFactorsStationaryLiquid_Data(), Table_Fuel_EFs_StationaryLiquid[[#Headers],[Fuel combusted]],0)</f>
        <v>23.4</v>
      </c>
      <c r="F74" s="125" t="str" cm="1">
        <f t="array" ref="F74">Common_InputFunctions.Utility_DisplayArrayInTable(Fuel_SourceData.Fuel_Scope1Scope3EmissionFactorsStationaryLiquid_Data(), Table_Fuel_EFs_StationaryLiquid[[#Headers],[Fuel combusted]],0)</f>
        <v>kL</v>
      </c>
      <c r="G74" s="125" cm="1">
        <f t="array" ref="G74">Common_InputFunctions.Utility_DisplayArrayInTable(Fuel_SourceData.Fuel_Scope1Scope3EmissionFactorsStationaryLiquid_Data(), Table_Fuel_EFs_StationaryLiquid[[#Headers],[Fuel combusted]],0)</f>
        <v>0</v>
      </c>
      <c r="H74" s="125" cm="1">
        <f t="array" ref="H74">Common_InputFunctions.Utility_DisplayArrayInTable(Fuel_SourceData.Fuel_Scope1Scope3EmissionFactorsStationaryLiquid_Data(), Table_Fuel_EFs_StationaryLiquid[[#Headers],[Fuel combusted]],0)</f>
        <v>0.08</v>
      </c>
      <c r="I74" s="125" cm="1">
        <f t="array" ref="I74">Common_InputFunctions.Utility_DisplayArrayInTable(Fuel_SourceData.Fuel_Scope1Scope3EmissionFactorsStationaryLiquid_Data(), Table_Fuel_EFs_StationaryLiquid[[#Headers],[Fuel combusted]],0)</f>
        <v>0.2</v>
      </c>
      <c r="J74" s="125" cm="1">
        <f t="array" ref="J74">Common_InputFunctions.Utility_DisplayArrayInTable(Fuel_SourceData.Fuel_Scope1Scope3EmissionFactorsStationaryLiquid_Data(), Table_Fuel_EFs_StationaryLiquid[[#Headers],[Fuel combusted]],0)</f>
        <v>0.28000000000000003</v>
      </c>
      <c r="K74" s="125" t="str" cm="1">
        <f t="array" ref="K74">Common_InputFunctions.Utility_DisplayArrayInTable(Fuel_SourceData.Fuel_Scope1Scope3EmissionFactorsStationaryLiquid_Data(), Table_Fuel_EFs_StationaryLiquid[[#Headers],[Fuel combusted]],0)</f>
        <v>NE</v>
      </c>
      <c r="L74" s="99"/>
    </row>
    <row r="75" spans="4:13" ht="20.100000000000001" customHeight="1" x14ac:dyDescent="0.25">
      <c r="D75" s="125" t="str" cm="1">
        <f t="array" ref="D75">Common_InputFunctions.Utility_DisplayArrayInTable(Fuel_SourceData.Fuel_Scope1Scope3EmissionFactorsStationaryLiquid_Data(), Table_Fuel_EFs_StationaryLiquid[[#Headers],[Fuel combusted]],0)</f>
        <v>Biofuels other than those mentioned in the items above and below</v>
      </c>
      <c r="E75" s="125" cm="1">
        <f t="array" ref="E75">Common_InputFunctions.Utility_DisplayArrayInTable(Fuel_SourceData.Fuel_Scope1Scope3EmissionFactorsStationaryLiquid_Data(), Table_Fuel_EFs_StationaryLiquid[[#Headers],[Fuel combusted]],0)</f>
        <v>23.4</v>
      </c>
      <c r="F75" s="125" t="str" cm="1">
        <f t="array" ref="F75">Common_InputFunctions.Utility_DisplayArrayInTable(Fuel_SourceData.Fuel_Scope1Scope3EmissionFactorsStationaryLiquid_Data(), Table_Fuel_EFs_StationaryLiquid[[#Headers],[Fuel combusted]],0)</f>
        <v>kL</v>
      </c>
      <c r="G75" s="125" cm="1">
        <f t="array" ref="G75">Common_InputFunctions.Utility_DisplayArrayInTable(Fuel_SourceData.Fuel_Scope1Scope3EmissionFactorsStationaryLiquid_Data(), Table_Fuel_EFs_StationaryLiquid[[#Headers],[Fuel combusted]],0)</f>
        <v>0</v>
      </c>
      <c r="H75" s="125" cm="1">
        <f t="array" ref="H75">Common_InputFunctions.Utility_DisplayArrayInTable(Fuel_SourceData.Fuel_Scope1Scope3EmissionFactorsStationaryLiquid_Data(), Table_Fuel_EFs_StationaryLiquid[[#Headers],[Fuel combusted]],0)</f>
        <v>0.08</v>
      </c>
      <c r="I75" s="125" cm="1">
        <f t="array" ref="I75">Common_InputFunctions.Utility_DisplayArrayInTable(Fuel_SourceData.Fuel_Scope1Scope3EmissionFactorsStationaryLiquid_Data(), Table_Fuel_EFs_StationaryLiquid[[#Headers],[Fuel combusted]],0)</f>
        <v>0.2</v>
      </c>
      <c r="J75" s="125" cm="1">
        <f t="array" ref="J75">Common_InputFunctions.Utility_DisplayArrayInTable(Fuel_SourceData.Fuel_Scope1Scope3EmissionFactorsStationaryLiquid_Data(), Table_Fuel_EFs_StationaryLiquid[[#Headers],[Fuel combusted]],0)</f>
        <v>0.28000000000000003</v>
      </c>
      <c r="K75" s="125" t="str" cm="1">
        <f t="array" ref="K75">Common_InputFunctions.Utility_DisplayArrayInTable(Fuel_SourceData.Fuel_Scope1Scope3EmissionFactorsStationaryLiquid_Data(), Table_Fuel_EFs_StationaryLiquid[[#Headers],[Fuel combusted]],0)</f>
        <v>NE</v>
      </c>
      <c r="L75" s="99"/>
    </row>
    <row r="76" spans="4:13" ht="20.100000000000001" customHeight="1" x14ac:dyDescent="0.25">
      <c r="D76" s="125" t="str" cm="1">
        <f t="array" ref="D76">Common_InputFunctions.Utility_DisplayArrayInTable(Fuel_SourceData.Fuel_Scope1Scope3EmissionFactorsStationaryLiquid_Data(), Table_Fuel_EFs_StationaryLiquid[[#Headers],[Fuel combusted]],0)</f>
        <v>Renewable aviation kerosene</v>
      </c>
      <c r="E76" s="125" cm="1">
        <f t="array" ref="E76">Common_InputFunctions.Utility_DisplayArrayInTable(Fuel_SourceData.Fuel_Scope1Scope3EmissionFactorsStationaryLiquid_Data(), Table_Fuel_EFs_StationaryLiquid[[#Headers],[Fuel combusted]],0)</f>
        <v>36.799999999999997</v>
      </c>
      <c r="F76" s="125" t="str" cm="1">
        <f t="array" ref="F76">Common_InputFunctions.Utility_DisplayArrayInTable(Fuel_SourceData.Fuel_Scope1Scope3EmissionFactorsStationaryLiquid_Data(), Table_Fuel_EFs_StationaryLiquid[[#Headers],[Fuel combusted]],0)</f>
        <v>kL</v>
      </c>
      <c r="G76" s="125" cm="1">
        <f t="array" ref="G76">Common_InputFunctions.Utility_DisplayArrayInTable(Fuel_SourceData.Fuel_Scope1Scope3EmissionFactorsStationaryLiquid_Data(), Table_Fuel_EFs_StationaryLiquid[[#Headers],[Fuel combusted]],0)</f>
        <v>0</v>
      </c>
      <c r="H76" s="125" cm="1">
        <f t="array" ref="H76">Common_InputFunctions.Utility_DisplayArrayInTable(Fuel_SourceData.Fuel_Scope1Scope3EmissionFactorsStationaryLiquid_Data(), Table_Fuel_EFs_StationaryLiquid[[#Headers],[Fuel combusted]],0)</f>
        <v>0.02</v>
      </c>
      <c r="I76" s="125" cm="1">
        <f t="array" ref="I76">Common_InputFunctions.Utility_DisplayArrayInTable(Fuel_SourceData.Fuel_Scope1Scope3EmissionFactorsStationaryLiquid_Data(), Table_Fuel_EFs_StationaryLiquid[[#Headers],[Fuel combusted]],0)</f>
        <v>0.2</v>
      </c>
      <c r="J76" s="125" cm="1">
        <f t="array" ref="J76">Common_InputFunctions.Utility_DisplayArrayInTable(Fuel_SourceData.Fuel_Scope1Scope3EmissionFactorsStationaryLiquid_Data(), Table_Fuel_EFs_StationaryLiquid[[#Headers],[Fuel combusted]],0)</f>
        <v>0.22</v>
      </c>
      <c r="K76" s="125" t="str" cm="1">
        <f t="array" ref="K76">Common_InputFunctions.Utility_DisplayArrayInTable(Fuel_SourceData.Fuel_Scope1Scope3EmissionFactorsStationaryLiquid_Data(), Table_Fuel_EFs_StationaryLiquid[[#Headers],[Fuel combusted]],0)</f>
        <v>NE</v>
      </c>
      <c r="L76" s="99"/>
    </row>
    <row r="77" spans="4:13" ht="20.100000000000001" customHeight="1" x14ac:dyDescent="0.25">
      <c r="D77" s="125" t="str" cm="1">
        <f t="array" ref="D77">Common_InputFunctions.Utility_DisplayArrayInTable(Fuel_SourceData.Fuel_Scope1Scope3EmissionFactorsStationaryLiquid_Data(), Table_Fuel_EFs_StationaryLiquid[[#Headers],[Fuel combusted]],0)</f>
        <v>Renewable diesel</v>
      </c>
      <c r="E77" s="125" cm="1">
        <f t="array" ref="E77">Common_InputFunctions.Utility_DisplayArrayInTable(Fuel_SourceData.Fuel_Scope1Scope3EmissionFactorsStationaryLiquid_Data(), Table_Fuel_EFs_StationaryLiquid[[#Headers],[Fuel combusted]],0)</f>
        <v>38.6</v>
      </c>
      <c r="F77" s="125" t="str" cm="1">
        <f t="array" ref="F77">Common_InputFunctions.Utility_DisplayArrayInTable(Fuel_SourceData.Fuel_Scope1Scope3EmissionFactorsStationaryLiquid_Data(), Table_Fuel_EFs_StationaryLiquid[[#Headers],[Fuel combusted]],0)</f>
        <v>kL</v>
      </c>
      <c r="G77" s="125" cm="1">
        <f t="array" ref="G77">Common_InputFunctions.Utility_DisplayArrayInTable(Fuel_SourceData.Fuel_Scope1Scope3EmissionFactorsStationaryLiquid_Data(), Table_Fuel_EFs_StationaryLiquid[[#Headers],[Fuel combusted]],0)</f>
        <v>0</v>
      </c>
      <c r="H77" s="125" cm="1">
        <f t="array" ref="H77">Common_InputFunctions.Utility_DisplayArrayInTable(Fuel_SourceData.Fuel_Scope1Scope3EmissionFactorsStationaryLiquid_Data(), Table_Fuel_EFs_StationaryLiquid[[#Headers],[Fuel combusted]],0)</f>
        <v>0.1</v>
      </c>
      <c r="I77" s="125" cm="1">
        <f t="array" ref="I77">Common_InputFunctions.Utility_DisplayArrayInTable(Fuel_SourceData.Fuel_Scope1Scope3EmissionFactorsStationaryLiquid_Data(), Table_Fuel_EFs_StationaryLiquid[[#Headers],[Fuel combusted]],0)</f>
        <v>0.2</v>
      </c>
      <c r="J77" s="125" cm="1">
        <f t="array" ref="J77">Common_InputFunctions.Utility_DisplayArrayInTable(Fuel_SourceData.Fuel_Scope1Scope3EmissionFactorsStationaryLiquid_Data(), Table_Fuel_EFs_StationaryLiquid[[#Headers],[Fuel combusted]],0)</f>
        <v>0.3</v>
      </c>
      <c r="K77" s="125" t="str" cm="1">
        <f t="array" ref="K77">Common_InputFunctions.Utility_DisplayArrayInTable(Fuel_SourceData.Fuel_Scope1Scope3EmissionFactorsStationaryLiquid_Data(), Table_Fuel_EFs_StationaryLiquid[[#Headers],[Fuel combusted]],0)</f>
        <v>NE</v>
      </c>
      <c r="L77" s="99"/>
    </row>
    <row r="78" spans="4:13" ht="20.100000000000001" customHeight="1" x14ac:dyDescent="0.25">
      <c r="D78" s="99"/>
      <c r="E78" s="99"/>
      <c r="F78" s="99"/>
      <c r="G78" s="99"/>
      <c r="H78" s="99"/>
      <c r="I78" s="99"/>
      <c r="J78" s="99"/>
      <c r="K78" s="99"/>
      <c r="L78" s="99"/>
    </row>
    <row r="79" spans="4:13" ht="20.100000000000001" customHeight="1" x14ac:dyDescent="0.25">
      <c r="D79" s="99"/>
      <c r="E79" s="99"/>
      <c r="F79" s="99"/>
      <c r="G79" s="99"/>
      <c r="H79" s="99"/>
      <c r="I79" s="99"/>
      <c r="J79" s="99"/>
      <c r="K79" s="99"/>
      <c r="L79" s="99"/>
      <c r="M79" s="99"/>
    </row>
    <row r="80" spans="4:13" ht="20.100000000000001" customHeight="1" x14ac:dyDescent="0.25">
      <c r="D80" s="99"/>
      <c r="E80" s="99"/>
      <c r="F80" s="99"/>
      <c r="G80" s="99"/>
      <c r="H80" s="99"/>
      <c r="I80" s="99"/>
      <c r="J80" s="99"/>
      <c r="K80" s="99"/>
      <c r="L80" s="99"/>
      <c r="M80" s="99"/>
    </row>
    <row r="81" spans="4:12" ht="20.100000000000001" customHeight="1" x14ac:dyDescent="0.25">
      <c r="D81" s="6" t="str" cm="1">
        <f t="array" ref="D81">Fuel_SourceData.Fuel_Scope1EmissionFactorsStationaryGaseous_Title()</f>
        <v>Fuel scope 1 emission factors - Stationary gaseous fuels</v>
      </c>
      <c r="E81" s="99"/>
      <c r="F81" s="99"/>
      <c r="G81" s="99"/>
      <c r="H81" s="99"/>
      <c r="I81" s="99"/>
      <c r="J81" s="99"/>
      <c r="K81" s="99"/>
      <c r="L81" s="99"/>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99"/>
      <c r="F82" s="99"/>
      <c r="G82" s="99"/>
      <c r="H82" s="99"/>
      <c r="I82" s="99"/>
      <c r="J82" s="99"/>
      <c r="K82" s="99"/>
      <c r="L82" s="99"/>
    </row>
    <row r="83" spans="4:12" ht="20.100000000000001" customHeight="1" x14ac:dyDescent="0.25">
      <c r="D83" s="5" t="str" cm="1">
        <f t="array" ref="D83">Fuel_SourceData.Fuel_Scope1EmissionFactorsStationaryGaseous_Source()</f>
        <v>Australian National Greenhouse Accounts Factors 2025 - Table 5</v>
      </c>
      <c r="E83" s="99"/>
      <c r="F83" s="99"/>
      <c r="G83" s="99"/>
      <c r="H83" s="99"/>
      <c r="I83" s="99"/>
      <c r="J83" s="99"/>
      <c r="K83" s="99"/>
      <c r="L83" s="99"/>
    </row>
    <row r="84" spans="4:12" ht="20.100000000000001" customHeight="1" x14ac:dyDescent="0.25">
      <c r="D84" s="51"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99"/>
      <c r="F84" s="99"/>
      <c r="G84" s="99"/>
      <c r="H84" s="99"/>
      <c r="I84" s="99"/>
      <c r="J84" s="99"/>
      <c r="K84" s="99"/>
      <c r="L84" s="99"/>
    </row>
    <row r="85" spans="4:12" ht="20.100000000000001" customHeight="1" x14ac:dyDescent="0.25">
      <c r="D85" s="99"/>
      <c r="E85" s="99"/>
      <c r="F85" s="99"/>
      <c r="G85" s="99"/>
      <c r="H85" s="99"/>
      <c r="I85" s="99"/>
      <c r="J85" s="99"/>
      <c r="K85" s="99"/>
      <c r="L85" s="99"/>
    </row>
    <row r="86" spans="4:12" ht="20.100000000000001" customHeight="1" x14ac:dyDescent="0.25">
      <c r="D86" s="124" t="s">
        <v>157</v>
      </c>
      <c r="E86" s="122" t="s">
        <v>158</v>
      </c>
      <c r="F86" s="124" t="s">
        <v>159</v>
      </c>
      <c r="G86" s="122" t="s">
        <v>160</v>
      </c>
      <c r="H86" s="122" t="s">
        <v>161</v>
      </c>
      <c r="I86" s="122" t="s">
        <v>162</v>
      </c>
      <c r="J86" s="122" t="s">
        <v>163</v>
      </c>
      <c r="K86" s="99"/>
      <c r="L86" s="99"/>
    </row>
    <row r="87" spans="4:12" ht="20.100000000000001" customHeight="1" x14ac:dyDescent="0.25">
      <c r="D87" s="125" t="str" cm="1">
        <f t="array" ref="D87">Common_InputFunctions.Utility_DisplayArrayInTable(Fuel_SourceData.Fuel_Scope1EmissionFactorsStationaryGaseous_Data(), Table_Fuel_EFs_StationaryGaseous[[#Headers],[Fuel combusted]],0)</f>
        <v>Natural gas distributed in a pipeline</v>
      </c>
      <c r="E87" s="125" cm="1">
        <f t="array" ref="E87">Common_InputFunctions.Utility_DisplayArrayInTable(Fuel_SourceData.Fuel_Scope1EmissionFactorsStationaryGaseous_Data(), Table_Fuel_EFs_StationaryGaseous[[#Headers],[Fuel combusted]],0)</f>
        <v>3.9300000000000002E-2</v>
      </c>
      <c r="F87" s="125" t="str" cm="1">
        <f t="array" ref="F87">Common_InputFunctions.Utility_DisplayArrayInTable(Fuel_SourceData.Fuel_Scope1EmissionFactorsStationaryGaseous_Data(), Table_Fuel_EFs_StationaryGaseous[[#Headers],[Fuel combusted]],0)</f>
        <v>m3</v>
      </c>
      <c r="G87" s="125" cm="1">
        <f t="array" ref="G87">Common_InputFunctions.Utility_DisplayArrayInTable(Fuel_SourceData.Fuel_Scope1EmissionFactorsStationaryGaseous_Data(), Table_Fuel_EFs_StationaryGaseous[[#Headers],[Fuel combusted]],0)</f>
        <v>51.4</v>
      </c>
      <c r="H87" s="125" cm="1">
        <f t="array" ref="H87">Common_InputFunctions.Utility_DisplayArrayInTable(Fuel_SourceData.Fuel_Scope1EmissionFactorsStationaryGaseous_Data(), Table_Fuel_EFs_StationaryGaseous[[#Headers],[Fuel combusted]],0)</f>
        <v>0.1</v>
      </c>
      <c r="I87" s="125" cm="1">
        <f t="array" ref="I87">Common_InputFunctions.Utility_DisplayArrayInTable(Fuel_SourceData.Fuel_Scope1EmissionFactorsStationaryGaseous_Data(), Table_Fuel_EFs_StationaryGaseous[[#Headers],[Fuel combusted]],0)</f>
        <v>0.03</v>
      </c>
      <c r="J87" s="125" cm="1">
        <f t="array" ref="J87">Common_InputFunctions.Utility_DisplayArrayInTable(Fuel_SourceData.Fuel_Scope1EmissionFactorsStationaryGaseous_Data(), Table_Fuel_EFs_StationaryGaseous[[#Headers],[Fuel combusted]],0)</f>
        <v>51.53</v>
      </c>
      <c r="K87" s="99"/>
      <c r="L87" s="99"/>
    </row>
    <row r="88" spans="4:12" ht="20.100000000000001" customHeight="1" x14ac:dyDescent="0.25">
      <c r="D88" s="125" t="str" cm="1">
        <f t="array" ref="D88">Common_InputFunctions.Utility_DisplayArrayInTable(Fuel_SourceData.Fuel_Scope1EmissionFactorsStationaryGaseous_Data(), Table_Fuel_EFs_StationaryGaseous[[#Headers],[Fuel combusted]],0)</f>
        <v>Coal seam methane that is captured for combustion</v>
      </c>
      <c r="E88" s="125" cm="1">
        <f t="array" ref="E88">Common_InputFunctions.Utility_DisplayArrayInTable(Fuel_SourceData.Fuel_Scope1EmissionFactorsStationaryGaseous_Data(), Table_Fuel_EFs_StationaryGaseous[[#Headers],[Fuel combusted]],0)</f>
        <v>3.7699999999999997E-2</v>
      </c>
      <c r="F88" s="125" t="str" cm="1">
        <f t="array" ref="F88">Common_InputFunctions.Utility_DisplayArrayInTable(Fuel_SourceData.Fuel_Scope1EmissionFactorsStationaryGaseous_Data(), Table_Fuel_EFs_StationaryGaseous[[#Headers],[Fuel combusted]],0)</f>
        <v>m3</v>
      </c>
      <c r="G88" s="125" cm="1">
        <f t="array" ref="G88">Common_InputFunctions.Utility_DisplayArrayInTable(Fuel_SourceData.Fuel_Scope1EmissionFactorsStationaryGaseous_Data(), Table_Fuel_EFs_StationaryGaseous[[#Headers],[Fuel combusted]],0)</f>
        <v>51.4</v>
      </c>
      <c r="H88" s="125" cm="1">
        <f t="array" ref="H88">Common_InputFunctions.Utility_DisplayArrayInTable(Fuel_SourceData.Fuel_Scope1EmissionFactorsStationaryGaseous_Data(), Table_Fuel_EFs_StationaryGaseous[[#Headers],[Fuel combusted]],0)</f>
        <v>0.2</v>
      </c>
      <c r="I88" s="125" cm="1">
        <f t="array" ref="I88">Common_InputFunctions.Utility_DisplayArrayInTable(Fuel_SourceData.Fuel_Scope1EmissionFactorsStationaryGaseous_Data(), Table_Fuel_EFs_StationaryGaseous[[#Headers],[Fuel combusted]],0)</f>
        <v>0.03</v>
      </c>
      <c r="J88" s="125" cm="1">
        <f t="array" ref="J88">Common_InputFunctions.Utility_DisplayArrayInTable(Fuel_SourceData.Fuel_Scope1EmissionFactorsStationaryGaseous_Data(), Table_Fuel_EFs_StationaryGaseous[[#Headers],[Fuel combusted]],0)</f>
        <v>51.63</v>
      </c>
      <c r="K88" s="99"/>
      <c r="L88" s="99"/>
    </row>
    <row r="89" spans="4:12" ht="20.100000000000001" customHeight="1" x14ac:dyDescent="0.25">
      <c r="D89" s="125" t="str" cm="1">
        <f t="array" ref="D89">Common_InputFunctions.Utility_DisplayArrayInTable(Fuel_SourceData.Fuel_Scope1EmissionFactorsStationaryGaseous_Data(), Table_Fuel_EFs_StationaryGaseous[[#Headers],[Fuel combusted]],0)</f>
        <v>Coal mine waste gas that is captured for combustion</v>
      </c>
      <c r="E89" s="125" cm="1">
        <f t="array" ref="E89">Common_InputFunctions.Utility_DisplayArrayInTable(Fuel_SourceData.Fuel_Scope1EmissionFactorsStationaryGaseous_Data(), Table_Fuel_EFs_StationaryGaseous[[#Headers],[Fuel combusted]],0)</f>
        <v>3.7699999999999997E-2</v>
      </c>
      <c r="F89" s="125" t="str" cm="1">
        <f t="array" ref="F89">Common_InputFunctions.Utility_DisplayArrayInTable(Fuel_SourceData.Fuel_Scope1EmissionFactorsStationaryGaseous_Data(), Table_Fuel_EFs_StationaryGaseous[[#Headers],[Fuel combusted]],0)</f>
        <v>m3</v>
      </c>
      <c r="G89" s="125" cm="1">
        <f t="array" ref="G89">Common_InputFunctions.Utility_DisplayArrayInTable(Fuel_SourceData.Fuel_Scope1EmissionFactorsStationaryGaseous_Data(), Table_Fuel_EFs_StationaryGaseous[[#Headers],[Fuel combusted]],0)</f>
        <v>51.9</v>
      </c>
      <c r="H89" s="125" cm="1">
        <f t="array" ref="H89">Common_InputFunctions.Utility_DisplayArrayInTable(Fuel_SourceData.Fuel_Scope1EmissionFactorsStationaryGaseous_Data(), Table_Fuel_EFs_StationaryGaseous[[#Headers],[Fuel combusted]],0)</f>
        <v>4.5999999999999996</v>
      </c>
      <c r="I89" s="125" cm="1">
        <f t="array" ref="I89">Common_InputFunctions.Utility_DisplayArrayInTable(Fuel_SourceData.Fuel_Scope1EmissionFactorsStationaryGaseous_Data(), Table_Fuel_EFs_StationaryGaseous[[#Headers],[Fuel combusted]],0)</f>
        <v>0.3</v>
      </c>
      <c r="J89" s="125" cm="1">
        <f t="array" ref="J89">Common_InputFunctions.Utility_DisplayArrayInTable(Fuel_SourceData.Fuel_Scope1EmissionFactorsStationaryGaseous_Data(), Table_Fuel_EFs_StationaryGaseous[[#Headers],[Fuel combusted]],0)</f>
        <v>56.8</v>
      </c>
      <c r="K89" s="99"/>
      <c r="L89" s="99"/>
    </row>
    <row r="90" spans="4:12" ht="20.100000000000001" customHeight="1" x14ac:dyDescent="0.25">
      <c r="D90" s="125" t="str" cm="1">
        <f t="array" ref="D90">Common_InputFunctions.Utility_DisplayArrayInTable(Fuel_SourceData.Fuel_Scope1EmissionFactorsStationaryGaseous_Data(), Table_Fuel_EFs_StationaryGaseous[[#Headers],[Fuel combusted]],0)</f>
        <v>Compressed natural gas(reverting to standard conditions)</v>
      </c>
      <c r="E90" s="125" cm="1">
        <f t="array" ref="E90">Common_InputFunctions.Utility_DisplayArrayInTable(Fuel_SourceData.Fuel_Scope1EmissionFactorsStationaryGaseous_Data(), Table_Fuel_EFs_StationaryGaseous[[#Headers],[Fuel combusted]],0)</f>
        <v>3.9300000000000002E-2</v>
      </c>
      <c r="F90" s="125" t="str" cm="1">
        <f t="array" ref="F90">Common_InputFunctions.Utility_DisplayArrayInTable(Fuel_SourceData.Fuel_Scope1EmissionFactorsStationaryGaseous_Data(), Table_Fuel_EFs_StationaryGaseous[[#Headers],[Fuel combusted]],0)</f>
        <v>m3</v>
      </c>
      <c r="G90" s="125" cm="1">
        <f t="array" ref="G90">Common_InputFunctions.Utility_DisplayArrayInTable(Fuel_SourceData.Fuel_Scope1EmissionFactorsStationaryGaseous_Data(), Table_Fuel_EFs_StationaryGaseous[[#Headers],[Fuel combusted]],0)</f>
        <v>51.4</v>
      </c>
      <c r="H90" s="125" cm="1">
        <f t="array" ref="H90">Common_InputFunctions.Utility_DisplayArrayInTable(Fuel_SourceData.Fuel_Scope1EmissionFactorsStationaryGaseous_Data(), Table_Fuel_EFs_StationaryGaseous[[#Headers],[Fuel combusted]],0)</f>
        <v>0.1</v>
      </c>
      <c r="I90" s="125" cm="1">
        <f t="array" ref="I90">Common_InputFunctions.Utility_DisplayArrayInTable(Fuel_SourceData.Fuel_Scope1EmissionFactorsStationaryGaseous_Data(), Table_Fuel_EFs_StationaryGaseous[[#Headers],[Fuel combusted]],0)</f>
        <v>0.03</v>
      </c>
      <c r="J90" s="125" cm="1">
        <f t="array" ref="J90">Common_InputFunctions.Utility_DisplayArrayInTable(Fuel_SourceData.Fuel_Scope1EmissionFactorsStationaryGaseous_Data(), Table_Fuel_EFs_StationaryGaseous[[#Headers],[Fuel combusted]],0)</f>
        <v>51.53</v>
      </c>
      <c r="K90" s="99"/>
      <c r="L90" s="99"/>
    </row>
    <row r="91" spans="4:12" ht="20.100000000000001" customHeight="1" x14ac:dyDescent="0.25">
      <c r="D91" s="125" t="str" cm="1">
        <f t="array" ref="D91">Common_InputFunctions.Utility_DisplayArrayInTable(Fuel_SourceData.Fuel_Scope1EmissionFactorsStationaryGaseous_Data(), Table_Fuel_EFs_StationaryGaseous[[#Headers],[Fuel combusted]],0)</f>
        <v>Unprocessed natural gas</v>
      </c>
      <c r="E91" s="125" cm="1">
        <f t="array" ref="E91">Common_InputFunctions.Utility_DisplayArrayInTable(Fuel_SourceData.Fuel_Scope1EmissionFactorsStationaryGaseous_Data(), Table_Fuel_EFs_StationaryGaseous[[#Headers],[Fuel combusted]],0)</f>
        <v>3.9300000000000002E-2</v>
      </c>
      <c r="F91" s="125" t="str" cm="1">
        <f t="array" ref="F91">Common_InputFunctions.Utility_DisplayArrayInTable(Fuel_SourceData.Fuel_Scope1EmissionFactorsStationaryGaseous_Data(), Table_Fuel_EFs_StationaryGaseous[[#Headers],[Fuel combusted]],0)</f>
        <v>m3</v>
      </c>
      <c r="G91" s="125" cm="1">
        <f t="array" ref="G91">Common_InputFunctions.Utility_DisplayArrayInTable(Fuel_SourceData.Fuel_Scope1EmissionFactorsStationaryGaseous_Data(), Table_Fuel_EFs_StationaryGaseous[[#Headers],[Fuel combusted]],0)</f>
        <v>51.4</v>
      </c>
      <c r="H91" s="125" cm="1">
        <f t="array" ref="H91">Common_InputFunctions.Utility_DisplayArrayInTable(Fuel_SourceData.Fuel_Scope1EmissionFactorsStationaryGaseous_Data(), Table_Fuel_EFs_StationaryGaseous[[#Headers],[Fuel combusted]],0)</f>
        <v>0.1</v>
      </c>
      <c r="I91" s="125" cm="1">
        <f t="array" ref="I91">Common_InputFunctions.Utility_DisplayArrayInTable(Fuel_SourceData.Fuel_Scope1EmissionFactorsStationaryGaseous_Data(), Table_Fuel_EFs_StationaryGaseous[[#Headers],[Fuel combusted]],0)</f>
        <v>0.03</v>
      </c>
      <c r="J91" s="125" cm="1">
        <f t="array" ref="J91">Common_InputFunctions.Utility_DisplayArrayInTable(Fuel_SourceData.Fuel_Scope1EmissionFactorsStationaryGaseous_Data(), Table_Fuel_EFs_StationaryGaseous[[#Headers],[Fuel combusted]],0)</f>
        <v>51.53</v>
      </c>
      <c r="K91" s="99"/>
      <c r="L91" s="99"/>
    </row>
    <row r="92" spans="4:12" ht="20.100000000000001" customHeight="1" x14ac:dyDescent="0.25">
      <c r="D92" s="125" t="str" cm="1">
        <f t="array" ref="D92">Common_InputFunctions.Utility_DisplayArrayInTable(Fuel_SourceData.Fuel_Scope1EmissionFactorsStationaryGaseous_Data(), Table_Fuel_EFs_StationaryGaseous[[#Headers],[Fuel combusted]],0)</f>
        <v>Ethane</v>
      </c>
      <c r="E92" s="125" cm="1">
        <f t="array" ref="E92">Common_InputFunctions.Utility_DisplayArrayInTable(Fuel_SourceData.Fuel_Scope1EmissionFactorsStationaryGaseous_Data(), Table_Fuel_EFs_StationaryGaseous[[#Headers],[Fuel combusted]],0)</f>
        <v>6.2899999999999998E-2</v>
      </c>
      <c r="F92" s="125" t="str" cm="1">
        <f t="array" ref="F92">Common_InputFunctions.Utility_DisplayArrayInTable(Fuel_SourceData.Fuel_Scope1EmissionFactorsStationaryGaseous_Data(), Table_Fuel_EFs_StationaryGaseous[[#Headers],[Fuel combusted]],0)</f>
        <v>m3</v>
      </c>
      <c r="G92" s="125" cm="1">
        <f t="array" ref="G92">Common_InputFunctions.Utility_DisplayArrayInTable(Fuel_SourceData.Fuel_Scope1EmissionFactorsStationaryGaseous_Data(), Table_Fuel_EFs_StationaryGaseous[[#Headers],[Fuel combusted]],0)</f>
        <v>56.5</v>
      </c>
      <c r="H92" s="125" cm="1">
        <f t="array" ref="H92">Common_InputFunctions.Utility_DisplayArrayInTable(Fuel_SourceData.Fuel_Scope1EmissionFactorsStationaryGaseous_Data(), Table_Fuel_EFs_StationaryGaseous[[#Headers],[Fuel combusted]],0)</f>
        <v>0.03</v>
      </c>
      <c r="I92" s="125" cm="1">
        <f t="array" ref="I92">Common_InputFunctions.Utility_DisplayArrayInTable(Fuel_SourceData.Fuel_Scope1EmissionFactorsStationaryGaseous_Data(), Table_Fuel_EFs_StationaryGaseous[[#Headers],[Fuel combusted]],0)</f>
        <v>0.03</v>
      </c>
      <c r="J92" s="125" cm="1">
        <f t="array" ref="J92">Common_InputFunctions.Utility_DisplayArrayInTable(Fuel_SourceData.Fuel_Scope1EmissionFactorsStationaryGaseous_Data(), Table_Fuel_EFs_StationaryGaseous[[#Headers],[Fuel combusted]],0)</f>
        <v>56.56</v>
      </c>
      <c r="K92" s="99"/>
      <c r="L92" s="99"/>
    </row>
    <row r="93" spans="4:12" ht="20.100000000000001" customHeight="1" x14ac:dyDescent="0.25">
      <c r="D93" s="125" t="str" cm="1">
        <f t="array" ref="D93">Common_InputFunctions.Utility_DisplayArrayInTable(Fuel_SourceData.Fuel_Scope1EmissionFactorsStationaryGaseous_Data(), Table_Fuel_EFs_StationaryGaseous[[#Headers],[Fuel combusted]],0)</f>
        <v>Coke oven gas</v>
      </c>
      <c r="E93" s="125" cm="1">
        <f t="array" ref="E93">Common_InputFunctions.Utility_DisplayArrayInTable(Fuel_SourceData.Fuel_Scope1EmissionFactorsStationaryGaseous_Data(), Table_Fuel_EFs_StationaryGaseous[[#Headers],[Fuel combusted]],0)</f>
        <v>1.8100000000000002E-2</v>
      </c>
      <c r="F93" s="125" t="str" cm="1">
        <f t="array" ref="F93">Common_InputFunctions.Utility_DisplayArrayInTable(Fuel_SourceData.Fuel_Scope1EmissionFactorsStationaryGaseous_Data(), Table_Fuel_EFs_StationaryGaseous[[#Headers],[Fuel combusted]],0)</f>
        <v>m3</v>
      </c>
      <c r="G93" s="125" cm="1">
        <f t="array" ref="G93">Common_InputFunctions.Utility_DisplayArrayInTable(Fuel_SourceData.Fuel_Scope1EmissionFactorsStationaryGaseous_Data(), Table_Fuel_EFs_StationaryGaseous[[#Headers],[Fuel combusted]],0)</f>
        <v>37</v>
      </c>
      <c r="H93" s="125" cm="1">
        <f t="array" ref="H93">Common_InputFunctions.Utility_DisplayArrayInTable(Fuel_SourceData.Fuel_Scope1EmissionFactorsStationaryGaseous_Data(), Table_Fuel_EFs_StationaryGaseous[[#Headers],[Fuel combusted]],0)</f>
        <v>0.03</v>
      </c>
      <c r="I93" s="125" cm="1">
        <f t="array" ref="I93">Common_InputFunctions.Utility_DisplayArrayInTable(Fuel_SourceData.Fuel_Scope1EmissionFactorsStationaryGaseous_Data(), Table_Fuel_EFs_StationaryGaseous[[#Headers],[Fuel combusted]],0)</f>
        <v>0.05</v>
      </c>
      <c r="J93" s="125" cm="1">
        <f t="array" ref="J93">Common_InputFunctions.Utility_DisplayArrayInTable(Fuel_SourceData.Fuel_Scope1EmissionFactorsStationaryGaseous_Data(), Table_Fuel_EFs_StationaryGaseous[[#Headers],[Fuel combusted]],0)</f>
        <v>37.08</v>
      </c>
      <c r="K93" s="99"/>
      <c r="L93" s="99"/>
    </row>
    <row r="94" spans="4:12" ht="20.100000000000001" customHeight="1" x14ac:dyDescent="0.25">
      <c r="D94" s="125" t="str" cm="1">
        <f t="array" ref="D94">Common_InputFunctions.Utility_DisplayArrayInTable(Fuel_SourceData.Fuel_Scope1EmissionFactorsStationaryGaseous_Data(), Table_Fuel_EFs_StationaryGaseous[[#Headers],[Fuel combusted]],0)</f>
        <v>Blast furnace gas</v>
      </c>
      <c r="E94" s="125" cm="1">
        <f t="array" ref="E94">Common_InputFunctions.Utility_DisplayArrayInTable(Fuel_SourceData.Fuel_Scope1EmissionFactorsStationaryGaseous_Data(), Table_Fuel_EFs_StationaryGaseous[[#Headers],[Fuel combusted]],0)</f>
        <v>4.0000000000000001E-3</v>
      </c>
      <c r="F94" s="125" t="str" cm="1">
        <f t="array" ref="F94">Common_InputFunctions.Utility_DisplayArrayInTable(Fuel_SourceData.Fuel_Scope1EmissionFactorsStationaryGaseous_Data(), Table_Fuel_EFs_StationaryGaseous[[#Headers],[Fuel combusted]],0)</f>
        <v>m3</v>
      </c>
      <c r="G94" s="125" cm="1">
        <f t="array" ref="G94">Common_InputFunctions.Utility_DisplayArrayInTable(Fuel_SourceData.Fuel_Scope1EmissionFactorsStationaryGaseous_Data(), Table_Fuel_EFs_StationaryGaseous[[#Headers],[Fuel combusted]],0)</f>
        <v>234</v>
      </c>
      <c r="H94" s="125" cm="1">
        <f t="array" ref="H94">Common_InputFunctions.Utility_DisplayArrayInTable(Fuel_SourceData.Fuel_Scope1EmissionFactorsStationaryGaseous_Data(), Table_Fuel_EFs_StationaryGaseous[[#Headers],[Fuel combusted]],0)</f>
        <v>0.03</v>
      </c>
      <c r="I94" s="125" cm="1">
        <f t="array" ref="I94">Common_InputFunctions.Utility_DisplayArrayInTable(Fuel_SourceData.Fuel_Scope1EmissionFactorsStationaryGaseous_Data(), Table_Fuel_EFs_StationaryGaseous[[#Headers],[Fuel combusted]],0)</f>
        <v>0.02</v>
      </c>
      <c r="J94" s="125" cm="1">
        <f t="array" ref="J94">Common_InputFunctions.Utility_DisplayArrayInTable(Fuel_SourceData.Fuel_Scope1EmissionFactorsStationaryGaseous_Data(), Table_Fuel_EFs_StationaryGaseous[[#Headers],[Fuel combusted]],0)</f>
        <v>234.05</v>
      </c>
      <c r="K94" s="99"/>
      <c r="L94" s="99"/>
    </row>
    <row r="95" spans="4:12" ht="20.100000000000001" customHeight="1" x14ac:dyDescent="0.25">
      <c r="D95" s="125" t="str" cm="1">
        <f t="array" ref="D95">Common_InputFunctions.Utility_DisplayArrayInTable(Fuel_SourceData.Fuel_Scope1EmissionFactorsStationaryGaseous_Data(), Table_Fuel_EFs_StationaryGaseous[[#Headers],[Fuel combusted]],0)</f>
        <v>Town gas</v>
      </c>
      <c r="E95" s="125" cm="1">
        <f t="array" ref="E95">Common_InputFunctions.Utility_DisplayArrayInTable(Fuel_SourceData.Fuel_Scope1EmissionFactorsStationaryGaseous_Data(), Table_Fuel_EFs_StationaryGaseous[[#Headers],[Fuel combusted]],0)</f>
        <v>3.9E-2</v>
      </c>
      <c r="F95" s="125" t="str" cm="1">
        <f t="array" ref="F95">Common_InputFunctions.Utility_DisplayArrayInTable(Fuel_SourceData.Fuel_Scope1EmissionFactorsStationaryGaseous_Data(), Table_Fuel_EFs_StationaryGaseous[[#Headers],[Fuel combusted]],0)</f>
        <v>m3</v>
      </c>
      <c r="G95" s="125" cm="1">
        <f t="array" ref="G95">Common_InputFunctions.Utility_DisplayArrayInTable(Fuel_SourceData.Fuel_Scope1EmissionFactorsStationaryGaseous_Data(), Table_Fuel_EFs_StationaryGaseous[[#Headers],[Fuel combusted]],0)</f>
        <v>60.2</v>
      </c>
      <c r="H95" s="125" cm="1">
        <f t="array" ref="H95">Common_InputFunctions.Utility_DisplayArrayInTable(Fuel_SourceData.Fuel_Scope1EmissionFactorsStationaryGaseous_Data(), Table_Fuel_EFs_StationaryGaseous[[#Headers],[Fuel combusted]],0)</f>
        <v>0.04</v>
      </c>
      <c r="I95" s="125" cm="1">
        <f t="array" ref="I95">Common_InputFunctions.Utility_DisplayArrayInTable(Fuel_SourceData.Fuel_Scope1EmissionFactorsStationaryGaseous_Data(), Table_Fuel_EFs_StationaryGaseous[[#Headers],[Fuel combusted]],0)</f>
        <v>0.03</v>
      </c>
      <c r="J95" s="125" cm="1">
        <f t="array" ref="J95">Common_InputFunctions.Utility_DisplayArrayInTable(Fuel_SourceData.Fuel_Scope1EmissionFactorsStationaryGaseous_Data(), Table_Fuel_EFs_StationaryGaseous[[#Headers],[Fuel combusted]],0)</f>
        <v>60.27</v>
      </c>
      <c r="K95" s="99"/>
      <c r="L95" s="99"/>
    </row>
    <row r="96" spans="4:12" ht="20.100000000000001" customHeight="1" x14ac:dyDescent="0.25">
      <c r="D96" s="125" t="str" cm="1">
        <f t="array" ref="D96">Common_InputFunctions.Utility_DisplayArrayInTable(Fuel_SourceData.Fuel_Scope1EmissionFactorsStationaryGaseous_Data(), Table_Fuel_EFs_StationaryGaseous[[#Headers],[Fuel combusted]],0)</f>
        <v>Liquefied natural gas</v>
      </c>
      <c r="E96" s="125" cm="1">
        <f t="array" ref="E96">Common_InputFunctions.Utility_DisplayArrayInTable(Fuel_SourceData.Fuel_Scope1EmissionFactorsStationaryGaseous_Data(), Table_Fuel_EFs_StationaryGaseous[[#Headers],[Fuel combusted]],0)</f>
        <v>25.3</v>
      </c>
      <c r="F96" s="125" t="str" cm="1">
        <f t="array" ref="F96">Common_InputFunctions.Utility_DisplayArrayInTable(Fuel_SourceData.Fuel_Scope1EmissionFactorsStationaryGaseous_Data(), Table_Fuel_EFs_StationaryGaseous[[#Headers],[Fuel combusted]],0)</f>
        <v>kL</v>
      </c>
      <c r="G96" s="125" cm="1">
        <f t="array" ref="G96">Common_InputFunctions.Utility_DisplayArrayInTable(Fuel_SourceData.Fuel_Scope1EmissionFactorsStationaryGaseous_Data(), Table_Fuel_EFs_StationaryGaseous[[#Headers],[Fuel combusted]],0)</f>
        <v>51.4</v>
      </c>
      <c r="H96" s="125" cm="1">
        <f t="array" ref="H96">Common_InputFunctions.Utility_DisplayArrayInTable(Fuel_SourceData.Fuel_Scope1EmissionFactorsStationaryGaseous_Data(), Table_Fuel_EFs_StationaryGaseous[[#Headers],[Fuel combusted]],0)</f>
        <v>0.1</v>
      </c>
      <c r="I96" s="125" cm="1">
        <f t="array" ref="I96">Common_InputFunctions.Utility_DisplayArrayInTable(Fuel_SourceData.Fuel_Scope1EmissionFactorsStationaryGaseous_Data(), Table_Fuel_EFs_StationaryGaseous[[#Headers],[Fuel combusted]],0)</f>
        <v>0.03</v>
      </c>
      <c r="J96" s="125" cm="1">
        <f t="array" ref="J96">Common_InputFunctions.Utility_DisplayArrayInTable(Fuel_SourceData.Fuel_Scope1EmissionFactorsStationaryGaseous_Data(), Table_Fuel_EFs_StationaryGaseous[[#Headers],[Fuel combusted]],0)</f>
        <v>51.53</v>
      </c>
      <c r="K96" s="99"/>
      <c r="L96" s="99"/>
    </row>
    <row r="97" spans="4:13" ht="20.100000000000001" customHeight="1" x14ac:dyDescent="0.25">
      <c r="D97" s="125" t="str" cm="1">
        <f t="array" ref="D97">Common_InputFunctions.Utility_DisplayArrayInTable(Fuel_SourceData.Fuel_Scope1EmissionFactorsStationaryGaseous_Data(), Table_Fuel_EFs_StationaryGaseous[[#Headers],[Fuel combusted]],0)</f>
        <v>Gaseous fossil fuels other than those mentioned in the items above</v>
      </c>
      <c r="E97" s="125" cm="1">
        <f t="array" ref="E97">Common_InputFunctions.Utility_DisplayArrayInTable(Fuel_SourceData.Fuel_Scope1EmissionFactorsStationaryGaseous_Data(), Table_Fuel_EFs_StationaryGaseous[[#Headers],[Fuel combusted]],0)</f>
        <v>3.9E-2</v>
      </c>
      <c r="F97" s="125" t="str" cm="1">
        <f t="array" ref="F97">Common_InputFunctions.Utility_DisplayArrayInTable(Fuel_SourceData.Fuel_Scope1EmissionFactorsStationaryGaseous_Data(), Table_Fuel_EFs_StationaryGaseous[[#Headers],[Fuel combusted]],0)</f>
        <v>m3</v>
      </c>
      <c r="G97" s="125" cm="1">
        <f t="array" ref="G97">Common_InputFunctions.Utility_DisplayArrayInTable(Fuel_SourceData.Fuel_Scope1EmissionFactorsStationaryGaseous_Data(), Table_Fuel_EFs_StationaryGaseous[[#Headers],[Fuel combusted]],0)</f>
        <v>51.4</v>
      </c>
      <c r="H97" s="125" cm="1">
        <f t="array" ref="H97">Common_InputFunctions.Utility_DisplayArrayInTable(Fuel_SourceData.Fuel_Scope1EmissionFactorsStationaryGaseous_Data(), Table_Fuel_EFs_StationaryGaseous[[#Headers],[Fuel combusted]],0)</f>
        <v>0.1</v>
      </c>
      <c r="I97" s="125" cm="1">
        <f t="array" ref="I97">Common_InputFunctions.Utility_DisplayArrayInTable(Fuel_SourceData.Fuel_Scope1EmissionFactorsStationaryGaseous_Data(), Table_Fuel_EFs_StationaryGaseous[[#Headers],[Fuel combusted]],0)</f>
        <v>0.03</v>
      </c>
      <c r="J97" s="125" cm="1">
        <f t="array" ref="J97">Common_InputFunctions.Utility_DisplayArrayInTable(Fuel_SourceData.Fuel_Scope1EmissionFactorsStationaryGaseous_Data(), Table_Fuel_EFs_StationaryGaseous[[#Headers],[Fuel combusted]],0)</f>
        <v>51.53</v>
      </c>
      <c r="K97" s="99"/>
      <c r="L97" s="99"/>
    </row>
    <row r="98" spans="4:13" ht="20.100000000000001" customHeight="1" x14ac:dyDescent="0.25">
      <c r="D98" s="125" t="str" cm="1">
        <f t="array" ref="D98">Common_InputFunctions.Utility_DisplayArrayInTable(Fuel_SourceData.Fuel_Scope1EmissionFactorsStationaryGaseous_Data(), Table_Fuel_EFs_StationaryGaseous[[#Headers],[Fuel combusted]],0)</f>
        <v>Landfill biogas that is captured for combustion (methane only)</v>
      </c>
      <c r="E98" s="125" cm="1">
        <f t="array" ref="E98">Common_InputFunctions.Utility_DisplayArrayInTable(Fuel_SourceData.Fuel_Scope1EmissionFactorsStationaryGaseous_Data(), Table_Fuel_EFs_StationaryGaseous[[#Headers],[Fuel combusted]],0)</f>
        <v>3.7699999999999997E-2</v>
      </c>
      <c r="F98" s="125" t="str" cm="1">
        <f t="array" ref="F98">Common_InputFunctions.Utility_DisplayArrayInTable(Fuel_SourceData.Fuel_Scope1EmissionFactorsStationaryGaseous_Data(), Table_Fuel_EFs_StationaryGaseous[[#Headers],[Fuel combusted]],0)</f>
        <v>m3</v>
      </c>
      <c r="G98" s="125" cm="1">
        <f t="array" ref="G98">Common_InputFunctions.Utility_DisplayArrayInTable(Fuel_SourceData.Fuel_Scope1EmissionFactorsStationaryGaseous_Data(), Table_Fuel_EFs_StationaryGaseous[[#Headers],[Fuel combusted]],0)</f>
        <v>0</v>
      </c>
      <c r="H98" s="125" cm="1">
        <f t="array" ref="H98">Common_InputFunctions.Utility_DisplayArrayInTable(Fuel_SourceData.Fuel_Scope1EmissionFactorsStationaryGaseous_Data(), Table_Fuel_EFs_StationaryGaseous[[#Headers],[Fuel combusted]],0)</f>
        <v>6.4</v>
      </c>
      <c r="I98" s="125" cm="1">
        <f t="array" ref="I98">Common_InputFunctions.Utility_DisplayArrayInTable(Fuel_SourceData.Fuel_Scope1EmissionFactorsStationaryGaseous_Data(), Table_Fuel_EFs_StationaryGaseous[[#Headers],[Fuel combusted]],0)</f>
        <v>0.03</v>
      </c>
      <c r="J98" s="125" cm="1">
        <f t="array" ref="J98">Common_InputFunctions.Utility_DisplayArrayInTable(Fuel_SourceData.Fuel_Scope1EmissionFactorsStationaryGaseous_Data(), Table_Fuel_EFs_StationaryGaseous[[#Headers],[Fuel combusted]],0)</f>
        <v>6.43</v>
      </c>
      <c r="K98" s="99"/>
      <c r="L98" s="99"/>
    </row>
    <row r="99" spans="4:13" ht="20.100000000000001" customHeight="1" x14ac:dyDescent="0.25">
      <c r="D99" s="125" t="str" cm="1">
        <f t="array" ref="D99">Common_InputFunctions.Utility_DisplayArrayInTable(Fuel_SourceData.Fuel_Scope1EmissionFactorsStationaryGaseous_Data(), Table_Fuel_EFs_StationaryGaseous[[#Headers],[Fuel combusted]],0)</f>
        <v>Sludge biogas that is captured for combustion (methane only)</v>
      </c>
      <c r="E99" s="125" cm="1">
        <f t="array" ref="E99">Common_InputFunctions.Utility_DisplayArrayInTable(Fuel_SourceData.Fuel_Scope1EmissionFactorsStationaryGaseous_Data(), Table_Fuel_EFs_StationaryGaseous[[#Headers],[Fuel combusted]],0)</f>
        <v>3.7699999999999997E-2</v>
      </c>
      <c r="F99" s="125" t="str" cm="1">
        <f t="array" ref="F99">Common_InputFunctions.Utility_DisplayArrayInTable(Fuel_SourceData.Fuel_Scope1EmissionFactorsStationaryGaseous_Data(), Table_Fuel_EFs_StationaryGaseous[[#Headers],[Fuel combusted]],0)</f>
        <v>m3</v>
      </c>
      <c r="G99" s="125" cm="1">
        <f t="array" ref="G99">Common_InputFunctions.Utility_DisplayArrayInTable(Fuel_SourceData.Fuel_Scope1EmissionFactorsStationaryGaseous_Data(), Table_Fuel_EFs_StationaryGaseous[[#Headers],[Fuel combusted]],0)</f>
        <v>0</v>
      </c>
      <c r="H99" s="125" cm="1">
        <f t="array" ref="H99">Common_InputFunctions.Utility_DisplayArrayInTable(Fuel_SourceData.Fuel_Scope1EmissionFactorsStationaryGaseous_Data(), Table_Fuel_EFs_StationaryGaseous[[#Headers],[Fuel combusted]],0)</f>
        <v>6.4</v>
      </c>
      <c r="I99" s="125" cm="1">
        <f t="array" ref="I99">Common_InputFunctions.Utility_DisplayArrayInTable(Fuel_SourceData.Fuel_Scope1EmissionFactorsStationaryGaseous_Data(), Table_Fuel_EFs_StationaryGaseous[[#Headers],[Fuel combusted]],0)</f>
        <v>0.03</v>
      </c>
      <c r="J99" s="125" cm="1">
        <f t="array" ref="J99">Common_InputFunctions.Utility_DisplayArrayInTable(Fuel_SourceData.Fuel_Scope1EmissionFactorsStationaryGaseous_Data(), Table_Fuel_EFs_StationaryGaseous[[#Headers],[Fuel combusted]],0)</f>
        <v>6.43</v>
      </c>
      <c r="K99" s="99"/>
      <c r="L99" s="99"/>
    </row>
    <row r="100" spans="4:13" ht="20.100000000000001" customHeight="1" x14ac:dyDescent="0.25">
      <c r="D100" s="125"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25" cm="1">
        <f t="array" ref="E100">Common_InputFunctions.Utility_DisplayArrayInTable(Fuel_SourceData.Fuel_Scope1EmissionFactorsStationaryGaseous_Data(), Table_Fuel_EFs_StationaryGaseous[[#Headers],[Fuel combusted]],0)</f>
        <v>3.6999999999999998E-2</v>
      </c>
      <c r="F100" s="125" t="str" cm="1">
        <f t="array" ref="F100">Common_InputFunctions.Utility_DisplayArrayInTable(Fuel_SourceData.Fuel_Scope1EmissionFactorsStationaryGaseous_Data(), Table_Fuel_EFs_StationaryGaseous[[#Headers],[Fuel combusted]],0)</f>
        <v>m3</v>
      </c>
      <c r="G100" s="125" cm="1">
        <f t="array" ref="G100">Common_InputFunctions.Utility_DisplayArrayInTable(Fuel_SourceData.Fuel_Scope1EmissionFactorsStationaryGaseous_Data(), Table_Fuel_EFs_StationaryGaseous[[#Headers],[Fuel combusted]],0)</f>
        <v>0</v>
      </c>
      <c r="H100" s="125" cm="1">
        <f t="array" ref="H100">Common_InputFunctions.Utility_DisplayArrayInTable(Fuel_SourceData.Fuel_Scope1EmissionFactorsStationaryGaseous_Data(), Table_Fuel_EFs_StationaryGaseous[[#Headers],[Fuel combusted]],0)</f>
        <v>6.4</v>
      </c>
      <c r="I100" s="125" cm="1">
        <f t="array" ref="I100">Common_InputFunctions.Utility_DisplayArrayInTable(Fuel_SourceData.Fuel_Scope1EmissionFactorsStationaryGaseous_Data(), Table_Fuel_EFs_StationaryGaseous[[#Headers],[Fuel combusted]],0)</f>
        <v>0.03</v>
      </c>
      <c r="J100" s="125" cm="1">
        <f t="array" ref="J100">Common_InputFunctions.Utility_DisplayArrayInTable(Fuel_SourceData.Fuel_Scope1EmissionFactorsStationaryGaseous_Data(), Table_Fuel_EFs_StationaryGaseous[[#Headers],[Fuel combusted]],0)</f>
        <v>6.43</v>
      </c>
      <c r="K100" s="99"/>
      <c r="L100" s="99"/>
    </row>
    <row r="101" spans="4:13" ht="20.100000000000001" customHeight="1" x14ac:dyDescent="0.25">
      <c r="D101" s="125" t="str" cm="1">
        <f t="array" ref="D101">Common_InputFunctions.Utility_DisplayArrayInTable(Fuel_SourceData.Fuel_Scope1EmissionFactorsStationaryGaseous_Data(), Table_Fuel_EFs_StationaryGaseous[[#Headers],[Fuel combusted]],0)</f>
        <v>Biomethane</v>
      </c>
      <c r="E101" s="125" cm="1">
        <f t="array" ref="E101">Common_InputFunctions.Utility_DisplayArrayInTable(Fuel_SourceData.Fuel_Scope1EmissionFactorsStationaryGaseous_Data(), Table_Fuel_EFs_StationaryGaseous[[#Headers],[Fuel combusted]],0)</f>
        <v>3.9300000000000002E-2</v>
      </c>
      <c r="F101" s="125" t="str" cm="1">
        <f t="array" ref="F101">Common_InputFunctions.Utility_DisplayArrayInTable(Fuel_SourceData.Fuel_Scope1EmissionFactorsStationaryGaseous_Data(), Table_Fuel_EFs_StationaryGaseous[[#Headers],[Fuel combusted]],0)</f>
        <v>m3</v>
      </c>
      <c r="G101" s="125" cm="1">
        <f t="array" ref="G101">Common_InputFunctions.Utility_DisplayArrayInTable(Fuel_SourceData.Fuel_Scope1EmissionFactorsStationaryGaseous_Data(), Table_Fuel_EFs_StationaryGaseous[[#Headers],[Fuel combusted]],0)</f>
        <v>0</v>
      </c>
      <c r="H101" s="125" cm="1">
        <f t="array" ref="H101">Common_InputFunctions.Utility_DisplayArrayInTable(Fuel_SourceData.Fuel_Scope1EmissionFactorsStationaryGaseous_Data(), Table_Fuel_EFs_StationaryGaseous[[#Headers],[Fuel combusted]],0)</f>
        <v>0.1</v>
      </c>
      <c r="I101" s="125" cm="1">
        <f t="array" ref="I101">Common_InputFunctions.Utility_DisplayArrayInTable(Fuel_SourceData.Fuel_Scope1EmissionFactorsStationaryGaseous_Data(), Table_Fuel_EFs_StationaryGaseous[[#Headers],[Fuel combusted]],0)</f>
        <v>0.03</v>
      </c>
      <c r="J101" s="125" cm="1">
        <f t="array" ref="J101">Common_InputFunctions.Utility_DisplayArrayInTable(Fuel_SourceData.Fuel_Scope1EmissionFactorsStationaryGaseous_Data(), Table_Fuel_EFs_StationaryGaseous[[#Headers],[Fuel combusted]],0)</f>
        <v>0.13</v>
      </c>
      <c r="K101" s="99"/>
      <c r="L101" s="99"/>
    </row>
    <row r="102" spans="4:13" ht="20.100000000000001" customHeight="1" x14ac:dyDescent="0.25">
      <c r="D102" s="125" t="str" cm="1">
        <f t="array" ref="D102">Common_InputFunctions.Utility_DisplayArrayInTable(Fuel_SourceData.Fuel_Scope1EmissionFactorsStationaryGaseous_Data(), Table_Fuel_EFs_StationaryGaseous[[#Headers],[Fuel combusted]],0)</f>
        <v>Hydrogen</v>
      </c>
      <c r="E102" s="125" cm="1">
        <f t="array" ref="E102">Common_InputFunctions.Utility_DisplayArrayInTable(Fuel_SourceData.Fuel_Scope1EmissionFactorsStationaryGaseous_Data(), Table_Fuel_EFs_StationaryGaseous[[#Headers],[Fuel combusted]],0)</f>
        <v>1.2200000000000001E-2</v>
      </c>
      <c r="F102" s="125" t="str" cm="1">
        <f t="array" ref="F102">Common_InputFunctions.Utility_DisplayArrayInTable(Fuel_SourceData.Fuel_Scope1EmissionFactorsStationaryGaseous_Data(), Table_Fuel_EFs_StationaryGaseous[[#Headers],[Fuel combusted]],0)</f>
        <v>m3</v>
      </c>
      <c r="G102" s="125" cm="1">
        <f t="array" ref="G102">Common_InputFunctions.Utility_DisplayArrayInTable(Fuel_SourceData.Fuel_Scope1EmissionFactorsStationaryGaseous_Data(), Table_Fuel_EFs_StationaryGaseous[[#Headers],[Fuel combusted]],0)</f>
        <v>0</v>
      </c>
      <c r="H102" s="125" cm="1">
        <f t="array" ref="H102">Common_InputFunctions.Utility_DisplayArrayInTable(Fuel_SourceData.Fuel_Scope1EmissionFactorsStationaryGaseous_Data(), Table_Fuel_EFs_StationaryGaseous[[#Headers],[Fuel combusted]],0)</f>
        <v>0</v>
      </c>
      <c r="I102" s="125" cm="1">
        <f t="array" ref="I102">Common_InputFunctions.Utility_DisplayArrayInTable(Fuel_SourceData.Fuel_Scope1EmissionFactorsStationaryGaseous_Data(), Table_Fuel_EFs_StationaryGaseous[[#Headers],[Fuel combusted]],0)</f>
        <v>0.5</v>
      </c>
      <c r="J102" s="125" cm="1">
        <f t="array" ref="J102">Common_InputFunctions.Utility_DisplayArrayInTable(Fuel_SourceData.Fuel_Scope1EmissionFactorsStationaryGaseous_Data(), Table_Fuel_EFs_StationaryGaseous[[#Headers],[Fuel combusted]],0)</f>
        <v>0.5</v>
      </c>
      <c r="K102" s="99"/>
      <c r="L102" s="99"/>
    </row>
    <row r="103" spans="4:13" ht="20.100000000000001" customHeight="1" x14ac:dyDescent="0.25">
      <c r="D103" s="125" t="str" cm="1">
        <f t="array" ref="D103">Common_InputFunctions.Utility_DisplayArrayInTable(Fuel_SourceData.Fuel_Scope1EmissionFactorsStationaryGaseous_Data(), Table_Fuel_EFs_StationaryGaseous[[#Headers],[Fuel combusted]],0)</f>
        <v>Natural gas distributed in a pipeline - Gigajoules</v>
      </c>
      <c r="E103" s="125" cm="1">
        <f t="array" ref="E103">Common_InputFunctions.Utility_DisplayArrayInTable(Fuel_SourceData.Fuel_Scope1EmissionFactorsStationaryGaseous_Data(), Table_Fuel_EFs_StationaryGaseous[[#Headers],[Fuel combusted]],0)</f>
        <v>1</v>
      </c>
      <c r="F103" s="125" t="str" cm="1">
        <f t="array" ref="F103">Common_InputFunctions.Utility_DisplayArrayInTable(Fuel_SourceData.Fuel_Scope1EmissionFactorsStationaryGaseous_Data(), Table_Fuel_EFs_StationaryGaseous[[#Headers],[Fuel combusted]],0)</f>
        <v>GJ</v>
      </c>
      <c r="G103" s="125" cm="1">
        <f t="array" ref="G103">Common_InputFunctions.Utility_DisplayArrayInTable(Fuel_SourceData.Fuel_Scope1EmissionFactorsStationaryGaseous_Data(), Table_Fuel_EFs_StationaryGaseous[[#Headers],[Fuel combusted]],0)</f>
        <v>51.4</v>
      </c>
      <c r="H103" s="125" cm="1">
        <f t="array" ref="H103">Common_InputFunctions.Utility_DisplayArrayInTable(Fuel_SourceData.Fuel_Scope1EmissionFactorsStationaryGaseous_Data(), Table_Fuel_EFs_StationaryGaseous[[#Headers],[Fuel combusted]],0)</f>
        <v>0.1</v>
      </c>
      <c r="I103" s="125" cm="1">
        <f t="array" ref="I103">Common_InputFunctions.Utility_DisplayArrayInTable(Fuel_SourceData.Fuel_Scope1EmissionFactorsStationaryGaseous_Data(), Table_Fuel_EFs_StationaryGaseous[[#Headers],[Fuel combusted]],0)</f>
        <v>0.03</v>
      </c>
      <c r="J103" s="125" cm="1">
        <f t="array" ref="J103">Common_InputFunctions.Utility_DisplayArrayInTable(Fuel_SourceData.Fuel_Scope1EmissionFactorsStationaryGaseous_Data(), Table_Fuel_EFs_StationaryGaseous[[#Headers],[Fuel combusted]],0)</f>
        <v>51.53</v>
      </c>
      <c r="K103" s="99"/>
      <c r="L103" s="99"/>
    </row>
    <row r="104" spans="4:13" ht="20.100000000000001" customHeight="1" x14ac:dyDescent="0.25">
      <c r="D104" s="125" t="str" cm="1">
        <f t="array" ref="D104">Common_InputFunctions.Utility_DisplayArrayInTable(Fuel_SourceData.Fuel_Scope1EmissionFactorsStationaryGaseous_Data(), Table_Fuel_EFs_StationaryGaseous[[#Headers],[Fuel combusted]],0)</f>
        <v>Town gas - Gigajoules</v>
      </c>
      <c r="E104" s="125" cm="1">
        <f t="array" ref="E104">Common_InputFunctions.Utility_DisplayArrayInTable(Fuel_SourceData.Fuel_Scope1EmissionFactorsStationaryGaseous_Data(), Table_Fuel_EFs_StationaryGaseous[[#Headers],[Fuel combusted]],0)</f>
        <v>1</v>
      </c>
      <c r="F104" s="125" t="str" cm="1">
        <f t="array" ref="F104">Common_InputFunctions.Utility_DisplayArrayInTable(Fuel_SourceData.Fuel_Scope1EmissionFactorsStationaryGaseous_Data(), Table_Fuel_EFs_StationaryGaseous[[#Headers],[Fuel combusted]],0)</f>
        <v>GJ</v>
      </c>
      <c r="G104" s="125" cm="1">
        <f t="array" ref="G104">Common_InputFunctions.Utility_DisplayArrayInTable(Fuel_SourceData.Fuel_Scope1EmissionFactorsStationaryGaseous_Data(), Table_Fuel_EFs_StationaryGaseous[[#Headers],[Fuel combusted]],0)</f>
        <v>60.2</v>
      </c>
      <c r="H104" s="125" cm="1">
        <f t="array" ref="H104">Common_InputFunctions.Utility_DisplayArrayInTable(Fuel_SourceData.Fuel_Scope1EmissionFactorsStationaryGaseous_Data(), Table_Fuel_EFs_StationaryGaseous[[#Headers],[Fuel combusted]],0)</f>
        <v>0.04</v>
      </c>
      <c r="I104" s="125" cm="1">
        <f t="array" ref="I104">Common_InputFunctions.Utility_DisplayArrayInTable(Fuel_SourceData.Fuel_Scope1EmissionFactorsStationaryGaseous_Data(), Table_Fuel_EFs_StationaryGaseous[[#Headers],[Fuel combusted]],0)</f>
        <v>0.03</v>
      </c>
      <c r="J104" s="125" cm="1">
        <f t="array" ref="J104">Common_InputFunctions.Utility_DisplayArrayInTable(Fuel_SourceData.Fuel_Scope1EmissionFactorsStationaryGaseous_Data(), Table_Fuel_EFs_StationaryGaseous[[#Headers],[Fuel combusted]],0)</f>
        <v>60.27</v>
      </c>
      <c r="K104" s="99"/>
      <c r="L104" s="99"/>
    </row>
    <row r="105" spans="4:13" ht="20.100000000000001" customHeight="1" x14ac:dyDescent="0.25">
      <c r="D105" s="99"/>
      <c r="E105" s="99"/>
      <c r="F105" s="99"/>
      <c r="G105" s="99"/>
      <c r="H105" s="99"/>
      <c r="I105" s="99"/>
      <c r="J105" s="99"/>
      <c r="K105" s="99"/>
      <c r="L105" s="99"/>
      <c r="M105" s="99"/>
    </row>
    <row r="106" spans="4:13" ht="20.100000000000001" customHeight="1" x14ac:dyDescent="0.25">
      <c r="D106" s="99"/>
      <c r="E106" s="99"/>
      <c r="F106" s="99"/>
      <c r="G106" s="99"/>
      <c r="H106" s="99"/>
      <c r="I106" s="99"/>
      <c r="J106" s="99"/>
      <c r="K106" s="99"/>
      <c r="L106" s="99"/>
      <c r="M106" s="99"/>
    </row>
    <row r="107" spans="4:13" ht="20.100000000000001" customHeight="1" x14ac:dyDescent="0.25">
      <c r="D107" s="6" t="str" cm="1">
        <f t="array" ref="D107">Fuel_SourceData.Fuel_Scope3EmissionFactorsStationaryGaseous_Title()</f>
        <v>Fuel scope 3 emission factors - Stationary gaseous fuels</v>
      </c>
      <c r="E107" s="99"/>
      <c r="F107" s="99"/>
      <c r="G107" s="99"/>
      <c r="H107" s="99"/>
      <c r="I107" s="99"/>
      <c r="J107" s="99"/>
      <c r="K107" s="99"/>
      <c r="L107" s="99"/>
    </row>
    <row r="108" spans="4:13" ht="20.100000000000001" customHeight="1" x14ac:dyDescent="0.25">
      <c r="D108" s="1" t="str" cm="1">
        <f t="array" ref="D108">Fuel_SourceData.Fuel_Scope3EmissionFactorsStationaryGaseous_Description()</f>
        <v>Indirect (Scope 3) emission factors for the consumption of natural gas.</v>
      </c>
      <c r="E108" s="99"/>
      <c r="F108" s="99"/>
      <c r="G108" s="99"/>
      <c r="H108" s="99"/>
      <c r="I108" s="99"/>
      <c r="J108" s="99"/>
      <c r="K108" s="99"/>
      <c r="L108" s="99"/>
    </row>
    <row r="109" spans="4:13" ht="20.100000000000001" customHeight="1" x14ac:dyDescent="0.25">
      <c r="D109" s="5" t="str" cm="1">
        <f t="array" ref="D109">Fuel_SourceData.Fuel_Scope3EmissionFactorsStationaryGaseous_Source()</f>
        <v>Australian National Greenhouse Accounts Factors 2025 - Table 6</v>
      </c>
      <c r="E109" s="99"/>
      <c r="F109" s="99"/>
      <c r="G109" s="99"/>
      <c r="H109" s="99"/>
      <c r="I109" s="99"/>
      <c r="J109" s="99"/>
      <c r="K109" s="99"/>
      <c r="L109" s="99"/>
    </row>
    <row r="110" spans="4:13" ht="20.100000000000001" customHeight="1" x14ac:dyDescent="0.25">
      <c r="D110" s="51"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99"/>
      <c r="F110" s="99"/>
      <c r="G110" s="99"/>
      <c r="H110" s="99"/>
      <c r="I110" s="99"/>
      <c r="J110" s="99"/>
      <c r="K110" s="99"/>
      <c r="L110" s="99"/>
    </row>
    <row r="111" spans="4:13" ht="20.100000000000001" customHeight="1" x14ac:dyDescent="0.25">
      <c r="D111" s="99"/>
      <c r="E111" s="99"/>
      <c r="F111" s="99"/>
      <c r="G111" s="99"/>
      <c r="H111" s="99"/>
      <c r="I111" s="99"/>
      <c r="J111" s="99"/>
      <c r="K111" s="99"/>
      <c r="L111" s="99"/>
    </row>
    <row r="112" spans="4:13" ht="20.100000000000001" customHeight="1" x14ac:dyDescent="0.25">
      <c r="D112" s="124" t="s">
        <v>165</v>
      </c>
      <c r="E112" s="122" t="s">
        <v>166</v>
      </c>
      <c r="F112" s="122" t="s">
        <v>167</v>
      </c>
      <c r="G112" s="99"/>
      <c r="H112" s="49" t="s">
        <v>168</v>
      </c>
      <c r="I112" s="99"/>
      <c r="J112" s="99"/>
      <c r="K112" s="99"/>
      <c r="L112" s="99"/>
    </row>
    <row r="113" spans="4:13" ht="20.100000000000001" customHeight="1" x14ac:dyDescent="0.25">
      <c r="D113" s="127" t="str" cm="1">
        <f t="array" ref="D113">Common_InputFunctions.Utility_DisplayArrayInTable(Fuel_SourceData.Fuel_Scope3EmissionFactorsStationaryGaseous_Data(), Table_Fuel_EFs_StationaryGaseous34[[#Headers],[State or territory]],0)</f>
        <v>New South Wales</v>
      </c>
      <c r="E113" s="127" cm="1">
        <f t="array" ref="E113">Common_InputFunctions.Utility_DisplayArrayInTable(Fuel_SourceData.Fuel_Scope3EmissionFactorsStationaryGaseous_Data(), Table_Fuel_EFs_StationaryGaseous34[[#Headers],[State or territory]],0)</f>
        <v>13.1</v>
      </c>
      <c r="F113" s="127"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99"/>
      <c r="J113" s="99"/>
      <c r="K113" s="99"/>
      <c r="L113" s="99"/>
    </row>
    <row r="114" spans="4:13" ht="20.100000000000001" customHeight="1" x14ac:dyDescent="0.25">
      <c r="D114" s="127" t="str" cm="1">
        <f t="array" ref="D114">Common_InputFunctions.Utility_DisplayArrayInTable(Fuel_SourceData.Fuel_Scope3EmissionFactorsStationaryGaseous_Data(), Table_Fuel_EFs_StationaryGaseous34[[#Headers],[State or territory]],0)</f>
        <v>ACT</v>
      </c>
      <c r="E114" s="127" cm="1">
        <f t="array" ref="E114">Common_InputFunctions.Utility_DisplayArrayInTable(Fuel_SourceData.Fuel_Scope3EmissionFactorsStationaryGaseous_Data(), Table_Fuel_EFs_StationaryGaseous34[[#Headers],[State or territory]],0)</f>
        <v>13.1</v>
      </c>
      <c r="F114" s="127" cm="1">
        <f t="array" ref="F114">Common_InputFunctions.Utility_DisplayArrayInTable(Fuel_SourceData.Fuel_Scope3EmissionFactorsStationaryGaseous_Data(), Table_Fuel_EFs_StationaryGaseous34[[#Headers],[State or territory]],0)</f>
        <v>14</v>
      </c>
      <c r="G114" s="30" t="str">
        <v/>
      </c>
      <c r="H114" s="1" t="str">
        <v>Gas reaches end users either from the metro distribution networks or direct from the high - pressure distribution pipelines.</v>
      </c>
      <c r="I114" s="99"/>
      <c r="J114" s="99"/>
      <c r="K114" s="99"/>
      <c r="L114" s="99"/>
    </row>
    <row r="115" spans="4:13" ht="20.100000000000001" customHeight="1" x14ac:dyDescent="0.25">
      <c r="D115" s="127" t="str" cm="1">
        <f t="array" ref="D115">Common_InputFunctions.Utility_DisplayArrayInTable(Fuel_SourceData.Fuel_Scope3EmissionFactorsStationaryGaseous_Data(), Table_Fuel_EFs_StationaryGaseous34[[#Headers],[State or territory]],0)</f>
        <v>Victoria</v>
      </c>
      <c r="E115" s="127" cm="1">
        <f t="array" ref="E115">Common_InputFunctions.Utility_DisplayArrayInTable(Fuel_SourceData.Fuel_Scope3EmissionFactorsStationaryGaseous_Data(), Table_Fuel_EFs_StationaryGaseous34[[#Headers],[State or territory]],0)</f>
        <v>4</v>
      </c>
      <c r="F115" s="127" cm="1">
        <f t="array" ref="F115">Common_InputFunctions.Utility_DisplayArrayInTable(Fuel_SourceData.Fuel_Scope3EmissionFactorsStationaryGaseous_Data(), Table_Fuel_EFs_StationaryGaseous34[[#Headers],[State or territory]],0)</f>
        <v>4</v>
      </c>
      <c r="G115" s="30" t="str">
        <v/>
      </c>
      <c r="H115" s="1" t="str">
        <v>Households and commercial users tend to be served by the former, and electricity generators and large industrial plants from the latter.</v>
      </c>
      <c r="I115" s="99"/>
      <c r="J115" s="99"/>
      <c r="K115" s="99"/>
      <c r="L115" s="99"/>
    </row>
    <row r="116" spans="4:13" ht="20.100000000000001" customHeight="1" x14ac:dyDescent="0.25">
      <c r="D116" s="127" t="str" cm="1">
        <f t="array" ref="D116">Common_InputFunctions.Utility_DisplayArrayInTable(Fuel_SourceData.Fuel_Scope3EmissionFactorsStationaryGaseous_Data(), Table_Fuel_EFs_StationaryGaseous34[[#Headers],[State or territory]],0)</f>
        <v>Queensland</v>
      </c>
      <c r="E116" s="127" cm="1">
        <f t="array" ref="E116">Common_InputFunctions.Utility_DisplayArrayInTable(Fuel_SourceData.Fuel_Scope3EmissionFactorsStationaryGaseous_Data(), Table_Fuel_EFs_StationaryGaseous34[[#Headers],[State or territory]],0)</f>
        <v>8.8000000000000007</v>
      </c>
      <c r="F116" s="127" cm="1">
        <f t="array" ref="F116">Common_InputFunctions.Utility_DisplayArrayInTable(Fuel_SourceData.Fuel_Scope3EmissionFactorsStationaryGaseous_Data(), Table_Fuel_EFs_StationaryGaseous34[[#Headers],[State or territory]],0)</f>
        <v>7.9</v>
      </c>
      <c r="G116" s="30" t="str">
        <v>-</v>
      </c>
      <c r="H116" s="1" t="str">
        <v>Metro is defined as located on or east of the dividing range in NSW, including Canberra and Queanbeyan, Melbourne, Brisbane, Adelaide or Perth.</v>
      </c>
      <c r="I116" s="99"/>
      <c r="J116" s="99"/>
      <c r="K116" s="99"/>
      <c r="L116" s="99"/>
    </row>
    <row r="117" spans="4:13" ht="20.100000000000001" customHeight="1" x14ac:dyDescent="0.25">
      <c r="D117" s="127" t="str" cm="1">
        <f t="array" ref="D117">Common_InputFunctions.Utility_DisplayArrayInTable(Fuel_SourceData.Fuel_Scope3EmissionFactorsStationaryGaseous_Data(), Table_Fuel_EFs_StationaryGaseous34[[#Headers],[State or territory]],0)</f>
        <v>South Australia</v>
      </c>
      <c r="E117" s="127" cm="1">
        <f t="array" ref="E117">Common_InputFunctions.Utility_DisplayArrayInTable(Fuel_SourceData.Fuel_Scope3EmissionFactorsStationaryGaseous_Data(), Table_Fuel_EFs_StationaryGaseous34[[#Headers],[State or territory]],0)</f>
        <v>10.7</v>
      </c>
      <c r="F117" s="127" cm="1">
        <f t="array" ref="F117">Common_InputFunctions.Utility_DisplayArrayInTable(Fuel_SourceData.Fuel_Scope3EmissionFactorsStationaryGaseous_Data(), Table_Fuel_EFs_StationaryGaseous34[[#Headers],[State or territory]],0)</f>
        <v>10.6</v>
      </c>
      <c r="G117" s="30" t="str">
        <v/>
      </c>
      <c r="H117" s="1" t="str">
        <v>Otherwise, the non - metro factor should be used.</v>
      </c>
      <c r="I117" s="99"/>
      <c r="J117" s="99"/>
      <c r="K117" s="99"/>
      <c r="L117" s="99"/>
    </row>
    <row r="118" spans="4:13" ht="20.100000000000001" customHeight="1" x14ac:dyDescent="0.25">
      <c r="D118" s="127" t="str" cm="1">
        <f t="array" ref="D118">Common_InputFunctions.Utility_DisplayArrayInTable(Fuel_SourceData.Fuel_Scope3EmissionFactorsStationaryGaseous_Data(), Table_Fuel_EFs_StationaryGaseous34[[#Headers],[State or territory]],0)</f>
        <v>Western Australia</v>
      </c>
      <c r="E118" s="127" cm="1">
        <f t="array" ref="E118">Common_InputFunctions.Utility_DisplayArrayInTable(Fuel_SourceData.Fuel_Scope3EmissionFactorsStationaryGaseous_Data(), Table_Fuel_EFs_StationaryGaseous34[[#Headers],[State or territory]],0)</f>
        <v>4.0999999999999996</v>
      </c>
      <c r="F118" s="127" cm="1">
        <f t="array" ref="F118">Common_InputFunctions.Utility_DisplayArrayInTable(Fuel_SourceData.Fuel_Scope3EmissionFactorsStationaryGaseous_Data(), Table_Fuel_EFs_StationaryGaseous34[[#Headers],[State or territory]],0)</f>
        <v>4</v>
      </c>
      <c r="G118" s="30" t="str">
        <v>-</v>
      </c>
      <c r="H118" s="1" t="str">
        <v>Factors are calculated for all natural gas distributed in a pipeline which may include coal seam methane.</v>
      </c>
      <c r="I118" s="99"/>
      <c r="J118" s="99"/>
      <c r="K118" s="99"/>
      <c r="L118" s="99"/>
    </row>
    <row r="119" spans="4:13" ht="20.100000000000001" customHeight="1" x14ac:dyDescent="0.25">
      <c r="D119" s="127" t="str" cm="1">
        <f t="array" ref="D119">Common_InputFunctions.Utility_DisplayArrayInTable(Fuel_SourceData.Fuel_Scope3EmissionFactorsStationaryGaseous_Data(), Table_Fuel_EFs_StationaryGaseous34[[#Headers],[State or territory]],0)</f>
        <v>Tasmania</v>
      </c>
      <c r="E119" s="127" cm="1">
        <f t="array" ref="E119">Common_InputFunctions.Utility_DisplayArrayInTable(Fuel_SourceData.Fuel_Scope3EmissionFactorsStationaryGaseous_Data(), Table_Fuel_EFs_StationaryGaseous34[[#Headers],[State or territory]],0)</f>
        <v>4</v>
      </c>
      <c r="F119" s="127" cm="1">
        <f t="array" ref="F119">Common_InputFunctions.Utility_DisplayArrayInTable(Fuel_SourceData.Fuel_Scope3EmissionFactorsStationaryGaseous_Data(), Table_Fuel_EFs_StationaryGaseous34[[#Headers],[State or territory]],0)</f>
        <v>4</v>
      </c>
      <c r="G119" s="30" t="str">
        <v>-</v>
      </c>
      <c r="H119" s="1" t="str">
        <v>Table 6 is not applicable to ethane. See Table 7 Indirect (Scope 3) emissions from the consumption of ethane.</v>
      </c>
      <c r="I119" s="99"/>
      <c r="J119" s="99"/>
      <c r="K119" s="99"/>
      <c r="L119" s="99"/>
    </row>
    <row r="120" spans="4:13" ht="20.100000000000001" customHeight="1" x14ac:dyDescent="0.25">
      <c r="D120" s="127" t="str" cm="1">
        <f t="array" ref="D120">Common_InputFunctions.Utility_DisplayArrayInTable(Fuel_SourceData.Fuel_Scope3EmissionFactorsStationaryGaseous_Data(), Table_Fuel_EFs_StationaryGaseous34[[#Headers],[State or territory]],0)</f>
        <v>Northern Territory</v>
      </c>
      <c r="E120" s="127" cm="1">
        <f t="array" ref="E120">Common_InputFunctions.Utility_DisplayArrayInTable(Fuel_SourceData.Fuel_Scope3EmissionFactorsStationaryGaseous_Data(), Table_Fuel_EFs_StationaryGaseous34[[#Headers],[State or territory]],0)</f>
        <v>4.0999999999999996</v>
      </c>
      <c r="F120" s="127" cm="1">
        <f t="array" ref="F120">Common_InputFunctions.Utility_DisplayArrayInTable(Fuel_SourceData.Fuel_Scope3EmissionFactorsStationaryGaseous_Data(), Table_Fuel_EFs_StationaryGaseous34[[#Headers],[State or territory]],0)</f>
        <v>4</v>
      </c>
      <c r="G120" s="30" t="str">
        <v>-</v>
      </c>
      <c r="H120" s="1" t="str">
        <v>C = Confidential. Scope 3 emission factors for Tasmania and the Northern Territory are not available due to confidentiality constraints that arise</v>
      </c>
      <c r="I120" s="99"/>
      <c r="J120" s="99"/>
      <c r="K120" s="99"/>
      <c r="L120" s="99"/>
    </row>
    <row r="121" spans="4:13" ht="20.100000000000001" customHeight="1" x14ac:dyDescent="0.25">
      <c r="D121" s="22"/>
      <c r="E121" s="22"/>
      <c r="F121" s="22"/>
      <c r="G121" s="30" t="str">
        <v/>
      </c>
      <c r="H121" s="1" t="str">
        <v>from the use of a limited number of NGER data inputs. It is suggested that for Tasmania the use of the Victorian emission factors is appropriate,</v>
      </c>
      <c r="I121" s="99"/>
      <c r="J121" s="99"/>
      <c r="K121" s="99"/>
      <c r="L121" s="99"/>
    </row>
    <row r="122" spans="4:13" ht="20.100000000000001" customHeight="1" x14ac:dyDescent="0.25">
      <c r="D122" s="99"/>
      <c r="F122" s="126"/>
      <c r="G122" s="30" t="str">
        <v/>
      </c>
      <c r="H122" s="1" t="str">
        <v>while for Northern Territory the use of the Western Australian emission factors is appropriate.</v>
      </c>
      <c r="I122" s="99"/>
      <c r="J122" s="99"/>
      <c r="K122" s="99"/>
      <c r="L122" s="99"/>
    </row>
    <row r="123" spans="4:13" ht="20.100000000000001" customHeight="1" x14ac:dyDescent="0.25">
      <c r="D123" s="128"/>
      <c r="F123" s="126"/>
      <c r="G123" s="30" t="str">
        <v>-</v>
      </c>
      <c r="H123" s="1" t="str">
        <v>Scope 3 emission factors do not include fugitive emission leakage from low pressure natural gas distribution pipeline networks while those from high pressure</v>
      </c>
      <c r="I123" s="99"/>
      <c r="J123" s="99"/>
      <c r="K123" s="99"/>
      <c r="L123" s="99"/>
    </row>
    <row r="124" spans="4:13" ht="20.100000000000001" customHeight="1" x14ac:dyDescent="0.25">
      <c r="D124" s="128"/>
      <c r="F124" s="126"/>
      <c r="G124" s="99" t="str">
        <v/>
      </c>
      <c r="H124" s="1" t="str">
        <v>gas networks are considered negligible.</v>
      </c>
      <c r="I124" s="99"/>
      <c r="J124" s="99"/>
      <c r="K124" s="99"/>
      <c r="L124" s="99"/>
    </row>
    <row r="125" spans="4:13" ht="20.100000000000001" customHeight="1" x14ac:dyDescent="0.25">
      <c r="D125" s="128"/>
      <c r="F125" s="126"/>
      <c r="G125" s="99"/>
      <c r="H125" s="99"/>
      <c r="I125" s="99"/>
      <c r="J125" s="99"/>
      <c r="K125" s="99"/>
      <c r="L125" s="99"/>
    </row>
    <row r="126" spans="4:13" ht="20.100000000000001" customHeight="1" x14ac:dyDescent="0.25">
      <c r="D126" s="99"/>
      <c r="E126" s="99"/>
      <c r="F126" s="99"/>
      <c r="G126" s="99"/>
      <c r="H126" s="99"/>
      <c r="I126" s="99"/>
      <c r="J126" s="99"/>
      <c r="K126" s="99"/>
      <c r="L126" s="99"/>
      <c r="M126" s="99"/>
    </row>
    <row r="127" spans="4:13" ht="20.100000000000001" customHeight="1" x14ac:dyDescent="0.25">
      <c r="D127" s="99"/>
      <c r="E127" s="99"/>
      <c r="F127" s="99"/>
      <c r="G127" s="99"/>
      <c r="H127" s="99"/>
      <c r="I127" s="99"/>
      <c r="J127" s="99"/>
      <c r="K127" s="99"/>
      <c r="L127" s="99"/>
      <c r="M127" s="99"/>
    </row>
    <row r="128" spans="4:13" ht="20.100000000000001" customHeight="1" x14ac:dyDescent="0.25">
      <c r="D128" s="99"/>
      <c r="E128" s="99"/>
      <c r="F128" s="99"/>
      <c r="G128" s="99"/>
      <c r="H128" s="99"/>
      <c r="I128" s="99"/>
      <c r="J128" s="99"/>
      <c r="K128" s="99"/>
      <c r="L128" s="99"/>
      <c r="M128" s="99"/>
    </row>
    <row r="129" spans="4:33" ht="20.100000000000001" customHeight="1" x14ac:dyDescent="0.25">
      <c r="D129" s="129"/>
      <c r="E129" s="99"/>
      <c r="F129" s="99"/>
      <c r="G129" s="99"/>
      <c r="H129" s="99"/>
      <c r="I129" s="99"/>
      <c r="J129" s="99"/>
      <c r="K129" s="99"/>
      <c r="L129" s="99"/>
    </row>
    <row r="130" spans="4:33" ht="20.100000000000001" customHeight="1" x14ac:dyDescent="0.25">
      <c r="D130" s="130" t="s">
        <v>141</v>
      </c>
      <c r="E130" s="130" t="s">
        <v>139</v>
      </c>
      <c r="F130" s="130" t="s">
        <v>144</v>
      </c>
      <c r="G130" s="130" t="s">
        <v>148</v>
      </c>
      <c r="H130" s="130" t="s">
        <v>191</v>
      </c>
      <c r="I130" s="130" t="s">
        <v>192</v>
      </c>
      <c r="J130" s="130" t="s">
        <v>190</v>
      </c>
      <c r="K130" s="99"/>
      <c r="L130" s="99"/>
      <c r="M130" s="99"/>
      <c r="AG130" s="1"/>
    </row>
    <row r="131" spans="4:33" ht="20.100000000000001" customHeight="1" x14ac:dyDescent="0.25">
      <c r="D131" s="131" t="str">
        <f>$D$143</f>
        <v>Petrol</v>
      </c>
      <c r="E131" s="131" t="str">
        <f>$D$143</f>
        <v>Petrol</v>
      </c>
      <c r="F131" s="131" t="str">
        <f>$D$150</f>
        <v>Avgas</v>
      </c>
      <c r="G131" s="131" t="str">
        <f>$D$143</f>
        <v>Petrol</v>
      </c>
      <c r="H131" s="131" t="str">
        <f>$D$144</f>
        <v>Diesel</v>
      </c>
      <c r="I131" s="131" t="str">
        <f>$D$143</f>
        <v>Petrol</v>
      </c>
      <c r="J131" s="131" t="str">
        <f>$D$143</f>
        <v>Petrol</v>
      </c>
      <c r="K131" s="99"/>
      <c r="L131" s="99"/>
      <c r="M131" s="99"/>
      <c r="AG131" s="1"/>
    </row>
    <row r="132" spans="4:33" ht="20.100000000000001" customHeight="1" x14ac:dyDescent="0.25">
      <c r="D132" s="131" t="str">
        <f>$D$144</f>
        <v>Diesel</v>
      </c>
      <c r="E132" s="131" t="str">
        <f>$D$144</f>
        <v>Diesel</v>
      </c>
      <c r="F132" s="131" t="str">
        <f>$D$151</f>
        <v>Jet A1, Jet B</v>
      </c>
      <c r="G132" s="131" t="str">
        <f>$D$144</f>
        <v>Diesel</v>
      </c>
      <c r="H132" s="131"/>
      <c r="I132" s="131" t="str">
        <f>$D$144</f>
        <v>Diesel</v>
      </c>
      <c r="J132" s="131" t="str">
        <f>$D$144</f>
        <v>Diesel</v>
      </c>
      <c r="K132" s="99"/>
      <c r="L132" s="99"/>
      <c r="M132" s="99"/>
      <c r="AG132" s="1"/>
    </row>
    <row r="133" spans="4:33" ht="20.100000000000001" customHeight="1" x14ac:dyDescent="0.25">
      <c r="D133" s="131" t="str">
        <f>$D$145</f>
        <v>Liquefied petroleum gas (LPG)</v>
      </c>
      <c r="E133" s="131" t="str">
        <f>$D$145</f>
        <v>Liquefied petroleum gas (LPG)</v>
      </c>
      <c r="F133" s="131" t="str">
        <f>$D$152</f>
        <v>Renewable aviation kerosene</v>
      </c>
      <c r="G133" s="131" t="str">
        <f>$D$145</f>
        <v>Liquefied petroleum gas (LPG)</v>
      </c>
      <c r="H133" s="131"/>
      <c r="I133" s="131" t="s">
        <v>181</v>
      </c>
      <c r="J133" s="131" t="str">
        <f>$D$145</f>
        <v>Liquefied petroleum gas (LPG)</v>
      </c>
      <c r="K133" s="99"/>
      <c r="L133" s="99"/>
      <c r="M133" s="99"/>
      <c r="AG133" s="1"/>
    </row>
    <row r="134" spans="4:33" ht="20.100000000000001" customHeight="1" x14ac:dyDescent="0.25">
      <c r="D134" s="131" t="str">
        <f>$D$146</f>
        <v>Biodiesel</v>
      </c>
      <c r="E134" s="131" t="str">
        <f>$D$146</f>
        <v>Biodiesel</v>
      </c>
      <c r="F134" s="130"/>
      <c r="G134" s="131" t="str">
        <f>$D$160</f>
        <v>Fuel oil</v>
      </c>
      <c r="H134" s="131"/>
      <c r="I134" s="131"/>
      <c r="J134" s="131" t="str">
        <f>$D$146</f>
        <v>Biodiesel</v>
      </c>
      <c r="K134" s="99"/>
      <c r="L134" s="99"/>
      <c r="M134" s="99"/>
      <c r="AG134" s="1"/>
    </row>
    <row r="135" spans="4:33" ht="20.100000000000001" customHeight="1" x14ac:dyDescent="0.25">
      <c r="D135" s="131" t="str">
        <f>$D$147</f>
        <v>Ethanol</v>
      </c>
      <c r="E135" s="131" t="str">
        <f>$D$147</f>
        <v>Ethanol</v>
      </c>
      <c r="F135" s="130"/>
      <c r="G135" s="131" t="str">
        <f>$D$147</f>
        <v>Ethanol</v>
      </c>
      <c r="H135" s="131"/>
      <c r="I135" s="131"/>
      <c r="J135" s="131" t="str">
        <f>$D$147</f>
        <v>Ethanol</v>
      </c>
      <c r="K135" s="99"/>
      <c r="L135" s="99"/>
      <c r="M135" s="99"/>
      <c r="AG135" s="1"/>
    </row>
    <row r="136" spans="4:33" ht="20.100000000000001" customHeight="1" x14ac:dyDescent="0.25">
      <c r="D136" s="131" t="str">
        <f>$D$148</f>
        <v>Other biofuels</v>
      </c>
      <c r="E136" s="131" t="str">
        <f>$D$148</f>
        <v>Other biofuels</v>
      </c>
      <c r="F136" s="130"/>
      <c r="G136" s="131" t="str">
        <f>$D$146</f>
        <v>Biodiesel</v>
      </c>
      <c r="H136" s="131"/>
      <c r="I136" s="131"/>
      <c r="J136" s="131" t="str">
        <f>$D$148</f>
        <v>Other biofuels</v>
      </c>
      <c r="K136" s="99"/>
      <c r="L136" s="99"/>
      <c r="M136" s="99"/>
      <c r="AG136" s="1"/>
    </row>
    <row r="137" spans="4:33" ht="20.100000000000001" customHeight="1" x14ac:dyDescent="0.25">
      <c r="D137" s="131" t="str">
        <f>$D$149</f>
        <v>Renewable diesel</v>
      </c>
      <c r="E137" s="131" t="str">
        <f>$D$149</f>
        <v>Renewable diesel</v>
      </c>
      <c r="F137" s="130"/>
      <c r="G137" s="131" t="str">
        <f>$D$149</f>
        <v>Renewable diesel</v>
      </c>
      <c r="H137" s="131"/>
      <c r="I137" s="131"/>
      <c r="J137" s="131" t="str">
        <f>$D$149</f>
        <v>Renewable diesel</v>
      </c>
      <c r="K137" s="99"/>
      <c r="L137" s="99"/>
      <c r="M137" s="99"/>
      <c r="AG137" s="1"/>
    </row>
    <row r="138" spans="4:33" ht="20.100000000000001" customHeight="1" x14ac:dyDescent="0.25">
      <c r="D138" s="130"/>
      <c r="E138" s="132" t="str">
        <f>$D$161</f>
        <v>Natural gas (via pipeline) in GJ</v>
      </c>
      <c r="F138" s="132"/>
      <c r="G138" s="131" t="str">
        <f>$D$148</f>
        <v>Other biofuels</v>
      </c>
      <c r="H138" s="131"/>
      <c r="I138" s="131"/>
      <c r="J138" s="132" t="str">
        <f>$D$161</f>
        <v>Natural gas (via pipeline) in GJ</v>
      </c>
      <c r="K138" s="99"/>
      <c r="L138" s="99"/>
      <c r="M138" s="99"/>
      <c r="AG138" s="1"/>
    </row>
    <row r="139" spans="4:33" ht="20.100000000000001" customHeight="1" x14ac:dyDescent="0.25">
      <c r="D139" s="132"/>
      <c r="E139" s="132" t="str">
        <f>$D$162</f>
        <v>Town gas in GJ</v>
      </c>
      <c r="F139" s="132"/>
      <c r="G139" s="132"/>
      <c r="H139" s="132"/>
      <c r="I139" s="132"/>
      <c r="J139" s="132" t="str">
        <f>$D$162</f>
        <v>Town gas in GJ</v>
      </c>
      <c r="K139" s="99"/>
      <c r="L139" s="99"/>
      <c r="M139" s="99"/>
      <c r="AG139" s="1"/>
    </row>
    <row r="140" spans="4:33" ht="20.100000000000001" customHeight="1" x14ac:dyDescent="0.25">
      <c r="D140" s="99"/>
      <c r="E140" s="99"/>
      <c r="F140" s="99"/>
      <c r="G140" s="99"/>
      <c r="H140" s="99"/>
      <c r="I140" s="99"/>
      <c r="J140" s="99"/>
      <c r="K140" s="99"/>
      <c r="L140" s="99"/>
    </row>
    <row r="141" spans="4:33" ht="20.100000000000001" customHeight="1" x14ac:dyDescent="0.25">
      <c r="D141" s="99"/>
      <c r="E141" s="99"/>
      <c r="F141" s="99"/>
      <c r="G141" s="99"/>
      <c r="H141" s="99"/>
      <c r="I141" s="99"/>
      <c r="J141" s="99"/>
      <c r="K141" s="99"/>
      <c r="L141" s="99"/>
    </row>
    <row r="142" spans="4:33" ht="20.100000000000001" customHeight="1" x14ac:dyDescent="0.25">
      <c r="D142" t="s">
        <v>169</v>
      </c>
      <c r="E142" t="s">
        <v>16</v>
      </c>
      <c r="F142" s="99"/>
      <c r="G142" s="99"/>
      <c r="H142" s="99"/>
      <c r="I142" s="99"/>
      <c r="J142" s="99"/>
      <c r="K142" s="99"/>
      <c r="L142" s="99"/>
    </row>
    <row r="143" spans="4:33" ht="20.100000000000001" customHeight="1" x14ac:dyDescent="0.25">
      <c r="D143" s="131" t="s">
        <v>142</v>
      </c>
      <c r="E143" t="s">
        <v>170</v>
      </c>
      <c r="F143" s="99"/>
      <c r="G143" s="99"/>
      <c r="H143" s="99"/>
      <c r="I143" s="99"/>
      <c r="J143" s="99"/>
      <c r="K143" s="99"/>
      <c r="L143" s="99"/>
    </row>
    <row r="144" spans="4:33" ht="20.100000000000001" customHeight="1" x14ac:dyDescent="0.25">
      <c r="D144" s="131" t="s">
        <v>149</v>
      </c>
      <c r="E144" t="s">
        <v>170</v>
      </c>
      <c r="F144" s="99"/>
      <c r="G144" s="99"/>
      <c r="H144" s="99"/>
      <c r="I144" s="99"/>
      <c r="J144" s="99"/>
      <c r="K144" s="99"/>
      <c r="L144" s="99"/>
    </row>
    <row r="145" spans="4:12" ht="20.100000000000001" customHeight="1" x14ac:dyDescent="0.25">
      <c r="D145" s="131" t="s">
        <v>150</v>
      </c>
      <c r="E145" t="s">
        <v>170</v>
      </c>
      <c r="F145" s="99"/>
      <c r="G145" s="99"/>
      <c r="H145" s="99"/>
      <c r="I145" s="99"/>
      <c r="J145" s="99"/>
      <c r="K145" s="99"/>
      <c r="L145" s="99"/>
    </row>
    <row r="146" spans="4:12" ht="20.100000000000001" customHeight="1" x14ac:dyDescent="0.25">
      <c r="D146" s="131" t="s">
        <v>171</v>
      </c>
      <c r="E146" t="s">
        <v>170</v>
      </c>
      <c r="F146" s="99"/>
      <c r="G146" s="99"/>
      <c r="H146" s="99"/>
      <c r="I146" s="99"/>
      <c r="J146" s="99"/>
      <c r="K146" s="99"/>
      <c r="L146" s="99"/>
    </row>
    <row r="147" spans="4:12" ht="20.100000000000001" customHeight="1" x14ac:dyDescent="0.25">
      <c r="D147" s="131" t="s">
        <v>140</v>
      </c>
      <c r="E147" t="s">
        <v>170</v>
      </c>
      <c r="F147" s="99"/>
      <c r="G147" s="99"/>
      <c r="H147" s="99"/>
      <c r="I147" s="99"/>
      <c r="J147" s="99"/>
      <c r="K147" s="99"/>
      <c r="L147" s="99"/>
    </row>
    <row r="148" spans="4:12" ht="20.100000000000001" customHeight="1" x14ac:dyDescent="0.25">
      <c r="D148" s="131" t="s">
        <v>172</v>
      </c>
      <c r="E148" t="s">
        <v>170</v>
      </c>
      <c r="F148" s="99"/>
      <c r="G148" s="99"/>
      <c r="H148" s="99"/>
      <c r="I148" s="99"/>
      <c r="J148" s="99"/>
      <c r="K148" s="99"/>
      <c r="L148" s="99"/>
    </row>
    <row r="149" spans="4:12" ht="20.100000000000001" customHeight="1" x14ac:dyDescent="0.25">
      <c r="D149" s="131" t="s">
        <v>173</v>
      </c>
      <c r="E149" t="s">
        <v>170</v>
      </c>
      <c r="F149" s="99"/>
      <c r="G149" s="99"/>
      <c r="H149" s="99"/>
      <c r="I149" s="99"/>
      <c r="J149" s="99"/>
      <c r="K149" s="99"/>
      <c r="L149" s="99"/>
    </row>
    <row r="150" spans="4:12" ht="20.100000000000001" customHeight="1" x14ac:dyDescent="0.25">
      <c r="D150" s="131" t="s">
        <v>174</v>
      </c>
      <c r="E150" t="s">
        <v>170</v>
      </c>
      <c r="F150" s="99"/>
      <c r="G150" s="99"/>
      <c r="H150" s="99"/>
      <c r="I150" s="99"/>
      <c r="J150" s="99"/>
      <c r="K150" s="99"/>
      <c r="L150" s="99"/>
    </row>
    <row r="151" spans="4:12" ht="20.100000000000001" customHeight="1" x14ac:dyDescent="0.25">
      <c r="D151" s="131" t="s">
        <v>145</v>
      </c>
      <c r="E151" t="s">
        <v>170</v>
      </c>
      <c r="F151" s="99"/>
      <c r="G151" s="99"/>
      <c r="H151" s="99"/>
      <c r="I151" s="99"/>
      <c r="J151" s="99"/>
      <c r="K151" s="99"/>
      <c r="L151" s="99"/>
    </row>
    <row r="152" spans="4:12" ht="20.100000000000001" customHeight="1" x14ac:dyDescent="0.25">
      <c r="D152" s="133" t="s">
        <v>175</v>
      </c>
      <c r="E152" s="22" t="s">
        <v>170</v>
      </c>
      <c r="F152" s="99"/>
      <c r="G152" s="99"/>
      <c r="H152" s="99"/>
      <c r="I152" s="99"/>
      <c r="J152" s="99"/>
      <c r="K152" s="99"/>
      <c r="L152" s="99"/>
    </row>
    <row r="153" spans="4:12" ht="20.100000000000001" customHeight="1" x14ac:dyDescent="0.25">
      <c r="D153" s="133" t="s">
        <v>146</v>
      </c>
      <c r="E153" s="22" t="s">
        <v>170</v>
      </c>
      <c r="F153" s="99"/>
      <c r="G153" s="99"/>
      <c r="H153" s="99"/>
      <c r="I153" s="99"/>
      <c r="J153" s="99"/>
      <c r="K153" s="99"/>
      <c r="L153" s="99"/>
    </row>
    <row r="154" spans="4:12" ht="20.100000000000001" customHeight="1" x14ac:dyDescent="0.25">
      <c r="D154" s="133" t="s">
        <v>147</v>
      </c>
      <c r="E154" s="22" t="s">
        <v>170</v>
      </c>
      <c r="F154" s="99"/>
      <c r="G154" s="99"/>
      <c r="H154" s="99"/>
      <c r="I154" s="99"/>
      <c r="J154" s="99"/>
      <c r="K154" s="99"/>
      <c r="L154" s="99"/>
    </row>
    <row r="155" spans="4:12" ht="20.100000000000001" customHeight="1" x14ac:dyDescent="0.25">
      <c r="D155" s="133" t="s">
        <v>176</v>
      </c>
      <c r="E155" s="22" t="s">
        <v>170</v>
      </c>
      <c r="F155" s="99"/>
      <c r="G155" s="99"/>
      <c r="H155" s="99"/>
      <c r="I155" s="99"/>
      <c r="J155" s="99"/>
      <c r="K155" s="99"/>
      <c r="L155" s="99"/>
    </row>
    <row r="156" spans="4:12" ht="20.100000000000001" customHeight="1" x14ac:dyDescent="0.25">
      <c r="D156" s="133" t="s">
        <v>177</v>
      </c>
      <c r="E156" s="22" t="s">
        <v>170</v>
      </c>
      <c r="F156" s="99"/>
      <c r="G156" s="99"/>
      <c r="H156" s="99"/>
      <c r="I156" s="99"/>
      <c r="J156" s="99"/>
      <c r="K156" s="99"/>
      <c r="L156" s="99"/>
    </row>
    <row r="157" spans="4:12" ht="20.100000000000001" customHeight="1" x14ac:dyDescent="0.25">
      <c r="D157" s="133" t="s">
        <v>178</v>
      </c>
      <c r="E157" s="22" t="s">
        <v>170</v>
      </c>
      <c r="F157" s="99"/>
      <c r="G157" s="99"/>
      <c r="H157" s="99"/>
      <c r="I157" s="99"/>
      <c r="J157" s="99"/>
      <c r="K157" s="99"/>
      <c r="L157" s="99"/>
    </row>
    <row r="158" spans="4:12" ht="20.100000000000001" customHeight="1" x14ac:dyDescent="0.25">
      <c r="D158" s="133" t="s">
        <v>179</v>
      </c>
      <c r="E158" s="22" t="s">
        <v>170</v>
      </c>
      <c r="F158" s="99"/>
      <c r="G158" s="99"/>
      <c r="H158" s="99"/>
      <c r="I158" s="99"/>
      <c r="J158" s="99"/>
      <c r="K158" s="99"/>
      <c r="L158" s="99"/>
    </row>
    <row r="159" spans="4:12" ht="20.100000000000001" customHeight="1" x14ac:dyDescent="0.25">
      <c r="D159" s="133" t="s">
        <v>180</v>
      </c>
      <c r="E159" s="22" t="s">
        <v>170</v>
      </c>
      <c r="F159" s="99"/>
      <c r="G159" s="99"/>
      <c r="H159" s="99"/>
      <c r="I159" s="99"/>
      <c r="J159" s="99"/>
      <c r="K159" s="99"/>
      <c r="L159" s="99"/>
    </row>
    <row r="160" spans="4:12" ht="20.100000000000001" customHeight="1" x14ac:dyDescent="0.25">
      <c r="D160" s="133" t="s">
        <v>181</v>
      </c>
      <c r="E160" s="22" t="s">
        <v>170</v>
      </c>
      <c r="F160" s="99"/>
      <c r="G160" s="99"/>
      <c r="H160" s="99"/>
      <c r="I160" s="99"/>
      <c r="J160" s="99"/>
      <c r="K160" s="99"/>
      <c r="L160" s="99"/>
    </row>
    <row r="161" spans="4:12" ht="20.100000000000001" customHeight="1" x14ac:dyDescent="0.25">
      <c r="D161" s="132" t="s">
        <v>143</v>
      </c>
      <c r="E161" s="99" t="s">
        <v>182</v>
      </c>
      <c r="F161" s="99"/>
      <c r="G161" s="99"/>
      <c r="H161" s="99"/>
      <c r="I161" s="99"/>
      <c r="J161" s="99"/>
      <c r="K161" s="99"/>
      <c r="L161" s="99"/>
    </row>
    <row r="162" spans="4:12" ht="20.100000000000001" customHeight="1" x14ac:dyDescent="0.25">
      <c r="D162" s="99" t="s">
        <v>151</v>
      </c>
      <c r="E162" s="99" t="s">
        <v>182</v>
      </c>
      <c r="F162" s="99"/>
      <c r="G162" s="99"/>
      <c r="H162" s="99"/>
      <c r="I162" s="99"/>
      <c r="J162" s="99"/>
      <c r="K162" s="99"/>
      <c r="L162" s="99"/>
    </row>
    <row r="163" spans="4:12" ht="20.100000000000001" customHeight="1" x14ac:dyDescent="0.25"/>
    <row r="164" spans="4:12" ht="20.100000000000001" customHeight="1" x14ac:dyDescent="0.25"/>
    <row r="165" spans="4:12" ht="20.100000000000001" customHeight="1" x14ac:dyDescent="0.25"/>
  </sheetData>
  <phoneticPr fontId="23"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opLeftCell="A123"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1" t="str" cm="1">
        <f t="array" ref="D59:D61">"⚠️" &amp; Common_SourceData.Common_SourceData_WetAndDryZones_Variation()</f>
        <v>⚠️VARIATION OF SOURCE DATA:</v>
      </c>
    </row>
    <row r="60" spans="4:8" ht="20.100000000000001" customHeight="1" x14ac:dyDescent="0.25">
      <c r="D60" s="51" t="str">
        <v>⚠️Added warm / cool temperate moist / dry - low frost and high temp classes to accommodate climate scenarios excluded by VEERG criteria.</v>
      </c>
    </row>
    <row r="61" spans="4:8" ht="20.100000000000001" customHeight="1" x14ac:dyDescent="0.25">
      <c r="D61" s="51"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1" t="str" cm="1">
        <f t="array" ref="D83:D87">"⚠️" &amp; Common_SourceData.Common_SourceData_ClimateZones_Variation()</f>
        <v>⚠️VARIATION OF SOURCE DATA:</v>
      </c>
    </row>
    <row r="84" spans="4:20" ht="20.100000000000001" customHeight="1" x14ac:dyDescent="0.25">
      <c r="D84" s="51" t="str">
        <v>⚠️Added warm / cool temperate moist / dry - low frost and high temp classes to accommodate climate scenarios excluded by VEERG criteria.</v>
      </c>
    </row>
    <row r="85" spans="4:20" ht="20.100000000000001" customHeight="1" x14ac:dyDescent="0.25">
      <c r="D85" s="51" t="str">
        <v>⚠️Fixed typo in MAT value for warm temperate dry - changed 10 to 11.</v>
      </c>
    </row>
    <row r="86" spans="4:20" ht="20.100000000000001" customHeight="1" x14ac:dyDescent="0.25">
      <c r="D86" s="51" t="str">
        <v>⚠️Added min and max columns for MAT, MAP, frost days per year, elevation, MAP:PET to calculate zones from real climate data.</v>
      </c>
    </row>
    <row r="87" spans="4:20" ht="20.100000000000001" customHeight="1" x14ac:dyDescent="0.25">
      <c r="D87" s="51"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0" t="str" cm="1">
        <f t="array" ref="D98:D101">Common_SourceData.Common_SourceData_ClimateZones_Appendices()</f>
        <v>Note:</v>
      </c>
    </row>
    <row r="99" spans="4:20" ht="20.100000000000001" customHeight="1" x14ac:dyDescent="0.25">
      <c r="D99" s="50" t="str">
        <v>MAT = mean annual temperature</v>
      </c>
    </row>
    <row r="100" spans="4:20" ht="20.100000000000001" customHeight="1" x14ac:dyDescent="0.25">
      <c r="D100" s="50" t="str">
        <v>MAP = mean annual precipitation</v>
      </c>
    </row>
    <row r="101" spans="4:20" ht="20.100000000000001" customHeight="1" x14ac:dyDescent="0.25">
      <c r="D101" s="50" t="str">
        <v>PET = potential evapotranspiration</v>
      </c>
    </row>
    <row r="102" spans="4:20" ht="20.100000000000001" customHeight="1" x14ac:dyDescent="0.25">
      <c r="D102" s="50"/>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1"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89</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7" t="s">
        <v>8</v>
      </c>
      <c r="E206" s="37" t="s">
        <v>91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88</v>
      </c>
      <c r="E212" s="37" t="s">
        <v>96</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106</v>
      </c>
      <c r="F231" s="36" t="s">
        <v>107</v>
      </c>
      <c r="G231" s="37" t="s">
        <v>102</v>
      </c>
      <c r="H231" s="37" t="s">
        <v>108</v>
      </c>
      <c r="I231" s="37" t="s">
        <v>109</v>
      </c>
      <c r="J231" s="37" t="s">
        <v>101</v>
      </c>
      <c r="K231" s="37" t="s">
        <v>100</v>
      </c>
      <c r="L231" s="37" t="s">
        <v>110</v>
      </c>
      <c r="M231" s="37" t="s">
        <v>111</v>
      </c>
      <c r="N231" s="37" t="s">
        <v>99</v>
      </c>
      <c r="O231" s="37" t="s">
        <v>112</v>
      </c>
      <c r="P231" s="37" t="s">
        <v>104</v>
      </c>
      <c r="Q231" s="37" t="s">
        <v>105</v>
      </c>
      <c r="R231" s="37" t="s">
        <v>103</v>
      </c>
      <c r="S231" s="37" t="s">
        <v>113</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7" t="s">
        <v>114</v>
      </c>
      <c r="E257" s="37" t="s">
        <v>115</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VAHIAZQBpAGMAXAAiACwAIAAxACwAIAAwACwAIABcACIAVQByAGUAYQAtAGIAYQBzAGUAZAAgAGYAZQByAHQAaQBsAGkAcwBlAHIAcwBcACIALAAgAFwAIgBOAGkAdAByAG8AZwBlAG4AIABmAHIAbwBtACAAZgBlAHIAdABpAGwAaQBzAGUAcg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MA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RwByAG8AdwBcACIALABcACIATABcACIALAAxAC4AMgA2ACwAXAAiAFwAIgAsAFwAIgBcACIALABcACIAUABvAHQAYQBzAHMAaQB1AG0AIAAtACAARwBlAG4AZQByAGkAYwBcACIALAAwAC4AMQAwADUALABcACIATgBpAHQAcgBvAGcAZQBuACAALQAgAEcAZQBuAGUAcgBpAGMAIA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Ag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JAG4AYwBsAHUAZABlACAALQAgAEEAYgBzAGUAbgB0ACAAaQBuAGcAcgBlAGQAaQBlAG4AdABzACAAPAAgADIAJQBcACIALABcACIAXAAiACwAXAAiAEMAYQBtAHAAYgBlAGwAbABzACAAZgBlAHIAdABpAGwAaQBzAGUAcgBzACAAQQB1AHMAdAByAGEAbABpAGEAXAAiACwAXAAiAEIAbwBvAHMAdAAtAEkAdABcACIALABcACIAawBnAFwAIgAsADEALABcACIAXAAiACwAXAAiAFwAIgAsAFwAIgBOAGkAdAByAG8AZwBlAG4AIAAtACAAVQByAGUAaQBjAFwAIgAsADAALgAyADQ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JAG4AYwBsAHUAZABlAFwAIgAsAFwAIgBcACIALABcACIAQwBhAG0AcABiAGUAbABsAHMAIABmAGUAcgB0AGkAbABpAHMAZQByAHMAIABBAHUAcwB0AHIAYQBsAGkAYQBcACIALABcACIAQgByAG8AbgB6AGUAXAAiACwAXAAiAGsAZwBcACIALAAx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EMAYQBtAHAAYgBlAGwAbABzACAAZgBlAHIAdABpAGwAaQBzAGUAcgBzACAAQQB1AHMAdAByAGEAbABpAGEAXAAiACwAXAAiAEMAbwBSAG8ATgAgADEAMgAtADAALQAxADAAXAAiACwAXAAiAEwAXAAiACwAMQAuADIAMQA1ACwAXAAiAFwAIg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FwAbg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SQBGAEUAUgBSAE8AUgAoAEwAbwBvAGsAdQBwAEEAcgByAGEAeQAxACwAXAAiAFwAIgApAD0ATABvAG8AawB1AHAAVABhAHIAZwBlAHQAMQApACwAXABuACAAIAAgACAAYwByAGkAdABlAHIAaQBhADIALABJAEYAKABJAFMATwBNAEkAVABUAEUARAAoAEwAbwBvAGsAdQBwAFQAYQByAGcAZQB0ADIAKQAsADEALABJAEYARQBSAFIATwBSACgALQAtACgATABvAG8AawB1AHAAQQByAHIAYQB5ADIAPQBMAG8AbwBrAHUAcABUAGEAcgBnAGUAdAAyACkALAAwACkAKQAsAFwAbgAgACAAIAAgAGEAbQBvAHUAbgB0AHMALABJAEYARQBSAFIATwBSACgAQQBtAG8AdQBuAHQAQQBwAHAAbABpAGUAZAAqADEALAAwACkALABcAG4AIAAgACAAIABTAFUATQBQAFIATwBEAFUAQwBUACgAYwByAGkAdABlAHIAaQBhADEAKgBjAHIAaQB0AGUAcgBpAGEAMgAqAGEAbQBvAHUAbgB0AHM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CAAUAByAG8AZAB1AGMAdABJAG4AZwByAGUAZABpAGUAbgB0AFAAZQByAGMAZQBuAHQAMQAsAFwAbgAgACAAWwBQAHIAbwBkAHUAYwB0AEkAbgBnAHIAZQBkAGkAZQBuAHQAMgBdACwAIABbAFAAcgBvAGQAdQBjAHQASQBuAGcAcgBlAGQAaQBlAG4AdABQAGUAcgBjAGUAbgB0ADIAXQAsAFwAbgAgACAAWwBQAHIAbwBkAHUAYwB0AEkAbgBnAHIAZQBkAGkAZQBuAHQAMwBdACwAIABbAFAAcgBvAGQAdQBjAHQASQBuAGcAcgBlAGQAaQBlAG4AdABQAGUAcgBjAGUAbgB0ADMAXQAsAFwAbgAgACAAWwBQAHIAbwBkAHUAYwB0AEkAbgBnAHIAZQBkAGkAZQBuAHQANABdACwAIABbAFAAcgBvAGQAdQBjAHQASQBuAGcAcgBlAGQAaQBlAG4AdABQAGUAcgBjAGUAbgB0ADQAXQAsAFwAbgAgACAAWwBQAHIAbwBkAHUAYwB0AEkAbgBnAHIAZQBkAGkAZQBuAHQANQBdACwAIABbAFAAcgBvAGQAdQBjAHQASQBuAGcAcgBlAGQAaQBlAG4AdABQAGUAcgBjAGUAbgB0ADUAXQAsAFwAbgAgACAAWwBQAHIAbwBkAHUAYwB0AEkAbgBnAHIAZQBkAGkAZQBuAHQANgBdACw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SQBGACgASQBTAE8ATQBJAFQAVABFAEQAKABQAHIAbwBkAHUAYwB0AEkAbgBnAHIAZQBkAGkAZQBuAHQAMgApACwAIAAwACwAIABBAG0AbwB1AG4AdABBAHAAcABsAGkAZQBkACoAUAByAG8AZAB1AGMAdABJAG4AZwByAGUAZABpAGUAbgB0AFAAZQByAGMAZQBuAHQAMgApACwAXABuACAAIAAgACAAYwBhAGwAYwB1AGwAYQB0AGUAZABBAG0AbwB1AG4AdAAzACwAIABJAEYAKABJAFMATwBNAEkAVABUAEUARAAoAFAAcgBvAGQAdQBjAHQASQBuAGcAcgBlAGQAaQBlAG4AdAAzACkALAAgADAALAAgAEEAbQBvAHUAbgB0AEEAcABwAGwAaQBlAGQAKgBQAHIAbwBkAHUAYwB0AEkAbgBnAHIAZQBkAGkAZQBuAHQAUABlAHIAYwBlAG4AdAAzACkALAAgAFwAbgAgACAAIAAgAGMAYQBsAGMAdQBsAGEAdABlAGQAQQBtAG8AdQBuAHQANAAsACAASQBGACgASQBTAE8ATQBJAFQAVABFAEQAKABQAHIAbwBkAHUAYwB0AEkAbgBnAHIAZQBkAGkAZQBuAHQANAApACwAIAAwACwAIABBAG0AbwB1AG4AdABBAHAAcABsAGkAZQBkACoAUAByAG8AZAB1AGMAdABJAG4AZwByAGUAZABpAGUAbgB0AFAAZQByAGMAZQBuAHQANAApACwAIABcAG4AIAAgACAAIABjAGEAbABjAHUAbABhAHQAZQBkAEEAbQBvAHUAbgB0ADUALAAgAEkARgAoAEkAUwBPAE0ASQBUAFQARQBEACgAUAByAG8AZAB1AGMAdABJAG4AZwByAGUAZABpAGUAbgB0ADUAKQAsACAAMAAsACAAQQBtAG8AdQBuAHQAQQBwAHAAbABpAGUAZAAqAFAAcgBvAGQAdQBjAHQASQBuAGcAcgBlAGQAaQBlAG4AdABQAGUAcgBjAGUAbgB0ADUAKQAsACAAXABuACAAIAAgACAAYwBhAGwAYwB1AGwAYQB0AGUAZABBAG0AbwB1AG4AdAA2ACwAIABJAEYAKABJAFMATwBNAEkAVABUAEUARAAoAFAAcgBvAGQAdQBjAHQASQBuAGcAcgBlAGQAaQBlAG4AdAA2ACkALAAgADAALAAg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XABuACAAIAAgACAAIAAgAEkARgAoAEkAUwBPAE0ASQBUAFQARQBEACgAUAByAG8AZAB1AGMAdABJAG4AZwByAGUAZABpAGUAbgB0ADIAKQAsACAAMAAsACAAXABuACAAIAAgACAAIAAgAEYAZQByAHQAaQBsAGkAcwBlAHIAXwBTAHUAbQBQAHIAbwBkAHUAYwB0AEEAcABwAGwAaQBlAGQAKABDAGgAZQBtAGkAYwBhAGwAQwBvAG0AcABvAHUAbgBkACwAIABQAHIAbwBkAHUAYwB0AEkAbgBnAHIAZQBkAGkAZQBuAHQAMgAsACAAYwBhAGwAYwB1AGwAYQB0AGUAZABBAG0AbwB1AG4AdAAyACkAKQAsACAAMAApACsAXABuACAAIAAgACAASQBGAEUAUgBSAE8AUgAoAFwAbgAgACAAIAAgACAAIABJAEYAKABJAFMATwBNAEkAVABUAEUARAAoAFAAcgBvAGQAdQBjAHQASQBuAGcAcgBlAGQAaQBlAG4AdAAzACkALAAgADAALAAgAFwAbgAgACAAIAAgACAAIABGAGUAcgB0AGkAbABpAHMAZQByAF8AUwB1AG0AUAByAG8AZAB1AGMAdABBAHAAcABsAGkAZQBkACgAQwBoAGUAbQBpAGMAYQBsAEMAbwBtAHAAbwB1AG4AZAAsACAAUAByAG8AZAB1AGMAdABJAG4AZwByAGUAZABpAGUAbgB0ADMALAAgAGMAYQBsAGMAdQBsAGEAdABlAGQAQQBtAG8AdQBuAHQAMwApACkALAAgADAAKQArAFwAbgAgACAAIAAgAEkARgBFAFIAUgBPAFIAKABcAG4AIAAgACAAIAAgACAASQBGACgASQBTAE8ATQBJAFQAVABFAEQAKABQAHIAbwBkAHUAYwB0AEkAbgBnAHIAZQBkAGkAZQBuAHQANAApACwAIAAwACwAIABcAG4AIAAgACAAIAAgACAARgBlAHIAdABpAGwAaQBzAGUAcgBfAFMAdQBtAFAAcgBvAGQAdQBjAHQAQQBwAHAAbABpAGUAZAAoAEMAaABlAG0AaQBjAGEAbABDAG8AbQBwAG8AdQBuAGQALAAgAFAAcgBvAGQAdQBjAHQASQBuAGcAcgBlAGQAaQBlAG4AdAA0ACwAIABjAGEAbABjAHUAbABhAHQAZQBkAEEAbQBvAHUAbgB0ADQAKQApACwAIAAwACkAKwBcAG4AIAAgACAAIABJAEYARQBSAFIATwBSACgAXABuACAAIAAgACAAIAAgAEkARgAoAEkAUwBPAE0ASQBUAFQARQBEACgAUAByAG8AZAB1AGMAdABJAG4AZwByAGUAZABpAGUAbgB0ADUAKQAsACAAMAAsACAAXABuACAAIAAgACAAIAAgAEYAZQByAHQAaQBsAGkAcwBlAHIAXwBTAHUAbQBQAHIAbwBkAHUAYwB0AEEAcABwAGwAaQBlAGQAKABDAGgAZQBtAGkAYwBhAGwAQwBvAG0AcABvAHUAbgBkACwAIABQAHIAbwBkAHUAYwB0AEkAbgBnAHIAZQBkAGkAZQBuAHQANQAsACAAYwBhAGwAYwB1AGwAYQB0AGUAZABBAG0AbwB1AG4AdAA1ACkAKQAsACAAMAApACsAXABuACAAIAAgACAASQBGAEUAUgBSAE8AUgAoAFwAbgAgACAAIAAgACAAIABJAEYAKABJAFMATwBNAEkAVABUAEUARAAoAFAAcgBvAGQAdQBjAHQASQBuAGcAcgBlAGQAaQBlAG4AdAA2ACkALAAgADAALAAgAFwAbgAgACAAIAAgACAAIABGAGUAcgB0AGkAbABpAHMAZQByAF8AUwB1AG0AUAByAG8AZAB1AGMAdABBAHAAcABsAGkAZQBkACgAQwBoAGUAbQBpAGMAYQBsAEMAbwBtAHAAbwB1AG4AZAAsACAAUAByAG8AZAB1AGMAdABJAG4AZwByAGUAZABpAGUAbgB0ADYALAAgAGMAYQBsAGMAdQBsAGEAdABlAGQAQQBtAG8AdQBuAHQANgAp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QAHIAbwBkAHUAYwB0AEkAbgBnAHIAZQBkAGkAZQBuAHQAMQBTAG8AdQByAGMAZQAsAFwAbgAgACAAWwBQAHIAbwBkAHUAYwB0AEkAbgBnAHIAZQBkAGkAZQBuAHQAMgBdACwAXABuACAAIABbAFAAcgBvAGQAdQBjAHQASQBuAGcAcgBlAGQAaQBlAG4AdABQAGUAcgBjAGUAbgB0ADIAXQAsAFwAbgAgACAAWwBQAHIAbwBkAHUAYwB0AEkAbgBnAHIAZQBkAGkAZQBuAHQAMgBTAG8AdQByAGMAZQBdACwAXABuACAAIABbAFAAcgBvAGQAdQBjAHQASQBuAGcAcgBlAGQAaQBlAG4AdAAzAF0ALABcAG4AIAAgAFsAUAByAG8AZAB1AGMAdABJAG4AZwByAGUAZABpAGUAbgB0AFAAZQByAGMAZQBuAHQAMwBdACwAXABuACAAIABbAFAAcgBvAGQAdQBjAHQASQBuAGcAcgBlAGQAaQBlAG4AdAAzAFMAbwB1AHIAYwBlAF0ALABcAG4AIAAgAFsAUAByAG8AZAB1AGMAdABJAG4AZwByAGUAZABpAGUAbgB0ADQAXQAsAFwAbgAgACAAWwBQAHIAbwBkAHUAYwB0AEkAbgBnAHIAZQBkAGkAZQBuAHQAUABlAHIAYwBlAG4AdAA0AF0ALABcAG4AIAAgAFsAUAByAG8AZAB1AGMAdABJAG4AZwByAGUAZABpAGUAbgB0ADQAUwBvAHUAcgBjAGUAXQAsAFwAbgAgACAAWwBQAHIAbwBkAHUAYwB0AEkAbgBnAHIAZQBkAGkAZQBuAHQANQBdACwAXABuACAAIABbAFAAcgBvAGQAdQBjAHQASQBuAGcAcgBlAGQAaQBlAG4AdABQAGUAcgBjAGUAbgB0ADUAXQAsAFwAbgAgACAAWwBQAHIAbwBkAHUAYwB0AEkAbgBnAHIAZQBkAGkAZQBuAHQANQBTAG8AdQByAGMAZQBdACwAXABuACAAIABbAFAAcgBvAGQAdQBjAHQASQBuAGcAcgBlAGQAaQBlAG4AdAA2AF0ALABcAG4AIAAgAFsAUAByAG8AZAB1AGMAdABJAG4AZwByAGUAZABpAGUAbgB0AFAAZQByAGMAZQBuAHQANgBdACwAXABuACAAIABbAFAAcgBvAGQAdQBjAHQASQBuAGcAcgBlAGQAaQBlAG4AdAA2AFMAbwB1AHIAYwBl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AsACAAUwBvAHUAcgBjAGUALAAgAFAAcgBvAGQAdQBjAHQASQBuAGcAcgBlAGQAaQBlAG4AdAAxAFMAbwB1AHIAYwBl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CwAIABTAG8AdQByAGMAZQAsACAAUAByAG8AZAB1AGMAdABJAG4AZwByAGUAZABpAGUAbgB0ADI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AzAFMAbwB1AHIAYwBl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LAAgAFMAbwB1AHIAYwBlACwAIABQAHIAbwBkAHUAYwB0AEkAbgBnAHIAZQBkAGkAZQBuAHQAN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CwAIABTAG8AdQByAGMAZQAsACAAUAByAG8AZAB1AGMAdABJAG4AZwByAGUAZABpAGUAbgB0ADU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A2AFMAbwB1AHIAYwBlAFwAbgAgACAAIAAgACkALAAgADAAKQBcAG4AIAAgACkAXABuACkAOwBcAG4AXABuAEYAZQByAHQAaQBsAGkAcwBlAHIAXwBHAGUAdABTAGMAbwBwAGUAMwBFAEYAXABuAD0ATABBAE0AQgBEAEEAKABcAG4AIAAgACAAIABDAGgAZQBtAGkAYwBhAGwAQwBvAG0AcABvAHUAbgBkACwAIABTAGMAbwBwAGUAMwBBAHIAcgBhAHkALAAgAEMAaABlAG0AaQBjAGEAbABDAG8AbQBwAG8AdQBuAGQAQwBvAGwAdQBtAG4ALAAgAFMAbwB1AHIAYwBlACwAIABTAG8AdQByAGMAZQBSAG8AdwAsAFwAbgAgACAAIAAgAEkATgBEAEUAWAAoAFMAYwBvAHAAZQAzAEEAcgByAGEAeQAsAFwAbgAgACAAIAAgACAAIAAgAE0AQQBUAEMASAAoAEMAaABlAG0AaQBjAGEAbABDAG8AbQBwAG8AdQBuAGQALAAgAEMAaABlAG0AaQBjAGEAbABDAG8AbQBwAG8AdQBuAGQAQwBvAGwAdQBtAG4ALAAgADAAKQAsAFwAbgAgACAAIAAgACAAIAAgAE0AQQBUAEMASAAoAFMAbwB1AHIAYwBlACwAIABTAG8AdQByAGMAZQBSAG8AdwAsACAAMAApAFwAbgAgACAAIAAgACkAXABuACkAOwBcAG4AXABuAEYAZQByAHQAaQBsAGkAcwBlAHIAXwBHAGUAdABDAGgAZQBtAGkAYwBhAGwAQwBvAG0AcABvAHUAbgBkAEUAbABlAG0AZQBuAHQARgByAGEAYwB0AGkAbwBuAFwAbgA9AEwAQQBNAEIARABBACgAXABuACAAIAAgACAAQwBoAGUAbQBpAGMAYQBsAEMAbwBtAHAAbwB1AG4AZAAsACAARQBsAGUAbQBlAG4AdAAsACAAQwBoAGUAbQBpAGMAYQBsAEMAbwBtAHAAbwB1AG4AZABBAHIAcgBhAHkALAAgAEMAaABlAG0AaQBjAGEAbABDAG8AbQBwAG8AdQBuAGQAQwBvAGwAdQBtAG4ALAAgAEUAbABlAG0AZQBuAHQAUgBvAHcALABcAG4AIAAgACAAIABJAE4ARABFAFgAKABDAGgAZQBtAGkAYwBhAGwAQwBvAG0AcABvAHUAbgBkAEEAcgByAGEAeQAsAFwAbgAgACAAIAAgACAAIABNAEEAVABDAEgAKABDAGgAZQBtAGkAYwBhAGwAQwBvAG0AcABvAHUAbgBkACwAIABDAGgAZQBtAGkAYwBhAGwAQwBvAG0AcABvAHUAbgBkAEMAbwBsAHUAbQBuACwAIAAwACkALABcAG4AIAAgACAAIAAgACAATQBBAFQAQwBIACgARQBsAGUAbQBlAG4AdAAsACAARQBsAGUAbQBlAG4AdABSAG8AdwAsACAAMAApAFwAbgAgACAAIAAgACkAXABuACkAOw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AgAEwARQBOACgAQwBlAGwAbAApACAALQAgAEYASQBOAEQAKABcACIALAAgAFwAIgAsACAAQwBlAGwAbAApACAALQAgADE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gACAALwAqACAAXABuAC0ALQAtAC0ALQAtAC0ALQAtAC0ALQAtAC0ALQAtAC0ALQAtAC0ALQAtAC0ALQAtAC0ALQAtAC0ALQAtAC0ALQAtAC0ALQAtAC0ALQBcAG4AVgBFAEUAUgBHAF8AOABfADIAXwAxAF8AMQBfAF8AMgBfAEYAdQBlAGwAQwBvAG0AYgB1AHMAdABpAG8AbgBHAGUAbgBlAHIAaQBjAFwAbgBFAG0AaQBzAHMAaQBvAG4AcwAgAGYAbwByACAAZQBhAGMAaAAgAEcASABHACAAZgByAG8AbQAgAGcAZQBuAGUAcgBpAGMAIABmAHUAZQBsACAAYwBvAG0AYgB1AHMAdABpAG8AbgAgAHcAaABlAHIAZQAgAHQAaABlACAAdQBzAGEAZwBlACAAaQBzACAAbgBvAHQAIABrAG4AbwB3AG4AXABuAFEAIAA6ACAAQQBtAG8AdQBuAHQAIABvAGYAIABmAHUAZQBsACAAdAB5AHAAZQAgAHEAIAB1AHMAZQBkACAAZgBvAHIAIABnAGUAbgBlAHIAaQBjACAAYwBvAG0AYgB1AHMAdABpAG8AbgAgAG8AcABlAHIAYQB0AGkAbwBuAHMAIAA6ACAAawBMAFwAbgBFAEMAIAA6ACAARQBuAGUAcgBnAHkAIABjAG8AbgB0AGUAbgB0ACAAZgBhAGMAdABvAHIAIABmAG8AcgAgAGcAZQBuAGUAcgBpAGMAIABjAG8AbQBiAHUAcwB0AGkAbwBuACAAbwBwAGUAcgBhAHQAaQBvAG4AcwAgADoAIABHAEoALwBrAEwAXABuAEUARgAgADoAIABTAGMAbwBwAGUAIAAxACAAZQBtAGkAcwBzAGkAbwBuACAAZgBhAGMAdABvAHIAIABmAG8AcgAgAGcAZQBuAGUAcgBpAGM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WABfAEYAdQBlAGwAQwBvAG0AYgB1AHMAdABpAG8AbgBHAGUAbgBlAHIAaQBjAFwAbgAgACAAPQBMAEEATQBCAEQAQQAoAFwAbgAgACAAIAAgAFEAXwBHAEMAcQAsACAARQBDAF8ARwBDAHEALAAgAEUARgBfAEcAQwAxAHEAZwAsAFwAbgAgACAAIAAgAFYARQBFAFIARwBfADgAXwBGAHUAZQBsAEMAbwBtAGIAdQBzAHQAaQBvAG4AKABRAF8ARwBDAHEALAAgAEUAQwBfAEcAQwBxACwAIABFAEYAXwBHAEMAMQBxAGcAKQBcAG4AIAAgACkAXABuADsAXABuAFwAbgBWAEUARQBSAEcAXwA4AF8AWABfAEYAdQBlAGwAQwBvAG0AYgB1AHMAdABpAG8AbgBHAGUAbgBlAHIAaQBjAF8AVABpAHQAbABlAFwAbgAgACAAPQBMAEEATQBCAEQAQQAoAFwAIgBFAG0AaQBzAHMAaQBvAG4AcwAgAGYAbwByACAAZQBhAGMAaAAgAEcASABHACAAZgByAG8AbQAgAHQAaABlACAAZwBlAG4AZQByAGkAYwAgAGMAbwBtAGIAdQBzAHQAaQBvAG4AIABvAGYAIABmAHUAZQBsAHMAXAAiACkAOwBcAG4AXABuAFYARQBFAFIARwBfADgAXwBYAF8ARgB1AGUAbABDAG8AbQBiAHUAcwB0AGkAbwBuAEcAZQBuAGUAcgBpAGMAXwBWAGEAcgBpAGEAYgBsAGUAXABuACAAIAA9AEwAQQBNAEIARABBACgAXAAiAEUAXwBnAFwAIgApADsAXABuAFwAbgBWAEUARQBSAEcAXwA4AF8AWABfAEYAdQBlAGwAQwBvAG0AYgB1AHMAdABpAG8AbgBHAGUAbgBlAHIAaQBjAF8AVQBuAGkAdABcAG4AIAAgAD0ATABBAE0AQgBEAEEAKABcACIAdAAgAEMATwAyAC0AZQBcACIAKQA7AFwAbgBcAG4AVgBFAEUAUgBHAF8AOABfAFgAXwBGAHUAZQBsAEMAbwBtAGIAdQBzAHQAaQBvAG4ARwBlAG4AZQByAGkAYwBfAFMAbwB1AHIAYwBlAFwAbgAgACAAPQBMAEEATQBCAEQAQQAoAFwAIgBVAHMAZQBzACAAVgBFAEUAUgBHACAAMgAwADIANgA6ACAAOAAuADEALgAxAC4AMQAsACAARQBxAHUAYQB0AGkAbwBuACAAKAAxACkALAAgADgALgAyAC4AMQAuADEALAAgAEUAcQB1AGEAdABpAG8AbgAgACgAMQApACAAYQBuAGQAIABlAHYAZQByAGEAZwBlAHMAIAB0AGgAZQAgAEEAdQBzAHQAcgBhAGwAaQBhAG4AIABOAGEAdABpAG8AbgBhAGwAIABHAHIAZQBlAG4AaABvAHUAcwBlACAAQQBjAGMAbwB1AG4AdABzACAARgBhAGMAdABvAHIAcwAgADIAMAAyADUAIABmAG8AcgAgAHQAcgBhAG4AcwBwAG8AcgB0ACAAYQBuAGQAIABzAHQAYQB0AGkAbwBuAGEAcgB5ACAAZgB1AGUAbAAgAGMAbwBtAGIAdQBzAHQAaQBvAG4AXAAiACkAOwBcAG4AXABuAFYARQBFAFIARwBfADgAXwBYAF8ARgB1AGUAbABDAG8AbQBiAHUAcwB0AGkAbwBuAEcAZQBuAGUAcgBpAGM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nAGUAbgBlAHIAaQBjACAAZQBuAGUAcgBnAHkAIABzAG8AdQByAGMAZQBzACAALQAgAEMAYQBsAGMAdQBsAGEAdABpAG4AZwAgAGUAbQBpAHMAcwBpAG8AbgBzACAAZgByAG8AbQAgAGcAZQBuAGUAcgBpAGMAIABjAG8AbQBiAHUAcwB0AGkAbwBuACAAbwBmACAAbABpAHEAdQBpAGQAIABmAHUAZQBsAHMAIABhAG4AZAAgADIALgAzACAARQBzAHQAaQBtAGEAdABpAG4AZwAgAGUAbQBpAHMAcwBpAG8AbgBzACAAZgByAG8AbQAgAHQAcgBhAG4AcwBwAG8AcgB0ACAAZgB1AGUAbABzAFwAIgApADsAXABuAFwAbgBWAEUARQBSAEcAXwA4AF8AWABfAEYAdQBlAGwAQwBvAG0AYgB1AHMAdABpAG8AbgBHAGUAbgBlAHIAaQBjAF8ATABhAHQAZQB4AEUAcQB1AGEAdABpAG8AbgBcAG4AIAAgAD0ATABBAE0AQgBEAEEAKABcACIARQBfAGcAPQBcAFwAcwB1AG0AXABcAG4AbwBsAGkAbQBpAHQAcwBfAHQAIABcAFwAcwB1AG0AXABcAG4AbwBsAGkAbQBpAHQAcwBfAHEAXABcAGwAZQBmAHQAKABRAF8AewBHAEMALABxAH0AXABcAHQAaQBtAGUAcwAgAEUAQwBfAHsARwBDACwAcQB9AFwAXAB0AGkAbQBlAHMAIABFAEYAXwB7AEcAQwAsADEALABxAGcAfQBcAFwAcgBpAGcAaAB0ACkAXABcAHQAaQBtAGUAcwAgADEAMABeAHsALQAzAH0AXAAiACkAOwBcAG4AXABuAFYARQBFAFIARwBfADgAXwBYAF8ARgB1AGUAbABDAG8AbQBiAHUAcwB0AGkAbwBuAEcAZQBuAGUAcgBpAGMAXwBBAHIAZwB1AG0AZQBuAHQAcwBcAG4AIAAgAD0ATABBAE0AQgBEAEEAKABcAG4AIAAgACAAIABNAEEASwBFAEEAUgBSAEEAWQAoADcALAAgADQALAAgAFwAbgAgACAAIAAgACAAIABMAEEATQBCAEQAQQAoAHIALABjACwAIABcAG4AIAAgACAAIAAgACAAIAAgAEkATgBEAEUAWAAoAHsAXABuACAAIAAgACAAIAAgACAAIAAgACAAXAAiAFEAXwBHAEMAcQBcACIALAAgAFwAIgBBAG0AbwB1AG4AdAAgAG8AZgAgAGYAdQBlAGwAIAB0AHkAcABlACAAcQAgAHUAcwBlAGQAIABmAG8AcgAgAGcAZQBuAGUAcgBpAGMAIABjAG8AbQBiAHUAcwB0AGkAbwBuACAAbwBwAGUAcgBhAHQAaQBvAG4AcwBcACIALAAgAFwAIgBWAGEAcgBpAGUAcwAgAGIAYQBzAGUAZAAgAG8AbgAgAGYAdQBlAGwAIAB0AHkAcABlADoAIABrAEwALAAgAG0AMwAsACAARwBKAFwAIgAsACAAXAAiAEkAbgBwAHUAdABcACIAOwBcAG4AIAAgACAAIAAgACAAIAAgACAAIABcACIARQBDAF8ARwBDAHEAXAAiACwAIABcACIARQBuAGUAcgBnAHkAIABjAG8AbgB0AGUAbgB0ACAAZgBhAGMAdABvAHIAIABmAG8AcgAgAGcAZQBuAGUAcgBpAGMAIABjAG8AbQBiAHUAcwB0AGkAbwBuACAAbwBwAGUAcgBhAHQAaQBvAG4AcwBcACIALAAgAFwAIgBHAEoAIAAvACAAdQBuAGkAdAAgAG8AZgAgAGYAdQBlAGwAXAAiACwAIABcACIAQwBvAG4AcwB0AGEAbgB0AFwAIgA7AFwAbgAgACAAIAAgACAAIAAgACAAIAAgAFwAIgBFAEYAXwBHAEMAMQBxAGcAXAAiACwAIABcACIAUwBjAG8AcABlACAAMQAgAGUAbQBpAHMAcwBpAG8AbgAgAGYAYQBjAHQAbwByACAAZgBvAHIAIABnAGUAbgBlAHIAaQBj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HAEMAXAAiACwAIABcACIARwBlAG4AZQByAGkAYw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HUAZQBsAF8ARQBxAHUAYQB0AGkAbwBuAHMALgBWAEUARQBSAEcAXwA4AF8AWABfAEYAdQBlAGwAQwBvAG0AYgB1AHMAdABpAG8AbgBHAGUAbgBlAHIAaQBjACIALAAiAEYAdQBlAGwAXwBFAHEAdQBhAHQAaQBvAG4AcwAuAFYARQBFAFIARwBfADgAXwBYAF8ARgB1AGUAbABDAG8AbQBiAHUAcwB0AGkAbwBuAEcAZQBuAGUAcgBpAGMAXwBUAGkAdABsAGUAIgAsACIARgB1AGUAbABfAEUAcQB1AGEAdABpAG8AbgBzAC4AVgBFAEUAUgBHAF8AOABfAFgAXwBGAHUAZQBsAEMAbwBtAGIAdQBzAHQAaQBvAG4ARwBlAG4AZQByAGkAYwBfAFYAYQByAGkAYQBiAGwAZQAiACwAIgBGAHUAZQBsAF8ARQBxAHUAYQB0AGkAbwBuAHMALgBWAEUARQBSAEcAXwA4AF8AWABfAEYAdQBlAGwAQwBvAG0AYgB1AHMAdABpAG8AbgBHAGUAbgBlAHIAaQBjAF8AVQBuAGkAdAAiACwAIgBGAHUAZQBsAF8ARQBxAHUAYQB0AGkAbwBuAHMALgBWAEUARQBSAEcAXwA4AF8AWABfAEYAdQBlAGwAQwBvAG0AYgB1AHMAdABpAG8AbgBHAGUAbgBlAHIAaQBjAF8AUwBvAHUAcgBjAGUAIgAsACIARgB1AGUAbABfAEUAcQB1AGEAdABpAG8AbgBzAC4AVgBFAEUAUgBHAF8AOABfAFgAXwBGAHUAZQBsAEMAbwBtAGIAdQBzAHQAaQBvAG4ARwBlAG4AZQByAGkAYwBfAE4ASQBSAFIAZQBmAGUAcgBlAG4AYwBlACIALAAiAEYAdQBlAGwAXwBFAHEAdQBhAHQAaQBvAG4AcwAuAFYARQBFAFIARwBfADgAXwBYAF8ARgB1AGUAbABDAG8AbQBiAHUAcwB0AGkAbwBuAEcAZQBuAGUAcgBpAGMAXwBMAGEAdABlAHgARQBxAHUAYQB0AGkAbwBuACIALAAiAEYAdQBlAGwAXwBFAHEAdQBhAHQAaQBvAG4AcwAuAFYARQBFAFIARwBfADgAXwBYAF8ARgB1AGUAbABDAG8AbQBiAHUAcwB0AGkAbwBuAEcAZQBuAGUAcgBpAG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Fuel</vt:lpstr>
      <vt:lpstr>8.1.1.1-2 Transport fuel</vt:lpstr>
      <vt:lpstr>8.2.1.1-2 Stationary fuel</vt:lpstr>
      <vt:lpstr>8.X.1.1-2 General use fuel</vt:lpstr>
      <vt:lpstr>Constants - Fuel</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2026-05-01T05:48:37Z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