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771CFDB3-BB1C-4320-9F9D-EA70F43E69CB}" xr6:coauthVersionLast="47" xr6:coauthVersionMax="47" xr10:uidLastSave="{00000000-0000-0000-0000-000000000000}"/>
  <bookViews>
    <workbookView xWindow="3120" yWindow="3120" windowWidth="28800" windowHeight="15345" firstSheet="7" activeTab="7" xr2:uid="{992023F3-CAB7-4E5B-A348-08D563A0EF40}"/>
  </bookViews>
  <sheets>
    <sheet name="Home" sheetId="71" r:id="rId1"/>
    <sheet name="Overview" sheetId="118" r:id="rId2"/>
    <sheet name="Results" sheetId="13" r:id="rId3"/>
    <sheet name="Input - Wastewater" sheetId="70" r:id="rId4"/>
    <sheet name="11.1.1-2 Wastewater CH4" sheetId="69" r:id="rId5"/>
    <sheet name="11.1.3-4 Wastewater N2O" sheetId="120" r:id="rId6"/>
    <sheet name="Constants - Wastewater" sheetId="110" r:id="rId7"/>
    <sheet name="Constants - Common" sheetId="126" r:id="rId8"/>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-1), "VEERG 2026: ", "") &amp; " " &amp; _xlpm.TitleCell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
    _xlpm.sh, _xlfn.TEXTAFTER(CELL("filename", _xlpm.TargetCell), "]"),
    _xlpm.addr, CELL("address", _xlpm.TargetCell),
    "#" &amp; _xlpm.addr
  )
)</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Organic.VEERG_5_2_1_1__2_MassOfNitrogenInOrganicFertiliser">_xlfn.LAMBDA(_xlpm.Morganicjf,_xlpm.FNorganicf, _xlpm.Morganicjf * _xlpm.FNorganicf)</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Range_LivestockStartingValues">#REF!</definedName>
    <definedName name="Step1">#REF!</definedName>
    <definedName name="Step2">#REF!</definedName>
    <definedName name="Step3">#REF!</definedName>
    <definedName name="VEERG_11_1_1_1__1_MethaneEmissionsFromWastewaterTreatment_Result_Method1">'11.1.1-2 Wastewater CH4'!$E$30</definedName>
    <definedName name="VEERG_11_1_3_1__1_NitrousOxideEmissionsFromFlaredBiogas_Result_Method1">'11.1.3-4 Wastewater N2O'!$E$17</definedName>
    <definedName name="Waste_EnergyContentFactorSludgeBiogasFlared_Data">'Constants - Wastewater'!$E$41</definedName>
    <definedName name="Waste_MethaneEmissionFactorSludge_Data">'Constants - Wastewater'!$E$36</definedName>
    <definedName name="Waste_MethaneEmissionFactorSludgeBiogasFlared_Data">'Constants - Wastewater'!$E$46</definedName>
    <definedName name="Waste_MethaneEmissionFactorWastewater_Data">'Constants - Wastewater'!$E$31</definedName>
    <definedName name="Waste_NitrousOxideEmissionFactorSludgeBiogasFlared_Data">'Constants - Wastewater'!$E$51</definedName>
    <definedName name="Wastewater_Methane_Equations.VEERG_11_1_1_1__1_MethaneEmissionsFromWastewaterTreatment">_xlfn.LAMBDA(_xlpm.W_t,_xlpm.COD_in,_xlpm.F_sludge,_xlpm.COD_out,_xlpm.CF_ww_t,_xlpm.EF_ww,_xlpm.F_removed,_xlpm.CF_sludge_t,_xlpm.EF_sludge,_xlpm.Q_cap,_xlpm.Q_flared,_xlpm.Q_out,_xlpm.EC_flared,_xlpm.EF_flaredCH4, (1 / 1000) * ((_xlpm.W_t * (_xlpm.COD_in * (1 - _xlpm.F_sludge) - _xlpm.COD_out) * _xlpm.CF_ww_t * _xlpm.EF_ww) + (_xlpm.W_t * (_xlpm.COD_in * (_xlpm.F_sludge - _xlpm.F_removed)) * _xlpm.CF_sludge_t * _xlpm.EF_sludge) - (6.784 * 10 ^ -4 * (_xlpm.Q_cap + _xlpm.Q_flared + _xlpm.Q_out)) + (_xlpm.Q_flared * (_xlpm.EC_flared * _xlpm.EF_flaredCH4))))</definedName>
    <definedName name="Wastewater_Methane_Equations.VEERG_11_1_1_1__1_MethaneEmissionsFromWastewaterTreatment_Arguments">_xlfn.LAMBDA(_xlfn.MAKEARRAY(15, 4, _xlfn.LAMBDA(_xlpm.r,_xlpm.c, INDEX({"W_t","quantity of wastewater treated at facility type t","m3","Input";"COD_in","average inlet Chemical Oxygen Demand concentration of wastewater","kg COD/m3","Input";"F_sludge","fraction of COD removed from wastewater as sludge","fraction","Input";"COD_out","average outlet COD concentration of wastewater","kg COD/m3","Input";"CF_ww_t","methane correction factor for facility type t used to treat wastewater","fraction","Constant";"EF_ww","methane emission factor for wastewater","kg CH4/kg COD","Constant";"F_removed","fraction of COD removed from the wastewater treatment facility and transferred elsewhere","fraction","Input";"CF_sludge_t","methane correction factor for facility type t used to treat sludge","fraction","Constant";"EF_sludge","methane emission factor for sludge","kg CH4/kg COD","Constant";"Q_cap","quantity of methane in sludge biogas captured for combustion","m3 CH4","Input";"Q_flared","quantity of methane in sludge biogas flared by the treatment facility","m3 CH4","Input";"Q_out","quantity of methane in sludge biogas transferred out of the treatment facility","m3 CH4","Input";"EC_flared","energy content factor of methane in sludge biogas flared","GJ/m3","Constant";"EF_flaredCH4","methane emission factor for sludge biogas flared","kg CH4/GJ","Constant";"t","treatment facility type","","Input"}, _xlpm.r, _xlpm.c))))</definedName>
    <definedName name="Wastewater_Methane_Equations.VEERG_11_1_1_1__1_MethaneEmissionsFromWastewaterTreatment_LatexEquation">_xlfn.LAMBDA(_xlfn._LONGTEXT("E_{CH4}=\frac{1}{1000}\times\left{\left{W_t\times\left[COD_{in}\times(1-F_{sludge})-COD_{out}\right]\times CF_{ww,t}\times EF_{ww}\right}+\left{W_t\times\left[COD_{in}\times(F_{sludge}-F_{removed})\right]\times CF_{sludge,t}\times EF_{sludge}\right}-\left","{6.784\times 10^{-4}\times \left[ Q_{cap}+Q_{flared}+Q_{out}\right]\right}+\left{Q_{flared}\times \left[ EC_{flared}\times EF_{flared,CH4}\right]\right}\right}"))</definedName>
    <definedName name="Wastewater_Methane_Equations.VEERG_11_1_1_1__1_MethaneEmissionsFromWastewaterTreatment_NIRReference">_xlfn.LAMBDA("National Greenhouse and Energy Reporting Measurement Determination 2008")</definedName>
    <definedName name="Wastewater_Methane_Equations.VEERG_11_1_1_1__1_MethaneEmissionsFromWastewaterTreatment_Source">_xlfn.LAMBDA("VEERG 2026: 11.1.1.1, Equation (1)")</definedName>
    <definedName name="Wastewater_Methane_Equations.VEERG_11_1_1_1__1_MethaneEmissionsFromWastewaterTreatment_Title">_xlfn.LAMBDA("Methane emissions from wastewater treatment")</definedName>
    <definedName name="Wastewater_Methane_Equations.VEERG_11_1_1_1__1_MethaneEmissionsFromWastewaterTreatment_Unit">_xlfn.LAMBDA("t CH4")</definedName>
    <definedName name="Wastewater_Methane_Equations.VEERG_11_1_1_1__1_MethaneEmissionsFromWastewaterTreatment_Variable">_xlfn.LAMBDA("E_CH4")</definedName>
    <definedName name="Wastewater_Methane_Equations.VEERG_11_1_1_1__1_MethaneEmissionsFromWastewaterTreatment_Variation">_xlfn.LAMBDA("VARIATION ON SOURCE: Changed units of EF_ww, EF_Sludge and EF_flared from CO2e to CH4 to match data in Table ")</definedName>
    <definedName name="Wastewater_N2O_Equations.VEERG_11_1_3_1__1_NitrousOxideEmissionsFromFlaredBiogas">_xlfn.LAMBDA(_xlpm.Q_flared,_xlpm.EC_flared,_xlpm.EF_flaredN2O, (_xlpm.Q_flared / 1000) * (_xlpm.EC_flared * _xlpm.EF_flaredN2O))</definedName>
    <definedName name="Wastewater_N2O_Equations.VEERG_11_1_3_1__1_NitrousOxideEmissionsFromFlaredBiogas_Arguments">_xlfn.LAMBDA(_xlfn.MAKEARRAY(3, 4, _xlfn.LAMBDA(_xlpm.r,_xlpm.c, INDEX({"Q_flared","volume of biogas flared","m3","Input";"EC_flared","energy content factor of sludge biogas flared","GJ/m3","Constant";"EF_flaredN2O","nitrous oxide emission factor for flared biogas","kg N2O/GJ","Constant"}, _xlpm.r, _xlpm.c))))</definedName>
    <definedName name="Wastewater_N2O_Equations.VEERG_11_1_3_1__1_NitrousOxideEmissionsFromFlaredBiogas_LatexEquation">_xlfn.LAMBDA("E_{N2O}=\frac{Q_{flared}}{1000}\times \left[EC_{flared} \times EF_{flared,N2O}\right]")</definedName>
    <definedName name="Wastewater_N2O_Equations.VEERG_11_1_3_1__1_NitrousOxideEmissionsFromFlaredBiogas_NIRReference">_xlfn.LAMBDA("")</definedName>
    <definedName name="Wastewater_N2O_Equations.VEERG_11_1_3_1__1_NitrousOxideEmissionsFromFlaredBiogas_Source">_xlfn.LAMBDA("VEERG 2026: 11.1.3.1, Equation (1)")</definedName>
    <definedName name="Wastewater_N2O_Equations.VEERG_11_1_3_1__1_NitrousOxideEmissionsFromFlaredBiogas_Title">_xlfn.LAMBDA("Nitrous oxide emissions from flared biogas")</definedName>
    <definedName name="Wastewater_N2O_Equations.VEERG_11_1_3_1__1_NitrousOxideEmissionsFromFlaredBiogas_Unit">_xlfn.LAMBDA("t N2O")</definedName>
    <definedName name="Wastewater_N2O_Equations.VEERG_11_1_3_1__1_NitrousOxideEmissionsFromFlaredBiogas_Variable">_xlfn.LAMBDA("E_N2O")</definedName>
    <definedName name="Wastewater_SourceData.Waste_EnergyContentFactorSludgeBiogasFlared_Data">_xlfn.LAMBDA(0.0377)</definedName>
    <definedName name="Wastewater_SourceData.Waste_EnergyContentFactorSludgeBiogasFlared_Source">_xlfn.LAMBDA(("VEERG 2026: 11.2.3 Constants"))</definedName>
    <definedName name="Wastewater_SourceData.Waste_EnergyContentFactorSludgeBiogasFlared_Title">_xlfn.LAMBDA(("Energy content factor of sludge biogas flared"))</definedName>
    <definedName name="Wastewater_SourceData.Waste_EnergyContentFactorSludgeBiogasFlared_Unit">_xlfn.LAMBDA(("GJ / m3"))</definedName>
    <definedName name="Wastewater_SourceData.Waste_EnergyContentFactorSludgeBiogasFlared_Variable">_xlfn.LAMBDA(("ECflared"))</definedName>
    <definedName name="Wastewater_SourceData.Waste_MethaneCorrectionFactorSludge_Data">_xlfn.LAMBDA(_xlfn.MAKEARRAY(6, 2, _xlfn.LAMBDA(_xlpm.r,_xlpm.c, INDEX({"Facility type t","CFsludge,t";"Managed aerobic treatment",0;"Unmanaged aerobic treatment",0.3;"Anaerobic digestor/reactor",0.8;"Shallow anaerobic lagoon (≤ 2 m)",0.2;"Deep anaerobic lagoon (&gt; 2m)",0.8}, _xlpm.r, _xlpm.c))))</definedName>
    <definedName name="Wastewater_SourceData.Waste_MethaneCorrectionFactorSludge_Source">_xlfn.LAMBDA(("VEERG 2026: Table A.4.1.4"))</definedName>
    <definedName name="Wastewater_SourceData.Waste_MethaneCorrectionFactorSludge_Title">_xlfn.LAMBDA(("Methane correction factor for treatment facility type t used to treat sludge"))</definedName>
    <definedName name="Wastewater_SourceData.Waste_MethaneCorrectionFactorSludge_Unit">_xlfn.LAMBDA(("fraction"))</definedName>
    <definedName name="Wastewater_SourceData.Waste_MethaneCorrectionFactorSludge_Variable">_xlfn.LAMBDA(("CFsludge,t"))</definedName>
    <definedName name="Wastewater_SourceData.Waste_MethaneCorrectionFactorSludge_Variation">_xlfn.LAMBDA((""))</definedName>
    <definedName name="Wastewater_SourceData.Waste_MethaneCorrectionFactorWastewater_Data">_xlfn.LAMBDA(_xlfn.MAKEARRAY(6, 2, _xlfn.LAMBDA(_xlpm.r,_xlpm.c, INDEX({"Facility type t","CFww,t";"Managed aerobic treatment",0;"Unmanaged aerobic treatment",0.3;"Anaerobic digestor/reactor",0.8;"Shallow anaerobic lagoon (≤ 2 m)",0.2;"Deep anaerobic lagoon (&gt; 2m)",0.8}, _xlpm.r, _xlpm.c))))</definedName>
    <definedName name="Wastewater_SourceData.Waste_MethaneCorrectionFactorWastewater_Source">_xlfn.LAMBDA(("VEERG 2026: Table A.4.1.3"))</definedName>
    <definedName name="Wastewater_SourceData.Waste_MethaneCorrectionFactorWastewater_Title">_xlfn.LAMBDA(("Methane correction factor for treatment facility type t used to treat wastewater"))</definedName>
    <definedName name="Wastewater_SourceData.Waste_MethaneCorrectionFactorWastewater_Unit">_xlfn.LAMBDA(("fraction"))</definedName>
    <definedName name="Wastewater_SourceData.Waste_MethaneCorrectionFactorWastewater_Variable">_xlfn.LAMBDA(("CFww,t"))</definedName>
    <definedName name="Wastewater_SourceData.Waste_MethaneCorrectionFactorWastewater_Variation">_xlfn.LAMBDA((""))</definedName>
    <definedName name="Wastewater_SourceData.Waste_MethaneEmissionFactorSludge_Data">_xlfn.LAMBDA(0.25)</definedName>
    <definedName name="Wastewater_SourceData.Waste_MethaneEmissionFactorSludge_Source">_xlfn.LAMBDA(("VEERG 2026: 11.2.3 Constants"))</definedName>
    <definedName name="Wastewater_SourceData.Waste_MethaneEmissionFactorSludge_Title">_xlfn.LAMBDA(("Methane emission factor for sludge"))</definedName>
    <definedName name="Wastewater_SourceData.Waste_MethaneEmissionFactorSludge_Unit">_xlfn.LAMBDA(("kg CH4 / kg COD"))</definedName>
    <definedName name="Wastewater_SourceData.Waste_MethaneEmissionFactorSludge_Variable">_xlfn.LAMBDA(("EFsludge"))</definedName>
    <definedName name="Wastewater_SourceData.Waste_MethaneEmissionFactorSludgeBiogasFlared_Data">_xlfn.LAMBDA(0.2289)</definedName>
    <definedName name="Wastewater_SourceData.Waste_MethaneEmissionFactorSludgeBiogasFlared_Source">_xlfn.LAMBDA(("VEERG 2026: 11.2.3 Constants"))</definedName>
    <definedName name="Wastewater_SourceData.Waste_MethaneEmissionFactorSludgeBiogasFlared_Title">_xlfn.LAMBDA(("Methane emission factor for sludge biogas flared"))</definedName>
    <definedName name="Wastewater_SourceData.Waste_MethaneEmissionFactorSludgeBiogasFlared_Unit">_xlfn.LAMBDA(("kg CH4 / GJ"))</definedName>
    <definedName name="Wastewater_SourceData.Waste_MethaneEmissionFactorSludgeBiogasFlared_Variable">_xlfn.LAMBDA(("EFflared,CH4"))</definedName>
    <definedName name="Wastewater_SourceData.Waste_MethaneEmissionFactorWastewater_Data">_xlfn.LAMBDA(0.25)</definedName>
    <definedName name="Wastewater_SourceData.Waste_MethaneEmissionFactorWastewater_Source">_xlfn.LAMBDA(("VEERG 2026: 11.2.3 Constants"))</definedName>
    <definedName name="Wastewater_SourceData.Waste_MethaneEmissionFactorWastewater_Title">_xlfn.LAMBDA(("Methane emission factor for wastewater"))</definedName>
    <definedName name="Wastewater_SourceData.Waste_MethaneEmissionFactorWastewater_Unit">_xlfn.LAMBDA(("kg CH4 / kg COD"))</definedName>
    <definedName name="Wastewater_SourceData.Waste_MethaneEmissionFactorWastewater_Variable">_xlfn.LAMBDA(("EFww"))</definedName>
    <definedName name="Wastewater_SourceData.Waste_NitrousOxideEmissionFactorSludgeBiogasFlared_Data">_xlfn.LAMBDA(0.0001132)</definedName>
    <definedName name="Wastewater_SourceData.Waste_NitrousOxideEmissionFactorSludgeBiogasFlared_Source">_xlfn.LAMBDA(("VEERG 2026: 11.2.3 Constants"))</definedName>
    <definedName name="Wastewater_SourceData.Waste_NitrousOxideEmissionFactorSludgeBiogasFlared_Title">_xlfn.LAMBDA(("Nitrous oxide emission factor for sludge biogas flared"))</definedName>
    <definedName name="Wastewater_SourceData.Waste_NitrousOxideEmissionFactorSludgeBiogasFlared_Unit">_xlfn.LAMBDA(("kg N2O / GJ"))</definedName>
    <definedName name="Wastewater_SourceData.Waste_NitrousOxideEmissionFactorSludgeBiogasFlared_Variable">_xlfn.LAMBDA(("EFflared,N2O"))</definedName>
    <definedName name="X_Cell_Wastewater_FractionCODRemovedAndTransferred">'Input - Wastewater'!$F$16</definedName>
    <definedName name="X_Cell_Wastewater_FractionCODRemovedAsSludge">'Input - Wastewater'!$F$15</definedName>
    <definedName name="X_Cell_Wastewater_InletCOD">'Input - Wastewater'!$F$14</definedName>
    <definedName name="X_Cell_Wastewater_OutletCOD">'Input - Wastewater'!$F$17</definedName>
    <definedName name="X_Cell_Wastewater_QuantityInM3">'Input - Wastewater'!$F$8</definedName>
    <definedName name="X_Cell_Wastewater_SludgeMethaneCapturedForCombustion">'Input - Wastewater'!$F$24</definedName>
    <definedName name="X_Cell_Wastewater_SludgeMethaneFlared">'Input - Wastewater'!$F$25</definedName>
    <definedName name="X_Cell_Wastewater_SludgeMethaneTransferred">'Input - Wastewater'!$F$26</definedName>
    <definedName name="X_Cell_Wastewater_TreatmentFacilityType">'Input - Wastewater'!$F$7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5" i="120" l="1"/>
  <c r="I14" i="120"/>
  <c r="J27" i="69"/>
  <c r="J26" i="69"/>
  <c r="J22" i="69"/>
  <c r="J19" i="69"/>
  <c r="E259" i="126" a="1"/>
  <c r="E259" i="126" s="1"/>
  <c r="D259" i="126" a="1"/>
  <c r="D259" i="126" s="1"/>
  <c r="E258" i="126" a="1"/>
  <c r="E258" i="126" s="1"/>
  <c r="D258" i="126" a="1"/>
  <c r="D258" i="126" s="1"/>
  <c r="D256" i="126" a="1"/>
  <c r="D256" i="126" s="1"/>
  <c r="D255" i="126"/>
  <c r="D255" i="126" a="1"/>
  <c r="D254" i="126" a="1"/>
  <c r="D254" i="126" s="1"/>
  <c r="D253" i="126" a="1"/>
  <c r="D253" i="126" s="1"/>
  <c r="S250" i="126" a="1"/>
  <c r="S250" i="126" s="1"/>
  <c r="R250" i="126" a="1"/>
  <c r="R250" i="126" s="1"/>
  <c r="Q250" i="126" a="1"/>
  <c r="Q250" i="126" s="1"/>
  <c r="P250" i="126" a="1"/>
  <c r="P250" i="126" s="1"/>
  <c r="O250" i="126" a="1"/>
  <c r="O250" i="126" s="1"/>
  <c r="N250" i="126" a="1"/>
  <c r="N250" i="126" s="1"/>
  <c r="M250" i="126" a="1"/>
  <c r="M250" i="126" s="1"/>
  <c r="L250" i="126" a="1"/>
  <c r="L250" i="126" s="1"/>
  <c r="K250" i="126" a="1"/>
  <c r="K250" i="126" s="1"/>
  <c r="J250" i="126" a="1"/>
  <c r="J250" i="126" s="1"/>
  <c r="I250" i="126" a="1"/>
  <c r="I250" i="126" s="1"/>
  <c r="H250" i="126" a="1"/>
  <c r="H250" i="126" s="1"/>
  <c r="G250" i="126" a="1"/>
  <c r="G250" i="126" s="1"/>
  <c r="F250" i="126" a="1"/>
  <c r="F250" i="126" s="1"/>
  <c r="E250" i="126" a="1"/>
  <c r="E250" i="126" s="1"/>
  <c r="D250" i="126" a="1"/>
  <c r="D250" i="126" s="1"/>
  <c r="S249" i="126" a="1"/>
  <c r="S249" i="126" s="1"/>
  <c r="R249" i="126" a="1"/>
  <c r="R249" i="126" s="1"/>
  <c r="Q249" i="126" a="1"/>
  <c r="Q249" i="126" s="1"/>
  <c r="P249" i="126" a="1"/>
  <c r="P249" i="126" s="1"/>
  <c r="O249" i="126" a="1"/>
  <c r="O249" i="126" s="1"/>
  <c r="N249" i="126" a="1"/>
  <c r="N249" i="126" s="1"/>
  <c r="M249" i="126" a="1"/>
  <c r="M249" i="126" s="1"/>
  <c r="L249" i="126" a="1"/>
  <c r="L249" i="126" s="1"/>
  <c r="K249" i="126" a="1"/>
  <c r="K249" i="126" s="1"/>
  <c r="J249" i="126" a="1"/>
  <c r="J249" i="126" s="1"/>
  <c r="I249" i="126" a="1"/>
  <c r="I249" i="126" s="1"/>
  <c r="H249" i="126" a="1"/>
  <c r="H249" i="126" s="1"/>
  <c r="G249" i="126" a="1"/>
  <c r="G249" i="126" s="1"/>
  <c r="F249" i="126" a="1"/>
  <c r="F249" i="126" s="1"/>
  <c r="E249" i="126" a="1"/>
  <c r="E249" i="126" s="1"/>
  <c r="D249" i="126" a="1"/>
  <c r="D249" i="126" s="1"/>
  <c r="S248" i="126" a="1"/>
  <c r="S248" i="126" s="1"/>
  <c r="R248" i="126" a="1"/>
  <c r="R248" i="126" s="1"/>
  <c r="Q248" i="126" a="1"/>
  <c r="Q248" i="126" s="1"/>
  <c r="P248" i="126" a="1"/>
  <c r="P248" i="126" s="1"/>
  <c r="O248" i="126" a="1"/>
  <c r="O248" i="126" s="1"/>
  <c r="N248" i="126" a="1"/>
  <c r="N248" i="126" s="1"/>
  <c r="M248" i="126" a="1"/>
  <c r="M248" i="126" s="1"/>
  <c r="L248" i="126" a="1"/>
  <c r="L248" i="126" s="1"/>
  <c r="K248" i="126" a="1"/>
  <c r="K248" i="126" s="1"/>
  <c r="J248" i="126" a="1"/>
  <c r="J248" i="126" s="1"/>
  <c r="I248" i="126" a="1"/>
  <c r="I248" i="126" s="1"/>
  <c r="H248" i="126" a="1"/>
  <c r="H248" i="126" s="1"/>
  <c r="G248" i="126" a="1"/>
  <c r="G248" i="126" s="1"/>
  <c r="F248" i="126" a="1"/>
  <c r="F248" i="126" s="1"/>
  <c r="E248" i="126" a="1"/>
  <c r="E248" i="126" s="1"/>
  <c r="D248" i="126" a="1"/>
  <c r="D248" i="126" s="1"/>
  <c r="S247" i="126" a="1"/>
  <c r="S247" i="126" s="1"/>
  <c r="R247" i="126" a="1"/>
  <c r="R247" i="126" s="1"/>
  <c r="Q247" i="126" a="1"/>
  <c r="Q247" i="126" s="1"/>
  <c r="P247" i="126" a="1"/>
  <c r="P247" i="126" s="1"/>
  <c r="O247" i="126" a="1"/>
  <c r="O247" i="126" s="1"/>
  <c r="N247" i="126" a="1"/>
  <c r="N247" i="126" s="1"/>
  <c r="M247" i="126" a="1"/>
  <c r="M247" i="126" s="1"/>
  <c r="L247" i="126" a="1"/>
  <c r="L247" i="126" s="1"/>
  <c r="K247" i="126" a="1"/>
  <c r="K247" i="126" s="1"/>
  <c r="J247" i="126" a="1"/>
  <c r="J247" i="126" s="1"/>
  <c r="I247" i="126" a="1"/>
  <c r="I247" i="126" s="1"/>
  <c r="H247" i="126" a="1"/>
  <c r="H247" i="126" s="1"/>
  <c r="G247" i="126" a="1"/>
  <c r="G247" i="126" s="1"/>
  <c r="F247" i="126" a="1"/>
  <c r="F247" i="126" s="1"/>
  <c r="E247" i="126" a="1"/>
  <c r="E247" i="126" s="1"/>
  <c r="D247" i="126" a="1"/>
  <c r="D247" i="126" s="1"/>
  <c r="S246" i="126" a="1"/>
  <c r="S246" i="126" s="1"/>
  <c r="R246" i="126" a="1"/>
  <c r="R246" i="126" s="1"/>
  <c r="Q246" i="126" a="1"/>
  <c r="Q246" i="126" s="1"/>
  <c r="P246" i="126" a="1"/>
  <c r="P246" i="126" s="1"/>
  <c r="O246" i="126" a="1"/>
  <c r="O246" i="126" s="1"/>
  <c r="N246" i="126" a="1"/>
  <c r="N246" i="126" s="1"/>
  <c r="M246" i="126" a="1"/>
  <c r="M246" i="126" s="1"/>
  <c r="L246" i="126" a="1"/>
  <c r="L246" i="126" s="1"/>
  <c r="K246" i="126" a="1"/>
  <c r="K246" i="126" s="1"/>
  <c r="J246" i="126" a="1"/>
  <c r="J246" i="126" s="1"/>
  <c r="I246" i="126" a="1"/>
  <c r="I246" i="126" s="1"/>
  <c r="H246" i="126" a="1"/>
  <c r="H246" i="126" s="1"/>
  <c r="G246" i="126" a="1"/>
  <c r="G246" i="126" s="1"/>
  <c r="F246" i="126" a="1"/>
  <c r="F246" i="126" s="1"/>
  <c r="E246" i="126" a="1"/>
  <c r="E246" i="126" s="1"/>
  <c r="D246" i="126" a="1"/>
  <c r="D246" i="126" s="1"/>
  <c r="S245" i="126" a="1"/>
  <c r="S245" i="126" s="1"/>
  <c r="R245" i="126" a="1"/>
  <c r="R245" i="126" s="1"/>
  <c r="Q245" i="126" a="1"/>
  <c r="Q245" i="126" s="1"/>
  <c r="P245" i="126" a="1"/>
  <c r="P245" i="126" s="1"/>
  <c r="O245" i="126" a="1"/>
  <c r="O245" i="126" s="1"/>
  <c r="N245" i="126" a="1"/>
  <c r="N245" i="126" s="1"/>
  <c r="M245" i="126" a="1"/>
  <c r="M245" i="126" s="1"/>
  <c r="L245" i="126" a="1"/>
  <c r="L245" i="126" s="1"/>
  <c r="K245" i="126" a="1"/>
  <c r="K245" i="126" s="1"/>
  <c r="J245" i="126" a="1"/>
  <c r="J245" i="126" s="1"/>
  <c r="I245" i="126" a="1"/>
  <c r="I245" i="126" s="1"/>
  <c r="H245" i="126" a="1"/>
  <c r="H245" i="126" s="1"/>
  <c r="G245" i="126" a="1"/>
  <c r="G245" i="126" s="1"/>
  <c r="F245" i="126" a="1"/>
  <c r="F245" i="126" s="1"/>
  <c r="E245" i="126" a="1"/>
  <c r="E245" i="126" s="1"/>
  <c r="D245" i="126" a="1"/>
  <c r="D245" i="126" s="1"/>
  <c r="S244" i="126" a="1"/>
  <c r="S244" i="126" s="1"/>
  <c r="R244" i="126" a="1"/>
  <c r="R244" i="126" s="1"/>
  <c r="Q244" i="126" a="1"/>
  <c r="Q244" i="126" s="1"/>
  <c r="P244" i="126" a="1"/>
  <c r="P244" i="126" s="1"/>
  <c r="O244" i="126" a="1"/>
  <c r="O244" i="126" s="1"/>
  <c r="N244" i="126" a="1"/>
  <c r="N244" i="126" s="1"/>
  <c r="M244" i="126" a="1"/>
  <c r="M244" i="126" s="1"/>
  <c r="L244" i="126" a="1"/>
  <c r="L244" i="126" s="1"/>
  <c r="K244" i="126" a="1"/>
  <c r="K244" i="126" s="1"/>
  <c r="J244" i="126" a="1"/>
  <c r="J244" i="126" s="1"/>
  <c r="I244" i="126" a="1"/>
  <c r="I244" i="126" s="1"/>
  <c r="H244" i="126" a="1"/>
  <c r="H244" i="126" s="1"/>
  <c r="G244" i="126" a="1"/>
  <c r="G244" i="126" s="1"/>
  <c r="F244" i="126" a="1"/>
  <c r="F244" i="126" s="1"/>
  <c r="E244" i="126" a="1"/>
  <c r="E244" i="126" s="1"/>
  <c r="D244" i="126" a="1"/>
  <c r="D244" i="126" s="1"/>
  <c r="S243" i="126" a="1"/>
  <c r="S243" i="126" s="1"/>
  <c r="R243" i="126" a="1"/>
  <c r="R243" i="126" s="1"/>
  <c r="Q243" i="126" a="1"/>
  <c r="Q243" i="126" s="1"/>
  <c r="P243" i="126" a="1"/>
  <c r="P243" i="126" s="1"/>
  <c r="O243" i="126" a="1"/>
  <c r="O243" i="126" s="1"/>
  <c r="N243" i="126" a="1"/>
  <c r="N243" i="126" s="1"/>
  <c r="M243" i="126" a="1"/>
  <c r="M243" i="126" s="1"/>
  <c r="L243" i="126" a="1"/>
  <c r="L243" i="126" s="1"/>
  <c r="K243" i="126" a="1"/>
  <c r="K243" i="126" s="1"/>
  <c r="J243" i="126" a="1"/>
  <c r="J243" i="126" s="1"/>
  <c r="I243" i="126" a="1"/>
  <c r="I243" i="126" s="1"/>
  <c r="H243" i="126" a="1"/>
  <c r="H243" i="126" s="1"/>
  <c r="G243" i="126" a="1"/>
  <c r="G243" i="126" s="1"/>
  <c r="F243" i="126" a="1"/>
  <c r="F243" i="126" s="1"/>
  <c r="E243" i="126" a="1"/>
  <c r="E243" i="126" s="1"/>
  <c r="D243" i="126" a="1"/>
  <c r="D243" i="126" s="1"/>
  <c r="S242" i="126" a="1"/>
  <c r="S242" i="126" s="1"/>
  <c r="R242" i="126" a="1"/>
  <c r="R242" i="126" s="1"/>
  <c r="Q242" i="126" a="1"/>
  <c r="Q242" i="126" s="1"/>
  <c r="P242" i="126" a="1"/>
  <c r="P242" i="126" s="1"/>
  <c r="O242" i="126" a="1"/>
  <c r="O242" i="126" s="1"/>
  <c r="N242" i="126" a="1"/>
  <c r="N242" i="126" s="1"/>
  <c r="M242" i="126" a="1"/>
  <c r="M242" i="126" s="1"/>
  <c r="L242" i="126" a="1"/>
  <c r="L242" i="126" s="1"/>
  <c r="K242" i="126" a="1"/>
  <c r="K242" i="126" s="1"/>
  <c r="J242" i="126" a="1"/>
  <c r="J242" i="126" s="1"/>
  <c r="I242" i="126" a="1"/>
  <c r="I242" i="126" s="1"/>
  <c r="H242" i="126" a="1"/>
  <c r="H242" i="126" s="1"/>
  <c r="G242" i="126" a="1"/>
  <c r="G242" i="126" s="1"/>
  <c r="F242" i="126" a="1"/>
  <c r="F242" i="126" s="1"/>
  <c r="E242" i="126" a="1"/>
  <c r="E242" i="126" s="1"/>
  <c r="D242" i="126" a="1"/>
  <c r="D242" i="126" s="1"/>
  <c r="S241" i="126" a="1"/>
  <c r="S241" i="126" s="1"/>
  <c r="R241" i="126" a="1"/>
  <c r="R241" i="126" s="1"/>
  <c r="Q241" i="126" a="1"/>
  <c r="Q241" i="126" s="1"/>
  <c r="P241" i="126" a="1"/>
  <c r="P241" i="126" s="1"/>
  <c r="O241" i="126" a="1"/>
  <c r="O241" i="126" s="1"/>
  <c r="N241" i="126" a="1"/>
  <c r="N241" i="126" s="1"/>
  <c r="M241" i="126" a="1"/>
  <c r="M241" i="126" s="1"/>
  <c r="L241" i="126" a="1"/>
  <c r="L241" i="126" s="1"/>
  <c r="K241" i="126" a="1"/>
  <c r="K241" i="126" s="1"/>
  <c r="J241" i="126" a="1"/>
  <c r="J241" i="126" s="1"/>
  <c r="I241" i="126" a="1"/>
  <c r="I241" i="126" s="1"/>
  <c r="H241" i="126" a="1"/>
  <c r="H241" i="126" s="1"/>
  <c r="G241" i="126" a="1"/>
  <c r="G241" i="126" s="1"/>
  <c r="F241" i="126" a="1"/>
  <c r="F241" i="126" s="1"/>
  <c r="E241" i="126" a="1"/>
  <c r="E241" i="126" s="1"/>
  <c r="D241" i="126" a="1"/>
  <c r="D241" i="126" s="1"/>
  <c r="S240" i="126" a="1"/>
  <c r="S240" i="126" s="1"/>
  <c r="R240" i="126" a="1"/>
  <c r="R240" i="126" s="1"/>
  <c r="Q240" i="126" a="1"/>
  <c r="Q240" i="126" s="1"/>
  <c r="P240" i="126" a="1"/>
  <c r="P240" i="126" s="1"/>
  <c r="O240" i="126" a="1"/>
  <c r="O240" i="126" s="1"/>
  <c r="N240" i="126" a="1"/>
  <c r="N240" i="126" s="1"/>
  <c r="M240" i="126" a="1"/>
  <c r="M240" i="126" s="1"/>
  <c r="L240" i="126" a="1"/>
  <c r="L240" i="126" s="1"/>
  <c r="K240" i="126" a="1"/>
  <c r="K240" i="126" s="1"/>
  <c r="J240" i="126" a="1"/>
  <c r="J240" i="126" s="1"/>
  <c r="I240" i="126" a="1"/>
  <c r="I240" i="126" s="1"/>
  <c r="H240" i="126" a="1"/>
  <c r="H240" i="126" s="1"/>
  <c r="G240" i="126" a="1"/>
  <c r="G240" i="126" s="1"/>
  <c r="F240" i="126" a="1"/>
  <c r="F240" i="126" s="1"/>
  <c r="E240" i="126" a="1"/>
  <c r="E240" i="126" s="1"/>
  <c r="D240" i="126" a="1"/>
  <c r="D240" i="126" s="1"/>
  <c r="S239" i="126" a="1"/>
  <c r="S239" i="126" s="1"/>
  <c r="R239" i="126" a="1"/>
  <c r="R239" i="126" s="1"/>
  <c r="Q239" i="126" a="1"/>
  <c r="Q239" i="126" s="1"/>
  <c r="P239" i="126" a="1"/>
  <c r="P239" i="126" s="1"/>
  <c r="O239" i="126" a="1"/>
  <c r="O239" i="126" s="1"/>
  <c r="N239" i="126" a="1"/>
  <c r="N239" i="126" s="1"/>
  <c r="M239" i="126" a="1"/>
  <c r="M239" i="126" s="1"/>
  <c r="L239" i="126" a="1"/>
  <c r="L239" i="126" s="1"/>
  <c r="K239" i="126" a="1"/>
  <c r="K239" i="126" s="1"/>
  <c r="J239" i="126" a="1"/>
  <c r="J239" i="126" s="1"/>
  <c r="I239" i="126" a="1"/>
  <c r="I239" i="126" s="1"/>
  <c r="H239" i="126" a="1"/>
  <c r="H239" i="126" s="1"/>
  <c r="G239" i="126" a="1"/>
  <c r="G239" i="126" s="1"/>
  <c r="F239" i="126" a="1"/>
  <c r="F239" i="126" s="1"/>
  <c r="E239" i="126" a="1"/>
  <c r="E239" i="126" s="1"/>
  <c r="D239" i="126" a="1"/>
  <c r="D239" i="126" s="1"/>
  <c r="S238" i="126" a="1"/>
  <c r="S238" i="126" s="1"/>
  <c r="R238" i="126" a="1"/>
  <c r="R238" i="126" s="1"/>
  <c r="Q238" i="126" a="1"/>
  <c r="Q238" i="126" s="1"/>
  <c r="P238" i="126" a="1"/>
  <c r="P238" i="126" s="1"/>
  <c r="O238" i="126" a="1"/>
  <c r="O238" i="126" s="1"/>
  <c r="N238" i="126" a="1"/>
  <c r="N238" i="126" s="1"/>
  <c r="M238" i="126" a="1"/>
  <c r="M238" i="126" s="1"/>
  <c r="L238" i="126" a="1"/>
  <c r="L238" i="126" s="1"/>
  <c r="K238" i="126" a="1"/>
  <c r="K238" i="126" s="1"/>
  <c r="J238" i="126" a="1"/>
  <c r="J238" i="126" s="1"/>
  <c r="I238" i="126" a="1"/>
  <c r="I238" i="126" s="1"/>
  <c r="H238" i="126" a="1"/>
  <c r="H238" i="126" s="1"/>
  <c r="G238" i="126" a="1"/>
  <c r="G238" i="126" s="1"/>
  <c r="F238" i="126" a="1"/>
  <c r="F238" i="126" s="1"/>
  <c r="E238" i="126" a="1"/>
  <c r="E238" i="126" s="1"/>
  <c r="D238" i="126" a="1"/>
  <c r="D238" i="126" s="1"/>
  <c r="S237" i="126" a="1"/>
  <c r="S237" i="126" s="1"/>
  <c r="R237" i="126" a="1"/>
  <c r="R237" i="126" s="1"/>
  <c r="Q237" i="126" a="1"/>
  <c r="Q237" i="126" s="1"/>
  <c r="P237" i="126" a="1"/>
  <c r="P237" i="126" s="1"/>
  <c r="O237" i="126" a="1"/>
  <c r="O237" i="126" s="1"/>
  <c r="N237" i="126" a="1"/>
  <c r="N237" i="126" s="1"/>
  <c r="M237" i="126" a="1"/>
  <c r="M237" i="126" s="1"/>
  <c r="L237" i="126" a="1"/>
  <c r="L237" i="126" s="1"/>
  <c r="K237" i="126" a="1"/>
  <c r="K237" i="126" s="1"/>
  <c r="J237" i="126" a="1"/>
  <c r="J237" i="126" s="1"/>
  <c r="I237" i="126" a="1"/>
  <c r="I237" i="126" s="1"/>
  <c r="H237" i="126" a="1"/>
  <c r="H237" i="126" s="1"/>
  <c r="G237" i="126" a="1"/>
  <c r="G237" i="126" s="1"/>
  <c r="F237" i="126" a="1"/>
  <c r="F237" i="126" s="1"/>
  <c r="E237" i="126" a="1"/>
  <c r="E237" i="126" s="1"/>
  <c r="D237" i="126" a="1"/>
  <c r="D237" i="126" s="1"/>
  <c r="S236" i="126" a="1"/>
  <c r="S236" i="126" s="1"/>
  <c r="R236" i="126" a="1"/>
  <c r="R236" i="126" s="1"/>
  <c r="Q236" i="126" a="1"/>
  <c r="Q236" i="126" s="1"/>
  <c r="P236" i="126" a="1"/>
  <c r="P236" i="126" s="1"/>
  <c r="O236" i="126" a="1"/>
  <c r="O236" i="126" s="1"/>
  <c r="N236" i="126" a="1"/>
  <c r="N236" i="126" s="1"/>
  <c r="M236" i="126" a="1"/>
  <c r="M236" i="126" s="1"/>
  <c r="L236" i="126" a="1"/>
  <c r="L236" i="126" s="1"/>
  <c r="K236" i="126" a="1"/>
  <c r="K236" i="126" s="1"/>
  <c r="J236" i="126" a="1"/>
  <c r="J236" i="126" s="1"/>
  <c r="I236" i="126" a="1"/>
  <c r="I236" i="126" s="1"/>
  <c r="H236" i="126" a="1"/>
  <c r="H236" i="126" s="1"/>
  <c r="G236" i="126" a="1"/>
  <c r="G236" i="126" s="1"/>
  <c r="F236" i="126" a="1"/>
  <c r="F236" i="126" s="1"/>
  <c r="E236" i="126" a="1"/>
  <c r="E236" i="126" s="1"/>
  <c r="D236" i="126" a="1"/>
  <c r="D236" i="126" s="1"/>
  <c r="S235" i="126" a="1"/>
  <c r="S235" i="126" s="1"/>
  <c r="R235" i="126" a="1"/>
  <c r="R235" i="126" s="1"/>
  <c r="Q235" i="126" a="1"/>
  <c r="Q235" i="126" s="1"/>
  <c r="P235" i="126" a="1"/>
  <c r="P235" i="126" s="1"/>
  <c r="O235" i="126" a="1"/>
  <c r="O235" i="126" s="1"/>
  <c r="N235" i="126" a="1"/>
  <c r="N235" i="126" s="1"/>
  <c r="M235" i="126" a="1"/>
  <c r="M235" i="126" s="1"/>
  <c r="L235" i="126" a="1"/>
  <c r="L235" i="126" s="1"/>
  <c r="K235" i="126" a="1"/>
  <c r="K235" i="126" s="1"/>
  <c r="J235" i="126" a="1"/>
  <c r="J235" i="126" s="1"/>
  <c r="I235" i="126" a="1"/>
  <c r="I235" i="126" s="1"/>
  <c r="H235" i="126" a="1"/>
  <c r="H235" i="126" s="1"/>
  <c r="G235" i="126" a="1"/>
  <c r="G235" i="126" s="1"/>
  <c r="F235" i="126" a="1"/>
  <c r="F235" i="126" s="1"/>
  <c r="E235" i="126" a="1"/>
  <c r="E235" i="126" s="1"/>
  <c r="D235" i="126" a="1"/>
  <c r="D235" i="126" s="1"/>
  <c r="S234" i="126" a="1"/>
  <c r="S234" i="126" s="1"/>
  <c r="R234" i="126" a="1"/>
  <c r="R234" i="126" s="1"/>
  <c r="Q234" i="126" a="1"/>
  <c r="Q234" i="126" s="1"/>
  <c r="P234" i="126" a="1"/>
  <c r="P234" i="126" s="1"/>
  <c r="O234" i="126" a="1"/>
  <c r="O234" i="126" s="1"/>
  <c r="N234" i="126" a="1"/>
  <c r="N234" i="126" s="1"/>
  <c r="M234" i="126" a="1"/>
  <c r="M234" i="126" s="1"/>
  <c r="L234" i="126" a="1"/>
  <c r="L234" i="126" s="1"/>
  <c r="K234" i="126" a="1"/>
  <c r="K234" i="126" s="1"/>
  <c r="J234" i="126" a="1"/>
  <c r="J234" i="126" s="1"/>
  <c r="I234" i="126" a="1"/>
  <c r="I234" i="126" s="1"/>
  <c r="H234" i="126" a="1"/>
  <c r="H234" i="126" s="1"/>
  <c r="G234" i="126" a="1"/>
  <c r="G234" i="126" s="1"/>
  <c r="F234" i="126" a="1"/>
  <c r="F234" i="126" s="1"/>
  <c r="E234" i="126" a="1"/>
  <c r="E234" i="126" s="1"/>
  <c r="D234" i="126" a="1"/>
  <c r="D234" i="126" s="1"/>
  <c r="S233" i="126" a="1"/>
  <c r="S233" i="126" s="1"/>
  <c r="R233" i="126" a="1"/>
  <c r="R233" i="126" s="1"/>
  <c r="Q233" i="126" a="1"/>
  <c r="Q233" i="126" s="1"/>
  <c r="P233" i="126" a="1"/>
  <c r="P233" i="126" s="1"/>
  <c r="O233" i="126" a="1"/>
  <c r="O233" i="126" s="1"/>
  <c r="N233" i="126" a="1"/>
  <c r="N233" i="126" s="1"/>
  <c r="M233" i="126" a="1"/>
  <c r="M233" i="126" s="1"/>
  <c r="L233" i="126" a="1"/>
  <c r="L233" i="126" s="1"/>
  <c r="K233" i="126" a="1"/>
  <c r="K233" i="126" s="1"/>
  <c r="J233" i="126" a="1"/>
  <c r="J233" i="126" s="1"/>
  <c r="I233" i="126" a="1"/>
  <c r="I233" i="126" s="1"/>
  <c r="H233" i="126" a="1"/>
  <c r="H233" i="126" s="1"/>
  <c r="G233" i="126" a="1"/>
  <c r="G233" i="126" s="1"/>
  <c r="F233" i="126" a="1"/>
  <c r="F233" i="126" s="1"/>
  <c r="E233" i="126" a="1"/>
  <c r="E233" i="126" s="1"/>
  <c r="D233" i="126" a="1"/>
  <c r="D233" i="126" s="1"/>
  <c r="S232" i="126" a="1"/>
  <c r="S232" i="126" s="1"/>
  <c r="R232" i="126" a="1"/>
  <c r="R232" i="126" s="1"/>
  <c r="Q232" i="126" a="1"/>
  <c r="Q232" i="126" s="1"/>
  <c r="P232" i="126" a="1"/>
  <c r="P232" i="126" s="1"/>
  <c r="O232" i="126" a="1"/>
  <c r="O232" i="126" s="1"/>
  <c r="N232" i="126" a="1"/>
  <c r="N232" i="126" s="1"/>
  <c r="M232" i="126" a="1"/>
  <c r="M232" i="126" s="1"/>
  <c r="L232" i="126" a="1"/>
  <c r="L232" i="126" s="1"/>
  <c r="K232" i="126" a="1"/>
  <c r="K232" i="126" s="1"/>
  <c r="J232" i="126" a="1"/>
  <c r="J232" i="126" s="1"/>
  <c r="I232" i="126" a="1"/>
  <c r="I232" i="126" s="1"/>
  <c r="H232" i="126" a="1"/>
  <c r="H232" i="126" s="1"/>
  <c r="G232" i="126" a="1"/>
  <c r="G232" i="126" s="1"/>
  <c r="F232" i="126" a="1"/>
  <c r="F232" i="126" s="1"/>
  <c r="E232" i="126" a="1"/>
  <c r="E232" i="126" s="1"/>
  <c r="D232" i="126" a="1"/>
  <c r="D232" i="126" s="1"/>
  <c r="D229" i="126" a="1"/>
  <c r="D229" i="126" s="1"/>
  <c r="D228" i="126" a="1"/>
  <c r="D228" i="126" s="1"/>
  <c r="D227" i="126" a="1"/>
  <c r="D227" i="126" s="1"/>
  <c r="E224" i="126" a="1"/>
  <c r="E224" i="126" s="1"/>
  <c r="D224" i="126" a="1"/>
  <c r="D224" i="126" s="1"/>
  <c r="E223" i="126" a="1"/>
  <c r="E223" i="126" s="1"/>
  <c r="D223" i="126" a="1"/>
  <c r="D223" i="126" s="1"/>
  <c r="E222" i="126" a="1"/>
  <c r="E222" i="126" s="1"/>
  <c r="D222" i="126" a="1"/>
  <c r="D222" i="126" s="1"/>
  <c r="E221" i="126" a="1"/>
  <c r="E221" i="126" s="1"/>
  <c r="D221" i="126" a="1"/>
  <c r="D221" i="126" s="1"/>
  <c r="E220" i="126" a="1"/>
  <c r="E220" i="126" s="1"/>
  <c r="D220" i="126" a="1"/>
  <c r="D220" i="126" s="1"/>
  <c r="E219" i="126" a="1"/>
  <c r="E219" i="126" s="1"/>
  <c r="D219" i="126" a="1"/>
  <c r="D219" i="126" s="1"/>
  <c r="E218" i="126" a="1"/>
  <c r="E218" i="126" s="1"/>
  <c r="D218" i="126" a="1"/>
  <c r="D218" i="126" s="1"/>
  <c r="E217" i="126" a="1"/>
  <c r="E217" i="126" s="1"/>
  <c r="D217" i="126" a="1"/>
  <c r="D217" i="126" s="1"/>
  <c r="E216" i="126" a="1"/>
  <c r="E216" i="126" s="1"/>
  <c r="D216" i="126" a="1"/>
  <c r="D216" i="126" s="1"/>
  <c r="E215" i="126" a="1"/>
  <c r="E215" i="126" s="1"/>
  <c r="D215" i="126" a="1"/>
  <c r="D215" i="126" s="1"/>
  <c r="E214" i="126" a="1"/>
  <c r="E214" i="126" s="1"/>
  <c r="D214" i="126" a="1"/>
  <c r="D214" i="126" s="1"/>
  <c r="E213" i="126" a="1"/>
  <c r="E213" i="126" s="1"/>
  <c r="D213" i="126" a="1"/>
  <c r="D213" i="126" s="1"/>
  <c r="D211" i="126" a="1"/>
  <c r="D211" i="126" s="1"/>
  <c r="E208" i="126" a="1"/>
  <c r="E208" i="126" s="1"/>
  <c r="D208" i="126" a="1"/>
  <c r="D208" i="126" s="1"/>
  <c r="E207" i="126" a="1"/>
  <c r="E207" i="126" s="1"/>
  <c r="D207" i="126" a="1"/>
  <c r="D207" i="126" s="1"/>
  <c r="D205" i="126" a="1"/>
  <c r="D205" i="126" s="1"/>
  <c r="D204" i="126" a="1"/>
  <c r="D204" i="126" s="1"/>
  <c r="D203" i="126" a="1"/>
  <c r="D203" i="126" s="1"/>
  <c r="D202" i="126" a="1"/>
  <c r="D202" i="126" s="1"/>
  <c r="H199" i="126" a="1"/>
  <c r="H199" i="126" s="1"/>
  <c r="G199" i="126" a="1"/>
  <c r="G199" i="126" s="1"/>
  <c r="F199" i="126" a="1"/>
  <c r="F199" i="126" s="1"/>
  <c r="E199" i="126" a="1"/>
  <c r="E199" i="126" s="1"/>
  <c r="D199" i="126" a="1"/>
  <c r="D199" i="126" s="1"/>
  <c r="H198" i="126" a="1"/>
  <c r="H198" i="126" s="1"/>
  <c r="G198" i="126" a="1"/>
  <c r="G198" i="126" s="1"/>
  <c r="F198" i="126" a="1"/>
  <c r="F198" i="126" s="1"/>
  <c r="E198" i="126" a="1"/>
  <c r="E198" i="126" s="1"/>
  <c r="D198" i="126" a="1"/>
  <c r="D198" i="126" s="1"/>
  <c r="H197" i="126" a="1"/>
  <c r="H197" i="126" s="1"/>
  <c r="G197" i="126" a="1"/>
  <c r="G197" i="126" s="1"/>
  <c r="F197" i="126" a="1"/>
  <c r="F197" i="126" s="1"/>
  <c r="E197" i="126" a="1"/>
  <c r="E197" i="126" s="1"/>
  <c r="D197" i="126" a="1"/>
  <c r="D197" i="126" s="1"/>
  <c r="H196" i="126" a="1"/>
  <c r="H196" i="126" s="1"/>
  <c r="G196" i="126" a="1"/>
  <c r="G196" i="126" s="1"/>
  <c r="F196" i="126" a="1"/>
  <c r="F196" i="126" s="1"/>
  <c r="E196" i="126" a="1"/>
  <c r="E196" i="126" s="1"/>
  <c r="D196" i="126" a="1"/>
  <c r="D196" i="126" s="1"/>
  <c r="H195" i="126" a="1"/>
  <c r="H195" i="126" s="1"/>
  <c r="G195" i="126" a="1"/>
  <c r="G195" i="126" s="1"/>
  <c r="F195" i="126" a="1"/>
  <c r="F195" i="126" s="1"/>
  <c r="E195" i="126" a="1"/>
  <c r="E195" i="126" s="1"/>
  <c r="D195" i="126" a="1"/>
  <c r="D195" i="126" s="1"/>
  <c r="H194" i="126" a="1"/>
  <c r="H194" i="126" s="1"/>
  <c r="G194" i="126" a="1"/>
  <c r="G194" i="126" s="1"/>
  <c r="F194" i="126" a="1"/>
  <c r="F194" i="126" s="1"/>
  <c r="E194" i="126" a="1"/>
  <c r="E194" i="126" s="1"/>
  <c r="D194" i="126" a="1"/>
  <c r="D194" i="126" s="1"/>
  <c r="H193" i="126" a="1"/>
  <c r="H193" i="126" s="1"/>
  <c r="G193" i="126" a="1"/>
  <c r="G193" i="126" s="1"/>
  <c r="F193" i="126" a="1"/>
  <c r="F193" i="126" s="1"/>
  <c r="E193" i="126" a="1"/>
  <c r="E193" i="126" s="1"/>
  <c r="D193" i="126" a="1"/>
  <c r="D193" i="126" s="1"/>
  <c r="H192" i="126" a="1"/>
  <c r="H192" i="126" s="1"/>
  <c r="G192" i="126" a="1"/>
  <c r="G192" i="126" s="1"/>
  <c r="F192" i="126" a="1"/>
  <c r="F192" i="126" s="1"/>
  <c r="E192" i="126" a="1"/>
  <c r="E192" i="126" s="1"/>
  <c r="D192" i="126" a="1"/>
  <c r="D192" i="126" s="1"/>
  <c r="H191" i="126" a="1"/>
  <c r="H191" i="126" s="1"/>
  <c r="G191" i="126" a="1"/>
  <c r="G191" i="126" s="1"/>
  <c r="F191" i="126" a="1"/>
  <c r="F191" i="126" s="1"/>
  <c r="E191" i="126" a="1"/>
  <c r="E191" i="126" s="1"/>
  <c r="D191" i="126" a="1"/>
  <c r="D191" i="126" s="1"/>
  <c r="H190" i="126" a="1"/>
  <c r="H190" i="126" s="1"/>
  <c r="G190" i="126" a="1"/>
  <c r="G190" i="126" s="1"/>
  <c r="F190" i="126" a="1"/>
  <c r="F190" i="126" s="1"/>
  <c r="E190" i="126" a="1"/>
  <c r="E190" i="126" s="1"/>
  <c r="D190" i="126" a="1"/>
  <c r="D190" i="126" s="1"/>
  <c r="H189" i="126" a="1"/>
  <c r="H189" i="126" s="1"/>
  <c r="G189" i="126" a="1"/>
  <c r="G189" i="126" s="1"/>
  <c r="F189" i="126" a="1"/>
  <c r="F189" i="126" s="1"/>
  <c r="E189" i="126" a="1"/>
  <c r="E189" i="126" s="1"/>
  <c r="D189" i="126" a="1"/>
  <c r="D189" i="126" s="1"/>
  <c r="H188" i="126" a="1"/>
  <c r="H188" i="126" s="1"/>
  <c r="G188" i="126" a="1"/>
  <c r="G188" i="126" s="1"/>
  <c r="F188" i="126" a="1"/>
  <c r="F188" i="126" s="1"/>
  <c r="E188" i="126" a="1"/>
  <c r="E188" i="126" s="1"/>
  <c r="D188" i="126" a="1"/>
  <c r="D188" i="126" s="1"/>
  <c r="H187" i="126" a="1"/>
  <c r="H187" i="126" s="1"/>
  <c r="G187" i="126" a="1"/>
  <c r="G187" i="126" s="1"/>
  <c r="F187" i="126" a="1"/>
  <c r="F187" i="126" s="1"/>
  <c r="E187" i="126" a="1"/>
  <c r="E187" i="126" s="1"/>
  <c r="D187" i="126" a="1"/>
  <c r="D187" i="126" s="1"/>
  <c r="D181" i="126" a="1"/>
  <c r="D181" i="126" s="1"/>
  <c r="D180" i="126" a="1"/>
  <c r="D180" i="126" s="1"/>
  <c r="D179" i="126" a="1"/>
  <c r="D179" i="126" s="1"/>
  <c r="D178" i="126" a="1"/>
  <c r="D178" i="126" s="1"/>
  <c r="E175" i="126" a="1"/>
  <c r="E175" i="126" s="1"/>
  <c r="D175" i="126" a="1"/>
  <c r="D175" i="126" s="1"/>
  <c r="D174" i="126" a="1"/>
  <c r="D174" i="126" s="1"/>
  <c r="D173" i="126" a="1"/>
  <c r="D173" i="126" s="1"/>
  <c r="D170" i="126" a="1"/>
  <c r="D170" i="126" s="1"/>
  <c r="D169" i="126" a="1"/>
  <c r="D169" i="126" s="1"/>
  <c r="D168" i="126" a="1"/>
  <c r="D168" i="126" s="1"/>
  <c r="D167" i="126" a="1"/>
  <c r="D167" i="126" s="1"/>
  <c r="D164" i="126" a="1"/>
  <c r="D164" i="126" s="1"/>
  <c r="D163" i="126" a="1"/>
  <c r="D163" i="126" s="1"/>
  <c r="D162" i="126" a="1"/>
  <c r="D162" i="126" s="1"/>
  <c r="D161" i="126" a="1"/>
  <c r="D161" i="126" s="1"/>
  <c r="E158" i="126" a="1"/>
  <c r="E158" i="126" s="1"/>
  <c r="D158" i="126" a="1"/>
  <c r="D158" i="126" s="1"/>
  <c r="E157" i="126" a="1"/>
  <c r="E157" i="126" s="1"/>
  <c r="D157" i="126" a="1"/>
  <c r="D157" i="126" s="1"/>
  <c r="E156" i="126" a="1"/>
  <c r="E156" i="126" s="1"/>
  <c r="D156" i="126" a="1"/>
  <c r="D156" i="126" s="1"/>
  <c r="E155" i="126" a="1"/>
  <c r="E155" i="126" s="1"/>
  <c r="D155" i="126" a="1"/>
  <c r="D155" i="126" s="1"/>
  <c r="E154" i="126" a="1"/>
  <c r="E154" i="126" s="1"/>
  <c r="D154" i="126" a="1"/>
  <c r="D154" i="126" s="1"/>
  <c r="D151" i="126"/>
  <c r="D151" i="126" a="1"/>
  <c r="D150" i="126" a="1"/>
  <c r="D150" i="126" s="1"/>
  <c r="E147" i="126" a="1"/>
  <c r="E147" i="126" s="1"/>
  <c r="D147" i="126" a="1"/>
  <c r="D147" i="126" s="1"/>
  <c r="E146" i="126" a="1"/>
  <c r="E146" i="126" s="1"/>
  <c r="D146" i="126" a="1"/>
  <c r="D146" i="126" s="1"/>
  <c r="E145" i="126" a="1"/>
  <c r="E145" i="126" s="1"/>
  <c r="D145" i="126" a="1"/>
  <c r="D145" i="126" s="1"/>
  <c r="E144" i="126" a="1"/>
  <c r="E144" i="126" s="1"/>
  <c r="D144" i="126" a="1"/>
  <c r="D144" i="126" s="1"/>
  <c r="E143" i="126" a="1"/>
  <c r="E143" i="126" s="1"/>
  <c r="D143" i="126" a="1"/>
  <c r="D143" i="126" s="1"/>
  <c r="D141" i="126" a="1"/>
  <c r="D141" i="126" s="1"/>
  <c r="D140" i="126" a="1"/>
  <c r="D140" i="126" s="1"/>
  <c r="D139" i="126" a="1"/>
  <c r="D139" i="126" s="1"/>
  <c r="E136" i="126" a="1"/>
  <c r="E136" i="126" s="1"/>
  <c r="D136" i="126" a="1"/>
  <c r="D136" i="126" s="1"/>
  <c r="E135" i="126" a="1"/>
  <c r="E135" i="126" s="1"/>
  <c r="D135" i="126" a="1"/>
  <c r="D135" i="126" s="1"/>
  <c r="D133" i="126" a="1"/>
  <c r="D133" i="126" s="1"/>
  <c r="D132" i="126" a="1"/>
  <c r="D132" i="126" s="1"/>
  <c r="E129" i="126" a="1"/>
  <c r="E129" i="126" s="1"/>
  <c r="D129" i="126" a="1"/>
  <c r="D129" i="126" s="1"/>
  <c r="E128" i="126" a="1"/>
  <c r="E128" i="126" s="1"/>
  <c r="D128" i="126" a="1"/>
  <c r="D128" i="126" s="1"/>
  <c r="D125" i="126" a="1"/>
  <c r="D125" i="126" s="1"/>
  <c r="D124" i="126" a="1"/>
  <c r="D124" i="126" s="1"/>
  <c r="G121" i="126" a="1"/>
  <c r="G121" i="126" s="1"/>
  <c r="F121" i="126" a="1"/>
  <c r="F121" i="126" s="1"/>
  <c r="E121" i="126" a="1"/>
  <c r="E121" i="126" s="1"/>
  <c r="D121" i="126" a="1"/>
  <c r="D121" i="126" s="1"/>
  <c r="G120" i="126" a="1"/>
  <c r="G120" i="126" s="1"/>
  <c r="F120" i="126" a="1"/>
  <c r="F120" i="126" s="1"/>
  <c r="E120" i="126" a="1"/>
  <c r="E120" i="126" s="1"/>
  <c r="D120" i="126" a="1"/>
  <c r="D120" i="126" s="1"/>
  <c r="D117" i="126"/>
  <c r="D117" i="126" a="1"/>
  <c r="D116" i="126" a="1"/>
  <c r="D116" i="126" s="1"/>
  <c r="D115" i="126" a="1"/>
  <c r="D115" i="126" s="1"/>
  <c r="G112" i="126" a="1"/>
  <c r="G112" i="126" s="1"/>
  <c r="F112" i="126" a="1"/>
  <c r="F112" i="126" s="1"/>
  <c r="E112" i="126" a="1"/>
  <c r="E112" i="126" s="1"/>
  <c r="D112" i="126" a="1"/>
  <c r="D112" i="126" s="1"/>
  <c r="G111" i="126" a="1"/>
  <c r="G111" i="126" s="1"/>
  <c r="F111" i="126" a="1"/>
  <c r="F111" i="126" s="1"/>
  <c r="E111" i="126" a="1"/>
  <c r="E111" i="126" s="1"/>
  <c r="D111" i="126" a="1"/>
  <c r="D111" i="126" s="1"/>
  <c r="G110" i="126" a="1"/>
  <c r="G110" i="126" s="1"/>
  <c r="F110" i="126" a="1"/>
  <c r="F110" i="126" s="1"/>
  <c r="E110" i="126" a="1"/>
  <c r="E110" i="126" s="1"/>
  <c r="D110" i="126" a="1"/>
  <c r="D110" i="126" s="1"/>
  <c r="D107" i="126" a="1"/>
  <c r="D107" i="126" s="1"/>
  <c r="D106" i="126" a="1"/>
  <c r="D106" i="126" s="1"/>
  <c r="D105" i="126" a="1"/>
  <c r="D105" i="126" s="1"/>
  <c r="D99" i="126" a="1"/>
  <c r="D99" i="126" s="1"/>
  <c r="S97" i="126" a="1"/>
  <c r="S97" i="126" s="1"/>
  <c r="R97" i="126" a="1"/>
  <c r="R97" i="126" s="1"/>
  <c r="Q97" i="126" a="1"/>
  <c r="Q97" i="126" s="1"/>
  <c r="P97" i="126" a="1"/>
  <c r="P97" i="126" s="1"/>
  <c r="O97" i="126" a="1"/>
  <c r="O97" i="126" s="1"/>
  <c r="N97" i="126" a="1"/>
  <c r="N97" i="126" s="1"/>
  <c r="M97" i="126" a="1"/>
  <c r="M97" i="126" s="1"/>
  <c r="L97" i="126" a="1"/>
  <c r="L97" i="126" s="1"/>
  <c r="K97" i="126" a="1"/>
  <c r="K97" i="126" s="1"/>
  <c r="J97" i="126" a="1"/>
  <c r="J97" i="126" s="1"/>
  <c r="I97" i="126" a="1"/>
  <c r="I97" i="126" s="1"/>
  <c r="H97" i="126" a="1"/>
  <c r="H97" i="126" s="1"/>
  <c r="G97" i="126" a="1"/>
  <c r="G97" i="126" s="1"/>
  <c r="F97" i="126" a="1"/>
  <c r="F97" i="126" s="1"/>
  <c r="E97" i="126" a="1"/>
  <c r="E97" i="126" s="1"/>
  <c r="D97" i="126" a="1"/>
  <c r="D97" i="126" s="1"/>
  <c r="S96" i="126" a="1"/>
  <c r="S96" i="126" s="1"/>
  <c r="R96" i="126" a="1"/>
  <c r="R96" i="126" s="1"/>
  <c r="Q96" i="126" a="1"/>
  <c r="Q96" i="126" s="1"/>
  <c r="P96" i="126" a="1"/>
  <c r="P96" i="126" s="1"/>
  <c r="O96" i="126" a="1"/>
  <c r="O96" i="126" s="1"/>
  <c r="N96" i="126" a="1"/>
  <c r="N96" i="126" s="1"/>
  <c r="M96" i="126" a="1"/>
  <c r="M96" i="126" s="1"/>
  <c r="L96" i="126" a="1"/>
  <c r="L96" i="126" s="1"/>
  <c r="K96" i="126" a="1"/>
  <c r="K96" i="126" s="1"/>
  <c r="J96" i="126" a="1"/>
  <c r="J96" i="126" s="1"/>
  <c r="I96" i="126" a="1"/>
  <c r="I96" i="126" s="1"/>
  <c r="H96" i="126" a="1"/>
  <c r="H96" i="126" s="1"/>
  <c r="G96" i="126" a="1"/>
  <c r="G96" i="126" s="1"/>
  <c r="F96" i="126" a="1"/>
  <c r="F96" i="126" s="1"/>
  <c r="E96" i="126" a="1"/>
  <c r="E96" i="126" s="1"/>
  <c r="D96" i="126" a="1"/>
  <c r="D96" i="126" s="1"/>
  <c r="S95" i="126" a="1"/>
  <c r="S95" i="126" s="1"/>
  <c r="R95" i="126" a="1"/>
  <c r="R95" i="126" s="1"/>
  <c r="Q95" i="126" a="1"/>
  <c r="Q95" i="126" s="1"/>
  <c r="P95" i="126" a="1"/>
  <c r="P95" i="126" s="1"/>
  <c r="O95" i="126" a="1"/>
  <c r="O95" i="126" s="1"/>
  <c r="N95" i="126" a="1"/>
  <c r="N95" i="126" s="1"/>
  <c r="M95" i="126" a="1"/>
  <c r="M95" i="126" s="1"/>
  <c r="L95" i="126" a="1"/>
  <c r="L95" i="126" s="1"/>
  <c r="K95" i="126" a="1"/>
  <c r="K95" i="126" s="1"/>
  <c r="J95" i="126" a="1"/>
  <c r="J95" i="126" s="1"/>
  <c r="I95" i="126" a="1"/>
  <c r="I95" i="126" s="1"/>
  <c r="H95" i="126" a="1"/>
  <c r="H95" i="126" s="1"/>
  <c r="G95" i="126" a="1"/>
  <c r="G95" i="126" s="1"/>
  <c r="F95" i="126" a="1"/>
  <c r="F95" i="126" s="1"/>
  <c r="E95" i="126" a="1"/>
  <c r="E95" i="126" s="1"/>
  <c r="D95" i="126" a="1"/>
  <c r="D95" i="126" s="1"/>
  <c r="S94" i="126" a="1"/>
  <c r="S94" i="126" s="1"/>
  <c r="R94" i="126" a="1"/>
  <c r="R94" i="126" s="1"/>
  <c r="Q94" i="126" a="1"/>
  <c r="Q94" i="126" s="1"/>
  <c r="P94" i="126" a="1"/>
  <c r="P94" i="126" s="1"/>
  <c r="O94" i="126" a="1"/>
  <c r="O94" i="126" s="1"/>
  <c r="N94" i="126" a="1"/>
  <c r="N94" i="126" s="1"/>
  <c r="M94" i="126" a="1"/>
  <c r="M94" i="126" s="1"/>
  <c r="L94" i="126" a="1"/>
  <c r="L94" i="126" s="1"/>
  <c r="K94" i="126" a="1"/>
  <c r="K94" i="126" s="1"/>
  <c r="J94" i="126" a="1"/>
  <c r="J94" i="126" s="1"/>
  <c r="I94" i="126" a="1"/>
  <c r="I94" i="126" s="1"/>
  <c r="H94" i="126" a="1"/>
  <c r="H94" i="126" s="1"/>
  <c r="G94" i="126" a="1"/>
  <c r="G94" i="126" s="1"/>
  <c r="F94" i="126" a="1"/>
  <c r="F94" i="126" s="1"/>
  <c r="E94" i="126" a="1"/>
  <c r="E94" i="126" s="1"/>
  <c r="D94" i="126" a="1"/>
  <c r="D94" i="126" s="1"/>
  <c r="S93" i="126" a="1"/>
  <c r="S93" i="126" s="1"/>
  <c r="R93" i="126" a="1"/>
  <c r="R93" i="126" s="1"/>
  <c r="Q93" i="126" a="1"/>
  <c r="Q93" i="126" s="1"/>
  <c r="P93" i="126" a="1"/>
  <c r="P93" i="126" s="1"/>
  <c r="O93" i="126" a="1"/>
  <c r="O93" i="126" s="1"/>
  <c r="N93" i="126" a="1"/>
  <c r="N93" i="126" s="1"/>
  <c r="M93" i="126" a="1"/>
  <c r="M93" i="126" s="1"/>
  <c r="L93" i="126" a="1"/>
  <c r="L93" i="126" s="1"/>
  <c r="K93" i="126" a="1"/>
  <c r="K93" i="126" s="1"/>
  <c r="J93" i="126" a="1"/>
  <c r="J93" i="126" s="1"/>
  <c r="I93" i="126" a="1"/>
  <c r="I93" i="126" s="1"/>
  <c r="H93" i="126" a="1"/>
  <c r="H93" i="126" s="1"/>
  <c r="G93" i="126" a="1"/>
  <c r="G93" i="126" s="1"/>
  <c r="F93" i="126" a="1"/>
  <c r="F93" i="126" s="1"/>
  <c r="E93" i="126" a="1"/>
  <c r="E93" i="126" s="1"/>
  <c r="D93" i="126" a="1"/>
  <c r="D93" i="126" s="1"/>
  <c r="S92" i="126" a="1"/>
  <c r="S92" i="126" s="1"/>
  <c r="R92" i="126" a="1"/>
  <c r="R92" i="126" s="1"/>
  <c r="Q92" i="126" a="1"/>
  <c r="Q92" i="126" s="1"/>
  <c r="P92" i="126" a="1"/>
  <c r="P92" i="126" s="1"/>
  <c r="O92" i="126" a="1"/>
  <c r="O92" i="126" s="1"/>
  <c r="N92" i="126" a="1"/>
  <c r="N92" i="126" s="1"/>
  <c r="M92" i="126" a="1"/>
  <c r="M92" i="126" s="1"/>
  <c r="L92" i="126" a="1"/>
  <c r="L92" i="126" s="1"/>
  <c r="K92" i="126" a="1"/>
  <c r="K92" i="126" s="1"/>
  <c r="J92" i="126" a="1"/>
  <c r="J92" i="126" s="1"/>
  <c r="I92" i="126" a="1"/>
  <c r="I92" i="126" s="1"/>
  <c r="H92" i="126" a="1"/>
  <c r="H92" i="126" s="1"/>
  <c r="G92" i="126" a="1"/>
  <c r="G92" i="126" s="1"/>
  <c r="F92" i="126" a="1"/>
  <c r="F92" i="126" s="1"/>
  <c r="E92" i="126" a="1"/>
  <c r="E92" i="126" s="1"/>
  <c r="D92" i="126" a="1"/>
  <c r="D92" i="126" s="1"/>
  <c r="S91" i="126" a="1"/>
  <c r="S91" i="126" s="1"/>
  <c r="R91" i="126" a="1"/>
  <c r="R91" i="126" s="1"/>
  <c r="Q91" i="126" a="1"/>
  <c r="Q91" i="126" s="1"/>
  <c r="P91" i="126" a="1"/>
  <c r="P91" i="126" s="1"/>
  <c r="O91" i="126" a="1"/>
  <c r="O91" i="126" s="1"/>
  <c r="N91" i="126" a="1"/>
  <c r="N91" i="126" s="1"/>
  <c r="M91" i="126" a="1"/>
  <c r="M91" i="126" s="1"/>
  <c r="L91" i="126" a="1"/>
  <c r="L91" i="126" s="1"/>
  <c r="K91" i="126" a="1"/>
  <c r="K91" i="126" s="1"/>
  <c r="J91" i="126" a="1"/>
  <c r="J91" i="126" s="1"/>
  <c r="I91" i="126" a="1"/>
  <c r="I91" i="126" s="1"/>
  <c r="H91" i="126" a="1"/>
  <c r="H91" i="126" s="1"/>
  <c r="G91" i="126" a="1"/>
  <c r="G91" i="126" s="1"/>
  <c r="F91" i="126" a="1"/>
  <c r="F91" i="126" s="1"/>
  <c r="E91" i="126" a="1"/>
  <c r="E91" i="126" s="1"/>
  <c r="D91" i="126" a="1"/>
  <c r="D91" i="126" s="1"/>
  <c r="S90" i="126" a="1"/>
  <c r="S90" i="126" s="1"/>
  <c r="R90" i="126" a="1"/>
  <c r="R90" i="126" s="1"/>
  <c r="Q90" i="126" a="1"/>
  <c r="Q90" i="126" s="1"/>
  <c r="P90" i="126" a="1"/>
  <c r="P90" i="126" s="1"/>
  <c r="O90" i="126" a="1"/>
  <c r="O90" i="126" s="1"/>
  <c r="N90" i="126" a="1"/>
  <c r="N90" i="126" s="1"/>
  <c r="M90" i="126" a="1"/>
  <c r="M90" i="126" s="1"/>
  <c r="L90" i="126" a="1"/>
  <c r="L90" i="126" s="1"/>
  <c r="K90" i="126" a="1"/>
  <c r="K90" i="126" s="1"/>
  <c r="J90" i="126" a="1"/>
  <c r="J90" i="126" s="1"/>
  <c r="I90" i="126" a="1"/>
  <c r="I90" i="126" s="1"/>
  <c r="H90" i="126" a="1"/>
  <c r="H90" i="126" s="1"/>
  <c r="G90" i="126" a="1"/>
  <c r="G90" i="126" s="1"/>
  <c r="F90" i="126" a="1"/>
  <c r="F90" i="126" s="1"/>
  <c r="E90" i="126" a="1"/>
  <c r="E90" i="126" s="1"/>
  <c r="D90" i="126" a="1"/>
  <c r="D90" i="126" s="1"/>
  <c r="D83" i="126" a="1"/>
  <c r="D83" i="126" s="1"/>
  <c r="D82" i="126" a="1"/>
  <c r="D82" i="126" s="1"/>
  <c r="D81" i="126" a="1"/>
  <c r="D81" i="126" s="1"/>
  <c r="E77" i="126" a="1"/>
  <c r="E77" i="126" s="1"/>
  <c r="D77" i="126" a="1"/>
  <c r="D77" i="126" s="1"/>
  <c r="E76" i="126" a="1"/>
  <c r="E76" i="126" s="1"/>
  <c r="D76" i="126" a="1"/>
  <c r="D76" i="126" s="1"/>
  <c r="E75" i="126" a="1"/>
  <c r="E75" i="126" s="1"/>
  <c r="D75" i="126" a="1"/>
  <c r="D75" i="126" s="1"/>
  <c r="E74" i="126" a="1"/>
  <c r="E74" i="126" s="1"/>
  <c r="D74" i="126" a="1"/>
  <c r="D74" i="126" s="1"/>
  <c r="E73" i="126" a="1"/>
  <c r="E73" i="126" s="1"/>
  <c r="D73" i="126" a="1"/>
  <c r="D73" i="126" s="1"/>
  <c r="E72" i="126" a="1"/>
  <c r="E72" i="126" s="1"/>
  <c r="D72" i="126" a="1"/>
  <c r="D72" i="126" s="1"/>
  <c r="E71" i="126" a="1"/>
  <c r="E71" i="126" s="1"/>
  <c r="D71" i="126" a="1"/>
  <c r="D71" i="126" s="1"/>
  <c r="E70" i="126" a="1"/>
  <c r="E70" i="126" s="1"/>
  <c r="D70" i="126" a="1"/>
  <c r="D70" i="126" s="1"/>
  <c r="E69" i="126" a="1"/>
  <c r="E69" i="126" s="1"/>
  <c r="D69" i="126" a="1"/>
  <c r="D69" i="126" s="1"/>
  <c r="E68" i="126" a="1"/>
  <c r="E68" i="126" s="1"/>
  <c r="D68" i="126" a="1"/>
  <c r="D68" i="126" s="1"/>
  <c r="E67" i="126" a="1"/>
  <c r="E67" i="126" s="1"/>
  <c r="D67" i="126" a="1"/>
  <c r="D67" i="126" s="1"/>
  <c r="E66" i="126" a="1"/>
  <c r="E66" i="126" s="1"/>
  <c r="D66" i="126" a="1"/>
  <c r="D66" i="126" s="1"/>
  <c r="E65" i="126" a="1"/>
  <c r="E65" i="126" s="1"/>
  <c r="D65" i="126" a="1"/>
  <c r="D65" i="126" s="1"/>
  <c r="E64" i="126" a="1"/>
  <c r="E64" i="126" s="1"/>
  <c r="D64" i="126" a="1"/>
  <c r="D64" i="126" s="1"/>
  <c r="D59" i="126" a="1"/>
  <c r="D59" i="126" s="1"/>
  <c r="D58" i="126" a="1"/>
  <c r="D58" i="126" s="1"/>
  <c r="D57" i="126"/>
  <c r="D57" i="126" a="1"/>
  <c r="G54" i="126" a="1"/>
  <c r="G54" i="126" s="1"/>
  <c r="F54" i="126" a="1"/>
  <c r="F54" i="126" s="1"/>
  <c r="E54" i="126" a="1"/>
  <c r="E54" i="126" s="1"/>
  <c r="D54" i="126" a="1"/>
  <c r="D54" i="126" s="1"/>
  <c r="G53" i="126" a="1"/>
  <c r="G53" i="126" s="1"/>
  <c r="F53" i="126" a="1"/>
  <c r="F53" i="126" s="1"/>
  <c r="E53" i="126" a="1"/>
  <c r="E53" i="126" s="1"/>
  <c r="D53" i="126" a="1"/>
  <c r="D53" i="126" s="1"/>
  <c r="G52" i="126" a="1"/>
  <c r="G52" i="126" s="1"/>
  <c r="F52" i="126" a="1"/>
  <c r="F52" i="126" s="1"/>
  <c r="E52" i="126" a="1"/>
  <c r="E52" i="126" s="1"/>
  <c r="D52" i="126" a="1"/>
  <c r="D52" i="126" s="1"/>
  <c r="G51" i="126" a="1"/>
  <c r="G51" i="126" s="1"/>
  <c r="F51" i="126" a="1"/>
  <c r="F51" i="126" s="1"/>
  <c r="E51" i="126" a="1"/>
  <c r="E51" i="126" s="1"/>
  <c r="D51" i="126" a="1"/>
  <c r="D51" i="126" s="1"/>
  <c r="G50" i="126" a="1"/>
  <c r="G50" i="126" s="1"/>
  <c r="F50" i="126" a="1"/>
  <c r="F50" i="126" s="1"/>
  <c r="E50" i="126" a="1"/>
  <c r="E50" i="126" s="1"/>
  <c r="D50" i="126" a="1"/>
  <c r="D50" i="126" s="1"/>
  <c r="G49" i="126" a="1"/>
  <c r="G49" i="126" s="1"/>
  <c r="F49" i="126" a="1"/>
  <c r="F49" i="126" s="1"/>
  <c r="E49" i="126" a="1"/>
  <c r="E49" i="126" s="1"/>
  <c r="D49" i="126" a="1"/>
  <c r="D49" i="126" s="1"/>
  <c r="G48" i="126" a="1"/>
  <c r="G48" i="126" s="1"/>
  <c r="F48" i="126" a="1"/>
  <c r="F48" i="126" s="1"/>
  <c r="E48" i="126" a="1"/>
  <c r="E48" i="126" s="1"/>
  <c r="D48" i="126" a="1"/>
  <c r="D48" i="126" s="1"/>
  <c r="D46" i="126" a="1"/>
  <c r="D46" i="126" s="1"/>
  <c r="D45" i="126" a="1"/>
  <c r="D45" i="126" s="1"/>
  <c r="E43" i="126" a="1"/>
  <c r="E43" i="126" s="1"/>
  <c r="D43" i="126" a="1"/>
  <c r="D43" i="126" s="1"/>
  <c r="E42" i="126" a="1"/>
  <c r="E42" i="126" s="1"/>
  <c r="D42" i="126" a="1"/>
  <c r="D42" i="126" s="1"/>
  <c r="E41" i="126" a="1"/>
  <c r="E41" i="126" s="1"/>
  <c r="D41" i="126" a="1"/>
  <c r="D41" i="126" s="1"/>
  <c r="E40" i="126" a="1"/>
  <c r="E40" i="126" s="1"/>
  <c r="D40" i="126" a="1"/>
  <c r="D40" i="126" s="1"/>
  <c r="E39" i="126" a="1"/>
  <c r="E39" i="126" s="1"/>
  <c r="D39" i="126" a="1"/>
  <c r="D39" i="126" s="1"/>
  <c r="E38" i="126" a="1"/>
  <c r="E38" i="126" s="1"/>
  <c r="D38" i="126" a="1"/>
  <c r="D38" i="126" s="1"/>
  <c r="E37" i="126" a="1"/>
  <c r="E37" i="126" s="1"/>
  <c r="D37" i="126" a="1"/>
  <c r="D37" i="126" s="1"/>
  <c r="D35" i="126" a="1"/>
  <c r="D35" i="126" s="1"/>
  <c r="D34" i="126" a="1"/>
  <c r="D34" i="126" s="1"/>
  <c r="D30" i="126" a="1"/>
  <c r="D30" i="126" s="1"/>
  <c r="D29" i="126" a="1"/>
  <c r="D29" i="126" s="1"/>
  <c r="D28" i="126" a="1"/>
  <c r="D28" i="126" s="1"/>
  <c r="D27" i="126" a="1"/>
  <c r="D27" i="126" s="1"/>
  <c r="D26" i="126" a="1"/>
  <c r="D26" i="126" s="1"/>
  <c r="D25" i="126" a="1"/>
  <c r="D25" i="126" s="1"/>
  <c r="D24" i="126" a="1"/>
  <c r="D24" i="126" s="1"/>
  <c r="D23" i="126" a="1"/>
  <c r="D23" i="126" s="1"/>
  <c r="D22" i="126" a="1"/>
  <c r="D22" i="126" s="1"/>
  <c r="D21" i="126" a="1"/>
  <c r="D21" i="126" s="1"/>
  <c r="D19" i="126" a="1"/>
  <c r="D19" i="126" s="1"/>
  <c r="D18" i="126"/>
  <c r="D18" i="126" a="1"/>
  <c r="F14" i="126" a="1"/>
  <c r="F14" i="126" s="1"/>
  <c r="E14" i="126" a="1"/>
  <c r="E14" i="126" s="1"/>
  <c r="D14" i="126" a="1"/>
  <c r="D14" i="126" s="1"/>
  <c r="F13" i="126" a="1"/>
  <c r="F13" i="126" s="1"/>
  <c r="E13" i="126" a="1"/>
  <c r="E13" i="126" s="1"/>
  <c r="D13" i="126" a="1"/>
  <c r="D13" i="126" s="1"/>
  <c r="F12" i="126" a="1"/>
  <c r="F12" i="126" s="1"/>
  <c r="E12" i="126" a="1"/>
  <c r="E12" i="126" s="1"/>
  <c r="D12" i="126" a="1"/>
  <c r="D12" i="126" s="1"/>
  <c r="F11" i="126" a="1"/>
  <c r="F11" i="126" s="1"/>
  <c r="E11" i="126" a="1"/>
  <c r="E11" i="126" s="1"/>
  <c r="D11" i="126" a="1"/>
  <c r="D11" i="126" s="1"/>
  <c r="F10" i="126" a="1"/>
  <c r="F10" i="126" s="1"/>
  <c r="E10" i="126" a="1"/>
  <c r="E10" i="126" s="1"/>
  <c r="D10" i="126" a="1"/>
  <c r="D10" i="126" s="1"/>
  <c r="F9" i="126" a="1"/>
  <c r="F9" i="126" s="1"/>
  <c r="E9" i="126" a="1"/>
  <c r="E9" i="126" s="1"/>
  <c r="D9" i="126" a="1"/>
  <c r="D9" i="126" s="1"/>
  <c r="F8" i="126" a="1"/>
  <c r="F8" i="126" s="1"/>
  <c r="E8" i="126" a="1"/>
  <c r="E8" i="126" s="1"/>
  <c r="D8" i="126" a="1"/>
  <c r="D8" i="126" s="1"/>
  <c r="F7" i="126" a="1"/>
  <c r="F7" i="126" s="1"/>
  <c r="E7" i="126" a="1"/>
  <c r="E7" i="126" s="1"/>
  <c r="D7" i="126" a="1"/>
  <c r="D7" i="126" s="1"/>
  <c r="D5" i="126" a="1"/>
  <c r="D5" i="126" s="1"/>
  <c r="I13" i="120"/>
  <c r="J28" i="69"/>
  <c r="J25" i="69"/>
  <c r="J24" i="69"/>
  <c r="J23" i="69"/>
  <c r="J20" i="69"/>
  <c r="J17" i="69"/>
  <c r="J16" i="69"/>
  <c r="J15" i="69"/>
  <c r="J14" i="69"/>
  <c r="A16" i="70"/>
  <c r="A15" i="70"/>
  <c r="A12" i="70"/>
  <c r="A11" i="70"/>
  <c r="A8" i="70"/>
  <c r="A5" i="70"/>
  <c r="A4" i="70"/>
  <c r="A3" i="70"/>
  <c r="A16" i="110"/>
  <c r="A15" i="110"/>
  <c r="A12" i="110"/>
  <c r="A11" i="110"/>
  <c r="A8" i="110"/>
  <c r="A5" i="110"/>
  <c r="A4" i="110"/>
  <c r="A3" i="110"/>
  <c r="A16" i="120"/>
  <c r="A15" i="120"/>
  <c r="A12" i="120"/>
  <c r="A11" i="120"/>
  <c r="A8" i="120"/>
  <c r="A5" i="120"/>
  <c r="A4" i="120"/>
  <c r="A3" i="120"/>
  <c r="A16" i="69"/>
  <c r="A15" i="69"/>
  <c r="A12" i="69"/>
  <c r="A11" i="69"/>
  <c r="A8" i="69"/>
  <c r="A5" i="69"/>
  <c r="A4" i="69"/>
  <c r="A3" i="69"/>
  <c r="A16" i="118"/>
  <c r="A15" i="118"/>
  <c r="A12" i="118"/>
  <c r="A11" i="118"/>
  <c r="A8" i="118"/>
  <c r="A5" i="118"/>
  <c r="A4" i="118"/>
  <c r="A3" i="118"/>
  <c r="A12" i="13"/>
  <c r="A11" i="13"/>
  <c r="D19" i="120" a="1"/>
  <c r="D19" i="120" s="1"/>
  <c r="F22" i="120" a="1"/>
  <c r="F22" i="120" s="1"/>
  <c r="G13" i="120" a="1"/>
  <c r="G13" i="120" s="1"/>
  <c r="D13" i="120" a="1"/>
  <c r="D13" i="120" s="1"/>
  <c r="E11" i="120" a="1"/>
  <c r="E11" i="120" s="1"/>
  <c r="F17" i="120" s="1"/>
  <c r="E10" i="120" a="1"/>
  <c r="E10" i="120" s="1"/>
  <c r="D6" i="120" a="1"/>
  <c r="D6" i="120" s="1"/>
  <c r="D5" i="120" a="1"/>
  <c r="D5" i="120" s="1"/>
  <c r="A136" i="120"/>
  <c r="A109" i="120"/>
  <c r="A66" i="120"/>
  <c r="F51" i="110" a="1"/>
  <c r="F51" i="110" s="1"/>
  <c r="E51" i="110" a="1"/>
  <c r="E51" i="110" s="1"/>
  <c r="D51" i="110" a="1"/>
  <c r="D51" i="110" s="1"/>
  <c r="D50" i="110" a="1"/>
  <c r="D50" i="110" s="1"/>
  <c r="D49" i="110" a="1"/>
  <c r="D49" i="110" s="1"/>
  <c r="F46" i="110" a="1"/>
  <c r="F46" i="110" s="1"/>
  <c r="E46" i="110" a="1"/>
  <c r="E46" i="110" s="1"/>
  <c r="D46" i="110" a="1"/>
  <c r="D46" i="110" s="1"/>
  <c r="D45" i="110" a="1"/>
  <c r="D45" i="110" s="1"/>
  <c r="D44" i="110" a="1"/>
  <c r="D44" i="110" s="1"/>
  <c r="F41" i="110" a="1"/>
  <c r="F41" i="110" s="1"/>
  <c r="E41" i="110" a="1"/>
  <c r="E41" i="110" s="1"/>
  <c r="D41" i="110" a="1"/>
  <c r="D41" i="110" s="1"/>
  <c r="D40" i="110" a="1"/>
  <c r="D40" i="110" s="1"/>
  <c r="D39" i="110" a="1"/>
  <c r="D39" i="110" s="1"/>
  <c r="F36" i="110" a="1"/>
  <c r="F36" i="110" s="1"/>
  <c r="E36" i="110" a="1"/>
  <c r="E36" i="110" s="1"/>
  <c r="D36" i="110" a="1"/>
  <c r="D36" i="110" s="1"/>
  <c r="D35" i="110" a="1"/>
  <c r="D35" i="110" s="1"/>
  <c r="D34" i="110" a="1"/>
  <c r="D34" i="110" s="1"/>
  <c r="E31" i="110" a="1"/>
  <c r="E31" i="110" s="1"/>
  <c r="F31" i="110" a="1"/>
  <c r="F31" i="110" s="1"/>
  <c r="D31" i="110" a="1"/>
  <c r="D31" i="110" s="1"/>
  <c r="D30" i="110" a="1"/>
  <c r="D30" i="110" s="1"/>
  <c r="D29" i="110" a="1"/>
  <c r="D29" i="110" s="1"/>
  <c r="E14" i="110" a="1"/>
  <c r="E14" i="110" s="1"/>
  <c r="D14" i="110" a="1"/>
  <c r="D14" i="110" s="1"/>
  <c r="E13" i="110" a="1"/>
  <c r="E13" i="110" s="1"/>
  <c r="D13" i="110" a="1"/>
  <c r="D13" i="110" s="1"/>
  <c r="E12" i="110" a="1"/>
  <c r="E12" i="110" s="1"/>
  <c r="D12" i="110" a="1"/>
  <c r="D12" i="110" s="1"/>
  <c r="E11" i="110" a="1"/>
  <c r="E11" i="110" s="1"/>
  <c r="D11" i="110" a="1"/>
  <c r="D11" i="110" s="1"/>
  <c r="E10" i="110" a="1"/>
  <c r="E10" i="110" s="1"/>
  <c r="E26" i="110" a="1"/>
  <c r="E26" i="110" s="1"/>
  <c r="D26" i="110" a="1"/>
  <c r="D26" i="110" s="1"/>
  <c r="E25" i="110" a="1"/>
  <c r="E25" i="110" s="1"/>
  <c r="D25" i="110" a="1"/>
  <c r="D25" i="110" s="1"/>
  <c r="E24" i="110" a="1"/>
  <c r="E24" i="110" s="1"/>
  <c r="D24" i="110" a="1"/>
  <c r="D24" i="110" s="1"/>
  <c r="E23" i="110" a="1"/>
  <c r="E23" i="110" s="1"/>
  <c r="D23" i="110" a="1"/>
  <c r="D23" i="110" s="1"/>
  <c r="E22" i="110" a="1"/>
  <c r="E22" i="110" s="1"/>
  <c r="D22" i="110" a="1"/>
  <c r="D22" i="110" s="1"/>
  <c r="D20" i="110" a="1"/>
  <c r="D20" i="110" s="1"/>
  <c r="D19" i="110" a="1"/>
  <c r="D19" i="110" s="1"/>
  <c r="D18" i="110" a="1"/>
  <c r="D18" i="110" s="1"/>
  <c r="D17" i="110" a="1"/>
  <c r="D17" i="110" s="1"/>
  <c r="D10" i="110" a="1"/>
  <c r="D10" i="110" s="1"/>
  <c r="D8" i="110" a="1"/>
  <c r="D8" i="110" s="1"/>
  <c r="D7" i="110" a="1"/>
  <c r="D7" i="110" s="1"/>
  <c r="D6" i="110" a="1"/>
  <c r="D6" i="110" s="1"/>
  <c r="D5" i="110" a="1"/>
  <c r="D5" i="110" s="1"/>
  <c r="A16" i="13"/>
  <c r="A15" i="13"/>
  <c r="A8" i="13"/>
  <c r="A5" i="13"/>
  <c r="A4" i="13"/>
  <c r="A3" i="13"/>
  <c r="F35" i="69" a="1"/>
  <c r="F35" i="69" s="1"/>
  <c r="D32" i="69" a="1"/>
  <c r="D32" i="69" s="1"/>
  <c r="E7" i="120" a="1"/>
  <c r="H48" i="126" l="1"/>
  <c r="H54" i="126"/>
  <c r="H53" i="126"/>
  <c r="H51" i="126"/>
  <c r="H52" i="126"/>
  <c r="H50" i="126"/>
  <c r="H49" i="126"/>
  <c r="E17" i="120" a="1"/>
  <c r="E17" i="120" s="1"/>
  <c r="E10" i="13" s="1"/>
  <c r="E7" i="120"/>
  <c r="G19" i="120" l="1"/>
  <c r="E22" i="120" s="1" a="1"/>
  <c r="E22" i="120" s="1"/>
  <c r="H10" i="13" s="1"/>
  <c r="I10" i="13" s="1"/>
  <c r="F10" i="13"/>
  <c r="D7" i="69" a="1"/>
  <c r="D7" i="69" s="1"/>
  <c r="J21" i="69" a="1"/>
  <c r="J21" i="69" s="1"/>
  <c r="J18" i="69" a="1"/>
  <c r="J18" i="69" s="1"/>
  <c r="H14" i="69" a="1"/>
  <c r="H14" i="69" s="1"/>
  <c r="D14" i="69" a="1"/>
  <c r="D14" i="69" s="1"/>
  <c r="E12" i="69" a="1"/>
  <c r="E12" i="69" s="1"/>
  <c r="F30" i="69" s="1"/>
  <c r="E11" i="69" a="1"/>
  <c r="E11" i="69" s="1"/>
  <c r="D6" i="69" a="1"/>
  <c r="D6" i="69" s="1"/>
  <c r="D5" i="69" a="1"/>
  <c r="D5" i="69" s="1"/>
  <c r="E8" i="69" a="1"/>
  <c r="E30" i="69" l="1" a="1"/>
  <c r="E30" i="69" s="1"/>
  <c r="E9" i="13" s="1"/>
  <c r="E8" i="69"/>
  <c r="G32" i="69" l="1"/>
  <c r="E35" i="69" s="1" a="1"/>
  <c r="E35" i="69" s="1"/>
  <c r="H9" i="13" s="1"/>
  <c r="D57" i="70"/>
  <c r="H11" i="13" l="1"/>
  <c r="I9" i="13"/>
  <c r="I11" i="13" s="1"/>
  <c r="A77" i="110"/>
  <c r="A49" i="110"/>
  <c r="A109" i="69"/>
  <c r="A136" i="69"/>
  <c r="A66" i="69"/>
  <c r="F9" i="1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<sst xmlns="http://schemas.openxmlformats.org/spreadsheetml/2006/main" count="171" uniqueCount="132">
  <si>
    <t>Home</t>
  </si>
  <si>
    <t>INPUTS</t>
  </si>
  <si>
    <t>APPENDICES</t>
  </si>
  <si>
    <t>Emissions breakdown</t>
  </si>
  <si>
    <t>Climate zone</t>
  </si>
  <si>
    <t>Unit</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</si>
  <si>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</si>
  <si>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</si>
  <si>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</si>
  <si>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</si>
  <si>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</si>
  <si>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</si>
  <si>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</si>
  <si>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</si>
  <si>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</si>
  <si>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</si>
  <si>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</si>
  <si>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</si>
  <si>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</si>
  <si>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</si>
  <si>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</si>
  <si>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</si>
  <si>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</si>
  <si>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</si>
  <si>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</si>
  <si>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</si>
  <si>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</si>
  <si>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</si>
  <si>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</si>
  <si>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</si>
  <si>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</si>
  <si>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</si>
  <si>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</si>
  <si>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</si>
  <si>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</si>
  <si>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</si>
  <si>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</si>
  <si>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</si>
  <si>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</si>
  <si>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</si>
  <si>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</si>
  <si>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</si>
  <si>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</si>
  <si>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Data source</t>
  </si>
  <si>
    <t>Data score</t>
  </si>
  <si>
    <t>CALCULATIONS</t>
  </si>
  <si>
    <t>Constants - Common</t>
  </si>
  <si>
    <t>Is in leaching zone</t>
  </si>
  <si>
    <t>FracWET</t>
  </si>
  <si>
    <t>Method 1</t>
  </si>
  <si>
    <t>Scope 1 source</t>
  </si>
  <si>
    <t>Production system j</t>
  </si>
  <si>
    <t>EFN2O</t>
  </si>
  <si>
    <t>Production system only</t>
  </si>
  <si>
    <t>Irrigation method</t>
  </si>
  <si>
    <t>GHG Unit</t>
  </si>
  <si>
    <t>Month</t>
  </si>
  <si>
    <t>Irrigation type i</t>
  </si>
  <si>
    <t>t CO2e</t>
  </si>
  <si>
    <t>EFPRP</t>
  </si>
  <si>
    <t>GHG emissions method 1</t>
  </si>
  <si>
    <t>GHG emissions method 2</t>
  </si>
  <si>
    <t>Season</t>
  </si>
  <si>
    <t>Poultry manure with bedding</t>
  </si>
  <si>
    <t>Solid storage</t>
  </si>
  <si>
    <t>Composting (passive windrow)</t>
  </si>
  <si>
    <t>Digester / covered lagoons</t>
  </si>
  <si>
    <t>Pasture range and paddock</t>
  </si>
  <si>
    <t>Direct processing</t>
  </si>
  <si>
    <t>Direct application</t>
  </si>
  <si>
    <t>MAT (ºC)</t>
  </si>
  <si>
    <t>Anaerobic lagoon</t>
  </si>
  <si>
    <t>Liquid systems</t>
  </si>
  <si>
    <t>Daily spread</t>
  </si>
  <si>
    <t>Pit storage</t>
  </si>
  <si>
    <t>Deep litter</t>
  </si>
  <si>
    <t>Poultry manure without bedding</t>
  </si>
  <si>
    <t>MAT raw</t>
  </si>
  <si>
    <t>Climate Zone</t>
  </si>
  <si>
    <t>EFNi &amp; EFN2Oi</t>
  </si>
  <si>
    <t>💡 NOTE: When there is no Method 2, the Method 2 result are the same as Method 1</t>
  </si>
  <si>
    <t>`</t>
  </si>
  <si>
    <t xml:space="preserve">  </t>
  </si>
  <si>
    <t>💡 Below is a diagram that maps the equations used to calculate emissions, and how they interact with each other.</t>
  </si>
  <si>
    <t xml:space="preserve">    Click on a box to go to the corresponding calculation.</t>
  </si>
  <si>
    <t xml:space="preserve"> </t>
  </si>
  <si>
    <t>14: Electricity use scope 2: Overview</t>
  </si>
  <si>
    <t>14: Electricity use scope 2: Results</t>
  </si>
  <si>
    <t>Facility type t</t>
  </si>
  <si>
    <t>CFww,t</t>
  </si>
  <si>
    <t>CFsludge,t</t>
  </si>
  <si>
    <t>Wastewater treatment</t>
  </si>
  <si>
    <t>m3</t>
  </si>
  <si>
    <t>Quantity of wastewater in cubic metres</t>
  </si>
  <si>
    <t>Average inlet chemical oxygen demand (COD)</t>
  </si>
  <si>
    <t>kg COD/m3</t>
  </si>
  <si>
    <t xml:space="preserve">Average outlet chemical oxygen demand </t>
  </si>
  <si>
    <t>Quantity of methane in sludge biogas captured for combustion at the facility</t>
  </si>
  <si>
    <t>Quantity of methane in sludge biogas flared by the treatment facility</t>
  </si>
  <si>
    <t>Quantity of methane in sludge biogas transferred out of the treatment facility</t>
  </si>
  <si>
    <t>m3 CH4</t>
  </si>
  <si>
    <t>fraction</t>
  </si>
  <si>
    <t>Fraction of chemical oxygen demand removed from the treatment facility as sludge</t>
  </si>
  <si>
    <t>COD that can emit during treatment is what's put in, less what's removed as sludge and what eventually leaves after treatment</t>
  </si>
  <si>
    <t>Methane from treated wastewater - organic material in water</t>
  </si>
  <si>
    <t>PLUS emissions from sludge that was removed from COD minus what sludge was sent offsite (becoming a scope 3 emission)</t>
  </si>
  <si>
    <t>PLUS Emissions from methane in sludge that was flared</t>
  </si>
  <si>
    <t>MINUS "methane released from wastewater handling"</t>
  </si>
  <si>
    <t>Equals CH4</t>
  </si>
  <si>
    <t>does not convert to CO2e</t>
  </si>
  <si>
    <t>EF is converted to from NGER CO2e to CH4</t>
  </si>
  <si>
    <t>Convert to CO2e later with GWP</t>
  </si>
  <si>
    <t>If you know the quantity of sludge biogas but not the amount of methane, assume that the methane content is 70% of the biogas amount.</t>
  </si>
  <si>
    <t>Management of sludge biogas</t>
  </si>
  <si>
    <t>Fraction of chemical oxygen demand removed from the treatment facility and transferred for processing or to landfilll</t>
  </si>
  <si>
    <t>Chemical oxygen demand</t>
  </si>
  <si>
    <t>"Chemical oxygen demand" (COD) is an indicator of the amount of organic pollutants in wastewater</t>
  </si>
  <si>
    <t>Treatment facility type</t>
  </si>
  <si>
    <r>
      <rPr>
        <sz val="12"/>
        <color theme="1" tint="0.34998626667073579"/>
        <rFont val="Times New Roman"/>
        <family val="1"/>
      </rPr>
      <t>←</t>
    </r>
    <r>
      <rPr>
        <i/>
        <sz val="12"/>
        <color theme="1" tint="0.34998626667073579"/>
        <rFont val="Times New Roman"/>
        <family val="1"/>
      </rPr>
      <t xml:space="preserve"> Please select</t>
    </r>
  </si>
  <si>
    <t>Unmanaged aerobic treatment</t>
  </si>
  <si>
    <r>
      <rPr>
        <b/>
        <sz val="16"/>
        <color theme="1" tint="0.24994659260841701"/>
        <rFont val="Times New Roman"/>
        <family val="1"/>
      </rPr>
      <t>E</t>
    </r>
    <r>
      <rPr>
        <b/>
        <vertAlign val="subscript"/>
        <sz val="16"/>
        <color theme="1" tint="0.24994659260841701"/>
        <rFont val="Times New Roman"/>
        <family val="1"/>
      </rPr>
      <t>CH4</t>
    </r>
  </si>
  <si>
    <r>
      <t>E</t>
    </r>
    <r>
      <rPr>
        <vertAlign val="subscript"/>
        <sz val="12"/>
        <color theme="1" tint="0.24994659260841701"/>
        <rFont val="Times New Roman"/>
        <family val="1"/>
      </rPr>
      <t>CO2e</t>
    </r>
  </si>
  <si>
    <t>Constants - Wastewater</t>
  </si>
  <si>
    <t>Input - Wastewater</t>
  </si>
  <si>
    <t>11.1.1-2 Wastewater CH4</t>
  </si>
  <si>
    <t>11.1.3-4 Wastewater N2O</t>
  </si>
  <si>
    <t>t CH4</t>
  </si>
  <si>
    <t>t N2O</t>
  </si>
  <si>
    <t>CO2-e emissions method 1</t>
  </si>
  <si>
    <t>CO2-e emissions method 2</t>
  </si>
  <si>
    <t>CO2-e unit</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</si>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</sst>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0.000"/>
    <numFmt numFmtId="165" formatCode="#,##0.000"/>
    <numFmt numFmtId="166" formatCode="d/mm/yyyy;@"/>
    <numFmt numFmtId="167" formatCode="[$-C09]dd\-mmmm\-yyyy;@"/>
    <numFmt numFmtId="168" formatCode="#,##0.000000"/>
    <numFmt numFmtId="169" formatCode="0.0000"/>
    <numFmt numFmtId="170" formatCode="0.0000000000"/>
  </numFmts>
  <fonts count="53"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b/>
      <sz val="11"/>
      <color theme="1"/>
      <name val="Times New Roman"/>
      <family val="1"/>
      <scheme val="minor"/>
    </font>
    <font>
      <b/>
      <sz val="14"/>
      <color theme="1"/>
      <name val="Times New Roman"/>
      <family val="1"/>
      <scheme val="minor"/>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sz val="14"/>
      <color theme="1" tint="0.34998626667073579"/>
      <name val="Times New Roman"/>
      <family val="1"/>
    </font>
    <font>
      <b/>
      <sz val="12"/>
      <color rgb="FFCC6600"/>
      <name val="Times New Roman"/>
      <family val="1"/>
    </font>
    <font>
      <i/>
      <sz val="10"/>
      <color theme="6" tint="-0.499984740745262"/>
      <name val="Times New Roman"/>
      <family val="1"/>
    </font>
    <font>
      <i/>
      <sz val="10"/>
      <color theme="5" tint="-0.499984740745262"/>
      <name val="Times New Roman"/>
      <family val="1"/>
    </font>
    <font>
      <u/>
      <sz val="10"/>
      <color theme="1" tint="0.34998626667073579"/>
      <name val="Times New Roman"/>
      <family val="1"/>
    </font>
    <font>
      <i/>
      <sz val="10"/>
      <color theme="1" tint="0.14999847407452621"/>
      <name val="Times New Roman"/>
      <family val="1"/>
      <scheme val="minor"/>
    </font>
    <font>
      <b/>
      <sz val="20"/>
      <color theme="3" tint="9.9978637043366805E-2"/>
      <name val="Times New Roman"/>
      <family val="1"/>
    </font>
    <font>
      <sz val="16"/>
      <color theme="1" tint="0.24994659260841701"/>
      <name val="Times New Roman"/>
      <family val="1"/>
    </font>
    <font>
      <b/>
      <sz val="16"/>
      <color theme="1" tint="0.24994659260841701"/>
      <name val="Times New Roman"/>
      <family val="1"/>
    </font>
    <font>
      <b/>
      <vertAlign val="subscrip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18">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right/>
      <top style="thin">
        <color theme="3" tint="0.749961851863155"/>
      </top>
      <bottom style="thin">
        <color theme="3" tint="0.749961851863155"/>
      </bottom>
      <diagonal/>
    </border>
  </borders>
  <cellStyleXfs count="67">
    <xf numFmtId="0" fontId="0" fillId="0" borderId="0"/>
    <xf numFmtId="0" fontId="5" fillId="2" borderId="0">
      <alignment horizontal="left" vertical="center" indent="1"/>
      <protection locked="0"/>
    </xf>
    <xf numFmtId="0" fontId="4" fillId="0" borderId="0"/>
    <xf numFmtId="0" fontId="1" fillId="0" borderId="0">
      <alignment vertical="center"/>
    </xf>
    <xf numFmtId="0" fontId="16" fillId="3" borderId="0">
      <alignment vertical="center"/>
    </xf>
    <xf numFmtId="0" fontId="29" fillId="4" borderId="0">
      <alignment horizontal="left" vertical="center"/>
    </xf>
    <xf numFmtId="0" fontId="34" fillId="4" borderId="0">
      <alignment vertical="center"/>
    </xf>
    <xf numFmtId="0" fontId="3" fillId="4" borderId="0">
      <alignment horizontal="left" vertical="center"/>
    </xf>
    <xf numFmtId="0" fontId="31"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3" fillId="0" borderId="2">
      <alignment horizontal="center" vertical="center"/>
    </xf>
    <xf numFmtId="0" fontId="14" fillId="0" borderId="2">
      <alignment horizontal="center" vertical="center"/>
    </xf>
    <xf numFmtId="9" fontId="13" fillId="0" borderId="2">
      <alignment horizontal="center" vertical="center"/>
    </xf>
    <xf numFmtId="165" fontId="13" fillId="0" borderId="2">
      <alignment horizontal="center" vertical="center"/>
    </xf>
    <xf numFmtId="3" fontId="13" fillId="0" borderId="2">
      <alignment horizontal="center" vertical="center"/>
    </xf>
    <xf numFmtId="0" fontId="15" fillId="4" borderId="0">
      <alignment horizontal="left" vertical="center"/>
    </xf>
    <xf numFmtId="0" fontId="6" fillId="4" borderId="3">
      <alignment horizontal="left" vertical="center" indent="1"/>
    </xf>
    <xf numFmtId="164" fontId="8" fillId="4" borderId="3">
      <alignment horizontal="center" vertical="center"/>
    </xf>
    <xf numFmtId="0" fontId="3" fillId="4" borderId="3">
      <alignment horizontal="left" vertical="center"/>
    </xf>
    <xf numFmtId="0" fontId="12" fillId="6" borderId="0">
      <alignment horizontal="left" vertical="center" indent="1"/>
    </xf>
    <xf numFmtId="0" fontId="12" fillId="6" borderId="0">
      <alignment horizontal="center" vertical="center"/>
      <protection locked="0"/>
    </xf>
    <xf numFmtId="0" fontId="11" fillId="4" borderId="0">
      <alignment vertical="center"/>
    </xf>
    <xf numFmtId="0" fontId="16" fillId="7" borderId="0">
      <alignment vertical="center"/>
    </xf>
    <xf numFmtId="0" fontId="10" fillId="0" borderId="0"/>
    <xf numFmtId="0" fontId="2" fillId="0" borderId="0">
      <alignment horizontal="left" vertical="center" indent="1"/>
    </xf>
    <xf numFmtId="0" fontId="17" fillId="9" borderId="4">
      <alignment horizontal="left" vertical="center" indent="1"/>
    </xf>
    <xf numFmtId="0" fontId="20" fillId="10" borderId="0">
      <alignment horizontal="left" vertical="center" indent="1"/>
    </xf>
    <xf numFmtId="0" fontId="20" fillId="5" borderId="0">
      <alignment horizontal="left" vertical="center" indent="1"/>
    </xf>
    <xf numFmtId="0" fontId="20" fillId="8" borderId="0">
      <alignment horizontal="left" vertical="center" indent="1"/>
    </xf>
    <xf numFmtId="0" fontId="22" fillId="0" borderId="0">
      <alignment horizontal="left" vertical="center" indent="2"/>
    </xf>
    <xf numFmtId="0" fontId="36" fillId="13" borderId="7">
      <alignment horizontal="left" vertical="center"/>
    </xf>
    <xf numFmtId="3" fontId="26" fillId="4" borderId="2">
      <alignment horizontal="center" vertical="center"/>
    </xf>
    <xf numFmtId="167" fontId="2" fillId="0" borderId="2">
      <alignment horizontal="center" vertical="center"/>
    </xf>
    <xf numFmtId="0" fontId="27" fillId="0" borderId="0"/>
    <xf numFmtId="0" fontId="9" fillId="0" borderId="0"/>
    <xf numFmtId="0" fontId="27" fillId="0" borderId="0"/>
    <xf numFmtId="166" fontId="26" fillId="4" borderId="2">
      <alignment horizontal="center" vertical="center"/>
    </xf>
    <xf numFmtId="4" fontId="26" fillId="4" borderId="2">
      <alignment horizontal="center" vertical="center"/>
    </xf>
    <xf numFmtId="0" fontId="41" fillId="4" borderId="0">
      <alignment horizontal="left" vertical="center"/>
    </xf>
    <xf numFmtId="0" fontId="30" fillId="4" borderId="0" applyNumberFormat="0">
      <alignment horizontal="center" vertical="center"/>
    </xf>
    <xf numFmtId="165" fontId="26" fillId="4" borderId="2">
      <alignment horizontal="center" vertical="center"/>
    </xf>
    <xf numFmtId="0" fontId="25" fillId="4" borderId="0">
      <alignment horizontal="left" vertical="center"/>
    </xf>
    <xf numFmtId="168" fontId="26" fillId="4" borderId="2">
      <alignment horizontal="center" vertical="center"/>
    </xf>
    <xf numFmtId="0" fontId="26" fillId="4" borderId="2">
      <alignment horizontal="center" vertical="center"/>
    </xf>
    <xf numFmtId="0" fontId="6" fillId="4" borderId="0">
      <alignment horizontal="left" vertical="center"/>
    </xf>
    <xf numFmtId="0" fontId="33" fillId="4" borderId="0">
      <alignment horizontal="left" vertical="center"/>
    </xf>
    <xf numFmtId="0" fontId="9" fillId="0" borderId="0"/>
    <xf numFmtId="0" fontId="2" fillId="0" borderId="2">
      <alignment horizontal="center" vertical="center"/>
    </xf>
    <xf numFmtId="0" fontId="39" fillId="4" borderId="0">
      <alignment horizontal="left" vertical="center"/>
    </xf>
    <xf numFmtId="0" fontId="40" fillId="4" borderId="0">
      <alignment horizontal="left" vertical="center"/>
    </xf>
    <xf numFmtId="0" fontId="42" fillId="4" borderId="0">
      <alignment horizontal="left" vertical="center"/>
    </xf>
    <xf numFmtId="0" fontId="38" fillId="11" borderId="0">
      <alignment horizontal="center" vertical="center"/>
    </xf>
    <xf numFmtId="0" fontId="20" fillId="11" borderId="0">
      <alignment horizontal="left" vertical="center" indent="1"/>
    </xf>
    <xf numFmtId="0" fontId="44" fillId="14" borderId="2">
      <alignment horizontal="center" vertical="center"/>
    </xf>
    <xf numFmtId="0" fontId="43" fillId="15" borderId="2">
      <alignment horizontal="center" vertical="center"/>
    </xf>
    <xf numFmtId="0" fontId="45" fillId="4" borderId="2">
      <alignment horizontal="left" vertical="center"/>
    </xf>
    <xf numFmtId="0" fontId="26" fillId="4" borderId="2">
      <alignment horizontal="left" vertical="center"/>
    </xf>
    <xf numFmtId="0" fontId="46" fillId="0" borderId="0"/>
  </cellStyleXfs>
  <cellXfs count="79">
    <xf numFmtId="0" fontId="0" fillId="0" borderId="0" xfId="0"/>
    <xf numFmtId="0" fontId="31" fillId="4" borderId="0" xfId="8">
      <alignment horizontal="left" vertical="center"/>
    </xf>
    <xf numFmtId="0" fontId="3" fillId="4" borderId="0" xfId="7">
      <alignment horizontal="left" vertical="center"/>
    </xf>
    <xf numFmtId="0" fontId="16" fillId="3" borderId="0" xfId="4">
      <alignment vertical="center"/>
    </xf>
    <xf numFmtId="0" fontId="34" fillId="4" borderId="0" xfId="6">
      <alignment vertical="center"/>
    </xf>
    <xf numFmtId="0" fontId="29"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16" fillId="0" borderId="0" xfId="4" applyFill="1">
      <alignment vertical="center"/>
    </xf>
    <xf numFmtId="0" fontId="15" fillId="4" borderId="0" xfId="24">
      <alignment horizontal="left" vertical="center"/>
    </xf>
    <xf numFmtId="0" fontId="16" fillId="7" borderId="0" xfId="31">
      <alignment vertical="center"/>
    </xf>
    <xf numFmtId="0" fontId="2" fillId="9" borderId="0" xfId="7" applyFont="1" applyFill="1" applyAlignment="1">
      <alignment horizontal="left" vertical="center" indent="1"/>
    </xf>
    <xf numFmtId="0" fontId="2" fillId="0" borderId="0" xfId="33">
      <alignment horizontal="left" vertical="center" indent="1"/>
    </xf>
    <xf numFmtId="0" fontId="17" fillId="9" borderId="4" xfId="34">
      <alignment horizontal="left" vertical="center" indent="1"/>
    </xf>
    <xf numFmtId="0" fontId="18" fillId="9" borderId="4" xfId="34" applyFont="1">
      <alignment horizontal="left" vertical="center" indent="1"/>
    </xf>
    <xf numFmtId="0" fontId="19" fillId="9" borderId="4" xfId="34" applyFont="1">
      <alignment horizontal="left" vertical="center" indent="1"/>
    </xf>
    <xf numFmtId="0" fontId="36" fillId="13" borderId="7" xfId="39">
      <alignment horizontal="left" vertical="center"/>
    </xf>
    <xf numFmtId="0" fontId="0" fillId="4" borderId="0" xfId="0" applyFill="1"/>
    <xf numFmtId="2" fontId="0" fillId="4" borderId="0" xfId="0" applyNumberFormat="1" applyFill="1" applyAlignment="1">
      <alignment vertical="center"/>
    </xf>
    <xf numFmtId="0" fontId="16" fillId="4" borderId="0" xfId="4" applyFill="1">
      <alignment vertical="center"/>
    </xf>
    <xf numFmtId="0" fontId="23" fillId="4" borderId="0" xfId="0" applyFont="1" applyFill="1"/>
    <xf numFmtId="2" fontId="24" fillId="4" borderId="0" xfId="0" applyNumberFormat="1" applyFont="1" applyFill="1"/>
    <xf numFmtId="0" fontId="6" fillId="4" borderId="0" xfId="12" applyAlignment="1">
      <alignment horizontal="left" indent="1"/>
    </xf>
    <xf numFmtId="0" fontId="31" fillId="4" borderId="0" xfId="8" applyAlignment="1">
      <alignment horizontal="right" vertical="center"/>
    </xf>
    <xf numFmtId="0" fontId="0" fillId="0" borderId="0" xfId="7" applyFont="1" applyFill="1">
      <alignment horizontal="left" vertical="center"/>
    </xf>
    <xf numFmtId="0" fontId="0" fillId="0" borderId="0" xfId="8" applyFont="1" applyFill="1">
      <alignment horizontal="left" vertical="center"/>
    </xf>
    <xf numFmtId="0" fontId="3" fillId="12" borderId="2" xfId="15">
      <alignment horizontal="center" vertical="center"/>
    </xf>
    <xf numFmtId="0" fontId="26" fillId="4" borderId="2" xfId="52">
      <alignment horizontal="center" vertical="center"/>
    </xf>
    <xf numFmtId="0" fontId="32" fillId="4" borderId="0" xfId="8" applyFont="1">
      <alignment horizontal="left" vertical="center"/>
    </xf>
    <xf numFmtId="0" fontId="6" fillId="4" borderId="0" xfId="53">
      <alignment horizontal="left" vertical="center"/>
    </xf>
    <xf numFmtId="0" fontId="33" fillId="4" borderId="0" xfId="54">
      <alignment horizontal="left" vertical="center"/>
    </xf>
    <xf numFmtId="0" fontId="35" fillId="0" borderId="0" xfId="33" applyFont="1">
      <alignment horizontal="left" vertical="center" indent="1"/>
    </xf>
    <xf numFmtId="0" fontId="10" fillId="0" borderId="0" xfId="32"/>
    <xf numFmtId="0" fontId="36" fillId="13" borderId="9" xfId="39" applyBorder="1">
      <alignment horizontal="left" vertical="center"/>
    </xf>
    <xf numFmtId="0" fontId="36" fillId="13" borderId="11" xfId="39" applyBorder="1">
      <alignment horizontal="left" vertical="center"/>
    </xf>
    <xf numFmtId="0" fontId="36" fillId="13" borderId="12" xfId="39" applyBorder="1">
      <alignment horizontal="left" vertical="center"/>
    </xf>
    <xf numFmtId="0" fontId="36" fillId="13" borderId="13" xfId="39" applyBorder="1">
      <alignment horizontal="left" vertical="center"/>
    </xf>
    <xf numFmtId="0" fontId="42" fillId="4" borderId="0" xfId="59">
      <alignment horizontal="left" vertical="center"/>
    </xf>
    <xf numFmtId="0" fontId="38" fillId="11" borderId="0" xfId="60">
      <alignment horizontal="center" vertical="center"/>
    </xf>
    <xf numFmtId="0" fontId="36" fillId="13" borderId="8" xfId="39" applyBorder="1">
      <alignment horizontal="left" vertical="center"/>
    </xf>
    <xf numFmtId="0" fontId="20" fillId="5" borderId="0" xfId="36">
      <alignment horizontal="left" vertical="center" indent="1"/>
    </xf>
    <xf numFmtId="0" fontId="20" fillId="11" borderId="0" xfId="61">
      <alignment horizontal="left" vertical="center" indent="1"/>
    </xf>
    <xf numFmtId="0" fontId="43" fillId="15" borderId="2" xfId="63">
      <alignment horizontal="center" vertical="center"/>
    </xf>
    <xf numFmtId="0" fontId="44" fillId="14" borderId="2" xfId="62">
      <alignment horizontal="center" vertical="center"/>
    </xf>
    <xf numFmtId="0" fontId="31" fillId="4" borderId="0" xfId="8" applyAlignment="1">
      <alignment horizontal="left" vertical="center" wrapText="1"/>
    </xf>
    <xf numFmtId="0" fontId="0" fillId="0" borderId="0" xfId="0" applyAlignment="1">
      <alignment wrapText="1"/>
    </xf>
    <xf numFmtId="0" fontId="28" fillId="0" borderId="0" xfId="0" applyFont="1" applyAlignment="1">
      <alignment wrapText="1"/>
    </xf>
    <xf numFmtId="0" fontId="26" fillId="4" borderId="2" xfId="65">
      <alignment horizontal="left" vertical="center"/>
    </xf>
    <xf numFmtId="0" fontId="26" fillId="4" borderId="5" xfId="65" applyBorder="1">
      <alignment horizontal="left" vertical="center"/>
    </xf>
    <xf numFmtId="0" fontId="26" fillId="4" borderId="6" xfId="65" applyBorder="1">
      <alignment horizontal="left" vertical="center"/>
    </xf>
    <xf numFmtId="0" fontId="46" fillId="0" borderId="0" xfId="66"/>
    <xf numFmtId="169" fontId="8" fillId="4" borderId="0" xfId="10" applyNumberFormat="1">
      <alignment horizontal="center" vertical="center"/>
    </xf>
    <xf numFmtId="0" fontId="47" fillId="9" borderId="0" xfId="32" applyFont="1" applyFill="1"/>
    <xf numFmtId="0" fontId="31" fillId="9" borderId="0" xfId="8" applyFill="1">
      <alignment horizontal="left" vertical="center"/>
    </xf>
    <xf numFmtId="0" fontId="0" fillId="9" borderId="0" xfId="0" applyFill="1"/>
    <xf numFmtId="0" fontId="16" fillId="11" borderId="0" xfId="31" applyFill="1">
      <alignment vertical="center"/>
    </xf>
    <xf numFmtId="0" fontId="37" fillId="13" borderId="10" xfId="39" applyFont="1" applyBorder="1">
      <alignment horizontal="left" vertical="center"/>
    </xf>
    <xf numFmtId="0" fontId="20" fillId="10" borderId="0" xfId="35">
      <alignment horizontal="left" vertical="center" indent="1"/>
    </xf>
    <xf numFmtId="0" fontId="36" fillId="13" borderId="14" xfId="39" applyBorder="1">
      <alignment horizontal="left" vertical="center"/>
    </xf>
    <xf numFmtId="0" fontId="36" fillId="13" borderId="15" xfId="39" applyBorder="1">
      <alignment horizontal="left" vertical="center"/>
    </xf>
    <xf numFmtId="0" fontId="49" fillId="4" borderId="1" xfId="8" applyFont="1" applyBorder="1">
      <alignment horizontal="left" vertical="center"/>
    </xf>
    <xf numFmtId="0" fontId="31" fillId="4" borderId="1" xfId="8" applyBorder="1">
      <alignment horizontal="left" vertical="center"/>
    </xf>
    <xf numFmtId="0" fontId="48" fillId="4" borderId="1" xfId="8" applyFont="1" applyBorder="1">
      <alignment horizontal="left" vertical="center"/>
    </xf>
    <xf numFmtId="0" fontId="26" fillId="4" borderId="16" xfId="65" applyBorder="1">
      <alignment horizontal="left" vertical="center"/>
    </xf>
    <xf numFmtId="0" fontId="20" fillId="8" borderId="0" xfId="37">
      <alignment horizontal="left" vertical="center" indent="1"/>
    </xf>
    <xf numFmtId="0" fontId="51" fillId="4" borderId="1" xfId="53" applyFont="1" applyBorder="1">
      <alignment horizontal="left" vertical="center"/>
    </xf>
    <xf numFmtId="0" fontId="2" fillId="0" borderId="2" xfId="56">
      <alignment horizontal="center" vertical="center"/>
    </xf>
    <xf numFmtId="0" fontId="36" fillId="13" borderId="17" xfId="39" applyBorder="1">
      <alignment horizontal="left" vertical="center"/>
    </xf>
    <xf numFmtId="0" fontId="41" fillId="4" borderId="0" xfId="47">
      <alignment horizontal="left" vertical="center"/>
    </xf>
    <xf numFmtId="0" fontId="6" fillId="4" borderId="0" xfId="12">
      <alignment horizontal="left" vertical="center" indent="1"/>
    </xf>
    <xf numFmtId="0" fontId="26" fillId="4" borderId="2" xfId="52" applyAlignment="1">
      <alignment horizontal="left" vertical="center"/>
    </xf>
    <xf numFmtId="0" fontId="26" fillId="4" borderId="6" xfId="52" applyBorder="1" applyAlignment="1">
      <alignment horizontal="left" vertical="center"/>
    </xf>
    <xf numFmtId="0" fontId="26" fillId="4" borderId="16" xfId="52" applyBorder="1">
      <alignment horizontal="center" vertical="center"/>
    </xf>
    <xf numFmtId="0" fontId="6" fillId="4" borderId="1" xfId="53" applyBorder="1">
      <alignment horizontal="left" vertical="center"/>
    </xf>
    <xf numFmtId="170" fontId="8" fillId="4" borderId="0" xfId="10" applyNumberFormat="1">
      <alignment horizontal="center" vertical="center"/>
    </xf>
    <xf numFmtId="0" fontId="24" fillId="4" borderId="1" xfId="0" applyFont="1" applyFill="1" applyBorder="1"/>
    <xf numFmtId="2" fontId="24" fillId="4" borderId="1" xfId="0" applyNumberFormat="1" applyFont="1" applyFill="1" applyBorder="1"/>
    <xf numFmtId="169" fontId="24" fillId="4" borderId="1" xfId="0" applyNumberFormat="1" applyFont="1" applyFill="1" applyBorder="1" applyAlignment="1">
      <alignment horizontal="center"/>
    </xf>
  </cellXfs>
  <cellStyles count="67">
    <cellStyle name="Alert" xfId="59" xr:uid="{34EFE908-8095-4010-8F93-8CFE88055637}"/>
    <cellStyle name="Arguments" xfId="65" xr:uid="{E3322BF6-A528-4CDC-9946-1481D9CFA254}"/>
    <cellStyle name="Arguments hyperlink" xfId="64" xr:uid="{D7E69B6D-2E15-48E8-BF41-EE6FEA2FBEBE}"/>
    <cellStyle name="Back to top link" xfId="66" xr:uid="{13501F59-E048-49F8-88C6-8AF5C4ACD194}"/>
    <cellStyle name="Block heading" xfId="5" xr:uid="{74527274-3B4A-494A-B37C-EA50686E114C}"/>
    <cellStyle name="Block subheading" xfId="47" xr:uid="{34E62905-A3E0-4883-B81A-BDB58FC88DA7}"/>
    <cellStyle name="Code" xfId="24" xr:uid="{99B3520F-01DD-4F8E-A8D0-24EAA04E90EB}"/>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link selected results" xfId="61" xr:uid="{0DC56464-F1A3-42A3-BF89-514E2163E7F0}"/>
    <cellStyle name="Menu section title" xfId="34" xr:uid="{E2117B15-AE58-4F76-B13B-671D455A4107}"/>
    <cellStyle name="Normal" xfId="0" builtinId="0"/>
    <cellStyle name="Normal 2" xfId="55" xr:uid="{FE64FEFB-54C6-42B4-AA7F-D49670F5ED19}"/>
    <cellStyle name="Normal 2 2" xfId="44" xr:uid="{B8803ACE-513D-4EEF-BBE0-0BB76AE7D7F4}"/>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Results table column header" xfId="60" xr:uid="{A846043F-10AE-4BED-BAA6-90407C977915}"/>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 name="Variable type input" xfId="62" xr:uid="{83ED2376-8555-47B3-98E3-2416CC880284}"/>
    <cellStyle name="Variable type other" xfId="63" xr:uid="{6646F6F7-E4F9-4165-8015-E25083532B5B}"/>
  </cellStyles>
  <dxfs count="71">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70"/>
      <tableStyleElement type="headerRow" dxfId="69"/>
      <tableStyleElement type="totalRow" dxfId="68"/>
      <tableStyleElement type="firstColumn" dxfId="67"/>
      <tableStyleElement type="firstRowStripe" dxfId="66"/>
      <tableStyleElement type="secondRowStripe" dxfId="65"/>
    </tableStyle>
    <tableStyle name="Equation table" pivot="0" count="6" xr9:uid="{B247698E-E41D-4CCD-AA0A-C14817E9DE65}">
      <tableStyleElement type="wholeTable" dxfId="64"/>
      <tableStyleElement type="headerRow" dxfId="63"/>
      <tableStyleElement type="totalRow" dxfId="62"/>
      <tableStyleElement type="firstColumn" dxfId="61"/>
      <tableStyleElement type="firstRowStripe" dxfId="60"/>
      <tableStyleElement type="secondRowStripe" dxfId="59"/>
    </tableStyle>
    <tableStyle name="Table Style 1" pivot="0" count="0" xr9:uid="{97B370DB-5463-4A31-9160-5A96BD6A559D}"/>
  </tableStyles>
  <colors>
    <mruColors>
      <color rgb="FF0C769E"/>
      <color rgb="FF008000"/>
      <color rgb="FFFFCCCC"/>
      <color rgb="FFCC6600"/>
      <color rgb="FFC44340"/>
      <color rgb="FF183C1B"/>
      <color rgb="FFDCECD0"/>
      <color rgb="FFB2D498"/>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22/10/relationships/richValueRel" Target="richData/richValueRel.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sheetMetadata" Target="metadata.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styles" Target="styles.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2" Type="http://schemas.openxmlformats.org/officeDocument/2006/relationships/hyperlink" Target="#'11.1.3-4 Wastewater N2O'!D5"/><Relationship Id="rId1" Type="http://schemas.openxmlformats.org/officeDocument/2006/relationships/hyperlink" Target="#'11.1.1-2 Wastewater CH4'!D5"/></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oneCellAnchor>
    <xdr:from>
      <xdr:col>2</xdr:col>
      <xdr:colOff>291247</xdr:colOff>
      <xdr:row>7</xdr:row>
      <xdr:rowOff>106369</xdr:rowOff>
    </xdr:from>
    <xdr:ext cx="2099527" cy="298800"/>
    <xdr:sp macro="" textlink="">
      <xdr:nvSpPr>
        <xdr:cNvPr id="4" name="TextBox 3">
          <a:extLst>
            <a:ext uri="{FF2B5EF4-FFF2-40B4-BE49-F238E27FC236}">
              <a16:creationId xmlns:a16="http://schemas.microsoft.com/office/drawing/2014/main" id="{C2B4545C-C2B3-47A1-9BAB-0C30C265F201}"/>
            </a:ext>
          </a:extLst>
        </xdr:cNvPr>
        <xdr:cNvSpPr txBox="1"/>
      </xdr:nvSpPr>
      <xdr:spPr>
        <a:xfrm>
          <a:off x="2653447" y="1973269"/>
          <a:ext cx="2099527"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14.1.1-2 Wastewater CH4</a:t>
          </a:r>
        </a:p>
      </xdr:txBody>
    </xdr:sp>
    <xdr:clientData/>
  </xdr:oneCellAnchor>
  <xdr:twoCellAnchor>
    <xdr:from>
      <xdr:col>3</xdr:col>
      <xdr:colOff>282285</xdr:colOff>
      <xdr:row>9</xdr:row>
      <xdr:rowOff>132483</xdr:rowOff>
    </xdr:from>
    <xdr:to>
      <xdr:col>5</xdr:col>
      <xdr:colOff>575085</xdr:colOff>
      <xdr:row>12</xdr:row>
      <xdr:rowOff>109533</xdr:rowOff>
    </xdr:to>
    <xdr:sp macro="" textlink="'11.1.1-2 Wastewater CH4'!D5">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958810" y="2494683"/>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377A225-5B38-4F4F-8E60-34C9F7D0C552}" type="TxLink">
            <a:rPr lang="en-US" sz="1000" b="0" i="0" u="none" strike="noStrike">
              <a:solidFill>
                <a:srgbClr val="0C769E"/>
              </a:solidFill>
              <a:latin typeface="Times New Roman"/>
              <a:cs typeface="Times New Roman"/>
            </a:rPr>
            <a:pPr algn="ctr"/>
            <a:t>Methane emissions from wastewater treatment</a:t>
          </a:fld>
          <a:endParaRPr lang="en-AU" sz="1000">
            <a:solidFill>
              <a:srgbClr val="0C769E"/>
            </a:solidFill>
          </a:endParaRPr>
        </a:p>
      </xdr:txBody>
    </xdr:sp>
    <xdr:clientData/>
  </xdr:twoCellAnchor>
  <xdr:oneCellAnchor>
    <xdr:from>
      <xdr:col>7</xdr:col>
      <xdr:colOff>62647</xdr:colOff>
      <xdr:row>7</xdr:row>
      <xdr:rowOff>106369</xdr:rowOff>
    </xdr:from>
    <xdr:ext cx="2099527" cy="298800"/>
    <xdr:sp macro="" textlink="">
      <xdr:nvSpPr>
        <xdr:cNvPr id="3" name="TextBox 2">
          <a:extLst>
            <a:ext uri="{FF2B5EF4-FFF2-40B4-BE49-F238E27FC236}">
              <a16:creationId xmlns:a16="http://schemas.microsoft.com/office/drawing/2014/main" id="{C7012A6D-637C-48F8-B41F-4D0704F1FF44}"/>
            </a:ext>
          </a:extLst>
        </xdr:cNvPr>
        <xdr:cNvSpPr txBox="1"/>
      </xdr:nvSpPr>
      <xdr:spPr>
        <a:xfrm>
          <a:off x="5177572" y="1973269"/>
          <a:ext cx="2099527"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14.1.3-4 Wastewater N2O</a:t>
          </a:r>
        </a:p>
      </xdr:txBody>
    </xdr:sp>
    <xdr:clientData/>
  </xdr:oneCellAnchor>
  <xdr:twoCellAnchor>
    <xdr:from>
      <xdr:col>7</xdr:col>
      <xdr:colOff>368010</xdr:colOff>
      <xdr:row>9</xdr:row>
      <xdr:rowOff>132483</xdr:rowOff>
    </xdr:from>
    <xdr:to>
      <xdr:col>10</xdr:col>
      <xdr:colOff>51210</xdr:colOff>
      <xdr:row>12</xdr:row>
      <xdr:rowOff>109533</xdr:rowOff>
    </xdr:to>
    <xdr:sp macro="" textlink="'11.1.3-4 Wastewater N2O'!D5">
      <xdr:nvSpPr>
        <xdr:cNvPr id="7" name="TextBox 6">
          <a:hlinkClick xmlns:r="http://schemas.openxmlformats.org/officeDocument/2006/relationships" r:id="rId2"/>
          <a:extLst>
            <a:ext uri="{FF2B5EF4-FFF2-40B4-BE49-F238E27FC236}">
              <a16:creationId xmlns:a16="http://schemas.microsoft.com/office/drawing/2014/main" id="{1E5CDF69-5E97-4C10-84CF-D0C6CFEE739F}"/>
            </a:ext>
          </a:extLst>
        </xdr:cNvPr>
        <xdr:cNvSpPr txBox="1"/>
      </xdr:nvSpPr>
      <xdr:spPr>
        <a:xfrm>
          <a:off x="5482935" y="2494683"/>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591D420-5510-4F7D-A38B-480C54C6057C}" type="TxLink">
            <a:rPr lang="en-US" sz="1000" b="0" i="0" u="none" strike="noStrike">
              <a:solidFill>
                <a:srgbClr val="0C769E"/>
              </a:solidFill>
              <a:latin typeface="Times New Roman"/>
              <a:cs typeface="Times New Roman"/>
            </a:rPr>
            <a:pPr algn="ctr"/>
            <a:t>Nitrous oxide emissions from flared biogas</a:t>
          </a:fld>
          <a:endParaRPr lang="en-AU" sz="1000">
            <a:solidFill>
              <a:srgbClr val="0C769E"/>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0</xdr:colOff>
      <xdr:row>54</xdr:row>
      <xdr:rowOff>0</xdr:rowOff>
    </xdr:from>
    <xdr:to>
      <xdr:col>3</xdr:col>
      <xdr:colOff>3543795</xdr:colOff>
      <xdr:row>55</xdr:row>
      <xdr:rowOff>57193</xdr:rowOff>
    </xdr:to>
    <xdr:pic>
      <xdr:nvPicPr>
        <xdr:cNvPr id="2" name="Picture 1">
          <a:extLst>
            <a:ext uri="{FF2B5EF4-FFF2-40B4-BE49-F238E27FC236}">
              <a16:creationId xmlns:a16="http://schemas.microsoft.com/office/drawing/2014/main" id="{822125B2-E6C7-E475-0EDB-75F68DC52FCA}"/>
            </a:ext>
          </a:extLst>
        </xdr:cNvPr>
        <xdr:cNvPicPr>
          <a:picLocks noChangeAspect="1"/>
        </xdr:cNvPicPr>
      </xdr:nvPicPr>
      <xdr:blipFill>
        <a:blip xmlns:r="http://schemas.openxmlformats.org/officeDocument/2006/relationships" r:embed="rId1"/>
        <a:stretch>
          <a:fillRect/>
        </a:stretch>
      </xdr:blipFill>
      <xdr:spPr>
        <a:xfrm>
          <a:off x="2676525" y="9296400"/>
          <a:ext cx="3543795" cy="304843"/>
        </a:xfrm>
        <a:prstGeom prst="rect">
          <a:avLst/>
        </a:prstGeom>
      </xdr:spPr>
    </xdr:pic>
    <xdr:clientData/>
  </xdr:twoCellAnchor>
  <xdr:twoCellAnchor editAs="oneCell">
    <xdr:from>
      <xdr:col>3</xdr:col>
      <xdr:colOff>0</xdr:colOff>
      <xdr:row>58</xdr:row>
      <xdr:rowOff>0</xdr:rowOff>
    </xdr:from>
    <xdr:to>
      <xdr:col>3</xdr:col>
      <xdr:colOff>3743847</xdr:colOff>
      <xdr:row>58</xdr:row>
      <xdr:rowOff>238158</xdr:rowOff>
    </xdr:to>
    <xdr:pic>
      <xdr:nvPicPr>
        <xdr:cNvPr id="3" name="Picture 2">
          <a:extLst>
            <a:ext uri="{FF2B5EF4-FFF2-40B4-BE49-F238E27FC236}">
              <a16:creationId xmlns:a16="http://schemas.microsoft.com/office/drawing/2014/main" id="{F9836A8A-3147-663A-4CBF-6C47FF6555BF}"/>
            </a:ext>
          </a:extLst>
        </xdr:cNvPr>
        <xdr:cNvPicPr>
          <a:picLocks noChangeAspect="1"/>
        </xdr:cNvPicPr>
      </xdr:nvPicPr>
      <xdr:blipFill>
        <a:blip xmlns:r="http://schemas.openxmlformats.org/officeDocument/2006/relationships" r:embed="rId2"/>
        <a:stretch>
          <a:fillRect/>
        </a:stretch>
      </xdr:blipFill>
      <xdr:spPr>
        <a:xfrm>
          <a:off x="2676525" y="10287000"/>
          <a:ext cx="3743847" cy="238158"/>
        </a:xfrm>
        <a:prstGeom prst="rect">
          <a:avLst/>
        </a:prstGeom>
      </xdr:spPr>
    </xdr:pic>
    <xdr:clientData/>
  </xdr:twoCellAnchor>
  <xdr:twoCellAnchor editAs="oneCell">
    <xdr:from>
      <xdr:col>3</xdr:col>
      <xdr:colOff>0</xdr:colOff>
      <xdr:row>63</xdr:row>
      <xdr:rowOff>0</xdr:rowOff>
    </xdr:from>
    <xdr:to>
      <xdr:col>3</xdr:col>
      <xdr:colOff>2638793</xdr:colOff>
      <xdr:row>64</xdr:row>
      <xdr:rowOff>47666</xdr:rowOff>
    </xdr:to>
    <xdr:pic>
      <xdr:nvPicPr>
        <xdr:cNvPr id="4" name="Picture 3">
          <a:extLst>
            <a:ext uri="{FF2B5EF4-FFF2-40B4-BE49-F238E27FC236}">
              <a16:creationId xmlns:a16="http://schemas.microsoft.com/office/drawing/2014/main" id="{24062F9E-EDD2-B94F-1FDB-7D386C163F03}"/>
            </a:ext>
          </a:extLst>
        </xdr:cNvPr>
        <xdr:cNvPicPr>
          <a:picLocks noChangeAspect="1"/>
        </xdr:cNvPicPr>
      </xdr:nvPicPr>
      <xdr:blipFill>
        <a:blip xmlns:r="http://schemas.openxmlformats.org/officeDocument/2006/relationships" r:embed="rId3"/>
        <a:stretch>
          <a:fillRect/>
        </a:stretch>
      </xdr:blipFill>
      <xdr:spPr>
        <a:xfrm>
          <a:off x="2676525" y="11029950"/>
          <a:ext cx="2638793" cy="295316"/>
        </a:xfrm>
        <a:prstGeom prst="rect">
          <a:avLst/>
        </a:prstGeom>
      </xdr:spPr>
    </xdr:pic>
    <xdr:clientData/>
  </xdr:twoCellAnchor>
  <xdr:twoCellAnchor editAs="oneCell">
    <xdr:from>
      <xdr:col>3</xdr:col>
      <xdr:colOff>0</xdr:colOff>
      <xdr:row>66</xdr:row>
      <xdr:rowOff>0</xdr:rowOff>
    </xdr:from>
    <xdr:to>
      <xdr:col>3</xdr:col>
      <xdr:colOff>2276793</xdr:colOff>
      <xdr:row>67</xdr:row>
      <xdr:rowOff>35</xdr:rowOff>
    </xdr:to>
    <xdr:pic>
      <xdr:nvPicPr>
        <xdr:cNvPr id="5" name="Picture 4">
          <a:extLst>
            <a:ext uri="{FF2B5EF4-FFF2-40B4-BE49-F238E27FC236}">
              <a16:creationId xmlns:a16="http://schemas.microsoft.com/office/drawing/2014/main" id="{80B0E769-36E3-9F5F-F1A3-582BC2C36588}"/>
            </a:ext>
          </a:extLst>
        </xdr:cNvPr>
        <xdr:cNvPicPr>
          <a:picLocks noChangeAspect="1"/>
        </xdr:cNvPicPr>
      </xdr:nvPicPr>
      <xdr:blipFill>
        <a:blip xmlns:r="http://schemas.openxmlformats.org/officeDocument/2006/relationships" r:embed="rId4"/>
        <a:stretch>
          <a:fillRect/>
        </a:stretch>
      </xdr:blipFill>
      <xdr:spPr>
        <a:xfrm>
          <a:off x="2676525" y="11772900"/>
          <a:ext cx="2276793" cy="247685"/>
        </a:xfrm>
        <a:prstGeom prst="rect">
          <a:avLst/>
        </a:prstGeom>
      </xdr:spPr>
    </xdr:pic>
    <xdr:clientData/>
  </xdr:twoCellAnchor>
  <xdr:twoCellAnchor editAs="oneCell">
    <xdr:from>
      <xdr:col>3</xdr:col>
      <xdr:colOff>3857625</xdr:colOff>
      <xdr:row>62</xdr:row>
      <xdr:rowOff>104775</xdr:rowOff>
    </xdr:from>
    <xdr:to>
      <xdr:col>6</xdr:col>
      <xdr:colOff>1734637</xdr:colOff>
      <xdr:row>63</xdr:row>
      <xdr:rowOff>142915</xdr:rowOff>
    </xdr:to>
    <xdr:pic>
      <xdr:nvPicPr>
        <xdr:cNvPr id="6" name="Picture 5">
          <a:extLst>
            <a:ext uri="{FF2B5EF4-FFF2-40B4-BE49-F238E27FC236}">
              <a16:creationId xmlns:a16="http://schemas.microsoft.com/office/drawing/2014/main" id="{D85C185A-E36D-A65C-0CFF-AA393B4E37D6}"/>
            </a:ext>
          </a:extLst>
        </xdr:cNvPr>
        <xdr:cNvPicPr>
          <a:picLocks noChangeAspect="1"/>
        </xdr:cNvPicPr>
      </xdr:nvPicPr>
      <xdr:blipFill>
        <a:blip xmlns:r="http://schemas.openxmlformats.org/officeDocument/2006/relationships" r:embed="rId5"/>
        <a:stretch>
          <a:fillRect/>
        </a:stretch>
      </xdr:blipFill>
      <xdr:spPr>
        <a:xfrm>
          <a:off x="6534150" y="11382375"/>
          <a:ext cx="7792537" cy="28579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2</xdr:col>
      <xdr:colOff>280147</xdr:colOff>
      <xdr:row>8</xdr:row>
      <xdr:rowOff>100293</xdr:rowOff>
    </xdr:from>
    <xdr:ext cx="13636232" cy="31803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20C22E6D-79A2-B016-31F0-138F8E439D29}"/>
                </a:ext>
              </a:extLst>
            </xdr:cNvPr>
            <xdr:cNvSpPr txBox="1"/>
          </xdr:nvSpPr>
          <xdr:spPr>
            <a:xfrm>
              <a:off x="2642347" y="2214843"/>
              <a:ext cx="13636232" cy="3180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1</m:t>
                        </m:r>
                      </m:num>
                      <m:den>
                        <m:r>
                          <a:rPr lang="en-AU" sz="1100" i="1">
                            <a:latin typeface="Cambria Math" panose="02040503050406030204" pitchFamily="18" charset="0"/>
                          </a:rPr>
                          <m:t>1000</m:t>
                        </m:r>
                      </m:den>
                    </m:f>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begChr m:val="{"/>
                            <m:endChr m:val="}"/>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𝑡</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r>
                                  <a:rPr lang="en-AU" sz="1100" i="1">
                                    <a:latin typeface="Cambria Math" panose="02040503050406030204" pitchFamily="18" charset="0"/>
                                  </a:rPr>
                                  <m:t>𝐶𝑂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𝑖𝑛</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𝑠𝑙𝑢𝑑𝑔𝑒</m:t>
                                        </m:r>
                                      </m:sub>
                                    </m:sSub>
                                  </m:e>
                                </m:d>
                                <m:r>
                                  <a:rPr lang="en-AU" sz="1100" i="1">
                                    <a:latin typeface="Cambria Math" panose="02040503050406030204" pitchFamily="18" charset="0"/>
                                  </a:rPr>
                                  <m:t>−</m:t>
                                </m:r>
                                <m:r>
                                  <a:rPr lang="en-AU" sz="1100" i="1">
                                    <a:latin typeface="Cambria Math" panose="02040503050406030204" pitchFamily="18" charset="0"/>
                                  </a:rPr>
                                  <m:t>𝐶𝑂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𝑜𝑢𝑡</m:t>
                                    </m:r>
                                  </m:sub>
                                </m:sSub>
                              </m:e>
                            </m:d>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𝑤𝑤</m:t>
                                </m:r>
                                <m:r>
                                  <a:rPr lang="en-AU" sz="1100" i="1">
                                    <a:latin typeface="Cambria Math" panose="02040503050406030204" pitchFamily="18" charset="0"/>
                                  </a:rPr>
                                  <m:t>,</m:t>
                                </m:r>
                                <m:r>
                                  <a:rPr lang="en-AU" sz="1100" i="1">
                                    <a:latin typeface="Cambria Math" panose="02040503050406030204" pitchFamily="18" charset="0"/>
                                  </a:rPr>
                                  <m:t>𝑡</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𝑤𝑤</m:t>
                                </m:r>
                              </m:sub>
                            </m:sSub>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𝑡</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r>
                                  <a:rPr lang="en-AU" sz="1100" i="1">
                                    <a:latin typeface="Cambria Math" panose="02040503050406030204" pitchFamily="18" charset="0"/>
                                  </a:rPr>
                                  <m:t>𝐶𝑂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𝑖𝑛</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𝑠𝑙𝑢𝑑𝑔𝑒</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𝑟𝑒𝑚𝑜𝑣𝑒𝑑</m:t>
                                        </m:r>
                                      </m:sub>
                                    </m:sSub>
                                  </m:e>
                                </m:d>
                              </m:e>
                            </m:d>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𝑠𝑙𝑢𝑑𝑔𝑒</m:t>
                                </m:r>
                                <m:r>
                                  <a:rPr lang="en-AU" sz="1100" i="1">
                                    <a:latin typeface="Cambria Math" panose="02040503050406030204" pitchFamily="18" charset="0"/>
                                  </a:rPr>
                                  <m:t>,</m:t>
                                </m:r>
                                <m:r>
                                  <a:rPr lang="en-AU" sz="1100" i="1">
                                    <a:latin typeface="Cambria Math" panose="02040503050406030204" pitchFamily="18" charset="0"/>
                                  </a:rPr>
                                  <m:t>𝑡</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𝑠𝑙𝑢𝑑𝑔𝑒</m:t>
                                </m:r>
                              </m:sub>
                            </m:sSub>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r>
                              <a:rPr lang="en-AU" sz="1100" i="1">
                                <a:latin typeface="Cambria Math" panose="02040503050406030204" pitchFamily="18" charset="0"/>
                              </a:rPr>
                              <m:t>6.784×</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−4</m:t>
                                </m:r>
                              </m:sup>
                            </m:sSup>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𝑐𝑎𝑝</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𝑓𝑙𝑎𝑟𝑒𝑑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𝑜𝑢𝑡</m:t>
                                    </m:r>
                                  </m:sub>
                                </m:sSub>
                              </m:e>
                            </m:d>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𝑓𝑙𝑎𝑟𝑒𝑑</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𝑓𝑙𝑎𝑟𝑒𝑑</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𝑓𝑙𝑎𝑟𝑒𝑑</m:t>
                                    </m:r>
                                    <m:r>
                                      <a:rPr lang="en-AU" sz="1100" i="1">
                                        <a:latin typeface="Cambria Math" panose="02040503050406030204" pitchFamily="18" charset="0"/>
                                      </a:rPr>
                                      <m:t>,</m:t>
                                    </m:r>
                                    <m:r>
                                      <a:rPr lang="en-AU" sz="1100" i="1">
                                        <a:latin typeface="Cambria Math" panose="02040503050406030204" pitchFamily="18" charset="0"/>
                                      </a:rPr>
                                      <m:t>𝐶𝐻</m:t>
                                    </m:r>
                                    <m:r>
                                      <a:rPr lang="en-AU" sz="1100" i="1">
                                        <a:latin typeface="Cambria Math" panose="02040503050406030204" pitchFamily="18" charset="0"/>
                                      </a:rPr>
                                      <m:t>4</m:t>
                                    </m:r>
                                  </m:sub>
                                </m:sSub>
                              </m:e>
                            </m:d>
                          </m:e>
                        </m:d>
                      </m:e>
                    </m:d>
                  </m:oMath>
                </m:oMathPara>
              </a14:m>
              <a:endParaRPr lang="en-AU" sz="1100"/>
            </a:p>
          </xdr:txBody>
        </xdr:sp>
      </mc:Choice>
      <mc:Fallback xmlns="">
        <xdr:sp macro="" textlink="">
          <xdr:nvSpPr>
            <xdr:cNvPr id="2" name="TextBox 1">
              <a:extLst>
                <a:ext uri="{FF2B5EF4-FFF2-40B4-BE49-F238E27FC236}">
                  <a16:creationId xmlns:a16="http://schemas.microsoft.com/office/drawing/2014/main" id="{20C22E6D-79A2-B016-31F0-138F8E439D29}"/>
                </a:ext>
              </a:extLst>
            </xdr:cNvPr>
            <xdr:cNvSpPr txBox="1"/>
          </xdr:nvSpPr>
          <xdr:spPr>
            <a:xfrm>
              <a:off x="2642347" y="2214843"/>
              <a:ext cx="13636232" cy="3180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𝐸_𝐶𝐻4=1/1000×{{𝑊_𝑡×[𝐶𝑂𝐷_𝑖𝑛×(1−𝐹_𝑠𝑙𝑢𝑑𝑔𝑒 )−𝐶𝑂𝐷_𝑜𝑢𝑡 ]×𝐶𝐹_(𝑤𝑤,𝑡)×𝐸𝐹_𝑤𝑤 }+{𝑊_𝑡×[𝐶𝑂𝐷_𝑖𝑛×(𝐹_𝑠𝑙𝑢𝑑𝑔𝑒−𝐹_𝑟𝑒𝑚𝑜𝑣𝑒𝑑 )]×𝐶𝐹_(𝑠𝑙𝑢𝑑𝑔𝑒,𝑡)×𝐸𝐹_𝑠𝑙𝑢𝑑𝑔𝑒 }−{6.784×10^(−4)×[𝑄_𝑐𝑎𝑝+𝑄_𝑓𝑙𝑎𝑟𝑒𝑑+𝑄_𝑜𝑢𝑡 ]}+{𝑄_𝑓𝑙𝑎𝑟𝑒𝑑×[𝐸𝐶_𝑓𝑙𝑎𝑟𝑒𝑑×𝐸𝐹_(𝑓𝑙𝑎𝑟𝑒𝑑,𝐶𝐻4) ]}}</a:t>
              </a:r>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2</xdr:col>
      <xdr:colOff>280147</xdr:colOff>
      <xdr:row>7</xdr:row>
      <xdr:rowOff>100293</xdr:rowOff>
    </xdr:from>
    <xdr:ext cx="2623988" cy="32278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74E79457-D312-4519-BFC9-0BC26C19A481}"/>
                </a:ext>
              </a:extLst>
            </xdr:cNvPr>
            <xdr:cNvSpPr txBox="1"/>
          </xdr:nvSpPr>
          <xdr:spPr>
            <a:xfrm>
              <a:off x="2642347" y="2214843"/>
              <a:ext cx="2623988" cy="3227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𝑓𝑙𝑎𝑟𝑒𝑑</m:t>
                            </m:r>
                          </m:sub>
                        </m:sSub>
                      </m:num>
                      <m:den>
                        <m:r>
                          <a:rPr lang="en-AU" sz="1100" i="1">
                            <a:latin typeface="Cambria Math" panose="02040503050406030204" pitchFamily="18" charset="0"/>
                          </a:rPr>
                          <m:t>1000</m:t>
                        </m:r>
                      </m:den>
                    </m:f>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𝑓𝑙𝑎𝑟𝑒𝑑</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𝑓𝑙𝑎𝑟𝑒𝑑</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oMath>
                </m:oMathPara>
              </a14:m>
              <a:endParaRPr lang="en-AU" sz="1100"/>
            </a:p>
          </xdr:txBody>
        </xdr:sp>
      </mc:Choice>
      <mc:Fallback xmlns="">
        <xdr:sp macro="" textlink="">
          <xdr:nvSpPr>
            <xdr:cNvPr id="2" name="TextBox 1">
              <a:extLst>
                <a:ext uri="{FF2B5EF4-FFF2-40B4-BE49-F238E27FC236}">
                  <a16:creationId xmlns:a16="http://schemas.microsoft.com/office/drawing/2014/main" id="{74E79457-D312-4519-BFC9-0BC26C19A481}"/>
                </a:ext>
              </a:extLst>
            </xdr:cNvPr>
            <xdr:cNvSpPr txBox="1"/>
          </xdr:nvSpPr>
          <xdr:spPr>
            <a:xfrm>
              <a:off x="2642347" y="2214843"/>
              <a:ext cx="2623988" cy="3227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𝐸_𝑁2𝑂=𝑄_𝑓𝑙𝑎𝑟𝑒𝑑/1000×[𝐸𝐶_𝑓𝑙𝑎𝑟𝑒𝑑×𝐸𝐹_(𝑓𝑙𝑎𝑟𝑒𝑑,𝑁2𝑂) ]</a:t>
              </a:r>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6752300-1056-4C92-8247-C96E2D7BEDD4}" name="Table_SourceData_MCF_Wastewater" displayName="Table_SourceData_MCF_Wastewater" ref="D9:E14" totalsRowShown="0" dataDxfId="22" dataCellStyle="Content normal">
  <autoFilter ref="D9:E14" xr:uid="{86752300-1056-4C92-8247-C96E2D7BEDD4}">
    <filterColumn colId="0" hiddenButton="1"/>
    <filterColumn colId="1" hiddenButton="1"/>
  </autoFilter>
  <tableColumns count="2">
    <tableColumn id="1" xr3:uid="{60322701-4B4B-459F-8E0D-E1FDA0005D7E}" name="Facility type t" dataDxfId="21" dataCellStyle="Content normal">
      <calculatedColumnFormula array="1">Common_InputFunctions.Utility_DisplayArrayInTable(Wastewater_SourceData.Waste_MethaneCorrectionFactorWastewater_Data(), Table_SourceData_MCF_Wastewater[[#Headers],[Facility type t]], 0)</calculatedColumnFormula>
    </tableColumn>
    <tableColumn id="2" xr3:uid="{DD81C2AC-C02C-4272-B2E3-0B8EF13E42DC}" name="CFww,t" dataDxfId="20" dataCellStyle="Content normal">
      <calculatedColumnFormula array="1">Common_InputFunctions.Utility_DisplayArrayInTable(Wastewater_SourceData.Waste_MethaneCorrectionFactorWastewater_Data(), Table_SourceData_MCF_Wastewater[[#Headers],[Facility type t]], 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AC655BD-F756-4971-8D46-22867B90DE87}" name="Table_SourceData_MCF_Sludge" displayName="Table_SourceData_MCF_Sludge" ref="D21:E26" totalsRowShown="0" dataDxfId="19" dataCellStyle="Content normal">
  <autoFilter ref="D21:E26" xr:uid="{CAC655BD-F756-4971-8D46-22867B90DE87}">
    <filterColumn colId="0" hiddenButton="1"/>
    <filterColumn colId="1" hiddenButton="1"/>
  </autoFilter>
  <tableColumns count="2">
    <tableColumn id="1" xr3:uid="{D1DF76B8-1010-4952-AD56-4DF4622F5028}" name="Facility type t" dataDxfId="18" dataCellStyle="Content normal">
      <calculatedColumnFormula array="1">Common_InputFunctions.Utility_DisplayArrayInTable(Wastewater_SourceData.Waste_MethaneCorrectionFactorSludge_Data(), Table_SourceData_MCF_Sludge[[#Headers],[Facility type t]], 0)</calculatedColumnFormula>
    </tableColumn>
    <tableColumn id="2" xr3:uid="{D0EA373F-22E1-4557-BE26-A505C4693CDC}" name="CFsludge,t" dataDxfId="17" dataCellStyle="Content normal">
      <calculatedColumnFormula array="1">Common_InputFunctions.Utility_DisplayArrayInTable(Wastewater_SourceData.Waste_MethaneCorrectionFactorSludge_Data(), Table_SourceData_MCF_Sludge[[#Headers],[Facility type t]], 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27EA4B7-E5E1-4C29-BD1A-04D0F1CDB93F}"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94DF1764-C1F4-4325-ACBB-ADDBDE8C0154}" name="State/Territory">
      <calculatedColumnFormula array="1">Common_InputFunctions.Utility_DisplayArrayInTable(Common_SourceData.Common_SourceData_AustralianStatesTerritories_Data(),Table_AustralianStates[[#Headers],[State/Territory]],0)</calculatedColumnFormula>
    </tableColumn>
    <tableColumn id="2" xr3:uid="{776768E7-66C4-446B-BCFD-88FA26CE3EE7}" name="Common Name">
      <calculatedColumnFormula array="1">Common_InputFunctions.Utility_DisplayArrayInTable(Common_SourceData.Common_SourceData_AustralianStatesTerritories_Data(),Table_AustralianStates[[#Headers],[State/Territory]],0)</calculatedColumnFormula>
    </tableColumn>
    <tableColumn id="3" xr3:uid="{FB11E370-54BC-4CE6-BCF9-C473C7E368BC}"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24F900F-505D-492F-AA6E-D2D7E7CD1122}" name="Table_WASA4Areas" displayName="Table_WASA4Areas" ref="D20:D30" totalsRowShown="0">
  <autoFilter ref="D20:D30" xr:uid="{5FA81339-C6C8-4D36-BEEA-6C4AEDD9E676}">
    <filterColumn colId="0" hiddenButton="1"/>
  </autoFilter>
  <tableColumns count="1">
    <tableColumn id="1" xr3:uid="{5B6B81FD-62C4-4FDE-9C33-7791C470F745}"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8E647256-1EF4-4A7C-9FCF-CE16EBA69288}" name="Table_GWPData" displayName="Table_GWPData" ref="D36:E43" totalsRowShown="0">
  <autoFilter ref="D36:E43" xr:uid="{B8E87A66-3E41-4AD3-925D-01EE21B43D7A}">
    <filterColumn colId="0" hiddenButton="1"/>
    <filterColumn colId="1" hiddenButton="1"/>
  </autoFilter>
  <tableColumns count="2">
    <tableColumn id="1" xr3:uid="{238FBC0C-2AF2-4DF7-B7F9-B7F57CE21B65}" name="Gas">
      <calculatedColumnFormula array="1">Common_InputFunctions.Utility_DisplayArrayInTable(Common_SourceData.Common_SourceData_GWP_Data(), Table_GWPData[[#Headers],[Gas]], 0)</calculatedColumnFormula>
    </tableColumn>
    <tableColumn id="2" xr3:uid="{2BE46C13-5756-4CE3-8752-64D01A57B987}"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8E35B393-BB5E-4A46-A1F0-24D0A2C74FFA}"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DF50644C-6FAB-4C39-89AD-3A9D796DB0F2}" name="Gas">
      <calculatedColumnFormula array="1">Common_InputFunctions.Utility_DisplayArrayInTable(Common_SourceData.Common_SourceData_ConvertGasElementalToMolecular_Data(),Table_GasToMolecularConversionFactor[[#Headers],[Gas]], 0)</calculatedColumnFormula>
    </tableColumn>
    <tableColumn id="5" xr3:uid="{3F435C04-50E3-4080-BF7F-1A05FD179A4C}" name="Conversion factor">
      <calculatedColumnFormula array="1">Common_InputFunctions.Utility_DisplayArrayInTable(Common_SourceData.Common_SourceData_ConvertGasElementalToMolecular_Data(),Table_GasToMolecularConversionFactor[[#Headers],[Gas]], 0)</calculatedColumnFormula>
    </tableColumn>
    <tableColumn id="2" xr3:uid="{1CF6A86A-70F1-4B1F-ACEB-875B5C7443E2}" name="Conversion factor 1">
      <calculatedColumnFormula array="1">Common_InputFunctions.Utility_DisplayArrayInTable(Common_SourceData.Common_SourceData_ConvertGasElementalToMolecular_Data(),Table_GasToMolecularConversionFactor[[#Headers],[Gas]], 0)</calculatedColumnFormula>
    </tableColumn>
    <tableColumn id="3" xr3:uid="{B73ED961-417F-4010-80F2-6FF70FB03699}" name="Conversion factor 2">
      <calculatedColumnFormula array="1">Common_InputFunctions.Utility_DisplayArrayInTable(Common_SourceData.Common_SourceData_ConvertGasElementalToMolecular_Data(),Table_GasToMolecularConversionFactor[[#Headers],[Gas]], 0)</calculatedColumnFormula>
    </tableColumn>
    <tableColumn id="4" xr3:uid="{150A75F1-79C6-4E1E-BE92-48B7537AB5F0}"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DAFBA8DD-508D-4EFA-8F91-761FA308D532}"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B95F8E12-8C17-4F04-91E8-5E552B19D3E0}"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2320BD6A-E1E4-48DD-B5E8-6DADE40E7D27}" name="MAT" totalsRowDxfId="58" totalsRowCellStyle="Content bold">
      <calculatedColumnFormula array="1">Common_InputFunctions.Utility_DisplayArrayInTable(Common_SourceData.Common_SourceData_ClimateZones_Data(), Table_SourceData_ClimateZones[[#Headers],[Climate zone]], 0)</calculatedColumnFormula>
    </tableColumn>
    <tableColumn id="3" xr3:uid="{C005F782-72AE-4702-9807-A686FB0959C2}" name="MAP" totalsRowDxfId="57" totalsRowCellStyle="Content bold">
      <calculatedColumnFormula array="1">Common_InputFunctions.Utility_DisplayArrayInTable(Common_SourceData.Common_SourceData_ClimateZones_Data(), Table_SourceData_ClimateZones[[#Headers],[Climate zone]], 0)</calculatedColumnFormula>
    </tableColumn>
    <tableColumn id="4" xr3:uid="{3C58AD4D-71CF-499A-BDF6-86314B3F9671}" name="Frost days per year" totalsRowDxfId="56" totalsRowCellStyle="Content bold">
      <calculatedColumnFormula array="1">Common_InputFunctions.Utility_DisplayArrayInTable(Common_SourceData.Common_SourceData_ClimateZones_Data(), Table_SourceData_ClimateZones[[#Headers],[Climate zone]], 0)</calculatedColumnFormula>
    </tableColumn>
    <tableColumn id="5" xr3:uid="{5C309C87-2F75-4688-A6E1-258E9FCFBD05}" name="Elevation" totalsRowDxfId="55" totalsRowCellStyle="Content bold">
      <calculatedColumnFormula array="1">Common_InputFunctions.Utility_DisplayArrayInTable(Common_SourceData.Common_SourceData_ClimateZones_Data(), Table_SourceData_ClimateZones[[#Headers],[Climate zone]], 0)</calculatedColumnFormula>
    </tableColumn>
    <tableColumn id="6" xr3:uid="{BBF78E3F-3584-4790-9E30-55766C340EEC}" name="MAP:PET" totalsRowDxfId="54" totalsRowCellStyle="Content bold">
      <calculatedColumnFormula array="1">Common_InputFunctions.Utility_DisplayArrayInTable(Common_SourceData.Common_SourceData_ClimateZones_Data(), Table_SourceData_ClimateZones[[#Headers],[Climate zone]], 0)</calculatedColumnFormula>
    </tableColumn>
    <tableColumn id="7" xr3:uid="{1E71169A-70C9-414C-AD7F-A49554234675}" name="Min temp" totalsRowDxfId="53" totalsRowCellStyle="Content bold">
      <calculatedColumnFormula array="1">Common_InputFunctions.Utility_DisplayArrayInTable(Common_SourceData.Common_SourceData_ClimateZones_Data(), Table_SourceData_ClimateZones[[#Headers],[Climate zone]], 0)</calculatedColumnFormula>
    </tableColumn>
    <tableColumn id="8" xr3:uid="{3C8CEFD1-B782-4250-8A9E-2B07C2AAA377}" name="Max temp" totalsRowDxfId="52" totalsRowCellStyle="Content bold">
      <calculatedColumnFormula array="1">Common_InputFunctions.Utility_DisplayArrayInTable(Common_SourceData.Common_SourceData_ClimateZones_Data(), Table_SourceData_ClimateZones[[#Headers],[Climate zone]], 0)</calculatedColumnFormula>
    </tableColumn>
    <tableColumn id="9" xr3:uid="{6A9650F7-6E29-4690-8BB6-90163E2994B6}" name="Min rainfall" totalsRowDxfId="51" totalsRowCellStyle="Content bold">
      <calculatedColumnFormula array="1">Common_InputFunctions.Utility_DisplayArrayInTable(Common_SourceData.Common_SourceData_ClimateZones_Data(), Table_SourceData_ClimateZones[[#Headers],[Climate zone]], 0)</calculatedColumnFormula>
    </tableColumn>
    <tableColumn id="10" xr3:uid="{8C231AEF-A038-49D4-A973-F71F4D438211}" name="Max rainfall" totalsRowDxfId="50" totalsRowCellStyle="Content bold">
      <calculatedColumnFormula array="1">Common_InputFunctions.Utility_DisplayArrayInTable(Common_SourceData.Common_SourceData_ClimateZones_Data(), Table_SourceData_ClimateZones[[#Headers],[Climate zone]], 0)</calculatedColumnFormula>
    </tableColumn>
    <tableColumn id="11" xr3:uid="{C9801D74-DC47-4340-8F31-8447FD7F6A29}" name="Min frost days" totalsRowDxfId="49" totalsRowCellStyle="Content bold">
      <calculatedColumnFormula array="1">Common_InputFunctions.Utility_DisplayArrayInTable(Common_SourceData.Common_SourceData_ClimateZones_Data(), Table_SourceData_ClimateZones[[#Headers],[Climate zone]], 0)</calculatedColumnFormula>
    </tableColumn>
    <tableColumn id="15" xr3:uid="{0BCCB7D9-AD8B-4C36-8C07-7570920F98E7}" name="Max frost days" totalsRowDxfId="48" totalsRowCellStyle="Content bold">
      <calculatedColumnFormula array="1">Common_InputFunctions.Utility_DisplayArrayInTable(Common_SourceData.Common_SourceData_ClimateZones_Data(), Table_SourceData_ClimateZones[[#Headers],[Climate zone]], 0)</calculatedColumnFormula>
    </tableColumn>
    <tableColumn id="12" xr3:uid="{234FF138-B27C-4B62-8F9B-C37CA7CAC2D3}" name="Min elevation"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16" xr3:uid="{707DE610-55E7-4C2B-A655-DC3A68E07726}" name="Max elevation"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13" xr3:uid="{4C8B938B-15ED-44B7-AE5F-0B97F397EB93}" name="Min MAP:PET"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17" xr3:uid="{CAADAB65-A513-48D5-B5A0-48D595DDC14D}" name="Max MAP:PET" totalsRowDxfId="44"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C40E40B1-1238-404E-90D4-5CBA6C401B63}"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75FFA69A-9E31-49AE-91B6-95A172025521}"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5BEF6136-8996-4E40-8803-A96D1FA83D99}" name="Wet or Dry Zone" totalsRowDxfId="43"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9AD0C5A9-EF00-4938-A16D-3C51E0439BA7}"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195B97CC-65C4-4301-9D48-458254FAEBF3}" name="Temperature Zone">
      <calculatedColumnFormula array="1">Common_InputFunctions.Utility_DisplayArrayInTable(Common_SourceData.Common_SourceData_TemperatureZones_Data(),Table_SourceData_TemperatureZones[[#Headers],[Temperature Zone]],0)</calculatedColumnFormula>
    </tableColumn>
    <tableColumn id="2" xr3:uid="{974E4BFA-1A60-4BA9-B2E0-13EC0ED4C626}" name="MAT">
      <calculatedColumnFormula array="1">Common_InputFunctions.Utility_DisplayArrayInTable(Common_SourceData.Common_SourceData_TemperatureZones_Data(),Table_SourceData_TemperatureZones[[#Headers],[Temperature Zone]],0)</calculatedColumnFormula>
    </tableColumn>
    <tableColumn id="3" xr3:uid="{7B2070AF-B02C-49F1-AF64-8F307DA73013}" name="Min MAT">
      <calculatedColumnFormula array="1">Common_InputFunctions.Utility_DisplayArrayInTable(Common_SourceData.Common_SourceData_TemperatureZones_Data(),Table_SourceData_TemperatureZones[[#Headers],[Temperature Zone]],0)</calculatedColumnFormula>
    </tableColumn>
    <tableColumn id="4" xr3:uid="{F5855D94-A891-4C9E-AE30-49A2128B61E3}"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30B60E8B-CF5F-4DAE-BCDB-F2A1EE3902D4}"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90427594-503D-46C3-AB0E-EBAAE18DBC07}" name="Rainfall Zone">
      <calculatedColumnFormula array="1">Common_InputFunctions.Utility_DisplayArrayInTable(Common_SourceData.Common_SourceData_RainfallZones_Data(),Table_SourceData_RainfallZones[[#Headers],[Rainfall Zone]],0)</calculatedColumnFormula>
    </tableColumn>
    <tableColumn id="2" xr3:uid="{DD709DDE-7A16-4D1B-A356-E4A8AD31BEB5}" name="Annual rainfall">
      <calculatedColumnFormula array="1">Common_InputFunctions.Utility_DisplayArrayInTable(Common_SourceData.Common_SourceData_RainfallZones_Data(),Table_SourceData_RainfallZones[[#Headers],[Rainfall Zone]],0)</calculatedColumnFormula>
    </tableColumn>
    <tableColumn id="3" xr3:uid="{901EE353-B9CC-4C04-BA8B-306FD712CC1D}" name="Min rainfall">
      <calculatedColumnFormula array="1">Common_InputFunctions.Utility_DisplayArrayInTable(Common_SourceData.Common_SourceData_RainfallZones_Data(),Table_SourceData_RainfallZones[[#Headers],[Rainfall Zone]],0)</calculatedColumnFormula>
    </tableColumn>
    <tableColumn id="4" xr3:uid="{5935EE2D-D2AB-47CE-806C-9EB07FC38932}"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DF105729-3E39-4AD8-A1C1-FFF9E6BDD1EA}"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A7AC1CAA-0CF4-464B-B04D-D4A1734AA79F}" name="Leaching Zone">
      <calculatedColumnFormula array="1">Common_InputFunctions.Utility_DisplayArrayInTable(Common_SourceData.Common_SourceData_LeachingZones_Data(), Table_SourceData_LeachingZones[[#Headers],[Leaching Zone]], 0)</calculatedColumnFormula>
    </tableColumn>
    <tableColumn id="2" xr3:uid="{ECB7544D-C9E1-4956-ABC5-A874DA67C2CA}"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EAB15B42-28CA-436A-B2E1-12F726403BE8}"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99CC1C46-3110-4B86-8A2D-022E73E705B0}" name="Data source">
      <calculatedColumnFormula array="1">Common_InputFunctions.Utility_DisplayArrayInTable(Common_SourceData.Common_SourceData_DataScores_Scope3_Data(), Table_SourceData_DataScores_Scope3[[#Headers],[Data source]], 0)</calculatedColumnFormula>
    </tableColumn>
    <tableColumn id="2" xr3:uid="{A0D120A0-B70D-4125-BC1B-8B20D63A1054}"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38AF704B-4AC3-46CB-A2A9-FF80BB25B182}" name="Table_SourceData_FracWET" displayName="Table_SourceData_FracWET" ref="D134:E136" totalsRowShown="0">
  <autoFilter ref="D134:E136" xr:uid="{308E99BE-FE1F-47A4-B2CA-97217277C4E9}">
    <filterColumn colId="0" hiddenButton="1"/>
    <filterColumn colId="1" hiddenButton="1"/>
  </autoFilter>
  <tableColumns count="2">
    <tableColumn id="1" xr3:uid="{7344BE3D-933D-4CB3-A45F-590BC64BEBC5}" name="Is in leaching zone">
      <calculatedColumnFormula array="1">Common_InputFunctions.Utility_DisplayArrayInTable(Common_SourceData.Common_SourceData_FracWET_Data(),Table_SourceData_FracWET[[#Headers],[Is in leaching zone]],0)</calculatedColumnFormula>
    </tableColumn>
    <tableColumn id="2" xr3:uid="{EE6B8775-F9D7-4607-B873-513E134FDCF0}" name="FracWET" dataDxfId="42">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E67F4564-FCE8-4E50-8A78-690EEFB29123}"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CE9935F7-45FB-40D6-9D83-25C3ADAA29D0}" name="Production system j">
      <calculatedColumnFormula array="1">Common_InputFunctions.Utility_DisplayArrayInTable(Common_SourceData.Common_SourceData_EFN2O_Data(), Table_SourceData_Common_EFN2O[[#Headers],[Production system j]], 0)</calculatedColumnFormula>
    </tableColumn>
    <tableColumn id="2" xr3:uid="{6648B445-2608-4B96-B95D-ED7A6BDF511B}" name="EFN2O">
      <calculatedColumnFormula array="1">Common_InputFunctions.Utility_DisplayArrayInTable(Common_SourceData.Common_SourceData_EFN2O_Data(), Table_SourceData_Common_EFN2O[[#Headers],[Production system j]], 0)</calculatedColumnFormula>
    </tableColumn>
    <tableColumn id="3" xr3:uid="{A20581E3-80D8-432A-B86C-77BEC72238B0}" name="Production system only">
      <calculatedColumnFormula array="1">Common_InputFunctions.Utility_DisplayArrayInTable(Common_SourceData.Common_SourceData_EFN2O_Data(), Table_SourceData_Common_EFN2O[[#Headers],[Production system j]], 0)</calculatedColumnFormula>
    </tableColumn>
    <tableColumn id="4" xr3:uid="{C986E6B2-6D07-459B-B746-06DDD77808F7}" name="Irrigation method">
      <calculatedColumnFormula array="1">Common_InputFunctions.Utility_DisplayArrayInTable(Common_SourceData.Common_SourceData_EFN2O_Data(), Table_SourceData_Common_EFN2O[[#Headers],[Production system j]], 0)</calculatedColumnFormula>
    </tableColumn>
    <tableColumn id="5" xr3:uid="{A5484963-E8AB-4BEF-A6F6-962A9DC60012}"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572A0586-435A-45D0-83CB-D2BBF90C6E04}"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FDF9B481-56AD-4DF5-AFA6-955663F8AF74}" name="Irrigation type i">
      <calculatedColumnFormula array="1">Common_InputFunctions.Utility_DisplayArrayInTable(Common_SourceData.Common_SourceData_FracWETIrrigation_Data(), Table_SourceData_FracWETIrrigation[[#Headers],[Irrigation type i]], 0)</calculatedColumnFormula>
    </tableColumn>
    <tableColumn id="2" xr3:uid="{B0EE415B-23CE-4DF2-ADD9-9FBC3FC52732}" name="FracWET" dataDxfId="41"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9E899750-2345-47FA-BD87-D8F9DB9C9CBA}"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18044A18-7319-4FD1-AACA-5EFA80876994}"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F7B155E3-4636-47F1-A20F-2B14DF6884E7}" name="EFPRP" dataDxfId="40"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E21A8B5F-F308-4250-8466-ABE122DD0628}"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9228FD07-A52F-4D33-A2DF-0C325123202D}" name="Month">
      <calculatedColumnFormula array="1">Common_InputFunctions.Utility_DisplayArrayInTable(Common_SourceData.Common_SourceData_MonthsToSeasons_Data(), Table_SourceData_Common_MonthToSeason[[#Headers],[Month]], 0)</calculatedColumnFormula>
    </tableColumn>
    <tableColumn id="2" xr3:uid="{0976F477-2DC8-4431-A2B4-464A51E28CAF}" name="Season" dataDxfId="39"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25BE01B8-AE74-4090-93C0-9F2585B2753F}"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0B4692EE-3DA5-4F33-B8ED-1FD4F634B1E7}"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DB9D8CBF-CE36-46FF-ADB6-68DAC58EDE1E}" name="MAT (ºC)" dataDxfId="3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2E64B7B3-8C67-4E80-914C-D2818F2B3052}" name="Anaerobic lagoon" dataDxfId="3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28D644A1-08C2-477B-9E8B-95E5591F7944}" name="Digester / covered lagoons" dataDxfId="3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29650014-14B9-4204-B028-9A1ABE36DD86}" name="Liquid systems" dataDxfId="3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FF41A470-F597-4163-A7C5-54DCC7DDC808}" name="Daily spread" dataDxfId="3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5AE4961A-8823-43D9-95C5-E28C501B698C}" name="Composting (passive windrow)" dataDxfId="3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F817CC10-DA85-482F-986E-3A29A653AF0B}" name="Solid storage" dataDxfId="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1B48A10A-17CB-4D2F-A0E4-A8599D40A469}" name="Pit storage" dataDxfId="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E816252C-1145-4B1A-8BC2-06E2E9ACA81C}" name="Deep litter" dataDxfId="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407B1FD0-ACAF-4A77-8EB3-B45AC2848E88}" name="Poultry manure with bedding" dataDxfId="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FDE08AD2-D6C4-458F-B064-FFD0AC4FF7C7}" name="Poultry manure without bedding" dataDxfId="2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DEAF6568-8962-4FC6-B6A5-3600F17747B4}" name="Direct processing"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603F818F-3F8E-4B6B-8474-19EB2D4B2078}" name="Direct application"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9628CF82-B2D0-4FF8-9962-6A0F2F6CA7F7}" name="Pasture range and paddock"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770C2488-4416-4427-8990-A550DA980D9C}" name="MAT raw"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E3C18E34-15E8-4C47-8C8C-FAA56730FC4D}"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E4226D57-5B9C-45FE-931A-B024FA2BA7BB}"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5EC2D26E-B5C8-4C0E-8E88-9AAC02CC84C4}" name="EFNi &amp; EFN2Oi" dataDxfId="23"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63"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8" Type="http://schemas.openxmlformats.org/officeDocument/2006/relationships/table" Target="../tables/table9.xml"/><Relationship Id="rId13" Type="http://schemas.openxmlformats.org/officeDocument/2006/relationships/table" Target="../tables/table14.xml"/><Relationship Id="rId18" Type="http://schemas.openxmlformats.org/officeDocument/2006/relationships/table" Target="../tables/table19.xml"/><Relationship Id="rId3" Type="http://schemas.openxmlformats.org/officeDocument/2006/relationships/table" Target="../tables/table4.xml"/><Relationship Id="rId7" Type="http://schemas.openxmlformats.org/officeDocument/2006/relationships/table" Target="../tables/table8.xml"/><Relationship Id="rId12" Type="http://schemas.openxmlformats.org/officeDocument/2006/relationships/table" Target="../tables/table13.xml"/><Relationship Id="rId17" Type="http://schemas.openxmlformats.org/officeDocument/2006/relationships/table" Target="../tables/table18.xml"/><Relationship Id="rId2" Type="http://schemas.openxmlformats.org/officeDocument/2006/relationships/table" Target="../tables/table3.xml"/><Relationship Id="rId16" Type="http://schemas.openxmlformats.org/officeDocument/2006/relationships/table" Target="../tables/table17.xml"/><Relationship Id="rId1" Type="http://schemas.openxmlformats.org/officeDocument/2006/relationships/printerSettings" Target="../printerSettings/printerSettings5.bin"/><Relationship Id="rId6" Type="http://schemas.openxmlformats.org/officeDocument/2006/relationships/table" Target="../tables/table7.xml"/><Relationship Id="rId11" Type="http://schemas.openxmlformats.org/officeDocument/2006/relationships/table" Target="../tables/table12.xml"/><Relationship Id="rId5" Type="http://schemas.openxmlformats.org/officeDocument/2006/relationships/table" Target="../tables/table6.xml"/><Relationship Id="rId15" Type="http://schemas.openxmlformats.org/officeDocument/2006/relationships/table" Target="../tables/table16.xml"/><Relationship Id="rId10" Type="http://schemas.openxmlformats.org/officeDocument/2006/relationships/table" Target="../tables/table11.xml"/><Relationship Id="rId4" Type="http://schemas.openxmlformats.org/officeDocument/2006/relationships/table" Target="../tables/table5.xml"/><Relationship Id="rId9" Type="http://schemas.openxmlformats.org/officeDocument/2006/relationships/table" Target="../tables/table10.xml"/><Relationship Id="rId14"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dimension ref="A1:W45"/>
  <sheetViews>
    <sheetView showGridLines="0" zoomScaleNormal="100" workbookViewId="0"/>
  </sheetViews>
  <sheetFormatPr defaultRowHeight="15.75" x14ac:dyDescent="0.25"/>
  <cols>
    <col min="1" max="1" width="30.7109375" customWidth="1"/>
    <col min="2" max="2" width="4.7109375" customWidth="1"/>
    <col min="3" max="3" width="4.7109375" style="1" customWidth="1"/>
    <col min="4" max="15" width="9.140625" style="1"/>
    <col min="16" max="16" width="4.7109375" style="1" customWidth="1"/>
  </cols>
  <sheetData>
    <row r="1" spans="1:17" ht="30" customHeight="1" x14ac:dyDescent="0.35">
      <c r="A1" s="33" t="e" vm="1">
        <v>#VALUE!</v>
      </c>
      <c r="C1" s="53" t="s">
        <v>86</v>
      </c>
      <c r="D1" s="54"/>
      <c r="E1" s="54"/>
      <c r="F1" s="54"/>
      <c r="G1" s="54"/>
      <c r="H1" s="54"/>
      <c r="I1" s="54"/>
      <c r="J1" s="54"/>
      <c r="K1" s="54"/>
      <c r="L1" s="54"/>
      <c r="M1" s="54"/>
      <c r="N1" s="54"/>
      <c r="O1" s="54"/>
      <c r="P1" s="54"/>
    </row>
    <row r="2" spans="1:17" ht="20.100000000000001" customHeight="1" x14ac:dyDescent="0.25">
      <c r="A2" s="8"/>
      <c r="C2" s="54"/>
      <c r="D2" s="54"/>
      <c r="E2" s="54"/>
      <c r="F2" s="54"/>
      <c r="G2" s="54"/>
      <c r="H2" s="54"/>
      <c r="I2" s="54"/>
      <c r="J2" s="54"/>
      <c r="K2" s="54"/>
      <c r="L2" s="54"/>
      <c r="M2" s="54"/>
      <c r="N2" s="54"/>
      <c r="O2" s="54"/>
      <c r="P2" s="54"/>
      <c r="Q2" s="55"/>
    </row>
    <row r="3" spans="1:17" ht="20.100000000000001" customHeight="1" x14ac:dyDescent="0.25">
      <c r="A3" s="13" t="str">
        <f>HYPERLINK("#'Home'!A1", "Home")</f>
        <v>Home</v>
      </c>
      <c r="C3" s="56"/>
      <c r="D3" s="56"/>
      <c r="E3" s="56"/>
      <c r="F3" s="56"/>
      <c r="G3" s="56"/>
      <c r="H3" s="56"/>
      <c r="I3" s="56"/>
      <c r="J3" s="56"/>
      <c r="K3" s="56"/>
      <c r="L3" s="56"/>
      <c r="M3" s="56"/>
      <c r="N3" s="56"/>
      <c r="O3" s="56"/>
      <c r="P3" s="56"/>
    </row>
    <row r="4" spans="1:17" ht="20.100000000000001" customHeight="1" x14ac:dyDescent="0.25">
      <c r="A4" s="42" t="str">
        <f>HYPERLINK("#'Overview'!A1", "Overview")</f>
        <v>Overview</v>
      </c>
    </row>
    <row r="5" spans="1:17" ht="20.100000000000001" customHeight="1" x14ac:dyDescent="0.25">
      <c r="A5" s="13" t="str">
        <f>HYPERLINK("#'Results'!A1", "Results")</f>
        <v>Results</v>
      </c>
      <c r="D5" s="40" t="s">
        <v>83</v>
      </c>
      <c r="E5" s="37"/>
      <c r="F5" s="37"/>
      <c r="G5" s="37"/>
      <c r="H5" s="37"/>
      <c r="I5" s="37"/>
      <c r="J5" s="37"/>
      <c r="K5" s="37"/>
      <c r="L5" s="37"/>
      <c r="M5" s="37"/>
      <c r="N5" s="37"/>
      <c r="O5" s="34"/>
    </row>
    <row r="6" spans="1:17" ht="20.100000000000001" customHeight="1" x14ac:dyDescent="0.25">
      <c r="A6" s="12"/>
      <c r="D6" s="57" t="s">
        <v>84</v>
      </c>
      <c r="E6" s="36"/>
      <c r="F6" s="36"/>
      <c r="G6" s="36"/>
      <c r="H6" s="36"/>
      <c r="I6" s="36"/>
      <c r="J6" s="36"/>
      <c r="K6" s="36"/>
      <c r="L6" s="36"/>
      <c r="M6" s="36"/>
      <c r="N6" s="36"/>
      <c r="O6" s="35"/>
    </row>
    <row r="7" spans="1:17" ht="20.100000000000001" customHeight="1" x14ac:dyDescent="0.25">
      <c r="A7" s="16" t="s">
        <v>1</v>
      </c>
    </row>
    <row r="8" spans="1:17" ht="20.100000000000001" customHeight="1" x14ac:dyDescent="0.25">
      <c r="A8" s="13" t="str">
        <f>HYPERLINK("#'Input - Wastewater'!A1", "Wastewater")</f>
        <v>Wastewater</v>
      </c>
    </row>
    <row r="9" spans="1:17" ht="20.100000000000001" customHeight="1" x14ac:dyDescent="0.25">
      <c r="A9" s="13"/>
    </row>
    <row r="10" spans="1:17" ht="20.100000000000001" customHeight="1" x14ac:dyDescent="0.25">
      <c r="A10" s="15" t="s">
        <v>45</v>
      </c>
    </row>
    <row r="11" spans="1:17" ht="20.100000000000001" customHeight="1" x14ac:dyDescent="0.25">
      <c r="A11" s="13" t="str">
        <f>HYPERLINK("#'11.1.1-2 Wastewater CH4'!A1", "10.1.1-2 Wastewater CH4")</f>
        <v>10.1.1-2 Wastewater CH4</v>
      </c>
    </row>
    <row r="12" spans="1:17" ht="20.100000000000001" customHeight="1" x14ac:dyDescent="0.25">
      <c r="A12" s="13" t="str">
        <f>HYPERLINK("#'11.1.3-4 Wastewater N2O'!A1", "10.1.3-4 Wastewater N2O")</f>
        <v>10.1.3-4 Wastewater N2O</v>
      </c>
    </row>
    <row r="13" spans="1:17" ht="20.100000000000001" customHeight="1" x14ac:dyDescent="0.25">
      <c r="A13" s="13"/>
    </row>
    <row r="14" spans="1:17" ht="20.100000000000001" customHeight="1" x14ac:dyDescent="0.25">
      <c r="A14" s="14" t="s">
        <v>2</v>
      </c>
      <c r="O14" s="1" t="s">
        <v>85</v>
      </c>
    </row>
    <row r="15" spans="1:17" ht="20.100000000000001" customHeight="1" x14ac:dyDescent="0.25">
      <c r="A15" s="13" t="str">
        <f>HYPERLINK("#'Constants - Wastewater'!A1", "Constants - Wastewater")</f>
        <v>Constants - Wastewater</v>
      </c>
    </row>
    <row r="16" spans="1:17" ht="20.100000000000001" customHeight="1" x14ac:dyDescent="0.25">
      <c r="A16" s="13" t="str">
        <f>HYPERLINK("#'Constants - Common'!A1", "Constants - Common")</f>
        <v>Constants - Common</v>
      </c>
    </row>
    <row r="17" spans="1:1" ht="20.100000000000001" customHeight="1" x14ac:dyDescent="0.25"/>
    <row r="18" spans="1:1" ht="20.100000000000001" customHeight="1" x14ac:dyDescent="0.25"/>
    <row r="19" spans="1:1" ht="20.100000000000001" customHeight="1" x14ac:dyDescent="0.25"/>
    <row r="20" spans="1:1" ht="20.100000000000001" customHeight="1" x14ac:dyDescent="0.25"/>
    <row r="21" spans="1:1" ht="20.100000000000001" customHeight="1" x14ac:dyDescent="0.25"/>
    <row r="22" spans="1:1" ht="20.100000000000001" customHeight="1" x14ac:dyDescent="0.25"/>
    <row r="23" spans="1:1" ht="20.100000000000001" customHeight="1" x14ac:dyDescent="0.25">
      <c r="A23" s="13"/>
    </row>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spans="12:23" ht="20.100000000000001" customHeight="1" x14ac:dyDescent="0.25"/>
    <row r="34" spans="12:23" ht="20.100000000000001" customHeight="1" x14ac:dyDescent="0.25"/>
    <row r="35" spans="12:23" ht="20.100000000000001" customHeight="1" x14ac:dyDescent="0.25"/>
    <row r="36" spans="12:23" ht="20.100000000000001" customHeight="1" x14ac:dyDescent="0.25"/>
    <row r="37" spans="12:23" ht="20.100000000000001" customHeight="1" x14ac:dyDescent="0.25">
      <c r="L37" s="1" t="s">
        <v>81</v>
      </c>
    </row>
    <row r="38" spans="12:23" ht="20.100000000000001" customHeight="1" x14ac:dyDescent="0.25"/>
    <row r="39" spans="12:23" ht="20.100000000000001" customHeight="1" x14ac:dyDescent="0.25"/>
    <row r="40" spans="12:23" ht="20.100000000000001" customHeight="1" x14ac:dyDescent="0.25"/>
    <row r="41" spans="12:23" ht="20.100000000000001" customHeight="1" x14ac:dyDescent="0.25"/>
    <row r="42" spans="12:23" ht="20.100000000000001" customHeight="1" x14ac:dyDescent="0.25"/>
    <row r="45" spans="12:23" x14ac:dyDescent="0.25">
      <c r="W45" t="s">
        <v>82</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F15" sqref="F15"/>
    </sheetView>
  </sheetViews>
  <sheetFormatPr defaultRowHeight="15" x14ac:dyDescent="0.25"/>
  <cols>
    <col min="1" max="1" width="30.7109375" customWidth="1"/>
    <col min="2" max="3" width="2.7109375" customWidth="1"/>
    <col min="4" max="4" width="97.140625" customWidth="1"/>
    <col min="5" max="10" width="30.7109375" customWidth="1"/>
    <col min="11" max="11" width="7.42578125" customWidth="1"/>
    <col min="12" max="26" width="28.7109375" customWidth="1"/>
  </cols>
  <sheetData>
    <row r="1" spans="1:11" ht="30" customHeight="1" x14ac:dyDescent="0.35">
      <c r="A1" s="33" t="e" vm="1">
        <v>#VALUE!</v>
      </c>
      <c r="C1" s="53" t="s">
        <v>87</v>
      </c>
    </row>
    <row r="2" spans="1:11" ht="20.100000000000001" customHeight="1" x14ac:dyDescent="0.25">
      <c r="A2" s="8"/>
      <c r="C2" s="8"/>
    </row>
    <row r="3" spans="1:11" ht="20.100000000000001" customHeight="1" x14ac:dyDescent="0.25">
      <c r="A3" s="13" t="str">
        <f>HYPERLINK("#'Home'!A1", "Home")</f>
        <v>Home</v>
      </c>
      <c r="C3" s="18"/>
      <c r="D3" s="18"/>
      <c r="E3" s="18"/>
      <c r="F3" s="18"/>
      <c r="G3" s="18"/>
      <c r="H3" s="18"/>
      <c r="I3" s="18"/>
      <c r="J3" s="18"/>
      <c r="K3" s="18"/>
    </row>
    <row r="4" spans="1:11" ht="20.100000000000001" customHeight="1" x14ac:dyDescent="0.25">
      <c r="A4" s="13" t="str">
        <f>HYPERLINK("#'Overview'!A1", "Overview")</f>
        <v>Overview</v>
      </c>
      <c r="C4" s="18"/>
      <c r="D4" s="5" t="s">
        <v>3</v>
      </c>
      <c r="E4" s="19"/>
      <c r="F4" s="19"/>
      <c r="G4" s="19"/>
      <c r="H4" s="19"/>
      <c r="I4" s="19"/>
      <c r="J4" s="19"/>
      <c r="K4" s="20"/>
    </row>
    <row r="5" spans="1:11" ht="20.100000000000001" customHeight="1" x14ac:dyDescent="0.3">
      <c r="A5" s="42" t="str">
        <f>HYPERLINK("#'Results'!A1", "Results")</f>
        <v>Results</v>
      </c>
      <c r="C5" s="18"/>
      <c r="D5" s="21"/>
      <c r="E5" s="22"/>
      <c r="F5" s="22"/>
      <c r="G5" s="22"/>
      <c r="H5" s="22"/>
      <c r="I5" s="22"/>
      <c r="J5" s="22"/>
      <c r="K5" s="18"/>
    </row>
    <row r="6" spans="1:11" ht="20.100000000000001" customHeight="1" x14ac:dyDescent="0.25">
      <c r="A6" s="12"/>
      <c r="C6" s="18"/>
      <c r="D6" s="17" t="s">
        <v>80</v>
      </c>
      <c r="E6" s="18"/>
      <c r="F6" s="18"/>
      <c r="G6" s="18"/>
      <c r="H6" s="18"/>
      <c r="I6" s="18"/>
      <c r="J6" s="18"/>
      <c r="K6" s="18"/>
    </row>
    <row r="7" spans="1:11" ht="20.100000000000001" customHeight="1" x14ac:dyDescent="0.25">
      <c r="A7" s="16" t="s">
        <v>1</v>
      </c>
      <c r="C7" s="18"/>
      <c r="D7" s="18"/>
      <c r="E7" s="18"/>
      <c r="F7" s="18"/>
      <c r="G7" s="18"/>
      <c r="H7" s="18"/>
      <c r="I7" s="18"/>
      <c r="J7" s="18"/>
      <c r="K7" s="18"/>
    </row>
    <row r="8" spans="1:11" ht="20.100000000000001" customHeight="1" x14ac:dyDescent="0.25">
      <c r="A8" s="13" t="str">
        <f>HYPERLINK("#'Input - Wastewater'!A1", "Wastewater")</f>
        <v>Wastewater</v>
      </c>
      <c r="C8" s="18"/>
      <c r="D8" s="39" t="s">
        <v>50</v>
      </c>
      <c r="E8" s="39" t="s">
        <v>60</v>
      </c>
      <c r="F8" s="39" t="s">
        <v>61</v>
      </c>
      <c r="G8" s="39" t="s">
        <v>55</v>
      </c>
      <c r="H8" s="39" t="s">
        <v>128</v>
      </c>
      <c r="I8" s="39" t="s">
        <v>129</v>
      </c>
      <c r="J8" s="39" t="s">
        <v>130</v>
      </c>
      <c r="K8" s="18"/>
    </row>
    <row r="9" spans="1:11" ht="20.100000000000001" customHeight="1" x14ac:dyDescent="0.25">
      <c r="A9" s="13"/>
      <c r="C9" s="18"/>
      <c r="D9" s="1" t="s">
        <v>124</v>
      </c>
      <c r="E9" s="52">
        <f>VEERG_11_1_1_1__1_MethaneEmissionsFromWastewaterTreatment_Result_Method1</f>
        <v>4.7159433000000001E-2</v>
      </c>
      <c r="F9" s="52">
        <f>E9</f>
        <v>4.7159433000000001E-2</v>
      </c>
      <c r="G9" s="30" t="s">
        <v>126</v>
      </c>
      <c r="H9" s="52">
        <f>'11.1.1-2 Wastewater CH4'!E35</f>
        <v>1.3204641239999999</v>
      </c>
      <c r="I9" s="52">
        <f>H9</f>
        <v>1.3204641239999999</v>
      </c>
      <c r="J9" s="30" t="s">
        <v>58</v>
      </c>
      <c r="K9" s="18"/>
    </row>
    <row r="10" spans="1:11" ht="20.100000000000001" customHeight="1" x14ac:dyDescent="0.25">
      <c r="A10" s="15" t="s">
        <v>45</v>
      </c>
      <c r="C10" s="18"/>
      <c r="D10" s="1" t="s">
        <v>125</v>
      </c>
      <c r="E10" s="75">
        <f>VEERG_11_1_3_1__1_NitrousOxideEmissionsFromFlaredBiogas_Result_Method1</f>
        <v>4.26764E-7</v>
      </c>
      <c r="F10" s="75">
        <f>E10</f>
        <v>4.26764E-7</v>
      </c>
      <c r="G10" s="30" t="s">
        <v>127</v>
      </c>
      <c r="H10" s="52">
        <f>'11.1.3-4 Wastewater N2O'!E22</f>
        <v>1.1309246E-4</v>
      </c>
      <c r="I10" s="52">
        <f>H10</f>
        <v>1.1309246E-4</v>
      </c>
      <c r="J10" s="30" t="s">
        <v>58</v>
      </c>
      <c r="K10" s="18"/>
    </row>
    <row r="11" spans="1:11" ht="20.100000000000001" customHeight="1" x14ac:dyDescent="0.3">
      <c r="A11" s="13" t="str">
        <f>HYPERLINK("#'11.1.1-2 Wastewater CH4'!A1", "10.1.1-2 Wastewater CH4")</f>
        <v>10.1.1-2 Wastewater CH4</v>
      </c>
      <c r="C11" s="18"/>
      <c r="D11" s="76" t="s">
        <v>131</v>
      </c>
      <c r="E11" s="77"/>
      <c r="F11" s="77"/>
      <c r="G11" s="76"/>
      <c r="H11" s="78">
        <f>SUM(H9:H10)</f>
        <v>1.3205772164599998</v>
      </c>
      <c r="I11" s="78">
        <f>SUM(I9:I10)</f>
        <v>1.3205772164599998</v>
      </c>
      <c r="J11" s="74" t="s">
        <v>58</v>
      </c>
      <c r="K11" s="18"/>
    </row>
    <row r="12" spans="1:11" ht="20.100000000000001" customHeight="1" x14ac:dyDescent="0.25">
      <c r="A12" s="13" t="str">
        <f>HYPERLINK("#'11.1.3-4 Wastewater N2O'!A1", "10.1.3-4 Wastewater N2O")</f>
        <v>10.1.3-4 Wastewater N2O</v>
      </c>
      <c r="C12" s="18"/>
      <c r="D12" s="1"/>
      <c r="E12" s="1"/>
      <c r="F12" s="1"/>
      <c r="G12" s="1"/>
      <c r="H12" s="1"/>
      <c r="I12" s="1"/>
      <c r="J12" s="1"/>
      <c r="K12" s="18"/>
    </row>
    <row r="13" spans="1:11" ht="20.100000000000001" customHeight="1" x14ac:dyDescent="0.25">
      <c r="A13" s="13"/>
      <c r="C13" s="18"/>
      <c r="D13" s="1"/>
      <c r="E13" s="1"/>
      <c r="F13" s="1"/>
      <c r="G13" s="1"/>
      <c r="H13" s="1"/>
      <c r="I13" s="1"/>
      <c r="J13" s="1"/>
      <c r="K13" s="18"/>
    </row>
    <row r="14" spans="1:11" ht="20.100000000000001" customHeight="1" x14ac:dyDescent="0.25">
      <c r="A14" s="14" t="s">
        <v>2</v>
      </c>
      <c r="C14" s="18"/>
      <c r="D14" s="1"/>
      <c r="E14" s="1"/>
      <c r="F14" s="1"/>
      <c r="G14" s="1"/>
      <c r="H14" s="1"/>
      <c r="I14" s="1"/>
      <c r="J14" s="1"/>
      <c r="K14" s="18"/>
    </row>
    <row r="15" spans="1:11" ht="20.100000000000001" customHeight="1" x14ac:dyDescent="0.25">
      <c r="A15" s="13" t="str">
        <f>HYPERLINK("#'Constants - Wastewater'!A1", "Constants - Wastewater")</f>
        <v>Constants - Wastewater</v>
      </c>
      <c r="C15" s="18"/>
      <c r="D15" s="1"/>
      <c r="E15" s="1"/>
      <c r="F15" s="1"/>
      <c r="G15" s="1"/>
      <c r="H15" s="1"/>
      <c r="I15" s="1"/>
      <c r="J15" s="1"/>
      <c r="K15" s="18"/>
    </row>
    <row r="16" spans="1:11" ht="20.100000000000001" customHeight="1" x14ac:dyDescent="0.25">
      <c r="A16" s="13" t="str">
        <f>HYPERLINK("#'Constants - Common'!A1", "Constants - Common")</f>
        <v>Constants - Common</v>
      </c>
      <c r="C16" s="18"/>
      <c r="D16" s="1"/>
      <c r="E16" s="1"/>
      <c r="F16" s="1"/>
      <c r="G16" s="1"/>
      <c r="H16" s="1"/>
      <c r="I16" s="1"/>
      <c r="J16" s="1"/>
      <c r="K16" s="18"/>
    </row>
    <row r="17" spans="1:11" ht="20.100000000000001" customHeight="1" x14ac:dyDescent="0.25">
      <c r="C17" s="18"/>
      <c r="D17" s="1"/>
      <c r="E17" s="1"/>
      <c r="F17" s="1"/>
      <c r="G17" s="1"/>
      <c r="H17" s="1"/>
      <c r="I17" s="1"/>
      <c r="J17" s="1"/>
      <c r="K17" s="18"/>
    </row>
    <row r="18" spans="1:11" ht="20.100000000000001" customHeight="1" x14ac:dyDescent="0.25">
      <c r="C18" s="18"/>
      <c r="D18" s="1"/>
      <c r="E18" s="1"/>
      <c r="F18" s="1"/>
      <c r="G18" s="1"/>
      <c r="H18" s="1"/>
      <c r="I18" s="1"/>
      <c r="J18" s="1"/>
      <c r="K18" s="18"/>
    </row>
    <row r="19" spans="1:11" ht="20.100000000000001" customHeight="1" x14ac:dyDescent="0.25">
      <c r="C19" s="18"/>
      <c r="D19" s="1"/>
      <c r="E19" s="1"/>
      <c r="F19" s="1"/>
      <c r="G19" s="1"/>
      <c r="H19" s="1"/>
      <c r="I19" s="1"/>
      <c r="J19" s="1"/>
      <c r="K19" s="18"/>
    </row>
    <row r="20" spans="1:11" ht="20.100000000000001" customHeight="1" x14ac:dyDescent="0.25">
      <c r="C20" s="18"/>
      <c r="D20" s="1"/>
      <c r="E20" s="1"/>
      <c r="F20" s="1"/>
      <c r="G20" s="1"/>
      <c r="H20" s="1"/>
      <c r="I20" s="1"/>
      <c r="J20" s="1"/>
      <c r="K20" s="18"/>
    </row>
    <row r="21" spans="1:11" ht="20.100000000000001" customHeight="1" x14ac:dyDescent="0.25">
      <c r="A21" s="13"/>
      <c r="C21" s="18"/>
      <c r="D21" s="1"/>
      <c r="E21" s="1"/>
      <c r="F21" s="1"/>
      <c r="G21" s="1"/>
      <c r="H21" s="1"/>
      <c r="I21" s="1"/>
      <c r="J21" s="1"/>
      <c r="K21" s="18"/>
    </row>
    <row r="22" spans="1:11" ht="20.100000000000001" customHeight="1" x14ac:dyDescent="0.25">
      <c r="C22" s="18"/>
      <c r="D22" s="1"/>
      <c r="E22" s="1"/>
      <c r="F22" s="1"/>
      <c r="G22" s="1"/>
      <c r="H22" s="1"/>
      <c r="I22" s="1"/>
      <c r="J22" s="1"/>
      <c r="K22" s="18"/>
    </row>
    <row r="23" spans="1:11" ht="20.100000000000001" customHeight="1" x14ac:dyDescent="0.25">
      <c r="A23" s="13"/>
      <c r="C23" s="18"/>
      <c r="D23" s="1"/>
      <c r="E23" s="1"/>
      <c r="F23" s="1"/>
      <c r="G23" s="1"/>
      <c r="H23" s="1"/>
      <c r="I23" s="1"/>
      <c r="J23" s="1"/>
      <c r="K23" s="18"/>
    </row>
    <row r="24" spans="1:11" ht="20.100000000000001" customHeight="1" x14ac:dyDescent="0.25">
      <c r="C24" s="18"/>
      <c r="D24" s="1"/>
      <c r="E24" s="1"/>
      <c r="F24" s="1"/>
      <c r="G24" s="1"/>
      <c r="H24" s="1"/>
      <c r="I24" s="1"/>
      <c r="J24" s="1"/>
      <c r="K24" s="18"/>
    </row>
    <row r="25" spans="1:11" ht="20.100000000000001" customHeight="1" x14ac:dyDescent="0.25">
      <c r="C25" s="18"/>
      <c r="D25" s="1"/>
      <c r="E25" s="1"/>
      <c r="F25" s="1"/>
      <c r="G25" s="1"/>
      <c r="H25" s="1"/>
      <c r="I25" s="1"/>
      <c r="J25" s="1"/>
      <c r="K25" s="18"/>
    </row>
    <row r="26" spans="1:11" ht="20.100000000000001" customHeight="1" x14ac:dyDescent="0.25">
      <c r="C26" s="18"/>
      <c r="D26" s="1"/>
      <c r="E26" s="1"/>
      <c r="F26" s="1"/>
      <c r="G26" s="1"/>
      <c r="H26" s="1"/>
      <c r="I26" s="1"/>
      <c r="J26" s="1"/>
      <c r="K26" s="18"/>
    </row>
    <row r="27" spans="1:11" ht="20.100000000000001" customHeight="1" x14ac:dyDescent="0.25">
      <c r="C27" s="18"/>
      <c r="D27" s="1"/>
      <c r="E27" s="1"/>
      <c r="F27" s="1"/>
      <c r="G27" s="1"/>
      <c r="H27" s="1"/>
      <c r="I27" s="1"/>
      <c r="J27" s="1"/>
      <c r="K27" s="18"/>
    </row>
    <row r="28" spans="1:11" ht="20.100000000000001" customHeight="1" x14ac:dyDescent="0.25">
      <c r="C28" s="18"/>
      <c r="D28" s="1"/>
      <c r="E28" s="1"/>
      <c r="F28" s="1"/>
      <c r="G28" s="1"/>
      <c r="H28" s="1"/>
      <c r="I28" s="1"/>
      <c r="J28" s="1"/>
      <c r="K28" s="18"/>
    </row>
    <row r="29" spans="1:11" ht="20.100000000000001" customHeight="1" x14ac:dyDescent="0.25">
      <c r="C29" s="18"/>
      <c r="D29" s="1"/>
      <c r="E29" s="1"/>
      <c r="F29" s="1"/>
      <c r="G29" s="1"/>
      <c r="H29" s="1"/>
      <c r="I29" s="1"/>
      <c r="J29" s="1"/>
      <c r="K29" s="18"/>
    </row>
    <row r="30" spans="1:11" ht="20.100000000000001" customHeight="1" x14ac:dyDescent="0.25">
      <c r="C30" s="18"/>
      <c r="D30" s="1"/>
      <c r="E30" s="1"/>
      <c r="F30" s="1"/>
      <c r="G30" s="1"/>
      <c r="H30" s="1"/>
      <c r="I30" s="1"/>
      <c r="J30" s="1"/>
      <c r="K30" s="18"/>
    </row>
    <row r="31" spans="1:11" ht="20.100000000000001" customHeight="1" x14ac:dyDescent="0.25">
      <c r="C31" s="18"/>
      <c r="D31" s="1"/>
      <c r="E31" s="1"/>
      <c r="F31" s="1"/>
      <c r="G31" s="1"/>
      <c r="H31" s="1"/>
      <c r="I31" s="1"/>
      <c r="J31" s="1"/>
      <c r="K31" s="18"/>
    </row>
    <row r="32" spans="1:11" ht="20.100000000000001" customHeight="1" x14ac:dyDescent="0.25">
      <c r="C32" s="18"/>
      <c r="D32" s="1"/>
      <c r="E32" s="1"/>
      <c r="F32" s="1"/>
      <c r="G32" s="1"/>
      <c r="H32" s="1"/>
      <c r="I32" s="1"/>
      <c r="J32" s="1"/>
      <c r="K32" s="18"/>
    </row>
    <row r="33" spans="3:11" ht="20.100000000000001" customHeight="1" x14ac:dyDescent="0.25">
      <c r="C33" s="18"/>
      <c r="D33" s="1"/>
      <c r="E33" s="1"/>
      <c r="F33" s="1"/>
      <c r="G33" s="1"/>
      <c r="H33" s="1"/>
      <c r="I33" s="1"/>
      <c r="J33" s="1"/>
      <c r="K33" s="18"/>
    </row>
    <row r="34" spans="3:11" ht="20.100000000000001" customHeight="1" x14ac:dyDescent="0.25">
      <c r="C34" s="18"/>
      <c r="D34" s="1"/>
      <c r="E34" s="1"/>
      <c r="F34" s="1"/>
      <c r="G34" s="1"/>
      <c r="H34" s="1"/>
      <c r="I34" s="1"/>
      <c r="J34" s="1"/>
      <c r="K34" s="18"/>
    </row>
    <row r="35" spans="3:11" ht="20.100000000000001" customHeight="1" x14ac:dyDescent="0.25">
      <c r="C35" s="18"/>
      <c r="D35" s="1"/>
      <c r="E35" s="1"/>
      <c r="F35" s="1"/>
      <c r="G35" s="1"/>
      <c r="H35" s="1"/>
      <c r="I35" s="1"/>
      <c r="J35" s="1"/>
      <c r="K35" s="18"/>
    </row>
    <row r="36" spans="3:11" ht="20.100000000000001" customHeight="1" x14ac:dyDescent="0.25">
      <c r="C36" s="18"/>
      <c r="D36" s="1"/>
      <c r="E36" s="1"/>
      <c r="F36" s="1"/>
      <c r="G36" s="1"/>
      <c r="H36" s="1"/>
      <c r="I36" s="1"/>
      <c r="J36" s="1"/>
      <c r="K36" s="18"/>
    </row>
    <row r="37" spans="3:11" ht="20.100000000000001" customHeight="1" x14ac:dyDescent="0.25">
      <c r="C37" s="18"/>
      <c r="D37" s="1"/>
      <c r="E37" s="1"/>
      <c r="F37" s="1"/>
      <c r="G37" s="1"/>
      <c r="H37" s="1"/>
      <c r="I37" s="1"/>
      <c r="J37" s="1"/>
      <c r="K37" s="18"/>
    </row>
    <row r="38" spans="3:11" ht="20.100000000000001" customHeight="1" x14ac:dyDescent="0.25">
      <c r="C38" s="18"/>
      <c r="D38" s="1"/>
      <c r="E38" s="1"/>
      <c r="F38" s="1"/>
      <c r="G38" s="1"/>
      <c r="H38" s="1"/>
      <c r="I38" s="1"/>
      <c r="J38" s="1"/>
      <c r="K38" s="18"/>
    </row>
    <row r="39" spans="3:11" ht="20.100000000000001" customHeight="1" x14ac:dyDescent="0.25">
      <c r="C39" s="18"/>
      <c r="D39" s="1"/>
      <c r="E39" s="1"/>
      <c r="F39" s="1"/>
      <c r="G39" s="1"/>
      <c r="H39" s="1"/>
      <c r="I39" s="1"/>
      <c r="J39" s="1"/>
      <c r="K39" s="18"/>
    </row>
    <row r="40" spans="3:11" ht="20.100000000000001" customHeight="1" x14ac:dyDescent="0.25">
      <c r="C40" s="18"/>
      <c r="D40" s="1"/>
      <c r="E40" s="1"/>
      <c r="F40" s="1"/>
      <c r="G40" s="1"/>
      <c r="H40" s="1"/>
      <c r="I40" s="1"/>
      <c r="J40" s="1"/>
      <c r="K40" s="18"/>
    </row>
    <row r="41" spans="3:11" ht="20.100000000000001" customHeight="1" x14ac:dyDescent="0.25">
      <c r="C41" s="18"/>
      <c r="D41" s="1"/>
      <c r="E41" s="1"/>
      <c r="F41" s="1"/>
      <c r="G41" s="1"/>
      <c r="H41" s="1"/>
      <c r="I41" s="1"/>
      <c r="J41" s="1"/>
      <c r="K41" s="18"/>
    </row>
    <row r="42" spans="3:11" ht="20.100000000000001" customHeight="1" x14ac:dyDescent="0.25">
      <c r="C42" s="18"/>
      <c r="D42" s="1"/>
      <c r="E42" s="1"/>
      <c r="F42" s="1"/>
      <c r="G42" s="1"/>
      <c r="H42" s="1"/>
      <c r="I42" s="1"/>
      <c r="J42" s="1"/>
      <c r="K42" s="18"/>
    </row>
    <row r="43" spans="3:11" ht="20.100000000000001" customHeight="1" x14ac:dyDescent="0.25">
      <c r="C43" s="18"/>
      <c r="D43" s="1"/>
      <c r="E43" s="1"/>
      <c r="F43" s="1"/>
      <c r="G43" s="1"/>
      <c r="H43" s="1"/>
      <c r="I43" s="1"/>
      <c r="J43" s="1"/>
      <c r="K43" s="18"/>
    </row>
    <row r="44" spans="3:11" ht="20.100000000000001" customHeight="1" x14ac:dyDescent="0.25">
      <c r="C44" s="18"/>
      <c r="D44" s="1"/>
      <c r="E44" s="1"/>
      <c r="F44" s="1"/>
      <c r="G44" s="1"/>
      <c r="H44" s="1"/>
      <c r="I44" s="1"/>
      <c r="J44" s="1"/>
      <c r="K44" s="18"/>
    </row>
    <row r="45" spans="3:11" ht="20.100000000000001" customHeight="1" x14ac:dyDescent="0.25">
      <c r="C45" s="18"/>
      <c r="D45" s="1"/>
      <c r="E45" s="1"/>
      <c r="F45" s="1"/>
      <c r="G45" s="1"/>
      <c r="H45" s="1"/>
      <c r="I45" s="1"/>
      <c r="J45" s="1"/>
      <c r="K45" s="18"/>
    </row>
    <row r="46" spans="3:11" ht="20.100000000000001" customHeight="1" x14ac:dyDescent="0.25">
      <c r="C46" s="18"/>
      <c r="D46" s="1"/>
      <c r="E46" s="1"/>
      <c r="F46" s="1"/>
      <c r="G46" s="1"/>
      <c r="H46" s="1"/>
      <c r="I46" s="1"/>
      <c r="J46" s="1"/>
      <c r="K46" s="18"/>
    </row>
    <row r="47" spans="3:11" ht="20.100000000000001" customHeight="1" x14ac:dyDescent="0.25">
      <c r="C47" s="18"/>
      <c r="D47" s="1"/>
      <c r="E47" s="1"/>
      <c r="F47" s="1"/>
      <c r="G47" s="1"/>
      <c r="H47" s="1"/>
      <c r="I47" s="1"/>
      <c r="J47" s="1"/>
      <c r="K47" s="18"/>
    </row>
    <row r="48" spans="3:11" ht="20.100000000000001" customHeight="1" x14ac:dyDescent="0.25">
      <c r="C48" s="18"/>
      <c r="D48" s="1"/>
      <c r="E48" s="1"/>
      <c r="F48" s="1"/>
      <c r="G48" s="1"/>
      <c r="H48" s="1"/>
      <c r="I48" s="1"/>
      <c r="J48" s="1"/>
      <c r="K48" s="18"/>
    </row>
    <row r="49" spans="3:11" ht="20.100000000000001" customHeight="1" x14ac:dyDescent="0.25">
      <c r="C49" s="18"/>
      <c r="D49" s="1"/>
      <c r="E49" s="1"/>
      <c r="F49" s="1"/>
      <c r="G49" s="1"/>
      <c r="H49" s="1"/>
      <c r="I49" s="1"/>
      <c r="J49" s="1"/>
      <c r="K49" s="18"/>
    </row>
    <row r="50" spans="3:11" ht="20.100000000000001" customHeight="1" x14ac:dyDescent="0.25">
      <c r="C50" s="18"/>
      <c r="D50" s="1"/>
      <c r="E50" s="1"/>
      <c r="F50" s="1"/>
      <c r="G50" s="1"/>
      <c r="H50" s="1"/>
      <c r="I50" s="1"/>
      <c r="J50" s="1"/>
      <c r="K50" s="18"/>
    </row>
    <row r="51" spans="3:11" ht="20.100000000000001" customHeight="1" x14ac:dyDescent="0.25">
      <c r="C51" s="18"/>
      <c r="D51" s="1"/>
      <c r="E51" s="1"/>
      <c r="F51" s="1"/>
      <c r="G51" s="1"/>
      <c r="H51" s="1"/>
      <c r="I51" s="1"/>
      <c r="J51" s="1"/>
      <c r="K51" s="18"/>
    </row>
    <row r="52" spans="3:11" ht="20.100000000000001" customHeight="1" x14ac:dyDescent="0.25">
      <c r="C52" s="18"/>
      <c r="D52" s="1"/>
      <c r="E52" s="1"/>
      <c r="F52" s="1"/>
      <c r="G52" s="1"/>
      <c r="H52" s="1"/>
      <c r="I52" s="1"/>
      <c r="J52" s="1"/>
      <c r="K52" s="18"/>
    </row>
    <row r="53" spans="3:11" ht="20.100000000000001" customHeight="1" x14ac:dyDescent="0.25">
      <c r="C53" s="18"/>
      <c r="D53" s="1"/>
      <c r="E53" s="1"/>
      <c r="F53" s="1"/>
      <c r="G53" s="1"/>
      <c r="H53" s="1"/>
      <c r="I53" s="1"/>
      <c r="J53" s="1"/>
      <c r="K53" s="18"/>
    </row>
    <row r="54" spans="3:11" ht="20.100000000000001" customHeight="1" x14ac:dyDescent="0.25">
      <c r="C54" s="18"/>
      <c r="D54" s="1"/>
      <c r="E54" s="1"/>
      <c r="F54" s="1"/>
      <c r="G54" s="1"/>
      <c r="H54" s="1"/>
      <c r="I54" s="1"/>
      <c r="J54" s="1"/>
      <c r="K54" s="18"/>
    </row>
    <row r="55" spans="3:11" ht="20.100000000000001" customHeight="1" x14ac:dyDescent="0.25">
      <c r="C55" s="18"/>
      <c r="D55" s="1"/>
      <c r="E55" s="1"/>
      <c r="F55" s="1"/>
      <c r="G55" s="1"/>
      <c r="H55" s="1"/>
      <c r="I55" s="1"/>
      <c r="J55" s="1"/>
      <c r="K55" s="18"/>
    </row>
    <row r="56" spans="3:11" ht="20.100000000000001" customHeight="1" x14ac:dyDescent="0.25">
      <c r="C56" s="18"/>
      <c r="D56" s="1"/>
      <c r="E56" s="1"/>
      <c r="F56" s="1"/>
      <c r="G56" s="1"/>
      <c r="H56" s="1"/>
      <c r="I56" s="1"/>
      <c r="J56" s="1"/>
      <c r="K56" s="18"/>
    </row>
    <row r="57" spans="3:11" ht="20.100000000000001" customHeight="1" x14ac:dyDescent="0.25">
      <c r="C57" s="18"/>
      <c r="D57" s="1"/>
      <c r="E57" s="1"/>
      <c r="F57" s="1"/>
      <c r="G57" s="1"/>
      <c r="H57" s="1"/>
      <c r="I57" s="1"/>
      <c r="J57" s="1"/>
      <c r="K57" s="18"/>
    </row>
    <row r="58" spans="3:11" ht="20.100000000000001" customHeight="1" x14ac:dyDescent="0.25">
      <c r="C58" s="18"/>
      <c r="D58" s="1"/>
      <c r="E58" s="24"/>
      <c r="F58" s="23"/>
      <c r="G58" s="18"/>
      <c r="H58" s="18"/>
      <c r="I58" s="18"/>
      <c r="J58" s="18"/>
      <c r="K58" s="18"/>
    </row>
    <row r="59" spans="3:11" ht="20.100000000000001" customHeight="1" x14ac:dyDescent="0.25">
      <c r="C59" s="18"/>
      <c r="D59" s="1"/>
      <c r="E59" s="1"/>
      <c r="F59" s="1"/>
      <c r="G59" s="1"/>
      <c r="H59" s="1"/>
      <c r="I59" s="1"/>
      <c r="J59" s="1"/>
      <c r="K59" s="18"/>
    </row>
    <row r="60" spans="3:11" ht="20.100000000000001" customHeight="1" x14ac:dyDescent="0.25">
      <c r="C60" s="18"/>
      <c r="D60" s="1"/>
      <c r="E60" s="1"/>
      <c r="F60" s="1"/>
      <c r="G60" s="1"/>
      <c r="H60" s="1"/>
      <c r="I60" s="1"/>
      <c r="J60" s="1"/>
      <c r="K60" s="18"/>
    </row>
    <row r="61" spans="3:11" ht="20.100000000000001" customHeight="1" x14ac:dyDescent="0.25">
      <c r="C61" s="18"/>
      <c r="D61" s="1"/>
      <c r="E61" s="1"/>
      <c r="F61" s="1"/>
      <c r="G61" s="1"/>
      <c r="H61" s="1"/>
      <c r="I61" s="1"/>
      <c r="J61" s="1"/>
      <c r="K61" s="18"/>
    </row>
    <row r="62" spans="3:11" ht="20.100000000000001" customHeight="1" x14ac:dyDescent="0.25">
      <c r="C62" s="18"/>
      <c r="D62" s="1"/>
      <c r="E62" s="1"/>
      <c r="F62" s="1"/>
      <c r="G62" s="1"/>
      <c r="H62" s="1"/>
      <c r="I62" s="1"/>
      <c r="J62" s="1"/>
      <c r="K62" s="18"/>
    </row>
    <row r="63" spans="3:11" ht="20.100000000000001" customHeight="1" x14ac:dyDescent="0.25">
      <c r="C63" s="18"/>
      <c r="D63" s="1"/>
      <c r="E63" s="1"/>
      <c r="F63" s="1"/>
      <c r="G63" s="1"/>
      <c r="H63" s="1"/>
      <c r="I63" s="1"/>
      <c r="J63" s="1"/>
      <c r="K63" s="18"/>
    </row>
    <row r="64" spans="3:11" ht="20.100000000000001" customHeight="1" x14ac:dyDescent="0.25">
      <c r="C64" s="18"/>
      <c r="D64" s="1"/>
      <c r="E64" s="1"/>
      <c r="F64" s="1"/>
      <c r="G64" s="1"/>
      <c r="H64" s="1"/>
      <c r="I64" s="1"/>
      <c r="J64" s="1"/>
      <c r="K64" s="18"/>
    </row>
    <row r="65" spans="3:11" ht="20.100000000000001" customHeight="1" x14ac:dyDescent="0.25">
      <c r="C65" s="18"/>
      <c r="D65" s="1"/>
      <c r="E65" s="1"/>
      <c r="F65" s="1"/>
      <c r="G65" s="1"/>
      <c r="H65" s="1"/>
      <c r="I65" s="1"/>
      <c r="J65" s="1"/>
      <c r="K65" s="18"/>
    </row>
    <row r="66" spans="3:11" ht="20.100000000000001" customHeight="1" x14ac:dyDescent="0.25">
      <c r="C66" s="18"/>
      <c r="D66" s="1"/>
      <c r="E66" s="1"/>
      <c r="F66" s="1"/>
      <c r="G66" s="1"/>
      <c r="H66" s="1"/>
      <c r="I66" s="1"/>
      <c r="J66" s="1"/>
      <c r="K66" s="18"/>
    </row>
    <row r="67" spans="3:11" ht="20.100000000000001" customHeight="1" x14ac:dyDescent="0.25">
      <c r="C67" s="18"/>
      <c r="D67" s="1"/>
      <c r="E67" s="1"/>
      <c r="F67" s="1"/>
      <c r="G67" s="1"/>
      <c r="H67" s="1"/>
      <c r="I67" s="1"/>
      <c r="J67" s="1"/>
      <c r="K67" s="18"/>
    </row>
    <row r="68" spans="3:11" ht="20.100000000000001" customHeight="1" x14ac:dyDescent="0.25">
      <c r="C68" s="18"/>
      <c r="D68" s="1"/>
      <c r="E68" s="1"/>
      <c r="F68" s="1"/>
      <c r="G68" s="1"/>
      <c r="H68" s="1"/>
      <c r="I68" s="1"/>
      <c r="J68" s="1"/>
      <c r="K68" s="18"/>
    </row>
    <row r="69" spans="3:11" ht="20.100000000000001" customHeight="1" x14ac:dyDescent="0.25">
      <c r="C69" s="18"/>
      <c r="D69" s="1"/>
      <c r="E69" s="1"/>
      <c r="F69" s="1"/>
      <c r="G69" s="1"/>
      <c r="H69" s="1"/>
      <c r="I69" s="1"/>
      <c r="J69" s="1"/>
      <c r="K69" s="18"/>
    </row>
    <row r="70" spans="3:11" ht="20.100000000000001" customHeight="1" x14ac:dyDescent="0.25">
      <c r="C70" s="18"/>
      <c r="D70" s="1"/>
      <c r="E70" s="1"/>
      <c r="F70" s="1"/>
      <c r="G70" s="1"/>
      <c r="H70" s="1"/>
      <c r="I70" s="1"/>
      <c r="J70" s="1"/>
      <c r="K70" s="18"/>
    </row>
    <row r="71" spans="3:11" ht="20.100000000000001" customHeight="1" x14ac:dyDescent="0.25">
      <c r="C71" s="18"/>
      <c r="D71" s="1"/>
      <c r="E71" s="1"/>
      <c r="F71" s="1"/>
      <c r="G71" s="1"/>
      <c r="H71" s="1"/>
      <c r="I71" s="1"/>
      <c r="J71" s="1"/>
      <c r="K71" s="18"/>
    </row>
    <row r="72" spans="3:11" ht="20.100000000000001" customHeight="1" x14ac:dyDescent="0.25">
      <c r="C72" s="18"/>
      <c r="D72" s="1"/>
      <c r="E72" s="1"/>
      <c r="F72" s="1"/>
      <c r="G72" s="1"/>
      <c r="H72" s="1"/>
      <c r="I72" s="1"/>
      <c r="J72" s="1"/>
      <c r="K72" s="18"/>
    </row>
    <row r="73" spans="3:11" ht="20.100000000000001" customHeight="1" x14ac:dyDescent="0.25">
      <c r="C73" s="18"/>
      <c r="D73" s="1"/>
      <c r="E73" s="1"/>
      <c r="F73" s="1"/>
      <c r="G73" s="1"/>
      <c r="H73" s="1"/>
      <c r="I73" s="1"/>
      <c r="J73" s="1"/>
      <c r="K73" s="18"/>
    </row>
    <row r="74" spans="3:11" ht="20.100000000000001" customHeight="1" x14ac:dyDescent="0.25">
      <c r="C74" s="18"/>
      <c r="D74" s="1"/>
      <c r="E74" s="1"/>
      <c r="F74" s="1"/>
      <c r="G74" s="1"/>
      <c r="H74" s="1"/>
      <c r="I74" s="1"/>
      <c r="J74" s="1"/>
      <c r="K74" s="18"/>
    </row>
    <row r="75" spans="3:11" ht="20.100000000000001" customHeight="1" x14ac:dyDescent="0.25">
      <c r="C75" s="18"/>
      <c r="D75" s="1"/>
      <c r="E75" s="1"/>
      <c r="F75" s="1"/>
      <c r="G75" s="1"/>
      <c r="H75" s="1"/>
      <c r="I75" s="1"/>
      <c r="J75" s="1"/>
      <c r="K75" s="18"/>
    </row>
    <row r="76" spans="3:11" ht="15.75" x14ac:dyDescent="0.25">
      <c r="C76" s="18"/>
      <c r="D76" s="1"/>
      <c r="E76" s="1"/>
      <c r="F76" s="1"/>
      <c r="G76" s="1"/>
      <c r="H76" s="1"/>
      <c r="I76" s="1"/>
      <c r="J76" s="1"/>
      <c r="K76" s="18"/>
    </row>
    <row r="77" spans="3:11" ht="15.75" x14ac:dyDescent="0.25">
      <c r="C77" s="18"/>
      <c r="D77" s="1"/>
      <c r="E77" s="1"/>
      <c r="F77" s="1"/>
      <c r="G77" s="1"/>
      <c r="H77" s="1"/>
      <c r="I77" s="1"/>
      <c r="J77" s="1"/>
      <c r="K77" s="18"/>
    </row>
    <row r="78" spans="3:11" ht="15.75" x14ac:dyDescent="0.25">
      <c r="C78" s="18"/>
      <c r="D78" s="1"/>
      <c r="E78" s="1"/>
      <c r="F78" s="1"/>
      <c r="G78" s="1"/>
      <c r="H78" s="1"/>
      <c r="I78" s="1"/>
      <c r="J78" s="1"/>
      <c r="K78" s="18"/>
    </row>
    <row r="79" spans="3:11" ht="15.75" x14ac:dyDescent="0.25">
      <c r="C79" s="18"/>
      <c r="D79" s="1"/>
      <c r="E79" s="1"/>
      <c r="F79" s="1"/>
      <c r="G79" s="1"/>
      <c r="H79" s="1"/>
      <c r="I79" s="1"/>
      <c r="J79" s="1"/>
      <c r="K79" s="18"/>
    </row>
    <row r="80" spans="3:11" ht="15.75" x14ac:dyDescent="0.25">
      <c r="C80" s="18"/>
      <c r="D80" s="1"/>
      <c r="E80" s="1"/>
      <c r="F80" s="1"/>
      <c r="G80" s="1"/>
      <c r="H80" s="1"/>
      <c r="I80" s="1"/>
      <c r="J80" s="1"/>
      <c r="K80" s="18"/>
    </row>
    <row r="81" spans="3:11" ht="15.75" x14ac:dyDescent="0.25">
      <c r="C81" s="18"/>
      <c r="D81" s="1"/>
      <c r="E81" s="1"/>
      <c r="F81" s="1"/>
      <c r="G81" s="1"/>
      <c r="H81" s="1"/>
      <c r="I81" s="1"/>
      <c r="J81" s="1"/>
      <c r="K81" s="18"/>
    </row>
    <row r="82" spans="3:11" ht="15.75" x14ac:dyDescent="0.25">
      <c r="C82" s="18"/>
      <c r="D82" s="1"/>
      <c r="E82" s="1"/>
      <c r="F82" s="1"/>
      <c r="G82" s="1"/>
      <c r="H82" s="1"/>
      <c r="I82" s="1"/>
      <c r="J82" s="1"/>
      <c r="K82" s="18"/>
    </row>
    <row r="83" spans="3:11" ht="15.75" x14ac:dyDescent="0.25">
      <c r="C83" s="18"/>
      <c r="D83" s="1"/>
      <c r="E83" s="1"/>
      <c r="F83" s="1"/>
      <c r="G83" s="1"/>
      <c r="H83" s="1"/>
      <c r="I83" s="1"/>
      <c r="J83" s="1"/>
      <c r="K83" s="18"/>
    </row>
    <row r="84" spans="3:11" ht="15.75" x14ac:dyDescent="0.25">
      <c r="C84" s="18"/>
      <c r="D84" s="1"/>
      <c r="E84" s="1"/>
      <c r="F84" s="1"/>
      <c r="G84" s="1"/>
      <c r="H84" s="1"/>
      <c r="I84" s="1"/>
      <c r="J84" s="1"/>
      <c r="K84" s="18"/>
    </row>
    <row r="85" spans="3:11" ht="15.75" x14ac:dyDescent="0.25">
      <c r="C85" s="18"/>
      <c r="D85" s="1"/>
      <c r="E85" s="1"/>
      <c r="F85" s="1"/>
      <c r="G85" s="1"/>
      <c r="H85" s="1"/>
      <c r="I85" s="1"/>
      <c r="J85" s="1"/>
      <c r="K85" s="18"/>
    </row>
    <row r="86" spans="3:11" x14ac:dyDescent="0.25">
      <c r="C86" s="18"/>
      <c r="D86" s="18"/>
      <c r="E86" s="18"/>
      <c r="F86" s="18"/>
      <c r="G86" s="18"/>
      <c r="H86" s="18"/>
      <c r="I86" s="18"/>
      <c r="J86" s="18"/>
      <c r="K86" s="18"/>
    </row>
    <row r="87" spans="3:11" x14ac:dyDescent="0.25">
      <c r="C87" s="18"/>
      <c r="D87" s="18"/>
      <c r="E87" s="18"/>
      <c r="F87" s="18"/>
      <c r="G87" s="18"/>
      <c r="H87" s="18"/>
      <c r="I87" s="18"/>
      <c r="J87" s="18"/>
      <c r="K87" s="1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L371"/>
  <sheetViews>
    <sheetView showGridLines="0" zoomScaleNormal="100" workbookViewId="0">
      <selection activeCell="F7" sqref="F7"/>
    </sheetView>
  </sheetViews>
  <sheetFormatPr defaultRowHeight="15.75" x14ac:dyDescent="0.25"/>
  <cols>
    <col min="1" max="1" width="30.7109375" customWidth="1"/>
    <col min="2" max="2" width="4.7109375" customWidth="1"/>
    <col min="3" max="3" width="4.7109375" style="1" customWidth="1"/>
    <col min="4" max="4" width="66.7109375" style="1" customWidth="1"/>
    <col min="5" max="5" width="47" style="1" customWidth="1"/>
    <col min="6" max="6" width="35" style="1" customWidth="1"/>
    <col min="7" max="7" width="30.85546875" style="1" customWidth="1"/>
    <col min="8" max="8" width="24.85546875" style="1" customWidth="1"/>
    <col min="9" max="9" width="29.7109375" style="1" customWidth="1"/>
    <col min="10" max="10" width="4.7109375" style="1" customWidth="1"/>
    <col min="11" max="11" width="4.7109375" customWidth="1"/>
  </cols>
  <sheetData>
    <row r="1" spans="1:10" s="33" customFormat="1" ht="30" customHeight="1" x14ac:dyDescent="0.35">
      <c r="A1" s="33" t="e" vm="1">
        <v>#VALUE!</v>
      </c>
      <c r="C1" s="33" t="s">
        <v>123</v>
      </c>
    </row>
    <row r="2" spans="1:10" s="8" customFormat="1" ht="20.100000000000001" customHeight="1" x14ac:dyDescent="0.25"/>
    <row r="3" spans="1:10" ht="20.100000000000001" customHeight="1" x14ac:dyDescent="0.25">
      <c r="A3" s="13" t="str">
        <f>HYPERLINK("#'Home'!A1", "Home")</f>
        <v>Home</v>
      </c>
      <c r="C3" s="11"/>
      <c r="D3" s="11"/>
      <c r="E3" s="11"/>
      <c r="F3" s="11"/>
      <c r="G3" s="11"/>
      <c r="H3" s="11"/>
      <c r="I3" s="11"/>
      <c r="J3" s="11"/>
    </row>
    <row r="4" spans="1:10" ht="20.100000000000001" customHeight="1" x14ac:dyDescent="0.25">
      <c r="A4" s="13" t="str">
        <f>HYPERLINK("#'Overview'!A1", "Overview")</f>
        <v>Overview</v>
      </c>
    </row>
    <row r="5" spans="1:10" ht="20.100000000000001" customHeight="1" x14ac:dyDescent="0.25">
      <c r="A5" s="13" t="str">
        <f>HYPERLINK("#'Results'!A1", "Results")</f>
        <v>Results</v>
      </c>
      <c r="D5" s="5" t="s">
        <v>91</v>
      </c>
    </row>
    <row r="6" spans="1:10" ht="20.100000000000001" customHeight="1" x14ac:dyDescent="0.25">
      <c r="A6" s="12"/>
    </row>
    <row r="7" spans="1:10" ht="20.100000000000001" customHeight="1" x14ac:dyDescent="0.25">
      <c r="A7" s="16" t="s">
        <v>1</v>
      </c>
      <c r="D7" s="1" t="s">
        <v>117</v>
      </c>
      <c r="F7" s="27" t="s">
        <v>119</v>
      </c>
      <c r="G7" s="70" t="s">
        <v>118</v>
      </c>
    </row>
    <row r="8" spans="1:10" ht="20.100000000000001" customHeight="1" x14ac:dyDescent="0.25">
      <c r="A8" s="41" t="str">
        <f>HYPERLINK("#'Input - Wastewater'!A1", "Wastewater")</f>
        <v>Wastewater</v>
      </c>
      <c r="D8" s="1" t="s">
        <v>93</v>
      </c>
      <c r="F8" s="67">
        <v>1000</v>
      </c>
      <c r="G8" s="70" t="s">
        <v>92</v>
      </c>
    </row>
    <row r="9" spans="1:10" ht="20.100000000000001" customHeight="1" x14ac:dyDescent="0.25">
      <c r="A9" s="13"/>
    </row>
    <row r="10" spans="1:10" ht="20.100000000000001" customHeight="1" x14ac:dyDescent="0.25">
      <c r="A10" s="15" t="s">
        <v>45</v>
      </c>
      <c r="D10" s="69" t="s">
        <v>115</v>
      </c>
    </row>
    <row r="11" spans="1:10" ht="20.100000000000001" customHeight="1" x14ac:dyDescent="0.25">
      <c r="A11" s="13" t="str">
        <f>HYPERLINK("#'11.1.1-2 Wastewater CH4'!A1", "10.1.1-2 Wastewater CH4")</f>
        <v>10.1.1-2 Wastewater CH4</v>
      </c>
    </row>
    <row r="12" spans="1:10" ht="20.100000000000001" customHeight="1" x14ac:dyDescent="0.25">
      <c r="A12" s="13" t="str">
        <f>HYPERLINK("#'11.1.3-4 Wastewater N2O'!A1", "10.1.3-4 Wastewater N2O")</f>
        <v>10.1.3-4 Wastewater N2O</v>
      </c>
      <c r="D12" s="59" t="s">
        <v>116</v>
      </c>
      <c r="E12" s="68"/>
      <c r="F12" s="60"/>
    </row>
    <row r="13" spans="1:10" ht="20.100000000000001" customHeight="1" x14ac:dyDescent="0.25">
      <c r="A13" s="13"/>
    </row>
    <row r="14" spans="1:10" ht="20.100000000000001" customHeight="1" x14ac:dyDescent="0.25">
      <c r="A14" s="14" t="s">
        <v>2</v>
      </c>
      <c r="D14" s="1" t="s">
        <v>94</v>
      </c>
      <c r="F14" s="67">
        <v>0.9</v>
      </c>
      <c r="G14" s="70" t="s">
        <v>95</v>
      </c>
    </row>
    <row r="15" spans="1:10" ht="20.100000000000001" customHeight="1" x14ac:dyDescent="0.25">
      <c r="A15" s="13" t="str">
        <f>HYPERLINK("#'Constants - Wastewater'!A1", "Constants - Wastewater")</f>
        <v>Constants - Wastewater</v>
      </c>
      <c r="D15" s="1" t="s">
        <v>102</v>
      </c>
      <c r="F15" s="67">
        <v>0.5</v>
      </c>
      <c r="G15" s="70" t="s">
        <v>101</v>
      </c>
    </row>
    <row r="16" spans="1:10" ht="20.100000000000001" customHeight="1" x14ac:dyDescent="0.25">
      <c r="A16" s="13" t="str">
        <f>HYPERLINK("#'Constants - Common'!A1", "Constants - Common")</f>
        <v>Constants - Common</v>
      </c>
      <c r="D16" s="1" t="s">
        <v>114</v>
      </c>
      <c r="F16" s="67">
        <v>0.2</v>
      </c>
      <c r="G16" s="70" t="s">
        <v>101</v>
      </c>
    </row>
    <row r="17" spans="1:11" ht="20.100000000000001" customHeight="1" x14ac:dyDescent="0.25">
      <c r="D17" s="1" t="s">
        <v>96</v>
      </c>
      <c r="F17" s="67">
        <v>0.1</v>
      </c>
      <c r="G17" s="70" t="s">
        <v>95</v>
      </c>
    </row>
    <row r="18" spans="1:11" ht="20.100000000000001" customHeight="1" x14ac:dyDescent="0.25"/>
    <row r="19" spans="1:11" ht="20.100000000000001" customHeight="1" x14ac:dyDescent="0.25"/>
    <row r="20" spans="1:11" ht="20.100000000000001" customHeight="1" x14ac:dyDescent="0.25">
      <c r="D20" s="69" t="s">
        <v>113</v>
      </c>
    </row>
    <row r="21" spans="1:11" ht="20.100000000000001" customHeight="1" x14ac:dyDescent="0.25">
      <c r="A21" s="13"/>
    </row>
    <row r="22" spans="1:11" ht="20.100000000000001" customHeight="1" x14ac:dyDescent="0.25">
      <c r="D22" s="59" t="s">
        <v>112</v>
      </c>
      <c r="E22" s="68"/>
      <c r="F22" s="60"/>
    </row>
    <row r="23" spans="1:11" ht="20.100000000000001" customHeight="1" x14ac:dyDescent="0.25">
      <c r="A23" s="13"/>
    </row>
    <row r="24" spans="1:11" ht="20.100000000000001" customHeight="1" x14ac:dyDescent="0.25">
      <c r="D24" s="1" t="s">
        <v>97</v>
      </c>
      <c r="F24" s="67">
        <v>100</v>
      </c>
      <c r="G24" s="70" t="s">
        <v>100</v>
      </c>
    </row>
    <row r="25" spans="1:11" ht="20.100000000000001" customHeight="1" x14ac:dyDescent="0.25">
      <c r="D25" s="1" t="s">
        <v>98</v>
      </c>
      <c r="F25" s="67">
        <v>100</v>
      </c>
      <c r="G25" s="70" t="s">
        <v>100</v>
      </c>
    </row>
    <row r="26" spans="1:11" ht="20.100000000000001" customHeight="1" x14ac:dyDescent="0.25">
      <c r="D26" s="1" t="s">
        <v>99</v>
      </c>
      <c r="F26" s="67">
        <v>100</v>
      </c>
      <c r="G26" s="70" t="s">
        <v>100</v>
      </c>
    </row>
    <row r="27" spans="1:11" ht="20.100000000000001" customHeight="1" x14ac:dyDescent="0.25"/>
    <row r="28" spans="1:11" ht="20.100000000000001" customHeight="1" x14ac:dyDescent="0.25"/>
    <row r="29" spans="1:11" ht="20.100000000000001" customHeight="1" x14ac:dyDescent="0.25">
      <c r="A29" s="13"/>
      <c r="K29" s="46"/>
    </row>
    <row r="30" spans="1:11" ht="20.100000000000001" customHeight="1" x14ac:dyDescent="0.25">
      <c r="A30" s="13"/>
      <c r="K30" s="46"/>
    </row>
    <row r="31" spans="1:11" ht="20.100000000000001" customHeight="1" x14ac:dyDescent="0.25">
      <c r="A31" s="32"/>
      <c r="K31" s="46"/>
    </row>
    <row r="32" spans="1:11" ht="20.100000000000001" customHeight="1" x14ac:dyDescent="0.25">
      <c r="A32" s="32"/>
      <c r="K32" s="46"/>
    </row>
    <row r="33" spans="1:12" ht="20.100000000000001" customHeight="1" x14ac:dyDescent="0.25">
      <c r="A33" s="13"/>
      <c r="K33" s="46"/>
    </row>
    <row r="34" spans="1:12" ht="20.100000000000001" customHeight="1" x14ac:dyDescent="0.25">
      <c r="K34" s="46"/>
    </row>
    <row r="35" spans="1:12" ht="20.100000000000001" customHeight="1" x14ac:dyDescent="0.25"/>
    <row r="36" spans="1:12" ht="20.100000000000001" customHeight="1" x14ac:dyDescent="0.25">
      <c r="L36" s="46"/>
    </row>
    <row r="37" spans="1:12" ht="20.100000000000001" customHeight="1" x14ac:dyDescent="0.25">
      <c r="L37" s="46"/>
    </row>
    <row r="38" spans="1:12" ht="20.100000000000001" customHeight="1" x14ac:dyDescent="0.25">
      <c r="C38" s="45"/>
    </row>
    <row r="39" spans="1:12" ht="20.100000000000001" customHeight="1" x14ac:dyDescent="0.25">
      <c r="A39" s="13"/>
      <c r="C39" s="45"/>
      <c r="J39" s="45"/>
    </row>
    <row r="40" spans="1:12" s="46" customFormat="1" ht="20.100000000000001" customHeight="1" x14ac:dyDescent="0.25">
      <c r="C40" s="1"/>
      <c r="D40" s="1"/>
      <c r="E40" s="1"/>
      <c r="F40" s="1"/>
      <c r="G40" s="1"/>
      <c r="H40" s="1"/>
      <c r="I40" s="1"/>
      <c r="J40" s="1"/>
    </row>
    <row r="41" spans="1:12" s="46" customFormat="1" ht="20.100000000000001" customHeight="1" x14ac:dyDescent="0.25">
      <c r="A41" s="47"/>
      <c r="C41" s="1"/>
      <c r="D41" s="1"/>
      <c r="E41" s="1"/>
      <c r="F41" s="1"/>
      <c r="G41" s="1"/>
      <c r="H41" s="1"/>
      <c r="I41" s="1"/>
      <c r="J41" s="1"/>
      <c r="L41" s="46" t="s">
        <v>85</v>
      </c>
    </row>
    <row r="42" spans="1:12" ht="20.100000000000001" customHeight="1" x14ac:dyDescent="0.25"/>
    <row r="43" spans="1:12" ht="20.100000000000001" customHeight="1" x14ac:dyDescent="0.25"/>
    <row r="44" spans="1:12" ht="20.100000000000001" customHeight="1" x14ac:dyDescent="0.25">
      <c r="A44" s="51"/>
    </row>
    <row r="45" spans="1:12" ht="20.100000000000001" customHeight="1" x14ac:dyDescent="0.25"/>
    <row r="46" spans="1:12" ht="20.100000000000001" customHeight="1" x14ac:dyDescent="0.25"/>
    <row r="47" spans="1:12" ht="20.100000000000001" customHeight="1" x14ac:dyDescent="0.25"/>
    <row r="48" spans="1:12" ht="20.100000000000001" customHeight="1" x14ac:dyDescent="0.25"/>
    <row r="49" spans="4:5" ht="20.100000000000001" customHeight="1" x14ac:dyDescent="0.25"/>
    <row r="50" spans="4:5" ht="20.100000000000001" customHeight="1" x14ac:dyDescent="0.25"/>
    <row r="51" spans="4:5" ht="20.100000000000001" customHeight="1" x14ac:dyDescent="0.25"/>
    <row r="52" spans="4:5" ht="20.100000000000001" customHeight="1" x14ac:dyDescent="0.25"/>
    <row r="53" spans="4:5" ht="20.100000000000001" customHeight="1" x14ac:dyDescent="0.25"/>
    <row r="54" spans="4:5" ht="20.100000000000001" customHeight="1" x14ac:dyDescent="0.25">
      <c r="D54" s="1" t="s">
        <v>104</v>
      </c>
    </row>
    <row r="55" spans="4:5" ht="20.100000000000001" customHeight="1" x14ac:dyDescent="0.25">
      <c r="E55" s="1" t="s">
        <v>110</v>
      </c>
    </row>
    <row r="56" spans="4:5" ht="20.100000000000001" customHeight="1" x14ac:dyDescent="0.25">
      <c r="D56" s="1" t="s">
        <v>103</v>
      </c>
    </row>
    <row r="57" spans="4:5" ht="20.100000000000001" customHeight="1" x14ac:dyDescent="0.25">
      <c r="D57" s="1">
        <f>F8*(F14*(1-F15)-F17)</f>
        <v>350</v>
      </c>
    </row>
    <row r="58" spans="4:5" ht="20.100000000000001" customHeight="1" x14ac:dyDescent="0.25"/>
    <row r="59" spans="4:5" ht="20.100000000000001" customHeight="1" x14ac:dyDescent="0.25">
      <c r="E59" s="1" t="s">
        <v>110</v>
      </c>
    </row>
    <row r="60" spans="4:5" ht="20.100000000000001" customHeight="1" x14ac:dyDescent="0.25">
      <c r="D60" s="1" t="s">
        <v>105</v>
      </c>
    </row>
    <row r="61" spans="4:5" ht="20.100000000000001" customHeight="1" x14ac:dyDescent="0.25"/>
    <row r="62" spans="4:5" ht="20.100000000000001" customHeight="1" x14ac:dyDescent="0.25">
      <c r="D62" s="1" t="s">
        <v>108</v>
      </c>
    </row>
    <row r="63" spans="4:5" ht="20.100000000000001" customHeight="1" x14ac:dyDescent="0.25"/>
    <row r="64" spans="4:5" ht="20.100000000000001" customHeight="1" x14ac:dyDescent="0.25"/>
    <row r="65" spans="4:5" ht="20.100000000000001" customHeight="1" x14ac:dyDescent="0.25">
      <c r="D65" s="1" t="s">
        <v>107</v>
      </c>
      <c r="E65" s="1" t="s">
        <v>109</v>
      </c>
    </row>
    <row r="66" spans="4:5" ht="20.100000000000001" customHeight="1" x14ac:dyDescent="0.25"/>
    <row r="67" spans="4:5" ht="20.100000000000001" customHeight="1" x14ac:dyDescent="0.25"/>
    <row r="68" spans="4:5" ht="20.100000000000001" customHeight="1" x14ac:dyDescent="0.25">
      <c r="D68" s="1" t="s">
        <v>106</v>
      </c>
    </row>
    <row r="69" spans="4:5" ht="20.100000000000001" customHeight="1" x14ac:dyDescent="0.25"/>
    <row r="70" spans="4:5" ht="20.100000000000001" customHeight="1" x14ac:dyDescent="0.25">
      <c r="D70" s="1" t="s">
        <v>111</v>
      </c>
    </row>
    <row r="71" spans="4:5" ht="20.100000000000001" customHeight="1" x14ac:dyDescent="0.25"/>
    <row r="72" spans="4:5" ht="20.100000000000001" customHeight="1" x14ac:dyDescent="0.25"/>
    <row r="73" spans="4:5" ht="20.100000000000001" customHeight="1" x14ac:dyDescent="0.25"/>
    <row r="74" spans="4:5" ht="20.100000000000001" customHeight="1" x14ac:dyDescent="0.25"/>
    <row r="75" spans="4:5" ht="20.100000000000001" customHeight="1" x14ac:dyDescent="0.25"/>
    <row r="76" spans="4:5" ht="20.100000000000001" customHeight="1" x14ac:dyDescent="0.25"/>
    <row r="77" spans="4:5" ht="20.100000000000001" customHeight="1" x14ac:dyDescent="0.25"/>
    <row r="78" spans="4:5" ht="20.100000000000001" customHeight="1" x14ac:dyDescent="0.25"/>
    <row r="79" spans="4:5" ht="20.100000000000001" customHeight="1" x14ac:dyDescent="0.25"/>
    <row r="80" spans="4:5"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71" spans="4:4" x14ac:dyDescent="0.25">
      <c r="D371" s="38"/>
    </row>
  </sheetData>
  <conditionalFormatting sqref="D39:H43">
    <cfRule type="cellIs" dxfId="16" priority="1" operator="lessThan">
      <formula>0</formula>
    </cfRule>
  </conditionalFormatting>
  <conditionalFormatting sqref="F148:F149">
    <cfRule type="cellIs" dxfId="15" priority="21" operator="lessThan">
      <formula>0</formula>
    </cfRule>
  </conditionalFormatting>
  <conditionalFormatting sqref="F160:F161">
    <cfRule type="cellIs" dxfId="14" priority="20" operator="lessThan">
      <formula>0</formula>
    </cfRule>
  </conditionalFormatting>
  <conditionalFormatting sqref="F172:F173">
    <cfRule type="cellIs" dxfId="13" priority="19" operator="lessThan">
      <formula>0</formula>
    </cfRule>
  </conditionalFormatting>
  <conditionalFormatting sqref="F260:F261">
    <cfRule type="cellIs" dxfId="12" priority="94" operator="lessThan">
      <formula>0</formula>
    </cfRule>
  </conditionalFormatting>
  <conditionalFormatting sqref="F265:F266">
    <cfRule type="cellIs" dxfId="11" priority="93" operator="lessThan">
      <formula>0</formula>
    </cfRule>
  </conditionalFormatting>
  <conditionalFormatting sqref="F270:F271">
    <cfRule type="cellIs" dxfId="10" priority="92" operator="lessThan">
      <formula>0</formula>
    </cfRule>
  </conditionalFormatting>
  <conditionalFormatting sqref="F294:F295">
    <cfRule type="cellIs" dxfId="9" priority="86" operator="lessThan">
      <formula>0</formula>
    </cfRule>
  </conditionalFormatting>
  <conditionalFormatting sqref="F299:F300">
    <cfRule type="cellIs" dxfId="8" priority="85" operator="lessThan">
      <formula>0</formula>
    </cfRule>
  </conditionalFormatting>
  <conditionalFormatting sqref="F304:F305">
    <cfRule type="cellIs" dxfId="7" priority="84" operator="lessThan">
      <formula>0</formula>
    </cfRule>
  </conditionalFormatting>
  <conditionalFormatting sqref="I65:I69">
    <cfRule type="cellIs" dxfId="6" priority="6" operator="lessThan">
      <formula>0</formula>
    </cfRule>
  </conditionalFormatting>
  <conditionalFormatting sqref="I73 I132">
    <cfRule type="cellIs" dxfId="5" priority="75" operator="lessThan">
      <formula>0</formula>
    </cfRule>
  </conditionalFormatting>
  <conditionalFormatting sqref="I84:I86">
    <cfRule type="cellIs" dxfId="4" priority="5" operator="lessThan">
      <formula>0</formula>
    </cfRule>
  </conditionalFormatting>
  <conditionalFormatting sqref="I90:I93">
    <cfRule type="cellIs" dxfId="3" priority="4" operator="lessThan">
      <formula>0</formula>
    </cfRule>
  </conditionalFormatting>
  <conditionalFormatting sqref="I97:I101">
    <cfRule type="cellIs" dxfId="2" priority="2" operator="lessThan">
      <formula>0</formula>
    </cfRule>
  </conditionalFormatting>
  <conditionalFormatting sqref="J8 I51:I52 H53:H55 I54 I56:I58 I60:I61 I212 I218 E220:G220">
    <cfRule type="cellIs" dxfId="1" priority="80" operator="lessThan">
      <formula>0</formula>
    </cfRule>
  </conditionalFormatting>
  <conditionalFormatting sqref="J37 I45 F136:F137">
    <cfRule type="cellIs" dxfId="0" priority="22" operator="lessThan">
      <formula>0</formula>
    </cfRule>
  </conditionalFormatting>
  <dataValidations count="5">
    <dataValidation type="list" allowBlank="1" showInputMessage="1" showErrorMessage="1" sqref="D287" xr:uid="{4E913AB3-F90B-4C35-BCE1-5DBB8FC05107}">
      <formula1>INDIRECT("Table_SourceData_PoultryMMSStage1[MMS]")</formula1>
    </dataValidation>
    <dataValidation type="list" allowBlank="1" showInputMessage="1" showErrorMessage="1" sqref="E235" xr:uid="{9FB53635-991F-44AA-A123-E8ABEF9EE0A6}">
      <formula1>INDIRECT("Table_SourceData_Dairy_ProductionSystemTemplates[Area]")</formula1>
    </dataValidation>
    <dataValidation type="list" allowBlank="1" showInputMessage="1" showErrorMessage="1" sqref="E259 E264 E269 E303 E298 E293 E171 E159 E135 E147" xr:uid="{00A4EA4C-90D3-4150-979D-4D71C7F37A31}">
      <formula1>"Yes, No"</formula1>
    </dataValidation>
    <dataValidation type="list" allowBlank="1" showInputMessage="1" showErrorMessage="1" sqref="E75" xr:uid="{DBA884B0-B52E-420E-8FD2-21B082EB75E2}">
      <formula1>INDIRECT("Table_SourceData_Swine_IrrigationMethods[Irrigation method]")</formula1>
    </dataValidation>
    <dataValidation type="list" allowBlank="1" showInputMessage="1" showErrorMessage="1" sqref="F7" xr:uid="{F398758C-0972-41E2-8DB7-97D63CA8C0C6}">
      <formula1>INDIRECT("Table_SourceData_MCF_Wastewater[Facility type t]")</formula1>
    </dataValidation>
  </dataValidation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L342"/>
  <sheetViews>
    <sheetView showGridLines="0" zoomScaleNormal="100" workbookViewId="0">
      <selection activeCell="D5" sqref="D5"/>
    </sheetView>
  </sheetViews>
  <sheetFormatPr defaultRowHeight="15.75" x14ac:dyDescent="0.25"/>
  <cols>
    <col min="1" max="1" width="30.7109375" customWidth="1"/>
    <col min="2" max="2" width="4.7109375" customWidth="1"/>
    <col min="3" max="3" width="4.7109375" style="1" customWidth="1"/>
    <col min="4" max="4" width="46.28515625" style="1" customWidth="1"/>
    <col min="5" max="11" width="30.7109375" style="1" customWidth="1"/>
    <col min="12" max="12" width="4.7109375" style="1" customWidth="1"/>
  </cols>
  <sheetData>
    <row r="1" spans="1:12" s="7" customFormat="1" ht="30" customHeight="1" x14ac:dyDescent="0.35">
      <c r="A1" s="33" t="e" vm="1">
        <v>#VALUE!</v>
      </c>
      <c r="C1" s="7" t="s">
        <v>124</v>
      </c>
    </row>
    <row r="2" spans="1:12" s="8" customFormat="1" ht="20.100000000000001" customHeight="1" x14ac:dyDescent="0.25"/>
    <row r="3" spans="1:12" ht="20.100000000000001" customHeight="1" x14ac:dyDescent="0.25">
      <c r="A3" s="13" t="str">
        <f>HYPERLINK("#'Home'!A1", "Home")</f>
        <v>Home</v>
      </c>
      <c r="C3" s="3"/>
      <c r="D3" s="3" t="s">
        <v>49</v>
      </c>
      <c r="E3" s="3"/>
      <c r="F3" s="3"/>
      <c r="G3" s="3"/>
      <c r="H3" s="3"/>
      <c r="I3" s="3"/>
      <c r="J3" s="3"/>
      <c r="K3" s="3"/>
      <c r="L3" s="3"/>
    </row>
    <row r="4" spans="1:12" ht="20.100000000000001" customHeight="1" x14ac:dyDescent="0.25">
      <c r="A4" s="13" t="str">
        <f>HYPERLINK("#'Overview'!A1", "Overview")</f>
        <v>Overview</v>
      </c>
    </row>
    <row r="5" spans="1:12" ht="20.100000000000001" customHeight="1" x14ac:dyDescent="0.25">
      <c r="A5" s="13" t="str">
        <f>HYPERLINK("#'Results'!A1", "Results")</f>
        <v>Results</v>
      </c>
      <c r="D5" s="5" t="str" cm="1">
        <f t="array" ref="D5">Wastewater_Methane_Equations.VEERG_11_1_1_1__1_MethaneEmissionsFromWastewaterTreatment_Title()</f>
        <v>Methane emissions from wastewater treatment</v>
      </c>
    </row>
    <row r="6" spans="1:12" ht="20.100000000000001" customHeight="1" x14ac:dyDescent="0.25">
      <c r="A6" s="12"/>
      <c r="D6" s="4" t="str" cm="1">
        <f t="array" ref="D6">Wastewater_Methane_Equations.VEERG_11_1_1_1__1_MethaneEmissionsFromWastewaterTreatment_Source()</f>
        <v>VEERG 2026: 11.1.1.1, Equation (1)</v>
      </c>
    </row>
    <row r="7" spans="1:12" ht="20.100000000000001" customHeight="1" x14ac:dyDescent="0.25">
      <c r="A7" s="16" t="s">
        <v>1</v>
      </c>
      <c r="D7" s="31" t="str" cm="1">
        <f t="array" ref="D7">Wastewater_Methane_Equations.VEERG_11_1_1_1__1_MethaneEmissionsFromWastewaterTreatment_Variation()</f>
        <v xml:space="preserve">VARIATION ON SOURCE: Changed units of EF_ww, EF_Sludge and EF_flared from CO2e to CH4 to match data in Table </v>
      </c>
    </row>
    <row r="8" spans="1:12" ht="20.100000000000001" customHeight="1" x14ac:dyDescent="0.25">
      <c r="A8" s="13" t="str">
        <f>HYPERLINK("#'Input - Wastewater'!A1", "Wastewater")</f>
        <v>Wastewater</v>
      </c>
      <c r="D8" s="10" t="s">
        <v>10</v>
      </c>
      <c r="E8" s="10" t="str" cm="1">
        <f t="array" aca="1" ref="E8" ca="1">Common_InputFunctions.Utility_DisplayFunctionName(E30)</f>
        <v>=Wastewater_Methane_Equations.VEERG_11_1_1_1__1_MethaneEmissionsFromWastewaterTreatment</v>
      </c>
    </row>
    <row r="9" spans="1:12" ht="20.100000000000001" customHeight="1" x14ac:dyDescent="0.25">
      <c r="A9" s="13"/>
    </row>
    <row r="10" spans="1:12" ht="20.100000000000001" customHeight="1" x14ac:dyDescent="0.25">
      <c r="A10" s="15" t="s">
        <v>45</v>
      </c>
    </row>
    <row r="11" spans="1:12" ht="20.100000000000001" customHeight="1" x14ac:dyDescent="0.25">
      <c r="A11" s="65" t="str">
        <f>HYPERLINK("#'11.1.1-2 Wastewater CH4'!A1", "10.1.1-2 Wastewater CH4")</f>
        <v>10.1.1-2 Wastewater CH4</v>
      </c>
      <c r="D11" s="29" t="s">
        <v>13</v>
      </c>
      <c r="E11" s="1" t="str" cm="1">
        <f t="array" ref="E11">Wastewater_Methane_Equations.VEERG_11_1_1_1__1_MethaneEmissionsFromWastewaterTreatment_Variable()</f>
        <v>E_CH4</v>
      </c>
    </row>
    <row r="12" spans="1:12" ht="20.100000000000001" customHeight="1" x14ac:dyDescent="0.25">
      <c r="A12" s="13" t="str">
        <f>HYPERLINK("#'11.1.3-4 Wastewater N2O'!A1", "10.1.3-4 Wastewater N2O")</f>
        <v>10.1.3-4 Wastewater N2O</v>
      </c>
      <c r="D12" s="29" t="s">
        <v>5</v>
      </c>
      <c r="E12" s="30" t="str" cm="1">
        <f t="array" ref="E12">Wastewater_Methane_Equations.VEERG_11_1_1_1__1_MethaneEmissionsFromWastewaterTreatment_Unit()</f>
        <v>t CH4</v>
      </c>
    </row>
    <row r="13" spans="1:12" ht="20.100000000000001" customHeight="1" x14ac:dyDescent="0.25">
      <c r="A13" s="13"/>
    </row>
    <row r="14" spans="1:12" ht="20.100000000000001" customHeight="1" x14ac:dyDescent="0.25">
      <c r="A14" s="14" t="s">
        <v>2</v>
      </c>
      <c r="D14" s="48" t="str" cm="1">
        <f t="array" ref="D14:E28">_xlfn.CHOOSECOLS(Wastewater_Methane_Equations.VEERG_11_1_1_1__1_MethaneEmissionsFromWastewaterTreatment_Arguments(),1,2)</f>
        <v>W_t</v>
      </c>
      <c r="E14" s="50" t="str">
        <v>quantity of wastewater treated at facility type t</v>
      </c>
      <c r="F14" s="64"/>
      <c r="G14" s="49"/>
      <c r="H14" s="48" t="str" cm="1">
        <f t="array" ref="H14:I28">_xlfn.CHOOSECOLS(Wastewater_Methane_Equations.VEERG_11_1_1_1__1_MethaneEmissionsFromWastewaterTreatment_Arguments(),3,4)</f>
        <v>m3</v>
      </c>
      <c r="I14" s="44" t="str">
        <v>Input</v>
      </c>
      <c r="J14" s="48">
        <f>X_Cell_Wastewater_QuantityInM3</f>
        <v>1000</v>
      </c>
    </row>
    <row r="15" spans="1:12" ht="20.100000000000001" customHeight="1" x14ac:dyDescent="0.25">
      <c r="A15" s="13" t="str">
        <f>HYPERLINK("#'Constants - Wastewater'!A1", "Constants - Wastewater")</f>
        <v>Constants - Wastewater</v>
      </c>
      <c r="D15" s="48" t="str">
        <v>COD_in</v>
      </c>
      <c r="E15" s="50" t="str">
        <v>average inlet Chemical Oxygen Demand concentration of wastewater</v>
      </c>
      <c r="F15" s="64"/>
      <c r="G15" s="49"/>
      <c r="H15" s="48" t="str">
        <v>kg COD/m3</v>
      </c>
      <c r="I15" s="44" t="str">
        <v>Input</v>
      </c>
      <c r="J15" s="48">
        <f>X_Cell_Wastewater_InletCOD</f>
        <v>0.9</v>
      </c>
    </row>
    <row r="16" spans="1:12" ht="20.100000000000001" customHeight="1" x14ac:dyDescent="0.25">
      <c r="A16" s="13" t="str">
        <f>HYPERLINK("#'Constants - Common'!A1", "Constants - Common")</f>
        <v>Constants - Common</v>
      </c>
      <c r="D16" s="48" t="str">
        <v>F_sludge</v>
      </c>
      <c r="E16" s="50" t="str">
        <v>fraction of COD removed from wastewater as sludge</v>
      </c>
      <c r="F16" s="64"/>
      <c r="G16" s="49"/>
      <c r="H16" s="48" t="str">
        <v>fraction</v>
      </c>
      <c r="I16" s="44" t="str">
        <v>Input</v>
      </c>
      <c r="J16" s="48">
        <f>X_Cell_Wastewater_FractionCODRemovedAsSludge</f>
        <v>0.5</v>
      </c>
    </row>
    <row r="17" spans="1:10" ht="20.100000000000001" customHeight="1" x14ac:dyDescent="0.25">
      <c r="D17" s="48" t="str">
        <v>COD_out</v>
      </c>
      <c r="E17" s="50" t="str">
        <v>average outlet COD concentration of wastewater</v>
      </c>
      <c r="F17" s="64"/>
      <c r="G17" s="49"/>
      <c r="H17" s="48" t="str">
        <v>kg COD/m3</v>
      </c>
      <c r="I17" s="44" t="str">
        <v>Input</v>
      </c>
      <c r="J17" s="48">
        <f>X_Cell_Wastewater_OutletCOD</f>
        <v>0.1</v>
      </c>
    </row>
    <row r="18" spans="1:10" ht="20.100000000000001" customHeight="1" x14ac:dyDescent="0.25">
      <c r="D18" s="48" t="str">
        <v>CF_ww_t</v>
      </c>
      <c r="E18" s="50" t="str">
        <v>methane correction factor for facility type t used to treat wastewater</v>
      </c>
      <c r="F18" s="64"/>
      <c r="G18" s="49"/>
      <c r="H18" s="48" t="str">
        <v>fraction</v>
      </c>
      <c r="I18" s="43" t="str">
        <v>Constant</v>
      </c>
      <c r="J18" s="48" cm="1">
        <f t="array" ref="J18">Common_InputFunctions.Utility_LookupValueInTableNumber(J28,Table_SourceData_MCF_Wastewater[Facility type t],Table_SourceData_MCF_Wastewater[CFww,t])</f>
        <v>0.3</v>
      </c>
    </row>
    <row r="19" spans="1:10" ht="20.100000000000001" customHeight="1" x14ac:dyDescent="0.25">
      <c r="D19" s="48" t="str">
        <v>EF_ww</v>
      </c>
      <c r="E19" s="50" t="str">
        <v>methane emission factor for wastewater</v>
      </c>
      <c r="F19" s="64"/>
      <c r="G19" s="49"/>
      <c r="H19" s="48" t="str">
        <v>kg CH4/kg COD</v>
      </c>
      <c r="I19" s="43" t="str">
        <v>Constant</v>
      </c>
      <c r="J19" s="48">
        <f>Waste_MethaneEmissionFactorWastewater_Data</f>
        <v>0.25</v>
      </c>
    </row>
    <row r="20" spans="1:10" ht="20.100000000000001" customHeight="1" x14ac:dyDescent="0.25">
      <c r="D20" s="48" t="str">
        <v>F_removed</v>
      </c>
      <c r="E20" s="50" t="str">
        <v>fraction of COD removed from the wastewater treatment facility and transferred elsewhere</v>
      </c>
      <c r="F20" s="64"/>
      <c r="G20" s="49"/>
      <c r="H20" s="48" t="str">
        <v>fraction</v>
      </c>
      <c r="I20" s="44" t="str">
        <v>Input</v>
      </c>
      <c r="J20" s="48">
        <f>X_Cell_Wastewater_FractionCODRemovedAndTransferred</f>
        <v>0.2</v>
      </c>
    </row>
    <row r="21" spans="1:10" ht="20.100000000000001" customHeight="1" x14ac:dyDescent="0.25">
      <c r="A21" s="13"/>
      <c r="D21" s="48" t="str">
        <v>CF_sludge_t</v>
      </c>
      <c r="E21" s="50" t="str">
        <v>methane correction factor for facility type t used to treat sludge</v>
      </c>
      <c r="F21" s="64"/>
      <c r="G21" s="49"/>
      <c r="H21" s="48" t="str">
        <v>fraction</v>
      </c>
      <c r="I21" s="43" t="str">
        <v>Constant</v>
      </c>
      <c r="J21" s="48" cm="1">
        <f t="array" ref="J21">Common_InputFunctions.Utility_LookupValueInTableNumber(J28,Table_SourceData_MCF_Sludge[Facility type t],Table_SourceData_MCF_Sludge[CFsludge,t])</f>
        <v>0.3</v>
      </c>
    </row>
    <row r="22" spans="1:10" ht="20.100000000000001" customHeight="1" x14ac:dyDescent="0.25">
      <c r="D22" s="48" t="str">
        <v>EF_sludge</v>
      </c>
      <c r="E22" s="50" t="str">
        <v>methane emission factor for sludge</v>
      </c>
      <c r="F22" s="64"/>
      <c r="G22" s="49"/>
      <c r="H22" s="48" t="str">
        <v>kg CH4/kg COD</v>
      </c>
      <c r="I22" s="43" t="str">
        <v>Constant</v>
      </c>
      <c r="J22" s="48">
        <f>Waste_MethaneEmissionFactorSludge_Data</f>
        <v>0.25</v>
      </c>
    </row>
    <row r="23" spans="1:10" ht="20.100000000000001" customHeight="1" x14ac:dyDescent="0.25">
      <c r="A23" s="13"/>
      <c r="D23" s="48" t="str">
        <v>Q_cap</v>
      </c>
      <c r="E23" s="50" t="str">
        <v>quantity of methane in sludge biogas captured for combustion</v>
      </c>
      <c r="F23" s="64"/>
      <c r="G23" s="49"/>
      <c r="H23" s="48" t="str">
        <v>m3 CH4</v>
      </c>
      <c r="I23" s="44" t="str">
        <v>Input</v>
      </c>
      <c r="J23" s="48">
        <f>X_Cell_Wastewater_SludgeMethaneCapturedForCombustion</f>
        <v>100</v>
      </c>
    </row>
    <row r="24" spans="1:10" ht="20.100000000000001" customHeight="1" x14ac:dyDescent="0.25">
      <c r="D24" s="48" t="str">
        <v>Q_flared</v>
      </c>
      <c r="E24" s="50" t="str">
        <v>quantity of methane in sludge biogas flared by the treatment facility</v>
      </c>
      <c r="F24" s="64"/>
      <c r="G24" s="49"/>
      <c r="H24" s="48" t="str">
        <v>m3 CH4</v>
      </c>
      <c r="I24" s="44" t="str">
        <v>Input</v>
      </c>
      <c r="J24" s="48">
        <f>X_Cell_Wastewater_SludgeMethaneFlared</f>
        <v>100</v>
      </c>
    </row>
    <row r="25" spans="1:10" ht="20.100000000000001" customHeight="1" x14ac:dyDescent="0.25">
      <c r="D25" s="48" t="str">
        <v>Q_out</v>
      </c>
      <c r="E25" s="50" t="str">
        <v>quantity of methane in sludge biogas transferred out of the treatment facility</v>
      </c>
      <c r="F25" s="64"/>
      <c r="G25" s="49"/>
      <c r="H25" s="48" t="str">
        <v>m3 CH4</v>
      </c>
      <c r="I25" s="44" t="str">
        <v>Input</v>
      </c>
      <c r="J25" s="48">
        <f>X_Cell_Wastewater_SludgeMethaneTransferred</f>
        <v>100</v>
      </c>
    </row>
    <row r="26" spans="1:10" ht="20.100000000000001" customHeight="1" x14ac:dyDescent="0.25">
      <c r="D26" s="48" t="str">
        <v>EC_flared</v>
      </c>
      <c r="E26" s="50" t="str">
        <v>energy content factor of methane in sludge biogas flared</v>
      </c>
      <c r="F26" s="64"/>
      <c r="G26" s="49"/>
      <c r="H26" s="48" t="str">
        <v>GJ/m3</v>
      </c>
      <c r="I26" s="43" t="str">
        <v>Constant</v>
      </c>
      <c r="J26" s="48">
        <f>Waste_EnergyContentFactorSludgeBiogasFlared_Data</f>
        <v>3.7699999999999997E-2</v>
      </c>
    </row>
    <row r="27" spans="1:10" ht="20.100000000000001" customHeight="1" x14ac:dyDescent="0.25">
      <c r="D27" s="48" t="str">
        <v>EF_flaredCH4</v>
      </c>
      <c r="E27" s="50" t="str">
        <v>methane emission factor for sludge biogas flared</v>
      </c>
      <c r="F27" s="64"/>
      <c r="G27" s="49"/>
      <c r="H27" s="48" t="str">
        <v>kg CH4/GJ</v>
      </c>
      <c r="I27" s="43" t="str">
        <v>Constant</v>
      </c>
      <c r="J27" s="48">
        <f>Waste_MethaneEmissionFactorSludgeBiogasFlared_Data</f>
        <v>0.22889999999999999</v>
      </c>
    </row>
    <row r="28" spans="1:10" ht="20.100000000000001" customHeight="1" x14ac:dyDescent="0.25">
      <c r="D28" s="48" t="str">
        <v>t</v>
      </c>
      <c r="E28" s="50" t="str">
        <v>treatment facility type</v>
      </c>
      <c r="F28" s="64"/>
      <c r="G28" s="49"/>
      <c r="H28" s="48" t="str">
        <v/>
      </c>
      <c r="I28" s="44" t="str">
        <v>Input</v>
      </c>
      <c r="J28" s="48" t="str">
        <f>X_Cell_Wastewater_TreatmentFacilityType</f>
        <v>Unmanaged aerobic treatment</v>
      </c>
    </row>
    <row r="29" spans="1:10" ht="20.100000000000001" customHeight="1" x14ac:dyDescent="0.25"/>
    <row r="30" spans="1:10" ht="20.100000000000001" customHeight="1" x14ac:dyDescent="0.25">
      <c r="D30" s="61" t="s">
        <v>120</v>
      </c>
      <c r="E30" s="63" cm="1">
        <f t="array" ref="E30">Wastewater_Methane_Equations.VEERG_11_1_1_1__1_MethaneEmissionsFromWastewaterTreatment(J14,J15,J16,J17,J18,J19,J20,J21,J22,J23,J24,J25,J26,J27)</f>
        <v>4.7159433000000001E-2</v>
      </c>
      <c r="F30" s="66" t="str">
        <f>$E$12</f>
        <v>t CH4</v>
      </c>
    </row>
    <row r="31" spans="1:10" ht="20.100000000000001" customHeight="1" x14ac:dyDescent="0.25"/>
    <row r="32" spans="1:10" ht="20.100000000000001" customHeight="1" x14ac:dyDescent="0.25">
      <c r="D32" s="71" t="str" cm="1">
        <f t="array" ref="D32:E33">Common_Equations.Common_ConvertCH4ToCO2e_Arguments()</f>
        <v>ECH4</v>
      </c>
      <c r="E32" s="72" t="str">
        <v>Methane emissions (t CH4)</v>
      </c>
      <c r="F32" s="73"/>
      <c r="G32" s="28">
        <f>E30</f>
        <v>4.7159433000000001E-2</v>
      </c>
    </row>
    <row r="33" spans="4:7" ht="20.100000000000001" customHeight="1" x14ac:dyDescent="0.25">
      <c r="D33" s="71" t="str">
        <v>GWPCH4</v>
      </c>
      <c r="E33" s="72" t="str">
        <v>Global warming potential for methane (t CO2-e / t CH4)</v>
      </c>
      <c r="F33" s="73"/>
      <c r="G33" s="28">
        <v>28</v>
      </c>
    </row>
    <row r="34" spans="4:7" ht="20.100000000000001" customHeight="1" x14ac:dyDescent="0.25"/>
    <row r="35" spans="4:7" ht="20.100000000000001" customHeight="1" x14ac:dyDescent="0.25">
      <c r="D35" s="62" t="s">
        <v>121</v>
      </c>
      <c r="E35" s="62" cm="1">
        <f t="array" ref="E35">Common_Equations.Common_ConvertN2OToCO2e(G32,G33)</f>
        <v>1.3204641239999999</v>
      </c>
      <c r="F35" s="74" t="str" cm="1">
        <f t="array" ref="F35">Common_Equations.Common_ConvertN2OToCO2e_Unit()</f>
        <v>t CO2e</v>
      </c>
    </row>
    <row r="36" spans="4:7" ht="20.100000000000001" customHeight="1" x14ac:dyDescent="0.25"/>
    <row r="37" spans="4:7" ht="20.100000000000001" customHeight="1" x14ac:dyDescent="0.25"/>
    <row r="38" spans="4:7" ht="20.100000000000001" customHeight="1" x14ac:dyDescent="0.25"/>
    <row r="39" spans="4:7" ht="20.100000000000001" customHeight="1" x14ac:dyDescent="0.25"/>
    <row r="40" spans="4:7" ht="20.100000000000001" customHeight="1" x14ac:dyDescent="0.25"/>
    <row r="41" spans="4:7" ht="20.100000000000001" customHeight="1" x14ac:dyDescent="0.25"/>
    <row r="42" spans="4:7" ht="20.100000000000001" customHeight="1" x14ac:dyDescent="0.25"/>
    <row r="43" spans="4:7" ht="20.100000000000001" customHeight="1" x14ac:dyDescent="0.25"/>
    <row r="44" spans="4:7" ht="20.100000000000001" customHeight="1" x14ac:dyDescent="0.25"/>
    <row r="45" spans="4:7" ht="20.100000000000001" customHeight="1" x14ac:dyDescent="0.25"/>
    <row r="46" spans="4:7" ht="20.100000000000001" customHeight="1" x14ac:dyDescent="0.25"/>
    <row r="47" spans="4:7" ht="20.100000000000001" customHeight="1" x14ac:dyDescent="0.25"/>
    <row r="48" spans="4:7"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spans="1:1" ht="20.100000000000001" customHeight="1" x14ac:dyDescent="0.25"/>
    <row r="66" spans="1:1" ht="20.100000000000001" customHeight="1" x14ac:dyDescent="0.25">
      <c r="A66" s="51" t="str">
        <f>HYPERLINK("#A1", "▲ Back to top")</f>
        <v>▲ Back to top</v>
      </c>
    </row>
    <row r="67" spans="1:1" ht="20.100000000000001" customHeight="1" x14ac:dyDescent="0.25"/>
    <row r="68" spans="1:1" ht="20.100000000000001" customHeight="1" x14ac:dyDescent="0.25"/>
    <row r="69" spans="1:1" ht="20.100000000000001" customHeight="1" x14ac:dyDescent="0.25"/>
    <row r="70" spans="1:1" ht="20.100000000000001" customHeight="1" x14ac:dyDescent="0.25"/>
    <row r="71" spans="1:1" ht="20.100000000000001" customHeight="1" x14ac:dyDescent="0.25"/>
    <row r="72" spans="1:1" ht="20.100000000000001" customHeight="1" x14ac:dyDescent="0.25"/>
    <row r="73" spans="1:1" ht="20.100000000000001" customHeight="1" x14ac:dyDescent="0.25"/>
    <row r="74" spans="1:1" ht="20.100000000000001" customHeight="1" x14ac:dyDescent="0.25"/>
    <row r="75" spans="1:1" ht="20.100000000000001" customHeight="1" x14ac:dyDescent="0.25"/>
    <row r="76" spans="1:1" ht="20.100000000000001" customHeight="1" x14ac:dyDescent="0.25"/>
    <row r="77" spans="1:1" ht="20.100000000000001" customHeight="1" x14ac:dyDescent="0.25"/>
    <row r="78" spans="1:1" ht="20.100000000000001" customHeight="1" x14ac:dyDescent="0.25"/>
    <row r="79" spans="1:1" ht="20.100000000000001" customHeight="1" x14ac:dyDescent="0.25"/>
    <row r="80" spans="1:1"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spans="1:1" ht="20.100000000000001" customHeight="1" x14ac:dyDescent="0.25"/>
    <row r="98" spans="1:1" ht="20.100000000000001" customHeight="1" x14ac:dyDescent="0.25"/>
    <row r="99" spans="1:1" ht="20.100000000000001" customHeight="1" x14ac:dyDescent="0.25"/>
    <row r="100" spans="1:1" ht="20.100000000000001" customHeight="1" x14ac:dyDescent="0.25"/>
    <row r="101" spans="1:1" ht="20.100000000000001" customHeight="1" x14ac:dyDescent="0.25"/>
    <row r="102" spans="1:1" ht="20.100000000000001" customHeight="1" x14ac:dyDescent="0.25"/>
    <row r="103" spans="1:1" ht="20.100000000000001" customHeight="1" x14ac:dyDescent="0.25"/>
    <row r="104" spans="1:1" ht="20.100000000000001" customHeight="1" x14ac:dyDescent="0.25"/>
    <row r="105" spans="1:1" ht="20.100000000000001" customHeight="1" x14ac:dyDescent="0.25"/>
    <row r="106" spans="1:1" ht="20.100000000000001" customHeight="1" x14ac:dyDescent="0.25"/>
    <row r="107" spans="1:1" ht="20.100000000000001" customHeight="1" x14ac:dyDescent="0.25"/>
    <row r="108" spans="1:1" ht="20.100000000000001" customHeight="1" x14ac:dyDescent="0.25"/>
    <row r="109" spans="1:1" ht="20.100000000000001" customHeight="1" x14ac:dyDescent="0.25">
      <c r="A109" s="51" t="str">
        <f>HYPERLINK("#A1", "▲ Back to top")</f>
        <v>▲ Back to top</v>
      </c>
    </row>
    <row r="110" spans="1:1" ht="20.100000000000001" customHeight="1" x14ac:dyDescent="0.25"/>
    <row r="111" spans="1:1" ht="20.100000000000001" customHeight="1" x14ac:dyDescent="0.25"/>
    <row r="112" spans="1:1"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spans="1:1" ht="20.100000000000001" customHeight="1" x14ac:dyDescent="0.25"/>
    <row r="130" spans="1:1" ht="20.100000000000001" customHeight="1" x14ac:dyDescent="0.25"/>
    <row r="131" spans="1:1" ht="20.100000000000001" customHeight="1" x14ac:dyDescent="0.25"/>
    <row r="132" spans="1:1" ht="20.100000000000001" customHeight="1" x14ac:dyDescent="0.25"/>
    <row r="133" spans="1:1" ht="20.100000000000001" customHeight="1" x14ac:dyDescent="0.25"/>
    <row r="134" spans="1:1" ht="20.100000000000001" customHeight="1" x14ac:dyDescent="0.25"/>
    <row r="135" spans="1:1" ht="20.100000000000001" customHeight="1" x14ac:dyDescent="0.25"/>
    <row r="136" spans="1:1" ht="20.100000000000001" customHeight="1" x14ac:dyDescent="0.25">
      <c r="A136" s="51" t="str">
        <f>HYPERLINK("#A1", "▲ Back to top")</f>
        <v>▲ Back to top</v>
      </c>
    </row>
    <row r="137" spans="1:1" ht="20.100000000000001" customHeight="1" x14ac:dyDescent="0.25"/>
    <row r="138" spans="1:1" ht="20.100000000000001" customHeight="1" x14ac:dyDescent="0.25"/>
    <row r="139" spans="1:1" ht="20.100000000000001" customHeight="1" x14ac:dyDescent="0.25"/>
    <row r="140" spans="1:1" ht="20.100000000000001" customHeight="1" x14ac:dyDescent="0.25"/>
    <row r="141" spans="1:1" ht="20.100000000000001" customHeight="1" x14ac:dyDescent="0.25"/>
    <row r="142" spans="1:1" ht="20.100000000000001" customHeight="1" x14ac:dyDescent="0.25"/>
    <row r="143" spans="1:1" ht="20.100000000000001" customHeight="1" x14ac:dyDescent="0.25"/>
    <row r="144" spans="1:1"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18"/>
    </row>
    <row r="342" spans="8:8" x14ac:dyDescent="0.25">
      <c r="H342" s="18"/>
    </row>
  </sheetData>
  <dataValidations disablePrompts="1" count="1">
    <dataValidation operator="equal" allowBlank="1" showInputMessage="1" showErrorMessage="1" sqref="E269 E228 F150:I150 F148:I148 I149"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3351F-67D6-47A4-BDE6-FCDB902021C5}">
  <dimension ref="A1:J342"/>
  <sheetViews>
    <sheetView showGridLines="0" zoomScaleNormal="100" workbookViewId="0">
      <selection activeCell="D5" sqref="D5"/>
    </sheetView>
  </sheetViews>
  <sheetFormatPr defaultRowHeight="15.75" x14ac:dyDescent="0.25"/>
  <cols>
    <col min="1" max="1" width="30.7109375" customWidth="1"/>
    <col min="2" max="2" width="4.7109375" customWidth="1"/>
    <col min="3" max="3" width="4.7109375" style="1" customWidth="1"/>
    <col min="4" max="4" width="46.28515625" style="1" customWidth="1"/>
    <col min="5" max="9" width="30.7109375" style="1" customWidth="1"/>
    <col min="10" max="10" width="4.7109375" style="1" customWidth="1"/>
  </cols>
  <sheetData>
    <row r="1" spans="1:10" s="7" customFormat="1" ht="30" customHeight="1" x14ac:dyDescent="0.35">
      <c r="A1" s="33" t="e" vm="1">
        <v>#VALUE!</v>
      </c>
      <c r="C1" s="7" t="s">
        <v>125</v>
      </c>
    </row>
    <row r="2" spans="1:10" s="8" customFormat="1" ht="20.100000000000001" customHeight="1" x14ac:dyDescent="0.25"/>
    <row r="3" spans="1:10" ht="20.100000000000001" customHeight="1" x14ac:dyDescent="0.25">
      <c r="A3" s="13" t="str">
        <f>HYPERLINK("#'Home'!A1", "Home")</f>
        <v>Home</v>
      </c>
      <c r="C3" s="3"/>
      <c r="D3" s="3" t="s">
        <v>49</v>
      </c>
      <c r="E3" s="3"/>
      <c r="F3" s="3"/>
      <c r="G3" s="3"/>
      <c r="H3" s="3"/>
      <c r="I3" s="3"/>
      <c r="J3" s="3"/>
    </row>
    <row r="4" spans="1:10" ht="20.100000000000001" customHeight="1" x14ac:dyDescent="0.25">
      <c r="A4" s="13" t="str">
        <f>HYPERLINK("#'Overview'!A1", "Overview")</f>
        <v>Overview</v>
      </c>
    </row>
    <row r="5" spans="1:10" ht="20.100000000000001" customHeight="1" x14ac:dyDescent="0.25">
      <c r="A5" s="13" t="str">
        <f>HYPERLINK("#'Results'!A1", "Results")</f>
        <v>Results</v>
      </c>
      <c r="D5" s="5" t="str" cm="1">
        <f t="array" ref="D5">Wastewater_N2O_Equations.VEERG_11_1_3_1__1_NitrousOxideEmissionsFromFlaredBiogas_Title()</f>
        <v>Nitrous oxide emissions from flared biogas</v>
      </c>
    </row>
    <row r="6" spans="1:10" ht="20.100000000000001" customHeight="1" x14ac:dyDescent="0.25">
      <c r="A6" s="12"/>
      <c r="D6" s="4" t="str" cm="1">
        <f t="array" ref="D6">Wastewater_N2O_Equations.VEERG_11_1_3_1__1_NitrousOxideEmissionsFromFlaredBiogas_Source()</f>
        <v>VEERG 2026: 11.1.3.1, Equation (1)</v>
      </c>
    </row>
    <row r="7" spans="1:10" ht="20.100000000000001" customHeight="1" x14ac:dyDescent="0.25">
      <c r="A7" s="16" t="s">
        <v>1</v>
      </c>
      <c r="D7" s="10" t="s">
        <v>10</v>
      </c>
      <c r="E7" s="10" t="str" cm="1">
        <f t="array" aca="1" ref="E7" ca="1">Common_InputFunctions.Utility_DisplayFunctionName(E17)</f>
        <v>=Wastewater_N2O_Equations.VEERG_11_1_3_1__1_NitrousOxideEmissionsFromFlaredBiogas</v>
      </c>
    </row>
    <row r="8" spans="1:10" ht="20.100000000000001" customHeight="1" x14ac:dyDescent="0.25">
      <c r="A8" s="13" t="str">
        <f>HYPERLINK("#'Input - Wastewater'!A1", "Wastewater")</f>
        <v>Wastewater</v>
      </c>
    </row>
    <row r="9" spans="1:10" ht="20.100000000000001" customHeight="1" x14ac:dyDescent="0.25">
      <c r="A9" s="13"/>
    </row>
    <row r="10" spans="1:10" ht="20.100000000000001" customHeight="1" x14ac:dyDescent="0.25">
      <c r="A10" s="15" t="s">
        <v>45</v>
      </c>
      <c r="D10" s="29" t="s">
        <v>13</v>
      </c>
      <c r="E10" s="1" t="str" cm="1">
        <f t="array" ref="E10">Wastewater_N2O_Equations.VEERG_11_1_3_1__1_NitrousOxideEmissionsFromFlaredBiogas_Variable()</f>
        <v>E_N2O</v>
      </c>
    </row>
    <row r="11" spans="1:10" ht="20.100000000000001" customHeight="1" x14ac:dyDescent="0.25">
      <c r="A11" s="13" t="str">
        <f>HYPERLINK("#'11.1.1-2 Wastewater CH4'!A1", "10.1.1-2 Wastewater CH4")</f>
        <v>10.1.1-2 Wastewater CH4</v>
      </c>
      <c r="D11" s="29" t="s">
        <v>5</v>
      </c>
      <c r="E11" s="30" t="str" cm="1">
        <f t="array" ref="E11">Wastewater_N2O_Equations.VEERG_11_1_3_1__1_NitrousOxideEmissionsFromFlaredBiogas_Unit()</f>
        <v>t N2O</v>
      </c>
    </row>
    <row r="12" spans="1:10" ht="20.100000000000001" customHeight="1" x14ac:dyDescent="0.25">
      <c r="A12" s="65" t="str">
        <f>HYPERLINK("#'11.1.3-4 Wastewater N2O'!A1", "10.1.3-4 Wastewater N2O")</f>
        <v>10.1.3-4 Wastewater N2O</v>
      </c>
    </row>
    <row r="13" spans="1:10" ht="20.100000000000001" customHeight="1" x14ac:dyDescent="0.25">
      <c r="A13" s="13"/>
      <c r="D13" s="48" t="str" cm="1">
        <f t="array" ref="D13:E15">_xlfn.CHOOSECOLS(Wastewater_N2O_Equations.VEERG_11_1_3_1__1_NitrousOxideEmissionsFromFlaredBiogas_Arguments(),1,2)</f>
        <v>Q_flared</v>
      </c>
      <c r="E13" s="50" t="str">
        <v>volume of biogas flared</v>
      </c>
      <c r="F13" s="49"/>
      <c r="G13" s="48" t="str" cm="1">
        <f t="array" ref="G13:H15">_xlfn.CHOOSECOLS(Wastewater_N2O_Equations.VEERG_11_1_3_1__1_NitrousOxideEmissionsFromFlaredBiogas_Arguments(),3,4)</f>
        <v>m3</v>
      </c>
      <c r="H13" s="44" t="str">
        <v>Input</v>
      </c>
      <c r="I13" s="48">
        <f>X_Cell_Wastewater_SludgeMethaneFlared</f>
        <v>100</v>
      </c>
    </row>
    <row r="14" spans="1:10" ht="20.100000000000001" customHeight="1" x14ac:dyDescent="0.25">
      <c r="A14" s="14" t="s">
        <v>2</v>
      </c>
      <c r="D14" s="48" t="str">
        <v>EC_flared</v>
      </c>
      <c r="E14" s="50" t="str">
        <v>energy content factor of sludge biogas flared</v>
      </c>
      <c r="F14" s="49"/>
      <c r="G14" s="48" t="str">
        <v>GJ/m3</v>
      </c>
      <c r="H14" s="43" t="str">
        <v>Constant</v>
      </c>
      <c r="I14" s="48">
        <f>Waste_EnergyContentFactorSludgeBiogasFlared_Data</f>
        <v>3.7699999999999997E-2</v>
      </c>
    </row>
    <row r="15" spans="1:10" ht="20.100000000000001" customHeight="1" x14ac:dyDescent="0.25">
      <c r="A15" s="13" t="str">
        <f>HYPERLINK("#'Constants - Wastewater'!A1", "Constants - Wastewater")</f>
        <v>Constants - Wastewater</v>
      </c>
      <c r="D15" s="48" t="str">
        <v>EF_flaredN2O</v>
      </c>
      <c r="E15" s="50" t="str">
        <v>nitrous oxide emission factor for flared biogas</v>
      </c>
      <c r="F15" s="49"/>
      <c r="G15" s="48" t="str">
        <v>kg N2O/GJ</v>
      </c>
      <c r="H15" s="43" t="str">
        <v>Constant</v>
      </c>
      <c r="I15" s="48">
        <f>Waste_NitrousOxideEmissionFactorSludgeBiogasFlared_Data</f>
        <v>1.132E-4</v>
      </c>
    </row>
    <row r="16" spans="1:10" ht="20.100000000000001" customHeight="1" x14ac:dyDescent="0.25">
      <c r="A16" s="13" t="str">
        <f>HYPERLINK("#'Constants - Common'!A1", "Constants - Common")</f>
        <v>Constants - Common</v>
      </c>
    </row>
    <row r="17" spans="1:7" ht="20.100000000000001" customHeight="1" x14ac:dyDescent="0.25">
      <c r="D17" s="61" t="s">
        <v>120</v>
      </c>
      <c r="E17" s="63" cm="1">
        <f t="array" ref="E17">Wastewater_N2O_Equations.VEERG_11_1_3_1__1_NitrousOxideEmissionsFromFlaredBiogas(I13,I14,I15)</f>
        <v>4.26764E-7</v>
      </c>
      <c r="F17" s="66" t="str">
        <f>$E$11</f>
        <v>t N2O</v>
      </c>
    </row>
    <row r="18" spans="1:7" ht="20.100000000000001" customHeight="1" x14ac:dyDescent="0.25"/>
    <row r="19" spans="1:7" ht="20.100000000000001" customHeight="1" x14ac:dyDescent="0.25">
      <c r="D19" s="71" t="str" cm="1">
        <f t="array" ref="D19:E20">Common_Equations.Common_ConvertN2OToCO2e_Arguments()</f>
        <v>EN2O</v>
      </c>
      <c r="E19" s="72" t="str">
        <v>Nitrous oxide emissions (t N2O)</v>
      </c>
      <c r="F19" s="73"/>
      <c r="G19" s="28">
        <f>E17</f>
        <v>4.26764E-7</v>
      </c>
    </row>
    <row r="20" spans="1:7" ht="20.100000000000001" customHeight="1" x14ac:dyDescent="0.25">
      <c r="D20" s="71" t="str">
        <v>GWPN2O</v>
      </c>
      <c r="E20" s="72" t="str">
        <v>Global warming potential for nitrous oxide (t CO2-e / t N2O)</v>
      </c>
      <c r="F20" s="73"/>
      <c r="G20" s="28">
        <v>265</v>
      </c>
    </row>
    <row r="21" spans="1:7" ht="20.100000000000001" customHeight="1" x14ac:dyDescent="0.25">
      <c r="A21" s="13"/>
    </row>
    <row r="22" spans="1:7" ht="20.100000000000001" customHeight="1" x14ac:dyDescent="0.25">
      <c r="D22" s="62" t="s">
        <v>121</v>
      </c>
      <c r="E22" s="62" cm="1">
        <f t="array" ref="E22">Common_Equations.Common_ConvertN2OToCO2e(G19,G20)</f>
        <v>1.1309246E-4</v>
      </c>
      <c r="F22" s="74" t="str" cm="1">
        <f t="array" ref="F22">Common_Equations.Common_ConvertN2OToCO2e_Unit()</f>
        <v>t CO2e</v>
      </c>
    </row>
    <row r="23" spans="1:7" ht="20.100000000000001" customHeight="1" x14ac:dyDescent="0.25">
      <c r="A23" s="13"/>
    </row>
    <row r="24" spans="1:7" ht="20.100000000000001" customHeight="1" x14ac:dyDescent="0.25"/>
    <row r="25" spans="1:7" ht="20.100000000000001" customHeight="1" x14ac:dyDescent="0.25"/>
    <row r="26" spans="1:7" ht="20.100000000000001" customHeight="1" x14ac:dyDescent="0.25"/>
    <row r="27" spans="1:7" ht="20.100000000000001" customHeight="1" x14ac:dyDescent="0.25"/>
    <row r="28" spans="1:7" ht="20.100000000000001" customHeight="1" x14ac:dyDescent="0.25"/>
    <row r="29" spans="1:7" ht="20.100000000000001" customHeight="1" x14ac:dyDescent="0.25"/>
    <row r="30" spans="1:7" ht="20.100000000000001" customHeight="1" x14ac:dyDescent="0.25"/>
    <row r="31" spans="1:7" ht="20.100000000000001" customHeight="1" x14ac:dyDescent="0.25"/>
    <row r="32" spans="1:7"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spans="1:1" ht="20.100000000000001" customHeight="1" x14ac:dyDescent="0.25"/>
    <row r="66" spans="1:1" ht="20.100000000000001" customHeight="1" x14ac:dyDescent="0.25">
      <c r="A66" s="51" t="str">
        <f>HYPERLINK("#A1", "▲ Back to top")</f>
        <v>▲ Back to top</v>
      </c>
    </row>
    <row r="67" spans="1:1" ht="20.100000000000001" customHeight="1" x14ac:dyDescent="0.25"/>
    <row r="68" spans="1:1" ht="20.100000000000001" customHeight="1" x14ac:dyDescent="0.25"/>
    <row r="69" spans="1:1" ht="20.100000000000001" customHeight="1" x14ac:dyDescent="0.25"/>
    <row r="70" spans="1:1" ht="20.100000000000001" customHeight="1" x14ac:dyDescent="0.25"/>
    <row r="71" spans="1:1" ht="20.100000000000001" customHeight="1" x14ac:dyDescent="0.25"/>
    <row r="72" spans="1:1" ht="20.100000000000001" customHeight="1" x14ac:dyDescent="0.25"/>
    <row r="73" spans="1:1" ht="20.100000000000001" customHeight="1" x14ac:dyDescent="0.25"/>
    <row r="74" spans="1:1" ht="20.100000000000001" customHeight="1" x14ac:dyDescent="0.25"/>
    <row r="75" spans="1:1" ht="20.100000000000001" customHeight="1" x14ac:dyDescent="0.25"/>
    <row r="76" spans="1:1" ht="20.100000000000001" customHeight="1" x14ac:dyDescent="0.25"/>
    <row r="77" spans="1:1" ht="20.100000000000001" customHeight="1" x14ac:dyDescent="0.25"/>
    <row r="78" spans="1:1" ht="20.100000000000001" customHeight="1" x14ac:dyDescent="0.25"/>
    <row r="79" spans="1:1" ht="20.100000000000001" customHeight="1" x14ac:dyDescent="0.25"/>
    <row r="80" spans="1:1"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spans="1:1" ht="20.100000000000001" customHeight="1" x14ac:dyDescent="0.25"/>
    <row r="98" spans="1:1" ht="20.100000000000001" customHeight="1" x14ac:dyDescent="0.25"/>
    <row r="99" spans="1:1" ht="20.100000000000001" customHeight="1" x14ac:dyDescent="0.25"/>
    <row r="100" spans="1:1" ht="20.100000000000001" customHeight="1" x14ac:dyDescent="0.25"/>
    <row r="101" spans="1:1" ht="20.100000000000001" customHeight="1" x14ac:dyDescent="0.25"/>
    <row r="102" spans="1:1" ht="20.100000000000001" customHeight="1" x14ac:dyDescent="0.25"/>
    <row r="103" spans="1:1" ht="20.100000000000001" customHeight="1" x14ac:dyDescent="0.25"/>
    <row r="104" spans="1:1" ht="20.100000000000001" customHeight="1" x14ac:dyDescent="0.25"/>
    <row r="105" spans="1:1" ht="20.100000000000001" customHeight="1" x14ac:dyDescent="0.25"/>
    <row r="106" spans="1:1" ht="20.100000000000001" customHeight="1" x14ac:dyDescent="0.25"/>
    <row r="107" spans="1:1" ht="20.100000000000001" customHeight="1" x14ac:dyDescent="0.25"/>
    <row r="108" spans="1:1" ht="20.100000000000001" customHeight="1" x14ac:dyDescent="0.25"/>
    <row r="109" spans="1:1" ht="20.100000000000001" customHeight="1" x14ac:dyDescent="0.25">
      <c r="A109" s="51" t="str">
        <f>HYPERLINK("#A1", "▲ Back to top")</f>
        <v>▲ Back to top</v>
      </c>
    </row>
    <row r="110" spans="1:1" ht="20.100000000000001" customHeight="1" x14ac:dyDescent="0.25"/>
    <row r="111" spans="1:1" ht="20.100000000000001" customHeight="1" x14ac:dyDescent="0.25"/>
    <row r="112" spans="1:1"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spans="1:1" ht="20.100000000000001" customHeight="1" x14ac:dyDescent="0.25"/>
    <row r="130" spans="1:1" ht="20.100000000000001" customHeight="1" x14ac:dyDescent="0.25"/>
    <row r="131" spans="1:1" ht="20.100000000000001" customHeight="1" x14ac:dyDescent="0.25"/>
    <row r="132" spans="1:1" ht="20.100000000000001" customHeight="1" x14ac:dyDescent="0.25"/>
    <row r="133" spans="1:1" ht="20.100000000000001" customHeight="1" x14ac:dyDescent="0.25"/>
    <row r="134" spans="1:1" ht="20.100000000000001" customHeight="1" x14ac:dyDescent="0.25"/>
    <row r="135" spans="1:1" ht="20.100000000000001" customHeight="1" x14ac:dyDescent="0.25"/>
    <row r="136" spans="1:1" ht="20.100000000000001" customHeight="1" x14ac:dyDescent="0.25">
      <c r="A136" s="51" t="str">
        <f>HYPERLINK("#A1", "▲ Back to top")</f>
        <v>▲ Back to top</v>
      </c>
    </row>
    <row r="137" spans="1:1" ht="20.100000000000001" customHeight="1" x14ac:dyDescent="0.25"/>
    <row r="138" spans="1:1" ht="20.100000000000001" customHeight="1" x14ac:dyDescent="0.25"/>
    <row r="139" spans="1:1" ht="20.100000000000001" customHeight="1" x14ac:dyDescent="0.25"/>
    <row r="140" spans="1:1" ht="20.100000000000001" customHeight="1" x14ac:dyDescent="0.25"/>
    <row r="141" spans="1:1" ht="20.100000000000001" customHeight="1" x14ac:dyDescent="0.25"/>
    <row r="142" spans="1:1" ht="20.100000000000001" customHeight="1" x14ac:dyDescent="0.25"/>
    <row r="143" spans="1:1" ht="20.100000000000001" customHeight="1" x14ac:dyDescent="0.25"/>
    <row r="144" spans="1:1"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18"/>
    </row>
    <row r="342" spans="8:8" x14ac:dyDescent="0.25">
      <c r="H342" s="18"/>
    </row>
  </sheetData>
  <dataValidations disablePrompts="1" count="1">
    <dataValidation operator="equal" allowBlank="1" showInputMessage="1" showErrorMessage="1" sqref="E269 E228 F150:I150 F148:I148 I149" xr:uid="{97063CA4-245C-480B-9BF6-900A632AABF2}"/>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A36D-67BF-491B-8BEC-65303FBC20AD}">
  <dimension ref="A1:AI165"/>
  <sheetViews>
    <sheetView showGridLines="0" topLeftCell="A2" zoomScaleNormal="100" workbookViewId="0">
      <selection activeCell="F26" sqref="F26"/>
    </sheetView>
  </sheetViews>
  <sheetFormatPr defaultRowHeight="15.75" x14ac:dyDescent="0.25"/>
  <cols>
    <col min="1" max="1" width="30.7109375" customWidth="1"/>
    <col min="2" max="2" width="4.7109375" customWidth="1"/>
    <col min="3" max="3" width="4.7109375" style="1" customWidth="1"/>
    <col min="4" max="4" width="39.140625" style="1" customWidth="1"/>
    <col min="5" max="5" width="30.7109375" style="1" customWidth="1"/>
    <col min="6" max="6" width="29.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7" customFormat="1" ht="30" customHeight="1" x14ac:dyDescent="0.35">
      <c r="A1" s="7" t="e" vm="1">
        <v>#VALUE!</v>
      </c>
      <c r="C1" s="7" t="s">
        <v>122</v>
      </c>
      <c r="AG1"/>
      <c r="AH1"/>
      <c r="AI1"/>
    </row>
    <row r="2" spans="1:35" s="8" customFormat="1" ht="20.100000000000001" customHeight="1" x14ac:dyDescent="0.25">
      <c r="AG2"/>
      <c r="AH2"/>
      <c r="AI2"/>
    </row>
    <row r="3" spans="1:35" ht="20.100000000000001" customHeight="1" x14ac:dyDescent="0.25">
      <c r="A3" s="13" t="str">
        <f>HYPERLINK("#'Home'!A1", "Home")</f>
        <v>Home</v>
      </c>
      <c r="C3" s="3"/>
      <c r="D3" s="3"/>
      <c r="E3" s="3"/>
      <c r="F3" s="3"/>
      <c r="G3" s="3"/>
      <c r="H3" s="3"/>
      <c r="I3" s="3"/>
      <c r="J3" s="3"/>
      <c r="K3" s="3"/>
      <c r="L3" s="3"/>
      <c r="M3" s="3"/>
      <c r="N3" s="3"/>
      <c r="O3" s="3"/>
      <c r="P3" s="3"/>
      <c r="Q3" s="3"/>
      <c r="R3" s="3"/>
      <c r="S3" s="3"/>
      <c r="T3" s="3"/>
      <c r="U3" s="3"/>
      <c r="V3" s="3"/>
      <c r="W3" s="3"/>
      <c r="X3" s="3"/>
      <c r="Y3" s="3"/>
      <c r="Z3" s="3"/>
      <c r="AA3" s="3"/>
      <c r="AB3" s="3"/>
      <c r="AC3" s="3"/>
      <c r="AD3" s="3"/>
      <c r="AE3" s="3"/>
      <c r="AF3" s="3"/>
    </row>
    <row r="4" spans="1:35" ht="20.100000000000001" customHeight="1" x14ac:dyDescent="0.25">
      <c r="A4" s="13" t="str">
        <f>HYPERLINK("#'Overview'!A1", "Overview")</f>
        <v>Overview</v>
      </c>
    </row>
    <row r="5" spans="1:35" ht="20.100000000000001" customHeight="1" x14ac:dyDescent="0.25">
      <c r="A5" s="13" t="str">
        <f>HYPERLINK("#'Results'!A1", "Results")</f>
        <v>Results</v>
      </c>
      <c r="D5" s="5" t="str" cm="1">
        <f t="array" ref="D5">Wastewater_SourceData.Waste_MethaneCorrectionFactorWastewater_Title()</f>
        <v>Methane correction factor for treatment facility type t used to treat wastewater</v>
      </c>
    </row>
    <row r="6" spans="1:35" ht="20.100000000000001" customHeight="1" x14ac:dyDescent="0.25">
      <c r="A6" s="12"/>
      <c r="D6" s="4" t="str" cm="1">
        <f t="array" ref="D6">Wastewater_SourceData.Waste_MethaneCorrectionFactorWastewater_Source()</f>
        <v>VEERG 2026: Table A.4.1.3</v>
      </c>
    </row>
    <row r="7" spans="1:35" ht="20.100000000000001" customHeight="1" x14ac:dyDescent="0.25">
      <c r="A7" s="16" t="s">
        <v>1</v>
      </c>
      <c r="D7" s="1" t="str" cm="1">
        <f t="array" ref="D7">Wastewater_SourceData.Waste_MethaneCorrectionFactorWastewater_Variable()</f>
        <v>CFww,t</v>
      </c>
    </row>
    <row r="8" spans="1:35" ht="20.100000000000001" customHeight="1" x14ac:dyDescent="0.25">
      <c r="A8" s="13" t="str">
        <f>HYPERLINK("#'Input - Wastewater'!A1", "Wastewater")</f>
        <v>Wastewater</v>
      </c>
      <c r="D8" s="30" t="str" cm="1">
        <f t="array" ref="D8">Wastewater_SourceData.Waste_MethaneCorrectionFactorWastewater_Unit()</f>
        <v>fraction</v>
      </c>
    </row>
    <row r="9" spans="1:35" ht="20.100000000000001" customHeight="1" x14ac:dyDescent="0.25">
      <c r="A9" s="13"/>
      <c r="D9" s="26" t="s">
        <v>88</v>
      </c>
      <c r="E9" s="26" t="s">
        <v>89</v>
      </c>
    </row>
    <row r="10" spans="1:35" ht="20.100000000000001" customHeight="1" x14ac:dyDescent="0.25">
      <c r="A10" s="15" t="s">
        <v>45</v>
      </c>
      <c r="D10" s="26" t="str" cm="1">
        <f t="array" ref="D10">Common_InputFunctions.Utility_DisplayArrayInTable(Wastewater_SourceData.Waste_MethaneCorrectionFactorWastewater_Data(), Table_SourceData_MCF_Wastewater[[#Headers],[Facility type t]], 0)</f>
        <v>Managed aerobic treatment</v>
      </c>
      <c r="E10" s="26" cm="1">
        <f t="array" ref="E10">Common_InputFunctions.Utility_DisplayArrayInTable(Wastewater_SourceData.Waste_MethaneCorrectionFactorWastewater_Data(), Table_SourceData_MCF_Wastewater[[#Headers],[Facility type t]], 0)</f>
        <v>0</v>
      </c>
    </row>
    <row r="11" spans="1:35" ht="20.100000000000001" customHeight="1" x14ac:dyDescent="0.25">
      <c r="A11" s="13" t="str">
        <f>HYPERLINK("#'11.1.1-2 Wastewater CH4'!A1", "10.1.1-2 Wastewater CH4")</f>
        <v>10.1.1-2 Wastewater CH4</v>
      </c>
      <c r="D11" s="26" t="str" cm="1">
        <f t="array" ref="D11">Common_InputFunctions.Utility_DisplayArrayInTable(Wastewater_SourceData.Waste_MethaneCorrectionFactorWastewater_Data(), Table_SourceData_MCF_Wastewater[[#Headers],[Facility type t]], 0)</f>
        <v>Unmanaged aerobic treatment</v>
      </c>
      <c r="E11" s="26" cm="1">
        <f t="array" ref="E11">Common_InputFunctions.Utility_DisplayArrayInTable(Wastewater_SourceData.Waste_MethaneCorrectionFactorWastewater_Data(), Table_SourceData_MCF_Wastewater[[#Headers],[Facility type t]], 0)</f>
        <v>0.3</v>
      </c>
    </row>
    <row r="12" spans="1:35" ht="20.100000000000001" customHeight="1" x14ac:dyDescent="0.25">
      <c r="A12" s="13" t="str">
        <f>HYPERLINK("#'11.1.3-4 Wastewater N2O'!A1", "10.1.3-4 Wastewater N2O")</f>
        <v>10.1.3-4 Wastewater N2O</v>
      </c>
      <c r="D12" s="26" t="str" cm="1">
        <f t="array" ref="D12">Common_InputFunctions.Utility_DisplayArrayInTable(Wastewater_SourceData.Waste_MethaneCorrectionFactorWastewater_Data(), Table_SourceData_MCF_Wastewater[[#Headers],[Facility type t]], 0)</f>
        <v>Anaerobic digestor/reactor</v>
      </c>
      <c r="E12" s="26" cm="1">
        <f t="array" ref="E12">Common_InputFunctions.Utility_DisplayArrayInTable(Wastewater_SourceData.Waste_MethaneCorrectionFactorWastewater_Data(), Table_SourceData_MCF_Wastewater[[#Headers],[Facility type t]], 0)</f>
        <v>0.8</v>
      </c>
    </row>
    <row r="13" spans="1:35" ht="20.100000000000001" customHeight="1" x14ac:dyDescent="0.25">
      <c r="A13" s="13"/>
      <c r="D13" s="26" t="str" cm="1">
        <f t="array" ref="D13">Common_InputFunctions.Utility_DisplayArrayInTable(Wastewater_SourceData.Waste_MethaneCorrectionFactorWastewater_Data(), Table_SourceData_MCF_Wastewater[[#Headers],[Facility type t]], 0)</f>
        <v>Shallow anaerobic lagoon (≤ 2 m)</v>
      </c>
      <c r="E13" s="26" cm="1">
        <f t="array" ref="E13">Common_InputFunctions.Utility_DisplayArrayInTable(Wastewater_SourceData.Waste_MethaneCorrectionFactorWastewater_Data(), Table_SourceData_MCF_Wastewater[[#Headers],[Facility type t]], 0)</f>
        <v>0.2</v>
      </c>
    </row>
    <row r="14" spans="1:35" ht="20.100000000000001" customHeight="1" x14ac:dyDescent="0.25">
      <c r="A14" s="14" t="s">
        <v>2</v>
      </c>
      <c r="D14" s="26" t="str" cm="1">
        <f t="array" ref="D14">Common_InputFunctions.Utility_DisplayArrayInTable(Wastewater_SourceData.Waste_MethaneCorrectionFactorWastewater_Data(), Table_SourceData_MCF_Wastewater[[#Headers],[Facility type t]], 0)</f>
        <v>Deep anaerobic lagoon (&gt; 2m)</v>
      </c>
      <c r="E14" s="26" cm="1">
        <f t="array" ref="E14">Common_InputFunctions.Utility_DisplayArrayInTable(Wastewater_SourceData.Waste_MethaneCorrectionFactorWastewater_Data(), Table_SourceData_MCF_Wastewater[[#Headers],[Facility type t]], 0)</f>
        <v>0.8</v>
      </c>
    </row>
    <row r="15" spans="1:35" ht="20.100000000000001" customHeight="1" x14ac:dyDescent="0.25">
      <c r="A15" s="58" t="str">
        <f>HYPERLINK("#'Constants - Wastewater'!A1", "Constants - Wastewater")</f>
        <v>Constants - Wastewater</v>
      </c>
    </row>
    <row r="16" spans="1:35" ht="20.100000000000001" customHeight="1" x14ac:dyDescent="0.25">
      <c r="A16" s="13" t="str">
        <f>HYPERLINK("#'Constants - Common'!A1", "Constants - Common")</f>
        <v>Constants - Common</v>
      </c>
    </row>
    <row r="17" spans="1:6" ht="20.100000000000001" customHeight="1" x14ac:dyDescent="0.25">
      <c r="D17" s="5" t="str" cm="1">
        <f t="array" ref="D17">Wastewater_SourceData.Waste_MethaneCorrectionFactorSludge_Title()</f>
        <v>Methane correction factor for treatment facility type t used to treat sludge</v>
      </c>
    </row>
    <row r="18" spans="1:6" ht="20.100000000000001" customHeight="1" x14ac:dyDescent="0.25">
      <c r="D18" s="4" t="str" cm="1">
        <f t="array" ref="D18">Wastewater_SourceData.Waste_MethaneCorrectionFactorSludge_Source()</f>
        <v>VEERG 2026: Table A.4.1.4</v>
      </c>
    </row>
    <row r="19" spans="1:6" ht="20.100000000000001" customHeight="1" x14ac:dyDescent="0.25">
      <c r="D19" s="1" t="str" cm="1">
        <f t="array" ref="D19">Wastewater_SourceData.Waste_MethaneCorrectionFactorSludge_Variable()</f>
        <v>CFsludge,t</v>
      </c>
    </row>
    <row r="20" spans="1:6" ht="20.100000000000001" customHeight="1" x14ac:dyDescent="0.25">
      <c r="D20" s="30" t="str" cm="1">
        <f t="array" ref="D20">Wastewater_SourceData.Waste_MethaneCorrectionFactorSludge_Unit()</f>
        <v>fraction</v>
      </c>
    </row>
    <row r="21" spans="1:6" ht="20.100000000000001" customHeight="1" x14ac:dyDescent="0.25">
      <c r="A21" s="13"/>
      <c r="D21" s="26" t="s">
        <v>88</v>
      </c>
      <c r="E21" s="26" t="s">
        <v>90</v>
      </c>
    </row>
    <row r="22" spans="1:6" ht="20.100000000000001" customHeight="1" x14ac:dyDescent="0.25">
      <c r="D22" s="26" t="str" cm="1">
        <f t="array" ref="D22">Common_InputFunctions.Utility_DisplayArrayInTable(Wastewater_SourceData.Waste_MethaneCorrectionFactorSludge_Data(), Table_SourceData_MCF_Sludge[[#Headers],[Facility type t]], 0)</f>
        <v>Managed aerobic treatment</v>
      </c>
      <c r="E22" s="26" cm="1">
        <f t="array" ref="E22">Common_InputFunctions.Utility_DisplayArrayInTable(Wastewater_SourceData.Waste_MethaneCorrectionFactorSludge_Data(), Table_SourceData_MCF_Sludge[[#Headers],[Facility type t]], 0)</f>
        <v>0</v>
      </c>
    </row>
    <row r="23" spans="1:6" ht="20.100000000000001" customHeight="1" x14ac:dyDescent="0.25">
      <c r="A23" s="13"/>
      <c r="D23" s="26" t="str" cm="1">
        <f t="array" ref="D23">Common_InputFunctions.Utility_DisplayArrayInTable(Wastewater_SourceData.Waste_MethaneCorrectionFactorSludge_Data(), Table_SourceData_MCF_Sludge[[#Headers],[Facility type t]], 0)</f>
        <v>Unmanaged aerobic treatment</v>
      </c>
      <c r="E23" s="26" cm="1">
        <f t="array" ref="E23">Common_InputFunctions.Utility_DisplayArrayInTable(Wastewater_SourceData.Waste_MethaneCorrectionFactorSludge_Data(), Table_SourceData_MCF_Sludge[[#Headers],[Facility type t]], 0)</f>
        <v>0.3</v>
      </c>
    </row>
    <row r="24" spans="1:6" ht="20.100000000000001" customHeight="1" x14ac:dyDescent="0.25">
      <c r="D24" s="26" t="str" cm="1">
        <f t="array" ref="D24">Common_InputFunctions.Utility_DisplayArrayInTable(Wastewater_SourceData.Waste_MethaneCorrectionFactorSludge_Data(), Table_SourceData_MCF_Sludge[[#Headers],[Facility type t]], 0)</f>
        <v>Anaerobic digestor/reactor</v>
      </c>
      <c r="E24" s="26" cm="1">
        <f t="array" ref="E24">Common_InputFunctions.Utility_DisplayArrayInTable(Wastewater_SourceData.Waste_MethaneCorrectionFactorSludge_Data(), Table_SourceData_MCF_Sludge[[#Headers],[Facility type t]], 0)</f>
        <v>0.8</v>
      </c>
    </row>
    <row r="25" spans="1:6" ht="20.100000000000001" customHeight="1" x14ac:dyDescent="0.25">
      <c r="D25" s="26" t="str" cm="1">
        <f t="array" ref="D25">Common_InputFunctions.Utility_DisplayArrayInTable(Wastewater_SourceData.Waste_MethaneCorrectionFactorSludge_Data(), Table_SourceData_MCF_Sludge[[#Headers],[Facility type t]], 0)</f>
        <v>Shallow anaerobic lagoon (≤ 2 m)</v>
      </c>
      <c r="E25" s="26" cm="1">
        <f t="array" ref="E25">Common_InputFunctions.Utility_DisplayArrayInTable(Wastewater_SourceData.Waste_MethaneCorrectionFactorSludge_Data(), Table_SourceData_MCF_Sludge[[#Headers],[Facility type t]], 0)</f>
        <v>0.2</v>
      </c>
    </row>
    <row r="26" spans="1:6" ht="20.100000000000001" customHeight="1" x14ac:dyDescent="0.25">
      <c r="D26" s="26" t="str" cm="1">
        <f t="array" ref="D26">Common_InputFunctions.Utility_DisplayArrayInTable(Wastewater_SourceData.Waste_MethaneCorrectionFactorSludge_Data(), Table_SourceData_MCF_Sludge[[#Headers],[Facility type t]], 0)</f>
        <v>Deep anaerobic lagoon (&gt; 2m)</v>
      </c>
      <c r="E26" s="26" cm="1">
        <f t="array" ref="E26">Common_InputFunctions.Utility_DisplayArrayInTable(Wastewater_SourceData.Waste_MethaneCorrectionFactorSludge_Data(), Table_SourceData_MCF_Sludge[[#Headers],[Facility type t]], 0)</f>
        <v>0.8</v>
      </c>
    </row>
    <row r="27" spans="1:6" ht="20.100000000000001" customHeight="1" x14ac:dyDescent="0.25"/>
    <row r="28" spans="1:6" ht="20.100000000000001" customHeight="1" x14ac:dyDescent="0.25"/>
    <row r="29" spans="1:6" ht="20.100000000000001" customHeight="1" x14ac:dyDescent="0.25">
      <c r="D29" s="5" t="str" cm="1">
        <f t="array" ref="D29">Wastewater_SourceData.Waste_MethaneEmissionFactorWastewater_Title()</f>
        <v>Methane emission factor for wastewater</v>
      </c>
    </row>
    <row r="30" spans="1:6" ht="20.100000000000001" customHeight="1" x14ac:dyDescent="0.25">
      <c r="D30" s="4" t="str" cm="1">
        <f t="array" ref="D30">Wastewater_SourceData.Waste_MethaneEmissionFactorWastewater_Source()</f>
        <v>VEERG 2026: 11.2.3 Constants</v>
      </c>
    </row>
    <row r="31" spans="1:6" ht="20.100000000000001" customHeight="1" x14ac:dyDescent="0.25">
      <c r="D31" s="29" t="str" cm="1">
        <f t="array" ref="D31">Wastewater_SourceData.Waste_MethaneEmissionFactorWastewater_Variable()</f>
        <v>EFww</v>
      </c>
      <c r="E31" s="1" cm="1">
        <f t="array" ref="E31">Wastewater_SourceData.Waste_MethaneEmissionFactorWastewater_Data()</f>
        <v>0.25</v>
      </c>
      <c r="F31" s="30" t="str" cm="1">
        <f t="array" ref="F31">Wastewater_SourceData.Waste_MethaneEmissionFactorWastewater_Unit()</f>
        <v>kg CH4 / kg COD</v>
      </c>
    </row>
    <row r="32" spans="1:6" ht="20.100000000000001" customHeight="1" x14ac:dyDescent="0.25"/>
    <row r="33" spans="4:6" ht="20.100000000000001" customHeight="1" x14ac:dyDescent="0.25"/>
    <row r="34" spans="4:6" ht="20.100000000000001" customHeight="1" x14ac:dyDescent="0.25">
      <c r="D34" s="5" t="str" cm="1">
        <f t="array" ref="D34">Wastewater_SourceData.Waste_MethaneEmissionFactorSludge_Title()</f>
        <v>Methane emission factor for sludge</v>
      </c>
    </row>
    <row r="35" spans="4:6" ht="20.100000000000001" customHeight="1" x14ac:dyDescent="0.25">
      <c r="D35" s="4" t="str" cm="1">
        <f t="array" ref="D35">Wastewater_SourceData.Waste_MethaneEmissionFactorSludge_Source()</f>
        <v>VEERG 2026: 11.2.3 Constants</v>
      </c>
    </row>
    <row r="36" spans="4:6" ht="20.100000000000001" customHeight="1" x14ac:dyDescent="0.25">
      <c r="D36" s="29" t="str" cm="1">
        <f t="array" ref="D36">Wastewater_SourceData.Waste_MethaneEmissionFactorSludge_Variable()</f>
        <v>EFsludge</v>
      </c>
      <c r="E36" s="1" cm="1">
        <f t="array" ref="E36">Wastewater_SourceData.Waste_MethaneEmissionFactorSludge_Data()</f>
        <v>0.25</v>
      </c>
      <c r="F36" s="30" t="str" cm="1">
        <f t="array" ref="F36">Wastewater_SourceData.Waste_MethaneEmissionFactorSludge_Unit()</f>
        <v>kg CH4 / kg COD</v>
      </c>
    </row>
    <row r="37" spans="4:6" ht="20.100000000000001" customHeight="1" x14ac:dyDescent="0.25"/>
    <row r="38" spans="4:6" ht="20.100000000000001" customHeight="1" x14ac:dyDescent="0.25"/>
    <row r="39" spans="4:6" ht="20.100000000000001" customHeight="1" x14ac:dyDescent="0.25">
      <c r="D39" s="5" t="str" cm="1">
        <f t="array" ref="D39">Wastewater_SourceData.Waste_EnergyContentFactorSludgeBiogasFlared_Title()</f>
        <v>Energy content factor of sludge biogas flared</v>
      </c>
    </row>
    <row r="40" spans="4:6" ht="20.100000000000001" customHeight="1" x14ac:dyDescent="0.25">
      <c r="D40" s="4" t="str" cm="1">
        <f t="array" ref="D40">Wastewater_SourceData.Waste_EnergyContentFactorSludgeBiogasFlared_Source()</f>
        <v>VEERG 2026: 11.2.3 Constants</v>
      </c>
    </row>
    <row r="41" spans="4:6" ht="20.100000000000001" customHeight="1" x14ac:dyDescent="0.25">
      <c r="D41" s="29" t="str" cm="1">
        <f t="array" ref="D41">Wastewater_SourceData.Waste_EnergyContentFactorSludgeBiogasFlared_Variable()</f>
        <v>ECflared</v>
      </c>
      <c r="E41" s="1" cm="1">
        <f t="array" ref="E41">Wastewater_SourceData.Waste_EnergyContentFactorSludgeBiogasFlared_Data()</f>
        <v>3.7699999999999997E-2</v>
      </c>
      <c r="F41" s="30" t="str" cm="1">
        <f t="array" ref="F41">Wastewater_SourceData.Waste_EnergyContentFactorSludgeBiogasFlared_Unit()</f>
        <v>GJ / m3</v>
      </c>
    </row>
    <row r="42" spans="4:6" ht="20.100000000000001" customHeight="1" x14ac:dyDescent="0.25"/>
    <row r="43" spans="4:6" ht="20.100000000000001" customHeight="1" x14ac:dyDescent="0.25"/>
    <row r="44" spans="4:6" ht="20.100000000000001" customHeight="1" x14ac:dyDescent="0.25">
      <c r="D44" s="5" t="str" cm="1">
        <f t="array" ref="D44">Wastewater_SourceData.Waste_MethaneEmissionFactorSludgeBiogasFlared_Title()</f>
        <v>Methane emission factor for sludge biogas flared</v>
      </c>
    </row>
    <row r="45" spans="4:6" ht="20.100000000000001" customHeight="1" x14ac:dyDescent="0.25">
      <c r="D45" s="4" t="str" cm="1">
        <f t="array" ref="D45">Wastewater_SourceData.Waste_MethaneEmissionFactorSludgeBiogasFlared_Source()</f>
        <v>VEERG 2026: 11.2.3 Constants</v>
      </c>
    </row>
    <row r="46" spans="4:6" ht="20.100000000000001" customHeight="1" x14ac:dyDescent="0.25">
      <c r="D46" s="29" t="str" cm="1">
        <f t="array" ref="D46">Wastewater_SourceData.Waste_MethaneEmissionFactorSludgeBiogasFlared_Variable()</f>
        <v>EFflared,CH4</v>
      </c>
      <c r="E46" s="1" cm="1">
        <f t="array" ref="E46">Wastewater_SourceData.Waste_MethaneEmissionFactorSludgeBiogasFlared_Data()</f>
        <v>0.22889999999999999</v>
      </c>
      <c r="F46" s="30" t="str" cm="1">
        <f t="array" ref="F46">Wastewater_SourceData.Waste_MethaneEmissionFactorSludgeBiogasFlared_Unit()</f>
        <v>kg CH4 / GJ</v>
      </c>
    </row>
    <row r="47" spans="4:6" ht="20.100000000000001" customHeight="1" x14ac:dyDescent="0.25"/>
    <row r="48" spans="4:6" ht="20.100000000000001" customHeight="1" x14ac:dyDescent="0.25"/>
    <row r="49" spans="1:6" ht="20.100000000000001" customHeight="1" x14ac:dyDescent="0.25">
      <c r="A49" s="51" t="str">
        <f>HYPERLINK("#A1", "▲ Back to top")</f>
        <v>▲ Back to top</v>
      </c>
      <c r="D49" s="5" t="str" cm="1">
        <f t="array" ref="D49">Wastewater_SourceData.Waste_NitrousOxideEmissionFactorSludgeBiogasFlared_Title()</f>
        <v>Nitrous oxide emission factor for sludge biogas flared</v>
      </c>
    </row>
    <row r="50" spans="1:6" ht="20.100000000000001" customHeight="1" x14ac:dyDescent="0.25">
      <c r="D50" s="4" t="str" cm="1">
        <f t="array" ref="D50">Wastewater_SourceData.Waste_NitrousOxideEmissionFactorSludgeBiogasFlared_Source()</f>
        <v>VEERG 2026: 11.2.3 Constants</v>
      </c>
    </row>
    <row r="51" spans="1:6" ht="20.100000000000001" customHeight="1" x14ac:dyDescent="0.25">
      <c r="D51" s="29" t="str" cm="1">
        <f t="array" ref="D51">Wastewater_SourceData.Waste_NitrousOxideEmissionFactorSludgeBiogasFlared_Variable()</f>
        <v>EFflared,N2O</v>
      </c>
      <c r="E51" s="1" cm="1">
        <f t="array" ref="E51">Wastewater_SourceData.Waste_NitrousOxideEmissionFactorSludgeBiogasFlared_Data()</f>
        <v>1.132E-4</v>
      </c>
      <c r="F51" s="30" t="str" cm="1">
        <f t="array" ref="F51">Wastewater_SourceData.Waste_NitrousOxideEmissionFactorSludgeBiogasFlared_Unit()</f>
        <v>kg N2O / GJ</v>
      </c>
    </row>
    <row r="52" spans="1:6" ht="20.100000000000001" customHeight="1" x14ac:dyDescent="0.25"/>
    <row r="53" spans="1:6" ht="20.100000000000001" customHeight="1" x14ac:dyDescent="0.25"/>
    <row r="54" spans="1:6" ht="20.100000000000001" customHeight="1" x14ac:dyDescent="0.25"/>
    <row r="55" spans="1:6" ht="20.100000000000001" customHeight="1" x14ac:dyDescent="0.25"/>
    <row r="56" spans="1:6" ht="20.100000000000001" customHeight="1" x14ac:dyDescent="0.25"/>
    <row r="57" spans="1:6" ht="20.100000000000001" customHeight="1" x14ac:dyDescent="0.25"/>
    <row r="58" spans="1:6" ht="20.100000000000001" customHeight="1" x14ac:dyDescent="0.25"/>
    <row r="59" spans="1:6" ht="20.100000000000001" customHeight="1" x14ac:dyDescent="0.25"/>
    <row r="60" spans="1:6" ht="20.100000000000001" customHeight="1" x14ac:dyDescent="0.25"/>
    <row r="61" spans="1:6" ht="20.100000000000001" customHeight="1" x14ac:dyDescent="0.25"/>
    <row r="62" spans="1:6" ht="20.100000000000001" customHeight="1" x14ac:dyDescent="0.25"/>
    <row r="63" spans="1:6" ht="20.100000000000001" customHeight="1" x14ac:dyDescent="0.25"/>
    <row r="64" spans="1:6" ht="20.100000000000001" customHeight="1" x14ac:dyDescent="0.25"/>
    <row r="65" spans="1:1" ht="20.100000000000001" customHeight="1" x14ac:dyDescent="0.25"/>
    <row r="66" spans="1:1" ht="20.100000000000001" customHeight="1" x14ac:dyDescent="0.25"/>
    <row r="67" spans="1:1" ht="20.100000000000001" customHeight="1" x14ac:dyDescent="0.25"/>
    <row r="68" spans="1:1" ht="20.100000000000001" customHeight="1" x14ac:dyDescent="0.25"/>
    <row r="69" spans="1:1" ht="20.100000000000001" customHeight="1" x14ac:dyDescent="0.25"/>
    <row r="70" spans="1:1" ht="20.100000000000001" customHeight="1" x14ac:dyDescent="0.25"/>
    <row r="71" spans="1:1" ht="20.100000000000001" customHeight="1" x14ac:dyDescent="0.25"/>
    <row r="72" spans="1:1" ht="20.100000000000001" customHeight="1" x14ac:dyDescent="0.25"/>
    <row r="73" spans="1:1" ht="20.100000000000001" customHeight="1" x14ac:dyDescent="0.25"/>
    <row r="74" spans="1:1" ht="20.100000000000001" customHeight="1" x14ac:dyDescent="0.25"/>
    <row r="75" spans="1:1" ht="20.100000000000001" customHeight="1" x14ac:dyDescent="0.25"/>
    <row r="76" spans="1:1" ht="20.100000000000001" customHeight="1" x14ac:dyDescent="0.25"/>
    <row r="77" spans="1:1" ht="20.100000000000001" customHeight="1" x14ac:dyDescent="0.25">
      <c r="A77" s="51" t="str">
        <f>HYPERLINK("#A1", "▲ Back to top")</f>
        <v>▲ Back to top</v>
      </c>
    </row>
    <row r="78" spans="1:1" ht="20.100000000000001" customHeight="1" x14ac:dyDescent="0.25"/>
    <row r="79" spans="1:1" ht="20.100000000000001" customHeight="1" x14ac:dyDescent="0.25"/>
    <row r="80" spans="1:1"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honeticPr fontId="21" type="noConversion"/>
  <pageMargins left="0.7" right="0.7" top="0.75" bottom="0.75" header="0.3" footer="0.3"/>
  <pageSetup paperSize="9" orientation="portrait" r:id="rId1"/>
  <tableParts count="2">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DA856-38CA-4516-B7C9-CA0CA010ED6F}">
  <dimension ref="A1:BY259"/>
  <sheetViews>
    <sheetView showGridLines="0" tabSelected="1" topLeftCell="A86" zoomScale="85" zoomScaleNormal="85" workbookViewId="0">
      <selection activeCell="H102" sqref="H102"/>
    </sheetView>
  </sheetViews>
  <sheetFormatPr defaultColWidth="9.140625" defaultRowHeight="15.75" x14ac:dyDescent="0.25"/>
  <cols>
    <col min="1" max="1" width="30.7109375" style="6" customWidth="1"/>
    <col min="2" max="2" width="2.7109375" style="6"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6" customWidth="1"/>
    <col min="34" max="39" width="21.85546875" style="6" customWidth="1"/>
    <col min="40" max="44" width="20.7109375" style="6" customWidth="1"/>
    <col min="45" max="65" width="9.140625" style="6"/>
    <col min="66" max="16384" width="9.140625" style="2"/>
  </cols>
  <sheetData>
    <row r="1" spans="1:65" s="7" customFormat="1" ht="30" customHeight="1" x14ac:dyDescent="0.35">
      <c r="A1" s="7" t="e" vm="1">
        <v>#VALUE!</v>
      </c>
      <c r="C1" s="7" t="s">
        <v>46</v>
      </c>
    </row>
    <row r="2" spans="1:65" s="8" customFormat="1" ht="20.100000000000001" customHeight="1" x14ac:dyDescent="0.25"/>
    <row r="3" spans="1:65" ht="20.100000000000001" customHeight="1" x14ac:dyDescent="0.25">
      <c r="A3"/>
      <c r="C3" s="3"/>
      <c r="D3" s="3"/>
      <c r="E3" s="3"/>
      <c r="F3" s="3"/>
      <c r="G3" s="3"/>
      <c r="H3" s="3"/>
      <c r="I3" s="3"/>
      <c r="J3" s="3"/>
      <c r="K3" s="3"/>
      <c r="L3" s="3"/>
      <c r="M3" s="3"/>
      <c r="N3" s="3"/>
      <c r="O3" s="3"/>
      <c r="P3" s="3"/>
      <c r="Q3" s="3"/>
      <c r="R3" s="3"/>
      <c r="S3" s="3"/>
      <c r="T3" s="3"/>
      <c r="U3" s="3"/>
      <c r="V3" s="9"/>
      <c r="W3" s="9"/>
    </row>
    <row r="4" spans="1:65" ht="20.100000000000001" customHeight="1" x14ac:dyDescent="0.25">
      <c r="A4"/>
      <c r="BM4" s="2"/>
    </row>
    <row r="5" spans="1:65" ht="20.100000000000001" customHeight="1" x14ac:dyDescent="0.25">
      <c r="A5"/>
      <c r="D5" s="5" t="str" cm="1">
        <f t="array" ref="D5">Common_SourceData.Common_SourceData_AustralianStatesTerritories_Title()</f>
        <v>Australian states and territories</v>
      </c>
      <c r="BM5" s="2"/>
    </row>
    <row r="6" spans="1:65" ht="20.100000000000001" customHeight="1" x14ac:dyDescent="0.25">
      <c r="A6"/>
      <c r="D6" s="26" t="s">
        <v>6</v>
      </c>
      <c r="E6" s="26" t="s">
        <v>7</v>
      </c>
      <c r="F6" s="26" t="s">
        <v>8</v>
      </c>
    </row>
    <row r="7" spans="1:65" ht="20.100000000000001" customHeight="1" x14ac:dyDescent="0.25">
      <c r="A7"/>
      <c r="D7" s="26" t="str" cm="1">
        <f t="array" ref="D7">Common_InputFunctions.Utility_DisplayArrayInTable(Common_SourceData.Common_SourceData_AustralianStatesTerritories_Data(),Table_AustralianStates[[#Headers],[State/Territory]],0)</f>
        <v>New South Wales</v>
      </c>
      <c r="E7" s="26" t="str" cm="1">
        <f t="array" ref="E7">Common_InputFunctions.Utility_DisplayArrayInTable(Common_SourceData.Common_SourceData_AustralianStatesTerritories_Data(),Table_AustralianStates[[#Headers],[State/Territory]],0)</f>
        <v>New South Wales</v>
      </c>
      <c r="F7" s="26" t="str" cm="1">
        <f t="array" ref="F7">Common_InputFunctions.Utility_DisplayArrayInTable(Common_SourceData.Common_SourceData_AustralianStatesTerritories_Data(),Table_AustralianStates[[#Headers],[State/Territory]],0)</f>
        <v>NSW</v>
      </c>
    </row>
    <row r="8" spans="1:65" ht="20.100000000000001" customHeight="1" x14ac:dyDescent="0.25">
      <c r="A8"/>
      <c r="D8" s="26" t="str" cm="1">
        <f t="array" ref="D8">Common_InputFunctions.Utility_DisplayArrayInTable(Common_SourceData.Common_SourceData_AustralianStatesTerritories_Data(),Table_AustralianStates[[#Headers],[State/Territory]],0)</f>
        <v>Australian Capital Territory</v>
      </c>
      <c r="E8" s="26" t="str" cm="1">
        <f t="array" ref="E8">Common_InputFunctions.Utility_DisplayArrayInTable(Common_SourceData.Common_SourceData_AustralianStatesTerritories_Data(),Table_AustralianStates[[#Headers],[State/Territory]],0)</f>
        <v>ACT</v>
      </c>
      <c r="F8" s="26" t="str" cm="1">
        <f t="array" ref="F8">Common_InputFunctions.Utility_DisplayArrayInTable(Common_SourceData.Common_SourceData_AustralianStatesTerritories_Data(),Table_AustralianStates[[#Headers],[State/Territory]],0)</f>
        <v>ACT</v>
      </c>
    </row>
    <row r="9" spans="1:65" ht="20.100000000000001" customHeight="1" x14ac:dyDescent="0.25">
      <c r="A9"/>
      <c r="D9" s="26" t="str" cm="1">
        <f t="array" ref="D9">Common_InputFunctions.Utility_DisplayArrayInTable(Common_SourceData.Common_SourceData_AustralianStatesTerritories_Data(),Table_AustralianStates[[#Headers],[State/Territory]],0)</f>
        <v>Victoria</v>
      </c>
      <c r="E9" s="26" t="str" cm="1">
        <f t="array" ref="E9">Common_InputFunctions.Utility_DisplayArrayInTable(Common_SourceData.Common_SourceData_AustralianStatesTerritories_Data(),Table_AustralianStates[[#Headers],[State/Territory]],0)</f>
        <v>Victoria</v>
      </c>
      <c r="F9" s="26"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26" t="str" cm="1">
        <f t="array" ref="D10">Common_InputFunctions.Utility_DisplayArrayInTable(Common_SourceData.Common_SourceData_AustralianStatesTerritories_Data(),Table_AustralianStates[[#Headers],[State/Territory]],0)</f>
        <v>Queensland</v>
      </c>
      <c r="E10" s="26" t="str" cm="1">
        <f t="array" ref="E10">Common_InputFunctions.Utility_DisplayArrayInTable(Common_SourceData.Common_SourceData_AustralianStatesTerritories_Data(),Table_AustralianStates[[#Headers],[State/Territory]],0)</f>
        <v>Queensland</v>
      </c>
      <c r="F10" s="26"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26" t="str" cm="1">
        <f t="array" ref="D11">Common_InputFunctions.Utility_DisplayArrayInTable(Common_SourceData.Common_SourceData_AustralianStatesTerritories_Data(),Table_AustralianStates[[#Headers],[State/Territory]],0)</f>
        <v>South Australia</v>
      </c>
      <c r="E11" s="26" t="str" cm="1">
        <f t="array" ref="E11">Common_InputFunctions.Utility_DisplayArrayInTable(Common_SourceData.Common_SourceData_AustralianStatesTerritories_Data(),Table_AustralianStates[[#Headers],[State/Territory]],0)</f>
        <v>South Australia</v>
      </c>
      <c r="F11" s="26" t="str" cm="1">
        <f t="array" ref="F11">Common_InputFunctions.Utility_DisplayArrayInTable(Common_SourceData.Common_SourceData_AustralianStatesTerritories_Data(),Table_AustralianStates[[#Headers],[State/Territory]],0)</f>
        <v>SA</v>
      </c>
      <c r="BM11" s="2"/>
    </row>
    <row r="12" spans="1:65" ht="20.100000000000001" customHeight="1" x14ac:dyDescent="0.25">
      <c r="A12"/>
      <c r="D12" s="26" t="str" cm="1">
        <f t="array" ref="D12">Common_InputFunctions.Utility_DisplayArrayInTable(Common_SourceData.Common_SourceData_AustralianStatesTerritories_Data(),Table_AustralianStates[[#Headers],[State/Territory]],0)</f>
        <v>Western Australia</v>
      </c>
      <c r="E12" s="26" t="str" cm="1">
        <f t="array" ref="E12">Common_InputFunctions.Utility_DisplayArrayInTable(Common_SourceData.Common_SourceData_AustralianStatesTerritories_Data(),Table_AustralianStates[[#Headers],[State/Territory]],0)</f>
        <v>Western Australia</v>
      </c>
      <c r="F12" s="26" t="str" cm="1">
        <f t="array" ref="F12">Common_InputFunctions.Utility_DisplayArrayInTable(Common_SourceData.Common_SourceData_AustralianStatesTerritories_Data(),Table_AustralianStates[[#Headers],[State/Territory]],0)</f>
        <v>WA</v>
      </c>
      <c r="BM12" s="2"/>
    </row>
    <row r="13" spans="1:65" ht="20.100000000000001" customHeight="1" x14ac:dyDescent="0.25">
      <c r="A13"/>
      <c r="D13" s="26" t="str" cm="1">
        <f t="array" ref="D13">Common_InputFunctions.Utility_DisplayArrayInTable(Common_SourceData.Common_SourceData_AustralianStatesTerritories_Data(),Table_AustralianStates[[#Headers],[State/Territory]],0)</f>
        <v>Tasmania</v>
      </c>
      <c r="E13" s="26" t="str" cm="1">
        <f t="array" ref="E13">Common_InputFunctions.Utility_DisplayArrayInTable(Common_SourceData.Common_SourceData_AustralianStatesTerritories_Data(),Table_AustralianStates[[#Headers],[State/Territory]],0)</f>
        <v>Tasmania</v>
      </c>
      <c r="F13" s="26"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26" t="str" cm="1">
        <f t="array" ref="D14">Common_InputFunctions.Utility_DisplayArrayInTable(Common_SourceData.Common_SourceData_AustralianStatesTerritories_Data(),Table_AustralianStates[[#Headers],[State/Territory]],0)</f>
        <v>Northern Territory</v>
      </c>
      <c r="E14" s="26" t="str" cm="1">
        <f t="array" ref="E14">Common_InputFunctions.Utility_DisplayArrayInTable(Common_SourceData.Common_SourceData_AustralianStatesTerritories_Data(),Table_AustralianStates[[#Headers],[State/Territory]],0)</f>
        <v>Northern Territory</v>
      </c>
      <c r="F14" s="26"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5" t="str" cm="1">
        <f t="array" ref="D18">Common_SourceData.Common_SourceData_WASA4Areas_Title()</f>
        <v>ABS Statistcal Areas Level 4 - Western Australia</v>
      </c>
    </row>
    <row r="19" spans="1:4" ht="20.100000000000001" customHeight="1" x14ac:dyDescent="0.25">
      <c r="A19"/>
      <c r="D19" s="4" t="str" cm="1">
        <f t="array" ref="D19">Common_SourceData.Common_SourceData_WASA4Areas_Source()</f>
        <v>Australian Bureau of Statistics (ABS) - Statistical Areas Level 2 - 2021 - Shapefile</v>
      </c>
    </row>
    <row r="20" spans="1:4" ht="20.100000000000001" customHeight="1" x14ac:dyDescent="0.25">
      <c r="A20"/>
      <c r="D20" s="26" t="s">
        <v>9</v>
      </c>
    </row>
    <row r="21" spans="1:4" ht="20.100000000000001" customHeight="1" x14ac:dyDescent="0.25">
      <c r="A21"/>
      <c r="D21" s="26" t="str" cm="1">
        <f t="array" ref="D21">Common_InputFunctions.Utility_DisplayArrayInTable(Common_SourceData.Common_SourceData_WASA4Areas_Data(), Table_WASA4Areas[[#Headers],[SA 4 Name]], 0)</f>
        <v>Bunbury</v>
      </c>
    </row>
    <row r="22" spans="1:4" ht="20.100000000000001" customHeight="1" x14ac:dyDescent="0.25">
      <c r="A22"/>
      <c r="D22" s="26" t="str" cm="1">
        <f t="array" ref="D22">Common_InputFunctions.Utility_DisplayArrayInTable(Common_SourceData.Common_SourceData_WASA4Areas_Data(), Table_WASA4Areas[[#Headers],[SA 4 Name]], 0)</f>
        <v>Mandurah</v>
      </c>
    </row>
    <row r="23" spans="1:4" ht="20.100000000000001" customHeight="1" x14ac:dyDescent="0.25">
      <c r="A23"/>
      <c r="D23" s="26" t="str" cm="1">
        <f t="array" ref="D23">Common_InputFunctions.Utility_DisplayArrayInTable(Common_SourceData.Common_SourceData_WASA4Areas_Data(), Table_WASA4Areas[[#Headers],[SA 4 Name]], 0)</f>
        <v>Perth - Inner</v>
      </c>
    </row>
    <row r="24" spans="1:4" ht="20.100000000000001" customHeight="1" x14ac:dyDescent="0.25">
      <c r="A24"/>
      <c r="D24" s="26" t="str" cm="1">
        <f t="array" ref="D24">Common_InputFunctions.Utility_DisplayArrayInTable(Common_SourceData.Common_SourceData_WASA4Areas_Data(), Table_WASA4Areas[[#Headers],[SA 4 Name]], 0)</f>
        <v>Perth - North East</v>
      </c>
    </row>
    <row r="25" spans="1:4" ht="20.100000000000001" customHeight="1" x14ac:dyDescent="0.25">
      <c r="A25"/>
      <c r="D25" s="26" t="str" cm="1">
        <f t="array" ref="D25">Common_InputFunctions.Utility_DisplayArrayInTable(Common_SourceData.Common_SourceData_WASA4Areas_Data(), Table_WASA4Areas[[#Headers],[SA 4 Name]], 0)</f>
        <v>Perth - North West</v>
      </c>
    </row>
    <row r="26" spans="1:4" ht="20.100000000000001" customHeight="1" x14ac:dyDescent="0.25">
      <c r="A26"/>
      <c r="D26" s="26" t="str" cm="1">
        <f t="array" ref="D26">Common_InputFunctions.Utility_DisplayArrayInTable(Common_SourceData.Common_SourceData_WASA4Areas_Data(), Table_WASA4Areas[[#Headers],[SA 4 Name]], 0)</f>
        <v>Perth - South East</v>
      </c>
    </row>
    <row r="27" spans="1:4" ht="20.100000000000001" customHeight="1" x14ac:dyDescent="0.25">
      <c r="A27"/>
      <c r="D27" s="26" t="str" cm="1">
        <f t="array" ref="D27">Common_InputFunctions.Utility_DisplayArrayInTable(Common_SourceData.Common_SourceData_WASA4Areas_Data(), Table_WASA4Areas[[#Headers],[SA 4 Name]], 0)</f>
        <v>Perth - South West</v>
      </c>
    </row>
    <row r="28" spans="1:4" ht="20.100000000000001" customHeight="1" x14ac:dyDescent="0.25">
      <c r="A28"/>
      <c r="D28" s="26"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26"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26"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5" t="str" cm="1">
        <f t="array" ref="D34">Common_SourceData.Common_SourceData_GWP_Title()</f>
        <v>Global warming potential for greenhouse gases</v>
      </c>
    </row>
    <row r="35" spans="1:8" ht="20.100000000000001" customHeight="1" x14ac:dyDescent="0.25">
      <c r="A35"/>
      <c r="D35" s="4" t="str" cm="1">
        <f t="array" ref="D35">Common_SourceData.Common_SourceData_GWP_Source()</f>
        <v>XXXXXXX</v>
      </c>
    </row>
    <row r="36" spans="1:8" ht="20.100000000000001" customHeight="1" x14ac:dyDescent="0.25">
      <c r="A36"/>
      <c r="D36" s="26" t="s">
        <v>11</v>
      </c>
      <c r="E36" s="26" t="s">
        <v>12</v>
      </c>
    </row>
    <row r="37" spans="1:8" ht="20.100000000000001" customHeight="1" x14ac:dyDescent="0.25">
      <c r="A37"/>
      <c r="D37" s="26" t="str" cm="1">
        <f t="array" ref="D37">Common_InputFunctions.Utility_DisplayArrayInTable(Common_SourceData.Common_SourceData_GWP_Data(), Table_GWPData[[#Headers],[Gas]], 0)</f>
        <v>CO2</v>
      </c>
      <c r="E37" s="26" cm="1">
        <f t="array" ref="E37">Common_InputFunctions.Utility_DisplayArrayInTable(Common_SourceData.Common_SourceData_GWP_Data(), Table_GWPData[[#Headers],[Gas]], 0)</f>
        <v>1</v>
      </c>
    </row>
    <row r="38" spans="1:8" ht="20.100000000000001" customHeight="1" x14ac:dyDescent="0.25">
      <c r="A38"/>
      <c r="D38" s="26" t="str" cm="1">
        <f t="array" ref="D38">Common_InputFunctions.Utility_DisplayArrayInTable(Common_SourceData.Common_SourceData_GWP_Data(), Table_GWPData[[#Headers],[Gas]], 0)</f>
        <v>CH4</v>
      </c>
      <c r="E38" s="26" cm="1">
        <f t="array" ref="E38">Common_InputFunctions.Utility_DisplayArrayInTable(Common_SourceData.Common_SourceData_GWP_Data(), Table_GWPData[[#Headers],[Gas]], 0)</f>
        <v>28</v>
      </c>
    </row>
    <row r="39" spans="1:8" ht="20.100000000000001" customHeight="1" x14ac:dyDescent="0.25">
      <c r="A39"/>
      <c r="D39" s="26" t="str" cm="1">
        <f t="array" ref="D39">Common_InputFunctions.Utility_DisplayArrayInTable(Common_SourceData.Common_SourceData_GWP_Data(), Table_GWPData[[#Headers],[Gas]], 0)</f>
        <v>N2O</v>
      </c>
      <c r="E39" s="26" cm="1">
        <f t="array" ref="E39">Common_InputFunctions.Utility_DisplayArrayInTable(Common_SourceData.Common_SourceData_GWP_Data(), Table_GWPData[[#Headers],[Gas]], 0)</f>
        <v>265</v>
      </c>
    </row>
    <row r="40" spans="1:8" ht="20.100000000000001" customHeight="1" x14ac:dyDescent="0.25">
      <c r="A40"/>
      <c r="D40" s="26" t="str" cm="1">
        <f t="array" ref="D40">Common_InputFunctions.Utility_DisplayArrayInTable(Common_SourceData.Common_SourceData_GWP_Data(), Table_GWPData[[#Headers],[Gas]], 0)</f>
        <v>CF4</v>
      </c>
      <c r="E40" s="26" cm="1">
        <f t="array" ref="E40">Common_InputFunctions.Utility_DisplayArrayInTable(Common_SourceData.Common_SourceData_GWP_Data(), Table_GWPData[[#Headers],[Gas]], 0)</f>
        <v>6630</v>
      </c>
    </row>
    <row r="41" spans="1:8" ht="20.100000000000001" customHeight="1" x14ac:dyDescent="0.25">
      <c r="A41"/>
      <c r="D41" s="26" t="str" cm="1">
        <f t="array" ref="D41">Common_InputFunctions.Utility_DisplayArrayInTable(Common_SourceData.Common_SourceData_GWP_Data(), Table_GWPData[[#Headers],[Gas]], 0)</f>
        <v>C2F6</v>
      </c>
      <c r="E41" s="26" cm="1">
        <f t="array" ref="E41">Common_InputFunctions.Utility_DisplayArrayInTable(Common_SourceData.Common_SourceData_GWP_Data(), Table_GWPData[[#Headers],[Gas]], 0)</f>
        <v>12200</v>
      </c>
    </row>
    <row r="42" spans="1:8" ht="20.100000000000001" customHeight="1" x14ac:dyDescent="0.25">
      <c r="D42" s="26" t="str" cm="1">
        <f t="array" ref="D42">Common_InputFunctions.Utility_DisplayArrayInTable(Common_SourceData.Common_SourceData_GWP_Data(), Table_GWPData[[#Headers],[Gas]], 0)</f>
        <v>SF6</v>
      </c>
      <c r="E42" s="26" cm="1">
        <f t="array" ref="E42">Common_InputFunctions.Utility_DisplayArrayInTable(Common_SourceData.Common_SourceData_GWP_Data(), Table_GWPData[[#Headers],[Gas]], 0)</f>
        <v>22800</v>
      </c>
    </row>
    <row r="43" spans="1:8" ht="20.100000000000001" customHeight="1" x14ac:dyDescent="0.25">
      <c r="D43" s="26" t="str" cm="1">
        <f t="array" ref="D43">Common_InputFunctions.Utility_DisplayArrayInTable(Common_SourceData.Common_SourceData_GWP_Data(), Table_GWPData[[#Headers],[Gas]], 0)</f>
        <v>NF3</v>
      </c>
      <c r="E43" s="26"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5" t="str" cm="1">
        <f t="array" ref="D45">Common_SourceData.Common_SourceData_ConvertGasElementalToMolecular_Title()</f>
        <v>Factor to convert elemental mass of gas to molecular mass</v>
      </c>
    </row>
    <row r="46" spans="1:8" ht="20.100000000000001" customHeight="1" x14ac:dyDescent="0.25">
      <c r="D46" s="4" t="str" cm="1">
        <f t="array" ref="D46">Common_SourceData.Common_SourceData_ConvertGasElementalToMolecular_Source()</f>
        <v>XXXXXXX</v>
      </c>
    </row>
    <row r="47" spans="1:8" ht="20.100000000000001" customHeight="1" x14ac:dyDescent="0.25">
      <c r="D47" s="26" t="s">
        <v>11</v>
      </c>
      <c r="E47" s="26" t="s">
        <v>14</v>
      </c>
      <c r="F47" s="26" t="s">
        <v>15</v>
      </c>
      <c r="G47" s="26" t="s">
        <v>16</v>
      </c>
      <c r="H47" s="26" t="s">
        <v>17</v>
      </c>
    </row>
    <row r="48" spans="1:8" ht="20.100000000000001" customHeight="1" x14ac:dyDescent="0.25">
      <c r="D48" s="26" t="str" cm="1">
        <f t="array" ref="D48">Common_InputFunctions.Utility_DisplayArrayInTable(Common_SourceData.Common_SourceData_ConvertGasElementalToMolecular_Data(),Table_GasToMolecularConversionFactor[[#Headers],[Gas]], 0)</f>
        <v>CO2</v>
      </c>
      <c r="E48" s="26" t="str" cm="1">
        <f t="array" ref="E48">Common_InputFunctions.Utility_DisplayArrayInTable(Common_SourceData.Common_SourceData_ConvertGasElementalToMolecular_Data(),Table_GasToMolecularConversionFactor[[#Headers],[Gas]], 0)</f>
        <v>44/12</v>
      </c>
      <c r="F48" s="26" cm="1">
        <f t="array" ref="F48">Common_InputFunctions.Utility_DisplayArrayInTable(Common_SourceData.Common_SourceData_ConvertGasElementalToMolecular_Data(),Table_GasToMolecularConversionFactor[[#Headers],[Gas]], 0)</f>
        <v>44</v>
      </c>
      <c r="G48" s="26" cm="1">
        <f t="array" ref="G48">Common_InputFunctions.Utility_DisplayArrayInTable(Common_SourceData.Common_SourceData_ConvertGasElementalToMolecular_Data(),Table_GasToMolecularConversionFactor[[#Headers],[Gas]], 0)</f>
        <v>12</v>
      </c>
      <c r="H48" s="26">
        <f>Table_GasToMolecularConversionFactor[[#This Row],[Conversion factor 1]]/Table_GasToMolecularConversionFactor[[#This Row],[Conversion factor 2]]</f>
        <v>3.6666666666666665</v>
      </c>
    </row>
    <row r="49" spans="4:8" ht="20.100000000000001" customHeight="1" x14ac:dyDescent="0.25">
      <c r="D49" s="26" t="str" cm="1">
        <f t="array" ref="D49">Common_InputFunctions.Utility_DisplayArrayInTable(Common_SourceData.Common_SourceData_ConvertGasElementalToMolecular_Data(),Table_GasToMolecularConversionFactor[[#Headers],[Gas]], 0)</f>
        <v>CH4</v>
      </c>
      <c r="E49" s="26" t="str" cm="1">
        <f t="array" ref="E49">Common_InputFunctions.Utility_DisplayArrayInTable(Common_SourceData.Common_SourceData_ConvertGasElementalToMolecular_Data(),Table_GasToMolecularConversionFactor[[#Headers],[Gas]], 0)</f>
        <v>16/12</v>
      </c>
      <c r="F49" s="26" cm="1">
        <f t="array" ref="F49">Common_InputFunctions.Utility_DisplayArrayInTable(Common_SourceData.Common_SourceData_ConvertGasElementalToMolecular_Data(),Table_GasToMolecularConversionFactor[[#Headers],[Gas]], 0)</f>
        <v>16</v>
      </c>
      <c r="G49" s="26" cm="1">
        <f t="array" ref="G49">Common_InputFunctions.Utility_DisplayArrayInTable(Common_SourceData.Common_SourceData_ConvertGasElementalToMolecular_Data(),Table_GasToMolecularConversionFactor[[#Headers],[Gas]], 0)</f>
        <v>12</v>
      </c>
      <c r="H49" s="26">
        <f>Table_GasToMolecularConversionFactor[[#This Row],[Conversion factor 1]]/Table_GasToMolecularConversionFactor[[#This Row],[Conversion factor 2]]</f>
        <v>1.3333333333333333</v>
      </c>
    </row>
    <row r="50" spans="4:8" ht="20.100000000000001" customHeight="1" x14ac:dyDescent="0.25">
      <c r="D50" s="26" t="str" cm="1">
        <f t="array" ref="D50">Common_InputFunctions.Utility_DisplayArrayInTable(Common_SourceData.Common_SourceData_ConvertGasElementalToMolecular_Data(),Table_GasToMolecularConversionFactor[[#Headers],[Gas]], 0)</f>
        <v>N2O</v>
      </c>
      <c r="E50" s="26" t="str" cm="1">
        <f t="array" ref="E50">Common_InputFunctions.Utility_DisplayArrayInTable(Common_SourceData.Common_SourceData_ConvertGasElementalToMolecular_Data(),Table_GasToMolecularConversionFactor[[#Headers],[Gas]], 0)</f>
        <v>44/28</v>
      </c>
      <c r="F50" s="26" cm="1">
        <f t="array" ref="F50">Common_InputFunctions.Utility_DisplayArrayInTable(Common_SourceData.Common_SourceData_ConvertGasElementalToMolecular_Data(),Table_GasToMolecularConversionFactor[[#Headers],[Gas]], 0)</f>
        <v>44</v>
      </c>
      <c r="G50" s="26" cm="1">
        <f t="array" ref="G50">Common_InputFunctions.Utility_DisplayArrayInTable(Common_SourceData.Common_SourceData_ConvertGasElementalToMolecular_Data(),Table_GasToMolecularConversionFactor[[#Headers],[Gas]], 0)</f>
        <v>28</v>
      </c>
      <c r="H50" s="26">
        <f>Table_GasToMolecularConversionFactor[[#This Row],[Conversion factor 1]]/Table_GasToMolecularConversionFactor[[#This Row],[Conversion factor 2]]</f>
        <v>1.5714285714285714</v>
      </c>
    </row>
    <row r="51" spans="4:8" ht="20.100000000000001" customHeight="1" x14ac:dyDescent="0.25">
      <c r="D51" s="26" t="str" cm="1">
        <f t="array" ref="D51">Common_InputFunctions.Utility_DisplayArrayInTable(Common_SourceData.Common_SourceData_ConvertGasElementalToMolecular_Data(),Table_GasToMolecularConversionFactor[[#Headers],[Gas]], 0)</f>
        <v>Nox</v>
      </c>
      <c r="E51" s="26" t="str" cm="1">
        <f t="array" ref="E51">Common_InputFunctions.Utility_DisplayArrayInTable(Common_SourceData.Common_SourceData_ConvertGasElementalToMolecular_Data(),Table_GasToMolecularConversionFactor[[#Headers],[Gas]], 0)</f>
        <v>46/14</v>
      </c>
      <c r="F51" s="26" cm="1">
        <f t="array" ref="F51">Common_InputFunctions.Utility_DisplayArrayInTable(Common_SourceData.Common_SourceData_ConvertGasElementalToMolecular_Data(),Table_GasToMolecularConversionFactor[[#Headers],[Gas]], 0)</f>
        <v>46</v>
      </c>
      <c r="G51" s="26" cm="1">
        <f t="array" ref="G51">Common_InputFunctions.Utility_DisplayArrayInTable(Common_SourceData.Common_SourceData_ConvertGasElementalToMolecular_Data(),Table_GasToMolecularConversionFactor[[#Headers],[Gas]], 0)</f>
        <v>14</v>
      </c>
      <c r="H51" s="26">
        <f>Table_GasToMolecularConversionFactor[[#This Row],[Conversion factor 1]]/Table_GasToMolecularConversionFactor[[#This Row],[Conversion factor 2]]</f>
        <v>3.2857142857142856</v>
      </c>
    </row>
    <row r="52" spans="4:8" ht="20.100000000000001" customHeight="1" x14ac:dyDescent="0.25">
      <c r="D52" s="26" t="str" cm="1">
        <f t="array" ref="D52">Common_InputFunctions.Utility_DisplayArrayInTable(Common_SourceData.Common_SourceData_ConvertGasElementalToMolecular_Data(),Table_GasToMolecularConversionFactor[[#Headers],[Gas]], 0)</f>
        <v>CO</v>
      </c>
      <c r="E52" s="26" t="str" cm="1">
        <f t="array" ref="E52">Common_InputFunctions.Utility_DisplayArrayInTable(Common_SourceData.Common_SourceData_ConvertGasElementalToMolecular_Data(),Table_GasToMolecularConversionFactor[[#Headers],[Gas]], 0)</f>
        <v>28/12</v>
      </c>
      <c r="F52" s="26" cm="1">
        <f t="array" ref="F52">Common_InputFunctions.Utility_DisplayArrayInTable(Common_SourceData.Common_SourceData_ConvertGasElementalToMolecular_Data(),Table_GasToMolecularConversionFactor[[#Headers],[Gas]], 0)</f>
        <v>28</v>
      </c>
      <c r="G52" s="26" cm="1">
        <f t="array" ref="G52">Common_InputFunctions.Utility_DisplayArrayInTable(Common_SourceData.Common_SourceData_ConvertGasElementalToMolecular_Data(),Table_GasToMolecularConversionFactor[[#Headers],[Gas]], 0)</f>
        <v>12</v>
      </c>
      <c r="H52" s="26">
        <f>Table_GasToMolecularConversionFactor[[#This Row],[Conversion factor 1]]/Table_GasToMolecularConversionFactor[[#This Row],[Conversion factor 2]]</f>
        <v>2.3333333333333335</v>
      </c>
    </row>
    <row r="53" spans="4:8" ht="20.100000000000001" customHeight="1" x14ac:dyDescent="0.25">
      <c r="D53" s="26" t="str" cm="1">
        <f t="array" ref="D53">Common_InputFunctions.Utility_DisplayArrayInTable(Common_SourceData.Common_SourceData_ConvertGasElementalToMolecular_Data(),Table_GasToMolecularConversionFactor[[#Headers],[Gas]], 0)</f>
        <v>CO2 Lime</v>
      </c>
      <c r="E53" s="26" t="str" cm="1">
        <f t="array" ref="E53">Common_InputFunctions.Utility_DisplayArrayInTable(Common_SourceData.Common_SourceData_ConvertGasElementalToMolecular_Data(),Table_GasToMolecularConversionFactor[[#Headers],[Gas]], 0)</f>
        <v>44/12</v>
      </c>
      <c r="F53" s="26" cm="1">
        <f t="array" ref="F53">Common_InputFunctions.Utility_DisplayArrayInTable(Common_SourceData.Common_SourceData_ConvertGasElementalToMolecular_Data(),Table_GasToMolecularConversionFactor[[#Headers],[Gas]], 0)</f>
        <v>44</v>
      </c>
      <c r="G53" s="26" cm="1">
        <f t="array" ref="G53">Common_InputFunctions.Utility_DisplayArrayInTable(Common_SourceData.Common_SourceData_ConvertGasElementalToMolecular_Data(),Table_GasToMolecularConversionFactor[[#Headers],[Gas]], 0)</f>
        <v>12</v>
      </c>
      <c r="H53" s="26">
        <f>Table_GasToMolecularConversionFactor[[#This Row],[Conversion factor 1]]/Table_GasToMolecularConversionFactor[[#This Row],[Conversion factor 2]]</f>
        <v>3.6666666666666665</v>
      </c>
    </row>
    <row r="54" spans="4:8" ht="20.100000000000001" customHeight="1" x14ac:dyDescent="0.25">
      <c r="D54" s="26" t="str" cm="1">
        <f t="array" ref="D54">Common_InputFunctions.Utility_DisplayArrayInTable(Common_SourceData.Common_SourceData_ConvertGasElementalToMolecular_Data(),Table_GasToMolecularConversionFactor[[#Headers],[Gas]], 0)</f>
        <v>NMVOC</v>
      </c>
      <c r="E54" s="26" t="str" cm="1">
        <f t="array" ref="E54">Common_InputFunctions.Utility_DisplayArrayInTable(Common_SourceData.Common_SourceData_ConvertGasElementalToMolecular_Data(),Table_GasToMolecularConversionFactor[[#Headers],[Gas]], 0)</f>
        <v>14/12</v>
      </c>
      <c r="F54" s="26" cm="1">
        <f t="array" ref="F54">Common_InputFunctions.Utility_DisplayArrayInTable(Common_SourceData.Common_SourceData_ConvertGasElementalToMolecular_Data(),Table_GasToMolecularConversionFactor[[#Headers],[Gas]], 0)</f>
        <v>14</v>
      </c>
      <c r="G54" s="26" cm="1">
        <f t="array" ref="G54">Common_InputFunctions.Utility_DisplayArrayInTable(Common_SourceData.Common_SourceData_ConvertGasElementalToMolecular_Data(),Table_GasToMolecularConversionFactor[[#Headers],[Gas]], 0)</f>
        <v>12</v>
      </c>
      <c r="H54" s="26">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5" t="str" cm="1">
        <f t="array" ref="D57">Common_SourceData.Common_SourceData_WetAndDryZones_Title()</f>
        <v>VEERG Australian wet and dry zones</v>
      </c>
    </row>
    <row r="58" spans="4:8" ht="20.100000000000001" customHeight="1" x14ac:dyDescent="0.25">
      <c r="D58" s="4" t="str" cm="1">
        <f t="array" ref="D58">Common_SourceData.Common_SourceData_WetAndDryZones_Source()</f>
        <v>VEERG 2026: Table 1.2: Translating climate zones to wet and dry zones</v>
      </c>
    </row>
    <row r="59" spans="4:8" ht="20.100000000000001" customHeight="1" x14ac:dyDescent="0.25">
      <c r="D59" s="31" t="str" cm="1">
        <f t="array" ref="D59:D61">"⚠️" &amp; Common_SourceData.Common_SourceData_WetAndDryZones_Variation()</f>
        <v>⚠️VARIATION OF SOURCE DATA:</v>
      </c>
    </row>
    <row r="60" spans="4:8" ht="20.100000000000001" customHeight="1" x14ac:dyDescent="0.25">
      <c r="D60" s="31" t="str">
        <v>⚠️Added warm / cool temperate moist / dry - low frost and high temp classes to accommodate climate scenarios excluded by VEERG criteria.</v>
      </c>
    </row>
    <row r="61" spans="4:8" ht="20.100000000000001" customHeight="1" x14ac:dyDescent="0.25">
      <c r="D61" s="31" t="str">
        <v>⚠️Fixed typo - Changed 'Fry' to 'Dry'.</v>
      </c>
    </row>
    <row r="62" spans="4:8" ht="20.100000000000001" customHeight="1" x14ac:dyDescent="0.25"/>
    <row r="63" spans="4:8" ht="20.100000000000001" customHeight="1" x14ac:dyDescent="0.25">
      <c r="D63" s="26" t="s">
        <v>4</v>
      </c>
      <c r="E63" s="26" t="s">
        <v>31</v>
      </c>
    </row>
    <row r="64" spans="4:8" ht="20.100000000000001" customHeight="1" x14ac:dyDescent="0.25">
      <c r="D64" s="26" t="str" cm="1">
        <f t="array" ref="D64">Common_InputFunctions.Utility_DisplayArrayInTable(Common_SourceData.Common_SourceData_WetAndDryZones_Data(), Table_SourceData_WetDryZones[[#Headers],[Climate zone]], 0)</f>
        <v>Tropical montane</v>
      </c>
      <c r="E64" s="26"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26" t="str" cm="1">
        <f t="array" ref="D65">Common_InputFunctions.Utility_DisplayArrayInTable(Common_SourceData.Common_SourceData_WetAndDryZones_Data(), Table_SourceData_WetDryZones[[#Headers],[Climate zone]], 0)</f>
        <v>Tropical wet</v>
      </c>
      <c r="E65" s="26"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26" t="str" cm="1">
        <f t="array" ref="D66">Common_InputFunctions.Utility_DisplayArrayInTable(Common_SourceData.Common_SourceData_WetAndDryZones_Data(), Table_SourceData_WetDryZones[[#Headers],[Climate zone]], 0)</f>
        <v>Tropical moist</v>
      </c>
      <c r="E66" s="26"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26" t="str" cm="1">
        <f t="array" ref="D67">Common_InputFunctions.Utility_DisplayArrayInTable(Common_SourceData.Common_SourceData_WetAndDryZones_Data(), Table_SourceData_WetDryZones[[#Headers],[Climate zone]], 0)</f>
        <v>Tropical dry</v>
      </c>
      <c r="E67" s="26"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26" t="str" cm="1">
        <f t="array" ref="D68">Common_InputFunctions.Utility_DisplayArrayInTable(Common_SourceData.Common_SourceData_WetAndDryZones_Data(), Table_SourceData_WetDryZones[[#Headers],[Climate zone]], 0)</f>
        <v>Warm temperate moist</v>
      </c>
      <c r="E68" s="26"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26" t="str" cm="1">
        <f t="array" ref="D69">Common_InputFunctions.Utility_DisplayArrayInTable(Common_SourceData.Common_SourceData_WetAndDryZones_Data(), Table_SourceData_WetDryZones[[#Headers],[Climate zone]], 0)</f>
        <v>Warm temperate dry</v>
      </c>
      <c r="E69" s="26"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26" t="str" cm="1">
        <f t="array" ref="D70">Common_InputFunctions.Utility_DisplayArrayInTable(Common_SourceData.Common_SourceData_WetAndDryZones_Data(), Table_SourceData_WetDryZones[[#Headers],[Climate zone]], 0)</f>
        <v>Cool temperate moist</v>
      </c>
      <c r="E70" s="26"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26" t="str" cm="1">
        <f t="array" ref="D71">Common_InputFunctions.Utility_DisplayArrayInTable(Common_SourceData.Common_SourceData_WetAndDryZones_Data(), Table_SourceData_WetDryZones[[#Headers],[Climate zone]], 0)</f>
        <v>Cool temperate dry</v>
      </c>
      <c r="E71" s="26"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26" t="str" cm="1">
        <f t="array" ref="D72">Common_InputFunctions.Utility_DisplayArrayInTable(Common_SourceData.Common_SourceData_WetAndDryZones_Data(), Table_SourceData_WetDryZones[[#Headers],[Climate zone]], 0)</f>
        <v>Warm temperate moist - low frost</v>
      </c>
      <c r="E72" s="26"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26" t="str" cm="1">
        <f t="array" ref="D73">Common_InputFunctions.Utility_DisplayArrayInTable(Common_SourceData.Common_SourceData_WetAndDryZones_Data(), Table_SourceData_WetDryZones[[#Headers],[Climate zone]], 0)</f>
        <v>Warm temperate dry - low frost</v>
      </c>
      <c r="E73" s="26"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26" t="str" cm="1">
        <f t="array" ref="D74">Common_InputFunctions.Utility_DisplayArrayInTable(Common_SourceData.Common_SourceData_WetAndDryZones_Data(), Table_SourceData_WetDryZones[[#Headers],[Climate zone]], 0)</f>
        <v>Warm temperate moist - high temp</v>
      </c>
      <c r="E74" s="26"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26" t="str" cm="1">
        <f t="array" ref="D75">Common_InputFunctions.Utility_DisplayArrayInTable(Common_SourceData.Common_SourceData_WetAndDryZones_Data(), Table_SourceData_WetDryZones[[#Headers],[Climate zone]], 0)</f>
        <v>Warm temperate dry - high temp</v>
      </c>
      <c r="E75" s="26"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26" t="str" cm="1">
        <f t="array" ref="D76">Common_InputFunctions.Utility_DisplayArrayInTable(Common_SourceData.Common_SourceData_WetAndDryZones_Data(), Table_SourceData_WetDryZones[[#Headers],[Climate zone]], 0)</f>
        <v>Cool temperate moist - low frost</v>
      </c>
      <c r="E76" s="26"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26" t="str" cm="1">
        <f t="array" ref="D77">Common_InputFunctions.Utility_DisplayArrayInTable(Common_SourceData.Common_SourceData_WetAndDryZones_Data(), Table_SourceData_WetDryZones[[#Headers],[Climate zone]], 0)</f>
        <v>Cool temperate dry - low frost</v>
      </c>
      <c r="E77" s="26"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5" t="str" cm="1">
        <f t="array" ref="D81">Common_SourceData.Common_SourceData_ClimateZones_Title()</f>
        <v>VEERG Australian climate zones</v>
      </c>
    </row>
    <row r="82" spans="4:20" ht="20.100000000000001" customHeight="1" x14ac:dyDescent="0.25">
      <c r="D82" s="4" t="str" cm="1">
        <f t="array" ref="D82">Common_SourceData.Common_SourceData_ClimateZones_Source()</f>
        <v>VEERG 2026: Table 1.3: Climate and Rainfall zone classifications and definitions</v>
      </c>
    </row>
    <row r="83" spans="4:20" ht="20.100000000000001" customHeight="1" x14ac:dyDescent="0.25">
      <c r="D83" s="31" t="str" cm="1">
        <f t="array" ref="D83:D87">"⚠️" &amp; Common_SourceData.Common_SourceData_ClimateZones_Variation()</f>
        <v>⚠️VARIATION OF SOURCE DATA:</v>
      </c>
    </row>
    <row r="84" spans="4:20" ht="20.100000000000001" customHeight="1" x14ac:dyDescent="0.25">
      <c r="D84" s="31" t="str">
        <v>⚠️Added warm / cool temperate moist / dry - low frost and high temp classes to accommodate climate scenarios excluded by VEERG criteria.</v>
      </c>
    </row>
    <row r="85" spans="4:20" ht="20.100000000000001" customHeight="1" x14ac:dyDescent="0.25">
      <c r="D85" s="31" t="str">
        <v>⚠️Fixed typo in MAT value for warm temperate dry - changed 10 to 11.</v>
      </c>
    </row>
    <row r="86" spans="4:20" ht="20.100000000000001" customHeight="1" x14ac:dyDescent="0.25">
      <c r="D86" s="31" t="str">
        <v>⚠️Added min and max columns for MAT, MAP, frost days per year, elevation, MAP:PET to calculate zones from real climate data.</v>
      </c>
    </row>
    <row r="87" spans="4:20" ht="20.100000000000001" customHeight="1" x14ac:dyDescent="0.25">
      <c r="D87" s="31" t="str">
        <v>⚠️GAF accepts rainfall as a proxy for precipitation.</v>
      </c>
    </row>
    <row r="88" spans="4:20" ht="20.100000000000001" customHeight="1" x14ac:dyDescent="0.25"/>
    <row r="89" spans="4:20" ht="20.100000000000001" customHeight="1" x14ac:dyDescent="0.25">
      <c r="D89" s="26" t="s">
        <v>4</v>
      </c>
      <c r="E89" s="26" t="s">
        <v>19</v>
      </c>
      <c r="F89" s="26" t="s">
        <v>20</v>
      </c>
      <c r="G89" s="26" t="s">
        <v>21</v>
      </c>
      <c r="H89" s="26" t="s">
        <v>22</v>
      </c>
      <c r="I89" s="26" t="s">
        <v>23</v>
      </c>
      <c r="J89" s="26" t="s">
        <v>24</v>
      </c>
      <c r="K89" s="26" t="s">
        <v>25</v>
      </c>
      <c r="L89" s="26" t="s">
        <v>26</v>
      </c>
      <c r="M89" s="26" t="s">
        <v>27</v>
      </c>
      <c r="N89" s="26" t="s">
        <v>28</v>
      </c>
      <c r="O89" s="26" t="s">
        <v>32</v>
      </c>
      <c r="P89" s="26" t="s">
        <v>29</v>
      </c>
      <c r="Q89" s="26" t="s">
        <v>33</v>
      </c>
      <c r="R89" s="26" t="s">
        <v>30</v>
      </c>
      <c r="S89" s="26" t="s">
        <v>34</v>
      </c>
      <c r="T89" s="26"/>
    </row>
    <row r="90" spans="4:20" ht="20.100000000000001" customHeight="1" x14ac:dyDescent="0.25">
      <c r="D90" s="26" t="str" cm="1">
        <f t="array" ref="D90">Common_InputFunctions.Utility_DisplayArrayInTable(Common_SourceData.Common_SourceData_ClimateZones_Data(), Table_SourceData_ClimateZones[[#Headers],[Climate zone]], 0)</f>
        <v>Tropical montane</v>
      </c>
      <c r="E90" s="26" t="str" cm="1">
        <f t="array" ref="E90">Common_InputFunctions.Utility_DisplayArrayInTable(Common_SourceData.Common_SourceData_ClimateZones_Data(), Table_SourceData_ClimateZones[[#Headers],[Climate zone]], 0)</f>
        <v>&gt; 18 C</v>
      </c>
      <c r="F90" s="26" t="str" cm="1">
        <f t="array" ref="F90">Common_InputFunctions.Utility_DisplayArrayInTable(Common_SourceData.Common_SourceData_ClimateZones_Data(), Table_SourceData_ClimateZones[[#Headers],[Climate zone]], 0)</f>
        <v>Any</v>
      </c>
      <c r="G90" s="26" t="str" cm="1">
        <f t="array" ref="G90">Common_InputFunctions.Utility_DisplayArrayInTable(Common_SourceData.Common_SourceData_ClimateZones_Data(), Table_SourceData_ClimateZones[[#Headers],[Climate zone]], 0)</f>
        <v>≤ 7</v>
      </c>
      <c r="H90" s="26" t="str" cm="1">
        <f t="array" ref="H90">Common_InputFunctions.Utility_DisplayArrayInTable(Common_SourceData.Common_SourceData_ClimateZones_Data(), Table_SourceData_ClimateZones[[#Headers],[Climate zone]], 0)</f>
        <v>&gt; 1000 m</v>
      </c>
      <c r="I90" s="26" t="str" cm="1">
        <f t="array" ref="I90">Common_InputFunctions.Utility_DisplayArrayInTable(Common_SourceData.Common_SourceData_ClimateZones_Data(), Table_SourceData_ClimateZones[[#Headers],[Climate zone]], 0)</f>
        <v>Any</v>
      </c>
      <c r="J90" s="26" cm="1">
        <f t="array" ref="J90">Common_InputFunctions.Utility_DisplayArrayInTable(Common_SourceData.Common_SourceData_ClimateZones_Data(), Table_SourceData_ClimateZones[[#Headers],[Climate zone]], 0)</f>
        <v>18.001000000000001</v>
      </c>
      <c r="K90" s="26" cm="1">
        <f t="array" ref="K90">Common_InputFunctions.Utility_DisplayArrayInTable(Common_SourceData.Common_SourceData_ClimateZones_Data(), Table_SourceData_ClimateZones[[#Headers],[Climate zone]], 0)</f>
        <v>999999</v>
      </c>
      <c r="L90" s="26" cm="1">
        <f t="array" ref="L90">Common_InputFunctions.Utility_DisplayArrayInTable(Common_SourceData.Common_SourceData_ClimateZones_Data(), Table_SourceData_ClimateZones[[#Headers],[Climate zone]], 0)</f>
        <v>-999999</v>
      </c>
      <c r="M90" s="26" cm="1">
        <f t="array" ref="M90">Common_InputFunctions.Utility_DisplayArrayInTable(Common_SourceData.Common_SourceData_ClimateZones_Data(), Table_SourceData_ClimateZones[[#Headers],[Climate zone]], 0)</f>
        <v>999999</v>
      </c>
      <c r="N90" s="26" cm="1">
        <f t="array" ref="N90">Common_InputFunctions.Utility_DisplayArrayInTable(Common_SourceData.Common_SourceData_ClimateZones_Data(), Table_SourceData_ClimateZones[[#Headers],[Climate zone]], 0)</f>
        <v>-999999</v>
      </c>
      <c r="O90" s="26" cm="1">
        <f t="array" ref="O90">Common_InputFunctions.Utility_DisplayArrayInTable(Common_SourceData.Common_SourceData_ClimateZones_Data(), Table_SourceData_ClimateZones[[#Headers],[Climate zone]], 0)</f>
        <v>7</v>
      </c>
      <c r="P90" s="26" cm="1">
        <f t="array" ref="P90">Common_InputFunctions.Utility_DisplayArrayInTable(Common_SourceData.Common_SourceData_ClimateZones_Data(), Table_SourceData_ClimateZones[[#Headers],[Climate zone]], 0)</f>
        <v>1000</v>
      </c>
      <c r="Q90" s="26" cm="1">
        <f t="array" ref="Q90">Common_InputFunctions.Utility_DisplayArrayInTable(Common_SourceData.Common_SourceData_ClimateZones_Data(), Table_SourceData_ClimateZones[[#Headers],[Climate zone]], 0)</f>
        <v>999999</v>
      </c>
      <c r="R90" s="26" cm="1">
        <f t="array" ref="R90">Common_InputFunctions.Utility_DisplayArrayInTable(Common_SourceData.Common_SourceData_ClimateZones_Data(), Table_SourceData_ClimateZones[[#Headers],[Climate zone]], 0)</f>
        <v>-999999</v>
      </c>
      <c r="S90" s="26" cm="1">
        <f t="array" ref="S90">Common_InputFunctions.Utility_DisplayArrayInTable(Common_SourceData.Common_SourceData_ClimateZones_Data(), Table_SourceData_ClimateZones[[#Headers],[Climate zone]], 0)</f>
        <v>999999</v>
      </c>
      <c r="T90" s="26"/>
    </row>
    <row r="91" spans="4:20" ht="20.100000000000001" customHeight="1" x14ac:dyDescent="0.25">
      <c r="D91" s="26" t="str" cm="1">
        <f t="array" ref="D91">Common_InputFunctions.Utility_DisplayArrayInTable(Common_SourceData.Common_SourceData_ClimateZones_Data(), Table_SourceData_ClimateZones[[#Headers],[Climate zone]], 0)</f>
        <v>Tropical wet</v>
      </c>
      <c r="E91" s="26" t="str" cm="1">
        <f t="array" ref="E91">Common_InputFunctions.Utility_DisplayArrayInTable(Common_SourceData.Common_SourceData_ClimateZones_Data(), Table_SourceData_ClimateZones[[#Headers],[Climate zone]], 0)</f>
        <v>&gt; 18 C</v>
      </c>
      <c r="F91" s="26" t="str" cm="1">
        <f t="array" ref="F91">Common_InputFunctions.Utility_DisplayArrayInTable(Common_SourceData.Common_SourceData_ClimateZones_Data(), Table_SourceData_ClimateZones[[#Headers],[Climate zone]], 0)</f>
        <v>&gt; 2000 mm</v>
      </c>
      <c r="G91" s="26" t="str" cm="1">
        <f t="array" ref="G91">Common_InputFunctions.Utility_DisplayArrayInTable(Common_SourceData.Common_SourceData_ClimateZones_Data(), Table_SourceData_ClimateZones[[#Headers],[Climate zone]], 0)</f>
        <v>≤ 7</v>
      </c>
      <c r="H91" s="26" t="str" cm="1">
        <f t="array" ref="H91">Common_InputFunctions.Utility_DisplayArrayInTable(Common_SourceData.Common_SourceData_ClimateZones_Data(), Table_SourceData_ClimateZones[[#Headers],[Climate zone]], 0)</f>
        <v>≤ 1000 m</v>
      </c>
      <c r="I91" s="26" t="str" cm="1">
        <f t="array" ref="I91">Common_InputFunctions.Utility_DisplayArrayInTable(Common_SourceData.Common_SourceData_ClimateZones_Data(), Table_SourceData_ClimateZones[[#Headers],[Climate zone]], 0)</f>
        <v>Any</v>
      </c>
      <c r="J91" s="26" cm="1">
        <f t="array" ref="J91">Common_InputFunctions.Utility_DisplayArrayInTable(Common_SourceData.Common_SourceData_ClimateZones_Data(), Table_SourceData_ClimateZones[[#Headers],[Climate zone]], 0)</f>
        <v>18.001000000000001</v>
      </c>
      <c r="K91" s="26" cm="1">
        <f t="array" ref="K91">Common_InputFunctions.Utility_DisplayArrayInTable(Common_SourceData.Common_SourceData_ClimateZones_Data(), Table_SourceData_ClimateZones[[#Headers],[Climate zone]], 0)</f>
        <v>999999</v>
      </c>
      <c r="L91" s="26" cm="1">
        <f t="array" ref="L91">Common_InputFunctions.Utility_DisplayArrayInTable(Common_SourceData.Common_SourceData_ClimateZones_Data(), Table_SourceData_ClimateZones[[#Headers],[Climate zone]], 0)</f>
        <v>2000.001</v>
      </c>
      <c r="M91" s="26" cm="1">
        <f t="array" ref="M91">Common_InputFunctions.Utility_DisplayArrayInTable(Common_SourceData.Common_SourceData_ClimateZones_Data(), Table_SourceData_ClimateZones[[#Headers],[Climate zone]], 0)</f>
        <v>999999</v>
      </c>
      <c r="N91" s="26" cm="1">
        <f t="array" ref="N91">Common_InputFunctions.Utility_DisplayArrayInTable(Common_SourceData.Common_SourceData_ClimateZones_Data(), Table_SourceData_ClimateZones[[#Headers],[Climate zone]], 0)</f>
        <v>-999999</v>
      </c>
      <c r="O91" s="26" cm="1">
        <f t="array" ref="O91">Common_InputFunctions.Utility_DisplayArrayInTable(Common_SourceData.Common_SourceData_ClimateZones_Data(), Table_SourceData_ClimateZones[[#Headers],[Climate zone]], 0)</f>
        <v>7</v>
      </c>
      <c r="P91" s="26" cm="1">
        <f t="array" ref="P91">Common_InputFunctions.Utility_DisplayArrayInTable(Common_SourceData.Common_SourceData_ClimateZones_Data(), Table_SourceData_ClimateZones[[#Headers],[Climate zone]], 0)</f>
        <v>-999999</v>
      </c>
      <c r="Q91" s="26" cm="1">
        <f t="array" ref="Q91">Common_InputFunctions.Utility_DisplayArrayInTable(Common_SourceData.Common_SourceData_ClimateZones_Data(), Table_SourceData_ClimateZones[[#Headers],[Climate zone]], 0)</f>
        <v>999.99900000000002</v>
      </c>
      <c r="R91" s="26" cm="1">
        <f t="array" ref="R91">Common_InputFunctions.Utility_DisplayArrayInTable(Common_SourceData.Common_SourceData_ClimateZones_Data(), Table_SourceData_ClimateZones[[#Headers],[Climate zone]], 0)</f>
        <v>-999999</v>
      </c>
      <c r="S91" s="26" cm="1">
        <f t="array" ref="S91">Common_InputFunctions.Utility_DisplayArrayInTable(Common_SourceData.Common_SourceData_ClimateZones_Data(), Table_SourceData_ClimateZones[[#Headers],[Climate zone]], 0)</f>
        <v>999999</v>
      </c>
      <c r="T91" s="26"/>
    </row>
    <row r="92" spans="4:20" ht="20.100000000000001" customHeight="1" x14ac:dyDescent="0.25">
      <c r="D92" s="26" t="str" cm="1">
        <f t="array" ref="D92">Common_InputFunctions.Utility_DisplayArrayInTable(Common_SourceData.Common_SourceData_ClimateZones_Data(), Table_SourceData_ClimateZones[[#Headers],[Climate zone]], 0)</f>
        <v>Tropical moist</v>
      </c>
      <c r="E92" s="26" t="str" cm="1">
        <f t="array" ref="E92">Common_InputFunctions.Utility_DisplayArrayInTable(Common_SourceData.Common_SourceData_ClimateZones_Data(), Table_SourceData_ClimateZones[[#Headers],[Climate zone]], 0)</f>
        <v>&gt; 18 C</v>
      </c>
      <c r="F92" s="26" t="str" cm="1">
        <f t="array" ref="F92">Common_InputFunctions.Utility_DisplayArrayInTable(Common_SourceData.Common_SourceData_ClimateZones_Data(), Table_SourceData_ClimateZones[[#Headers],[Climate zone]], 0)</f>
        <v>&gt; 1000 mm - ≤ 2000 mm</v>
      </c>
      <c r="G92" s="26" t="str" cm="1">
        <f t="array" ref="G92">Common_InputFunctions.Utility_DisplayArrayInTable(Common_SourceData.Common_SourceData_ClimateZones_Data(), Table_SourceData_ClimateZones[[#Headers],[Climate zone]], 0)</f>
        <v>≤ 7</v>
      </c>
      <c r="H92" s="26" t="str" cm="1">
        <f t="array" ref="H92">Common_InputFunctions.Utility_DisplayArrayInTable(Common_SourceData.Common_SourceData_ClimateZones_Data(), Table_SourceData_ClimateZones[[#Headers],[Climate zone]], 0)</f>
        <v>≤ 1000 m</v>
      </c>
      <c r="I92" s="26" t="str" cm="1">
        <f t="array" ref="I92">Common_InputFunctions.Utility_DisplayArrayInTable(Common_SourceData.Common_SourceData_ClimateZones_Data(), Table_SourceData_ClimateZones[[#Headers],[Climate zone]], 0)</f>
        <v>Any</v>
      </c>
      <c r="J92" s="26" cm="1">
        <f t="array" ref="J92">Common_InputFunctions.Utility_DisplayArrayInTable(Common_SourceData.Common_SourceData_ClimateZones_Data(), Table_SourceData_ClimateZones[[#Headers],[Climate zone]], 0)</f>
        <v>18.001000000000001</v>
      </c>
      <c r="K92" s="26" cm="1">
        <f t="array" ref="K92">Common_InputFunctions.Utility_DisplayArrayInTable(Common_SourceData.Common_SourceData_ClimateZones_Data(), Table_SourceData_ClimateZones[[#Headers],[Climate zone]], 0)</f>
        <v>999999</v>
      </c>
      <c r="L92" s="26" cm="1">
        <f t="array" ref="L92">Common_InputFunctions.Utility_DisplayArrayInTable(Common_SourceData.Common_SourceData_ClimateZones_Data(), Table_SourceData_ClimateZones[[#Headers],[Climate zone]], 0)</f>
        <v>1000.001</v>
      </c>
      <c r="M92" s="26" cm="1">
        <f t="array" ref="M92">Common_InputFunctions.Utility_DisplayArrayInTable(Common_SourceData.Common_SourceData_ClimateZones_Data(), Table_SourceData_ClimateZones[[#Headers],[Climate zone]], 0)</f>
        <v>2000</v>
      </c>
      <c r="N92" s="26" cm="1">
        <f t="array" ref="N92">Common_InputFunctions.Utility_DisplayArrayInTable(Common_SourceData.Common_SourceData_ClimateZones_Data(), Table_SourceData_ClimateZones[[#Headers],[Climate zone]], 0)</f>
        <v>-999999</v>
      </c>
      <c r="O92" s="26" cm="1">
        <f t="array" ref="O92">Common_InputFunctions.Utility_DisplayArrayInTable(Common_SourceData.Common_SourceData_ClimateZones_Data(), Table_SourceData_ClimateZones[[#Headers],[Climate zone]], 0)</f>
        <v>7</v>
      </c>
      <c r="P92" s="26" cm="1">
        <f t="array" ref="P92">Common_InputFunctions.Utility_DisplayArrayInTable(Common_SourceData.Common_SourceData_ClimateZones_Data(), Table_SourceData_ClimateZones[[#Headers],[Climate zone]], 0)</f>
        <v>-999999</v>
      </c>
      <c r="Q92" s="26" cm="1">
        <f t="array" ref="Q92">Common_InputFunctions.Utility_DisplayArrayInTable(Common_SourceData.Common_SourceData_ClimateZones_Data(), Table_SourceData_ClimateZones[[#Headers],[Climate zone]], 0)</f>
        <v>999.99900000000002</v>
      </c>
      <c r="R92" s="26" cm="1">
        <f t="array" ref="R92">Common_InputFunctions.Utility_DisplayArrayInTable(Common_SourceData.Common_SourceData_ClimateZones_Data(), Table_SourceData_ClimateZones[[#Headers],[Climate zone]], 0)</f>
        <v>-999999</v>
      </c>
      <c r="S92" s="26" cm="1">
        <f t="array" ref="S92">Common_InputFunctions.Utility_DisplayArrayInTable(Common_SourceData.Common_SourceData_ClimateZones_Data(), Table_SourceData_ClimateZones[[#Headers],[Climate zone]], 0)</f>
        <v>999999</v>
      </c>
      <c r="T92" s="26"/>
    </row>
    <row r="93" spans="4:20" ht="20.100000000000001" customHeight="1" x14ac:dyDescent="0.25">
      <c r="D93" s="26" t="str" cm="1">
        <f t="array" ref="D93">Common_InputFunctions.Utility_DisplayArrayInTable(Common_SourceData.Common_SourceData_ClimateZones_Data(), Table_SourceData_ClimateZones[[#Headers],[Climate zone]], 0)</f>
        <v>Tropical dry</v>
      </c>
      <c r="E93" s="26" t="str" cm="1">
        <f t="array" ref="E93">Common_InputFunctions.Utility_DisplayArrayInTable(Common_SourceData.Common_SourceData_ClimateZones_Data(), Table_SourceData_ClimateZones[[#Headers],[Climate zone]], 0)</f>
        <v>&gt; 18 C</v>
      </c>
      <c r="F93" s="26" t="str" cm="1">
        <f t="array" ref="F93">Common_InputFunctions.Utility_DisplayArrayInTable(Common_SourceData.Common_SourceData_ClimateZones_Data(), Table_SourceData_ClimateZones[[#Headers],[Climate zone]], 0)</f>
        <v>≤ 1000 mm</v>
      </c>
      <c r="G93" s="26" t="str" cm="1">
        <f t="array" ref="G93">Common_InputFunctions.Utility_DisplayArrayInTable(Common_SourceData.Common_SourceData_ClimateZones_Data(), Table_SourceData_ClimateZones[[#Headers],[Climate zone]], 0)</f>
        <v>≤ 7</v>
      </c>
      <c r="H93" s="26" t="str" cm="1">
        <f t="array" ref="H93">Common_InputFunctions.Utility_DisplayArrayInTable(Common_SourceData.Common_SourceData_ClimateZones_Data(), Table_SourceData_ClimateZones[[#Headers],[Climate zone]], 0)</f>
        <v>≤ 1000 m</v>
      </c>
      <c r="I93" s="26" t="str" cm="1">
        <f t="array" ref="I93">Common_InputFunctions.Utility_DisplayArrayInTable(Common_SourceData.Common_SourceData_ClimateZones_Data(), Table_SourceData_ClimateZones[[#Headers],[Climate zone]], 0)</f>
        <v>Any</v>
      </c>
      <c r="J93" s="26" cm="1">
        <f t="array" ref="J93">Common_InputFunctions.Utility_DisplayArrayInTable(Common_SourceData.Common_SourceData_ClimateZones_Data(), Table_SourceData_ClimateZones[[#Headers],[Climate zone]], 0)</f>
        <v>18.001000000000001</v>
      </c>
      <c r="K93" s="26" cm="1">
        <f t="array" ref="K93">Common_InputFunctions.Utility_DisplayArrayInTable(Common_SourceData.Common_SourceData_ClimateZones_Data(), Table_SourceData_ClimateZones[[#Headers],[Climate zone]], 0)</f>
        <v>999999</v>
      </c>
      <c r="L93" s="26" cm="1">
        <f t="array" ref="L93">Common_InputFunctions.Utility_DisplayArrayInTable(Common_SourceData.Common_SourceData_ClimateZones_Data(), Table_SourceData_ClimateZones[[#Headers],[Climate zone]], 0)</f>
        <v>-999999</v>
      </c>
      <c r="M93" s="26" cm="1">
        <f t="array" ref="M93">Common_InputFunctions.Utility_DisplayArrayInTable(Common_SourceData.Common_SourceData_ClimateZones_Data(), Table_SourceData_ClimateZones[[#Headers],[Climate zone]], 0)</f>
        <v>1000</v>
      </c>
      <c r="N93" s="26" cm="1">
        <f t="array" ref="N93">Common_InputFunctions.Utility_DisplayArrayInTable(Common_SourceData.Common_SourceData_ClimateZones_Data(), Table_SourceData_ClimateZones[[#Headers],[Climate zone]], 0)</f>
        <v>-999999</v>
      </c>
      <c r="O93" s="26" cm="1">
        <f t="array" ref="O93">Common_InputFunctions.Utility_DisplayArrayInTable(Common_SourceData.Common_SourceData_ClimateZones_Data(), Table_SourceData_ClimateZones[[#Headers],[Climate zone]], 0)</f>
        <v>7</v>
      </c>
      <c r="P93" s="26" cm="1">
        <f t="array" ref="P93">Common_InputFunctions.Utility_DisplayArrayInTable(Common_SourceData.Common_SourceData_ClimateZones_Data(), Table_SourceData_ClimateZones[[#Headers],[Climate zone]], 0)</f>
        <v>-999999</v>
      </c>
      <c r="Q93" s="26" cm="1">
        <f t="array" ref="Q93">Common_InputFunctions.Utility_DisplayArrayInTable(Common_SourceData.Common_SourceData_ClimateZones_Data(), Table_SourceData_ClimateZones[[#Headers],[Climate zone]], 0)</f>
        <v>999.99900000000002</v>
      </c>
      <c r="R93" s="26" cm="1">
        <f t="array" ref="R93">Common_InputFunctions.Utility_DisplayArrayInTable(Common_SourceData.Common_SourceData_ClimateZones_Data(), Table_SourceData_ClimateZones[[#Headers],[Climate zone]], 0)</f>
        <v>-999999</v>
      </c>
      <c r="S93" s="26" cm="1">
        <f t="array" ref="S93">Common_InputFunctions.Utility_DisplayArrayInTable(Common_SourceData.Common_SourceData_ClimateZones_Data(), Table_SourceData_ClimateZones[[#Headers],[Climate zone]], 0)</f>
        <v>999999</v>
      </c>
      <c r="T93" s="26"/>
    </row>
    <row r="94" spans="4:20" ht="20.100000000000001" customHeight="1" x14ac:dyDescent="0.25">
      <c r="D94" s="26" t="str" cm="1">
        <f t="array" ref="D94">Common_InputFunctions.Utility_DisplayArrayInTable(Common_SourceData.Common_SourceData_ClimateZones_Data(), Table_SourceData_ClimateZones[[#Headers],[Climate zone]], 0)</f>
        <v>Warm temperate moist</v>
      </c>
      <c r="E94" s="26" t="str" cm="1">
        <f t="array" ref="E94">Common_InputFunctions.Utility_DisplayArrayInTable(Common_SourceData.Common_SourceData_ClimateZones_Data(), Table_SourceData_ClimateZones[[#Headers],[Climate zone]], 0)</f>
        <v>&gt; 10 C</v>
      </c>
      <c r="F94" s="26" t="str" cm="1">
        <f t="array" ref="F94">Common_InputFunctions.Utility_DisplayArrayInTable(Common_SourceData.Common_SourceData_ClimateZones_Data(), Table_SourceData_ClimateZones[[#Headers],[Climate zone]], 0)</f>
        <v>Any</v>
      </c>
      <c r="G94" s="26" t="str" cm="1">
        <f t="array" ref="G94">Common_InputFunctions.Utility_DisplayArrayInTable(Common_SourceData.Common_SourceData_ClimateZones_Data(), Table_SourceData_ClimateZones[[#Headers],[Climate zone]], 0)</f>
        <v>Any</v>
      </c>
      <c r="H94" s="26" t="str" cm="1">
        <f t="array" ref="H94">Common_InputFunctions.Utility_DisplayArrayInTable(Common_SourceData.Common_SourceData_ClimateZones_Data(), Table_SourceData_ClimateZones[[#Headers],[Climate zone]], 0)</f>
        <v>Any</v>
      </c>
      <c r="I94" s="26" t="str" cm="1">
        <f t="array" ref="I94">Common_InputFunctions.Utility_DisplayArrayInTable(Common_SourceData.Common_SourceData_ClimateZones_Data(), Table_SourceData_ClimateZones[[#Headers],[Climate zone]], 0)</f>
        <v>&gt; 1</v>
      </c>
      <c r="J94" s="26" cm="1">
        <f t="array" ref="J94">Common_InputFunctions.Utility_DisplayArrayInTable(Common_SourceData.Common_SourceData_ClimateZones_Data(), Table_SourceData_ClimateZones[[#Headers],[Climate zone]], 0)</f>
        <v>10.000999999999999</v>
      </c>
      <c r="K94" s="26" cm="1">
        <f t="array" ref="K94">Common_InputFunctions.Utility_DisplayArrayInTable(Common_SourceData.Common_SourceData_ClimateZones_Data(), Table_SourceData_ClimateZones[[#Headers],[Climate zone]], 0)</f>
        <v>999999</v>
      </c>
      <c r="L94" s="26" cm="1">
        <f t="array" ref="L94">Common_InputFunctions.Utility_DisplayArrayInTable(Common_SourceData.Common_SourceData_ClimateZones_Data(), Table_SourceData_ClimateZones[[#Headers],[Climate zone]], 0)</f>
        <v>-999999</v>
      </c>
      <c r="M94" s="26" cm="1">
        <f t="array" ref="M94">Common_InputFunctions.Utility_DisplayArrayInTable(Common_SourceData.Common_SourceData_ClimateZones_Data(), Table_SourceData_ClimateZones[[#Headers],[Climate zone]], 0)</f>
        <v>999999</v>
      </c>
      <c r="N94" s="26" cm="1">
        <f t="array" ref="N94">Common_InputFunctions.Utility_DisplayArrayInTable(Common_SourceData.Common_SourceData_ClimateZones_Data(), Table_SourceData_ClimateZones[[#Headers],[Climate zone]], 0)</f>
        <v>-999999</v>
      </c>
      <c r="O94" s="26" cm="1">
        <f t="array" ref="O94">Common_InputFunctions.Utility_DisplayArrayInTable(Common_SourceData.Common_SourceData_ClimateZones_Data(), Table_SourceData_ClimateZones[[#Headers],[Climate zone]], 0)</f>
        <v>999999</v>
      </c>
      <c r="P94" s="26" cm="1">
        <f t="array" ref="P94">Common_InputFunctions.Utility_DisplayArrayInTable(Common_SourceData.Common_SourceData_ClimateZones_Data(), Table_SourceData_ClimateZones[[#Headers],[Climate zone]], 0)</f>
        <v>-999999</v>
      </c>
      <c r="Q94" s="26" cm="1">
        <f t="array" ref="Q94">Common_InputFunctions.Utility_DisplayArrayInTable(Common_SourceData.Common_SourceData_ClimateZones_Data(), Table_SourceData_ClimateZones[[#Headers],[Climate zone]], 0)</f>
        <v>999999</v>
      </c>
      <c r="R94" s="26" cm="1">
        <f t="array" ref="R94">Common_InputFunctions.Utility_DisplayArrayInTable(Common_SourceData.Common_SourceData_ClimateZones_Data(), Table_SourceData_ClimateZones[[#Headers],[Climate zone]], 0)</f>
        <v>1.0009999999999999</v>
      </c>
      <c r="S94" s="26" cm="1">
        <f t="array" ref="S94">Common_InputFunctions.Utility_DisplayArrayInTable(Common_SourceData.Common_SourceData_ClimateZones_Data(), Table_SourceData_ClimateZones[[#Headers],[Climate zone]], 0)</f>
        <v>999999</v>
      </c>
      <c r="T94" s="26"/>
    </row>
    <row r="95" spans="4:20" ht="20.100000000000001" customHeight="1" x14ac:dyDescent="0.25">
      <c r="D95" s="26" t="str" cm="1">
        <f t="array" ref="D95">Common_InputFunctions.Utility_DisplayArrayInTable(Common_SourceData.Common_SourceData_ClimateZones_Data(), Table_SourceData_ClimateZones[[#Headers],[Climate zone]], 0)</f>
        <v>Warm temperate dry</v>
      </c>
      <c r="E95" s="26" t="str" cm="1">
        <f t="array" ref="E95">Common_InputFunctions.Utility_DisplayArrayInTable(Common_SourceData.Common_SourceData_ClimateZones_Data(), Table_SourceData_ClimateZones[[#Headers],[Climate zone]], 0)</f>
        <v>&gt; 10 C</v>
      </c>
      <c r="F95" s="26" t="str" cm="1">
        <f t="array" ref="F95">Common_InputFunctions.Utility_DisplayArrayInTable(Common_SourceData.Common_SourceData_ClimateZones_Data(), Table_SourceData_ClimateZones[[#Headers],[Climate zone]], 0)</f>
        <v>Any</v>
      </c>
      <c r="G95" s="26" t="str" cm="1">
        <f t="array" ref="G95">Common_InputFunctions.Utility_DisplayArrayInTable(Common_SourceData.Common_SourceData_ClimateZones_Data(), Table_SourceData_ClimateZones[[#Headers],[Climate zone]], 0)</f>
        <v>Any</v>
      </c>
      <c r="H95" s="26" t="str" cm="1">
        <f t="array" ref="H95">Common_InputFunctions.Utility_DisplayArrayInTable(Common_SourceData.Common_SourceData_ClimateZones_Data(), Table_SourceData_ClimateZones[[#Headers],[Climate zone]], 0)</f>
        <v>Any</v>
      </c>
      <c r="I95" s="26" t="str" cm="1">
        <f t="array" ref="I95">Common_InputFunctions.Utility_DisplayArrayInTable(Common_SourceData.Common_SourceData_ClimateZones_Data(), Table_SourceData_ClimateZones[[#Headers],[Climate zone]], 0)</f>
        <v>≤ 1</v>
      </c>
      <c r="J95" s="26" cm="1">
        <f t="array" ref="J95">Common_InputFunctions.Utility_DisplayArrayInTable(Common_SourceData.Common_SourceData_ClimateZones_Data(), Table_SourceData_ClimateZones[[#Headers],[Climate zone]], 0)</f>
        <v>10.000999999999999</v>
      </c>
      <c r="K95" s="26" cm="1">
        <f t="array" ref="K95">Common_InputFunctions.Utility_DisplayArrayInTable(Common_SourceData.Common_SourceData_ClimateZones_Data(), Table_SourceData_ClimateZones[[#Headers],[Climate zone]], 0)</f>
        <v>999999</v>
      </c>
      <c r="L95" s="26" cm="1">
        <f t="array" ref="L95">Common_InputFunctions.Utility_DisplayArrayInTable(Common_SourceData.Common_SourceData_ClimateZones_Data(), Table_SourceData_ClimateZones[[#Headers],[Climate zone]], 0)</f>
        <v>-999999</v>
      </c>
      <c r="M95" s="26" cm="1">
        <f t="array" ref="M95">Common_InputFunctions.Utility_DisplayArrayInTable(Common_SourceData.Common_SourceData_ClimateZones_Data(), Table_SourceData_ClimateZones[[#Headers],[Climate zone]], 0)</f>
        <v>999999</v>
      </c>
      <c r="N95" s="26" cm="1">
        <f t="array" ref="N95">Common_InputFunctions.Utility_DisplayArrayInTable(Common_SourceData.Common_SourceData_ClimateZones_Data(), Table_SourceData_ClimateZones[[#Headers],[Climate zone]], 0)</f>
        <v>-999999</v>
      </c>
      <c r="O95" s="26" cm="1">
        <f t="array" ref="O95">Common_InputFunctions.Utility_DisplayArrayInTable(Common_SourceData.Common_SourceData_ClimateZones_Data(), Table_SourceData_ClimateZones[[#Headers],[Climate zone]], 0)</f>
        <v>999999</v>
      </c>
      <c r="P95" s="26" cm="1">
        <f t="array" ref="P95">Common_InputFunctions.Utility_DisplayArrayInTable(Common_SourceData.Common_SourceData_ClimateZones_Data(), Table_SourceData_ClimateZones[[#Headers],[Climate zone]], 0)</f>
        <v>-999999</v>
      </c>
      <c r="Q95" s="26" cm="1">
        <f t="array" ref="Q95">Common_InputFunctions.Utility_DisplayArrayInTable(Common_SourceData.Common_SourceData_ClimateZones_Data(), Table_SourceData_ClimateZones[[#Headers],[Climate zone]], 0)</f>
        <v>999999</v>
      </c>
      <c r="R95" s="26" cm="1">
        <f t="array" ref="R95">Common_InputFunctions.Utility_DisplayArrayInTable(Common_SourceData.Common_SourceData_ClimateZones_Data(), Table_SourceData_ClimateZones[[#Headers],[Climate zone]], 0)</f>
        <v>-999999</v>
      </c>
      <c r="S95" s="26" cm="1">
        <f t="array" ref="S95">Common_InputFunctions.Utility_DisplayArrayInTable(Common_SourceData.Common_SourceData_ClimateZones_Data(), Table_SourceData_ClimateZones[[#Headers],[Climate zone]], 0)</f>
        <v>1</v>
      </c>
      <c r="T95" s="26"/>
    </row>
    <row r="96" spans="4:20" ht="20.100000000000001" customHeight="1" x14ac:dyDescent="0.25">
      <c r="D96" s="26" t="str" cm="1">
        <f t="array" ref="D96">Common_InputFunctions.Utility_DisplayArrayInTable(Common_SourceData.Common_SourceData_ClimateZones_Data(), Table_SourceData_ClimateZones[[#Headers],[Climate zone]], 0)</f>
        <v>Cool temperate moist</v>
      </c>
      <c r="E96" s="26" t="str" cm="1">
        <f t="array" ref="E96">Common_InputFunctions.Utility_DisplayArrayInTable(Common_SourceData.Common_SourceData_ClimateZones_Data(), Table_SourceData_ClimateZones[[#Headers],[Climate zone]], 0)</f>
        <v>&gt; 0 C - ≤ 10 C</v>
      </c>
      <c r="F96" s="26" t="str" cm="1">
        <f t="array" ref="F96">Common_InputFunctions.Utility_DisplayArrayInTable(Common_SourceData.Common_SourceData_ClimateZones_Data(), Table_SourceData_ClimateZones[[#Headers],[Climate zone]], 0)</f>
        <v>Any</v>
      </c>
      <c r="G96" s="26" t="str" cm="1">
        <f t="array" ref="G96">Common_InputFunctions.Utility_DisplayArrayInTable(Common_SourceData.Common_SourceData_ClimateZones_Data(), Table_SourceData_ClimateZones[[#Headers],[Climate zone]], 0)</f>
        <v>Any</v>
      </c>
      <c r="H96" s="26" t="str" cm="1">
        <f t="array" ref="H96">Common_InputFunctions.Utility_DisplayArrayInTable(Common_SourceData.Common_SourceData_ClimateZones_Data(), Table_SourceData_ClimateZones[[#Headers],[Climate zone]], 0)</f>
        <v>Any</v>
      </c>
      <c r="I96" s="26" t="str" cm="1">
        <f t="array" ref="I96">Common_InputFunctions.Utility_DisplayArrayInTable(Common_SourceData.Common_SourceData_ClimateZones_Data(), Table_SourceData_ClimateZones[[#Headers],[Climate zone]], 0)</f>
        <v>&gt; 1</v>
      </c>
      <c r="J96" s="26" cm="1">
        <f t="array" ref="J96">Common_InputFunctions.Utility_DisplayArrayInTable(Common_SourceData.Common_SourceData_ClimateZones_Data(), Table_SourceData_ClimateZones[[#Headers],[Climate zone]], 0)</f>
        <v>-999999</v>
      </c>
      <c r="K96" s="26" cm="1">
        <f t="array" ref="K96">Common_InputFunctions.Utility_DisplayArrayInTable(Common_SourceData.Common_SourceData_ClimateZones_Data(), Table_SourceData_ClimateZones[[#Headers],[Climate zone]], 0)</f>
        <v>10</v>
      </c>
      <c r="L96" s="26" cm="1">
        <f t="array" ref="L96">Common_InputFunctions.Utility_DisplayArrayInTable(Common_SourceData.Common_SourceData_ClimateZones_Data(), Table_SourceData_ClimateZones[[#Headers],[Climate zone]], 0)</f>
        <v>-999999</v>
      </c>
      <c r="M96" s="26" cm="1">
        <f t="array" ref="M96">Common_InputFunctions.Utility_DisplayArrayInTable(Common_SourceData.Common_SourceData_ClimateZones_Data(), Table_SourceData_ClimateZones[[#Headers],[Climate zone]], 0)</f>
        <v>999999</v>
      </c>
      <c r="N96" s="26" cm="1">
        <f t="array" ref="N96">Common_InputFunctions.Utility_DisplayArrayInTable(Common_SourceData.Common_SourceData_ClimateZones_Data(), Table_SourceData_ClimateZones[[#Headers],[Climate zone]], 0)</f>
        <v>-999999</v>
      </c>
      <c r="O96" s="26" cm="1">
        <f t="array" ref="O96">Common_InputFunctions.Utility_DisplayArrayInTable(Common_SourceData.Common_SourceData_ClimateZones_Data(), Table_SourceData_ClimateZones[[#Headers],[Climate zone]], 0)</f>
        <v>999999</v>
      </c>
      <c r="P96" s="26" cm="1">
        <f t="array" ref="P96">Common_InputFunctions.Utility_DisplayArrayInTable(Common_SourceData.Common_SourceData_ClimateZones_Data(), Table_SourceData_ClimateZones[[#Headers],[Climate zone]], 0)</f>
        <v>-999999</v>
      </c>
      <c r="Q96" s="26" cm="1">
        <f t="array" ref="Q96">Common_InputFunctions.Utility_DisplayArrayInTable(Common_SourceData.Common_SourceData_ClimateZones_Data(), Table_SourceData_ClimateZones[[#Headers],[Climate zone]], 0)</f>
        <v>999999</v>
      </c>
      <c r="R96" s="26" cm="1">
        <f t="array" ref="R96">Common_InputFunctions.Utility_DisplayArrayInTable(Common_SourceData.Common_SourceData_ClimateZones_Data(), Table_SourceData_ClimateZones[[#Headers],[Climate zone]], 0)</f>
        <v>1.0009999999999999</v>
      </c>
      <c r="S96" s="26" cm="1">
        <f t="array" ref="S96">Common_InputFunctions.Utility_DisplayArrayInTable(Common_SourceData.Common_SourceData_ClimateZones_Data(), Table_SourceData_ClimateZones[[#Headers],[Climate zone]], 0)</f>
        <v>999999</v>
      </c>
      <c r="T96" s="26"/>
    </row>
    <row r="97" spans="4:20" ht="20.100000000000001" customHeight="1" x14ac:dyDescent="0.25">
      <c r="D97" s="26" t="str" cm="1">
        <f t="array" ref="D97">Common_InputFunctions.Utility_DisplayArrayInTable(Common_SourceData.Common_SourceData_ClimateZones_Data(), Table_SourceData_ClimateZones[[#Headers],[Climate zone]], 0)</f>
        <v>Cool temperate dry</v>
      </c>
      <c r="E97" s="26" t="str" cm="1">
        <f t="array" ref="E97">Common_InputFunctions.Utility_DisplayArrayInTable(Common_SourceData.Common_SourceData_ClimateZones_Data(), Table_SourceData_ClimateZones[[#Headers],[Climate zone]], 0)</f>
        <v>&gt; 0 C - ≤ 10 C</v>
      </c>
      <c r="F97" s="26" t="str" cm="1">
        <f t="array" ref="F97">Common_InputFunctions.Utility_DisplayArrayInTable(Common_SourceData.Common_SourceData_ClimateZones_Data(), Table_SourceData_ClimateZones[[#Headers],[Climate zone]], 0)</f>
        <v>Any</v>
      </c>
      <c r="G97" s="26" t="str" cm="1">
        <f t="array" ref="G97">Common_InputFunctions.Utility_DisplayArrayInTable(Common_SourceData.Common_SourceData_ClimateZones_Data(), Table_SourceData_ClimateZones[[#Headers],[Climate zone]], 0)</f>
        <v>Any</v>
      </c>
      <c r="H97" s="26" t="str" cm="1">
        <f t="array" ref="H97">Common_InputFunctions.Utility_DisplayArrayInTable(Common_SourceData.Common_SourceData_ClimateZones_Data(), Table_SourceData_ClimateZones[[#Headers],[Climate zone]], 0)</f>
        <v>Any</v>
      </c>
      <c r="I97" s="26" t="str" cm="1">
        <f t="array" ref="I97">Common_InputFunctions.Utility_DisplayArrayInTable(Common_SourceData.Common_SourceData_ClimateZones_Data(), Table_SourceData_ClimateZones[[#Headers],[Climate zone]], 0)</f>
        <v>≤ 1</v>
      </c>
      <c r="J97" s="26" cm="1">
        <f t="array" ref="J97">Common_InputFunctions.Utility_DisplayArrayInTable(Common_SourceData.Common_SourceData_ClimateZones_Data(), Table_SourceData_ClimateZones[[#Headers],[Climate zone]], 0)</f>
        <v>-999999</v>
      </c>
      <c r="K97" s="26" cm="1">
        <f t="array" ref="K97">Common_InputFunctions.Utility_DisplayArrayInTable(Common_SourceData.Common_SourceData_ClimateZones_Data(), Table_SourceData_ClimateZones[[#Headers],[Climate zone]], 0)</f>
        <v>10</v>
      </c>
      <c r="L97" s="26" cm="1">
        <f t="array" ref="L97">Common_InputFunctions.Utility_DisplayArrayInTable(Common_SourceData.Common_SourceData_ClimateZones_Data(), Table_SourceData_ClimateZones[[#Headers],[Climate zone]], 0)</f>
        <v>-999999</v>
      </c>
      <c r="M97" s="26" cm="1">
        <f t="array" ref="M97">Common_InputFunctions.Utility_DisplayArrayInTable(Common_SourceData.Common_SourceData_ClimateZones_Data(), Table_SourceData_ClimateZones[[#Headers],[Climate zone]], 0)</f>
        <v>999999</v>
      </c>
      <c r="N97" s="26" cm="1">
        <f t="array" ref="N97">Common_InputFunctions.Utility_DisplayArrayInTable(Common_SourceData.Common_SourceData_ClimateZones_Data(), Table_SourceData_ClimateZones[[#Headers],[Climate zone]], 0)</f>
        <v>-999999</v>
      </c>
      <c r="O97" s="26" cm="1">
        <f t="array" ref="O97">Common_InputFunctions.Utility_DisplayArrayInTable(Common_SourceData.Common_SourceData_ClimateZones_Data(), Table_SourceData_ClimateZones[[#Headers],[Climate zone]], 0)</f>
        <v>999999</v>
      </c>
      <c r="P97" s="26" cm="1">
        <f t="array" ref="P97">Common_InputFunctions.Utility_DisplayArrayInTable(Common_SourceData.Common_SourceData_ClimateZones_Data(), Table_SourceData_ClimateZones[[#Headers],[Climate zone]], 0)</f>
        <v>-999999</v>
      </c>
      <c r="Q97" s="26" cm="1">
        <f t="array" ref="Q97">Common_InputFunctions.Utility_DisplayArrayInTable(Common_SourceData.Common_SourceData_ClimateZones_Data(), Table_SourceData_ClimateZones[[#Headers],[Climate zone]], 0)</f>
        <v>999999</v>
      </c>
      <c r="R97" s="26" cm="1">
        <f t="array" ref="R97">Common_InputFunctions.Utility_DisplayArrayInTable(Common_SourceData.Common_SourceData_ClimateZones_Data(), Table_SourceData_ClimateZones[[#Headers],[Climate zone]], 0)</f>
        <v>-999999</v>
      </c>
      <c r="S97" s="26" cm="1">
        <f t="array" ref="S97">Common_InputFunctions.Utility_DisplayArrayInTable(Common_SourceData.Common_SourceData_ClimateZones_Data(), Table_SourceData_ClimateZones[[#Headers],[Climate zone]], 0)</f>
        <v>1</v>
      </c>
      <c r="T97" s="26"/>
    </row>
    <row r="98" spans="4:20" ht="20.100000000000001" customHeight="1" x14ac:dyDescent="0.25"/>
    <row r="99" spans="4:20" ht="20.100000000000001" customHeight="1" x14ac:dyDescent="0.25">
      <c r="D99" s="30" t="str" cm="1">
        <f t="array" ref="D99:D102">Common_SourceData.Common_SourceData_ClimateZones_Appendices()</f>
        <v>Note:</v>
      </c>
    </row>
    <row r="100" spans="4:20" ht="20.100000000000001" customHeight="1" x14ac:dyDescent="0.25">
      <c r="D100" s="30" t="str">
        <v>MAT = mean annual temperature</v>
      </c>
    </row>
    <row r="101" spans="4:20" ht="20.100000000000001" customHeight="1" x14ac:dyDescent="0.25">
      <c r="D101" s="30" t="str">
        <v>MAP = mean annual precipitation</v>
      </c>
    </row>
    <row r="102" spans="4:20" ht="20.100000000000001" customHeight="1" x14ac:dyDescent="0.25">
      <c r="D102" s="30" t="str">
        <v>PET = potential evapotranspiration</v>
      </c>
    </row>
    <row r="103" spans="4:20" ht="20.100000000000001" customHeight="1" x14ac:dyDescent="0.25">
      <c r="D103" s="30"/>
    </row>
    <row r="104" spans="4:20" ht="20.100000000000001" customHeight="1" x14ac:dyDescent="0.25"/>
    <row r="105" spans="4:20" ht="20.100000000000001" customHeight="1" x14ac:dyDescent="0.25">
      <c r="D105" s="5" t="str" cm="1">
        <f t="array" ref="D105">Common_SourceData.Common_SourceData_TemperatureZones_Title()</f>
        <v>VEERG Australian temperature zones</v>
      </c>
    </row>
    <row r="106" spans="4:20" ht="20.100000000000001" customHeight="1" x14ac:dyDescent="0.25">
      <c r="D106" s="4" t="str" cm="1">
        <f t="array" ref="D106">Common_SourceData.Common_SourceData_TemperatureZones_Source()</f>
        <v>VEERG 2026: Table 1.3: Climate and Rainfall zone classifications and definitions</v>
      </c>
    </row>
    <row r="107" spans="4:20" ht="20.100000000000001" customHeight="1" x14ac:dyDescent="0.25">
      <c r="D107" s="31"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26" t="s">
        <v>36</v>
      </c>
      <c r="E109" s="26" t="s">
        <v>19</v>
      </c>
      <c r="F109" s="26" t="s">
        <v>37</v>
      </c>
      <c r="G109" s="26" t="s">
        <v>38</v>
      </c>
    </row>
    <row r="110" spans="4:20" ht="20.100000000000001" customHeight="1" x14ac:dyDescent="0.25">
      <c r="D110" s="26" t="str" cm="1">
        <f t="array" ref="D110">Common_InputFunctions.Utility_DisplayArrayInTable(Common_SourceData.Common_SourceData_TemperatureZones_Data(),Table_SourceData_TemperatureZones[[#Headers],[Temperature Zone]],0)</f>
        <v>Warm</v>
      </c>
      <c r="E110" s="26" t="str" cm="1">
        <f t="array" ref="E110">Common_InputFunctions.Utility_DisplayArrayInTable(Common_SourceData.Common_SourceData_TemperatureZones_Data(),Table_SourceData_TemperatureZones[[#Headers],[Temperature Zone]],0)</f>
        <v>≥ 26 C</v>
      </c>
      <c r="F110" s="26" cm="1">
        <f t="array" ref="F110">Common_InputFunctions.Utility_DisplayArrayInTable(Common_SourceData.Common_SourceData_TemperatureZones_Data(),Table_SourceData_TemperatureZones[[#Headers],[Temperature Zone]],0)</f>
        <v>26</v>
      </c>
      <c r="G110" s="26" cm="1">
        <f t="array" ref="G110">Common_InputFunctions.Utility_DisplayArrayInTable(Common_SourceData.Common_SourceData_TemperatureZones_Data(),Table_SourceData_TemperatureZones[[#Headers],[Temperature Zone]],0)</f>
        <v>999999</v>
      </c>
    </row>
    <row r="111" spans="4:20" ht="20.100000000000001" customHeight="1" x14ac:dyDescent="0.25">
      <c r="D111" s="26" t="str" cm="1">
        <f t="array" ref="D111">Common_InputFunctions.Utility_DisplayArrayInTable(Common_SourceData.Common_SourceData_TemperatureZones_Data(),Table_SourceData_TemperatureZones[[#Headers],[Temperature Zone]],0)</f>
        <v>Temperate</v>
      </c>
      <c r="E111" s="26" t="str" cm="1">
        <f t="array" ref="E111">Common_InputFunctions.Utility_DisplayArrayInTable(Common_SourceData.Common_SourceData_TemperatureZones_Data(),Table_SourceData_TemperatureZones[[#Headers],[Temperature Zone]],0)</f>
        <v>15 - 25 C</v>
      </c>
      <c r="F111" s="26" cm="1">
        <f t="array" ref="F111">Common_InputFunctions.Utility_DisplayArrayInTable(Common_SourceData.Common_SourceData_TemperatureZones_Data(),Table_SourceData_TemperatureZones[[#Headers],[Temperature Zone]],0)</f>
        <v>15</v>
      </c>
      <c r="G111" s="26"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26" t="str" cm="1">
        <f t="array" ref="D112">Common_InputFunctions.Utility_DisplayArrayInTable(Common_SourceData.Common_SourceData_TemperatureZones_Data(),Table_SourceData_TemperatureZones[[#Headers],[Temperature Zone]],0)</f>
        <v>Cool</v>
      </c>
      <c r="E112" s="26" t="str" cm="1">
        <f t="array" ref="E112">Common_InputFunctions.Utility_DisplayArrayInTable(Common_SourceData.Common_SourceData_TemperatureZones_Data(),Table_SourceData_TemperatureZones[[#Headers],[Temperature Zone]],0)</f>
        <v>≤ 14 C</v>
      </c>
      <c r="F112" s="26" cm="1">
        <f t="array" ref="F112">Common_InputFunctions.Utility_DisplayArrayInTable(Common_SourceData.Common_SourceData_TemperatureZones_Data(),Table_SourceData_TemperatureZones[[#Headers],[Temperature Zone]],0)</f>
        <v>-999999</v>
      </c>
      <c r="G112" s="26"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5" t="str" cm="1">
        <f t="array" ref="D115">Common_SourceData.Common_SourceData_RainfallZones_Title()</f>
        <v>VEERG Australian rainfall zones</v>
      </c>
      <c r="BN115" s="6"/>
    </row>
    <row r="116" spans="4:66" ht="20.100000000000001" customHeight="1" x14ac:dyDescent="0.25">
      <c r="D116" s="4" t="str" cm="1">
        <f t="array" ref="D116">Common_SourceData.Common_SourceData_RainfallZones_Source()</f>
        <v>VEERG 2026: Table 1.3: Climate and Rainfall zone classifications and definitions</v>
      </c>
      <c r="BN116" s="6"/>
    </row>
    <row r="117" spans="4:66" ht="20.100000000000001" customHeight="1" x14ac:dyDescent="0.25">
      <c r="D117" s="31" t="str" cm="1">
        <f t="array" ref="D117">"⚠️" &amp; Common_SourceData.Common_SourceData_RainfallZones_Variation()</f>
        <v>⚠️VARIATION OF SOURCE DATA: Added extra Rainfall min and Rainfall max columns to calculate zone from real rainfall data.</v>
      </c>
      <c r="BN117" s="6"/>
    </row>
    <row r="118" spans="4:66" ht="20.100000000000001" customHeight="1" x14ac:dyDescent="0.25">
      <c r="BN118" s="6"/>
    </row>
    <row r="119" spans="4:66" ht="20.100000000000001" customHeight="1" x14ac:dyDescent="0.25">
      <c r="D119" s="26" t="s">
        <v>39</v>
      </c>
      <c r="E119" s="26" t="s">
        <v>40</v>
      </c>
      <c r="F119" s="26" t="s">
        <v>26</v>
      </c>
      <c r="G119" s="26" t="s">
        <v>27</v>
      </c>
      <c r="BN119" s="6"/>
    </row>
    <row r="120" spans="4:66" ht="20.100000000000001" customHeight="1" x14ac:dyDescent="0.25">
      <c r="D120" s="26" t="str" cm="1">
        <f t="array" ref="D120">Common_InputFunctions.Utility_DisplayArrayInTable(Common_SourceData.Common_SourceData_RainfallZones_Data(),Table_SourceData_RainfallZones[[#Headers],[Rainfall Zone]],0)</f>
        <v>High rainfall</v>
      </c>
      <c r="E120" s="26" t="str" cm="1">
        <f t="array" ref="E120">Common_InputFunctions.Utility_DisplayArrayInTable(Common_SourceData.Common_SourceData_RainfallZones_Data(),Table_SourceData_RainfallZones[[#Headers],[Rainfall Zone]],0)</f>
        <v>Annual rainfall &gt; 600mm</v>
      </c>
      <c r="F120" s="26" cm="1">
        <f t="array" ref="F120">Common_InputFunctions.Utility_DisplayArrayInTable(Common_SourceData.Common_SourceData_RainfallZones_Data(),Table_SourceData_RainfallZones[[#Headers],[Rainfall Zone]],0)</f>
        <v>600.00099999999998</v>
      </c>
      <c r="G120" s="26" cm="1">
        <f t="array" ref="G120">Common_InputFunctions.Utility_DisplayArrayInTable(Common_SourceData.Common_SourceData_RainfallZones_Data(),Table_SourceData_RainfallZones[[#Headers],[Rainfall Zone]],0)</f>
        <v>999999</v>
      </c>
      <c r="BN120" s="6"/>
    </row>
    <row r="121" spans="4:66" ht="20.100000000000001" customHeight="1" x14ac:dyDescent="0.25">
      <c r="D121" s="26" t="str" cm="1">
        <f t="array" ref="D121">Common_InputFunctions.Utility_DisplayArrayInTable(Common_SourceData.Common_SourceData_RainfallZones_Data(),Table_SourceData_RainfallZones[[#Headers],[Rainfall Zone]],0)</f>
        <v>Low rainfall</v>
      </c>
      <c r="E121" s="26" t="str" cm="1">
        <f t="array" ref="E121">Common_InputFunctions.Utility_DisplayArrayInTable(Common_SourceData.Common_SourceData_RainfallZones_Data(),Table_SourceData_RainfallZones[[#Headers],[Rainfall Zone]],0)</f>
        <v>Annual rainfall ≤ 600mm</v>
      </c>
      <c r="F121" s="26" cm="1">
        <f t="array" ref="F121">Common_InputFunctions.Utility_DisplayArrayInTable(Common_SourceData.Common_SourceData_RainfallZones_Data(),Table_SourceData_RainfallZones[[#Headers],[Rainfall Zone]],0)</f>
        <v>-999999</v>
      </c>
      <c r="G121" s="26" cm="1">
        <f t="array" ref="G121">Common_InputFunctions.Utility_DisplayArrayInTable(Common_SourceData.Common_SourceData_RainfallZones_Data(),Table_SourceData_RainfallZones[[#Headers],[Rainfall Zone]],0)</f>
        <v>600</v>
      </c>
      <c r="BN121" s="6"/>
    </row>
    <row r="122" spans="4:66" ht="20.100000000000001" customHeight="1" x14ac:dyDescent="0.25">
      <c r="BN122" s="6"/>
    </row>
    <row r="123" spans="4:66" ht="20.100000000000001" customHeight="1" x14ac:dyDescent="0.25"/>
    <row r="124" spans="4:66" ht="20.100000000000001" customHeight="1" x14ac:dyDescent="0.25">
      <c r="D124" s="5" t="str" cm="1">
        <f t="array" ref="D124">Common_SourceData.Common_SourceData_LeachingZones_Title()</f>
        <v>VEERG Australian leaching zones</v>
      </c>
    </row>
    <row r="125" spans="4:66" ht="20.100000000000001" customHeight="1" x14ac:dyDescent="0.25">
      <c r="D125" s="4"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26" t="s">
        <v>41</v>
      </c>
      <c r="E127" s="26" t="s">
        <v>42</v>
      </c>
    </row>
    <row r="128" spans="4:66" ht="20.100000000000001" customHeight="1" x14ac:dyDescent="0.25">
      <c r="D128" s="26" t="str" cm="1">
        <f t="array" ref="D128">Common_InputFunctions.Utility_DisplayArrayInTable(Common_SourceData.Common_SourceData_LeachingZones_Data(), Table_SourceData_LeachingZones[[#Headers],[Leaching Zone]], 0)</f>
        <v>Leaching occurs</v>
      </c>
      <c r="E128" s="26"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26" t="str" cm="1">
        <f t="array" ref="D129">Common_InputFunctions.Utility_DisplayArrayInTable(Common_SourceData.Common_SourceData_LeachingZones_Data(), Table_SourceData_LeachingZones[[#Headers],[Leaching Zone]], 0)</f>
        <v>Leaching does not occur</v>
      </c>
      <c r="E129" s="26"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5" t="str" cm="1">
        <f t="array" ref="D132">Common_SourceData.Common_SourceData_FracWET_Title()</f>
        <v>Fraction of N that is available for leaching and runoff</v>
      </c>
      <c r="E132" s="18"/>
    </row>
    <row r="133" spans="4:77" ht="20.100000000000001" customHeight="1" x14ac:dyDescent="0.25">
      <c r="D133" s="4" t="str" cm="1">
        <f t="array" ref="D133">Common_SourceData.Common_SourceData_FracWET_Source()</f>
        <v>VEERG 2026:5.5.2.3 Constant Parameters</v>
      </c>
      <c r="E133" s="18"/>
    </row>
    <row r="134" spans="4:77" ht="20.100000000000001" customHeight="1" x14ac:dyDescent="0.25">
      <c r="D134" t="s">
        <v>47</v>
      </c>
      <c r="E134" t="s">
        <v>48</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26"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6"/>
      <c r="BO138" s="6"/>
      <c r="BP138" s="6"/>
      <c r="BQ138" s="6"/>
      <c r="BR138" s="6"/>
      <c r="BS138" s="6"/>
      <c r="BT138" s="6"/>
      <c r="BU138" s="6"/>
      <c r="BV138" s="6"/>
      <c r="BW138" s="6"/>
      <c r="BX138" s="6"/>
      <c r="BY138" s="6"/>
    </row>
    <row r="139" spans="4:77" ht="20.100000000000001" customHeight="1" x14ac:dyDescent="0.25">
      <c r="D139" s="5" t="str" cm="1">
        <f t="array" ref="D139">Common_SourceData.Common_SourceData_FracWETIrrigation_Title()</f>
        <v>FracWET for irrigation types</v>
      </c>
      <c r="BN139" s="6"/>
      <c r="BO139" s="6"/>
      <c r="BP139" s="6"/>
      <c r="BQ139" s="6"/>
      <c r="BR139" s="6"/>
      <c r="BS139" s="6"/>
      <c r="BT139" s="6"/>
      <c r="BU139" s="6"/>
      <c r="BV139" s="6"/>
      <c r="BW139" s="6"/>
      <c r="BX139" s="6"/>
      <c r="BY139" s="6"/>
    </row>
    <row r="140" spans="4:77" ht="20.100000000000001" customHeight="1" x14ac:dyDescent="0.25">
      <c r="D140" s="4" t="str" cm="1">
        <f t="array" ref="D140">Common_SourceData.Common_SourceData_FracWETIrrigation_Source()</f>
        <v>VEERG 2026: Chapter 1, section 1.8.2 Leaching, climate and rainfall zones</v>
      </c>
      <c r="BN140" s="6"/>
      <c r="BO140" s="6"/>
      <c r="BP140" s="6"/>
      <c r="BQ140" s="6"/>
      <c r="BR140" s="6"/>
      <c r="BS140" s="6"/>
      <c r="BT140" s="6"/>
      <c r="BU140" s="6"/>
      <c r="BV140" s="6"/>
      <c r="BW140" s="6"/>
      <c r="BX140" s="6"/>
      <c r="BY140" s="6"/>
    </row>
    <row r="141" spans="4:77" ht="20.100000000000001" customHeight="1" x14ac:dyDescent="0.25">
      <c r="D141" s="31" t="str" cm="1">
        <f t="array" ref="D141">Common_SourceData.Common_SourceData_FracWETIrrigation_Variation()</f>
        <v>VARIATION FROM SOURCE DATA: Table created based on VEERG text 'Areas are subject to leaching (i.e., in the leaching zone) when... the land is irrigated (except drip irrigation).'</v>
      </c>
      <c r="BN141" s="6"/>
    </row>
    <row r="142" spans="4:77" ht="20.100000000000001" customHeight="1" x14ac:dyDescent="0.25">
      <c r="D142" s="26" t="s">
        <v>57</v>
      </c>
      <c r="E142" s="26" t="s">
        <v>48</v>
      </c>
      <c r="BN142" s="6"/>
    </row>
    <row r="143" spans="4:77" ht="20.100000000000001" customHeight="1" x14ac:dyDescent="0.25">
      <c r="D143" s="26" t="str" cm="1">
        <f t="array" ref="D143">Common_InputFunctions.Utility_DisplayArrayInTable(Common_SourceData.Common_SourceData_FracWETIrrigation_Data(), Table_SourceData_FracWETIrrigation[[#Headers],[Irrigation type i]], 0)</f>
        <v>Not irrigated</v>
      </c>
      <c r="E143" s="26" cm="1">
        <f t="array" ref="E143">Common_InputFunctions.Utility_DisplayArrayInTable(Common_SourceData.Common_SourceData_FracWETIrrigation_Data(), Table_SourceData_FracWETIrrigation[[#Headers],[Irrigation type i]], 0)</f>
        <v>0</v>
      </c>
      <c r="BN143" s="6"/>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26" cm="1">
        <f t="array" ref="E144">Common_InputFunctions.Utility_DisplayArrayInTable(Common_SourceData.Common_SourceData_FracWETIrrigation_Data(), Table_SourceData_FracWETIrrigation[[#Headers],[Irrigation type i]], 0)</f>
        <v>0</v>
      </c>
      <c r="BN144" s="6"/>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26" cm="1">
        <f t="array" ref="E145">Common_InputFunctions.Utility_DisplayArrayInTable(Common_SourceData.Common_SourceData_FracWETIrrigation_Data(), Table_SourceData_FracWETIrrigation[[#Headers],[Irrigation type i]], 0)</f>
        <v>1</v>
      </c>
      <c r="BN145" s="6"/>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26" cm="1">
        <f t="array" ref="E146">Common_InputFunctions.Utility_DisplayArrayInTable(Common_SourceData.Common_SourceData_FracWETIrrigation_Data(), Table_SourceData_FracWETIrrigation[[#Headers],[Irrigation type i]], 0)</f>
        <v>1</v>
      </c>
      <c r="BN146" s="6"/>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26" cm="1">
        <f t="array" ref="E147">Common_InputFunctions.Utility_DisplayArrayInTable(Common_SourceData.Common_SourceData_FracWETIrrigation_Data(), Table_SourceData_FracWETIrrigation[[#Headers],[Irrigation type i]], 0)</f>
        <v>1</v>
      </c>
      <c r="BN147" s="6"/>
    </row>
    <row r="148" spans="4:66" ht="20.100000000000001" customHeight="1" x14ac:dyDescent="0.25">
      <c r="BN148" s="6"/>
    </row>
    <row r="149" spans="4:66" ht="20.100000000000001" customHeight="1" x14ac:dyDescent="0.25">
      <c r="BN149" s="6"/>
    </row>
    <row r="150" spans="4:66" ht="20.100000000000001" customHeight="1" x14ac:dyDescent="0.25">
      <c r="D150" s="5" t="str" cm="1">
        <f t="array" ref="D150">Common_SourceData.Common_SourceData_DataScores_Scope3_Title()</f>
        <v>Australian data scores for scope 3</v>
      </c>
      <c r="BN150" s="6"/>
    </row>
    <row r="151" spans="4:66" ht="20.100000000000001" customHeight="1" x14ac:dyDescent="0.25">
      <c r="D151" s="4" t="str" cm="1">
        <f t="array" ref="D151">Common_SourceData.Common_SourceData_DataScores_Scope3_Source()</f>
        <v>VEERG 2026: XXXXXXXX</v>
      </c>
      <c r="BN151" s="6"/>
    </row>
    <row r="152" spans="4:66" ht="20.100000000000001" customHeight="1" x14ac:dyDescent="0.25">
      <c r="BN152" s="6"/>
    </row>
    <row r="153" spans="4:66" ht="20.100000000000001" customHeight="1" x14ac:dyDescent="0.25">
      <c r="D153" s="26" t="s">
        <v>43</v>
      </c>
      <c r="E153" s="26" t="s">
        <v>44</v>
      </c>
      <c r="BC153" s="2"/>
      <c r="BD153" s="2"/>
      <c r="BE153" s="2"/>
      <c r="BF153" s="2"/>
      <c r="BG153" s="2"/>
      <c r="BH153" s="2"/>
      <c r="BI153" s="2"/>
      <c r="BJ153" s="2"/>
      <c r="BK153" s="2"/>
      <c r="BL153" s="2"/>
      <c r="BM153" s="2"/>
    </row>
    <row r="154" spans="4:66" ht="20.100000000000001" customHeight="1" x14ac:dyDescent="0.25">
      <c r="D154" s="26" t="str" cm="1">
        <f t="array" ref="D154">Common_InputFunctions.Utility_DisplayArrayInTable(Common_SourceData.Common_SourceData_DataScores_Scope3_Data(), Table_SourceData_DataScores_Scope3[[#Headers],[Data source]], 0)</f>
        <v>International scope 3 database</v>
      </c>
      <c r="E154" s="26" cm="1">
        <f t="array" ref="E154">Common_InputFunctions.Utility_DisplayArrayInTable(Common_SourceData.Common_SourceData_DataScores_Scope3_Data(), Table_SourceData_DataScores_Scope3[[#Headers],[Data source]], 0)</f>
        <v>1</v>
      </c>
      <c r="BC154" s="2"/>
      <c r="BD154" s="2"/>
      <c r="BE154" s="2"/>
      <c r="BF154" s="2"/>
      <c r="BG154" s="2"/>
      <c r="BH154" s="2"/>
      <c r="BI154" s="2"/>
      <c r="BJ154" s="2"/>
      <c r="BK154" s="2"/>
      <c r="BL154" s="2"/>
      <c r="BM154" s="2"/>
    </row>
    <row r="155" spans="4:66" ht="20.100000000000001" customHeight="1" x14ac:dyDescent="0.25">
      <c r="D155" s="26" t="str" cm="1">
        <f t="array" ref="D155">Common_InputFunctions.Utility_DisplayArrayInTable(Common_SourceData.Common_SourceData_DataScores_Scope3_Data(), Table_SourceData_DataScores_Scope3[[#Headers],[Data source]], 0)</f>
        <v>Australian scope 3 database</v>
      </c>
      <c r="E155" s="26" cm="1">
        <f t="array" ref="E155">Common_InputFunctions.Utility_DisplayArrayInTable(Common_SourceData.Common_SourceData_DataScores_Scope3_Data(), Table_SourceData_DataScores_Scope3[[#Headers],[Data source]], 0)</f>
        <v>2</v>
      </c>
      <c r="BC155" s="2"/>
      <c r="BD155" s="2"/>
      <c r="BE155" s="2"/>
      <c r="BF155" s="2"/>
      <c r="BG155" s="2"/>
      <c r="BH155" s="2"/>
      <c r="BI155" s="2"/>
      <c r="BJ155" s="2"/>
      <c r="BK155" s="2"/>
      <c r="BL155" s="2"/>
      <c r="BM155" s="2"/>
    </row>
    <row r="156" spans="4:66" ht="20.100000000000001" customHeight="1" x14ac:dyDescent="0.25">
      <c r="D156" s="26" t="str" cm="1">
        <f t="array" ref="D156">Common_InputFunctions.Utility_DisplayArrayInTable(Common_SourceData.Common_SourceData_DataScores_Scope3_Data(), Table_SourceData_DataScores_Scope3[[#Headers],[Data source]], 0)</f>
        <v>State or regional scope 3 database</v>
      </c>
      <c r="E156" s="26" cm="1">
        <f t="array" ref="E156">Common_InputFunctions.Utility_DisplayArrayInTable(Common_SourceData.Common_SourceData_DataScores_Scope3_Data(), Table_SourceData_DataScores_Scope3[[#Headers],[Data source]], 0)</f>
        <v>3</v>
      </c>
    </row>
    <row r="157" spans="4:66" ht="20.100000000000001" customHeight="1" x14ac:dyDescent="0.25">
      <c r="D157" s="26" t="str" cm="1">
        <f t="array" ref="D157">Common_InputFunctions.Utility_DisplayArrayInTable(Common_SourceData.Common_SourceData_DataScores_Scope3_Data(), Table_SourceData_DataScores_Scope3[[#Headers],[Data source]], 0)</f>
        <v>Emissions intensity calculated from approved method</v>
      </c>
      <c r="E157" s="26" cm="1">
        <f t="array" ref="E157">Common_InputFunctions.Utility_DisplayArrayInTable(Common_SourceData.Common_SourceData_DataScores_Scope3_Data(), Table_SourceData_DataScores_Scope3[[#Headers],[Data source]], 0)</f>
        <v>4</v>
      </c>
    </row>
    <row r="158" spans="4:66" ht="20.100000000000001" customHeight="1" x14ac:dyDescent="0.25">
      <c r="D158" s="26" t="str" cm="1">
        <f t="array" ref="D158">Common_InputFunctions.Utility_DisplayArrayInTable(Common_SourceData.Common_SourceData_DataScores_Scope3_Data(), Table_SourceData_DataScores_Scope3[[#Headers],[Data source]], 0)</f>
        <v>Verified credential matching ISO14067</v>
      </c>
      <c r="E158" s="26"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5" t="str" cm="1">
        <f t="array" ref="D161">Common_SourceData.Common_SourceData_FracLEACH_Title()</f>
        <v>Fraction of N that is available for leaching and runoff</v>
      </c>
      <c r="E161" s="18"/>
    </row>
    <row r="162" spans="4:68" ht="20.100000000000001" customHeight="1" x14ac:dyDescent="0.25">
      <c r="D162" s="4" t="str" cm="1">
        <f t="array" ref="D162">Common_SourceData.Common_SourceData_FracLEACH_Source()</f>
        <v>VEERG 2026:5.5.2.3 Constant Parameters</v>
      </c>
      <c r="E162" s="18"/>
    </row>
    <row r="163" spans="4:68" ht="20.100000000000001" customHeight="1" x14ac:dyDescent="0.25">
      <c r="D163" s="4" t="str" cm="1">
        <f t="array" ref="D163">Common_SourceData.Common_SourceData_FracLEACH_NIRReference()</f>
        <v>National Inventory Report Volume 1: Leaching and runoff (3.D.b.2)</v>
      </c>
      <c r="E163" s="18"/>
    </row>
    <row r="164" spans="4:68" ht="20.100000000000001" customHeight="1" x14ac:dyDescent="0.25">
      <c r="D164" s="18" t="str" cm="1">
        <f t="array" ref="D164:E164">Common_SourceData.Common_SourceData_FracLEACH_Data()</f>
        <v>FracLEACH</v>
      </c>
      <c r="E164" s="18">
        <v>0.24</v>
      </c>
    </row>
    <row r="165" spans="4:68" ht="20.100000000000001" customHeight="1" x14ac:dyDescent="0.25">
      <c r="BN165" s="6"/>
      <c r="BO165" s="6"/>
      <c r="BP165" s="6"/>
    </row>
    <row r="166" spans="4:68" ht="20.100000000000001" customHeight="1" x14ac:dyDescent="0.25">
      <c r="BN166" s="6"/>
      <c r="BO166" s="6"/>
      <c r="BP166" s="6"/>
    </row>
    <row r="167" spans="4:68" ht="20.100000000000001" customHeight="1" x14ac:dyDescent="0.25">
      <c r="D167" s="5" t="str" cm="1">
        <f t="array" ref="D167">Common_SourceData.Common_SourceData_EFleach_Title()</f>
        <v>Emission factor for nitrogen leaching and runoff</v>
      </c>
      <c r="BN167" s="6"/>
      <c r="BO167" s="6"/>
      <c r="BP167" s="6"/>
    </row>
    <row r="168" spans="4:68" ht="20.100000000000001" customHeight="1" x14ac:dyDescent="0.25">
      <c r="D168" s="4" t="str" cm="1">
        <f t="array" ref="D168">Common_SourceData.Common_SourceData_EFleach_Source()</f>
        <v>VEERG 2026:5.5.2.3 Constant Parameters</v>
      </c>
      <c r="BN168" s="6"/>
      <c r="BO168" s="6"/>
      <c r="BP168" s="6"/>
    </row>
    <row r="169" spans="4:68" ht="20.100000000000001" customHeight="1" x14ac:dyDescent="0.25">
      <c r="D169" s="4" t="str" cm="1">
        <f t="array" ref="D169">Common_SourceData.Common_SourceData_EFleach_NIRReference()</f>
        <v>National Inventory Report Volume 1: Equation 3.D.B_10</v>
      </c>
      <c r="BN169" s="6"/>
      <c r="BO169" s="6"/>
      <c r="BP169" s="6"/>
    </row>
    <row r="170" spans="4:68" ht="20.100000000000001" customHeight="1" x14ac:dyDescent="0.25">
      <c r="D170" s="1" t="str" cm="1">
        <f t="array" ref="D170:E170">Common_SourceData.Common_SourceData_EFleach_Data()</f>
        <v>EFleach</v>
      </c>
      <c r="E170" s="1">
        <v>1.0999999999999999E-2</v>
      </c>
      <c r="BN170" s="6"/>
      <c r="BO170" s="6"/>
      <c r="BP170" s="6"/>
    </row>
    <row r="171" spans="4:68" ht="20.100000000000001" customHeight="1" x14ac:dyDescent="0.25">
      <c r="BN171" s="6"/>
      <c r="BO171" s="6"/>
      <c r="BP171" s="6"/>
    </row>
    <row r="172" spans="4:68" ht="20.100000000000001" customHeight="1" x14ac:dyDescent="0.25">
      <c r="BN172" s="6"/>
      <c r="BO172" s="6"/>
      <c r="BP172" s="6"/>
    </row>
    <row r="173" spans="4:68" ht="20.100000000000001" customHeight="1" x14ac:dyDescent="0.25">
      <c r="D173" s="5" t="str" cm="1">
        <f t="array" ref="D173">Common_SourceData.Common_SourceData_DensityOfMethane_Title()</f>
        <v>p = density of methane</v>
      </c>
      <c r="BN173" s="6"/>
      <c r="BO173" s="6"/>
      <c r="BP173" s="6"/>
    </row>
    <row r="174" spans="4:68" ht="20.100000000000001" customHeight="1" x14ac:dyDescent="0.25">
      <c r="D174" s="4" t="str" cm="1">
        <f t="array" ref="D174">Common_SourceData.Common_SourceData_DensityOfMethane_Source()</f>
        <v>National Inventory Report 2023 Volume 1: Equations 3.B.1a_2, 3.B.1c_2, 3.B.3_1, 3.B.4g_2</v>
      </c>
      <c r="BN174" s="6"/>
      <c r="BO174" s="6"/>
      <c r="BP174" s="6"/>
    </row>
    <row r="175" spans="4:68" ht="20.100000000000001" customHeight="1" x14ac:dyDescent="0.25">
      <c r="D175" s="1" cm="1">
        <f t="array" ref="D175">Common_SourceData.Common_SourceData_DensityOfMethane_Data()</f>
        <v>0.6784</v>
      </c>
      <c r="E175" s="30" t="str" cm="1">
        <f t="array" ref="E175">Common_SourceData.Common_SourceData_DensityOfMethane_Unit()</f>
        <v>kg/m3</v>
      </c>
      <c r="BN175" s="6"/>
      <c r="BO175" s="6"/>
      <c r="BP175" s="6"/>
    </row>
    <row r="176" spans="4:68" ht="20.100000000000001" customHeight="1" x14ac:dyDescent="0.25">
      <c r="BN176" s="6"/>
      <c r="BO176" s="6"/>
      <c r="BP176" s="6"/>
    </row>
    <row r="177" spans="4:68" ht="20.100000000000001" customHeight="1" x14ac:dyDescent="0.25">
      <c r="BN177" s="6"/>
      <c r="BO177" s="6"/>
      <c r="BP177" s="6"/>
    </row>
    <row r="178" spans="4:68" ht="20.100000000000001" customHeight="1" x14ac:dyDescent="0.25">
      <c r="D178" s="5" t="str" cm="1">
        <f t="array" ref="D178">Common_SourceData.Common_SourceData_EFN2O_Title()</f>
        <v>Nitrous oxide emission factors for inorganic fertiliser application</v>
      </c>
      <c r="BN178" s="6"/>
      <c r="BO178" s="6"/>
      <c r="BP178" s="6"/>
    </row>
    <row r="179" spans="4:68" ht="20.100000000000001" customHeight="1" x14ac:dyDescent="0.25">
      <c r="D179" s="4" t="str" cm="1">
        <f t="array" ref="D179">Common_SourceData.Common_SourceData_EFN2O_Source()</f>
        <v>VEERG 2026: Table A.2.2.1</v>
      </c>
      <c r="BN179" s="6"/>
      <c r="BO179" s="6"/>
      <c r="BP179" s="6"/>
    </row>
    <row r="180" spans="4:68" ht="20.100000000000001" customHeight="1" x14ac:dyDescent="0.25">
      <c r="D180" s="30" t="str" cm="1">
        <f t="array" ref="D180">Common_SourceData.Common_SourceData_EFN2O_Unit()</f>
        <v>(kg N2O-N / kg N</v>
      </c>
    </row>
    <row r="181" spans="4:68" ht="20.100000000000001" customHeight="1" x14ac:dyDescent="0.25">
      <c r="D181" s="31" t="str" cm="1">
        <f t="array" ref="D181:D185">Common_SourceData.Common_SourceData_EFN2O_Variation()</f>
        <v>VARIATION OF SOURCE DATA:</v>
      </c>
    </row>
    <row r="182" spans="4:68" ht="20.100000000000001" customHeight="1" x14ac:dyDescent="0.25">
      <c r="D182" s="31" t="str">
        <v>Removed duplicate 'Aquaculture' row.</v>
      </c>
    </row>
    <row r="183" spans="4:68" ht="20.100000000000001" customHeight="1" x14ac:dyDescent="0.25">
      <c r="D183" s="31" t="str">
        <v>Removed asterisks to aid lookup.</v>
      </c>
    </row>
    <row r="184" spans="4:68" ht="20.100000000000001" customHeight="1" x14ac:dyDescent="0.25">
      <c r="D184" s="31" t="str">
        <v>Added 'production system only', 'rainfall zone' and 'irrigation method' columns to aid lookup.</v>
      </c>
    </row>
    <row r="185" spans="4:68" ht="20.100000000000001" customHeight="1" x14ac:dyDescent="0.25">
      <c r="D185" s="31" t="str">
        <v>Duplicated 'non-irrigated pasture' row with same EF for low and high rainfall zones to aid lookup.</v>
      </c>
    </row>
    <row r="186" spans="4:68" ht="20.100000000000001" customHeight="1" x14ac:dyDescent="0.25">
      <c r="D186" s="26" t="s">
        <v>51</v>
      </c>
      <c r="E186" s="26" t="s">
        <v>52</v>
      </c>
      <c r="F186" s="26" t="s">
        <v>53</v>
      </c>
      <c r="G186" s="26" t="s">
        <v>54</v>
      </c>
      <c r="H186" s="26" t="s">
        <v>18</v>
      </c>
    </row>
    <row r="187" spans="4:68" ht="20.100000000000001" customHeight="1" x14ac:dyDescent="0.25">
      <c r="D187" s="26" t="str" cm="1">
        <f t="array" ref="D187">Common_InputFunctions.Utility_DisplayArrayInTable(Common_SourceData.Common_SourceData_EFN2O_Data(), Table_SourceData_Common_EFN2O[[#Headers],[Production system j]], 0)</f>
        <v>Irrigated pasture</v>
      </c>
      <c r="E187" s="26" cm="1">
        <f t="array" ref="E187">Common_InputFunctions.Utility_DisplayArrayInTable(Common_SourceData.Common_SourceData_EFN2O_Data(), Table_SourceData_Common_EFN2O[[#Headers],[Production system j]], 0)</f>
        <v>5.8999999999999999E-3</v>
      </c>
      <c r="F187" s="26" t="str" cm="1">
        <f t="array" ref="F187">Common_InputFunctions.Utility_DisplayArrayInTable(Common_SourceData.Common_SourceData_EFN2O_Data(), Table_SourceData_Common_EFN2O[[#Headers],[Production system j]], 0)</f>
        <v>Pasture</v>
      </c>
      <c r="G187" s="26" t="str" cm="1">
        <f t="array" ref="G187">Common_InputFunctions.Utility_DisplayArrayInTable(Common_SourceData.Common_SourceData_EFN2O_Data(), Table_SourceData_Common_EFN2O[[#Headers],[Production system j]], 0)</f>
        <v>Any</v>
      </c>
      <c r="H187" s="26" t="str" cm="1">
        <f t="array" ref="H187">Common_InputFunctions.Utility_DisplayArrayInTable(Common_SourceData.Common_SourceData_EFN2O_Data(), Table_SourceData_Common_EFN2O[[#Headers],[Production system j]], 0)</f>
        <v>Any</v>
      </c>
    </row>
    <row r="188" spans="4:68" ht="20.100000000000001" customHeight="1" x14ac:dyDescent="0.25">
      <c r="D188" s="26" t="str" cm="1">
        <f t="array" ref="D188">Common_InputFunctions.Utility_DisplayArrayInTable(Common_SourceData.Common_SourceData_EFN2O_Data(), Table_SourceData_Common_EFN2O[[#Headers],[Production system j]], 0)</f>
        <v>Irrigated crop</v>
      </c>
      <c r="E188" s="26" cm="1">
        <f t="array" ref="E188">Common_InputFunctions.Utility_DisplayArrayInTable(Common_SourceData.Common_SourceData_EFN2O_Data(), Table_SourceData_Common_EFN2O[[#Headers],[Production system j]], 0)</f>
        <v>7.0000000000000001E-3</v>
      </c>
      <c r="F188" s="26" t="str" cm="1">
        <f t="array" ref="F188">Common_InputFunctions.Utility_DisplayArrayInTable(Common_SourceData.Common_SourceData_EFN2O_Data(), Table_SourceData_Common_EFN2O[[#Headers],[Production system j]], 0)</f>
        <v>Crop</v>
      </c>
      <c r="G188" s="26" t="str" cm="1">
        <f t="array" ref="G188">Common_InputFunctions.Utility_DisplayArrayInTable(Common_SourceData.Common_SourceData_EFN2O_Data(), Table_SourceData_Common_EFN2O[[#Headers],[Production system j]], 0)</f>
        <v>Any</v>
      </c>
      <c r="H188" s="26" t="str" cm="1">
        <f t="array" ref="H188">Common_InputFunctions.Utility_DisplayArrayInTable(Common_SourceData.Common_SourceData_EFN2O_Data(), Table_SourceData_Common_EFN2O[[#Headers],[Production system j]], 0)</f>
        <v>Any</v>
      </c>
    </row>
    <row r="189" spans="4:68" ht="20.100000000000001" customHeight="1" x14ac:dyDescent="0.25">
      <c r="D189" s="26" t="str" cm="1">
        <f t="array" ref="D189">Common_InputFunctions.Utility_DisplayArrayInTable(Common_SourceData.Common_SourceData_EFN2O_Data(), Table_SourceData_Common_EFN2O[[#Headers],[Production system j]], 0)</f>
        <v>Non-irrigated pasture</v>
      </c>
      <c r="E189" s="26" cm="1">
        <f t="array" ref="E189">Common_InputFunctions.Utility_DisplayArrayInTable(Common_SourceData.Common_SourceData_EFN2O_Data(), Table_SourceData_Common_EFN2O[[#Headers],[Production system j]], 0)</f>
        <v>1.8E-3</v>
      </c>
      <c r="F189" s="26" t="str" cm="1">
        <f t="array" ref="F189">Common_InputFunctions.Utility_DisplayArrayInTable(Common_SourceData.Common_SourceData_EFN2O_Data(), Table_SourceData_Common_EFN2O[[#Headers],[Production system j]], 0)</f>
        <v>Pasture</v>
      </c>
      <c r="G189" s="26" t="str" cm="1">
        <f t="array" ref="G189">Common_InputFunctions.Utility_DisplayArrayInTable(Common_SourceData.Common_SourceData_EFN2O_Data(), Table_SourceData_Common_EFN2O[[#Headers],[Production system j]], 0)</f>
        <v>Not irrigated</v>
      </c>
      <c r="H189" s="26" t="str" cm="1">
        <f t="array" ref="H189">Common_InputFunctions.Utility_DisplayArrayInTable(Common_SourceData.Common_SourceData_EFN2O_Data(), Table_SourceData_Common_EFN2O[[#Headers],[Production system j]], 0)</f>
        <v>Low rainfall</v>
      </c>
    </row>
    <row r="190" spans="4:68" ht="20.100000000000001" customHeight="1" x14ac:dyDescent="0.25">
      <c r="D190" s="26" t="str" cm="1">
        <f t="array" ref="D190">Common_InputFunctions.Utility_DisplayArrayInTable(Common_SourceData.Common_SourceData_EFN2O_Data(), Table_SourceData_Common_EFN2O[[#Headers],[Production system j]], 0)</f>
        <v>Non-irrigated pasture</v>
      </c>
      <c r="E190" s="26" cm="1">
        <f t="array" ref="E190">Common_InputFunctions.Utility_DisplayArrayInTable(Common_SourceData.Common_SourceData_EFN2O_Data(), Table_SourceData_Common_EFN2O[[#Headers],[Production system j]], 0)</f>
        <v>1.8E-3</v>
      </c>
      <c r="F190" s="26" t="str" cm="1">
        <f t="array" ref="F190">Common_InputFunctions.Utility_DisplayArrayInTable(Common_SourceData.Common_SourceData_EFN2O_Data(), Table_SourceData_Common_EFN2O[[#Headers],[Production system j]], 0)</f>
        <v>Pasture</v>
      </c>
      <c r="G190" s="26" t="str" cm="1">
        <f t="array" ref="G190">Common_InputFunctions.Utility_DisplayArrayInTable(Common_SourceData.Common_SourceData_EFN2O_Data(), Table_SourceData_Common_EFN2O[[#Headers],[Production system j]], 0)</f>
        <v>Not irrigated</v>
      </c>
      <c r="H190" s="26"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26" t="str" cm="1">
        <f t="array" ref="D191">Common_InputFunctions.Utility_DisplayArrayInTable(Common_SourceData.Common_SourceData_EFN2O_Data(), Table_SourceData_Common_EFN2O[[#Headers],[Production system j]], 0)</f>
        <v>Non-irrigated crop (low rainfall)</v>
      </c>
      <c r="E191" s="26" cm="1">
        <f t="array" ref="E191">Common_InputFunctions.Utility_DisplayArrayInTable(Common_SourceData.Common_SourceData_EFN2O_Data(), Table_SourceData_Common_EFN2O[[#Headers],[Production system j]], 0)</f>
        <v>2.8999999999999998E-3</v>
      </c>
      <c r="F191" s="26" t="str" cm="1">
        <f t="array" ref="F191">Common_InputFunctions.Utility_DisplayArrayInTable(Common_SourceData.Common_SourceData_EFN2O_Data(), Table_SourceData_Common_EFN2O[[#Headers],[Production system j]], 0)</f>
        <v>Crop</v>
      </c>
      <c r="G191" s="26" t="str" cm="1">
        <f t="array" ref="G191">Common_InputFunctions.Utility_DisplayArrayInTable(Common_SourceData.Common_SourceData_EFN2O_Data(), Table_SourceData_Common_EFN2O[[#Headers],[Production system j]], 0)</f>
        <v>Not irrigated</v>
      </c>
      <c r="H191" s="26" t="str" cm="1">
        <f t="array" ref="H191">Common_InputFunctions.Utility_DisplayArrayInTable(Common_SourceData.Common_SourceData_EFN2O_Data(), Table_SourceData_Common_EFN2O[[#Headers],[Production system j]], 0)</f>
        <v>Low rainfall</v>
      </c>
    </row>
    <row r="192" spans="4:68" ht="20.100000000000001" customHeight="1" x14ac:dyDescent="0.25">
      <c r="D192" s="26" t="str" cm="1">
        <f t="array" ref="D192">Common_InputFunctions.Utility_DisplayArrayInTable(Common_SourceData.Common_SourceData_EFN2O_Data(), Table_SourceData_Common_EFN2O[[#Headers],[Production system j]], 0)</f>
        <v>Non-irrigated crop (high rainfall)</v>
      </c>
      <c r="E192" s="26" cm="1">
        <f t="array" ref="E192">Common_InputFunctions.Utility_DisplayArrayInTable(Common_SourceData.Common_SourceData_EFN2O_Data(), Table_SourceData_Common_EFN2O[[#Headers],[Production system j]], 0)</f>
        <v>8.0000000000000002E-3</v>
      </c>
      <c r="F192" s="26" t="str" cm="1">
        <f t="array" ref="F192">Common_InputFunctions.Utility_DisplayArrayInTable(Common_SourceData.Common_SourceData_EFN2O_Data(), Table_SourceData_Common_EFN2O[[#Headers],[Production system j]], 0)</f>
        <v>Crop</v>
      </c>
      <c r="G192" s="26" t="str" cm="1">
        <f t="array" ref="G192">Common_InputFunctions.Utility_DisplayArrayInTable(Common_SourceData.Common_SourceData_EFN2O_Data(), Table_SourceData_Common_EFN2O[[#Headers],[Production system j]], 0)</f>
        <v>Not irrigated</v>
      </c>
      <c r="H192" s="26" t="str" cm="1">
        <f t="array" ref="H192">Common_InputFunctions.Utility_DisplayArrayInTable(Common_SourceData.Common_SourceData_EFN2O_Data(), Table_SourceData_Common_EFN2O[[#Headers],[Production system j]], 0)</f>
        <v>High rainfall</v>
      </c>
    </row>
    <row r="193" spans="4:8" ht="20.100000000000001" customHeight="1" x14ac:dyDescent="0.25">
      <c r="D193" s="26" t="str" cm="1">
        <f t="array" ref="D193">Common_InputFunctions.Utility_DisplayArrayInTable(Common_SourceData.Common_SourceData_EFN2O_Data(), Table_SourceData_Common_EFN2O[[#Headers],[Production system j]], 0)</f>
        <v>Sugar</v>
      </c>
      <c r="E193" s="26" cm="1">
        <f t="array" ref="E193">Common_InputFunctions.Utility_DisplayArrayInTable(Common_SourceData.Common_SourceData_EFN2O_Data(), Table_SourceData_Common_EFN2O[[#Headers],[Production system j]], 0)</f>
        <v>1.9900000000000001E-2</v>
      </c>
      <c r="F193" s="26" t="str" cm="1">
        <f t="array" ref="F193">Common_InputFunctions.Utility_DisplayArrayInTable(Common_SourceData.Common_SourceData_EFN2O_Data(), Table_SourceData_Common_EFN2O[[#Headers],[Production system j]], 0)</f>
        <v>Sugar</v>
      </c>
      <c r="G193" s="26" t="str" cm="1">
        <f t="array" ref="G193">Common_InputFunctions.Utility_DisplayArrayInTable(Common_SourceData.Common_SourceData_EFN2O_Data(), Table_SourceData_Common_EFN2O[[#Headers],[Production system j]], 0)</f>
        <v>Any</v>
      </c>
      <c r="H193" s="26" t="str" cm="1">
        <f t="array" ref="H193">Common_InputFunctions.Utility_DisplayArrayInTable(Common_SourceData.Common_SourceData_EFN2O_Data(), Table_SourceData_Common_EFN2O[[#Headers],[Production system j]], 0)</f>
        <v>Any</v>
      </c>
    </row>
    <row r="194" spans="4:8" ht="20.100000000000001" customHeight="1" x14ac:dyDescent="0.25">
      <c r="D194" s="26" t="str" cm="1">
        <f t="array" ref="D194">Common_InputFunctions.Utility_DisplayArrayInTable(Common_SourceData.Common_SourceData_EFN2O_Data(), Table_SourceData_Common_EFN2O[[#Headers],[Production system j]], 0)</f>
        <v>Cotton</v>
      </c>
      <c r="E194" s="26" cm="1">
        <f t="array" ref="E194">Common_InputFunctions.Utility_DisplayArrayInTable(Common_SourceData.Common_SourceData_EFN2O_Data(), Table_SourceData_Common_EFN2O[[#Headers],[Production system j]], 0)</f>
        <v>5.3E-3</v>
      </c>
      <c r="F194" s="26" t="str" cm="1">
        <f t="array" ref="F194">Common_InputFunctions.Utility_DisplayArrayInTable(Common_SourceData.Common_SourceData_EFN2O_Data(), Table_SourceData_Common_EFN2O[[#Headers],[Production system j]], 0)</f>
        <v>Cotton</v>
      </c>
      <c r="G194" s="26" t="str" cm="1">
        <f t="array" ref="G194">Common_InputFunctions.Utility_DisplayArrayInTable(Common_SourceData.Common_SourceData_EFN2O_Data(), Table_SourceData_Common_EFN2O[[#Headers],[Production system j]], 0)</f>
        <v>Any</v>
      </c>
      <c r="H194" s="26" t="str" cm="1">
        <f t="array" ref="H194">Common_InputFunctions.Utility_DisplayArrayInTable(Common_SourceData.Common_SourceData_EFN2O_Data(), Table_SourceData_Common_EFN2O[[#Headers],[Production system j]], 0)</f>
        <v>Any</v>
      </c>
    </row>
    <row r="195" spans="4:8" ht="20.100000000000001" customHeight="1" x14ac:dyDescent="0.25">
      <c r="D195" s="26" t="str" cm="1">
        <f t="array" ref="D195">Common_InputFunctions.Utility_DisplayArrayInTable(Common_SourceData.Common_SourceData_EFN2O_Data(), Table_SourceData_Common_EFN2O[[#Headers],[Production system j]], 0)</f>
        <v>Horticultural crops</v>
      </c>
      <c r="E195" s="26" cm="1">
        <f t="array" ref="E195">Common_InputFunctions.Utility_DisplayArrayInTable(Common_SourceData.Common_SourceData_EFN2O_Data(), Table_SourceData_Common_EFN2O[[#Headers],[Production system j]], 0)</f>
        <v>6.4000000000000003E-3</v>
      </c>
      <c r="F195" s="26" t="str" cm="1">
        <f t="array" ref="F195">Common_InputFunctions.Utility_DisplayArrayInTable(Common_SourceData.Common_SourceData_EFN2O_Data(), Table_SourceData_Common_EFN2O[[#Headers],[Production system j]], 0)</f>
        <v>Horticultural crops</v>
      </c>
      <c r="G195" s="26" t="str" cm="1">
        <f t="array" ref="G195">Common_InputFunctions.Utility_DisplayArrayInTable(Common_SourceData.Common_SourceData_EFN2O_Data(), Table_SourceData_Common_EFN2O[[#Headers],[Production system j]], 0)</f>
        <v>Any</v>
      </c>
      <c r="H195" s="26" t="str" cm="1">
        <f t="array" ref="H195">Common_InputFunctions.Utility_DisplayArrayInTable(Common_SourceData.Common_SourceData_EFN2O_Data(), Table_SourceData_Common_EFN2O[[#Headers],[Production system j]], 0)</f>
        <v>Any</v>
      </c>
    </row>
    <row r="196" spans="4:8" ht="20.100000000000001" customHeight="1" x14ac:dyDescent="0.25">
      <c r="D196" s="26" t="str" cm="1">
        <f t="array" ref="D196">Common_InputFunctions.Utility_DisplayArrayInTable(Common_SourceData.Common_SourceData_EFN2O_Data(), Table_SourceData_Common_EFN2O[[#Headers],[Production system j]], 0)</f>
        <v>Rice (continuous flooding)</v>
      </c>
      <c r="E196" s="26" cm="1">
        <f t="array" ref="E196">Common_InputFunctions.Utility_DisplayArrayInTable(Common_SourceData.Common_SourceData_EFN2O_Data(), Table_SourceData_Common_EFN2O[[#Headers],[Production system j]], 0)</f>
        <v>3.0000000000000001E-3</v>
      </c>
      <c r="F196" s="26" t="str" cm="1">
        <f t="array" ref="F196">Common_InputFunctions.Utility_DisplayArrayInTable(Common_SourceData.Common_SourceData_EFN2O_Data(), Table_SourceData_Common_EFN2O[[#Headers],[Production system j]], 0)</f>
        <v>Rice</v>
      </c>
      <c r="G196" s="26" t="str" cm="1">
        <f t="array" ref="G196">Common_InputFunctions.Utility_DisplayArrayInTable(Common_SourceData.Common_SourceData_EFN2O_Data(), Table_SourceData_Common_EFN2O[[#Headers],[Production system j]], 0)</f>
        <v>Continuous flooding</v>
      </c>
      <c r="H196" s="26" t="str" cm="1">
        <f t="array" ref="H196">Common_InputFunctions.Utility_DisplayArrayInTable(Common_SourceData.Common_SourceData_EFN2O_Data(), Table_SourceData_Common_EFN2O[[#Headers],[Production system j]], 0)</f>
        <v>Any</v>
      </c>
    </row>
    <row r="197" spans="4:8" x14ac:dyDescent="0.25">
      <c r="D197" s="26" t="str" cm="1">
        <f t="array" ref="D197">Common_InputFunctions.Utility_DisplayArrayInTable(Common_SourceData.Common_SourceData_EFN2O_Data(), Table_SourceData_Common_EFN2O[[#Headers],[Production system j]], 0)</f>
        <v>Rice (single and multiple drainage, or alternate wetting and drying)</v>
      </c>
      <c r="E197" s="26" cm="1">
        <f t="array" ref="E197">Common_InputFunctions.Utility_DisplayArrayInTable(Common_SourceData.Common_SourceData_EFN2O_Data(), Table_SourceData_Common_EFN2O[[#Headers],[Production system j]], 0)</f>
        <v>5.0000000000000001E-3</v>
      </c>
      <c r="F197" s="26" t="str" cm="1">
        <f t="array" ref="F197">Common_InputFunctions.Utility_DisplayArrayInTable(Common_SourceData.Common_SourceData_EFN2O_Data(), Table_SourceData_Common_EFN2O[[#Headers],[Production system j]], 0)</f>
        <v>Rice</v>
      </c>
      <c r="G197" s="26" t="str" cm="1">
        <f t="array" ref="G197">Common_InputFunctions.Utility_DisplayArrayInTable(Common_SourceData.Common_SourceData_EFN2O_Data(), Table_SourceData_Common_EFN2O[[#Headers],[Production system j]], 0)</f>
        <v>Single and multiple drainage, or alternate wetting and drying</v>
      </c>
      <c r="H197" s="26" t="str" cm="1">
        <f t="array" ref="H197">Common_InputFunctions.Utility_DisplayArrayInTable(Common_SourceData.Common_SourceData_EFN2O_Data(), Table_SourceData_Common_EFN2O[[#Headers],[Production system j]], 0)</f>
        <v>Any</v>
      </c>
    </row>
    <row r="198" spans="4:8" x14ac:dyDescent="0.25">
      <c r="D198" s="26" t="str" cm="1">
        <f t="array" ref="D198">Common_InputFunctions.Utility_DisplayArrayInTable(Common_SourceData.Common_SourceData_EFN2O_Data(), Table_SourceData_Common_EFN2O[[#Headers],[Production system j]], 0)</f>
        <v>Aquaculture</v>
      </c>
      <c r="E198" s="26" cm="1">
        <f t="array" ref="E198">Common_InputFunctions.Utility_DisplayArrayInTable(Common_SourceData.Common_SourceData_EFN2O_Data(), Table_SourceData_Common_EFN2O[[#Headers],[Production system j]], 0)</f>
        <v>2.5999999999999999E-3</v>
      </c>
      <c r="F198" s="26" t="str" cm="1">
        <f t="array" ref="F198">Common_InputFunctions.Utility_DisplayArrayInTable(Common_SourceData.Common_SourceData_EFN2O_Data(), Table_SourceData_Common_EFN2O[[#Headers],[Production system j]], 0)</f>
        <v>Aquaculture</v>
      </c>
      <c r="G198" s="26" t="str" cm="1">
        <f t="array" ref="G198">Common_InputFunctions.Utility_DisplayArrayInTable(Common_SourceData.Common_SourceData_EFN2O_Data(), Table_SourceData_Common_EFN2O[[#Headers],[Production system j]], 0)</f>
        <v>Any</v>
      </c>
      <c r="H198" s="26" t="str" cm="1">
        <f t="array" ref="H198">Common_InputFunctions.Utility_DisplayArrayInTable(Common_SourceData.Common_SourceData_EFN2O_Data(), Table_SourceData_Common_EFN2O[[#Headers],[Production system j]], 0)</f>
        <v>Any</v>
      </c>
    </row>
    <row r="199" spans="4:8" x14ac:dyDescent="0.25">
      <c r="D199" s="26" t="str" cm="1">
        <f t="array" ref="D199">Common_InputFunctions.Utility_DisplayArrayInTable(Common_SourceData.Common_SourceData_EFN2O_Data(), Table_SourceData_Common_EFN2O[[#Headers],[Production system j]], 0)</f>
        <v>Forestry</v>
      </c>
      <c r="E199" s="26" cm="1">
        <f t="array" ref="E199">Common_InputFunctions.Utility_DisplayArrayInTable(Common_SourceData.Common_SourceData_EFN2O_Data(), Table_SourceData_Common_EFN2O[[#Headers],[Production system j]], 0)</f>
        <v>1.8E-3</v>
      </c>
      <c r="F199" s="26" t="str" cm="1">
        <f t="array" ref="F199">Common_InputFunctions.Utility_DisplayArrayInTable(Common_SourceData.Common_SourceData_EFN2O_Data(), Table_SourceData_Common_EFN2O[[#Headers],[Production system j]], 0)</f>
        <v>Forestry</v>
      </c>
      <c r="G199" s="26" t="str" cm="1">
        <f t="array" ref="G199">Common_InputFunctions.Utility_DisplayArrayInTable(Common_SourceData.Common_SourceData_EFN2O_Data(), Table_SourceData_Common_EFN2O[[#Headers],[Production system j]], 0)</f>
        <v>Any</v>
      </c>
      <c r="H199" s="26" t="str" cm="1">
        <f t="array" ref="H199">Common_InputFunctions.Utility_DisplayArrayInTable(Common_SourceData.Common_SourceData_EFN2O_Data(), Table_SourceData_Common_EFN2O[[#Headers],[Production system j]], 0)</f>
        <v>Any</v>
      </c>
    </row>
    <row r="202" spans="4:8" ht="23.25" x14ac:dyDescent="0.25">
      <c r="D202" s="5" t="str" cm="1">
        <f t="array" ref="D202">Common_SourceData.Common_SourceData_EFPastureRangeAndPaddock_Title()</f>
        <v>Emission factor for urine and dung deposited on pasture, range or paddock</v>
      </c>
    </row>
    <row r="203" spans="4:8" x14ac:dyDescent="0.25">
      <c r="D203" s="4" t="str" cm="1">
        <f t="array" ref="D203">Common_SourceData.Common_SourceData_EFPastureRangeAndPaddock_Source()</f>
        <v>VEERG 2026: Table A.2.2.2</v>
      </c>
    </row>
    <row r="204" spans="4:8" x14ac:dyDescent="0.25">
      <c r="D204" s="31" t="str" cm="1">
        <f t="array" ref="D204">Common_SourceData.Common_SourceData_EFPastureRangeAndPaddock_Variation()</f>
        <v>VARIATION FROM SOURCE DATA: Changed 'Dry climate zones' to singular 'Dry climate zone' to aid lookup.</v>
      </c>
    </row>
    <row r="205" spans="4:8" x14ac:dyDescent="0.25">
      <c r="D205" s="30" t="str" cm="1">
        <f t="array" ref="D205">Common_SourceData.Common_SourceData_EFPastureRangeAndPaddock_Unit()</f>
        <v>kg N2O - N / kg N</v>
      </c>
    </row>
    <row r="206" spans="4:8" x14ac:dyDescent="0.25">
      <c r="D206" s="26" t="s">
        <v>4</v>
      </c>
      <c r="E206" s="26" t="s">
        <v>59</v>
      </c>
    </row>
    <row r="207" spans="4:8" x14ac:dyDescent="0.25">
      <c r="D207" s="26" t="str" cm="1">
        <f t="array" ref="D207">Common_InputFunctions.Utility_DisplayArrayInTable(Common_SourceData.Common_SourceData_EFPastureRangeAndPaddock_Data(), Table_SourceData_EFPastureRangeAndPaddock[[#Headers],[Climate zone]], 0)</f>
        <v>Wet climate zone</v>
      </c>
      <c r="E207" s="26"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26"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26" t="s">
        <v>56</v>
      </c>
      <c r="E212" s="26" t="s">
        <v>62</v>
      </c>
    </row>
    <row r="213" spans="4:5" x14ac:dyDescent="0.25">
      <c r="D213" s="26" t="str" cm="1">
        <f t="array" ref="D213">Common_InputFunctions.Utility_DisplayArrayInTable(Common_SourceData.Common_SourceData_MonthsToSeasons_Data(), Table_SourceData_Common_MonthToSeason[[#Headers],[Month]], 0)</f>
        <v>January</v>
      </c>
      <c r="E213" s="26"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26"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26"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26"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26"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26"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26"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26"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26"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26"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26"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26" t="str" cm="1">
        <f t="array" ref="E224">Common_InputFunctions.Utility_DisplayArrayInTable(Common_SourceData.Common_SourceData_MonthsToSeasons_Data(), Table_SourceData_Common_MonthToSeason[[#Headers],[Month]], 0)</f>
        <v>Summer</v>
      </c>
    </row>
    <row r="227" spans="4:19" ht="23.25" x14ac:dyDescent="0.25">
      <c r="D227" s="5" t="str" cm="1">
        <f t="array" ref="D227">Common_SourceData.Common_SourceData_MCFTemperatureZone_Title()</f>
        <v>Manure Management – Methane conversion factor per temperature zone (fraction) (MCFim)</v>
      </c>
    </row>
    <row r="228" spans="4:19" x14ac:dyDescent="0.25">
      <c r="D228" s="4" t="str" cm="1">
        <f t="array" ref="D228">Common_SourceData.Common_SourceData_MCFTemperatureZone_Source()</f>
        <v>VEERG 2026: Table A.1.8.1</v>
      </c>
    </row>
    <row r="229" spans="4:19" x14ac:dyDescent="0.25">
      <c r="D229" s="31"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26" t="s">
        <v>35</v>
      </c>
      <c r="E231" s="26" t="s">
        <v>70</v>
      </c>
      <c r="F231" s="25" t="s">
        <v>71</v>
      </c>
      <c r="G231" s="26" t="s">
        <v>66</v>
      </c>
      <c r="H231" s="26" t="s">
        <v>72</v>
      </c>
      <c r="I231" s="26" t="s">
        <v>73</v>
      </c>
      <c r="J231" s="26" t="s">
        <v>65</v>
      </c>
      <c r="K231" s="26" t="s">
        <v>64</v>
      </c>
      <c r="L231" s="26" t="s">
        <v>74</v>
      </c>
      <c r="M231" s="26" t="s">
        <v>75</v>
      </c>
      <c r="N231" s="26" t="s">
        <v>63</v>
      </c>
      <c r="O231" s="26" t="s">
        <v>76</v>
      </c>
      <c r="P231" s="26" t="s">
        <v>68</v>
      </c>
      <c r="Q231" s="26" t="s">
        <v>69</v>
      </c>
      <c r="R231" s="26" t="s">
        <v>67</v>
      </c>
      <c r="S231" s="26" t="s">
        <v>77</v>
      </c>
    </row>
    <row r="232" spans="4:19" x14ac:dyDescent="0.25">
      <c r="D232" s="26" t="str" cm="1">
        <f t="array" ref="D232">Common_InputFunctions.Utility_DisplayArrayInTable(Common_SourceData.Common_SourceData_MCFTemperatureZone_Data(),Table_SourceData_Common_MCFTemperatureZone[[#Headers],[Temperature zone]],0)</f>
        <v>Cool</v>
      </c>
      <c r="E232" s="26" t="str" cm="1">
        <f t="array" ref="E232">Common_InputFunctions.Utility_DisplayArrayInTable(Common_SourceData.Common_SourceData_MCFTemperatureZone_Data(),Table_SourceData_Common_MCFTemperatureZone[[#Headers],[Temperature zone]],0)</f>
        <v>≤10</v>
      </c>
      <c r="F232" s="26" cm="1">
        <f t="array" ref="F232">Common_InputFunctions.Utility_DisplayArrayInTable(Common_SourceData.Common_SourceData_MCFTemperatureZone_Data(),Table_SourceData_Common_MCFTemperatureZone[[#Headers],[Temperature zone]],0)</f>
        <v>0.66</v>
      </c>
      <c r="G232" s="26" cm="1">
        <f t="array" ref="G232">Common_InputFunctions.Utility_DisplayArrayInTable(Common_SourceData.Common_SourceData_MCFTemperatureZone_Data(),Table_SourceData_Common_MCFTemperatureZone[[#Headers],[Temperature zone]],0)</f>
        <v>0.1</v>
      </c>
      <c r="H232" s="26" cm="1">
        <f t="array" ref="H232">Common_InputFunctions.Utility_DisplayArrayInTable(Common_SourceData.Common_SourceData_MCFTemperatureZone_Data(),Table_SourceData_Common_MCFTemperatureZone[[#Headers],[Temperature zone]],0)</f>
        <v>0.1</v>
      </c>
      <c r="I232" s="26" cm="1">
        <f t="array" ref="I232">Common_InputFunctions.Utility_DisplayArrayInTable(Common_SourceData.Common_SourceData_MCFTemperatureZone_Data(),Table_SourceData_Common_MCFTemperatureZone[[#Headers],[Temperature zone]],0)</f>
        <v>1E-3</v>
      </c>
      <c r="J232" s="26" cm="1">
        <f t="array" ref="J232">Common_InputFunctions.Utility_DisplayArrayInTable(Common_SourceData.Common_SourceData_MCFTemperatureZone_Data(),Table_SourceData_Common_MCFTemperatureZone[[#Headers],[Temperature zone]],0)</f>
        <v>5.0000000000000001E-3</v>
      </c>
      <c r="K232" s="26" cm="1">
        <f t="array" ref="K232">Common_InputFunctions.Utility_DisplayArrayInTable(Common_SourceData.Common_SourceData_MCFTemperatureZone_Data(),Table_SourceData_Common_MCFTemperatureZone[[#Headers],[Temperature zone]],0)</f>
        <v>0.02</v>
      </c>
      <c r="L232" s="26" cm="1">
        <f t="array" ref="L232">Common_InputFunctions.Utility_DisplayArrayInTable(Common_SourceData.Common_SourceData_MCFTemperatureZone_Data(),Table_SourceData_Common_MCFTemperatureZone[[#Headers],[Temperature zone]],0)</f>
        <v>0.03</v>
      </c>
      <c r="M232" s="26" cm="1">
        <f t="array" ref="M232">Common_InputFunctions.Utility_DisplayArrayInTable(Common_SourceData.Common_SourceData_MCFTemperatureZone_Data(),Table_SourceData_Common_MCFTemperatureZone[[#Headers],[Temperature zone]],0)</f>
        <v>0.04</v>
      </c>
      <c r="N232" s="26" cm="1">
        <f t="array" ref="N232">Common_InputFunctions.Utility_DisplayArrayInTable(Common_SourceData.Common_SourceData_MCFTemperatureZone_Data(),Table_SourceData_Common_MCFTemperatureZone[[#Headers],[Temperature zone]],0)</f>
        <v>1.4999999999999999E-2</v>
      </c>
      <c r="O232" s="26" cm="1">
        <f t="array" ref="O232">Common_InputFunctions.Utility_DisplayArrayInTable(Common_SourceData.Common_SourceData_MCFTemperatureZone_Data(),Table_SourceData_Common_MCFTemperatureZone[[#Headers],[Temperature zone]],0)</f>
        <v>1.4999999999999999E-2</v>
      </c>
      <c r="P232" s="26" cm="1">
        <f t="array" ref="P232">Common_InputFunctions.Utility_DisplayArrayInTable(Common_SourceData.Common_SourceData_MCFTemperatureZone_Data(),Table_SourceData_Common_MCFTemperatureZone[[#Headers],[Temperature zone]],0)</f>
        <v>0</v>
      </c>
      <c r="Q232" s="26" cm="1">
        <f t="array" ref="Q232">Common_InputFunctions.Utility_DisplayArrayInTable(Common_SourceData.Common_SourceData_MCFTemperatureZone_Data(),Table_SourceData_Common_MCFTemperatureZone[[#Headers],[Temperature zone]],0)</f>
        <v>0</v>
      </c>
      <c r="R232" s="26" cm="1">
        <f t="array" ref="R232">Common_InputFunctions.Utility_DisplayArrayInTable(Common_SourceData.Common_SourceData_MCFTemperatureZone_Data(),Table_SourceData_Common_MCFTemperatureZone[[#Headers],[Temperature zone]],0)</f>
        <v>4.7000000000000002E-3</v>
      </c>
      <c r="S232" s="26"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26" cm="1">
        <f t="array" ref="E233">Common_InputFunctions.Utility_DisplayArrayInTable(Common_SourceData.Common_SourceData_MCFTemperatureZone_Data(),Table_SourceData_Common_MCFTemperatureZone[[#Headers],[Temperature zone]],0)</f>
        <v>11</v>
      </c>
      <c r="F233" s="26" cm="1">
        <f t="array" ref="F233">Common_InputFunctions.Utility_DisplayArrayInTable(Common_SourceData.Common_SourceData_MCFTemperatureZone_Data(),Table_SourceData_Common_MCFTemperatureZone[[#Headers],[Temperature zone]],0)</f>
        <v>0.68</v>
      </c>
      <c r="G233" s="26" cm="1">
        <f t="array" ref="G233">Common_InputFunctions.Utility_DisplayArrayInTable(Common_SourceData.Common_SourceData_MCFTemperatureZone_Data(),Table_SourceData_Common_MCFTemperatureZone[[#Headers],[Temperature zone]],0)</f>
        <v>0.1</v>
      </c>
      <c r="H233" s="26" cm="1">
        <f t="array" ref="H233">Common_InputFunctions.Utility_DisplayArrayInTable(Common_SourceData.Common_SourceData_MCFTemperatureZone_Data(),Table_SourceData_Common_MCFTemperatureZone[[#Headers],[Temperature zone]],0)</f>
        <v>0.11</v>
      </c>
      <c r="I233" s="26" cm="1">
        <f t="array" ref="I233">Common_InputFunctions.Utility_DisplayArrayInTable(Common_SourceData.Common_SourceData_MCFTemperatureZone_Data(),Table_SourceData_Common_MCFTemperatureZone[[#Headers],[Temperature zone]],0)</f>
        <v>1E-3</v>
      </c>
      <c r="J233" s="26" cm="1">
        <f t="array" ref="J233">Common_InputFunctions.Utility_DisplayArrayInTable(Common_SourceData.Common_SourceData_MCFTemperatureZone_Data(),Table_SourceData_Common_MCFTemperatureZone[[#Headers],[Temperature zone]],0)</f>
        <v>5.0000000000000001E-3</v>
      </c>
      <c r="K233" s="26" cm="1">
        <f t="array" ref="K233">Common_InputFunctions.Utility_DisplayArrayInTable(Common_SourceData.Common_SourceData_MCFTemperatureZone_Data(),Table_SourceData_Common_MCFTemperatureZone[[#Headers],[Temperature zone]],0)</f>
        <v>0.02</v>
      </c>
      <c r="L233" s="26" cm="1">
        <f t="array" ref="L233">Common_InputFunctions.Utility_DisplayArrayInTable(Common_SourceData.Common_SourceData_MCFTemperatureZone_Data(),Table_SourceData_Common_MCFTemperatureZone[[#Headers],[Temperature zone]],0)</f>
        <v>0.03</v>
      </c>
      <c r="M233" s="26" cm="1">
        <f t="array" ref="M233">Common_InputFunctions.Utility_DisplayArrayInTable(Common_SourceData.Common_SourceData_MCFTemperatureZone_Data(),Table_SourceData_Common_MCFTemperatureZone[[#Headers],[Temperature zone]],0)</f>
        <v>0.04</v>
      </c>
      <c r="N233" s="26" cm="1">
        <f t="array" ref="N233">Common_InputFunctions.Utility_DisplayArrayInTable(Common_SourceData.Common_SourceData_MCFTemperatureZone_Data(),Table_SourceData_Common_MCFTemperatureZone[[#Headers],[Temperature zone]],0)</f>
        <v>1.4999999999999999E-2</v>
      </c>
      <c r="O233" s="26" cm="1">
        <f t="array" ref="O233">Common_InputFunctions.Utility_DisplayArrayInTable(Common_SourceData.Common_SourceData_MCFTemperatureZone_Data(),Table_SourceData_Common_MCFTemperatureZone[[#Headers],[Temperature zone]],0)</f>
        <v>1.4999999999999999E-2</v>
      </c>
      <c r="P233" s="26" cm="1">
        <f t="array" ref="P233">Common_InputFunctions.Utility_DisplayArrayInTable(Common_SourceData.Common_SourceData_MCFTemperatureZone_Data(),Table_SourceData_Common_MCFTemperatureZone[[#Headers],[Temperature zone]],0)</f>
        <v>0</v>
      </c>
      <c r="Q233" s="26" cm="1">
        <f t="array" ref="Q233">Common_InputFunctions.Utility_DisplayArrayInTable(Common_SourceData.Common_SourceData_MCFTemperatureZone_Data(),Table_SourceData_Common_MCFTemperatureZone[[#Headers],[Temperature zone]],0)</f>
        <v>0</v>
      </c>
      <c r="R233" s="26" cm="1">
        <f t="array" ref="R233">Common_InputFunctions.Utility_DisplayArrayInTable(Common_SourceData.Common_SourceData_MCFTemperatureZone_Data(),Table_SourceData_Common_MCFTemperatureZone[[#Headers],[Temperature zone]],0)</f>
        <v>4.7000000000000002E-3</v>
      </c>
      <c r="S233" s="26"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26" cm="1">
        <f t="array" ref="E234">Common_InputFunctions.Utility_DisplayArrayInTable(Common_SourceData.Common_SourceData_MCFTemperatureZone_Data(),Table_SourceData_Common_MCFTemperatureZone[[#Headers],[Temperature zone]],0)</f>
        <v>12</v>
      </c>
      <c r="F234" s="26" cm="1">
        <f t="array" ref="F234">Common_InputFunctions.Utility_DisplayArrayInTable(Common_SourceData.Common_SourceData_MCFTemperatureZone_Data(),Table_SourceData_Common_MCFTemperatureZone[[#Headers],[Temperature zone]],0)</f>
        <v>0.7</v>
      </c>
      <c r="G234" s="26" cm="1">
        <f t="array" ref="G234">Common_InputFunctions.Utility_DisplayArrayInTable(Common_SourceData.Common_SourceData_MCFTemperatureZone_Data(),Table_SourceData_Common_MCFTemperatureZone[[#Headers],[Temperature zone]],0)</f>
        <v>0.1</v>
      </c>
      <c r="H234" s="26" cm="1">
        <f t="array" ref="H234">Common_InputFunctions.Utility_DisplayArrayInTable(Common_SourceData.Common_SourceData_MCFTemperatureZone_Data(),Table_SourceData_Common_MCFTemperatureZone[[#Headers],[Temperature zone]],0)</f>
        <v>0.13</v>
      </c>
      <c r="I234" s="26" cm="1">
        <f t="array" ref="I234">Common_InputFunctions.Utility_DisplayArrayInTable(Common_SourceData.Common_SourceData_MCFTemperatureZone_Data(),Table_SourceData_Common_MCFTemperatureZone[[#Headers],[Temperature zone]],0)</f>
        <v>1E-3</v>
      </c>
      <c r="J234" s="26" cm="1">
        <f t="array" ref="J234">Common_InputFunctions.Utility_DisplayArrayInTable(Common_SourceData.Common_SourceData_MCFTemperatureZone_Data(),Table_SourceData_Common_MCFTemperatureZone[[#Headers],[Temperature zone]],0)</f>
        <v>5.0000000000000001E-3</v>
      </c>
      <c r="K234" s="26" cm="1">
        <f t="array" ref="K234">Common_InputFunctions.Utility_DisplayArrayInTable(Common_SourceData.Common_SourceData_MCFTemperatureZone_Data(),Table_SourceData_Common_MCFTemperatureZone[[#Headers],[Temperature zone]],0)</f>
        <v>0.02</v>
      </c>
      <c r="L234" s="26" cm="1">
        <f t="array" ref="L234">Common_InputFunctions.Utility_DisplayArrayInTable(Common_SourceData.Common_SourceData_MCFTemperatureZone_Data(),Table_SourceData_Common_MCFTemperatureZone[[#Headers],[Temperature zone]],0)</f>
        <v>0.03</v>
      </c>
      <c r="M234" s="26" cm="1">
        <f t="array" ref="M234">Common_InputFunctions.Utility_DisplayArrayInTable(Common_SourceData.Common_SourceData_MCFTemperatureZone_Data(),Table_SourceData_Common_MCFTemperatureZone[[#Headers],[Temperature zone]],0)</f>
        <v>0.04</v>
      </c>
      <c r="N234" s="26" cm="1">
        <f t="array" ref="N234">Common_InputFunctions.Utility_DisplayArrayInTable(Common_SourceData.Common_SourceData_MCFTemperatureZone_Data(),Table_SourceData_Common_MCFTemperatureZone[[#Headers],[Temperature zone]],0)</f>
        <v>1.4999999999999999E-2</v>
      </c>
      <c r="O234" s="26" cm="1">
        <f t="array" ref="O234">Common_InputFunctions.Utility_DisplayArrayInTable(Common_SourceData.Common_SourceData_MCFTemperatureZone_Data(),Table_SourceData_Common_MCFTemperatureZone[[#Headers],[Temperature zone]],0)</f>
        <v>1.4999999999999999E-2</v>
      </c>
      <c r="P234" s="26" cm="1">
        <f t="array" ref="P234">Common_InputFunctions.Utility_DisplayArrayInTable(Common_SourceData.Common_SourceData_MCFTemperatureZone_Data(),Table_SourceData_Common_MCFTemperatureZone[[#Headers],[Temperature zone]],0)</f>
        <v>0</v>
      </c>
      <c r="Q234" s="26" cm="1">
        <f t="array" ref="Q234">Common_InputFunctions.Utility_DisplayArrayInTable(Common_SourceData.Common_SourceData_MCFTemperatureZone_Data(),Table_SourceData_Common_MCFTemperatureZone[[#Headers],[Temperature zone]],0)</f>
        <v>0</v>
      </c>
      <c r="R234" s="26" cm="1">
        <f t="array" ref="R234">Common_InputFunctions.Utility_DisplayArrayInTable(Common_SourceData.Common_SourceData_MCFTemperatureZone_Data(),Table_SourceData_Common_MCFTemperatureZone[[#Headers],[Temperature zone]],0)</f>
        <v>4.7000000000000002E-3</v>
      </c>
      <c r="S234" s="26"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26" cm="1">
        <f t="array" ref="E235">Common_InputFunctions.Utility_DisplayArrayInTable(Common_SourceData.Common_SourceData_MCFTemperatureZone_Data(),Table_SourceData_Common_MCFTemperatureZone[[#Headers],[Temperature zone]],0)</f>
        <v>13</v>
      </c>
      <c r="F235" s="26" cm="1">
        <f t="array" ref="F235">Common_InputFunctions.Utility_DisplayArrayInTable(Common_SourceData.Common_SourceData_MCFTemperatureZone_Data(),Table_SourceData_Common_MCFTemperatureZone[[#Headers],[Temperature zone]],0)</f>
        <v>0.71</v>
      </c>
      <c r="G235" s="26" cm="1">
        <f t="array" ref="G235">Common_InputFunctions.Utility_DisplayArrayInTable(Common_SourceData.Common_SourceData_MCFTemperatureZone_Data(),Table_SourceData_Common_MCFTemperatureZone[[#Headers],[Temperature zone]],0)</f>
        <v>0.1</v>
      </c>
      <c r="H235" s="26" cm="1">
        <f t="array" ref="H235">Common_InputFunctions.Utility_DisplayArrayInTable(Common_SourceData.Common_SourceData_MCFTemperatureZone_Data(),Table_SourceData_Common_MCFTemperatureZone[[#Headers],[Temperature zone]],0)</f>
        <v>0.14000000000000001</v>
      </c>
      <c r="I235" s="26" cm="1">
        <f t="array" ref="I235">Common_InputFunctions.Utility_DisplayArrayInTable(Common_SourceData.Common_SourceData_MCFTemperatureZone_Data(),Table_SourceData_Common_MCFTemperatureZone[[#Headers],[Temperature zone]],0)</f>
        <v>1E-3</v>
      </c>
      <c r="J235" s="26" cm="1">
        <f t="array" ref="J235">Common_InputFunctions.Utility_DisplayArrayInTable(Common_SourceData.Common_SourceData_MCFTemperatureZone_Data(),Table_SourceData_Common_MCFTemperatureZone[[#Headers],[Temperature zone]],0)</f>
        <v>5.0000000000000001E-3</v>
      </c>
      <c r="K235" s="26" cm="1">
        <f t="array" ref="K235">Common_InputFunctions.Utility_DisplayArrayInTable(Common_SourceData.Common_SourceData_MCFTemperatureZone_Data(),Table_SourceData_Common_MCFTemperatureZone[[#Headers],[Temperature zone]],0)</f>
        <v>0.02</v>
      </c>
      <c r="L235" s="26" cm="1">
        <f t="array" ref="L235">Common_InputFunctions.Utility_DisplayArrayInTable(Common_SourceData.Common_SourceData_MCFTemperatureZone_Data(),Table_SourceData_Common_MCFTemperatureZone[[#Headers],[Temperature zone]],0)</f>
        <v>0.03</v>
      </c>
      <c r="M235" s="26" cm="1">
        <f t="array" ref="M235">Common_InputFunctions.Utility_DisplayArrayInTable(Common_SourceData.Common_SourceData_MCFTemperatureZone_Data(),Table_SourceData_Common_MCFTemperatureZone[[#Headers],[Temperature zone]],0)</f>
        <v>0.04</v>
      </c>
      <c r="N235" s="26" cm="1">
        <f t="array" ref="N235">Common_InputFunctions.Utility_DisplayArrayInTable(Common_SourceData.Common_SourceData_MCFTemperatureZone_Data(),Table_SourceData_Common_MCFTemperatureZone[[#Headers],[Temperature zone]],0)</f>
        <v>1.4999999999999999E-2</v>
      </c>
      <c r="O235" s="26" cm="1">
        <f t="array" ref="O235">Common_InputFunctions.Utility_DisplayArrayInTable(Common_SourceData.Common_SourceData_MCFTemperatureZone_Data(),Table_SourceData_Common_MCFTemperatureZone[[#Headers],[Temperature zone]],0)</f>
        <v>1.4999999999999999E-2</v>
      </c>
      <c r="P235" s="26" cm="1">
        <f t="array" ref="P235">Common_InputFunctions.Utility_DisplayArrayInTable(Common_SourceData.Common_SourceData_MCFTemperatureZone_Data(),Table_SourceData_Common_MCFTemperatureZone[[#Headers],[Temperature zone]],0)</f>
        <v>0</v>
      </c>
      <c r="Q235" s="26" cm="1">
        <f t="array" ref="Q235">Common_InputFunctions.Utility_DisplayArrayInTable(Common_SourceData.Common_SourceData_MCFTemperatureZone_Data(),Table_SourceData_Common_MCFTemperatureZone[[#Headers],[Temperature zone]],0)</f>
        <v>0</v>
      </c>
      <c r="R235" s="26" cm="1">
        <f t="array" ref="R235">Common_InputFunctions.Utility_DisplayArrayInTable(Common_SourceData.Common_SourceData_MCFTemperatureZone_Data(),Table_SourceData_Common_MCFTemperatureZone[[#Headers],[Temperature zone]],0)</f>
        <v>4.7000000000000002E-3</v>
      </c>
      <c r="S235" s="26"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26" cm="1">
        <f t="array" ref="E236">Common_InputFunctions.Utility_DisplayArrayInTable(Common_SourceData.Common_SourceData_MCFTemperatureZone_Data(),Table_SourceData_Common_MCFTemperatureZone[[#Headers],[Temperature zone]],0)</f>
        <v>14</v>
      </c>
      <c r="F236" s="26" cm="1">
        <f t="array" ref="F236">Common_InputFunctions.Utility_DisplayArrayInTable(Common_SourceData.Common_SourceData_MCFTemperatureZone_Data(),Table_SourceData_Common_MCFTemperatureZone[[#Headers],[Temperature zone]],0)</f>
        <v>0.73</v>
      </c>
      <c r="G236" s="26" cm="1">
        <f t="array" ref="G236">Common_InputFunctions.Utility_DisplayArrayInTable(Common_SourceData.Common_SourceData_MCFTemperatureZone_Data(),Table_SourceData_Common_MCFTemperatureZone[[#Headers],[Temperature zone]],0)</f>
        <v>0.1</v>
      </c>
      <c r="H236" s="26" cm="1">
        <f t="array" ref="H236">Common_InputFunctions.Utility_DisplayArrayInTable(Common_SourceData.Common_SourceData_MCFTemperatureZone_Data(),Table_SourceData_Common_MCFTemperatureZone[[#Headers],[Temperature zone]],0)</f>
        <v>0.15</v>
      </c>
      <c r="I236" s="26" cm="1">
        <f t="array" ref="I236">Common_InputFunctions.Utility_DisplayArrayInTable(Common_SourceData.Common_SourceData_MCFTemperatureZone_Data(),Table_SourceData_Common_MCFTemperatureZone[[#Headers],[Temperature zone]],0)</f>
        <v>1E-3</v>
      </c>
      <c r="J236" s="26" cm="1">
        <f t="array" ref="J236">Common_InputFunctions.Utility_DisplayArrayInTable(Common_SourceData.Common_SourceData_MCFTemperatureZone_Data(),Table_SourceData_Common_MCFTemperatureZone[[#Headers],[Temperature zone]],0)</f>
        <v>5.0000000000000001E-3</v>
      </c>
      <c r="K236" s="26" cm="1">
        <f t="array" ref="K236">Common_InputFunctions.Utility_DisplayArrayInTable(Common_SourceData.Common_SourceData_MCFTemperatureZone_Data(),Table_SourceData_Common_MCFTemperatureZone[[#Headers],[Temperature zone]],0)</f>
        <v>0.02</v>
      </c>
      <c r="L236" s="26" cm="1">
        <f t="array" ref="L236">Common_InputFunctions.Utility_DisplayArrayInTable(Common_SourceData.Common_SourceData_MCFTemperatureZone_Data(),Table_SourceData_Common_MCFTemperatureZone[[#Headers],[Temperature zone]],0)</f>
        <v>0.03</v>
      </c>
      <c r="M236" s="26" cm="1">
        <f t="array" ref="M236">Common_InputFunctions.Utility_DisplayArrayInTable(Common_SourceData.Common_SourceData_MCFTemperatureZone_Data(),Table_SourceData_Common_MCFTemperatureZone[[#Headers],[Temperature zone]],0)</f>
        <v>0.04</v>
      </c>
      <c r="N236" s="26" cm="1">
        <f t="array" ref="N236">Common_InputFunctions.Utility_DisplayArrayInTable(Common_SourceData.Common_SourceData_MCFTemperatureZone_Data(),Table_SourceData_Common_MCFTemperatureZone[[#Headers],[Temperature zone]],0)</f>
        <v>1.4999999999999999E-2</v>
      </c>
      <c r="O236" s="26" cm="1">
        <f t="array" ref="O236">Common_InputFunctions.Utility_DisplayArrayInTable(Common_SourceData.Common_SourceData_MCFTemperatureZone_Data(),Table_SourceData_Common_MCFTemperatureZone[[#Headers],[Temperature zone]],0)</f>
        <v>1.4999999999999999E-2</v>
      </c>
      <c r="P236" s="26" cm="1">
        <f t="array" ref="P236">Common_InputFunctions.Utility_DisplayArrayInTable(Common_SourceData.Common_SourceData_MCFTemperatureZone_Data(),Table_SourceData_Common_MCFTemperatureZone[[#Headers],[Temperature zone]],0)</f>
        <v>0</v>
      </c>
      <c r="Q236" s="26" cm="1">
        <f t="array" ref="Q236">Common_InputFunctions.Utility_DisplayArrayInTable(Common_SourceData.Common_SourceData_MCFTemperatureZone_Data(),Table_SourceData_Common_MCFTemperatureZone[[#Headers],[Temperature zone]],0)</f>
        <v>0</v>
      </c>
      <c r="R236" s="26" cm="1">
        <f t="array" ref="R236">Common_InputFunctions.Utility_DisplayArrayInTable(Common_SourceData.Common_SourceData_MCFTemperatureZone_Data(),Table_SourceData_Common_MCFTemperatureZone[[#Headers],[Temperature zone]],0)</f>
        <v>4.7000000000000002E-3</v>
      </c>
      <c r="S236" s="26"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26" cm="1">
        <f t="array" ref="E237">Common_InputFunctions.Utility_DisplayArrayInTable(Common_SourceData.Common_SourceData_MCFTemperatureZone_Data(),Table_SourceData_Common_MCFTemperatureZone[[#Headers],[Temperature zone]],0)</f>
        <v>15</v>
      </c>
      <c r="F237" s="26" cm="1">
        <f t="array" ref="F237">Common_InputFunctions.Utility_DisplayArrayInTable(Common_SourceData.Common_SourceData_MCFTemperatureZone_Data(),Table_SourceData_Common_MCFTemperatureZone[[#Headers],[Temperature zone]],0)</f>
        <v>0.74</v>
      </c>
      <c r="G237" s="26" cm="1">
        <f t="array" ref="G237">Common_InputFunctions.Utility_DisplayArrayInTable(Common_SourceData.Common_SourceData_MCFTemperatureZone_Data(),Table_SourceData_Common_MCFTemperatureZone[[#Headers],[Temperature zone]],0)</f>
        <v>0.1</v>
      </c>
      <c r="H237" s="26" cm="1">
        <f t="array" ref="H237">Common_InputFunctions.Utility_DisplayArrayInTable(Common_SourceData.Common_SourceData_MCFTemperatureZone_Data(),Table_SourceData_Common_MCFTemperatureZone[[#Headers],[Temperature zone]],0)</f>
        <v>0.17</v>
      </c>
      <c r="I237" s="26" cm="1">
        <f t="array" ref="I237">Common_InputFunctions.Utility_DisplayArrayInTable(Common_SourceData.Common_SourceData_MCFTemperatureZone_Data(),Table_SourceData_Common_MCFTemperatureZone[[#Headers],[Temperature zone]],0)</f>
        <v>5.0000000000000001E-3</v>
      </c>
      <c r="J237" s="26" cm="1">
        <f t="array" ref="J237">Common_InputFunctions.Utility_DisplayArrayInTable(Common_SourceData.Common_SourceData_MCFTemperatureZone_Data(),Table_SourceData_Common_MCFTemperatureZone[[#Headers],[Temperature zone]],0)</f>
        <v>0.01</v>
      </c>
      <c r="K237" s="26" cm="1">
        <f t="array" ref="K237">Common_InputFunctions.Utility_DisplayArrayInTable(Common_SourceData.Common_SourceData_MCFTemperatureZone_Data(),Table_SourceData_Common_MCFTemperatureZone[[#Headers],[Temperature zone]],0)</f>
        <v>0.02</v>
      </c>
      <c r="L237" s="26" cm="1">
        <f t="array" ref="L237">Common_InputFunctions.Utility_DisplayArrayInTable(Common_SourceData.Common_SourceData_MCFTemperatureZone_Data(),Table_SourceData_Common_MCFTemperatureZone[[#Headers],[Temperature zone]],0)</f>
        <v>0.03</v>
      </c>
      <c r="M237" s="26" cm="1">
        <f t="array" ref="M237">Common_InputFunctions.Utility_DisplayArrayInTable(Common_SourceData.Common_SourceData_MCFTemperatureZone_Data(),Table_SourceData_Common_MCFTemperatureZone[[#Headers],[Temperature zone]],0)</f>
        <v>0.04</v>
      </c>
      <c r="N237" s="26" cm="1">
        <f t="array" ref="N237">Common_InputFunctions.Utility_DisplayArrayInTable(Common_SourceData.Common_SourceData_MCFTemperatureZone_Data(),Table_SourceData_Common_MCFTemperatureZone[[#Headers],[Temperature zone]],0)</f>
        <v>1.4999999999999999E-2</v>
      </c>
      <c r="O237" s="26" cm="1">
        <f t="array" ref="O237">Common_InputFunctions.Utility_DisplayArrayInTable(Common_SourceData.Common_SourceData_MCFTemperatureZone_Data(),Table_SourceData_Common_MCFTemperatureZone[[#Headers],[Temperature zone]],0)</f>
        <v>1.4999999999999999E-2</v>
      </c>
      <c r="P237" s="26" cm="1">
        <f t="array" ref="P237">Common_InputFunctions.Utility_DisplayArrayInTable(Common_SourceData.Common_SourceData_MCFTemperatureZone_Data(),Table_SourceData_Common_MCFTemperatureZone[[#Headers],[Temperature zone]],0)</f>
        <v>0</v>
      </c>
      <c r="Q237" s="26" cm="1">
        <f t="array" ref="Q237">Common_InputFunctions.Utility_DisplayArrayInTable(Common_SourceData.Common_SourceData_MCFTemperatureZone_Data(),Table_SourceData_Common_MCFTemperatureZone[[#Headers],[Temperature zone]],0)</f>
        <v>0</v>
      </c>
      <c r="R237" s="26" cm="1">
        <f t="array" ref="R237">Common_InputFunctions.Utility_DisplayArrayInTable(Common_SourceData.Common_SourceData_MCFTemperatureZone_Data(),Table_SourceData_Common_MCFTemperatureZone[[#Headers],[Temperature zone]],0)</f>
        <v>4.7000000000000002E-3</v>
      </c>
      <c r="S237" s="26"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26" cm="1">
        <f t="array" ref="E238">Common_InputFunctions.Utility_DisplayArrayInTable(Common_SourceData.Common_SourceData_MCFTemperatureZone_Data(),Table_SourceData_Common_MCFTemperatureZone[[#Headers],[Temperature zone]],0)</f>
        <v>16</v>
      </c>
      <c r="F238" s="26" cm="1">
        <f t="array" ref="F238">Common_InputFunctions.Utility_DisplayArrayInTable(Common_SourceData.Common_SourceData_MCFTemperatureZone_Data(),Table_SourceData_Common_MCFTemperatureZone[[#Headers],[Temperature zone]],0)</f>
        <v>0.75</v>
      </c>
      <c r="G238" s="26" cm="1">
        <f t="array" ref="G238">Common_InputFunctions.Utility_DisplayArrayInTable(Common_SourceData.Common_SourceData_MCFTemperatureZone_Data(),Table_SourceData_Common_MCFTemperatureZone[[#Headers],[Temperature zone]],0)</f>
        <v>0.1</v>
      </c>
      <c r="H238" s="26" cm="1">
        <f t="array" ref="H238">Common_InputFunctions.Utility_DisplayArrayInTable(Common_SourceData.Common_SourceData_MCFTemperatureZone_Data(),Table_SourceData_Common_MCFTemperatureZone[[#Headers],[Temperature zone]],0)</f>
        <v>0.18</v>
      </c>
      <c r="I238" s="26" cm="1">
        <f t="array" ref="I238">Common_InputFunctions.Utility_DisplayArrayInTable(Common_SourceData.Common_SourceData_MCFTemperatureZone_Data(),Table_SourceData_Common_MCFTemperatureZone[[#Headers],[Temperature zone]],0)</f>
        <v>5.0000000000000001E-3</v>
      </c>
      <c r="J238" s="26" cm="1">
        <f t="array" ref="J238">Common_InputFunctions.Utility_DisplayArrayInTable(Common_SourceData.Common_SourceData_MCFTemperatureZone_Data(),Table_SourceData_Common_MCFTemperatureZone[[#Headers],[Temperature zone]],0)</f>
        <v>0.01</v>
      </c>
      <c r="K238" s="26" cm="1">
        <f t="array" ref="K238">Common_InputFunctions.Utility_DisplayArrayInTable(Common_SourceData.Common_SourceData_MCFTemperatureZone_Data(),Table_SourceData_Common_MCFTemperatureZone[[#Headers],[Temperature zone]],0)</f>
        <v>0.02</v>
      </c>
      <c r="L238" s="26" cm="1">
        <f t="array" ref="L238">Common_InputFunctions.Utility_DisplayArrayInTable(Common_SourceData.Common_SourceData_MCFTemperatureZone_Data(),Table_SourceData_Common_MCFTemperatureZone[[#Headers],[Temperature zone]],0)</f>
        <v>0.03</v>
      </c>
      <c r="M238" s="26" cm="1">
        <f t="array" ref="M238">Common_InputFunctions.Utility_DisplayArrayInTable(Common_SourceData.Common_SourceData_MCFTemperatureZone_Data(),Table_SourceData_Common_MCFTemperatureZone[[#Headers],[Temperature zone]],0)</f>
        <v>0.04</v>
      </c>
      <c r="N238" s="26" cm="1">
        <f t="array" ref="N238">Common_InputFunctions.Utility_DisplayArrayInTable(Common_SourceData.Common_SourceData_MCFTemperatureZone_Data(),Table_SourceData_Common_MCFTemperatureZone[[#Headers],[Temperature zone]],0)</f>
        <v>1.4999999999999999E-2</v>
      </c>
      <c r="O238" s="26" cm="1">
        <f t="array" ref="O238">Common_InputFunctions.Utility_DisplayArrayInTable(Common_SourceData.Common_SourceData_MCFTemperatureZone_Data(),Table_SourceData_Common_MCFTemperatureZone[[#Headers],[Temperature zone]],0)</f>
        <v>1.4999999999999999E-2</v>
      </c>
      <c r="P238" s="26" cm="1">
        <f t="array" ref="P238">Common_InputFunctions.Utility_DisplayArrayInTable(Common_SourceData.Common_SourceData_MCFTemperatureZone_Data(),Table_SourceData_Common_MCFTemperatureZone[[#Headers],[Temperature zone]],0)</f>
        <v>0</v>
      </c>
      <c r="Q238" s="26" cm="1">
        <f t="array" ref="Q238">Common_InputFunctions.Utility_DisplayArrayInTable(Common_SourceData.Common_SourceData_MCFTemperatureZone_Data(),Table_SourceData_Common_MCFTemperatureZone[[#Headers],[Temperature zone]],0)</f>
        <v>0</v>
      </c>
      <c r="R238" s="26" cm="1">
        <f t="array" ref="R238">Common_InputFunctions.Utility_DisplayArrayInTable(Common_SourceData.Common_SourceData_MCFTemperatureZone_Data(),Table_SourceData_Common_MCFTemperatureZone[[#Headers],[Temperature zone]],0)</f>
        <v>4.7000000000000002E-3</v>
      </c>
      <c r="S238" s="26"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26" cm="1">
        <f t="array" ref="E239">Common_InputFunctions.Utility_DisplayArrayInTable(Common_SourceData.Common_SourceData_MCFTemperatureZone_Data(),Table_SourceData_Common_MCFTemperatureZone[[#Headers],[Temperature zone]],0)</f>
        <v>17</v>
      </c>
      <c r="F239" s="26" cm="1">
        <f t="array" ref="F239">Common_InputFunctions.Utility_DisplayArrayInTable(Common_SourceData.Common_SourceData_MCFTemperatureZone_Data(),Table_SourceData_Common_MCFTemperatureZone[[#Headers],[Temperature zone]],0)</f>
        <v>0.76</v>
      </c>
      <c r="G239" s="26" cm="1">
        <f t="array" ref="G239">Common_InputFunctions.Utility_DisplayArrayInTable(Common_SourceData.Common_SourceData_MCFTemperatureZone_Data(),Table_SourceData_Common_MCFTemperatureZone[[#Headers],[Temperature zone]],0)</f>
        <v>0.1</v>
      </c>
      <c r="H239" s="26" cm="1">
        <f t="array" ref="H239">Common_InputFunctions.Utility_DisplayArrayInTable(Common_SourceData.Common_SourceData_MCFTemperatureZone_Data(),Table_SourceData_Common_MCFTemperatureZone[[#Headers],[Temperature zone]],0)</f>
        <v>0.2</v>
      </c>
      <c r="I239" s="26" cm="1">
        <f t="array" ref="I239">Common_InputFunctions.Utility_DisplayArrayInTable(Common_SourceData.Common_SourceData_MCFTemperatureZone_Data(),Table_SourceData_Common_MCFTemperatureZone[[#Headers],[Temperature zone]],0)</f>
        <v>5.0000000000000001E-3</v>
      </c>
      <c r="J239" s="26" cm="1">
        <f t="array" ref="J239">Common_InputFunctions.Utility_DisplayArrayInTable(Common_SourceData.Common_SourceData_MCFTemperatureZone_Data(),Table_SourceData_Common_MCFTemperatureZone[[#Headers],[Temperature zone]],0)</f>
        <v>0.01</v>
      </c>
      <c r="K239" s="26" cm="1">
        <f t="array" ref="K239">Common_InputFunctions.Utility_DisplayArrayInTable(Common_SourceData.Common_SourceData_MCFTemperatureZone_Data(),Table_SourceData_Common_MCFTemperatureZone[[#Headers],[Temperature zone]],0)</f>
        <v>0.02</v>
      </c>
      <c r="L239" s="26" cm="1">
        <f t="array" ref="L239">Common_InputFunctions.Utility_DisplayArrayInTable(Common_SourceData.Common_SourceData_MCFTemperatureZone_Data(),Table_SourceData_Common_MCFTemperatureZone[[#Headers],[Temperature zone]],0)</f>
        <v>0.03</v>
      </c>
      <c r="M239" s="26" cm="1">
        <f t="array" ref="M239">Common_InputFunctions.Utility_DisplayArrayInTable(Common_SourceData.Common_SourceData_MCFTemperatureZone_Data(),Table_SourceData_Common_MCFTemperatureZone[[#Headers],[Temperature zone]],0)</f>
        <v>0.04</v>
      </c>
      <c r="N239" s="26" cm="1">
        <f t="array" ref="N239">Common_InputFunctions.Utility_DisplayArrayInTable(Common_SourceData.Common_SourceData_MCFTemperatureZone_Data(),Table_SourceData_Common_MCFTemperatureZone[[#Headers],[Temperature zone]],0)</f>
        <v>1.4999999999999999E-2</v>
      </c>
      <c r="O239" s="26" cm="1">
        <f t="array" ref="O239">Common_InputFunctions.Utility_DisplayArrayInTable(Common_SourceData.Common_SourceData_MCFTemperatureZone_Data(),Table_SourceData_Common_MCFTemperatureZone[[#Headers],[Temperature zone]],0)</f>
        <v>1.4999999999999999E-2</v>
      </c>
      <c r="P239" s="26" cm="1">
        <f t="array" ref="P239">Common_InputFunctions.Utility_DisplayArrayInTable(Common_SourceData.Common_SourceData_MCFTemperatureZone_Data(),Table_SourceData_Common_MCFTemperatureZone[[#Headers],[Temperature zone]],0)</f>
        <v>0</v>
      </c>
      <c r="Q239" s="26" cm="1">
        <f t="array" ref="Q239">Common_InputFunctions.Utility_DisplayArrayInTable(Common_SourceData.Common_SourceData_MCFTemperatureZone_Data(),Table_SourceData_Common_MCFTemperatureZone[[#Headers],[Temperature zone]],0)</f>
        <v>0</v>
      </c>
      <c r="R239" s="26" cm="1">
        <f t="array" ref="R239">Common_InputFunctions.Utility_DisplayArrayInTable(Common_SourceData.Common_SourceData_MCFTemperatureZone_Data(),Table_SourceData_Common_MCFTemperatureZone[[#Headers],[Temperature zone]],0)</f>
        <v>4.7000000000000002E-3</v>
      </c>
      <c r="S239" s="26"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26" cm="1">
        <f t="array" ref="E240">Common_InputFunctions.Utility_DisplayArrayInTable(Common_SourceData.Common_SourceData_MCFTemperatureZone_Data(),Table_SourceData_Common_MCFTemperatureZone[[#Headers],[Temperature zone]],0)</f>
        <v>18</v>
      </c>
      <c r="F240" s="26" cm="1">
        <f t="array" ref="F240">Common_InputFunctions.Utility_DisplayArrayInTable(Common_SourceData.Common_SourceData_MCFTemperatureZone_Data(),Table_SourceData_Common_MCFTemperatureZone[[#Headers],[Temperature zone]],0)</f>
        <v>0.77</v>
      </c>
      <c r="G240" s="26" cm="1">
        <f t="array" ref="G240">Common_InputFunctions.Utility_DisplayArrayInTable(Common_SourceData.Common_SourceData_MCFTemperatureZone_Data(),Table_SourceData_Common_MCFTemperatureZone[[#Headers],[Temperature zone]],0)</f>
        <v>0.1</v>
      </c>
      <c r="H240" s="26" cm="1">
        <f t="array" ref="H240">Common_InputFunctions.Utility_DisplayArrayInTable(Common_SourceData.Common_SourceData_MCFTemperatureZone_Data(),Table_SourceData_Common_MCFTemperatureZone[[#Headers],[Temperature zone]],0)</f>
        <v>0.22</v>
      </c>
      <c r="I240" s="26" cm="1">
        <f t="array" ref="I240">Common_InputFunctions.Utility_DisplayArrayInTable(Common_SourceData.Common_SourceData_MCFTemperatureZone_Data(),Table_SourceData_Common_MCFTemperatureZone[[#Headers],[Temperature zone]],0)</f>
        <v>5.0000000000000001E-3</v>
      </c>
      <c r="J240" s="26" cm="1">
        <f t="array" ref="J240">Common_InputFunctions.Utility_DisplayArrayInTable(Common_SourceData.Common_SourceData_MCFTemperatureZone_Data(),Table_SourceData_Common_MCFTemperatureZone[[#Headers],[Temperature zone]],0)</f>
        <v>0.01</v>
      </c>
      <c r="K240" s="26" cm="1">
        <f t="array" ref="K240">Common_InputFunctions.Utility_DisplayArrayInTable(Common_SourceData.Common_SourceData_MCFTemperatureZone_Data(),Table_SourceData_Common_MCFTemperatureZone[[#Headers],[Temperature zone]],0)</f>
        <v>0.02</v>
      </c>
      <c r="L240" s="26" cm="1">
        <f t="array" ref="L240">Common_InputFunctions.Utility_DisplayArrayInTable(Common_SourceData.Common_SourceData_MCFTemperatureZone_Data(),Table_SourceData_Common_MCFTemperatureZone[[#Headers],[Temperature zone]],0)</f>
        <v>0.03</v>
      </c>
      <c r="M240" s="26" cm="1">
        <f t="array" ref="M240">Common_InputFunctions.Utility_DisplayArrayInTable(Common_SourceData.Common_SourceData_MCFTemperatureZone_Data(),Table_SourceData_Common_MCFTemperatureZone[[#Headers],[Temperature zone]],0)</f>
        <v>0.04</v>
      </c>
      <c r="N240" s="26" cm="1">
        <f t="array" ref="N240">Common_InputFunctions.Utility_DisplayArrayInTable(Common_SourceData.Common_SourceData_MCFTemperatureZone_Data(),Table_SourceData_Common_MCFTemperatureZone[[#Headers],[Temperature zone]],0)</f>
        <v>1.4999999999999999E-2</v>
      </c>
      <c r="O240" s="26" cm="1">
        <f t="array" ref="O240">Common_InputFunctions.Utility_DisplayArrayInTable(Common_SourceData.Common_SourceData_MCFTemperatureZone_Data(),Table_SourceData_Common_MCFTemperatureZone[[#Headers],[Temperature zone]],0)</f>
        <v>1.4999999999999999E-2</v>
      </c>
      <c r="P240" s="26" cm="1">
        <f t="array" ref="P240">Common_InputFunctions.Utility_DisplayArrayInTable(Common_SourceData.Common_SourceData_MCFTemperatureZone_Data(),Table_SourceData_Common_MCFTemperatureZone[[#Headers],[Temperature zone]],0)</f>
        <v>0</v>
      </c>
      <c r="Q240" s="26" cm="1">
        <f t="array" ref="Q240">Common_InputFunctions.Utility_DisplayArrayInTable(Common_SourceData.Common_SourceData_MCFTemperatureZone_Data(),Table_SourceData_Common_MCFTemperatureZone[[#Headers],[Temperature zone]],0)</f>
        <v>0</v>
      </c>
      <c r="R240" s="26" cm="1">
        <f t="array" ref="R240">Common_InputFunctions.Utility_DisplayArrayInTable(Common_SourceData.Common_SourceData_MCFTemperatureZone_Data(),Table_SourceData_Common_MCFTemperatureZone[[#Headers],[Temperature zone]],0)</f>
        <v>4.7000000000000002E-3</v>
      </c>
      <c r="S240" s="26"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26" cm="1">
        <f t="array" ref="E241">Common_InputFunctions.Utility_DisplayArrayInTable(Common_SourceData.Common_SourceData_MCFTemperatureZone_Data(),Table_SourceData_Common_MCFTemperatureZone[[#Headers],[Temperature zone]],0)</f>
        <v>19</v>
      </c>
      <c r="F241" s="26" cm="1">
        <f t="array" ref="F241">Common_InputFunctions.Utility_DisplayArrayInTable(Common_SourceData.Common_SourceData_MCFTemperatureZone_Data(),Table_SourceData_Common_MCFTemperatureZone[[#Headers],[Temperature zone]],0)</f>
        <v>0.77</v>
      </c>
      <c r="G241" s="26" cm="1">
        <f t="array" ref="G241">Common_InputFunctions.Utility_DisplayArrayInTable(Common_SourceData.Common_SourceData_MCFTemperatureZone_Data(),Table_SourceData_Common_MCFTemperatureZone[[#Headers],[Temperature zone]],0)</f>
        <v>0.1</v>
      </c>
      <c r="H241" s="26" cm="1">
        <f t="array" ref="H241">Common_InputFunctions.Utility_DisplayArrayInTable(Common_SourceData.Common_SourceData_MCFTemperatureZone_Data(),Table_SourceData_Common_MCFTemperatureZone[[#Headers],[Temperature zone]],0)</f>
        <v>0.24</v>
      </c>
      <c r="I241" s="26" cm="1">
        <f t="array" ref="I241">Common_InputFunctions.Utility_DisplayArrayInTable(Common_SourceData.Common_SourceData_MCFTemperatureZone_Data(),Table_SourceData_Common_MCFTemperatureZone[[#Headers],[Temperature zone]],0)</f>
        <v>5.0000000000000001E-3</v>
      </c>
      <c r="J241" s="26" cm="1">
        <f t="array" ref="J241">Common_InputFunctions.Utility_DisplayArrayInTable(Common_SourceData.Common_SourceData_MCFTemperatureZone_Data(),Table_SourceData_Common_MCFTemperatureZone[[#Headers],[Temperature zone]],0)</f>
        <v>0.01</v>
      </c>
      <c r="K241" s="26" cm="1">
        <f t="array" ref="K241">Common_InputFunctions.Utility_DisplayArrayInTable(Common_SourceData.Common_SourceData_MCFTemperatureZone_Data(),Table_SourceData_Common_MCFTemperatureZone[[#Headers],[Temperature zone]],0)</f>
        <v>0.02</v>
      </c>
      <c r="L241" s="26" cm="1">
        <f t="array" ref="L241">Common_InputFunctions.Utility_DisplayArrayInTable(Common_SourceData.Common_SourceData_MCFTemperatureZone_Data(),Table_SourceData_Common_MCFTemperatureZone[[#Headers],[Temperature zone]],0)</f>
        <v>0.03</v>
      </c>
      <c r="M241" s="26" cm="1">
        <f t="array" ref="M241">Common_InputFunctions.Utility_DisplayArrayInTable(Common_SourceData.Common_SourceData_MCFTemperatureZone_Data(),Table_SourceData_Common_MCFTemperatureZone[[#Headers],[Temperature zone]],0)</f>
        <v>0.04</v>
      </c>
      <c r="N241" s="26" cm="1">
        <f t="array" ref="N241">Common_InputFunctions.Utility_DisplayArrayInTable(Common_SourceData.Common_SourceData_MCFTemperatureZone_Data(),Table_SourceData_Common_MCFTemperatureZone[[#Headers],[Temperature zone]],0)</f>
        <v>1.4999999999999999E-2</v>
      </c>
      <c r="O241" s="26" cm="1">
        <f t="array" ref="O241">Common_InputFunctions.Utility_DisplayArrayInTable(Common_SourceData.Common_SourceData_MCFTemperatureZone_Data(),Table_SourceData_Common_MCFTemperatureZone[[#Headers],[Temperature zone]],0)</f>
        <v>1.4999999999999999E-2</v>
      </c>
      <c r="P241" s="26" cm="1">
        <f t="array" ref="P241">Common_InputFunctions.Utility_DisplayArrayInTable(Common_SourceData.Common_SourceData_MCFTemperatureZone_Data(),Table_SourceData_Common_MCFTemperatureZone[[#Headers],[Temperature zone]],0)</f>
        <v>0</v>
      </c>
      <c r="Q241" s="26" cm="1">
        <f t="array" ref="Q241">Common_InputFunctions.Utility_DisplayArrayInTable(Common_SourceData.Common_SourceData_MCFTemperatureZone_Data(),Table_SourceData_Common_MCFTemperatureZone[[#Headers],[Temperature zone]],0)</f>
        <v>0</v>
      </c>
      <c r="R241" s="26" cm="1">
        <f t="array" ref="R241">Common_InputFunctions.Utility_DisplayArrayInTable(Common_SourceData.Common_SourceData_MCFTemperatureZone_Data(),Table_SourceData_Common_MCFTemperatureZone[[#Headers],[Temperature zone]],0)</f>
        <v>4.7000000000000002E-3</v>
      </c>
      <c r="S241" s="26"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26" cm="1">
        <f t="array" ref="E242">Common_InputFunctions.Utility_DisplayArrayInTable(Common_SourceData.Common_SourceData_MCFTemperatureZone_Data(),Table_SourceData_Common_MCFTemperatureZone[[#Headers],[Temperature zone]],0)</f>
        <v>20</v>
      </c>
      <c r="F242" s="26" cm="1">
        <f t="array" ref="F242">Common_InputFunctions.Utility_DisplayArrayInTable(Common_SourceData.Common_SourceData_MCFTemperatureZone_Data(),Table_SourceData_Common_MCFTemperatureZone[[#Headers],[Temperature zone]],0)</f>
        <v>0.78</v>
      </c>
      <c r="G242" s="26" cm="1">
        <f t="array" ref="G242">Common_InputFunctions.Utility_DisplayArrayInTable(Common_SourceData.Common_SourceData_MCFTemperatureZone_Data(),Table_SourceData_Common_MCFTemperatureZone[[#Headers],[Temperature zone]],0)</f>
        <v>0.1</v>
      </c>
      <c r="H242" s="26" cm="1">
        <f t="array" ref="H242">Common_InputFunctions.Utility_DisplayArrayInTable(Common_SourceData.Common_SourceData_MCFTemperatureZone_Data(),Table_SourceData_Common_MCFTemperatureZone[[#Headers],[Temperature zone]],0)</f>
        <v>0.26</v>
      </c>
      <c r="I242" s="26" cm="1">
        <f t="array" ref="I242">Common_InputFunctions.Utility_DisplayArrayInTable(Common_SourceData.Common_SourceData_MCFTemperatureZone_Data(),Table_SourceData_Common_MCFTemperatureZone[[#Headers],[Temperature zone]],0)</f>
        <v>5.0000000000000001E-3</v>
      </c>
      <c r="J242" s="26" cm="1">
        <f t="array" ref="J242">Common_InputFunctions.Utility_DisplayArrayInTable(Common_SourceData.Common_SourceData_MCFTemperatureZone_Data(),Table_SourceData_Common_MCFTemperatureZone[[#Headers],[Temperature zone]],0)</f>
        <v>0.01</v>
      </c>
      <c r="K242" s="26" cm="1">
        <f t="array" ref="K242">Common_InputFunctions.Utility_DisplayArrayInTable(Common_SourceData.Common_SourceData_MCFTemperatureZone_Data(),Table_SourceData_Common_MCFTemperatureZone[[#Headers],[Temperature zone]],0)</f>
        <v>0.02</v>
      </c>
      <c r="L242" s="26" cm="1">
        <f t="array" ref="L242">Common_InputFunctions.Utility_DisplayArrayInTable(Common_SourceData.Common_SourceData_MCFTemperatureZone_Data(),Table_SourceData_Common_MCFTemperatureZone[[#Headers],[Temperature zone]],0)</f>
        <v>0.03</v>
      </c>
      <c r="M242" s="26" cm="1">
        <f t="array" ref="M242">Common_InputFunctions.Utility_DisplayArrayInTable(Common_SourceData.Common_SourceData_MCFTemperatureZone_Data(),Table_SourceData_Common_MCFTemperatureZone[[#Headers],[Temperature zone]],0)</f>
        <v>0.04</v>
      </c>
      <c r="N242" s="26" cm="1">
        <f t="array" ref="N242">Common_InputFunctions.Utility_DisplayArrayInTable(Common_SourceData.Common_SourceData_MCFTemperatureZone_Data(),Table_SourceData_Common_MCFTemperatureZone[[#Headers],[Temperature zone]],0)</f>
        <v>1.4999999999999999E-2</v>
      </c>
      <c r="O242" s="26" cm="1">
        <f t="array" ref="O242">Common_InputFunctions.Utility_DisplayArrayInTable(Common_SourceData.Common_SourceData_MCFTemperatureZone_Data(),Table_SourceData_Common_MCFTemperatureZone[[#Headers],[Temperature zone]],0)</f>
        <v>1.4999999999999999E-2</v>
      </c>
      <c r="P242" s="26" cm="1">
        <f t="array" ref="P242">Common_InputFunctions.Utility_DisplayArrayInTable(Common_SourceData.Common_SourceData_MCFTemperatureZone_Data(),Table_SourceData_Common_MCFTemperatureZone[[#Headers],[Temperature zone]],0)</f>
        <v>0</v>
      </c>
      <c r="Q242" s="26" cm="1">
        <f t="array" ref="Q242">Common_InputFunctions.Utility_DisplayArrayInTable(Common_SourceData.Common_SourceData_MCFTemperatureZone_Data(),Table_SourceData_Common_MCFTemperatureZone[[#Headers],[Temperature zone]],0)</f>
        <v>0</v>
      </c>
      <c r="R242" s="26" cm="1">
        <f t="array" ref="R242">Common_InputFunctions.Utility_DisplayArrayInTable(Common_SourceData.Common_SourceData_MCFTemperatureZone_Data(),Table_SourceData_Common_MCFTemperatureZone[[#Headers],[Temperature zone]],0)</f>
        <v>4.7000000000000002E-3</v>
      </c>
      <c r="S242" s="26"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26" cm="1">
        <f t="array" ref="E243">Common_InputFunctions.Utility_DisplayArrayInTable(Common_SourceData.Common_SourceData_MCFTemperatureZone_Data(),Table_SourceData_Common_MCFTemperatureZone[[#Headers],[Temperature zone]],0)</f>
        <v>21</v>
      </c>
      <c r="F243" s="26" cm="1">
        <f t="array" ref="F243">Common_InputFunctions.Utility_DisplayArrayInTable(Common_SourceData.Common_SourceData_MCFTemperatureZone_Data(),Table_SourceData_Common_MCFTemperatureZone[[#Headers],[Temperature zone]],0)</f>
        <v>0.78</v>
      </c>
      <c r="G243" s="26" cm="1">
        <f t="array" ref="G243">Common_InputFunctions.Utility_DisplayArrayInTable(Common_SourceData.Common_SourceData_MCFTemperatureZone_Data(),Table_SourceData_Common_MCFTemperatureZone[[#Headers],[Temperature zone]],0)</f>
        <v>0.1</v>
      </c>
      <c r="H243" s="26" cm="1">
        <f t="array" ref="H243">Common_InputFunctions.Utility_DisplayArrayInTable(Common_SourceData.Common_SourceData_MCFTemperatureZone_Data(),Table_SourceData_Common_MCFTemperatureZone[[#Headers],[Temperature zone]],0)</f>
        <v>0.28999999999999998</v>
      </c>
      <c r="I243" s="26" cm="1">
        <f t="array" ref="I243">Common_InputFunctions.Utility_DisplayArrayInTable(Common_SourceData.Common_SourceData_MCFTemperatureZone_Data(),Table_SourceData_Common_MCFTemperatureZone[[#Headers],[Temperature zone]],0)</f>
        <v>5.0000000000000001E-3</v>
      </c>
      <c r="J243" s="26" cm="1">
        <f t="array" ref="J243">Common_InputFunctions.Utility_DisplayArrayInTable(Common_SourceData.Common_SourceData_MCFTemperatureZone_Data(),Table_SourceData_Common_MCFTemperatureZone[[#Headers],[Temperature zone]],0)</f>
        <v>0.01</v>
      </c>
      <c r="K243" s="26" cm="1">
        <f t="array" ref="K243">Common_InputFunctions.Utility_DisplayArrayInTable(Common_SourceData.Common_SourceData_MCFTemperatureZone_Data(),Table_SourceData_Common_MCFTemperatureZone[[#Headers],[Temperature zone]],0)</f>
        <v>0.02</v>
      </c>
      <c r="L243" s="26" cm="1">
        <f t="array" ref="L243">Common_InputFunctions.Utility_DisplayArrayInTable(Common_SourceData.Common_SourceData_MCFTemperatureZone_Data(),Table_SourceData_Common_MCFTemperatureZone[[#Headers],[Temperature zone]],0)</f>
        <v>0.03</v>
      </c>
      <c r="M243" s="26" cm="1">
        <f t="array" ref="M243">Common_InputFunctions.Utility_DisplayArrayInTable(Common_SourceData.Common_SourceData_MCFTemperatureZone_Data(),Table_SourceData_Common_MCFTemperatureZone[[#Headers],[Temperature zone]],0)</f>
        <v>0.04</v>
      </c>
      <c r="N243" s="26" cm="1">
        <f t="array" ref="N243">Common_InputFunctions.Utility_DisplayArrayInTable(Common_SourceData.Common_SourceData_MCFTemperatureZone_Data(),Table_SourceData_Common_MCFTemperatureZone[[#Headers],[Temperature zone]],0)</f>
        <v>1.4999999999999999E-2</v>
      </c>
      <c r="O243" s="26" cm="1">
        <f t="array" ref="O243">Common_InputFunctions.Utility_DisplayArrayInTable(Common_SourceData.Common_SourceData_MCFTemperatureZone_Data(),Table_SourceData_Common_MCFTemperatureZone[[#Headers],[Temperature zone]],0)</f>
        <v>1.4999999999999999E-2</v>
      </c>
      <c r="P243" s="26" cm="1">
        <f t="array" ref="P243">Common_InputFunctions.Utility_DisplayArrayInTable(Common_SourceData.Common_SourceData_MCFTemperatureZone_Data(),Table_SourceData_Common_MCFTemperatureZone[[#Headers],[Temperature zone]],0)</f>
        <v>0</v>
      </c>
      <c r="Q243" s="26" cm="1">
        <f t="array" ref="Q243">Common_InputFunctions.Utility_DisplayArrayInTable(Common_SourceData.Common_SourceData_MCFTemperatureZone_Data(),Table_SourceData_Common_MCFTemperatureZone[[#Headers],[Temperature zone]],0)</f>
        <v>0</v>
      </c>
      <c r="R243" s="26" cm="1">
        <f t="array" ref="R243">Common_InputFunctions.Utility_DisplayArrayInTable(Common_SourceData.Common_SourceData_MCFTemperatureZone_Data(),Table_SourceData_Common_MCFTemperatureZone[[#Headers],[Temperature zone]],0)</f>
        <v>4.7000000000000002E-3</v>
      </c>
      <c r="S243" s="26"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26" cm="1">
        <f t="array" ref="E244">Common_InputFunctions.Utility_DisplayArrayInTable(Common_SourceData.Common_SourceData_MCFTemperatureZone_Data(),Table_SourceData_Common_MCFTemperatureZone[[#Headers],[Temperature zone]],0)</f>
        <v>22</v>
      </c>
      <c r="F244" s="26" cm="1">
        <f t="array" ref="F244">Common_InputFunctions.Utility_DisplayArrayInTable(Common_SourceData.Common_SourceData_MCFTemperatureZone_Data(),Table_SourceData_Common_MCFTemperatureZone[[#Headers],[Temperature zone]],0)</f>
        <v>0.78</v>
      </c>
      <c r="G244" s="26" cm="1">
        <f t="array" ref="G244">Common_InputFunctions.Utility_DisplayArrayInTable(Common_SourceData.Common_SourceData_MCFTemperatureZone_Data(),Table_SourceData_Common_MCFTemperatureZone[[#Headers],[Temperature zone]],0)</f>
        <v>0.1</v>
      </c>
      <c r="H244" s="26" cm="1">
        <f t="array" ref="H244">Common_InputFunctions.Utility_DisplayArrayInTable(Common_SourceData.Common_SourceData_MCFTemperatureZone_Data(),Table_SourceData_Common_MCFTemperatureZone[[#Headers],[Temperature zone]],0)</f>
        <v>0.31</v>
      </c>
      <c r="I244" s="26" cm="1">
        <f t="array" ref="I244">Common_InputFunctions.Utility_DisplayArrayInTable(Common_SourceData.Common_SourceData_MCFTemperatureZone_Data(),Table_SourceData_Common_MCFTemperatureZone[[#Headers],[Temperature zone]],0)</f>
        <v>5.0000000000000001E-3</v>
      </c>
      <c r="J244" s="26" cm="1">
        <f t="array" ref="J244">Common_InputFunctions.Utility_DisplayArrayInTable(Common_SourceData.Common_SourceData_MCFTemperatureZone_Data(),Table_SourceData_Common_MCFTemperatureZone[[#Headers],[Temperature zone]],0)</f>
        <v>0.01</v>
      </c>
      <c r="K244" s="26" cm="1">
        <f t="array" ref="K244">Common_InputFunctions.Utility_DisplayArrayInTable(Common_SourceData.Common_SourceData_MCFTemperatureZone_Data(),Table_SourceData_Common_MCFTemperatureZone[[#Headers],[Temperature zone]],0)</f>
        <v>0.02</v>
      </c>
      <c r="L244" s="26" cm="1">
        <f t="array" ref="L244">Common_InputFunctions.Utility_DisplayArrayInTable(Common_SourceData.Common_SourceData_MCFTemperatureZone_Data(),Table_SourceData_Common_MCFTemperatureZone[[#Headers],[Temperature zone]],0)</f>
        <v>0.03</v>
      </c>
      <c r="M244" s="26" cm="1">
        <f t="array" ref="M244">Common_InputFunctions.Utility_DisplayArrayInTable(Common_SourceData.Common_SourceData_MCFTemperatureZone_Data(),Table_SourceData_Common_MCFTemperatureZone[[#Headers],[Temperature zone]],0)</f>
        <v>0.04</v>
      </c>
      <c r="N244" s="26" cm="1">
        <f t="array" ref="N244">Common_InputFunctions.Utility_DisplayArrayInTable(Common_SourceData.Common_SourceData_MCFTemperatureZone_Data(),Table_SourceData_Common_MCFTemperatureZone[[#Headers],[Temperature zone]],0)</f>
        <v>1.4999999999999999E-2</v>
      </c>
      <c r="O244" s="26" cm="1">
        <f t="array" ref="O244">Common_InputFunctions.Utility_DisplayArrayInTable(Common_SourceData.Common_SourceData_MCFTemperatureZone_Data(),Table_SourceData_Common_MCFTemperatureZone[[#Headers],[Temperature zone]],0)</f>
        <v>1.4999999999999999E-2</v>
      </c>
      <c r="P244" s="26" cm="1">
        <f t="array" ref="P244">Common_InputFunctions.Utility_DisplayArrayInTable(Common_SourceData.Common_SourceData_MCFTemperatureZone_Data(),Table_SourceData_Common_MCFTemperatureZone[[#Headers],[Temperature zone]],0)</f>
        <v>0</v>
      </c>
      <c r="Q244" s="26" cm="1">
        <f t="array" ref="Q244">Common_InputFunctions.Utility_DisplayArrayInTable(Common_SourceData.Common_SourceData_MCFTemperatureZone_Data(),Table_SourceData_Common_MCFTemperatureZone[[#Headers],[Temperature zone]],0)</f>
        <v>0</v>
      </c>
      <c r="R244" s="26" cm="1">
        <f t="array" ref="R244">Common_InputFunctions.Utility_DisplayArrayInTable(Common_SourceData.Common_SourceData_MCFTemperatureZone_Data(),Table_SourceData_Common_MCFTemperatureZone[[#Headers],[Temperature zone]],0)</f>
        <v>4.7000000000000002E-3</v>
      </c>
      <c r="S244" s="26"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26" cm="1">
        <f t="array" ref="E245">Common_InputFunctions.Utility_DisplayArrayInTable(Common_SourceData.Common_SourceData_MCFTemperatureZone_Data(),Table_SourceData_Common_MCFTemperatureZone[[#Headers],[Temperature zone]],0)</f>
        <v>23</v>
      </c>
      <c r="F245" s="26" cm="1">
        <f t="array" ref="F245">Common_InputFunctions.Utility_DisplayArrayInTable(Common_SourceData.Common_SourceData_MCFTemperatureZone_Data(),Table_SourceData_Common_MCFTemperatureZone[[#Headers],[Temperature zone]],0)</f>
        <v>0.79</v>
      </c>
      <c r="G245" s="26" cm="1">
        <f t="array" ref="G245">Common_InputFunctions.Utility_DisplayArrayInTable(Common_SourceData.Common_SourceData_MCFTemperatureZone_Data(),Table_SourceData_Common_MCFTemperatureZone[[#Headers],[Temperature zone]],0)</f>
        <v>0.1</v>
      </c>
      <c r="H245" s="26" cm="1">
        <f t="array" ref="H245">Common_InputFunctions.Utility_DisplayArrayInTable(Common_SourceData.Common_SourceData_MCFTemperatureZone_Data(),Table_SourceData_Common_MCFTemperatureZone[[#Headers],[Temperature zone]],0)</f>
        <v>0.34</v>
      </c>
      <c r="I245" s="26" cm="1">
        <f t="array" ref="I245">Common_InputFunctions.Utility_DisplayArrayInTable(Common_SourceData.Common_SourceData_MCFTemperatureZone_Data(),Table_SourceData_Common_MCFTemperatureZone[[#Headers],[Temperature zone]],0)</f>
        <v>5.0000000000000001E-3</v>
      </c>
      <c r="J245" s="26" cm="1">
        <f t="array" ref="J245">Common_InputFunctions.Utility_DisplayArrayInTable(Common_SourceData.Common_SourceData_MCFTemperatureZone_Data(),Table_SourceData_Common_MCFTemperatureZone[[#Headers],[Temperature zone]],0)</f>
        <v>0.01</v>
      </c>
      <c r="K245" s="26" cm="1">
        <f t="array" ref="K245">Common_InputFunctions.Utility_DisplayArrayInTable(Common_SourceData.Common_SourceData_MCFTemperatureZone_Data(),Table_SourceData_Common_MCFTemperatureZone[[#Headers],[Temperature zone]],0)</f>
        <v>0.02</v>
      </c>
      <c r="L245" s="26" cm="1">
        <f t="array" ref="L245">Common_InputFunctions.Utility_DisplayArrayInTable(Common_SourceData.Common_SourceData_MCFTemperatureZone_Data(),Table_SourceData_Common_MCFTemperatureZone[[#Headers],[Temperature zone]],0)</f>
        <v>0.03</v>
      </c>
      <c r="M245" s="26" cm="1">
        <f t="array" ref="M245">Common_InputFunctions.Utility_DisplayArrayInTable(Common_SourceData.Common_SourceData_MCFTemperatureZone_Data(),Table_SourceData_Common_MCFTemperatureZone[[#Headers],[Temperature zone]],0)</f>
        <v>0.04</v>
      </c>
      <c r="N245" s="26" cm="1">
        <f t="array" ref="N245">Common_InputFunctions.Utility_DisplayArrayInTable(Common_SourceData.Common_SourceData_MCFTemperatureZone_Data(),Table_SourceData_Common_MCFTemperatureZone[[#Headers],[Temperature zone]],0)</f>
        <v>1.4999999999999999E-2</v>
      </c>
      <c r="O245" s="26" cm="1">
        <f t="array" ref="O245">Common_InputFunctions.Utility_DisplayArrayInTable(Common_SourceData.Common_SourceData_MCFTemperatureZone_Data(),Table_SourceData_Common_MCFTemperatureZone[[#Headers],[Temperature zone]],0)</f>
        <v>1.4999999999999999E-2</v>
      </c>
      <c r="P245" s="26" cm="1">
        <f t="array" ref="P245">Common_InputFunctions.Utility_DisplayArrayInTable(Common_SourceData.Common_SourceData_MCFTemperatureZone_Data(),Table_SourceData_Common_MCFTemperatureZone[[#Headers],[Temperature zone]],0)</f>
        <v>0</v>
      </c>
      <c r="Q245" s="26" cm="1">
        <f t="array" ref="Q245">Common_InputFunctions.Utility_DisplayArrayInTable(Common_SourceData.Common_SourceData_MCFTemperatureZone_Data(),Table_SourceData_Common_MCFTemperatureZone[[#Headers],[Temperature zone]],0)</f>
        <v>0</v>
      </c>
      <c r="R245" s="26" cm="1">
        <f t="array" ref="R245">Common_InputFunctions.Utility_DisplayArrayInTable(Common_SourceData.Common_SourceData_MCFTemperatureZone_Data(),Table_SourceData_Common_MCFTemperatureZone[[#Headers],[Temperature zone]],0)</f>
        <v>4.7000000000000002E-3</v>
      </c>
      <c r="S245" s="26"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26" cm="1">
        <f t="array" ref="E246">Common_InputFunctions.Utility_DisplayArrayInTable(Common_SourceData.Common_SourceData_MCFTemperatureZone_Data(),Table_SourceData_Common_MCFTemperatureZone[[#Headers],[Temperature zone]],0)</f>
        <v>24</v>
      </c>
      <c r="F246" s="26" cm="1">
        <f t="array" ref="F246">Common_InputFunctions.Utility_DisplayArrayInTable(Common_SourceData.Common_SourceData_MCFTemperatureZone_Data(),Table_SourceData_Common_MCFTemperatureZone[[#Headers],[Temperature zone]],0)</f>
        <v>0.79</v>
      </c>
      <c r="G246" s="26" cm="1">
        <f t="array" ref="G246">Common_InputFunctions.Utility_DisplayArrayInTable(Common_SourceData.Common_SourceData_MCFTemperatureZone_Data(),Table_SourceData_Common_MCFTemperatureZone[[#Headers],[Temperature zone]],0)</f>
        <v>0.1</v>
      </c>
      <c r="H246" s="26" cm="1">
        <f t="array" ref="H246">Common_InputFunctions.Utility_DisplayArrayInTable(Common_SourceData.Common_SourceData_MCFTemperatureZone_Data(),Table_SourceData_Common_MCFTemperatureZone[[#Headers],[Temperature zone]],0)</f>
        <v>0.37</v>
      </c>
      <c r="I246" s="26" cm="1">
        <f t="array" ref="I246">Common_InputFunctions.Utility_DisplayArrayInTable(Common_SourceData.Common_SourceData_MCFTemperatureZone_Data(),Table_SourceData_Common_MCFTemperatureZone[[#Headers],[Temperature zone]],0)</f>
        <v>5.0000000000000001E-3</v>
      </c>
      <c r="J246" s="26" cm="1">
        <f t="array" ref="J246">Common_InputFunctions.Utility_DisplayArrayInTable(Common_SourceData.Common_SourceData_MCFTemperatureZone_Data(),Table_SourceData_Common_MCFTemperatureZone[[#Headers],[Temperature zone]],0)</f>
        <v>0.01</v>
      </c>
      <c r="K246" s="26" cm="1">
        <f t="array" ref="K246">Common_InputFunctions.Utility_DisplayArrayInTable(Common_SourceData.Common_SourceData_MCFTemperatureZone_Data(),Table_SourceData_Common_MCFTemperatureZone[[#Headers],[Temperature zone]],0)</f>
        <v>0.02</v>
      </c>
      <c r="L246" s="26" cm="1">
        <f t="array" ref="L246">Common_InputFunctions.Utility_DisplayArrayInTable(Common_SourceData.Common_SourceData_MCFTemperatureZone_Data(),Table_SourceData_Common_MCFTemperatureZone[[#Headers],[Temperature zone]],0)</f>
        <v>0.03</v>
      </c>
      <c r="M246" s="26" cm="1">
        <f t="array" ref="M246">Common_InputFunctions.Utility_DisplayArrayInTable(Common_SourceData.Common_SourceData_MCFTemperatureZone_Data(),Table_SourceData_Common_MCFTemperatureZone[[#Headers],[Temperature zone]],0)</f>
        <v>0.04</v>
      </c>
      <c r="N246" s="26" cm="1">
        <f t="array" ref="N246">Common_InputFunctions.Utility_DisplayArrayInTable(Common_SourceData.Common_SourceData_MCFTemperatureZone_Data(),Table_SourceData_Common_MCFTemperatureZone[[#Headers],[Temperature zone]],0)</f>
        <v>1.4999999999999999E-2</v>
      </c>
      <c r="O246" s="26" cm="1">
        <f t="array" ref="O246">Common_InputFunctions.Utility_DisplayArrayInTable(Common_SourceData.Common_SourceData_MCFTemperatureZone_Data(),Table_SourceData_Common_MCFTemperatureZone[[#Headers],[Temperature zone]],0)</f>
        <v>1.4999999999999999E-2</v>
      </c>
      <c r="P246" s="26" cm="1">
        <f t="array" ref="P246">Common_InputFunctions.Utility_DisplayArrayInTable(Common_SourceData.Common_SourceData_MCFTemperatureZone_Data(),Table_SourceData_Common_MCFTemperatureZone[[#Headers],[Temperature zone]],0)</f>
        <v>0</v>
      </c>
      <c r="Q246" s="26" cm="1">
        <f t="array" ref="Q246">Common_InputFunctions.Utility_DisplayArrayInTable(Common_SourceData.Common_SourceData_MCFTemperatureZone_Data(),Table_SourceData_Common_MCFTemperatureZone[[#Headers],[Temperature zone]],0)</f>
        <v>0</v>
      </c>
      <c r="R246" s="26" cm="1">
        <f t="array" ref="R246">Common_InputFunctions.Utility_DisplayArrayInTable(Common_SourceData.Common_SourceData_MCFTemperatureZone_Data(),Table_SourceData_Common_MCFTemperatureZone[[#Headers],[Temperature zone]],0)</f>
        <v>4.7000000000000002E-3</v>
      </c>
      <c r="S246" s="26"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26" cm="1">
        <f t="array" ref="E247">Common_InputFunctions.Utility_DisplayArrayInTable(Common_SourceData.Common_SourceData_MCFTemperatureZone_Data(),Table_SourceData_Common_MCFTemperatureZone[[#Headers],[Temperature zone]],0)</f>
        <v>25</v>
      </c>
      <c r="F247" s="26" cm="1">
        <f t="array" ref="F247">Common_InputFunctions.Utility_DisplayArrayInTable(Common_SourceData.Common_SourceData_MCFTemperatureZone_Data(),Table_SourceData_Common_MCFTemperatureZone[[#Headers],[Temperature zone]],0)</f>
        <v>0.79</v>
      </c>
      <c r="G247" s="26" cm="1">
        <f t="array" ref="G247">Common_InputFunctions.Utility_DisplayArrayInTable(Common_SourceData.Common_SourceData_MCFTemperatureZone_Data(),Table_SourceData_Common_MCFTemperatureZone[[#Headers],[Temperature zone]],0)</f>
        <v>0.1</v>
      </c>
      <c r="H247" s="26" cm="1">
        <f t="array" ref="H247">Common_InputFunctions.Utility_DisplayArrayInTable(Common_SourceData.Common_SourceData_MCFTemperatureZone_Data(),Table_SourceData_Common_MCFTemperatureZone[[#Headers],[Temperature zone]],0)</f>
        <v>0.41</v>
      </c>
      <c r="I247" s="26" cm="1">
        <f t="array" ref="I247">Common_InputFunctions.Utility_DisplayArrayInTable(Common_SourceData.Common_SourceData_MCFTemperatureZone_Data(),Table_SourceData_Common_MCFTemperatureZone[[#Headers],[Temperature zone]],0)</f>
        <v>5.0000000000000001E-3</v>
      </c>
      <c r="J247" s="26" cm="1">
        <f t="array" ref="J247">Common_InputFunctions.Utility_DisplayArrayInTable(Common_SourceData.Common_SourceData_MCFTemperatureZone_Data(),Table_SourceData_Common_MCFTemperatureZone[[#Headers],[Temperature zone]],0)</f>
        <v>0.01</v>
      </c>
      <c r="K247" s="26" cm="1">
        <f t="array" ref="K247">Common_InputFunctions.Utility_DisplayArrayInTable(Common_SourceData.Common_SourceData_MCFTemperatureZone_Data(),Table_SourceData_Common_MCFTemperatureZone[[#Headers],[Temperature zone]],0)</f>
        <v>0.02</v>
      </c>
      <c r="L247" s="26" cm="1">
        <f t="array" ref="L247">Common_InputFunctions.Utility_DisplayArrayInTable(Common_SourceData.Common_SourceData_MCFTemperatureZone_Data(),Table_SourceData_Common_MCFTemperatureZone[[#Headers],[Temperature zone]],0)</f>
        <v>0.03</v>
      </c>
      <c r="M247" s="26" cm="1">
        <f t="array" ref="M247">Common_InputFunctions.Utility_DisplayArrayInTable(Common_SourceData.Common_SourceData_MCFTemperatureZone_Data(),Table_SourceData_Common_MCFTemperatureZone[[#Headers],[Temperature zone]],0)</f>
        <v>0.04</v>
      </c>
      <c r="N247" s="26" cm="1">
        <f t="array" ref="N247">Common_InputFunctions.Utility_DisplayArrayInTable(Common_SourceData.Common_SourceData_MCFTemperatureZone_Data(),Table_SourceData_Common_MCFTemperatureZone[[#Headers],[Temperature zone]],0)</f>
        <v>1.4999999999999999E-2</v>
      </c>
      <c r="O247" s="26" cm="1">
        <f t="array" ref="O247">Common_InputFunctions.Utility_DisplayArrayInTable(Common_SourceData.Common_SourceData_MCFTemperatureZone_Data(),Table_SourceData_Common_MCFTemperatureZone[[#Headers],[Temperature zone]],0)</f>
        <v>1.4999999999999999E-2</v>
      </c>
      <c r="P247" s="26" cm="1">
        <f t="array" ref="P247">Common_InputFunctions.Utility_DisplayArrayInTable(Common_SourceData.Common_SourceData_MCFTemperatureZone_Data(),Table_SourceData_Common_MCFTemperatureZone[[#Headers],[Temperature zone]],0)</f>
        <v>0</v>
      </c>
      <c r="Q247" s="26" cm="1">
        <f t="array" ref="Q247">Common_InputFunctions.Utility_DisplayArrayInTable(Common_SourceData.Common_SourceData_MCFTemperatureZone_Data(),Table_SourceData_Common_MCFTemperatureZone[[#Headers],[Temperature zone]],0)</f>
        <v>0</v>
      </c>
      <c r="R247" s="26" cm="1">
        <f t="array" ref="R247">Common_InputFunctions.Utility_DisplayArrayInTable(Common_SourceData.Common_SourceData_MCFTemperatureZone_Data(),Table_SourceData_Common_MCFTemperatureZone[[#Headers],[Temperature zone]],0)</f>
        <v>4.7000000000000002E-3</v>
      </c>
      <c r="S247" s="26"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26" cm="1">
        <f t="array" ref="E248">Common_InputFunctions.Utility_DisplayArrayInTable(Common_SourceData.Common_SourceData_MCFTemperatureZone_Data(),Table_SourceData_Common_MCFTemperatureZone[[#Headers],[Temperature zone]],0)</f>
        <v>26</v>
      </c>
      <c r="F248" s="26" cm="1">
        <f t="array" ref="F248">Common_InputFunctions.Utility_DisplayArrayInTable(Common_SourceData.Common_SourceData_MCFTemperatureZone_Data(),Table_SourceData_Common_MCFTemperatureZone[[#Headers],[Temperature zone]],0)</f>
        <v>0.79</v>
      </c>
      <c r="G248" s="26" cm="1">
        <f t="array" ref="G248">Common_InputFunctions.Utility_DisplayArrayInTable(Common_SourceData.Common_SourceData_MCFTemperatureZone_Data(),Table_SourceData_Common_MCFTemperatureZone[[#Headers],[Temperature zone]],0)</f>
        <v>0.1</v>
      </c>
      <c r="H248" s="26" cm="1">
        <f t="array" ref="H248">Common_InputFunctions.Utility_DisplayArrayInTable(Common_SourceData.Common_SourceData_MCFTemperatureZone_Data(),Table_SourceData_Common_MCFTemperatureZone[[#Headers],[Temperature zone]],0)</f>
        <v>0.44</v>
      </c>
      <c r="I248" s="26" cm="1">
        <f t="array" ref="I248">Common_InputFunctions.Utility_DisplayArrayInTable(Common_SourceData.Common_SourceData_MCFTemperatureZone_Data(),Table_SourceData_Common_MCFTemperatureZone[[#Headers],[Temperature zone]],0)</f>
        <v>0.01</v>
      </c>
      <c r="J248" s="26" cm="1">
        <f t="array" ref="J248">Common_InputFunctions.Utility_DisplayArrayInTable(Common_SourceData.Common_SourceData_MCFTemperatureZone_Data(),Table_SourceData_Common_MCFTemperatureZone[[#Headers],[Temperature zone]],0)</f>
        <v>1.4999999999999999E-2</v>
      </c>
      <c r="K248" s="26" cm="1">
        <f t="array" ref="K248">Common_InputFunctions.Utility_DisplayArrayInTable(Common_SourceData.Common_SourceData_MCFTemperatureZone_Data(),Table_SourceData_Common_MCFTemperatureZone[[#Headers],[Temperature zone]],0)</f>
        <v>0.02</v>
      </c>
      <c r="L248" s="26" cm="1">
        <f t="array" ref="L248">Common_InputFunctions.Utility_DisplayArrayInTable(Common_SourceData.Common_SourceData_MCFTemperatureZone_Data(),Table_SourceData_Common_MCFTemperatureZone[[#Headers],[Temperature zone]],0)</f>
        <v>0.03</v>
      </c>
      <c r="M248" s="26" cm="1">
        <f t="array" ref="M248">Common_InputFunctions.Utility_DisplayArrayInTable(Common_SourceData.Common_SourceData_MCFTemperatureZone_Data(),Table_SourceData_Common_MCFTemperatureZone[[#Headers],[Temperature zone]],0)</f>
        <v>0.04</v>
      </c>
      <c r="N248" s="26" cm="1">
        <f t="array" ref="N248">Common_InputFunctions.Utility_DisplayArrayInTable(Common_SourceData.Common_SourceData_MCFTemperatureZone_Data(),Table_SourceData_Common_MCFTemperatureZone[[#Headers],[Temperature zone]],0)</f>
        <v>1.4999999999999999E-2</v>
      </c>
      <c r="O248" s="26" cm="1">
        <f t="array" ref="O248">Common_InputFunctions.Utility_DisplayArrayInTable(Common_SourceData.Common_SourceData_MCFTemperatureZone_Data(),Table_SourceData_Common_MCFTemperatureZone[[#Headers],[Temperature zone]],0)</f>
        <v>1.4999999999999999E-2</v>
      </c>
      <c r="P248" s="26" cm="1">
        <f t="array" ref="P248">Common_InputFunctions.Utility_DisplayArrayInTable(Common_SourceData.Common_SourceData_MCFTemperatureZone_Data(),Table_SourceData_Common_MCFTemperatureZone[[#Headers],[Temperature zone]],0)</f>
        <v>0</v>
      </c>
      <c r="Q248" s="26" cm="1">
        <f t="array" ref="Q248">Common_InputFunctions.Utility_DisplayArrayInTable(Common_SourceData.Common_SourceData_MCFTemperatureZone_Data(),Table_SourceData_Common_MCFTemperatureZone[[#Headers],[Temperature zone]],0)</f>
        <v>0</v>
      </c>
      <c r="R248" s="26" cm="1">
        <f t="array" ref="R248">Common_InputFunctions.Utility_DisplayArrayInTable(Common_SourceData.Common_SourceData_MCFTemperatureZone_Data(),Table_SourceData_Common_MCFTemperatureZone[[#Headers],[Temperature zone]],0)</f>
        <v>4.7000000000000002E-3</v>
      </c>
      <c r="S248" s="26"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26" cm="1">
        <f t="array" ref="E249">Common_InputFunctions.Utility_DisplayArrayInTable(Common_SourceData.Common_SourceData_MCFTemperatureZone_Data(),Table_SourceData_Common_MCFTemperatureZone[[#Headers],[Temperature zone]],0)</f>
        <v>27</v>
      </c>
      <c r="F249" s="26" cm="1">
        <f t="array" ref="F249">Common_InputFunctions.Utility_DisplayArrayInTable(Common_SourceData.Common_SourceData_MCFTemperatureZone_Data(),Table_SourceData_Common_MCFTemperatureZone[[#Headers],[Temperature zone]],0)</f>
        <v>0.8</v>
      </c>
      <c r="G249" s="26" cm="1">
        <f t="array" ref="G249">Common_InputFunctions.Utility_DisplayArrayInTable(Common_SourceData.Common_SourceData_MCFTemperatureZone_Data(),Table_SourceData_Common_MCFTemperatureZone[[#Headers],[Temperature zone]],0)</f>
        <v>0.1</v>
      </c>
      <c r="H249" s="26" cm="1">
        <f t="array" ref="H249">Common_InputFunctions.Utility_DisplayArrayInTable(Common_SourceData.Common_SourceData_MCFTemperatureZone_Data(),Table_SourceData_Common_MCFTemperatureZone[[#Headers],[Temperature zone]],0)</f>
        <v>0.48</v>
      </c>
      <c r="I249" s="26" cm="1">
        <f t="array" ref="I249">Common_InputFunctions.Utility_DisplayArrayInTable(Common_SourceData.Common_SourceData_MCFTemperatureZone_Data(),Table_SourceData_Common_MCFTemperatureZone[[#Headers],[Temperature zone]],0)</f>
        <v>0.01</v>
      </c>
      <c r="J249" s="26" cm="1">
        <f t="array" ref="J249">Common_InputFunctions.Utility_DisplayArrayInTable(Common_SourceData.Common_SourceData_MCFTemperatureZone_Data(),Table_SourceData_Common_MCFTemperatureZone[[#Headers],[Temperature zone]],0)</f>
        <v>1.4999999999999999E-2</v>
      </c>
      <c r="K249" s="26" cm="1">
        <f t="array" ref="K249">Common_InputFunctions.Utility_DisplayArrayInTable(Common_SourceData.Common_SourceData_MCFTemperatureZone_Data(),Table_SourceData_Common_MCFTemperatureZone[[#Headers],[Temperature zone]],0)</f>
        <v>0.02</v>
      </c>
      <c r="L249" s="26" cm="1">
        <f t="array" ref="L249">Common_InputFunctions.Utility_DisplayArrayInTable(Common_SourceData.Common_SourceData_MCFTemperatureZone_Data(),Table_SourceData_Common_MCFTemperatureZone[[#Headers],[Temperature zone]],0)</f>
        <v>0.03</v>
      </c>
      <c r="M249" s="26" cm="1">
        <f t="array" ref="M249">Common_InputFunctions.Utility_DisplayArrayInTable(Common_SourceData.Common_SourceData_MCFTemperatureZone_Data(),Table_SourceData_Common_MCFTemperatureZone[[#Headers],[Temperature zone]],0)</f>
        <v>0.04</v>
      </c>
      <c r="N249" s="26" cm="1">
        <f t="array" ref="N249">Common_InputFunctions.Utility_DisplayArrayInTable(Common_SourceData.Common_SourceData_MCFTemperatureZone_Data(),Table_SourceData_Common_MCFTemperatureZone[[#Headers],[Temperature zone]],0)</f>
        <v>1.4999999999999999E-2</v>
      </c>
      <c r="O249" s="26" cm="1">
        <f t="array" ref="O249">Common_InputFunctions.Utility_DisplayArrayInTable(Common_SourceData.Common_SourceData_MCFTemperatureZone_Data(),Table_SourceData_Common_MCFTemperatureZone[[#Headers],[Temperature zone]],0)</f>
        <v>1.4999999999999999E-2</v>
      </c>
      <c r="P249" s="26" cm="1">
        <f t="array" ref="P249">Common_InputFunctions.Utility_DisplayArrayInTable(Common_SourceData.Common_SourceData_MCFTemperatureZone_Data(),Table_SourceData_Common_MCFTemperatureZone[[#Headers],[Temperature zone]],0)</f>
        <v>0</v>
      </c>
      <c r="Q249" s="26" cm="1">
        <f t="array" ref="Q249">Common_InputFunctions.Utility_DisplayArrayInTable(Common_SourceData.Common_SourceData_MCFTemperatureZone_Data(),Table_SourceData_Common_MCFTemperatureZone[[#Headers],[Temperature zone]],0)</f>
        <v>0</v>
      </c>
      <c r="R249" s="26" cm="1">
        <f t="array" ref="R249">Common_InputFunctions.Utility_DisplayArrayInTable(Common_SourceData.Common_SourceData_MCFTemperatureZone_Data(),Table_SourceData_Common_MCFTemperatureZone[[#Headers],[Temperature zone]],0)</f>
        <v>4.7000000000000002E-3</v>
      </c>
      <c r="S249" s="26"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26" t="str" cm="1">
        <f t="array" ref="E250">Common_InputFunctions.Utility_DisplayArrayInTable(Common_SourceData.Common_SourceData_MCFTemperatureZone_Data(),Table_SourceData_Common_MCFTemperatureZone[[#Headers],[Temperature zone]],0)</f>
        <v>≥28</v>
      </c>
      <c r="F250" s="26" cm="1">
        <f t="array" ref="F250">Common_InputFunctions.Utility_DisplayArrayInTable(Common_SourceData.Common_SourceData_MCFTemperatureZone_Data(),Table_SourceData_Common_MCFTemperatureZone[[#Headers],[Temperature zone]],0)</f>
        <v>0.8</v>
      </c>
      <c r="G250" s="26" cm="1">
        <f t="array" ref="G250">Common_InputFunctions.Utility_DisplayArrayInTable(Common_SourceData.Common_SourceData_MCFTemperatureZone_Data(),Table_SourceData_Common_MCFTemperatureZone[[#Headers],[Temperature zone]],0)</f>
        <v>0.1</v>
      </c>
      <c r="H250" s="26" cm="1">
        <f t="array" ref="H250">Common_InputFunctions.Utility_DisplayArrayInTable(Common_SourceData.Common_SourceData_MCFTemperatureZone_Data(),Table_SourceData_Common_MCFTemperatureZone[[#Headers],[Temperature zone]],0)</f>
        <v>0.5</v>
      </c>
      <c r="I250" s="26" cm="1">
        <f t="array" ref="I250">Common_InputFunctions.Utility_DisplayArrayInTable(Common_SourceData.Common_SourceData_MCFTemperatureZone_Data(),Table_SourceData_Common_MCFTemperatureZone[[#Headers],[Temperature zone]],0)</f>
        <v>0.01</v>
      </c>
      <c r="J250" s="26" cm="1">
        <f t="array" ref="J250">Common_InputFunctions.Utility_DisplayArrayInTable(Common_SourceData.Common_SourceData_MCFTemperatureZone_Data(),Table_SourceData_Common_MCFTemperatureZone[[#Headers],[Temperature zone]],0)</f>
        <v>1.4999999999999999E-2</v>
      </c>
      <c r="K250" s="26" cm="1">
        <f t="array" ref="K250">Common_InputFunctions.Utility_DisplayArrayInTable(Common_SourceData.Common_SourceData_MCFTemperatureZone_Data(),Table_SourceData_Common_MCFTemperatureZone[[#Headers],[Temperature zone]],0)</f>
        <v>0.02</v>
      </c>
      <c r="L250" s="26" cm="1">
        <f t="array" ref="L250">Common_InputFunctions.Utility_DisplayArrayInTable(Common_SourceData.Common_SourceData_MCFTemperatureZone_Data(),Table_SourceData_Common_MCFTemperatureZone[[#Headers],[Temperature zone]],0)</f>
        <v>0.03</v>
      </c>
      <c r="M250" s="26" cm="1">
        <f t="array" ref="M250">Common_InputFunctions.Utility_DisplayArrayInTable(Common_SourceData.Common_SourceData_MCFTemperatureZone_Data(),Table_SourceData_Common_MCFTemperatureZone[[#Headers],[Temperature zone]],0)</f>
        <v>0.04</v>
      </c>
      <c r="N250" s="26" cm="1">
        <f t="array" ref="N250">Common_InputFunctions.Utility_DisplayArrayInTable(Common_SourceData.Common_SourceData_MCFTemperatureZone_Data(),Table_SourceData_Common_MCFTemperatureZone[[#Headers],[Temperature zone]],0)</f>
        <v>1.4999999999999999E-2</v>
      </c>
      <c r="O250" s="26" cm="1">
        <f t="array" ref="O250">Common_InputFunctions.Utility_DisplayArrayInTable(Common_SourceData.Common_SourceData_MCFTemperatureZone_Data(),Table_SourceData_Common_MCFTemperatureZone[[#Headers],[Temperature zone]],0)</f>
        <v>1.4999999999999999E-2</v>
      </c>
      <c r="P250" s="26" cm="1">
        <f t="array" ref="P250">Common_InputFunctions.Utility_DisplayArrayInTable(Common_SourceData.Common_SourceData_MCFTemperatureZone_Data(),Table_SourceData_Common_MCFTemperatureZone[[#Headers],[Temperature zone]],0)</f>
        <v>0</v>
      </c>
      <c r="Q250" s="26" cm="1">
        <f t="array" ref="Q250">Common_InputFunctions.Utility_DisplayArrayInTable(Common_SourceData.Common_SourceData_MCFTemperatureZone_Data(),Table_SourceData_Common_MCFTemperatureZone[[#Headers],[Temperature zone]],0)</f>
        <v>0</v>
      </c>
      <c r="R250" s="26" cm="1">
        <f t="array" ref="R250">Common_InputFunctions.Utility_DisplayArrayInTable(Common_SourceData.Common_SourceData_MCFTemperatureZone_Data(),Table_SourceData_Common_MCFTemperatureZone[[#Headers],[Temperature zone]],0)</f>
        <v>4.7000000000000002E-3</v>
      </c>
      <c r="S250" s="26" cm="1">
        <f t="array" ref="S250">Common_InputFunctions.Utility_DisplayArrayInTable(Common_SourceData.Common_SourceData_MCFTemperatureZone_Data(),Table_SourceData_Common_MCFTemperatureZone[[#Headers],[Temperature zone]],0)</f>
        <v>28</v>
      </c>
    </row>
    <row r="253" spans="4:19" ht="23.25" x14ac:dyDescent="0.25">
      <c r="D253" s="5" t="str" cm="1">
        <f t="array" ref="D253">Common_SourceData.Common_SourceData_EFOrganicFertiliserAndCropResidues_Title()</f>
        <v>Emission factor for organic fertiliser and crop residues returned to the soil</v>
      </c>
    </row>
    <row r="254" spans="4:19" x14ac:dyDescent="0.25">
      <c r="D254" s="4"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30" t="str" cm="1">
        <f t="array" ref="D256">Common_SourceData.Common_SourceData_EFOrganicFertiliserAndCropResidues_Unit()</f>
        <v>kg N2O - N / kg N</v>
      </c>
    </row>
    <row r="257" spans="4:5" x14ac:dyDescent="0.25">
      <c r="D257" s="26" t="s">
        <v>78</v>
      </c>
      <c r="E257" s="26" t="s">
        <v>79</v>
      </c>
    </row>
    <row r="258" spans="4:5" x14ac:dyDescent="0.25">
      <c r="D258" s="26" t="str" cm="1">
        <f t="array" ref="D258">Common_InputFunctions.Utility_DisplayArrayInTable(Common_SourceData.Common_SourceData_EFOrganicFertiliserAndCropResidues_Data(), Table_SourceData_Common_EFOrganicFertCropResidues[[#Headers],[Climate Zone]], 0)</f>
        <v>Wet climate zone</v>
      </c>
      <c r="E258" s="26"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26"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XABuACIAfQAsAHsAIgBwAGEAdABoACIAOgAiAC8AcAByAG8AagBlAGMAdABzAC8AQwBvAG0AbQBvAG4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ZQBuAHQAZQByAHAAcgBpAHMAZQAgAHQAeQBwAGUAcwBcAG4ARQB4AGMAZQBsACAAbQBvAGQAdQBsAGUAIABuAGEAbQBlADoAIABDAG8AbQBtAG8AbgBfAFMAbwB1AHIAYwBlAEQAYQB0AGE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EMAbwBtAG0AbwBuAF8AUwBvAHUAcgBjAGUARABhAHQAYQBfAEQAZQBuAHMAaQB0AHkATwBmAE0AZQB0AGgAYQBuAGUAXABuAHAAIAA9ACAAZABlAG4AcwBpAHQAeQAgAG8AZgAgAG0AZQB0AGgAYQBuAGUAIAAoADAALgA2ADcAOAA0ACAAawBnAC8AbQAzACkAXABuAFQAYQBrAGUAbgAgAGYAcgBvAG0AIAB0AGgAZQAgAE4AYQB0AGkAbwBuAGEAbAAgAEcAcgBlAGUAbgBoAG8AdQBzAGUAIABhAG4AZAAgAEUAbgBlAHIAZwB5ACAAUgBlAHAAbwByAHQAaQBuAGcAIABcAG4AKABNAGUAYQBzAHUAcgBlAG0AZQBuAHQAKQAgAEQAZQB0AGUAcgBtAGkAbgBhAHQAaQBvAG4AIAAyADAAMAA4AFwAbgAtAC0ALQAtAC0ALQAtAC0ALQAtAC0ALQAtAC0ALQAtAC0ALQAtAC0ALQAtAC0ALQAtAC0ALQAtAC0ALQAtAC0ALQAtAC0ALQAtAC0AXABuACoALwBcAG4AXABuAEMAbwBtAG0AbwBuAF8AUwBvAHUAcgBjAGUARABhAHQAYQBfAEQAZQBuAHMAaQB0AHkATwBmAE0AZQB0AGgAYQBuAGUAXwBUAGkAdABsAGUAXABuACAAIAA9AEwAQQBNAEIARABBACgAXAAiAHAAIAA9ACAAZABlAG4AcwBpAHQAeQAgAG8AZgAgAG0AZQB0AGgAYQBuAGUAXAAiACkAOwBcAG4AXABuAEMAbwBtAG0AbwBuAF8AUwBvAHUAcgBjAGUARABhAHQAYQBfAEQAZQBuAHMAaQB0AHkATwBmAE0AZQB0AGgAYQBuAGUAXwBVAG4AaQB0AFwAbgAgACAAPQBMAEEATQBCAEQAQQAoAFwAIgBrAGcALwBtADMAXAAiACkAOwBcAG4AXABuAEMAbwBtAG0AbwBuAF8AUwBvAHUAcgBjAGUARABhAHQAYQBfAEQAZQBuAHMAaQB0AHkATwBmAE0AZQB0AGgAYQBuAGUAXwBTAG8AdQByAGMAZQBcAG4AIAAgAD0ATABBAE0AQgBEAEEAKABcACIATgBhAHQAaQBvAG4AYQBsACAASQBuAHYAZQBuAHQAbwByAHkAIABSAGUAcABvAHIAdAAgADIAMAAyADMAIABWAG8AbAB1AG0AZQAgADEAOgAgAEUAcQB1AGEAdABpAG8AbgBzACAAMwAuAEIALgAxAGEAXwAyACwAIAAzAC4AQgAuADEAYwBfADIALAAgADMALgBCAC4AMwBfADEALAAgADMALgBCAC4ANABnAF8AMgBcACIAKQA7AFwAbgBcAG4AQwBvAG0AbQBvAG4AXwBTAG8AdQByAGMAZQBEAGEAdABhAF8ARABlAG4AcwBpAHQAeQBPAGYATQBlAHQAaABhAG4AZQBfAEQAYQB0AGEAXABuACAAIAA9AEwAQQBNAEIARABBACgAMAAuADYANwA4ADQAKQA7AFwAbgBcAG4ALwAqACAAXABuAC0ALQAtAC0ALQAtAC0ALQAtAC0ALQAtAC0ALQAtAC0ALQAtAC0ALQAtAC0ALQAtAC0ALQAtAC0ALQAtAC0ALQAtAC0ALQAtAC0ALQBcAG4AQwBvAG0AbQBvAG4AXwBTAG8AdQByAGMAZQBEAGEAdABhAF8AQwBvAG4AdgBlAHIAdABOADIAbwBFAGwAZQBtAGUAbgB0AGEAbABUAG8ATQBvAGwAZQBjAHUAbABhAHIAQwBnAFwAbgBDAGcAIAA9ACAANAA0AC8AMgA4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QwBvAG0AbQBvAG4AXwBTAG8AdQByAGMAZQBEAGEAdABhAF8AQwBvAG4AdgBlAHIAdABOADIAbwBFAGwAZQBtAGUAbgB0AGEAbABUAG8ATQBvAGwAZQBjAHUAbABhAHIAQwBnAF8AVABpAHQAbABlAFwAbgAgACAAPQBMAEEATQBCAEQAQQAoAFwAIgBGAGEAYwB0AG8AcgAgAHQAbwAgAGMAbwBuAHYAZQByAHQAIABlAGwAZQBtAGUAbgB0AGEAbAAgAG0AYQBzAHMAIABvAGYAIABOADIATwAgAHQAbwAgAG0AbwBsAGUAYwB1AGwAYQByACAAbQBhAHMAcwBcACIAKQA7AFwAbgBcAG4AQwBvAG0AbQBvAG4AXwBTAG8AdQByAGMAZQBEAGEAdABhAF8AQwBvAG4AdgBlAHIAdABOADIAbwBFAGwAZQBtAGUAbgB0AGEAbABUAG8ATQBvAGwAZQBjAHUAbABhAHIAQwBnAF8AVgBhAHIAaQBhAGIAbABlAFwAbgAgACAAPQBMAEEATQBCAEQAQQAoAFwAIgBDAGcATgAyAE8AXAAiACkAOwBcAG4AXABuAEMAbwBtAG0AbwBuAF8AUwBvAHUAcgBjAGUARABhAHQAYQBfAEMAbwBuAHYAZQByAHQATgAyAG8ARQBsAGUAbQBlAG4AdABhAGwAVABvAE0AbwBsAGUAYwB1AGwAYQByAEMAZwBfAFUAbgBpAHQAXABuACAAIAA9AEwAQQBNAEIARABBACgAXAAiAGYAYQBjAHQAbwByAFwAIgApADsAXABuAFwAbgBDAG8AbQBtAG8AbgBfAFMAbwB1AHIAYwBlAEQAYQB0AGEAXwBDAG8AbgB2AGUAcgB0AE4AMgBvAEUAbABlAG0AZQBuAHQAYQBsAFQAbwBNAG8AbABlAGMAdQBsAGEAcgBDAGcAXwBTAG8AdQByAGMAZQBcAG4AIAAgAD0ATABBAE0AQgBEAEEAKABcACIATgBhAHQAaQBvAG4AYQBsACAASQBuAHYAZQBuAHQAbwByAHkAIABSAGUAcABvAHIAdAAgADIAMAAyADMAIABWAG8AbAB1AG0AZQAgADEAXAAiACkAOwBcAG4AXABuAEMAbwBtAG0AbwBuAF8AUwBvAHUAcgBjAGUARABhAHQAYQBfAEMAbwBuAHYAZQByAHQATgAyAG8ARQBsAGUAbQBlAG4AdABhAGwAVABvAE0AbwBsAGUAYwB1AGwAYQByAEMAZwBfAEQAYQB0AGEAXABuACAAIAA9AEwAQQBNAEIARABBACgANAA0AC8AMgA4ACkAOwBcAG4AXABuAC8AKgAgAFwAbgAtAC0ALQAtAC0ALQAtAC0ALQAtAC0ALQAtAC0ALQAtAC0ALQAtAC0ALQAtAC0ALQAtAC0ALQAtAC0ALQAtAC0ALQAtAC0ALQAtAC0AXABuAEMAbwBtAG0AbwBuAF8AUwBvAHUAcgBjAGUARABhAHQAYQBfAEMAbwBuAHYAZQByAHQARwBhAHMARQBsAGUAbQBlAG4AdABhAGwAVABvAE0AbwBsAGUAYwB1AGwAYQByAFwAbgBGAGEAYwB0AG8AcgAgAHQAbwAgAGMAbwBuAHYAZQByAHQAIABlAGwAZQBtAGUAbgB0AGEAbAAgAG0AYQBzAHMAIABvAGYAIABnAGEAcwAgAHQAbwAgAG0AbwBsAGUAYwB1AGwAYQByACAAbQBhAHMAcwBcAG4ALQAtAC0ALQAtAC0ALQAtAC0ALQAtAC0ALQAtAC0ALQAtAC0ALQAtAC0ALQAtAC0ALQAtAC0ALQAtAC0ALQAtAC0ALQAtAC0ALQAtAFwAbgAqAC8AXABuAFwAbgBDAG8AbQBtAG8AbgBfAFMAbwB1AHIAYwBlAEQAYQB0AGEAXwBDAG8AbgB2AGUAcgB0AEcAYQBzAEUAbABlAG0AZQBuAHQAYQBsAFQAbwBNAG8AbABlAGMAdQBsAGEAcgBfAFQAaQB0AGwAZQBcAG4AIAAgAD0ATABBAE0AQgBEAEEAKABcACIARgBhAGMAdABvAHIAIAB0AG8AIABjAG8AbgB2AGUAcgB0ACAAZQBsAGUAbQBlAG4AdABhAGwAIABtAGEAcwBzACAAbwBmACAAZwBhAHMAIAB0AG8AIABtAG8AbABlAGMAdQBsAGEAcgAgAG0AYQBzAHMAXAAiACkAOwBcAG4AXABuAEMAbwBtAG0AbwBuAF8AUwBvAHUAcgBjAGUARABhAHQAYQBfAEMAbwBuAHYAZQByAHQARwBhAHMARQBsAGUAbQBlAG4AdABhAGwAVABvAE0AbwBsAGUAYwB1AGwAYQByAF8AVgBhAHIAaQBhAGIAbABlAFwAbgAgACAAPQBMAEEATQBCAEQAQQAoAFwAIgBDAGcAXAAiACkAOwBcAG4AXABuAEMAbwBtAG0AbwBuAF8AUwBvAHUAcgBjAGUARABhAHQAYQBfAEMAbwBuAHYAZQByAHQARwBhAHMARQBsAGUAbQBlAG4AdABhAGwAVABvAE0AbwBsAGUAYwB1AGwAYQByAF8AVQBuAGkAdABcAG4AIAAgAD0ATABBAE0AQgBEAEEAKABcACIAZgBhAGMAdABvAHIAXAAiACkAOwBcAG4AXABuAEMAbwBtAG0AbwBuAF8AUwBvAHUAcgBjAGUARABhAHQAYQBfAEMAbwBuAHYAZQByAHQARwBhAHMARQBsAGUAbQBlAG4AdABhAGwAVABvAE0AbwBsAGUAYwB1AGwAYQByAF8AUwBvAHUAcgBjAGUAXABuACAAIAA9AEwAQQBNAEIARABBACgAXAAiAFgAWABYAFgAWABYAFgAXAAiACkAOwBcAG4AXABuAEMAbwBtAG0AbwBuAF8AUwBvAHUAcgBjAGUARABhAHQAYQBfAEMAbwBuAHYAZQByAHQARwBhAHMARQBsAGUAbQBlAG4AdABhAGwAVABvAE0AbwBsAGUAYwB1AGwAYQByAF8ARABhAHQAYQBcAG4AIAAgAD0ATABBAE0AQgBEAEEAKABcAG4AIAAgACAAIABNAEEASwBFAEEAUgBSAEEAWQAoADgALAAgADQALAAgAFwAbgAgACAAIAAgACAAIABMAEEATQBCAEQAQQAoAHIALABjACwAIABcAG4AIAAgACAAIAAgACAAIAAgAEkATgBEAEUAWAAoAHsAXABuACAAIAAgACAAIAAgACAAIAAgACAAXAAiAEcAYQBzAFwAIgAsACAAXAAiAEMAbwBuAHYAZQByAHMAaQBvAG4AIABmAGEAYwB0AG8AcgBcACIALAAgAFwAIgBDAG8AbgB2AGUAcgBzAGkAbwBuACAAZgBhAGMAdABvAHIAIAAxAFwAIgAsACAAXAAiAEMAbwBuAHYAZQByAHMAaQBvAG4AIABmAGEAYwB0AG8AcgAgADIAXAAiADsAXABuACAAIAAgACAAIAAgACAAIAAgACAAXAAiAEMATwAyAFwAIgAsACAAXAAiADQANAAvADEAMgBcACIALAAgADQANAAsACAAMQAyADsAXABuACAAIAAgACAAIAAgACAAIAAgACAAXAAiAEMASAA0AFwAIgAsACAAXAAiADEANgAvADEAMgBcACIALAAgADEANgAsACAAMQAyADsAXABuACAAIAAgACAAIAAgACAAIAAgACAAXAAiAE4AMgBPAFwAIgAsACAAXAAiADQANAAvADIAOABcACIALAAgADQANAAsACAAMgA4ADsAXABuACAAIAAgACAAIAAgACAAIAAgACAAXAAiAE4AbwB4AFwAIgAsACAAXAAiADQANgAvADEANABcACIALAAgADQANgAsACAAMQA0ADsAXABuACAAIAAgACAAIAAgACAAIAAgACAAXAAiAEMATwBcACIALAAgAFwAIgAyADgALwAxADIAXAAiACwAIAAyADgALAAgADEAMgA7AFwAbgAgACAAIAAgACAAIAAgACAAIAAgAFwAIgBDAE8AMgAgAEwAaQBtAGUAXAAiACwAIABcACIANAA0AC8AMQAyAFwAIgAsACAANAA0ACwAIAAxADIAOwBcAG4AIAAgACAAIAAgACAAIAAgACAAIABcACIATgBNAFYATwBDAFwAIgAsACAAXAAiADEANAAvADEAMgBcACIALAAgADEANAAsACAAMQAy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HAFcAUABOADIATwBcAG4ARwBsAG8AYgBhAGwAIAB3AGEAcgBtAGkAbgBnACAAcABvAHQAZQBuAHQAaQBhAGwAIABmAG8AcgAgAGcAcgBlAGUAbgBoAG8AdQBzAGUAIABnAGEAcwBlAHMAXABuAC0ALQAtAC0ALQAtAC0ALQAtAC0ALQAtAC0ALQAtAC0ALQAtAC0ALQAtAC0ALQAtAC0ALQAtAC0ALQAtAC0ALQAtAC0ALQAtAC0ALQBcAG4AKgAvAFwAbgBcAG4AQwBvAG0AbQBvAG4AXwBTAG8AdQByAGMAZQBEAGEAdABhAF8ARwBXAFAAXwBUAGkAdABsAGUAXABuACAAIAA9AEwAQQBNAEIARABBACgAXAAiAEcAbABvAGIAYQBsACAAdwBhAHIAbQBpAG4AZwAgAHAAbwB0AGUAbgB0AGkAYQBsACAAZgBvAHIAIABnAHIAZQBlAG4AaABvAHUAcwBlACAAZwBhAHMAZQBzAFwAIgApADsAXABuAFwAbgBDAG8AbQBtAG8AbgBfAFMAbwB1AHIAYwBlAEQAYQB0AGEAXwBHAFcAUABfAFYAYQByAGkAYQBiAGwAZQBcAG4AIAAgAD0ATABBAE0AQgBEAEEAKABcACIARwBXAFAATgAyAE8AXAAiACkAOwBcAG4AXABuAEMAbwBtAG0AbwBuAF8AUwBvAHUAcgBjAGUARABhAHQAYQBfAEcAVwBQAF8AVQBuAGkAdABcAG4AIAAgAD0ATABBAE0AQgBEAEEAKABcACIAZgBhAGMAdABvAHIAXAAiACkAOwBcAG4AXABuAEMAbwBtAG0AbwBuAF8AUwBvAHUAcgBjAGUARABhAHQAYQBfAEcAVwBQAF8AUwBvAHUAcgBjAGUAXABuACAAIAA9AEwAQQBNAEIARABBACgAXAAiAFgAWABYAFgAWABYAFgAXAAiACkAOwBcAG4AXABuAEMAbwBtAG0AbwBuAF8AUwBvAHUAcgBjAGUARABhAHQAYQBfAEcAVwBQAF8ARABhAHQAYQBcAG4AIAAgAD0ATABBAE0AQgBEAEEAKABcAG4AIAAgACAAIABNAEEASwBFAEEAUgBSAEEAWQAoADgALAAgADIALAAgAFwAbgAgACAAIAAgACAAIABMAEEATQBCAEQAQQAoAHIALABjACwAIABcAG4AIAAgACAAIAAgACAAIAAgAEkATgBEAEUAWAAoAHsAXABuACAAIAAgACAAIAAgACAAIAAgACAAXAAiAEcAYQBzAFwAIgAsACAAXAAiAEMATwAyAC0AZQAgAGYAYQBjAHQAbwByAFwAIgA7AFwAbgAgACAAIAAgACAAIAAgACAAIAAgAFwAIgBDAE8AMgBcACIALAAgADEAOwBcAG4AIAAgACAAIAAgACAAIAAgACAAIABcACIAQwBIADQAXAAiACwAIAAyADgAOwBcAG4AIAAgACAAIAAgACAAIAAgACAAIABcACIATgAyAE8AXAAiACwAIAAyADYANQA7AFwAbgAgACAAIAAgACAAIAAgACAAIAAgAFwAIgBDAEYANABcACIALAAgADYANgAzADAAOwBcAG4AIAAgACAAIAAgACAAIAAgACAAIABcACIAQwAyAEYANgBcACIALAAgADEAMgAyADAAMAA7AFwAbgAgACAAIAAgACAAIAAgACAAIAAgAFwAIgBTAEYANgBcACIALAAgADIAMgA4ADAAMAA7AFwAbgAgACAAIAAgACAAIAAgACAAIAAgAFwAIgBOAEYAMwBcACIALAAgADEANwAyADAAMA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EAdQBzAHQAcgBhAGwAaQBhAG4AUwB0AGEAdABlAHMAVABlAHIAcgBpAHQAbwByAGkAZQBzAFwAbgAtAC0ALQAtAC0ALQAtAC0ALQAtAC0ALQAtAC0ALQAtAC0ALQAtAC0ALQAtAC0ALQAtAC0ALQAtAC0ALQAtAC0ALQAtAC0ALQAtAC0AXABuACoALwBcAG4AXABuAEMAbwBtAG0AbwBuAF8AUwBvAHUAcgBjAGUARABhAHQAYQBfAEEAdQBzAHQAcgBhAGwAaQBhAG4AUwB0AGEAdABlAHMAVABlAHIAcgBpAHQAbwByAGkAZQBzAF8AVABpAHQAbABlAFwAbgAgACAAPQBMAEEATQBCAEQAQQAoAFwAIgBBAHUAcwB0AHIAYQBsAGkAYQBuACAAcwB0AGEAdABlAHMAIABhAG4AZAAgAHQAZQByAHIAaQB0AG8AcgBpAGUAcwBcACIAKQA7AFwAbgBcAG4AQwBvAG0AbQBvAG4AXwBTAG8AdQByAGMAZQBEAGEAdABhAF8AQQB1AHMAdAByAGEAbABpAGEAbgBTAHQAYQB0AGUAcwBUAGUAcgByAGkAdABvAHIAaQBlAHMAXwBWAGEAcgBpAGEAYgBsAGUAXABuACAAIAA9AEwAQQBNAEIARABBACgAXAAiAFwAIgApADsAXABuAFwAbgBDAG8AbQBtAG8AbgBfAFMAbwB1AHIAYwBlAEQAYQB0AGEAXwBBAHUAcwB0AHIAYQBsAGkAYQBuAFMAdABhAHQAZQBzAFQAZQByAHIAaQB0AG8AcgBpAGUAcwBfAFUAbgBpAHQAXABuACAAIAA9AEwAQQBNAEIARABBACgAXAAiAFwAIgApADsAXABuAFwAbgBDAG8AbQBtAG8AbgBfAFMAbwB1AHIAYwBlAEQAYQB0AGEAXwBBAHUAcwB0AHIAYQBsAGkAYQBuAFMAdABhAHQAZQBzAFQAZQByAHIAaQB0AG8AcgBpAGUAcwBfAFMAbwB1AHIAYwBlAFwAbgAgACAAPQBMAEEATQBCAEQAQQAoAFwAIgBcACIAKQA7AFwAbgBcAG4AQwBvAG0AbQBvAG4AXwBTAG8AdQByAGMAZQBEAGEAdABhAF8AQQB1AHMAdAByAGEAbABpAGEAbgBTAHQAYQB0AGUAcwBUAGUAcgByAGkAdABvAHIAaQBlAHMAXwBEAGEAdABhAFwAbgAgACAAIAA9AEwAQQBNAEIARABBACgAXABuACAAIAAgACAATQBBAEsARQBBAFIAUgBBAFkAKAA5ACwAIAAzACwAIABcAG4AIAAgACAAIAAgACAATABBAE0AQgBEAEEAKAByACwAYwAsACAAXABuACAAIAAgACAAIAAgACAAIABJAE4ARABFAFgAKAB7AFwAbgAgACAAIAAgACAAIAAgACAAIAAgAFwAIgBTAHQAYQB0AGUALwBUAGUAcgByAGkAdABvAHIAeQBcACIALAAgAFwAIgBDAG8AbQBtAG8AbgAgAE4AYQBtAGUAXAAiACwAIABcACIAQQBiAGIAcgBlAHYAaQBhAHQAaQBvAG4AXAAiADsAXABuACAAIAAgACAAIAAgACAAIAAgACAAXAAiAE4AZQB3ACAAUwBvAHUAdABoACAAVwBhAGwAZQBzAFwAIgAsACAAXAAiAE4AZQB3ACAAUwBvAHUAdABoACAAVwBhAGwAZQBzAFwAIgAsACAAXAAiAE4AUwBXAFwAIgA7AFwAbgAgACAAIAAgACAAIAAgACAAIAAgAFwAIgBBAHUAcwB0AHIAYQBsAGkAYQBuACAAQwBhAHAAaQB0AGEAbAAgAFQAZQByAHIAaQB0AG8AcgB5AFwAIgAsACAAXAAiAEEAQwBUAFwAIgAsACAAXAAiAEEAQwBUAFwAIgA7AFwAbgAgACAAIAAgACAAIAAgACAAIAAgAFwAIgBWAGkAYwB0AG8AcgBpAGEAXAAiACwAIABcACIAVgBpAGMAdABvAHIAaQBhAFwAIgAsACAAXAAiAFYASQBDAFwAIgA7AFwAbgAgACAAIAAgACAAIAAgACAAIAAgAFwAIgBRAHUAZQBlAG4AcwBsAGEAbgBkAFwAIgAsACAAXAAiAFEAdQBlAGUAbgBzAGwAYQBuAGQAXAAiACwAIABcACIAUQBMAEQAXAAiADsAXABuACAAIAAgACAAIAAgACAAIAAgACAAXAAiAFMAbwB1AHQAaAAgAEEAdQBzAHQAcgBhAGwAaQBhAFwAIgAsACAAXAAiAFMAbwB1AHQAaAAgAEEAdQBzAHQAcgBhAGwAaQBhAFwAIgAsACAAXAAiAFMAQQBcACIAOwBcAG4AIAAgACAAIAAgACAAIAAgACAAIABcACIAVwBlAHMAdABlAHIAbgAgAEEAdQBzAHQAcgBhAGwAaQBhAFwAIgAsACAAXAAiAFcAZQBzAHQAZQByAG4AIABBAHUAcwB0AHIAYQBsAGkAYQBcACIALAAgAFwAIgBXAEEAXAAiADsAXABuACAAIAAgACAAIAAgACAAIAAgACAAXAAiAFQAYQBzAG0AYQBuAGkAYQBcACIALAAgAFwAIgBUAGEAcwBtAGEAbgBpAGEAXAAiACwAIABcACIAVABBAFMAXAAiADsAXABuACAAIAAgACAAIAAgACAAIAAgACAAXAAiAE4AbwByAHQAaABlAHIAbgAgAFQAZQByAHIAaQB0AG8AcgB5AFwAIgAsACAAXAAiAE4AbwByAHQAaABlAHIAbgAgAFQAZQByAHIAaQB0AG8AcgB5AFwAIgAsACAAXAAiAE4AVA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QQBTAEEANABBAHIAZQBhAHMAXABuAC0ALQAtAC0ALQAtAC0ALQAtAC0ALQAtAC0ALQAtAC0ALQAtAC0ALQAtAC0ALQAtAC0ALQAtAC0ALQAtAC0ALQAtAC0ALQAtAC0ALQBcAG4AKgAvAFwAbgBcAG4AQwBvAG0AbQBvAG4AXwBTAG8AdQByAGMAZQBEAGEAdABhAF8AVwBBAFMAQQA0AEEAcgBlAGEAcwBfAFQAaQB0AGwAZQBcAG4AIAAgAD0ATABBAE0AQgBEAEEAKABcACIAQQBCAFMAIABTAHQAYQB0AGkAcwB0AGMAYQBsACAAQQByAGUAYQBzACAATABlAHYAZQBsACAANAAgAC0AIABXAGUAcwB0AGUAcgBuACAAQQB1AHMAdAByAGEAbABpAGEAXAAiACkAOwBcAG4AXABuAEMAbwBtAG0AbwBuAF8AUwBvAHUAcgBjAGUARABhAHQAYQBfAFcAQQBTAEEANABBAHIAZQBhAHMAXwBWAGEAcgBpAGEAYgBsAGUAXABuACAAIAA9AEwAQQBNAEIARABBACgAXAAiAFwAIgApADsAXABuAFwAbgBDAG8AbQBtAG8AbgBfAFMAbwB1AHIAYwBlAEQAYQB0AGEAXwBXAEEAUwBBADQAQQByAGUAYQBzAF8AVQBuAGkAdABcAG4AIAAgAD0ATABBAE0AQgBEAEEAKABcACIAXAAiACkAOwBcAG4AXABuAEMAbwBtAG0AbwBuAF8AUwBvAHUAcgBjAGUARABhAHQAYQBfAFcAQQBTAEEANABBAHIAZQBhAHMAXwBTAG8AdQByAGMAZQBcAG4AIAAgAD0ATABBAE0AQgBEAEEAKABcACIAQQB1AHMAdAByAGEAbABpAGEAbgAgAEIAdQByAGUAYQB1ACAAbwBmACAAUwB0AGEAdABpAHMAdABpAGMAcwAgACgAQQBCAFMAKQAgAC0AIABTAHQAYQB0AGkAcwB0AGkAYwBhAGwAIABBAHIAZQBhAHMAIABMAGUAdgBlAGwAIAAyACAALQAgADIAMAAyADEAIAAtACAAUwBoAGEAcABlAGYAaQBsAGUAXAAiACkAOwBcAG4AXABuAEMAbwBtAG0AbwBuAF8AUwBvAHUAcgBjAGUARABhAHQAYQBfAFcAQQBTAEEANABBAHIAZQBhAHMAXwBEAGEAdABhAFwAbgAgACAAIAA9AEwAQQBNAEIARABBACgAXABuACAAIAAgACAATQBBAEsARQBBAFIAUgBBAFkAKAAxADEALAAgADEALAAgAFwAbgAgACAAIAAgACAAIABMAEEATQBCAEQAQQAoAHIALABjACwAIABcAG4AIAAgACAAIAAgACAAIAAgAEkATgBEAEUAWAAoAHsAXABuACAAIAAgACAAIAAgACAAIAAgACAAXAAiAFMAQQAgADQAIABOAGEAbQBlAFwAIgA7AFwAbgAgACAAIAAgACAAIAAgACAAIAAgAFwAIgBCAHUAbgBiAHUAcgB5AFwAIgA7AFwAbgAgACAAIAAgACAAIAAgACAAIAAgAFwAIgBNAGEAbgBkAHUAcgBhAGgAXAAiADsAXABuACAAIAAgACAAIAAgACAAIAAgACAAXAAiAFAAZQByAHQAaAAgAC0AIABJAG4AbgBlAHIAXAAiADsAXABuACAAIAAgACAAIAAgACAAIAAgACAAXAAiAFAAZQByAHQAaAAgAC0AIABOAG8AcgB0AGgAIABFAGEAcwB0AFwAIgA7AFwAbgAgACAAIAAgACAAIAAgACAAIAAgAFwAIgBQAGUAcgB0AGgAIAAtACAATgBvAHIAdABoACAAVwBlAHMAdABcACIAOwBcAG4AIAAgACAAIAAgACAAIAAgACAAIABcACIAUABlAHIAdABoACAALQAgAFMAbwB1AHQAaAAgAEUAYQBzAHQAXAAiADsAXABuACAAIAAgACAAIAAgACAAIAAgACAAXAAiAFAAZQByAHQAaAAgAC0AIABTAG8AdQB0AGgAIABXAGUAcwB0AFwAIgA7AFwAbgAgACAAIAAgACAAIAAgACAAIAAgAFwAIgBXAGUAcwB0AGUAcgBuACAAQQB1AHMAdAByAGEAbABpAGEAIAAtACAAVwBoAGUAYQB0ACAAQgBlAGwAdABcACIAOwBcAG4AIAAgACAAIAAgACAAIAAgACAAIABcACIAVwBlAHMAdABlAHIAbgAgAEEAdQBzAHQAcgBhAGwAaQBhACAALQAgAE8AdQB0AGIAYQBjAGsAIAAoAE4AbwByAHQAaAApAFwAIgA7AFwAbgAgACAAIAAgACAAIAAgACAAIAAgAFwAIgBXAGUAcwB0AGUAcgBuACAAQQB1AHMAdAByAGEAbABpAGEAIAAtACAATwB1AHQAYgBhAGMAawAgACgAUwBvAHUAdABoACk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XAGUAdABBAG4AZABEAHIAeQBaAG8AbgBlAHMAXABuAC0ALQAtAC0ALQAtAC0ALQAtAC0ALQAtAC0ALQAtAC0ALQAtAC0ALQAtAC0ALQAtAC0ALQAtAC0ALQAtAC0ALQAtAC0ALQAtAC0ALQBcAG4AKgAvAFwAbgBcAG4AQwBvAG0AbQBvAG4AXwBTAG8AdQByAGMAZQBEAGEAdABhAF8AVwBlAHQAQQBuAGQARAByAHkAWgBvAG4AZQBzAF8AVABpAHQAbABlAFwAbgAgACAAPQBMAEEATQBCAEQAQQAoAFwAIgBWAEUARQBSAEcAIABBAHUAcwB0AHIAYQBsAGkAYQBuACAAdwBlAHQAIABhAG4AZAAgAGQAcgB5ACAAegBvAG4AZQBzAFwAIgApADsAXABuAFwAbgBDAG8AbQBtAG8AbgBfAFMAbwB1AHIAYwBlAEQAYQB0AGEAXwBXAGUAdABBAG4AZABEAHIAeQBaAG8AbgBlAHMAXwBWAGEAcgBpAGEAYgBsAGUAXABuACAAIAA9AEwAQQBNAEIARABBACgAXAAiAFwAIgApADsAXABuAFwAbgBDAG8AbQBtAG8AbgBfAFMAbwB1AHIAYwBlAEQAYQB0AGEAXwBXAGUAdABBAG4AZABEAHIAeQBaAG8AbgBlAHMAXwBVAG4AaQB0AFwAbgAgACAAPQBMAEEATQBCAEQAQQAoAFwAIgBcACIAKQA7AFwAbgBcAG4AQwBvAG0AbQBvAG4AXwBTAG8AdQByAGMAZQBEAGEAdABhAF8AVwBlAHQAQQBuAGQARAByAHkAWgBvAG4AZQBzAF8AUwBvAHUAcgBjAGUAXABuACAAIAA9AEwAQQBNAEIARABBACgAXAAiAFYARQBFAFIARwAgADIAMAAyADYAOgAgAFQAYQBiAGwAZQAgADEALgAyADoAIABUAHIAYQBuAHMAbABhAHQAaQBuAGcAIABjAGwAaQBtAGEAdABlACAAegBvAG4AZQBzACAAdABvACAAdwBlAHQAIABhAG4AZAAgAGQAcgB5ACAAegBvAG4AZQBzAFwAIgApADsAXABuAFwAbgBDAG8AbQBtAG8AbgBfAFMAbwB1AHIAYwBlAEQAYQB0AGEAXwBXAGUAdABBAG4AZABEAHIAeQBaAG8AbgBlAHMAXwBWAGEAcgBpAGEAdABpAG8AbgBcAG4AIAAgACAAPQBMAEEATQBCAEQAQQAoAFwAbgAgACAAIAAgAE0AQQBLAEUAQQBSAFIAQQBZACgAMw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LQAgAEMAaABhAG4AZwBlAGQAIABcAHUAMAAwADIANwBGAHIAeQBcAHUAMAAwADIANwAgAHQAbwAgAFwAdQAwADAAMgA3AEQAcgB5AFwAdQAwADAAMgA3AC4AXAAiAFwAbgAgACAAIAAgACAAIAAgACAAfQAsACAAcgAsACAAYwApAFwAbgAgACAAIAAgACAAIAApAFwAbgAgACAAIAAgACkAXABuACAAIAApADsAXABuAFwAbgBDAG8AbQBtAG8AbgBfAFMAbwB1AHIAYwBlAEQAYQB0AGEAXwBXAGUAdABBAG4AZABEAHIAeQBaAG8AbgBlAHMAXwBEAGEAdABhAFwAbgAgACAAIAA9AEwAQQBNAEIARABBACgAXABuACAAIAAgACAATQBBAEsARQBBAFIAUgBBAFkAKAAxADUALAAgADIALAAgAFwAbgAgACAAIAAgACAAIABMAEEATQBCAEQAQQAoAHIALABjACwAIABcAG4AIAAgACAAIAAgACAAIAAgAEkATgBEAEUAWAAoAHsAXABuACAAIAAgACAAIAAgACAAIAAgACAAXAAiAEMAbABpAG0AYQB0AGUAIABaAG8AbgBlAFwAIgAsACAAXAAiAFcAZQB0ACAAbwByACAARAByAHkAIABaAG8AbgBlAFwAIgA7AFwAbgAgACAAIAAgACAAIAAgACAAIAAgAFwAIgBUAHIAbwBwAGkAYwBhAGwAIABtAG8AbgB0AGEAbgBlAFwAIgAsACAAXAAiAFcAZQB0ACAAYwBsAGkAbQBhAHQAZQAgAHoAbwBuAGUAXAAiADsAXABuACAAIAAgACAAIAAgACAAIAAgACAAXAAiAFQAcgBvAHAAaQBjAGEAbAAgAHcAZQB0AFwAIgAsACAAXAAiAFcAZQB0ACAAYwBsAGkAbQBhAHQAZQAgAHoAbwBuAGUAXAAiADsAXABuACAAIAAgACAAIAAgACAAIAAgACAAXAAiAFQAcgBvAHAAaQBjAGEAbAAgAG0AbwBpAHMAdABcACIALAAgAFwAIgBXAGUAdAAgAGMAbABpAG0AYQB0AGUAIAB6AG8AbgBlAFwAIgA7AFwAbgAgACAAIAAgACAAIAAgACAAIAAgAFwAIgBUAHIAbwBwAGkAYwBhAGwAIABkAHIAeQBcACIALAAgAFwAIgBEAHIAeQAgAGMAbABpAG0AYQB0AGUAIAB6AG8AbgBlAFwAIgA7AFwAbgAgACAAIAAgACAAIAAgACAAIAAgAFwAIgBXAGEAcgBtACAAdABlAG0AcABlAHIAYQB0AGUAIABtAG8AaQBzAHQAXAAiACwAIABcACIAVwBlAHQAIABjAGwAaQBtAGEAdABlACAAegBvAG4AZQBcACIAOwBcAG4AIAAgACAAIAAgACAAIAAgACAAIABcACIAVwBhAHIAbQAgAHQAZQBtAHAAZQByAGEAdABlACAAZAByAHkAXAAiACwAIABcACIARAByAHkAIABjAGwAaQBtAGEAdABlACAAegBvAG4AZQBcACIAOwBcAG4AIAAgACAAIAAgACAAIAAgACAAIABcACIAQwBvAG8AbAAgAHQAZQBtAHAAZQByAGEAdABlACAAbQBvAGkAcwB0AFwAIgAsACAAXAAiAFcAZQB0ACAAYwBsAGkAbQBhAHQAZQAgAHoAbwBuAGUAXAAiADsAXABuACAAIAAgACAAIAAgACAAIAAgACAAXAAiAEMAbwBvAGwAIAB0AGUAbQBwAGUAcgBhAHQAZQAgAGQAcgB5AFwAIgAsACAAXAAiAEQAcgB5ACAAYwBsAGkAbQBhAHQAZQAgAHoAbwBuAGUAXAAiADsAXABuACAAIAAgACAAIAAgACAAIAAgACAAXAAiAFcAYQByAG0AIAB0AGUAbQBwAGUAcgBhAHQAZQAgAG0AbwBpAHMAdAAgAC0AIABsAG8AdwAgAGYAcgBvAHMAdABcACIALAAgAFwAIgBXAGUAdAAgAGMAbABpAG0AYQB0AGUAIAB6AG8AbgBlAFwAIgA7AFwAbgAgACAAIAAgACAAIAAgACAAIAAgAFwAIgBXAGEAcgBtACAAdABlAG0AcABlAHIAYQB0AGUAIABkAHIAeQAgAC0AIABsAG8AdwAgAGYAcgBvAHMAdABcACIALAAgAFwAIgBEAHIAeQAgAGMAbABpAG0AYQB0AGUAIAB6AG8AbgBlAFwAIgA7AFwAbgAgACAAIAAgACAAIAAgACAAIAAgAFwAIgBXAGEAcgBtACAAdABlAG0AcABlAHIAYQB0AGUAIABtAG8AaQBzAHQAIAAtACAAaABpAGcAaAAgAHQAZQBtAHAAXAAiACwAIABcACIAVwBlAHQAIABjAGwAaQBtAGEAdABlACAAegBvAG4AZQBcACIAOwBcAG4AIAAgACAAIAAgACAAIAAgACAAIABcACIAVwBhAHIAbQAgAHQAZQBtAHAAZQByAGEAdABlACAAZAByAHkAIAAtACAAaABpAGcAaAAgAHQAZQBtAHAAXAAiACwAIABcACIARAByAHkAIABjAGwAaQBtAGEAdABlACAAegBvAG4AZQBcACIAOwBcAG4AIAAgACAAIAAgACAAIAAgACAAIABcACIAQwBvAG8AbAAgAHQAZQBtAHAAZQByAGEAdABlACAAbQBvAGkAcwB0ACAALQAgAGwAbwB3ACAAZgByAG8AcwB0AFwAIgAsACAAXAAiAFcAZQB0ACAAYwBsAGkAbQBhAHQAZQAgAHoAbwBuAGUAXAAiADsAXABuACAAIAAgACAAIAAgACAAIAAgACAAXAAiAEMAbwBvAGwAIAB0AGUAbQBwAGUAcgBhAHQAZQAgAGQAcgB5ACAALQAgAGwAbwB3ACAAZgByAG8AcwB0AFwAIgAsACAAXAAiAEQAcgB5ACAAYwBsAGkAbQBhAHQAZQAgAHoAbwBuAGU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DAGwAaQBtAGEAdABlAFoAbwBuAGUAcwBcAG4ALQAtAC0ALQAtAC0ALQAtAC0ALQAtAC0ALQAtAC0ALQAtAC0ALQAtAC0ALQAtAC0ALQAtAC0ALQAtAC0ALQAtAC0ALQAtAC0ALQAtAFwAbgAqAC8AXABuAFwAbgBDAG8AbQBtAG8AbgBfAFMAbwB1AHIAYwBlAEQAYQB0AGEAXwBDAGwAaQBtAGEAdABlAFoAbwBuAGUAcwBfAFQAaQB0AGwAZQBcAG4AIAAgAD0ATABBAE0AQgBEAEEAKABcACIAVgBFAEUAUgBHACAAQQB1AHMAdAByAGEAbABpAGEAbgAgAGMAbABpAG0AYQB0AGUAIAB6AG8AbgBlAHMAXAAiACkAOwBcAG4AXABuAEMAbwBtAG0AbwBuAF8AUwBvAHUAcgBjAGUARABhAHQAYQBfAEMAbABpAG0AYQB0AGUAWgBvAG4AZQBzAF8AVgBhAHIAaQBhAGIAbABlAFwAbgAgACAAPQBMAEEATQBCAEQAQQAoAFwAIgBcACIAKQA7AFwAbgBcAG4AQwBvAG0AbQBvAG4AXwBTAG8AdQByAGMAZQBEAGEAdABhAF8AQwBsAGkAbQBhAHQAZQBaAG8AbgBlAHMAXwBVAG4AaQB0AFwAbgAgACAAPQBMAEEATQBCAEQAQQAoAFwAIgBcACIAKQA7AFwAbgBcAG4AQwBvAG0AbQBvAG4AXwBTAG8AdQByAGMAZQBEAGEAdABhAF8AQwBsAGkAbQBhAHQ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DAGwAaQBtAGEAdABlAFoAbwBuAGUAcwBfAFYAYQByAGkAYQB0AGkAbwBuAFwAbgAgACAAIAA9AEwAQQBNAEIARABBACgAXABuACAAIAAgACAATQBBAEsARQBBAFIAUgBBAFkAKAA1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BpAG4AIABNAEEAVAAgAHYAYQBsAHUAZQAgAGYAbwByACAAdwBhAHIAbQAgAHQAZQBtAHAAZQByAGEAdABlACAAZAByAHkAIAAtACAAYwBoAGEAbgBnAGUAZAAgADEAMAAgAHQAbwAgADEAMQAuAFwAIgA7AFwAbgAgACAAIAAgACAAIAAgACAAIAAgAFwAIgBBAGQAZABlAGQAIABtAGkAbgAgAGEAbgBkACAAbQBhAHgAIABjAG8AbAB1AG0AbgBzACAAZgBvAHIAIABNAEEAVAAsACAATQBBAFAALAAgAGYAcgBvAHMAdAAgAGQAYQB5AHMAIABwAGUAcgAgAHkAZQBhAHIALAAgAGUAbABlAHYAYQB0AGkAbwBuACwAIABNAEEAUAA6AFAARQBUACAAdABvACAAYwBhAGwAYwB1AGwAYQB0AGUAIAB6AG8AbgBlAHMAIABmAHIAbwBtACAAcgBlAGEAbAAgAGMAbABpAG0AYQB0AGUAIABkAGEAdABhAC4AXAAiADsAXABuACAAIAAgACAAIAAgACAAIAAgACAAXAAiAEcAQQBGACAAYQBjAGMAZQBwAHQAcwAgAHIAYQBpAG4AZgBhAGwAbAAgAGEAcwAgAGEAIABwAHIAbwB4AHkAIABmAG8AcgAgAHAAcgBlAGMAaQBwAGkAdABhAHQAaQBvAG4ALgBcACIAXABuACAAIAAgACAAIAAgACAAIAB9ACwAIAByACwAIABjACkAXABuACAAIAAgACAAIAAgACkAXABuACAAIAAgACAAKQBcAG4AIAAgACkAOwBcAG4AXABuAEMAbwBtAG0AbwBuAF8AUwBvAHUAcgBjAGUARABhAHQAYQBfAEMAbABpAG0AYQB0AGUAWgBvAG4AZQBzAF8ARABhAHQAYQBcAG4AIAAgACAAPQBMAEEATQBCAEQAQQAoAFwAbgAgACAAIAAgAE0AQQBLAEUAQQBSAFIAQQBZACgAOQAsACAAMQA2ACwAIABcAG4AIAAgACAAIAAgACAATABBAE0AQgBEAEEAKAByACwAYwAsACAAXABuACAAIAAgACAAIAAgACAAIABJAE4ARABFAFgAKAB7AFwAbgAgACAAIAAgACAAIAAgACAAIAAgAFwAIgBDAGwAaQBtAGEAdABlACAAWgBvAG4AZQBcACIALAAgAFwAIgBNAEEAVABcACIALAAgAFwAIgBNAEEAUABcACIALAAgAFwAIgBGAHIAbwBzAHQAIABkAGEAeQBzACAAcABlAHIAIAB5AGUAYQByAFwAIgAsACAAXAAiAEUAbABlAHYAYQB0AGkAbwBuAFwAIgAsACAAXAAiAE0AQQBQADoAUABFAFQAXAAiACwAIABcACIATQBpAG4AIAB0AGUAbQBwAFwAIgAsACAAXAAiAE0AYQB4ACAAdABlAG0AcABcACIALAAgAFwAIgBNAGkAbgAgAHIAYQBpAG4AZgBhAGwAbABcACIALAAgAFwAIgBNAGEAeAAgAHIAYQBpAG4AZgBhAGwAbABcACIALAAgAFwAIgBNAGkAbgAgAGYAcgBvAHMAdAAgAGQAYQB5AHMAXAAiACwAIABcACIATQBhAHgAIABmAHIAbwBzAHQAIABkAGEAeQBzAFwAIgAsACAAXAAiAE0AaQBuACAAZQBsAGUAdgBhAHQAaQBvAG4AXAAiACwAIABcACIATQBhAHgAIABlAGwAZQB2AGEAdABpAG8AbgBcACIALAAgAFwAIgBNAGkAbgAgAE0AQQBQADoAUABFAFQAXAAiACwAIABcACIATQBpAG4AIABNAEEAUAA6AFAARQBUAFwAIgA7AFwAbgAgACAAIAAgACAAIAAgACAAIAAgAFwAIgBUAHIAbwBwAGkAYwBhAGwAIABtAG8AbgB0AGEAbgBlAFwAIgAsACAAXAAiAFwAdQAwADAAMwBlACAAMQA4ACAAQwBcACIALAAgAFwAIgBBAG4AeQBcACIALAAgAFwAIgBkIiAANwBcACIALAAgAFwAIgBcAHUAMAAwADMAZQAgADEAMAAwADAAIABtAFwAIgAsACAAXAAiAEEAbgB5AFwAIgAsACAAMQA4AC4AMAAwADEALAAgADkAOQA5ADkAOQA5ACwAIAAtADkAOQA5ADkAOQA5ACwAIAA5ADkAOQA5ADkAOQAsACAALQA5ADkAOQA5ADkAOQAsACAANwAsACAAMQAwADAAMAAsACAAOQA5ADkAOQA5ADkALAAgAC0AOQA5ADkAOQA5ADkALAAgADkAOQA5ADkAOQA5ADsAXABuACAAIAAgACAAIAAgACAAIAAgACAAXAAiAFQAcgBvAHAAaQBjAGEAbAAgAHcAZQB0AFwAIgAsACAAXAAiAFwAdQAwADAAMwBlACAAMQA4ACAAQwBcACIALAAgAFwAIgBcAHUAMAAwADMAZQ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BcAHUAMAAwADMAZQAgADEAOAAgAEMAXAAiACwAIABcACIAXAB1ADAAMAAzAGUAIAAxADAAMAAwACAAbQBtACAALQAgAGQiIAAyADAAMAAwACAAbQBtAFwAIgAsACAAXAAiAGQiIAA3AFwAIgAsACAAXAAiAGQiIAAxADAAMAAwACAAbQBcACIALAAgAFwAIgBBAG4AeQBcACIALAAgADEAOAAuADAAMAAxACwAIAA5ADkAOQA5ADkAOQAsACAAMQAwADAAMAAuADAAMAAxACwAIAAyADAAMAAwACwAIAAtADkAOQA5ADkAOQA5ACwAIAA3ACwAIAAtADkAOQA5ADkAOQA5ACwAIAA5ADkAOQAuADkAOQA5ACwAIAAgAC0AOQA5ADkAOQA5ADkALAAgADkAOQA5ADkAOQA5ADsAXABuACAAIAAgACAAIAAgACAAIAAgACAAXAAiAFQAcgBvAHAAaQBjAGEAbAAgAGQAcgB5AFwAIgAsACAAXAAiAFwAdQAwADAAMwBl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FwAdQAwADAAMwBlACAAMQAwACAAQwBcACIALAAgAFwAIgBBAG4AeQBcACIALAAgAFwAIgBBAG4AeQBcACIALAAgAFwAIgBBAG4AeQBcACIALAAgAFwAIgBcAHUAMAAwADMAZQAgADEAXAAiACwAIAAxADAALgAwADAAMQAsACAAOQA5ADkAOQA5ADkALAAgAC0AOQA5ADkAOQA5ADkALAAgADkAOQA5ADkAOQA5ACwAIAAtADkAOQA5ADkAOQA5ACwAIAA5ADkAOQA5ADkAOQAsACAALQA5ADkAOQA5ADkAOQAsACAAOQA5ADkAOQA5ADkALAAgADEALgAwADAAMQAsACAAOQA5ADkAOQA5ADkAOwBcAG4AIAAgACAAIAAgACAAIAAgACAAIABcACIAVwBhAHIAbQAgAHQAZQBtAHAAZQByAGEAdABlACAAZAByAHkAXAAiACwAIABcACIAXAB1ADAAMAAzAGU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FwAdQAwADAAMwBlACAAMAAgAEMAIAAtACAAZCIgADEAMAAgAEMAXAAiACwAIABcACIAQQBuAHkAXAAiACwAIABcACIAQQBuAHkAXAAiACwAIABcACIAQQBuAHkAXAAiACwAIABcACIAXAB1ADAAMAAzAGUAIAAxAFwAIgAsACAALQA5ADkAOQA5ADkAOQAsACAAMQAwACwAIAAtADkAOQA5ADkAOQA5ACwAIAA5ADkAOQA5ADkAOQAsACAALQA5ADkAOQA5ADkAOQAsACAAOQA5ADkAOQA5ADkALAAgAC0AOQA5ADkAOQA5ADkALAAgADkAOQA5ADkAOQA5ACwAIAAxAC4AMAAwADEALAAgADkAOQA5ADkAOQA5ADsAXABuACAAIAAgACAAIAAgACAAIAAgACAAXAAiAEMAbwBvAGwAIAB0AGUAbQBwAGUAcgBhAHQAZQAgAGQAcgB5AFwAIgAsACAAXAAiAFwAdQAwADAAMwBl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FwAdQAwADAAMwBlACAANgAwADAAbQBtAFwAIgAsACAANgAwADAALgAwADAAMQAsACAAOQA5ADkAOQA5ADkAOwBcAG4AIAAgACAAIAAgACAAIAAgACAAIABcACIATABvAHcAIAByAGEAaQBuAGYAYQBsAGwAXAAiACwAIABcACIAQQBuAG4AdQBhAGwAIAByAGEAaQBuAGYAYQBsAGwAIABkIiAANgAwADAAbQBtAFwAIgAsACAALQA5ADkAOQA5ADkAOQAsACAANgAwADA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wAZQBhAGMAaABpAG4AZwBaAG8AbgBlAHMAXABuAC0ALQAtAC0ALQAtAC0ALQAtAC0ALQAtAC0ALQAtAC0ALQAtAC0ALQAtAC0ALQAtAC0ALQAtAC0ALQAtAC0ALQAtAC0ALQAtAC0ALQBcAG4AKgAvAFwAbgBcAG4AQwBvAG0AbQBvAG4AXwBTAG8AdQByAGMAZQBEAGEAdABhAF8ATABlAGEAYwBoAGkAbgBnAFoAbwBuAGUAcwBfAFQAaQB0AGwAZQBcAG4AIAAgAD0ATABBAE0AQgBEAEEAKABcACIAVgBFAEUAUgBHACAAQQB1AHMAdAByAGEAbABpAGEAbgAgAGwAZQBhAGMAaABpAG4AZwAgAHoAbwBuAGUAcwBcACIAKQA7AFwAbgBcAG4AQwBvAG0AbQBvAG4AXwBTAG8AdQByAGMAZQBEAGEAdABhAF8ATABlAGEAYwBoAGkAbgBnAFoAbwBuAGUAcwBfAFYAYQByAGkAYQBiAGwAZQBcAG4AIAAgAD0ATABBAE0AQgBEAEEAKABcACIAXAAiACkAOwBcAG4AXABuAEMAbwBtAG0AbwBuAF8AUwBvAHUAcgBjAGUARABhAHQAYQBfAEwAZQBhAGMAaABpAG4AZwBaAG8AbgBlAHMAXwBVAG4AaQB0AFwAbgAgACAAPQBMAEEATQBCAEQAQQAoAFwAIgBcACIAKQA7AFwAbgBcAG4AQwBvAG0AbQBvAG4AXwBTAG8AdQByAGMAZQBEAGEAdABhAF8ATABlAGEAYwBoAGkAbgBn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wAZQBhAGMAaABpAG4AZwBaAG8AbgBlAHMAXwBWAGEAcgBpAGEAdABpAG8AbgBcAG4AIAAgAD0ATABBAE0AQgBEAEEAKABcACIAXAAiACkAOwBcAG4AXABuAEMAbwBtAG0AbwBuAF8AUwBvAHUAcgBjAGUARABhAHQAYQBfAEwAZQBhAGMAaABpAG4AZwBaAG8AbgBlAHMAXwBEAGEAdABhAFwAbgAgACAAIAA9AEwAQQBNAEIARABBACgAXABuACAAIAAgACAATQBBAEsARQBBAFIAUgBBAFkAKAA0ACwAIAAyACwAIABcAG4AIAAgACAAIAAgACAATABBAE0AQgBEAEEAKAByACwAYwAsACAAXABuACAAIAAgACAAIAAgACAAIABJAE4ARABFAFgAKAB7AFwAbgAgACAAIAAgACAAIAAgACAAIAAgAFwAIgBMAGUAYQBjAGgAaQBuAGcAIABaAG8AbgBlAFwAIgAsACAAXAAiAEwAZQBhAGMAaABpAG4AZwAgAGMAcgBpAHQAZQByAGkAYQBcACIAOwBcAG4AIAAgACAAIAAgACAAIAAgACAAIABcACIATABlAGEAYwBoAGkAbgBnACAAbwBjAGMAdQByAHMAXAAiACwAIABcACIAowMoADXYX9w12E7cNdhW3DXYW9wpAFwAdQAwADAAMwBlAKMDKAA12DjcNdhH3DAAKQArADXYYNw12FzcNdhW3DXYWdwgADXYZNw12E7cNdhh3DXYUtw12F/cIAAOITXYXNw12FncNdhR3DXYVtw12FvcNdhU3CAANdhQ3DXYTtw12F3cNdhO3DXYUNw12FbcNdhh3DXYZtxcACIAOwBcAG4AIAAgACAAIAAgACAAIAAgACAAIABcACIATABlAGEAYwBoAGkAbgBnACAAZABvAGUAcwAgAG4AbwB0ACAAbwBjAGMAdQByAFwAIgAsACAAXAAiAKMDKAA12F/cNdhO3DXYVtw12FvcKQBkIqMDKAA12DjcNdhH3DAAKQArADXYYNw12FzcNdhW3DXYWdwgADXYZNw12E7cNdhh3DXYUtw12F/cIAAOITXYXNw12FncNdhR3DXYVtw12FvcNdhU3CAANdhQ3DXYTtw12F3cNdhO3DXYUNw12FbcNdhh3DXYZtx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YAcgBhAGMAVwBFAFQ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VwBFAFQ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VwBFAFQAXwBVAG4AaQB0AFwAbgAgACAAPQBMAEEATQBCAEQAQQAoAFwAIgAoAEQAaQBtAGUAbgBzAGkAbwBuAGwAZQBzAHMAXAAiACkAOwBcAG4AXABuAEMAbwBtAG0AbwBuAF8AUwBvAHUAcgBjAGUARABhAHQAYQBfAEYAcgBhAGMAVwBFAFQAXwBTAG8AdQByAGMAZQBcAG4AIAAgAD0ATABBAE0AQgBEAEEAKABcACIAVgBFAEUAUgBHACAAMgAwADIANgA6ADUALgA1AC4AMgAuADMAIABDAG8AbgBzAHQAYQBuAHQAIABQAGEAcgBhAG0AZQB0AGUAcgBzAFwAIgApADsAXABuAFwAbgBDAG8AbQBtAG8AbgBfAFMAbwB1AHIAYwBlAEQAYQB0AGEAXwBGAHIAYQBjAFcARQBUAF8ATgBJAFIAUgBlAGYAZQByAGUAbgBjAGUAXABuACAAIAA9AEwAQQBNAEIARABBACgAXAAiAFwAIgApADsAXABuAFwAbgBDAG8AbQBtAG8AbgBfAFMAbwB1AHIAYwBlAEQAYQB0AGEAXwBGAHIAYQBjAFcARQBUAF8ARABhAHQAYQBcAG4AIAAgAD0ATABBAE0AQgBEAEEAKABcAG4AIAAgACAAIABNAEEASwBFAEEAUgBSAEEAWQAoADMALAAgADIALAAgAFwAbgAgACAAIAAgACAAIABMAEEATQBCAEQAQQAoAHIALABjACwAIABcAG4AIAAgACAAIAAgACAAIAAgAEkATgBEAEUAWAAoAHsAXABuACAAIAAgACAAIAAgACAAIAAgACAAXAAiAEkAcwAgAGkAbgAgAGwAZQBhAGMAaABpAG4AZwAgAHoAbwBuAGUAXAAiACwAXAAiAEYAcgBhAGMAVwBFAFQAXAAiADsAXABuACAAIAAgACAAIAAgACAAIAAgACAAXAAiAFkAZQBzACAALQAgAGkAbgAgAGwAZQBhAGMAaABpAG4AZwAgAHoAbwBuAGUAXAAiACwAIAAxADsAXABuACAAIAAgACAAIAAgACAAIAAgACAAXAAiAE4AbwAgAC0AIABuAG8AdAAgAGkAbgAgAGwAZQBhAGMAaABpAG4AZwAgAHoAbwBuAGUAXAAiACwAIAAwAFwAbgAgACAAIAAgACAAIAAgACAAfQAsACAAcgAsACAAYwApAFwAbgAgACAAIAAgACAAIAApAFwAbgAgACAAIAAgACkAXABuACAAIAApADsAXABuAFwAbgAgACAAQwBvAG0AbQBvAG4AXwBTAG8AdQByAGMAZQBEAGEAdABhAF8ARgByAGEAYwBXAEUAVABfAFYAYQByAGkAYQB0AGkAbwBuAFwAbgAgACAAPQBMAEEATQBCAEQAQQAoACgAXAAiAFwAIgApACkAOwBcAG4AXABuAFwAbgBcAG4ALwAqACAAXABuAC0ALQAtAC0ALQAtAC0ALQAtAC0ALQAtAC0ALQAtAC0ALQAtAC0ALQAtAC0ALQAtAC0ALQAtAC0ALQAtAC0ALQAtAC0ALQAtAC0ALQBcAG4AQwBvAG0AbQBvAG4AXwBTAG8AdQByAGMAZQBEAGEAdABhAF8ARABhAHQAYQBTAGMAbwByAGUAcwBfAFMAYwBvAHAAZQAzAFwAbgAtAC0ALQAtAC0ALQAtAC0ALQAtAC0ALQAtAC0ALQAtAC0ALQAtAC0ALQAtAC0ALQAtAC0ALQAtAC0ALQAtAC0ALQAtAC0ALQAtAC0AXABuACoALwBcAG4AXABuAEMAbwBtAG0AbwBuAF8AUwBvAHUAcgBjAGUARABhAHQAYQBfAEQAYQB0AGEAUwBjAG8AcgBlAHMAXwBTAGMAbwBwAGUAMwBfAFQAaQB0AGwAZQBcAG4AIAAgAD0ATABBAE0AQgBEAEEAKABcACIAQQB1AHMAdAByAGEAbABpAGEAbgAgAGQAYQB0AGEAIABzAGMAbwByAGUAcwAgAGYAbwByACAAcwBjAG8AcABlACAAMwBcACIAKQA7AFwAbgBcAG4AQwBvAG0AbQBvAG4AXwBTAG8AdQByAGMAZQBEAGEAdABhAF8ARABhAHQAYQBTAGMAbwByAGUAcwBfAFMAYwBvAHAAZQAzAF8AVgBhAHIAaQBhAGIAbABlAFwAbgAgACAAPQBMAEEATQBCAEQAQQAoAFwAIgBcACIAKQA7AFwAbgBcAG4AQwBvAG0AbQBvAG4AXwBTAG8AdQByAGMAZQBEAGEAdABhAF8ARABhAHQAYQBTAGMAbwByAGUAcwBfAFMAYwBvAHAAZQAzAF8AVQBuAGkAdABcAG4AIAAgAD0ATABBAE0AQgBEAEEAKABcACIAXAAiACkAOwBcAG4AXABuAEMAbwBtAG0AbwBuAF8AUwBvAHUAcgBjAGUARABhAHQAYQBfAEQAYQB0AGEAUwBjAG8AcgBlAHMAXwBTAGMAbwBwAGUAMwBfAFMAbwB1AHIAYwBlAFwAbgAgACAAPQBMAEEATQBCAEQAQQAoAFwAIgBWAEUARQBSAEcAIAAyADAAMgA2ADoAIABYAFgAWABYAFgAWABYAFgAXAAiACkAOwBcAG4AXABuAEMAbwBtAG0AbwBuAF8AUwBvAHUAcgBjAGUARABhAHQAYQBfAEQAYQB0AGEAUwBjAG8AcgBlAHMAXwBTAGMAbwBwAGUAMwBfAFYAYQByAGkAYQB0AGkAbwBuAFwAbgAgACAAPQBMAEEATQBCAEQAQQAoAFwAIgBcACIAKQA7AFwAbgBcAG4AQwBvAG0AbQBvAG4AXwBTAG8AdQByAGMAZQBEAGEAdABhAF8ARABhAHQAYQBTAGMAbwByAGUAcwBfAFMAYwBvAHAAZQAzAF8ARABhAHQAYQBcAG4AIAAgACAAPQBMAEEATQBCAEQAQQAoAFwAbgAgACAAIAAgAE0AQQBLAEUAQQBSAFIAQQBZACgANgAsACAAMgAsACAAXABuACAAIAAgACAAIAAgAEwAQQBNAEIARABBACgAcgAsAGMALAAgAFwAbgAgACAAIAAgACAAIAAgACAASQBOAEQARQBYACgAewBcAG4AIAAgACAAIAAgACAAIAAgACAAIABcACIARABhAHQAYQAgAHMAbwB1AHIAYwBlAFwAIgAsACAAXAAiAEQAYQB0AGEAIABzAGMAbwByAGUAXAAiADsAXABuACAAIAAgACAAIAAgACAAIAAgACAAXAAiAEkAbgB0AGUAcgBuAGEAdABpAG8AbgBhAGwAIABzAGMAbwBwAGUAIAAzACAAZABhAHQAYQBiAGEAcwBlAFwAIgAsACAAMQA7AFwAbgAgACAAIAAgACAAIAAgACAAIAAgAFwAIgBBAHUAcwB0AHIAYQBsAGkAYQBuACAAcwBjAG8AcABlACAAMwAgAGQAYQB0AGEAYgBhAHMAZQBcACIALAAgADIAOwBcAG4AIAAgACAAIAAgACAAIAAgACAAIABcACIAUwB0AGEAdABlACAAbwByACAAcgBlAGcAaQBvAG4AYQBsACAAcwBjAG8AcABlACAAMwAgAGQAYQB0AGEAYgBhAHMAZQBcACIALAAgADMAOwBcAG4AIAAgACAAIAAgACAAIAAgACAAIABcACIARQBtAGkAcwBzAGkAbwBuAHMAIABpAG4AdABlAG4AcwBpAHQAeQAgAGMAYQBsAGMAdQBsAGEAdABlAGQAIABmAHIAbwBtACAAYQBwAHAAcgBvAHYAZQBkACAAbQBlAHQAaABvAGQAXAAiACwAIAA0ADsAXABuACAAIAAgACAAIAAgACAAIAAgACAAXAAiAFYAZQByAGkAZgBpAGUAZAAgAGMAcgBlAGQAZQBuAHQAaQBhAGwAIABtAGEAdABjAGgAaQBuAGcAIABJAFMATwAxADQAMAA2ADcAXAAiACwAIAA1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RgByAGEAYwBMAEUAQQBDAEg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TABFAEEAQwBI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EwARQBBAEMASABfAFUAbgBpAHQAXABuACAAIAA9AEwAQQBNAEIARABBACgAXAAiACgARABpAG0AZQBuAHMAaQBvAG4AbABlAHMAcwBcACIAKQA7AFwAbgBcAG4AQwBvAG0AbQBvAG4AXwBTAG8AdQByAGMAZQBEAGEAdABhAF8ARgByAGEAYwBMAEUAQQBDAEgAXwBTAG8AdQByAGMAZQBcAG4AIAAgAD0ATABBAE0AQgBEAEEAKABcACIAVgBFAEUAUgBHACAAMgAwADIANgA6ADUALgA1AC4AMgAuADMAIABDAG8AbgBzAHQAYQBuAHQAIABQAGEAcgBhAG0AZQB0AGUAcgBzAFwAIgApADsAXABuAFwAbgBDAG8AbQBtAG8AbgBfAFMAbwB1AHIAYwBlAEQAYQB0AGEAXwBGAHIAYQBjAEwARQBBAEMASABfAE4ASQBSAFIAZQBmAGUAcgBlAG4AYwBlAFwAbgAgACAAPQBMAEEATQBCAEQAQQAoAFwAIgBOAGEAdABpAG8AbgBhAGwAIABJAG4AdgBlAG4AdABvAHIAeQAgAFIAZQBwAG8AcgB0ACAAVgBvAGwAdQBtAGUAIAAxADoAIABMAGUAYQBjAGgAaQBuAGcAIABhAG4AZAAgAHIAdQBuAG8AZgBmACAAKAAzAC4ARAAuAGIALgAyACkAXAAiACkAOwBcAG4AXABuAEMAbwBtAG0AbwBuAF8AUwBvAHUAcgBjAGUARABhAHQAYQBfAEYAcgBhAGMATABFAEEAQwBIAF8ARABhAHQAYQBcAG4AIAAgAD0ATABBAE0AQgBEAEEAKABcAG4AIAAgACAAIABNAEEASwBFAEEAUgBSAEEAWQAoADEALAAgADIALAAgAFwAbgAgACAAIAAgACAAIABMAEEATQBCAEQAQQAoAHIALABjACwAIABcAG4AIAAgACAAIAAgACAAIAAgAEkATgBEAEUAWAAoAHsAXABuACAAIAAgACAAIAAgACAAIAAgACAAXAAiAEYAcgBhAGMATABFAEEAQwBIAFwAIgAsADAALgAyADQAXABuACAAIAAgACAAIAAgACAAIAB9ACwAIAByACwAIABjACkAXABuACAAIAAgACAAIAAgACkAXABuACAAIAAgACAAKQBcAG4AIAAgACkAOwBcAG4AXABuACAAIABDAG8AbQBtAG8AbgBfAFMAbwB1AHIAYwBlAEQAYQB0AGEAXwBGAHIAYQBjAEwARQBBAEMASABfAFYAYQByAGkAYQB0AGkAbwBuAFwAbgAgACAAPQBMAEEATQBCAEQAQQAoACgAXAAiAFwAIgApACkAOwBcAG4AXABuAFwAbgBcAG4ALwAqACAAXABuAC0ALQAtAC0ALQAtAC0ALQAtAC0ALQAtAC0ALQAtAC0ALQAtAC0ALQAtAC0ALQAtAC0ALQAtAC0ALQAtAC0ALQAtAC0ALQAtAC0ALQBcAG4AQwBvAG0AbQBvAG4AXwBTAG8AdQByAGMAZQBEAGEAdABhAF8ARQBGAGwAZQBhAGMAaABcAG4ANQAuADUALgAyAC4AMwAgAEMAbwBuAHMAdABhAG4AdAAgAFAAYQByAGEAbQBlAHQAZQByAHMAXABuAEUAbQBpAHMAcwBpAG8AbgAgAGYAYQBjAHQAbwByACAAZgBvAHIAIABuAGkAdAByAG8AZwBlAG4AIABsAGUAYQBjAGgAaQBuAGcAIABhAG4AZAAgAHIAdQBuAG8AZgBmAFwAbgAtAC0ALQAtAC0ALQAtAC0ALQAtAC0ALQAtAC0ALQAtAC0ALQAtAC0ALQAtAC0ALQAtAC0ALQAtAC0ALQAtAC0ALQAtAC0ALQAtAC0AXABuACoALwBcAG4AXABuAEMAbwBtAG0AbwBuAF8AUwBvAHUAcgBjAGUARABhAHQAYQBfAEUARgBsAGUAYQBjAGgAXwBUAGkAdABsAGUAXABuACAAIAA9AEwAQQBNAEIARABBACgAXAAiAEUAbQBpAHMAcwBpAG8AbgAgAGYAYQBjAHQAbwByACAAZgBvAHIAIABuAGkAdAByAG8AZwBlAG4AIABsAGUAYQBjAGgAaQBuAGcAIABhAG4AZAAgAHIAdQBuAG8AZgBmAFwAIgApADsAXABuAFwAbgBDAG8AbQBtAG8AbgBfAFMAbwB1AHIAYwBlAEQAYQB0AGEAXwBFAEYAbABlAGEAYwBoAF8AVQBuAGkAdABcAG4AIAAgAD0ATABBAE0AQgBEAEEAKABcACIAKABrAGcAIABOADIATwAtAE4AIAAvACAAawBnACAATgBcACIAKQA7AFwAbgBcAG4AQwBvAG0AbQBvAG4AXwBTAG8AdQByAGMAZQBEAGEAdABhAF8ARQBGAGwAZQBhAGMAaABfAFMAbwB1AHIAYwBlAFwAbgAgACAAPQBMAEEATQBCAEQAQQAoAFwAIgBWAEUARQBSAEcAIAAyADAAMgA2ADoANQAuADUALgAyAC4AMwAgAEMAbwBuAHMAdABhAG4AdAAgAFAAYQByAGEAbQBlAHQAZQByAHMAXAAiACkAOwBcAG4AXABuAEMAbwBtAG0AbwBuAF8AUwBvAHUAcgBjAGUARABhAHQAYQBfAEUARgBsAGUAYQBjAGgAXwBOAEkAUgBSAGUAZgBlAHIAZQBuAGMAZQBcAG4AIAAgAD0ATABBAE0AQgBEAEEAKABcACIATgBhAHQAaQBvAG4AYQBsACAASQBuAHYAZQBuAHQAbwByAHkAIABSAGUAcABvAHIAdAAgAFYAbwBsAHUAbQBlACAAMQA6ACAARQBxAHUAYQB0AGkAbwBuACAAMwAuAEQALgBCAF8AMQAwAFwAIgApADsAXABuAFwAbgBDAG8AbQBtAG8AbgBfAFMAbwB1AHIAYwBlAEQAYQB0AGEAXwBFAEYAbABlAGEAYwBoAF8ARABhAHQAYQBcAG4AIAAgAD0ATABBAE0AQgBEAEEAKABcAG4AIAAgACAAIABNAEEASwBFAEEAUgBSAEEAWQAoADEALAAgADIALAAgAFwAbgAgACAAIAAgACAAIABMAEEATQBCAEQAQQAoAHIALABjACwAIABcAG4AIAAgACAAIAAgACAAIAAgAEkATgBEAEUAWAAoAHsAXABuACAAIAAgACAAIAAgACAAIAAgACAAXAAiAEUARgBsAGUAYQBjAGgAXAAiACwAMAAuADAAMQAxAFwAbgAgACAAIAAgACAAIAAgACAAfQAsACAAcgAsACAAYwApAFwAbgAgACAAIAAgACAAIAApAFwAbgAgACAAIAAgACkAXABuACAAIAApADsAXABuAFwAbgAgACAAQwBvAG0AbQBvAG4AXwBTAG8AdQByAGMAZQBEAGEAdABhAF8ARQBGAGwAZQBhAGMAaABfAFYAYQByAGkAYQB0AGkAbwBuAFwAbgAgACAAPQBMAEEATQBCAEQAQQAoACgAXAAiAFwAIgApACkAOwBcAG4AXABuAFwAbgAvACoAIABcAG4ALQAtAC0ALQAtAC0ALQAtAC0ALQAtAC0ALQAtAC0ALQAtAC0ALQAtAC0ALQAtAC0ALQAtAC0ALQAtAC0ALQAtAC0ALQAtAC0ALQAtAFwAbgBDAG8AbQBtAG8AbgBfAFMAbwB1AHIAYwBlAEQAYQB0AGEAXwBFAEYATgAyAE8AXABuAFQAYQBiAGwAZQAgAEEALgAyAC4AMgAuADEAXABuAE4AaQB0AHIAbwB1AHMAIABvAHgAaQBkAGUAIABlAG0AaQBzAHMAaQBvAG4AIABmAGEAYwB0AG8AcgBzACAAZgBvAHIAIABpAG4AbwByAGcAYQBuAGkAYwAgAGYAZQByAHQAaQBsAGkAcwBlAHIAIABhAHAAcABsAGkAYwBhAHQAaQBvAG4AIAAoAGsAZwAgAE4AMgBPAC0ATgAvAGsAZwAgAE4AKQAgACgARQBGAE4AMgBPACkAXABuAC0ALQAtAC0ALQAtAC0ALQAtAC0ALQAtAC0ALQAtAC0ALQAtAC0ALQAtAC0ALQAtAC0ALQAtAC0ALQAtAC0ALQAtAC0ALQAtAC0ALQBcAG4AKgAvAFwAbgBcAG4AQwBvAG0AbQBvAG4AXwBTAG8AdQByAGMAZQBEAGEAdABhAF8ARQBGAE4AMgBPAF8AVABpAHQAbABlAFwAbgAgACAAPQBMAEEATQBCAEQAQQAoAFwAIgBOAGkAdAByAG8AdQBzACAAbwB4AGkAZABlACAAZQBtAGkAcwBzAGkAbwBuACAAZgBhAGMAdABvAHIAcwAgAGYAbwByACAAaQBuAG8AcgBnAGEAbgBpAGMAIABmAGUAcgB0AGkAbABpAHMAZQByACAAYQBwAHAAbABpAGMAYQB0AGkAbwBuAFwAIgApADsAXABuAFwAbgBDAG8AbQBtAG8AbgBfAFMAbwB1AHIAYwBlAEQAYQB0AGEAXwBFAEYATgAyAE8AXwBVAG4AaQB0AFwAbgAgACAAPQBMAEEATQBCAEQAQQAoAFwAIgAoAGsAZwAgAE4AMgBPAC0ATgAgAC8AIABrAGcAIABOAFwAIgApADsAXABuAFwAbgBDAG8AbQBtAG8AbgBfAFMAbwB1AHIAYwBlAEQAYQB0AGEAXwBFAEYATgAyAE8AXwBTAG8AdQByAGMAZQBcAG4AIAAgAD0ATABBAE0AQgBEAEEAKABcACIAVgBFAEUAUgBHACAAMgAwADIANgA6ACAAVABhAGIAbABlACAAQQAuADIALgAyAC4AMQBcACIAKQA7AFwAbgBcAG4AQwBvAG0AbQBvAG4AXwBTAG8AdQByAGMAZQBEAGEAdABhAF8ARQBGAE4AMgBPAF8ATgBJAFIAUgBlAGYAZQByAGUAbgBjAGUAXABuACAAIAA9AEwAQQBNAEIARABBACgAXAAiAFwAIgApADsAXABuAFwAbgBDAG8AbQBtAG8AbgBfAFMAbwB1AHIAYwBlAEQAYQB0AGEAXwBFAEYATgAyAE8AXwBEAGEAdABhAFwAbgAgACAAPQBMAEEATQBCAEQAQQAoAFwAbgAgACAAIAAgAE0AQQBLAEUAQQBSAFIAQQBZACgAMQA1ACwAIAA1ACwAIABcAG4AIAAgACAAIAAgACAATABBAE0AQgBEAEEAKAByACwAYwAsACAAXABuACAAIAAgACAAIAAgACAAIABJAE4ARABFAFgAKAB7AFwAbgAgACAAIAAgACAAIAAgACAAIAAgAFwAIgBQAHIAbwBkAHUAYwB0AGkAbwBuACAAcwB5AHMAdABlAG0AIABqAFwAIgAsAFwAIgBFAEYATgAyAE8AXAAiACwAIABcACIAUAByAG8AZAB1AGMAdABpAG8AbgAgAHMAeQBzAHQAZQBtACAAbwBuAGwAeQBcACIALAAgAFwAIgBJAHIAcgBpAGcAYQB0AGkAbwBuACAAbQBlAHQAaABvAGQAXAAiACwAIABcACIAUgBhAGkAbgBmAGEAbABsACAAegBvAG4AZQBcACIAOwBcAG4AIAAgACAAIAAgACAAIAAgACAAIABcACIASQByAHIAaQBnAGEAdABlAGQAIABwAGEAcwB0AHUAcgBlAFwAIgAsADAALgAwADAANQA5ACwAIABcACIAUABhAHMAdAB1AHIAZQBcACIALAAgAFwAIgBBAG4AeQBcACIALAAgAFwAIgBBAG4AeQBcACIAOwBcAG4AIAAgACAAIAAgACAAIAAgACAAIABcACIASQByAHIAaQBnAGEAdABlAGQAIABjAHIAbwBwAFwAIgAsADAALgAwADAANwAsACAAXAAiAEMAcgBvAHAAXAAiACwAIABcACIAQQBuAHkAXAAiACwAIABcACIAQQBuAHkAXAAiADsAXABuACAAIAAgACAAIAAgACAAIAAgACAAXAAiAE4AbwBuAC0AaQByAHIAaQBnAGEAdABlAGQAIABwAGEAcwB0AHUAcgBlAFwAIgAsADAALgAwADAAMQA4ACwAIABcACIAUABhAHMAdAB1AHIAZQBcACIALAAgAFwAIgBOAG8AdAAgAGkAcgByAGkAZwBhAHQAZQBkAFwAIgAsACAAXAAiAEwAbwB3ACAAcgBhAGkAbgBmAGEAbABsAFwAIgA7AFwAbgAgACAAIAAgACAAIAAgACAAIAAgAFwAIgBOAG8AbgAtAGkAcgByAGkAZwBhAHQAZQBkACAAcABhAHMAdAB1AHIAZQBcACIALAAwAC4AMAAwADEAOAAsACAAXAAiAFAAYQBzAHQAdQByAGUAXAAiACwAIABcACIATgBvAHQAIABpAHIAcgBpAGcAYQB0AGUAZABcACIALAAgAFwAIgBIAGkAZwBoACAAcgBhAGkAbgBmAGEAbABsAFwAIgA7AFwAbgAgACAAIAAgACAAIAAgACAAIAAgAFwAIgBOAG8AbgAtAGkAcgByAGkAZwBhAHQAZQBkACAAYwByAG8AcAAgACgAbABvAHcAIAByAGEAaQBuAGYAYQBsAGwAKQBcACIALAAwAC4AMAAwADIAOQAsACAAXAAiAEMAcgBvAHAAXAAiACwAIABcACIATgBvAHQAIABpAHIAcgBpAGcAYQB0AGUAZABcACIALAAgAFwAIgBMAG8AdwAgAHIAYQBpAG4AZgBhAGwAbABcACIAOwBcAG4AIAAgACAAIAAgACAAIAAgACAAIABcACIATgBvAG4ALQBpAHIAcgBpAGcAYQB0AGUAZAAgAGMAcgBvAHAAIAAoAGgAaQBnAGgAIAByAGEAaQBuAGYAYQBsAGwAKQBcACIALAAwAC4AMAAwADgALAAgAFwAIgBDAHIAbwBwAFwAIgAsACAAXAAiAE4AbwB0ACAAaQByAHIAaQBnAGEAdABlAGQAXAAiACwAIABcACIASABpAGcAaAAgAHIAYQBpAG4AZgBhAGwAbABcACIAOwBcAG4AIAAgACAAIAAgACAAIAAgACAAIABcACIAUwB1AGcAYQByAFwAIgAsADAALgAwADEAOQA5ACwAIABcACIAUwB1AGcAYQByAFwAIgAsACAAXAAiAEEAbgB5AFwAIgAsACAAXAAiAEEAbgB5AFwAIgA7AFwAbgAgACAAIAAgACAAIAAgACAAIAAgAFwAIgBDAG8AdAB0AG8AbgBcACIALAAwAC4AMAAwADUAMwAsACAAXAAiAEMAbwB0AHQAbwBuAFwAIgAsACAAXAAiAEEAbgB5AFwAIgAsACAAXAAiAEEAbgB5AFwAIgA7AFwAbgAgACAAIAAgACAAIAAgACAAIAAgAFwAIgBIAG8AcgB0AGkAYwB1AGwAdAB1AHIAYQBsACAAYwByAG8AcABzAFwAIgAsADAALgAwADAANgA0ACwAIABcACIASABvAHIAdABpAGMAdQBsAHQAdQByAGEAbAAgAGMAcgBvAHAAcwBcACIALAAgAFwAIgBBAG4AeQBcACIALAAgAFwAIgBBAG4AeQBcACIAOwBcAG4AIAAgACAAIAAgACAAIAAgACAAIABcACIAUgBpAGMAZQAgACgAYwBvAG4AdABpAG4AdQBvAHUAcwAgAGYAbABvAG8AZABpAG4AZwApAFwAIgAsADAALgAwADAAMwAsACAAXAAiAFIAaQBjAGUAXAAiACwAIABcACIAQwBvAG4AdABpAG4AdQBvAHUAcwAgAGYAbABvAG8AZABpAG4AZwBcACIALAAgAFwAIgBBAG4AeQBcACIAOwBcAG4AIAAgACAAIAAgACAAIAAgACAAIABcACIAUgBpAGMAZQAgACgAcwBpAG4AZwBsAGUAIABhAG4AZAAgAG0AdQBsAHQAaQBwAGwAZQAgAGQAcgBhAGkAbgBhAGcAZQAsACAAbwByACAAYQBsAHQAZQByAG4AYQB0AGUAIAB3AGUAdAB0AGkAbgBnACAAYQBuAGQAIABkAHIAeQBpAG4AZwApAFwAIgAsADAALgAwADAANQAsACAAXAAiAFIAaQBjAGUAXAAiACwAIABcACIAUwBpAG4AZwBsAGUAIABhAG4AZAAgAG0AdQBsAHQAaQBwAGwAZQAgAGQAcgBhAGkAbgBhAGcAZQAsACAAbwByACAAYQBsAHQAZQByAG4AYQB0AGUAIAB3AGUAdAB0AGkAbgBnACAAYQBuAGQAIABkAHIAeQBpAG4AZwBcACIALAAgAFwAIgBBAG4AeQBcACIAOwBcAG4AIAAgACAAIAAgACAAIAAgACAAIABcACIAQQBxAHUAYQBjAHUAbAB0AHUAcgBlAFwAIgAsADAALgAwADAAMgA2ACwAIABcACIAQQBxAHUAYQBjAHUAbAB0AHUAcgBlAFwAIgAsACAAXAAiAEEAbgB5AFwAIgAsACAAXAAiAEEAbgB5AFwAIgA7AFwAbgAgACAAIAAgACAAIAAgACAAIAAgAFwAIgBGAG8AcgBlAHMAdAByAHkAXAAiACwAMAAuADAAMAAxADgALAAgAFwAIgBGAG8AcgBlAHMAdAByAHkAXAAiACwAIABcACIAQQBuAHkAXAAiACwAIABcACIAQQBuAHkAXAAiAFwAbgAgACAAIAAgACAAIAAgACAAfQAsACAAcgAsACAAYwApAFwAbgAgACAAIAAgACAAIAApAFwAbgAgACAAIAAgACkAXABuACAAIAApADsAXABuAFwAbgAgACAAQwBvAG0AbQBvAG4AXwBTAG8AdQByAGMAZQBEAGEAdABhAF8ARQBGAE4AMgBPAF8AVgBhAHIAaQBhAHQAaQBvAG4AXABuACAAIAA9AEwAQQBNAEIARABBACgAXABuACAAIAAgACAATQBBAEsARQBBAFIAUgBBAFkAKAA1ACwAIAAxACwAIABcAG4AIAAgACAAIAAgACAATABBAE0AQgBEAEEAKAByACwAYwAsACAAXABuACAAIAAgACAAIAAgACAAIABJAE4ARABFAFgAKAB7AFwAbgAgACAAIAAgACAAIAAgACAAIAAgAFwAIgBWAEEAUgBJAEEAVABJAE8ATgAgAE8ARgAgAFMATwBVAFIAQwBFACAARABBAFQAQQA6AFwAIgA7AFwAbgAgACAAIAAgACAAIAAgACAAIAAgAFwAIgBSAGUAbQBvAHYAZQBkACAAZAB1AHAAbABpAGMAYQB0AGUAIABcAHUAMAAwADIANwBBAHEAdQBhAGMAdQBsAHQAdQByAGUAXAB1ADAAMAAyADcAIAByAG8AdwAuAFwAIgA7AFwAbgAgACAAIAAgACAAIAAgACAAIAAgAFwAIgBSAGUAbQBvAHYAZQBkACAAYQBzAHQAZQByAGkAcwBrAHMAIAB0AG8AIABhAGkAZAAgAGwAbwBvAGsAdQBwAC4AXAAiADsAXABuACAAIAAgACAAIAAgACAAIAAgACAAXAAiAEEAZABkAGUAZAAgAFwAdQAwADAAMgA3AHAAcgBvAGQAdQBjAHQAaQBvAG4AIABzAHkAcwB0AGUAbQAgAG8AbgBsAHkAXAB1ADAAMAAyADcALAAgAFwAdQAwADAAMgA3AHIAYQBpAG4AZgBhAGwAbAAgAHoAbwBuAGUAXAB1ADAAMAAyADcAIABhAG4AZAAgAFwAdQAwADAAMgA3AGkAcgByAGkAZwBhAHQAaQBvAG4AIABtAGUAdABoAG8AZABcAHUAMAAwADIANwAgAGMAbwBsAHUAbQBuAHMAIAB0AG8AIABhAGkAZAAgAGwAbwBvAGsAdQBwAC4AXAAiADsAXABuACAAIAAgACAAIAAgACAAIAAgACAAXAAiAEQAdQBwAGwAaQBjAGEAdABlAGQAIABcAHUAMAAwADIANwBuAG8AbgAtAGkAcgByAGkAZwBhAHQAZQBkACAAcABhAHMAdAB1AHIAZQBcAHUAMAAwADIAN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BcAHUAMAAwADIANwBBAHIAZQBhAHMAIABhAHIAZQAgAHMAdQBiAGoAZQBjAHQAIAB0AG8AIABsAGUAYQBjAGgAaQBuAGcAIAAoAGkALgBlAC4ALAAgAGkAbgAgAHQAaABlACAAbABlAGEAYwBoAGkAbgBnACAAegBvAG4AZQApACAAdwBoAGUAbgAuAC4ALgAgAHQAaABlACAAbABhAG4AZAAgAGkAcwAgAGkAcgByAGkAZwBhAHQAZQBkACAAKABlAHgAYwBlAHAAdAAgAGQAcgBpAHAAIABpAHIAcgBpAGcAYQB0AGkAbwBuACkALgBcAHUAMAAwADIANwBcACIAKQA7AFwAbgBcAG4AXABuAC8AKgAgAFwAbgAtAC0ALQAtAC0ALQAtAC0ALQAtAC0ALQAtAC0ALQAtAC0ALQAtAC0ALQAtAC0ALQAtAC0ALQAtAC0ALQAtAC0ALQAtAC0ALQAtAC0AXABuAEMAbwBtAG0AbwBuAF8AUwBvAHUAcgBjAGUARABhAHQAYQBfAEUARgBQAGEAcwB0AHUAcgBlAFIAYQBuAGcAZQBBAG4AZABQAGEAZABkAG8AYwBrAFwAbgBUAGEAYgBsAGUAIABBAC4AMgAuADIALgAyADoAIABFAG0AaQBzAHMAaQBvAG4AIABmAGEAYwB0AG8AcgAgAGYAbwByACAAdQByAGkAbgBlACAAYQBuAGQAIABkAHUAbgBnACAAZABlAHAAbwBzAGkAdABlAGQAIABvAG4AIABwAGEAcwB0AHUAcgBlACwAIAByAGEAbgBnAGUAIABvAHIAIABwAGEAZABkAG8AYwBrACAAKABrAGcAIABOADIATwAtAE4ALwBrAGcAIABOACkAIAAoAEUARgBQAFIAUAApAFwAbgAtAC0ALQAtAC0ALQAtAC0ALQAtAC0ALQAtAC0ALQAtAC0ALQAtAC0ALQAtAC0ALQAtAC0ALQAtAC0ALQAtAC0ALQAtAC0ALQAtAC0AXABuACoALwBcAG4AXABuAEMAbwBtAG0AbwBuAF8AUwBvAHUAcgBjAGUARABhAHQAYQBfAEUARgBQAGEAcwB0AHUAcgBlAFIAYQBuAGcAZQBBAG4AZABQAGEAZABkAG8AYwBrAF8AVABpAHQAbABlAFwAbgAgACAAPQBMAEEATQBCAEQAQQAoAFwAIgBFAG0AaQBzAHMAaQBvAG4AIABmAGEAYwB0AG8AcgAgAGYAbwByACAAdQByAGkAbgBlACAAYQBuAGQAIABkAHUAbgBnACAAZABlAHAAbwBzAGkAdABlAGQAIABvAG4AIABwAGEAcwB0AHUAcgBlACwAIAByAGEAbgBnAGUAIABvAHIAIABwAGEAZABkAG8AYwBrAFwAIgApADsAXABuAFwAbgBDAG8AbQBtAG8AbgBfAFMAbwB1AHIAYwBlAEQAYQB0AGEAXwBFAEYAUABhAHMAdAB1AHIAZQBSAGEAbgBnAGUAQQBuAGQAUABhAGQAZABvAGMAawBfAFUAbgBpAHQAXABuACAAIAA9AEwAQQBNAEIARABBACgAXAAiAGsAZwAgAE4AMgBPACAALQAgAE4AIAAvACAAawBnACAATgBcACIAKQA7AFwAbgBcAG4AQwBvAG0AbQBvAG4AXwBTAG8AdQByAGMAZQBEAGEAdABhAF8ARQBGAFAAYQBzAHQAdQByAGUAUgBhAG4AZwBlAEEAbgBkAFAAYQBkAGQAbwBjAGsAXwBTAG8AdQByAGMAZQBcAG4AIAAgAD0ATABBAE0AQgBEAEEAKABcACIAVgBFAEUAUgBHACAAMgAwADIANgA6ACAAVABhAGIAbABlACAAQQAuADIALgAyAC4AMgBcACIAKQA7AFwAbgBcAG4AQwBvAG0AbQBvAG4AXwBTAG8AdQByAGMAZQBEAGEAdABhAF8ARQBGAFAAYQBzAHQAdQByAGUAUgBhAG4AZwBlAEEAbgBkAFAAYQBkAGQAbwBjAGsAXwBOAEkAUgBSAGUAZgBlAHIAZQBuAGMAZQBcAG4AIAAgAD0ATABBAE0AQgBEAEEAKABcACIAXAAiACkAOwBcAG4AXABuAEMAbwBtAG0AbwBuAF8AUwBvAHUAcgBjAGUARABhAHQAYQBfAEUARgBQAGEAcwB0AHUAcgBlAFIAYQBuAGcAZQBBAG4AZABQAGEAZABkAG8AYwBr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QAFIAUABcACIAOwBcAG4AIAAgACAAIAAgACAAIAAgACAAIABcACIAVwBlAHQAIABjAGwAaQBtAGEAdABlACAAegBvAG4AZQBcACIALAAgADAALgAwADAANgA7AFwAbgAgACAAIAAgACAAIAAgACAAIAAgAFwAIgBEAHIAeQAgAGMAbABpAG0AYQB0AGUAIAB6AG8AbgBlAFwAIgAsACAAMAAuADAAMAAyAFwAbgAgACAAIAAgACAAIAAgACAAfQAsACAAcgAsACAAYwApAFwAbgAgACAAIAAgACAAIAApAFwAbgAgACAAIAAgACkAXABuACAAIAApADsAXABuAFwAbgAgACAAQwBvAG0AbQBvAG4AXwBTAG8AdQByAGMAZQBEAGEAdABhAF8ARQBGAFAAYQBzAHQAdQByAGUAUgBhAG4AZwBlAEEAbgBkAFAAYQBkAGQAbwBjAGsAXwBWAGEAcgBpAGEAdABpAG8AbgBcAG4AIAAgAD0ATABBAE0AQgBEAEEAKABcACIAVgBBAFIASQBBAFQASQBPAE4AIABGAFIATwBNACAAUwBPAFUAUgBDAEUAIABEAEEAVABBADoAIABDAGgAYQBuAGcAZQBkACAAXAB1ADAAMAAyADcARAByAHkAIABjAGwAaQBtAGEAdABlACAAegBvAG4AZQBzAFwAdQAwADAAMgA3ACAAdABvACAAcwBpAG4AZwB1AGwAYQByACAAXAB1ADAAMAAyADcARAByAHkAIABjAGwAaQBtAGEAdABlACAAegBvAG4AZQBcAHUAMAAwADIAN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g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FwAdQAwADAAMwBjADEAIABtAG8AbgB0AGgAXAAiACwAIABcACIARABlAGUAcAAgAEwAaQB0AHQAZQByAFwAIgAsACAAXAAiAFAAbwB1AGwAdAByAHkAIABNAGEAbgB1AHIAZQAgACgAdwBpAHQAaAAvAHcAaQB0AGgAbwB1AHQAIABsAGkAdAB0AGUAcgApAFwAIgAsACAAXAAiAFwAIgAsACAAXAAiAEQAaQByAGUAYwB0ACAAcAByAG8AYwBlAHMAcwBpAG4AZwAgAGkAbgB0AG8AIABwAGUAbABsAGUAdABpAHoAZQBkACAAZgBlAHIAdABpAGwAaQBzAGUAcgBcACIALAAgAFwAIgBEAGkAcgBlAGMAdAAgAGEAcABwAGwAaQBjAGEAdABpAG8AbgAgAHQAbwAgAHMAbwBpAGwAXAAiACwAIABcACIAUABhAHMAdAB1AHIAZQAsACAAUgBhAG4AZwBlACAAYQBuAGQAIABQAGEAZABkAG8AYwBrACAAKABjACkAKABkACkAXAAiACwAIABcACIATQBBAFQAIAByAGEAdwBcACIAOwBcAG4AIAAgACAAIAAgACAAIAAgACAAIABcACIAQwBvAG8AbABcACIALAAgAFwAIgBkIjEAMABcACIALAAgADAALgA2ADYALAAgADAALgAxACwAIAAwAC4AMQAsACAAMAAuADAAMAAxACwAIAAwAC4AMAAwADUALAAgADAALgAwADIALAAgADAALgAwADMALAAgADAALgAwADQALAAgADAALgAwADEANQAsACAAMAAuADAAMQA1ACwAIAAwACwAIAAwACwAIAAwAC4AMAAwADQANwAsACAAMQAwADsAXABuACAAIAAgACAAIAAgACAAIAAgACAAXAAiAEMAbwBvAGwAXAAiACwAIAAxADEALAAgADAALgA2ADgALAAgADAALgAxACwAIAAwAC4AMQAxACwAIAAwAC4AMAAwADEALAAgADAALgAwADAANQAsACAAMAAuADAAMgAsACAAMAAuADAAMwAsACAAMAAuADAANAAsACAAMAAuADAAMQA1ACwAIAAwAC4AMAAxADUALAAgADAALAAgADAALAAgADAALgAwADAANAA3ACwAIAAxADEAOwBcAG4AIAAgACAAIAAgACAAIAAgACAAIABcACIAQwBvAG8AbABcACIALAAgADEAMgAsACAAMAAuADcALAAgADAALgAxACwAIAAwAC4AMQAzACwAIAAwAC4AMAAwADEALAAgADAALgAwADAANQAsACAAMAAuADAAMgAsACAAMAAuADAAMwAsACAAMAAuADAANAAsACAAMAAuADAAMQA1ACwAIAAwAC4AMAAxADUALAAgADAALAAgADAALAAgADAALgAwADAANAA3ACwAIAAxADIAOwBcAG4AIAAgACAAIAAgACAAIAAgACAAIABcACIAQwBvAG8AbABcACIALAAgADEAMwAsACAAMAAuADcAMQAsACAAMAAuADEALAAgADAALgAxADQALAAgADAALgAwADAAMQAsACAAMAAuADAAMAA1ACwAIAAwAC4AMAAyACwAIAAwAC4AMAAzACwAIAAwAC4AMAA0ACwAIAAwAC4AMAAxADUALAAgADAALgAwADEANQAsACAAMAAsACAAMAAsACAAMAAuADAAMAA0ADcALAAgADEAMwA7AFwAbgAgACAAIAAgACAAIAAgACAAIAAgAFwAIgBDAG8AbwBsAFwAIgAsACAAMQA0ACwAIAAwAC4ANwAzACwAIAAwAC4AMQAsACAAMAAuADEANQAsACAAMAAuADAAMAAxACwAIAAwAC4AMAAwADUALAAgADAALgAwADIALAAgADAALgAwADMALAAgADAALgAwADQALAAgADAALgAwADEANQAsACAAMAAuADAAMQA1ACwAIAAwACwAIAAwACwAIAAwAC4AMAAwADQANwAsACAAMQA0ADsAXABuACAAIAAgACAAIAAgACAAIAAgACAAXAAiAFQAZQBtAHAAZQByAGEAdABlAFwAIgAsACAAMQA1ACwAIAAwAC4ANwA0ACwAIAAwAC4AMQAsACAAMAAuADEANwAsACAAMAAuADAAMAA1ACwAIAAwAC4AMAAxACwAIAAwAC4AMAAyACwAIAAwAC4AMAAzACwAIAAwAC4AMAA0ACwAIAAwAC4AMAAxADUALAAgADAALgAwADEANQAsACAAMAAsACAAMAAsACAAMAAuADAAMAA0ADcALAAgADEANQA7AFwAbgAgACAAIAAgACAAIAAgACAAIAAgAFwAIgBUAGUAbQBwAGUAcgBhAHQAZQBcACIALAAgADEANgAsACAAMAAuADcANQAsACAAMAAuADEALAAgADAALgAxADgALAAgADAALgAwADAANQAsACAAMAAuADAAMQAsACAAMAAuADAAMgAsACAAMAAuADAAMwAsACAAMAAuADAANAAsACAAMAAuADAAMQA1ACwAIAAwAC4AMAAxADUALAAgADAALAAgADAALAAgADAALgAwADAANAA3ACwAIAAxADYAOwBcAG4AIAAgACAAIAAgACAAIAAgACAAIABcACIAVABlAG0AcABlAHIAYQB0AGUAXAAiACwAIAAxADcALAAgADAALgA3ADYALAAgADAALgAxACwAIAAwAC4AMgAsACAAMAAuADAAMAA1ACwAIAAwAC4AMAAxACwAIAAwAC4AMAAyACwAIAAwAC4AMAAzACwAIAAwAC4AMAA0ACwAIAAwAC4AMAAxADUALAAgADAALgAwADEANQAsACAAMAAsACAAMAAsACAAMAAuADAAMAA0ADcALAAgADEANwA7AFwAbgAgACAAIAAgACAAIAAgACAAIAAgAFwAIgBUAGUAbQBwAGUAcgBhAHQAZQBcACIALAAgADEAOAAsACAAMAAuADcANwAsACAAMAAuADEALAAgADAALgAyADIALAAgADAALgAwADAANQAsACAAMAAuADAAMQAsACAAMAAuADAAMgAsACAAMAAuADAAMwAsACAAMAAuADAANAAsACAAMAAuADAAMQA1ACwAIAAwAC4AMAAxADUALAAgADAALAAgADAALAAgADAALgAwADAANAA3ACwAIAAxADgAOwBcAG4AIAAgACAAIAAgACAAIAAgACAAIABcACIAVABlAG0AcABlAHIAYQB0AGUAXAAiACwAIAAxADkALAAgADAALgA3ADcALAAgADAALgAxACwAIAAwAC4AMgA0ACwAIAAwAC4AMAAwADUALAAgADAALgAwADEALAAgADAALgAwADIALAAgADAALgAwADMALAAgADAALgAwADQALAAgADAALgAwADEANQAsACAAMAAuADAAMQA1ACwAIAAwACwAIAAwACwAIAAwAC4AMAAwADQANwAsACAAMQA5ADsAXABuACAAIAAgACAAIAAgACAAIAAgACAAXAAiAFQAZQBtAHAAZQByAGEAdABlAFwAIgAsACAAMgAwACwAIAAwAC4ANwA4ACwAIAAwAC4AMQAsACAAMAAuADIANgAsACAAMAAuADAAMAA1ACwAIAAwAC4AMAAxACwAIAAwAC4AMAAyACwAIAAwAC4AMAAzACwAIAAwAC4AMAA0ACwAIAAwAC4AMAAxADUALAAgADAALgAwADEANQAsACAAMAAsACAAMAAsACAAMAAuADAAMAA0ADcALAAgADIAMAA7AFwAbgAgACAAIAAgACAAIAAgACAAIAAgAFwAIgBUAGUAbQBwAGUAcgBhAHQAZQBcACIALAAgADIAMQAsACAAMAAuADcAOAAsACAAMAAuADEALAAgADAALgAyADkALAAgADAALgAwADAANQAsACAAMAAuADAAMQAsACAAMAAuADAAMgAsACAAMAAuADAAMwAsACAAMAAuADAANAAsACAAMAAuADAAMQA1ACwAIAAwAC4AMAAxADUALAAgADAALAAgADAALAAgADAALgAwADAANAA3ACwAIAAyADEAOwBcAG4AIAAgACAAIAAgACAAIAAgACAAIABcACIAVABlAG0AcABlAHIAYQB0AGUAXAAiACwAIAAyADIALAAgADAALgA3ADgALAAgADAALgAxACwAIAAwAC4AMwAxACwAIAAwAC4AMAAwADUALAAgADAALgAwADEALAAgADAALgAwADIALAAgADAALgAwADMALAAgADAALgAwADQALAAgADAALgAwADEANQAsACAAMAAuADAAMQA1ACwAIAAwACwAIAAwACwAIAAwAC4AMAAwADQANwAsACAAMgAyADsAXABuACAAIAAgACAAIAAgACAAIAAgACAAXAAiAFQAZQBtAHAAZQByAGEAdABlAFwAIgAsACAAMgAzACwAIAAwAC4ANwA5ACwAIAAwAC4AMQAsACAAMAAuADMANAAsACAAMAAuADAAMAA1ACwAIAAwAC4AMAAxACwAIAAwAC4AMAAyACwAIAAwAC4AMAAzACwAIAAwAC4AMAA0ACwAIAAwAC4AMAAxADUALAAgADAALgAwADEANQAsACAAMAAsACAAMAAsACAAMAAuADAAMAA0ADcALAAgADIAMwA7AFwAbgAgACAAIAAgACAAIAAgACAAIAAgAFwAIgBUAGUAbQBwAGUAcgBhAHQAZQBcACIALAAgADIANAAsACAAMAAuADcAOQAsACAAMAAuADEALAAgADAALgAzADcALAAgADAALgAwADAANQAsACAAMAAuADAAMQAsACAAMAAuADAAMgAsACAAMAAuADAAMwAsACAAMAAuADAANAAsACAAMAAuADAAMQA1ACwAIAAwAC4AMAAxADUALAAgADAALAAgADAALAAgADAALgAwADAANAA3ACwAIAAyADQAOwBcAG4AIAAgACAAIAAgACAAIAAgACAAIABcACIAVABlAG0AcABlAHIAYQB0AGUAXAAiACwAIAAyADUALAAgADAALgA3ADkALAAgADAALgAxACwAIAAwAC4ANAAxACwAIAAwAC4AMAAwADUALAAgADAALgAwADEALAAgADAALgAwADIALAAgADAALgAwADMALAAgADAALgAwADQALAAgADAALgAwADEANQAsACAAMAAuADAAMQA1ACwAIAAwACwAIAAwACwAIAAwAC4AMAAwADQANwAsACAAMgA1ADsAXABuACAAIAAgACAAIAAgACAAIAAgACAAXAAiAFcAYQByAG0AXAAiACwAIAAyADYALAAgADAALgA3ADkALAAgADAALgAxACwAIAAwAC4ANAA0ACwAIAAwAC4AMAAxACwAIAAwAC4AMAAxADUALAAgADAALgAwADIALAAgADAALgAwADMALAAgADAALgAwADQALAAgADAALgAwADEANQAsACAAMAAuADAAMQA1ACwAIAAwACwAIAAwACwAIAAwAC4AMAAwADQANwAsACAAMgA2ADsAXABuACAAIAAgACAAIAAgACAAIAAgACAAXAAiAFcAYQByAG0AXAAiACwAIAAyADcALAAgADAALgA4ACwAIAAwAC4AMQAsACAAMAAuADQAOAAsACAAMAAuADAAMQAsACAAMAAuADAAMQA1ACwAIAAwAC4AMAAyACwAIAAwAC4AMAAzACwAIAAwAC4AMAA0ACwAIAAwAC4AMAAxADUALAAgADAALgAwADEANQAsACAAMAAsACAAMAAsACAAMAAuADAAMAA0ADcALAAgADIANwA7AFwAbgAgACAAIAAgACAAIAAgACAAIAAgAFwAIgBXAGEAcgBtAFwAIgAsACAAXAAiAGUiMgA4AFwAIgAsACAAMAAuADgALAAgADAALgAxACwAIAAwAC4ANQAsACAAMAAuADAAMQAsACAAMAAuADAAMQA1ACwAIAAwAC4AMAAyACwAIAAwAC4AMAAzACwAIAAwAC4AMAA0ACwAIAAwAC4AMAAxADUALAAgADAALgAwADEANQAsACAAMAAsACAAMAAsACAAMAAuADAAMAA0ADcALAAgADIAOAA7AFwAbgAgACAAIAAgACAAIAAgACAAIAAgAFwAIgBcACIALAAgAFwAIgBcACIALAAgAFwAIgBBAG4AYQBlAHIAbwBiAGkAYwAgAGwAYQBnAG8AbwBuAFwAIgAsACAAXAAiAEQAaQBnAGUAcwB0AGUAcgAgAC8AIABjAG8AdgBlAHIAZQBkACAAbABhAGcAbwBvAG4AcwBcACIALAAgAFwAIgBMAGkAcQB1AGkAZAAgAHMAeQBzAHQAZQBtAHMAXAAiACwAIABcACIARABhAGkAbAB5ACAAcwBwAHIAZQBhAGQAXAAiACwAIABcACIAQwBvAG0AcABvAHMAdABpAG4AZwAgACgAcABhAHMAcwBpAHYAZQAgAHcAaQBuAGQAcgBvAHcAKQBcACIALAAgAFwAIgBTAG8AbABpAGQAIABzAHQAbwByAGEAZwBlAFwAIgAsACAAXAAiAFAAaQB0ACAAcwB0AG8AcgBhAGcAZQBcACIALAAgAFwAIgBEAGUAZQBwACAAbABpAHQAdABlAHIAXAAiACwAIABcACIAUABvAHUAbAB0AHIAeQAgAG0AYQBuAHUAcgBlACAAdwBpAHQAaAAgAGIAZQBkAGQAaQBuAGcAXAAiACwAIABcACIAUABvAHUAbAB0AHIAeQAgAG0AYQBuAHUAcgBlACAAdwBpAHQAaABvAHUAdAAgAGIAZQBkAGQAaQBuAGcAXAAiACwAIABcACIARABpAHIAZQBjAHQAIABwAHIAbwBjAGUAcwBzAGkAbgBnAFwAIgAsACAAXAAiAEQAaQByAGUAYwB0ACAAYQBwAHAAbABpAGMAYQB0AGkAbwBuAFwAIgAsACAAXAAiAFAAYQBzAHQAdQByAGUAIAByAGEAbgBnAGUAIABhAG4AZAAgAHAAYQBkAGQAbwBjAGsAXAAiACwAIABcACIATQBBAFQAIAByAGEAdwBcACIAIABcAG4AIAAgACAAIAAgACAAIAAgAH0ALAAgAHIALAAgAGMAKQBcAG4AIAAgACAAIAAgACAAKQBcAG4AIAAgACAAIAApAFwAbgAgACAAKQA7AFwAbgBcAG4AQwBvAG0AbQBvAG4AXwBTAG8AdQByAGMAZQBEAGEAdABhAF8ATQBDAEYAVABlAG0AcABlAHIAYQB0AHUAcgBlAFoAbwBuAGUAXwBWAGEAcgBpAGEAdABpAG8AbgBcAG4AIAAgAD0ATABBAE0AQgBEAEEAKABcACIAVgBBAFIASQBBAFQASQBPAE4AIABGAFIATwBNACAAUwBPAFUAUgBDAEUAOgAgAEEAZABkAGUAZAAgAHIAbwB3ACAAbwBmACAATgBJAFIAIABNAE0AQQAgAGQAZQBmAGkAbgBpAHQAaQBvAG4AcwAgAHQAbwAgAGEAaQBkACAAbABvAG8AawB1AHAALgAgAEQAdQBwAGwAaQBjAGEAdABlAGQAIABcAHUAMAAwADIANwBQAG8AdQBsAHQAcgB5ACAAdwBpAHQAaAAgAGEAbgBkACAAdwBpAHQAaABvAHUAdAAgAGwAaQB0AHQAZQByAFwAdQAwADAAMgA3ACAAYwBvAGwAdQBtAG4AIAB3AGkAdABoACAAcwBlAHAAYQByAGEAdABlACAATgBJAFIAIABkAGUAZgBpAG4AaQB0AGkAbwBuAHMAIAB0AG8AIABhAGkAZAAgAGwAbwBvAGsAdQBwAC4AIABBAGQAZABlAGQAIABcAHUAMAAwADIANwBNAEEAVAAgAHIAYQB3AFwAdQAwADAAMgA3ACAAYwBvAGwAdQBtAG4AIAB0AG8AIABhAGwAbABvAHcAIABsAG8AbwBrAHUAcAAgAG8AZgAgAG4AdQBtAGIAZQByAHMALgBcACIAKQA7AFwAbgBcAG4AXABuAFwAbgAvACoAIABcAG4ALQAtAC0ALQAtAC0ALQAtAC0ALQAtAC0ALQAtAC0ALQAtAC0ALQAtAC0ALQAtAC0ALQAtAC0ALQAtAC0ALQAtAC0ALQAtAC0ALQAtAFwAbgBDAG8AbQBtAG8AbgBfAFMAbwB1AHIAYwBlAEQAYQB0AGEAXwBFAEYATwByAGcAYQBuAGkAYwBGAGUAcgB0AGkAbABpAHMAZQByAEEAbgBkAEMAcgBvAHAAUgBlAHMAaQBkAHUAZQBzAFwAbgAtAC0ALQAtAC0ALQAtAC0ALQAtAC0ALQAtAC0ALQAtAC0ALQAtAC0ALQAtAC0ALQAtAC0ALQAtAC0ALQAtAC0ALQAtAC0ALQAtAC0AXABuACoALwBcAG4AXABuAEMAbwBtAG0AbwBuAF8AUwBvAHUAcgBjAGUARABhAHQAYQBfAEUARgBPAHIAZwBhAG4AaQBjAEYAZQByAHQAaQBsAGkAcwBlAHIAQQBuAGQAQwByAG8AcABSAGUAcwBpAGQAdQBlAHMAXwBUAGkAdABsAGUAXABuACAAIAA9AEwAQQBNAEIARABBACgAXAAiAEUAbQBpAHMAcwBpAG8AbgAgAGYAYQBjAHQAbwByACAAZgBvAHIAIABvAHIAZwBhAG4AaQBjACAAZgBlAHIAdABpAGwAaQBzAGUAcgAgAGEAbgBkACAAYwByAG8AcAAgAHIAZQBzAGkAZAB1AGUAcwAgAHIAZQB0AHUAcgBuAGUAZAAgAHQAbwAgAHQAaABlACAAcwBvAGkAbABcACIAKQA7AFwAbgBcAG4AQwBvAG0AbQBvAG4AXwBTAG8AdQByAGMAZQBEAGEAdABhAF8ARQBGAE8AcgBnAGEAbgBpAGMARgBlAHIAdABpAGwAaQBzAGUAcgBBAG4AZABDAHIAbwBwAFIAZQBzAGkAZAB1AGUAcwBfAFYAYQByAGkAYQBiAGwAZQBcAG4AIAAgAD0ATABBAE0AQgBEAEEAKABcACIARQBGAE4AaQAgAFwAdQAwADAAMgA2ACAARQBGAE4AMgBPAGkAXAAiACkAOwBcAG4AXABuAEMAbwBtAG0AbwBuAF8AUwBvAHUAcgBjAGUARABhAHQAYQBfAEUARgBPAHIAZwBhAG4AaQBjAEYAZQByAHQAaQBsAGkAcwBlAHIAQQBuAGQAQwByAG8AcABSAGUAcwBpAGQAdQBlAHMAXwBVAG4AaQB0AFwAbgAgACAAPQBMAEEATQBCAEQAQQAoAFwAIgBrAGcAIABOADIATwAgAC0AIABOACAALwAgAGsAZwAgAE4AXAAiACkAOwBcAG4AXABuAEMAbwBtAG0AbwBuAF8AUwBvAHUAcgBjAGUARABhAHQAYQBfAEUARgBPAHIAZwBhAG4AaQBjAEYAZQByAHQAaQBsAGkAcwBlAHIAQQBuAGQAQwByAG8AcABSAGUAcwBpAGQAdQBlAHMAXwBTAG8AdQByAGMAZQBcAG4AIAAgAD0ATABBAE0AQgBEAEEAKABcACIAVgBFAEUAUgBHACAAMgAwADIANgA6ACAAVABhAGIAbABlACAAQQAuADIALgAxAC4ANABcACIAKQA7AFwAbgBcAG4AQwBvAG0AbQBvAG4AXwBTAG8AdQByAGMAZQBEAGEAdABhAF8ARQBGAE8AcgBnAGEAbgBpAGMARgBlAHIAdABpAGwAaQBzAGUAcgBBAG4AZABDAHIAbwBwAFIAZQBzAGkAZAB1AGUAcwBfAE4ASQBSAFIAZQBmAGUAcgBlAG4AYwBlAFwAbgAgACAAPQBMAEEATQBCAEQAQQAoAFwAIgBcACIAKQA7AFwAbgBcAG4AQwBvAG0AbQBvAG4AXwBTAG8AdQByAGMAZQBEAGEAdABhAF8ARQBGAE8AcgBnAGEAbgBpAGMARgBlAHIAdABpAGwAaQBzAGUAcgBBAG4AZABDAHIAbwBwAFIAZQBzAGkAZAB1AGUAc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TgBpACAAXAB1ADAAMAAyADYAIABFAEYATgAyAE8AXAAiADsAXABuACAAIAAgACAAIAAgACAAIAAgACAAXAAiAFcAZQB0ACAAYwBsAGkAbQBhAHQAZQAgAHoAbwBuAGUAXAAiACwAIAAwAC4AMAAwADYAOwBcAG4AIAAgACAAIAAgACAAIAAgACAAIABcACIARAByAHkAIABjAGwAaQBtAGEAdABlACAAegBvAG4AZQBcACIALAAgADAALgAwADAANQBcAG4AIAAgACAAIAAgACAAIAAgAH0ALAAgAHIALAAgAGMAKQBcAG4AIAAgACAAIAAgACAAKQBcAG4AIAAgACAAIAApAFwAbgAgACAAKQA7AFwAbgBcAG4AQwBvAG0AbQBvAG4AXwBTAG8AdQByAGMAZQBEAGEAdABhAF8ARQBGAE8AcgBnAGEAbgBpAGMARgBlAHIAdABpAGwAaQBzAGUAcgBBAG4AZABDAHIAbwBwAFIAZQBzAGkAZAB1AGUAcwBfAFYAYQByAGkAYQB0AGkAbwBuAFwAbgAgACAAPQBMAEEATQBCAEQAQQAoAFwAIgBcACIAKQA7AFwAbgBcAG4AXABuAFwAbgBcAG4AXABuAFwAbgBcAG4AXABuAFwAbgBcAG4AXABuAFwAbgBcAG4AXABuAFwAbgBcAG4AIgB9ACwAewAiAHAAYQB0AGgAIgA6ACIALwBwAHIAbwBqAGUAYwB0AHMALwBDAG8AbQBtAG8AbgBfAEUAcQB1AGEAdABpAG8AbgBzACIALAAiAHQAZQB4AHQAIgA6ACIAXABuAC8AKgAgAFwAbgAtAC0ALQAtAC0ALQAtAC0ALQAtAC0ALQAtAC0ALQAtAC0ALQAtAC0ALQAtAC0ALQAtAC0ALQAtAC0ALQAtAC0ALQAtAC0ALQAtAC0AXABuAEMAbwBtAG0AbwBuAF8AQwBvAG4AdgBlAHIAdABOADIATwBUAG8AQwBPADIAZQBcAG4AQwBvAG4AdgBlAHIAdAAgAG4AaQB0AHIAbwB1AHMAIABvAHgAaQBkAGUAIABlAG0AaQBzAHMAaQBvAG4AcwAgAHQAbwAgAGMAYQByAGIAbwBuACAAZABpAG8AeABpAGQAZQAgAGUAcQB1AGkAdgBhAGwAZQBuAHQAIABlAG0AaQBzAHMAaQBvAG4AcwBcAG4ARQBOADIATwAgAEMATwAyAGUAXABuAHQAIABDAE8AMgBlAFwAbgBFAE4AMgBPADoAIABuAGkAdAByAG8AdQBzACAAbwB4AGkAZABlACAAZQBtAGkAcwBzAGkAbwBuAHMAIAAoAHQAIABOADIATwApAFwAbgBHAFcAUABOADIATwA6ACAAZwBsAG8AYgBhAGwAIAB3AGEAcgBtAGkAbgBnACAAcABvAHQAZQBuAHQAaQBhAGwAIABmAG8AcgAgAG4AaQB0AHIAbwB1AHMAIABvAHgAaQBkAGUAIAAoAHQAIABDAE8AMgAtAGUAIAAvACAAdAAgAE4AMgBPACkAXABuAC0ALQAtAC0ALQAtAC0ALQAtAC0ALQAtAC0ALQAtAC0ALQAtAC0ALQAtAC0ALQAtAC0ALQAtAC0ALQAtAC0ALQAtAC0ALQAtAC0ALQBcAG4AKgAvAFwAbgBcAG4AXABuAEMAbwBtAG0AbwBuAF8AQwBvAG4AdgBlAHIAdABOADIATwBUAG8AQwBPADIAZQBcAG4AIAAgAD0ATABBAE0AQgBEAEEAKABcAG4AIAAgACAAIABFAF8ATgAyAE8ALAAgAEcAVwBQAF8ATgAyAE8ALABcAG4AIAAgACAAIABFAF8ATgAyAE8AIAAqACAARwBXAFAAXwBOADIATwBcAG4AIAAgACkAXABuADsAXABuAFwAbgBDAG8AbQBtAG8AbgBfAEMAbwBuAHYAZQByAHQATgAyAE8AVABvAEMATwAyAGUAXwBUAGkAdABsAGUAXABuACAAIAA9AEwAQQBNAEIARABBACgAXAAiAEMAbwBuAHYAZQByAHQAIABuAGkAdAByAG8AdQBzACAAbwB4AGkAZABlACAAZQBtAGkAcwBzAGkAbwBuAHMAIAB0AG8AIABjAGEAcgBiAG8AbgAgAGQAaQBvAHgAaQBkAGUAIABlAHEAdQBpAHYAYQBsAGUAbgB0ACAAZQBtAGkAcwBzAGkAbwBuAHMAXAAiACkAOwBcAG4AXABuAEMAbwBtAG0AbwBuAF8AQwBvAG4AdgBlAHIAdABOADIATwBUAG8AQwBPADIAZQBfAFYAYQByAGkAYQBiAGwAZQBcAG4AIAAgAD0ATABBAE0AQgBEAEEAKABcACIARQBOADIATwAgAEMATwAyAGUAXAAiACkAOwBcAG4AXABuAEMAbwBtAG0AbwBuAF8AQwBvAG4AdgBlAHIAdABOADIATwBUAG8AQwBPADIAZQBfAFUAbgBpAHQAXABuACAAIAA9AEwAQQBNAEIARABBACgAXAAiAHQAIABDAE8AMgBlAFwAIgApADsAXABuAFwAbgBDAG8AbQBtAG8AbgBfAEMAbwBuAHYAZQByAHQATgAyAE8AVABvAEMATwAyAGUAXwBOAEkAUgBSAGUAZgBlAHIAZQBuAGMAZQBcAG4AIAAgAD0ATABBAE0AQgBEAEEAKABcACIAXAAiACkAOwBcAG4AXABuAEMAbwBtAG0AbwBuAF8AQwBvAG4AdgBlAHIAdABOADIATwBUAG8AQwBPADIAZQBfAEwAYQB0AGUAeABFAHEAdQBhAHQAaQBvAG4AXABuACAAIAA9AEwAQQBNAEIARABBACgAXAAiAEMATwAyAF8AZQAgAD0AIABFAF8AewBOADIATwB9ACAAXABcAHQAaQBtAGUAcwAgAEcAVwBQAF8AewBOADIATwB9AFwAIgApADsAXABuAFwAbgBDAG8AbQBtAG8AbgBfAEMAbwBuAHYAZQByAHQATgAyAE8AVABvAEMATwAyAGUAXwBBAHIAZwB1AG0AZQBuAHQAcwBcAG4AIAAgAD0ATABBAE0AQgBEAEEAKABcAG4AIAAgACAAIABNAEEASwBFAEEAUgBSAEEAWQAoADIALAAgADIALAAgAFwAbgAgACAAIAAgACAAIABMAEEATQBCAEQAQQAoAHIALABjACwAIABcAG4AIAAgACAAIAAgACAAIAAgAEkATgBEAEUAWAAoAHsAXABuACAAIAAgACAAIAAgACAAIAAgACAAXAAiAEUATgAyAE8AXAAiACwAXAAiAE4AaQB0AHIAbwB1AHMAIABvAHgAaQBkAGUAIABlAG0AaQBzAHMAaQBvAG4AcwAgACgAdAAgAE4AMgBPACkAXAAiADsAXABuACAAIAAgACAAIAAgACAAIAAgACAAXAAiAEcAVwBQAE4AMgBPAFwAIgAsAFwAIgBHAGwAbwBiAGEAbAAgAHcAYQByAG0AaQBuAGcAIABwAG8AdABlAG4AdABpAGEAbAAgAGYAbwByACAAbgBpAHQAcgBvAHUAcwAgAG8AeABpAGQAZQAgACgAdAAgAEMATwAyAC0AZQAgAC8AIAB0ACAATgAyAE8AKQBcACIAXABuACAAIAAgACAAIAAgACAAIAB9ACwAIAByACwAIABjACkAXABuACAAIAAgACAAIAAgACkAXABuACAAIAAgACAAKQBcAG4AIAAgACkAOwBcAG4AXABuAC8AKgAgAFwAbgAtAC0ALQAtAC0ALQAtAC0ALQAtAC0ALQAtAC0ALQAtAC0ALQAtAC0ALQAtAC0ALQAtAC0ALQAtAC0ALQAtAC0ALQAtAC0ALQAtAC0AXABuAEMAbwBtAG0AbwBuAF8AQwBvAG4AdgBlAHIAdABDAEgANABUAG8AQwBPADIAZQBcAG4AQwBvAG4AdgBlAHIAdAAgAG0AZQB0AGgAYQBuAGUAIABlAG0AaQBzAHMAaQBvAG4AcwAgAHQAbwAgAGMAYQByAGIAbwBuACAAZABpAG8AeABpAGQAZQAgAGUAcQB1AGkAdgBhAGwAZQBuAHQAIABlAG0AaQBzAHMAaQBvAG4AcwBcAG4ARQBDAEgANAAgAEMATwAyAGUAXABuAHQAIABDAE8AMgBlAFwAbgBFAEMASAA0ADoAIABtAGUAdABoAGEAbgBlACAAZQBtAGkAcwBzAGkAbwBuAHMAIAAoAHQAIABDAEgANAApAFwAbgBHAFcAUABDAEgANAA6ACAAZwBsAG8AYgBhAGwAIAB3AGEAcgBtAGkAbgBnACAAcABvAHQAZQBuAHQAaQBhAGwAIABmAG8AcgAgAG0AZQB0AGgAYQBuAGUAIAAoAHQAIABDAE8AMgAtAGUAIAAvACAAdAAgAEMASAA0ACkAXABuAC0ALQAtAC0ALQAtAC0ALQAtAC0ALQAtAC0ALQAtAC0ALQAtAC0ALQAtAC0ALQAtAC0ALQAtAC0ALQAtAC0ALQAtAC0ALQAtAC0ALQBcAG4AKgAvAFwAbgBcAG4AXABuAEMAbwBtAG0AbwBuAF8AQwBvAG4AdgBlAHIAdABDAEgANABUAG8AQwBPADIAZQBcAG4AIAAgAD0ATABBAE0AQgBEAEEAKABcAG4AIAAgACAAIABFAF8AQwBIADQALAAgAEcAVwBQAF8AQwBIADQALABcAG4AIAAgACAAIABFAF8AQwBIADQAIAAqACAARwBXAFAAXwBDAEgANABcAG4AIAAgACkAXABuADsAXABuAFwAbgBDAG8AbQBtAG8AbgBfAEMAbwBuAHYAZQByAHQAQwBIADQAVABvAEMATwAyAGUAXwBUAGkAdABsAGUAXABuACAAIAA9AEwAQQBNAEIARABBACgAXAAiAEMAbwBuAHYAZQByAHQAIABtAGUAdABoAGEAbgBlACAAZQBtAGkAcwBzAGkAbwBuAHMAIAB0AG8AIABjAGEAcgBiAG8AbgAgAGQAaQBvAHgAaQBkAGUAIABlAHEAdQBpAHYAYQBsAGUAbgB0ACAAZQBtAGkAcwBzAGkAbwBuAHMAXAAiACkAOwBcAG4AXABuAEMAbwBtAG0AbwBuAF8AQwBvAG4AdgBlAHIAdABDAEgANABUAG8AQwBPADIAZQBfAFYAYQByAGkAYQBiAGwAZQBcAG4AIAAgAD0ATABBAE0AQgBEAEEAKABcACIARQBDAEgANAAgAEMATwAyAGUAXAAiACkAOwBcAG4AXABuAEMAbwBtAG0AbwBuAF8AQwBvAG4AdgBlAHIAdABDAEgANABUAG8AQwBPADIAZQBfAFUAbgBpAHQAXABuACAAIAA9AEwAQQBNAEIARABBACgAXAAiAHQAIABDAE8AMgBlAFwAIgApADsAXABuAFwAbgBDAG8AbQBtAG8AbgBfAEMAbwBuAHYAZQByAHQAQwBIADQAVABvAEMATwAyAGUAXwBOAEkAUgBSAGUAZgBlAHIAZQBuAGMAZQBcAG4AIAAgAD0ATABBAE0AQgBEAEEAKABcACIAXAAiACkAOwBcAG4AXABuAEMAbwBtAG0AbwBuAF8AQwBvAG4AdgBlAHIAdABDAEgANABUAG8AQwBPADIAZQBfAEwAYQB0AGUAeABFAHEAdQBhAHQAaQBvAG4AXABuACAAIAA9AEwAQQBNAEIARABBACgAXAAiAEMATwAyAF8AZQAgAD0AIABFAF8AewBDAEgANAB9ACAAXABcAHQAaQBtAGUAcwAgAEcAVwBQAF8AewBDAEgANAB9AFwAIgApADsAXABuAFwAbgBDAG8AbQBtAG8AbgBfAEMAbwBuAHYAZQByAHQAQwBIADQAVABvAEMATwAyAGUAXwBBAHIAZwB1AG0AZQBuAHQAcwBcAG4AIAAgAD0ATABBAE0AQgBEAEEAKABcAG4AIAAgACAAIABNAEEASwBFAEEAUgBSAEEAWQAoADIALAAgADIALAAgAFwAbgAgACAAIAAgACAAIABMAEEATQBCAEQAQQAoAHIALABjACwAIABcAG4AIAAgACAAIAAgACAAIAAgAEkATgBEAEUAWAAoAHsAXABuACAAIAAgACAAIAAgACAAIAAgACAAXAAiAEUAQwBIADQAXAAiACwAXAAiAE0AZQB0AGgAYQBuAGUAIABlAG0AaQBzAHMAaQBvAG4AcwAgACgAdAAgAEMASAA0ACkAXAAiADsAXABuACAAIAAgACAAIAAgACAAIAAgACAAXAAiAEcAVwBQAEMASAA0AFwAIgAsAFwAIgBHAGwAbwBiAGEAbAAgAHcAYQByAG0AaQBuAGcAIABwAG8AdABlAG4AdABpAGEAbAAgAGYAbwByACAAbQBlAHQAaABhAG4AZQAgACgAdAAgAEMATwAyAC0AZQAgAC8AIAB0ACAAQwBIADQAKQBcACIAXABuACAAIAAgACAAIAAgACAAIAB9ACwAIAByACwAIABjACkAXABuACAAIAAgACAAIAAgACkAXABuACAAIAAgACAAKQBcAG4AIAAgACkAOwAiAH0ALAB7ACIAcABhAHQAaAAiADoAIgAvAHAAcgBvAGoAZQBjAHQAcwAvAEMAbwBtAG0AbwBuAF8ASQBuAHAAdQB0AEYAdQBuAGMAdABpAG8AbgBzACIALAAiAHQAZQB4AHQAIgA6ACIAVQB0AGkAbABpAHQAeQBfAEcAZQB0AEEAcgByAGEAeQBUAGEAYgBsAGUAUgBvAHcAUwB0AGEAcgB0AE4AdQBtAGIAZQByAFwAbgA9AEwAQQBNAEIARABBACgAXABuACAAIAAgACAAVABhAGIAbABlAGgAZQBhAGQAZQByAEMAZQBsAGwALABSAG8AdwBzAEIAZQB0AHcAZQBlAG4ASABlAGEAZABlAHIAYQBuAGQAQQByAHIAYQB5ACwAXABuACAAIAAgACAAUgBPAFcAKABUAGEAYgBsAGUAaABlAGEAZABlAHIAQwBlAGwAbAApACAAKwAgAFIAbwB3AHMAQgBlAHQAdwBlAGUAbgBIAGUAYQBkAGUAcgBhAG4AZABBAHIAcgBhAHkAIAAtACAAMQBcAG4AKQA7AFwAbgBcAG4AVQB0AGkAbABpAHQAeQBfAEcAZQB0AEEAcgByAGEAeQBUAGEAYgBsAGUAQwBvAGwAdQBtAG4AUwB0AGEAcgB0AE4AdQBtAGIAZQByAFwAbgA9AEwAQQBNAEIARABBACgAXABuACAAIABUAGEAYgBsAGUASABlAGEAZABlAHIAQwBlAGwAbAAsAFwAbgAgACAAQwBPAEwAVQBNAE4AKABUAGEAYgBsAGUASABlAGEAZABlAHIAQwBlAGwAbAApAFwAbgApADsAXABuAFwAbgBVAHQAaQBsAGkAdAB5AF8ARABpAHMAcABsAGEAeQBBAHIAcgBhAHkASQBuAFQAYQBiAGwAZQBcAG4APQBMAEEATQBCAEQAQQAoAFwAbgAgAEEAcgByAGEAeQBEAGEAdABhACwAIABUAGEAYgBsAGUAaABlAGEAZABlAHIAQwBlAGwAbAAsACAAUgBvAHcAcwBCAGUAdAB3AGUAZQBuAEgAZQBhAGQAZQByAGEAbgBkAEEAcgByAGEAeQAsACAAWwBDAG8AbAB1AG0AbgBzAEIAZQB0AHcAZQBlAG4ASABlAGEAZABlAHIAQQBuAGQAQQByAHIAYQB5AF0ALABcAG4AIABJAEYARQBSAFIATwBSACgAXABuACAAIAAgACAAIABJAE4ARABFAFgAKABcAG4AIAAgACAAIAAgACAAIAAgACAAIAAgACAAVQBOAEkAUQBVAEUAKABBAHIAcgBhAHkARABhAHQAYQApACwAIABcAG4AIAAgACAAIAAgACAAIAAgACAAIAAgACAAUgBPAFcAKAApAC0AVQB0AGkAbABpAHQAeQBfAEcAZQB0AEEAcgByAGEAeQBUAGEAYgBsAGUAUgBvAHcAUwB0AGEAcgB0AE4AdQBtAGIAZQByACgAVABhAGIAbABlAGgAZQBhAGQAZQByAEMAZQBsAGwALAAgAFIAbwB3AHMAQgBlAHQAdwBlAGUAbgBIAGUAYQBkAGUAcgBhAG4AZABBAHIAcgBhAHkAKQAsACAAXABuACAAIAAgACAAIAAgACAAIAAgACAAIAAgAEMATwBMAFUATQBOACgAKQAtAFUAdABpAGwAaQB0AHkAXwBHAGUAdABBAHIAcgBhAHkAVABhAGIAbABlAEMAbwBsAHUAbQBuAFMAdABhAHIAdABOAHUAbQBiAGUAcgAoAFQAYQBiAGwAZQBoAGUAYQBkAGUAcgBDAGUAbABsACkAIAArAFwAbgAgACAAIAAgACAAIAAgACAAIAAgACAAIABJAEYAKABJAFMATwBNAEkAVABUAEUARAAoAEMAbwBsAHUAbQBuAHMAQgBlAHQAdwBlAGUAbgBIAGUAYQBkAGUAcgBBAG4AZABBAHIAcgBhAHkAKQAsACAAMQAsACAAQwBvAGwAdQBtAG4AcwBCAGUAdAB3AGUAZQBuAEgAZQBhAGQAZQByAEEAbgBkAEEAcgByAGEAeQApAFwAbgAgACAAIAAgACAAIAAgACAAKQAsACAAXAAiAFwAIgBcAG4AIAAgACAAIAApAFwAbgApADsAXABuAFwAbgBVAHQAaQBsAGkAdAB5AF8ATABvAG8AawB1AHAAVgBhAGwAdQBlAEkAbgBUAGEAYgBsAGUAXABuAD0ATABBAE0AQgBEAEEAKABcAG4AIAAgACAAIABMAG8AbwBrAHUAcABWAGEAbAB1AGUALAAgAEwAbwBvAGsAdQBwAEEAcgByAGEAeQAsACAAUgBlAHQAdQByAG4AQQByAHIAYQB5ACwAXABuACAAIAAgACAAWABMAE8ATwBLAFUAUAAoAEwAbwBvAGsAdQBwAFYAYQBsAHUAZQAsACAATABvAG8AawB1AHAAQQByAHIAYQB5ACwAIABSAGUAdAB1AHIAbgBBAHIAcgBhAHkALAAgAFwAIgBcACIAKQBcAG4AKQA7AFwAbgBcAG4AVQB0AGkAbABpAHQAeQBfAEwAbwBvAGsAdQBwAFYAYQBsAHUAZQBJAG4AVABhAGIAbABlAE4AdQBtAGIAZQByAFwAbgA9AEwAQQBNAEIARABBACgAXABuACAAIAAgACAATABvAG8AawB1AHAAVgBhAGwAdQBlACwAIABMAG8AbwBrAHUAcABBAHIAcgBhAHkALAAgAFIAZQB0AHUAcgBuAEEAcgByAGEAeQAsAFwAbgAgACAAIAAgAEkARgAoAEkAUwBOAFUATQBCAEUAUgAoAFwAbgAgACAAIAAgACAAIAAgACAAWABMAE8ATwBLAFUAUAAoAEwAbwBvAGsAdQBwAFYAYQBsAHUAZQAsACAATABvAG8AawB1AHAAQQByAHIAYQB5ACwAIABSAGUAdAB1AHIAbgBBAHIAcgBhAHkALAAgAFwAIgBcACIAKQBcAG4AIAAgACAAIAApACwAIABYAEwATwBPAEsAVQBQACgATABvAG8AawB1AHAAVgBhAGwAdQBlACwAIABMAG8AbwBrAHUAcABBAHIAcgBhAHkALAAgAFIAZQB0AHUAcgBuAEEAcgByAGEAeQAsACAAXAAiAFwAIgApACwAIAAwACkAXABuACkAOwBcAG4AXABuAFUAdABpAGwAaQB0AHkAXwBMAG8AbwBrAHUAcABWAGEAbAB1AGUASQBuAFQAYQBiAGwAZQBUAHcAbwBDAG8AbAB1AG0AbgBzAFwAbgA9AEwAQQBNAEIARABBACgAXABuACAAIAAgACAATABvAG8AawB1AHAAVgBhAGwAdQBlADEALAAgAEwAbwBvAGsAdQBwAFYAYQBsAHUAZQAyACwAIABMAG8AbwBrAHUAcABBAHIAcgBhAHkAMQAsACAATABvAG8AawB1AHAAQQByAHIAYQB5ADIALAAgAFIAZQB0AHUAcgBuAEEAcgByAGEAeQAsACAAWwBWAGEAbAB1AGUASQBGAEYAYQBsAHMAZQBdACwAXABuACAAIAAgACAAWABMAE8ATwBLAFUAUAAoADEALAAgACgATABvAG8AawB1AHAAQQByAHIAYQB5ADEAPQBMAG8AbwBrAHUAcABWAGEAbAB1AGUAMQApACoAKABMAG8AbwBrAHUAcABBAHIAcgBhAHkAMgA9AEwAbwBvAGsAdQBwAFYAYQBsAHUAZQAyACkALAAgAFIAZQB0AHUAcgBuAEEAcgByAGEAeQAsACAASQBGACgASQBTAE8ATQBJAFQAVABFAEQAKABWAGEAbAB1AGUASQBGAEYAYQBsAHMAZQApACwAIABcACIAXAAiACwAIABWAGEAbAB1AGUASQBGAEYAYQBsAHMAZQApACkAXABuACkAOwBcAG4AXABuAFUAdABpAGwAaQB0AHkAXwBMAG8AbwBrAHUAcABWAGEAbAB1AGUASQBuAFQAYQBiAGwAZQBPAG4AZQBDAG8AbAB1AG0AbgBBAG4AZABIAGUAYQBkAGUAcgBcAG4APQBMAEEATQBCAEQAQQAoAFwAbgAgACAAIAAgAEwAbwBvAGsAdQBwAFYAYQBsAHUAZQAxACwAIABMAG8AbwBrAHUAcABWAGEAbAB1AGUAMgAsACAATABvAG8AawB1AHAAQQByAHIAYQB5ADEALAAgAEwAbwBvAGsAdQBwAEEAcgByAGEAeQAyACwAIABSAGUAdAB1AHIAbgBBAHIAcgBhAHkALAAgAFsAVgBhAGwAdQBlAEkAZgBGAGEAbABzAGUAXQAsAFwAbgAgACAAIAAgAEkARgBFAFIAUgBPAFIAKABcAG4AIAAgACAAIAAgACAAIAAgAFgATABPAE8ASwBVAFAAKABMAG8AbwBrAHUAcABWAGEAbAB1AGUAMQAsACAATABvAG8AawB1AHAAQQByAHIAYQB5ADEALABcAG4AIAAgACAAIAAgACAAIAAgACAAIAAgACAAWABMAE8ATwBLAFUAUAAoAEwAbwBvAGsAdQBwAFYAYQBsAHUAZQAyACwAIABMAG8AbwBrAHUAcABBAHIAcgBhAHkAMgAsACAAUgBlAHQAdQByAG4AQQByAHIAYQB5ACkAXABuACAAIAAgACAAIAAgACAAIAApACwAXABuACAAIAAgACAAIAAgACAAIABJAEYAKABJAFMATwBNAEkAVABUAEUARAAoAFYAYQBsAHUAZQBJAGYARgBhAGwAcwBlACkALAAgAFwAIgBcACIALAAgAFYAYQBsAHUAZQBJAGYARgBhAGwAcwBlACkAXABuACAAIAAgACAAKQBcAG4AKQA7AFwAbgBcAG4AVQB0AGkAbABpAHQAeQBfAFMAcABsAGkAdABTAHQAcgBpAG4AZwBJAG4AdABvAEEAcgByAGEAeQBcAG4APQBMAEEATQBCAEQAQQAoAFwAbgAgACAAIAAgAEMAZQBsAGwALAAgAEQAZQBsAGkAbQBpAHQAZQByACwAIABbAEMAaABhAHIAYQBjAHQAZQByAFQAbwBSAGUAbQBvAHYAZQAxAF0ALAAgAFsAQwBoAGEAcgBhAGMAdABlAHIAVABvAFIAZQBtAG8AdgBlADIAXQAsAFwAbgAgACAAIAAgACAAIAAgACAARgBJAEwAVABFAFIAWABNAEwAKABcAG4AIAAgACAAIAAgACAAIAAgAFwAIgBcAHUAMAAwADMAYwB0AFwAdQAwADAAMwBlAFwAdQAwADAAMwBjAHMAXAB1ADAAMAAzAGUAXAAiACAAXAB1ADAAMAAyADYAXABuACAAIAAgACAAIAAgACAAIABTAFUAQgBTAFQASQBUAFUAVABFACgAXABuACAAIAAgACAAIAAgACAAIAAgACAAIAAgAFMAVQBCAFMAVABJAFQAVQBUAEUAKABTAFUAQgBTAFQASQBUAFUAVABFACgAQwBlAGwAbAAsAEMAaABhAHIAYQBjAHQAZQByAFQAbwBSAGUAbQBvAHYAZQAxACwAXAAiAFwAIgApACwAQwBoAGEAcgBhAGMAdABlAHIAVABvAFIAZQBtAG8AdgBlADIALABcACIAXAAiACkALABcAG4AIAAgACAAIAAgACAAIAAgACAAIAAgACAARABlAGwAaQBtAGkAdABlAHIALABcACIAXAB1ADAAMAAzAGMALwBzAFwAdQAwADAAMwBlAFwAdQAwADAAMwBjAHMAXAB1ADAAMAAzAGUAXAAiAFwAbgAgACAAIAAgACAAIAAgACAAKQAgAFwAdQAwADAAMgA2AFwAbgAgACAAIAAgACAAIAAgACAAXAAiAFwAdQAwADAAMwBjAC8AcwBcAHUAMAAwADMAZQBcAHUAMAAwADMAYwAvAHQAXAB1ADAAMAAzAGUAXAAiACwAXABuACAAIAAgACAAIAAgACAAIABcACIALwAvAHMAXAAiAFwAbgAgACAAIAAgACkAXABuACkAOwBcAG4AXABuAFUAdABpAGwAaQB0AHkAXwBHAGUAdABDAGwAaQBtAGEAdABlAFoAbwBuAGUAXABuAD0ATABBAE0AQgBEAEEAKABcAG4AIAAgACAAIABhAHYAZwBUAGUAbQBwACwAYQB2AGcAUgBhAGkAbgAsAGYAcgBvAHMAdABEAGEAeQBzACwAZQBsAGUAdgAsAG0AYQBwAF8AcABlAHQALABcAG4AIAAgACAAIABtAGkAbgBUAGUAbQBwAEEAcgByAGEAeQAsAG0AYQB4AFQAZQBtAHAAQQByAHIAYQB5ACwAXABuACAAIAAgACAAbQBpAG4AUgBhAGkAbgBmAGEAbABsAEEAcgByAGEAeQAsAG0AYQB4AFIAYQBpAG4AZgBhAGwAbABBAHIAcgBhAHkALABcAG4AIAAgACAAIABtAGkAbgBGAHIAbwBzAHQAQQByAHIAYQB5ACwAbQBhAHgARgByAG8AcwB0AEEAcgByAGEAeQAsAFwAbgAgACAAIAAgAG0AaQBuAEUAbABlAHYAYQB0AGkAbwBuAEEAcgByAGEAeQAsAG0AYQB4AEUAbABlAHYAYQB0AGkAbwBuAEEAcgByAGEAeQAsAFwAbgAgACAAIAAgAG0AaQBuAFAARQBUAEEAcgByAGEAeQAsAG0AYQB4AFAARQBUAEEAcgByAGEAeQAsAFwAbgAgACAAIAAgAGMAbABpAG0AYQB0AGUAWgBvAG4AZQBBAHIAcgBhAHkALABcAG4AIAAgACAAIABMAEUAVAAoAFwAbgAgACAAIAAgACAAIAAgACAAbQBhAHMAawAsAFwAbgAgACAAIAAgACAAIAAgACAAKABWAEEATABVAEUAKABtAGkAbgBUAGUAbQBwAEEAcgByAGEAeQApAFwAdQAwADAAMwBjAD0AYQB2AGcAVABlAG0AcAApACoAXABuACAAIAAgACAAIAAgACAAIAAoAFYAQQBMAFUARQAoAG0AYQB4AFQAZQBtAHAAQQByAHIAYQB5ACkAXAB1ADAAMAAzAGUAPQBhAHYAZwBUAGUAbQBwACkAKgBcAG4AIAAgACAAIAAgACAAIAAgACgAVgBBAEwAVQBFACgAbQBpAG4AUgBhAGkAbgBmAGEAbABsAEEAcgByAGEAeQApAFwAdQAwADAAMwBjAD0AYQB2AGcAUgBhAGkAbgApACoAXABuACAAIAAgACAAIAAgACAAIAAoAFYAQQBMAFUARQAoAG0AYQB4AFIAYQBpAG4AZgBhAGwAbABBAHIAcgBhAHkAKQBcAHUAMAAwADMAZQA9AGEAdgBnAFIAYQBpAG4AKQAqAFwAbgAgACAAIAAgACAAIAAgACAAKABWAEEATABVAEUAKABtAGkAbgBGAHIAbwBzAHQAQQByAHIAYQB5ACkAXAB1ADAAMAAzAGMAPQBmAHIAbwBzAHQARABhAHkAcwApACoAXABuACAAIAAgACAAIAAgACAAIAAoAFYAQQBMAFUARQAoAG0AYQB4AEYAcgBvAHMAdABBAHIAcgBhAHkAKQBcAHUAMAAwADMAZQA9AGYAcgBvAHMAdABEAGEAeQBzACkAKgBcAG4AIAAgACAAIAAgACAAIAAgACgAVgBBAEwAVQBFACgAbQBpAG4ARQBsAGUAdgBhAHQAaQBvAG4AQQByAHIAYQB5ACkAXAB1ADAAMAAzAGMAPQBlAGwAZQB2ACkAKgBcAG4AIAAgACAAIAAgACAAIAAgACgAVgBBAEwAVQBFACgAbQBhAHgARQBsAGUAdgBhAHQAaQBvAG4AQQByAHIAYQB5ACkAXAB1ADAAMAAzAGUAPQBlAGwAZQB2ACkAKgBcAG4AIAAgACAAIAAgACAAIAAgACgAVgBBAEwAVQBFACgAbQBpAG4AUABFAFQAQQByAHIAYQB5ACkAXAB1ADAAMAAzAGMAPQBtAGEAcABfAHAAZQB0ACkAKgBcAG4AIAAgACAAIAAgACAAIAAgACgAVgBBAEwAVQBFACgAbQBhAHgAUABFAFQAQQByAHIAYQB5ACkAXAB1ADAAMAAzAGUAPQBtAGEAcABfAHAAZQB0ACkALABcAG4AIAAgACAAIAAgACAAIAAgAFQAQQBLAEUAKABcAG4AIAAgACAAIAAgACAAIAAgACAAIAAgACAARgBJAEwAVABFAFIAKABjAGwAaQBtAGEAdABlAFoAbwBuAGUAQQByAHIAYQB5ACwAbQBhAHMAawAsACAAXAAiAE4AbwAgAG0AYQB0AGMAaABcACIAKQAsAFwAbgAgACAAIAAgACAAIAAgACAAIAAgACAAIAAxAFwAbgAgACAAIAAgACAAIAAgACAAKQBcAG4AIAAgACAAIAApAFwAbgApADsAXABuAFwAbgBVAHQAaQBsAGkAdAB5AF8ATABvAG8AawB1AHAASQB0AGUAbQBGAHIAbwBtAE0AaQBuAE0AYQB4AFwAbgA9AEwAQQBNAEIARABBACgAXABuACAAIAAgACAATABvAG8AawB1AHAAVgBhAGwAdQBlACwAIABNAGkAbgBBAHIAcgBhAHkALAAgAE0AYQB4AEEAcgByAGEAeQAsACAASQB0AGUAbQBBAHIAcgBhAHkALABcAG4AIAAgACAAIABMAEUAVAAoAFwAbgAgACAAIAAgACAAIAAgACAAbQBhAHMAawAsAFwAbgAgACAAIAAgACAAIAAgACAAKABWAEEATABVAEUAKABNAGkAbgBBAHIAcgBhAHkAKQBcAHUAMAAwADMAYwA9AEwAbwBvAGsAdQBwAFYAYQBsAHUAZQApACoAXABuACAAIAAgACAAIAAgACAAIAAoAFYAQQBMAFUARQAoAE0AYQB4AEEAcgByAGEAeQApAFwAdQAwADAAMwBlAD0ATABvAG8AawB1AHAAVgBhAGwAdQBlACkALABcAG4AIAAgACAAIAAgACAAIAAgAEYASQBMAFQARQBSACgASQB0AGUAbQBBAHIAcgBhAHkALAAgAG0AYQBzAGsALAAgAFwAIgBOAG8AIABtAGEAdABjAGgAXAAiACkAXABuACAAIAAgACAAKQBcAG4AKQA7AFwAbgBcAG4AXABuAFUAdABpAGwAaQB0AHkAXwBTAHUAbQBRAHUAYQBuAHQAaQB0AHkARgByAG8AbQBDAHIAaQB0AGUAcgBpAGEAXABuAD0ATABBAE0AQgBEAEEAKABcAG4AIAAgAEMAcgBpAHQAZQByAGkAYQAxACwAIABDAHIAaQB0AGUAcgBpAGEAMQBUAHkAcABlAEEAcgByAGEAeQAsACAAUQB1AGEAbgB0AGkAdAB5ACwAIABbAE0AdQBsAHQAaQBwAGwAaQBlAHIAXQAsACAAWwBDAHIAaQB0AGUAcgBpAGEAMgBdACwAWwBDAHIAaQB0AGUAcgBpAGEAMgBBAHIAcgBhAHkAXQAsAFwAbgAgACAATABFAFQAKABcAG4AIAAgACAAIABtAHUAbAB0AGkAcABsAGkAZQByACwAIABJAEYAKABJAFMATwBNAEkAVABUAEUARAAoAE0AdQBsAHQAaQBwAGwAaQBlAHIAKQAsADEALABNAHUAbAB0AGkAcABsAGkAZQByACkALABcAG4AIAAgACAAIABxAHUAYQBuAHQAaQB0AHkALAAgAFEAdQBhAG4AdABpAHQAeQAqAE0AdQBsAHQAaQBwAGwAaQBlAHIALABcAG4AIAAgACAAIABjAHIAaQB0AGUAcgBpAGEAMQAsAC0ALQAoAEMAcgBpAHQAZQByAGkAYQAxAFQAeQBwAGUAQQByAHIAYQB5AD0AQwByAGkAdABlAHIAaQBhADEAKQAsAFwAbgAgACAAIAAgAGMAcgBpAHQAZQByAGkAYQAyACwASQBGACgASQBTAE8ATQBJAFQAVABFAEQAKABDAHIAaQB0AGUAcgBpAGEAMgApACwAMQAsAC0ALQAoAEMAcgBpAHQAZQByAGkAYQAyAEEAcgByAGEAeQA9AEMAcgBpAHQAZQByAGkAYQAyACkAKQAsAFwAbgAgACAAIAAgAFMAVQBNAFAAUgBPAEQAVQBDAFQAKABjAHIAaQB0AGUAcgBpAGEAMQAqAGMAcgBpAHQAZQByAGkAYQAyACoAcQB1AGEAbgB0AGkAdAB5ACkAXABuACAAIAApAFwAbgApADsAXABuAFwAbgBnAGUAdABPAHYAZQByAGwAYQBwAHAAaQBuAGcAUgBlAHAAbwByAHQAaQBuAGcAQwB5AGMAbABl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BcAG4AIAAgACAAIAAgACAAIAAgAFAAZQByAGkAbwBkAEUAbgBkACwATABBAE0AQgBEAEEAKABzAHQALABFAEQAQQBUAEUAKABzAHQALAAxADIAKQAtADEAKQAsAFwAbgAgACAAIAAgACAAIAAgACAAQQAsAFMALQAzADYANQAsAFwAbgAgACAAIAAgACAAIAAgACAAeQBhACwAWQBFAEEAUgAoAEEAKQAsAFwAbgAgACAAIAAgACAAIAAgACAAeQBiACwAWQBFAEEAUgAoAEUAKQAsAFwAbgAgACAAIAAgACAAIAAgACAAZgBpAHIAcwB0AFkAZQBhAHIALAB5AGEAKwAoAFAAZQByAGkAbwBkAEUAbgBkACgARABBAFQARQAoAHkAYQAsAG0ALABkACkAKQBcAHUAMAAwADMAYwAgAFMAKQAsAFwAbgAgACAAIAAgACAAIAAgACAAbABhAHMAdABZAGUAYQByACwAeQBiAC0AKABEAEEAVABFACgAeQBiACwAbQAsAGQAKQBcAHUAMAAwADMAZQ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XAB1ADAAMAAyADcAdAAgAG8AdgBlAHIAbABhAHAAOwAgAG0AbwB2AGUAIAB0AG8AIABuAGUAeAB0ACAAeQBlAGEAcgAqAC8AXABuACAAIAAgACAAIAAgACAAIABmAGkAcgBzAHQAWQBlAGEAcgAsAHkAYQArACgAUABlAHIAaQBvAGQARQBuAGQAKABEAEEAVABFACgAeQBhACwAbQAsAGQAKQApAFwAdQAwADAAMwBjAFMAKQAsACAALwAqAGkAZgAgAHQAaABlACAAYQBuAGMAaABvAHIAIABmAG8AcgAgAHkAYgAgAHMAdABhAHIAdABzACAAYQBmAHQAZQByACAARQAsAGkAdAAgAGMAYQBuAFwAdQAwADAAMgA3AHQAIABvAHYAZQByAGwAYQBwADsAIABtAG8AdgBlACAAdABvACAAcAByAGUAdgBpAG8AdQBzACAAeQBlAGEAcgAqAC8AXABuACAAIAAgACAAIAAgACAAIABsAGEAcwB0AFkAZQBhAHIALAB5AGIALQAoAEQAQQBUAEUAKAB5AGIALABtACwAZAApAFwAdQAwADAAMwBlAEUAKQAsAFwAbgAgACAAIAAgACAAIAAgACAAbgAsAE0AQQBYACgAMAAsAGwAYQBzAHQAWQBlAGEAcgAtAGYAaQByAHMAdABZAGUAYQByACsAMQApACwAXABuACAAIAAgACAAIAAgACAAIAB5AHIAcwAsAFMARQBRAFUARQBOAEMARQAoAG4ALAAxACwAZgBpAHIAcwB0AFkAZQBhAHIALAAxACkALABcAG4AIAAgACAAIAAgACAAIAAgAHMAdABhAHIAdABzACwARABBAFQARQAoAHkAcgBzACwAbQAsAGQAKQAsAFwAbgAgACAAIAAgACAAIAAgACAAZQBuAGQAcwAsAE0AQQBQACgAcwB0AGEAcgB0AHMALABQAGUAcgBpAG8AZABFAG4AZAApACwAXABuACAAIAAgACAAIAAgACAAIAB0AGEAZwAsAEkARgAoAHMAdABhAHIAdABzAD0AUgBlAHAAbwByAHQAaQBuAGcAQwB5AGMAbABlAFMAdABhAHIAdAAsAFwAIgAgACgAVABoAGkAcwAgAHIAZQBwAG8AcgB0AGkAbgBnACAAYwB5AGMAbABlACkAXAAiACwAXAAiAFwAIgApACwAXABuACAAIAAgACAAIAAgACAAIABzAHQAYQByAHQAcwBUAGUAeAB0ACwAVABFAFgAVAAoAHMAdABhAHIAdABzACwAXAAiAGQAZAAgAG0AbQBtACAAeQB5AHkAeQBcACIAKQAsAFwAbgAgACAAIAAgACAAIAAgACAAZQBuAGQAcwBUAGUAeAB0ACwAVABFAFgAVAAoAGUAbgBkAHMALABcACIAZABkACAAbQBtAG0AIAB5AHkAeQB5AFwAIgApACwAXABuACAAIAAgACAAIAAgACAAIABJAEYAKABuAD0AMAAsAFwAIgBcACIALABIAFMAVABBAEMASwAoAHMAdABhAHIAdABzAFQAZQB4AHQAIABcAHUAMAAwADIANgAgAFwAIgAgAHQAbwAgAFwAIgAgAFwAdQAwADAAMgA2ACAAZQBuAGQAcwBUAGUAeAB0ACAAXAB1ADAAMAAyADYAIAB0AGEAZwApACkAXABuACAAIAAgACAAKQBcAG4AKQA7AFwAbgBcAG4AVQB0AGkAbABpAHQAeQBfAEQAaQBzAHAAbABhAHkARgB1AG4AYwB0AGkAbwBuAE4AYQBtAGUAXABuAD0ATABBAE0AQgBEAEEAKABGAHUAbgBjAHQAaQBvAG4ALAAgAFQARQBYAFQAQgBFAEYATwBSAEUAKABGAE8AUgBNAFUATABBAFQARQBYAFQAKABGAHUAbgBjAHQAaQBvAG4AKQAsACAAXAAiACgAXAAiACkAKQA7AFwAbgBcAG4AVQB0AGkAbABpAHQAeQBfAEwAbwBvAGsAdQBwAE4AMgBPAEUARgBGAHIAbwBtAFAAcgBvAGQASQByAHIAaQBnAGEAdABpAG8AbgBSAGEAaQBuAGYAYQBsAGwAXABuAD0ATABBAE0AQgBEAEEAKABcAG4AIAAgACAAIABQAHIAbwBkAHUAYwB0AGkAbwBuAFMAeQBzAHQAZQBtACwAIABJAHIAcgBpAGcAYQB0AGkAbwBuAE0AZQB0AGgAbwBkACwAIABSAGEAaQBuAGYAYQBsAGwAWgBvAG4AZQAsAFwAbgAgACAAIAAgAFAAcgBvAGQAdQBjAHQAaQBvAG4AUwB5AHMAdABlAG0AQQByAHIAYQB5ACwAIABJAHIAcgBpAGcAYQB0AGkAbwBuAE0AZQB0AGgAbwBkAEEAcgByAGEAeQAsACAAUgBhAGkAbgBmAGEAbABsAFoAbwBuAGUAQQByAHIAYQB5ACwAUgBlAHQAdQByAG4AQQByAHIAYQB5ACwAXABuACAAIAAgACAATABFAFQAKABcAG4AIAAgACAAIAAgACAAIAAgAEkAcgByAGkAZwBhAHQAaQBvAG4ATQBlAHQAaABvAGQALAAgAEkARgAoAEkAcgByAGkAZwBhAHQAaQBvAG4ATQBlAHQAaABvAGQAPQBcACIATgBvAHQAIABpAHIAcgBpAGcAYQB0AGUAZABcACIALAAgAFwAIgBOAG8AdAAgAGkAcgByAGkAZwBhAHQAZQBkAFwAIgAsACAAXAAiAEEAbgB5AFwAIgApACwAXABuACAAIAAgACAAIAAgACAAIABSAGEAaQBuAGYAYQBsAGwAWgBvAG4AZQAsACAASQBGACgASQByAHIAaQBnAGEAdABpAG8AbgBNAGUAdABoAG8AZAAgAD0AIABcACIATgBvAHQAIABpAHIAcgBpAGcAYQB0AGUAZABcACIALAAgAFIAYQBpAG4AZgBhAGwAbABaAG8AbgBlACwAIABcACIAQQBuAHkAXAAiACkALABcAG4AIAAgACAAIAAgACAAIAAgAFgATABPAE8ASwBVAFAAKAAxACwAIABcAG4AIAAgACAAIAAgACAAIAAgACAAIAAgACAAKABQAHIAbwBkAHUAYwB0AGkAbwBuAFMAeQBzAHQAZQBtAEEAcgByAGEAeQA9AFAAcgBvAGQAdQBjAHQAaQBvAG4AUwB5AHMAdABlAG0AKQAqAFwAbgAgACAAIAAgACAAIAAgACAAIAAgACAAIAAoAEkAcgByAGkAZwBhAHQAaQBvAG4ATQBlAHQAaABvAGQAQQByAHIAYQB5AD0ASQByAHIAaQBnAGEAdABpAG8AbgBNAGUAdABoAG8AZAApACoAXABuACAAIAAgACAAIAAgACAAIAAgACAAIAAgACgAUgBhAGkAbgBmAGEAbABsAFoAbwBuAGUAQQByAHIAYQB5AD0AUgBhAGkAbgBmAGEAbABsAFoAbwBuAGUAKQAsACAAXABuACAAIAAgACAAIAAgACAAIAAgACAAIAAgAFIAZQB0AHUAcgBuAEEAcgByAGEAeQApAFwAbgAgACAAIAAgACkAXABuACkAOwBcAG4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BcAHUAMAAwADMAZQAwACwAIAAxACwAIAAwACkAXABuACAAIAAgACAAKQApADsAXABuAFwAbgBcAG4AVQB0AGkAbABpAHQAeQBfAEMAbwBuAHYAZQByAHQAUwB0AGEAdABlAEMAbwBtAG0AbwBuAE4AYQBtAGUAVABvAEEAYgBiAHIAZQB2AGkAYQB0AGkAbwBuAFwAbgA9AEwAQQBNAEIARABBACgAXABuACAAIAAgACAAUwB0AGEAdABlAEMAbwBtAG0AbwBuAE4AYQBtAGUALABcAG4AIAAgACAAIABTAHQAYQB0AGUAQwBvAG0AbQBvAG4ATgBhAG0AZQBBAHIAcgBhAHkALAAgAFMAdABhAHQAZQBBAGIAYgByAGUAdgBpAGEAdABpAG8AbgBBAHIAcgBhAHkALABcAG4AIAAgACAAIABYAEwATwBPAEsAVQBQACgAUwB0AGEAdABlAEMAbwBtAG0AbwBuAE4AYQBtAGUALAAgAFMAdABhAHQAZQBDAG8AbQBtAG8AbgBOAGEAbQBlAEEAcgByAGEAeQAsACAAUwB0AGEAdABlAEEAYgBiAHIAZQB2AGkAYQB0AGkAbwBuAEEAcgByAGEAeQAsACAAXAAiAFwAIgApAFwAbgApADsAXABuAFwAbgBVAHQAaQBsAGkAdAB5AF8AUwBvAHUAcgBjAGUASAB5AHAAZQByAGwAaQBuAGs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HUAMAAwADIANwBcACIAIABcAHUAMAAwADIANgAgAHMAaAAgAFwAdQAwADAAMgA2ACAAXAAiAFwAdQAwADAAMgA3ACEAXAAiACAAXAB1ADAAMAAyADYAIABhAGQAZAByAFwAbgAgACAAKQBcAG4AKQA7AFwAbgBcAG4AVQB0AGkAbABpAHQAeQBfAFMAbwB1AHIAYwBlAEgAeQBwAGUAcgBsAGkAbgBrAEQAaQBmAGYAZQByAGUAbgB0AFMAaABlAGUAdA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IgAgAFwAdQAwADAAMgA2ACAAYQBkAGQAcgBcAG4AIAAgACkAXABuACkAOwBcAG4AXABuAFUAdABpAGwAaQB0AHkAXwBEAGkAcwBwAGwAYQB5AEEAcgBnAHUAbQBlAG4AdABzAF8AMQBfADIAXABuAD0ATABBAE0AQgBEAEEAKABcAG4AIAAgACAAIABBAHIAZwB1AG0AZQBuAHQAcwBBAHIAcgBhAHkALABcAG4AIAAgACAAIABDAEgATwBPAFMARQBDAE8ATABTACgAQQByAGcAdQBtAGUAbgB0AHMAQQByAHIAYQB5ACwAIAAxACwAIAAyACkAXABuACkAOwBcAG4AXABuAFUAdABpAGwAaQB0AHkAXwBEAGkAcwBwAGwAYQB5AEEAcgBnAHUAbQBlAG4AdABzAF8AMwBfADQAXABuAD0ATABBAE0AQgBEAEEAKABcAG4AIAAgACAAIABBAHIAZwB1AG0AZQBuAHQAcwBBAHIAcgBhAHkALABcAG4AIAAgACAAIABDAEgATwBPAFMARQBDAE8ATABTACgAQQByAGcAdQBtAGUAbgB0AHMAQQByAHIAYQB5ACwAIAAzACwAIAA0ACkAXABuACkAOwBcAG4AXABuAEMAbwBtAG0AbwBuAF8ARwBlAHQATQBDAEYAVABlAG0AcABlAHIAYQB0AHUAcgBlAFoAbwBuAGUAXABuAD0ATABBAE0AQgBEAEEAKABcAG4AIAAgACAAIABUAGUAbQBwAGUAcgBhAHQAdQByAGUALAAgAE0ATQBTACwAIABUAGUAbQBwAGUAcgBhAHQAdQByAGUAQQByAHIAYQB5ACwAIABNAE0AUwBBAHIAcgBhAHkALAAgAFIAZQB0AHUAcgBuAEEAcgByAGEAeQAsAFwAbgAgACAAIAAgAFgATABPAE8ASwBVAFAAKABcAG4AIAAgACAAIAAgACAAIAAgAE0ARQBEAEkAQQBOACgAXABuACAAIAAgACAAIAAgACAAIAAgACAAIAAgAFIATwBVAE4ARAAoAFQAZQBtAHAAZQByAGEAdAB1AHIAZQAsACAAMAApACwAIABcAG4AIAAgACAAIAAgACAAIAAgACAAIAAgACAATQBJAE4AKABUAGUAbQBwAGUAcgBhAHQAdQByAGUAQQByAHIAYQB5ACkALAAgAFwAbgAgACAAIAAgACAAIAAgACAAIAAgACAAIABNAEEAWAAoAFQAZQBtAHAAZQByAGEAdAB1AHIAZQBBAHIAcgBhAHkAKQBcAG4AIAAgACAAIAAgACAAIAAgACkALABcAG4AIAAgACAAIAAgACAAIAAgAFQAZQBtAHAAZQByAGEAdAB1AHIAZQBBAHIAcgBhAHkALABcAG4AIAAgACAAIAAgACAAIAAgAFgATABPAE8ASwBVAFAAKABNAE0AUwAsACAATQBNAFMAQQByAHIAYQB5ACwAIABSAGUAdAB1AHIAbgBBAHIAcgBhAHkAKQBcAG4AIAAgACAAIAApAFwAbgApADsAXABuAFwAbgBcAG4AVQB0AGkAbABpAHQAeQBfAFIAZQBzAHUAbAB0AHMASQB0AGUAbQBGAHIAbwBtAEUAcQB1AGEAdABpAG8AbgBUAGkAdABsAGUAQQBuAGQAUwBvAHUAcgBjAGUAXABuAD0ATABBAE0AQgBEAEEAKABcAG4AIAAgACAAIABUAGkAdABsAGUAQwBlAGwAbAAsACAAUwBvAHUAcgBjAGUAQwBlAGwAbAAsAFwAbgAgACAAIAAgAFMAVQBCAFMAVABJAFQAVQBUAEUAKABMAEUARgBUACgAUwBvAHUAcgBjAGUAQwBlAGwAbAAsACAARgBJAE4ARAAoAFwAIgAsAFwAIgAsACAAUwBvAHUAcgBjAGUAQwBlAGwAbAApACAALQAxACkALAAgAFwAIgBWAEUARQBSAEcAIAAyADAAMgA2ADoAIABcACIALAAgAFwAIgBcACIAKQAgAFwAdQAwADAAMgA2ACAAXAAiACAAXAAiACAAXAB1ADAAMAAyADYAIABUAGkAdABsAGUAQwBlAGwAbABcAG4AKQA7ACIAfQAsAHsAIgBwAGEAdABoACIAOgAiAC8AcAByAG8AagBlAGMAdABzAC8AVwBhAHMAdABlAHcAYQB0AGUAcgBfAE0AZQB0AGgAYQBuAGUAXwBFAHEAdQBhAHQAaQBvAG4AcwAiACwAIgB0AGUAeAB0ACIAOgAiAC8AKgBcAG4APQA9AD0APQA9AD0APQA9AD0APQA9AD0APQA9AD0APQA9AD0APQA9AD0APQA9AD0APQA9AD0APQA9AD0APQA9AD0APQA9AD0APQA9AD0APQA9AD0APQA9AD0APQA9AD0APQA9AD0APQA9AD0APQA9AD0APQA9AD0APQA9AD0APQA9AD0APQA9AD0APQA9AD0APQA9AD0APQBcAG4AMQAxAC4AMQA6ACAAVwBhAHMAdABlAHcAYQB0AGUAcgBcAG4APQA9AD0APQA9AD0APQA9AD0APQA9AD0APQA9AD0APQA9AD0APQA9AD0APQA9AD0APQA9AD0APQA9AD0APQA9AD0APQA9AD0APQA9AD0APQA9AD0APQA9AD0APQA9AD0APQA9AD0APQA9AD0APQA9AD0APQA9AD0APQA9AD0APQA9AD0APQA9AD0APQA9AD0APQA9AD0APQBcAG4AMQAxAC4AMQAuADEALgAxACAATQBlAHQAaABvAGQAIAAxACAALQAgAE0AZQB0AGgAYQBuAGUAIABlAG0AaQBzAHMAaQBvAG4AcwAgAGYAcgBvAG0AIABvAG4AcwBpAHQAZQAgAFcAYQBzAHQAZQB3AGEAdABlAHIAIABNAGEAbgBhAGcAZQBtAGUAbgB0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QAxAF8AMQBfADEAXwAxAF8AXwAxAF8ATQBlAHQAaABhAG4AZQBFAG0AaQBzAHMAaQBvAG4AcwBGAHIAbwBtAFcAYQBzAHQAZQB3AGEAdABlAHIAVAByAGUAYQB0AG0AZQBuAHQAXABuAE0AZQB0AGgAYQBuAGUAIABlAG0AaQBzAHMAaQBvAG4AcwAgAGYAcgBvAG0AIAB3AGEAcwB0AGUAdwBhAHQAZQByACAAdAByAGUAYQB0AG0AZQBuAHQAXABuAEUAXwBDAEgANABcAG4AdAAgAEMASAA0AFwAbgBFAF8AewBDAEgANAB9AD0AXABcAGYAcgBhAGMAewAxAH0AewAxADAAMAAwAH0AXABcAHQAaQBtAGUAcwBcAFwAbABlAGYAdABbAFwAXABsAGUAZgB0ACgAVwBfAHQAXABcAHQAaQBtAGUAcwBcAFwAbABlAGYAdAAoAEMATwBEAF8AewBpAG4AfQBcAFwAdABpAG0AZQBzACgAMQAtAEYAXwB7AHMAbAB1AGQAZwBlAH0AKQAtAEMATwBEAF8AewBvAHUAdAB9AFwAXAByAGkAZwBoAHQAKQBcAFwAdABpAG0AZQBzACAAQwBGAF8AewB3AHcALAB0AH0AXABcAHQAaQBtAGUAcwAgAEUARgBfAHsAdwB3AH0AXABcAHIAaQBnAGgAdAApACsAXABcAGwAZQBmAHQAKABXAF8AdABcAFwAdABpAG0AZQBzAFwAXABsAGUAZgB0ACgAQwBPAEQAXwB7AGkAbgB9AFwAXAB0AGkAbQBlAHMAKABGAF8AewBzAGwAdQBkAGcAZQB9AC0ARgBfAHsAcgBlAG0AbwB2AGUAZAB9ACkAXABcAHIAaQBnAGgAdAApAFwAXAB0AGkAbQBlAHMAIABDAEYAXwB7AHMAbAB1AGQAZwBlACwAdAB9AFwAXAB0AGkAbQBlAHMAIABFAEYAXwB7AHMAbAB1AGQAZwBlAH0AXABcAHIAaQBnAGgAdAApAC0AXABcAGwAZQBmAHQAKAA2AC4ANwA4ADQAXABcAHQAaQBtAGUAcwAgADEAMABeAHsALQA0AH0AXABcAHQAaQBtAGUAcwAoAFEAXwB7AGMAYQBwAH0AKwBRAF8AewBmAGwAYQByAGUAZAB9ACsAUQBfAHsAbwB1AHQAfQApAFwAXAByAGkAZwBoAHQAKQArAFwAXABsAGUAZgB0ACgAUQBfAHsAZgBsAGEAcgBlAGQAfQBcAFwAdABpAG0AZQBzACAARQBDAF8AewBmAGwAYQByAGUAZAB9AFwAXAB0AGkAbQBlAHMAIABFAEYAXwB7AGYAbABhAHIAZQBkACwAQwBIADQAfQBcAFwAcgBpAGcAaAB0ACkAXABcAHIAaQBnAGgAdABdAFwAbgBXAF8AdAAgAD0AIABxAHUAYQBuAHQAaQB0AHkAIABvAGYAIAB3AGEAcwB0AGUAdwBhAHQAZQByACAAdAByAGUAYQB0AGUAZAAgAGEAdAAgAGYAYQBjAGkAbABpAHQAeQAgAHQAeQBwAGUAIAB0ACAAKABtADMAKQBcAG4AQwBPAEQAXwBpAG4AIAA9ACAAYQB2AGUAcgBhAGcAZQAgAGkAbgBsAGUAdAAgAEMAaABlAG0AaQBjAGEAbAAgAE8AeAB5AGcAZQBuACAARABlAG0AYQBuAGQAIABjAG8AbgBjAGUAbgB0AHIAYQB0AGkAbwBuACAAbwBmACAAdwBhAHMAdABlAHcAYQB0AGUAcgAgACgAawBnACAAQwBPAEQALwBtADMAKQBcAG4ARgBfAHMAbAB1AGQAZwBlACAAPQAgAGYAcgBhAGMAdABpAG8AbgAgAG8AZgAgAEMATwBEACAAcgBlAG0AbwB2AGUAZAAgAGYAcgBvAG0AIAB3AGEAcwB0AGUAdwBhAHQAZQByACAAYQBzACAAcwBsAHUAZABnAGUAXABuAEMATwBEAF8AbwB1AHQAIAA9ACAAYQB2AGUAcgBhAGcAZQAgAG8AdQB0AGwAZQB0ACAAQwBPAEQAIABjAG8AbgBjAGUAbgB0AHIAYQB0AGkAbwBuACAAbwBmACAAdwBhAHMAdABlAHcAYQB0AGUAcgAgACgAawBnACAAQwBPAEQALwBtADMAKQBcAG4AQwBGAF8AdwB3AF8AdAAgAD0AIABtAGUAdABoAGEAbgBlACAAYwBvAHIAcgBlAGMAdABpAG8AbgAgAGYAYQBjAHQAbwByACAAZgBvAHIAIABmAGEAYwBpAGwAaQB0AHkAIAB0AHkAcABlACAAdAAgAHUAcwBlAGQAIAB0AG8AIAB0AHIAZQBhAHQAIAB3AGEAcwB0AGUAdwBhAHQAZQByAFwAbgBFAEYAXwB3AHcAIAA9ACAAbQBlAHQAaABhAG4AZQAgAGUAbQBpAHMAcwBpAG8AbgAgAGYAYQBjAHQAbwByACAAZgBvAHIAIAB3AGEAcwB0AGUAdwBhAHQAZQByACAAKABrAGcAIABDAE8AMgBlAC8AawBnACAAQwBPAEQAKQBcAG4ARgBfAHIAZQBtAG8AdgBlAGQAIAA9ACAAZgByAGEAYwB0AGkAbwBuACAAbwBmACAAQwBPAEQAIAByAGUAbQBvAHYAZQBkACAAZgByAG8AbQAgAHQAaABlACAAdwBhAHMAdABlAHcAYQB0AGUAcgAgAHQAcgBlAGEAdABtAGUAbgB0ACAAZgBhAGMAaQBsAGkAdAB5ACAAYQBuAGQAIAB0AHIAYQBuAHMAZgBlAHIAcgBlAGQAIABlAGwAcwBlAHcAaABlAHIAZQBcAG4AQwBGAF8AcwBsAHUAZABnAGUAXwB0ACAAPQAgAG0AZQB0AGgAYQBuAGUAIABjAG8AcgByAGUAYwB0AGkAbwBuACAAZgBhAGMAdABvAHIAIABmAG8AcgAgAGYAYQBjAGkAbABpAHQAeQAgAHQAeQBwAGUAIAB0ACAAdQBzAGUAZAAgAHQAbwAgAHQAcgBlAGEAdAAgAHMAbAB1AGQAZwBlAFwAbgBFAEYAXwBzAGwAdQBkAGcAZQAgAD0AIABtAGUAdABoAGEAbgBlACAAZQBtAGkAcwBzAGkAbwBuACAAZgBhAGMAdABvAHIAIABmAG8AcgAgAHMAbAB1AGQAZwBlACAAKABrAGcAIABDAE8AMgBlAC8AawBnACAAQwBPAEQAKQBcAG4AUQBfAGMAYQBwACAAPQAgAHEAdQBhAG4AdABpAHQAeQAgAG8AZgAgAG0AZQB0AGgAYQBuAGUAIABpAG4AIABzAGwAdQBkAGcAZQAgAGIAaQBvAGcAYQBzACAAYwBhAHAAdAB1AHIAZQBkACAAZgBvAHIAIABjAG8AbQBiAHUAcwB0AGkAbwBuACAAKABtADMAIABDAEgANAApAFwAbgBRAF8AZgBsAGEAcgBlAGQAIAA9ACAAcQB1AGEAbgB0AGkAdAB5ACAAbwBmACAAbQBlAHQAaABhAG4AZQAgAGkAbgAgAHMAbAB1AGQAZwBlACAAYgBpAG8AZwBhAHMAIABmAGwAYQByAGUAZAAgACgAbQAzACAAQwBIADQAKQBcAG4AUQBfAG8AdQB0ACAAPQAgAHEAdQBhAG4AdABpAHQAeQAgAG8AZgAgAG0AZQB0AGgAYQBuAGUAIABpAG4AIABzAGwAdQBkAGcAZQAgAGIAaQBvAGcAYQBzACAAdAByAGEAbgBzAGYAZQByAHIAZQBkACAAbwB1AHQAIABvAGYAIAB0AGgAZQAgAHQAcgBlAGEAdABtAGUAbgB0ACAAZgBhAGMAaQBsAGkAdAB5ACAAKABtADMAIABDAEgANAApAFwAbgBFAEMAXwBmAGwAYQByAGUAZAAgAD0AIABlAG4AZQByAGcAeQAgAGMAbwBuAHQAZQBuAHQAIABmAGEAYwB0AG8AcgAgAG8AZgAgAG0AZQB0AGgAYQBuAGUAIABpAG4AIABzAGwAdQBkAGcAZQAgAGIAaQBvAGcAYQBzACAAZgBsAGEAcgBlAGQAIAAoAEcASgAvAG0AMwApAFwAbgBFAEYAXwBmAGwAYQByAGUAZABfAEMASAA0ACAAPQAgAG0AZQB0AGgAYQBuAGUAIABlAG0AaQBzAHMAaQBvAG4AIABmAGEAYwB0AG8AcgAgAGYAbwByACAAcwBsAHUAZABnAGUAIABiAGkAbwBnAGEAcwAgAGYAbABhAHIAZQBkACAAKABrAGcAIABDAE8AMgBlAC8ARwBKACkAXABuAC0ALQAtAC0ALQAtAC0ALQAtAC0ALQAtAC0ALQAtAC0ALQAtAC0ALQAtAC0ALQAtAC0ALQAtAC0ALQAtAC0ALQAtAC0ALQAtAC0ALQBcAG4AKgAvAFwAbgBcAG4AVgBFAEUAUgBHAF8AMQAxAF8AMQBfADEAXwAxAF8AXwAxAF8ATQBlAHQAaABhAG4AZQBFAG0AaQBzAHMAaQBvAG4AcwBGAHIAbwBtAFcAYQBzAHQAZQB3AGEAdABlAHIAVAByAGUAYQB0AG0AZQBuAHQAXABuACAAIAA9AEwAQQBNAEIARABBACgAXABuACAAIAAgACAAVwBfAHQALAAgAEMATwBEAF8AaQBuACwAIABGAF8AcwBsAHUAZABnAGUALAAgAEMATwBEAF8AbwB1AHQALAAgAEMARgBfAHcAdwBfAHQALAAgAEUARgBfAHcAdwAsACAARgBfAHIAZQBtAG8AdgBlAGQALAAgAEMARgBfAHMAbAB1AGQAZwBlAF8AdAAsACAARQBGAF8AcwBsAHUAZABnAGUALAAgAFEAXwBjAGEAcAAsACAAUQBfAGYAbABhAHIAZQBkACwAIABRAF8AbwB1AHQALAAgAEUAQwBfAGYAbABhAHIAZQBkACwAIABFAEYAXwBmAGwAYQByAGUAZABDAEgANAAsAFwAbgAgACAAIAAgACgAMQAvADEAMAAwADAAKQAgACoAIAAoACgAVwBfAHQAIAAqACAAKABDAE8ARABfAGkAbgAgACoAIAAoADEAIAAtACAARgBfAHMAbAB1AGQAZwBlACkAIAAtACAAQwBPAEQAXwBvAHUAdAApACAAKgAgAEMARgBfAHcAdwBfAHQAIAAqACAARQBGAF8AdwB3ACkAIAArACAAKABXAF8AdAAgACoAIAAoAEMATwBEAF8AaQBuACAAKgAgACgARgBfAHMAbAB1AGQAZwBlACAALQAgAEYAXwByAGUAbQBvAHYAZQBkACkAKQAgACoAIABDAEYAXwBzAGwAdQBkAGcAZQBfAHQAIAAqACAARQBGAF8AcwBsAHUAZABnAGUAKQAgAC0AIAAoADYALgA3ADgANAAgACoAIAAxADAAXgAtADQAIAAqACAAKABRAF8AYwBhAHAAIAArACAAUQBfAGYAbABhAHIAZQBkACAAKwAgAFEAXwBvAHUAdAApACkAIAArACAAKABRAF8AZgBsAGEAcgBlAGQAIAAqACAAKABFAEMAXwBmAGwAYQByAGUAZAAgACoAIABFAEYAXwBmAGwAYQByAGUAZABDAEgANAApACkAKQBcAG4AIAAgACkAOwBcAG4AXABuAFYARQBFAFIARwBfADEAMQBfADEAXwAxAF8AMQBfAF8AMQBfAE0AZQB0AGgAYQBuAGUARQBtAGkAcwBzAGkAbwBuAHMARgByAG8AbQBXAGEAcwB0AGUAdwBhAHQAZQByAFQAcgBlAGEAdABtAGUAbgB0AF8AVABpAHQAbABlAFwAbgAgACAAPQBMAEEATQBCAEQAQQAoAFwAIgBNAGUAdABoAGEAbgBlACAAZQBtAGkAcwBzAGkAbwBuAHMAIABmAHIAbwBtACAAdwBhAHMAdABlAHcAYQB0AGUAcgAgAHQAcgBlAGEAdABtAGUAbgB0AFwAIgApADsAXABuAFwAbgBWAEUARQBSAEcAXwAxADEAXwAxAF8AMQBfADEAXwBfADEAXwBNAGUAdABoAGEAbgBlAEUAbQBpAHMAcwBpAG8AbgBzAEYAcgBvAG0AVwBhAHMAdABlAHcAYQB0AGUAcgBUAHIAZQBhAHQAbQBlAG4AdABfAFYAYQByAGkAYQBiAGwAZQBcAG4AIAAgAD0ATABBAE0AQgBEAEEAKABcACIARQBfAEMASAA0AFwAIgApADsAXABuAFwAbgBWAEUARQBSAEcAXwAxADEAXwAxAF8AMQBfADEAXwBfADEAXwBNAGUAdABoAGEAbgBlAEUAbQBpAHMAcwBpAG8AbgBzAEYAcgBvAG0AVwBhAHMAdABlAHcAYQB0AGUAcgBUAHIAZQBhAHQAbQBlAG4AdABfAFUAbgBpAHQAXABuACAAIAA9AEwAQQBNAEIARABBACgAXAAiAHQAIABDAEgANABcACIAKQA7AFwAbgBcAG4AVgBFAEUAUgBHAF8AMQAxAF8AMQBfADEAXwAxAF8AXwAxAF8ATQBlAHQAaABhAG4AZQBFAG0AaQBzAHMAaQBvAG4AcwBGAHIAbwBtAFcAYQBzAHQAZQB3AGEAdABlAHIAVAByAGUAYQB0AG0AZQBuAHQAXwBTAG8AdQByAGMAZQBcAG4AIAAgAD0ATABBAE0AQgBEAEEAKABcACIAVgBFAEUAUgBHACAAMgAwADIANgA6ACAAMQAxAC4AMQAuADEALgAxACwAIABFAHEAdQBhAHQAaQBvAG4AIAAoADEAKQBcACIAKQA7AFwAbgBcAG4AVgBFAEUAUgBHAF8AMQAxAF8AMQBfADEAXwAxAF8AXwAxAF8ATQBlAHQAaABhAG4AZQBFAG0AaQBzAHMAaQBvAG4AcwBGAHIAbwBtAFcAYQBzAHQAZQB3AGEAdABlAHIAVAByAGUAYQB0AG0AZQBuAHQAXwBOAEkAUgBSAGUAZgBlAHIAZQBuAGMAZQBcAG4AIAAgAD0ATABBAE0AQgBEAEEAKABcACIATgBhAHQAaQBvAG4AYQBsACAARwByAGUAZQBuAGgAbwB1AHMAZQAgAGEAbgBkACAARQBuAGUAcgBnAHkAIABSAGUAcABvAHIAdABpAG4AZwAgAE0AZQBhAHMAdQByAGUAbQBlAG4AdAAgAEQAZQB0AGUAcgBtAGkAbgBhAHQAaQBvAG4AIAAyADAAMAA4AFwAIgApADsAXABuAFwAbgBWAEUARQBSAEcAXwAxADEAXwAxAF8AMQBfADEAXwBfADEAXwBNAGUAdABoAGEAbgBlAEUAbQBpAHMAcwBpAG8AbgBzAEYAcgBvAG0AVwBhAHMAdABlAHcAYQB0AGUAcgBUAHIAZQBhAHQAbQBlAG4AdABfAEwAYQB0AGUAeABFAHEAdQBhAHQAaQBvAG4AXABuACAAIAA9AEwAQQBNAEIARABBACgAXAAiAEUAXwB7AEMASAA0AH0APQBcAFwAZgByAGEAYwB7ADEAfQB7ADEAMAAwADAAfQBcAFwAdABpAG0AZQBzAFwAXABsAGUAZgB0AHsAXABcAGwAZQBmAHQAewBXAF8AdABcAFwAdABpAG0AZQBzAFwAXABsAGUAZgB0AFsAQwBPAEQAXwB7AGkAbgB9AFwAXAB0AGkAbQBlAHMAKAAxAC0ARgBfAHsAcwBsAHUAZABnAGUAfQApAC0AQwBPAEQAXwB7AG8AdQB0AH0AXABcAHIAaQBnAGgAdABdAFwAXAB0AGkAbQBlAHMAIABDAEYAXwB7AHcAdwAsAHQAfQBcAFwAdABpAG0AZQBzACAARQBGAF8AewB3AHcAfQBcAFwAcgBpAGcAaAB0AH0AKwBcAFwAbABlAGYAdAB7AFcAXwB0AFwAXAB0AGkAbQBlAHMAXABcAGwAZQBmAHQAWwBDAE8ARABfAHsAaQBuAH0AXABcAHQAaQBtAGUAcwAoAEYAXwB7AHMAbAB1AGQAZwBlAH0ALQBGAF8AewByAGUAbQBvAHYAZQBkAH0AKQBcAFwAcgBpAGcAaAB0AF0AXABcAHQAaQBtAGUAcwAgAEMARgBfAHsAcwBsAHUAZABnAGUALAB0AH0AXABcAHQAaQBtAGUAcwAgAEUARgBfAHsAcwBsAHUAZABnAGUAfQBcAFwAcgBpAGcAaAB0AH0ALQBcAFwAbABlAGYAdAB7ADYALgA3ADgANABcAFwAdABpAG0AZQBzACAAMQAwAF4AewAtADQAfQBcAFwAdABpAG0AZQBzACAAXABcAGwAZQBmAHQAWwAgAFEAXwB7AGMAYQBwAH0AKwBRAF8AewBmAGwAYQByAGUAZAB9ACsAUQBfAHsAbwB1AHQAfQBcAFwAcgBpAGcAaAB0AF0AXABcAHIAaQBnAGgAdAB9ACsAXABcAGwAZQBmAHQAewBRAF8AewBmAGwAYQByAGUAZAB9AFwAXAB0AGkAbQBlAHMAIABcAFwAbABlAGYAdABbACAARQBDAF8AewBmAGwAYQByAGUAZAB9AFwAXAB0AGkAbQBlAHMAIABFAEYAXwB7AGYAbABhAHIAZQBkACwAQwBIADQAfQBcAFwAcgBpAGcAaAB0AF0AXABcAHIAaQBnAGgAdAB9AFwAXAByAGkAZwBoAHQAfQBcACIAKQA7AFwAbgBcAG4AVgBFAEUAUgBHAF8AMQAxAF8AMQBfADEAXwAxAF8AXwAxAF8ATQBlAHQAaABhAG4AZQBFAG0AaQBzAHMAaQBvAG4AcwBGAHIAbwBtAFcAYQBzAHQAZQB3AGEAdABlAHIAVAByAGUAYQB0AG0AZQBuAHQAXwBBAHIAZwB1AG0AZQBuAHQAcwBcAG4AIAAgAD0ATABBAE0AQgBEAEEAKABcAG4AIAAgACAAIABNAEEASwBFAEEAUgBSAEEAWQAoADEANQAsACAANAAsAFwAbgAgACAAIAAgACAAIABMAEEATQBCAEQAQQAoAHIALABjACwAXABuACAAIAAgACAAIAAgACAAIABJAE4ARABFAFgAKAB7AFwAbgAgACAAIAAgACAAIAAgACAAIAAgAFwAIgBXAF8AdABcACIALAAgAFwAIgBxAHUAYQBuAHQAaQB0AHkAIABvAGYAIAB3AGEAcwB0AGUAdwBhAHQAZQByACAAdAByAGUAYQB0AGUAZAAgAGEAdAAgAGYAYQBjAGkAbABpAHQAeQAgAHQAeQBwAGUAIAB0AFwAIgAsACAAXAAiAG0AMwBcACIALAAgAFwAIgBJAG4AcAB1AHQAXAAiADsAXABuACAAIAAgACAAIAAgACAAIAAgACAAXAAiAEMATwBEAF8AaQBuAFwAIgAsACAAXAAiAGEAdgBlAHIAYQBnAGUAIABpAG4AbABlAHQAIABDAGgAZQBtAGkAYwBhAGwAIABPAHgAeQBnAGUAbgAgAEQAZQBtAGEAbgBkACAAYwBvAG4AYwBlAG4AdAByAGEAdABpAG8AbgAgAG8AZgAgAHcAYQBzAHQAZQB3AGEAdABlAHIAXAAiACwAIABcACIAawBnACAAQwBPAEQALwBtADMAXAAiACwAIABcACIASQBuAHAAdQB0AFwAIgA7AFwAbgAgACAAIAAgACAAIAAgACAAIAAgAFwAIgBGAF8AcwBsAHUAZABnAGUAXAAiACwAIABcACIAZgByAGEAYwB0AGkAbwBuACAAbwBmACAAQwBPAEQAIAByAGUAbQBvAHYAZQBkACAAZgByAG8AbQAgAHcAYQBzAHQAZQB3AGEAdABlAHIAIABhAHMAIABzAGwAdQBkAGcAZQBcACIALAAgAFwAIgBmAHIAYQBjAHQAaQBvAG4AXAAiACwAIABcACIASQBuAHAAdQB0AFwAIgA7AFwAbgAgACAAIAAgACAAIAAgACAAIAAgAFwAIgBDAE8ARABfAG8AdQB0AFwAIgAsACAAXAAiAGEAdgBlAHIAYQBnAGUAIABvAHUAdABsAGUAdAAgAEMATwBEACAAYwBvAG4AYwBlAG4AdAByAGEAdABpAG8AbgAgAG8AZgAgAHcAYQBzAHQAZQB3AGEAdABlAHIAXAAiACwAIABcACIAawBnACAAQwBPAEQALwBtADMAXAAiACwAIABcACIASQBuAHAAdQB0AFwAIgA7AFwAbgAgACAAIAAgACAAIAAgACAAIAAgAFwAIgBDAEYAXwB3AHcAXwB0AFwAIgAsACAAXAAiAG0AZQB0AGgAYQBuAGUAIABjAG8AcgByAGUAYwB0AGkAbwBuACAAZgBhAGMAdABvAHIAIABmAG8AcgAgAGYAYQBjAGkAbABpAHQAeQAgAHQAeQBwAGUAIAB0ACAAdQBzAGUAZAAgAHQAbwAgAHQAcgBlAGEAdAAgAHcAYQBzAHQAZQB3AGEAdABlAHIAXAAiACwAIABcACIAZgByAGEAYwB0AGkAbwBuAFwAIgAsACAAXAAiAEMAbwBuAHMAdABhAG4AdABcACIAOwBcAG4AIAAgACAAIAAgACAAIAAgACAAIABcACIARQBGAF8AdwB3AFwAIgAsACAAXAAiAG0AZQB0AGgAYQBuAGUAIABlAG0AaQBzAHMAaQBvAG4AIABmAGEAYwB0AG8AcgAgAGYAbwByACAAdwBhAHMAdABlAHcAYQB0AGUAcgBcACIALAAgAFwAIgBrAGcAIABDAEgANAAvAGsAZwAgAEMATwBEAFwAIgAsACAAXAAiAEMAbwBuAHMAdABhAG4AdABcACIAOwBcAG4AIAAgACAAIAAgACAAIAAgACAAIABcACIARgBfAHIAZQBtAG8AdgBlAGQAXAAiACwAIABcACIAZgByAGEAYwB0AGkAbwBuACAAbwBmACAAQwBPAEQAIAByAGUAbQBvAHYAZQBkACAAZgByAG8AbQAgAHQAaABlACAAdwBhAHMAdABlAHcAYQB0AGUAcgAgAHQAcgBlAGEAdABtAGUAbgB0ACAAZgBhAGMAaQBsAGkAdAB5ACAAYQBuAGQAIAB0AHIAYQBuAHMAZgBlAHIAcgBlAGQAIABlAGwAcwBlAHcAaABlAHIAZQBcACIALAAgAFwAIgBmAHIAYQBjAHQAaQBvAG4AXAAiACwAIABcACIASQBuAHAAdQB0AFwAIgA7AFwAbgAgACAAIAAgACAAIAAgACAAIAAgAFwAIgBDAEYAXwBzAGwAdQBkAGcAZQBfAHQAXAAiACwAIABcACIAbQBlAHQAaABhAG4AZQAgAGMAbwByAHIAZQBjAHQAaQBvAG4AIABmAGEAYwB0AG8AcgAgAGYAbwByACAAZgBhAGMAaQBsAGkAdAB5ACAAdAB5AHAAZQAgAHQAIAB1AHMAZQBkACAAdABvACAAdAByAGUAYQB0ACAAcwBsAHUAZABnAGUAXAAiACwAIABcACIAZgByAGEAYwB0AGkAbwBuAFwAIgAsACAAXAAiAEMAbwBuAHMAdABhAG4AdABcACIAOwBcAG4AIAAgACAAIAAgACAAIAAgACAAIABcACIARQBGAF8AcwBsAHUAZABnAGUAXAAiACwAIABcACIAbQBlAHQAaABhAG4AZQAgAGUAbQBpAHMAcwBpAG8AbgAgAGYAYQBjAHQAbwByACAAZgBvAHIAIABzAGwAdQBkAGcAZQBcACIALAAgAFwAIgBrAGcAIABDAEgANAAvAGsAZwAgAEMATwBEAFwAIgAsACAAXAAiAEMAbwBuAHMAdABhAG4AdABcACIAOwBcAG4AIAAgACAAIAAgACAAIAAgACAAIABcACIAUQBfAGMAYQBwAFwAIgAsACAAXAAiAHEAdQBhAG4AdABpAHQAeQAgAG8AZgAgAG0AZQB0AGgAYQBuAGUAIABpAG4AIABzAGwAdQBkAGcAZQAgAGIAaQBvAGcAYQBzACAAYwBhAHAAdAB1AHIAZQBkACAAZgBvAHIAIABjAG8AbQBiAHUAcwB0AGkAbwBuAFwAIgAsACAAXAAiAG0AMwAgAEMASAA0AFwAIgAsACAAXAAiAEkAbgBwAHUAdABcACIAOwBcAG4AIAAgACAAIAAgACAAIAAgACAAIABcACIAUQBfAGYAbABhAHIAZQBkAFwAIgAsACAAXAAiAHEAdQBhAG4AdABpAHQAeQAgAG8AZgAgAG0AZQB0AGgAYQBuAGUAIABpAG4AIABzAGwAdQBkAGcAZQAgAGIAaQBvAGcAYQBzACAAZgBsAGEAcgBlAGQAIABiAHkAIAB0AGgAZQAgAHQAcgBlAGEAdABtAGUAbgB0ACAAZgBhAGMAaQBsAGkAdAB5AFwAIgAsACAAXAAiAG0AMwAgAEMASAA0AFwAIgAsACAAXAAiAEkAbgBwAHUAdABcACIAOwBcAG4AIAAgACAAIAAgACAAIAAgACAAIABcACIAUQBfAG8AdQB0AFwAIgAsACAAXAAiAHEAdQBhAG4AdABpAHQAeQAgAG8AZgAgAG0AZQB0AGgAYQBuAGUAIABpAG4AIABzAGwAdQBkAGcAZQAgAGIAaQBvAGcAYQBzACAAdAByAGEAbgBzAGYAZQByAHIAZQBkACAAbwB1AHQAIABvAGYAIAB0AGgAZQAgAHQAcgBlAGEAdABtAGUAbgB0ACAAZgBhAGMAaQBsAGkAdAB5AFwAIgAsACAAXAAiAG0AMwAgAEMASAA0AFwAIgAsACAAXAAiAEkAbgBwAHUAdABcACIAOwBcAG4AIAAgACAAIAAgACAAIAAgACAAIABcACIARQBDAF8AZgBsAGEAcgBlAGQAXAAiACwAIABcACIAZQBuAGUAcgBnAHkAIABjAG8AbgB0AGUAbgB0ACAAZgBhAGMAdABvAHIAIABvAGYAIABtAGUAdABoAGEAbgBlACAAaQBuACAAcwBsAHUAZABnAGUAIABiAGkAbwBnAGEAcwAgAGYAbABhAHIAZQBkAFwAIgAsACAAXAAiAEcASgAvAG0AMwBcACIALAAgAFwAIgBDAG8AbgBzAHQAYQBuAHQAXAAiADsAXABuACAAIAAgACAAIAAgACAAIAAgACAAXAAiAEUARgBfAGYAbABhAHIAZQBkAEMASAA0AFwAIgAsACAAXAAiAG0AZQB0AGgAYQBuAGUAIABlAG0AaQBzAHMAaQBvAG4AIABmAGEAYwB0AG8AcgAgAGYAbwByACAAcwBsAHUAZABnAGUAIABiAGkAbwBnAGEAcwAgAGYAbABhAHIAZQBkAFwAIgAsACAAXAAiAGsAZwAgAEMASAA0AC8ARwBKAFwAIgAsACAAXAAiAEMAbwBuAHMAdABhAG4AdABcACIAOwBcAG4AIAAgACAAIAAgACAAIAAgACAAIABcACIAdABcACIALAAgAFwAIgB0AHIAZQBhAHQAbQBlAG4AdAAgAGYAYQBjAGkAbABpAHQAeQAgAHQAeQBwAGUAXAAiACwAIABcACIAXAAiACwAIABcACIASQBuAHAAdQB0AFwAIgBcAG4AIAAgACAAIAAgACAAIAAgAH0ALAAgAHIALAAgAGMAKQBcAG4AIAAgACAAIAAgACAAKQBcAG4AIAAgACAAIAApAFwAbgAgACAAKQA7AFwAbgBcAG4AXABuAFYARQBFAFIARwBfADEAMQBfADEAXwAxAF8AMQBfAF8AMQBfAE0AZQB0AGgAYQBuAGUARQBtAGkAcwBzAGkAbwBuAHMARgByAG8AbQBXAGEAcwB0AGUAdwBhAHQAZQByAFQAcgBlAGEAdABtAGUAbgB0AF8AVgBhAHIAaQBhAHQAaQBvAG4AXABuACAAIAA9AEwAQQBNAEIARABBACgAXAAiAFYAQQBSAEkAQQBUAEkATwBOACAATwBOACAAUwBPAFUAUgBDAEUAOgAgAEMAaABhAG4AZwBlAGQAIAB1AG4AaQB0AHMAIABvAGYAIABFAEYAXwB3AHcALAAgAEUARgBfAFMAbAB1AGQAZwBlACAAYQBuAGQAIABFAEYAXwBmAGwAYQByAGUAZAAgAGYAcgBvAG0AIABDAE8AMgBlACAAdABvACAAQwBIADQAIAB0AG8AIABtAGEAdABjAGgAIABkAGEAdABhACAAaQBuACAAVABhAGIAbABlACAAXAAiACkAOwAiAH0ALAB7ACIAcABhAHQAaAAiADoAIgAvAHAAcgBvAGoAZQBjAHQAcwAvAFcAYQBzAHQAZQB3AGEAdABlAHIAXwBTAG8AdQByAGMAZQBEAGEAdABhACIALAAiAHQAZQB4AHQAIgA6ACIALwAqAFwAbgA9AD0APQA9AD0APQA9AD0APQA9AD0APQA9AD0APQA9AD0APQA9AD0APQA9AD0APQA9AD0APQA9AD0APQA9AD0APQA9AD0APQA9AD0APQA9AD0APQA9AD0APQA9AD0APQA9AD0APQA9AD0APQA9AD0APQA9AD0APQA9AD0APQA9AD0APQA9AD0APQA9AD0APQA9AD0APQA9AFwAbgBUAGEAYgBsAGUAIABBAC4ANAAuADEALgAzADoAIABNAGUAdABoAGEAbgBlACAAYwBvAHIAcgBlAGMAdABpAG8AbgAgAGYAYQBjAHQAbwByACAAZgBvAHIAIAB0AHIAZQBhAHQAbQBlAG4AdAAgAGYAYQBjAGkAbABpAHQAeQAgAHQAeQBwAGUAIAB0ACAAdQBzAGUAZAAgAHQAbwAgAHQAcgBlAGEAdAAgAHcAYQBzAHQAZQB3AGEAdABlAHIAIAAoAGYAcgBhAGMAdABpAG8AbgApACAAKABDAEYAdwB3ACwAdAApAFwAbgA9AD0APQA9AD0APQA9AD0APQA9AD0APQA9AD0APQA9AD0APQA9AD0APQA9AD0APQA9AD0APQA9AD0APQA9AD0APQA9AD0APQA9AD0APQA9AD0APQA9AD0APQA9AD0APQA9AD0APQA9AD0APQA9AD0APQA9AD0APQA9AD0APQA9AD0APQA9AD0APQA9AD0APQA9AD0APQA9AFwAbgAqAC8AXABuAFwAbgBXAGEAcwB0AGUAXwBNAGUAdABoAGEAbgBlAEMAbwByAHIAZQBjAHQAaQBvAG4ARgBhAGMAdABvAHIAVwBhAHMAdABlAHcAYQB0AGUAcgBfAFQAaQB0AGwAZQBcAG4APQBMAEEATQBCAEQAQQAoACgAXAAiAE0AZQB0AGgAYQBuAGUAIABjAG8AcgByAGUAYwB0AGkAbwBuACAAZgBhAGMAdABvAHIAIABmAG8AcgAgAHQAcgBlAGEAdABtAGUAbgB0ACAAZgBhAGMAaQBsAGkAdAB5ACAAdAB5AHAAZQAgAHQAIAB1AHMAZQBkACAAdABvACAAdAByAGUAYQB0ACAAdwBhAHMAdABlAHcAYQB0AGUAcgBcACIAKQApADsAXABuAFwAbgBXAGEAcwB0AGUAXwBNAGUAdABoAGEAbgBlAEMAbwByAHIAZQBjAHQAaQBvAG4ARgBhAGMAdABvAHIAVwBhAHMAdABlAHcAYQB0AGUAcgBfAFYAYQByAGkAYQBiAGwAZQBcAG4APQBMAEEATQBCAEQAQQAoACgAXAAiAEMARgB3AHcALAB0AFwAIgApACkAOwBcAG4AXABuAFcAYQBzAHQAZQBfAE0AZQB0AGgAYQBuAGUAQwBvAHIAcgBlAGMAdABpAG8AbgBGAGEAYwB0AG8AcgBXAGEAcwB0AGUAdwBhAHQAZQByAF8AVQBuAGkAdABcAG4APQBMAEEATQBCAEQAQQAoACgAXAAiAGYAcgBhAGMAdABpAG8AbgBcACIAKQApADsAXABuAFwAbgBXAGEAcwB0AGUAXwBNAGUAdABoAGEAbgBlAEMAbwByAHIAZQBjAHQAaQBvAG4ARgBhAGMAdABvAHIAVwBhAHMAdABlAHcAYQB0AGUAcgBfAFMAbwB1AHIAYwBlAFwAbgA9AEwAQQBNAEIARABBACgAKABcACIAVgBFAEUAUgBHACAAMgAwADIANgA6ACAAVABhAGIAbABlACAAQQAuADQALgAxAC4AMwBcACIAKQApADsAXABuAFwAbgBXAGEAcwB0AGUAXwBNAGUAdABoAGEAbgBlAEMAbwByAHIAZQBjAHQAaQBvAG4ARgBhAGMAdABvAHIAVwBhAHMAdABlAHcAYQB0AGUAcgBfAEQAYQB0AGEAXABuAD0ATABBAE0AQgBEAEEAKABcAG4AIAAgAE0AQQBLAEUAQQBSAFIAQQBZACgANgAsACAAMgAsAFwAbgAgACAAIAAgAEwAQQBNAEIARABBACgAcgAsAGMALABcAG4AIAAgACAAIAAgACAASQBOAEQARQBYACgAewBcAG4AIAAgACAAIAAgACAAIAAgAFwAIgBGAGEAYwBpAGwAaQB0AHkAIAB0AHkAcABlACAAdABcACIALAAgAFwAIgBDAEYAdwB3ACwAdABcACIAOwBcAG4AIAAgACAAIAAgACAAIAAgAFwAIgBNAGEAbgBhAGcAZQBkACAAYQBlAHIAbwBiAGkAYwAgAHQAcgBlAGEAdABtAGUAbgB0AFwAIgAsACAAMAA7AFwAbgAgACAAIAAgACAAIAAgACAAXAAiAFUAbgBtAGEAbgBhAGcAZQBkACAAYQBlAHIAbwBiAGkAYwAgAHQAcgBlAGEAdABtAGUAbgB0AFwAIgAsACAAMAAuADMAOwBcAG4AIAAgACAAIAAgACAAIAAgAFwAIgBBAG4AYQBlAHIAbwBiAGkAYwAgAGQAaQBnAGUAcwB0AG8AcgAvAHIAZQBhAGMAdABvAHIAXAAiACwAIAAwAC4AOAA7AFwAbgAgACAAIAAgACAAIAAgACAAXAAiAFMAaABhAGwAbABvAHcAIABhAG4AYQBlAHIAbwBiAGkAYwAgAGwAYQBnAG8AbwBuACAAKABkIiAAMgAgAG0AKQBcACIALAAgADAALgAyADsAXABuACAAIAAgACAAIAAgACAAIABcACIARABlAGUAcAAgAGEAbgBhAGUAcgBvAGIAaQBjACAAbABhAGcAbwBvAG4AIAAoAFwAdQAwADAAMwBlACAAMgBtACkAXAAiACwAIAAwAC4AOABcAG4AIAAgACAAIAAgACAAfQAsACAAcgAsACAAYwApAFwAbgApACkAKQA7AFwAbgBcAG4AVwBhAHMAdABlAF8ATQBlAHQAaABhAG4AZQBDAG8AcgByAGUAYwB0AGkAbwBuAEYAYQBjAHQAbwByAFcAYQBzAHQAZQB3AGEAdABlAHIAXwBWAGEAcgBpAGEAdABpAG8AbgBcAG4APQBMAEEATQBCAEQAQQAoACgAXAAiAFwAIgApACkAOwBcAG4AXABuAFwAbgAvACoAXABuAD0APQA9AD0APQA9AD0APQA9AD0APQA9AD0APQA9AD0APQA9AD0APQA9AD0APQA9AD0APQA9AD0APQA9AD0APQA9AD0APQA9AD0APQA9AD0APQA9AD0APQA9AD0APQA9AD0APQA9AD0APQA9AD0APQA9AD0APQA9AD0APQA9AD0APQA9AD0APQA9AD0APQA9AD0APQA9AD0AXABuAFQAYQBiAGwAZQAgAEEALgA0AC4AMQAuADQAOgAgAE0AZQB0AGgAYQBuAGUAIABjAG8AcgByAGUAYwB0AGkAbwBuACAAZgBhAGMAdABvAHIAIABmAG8AcgAgAHQAcgBlAGEAdABtAGUAbgB0ACAAZgBhAGMAaQBsAGkAdAB5ACAAdAB5AHAAZQAgAHQAIAB1AHMAZQBkACAAdABvACAAdAByAGUAYQB0ACAAcwBsAHUAZABnAGUAIAAoAGYAcgBhAGMAdABpAG8AbgApACAAKABDAEYAcwBsAHUAZABnAGUALAB0ACkAXABuAD0APQA9AD0APQA9AD0APQA9AD0APQA9AD0APQA9AD0APQA9AD0APQA9AD0APQA9AD0APQA9AD0APQA9AD0APQA9AD0APQA9AD0APQA9AD0APQA9AD0APQA9AD0APQA9AD0APQA9AD0APQA9AD0APQA9AD0APQA9AD0APQA9AD0APQA9AD0APQA9AD0APQA9AD0APQA9AD0AXABuACoALwBcAG4AXABuAFcAYQBzAHQAZQBfAE0AZQB0AGgAYQBuAGUAQwBvAHIAcgBlAGMAdABpAG8AbgBGAGEAYwB0AG8AcgBTAGwAdQBkAGcAZQBfAFQAaQB0AGwAZQBcAG4APQBMAEEATQBCAEQAQQAoACgAXAAiAE0AZQB0AGgAYQBuAGUAIABjAG8AcgByAGUAYwB0AGkAbwBuACAAZgBhAGMAdABvAHIAIABmAG8AcgAgAHQAcgBlAGEAdABtAGUAbgB0ACAAZgBhAGMAaQBsAGkAdAB5ACAAdAB5AHAAZQAgAHQAIAB1AHMAZQBkACAAdABvACAAdAByAGUAYQB0ACAAcwBsAHUAZABnAGUAXAAiACkAKQA7AFwAbgBcAG4AVwBhAHMAdABlAF8ATQBlAHQAaABhAG4AZQBDAG8AcgByAGUAYwB0AGkAbwBuAEYAYQBjAHQAbwByAFMAbAB1AGQAZwBlAF8AVgBhAHIAaQBhAGIAbABlAFwAbgA9AEwAQQBNAEIARABBACgAKABcACIAQwBGAHMAbAB1AGQAZwBlACwAdABcACIAKQApADsAXABuAFwAbgBXAGEAcwB0AGUAXwBNAGUAdABoAGEAbgBlAEMAbwByAHIAZQBjAHQAaQBvAG4ARgBhAGMAdABvAHIAUwBsAHUAZABnAGUAXwBVAG4AaQB0AFwAbgA9AEwAQQBNAEIARABBACgAKABcACIAZgByAGEAYwB0AGkAbwBuAFwAIgApACkAOwBcAG4AXABuAFcAYQBzAHQAZQBfAE0AZQB0AGgAYQBuAGUAQwBvAHIAcgBlAGMAdABpAG8AbgBGAGEAYwB0AG8AcgBTAGwAdQBkAGcAZQBfAFMAbwB1AHIAYwBlAFwAbgA9AEwAQQBNAEIARABBACgAKABcACIAVgBFAEUAUgBHACAAMgAwADIANgA6ACAAVABhAGIAbABlACAAQQAuADQALgAxAC4ANABcACIAKQApADsAXABuAFwAbgBXAGEAcwB0AGUAXwBNAGUAdABoAGEAbgBlAEMAbwByAHIAZQBjAHQAaQBvAG4ARgBhAGMAdABvAHIAUwBsAHUAZABnAGUAXwBEAGEAdABhAFwAbgA9AEwAQQBNAEIARABBACgAXABuACAAIABNAEEASwBFAEEAUgBSAEEAWQAoADYALAAgADIALABcAG4AIAAgACAAIABMAEEATQBCAEQAQQAoAHIALABjACwAXABuACAAIAAgACAAIAAgAEkATgBEAEUAWAAoAHsAXABuACAAIAAgACAAIAAgACAAIABcACIARgBhAGMAaQBsAGkAdAB5ACAAdAB5AHAAZQAgAHQAXAAiACwAIABcACIAQwBGAHMAbAB1AGQAZwBlACwAdABcACIAOwBcAG4AIAAgACAAIAAgACAAIAAgAFwAIgBNAGEAbgBhAGcAZQBkACAAYQBlAHIAbwBiAGkAYwAgAHQAcgBlAGEAdABtAGUAbgB0AFwAIgAsACAAMAA7AFwAbgAgACAAIAAgACAAIAAgACAAXAAiAFUAbgBtAGEAbgBhAGcAZQBkACAAYQBlAHIAbwBiAGkAYwAgAHQAcgBlAGEAdABtAGUAbgB0AFwAIgAsACAAMAAuADMAOwBcAG4AIAAgACAAIAAgACAAIAAgAFwAIgBBAG4AYQBlAHIAbwBiAGkAYwAgAGQAaQBnAGUAcwB0AG8AcgAvAHIAZQBhAGMAdABvAHIAXAAiACwAIAAwAC4AOAA7AFwAbgAgACAAIAAgACAAIAAgACAAXAAiAFMAaABhAGwAbABvAHcAIABhAG4AYQBlAHIAbwBiAGkAYwAgAGwAYQBnAG8AbwBuACAAKABkIiAAMgAgAG0AKQBcACIALAAgADAALgAyADsAXABuACAAIAAgACAAIAAgACAAIABcACIARABlAGUAcAAgAGEAbgBhAGUAcgBvAGIAaQBjACAAbABhAGcAbwBvAG4AIAAoAFwAdQAwADAAMwBlACAAMgBtACkAXAAiACwAIAAwAC4AOABcAG4AIAAgACAAIAAgACAAfQAsACAAcgAsACAAYwApAFwAbgApACkAKQA7AFwAbgBcAG4AVwBhAHMAdABlAF8ATQBlAHQAaABhAG4AZQBDAG8AcgByAGUAYwB0AGkAbwBuAEYAYQBjAHQAbwByAFMAbAB1AGQAZwBlAF8AVgBhAHIAaQBhAHQAaQBvAG4AXABuAD0ATABBAE0AQgBEAEEAKAAoAFwAIgBcACIAKQApADsAXABuAFwAbgAvACoAXABuAD0APQA9AD0APQA9AD0APQA9AD0APQA9AD0APQA9AD0APQA9AD0APQA9AD0APQA9AD0APQA9AD0APQA9AD0APQA9AD0APQA9AD0APQA9AD0APQA9AD0APQA9AD0APQA9AD0APQA9AD0APQA9AD0APQA9AD0APQA9AD0APQA9AD0APQA9AD0APQA9AD0APQA9AD0APQA9AD0AXABuACoALwBcAG4AXABuAFcAYQBzAHQAZQBfAE0AZQB0AGgAYQBuAGUARQBtAGkAcwBzAGkAbwBuAEYAYQBjAHQAbwByAFcAYQBzAHQAZQB3AGEAdABlAHIAXwBUAGkAdABsAGUAXABuAD0ATABBAE0AQgBEAEEAKAAoAFwAIgBNAGUAdABoAGEAbgBlACAAZQBtAGkAcwBzAGkAbwBuACAAZgBhAGMAdABvAHIAIABmAG8AcgAgAHcAYQBzAHQAZQB3AGEAdABlAHIAXAAiACkAKQA7AFwAbgBcAG4AVwBhAHMAdABlAF8ATQBlAHQAaABhAG4AZQBFAG0AaQBzAHMAaQBvAG4ARgBhAGMAdABvAHIAVwBhAHMAdABlAHcAYQB0AGUAcgBfAFYAYQByAGkAYQBiAGwAZQBcAG4APQBMAEEATQBCAEQAQQAoACgAXAAiAEUARgB3AHcAXAAiACkAKQA7AFwAbgBcAG4AVwBhAHMAdABlAF8ATQBlAHQAaABhAG4AZQBFAG0AaQBzAHMAaQBvAG4ARgBhAGMAdABvAHIAVwBhAHMAdABlAHcAYQB0AGUAcgBfAFUAbgBpAHQAXABuAD0ATABBAE0AQgBEAEEAKAAoAFwAIgBrAGcAIABDAEgANAAgAC8AIABrAGcAIABDAE8ARABcACIAKQApADsAXABuAFwAbgBXAGEAcwB0AGUAXwBNAGUAdABoAGEAbgBlAEUAbQBpAHMAcwBpAG8AbgBGAGEAYwB0AG8AcgBXAGEAcwB0AGUAdwBhAHQAZQByAF8AUwBvAHUAcgBjAGUAXABuAD0ATABBAE0AQgBEAEEAKAAoAFwAIgBWAEUARQBSAEcAIAAyADAAMgA2ADoAIAAxADEALgAyAC4AMwAgAEMAbwBuAHMAdABhAG4AdABzAFwAIgApACkAOwBcAG4AXABuAFcAYQBzAHQAZQBfAE0AZQB0AGgAYQBuAGUARQBtAGkAcwBzAGkAbwBuAEYAYQBjAHQAbwByAFcAYQBzAHQAZQB3AGEAdABlAHIAXwBEAGEAdABhAFwAbgA9AEwAQQBNAEIARABBACgAIAAwAC4AMgA1ACkAOwBcAG4AXABuAC8AKgBcAG4APQA9AD0APQA9AD0APQA9AD0APQA9AD0APQA9AD0APQA9AD0APQA9AD0APQA9AD0APQA9AD0APQA9AD0APQA9AD0APQA9AD0APQA9AD0APQA9AD0APQA9AD0APQA9AD0APQA9AD0APQA9AD0APQA9AD0APQA9AD0APQA9AD0APQA9AD0APQA9AD0APQA9AD0APQA9AD0APQBcAG4AKgAvAFwAbgBcAG4AVwBhAHMAdABlAF8ATQBlAHQAaABhAG4AZQBFAG0AaQBzAHMAaQBvAG4ARgBhAGMAdABvAHIAUwBsAHUAZABnAGUAXwBUAGkAdABsAGUAXABuAD0ATABBAE0AQgBEAEEAKAAoAFwAIgBNAGUAdABoAGEAbgBlACAAZQBtAGkAcwBzAGkAbwBuACAAZgBhAGMAdABvAHIAIABmAG8AcgAgAHMAbAB1AGQAZwBlAFwAIgApACkAOwBcAG4AXABuAFcAYQBzAHQAZQBfAE0AZQB0AGgAYQBuAGUARQBtAGkAcwBzAGkAbwBuAEYAYQBjAHQAbwByAFMAbAB1AGQAZwBlAF8AVgBhAHIAaQBhAGIAbABlAFwAbgA9AEwAQQBNAEIARABBACgAKABcACIARQBGAHMAbAB1AGQAZwBlAFwAIgApACkAOwBcAG4AXABuAFcAYQBzAHQAZQBfAE0AZQB0AGgAYQBuAGUARQBtAGkAcwBzAGkAbwBuAEYAYQBjAHQAbwByAFMAbAB1AGQAZwBlAF8AVQBuAGkAdABcAG4APQBMAEEATQBCAEQAQQAoACgAXAAiAGsAZwAgAEMASAA0ACAALwAgAGsAZwAgAEMATwBEAFwAIgApACkAOwBcAG4AXABuAFcAYQBzAHQAZQBfAE0AZQB0AGgAYQBuAGUARQBtAGkAcwBzAGkAbwBuAEYAYQBjAHQAbwByAFMAbAB1AGQAZwBlAF8AUwBvAHUAcgBjAGUAXABuAD0ATABBAE0AQgBEAEEAKAAoAFwAIgBWAEUARQBSAEcAIAAyADAAMgA2ADoAIAAxADEALgAyAC4AMwAgAEMAbwBuAHMAdABhAG4AdABzAFwAIgApACkAOwBcAG4AXABuAFcAYQBzAHQAZQBfAE0AZQB0AGgAYQBuAGUARQBtAGkAcwBzAGkAbwBuAEYAYQBjAHQAbwByAFMAbAB1AGQAZwBlAF8ARABhAHQAYQBcAG4APQBMAEEATQBCAEQAQQAoADAALgAyADUAKQA7AFwAbgBcAG4ALwAqAFwAbgA9AD0APQA9AD0APQA9AD0APQA9AD0APQA9AD0APQA9AD0APQA9AD0APQA9AD0APQA9AD0APQA9AD0APQA9AD0APQA9AD0APQA9AD0APQA9AD0APQA9AD0APQA9AD0APQA9AD0APQA9AD0APQA9AD0APQA9AD0APQA9AD0APQA9AD0APQA9AD0APQA9AD0APQA9AD0APQA9AFwAbgAqAC8AXABuAFwAbgBXAGEAcwB0AGUAXwBFAG4AZQByAGcAeQBDAG8AbgB0AGUAbgB0AEYAYQBjAHQAbwByAFMAbAB1AGQAZwBlAEIAaQBvAGcAYQBzAEYAbABhAHIAZQBkAF8AVABpAHQAbABlAFwAbgA9AEwAQQBNAEIARABBACgAKABcACIARQBuAGUAcgBnAHkAIABjAG8AbgB0AGUAbgB0ACAAZgBhAGMAdABvAHIAIABvAGYAIABzAGwAdQBkAGcAZQAgAGIAaQBvAGcAYQBzACAAZgBsAGEAcgBlAGQAXAAiACkAKQA7AFwAbgBcAG4AVwBhAHMAdABlAF8ARQBuAGUAcgBnAHkAQwBvAG4AdABlAG4AdABGAGEAYwB0AG8AcgBTAGwAdQBkAGcAZQBCAGkAbwBnAGEAcwBGAGwAYQByAGUAZABfAFYAYQByAGkAYQBiAGwAZQBcAG4APQBMAEEATQBCAEQAQQAoACgAXAAiAEUAQwBmAGwAYQByAGUAZABcACIAKQApADsAXABuAFwAbgBXAGEAcwB0AGUAXwBFAG4AZQByAGcAeQBDAG8AbgB0AGUAbgB0AEYAYQBjAHQAbwByAFMAbAB1AGQAZwBlAEIAaQBvAGcAYQBzAEYAbABhAHIAZQBkAF8AVQBuAGkAdABcAG4APQBMAEEATQBCAEQAQQAoACgAXAAiAEcASgAgAC8AIABtADMAXAAiACkAKQA7AFwAbgBcAG4AVwBhAHMAdABlAF8ARQBuAGUAcgBnAHkAQwBvAG4AdABlAG4AdABGAGEAYwB0AG8AcgBTAGwAdQBkAGcAZQBCAGkAbwBnAGEAcwBGAGwAYQByAGUAZABfAFMAbwB1AHIAYwBlAFwAbgA9AEwAQQBNAEIARABBACgAKABcACIAVgBFAEUAUgBHACAAMgAwADIANgA6ACAAMQAxAC4AMgAuADMAIABDAG8AbgBzAHQAYQBuAHQAcwBcACIAKQApADsAXABuAFwAbgBXAGEAcwB0AGUAXwBFAG4AZQByAGcAeQBDAG8AbgB0AGUAbgB0AEYAYQBjAHQAbwByAFMAbAB1AGQAZwBlAEIAaQBvAGcAYQBzAEYAbABhAHIAZQBkAF8ARABhAHQAYQBcAG4APQBMAEEATQBCAEQAQQAoADAALgAwADMANwA3ACkAOwBcAG4AXABuAC8AKgBcAG4APQA9AD0APQA9AD0APQA9AD0APQA9AD0APQA9AD0APQA9AD0APQA9AD0APQA9AD0APQA9AD0APQA9AD0APQA9AD0APQA9AD0APQA9AD0APQA9AD0APQA9AD0APQA9AD0APQA9AD0APQA9AD0APQA9AD0APQA9AD0APQA9AD0APQA9AD0APQA9AD0APQA9AD0APQA9AD0APQBcAG4AKgAvAFwAbgBcAG4AVwBhAHMAdABlAF8ATQBlAHQAaABhAG4AZQBFAG0AaQBzAHMAaQBvAG4ARgBhAGMAdABvAHIAUwBsAHUAZABnAGUAQgBpAG8AZwBhAHMARgBsAGEAcgBlAGQAXwBUAGkAdABsAGUAXABuAD0ATABBAE0AQgBEAEEAKAAoAFwAIgBNAGUAdABoAGEAbgBlACAAZQBtAGkAcwBzAGkAbwBuACAAZgBhAGMAdABvAHIAIABmAG8AcgAgAHMAbAB1AGQAZwBlACAAYgBpAG8AZwBhAHMAIABmAGwAYQByAGUAZABcACIAKQApADsAXABuAFwAbgBXAGEAcwB0AGUAXwBNAGUAdABoAGEAbgBlAEUAbQBpAHMAcwBpAG8AbgBGAGEAYwB0AG8AcgBTAGwAdQBkAGcAZQBCAGkAbwBnAGEAcwBGAGwAYQByAGUAZABfAFYAYQByAGkAYQBiAGwAZQBcAG4APQBMAEEATQBCAEQAQQAoACgAXAAiAEUARgBmAGwAYQByAGUAZAAsAEMASAA0AFwAIgApACkAOwBcAG4AXABuAFcAYQBzAHQAZQBfAE0AZQB0AGgAYQBuAGUARQBtAGkAcwBzAGkAbwBuAEYAYQBjAHQAbwByAFMAbAB1AGQAZwBlAEIAaQBvAGcAYQBzAEYAbABhAHIAZQBkAF8AVQBuAGkAdABcAG4APQBMAEEATQBCAEQAQQAoACgAXAAiAGsAZwAgAEMASAA0ACAALwAgAEcASgBcACIAKQApADsAXABuAFwAbgBXAGEAcwB0AGUAXwBNAGUAdABoAGEAbgBlAEUAbQBpAHMAcwBpAG8AbgBGAGEAYwB0AG8AcgBTAGwAdQBkAGcAZQBCAGkAbwBnAGEAcwBGAGwAYQByAGUAZABfAFMAbwB1AHIAYwBlAFwAbgA9AEwAQQBNAEIARABBACgAKABcACIAVgBFAEUAUgBHACAAMgAwADIANgA6ACAAMQAxAC4AMgAuADMAIABDAG8AbgBzAHQAYQBuAHQAcwBcACIAKQApADsAXABuAFwAbgBXAGEAcwB0AGUAXwBNAGUAdABoAGEAbgBlAEUAbQBpAHMAcwBpAG8AbgBGAGEAYwB0AG8AcgBTAGwAdQBkAGcAZQBCAGkAbwBnAGEAcwBGAGwAYQByAGUAZABfAEQAYQB0AGEAXABuAD0ATABBAE0AQgBEAEEAKAAwAC4AMgAyADgAOQApADsAXABuAFwAbgAvACoAXABuAD0APQA9AD0APQA9AD0APQA9AD0APQA9AD0APQA9AD0APQA9AD0APQA9AD0APQA9AD0APQA9AD0APQA9AD0APQA9AD0APQA9AD0APQA9AD0APQA9AD0APQA9AD0APQA9AD0APQA9AD0APQA9AD0APQA9AD0APQA9AD0APQA9AD0APQA9AD0APQA9AD0APQA9AD0APQA9AD0AXABuACoALwBcAG4AXABuAFcAYQBzAHQAZQBfAE4AaQB0AHIAbwB1AHMATwB4AGkAZABlAEUAbQBpAHMAcwBpAG8AbgBGAGEAYwB0AG8AcgBTAGwAdQBkAGcAZQBCAGkAbwBnAGEAcwBGAGwAYQByAGUAZABfAFQAaQB0AGwAZQBcAG4APQBMAEEATQBCAEQAQQAoACgAXAAiAE4AaQB0AHIAbwB1AHMAIABvAHgAaQBkAGUAIABlAG0AaQBzAHMAaQBvAG4AIABmAGEAYwB0AG8AcgAgAGYAbwByACAAcwBsAHUAZABnAGUAIABiAGkAbwBnAGEAcwAgAGYAbABhAHIAZQBkAFwAIgApACkAOwBcAG4AXABuAFcAYQBzAHQAZQBfAE4AaQB0AHIAbwB1AHMATwB4AGkAZABlAEUAbQBpAHMAcwBpAG8AbgBGAGEAYwB0AG8AcgBTAGwAdQBkAGcAZQBCAGkAbwBnAGEAcwBGAGwAYQByAGUAZABfAFYAYQByAGkAYQBiAGwAZQBcAG4APQBMAEEATQBCAEQAQQAoACgAXAAiAEUARgBmAGwAYQByAGUAZAAsAE4AMgBPAFwAIgApACkAOwBcAG4AXABuAFcAYQBzAHQAZQBfAE4AaQB0AHIAbwB1AHMATwB4AGkAZABlAEUAbQBpAHMAcwBpAG8AbgBGAGEAYwB0AG8AcgBTAGwAdQBkAGcAZQBCAGkAbwBnAGEAcwBGAGwAYQByAGUAZABfAFUAbgBpAHQAXABuAD0ATABBAE0AQgBEAEEAKAAoAFwAIgBrAGcAIABOADIATwAgAC8AIABHAEoAXAAiACkAKQA7AFwAbgBcAG4AVwBhAHMAdABlAF8ATgBpAHQAcgBvAHUAcwBPAHgAaQBkAGUARQBtAGkAcwBzAGkAbwBuAEYAYQBjAHQAbwByAFMAbAB1AGQAZwBlAEIAaQBvAGcAYQBzAEYAbABhAHIAZQBkAF8AUwBvAHUAcgBjAGUAXABuAD0ATABBAE0AQgBEAEEAKAAoAFwAIgBWAEUARQBSAEcAIAAyADAAMgA2ADoAIAAxADEALgAyAC4AMwAgAEMAbwBuAHMAdABhAG4AdABzAFwAIgApACkAOwBcAG4AXABuAFcAYQBzAHQAZQBfAE4AaQB0AHIAbwB1AHMATwB4AGkAZABlAEUAbQBpAHMAcwBpAG8AbgBGAGEAYwB0AG8AcgBTAGwAdQBkAGcAZQBCAGkAbwBnAGEAcwBGAGwAYQByAGUAZABfAEQAYQB0AGEAXABuAD0ATABBAE0AQgBEAEEAKAAxAC4AMQAzADIAZQAtADQAKQA7AFwAbgAiAH0ALAB7ACIAcABhAHQAaAAiADoAIgAvAHAAcgBvAGoAZQBjAHQAcwAvAFcAYQBzAHQAZQB3AGEAdABlAHIAXwBOADIATwBfAEUAcQB1AGEAdABpAG8AbgBzACIALAAiAHQAZQB4AHQAIgA6ACIALwAqAFwAbgA9AD0APQA9AD0APQA9AD0APQA9AD0APQA9AD0APQA9AD0APQA9AD0APQA9AD0APQA9AD0APQA9AD0APQA9AD0APQA9AD0APQA9AD0APQA9AD0APQA9AD0APQA9AD0APQA9AD0APQA9AD0APQA9AD0APQA9AD0APQA9AD0APQA9AD0APQA9AD0APQA9AD0APQA9AD0APQA9AFwAbgAxADEALgAxADoAIABXAGEAcwB0AGUAdwBhAHQAZQByAFwAbgA9AD0APQA9AD0APQA9AD0APQA9AD0APQA9AD0APQA9AD0APQA9AD0APQA9AD0APQA9AD0APQA9AD0APQA9AD0APQA9AD0APQA9AD0APQA9AD0APQA9AD0APQA9AD0APQA9AD0APQA9AD0APQA9AD0APQA9AD0APQA9AD0APQA9AD0APQA9AD0APQA9AD0APQA9AD0APQA9AFwAbgAxADEALgAxAC4AMwAuADEAIABNAGUAdABoAG8AZAAgADEAIAAtACAATgBpAHQAcgBvAHUAcwAgAG8AeABpAGQAZQAgAGUAbQBpAHMAcwBpAG8AbgBzACAAZgByAG8AbQAgAG8AbgBzAGkAdABlACAAVwBhAHMAdABlAHcAYQB0AGUAcgAgAE0AYQBuAGEAZwBlAG0AZQBuAHQ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xADEAXwAxAF8AMwBfADEAXwBfADEAXwBOAGkAdAByAG8AdQBzAE8AeABpAGQAZQBFAG0AaQBzAHMAaQBvAG4AcwBGAHIAbwBtAEYAbABhAHIAZQBkAEIAaQBvAGcAYQBzAFwAbgBOAGkAdAByAG8AdQBzACAAbwB4AGkAZABlACAAZQBtAGkAcwBzAGkAbwBuAHMAIABmAHIAbwBtACAAZgBsAGEAcgBlAGQAIABiAGkAbwBnAGEAcwBcAG4ARQBfAE4AMgBPAFwAbgB0ACAATgAyAE8AXABuAEUAXwB7AE4AMgBPAH0APQBcAFwAZgByAGEAYwB7AFEAXwB7AGYAbABhAHIAZQBkAH0AfQB7ADEAMAAwADAAfQBcAFwAdABpAG0AZQBzACAARQBGAF8AewBmAGwAYQByAGUAZAAsAE4AMgBPAH0AXABuAFEAXwBmAGwAYQByAGUAZAAgAD0AIAB2AG8AbAB1AG0AZQAgAG8AZgAgAGIAaQBvAGcAYQBzACAAZgBsAGEAcgBlAGQAIAAoAG0AMwAgAG8AcgAgAEcASgApAFwAbgBFAEYAXwBmAGwAYQByAGUAZABfAE4AMgBPACAAPQAgAG4AaQB0AHIAbwB1AHMAIABvAHgAaQBkAGUAIABlAG0AaQBzAHMAaQBvAG4AIABmAGEAYwB0AG8AcgAgAGYAbwByACAAZgBsAGEAcgBlAGQAIABiAGkAbwBnAGEAcwAgACgAawBnACAATgAyAE8ALwBHAEoAKQBcAG4ALQAtAC0ALQAtAC0ALQAtAC0ALQAtAC0ALQAtAC0ALQAtAC0ALQAtAC0ALQAtAC0ALQAtAC0ALQAtAC0ALQAtAC0ALQAtAC0ALQAtAFwAbgAqAC8AXABuAFwAbgBWAEUARQBSAEcAXwAxADEAXwAxAF8AMwBfADEAXwBfADEAXwBOAGkAdAByAG8AdQBzAE8AeABpAGQAZQBFAG0AaQBzAHMAaQBvAG4AcwBGAHIAbwBtAEYAbABhAHIAZQBkAEIAaQBvAGcAYQBzAFwAbgAgACAAPQBMAEEATQBCAEQAQQAoAFwAbgAgACAAIAAgAFEAXwBmAGwAYQByAGUAZAAsACAARQBDAF8AZgBsAGEAcgBlAGQALAAgAEUARgBfAGYAbABhAHIAZQBkAE4AMgBPACwAXABuACAAIAAgACAAKABRAF8AZgBsAGEAcgBlAGQAIAAvACAAMQAwADAAMAApACAAKgAgACgARQBDAF8AZgBsAGEAcgBlAGQAIAAqACAARQBGAF8AZgBsAGEAcgBlAGQATgAyAE8AKQBcAG4AIAAgACkAOwBcAG4AXABuAFYARQBFAFIARwBfADEAMQBfADEAXwAzAF8AMQBfAF8AMQBfAE4AaQB0AHIAbwB1AHMATwB4AGkAZABlAEUAbQBpAHMAcwBpAG8AbgBzAEYAcgBvAG0ARgBsAGEAcgBlAGQAQgBpAG8AZwBhAHMAXwBUAGkAdABsAGUAXABuACAAIAA9AEwAQQBNAEIARABBACgAXAAiAE4AaQB0AHIAbwB1AHMAIABvAHgAaQBkAGUAIABlAG0AaQBzAHMAaQBvAG4AcwAgAGYAcgBvAG0AIABmAGwAYQByAGUAZAAgAGIAaQBvAGcAYQBzAFwAIgApADsAXABuAFwAbgBWAEUARQBSAEcAXwAxADEAXwAxAF8AMwBfADEAXwBfADEAXwBOAGkAdAByAG8AdQBzAE8AeABpAGQAZQBFAG0AaQBzAHMAaQBvAG4AcwBGAHIAbwBtAEYAbABhAHIAZQBkAEIAaQBvAGcAYQBzAF8AVgBhAHIAaQBhAGIAbABlAFwAbgAgACAAPQBMAEEATQBCAEQAQQAoAFwAIgBFAF8ATgAyAE8AXAAiACkAOwBcAG4AXABuAFYARQBFAFIARwBfADEAMQBfADEAXwAzAF8AMQBfAF8AMQBfAE4AaQB0AHIAbwB1AHMATwB4AGkAZABlAEUAbQBpAHMAcwBpAG8AbgBzAEYAcgBvAG0ARgBsAGEAcgBlAGQAQgBpAG8AZwBhAHMAXwBVAG4AaQB0AFwAbgAgACAAPQBMAEEATQBCAEQAQQAoAFwAIgB0ACAATgAyAE8AXAAiACkAOwBcAG4AXABuAFYARQBFAFIARwBfADEAMQBfADEAXwAzAF8AMQBfAF8AMQBfAE4AaQB0AHIAbwB1AHMATwB4AGkAZABlAEUAbQBpAHMAcwBpAG8AbgBzAEYAcgBvAG0ARgBsAGEAcgBlAGQAQgBpAG8AZwBhAHMAXwBTAG8AdQByAGMAZQBcAG4AIAAgAD0ATABBAE0AQgBEAEEAKABcACIAVgBFAEUAUgBHACAAMgAwADIANgA6ACAAMQAxAC4AMQAuADMALgAxACwAIABFAHEAdQBhAHQAaQBvAG4AIAAoADEAKQBcACIAKQA7AFwAbgBcAG4AVgBFAEUAUgBHAF8AMQAxAF8AMQBfADMAXwAxAF8AXwAxAF8ATgBpAHQAcgBvAHUAcwBPAHgAaQBkAGUARQBtAGkAcwBzAGkAbwBuAHMARgByAG8AbQBGAGwAYQByAGUAZABCAGkAbwBnAGEAcwBfAE4ASQBSAFIAZQBmAGUAcgBlAG4AYwBlAFwAbgAgACAAPQBMAEEATQBCAEQAQQAoAFwAIgBcACIAKQA7AFwAbgBcAG4AVgBFAEUAUgBHAF8AMQAxAF8AMQBfADMAXwAxAF8AXwAxAF8ATgBpAHQAcgBvAHUAcwBPAHgAaQBkAGUARQBtAGkAcwBzAGkAbwBuAHMARgByAG8AbQBGAGwAYQByAGUAZABCAGkAbwBnAGEAcwBfAEwAYQB0AGUAeABFAHEAdQBhAHQAaQBvAG4AXABuACAAIAA9AEwAQQBNAEIARABBACgAXAAiAEUAXwB7AE4AMgBPAH0APQBcAFwAZgByAGEAYwB7AFEAXwB7AGYAbABhAHIAZQBkAH0AfQB7ADEAMAAwADAAfQBcAFwAdABpAG0AZQBzACAAXABcAGwAZQBmAHQAWwBFAEMAXwB7AGYAbABhAHIAZQBkAH0AIABcAFwAdABpAG0AZQBzACAARQBGAF8AewBmAGwAYQByAGUAZAAsAE4AMgBPAH0AXABcAHIAaQBnAGgAdABdAFwAIgApADsAXABuAFwAbgBWAEUARQBSAEcAXwAxADEAXwAxAF8AMwBfADEAXwBfADEAXwBOAGkAdAByAG8AdQBzAE8AeABpAGQAZQBFAG0AaQBzAHMAaQBvAG4AcwBGAHIAbwBtAEYAbABhAHIAZQBkAEIAaQBvAGcAYQBzAF8AQQByAGcAdQBtAGUAbgB0AHMAXABuACAAIAA9AEwAQQBNAEIARABBACgAXABuACAAIAAgACAATQBBAEsARQBBAFIAUgBBAFkAKAAzACwAIAA0ACwAXABuACAAIAAgACAAIAAgAEwAQQBNAEIARABBACgAcgAsAGMALABcAG4AIAAgACAAIAAgACAAIAAgAEkATgBEAEUAWAAoAHsAXABuACAAIAAgACAAIAAgACAAIAAgACAAXAAiAFEAXwBmAGwAYQByAGUAZABcACIALAAgAFwAIgB2AG8AbAB1AG0AZQAgAG8AZgAgAGIAaQBvAGcAYQBzACAAZgBsAGEAcgBlAGQAXAAiACwAIABcACIAbQAzAFwAIgAsACAAXAAiAEkAbgBwAHUAdABcACIAOwBcAG4AIAAgACAAIAAgACAAIAAgACAAIABcACIARQBDAF8AZgBsAGEAcgBlAGQAXAAiACwAIABcACIAZQBuAGUAcgBnAHkAIABjAG8AbgB0AGUAbgB0ACAAZgBhAGMAdABvAHIAIABvAGYAIABzAGwAdQBkAGcAZQAgAGIAaQBvAGcAYQBzACAAZgBsAGEAcgBlAGQAXAAiACwAIABcACIARwBKAC8AbQAzAFwAIgAsACAAXAAiAEMAbwBuAHMAdABhAG4AdABcACIAOwBcAG4AIAAgACAAIAAgACAAIAAgACAAIABcACIARQBGAF8AZgBsAGEAcgBlAGQATgAyAE8AXAAiACwAIABcACIAbgBpAHQAcgBvAHUAcwAgAG8AeABpAGQAZQAgAGUAbQBpAHMAcwBpAG8AbgAgAGYAYQBjAHQAbwByACAAZgBvAHIAIABmAGwAYQByAGUAZAAgAGIAaQBvAGcAYQBzAFwAIgAsACAAXAAiAGsAZwAgAE4AMgBPAC8ARwBKAFwAIgAsACAAXAAiAEMAbwBuAHMAdABhAG4AdABcACIAXABuACAAIAAgACAAIAAgACAAIAB9ACwAIAByACwAIABjACkAXABuACAAIAAgACAAIAAgACkAXABuACAAIAAgACAAKQBcAG4AIAAgACkAOwBcAG4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TAG8AdQByAGMAZQBEAGEAdABhAC4AQwBvAG0AbQBvAG4AXwBTAG8AdQByAGMAZQBEAGEAdABhAF8ATQBvAG4AdABoAHMAVABvAFMAZQBhAHMAbwBuAHMAXwBUAGkAdABsAGUAIgAsACIAQwBvAG0AbQBvAG4AXwBTAG8AdQByAGMAZQBEAGEAdABhAC4AQwBvAG0AbQBvAG4AXwBTAG8AdQByAGMAZQBEAGEAdABhAF8ATQBvAG4AdABoAHMAVABvAFMAZQBhAHMAbwBuAHMAXwBVAG4AaQB0ACIALAAiAEMAbwBtAG0AbwBuAF8AUwBvAHUAcgBjAGUARABhAHQAYQAuAEMAbwBtAG0AbwBuAF8AUwBvAHUAcgBjAGUARABhAHQAYQBfAE0AbwBuAHQAaABzAFQAbwBTAGUAYQBzAG8AbgBzAF8AUwBvAHUAcgBjAGUAIgAsACIAQwBvAG0AbQBvAG4AXwBTAG8AdQByAGMAZQBEAGEAdABhAC4AQwBvAG0AbQBvAG4AXwBTAG8AdQByAGMAZQBEAGEAdABhAF8ATQBvAG4AdABoAHMAVABvAFMAZQBhAHMAbwBuAHMAXwBOAEkAUgBSAGUAZgBlAHIAZQBuAGMAZQAiACwAIgBDAG8AbQBtAG8AbgBfAFMAbwB1AHIAYwBlAEQAYQB0AGEALgBDAG8AbQBtAG8AbgBfAFMAbwB1AHIAYwBlAEQAYQB0AGEAXwBNAG8AbgB0AGgAcwBUAG8AUwBlAGEAcwBvAG4AcwBfAEQAYQB0AGEAIgAsACIAQwBvAG0AbQBvAG4AXwBTAG8AdQByAGMAZQBEAGEAdABhAC4AQwBvAG0AbQBvAG4AXwBTAG8AdQByAGMAZQBEAGEAdABhAF8ATQBvAG4AdABoAHMAVABvAFMAZQBhAHMAbwBuAHMAXwBWAGEAcgBpAGEAdABpAG8AbgAiACwAIgBDAG8AbQBtAG8AbgBfAFMAbwB1AHIAYwBlAEQAYQB0AGEALgBDAG8AbQBtAG8AbgBfAFMAbwB1AHIAYwBlAEQAYQB0AGEAXwBFAEYATwByAGcAYQBuAGkAYwBGAGUAcgB0AGkAbABpAHMAZQByAEEAbgBkAEMAcgBvAHAAUgBlAHMAaQBkAHUAZQBzAF8AVABpAHQAbABlACIALAAiAEMAbwBtAG0AbwBuAF8AUwBvAHUAcgBjAGUARABhAHQAYQAuAEMAbwBtAG0AbwBuAF8AUwBvAHUAcgBjAGUARABhAHQAYQBfAEUARgBPAHIAZwBhAG4AaQBjAEYAZQByAHQAaQBsAGkAcwBlAHIAQQBuAGQAQwByAG8AcABSAGUAcwBpAGQAdQBlAHMAXwBWAGEAcgBpAGEAYgBsAGUAIgAsACIAQwBvAG0AbQBvAG4AXwBTAG8AdQByAGMAZQBEAGEAdABhAC4AQwBvAG0AbQBvAG4AXwBTAG8AdQByAGMAZQBEAGEAdABhAF8ARQBGAE8AcgBnAGEAbgBpAGMARgBlAHIAdABpAGwAaQBzAGUAcgBBAG4AZABDAHIAbwBwAFIAZQBzAGkAZAB1AGUAcwBfAFUAbgBpAHQAIgAsACIAQwBvAG0AbQBvAG4AXwBTAG8AdQByAGMAZQBEAGEAdABhAC4AQwBvAG0AbQBvAG4AXwBTAG8AdQByAGMAZQBEAGEAdABhAF8ARQBGAE8AcgBnAGEAbgBpAGMARgBlAHIAdABpAGwAaQBzAGUAcgBBAG4AZABDAHIAbwBwAFIAZQBzAGkAZAB1AGUAcwBfAFMAbwB1AHIAYwBlACIALAAiAEMAbwBtAG0AbwBuAF8AUwBvAHUAcgBjAGUARABhAHQAYQAuAEMAbwBtAG0AbwBuAF8AUwBvAHUAcgBjAGUARABhAHQAYQBfAEUARgBPAHIAZwBhAG4AaQBjAEYAZQByAHQAaQBsAGkAcwBlAHIAQQBuAGQAQwByAG8AcABSAGUAcwBpAGQAdQBlAHMAXwBOAEkAUgBSAGUAZgBlAHIAZQBuAGMAZQAiACwAIgBDAG8AbQBtAG8AbgBfAFMAbwB1AHIAYwBlAEQAYQB0AGEALgBDAG8AbQBtAG8AbgBfAFMAbwB1AHIAYwBlAEQAYQB0AGEAXwBFAEYATwByAGcAYQBuAGkAYwBGAGUAcgB0AGkAbABpAHMAZQByAEEAbgBkAEMAcgBvAHAAUgBlAHMAaQBkAHUAZQBzAF8ARABhAHQAYQAiACwAIgBDAG8AbQBtAG8AbgBfAFMAbwB1AHIAYwBlAEQAYQB0AGEALgBDAG8AbQBtAG8AbgBfAFMAbwB1AHIAYwBlAEQAYQB0AGEAXwBFAEYATwByAGcAYQBuAGkAYwBGAGUAcgB0AGkAbABpAHMAZQByAEEAbgBkAEMAcgBvAHAAUgBlAHMAaQBkAHUAZQBzAF8AVgBhAHIAaQBhAHQAaQBvAG4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FcAYQBzAHQAZQB3AGEAdABlAHIAXwBNAGUAdABoAGEAbgBlAF8ARQBxAHUAYQB0AGkAbwBuAHMALgBWAEUARQBSAEcAXwAxADEAXwAxAF8AMQBfADEAXwBfADEAXwBNAGUAdABoAGEAbgBlAEUAbQBpAHMAcwBpAG8AbgBzAEYAcgBvAG0AVwBhAHMAdABlAHcAYQB0AGUAcgBUAHIAZQBhAHQAbQBlAG4AdAAiACwAIgBXAGEAcwB0AGUAdwBhAHQAZQByAF8ATQBlAHQAaABhAG4AZQBfAEUAcQB1AGEAdABpAG8AbgBzAC4AVgBFAEUAUgBHAF8AMQAxAF8AMQBfADEAXwAxAF8AXwAxAF8ATQBlAHQAaABhAG4AZQBFAG0AaQBzAHMAaQBvAG4AcwBGAHIAbwBtAFcAYQBzAHQAZQB3AGEAdABlAHIAVAByAGUAYQB0AG0AZQBuAHQAXwBUAGkAdABsAGUAIgAsACIAVwBhAHMAdABlAHcAYQB0AGUAcgBfAE0AZQB0AGgAYQBuAGUAXwBFAHEAdQBhAHQAaQBvAG4AcwAuAFYARQBFAFIARwBfADEAMQBfADEAXwAxAF8AMQBfAF8AMQBfAE0AZQB0AGgAYQBuAGUARQBtAGkAcwBzAGkAbwBuAHMARgByAG8AbQBXAGEAcwB0AGUAdwBhAHQAZQByAFQAcgBlAGEAdABtAGUAbgB0AF8AVgBhAHIAaQBhAGIAbABlACIALAAiAFcAYQBzAHQAZQB3AGEAdABlAHIAXwBNAGUAdABoAGEAbgBlAF8ARQBxAHUAYQB0AGkAbwBuAHMALgBWAEUARQBSAEcAXwAxADEAXwAxAF8AMQBfADEAXwBfADEAXwBNAGUAdABoAGEAbgBlAEUAbQBpAHMAcwBpAG8AbgBzAEYAcgBvAG0AVwBhAHMAdABlAHcAYQB0AGUAcgBUAHIAZQBhAHQAbQBlAG4AdABfAFUAbgBpAHQAIgAsACIAVwBhAHMAdABlAHcAYQB0AGUAcgBfAE0AZQB0AGgAYQBuAGUAXwBFAHEAdQBhAHQAaQBvAG4AcwAuAFYARQBFAFIARwBfADEAMQBfADEAXwAxAF8AMQBfAF8AMQBfAE0AZQB0AGgAYQBuAGUARQBtAGkAcwBzAGkAbwBuAHMARgByAG8AbQBXAGEAcwB0AGUAdwBhAHQAZQByAFQAcgBlAGEAdABtAGUAbgB0AF8AUwBvAHUAcgBjAGUAIgAsACIAVwBhAHMAdABlAHcAYQB0AGUAcgBfAE0AZQB0AGgAYQBuAGUAXwBFAHEAdQBhAHQAaQBvAG4AcwAuAFYARQBFAFIARwBfADEAMQBfADEAXwAxAF8AMQBfAF8AMQBfAE0AZQB0AGgAYQBuAGUARQBtAGkAcwBzAGkAbwBuAHMARgByAG8AbQBXAGEAcwB0AGUAdwBhAHQAZQByAFQAcgBlAGEAdABtAGUAbgB0AF8ATgBJAFIAUgBlAGYAZQByAGUAbgBjAGUAIgAsACIAVwBhAHMAdABlAHcAYQB0AGUAcgBfAE0AZQB0AGgAYQBuAGUAXwBFAHEAdQBhAHQAaQBvAG4AcwAuAFYARQBFAFIARwBfADEAMQBfADEAXwAxAF8AMQBfAF8AMQBfAE0AZQB0AGgAYQBuAGUARQBtAGkAcwBzAGkAbwBuAHMARgByAG8AbQBXAGEAcwB0AGUAdwBhAHQAZQByAFQAcgBlAGEAdABtAGUAbgB0AF8ATABhAHQAZQB4AEUAcQB1AGEAdABpAG8AbgAiACwAIgBXAGEAcwB0AGUAdwBhAHQAZQByAF8ATQBlAHQAaABhAG4AZQBfAEUAcQB1AGEAdABpAG8AbgBzAC4AVgBFAEUAUgBHAF8AMQAxAF8AMQBfADEAXwAxAF8AXwAxAF8ATQBlAHQAaABhAG4AZQBFAG0AaQBzAHMAaQBvAG4AcwBGAHIAbwBtAFcAYQBzAHQAZQB3AGEAdABlAHIAVAByAGUAYQB0AG0AZQBuAHQAXwBBAHIAZwB1AG0AZQBuAHQAcwAiACwAIgBXAGEAcwB0AGUAdwBhAHQAZQByAF8ATQBlAHQAaABhAG4AZQBfAEUAcQB1AGEAdABpAG8AbgBzAC4AVgBFAEUAUgBHAF8AMQAxAF8AMQBfADEAXwAxAF8AXwAxAF8ATQBlAHQAaABhAG4AZQBFAG0AaQBzAHMAaQBvAG4AcwBGAHIAbwBtAFcAYQBzAHQAZQB3AGEAdABlAHIAVAByAGUAYQB0AG0AZQBuAHQAXwBWAGEAcgBpAGEAdABpAG8AbgAiACwAIgBXAGEAcwB0AGUAdwBhAHQAZQByAF8AUwBvAHUAcgBjAGUARABhAHQAYQAuAFcAYQBzAHQAZQBfAE0AZQB0AGgAYQBuAGUAQwBvAHIAcgBlAGMAdABpAG8AbgBGAGEAYwB0AG8AcgBXAGEAcwB0AGUAdwBhAHQAZQByAF8AVABpAHQAbABlACIALAAiAFcAYQBzAHQAZQB3AGEAdABlAHIAXwBTAG8AdQByAGMAZQBEAGEAdABhAC4AVwBhAHMAdABlAF8ATQBlAHQAaABhAG4AZQBDAG8AcgByAGUAYwB0AGkAbwBuAEYAYQBjAHQAbwByAFcAYQBzAHQAZQB3AGEAdABlAHIAXwBWAGEAcgBpAGEAYgBsAGUAIgAsACIAVwBhAHMAdABlAHcAYQB0AGUAcgBfAFMAbwB1AHIAYwBlAEQAYQB0AGEALgBXAGEAcwB0AGUAXwBNAGUAdABoAGEAbgBlAEMAbwByAHIAZQBjAHQAaQBvAG4ARgBhAGMAdABvAHIAVwBhAHMAdABlAHcAYQB0AGUAcgBfAFUAbgBpAHQAIgAsACIAVwBhAHMAdABlAHcAYQB0AGUAcgBfAFMAbwB1AHIAYwBlAEQAYQB0AGEALgBXAGEAcwB0AGUAXwBNAGUAdABoAGEAbgBlAEMAbwByAHIAZQBjAHQAaQBvAG4ARgBhAGMAdABvAHIAVwBhAHMAdABlAHcAYQB0AGUAcgBfAFMAbwB1AHIAYwBlACIALAAiAFcAYQBzAHQAZQB3AGEAdABlAHIAXwBTAG8AdQByAGMAZQBEAGEAdABhAC4AVwBhAHMAdABlAF8ATQBlAHQAaABhAG4AZQBDAG8AcgByAGUAYwB0AGkAbwBuAEYAYQBjAHQAbwByAFcAYQBzAHQAZQB3AGEAdABlAHIAXwBEAGEAdABhACIALAAiAFcAYQBzAHQAZQB3AGEAdABlAHIAXwBTAG8AdQByAGMAZQBEAGEAdABhAC4AVwBhAHMAdABlAF8ATQBlAHQAaABhAG4AZQBDAG8AcgByAGUAYwB0AGkAbwBuAEYAYQBjAHQAbwByAFcAYQBzAHQAZQB3AGEAdABlAHIAXwBWAGEAcgBpAGEAdABpAG8AbgAiACwAIgBXAGEAcwB0AGUAdwBhAHQAZQByAF8AUwBvAHUAcgBjAGUARABhAHQAYQAuAFcAYQBzAHQAZQBfAE0AZQB0AGgAYQBuAGUAQwBvAHIAcgBlAGMAdABpAG8AbgBGAGEAYwB0AG8AcgBTAGwAdQBkAGcAZQBfAFQAaQB0AGwAZQAiACwAIgBXAGEAcwB0AGUAdwBhAHQAZQByAF8AUwBvAHUAcgBjAGUARABhAHQAYQAuAFcAYQBzAHQAZQBfAE0AZQB0AGgAYQBuAGUAQwBvAHIAcgBlAGMAdABpAG8AbgBGAGEAYwB0AG8AcgBTAGwAdQBkAGcAZQBfAFYAYQByAGkAYQBiAGwAZQAiACwAIgBXAGEAcwB0AGUAdwBhAHQAZQByAF8AUwBvAHUAcgBjAGUARABhAHQAYQAuAFcAYQBzAHQAZQBfAE0AZQB0AGgAYQBuAGUAQwBvAHIAcgBlAGMAdABpAG8AbgBGAGEAYwB0AG8AcgBTAGwAdQBkAGcAZQBfAFUAbgBpAHQAIgAsACIAVwBhAHMAdABlAHcAYQB0AGUAcgBfAFMAbwB1AHIAYwBlAEQAYQB0AGEALgBXAGEAcwB0AGUAXwBNAGUAdABoAGEAbgBlAEMAbwByAHIAZQBjAHQAaQBvAG4ARgBhAGMAdABvAHIAUwBsAHUAZABnAGUAXwBTAG8AdQByAGMAZQAiACwAIgBXAGEAcwB0AGUAdwBhAHQAZQByAF8AUwBvAHUAcgBjAGUARABhAHQAYQAuAFcAYQBzAHQAZQBfAE0AZQB0AGgAYQBuAGUAQwBvAHIAcgBlAGMAdABpAG8AbgBGAGEAYwB0AG8AcgBTAGwAdQBkAGcAZQBfAEQAYQB0AGEAIgAsACIAVwBhAHMAdABlAHcAYQB0AGUAcgBfAFMAbwB1AHIAYwBlAEQAYQB0AGEALgBXAGEAcwB0AGUAXwBNAGUAdABoAGEAbgBlAEMAbwByAHIAZQBjAHQAaQBvAG4ARgBhAGMAdABvAHIAUwBsAHUAZABnAGUAXwBWAGEAcgBpAGEAdABpAG8AbgAiACwAIgBXAGEAcwB0AGUAdwBhAHQAZQByAF8AUwBvAHUAcgBjAGUARABhAHQAYQAuAFcAYQBzAHQAZQBfAE0AZQB0AGgAYQBuAGUARQBtAGkAcwBzAGkAbwBuAEYAYQBjAHQAbwByAFcAYQBzAHQAZQB3AGEAdABlAHIAXwBUAGkAdABsAGUAIgAsACIAVwBhAHMAdABlAHcAYQB0AGUAcgBfAFMAbwB1AHIAYwBlAEQAYQB0AGEALgBXAGEAcwB0AGUAXwBNAGUAdABoAGEAbgBlAEUAbQBpAHMAcwBpAG8AbgBGAGEAYwB0AG8AcgBXAGEAcwB0AGUAdwBhAHQAZQByAF8AVgBhAHIAaQBhAGIAbABlACIALAAiAFcAYQBzAHQAZQB3AGEAdABlAHIAXwBTAG8AdQByAGMAZQBEAGEAdABhAC4AVwBhAHMAdABlAF8ATQBlAHQAaABhAG4AZQBFAG0AaQBzAHMAaQBvAG4ARgBhAGMAdABvAHIAVwBhAHMAdABlAHcAYQB0AGUAcgBfAFUAbgBpAHQAIgAsACIAVwBhAHMAdABlAHcAYQB0AGUAcgBfAFMAbwB1AHIAYwBlAEQAYQB0AGEALgBXAGEAcwB0AGUAXwBNAGUAdABoAGEAbgBlAEUAbQBpAHMAcwBpAG8AbgBGAGEAYwB0AG8AcgBXAGEAcwB0AGUAdwBhAHQAZQByAF8AUwBvAHUAcgBjAGUAIgAsACIAVwBhAHMAdABlAHcAYQB0AGUAcgBfAFMAbwB1AHIAYwBlAEQAYQB0AGEALgBXAGEAcwB0AGUAXwBNAGUAdABoAGEAbgBlAEUAbQBpAHMAcwBpAG8AbgBGAGEAYwB0AG8AcgBXAGEAcwB0AGUAdwBhAHQAZQByAF8ARABhAHQAYQAiACwAIgBXAGEAcwB0AGUAdwBhAHQAZQByAF8AUwBvAHUAcgBjAGUARABhAHQAYQAuAFcAYQBzAHQAZQBfAE0AZQB0AGgAYQBuAGUARQBtAGkAcwBzAGkAbwBuAEYAYQBjAHQAbwByAFMAbAB1AGQAZwBlAF8AVABpAHQAbABlACIALAAiAFcAYQBzAHQAZQB3AGEAdABlAHIAXwBTAG8AdQByAGMAZQBEAGEAdABhAC4AVwBhAHMAdABlAF8ATQBlAHQAaABhAG4AZQBFAG0AaQBzAHMAaQBvAG4ARgBhAGMAdABvAHIAUwBsAHUAZABnAGUAXwBWAGEAcgBpAGEAYgBsAGUAIgAsACIAVwBhAHMAdABlAHcAYQB0AGUAcgBfAFMAbwB1AHIAYwBlAEQAYQB0AGEALgBXAGEAcwB0AGUAXwBNAGUAdABoAGEAbgBlAEUAbQBpAHMAcwBpAG8AbgBGAGEAYwB0AG8AcgBTAGwAdQBkAGcAZQBfAFUAbgBpAHQAIgAsACIAVwBhAHMAdABlAHcAYQB0AGUAcgBfAFMAbwB1AHIAYwBlAEQAYQB0AGEALgBXAGEAcwB0AGUAXwBNAGUAdABoAGEAbgBlAEUAbQBpAHMAcwBpAG8AbgBGAGEAYwB0AG8AcgBTAGwAdQBkAGcAZQBfAFMAbwB1AHIAYwBlACIALAAiAFcAYQBzAHQAZQB3AGEAdABlAHIAXwBTAG8AdQByAGMAZQBEAGEAdABhAC4AVwBhAHMAdABlAF8ATQBlAHQAaABhAG4AZQBFAG0AaQBzAHMAaQBvAG4ARgBhAGMAdABvAHIAUwBsAHUAZABnAGUAXwBEAGEAdABhACIALAAiAFcAYQBzAHQAZQB3AGEAdABlAHIAXwBTAG8AdQByAGMAZQBEAGEAdABhAC4AVwBhAHMAdABlAF8ARQBuAGUAcgBnAHkAQwBvAG4AdABlAG4AdABGAGEAYwB0AG8AcgBTAGwAdQBkAGcAZQBCAGkAbwBnAGEAcwBGAGwAYQByAGUAZABfAFQAaQB0AGwAZQAiACwAIgBXAGEAcwB0AGUAdwBhAHQAZQByAF8AUwBvAHUAcgBjAGUARABhAHQAYQAuAFcAYQBzAHQAZQBfAEUAbgBlAHIAZwB5AEMAbwBuAHQAZQBuAHQARgBhAGMAdABvAHIAUwBsAHUAZABnAGUAQgBpAG8AZwBhAHMARgBsAGEAcgBlAGQAXwBWAGEAcgBpAGEAYgBsAGUAIgAsACIAVwBhAHMAdABlAHcAYQB0AGUAcgBfAFMAbwB1AHIAYwBlAEQAYQB0AGEALgBXAGEAcwB0AGUAXwBFAG4AZQByAGcAeQBDAG8AbgB0AGUAbgB0AEYAYQBjAHQAbwByAFMAbAB1AGQAZwBlAEIAaQBvAGcAYQBzAEYAbABhAHIAZQBkAF8AVQBuAGkAdAAiACwAIgBXAGEAcwB0AGUAdwBhAHQAZQByAF8AUwBvAHUAcgBjAGUARABhAHQAYQAuAFcAYQBzAHQAZQBfAEUAbgBlAHIAZwB5AEMAbwBuAHQAZQBuAHQARgBhAGMAdABvAHIAUwBsAHUAZABnAGUAQgBpAG8AZwBhAHMARgBsAGEAcgBlAGQAXwBTAG8AdQByAGMAZQAiACwAIgBXAGEAcwB0AGUAdwBhAHQAZQByAF8AUwBvAHUAcgBjAGUARABhAHQAYQAuAFcAYQBzAHQAZQBfAEUAbgBlAHIAZwB5AEMAbwBuAHQAZQBuAHQARgBhAGMAdABvAHIAUwBsAHUAZABnAGUAQgBpAG8AZwBhAHMARgBsAGEAcgBlAGQAXwBEAGEAdABhACIALAAiAFcAYQBzAHQAZQB3AGEAdABlAHIAXwBTAG8AdQByAGMAZQBEAGEAdABhAC4AVwBhAHMAdABlAF8ATQBlAHQAaABhAG4AZQBFAG0AaQBzAHMAaQBvAG4ARgBhAGMAdABvAHIAUwBsAHUAZABnAGUAQgBpAG8AZwBhAHMARgBsAGEAcgBlAGQAXwBUAGkAdABsAGUAIgAsACIAVwBhAHMAdABlAHcAYQB0AGUAcgBfAFMAbwB1AHIAYwBlAEQAYQB0AGEALgBXAGEAcwB0AGUAXwBNAGUAdABoAGEAbgBlAEUAbQBpAHMAcwBpAG8AbgBGAGEAYwB0AG8AcgBTAGwAdQBkAGcAZQBCAGkAbwBnAGEAcwBGAGwAYQByAGUAZABfAFYAYQByAGkAYQBiAGwAZQAiACwAIgBXAGEAcwB0AGUAdwBhAHQAZQByAF8AUwBvAHUAcgBjAGUARABhAHQAYQAuAFcAYQBzAHQAZQBfAE0AZQB0AGgAYQBuAGUARQBtAGkAcwBzAGkAbwBuAEYAYQBjAHQAbwByAFMAbAB1AGQAZwBlAEIAaQBvAGcAYQBzAEYAbABhAHIAZQBkAF8AVQBuAGkAdAAiACwAIgBXAGEAcwB0AGUAdwBhAHQAZQByAF8AUwBvAHUAcgBjAGUARABhAHQAYQAuAFcAYQBzAHQAZQBfAE0AZQB0AGgAYQBuAGUARQBtAGkAcwBzAGkAbwBuAEYAYQBjAHQAbwByAFMAbAB1AGQAZwBlAEIAaQBvAGcAYQBzAEYAbABhAHIAZQBkAF8AUwBvAHUAcgBjAGUAIgAsACIAVwBhAHMAdABlAHcAYQB0AGUAcgBfAFMAbwB1AHIAYwBlAEQAYQB0AGEALgBXAGEAcwB0AGUAXwBNAGUAdABoAGEAbgBlAEUAbQBpAHMAcwBpAG8AbgBGAGEAYwB0AG8AcgBTAGwAdQBkAGcAZQBCAGkAbwBnAGEAcwBGAGwAYQByAGUAZABfAEQAYQB0AGEAIgAsACIAVwBhAHMAdABlAHcAYQB0AGUAcgBfAFMAbwB1AHIAYwBlAEQAYQB0AGEALgBXAGEAcwB0AGUAXwBOAGkAdAByAG8AdQBzAE8AeABpAGQAZQBFAG0AaQBzAHMAaQBvAG4ARgBhAGMAdABvAHIAUwBsAHUAZABnAGUAQgBpAG8AZwBhAHMARgBsAGEAcgBlAGQAXwBUAGkAdABsAGUAIgAsACIAVwBhAHMAdABlAHcAYQB0AGUAcgBfAFMAbwB1AHIAYwBlAEQAYQB0AGEALgBXAGEAcwB0AGUAXwBOAGkAdAByAG8AdQBzAE8AeABpAGQAZQBFAG0AaQBzAHMAaQBvAG4ARgBhAGMAdABvAHIAUwBsAHUAZABnAGUAQgBpAG8AZwBhAHMARgBsAGEAcgBlAGQAXwBWAGEAcgBpAGEAYgBsAGUAIgAsACIAVwBhAHMAdABlAHcAYQB0AGUAcgBfAFMAbwB1AHIAYwBlAEQAYQB0AGEALgBXAGEAcwB0AGUAXwBOAGkAdAByAG8AdQBzAE8AeABpAGQAZQBFAG0AaQBzAHMAaQBvAG4ARgBhAGMAdABvAHIAUwBsAHUAZABnAGUAQgBpAG8AZwBhAHMARgBsAGEAcgBlAGQAXwBVAG4AaQB0ACIALAAiAFcAYQBzAHQAZQB3AGEAdABlAHIAXwBTAG8AdQByAGMAZQBEAGEAdABhAC4AVwBhAHMAdABlAF8ATgBpAHQAcgBvAHUAcwBPAHgAaQBkAGUARQBtAGkAcwBzAGkAbwBuAEYAYQBjAHQAbwByAFMAbAB1AGQAZwBlAEIAaQBvAGcAYQBzAEYAbABhAHIAZQBkAF8AUwBvAHUAcgBjAGUAIgAsACIAVwBhAHMAdABlAHcAYQB0AGUAcgBfAFMAbwB1AHIAYwBlAEQAYQB0AGEALgBXAGEAcwB0AGUAXwBOAGkAdAByAG8AdQBzAE8AeABpAGQAZQBFAG0AaQBzAHMAaQBvAG4ARgBhAGMAdABvAHIAUwBsAHUAZABnAGUAQgBpAG8AZwBhAHMARgBsAGEAcgBlAGQAXwBEAGEAdABhACIALAAiAFcAYQBzAHQAZQB3AGEAdABlAHIAXwBOADIATwBfAEUAcQB1AGEAdABpAG8AbgBzAC4AVgBFAEUAUgBHAF8AMQAxAF8AMQBfADMAXwAxAF8AXwAxAF8ATgBpAHQAcgBvAHUAcwBPAHgAaQBkAGUARQBtAGkAcwBzAGkAbwBuAHMARgByAG8AbQBGAGwAYQByAGUAZABCAGkAbwBnAGEAcwAiACwAIgBXAGEAcwB0AGUAdwBhAHQAZQByAF8ATgAyAE8AXwBFAHEAdQBhAHQAaQBvAG4AcwAuAFYARQBFAFIARwBfADEAMQBfADEAXwAzAF8AMQBfAF8AMQBfAE4AaQB0AHIAbwB1AHMATwB4AGkAZABlAEUAbQBpAHMAcwBpAG8AbgBzAEYAcgBvAG0ARgBsAGEAcgBlAGQAQgBpAG8AZwBhAHMAXwBUAGkAdABsAGUAIgAsACIAVwBhAHMAdABlAHcAYQB0AGUAcgBfAE4AMgBPAF8ARQBxAHUAYQB0AGkAbwBuAHMALgBWAEUARQBSAEcAXwAxADEAXwAxAF8AMwBfADEAXwBfADEAXwBOAGkAdAByAG8AdQBzAE8AeABpAGQAZQBFAG0AaQBzAHMAaQBvAG4AcwBGAHIAbwBtAEYAbABhAHIAZQBkAEIAaQBvAGcAYQBzAF8AVgBhAHIAaQBhAGIAbABlACIALAAiAFcAYQBzAHQAZQB3AGEAdABlAHIAXwBOADIATwBfAEUAcQB1AGEAdABpAG8AbgBzAC4AVgBFAEUAUgBHAF8AMQAxAF8AMQBfADMAXwAxAF8AXwAxAF8ATgBpAHQAcgBvAHUAcwBPAHgAaQBkAGUARQBtAGkAcwBzAGkAbwBuAHMARgByAG8AbQBGAGwAYQByAGUAZABCAGkAbwBnAGEAcwBfAFUAbgBpAHQAIgAsACIAVwBhAHMAdABlAHcAYQB0AGUAcgBfAE4AMgBPAF8ARQBxAHUAYQB0AGkAbwBuAHMALgBWAEUARQBSAEcAXwAxADEAXwAxAF8AMwBfADEAXwBfADEAXwBOAGkAdAByAG8AdQBzAE8AeABpAGQAZQBFAG0AaQBzAHMAaQBvAG4AcwBGAHIAbwBtAEYAbABhAHIAZQBkAEIAaQBvAGcAYQBzAF8AUwBvAHUAcgBjAGUAIgAsACIAVwBhAHMAdABlAHcAYQB0AGUAcgBfAE4AMgBPAF8ARQBxAHUAYQB0AGkAbwBuAHMALgBWAEUARQBSAEcAXwAxADEAXwAxAF8AMwBfADEAXwBfADEAXwBOAGkAdAByAG8AdQBzAE8AeABpAGQAZQBFAG0AaQBzAHMAaQBvAG4AcwBGAHIAbwBtAEYAbABhAHIAZQBkAEIAaQBvAGcAYQBzAF8ATgBJAFIAUgBlAGYAZQByAGUAbgBjAGUAIgAsACIAVwBhAHMAdABlAHcAYQB0AGUAcgBfAE4AMgBPAF8ARQBxAHUAYQB0AGkAbwBuAHMALgBWAEUARQBSAEcAXwAxADEAXwAxAF8AMwBfADEAXwBfADEAXwBOAGkAdAByAG8AdQBzAE8AeABpAGQAZQBFAG0AaQBzAHMAaQBvAG4AcwBGAHIAbwBtAEYAbABhAHIAZQBkAEIAaQBvAGcAYQBzAF8ATABhAHQAZQB4AEUAcQB1AGEAdABpAG8AbgAiACwAIgBXAGEAcwB0AGUAdwBhAHQAZQByAF8ATgAyAE8AXwBFAHEAdQBhAHQAaQBvAG4AcwAuAFYARQBFAFIARwBfADEAMQBfADEAXwAzAF8AMQBfAF8AMQBfAE4AaQB0AHIAbwB1AHMATwB4AGkAZABlAEUAbQBpAHMAcwBpAG8AbgBzAEYAcgBvAG0ARgBsAGEAcgBlAGQAQgBpAG8AZwBhAHM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2.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2.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3.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4.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17</vt:i4>
      </vt:variant>
    </vt:vector>
  </HeadingPairs>
  <TitlesOfParts>
    <vt:vector size="25" baseType="lpstr">
      <vt:lpstr>Home</vt:lpstr>
      <vt:lpstr>Overview</vt:lpstr>
      <vt:lpstr>Results</vt:lpstr>
      <vt:lpstr>Input - Wastewater</vt:lpstr>
      <vt:lpstr>11.1.1-2 Wastewater CH4</vt:lpstr>
      <vt:lpstr>11.1.3-4 Wastewater N2O</vt:lpstr>
      <vt:lpstr>Constants - Wastewater</vt:lpstr>
      <vt:lpstr>Constants - Common</vt:lpstr>
      <vt:lpstr>Common_SourceData_DensityOfMethane_Data</vt:lpstr>
      <vt:lpstr>VEERG_11_1_1_1__1_MethaneEmissionsFromWastewaterTreatment_Result_Method1</vt:lpstr>
      <vt:lpstr>VEERG_11_1_3_1__1_NitrousOxideEmissionsFromFlaredBiogas_Result_Method1</vt:lpstr>
      <vt:lpstr>Waste_EnergyContentFactorSludgeBiogasFlared_Data</vt:lpstr>
      <vt:lpstr>Waste_MethaneEmissionFactorSludge_Data</vt:lpstr>
      <vt:lpstr>Waste_MethaneEmissionFactorSludgeBiogasFlared_Data</vt:lpstr>
      <vt:lpstr>Waste_MethaneEmissionFactorWastewater_Data</vt:lpstr>
      <vt:lpstr>Waste_NitrousOxideEmissionFactorSludgeBiogasFlared_Data</vt:lpstr>
      <vt:lpstr>X_Cell_Wastewater_FractionCODRemovedAndTransferred</vt:lpstr>
      <vt:lpstr>X_Cell_Wastewater_FractionCODRemovedAsSludge</vt:lpstr>
      <vt:lpstr>X_Cell_Wastewater_InletCOD</vt:lpstr>
      <vt:lpstr>X_Cell_Wastewater_OutletCOD</vt:lpstr>
      <vt:lpstr>X_Cell_Wastewater_QuantityInM3</vt:lpstr>
      <vt:lpstr>X_Cell_Wastewater_SludgeMethaneCapturedForCombustion</vt:lpstr>
      <vt:lpstr>X_Cell_Wastewater_SludgeMethaneFlared</vt:lpstr>
      <vt:lpstr>X_Cell_Wastewater_SludgeMethaneTransferred</vt:lpstr>
      <vt:lpstr>X_Cell_Wastewater_TreatmentFacilityType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2026-08-02T23:51:48Z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