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0CBBE40-C4F2-4C2C-9244-600456C9B4BB}" xr6:coauthVersionLast="47" xr6:coauthVersionMax="47" xr10:uidLastSave="{00000000-0000-0000-0000-000000000000}"/>
  <bookViews>
    <workbookView xWindow="1560" yWindow="1560" windowWidth="21600" windowHeight="12645" activeTab="4"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3" r:id="rId15"/>
    <sheet name="Constants -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_k">'4.6.1.3-4 Direct N20'!$D$81:$G$82</definedName>
    <definedName name="M1_Table_CP_j_k">'4.6.1.3-4 Direct N20'!$D$24:$G$25</definedName>
    <definedName name="M1_Table_DMD_j_k">'4.6.1.1-2 Methane'!$D$24:$G$25</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Dairy_ManureAppliedIrrigationMethod">'Input - Poultry'!$E$60</definedName>
    <definedName name="X_Cell_Dairy_ManureAppliedProductionSystem">'Input - Poultry'!$E$59</definedName>
    <definedName name="X_Cell_Poultry_ProductionSystem">'Input - Poultry'!$E$27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0" i="108" l="1"/>
  <c r="G50" i="108"/>
  <c r="P48" i="107"/>
  <c r="G48" i="107"/>
  <c r="G30" i="106"/>
  <c r="Q30" i="106"/>
  <c r="G62" i="98"/>
  <c r="Q62" i="98"/>
  <c r="Q99" i="97"/>
  <c r="G99" i="97"/>
  <c r="Q225" i="69"/>
  <c r="G225" i="69"/>
  <c r="J44" i="108"/>
  <c r="I49" i="98"/>
  <c r="S134" i="69"/>
  <c r="I134" i="69"/>
  <c r="S54" i="69"/>
  <c r="I54" i="69"/>
  <c r="O81" i="69"/>
  <c r="O80" i="69"/>
  <c r="O79" i="69"/>
  <c r="O78" i="69"/>
  <c r="O77" i="69"/>
  <c r="O76" i="69"/>
  <c r="O73" i="69"/>
  <c r="E30" i="15"/>
  <c r="E33" i="15"/>
  <c r="E32" i="15"/>
  <c r="E31" i="15"/>
  <c r="J45" i="108"/>
  <c r="I40" i="107"/>
  <c r="I15" i="106"/>
  <c r="I50" i="98"/>
  <c r="I91" i="97"/>
  <c r="I217" i="76"/>
  <c r="Q248" i="76"/>
  <c r="G248" i="76"/>
  <c r="E81" i="69"/>
  <c r="E80" i="69"/>
  <c r="E79" i="69"/>
  <c r="E78" i="69"/>
  <c r="E77" i="69"/>
  <c r="E76" i="69"/>
  <c r="E75" i="69"/>
  <c r="E74" i="69"/>
  <c r="E73" i="69"/>
  <c r="E259" i="113" a="1"/>
  <c r="E259" i="113" s="1"/>
  <c r="D259" i="113" a="1"/>
  <c r="D259" i="113" s="1"/>
  <c r="E258" i="113" a="1"/>
  <c r="E258" i="113" s="1"/>
  <c r="D258" i="113" a="1"/>
  <c r="D258" i="113" s="1"/>
  <c r="D256" i="113" a="1"/>
  <c r="D256" i="113" s="1"/>
  <c r="D255" i="113"/>
  <c r="D255" i="113" a="1"/>
  <c r="D254" i="113" a="1"/>
  <c r="D254" i="113" s="1"/>
  <c r="D253" i="113" a="1"/>
  <c r="D253" i="113" s="1"/>
  <c r="S250" i="113" a="1"/>
  <c r="S250" i="113" s="1"/>
  <c r="R250" i="113" a="1"/>
  <c r="R250" i="113" s="1"/>
  <c r="Q250" i="113" a="1"/>
  <c r="Q250" i="113" s="1"/>
  <c r="P250" i="113" a="1"/>
  <c r="P250" i="113" s="1"/>
  <c r="O250" i="113" a="1"/>
  <c r="O250" i="113" s="1"/>
  <c r="N250" i="113" a="1"/>
  <c r="N250" i="113" s="1"/>
  <c r="M250" i="113" a="1"/>
  <c r="M250" i="113" s="1"/>
  <c r="L250" i="113" a="1"/>
  <c r="L250" i="113" s="1"/>
  <c r="K250" i="113" a="1"/>
  <c r="K250" i="113" s="1"/>
  <c r="J250" i="113" a="1"/>
  <c r="J250" i="113" s="1"/>
  <c r="I250" i="113" a="1"/>
  <c r="I250" i="113" s="1"/>
  <c r="H250" i="113" a="1"/>
  <c r="H250" i="113" s="1"/>
  <c r="G250" i="113" a="1"/>
  <c r="G250" i="113" s="1"/>
  <c r="F250" i="113" a="1"/>
  <c r="F250" i="113" s="1"/>
  <c r="E250" i="113" a="1"/>
  <c r="E250" i="113" s="1"/>
  <c r="D250" i="113" a="1"/>
  <c r="D250" i="113" s="1"/>
  <c r="S249" i="113" a="1"/>
  <c r="S249" i="113" s="1"/>
  <c r="R249" i="113" a="1"/>
  <c r="R249" i="113" s="1"/>
  <c r="Q249" i="113" a="1"/>
  <c r="Q249" i="113" s="1"/>
  <c r="P249" i="113" a="1"/>
  <c r="P249" i="113" s="1"/>
  <c r="O249" i="113" a="1"/>
  <c r="O249" i="113" s="1"/>
  <c r="N249" i="113" a="1"/>
  <c r="N249" i="113" s="1"/>
  <c r="M249" i="113" a="1"/>
  <c r="M249" i="113" s="1"/>
  <c r="L249" i="113" a="1"/>
  <c r="L249" i="113" s="1"/>
  <c r="K249" i="113" a="1"/>
  <c r="K249" i="113" s="1"/>
  <c r="J249" i="113" a="1"/>
  <c r="J249" i="113" s="1"/>
  <c r="I249" i="113" a="1"/>
  <c r="I249" i="113" s="1"/>
  <c r="H249" i="113" a="1"/>
  <c r="H249" i="113" s="1"/>
  <c r="G249" i="113" a="1"/>
  <c r="G249" i="113" s="1"/>
  <c r="F249" i="113" a="1"/>
  <c r="F249" i="113" s="1"/>
  <c r="E249" i="113" a="1"/>
  <c r="E249" i="113" s="1"/>
  <c r="D249" i="113" a="1"/>
  <c r="D249" i="113" s="1"/>
  <c r="S248" i="113" a="1"/>
  <c r="S248" i="113" s="1"/>
  <c r="R248" i="113" a="1"/>
  <c r="R248" i="113" s="1"/>
  <c r="Q248" i="113" a="1"/>
  <c r="Q248" i="113" s="1"/>
  <c r="P248" i="113" a="1"/>
  <c r="P248" i="113" s="1"/>
  <c r="O248" i="113" a="1"/>
  <c r="O248" i="113" s="1"/>
  <c r="N248" i="113" a="1"/>
  <c r="N248" i="113" s="1"/>
  <c r="M248" i="113" a="1"/>
  <c r="M248" i="113" s="1"/>
  <c r="L248" i="113" a="1"/>
  <c r="L248" i="113" s="1"/>
  <c r="K248" i="113" a="1"/>
  <c r="K248" i="113" s="1"/>
  <c r="J248" i="113" a="1"/>
  <c r="J248" i="113" s="1"/>
  <c r="I248" i="113" a="1"/>
  <c r="I248" i="113" s="1"/>
  <c r="H248" i="113" a="1"/>
  <c r="H248" i="113" s="1"/>
  <c r="G248" i="113" a="1"/>
  <c r="G248" i="113" s="1"/>
  <c r="F248" i="113" a="1"/>
  <c r="F248" i="113" s="1"/>
  <c r="E248" i="113" a="1"/>
  <c r="E248" i="113" s="1"/>
  <c r="D248" i="113" a="1"/>
  <c r="D248" i="113" s="1"/>
  <c r="S247" i="113" a="1"/>
  <c r="S247" i="113" s="1"/>
  <c r="R247" i="113" a="1"/>
  <c r="R247" i="113" s="1"/>
  <c r="Q247" i="113" a="1"/>
  <c r="Q247" i="113" s="1"/>
  <c r="P247" i="113" a="1"/>
  <c r="P247" i="113" s="1"/>
  <c r="O247" i="113" a="1"/>
  <c r="O247" i="113" s="1"/>
  <c r="N247" i="113" a="1"/>
  <c r="N247" i="113" s="1"/>
  <c r="M247" i="113" a="1"/>
  <c r="M247" i="113" s="1"/>
  <c r="L247" i="113" a="1"/>
  <c r="L247" i="113" s="1"/>
  <c r="K247" i="113" a="1"/>
  <c r="K247" i="113" s="1"/>
  <c r="J247" i="113" a="1"/>
  <c r="J247" i="113" s="1"/>
  <c r="I247" i="113" a="1"/>
  <c r="I247" i="113" s="1"/>
  <c r="H247" i="113" a="1"/>
  <c r="H247" i="113" s="1"/>
  <c r="G247" i="113" a="1"/>
  <c r="G247" i="113" s="1"/>
  <c r="F247" i="113" a="1"/>
  <c r="F247" i="113" s="1"/>
  <c r="E247" i="113" a="1"/>
  <c r="E247" i="113" s="1"/>
  <c r="D247" i="113" a="1"/>
  <c r="D247" i="113" s="1"/>
  <c r="S246" i="113" a="1"/>
  <c r="S246" i="113" s="1"/>
  <c r="R246" i="113" a="1"/>
  <c r="R246" i="113" s="1"/>
  <c r="Q246" i="113" a="1"/>
  <c r="Q246" i="113" s="1"/>
  <c r="P246" i="113" a="1"/>
  <c r="P246" i="113" s="1"/>
  <c r="O246" i="113" a="1"/>
  <c r="O246" i="113" s="1"/>
  <c r="N246" i="113" a="1"/>
  <c r="N246" i="113" s="1"/>
  <c r="M246" i="113" a="1"/>
  <c r="M246" i="113" s="1"/>
  <c r="L246" i="113" a="1"/>
  <c r="L246" i="113" s="1"/>
  <c r="K246" i="113" a="1"/>
  <c r="K246" i="113" s="1"/>
  <c r="J246" i="113" a="1"/>
  <c r="J246" i="113" s="1"/>
  <c r="I246" i="113" a="1"/>
  <c r="I246" i="113" s="1"/>
  <c r="H246" i="113" a="1"/>
  <c r="H246" i="113" s="1"/>
  <c r="G246" i="113" a="1"/>
  <c r="G246" i="113" s="1"/>
  <c r="F246" i="113" a="1"/>
  <c r="F246" i="113" s="1"/>
  <c r="E246" i="113" a="1"/>
  <c r="E246" i="113" s="1"/>
  <c r="D246" i="113" a="1"/>
  <c r="D246" i="113" s="1"/>
  <c r="S245" i="113" a="1"/>
  <c r="S245" i="113" s="1"/>
  <c r="R245" i="113" a="1"/>
  <c r="R245" i="113" s="1"/>
  <c r="Q245" i="113" a="1"/>
  <c r="Q245" i="113" s="1"/>
  <c r="P245" i="113" a="1"/>
  <c r="P245" i="113" s="1"/>
  <c r="O245" i="113" a="1"/>
  <c r="O245" i="113" s="1"/>
  <c r="N245" i="113" a="1"/>
  <c r="N245" i="113" s="1"/>
  <c r="M245" i="113" a="1"/>
  <c r="M245" i="113" s="1"/>
  <c r="L245" i="113" a="1"/>
  <c r="L245" i="113" s="1"/>
  <c r="K245" i="113" a="1"/>
  <c r="K245" i="113" s="1"/>
  <c r="J245" i="113" a="1"/>
  <c r="J245" i="113" s="1"/>
  <c r="I245" i="113" a="1"/>
  <c r="I245" i="113" s="1"/>
  <c r="H245" i="113" a="1"/>
  <c r="H245" i="113" s="1"/>
  <c r="G245" i="113" a="1"/>
  <c r="G245" i="113" s="1"/>
  <c r="F245" i="113" a="1"/>
  <c r="F245" i="113" s="1"/>
  <c r="E245" i="113" a="1"/>
  <c r="E245" i="113" s="1"/>
  <c r="D245" i="113" a="1"/>
  <c r="D245" i="113" s="1"/>
  <c r="S244" i="113" a="1"/>
  <c r="S244" i="113" s="1"/>
  <c r="R244" i="113" a="1"/>
  <c r="R244" i="113" s="1"/>
  <c r="Q244" i="113" a="1"/>
  <c r="Q244" i="113" s="1"/>
  <c r="P244" i="113" a="1"/>
  <c r="P244" i="113" s="1"/>
  <c r="O244" i="113" a="1"/>
  <c r="O244" i="113" s="1"/>
  <c r="N244" i="113" a="1"/>
  <c r="N244" i="113" s="1"/>
  <c r="M244" i="113" a="1"/>
  <c r="M244" i="113" s="1"/>
  <c r="L244" i="113" a="1"/>
  <c r="L244" i="113" s="1"/>
  <c r="K244" i="113" a="1"/>
  <c r="K244" i="113" s="1"/>
  <c r="J244" i="113" a="1"/>
  <c r="J244" i="113" s="1"/>
  <c r="I244" i="113" a="1"/>
  <c r="I244" i="113" s="1"/>
  <c r="H244" i="113" a="1"/>
  <c r="H244" i="113" s="1"/>
  <c r="G244" i="113" a="1"/>
  <c r="G244" i="113" s="1"/>
  <c r="F244" i="113" a="1"/>
  <c r="F244" i="113" s="1"/>
  <c r="E244" i="113" a="1"/>
  <c r="E244" i="113" s="1"/>
  <c r="D244" i="113" a="1"/>
  <c r="D244" i="113" s="1"/>
  <c r="S243" i="113" a="1"/>
  <c r="S243" i="113" s="1"/>
  <c r="R243" i="113" a="1"/>
  <c r="R243" i="113" s="1"/>
  <c r="Q243" i="113" a="1"/>
  <c r="Q243" i="113" s="1"/>
  <c r="P243" i="113" a="1"/>
  <c r="P243" i="113" s="1"/>
  <c r="O243" i="113" a="1"/>
  <c r="O243" i="113" s="1"/>
  <c r="N243" i="113" a="1"/>
  <c r="N243" i="113" s="1"/>
  <c r="M243" i="113" a="1"/>
  <c r="M243" i="113" s="1"/>
  <c r="L243" i="113" a="1"/>
  <c r="L243" i="113" s="1"/>
  <c r="K243" i="113" a="1"/>
  <c r="K243" i="113" s="1"/>
  <c r="J243" i="113" a="1"/>
  <c r="J243" i="113" s="1"/>
  <c r="I243" i="113" a="1"/>
  <c r="I243" i="113" s="1"/>
  <c r="H243" i="113" a="1"/>
  <c r="H243" i="113" s="1"/>
  <c r="G243" i="113" a="1"/>
  <c r="G243" i="113" s="1"/>
  <c r="F243" i="113" a="1"/>
  <c r="F243" i="113" s="1"/>
  <c r="E243" i="113" a="1"/>
  <c r="E243" i="113" s="1"/>
  <c r="D243" i="113" a="1"/>
  <c r="D243" i="113" s="1"/>
  <c r="S242" i="113" a="1"/>
  <c r="S242" i="113" s="1"/>
  <c r="R242" i="113" a="1"/>
  <c r="R242" i="113" s="1"/>
  <c r="Q242" i="113" a="1"/>
  <c r="Q242" i="113" s="1"/>
  <c r="P242" i="113" a="1"/>
  <c r="P242" i="113" s="1"/>
  <c r="O242" i="113" a="1"/>
  <c r="O242" i="113" s="1"/>
  <c r="N242" i="113" a="1"/>
  <c r="N242" i="113" s="1"/>
  <c r="M242" i="113" a="1"/>
  <c r="M242" i="113" s="1"/>
  <c r="L242" i="113" a="1"/>
  <c r="L242" i="113" s="1"/>
  <c r="K242" i="113" a="1"/>
  <c r="K242" i="113" s="1"/>
  <c r="J242" i="113" a="1"/>
  <c r="J242" i="113" s="1"/>
  <c r="I242" i="113" a="1"/>
  <c r="I242" i="113" s="1"/>
  <c r="H242" i="113" a="1"/>
  <c r="H242" i="113" s="1"/>
  <c r="G242" i="113" a="1"/>
  <c r="G242" i="113" s="1"/>
  <c r="F242" i="113" a="1"/>
  <c r="F242" i="113" s="1"/>
  <c r="E242" i="113" a="1"/>
  <c r="E242" i="113" s="1"/>
  <c r="D242" i="113" a="1"/>
  <c r="D242" i="113" s="1"/>
  <c r="S241" i="113" a="1"/>
  <c r="S241" i="113" s="1"/>
  <c r="R241" i="113" a="1"/>
  <c r="R241" i="113" s="1"/>
  <c r="Q241" i="113" a="1"/>
  <c r="Q241" i="113" s="1"/>
  <c r="P241" i="113" a="1"/>
  <c r="P241" i="113" s="1"/>
  <c r="O241" i="113" a="1"/>
  <c r="O241" i="113" s="1"/>
  <c r="N241" i="113" a="1"/>
  <c r="N241" i="113" s="1"/>
  <c r="M241" i="113" a="1"/>
  <c r="M241" i="113" s="1"/>
  <c r="L241" i="113" a="1"/>
  <c r="L241" i="113" s="1"/>
  <c r="K241" i="113" a="1"/>
  <c r="K241" i="113" s="1"/>
  <c r="J241" i="113" a="1"/>
  <c r="J241" i="113" s="1"/>
  <c r="I241" i="113" a="1"/>
  <c r="I241" i="113" s="1"/>
  <c r="H241" i="113" a="1"/>
  <c r="H241" i="113" s="1"/>
  <c r="G241" i="113" a="1"/>
  <c r="G241" i="113" s="1"/>
  <c r="F241" i="113" a="1"/>
  <c r="F241" i="113" s="1"/>
  <c r="E241" i="113" a="1"/>
  <c r="E241" i="113" s="1"/>
  <c r="D241" i="113" a="1"/>
  <c r="D241" i="113" s="1"/>
  <c r="S240" i="113" a="1"/>
  <c r="S240" i="113" s="1"/>
  <c r="R240" i="113" a="1"/>
  <c r="R240" i="113" s="1"/>
  <c r="Q240" i="113" a="1"/>
  <c r="Q240" i="113" s="1"/>
  <c r="P240" i="113" a="1"/>
  <c r="P240" i="113" s="1"/>
  <c r="O240" i="113" a="1"/>
  <c r="O240" i="113" s="1"/>
  <c r="N240" i="113" a="1"/>
  <c r="N240" i="113" s="1"/>
  <c r="M240" i="113" a="1"/>
  <c r="M240" i="113" s="1"/>
  <c r="L240" i="113" a="1"/>
  <c r="L240" i="113" s="1"/>
  <c r="K240" i="113" a="1"/>
  <c r="K240" i="113" s="1"/>
  <c r="J240" i="113" a="1"/>
  <c r="J240" i="113" s="1"/>
  <c r="I240" i="113" a="1"/>
  <c r="I240" i="113" s="1"/>
  <c r="H240" i="113" a="1"/>
  <c r="H240" i="113" s="1"/>
  <c r="G240" i="113" a="1"/>
  <c r="G240" i="113" s="1"/>
  <c r="F240" i="113" a="1"/>
  <c r="F240" i="113" s="1"/>
  <c r="E240" i="113" a="1"/>
  <c r="E240" i="113" s="1"/>
  <c r="D240" i="113" a="1"/>
  <c r="D240" i="113" s="1"/>
  <c r="S239" i="113" a="1"/>
  <c r="S239" i="113" s="1"/>
  <c r="R239" i="113" a="1"/>
  <c r="R239" i="113" s="1"/>
  <c r="Q239" i="113" a="1"/>
  <c r="Q239" i="113" s="1"/>
  <c r="P239" i="113" a="1"/>
  <c r="P239" i="113" s="1"/>
  <c r="O239" i="113" a="1"/>
  <c r="O239" i="113" s="1"/>
  <c r="N239" i="113" a="1"/>
  <c r="N239" i="113" s="1"/>
  <c r="M239" i="113" a="1"/>
  <c r="M239" i="113" s="1"/>
  <c r="L239" i="113" a="1"/>
  <c r="L239" i="113" s="1"/>
  <c r="K239" i="113" a="1"/>
  <c r="K239" i="113" s="1"/>
  <c r="J239" i="113" a="1"/>
  <c r="J239" i="113" s="1"/>
  <c r="I239" i="113" a="1"/>
  <c r="I239" i="113" s="1"/>
  <c r="H239" i="113" a="1"/>
  <c r="H239" i="113" s="1"/>
  <c r="G239" i="113" a="1"/>
  <c r="G239" i="113" s="1"/>
  <c r="F239" i="113" a="1"/>
  <c r="F239" i="113" s="1"/>
  <c r="E239" i="113" a="1"/>
  <c r="E239" i="113" s="1"/>
  <c r="D239" i="113" a="1"/>
  <c r="D239" i="113" s="1"/>
  <c r="S238" i="113" a="1"/>
  <c r="S238" i="113" s="1"/>
  <c r="R238" i="113" a="1"/>
  <c r="R238" i="113" s="1"/>
  <c r="Q238" i="113" a="1"/>
  <c r="Q238" i="113" s="1"/>
  <c r="P238" i="113" a="1"/>
  <c r="P238" i="113" s="1"/>
  <c r="O238" i="113" a="1"/>
  <c r="O238" i="113" s="1"/>
  <c r="N238" i="113" a="1"/>
  <c r="N238" i="113" s="1"/>
  <c r="M238" i="113" a="1"/>
  <c r="M238" i="113" s="1"/>
  <c r="L238" i="113" a="1"/>
  <c r="L238" i="113" s="1"/>
  <c r="K238" i="113" a="1"/>
  <c r="K238" i="113" s="1"/>
  <c r="J238" i="113" a="1"/>
  <c r="J238" i="113" s="1"/>
  <c r="I238" i="113" a="1"/>
  <c r="I238" i="113" s="1"/>
  <c r="H238" i="113" a="1"/>
  <c r="H238" i="113" s="1"/>
  <c r="G238" i="113" a="1"/>
  <c r="G238" i="113" s="1"/>
  <c r="F238" i="113" a="1"/>
  <c r="F238" i="113" s="1"/>
  <c r="E238" i="113" a="1"/>
  <c r="E238" i="113" s="1"/>
  <c r="D238" i="113" a="1"/>
  <c r="D238" i="113" s="1"/>
  <c r="S237" i="113" a="1"/>
  <c r="S237" i="113" s="1"/>
  <c r="R237" i="113" a="1"/>
  <c r="R237" i="113" s="1"/>
  <c r="Q237" i="113" a="1"/>
  <c r="Q237" i="113" s="1"/>
  <c r="P237" i="113" a="1"/>
  <c r="P237" i="113" s="1"/>
  <c r="O237" i="113" a="1"/>
  <c r="O237" i="113" s="1"/>
  <c r="N237" i="113" a="1"/>
  <c r="N237" i="113" s="1"/>
  <c r="M237" i="113" a="1"/>
  <c r="M237" i="113" s="1"/>
  <c r="L237" i="113" a="1"/>
  <c r="L237" i="113" s="1"/>
  <c r="K237" i="113" a="1"/>
  <c r="K237" i="113" s="1"/>
  <c r="J237" i="113" a="1"/>
  <c r="J237" i="113" s="1"/>
  <c r="I237" i="113" a="1"/>
  <c r="I237" i="113" s="1"/>
  <c r="H237" i="113" a="1"/>
  <c r="H237" i="113" s="1"/>
  <c r="G237" i="113" a="1"/>
  <c r="G237" i="113" s="1"/>
  <c r="F237" i="113" a="1"/>
  <c r="F237" i="113" s="1"/>
  <c r="E237" i="113" a="1"/>
  <c r="E237" i="113" s="1"/>
  <c r="D237" i="113" a="1"/>
  <c r="D237" i="113" s="1"/>
  <c r="S236" i="113" a="1"/>
  <c r="S236" i="113" s="1"/>
  <c r="R236" i="113" a="1"/>
  <c r="R236" i="113" s="1"/>
  <c r="Q236" i="113" a="1"/>
  <c r="Q236" i="113" s="1"/>
  <c r="P236" i="113" a="1"/>
  <c r="P236" i="113" s="1"/>
  <c r="O236" i="113" a="1"/>
  <c r="O236" i="113" s="1"/>
  <c r="N236" i="113" a="1"/>
  <c r="N236" i="113" s="1"/>
  <c r="M236" i="113" a="1"/>
  <c r="M236" i="113" s="1"/>
  <c r="L236" i="113" a="1"/>
  <c r="L236" i="113" s="1"/>
  <c r="K236" i="113" a="1"/>
  <c r="K236" i="113" s="1"/>
  <c r="J236" i="113" a="1"/>
  <c r="J236" i="113" s="1"/>
  <c r="I236" i="113" a="1"/>
  <c r="I236" i="113" s="1"/>
  <c r="H236" i="113" a="1"/>
  <c r="H236" i="113" s="1"/>
  <c r="G236" i="113" a="1"/>
  <c r="G236" i="113" s="1"/>
  <c r="F236" i="113" a="1"/>
  <c r="F236" i="113" s="1"/>
  <c r="E236" i="113" a="1"/>
  <c r="E236" i="113" s="1"/>
  <c r="D236" i="113" a="1"/>
  <c r="D236" i="113" s="1"/>
  <c r="S235" i="113" a="1"/>
  <c r="S235" i="113" s="1"/>
  <c r="R235" i="113" a="1"/>
  <c r="R235" i="113" s="1"/>
  <c r="Q235" i="113" a="1"/>
  <c r="Q235" i="113" s="1"/>
  <c r="P235" i="113" a="1"/>
  <c r="P235" i="113" s="1"/>
  <c r="O235" i="113" a="1"/>
  <c r="O235" i="113" s="1"/>
  <c r="N235" i="113" a="1"/>
  <c r="N235" i="113" s="1"/>
  <c r="M235" i="113" a="1"/>
  <c r="M235" i="113" s="1"/>
  <c r="L235" i="113" a="1"/>
  <c r="L235" i="113" s="1"/>
  <c r="K235" i="113" a="1"/>
  <c r="K235" i="113" s="1"/>
  <c r="J235" i="113" a="1"/>
  <c r="J235" i="113" s="1"/>
  <c r="I235" i="113" a="1"/>
  <c r="I235" i="113" s="1"/>
  <c r="H235" i="113" a="1"/>
  <c r="H235" i="113" s="1"/>
  <c r="G235" i="113" a="1"/>
  <c r="G235" i="113" s="1"/>
  <c r="F235" i="113" a="1"/>
  <c r="F235" i="113" s="1"/>
  <c r="E235" i="113" a="1"/>
  <c r="E235" i="113" s="1"/>
  <c r="D235" i="113" a="1"/>
  <c r="D235" i="113" s="1"/>
  <c r="S234" i="113" a="1"/>
  <c r="S234" i="113" s="1"/>
  <c r="R234" i="113" a="1"/>
  <c r="R234" i="113" s="1"/>
  <c r="Q234" i="113" a="1"/>
  <c r="Q234" i="113" s="1"/>
  <c r="P234" i="113" a="1"/>
  <c r="P234" i="113" s="1"/>
  <c r="O234" i="113" a="1"/>
  <c r="O234" i="113" s="1"/>
  <c r="N234" i="113" a="1"/>
  <c r="N234" i="113" s="1"/>
  <c r="M234" i="113" a="1"/>
  <c r="M234" i="113" s="1"/>
  <c r="L234" i="113" a="1"/>
  <c r="L234" i="113" s="1"/>
  <c r="K234" i="113" a="1"/>
  <c r="K234" i="113" s="1"/>
  <c r="J234" i="113" a="1"/>
  <c r="J234" i="113" s="1"/>
  <c r="I234" i="113" a="1"/>
  <c r="I234" i="113" s="1"/>
  <c r="H234" i="113" a="1"/>
  <c r="H234" i="113" s="1"/>
  <c r="G234" i="113" a="1"/>
  <c r="G234" i="113" s="1"/>
  <c r="F234" i="113" a="1"/>
  <c r="F234" i="113" s="1"/>
  <c r="E234" i="113" a="1"/>
  <c r="E234" i="113" s="1"/>
  <c r="D234" i="113" a="1"/>
  <c r="D234" i="113" s="1"/>
  <c r="S233" i="113" a="1"/>
  <c r="S233" i="113" s="1"/>
  <c r="R233" i="113" a="1"/>
  <c r="R233" i="113" s="1"/>
  <c r="Q233" i="113" a="1"/>
  <c r="Q233" i="113" s="1"/>
  <c r="P233" i="113" a="1"/>
  <c r="P233" i="113" s="1"/>
  <c r="O233" i="113" a="1"/>
  <c r="O233" i="113" s="1"/>
  <c r="N233" i="113" a="1"/>
  <c r="N233" i="113" s="1"/>
  <c r="M233" i="113" a="1"/>
  <c r="M233" i="113" s="1"/>
  <c r="L233" i="113" a="1"/>
  <c r="L233" i="113" s="1"/>
  <c r="K233" i="113" a="1"/>
  <c r="K233" i="113" s="1"/>
  <c r="J233" i="113" a="1"/>
  <c r="J233" i="113" s="1"/>
  <c r="I233" i="113" a="1"/>
  <c r="I233" i="113" s="1"/>
  <c r="H233" i="113" a="1"/>
  <c r="H233" i="113" s="1"/>
  <c r="G233" i="113" a="1"/>
  <c r="G233" i="113" s="1"/>
  <c r="F233" i="113" a="1"/>
  <c r="F233" i="113" s="1"/>
  <c r="E233" i="113" a="1"/>
  <c r="E233" i="113" s="1"/>
  <c r="D233" i="113" a="1"/>
  <c r="D233" i="113" s="1"/>
  <c r="S232" i="113" a="1"/>
  <c r="S232" i="113" s="1"/>
  <c r="R232" i="113" a="1"/>
  <c r="R232" i="113" s="1"/>
  <c r="Q232" i="113" a="1"/>
  <c r="Q232" i="113" s="1"/>
  <c r="P232" i="113" a="1"/>
  <c r="P232" i="113" s="1"/>
  <c r="O232" i="113" a="1"/>
  <c r="O232" i="113" s="1"/>
  <c r="N232" i="113" a="1"/>
  <c r="N232" i="113" s="1"/>
  <c r="M232" i="113" a="1"/>
  <c r="M232" i="113" s="1"/>
  <c r="L232" i="113" a="1"/>
  <c r="L232" i="113" s="1"/>
  <c r="K232" i="113" a="1"/>
  <c r="K232" i="113" s="1"/>
  <c r="J232" i="113" a="1"/>
  <c r="J232" i="113" s="1"/>
  <c r="I232" i="113" a="1"/>
  <c r="I232" i="113" s="1"/>
  <c r="H232" i="113" a="1"/>
  <c r="H232" i="113" s="1"/>
  <c r="G232" i="113" a="1"/>
  <c r="G232" i="113" s="1"/>
  <c r="F232" i="113" a="1"/>
  <c r="F232" i="113" s="1"/>
  <c r="E232" i="113" a="1"/>
  <c r="E232" i="113" s="1"/>
  <c r="D232" i="113" a="1"/>
  <c r="D232" i="113" s="1"/>
  <c r="D229" i="113" a="1"/>
  <c r="D229" i="113" s="1"/>
  <c r="D228" i="113"/>
  <c r="D228" i="113" a="1"/>
  <c r="D227" i="113" a="1"/>
  <c r="D227" i="113" s="1"/>
  <c r="E224" i="113" a="1"/>
  <c r="E224" i="113" s="1"/>
  <c r="D224" i="113" a="1"/>
  <c r="D224" i="113" s="1"/>
  <c r="E223" i="113" a="1"/>
  <c r="E223" i="113" s="1"/>
  <c r="D223" i="113" a="1"/>
  <c r="D223" i="113" s="1"/>
  <c r="E222" i="113" a="1"/>
  <c r="E222" i="113" s="1"/>
  <c r="D222" i="113" a="1"/>
  <c r="D222" i="113" s="1"/>
  <c r="E221" i="113" a="1"/>
  <c r="E221" i="113" s="1"/>
  <c r="D221" i="113" a="1"/>
  <c r="D221" i="113" s="1"/>
  <c r="E220" i="113" a="1"/>
  <c r="E220" i="113" s="1"/>
  <c r="D220" i="113" a="1"/>
  <c r="D220" i="113" s="1"/>
  <c r="E219" i="113" a="1"/>
  <c r="E219" i="113" s="1"/>
  <c r="D219" i="113" a="1"/>
  <c r="D219" i="113" s="1"/>
  <c r="E218" i="113" a="1"/>
  <c r="E218" i="113" s="1"/>
  <c r="D218" i="113" a="1"/>
  <c r="D218" i="113" s="1"/>
  <c r="E217" i="113" a="1"/>
  <c r="E217" i="113" s="1"/>
  <c r="D217" i="113" a="1"/>
  <c r="D217" i="113" s="1"/>
  <c r="E216" i="113" a="1"/>
  <c r="E216" i="113" s="1"/>
  <c r="D216" i="113" a="1"/>
  <c r="D216" i="113" s="1"/>
  <c r="E215" i="113" a="1"/>
  <c r="E215" i="113" s="1"/>
  <c r="D215" i="113" a="1"/>
  <c r="D215" i="113" s="1"/>
  <c r="E214" i="113" a="1"/>
  <c r="E214" i="113" s="1"/>
  <c r="D214" i="113" a="1"/>
  <c r="D214" i="113" s="1"/>
  <c r="E213" i="113" a="1"/>
  <c r="E213" i="113" s="1"/>
  <c r="D213" i="113" a="1"/>
  <c r="D213" i="113" s="1"/>
  <c r="D211" i="113" a="1"/>
  <c r="D211" i="113" s="1"/>
  <c r="E208" i="113" a="1"/>
  <c r="E208" i="113" s="1"/>
  <c r="D208" i="113" a="1"/>
  <c r="D208" i="113" s="1"/>
  <c r="E207" i="113" a="1"/>
  <c r="E207" i="113" s="1"/>
  <c r="D207" i="113" a="1"/>
  <c r="D207" i="113" s="1"/>
  <c r="D205" i="113" a="1"/>
  <c r="D205" i="113" s="1"/>
  <c r="D204" i="113" a="1"/>
  <c r="D204" i="113" s="1"/>
  <c r="D203" i="113" a="1"/>
  <c r="D203" i="113" s="1"/>
  <c r="D202" i="113" a="1"/>
  <c r="D202" i="113" s="1"/>
  <c r="H199" i="113" a="1"/>
  <c r="H199" i="113" s="1"/>
  <c r="G199" i="113" a="1"/>
  <c r="G199" i="113" s="1"/>
  <c r="F199" i="113" a="1"/>
  <c r="F199" i="113" s="1"/>
  <c r="E199" i="113" a="1"/>
  <c r="E199" i="113" s="1"/>
  <c r="D199" i="113" a="1"/>
  <c r="D199" i="113" s="1"/>
  <c r="H198" i="113" a="1"/>
  <c r="H198" i="113" s="1"/>
  <c r="G198" i="113" a="1"/>
  <c r="G198" i="113" s="1"/>
  <c r="F198" i="113" a="1"/>
  <c r="F198" i="113" s="1"/>
  <c r="E198" i="113" a="1"/>
  <c r="E198" i="113" s="1"/>
  <c r="D198" i="113" a="1"/>
  <c r="D198" i="113" s="1"/>
  <c r="H197" i="113" a="1"/>
  <c r="H197" i="113" s="1"/>
  <c r="G197" i="113" a="1"/>
  <c r="G197" i="113" s="1"/>
  <c r="F197" i="113" a="1"/>
  <c r="F197" i="113" s="1"/>
  <c r="E197" i="113" a="1"/>
  <c r="E197" i="113" s="1"/>
  <c r="D197" i="113" a="1"/>
  <c r="D197" i="113" s="1"/>
  <c r="H196" i="113" a="1"/>
  <c r="H196" i="113" s="1"/>
  <c r="G196" i="113" a="1"/>
  <c r="G196" i="113" s="1"/>
  <c r="F196" i="113" a="1"/>
  <c r="F196" i="113" s="1"/>
  <c r="E196" i="113" a="1"/>
  <c r="E196" i="113" s="1"/>
  <c r="D196" i="113" a="1"/>
  <c r="D196" i="113" s="1"/>
  <c r="H195" i="113" a="1"/>
  <c r="H195" i="113" s="1"/>
  <c r="G195" i="113" a="1"/>
  <c r="G195" i="113" s="1"/>
  <c r="F195" i="113" a="1"/>
  <c r="F195" i="113" s="1"/>
  <c r="E195" i="113" a="1"/>
  <c r="E195" i="113" s="1"/>
  <c r="D195" i="113" a="1"/>
  <c r="D195" i="113" s="1"/>
  <c r="H194" i="113" a="1"/>
  <c r="H194" i="113" s="1"/>
  <c r="G194" i="113" a="1"/>
  <c r="G194" i="113" s="1"/>
  <c r="F194" i="113" a="1"/>
  <c r="F194" i="113" s="1"/>
  <c r="E194" i="113" a="1"/>
  <c r="E194" i="113" s="1"/>
  <c r="D194" i="113" a="1"/>
  <c r="D194" i="113" s="1"/>
  <c r="H193" i="113" a="1"/>
  <c r="H193" i="113" s="1"/>
  <c r="G193" i="113" a="1"/>
  <c r="G193" i="113" s="1"/>
  <c r="F193" i="113" a="1"/>
  <c r="F193" i="113" s="1"/>
  <c r="E193" i="113" a="1"/>
  <c r="E193" i="113" s="1"/>
  <c r="D193" i="113" a="1"/>
  <c r="D193" i="113" s="1"/>
  <c r="H192" i="113" a="1"/>
  <c r="H192" i="113" s="1"/>
  <c r="G192" i="113" a="1"/>
  <c r="G192" i="113" s="1"/>
  <c r="F192" i="113" a="1"/>
  <c r="F192" i="113" s="1"/>
  <c r="E192" i="113" a="1"/>
  <c r="E192" i="113" s="1"/>
  <c r="D192" i="113" a="1"/>
  <c r="D192" i="113" s="1"/>
  <c r="H191" i="113" a="1"/>
  <c r="H191" i="113" s="1"/>
  <c r="G191" i="113" a="1"/>
  <c r="G191" i="113" s="1"/>
  <c r="F191" i="113" a="1"/>
  <c r="F191" i="113" s="1"/>
  <c r="E191" i="113" a="1"/>
  <c r="E191" i="113" s="1"/>
  <c r="D191" i="113" a="1"/>
  <c r="D191" i="113" s="1"/>
  <c r="H190" i="113" a="1"/>
  <c r="H190" i="113" s="1"/>
  <c r="G190" i="113" a="1"/>
  <c r="G190" i="113" s="1"/>
  <c r="F190" i="113" a="1"/>
  <c r="F190" i="113" s="1"/>
  <c r="E190" i="113" a="1"/>
  <c r="E190" i="113" s="1"/>
  <c r="D190" i="113" a="1"/>
  <c r="D190" i="113" s="1"/>
  <c r="H189" i="113" a="1"/>
  <c r="H189" i="113" s="1"/>
  <c r="G189" i="113" a="1"/>
  <c r="G189" i="113" s="1"/>
  <c r="F189" i="113" a="1"/>
  <c r="F189" i="113" s="1"/>
  <c r="E189" i="113" a="1"/>
  <c r="E189" i="113" s="1"/>
  <c r="D189" i="113" a="1"/>
  <c r="D189" i="113" s="1"/>
  <c r="H188" i="113" a="1"/>
  <c r="H188" i="113" s="1"/>
  <c r="G188" i="113" a="1"/>
  <c r="G188" i="113" s="1"/>
  <c r="F188" i="113" a="1"/>
  <c r="F188" i="113" s="1"/>
  <c r="E188" i="113" a="1"/>
  <c r="E188" i="113" s="1"/>
  <c r="D188" i="113" a="1"/>
  <c r="D188" i="113" s="1"/>
  <c r="H187" i="113" a="1"/>
  <c r="H187" i="113" s="1"/>
  <c r="G187" i="113" a="1"/>
  <c r="G187" i="113" s="1"/>
  <c r="F187" i="113" a="1"/>
  <c r="F187" i="113" s="1"/>
  <c r="E187" i="113" a="1"/>
  <c r="E187" i="113" s="1"/>
  <c r="D187" i="113" a="1"/>
  <c r="D187" i="113" s="1"/>
  <c r="D181" i="113" a="1"/>
  <c r="D181" i="113" s="1"/>
  <c r="D180" i="113" a="1"/>
  <c r="D180" i="113" s="1"/>
  <c r="D179" i="113" a="1"/>
  <c r="D179" i="113" s="1"/>
  <c r="D178" i="113" a="1"/>
  <c r="D178" i="113" s="1"/>
  <c r="E175" i="113" a="1"/>
  <c r="E175" i="113" s="1"/>
  <c r="D175" i="113" a="1"/>
  <c r="D175" i="113" s="1"/>
  <c r="D174" i="113" a="1"/>
  <c r="D174" i="113" s="1"/>
  <c r="D173" i="113" a="1"/>
  <c r="D173" i="113" s="1"/>
  <c r="D170" i="113" a="1"/>
  <c r="D170" i="113" s="1"/>
  <c r="D169" i="113" a="1"/>
  <c r="D169" i="113" s="1"/>
  <c r="D168" i="113" a="1"/>
  <c r="D168" i="113" s="1"/>
  <c r="D167" i="113" a="1"/>
  <c r="D167" i="113" s="1"/>
  <c r="D164" i="113" a="1"/>
  <c r="D164" i="113" s="1"/>
  <c r="D163" i="113" a="1"/>
  <c r="D163" i="113" s="1"/>
  <c r="D162" i="113" a="1"/>
  <c r="D162" i="113" s="1"/>
  <c r="D161" i="113" a="1"/>
  <c r="D161" i="113" s="1"/>
  <c r="E158" i="113" a="1"/>
  <c r="E158" i="113" s="1"/>
  <c r="D158" i="113" a="1"/>
  <c r="D158" i="113" s="1"/>
  <c r="E157" i="113" a="1"/>
  <c r="E157" i="113" s="1"/>
  <c r="D157" i="113" a="1"/>
  <c r="D157" i="113" s="1"/>
  <c r="E156" i="113" a="1"/>
  <c r="E156" i="113" s="1"/>
  <c r="D156" i="113" a="1"/>
  <c r="D156" i="113" s="1"/>
  <c r="E155" i="113" a="1"/>
  <c r="E155" i="113" s="1"/>
  <c r="D155" i="113" a="1"/>
  <c r="D155" i="113" s="1"/>
  <c r="E154" i="113" a="1"/>
  <c r="E154" i="113" s="1"/>
  <c r="D154" i="113" a="1"/>
  <c r="D154" i="113" s="1"/>
  <c r="D151" i="113" a="1"/>
  <c r="D151" i="113" s="1"/>
  <c r="D150" i="113" a="1"/>
  <c r="D150" i="113" s="1"/>
  <c r="E147" i="113" a="1"/>
  <c r="E147" i="113" s="1"/>
  <c r="D147" i="113" a="1"/>
  <c r="D147" i="113" s="1"/>
  <c r="E146" i="113" a="1"/>
  <c r="E146" i="113" s="1"/>
  <c r="D146" i="113" a="1"/>
  <c r="D146" i="113" s="1"/>
  <c r="E145" i="113" a="1"/>
  <c r="E145" i="113" s="1"/>
  <c r="D145" i="113" a="1"/>
  <c r="D145" i="113" s="1"/>
  <c r="E144" i="113" a="1"/>
  <c r="E144" i="113" s="1"/>
  <c r="D144" i="113" a="1"/>
  <c r="D144" i="113" s="1"/>
  <c r="E143" i="113" a="1"/>
  <c r="E143" i="113" s="1"/>
  <c r="D143" i="113" a="1"/>
  <c r="D143" i="113" s="1"/>
  <c r="D141" i="113" a="1"/>
  <c r="D141" i="113" s="1"/>
  <c r="D140" i="113" a="1"/>
  <c r="D140" i="113" s="1"/>
  <c r="D139" i="113" a="1"/>
  <c r="D139" i="113" s="1"/>
  <c r="E136" i="113" a="1"/>
  <c r="E136" i="113" s="1"/>
  <c r="D136" i="113" a="1"/>
  <c r="D136" i="113" s="1"/>
  <c r="E135" i="113" a="1"/>
  <c r="E135" i="113" s="1"/>
  <c r="D135" i="113" a="1"/>
  <c r="D135" i="113" s="1"/>
  <c r="D133" i="113" a="1"/>
  <c r="D133" i="113" s="1"/>
  <c r="D132" i="113" a="1"/>
  <c r="D132" i="113" s="1"/>
  <c r="E129" i="113" a="1"/>
  <c r="E129" i="113" s="1"/>
  <c r="D129" i="113" a="1"/>
  <c r="D129" i="113" s="1"/>
  <c r="E128" i="113" a="1"/>
  <c r="E128" i="113" s="1"/>
  <c r="D128" i="113" a="1"/>
  <c r="D128" i="113" s="1"/>
  <c r="D125" i="113" a="1"/>
  <c r="D125" i="113" s="1"/>
  <c r="D124" i="113" a="1"/>
  <c r="D124" i="113" s="1"/>
  <c r="G121" i="113" a="1"/>
  <c r="G121" i="113" s="1"/>
  <c r="F121" i="113" a="1"/>
  <c r="F121" i="113" s="1"/>
  <c r="E121" i="113" a="1"/>
  <c r="E121" i="113" s="1"/>
  <c r="D121" i="113" a="1"/>
  <c r="D121" i="113" s="1"/>
  <c r="G120" i="113" a="1"/>
  <c r="G120" i="113" s="1"/>
  <c r="F120" i="113" a="1"/>
  <c r="F120" i="113" s="1"/>
  <c r="E120" i="113" a="1"/>
  <c r="E120" i="113" s="1"/>
  <c r="D120" i="113" a="1"/>
  <c r="D120" i="113" s="1"/>
  <c r="D117" i="113" a="1"/>
  <c r="D117" i="113" s="1"/>
  <c r="D116" i="113" a="1"/>
  <c r="D116" i="113" s="1"/>
  <c r="D115" i="113" a="1"/>
  <c r="D115" i="113" s="1"/>
  <c r="G112" i="113" a="1"/>
  <c r="G112" i="113" s="1"/>
  <c r="F112" i="113" a="1"/>
  <c r="F112" i="113" s="1"/>
  <c r="E112" i="113" a="1"/>
  <c r="E112" i="113" s="1"/>
  <c r="D112" i="113" a="1"/>
  <c r="D112" i="113" s="1"/>
  <c r="G111" i="113" a="1"/>
  <c r="G111" i="113" s="1"/>
  <c r="F111" i="113" a="1"/>
  <c r="F111" i="113" s="1"/>
  <c r="E111" i="113" a="1"/>
  <c r="E111" i="113" s="1"/>
  <c r="D111" i="113" a="1"/>
  <c r="D111" i="113" s="1"/>
  <c r="G110" i="113" a="1"/>
  <c r="G110" i="113" s="1"/>
  <c r="F110" i="113" a="1"/>
  <c r="F110" i="113" s="1"/>
  <c r="E110" i="113" a="1"/>
  <c r="E110" i="113" s="1"/>
  <c r="D110" i="113" a="1"/>
  <c r="D110" i="113" s="1"/>
  <c r="D107" i="113" a="1"/>
  <c r="D107" i="113" s="1"/>
  <c r="D106" i="113" a="1"/>
  <c r="D106" i="113" s="1"/>
  <c r="D105" i="113" a="1"/>
  <c r="D105" i="113" s="1"/>
  <c r="D99" i="113" a="1"/>
  <c r="D99" i="113" s="1"/>
  <c r="S97" i="113" a="1"/>
  <c r="S97" i="113" s="1"/>
  <c r="R97" i="113" a="1"/>
  <c r="R97" i="113" s="1"/>
  <c r="Q97" i="113" a="1"/>
  <c r="Q97" i="113" s="1"/>
  <c r="P97" i="113" a="1"/>
  <c r="P97" i="113" s="1"/>
  <c r="O97" i="113" a="1"/>
  <c r="O97" i="113" s="1"/>
  <c r="N97" i="113" a="1"/>
  <c r="N97" i="113" s="1"/>
  <c r="M97" i="113" a="1"/>
  <c r="M97" i="113" s="1"/>
  <c r="L97" i="113" a="1"/>
  <c r="L97" i="113" s="1"/>
  <c r="K97" i="113" a="1"/>
  <c r="K97" i="113" s="1"/>
  <c r="J97" i="113" a="1"/>
  <c r="J97" i="113" s="1"/>
  <c r="I97" i="113" a="1"/>
  <c r="I97" i="113" s="1"/>
  <c r="H97" i="113" a="1"/>
  <c r="H97" i="113" s="1"/>
  <c r="G97" i="113" a="1"/>
  <c r="G97" i="113" s="1"/>
  <c r="F97" i="113" a="1"/>
  <c r="F97" i="113" s="1"/>
  <c r="E97" i="113" a="1"/>
  <c r="E97" i="113" s="1"/>
  <c r="D97" i="113" a="1"/>
  <c r="D97" i="113" s="1"/>
  <c r="S96" i="113" a="1"/>
  <c r="S96" i="113" s="1"/>
  <c r="R96" i="113" a="1"/>
  <c r="R96" i="113" s="1"/>
  <c r="Q96" i="113" a="1"/>
  <c r="Q96" i="113" s="1"/>
  <c r="P96" i="113" a="1"/>
  <c r="P96" i="113" s="1"/>
  <c r="O96" i="113" a="1"/>
  <c r="O96" i="113" s="1"/>
  <c r="N96" i="113" a="1"/>
  <c r="N96" i="113" s="1"/>
  <c r="M96" i="113" a="1"/>
  <c r="M96" i="113" s="1"/>
  <c r="L96" i="113" a="1"/>
  <c r="L96" i="113" s="1"/>
  <c r="K96" i="113" a="1"/>
  <c r="K96" i="113" s="1"/>
  <c r="J96" i="113" a="1"/>
  <c r="J96" i="113" s="1"/>
  <c r="I96" i="113" a="1"/>
  <c r="I96" i="113" s="1"/>
  <c r="H96" i="113" a="1"/>
  <c r="H96" i="113" s="1"/>
  <c r="G96" i="113" a="1"/>
  <c r="G96" i="113" s="1"/>
  <c r="F96" i="113" a="1"/>
  <c r="F96" i="113" s="1"/>
  <c r="E96" i="113" a="1"/>
  <c r="E96" i="113" s="1"/>
  <c r="D96" i="113" a="1"/>
  <c r="D96" i="113" s="1"/>
  <c r="S95" i="113" a="1"/>
  <c r="S95" i="113" s="1"/>
  <c r="R95" i="113" a="1"/>
  <c r="R95" i="113" s="1"/>
  <c r="Q95" i="113" a="1"/>
  <c r="Q95" i="113" s="1"/>
  <c r="P95" i="113" a="1"/>
  <c r="P95" i="113" s="1"/>
  <c r="O95" i="113" a="1"/>
  <c r="O95" i="113" s="1"/>
  <c r="N95" i="113" a="1"/>
  <c r="N95" i="113" s="1"/>
  <c r="M95" i="113" a="1"/>
  <c r="M95" i="113" s="1"/>
  <c r="L95" i="113" a="1"/>
  <c r="L95" i="113" s="1"/>
  <c r="K95" i="113" a="1"/>
  <c r="K95" i="113" s="1"/>
  <c r="J95" i="113" a="1"/>
  <c r="J95" i="113" s="1"/>
  <c r="I95" i="113" a="1"/>
  <c r="I95" i="113" s="1"/>
  <c r="H95" i="113" a="1"/>
  <c r="H95" i="113" s="1"/>
  <c r="G95" i="113" a="1"/>
  <c r="G95" i="113" s="1"/>
  <c r="F95" i="113" a="1"/>
  <c r="F95" i="113" s="1"/>
  <c r="E95" i="113" a="1"/>
  <c r="E95" i="113" s="1"/>
  <c r="D95" i="113" a="1"/>
  <c r="D95" i="113" s="1"/>
  <c r="S94" i="113" a="1"/>
  <c r="S94" i="113" s="1"/>
  <c r="R94" i="113" a="1"/>
  <c r="R94" i="113" s="1"/>
  <c r="Q94" i="113" a="1"/>
  <c r="Q94" i="113" s="1"/>
  <c r="P94" i="113" a="1"/>
  <c r="P94" i="113" s="1"/>
  <c r="O94" i="113" a="1"/>
  <c r="O94" i="113" s="1"/>
  <c r="N94" i="113" a="1"/>
  <c r="N94" i="113" s="1"/>
  <c r="M94" i="113" a="1"/>
  <c r="M94" i="113" s="1"/>
  <c r="L94" i="113" a="1"/>
  <c r="L94" i="113" s="1"/>
  <c r="K94" i="113" a="1"/>
  <c r="K94" i="113" s="1"/>
  <c r="J94" i="113" a="1"/>
  <c r="J94" i="113" s="1"/>
  <c r="I94" i="113" a="1"/>
  <c r="I94" i="113" s="1"/>
  <c r="H94" i="113" a="1"/>
  <c r="H94" i="113" s="1"/>
  <c r="G94" i="113" a="1"/>
  <c r="G94" i="113" s="1"/>
  <c r="F94" i="113" a="1"/>
  <c r="F94" i="113" s="1"/>
  <c r="E94" i="113" a="1"/>
  <c r="E94" i="113" s="1"/>
  <c r="D94" i="113" a="1"/>
  <c r="D94" i="113" s="1"/>
  <c r="S93" i="113" a="1"/>
  <c r="S93" i="113" s="1"/>
  <c r="R93" i="113" a="1"/>
  <c r="R93" i="113" s="1"/>
  <c r="Q93" i="113" a="1"/>
  <c r="Q93" i="113" s="1"/>
  <c r="P93" i="113" a="1"/>
  <c r="P93" i="113" s="1"/>
  <c r="O93" i="113" a="1"/>
  <c r="O93" i="113" s="1"/>
  <c r="N93" i="113" a="1"/>
  <c r="N93" i="113" s="1"/>
  <c r="M93" i="113" a="1"/>
  <c r="M93" i="113" s="1"/>
  <c r="L93" i="113" a="1"/>
  <c r="L93" i="113" s="1"/>
  <c r="K93" i="113" a="1"/>
  <c r="K93" i="113" s="1"/>
  <c r="J93" i="113" a="1"/>
  <c r="J93" i="113" s="1"/>
  <c r="I93" i="113" a="1"/>
  <c r="I93" i="113" s="1"/>
  <c r="H93" i="113" a="1"/>
  <c r="H93" i="113" s="1"/>
  <c r="G93" i="113" a="1"/>
  <c r="G93" i="113" s="1"/>
  <c r="F93" i="113" a="1"/>
  <c r="F93" i="113" s="1"/>
  <c r="E93" i="113" a="1"/>
  <c r="E93" i="113" s="1"/>
  <c r="D93" i="113" a="1"/>
  <c r="D93" i="113" s="1"/>
  <c r="S92" i="113" a="1"/>
  <c r="S92" i="113" s="1"/>
  <c r="R92" i="113" a="1"/>
  <c r="R92" i="113" s="1"/>
  <c r="Q92" i="113" a="1"/>
  <c r="Q92" i="113" s="1"/>
  <c r="P92" i="113" a="1"/>
  <c r="P92" i="113" s="1"/>
  <c r="O92" i="113" a="1"/>
  <c r="O92" i="113" s="1"/>
  <c r="N92" i="113" a="1"/>
  <c r="N92" i="113" s="1"/>
  <c r="M92" i="113" a="1"/>
  <c r="M92" i="113" s="1"/>
  <c r="L92" i="113" a="1"/>
  <c r="L92" i="113" s="1"/>
  <c r="K92" i="113" a="1"/>
  <c r="K92" i="113" s="1"/>
  <c r="J92" i="113" a="1"/>
  <c r="J92" i="113" s="1"/>
  <c r="I92" i="113" a="1"/>
  <c r="I92" i="113" s="1"/>
  <c r="H92" i="113" a="1"/>
  <c r="H92" i="113" s="1"/>
  <c r="G92" i="113" a="1"/>
  <c r="G92" i="113" s="1"/>
  <c r="F92" i="113" a="1"/>
  <c r="F92" i="113" s="1"/>
  <c r="E92" i="113" a="1"/>
  <c r="E92" i="113" s="1"/>
  <c r="D92" i="113" a="1"/>
  <c r="D92" i="113" s="1"/>
  <c r="S91" i="113" a="1"/>
  <c r="S91" i="113" s="1"/>
  <c r="R91" i="113" a="1"/>
  <c r="R91" i="113" s="1"/>
  <c r="Q91" i="113" a="1"/>
  <c r="Q91" i="113" s="1"/>
  <c r="P91" i="113" a="1"/>
  <c r="P91" i="113" s="1"/>
  <c r="O91" i="113" a="1"/>
  <c r="O91" i="113" s="1"/>
  <c r="N91" i="113" a="1"/>
  <c r="N91" i="113" s="1"/>
  <c r="M91" i="113" a="1"/>
  <c r="M91" i="113" s="1"/>
  <c r="L91" i="113" a="1"/>
  <c r="L91" i="113" s="1"/>
  <c r="K91" i="113" a="1"/>
  <c r="K91" i="113" s="1"/>
  <c r="J91" i="113" a="1"/>
  <c r="J91" i="113" s="1"/>
  <c r="I91" i="113" a="1"/>
  <c r="I91" i="113" s="1"/>
  <c r="H91" i="113" a="1"/>
  <c r="H91" i="113" s="1"/>
  <c r="G91" i="113" a="1"/>
  <c r="G91" i="113" s="1"/>
  <c r="F91" i="113" a="1"/>
  <c r="F91" i="113" s="1"/>
  <c r="E91" i="113" a="1"/>
  <c r="E91" i="113" s="1"/>
  <c r="D91" i="113" a="1"/>
  <c r="D91" i="113" s="1"/>
  <c r="S90" i="113" a="1"/>
  <c r="S90" i="113" s="1"/>
  <c r="R90" i="113" a="1"/>
  <c r="R90" i="113" s="1"/>
  <c r="Q90" i="113" a="1"/>
  <c r="Q90" i="113" s="1"/>
  <c r="P90" i="113" a="1"/>
  <c r="P90" i="113" s="1"/>
  <c r="O90" i="113" a="1"/>
  <c r="O90" i="113" s="1"/>
  <c r="N90" i="113" a="1"/>
  <c r="N90" i="113" s="1"/>
  <c r="M90" i="113" a="1"/>
  <c r="M90" i="113" s="1"/>
  <c r="L90" i="113" a="1"/>
  <c r="L90" i="113" s="1"/>
  <c r="K90" i="113" a="1"/>
  <c r="K90" i="113" s="1"/>
  <c r="J90" i="113" a="1"/>
  <c r="J90" i="113" s="1"/>
  <c r="I90" i="113" a="1"/>
  <c r="I90" i="113" s="1"/>
  <c r="H90" i="113" a="1"/>
  <c r="H90" i="113" s="1"/>
  <c r="G90" i="113" a="1"/>
  <c r="G90" i="113" s="1"/>
  <c r="F90" i="113" a="1"/>
  <c r="F90" i="113" s="1"/>
  <c r="E90" i="113" a="1"/>
  <c r="E90" i="113" s="1"/>
  <c r="D90" i="113" a="1"/>
  <c r="D90" i="113" s="1"/>
  <c r="D83" i="113" a="1"/>
  <c r="D83" i="113" s="1"/>
  <c r="D82" i="113" a="1"/>
  <c r="D82" i="113" s="1"/>
  <c r="D81" i="113" a="1"/>
  <c r="D81" i="113" s="1"/>
  <c r="E77" i="113" a="1"/>
  <c r="E77" i="113" s="1"/>
  <c r="D77" i="113" a="1"/>
  <c r="D77" i="113" s="1"/>
  <c r="E76" i="113" a="1"/>
  <c r="E76" i="113" s="1"/>
  <c r="D76" i="113" a="1"/>
  <c r="D76" i="113" s="1"/>
  <c r="E75" i="113" a="1"/>
  <c r="E75" i="113" s="1"/>
  <c r="D75" i="113" a="1"/>
  <c r="D75" i="113" s="1"/>
  <c r="E74" i="113" a="1"/>
  <c r="E74" i="113" s="1"/>
  <c r="D74" i="113" a="1"/>
  <c r="D74" i="113" s="1"/>
  <c r="E73" i="113" a="1"/>
  <c r="E73" i="113" s="1"/>
  <c r="D73" i="113" a="1"/>
  <c r="D73" i="113" s="1"/>
  <c r="E72" i="113" a="1"/>
  <c r="E72" i="113" s="1"/>
  <c r="D72" i="113" a="1"/>
  <c r="D72" i="113" s="1"/>
  <c r="E71" i="113" a="1"/>
  <c r="E71" i="113" s="1"/>
  <c r="D71" i="113" a="1"/>
  <c r="D71" i="113" s="1"/>
  <c r="E70" i="113" a="1"/>
  <c r="E70" i="113" s="1"/>
  <c r="D70" i="113" a="1"/>
  <c r="D70" i="113" s="1"/>
  <c r="E69" i="113" a="1"/>
  <c r="E69" i="113" s="1"/>
  <c r="D69" i="113" a="1"/>
  <c r="D69" i="113"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D59" i="113" a="1"/>
  <c r="D59" i="113" s="1"/>
  <c r="D58" i="113" a="1"/>
  <c r="D58" i="113" s="1"/>
  <c r="D57" i="113" a="1"/>
  <c r="D57" i="113" s="1"/>
  <c r="G54" i="113" a="1"/>
  <c r="G54" i="113" s="1"/>
  <c r="F54" i="113" a="1"/>
  <c r="F54" i="113" s="1"/>
  <c r="E54" i="113" a="1"/>
  <c r="E54" i="113" s="1"/>
  <c r="D54" i="113" a="1"/>
  <c r="D54" i="113" s="1"/>
  <c r="G53" i="113" a="1"/>
  <c r="G53" i="113" s="1"/>
  <c r="F53" i="113" a="1"/>
  <c r="F53" i="113" s="1"/>
  <c r="E53" i="113" a="1"/>
  <c r="E53" i="113" s="1"/>
  <c r="D53" i="113" a="1"/>
  <c r="D53" i="113" s="1"/>
  <c r="G52" i="113" a="1"/>
  <c r="G52" i="113" s="1"/>
  <c r="F52" i="113" a="1"/>
  <c r="F52" i="113" s="1"/>
  <c r="E52" i="113" a="1"/>
  <c r="E52" i="113" s="1"/>
  <c r="D52" i="113" a="1"/>
  <c r="D52" i="113" s="1"/>
  <c r="G51" i="113" a="1"/>
  <c r="G51" i="113" s="1"/>
  <c r="F51" i="113" a="1"/>
  <c r="F51" i="113" s="1"/>
  <c r="E51" i="113" a="1"/>
  <c r="E51" i="113" s="1"/>
  <c r="D51" i="113" a="1"/>
  <c r="D51" i="113" s="1"/>
  <c r="G50" i="113" a="1"/>
  <c r="G50" i="113" s="1"/>
  <c r="F50" i="113" a="1"/>
  <c r="F50" i="113" s="1"/>
  <c r="E50" i="113" a="1"/>
  <c r="E50" i="113" s="1"/>
  <c r="D50" i="113" a="1"/>
  <c r="D50" i="113" s="1"/>
  <c r="G49" i="113" a="1"/>
  <c r="G49" i="113" s="1"/>
  <c r="F49" i="113" a="1"/>
  <c r="F49" i="113" s="1"/>
  <c r="E49" i="113" a="1"/>
  <c r="E49" i="113" s="1"/>
  <c r="D49" i="113" a="1"/>
  <c r="D49" i="113" s="1"/>
  <c r="G48" i="113" a="1"/>
  <c r="G48" i="113" s="1"/>
  <c r="F48" i="113" a="1"/>
  <c r="F48" i="113" s="1"/>
  <c r="E48" i="113" a="1"/>
  <c r="E48" i="113" s="1"/>
  <c r="D48" i="113" a="1"/>
  <c r="D48" i="113" s="1"/>
  <c r="D46" i="113" a="1"/>
  <c r="D46" i="113" s="1"/>
  <c r="D45" i="113" a="1"/>
  <c r="D45" i="113" s="1"/>
  <c r="E43" i="113" a="1"/>
  <c r="E43" i="113" s="1"/>
  <c r="D43" i="113" a="1"/>
  <c r="D43" i="113" s="1"/>
  <c r="E42" i="113" a="1"/>
  <c r="E42" i="113" s="1"/>
  <c r="D42" i="113" a="1"/>
  <c r="D42" i="113" s="1"/>
  <c r="E41" i="113" a="1"/>
  <c r="E41" i="113" s="1"/>
  <c r="D41" i="113" a="1"/>
  <c r="D41" i="113" s="1"/>
  <c r="E40" i="113" a="1"/>
  <c r="E40" i="113" s="1"/>
  <c r="D40" i="113" a="1"/>
  <c r="D40" i="113" s="1"/>
  <c r="E39" i="113" a="1"/>
  <c r="E39" i="113" s="1"/>
  <c r="D39" i="113" a="1"/>
  <c r="D39" i="113" s="1"/>
  <c r="E38" i="113" a="1"/>
  <c r="E38" i="113" s="1"/>
  <c r="D38" i="113" a="1"/>
  <c r="D38" i="113" s="1"/>
  <c r="E37" i="113" a="1"/>
  <c r="E37" i="113" s="1"/>
  <c r="D37" i="113" a="1"/>
  <c r="D37" i="113" s="1"/>
  <c r="D35" i="113" a="1"/>
  <c r="D35" i="113" s="1"/>
  <c r="D34" i="113" a="1"/>
  <c r="D34" i="113" s="1"/>
  <c r="D30" i="113" a="1"/>
  <c r="D30" i="113" s="1"/>
  <c r="D29" i="113" a="1"/>
  <c r="D29" i="113" s="1"/>
  <c r="D28" i="113" a="1"/>
  <c r="D28" i="113" s="1"/>
  <c r="D27" i="113" a="1"/>
  <c r="D27" i="113" s="1"/>
  <c r="D26" i="113" a="1"/>
  <c r="D26" i="113" s="1"/>
  <c r="D25" i="113" a="1"/>
  <c r="D25" i="113" s="1"/>
  <c r="D24" i="113" a="1"/>
  <c r="D24" i="113" s="1"/>
  <c r="D23" i="113" a="1"/>
  <c r="D23" i="113" s="1"/>
  <c r="D22" i="113" a="1"/>
  <c r="D22" i="113" s="1"/>
  <c r="D21" i="113" a="1"/>
  <c r="D21" i="113" s="1"/>
  <c r="D19" i="113" a="1"/>
  <c r="D19" i="113" s="1"/>
  <c r="D18" i="113" a="1"/>
  <c r="D18" i="113" s="1"/>
  <c r="F14" i="113" a="1"/>
  <c r="F14" i="113" s="1"/>
  <c r="E14" i="113" a="1"/>
  <c r="E14" i="113" s="1"/>
  <c r="D14" i="113" a="1"/>
  <c r="D14" i="113" s="1"/>
  <c r="F13" i="113" a="1"/>
  <c r="F13" i="113" s="1"/>
  <c r="E13" i="113" a="1"/>
  <c r="E13" i="113" s="1"/>
  <c r="D13" i="113" a="1"/>
  <c r="D13" i="113" s="1"/>
  <c r="F12" i="113" a="1"/>
  <c r="F12" i="113" s="1"/>
  <c r="E12" i="113" a="1"/>
  <c r="E12" i="113" s="1"/>
  <c r="D12" i="113" a="1"/>
  <c r="D12" i="113" s="1"/>
  <c r="F11" i="113" a="1"/>
  <c r="F11" i="113" s="1"/>
  <c r="E11" i="113" a="1"/>
  <c r="E11" i="113" s="1"/>
  <c r="D11" i="113" a="1"/>
  <c r="D11" i="113" s="1"/>
  <c r="F10" i="113" a="1"/>
  <c r="F10" i="113" s="1"/>
  <c r="E10" i="113" a="1"/>
  <c r="E10" i="113" s="1"/>
  <c r="D10" i="113" a="1"/>
  <c r="D10" i="113" s="1"/>
  <c r="F9" i="113" a="1"/>
  <c r="F9" i="113" s="1"/>
  <c r="E9" i="113" a="1"/>
  <c r="E9" i="113" s="1"/>
  <c r="D9" i="113" a="1"/>
  <c r="D9" i="113" s="1"/>
  <c r="F8" i="113" a="1"/>
  <c r="F8" i="113" s="1"/>
  <c r="E8" i="113" a="1"/>
  <c r="E8" i="113" s="1"/>
  <c r="D8" i="113" a="1"/>
  <c r="D8" i="113" s="1"/>
  <c r="F7" i="113" a="1"/>
  <c r="F7" i="113" s="1"/>
  <c r="E7" i="113" a="1"/>
  <c r="E7" i="113" s="1"/>
  <c r="D7" i="113" a="1"/>
  <c r="D7" i="113" s="1"/>
  <c r="D5" i="113" a="1"/>
  <c r="D5" i="113" s="1"/>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S135" i="69"/>
  <c r="Q130" i="69" a="1"/>
  <c r="Q130" i="69" s="1"/>
  <c r="N130" i="69" a="1"/>
  <c r="N130" i="69" s="1"/>
  <c r="S133" i="69" a="1"/>
  <c r="S133" i="69" s="1"/>
  <c r="S132" i="69" a="1"/>
  <c r="S132" i="69" s="1"/>
  <c r="S131" i="69" a="1"/>
  <c r="S131" i="69" s="1"/>
  <c r="S130" i="69" a="1"/>
  <c r="S130" i="69" s="1"/>
  <c r="D123" i="69" a="1"/>
  <c r="D123" i="69" s="1"/>
  <c r="H53" i="113" l="1"/>
  <c r="H52" i="113"/>
  <c r="H50" i="113"/>
  <c r="H49" i="113"/>
  <c r="H54" i="113"/>
  <c r="H48" i="113"/>
  <c r="H51" i="113"/>
  <c r="N81" i="69"/>
  <c r="N80" i="69"/>
  <c r="N79" i="69"/>
  <c r="N78" i="69"/>
  <c r="N77" i="69"/>
  <c r="N76" i="69"/>
  <c r="N75" i="69"/>
  <c r="N74" i="69"/>
  <c r="N73" i="69"/>
  <c r="D81" i="69"/>
  <c r="D80" i="69"/>
  <c r="D79" i="69"/>
  <c r="D78" i="69"/>
  <c r="D77" i="69"/>
  <c r="D76" i="69"/>
  <c r="D75" i="69"/>
  <c r="D74" i="69"/>
  <c r="D73" i="69"/>
  <c r="S55"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R43" i="108" l="1"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T27" i="98"/>
  <c r="I13" i="98" a="1"/>
  <c r="I13" i="98" s="1"/>
  <c r="G13" i="98" a="1"/>
  <c r="G13" i="98" s="1"/>
  <c r="J27" i="98" s="1"/>
  <c r="D13" i="98" a="1"/>
  <c r="D13" i="98" s="1"/>
  <c r="Q89" i="97" a="1"/>
  <c r="Q89" i="97" s="1"/>
  <c r="N89" i="97" a="1"/>
  <c r="N89" i="97" s="1"/>
  <c r="G89" i="97" a="1"/>
  <c r="G89" i="97" s="1"/>
  <c r="D89" i="97" a="1"/>
  <c r="D89" i="97" s="1"/>
  <c r="F45" i="97"/>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F184" i="105"/>
  <c r="F179" i="105"/>
  <c r="F174" i="105"/>
  <c r="F173" i="105"/>
  <c r="D62" i="105"/>
  <c r="D49" i="105"/>
  <c r="E173" i="69"/>
  <c r="D56" i="70"/>
  <c r="E156" i="105" s="1"/>
  <c r="D49" i="70"/>
  <c r="E149" i="69" s="1"/>
  <c r="D42" i="70"/>
  <c r="E210" i="69" s="1"/>
  <c r="M56" i="70"/>
  <c r="F100" i="105" s="1"/>
  <c r="M49" i="70"/>
  <c r="F95" i="105" s="1"/>
  <c r="M42" i="70"/>
  <c r="F90" i="105" s="1"/>
  <c r="J22" i="97" l="1"/>
  <c r="H77" i="76"/>
  <c r="J67" i="105"/>
  <c r="T67" i="105"/>
  <c r="G86" i="105"/>
  <c r="I20" i="106"/>
  <c r="T22" i="105"/>
  <c r="F41" i="105"/>
  <c r="G170" i="105"/>
  <c r="F54" i="105"/>
  <c r="G50" i="69"/>
  <c r="P73" i="69"/>
  <c r="F108" i="69"/>
  <c r="R20" i="69"/>
  <c r="H25" i="69"/>
  <c r="H30" i="69"/>
  <c r="I60" i="69"/>
  <c r="H68" i="69"/>
  <c r="F73" i="69"/>
  <c r="R25" i="69"/>
  <c r="J140" i="69"/>
  <c r="H197" i="69"/>
  <c r="E119" i="105"/>
  <c r="E36" i="105"/>
  <c r="O210" i="69"/>
  <c r="E233" i="76"/>
  <c r="E35" i="97"/>
  <c r="E40" i="97"/>
  <c r="O40" i="97"/>
  <c r="O36" i="105"/>
  <c r="E144" i="69"/>
  <c r="O70" i="97"/>
  <c r="E193" i="105"/>
  <c r="E146" i="105"/>
  <c r="E76" i="105"/>
  <c r="O215" i="69"/>
  <c r="O76" i="105"/>
  <c r="E215" i="69"/>
  <c r="O65" i="97"/>
  <c r="E220" i="69"/>
  <c r="E114" i="105"/>
  <c r="E174" i="76"/>
  <c r="O151" i="105"/>
  <c r="E179" i="76"/>
  <c r="O243" i="76"/>
  <c r="E179" i="105"/>
  <c r="E184" i="76"/>
  <c r="O238" i="76"/>
  <c r="O156" i="105"/>
  <c r="O119" i="105"/>
  <c r="I23" i="108"/>
  <c r="I19" i="107"/>
  <c r="O233" i="76"/>
  <c r="O193" i="105"/>
  <c r="O114" i="105"/>
  <c r="E81" i="105"/>
  <c r="E154" i="69"/>
  <c r="O220" i="69"/>
  <c r="E30" i="97"/>
  <c r="O146" i="105"/>
  <c r="E151" i="105"/>
  <c r="O81" i="105"/>
  <c r="O109" i="105"/>
  <c r="E100" i="105"/>
  <c r="E198" i="105"/>
  <c r="E193" i="76"/>
  <c r="O71" i="105"/>
  <c r="O173" i="69"/>
  <c r="E203" i="76"/>
  <c r="E65" i="97"/>
  <c r="E26" i="105"/>
  <c r="E203" i="105"/>
  <c r="E163" i="69"/>
  <c r="O30" i="97"/>
  <c r="E71" i="105"/>
  <c r="E174" i="105"/>
  <c r="E90" i="105"/>
  <c r="O168" i="69"/>
  <c r="O193" i="76"/>
  <c r="E70" i="97"/>
  <c r="O26" i="105"/>
  <c r="O203" i="105"/>
  <c r="O198" i="105"/>
  <c r="E198" i="76"/>
  <c r="E184" i="105"/>
  <c r="E109" i="105"/>
  <c r="O35" i="97"/>
  <c r="E95" i="105"/>
  <c r="O163" i="69"/>
  <c r="O198" i="76"/>
  <c r="E238" i="76"/>
  <c r="E75" i="97"/>
  <c r="E31" i="105"/>
  <c r="O203" i="76"/>
  <c r="E243" i="76"/>
  <c r="O75" i="97"/>
  <c r="O31" i="105"/>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I18" i="108"/>
  <c r="I14" i="108" s="1"/>
  <c r="I17" i="108"/>
  <c r="I16" i="108"/>
  <c r="E11" i="108" a="1"/>
  <c r="E11" i="108" s="1"/>
  <c r="I28" i="108" s="1"/>
  <c r="E10" i="108" a="1"/>
  <c r="E10" i="108" s="1"/>
  <c r="D6" i="108" a="1"/>
  <c r="D6" i="108" s="1"/>
  <c r="O50" i="107" a="1"/>
  <c r="O50" i="107" s="1"/>
  <c r="M47" i="107" a="1"/>
  <c r="M47" i="107" s="1"/>
  <c r="F50" i="107" a="1"/>
  <c r="F50" i="107" s="1"/>
  <c r="D47" i="107" a="1"/>
  <c r="D47" i="107" s="1"/>
  <c r="I42" i="107"/>
  <c r="I39" i="107" s="1"/>
  <c r="I41" i="107"/>
  <c r="I93" i="97"/>
  <c r="I90" i="97" s="1"/>
  <c r="I92" i="97"/>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F183" i="105"/>
  <c r="F182" i="105"/>
  <c r="F181" i="105"/>
  <c r="F180" i="105"/>
  <c r="F178" i="105"/>
  <c r="F177" i="105"/>
  <c r="F176" i="105"/>
  <c r="F175" i="105"/>
  <c r="F172" i="105"/>
  <c r="F171" i="105"/>
  <c r="F170" i="105"/>
  <c r="E131" i="105" a="1"/>
  <c r="E131" i="105" s="1"/>
  <c r="E130" i="105" a="1"/>
  <c r="E130" i="105" s="1"/>
  <c r="D126" i="105" a="1"/>
  <c r="D126" i="105" s="1"/>
  <c r="D125" i="105" a="1"/>
  <c r="D125" i="105" s="1"/>
  <c r="D5" i="105" a="1"/>
  <c r="D5" i="105" s="1"/>
  <c r="E7" i="108" a="1"/>
  <c r="E7" i="107" a="1"/>
  <c r="E37" i="108" a="1"/>
  <c r="E127" i="105" a="1"/>
  <c r="E32" i="107" a="1"/>
  <c r="E7" i="105" a="1"/>
  <c r="E7" i="106"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I18" i="98"/>
  <c r="I14" i="98" s="1"/>
  <c r="I17" i="98"/>
  <c r="I16" i="98"/>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I183" i="76"/>
  <c r="H183" i="76"/>
  <c r="G183" i="76"/>
  <c r="F183" i="76"/>
  <c r="I182" i="76"/>
  <c r="H182" i="76"/>
  <c r="G182" i="76"/>
  <c r="F182" i="76"/>
  <c r="I181" i="76"/>
  <c r="H181" i="76"/>
  <c r="G181" i="76"/>
  <c r="F181" i="76"/>
  <c r="I180" i="76"/>
  <c r="H180" i="76"/>
  <c r="G180" i="76"/>
  <c r="F180" i="76"/>
  <c r="I178" i="76"/>
  <c r="H178" i="76"/>
  <c r="G178" i="76"/>
  <c r="F178" i="76"/>
  <c r="I177" i="76"/>
  <c r="H177" i="76"/>
  <c r="G177" i="76"/>
  <c r="F177" i="76"/>
  <c r="I176" i="76"/>
  <c r="H176" i="76"/>
  <c r="G176" i="76"/>
  <c r="F176" i="76"/>
  <c r="I175" i="76"/>
  <c r="H175" i="76"/>
  <c r="G175" i="76"/>
  <c r="F175" i="76"/>
  <c r="I173" i="76"/>
  <c r="H173" i="76"/>
  <c r="G173" i="76"/>
  <c r="F173" i="76"/>
  <c r="I172" i="76"/>
  <c r="H172" i="76"/>
  <c r="G172" i="76"/>
  <c r="F172" i="76"/>
  <c r="I171" i="76"/>
  <c r="H171" i="76"/>
  <c r="G171" i="76"/>
  <c r="F171" i="76"/>
  <c r="I170" i="76"/>
  <c r="H170" i="76"/>
  <c r="G170" i="76"/>
  <c r="F170" i="76"/>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H103" i="76"/>
  <c r="G103" i="76"/>
  <c r="F103" i="76"/>
  <c r="E103" i="76"/>
  <c r="H102" i="76"/>
  <c r="G102" i="76"/>
  <c r="F102" i="76"/>
  <c r="E102" i="76"/>
  <c r="H101" i="76"/>
  <c r="G101" i="76"/>
  <c r="F101" i="76"/>
  <c r="E101" i="76"/>
  <c r="H100" i="76"/>
  <c r="G100" i="76"/>
  <c r="F100" i="76"/>
  <c r="E100" i="76"/>
  <c r="E92" i="76" a="1"/>
  <c r="E92" i="76" s="1"/>
  <c r="E91" i="76" a="1"/>
  <c r="E91" i="76" s="1"/>
  <c r="D87" i="76" a="1"/>
  <c r="D87" i="76" s="1"/>
  <c r="D86" i="76" a="1"/>
  <c r="D86" i="76" s="1"/>
  <c r="G77" i="76"/>
  <c r="F77" i="76"/>
  <c r="E77" i="76"/>
  <c r="D77" i="76"/>
  <c r="G72" i="76"/>
  <c r="F72" i="76"/>
  <c r="E72" i="76"/>
  <c r="D72" i="76"/>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G197" i="69"/>
  <c r="F197" i="69"/>
  <c r="E197" i="69"/>
  <c r="D197" i="69"/>
  <c r="G192" i="69"/>
  <c r="F192" i="69"/>
  <c r="E192" i="69"/>
  <c r="D192" i="69"/>
  <c r="E183" i="69" a="1"/>
  <c r="E183" i="69" s="1"/>
  <c r="E182" i="69" a="1"/>
  <c r="E182" i="69" s="1"/>
  <c r="D178" i="69" a="1"/>
  <c r="D178" i="69" s="1"/>
  <c r="D177" i="69" a="1"/>
  <c r="D177" i="69" s="1"/>
  <c r="D121" i="69" a="1"/>
  <c r="D121" i="69" s="1"/>
  <c r="I153" i="69"/>
  <c r="H153" i="69"/>
  <c r="G153" i="69"/>
  <c r="F153" i="69"/>
  <c r="I152" i="69"/>
  <c r="H152" i="69"/>
  <c r="G152" i="69"/>
  <c r="F152" i="69"/>
  <c r="I151" i="69"/>
  <c r="H151" i="69"/>
  <c r="G151" i="69"/>
  <c r="F151" i="69"/>
  <c r="I150" i="69"/>
  <c r="H150" i="69"/>
  <c r="G150" i="69"/>
  <c r="F150" i="69"/>
  <c r="I148" i="69"/>
  <c r="H148" i="69"/>
  <c r="G148" i="69"/>
  <c r="F148" i="69"/>
  <c r="I147" i="69"/>
  <c r="H147" i="69"/>
  <c r="G147" i="69"/>
  <c r="F147" i="69"/>
  <c r="I146" i="69"/>
  <c r="H146" i="69"/>
  <c r="G146" i="69"/>
  <c r="F146" i="69"/>
  <c r="I145" i="69"/>
  <c r="H145" i="69"/>
  <c r="G145" i="69"/>
  <c r="F145" i="69"/>
  <c r="I143" i="69"/>
  <c r="H143" i="69"/>
  <c r="G143" i="69"/>
  <c r="F143" i="69"/>
  <c r="I142" i="69"/>
  <c r="H142" i="69"/>
  <c r="G142" i="69"/>
  <c r="F142" i="69"/>
  <c r="I141" i="69"/>
  <c r="H141" i="69"/>
  <c r="G141" i="69"/>
  <c r="F141" i="69"/>
  <c r="I140" i="69"/>
  <c r="H140" i="69"/>
  <c r="G140" i="69"/>
  <c r="F140" i="69"/>
  <c r="I135" i="69"/>
  <c r="D93" i="69" a="1"/>
  <c r="D93" i="69" s="1"/>
  <c r="E99" i="69" a="1"/>
  <c r="E99" i="69" s="1"/>
  <c r="S115" i="69" s="1"/>
  <c r="E98" i="69" a="1"/>
  <c r="E98" i="69" s="1"/>
  <c r="D94" i="69" a="1"/>
  <c r="D94" i="69" s="1"/>
  <c r="D40" i="69" a="1"/>
  <c r="D40" i="69" s="1"/>
  <c r="H63" i="69"/>
  <c r="G63" i="69"/>
  <c r="F63" i="69"/>
  <c r="E63" i="69"/>
  <c r="H62" i="69"/>
  <c r="G62" i="69"/>
  <c r="F62" i="69"/>
  <c r="E62" i="69"/>
  <c r="H61" i="69"/>
  <c r="G61" i="69"/>
  <c r="F61" i="69"/>
  <c r="E61" i="69"/>
  <c r="H60" i="69"/>
  <c r="G60" i="69"/>
  <c r="F60" i="69"/>
  <c r="E60" i="69"/>
  <c r="I55" i="69"/>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D11" i="70"/>
  <c r="M55" i="70"/>
  <c r="F99" i="105" s="1"/>
  <c r="M41" i="70"/>
  <c r="F89" i="105" s="1"/>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20" i="69" s="1"/>
  <c r="G9" i="79" a="1"/>
  <c r="G9" i="79" s="1"/>
  <c r="G21" i="70" s="1"/>
  <c r="P20" i="69" s="1"/>
  <c r="F9" i="79" a="1"/>
  <c r="F9" i="79" s="1"/>
  <c r="F21" i="70" s="1"/>
  <c r="O20" i="69" s="1"/>
  <c r="E9" i="79" a="1"/>
  <c r="E9" i="79" s="1"/>
  <c r="E21" i="70" s="1"/>
  <c r="N20" i="69" s="1"/>
  <c r="D9" i="79" a="1"/>
  <c r="D9" i="79" s="1"/>
  <c r="D6" i="79" a="1"/>
  <c r="D6" i="79" s="1"/>
  <c r="D5" i="79" a="1"/>
  <c r="D5" i="79" s="1"/>
  <c r="A8" i="13"/>
  <c r="A5" i="13"/>
  <c r="A3" i="13"/>
  <c r="E7" i="98" a="1"/>
  <c r="E209" i="76" a="1"/>
  <c r="E7" i="69" a="1"/>
  <c r="E117" i="76" a="1"/>
  <c r="E44" i="69" a="1"/>
  <c r="E42" i="98" a="1"/>
  <c r="E7" i="97" a="1"/>
  <c r="E158" i="76" a="1"/>
  <c r="E83" i="97" a="1"/>
  <c r="E179" i="69" a="1"/>
  <c r="E7" i="76" a="1"/>
  <c r="E88" i="76" a="1"/>
  <c r="E95" i="69" a="1"/>
  <c r="E124" i="69" a="1"/>
  <c r="E36" i="76" a="1"/>
  <c r="E59" i="76" a="1"/>
  <c r="F144" i="69" l="1"/>
  <c r="F174" i="76"/>
  <c r="I144" i="69"/>
  <c r="I174" i="76"/>
  <c r="F154" i="69"/>
  <c r="F184" i="76"/>
  <c r="G154" i="69"/>
  <c r="G184" i="76"/>
  <c r="G144" i="69"/>
  <c r="G174" i="76"/>
  <c r="H154" i="69"/>
  <c r="H184" i="76"/>
  <c r="H174" i="76"/>
  <c r="H144" i="69"/>
  <c r="I154" i="69"/>
  <c r="I184" i="76"/>
  <c r="R53" i="76"/>
  <c r="H53" i="76"/>
  <c r="F96" i="97"/>
  <c r="P96" i="97"/>
  <c r="E62" i="105" a="1"/>
  <c r="E62" i="105" s="1"/>
  <c r="E49" i="105" a="1"/>
  <c r="E49" i="105" s="1"/>
  <c r="I15" i="98"/>
  <c r="I15" i="108"/>
  <c r="D52" i="70"/>
  <c r="E96" i="105" s="1"/>
  <c r="D53" i="70"/>
  <c r="E181" i="105" s="1"/>
  <c r="D55" i="70"/>
  <c r="O172" i="69" s="1"/>
  <c r="D144" i="76"/>
  <c r="D145" i="76"/>
  <c r="D42" i="105"/>
  <c r="E42" i="105" s="1" a="1"/>
  <c r="E42" i="105" s="1"/>
  <c r="D48" i="97"/>
  <c r="E48" i="97" s="1" a="1"/>
  <c r="E48" i="97" s="1"/>
  <c r="D46" i="70"/>
  <c r="E92" i="105" s="1"/>
  <c r="D49" i="97"/>
  <c r="D47" i="70"/>
  <c r="E149" i="105" s="1"/>
  <c r="D51" i="97"/>
  <c r="E51" i="97" s="1" a="1"/>
  <c r="E51" i="97" s="1"/>
  <c r="D48" i="70"/>
  <c r="E168" i="69" s="1"/>
  <c r="D131" i="76"/>
  <c r="D44" i="70"/>
  <c r="D147" i="105"/>
  <c r="N72" i="105"/>
  <c r="D72" i="105"/>
  <c r="N194" i="105"/>
  <c r="D175" i="105"/>
  <c r="N110" i="105"/>
  <c r="D194" i="105"/>
  <c r="D91" i="105"/>
  <c r="N147" i="105"/>
  <c r="D110" i="105"/>
  <c r="N116" i="69"/>
  <c r="N109" i="76"/>
  <c r="D145" i="69"/>
  <c r="N87" i="69"/>
  <c r="D116" i="69"/>
  <c r="O62" i="97"/>
  <c r="O190" i="105"/>
  <c r="E171" i="105"/>
  <c r="O106" i="105"/>
  <c r="E190" i="105"/>
  <c r="O143" i="105"/>
  <c r="E106" i="105"/>
  <c r="E87" i="105"/>
  <c r="E143" i="105"/>
  <c r="O68" i="105"/>
  <c r="E68" i="105"/>
  <c r="O160" i="69"/>
  <c r="N228" i="76"/>
  <c r="N28" i="108"/>
  <c r="N25" i="106"/>
  <c r="M19" i="107"/>
  <c r="D25" i="106"/>
  <c r="D19" i="107"/>
  <c r="N20" i="106"/>
  <c r="N23" i="108"/>
  <c r="D20" i="106"/>
  <c r="I14" i="106" s="1"/>
  <c r="D28" i="108"/>
  <c r="D23" i="108"/>
  <c r="M24" i="107"/>
  <c r="D24" i="107"/>
  <c r="D89" i="69"/>
  <c r="N205" i="69"/>
  <c r="D71" i="97"/>
  <c r="N77" i="105"/>
  <c r="D77" i="105"/>
  <c r="D180" i="105"/>
  <c r="N115" i="105"/>
  <c r="D96" i="105"/>
  <c r="D152" i="105"/>
  <c r="D115" i="105"/>
  <c r="D51" i="70"/>
  <c r="N199" i="105"/>
  <c r="N152" i="105"/>
  <c r="D199" i="105"/>
  <c r="D60" i="69"/>
  <c r="D37" i="70"/>
  <c r="N189" i="105"/>
  <c r="D170" i="105"/>
  <c r="N105" i="105"/>
  <c r="D189" i="105"/>
  <c r="N142" i="105"/>
  <c r="D105" i="105"/>
  <c r="D86" i="105"/>
  <c r="D142" i="105"/>
  <c r="D67" i="105"/>
  <c r="N67" i="105"/>
  <c r="D140" i="69"/>
  <c r="N150" i="76"/>
  <c r="D115" i="69"/>
  <c r="O27" i="105"/>
  <c r="O72" i="105"/>
  <c r="E72" i="105"/>
  <c r="O194" i="105"/>
  <c r="E175" i="105"/>
  <c r="O110" i="105"/>
  <c r="E194" i="105"/>
  <c r="E147" i="105"/>
  <c r="E91" i="105"/>
  <c r="O147" i="105"/>
  <c r="E110" i="105"/>
  <c r="E145" i="69"/>
  <c r="E162" i="69"/>
  <c r="O145" i="105"/>
  <c r="E108" i="105"/>
  <c r="E89" i="105"/>
  <c r="E145" i="105"/>
  <c r="O70" i="105"/>
  <c r="E70" i="105"/>
  <c r="O192" i="105"/>
  <c r="E192" i="105"/>
  <c r="E173" i="105"/>
  <c r="O108" i="105"/>
  <c r="O209" i="69"/>
  <c r="E191" i="76"/>
  <c r="E191" i="105"/>
  <c r="O144" i="105"/>
  <c r="E107" i="105"/>
  <c r="E88" i="105"/>
  <c r="E144" i="105"/>
  <c r="O69" i="105"/>
  <c r="E69" i="105"/>
  <c r="E172" i="105"/>
  <c r="O107" i="105"/>
  <c r="O191" i="105"/>
  <c r="E29" i="105"/>
  <c r="D41" i="105"/>
  <c r="D50" i="97"/>
  <c r="O28" i="105"/>
  <c r="E73" i="105"/>
  <c r="D43" i="105"/>
  <c r="E43" i="105" s="1" a="1"/>
  <c r="E43" i="105" s="1"/>
  <c r="D52" i="97"/>
  <c r="E52" i="97" s="1" a="1"/>
  <c r="E52" i="97" s="1"/>
  <c r="D54" i="70"/>
  <c r="E218" i="69" s="1"/>
  <c r="D44" i="105"/>
  <c r="E44" i="105" s="1" a="1"/>
  <c r="E44" i="105" s="1"/>
  <c r="D54" i="105"/>
  <c r="E54" i="105" s="1" a="1"/>
  <c r="E54" i="105" s="1"/>
  <c r="D45" i="105"/>
  <c r="E45" i="105" s="1" a="1"/>
  <c r="E45" i="105" s="1"/>
  <c r="D55" i="105"/>
  <c r="E55" i="105" s="1" a="1"/>
  <c r="E55" i="105" s="1"/>
  <c r="D46" i="105"/>
  <c r="E46" i="105" s="1" a="1"/>
  <c r="E46" i="105" s="1"/>
  <c r="D56" i="105"/>
  <c r="E56" i="105" s="1" a="1"/>
  <c r="E56" i="105" s="1"/>
  <c r="D138" i="76"/>
  <c r="D47" i="105"/>
  <c r="E47" i="105" s="1" a="1"/>
  <c r="E47" i="105" s="1"/>
  <c r="D57" i="105"/>
  <c r="E57" i="105" s="1" a="1"/>
  <c r="E57" i="105" s="1"/>
  <c r="O118" i="105"/>
  <c r="E155" i="105"/>
  <c r="D38" i="70"/>
  <c r="E34" i="98" s="1"/>
  <c r="D139" i="76"/>
  <c r="D48" i="105"/>
  <c r="E48" i="105" s="1" a="1"/>
  <c r="E48" i="105" s="1"/>
  <c r="D58" i="105"/>
  <c r="E58" i="105" s="1" a="1"/>
  <c r="E58" i="105" s="1"/>
  <c r="D140" i="76"/>
  <c r="D59" i="105"/>
  <c r="E59" i="105" s="1" a="1"/>
  <c r="E59" i="105" s="1"/>
  <c r="D45" i="97"/>
  <c r="E45" i="97" s="1" a="1"/>
  <c r="E45" i="97" s="1"/>
  <c r="E113" i="105"/>
  <c r="E197" i="105"/>
  <c r="D46" i="97"/>
  <c r="P77" i="97"/>
  <c r="J55" i="98"/>
  <c r="E141" i="76" a="1"/>
  <c r="E141" i="76" s="1"/>
  <c r="J202" i="69"/>
  <c r="J159" i="69"/>
  <c r="F245" i="76"/>
  <c r="T225" i="76"/>
  <c r="P245" i="76"/>
  <c r="P222" i="69"/>
  <c r="J189" i="105"/>
  <c r="T189" i="105"/>
  <c r="F205" i="105"/>
  <c r="P205" i="105"/>
  <c r="P121" i="105"/>
  <c r="F121" i="105"/>
  <c r="T105" i="105"/>
  <c r="J105" i="105"/>
  <c r="E60" i="105" a="1"/>
  <c r="E60" i="105" s="1"/>
  <c r="F59" i="98"/>
  <c r="J225" i="76"/>
  <c r="T55" i="98"/>
  <c r="E61" i="105" a="1"/>
  <c r="E61" i="105" s="1"/>
  <c r="E166" i="69"/>
  <c r="E216" i="69"/>
  <c r="O211" i="69"/>
  <c r="D133" i="76"/>
  <c r="E133" i="76" s="1" a="1"/>
  <c r="E133" i="76" s="1"/>
  <c r="E192" i="76"/>
  <c r="O191" i="76"/>
  <c r="E230" i="76"/>
  <c r="E28" i="97"/>
  <c r="D58" i="97"/>
  <c r="N22" i="97"/>
  <c r="N36" i="97"/>
  <c r="N27" i="98"/>
  <c r="N55" i="98"/>
  <c r="E30" i="105"/>
  <c r="O161" i="69"/>
  <c r="E182" i="76"/>
  <c r="D194" i="76"/>
  <c r="O192" i="76"/>
  <c r="E231" i="76"/>
  <c r="E29" i="97"/>
  <c r="D59" i="97"/>
  <c r="N23" i="97"/>
  <c r="O63" i="97"/>
  <c r="D55" i="98"/>
  <c r="D32" i="105"/>
  <c r="D216" i="69"/>
  <c r="D169" i="69"/>
  <c r="O162" i="69"/>
  <c r="D202" i="69"/>
  <c r="O213" i="69"/>
  <c r="D108" i="76"/>
  <c r="D170" i="76"/>
  <c r="E194" i="76"/>
  <c r="N194" i="76"/>
  <c r="E232" i="76"/>
  <c r="O230" i="76"/>
  <c r="D31" i="97"/>
  <c r="D60" i="97"/>
  <c r="E73" i="97"/>
  <c r="N24" i="97"/>
  <c r="O64" i="97"/>
  <c r="D34" i="98"/>
  <c r="N28" i="98"/>
  <c r="N32" i="105"/>
  <c r="N164" i="69"/>
  <c r="D203" i="69"/>
  <c r="N203" i="69"/>
  <c r="D109" i="76"/>
  <c r="D150" i="76"/>
  <c r="E195" i="76"/>
  <c r="O194" i="76"/>
  <c r="D234" i="76"/>
  <c r="N239" i="76"/>
  <c r="E31" i="97"/>
  <c r="D61" i="97"/>
  <c r="N25" i="97"/>
  <c r="N66" i="97"/>
  <c r="O28" i="98"/>
  <c r="D56" i="98"/>
  <c r="N56" i="98"/>
  <c r="O32" i="105"/>
  <c r="E151" i="69"/>
  <c r="O164" i="69"/>
  <c r="D204" i="69"/>
  <c r="D110" i="76"/>
  <c r="D151" i="76"/>
  <c r="E171" i="76"/>
  <c r="E234" i="76"/>
  <c r="O231" i="76"/>
  <c r="E32" i="97"/>
  <c r="E61" i="97"/>
  <c r="N26" i="97"/>
  <c r="O66" i="97"/>
  <c r="D27" i="98"/>
  <c r="D35" i="98"/>
  <c r="N29" i="98"/>
  <c r="E56" i="98"/>
  <c r="O56" i="98"/>
  <c r="O165" i="69"/>
  <c r="D100" i="76"/>
  <c r="D111" i="76"/>
  <c r="D152" i="76"/>
  <c r="E172" i="76"/>
  <c r="E197" i="76"/>
  <c r="O196" i="76"/>
  <c r="N225" i="76"/>
  <c r="E33" i="97"/>
  <c r="E62" i="97"/>
  <c r="O26" i="97"/>
  <c r="N57" i="97"/>
  <c r="E35" i="98"/>
  <c r="D57" i="98"/>
  <c r="D22" i="105"/>
  <c r="O34" i="105"/>
  <c r="D88" i="69"/>
  <c r="D150" i="69"/>
  <c r="E207" i="69"/>
  <c r="N206" i="69"/>
  <c r="D101" i="76"/>
  <c r="N108" i="76"/>
  <c r="E173" i="76"/>
  <c r="D199" i="76"/>
  <c r="E236" i="76"/>
  <c r="O232" i="76"/>
  <c r="E34" i="97"/>
  <c r="E63" i="97"/>
  <c r="O27" i="97"/>
  <c r="N58" i="97"/>
  <c r="O67" i="97"/>
  <c r="D28" i="98"/>
  <c r="D36" i="98"/>
  <c r="N57" i="98"/>
  <c r="N22" i="105"/>
  <c r="E208" i="69"/>
  <c r="D102" i="76"/>
  <c r="D175" i="76"/>
  <c r="N199" i="76"/>
  <c r="N226" i="76"/>
  <c r="D22" i="97"/>
  <c r="D36" i="97"/>
  <c r="E64" i="97"/>
  <c r="O28" i="97"/>
  <c r="N59" i="97"/>
  <c r="O68" i="97"/>
  <c r="E28" i="98"/>
  <c r="E23" i="105"/>
  <c r="E141" i="69"/>
  <c r="E159" i="69"/>
  <c r="O169" i="69"/>
  <c r="E209" i="69"/>
  <c r="D103" i="76"/>
  <c r="N110" i="76"/>
  <c r="N151" i="76"/>
  <c r="E175" i="76"/>
  <c r="D225" i="76"/>
  <c r="D239" i="76"/>
  <c r="N234" i="76"/>
  <c r="D23" i="97"/>
  <c r="D66" i="97"/>
  <c r="O29" i="97"/>
  <c r="D29" i="98"/>
  <c r="N34" i="98"/>
  <c r="E24" i="105"/>
  <c r="O23" i="105"/>
  <c r="E142" i="69"/>
  <c r="E160" i="69"/>
  <c r="E211" i="69"/>
  <c r="O207" i="69"/>
  <c r="N111" i="76"/>
  <c r="N152" i="76"/>
  <c r="E176" i="76"/>
  <c r="E201" i="76"/>
  <c r="D226" i="76"/>
  <c r="E239" i="76"/>
  <c r="N227" i="76"/>
  <c r="O234" i="76"/>
  <c r="D24" i="97"/>
  <c r="E66" i="97"/>
  <c r="N31" i="97"/>
  <c r="N60" i="97"/>
  <c r="O34" i="98"/>
  <c r="E25" i="105"/>
  <c r="O24" i="105"/>
  <c r="E143" i="69"/>
  <c r="E161" i="69"/>
  <c r="E172" i="69"/>
  <c r="O171" i="69"/>
  <c r="E212" i="69"/>
  <c r="E177" i="76"/>
  <c r="D189" i="76"/>
  <c r="D227" i="76"/>
  <c r="D25" i="97"/>
  <c r="E67" i="97"/>
  <c r="O31" i="97"/>
  <c r="N61" i="97"/>
  <c r="N35" i="98"/>
  <c r="D27" i="105"/>
  <c r="O25" i="105"/>
  <c r="N117" i="69"/>
  <c r="D130" i="76"/>
  <c r="E178" i="76"/>
  <c r="E189" i="76"/>
  <c r="N189" i="76"/>
  <c r="D228" i="76"/>
  <c r="O235" i="76"/>
  <c r="D26" i="97"/>
  <c r="E68" i="97"/>
  <c r="O32" i="97"/>
  <c r="O61" i="97"/>
  <c r="N71" i="97"/>
  <c r="O35" i="98"/>
  <c r="E27" i="105"/>
  <c r="N27" i="105"/>
  <c r="E213" i="69"/>
  <c r="O208" i="69"/>
  <c r="E146" i="69"/>
  <c r="E164" i="69"/>
  <c r="D180" i="76"/>
  <c r="E190" i="76"/>
  <c r="O189" i="76"/>
  <c r="D229" i="76"/>
  <c r="E26" i="97"/>
  <c r="E69" i="97"/>
  <c r="O33" i="97"/>
  <c r="N36" i="98"/>
  <c r="E28" i="105"/>
  <c r="D132" i="76"/>
  <c r="E132" i="76" s="1" a="1"/>
  <c r="E132" i="76" s="1"/>
  <c r="O190" i="76"/>
  <c r="N229" i="76"/>
  <c r="O236" i="76"/>
  <c r="E27" i="97"/>
  <c r="D57" i="97"/>
  <c r="E42" i="98"/>
  <c r="J34" i="98"/>
  <c r="E7" i="98"/>
  <c r="E140" i="76" a="1"/>
  <c r="E140" i="76" s="1"/>
  <c r="E49" i="97" a="1"/>
  <c r="E49" i="97" s="1"/>
  <c r="E130" i="76" a="1"/>
  <c r="E130" i="76" s="1"/>
  <c r="E50" i="97" a="1"/>
  <c r="E50" i="97" s="1"/>
  <c r="E131" i="76" a="1"/>
  <c r="E131" i="76" s="1"/>
  <c r="E142" i="76" a="1"/>
  <c r="E142" i="76" s="1"/>
  <c r="E143" i="76" a="1"/>
  <c r="E143" i="76" s="1"/>
  <c r="E47" i="97" a="1"/>
  <c r="E47" i="97" s="1"/>
  <c r="E144" i="76" a="1"/>
  <c r="E144" i="76" s="1"/>
  <c r="E145" i="76" a="1"/>
  <c r="E145" i="76" s="1"/>
  <c r="G20" i="76"/>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E18" i="70"/>
  <c r="D25" i="76" s="1"/>
  <c r="F18" i="70"/>
  <c r="E25" i="76" s="1"/>
  <c r="G18" i="70"/>
  <c r="F25" i="76" s="1"/>
  <c r="H18" i="70"/>
  <c r="G25" i="76" s="1"/>
  <c r="N20" i="76"/>
  <c r="N30" i="76" s="1" a="1"/>
  <c r="N30" i="76" s="1"/>
  <c r="N53" i="76" s="1" a="1"/>
  <c r="N53" i="76" s="1"/>
  <c r="N82" i="76" s="1" a="1"/>
  <c r="N82" i="76" s="1"/>
  <c r="O20" i="76"/>
  <c r="O30" i="76" s="1" a="1"/>
  <c r="O30" i="76" s="1"/>
  <c r="O53" i="76" s="1" a="1"/>
  <c r="O53" i="76" s="1"/>
  <c r="O82" i="76" s="1" a="1"/>
  <c r="O82" i="76" s="1"/>
  <c r="P20" i="76"/>
  <c r="P30" i="76" s="1" a="1"/>
  <c r="P30" i="76" s="1"/>
  <c r="P53" i="76" s="1" a="1"/>
  <c r="P53" i="76" s="1"/>
  <c r="P82" i="76" s="1" a="1"/>
  <c r="P82" i="76" s="1"/>
  <c r="E88" i="76"/>
  <c r="E36" i="76"/>
  <c r="E59" i="76"/>
  <c r="E7" i="76"/>
  <c r="D86" i="69"/>
  <c r="N115" i="69"/>
  <c r="D205" i="69"/>
  <c r="D87" i="69"/>
  <c r="N169" i="69"/>
  <c r="D206" i="69"/>
  <c r="N216" i="69"/>
  <c r="N89" i="69"/>
  <c r="D159" i="69"/>
  <c r="N202" i="69"/>
  <c r="O35" i="69" a="1"/>
  <c r="O35" i="69" s="1"/>
  <c r="D211" i="69"/>
  <c r="N211" i="69"/>
  <c r="D109" i="69"/>
  <c r="E109" i="69" s="1" a="1"/>
  <c r="E109" i="69" s="1"/>
  <c r="D164" i="69"/>
  <c r="N204" i="69"/>
  <c r="N159" i="69"/>
  <c r="D108" i="69"/>
  <c r="N86" i="69"/>
  <c r="E179" i="69"/>
  <c r="E124" i="69"/>
  <c r="E95" i="69"/>
  <c r="N35" i="69" a="1"/>
  <c r="N35" i="69" s="1"/>
  <c r="H21" i="70"/>
  <c r="F17" i="70"/>
  <c r="E25" i="69" s="1"/>
  <c r="G17" i="70"/>
  <c r="F25" i="69" s="1"/>
  <c r="H17" i="70"/>
  <c r="G25" i="69" s="1"/>
  <c r="G35" i="69" s="1" a="1"/>
  <c r="G35" i="69" s="1"/>
  <c r="E17" i="70"/>
  <c r="D25" i="69" s="1"/>
  <c r="E68" i="69"/>
  <c r="F68" i="69"/>
  <c r="E16" i="70"/>
  <c r="F16" i="70"/>
  <c r="G16" i="70"/>
  <c r="D61" i="69"/>
  <c r="D110" i="69"/>
  <c r="E110" i="69" s="1" a="1"/>
  <c r="E110" i="69" s="1"/>
  <c r="D62" i="69"/>
  <c r="D63" i="69"/>
  <c r="N88" i="69"/>
  <c r="P35" i="69" a="1"/>
  <c r="P35" i="69" s="1"/>
  <c r="D117" i="69"/>
  <c r="E44" i="69"/>
  <c r="R35" i="69"/>
  <c r="E7" i="69"/>
  <c r="E33" i="105" l="1"/>
  <c r="E35" i="105"/>
  <c r="O73" i="97"/>
  <c r="O78" i="105"/>
  <c r="O202" i="105"/>
  <c r="O240" i="76"/>
  <c r="E169" i="69"/>
  <c r="O200" i="105"/>
  <c r="E183" i="105"/>
  <c r="O202" i="76"/>
  <c r="O242" i="76"/>
  <c r="O69" i="97"/>
  <c r="O57" i="98"/>
  <c r="O217" i="69"/>
  <c r="O239" i="76"/>
  <c r="E219" i="69"/>
  <c r="E242" i="76"/>
  <c r="E36" i="98"/>
  <c r="O35" i="105"/>
  <c r="O197" i="76"/>
  <c r="O29" i="98"/>
  <c r="E72" i="97"/>
  <c r="E71" i="97"/>
  <c r="O241" i="76"/>
  <c r="O201" i="76"/>
  <c r="O170" i="69"/>
  <c r="E152" i="69"/>
  <c r="O38" i="97"/>
  <c r="E183" i="76"/>
  <c r="O39" i="97"/>
  <c r="E199" i="76"/>
  <c r="E202" i="76"/>
  <c r="E171" i="69"/>
  <c r="O199" i="76"/>
  <c r="E34" i="105"/>
  <c r="E153" i="69"/>
  <c r="E37" i="97"/>
  <c r="E200" i="76"/>
  <c r="E57" i="98"/>
  <c r="E74" i="97"/>
  <c r="E32" i="105"/>
  <c r="E39" i="97"/>
  <c r="E180" i="76"/>
  <c r="O71" i="97"/>
  <c r="O80" i="105"/>
  <c r="E77" i="105"/>
  <c r="E38" i="97"/>
  <c r="O219" i="69"/>
  <c r="O218" i="69"/>
  <c r="O216" i="69"/>
  <c r="E80" i="105"/>
  <c r="O115" i="105"/>
  <c r="P86" i="69"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75" i="105"/>
  <c r="E99" i="105"/>
  <c r="E118" i="105"/>
  <c r="O74" i="97"/>
  <c r="O155" i="105"/>
  <c r="E202" i="105"/>
  <c r="O72" i="97"/>
  <c r="E180" i="105"/>
  <c r="O150" i="105"/>
  <c r="O199" i="105"/>
  <c r="O37" i="97"/>
  <c r="O237" i="76"/>
  <c r="O197" i="105"/>
  <c r="O36" i="98"/>
  <c r="E93" i="105"/>
  <c r="E94" i="105"/>
  <c r="E116" i="105"/>
  <c r="O214" i="69"/>
  <c r="O113" i="105"/>
  <c r="O153" i="105"/>
  <c r="O30" i="105"/>
  <c r="E178" i="105"/>
  <c r="E78" i="105"/>
  <c r="E199" i="105"/>
  <c r="O33" i="105"/>
  <c r="O212" i="69"/>
  <c r="O75" i="105"/>
  <c r="E97" i="105"/>
  <c r="O77" i="105"/>
  <c r="E214" i="69"/>
  <c r="O200" i="76"/>
  <c r="E196" i="76"/>
  <c r="E217" i="69"/>
  <c r="E150" i="105"/>
  <c r="E153" i="105"/>
  <c r="E115" i="105"/>
  <c r="O34" i="97"/>
  <c r="E200" i="105"/>
  <c r="O152" i="105"/>
  <c r="E150" i="69"/>
  <c r="E167" i="69"/>
  <c r="E181" i="76"/>
  <c r="O116" i="105"/>
  <c r="E152" i="105"/>
  <c r="E240" i="76"/>
  <c r="E29" i="98"/>
  <c r="E36" i="97"/>
  <c r="E170" i="69"/>
  <c r="E237" i="76"/>
  <c r="O166" i="69"/>
  <c r="E235" i="76"/>
  <c r="O36" i="97"/>
  <c r="O29" i="105"/>
  <c r="E111" i="105"/>
  <c r="E41" i="105" a="1"/>
  <c r="E41" i="105" s="1"/>
  <c r="O148" i="105"/>
  <c r="E112" i="105"/>
  <c r="E195" i="105"/>
  <c r="O149" i="105"/>
  <c r="E170" i="76"/>
  <c r="O195" i="76"/>
  <c r="E147" i="69"/>
  <c r="O74" i="105"/>
  <c r="O73" i="105"/>
  <c r="O112" i="105"/>
  <c r="E148" i="105"/>
  <c r="E177" i="105"/>
  <c r="E176" i="105"/>
  <c r="O196" i="105"/>
  <c r="O111" i="105"/>
  <c r="E74" i="105"/>
  <c r="O195" i="105"/>
  <c r="E196" i="105"/>
  <c r="E148" i="69"/>
  <c r="O167" i="69"/>
  <c r="E165" i="69"/>
  <c r="E229" i="76"/>
  <c r="O189" i="105"/>
  <c r="E170" i="105"/>
  <c r="O105" i="105"/>
  <c r="E189" i="105"/>
  <c r="O142" i="105"/>
  <c r="E105" i="105"/>
  <c r="E86" i="105"/>
  <c r="E142" i="105"/>
  <c r="E67" i="105"/>
  <c r="O67" i="105"/>
  <c r="O159" i="69"/>
  <c r="E140" i="69"/>
  <c r="O206" i="69"/>
  <c r="O22" i="105"/>
  <c r="O55" i="98"/>
  <c r="E241" i="76"/>
  <c r="O201" i="105"/>
  <c r="E182" i="105"/>
  <c r="O117" i="105"/>
  <c r="E201" i="105"/>
  <c r="O154" i="105"/>
  <c r="E117" i="105"/>
  <c r="E98" i="105"/>
  <c r="E79" i="105"/>
  <c r="O79" i="105"/>
  <c r="E154" i="105"/>
  <c r="O229" i="76"/>
  <c r="O27" i="98"/>
  <c r="E22" i="105"/>
  <c r="E55" i="98"/>
  <c r="E27" i="98"/>
  <c r="E206" i="69"/>
  <c r="F20" i="69"/>
  <c r="F35" i="69" s="1" a="1"/>
  <c r="F35" i="69" s="1"/>
  <c r="G116" i="69" s="1" a="1"/>
  <c r="G116" i="69" s="1"/>
  <c r="F20" i="76"/>
  <c r="F30" i="76" s="1" a="1"/>
  <c r="F30" i="76" s="1"/>
  <c r="F53" i="76" s="1" a="1"/>
  <c r="F53" i="76" s="1"/>
  <c r="F82" i="76" s="1" a="1"/>
  <c r="F82" i="76" s="1"/>
  <c r="E20" i="69"/>
  <c r="E35" i="69" s="1" a="1"/>
  <c r="E35" i="69" s="1"/>
  <c r="F116" i="69" s="1" a="1"/>
  <c r="F116" i="69" s="1"/>
  <c r="E20" i="76"/>
  <c r="E30" i="76" s="1" a="1"/>
  <c r="E30" i="76" s="1"/>
  <c r="E53" i="76" s="1" a="1"/>
  <c r="E53" i="76" s="1"/>
  <c r="E82" i="76" s="1" a="1"/>
  <c r="E82" i="76" s="1"/>
  <c r="F109" i="76" s="1" a="1"/>
  <c r="F109" i="76" s="1"/>
  <c r="F151" i="76" s="1" a="1"/>
  <c r="F151" i="76" s="1"/>
  <c r="G30" i="76" a="1"/>
  <c r="G30" i="76" s="1"/>
  <c r="G53" i="76" s="1" a="1"/>
  <c r="G53" i="76" s="1"/>
  <c r="G82" i="76" s="1" a="1"/>
  <c r="G82" i="76" s="1"/>
  <c r="H111" i="76" s="1" a="1"/>
  <c r="H111" i="76" s="1"/>
  <c r="H23" i="108" s="1"/>
  <c r="D20" i="69"/>
  <c r="D35" i="69" s="1" a="1"/>
  <c r="D35" i="69" s="1"/>
  <c r="D20" i="76"/>
  <c r="D30" i="76" s="1" a="1"/>
  <c r="D30" i="76" s="1"/>
  <c r="D53" i="76" s="1" a="1"/>
  <c r="D53" i="76" s="1"/>
  <c r="D82" i="76" s="1" a="1"/>
  <c r="D82" i="76" s="1"/>
  <c r="Q20" i="69"/>
  <c r="Q35" i="69" s="1" a="1"/>
  <c r="Q35" i="69" s="1"/>
  <c r="Q20" i="76"/>
  <c r="Q30" i="76" s="1" a="1"/>
  <c r="Q30" i="76" s="1"/>
  <c r="Q53" i="76" s="1" a="1"/>
  <c r="Q53" i="76" s="1"/>
  <c r="Q82" i="76" s="1" a="1"/>
  <c r="Q82" i="76" s="1"/>
  <c r="Q109" i="76" a="1"/>
  <c r="Q109" i="76" s="1"/>
  <c r="Q151" i="76" s="1" a="1"/>
  <c r="Q151" i="76" s="1"/>
  <c r="Q111" i="76" a="1"/>
  <c r="Q111" i="76" s="1"/>
  <c r="Q23" i="108" s="1"/>
  <c r="Q108" i="76" a="1"/>
  <c r="Q108" i="76" s="1"/>
  <c r="Q150" i="76" s="1" a="1"/>
  <c r="Q150" i="76" s="1"/>
  <c r="Q110" i="76" a="1"/>
  <c r="Q110" i="76" s="1"/>
  <c r="Q152" i="76" s="1" a="1"/>
  <c r="Q152" i="76" s="1"/>
  <c r="P109" i="76" a="1"/>
  <c r="P109" i="76" s="1"/>
  <c r="P151" i="76" s="1" a="1"/>
  <c r="P151" i="76" s="1"/>
  <c r="P111" i="76" a="1"/>
  <c r="P111" i="76" s="1"/>
  <c r="P23" i="108" s="1"/>
  <c r="P108" i="76" a="1"/>
  <c r="P108" i="76" s="1"/>
  <c r="P150" i="76" s="1" a="1"/>
  <c r="P150" i="76" s="1"/>
  <c r="P110" i="76" a="1"/>
  <c r="P110" i="76" s="1"/>
  <c r="P152" i="76" s="1" a="1"/>
  <c r="P152" i="76" s="1"/>
  <c r="O110" i="76" a="1"/>
  <c r="O110" i="76" s="1"/>
  <c r="O152" i="76" s="1" a="1"/>
  <c r="O152" i="76" s="1"/>
  <c r="O109" i="76" a="1"/>
  <c r="O109" i="76" s="1"/>
  <c r="O151" i="76" s="1" a="1"/>
  <c r="O151" i="76" s="1"/>
  <c r="O111" i="76" a="1"/>
  <c r="O111" i="76" s="1"/>
  <c r="O23" i="108" s="1"/>
  <c r="O108" i="76" a="1"/>
  <c r="O108" i="76" s="1"/>
  <c r="O150" i="76" s="1" a="1"/>
  <c r="O150" i="76" s="1"/>
  <c r="H117" i="69" a="1"/>
  <c r="H117" i="69" s="1"/>
  <c r="I173" i="69" s="1" a="1"/>
  <c r="I173" i="69" s="1"/>
  <c r="I220" i="69" s="1" a="1"/>
  <c r="I220" i="69" s="1"/>
  <c r="P116" i="69" a="1"/>
  <c r="P116" i="69" s="1"/>
  <c r="O116" i="69" a="1"/>
  <c r="O116" i="69" s="1"/>
  <c r="Q116" i="69" a="1"/>
  <c r="Q116" i="69" s="1"/>
  <c r="Q117" i="69" a="1"/>
  <c r="Q117" i="69" s="1"/>
  <c r="E108" i="69" a="1"/>
  <c r="E108" i="69" s="1"/>
  <c r="P117" i="69" a="1"/>
  <c r="P117" i="69" s="1"/>
  <c r="H116" i="69" a="1"/>
  <c r="H116" i="69" s="1"/>
  <c r="O117" i="69" a="1"/>
  <c r="O117" i="69" s="1"/>
  <c r="P171" i="69" l="1" a="1"/>
  <c r="P171" i="69" s="1"/>
  <c r="P169" i="69" a="1"/>
  <c r="P169" i="69" s="1"/>
  <c r="P170" i="69" a="1"/>
  <c r="P170" i="69" s="1"/>
  <c r="P173" i="69" a="1"/>
  <c r="P173"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97" i="76" a="1"/>
  <c r="R197" i="76" s="1"/>
  <c r="R196" i="76" a="1"/>
  <c r="R196" i="76" s="1"/>
  <c r="R195" i="76" a="1"/>
  <c r="R195" i="76" s="1"/>
  <c r="R194" i="76" a="1"/>
  <c r="R194" i="76" s="1"/>
  <c r="Q200" i="76" a="1"/>
  <c r="Q200" i="76" s="1"/>
  <c r="Q202" i="76" a="1"/>
  <c r="Q202" i="76" s="1"/>
  <c r="Q199" i="76" a="1"/>
  <c r="Q199" i="76" s="1"/>
  <c r="Q203" i="76" a="1"/>
  <c r="Q203" i="76" s="1"/>
  <c r="Q201" i="76" a="1"/>
  <c r="Q201" i="76" s="1"/>
  <c r="P202" i="76" a="1"/>
  <c r="P202" i="76" s="1"/>
  <c r="P200" i="76" a="1"/>
  <c r="P200" i="76" s="1"/>
  <c r="P199" i="76" a="1"/>
  <c r="P199" i="76" s="1"/>
  <c r="P201" i="76" a="1"/>
  <c r="P201" i="76" s="1"/>
  <c r="P203" i="76" a="1"/>
  <c r="P203" i="76" s="1"/>
  <c r="Q191" i="76" a="1"/>
  <c r="Q191" i="76" s="1"/>
  <c r="Q193" i="76" a="1"/>
  <c r="Q193" i="76" s="1"/>
  <c r="Q190" i="76" a="1"/>
  <c r="Q190" i="76" s="1"/>
  <c r="Q192" i="76" a="1"/>
  <c r="Q192" i="76" s="1"/>
  <c r="Q189" i="76" a="1"/>
  <c r="Q189" i="76" s="1"/>
  <c r="P196" i="76" a="1"/>
  <c r="P196" i="76" s="1"/>
  <c r="P197" i="76" a="1"/>
  <c r="P197" i="76" s="1"/>
  <c r="P195" i="76" a="1"/>
  <c r="P195" i="76" s="1"/>
  <c r="P194" i="76" a="1"/>
  <c r="P194" i="76" s="1"/>
  <c r="P193" i="76" a="1"/>
  <c r="P193" i="76" s="1"/>
  <c r="P190" i="76" a="1"/>
  <c r="P190" i="76" s="1"/>
  <c r="P189" i="76" a="1"/>
  <c r="P189" i="76" s="1"/>
  <c r="P191" i="76" a="1"/>
  <c r="P191" i="76" s="1"/>
  <c r="P192" i="76" a="1"/>
  <c r="P192" i="76" s="1"/>
  <c r="Q196" i="76" a="1"/>
  <c r="Q196" i="76" s="1"/>
  <c r="Q194" i="76" a="1"/>
  <c r="Q194" i="76" s="1"/>
  <c r="Q197" i="76" a="1"/>
  <c r="Q197" i="76" s="1"/>
  <c r="Q195" i="76" a="1"/>
  <c r="Q195" i="76" s="1"/>
  <c r="R203" i="76" a="1"/>
  <c r="R203" i="76" s="1"/>
  <c r="R199" i="76" a="1"/>
  <c r="R199" i="76" s="1"/>
  <c r="R200" i="76" a="1"/>
  <c r="R200" i="76" s="1"/>
  <c r="R201" i="76" a="1"/>
  <c r="R201" i="76" s="1"/>
  <c r="R202" i="76" a="1"/>
  <c r="R202" i="76" s="1"/>
  <c r="R193" i="76" a="1"/>
  <c r="R193" i="76" s="1"/>
  <c r="R190" i="76" a="1"/>
  <c r="R190" i="76" s="1"/>
  <c r="R189" i="76" a="1"/>
  <c r="R189" i="76" s="1"/>
  <c r="R191" i="76" a="1"/>
  <c r="R191" i="76" s="1"/>
  <c r="R192" i="76" a="1"/>
  <c r="R192" i="76" s="1"/>
  <c r="P220" i="69" a="1"/>
  <c r="P220" i="69" s="1"/>
  <c r="R117" i="69" a="1"/>
  <c r="R117" i="69" s="1"/>
  <c r="O20" i="106"/>
  <c r="O25" i="106" s="1" a="1"/>
  <c r="O25" i="106" s="1"/>
  <c r="N19" i="107"/>
  <c r="N24" i="107" s="1" a="1"/>
  <c r="N24" i="107" s="1"/>
  <c r="H20" i="106"/>
  <c r="H19" i="107"/>
  <c r="H24" i="107" s="1" a="1"/>
  <c r="H24" i="107" s="1"/>
  <c r="P20" i="106"/>
  <c r="O19" i="107"/>
  <c r="O24" i="107" s="1" a="1"/>
  <c r="O24" i="107" s="1"/>
  <c r="F117" i="69" a="1"/>
  <c r="F117" i="69" s="1"/>
  <c r="G173" i="69" s="1" a="1"/>
  <c r="G173" i="69" s="1"/>
  <c r="G220" i="69" s="1" a="1"/>
  <c r="G220" i="69" s="1"/>
  <c r="Q20" i="106"/>
  <c r="P19" i="107"/>
  <c r="P24" i="107" s="1" a="1"/>
  <c r="P24" i="107" s="1"/>
  <c r="Q24" i="97"/>
  <c r="Q59" i="97" s="1" a="1"/>
  <c r="Q59" i="97" s="1"/>
  <c r="Q25" i="97"/>
  <c r="Q60" i="97" s="1" a="1"/>
  <c r="Q60" i="97" s="1"/>
  <c r="P24" i="97"/>
  <c r="P59" i="97" s="1" a="1"/>
  <c r="P59" i="97" s="1"/>
  <c r="Q23" i="97"/>
  <c r="Q58" i="97" s="1" a="1"/>
  <c r="Q58" i="97" s="1"/>
  <c r="R24" i="97"/>
  <c r="R59" i="97" s="1" a="1"/>
  <c r="R59" i="97" s="1"/>
  <c r="R25" i="97"/>
  <c r="R60" i="97" s="1" a="1"/>
  <c r="R60" i="97" s="1"/>
  <c r="R22" i="97"/>
  <c r="R57" i="97" s="1" a="1"/>
  <c r="R57" i="97" s="1"/>
  <c r="R23" i="97"/>
  <c r="R58" i="97" s="1" a="1"/>
  <c r="R58" i="97" s="1"/>
  <c r="Q22" i="97"/>
  <c r="Q57" i="97" s="1" a="1"/>
  <c r="Q57" i="97" s="1"/>
  <c r="P22" i="97"/>
  <c r="P57" i="97" s="1" a="1"/>
  <c r="P57" i="97" s="1"/>
  <c r="P25" i="97"/>
  <c r="P60" i="97" s="1" a="1"/>
  <c r="P60" i="97" s="1"/>
  <c r="P23" i="97"/>
  <c r="P58" i="97" s="1" a="1"/>
  <c r="P58" i="97" s="1"/>
  <c r="G23" i="97"/>
  <c r="G58" i="97" s="1" a="1"/>
  <c r="G58" i="97" s="1"/>
  <c r="I25" i="97"/>
  <c r="I60" i="97" s="1" a="1"/>
  <c r="I60" i="97" s="1"/>
  <c r="F108" i="76" a="1"/>
  <c r="F108" i="76" s="1"/>
  <c r="F150" i="76" s="1" a="1"/>
  <c r="F150" i="76" s="1"/>
  <c r="F110" i="76" a="1"/>
  <c r="F110" i="76" s="1"/>
  <c r="F152" i="76" s="1" a="1"/>
  <c r="F152" i="76" s="1"/>
  <c r="F111" i="76" a="1"/>
  <c r="F111" i="76" s="1"/>
  <c r="F23" i="108" s="1"/>
  <c r="F28" i="108" s="1" a="1"/>
  <c r="F28" i="108" s="1"/>
  <c r="H109" i="76" a="1"/>
  <c r="H109" i="76" s="1"/>
  <c r="H151" i="76" s="1" a="1"/>
  <c r="H151" i="76" s="1"/>
  <c r="H110" i="76" a="1"/>
  <c r="H110" i="76" s="1"/>
  <c r="H152" i="76" s="1" a="1"/>
  <c r="H152" i="76" s="1"/>
  <c r="H108" i="76" a="1"/>
  <c r="H108" i="76" s="1"/>
  <c r="H150" i="76" s="1" a="1"/>
  <c r="H150" i="76" s="1"/>
  <c r="E117" i="69" a="1"/>
  <c r="E117" i="69" s="1"/>
  <c r="F173" i="69" s="1" a="1"/>
  <c r="F173" i="69" s="1"/>
  <c r="F220" i="69" s="1" a="1"/>
  <c r="F220" i="69" s="1"/>
  <c r="E115" i="69" a="1"/>
  <c r="E115" i="69" s="1"/>
  <c r="F163" i="69" s="1" a="1"/>
  <c r="F163" i="69" s="1"/>
  <c r="F210" i="69" s="1" a="1"/>
  <c r="F210" i="69" s="1"/>
  <c r="G109" i="76" a="1"/>
  <c r="G109" i="76" s="1"/>
  <c r="G151" i="76" s="1" a="1"/>
  <c r="G151" i="76" s="1"/>
  <c r="G111" i="76" a="1"/>
  <c r="G111" i="76" s="1"/>
  <c r="G23" i="108" s="1"/>
  <c r="G108" i="76" a="1"/>
  <c r="G108" i="76" s="1"/>
  <c r="G150" i="76" s="1" a="1"/>
  <c r="G150" i="76" s="1"/>
  <c r="G110" i="76" a="1"/>
  <c r="G110" i="76" s="1"/>
  <c r="G152" i="76" s="1" a="1"/>
  <c r="G152" i="76" s="1"/>
  <c r="G115" i="69" a="1"/>
  <c r="G115" i="69" s="1"/>
  <c r="H163" i="69" s="1" a="1"/>
  <c r="H163" i="69" s="1"/>
  <c r="H210" i="69" s="1" a="1"/>
  <c r="H210" i="69" s="1"/>
  <c r="E116" i="69" a="1"/>
  <c r="E116" i="69" s="1"/>
  <c r="R109" i="76" a="1"/>
  <c r="R109" i="76" s="1"/>
  <c r="R151" i="76" s="1" a="1"/>
  <c r="R151" i="76" s="1"/>
  <c r="R108" i="76" a="1"/>
  <c r="R108" i="76" s="1"/>
  <c r="R150" i="76" s="1" a="1"/>
  <c r="R150" i="76" s="1"/>
  <c r="R111" i="76" a="1"/>
  <c r="R111" i="76" s="1"/>
  <c r="R23" i="108" s="1"/>
  <c r="R110" i="76" a="1"/>
  <c r="R110" i="76" s="1"/>
  <c r="R152" i="76" s="1" a="1"/>
  <c r="R152" i="76" s="1"/>
  <c r="E110" i="76" a="1"/>
  <c r="E110" i="76" s="1"/>
  <c r="E152" i="76" s="1" a="1"/>
  <c r="E152" i="76" s="1"/>
  <c r="E109" i="76" a="1"/>
  <c r="E109" i="76" s="1"/>
  <c r="E151" i="76" s="1" a="1"/>
  <c r="E151" i="76" s="1"/>
  <c r="E111" i="76" a="1"/>
  <c r="E111" i="76" s="1"/>
  <c r="E23" i="108" s="1"/>
  <c r="E108" i="76" a="1"/>
  <c r="E108" i="76" s="1"/>
  <c r="E150" i="76" s="1" a="1"/>
  <c r="E150"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60" i="69" l="1"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S201" i="76" a="1"/>
  <c r="S201" i="76" s="1"/>
  <c r="S199" i="76" a="1"/>
  <c r="S199" i="76" s="1"/>
  <c r="S203" i="76" a="1"/>
  <c r="S203" i="76" s="1"/>
  <c r="S202" i="76" a="1"/>
  <c r="S202" i="76" s="1"/>
  <c r="S200" i="76" a="1"/>
  <c r="S200" i="76" s="1"/>
  <c r="R30" i="97"/>
  <c r="R26" i="105"/>
  <c r="P30" i="97"/>
  <c r="P26" i="105"/>
  <c r="S192" i="76" a="1"/>
  <c r="S192" i="76" s="1"/>
  <c r="S189" i="76" a="1"/>
  <c r="S189" i="76" s="1"/>
  <c r="S190" i="76" a="1"/>
  <c r="S190" i="76" s="1"/>
  <c r="S191" i="76" a="1"/>
  <c r="S191" i="76" s="1"/>
  <c r="S193" i="76" a="1"/>
  <c r="S193" i="76" s="1"/>
  <c r="S196" i="76" a="1"/>
  <c r="S196" i="76" s="1"/>
  <c r="S194" i="76" a="1"/>
  <c r="S194" i="76" s="1"/>
  <c r="S197" i="76" a="1"/>
  <c r="S197" i="76" s="1"/>
  <c r="S195" i="76" a="1"/>
  <c r="S195" i="76" s="1"/>
  <c r="Q40" i="97"/>
  <c r="Q36" i="105"/>
  <c r="R40" i="97"/>
  <c r="R36" i="105"/>
  <c r="Q28" i="105"/>
  <c r="Q30" i="97"/>
  <c r="Q26" i="105"/>
  <c r="P36" i="105"/>
  <c r="P40" i="97"/>
  <c r="E20" i="106"/>
  <c r="E19" i="107"/>
  <c r="E24" i="107" s="1" a="1"/>
  <c r="E24" i="107" s="1"/>
  <c r="R20" i="106"/>
  <c r="Q19" i="107"/>
  <c r="Q24" i="107" s="1" a="1"/>
  <c r="Q24" i="107" s="1"/>
  <c r="N26" i="107" s="1"/>
  <c r="R38" i="107" s="1"/>
  <c r="N45" i="107" s="1" a="1"/>
  <c r="N45" i="107" s="1"/>
  <c r="F20" i="106"/>
  <c r="F19" i="107"/>
  <c r="F24" i="107" s="1" a="1"/>
  <c r="F24" i="107" s="1"/>
  <c r="G20" i="106"/>
  <c r="G19" i="107"/>
  <c r="G24" i="107" s="1" a="1"/>
  <c r="G24" i="107" s="1"/>
  <c r="Q27" i="105"/>
  <c r="G194" i="76" a="1"/>
  <c r="G194" i="76" s="1"/>
  <c r="G28" i="98" s="1"/>
  <c r="G195" i="76" a="1"/>
  <c r="G195" i="76" s="1"/>
  <c r="G28" i="105" s="1"/>
  <c r="G196" i="76" a="1"/>
  <c r="G196" i="76" s="1"/>
  <c r="G29" i="105" s="1"/>
  <c r="Q29" i="105"/>
  <c r="Q30" i="105"/>
  <c r="G197" i="76" a="1"/>
  <c r="G197" i="76" s="1"/>
  <c r="G30" i="105" s="1"/>
  <c r="S24" i="97"/>
  <c r="S59" i="97" s="1" a="1"/>
  <c r="S59" i="97" s="1"/>
  <c r="S22" i="97"/>
  <c r="S57" i="97" s="1" a="1"/>
  <c r="S57" i="97" s="1"/>
  <c r="S25" i="97"/>
  <c r="S60" i="97" s="1" a="1"/>
  <c r="S60" i="97" s="1"/>
  <c r="S23" i="97"/>
  <c r="S58" i="97" s="1" a="1"/>
  <c r="S58" i="97" s="1"/>
  <c r="F22" i="97"/>
  <c r="F57" i="97" s="1" a="1"/>
  <c r="F57" i="97" s="1"/>
  <c r="F25" i="97"/>
  <c r="F60" i="97" s="1" a="1"/>
  <c r="F60" i="97" s="1"/>
  <c r="F23" i="97"/>
  <c r="F58" i="97" s="1" a="1"/>
  <c r="F58" i="97" s="1"/>
  <c r="F24" i="97"/>
  <c r="F59" i="97" s="1" a="1"/>
  <c r="F59" i="97" s="1"/>
  <c r="I24" i="97"/>
  <c r="I59" i="97" s="1" a="1"/>
  <c r="I59" i="97" s="1"/>
  <c r="I23" i="97"/>
  <c r="I58" i="97" s="1" a="1"/>
  <c r="I58" i="97" s="1"/>
  <c r="G25" i="97"/>
  <c r="G60" i="97" s="1" a="1"/>
  <c r="G60" i="97" s="1"/>
  <c r="G203" i="76" a="1"/>
  <c r="G203" i="76" s="1"/>
  <c r="G24" i="97"/>
  <c r="G59" i="97" s="1" a="1"/>
  <c r="G59" i="97" s="1"/>
  <c r="H193" i="76" a="1"/>
  <c r="H193" i="76" s="1"/>
  <c r="H22" i="97"/>
  <c r="H57" i="97" s="1" a="1"/>
  <c r="H57" i="97" s="1"/>
  <c r="H23" i="97"/>
  <c r="H58" i="97" s="1" a="1"/>
  <c r="H58" i="97" s="1"/>
  <c r="H24" i="97"/>
  <c r="H59" i="97" s="1" a="1"/>
  <c r="H59" i="97" s="1"/>
  <c r="I22" i="97"/>
  <c r="I57" i="97" s="1" a="1"/>
  <c r="I57" i="97" s="1"/>
  <c r="Q33" i="97"/>
  <c r="Q68" i="97" s="1" a="1"/>
  <c r="Q68" i="97" s="1"/>
  <c r="H25" i="97"/>
  <c r="H60" i="97" s="1" a="1"/>
  <c r="H60" i="97" s="1"/>
  <c r="G193" i="76" a="1"/>
  <c r="G193" i="76" s="1"/>
  <c r="G22" i="97"/>
  <c r="G57" i="97" s="1" a="1"/>
  <c r="G57" i="97" s="1"/>
  <c r="Q32" i="97"/>
  <c r="Q67" i="97" s="1" a="1"/>
  <c r="Q67" i="97" s="1"/>
  <c r="S30" i="97" l="1"/>
  <c r="S26" i="105"/>
  <c r="R33" i="105"/>
  <c r="H203" i="76" a="1"/>
  <c r="H203" i="76" s="1"/>
  <c r="F195" i="76" a="1"/>
  <c r="F195" i="76" s="1"/>
  <c r="F28" i="105" s="1"/>
  <c r="Q195" i="105" a="1"/>
  <c r="Q195" i="105" s="1"/>
  <c r="R29" i="105"/>
  <c r="R196" i="105" s="1" a="1"/>
  <c r="R196" i="105" s="1"/>
  <c r="F191" i="76" a="1"/>
  <c r="F191" i="76" s="1"/>
  <c r="F24"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P156" i="105" a="1"/>
  <c r="P156" i="105" s="1"/>
  <c r="P203" i="105" a="1"/>
  <c r="P203" i="105" s="1"/>
  <c r="P119" i="105" a="1"/>
  <c r="P119" i="105" s="1"/>
  <c r="G30" i="97"/>
  <c r="G26" i="105"/>
  <c r="I202" i="76" a="1"/>
  <c r="I202" i="76" s="1"/>
  <c r="I35" i="105" s="1"/>
  <c r="I118" i="105" s="1" a="1"/>
  <c r="I118" i="105" s="1"/>
  <c r="I203" i="76" a="1"/>
  <c r="I203" i="76" s="1"/>
  <c r="S40" i="97"/>
  <c r="S36" i="105"/>
  <c r="S23" i="105"/>
  <c r="S190" i="105" s="1" a="1"/>
  <c r="S190" i="105" s="1"/>
  <c r="I193" i="76" a="1"/>
  <c r="I193" i="76" s="1"/>
  <c r="F200" i="76" a="1"/>
  <c r="F200" i="76" s="1"/>
  <c r="F33" i="105" s="1"/>
  <c r="F203" i="76" a="1"/>
  <c r="F203" i="76" s="1"/>
  <c r="Q109" i="105" a="1"/>
  <c r="Q109" i="105" s="1"/>
  <c r="Q146" i="105" a="1"/>
  <c r="Q146" i="105" s="1"/>
  <c r="Q193" i="105" a="1"/>
  <c r="Q193" i="105" s="1"/>
  <c r="Q197" i="105" a="1"/>
  <c r="Q197" i="105" s="1"/>
  <c r="Q196" i="105" a="1"/>
  <c r="Q196" i="105" s="1"/>
  <c r="G196" i="105" a="1"/>
  <c r="G196" i="105" s="1"/>
  <c r="F191" i="105" a="1"/>
  <c r="F191" i="105" s="1"/>
  <c r="G195" i="105" a="1"/>
  <c r="G195" i="105" s="1"/>
  <c r="R200" i="105" a="1"/>
  <c r="R20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30" i="105"/>
  <c r="S29" i="105"/>
  <c r="P34" i="105"/>
  <c r="P30" i="105"/>
  <c r="F201" i="76" a="1"/>
  <c r="F201" i="76" s="1"/>
  <c r="F34" i="105" s="1"/>
  <c r="P32" i="105"/>
  <c r="S28" i="105"/>
  <c r="P25" i="105"/>
  <c r="G34" i="97"/>
  <c r="G69" i="97" s="1" a="1"/>
  <c r="G69" i="97" s="1"/>
  <c r="F196" i="76" a="1"/>
  <c r="F196" i="76" s="1"/>
  <c r="F29" i="105" s="1"/>
  <c r="S28" i="98"/>
  <c r="P28" i="98"/>
  <c r="H202" i="76" a="1"/>
  <c r="H202" i="76" s="1"/>
  <c r="H35" i="105" s="1"/>
  <c r="S33" i="105"/>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S35" i="105"/>
  <c r="I191" i="76" a="1"/>
  <c r="I191" i="76" s="1"/>
  <c r="I24" i="105" s="1"/>
  <c r="P27" i="98"/>
  <c r="F189" i="76" a="1"/>
  <c r="F189" i="76" s="1"/>
  <c r="F22" i="105" s="1"/>
  <c r="R27" i="98"/>
  <c r="R22" i="105"/>
  <c r="S24" i="105"/>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28" i="97"/>
  <c r="F63" i="97" s="1" a="1"/>
  <c r="F63" i="97" s="1"/>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26" i="97"/>
  <c r="R61" i="97" s="1"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F195" i="105" l="1"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P22" i="105"/>
  <c r="S34" i="97"/>
  <c r="S69" i="97" s="1" a="1"/>
  <c r="S69" i="97" s="1"/>
  <c r="F33" i="97"/>
  <c r="F68" i="97" s="1" a="1"/>
  <c r="F68" i="97" s="1"/>
  <c r="P34" i="97"/>
  <c r="P69" i="97" s="1" a="1"/>
  <c r="P69" i="97" s="1"/>
  <c r="P39" i="97"/>
  <c r="P74" i="97" s="1" a="1"/>
  <c r="P74" i="97" s="1"/>
  <c r="F27" i="98"/>
  <c r="H39" i="97"/>
  <c r="H74" i="97" s="1" a="1"/>
  <c r="H74" i="97" s="1"/>
  <c r="R39" i="97"/>
  <c r="R74" i="97" s="1" a="1"/>
  <c r="R74" i="97" s="1"/>
  <c r="F38" i="97"/>
  <c r="F73" i="97" s="1" a="1"/>
  <c r="F73" i="97" s="1"/>
  <c r="F26" i="97"/>
  <c r="F61" i="97" s="1" a="1"/>
  <c r="F61" i="97" s="1"/>
  <c r="R32" i="105"/>
  <c r="I26" i="97"/>
  <c r="I61" i="97" s="1" a="1"/>
  <c r="I61" i="97" s="1"/>
  <c r="R38" i="97"/>
  <c r="R73" i="97" s="1" a="1"/>
  <c r="R73" i="97" s="1"/>
  <c r="P27" i="105"/>
  <c r="P26" i="97"/>
  <c r="P61" i="97" s="1"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26" i="97"/>
  <c r="S61" i="97" s="1"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Q27" i="98"/>
  <c r="Q22" i="105"/>
  <c r="G27" i="98"/>
  <c r="G22" i="105"/>
  <c r="H29" i="98"/>
  <c r="H32" i="105"/>
  <c r="P27" i="97"/>
  <c r="P62" i="97" s="1" a="1"/>
  <c r="P62" i="97" s="1"/>
  <c r="S27" i="98"/>
  <c r="S22" i="105"/>
  <c r="S29" i="98"/>
  <c r="S32" i="105"/>
  <c r="I28" i="98"/>
  <c r="I27" i="105"/>
  <c r="G29" i="98"/>
  <c r="G32" i="105"/>
  <c r="H37" i="97"/>
  <c r="H72" i="97" s="1" a="1"/>
  <c r="H72" i="97" s="1"/>
  <c r="H33" i="105"/>
  <c r="Q29" i="98"/>
  <c r="Q32" i="105"/>
  <c r="H27" i="98"/>
  <c r="H22" i="105"/>
  <c r="R27" i="105"/>
  <c r="R28" i="98"/>
  <c r="I27" i="98"/>
  <c r="I22" i="105"/>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26" i="97"/>
  <c r="Q61" i="97" s="1"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26" i="97"/>
  <c r="H61" i="97" s="1" a="1"/>
  <c r="H61" i="97" s="1"/>
  <c r="I33" i="97"/>
  <c r="I68" i="97" s="1" a="1"/>
  <c r="I68" i="97" s="1"/>
  <c r="S29" i="97"/>
  <c r="S64" i="97" s="1" a="1"/>
  <c r="S64" i="97" s="1"/>
  <c r="Q29" i="97"/>
  <c r="Q64" i="97" s="1" a="1"/>
  <c r="Q64" i="97" s="1"/>
  <c r="G26" i="97"/>
  <c r="G61" i="97" s="1" a="1"/>
  <c r="G61"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D10" i="70" l="1"/>
  <c r="H49" i="70"/>
  <c r="G49" i="70"/>
  <c r="F49" i="70"/>
  <c r="G179" i="76" l="1"/>
  <c r="G149" i="69"/>
  <c r="H179" i="76"/>
  <c r="H149" i="69"/>
  <c r="I149" i="69"/>
  <c r="I179" i="76"/>
  <c r="E49" i="70"/>
  <c r="M40" i="70"/>
  <c r="F88" i="105" s="1"/>
  <c r="M39" i="70"/>
  <c r="F87" i="105" s="1"/>
  <c r="M38" i="70"/>
  <c r="F86" i="105" s="1"/>
  <c r="M48" i="70"/>
  <c r="F94" i="105" s="1"/>
  <c r="M47" i="70"/>
  <c r="F93" i="105" s="1"/>
  <c r="M46" i="70"/>
  <c r="F92" i="105" s="1"/>
  <c r="M45" i="70"/>
  <c r="F91" i="105" s="1"/>
  <c r="M54" i="70"/>
  <c r="F98" i="105" s="1"/>
  <c r="M53" i="70"/>
  <c r="F97" i="105" s="1"/>
  <c r="M52" i="70"/>
  <c r="F96" i="105" s="1"/>
  <c r="G112" i="105" l="1" a="1"/>
  <c r="G112" i="105" s="1"/>
  <c r="Q112" i="105" a="1"/>
  <c r="Q112" i="105" s="1"/>
  <c r="Q149" i="105" a="1"/>
  <c r="Q149" i="105" s="1"/>
  <c r="G149" i="105" a="1"/>
  <c r="G149" i="105" s="1"/>
  <c r="S149" i="105" a="1"/>
  <c r="S149" i="105" s="1"/>
  <c r="I149" i="105" a="1"/>
  <c r="I149" i="105" s="1"/>
  <c r="F149" i="105" a="1"/>
  <c r="F149" i="105" s="1"/>
  <c r="I112" i="105" a="1"/>
  <c r="I112" i="105" s="1"/>
  <c r="R112" i="105" a="1"/>
  <c r="R112" i="105" s="1"/>
  <c r="F112" i="105" a="1"/>
  <c r="F112" i="105" s="1"/>
  <c r="R149" i="105" a="1"/>
  <c r="R149" i="105" s="1"/>
  <c r="P112" i="105" a="1"/>
  <c r="P112" i="105" s="1"/>
  <c r="P149" i="105" a="1"/>
  <c r="P149" i="105" s="1"/>
  <c r="H149" i="105" a="1"/>
  <c r="H149" i="105" s="1"/>
  <c r="S112" i="105" a="1"/>
  <c r="S112" i="105" s="1"/>
  <c r="H112" i="105" a="1"/>
  <c r="H112" i="105" s="1"/>
  <c r="G111" i="105" a="1"/>
  <c r="G111" i="105" s="1"/>
  <c r="G148" i="105" a="1"/>
  <c r="G148" i="105" s="1"/>
  <c r="Q111" i="105" a="1"/>
  <c r="Q111" i="105" s="1"/>
  <c r="Q148" i="105" a="1"/>
  <c r="Q148" i="105" s="1"/>
  <c r="P111" i="105" a="1"/>
  <c r="P111" i="105" s="1"/>
  <c r="S111" i="105" a="1"/>
  <c r="S111" i="105" s="1"/>
  <c r="F111" i="105" a="1"/>
  <c r="F111" i="105" s="1"/>
  <c r="S148" i="105" a="1"/>
  <c r="S148" i="105" s="1"/>
  <c r="F148" i="105" a="1"/>
  <c r="F148" i="105" s="1"/>
  <c r="H111" i="105" a="1"/>
  <c r="H111" i="105" s="1"/>
  <c r="H148" i="105" a="1"/>
  <c r="H148" i="105" s="1"/>
  <c r="I111" i="105" a="1"/>
  <c r="I111" i="105" s="1"/>
  <c r="P148" i="105" a="1"/>
  <c r="P148" i="105" s="1"/>
  <c r="I148" i="105" a="1"/>
  <c r="I148" i="105" s="1"/>
  <c r="R148" i="105" a="1"/>
  <c r="R148" i="105" s="1"/>
  <c r="R111" i="105" a="1"/>
  <c r="R111" i="105" s="1"/>
  <c r="S198" i="76" a="1"/>
  <c r="S198" i="76" s="1"/>
  <c r="I198" i="76" a="1"/>
  <c r="I198" i="76" s="1"/>
  <c r="I168" i="69" a="1"/>
  <c r="I168" i="69" s="1"/>
  <c r="I215" i="69" s="1" a="1"/>
  <c r="I215" i="69" s="1"/>
  <c r="S168" i="69" a="1"/>
  <c r="S168" i="69" s="1"/>
  <c r="S215" i="69" s="1" a="1"/>
  <c r="S215" i="69" s="1"/>
  <c r="G144" i="105" a="1"/>
  <c r="G144" i="105" s="1"/>
  <c r="I144" i="105" a="1"/>
  <c r="I144" i="105" s="1"/>
  <c r="H144" i="105" a="1"/>
  <c r="H144" i="105" s="1"/>
  <c r="G107" i="105" a="1"/>
  <c r="G107" i="105" s="1"/>
  <c r="F107" i="105" a="1"/>
  <c r="F107" i="105" s="1"/>
  <c r="I107" i="105" a="1"/>
  <c r="I107" i="105" s="1"/>
  <c r="H107" i="105" a="1"/>
  <c r="H107" i="105" s="1"/>
  <c r="S107" i="105" a="1"/>
  <c r="S107" i="105" s="1"/>
  <c r="F144" i="105" a="1"/>
  <c r="F144" i="105" s="1"/>
  <c r="S144" i="105" a="1"/>
  <c r="S144" i="105" s="1"/>
  <c r="R144" i="105" a="1"/>
  <c r="R144" i="105" s="1"/>
  <c r="P107" i="105" a="1"/>
  <c r="P107" i="105" s="1"/>
  <c r="R107" i="105" a="1"/>
  <c r="R107" i="105" s="1"/>
  <c r="P144" i="105" a="1"/>
  <c r="P144" i="105" s="1"/>
  <c r="Q107" i="105" a="1"/>
  <c r="Q107" i="105" s="1"/>
  <c r="Q144" i="105" a="1"/>
  <c r="Q144" i="105" s="1"/>
  <c r="H168" i="69" a="1"/>
  <c r="H168" i="69" s="1"/>
  <c r="H215" i="69" s="1" a="1"/>
  <c r="H215" i="69" s="1"/>
  <c r="R168" i="69" a="1"/>
  <c r="R168" i="69" s="1"/>
  <c r="R215" i="69" s="1" a="1"/>
  <c r="R215" i="69" s="1"/>
  <c r="Q150" i="105" a="1"/>
  <c r="Q150" i="105" s="1"/>
  <c r="Q113" i="105" a="1"/>
  <c r="Q113" i="105" s="1"/>
  <c r="G113" i="105" a="1"/>
  <c r="G113" i="105" s="1"/>
  <c r="G150" i="105" a="1"/>
  <c r="G150" i="105" s="1"/>
  <c r="I113" i="105" a="1"/>
  <c r="I113" i="105" s="1"/>
  <c r="I150" i="105" a="1"/>
  <c r="I150" i="105" s="1"/>
  <c r="H113" i="105" a="1"/>
  <c r="H113" i="105" s="1"/>
  <c r="R113" i="105" a="1"/>
  <c r="R113" i="105" s="1"/>
  <c r="R150" i="105" a="1"/>
  <c r="R150" i="105" s="1"/>
  <c r="H150" i="105" a="1"/>
  <c r="H150" i="105" s="1"/>
  <c r="F113" i="105" a="1"/>
  <c r="F113" i="105" s="1"/>
  <c r="P150" i="105" a="1"/>
  <c r="P150" i="105" s="1"/>
  <c r="S150" i="105" a="1"/>
  <c r="S150" i="105" s="1"/>
  <c r="F150" i="105" a="1"/>
  <c r="F150" i="105" s="1"/>
  <c r="P113" i="105" a="1"/>
  <c r="P113" i="105" s="1"/>
  <c r="S113" i="105" a="1"/>
  <c r="S113" i="105" s="1"/>
  <c r="R198" i="76" a="1"/>
  <c r="R198" i="76" s="1"/>
  <c r="H198" i="76" a="1"/>
  <c r="H198" i="76" s="1"/>
  <c r="F149" i="69"/>
  <c r="F179" i="76"/>
  <c r="R153" i="105" a="1"/>
  <c r="R153" i="105" s="1"/>
  <c r="R116" i="105" a="1"/>
  <c r="R116" i="105" s="1"/>
  <c r="F153" i="105" a="1"/>
  <c r="F153" i="105" s="1"/>
  <c r="S116" i="105" a="1"/>
  <c r="S116" i="105" s="1"/>
  <c r="P116" i="105" a="1"/>
  <c r="P116" i="105" s="1"/>
  <c r="S153" i="105" a="1"/>
  <c r="S153" i="105" s="1"/>
  <c r="Q153" i="105" a="1"/>
  <c r="Q153" i="105" s="1"/>
  <c r="P153" i="105" a="1"/>
  <c r="P153" i="105" s="1"/>
  <c r="Q116" i="105" a="1"/>
  <c r="Q116" i="105" s="1"/>
  <c r="I116" i="105" a="1"/>
  <c r="I116" i="105" s="1"/>
  <c r="G116" i="105" a="1"/>
  <c r="G116" i="105" s="1"/>
  <c r="I153" i="105" a="1"/>
  <c r="I153" i="105" s="1"/>
  <c r="F116" i="105" a="1"/>
  <c r="F116" i="105" s="1"/>
  <c r="G153" i="105" a="1"/>
  <c r="G153" i="105" s="1"/>
  <c r="H153" i="105" a="1"/>
  <c r="H153" i="105" s="1"/>
  <c r="H116" i="105" a="1"/>
  <c r="H116" i="105" s="1"/>
  <c r="G168" i="69" a="1"/>
  <c r="G168" i="69" s="1"/>
  <c r="G215" i="69" s="1" a="1"/>
  <c r="G215" i="69" s="1"/>
  <c r="Q168" i="69" a="1"/>
  <c r="Q168" i="69" s="1"/>
  <c r="Q215" i="69" s="1" a="1"/>
  <c r="Q215" i="69" s="1"/>
  <c r="F143" i="105" a="1"/>
  <c r="F143" i="105" s="1"/>
  <c r="F106" i="105" a="1"/>
  <c r="F106" i="105" s="1"/>
  <c r="P106" i="105" a="1"/>
  <c r="P106" i="105" s="1"/>
  <c r="H106" i="105" a="1"/>
  <c r="H106" i="105" s="1"/>
  <c r="R143" i="105" a="1"/>
  <c r="R143" i="105" s="1"/>
  <c r="P143" i="105" a="1"/>
  <c r="P143" i="105" s="1"/>
  <c r="H143" i="105" a="1"/>
  <c r="H143" i="105" s="1"/>
  <c r="R106" i="105" a="1"/>
  <c r="R106" i="105" s="1"/>
  <c r="G143" i="105" a="1"/>
  <c r="G143" i="105" s="1"/>
  <c r="I106" i="105" a="1"/>
  <c r="I106" i="105" s="1"/>
  <c r="G106" i="105" a="1"/>
  <c r="G106" i="105" s="1"/>
  <c r="S106" i="105" a="1"/>
  <c r="S106" i="105" s="1"/>
  <c r="I143" i="105" a="1"/>
  <c r="I143" i="105" s="1"/>
  <c r="Q106" i="105" a="1"/>
  <c r="Q106" i="105" s="1"/>
  <c r="Q143" i="105" a="1"/>
  <c r="Q143" i="105" s="1"/>
  <c r="S143" i="105" a="1"/>
  <c r="S143" i="105" s="1"/>
  <c r="Q117" i="105" a="1"/>
  <c r="Q117" i="105" s="1"/>
  <c r="F117" i="105" a="1"/>
  <c r="F117" i="105" s="1"/>
  <c r="G117" i="105" a="1"/>
  <c r="G117" i="105" s="1"/>
  <c r="G154" i="105" a="1"/>
  <c r="G154" i="105" s="1"/>
  <c r="R154" i="105" a="1"/>
  <c r="R154" i="105" s="1"/>
  <c r="H154" i="105" a="1"/>
  <c r="H154" i="105" s="1"/>
  <c r="I154" i="105" a="1"/>
  <c r="I154" i="105" s="1"/>
  <c r="H117" i="105" a="1"/>
  <c r="H117" i="105" s="1"/>
  <c r="S154" i="105" a="1"/>
  <c r="S154" i="105" s="1"/>
  <c r="I117" i="105" a="1"/>
  <c r="I117" i="105" s="1"/>
  <c r="S117" i="105" a="1"/>
  <c r="S117" i="105" s="1"/>
  <c r="P154" i="105" a="1"/>
  <c r="P154" i="105" s="1"/>
  <c r="R117" i="105" a="1"/>
  <c r="R117" i="105" s="1"/>
  <c r="P117" i="105" a="1"/>
  <c r="P117" i="105" s="1"/>
  <c r="F154" i="105" a="1"/>
  <c r="F154" i="105" s="1"/>
  <c r="Q154" i="105" a="1"/>
  <c r="Q154" i="105" s="1"/>
  <c r="Q198" i="76" a="1"/>
  <c r="Q198" i="76" s="1"/>
  <c r="G198" i="76" a="1"/>
  <c r="G198" i="76" s="1"/>
  <c r="Q28" i="108" a="1"/>
  <c r="Q28" i="108" s="1"/>
  <c r="H28" i="108" a="1"/>
  <c r="H28" i="108" s="1"/>
  <c r="O28" i="108" a="1"/>
  <c r="O28" i="108" s="1"/>
  <c r="P28" i="108" a="1"/>
  <c r="P28" i="108" s="1"/>
  <c r="R28" i="108" a="1"/>
  <c r="R28" i="108" s="1"/>
  <c r="E28" i="108" a="1"/>
  <c r="E28" i="108" s="1"/>
  <c r="G28" i="108" a="1"/>
  <c r="G28" i="108" s="1"/>
  <c r="E96" i="97" a="1"/>
  <c r="E96" i="97" s="1"/>
  <c r="I94" i="97"/>
  <c r="I43" i="107"/>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G35" i="98" a="1"/>
  <c r="G35" i="98" s="1"/>
  <c r="S35" i="98" a="1"/>
  <c r="S35" i="98" s="1"/>
  <c r="R34" i="98" a="1"/>
  <c r="R34" i="98" s="1"/>
  <c r="P34" i="98" a="1"/>
  <c r="P34" i="98" s="1"/>
  <c r="P35" i="98" a="1"/>
  <c r="P35" i="98" s="1"/>
  <c r="P36" i="98" a="1"/>
  <c r="P36" i="98" s="1"/>
  <c r="H34" i="98" a="1"/>
  <c r="H34" i="98" s="1"/>
  <c r="S34" i="98" a="1"/>
  <c r="S34" i="98" s="1"/>
  <c r="R35" i="98" a="1"/>
  <c r="R35" i="98" s="1"/>
  <c r="I35" i="98" a="1"/>
  <c r="I35" i="98" s="1"/>
  <c r="G34" i="98" a="1"/>
  <c r="G34" i="98" s="1"/>
  <c r="Q34" i="98" a="1"/>
  <c r="Q34" i="98" s="1"/>
  <c r="G36" i="98" a="1"/>
  <c r="G36" i="98" s="1"/>
  <c r="S36" i="98" a="1"/>
  <c r="S36" i="98" s="1"/>
  <c r="F35" i="98" a="1"/>
  <c r="F35" i="98" s="1"/>
  <c r="H35" i="98" a="1"/>
  <c r="H35" i="98" s="1"/>
  <c r="F34" i="98" a="1"/>
  <c r="F34" i="98" s="1"/>
  <c r="I34" i="98" a="1"/>
  <c r="I34" i="98" s="1"/>
  <c r="H36" i="98" a="1"/>
  <c r="H36" i="98" s="1"/>
  <c r="F36" i="98" a="1"/>
  <c r="F36" i="98" s="1"/>
  <c r="R36" i="98" a="1"/>
  <c r="R36" i="98" s="1"/>
  <c r="Q36" i="98" a="1"/>
  <c r="Q36" i="98" s="1"/>
  <c r="I36" i="98" a="1"/>
  <c r="I36" i="98"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G35" i="97" l="1"/>
  <c r="G31" i="105"/>
  <c r="Q31" i="105"/>
  <c r="Q35" i="97"/>
  <c r="I35" i="97"/>
  <c r="I31" i="105"/>
  <c r="S31" i="105"/>
  <c r="S35" i="97"/>
  <c r="P198" i="76" a="1"/>
  <c r="P198" i="76" s="1"/>
  <c r="F198" i="76" a="1"/>
  <c r="F198" i="76" s="1"/>
  <c r="P168" i="69" a="1"/>
  <c r="P168" i="69" s="1"/>
  <c r="P215" i="69" s="1" a="1"/>
  <c r="P215" i="69" s="1"/>
  <c r="O222" i="69" s="1"/>
  <c r="F168" i="69" a="1"/>
  <c r="F168" i="69" s="1"/>
  <c r="F215" i="69" s="1" a="1"/>
  <c r="F215" i="69" s="1"/>
  <c r="E222" i="69" s="1"/>
  <c r="H31" i="105"/>
  <c r="H35" i="97"/>
  <c r="R31" i="105"/>
  <c r="R35" i="97"/>
  <c r="O245" i="76"/>
  <c r="E245" i="76"/>
  <c r="E30" i="108"/>
  <c r="J43" i="108" s="1"/>
  <c r="E47" i="108" s="1" a="1"/>
  <c r="E47" i="108" s="1"/>
  <c r="O30" i="108"/>
  <c r="T43" i="108" s="1"/>
  <c r="O47" i="108" s="1" a="1"/>
  <c r="O47" i="108" s="1"/>
  <c r="O96" i="97" a="1"/>
  <c r="O96" i="97" s="1"/>
  <c r="Q98" i="97" s="1"/>
  <c r="O101" i="97" s="1" a="1"/>
  <c r="O101" i="97" s="1"/>
  <c r="I9" i="13" s="1"/>
  <c r="P47" i="107"/>
  <c r="N50" i="107" s="1" a="1"/>
  <c r="N50" i="107" s="1"/>
  <c r="I12" i="13" s="1"/>
  <c r="F12" i="13"/>
  <c r="G98" i="97"/>
  <c r="E101" i="97" s="1" a="1"/>
  <c r="E101" i="97" s="1"/>
  <c r="H9" i="13" s="1"/>
  <c r="E9" i="13"/>
  <c r="E45" i="107" a="1"/>
  <c r="E45" i="107" s="1"/>
  <c r="H25" i="106" a="1"/>
  <c r="H25" i="106" s="1"/>
  <c r="P25" i="106" a="1"/>
  <c r="P25" i="106" s="1"/>
  <c r="Q25" i="106" a="1"/>
  <c r="Q25" i="106" s="1"/>
  <c r="G25" i="106" a="1"/>
  <c r="G25" i="106" s="1"/>
  <c r="E25" i="106" a="1"/>
  <c r="E25" i="106" s="1"/>
  <c r="F25" i="106" a="1"/>
  <c r="F25" i="106" s="1"/>
  <c r="R25" i="106" a="1"/>
  <c r="R25" i="106" s="1"/>
  <c r="R55" i="98" a="1"/>
  <c r="R55" i="98" s="1"/>
  <c r="R67" i="105"/>
  <c r="F55" i="98" a="1"/>
  <c r="F55" i="98" s="1"/>
  <c r="E59" i="98" s="1"/>
  <c r="F67" i="105"/>
  <c r="H56" i="98" a="1"/>
  <c r="H56" i="98" s="1"/>
  <c r="H72" i="105"/>
  <c r="S56" i="98" a="1"/>
  <c r="S56" i="98" s="1"/>
  <c r="S72" i="105"/>
  <c r="F56" i="98" a="1"/>
  <c r="F56" i="98" s="1"/>
  <c r="F72" i="105"/>
  <c r="G56" i="98" a="1"/>
  <c r="G56" i="98" s="1"/>
  <c r="G72" i="105"/>
  <c r="S57" i="98" a="1"/>
  <c r="S57" i="98" s="1"/>
  <c r="S77" i="105"/>
  <c r="Q56" i="98" a="1"/>
  <c r="Q56" i="98" s="1"/>
  <c r="Q72" i="105"/>
  <c r="G57" i="98" a="1"/>
  <c r="G57" i="98" s="1"/>
  <c r="G77" i="105"/>
  <c r="Q55" i="98" a="1"/>
  <c r="Q55" i="98" s="1"/>
  <c r="Q67" i="105"/>
  <c r="G55" i="98" a="1"/>
  <c r="G55" i="98" s="1"/>
  <c r="G67" i="105"/>
  <c r="I56" i="98" a="1"/>
  <c r="I56" i="98" s="1"/>
  <c r="I72" i="105"/>
  <c r="I57" i="98" a="1"/>
  <c r="I57" i="98" s="1"/>
  <c r="I77" i="105"/>
  <c r="R56" i="98" a="1"/>
  <c r="R56" i="98" s="1"/>
  <c r="R72" i="105"/>
  <c r="Q57" i="98" a="1"/>
  <c r="Q57" i="98" s="1"/>
  <c r="Q77" i="105"/>
  <c r="S55" i="98" a="1"/>
  <c r="S55" i="98" s="1"/>
  <c r="S67" i="105"/>
  <c r="R57" i="98" a="1"/>
  <c r="R57" i="98" s="1"/>
  <c r="R77" i="105"/>
  <c r="H55" i="98" a="1"/>
  <c r="H55" i="98" s="1"/>
  <c r="H67" i="105"/>
  <c r="F57" i="98" a="1"/>
  <c r="F57" i="98" s="1"/>
  <c r="F77" i="105"/>
  <c r="P57" i="98" a="1"/>
  <c r="P57" i="98" s="1"/>
  <c r="P77" i="105"/>
  <c r="P56" i="98" a="1"/>
  <c r="P56" i="98" s="1"/>
  <c r="P72" i="105"/>
  <c r="H57" i="98" a="1"/>
  <c r="H57" i="98" s="1"/>
  <c r="H77" i="105"/>
  <c r="I55" i="98" a="1"/>
  <c r="I55" i="98" s="1"/>
  <c r="I67" i="105"/>
  <c r="P55" i="98" a="1"/>
  <c r="P55" i="98" s="1"/>
  <c r="P67" i="105"/>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H151" i="105" l="1" a="1"/>
  <c r="H151" i="105" s="1"/>
  <c r="H198" i="105" a="1"/>
  <c r="H198" i="105" s="1"/>
  <c r="H114" i="105" a="1"/>
  <c r="H114" i="105" s="1"/>
  <c r="F31" i="105"/>
  <c r="F35" i="97"/>
  <c r="P35" i="97"/>
  <c r="P31" i="105"/>
  <c r="S151" i="105" a="1"/>
  <c r="S151" i="105" s="1"/>
  <c r="S114" i="105" a="1"/>
  <c r="S114" i="105" s="1"/>
  <c r="S198" i="105" a="1"/>
  <c r="S198" i="105" s="1"/>
  <c r="I114" i="105" a="1"/>
  <c r="I114" i="105" s="1"/>
  <c r="I198" i="105" a="1"/>
  <c r="I198" i="105" s="1"/>
  <c r="I151" i="105" a="1"/>
  <c r="I151" i="105" s="1"/>
  <c r="Q114" i="105" a="1"/>
  <c r="Q114" i="105" s="1"/>
  <c r="Q151" i="105" a="1"/>
  <c r="Q151" i="105" s="1"/>
  <c r="Q198" i="105" a="1"/>
  <c r="Q198" i="105" s="1"/>
  <c r="G151" i="105" a="1"/>
  <c r="G151" i="105" s="1"/>
  <c r="G198" i="105" a="1"/>
  <c r="G198" i="105" s="1"/>
  <c r="G114" i="105" a="1"/>
  <c r="G114" i="105" s="1"/>
  <c r="R198" i="105" a="1"/>
  <c r="R198" i="105" s="1"/>
  <c r="R114" i="105" a="1"/>
  <c r="R114" i="105" s="1"/>
  <c r="R151" i="105" a="1"/>
  <c r="R151" i="105" s="1"/>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F9" i="13"/>
  <c r="G47" i="107"/>
  <c r="E50" i="107" s="1" a="1"/>
  <c r="E50" i="107" s="1"/>
  <c r="H12" i="13" s="1"/>
  <c r="E12" i="13"/>
  <c r="Q49" i="108"/>
  <c r="O52" i="108" s="1" a="1"/>
  <c r="O52" i="108" s="1"/>
  <c r="I13" i="13" s="1"/>
  <c r="F13" i="13"/>
  <c r="G49" i="108"/>
  <c r="E52" i="108" s="1" a="1"/>
  <c r="E52" i="108" s="1"/>
  <c r="H13" i="13" s="1"/>
  <c r="E13" i="13"/>
  <c r="Q224" i="69"/>
  <c r="O227" i="69" s="1" a="1"/>
  <c r="O227" i="69" s="1"/>
  <c r="I7" i="13" s="1"/>
  <c r="F7" i="13"/>
  <c r="Q247" i="76"/>
  <c r="O250" i="76" s="1" a="1"/>
  <c r="O250" i="76" s="1"/>
  <c r="I8" i="13" s="1"/>
  <c r="F8" i="13"/>
  <c r="G247" i="76"/>
  <c r="E250" i="76" s="1" a="1"/>
  <c r="E250" i="76" s="1"/>
  <c r="H8" i="13" s="1"/>
  <c r="E8" i="13"/>
  <c r="G224" i="69"/>
  <c r="E227" i="69" s="1" a="1"/>
  <c r="E227" i="69" s="1"/>
  <c r="H7" i="13" s="1"/>
  <c r="E7" i="13"/>
  <c r="E27" i="106"/>
  <c r="O59" i="98"/>
  <c r="O27" i="106"/>
  <c r="E29" i="15"/>
  <c r="P198" i="105" l="1" a="1"/>
  <c r="P198" i="105" s="1"/>
  <c r="P114" i="105" a="1"/>
  <c r="P114" i="105" s="1"/>
  <c r="P151" i="105" a="1"/>
  <c r="P151" i="105" s="1"/>
  <c r="O158" i="105" s="1"/>
  <c r="F22" i="13" s="1"/>
  <c r="F114" i="105" a="1"/>
  <c r="F114" i="105" s="1"/>
  <c r="E121" i="105" s="1"/>
  <c r="E20" i="13" s="1"/>
  <c r="F151" i="105" a="1"/>
  <c r="F151" i="105" s="1"/>
  <c r="F198" i="105" a="1"/>
  <c r="F198" i="105" s="1"/>
  <c r="E205" i="105" s="1"/>
  <c r="E21" i="13" s="1"/>
  <c r="E158" i="105"/>
  <c r="E22" i="13" s="1"/>
  <c r="O205" i="105"/>
  <c r="F21" i="13" s="1"/>
  <c r="O121" i="105"/>
  <c r="F20" i="13" s="1"/>
  <c r="G61" i="98"/>
  <c r="E64" i="98" s="1" a="1"/>
  <c r="E64" i="98" s="1"/>
  <c r="H10" i="13" s="1"/>
  <c r="E10" i="13"/>
  <c r="Q29" i="106"/>
  <c r="O32" i="106" s="1" a="1"/>
  <c r="O32" i="106" s="1"/>
  <c r="I11" i="13" s="1"/>
  <c r="F11" i="13"/>
  <c r="Q61" i="98"/>
  <c r="O64" i="98" s="1" a="1"/>
  <c r="O64" i="98" s="1"/>
  <c r="I10" i="13" s="1"/>
  <c r="F10" i="13"/>
  <c r="G29" i="106"/>
  <c r="E32" i="106" s="1" a="1"/>
  <c r="E32" i="106" s="1"/>
  <c r="H11" i="13" s="1"/>
  <c r="E11" i="13"/>
  <c r="E13" i="15"/>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<sst xmlns="http://schemas.openxmlformats.org/spreadsheetml/2006/main" count="1178" uniqueCount="381">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</sst>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CC6600"/>
      <color rgb="FF0C769E"/>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EB8DE-97A3-40B0-A9D4-A2DB970BDC6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0BB2EE4-329C-4491-8AC7-92D698711C62}" name="State/Territory">
      <calculatedColumnFormula array="1">Common_InputFunctions.Utility_DisplayArrayInTable(Common_SourceData.Common_SourceData_AustralianStatesTerritories_Data(),Table_AustralianStates[[#Headers],[State/Territory]],0)</calculatedColumnFormula>
    </tableColumn>
    <tableColumn id="2" xr3:uid="{6843E437-0AC9-4C56-9C18-205A03D54C8D}" name="Common Name">
      <calculatedColumnFormula array="1">Common_InputFunctions.Utility_DisplayArrayInTable(Common_SourceData.Common_SourceData_AustralianStatesTerritories_Data(),Table_AustralianStates[[#Headers],[State/Territory]],0)</calculatedColumnFormula>
    </tableColumn>
    <tableColumn id="3" xr3:uid="{C750ACEE-367B-4D15-9AD9-E4DC74E9DA1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1383D-0DA7-4380-A582-1A4588EB8543}" name="Table_WASA4Areas" displayName="Table_WASA4Areas" ref="D20:D30" totalsRowShown="0">
  <autoFilter ref="D20:D30" xr:uid="{5FA81339-C6C8-4D36-BEEA-6C4AEDD9E676}">
    <filterColumn colId="0" hiddenButton="1"/>
  </autoFilter>
  <tableColumns count="1">
    <tableColumn id="1" xr3:uid="{0A331C1D-7EDE-4708-8589-D051E6532F2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F60751-F9C4-415D-B993-528CC7A73991}" name="Table_GWPData" displayName="Table_GWPData" ref="D36:E43" totalsRowShown="0">
  <autoFilter ref="D36:E43" xr:uid="{B8E87A66-3E41-4AD3-925D-01EE21B43D7A}">
    <filterColumn colId="0" hiddenButton="1"/>
    <filterColumn colId="1" hiddenButton="1"/>
  </autoFilter>
  <tableColumns count="2">
    <tableColumn id="1" xr3:uid="{D97E254B-9580-4BB2-A40E-25B9EE748541}" name="Gas">
      <calculatedColumnFormula array="1">Common_InputFunctions.Utility_DisplayArrayInTable(Common_SourceData.Common_SourceData_GWP_Data(), Table_GWPData[[#Headers],[Gas]], 0)</calculatedColumnFormula>
    </tableColumn>
    <tableColumn id="2" xr3:uid="{EDDDBAF2-8368-49B8-ADF6-914F7176429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AB1797-8427-490A-A28D-AD16250AEF0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E3427A-0331-4A67-B9CB-8C2DF0BFA8AA}" name="Gas">
      <calculatedColumnFormula array="1">Common_InputFunctions.Utility_DisplayArrayInTable(Common_SourceData.Common_SourceData_ConvertGasElementalToMolecular_Data(),Table_GasToMolecularConversionFactor[[#Headers],[Gas]], 0)</calculatedColumnFormula>
    </tableColumn>
    <tableColumn id="5" xr3:uid="{B611A130-4B9D-409F-8910-EA6F1C5E2406}" name="Conversion factor">
      <calculatedColumnFormula array="1">Common_InputFunctions.Utility_DisplayArrayInTable(Common_SourceData.Common_SourceData_ConvertGasElementalToMolecular_Data(),Table_GasToMolecularConversionFactor[[#Headers],[Gas]], 0)</calculatedColumnFormula>
    </tableColumn>
    <tableColumn id="2" xr3:uid="{DC36563F-849C-4B72-800A-42CF0EB0EA2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748EFA-1D5C-4F67-9669-41BE5503886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A113FB8-E57B-4712-BB7F-B3E8B112DB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8D64A7-EEBB-4AF8-BB8C-B5EDEBF5618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9F074B-D425-4D5F-A20E-8A45EE9932D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34926C-BF29-4E5E-B008-9BE26047C588}"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8B69B916-5280-43C8-B60E-1F1B237E7F6F}"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7E43885A-A061-473E-B425-CE9479A7EA94}"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AAF7B386-82FD-42C2-A764-6F248F77D7A4}"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CA1BE24C-9BC6-40F2-B441-F7769C53EAD5}"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B6032017-D70B-4FF7-BF51-7439858C9855}"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59FFE2B0-BAD5-4F15-9A05-2B0900E1896B}"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D525097B-FB52-4CE7-A929-F8D6F4431528}"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D148D02D-BE21-4A73-9515-E080B32A6060}"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01291437-3BBC-48E9-98A3-3BE1E88BC94C}"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12E8D8D6-0BDE-4986-9EA9-354E9BD350A7}"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F6EB839F-D5A5-4E00-8F43-96AC8110CCE7}"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6E66BA7E-59CB-495A-A305-39759891DC28}"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89435351-02B3-4458-A66C-C57880C1D56A}"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E934065B-9A07-4BF2-B77C-54B7DF92A1C6}"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1770C3-DD99-4F74-9222-B256A71502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EFD4A55-BD32-493A-B1FF-4E9AC76817F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D3E5594-0114-42E8-A97E-6494E89FFC3C}"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BDB6E8-2207-4DF4-A76B-6D3C149C576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D64E69A-0D82-4FDB-A236-92272E1EA4F0}" name="Temperature Zone">
      <calculatedColumnFormula array="1">Common_InputFunctions.Utility_DisplayArrayInTable(Common_SourceData.Common_SourceData_TemperatureZones_Data(),Table_SourceData_TemperatureZones[[#Headers],[Temperature Zone]],0)</calculatedColumnFormula>
    </tableColumn>
    <tableColumn id="2" xr3:uid="{BD51CE1E-BC2E-41DD-9B25-E1E7E0FA2FFB}" name="MAT">
      <calculatedColumnFormula array="1">Common_InputFunctions.Utility_DisplayArrayInTable(Common_SourceData.Common_SourceData_TemperatureZones_Data(),Table_SourceData_TemperatureZones[[#Headers],[Temperature Zone]],0)</calculatedColumnFormula>
    </tableColumn>
    <tableColumn id="3" xr3:uid="{2A30D772-49F2-4FFF-B697-998C58B81B7E}" name="Min MAT">
      <calculatedColumnFormula array="1">Common_InputFunctions.Utility_DisplayArrayInTable(Common_SourceData.Common_SourceData_TemperatureZones_Data(),Table_SourceData_TemperatureZones[[#Headers],[Temperature Zone]],0)</calculatedColumnFormula>
    </tableColumn>
    <tableColumn id="4" xr3:uid="{E1EBB9A6-A234-4A8F-8D32-F68455EB694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67D12-B770-4B74-A2BF-010F7B279C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09A5FCC-52EA-4EAE-B9F6-71536DF8FE44}" name="Rainfall Zone">
      <calculatedColumnFormula array="1">Common_InputFunctions.Utility_DisplayArrayInTable(Common_SourceData.Common_SourceData_RainfallZones_Data(),Table_SourceData_RainfallZones[[#Headers],[Rainfall Zone]],0)</calculatedColumnFormula>
    </tableColumn>
    <tableColumn id="2" xr3:uid="{7DF6BC3C-FCA9-434D-A25F-7A0827956DE8}" name="Annual rainfall">
      <calculatedColumnFormula array="1">Common_InputFunctions.Utility_DisplayArrayInTable(Common_SourceData.Common_SourceData_RainfallZones_Data(),Table_SourceData_RainfallZones[[#Headers],[Rainfall Zone]],0)</calculatedColumnFormula>
    </tableColumn>
    <tableColumn id="3" xr3:uid="{EA97ACB2-B9A8-4550-997B-EEDB530D8BC0}" name="Min rainfall">
      <calculatedColumnFormula array="1">Common_InputFunctions.Utility_DisplayArrayInTable(Common_SourceData.Common_SourceData_RainfallZones_Data(),Table_SourceData_RainfallZones[[#Headers],[Rainfall Zone]],0)</calculatedColumnFormula>
    </tableColumn>
    <tableColumn id="4" xr3:uid="{3C8D0C7B-67E8-4E62-A7B6-3A01E87F057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F62F6D-0DCD-4AB6-BB03-0E3480274D2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44F578-D0E5-463D-98BE-3ECBCB84183D}" name="Leaching Zone">
      <calculatedColumnFormula array="1">Common_InputFunctions.Utility_DisplayArrayInTable(Common_SourceData.Common_SourceData_LeachingZones_Data(), Table_SourceData_LeachingZones[[#Headers],[Leaching Zone]], 0)</calculatedColumnFormula>
    </tableColumn>
    <tableColumn id="2" xr3:uid="{D6C40D65-EF96-42F6-BA08-98104F0801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F23DD2D-C926-46DB-AD62-35643C220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4072A4F-CFD7-4061-ABF1-A15BCE354498}" name="Data source">
      <calculatedColumnFormula array="1">Common_InputFunctions.Utility_DisplayArrayInTable(Common_SourceData.Common_SourceData_DataScores_Scope3_Data(), Table_SourceData_DataScores_Scope3[[#Headers],[Data source]], 0)</calculatedColumnFormula>
    </tableColumn>
    <tableColumn id="2" xr3:uid="{9436A28A-9900-484E-9CD2-BF37019D5D6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3D798A-1CC1-447A-9F39-2984471D0893}" name="Table_SourceData_FracWET" displayName="Table_SourceData_FracWET" ref="D134:E136" totalsRowShown="0">
  <autoFilter ref="D134:E136" xr:uid="{308E99BE-FE1F-47A4-B2CA-97217277C4E9}">
    <filterColumn colId="0" hiddenButton="1"/>
    <filterColumn colId="1" hiddenButton="1"/>
  </autoFilter>
  <tableColumns count="2">
    <tableColumn id="1" xr3:uid="{ABBEC785-BFEE-49EE-9D79-736DE4BCB8E0}" name="Is in leaching zone">
      <calculatedColumnFormula array="1">Common_InputFunctions.Utility_DisplayArrayInTable(Common_SourceData.Common_SourceData_FracWET_Data(),Table_SourceData_FracWET[[#Headers],[Is in leaching zone]],0)</calculatedColumnFormula>
    </tableColumn>
    <tableColumn id="2" xr3:uid="{9B4BEC72-EA5B-45C8-81AD-08C1DE03EB9E}"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61FE1F-F48F-478A-B26D-FD257AD032A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897BFF3-61D5-42CB-929B-C98FAFBC1DC8}" name="Production system j">
      <calculatedColumnFormula array="1">Common_InputFunctions.Utility_DisplayArrayInTable(Common_SourceData.Common_SourceData_EFN2O_Data(), Table_SourceData_Common_EFN2O[[#Headers],[Production system j]], 0)</calculatedColumnFormula>
    </tableColumn>
    <tableColumn id="2" xr3:uid="{EED0C13F-D2A6-4924-86E8-88CAAF880ECE}" name="EFN2O">
      <calculatedColumnFormula array="1">Common_InputFunctions.Utility_DisplayArrayInTable(Common_SourceData.Common_SourceData_EFN2O_Data(), Table_SourceData_Common_EFN2O[[#Headers],[Production system j]], 0)</calculatedColumnFormula>
    </tableColumn>
    <tableColumn id="3" xr3:uid="{BE492789-EDD7-4841-A5EA-672D4299C543}" name="Production system only">
      <calculatedColumnFormula array="1">Common_InputFunctions.Utility_DisplayArrayInTable(Common_SourceData.Common_SourceData_EFN2O_Data(), Table_SourceData_Common_EFN2O[[#Headers],[Production system j]], 0)</calculatedColumnFormula>
    </tableColumn>
    <tableColumn id="4" xr3:uid="{667F831D-65B1-4223-9478-703746EC42A6}" name="Irrigation method">
      <calculatedColumnFormula array="1">Common_InputFunctions.Utility_DisplayArrayInTable(Common_SourceData.Common_SourceData_EFN2O_Data(), Table_SourceData_Common_EFN2O[[#Headers],[Production system j]], 0)</calculatedColumnFormula>
    </tableColumn>
    <tableColumn id="5" xr3:uid="{891011B9-DABF-46D8-A450-78D1AAA767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2BABD2-5CE3-427B-BE2B-5FF721876B9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8546709-CAAA-4DFF-85A8-4527C2CCB7DB}"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5B959-700E-49CE-9679-658D1754AA81}"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A164BCE-C54A-4921-87C8-C451E4D0228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D505003-A083-4FFD-BCFB-8E7DFE3CE06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6732217-4BFF-45C0-A8A4-256FE5B3D7AC}"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53BB77-BB34-4284-B4E1-6B3B819927D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DC7626-3BD9-498F-8581-C7E0FF195E1B}" name="Month">
      <calculatedColumnFormula array="1">Common_InputFunctions.Utility_DisplayArrayInTable(Common_SourceData.Common_SourceData_MonthsToSeasons_Data(), Table_SourceData_Common_MonthToSeason[[#Headers],[Month]], 0)</calculatedColumnFormula>
    </tableColumn>
    <tableColumn id="2" xr3:uid="{D1AB5A4F-64F9-4F65-98A5-7F84F37C9000}"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543BB5B-2DC7-4038-945E-651A2EDC950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0F1131-CC72-45CB-89B7-14750492D0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2BA408-CC44-4FD1-9FE5-C862E7884D80}"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B310E3-D0C6-44E5-BE7A-9A3906CD667F}"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B70E641-4D01-4137-9CD7-D480164920C4}"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A37E5A8-31C6-40AC-88D0-459DF0729CE7}"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88F65E3-9FF5-4AB5-9F54-AA4F680F4893}"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16FDB7-C324-47F2-9767-82AEE14D08DA}"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7E5DC53-9ACE-424D-AAF8-7BAFC79089F1}"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CEAF9E5-E869-45AE-A0D4-302BECC22CB4}"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CF22FFD-2A47-4B7A-BAB4-5381789D0742}"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431A54A-31D8-4972-AEF7-9EF5BFC32F66}"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E2207C4-EA23-49A0-BFE0-24D36A50B705}"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3193E0B-C2B5-4D5F-85A5-058E4C78651C}"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63CDEFD-D540-48C9-AEA2-1262A37C691C}"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956D87-0AA3-454A-8F06-51B3D4E6DA77}"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1BFBCDA-F704-4B88-B902-378E2C8FC8F8}"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0525234-6116-4DDE-8A2F-AEAFF49990D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4BED9A5-75A7-4FD5-B9C7-39017FB030D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D10F8EF-BA44-4C5D-A3FC-35E87578F173}"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2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11.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dimension ref="A1:BL82"/>
  <sheetViews>
    <sheetView showGridLines="0" zoomScale="70" zoomScaleNormal="70" workbookViewId="0">
      <selection activeCell="Z58" sqref="Z58"/>
    </sheetView>
  </sheetViews>
  <sheetFormatPr defaultRowHeight="15" x14ac:dyDescent="0.25"/>
  <cols>
    <col min="1" max="1" width="30.7109375" customWidth="1"/>
    <col min="2" max="3" width="4.7109375" customWidth="1"/>
  </cols>
  <sheetData>
    <row r="1" spans="1:64" ht="30" customHeight="1" x14ac:dyDescent="0.35">
      <c r="A1" s="67" t="e" vm="1">
        <v>#VALUE!</v>
      </c>
      <c r="C1" s="147" t="s">
        <v>357</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354</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355</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20" sqref="F20"/>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102</v>
      </c>
      <c r="E6" s="109" t="s">
        <v>118</v>
      </c>
      <c r="F6" s="109" t="s">
        <v>119</v>
      </c>
      <c r="G6" s="109" t="s">
        <v>110</v>
      </c>
      <c r="H6" s="109" t="s">
        <v>120</v>
      </c>
      <c r="I6" s="109" t="s">
        <v>121</v>
      </c>
      <c r="J6" s="109" t="s">
        <v>111</v>
      </c>
      <c r="K6" s="22"/>
    </row>
    <row r="7" spans="1:11" ht="20.100000000000001" customHeight="1" x14ac:dyDescent="0.25">
      <c r="A7" s="20" t="s">
        <v>1</v>
      </c>
      <c r="C7" s="22"/>
      <c r="D7" s="1" t="s">
        <v>316</v>
      </c>
      <c r="E7" s="135">
        <f>'4.6.1.1-2 Methane'!E222</f>
        <v>1.9999321060623357E-2</v>
      </c>
      <c r="F7" s="135">
        <f>'4.6.1.1-2 Methane'!O222</f>
        <v>1.924586355691776E-2</v>
      </c>
      <c r="G7" s="54" t="s">
        <v>114</v>
      </c>
      <c r="H7" s="106">
        <f>'4.6.1.1-2 Methane'!E227</f>
        <v>0.55998098969745402</v>
      </c>
      <c r="I7" s="106">
        <f>'4.6.1.1-2 Methane'!O227</f>
        <v>0.53888417959369728</v>
      </c>
      <c r="J7" s="54" t="s">
        <v>116</v>
      </c>
      <c r="K7" s="22"/>
    </row>
    <row r="8" spans="1:11" ht="20.100000000000001" customHeight="1" x14ac:dyDescent="0.25">
      <c r="A8" s="17" t="str">
        <f>HYPERLINK("#'Input - Site'!A1", "Site")</f>
        <v>Site</v>
      </c>
      <c r="C8" s="22"/>
      <c r="D8" s="1" t="s">
        <v>317</v>
      </c>
      <c r="E8" s="135">
        <f>'4.6.1.3-4 Direct N20'!E245</f>
        <v>5.7674954756571411E-4</v>
      </c>
      <c r="F8" s="135">
        <f>'4.6.1.3-4 Direct N20'!O245</f>
        <v>5.7674954756571411E-4</v>
      </c>
      <c r="G8" s="54" t="s">
        <v>125</v>
      </c>
      <c r="H8" s="106">
        <f>'4.6.1.3-4 Direct N20'!E250</f>
        <v>0.15283863010491425</v>
      </c>
      <c r="I8" s="106">
        <f>'4.6.1.3-4 Direct N20'!O250</f>
        <v>0.15283863010491425</v>
      </c>
      <c r="J8" s="54" t="s">
        <v>116</v>
      </c>
      <c r="K8" s="22"/>
    </row>
    <row r="9" spans="1:11" ht="20.100000000000001" customHeight="1" x14ac:dyDescent="0.25">
      <c r="A9" s="17" t="str">
        <f>HYPERLINK("#'Input - Poultry'!A1", "Poultry")</f>
        <v>Poultry</v>
      </c>
      <c r="C9" s="22"/>
      <c r="D9" s="1" t="s">
        <v>318</v>
      </c>
      <c r="E9" s="135">
        <f>'4.6.1.5-6 Atmos Dep'!E96</f>
        <v>2.2877540674560014E-4</v>
      </c>
      <c r="F9" s="135">
        <f>'4.6.1.5-6 Atmos Dep'!O96</f>
        <v>2.2877540674560014E-4</v>
      </c>
      <c r="G9" s="54" t="s">
        <v>125</v>
      </c>
      <c r="H9" s="106">
        <f>'4.6.1.5-6 Atmos Dep'!E101</f>
        <v>6.0625482787584034E-2</v>
      </c>
      <c r="I9" s="106">
        <f>'4.6.1.5-6 Atmos Dep'!O101</f>
        <v>6.0625482787584034E-2</v>
      </c>
      <c r="J9" s="54" t="s">
        <v>116</v>
      </c>
      <c r="K9" s="22"/>
    </row>
    <row r="10" spans="1:11" ht="20.100000000000001" customHeight="1" x14ac:dyDescent="0.25">
      <c r="A10" s="17"/>
      <c r="C10" s="22"/>
      <c r="D10" s="1" t="s">
        <v>286</v>
      </c>
      <c r="E10" s="135">
        <f>'4.6.1.7-8 Leaching and runoff'!E59</f>
        <v>3.4753311014399998E-6</v>
      </c>
      <c r="F10" s="135">
        <f>'4.6.1.7-8 Leaching and runoff'!O59</f>
        <v>3.4753311014399998E-6</v>
      </c>
      <c r="G10" s="54" t="s">
        <v>125</v>
      </c>
      <c r="H10" s="106">
        <f>'4.6.1.7-8 Leaching and runoff'!E64</f>
        <v>9.2096274188159999E-4</v>
      </c>
      <c r="I10" s="106">
        <f>'4.6.1.7-8 Leaching and runoff'!O64</f>
        <v>9.2096274188159999E-4</v>
      </c>
      <c r="J10" s="54" t="s">
        <v>116</v>
      </c>
      <c r="K10" s="22"/>
    </row>
    <row r="11" spans="1:11" ht="20.100000000000001" customHeight="1" x14ac:dyDescent="0.25">
      <c r="A11" s="19" t="s">
        <v>72</v>
      </c>
      <c r="C11" s="22"/>
      <c r="D11" s="1" t="s">
        <v>302</v>
      </c>
      <c r="E11" s="135">
        <f>'4.6.1.10-11 Soil direct N2O'!E27</f>
        <v>2.3434148571428574E-4</v>
      </c>
      <c r="F11" s="135">
        <f>'4.6.1.10-11 Soil direct N2O'!O27</f>
        <v>2.3434148571428574E-4</v>
      </c>
      <c r="G11" s="54" t="s">
        <v>125</v>
      </c>
      <c r="H11" s="106">
        <f>'4.6.1.10-11 Soil direct N2O'!E32</f>
        <v>6.2100493714285721E-2</v>
      </c>
      <c r="I11" s="106">
        <f>'4.6.1.10-11 Soil direct N2O'!O32</f>
        <v>6.2100493714285721E-2</v>
      </c>
      <c r="J11" s="54" t="s">
        <v>116</v>
      </c>
      <c r="K11" s="22"/>
    </row>
    <row r="12" spans="1:11" ht="20.100000000000001" customHeight="1" x14ac:dyDescent="0.25">
      <c r="A12" s="17" t="str">
        <f>HYPERLINK("#'4.6.1.1-2 Methane'!A1", "4.6.1.1-2 Methane")</f>
        <v>4.6.1.1-2 Methane</v>
      </c>
      <c r="C12" s="22"/>
      <c r="D12" s="1" t="s">
        <v>319</v>
      </c>
      <c r="E12" s="135">
        <f>'4.6.1.12-13 Soil atmos dep'!E45</f>
        <v>1.72240992E-5</v>
      </c>
      <c r="F12" s="135">
        <f>'4.6.1.12-13 Soil atmos dep'!N45</f>
        <v>1.72240992E-5</v>
      </c>
      <c r="G12" s="54" t="s">
        <v>125</v>
      </c>
      <c r="H12" s="106">
        <f>'4.6.1.12-13 Soil atmos dep'!E50</f>
        <v>4.5643862879999999E-3</v>
      </c>
      <c r="I12" s="106">
        <f>'4.6.1.12-13 Soil atmos dep'!N50</f>
        <v>4.5643862879999999E-3</v>
      </c>
      <c r="J12" s="54" t="s">
        <v>116</v>
      </c>
      <c r="K12" s="22"/>
    </row>
    <row r="13" spans="1:11" ht="20.100000000000001" customHeight="1" x14ac:dyDescent="0.25">
      <c r="A13" s="17" t="str">
        <f>HYPERLINK("#'4.6.1.3-4 Direct N20'!A1", "4.6.1.3-4 Direct N2O")</f>
        <v>4.6.1.3-4 Direct N2O</v>
      </c>
      <c r="C13" s="22"/>
      <c r="D13" s="1" t="s">
        <v>313</v>
      </c>
      <c r="E13" s="135">
        <f>'4.6.1.14-15 Soil leach runoff'!E47</f>
        <v>2.5777563428571431E-6</v>
      </c>
      <c r="F13" s="135">
        <f>'4.6.1.14-15 Soil leach runoff'!O47</f>
        <v>2.5777563428571431E-6</v>
      </c>
      <c r="G13" s="54" t="s">
        <v>125</v>
      </c>
      <c r="H13" s="106">
        <f>'4.6.1.14-15 Soil leach runoff'!E52</f>
        <v>6.8310543085714286E-4</v>
      </c>
      <c r="I13" s="106">
        <f>'4.6.1.14-15 Soil leach runoff'!O52</f>
        <v>6.8310543085714286E-4</v>
      </c>
      <c r="J13" s="54" t="s">
        <v>116</v>
      </c>
      <c r="K13" s="22"/>
    </row>
    <row r="14" spans="1:11" ht="20.100000000000001" customHeight="1" x14ac:dyDescent="0.3">
      <c r="A14" s="17" t="str">
        <f>HYPERLINK("#'4.6.1.5-6 Atmos Dep'!A1", "4.6.1.5-6 Atmospheric deposition")</f>
        <v>4.6.1.5-6 Atmospheric deposition</v>
      </c>
      <c r="C14" s="22"/>
      <c r="D14" s="29" t="s">
        <v>109</v>
      </c>
      <c r="E14" s="23"/>
      <c r="F14" s="23"/>
      <c r="G14" s="29"/>
      <c r="H14" s="108">
        <f>SUM(H7:H13)</f>
        <v>0.84171405076497685</v>
      </c>
      <c r="I14" s="108">
        <f>SUM(I7:I13)</f>
        <v>0.8206172406612201</v>
      </c>
      <c r="J14" s="103" t="s">
        <v>116</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290</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180</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181</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182</v>
      </c>
      <c r="E19" s="109" t="s">
        <v>379</v>
      </c>
      <c r="F19" s="109" t="s">
        <v>380</v>
      </c>
      <c r="G19" s="109" t="s">
        <v>183</v>
      </c>
      <c r="H19" s="109" t="s">
        <v>184</v>
      </c>
      <c r="I19" s="109" t="s">
        <v>185</v>
      </c>
      <c r="J19" s="22"/>
      <c r="K19" s="22"/>
    </row>
    <row r="20" spans="1:11" ht="20.100000000000001" customHeight="1" x14ac:dyDescent="0.25">
      <c r="C20" s="22"/>
      <c r="D20" s="1" t="s">
        <v>186</v>
      </c>
      <c r="E20" s="122">
        <f>'4.6.1.9 Manure applied to soils'!E121</f>
        <v>36.930778279920006</v>
      </c>
      <c r="F20" s="122">
        <f>VEERG_4_6_1_9__1_MassOfNitrogenAppliedToSoilsScope1_Result_Method2</f>
        <v>36.930778279920006</v>
      </c>
      <c r="G20" s="54" t="s">
        <v>160</v>
      </c>
      <c r="H20" s="1" t="s">
        <v>320</v>
      </c>
      <c r="I20" s="1" t="s">
        <v>187</v>
      </c>
      <c r="J20" s="22"/>
      <c r="K20" s="22"/>
    </row>
    <row r="21" spans="1:11" ht="20.100000000000001" customHeight="1" x14ac:dyDescent="0.25">
      <c r="A21" s="18" t="s">
        <v>2</v>
      </c>
      <c r="C21" s="22"/>
      <c r="D21" s="1" t="s">
        <v>188</v>
      </c>
      <c r="E21" s="122">
        <f>'4.6.1.9 Manure applied to soils'!E205</f>
        <v>8.9593892186400037</v>
      </c>
      <c r="F21" s="122">
        <f>'4.6.1.9 Manure applied to soils'!O205</f>
        <v>8.9593892186400037</v>
      </c>
      <c r="G21" s="54" t="s">
        <v>160</v>
      </c>
      <c r="H21" s="1" t="s">
        <v>320</v>
      </c>
      <c r="I21" s="1" t="s">
        <v>187</v>
      </c>
      <c r="J21" s="22"/>
      <c r="K21" s="22"/>
    </row>
    <row r="22" spans="1:11" ht="20.100000000000001" customHeight="1" x14ac:dyDescent="0.25">
      <c r="A22" s="17" t="str">
        <f>HYPERLINK("#'Constants - Poultry'!A1", "Constants - Poultry")</f>
        <v>Constants - Poultry</v>
      </c>
      <c r="C22" s="22"/>
      <c r="D22" s="1" t="s">
        <v>189</v>
      </c>
      <c r="E22" s="122">
        <f>'4.6.1.9 Manure applied to soils'!E158</f>
        <v>8.9593892186400037</v>
      </c>
      <c r="F22" s="122">
        <f>VEERG_4_6_1_9__2_MassOfNitrogenAppliedToSoilsScope3_Result_Method2</f>
        <v>8.9593892186400037</v>
      </c>
      <c r="G22" s="54" t="s">
        <v>160</v>
      </c>
      <c r="H22" s="1" t="s">
        <v>190</v>
      </c>
      <c r="I22" s="1" t="s">
        <v>191</v>
      </c>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18" sqref="A1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30" t="str">
        <f>HYPERLINK("#'Input - Site'!A1", "Site")</f>
        <v>Site</v>
      </c>
      <c r="D8" s="10" t="s">
        <v>70</v>
      </c>
      <c r="E8" s="33" t="s">
        <v>71</v>
      </c>
    </row>
    <row r="9" spans="1:24" ht="20.100000000000001" customHeight="1" x14ac:dyDescent="0.25">
      <c r="A9" s="17" t="str">
        <f>HYPERLINK("#'Input - Poultry'!A1", "Poultry")</f>
        <v>Poultry</v>
      </c>
      <c r="N9" s="42"/>
    </row>
    <row r="10" spans="1:24" ht="20.100000000000001" customHeight="1" x14ac:dyDescent="0.25">
      <c r="A10" s="17"/>
      <c r="D10" s="93" t="s">
        <v>85</v>
      </c>
      <c r="E10" s="91"/>
      <c r="F10" s="94"/>
      <c r="G10" s="88"/>
      <c r="N10" s="42"/>
    </row>
    <row r="11" spans="1:24" ht="20.100000000000001" customHeight="1" x14ac:dyDescent="0.25">
      <c r="A11" s="19" t="s">
        <v>72</v>
      </c>
      <c r="N11" s="43"/>
    </row>
    <row r="12" spans="1:24" ht="20.100000000000001" customHeight="1" x14ac:dyDescent="0.25">
      <c r="A12" s="17" t="str">
        <f>HYPERLINK("#'4.6.1.1-2 Methane'!A1", "4.6.1.1-2 Methane")</f>
        <v>4.6.1.1-2 Methane</v>
      </c>
      <c r="D12" s="10" t="s">
        <v>91</v>
      </c>
      <c r="E12" s="63">
        <v>45292</v>
      </c>
      <c r="F12" s="2" t="s">
        <v>68</v>
      </c>
    </row>
    <row r="13" spans="1:24" ht="20.100000000000001" customHeight="1" x14ac:dyDescent="0.25">
      <c r="A13" s="17" t="str">
        <f>HYPERLINK("#'4.6.1.3-4 Direct N20'!A1", "4.6.1.3-4 Direct N2O")</f>
        <v>4.6.1.3-4 Direct N2O</v>
      </c>
      <c r="D13" s="10" t="s">
        <v>92</v>
      </c>
      <c r="E13" s="69">
        <f>DATE(YEAR(E12)+1,MONTH(E12),DAY(E12))-1</f>
        <v>45657</v>
      </c>
      <c r="F13" s="2" t="s">
        <v>15</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12</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14</v>
      </c>
      <c r="E18" s="90"/>
      <c r="F18" s="90"/>
      <c r="G18" s="86"/>
    </row>
    <row r="19" spans="1:25" ht="20.100000000000001" customHeight="1" x14ac:dyDescent="0.25">
      <c r="A19" s="17" t="str">
        <f>HYPERLINK("#'4.6.1.14-15 Soil leach runoff'!A1", "4.6.1.14-15 Soil leach &amp; runoff")</f>
        <v>4.6.1.14-15 Soil leach &amp; runoff</v>
      </c>
      <c r="D19" s="92" t="s">
        <v>69</v>
      </c>
      <c r="E19" s="89"/>
      <c r="F19" s="89"/>
      <c r="G19" s="87"/>
      <c r="N19" s="40"/>
    </row>
    <row r="20" spans="1:25" ht="20.100000000000001" customHeight="1" x14ac:dyDescent="0.25">
      <c r="A20"/>
      <c r="D20" s="1"/>
      <c r="E20" s="31"/>
      <c r="F20" s="2"/>
      <c r="N20" s="41"/>
    </row>
    <row r="21" spans="1:25" ht="20.100000000000001" customHeight="1" x14ac:dyDescent="0.25">
      <c r="A21" s="18" t="s">
        <v>2</v>
      </c>
      <c r="D21" s="1" t="s">
        <v>6</v>
      </c>
      <c r="E21" s="39" t="s">
        <v>123</v>
      </c>
      <c r="F21" s="2" t="s">
        <v>9</v>
      </c>
    </row>
    <row r="22" spans="1:25" ht="20.100000000000001" customHeight="1" x14ac:dyDescent="0.25">
      <c r="A22" s="17" t="str">
        <f>HYPERLINK("#'Constants - Poultry'!A1", "Constants - Poultry")</f>
        <v>Constants - Poultry</v>
      </c>
      <c r="D22" s="1" t="s">
        <v>23</v>
      </c>
      <c r="E22" s="39" t="s">
        <v>32</v>
      </c>
      <c r="F22" s="2" t="s">
        <v>9</v>
      </c>
      <c r="G22" s="1"/>
    </row>
    <row r="23" spans="1:25" ht="20.100000000000001" customHeight="1" x14ac:dyDescent="0.25">
      <c r="A23" s="17" t="str">
        <f>HYPERLINK("#'Constants - Livestock'!A1", "Constants - Livestock")</f>
        <v>Constants - Livestock</v>
      </c>
      <c r="D23" s="1" t="s">
        <v>7</v>
      </c>
      <c r="E23" s="39" t="s">
        <v>90</v>
      </c>
      <c r="F23" s="2" t="s">
        <v>9</v>
      </c>
    </row>
    <row r="24" spans="1:25" ht="20.100000000000001" customHeight="1" x14ac:dyDescent="0.25">
      <c r="A24" s="17" t="str">
        <f>HYPERLINK("#'Constants - Common'!A1", "Constants - Common")</f>
        <v>Constants - Common</v>
      </c>
      <c r="D24" s="1" t="s">
        <v>37</v>
      </c>
      <c r="E24" s="33">
        <v>307.7</v>
      </c>
      <c r="F24" s="2" t="s">
        <v>51</v>
      </c>
    </row>
    <row r="25" spans="1:25" ht="20.100000000000001" customHeight="1" x14ac:dyDescent="0.25">
      <c r="A25" s="17"/>
      <c r="D25" s="1" t="s">
        <v>59</v>
      </c>
      <c r="E25" s="33">
        <v>18</v>
      </c>
      <c r="F25" s="2" t="s">
        <v>10</v>
      </c>
      <c r="N25" s="41"/>
    </row>
    <row r="26" spans="1:25" ht="20.100000000000001" customHeight="1" x14ac:dyDescent="0.25">
      <c r="A26"/>
      <c r="D26" s="1" t="s">
        <v>60</v>
      </c>
      <c r="E26" s="33">
        <v>601</v>
      </c>
      <c r="F26" s="2" t="s">
        <v>11</v>
      </c>
    </row>
    <row r="27" spans="1:25" ht="20.100000000000001" customHeight="1" x14ac:dyDescent="0.25">
      <c r="A27"/>
      <c r="D27" s="10" t="s">
        <v>61</v>
      </c>
      <c r="E27" s="33">
        <v>1326</v>
      </c>
      <c r="F27" s="2" t="s">
        <v>11</v>
      </c>
    </row>
    <row r="28" spans="1:25" ht="20.100000000000001" customHeight="1" x14ac:dyDescent="0.25">
      <c r="A28"/>
      <c r="D28" s="1" t="s">
        <v>62</v>
      </c>
      <c r="E28" s="33">
        <v>7</v>
      </c>
      <c r="F28" s="2" t="s">
        <v>52</v>
      </c>
    </row>
    <row r="29" spans="1:25" ht="20.100000000000001" customHeight="1" x14ac:dyDescent="0.25">
      <c r="A29"/>
      <c r="D29" s="10" t="s">
        <v>58</v>
      </c>
      <c r="E29" s="52">
        <f>E26/E27</f>
        <v>0.45324283559577677</v>
      </c>
      <c r="F29" s="2"/>
    </row>
    <row r="30" spans="1:25" ht="20.100000000000001" customHeight="1" x14ac:dyDescent="0.25">
      <c r="A30"/>
      <c r="D30" s="10" t="s">
        <v>33</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8</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87</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50</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356"/>
  <sheetViews>
    <sheetView showGridLines="0" tabSelected="1" topLeftCell="A17" zoomScaleNormal="100" workbookViewId="0">
      <selection activeCell="J44" sqref="J44:M49"/>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56" customWidth="1"/>
    <col min="17" max="22" width="30.7109375" style="56" customWidth="1"/>
    <col min="23" max="23" width="4.7109375" style="56" customWidth="1"/>
  </cols>
  <sheetData>
    <row r="1" spans="1:23" s="67" customFormat="1" ht="30" customHeight="1" x14ac:dyDescent="0.35">
      <c r="A1" s="67" t="e" vm="1">
        <v>#VALUE!</v>
      </c>
      <c r="C1" s="67" t="s">
        <v>193</v>
      </c>
      <c r="O1" s="56"/>
      <c r="P1" s="56"/>
      <c r="Q1" s="56"/>
      <c r="R1" s="56"/>
      <c r="S1" s="56"/>
      <c r="T1" s="56"/>
      <c r="U1" s="56"/>
      <c r="V1" s="56"/>
      <c r="W1" s="56"/>
    </row>
    <row r="2" spans="1:23" s="9" customFormat="1" ht="20.100000000000001" customHeight="1" x14ac:dyDescent="0.25">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5" t="s">
        <v>139</v>
      </c>
      <c r="E5" s="90"/>
      <c r="F5" s="90"/>
      <c r="G5" s="90"/>
      <c r="H5" s="86"/>
      <c r="N5" s="3"/>
      <c r="R5" s="7"/>
    </row>
    <row r="6" spans="1:23" ht="20.100000000000001" customHeight="1" x14ac:dyDescent="0.25">
      <c r="A6" s="16"/>
      <c r="D6" s="92"/>
      <c r="E6" s="89"/>
      <c r="F6" s="89"/>
      <c r="G6" s="89"/>
      <c r="H6" s="87"/>
      <c r="N6" s="3"/>
      <c r="R6" s="7"/>
    </row>
    <row r="7" spans="1:23" ht="20.100000000000001" customHeight="1" x14ac:dyDescent="0.25">
      <c r="A7" s="20" t="s">
        <v>1</v>
      </c>
      <c r="N7" s="3"/>
      <c r="R7" s="7"/>
    </row>
    <row r="8" spans="1:23" ht="20.100000000000001" customHeight="1" x14ac:dyDescent="0.25">
      <c r="A8" s="17" t="str">
        <f>HYPERLINK("#'Input - Site'!A1", "Site")</f>
        <v>Site</v>
      </c>
      <c r="N8" s="3"/>
      <c r="R8" s="7"/>
    </row>
    <row r="9" spans="1:23" ht="20.100000000000001" customHeight="1" x14ac:dyDescent="0.25">
      <c r="A9" s="130" t="str">
        <f>HYPERLINK("#'Input - Poultry'!A1", "Poultry")</f>
        <v>Poultry</v>
      </c>
      <c r="E9" s="111" t="s">
        <v>196</v>
      </c>
      <c r="F9" s="111" t="s">
        <v>197</v>
      </c>
      <c r="G9" s="111" t="s">
        <v>209</v>
      </c>
      <c r="H9" s="111" t="s">
        <v>210</v>
      </c>
      <c r="R9" s="7"/>
    </row>
    <row r="10" spans="1:23" ht="20.100000000000001" customHeight="1" x14ac:dyDescent="0.25">
      <c r="A10" s="17"/>
      <c r="D10" s="1" t="str">
        <f>"Average duration of stay between " &amp; TEXT('Input - Site'!$E$12, "dd mmm yy") &amp; " and " &amp; TEXT('Input - Site'!$E$13, "dd mmm yy")</f>
        <v>Average duration of stay between 01 Jan 24 and 31 Dec 24</v>
      </c>
      <c r="E10" s="65">
        <v>365</v>
      </c>
      <c r="F10" s="65">
        <v>365</v>
      </c>
      <c r="G10" s="65">
        <v>365</v>
      </c>
      <c r="H10" s="65">
        <v>365</v>
      </c>
      <c r="I10" s="2" t="s">
        <v>52</v>
      </c>
      <c r="J10" s="2"/>
      <c r="R10" s="7"/>
    </row>
    <row r="11" spans="1:23" ht="20.100000000000001" customHeight="1" x14ac:dyDescent="0.25">
      <c r="A11" s="19" t="s">
        <v>72</v>
      </c>
      <c r="D11" s="1" t="str">
        <f>"Average number of birds between " &amp; TEXT('Input - Site'!$E$12, "dd mmm yy") &amp; " and " &amp; TEXT('Input - Site'!$E$13, "dd mmm yy")</f>
        <v>Average number of birds between 01 Jan 24 and 31 Dec 24</v>
      </c>
      <c r="E11" s="65">
        <v>100</v>
      </c>
      <c r="F11" s="65">
        <v>100</v>
      </c>
      <c r="G11" s="65">
        <v>100</v>
      </c>
      <c r="H11" s="65">
        <v>100</v>
      </c>
      <c r="I11" s="2" t="s">
        <v>94</v>
      </c>
      <c r="J11" s="2"/>
      <c r="R11" s="7"/>
    </row>
    <row r="12" spans="1:23" ht="20.100000000000001" customHeight="1" x14ac:dyDescent="0.25">
      <c r="A12" s="17" t="str">
        <f>HYPERLINK("#'4.6.1.1-2 Methane'!A1", "4.6.1.1-2 Methane")</f>
        <v>4.6.1.1-2 Methane</v>
      </c>
      <c r="R12" s="7"/>
    </row>
    <row r="13" spans="1:23" ht="20.100000000000001" customHeight="1" x14ac:dyDescent="0.25">
      <c r="A13" s="17" t="str">
        <f>HYPERLINK("#'4.6.1.3-4 Direct N20'!A1", "4.6.1.3-4 Direct N2O")</f>
        <v>4.6.1.3-4 Direct N2O</v>
      </c>
      <c r="D13" s="6" t="s">
        <v>127</v>
      </c>
      <c r="R13" s="38"/>
    </row>
    <row r="14" spans="1:23" ht="20.100000000000001" customHeight="1" x14ac:dyDescent="0.25">
      <c r="A14" s="17" t="str">
        <f>HYPERLINK("#'4.6.1.5-6 Atmos Dep'!A1", "4.6.1.5-6 Atmospheric deposition")</f>
        <v>4.6.1.5-6 Atmospheric deposition</v>
      </c>
      <c r="R14" s="38"/>
    </row>
    <row r="15" spans="1:23" ht="20.100000000000001" customHeight="1" x14ac:dyDescent="0.25">
      <c r="A15" s="17" t="str">
        <f>HYPERLINK("#'4.6.1.7-8 Leaching and runoff'!A1", "4.6.1.7-8 Leaching &amp; runoff")</f>
        <v>4.6.1.7-8 Leaching &amp; runoff</v>
      </c>
      <c r="D15" s="62" t="s">
        <v>147</v>
      </c>
      <c r="E15" s="111" t="s">
        <v>196</v>
      </c>
      <c r="F15" s="111" t="s">
        <v>197</v>
      </c>
      <c r="G15" s="111" t="s">
        <v>209</v>
      </c>
      <c r="H15" s="111" t="s">
        <v>210</v>
      </c>
      <c r="R15" s="38"/>
    </row>
    <row r="16" spans="1:23" ht="20.100000000000001" customHeight="1" x14ac:dyDescent="0.25">
      <c r="A16" s="17" t="str">
        <f>HYPERLINK("#'4.6.1.9 Manure applied to soils'!A1", "4.6.1.9 Manure applied to soils")</f>
        <v>4.6.1.9 Manure applied to soils</v>
      </c>
      <c r="D16" s="1" t="s">
        <v>212</v>
      </c>
      <c r="E16" s="52">
        <f>'Constants - Poultry'!E9</f>
        <v>8.5999999999999993E-2</v>
      </c>
      <c r="F16" s="52">
        <f>'Constants - Poultry'!F9</f>
        <v>9.2999999999999999E-2</v>
      </c>
      <c r="G16" s="52">
        <f>'Constants - Poultry'!G9</f>
        <v>0.10299999999999999</v>
      </c>
      <c r="H16" s="52">
        <f>'Constants - Poultry'!H9</f>
        <v>9.2999999999999999E-2</v>
      </c>
      <c r="I16" s="2" t="s">
        <v>214</v>
      </c>
      <c r="J16" s="2"/>
      <c r="R16" s="38"/>
    </row>
    <row r="17" spans="1:18" ht="20.100000000000001" customHeight="1" x14ac:dyDescent="0.25">
      <c r="A17" s="17" t="str">
        <f>HYPERLINK("#'4.6.1.10-11 Soil direct N2O'!A1", "4.6.1.10-11 Soil direct N2O")</f>
        <v>4.6.1.10-11 Soil direct N2O</v>
      </c>
      <c r="D17" s="1" t="s">
        <v>213</v>
      </c>
      <c r="E17" s="52">
        <f>'Constants - Poultry'!E10</f>
        <v>0.8</v>
      </c>
      <c r="F17" s="52">
        <f>'Constants - Poultry'!F10</f>
        <v>0.8</v>
      </c>
      <c r="G17" s="52">
        <f>'Constants - Poultry'!G10</f>
        <v>0.8</v>
      </c>
      <c r="H17" s="52">
        <f>'Constants - Poultry'!H10</f>
        <v>0.8</v>
      </c>
      <c r="I17" s="2" t="s">
        <v>113</v>
      </c>
      <c r="J17" s="2"/>
      <c r="R17" s="7"/>
    </row>
    <row r="18" spans="1:18" ht="20.100000000000001" customHeight="1" x14ac:dyDescent="0.25">
      <c r="A18" s="17" t="str">
        <f>HYPERLINK("#'4.6.1.12-13 Soil atmos dep'!A1", "4.6.1.12-13 Soil Atm. deposition")</f>
        <v>4.6.1.12-13 Soil Atm. deposition</v>
      </c>
      <c r="D18" s="1" t="s">
        <v>242</v>
      </c>
      <c r="E18" s="52">
        <f>'Constants - Poultry'!E11</f>
        <v>0.19</v>
      </c>
      <c r="F18" s="52">
        <f>'Constants - Poultry'!F11</f>
        <v>0.23</v>
      </c>
      <c r="G18" s="52">
        <f>'Constants - Poultry'!G11</f>
        <v>0.19</v>
      </c>
      <c r="H18" s="52">
        <f>'Constants - Poultry'!H11</f>
        <v>0.23</v>
      </c>
      <c r="I18" s="2" t="s">
        <v>113</v>
      </c>
      <c r="J18" s="2"/>
      <c r="K18" s="2"/>
      <c r="R18" s="7"/>
    </row>
    <row r="19" spans="1:18" ht="20.100000000000001" customHeight="1" x14ac:dyDescent="0.25">
      <c r="A19" s="17" t="str">
        <f>HYPERLINK("#'4.6.1.14-15 Soil leach runoff'!A1", "4.6.1.14-15 Soil leach &amp; runoff")</f>
        <v>4.6.1.14-15 Soil leach &amp; runoff</v>
      </c>
      <c r="R19" s="7"/>
    </row>
    <row r="20" spans="1:18" ht="20.100000000000001" customHeight="1" x14ac:dyDescent="0.25">
      <c r="D20" s="62" t="s">
        <v>148</v>
      </c>
      <c r="E20" s="111" t="s">
        <v>196</v>
      </c>
      <c r="F20" s="111" t="s">
        <v>197</v>
      </c>
      <c r="G20" s="111" t="s">
        <v>209</v>
      </c>
      <c r="H20" s="111" t="s">
        <v>210</v>
      </c>
      <c r="R20" s="7"/>
    </row>
    <row r="21" spans="1:18" ht="20.100000000000001" customHeight="1" x14ac:dyDescent="0.25">
      <c r="A21" s="18" t="s">
        <v>2</v>
      </c>
      <c r="D21" s="1" t="s">
        <v>212</v>
      </c>
      <c r="E21" s="65">
        <f>'Constants - Poultry'!E9</f>
        <v>8.5999999999999993E-2</v>
      </c>
      <c r="F21" s="65">
        <f>'Constants - Poultry'!F9</f>
        <v>9.2999999999999999E-2</v>
      </c>
      <c r="G21" s="65">
        <f>'Constants - Poultry'!G9</f>
        <v>0.10299999999999999</v>
      </c>
      <c r="H21" s="65">
        <f>'Constants - Poultry'!H9</f>
        <v>9.2999999999999999E-2</v>
      </c>
      <c r="I21" s="2" t="s">
        <v>214</v>
      </c>
      <c r="J21" s="2"/>
      <c r="R21" s="7"/>
    </row>
    <row r="22" spans="1:18" ht="20.100000000000001" customHeight="1" x14ac:dyDescent="0.25">
      <c r="A22" s="17" t="str">
        <f>HYPERLINK("#'Constants - Poultry'!A1", "Constants - Poultry")</f>
        <v>Constants - Poultry</v>
      </c>
      <c r="D22" s="1" t="s">
        <v>213</v>
      </c>
      <c r="E22" s="65">
        <f>'Constants - Poultry'!E10</f>
        <v>0.8</v>
      </c>
      <c r="F22" s="65">
        <f>'Constants - Poultry'!F10</f>
        <v>0.8</v>
      </c>
      <c r="G22" s="65">
        <f>'Constants - Poultry'!G10</f>
        <v>0.8</v>
      </c>
      <c r="H22" s="65">
        <f>'Constants - Poultry'!H10</f>
        <v>0.8</v>
      </c>
      <c r="I22" s="2" t="s">
        <v>113</v>
      </c>
      <c r="J22" s="2"/>
      <c r="R22" s="7"/>
    </row>
    <row r="23" spans="1:18" ht="20.100000000000001" customHeight="1" x14ac:dyDescent="0.25">
      <c r="A23" s="17" t="str">
        <f>HYPERLINK("#'Constants - Livestock'!A1", "Constants - Livestock")</f>
        <v>Constants - Livestock</v>
      </c>
      <c r="D23" s="1" t="s">
        <v>242</v>
      </c>
      <c r="E23" s="65">
        <f>'Constants - Poultry'!E11</f>
        <v>0.19</v>
      </c>
      <c r="F23" s="65">
        <f>'Constants - Poultry'!F11</f>
        <v>0.23</v>
      </c>
      <c r="G23" s="65">
        <f>'Constants - Poultry'!G11</f>
        <v>0.19</v>
      </c>
      <c r="H23" s="65">
        <f>'Constants - Poultry'!H11</f>
        <v>0.23</v>
      </c>
      <c r="I23" s="2" t="s">
        <v>113</v>
      </c>
      <c r="J23" s="2"/>
      <c r="R23" s="7"/>
    </row>
    <row r="24" spans="1:18" ht="20.100000000000001" customHeight="1" x14ac:dyDescent="0.25">
      <c r="A24" s="17" t="str">
        <f>HYPERLINK("#'Constants - Common'!A1", "Constants - Common")</f>
        <v>Constants - Common</v>
      </c>
      <c r="R24" s="7"/>
    </row>
    <row r="25" spans="1:18" ht="20.100000000000001" customHeight="1" x14ac:dyDescent="0.25">
      <c r="A25" s="17"/>
      <c r="D25" s="6" t="s">
        <v>135</v>
      </c>
      <c r="R25" s="7"/>
    </row>
    <row r="26" spans="1:18" ht="20.100000000000001" customHeight="1" x14ac:dyDescent="0.25">
      <c r="R26" s="7"/>
    </row>
    <row r="27" spans="1:18" ht="20.100000000000001" customHeight="1" x14ac:dyDescent="0.25">
      <c r="D27" s="1" t="s">
        <v>107</v>
      </c>
      <c r="E27" s="39" t="s">
        <v>362</v>
      </c>
      <c r="F27" s="2" t="s">
        <v>9</v>
      </c>
      <c r="G27" s="1" t="s">
        <v>363</v>
      </c>
      <c r="R27" s="7"/>
    </row>
    <row r="28" spans="1:18" ht="20.100000000000001" customHeight="1" x14ac:dyDescent="0.25">
      <c r="A28" s="17"/>
      <c r="R28" s="7"/>
    </row>
    <row r="29" spans="1:18" ht="20.100000000000001" customHeight="1" x14ac:dyDescent="0.25">
      <c r="A29" s="17"/>
      <c r="D29" s="62" t="s">
        <v>136</v>
      </c>
      <c r="E29" s="111" t="s">
        <v>196</v>
      </c>
      <c r="F29" s="111" t="s">
        <v>197</v>
      </c>
      <c r="G29" s="111" t="s">
        <v>209</v>
      </c>
      <c r="H29" s="111" t="s">
        <v>210</v>
      </c>
      <c r="R29" s="7"/>
    </row>
    <row r="30" spans="1:18" ht="20.100000000000001" customHeight="1" x14ac:dyDescent="0.25">
      <c r="A30" s="17"/>
      <c r="D30" s="117" t="str">
        <f>'Constants - Poultry'!G29</f>
        <v>Poultry manure with bedding</v>
      </c>
      <c r="E30" s="46">
        <v>0.3</v>
      </c>
      <c r="F30" s="46">
        <v>0.3</v>
      </c>
      <c r="G30" s="46">
        <v>0.3</v>
      </c>
      <c r="H30" s="46">
        <v>0.3</v>
      </c>
      <c r="I30" s="2" t="s">
        <v>16</v>
      </c>
      <c r="J30" s="2"/>
      <c r="R30" s="7"/>
    </row>
    <row r="31" spans="1:18" ht="20.100000000000001" customHeight="1" x14ac:dyDescent="0.25">
      <c r="A31" s="66"/>
      <c r="D31" s="117" t="str">
        <f>'Constants - Poultry'!G30</f>
        <v>Belt manure removal</v>
      </c>
      <c r="E31" s="46">
        <v>0.3</v>
      </c>
      <c r="F31" s="46">
        <v>0.3</v>
      </c>
      <c r="G31" s="46">
        <v>0.3</v>
      </c>
      <c r="H31" s="46">
        <v>0.3</v>
      </c>
      <c r="I31" s="2" t="s">
        <v>16</v>
      </c>
      <c r="J31" s="2"/>
      <c r="R31" s="7"/>
    </row>
    <row r="32" spans="1:18" ht="20.100000000000001" customHeight="1" x14ac:dyDescent="0.25">
      <c r="A32" s="66"/>
      <c r="D32" s="117" t="str">
        <f>'Constants - Poultry'!G31</f>
        <v>Manure stored in house</v>
      </c>
      <c r="E32" s="46">
        <v>0.3</v>
      </c>
      <c r="F32" s="46">
        <v>0.3</v>
      </c>
      <c r="G32" s="46">
        <v>0.3</v>
      </c>
      <c r="H32" s="46">
        <v>0.3</v>
      </c>
      <c r="I32" s="2" t="s">
        <v>16</v>
      </c>
      <c r="J32" s="2"/>
      <c r="R32" s="7"/>
    </row>
    <row r="33" spans="1:18" ht="20.100000000000001" customHeight="1" x14ac:dyDescent="0.25">
      <c r="A33" s="17"/>
      <c r="D33" s="117" t="str">
        <f>'Constants - Poultry'!G32</f>
        <v>Pasture range and paddock</v>
      </c>
      <c r="E33" s="46">
        <v>0.1</v>
      </c>
      <c r="F33" s="46">
        <v>0.1</v>
      </c>
      <c r="G33" s="46">
        <v>0.1</v>
      </c>
      <c r="H33" s="46">
        <v>0.1</v>
      </c>
      <c r="I33" s="2" t="s">
        <v>16</v>
      </c>
      <c r="J33" s="2"/>
      <c r="R33" s="7"/>
    </row>
    <row r="34" spans="1:18" ht="20.100000000000001" customHeight="1" x14ac:dyDescent="0.25">
      <c r="D34" s="116" t="s">
        <v>137</v>
      </c>
      <c r="E34" s="96">
        <f>SUM(E30,E31,E32,E33)</f>
        <v>0.99999999999999989</v>
      </c>
      <c r="F34" s="96">
        <f>SUM(F30,F31,F32,F33)</f>
        <v>0.99999999999999989</v>
      </c>
      <c r="G34" s="96">
        <f>SUM(G30,G31,G32,G33)</f>
        <v>0.99999999999999989</v>
      </c>
      <c r="H34" s="96">
        <f>SUM(H30,H31,H32,H33)</f>
        <v>0.99999999999999989</v>
      </c>
      <c r="I34" s="2"/>
      <c r="J34" s="2"/>
      <c r="R34" s="7"/>
    </row>
    <row r="35" spans="1:18" ht="20.100000000000001" customHeight="1" x14ac:dyDescent="0.25">
      <c r="D35" s="123" t="s">
        <v>144</v>
      </c>
      <c r="R35" s="7"/>
    </row>
    <row r="36" spans="1:18" ht="20.100000000000001" customHeight="1" x14ac:dyDescent="0.25">
      <c r="D36" s="119" t="s">
        <v>138</v>
      </c>
      <c r="E36" s="111" t="s">
        <v>196</v>
      </c>
      <c r="F36" s="111" t="s">
        <v>197</v>
      </c>
      <c r="G36" s="111" t="s">
        <v>209</v>
      </c>
      <c r="H36" s="111" t="s">
        <v>210</v>
      </c>
      <c r="I36" s="124" t="s">
        <v>145</v>
      </c>
      <c r="J36" s="124"/>
      <c r="K36" s="62" t="s">
        <v>140</v>
      </c>
      <c r="L36" s="62"/>
      <c r="M36" s="112"/>
      <c r="R36" s="7"/>
    </row>
    <row r="37" spans="1:18"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K37" s="122" t="s">
        <v>141</v>
      </c>
      <c r="L37" s="122" t="s">
        <v>142</v>
      </c>
      <c r="M37" s="122" t="s">
        <v>143</v>
      </c>
      <c r="R37" s="7"/>
    </row>
    <row r="38" spans="1:18" ht="20.100000000000001" customHeight="1" x14ac:dyDescent="0.25">
      <c r="D38" s="121" t="str">
        <f>'Constants - Poultry'!$J$29</f>
        <v>Solid storage</v>
      </c>
      <c r="E38" s="46">
        <v>0.2</v>
      </c>
      <c r="F38" s="46">
        <v>0.2</v>
      </c>
      <c r="G38" s="46">
        <v>0.2</v>
      </c>
      <c r="H38" s="46">
        <v>0.2</v>
      </c>
      <c r="I38" s="2" t="s">
        <v>16</v>
      </c>
      <c r="J38" s="2"/>
      <c r="K38" s="46">
        <v>0.25</v>
      </c>
      <c r="L38" s="46">
        <v>0.25</v>
      </c>
      <c r="M38" s="96">
        <f t="shared" ref="M38:M40" si="0">1-SUM(K38:L38)</f>
        <v>0.5</v>
      </c>
      <c r="R38" s="7"/>
    </row>
    <row r="39" spans="1:18" ht="20.100000000000001" customHeight="1" x14ac:dyDescent="0.25">
      <c r="A39" s="17"/>
      <c r="D39" s="121" t="str">
        <f>'Constants - Poultry'!$J$30</f>
        <v>Composting (passive windrow)</v>
      </c>
      <c r="E39" s="46">
        <v>0.2</v>
      </c>
      <c r="F39" s="46">
        <v>0.2</v>
      </c>
      <c r="G39" s="46">
        <v>0.2</v>
      </c>
      <c r="H39" s="46">
        <v>0.2</v>
      </c>
      <c r="I39" s="2" t="s">
        <v>16</v>
      </c>
      <c r="J39" s="2"/>
      <c r="K39" s="46">
        <v>0.25</v>
      </c>
      <c r="L39" s="46">
        <v>0.25</v>
      </c>
      <c r="M39" s="96">
        <f t="shared" si="0"/>
        <v>0.5</v>
      </c>
      <c r="R39" s="7"/>
    </row>
    <row r="40" spans="1:18" ht="20.100000000000001" customHeight="1" x14ac:dyDescent="0.25">
      <c r="D40" s="121" t="str">
        <f>'Constants - Poultry'!$J$31</f>
        <v>Digester / covered lagoons</v>
      </c>
      <c r="E40" s="46">
        <v>0.2</v>
      </c>
      <c r="F40" s="46">
        <v>0.2</v>
      </c>
      <c r="G40" s="46">
        <v>0.2</v>
      </c>
      <c r="H40" s="46">
        <v>0.2</v>
      </c>
      <c r="I40" s="2" t="s">
        <v>16</v>
      </c>
      <c r="J40" s="2"/>
      <c r="K40" s="46">
        <v>0.25</v>
      </c>
      <c r="L40" s="46">
        <v>0.25</v>
      </c>
      <c r="M40" s="96">
        <f t="shared" si="0"/>
        <v>0.5</v>
      </c>
      <c r="R40" s="7"/>
    </row>
    <row r="41" spans="1:18" ht="20.100000000000001" customHeight="1" x14ac:dyDescent="0.25">
      <c r="A41" s="44"/>
      <c r="D41" s="121" t="str">
        <f>'Constants - Poultry'!$J$32</f>
        <v>Direct processing</v>
      </c>
      <c r="E41" s="46">
        <v>0.2</v>
      </c>
      <c r="F41" s="46">
        <v>0.2</v>
      </c>
      <c r="G41" s="46">
        <v>0.2</v>
      </c>
      <c r="H41" s="46">
        <v>0.2</v>
      </c>
      <c r="I41" s="2" t="s">
        <v>16</v>
      </c>
      <c r="J41" s="2"/>
      <c r="K41" s="46">
        <v>0.25</v>
      </c>
      <c r="L41" s="46">
        <v>0.25</v>
      </c>
      <c r="M41" s="96">
        <f t="shared" ref="M41:M42" si="1">1-SUM(K41:L41)</f>
        <v>0.5</v>
      </c>
      <c r="R41" s="7"/>
    </row>
    <row r="42" spans="1:18" ht="20.100000000000001" customHeight="1" x14ac:dyDescent="0.25">
      <c r="D42" s="121" t="str">
        <f>'Constants - Poultry'!$J$33</f>
        <v>Direct application</v>
      </c>
      <c r="E42" s="96">
        <f>1-SUM(E38:E41)</f>
        <v>0.19999999999999996</v>
      </c>
      <c r="F42" s="96">
        <f t="shared" ref="F42:H42" si="2">1-SUM(F38:F41)</f>
        <v>0.19999999999999996</v>
      </c>
      <c r="G42" s="96">
        <f t="shared" si="2"/>
        <v>0.19999999999999996</v>
      </c>
      <c r="H42" s="96">
        <f t="shared" si="2"/>
        <v>0.19999999999999996</v>
      </c>
      <c r="I42" s="2" t="s">
        <v>16</v>
      </c>
      <c r="J42" s="2"/>
      <c r="K42" s="96">
        <v>0</v>
      </c>
      <c r="L42" s="96">
        <v>0</v>
      </c>
      <c r="M42" s="96">
        <f t="shared" si="1"/>
        <v>1</v>
      </c>
      <c r="R42" s="7"/>
    </row>
    <row r="43" spans="1:18" ht="20.100000000000001" customHeight="1" x14ac:dyDescent="0.25">
      <c r="D43" s="118"/>
      <c r="F43" s="2"/>
      <c r="R43" s="7"/>
    </row>
    <row r="44" spans="1:18"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K44" s="122" t="s">
        <v>141</v>
      </c>
      <c r="L44" s="122" t="s">
        <v>142</v>
      </c>
      <c r="M44" s="122" t="s">
        <v>143</v>
      </c>
      <c r="R44" s="7"/>
    </row>
    <row r="45" spans="1:18" ht="20.100000000000001" customHeight="1" x14ac:dyDescent="0.25">
      <c r="D45" s="121" t="str">
        <f>'Constants - Poultry'!$J$29</f>
        <v>Solid storage</v>
      </c>
      <c r="E45" s="46">
        <v>0.2</v>
      </c>
      <c r="F45" s="46">
        <v>0.2</v>
      </c>
      <c r="G45" s="46">
        <v>0.2</v>
      </c>
      <c r="H45" s="46">
        <v>0.2</v>
      </c>
      <c r="I45" s="2" t="s">
        <v>16</v>
      </c>
      <c r="J45" s="2"/>
      <c r="K45" s="46">
        <v>0.25</v>
      </c>
      <c r="L45" s="46">
        <v>0.25</v>
      </c>
      <c r="M45" s="96">
        <f>1-SUM(K45:L45)</f>
        <v>0.5</v>
      </c>
      <c r="R45" s="7"/>
    </row>
    <row r="46" spans="1:18" ht="20.100000000000001" customHeight="1" x14ac:dyDescent="0.25">
      <c r="D46" s="121" t="str">
        <f>'Constants - Poultry'!$J$30</f>
        <v>Composting (passive windrow)</v>
      </c>
      <c r="E46" s="46">
        <v>0.2</v>
      </c>
      <c r="F46" s="46">
        <v>0.2</v>
      </c>
      <c r="G46" s="46">
        <v>0.2</v>
      </c>
      <c r="H46" s="46">
        <v>0.2</v>
      </c>
      <c r="I46" s="2" t="s">
        <v>16</v>
      </c>
      <c r="J46" s="2"/>
      <c r="K46" s="46">
        <v>0.25</v>
      </c>
      <c r="L46" s="46">
        <v>0.25</v>
      </c>
      <c r="M46" s="96">
        <f t="shared" ref="M46:M49" si="3">1-SUM(K46:L46)</f>
        <v>0.5</v>
      </c>
      <c r="R46" s="7"/>
    </row>
    <row r="47" spans="1:18" ht="20.100000000000001" customHeight="1" x14ac:dyDescent="0.25">
      <c r="D47" s="121" t="str">
        <f>'Constants - Poultry'!$J$31</f>
        <v>Digester / covered lagoons</v>
      </c>
      <c r="E47" s="46">
        <v>0.2</v>
      </c>
      <c r="F47" s="46">
        <v>0.2</v>
      </c>
      <c r="G47" s="46">
        <v>0.2</v>
      </c>
      <c r="H47" s="46">
        <v>0.2</v>
      </c>
      <c r="I47" s="2" t="s">
        <v>16</v>
      </c>
      <c r="J47" s="2"/>
      <c r="K47" s="46">
        <v>0.25</v>
      </c>
      <c r="L47" s="46">
        <v>0.25</v>
      </c>
      <c r="M47" s="96">
        <f t="shared" si="3"/>
        <v>0.5</v>
      </c>
      <c r="R47" s="7"/>
    </row>
    <row r="48" spans="1:18" ht="20.100000000000001" customHeight="1" x14ac:dyDescent="0.25">
      <c r="D48" s="121" t="str">
        <f>'Constants - Poultry'!$J$32</f>
        <v>Direct processing</v>
      </c>
      <c r="E48" s="46">
        <v>0.2</v>
      </c>
      <c r="F48" s="46">
        <v>0.2</v>
      </c>
      <c r="G48" s="46">
        <v>0.2</v>
      </c>
      <c r="H48" s="46">
        <v>0.2</v>
      </c>
      <c r="I48" s="2" t="s">
        <v>16</v>
      </c>
      <c r="J48" s="2"/>
      <c r="K48" s="46">
        <v>0.25</v>
      </c>
      <c r="L48" s="46">
        <v>0.25</v>
      </c>
      <c r="M48" s="96">
        <f t="shared" si="3"/>
        <v>0.5</v>
      </c>
      <c r="R48" s="7"/>
    </row>
    <row r="49" spans="4:18" ht="20.100000000000001" customHeight="1" x14ac:dyDescent="0.25">
      <c r="D49" s="121" t="str">
        <f>'Constants - Poultry'!$J$33</f>
        <v>Direct application</v>
      </c>
      <c r="E49" s="96">
        <f>1-SUM(E45:E48)</f>
        <v>0.19999999999999996</v>
      </c>
      <c r="F49" s="96">
        <f t="shared" ref="F49:H49" si="4">1-SUM(F45:F48)</f>
        <v>0.19999999999999996</v>
      </c>
      <c r="G49" s="96">
        <f t="shared" si="4"/>
        <v>0.19999999999999996</v>
      </c>
      <c r="H49" s="96">
        <f t="shared" si="4"/>
        <v>0.19999999999999996</v>
      </c>
      <c r="K49" s="96">
        <v>0</v>
      </c>
      <c r="L49" s="96">
        <v>0</v>
      </c>
      <c r="M49" s="96">
        <f t="shared" si="3"/>
        <v>1</v>
      </c>
      <c r="R49" s="7"/>
    </row>
    <row r="50" spans="4:18" ht="20.100000000000001" customHeight="1" x14ac:dyDescent="0.25">
      <c r="R50" s="7"/>
    </row>
    <row r="51" spans="4:18"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K51" s="122" t="s">
        <v>141</v>
      </c>
      <c r="L51" s="122" t="s">
        <v>142</v>
      </c>
      <c r="M51" s="122" t="s">
        <v>143</v>
      </c>
      <c r="R51" s="7"/>
    </row>
    <row r="52" spans="4:18" ht="20.100000000000001" customHeight="1" x14ac:dyDescent="0.25">
      <c r="D52" s="121" t="str">
        <f>'Constants - Poultry'!$J$29</f>
        <v>Solid storage</v>
      </c>
      <c r="E52" s="46">
        <v>0.2</v>
      </c>
      <c r="F52" s="46">
        <v>0.2</v>
      </c>
      <c r="G52" s="46">
        <v>0.2</v>
      </c>
      <c r="H52" s="46">
        <v>0.2</v>
      </c>
      <c r="I52" s="2" t="s">
        <v>16</v>
      </c>
      <c r="J52" s="2"/>
      <c r="K52" s="46">
        <v>0.25</v>
      </c>
      <c r="L52" s="46">
        <v>0.25</v>
      </c>
      <c r="M52" s="96">
        <f>1-SUM(K52:L52)</f>
        <v>0.5</v>
      </c>
      <c r="R52" s="7"/>
    </row>
    <row r="53" spans="4:18" ht="20.100000000000001" customHeight="1" x14ac:dyDescent="0.25">
      <c r="D53" s="121" t="str">
        <f>'Constants - Poultry'!$J$30</f>
        <v>Composting (passive windrow)</v>
      </c>
      <c r="E53" s="46">
        <v>0.2</v>
      </c>
      <c r="F53" s="46">
        <v>0.2</v>
      </c>
      <c r="G53" s="46">
        <v>0.2</v>
      </c>
      <c r="H53" s="46">
        <v>0.2</v>
      </c>
      <c r="I53" s="2" t="s">
        <v>16</v>
      </c>
      <c r="J53" s="2"/>
      <c r="K53" s="46">
        <v>0.25</v>
      </c>
      <c r="L53" s="46">
        <v>0.25</v>
      </c>
      <c r="M53" s="96">
        <f>1-SUM(K53:L53)</f>
        <v>0.5</v>
      </c>
      <c r="R53" s="7"/>
    </row>
    <row r="54" spans="4:18" ht="20.100000000000001" customHeight="1" x14ac:dyDescent="0.25">
      <c r="D54" s="121" t="str">
        <f>'Constants - Poultry'!$J$31</f>
        <v>Digester / covered lagoons</v>
      </c>
      <c r="E54" s="46">
        <v>0.2</v>
      </c>
      <c r="F54" s="46">
        <v>0.2</v>
      </c>
      <c r="G54" s="46">
        <v>0.2</v>
      </c>
      <c r="H54" s="46">
        <v>0.2</v>
      </c>
      <c r="I54" s="2" t="s">
        <v>16</v>
      </c>
      <c r="J54" s="2"/>
      <c r="K54" s="46">
        <v>0.25</v>
      </c>
      <c r="L54" s="46">
        <v>0.25</v>
      </c>
      <c r="M54" s="96">
        <f>1-SUM(K54:L54)</f>
        <v>0.5</v>
      </c>
      <c r="R54" s="7"/>
    </row>
    <row r="55" spans="4:18" ht="20.100000000000001" customHeight="1" x14ac:dyDescent="0.25">
      <c r="D55" s="121" t="str">
        <f>'Constants - Poultry'!$J$32</f>
        <v>Direct processing</v>
      </c>
      <c r="E55" s="46">
        <v>0.2</v>
      </c>
      <c r="F55" s="46">
        <v>0.2</v>
      </c>
      <c r="G55" s="46">
        <v>0.2</v>
      </c>
      <c r="H55" s="46">
        <v>0.2</v>
      </c>
      <c r="I55" s="2" t="s">
        <v>16</v>
      </c>
      <c r="J55" s="2"/>
      <c r="K55" s="46">
        <v>0.25</v>
      </c>
      <c r="L55" s="46">
        <v>0.25</v>
      </c>
      <c r="M55" s="96">
        <f t="shared" ref="M55:M56" si="5">1-SUM(K55:L55)</f>
        <v>0.5</v>
      </c>
      <c r="R55" s="7"/>
    </row>
    <row r="56" spans="4:18" ht="20.100000000000001" customHeight="1" x14ac:dyDescent="0.25">
      <c r="D56" s="121" t="str">
        <f>'Constants - Poultry'!$J$33</f>
        <v>Direct application</v>
      </c>
      <c r="E56" s="96">
        <f>1-SUM(E52:E55)</f>
        <v>0.19999999999999996</v>
      </c>
      <c r="F56" s="96">
        <f t="shared" ref="F56:H56" si="6">1-SUM(F52:F55)</f>
        <v>0.19999999999999996</v>
      </c>
      <c r="G56" s="96">
        <f t="shared" si="6"/>
        <v>0.19999999999999996</v>
      </c>
      <c r="H56" s="96">
        <f t="shared" si="6"/>
        <v>0.19999999999999996</v>
      </c>
      <c r="I56" s="2" t="s">
        <v>16</v>
      </c>
      <c r="J56" s="2"/>
      <c r="K56" s="96">
        <v>0</v>
      </c>
      <c r="L56" s="96">
        <v>0</v>
      </c>
      <c r="M56" s="96">
        <f t="shared" si="5"/>
        <v>1</v>
      </c>
      <c r="R56" s="7"/>
    </row>
    <row r="57" spans="4:18" ht="20.100000000000001" customHeight="1" x14ac:dyDescent="0.25">
      <c r="R57" s="7"/>
    </row>
    <row r="58" spans="4:18" ht="20.100000000000001" customHeight="1" x14ac:dyDescent="0.25">
      <c r="D58" s="116"/>
      <c r="R58" s="7"/>
    </row>
    <row r="59" spans="4:18" ht="20.100000000000001" customHeight="1" x14ac:dyDescent="0.25">
      <c r="D59" s="1" t="s">
        <v>158</v>
      </c>
      <c r="E59" s="39" t="s">
        <v>126</v>
      </c>
      <c r="F59" s="2" t="s">
        <v>9</v>
      </c>
      <c r="R59" s="7"/>
    </row>
    <row r="60" spans="4:18" ht="20.100000000000001" customHeight="1" x14ac:dyDescent="0.25">
      <c r="E60" s="39" t="s">
        <v>108</v>
      </c>
      <c r="F60" s="2" t="s">
        <v>9</v>
      </c>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c r="R65" s="7"/>
    </row>
    <row r="66" spans="18:18" ht="20.100000000000001" customHeight="1" x14ac:dyDescent="0.25">
      <c r="R66" s="7"/>
    </row>
    <row r="67" spans="18:18" ht="20.100000000000001" customHeight="1" x14ac:dyDescent="0.25">
      <c r="R67" s="7"/>
    </row>
    <row r="68" spans="18:18" ht="20.100000000000001" customHeight="1" x14ac:dyDescent="0.25">
      <c r="R68" s="7"/>
    </row>
    <row r="69" spans="18:18" ht="20.100000000000001" customHeight="1" x14ac:dyDescent="0.25">
      <c r="R69" s="7"/>
    </row>
    <row r="70" spans="18:18" ht="20.100000000000001" customHeight="1" x14ac:dyDescent="0.25">
      <c r="R70" s="7"/>
    </row>
    <row r="71" spans="18:18" ht="20.100000000000001" customHeight="1" x14ac:dyDescent="0.25">
      <c r="R71" s="7"/>
    </row>
    <row r="72" spans="18:18" ht="20.100000000000001" customHeight="1" x14ac:dyDescent="0.25">
      <c r="R72" s="7"/>
    </row>
    <row r="73" spans="18:18" ht="20.100000000000001" customHeight="1" x14ac:dyDescent="0.25">
      <c r="R73" s="7"/>
    </row>
    <row r="74" spans="18:18" ht="20.100000000000001" customHeight="1" x14ac:dyDescent="0.25">
      <c r="R74" s="7"/>
    </row>
    <row r="75" spans="18:18" ht="20.100000000000001" customHeight="1" x14ac:dyDescent="0.25">
      <c r="R75" s="7"/>
    </row>
    <row r="76" spans="18:18" ht="20.100000000000001" customHeight="1" x14ac:dyDescent="0.25">
      <c r="R76" s="7"/>
    </row>
    <row r="77" spans="18:18" ht="20.100000000000001" customHeight="1" x14ac:dyDescent="0.25">
      <c r="R77" s="7"/>
    </row>
    <row r="78" spans="18:18" ht="20.100000000000001" customHeight="1" x14ac:dyDescent="0.25">
      <c r="R78" s="7"/>
    </row>
    <row r="79" spans="18:18" ht="20.100000000000001" customHeight="1" x14ac:dyDescent="0.25">
      <c r="R79" s="7"/>
    </row>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4:18" ht="20.100000000000001" customHeight="1" x14ac:dyDescent="0.25">
      <c r="R97" s="7"/>
    </row>
    <row r="98" spans="14:18" ht="20.100000000000001" customHeight="1" x14ac:dyDescent="0.25">
      <c r="R98" s="7"/>
    </row>
    <row r="99" spans="14:18" ht="20.100000000000001" customHeight="1" x14ac:dyDescent="0.25">
      <c r="R99" s="7"/>
    </row>
    <row r="100" spans="14:18" ht="20.100000000000001" customHeight="1" x14ac:dyDescent="0.25">
      <c r="R100" s="7"/>
    </row>
    <row r="101" spans="14:18" ht="20.100000000000001" customHeight="1" x14ac:dyDescent="0.25">
      <c r="R101" s="7"/>
    </row>
    <row r="102" spans="14:18" ht="20.100000000000001" customHeight="1" x14ac:dyDescent="0.25">
      <c r="R102" s="7"/>
    </row>
    <row r="103" spans="14:18" ht="20.100000000000001" customHeight="1" x14ac:dyDescent="0.25">
      <c r="R103" s="7"/>
    </row>
    <row r="104" spans="14:18" ht="20.100000000000001" customHeight="1" x14ac:dyDescent="0.25">
      <c r="R104" s="7"/>
    </row>
    <row r="105" spans="14:18" ht="20.100000000000001" customHeight="1" x14ac:dyDescent="0.25">
      <c r="R105" s="7"/>
    </row>
    <row r="106" spans="14:18" ht="20.100000000000001" customHeight="1" x14ac:dyDescent="0.25">
      <c r="R106" s="7"/>
    </row>
    <row r="107" spans="14:18" ht="20.100000000000001" customHeight="1" x14ac:dyDescent="0.25"/>
    <row r="108" spans="14:18" ht="20.100000000000001" customHeight="1" x14ac:dyDescent="0.25">
      <c r="N108" s="3"/>
    </row>
    <row r="109" spans="14:18" ht="20.100000000000001" customHeight="1" x14ac:dyDescent="0.25">
      <c r="N109" s="3"/>
    </row>
    <row r="110" spans="14:18" ht="20.100000000000001" customHeight="1" x14ac:dyDescent="0.25">
      <c r="N110" s="3"/>
    </row>
    <row r="111" spans="14:18" ht="20.100000000000001" customHeight="1" x14ac:dyDescent="0.25">
      <c r="N111" s="3"/>
    </row>
    <row r="112" spans="1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4"/>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J34">
    <cfRule type="cellIs" dxfId="17" priority="55" operator="lessThan">
      <formula>0</formula>
    </cfRule>
  </conditionalFormatting>
  <conditionalFormatting sqref="I38:J42 O43:P43 I60:J60 N101 I119:K119 L180:M180 L184:M185 L188:M189 L194:M195 L198:M198 I199:M199 I205:M205">
    <cfRule type="cellIs" dxfId="16" priority="74" operator="lessThan">
      <formula>0</formula>
    </cfRule>
  </conditionalFormatting>
  <conditionalFormatting sqref="I45:J49">
    <cfRule type="cellIs" dxfId="15" priority="6" operator="lessThan">
      <formula>0</formula>
    </cfRule>
  </conditionalFormatting>
  <conditionalFormatting sqref="I52:J56">
    <cfRule type="cellIs" dxfId="14" priority="5" operator="lessThan">
      <formula>0</formula>
    </cfRule>
  </conditionalFormatting>
  <conditionalFormatting sqref="I71:J73">
    <cfRule type="cellIs" dxfId="13" priority="4" operator="lessThan">
      <formula>0</formula>
    </cfRule>
  </conditionalFormatting>
  <conditionalFormatting sqref="I77:J80">
    <cfRule type="cellIs" dxfId="12" priority="3" operator="lessThan">
      <formula>0</formula>
    </cfRule>
  </conditionalFormatting>
  <conditionalFormatting sqref="I84:J88">
    <cfRule type="cellIs" dxfId="11" priority="1" operator="lessThan">
      <formula>0</formula>
    </cfRule>
  </conditionalFormatting>
  <conditionalFormatting sqref="K147">
    <cfRule type="cellIs" dxfId="10" priority="24" operator="lessThan">
      <formula>0</formula>
    </cfRule>
  </conditionalFormatting>
  <conditionalFormatting sqref="M113:M116">
    <cfRule type="cellIs" dxfId="9" priority="11" operator="lessThan">
      <formula>0</formula>
    </cfRule>
  </conditionalFormatting>
  <conditionalFormatting sqref="M119">
    <cfRule type="cellIs" dxfId="8" priority="17" operator="lessThan">
      <formula>0</formula>
    </cfRule>
  </conditionalFormatting>
  <conditionalFormatting sqref="M125:M128">
    <cfRule type="cellIs" dxfId="7" priority="10" operator="lessThan">
      <formula>0</formula>
    </cfRule>
  </conditionalFormatting>
  <conditionalFormatting sqref="M131">
    <cfRule type="cellIs" dxfId="6" priority="16" operator="lessThan">
      <formula>0</formula>
    </cfRule>
  </conditionalFormatting>
  <conditionalFormatting sqref="M137:M140">
    <cfRule type="cellIs" dxfId="5" priority="9" operator="lessThan">
      <formula>0</formula>
    </cfRule>
  </conditionalFormatting>
  <conditionalFormatting sqref="M143">
    <cfRule type="cellIs" dxfId="4" priority="15" operator="lessThan">
      <formula>0</formula>
    </cfRule>
  </conditionalFormatting>
  <conditionalFormatting sqref="M149:M152">
    <cfRule type="cellIs" dxfId="3" priority="8" operator="lessThan">
      <formula>0</formula>
    </cfRule>
  </conditionalFormatting>
  <conditionalFormatting sqref="M155">
    <cfRule type="cellIs" dxfId="2" priority="14" operator="lessThan">
      <formula>0</formula>
    </cfRule>
  </conditionalFormatting>
  <conditionalFormatting sqref="M159:M160">
    <cfRule type="cellIs" dxfId="1"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D84" zoomScaleNormal="100" workbookViewId="0">
      <selection activeCell="D121" sqref="D12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211</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24</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MMS_Poultry_Methane_Equations.VEERG_4_6_1_1__5_VolatileSolidProduction_Variable()</f>
        <v>VS_jk</v>
      </c>
    </row>
    <row r="11" spans="1:21" ht="20.100000000000001" customHeight="1" x14ac:dyDescent="0.25">
      <c r="A11" s="19" t="s">
        <v>72</v>
      </c>
      <c r="D11" s="53" t="s">
        <v>17</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215</v>
      </c>
      <c r="N17" s="98" t="s">
        <v>216</v>
      </c>
    </row>
    <row r="18" spans="1:18" ht="20.100000000000001" customHeight="1" x14ac:dyDescent="0.25">
      <c r="A18" s="17" t="str">
        <f>HYPERLINK("#'4.6.1.12-13 Soil atmos dep'!A1", "4.6.1.12-13 Soil Atm. deposition")</f>
        <v>4.6.1.12-13 Soil Atm. deposition</v>
      </c>
      <c r="D18" s="97" t="s">
        <v>218</v>
      </c>
      <c r="N18" s="97" t="s">
        <v>217</v>
      </c>
    </row>
    <row r="19" spans="1:18" ht="20.100000000000001" customHeight="1" x14ac:dyDescent="0.25">
      <c r="A19" s="17" t="str">
        <f>HYPERLINK("#'4.6.1.14-15 Soil leach runoff'!A1", "4.6.1.14-15 Soil leach &amp; runoff")</f>
        <v>4.6.1.14-15 Soil leach &amp; runoff</v>
      </c>
      <c r="D19" s="112" t="s">
        <v>196</v>
      </c>
      <c r="E19" s="112" t="s">
        <v>197</v>
      </c>
      <c r="F19" s="112" t="s">
        <v>209</v>
      </c>
      <c r="G19" s="112" t="s">
        <v>210</v>
      </c>
      <c r="N19" s="112" t="s">
        <v>196</v>
      </c>
      <c r="O19" s="112" t="s">
        <v>197</v>
      </c>
      <c r="P19" s="112" t="s">
        <v>209</v>
      </c>
      <c r="Q19" s="112" t="s">
        <v>210</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219</v>
      </c>
      <c r="N22" s="98" t="s">
        <v>367</v>
      </c>
    </row>
    <row r="23" spans="1:18" ht="20.100000000000001" customHeight="1" x14ac:dyDescent="0.25">
      <c r="A23" s="17" t="str">
        <f>HYPERLINK("#'Constants - Livestock'!A1", "Constants - Livestock")</f>
        <v>Constants - Livestock</v>
      </c>
      <c r="D23" s="97" t="s">
        <v>100</v>
      </c>
      <c r="N23" s="97" t="s">
        <v>366</v>
      </c>
    </row>
    <row r="24" spans="1:18" ht="20.100000000000001" customHeight="1" x14ac:dyDescent="0.25">
      <c r="A24" s="17" t="str">
        <f>HYPERLINK("#'Constants - Common'!A1", "Constants - Common")</f>
        <v>Constants - Common</v>
      </c>
      <c r="D24" s="112" t="s">
        <v>196</v>
      </c>
      <c r="E24" s="112" t="s">
        <v>197</v>
      </c>
      <c r="F24" s="112" t="s">
        <v>209</v>
      </c>
      <c r="G24" s="112" t="s">
        <v>210</v>
      </c>
      <c r="N24" s="112" t="s">
        <v>196</v>
      </c>
      <c r="O24" s="112" t="s">
        <v>197</v>
      </c>
      <c r="P24" s="112" t="s">
        <v>209</v>
      </c>
      <c r="Q24" s="112" t="s">
        <v>210</v>
      </c>
    </row>
    <row r="25" spans="1:18" ht="20.100000000000001" customHeight="1" x14ac:dyDescent="0.25">
      <c r="A25" s="17"/>
      <c r="D25" s="52">
        <f>'Input - Poultry'!E17</f>
        <v>0.8</v>
      </c>
      <c r="E25" s="52">
        <f>'Input - Poultry'!F17</f>
        <v>0.8</v>
      </c>
      <c r="F25" s="52">
        <f>'Input - Poultry'!G17</f>
        <v>0.8</v>
      </c>
      <c r="G25" s="52">
        <f>'Input - Poultry'!H17</f>
        <v>0.8</v>
      </c>
      <c r="H25" s="2" t="str">
        <f>$G$14</f>
        <v>fraction</v>
      </c>
      <c r="N25" s="52">
        <f>'Input - Poultry'!E22</f>
        <v>0.8</v>
      </c>
      <c r="O25" s="52">
        <f>'Input - Poultry'!F22</f>
        <v>0.8</v>
      </c>
      <c r="P25" s="52">
        <f>'Input - Poultry'!G22</f>
        <v>0.8</v>
      </c>
      <c r="Q25" s="52">
        <f>'Input - Poultry'!H22</f>
        <v>0.8</v>
      </c>
      <c r="R25" s="2" t="str">
        <f>$G$14</f>
        <v>fraction</v>
      </c>
    </row>
    <row r="26" spans="1:18" ht="20.100000000000001" customHeight="1" x14ac:dyDescent="0.25"/>
    <row r="27" spans="1:18" ht="20.100000000000001" customHeight="1" x14ac:dyDescent="0.25">
      <c r="D27" s="98" t="s">
        <v>220</v>
      </c>
    </row>
    <row r="28" spans="1:18" ht="20.100000000000001" customHeight="1" x14ac:dyDescent="0.25">
      <c r="D28" s="97" t="s">
        <v>221</v>
      </c>
    </row>
    <row r="29" spans="1:18" ht="20.100000000000001" customHeight="1" x14ac:dyDescent="0.25">
      <c r="D29" s="51" t="s">
        <v>196</v>
      </c>
      <c r="E29" s="51" t="s">
        <v>197</v>
      </c>
      <c r="F29" s="51" t="s">
        <v>209</v>
      </c>
      <c r="G29" s="51" t="s">
        <v>210</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222</v>
      </c>
      <c r="N32" s="98" t="s">
        <v>223</v>
      </c>
    </row>
    <row r="33" spans="3:21" ht="20.100000000000001" customHeight="1" x14ac:dyDescent="0.25">
      <c r="D33" s="97" t="s">
        <v>99</v>
      </c>
      <c r="N33" s="97" t="s">
        <v>101</v>
      </c>
    </row>
    <row r="34" spans="3:21" ht="20.100000000000001" customHeight="1" x14ac:dyDescent="0.25">
      <c r="D34" s="51" t="s">
        <v>196</v>
      </c>
      <c r="E34" s="51" t="s">
        <v>197</v>
      </c>
      <c r="F34" s="51" t="s">
        <v>209</v>
      </c>
      <c r="G34" s="51" t="s">
        <v>210</v>
      </c>
      <c r="N34" s="51" t="s">
        <v>196</v>
      </c>
      <c r="O34" s="51" t="s">
        <v>197</v>
      </c>
      <c r="P34" s="51" t="s">
        <v>209</v>
      </c>
      <c r="Q34" s="51" t="s">
        <v>210</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24</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27</v>
      </c>
      <c r="E47" s="1" t="str" cm="1">
        <f t="array" ref="E47">MMS_Poultry_Methane_Equations.VEERG_4_6_1_1__2_Stage1MethaneProduction_Variable()</f>
        <v>M_jkmT1</v>
      </c>
    </row>
    <row r="48" spans="3:21" ht="20.100000000000001" customHeight="1" x14ac:dyDescent="0.25">
      <c r="D48" s="53" t="s">
        <v>17</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'Constants - Common'!$D$175</f>
        <v>0.6784</v>
      </c>
      <c r="N54" s="141" t="str">
        <v>rho</v>
      </c>
      <c r="O54" s="144" t="str">
        <v>density of methane</v>
      </c>
      <c r="P54" s="143"/>
      <c r="Q54" s="141" t="str">
        <v>kg/m3</v>
      </c>
      <c r="R54" s="140" t="str">
        <v>Constant</v>
      </c>
      <c r="S54" s="141">
        <f>'Constants - Common'!$D$175</f>
        <v>0.6784</v>
      </c>
    </row>
    <row r="55" spans="4:19" ht="20.100000000000001" customHeight="1" x14ac:dyDescent="0.25">
      <c r="D55" s="141" t="str">
        <v>i</v>
      </c>
      <c r="E55" s="144" t="str">
        <v>state</v>
      </c>
      <c r="F55" s="143"/>
      <c r="G55" s="141" t="str">
        <v/>
      </c>
      <c r="H55" s="139" t="str">
        <v>Input</v>
      </c>
      <c r="I55" s="141" t="str">
        <f>'Input - Site'!$E$21</f>
        <v>Western Australia</v>
      </c>
      <c r="N55" s="141" t="str">
        <v>i</v>
      </c>
      <c r="O55" s="144" t="str">
        <v>mean annual temperature</v>
      </c>
      <c r="P55" s="143"/>
      <c r="Q55" s="141" t="str">
        <v>°C</v>
      </c>
      <c r="R55" s="139" t="str">
        <v>Input</v>
      </c>
      <c r="S55" s="141">
        <f>'Input - Site'!$E$25</f>
        <v>18</v>
      </c>
    </row>
    <row r="56" spans="4:19" ht="20.100000000000001" customHeight="1" x14ac:dyDescent="0.25"/>
    <row r="57" spans="4:19" ht="20.100000000000001" customHeight="1" x14ac:dyDescent="0.25">
      <c r="D57" s="98" t="s">
        <v>154</v>
      </c>
    </row>
    <row r="58" spans="4:19" ht="20.100000000000001" customHeight="1" x14ac:dyDescent="0.25">
      <c r="D58" s="97" t="s">
        <v>228</v>
      </c>
    </row>
    <row r="59" spans="4:19" ht="20.100000000000001" customHeight="1" x14ac:dyDescent="0.25">
      <c r="D59" s="112" t="s">
        <v>136</v>
      </c>
      <c r="E59" s="112" t="s">
        <v>196</v>
      </c>
      <c r="F59" s="112" t="s">
        <v>197</v>
      </c>
      <c r="G59" s="112" t="s">
        <v>209</v>
      </c>
      <c r="H59" s="112" t="s">
        <v>210</v>
      </c>
    </row>
    <row r="60" spans="4:19" ht="20.100000000000001" customHeight="1" x14ac:dyDescent="0.25">
      <c r="D60" s="52" t="str">
        <f>'Input - Poultry'!$D$30</f>
        <v>Poultry manure with bedding</v>
      </c>
      <c r="E60" s="52">
        <f>'Input - Poultry'!E30</f>
        <v>0.3</v>
      </c>
      <c r="F60" s="52">
        <f>'Input - Poultry'!F30</f>
        <v>0.3</v>
      </c>
      <c r="G60" s="52">
        <f>'Input - Poultry'!G30</f>
        <v>0.3</v>
      </c>
      <c r="H60" s="52">
        <f>'Input - Poultry'!H30</f>
        <v>0.3</v>
      </c>
      <c r="I60" s="2" t="str">
        <f>$G$52</f>
        <v>fraction</v>
      </c>
    </row>
    <row r="61" spans="4:19" ht="20.100000000000001" customHeight="1" x14ac:dyDescent="0.25">
      <c r="D61" s="52" t="str">
        <f>'Input - Poultry'!$D$31</f>
        <v>Belt manure removal</v>
      </c>
      <c r="E61" s="52">
        <f>'Input - Poultry'!E31</f>
        <v>0.3</v>
      </c>
      <c r="F61" s="52">
        <f>'Input - Poultry'!F31</f>
        <v>0.3</v>
      </c>
      <c r="G61" s="52">
        <f>'Input - Poultry'!G31</f>
        <v>0.3</v>
      </c>
      <c r="H61" s="52">
        <f>'Input - Poultry'!H31</f>
        <v>0.3</v>
      </c>
      <c r="I61" s="2"/>
    </row>
    <row r="62" spans="4:19" ht="20.100000000000001" customHeight="1" x14ac:dyDescent="0.25">
      <c r="D62" s="52" t="str">
        <f>'Input - Poultry'!$D$32</f>
        <v>Manure stored in house</v>
      </c>
      <c r="E62" s="52">
        <f>'Input - Poultry'!E32</f>
        <v>0.3</v>
      </c>
      <c r="F62" s="52">
        <f>'Input - Poultry'!F32</f>
        <v>0.3</v>
      </c>
      <c r="G62" s="52">
        <f>'Input - Poultry'!G32</f>
        <v>0.3</v>
      </c>
      <c r="H62" s="52">
        <f>'Input - Poultry'!H32</f>
        <v>0.3</v>
      </c>
      <c r="I62" s="2"/>
    </row>
    <row r="63" spans="4:19" ht="20.100000000000001" customHeight="1" x14ac:dyDescent="0.25">
      <c r="D63" s="52" t="str">
        <f>'Input - Poultry'!$D$33</f>
        <v>Pasture range and paddock</v>
      </c>
      <c r="E63" s="52">
        <f>'Input - Poultry'!E33</f>
        <v>0.1</v>
      </c>
      <c r="F63" s="52">
        <f>'Input - Poultry'!F33</f>
        <v>0.1</v>
      </c>
      <c r="G63" s="52">
        <f>'Input - Poultry'!G33</f>
        <v>0.1</v>
      </c>
      <c r="H63" s="52">
        <f>'Input - Poultry'!H33</f>
        <v>0.1</v>
      </c>
      <c r="I63" s="2"/>
    </row>
    <row r="64" spans="4:19" ht="20.100000000000001" customHeight="1" x14ac:dyDescent="0.25"/>
    <row r="65" spans="4:16" ht="20.100000000000001" customHeight="1" x14ac:dyDescent="0.25">
      <c r="D65" s="98" t="s">
        <v>224</v>
      </c>
      <c r="G65" s="13"/>
    </row>
    <row r="66" spans="4:16" ht="20.100000000000001" customHeight="1" x14ac:dyDescent="0.25">
      <c r="D66" s="97" t="s">
        <v>225</v>
      </c>
    </row>
    <row r="67" spans="4:16" ht="20.100000000000001" customHeight="1" x14ac:dyDescent="0.25">
      <c r="D67" s="51" t="s">
        <v>196</v>
      </c>
      <c r="E67" s="51" t="s">
        <v>197</v>
      </c>
      <c r="F67" s="51" t="s">
        <v>209</v>
      </c>
      <c r="G67" s="51" t="s">
        <v>210</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132</v>
      </c>
      <c r="N70" s="114" t="s">
        <v>132</v>
      </c>
    </row>
    <row r="71" spans="4:16" ht="20.100000000000001" customHeight="1" x14ac:dyDescent="0.25">
      <c r="D71" s="115" t="s">
        <v>133</v>
      </c>
      <c r="N71" s="115" t="s">
        <v>133</v>
      </c>
    </row>
    <row r="72" spans="4:16" ht="20.100000000000001" customHeight="1" x14ac:dyDescent="0.25">
      <c r="D72" s="51" t="s">
        <v>65</v>
      </c>
      <c r="E72" s="51" t="s">
        <v>93</v>
      </c>
      <c r="N72" s="51" t="s">
        <v>65</v>
      </c>
      <c r="O72" s="51" t="s">
        <v>93</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356</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356</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226</v>
      </c>
      <c r="N83" s="98" t="s">
        <v>365</v>
      </c>
    </row>
    <row r="84" spans="1:21" ht="20.100000000000001" customHeight="1" x14ac:dyDescent="0.25">
      <c r="D84" s="97" t="s">
        <v>227</v>
      </c>
      <c r="N84" s="97" t="s">
        <v>364</v>
      </c>
    </row>
    <row r="85" spans="1:21" ht="20.100000000000001" customHeight="1" x14ac:dyDescent="0.25">
      <c r="D85" s="51" t="s">
        <v>136</v>
      </c>
      <c r="E85" s="51" t="s">
        <v>196</v>
      </c>
      <c r="F85" s="51" t="s">
        <v>197</v>
      </c>
      <c r="G85" s="51" t="s">
        <v>209</v>
      </c>
      <c r="H85" s="51" t="s">
        <v>210</v>
      </c>
      <c r="N85" s="51" t="s">
        <v>136</v>
      </c>
      <c r="O85" s="51" t="s">
        <v>196</v>
      </c>
      <c r="P85" s="51" t="s">
        <v>197</v>
      </c>
      <c r="Q85" s="51" t="s">
        <v>209</v>
      </c>
      <c r="R85" s="51" t="s">
        <v>210</v>
      </c>
    </row>
    <row r="86" spans="1:21" ht="20.100000000000001" customHeight="1" x14ac:dyDescent="0.25">
      <c r="D86" s="52" t="str">
        <f>'Input - Poultry'!$D$30</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'Input - Poultry'!$D$30</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'Input - Poultry'!$D$31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'Input - Poultry'!$D$31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'Input - Poultry'!$D$32</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'Input - Poultry'!$D$32</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'Input - Poultry'!$D$33</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'Input - Poultry'!$D$33</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24</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27</v>
      </c>
      <c r="E98" s="1" t="str" cm="1">
        <f t="array" ref="E98">MMS_Poultry_Methane_Equations.VEERG_4_6_1_1__4_VolatileSolidsTransferred_Variable()</f>
        <v>VST_jk</v>
      </c>
    </row>
    <row r="99" spans="4:14" ht="20.100000000000001" customHeight="1" x14ac:dyDescent="0.25">
      <c r="D99" s="53" t="s">
        <v>17</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130</v>
      </c>
    </row>
    <row r="106" spans="4:14" ht="20.100000000000001" customHeight="1" x14ac:dyDescent="0.25">
      <c r="D106" s="134" t="s">
        <v>353</v>
      </c>
    </row>
    <row r="107" spans="4:14" ht="20.100000000000001" customHeight="1" x14ac:dyDescent="0.25">
      <c r="D107" s="51" t="s">
        <v>136</v>
      </c>
      <c r="E107" s="51" t="s">
        <v>229</v>
      </c>
    </row>
    <row r="108" spans="4:14" ht="20.100000000000001" customHeight="1" x14ac:dyDescent="0.25">
      <c r="D108" s="52" t="str">
        <f>'Input - Poultry'!$D$30</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'Input - Poultry'!$D$31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'Input - Poultry'!$D$32</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230</v>
      </c>
      <c r="N112" s="98" t="s">
        <v>231</v>
      </c>
    </row>
    <row r="113" spans="1:21" ht="20.100000000000001" customHeight="1" x14ac:dyDescent="0.25">
      <c r="D113" s="97" t="s">
        <v>232</v>
      </c>
      <c r="N113" s="97" t="s">
        <v>233</v>
      </c>
    </row>
    <row r="114" spans="1:21" ht="20.100000000000001" customHeight="1" x14ac:dyDescent="0.25">
      <c r="D114" s="51" t="s">
        <v>136</v>
      </c>
      <c r="E114" s="51" t="s">
        <v>196</v>
      </c>
      <c r="F114" s="51" t="s">
        <v>197</v>
      </c>
      <c r="G114" s="51" t="s">
        <v>209</v>
      </c>
      <c r="H114" s="51" t="s">
        <v>210</v>
      </c>
      <c r="N114" s="51" t="s">
        <v>136</v>
      </c>
      <c r="O114" s="51" t="s">
        <v>196</v>
      </c>
      <c r="P114" s="51" t="s">
        <v>197</v>
      </c>
      <c r="Q114" s="51" t="s">
        <v>209</v>
      </c>
      <c r="R114" s="51" t="s">
        <v>210</v>
      </c>
    </row>
    <row r="115" spans="1:21" ht="20.100000000000001" customHeight="1" x14ac:dyDescent="0.25">
      <c r="D115" s="52" t="str">
        <f>'Input - Poultry'!$D$30</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'Input - Poultry'!$D$30</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'Input - Poultry'!$D$31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'Input - Poultry'!$D$31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'Input - Poultry'!$D$32</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'Input - Poultry'!$D$32</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24</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27</v>
      </c>
      <c r="E127" s="1" t="str" cm="1">
        <f t="array" ref="E127">MMS_Poultry_Methane_Equations.VEERG_4_6_1_1__3_Stage2MethaneProduction_Variable()</f>
        <v>M_jkmT2</v>
      </c>
    </row>
    <row r="128" spans="1:21" ht="20.100000000000001" customHeight="1" x14ac:dyDescent="0.25">
      <c r="D128" s="53" t="s">
        <v>17</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'Constants - Common'!$D$175</f>
        <v>0.6784</v>
      </c>
      <c r="N134" s="141" t="str">
        <v>rho</v>
      </c>
      <c r="O134" s="144" t="str">
        <v>density of methane</v>
      </c>
      <c r="P134" s="143"/>
      <c r="Q134" s="141" t="str">
        <v>kg/m3</v>
      </c>
      <c r="R134" s="140" t="str">
        <v>Constant</v>
      </c>
      <c r="S134" s="141">
        <f>'Constants - Common'!$D$175</f>
        <v>0.6784</v>
      </c>
    </row>
    <row r="135" spans="4:19" ht="20.100000000000001" customHeight="1" x14ac:dyDescent="0.25">
      <c r="D135" s="141" t="str">
        <v>i</v>
      </c>
      <c r="E135" s="144" t="str">
        <v>state</v>
      </c>
      <c r="F135" s="143"/>
      <c r="G135" s="141" t="str">
        <v/>
      </c>
      <c r="H135" s="139" t="str">
        <v>Input</v>
      </c>
      <c r="I135" s="141" t="str">
        <f>'Input - Site'!$E$21</f>
        <v>Western Australia</v>
      </c>
      <c r="N135" s="141" t="str">
        <v>i</v>
      </c>
      <c r="O135" s="144" t="str">
        <v>mean annual temperature</v>
      </c>
      <c r="P135" s="143"/>
      <c r="Q135" s="141" t="str">
        <v>°C</v>
      </c>
      <c r="R135" s="139" t="str">
        <v>Input</v>
      </c>
      <c r="S135" s="141">
        <f>'Input - Site'!$E$25</f>
        <v>18</v>
      </c>
    </row>
    <row r="136" spans="4:19" ht="20.100000000000001" customHeight="1" x14ac:dyDescent="0.25"/>
    <row r="137" spans="4:19" ht="20.100000000000001" customHeight="1" x14ac:dyDescent="0.25">
      <c r="D137" s="98" t="s">
        <v>131</v>
      </c>
    </row>
    <row r="138" spans="4:19" ht="20.100000000000001" customHeight="1" x14ac:dyDescent="0.25">
      <c r="D138" s="97" t="s">
        <v>234</v>
      </c>
    </row>
    <row r="139" spans="4:19" ht="20.100000000000001" customHeight="1" x14ac:dyDescent="0.25">
      <c r="D139" s="112" t="s">
        <v>136</v>
      </c>
      <c r="E139" s="112" t="s">
        <v>138</v>
      </c>
      <c r="F139" s="112" t="s">
        <v>196</v>
      </c>
      <c r="G139" s="112" t="s">
        <v>197</v>
      </c>
      <c r="H139" s="112" t="s">
        <v>209</v>
      </c>
      <c r="I139" s="112" t="s">
        <v>210</v>
      </c>
    </row>
    <row r="140" spans="4:19" ht="20.100000000000001" customHeight="1" x14ac:dyDescent="0.25">
      <c r="D140" s="52" t="str">
        <f>'Input - Poultry'!$D$30</f>
        <v>Poultry manure with bedding</v>
      </c>
      <c r="E140" s="52" t="str">
        <f>'Input - Poultry'!$D$38</f>
        <v>Solid storage</v>
      </c>
      <c r="F140" s="52">
        <f>'Input - Poultry'!E38</f>
        <v>0.2</v>
      </c>
      <c r="G140" s="52">
        <f>'Input - Poultry'!F38</f>
        <v>0.2</v>
      </c>
      <c r="H140" s="52">
        <f>'Input - Poultry'!G38</f>
        <v>0.2</v>
      </c>
      <c r="I140" s="52">
        <f>'Input - Poultry'!H38</f>
        <v>0.2</v>
      </c>
      <c r="J140" s="2" t="str">
        <f>$G$132</f>
        <v>fraction</v>
      </c>
    </row>
    <row r="141" spans="4:19" ht="20.100000000000001" customHeight="1" x14ac:dyDescent="0.25">
      <c r="D141" s="52"/>
      <c r="E141" s="52" t="str">
        <f>'Input - Poultry'!$D$39</f>
        <v>Composting (passive windrow)</v>
      </c>
      <c r="F141" s="52">
        <f>'Input - Poultry'!E39</f>
        <v>0.2</v>
      </c>
      <c r="G141" s="52">
        <f>'Input - Poultry'!F39</f>
        <v>0.2</v>
      </c>
      <c r="H141" s="52">
        <f>'Input - Poultry'!G39</f>
        <v>0.2</v>
      </c>
      <c r="I141" s="52">
        <f>'Input - Poultry'!H39</f>
        <v>0.2</v>
      </c>
      <c r="J141" s="2"/>
    </row>
    <row r="142" spans="4:19" ht="20.100000000000001" customHeight="1" x14ac:dyDescent="0.25">
      <c r="D142" s="52"/>
      <c r="E142" s="52" t="str">
        <f>'Input - Poultry'!$D$40</f>
        <v>Digester / covered lagoons</v>
      </c>
      <c r="F142" s="52">
        <f>'Input - Poultry'!E40</f>
        <v>0.2</v>
      </c>
      <c r="G142" s="52">
        <f>'Input - Poultry'!F40</f>
        <v>0.2</v>
      </c>
      <c r="H142" s="52">
        <f>'Input - Poultry'!G40</f>
        <v>0.2</v>
      </c>
      <c r="I142" s="52">
        <f>'Input - Poultry'!H40</f>
        <v>0.2</v>
      </c>
      <c r="J142" s="2"/>
    </row>
    <row r="143" spans="4:19" ht="20.100000000000001" customHeight="1" x14ac:dyDescent="0.25">
      <c r="D143" s="52"/>
      <c r="E143" s="52" t="str">
        <f>'Input - Poultry'!$D$41</f>
        <v>Direct processing</v>
      </c>
      <c r="F143" s="52">
        <f>'Input - Poultry'!E41</f>
        <v>0.2</v>
      </c>
      <c r="G143" s="52">
        <f>'Input - Poultry'!F41</f>
        <v>0.2</v>
      </c>
      <c r="H143" s="52">
        <f>'Input - Poultry'!G41</f>
        <v>0.2</v>
      </c>
      <c r="I143" s="52">
        <f>'Input - Poultry'!H41</f>
        <v>0.2</v>
      </c>
      <c r="J143" s="2"/>
    </row>
    <row r="144" spans="4:19" ht="20.100000000000001" customHeight="1" x14ac:dyDescent="0.25">
      <c r="D144" s="52"/>
      <c r="E144" s="52" t="str">
        <f>'Input - Poultry'!$D$42</f>
        <v>Direct application</v>
      </c>
      <c r="F144" s="52">
        <f>'Input - Poultry'!E42</f>
        <v>0.19999999999999996</v>
      </c>
      <c r="G144" s="52">
        <f>'Input - Poultry'!F42</f>
        <v>0.19999999999999996</v>
      </c>
      <c r="H144" s="52">
        <f>'Input - Poultry'!G42</f>
        <v>0.19999999999999996</v>
      </c>
      <c r="I144" s="52">
        <f>'Input - Poultry'!H42</f>
        <v>0.19999999999999996</v>
      </c>
    </row>
    <row r="145" spans="4:20" ht="20.100000000000001" customHeight="1" x14ac:dyDescent="0.25">
      <c r="D145" s="52" t="str">
        <f>'Input - Poultry'!$D$31</f>
        <v>Belt manure removal</v>
      </c>
      <c r="E145" s="52" t="str">
        <f>'Input - Poultry'!$D$45</f>
        <v>Solid storage</v>
      </c>
      <c r="F145" s="52">
        <f>'Input - Poultry'!E45</f>
        <v>0.2</v>
      </c>
      <c r="G145" s="52">
        <f>'Input - Poultry'!F45</f>
        <v>0.2</v>
      </c>
      <c r="H145" s="52">
        <f>'Input - Poultry'!G45</f>
        <v>0.2</v>
      </c>
      <c r="I145" s="52">
        <f>'Input - Poultry'!H45</f>
        <v>0.2</v>
      </c>
      <c r="J145" s="2"/>
    </row>
    <row r="146" spans="4:20" ht="20.100000000000001" customHeight="1" x14ac:dyDescent="0.25">
      <c r="D146" s="52"/>
      <c r="E146" s="52" t="str">
        <f>'Input - Poultry'!$D$46</f>
        <v>Composting (passive windrow)</v>
      </c>
      <c r="F146" s="52">
        <f>'Input - Poultry'!E46</f>
        <v>0.2</v>
      </c>
      <c r="G146" s="52">
        <f>'Input - Poultry'!F46</f>
        <v>0.2</v>
      </c>
      <c r="H146" s="52">
        <f>'Input - Poultry'!G46</f>
        <v>0.2</v>
      </c>
      <c r="I146" s="52">
        <f>'Input - Poultry'!H46</f>
        <v>0.2</v>
      </c>
      <c r="J146" s="2"/>
    </row>
    <row r="147" spans="4:20" ht="20.100000000000001" customHeight="1" x14ac:dyDescent="0.25">
      <c r="D147" s="52"/>
      <c r="E147" s="52" t="str">
        <f>'Input - Poultry'!$D$47</f>
        <v>Digester / covered lagoons</v>
      </c>
      <c r="F147" s="52">
        <f>'Input - Poultry'!E47</f>
        <v>0.2</v>
      </c>
      <c r="G147" s="52">
        <f>'Input - Poultry'!F47</f>
        <v>0.2</v>
      </c>
      <c r="H147" s="52">
        <f>'Input - Poultry'!G47</f>
        <v>0.2</v>
      </c>
      <c r="I147" s="52">
        <f>'Input - Poultry'!H47</f>
        <v>0.2</v>
      </c>
      <c r="J147" s="2"/>
    </row>
    <row r="148" spans="4:20" ht="20.100000000000001" customHeight="1" x14ac:dyDescent="0.25">
      <c r="D148" s="52"/>
      <c r="E148" s="52" t="str">
        <f>'Input - Poultry'!$D$48</f>
        <v>Direct processing</v>
      </c>
      <c r="F148" s="52">
        <f>'Input - Poultry'!E48</f>
        <v>0.2</v>
      </c>
      <c r="G148" s="52">
        <f>'Input - Poultry'!F48</f>
        <v>0.2</v>
      </c>
      <c r="H148" s="52">
        <f>'Input - Poultry'!G48</f>
        <v>0.2</v>
      </c>
      <c r="I148" s="52">
        <f>'Input - Poultry'!H48</f>
        <v>0.2</v>
      </c>
      <c r="J148" s="2"/>
    </row>
    <row r="149" spans="4:20" ht="20.100000000000001" customHeight="1" x14ac:dyDescent="0.25">
      <c r="D149" s="52"/>
      <c r="E149" s="52" t="str">
        <f>'Input - Poultry'!$D$49</f>
        <v>Direct application</v>
      </c>
      <c r="F149" s="52">
        <f>'Input - Poultry'!E49</f>
        <v>0.19999999999999996</v>
      </c>
      <c r="G149" s="52">
        <f>'Input - Poultry'!F49</f>
        <v>0.19999999999999996</v>
      </c>
      <c r="H149" s="52">
        <f>'Input - Poultry'!G49</f>
        <v>0.19999999999999996</v>
      </c>
      <c r="I149" s="52">
        <f>'Input - Poultry'!H49</f>
        <v>0.19999999999999996</v>
      </c>
    </row>
    <row r="150" spans="4:20" ht="20.100000000000001" customHeight="1" x14ac:dyDescent="0.25">
      <c r="D150" s="52" t="str">
        <f>'Input - Poultry'!$D$32</f>
        <v>Manure stored in house</v>
      </c>
      <c r="E150" s="52" t="str">
        <f>'Input - Poultry'!$D$52</f>
        <v>Solid storage</v>
      </c>
      <c r="F150" s="52">
        <f>'Input - Poultry'!E52</f>
        <v>0.2</v>
      </c>
      <c r="G150" s="52">
        <f>'Input - Poultry'!F52</f>
        <v>0.2</v>
      </c>
      <c r="H150" s="52">
        <f>'Input - Poultry'!G52</f>
        <v>0.2</v>
      </c>
      <c r="I150" s="52">
        <f>'Input - Poultry'!H52</f>
        <v>0.2</v>
      </c>
      <c r="J150" s="2"/>
    </row>
    <row r="151" spans="4:20" ht="20.100000000000001" customHeight="1" x14ac:dyDescent="0.25">
      <c r="D151" s="52"/>
      <c r="E151" s="52" t="str">
        <f>'Input - Poultry'!$D$53</f>
        <v>Composting (passive windrow)</v>
      </c>
      <c r="F151" s="52">
        <f>'Input - Poultry'!E53</f>
        <v>0.2</v>
      </c>
      <c r="G151" s="52">
        <f>'Input - Poultry'!F53</f>
        <v>0.2</v>
      </c>
      <c r="H151" s="52">
        <f>'Input - Poultry'!G53</f>
        <v>0.2</v>
      </c>
      <c r="I151" s="52">
        <f>'Input - Poultry'!H53</f>
        <v>0.2</v>
      </c>
      <c r="J151" s="2"/>
    </row>
    <row r="152" spans="4:20" ht="20.100000000000001" customHeight="1" x14ac:dyDescent="0.25">
      <c r="D152" s="52"/>
      <c r="E152" s="52" t="str">
        <f>'Input - Poultry'!$D$54</f>
        <v>Digester / covered lagoons</v>
      </c>
      <c r="F152" s="52">
        <f>'Input - Poultry'!E54</f>
        <v>0.2</v>
      </c>
      <c r="G152" s="52">
        <f>'Input - Poultry'!F54</f>
        <v>0.2</v>
      </c>
      <c r="H152" s="52">
        <f>'Input - Poultry'!G54</f>
        <v>0.2</v>
      </c>
      <c r="I152" s="52">
        <f>'Input - Poultry'!H54</f>
        <v>0.2</v>
      </c>
      <c r="J152" s="2"/>
    </row>
    <row r="153" spans="4:20" ht="20.100000000000001" customHeight="1" x14ac:dyDescent="0.25">
      <c r="D153" s="52"/>
      <c r="E153" s="52" t="str">
        <f>'Input - Poultry'!$D$55</f>
        <v>Direct processing</v>
      </c>
      <c r="F153" s="52">
        <f>'Input - Poultry'!E55</f>
        <v>0.2</v>
      </c>
      <c r="G153" s="52">
        <f>'Input - Poultry'!F55</f>
        <v>0.2</v>
      </c>
      <c r="H153" s="52">
        <f>'Input - Poultry'!G55</f>
        <v>0.2</v>
      </c>
      <c r="I153" s="52">
        <f>'Input - Poultry'!H55</f>
        <v>0.2</v>
      </c>
      <c r="J153" s="2"/>
    </row>
    <row r="154" spans="4:20" ht="20.100000000000001" customHeight="1" x14ac:dyDescent="0.25">
      <c r="D154" s="52"/>
      <c r="E154" s="52" t="str">
        <f>'Input - Poultry'!$D$56</f>
        <v>Direct application</v>
      </c>
      <c r="F154" s="52">
        <f>'Input - Poultry'!E56</f>
        <v>0.19999999999999996</v>
      </c>
      <c r="G154" s="52">
        <f>'Input - Poultry'!F56</f>
        <v>0.19999999999999996</v>
      </c>
      <c r="H154" s="52">
        <f>'Input - Poultry'!G56</f>
        <v>0.19999999999999996</v>
      </c>
      <c r="I154" s="52">
        <f>'Input - Poultry'!H56</f>
        <v>0.19999999999999996</v>
      </c>
    </row>
    <row r="155" spans="4:20" ht="20.100000000000001" customHeight="1" x14ac:dyDescent="0.25"/>
    <row r="156" spans="4:20" ht="20.100000000000001" customHeight="1" x14ac:dyDescent="0.25">
      <c r="D156" s="98" t="s">
        <v>235</v>
      </c>
      <c r="N156" s="98" t="s">
        <v>235</v>
      </c>
    </row>
    <row r="157" spans="4:20" ht="20.100000000000001" customHeight="1" x14ac:dyDescent="0.25">
      <c r="D157" s="97" t="s">
        <v>236</v>
      </c>
      <c r="N157" s="97" t="s">
        <v>236</v>
      </c>
    </row>
    <row r="158" spans="4:20" ht="20.100000000000001" customHeight="1" x14ac:dyDescent="0.25">
      <c r="D158" s="51" t="s">
        <v>136</v>
      </c>
      <c r="E158" s="51" t="s">
        <v>138</v>
      </c>
      <c r="F158" s="51" t="s">
        <v>196</v>
      </c>
      <c r="G158" s="51" t="s">
        <v>197</v>
      </c>
      <c r="H158" s="51" t="s">
        <v>209</v>
      </c>
      <c r="I158" s="51" t="s">
        <v>210</v>
      </c>
      <c r="N158" s="51" t="s">
        <v>136</v>
      </c>
      <c r="O158" s="51" t="s">
        <v>138</v>
      </c>
      <c r="P158" s="51" t="s">
        <v>196</v>
      </c>
      <c r="Q158" s="51" t="s">
        <v>197</v>
      </c>
      <c r="R158" s="51" t="s">
        <v>209</v>
      </c>
      <c r="S158" s="51" t="s">
        <v>210</v>
      </c>
    </row>
    <row r="159" spans="4:20" ht="20.100000000000001" customHeight="1" x14ac:dyDescent="0.25">
      <c r="D159" s="52" t="str">
        <f>'Input - Poultry'!$D$30</f>
        <v>Poultry manure with bedding</v>
      </c>
      <c r="E159" s="52" t="str">
        <f>'Input - Poultry'!$D$38</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'Input - Poultry'!$D$30</f>
        <v>Poultry manure with bedding</v>
      </c>
      <c r="O159" s="52" t="str">
        <f>'Input - Poultry'!$D$38</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'Input - Poultry'!$D$39</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'Input - Poultry'!$D$39</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'Input - Poultry'!$D$40</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'Input - Poultry'!$D$40</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'Input - Poultry'!$D$41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'Input - Poultry'!$D$41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'Input - Poultry'!$D$42</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'Input - Poultry'!$D$42</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'Input - Poultry'!$D$31</f>
        <v>Belt manure removal</v>
      </c>
      <c r="E164" s="52" t="str">
        <f>'Input - Poultry'!$D$45</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'Input - Poultry'!$D$31</f>
        <v>Belt manure removal</v>
      </c>
      <c r="O164" s="52" t="str">
        <f>'Input - Poultry'!$D$45</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'Input - Poultry'!$D$46</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'Input - Poultry'!$D$46</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'Input - Poultry'!$D$47</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'Input - Poultry'!$D$47</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'Input - Poultry'!$D$48</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'Input - Poultry'!$D$48</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'Input - Poultry'!$D$48</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'Input - Poultry'!$D$49</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'Input - Poultry'!$D$32</f>
        <v>Manure stored in house</v>
      </c>
      <c r="E169" s="52" t="str">
        <f>'Input - Poultry'!$D$52</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'Input - Poultry'!$D$32</f>
        <v>Manure stored in house</v>
      </c>
      <c r="O169" s="52" t="str">
        <f>'Input - Poultry'!$D$52</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'Input - Poultry'!$D$53</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'Input - Poultry'!$D$53</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'Input - Poultry'!$D$54</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'Input - Poultry'!$D$54</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'Input - Poultry'!$D$55</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'Input - Poultry'!$D$55</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'Input - Poultry'!$D$56</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'Input - Poultry'!$D$56</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24</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27</v>
      </c>
      <c r="E182" s="1" t="str" cm="1">
        <f t="array" ref="E182">MMS_Poultry_Methane_Equations.VEERG_4_6_1_1__1_TotalAnnualMethaneEmissions_Variable()</f>
        <v>E_CH4</v>
      </c>
    </row>
    <row r="183" spans="4:10" ht="20.100000000000001" customHeight="1" x14ac:dyDescent="0.25">
      <c r="D183" s="53" t="s">
        <v>17</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237</v>
      </c>
      <c r="G189" s="13"/>
    </row>
    <row r="190" spans="4:10" ht="20.100000000000001" customHeight="1" x14ac:dyDescent="0.25">
      <c r="D190" s="97" t="s">
        <v>146</v>
      </c>
    </row>
    <row r="191" spans="4:10" ht="20.100000000000001" customHeight="1" x14ac:dyDescent="0.25">
      <c r="D191" s="112" t="s">
        <v>196</v>
      </c>
      <c r="E191" s="112" t="s">
        <v>197</v>
      </c>
      <c r="F191" s="112" t="s">
        <v>209</v>
      </c>
      <c r="G191" s="112" t="s">
        <v>210</v>
      </c>
    </row>
    <row r="192" spans="4:10" ht="20.100000000000001" customHeight="1" x14ac:dyDescent="0.25">
      <c r="D192" s="52">
        <f>'Input - Poultry'!E10</f>
        <v>365</v>
      </c>
      <c r="E192" s="52">
        <f>'Input - Poultry'!F10</f>
        <v>365</v>
      </c>
      <c r="F192" s="52">
        <f>'Input - Poultry'!G10</f>
        <v>365</v>
      </c>
      <c r="G192" s="52">
        <f>'Input - Poultry'!H10</f>
        <v>365</v>
      </c>
      <c r="H192" s="2" t="str">
        <f>G185</f>
        <v>days</v>
      </c>
    </row>
    <row r="193" spans="4:20" ht="20.100000000000001" customHeight="1" x14ac:dyDescent="0.25"/>
    <row r="194" spans="4:20" ht="20.100000000000001" customHeight="1" x14ac:dyDescent="0.25">
      <c r="D194" s="98" t="s">
        <v>238</v>
      </c>
      <c r="G194" s="13"/>
    </row>
    <row r="195" spans="4:20" ht="20.100000000000001" customHeight="1" x14ac:dyDescent="0.25">
      <c r="D195" s="97" t="s">
        <v>239</v>
      </c>
    </row>
    <row r="196" spans="4:20" ht="20.100000000000001" customHeight="1" x14ac:dyDescent="0.25">
      <c r="D196" s="112" t="s">
        <v>196</v>
      </c>
      <c r="E196" s="112" t="s">
        <v>197</v>
      </c>
      <c r="F196" s="112" t="s">
        <v>209</v>
      </c>
      <c r="G196" s="112" t="s">
        <v>210</v>
      </c>
    </row>
    <row r="197" spans="4:20" ht="20.100000000000001" customHeight="1" x14ac:dyDescent="0.25">
      <c r="D197" s="52">
        <f>'Input - Poultry'!E11</f>
        <v>100</v>
      </c>
      <c r="E197" s="52">
        <f>'Input - Poultry'!F11</f>
        <v>100</v>
      </c>
      <c r="F197" s="52">
        <f>'Input - Poultry'!G11</f>
        <v>100</v>
      </c>
      <c r="G197" s="52">
        <f>'Input - Poultry'!H11</f>
        <v>100</v>
      </c>
      <c r="H197" s="2" t="str">
        <f>G187</f>
        <v>birds</v>
      </c>
    </row>
    <row r="198" spans="4:20" ht="20.100000000000001" customHeight="1" x14ac:dyDescent="0.25"/>
    <row r="199" spans="4:20" ht="20.100000000000001" customHeight="1" x14ac:dyDescent="0.25">
      <c r="D199" s="98" t="s">
        <v>240</v>
      </c>
      <c r="N199" s="98" t="s">
        <v>241</v>
      </c>
    </row>
    <row r="200" spans="4:20" ht="20.100000000000001" customHeight="1" x14ac:dyDescent="0.25">
      <c r="D200" s="97" t="s">
        <v>149</v>
      </c>
      <c r="N200" s="97" t="s">
        <v>150</v>
      </c>
    </row>
    <row r="201" spans="4:20" ht="20.100000000000001" customHeight="1" x14ac:dyDescent="0.25">
      <c r="D201" s="51" t="s">
        <v>136</v>
      </c>
      <c r="E201" s="51" t="s">
        <v>138</v>
      </c>
      <c r="F201" s="51" t="s">
        <v>196</v>
      </c>
      <c r="G201" s="51" t="s">
        <v>197</v>
      </c>
      <c r="H201" s="51" t="s">
        <v>209</v>
      </c>
      <c r="I201" s="51" t="s">
        <v>210</v>
      </c>
      <c r="N201" s="51" t="s">
        <v>136</v>
      </c>
      <c r="O201" s="51" t="s">
        <v>138</v>
      </c>
      <c r="P201" s="51" t="s">
        <v>196</v>
      </c>
      <c r="Q201" s="51" t="s">
        <v>197</v>
      </c>
      <c r="R201" s="51" t="s">
        <v>209</v>
      </c>
      <c r="S201" s="51" t="s">
        <v>210</v>
      </c>
    </row>
    <row r="202" spans="4:20" ht="20.100000000000001" customHeight="1" x14ac:dyDescent="0.25">
      <c r="D202" s="52" t="str">
        <f>'Input - Poultry'!$D$30</f>
        <v>Poultry manure with bedding</v>
      </c>
      <c r="E202" s="52" t="s">
        <v>134</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'Input - Poultry'!$D$30</f>
        <v>Poultry manure with bedding</v>
      </c>
      <c r="O202" s="52" t="s">
        <v>134</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'Input - Poultry'!$D$31</f>
        <v>Belt manure removal</v>
      </c>
      <c r="E203" s="52" t="s">
        <v>134</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'Input - Poultry'!$D$31</f>
        <v>Belt manure removal</v>
      </c>
      <c r="O203" s="52" t="s">
        <v>134</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'Input - Poultry'!$D$32</f>
        <v>Manure stored in house</v>
      </c>
      <c r="E204" s="52" t="s">
        <v>134</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'Input - Poultry'!$D$32</f>
        <v>Manure stored in house</v>
      </c>
      <c r="O204" s="52" t="s">
        <v>134</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'Input - Poultry'!$D$33</f>
        <v>Pasture range and paddock</v>
      </c>
      <c r="E205" s="52" t="s">
        <v>134</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'Input - Poultry'!$D$33</f>
        <v>Pasture range and paddock</v>
      </c>
      <c r="O205" s="52" t="s">
        <v>134</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'Input - Poultry'!$D$30</f>
        <v>Poultry manure with bedding</v>
      </c>
      <c r="E206" s="52" t="str">
        <f>'Input - Poultry'!$D$38</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'Input - Poultry'!$D$30</f>
        <v>Poultry manure with bedding</v>
      </c>
      <c r="O206" s="52" t="str">
        <f>'Input - Poultry'!$D$38</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'Input - Poultry'!$D$39</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'Input - Poultry'!$D$39</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'Input - Poultry'!$D$40</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'Input - Poultry'!$D$40</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'Input - Poultry'!$D$41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'Input - Poultry'!$D$41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'Input - Poultry'!$D$42</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'Input - Poultry'!$D$42</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'Input - Poultry'!$D$31</f>
        <v>Belt manure removal</v>
      </c>
      <c r="E211" s="52" t="str">
        <f>'Input - Poultry'!$D$45</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'Input - Poultry'!$D$31</f>
        <v>Belt manure removal</v>
      </c>
      <c r="O211" s="52" t="str">
        <f>'Input - Poultry'!$D$45</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'Input - Poultry'!$D$46</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'Input - Poultry'!$D$46</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'Input - Poultry'!$D$47</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'Input - Poultry'!$D$47</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'Input - Poultry'!$D$48</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'Input - Poultry'!$D$48</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'Input - Poultry'!$D$49</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'Input - Poultry'!$D$49</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'Input - Poultry'!$D$32</f>
        <v>Manure stored in house</v>
      </c>
      <c r="E216" s="52" t="str">
        <f>'Input - Poultry'!$D$52</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'Input - Poultry'!$D$32</f>
        <v>Manure stored in house</v>
      </c>
      <c r="O216" s="52" t="str">
        <f>'Input - Poultry'!$D$52</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'Input - Poultry'!$D$53</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'Input - Poultry'!$D$53</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'Input - Poultry'!$D$54</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'Input - Poultry'!$D$54</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'Input - Poultry'!$D$55</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'Input - Poultry'!$D$55</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'Input - Poultry'!$D$56</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'Input - Poultry'!$D$56</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124</v>
      </c>
      <c r="E222" s="100">
        <f>SUM(F202:I220)</f>
        <v>1.9999321060623357E-2</v>
      </c>
      <c r="F222" s="101" t="str">
        <f>$E$183</f>
        <v>t CH4</v>
      </c>
      <c r="N222" s="99" t="s">
        <v>124</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f>Common_InputFunctions.Utility_LookupValueInTableNumber("CH4", Table_GWPData[Gas],Table_GWPData[CO2-e factor])</f>
        <v>28</v>
      </c>
      <c r="N225" s="57" t="str">
        <v>GWPCH4</v>
      </c>
      <c r="O225" s="58" t="str">
        <v>Global warming potential for methane (t CO2-e / t CH4)</v>
      </c>
      <c r="P225" s="102"/>
      <c r="Q225" s="52">
        <f>Common_InputFunctions.Utility_LookupValueInTableNumber("CH4", Table_GWPData[Gas],Table_GWPData[CO2-e factor])</f>
        <v>28</v>
      </c>
    </row>
    <row r="226" spans="4:17" ht="20.100000000000001" customHeight="1" x14ac:dyDescent="0.25"/>
    <row r="227" spans="4:17" ht="20.100000000000001" customHeight="1" x14ac:dyDescent="0.25">
      <c r="D227" s="45" t="s">
        <v>95</v>
      </c>
      <c r="E227" s="45" cm="1">
        <f t="array" ref="E227">Common_Equations.Common_ConvertN2OToCO2e(G224,G225)</f>
        <v>0.55998098969745402</v>
      </c>
      <c r="F227" s="103" t="str" cm="1">
        <f t="array" ref="F227">Common_Equations.Common_ConvertN2OToCO2e_Unit()</f>
        <v>t CO2e</v>
      </c>
      <c r="N227" s="45" t="s">
        <v>95</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A221" zoomScaleNormal="100" workbookViewId="0">
      <selection activeCell="G248" sqref="G24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243</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24</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MMS_Poultry_N2ODirect_Equations.VEERG_4_6_1_3__5_NitrogenIntake_Variable()</f>
        <v>NI_jk</v>
      </c>
    </row>
    <row r="11" spans="1:21" ht="20.100000000000001" customHeight="1" x14ac:dyDescent="0.25">
      <c r="A11" s="19" t="s">
        <v>72</v>
      </c>
      <c r="D11" s="53" t="s">
        <v>17</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215</v>
      </c>
      <c r="N17" s="98" t="s">
        <v>216</v>
      </c>
    </row>
    <row r="18" spans="1:18" ht="20.100000000000001" customHeight="1" x14ac:dyDescent="0.25">
      <c r="A18" s="17" t="str">
        <f>HYPERLINK("#'4.6.1.12-13 Soil atmos dep'!A1", "4.6.1.12-13 Soil Atm. deposition")</f>
        <v>4.6.1.12-13 Soil Atm. deposition</v>
      </c>
      <c r="D18" s="97" t="s">
        <v>218</v>
      </c>
      <c r="N18" s="97" t="s">
        <v>217</v>
      </c>
    </row>
    <row r="19" spans="1:18" ht="20.100000000000001" customHeight="1" x14ac:dyDescent="0.25">
      <c r="A19" s="17" t="str">
        <f>HYPERLINK("#'4.6.1.14-15 Soil leach runoff'!A1", "4.6.1.14-15 Soil leach &amp; runoff")</f>
        <v>4.6.1.14-15 Soil leach &amp; runoff</v>
      </c>
      <c r="D19" s="112" t="s">
        <v>196</v>
      </c>
      <c r="E19" s="112" t="s">
        <v>197</v>
      </c>
      <c r="F19" s="112" t="s">
        <v>209</v>
      </c>
      <c r="G19" s="112" t="s">
        <v>210</v>
      </c>
      <c r="N19" s="112" t="s">
        <v>196</v>
      </c>
      <c r="O19" s="112" t="s">
        <v>197</v>
      </c>
      <c r="P19" s="112" t="s">
        <v>209</v>
      </c>
      <c r="Q19" s="112" t="s">
        <v>210</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244</v>
      </c>
      <c r="N22" s="98" t="s">
        <v>246</v>
      </c>
    </row>
    <row r="23" spans="1:18" ht="20.100000000000001" customHeight="1" x14ac:dyDescent="0.25">
      <c r="A23" s="17" t="str">
        <f>HYPERLINK("#'Constants - Livestock'!A1", "Constants - Livestock")</f>
        <v>Constants - Livestock</v>
      </c>
      <c r="D23" s="97" t="s">
        <v>245</v>
      </c>
      <c r="E23" s="97"/>
      <c r="N23" s="97" t="s">
        <v>247</v>
      </c>
      <c r="O23" s="97"/>
    </row>
    <row r="24" spans="1:18" ht="20.100000000000001" customHeight="1" x14ac:dyDescent="0.25">
      <c r="A24" s="17" t="str">
        <f>HYPERLINK("#'Constants - Common'!A1", "Constants - Common")</f>
        <v>Constants - Common</v>
      </c>
      <c r="D24" s="112" t="s">
        <v>196</v>
      </c>
      <c r="E24" s="112" t="s">
        <v>197</v>
      </c>
      <c r="F24" s="112" t="s">
        <v>209</v>
      </c>
      <c r="G24" s="112" t="s">
        <v>210</v>
      </c>
      <c r="N24" s="112" t="s">
        <v>196</v>
      </c>
      <c r="O24" s="112" t="s">
        <v>197</v>
      </c>
      <c r="P24" s="112" t="s">
        <v>209</v>
      </c>
      <c r="Q24" s="112" t="s">
        <v>210</v>
      </c>
    </row>
    <row r="25" spans="1:18" ht="20.100000000000001" customHeight="1" x14ac:dyDescent="0.25">
      <c r="A25" s="17"/>
      <c r="D25" s="52">
        <f>'Input - Poultry'!E18</f>
        <v>0.19</v>
      </c>
      <c r="E25" s="52">
        <f>'Input - Poultry'!F18</f>
        <v>0.23</v>
      </c>
      <c r="F25" s="52">
        <f>'Input - Poultry'!G18</f>
        <v>0.19</v>
      </c>
      <c r="G25" s="52">
        <f>'Input - Poultry'!H18</f>
        <v>0.23</v>
      </c>
      <c r="H25" s="2" t="str">
        <f>$G$14</f>
        <v>fraction</v>
      </c>
      <c r="N25" s="52">
        <f>'Input - Poultry'!E23</f>
        <v>0.19</v>
      </c>
      <c r="O25" s="52">
        <f>'Input - Poultry'!F23</f>
        <v>0.23</v>
      </c>
      <c r="P25" s="52">
        <f>'Input - Poultry'!G23</f>
        <v>0.19</v>
      </c>
      <c r="Q25" s="52">
        <f>'Input - Poultry'!H23</f>
        <v>0.23</v>
      </c>
      <c r="R25" s="2" t="str">
        <f>$G$14</f>
        <v>fraction</v>
      </c>
    </row>
    <row r="26" spans="1:18" ht="20.100000000000001" customHeight="1" x14ac:dyDescent="0.25"/>
    <row r="27" spans="1:18" ht="20.100000000000001" customHeight="1" x14ac:dyDescent="0.25">
      <c r="D27" s="98" t="s">
        <v>248</v>
      </c>
      <c r="N27" s="98" t="s">
        <v>371</v>
      </c>
    </row>
    <row r="28" spans="1:18" ht="20.100000000000001" customHeight="1" x14ac:dyDescent="0.25">
      <c r="D28" s="97" t="s">
        <v>249</v>
      </c>
      <c r="E28" s="97"/>
      <c r="N28" s="97" t="s">
        <v>372</v>
      </c>
      <c r="O28" s="97"/>
    </row>
    <row r="29" spans="1:18" ht="20.100000000000001" customHeight="1" x14ac:dyDescent="0.25">
      <c r="D29" s="51" t="s">
        <v>196</v>
      </c>
      <c r="E29" s="51" t="s">
        <v>197</v>
      </c>
      <c r="F29" s="51" t="s">
        <v>209</v>
      </c>
      <c r="G29" s="51" t="s">
        <v>210</v>
      </c>
      <c r="N29" s="51" t="s">
        <v>196</v>
      </c>
      <c r="O29" s="51" t="s">
        <v>197</v>
      </c>
      <c r="P29" s="51" t="s">
        <v>209</v>
      </c>
      <c r="Q29" s="51" t="s">
        <v>210</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24</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27</v>
      </c>
      <c r="E39" s="1" t="str" cm="1">
        <f t="array" ref="E39">MMS_Poultry_N2ODirect_Equations.VEERG_4_6_1_3__4_NitrogenExcretionPerBird_Variable()</f>
        <v>NE_jk</v>
      </c>
    </row>
    <row r="40" spans="3:21" ht="20.100000000000001" customHeight="1" x14ac:dyDescent="0.25">
      <c r="D40" s="53" t="s">
        <v>17</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250</v>
      </c>
    </row>
    <row r="46" spans="3:21" ht="20.100000000000001" customHeight="1" x14ac:dyDescent="0.25">
      <c r="D46" s="97" t="s">
        <v>251</v>
      </c>
      <c r="E46" s="97"/>
    </row>
    <row r="47" spans="3:21" ht="20.100000000000001" customHeight="1" x14ac:dyDescent="0.25">
      <c r="D47" s="51" t="s">
        <v>196</v>
      </c>
      <c r="E47" s="51" t="s">
        <v>197</v>
      </c>
      <c r="F47" s="51" t="s">
        <v>209</v>
      </c>
      <c r="G47" s="51" t="s">
        <v>210</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252</v>
      </c>
      <c r="N50" s="98" t="s">
        <v>369</v>
      </c>
    </row>
    <row r="51" spans="1:21" ht="20.100000000000001" customHeight="1" x14ac:dyDescent="0.25">
      <c r="D51" s="97" t="s">
        <v>253</v>
      </c>
      <c r="E51" s="97"/>
      <c r="N51" s="97" t="s">
        <v>370</v>
      </c>
      <c r="O51" s="97"/>
    </row>
    <row r="52" spans="1:21" ht="20.100000000000001" customHeight="1" x14ac:dyDescent="0.25">
      <c r="D52" s="51" t="s">
        <v>196</v>
      </c>
      <c r="E52" s="51" t="s">
        <v>197</v>
      </c>
      <c r="F52" s="51" t="s">
        <v>209</v>
      </c>
      <c r="G52" s="51" t="s">
        <v>210</v>
      </c>
      <c r="N52" s="51" t="s">
        <v>196</v>
      </c>
      <c r="O52" s="51" t="s">
        <v>197</v>
      </c>
      <c r="P52" s="51" t="s">
        <v>209</v>
      </c>
      <c r="Q52" s="51" t="s">
        <v>210</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24</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27</v>
      </c>
      <c r="E62" s="1" t="str" cm="1">
        <f t="array" ref="E62">MMS_Poultry_N2ODirect_Equations.VEERG_4_6_1_3__3_AnnualNitrogenExcretion_Variable()</f>
        <v>AE_jk</v>
      </c>
    </row>
    <row r="63" spans="1:21" ht="20.100000000000001" customHeight="1" x14ac:dyDescent="0.25">
      <c r="D63" s="53" t="s">
        <v>17</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238</v>
      </c>
    </row>
    <row r="70" spans="4:15" ht="20.100000000000001" customHeight="1" x14ac:dyDescent="0.25">
      <c r="D70" s="97" t="s">
        <v>239</v>
      </c>
      <c r="E70" s="97"/>
    </row>
    <row r="71" spans="4:15" ht="20.100000000000001" customHeight="1" x14ac:dyDescent="0.25">
      <c r="D71" s="112" t="s">
        <v>196</v>
      </c>
      <c r="E71" s="112" t="s">
        <v>197</v>
      </c>
      <c r="F71" s="112" t="s">
        <v>209</v>
      </c>
      <c r="G71" s="112" t="s">
        <v>210</v>
      </c>
    </row>
    <row r="72" spans="4:15" ht="20.100000000000001" customHeight="1" x14ac:dyDescent="0.25">
      <c r="D72" s="52">
        <f>'Input - Poultry'!E11</f>
        <v>100</v>
      </c>
      <c r="E72" s="52">
        <f>'Input - Poultry'!F11</f>
        <v>100</v>
      </c>
      <c r="F72" s="52">
        <f>'Input - Poultry'!G11</f>
        <v>100</v>
      </c>
      <c r="G72" s="52">
        <f>'Input - Poultry'!H11</f>
        <v>100</v>
      </c>
      <c r="H72" s="2" t="str">
        <f>$G$65</f>
        <v>bird</v>
      </c>
    </row>
    <row r="73" spans="4:15" ht="20.100000000000001" customHeight="1" x14ac:dyDescent="0.25"/>
    <row r="74" spans="4:15" ht="20.100000000000001" customHeight="1" x14ac:dyDescent="0.25">
      <c r="D74" s="98" t="s">
        <v>237</v>
      </c>
    </row>
    <row r="75" spans="4:15" ht="20.100000000000001" customHeight="1" x14ac:dyDescent="0.25">
      <c r="D75" s="97" t="s">
        <v>146</v>
      </c>
      <c r="E75" s="97"/>
    </row>
    <row r="76" spans="4:15" ht="20.100000000000001" customHeight="1" x14ac:dyDescent="0.25">
      <c r="D76" s="112" t="s">
        <v>196</v>
      </c>
      <c r="E76" s="112" t="s">
        <v>197</v>
      </c>
      <c r="F76" s="112" t="s">
        <v>209</v>
      </c>
      <c r="G76" s="112" t="s">
        <v>210</v>
      </c>
    </row>
    <row r="77" spans="4:15" ht="20.100000000000001" customHeight="1" x14ac:dyDescent="0.25">
      <c r="D77" s="52">
        <f>'Input - Poultry'!E11</f>
        <v>100</v>
      </c>
      <c r="E77" s="52">
        <f>'Input - Poultry'!F11</f>
        <v>100</v>
      </c>
      <c r="F77" s="52">
        <f>'Input - Poultry'!G11</f>
        <v>100</v>
      </c>
      <c r="G77" s="52">
        <f>'Input - Poultry'!H11</f>
        <v>100</v>
      </c>
      <c r="H77" s="2" t="str">
        <f>$G$67</f>
        <v>days</v>
      </c>
    </row>
    <row r="78" spans="4:15" ht="20.100000000000001" customHeight="1" x14ac:dyDescent="0.25"/>
    <row r="79" spans="4:15" ht="20.100000000000001" customHeight="1" x14ac:dyDescent="0.25">
      <c r="D79" s="98" t="s">
        <v>254</v>
      </c>
      <c r="N79" s="98" t="s">
        <v>256</v>
      </c>
    </row>
    <row r="80" spans="4:15" ht="20.100000000000001" customHeight="1" x14ac:dyDescent="0.25">
      <c r="D80" s="97" t="s">
        <v>255</v>
      </c>
      <c r="E80" s="97"/>
      <c r="N80" s="97" t="s">
        <v>257</v>
      </c>
      <c r="O80" s="97"/>
    </row>
    <row r="81" spans="1:21" ht="20.100000000000001" customHeight="1" x14ac:dyDescent="0.25">
      <c r="D81" s="51" t="s">
        <v>196</v>
      </c>
      <c r="E81" s="51" t="s">
        <v>197</v>
      </c>
      <c r="F81" s="51" t="s">
        <v>209</v>
      </c>
      <c r="G81" s="51" t="s">
        <v>210</v>
      </c>
      <c r="N81" s="51" t="s">
        <v>196</v>
      </c>
      <c r="O81" s="51" t="s">
        <v>197</v>
      </c>
      <c r="P81" s="51" t="s">
        <v>209</v>
      </c>
      <c r="Q81" s="51" t="s">
        <v>210</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24</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27</v>
      </c>
      <c r="E91" s="1" t="str" cm="1">
        <f t="array" ref="E91">MMS_Poultry_N2ODirect_Equations.VEERG_4_6_1_3__2_Stage1NitrogenInMMS_Variable()</f>
        <v>MN_jkmT1</v>
      </c>
    </row>
    <row r="92" spans="1:21" ht="20.100000000000001" customHeight="1" x14ac:dyDescent="0.25">
      <c r="D92" s="53" t="s">
        <v>17</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154</v>
      </c>
    </row>
    <row r="98" spans="4:19" ht="20.100000000000001" customHeight="1" x14ac:dyDescent="0.25">
      <c r="D98" s="97" t="s">
        <v>228</v>
      </c>
    </row>
    <row r="99" spans="4:19" ht="20.100000000000001" customHeight="1" x14ac:dyDescent="0.25">
      <c r="D99" s="112" t="s">
        <v>136</v>
      </c>
      <c r="E99" s="112" t="s">
        <v>196</v>
      </c>
      <c r="F99" s="112" t="s">
        <v>197</v>
      </c>
      <c r="G99" s="112" t="s">
        <v>209</v>
      </c>
      <c r="H99" s="112" t="s">
        <v>210</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tr">
        <f>$G$95</f>
        <v>fraction</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row>
    <row r="104" spans="4:19" ht="20.100000000000001" customHeight="1" x14ac:dyDescent="0.25"/>
    <row r="105" spans="4:19" ht="20.100000000000001" customHeight="1" x14ac:dyDescent="0.25">
      <c r="D105" s="98" t="s">
        <v>258</v>
      </c>
      <c r="N105" s="98" t="s">
        <v>260</v>
      </c>
    </row>
    <row r="106" spans="4:19" ht="20.100000000000001" customHeight="1" x14ac:dyDescent="0.25">
      <c r="D106" s="97" t="s">
        <v>259</v>
      </c>
      <c r="N106" s="97" t="s">
        <v>261</v>
      </c>
    </row>
    <row r="107" spans="4:19" ht="20.100000000000001" customHeight="1" x14ac:dyDescent="0.25">
      <c r="D107" s="51" t="s">
        <v>136</v>
      </c>
      <c r="E107" s="51" t="s">
        <v>196</v>
      </c>
      <c r="F107" s="51" t="s">
        <v>197</v>
      </c>
      <c r="G107" s="51" t="s">
        <v>209</v>
      </c>
      <c r="H107" s="51" t="s">
        <v>210</v>
      </c>
      <c r="N107" s="51" t="s">
        <v>136</v>
      </c>
      <c r="O107" s="51" t="s">
        <v>196</v>
      </c>
      <c r="P107" s="51" t="s">
        <v>197</v>
      </c>
      <c r="Q107" s="51" t="s">
        <v>209</v>
      </c>
      <c r="R107" s="51" t="s">
        <v>210</v>
      </c>
    </row>
    <row r="108" spans="4:19" ht="20.100000000000001" customHeight="1" x14ac:dyDescent="0.25">
      <c r="D108" s="52" t="str">
        <f>'Input - Poultry'!$D$30</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'Input - Poultry'!$D$30</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'Input - Poultry'!$D$31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'Input - Poultry'!$D$31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'Input - Poultry'!$D$32</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'Input - Poultry'!$D$32</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'Input - Poultry'!$D$33</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'Input - Poultry'!$D$33</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24</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27</v>
      </c>
      <c r="E120" s="1" t="str" cm="1">
        <f t="array" ref="E120">MMS_Poultry_N2ODirect_Equations.VEERG_4_6_1_3__7_NitrogenTransferredToStage2MMS_Variable()</f>
        <v>NT_jkmT2</v>
      </c>
    </row>
    <row r="121" spans="1:21" ht="20.100000000000001" customHeight="1" x14ac:dyDescent="0.25">
      <c r="D121" s="53" t="s">
        <v>17</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262</v>
      </c>
    </row>
    <row r="128" spans="1:21" ht="20.100000000000001" customHeight="1" x14ac:dyDescent="0.25">
      <c r="D128" s="97" t="s">
        <v>263</v>
      </c>
    </row>
    <row r="129" spans="4:6" ht="20.100000000000001" customHeight="1" x14ac:dyDescent="0.25">
      <c r="D129" s="51" t="s">
        <v>136</v>
      </c>
      <c r="E129" s="51" t="s">
        <v>264</v>
      </c>
    </row>
    <row r="130" spans="4:6"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272</v>
      </c>
    </row>
    <row r="136" spans="4:6" ht="20.100000000000001" customHeight="1" x14ac:dyDescent="0.25">
      <c r="D136" s="97" t="s">
        <v>265</v>
      </c>
    </row>
    <row r="137" spans="4:6" ht="20.100000000000001" customHeight="1" x14ac:dyDescent="0.25">
      <c r="D137" s="51" t="s">
        <v>65</v>
      </c>
      <c r="E137" s="51" t="s">
        <v>291</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266</v>
      </c>
      <c r="N147" s="98" t="s">
        <v>268</v>
      </c>
    </row>
    <row r="148" spans="1:21" ht="20.100000000000001" customHeight="1" x14ac:dyDescent="0.25">
      <c r="D148" s="97" t="s">
        <v>267</v>
      </c>
      <c r="N148" s="97" t="s">
        <v>269</v>
      </c>
    </row>
    <row r="149" spans="1:21" ht="20.100000000000001" customHeight="1" x14ac:dyDescent="0.25">
      <c r="D149" s="51" t="s">
        <v>136</v>
      </c>
      <c r="E149" s="51" t="s">
        <v>196</v>
      </c>
      <c r="F149" s="51" t="s">
        <v>197</v>
      </c>
      <c r="G149" s="51" t="s">
        <v>209</v>
      </c>
      <c r="H149" s="51" t="s">
        <v>210</v>
      </c>
      <c r="N149" s="51" t="s">
        <v>136</v>
      </c>
      <c r="O149" s="51" t="s">
        <v>196</v>
      </c>
      <c r="P149" s="51" t="s">
        <v>197</v>
      </c>
      <c r="Q149" s="51" t="s">
        <v>209</v>
      </c>
      <c r="R149" s="51" t="s">
        <v>210</v>
      </c>
    </row>
    <row r="150" spans="1:21" ht="20.100000000000001" customHeight="1" x14ac:dyDescent="0.25">
      <c r="D150" s="52" t="str">
        <f>'Input - Poultry'!$D$30</f>
        <v>Poultry manure with bedding</v>
      </c>
      <c r="E150" s="52" cm="1">
        <f t="array" ref="E150">MMS_Poultry_N2ODirect_Equations.VEERG_4_6_1_3__7_NitrogenTransferredToStage2MMS(E108, _xlfn.XLOOKUP($D150, $D$130:$D$133,$E$130:$E$133), _xlfn.XLOOKUP($D150, $D$138:$D$145,$E$138:$E$145))</f>
        <v>3.5635579200000005</v>
      </c>
      <c r="F150" s="52" cm="1">
        <f t="array" ref="F150">MMS_Poultry_N2ODirect_Equations.VEERG_4_6_1_3__7_NitrogenTransferredToStage2MMS(F108, _xlfn.XLOOKUP($D150, $D$130:$D$133,$E$130:$E$133), _xlfn.XLOOKUP($D150, $D$138:$D$145,$E$138:$E$145))</f>
        <v>3.8036895839999998</v>
      </c>
      <c r="G150" s="52" cm="1">
        <f t="array" ref="G150">MMS_Poultry_N2ODirect_Equations.VEERG_4_6_1_3__7_NitrogenTransferredToStage2MMS(G108, _xlfn.XLOOKUP($D150, $D$130:$D$133,$E$130:$E$133), _xlfn.XLOOKUP($D150, $D$138:$D$145,$E$138:$E$145))</f>
        <v>4.4649659519999991</v>
      </c>
      <c r="H150" s="52" cm="1">
        <f t="array" ref="H150">MMS_Poultry_N2ODirect_Equations.VEERG_4_6_1_3__7_NitrogenTransferredToStage2MMS(H108, _xlfn.XLOOKUP($D150, $D$130:$D$133,$E$130:$E$133), _xlfn.XLOOKUP($D150, $D$138:$D$145,$E$138:$E$145))</f>
        <v>3.8036895839999998</v>
      </c>
      <c r="I150" s="2" t="str">
        <f>$E$121</f>
        <v>kg N</v>
      </c>
      <c r="N150" s="52" t="str">
        <f>'Input - Poultry'!$D$30</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'Input - Poultry'!$D$31</f>
        <v>Belt manure removal</v>
      </c>
      <c r="E151" s="52" cm="1">
        <f t="array" ref="E151">MMS_Poultry_N2ODirect_Equations.VEERG_4_6_1_3__7_NitrogenTransferredToStage2MMS(E109, _xlfn.XLOOKUP($D151, $D$130:$D$133,$E$130:$E$133), _xlfn.XLOOKUP($D151, $D$138:$D$145,$E$138:$E$145))</f>
        <v>4.8380779200000008</v>
      </c>
      <c r="F151" s="52" cm="1">
        <f t="array" ref="F151">MMS_Poultry_N2ODirect_Equations.VEERG_4_6_1_3__7_NitrogenTransferredToStage2MMS(F109, _xlfn.XLOOKUP($D151, $D$130:$D$133,$E$130:$E$133), _xlfn.XLOOKUP($D151, $D$138:$D$145,$E$138:$E$145))</f>
        <v>5.1640935839999997</v>
      </c>
      <c r="G151" s="52" cm="1">
        <f t="array" ref="G151">MMS_Poultry_N2ODirect_Equations.VEERG_4_6_1_3__7_NitrogenTransferredToStage2MMS(G109, _xlfn.XLOOKUP($D151, $D$130:$D$133,$E$130:$E$133), _xlfn.XLOOKUP($D151, $D$138:$D$145,$E$138:$E$145))</f>
        <v>6.0618779519999997</v>
      </c>
      <c r="H151" s="52" cm="1">
        <f t="array" ref="H151">MMS_Poultry_N2ODirect_Equations.VEERG_4_6_1_3__7_NitrogenTransferredToStage2MMS(H109, _xlfn.XLOOKUP($D151, $D$130:$D$133,$E$130:$E$133), _xlfn.XLOOKUP($D151, $D$138:$D$145,$E$138:$E$145))</f>
        <v>5.1640935839999997</v>
      </c>
      <c r="I151" s="2"/>
      <c r="N151" s="52" t="str">
        <f>'Input - Poultry'!$D$31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'Input - Poultry'!$D$32</f>
        <v>Manure stored in house</v>
      </c>
      <c r="E152" s="52" cm="1">
        <f t="array" ref="E152">MMS_Poultry_N2ODirect_Equations.VEERG_4_6_1_3__7_NitrogenTransferredToStage2MMS(E110, _xlfn.XLOOKUP($D152, $D$130:$D$133,$E$130:$E$133), _xlfn.XLOOKUP($D152, $D$138:$D$145,$E$138:$E$145))</f>
        <v>3.0537499200000005</v>
      </c>
      <c r="F152" s="52" cm="1">
        <f t="array" ref="F152">MMS_Poultry_N2ODirect_Equations.VEERG_4_6_1_3__7_NitrogenTransferredToStage2MMS(F110, _xlfn.XLOOKUP($D152, $D$130:$D$133,$E$130:$E$133), _xlfn.XLOOKUP($D152, $D$138:$D$145,$E$138:$E$145))</f>
        <v>3.2595279839999995</v>
      </c>
      <c r="G152" s="52" cm="1">
        <f t="array" ref="G152">MMS_Poultry_N2ODirect_Equations.VEERG_4_6_1_3__7_NitrogenTransferredToStage2MMS(G110, _xlfn.XLOOKUP($D152, $D$130:$D$133,$E$130:$E$133), _xlfn.XLOOKUP($D152, $D$138:$D$145,$E$138:$E$145))</f>
        <v>3.8262011519999994</v>
      </c>
      <c r="H152" s="52" cm="1">
        <f t="array" ref="H152">MMS_Poultry_N2ODirect_Equations.VEERG_4_6_1_3__7_NitrogenTransferredToStage2MMS(H110, _xlfn.XLOOKUP($D152, $D$130:$D$133,$E$130:$E$133), _xlfn.XLOOKUP($D152, $D$138:$D$145,$E$138:$E$145))</f>
        <v>3.2595279839999995</v>
      </c>
      <c r="I152" s="2"/>
      <c r="N152" s="52" t="str">
        <f>'Input - Poultry'!$D$32</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24</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27</v>
      </c>
      <c r="E161" s="1" t="str" cm="1">
        <f t="array" ref="E161">MMS_Poultry_N2ODirect_Equations.VEERG_4_6_1_3__6_Stage2NitrogenInMMS_Variable()</f>
        <v>MN_jkmT2</v>
      </c>
    </row>
    <row r="162" spans="4:10" ht="20.100000000000001" customHeight="1" x14ac:dyDescent="0.25">
      <c r="D162" s="53" t="s">
        <v>17</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131</v>
      </c>
    </row>
    <row r="168" spans="4:10" ht="20.100000000000001" customHeight="1" x14ac:dyDescent="0.25">
      <c r="D168" s="97" t="s">
        <v>234</v>
      </c>
    </row>
    <row r="169" spans="4:10" ht="20.100000000000001" customHeight="1" x14ac:dyDescent="0.25">
      <c r="D169" s="112" t="s">
        <v>136</v>
      </c>
      <c r="E169" s="112" t="s">
        <v>138</v>
      </c>
      <c r="F169" s="112" t="s">
        <v>196</v>
      </c>
      <c r="G169" s="112" t="s">
        <v>197</v>
      </c>
      <c r="H169" s="112" t="s">
        <v>209</v>
      </c>
      <c r="I169" s="112" t="s">
        <v>210</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tr">
        <f>$G$165</f>
        <v>fraction</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row>
    <row r="174" spans="4:10" ht="20.100000000000001" customHeight="1" x14ac:dyDescent="0.25">
      <c r="D174" s="52"/>
      <c r="E174" s="52" t="str">
        <f>'Input - Poultry'!$D$42</f>
        <v>Direct application</v>
      </c>
      <c r="F174" s="52">
        <f>'Input - Poultry'!E42</f>
        <v>0.19999999999999996</v>
      </c>
      <c r="G174" s="52">
        <f>'Input - Poultry'!F42</f>
        <v>0.19999999999999996</v>
      </c>
      <c r="H174" s="52">
        <f>'Input - Poultry'!G42</f>
        <v>0.19999999999999996</v>
      </c>
      <c r="I174" s="52">
        <f>'Input - Poultry'!H42</f>
        <v>0.19999999999999996</v>
      </c>
    </row>
    <row r="175" spans="4:10" ht="20.100000000000001" customHeight="1" x14ac:dyDescent="0.25">
      <c r="D175" s="52" t="str">
        <f>'Input - Poultry'!$D$31</f>
        <v>Belt manure removal</v>
      </c>
      <c r="E175" s="52" t="str">
        <f>'Input - Poultry'!$D$45</f>
        <v>Solid storage</v>
      </c>
      <c r="F175" s="52">
        <f>'Input - Poultry'!E45</f>
        <v>0.2</v>
      </c>
      <c r="G175" s="52">
        <f>'Input - Poultry'!F45</f>
        <v>0.2</v>
      </c>
      <c r="H175" s="52">
        <f>'Input - Poultry'!G45</f>
        <v>0.2</v>
      </c>
      <c r="I175" s="52">
        <f>'Input - Poultry'!H45</f>
        <v>0.2</v>
      </c>
      <c r="J175" s="2"/>
    </row>
    <row r="176" spans="4:10" ht="20.100000000000001" customHeight="1" x14ac:dyDescent="0.25">
      <c r="D176" s="52"/>
      <c r="E176" s="52" t="str">
        <f>'Input - Poultry'!$D$46</f>
        <v>Composting (passive windrow)</v>
      </c>
      <c r="F176" s="52">
        <f>'Input - Poultry'!E46</f>
        <v>0.2</v>
      </c>
      <c r="G176" s="52">
        <f>'Input - Poultry'!F46</f>
        <v>0.2</v>
      </c>
      <c r="H176" s="52">
        <f>'Input - Poultry'!G46</f>
        <v>0.2</v>
      </c>
      <c r="I176" s="52">
        <f>'Input - Poultry'!H46</f>
        <v>0.2</v>
      </c>
      <c r="J176" s="2"/>
    </row>
    <row r="177" spans="4:20" ht="20.100000000000001" customHeight="1" x14ac:dyDescent="0.25">
      <c r="D177" s="52"/>
      <c r="E177" s="52" t="str">
        <f>'Input - Poultry'!$D$47</f>
        <v>Digester / covered lagoons</v>
      </c>
      <c r="F177" s="52">
        <f>'Input - Poultry'!E47</f>
        <v>0.2</v>
      </c>
      <c r="G177" s="52">
        <f>'Input - Poultry'!F47</f>
        <v>0.2</v>
      </c>
      <c r="H177" s="52">
        <f>'Input - Poultry'!G47</f>
        <v>0.2</v>
      </c>
      <c r="I177" s="52">
        <f>'Input - Poultry'!H47</f>
        <v>0.2</v>
      </c>
      <c r="J177" s="2"/>
    </row>
    <row r="178" spans="4:20" ht="20.100000000000001" customHeight="1" x14ac:dyDescent="0.25">
      <c r="D178" s="52"/>
      <c r="E178" s="52" t="str">
        <f>'Input - Poultry'!$D$48</f>
        <v>Direct processing</v>
      </c>
      <c r="F178" s="52">
        <f>'Input - Poultry'!E48</f>
        <v>0.2</v>
      </c>
      <c r="G178" s="52">
        <f>'Input - Poultry'!F48</f>
        <v>0.2</v>
      </c>
      <c r="H178" s="52">
        <f>'Input - Poultry'!G48</f>
        <v>0.2</v>
      </c>
      <c r="I178" s="52">
        <f>'Input - Poultry'!H48</f>
        <v>0.2</v>
      </c>
      <c r="J178" s="2"/>
    </row>
    <row r="179" spans="4:20" ht="20.100000000000001" customHeight="1" x14ac:dyDescent="0.25">
      <c r="D179" s="52"/>
      <c r="E179" s="52" t="str">
        <f>'Input - Poultry'!$D$49</f>
        <v>Direct application</v>
      </c>
      <c r="F179" s="52">
        <f>'Input - Poultry'!E49</f>
        <v>0.19999999999999996</v>
      </c>
      <c r="G179" s="52">
        <f>'Input - Poultry'!F49</f>
        <v>0.19999999999999996</v>
      </c>
      <c r="H179" s="52">
        <f>'Input - Poultry'!G49</f>
        <v>0.19999999999999996</v>
      </c>
      <c r="I179" s="52">
        <f>'Input - Poultry'!H49</f>
        <v>0.19999999999999996</v>
      </c>
    </row>
    <row r="180" spans="4:20" ht="20.100000000000001" customHeight="1" x14ac:dyDescent="0.25">
      <c r="D180" s="52" t="str">
        <f>'Input - Poultry'!$D$32</f>
        <v>Manure stored in house</v>
      </c>
      <c r="E180" s="52" t="str">
        <f>'Input - Poultry'!$D$52</f>
        <v>Solid storage</v>
      </c>
      <c r="F180" s="52">
        <f>'Input - Poultry'!E52</f>
        <v>0.2</v>
      </c>
      <c r="G180" s="52">
        <f>'Input - Poultry'!F52</f>
        <v>0.2</v>
      </c>
      <c r="H180" s="52">
        <f>'Input - Poultry'!G52</f>
        <v>0.2</v>
      </c>
      <c r="I180" s="52">
        <f>'Input - Poultry'!H52</f>
        <v>0.2</v>
      </c>
      <c r="J180" s="2"/>
    </row>
    <row r="181" spans="4:20" ht="20.100000000000001" customHeight="1" x14ac:dyDescent="0.25">
      <c r="D181" s="52"/>
      <c r="E181" s="52" t="str">
        <f>'Input - Poultry'!$D$53</f>
        <v>Composting (passive windrow)</v>
      </c>
      <c r="F181" s="52">
        <f>'Input - Poultry'!E53</f>
        <v>0.2</v>
      </c>
      <c r="G181" s="52">
        <f>'Input - Poultry'!F53</f>
        <v>0.2</v>
      </c>
      <c r="H181" s="52">
        <f>'Input - Poultry'!G53</f>
        <v>0.2</v>
      </c>
      <c r="I181" s="52">
        <f>'Input - Poultry'!H53</f>
        <v>0.2</v>
      </c>
      <c r="J181" s="2"/>
    </row>
    <row r="182" spans="4:20" ht="20.100000000000001" customHeight="1" x14ac:dyDescent="0.25">
      <c r="D182" s="52"/>
      <c r="E182" s="52" t="str">
        <f>'Input - Poultry'!$D$54</f>
        <v>Digester / covered lagoons</v>
      </c>
      <c r="F182" s="52">
        <f>'Input - Poultry'!E54</f>
        <v>0.2</v>
      </c>
      <c r="G182" s="52">
        <f>'Input - Poultry'!F54</f>
        <v>0.2</v>
      </c>
      <c r="H182" s="52">
        <f>'Input - Poultry'!G54</f>
        <v>0.2</v>
      </c>
      <c r="I182" s="52">
        <f>'Input - Poultry'!H54</f>
        <v>0.2</v>
      </c>
      <c r="J182" s="2"/>
    </row>
    <row r="183" spans="4:20" ht="20.100000000000001" customHeight="1" x14ac:dyDescent="0.25">
      <c r="D183" s="52"/>
      <c r="E183" s="52" t="str">
        <f>'Input - Poultry'!$D$55</f>
        <v>Direct processing</v>
      </c>
      <c r="F183" s="52">
        <f>'Input - Poultry'!E55</f>
        <v>0.2</v>
      </c>
      <c r="G183" s="52">
        <f>'Input - Poultry'!F55</f>
        <v>0.2</v>
      </c>
      <c r="H183" s="52">
        <f>'Input - Poultry'!G55</f>
        <v>0.2</v>
      </c>
      <c r="I183" s="52">
        <f>'Input - Poultry'!H55</f>
        <v>0.2</v>
      </c>
      <c r="J183" s="2"/>
    </row>
    <row r="184" spans="4:20" ht="20.100000000000001" customHeight="1" x14ac:dyDescent="0.25">
      <c r="D184" s="52"/>
      <c r="E184" s="52" t="str">
        <f>'Input - Poultry'!$D$56</f>
        <v>Direct application</v>
      </c>
      <c r="F184" s="52">
        <f>'Input - Poultry'!E56</f>
        <v>0.19999999999999996</v>
      </c>
      <c r="G184" s="52">
        <f>'Input - Poultry'!F56</f>
        <v>0.19999999999999996</v>
      </c>
      <c r="H184" s="52">
        <f>'Input - Poultry'!G56</f>
        <v>0.19999999999999996</v>
      </c>
      <c r="I184" s="52">
        <f>'Input - Poultry'!H56</f>
        <v>0.19999999999999996</v>
      </c>
    </row>
    <row r="185" spans="4:20" ht="20.100000000000001" customHeight="1" x14ac:dyDescent="0.25"/>
    <row r="186" spans="4:20" ht="20.100000000000001" customHeight="1" x14ac:dyDescent="0.25">
      <c r="D186" s="98" t="s">
        <v>270</v>
      </c>
      <c r="N186" s="98" t="s">
        <v>271</v>
      </c>
    </row>
    <row r="187" spans="4:20" ht="20.100000000000001" customHeight="1" x14ac:dyDescent="0.25">
      <c r="D187" s="97" t="s">
        <v>156</v>
      </c>
      <c r="N187" s="97" t="s">
        <v>168</v>
      </c>
    </row>
    <row r="188" spans="4:20" ht="20.100000000000001" customHeight="1" x14ac:dyDescent="0.25">
      <c r="D188" s="51" t="s">
        <v>136</v>
      </c>
      <c r="E188" s="51" t="s">
        <v>138</v>
      </c>
      <c r="F188" s="51" t="s">
        <v>196</v>
      </c>
      <c r="G188" s="51" t="s">
        <v>197</v>
      </c>
      <c r="H188" s="51" t="s">
        <v>209</v>
      </c>
      <c r="I188" s="51" t="s">
        <v>210</v>
      </c>
      <c r="N188" s="51" t="s">
        <v>136</v>
      </c>
      <c r="O188" s="51" t="s">
        <v>138</v>
      </c>
      <c r="P188" s="51" t="s">
        <v>196</v>
      </c>
      <c r="Q188" s="51" t="s">
        <v>197</v>
      </c>
      <c r="R188" s="51" t="s">
        <v>209</v>
      </c>
      <c r="S188" s="51" t="s">
        <v>210</v>
      </c>
    </row>
    <row r="189" spans="4:20" ht="20.100000000000001" customHeight="1" x14ac:dyDescent="0.25">
      <c r="D189" s="52" t="str">
        <f>'Input - Poultry'!$D$30</f>
        <v>Poultry manure with bedding</v>
      </c>
      <c r="E189" s="52" t="str">
        <f>'Input - Poultry'!$D$38</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'Input - Poultry'!$D$30</f>
        <v>Poultry manure with bedding</v>
      </c>
      <c r="O189" s="52" t="str">
        <f>'Input - Poultry'!$D$38</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'Input - Poultry'!$D$39</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'Input - Poultry'!$D$39</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'Input - Poultry'!$D$40</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'Input - Poultry'!$D$40</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'Input - Poultry'!$D$41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'Input - Poultry'!$D$41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'Input - Poultry'!$D$42</f>
        <v>Direct application</v>
      </c>
      <c r="F193" s="52" cm="1">
        <f t="array" ref="F193">MMS_Poultry_N2ODirect_Equations.VEERG_4_6_1_3__6_Stage2NitrogenInMMS(E$150,F174)</f>
        <v>0.7127115839999999</v>
      </c>
      <c r="G193" s="52" cm="1">
        <f t="array" ref="G193">MMS_Poultry_N2ODirect_Equations.VEERG_4_6_1_3__6_Stage2NitrogenInMMS(F$150,G174)</f>
        <v>0.7607379167999998</v>
      </c>
      <c r="H193" s="52" cm="1">
        <f t="array" ref="H193">MMS_Poultry_N2ODirect_Equations.VEERG_4_6_1_3__6_Stage2NitrogenInMMS(G$150,H174)</f>
        <v>0.89299319039999958</v>
      </c>
      <c r="I193" s="52" cm="1">
        <f t="array" ref="I193">MMS_Poultry_N2ODirect_Equations.VEERG_4_6_1_3__6_Stage2NitrogenInMMS(H$150,I174)</f>
        <v>0.7607379167999998</v>
      </c>
      <c r="N193" s="52"/>
      <c r="O193" s="52" t="str">
        <f>'Input - Poultry'!$D$42</f>
        <v>Direct application</v>
      </c>
      <c r="P193" s="52" cm="1">
        <f t="array" ref="P193">MMS_Poultry_N2ODirect_Equations.VEERG_4_6_1_3__6_Stage2NitrogenInMMS(O$150,F174)</f>
        <v>0.7127115839999999</v>
      </c>
      <c r="Q193" s="52" cm="1">
        <f t="array" ref="Q193">MMS_Poultry_N2ODirect_Equations.VEERG_4_6_1_3__6_Stage2NitrogenInMMS(P$150,G174)</f>
        <v>0.7607379167999998</v>
      </c>
      <c r="R193" s="52" cm="1">
        <f t="array" ref="R193">MMS_Poultry_N2ODirect_Equations.VEERG_4_6_1_3__6_Stage2NitrogenInMMS(Q$150,H174)</f>
        <v>0.89299319039999958</v>
      </c>
      <c r="S193" s="52" cm="1">
        <f t="array" ref="S193">MMS_Poultry_N2ODirect_Equations.VEERG_4_6_1_3__6_Stage2NitrogenInMMS(R$150,I174)</f>
        <v>0.7607379167999998</v>
      </c>
    </row>
    <row r="194" spans="1:21" ht="20.100000000000001" customHeight="1" x14ac:dyDescent="0.25">
      <c r="D194" s="52" t="str">
        <f>'Input - Poultry'!$D$31</f>
        <v>Belt manure removal</v>
      </c>
      <c r="E194" s="52" t="str">
        <f>'Input - Poultry'!$D$45</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'Input - Poultry'!$D$31</f>
        <v>Belt manure removal</v>
      </c>
      <c r="O194" s="52" t="str">
        <f>'Input - Poultry'!$D$45</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'Input - Poultry'!$D$46</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'Input - Poultry'!$D$46</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'Input - Poultry'!$D$47</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'Input - Poultry'!$D$47</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'Input - Poultry'!$D$48</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'Input - Poultry'!$D$48</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'Input - Poultry'!$D$49</f>
        <v>Direct application</v>
      </c>
      <c r="F198" s="52" cm="1">
        <f t="array" ref="F198">MMS_Poultry_N2ODirect_Equations.VEERG_4_6_1_3__6_Stage2NitrogenInMMS(E$151,F179)</f>
        <v>0.96761558399999992</v>
      </c>
      <c r="G198" s="52" cm="1">
        <f t="array" ref="G198">MMS_Poultry_N2ODirect_Equations.VEERG_4_6_1_3__6_Stage2NitrogenInMMS(F$151,G179)</f>
        <v>1.0328187167999998</v>
      </c>
      <c r="H198" s="52" cm="1">
        <f t="array" ref="H198">MMS_Poultry_N2ODirect_Equations.VEERG_4_6_1_3__6_Stage2NitrogenInMMS(G$151,H179)</f>
        <v>1.2123755903999998</v>
      </c>
      <c r="I198" s="52" cm="1">
        <f t="array" ref="I198">MMS_Poultry_N2ODirect_Equations.VEERG_4_6_1_3__6_Stage2NitrogenInMMS(H$151,I179)</f>
        <v>1.0328187167999998</v>
      </c>
      <c r="N198" s="52"/>
      <c r="O198" s="52" t="str">
        <f>'Input - Poultry'!$D$49</f>
        <v>Direct application</v>
      </c>
      <c r="P198" s="52" cm="1">
        <f t="array" ref="P198">MMS_Poultry_N2ODirect_Equations.VEERG_4_6_1_3__6_Stage2NitrogenInMMS(O$151,F179)</f>
        <v>0.96761558399999992</v>
      </c>
      <c r="Q198" s="52" cm="1">
        <f t="array" ref="Q198">MMS_Poultry_N2ODirect_Equations.VEERG_4_6_1_3__6_Stage2NitrogenInMMS(P$151,G179)</f>
        <v>1.0328187167999998</v>
      </c>
      <c r="R198" s="52" cm="1">
        <f t="array" ref="R198">MMS_Poultry_N2ODirect_Equations.VEERG_4_6_1_3__6_Stage2NitrogenInMMS(Q$151,H179)</f>
        <v>1.2123755903999998</v>
      </c>
      <c r="S198" s="52" cm="1">
        <f t="array" ref="S198">MMS_Poultry_N2ODirect_Equations.VEERG_4_6_1_3__6_Stage2NitrogenInMMS(R$151,I179)</f>
        <v>1.0328187167999998</v>
      </c>
    </row>
    <row r="199" spans="1:21" ht="20.100000000000001" customHeight="1" x14ac:dyDescent="0.25">
      <c r="D199" s="52" t="str">
        <f>'Input - Poultry'!$D$32</f>
        <v>Manure stored in house</v>
      </c>
      <c r="E199" s="52" t="str">
        <f>'Input - Poultry'!$D$52</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'Input - Poultry'!$D$32</f>
        <v>Manure stored in house</v>
      </c>
      <c r="O199" s="52" t="str">
        <f>'Input - Poultry'!$D$52</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'Input - Poultry'!$D$53</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'Input - Poultry'!$D$53</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'Input - Poultry'!$D$54</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'Input - Poultry'!$D$54</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'Input - Poultry'!$D$55</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'Input - Poultry'!$D$55</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'Input - Poultry'!$D$56</f>
        <v>Direct application</v>
      </c>
      <c r="F203" s="52" cm="1">
        <f t="array" ref="F203">MMS_Poultry_N2ODirect_Equations.VEERG_4_6_1_3__6_Stage2NitrogenInMMS(E$152,F184)</f>
        <v>0.61074998399999991</v>
      </c>
      <c r="G203" s="52" cm="1">
        <f t="array" ref="G203">MMS_Poultry_N2ODirect_Equations.VEERG_4_6_1_3__6_Stage2NitrogenInMMS(F$152,G184)</f>
        <v>0.65190559679999971</v>
      </c>
      <c r="H203" s="52" cm="1">
        <f t="array" ref="H203">MMS_Poultry_N2ODirect_Equations.VEERG_4_6_1_3__6_Stage2NitrogenInMMS(G$152,H184)</f>
        <v>0.76524023039999967</v>
      </c>
      <c r="I203" s="52" cm="1">
        <f t="array" ref="I203">MMS_Poultry_N2ODirect_Equations.VEERG_4_6_1_3__6_Stage2NitrogenInMMS(H$152,I184)</f>
        <v>0.65190559679999971</v>
      </c>
      <c r="N203" s="52"/>
      <c r="O203" s="52" t="str">
        <f>'Input - Poultry'!$D$56</f>
        <v>Direct application</v>
      </c>
      <c r="P203" s="52" cm="1">
        <f t="array" ref="P203">MMS_Poultry_N2ODirect_Equations.VEERG_4_6_1_3__6_Stage2NitrogenInMMS(O$152,F184)</f>
        <v>0.61074998399999991</v>
      </c>
      <c r="Q203" s="52" cm="1">
        <f t="array" ref="Q203">MMS_Poultry_N2ODirect_Equations.VEERG_4_6_1_3__6_Stage2NitrogenInMMS(P$152,G184)</f>
        <v>0.65190559679999971</v>
      </c>
      <c r="R203" s="52" cm="1">
        <f t="array" ref="R203">MMS_Poultry_N2ODirect_Equations.VEERG_4_6_1_3__6_Stage2NitrogenInMMS(Q$152,H184)</f>
        <v>0.76524023039999967</v>
      </c>
      <c r="S203" s="52" cm="1">
        <f t="array" ref="S203">MMS_Poultry_N2ODirect_Equations.VEERG_4_6_1_3__6_Stage2NitrogenInMMS(R$152,I184)</f>
        <v>0.65190559679999971</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24</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27</v>
      </c>
      <c r="E212" s="1" t="str" cm="1">
        <f t="array" ref="E212">MMS_Poultry_N2ODirect_Equations.VEERG_4_6_1_3__1_TotalAnnualDirectNitrousOxideEmissionsFromMMS_Variable()</f>
        <v>E_N2Odir</v>
      </c>
    </row>
    <row r="213" spans="4:19" ht="20.100000000000001" customHeight="1" x14ac:dyDescent="0.25">
      <c r="D213" s="53" t="s">
        <v>17</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347</v>
      </c>
      <c r="E219" s="90"/>
      <c r="F219" s="90"/>
      <c r="G219" s="86"/>
    </row>
    <row r="220" spans="4:19" ht="20.100000000000001" customHeight="1" x14ac:dyDescent="0.25">
      <c r="D220" s="92" t="s">
        <v>348</v>
      </c>
      <c r="E220" s="89"/>
      <c r="F220" s="89"/>
      <c r="G220" s="87"/>
    </row>
    <row r="221" spans="4:19" ht="20.100000000000001" customHeight="1" x14ac:dyDescent="0.25"/>
    <row r="222" spans="4:19" ht="20.100000000000001" customHeight="1" x14ac:dyDescent="0.25">
      <c r="D222" s="98" t="s">
        <v>157</v>
      </c>
      <c r="N222" s="98" t="s">
        <v>368</v>
      </c>
    </row>
    <row r="223" spans="4:19" ht="20.100000000000001" customHeight="1" x14ac:dyDescent="0.25">
      <c r="D223" s="97" t="s">
        <v>273</v>
      </c>
      <c r="N223" s="97" t="s">
        <v>274</v>
      </c>
    </row>
    <row r="224" spans="4:19" ht="20.100000000000001" customHeight="1" x14ac:dyDescent="0.25">
      <c r="D224" s="51" t="s">
        <v>136</v>
      </c>
      <c r="E224" s="51" t="s">
        <v>138</v>
      </c>
      <c r="F224" s="51" t="s">
        <v>196</v>
      </c>
      <c r="G224" s="51" t="s">
        <v>197</v>
      </c>
      <c r="H224" s="51" t="s">
        <v>209</v>
      </c>
      <c r="I224" s="51" t="s">
        <v>210</v>
      </c>
      <c r="N224" s="51" t="s">
        <v>136</v>
      </c>
      <c r="O224" s="51" t="s">
        <v>138</v>
      </c>
      <c r="P224" s="51" t="s">
        <v>196</v>
      </c>
      <c r="Q224" s="51" t="s">
        <v>197</v>
      </c>
      <c r="R224" s="51" t="s">
        <v>209</v>
      </c>
      <c r="S224" s="51" t="s">
        <v>210</v>
      </c>
    </row>
    <row r="225" spans="4:20" ht="20.100000000000001" customHeight="1" x14ac:dyDescent="0.25">
      <c r="D225" s="52" t="str">
        <f>'Input - Poultry'!$D$30</f>
        <v>Poultry manure with bedding</v>
      </c>
      <c r="E225" s="52" t="s">
        <v>134</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'Input - Poultry'!$D$30</f>
        <v>Poultry manure with bedding</v>
      </c>
      <c r="O225" s="52" t="s">
        <v>134</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'Input - Poultry'!$D$31</f>
        <v>Belt manure removal</v>
      </c>
      <c r="E226" s="52" t="s">
        <v>134</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'Input - Poultry'!$D$31</f>
        <v>Belt manure removal</v>
      </c>
      <c r="O226" s="52" t="s">
        <v>134</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'Input - Poultry'!$D$32</f>
        <v>Manure stored in house</v>
      </c>
      <c r="E227" s="52" t="s">
        <v>134</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'Input - Poultry'!$D$32</f>
        <v>Manure stored in house</v>
      </c>
      <c r="O227" s="52" t="s">
        <v>134</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'Input - Poultry'!$D$33</f>
        <v>Pasture range and paddock</v>
      </c>
      <c r="E228" s="52" t="s">
        <v>134</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'Input - Poultry'!$D$33</f>
        <v>Pasture range and paddock</v>
      </c>
      <c r="O228" s="52" t="s">
        <v>134</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'Input - Poultry'!$D$30</f>
        <v>Poultry manure with bedding</v>
      </c>
      <c r="E229" s="52" t="str">
        <f>'Input - Poultry'!$D$38</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'Input - Poultry'!$D$30</f>
        <v>Poultry manure with bedding</v>
      </c>
      <c r="O229" s="52" t="str">
        <f>'Input - Poultry'!$D$38</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'Input - Poultry'!$D$39</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'Input - Poultry'!$D$39</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'Input - Poultry'!$D$40</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'Input - Poultry'!$D$40</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'Input - Poultry'!$D$41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'Input - Poultry'!$D$41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'Input - Poultry'!$D$42</f>
        <v>Direct application</v>
      </c>
      <c r="F233" s="52" t="s">
        <v>134</v>
      </c>
      <c r="G233" s="52" t="s">
        <v>134</v>
      </c>
      <c r="H233" s="52" t="s">
        <v>134</v>
      </c>
      <c r="I233" s="52" t="s">
        <v>134</v>
      </c>
      <c r="N233" s="52"/>
      <c r="O233" s="52" t="str">
        <f>'Input - Poultry'!$D$42</f>
        <v>Direct application</v>
      </c>
      <c r="P233" s="52" t="s">
        <v>134</v>
      </c>
      <c r="Q233" s="52" t="s">
        <v>134</v>
      </c>
      <c r="R233" s="52" t="s">
        <v>134</v>
      </c>
      <c r="S233" s="52" t="s">
        <v>134</v>
      </c>
    </row>
    <row r="234" spans="4:20" ht="20.100000000000001" customHeight="1" x14ac:dyDescent="0.25">
      <c r="D234" s="52" t="str">
        <f>'Input - Poultry'!$D$31</f>
        <v>Belt manure removal</v>
      </c>
      <c r="E234" s="52" t="str">
        <f>'Input - Poultry'!$D$45</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'Input - Poultry'!$D$31</f>
        <v>Belt manure removal</v>
      </c>
      <c r="O234" s="52" t="str">
        <f>'Input - Poultry'!$D$45</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'Input - Poultry'!$D$46</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'Input - Poultry'!$D$46</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'Input - Poultry'!$D$47</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'Input - Poultry'!$D$47</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'Input - Poultry'!$D$48</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'Input - Poultry'!$D$48</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'Input - Poultry'!$D$49</f>
        <v>Direct application</v>
      </c>
      <c r="F238" s="52" t="s">
        <v>134</v>
      </c>
      <c r="G238" s="52" t="s">
        <v>134</v>
      </c>
      <c r="H238" s="52" t="s">
        <v>134</v>
      </c>
      <c r="I238" s="52" t="s">
        <v>134</v>
      </c>
      <c r="N238" s="52"/>
      <c r="O238" s="52" t="str">
        <f>'Input - Poultry'!$D$49</f>
        <v>Direct application</v>
      </c>
      <c r="P238" s="52" t="s">
        <v>134</v>
      </c>
      <c r="Q238" s="52" t="s">
        <v>134</v>
      </c>
      <c r="R238" s="52" t="s">
        <v>134</v>
      </c>
      <c r="S238" s="52" t="s">
        <v>134</v>
      </c>
    </row>
    <row r="239" spans="4:20" ht="20.100000000000001" customHeight="1" x14ac:dyDescent="0.25">
      <c r="D239" s="52" t="str">
        <f>'Input - Poultry'!$D$32</f>
        <v>Manure stored in house</v>
      </c>
      <c r="E239" s="52" t="str">
        <f>'Input - Poultry'!$D$52</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'Input - Poultry'!$D$32</f>
        <v>Manure stored in house</v>
      </c>
      <c r="O239" s="52" t="str">
        <f>'Input - Poultry'!$D$52</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'Input - Poultry'!$D$53</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'Input - Poultry'!$D$53</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'Input - Poultry'!$D$54</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'Input - Poultry'!$D$54</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'Input - Poultry'!$D$55</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'Input - Poultry'!$D$55</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'Input - Poultry'!$D$56</f>
        <v>Direct application</v>
      </c>
      <c r="F243" s="52" t="s">
        <v>134</v>
      </c>
      <c r="G243" s="52" t="s">
        <v>134</v>
      </c>
      <c r="H243" s="52" t="s">
        <v>134</v>
      </c>
      <c r="I243" s="52" t="s">
        <v>134</v>
      </c>
      <c r="N243" s="52"/>
      <c r="O243" s="52" t="str">
        <f>'Input - Poultry'!$D$56</f>
        <v>Direct application</v>
      </c>
      <c r="P243" s="52" t="s">
        <v>134</v>
      </c>
      <c r="Q243" s="52" t="s">
        <v>134</v>
      </c>
      <c r="R243" s="52" t="s">
        <v>134</v>
      </c>
      <c r="S243" s="52" t="s">
        <v>134</v>
      </c>
    </row>
    <row r="244" spans="1:20" ht="20.100000000000001" customHeight="1" x14ac:dyDescent="0.25"/>
    <row r="245" spans="1:20" ht="20.100000000000001" customHeight="1" x14ac:dyDescent="0.25">
      <c r="D245" s="99" t="s">
        <v>98</v>
      </c>
      <c r="E245" s="100">
        <f>SUM(F225:I243)</f>
        <v>5.7674954756571411E-4</v>
      </c>
      <c r="F245" s="101" t="str">
        <f>$E$213</f>
        <v>t N2O</v>
      </c>
      <c r="N245" s="99" t="s">
        <v>98</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95</v>
      </c>
      <c r="E250" s="45" cm="1">
        <f t="array" ref="E250">Common_Equations.Common_ConvertN2OToCO2e(G247,G248)</f>
        <v>0.15283863010491425</v>
      </c>
      <c r="F250" s="103" t="str" cm="1">
        <f t="array" ref="F250">Common_Equations.Common_ConvertN2OToCO2e_Unit()</f>
        <v>t CO2e</v>
      </c>
      <c r="N250" s="45" t="s">
        <v>95</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D75" workbookViewId="0">
      <selection activeCell="D81" sqref="D8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275</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24</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MMS_Poultry_AtmosphericDeposition_Equations.VEERG_4_6_1_5__2_TotalNitrogenVolatilisedFromMMS_Variable()</f>
        <v>MMS_ATMOS</v>
      </c>
    </row>
    <row r="11" spans="1:21" ht="20.100000000000001" customHeight="1" x14ac:dyDescent="0.25">
      <c r="A11" s="19" t="s">
        <v>72</v>
      </c>
      <c r="D11" s="53" t="s">
        <v>17</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349</v>
      </c>
      <c r="E16" s="90"/>
      <c r="F16" s="90"/>
      <c r="G16" s="86"/>
    </row>
    <row r="17" spans="1:20" ht="20.100000000000001" customHeight="1" x14ac:dyDescent="0.25">
      <c r="A17" s="17" t="str">
        <f>HYPERLINK("#'4.6.1.10-11 Soil direct N2O'!A1", "4.6.1.10-11 Soil direct N2O")</f>
        <v>4.6.1.10-11 Soil direct N2O</v>
      </c>
      <c r="D17" s="92" t="s">
        <v>348</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276</v>
      </c>
      <c r="N19" s="98" t="s">
        <v>282</v>
      </c>
    </row>
    <row r="20" spans="1:20" ht="20.100000000000001" customHeight="1" x14ac:dyDescent="0.25">
      <c r="D20" s="97" t="s">
        <v>277</v>
      </c>
      <c r="N20" s="97" t="s">
        <v>283</v>
      </c>
    </row>
    <row r="21" spans="1:20" ht="20.100000000000001" customHeight="1" x14ac:dyDescent="0.25">
      <c r="A21" s="18" t="s">
        <v>2</v>
      </c>
      <c r="D21" s="51" t="s">
        <v>136</v>
      </c>
      <c r="E21" s="51" t="s">
        <v>138</v>
      </c>
      <c r="F21" s="51" t="s">
        <v>196</v>
      </c>
      <c r="G21" s="51" t="s">
        <v>197</v>
      </c>
      <c r="H21" s="51" t="s">
        <v>209</v>
      </c>
      <c r="I21" s="51" t="s">
        <v>210</v>
      </c>
      <c r="N21" s="51" t="s">
        <v>136</v>
      </c>
      <c r="O21" s="51" t="s">
        <v>138</v>
      </c>
      <c r="P21" s="51" t="s">
        <v>196</v>
      </c>
      <c r="Q21" s="51" t="s">
        <v>197</v>
      </c>
      <c r="R21" s="51" t="s">
        <v>209</v>
      </c>
      <c r="S21" s="51" t="s">
        <v>210</v>
      </c>
    </row>
    <row r="22" spans="1:20" ht="20.100000000000001" customHeight="1" x14ac:dyDescent="0.25">
      <c r="A22" s="17" t="str">
        <f>HYPERLINK("#'Constants - Poultry'!A1", "Constants - Poultry")</f>
        <v>Constants - Poultry</v>
      </c>
      <c r="D22" s="52" t="str">
        <f>'Input - Poultry'!$D$30</f>
        <v>Poultry manure with bedding</v>
      </c>
      <c r="E22" s="52" t="s">
        <v>134</v>
      </c>
      <c r="F22" s="52">
        <f>'4.6.1.3-4 Direct N20'!E108</f>
        <v>5.0980800000000013</v>
      </c>
      <c r="G22" s="52">
        <f>'4.6.1.3-4 Direct N20'!F108</f>
        <v>5.4416159999999998</v>
      </c>
      <c r="H22" s="52">
        <f>'4.6.1.3-4 Direct N20'!G108</f>
        <v>6.3876479999999995</v>
      </c>
      <c r="I22" s="52">
        <f>'4.6.1.3-4 Direct N20'!H108</f>
        <v>5.4416159999999998</v>
      </c>
      <c r="J22" s="2" t="str">
        <f>$G$13</f>
        <v>kg N</v>
      </c>
      <c r="N22" s="52" t="str">
        <f>'Input - Poultry'!$D$30</f>
        <v>Poultry manure with bedding</v>
      </c>
      <c r="O22" s="52" t="s">
        <v>134</v>
      </c>
      <c r="P22" s="52">
        <f>'4.6.1.3-4 Direct N20'!O108</f>
        <v>5.0980800000000013</v>
      </c>
      <c r="Q22" s="52">
        <f>'4.6.1.3-4 Direct N20'!P108</f>
        <v>5.4416159999999998</v>
      </c>
      <c r="R22" s="52">
        <f>'4.6.1.3-4 Direct N20'!Q108</f>
        <v>6.3876479999999995</v>
      </c>
      <c r="S22" s="52">
        <f>'4.6.1.3-4 Direct N20'!R108</f>
        <v>5.4416159999999998</v>
      </c>
      <c r="T22" s="2" t="str">
        <f>$G$13</f>
        <v>kg N</v>
      </c>
    </row>
    <row r="23" spans="1:20" ht="20.100000000000001" customHeight="1" x14ac:dyDescent="0.25">
      <c r="A23" s="17" t="str">
        <f>HYPERLINK("#'Constants - Livestock'!A1", "Constants - Livestock")</f>
        <v>Constants - Livestock</v>
      </c>
      <c r="D23" s="52" t="str">
        <f>'Input - Poultry'!$D$31</f>
        <v>Belt manure removal</v>
      </c>
      <c r="E23" s="52" t="s">
        <v>134</v>
      </c>
      <c r="F23" s="52">
        <f>'4.6.1.3-4 Direct N20'!E109</f>
        <v>5.0980800000000013</v>
      </c>
      <c r="G23" s="52">
        <f>'4.6.1.3-4 Direct N20'!F109</f>
        <v>5.4416159999999998</v>
      </c>
      <c r="H23" s="52">
        <f>'4.6.1.3-4 Direct N20'!G109</f>
        <v>6.3876479999999995</v>
      </c>
      <c r="I23" s="52">
        <f>'4.6.1.3-4 Direct N20'!H109</f>
        <v>5.4416159999999998</v>
      </c>
      <c r="J23" s="2"/>
      <c r="N23" s="52" t="str">
        <f>'Input - Poultry'!$D$31</f>
        <v>Belt manure removal</v>
      </c>
      <c r="O23" s="52" t="s">
        <v>134</v>
      </c>
      <c r="P23" s="52">
        <f>'4.6.1.3-4 Direct N20'!O109</f>
        <v>5.0980800000000013</v>
      </c>
      <c r="Q23" s="52">
        <f>'4.6.1.3-4 Direct N20'!P109</f>
        <v>5.4416159999999998</v>
      </c>
      <c r="R23" s="52">
        <f>'4.6.1.3-4 Direct N20'!Q109</f>
        <v>6.3876479999999995</v>
      </c>
      <c r="S23" s="52">
        <f>'4.6.1.3-4 Direct N20'!R109</f>
        <v>5.4416159999999998</v>
      </c>
      <c r="T23" s="2"/>
    </row>
    <row r="24" spans="1:20" ht="20.100000000000001" customHeight="1" x14ac:dyDescent="0.25">
      <c r="A24" s="17" t="str">
        <f>HYPERLINK("#'Constants - Common'!A1", "Constants - Common")</f>
        <v>Constants - Common</v>
      </c>
      <c r="D24" s="52" t="str">
        <f>'Input - Poultry'!$D$32</f>
        <v>Manure stored in house</v>
      </c>
      <c r="E24" s="52" t="s">
        <v>134</v>
      </c>
      <c r="F24" s="52">
        <f>'4.6.1.3-4 Direct N20'!E110</f>
        <v>5.0980800000000013</v>
      </c>
      <c r="G24" s="52">
        <f>'4.6.1.3-4 Direct N20'!F110</f>
        <v>5.4416159999999998</v>
      </c>
      <c r="H24" s="52">
        <f>'4.6.1.3-4 Direct N20'!G110</f>
        <v>6.3876479999999995</v>
      </c>
      <c r="I24" s="52">
        <f>'4.6.1.3-4 Direct N20'!H110</f>
        <v>5.4416159999999998</v>
      </c>
      <c r="J24" s="2"/>
      <c r="N24" s="52" t="str">
        <f>'Input - Poultry'!$D$32</f>
        <v>Manure stored in house</v>
      </c>
      <c r="O24" s="52" t="s">
        <v>134</v>
      </c>
      <c r="P24" s="52">
        <f>'4.6.1.3-4 Direct N20'!O110</f>
        <v>5.0980800000000013</v>
      </c>
      <c r="Q24" s="52">
        <f>'4.6.1.3-4 Direct N20'!P110</f>
        <v>5.4416159999999998</v>
      </c>
      <c r="R24" s="52">
        <f>'4.6.1.3-4 Direct N20'!Q110</f>
        <v>6.3876479999999995</v>
      </c>
      <c r="S24" s="52">
        <f>'4.6.1.3-4 Direct N20'!R110</f>
        <v>5.4416159999999998</v>
      </c>
      <c r="T24" s="2"/>
    </row>
    <row r="25" spans="1:20" ht="20.100000000000001" customHeight="1" x14ac:dyDescent="0.25">
      <c r="A25" s="17"/>
      <c r="D25" s="52" t="str">
        <f>'Input - Poultry'!$D$33</f>
        <v>Pasture range and paddock</v>
      </c>
      <c r="E25" s="52" t="s">
        <v>134</v>
      </c>
      <c r="F25" s="52">
        <f>'4.6.1.3-4 Direct N20'!E111</f>
        <v>1.6993600000000004</v>
      </c>
      <c r="G25" s="52">
        <f>'4.6.1.3-4 Direct N20'!F111</f>
        <v>1.8138719999999999</v>
      </c>
      <c r="H25" s="52">
        <f>'4.6.1.3-4 Direct N20'!G111</f>
        <v>2.129216</v>
      </c>
      <c r="I25" s="52">
        <f>'4.6.1.3-4 Direct N20'!H111</f>
        <v>1.8138719999999999</v>
      </c>
      <c r="J25" s="2"/>
      <c r="N25" s="52" t="str">
        <f>'Input - Poultry'!$D$33</f>
        <v>Pasture range and paddock</v>
      </c>
      <c r="O25" s="52" t="s">
        <v>134</v>
      </c>
      <c r="P25" s="52">
        <f>'4.6.1.3-4 Direct N20'!O111</f>
        <v>1.6993600000000004</v>
      </c>
      <c r="Q25" s="52">
        <f>'4.6.1.3-4 Direct N20'!P111</f>
        <v>1.8138719999999999</v>
      </c>
      <c r="R25" s="52">
        <f>'4.6.1.3-4 Direct N20'!Q111</f>
        <v>2.129216</v>
      </c>
      <c r="S25" s="52">
        <f>'4.6.1.3-4 Direct N20'!R111</f>
        <v>1.8138719999999999</v>
      </c>
      <c r="T25" s="2"/>
    </row>
    <row r="26" spans="1:20" ht="20.100000000000001" customHeight="1" x14ac:dyDescent="0.25">
      <c r="D26" s="52" t="str">
        <f>'Input - Poultry'!$D$30</f>
        <v>Poultry manure with bedding</v>
      </c>
      <c r="E26" s="52" t="str">
        <f>'Input - Poultry'!$D$38</f>
        <v>Solid storage</v>
      </c>
      <c r="F26" s="52">
        <f>'4.6.1.3-4 Direct N20'!F189</f>
        <v>0.71271158400000012</v>
      </c>
      <c r="G26" s="52">
        <f>'4.6.1.3-4 Direct N20'!G189</f>
        <v>0.76073791680000002</v>
      </c>
      <c r="H26" s="52">
        <f>'4.6.1.3-4 Direct N20'!H189</f>
        <v>0.89299319039999991</v>
      </c>
      <c r="I26" s="52">
        <f>'4.6.1.3-4 Direct N20'!I189</f>
        <v>0.76073791680000002</v>
      </c>
      <c r="J26" s="2"/>
      <c r="N26" s="52" t="str">
        <f>'Input - Poultry'!$D$30</f>
        <v>Poultry manure with bedding</v>
      </c>
      <c r="O26" s="52" t="str">
        <f>'Input - Poultry'!$D$38</f>
        <v>Solid storage</v>
      </c>
      <c r="P26" s="52">
        <f>'4.6.1.3-4 Direct N20'!P189</f>
        <v>0.71271158400000012</v>
      </c>
      <c r="Q26" s="52">
        <f>'4.6.1.3-4 Direct N20'!Q189</f>
        <v>0.76073791680000002</v>
      </c>
      <c r="R26" s="52">
        <f>'4.6.1.3-4 Direct N20'!R189</f>
        <v>0.89299319039999991</v>
      </c>
      <c r="S26" s="52">
        <f>'4.6.1.3-4 Direct N20'!S189</f>
        <v>0.76073791680000002</v>
      </c>
      <c r="T26" s="2"/>
    </row>
    <row r="27" spans="1:20" ht="20.100000000000001" customHeight="1" x14ac:dyDescent="0.25">
      <c r="D27" s="52"/>
      <c r="E27" s="52" t="str">
        <f>'Input - Poultry'!$D$39</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'Input - Poultry'!$D$39</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'Input - Poultry'!$D$40</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'Input - Poultry'!$D$40</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'Input - Poultry'!$D$41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'Input - Poultry'!$D$41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'Input - Poultry'!$D$42</f>
        <v>Direct application</v>
      </c>
      <c r="F30" s="52">
        <f>'4.6.1.3-4 Direct N20'!F193</f>
        <v>0.7127115839999999</v>
      </c>
      <c r="G30" s="52">
        <f>'4.6.1.3-4 Direct N20'!G193</f>
        <v>0.7607379167999998</v>
      </c>
      <c r="H30" s="52">
        <f>'4.6.1.3-4 Direct N20'!H193</f>
        <v>0.89299319039999958</v>
      </c>
      <c r="I30" s="52">
        <f>'4.6.1.3-4 Direct N20'!I193</f>
        <v>0.7607379167999998</v>
      </c>
      <c r="N30" s="52"/>
      <c r="O30" s="52" t="str">
        <f>'Input - Poultry'!$D$42</f>
        <v>Direct application</v>
      </c>
      <c r="P30" s="52">
        <f>'4.6.1.3-4 Direct N20'!P193</f>
        <v>0.7127115839999999</v>
      </c>
      <c r="Q30" s="52">
        <f>'4.6.1.3-4 Direct N20'!Q193</f>
        <v>0.7607379167999998</v>
      </c>
      <c r="R30" s="52">
        <f>'4.6.1.3-4 Direct N20'!R193</f>
        <v>0.89299319039999958</v>
      </c>
      <c r="S30" s="52">
        <f>'4.6.1.3-4 Direct N20'!S193</f>
        <v>0.7607379167999998</v>
      </c>
    </row>
    <row r="31" spans="1:20" ht="20.100000000000001" customHeight="1" x14ac:dyDescent="0.25">
      <c r="D31" s="52" t="str">
        <f>'Input - Poultry'!$D$31</f>
        <v>Belt manure removal</v>
      </c>
      <c r="E31" s="52" t="str">
        <f>'Input - Poultry'!$D$45</f>
        <v>Solid storage</v>
      </c>
      <c r="F31" s="52">
        <f>'4.6.1.3-4 Direct N20'!F194</f>
        <v>0.96761558400000025</v>
      </c>
      <c r="G31" s="52">
        <f>'4.6.1.3-4 Direct N20'!G194</f>
        <v>1.0328187168</v>
      </c>
      <c r="H31" s="52">
        <f>'4.6.1.3-4 Direct N20'!H194</f>
        <v>1.2123755904</v>
      </c>
      <c r="I31" s="52">
        <f>'4.6.1.3-4 Direct N20'!I194</f>
        <v>1.0328187168</v>
      </c>
      <c r="J31" s="2"/>
      <c r="N31" s="52" t="str">
        <f>'Input - Poultry'!$D$31</f>
        <v>Belt manure removal</v>
      </c>
      <c r="O31" s="52" t="str">
        <f>'Input - Poultry'!$D$45</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'Input - Poultry'!$D$46</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'Input - Poultry'!$D$46</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'Input - Poultry'!$D$47</f>
        <v>Digester / covered lagoons</v>
      </c>
      <c r="F33" s="52">
        <f>'4.6.1.3-4 Direct N20'!F196</f>
        <v>0.96761558400000025</v>
      </c>
      <c r="G33" s="52">
        <f>'4.6.1.3-4 Direct N20'!G196</f>
        <v>1.0328187168</v>
      </c>
      <c r="H33" s="52">
        <f>'4.6.1.3-4 Direct N20'!H196</f>
        <v>1.2123755904</v>
      </c>
      <c r="I33" s="52">
        <f>'4.6.1.3-4 Direct N20'!I196</f>
        <v>1.0328187168</v>
      </c>
      <c r="J33" s="2"/>
      <c r="N33" s="52"/>
      <c r="O33" s="52" t="str">
        <f>'Input - Poultry'!$D$47</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'Input - Poultry'!$D$48</f>
        <v>Direct processing</v>
      </c>
      <c r="F34" s="52">
        <f>'4.6.1.3-4 Direct N20'!F197</f>
        <v>0.96761558400000025</v>
      </c>
      <c r="G34" s="52">
        <f>'4.6.1.3-4 Direct N20'!G197</f>
        <v>1.0328187168</v>
      </c>
      <c r="H34" s="52">
        <f>'4.6.1.3-4 Direct N20'!H197</f>
        <v>1.2123755904</v>
      </c>
      <c r="I34" s="52">
        <f>'4.6.1.3-4 Direct N20'!I197</f>
        <v>1.0328187168</v>
      </c>
      <c r="J34" s="2"/>
      <c r="N34" s="52"/>
      <c r="O34" s="52" t="str">
        <f>'Input - Poultry'!$D$48</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'Input - Poultry'!$D$49</f>
        <v>Direct application</v>
      </c>
      <c r="F35" s="52">
        <f>'4.6.1.3-4 Direct N20'!F198</f>
        <v>0.96761558399999992</v>
      </c>
      <c r="G35" s="52">
        <f>'4.6.1.3-4 Direct N20'!G198</f>
        <v>1.0328187167999998</v>
      </c>
      <c r="H35" s="52">
        <f>'4.6.1.3-4 Direct N20'!H198</f>
        <v>1.2123755903999998</v>
      </c>
      <c r="I35" s="52">
        <f>'4.6.1.3-4 Direct N20'!I198</f>
        <v>1.0328187167999998</v>
      </c>
      <c r="N35" s="52"/>
      <c r="O35" s="52" t="str">
        <f>'Input - Poultry'!$D$49</f>
        <v>Direct application</v>
      </c>
      <c r="P35" s="52">
        <f>'4.6.1.3-4 Direct N20'!P198</f>
        <v>0.96761558399999992</v>
      </c>
      <c r="Q35" s="52">
        <f>'4.6.1.3-4 Direct N20'!Q198</f>
        <v>1.0328187167999998</v>
      </c>
      <c r="R35" s="52">
        <f>'4.6.1.3-4 Direct N20'!R198</f>
        <v>1.2123755903999998</v>
      </c>
      <c r="S35" s="52">
        <f>'4.6.1.3-4 Direct N20'!S198</f>
        <v>1.0328187167999998</v>
      </c>
    </row>
    <row r="36" spans="4:20" ht="20.100000000000001" customHeight="1" x14ac:dyDescent="0.25">
      <c r="D36" s="52" t="str">
        <f>'Input - Poultry'!$D$32</f>
        <v>Manure stored in house</v>
      </c>
      <c r="E36" s="52" t="str">
        <f>'Input - Poultry'!$D$52</f>
        <v>Solid storage</v>
      </c>
      <c r="F36" s="52">
        <f>'4.6.1.3-4 Direct N20'!F199</f>
        <v>0.61074998400000013</v>
      </c>
      <c r="G36" s="52">
        <f>'4.6.1.3-4 Direct N20'!G199</f>
        <v>0.65190559679999993</v>
      </c>
      <c r="H36" s="52">
        <f>'4.6.1.3-4 Direct N20'!H199</f>
        <v>0.76524023039999989</v>
      </c>
      <c r="I36" s="52">
        <f>'4.6.1.3-4 Direct N20'!I199</f>
        <v>0.65190559679999993</v>
      </c>
      <c r="J36" s="2"/>
      <c r="N36" s="52" t="str">
        <f>'Input - Poultry'!$D$32</f>
        <v>Manure stored in house</v>
      </c>
      <c r="O36" s="52" t="str">
        <f>'Input - Poultry'!$D$52</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'Input - Poultry'!$D$53</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'Input - Poultry'!$D$53</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'Input - Poultry'!$D$54</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'Input - Poultry'!$D$54</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'Input - Poultry'!$D$55</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'Input - Poultry'!$D$55</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'Input - Poultry'!$D$56</f>
        <v>Direct application</v>
      </c>
      <c r="F40" s="52">
        <f>'4.6.1.3-4 Direct N20'!F203</f>
        <v>0.61074998399999991</v>
      </c>
      <c r="G40" s="52">
        <f>'4.6.1.3-4 Direct N20'!G203</f>
        <v>0.65190559679999971</v>
      </c>
      <c r="H40" s="52">
        <f>'4.6.1.3-4 Direct N20'!H203</f>
        <v>0.76524023039999967</v>
      </c>
      <c r="I40" s="52">
        <f>'4.6.1.3-4 Direct N20'!I203</f>
        <v>0.65190559679999971</v>
      </c>
      <c r="N40" s="52"/>
      <c r="O40" s="52" t="str">
        <f>'Input - Poultry'!$D$56</f>
        <v>Direct application</v>
      </c>
      <c r="P40" s="52">
        <f>'4.6.1.3-4 Direct N20'!P203</f>
        <v>0.61074998399999991</v>
      </c>
      <c r="Q40" s="52">
        <f>'4.6.1.3-4 Direct N20'!Q203</f>
        <v>0.65190559679999971</v>
      </c>
      <c r="R40" s="52">
        <f>'4.6.1.3-4 Direct N20'!R203</f>
        <v>0.76524023039999967</v>
      </c>
      <c r="S40" s="52">
        <f>'4.6.1.3-4 Direct N20'!S203</f>
        <v>0.65190559679999971</v>
      </c>
    </row>
    <row r="41" spans="4:20" ht="20.100000000000001" customHeight="1" x14ac:dyDescent="0.25"/>
    <row r="42" spans="4:20" ht="20.100000000000001" customHeight="1" x14ac:dyDescent="0.25">
      <c r="D42" s="98" t="s">
        <v>278</v>
      </c>
    </row>
    <row r="43" spans="4:20" ht="20.100000000000001" customHeight="1" x14ac:dyDescent="0.25">
      <c r="D43" s="97" t="s">
        <v>292</v>
      </c>
    </row>
    <row r="44" spans="4:20" ht="20.100000000000001" customHeight="1" x14ac:dyDescent="0.25">
      <c r="D44" s="51" t="s">
        <v>136</v>
      </c>
      <c r="E44" s="51" t="s">
        <v>264</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279</v>
      </c>
      <c r="N54" s="98" t="s">
        <v>280</v>
      </c>
    </row>
    <row r="55" spans="4:20" ht="20.100000000000001" customHeight="1" x14ac:dyDescent="0.25">
      <c r="D55" s="97" t="s">
        <v>284</v>
      </c>
      <c r="N55" s="97" t="s">
        <v>281</v>
      </c>
    </row>
    <row r="56" spans="4:20" ht="20.100000000000001" customHeight="1" x14ac:dyDescent="0.25">
      <c r="D56" s="51" t="s">
        <v>136</v>
      </c>
      <c r="E56" s="51" t="s">
        <v>138</v>
      </c>
      <c r="F56" s="51" t="s">
        <v>196</v>
      </c>
      <c r="G56" s="51" t="s">
        <v>197</v>
      </c>
      <c r="H56" s="51" t="s">
        <v>209</v>
      </c>
      <c r="I56" s="51" t="s">
        <v>210</v>
      </c>
      <c r="N56" s="51" t="s">
        <v>136</v>
      </c>
      <c r="O56" s="51" t="s">
        <v>138</v>
      </c>
      <c r="P56" s="51" t="s">
        <v>196</v>
      </c>
      <c r="Q56" s="51" t="s">
        <v>197</v>
      </c>
      <c r="R56" s="51" t="s">
        <v>209</v>
      </c>
      <c r="S56" s="51" t="s">
        <v>210</v>
      </c>
    </row>
    <row r="57" spans="4:20" ht="20.100000000000001" customHeight="1" x14ac:dyDescent="0.25">
      <c r="D57" s="52" t="str">
        <f>'Input - Poultry'!$D$30</f>
        <v>Poultry manure with bedding</v>
      </c>
      <c r="E57" s="52" t="s">
        <v>134</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'Input - Poultry'!$D$30</f>
        <v>Poultry manure with bedding</v>
      </c>
      <c r="O57" s="52" t="s">
        <v>134</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'Input - Poultry'!$D$31</f>
        <v>Belt manure removal</v>
      </c>
      <c r="E58" s="52" t="s">
        <v>134</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'Input - Poultry'!$D$31</f>
        <v>Belt manure removal</v>
      </c>
      <c r="O58" s="52" t="s">
        <v>134</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'Input - Poultry'!$D$32</f>
        <v>Manure stored in house</v>
      </c>
      <c r="E59" s="52" t="s">
        <v>134</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'Input - Poultry'!$D$32</f>
        <v>Manure stored in house</v>
      </c>
      <c r="O59" s="52" t="s">
        <v>134</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'Input - Poultry'!$D$33</f>
        <v>Pasture range and paddock</v>
      </c>
      <c r="E60" s="52" t="s">
        <v>134</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'Input - Poultry'!$D$33</f>
        <v>Pasture range and paddock</v>
      </c>
      <c r="O60" s="52" t="s">
        <v>134</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'Input - Poultry'!$D$30</f>
        <v>Poultry manure with bedding</v>
      </c>
      <c r="E61" s="52" t="str">
        <f>'Input - Poultry'!$D$38</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'Input - Poultry'!$D$30</f>
        <v>Poultry manure with bedding</v>
      </c>
      <c r="O61" s="52" t="str">
        <f>'Input - Poultry'!$D$38</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'Input - Poultry'!$D$39</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'Input - Poultry'!$D$39</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'Input - Poultry'!$D$40</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'Input - Poultry'!$D$40</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'Input - Poultry'!$D$41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'Input - Poultry'!$D$41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'Input - Poultry'!$D$42</f>
        <v>Direct application</v>
      </c>
      <c r="F65" s="52" t="s">
        <v>134</v>
      </c>
      <c r="G65" s="52" t="s">
        <v>134</v>
      </c>
      <c r="H65" s="52" t="s">
        <v>134</v>
      </c>
      <c r="I65" s="52" t="s">
        <v>134</v>
      </c>
      <c r="N65" s="52"/>
      <c r="O65" s="52" t="str">
        <f>'Input - Poultry'!$D$42</f>
        <v>Direct application</v>
      </c>
      <c r="P65" s="52" t="s">
        <v>134</v>
      </c>
      <c r="Q65" s="52" t="s">
        <v>134</v>
      </c>
      <c r="R65" s="52" t="s">
        <v>134</v>
      </c>
      <c r="S65" s="52" t="s">
        <v>134</v>
      </c>
    </row>
    <row r="66" spans="1:21" ht="20.100000000000001" customHeight="1" x14ac:dyDescent="0.25">
      <c r="D66" s="52" t="str">
        <f>'Input - Poultry'!$D$31</f>
        <v>Belt manure removal</v>
      </c>
      <c r="E66" s="52" t="str">
        <f>'Input - Poultry'!$D$45</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'Input - Poultry'!$D$31</f>
        <v>Belt manure removal</v>
      </c>
      <c r="O66" s="52" t="str">
        <f>'Input - Poultry'!$D$45</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'Input - Poultry'!$D$46</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'Input - Poultry'!$D$46</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'Input - Poultry'!$D$47</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'Input - Poultry'!$D$47</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'Input - Poultry'!$D$48</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'Input - Poultry'!$D$48</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'Input - Poultry'!$D$49</f>
        <v>Direct application</v>
      </c>
      <c r="F70" s="52" t="s">
        <v>134</v>
      </c>
      <c r="G70" s="52" t="s">
        <v>134</v>
      </c>
      <c r="H70" s="52" t="s">
        <v>134</v>
      </c>
      <c r="I70" s="52" t="s">
        <v>134</v>
      </c>
      <c r="N70" s="52"/>
      <c r="O70" s="52" t="str">
        <f>'Input - Poultry'!$D$49</f>
        <v>Direct application</v>
      </c>
      <c r="P70" s="52" t="s">
        <v>134</v>
      </c>
      <c r="Q70" s="52" t="s">
        <v>134</v>
      </c>
      <c r="R70" s="52" t="s">
        <v>134</v>
      </c>
      <c r="S70" s="52" t="s">
        <v>134</v>
      </c>
    </row>
    <row r="71" spans="1:21" ht="20.100000000000001" customHeight="1" x14ac:dyDescent="0.25">
      <c r="D71" s="52" t="str">
        <f>'Input - Poultry'!$D$32</f>
        <v>Manure stored in house</v>
      </c>
      <c r="E71" s="52" t="str">
        <f>'Input - Poultry'!$D$52</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'Input - Poultry'!$D$32</f>
        <v>Manure stored in house</v>
      </c>
      <c r="O71" s="52" t="str">
        <f>'Input - Poultry'!$D$52</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'Input - Poultry'!$D$53</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'Input - Poultry'!$D$53</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'Input - Poultry'!$D$54</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'Input - Poultry'!$D$54</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'Input - Poultry'!$D$55</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'Input - Poultry'!$D$55</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'Input - Poultry'!$D$56</f>
        <v>Direct application</v>
      </c>
      <c r="F75" s="52" t="s">
        <v>134</v>
      </c>
      <c r="G75" s="52" t="s">
        <v>134</v>
      </c>
      <c r="H75" s="52" t="s">
        <v>134</v>
      </c>
      <c r="I75" s="52" t="s">
        <v>134</v>
      </c>
      <c r="N75" s="52"/>
      <c r="O75" s="52" t="str">
        <f>'Input - Poultry'!$D$56</f>
        <v>Direct application</v>
      </c>
      <c r="P75" s="52" t="s">
        <v>134</v>
      </c>
      <c r="Q75" s="52" t="s">
        <v>134</v>
      </c>
      <c r="R75" s="52" t="s">
        <v>134</v>
      </c>
      <c r="S75" s="52" t="s">
        <v>134</v>
      </c>
    </row>
    <row r="76" spans="1:21" ht="20.100000000000001" customHeight="1" x14ac:dyDescent="0.25"/>
    <row r="77" spans="1:21" ht="20.100000000000001" customHeight="1" x14ac:dyDescent="0.25">
      <c r="D77" s="107" t="s">
        <v>159</v>
      </c>
      <c r="E77" s="45">
        <f>SUM(F57:I75)</f>
        <v>20.797764249600011</v>
      </c>
      <c r="F77" s="103" t="str">
        <f>$E$11</f>
        <v>kg N</v>
      </c>
      <c r="N77" s="107" t="s">
        <v>159</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24</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27</v>
      </c>
      <c r="E86" s="1" t="str" cm="1">
        <f t="array" ref="E86">MMS_Poultry_AtmosphericDeposition_Equations.VEERG_4_6_1_5__1_TotalAnnualAtmosphericDepositionEmissionsFromMMS_Variable()</f>
        <v>E_N2Oad</v>
      </c>
    </row>
    <row r="87" spans="4:19" ht="20.100000000000001" customHeight="1" x14ac:dyDescent="0.25">
      <c r="D87" s="53" t="s">
        <v>17</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'Input - Poultry'!$E$59</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'Input - Poultry'!$E$60</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'Input - Site'!$E$30</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285</v>
      </c>
      <c r="E96" s="100" cm="1">
        <f t="array" ref="E96">MMS_Poultry_AtmosphericDeposition_Equations.VEERG_4_6_1_5__1_TotalAnnualAtmosphericDepositionEmissionsFromMMS(I89,$I$90,$I$91)</f>
        <v>2.2877540674560014E-4</v>
      </c>
      <c r="F96" s="101" t="str">
        <f>$E$87</f>
        <v>t N2O</v>
      </c>
      <c r="N96" s="99" t="s">
        <v>285</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f>Common_InputFunctions.Utility_LookupValueInTableNumber("N2O", Table_GWPData[Gas],Table_GWPData[CO2-e factor])</f>
        <v>265</v>
      </c>
      <c r="N99" s="57" t="str">
        <v>GWPN2O</v>
      </c>
      <c r="O99" s="58" t="str">
        <v>Global warming potential for nitrous oxide (t CO2-e / t N2O)</v>
      </c>
      <c r="P99" s="102"/>
      <c r="Q99" s="52">
        <f>Common_InputFunctions.Utility_LookupValueInTableNumber("N2O", Table_GWPData[Gas],Table_GWPData[CO2-e factor])</f>
        <v>265</v>
      </c>
    </row>
    <row r="100" spans="1:17" ht="20.100000000000001" customHeight="1" x14ac:dyDescent="0.25"/>
    <row r="101" spans="1:17" ht="20.100000000000001" customHeight="1" x14ac:dyDescent="0.25">
      <c r="A101" s="145" t="str">
        <f>HYPERLINK("#A1", "▲ Back to top")</f>
        <v>▲ Back to top</v>
      </c>
      <c r="D101" s="45" t="s">
        <v>95</v>
      </c>
      <c r="E101" s="45" cm="1">
        <f t="array" ref="E101">Common_Equations.Common_ConvertN2OToCO2e(G98,G99)</f>
        <v>6.0625482787584034E-2</v>
      </c>
      <c r="F101" s="103" t="str" cm="1">
        <f t="array" ref="F101">Common_Equations.Common_ConvertN2OToCO2e_Unit()</f>
        <v>t CO2e</v>
      </c>
      <c r="N101" s="45" t="s">
        <v>95</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topLeftCell="A34" zoomScaleNormal="100" workbookViewId="0">
      <selection activeCell="G68" sqref="G6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286</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24</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MMS_Poultry_LeachingAndRunoff_Equations.VEERG_4_6_1_7__2_MassOfNitrogenLostToLeachingAndRunoffFromSolidStorage_Variable()</f>
        <v>MNLeach_jkm4</v>
      </c>
    </row>
    <row r="11" spans="1:21" ht="20.100000000000001" customHeight="1" x14ac:dyDescent="0.25">
      <c r="A11" s="19" t="s">
        <v>72</v>
      </c>
      <c r="D11" s="53" t="s">
        <v>17</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39" t="str">
        <v>Input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39" t="str">
        <v>Input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350</v>
      </c>
      <c r="E20" s="90"/>
      <c r="F20" s="90"/>
      <c r="G20" s="90"/>
      <c r="H20" s="86"/>
    </row>
    <row r="21" spans="1:20" ht="20.100000000000001" customHeight="1" x14ac:dyDescent="0.25">
      <c r="A21" s="18" t="s">
        <v>2</v>
      </c>
      <c r="D21" s="136" t="s">
        <v>351</v>
      </c>
      <c r="E21" s="137"/>
      <c r="F21" s="137"/>
      <c r="G21" s="137"/>
      <c r="H21" s="138"/>
    </row>
    <row r="22" spans="1:20" ht="20.100000000000001" customHeight="1" x14ac:dyDescent="0.25">
      <c r="A22" s="17" t="str">
        <f>HYPERLINK("#'Constants - Poultry'!A1", "Constants - Poultry")</f>
        <v>Constants - Poultry</v>
      </c>
      <c r="D22" s="92" t="s">
        <v>352</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287</v>
      </c>
      <c r="N24" s="98" t="s">
        <v>287</v>
      </c>
    </row>
    <row r="25" spans="1:20" ht="20.100000000000001" customHeight="1" x14ac:dyDescent="0.25">
      <c r="A25" s="17"/>
      <c r="D25" s="97" t="s">
        <v>288</v>
      </c>
      <c r="N25" s="97" t="s">
        <v>288</v>
      </c>
    </row>
    <row r="26" spans="1:20" ht="20.100000000000001" customHeight="1" x14ac:dyDescent="0.25">
      <c r="D26" s="51" t="s">
        <v>136</v>
      </c>
      <c r="E26" s="51" t="s">
        <v>138</v>
      </c>
      <c r="F26" s="51" t="s">
        <v>196</v>
      </c>
      <c r="G26" s="51" t="s">
        <v>197</v>
      </c>
      <c r="H26" s="51" t="s">
        <v>209</v>
      </c>
      <c r="I26" s="51" t="s">
        <v>210</v>
      </c>
      <c r="N26" s="51" t="s">
        <v>136</v>
      </c>
      <c r="O26" s="51" t="s">
        <v>138</v>
      </c>
      <c r="P26" s="51" t="s">
        <v>196</v>
      </c>
      <c r="Q26" s="51" t="s">
        <v>197</v>
      </c>
      <c r="R26" s="51" t="s">
        <v>209</v>
      </c>
      <c r="S26" s="51" t="s">
        <v>210</v>
      </c>
    </row>
    <row r="27" spans="1:20" ht="20.100000000000001" customHeight="1" x14ac:dyDescent="0.25">
      <c r="D27" s="52" t="str">
        <f>'Input - Poultry'!$D$30</f>
        <v>Poultry manure with bedding</v>
      </c>
      <c r="E27" s="52" t="str">
        <f>'Input - Poultry'!$D$38</f>
        <v>Solid storage</v>
      </c>
      <c r="F27" s="52">
        <f>'4.6.1.3-4 Direct N20'!F189</f>
        <v>0.71271158400000012</v>
      </c>
      <c r="G27" s="52">
        <f>'4.6.1.3-4 Direct N20'!G189</f>
        <v>0.76073791680000002</v>
      </c>
      <c r="H27" s="52">
        <f>'4.6.1.3-4 Direct N20'!H189</f>
        <v>0.89299319039999991</v>
      </c>
      <c r="I27" s="52">
        <f>'4.6.1.3-4 Direct N20'!I189</f>
        <v>0.76073791680000002</v>
      </c>
      <c r="J27" s="2" t="str">
        <f>$G$13</f>
        <v>kg N</v>
      </c>
      <c r="N27" s="52" t="str">
        <f>'Input - Poultry'!$D$30</f>
        <v>Poultry manure with bedding</v>
      </c>
      <c r="O27" s="52" t="str">
        <f>'Input - Poultry'!$D$38</f>
        <v>Solid storage</v>
      </c>
      <c r="P27" s="52">
        <f>'4.6.1.3-4 Direct N20'!P189</f>
        <v>0.71271158400000012</v>
      </c>
      <c r="Q27" s="52">
        <f>'4.6.1.3-4 Direct N20'!Q189</f>
        <v>0.76073791680000002</v>
      </c>
      <c r="R27" s="52">
        <f>'4.6.1.3-4 Direct N20'!R189</f>
        <v>0.89299319039999991</v>
      </c>
      <c r="S27" s="52">
        <f>'4.6.1.3-4 Direct N20'!S189</f>
        <v>0.76073791680000002</v>
      </c>
      <c r="T27" s="2" t="str">
        <f>$G$13</f>
        <v>kg N</v>
      </c>
    </row>
    <row r="28" spans="1:20" ht="20.100000000000001" customHeight="1" x14ac:dyDescent="0.25">
      <c r="D28" s="52" t="str">
        <f>'Input - Poultry'!$D$31</f>
        <v>Belt manure removal</v>
      </c>
      <c r="E28" s="52" t="str">
        <f>'Input - Poultry'!$D$45</f>
        <v>Solid storage</v>
      </c>
      <c r="F28" s="52">
        <f>'4.6.1.3-4 Direct N20'!F194</f>
        <v>0.96761558400000025</v>
      </c>
      <c r="G28" s="52">
        <f>'4.6.1.3-4 Direct N20'!G194</f>
        <v>1.0328187168</v>
      </c>
      <c r="H28" s="52">
        <f>'4.6.1.3-4 Direct N20'!H194</f>
        <v>1.2123755904</v>
      </c>
      <c r="I28" s="52">
        <f>'4.6.1.3-4 Direct N20'!I194</f>
        <v>1.0328187168</v>
      </c>
      <c r="J28" s="2"/>
      <c r="N28" s="52" t="str">
        <f>'Input - Poultry'!$D$31</f>
        <v>Belt manure removal</v>
      </c>
      <c r="O28" s="52" t="str">
        <f>'Input - Poultry'!$D$45</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'Input - Poultry'!$D$32</f>
        <v>Manure stored in house</v>
      </c>
      <c r="E29" s="52" t="str">
        <f>'Input - Poultry'!$D$52</f>
        <v>Solid storage</v>
      </c>
      <c r="F29" s="52">
        <f>'4.6.1.3-4 Direct N20'!F199</f>
        <v>0.61074998400000013</v>
      </c>
      <c r="G29" s="52">
        <f>'4.6.1.3-4 Direct N20'!G199</f>
        <v>0.65190559679999993</v>
      </c>
      <c r="H29" s="52">
        <f>'4.6.1.3-4 Direct N20'!H199</f>
        <v>0.76524023039999989</v>
      </c>
      <c r="I29" s="52">
        <f>'4.6.1.3-4 Direct N20'!I199</f>
        <v>0.65190559679999993</v>
      </c>
      <c r="J29" s="2"/>
      <c r="N29" s="52" t="str">
        <f>'Input - Poultry'!$D$32</f>
        <v>Manure stored in house</v>
      </c>
      <c r="O29" s="52" t="str">
        <f>'Input - Poultry'!$D$52</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293</v>
      </c>
      <c r="N31" s="98" t="s">
        <v>289</v>
      </c>
    </row>
    <row r="32" spans="1:20" ht="20.100000000000001" customHeight="1" x14ac:dyDescent="0.25">
      <c r="D32" s="97" t="s">
        <v>295</v>
      </c>
      <c r="N32" s="97" t="s">
        <v>296</v>
      </c>
    </row>
    <row r="33" spans="3:21" ht="20.100000000000001" customHeight="1" x14ac:dyDescent="0.25">
      <c r="D33" s="51" t="s">
        <v>136</v>
      </c>
      <c r="E33" s="51" t="s">
        <v>138</v>
      </c>
      <c r="F33" s="51" t="s">
        <v>196</v>
      </c>
      <c r="G33" s="51" t="s">
        <v>197</v>
      </c>
      <c r="H33" s="51" t="s">
        <v>209</v>
      </c>
      <c r="I33" s="51" t="s">
        <v>210</v>
      </c>
      <c r="N33" s="51" t="s">
        <v>136</v>
      </c>
      <c r="O33" s="51" t="s">
        <v>138</v>
      </c>
      <c r="P33" s="51" t="s">
        <v>196</v>
      </c>
      <c r="Q33" s="51" t="s">
        <v>197</v>
      </c>
      <c r="R33" s="51" t="s">
        <v>209</v>
      </c>
      <c r="S33" s="51" t="s">
        <v>210</v>
      </c>
    </row>
    <row r="34" spans="3:21" ht="20.100000000000001" customHeight="1" x14ac:dyDescent="0.25">
      <c r="D34" s="52" t="str">
        <f>'Input - Poultry'!$D$30</f>
        <v>Poultry manure with bedding</v>
      </c>
      <c r="E34" s="52" t="str">
        <f>'Input - Poultry'!$D$38</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'Input - Poultry'!$D$30</f>
        <v>Poultry manure with bedding</v>
      </c>
      <c r="O34" s="52" t="str">
        <f>'Input - Poultry'!$D$38</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'Input - Poultry'!$D$31</f>
        <v>Belt manure removal</v>
      </c>
      <c r="E35" s="52" t="str">
        <f>'Input - Poultry'!$D$45</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'Input - Poultry'!$D$31</f>
        <v>Belt manure removal</v>
      </c>
      <c r="O35" s="52" t="str">
        <f>'Input - Poultry'!$D$45</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'Input - Poultry'!$D$32</f>
        <v>Manure stored in house</v>
      </c>
      <c r="E36" s="52" t="str">
        <f>'Input - Poultry'!$D$52</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'Input - Poultry'!$D$32</f>
        <v>Manure stored in house</v>
      </c>
      <c r="O36" s="52" t="str">
        <f>'Input - Poultry'!$D$52</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6"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24</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27</v>
      </c>
      <c r="E45" s="1" t="str" cm="1">
        <f t="array" ref="E45">MMS_Poultry_LeachingAndRunoff_Equations.VEERG_4_6_1_7__1_AnnualEmissionsFromLeachingAndRunoffFromMMS_Variable()</f>
        <v>E_N2Oleach</v>
      </c>
    </row>
    <row r="46" spans="3:21" ht="20.100000000000001" customHeight="1" x14ac:dyDescent="0.25">
      <c r="D46" s="53" t="s">
        <v>17</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161</v>
      </c>
      <c r="N52" s="98" t="s">
        <v>163</v>
      </c>
    </row>
    <row r="53" spans="4:20" ht="20.100000000000001" customHeight="1" x14ac:dyDescent="0.25">
      <c r="D53" s="97" t="s">
        <v>162</v>
      </c>
      <c r="N53" s="97" t="s">
        <v>164</v>
      </c>
    </row>
    <row r="54" spans="4:20" ht="20.100000000000001" customHeight="1" x14ac:dyDescent="0.25">
      <c r="D54" s="51" t="s">
        <v>136</v>
      </c>
      <c r="E54" s="51" t="s">
        <v>138</v>
      </c>
      <c r="F54" s="51" t="s">
        <v>196</v>
      </c>
      <c r="G54" s="51" t="s">
        <v>197</v>
      </c>
      <c r="H54" s="51" t="s">
        <v>209</v>
      </c>
      <c r="I54" s="51" t="s">
        <v>210</v>
      </c>
      <c r="N54" s="51" t="s">
        <v>136</v>
      </c>
      <c r="O54" s="51" t="s">
        <v>138</v>
      </c>
      <c r="P54" s="51" t="s">
        <v>196</v>
      </c>
      <c r="Q54" s="51" t="s">
        <v>197</v>
      </c>
      <c r="R54" s="51" t="s">
        <v>209</v>
      </c>
      <c r="S54" s="51" t="s">
        <v>210</v>
      </c>
    </row>
    <row r="55" spans="4:20" ht="20.100000000000001" customHeight="1" x14ac:dyDescent="0.25">
      <c r="D55" s="52" t="str">
        <f>'Input - Poultry'!$D$30</f>
        <v>Poultry manure with bedding</v>
      </c>
      <c r="E55" s="52" t="str">
        <f>'Input - Poultry'!$D$38</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'Input - Poultry'!$D$30</f>
        <v>Poultry manure with bedding</v>
      </c>
      <c r="O55" s="52" t="str">
        <f>'Input - Poultry'!$D$38</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'Input - Poultry'!$D$31</f>
        <v>Belt manure removal</v>
      </c>
      <c r="E56" s="52" t="str">
        <f>'Input - Poultry'!$D$45</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'Input - Poultry'!$D$31</f>
        <v>Belt manure removal</v>
      </c>
      <c r="O56" s="52" t="str">
        <f>'Input - Poultry'!$D$45</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'Input - Poultry'!$D$32</f>
        <v>Manure stored in house</v>
      </c>
      <c r="E57" s="52" t="str">
        <f>'Input - Poultry'!$D$52</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'Input - Poultry'!$D$32</f>
        <v>Manure stored in house</v>
      </c>
      <c r="O57" s="52" t="str">
        <f>'Input - Poultry'!$D$52</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285</v>
      </c>
      <c r="E59" s="100">
        <f>SUM(F55:I57)</f>
        <v>3.4753311014399998E-6</v>
      </c>
      <c r="F59" s="101" t="str">
        <f>$E$46</f>
        <v>t N2O</v>
      </c>
      <c r="N59" s="99" t="s">
        <v>285</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f>Common_InputFunctions.Utility_LookupValueInTableNumber("N2O", Table_GWPData[Gas],Table_GWPData[CO2-e factor])</f>
        <v>265</v>
      </c>
      <c r="N62" s="57" t="str">
        <v>GWPN2O</v>
      </c>
      <c r="O62" s="58" t="str">
        <v>Global warming potential for nitrous oxide (t CO2-e / t N2O)</v>
      </c>
      <c r="P62" s="102"/>
      <c r="Q62" s="52">
        <f>Common_InputFunctions.Utility_LookupValueInTableNumber("N2O", Table_GWPData[Gas],Table_GWPData[CO2-e factor])</f>
        <v>265</v>
      </c>
    </row>
    <row r="63" spans="4:20" ht="20.100000000000001" customHeight="1" x14ac:dyDescent="0.25"/>
    <row r="64" spans="4:20" ht="20.100000000000001" customHeight="1" x14ac:dyDescent="0.25">
      <c r="D64" s="45" t="s">
        <v>95</v>
      </c>
      <c r="E64" s="45" cm="1">
        <f t="array" ref="E64">Common_Equations.Common_ConvertN2OToCO2e(G61,G62)</f>
        <v>9.2096274188159999E-4</v>
      </c>
      <c r="F64" s="103" t="str" cm="1">
        <f t="array" ref="F64">Common_Equations.Common_ConvertN2OToCO2e_Unit()</f>
        <v>t CO2e</v>
      </c>
      <c r="N64" s="45" t="s">
        <v>95</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10"/>
  <sheetViews>
    <sheetView showGridLines="0" topLeftCell="A78" zoomScale="55" zoomScaleNormal="55" workbookViewId="0">
      <selection activeCell="D125" sqref="D1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290</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24</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MMS_Poultry_ManureAppliedToSoils_Equations.VEERG_4_6_1_9__1_MassOfNitrogenAppliedToSoilsScope1_Variable()</f>
        <v>MNSoil_scope1</v>
      </c>
    </row>
    <row r="11" spans="1:21" ht="20.100000000000001" customHeight="1" x14ac:dyDescent="0.25">
      <c r="A11" s="19" t="s">
        <v>72</v>
      </c>
      <c r="D11" s="53" t="s">
        <v>17</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270</v>
      </c>
      <c r="N19" s="98" t="s">
        <v>271</v>
      </c>
    </row>
    <row r="20" spans="1:20" ht="20.100000000000001" customHeight="1" x14ac:dyDescent="0.25">
      <c r="D20" s="97" t="s">
        <v>156</v>
      </c>
      <c r="N20" s="97" t="s">
        <v>168</v>
      </c>
    </row>
    <row r="21" spans="1:20" ht="20.100000000000001" customHeight="1" x14ac:dyDescent="0.25">
      <c r="A21" s="18" t="s">
        <v>2</v>
      </c>
      <c r="D21" s="51" t="s">
        <v>136</v>
      </c>
      <c r="E21" s="51" t="s">
        <v>138</v>
      </c>
      <c r="F21" s="51" t="s">
        <v>196</v>
      </c>
      <c r="G21" s="51" t="s">
        <v>197</v>
      </c>
      <c r="H21" s="51" t="s">
        <v>209</v>
      </c>
      <c r="I21" s="51" t="s">
        <v>210</v>
      </c>
      <c r="N21" s="51" t="s">
        <v>136</v>
      </c>
      <c r="O21" s="51" t="s">
        <v>138</v>
      </c>
      <c r="P21" s="51" t="s">
        <v>196</v>
      </c>
      <c r="Q21" s="51" t="s">
        <v>197</v>
      </c>
      <c r="R21" s="51" t="s">
        <v>209</v>
      </c>
      <c r="S21" s="51" t="s">
        <v>210</v>
      </c>
    </row>
    <row r="22" spans="1:20" ht="20.100000000000001" customHeight="1" x14ac:dyDescent="0.25">
      <c r="A22" s="17" t="str">
        <f>HYPERLINK("#'Constants - Poultry'!A1", "Constants - Poultry")</f>
        <v>Constants - Poultry</v>
      </c>
      <c r="D22" s="52" t="str">
        <f>'Input - Poultry'!$D$30</f>
        <v>Poultry manure with bedding</v>
      </c>
      <c r="E22" s="52" t="str">
        <f>'Input - Poultry'!$D$38</f>
        <v>Solid storage</v>
      </c>
      <c r="F22" s="52">
        <f>'4.6.1.3-4 Direct N20'!F189</f>
        <v>0.71271158400000012</v>
      </c>
      <c r="G22" s="52">
        <f>'4.6.1.3-4 Direct N20'!G189</f>
        <v>0.76073791680000002</v>
      </c>
      <c r="H22" s="52">
        <f>'4.6.1.3-4 Direct N20'!H189</f>
        <v>0.89299319039999991</v>
      </c>
      <c r="I22" s="52">
        <f>'4.6.1.3-4 Direct N20'!I189</f>
        <v>0.76073791680000002</v>
      </c>
      <c r="J22" s="2" t="str">
        <f>$G$13</f>
        <v>kg N</v>
      </c>
      <c r="N22" s="52" t="str">
        <f>'Input - Poultry'!$D$30</f>
        <v>Poultry manure with bedding</v>
      </c>
      <c r="O22" s="52" t="str">
        <f>'Input - Poultry'!$D$38</f>
        <v>Solid storage</v>
      </c>
      <c r="P22" s="52">
        <f>'4.6.1.3-4 Direct N20'!P189</f>
        <v>0.71271158400000012</v>
      </c>
      <c r="Q22" s="52">
        <f>'4.6.1.3-4 Direct N20'!Q189</f>
        <v>0.76073791680000002</v>
      </c>
      <c r="R22" s="52">
        <f>'4.6.1.3-4 Direct N20'!R189</f>
        <v>0.89299319039999991</v>
      </c>
      <c r="S22" s="52">
        <f>'4.6.1.3-4 Direct N20'!S189</f>
        <v>0.76073791680000002</v>
      </c>
      <c r="T22" s="2" t="str">
        <f>$G$13</f>
        <v>kg N</v>
      </c>
    </row>
    <row r="23" spans="1:20" ht="20.100000000000001" customHeight="1" x14ac:dyDescent="0.25">
      <c r="A23" s="17" t="str">
        <f>HYPERLINK("#'Constants - Livestock'!A1", "Constants - Livestock")</f>
        <v>Constants - Livestock</v>
      </c>
      <c r="D23" s="52"/>
      <c r="E23" s="52" t="str">
        <f>'Input - Poultry'!$D$39</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'Input - Poultry'!$D$39</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'Input - Poultry'!$D$40</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'Input - Poultry'!$D$40</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'Input - Poultry'!$D$41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'Input - Poultry'!$D$41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'Input - Poultry'!$D$42</f>
        <v>Direct application</v>
      </c>
      <c r="F26" s="52">
        <f>'4.6.1.3-4 Direct N20'!F193</f>
        <v>0.7127115839999999</v>
      </c>
      <c r="G26" s="52">
        <f>'4.6.1.3-4 Direct N20'!G193</f>
        <v>0.7607379167999998</v>
      </c>
      <c r="H26" s="52">
        <f>'4.6.1.3-4 Direct N20'!H193</f>
        <v>0.89299319039999958</v>
      </c>
      <c r="I26" s="52">
        <f>'4.6.1.3-4 Direct N20'!I193</f>
        <v>0.7607379167999998</v>
      </c>
      <c r="N26" s="52"/>
      <c r="O26" s="52" t="str">
        <f>'Input - Poultry'!$D$42</f>
        <v>Direct application</v>
      </c>
      <c r="P26" s="52">
        <f>'4.6.1.3-4 Direct N20'!P193</f>
        <v>0.7127115839999999</v>
      </c>
      <c r="Q26" s="52">
        <f>'4.6.1.3-4 Direct N20'!Q193</f>
        <v>0.7607379167999998</v>
      </c>
      <c r="R26" s="52">
        <f>'4.6.1.3-4 Direct N20'!R193</f>
        <v>0.89299319039999958</v>
      </c>
      <c r="S26" s="52">
        <f>'4.6.1.3-4 Direct N20'!S193</f>
        <v>0.7607379167999998</v>
      </c>
    </row>
    <row r="27" spans="1:20" ht="20.100000000000001" customHeight="1" x14ac:dyDescent="0.25">
      <c r="D27" s="52" t="str">
        <f>'Input - Poultry'!$D$31</f>
        <v>Belt manure removal</v>
      </c>
      <c r="E27" s="52" t="str">
        <f>'Input - Poultry'!$D$45</f>
        <v>Solid storage</v>
      </c>
      <c r="F27" s="52">
        <f>'4.6.1.3-4 Direct N20'!F194</f>
        <v>0.96761558400000025</v>
      </c>
      <c r="G27" s="52">
        <f>'4.6.1.3-4 Direct N20'!G194</f>
        <v>1.0328187168</v>
      </c>
      <c r="H27" s="52">
        <f>'4.6.1.3-4 Direct N20'!H194</f>
        <v>1.2123755904</v>
      </c>
      <c r="I27" s="52">
        <f>'4.6.1.3-4 Direct N20'!I194</f>
        <v>1.0328187168</v>
      </c>
      <c r="J27" s="2"/>
      <c r="N27" s="52" t="str">
        <f>'Input - Poultry'!$D$31</f>
        <v>Belt manure removal</v>
      </c>
      <c r="O27" s="52" t="str">
        <f>'Input - Poultry'!$D$45</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'Input - Poultry'!$D$46</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'Input - Poultry'!$D$46</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'Input - Poultry'!$D$47</f>
        <v>Digester / covered lagoons</v>
      </c>
      <c r="F29" s="52">
        <f>'4.6.1.3-4 Direct N20'!F196</f>
        <v>0.96761558400000025</v>
      </c>
      <c r="G29" s="52">
        <f>'4.6.1.3-4 Direct N20'!G196</f>
        <v>1.0328187168</v>
      </c>
      <c r="H29" s="52">
        <f>'4.6.1.3-4 Direct N20'!H196</f>
        <v>1.2123755904</v>
      </c>
      <c r="I29" s="52">
        <f>'4.6.1.3-4 Direct N20'!I196</f>
        <v>1.0328187168</v>
      </c>
      <c r="J29" s="2"/>
      <c r="N29" s="52"/>
      <c r="O29" s="52" t="str">
        <f>'Input - Poultry'!$D$47</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'Input - Poultry'!$D$48</f>
        <v>Direct processing</v>
      </c>
      <c r="F30" s="52">
        <f>'4.6.1.3-4 Direct N20'!F197</f>
        <v>0.96761558400000025</v>
      </c>
      <c r="G30" s="52">
        <f>'4.6.1.3-4 Direct N20'!G197</f>
        <v>1.0328187168</v>
      </c>
      <c r="H30" s="52">
        <f>'4.6.1.3-4 Direct N20'!H197</f>
        <v>1.2123755904</v>
      </c>
      <c r="I30" s="52">
        <f>'4.6.1.3-4 Direct N20'!I197</f>
        <v>1.0328187168</v>
      </c>
      <c r="J30" s="2"/>
      <c r="N30" s="52"/>
      <c r="O30" s="52" t="str">
        <f>'Input - Poultry'!$D$48</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'Input - Poultry'!$D$49</f>
        <v>Direct application</v>
      </c>
      <c r="F31" s="52">
        <f>'4.6.1.3-4 Direct N20'!F198</f>
        <v>0.96761558399999992</v>
      </c>
      <c r="G31" s="52">
        <f>'4.6.1.3-4 Direct N20'!G198</f>
        <v>1.0328187167999998</v>
      </c>
      <c r="H31" s="52">
        <f>'4.6.1.3-4 Direct N20'!H198</f>
        <v>1.2123755903999998</v>
      </c>
      <c r="I31" s="52">
        <f>'4.6.1.3-4 Direct N20'!I198</f>
        <v>1.0328187167999998</v>
      </c>
      <c r="N31" s="52"/>
      <c r="O31" s="52" t="str">
        <f>'Input - Poultry'!$D$49</f>
        <v>Direct application</v>
      </c>
      <c r="P31" s="52">
        <f>'4.6.1.3-4 Direct N20'!P198</f>
        <v>0.96761558399999992</v>
      </c>
      <c r="Q31" s="52">
        <f>'4.6.1.3-4 Direct N20'!Q198</f>
        <v>1.0328187167999998</v>
      </c>
      <c r="R31" s="52">
        <f>'4.6.1.3-4 Direct N20'!R198</f>
        <v>1.2123755903999998</v>
      </c>
      <c r="S31" s="52">
        <f>'4.6.1.3-4 Direct N20'!S198</f>
        <v>1.0328187167999998</v>
      </c>
    </row>
    <row r="32" spans="1:20" ht="20.100000000000001" customHeight="1" x14ac:dyDescent="0.25">
      <c r="D32" s="52" t="str">
        <f>'Input - Poultry'!$D$32</f>
        <v>Manure stored in house</v>
      </c>
      <c r="E32" s="52" t="str">
        <f>'Input - Poultry'!$D$52</f>
        <v>Solid storage</v>
      </c>
      <c r="F32" s="52">
        <f>'4.6.1.3-4 Direct N20'!F199</f>
        <v>0.61074998400000013</v>
      </c>
      <c r="G32" s="52">
        <f>'4.6.1.3-4 Direct N20'!G199</f>
        <v>0.65190559679999993</v>
      </c>
      <c r="H32" s="52">
        <f>'4.6.1.3-4 Direct N20'!H199</f>
        <v>0.76524023039999989</v>
      </c>
      <c r="I32" s="52">
        <f>'4.6.1.3-4 Direct N20'!I199</f>
        <v>0.65190559679999993</v>
      </c>
      <c r="J32" s="2"/>
      <c r="N32" s="52" t="str">
        <f>'Input - Poultry'!$D$32</f>
        <v>Manure stored in house</v>
      </c>
      <c r="O32" s="52" t="str">
        <f>'Input - Poultry'!$D$52</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'Input - Poultry'!$D$53</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'Input - Poultry'!$D$53</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'Input - Poultry'!$D$54</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'Input - Poultry'!$D$54</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'Input - Poultry'!$D$55</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'Input - Poultry'!$D$55</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'Input - Poultry'!$D$56</f>
        <v>Direct application</v>
      </c>
      <c r="F36" s="52">
        <f>'4.6.1.3-4 Direct N20'!F203</f>
        <v>0.61074998399999991</v>
      </c>
      <c r="G36" s="52">
        <f>'4.6.1.3-4 Direct N20'!G203</f>
        <v>0.65190559679999971</v>
      </c>
      <c r="H36" s="52">
        <f>'4.6.1.3-4 Direct N20'!H203</f>
        <v>0.76524023039999967</v>
      </c>
      <c r="I36" s="52">
        <f>'4.6.1.3-4 Direct N20'!I203</f>
        <v>0.65190559679999971</v>
      </c>
      <c r="N36" s="52"/>
      <c r="O36" s="52" t="str">
        <f>'Input - Poultry'!$D$56</f>
        <v>Direct application</v>
      </c>
      <c r="P36" s="52">
        <f>'4.6.1.3-4 Direct N20'!P203</f>
        <v>0.61074998399999991</v>
      </c>
      <c r="Q36" s="52">
        <f>'4.6.1.3-4 Direct N20'!Q203</f>
        <v>0.65190559679999971</v>
      </c>
      <c r="R36" s="52">
        <f>'4.6.1.3-4 Direct N20'!R203</f>
        <v>0.76524023039999967</v>
      </c>
      <c r="S36" s="52">
        <f>'4.6.1.3-4 Direct N20'!S203</f>
        <v>0.65190559679999971</v>
      </c>
    </row>
    <row r="37" spans="4:20" ht="20.100000000000001" customHeight="1" x14ac:dyDescent="0.25"/>
    <row r="38" spans="4:20" ht="20.100000000000001" customHeight="1" x14ac:dyDescent="0.25">
      <c r="D38" s="98" t="s">
        <v>272</v>
      </c>
    </row>
    <row r="39" spans="4:20" ht="20.100000000000001" customHeight="1" x14ac:dyDescent="0.25">
      <c r="D39" s="97" t="s">
        <v>265</v>
      </c>
    </row>
    <row r="40" spans="4:20" ht="20.100000000000001" customHeight="1" x14ac:dyDescent="0.25">
      <c r="D40" s="51" t="s">
        <v>136</v>
      </c>
      <c r="E40" s="51" t="s">
        <v>291</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278</v>
      </c>
    </row>
    <row r="52" spans="4:14" ht="20.100000000000001" customHeight="1" x14ac:dyDescent="0.25">
      <c r="D52" s="97" t="s">
        <v>292</v>
      </c>
    </row>
    <row r="53" spans="4:14" ht="20.100000000000001" customHeight="1" x14ac:dyDescent="0.25">
      <c r="D53" s="51" t="s">
        <v>65</v>
      </c>
      <c r="E53" s="51" t="s">
        <v>264</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294</v>
      </c>
      <c r="N64" s="98" t="s">
        <v>297</v>
      </c>
    </row>
    <row r="65" spans="4:20" ht="20.100000000000001" customHeight="1" x14ac:dyDescent="0.25">
      <c r="D65" s="97" t="s">
        <v>295</v>
      </c>
      <c r="N65" s="97" t="s">
        <v>296</v>
      </c>
    </row>
    <row r="66" spans="4:20" ht="20.100000000000001" customHeight="1" x14ac:dyDescent="0.25">
      <c r="D66" s="51" t="s">
        <v>136</v>
      </c>
      <c r="E66" s="51" t="s">
        <v>138</v>
      </c>
      <c r="F66" s="51" t="s">
        <v>196</v>
      </c>
      <c r="G66" s="51" t="s">
        <v>197</v>
      </c>
      <c r="H66" s="51" t="s">
        <v>209</v>
      </c>
      <c r="I66" s="51" t="s">
        <v>210</v>
      </c>
      <c r="N66" s="51" t="s">
        <v>136</v>
      </c>
      <c r="O66" s="51" t="s">
        <v>138</v>
      </c>
      <c r="P66" s="51" t="s">
        <v>196</v>
      </c>
      <c r="Q66" s="51" t="s">
        <v>197</v>
      </c>
      <c r="R66" s="51" t="s">
        <v>209</v>
      </c>
      <c r="S66" s="51" t="s">
        <v>210</v>
      </c>
    </row>
    <row r="67" spans="4:20" ht="20.100000000000001" customHeight="1" x14ac:dyDescent="0.25">
      <c r="D67" s="52" t="str">
        <f>'Input - Poultry'!$D$30</f>
        <v>Poultry manure with bedding</v>
      </c>
      <c r="E67" s="52" t="str">
        <f>'Input - Poultry'!$D$38</f>
        <v>Solid storage</v>
      </c>
      <c r="F67" s="52">
        <f>'4.6.1.7-8 Leaching and runoff'!F34</f>
        <v>1.4254231680000003E-2</v>
      </c>
      <c r="G67" s="52">
        <f>'4.6.1.7-8 Leaching and runoff'!G34</f>
        <v>1.5214758336E-2</v>
      </c>
      <c r="H67" s="52">
        <f>'4.6.1.7-8 Leaching and runoff'!H34</f>
        <v>1.7859863808E-2</v>
      </c>
      <c r="I67" s="52">
        <f>'4.6.1.7-8 Leaching and runoff'!I34</f>
        <v>1.5214758336E-2</v>
      </c>
      <c r="J67" s="2" t="str">
        <f>$G$16</f>
        <v>kg N</v>
      </c>
      <c r="N67" s="52" t="str">
        <f>'Input - Poultry'!$D$30</f>
        <v>Poultry manure with bedding</v>
      </c>
      <c r="O67" s="52" t="str">
        <f>'Input - Poultry'!$D$38</f>
        <v>Solid storage</v>
      </c>
      <c r="P67" s="52">
        <f>'4.6.1.7-8 Leaching and runoff'!P34</f>
        <v>1.4254231680000003E-2</v>
      </c>
      <c r="Q67" s="52">
        <f>'4.6.1.7-8 Leaching and runoff'!Q34</f>
        <v>1.5214758336E-2</v>
      </c>
      <c r="R67" s="52">
        <f>'4.6.1.7-8 Leaching and runoff'!R34</f>
        <v>1.7859863808E-2</v>
      </c>
      <c r="S67" s="52">
        <f>'4.6.1.7-8 Leaching and runoff'!S34</f>
        <v>1.5214758336E-2</v>
      </c>
      <c r="T67" s="2" t="str">
        <f>$G$16</f>
        <v>kg N</v>
      </c>
    </row>
    <row r="68" spans="4:20" ht="20.100000000000001" customHeight="1" x14ac:dyDescent="0.25">
      <c r="D68" s="52"/>
      <c r="E68" s="52" t="str">
        <f>'Input - Poultry'!$D$39</f>
        <v>Composting (passive windrow)</v>
      </c>
      <c r="F68" s="52">
        <v>0</v>
      </c>
      <c r="G68" s="52">
        <v>0</v>
      </c>
      <c r="H68" s="52">
        <v>0</v>
      </c>
      <c r="I68" s="52">
        <v>0</v>
      </c>
      <c r="J68" s="2"/>
      <c r="N68" s="52"/>
      <c r="O68" s="52" t="str">
        <f>'Input - Poultry'!$D$39</f>
        <v>Composting (passive windrow)</v>
      </c>
      <c r="P68" s="52">
        <v>0</v>
      </c>
      <c r="Q68" s="52">
        <v>0</v>
      </c>
      <c r="R68" s="52">
        <v>0</v>
      </c>
      <c r="S68" s="52">
        <v>0</v>
      </c>
      <c r="T68" s="2"/>
    </row>
    <row r="69" spans="4:20" ht="20.100000000000001" customHeight="1" x14ac:dyDescent="0.25">
      <c r="D69" s="52"/>
      <c r="E69" s="52" t="str">
        <f>'Input - Poultry'!$D$40</f>
        <v>Digester / covered lagoons</v>
      </c>
      <c r="F69" s="52">
        <v>0</v>
      </c>
      <c r="G69" s="52">
        <v>0</v>
      </c>
      <c r="H69" s="52">
        <v>0</v>
      </c>
      <c r="I69" s="52">
        <v>0</v>
      </c>
      <c r="J69" s="2"/>
      <c r="N69" s="52"/>
      <c r="O69" s="52" t="str">
        <f>'Input - Poultry'!$D$40</f>
        <v>Digester / covered lagoons</v>
      </c>
      <c r="P69" s="52">
        <v>0</v>
      </c>
      <c r="Q69" s="52">
        <v>0</v>
      </c>
      <c r="R69" s="52">
        <v>0</v>
      </c>
      <c r="S69" s="52">
        <v>0</v>
      </c>
      <c r="T69" s="2"/>
    </row>
    <row r="70" spans="4:20" ht="20.100000000000001" customHeight="1" x14ac:dyDescent="0.25">
      <c r="D70" s="52"/>
      <c r="E70" s="52" t="str">
        <f>'Input - Poultry'!$D$41</f>
        <v>Direct processing</v>
      </c>
      <c r="F70" s="52">
        <v>0</v>
      </c>
      <c r="G70" s="52">
        <v>0</v>
      </c>
      <c r="H70" s="52">
        <v>0</v>
      </c>
      <c r="I70" s="52">
        <v>0</v>
      </c>
      <c r="J70" s="2"/>
      <c r="N70" s="52"/>
      <c r="O70" s="52" t="str">
        <f>'Input - Poultry'!$D$41</f>
        <v>Direct processing</v>
      </c>
      <c r="P70" s="52">
        <v>0</v>
      </c>
      <c r="Q70" s="52">
        <v>0</v>
      </c>
      <c r="R70" s="52">
        <v>0</v>
      </c>
      <c r="S70" s="52">
        <v>0</v>
      </c>
      <c r="T70" s="2"/>
    </row>
    <row r="71" spans="4:20" ht="20.100000000000001" customHeight="1" x14ac:dyDescent="0.25">
      <c r="D71" s="52"/>
      <c r="E71" s="52" t="str">
        <f>'Input - Poultry'!$D$42</f>
        <v>Direct application</v>
      </c>
      <c r="F71" s="52">
        <v>0</v>
      </c>
      <c r="G71" s="52">
        <v>0</v>
      </c>
      <c r="H71" s="52">
        <v>0</v>
      </c>
      <c r="I71" s="52">
        <v>0</v>
      </c>
      <c r="N71" s="52"/>
      <c r="O71" s="52" t="str">
        <f>'Input - Poultry'!$D$42</f>
        <v>Direct application</v>
      </c>
      <c r="P71" s="52">
        <v>0</v>
      </c>
      <c r="Q71" s="52">
        <v>0</v>
      </c>
      <c r="R71" s="52">
        <v>0</v>
      </c>
      <c r="S71" s="52">
        <v>0</v>
      </c>
    </row>
    <row r="72" spans="4:20" ht="20.100000000000001" customHeight="1" x14ac:dyDescent="0.25">
      <c r="D72" s="52" t="str">
        <f>'Input - Poultry'!$D$31</f>
        <v>Belt manure removal</v>
      </c>
      <c r="E72" s="52" t="str">
        <f>'Input - Poultry'!$D$45</f>
        <v>Solid storage</v>
      </c>
      <c r="F72" s="52">
        <f>'4.6.1.7-8 Leaching and runoff'!F35</f>
        <v>1.9352311680000005E-2</v>
      </c>
      <c r="G72" s="52">
        <f>'4.6.1.7-8 Leaching and runoff'!G35</f>
        <v>2.0656374336E-2</v>
      </c>
      <c r="H72" s="52">
        <f>'4.6.1.7-8 Leaching and runoff'!H35</f>
        <v>2.4247511808E-2</v>
      </c>
      <c r="I72" s="52">
        <f>'4.6.1.7-8 Leaching and runoff'!I35</f>
        <v>2.0656374336E-2</v>
      </c>
      <c r="J72" s="2"/>
      <c r="N72" s="52" t="str">
        <f>'Input - Poultry'!$D$31</f>
        <v>Belt manure removal</v>
      </c>
      <c r="O72" s="52" t="str">
        <f>'Input - Poultry'!$D$45</f>
        <v>Solid storage</v>
      </c>
      <c r="P72" s="52">
        <f>'4.6.1.7-8 Leaching and runoff'!P35</f>
        <v>1.9352311680000005E-2</v>
      </c>
      <c r="Q72" s="52">
        <f>'4.6.1.7-8 Leaching and runoff'!Q35</f>
        <v>2.0656374336E-2</v>
      </c>
      <c r="R72" s="52">
        <f>'4.6.1.7-8 Leaching and runoff'!R35</f>
        <v>2.4247511808E-2</v>
      </c>
      <c r="S72" s="52">
        <f>'4.6.1.7-8 Leaching and runoff'!S35</f>
        <v>2.0656374336E-2</v>
      </c>
      <c r="T72" s="2"/>
    </row>
    <row r="73" spans="4:20" ht="20.100000000000001" customHeight="1" x14ac:dyDescent="0.25">
      <c r="D73" s="52"/>
      <c r="E73" s="52" t="str">
        <f>'Input - Poultry'!$D$46</f>
        <v>Composting (passive windrow)</v>
      </c>
      <c r="F73" s="52">
        <v>0</v>
      </c>
      <c r="G73" s="52">
        <v>0</v>
      </c>
      <c r="H73" s="52">
        <v>0</v>
      </c>
      <c r="I73" s="52">
        <v>0</v>
      </c>
      <c r="J73" s="2"/>
      <c r="N73" s="52"/>
      <c r="O73" s="52" t="str">
        <f>'Input - Poultry'!$D$46</f>
        <v>Composting (passive windrow)</v>
      </c>
      <c r="P73" s="52">
        <v>0</v>
      </c>
      <c r="Q73" s="52">
        <v>0</v>
      </c>
      <c r="R73" s="52">
        <v>0</v>
      </c>
      <c r="S73" s="52">
        <v>0</v>
      </c>
      <c r="T73" s="2"/>
    </row>
    <row r="74" spans="4:20" ht="20.100000000000001" customHeight="1" x14ac:dyDescent="0.25">
      <c r="D74" s="52"/>
      <c r="E74" s="52" t="str">
        <f>'Input - Poultry'!$D$47</f>
        <v>Digester / covered lagoons</v>
      </c>
      <c r="F74" s="52">
        <v>0</v>
      </c>
      <c r="G74" s="52">
        <v>0</v>
      </c>
      <c r="H74" s="52">
        <v>0</v>
      </c>
      <c r="I74" s="52">
        <v>0</v>
      </c>
      <c r="J74" s="2"/>
      <c r="N74" s="52"/>
      <c r="O74" s="52" t="str">
        <f>'Input - Poultry'!$D$47</f>
        <v>Digester / covered lagoons</v>
      </c>
      <c r="P74" s="52">
        <v>0</v>
      </c>
      <c r="Q74" s="52">
        <v>0</v>
      </c>
      <c r="R74" s="52">
        <v>0</v>
      </c>
      <c r="S74" s="52">
        <v>0</v>
      </c>
      <c r="T74" s="2"/>
    </row>
    <row r="75" spans="4:20" ht="20.100000000000001" customHeight="1" x14ac:dyDescent="0.25">
      <c r="D75" s="52"/>
      <c r="E75" s="52" t="str">
        <f>'Input - Poultry'!$D$48</f>
        <v>Direct processing</v>
      </c>
      <c r="F75" s="52">
        <v>0</v>
      </c>
      <c r="G75" s="52">
        <v>0</v>
      </c>
      <c r="H75" s="52">
        <v>0</v>
      </c>
      <c r="I75" s="52">
        <v>0</v>
      </c>
      <c r="J75" s="2"/>
      <c r="N75" s="52"/>
      <c r="O75" s="52" t="str">
        <f>'Input - Poultry'!$D$48</f>
        <v>Direct processing</v>
      </c>
      <c r="P75" s="52">
        <v>0</v>
      </c>
      <c r="Q75" s="52">
        <v>0</v>
      </c>
      <c r="R75" s="52">
        <v>0</v>
      </c>
      <c r="S75" s="52">
        <v>0</v>
      </c>
      <c r="T75" s="2"/>
    </row>
    <row r="76" spans="4:20" ht="20.100000000000001" customHeight="1" x14ac:dyDescent="0.25">
      <c r="D76" s="52"/>
      <c r="E76" s="52" t="str">
        <f>'Input - Poultry'!$D$49</f>
        <v>Direct application</v>
      </c>
      <c r="F76" s="52">
        <v>0</v>
      </c>
      <c r="G76" s="52">
        <v>0</v>
      </c>
      <c r="H76" s="52">
        <v>0</v>
      </c>
      <c r="I76" s="52">
        <v>0</v>
      </c>
      <c r="N76" s="52"/>
      <c r="O76" s="52" t="str">
        <f>'Input - Poultry'!$D$49</f>
        <v>Direct application</v>
      </c>
      <c r="P76" s="52">
        <v>0</v>
      </c>
      <c r="Q76" s="52">
        <v>0</v>
      </c>
      <c r="R76" s="52">
        <v>0</v>
      </c>
      <c r="S76" s="52">
        <v>0</v>
      </c>
    </row>
    <row r="77" spans="4:20" ht="20.100000000000001" customHeight="1" x14ac:dyDescent="0.25">
      <c r="D77" s="52" t="str">
        <f>'Input - Poultry'!$D$32</f>
        <v>Manure stored in house</v>
      </c>
      <c r="E77" s="52" t="str">
        <f>'Input - Poultry'!$D$52</f>
        <v>Solid storage</v>
      </c>
      <c r="F77" s="52">
        <f>'4.6.1.7-8 Leaching and runoff'!F36</f>
        <v>1.2214999680000003E-2</v>
      </c>
      <c r="G77" s="52">
        <f>'4.6.1.7-8 Leaching and runoff'!G36</f>
        <v>1.3038111936E-2</v>
      </c>
      <c r="H77" s="52">
        <f>'4.6.1.7-8 Leaching and runoff'!H36</f>
        <v>1.5304804607999998E-2</v>
      </c>
      <c r="I77" s="52">
        <f>'4.6.1.7-8 Leaching and runoff'!I36</f>
        <v>1.3038111936E-2</v>
      </c>
      <c r="J77" s="2"/>
      <c r="N77" s="52" t="str">
        <f>'Input - Poultry'!$D$32</f>
        <v>Manure stored in house</v>
      </c>
      <c r="O77" s="52" t="str">
        <f>'Input - Poultry'!$D$52</f>
        <v>Solid storage</v>
      </c>
      <c r="P77" s="52">
        <f>'4.6.1.7-8 Leaching and runoff'!P36</f>
        <v>1.2214999680000003E-2</v>
      </c>
      <c r="Q77" s="52">
        <f>'4.6.1.7-8 Leaching and runoff'!Q36</f>
        <v>1.3038111936E-2</v>
      </c>
      <c r="R77" s="52">
        <f>'4.6.1.7-8 Leaching and runoff'!R36</f>
        <v>1.5304804607999998E-2</v>
      </c>
      <c r="S77" s="52">
        <f>'4.6.1.7-8 Leaching and runoff'!S36</f>
        <v>1.3038111936E-2</v>
      </c>
      <c r="T77" s="2"/>
    </row>
    <row r="78" spans="4:20" ht="20.100000000000001" customHeight="1" x14ac:dyDescent="0.25">
      <c r="D78" s="52"/>
      <c r="E78" s="52" t="str">
        <f>'Input - Poultry'!$D$53</f>
        <v>Composting (passive windrow)</v>
      </c>
      <c r="F78" s="52">
        <v>0</v>
      </c>
      <c r="G78" s="52">
        <v>0</v>
      </c>
      <c r="H78" s="52">
        <v>0</v>
      </c>
      <c r="I78" s="52">
        <v>0</v>
      </c>
      <c r="J78" s="2"/>
      <c r="N78" s="52"/>
      <c r="O78" s="52" t="str">
        <f>'Input - Poultry'!$D$53</f>
        <v>Composting (passive windrow)</v>
      </c>
      <c r="P78" s="52">
        <v>0</v>
      </c>
      <c r="Q78" s="52">
        <v>0</v>
      </c>
      <c r="R78" s="52">
        <v>0</v>
      </c>
      <c r="S78" s="52">
        <v>0</v>
      </c>
      <c r="T78" s="2"/>
    </row>
    <row r="79" spans="4:20" ht="20.100000000000001" customHeight="1" x14ac:dyDescent="0.25">
      <c r="D79" s="52"/>
      <c r="E79" s="52" t="str">
        <f>'Input - Poultry'!$D$54</f>
        <v>Digester / covered lagoons</v>
      </c>
      <c r="F79" s="52">
        <v>0</v>
      </c>
      <c r="G79" s="52">
        <v>0</v>
      </c>
      <c r="H79" s="52">
        <v>0</v>
      </c>
      <c r="I79" s="52">
        <v>0</v>
      </c>
      <c r="J79" s="2"/>
      <c r="N79" s="52"/>
      <c r="O79" s="52" t="str">
        <f>'Input - Poultry'!$D$54</f>
        <v>Digester / covered lagoons</v>
      </c>
      <c r="P79" s="52">
        <v>0</v>
      </c>
      <c r="Q79" s="52">
        <v>0</v>
      </c>
      <c r="R79" s="52">
        <v>0</v>
      </c>
      <c r="S79" s="52">
        <v>0</v>
      </c>
      <c r="T79" s="2"/>
    </row>
    <row r="80" spans="4:20" ht="20.100000000000001" customHeight="1" x14ac:dyDescent="0.25">
      <c r="D80" s="52"/>
      <c r="E80" s="52" t="str">
        <f>'Input - Poultry'!$D$55</f>
        <v>Direct processing</v>
      </c>
      <c r="F80" s="52">
        <v>0</v>
      </c>
      <c r="G80" s="52">
        <v>0</v>
      </c>
      <c r="H80" s="52">
        <v>0</v>
      </c>
      <c r="I80" s="52">
        <v>0</v>
      </c>
      <c r="J80" s="2"/>
      <c r="N80" s="52"/>
      <c r="O80" s="52" t="str">
        <f>'Input - Poultry'!$D$55</f>
        <v>Direct processing</v>
      </c>
      <c r="P80" s="52">
        <v>0</v>
      </c>
      <c r="Q80" s="52">
        <v>0</v>
      </c>
      <c r="R80" s="52">
        <v>0</v>
      </c>
      <c r="S80" s="52">
        <v>0</v>
      </c>
      <c r="T80" s="2"/>
    </row>
    <row r="81" spans="4:19" ht="20.100000000000001" customHeight="1" x14ac:dyDescent="0.25">
      <c r="D81" s="52"/>
      <c r="E81" s="52" t="str">
        <f>'Input - Poultry'!$D$56</f>
        <v>Direct application</v>
      </c>
      <c r="F81" s="52">
        <v>0</v>
      </c>
      <c r="G81" s="52">
        <v>0</v>
      </c>
      <c r="H81" s="52">
        <v>0</v>
      </c>
      <c r="I81" s="52">
        <v>0</v>
      </c>
      <c r="N81" s="52"/>
      <c r="O81" s="52" t="str">
        <f>'Input - Poultry'!$D$56</f>
        <v>Direct application</v>
      </c>
      <c r="P81" s="52">
        <v>0</v>
      </c>
      <c r="Q81" s="52">
        <v>0</v>
      </c>
      <c r="R81" s="52">
        <v>0</v>
      </c>
      <c r="S81" s="52">
        <v>0</v>
      </c>
    </row>
    <row r="82" spans="4:19" ht="20.100000000000001" customHeight="1" x14ac:dyDescent="0.25"/>
    <row r="83" spans="4:19" ht="20.100000000000001" customHeight="1" x14ac:dyDescent="0.25">
      <c r="D83" s="98" t="s">
        <v>299</v>
      </c>
    </row>
    <row r="84" spans="4:19" ht="20.100000000000001" customHeight="1" x14ac:dyDescent="0.25">
      <c r="D84" s="97" t="s">
        <v>298</v>
      </c>
    </row>
    <row r="85" spans="4:19" ht="20.100000000000001" customHeight="1" x14ac:dyDescent="0.25">
      <c r="D85" s="112" t="s">
        <v>136</v>
      </c>
      <c r="E85" s="112" t="s">
        <v>138</v>
      </c>
      <c r="F85" s="112" t="s">
        <v>165</v>
      </c>
    </row>
    <row r="86" spans="4:19" ht="20.100000000000001" customHeight="1" x14ac:dyDescent="0.25">
      <c r="D86" s="52" t="str">
        <f>'Input - Poultry'!$D$30</f>
        <v>Poultry manure with bedding</v>
      </c>
      <c r="E86" s="52" t="str">
        <f>'Input - Poultry'!$D$38</f>
        <v>Solid storage</v>
      </c>
      <c r="F86" s="52">
        <f>'Input - Poultry'!L38+'Input - Poultry'!M38</f>
        <v>0.75</v>
      </c>
      <c r="G86" s="2" t="str">
        <f>$G$17</f>
        <v>fraction</v>
      </c>
    </row>
    <row r="87" spans="4:19" ht="20.100000000000001" customHeight="1" x14ac:dyDescent="0.25">
      <c r="D87" s="52"/>
      <c r="E87" s="52" t="str">
        <f>'Input - Poultry'!$D$39</f>
        <v>Composting (passive windrow)</v>
      </c>
      <c r="F87" s="52">
        <f>'Input - Poultry'!L39+'Input - Poultry'!M39</f>
        <v>0.75</v>
      </c>
      <c r="G87" s="2"/>
    </row>
    <row r="88" spans="4:19" ht="20.100000000000001" customHeight="1" x14ac:dyDescent="0.25">
      <c r="D88" s="52"/>
      <c r="E88" s="52" t="str">
        <f>'Input - Poultry'!$D$40</f>
        <v>Digester / covered lagoons</v>
      </c>
      <c r="F88" s="52">
        <f>'Input - Poultry'!L40+'Input - Poultry'!M40</f>
        <v>0.75</v>
      </c>
      <c r="G88" s="2"/>
    </row>
    <row r="89" spans="4:19" ht="20.100000000000001" customHeight="1" x14ac:dyDescent="0.25">
      <c r="D89" s="52"/>
      <c r="E89" s="52" t="str">
        <f>'Input - Poultry'!$D$41</f>
        <v>Direct processing</v>
      </c>
      <c r="F89" s="52">
        <f>'Input - Poultry'!L41+'Input - Poultry'!M41</f>
        <v>0.75</v>
      </c>
      <c r="G89" s="2"/>
    </row>
    <row r="90" spans="4:19" ht="20.100000000000001" customHeight="1" x14ac:dyDescent="0.25">
      <c r="D90" s="52"/>
      <c r="E90" s="52" t="str">
        <f>'Input - Poultry'!$D$42</f>
        <v>Direct application</v>
      </c>
      <c r="F90" s="52">
        <f>'Input - Poultry'!L42+'Input - Poultry'!M42</f>
        <v>1</v>
      </c>
    </row>
    <row r="91" spans="4:19" ht="20.100000000000001" customHeight="1" x14ac:dyDescent="0.25">
      <c r="D91" s="52" t="str">
        <f>'Input - Poultry'!$D$31</f>
        <v>Belt manure removal</v>
      </c>
      <c r="E91" s="52" t="str">
        <f>'Input - Poultry'!$D$45</f>
        <v>Solid storage</v>
      </c>
      <c r="F91" s="52">
        <f>'Input - Poultry'!L45+'Input - Poultry'!M45</f>
        <v>0.75</v>
      </c>
      <c r="G91" s="2"/>
    </row>
    <row r="92" spans="4:19" ht="20.100000000000001" customHeight="1" x14ac:dyDescent="0.25">
      <c r="D92" s="52"/>
      <c r="E92" s="52" t="str">
        <f>'Input - Poultry'!$D$46</f>
        <v>Composting (passive windrow)</v>
      </c>
      <c r="F92" s="52">
        <f>'Input - Poultry'!L46+'Input - Poultry'!M46</f>
        <v>0.75</v>
      </c>
      <c r="G92" s="2"/>
    </row>
    <row r="93" spans="4:19" ht="20.100000000000001" customHeight="1" x14ac:dyDescent="0.25">
      <c r="D93" s="52"/>
      <c r="E93" s="52" t="str">
        <f>'Input - Poultry'!$D$47</f>
        <v>Digester / covered lagoons</v>
      </c>
      <c r="F93" s="52">
        <f>'Input - Poultry'!L47+'Input - Poultry'!M47</f>
        <v>0.75</v>
      </c>
      <c r="G93" s="2"/>
    </row>
    <row r="94" spans="4:19" ht="20.100000000000001" customHeight="1" x14ac:dyDescent="0.25">
      <c r="D94" s="52"/>
      <c r="E94" s="52" t="str">
        <f>'Input - Poultry'!$D$48</f>
        <v>Direct processing</v>
      </c>
      <c r="F94" s="52">
        <f>'Input - Poultry'!L48+'Input - Poultry'!M48</f>
        <v>0.75</v>
      </c>
      <c r="G94" s="2"/>
    </row>
    <row r="95" spans="4:19" ht="20.100000000000001" customHeight="1" x14ac:dyDescent="0.25">
      <c r="D95" s="52"/>
      <c r="E95" s="52" t="str">
        <f>'Input - Poultry'!$D$49</f>
        <v>Direct application</v>
      </c>
      <c r="F95" s="52">
        <f>'Input - Poultry'!L49+'Input - Poultry'!M49</f>
        <v>1</v>
      </c>
    </row>
    <row r="96" spans="4:19" ht="20.100000000000001" customHeight="1" x14ac:dyDescent="0.25">
      <c r="D96" s="52" t="str">
        <f>'Input - Poultry'!$D$32</f>
        <v>Manure stored in house</v>
      </c>
      <c r="E96" s="52" t="str">
        <f>'Input - Poultry'!$D$52</f>
        <v>Solid storage</v>
      </c>
      <c r="F96" s="52">
        <f>'Input - Poultry'!L52+'Input - Poultry'!M52</f>
        <v>0.75</v>
      </c>
      <c r="G96" s="2"/>
    </row>
    <row r="97" spans="4:20" ht="20.100000000000001" customHeight="1" x14ac:dyDescent="0.25">
      <c r="D97" s="52"/>
      <c r="E97" s="52" t="str">
        <f>'Input - Poultry'!$D$53</f>
        <v>Composting (passive windrow)</v>
      </c>
      <c r="F97" s="52">
        <f>'Input - Poultry'!L53+'Input - Poultry'!M53</f>
        <v>0.75</v>
      </c>
      <c r="G97" s="2"/>
    </row>
    <row r="98" spans="4:20" ht="20.100000000000001" customHeight="1" x14ac:dyDescent="0.25">
      <c r="D98" s="52"/>
      <c r="E98" s="52" t="str">
        <f>'Input - Poultry'!$D$54</f>
        <v>Digester / covered lagoons</v>
      </c>
      <c r="F98" s="52">
        <f>'Input - Poultry'!L54+'Input - Poultry'!M54</f>
        <v>0.75</v>
      </c>
      <c r="G98" s="2"/>
    </row>
    <row r="99" spans="4:20" ht="20.100000000000001" customHeight="1" x14ac:dyDescent="0.25">
      <c r="D99" s="52"/>
      <c r="E99" s="52" t="str">
        <f>'Input - Poultry'!$D$55</f>
        <v>Direct processing</v>
      </c>
      <c r="F99" s="52">
        <f>'Input - Poultry'!L55+'Input - Poultry'!M55</f>
        <v>0.75</v>
      </c>
      <c r="G99" s="2"/>
    </row>
    <row r="100" spans="4:20" ht="20.100000000000001" customHeight="1" x14ac:dyDescent="0.25">
      <c r="D100" s="52"/>
      <c r="E100" s="52" t="str">
        <f>'Input - Poultry'!$D$56</f>
        <v>Direct application</v>
      </c>
      <c r="F100" s="52">
        <f>'Input - Poultry'!L56+'Input - Poultry'!M56</f>
        <v>1</v>
      </c>
    </row>
    <row r="101" spans="4:20" ht="20.100000000000001" customHeight="1" x14ac:dyDescent="0.25"/>
    <row r="102" spans="4:20" ht="20.100000000000001" customHeight="1" x14ac:dyDescent="0.25">
      <c r="D102" s="98" t="s">
        <v>166</v>
      </c>
      <c r="N102" s="98" t="s">
        <v>375</v>
      </c>
    </row>
    <row r="103" spans="4:20" ht="20.100000000000001" customHeight="1" x14ac:dyDescent="0.25">
      <c r="D103" s="97" t="s">
        <v>301</v>
      </c>
      <c r="N103" s="97" t="s">
        <v>376</v>
      </c>
    </row>
    <row r="104" spans="4:20" ht="20.100000000000001" customHeight="1" x14ac:dyDescent="0.25">
      <c r="D104" s="51" t="s">
        <v>136</v>
      </c>
      <c r="E104" s="51" t="s">
        <v>138</v>
      </c>
      <c r="F104" s="51" t="s">
        <v>196</v>
      </c>
      <c r="G104" s="51" t="s">
        <v>197</v>
      </c>
      <c r="H104" s="51" t="s">
        <v>209</v>
      </c>
      <c r="I104" s="51" t="s">
        <v>210</v>
      </c>
      <c r="N104" s="51" t="s">
        <v>136</v>
      </c>
      <c r="O104" s="51" t="s">
        <v>138</v>
      </c>
      <c r="P104" s="51" t="s">
        <v>196</v>
      </c>
      <c r="Q104" s="51" t="s">
        <v>197</v>
      </c>
      <c r="R104" s="51" t="s">
        <v>209</v>
      </c>
      <c r="S104" s="51" t="s">
        <v>210</v>
      </c>
    </row>
    <row r="105" spans="4:20" ht="20.100000000000001" customHeight="1" x14ac:dyDescent="0.25">
      <c r="D105" s="52" t="str">
        <f>'Input - Poultry'!$D$30</f>
        <v>Poultry manure with bedding</v>
      </c>
      <c r="E105" s="52" t="str">
        <f>'Input - Poultry'!$D$38</f>
        <v>Solid storage</v>
      </c>
      <c r="F105" s="52" cm="1">
        <f t="array" ref="F105">MMS_Poultry_ManureAppliedToSoils_Equations.VEERG_4_6_1_9__1_MassOfNitrogenAppliedToSoilsScope1(F22,_xlfn.XLOOKUP($E105, $D$41:$D$49,$E$41:$E$49), _xlfn.XLOOKUP($E105, $D$54:$D$62,$E$54:$E$62), F67,$F86)</f>
        <v>0.41426360820000008</v>
      </c>
      <c r="G105" s="52" cm="1">
        <f t="array" ref="G105">MMS_Poultry_ManureAppliedToSoils_Equations.VEERG_4_6_1_9__1_MassOfNitrogenAppliedToSoilsScope1(G22,_xlfn.XLOOKUP($E105, $D$41:$D$49,$E$41:$E$49), _xlfn.XLOOKUP($E105, $D$54:$D$62,$E$54:$E$62), G67,$F86)</f>
        <v>0.44217891414000005</v>
      </c>
      <c r="H105" s="52" cm="1">
        <f t="array" ref="H105">MMS_Poultry_ManureAppliedToSoils_Equations.VEERG_4_6_1_9__1_MassOfNitrogenAppliedToSoilsScope1(H22,_xlfn.XLOOKUP($E105, $D$41:$D$49,$E$41:$E$49), _xlfn.XLOOKUP($E105, $D$54:$D$62,$E$54:$E$62), H67,$F86)</f>
        <v>0.51905229191999991</v>
      </c>
      <c r="I105" s="52" cm="1">
        <f t="array" ref="I105">MMS_Poultry_ManureAppliedToSoils_Equations.VEERG_4_6_1_9__1_MassOfNitrogenAppliedToSoilsScope1(I22,_xlfn.XLOOKUP($E105, $D$41:$D$49,$E$41:$E$49), _xlfn.XLOOKUP($E105, $D$54:$D$62,$E$54:$E$62), I67,$F86)</f>
        <v>0.44217891414000005</v>
      </c>
      <c r="J105" s="2" t="str">
        <f>$E$11</f>
        <v>kg N</v>
      </c>
      <c r="N105" s="52" t="str">
        <f>'Input - Poultry'!$D$30</f>
        <v>Poultry manure with bedding</v>
      </c>
      <c r="O105" s="52" t="str">
        <f>'Input - Poultry'!$D$38</f>
        <v>Solid storage</v>
      </c>
      <c r="P105" s="52" cm="1">
        <f t="array" ref="P105">MMS_Poultry_ManureAppliedToSoils_Equations.VEERG_4_6_1_9__1_MassOfNitrogenAppliedToSoilsScope1(P22,_xlfn.XLOOKUP($O105, $D$41:$D$49,$E$41:$E$49), _xlfn.XLOOKUP($O105, $D$54:$D$62,$E$54:$E$62), P67,$F86)</f>
        <v>0.41426360820000008</v>
      </c>
      <c r="Q105" s="52" cm="1">
        <f t="array" ref="Q105">MMS_Poultry_ManureAppliedToSoils_Equations.VEERG_4_6_1_9__1_MassOfNitrogenAppliedToSoilsScope1(Q22,_xlfn.XLOOKUP($O105, $D$41:$D$49,$E$41:$E$49), _xlfn.XLOOKUP($O105, $D$54:$D$62,$E$54:$E$62), Q67,$F86)</f>
        <v>0.44217891414000005</v>
      </c>
      <c r="R105" s="52" cm="1">
        <f t="array" ref="R105">MMS_Poultry_ManureAppliedToSoils_Equations.VEERG_4_6_1_9__1_MassOfNitrogenAppliedToSoilsScope1(R22,_xlfn.XLOOKUP($O105, $D$41:$D$49,$E$41:$E$49), _xlfn.XLOOKUP($O105, $D$54:$D$62,$E$54:$E$62), R67,$F86)</f>
        <v>0.51905229191999991</v>
      </c>
      <c r="S105" s="52"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2"/>
      <c r="E106" s="52" t="str">
        <f>'Input - Poultry'!$D$39</f>
        <v>Composting (passive windrow)</v>
      </c>
      <c r="F106" s="52" cm="1">
        <f t="array" ref="F106">MMS_Poultry_ManureAppliedToSoils_Equations.VEERG_4_6_1_9__1_MassOfNitrogenAppliedToSoilsScope1(F23,_xlfn.XLOOKUP($E106, $D$41:$D$49,$E$41:$E$49), _xlfn.XLOOKUP($E106, $D$54:$D$62,$E$54:$E$62), F68,$F87)</f>
        <v>0.4222816135200001</v>
      </c>
      <c r="G106" s="52" cm="1">
        <f t="array" ref="G106">MMS_Poultry_ManureAppliedToSoils_Equations.VEERG_4_6_1_9__1_MassOfNitrogenAppliedToSoilsScope1(G23,_xlfn.XLOOKUP($E106, $D$41:$D$49,$E$41:$E$49), _xlfn.XLOOKUP($E106, $D$54:$D$62,$E$54:$E$62), G68,$F87)</f>
        <v>0.45073721570399999</v>
      </c>
      <c r="H106" s="52" cm="1">
        <f t="array" ref="H106">MMS_Poultry_ManureAppliedToSoils_Equations.VEERG_4_6_1_9__1_MassOfNitrogenAppliedToSoilsScope1(H23,_xlfn.XLOOKUP($E106, $D$41:$D$49,$E$41:$E$49), _xlfn.XLOOKUP($E106, $D$54:$D$62,$E$54:$E$62), H68,$F87)</f>
        <v>0.529098465312</v>
      </c>
      <c r="I106" s="52" cm="1">
        <f t="array" ref="I106">MMS_Poultry_ManureAppliedToSoils_Equations.VEERG_4_6_1_9__1_MassOfNitrogenAppliedToSoilsScope1(I23,_xlfn.XLOOKUP($E106, $D$41:$D$49,$E$41:$E$49), _xlfn.XLOOKUP($E106, $D$54:$D$62,$E$54:$E$62), I68,$F87)</f>
        <v>0.45073721570399999</v>
      </c>
      <c r="J106" s="2"/>
      <c r="N106" s="52"/>
      <c r="O106" s="52" t="str">
        <f>'Input - Poultry'!$D$39</f>
        <v>Composting (passive windrow)</v>
      </c>
      <c r="P106" s="52" cm="1">
        <f t="array" ref="P106">MMS_Poultry_ManureAppliedToSoils_Equations.VEERG_4_6_1_9__1_MassOfNitrogenAppliedToSoilsScope1(P23,_xlfn.XLOOKUP($O106, $D$41:$D$49,$E$41:$E$49), _xlfn.XLOOKUP($O106, $D$54:$D$62,$E$54:$E$62), P68,$F87)</f>
        <v>0.4222816135200001</v>
      </c>
      <c r="Q106" s="52" cm="1">
        <f t="array" ref="Q106">MMS_Poultry_ManureAppliedToSoils_Equations.VEERG_4_6_1_9__1_MassOfNitrogenAppliedToSoilsScope1(Q23,_xlfn.XLOOKUP($O106, $D$41:$D$49,$E$41:$E$49), _xlfn.XLOOKUP($O106, $D$54:$D$62,$E$54:$E$62), Q68,$F87)</f>
        <v>0.45073721570399999</v>
      </c>
      <c r="R106" s="52" cm="1">
        <f t="array" ref="R106">MMS_Poultry_ManureAppliedToSoils_Equations.VEERG_4_6_1_9__1_MassOfNitrogenAppliedToSoilsScope1(R23,_xlfn.XLOOKUP($O106, $D$41:$D$49,$E$41:$E$49), _xlfn.XLOOKUP($O106, $D$54:$D$62,$E$54:$E$62), R68,$F87)</f>
        <v>0.529098465312</v>
      </c>
      <c r="S106" s="52"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2"/>
      <c r="E107" s="52" t="str">
        <f>'Input - Poultry'!$D$40</f>
        <v>Digester / covered lagoons</v>
      </c>
      <c r="F107" s="52" cm="1">
        <f t="array" ref="F107">MMS_Poultry_ManureAppliedToSoils_Equations.VEERG_4_6_1_9__1_MassOfNitrogenAppliedToSoilsScope1(F24,_xlfn.XLOOKUP($E107, $D$41:$D$49,$E$41:$E$49), _xlfn.XLOOKUP($E107, $D$54:$D$62,$E$54:$E$62), F69,$F88)</f>
        <v>0.53453368800000012</v>
      </c>
      <c r="G107" s="52" cm="1">
        <f t="array" ref="G107">MMS_Poultry_ManureAppliedToSoils_Equations.VEERG_4_6_1_9__1_MassOfNitrogenAppliedToSoilsScope1(G24,_xlfn.XLOOKUP($E107, $D$41:$D$49,$E$41:$E$49), _xlfn.XLOOKUP($E107, $D$54:$D$62,$E$54:$E$62), G69,$F88)</f>
        <v>0.57055343759999999</v>
      </c>
      <c r="H107" s="52" cm="1">
        <f t="array" ref="H107">MMS_Poultry_ManureAppliedToSoils_Equations.VEERG_4_6_1_9__1_MassOfNitrogenAppliedToSoilsScope1(H24,_xlfn.XLOOKUP($E107, $D$41:$D$49,$E$41:$E$49), _xlfn.XLOOKUP($E107, $D$54:$D$62,$E$54:$E$62), H69,$F88)</f>
        <v>0.66974489279999994</v>
      </c>
      <c r="I107" s="52" cm="1">
        <f t="array" ref="I107">MMS_Poultry_ManureAppliedToSoils_Equations.VEERG_4_6_1_9__1_MassOfNitrogenAppliedToSoilsScope1(I24,_xlfn.XLOOKUP($E107, $D$41:$D$49,$E$41:$E$49), _xlfn.XLOOKUP($E107, $D$54:$D$62,$E$54:$E$62), I69,$F88)</f>
        <v>0.57055343759999999</v>
      </c>
      <c r="J107" s="2"/>
      <c r="N107" s="52"/>
      <c r="O107" s="52" t="str">
        <f>'Input - Poultry'!$D$40</f>
        <v>Digester / covered lagoons</v>
      </c>
      <c r="P107" s="52" cm="1">
        <f t="array" ref="P107">MMS_Poultry_ManureAppliedToSoils_Equations.VEERG_4_6_1_9__1_MassOfNitrogenAppliedToSoilsScope1(P24,_xlfn.XLOOKUP($O107, $D$41:$D$49,$E$41:$E$49), _xlfn.XLOOKUP($O107, $D$54:$D$62,$E$54:$E$62), P69,$F88)</f>
        <v>0.53453368800000012</v>
      </c>
      <c r="Q107" s="52" cm="1">
        <f t="array" ref="Q107">MMS_Poultry_ManureAppliedToSoils_Equations.VEERG_4_6_1_9__1_MassOfNitrogenAppliedToSoilsScope1(Q24,_xlfn.XLOOKUP($O107, $D$41:$D$49,$E$41:$E$49), _xlfn.XLOOKUP($O107, $D$54:$D$62,$E$54:$E$62), Q69,$F88)</f>
        <v>0.57055343759999999</v>
      </c>
      <c r="R107" s="52" cm="1">
        <f t="array" ref="R107">MMS_Poultry_ManureAppliedToSoils_Equations.VEERG_4_6_1_9__1_MassOfNitrogenAppliedToSoilsScope1(R24,_xlfn.XLOOKUP($O107, $D$41:$D$49,$E$41:$E$49), _xlfn.XLOOKUP($O107, $D$54:$D$62,$E$54:$E$62), R69,$F88)</f>
        <v>0.66974489279999994</v>
      </c>
      <c r="S107" s="52"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2"/>
      <c r="E108" s="52" t="str">
        <f>'Input - Poultry'!$D$41</f>
        <v>Direct processing</v>
      </c>
      <c r="F108" s="52" cm="1">
        <f t="array" ref="F108">MMS_Poultry_ManureAppliedToSoils_Equations.VEERG_4_6_1_9__1_MassOfNitrogenAppliedToSoilsScope1(F25,_xlfn.XLOOKUP($E108, $D$41:$D$49,$E$41:$E$49), _xlfn.XLOOKUP($E108, $D$54:$D$62,$E$54:$E$62), F70,$F89)</f>
        <v>0.53453368800000012</v>
      </c>
      <c r="G108" s="52" cm="1">
        <f t="array" ref="G108">MMS_Poultry_ManureAppliedToSoils_Equations.VEERG_4_6_1_9__1_MassOfNitrogenAppliedToSoilsScope1(G25,_xlfn.XLOOKUP($E108, $D$41:$D$49,$E$41:$E$49), _xlfn.XLOOKUP($E108, $D$54:$D$62,$E$54:$E$62), G70,$F89)</f>
        <v>0.57055343759999999</v>
      </c>
      <c r="H108" s="52" cm="1">
        <f t="array" ref="H108">MMS_Poultry_ManureAppliedToSoils_Equations.VEERG_4_6_1_9__1_MassOfNitrogenAppliedToSoilsScope1(H25,_xlfn.XLOOKUP($E108, $D$41:$D$49,$E$41:$E$49), _xlfn.XLOOKUP($E108, $D$54:$D$62,$E$54:$E$62), H70,$F89)</f>
        <v>0.66974489279999994</v>
      </c>
      <c r="I108" s="52" cm="1">
        <f t="array" ref="I108">MMS_Poultry_ManureAppliedToSoils_Equations.VEERG_4_6_1_9__1_MassOfNitrogenAppliedToSoilsScope1(I25,_xlfn.XLOOKUP($E108, $D$41:$D$49,$E$41:$E$49), _xlfn.XLOOKUP($E108, $D$54:$D$62,$E$54:$E$62), I70,$F89)</f>
        <v>0.57055343759999999</v>
      </c>
      <c r="J108" s="2"/>
      <c r="N108" s="52"/>
      <c r="O108" s="52" t="str">
        <f>'Input - Poultry'!$D$41</f>
        <v>Direct processing</v>
      </c>
      <c r="P108" s="52" cm="1">
        <f t="array" ref="P108">MMS_Poultry_ManureAppliedToSoils_Equations.VEERG_4_6_1_9__1_MassOfNitrogenAppliedToSoilsScope1(P25,_xlfn.XLOOKUP($O108, $D$41:$D$49,$E$41:$E$49), _xlfn.XLOOKUP($O108, $D$54:$D$62,$E$54:$E$62), P70,$F89)</f>
        <v>0.53453368800000012</v>
      </c>
      <c r="Q108" s="52" cm="1">
        <f t="array" ref="Q108">MMS_Poultry_ManureAppliedToSoils_Equations.VEERG_4_6_1_9__1_MassOfNitrogenAppliedToSoilsScope1(Q25,_xlfn.XLOOKUP($O108, $D$41:$D$49,$E$41:$E$49), _xlfn.XLOOKUP($O108, $D$54:$D$62,$E$54:$E$62), Q70,$F89)</f>
        <v>0.57055343759999999</v>
      </c>
      <c r="R108" s="52" cm="1">
        <f t="array" ref="R108">MMS_Poultry_ManureAppliedToSoils_Equations.VEERG_4_6_1_9__1_MassOfNitrogenAppliedToSoilsScope1(R25,_xlfn.XLOOKUP($O108, $D$41:$D$49,$E$41:$E$49), _xlfn.XLOOKUP($O108, $D$54:$D$62,$E$54:$E$62), R70,$F89)</f>
        <v>0.66974489279999994</v>
      </c>
      <c r="S108" s="52"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2"/>
      <c r="E109" s="52" t="str">
        <f>'Input - Poultry'!$D$42</f>
        <v>Direct application</v>
      </c>
      <c r="F109" s="52" cm="1">
        <f t="array" ref="F109">MMS_Poultry_ManureAppliedToSoils_Equations.VEERG_4_6_1_9__1_MassOfNitrogenAppliedToSoilsScope1(F26,_xlfn.XLOOKUP($E109, $D$41:$D$49,$E$41:$E$49), _xlfn.XLOOKUP($E109, $D$54:$D$62,$E$54:$E$62), F71,$F90)</f>
        <v>0.7127115839999999</v>
      </c>
      <c r="G109" s="52" cm="1">
        <f t="array" ref="G109">MMS_Poultry_ManureAppliedToSoils_Equations.VEERG_4_6_1_9__1_MassOfNitrogenAppliedToSoilsScope1(G26,_xlfn.XLOOKUP($E109, $D$41:$D$49,$E$41:$E$49), _xlfn.XLOOKUP($E109, $D$54:$D$62,$E$54:$E$62), G71,$F90)</f>
        <v>0.7607379167999998</v>
      </c>
      <c r="H109" s="52" cm="1">
        <f t="array" ref="H109">MMS_Poultry_ManureAppliedToSoils_Equations.VEERG_4_6_1_9__1_MassOfNitrogenAppliedToSoilsScope1(H26,_xlfn.XLOOKUP($E109, $D$41:$D$49,$E$41:$E$49), _xlfn.XLOOKUP($E109, $D$54:$D$62,$E$54:$E$62), H71,$F90)</f>
        <v>0.89299319039999958</v>
      </c>
      <c r="I109" s="52" cm="1">
        <f t="array" ref="I109">MMS_Poultry_ManureAppliedToSoils_Equations.VEERG_4_6_1_9__1_MassOfNitrogenAppliedToSoilsScope1(I26,_xlfn.XLOOKUP($E109, $D$41:$D$49,$E$41:$E$49), _xlfn.XLOOKUP($E109, $D$54:$D$62,$E$54:$E$62), I71,$F90)</f>
        <v>0.7607379167999998</v>
      </c>
      <c r="N109" s="52"/>
      <c r="O109" s="52" t="str">
        <f>'Input - Poultry'!$D$42</f>
        <v>Direct application</v>
      </c>
      <c r="P109" s="52" cm="1">
        <f t="array" ref="P109">MMS_Poultry_ManureAppliedToSoils_Equations.VEERG_4_6_1_9__1_MassOfNitrogenAppliedToSoilsScope1(P26,_xlfn.XLOOKUP($O109, $D$41:$D$49,$E$41:$E$49), _xlfn.XLOOKUP($O109, $D$54:$D$62,$E$54:$E$62), P71,$F90)</f>
        <v>0.7127115839999999</v>
      </c>
      <c r="Q109" s="52" cm="1">
        <f t="array" ref="Q109">MMS_Poultry_ManureAppliedToSoils_Equations.VEERG_4_6_1_9__1_MassOfNitrogenAppliedToSoilsScope1(Q26,_xlfn.XLOOKUP($O109, $D$41:$D$49,$E$41:$E$49), _xlfn.XLOOKUP($O109, $D$54:$D$62,$E$54:$E$62), Q71,$F90)</f>
        <v>0.7607379167999998</v>
      </c>
      <c r="R109" s="52" cm="1">
        <f t="array" ref="R109">MMS_Poultry_ManureAppliedToSoils_Equations.VEERG_4_6_1_9__1_MassOfNitrogenAppliedToSoilsScope1(R26,_xlfn.XLOOKUP($O109, $D$41:$D$49,$E$41:$E$49), _xlfn.XLOOKUP($O109, $D$54:$D$62,$E$54:$E$62), R71,$F90)</f>
        <v>0.89299319039999958</v>
      </c>
      <c r="S109" s="52"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52" t="str">
        <f>'Input - Poultry'!$D$31</f>
        <v>Belt manure removal</v>
      </c>
      <c r="E110" s="52" t="str">
        <f>'Input - Poultry'!$D$45</f>
        <v>Solid storage</v>
      </c>
      <c r="F110" s="52" cm="1">
        <f t="array" ref="F110">MMS_Poultry_ManureAppliedToSoils_Equations.VEERG_4_6_1_9__1_MassOfNitrogenAppliedToSoilsScope1(F27,_xlfn.XLOOKUP($E110, $D$41:$D$49,$E$41:$E$49), _xlfn.XLOOKUP($E110, $D$54:$D$62,$E$54:$E$62), F72,$F91)</f>
        <v>0.56242655820000009</v>
      </c>
      <c r="G110" s="52" cm="1">
        <f t="array" ref="G110">MMS_Poultry_ManureAppliedToSoils_Equations.VEERG_4_6_1_9__1_MassOfNitrogenAppliedToSoilsScope1(G27,_xlfn.XLOOKUP($E110, $D$41:$D$49,$E$41:$E$49), _xlfn.XLOOKUP($E110, $D$54:$D$62,$E$54:$E$62), G72,$F91)</f>
        <v>0.60032587913999991</v>
      </c>
      <c r="H110" s="52" cm="1">
        <f t="array" ref="H110">MMS_Poultry_ManureAppliedToSoils_Equations.VEERG_4_6_1_9__1_MassOfNitrogenAppliedToSoilsScope1(H27,_xlfn.XLOOKUP($E110, $D$41:$D$49,$E$41:$E$49), _xlfn.XLOOKUP($E110, $D$54:$D$62,$E$54:$E$62), H72,$F91)</f>
        <v>0.70469331191999995</v>
      </c>
      <c r="I110" s="52" cm="1">
        <f t="array" ref="I110">MMS_Poultry_ManureAppliedToSoils_Equations.VEERG_4_6_1_9__1_MassOfNitrogenAppliedToSoilsScope1(I27,_xlfn.XLOOKUP($E110, $D$41:$D$49,$E$41:$E$49), _xlfn.XLOOKUP($E110, $D$54:$D$62,$E$54:$E$62), I72,$F91)</f>
        <v>0.60032587913999991</v>
      </c>
      <c r="J110" s="2"/>
      <c r="N110" s="52" t="str">
        <f>'Input - Poultry'!$D$31</f>
        <v>Belt manure removal</v>
      </c>
      <c r="O110" s="52" t="str">
        <f>'Input - Poultry'!$D$45</f>
        <v>Solid storage</v>
      </c>
      <c r="P110" s="52" cm="1">
        <f t="array" ref="P110">MMS_Poultry_ManureAppliedToSoils_Equations.VEERG_4_6_1_9__1_MassOfNitrogenAppliedToSoilsScope1(P27,_xlfn.XLOOKUP($O110, $D$41:$D$49,$E$41:$E$49), _xlfn.XLOOKUP($O110, $D$54:$D$62,$E$54:$E$62), P72,$F91)</f>
        <v>0.56242655820000009</v>
      </c>
      <c r="Q110" s="52" cm="1">
        <f t="array" ref="Q110">MMS_Poultry_ManureAppliedToSoils_Equations.VEERG_4_6_1_9__1_MassOfNitrogenAppliedToSoilsScope1(Q27,_xlfn.XLOOKUP($O110, $D$41:$D$49,$E$41:$E$49), _xlfn.XLOOKUP($O110, $D$54:$D$62,$E$54:$E$62), Q72,$F91)</f>
        <v>0.60032587913999991</v>
      </c>
      <c r="R110" s="52" cm="1">
        <f t="array" ref="R110">MMS_Poultry_ManureAppliedToSoils_Equations.VEERG_4_6_1_9__1_MassOfNitrogenAppliedToSoilsScope1(R27,_xlfn.XLOOKUP($O110, $D$41:$D$49,$E$41:$E$49), _xlfn.XLOOKUP($O110, $D$54:$D$62,$E$54:$E$62), R72,$F91)</f>
        <v>0.70469331191999995</v>
      </c>
      <c r="S110" s="52"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2"/>
      <c r="E111" s="52" t="str">
        <f>'Input - Poultry'!$D$46</f>
        <v>Composting (passive windrow)</v>
      </c>
      <c r="F111" s="52" cm="1">
        <f t="array" ref="F111">MMS_Poultry_ManureAppliedToSoils_Equations.VEERG_4_6_1_9__1_MassOfNitrogenAppliedToSoilsScope1(F28,_xlfn.XLOOKUP($E111, $D$41:$D$49,$E$41:$E$49), _xlfn.XLOOKUP($E111, $D$54:$D$62,$E$54:$E$62), F73,$F92)</f>
        <v>0.57331223352000016</v>
      </c>
      <c r="G111" s="52" cm="1">
        <f t="array" ref="G111">MMS_Poultry_ManureAppliedToSoils_Equations.VEERG_4_6_1_9__1_MassOfNitrogenAppliedToSoilsScope1(G28,_xlfn.XLOOKUP($E111, $D$41:$D$49,$E$41:$E$49), _xlfn.XLOOKUP($E111, $D$54:$D$62,$E$54:$E$62), G73,$F92)</f>
        <v>0.61194508970400008</v>
      </c>
      <c r="H111" s="52" cm="1">
        <f t="array" ref="H111">MMS_Poultry_ManureAppliedToSoils_Equations.VEERG_4_6_1_9__1_MassOfNitrogenAppliedToSoilsScope1(H28,_xlfn.XLOOKUP($E111, $D$41:$D$49,$E$41:$E$49), _xlfn.XLOOKUP($E111, $D$54:$D$62,$E$54:$E$62), H73,$F92)</f>
        <v>0.71833253731199997</v>
      </c>
      <c r="I111" s="52" cm="1">
        <f t="array" ref="I111">MMS_Poultry_ManureAppliedToSoils_Equations.VEERG_4_6_1_9__1_MassOfNitrogenAppliedToSoilsScope1(I28,_xlfn.XLOOKUP($E111, $D$41:$D$49,$E$41:$E$49), _xlfn.XLOOKUP($E111, $D$54:$D$62,$E$54:$E$62), I73,$F92)</f>
        <v>0.61194508970400008</v>
      </c>
      <c r="J111" s="2"/>
      <c r="N111" s="52"/>
      <c r="O111" s="52" t="str">
        <f>'Input - Poultry'!$D$46</f>
        <v>Composting (passive windrow)</v>
      </c>
      <c r="P111" s="52" cm="1">
        <f t="array" ref="P111">MMS_Poultry_ManureAppliedToSoils_Equations.VEERG_4_6_1_9__1_MassOfNitrogenAppliedToSoilsScope1(P28,_xlfn.XLOOKUP($O111, $D$41:$D$49,$E$41:$E$49), _xlfn.XLOOKUP($O111, $D$54:$D$62,$E$54:$E$62), P73,$F92)</f>
        <v>0.57331223352000016</v>
      </c>
      <c r="Q111" s="52" cm="1">
        <f t="array" ref="Q111">MMS_Poultry_ManureAppliedToSoils_Equations.VEERG_4_6_1_9__1_MassOfNitrogenAppliedToSoilsScope1(Q28,_xlfn.XLOOKUP($O111, $D$41:$D$49,$E$41:$E$49), _xlfn.XLOOKUP($O111, $D$54:$D$62,$E$54:$E$62), Q73,$F92)</f>
        <v>0.61194508970400008</v>
      </c>
      <c r="R111" s="52" cm="1">
        <f t="array" ref="R111">MMS_Poultry_ManureAppliedToSoils_Equations.VEERG_4_6_1_9__1_MassOfNitrogenAppliedToSoilsScope1(R28,_xlfn.XLOOKUP($O111, $D$41:$D$49,$E$41:$E$49), _xlfn.XLOOKUP($O111, $D$54:$D$62,$E$54:$E$62), R73,$F92)</f>
        <v>0.71833253731199997</v>
      </c>
      <c r="S111" s="52"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2"/>
      <c r="E112" s="52" t="str">
        <f>'Input - Poultry'!$D$47</f>
        <v>Digester / covered lagoons</v>
      </c>
      <c r="F112" s="52" cm="1">
        <f t="array" ref="F112">MMS_Poultry_ManureAppliedToSoils_Equations.VEERG_4_6_1_9__1_MassOfNitrogenAppliedToSoilsScope1(F29,_xlfn.XLOOKUP($E112, $D$41:$D$49,$E$41:$E$49), _xlfn.XLOOKUP($E112, $D$54:$D$62,$E$54:$E$62), F74,$F93)</f>
        <v>0.72571168800000019</v>
      </c>
      <c r="G112" s="52" cm="1">
        <f t="array" ref="G112">MMS_Poultry_ManureAppliedToSoils_Equations.VEERG_4_6_1_9__1_MassOfNitrogenAppliedToSoilsScope1(G29,_xlfn.XLOOKUP($E112, $D$41:$D$49,$E$41:$E$49), _xlfn.XLOOKUP($E112, $D$54:$D$62,$E$54:$E$62), G74,$F93)</f>
        <v>0.77461403760000003</v>
      </c>
      <c r="H112" s="52" cm="1">
        <f t="array" ref="H112">MMS_Poultry_ManureAppliedToSoils_Equations.VEERG_4_6_1_9__1_MassOfNitrogenAppliedToSoilsScope1(H29,_xlfn.XLOOKUP($E112, $D$41:$D$49,$E$41:$E$49), _xlfn.XLOOKUP($E112, $D$54:$D$62,$E$54:$E$62), H74,$F93)</f>
        <v>0.90928169280000004</v>
      </c>
      <c r="I112" s="52" cm="1">
        <f t="array" ref="I112">MMS_Poultry_ManureAppliedToSoils_Equations.VEERG_4_6_1_9__1_MassOfNitrogenAppliedToSoilsScope1(I29,_xlfn.XLOOKUP($E112, $D$41:$D$49,$E$41:$E$49), _xlfn.XLOOKUP($E112, $D$54:$D$62,$E$54:$E$62), I74,$F93)</f>
        <v>0.77461403760000003</v>
      </c>
      <c r="J112" s="2"/>
      <c r="N112" s="52"/>
      <c r="O112" s="52" t="str">
        <f>'Input - Poultry'!$D$47</f>
        <v>Digester / covered lagoons</v>
      </c>
      <c r="P112" s="52" cm="1">
        <f t="array" ref="P112">MMS_Poultry_ManureAppliedToSoils_Equations.VEERG_4_6_1_9__1_MassOfNitrogenAppliedToSoilsScope1(P29,_xlfn.XLOOKUP($O112, $D$41:$D$49,$E$41:$E$49), _xlfn.XLOOKUP($O112, $D$54:$D$62,$E$54:$E$62), P74,$F93)</f>
        <v>0.72571168800000019</v>
      </c>
      <c r="Q112" s="52" cm="1">
        <f t="array" ref="Q112">MMS_Poultry_ManureAppliedToSoils_Equations.VEERG_4_6_1_9__1_MassOfNitrogenAppliedToSoilsScope1(Q29,_xlfn.XLOOKUP($O112, $D$41:$D$49,$E$41:$E$49), _xlfn.XLOOKUP($O112, $D$54:$D$62,$E$54:$E$62), Q74,$F93)</f>
        <v>0.77461403760000003</v>
      </c>
      <c r="R112" s="52" cm="1">
        <f t="array" ref="R112">MMS_Poultry_ManureAppliedToSoils_Equations.VEERG_4_6_1_9__1_MassOfNitrogenAppliedToSoilsScope1(R29,_xlfn.XLOOKUP($O112, $D$41:$D$49,$E$41:$E$49), _xlfn.XLOOKUP($O112, $D$54:$D$62,$E$54:$E$62), R74,$F93)</f>
        <v>0.90928169280000004</v>
      </c>
      <c r="S112" s="52"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2"/>
      <c r="E113" s="52" t="str">
        <f>'Input - Poultry'!$D$48</f>
        <v>Direct processing</v>
      </c>
      <c r="F113" s="52" cm="1">
        <f t="array" ref="F113">MMS_Poultry_ManureAppliedToSoils_Equations.VEERG_4_6_1_9__1_MassOfNitrogenAppliedToSoilsScope1(F30,_xlfn.XLOOKUP($E113, $D$41:$D$49,$E$41:$E$49), _xlfn.XLOOKUP($E113, $D$54:$D$62,$E$54:$E$62), F75,$F94)</f>
        <v>0.72571168800000019</v>
      </c>
      <c r="G113" s="52" cm="1">
        <f t="array" ref="G113">MMS_Poultry_ManureAppliedToSoils_Equations.VEERG_4_6_1_9__1_MassOfNitrogenAppliedToSoilsScope1(G30,_xlfn.XLOOKUP($E113, $D$41:$D$49,$E$41:$E$49), _xlfn.XLOOKUP($E113, $D$54:$D$62,$E$54:$E$62), G75,$F94)</f>
        <v>0.77461403760000003</v>
      </c>
      <c r="H113" s="52" cm="1">
        <f t="array" ref="H113">MMS_Poultry_ManureAppliedToSoils_Equations.VEERG_4_6_1_9__1_MassOfNitrogenAppliedToSoilsScope1(H30,_xlfn.XLOOKUP($E113, $D$41:$D$49,$E$41:$E$49), _xlfn.XLOOKUP($E113, $D$54:$D$62,$E$54:$E$62), H75,$F94)</f>
        <v>0.90928169280000004</v>
      </c>
      <c r="I113" s="52" cm="1">
        <f t="array" ref="I113">MMS_Poultry_ManureAppliedToSoils_Equations.VEERG_4_6_1_9__1_MassOfNitrogenAppliedToSoilsScope1(I30,_xlfn.XLOOKUP($E113, $D$41:$D$49,$E$41:$E$49), _xlfn.XLOOKUP($E113, $D$54:$D$62,$E$54:$E$62), I75,$F94)</f>
        <v>0.77461403760000003</v>
      </c>
      <c r="J113" s="2"/>
      <c r="N113" s="52"/>
      <c r="O113" s="52" t="str">
        <f>'Input - Poultry'!$D$48</f>
        <v>Direct processing</v>
      </c>
      <c r="P113" s="52" cm="1">
        <f t="array" ref="P113">MMS_Poultry_ManureAppliedToSoils_Equations.VEERG_4_6_1_9__1_MassOfNitrogenAppliedToSoilsScope1(P30,_xlfn.XLOOKUP($O113, $D$41:$D$49,$E$41:$E$49), _xlfn.XLOOKUP($O113, $D$54:$D$62,$E$54:$E$62), P75,$F94)</f>
        <v>0.72571168800000019</v>
      </c>
      <c r="Q113" s="52" cm="1">
        <f t="array" ref="Q113">MMS_Poultry_ManureAppliedToSoils_Equations.VEERG_4_6_1_9__1_MassOfNitrogenAppliedToSoilsScope1(Q30,_xlfn.XLOOKUP($O113, $D$41:$D$49,$E$41:$E$49), _xlfn.XLOOKUP($O113, $D$54:$D$62,$E$54:$E$62), Q75,$F94)</f>
        <v>0.77461403760000003</v>
      </c>
      <c r="R113" s="52" cm="1">
        <f t="array" ref="R113">MMS_Poultry_ManureAppliedToSoils_Equations.VEERG_4_6_1_9__1_MassOfNitrogenAppliedToSoilsScope1(R30,_xlfn.XLOOKUP($O113, $D$41:$D$49,$E$41:$E$49), _xlfn.XLOOKUP($O113, $D$54:$D$62,$E$54:$E$62), R75,$F94)</f>
        <v>0.90928169280000004</v>
      </c>
      <c r="S113" s="52"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2"/>
      <c r="E114" s="52" t="str">
        <f>'Input - Poultry'!$D$49</f>
        <v>Direct application</v>
      </c>
      <c r="F114" s="52" cm="1">
        <f t="array" ref="F114">MMS_Poultry_ManureAppliedToSoils_Equations.VEERG_4_6_1_9__1_MassOfNitrogenAppliedToSoilsScope1(F31,_xlfn.XLOOKUP($E114, $D$41:$D$49,$E$41:$E$49), _xlfn.XLOOKUP($E114, $D$54:$D$62,$E$54:$E$62), F76,$F95)</f>
        <v>0.96761558399999992</v>
      </c>
      <c r="G114" s="52" cm="1">
        <f t="array" ref="G114">MMS_Poultry_ManureAppliedToSoils_Equations.VEERG_4_6_1_9__1_MassOfNitrogenAppliedToSoilsScope1(G31,_xlfn.XLOOKUP($E114, $D$41:$D$49,$E$41:$E$49), _xlfn.XLOOKUP($E114, $D$54:$D$62,$E$54:$E$62), G76,$F95)</f>
        <v>1.0328187167999998</v>
      </c>
      <c r="H114" s="52" cm="1">
        <f t="array" ref="H114">MMS_Poultry_ManureAppliedToSoils_Equations.VEERG_4_6_1_9__1_MassOfNitrogenAppliedToSoilsScope1(H31,_xlfn.XLOOKUP($E114, $D$41:$D$49,$E$41:$E$49), _xlfn.XLOOKUP($E114, $D$54:$D$62,$E$54:$E$62), H76,$F95)</f>
        <v>1.2123755903999998</v>
      </c>
      <c r="I114" s="52" cm="1">
        <f t="array" ref="I114">MMS_Poultry_ManureAppliedToSoils_Equations.VEERG_4_6_1_9__1_MassOfNitrogenAppliedToSoilsScope1(I31,_xlfn.XLOOKUP($E114, $D$41:$D$49,$E$41:$E$49), _xlfn.XLOOKUP($E114, $D$54:$D$62,$E$54:$E$62), I76,$F95)</f>
        <v>1.0328187167999998</v>
      </c>
      <c r="N114" s="52"/>
      <c r="O114" s="52" t="str">
        <f>'Input - Poultry'!$D$49</f>
        <v>Direct application</v>
      </c>
      <c r="P114" s="52" cm="1">
        <f t="array" ref="P114">MMS_Poultry_ManureAppliedToSoils_Equations.VEERG_4_6_1_9__1_MassOfNitrogenAppliedToSoilsScope1(P31,_xlfn.XLOOKUP($O114, $D$41:$D$49,$E$41:$E$49), _xlfn.XLOOKUP($O114, $D$54:$D$62,$E$54:$E$62), P76,$F95)</f>
        <v>0.96761558399999992</v>
      </c>
      <c r="Q114" s="52" cm="1">
        <f t="array" ref="Q114">MMS_Poultry_ManureAppliedToSoils_Equations.VEERG_4_6_1_9__1_MassOfNitrogenAppliedToSoilsScope1(Q31,_xlfn.XLOOKUP($O114, $D$41:$D$49,$E$41:$E$49), _xlfn.XLOOKUP($O114, $D$54:$D$62,$E$54:$E$62), Q76,$F95)</f>
        <v>1.0328187167999998</v>
      </c>
      <c r="R114" s="52" cm="1">
        <f t="array" ref="R114">MMS_Poultry_ManureAppliedToSoils_Equations.VEERG_4_6_1_9__1_MassOfNitrogenAppliedToSoilsScope1(R31,_xlfn.XLOOKUP($O114, $D$41:$D$49,$E$41:$E$49), _xlfn.XLOOKUP($O114, $D$54:$D$62,$E$54:$E$62), R76,$F95)</f>
        <v>1.2123755903999998</v>
      </c>
      <c r="S114" s="52"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52" t="str">
        <f>'Input - Poultry'!$D$32</f>
        <v>Manure stored in house</v>
      </c>
      <c r="E115" s="52" t="str">
        <f>'Input - Poultry'!$D$52</f>
        <v>Solid storage</v>
      </c>
      <c r="F115" s="52" cm="1">
        <f t="array" ref="F115">MMS_Poultry_ManureAppliedToSoils_Equations.VEERG_4_6_1_9__1_MassOfNitrogenAppliedToSoilsScope1(F32,_xlfn.XLOOKUP($E115, $D$41:$D$49,$E$41:$E$49), _xlfn.XLOOKUP($E115, $D$54:$D$62,$E$54:$E$62), F77,$F96)</f>
        <v>0.35499842820000005</v>
      </c>
      <c r="G115" s="52" cm="1">
        <f t="array" ref="G115">MMS_Poultry_ManureAppliedToSoils_Equations.VEERG_4_6_1_9__1_MassOfNitrogenAppliedToSoilsScope1(G32,_xlfn.XLOOKUP($E115, $D$41:$D$49,$E$41:$E$49), _xlfn.XLOOKUP($E115, $D$54:$D$62,$E$54:$E$62), G77,$F96)</f>
        <v>0.37892012813999987</v>
      </c>
      <c r="H115" s="52" cm="1">
        <f t="array" ref="H115">MMS_Poultry_ManureAppliedToSoils_Equations.VEERG_4_6_1_9__1_MassOfNitrogenAppliedToSoilsScope1(H32,_xlfn.XLOOKUP($E115, $D$41:$D$49,$E$41:$E$49), _xlfn.XLOOKUP($E115, $D$54:$D$62,$E$54:$E$62), H77,$F96)</f>
        <v>0.44479588391999991</v>
      </c>
      <c r="I115" s="52" cm="1">
        <f t="array" ref="I115">MMS_Poultry_ManureAppliedToSoils_Equations.VEERG_4_6_1_9__1_MassOfNitrogenAppliedToSoilsScope1(I32,_xlfn.XLOOKUP($E115, $D$41:$D$49,$E$41:$E$49), _xlfn.XLOOKUP($E115, $D$54:$D$62,$E$54:$E$62), I77,$F96)</f>
        <v>0.37892012813999987</v>
      </c>
      <c r="J115" s="2"/>
      <c r="N115" s="52" t="str">
        <f>'Input - Poultry'!$D$32</f>
        <v>Manure stored in house</v>
      </c>
      <c r="O115" s="52" t="str">
        <f>'Input - Poultry'!$D$52</f>
        <v>Solid storage</v>
      </c>
      <c r="P115" s="52" cm="1">
        <f t="array" ref="P115">MMS_Poultry_ManureAppliedToSoils_Equations.VEERG_4_6_1_9__1_MassOfNitrogenAppliedToSoilsScope1(P32,_xlfn.XLOOKUP($O115, $D$41:$D$49,$E$41:$E$49), _xlfn.XLOOKUP($O115, $D$54:$D$62,$E$54:$E$62), P77,$F96)</f>
        <v>0.35499842820000005</v>
      </c>
      <c r="Q115" s="52" cm="1">
        <f t="array" ref="Q115">MMS_Poultry_ManureAppliedToSoils_Equations.VEERG_4_6_1_9__1_MassOfNitrogenAppliedToSoilsScope1(Q32,_xlfn.XLOOKUP($O115, $D$41:$D$49,$E$41:$E$49), _xlfn.XLOOKUP($O115, $D$54:$D$62,$E$54:$E$62), Q77,$F96)</f>
        <v>0.37892012813999987</v>
      </c>
      <c r="R115" s="52" cm="1">
        <f t="array" ref="R115">MMS_Poultry_ManureAppliedToSoils_Equations.VEERG_4_6_1_9__1_MassOfNitrogenAppliedToSoilsScope1(R32,_xlfn.XLOOKUP($O115, $D$41:$D$49,$E$41:$E$49), _xlfn.XLOOKUP($O115, $D$54:$D$62,$E$54:$E$62), R77,$F96)</f>
        <v>0.44479588391999991</v>
      </c>
      <c r="S115" s="52"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2"/>
      <c r="E116" s="52" t="str">
        <f>'Input - Poultry'!$D$53</f>
        <v>Composting (passive windrow)</v>
      </c>
      <c r="F116" s="52" cm="1">
        <f t="array" ref="F116">MMS_Poultry_ManureAppliedToSoils_Equations.VEERG_4_6_1_9__1_MassOfNitrogenAppliedToSoilsScope1(F33,_xlfn.XLOOKUP($E116, $D$41:$D$49,$E$41:$E$49), _xlfn.XLOOKUP($E116, $D$54:$D$62,$E$54:$E$62), F78,$F97)</f>
        <v>0.3618693655200001</v>
      </c>
      <c r="G116" s="52" cm="1">
        <f t="array" ref="G116">MMS_Poultry_ManureAppliedToSoils_Equations.VEERG_4_6_1_9__1_MassOfNitrogenAppliedToSoilsScope1(G33,_xlfn.XLOOKUP($E116, $D$41:$D$49,$E$41:$E$49), _xlfn.XLOOKUP($E116, $D$54:$D$62,$E$54:$E$62), G78,$F97)</f>
        <v>0.38625406610400004</v>
      </c>
      <c r="H116" s="52" cm="1">
        <f t="array" ref="H116">MMS_Poultry_ManureAppliedToSoils_Equations.VEERG_4_6_1_9__1_MassOfNitrogenAppliedToSoilsScope1(H33,_xlfn.XLOOKUP($E116, $D$41:$D$49,$E$41:$E$49), _xlfn.XLOOKUP($E116, $D$54:$D$62,$E$54:$E$62), H78,$F97)</f>
        <v>0.45340483651199992</v>
      </c>
      <c r="I116" s="52" cm="1">
        <f t="array" ref="I116">MMS_Poultry_ManureAppliedToSoils_Equations.VEERG_4_6_1_9__1_MassOfNitrogenAppliedToSoilsScope1(I33,_xlfn.XLOOKUP($E116, $D$41:$D$49,$E$41:$E$49), _xlfn.XLOOKUP($E116, $D$54:$D$62,$E$54:$E$62), I78,$F97)</f>
        <v>0.38625406610400004</v>
      </c>
      <c r="J116" s="2"/>
      <c r="N116" s="52"/>
      <c r="O116" s="52" t="str">
        <f>'Input - Poultry'!$D$53</f>
        <v>Composting (passive windrow)</v>
      </c>
      <c r="P116" s="52" cm="1">
        <f t="array" ref="P116">MMS_Poultry_ManureAppliedToSoils_Equations.VEERG_4_6_1_9__1_MassOfNitrogenAppliedToSoilsScope1(P33,_xlfn.XLOOKUP($O116, $D$41:$D$49,$E$41:$E$49), _xlfn.XLOOKUP($O116, $D$54:$D$62,$E$54:$E$62), P78,$F97)</f>
        <v>0.3618693655200001</v>
      </c>
      <c r="Q116" s="52" cm="1">
        <f t="array" ref="Q116">MMS_Poultry_ManureAppliedToSoils_Equations.VEERG_4_6_1_9__1_MassOfNitrogenAppliedToSoilsScope1(Q33,_xlfn.XLOOKUP($O116, $D$41:$D$49,$E$41:$E$49), _xlfn.XLOOKUP($O116, $D$54:$D$62,$E$54:$E$62), Q78,$F97)</f>
        <v>0.38625406610400004</v>
      </c>
      <c r="R116" s="52" cm="1">
        <f t="array" ref="R116">MMS_Poultry_ManureAppliedToSoils_Equations.VEERG_4_6_1_9__1_MassOfNitrogenAppliedToSoilsScope1(R33,_xlfn.XLOOKUP($O116, $D$41:$D$49,$E$41:$E$49), _xlfn.XLOOKUP($O116, $D$54:$D$62,$E$54:$E$62), R78,$F97)</f>
        <v>0.45340483651199992</v>
      </c>
      <c r="S116" s="52"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2"/>
      <c r="E117" s="52" t="str">
        <f>'Input - Poultry'!$D$54</f>
        <v>Digester / covered lagoons</v>
      </c>
      <c r="F117" s="52" cm="1">
        <f t="array" ref="F117">MMS_Poultry_ManureAppliedToSoils_Equations.VEERG_4_6_1_9__1_MassOfNitrogenAppliedToSoilsScope1(F34,_xlfn.XLOOKUP($E117, $D$41:$D$49,$E$41:$E$49), _xlfn.XLOOKUP($E117, $D$54:$D$62,$E$54:$E$62), F79,$F98)</f>
        <v>0.4580624880000001</v>
      </c>
      <c r="G117" s="52" cm="1">
        <f t="array" ref="G117">MMS_Poultry_ManureAppliedToSoils_Equations.VEERG_4_6_1_9__1_MassOfNitrogenAppliedToSoilsScope1(G34,_xlfn.XLOOKUP($E117, $D$41:$D$49,$E$41:$E$49), _xlfn.XLOOKUP($E117, $D$54:$D$62,$E$54:$E$62), G79,$F98)</f>
        <v>0.48892919759999998</v>
      </c>
      <c r="H117" s="52" cm="1">
        <f t="array" ref="H117">MMS_Poultry_ManureAppliedToSoils_Equations.VEERG_4_6_1_9__1_MassOfNitrogenAppliedToSoilsScope1(H34,_xlfn.XLOOKUP($E117, $D$41:$D$49,$E$41:$E$49), _xlfn.XLOOKUP($E117, $D$54:$D$62,$E$54:$E$62), H79,$F98)</f>
        <v>0.57393017279999992</v>
      </c>
      <c r="I117" s="52" cm="1">
        <f t="array" ref="I117">MMS_Poultry_ManureAppliedToSoils_Equations.VEERG_4_6_1_9__1_MassOfNitrogenAppliedToSoilsScope1(I34,_xlfn.XLOOKUP($E117, $D$41:$D$49,$E$41:$E$49), _xlfn.XLOOKUP($E117, $D$54:$D$62,$E$54:$E$62), I79,$F98)</f>
        <v>0.48892919759999998</v>
      </c>
      <c r="J117" s="2"/>
      <c r="N117" s="52"/>
      <c r="O117" s="52" t="str">
        <f>'Input - Poultry'!$D$54</f>
        <v>Digester / covered lagoons</v>
      </c>
      <c r="P117" s="52" cm="1">
        <f t="array" ref="P117">MMS_Poultry_ManureAppliedToSoils_Equations.VEERG_4_6_1_9__1_MassOfNitrogenAppliedToSoilsScope1(P34,_xlfn.XLOOKUP($O117, $D$41:$D$49,$E$41:$E$49), _xlfn.XLOOKUP($O117, $D$54:$D$62,$E$54:$E$62), P79,$F98)</f>
        <v>0.4580624880000001</v>
      </c>
      <c r="Q117" s="52" cm="1">
        <f t="array" ref="Q117">MMS_Poultry_ManureAppliedToSoils_Equations.VEERG_4_6_1_9__1_MassOfNitrogenAppliedToSoilsScope1(Q34,_xlfn.XLOOKUP($O117, $D$41:$D$49,$E$41:$E$49), _xlfn.XLOOKUP($O117, $D$54:$D$62,$E$54:$E$62), Q79,$F98)</f>
        <v>0.48892919759999998</v>
      </c>
      <c r="R117" s="52" cm="1">
        <f t="array" ref="R117">MMS_Poultry_ManureAppliedToSoils_Equations.VEERG_4_6_1_9__1_MassOfNitrogenAppliedToSoilsScope1(R34,_xlfn.XLOOKUP($O117, $D$41:$D$49,$E$41:$E$49), _xlfn.XLOOKUP($O117, $D$54:$D$62,$E$54:$E$62), R79,$F98)</f>
        <v>0.57393017279999992</v>
      </c>
      <c r="S117" s="52"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2"/>
      <c r="E118" s="52" t="str">
        <f>'Input - Poultry'!$D$55</f>
        <v>Direct processing</v>
      </c>
      <c r="F118" s="52" cm="1">
        <f t="array" ref="F118">MMS_Poultry_ManureAppliedToSoils_Equations.VEERG_4_6_1_9__1_MassOfNitrogenAppliedToSoilsScope1(F35,_xlfn.XLOOKUP($E118, $D$41:$D$49,$E$41:$E$49), _xlfn.XLOOKUP($E118, $D$54:$D$62,$E$54:$E$62), F80,$F99)</f>
        <v>0.4580624880000001</v>
      </c>
      <c r="G118" s="52" cm="1">
        <f t="array" ref="G118">MMS_Poultry_ManureAppliedToSoils_Equations.VEERG_4_6_1_9__1_MassOfNitrogenAppliedToSoilsScope1(G35,_xlfn.XLOOKUP($E118, $D$41:$D$49,$E$41:$E$49), _xlfn.XLOOKUP($E118, $D$54:$D$62,$E$54:$E$62), G80,$F99)</f>
        <v>0.48892919759999998</v>
      </c>
      <c r="H118" s="52" cm="1">
        <f t="array" ref="H118">MMS_Poultry_ManureAppliedToSoils_Equations.VEERG_4_6_1_9__1_MassOfNitrogenAppliedToSoilsScope1(H35,_xlfn.XLOOKUP($E118, $D$41:$D$49,$E$41:$E$49), _xlfn.XLOOKUP($E118, $D$54:$D$62,$E$54:$E$62), H80,$F99)</f>
        <v>0.57393017279999992</v>
      </c>
      <c r="I118" s="52" cm="1">
        <f t="array" ref="I118">MMS_Poultry_ManureAppliedToSoils_Equations.VEERG_4_6_1_9__1_MassOfNitrogenAppliedToSoilsScope1(I35,_xlfn.XLOOKUP($E118, $D$41:$D$49,$E$41:$E$49), _xlfn.XLOOKUP($E118, $D$54:$D$62,$E$54:$E$62), I80,$F99)</f>
        <v>0.48892919759999998</v>
      </c>
      <c r="J118" s="2"/>
      <c r="N118" s="52"/>
      <c r="O118" s="52" t="str">
        <f>'Input - Poultry'!$D$55</f>
        <v>Direct processing</v>
      </c>
      <c r="P118" s="52" cm="1">
        <f t="array" ref="P118">MMS_Poultry_ManureAppliedToSoils_Equations.VEERG_4_6_1_9__1_MassOfNitrogenAppliedToSoilsScope1(P35,_xlfn.XLOOKUP($O118, $D$41:$D$49,$E$41:$E$49), _xlfn.XLOOKUP($O118, $D$54:$D$62,$E$54:$E$62), P80,$F99)</f>
        <v>0.4580624880000001</v>
      </c>
      <c r="Q118" s="52" cm="1">
        <f t="array" ref="Q118">MMS_Poultry_ManureAppliedToSoils_Equations.VEERG_4_6_1_9__1_MassOfNitrogenAppliedToSoilsScope1(Q35,_xlfn.XLOOKUP($O118, $D$41:$D$49,$E$41:$E$49), _xlfn.XLOOKUP($O118, $D$54:$D$62,$E$54:$E$62), Q80,$F99)</f>
        <v>0.48892919759999998</v>
      </c>
      <c r="R118" s="52" cm="1">
        <f t="array" ref="R118">MMS_Poultry_ManureAppliedToSoils_Equations.VEERG_4_6_1_9__1_MassOfNitrogenAppliedToSoilsScope1(R35,_xlfn.XLOOKUP($O118, $D$41:$D$49,$E$41:$E$49), _xlfn.XLOOKUP($O118, $D$54:$D$62,$E$54:$E$62), R80,$F99)</f>
        <v>0.57393017279999992</v>
      </c>
      <c r="S118" s="52"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2"/>
      <c r="E119" s="52" t="str">
        <f>'Input - Poultry'!$D$56</f>
        <v>Direct application</v>
      </c>
      <c r="F119" s="52" cm="1">
        <f t="array" ref="F119">MMS_Poultry_ManureAppliedToSoils_Equations.VEERG_4_6_1_9__1_MassOfNitrogenAppliedToSoilsScope1(F36,_xlfn.XLOOKUP($E119, $D$41:$D$49,$E$41:$E$49), _xlfn.XLOOKUP($E119, $D$54:$D$62,$E$54:$E$62), F81,$F100)</f>
        <v>0.61074998399999991</v>
      </c>
      <c r="G119" s="52" cm="1">
        <f t="array" ref="G119">MMS_Poultry_ManureAppliedToSoils_Equations.VEERG_4_6_1_9__1_MassOfNitrogenAppliedToSoilsScope1(G36,_xlfn.XLOOKUP($E119, $D$41:$D$49,$E$41:$E$49), _xlfn.XLOOKUP($E119, $D$54:$D$62,$E$54:$E$62), G81,$F100)</f>
        <v>0.65190559679999971</v>
      </c>
      <c r="H119" s="52" cm="1">
        <f t="array" ref="H119">MMS_Poultry_ManureAppliedToSoils_Equations.VEERG_4_6_1_9__1_MassOfNitrogenAppliedToSoilsScope1(H36,_xlfn.XLOOKUP($E119, $D$41:$D$49,$E$41:$E$49), _xlfn.XLOOKUP($E119, $D$54:$D$62,$E$54:$E$62), H81,$F100)</f>
        <v>0.76524023039999967</v>
      </c>
      <c r="I119" s="52" cm="1">
        <f t="array" ref="I119">MMS_Poultry_ManureAppliedToSoils_Equations.VEERG_4_6_1_9__1_MassOfNitrogenAppliedToSoilsScope1(I36,_xlfn.XLOOKUP($E119, $D$41:$D$49,$E$41:$E$49), _xlfn.XLOOKUP($E119, $D$54:$D$62,$E$54:$E$62), I81,$F100)</f>
        <v>0.65190559679999971</v>
      </c>
      <c r="N119" s="52"/>
      <c r="O119" s="52" t="str">
        <f>'Input - Poultry'!$D$56</f>
        <v>Direct application</v>
      </c>
      <c r="P119" s="52" cm="1">
        <f t="array" ref="P119">MMS_Poultry_ManureAppliedToSoils_Equations.VEERG_4_6_1_9__1_MassOfNitrogenAppliedToSoilsScope1(P36,_xlfn.XLOOKUP($O119, $D$41:$D$49,$E$41:$E$49), _xlfn.XLOOKUP($O119, $D$54:$D$62,$E$54:$E$62), P81,$F100)</f>
        <v>0.61074998399999991</v>
      </c>
      <c r="Q119" s="52" cm="1">
        <f t="array" ref="Q119">MMS_Poultry_ManureAppliedToSoils_Equations.VEERG_4_6_1_9__1_MassOfNitrogenAppliedToSoilsScope1(Q36,_xlfn.XLOOKUP($O119, $D$41:$D$49,$E$41:$E$49), _xlfn.XLOOKUP($O119, $D$54:$D$62,$E$54:$E$62), Q81,$F100)</f>
        <v>0.65190559679999971</v>
      </c>
      <c r="R119" s="52" cm="1">
        <f t="array" ref="R119">MMS_Poultry_ManureAppliedToSoils_Equations.VEERG_4_6_1_9__1_MassOfNitrogenAppliedToSoilsScope1(R36,_xlfn.XLOOKUP($O119, $D$41:$D$49,$E$41:$E$49), _xlfn.XLOOKUP($O119, $D$54:$D$62,$E$54:$E$62), R81,$F100)</f>
        <v>0.76524023039999967</v>
      </c>
      <c r="S119" s="52"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99" t="s">
        <v>167</v>
      </c>
      <c r="E121" s="100">
        <f>SUM(F105:I119)</f>
        <v>36.930778279920006</v>
      </c>
      <c r="F121" s="101" t="str">
        <f>$E$11</f>
        <v>kg N</v>
      </c>
      <c r="N121" s="99" t="s">
        <v>167</v>
      </c>
      <c r="O121" s="100">
        <f>SUM(P105:S119)</f>
        <v>36.930778279920006</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24</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27</v>
      </c>
      <c r="E130" s="1" t="str" cm="1">
        <f t="array" ref="E130">MMS_Poultry_ManureAppliedToSoils_Equations.VEERG_4_6_1_9__2_MassOfNitrogenAppliedToSoilsScope3_Variable()</f>
        <v>MNSoil_scope3</v>
      </c>
    </row>
    <row r="131" spans="4:20" ht="20.100000000000001" customHeight="1" x14ac:dyDescent="0.25">
      <c r="D131" s="53" t="s">
        <v>17</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169</v>
      </c>
      <c r="N139" s="98" t="s">
        <v>373</v>
      </c>
    </row>
    <row r="140" spans="4:20" ht="20.100000000000001" customHeight="1" x14ac:dyDescent="0.25">
      <c r="D140" s="97" t="s">
        <v>300</v>
      </c>
      <c r="N140" s="97" t="s">
        <v>374</v>
      </c>
    </row>
    <row r="141" spans="4:20" ht="20.100000000000001" customHeight="1" x14ac:dyDescent="0.25">
      <c r="D141" s="51" t="s">
        <v>136</v>
      </c>
      <c r="E141" s="51" t="s">
        <v>138</v>
      </c>
      <c r="F141" s="51" t="s">
        <v>196</v>
      </c>
      <c r="G141" s="51" t="s">
        <v>197</v>
      </c>
      <c r="H141" s="51" t="s">
        <v>209</v>
      </c>
      <c r="I141" s="51" t="s">
        <v>210</v>
      </c>
      <c r="N141" s="51" t="s">
        <v>136</v>
      </c>
      <c r="O141" s="51" t="s">
        <v>138</v>
      </c>
      <c r="P141" s="51" t="s">
        <v>196</v>
      </c>
      <c r="Q141" s="51" t="s">
        <v>197</v>
      </c>
      <c r="R141" s="51" t="s">
        <v>209</v>
      </c>
      <c r="S141" s="51" t="s">
        <v>210</v>
      </c>
    </row>
    <row r="142" spans="4:20" ht="20.100000000000001" customHeight="1" x14ac:dyDescent="0.25">
      <c r="D142" s="52" t="str">
        <f>'Input - Poultry'!$D$30</f>
        <v>Poultry manure with bedding</v>
      </c>
      <c r="E142" s="52" t="str">
        <f>'Input - Poultry'!$D$38</f>
        <v>Solid storage</v>
      </c>
      <c r="F142" s="52" cm="1">
        <f t="array" ref="F142">MMS_Poultry_ManureAppliedToSoils_Equations.VEERG_4_6_1_9__2_MassOfNitrogenAppliedToSoilsScope3(F22,_xlfn.XLOOKUP($E142, $D$41:$D$49,$E$41:$E$49), _xlfn.XLOOKUP($E142, $D$54:$D$62,$E$54:$E$62), F67,$F86)</f>
        <v>0.13808786940000004</v>
      </c>
      <c r="G142" s="52" cm="1">
        <f t="array" ref="G142">MMS_Poultry_ManureAppliedToSoils_Equations.VEERG_4_6_1_9__2_MassOfNitrogenAppliedToSoilsScope3(G22,_xlfn.XLOOKUP($E142, $D$41:$D$49,$E$41:$E$49), _xlfn.XLOOKUP($E142, $D$54:$D$62,$E$54:$E$62), G67,$F86)</f>
        <v>0.14739297138000002</v>
      </c>
      <c r="H142" s="52" cm="1">
        <f t="array" ref="H142">MMS_Poultry_ManureAppliedToSoils_Equations.VEERG_4_6_1_9__2_MassOfNitrogenAppliedToSoilsScope3(H22,_xlfn.XLOOKUP($E142, $D$41:$D$49,$E$41:$E$49), _xlfn.XLOOKUP($E142, $D$54:$D$62,$E$54:$E$62), H67,$F86)</f>
        <v>0.17301743063999997</v>
      </c>
      <c r="I142" s="52" cm="1">
        <f t="array" ref="I142">MMS_Poultry_ManureAppliedToSoils_Equations.VEERG_4_6_1_9__2_MassOfNitrogenAppliedToSoilsScope3(I22,_xlfn.XLOOKUP($E142, $D$41:$D$49,$E$41:$E$49), _xlfn.XLOOKUP($E142, $D$54:$D$62,$E$54:$E$62), I67,$F86)</f>
        <v>0.14739297138000002</v>
      </c>
      <c r="J142" s="2" t="str">
        <f>$E$131</f>
        <v>kg N</v>
      </c>
      <c r="N142" s="52" t="str">
        <f>'Input - Poultry'!$D$30</f>
        <v>Poultry manure with bedding</v>
      </c>
      <c r="O142" s="52" t="str">
        <f>'Input - Poultry'!$D$38</f>
        <v>Solid storage</v>
      </c>
      <c r="P142" s="52" cm="1">
        <f t="array" ref="P142">MMS_Poultry_ManureAppliedToSoils_Equations.VEERG_4_6_1_9__2_MassOfNitrogenAppliedToSoilsScope3(P22,_xlfn.XLOOKUP($O142, $D$41:$D$49,$E$41:$E$49), _xlfn.XLOOKUP($O142, $D$54:$D$62,$E$54:$E$62), P67,$F86)</f>
        <v>0.13808786940000004</v>
      </c>
      <c r="Q142" s="52" cm="1">
        <f t="array" ref="Q142">MMS_Poultry_ManureAppliedToSoils_Equations.VEERG_4_6_1_9__2_MassOfNitrogenAppliedToSoilsScope3(Q22,_xlfn.XLOOKUP($O142, $D$41:$D$49,$E$41:$E$49), _xlfn.XLOOKUP($O142, $D$54:$D$62,$E$54:$E$62), Q67,$F86)</f>
        <v>0.14739297138000002</v>
      </c>
      <c r="R142" s="52" cm="1">
        <f t="array" ref="R142">MMS_Poultry_ManureAppliedToSoils_Equations.VEERG_4_6_1_9__2_MassOfNitrogenAppliedToSoilsScope3(R22,_xlfn.XLOOKUP($O142, $D$41:$D$49,$E$41:$E$49), _xlfn.XLOOKUP($O142, $D$54:$D$62,$E$54:$E$62), R67,$F86)</f>
        <v>0.17301743063999997</v>
      </c>
      <c r="S142" s="52"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2"/>
      <c r="E143" s="52" t="str">
        <f>'Input - Poultry'!$D$39</f>
        <v>Composting (passive windrow)</v>
      </c>
      <c r="F143" s="52" cm="1">
        <f t="array" ref="F143">MMS_Poultry_ManureAppliedToSoils_Equations.VEERG_4_6_1_9__2_MassOfNitrogenAppliedToSoilsScope3(F23,_xlfn.XLOOKUP($E143, $D$41:$D$49,$E$41:$E$49), _xlfn.XLOOKUP($E143, $D$54:$D$62,$E$54:$E$62), F68,$F87)</f>
        <v>0.14076053784000003</v>
      </c>
      <c r="G143" s="52" cm="1">
        <f t="array" ref="G143">MMS_Poultry_ManureAppliedToSoils_Equations.VEERG_4_6_1_9__2_MassOfNitrogenAppliedToSoilsScope3(G23,_xlfn.XLOOKUP($E143, $D$41:$D$49,$E$41:$E$49), _xlfn.XLOOKUP($E143, $D$54:$D$62,$E$54:$E$62), G68,$F87)</f>
        <v>0.150245738568</v>
      </c>
      <c r="H143" s="52" cm="1">
        <f t="array" ref="H143">MMS_Poultry_ManureAppliedToSoils_Equations.VEERG_4_6_1_9__2_MassOfNitrogenAppliedToSoilsScope3(H23,_xlfn.XLOOKUP($E143, $D$41:$D$49,$E$41:$E$49), _xlfn.XLOOKUP($E143, $D$54:$D$62,$E$54:$E$62), H68,$F87)</f>
        <v>0.176366155104</v>
      </c>
      <c r="I143" s="52" cm="1">
        <f t="array" ref="I143">MMS_Poultry_ManureAppliedToSoils_Equations.VEERG_4_6_1_9__2_MassOfNitrogenAppliedToSoilsScope3(I23,_xlfn.XLOOKUP($E143, $D$41:$D$49,$E$41:$E$49), _xlfn.XLOOKUP($E143, $D$54:$D$62,$E$54:$E$62), I68,$F87)</f>
        <v>0.150245738568</v>
      </c>
      <c r="J143" s="2"/>
      <c r="N143" s="52"/>
      <c r="O143" s="52" t="str">
        <f>'Input - Poultry'!$D$39</f>
        <v>Composting (passive windrow)</v>
      </c>
      <c r="P143" s="52" cm="1">
        <f t="array" ref="P143">MMS_Poultry_ManureAppliedToSoils_Equations.VEERG_4_6_1_9__2_MassOfNitrogenAppliedToSoilsScope3(P23,_xlfn.XLOOKUP($O143, $D$41:$D$49,$E$41:$E$49), _xlfn.XLOOKUP($O143, $D$54:$D$62,$E$54:$E$62), P68,$F87)</f>
        <v>0.14076053784000003</v>
      </c>
      <c r="Q143" s="52" cm="1">
        <f t="array" ref="Q143">MMS_Poultry_ManureAppliedToSoils_Equations.VEERG_4_6_1_9__2_MassOfNitrogenAppliedToSoilsScope3(Q23,_xlfn.XLOOKUP($O143, $D$41:$D$49,$E$41:$E$49), _xlfn.XLOOKUP($O143, $D$54:$D$62,$E$54:$E$62), Q68,$F87)</f>
        <v>0.150245738568</v>
      </c>
      <c r="R143" s="52" cm="1">
        <f t="array" ref="R143">MMS_Poultry_ManureAppliedToSoils_Equations.VEERG_4_6_1_9__2_MassOfNitrogenAppliedToSoilsScope3(R23,_xlfn.XLOOKUP($O143, $D$41:$D$49,$E$41:$E$49), _xlfn.XLOOKUP($O143, $D$54:$D$62,$E$54:$E$62), R68,$F87)</f>
        <v>0.176366155104</v>
      </c>
      <c r="S143" s="52"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2"/>
      <c r="E144" s="52" t="str">
        <f>'Input - Poultry'!$D$40</f>
        <v>Digester / covered lagoons</v>
      </c>
      <c r="F144" s="52" cm="1">
        <f t="array" ref="F144">MMS_Poultry_ManureAppliedToSoils_Equations.VEERG_4_6_1_9__2_MassOfNitrogenAppliedToSoilsScope3(F24,_xlfn.XLOOKUP($E144, $D$41:$D$49,$E$41:$E$49), _xlfn.XLOOKUP($E144, $D$54:$D$62,$E$54:$E$62), F69,$F88)</f>
        <v>0.17817789600000003</v>
      </c>
      <c r="G144" s="52" cm="1">
        <f t="array" ref="G144">MMS_Poultry_ManureAppliedToSoils_Equations.VEERG_4_6_1_9__2_MassOfNitrogenAppliedToSoilsScope3(G24,_xlfn.XLOOKUP($E144, $D$41:$D$49,$E$41:$E$49), _xlfn.XLOOKUP($E144, $D$54:$D$62,$E$54:$E$62), G69,$F88)</f>
        <v>0.19018447920000001</v>
      </c>
      <c r="H144" s="52" cm="1">
        <f t="array" ref="H144">MMS_Poultry_ManureAppliedToSoils_Equations.VEERG_4_6_1_9__2_MassOfNitrogenAppliedToSoilsScope3(H24,_xlfn.XLOOKUP($E144, $D$41:$D$49,$E$41:$E$49), _xlfn.XLOOKUP($E144, $D$54:$D$62,$E$54:$E$62), H69,$F88)</f>
        <v>0.22324829759999998</v>
      </c>
      <c r="I144" s="52" cm="1">
        <f t="array" ref="I144">MMS_Poultry_ManureAppliedToSoils_Equations.VEERG_4_6_1_9__2_MassOfNitrogenAppliedToSoilsScope3(I24,_xlfn.XLOOKUP($E144, $D$41:$D$49,$E$41:$E$49), _xlfn.XLOOKUP($E144, $D$54:$D$62,$E$54:$E$62), I69,$F88)</f>
        <v>0.19018447920000001</v>
      </c>
      <c r="J144" s="2"/>
      <c r="N144" s="52"/>
      <c r="O144" s="52" t="str">
        <f>'Input - Poultry'!$D$40</f>
        <v>Digester / covered lagoons</v>
      </c>
      <c r="P144" s="52" cm="1">
        <f t="array" ref="P144">MMS_Poultry_ManureAppliedToSoils_Equations.VEERG_4_6_1_9__2_MassOfNitrogenAppliedToSoilsScope3(P24,_xlfn.XLOOKUP($O144, $D$41:$D$49,$E$41:$E$49), _xlfn.XLOOKUP($O144, $D$54:$D$62,$E$54:$E$62), P69,$F88)</f>
        <v>0.17817789600000003</v>
      </c>
      <c r="Q144" s="52" cm="1">
        <f t="array" ref="Q144">MMS_Poultry_ManureAppliedToSoils_Equations.VEERG_4_6_1_9__2_MassOfNitrogenAppliedToSoilsScope3(Q24,_xlfn.XLOOKUP($O144, $D$41:$D$49,$E$41:$E$49), _xlfn.XLOOKUP($O144, $D$54:$D$62,$E$54:$E$62), Q69,$F88)</f>
        <v>0.19018447920000001</v>
      </c>
      <c r="R144" s="52" cm="1">
        <f t="array" ref="R144">MMS_Poultry_ManureAppliedToSoils_Equations.VEERG_4_6_1_9__2_MassOfNitrogenAppliedToSoilsScope3(R24,_xlfn.XLOOKUP($O144, $D$41:$D$49,$E$41:$E$49), _xlfn.XLOOKUP($O144, $D$54:$D$62,$E$54:$E$62), R69,$F88)</f>
        <v>0.22324829759999998</v>
      </c>
      <c r="S144" s="52"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2"/>
      <c r="E145" s="52" t="str">
        <f>'Input - Poultry'!$D$41</f>
        <v>Direct processing</v>
      </c>
      <c r="F145" s="52" cm="1">
        <f t="array" ref="F145">MMS_Poultry_ManureAppliedToSoils_Equations.VEERG_4_6_1_9__2_MassOfNitrogenAppliedToSoilsScope3(F25,_xlfn.XLOOKUP($E145, $D$41:$D$49,$E$41:$E$49), _xlfn.XLOOKUP($E145, $D$54:$D$62,$E$54:$E$62), F70,$F89)</f>
        <v>0.17817789600000003</v>
      </c>
      <c r="G145" s="52" cm="1">
        <f t="array" ref="G145">MMS_Poultry_ManureAppliedToSoils_Equations.VEERG_4_6_1_9__2_MassOfNitrogenAppliedToSoilsScope3(G25,_xlfn.XLOOKUP($E145, $D$41:$D$49,$E$41:$E$49), _xlfn.XLOOKUP($E145, $D$54:$D$62,$E$54:$E$62), G70,$F89)</f>
        <v>0.19018447920000001</v>
      </c>
      <c r="H145" s="52" cm="1">
        <f t="array" ref="H145">MMS_Poultry_ManureAppliedToSoils_Equations.VEERG_4_6_1_9__2_MassOfNitrogenAppliedToSoilsScope3(H25,_xlfn.XLOOKUP($E145, $D$41:$D$49,$E$41:$E$49), _xlfn.XLOOKUP($E145, $D$54:$D$62,$E$54:$E$62), H70,$F89)</f>
        <v>0.22324829759999998</v>
      </c>
      <c r="I145" s="52" cm="1">
        <f t="array" ref="I145">MMS_Poultry_ManureAppliedToSoils_Equations.VEERG_4_6_1_9__2_MassOfNitrogenAppliedToSoilsScope3(I25,_xlfn.XLOOKUP($E145, $D$41:$D$49,$E$41:$E$49), _xlfn.XLOOKUP($E145, $D$54:$D$62,$E$54:$E$62), I70,$F89)</f>
        <v>0.19018447920000001</v>
      </c>
      <c r="J145" s="2"/>
      <c r="N145" s="52"/>
      <c r="O145" s="52" t="str">
        <f>'Input - Poultry'!$D$41</f>
        <v>Direct processing</v>
      </c>
      <c r="P145" s="52" cm="1">
        <f t="array" ref="P145">MMS_Poultry_ManureAppliedToSoils_Equations.VEERG_4_6_1_9__2_MassOfNitrogenAppliedToSoilsScope3(P25,_xlfn.XLOOKUP($O145, $D$41:$D$49,$E$41:$E$49), _xlfn.XLOOKUP($O145, $D$54:$D$62,$E$54:$E$62), P70,$F89)</f>
        <v>0.17817789600000003</v>
      </c>
      <c r="Q145" s="52" cm="1">
        <f t="array" ref="Q145">MMS_Poultry_ManureAppliedToSoils_Equations.VEERG_4_6_1_9__2_MassOfNitrogenAppliedToSoilsScope3(Q25,_xlfn.XLOOKUP($O145, $D$41:$D$49,$E$41:$E$49), _xlfn.XLOOKUP($O145, $D$54:$D$62,$E$54:$E$62), Q70,$F89)</f>
        <v>0.19018447920000001</v>
      </c>
      <c r="R145" s="52" cm="1">
        <f t="array" ref="R145">MMS_Poultry_ManureAppliedToSoils_Equations.VEERG_4_6_1_9__2_MassOfNitrogenAppliedToSoilsScope3(R25,_xlfn.XLOOKUP($O145, $D$41:$D$49,$E$41:$E$49), _xlfn.XLOOKUP($O145, $D$54:$D$62,$E$54:$E$62), R70,$F89)</f>
        <v>0.22324829759999998</v>
      </c>
      <c r="S145" s="52"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2"/>
      <c r="E146" s="52" t="str">
        <f>'Input - Poultry'!$D$42</f>
        <v>Direct application</v>
      </c>
      <c r="F146" s="52" cm="1">
        <f t="array" ref="F146">MMS_Poultry_ManureAppliedToSoils_Equations.VEERG_4_6_1_9__2_MassOfNitrogenAppliedToSoilsScope3(F26,_xlfn.XLOOKUP($E146, $D$41:$D$49,$E$41:$E$49), _xlfn.XLOOKUP($E146, $D$54:$D$62,$E$54:$E$62), F71,$F90)</f>
        <v>0</v>
      </c>
      <c r="G146" s="52" cm="1">
        <f t="array" ref="G146">MMS_Poultry_ManureAppliedToSoils_Equations.VEERG_4_6_1_9__2_MassOfNitrogenAppliedToSoilsScope3(G26,_xlfn.XLOOKUP($E146, $D$41:$D$49,$E$41:$E$49), _xlfn.XLOOKUP($E146, $D$54:$D$62,$E$54:$E$62), G71,$F90)</f>
        <v>0</v>
      </c>
      <c r="H146" s="52" cm="1">
        <f t="array" ref="H146">MMS_Poultry_ManureAppliedToSoils_Equations.VEERG_4_6_1_9__2_MassOfNitrogenAppliedToSoilsScope3(H26,_xlfn.XLOOKUP($E146, $D$41:$D$49,$E$41:$E$49), _xlfn.XLOOKUP($E146, $D$54:$D$62,$E$54:$E$62), H71,$F90)</f>
        <v>0</v>
      </c>
      <c r="I146" s="52" cm="1">
        <f t="array" ref="I146">MMS_Poultry_ManureAppliedToSoils_Equations.VEERG_4_6_1_9__2_MassOfNitrogenAppliedToSoilsScope3(I26,_xlfn.XLOOKUP($E146, $D$41:$D$49,$E$41:$E$49), _xlfn.XLOOKUP($E146, $D$54:$D$62,$E$54:$E$62), I71,$F90)</f>
        <v>0</v>
      </c>
      <c r="N146" s="52"/>
      <c r="O146" s="52" t="str">
        <f>'Input - Poultry'!$D$42</f>
        <v>Direct application</v>
      </c>
      <c r="P146" s="52" cm="1">
        <f t="array" ref="P146">MMS_Poultry_ManureAppliedToSoils_Equations.VEERG_4_6_1_9__2_MassOfNitrogenAppliedToSoilsScope3(P26,_xlfn.XLOOKUP($O146, $D$41:$D$49,$E$41:$E$49), _xlfn.XLOOKUP($O146, $D$54:$D$62,$E$54:$E$62), P71,$F90)</f>
        <v>0</v>
      </c>
      <c r="Q146" s="52" cm="1">
        <f t="array" ref="Q146">MMS_Poultry_ManureAppliedToSoils_Equations.VEERG_4_6_1_9__2_MassOfNitrogenAppliedToSoilsScope3(Q26,_xlfn.XLOOKUP($O146, $D$41:$D$49,$E$41:$E$49), _xlfn.XLOOKUP($O146, $D$54:$D$62,$E$54:$E$62), Q71,$F90)</f>
        <v>0</v>
      </c>
      <c r="R146" s="52" cm="1">
        <f t="array" ref="R146">MMS_Poultry_ManureAppliedToSoils_Equations.VEERG_4_6_1_9__2_MassOfNitrogenAppliedToSoilsScope3(R26,_xlfn.XLOOKUP($O146, $D$41:$D$49,$E$41:$E$49), _xlfn.XLOOKUP($O146, $D$54:$D$62,$E$54:$E$62), R71,$F90)</f>
        <v>0</v>
      </c>
      <c r="S146" s="52" cm="1">
        <f t="array" ref="S146">MMS_Poultry_ManureAppliedToSoils_Equations.VEERG_4_6_1_9__2_MassOfNitrogenAppliedToSoilsScope3(S26,_xlfn.XLOOKUP($O146, $D$41:$D$49,$E$41:$E$49), _xlfn.XLOOKUP($O146, $D$54:$D$62,$E$54:$E$62), S71,$F90)</f>
        <v>0</v>
      </c>
    </row>
    <row r="147" spans="4:20" ht="20.100000000000001" customHeight="1" x14ac:dyDescent="0.25">
      <c r="D147" s="52" t="str">
        <f>'Input - Poultry'!$D$31</f>
        <v>Belt manure removal</v>
      </c>
      <c r="E147" s="52" t="str">
        <f>'Input - Poultry'!$D$45</f>
        <v>Solid storage</v>
      </c>
      <c r="F147" s="52" cm="1">
        <f t="array" ref="F147">MMS_Poultry_ManureAppliedToSoils_Equations.VEERG_4_6_1_9__2_MassOfNitrogenAppliedToSoilsScope3(F27,_xlfn.XLOOKUP($E147, $D$41:$D$49,$E$41:$E$49), _xlfn.XLOOKUP($E147, $D$54:$D$62,$E$54:$E$62), F72,$F91)</f>
        <v>0.18747551940000004</v>
      </c>
      <c r="G147" s="52" cm="1">
        <f t="array" ref="G147">MMS_Poultry_ManureAppliedToSoils_Equations.VEERG_4_6_1_9__2_MassOfNitrogenAppliedToSoilsScope3(G27,_xlfn.XLOOKUP($E147, $D$41:$D$49,$E$41:$E$49), _xlfn.XLOOKUP($E147, $D$54:$D$62,$E$54:$E$62), G72,$F91)</f>
        <v>0.20010862637999999</v>
      </c>
      <c r="H147" s="52" cm="1">
        <f t="array" ref="H147">MMS_Poultry_ManureAppliedToSoils_Equations.VEERG_4_6_1_9__2_MassOfNitrogenAppliedToSoilsScope3(H27,_xlfn.XLOOKUP($E147, $D$41:$D$49,$E$41:$E$49), _xlfn.XLOOKUP($E147, $D$54:$D$62,$E$54:$E$62), H72,$F91)</f>
        <v>0.23489777063999998</v>
      </c>
      <c r="I147" s="52" cm="1">
        <f t="array" ref="I147">MMS_Poultry_ManureAppliedToSoils_Equations.VEERG_4_6_1_9__2_MassOfNitrogenAppliedToSoilsScope3(I27,_xlfn.XLOOKUP($E147, $D$41:$D$49,$E$41:$E$49), _xlfn.XLOOKUP($E147, $D$54:$D$62,$E$54:$E$62), I72,$F91)</f>
        <v>0.20010862637999999</v>
      </c>
      <c r="J147" s="2"/>
      <c r="N147" s="52" t="str">
        <f>'Input - Poultry'!$D$31</f>
        <v>Belt manure removal</v>
      </c>
      <c r="O147" s="52" t="str">
        <f>'Input - Poultry'!$D$45</f>
        <v>Solid storage</v>
      </c>
      <c r="P147" s="52" cm="1">
        <f t="array" ref="P147">MMS_Poultry_ManureAppliedToSoils_Equations.VEERG_4_6_1_9__2_MassOfNitrogenAppliedToSoilsScope3(P27,_xlfn.XLOOKUP($O147, $D$41:$D$49,$E$41:$E$49), _xlfn.XLOOKUP($O147, $D$54:$D$62,$E$54:$E$62), P72,$F91)</f>
        <v>0.18747551940000004</v>
      </c>
      <c r="Q147" s="52" cm="1">
        <f t="array" ref="Q147">MMS_Poultry_ManureAppliedToSoils_Equations.VEERG_4_6_1_9__2_MassOfNitrogenAppliedToSoilsScope3(Q27,_xlfn.XLOOKUP($O147, $D$41:$D$49,$E$41:$E$49), _xlfn.XLOOKUP($O147, $D$54:$D$62,$E$54:$E$62), Q72,$F91)</f>
        <v>0.20010862637999999</v>
      </c>
      <c r="R147" s="52" cm="1">
        <f t="array" ref="R147">MMS_Poultry_ManureAppliedToSoils_Equations.VEERG_4_6_1_9__2_MassOfNitrogenAppliedToSoilsScope3(R27,_xlfn.XLOOKUP($O147, $D$41:$D$49,$E$41:$E$49), _xlfn.XLOOKUP($O147, $D$54:$D$62,$E$54:$E$62), R72,$F91)</f>
        <v>0.23489777063999998</v>
      </c>
      <c r="S147" s="52"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2"/>
      <c r="E148" s="52" t="str">
        <f>'Input - Poultry'!$D$46</f>
        <v>Composting (passive windrow)</v>
      </c>
      <c r="F148" s="52" cm="1">
        <f t="array" ref="F148">MMS_Poultry_ManureAppliedToSoils_Equations.VEERG_4_6_1_9__2_MassOfNitrogenAppliedToSoilsScope3(F28,_xlfn.XLOOKUP($E148, $D$41:$D$49,$E$41:$E$49), _xlfn.XLOOKUP($E148, $D$54:$D$62,$E$54:$E$62), F73,$F92)</f>
        <v>0.19110407784000005</v>
      </c>
      <c r="G148" s="52" cm="1">
        <f t="array" ref="G148">MMS_Poultry_ManureAppliedToSoils_Equations.VEERG_4_6_1_9__2_MassOfNitrogenAppliedToSoilsScope3(G28,_xlfn.XLOOKUP($E148, $D$41:$D$49,$E$41:$E$49), _xlfn.XLOOKUP($E148, $D$54:$D$62,$E$54:$E$62), G73,$F92)</f>
        <v>0.20398169656800003</v>
      </c>
      <c r="H148" s="52" cm="1">
        <f t="array" ref="H148">MMS_Poultry_ManureAppliedToSoils_Equations.VEERG_4_6_1_9__2_MassOfNitrogenAppliedToSoilsScope3(H28,_xlfn.XLOOKUP($E148, $D$41:$D$49,$E$41:$E$49), _xlfn.XLOOKUP($E148, $D$54:$D$62,$E$54:$E$62), H73,$F92)</f>
        <v>0.23944417910400001</v>
      </c>
      <c r="I148" s="52" cm="1">
        <f t="array" ref="I148">MMS_Poultry_ManureAppliedToSoils_Equations.VEERG_4_6_1_9__2_MassOfNitrogenAppliedToSoilsScope3(I28,_xlfn.XLOOKUP($E148, $D$41:$D$49,$E$41:$E$49), _xlfn.XLOOKUP($E148, $D$54:$D$62,$E$54:$E$62), I73,$F92)</f>
        <v>0.20398169656800003</v>
      </c>
      <c r="J148" s="2"/>
      <c r="N148" s="52"/>
      <c r="O148" s="52" t="str">
        <f>'Input - Poultry'!$D$46</f>
        <v>Composting (passive windrow)</v>
      </c>
      <c r="P148" s="52" cm="1">
        <f t="array" ref="P148">MMS_Poultry_ManureAppliedToSoils_Equations.VEERG_4_6_1_9__2_MassOfNitrogenAppliedToSoilsScope3(P28,_xlfn.XLOOKUP($O148, $D$41:$D$49,$E$41:$E$49), _xlfn.XLOOKUP($O148, $D$54:$D$62,$E$54:$E$62), P73,$F92)</f>
        <v>0.19110407784000005</v>
      </c>
      <c r="Q148" s="52" cm="1">
        <f t="array" ref="Q148">MMS_Poultry_ManureAppliedToSoils_Equations.VEERG_4_6_1_9__2_MassOfNitrogenAppliedToSoilsScope3(Q28,_xlfn.XLOOKUP($O148, $D$41:$D$49,$E$41:$E$49), _xlfn.XLOOKUP($O148, $D$54:$D$62,$E$54:$E$62), Q73,$F92)</f>
        <v>0.20398169656800003</v>
      </c>
      <c r="R148" s="52" cm="1">
        <f t="array" ref="R148">MMS_Poultry_ManureAppliedToSoils_Equations.VEERG_4_6_1_9__2_MassOfNitrogenAppliedToSoilsScope3(R28,_xlfn.XLOOKUP($O148, $D$41:$D$49,$E$41:$E$49), _xlfn.XLOOKUP($O148, $D$54:$D$62,$E$54:$E$62), R73,$F92)</f>
        <v>0.23944417910400001</v>
      </c>
      <c r="S148" s="52"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2"/>
      <c r="E149" s="52" t="str">
        <f>'Input - Poultry'!$D$47</f>
        <v>Digester / covered lagoons</v>
      </c>
      <c r="F149" s="52" cm="1">
        <f t="array" ref="F149">MMS_Poultry_ManureAppliedToSoils_Equations.VEERG_4_6_1_9__2_MassOfNitrogenAppliedToSoilsScope3(F29,_xlfn.XLOOKUP($E149, $D$41:$D$49,$E$41:$E$49), _xlfn.XLOOKUP($E149, $D$54:$D$62,$E$54:$E$62), F74,$F93)</f>
        <v>0.24190389600000006</v>
      </c>
      <c r="G149" s="52" cm="1">
        <f t="array" ref="G149">MMS_Poultry_ManureAppliedToSoils_Equations.VEERG_4_6_1_9__2_MassOfNitrogenAppliedToSoilsScope3(G29,_xlfn.XLOOKUP($E149, $D$41:$D$49,$E$41:$E$49), _xlfn.XLOOKUP($E149, $D$54:$D$62,$E$54:$E$62), G74,$F93)</f>
        <v>0.25820467920000001</v>
      </c>
      <c r="H149" s="52" cm="1">
        <f t="array" ref="H149">MMS_Poultry_ManureAppliedToSoils_Equations.VEERG_4_6_1_9__2_MassOfNitrogenAppliedToSoilsScope3(H29,_xlfn.XLOOKUP($E149, $D$41:$D$49,$E$41:$E$49), _xlfn.XLOOKUP($E149, $D$54:$D$62,$E$54:$E$62), H74,$F93)</f>
        <v>0.3030938976</v>
      </c>
      <c r="I149" s="52" cm="1">
        <f t="array" ref="I149">MMS_Poultry_ManureAppliedToSoils_Equations.VEERG_4_6_1_9__2_MassOfNitrogenAppliedToSoilsScope3(I29,_xlfn.XLOOKUP($E149, $D$41:$D$49,$E$41:$E$49), _xlfn.XLOOKUP($E149, $D$54:$D$62,$E$54:$E$62), I74,$F93)</f>
        <v>0.25820467920000001</v>
      </c>
      <c r="J149" s="2"/>
      <c r="N149" s="52"/>
      <c r="O149" s="52" t="str">
        <f>'Input - Poultry'!$D$47</f>
        <v>Digester / covered lagoons</v>
      </c>
      <c r="P149" s="52" cm="1">
        <f t="array" ref="P149">MMS_Poultry_ManureAppliedToSoils_Equations.VEERG_4_6_1_9__2_MassOfNitrogenAppliedToSoilsScope3(P29,_xlfn.XLOOKUP($O149, $D$41:$D$49,$E$41:$E$49), _xlfn.XLOOKUP($O149, $D$54:$D$62,$E$54:$E$62), P74,$F93)</f>
        <v>0.24190389600000006</v>
      </c>
      <c r="Q149" s="52" cm="1">
        <f t="array" ref="Q149">MMS_Poultry_ManureAppliedToSoils_Equations.VEERG_4_6_1_9__2_MassOfNitrogenAppliedToSoilsScope3(Q29,_xlfn.XLOOKUP($O149, $D$41:$D$49,$E$41:$E$49), _xlfn.XLOOKUP($O149, $D$54:$D$62,$E$54:$E$62), Q74,$F93)</f>
        <v>0.25820467920000001</v>
      </c>
      <c r="R149" s="52" cm="1">
        <f t="array" ref="R149">MMS_Poultry_ManureAppliedToSoils_Equations.VEERG_4_6_1_9__2_MassOfNitrogenAppliedToSoilsScope3(R29,_xlfn.XLOOKUP($O149, $D$41:$D$49,$E$41:$E$49), _xlfn.XLOOKUP($O149, $D$54:$D$62,$E$54:$E$62), R74,$F93)</f>
        <v>0.3030938976</v>
      </c>
      <c r="S149" s="52"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2"/>
      <c r="E150" s="52" t="str">
        <f>'Input - Poultry'!$D$48</f>
        <v>Direct processing</v>
      </c>
      <c r="F150" s="52" cm="1">
        <f t="array" ref="F150">MMS_Poultry_ManureAppliedToSoils_Equations.VEERG_4_6_1_9__2_MassOfNitrogenAppliedToSoilsScope3(F30,_xlfn.XLOOKUP($E150, $D$41:$D$49,$E$41:$E$49), _xlfn.XLOOKUP($E150, $D$54:$D$62,$E$54:$E$62), F75,$F94)</f>
        <v>0.24190389600000006</v>
      </c>
      <c r="G150" s="52" cm="1">
        <f t="array" ref="G150">MMS_Poultry_ManureAppliedToSoils_Equations.VEERG_4_6_1_9__2_MassOfNitrogenAppliedToSoilsScope3(G30,_xlfn.XLOOKUP($E150, $D$41:$D$49,$E$41:$E$49), _xlfn.XLOOKUP($E150, $D$54:$D$62,$E$54:$E$62), G75,$F94)</f>
        <v>0.25820467920000001</v>
      </c>
      <c r="H150" s="52" cm="1">
        <f t="array" ref="H150">MMS_Poultry_ManureAppliedToSoils_Equations.VEERG_4_6_1_9__2_MassOfNitrogenAppliedToSoilsScope3(H30,_xlfn.XLOOKUP($E150, $D$41:$D$49,$E$41:$E$49), _xlfn.XLOOKUP($E150, $D$54:$D$62,$E$54:$E$62), H75,$F94)</f>
        <v>0.3030938976</v>
      </c>
      <c r="I150" s="52" cm="1">
        <f t="array" ref="I150">MMS_Poultry_ManureAppliedToSoils_Equations.VEERG_4_6_1_9__2_MassOfNitrogenAppliedToSoilsScope3(I30,_xlfn.XLOOKUP($E150, $D$41:$D$49,$E$41:$E$49), _xlfn.XLOOKUP($E150, $D$54:$D$62,$E$54:$E$62), I75,$F94)</f>
        <v>0.25820467920000001</v>
      </c>
      <c r="J150" s="2"/>
      <c r="N150" s="52"/>
      <c r="O150" s="52" t="str">
        <f>'Input - Poultry'!$D$48</f>
        <v>Direct processing</v>
      </c>
      <c r="P150" s="52" cm="1">
        <f t="array" ref="P150">MMS_Poultry_ManureAppliedToSoils_Equations.VEERG_4_6_1_9__2_MassOfNitrogenAppliedToSoilsScope3(P30,_xlfn.XLOOKUP($O150, $D$41:$D$49,$E$41:$E$49), _xlfn.XLOOKUP($O150, $D$54:$D$62,$E$54:$E$62), P75,$F94)</f>
        <v>0.24190389600000006</v>
      </c>
      <c r="Q150" s="52" cm="1">
        <f t="array" ref="Q150">MMS_Poultry_ManureAppliedToSoils_Equations.VEERG_4_6_1_9__2_MassOfNitrogenAppliedToSoilsScope3(Q30,_xlfn.XLOOKUP($O150, $D$41:$D$49,$E$41:$E$49), _xlfn.XLOOKUP($O150, $D$54:$D$62,$E$54:$E$62), Q75,$F94)</f>
        <v>0.25820467920000001</v>
      </c>
      <c r="R150" s="52" cm="1">
        <f t="array" ref="R150">MMS_Poultry_ManureAppliedToSoils_Equations.VEERG_4_6_1_9__2_MassOfNitrogenAppliedToSoilsScope3(R30,_xlfn.XLOOKUP($O150, $D$41:$D$49,$E$41:$E$49), _xlfn.XLOOKUP($O150, $D$54:$D$62,$E$54:$E$62), R75,$F94)</f>
        <v>0.3030938976</v>
      </c>
      <c r="S150" s="52"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2"/>
      <c r="E151" s="52" t="str">
        <f>'Input - Poultry'!$D$49</f>
        <v>Direct application</v>
      </c>
      <c r="F151" s="52" cm="1">
        <f t="array" ref="F151">MMS_Poultry_ManureAppliedToSoils_Equations.VEERG_4_6_1_9__2_MassOfNitrogenAppliedToSoilsScope3(F31,_xlfn.XLOOKUP($E151, $D$41:$D$49,$E$41:$E$49), _xlfn.XLOOKUP($E151, $D$54:$D$62,$E$54:$E$62), F76,$F95)</f>
        <v>0</v>
      </c>
      <c r="G151" s="52" cm="1">
        <f t="array" ref="G151">MMS_Poultry_ManureAppliedToSoils_Equations.VEERG_4_6_1_9__2_MassOfNitrogenAppliedToSoilsScope3(G31,_xlfn.XLOOKUP($E151, $D$41:$D$49,$E$41:$E$49), _xlfn.XLOOKUP($E151, $D$54:$D$62,$E$54:$E$62), G76,$F95)</f>
        <v>0</v>
      </c>
      <c r="H151" s="52" cm="1">
        <f t="array" ref="H151">MMS_Poultry_ManureAppliedToSoils_Equations.VEERG_4_6_1_9__2_MassOfNitrogenAppliedToSoilsScope3(H31,_xlfn.XLOOKUP($E151, $D$41:$D$49,$E$41:$E$49), _xlfn.XLOOKUP($E151, $D$54:$D$62,$E$54:$E$62), H76,$F95)</f>
        <v>0</v>
      </c>
      <c r="I151" s="52" cm="1">
        <f t="array" ref="I151">MMS_Poultry_ManureAppliedToSoils_Equations.VEERG_4_6_1_9__2_MassOfNitrogenAppliedToSoilsScope3(I31,_xlfn.XLOOKUP($E151, $D$41:$D$49,$E$41:$E$49), _xlfn.XLOOKUP($E151, $D$54:$D$62,$E$54:$E$62), I76,$F95)</f>
        <v>0</v>
      </c>
      <c r="N151" s="52"/>
      <c r="O151" s="52" t="str">
        <f>'Input - Poultry'!$D$49</f>
        <v>Direct application</v>
      </c>
      <c r="P151" s="52" cm="1">
        <f t="array" ref="P151">MMS_Poultry_ManureAppliedToSoils_Equations.VEERG_4_6_1_9__2_MassOfNitrogenAppliedToSoilsScope3(P31,_xlfn.XLOOKUP($O151, $D$41:$D$49,$E$41:$E$49), _xlfn.XLOOKUP($O151, $D$54:$D$62,$E$54:$E$62), P76,$F95)</f>
        <v>0</v>
      </c>
      <c r="Q151" s="52" cm="1">
        <f t="array" ref="Q151">MMS_Poultry_ManureAppliedToSoils_Equations.VEERG_4_6_1_9__2_MassOfNitrogenAppliedToSoilsScope3(Q31,_xlfn.XLOOKUP($O151, $D$41:$D$49,$E$41:$E$49), _xlfn.XLOOKUP($O151, $D$54:$D$62,$E$54:$E$62), Q76,$F95)</f>
        <v>0</v>
      </c>
      <c r="R151" s="52" cm="1">
        <f t="array" ref="R151">MMS_Poultry_ManureAppliedToSoils_Equations.VEERG_4_6_1_9__2_MassOfNitrogenAppliedToSoilsScope3(R31,_xlfn.XLOOKUP($O151, $D$41:$D$49,$E$41:$E$49), _xlfn.XLOOKUP($O151, $D$54:$D$62,$E$54:$E$62), R76,$F95)</f>
        <v>0</v>
      </c>
      <c r="S151" s="52" cm="1">
        <f t="array" ref="S151">MMS_Poultry_ManureAppliedToSoils_Equations.VEERG_4_6_1_9__2_MassOfNitrogenAppliedToSoilsScope3(S31,_xlfn.XLOOKUP($O151, $D$41:$D$49,$E$41:$E$49), _xlfn.XLOOKUP($O151, $D$54:$D$62,$E$54:$E$62), S76,$F95)</f>
        <v>0</v>
      </c>
    </row>
    <row r="152" spans="4:20" ht="20.100000000000001" customHeight="1" x14ac:dyDescent="0.25">
      <c r="D152" s="52" t="str">
        <f>'Input - Poultry'!$D$32</f>
        <v>Manure stored in house</v>
      </c>
      <c r="E152" s="52" t="str">
        <f>'Input - Poultry'!$D$52</f>
        <v>Solid storage</v>
      </c>
      <c r="F152" s="52" cm="1">
        <f t="array" ref="F152">MMS_Poultry_ManureAppliedToSoils_Equations.VEERG_4_6_1_9__2_MassOfNitrogenAppliedToSoilsScope3(F32,_xlfn.XLOOKUP($E152, $D$41:$D$49,$E$41:$E$49), _xlfn.XLOOKUP($E152, $D$54:$D$62,$E$54:$E$62), F77,$F96)</f>
        <v>0.11833280940000002</v>
      </c>
      <c r="G152" s="52" cm="1">
        <f t="array" ref="G152">MMS_Poultry_ManureAppliedToSoils_Equations.VEERG_4_6_1_9__2_MassOfNitrogenAppliedToSoilsScope3(G32,_xlfn.XLOOKUP($E152, $D$41:$D$49,$E$41:$E$49), _xlfn.XLOOKUP($E152, $D$54:$D$62,$E$54:$E$62), G77,$F96)</f>
        <v>0.12630670937999997</v>
      </c>
      <c r="H152" s="52" cm="1">
        <f t="array" ref="H152">MMS_Poultry_ManureAppliedToSoils_Equations.VEERG_4_6_1_9__2_MassOfNitrogenAppliedToSoilsScope3(H32,_xlfn.XLOOKUP($E152, $D$41:$D$49,$E$41:$E$49), _xlfn.XLOOKUP($E152, $D$54:$D$62,$E$54:$E$62), H77,$F96)</f>
        <v>0.14826529463999996</v>
      </c>
      <c r="I152" s="52" cm="1">
        <f t="array" ref="I152">MMS_Poultry_ManureAppliedToSoils_Equations.VEERG_4_6_1_9__2_MassOfNitrogenAppliedToSoilsScope3(I32,_xlfn.XLOOKUP($E152, $D$41:$D$49,$E$41:$E$49), _xlfn.XLOOKUP($E152, $D$54:$D$62,$E$54:$E$62), I77,$F96)</f>
        <v>0.12630670937999997</v>
      </c>
      <c r="J152" s="2"/>
      <c r="N152" s="52" t="str">
        <f>'Input - Poultry'!$D$32</f>
        <v>Manure stored in house</v>
      </c>
      <c r="O152" s="52" t="str">
        <f>'Input - Poultry'!$D$52</f>
        <v>Solid storage</v>
      </c>
      <c r="P152" s="52" cm="1">
        <f t="array" ref="P152">MMS_Poultry_ManureAppliedToSoils_Equations.VEERG_4_6_1_9__2_MassOfNitrogenAppliedToSoilsScope3(P32,_xlfn.XLOOKUP($O152, $D$41:$D$49,$E$41:$E$49), _xlfn.XLOOKUP($O152, $D$54:$D$62,$E$54:$E$62), P77,$F96)</f>
        <v>0.11833280940000002</v>
      </c>
      <c r="Q152" s="52" cm="1">
        <f t="array" ref="Q152">MMS_Poultry_ManureAppliedToSoils_Equations.VEERG_4_6_1_9__2_MassOfNitrogenAppliedToSoilsScope3(Q32,_xlfn.XLOOKUP($O152, $D$41:$D$49,$E$41:$E$49), _xlfn.XLOOKUP($O152, $D$54:$D$62,$E$54:$E$62), Q77,$F96)</f>
        <v>0.12630670937999997</v>
      </c>
      <c r="R152" s="52" cm="1">
        <f t="array" ref="R152">MMS_Poultry_ManureAppliedToSoils_Equations.VEERG_4_6_1_9__2_MassOfNitrogenAppliedToSoilsScope3(R32,_xlfn.XLOOKUP($O152, $D$41:$D$49,$E$41:$E$49), _xlfn.XLOOKUP($O152, $D$54:$D$62,$E$54:$E$62), R77,$F96)</f>
        <v>0.14826529463999996</v>
      </c>
      <c r="S152" s="52"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2"/>
      <c r="E153" s="52" t="str">
        <f>'Input - Poultry'!$D$53</f>
        <v>Composting (passive windrow)</v>
      </c>
      <c r="F153" s="52" cm="1">
        <f t="array" ref="F153">MMS_Poultry_ManureAppliedToSoils_Equations.VEERG_4_6_1_9__2_MassOfNitrogenAppliedToSoilsScope3(F33,_xlfn.XLOOKUP($E153, $D$41:$D$49,$E$41:$E$49), _xlfn.XLOOKUP($E153, $D$54:$D$62,$E$54:$E$62), F78,$F97)</f>
        <v>0.12062312184000003</v>
      </c>
      <c r="G153" s="52" cm="1">
        <f t="array" ref="G153">MMS_Poultry_ManureAppliedToSoils_Equations.VEERG_4_6_1_9__2_MassOfNitrogenAppliedToSoilsScope3(G33,_xlfn.XLOOKUP($E153, $D$41:$D$49,$E$41:$E$49), _xlfn.XLOOKUP($E153, $D$54:$D$62,$E$54:$E$62), G78,$F97)</f>
        <v>0.128751355368</v>
      </c>
      <c r="H153" s="52" cm="1">
        <f t="array" ref="H153">MMS_Poultry_ManureAppliedToSoils_Equations.VEERG_4_6_1_9__2_MassOfNitrogenAppliedToSoilsScope3(H33,_xlfn.XLOOKUP($E153, $D$41:$D$49,$E$41:$E$49), _xlfn.XLOOKUP($E153, $D$54:$D$62,$E$54:$E$62), H78,$F97)</f>
        <v>0.15113494550399997</v>
      </c>
      <c r="I153" s="52" cm="1">
        <f t="array" ref="I153">MMS_Poultry_ManureAppliedToSoils_Equations.VEERG_4_6_1_9__2_MassOfNitrogenAppliedToSoilsScope3(I33,_xlfn.XLOOKUP($E153, $D$41:$D$49,$E$41:$E$49), _xlfn.XLOOKUP($E153, $D$54:$D$62,$E$54:$E$62), I78,$F97)</f>
        <v>0.128751355368</v>
      </c>
      <c r="J153" s="2"/>
      <c r="N153" s="52"/>
      <c r="O153" s="52" t="str">
        <f>'Input - Poultry'!$D$53</f>
        <v>Composting (passive windrow)</v>
      </c>
      <c r="P153" s="52" cm="1">
        <f t="array" ref="P153">MMS_Poultry_ManureAppliedToSoils_Equations.VEERG_4_6_1_9__2_MassOfNitrogenAppliedToSoilsScope3(P33,_xlfn.XLOOKUP($O153, $D$41:$D$49,$E$41:$E$49), _xlfn.XLOOKUP($O153, $D$54:$D$62,$E$54:$E$62), P78,$F97)</f>
        <v>0.12062312184000003</v>
      </c>
      <c r="Q153" s="52" cm="1">
        <f t="array" ref="Q153">MMS_Poultry_ManureAppliedToSoils_Equations.VEERG_4_6_1_9__2_MassOfNitrogenAppliedToSoilsScope3(Q33,_xlfn.XLOOKUP($O153, $D$41:$D$49,$E$41:$E$49), _xlfn.XLOOKUP($O153, $D$54:$D$62,$E$54:$E$62), Q78,$F97)</f>
        <v>0.128751355368</v>
      </c>
      <c r="R153" s="52" cm="1">
        <f t="array" ref="R153">MMS_Poultry_ManureAppliedToSoils_Equations.VEERG_4_6_1_9__2_MassOfNitrogenAppliedToSoilsScope3(R33,_xlfn.XLOOKUP($O153, $D$41:$D$49,$E$41:$E$49), _xlfn.XLOOKUP($O153, $D$54:$D$62,$E$54:$E$62), R78,$F97)</f>
        <v>0.15113494550399997</v>
      </c>
      <c r="S153" s="52"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2"/>
      <c r="E154" s="52" t="str">
        <f>'Input - Poultry'!$D$54</f>
        <v>Digester / covered lagoons</v>
      </c>
      <c r="F154" s="52" cm="1">
        <f t="array" ref="F154">MMS_Poultry_ManureAppliedToSoils_Equations.VEERG_4_6_1_9__2_MassOfNitrogenAppliedToSoilsScope3(F34,_xlfn.XLOOKUP($E154, $D$41:$D$49,$E$41:$E$49), _xlfn.XLOOKUP($E154, $D$54:$D$62,$E$54:$E$62), F79,$F98)</f>
        <v>0.15268749600000003</v>
      </c>
      <c r="G154" s="52" cm="1">
        <f t="array" ref="G154">MMS_Poultry_ManureAppliedToSoils_Equations.VEERG_4_6_1_9__2_MassOfNitrogenAppliedToSoilsScope3(G34,_xlfn.XLOOKUP($E154, $D$41:$D$49,$E$41:$E$49), _xlfn.XLOOKUP($E154, $D$54:$D$62,$E$54:$E$62), G79,$F98)</f>
        <v>0.16297639919999998</v>
      </c>
      <c r="H154" s="52" cm="1">
        <f t="array" ref="H154">MMS_Poultry_ManureAppliedToSoils_Equations.VEERG_4_6_1_9__2_MassOfNitrogenAppliedToSoilsScope3(H34,_xlfn.XLOOKUP($E154, $D$41:$D$49,$E$41:$E$49), _xlfn.XLOOKUP($E154, $D$54:$D$62,$E$54:$E$62), H79,$F98)</f>
        <v>0.19131005759999997</v>
      </c>
      <c r="I154" s="52" cm="1">
        <f t="array" ref="I154">MMS_Poultry_ManureAppliedToSoils_Equations.VEERG_4_6_1_9__2_MassOfNitrogenAppliedToSoilsScope3(I34,_xlfn.XLOOKUP($E154, $D$41:$D$49,$E$41:$E$49), _xlfn.XLOOKUP($E154, $D$54:$D$62,$E$54:$E$62), I79,$F98)</f>
        <v>0.16297639919999998</v>
      </c>
      <c r="J154" s="2"/>
      <c r="N154" s="52"/>
      <c r="O154" s="52" t="str">
        <f>'Input - Poultry'!$D$54</f>
        <v>Digester / covered lagoons</v>
      </c>
      <c r="P154" s="52" cm="1">
        <f t="array" ref="P154">MMS_Poultry_ManureAppliedToSoils_Equations.VEERG_4_6_1_9__2_MassOfNitrogenAppliedToSoilsScope3(P34,_xlfn.XLOOKUP($O154, $D$41:$D$49,$E$41:$E$49), _xlfn.XLOOKUP($O154, $D$54:$D$62,$E$54:$E$62), P79,$F98)</f>
        <v>0.15268749600000003</v>
      </c>
      <c r="Q154" s="52" cm="1">
        <f t="array" ref="Q154">MMS_Poultry_ManureAppliedToSoils_Equations.VEERG_4_6_1_9__2_MassOfNitrogenAppliedToSoilsScope3(Q34,_xlfn.XLOOKUP($O154, $D$41:$D$49,$E$41:$E$49), _xlfn.XLOOKUP($O154, $D$54:$D$62,$E$54:$E$62), Q79,$F98)</f>
        <v>0.16297639919999998</v>
      </c>
      <c r="R154" s="52" cm="1">
        <f t="array" ref="R154">MMS_Poultry_ManureAppliedToSoils_Equations.VEERG_4_6_1_9__2_MassOfNitrogenAppliedToSoilsScope3(R34,_xlfn.XLOOKUP($O154, $D$41:$D$49,$E$41:$E$49), _xlfn.XLOOKUP($O154, $D$54:$D$62,$E$54:$E$62), R79,$F98)</f>
        <v>0.19131005759999997</v>
      </c>
      <c r="S154" s="52"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2"/>
      <c r="E155" s="52" t="str">
        <f>'Input - Poultry'!$D$55</f>
        <v>Direct processing</v>
      </c>
      <c r="F155" s="52" cm="1">
        <f t="array" ref="F155">MMS_Poultry_ManureAppliedToSoils_Equations.VEERG_4_6_1_9__2_MassOfNitrogenAppliedToSoilsScope3(F35,_xlfn.XLOOKUP($E155, $D$41:$D$49,$E$41:$E$49), _xlfn.XLOOKUP($E155, $D$54:$D$62,$E$54:$E$62), F80,$F99)</f>
        <v>0.15268749600000003</v>
      </c>
      <c r="G155" s="52" cm="1">
        <f t="array" ref="G155">MMS_Poultry_ManureAppliedToSoils_Equations.VEERG_4_6_1_9__2_MassOfNitrogenAppliedToSoilsScope3(G35,_xlfn.XLOOKUP($E155, $D$41:$D$49,$E$41:$E$49), _xlfn.XLOOKUP($E155, $D$54:$D$62,$E$54:$E$62), G80,$F99)</f>
        <v>0.16297639919999998</v>
      </c>
      <c r="H155" s="52" cm="1">
        <f t="array" ref="H155">MMS_Poultry_ManureAppliedToSoils_Equations.VEERG_4_6_1_9__2_MassOfNitrogenAppliedToSoilsScope3(H35,_xlfn.XLOOKUP($E155, $D$41:$D$49,$E$41:$E$49), _xlfn.XLOOKUP($E155, $D$54:$D$62,$E$54:$E$62), H80,$F99)</f>
        <v>0.19131005759999997</v>
      </c>
      <c r="I155" s="52" cm="1">
        <f t="array" ref="I155">MMS_Poultry_ManureAppliedToSoils_Equations.VEERG_4_6_1_9__2_MassOfNitrogenAppliedToSoilsScope3(I35,_xlfn.XLOOKUP($E155, $D$41:$D$49,$E$41:$E$49), _xlfn.XLOOKUP($E155, $D$54:$D$62,$E$54:$E$62), I80,$F99)</f>
        <v>0.16297639919999998</v>
      </c>
      <c r="J155" s="2"/>
      <c r="N155" s="52"/>
      <c r="O155" s="52" t="str">
        <f>'Input - Poultry'!$D$55</f>
        <v>Direct processing</v>
      </c>
      <c r="P155" s="52" cm="1">
        <f t="array" ref="P155">MMS_Poultry_ManureAppliedToSoils_Equations.VEERG_4_6_1_9__2_MassOfNitrogenAppliedToSoilsScope3(P35,_xlfn.XLOOKUP($O155, $D$41:$D$49,$E$41:$E$49), _xlfn.XLOOKUP($O155, $D$54:$D$62,$E$54:$E$62), P80,$F99)</f>
        <v>0.15268749600000003</v>
      </c>
      <c r="Q155" s="52" cm="1">
        <f t="array" ref="Q155">MMS_Poultry_ManureAppliedToSoils_Equations.VEERG_4_6_1_9__2_MassOfNitrogenAppliedToSoilsScope3(Q35,_xlfn.XLOOKUP($O155, $D$41:$D$49,$E$41:$E$49), _xlfn.XLOOKUP($O155, $D$54:$D$62,$E$54:$E$62), Q80,$F99)</f>
        <v>0.16297639919999998</v>
      </c>
      <c r="R155" s="52" cm="1">
        <f t="array" ref="R155">MMS_Poultry_ManureAppliedToSoils_Equations.VEERG_4_6_1_9__2_MassOfNitrogenAppliedToSoilsScope3(R35,_xlfn.XLOOKUP($O155, $D$41:$D$49,$E$41:$E$49), _xlfn.XLOOKUP($O155, $D$54:$D$62,$E$54:$E$62), R80,$F99)</f>
        <v>0.19131005759999997</v>
      </c>
      <c r="S155" s="52"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2"/>
      <c r="E156" s="52" t="str">
        <f>'Input - Poultry'!$D$56</f>
        <v>Direct application</v>
      </c>
      <c r="F156" s="52" cm="1">
        <f t="array" ref="F156">MMS_Poultry_ManureAppliedToSoils_Equations.VEERG_4_6_1_9__2_MassOfNitrogenAppliedToSoilsScope3(F36,_xlfn.XLOOKUP($E156, $D$41:$D$49,$E$41:$E$49), _xlfn.XLOOKUP($E156, $D$54:$D$62,$E$54:$E$62), F81,$F100)</f>
        <v>0</v>
      </c>
      <c r="G156" s="52" cm="1">
        <f t="array" ref="G156">MMS_Poultry_ManureAppliedToSoils_Equations.VEERG_4_6_1_9__2_MassOfNitrogenAppliedToSoilsScope3(G36,_xlfn.XLOOKUP($E156, $D$41:$D$49,$E$41:$E$49), _xlfn.XLOOKUP($E156, $D$54:$D$62,$E$54:$E$62), G81,$F100)</f>
        <v>0</v>
      </c>
      <c r="H156" s="52" cm="1">
        <f t="array" ref="H156">MMS_Poultry_ManureAppliedToSoils_Equations.VEERG_4_6_1_9__2_MassOfNitrogenAppliedToSoilsScope3(H36,_xlfn.XLOOKUP($E156, $D$41:$D$49,$E$41:$E$49), _xlfn.XLOOKUP($E156, $D$54:$D$62,$E$54:$E$62), H81,$F100)</f>
        <v>0</v>
      </c>
      <c r="I156" s="52" cm="1">
        <f t="array" ref="I156">MMS_Poultry_ManureAppliedToSoils_Equations.VEERG_4_6_1_9__2_MassOfNitrogenAppliedToSoilsScope3(I36,_xlfn.XLOOKUP($E156, $D$41:$D$49,$E$41:$E$49), _xlfn.XLOOKUP($E156, $D$54:$D$62,$E$54:$E$62), I81,$F100)</f>
        <v>0</v>
      </c>
      <c r="N156" s="52"/>
      <c r="O156" s="52" t="str">
        <f>'Input - Poultry'!$D$56</f>
        <v>Direct application</v>
      </c>
      <c r="P156" s="52" cm="1">
        <f t="array" ref="P156">MMS_Poultry_ManureAppliedToSoils_Equations.VEERG_4_6_1_9__2_MassOfNitrogenAppliedToSoilsScope3(P36,_xlfn.XLOOKUP($O156, $D$41:$D$49,$E$41:$E$49), _xlfn.XLOOKUP($O156, $D$54:$D$62,$E$54:$E$62), P81,$F100)</f>
        <v>0</v>
      </c>
      <c r="Q156" s="52" cm="1">
        <f t="array" ref="Q156">MMS_Poultry_ManureAppliedToSoils_Equations.VEERG_4_6_1_9__2_MassOfNitrogenAppliedToSoilsScope3(Q36,_xlfn.XLOOKUP($O156, $D$41:$D$49,$E$41:$E$49), _xlfn.XLOOKUP($O156, $D$54:$D$62,$E$54:$E$62), Q81,$F100)</f>
        <v>0</v>
      </c>
      <c r="R156" s="52" cm="1">
        <f t="array" ref="R156">MMS_Poultry_ManureAppliedToSoils_Equations.VEERG_4_6_1_9__2_MassOfNitrogenAppliedToSoilsScope3(R36,_xlfn.XLOOKUP($O156, $D$41:$D$49,$E$41:$E$49), _xlfn.XLOOKUP($O156, $D$54:$D$62,$E$54:$E$62), R81,$F100)</f>
        <v>0</v>
      </c>
      <c r="S156" s="52"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9" t="s">
        <v>170</v>
      </c>
      <c r="E158" s="100">
        <f>SUM(F142:I156)</f>
        <v>8.9593892186400037</v>
      </c>
      <c r="F158" s="101" t="str">
        <f>$E$131</f>
        <v>kg N</v>
      </c>
      <c r="N158" s="99" t="s">
        <v>170</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171</v>
      </c>
      <c r="E163" s="89"/>
      <c r="F163" s="89"/>
      <c r="G163" s="89"/>
      <c r="H163" s="87"/>
    </row>
    <row r="164" spans="3:21" ht="20.100000000000001" customHeight="1" x14ac:dyDescent="0.25"/>
    <row r="165" spans="3:21" ht="20.100000000000001" customHeight="1" x14ac:dyDescent="0.25">
      <c r="D165" s="6" t="s">
        <v>172</v>
      </c>
    </row>
    <row r="166" spans="3:21" ht="20.100000000000001" customHeight="1" x14ac:dyDescent="0.25"/>
    <row r="167" spans="3:21" ht="20.100000000000001" customHeight="1" x14ac:dyDescent="0.25">
      <c r="D167" s="114" t="s">
        <v>173</v>
      </c>
    </row>
    <row r="168" spans="3:21" ht="20.100000000000001" customHeight="1" x14ac:dyDescent="0.25">
      <c r="D168" s="115" t="s">
        <v>174</v>
      </c>
    </row>
    <row r="169" spans="3:21" ht="20.100000000000001" customHeight="1" x14ac:dyDescent="0.25">
      <c r="D169" s="112" t="s">
        <v>136</v>
      </c>
      <c r="E169" s="112" t="s">
        <v>138</v>
      </c>
      <c r="F169" s="112" t="s">
        <v>165</v>
      </c>
    </row>
    <row r="170" spans="3:21" ht="20.100000000000001" customHeight="1" x14ac:dyDescent="0.25">
      <c r="D170" s="52" t="str">
        <f>'Input - Poultry'!$D$30</f>
        <v>Poultry manure with bedding</v>
      </c>
      <c r="E170" s="52" t="str">
        <f>'Input - Poultry'!$D$38</f>
        <v>Solid storage</v>
      </c>
      <c r="F170" s="52">
        <f>'Input - Poultry'!L38</f>
        <v>0.25</v>
      </c>
      <c r="G170" s="2" t="str">
        <f>$G$137</f>
        <v>fraction</v>
      </c>
    </row>
    <row r="171" spans="3:21" ht="20.100000000000001" customHeight="1" x14ac:dyDescent="0.25">
      <c r="D171" s="52"/>
      <c r="E171" s="52" t="str">
        <f>'Input - Poultry'!$D$39</f>
        <v>Composting (passive windrow)</v>
      </c>
      <c r="F171" s="52">
        <f>'Input - Poultry'!L39</f>
        <v>0.25</v>
      </c>
      <c r="G171" s="2"/>
    </row>
    <row r="172" spans="3:21" ht="20.100000000000001" customHeight="1" x14ac:dyDescent="0.25">
      <c r="D172" s="52"/>
      <c r="E172" s="52" t="str">
        <f>'Input - Poultry'!$D$40</f>
        <v>Digester / covered lagoons</v>
      </c>
      <c r="F172" s="52">
        <f>'Input - Poultry'!L40</f>
        <v>0.25</v>
      </c>
      <c r="G172" s="2"/>
    </row>
    <row r="173" spans="3:21" ht="20.100000000000001" customHeight="1" x14ac:dyDescent="0.25">
      <c r="D173" s="52"/>
      <c r="E173" s="52" t="str">
        <f>'Input - Poultry'!$D$41</f>
        <v>Direct processing</v>
      </c>
      <c r="F173" s="52">
        <f>'Input - Poultry'!L41</f>
        <v>0.25</v>
      </c>
      <c r="G173" s="2"/>
    </row>
    <row r="174" spans="3:21" ht="20.100000000000001" customHeight="1" x14ac:dyDescent="0.25">
      <c r="D174" s="52"/>
      <c r="E174" s="52" t="str">
        <f>'Input - Poultry'!$D$42</f>
        <v>Direct application</v>
      </c>
      <c r="F174" s="52">
        <f>'Input - Poultry'!L42</f>
        <v>0</v>
      </c>
    </row>
    <row r="175" spans="3:21" ht="20.100000000000001" customHeight="1" x14ac:dyDescent="0.25">
      <c r="D175" s="52" t="str">
        <f>'Input - Poultry'!$D$31</f>
        <v>Belt manure removal</v>
      </c>
      <c r="E175" s="52" t="str">
        <f>'Input - Poultry'!$D$45</f>
        <v>Solid storage</v>
      </c>
      <c r="F175" s="52">
        <f>'Input - Poultry'!L45</f>
        <v>0.25</v>
      </c>
      <c r="G175" s="2"/>
    </row>
    <row r="176" spans="3:21" ht="20.100000000000001" customHeight="1" x14ac:dyDescent="0.25">
      <c r="D176" s="52"/>
      <c r="E176" s="52" t="str">
        <f>'Input - Poultry'!$D$46</f>
        <v>Composting (passive windrow)</v>
      </c>
      <c r="F176" s="52">
        <f>'Input - Poultry'!L46</f>
        <v>0.25</v>
      </c>
      <c r="G176" s="2"/>
    </row>
    <row r="177" spans="4:20" ht="20.100000000000001" customHeight="1" x14ac:dyDescent="0.25">
      <c r="D177" s="52"/>
      <c r="E177" s="52" t="str">
        <f>'Input - Poultry'!$D$47</f>
        <v>Digester / covered lagoons</v>
      </c>
      <c r="F177" s="52">
        <f>'Input - Poultry'!L47</f>
        <v>0.25</v>
      </c>
      <c r="G177" s="2"/>
    </row>
    <row r="178" spans="4:20" ht="20.100000000000001" customHeight="1" x14ac:dyDescent="0.25">
      <c r="D178" s="52"/>
      <c r="E178" s="52" t="str">
        <f>'Input - Poultry'!$D$48</f>
        <v>Direct processing</v>
      </c>
      <c r="F178" s="52">
        <f>'Input - Poultry'!L48</f>
        <v>0.25</v>
      </c>
      <c r="G178" s="2"/>
    </row>
    <row r="179" spans="4:20" ht="20.100000000000001" customHeight="1" x14ac:dyDescent="0.25">
      <c r="D179" s="52"/>
      <c r="E179" s="52" t="str">
        <f>'Input - Poultry'!$D$49</f>
        <v>Direct application</v>
      </c>
      <c r="F179" s="52">
        <f>'Input - Poultry'!L49</f>
        <v>0</v>
      </c>
    </row>
    <row r="180" spans="4:20" ht="20.100000000000001" customHeight="1" x14ac:dyDescent="0.25">
      <c r="D180" s="52" t="str">
        <f>'Input - Poultry'!$D$32</f>
        <v>Manure stored in house</v>
      </c>
      <c r="E180" s="52" t="str">
        <f>'Input - Poultry'!$D$52</f>
        <v>Solid storage</v>
      </c>
      <c r="F180" s="52">
        <f>'Input - Poultry'!L52</f>
        <v>0.25</v>
      </c>
      <c r="G180" s="2"/>
    </row>
    <row r="181" spans="4:20" ht="20.100000000000001" customHeight="1" x14ac:dyDescent="0.25">
      <c r="D181" s="52"/>
      <c r="E181" s="52" t="str">
        <f>'Input - Poultry'!$D$53</f>
        <v>Composting (passive windrow)</v>
      </c>
      <c r="F181" s="52">
        <f>'Input - Poultry'!L53</f>
        <v>0.25</v>
      </c>
      <c r="G181" s="2"/>
    </row>
    <row r="182" spans="4:20" ht="20.100000000000001" customHeight="1" x14ac:dyDescent="0.25">
      <c r="D182" s="52"/>
      <c r="E182" s="52" t="str">
        <f>'Input - Poultry'!$D$54</f>
        <v>Digester / covered lagoons</v>
      </c>
      <c r="F182" s="52">
        <f>'Input - Poultry'!L54</f>
        <v>0.25</v>
      </c>
      <c r="G182" s="2"/>
    </row>
    <row r="183" spans="4:20" ht="20.100000000000001" customHeight="1" x14ac:dyDescent="0.25">
      <c r="D183" s="52"/>
      <c r="E183" s="52" t="str">
        <f>'Input - Poultry'!$D$55</f>
        <v>Direct processing</v>
      </c>
      <c r="F183" s="52">
        <f>'Input - Poultry'!L55</f>
        <v>0.25</v>
      </c>
      <c r="G183" s="2"/>
    </row>
    <row r="184" spans="4:20" ht="20.100000000000001" customHeight="1" x14ac:dyDescent="0.25">
      <c r="D184" s="52"/>
      <c r="E184" s="52" t="str">
        <f>'Input - Poultry'!$D$56</f>
        <v>Direct application</v>
      </c>
      <c r="F184" s="52">
        <f>'Input - Poultry'!L56</f>
        <v>0</v>
      </c>
    </row>
    <row r="185" spans="4:20" ht="20.100000000000001" customHeight="1" x14ac:dyDescent="0.25"/>
    <row r="186" spans="4:20" ht="20.100000000000001" customHeight="1" x14ac:dyDescent="0.25">
      <c r="D186" s="98" t="s">
        <v>175</v>
      </c>
      <c r="N186" s="98" t="s">
        <v>177</v>
      </c>
    </row>
    <row r="187" spans="4:20" ht="20.100000000000001" customHeight="1" x14ac:dyDescent="0.25">
      <c r="D187" s="115" t="s">
        <v>178</v>
      </c>
      <c r="N187" s="115" t="s">
        <v>179</v>
      </c>
    </row>
    <row r="188" spans="4:20" ht="20.100000000000001" customHeight="1" x14ac:dyDescent="0.25">
      <c r="D188" s="51" t="s">
        <v>136</v>
      </c>
      <c r="E188" s="51" t="s">
        <v>138</v>
      </c>
      <c r="F188" s="51" t="s">
        <v>196</v>
      </c>
      <c r="G188" s="51" t="s">
        <v>197</v>
      </c>
      <c r="H188" s="51" t="s">
        <v>209</v>
      </c>
      <c r="I188" s="51" t="s">
        <v>210</v>
      </c>
      <c r="N188" s="51" t="s">
        <v>136</v>
      </c>
      <c r="O188" s="51" t="s">
        <v>138</v>
      </c>
      <c r="P188" s="51" t="s">
        <v>196</v>
      </c>
      <c r="Q188" s="51" t="s">
        <v>197</v>
      </c>
      <c r="R188" s="51" t="s">
        <v>209</v>
      </c>
      <c r="S188" s="51" t="s">
        <v>210</v>
      </c>
    </row>
    <row r="189" spans="4:20" ht="20.100000000000001" customHeight="1" x14ac:dyDescent="0.25">
      <c r="D189" s="52" t="str">
        <f>'Input - Poultry'!$D$30</f>
        <v>Poultry manure with bedding</v>
      </c>
      <c r="E189" s="52" t="str">
        <f>'Input - Poultry'!$D$38</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'Input - Poultry'!$D$30</f>
        <v>Poultry manure with bedding</v>
      </c>
      <c r="O189" s="52" t="str">
        <f>'Input - Poultry'!$D$38</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'Input - Poultry'!$D$39</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'Input - Poultry'!$D$39</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'Input - Poultry'!$D$40</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'Input - Poultry'!$D$40</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'Input - Poultry'!$D$41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'Input - Poultry'!$D$41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'Input - Poultry'!$D$42</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'Input - Poultry'!$D$42</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'Input - Poultry'!$D$31</f>
        <v>Belt manure removal</v>
      </c>
      <c r="E194" s="52" t="str">
        <f>'Input - Poultry'!$D$45</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'Input - Poultry'!$D$31</f>
        <v>Belt manure removal</v>
      </c>
      <c r="O194" s="52" t="str">
        <f>'Input - Poultry'!$D$45</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'Input - Poultry'!$D$46</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'Input - Poultry'!$D$46</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'Input - Poultry'!$D$47</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'Input - Poultry'!$D$47</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'Input - Poultry'!$D$48</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'Input - Poultry'!$D$48</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'Input - Poultry'!$D$49</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'Input - Poultry'!$D$49</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'Input - Poultry'!$D$32</f>
        <v>Manure stored in house</v>
      </c>
      <c r="E199" s="52" t="str">
        <f>'Input - Poultry'!$D$52</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'Input - Poultry'!$D$32</f>
        <v>Manure stored in house</v>
      </c>
      <c r="O199" s="52" t="str">
        <f>'Input - Poultry'!$D$52</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'Input - Poultry'!$D$53</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'Input - Poultry'!$D$53</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'Input - Poultry'!$D$54</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'Input - Poultry'!$D$54</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'Input - Poultry'!$D$55</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'Input - Poultry'!$D$55</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'Input - Poultry'!$D$56</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'Input - Poultry'!$D$56</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176</v>
      </c>
      <c r="E205" s="100">
        <f>SUM(F189:I203)</f>
        <v>8.9593892186400037</v>
      </c>
      <c r="F205" s="101" t="str">
        <f>$E$11</f>
        <v>kg N</v>
      </c>
      <c r="N205" s="99" t="s">
        <v>176</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T165"/>
  <sheetViews>
    <sheetView showGridLines="0" workbookViewId="0">
      <selection activeCell="D5" sqref="D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302</v>
      </c>
    </row>
    <row r="2" spans="1:20" s="9" customFormat="1" ht="20.100000000000001" customHeight="1" x14ac:dyDescent="0.25"/>
    <row r="3" spans="1:20" ht="20.100000000000001" customHeight="1" x14ac:dyDescent="0.25">
      <c r="A3" s="17" t="str">
        <f>HYPERLINK("#'Home'!A1", "Home")</f>
        <v>Home</v>
      </c>
      <c r="C3" s="4"/>
      <c r="D3" s="4" t="s">
        <v>96</v>
      </c>
      <c r="E3" s="4"/>
      <c r="F3" s="4"/>
      <c r="G3" s="4"/>
      <c r="H3" s="4"/>
      <c r="I3" s="4"/>
      <c r="J3" s="4"/>
      <c r="K3" s="4"/>
      <c r="M3" s="4"/>
      <c r="N3" s="4" t="s">
        <v>97</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24</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27</v>
      </c>
      <c r="E10" s="1" t="str" cm="1">
        <f t="array" ref="E10">MMS_Poultry_Soil_N2ODirect_Equations.VEERG_4_6_1_10__1_DirectNitrousOxideEmissionsFromPoultryManure_Variable()</f>
        <v>EM_N2OPRPdir</v>
      </c>
    </row>
    <row r="11" spans="1:20" ht="20.100000000000001" customHeight="1" x14ac:dyDescent="0.25">
      <c r="A11" s="19" t="s">
        <v>72</v>
      </c>
      <c r="D11" s="53" t="s">
        <v>17</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303</v>
      </c>
      <c r="N17" s="98" t="s">
        <v>310</v>
      </c>
    </row>
    <row r="18" spans="1:19" ht="20.100000000000001" customHeight="1" x14ac:dyDescent="0.25">
      <c r="A18" s="17" t="str">
        <f>HYPERLINK("#'4.6.1.12-13 Soil atmos dep'!A1", "4.6.1.12-13 Soil Atm. deposition")</f>
        <v>4.6.1.12-13 Soil Atm. deposition</v>
      </c>
      <c r="D18" s="97" t="s">
        <v>304</v>
      </c>
      <c r="N18" s="97" t="s">
        <v>305</v>
      </c>
    </row>
    <row r="19" spans="1:19" ht="20.100000000000001" customHeight="1" x14ac:dyDescent="0.25">
      <c r="A19" s="17" t="str">
        <f>HYPERLINK("#'4.6.1.14-15 Soil leach runoff'!A1", "4.6.1.14-15 Soil leach &amp; runoff")</f>
        <v>4.6.1.14-15 Soil leach &amp; runoff</v>
      </c>
      <c r="D19" s="51" t="s">
        <v>136</v>
      </c>
      <c r="E19" s="51" t="s">
        <v>196</v>
      </c>
      <c r="F19" s="51" t="s">
        <v>197</v>
      </c>
      <c r="G19" s="51" t="s">
        <v>209</v>
      </c>
      <c r="H19" s="51" t="s">
        <v>210</v>
      </c>
      <c r="N19" s="51" t="s">
        <v>136</v>
      </c>
      <c r="O19" s="51" t="s">
        <v>196</v>
      </c>
      <c r="P19" s="51" t="s">
        <v>197</v>
      </c>
      <c r="Q19" s="51" t="s">
        <v>209</v>
      </c>
      <c r="R19" s="51" t="s">
        <v>210</v>
      </c>
    </row>
    <row r="20" spans="1:19" ht="20.100000000000001" customHeight="1" x14ac:dyDescent="0.25">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tr">
        <f>$G$13</f>
        <v>kg N</v>
      </c>
      <c r="J20" s="2"/>
      <c r="N20" s="52" t="str">
        <f>'Input - Poultry'!$D$33</f>
        <v>Pasture range and paddock</v>
      </c>
      <c r="O20" s="52">
        <f>'4.6.1.3-4 Direct N20'!O111</f>
        <v>1.6993600000000004</v>
      </c>
      <c r="P20" s="52">
        <f>'4.6.1.3-4 Direct N20'!P111</f>
        <v>1.8138719999999999</v>
      </c>
      <c r="Q20" s="52">
        <f>'4.6.1.3-4 Direct N20'!Q111</f>
        <v>2.129216</v>
      </c>
      <c r="R20" s="52">
        <f>'4.6.1.3-4 Direct N20'!R111</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306</v>
      </c>
      <c r="N22" s="98" t="s">
        <v>377</v>
      </c>
    </row>
    <row r="23" spans="1:19" ht="20.100000000000001" customHeight="1" x14ac:dyDescent="0.25">
      <c r="A23" s="17" t="str">
        <f>HYPERLINK("#'Constants - Livestock'!A1", "Constants - Livestock")</f>
        <v>Constants - Livestock</v>
      </c>
      <c r="D23" s="97" t="s">
        <v>307</v>
      </c>
      <c r="N23" s="97" t="s">
        <v>378</v>
      </c>
    </row>
    <row r="24" spans="1:19" ht="20.100000000000001" customHeight="1" x14ac:dyDescent="0.25">
      <c r="A24" s="17" t="str">
        <f>HYPERLINK("#'Constants - Common'!A1", "Constants - Common")</f>
        <v>Constants - Common</v>
      </c>
      <c r="D24" s="51" t="s">
        <v>136</v>
      </c>
      <c r="E24" s="51" t="s">
        <v>196</v>
      </c>
      <c r="F24" s="51" t="s">
        <v>197</v>
      </c>
      <c r="G24" s="51" t="s">
        <v>209</v>
      </c>
      <c r="H24" s="51" t="s">
        <v>210</v>
      </c>
      <c r="N24" s="51" t="s">
        <v>136</v>
      </c>
      <c r="O24" s="51" t="s">
        <v>196</v>
      </c>
      <c r="P24" s="51" t="s">
        <v>197</v>
      </c>
      <c r="Q24" s="51" t="s">
        <v>209</v>
      </c>
      <c r="R24" s="51" t="s">
        <v>210</v>
      </c>
    </row>
    <row r="25" spans="1:19" ht="20.100000000000001" customHeight="1" x14ac:dyDescent="0.25">
      <c r="A25" s="17"/>
      <c r="D25" s="52" t="str">
        <f>'Input - Poultry'!$D$33</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'Input - Poultry'!$D$33</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160</v>
      </c>
    </row>
    <row r="26" spans="1:19" ht="20.100000000000001" customHeight="1" x14ac:dyDescent="0.25"/>
    <row r="27" spans="1:19" ht="20.100000000000001" customHeight="1" x14ac:dyDescent="0.25">
      <c r="D27" s="99" t="s">
        <v>308</v>
      </c>
      <c r="E27" s="100">
        <f>SUM(E25:H25)</f>
        <v>2.3434148571428574E-4</v>
      </c>
      <c r="F27" s="101" t="str">
        <f>$E$11</f>
        <v>t N2O</v>
      </c>
      <c r="N27" s="99" t="s">
        <v>308</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f>Common_InputFunctions.Utility_LookupValueInTableNumber("N2O", Table_GWPData[Gas],Table_GWPData[CO2-e factor])</f>
        <v>265</v>
      </c>
      <c r="N30" s="57" t="str">
        <v>GWPN2O</v>
      </c>
      <c r="O30" s="58" t="str">
        <v>Global warming potential for nitrous oxide (t CO2-e / t N2O)</v>
      </c>
      <c r="P30" s="102"/>
      <c r="Q30" s="52">
        <f>Common_InputFunctions.Utility_LookupValueInTableNumber("N2O", Table_GWPData[Gas],Table_GWPData[CO2-e factor])</f>
        <v>265</v>
      </c>
    </row>
    <row r="31" spans="1:19" ht="20.100000000000001" customHeight="1" x14ac:dyDescent="0.25"/>
    <row r="32" spans="1:19" ht="20.100000000000001" customHeight="1" x14ac:dyDescent="0.25">
      <c r="D32" s="45" t="s">
        <v>95</v>
      </c>
      <c r="E32" s="45" cm="1">
        <f t="array" ref="E32">Common_Equations.Common_ConvertN2OToCO2e(G29,G30)</f>
        <v>6.2100493714285721E-2</v>
      </c>
      <c r="F32" s="103" t="str" cm="1">
        <f t="array" ref="F32">Common_Equations.Common_ConvertN2OToCO2e_Unit()</f>
        <v>t CO2e</v>
      </c>
      <c r="N32" s="45" t="s">
        <v>95</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topLeftCell="D5" workbookViewId="0">
      <selection activeCell="D5" sqref="D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309</v>
      </c>
    </row>
    <row r="2" spans="1:19" s="9" customFormat="1" ht="20.100000000000001" customHeight="1" x14ac:dyDescent="0.25"/>
    <row r="3" spans="1:19" ht="20.100000000000001" customHeight="1" x14ac:dyDescent="0.25">
      <c r="A3" s="17" t="str">
        <f>HYPERLINK("#'Home'!A1", "Home")</f>
        <v>Home</v>
      </c>
      <c r="C3" s="4"/>
      <c r="D3" s="4" t="s">
        <v>96</v>
      </c>
      <c r="E3" s="4"/>
      <c r="F3" s="4"/>
      <c r="G3" s="4"/>
      <c r="H3" s="4"/>
      <c r="I3" s="4"/>
      <c r="J3" s="4"/>
      <c r="L3" s="4"/>
      <c r="M3" s="4" t="s">
        <v>97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24</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27</v>
      </c>
      <c r="E10" s="1" t="str" cm="1">
        <f t="array" ref="E10">MMS_Poultry_Soil_AtmosphericDeposition_Equations.VEERG_4_6_1_12__2_MassOfNitrogenVolatilisedFromPoultryManureOnPasture_Variable()</f>
        <v>M_vol_m14</v>
      </c>
    </row>
    <row r="11" spans="1:19" ht="20.100000000000001" customHeight="1" x14ac:dyDescent="0.25">
      <c r="A11" s="19" t="s">
        <v>72</v>
      </c>
      <c r="D11" s="53" t="s">
        <v>17</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303</v>
      </c>
      <c r="M16" s="98" t="s">
        <v>310</v>
      </c>
    </row>
    <row r="17" spans="1:19" ht="20.100000000000001" customHeight="1" x14ac:dyDescent="0.25">
      <c r="A17" s="17" t="str">
        <f>HYPERLINK("#'4.6.1.10-11 Soil direct N2O'!A1", "4.6.1.10-11 Soil direct N2O")</f>
        <v>4.6.1.10-11 Soil direct N2O</v>
      </c>
      <c r="D17" s="97" t="s">
        <v>304</v>
      </c>
      <c r="M17" s="97" t="s">
        <v>305</v>
      </c>
    </row>
    <row r="18" spans="1:19" ht="20.100000000000001" customHeight="1" x14ac:dyDescent="0.25">
      <c r="A18" s="129" t="str">
        <f>HYPERLINK("#'4.6.1.12-13 Soil atmos dep'!A1", "4.6.1.12-13 Soil Atm. deposition")</f>
        <v>4.6.1.12-13 Soil Atm. deposition</v>
      </c>
      <c r="D18" s="51" t="s">
        <v>136</v>
      </c>
      <c r="E18" s="51" t="s">
        <v>196</v>
      </c>
      <c r="F18" s="51" t="s">
        <v>197</v>
      </c>
      <c r="G18" s="51" t="s">
        <v>209</v>
      </c>
      <c r="H18" s="51" t="s">
        <v>210</v>
      </c>
      <c r="M18" s="51" t="s">
        <v>136</v>
      </c>
      <c r="N18" s="51" t="s">
        <v>196</v>
      </c>
      <c r="O18" s="51" t="s">
        <v>197</v>
      </c>
      <c r="P18" s="51" t="s">
        <v>209</v>
      </c>
      <c r="Q18" s="51" t="s">
        <v>210</v>
      </c>
    </row>
    <row r="19" spans="1:19" ht="20.100000000000001" customHeight="1" x14ac:dyDescent="0.25">
      <c r="A19" s="17" t="str">
        <f>HYPERLINK("#'4.6.1.14-15 Soil leach runoff'!A1", "4.6.1.14-15 Soil leach &amp; runoff")</f>
        <v>4.6.1.14-15 Soil leach &amp; runoff</v>
      </c>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tr">
        <f>$G$13</f>
        <v>kg N</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tr">
        <f>$G$13</f>
        <v>kg N</v>
      </c>
    </row>
    <row r="20" spans="1:19" ht="20.100000000000001" customHeight="1" x14ac:dyDescent="0.25"/>
    <row r="21" spans="1:19" ht="20.100000000000001" customHeight="1" x14ac:dyDescent="0.25">
      <c r="A21" s="18" t="s">
        <v>2</v>
      </c>
      <c r="D21" s="98" t="s">
        <v>311</v>
      </c>
      <c r="M21" s="98" t="s">
        <v>315</v>
      </c>
    </row>
    <row r="22" spans="1:19" ht="20.100000000000001" customHeight="1" x14ac:dyDescent="0.25">
      <c r="A22" s="17" t="str">
        <f>HYPERLINK("#'Constants - Poultry'!A1", "Constants - Poultry")</f>
        <v>Constants - Poultry</v>
      </c>
      <c r="D22" s="97" t="s">
        <v>304</v>
      </c>
      <c r="M22" s="97" t="s">
        <v>305</v>
      </c>
    </row>
    <row r="23" spans="1:19" ht="20.100000000000001" customHeight="1" x14ac:dyDescent="0.25">
      <c r="A23" s="17" t="str">
        <f>HYPERLINK("#'Constants - Livestock'!A1", "Constants - Livestock")</f>
        <v>Constants - Livestock</v>
      </c>
      <c r="D23" s="51" t="s">
        <v>136</v>
      </c>
      <c r="E23" s="51" t="s">
        <v>196</v>
      </c>
      <c r="F23" s="51" t="s">
        <v>197</v>
      </c>
      <c r="G23" s="51" t="s">
        <v>209</v>
      </c>
      <c r="H23" s="51" t="s">
        <v>210</v>
      </c>
      <c r="M23" s="51" t="s">
        <v>136</v>
      </c>
      <c r="N23" s="51" t="s">
        <v>196</v>
      </c>
      <c r="O23" s="51" t="s">
        <v>197</v>
      </c>
      <c r="P23" s="51" t="s">
        <v>209</v>
      </c>
      <c r="Q23" s="51" t="s">
        <v>210</v>
      </c>
    </row>
    <row r="24" spans="1:19" ht="20.100000000000001" customHeight="1" x14ac:dyDescent="0.25">
      <c r="A24" s="17" t="str">
        <f>HYPERLINK("#'Constants - Common'!A1", "Constants - Common")</f>
        <v>Constants - Common</v>
      </c>
      <c r="D24" s="52" t="str">
        <f>'Input - Poultry'!$D$33</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'Input - Poultry'!$D$33</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312</v>
      </c>
      <c r="E26" s="45">
        <f>SUM(E24:H24)</f>
        <v>1.5658272</v>
      </c>
      <c r="F26" s="103" t="str">
        <f>$E$11</f>
        <v>kg N</v>
      </c>
      <c r="M26" s="107" t="s">
        <v>312</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24</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27</v>
      </c>
      <c r="E35" s="1" t="str" cm="1">
        <f t="array" ref="E35">MMS_Poultry_Soil_AtmosphericDeposition_Equations.VEERG_4_6_1_12__1_AtmosphericDepositionEmissionsFromPoultryManureOnPasture_Variable()</f>
        <v>E_N2Oad</v>
      </c>
    </row>
    <row r="36" spans="4:18" ht="20.100000000000001" customHeight="1" x14ac:dyDescent="0.25">
      <c r="D36" s="53" t="s">
        <v>17</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
      </c>
      <c r="H41" s="139" t="str">
        <v>Input</v>
      </c>
      <c r="I41" s="141" t="str">
        <f>'Input - Poultry'!$E$59</f>
        <v>Crop</v>
      </c>
      <c r="M41" s="141" t="str">
        <v>j</v>
      </c>
      <c r="N41" s="144" t="str">
        <v>production system</v>
      </c>
      <c r="O41" s="143"/>
      <c r="P41" s="141" t="str">
        <v/>
      </c>
      <c r="Q41" s="139" t="str">
        <v>Input</v>
      </c>
      <c r="R41" s="57"/>
    </row>
    <row r="42" spans="4:18" ht="20.100000000000001" customHeight="1" x14ac:dyDescent="0.25">
      <c r="D42" s="141" t="str">
        <v>ir</v>
      </c>
      <c r="E42" s="144" t="str">
        <v>irrigation method</v>
      </c>
      <c r="F42" s="143"/>
      <c r="G42" s="141" t="str">
        <v/>
      </c>
      <c r="H42" s="139" t="str">
        <v>Input</v>
      </c>
      <c r="I42" s="141" t="str">
        <f>'Input - Poultry'!$E$60</f>
        <v>Sprinkler irrigation</v>
      </c>
      <c r="M42" s="141" t="str">
        <v>ir</v>
      </c>
      <c r="N42" s="144" t="str">
        <v>irrigation method</v>
      </c>
      <c r="O42" s="143"/>
      <c r="P42" s="141" t="str">
        <v/>
      </c>
      <c r="Q42" s="139" t="str">
        <v>Input</v>
      </c>
      <c r="R42" s="57"/>
    </row>
    <row r="43" spans="4:18" ht="20.100000000000001" customHeight="1" x14ac:dyDescent="0.25">
      <c r="D43" s="141" t="str">
        <v>r</v>
      </c>
      <c r="E43" s="144" t="str">
        <v>rainfall region</v>
      </c>
      <c r="F43" s="143"/>
      <c r="G43" s="141" t="str">
        <v/>
      </c>
      <c r="H43" s="139" t="str">
        <v>Input</v>
      </c>
      <c r="I43" s="141" t="str">
        <f>'Input - Site'!$E$30</f>
        <v>High rainfall</v>
      </c>
      <c r="M43" s="141" t="str">
        <v>r</v>
      </c>
      <c r="N43" s="144" t="str">
        <v>rainfall region</v>
      </c>
      <c r="O43" s="143"/>
      <c r="P43" s="141" t="str">
        <v/>
      </c>
      <c r="Q43" s="139" t="str">
        <v>Input</v>
      </c>
      <c r="R43" s="57"/>
    </row>
    <row r="44" spans="4:18" ht="20.100000000000001" customHeight="1" x14ac:dyDescent="0.25"/>
    <row r="45" spans="4:18" ht="20.100000000000001" customHeight="1" x14ac:dyDescent="0.25">
      <c r="D45" s="99" t="s">
        <v>285</v>
      </c>
      <c r="E45" s="100" cm="1">
        <f t="array" ref="E45">MMS_Poultry_Soil_AtmosphericDeposition_Equations.VEERG_4_6_1_12__1_AtmosphericDepositionEmissionsFromPoultryManureOnPasture(I38,$I$39,$I$40)</f>
        <v>1.72240992E-5</v>
      </c>
      <c r="F45" s="101" t="str">
        <f>$E$36</f>
        <v>t N2O</v>
      </c>
      <c r="M45" s="99" t="s">
        <v>285</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f>Common_InputFunctions.Utility_LookupValueInTableNumber("N2O", Table_GWPData[Gas],Table_GWPData[CO2-e factor])</f>
        <v>265</v>
      </c>
      <c r="M48" s="57" t="str">
        <v>GWPN2O</v>
      </c>
      <c r="N48" s="58" t="str">
        <v>Global warming potential for nitrous oxide (t CO2-e / t N2O)</v>
      </c>
      <c r="O48" s="102"/>
      <c r="P48" s="52">
        <f>Common_InputFunctions.Utility_LookupValueInTableNumber("N2O", Table_GWPData[Gas],Table_GWPData[CO2-e factor])</f>
        <v>265</v>
      </c>
    </row>
    <row r="49" spans="4:15" ht="20.100000000000001" customHeight="1" x14ac:dyDescent="0.25"/>
    <row r="50" spans="4:15" ht="20.100000000000001" customHeight="1" x14ac:dyDescent="0.25">
      <c r="D50" s="45" t="s">
        <v>95</v>
      </c>
      <c r="E50" s="45" cm="1">
        <f t="array" ref="E50">Common_Equations.Common_ConvertN2OToCO2e(G47,G48)</f>
        <v>4.5643862879999999E-3</v>
      </c>
      <c r="F50" s="103" t="str" cm="1">
        <f t="array" ref="F50">Common_Equations.Common_ConvertN2OToCO2e_Unit()</f>
        <v>t CO2e</v>
      </c>
      <c r="M50" s="45" t="s">
        <v>95</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U165"/>
  <sheetViews>
    <sheetView showGridLines="0" topLeftCell="D5" workbookViewId="0">
      <selection activeCell="D5" sqref="D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313</v>
      </c>
    </row>
    <row r="2" spans="1:21" s="9" customFormat="1" ht="20.100000000000001" customHeight="1" x14ac:dyDescent="0.25"/>
    <row r="3" spans="1:21" ht="20.100000000000001" customHeight="1" x14ac:dyDescent="0.25">
      <c r="A3" s="17" t="str">
        <f>HYPERLINK("#'Home'!A1", "Home")</f>
        <v>Home</v>
      </c>
      <c r="C3" s="4"/>
      <c r="D3" s="4" t="s">
        <v>96</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24</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MMS_Poultry_Soil_LeachingAndRunoff_Equations.VEERG_4_6_1_14__2_MassOfNitrogenLostToLeachingAndRunoffFromPoultryManureOnPasture_Variable()</f>
        <v>M_leach_m14</v>
      </c>
    </row>
    <row r="11" spans="1:21" ht="20.100000000000001" customHeight="1" x14ac:dyDescent="0.25">
      <c r="A11" s="19" t="s">
        <v>72</v>
      </c>
      <c r="D11" s="53" t="s">
        <v>17</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303</v>
      </c>
      <c r="N20" s="98" t="s">
        <v>310</v>
      </c>
    </row>
    <row r="21" spans="1:20" ht="20.100000000000001" customHeight="1" x14ac:dyDescent="0.25">
      <c r="A21" s="18" t="s">
        <v>2</v>
      </c>
      <c r="D21" s="97" t="s">
        <v>304</v>
      </c>
      <c r="N21" s="97" t="s">
        <v>305</v>
      </c>
    </row>
    <row r="22" spans="1:20" ht="20.100000000000001" customHeight="1" x14ac:dyDescent="0.25">
      <c r="A22" s="17" t="str">
        <f>HYPERLINK("#'Constants - Poultry'!A1", "Constants - Poultry")</f>
        <v>Constants - Poultry</v>
      </c>
      <c r="D22" s="51" t="s">
        <v>136</v>
      </c>
      <c r="E22" s="51" t="s">
        <v>196</v>
      </c>
      <c r="F22" s="51" t="s">
        <v>197</v>
      </c>
      <c r="G22" s="51" t="s">
        <v>209</v>
      </c>
      <c r="H22" s="51" t="s">
        <v>210</v>
      </c>
      <c r="N22" s="51" t="s">
        <v>136</v>
      </c>
      <c r="O22" s="51" t="s">
        <v>196</v>
      </c>
      <c r="P22" s="51" t="s">
        <v>197</v>
      </c>
      <c r="Q22" s="51" t="s">
        <v>209</v>
      </c>
      <c r="R22" s="51" t="s">
        <v>210</v>
      </c>
    </row>
    <row r="23" spans="1:20" ht="20.100000000000001" customHeight="1" x14ac:dyDescent="0.25">
      <c r="A23" s="17" t="str">
        <f>HYPERLINK("#'Constants - Livestock'!A1", "Constants - Livestock")</f>
        <v>Constants - Livestock</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tr">
        <f>$G$13</f>
        <v>kg N</v>
      </c>
      <c r="J23" s="2"/>
      <c r="N23" s="52" t="str">
        <f>'Input - Poultry'!$D$33</f>
        <v>Pasture range and paddock</v>
      </c>
      <c r="O23" s="52">
        <f>'4.6.1.3-4 Direct N20'!O111</f>
        <v>1.6993600000000004</v>
      </c>
      <c r="P23" s="52">
        <f>'4.6.1.3-4 Direct N20'!P111</f>
        <v>1.8138719999999999</v>
      </c>
      <c r="Q23" s="52">
        <f>'4.6.1.3-4 Direct N20'!Q111</f>
        <v>2.129216</v>
      </c>
      <c r="R23" s="52">
        <f>'4.6.1.3-4 Direct N20'!R111</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311</v>
      </c>
      <c r="N25" s="98" t="s">
        <v>315</v>
      </c>
    </row>
    <row r="26" spans="1:20" ht="20.100000000000001" customHeight="1" x14ac:dyDescent="0.25">
      <c r="D26" s="97" t="s">
        <v>304</v>
      </c>
      <c r="N26" s="97" t="s">
        <v>305</v>
      </c>
    </row>
    <row r="27" spans="1:20" ht="20.100000000000001" customHeight="1" x14ac:dyDescent="0.25">
      <c r="D27" s="51" t="s">
        <v>136</v>
      </c>
      <c r="E27" s="51" t="s">
        <v>196</v>
      </c>
      <c r="F27" s="51" t="s">
        <v>197</v>
      </c>
      <c r="G27" s="51" t="s">
        <v>209</v>
      </c>
      <c r="H27" s="51" t="s">
        <v>210</v>
      </c>
      <c r="N27" s="51" t="s">
        <v>136</v>
      </c>
      <c r="O27" s="51" t="s">
        <v>196</v>
      </c>
      <c r="P27" s="51" t="s">
        <v>197</v>
      </c>
      <c r="Q27" s="51" t="s">
        <v>209</v>
      </c>
      <c r="R27" s="51" t="s">
        <v>210</v>
      </c>
    </row>
    <row r="28" spans="1:20" ht="20.100000000000001" customHeight="1" x14ac:dyDescent="0.25">
      <c r="D28" s="52" t="str">
        <f>'Input - Poultry'!$D$33</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'Input - Poultry'!$D$33</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314</v>
      </c>
      <c r="E30" s="45">
        <f>SUM(E28:H28)</f>
        <v>0.14912640000000002</v>
      </c>
      <c r="F30" s="103" t="str">
        <f>$E$11</f>
        <v>kg N</v>
      </c>
      <c r="N30" s="107" t="s">
        <v>314</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24</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27</v>
      </c>
      <c r="E40" s="1" t="str" cm="1">
        <f t="array" ref="E40">MMS_Poultry_Soil_LeachingAndRunoff_Equations.VEERG_4_6_1_14__1_LeachingAndRunoffEmissionsFromPoultryManureOnPasture_Variable()</f>
        <v>E_N2Oleach</v>
      </c>
    </row>
    <row r="41" spans="3:21" ht="20.100000000000001" customHeight="1" x14ac:dyDescent="0.25">
      <c r="D41" s="53" t="s">
        <v>17</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285</v>
      </c>
      <c r="E47" s="100" cm="1">
        <f t="array" ref="E47">MMS_Poultry_Soil_LeachingAndRunoff_Equations.VEERG_4_6_1_14__1_LeachingAndRunoffEmissionsFromPoultryManureOnPasture(J43,$J$44,$J$45)</f>
        <v>2.5777563428571431E-6</v>
      </c>
      <c r="F47" s="101" t="str">
        <f>$E$41</f>
        <v>t N2O</v>
      </c>
      <c r="N47" s="99" t="s">
        <v>285</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f>Common_InputFunctions.Utility_LookupValueInTableNumber("N2O", Table_GWPData[Gas],Table_GWPData[CO2-e factor])</f>
        <v>265</v>
      </c>
      <c r="N50" s="57" t="str">
        <v>GWPN2O</v>
      </c>
      <c r="O50" s="58" t="str">
        <v>Global warming potential for nitrous oxide (t CO2-e / t N2O)</v>
      </c>
      <c r="P50" s="102"/>
      <c r="Q50" s="52">
        <f>Common_InputFunctions.Utility_LookupValueInTableNumber("N2O", Table_GWPData[Gas],Table_GWPData[CO2-e factor])</f>
        <v>265</v>
      </c>
    </row>
    <row r="51" spans="4:17" ht="20.100000000000001" customHeight="1" x14ac:dyDescent="0.25"/>
    <row r="52" spans="4:17" ht="20.100000000000001" customHeight="1" x14ac:dyDescent="0.25">
      <c r="D52" s="45" t="s">
        <v>95</v>
      </c>
      <c r="E52" s="45" cm="1">
        <f t="array" ref="E52">Common_Equations.Common_ConvertN2OToCO2e(G49,G50)</f>
        <v>6.8310543085714286E-4</v>
      </c>
      <c r="F52" s="103" t="str" cm="1">
        <f t="array" ref="F52">Common_Equations.Common_ConvertN2OToCO2e_Unit()</f>
        <v>t CO2e</v>
      </c>
      <c r="N52" s="45" t="s">
        <v>95</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89" zoomScaleNormal="100" workbookViewId="0">
      <selection activeCell="G120" sqref="G1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195</v>
      </c>
      <c r="E8" s="37" t="s">
        <v>196</v>
      </c>
      <c r="F8" s="37" t="s">
        <v>197</v>
      </c>
      <c r="G8" s="37" t="s">
        <v>198</v>
      </c>
      <c r="H8" s="37" t="s">
        <v>199</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72</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200</v>
      </c>
      <c r="E19" s="37" t="s">
        <v>201</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202</v>
      </c>
      <c r="G26" s="6" t="s">
        <v>203</v>
      </c>
      <c r="J26" s="6" t="s">
        <v>204</v>
      </c>
      <c r="M26" s="1"/>
    </row>
    <row r="27" spans="1:13" ht="20.100000000000001" customHeight="1" x14ac:dyDescent="0.25">
      <c r="M27" s="1"/>
    </row>
    <row r="28" spans="1:13" ht="20.100000000000001" customHeight="1" x14ac:dyDescent="0.25">
      <c r="D28" s="113" t="s">
        <v>65</v>
      </c>
      <c r="E28" s="37" t="s">
        <v>76</v>
      </c>
      <c r="G28" s="113" t="s">
        <v>65</v>
      </c>
      <c r="H28" s="37" t="s">
        <v>76</v>
      </c>
      <c r="J28" s="113" t="s">
        <v>65</v>
      </c>
      <c r="K28" s="37" t="s">
        <v>76</v>
      </c>
      <c r="M28" s="1"/>
    </row>
    <row r="29" spans="1:13" ht="20.100000000000001" customHeight="1" x14ac:dyDescent="0.25">
      <c r="D29" s="37" t="s">
        <v>321</v>
      </c>
      <c r="E29" s="37" t="s">
        <v>322</v>
      </c>
      <c r="G29" s="37" t="s">
        <v>321</v>
      </c>
      <c r="H29" s="37" t="s">
        <v>322</v>
      </c>
      <c r="J29" s="37" t="s">
        <v>323</v>
      </c>
      <c r="K29" s="37" t="s">
        <v>324</v>
      </c>
      <c r="M29" s="1"/>
    </row>
    <row r="30" spans="1:13" ht="20.100000000000001" customHeight="1" x14ac:dyDescent="0.25">
      <c r="D30" s="37" t="s">
        <v>325</v>
      </c>
      <c r="E30" s="37" t="s">
        <v>326</v>
      </c>
      <c r="G30" s="37" t="s">
        <v>325</v>
      </c>
      <c r="H30" s="37" t="s">
        <v>326</v>
      </c>
      <c r="J30" s="37" t="s">
        <v>327</v>
      </c>
      <c r="K30" s="37" t="s">
        <v>328</v>
      </c>
      <c r="M30" s="1"/>
    </row>
    <row r="31" spans="1:13" ht="20.100000000000001" customHeight="1" x14ac:dyDescent="0.25">
      <c r="D31" s="37" t="s">
        <v>329</v>
      </c>
      <c r="E31" s="37" t="s">
        <v>330</v>
      </c>
      <c r="G31" s="37" t="s">
        <v>329</v>
      </c>
      <c r="H31" s="37" t="s">
        <v>330</v>
      </c>
      <c r="J31" s="1" t="s">
        <v>331</v>
      </c>
      <c r="K31" s="1" t="s">
        <v>332</v>
      </c>
      <c r="M31" s="1"/>
    </row>
    <row r="32" spans="1:13" ht="20.100000000000001" customHeight="1" x14ac:dyDescent="0.25">
      <c r="D32" s="37" t="s">
        <v>333</v>
      </c>
      <c r="E32" s="37" t="s">
        <v>334</v>
      </c>
      <c r="G32" s="37" t="s">
        <v>333</v>
      </c>
      <c r="H32" s="37" t="s">
        <v>334</v>
      </c>
      <c r="J32" s="37" t="s">
        <v>335</v>
      </c>
      <c r="K32" s="37" t="s">
        <v>336</v>
      </c>
      <c r="M32" s="1"/>
    </row>
    <row r="33" spans="4:13" ht="20.100000000000001" customHeight="1" x14ac:dyDescent="0.25">
      <c r="D33" s="37" t="s">
        <v>323</v>
      </c>
      <c r="E33" s="37" t="s">
        <v>324</v>
      </c>
      <c r="G33" s="1" t="s">
        <v>205</v>
      </c>
      <c r="H33" s="37" t="s">
        <v>205</v>
      </c>
      <c r="J33" s="37" t="s">
        <v>337</v>
      </c>
      <c r="K33" s="37" t="s">
        <v>338</v>
      </c>
      <c r="M33" s="1"/>
    </row>
    <row r="34" spans="4:13" ht="20.100000000000001" customHeight="1" x14ac:dyDescent="0.25">
      <c r="D34" s="37" t="s">
        <v>327</v>
      </c>
      <c r="E34" s="37" t="s">
        <v>328</v>
      </c>
      <c r="J34" s="1" t="s">
        <v>205</v>
      </c>
      <c r="K34" s="37" t="s">
        <v>205</v>
      </c>
      <c r="M34" s="1"/>
    </row>
    <row r="35" spans="4:13" ht="20.100000000000001" customHeight="1" x14ac:dyDescent="0.25">
      <c r="D35" s="1" t="s">
        <v>331</v>
      </c>
      <c r="E35" s="1" t="s">
        <v>332</v>
      </c>
      <c r="M35" s="1"/>
    </row>
    <row r="36" spans="4:13" ht="20.100000000000001" customHeight="1" x14ac:dyDescent="0.25">
      <c r="D36" s="37" t="s">
        <v>335</v>
      </c>
      <c r="E36" s="37" t="s">
        <v>336</v>
      </c>
      <c r="M36" s="1"/>
    </row>
    <row r="37" spans="4:13" ht="20.100000000000001" customHeight="1" x14ac:dyDescent="0.25">
      <c r="D37" s="37" t="s">
        <v>337</v>
      </c>
      <c r="E37" s="37" t="s">
        <v>338</v>
      </c>
      <c r="M37" s="1"/>
    </row>
    <row r="38" spans="4:13" ht="20.100000000000001" customHeight="1" x14ac:dyDescent="0.25">
      <c r="D38" s="1" t="s">
        <v>205</v>
      </c>
      <c r="E38" s="37" t="s">
        <v>205</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206</v>
      </c>
      <c r="M42" s="1"/>
    </row>
    <row r="43" spans="4:13" ht="20.100000000000001" customHeight="1" x14ac:dyDescent="0.25">
      <c r="M43" s="1"/>
    </row>
    <row r="44" spans="4:13" ht="20.100000000000001" customHeight="1" x14ac:dyDescent="0.25">
      <c r="D44" s="37" t="s">
        <v>107</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207</v>
      </c>
      <c r="E59" s="37" t="s">
        <v>208</v>
      </c>
      <c r="F59" s="37" t="s">
        <v>78</v>
      </c>
      <c r="G59" s="37" t="s">
        <v>77</v>
      </c>
      <c r="H59" s="37" t="s">
        <v>80</v>
      </c>
      <c r="I59" s="37" t="s">
        <v>79</v>
      </c>
      <c r="J59" s="37" t="s">
        <v>83</v>
      </c>
      <c r="K59" s="37" t="s">
        <v>81</v>
      </c>
      <c r="L59" s="37" t="s">
        <v>84</v>
      </c>
      <c r="M59" s="37" t="s">
        <v>82</v>
      </c>
      <c r="N59" s="37" t="s">
        <v>128</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65</v>
      </c>
      <c r="E75" s="37" t="s">
        <v>129</v>
      </c>
      <c r="F75" s="37" t="s">
        <v>128</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151</v>
      </c>
      <c r="E84" s="37" t="s">
        <v>152</v>
      </c>
      <c r="F84" s="37" t="s">
        <v>153</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151</v>
      </c>
      <c r="E97" s="37" t="s">
        <v>155</v>
      </c>
      <c r="F97" s="37" t="s">
        <v>153</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358</v>
      </c>
      <c r="E119" s="37" t="s">
        <v>359</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98FC-EEE1-4AE7-8C30-A5064BE303F5}">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19</v>
      </c>
      <c r="E6" s="37" t="s">
        <v>20</v>
      </c>
      <c r="F6" s="37" t="s">
        <v>21</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22</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25</v>
      </c>
      <c r="E36" s="37" t="s">
        <v>26</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25</v>
      </c>
      <c r="E47" s="37" t="s">
        <v>28</v>
      </c>
      <c r="F47" s="37" t="s">
        <v>29</v>
      </c>
      <c r="G47" s="37" t="s">
        <v>30</v>
      </c>
      <c r="H47" s="37" t="s">
        <v>31</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8</v>
      </c>
      <c r="E63" s="37" t="s">
        <v>46</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8</v>
      </c>
      <c r="E89" s="37" t="s">
        <v>34</v>
      </c>
      <c r="F89" s="37" t="s">
        <v>35</v>
      </c>
      <c r="G89" s="37" t="s">
        <v>36</v>
      </c>
      <c r="H89" s="37" t="s">
        <v>37</v>
      </c>
      <c r="I89" s="37" t="s">
        <v>38</v>
      </c>
      <c r="J89" s="37" t="s">
        <v>39</v>
      </c>
      <c r="K89" s="37" t="s">
        <v>40</v>
      </c>
      <c r="L89" s="37" t="s">
        <v>41</v>
      </c>
      <c r="M89" s="37" t="s">
        <v>42</v>
      </c>
      <c r="N89" s="37" t="s">
        <v>43</v>
      </c>
      <c r="O89" s="37" t="s">
        <v>47</v>
      </c>
      <c r="P89" s="37" t="s">
        <v>44</v>
      </c>
      <c r="Q89" s="37" t="s">
        <v>48</v>
      </c>
      <c r="R89" s="37" t="s">
        <v>45</v>
      </c>
      <c r="S89" s="37" t="s">
        <v>49</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53</v>
      </c>
      <c r="E109" s="37" t="s">
        <v>34</v>
      </c>
      <c r="F109" s="37" t="s">
        <v>54</v>
      </c>
      <c r="G109" s="37" t="s">
        <v>55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56</v>
      </c>
      <c r="E119" s="37" t="s">
        <v>57</v>
      </c>
      <c r="F119" s="37" t="s">
        <v>41</v>
      </c>
      <c r="G119" s="37" t="s">
        <v>42</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63</v>
      </c>
      <c r="E127" s="37" t="s">
        <v>64</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115</v>
      </c>
      <c r="E142" s="37" t="s">
        <v>89</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66</v>
      </c>
      <c r="E153" s="37" t="s">
        <v>67</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103</v>
      </c>
      <c r="E186" s="37" t="s">
        <v>104</v>
      </c>
      <c r="F186" s="37" t="s">
        <v>105</v>
      </c>
      <c r="G186" s="37" t="s">
        <v>106</v>
      </c>
      <c r="H186" s="37" t="s">
        <v>33</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8</v>
      </c>
      <c r="E206" s="37" t="s">
        <v>117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112</v>
      </c>
      <c r="E212" s="37" t="s">
        <v>122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50</v>
      </c>
      <c r="E231" s="37" t="s">
        <v>339</v>
      </c>
      <c r="F231" s="36" t="s">
        <v>340</v>
      </c>
      <c r="G231" s="37" t="s">
        <v>331</v>
      </c>
      <c r="H231" s="37" t="s">
        <v>341</v>
      </c>
      <c r="I231" s="37" t="s">
        <v>342</v>
      </c>
      <c r="J231" s="37" t="s">
        <v>327</v>
      </c>
      <c r="K231" s="37" t="s">
        <v>323</v>
      </c>
      <c r="L231" s="37" t="s">
        <v>343</v>
      </c>
      <c r="M231" s="37" t="s">
        <v>344</v>
      </c>
      <c r="N231" s="37" t="s">
        <v>321</v>
      </c>
      <c r="O231" s="37" t="s">
        <v>345</v>
      </c>
      <c r="P231" s="37" t="s">
        <v>335</v>
      </c>
      <c r="Q231" s="37" t="s">
        <v>337</v>
      </c>
      <c r="R231" s="37" t="s">
        <v>333</v>
      </c>
      <c r="S231" s="37" t="s">
        <v>346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360</v>
      </c>
      <c r="E257" s="37" t="s">
        <v>361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74</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75</v>
      </c>
      <c r="E9" s="37" t="s">
        <v>18</v>
      </c>
      <c r="F9" s="37" t="s">
        <v>76</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72</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CcAQQBsAGwAIABzAHQAYQB0AGUAcwAnACAAdgBhAGwAdQBlACAAaQBzACAAZwBpAHYAZQBuAC4AXAAiADsAXABuACAAIAAgACAAIAAgACAAIAAgACAAXAAiAEEAZABkAGUAZAAgACcATgBJAFIAIABkAGUAZgBpAG4AaQB0AGkAbwBuACcAIABjAG8AbAB1AG0AbgAgAHcAaQB0AGgAIABNAE0AUwAgAG4AYQBtAGUAcwAgAHQAaABhAHQAIABtAGEAdABjAGgAIABOAEkAUgAgAGQAZQBmAGkAbgBpAHQAaQBvAG4AcwAuAFwAIgA7AFwAbgAgACAAIAAgACAAIAAgACAAIAAgAFwAIg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JwBQAGEAcwB0AHUAcgBlACAAcgBhAG4AZwBlACAAYQBuAGQAIABwAGEAZABkAG8AYwBrAC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AnAE4ASQBSACAAZABlAGYAaQBuAGkAdABpAG8AbgAgAGMAbwBsAHUAbQBuAC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JwBOAEkAUgAgAGQAZQBmAGkAbgBpAHQAaQBvAG4AIABjAG8AbAB1AG0AbgAn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JwBOAEkAUgAgAGQAZQBmAGkAbgBpAHQAaQBvAG4AIABjAG8AbAB1AG0AbgAnAC4AIA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D4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JAG4AcAB1AHQAXAAiADsAXABuACAAIAAgACAAIAAgACAAIAAgACAAXAAiAEYAcgBhAGMATABFAEEAQwBIAF8ATQBTAFwAIgAsAFwAIgBmAHIAYQBjAHQAaQBvAG4AIABvAGYAIABOACAAbABvAHMAdAAgAHQAaAByAG8AdQBnAGgAIABsAGUAYQBjAGgAaQBuAGcAIABhAG4AZAAgAHIAdQBuAG8AZgBmAFwAIgAsACAAXAAiAGYAcgBhAGMAdABpAG8AbgBcACIALAAgAFwAIgBJAG4AcAB1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JwBCAGUAbAB0ACAAbQBhAG4AdQByAGUAIAByAGUAbQBvAHYAYQBsACcAIABhAG4AZAAgACcATQBhAG4AdQByAGUAIABzAHQAbwByAGUAZAAgAGkAbgAgAGgAbwB1AHMAZQAnACAATQBNAFMAIABhAHMAIABuAG8AIAB0AGUAbQBwAGUAcgBhAHQAdQByAGUAIAB2AGEAbAB1AGUAcwAgAGUAeABpAHMAdAAgAGkAbgAgAFQAYQBiAGwAZQAgAEEALgAxAC4AOAAuADE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wBfAFMAdABhAGcAZQAyAE0AZQB0AGgAYQBuAGUAUAByAG8AZAB1AGMAdABpAG8AbgBcAG4AUAByAG8AZAB1AGMAdABpAG8AbgAgAG8AZgAgAG0AZQB0AGgAYQBuAGUAIABpAG4AIAB0AHIAZQBhAHQAbQBlAG4AdAAgAHMAdABhAGcAZQAgADIAIABNAE0AUwBcAG4ATQBfAGoAawBtAFQAMgBcAG4AawBnACAAQwBIADQALwBiAGkAcgBkAC8AZABhAHkAXABuAE0AXwB7AGoAawBtAFQAPQAyAH0APQBWAFMAVABfAHsAagBrAH0AXABcAHQAaQBtAGUAcwAgAEIATwBcAFwAdABpAG0AZQBzACAATQBNAFMAXwB7AGoAbQBUAD0AMgB9AFwAXAB0AGkAbQBlAHMAIABNAEMARgBfAHsAaQBtAH0AXABcAHQAaQBtAGUAcwAgAFwAXAByAGgAbwBcAG4AVgBTAFQAXwBqAGsAIAA9ACAAdgBvAGwAYQB0AGkAbABlACAAcwBvAGwAaQBkAHMAIAB0AHIAYQBuAHMAZgBlAHIAcgBlAGQAIAB0AG8AIAB0AHIAZQBhAHQAbQBlAG4AdAAgAHMAdABhAGcAZQAgADIAIABNAE0AUwAgADoAIABrAGcAIABWAFMALwBiAGkAcgBkAC8AZABhAHkAXABuAEIATwAgAD0AIABlAG0AaQBzAHMAaQBvAG4AcwAgAHAAbwB0AGUAbgB0AGkAYQBsACAAOgAgAG0AMwAgAEMASAA0AC8AawBnACAAVgBTAFwAbgBNAE0AUwBfAGo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gBNAGUAdABoAGEAbgBlAFAAcgBvAGQAdQBjAHQAaQBvAG4AXABuACAAIAA9AEwAQQBNAEIARABBACgAXABuACAAIAAgACAAVgBTAFQAXwBqAGsALAAgAEIATwAsACAATQBNAFMAXwBqAG0AVAAyACwAIABNAEMARgBfAGkAbQAsACAAcgBoAG8ALABcAG4AIAAgACAAIABWAFMAVABfAGoAawAgACoAIABCAE8AIAAqACAATQBNAFMAXwBqAG0AVAAyACAAKgAgAE0AQwBGAF8AaQBtACAAKgAgAHIAaABvAFwAbgAgACAAKQA7AFwAbgBcAG4AVgBFAEUAUgBHAF8ANABfADY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MwBfAFMAdABhAGcAZQAyAE0AZQB0AGgAYQBuAGUAUAByAG8AZAB1AGMAdABpAG8AbgBfAFYAYQByAGkAYQBiAGwAZQBcAG4AIAAgAD0ATABBAE0AQgBEAEEAKABcACIATQBfAGoAawBtAFQAMgBcACIAKQA7AFwAbgBcAG4AVgBFAEUAUgBHAF8ANABfADYAXwAxAF8AMQBfAF8AMwBfAFMAdABhAGcAZQAyAE0AZQB0AGgAYQBuAGUAUAByAG8AZAB1AGMAdABpAG8AbgBfAFUAbgBpAHQAXABuACAAIAA9AEwAQQBNAEIARABBACgAXAAiAGsAZwAgAEMASAA0AC8AYgBpAHIAZAAvAGQAYQB5AFwAIgApADsAXABuAFwAbgBWAEUARQBSAEcAXwA0AF8ANgBfADEAXwAxAF8AXwAzAF8AUwB0AGEAZwBlADIATQBlAHQAaABhAG4AZQBQAHIAbwBkAHUAYwB0AGkAbwBuAF8AUwBvAHUAcgBjAGUAXABuACAAIAA9AEwAQQBNAEIARABBACgAXAAiAFYARQBFAFIARwAgADIAMAAyADYAOgAgADQALgA0AC4AMQAuADEALAAgAEUAcQB1AGEAdABpAG8AbgAgACgAMwApAFwAIgApADsAXABuAFwAbgBWAEUARQBSAEcAXwA0AF8ANgBfADEAXwAxAF8AXwAzAF8AUwB0AGEAZwBlADIATQBlAHQAaABhAG4AZQBQAHIAbwBkAHUAYwB0AGkAbwBuAF8ATgBJAFIAUgBlAGYAZQByAGUAbgBjAGUAXABuACAAIAA9AEwAQQBNAEIARABBACgAXAAiAFwAIgApADsAXABuAFwAbgBWAEUARQBSAEcAXwA0AF8ANgBfADEAXwAxAF8AXwAzAF8AUwB0AGEAZwBlADIATQBlAHQAaABhAG4AZQBQAHIAbwBkAHUAYwB0AGkAbwBuAF8ATABhAHQAZQB4AEUAcQB1AGEAdABpAG8AbgBcAG4AIAAgAD0ATABBAE0AQgBEAEEAKABcACIATQBfAHsAagBrAG0AVAA9ADIAfQA9AFYAUwBUAF8AewBqAGsAfQBcAFwAdABpAG0AZQBzACAAQgBPAFwAXAB0AGkAbQBlAHMAIABNAE0AUwBfAHsAagBtAFQAPQAyAH0AXABcAHQAaQBtAGUAcwAgAE0AQwBGAF8AewBpAG0AfQBcAFwAdABpAG0AZQBzACAAXABcAHIAaABvAFwAIgApADsAXABuAFwAbgBWAEUARQBSAEcAXwA0AF8ANgBfADEAXwAxAF8AXwAz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w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wBfAFMAdABhAGcAZQAyAE0AZQB0AGgAYQBuAGUAUAByAG8AZAB1AGMAdABpAG8AbgBfAFYAYQByAGkAYQB0AGkAbwBuAFwAbgAgACAAIAA9AEwAQQBNAEIARABBACgAXAAiAFYAQQBSAEkAQQBUAEkATwBOACAATwBOACAAUwBPAFUAUgBDAEUAOgAg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CkAOwBcAG4AXABuAC8AKgBcAG4ALQAtAC0ALQAtAC0ALQAtAC0ALQAtAC0ALQAtAC0ALQAtAC0ALQAtAC0ALQAtAC0ALQAtAC0ALQAtAC0ALQAtAC0ALQAtAC0ALQAtAFwAbgBWAEUARQBSAEcAXwA0AF8ANgBfADEAXwAxAF8AXwA0AF8AVgBvAGwAYQB0AGkAbABlAFMAbwBsAGkAZABzAFQAcgBhAG4AcwBmAGUAcgByAGUAZABcAG4AVgBvAGwAYQB0AGkAbABlACAAcwBvAGwAaQBkAHMAIAB0AHIAYQBuAHMAZgBlAHIAcgBlAGQAIAB0AG8AIAB0AHIAZQBhAHQAbQBlAG4AdAAgAHMAdABhAGcAZQAgADIAIABNAE0AUwBcAG4AVgBTAFQAXwBqAGsAXABuAGsAZwAgAFYAUwAvAGIAaQByAGQALwBkAGEAeQBcAG4AVgBTAFQAXwB7AGoAawB9AD0AVgBTAF8AewBqAGsAfQBcAFwAdABpAG0AZQBzACAATQBNAFMAXwB7AGoAbQBUAD0AMQB9AFwAXAB0AGkAbQBlAHMAIAAoADEALQBWAFMATABfAHsAbQBUAD0AMQB9ACkAXABuAFYAUwBfAGoAawAgAD0AIAB2AG8AbABhAHQAaQBsAGUAIABzAG8AbABpAGQAIABwAHIAbwBkAHUAYwB0AGkAbwBuACAAcABvAHUAbAB0AHIAeQAgAGMAbABhAHMAcwBlAHMAIAA6ACAAawBnACAAVgBTAC8AYgBpAHIAZAAvAGQAYQB5AFwAbgBNAE0AUwBfAGoAbQBUADEAIAA9ACAAZgByAGEAYwB0AGkAbwBuACAAbwBmACAAbQBhAG4AdQByAGUAIABpAG4AIABlAGEAYwBoACAAcAByAGkAbQBhAHIAeQAgAHMAeQBzAHQAZQBtACAAOgAgAGYAcgBhAGMAdABpAG8AbgBcAG4AVgBTAEwAXw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YAXwAxAF8AMQBfAF8ANABfAFYAbwBsAGEAdABpAGwAZQBTAG8AbABpAGQAcwBUAHIAYQBuAHMAZgBlAHIAcgBlAGQAXABuACAAIAA9AEwAQQBNAEIARABBACgAXABuACAAIAAgACAAVgBTAF8AagBrACwAIABNAE0AUwBfAGoAbQBUADEALAAgAFYAUwBMAF8AbQBUADEALABcAG4AIAAgACAAIABWAFMAXwBqAGsAIAAqACAATQBNAFMAXwBqAG0AVAAxACAAKgAgACgAMQAgAC0AIABWAFMATABfAG0AVAAxACkAXABuACAAIAApADsAXABuAFwAbgBWAEUARQBSAEcAXwA0AF8ANgBfADEAXwAxAF8AXwA0AF8AVgBvAGwAYQB0AGkAbABlAFMAbwBsAGkAZABzAFQAcgBhAG4AcwBmAGUAcgByAGUAZABfAFQAaQB0AGwAZQBcAG4AIAAgAD0ATABBAE0AQgBEAEEAKABcACIAVgBvAGwAYQB0AGkAbABlACAAcwBvAGwAaQBkAHMAIAB0AHIAYQBuAHMAZgBlAHIAcgBlAGQAIAB0AG8AIAB0AHIAZQBhAHQAbQBlAG4AdAAgAHMAdABhAGcAZQAgADIAIABNAE0AUwBcACIAKQA7AFwAbgBcAG4AVgBFAEUAUgBHAF8ANABfADYAXwAxAF8AMQBfAF8ANABfAFYAbwBsAGEAdABpAGwAZQBTAG8AbABpAGQAcwBUAHIAYQBuAHMAZgBlAHIAcgBlAGQAXwBWAGEAcgBpAGEAYgBsAGUAXABuACAAIAA9AEwAQQBNAEIARABBACgAXAAiAFYAUwBUAF8AagBrAFwAIgApADsAXABuAFwAbgBWAEUARQBSAEcAXwA0AF8ANgBfADEAXwAxAF8AXwA0AF8AVgBvAGwAYQB0AGkAbABlAFMAbwBsAGkAZABzAFQAcgBhAG4AcwBmAGUAcgByAGUAZABfAFUAbgBpAHQAXABuACAAIAA9AEwAQQBNAEIARABBACgAXAAiAGsAZwAgAFYAUwAvAGIAaQByAGQALwBkAGEAeQBcACIAKQA7AFwAbgBcAG4AVgBFAEUAUgBHAF8ANABfADYAXwAxAF8AMQBfAF8ANABfAFYAbwBsAGEAdABpAGwAZQBTAG8AbABpAGQAcwBUAHIAYQBuAHMAZgBlAHIAcgBlAGQAXwBTAG8AdQByAGMAZQBcAG4AIAAgAD0ATABBAE0AQgBEAEEAKABcACIAVgBFAEUAUgBHACAAMgAwADIANgA6ACAANAAuADQALgAxAC4AMQAsACAARQBxAHUAYQB0AGkAbwBuACAAKAA0ACkAXAAiACkAOwBcAG4AXABuAFYARQBFAFIARwBfADQAXwA2AF8AMQBfADEAXwBfADQAXwBWAG8AbABhAHQAaQBsAGUAUwBvAGwAaQBkAHMAVAByAGEAbgBzAGYAZQByAHIAZQBkAF8ATgBJAFIAUgBlAGYAZQByAGUAbgBjAGUAXABuACAAIAA9AEwAQQBNAEIARABBACgAXAAiAFwAIgApADsAXABuAFwAbgBWAEUARQBSAEcAXwA0AF8ANgBfADEAXwAxAF8AXwA0AF8AVgBvAGwAYQB0AGkAbABlAFMAbwBsAGkAZABzAFQAcgBhAG4AcwBmAGUAcgByAGUAZABfAEwAYQB0AGUAeABFAHEAdQBhAHQAaQBvAG4AXABuACAAIAA9AEwAQQBNAEIARABBACgAXAAiAFYAUwBUAF8AewBqAGsAfQA9AFYAUwBfAHsAagBrAH0AXABcAHQAaQBtAGUAcwAgAE0ATQBTAF8AewBqAG0AVAA9ADEAfQBcAFwAdABpAG0AZQBzACAAKAAxAC0AVgBTAEwAXwB7AG0AVAA9ADEAfQApAFwAIgApADsAXABuAFwAbgBWAEUARQBSAEcAXwA0AF8ANgBfADEAXwAxAF8AXwA0AF8AVgBvAGwAYQB0AGkAbABlAFMAbwBsAGkAZABzAFQAcgBhAG4AcwBmAGUAcgByAGUAZABfAEEAcgBnAHUAbQBlAG4AdABzAFwAbgAgACAAPQBMAEEATQBCAEQAQQAoAFwAbgAgACAAIAAgAE0AQQBLAEUAQQBSAFIAQQBZACgAMw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FYAUwBMAF8AbQBUADEAXAAiACwAXAAiAGYAcgBhAGMAdABpAG8AbgAgAG8AZgAgAHYAbwBsAGEAdABpAGwAZQAgAHMAbwBsAGkAZABzACAAbABvAHMAdAAgAGQAdQByAGkAbgBnACAAcwB0AG8AcgBhAGcAZQAgAGkAbgAgAHQAaABlACAAcAByAGkAbQBhAHIAeQAgAHMAeQBzAHQAZQBt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QBfAFYAbwBsAGEAdABpAGwAZQBTAG8AbABpAGQAUAByAG8AZAB1AGMAdABpAG8AbgBcAG4AVgBvAGwAYQB0AGkAbABlACAAcwBvAGwAaQBkACAAcAByAG8AZAB1AGMAdABpAG8AbgAgAHAAbwB1AGwAdAByAHkAIABjAGwAYQBzAHMAZQBzAFwAbgBWAFMAXwBqAGsAXABuAGsAZwAgAFYAUwAvAGIAaQByAGQALwBkAGEAeQBcAG4AVgBTAF8AewBqAGsAfQA9AEkAXwB7AGoAawB9AFwAXAB0AGkAbQBlAHMAIAAoADEALQBEAE0ARABfAHsAagBrAH0AKQBcAFwAdABpAG0AZQBzACAAKAAxAC0AQQBfAHsAagB9ACkAXABuAEkAXwBqAGsAIAA9ACAAZAByAHkAIABtAGEAdAB0AGUAcgAgAGkAbgB0AGEAawBlACAAZgBvAHIAIABlAGEAYwBoACAAYwBsAGEAcwBzACAAYQBuAGQAIABzAHUAYgBjAGwAYQBzAHMAIAA6ACAAawBnACAARABNAC8AYgBpAHIAZAAvAGQAYQB5AFwAbgBEAE0ARABfAGoAawAgAD0AIABkAHIAeQAgAG0AYQB0AHQAZQByACAAZABpAGcAZQBzAHQAaQBiAGkAbABpAHQAeQAgAGYAbwByACAAZQBhAGMAaAAgAGMAbABhAHMAcwAgAGEAbgBkACAAcwB1AGIAYwBsAGEAcwBzACAAOgAgAGYAcgBhAGMAdABpAG8AbgBcAG4AQQBfAGoAIAA9ACAAYQBzAGgAIABjAG8AbgB0AGUAbgB0ACAAbwBmACAAbQBhAG4AdQByAGUAIABmAG8AcgAgAGUAYQBjAGgAIABjAGwAYQBzAHMAIABhAG4AZAAgAHMAdQBiAGMAbABhAHMAcwAgADoAIABmAHIAYQBjAHQAaQBvAG4AXABuAC0ALQAtAC0ALQAtAC0ALQAtAC0ALQAtAC0ALQAtAC0ALQAtAC0ALQAtAC0ALQAtAC0ALQAtAC0ALQAtAC0ALQAtAC0ALQAtAC0ALQBcAG4AKgAvAFwAbgBcAG4AVgBFAEUAUgBHAF8ANABfADYAXwAxAF8AMQBfAF8ANQBfAFYAbwBsAGEAdABpAGwAZQBTAG8AbABpAGQAUAByAG8AZAB1AGMAdABpAG8AbgBcAG4AIAAgAD0ATABBAE0AQgBEAEEAKABcAG4AIAAgACAAIABJAF8AagBrACwAIABEAE0ARABfAGoAawAsACAAQQBfAGoALABcAG4AIAAgACAAIABJAF8AagBrACAAKgAgACgAMQAgAC0AIABEAE0ARABfAGoAawApACAAKgAgACgAMQAgAC0AIABBAF8AagApAFwAbgAgACAAKQA7AFwAbgBcAG4AVgBFAEUAUgBHAF8ANABfADYAXwAxAF8AMQBfAF8ANQBfAFYAbwBsAGEAdABpAGwAZQBTAG8AbABpAGQAUAByAG8AZAB1AGMAdABpAG8AbgBfAFQAaQB0AGwAZQBcAG4AIAAgAD0ATABBAE0AQgBEAEEAKABcACIAVgBvAGwAYQB0AGkAbABlACAAcwBvAGwAaQBkACAAcAByAG8AZAB1AGMAdABpAG8AbgAgAHAAbwB1AGwAdAByAHkAIABjAGwAYQBzAHMAZQBzAFwAIgApADsAXABuAFwAbgBWAEUARQBSAEcAXwA0AF8ANgBfADEAXwAxAF8AXwA1AF8AVgBvAGwAYQB0AGkAbABlAFMAbwBsAGkAZABQAHIAbwBkAHUAYwB0AGkAbwBuAF8AVgBhAHIAaQBhAGIAbABlAFwAbgAgACAAPQBMAEEATQBCAEQAQQAoAFwAIgBWAFMAXwBqAGsAXAAiACkAOwBcAG4AXABuAFYARQBFAFIARwBfADQAXwA2AF8AMQBfADEAXwBfADUAXwBWAG8AbABhAHQAaQBsAGUAUwBvAGwAaQBkAFAAcgBvAGQAdQBjAHQAaQBvAG4AXwBVAG4AaQB0AFwAbgAgACAAPQBMAEEATQBCAEQAQQAoAFwAIgBrAGcAIABWAFMALwBiAGkAcgBkAC8AZABhAHkAXAAiACkAOwBcAG4AXABuAFYARQBFAFIARwBfADQAXwA2AF8AMQBfADEAXwBfADUAXwBWAG8AbABhAHQAaQBsAGUAUwBvAGwAaQBkAFAAcgBvAGQAdQBjAHQAaQBvAG4AXwBTAG8AdQByAGMAZQBcAG4AIAAgAD0ATABBAE0AQgBEAEEAKABcACIAVgBFAEUAUgBHACAAMgAwADIANgA6ACAANAAuADQALgAxAC4AMQAsACAARQBxAHUAYQB0AGkAbwBuACAAKAA1ACkAXAAiACkAOwBcAG4AXABuAFYARQBFAFIARwBfADQAXwA2AF8AMQBfADEAXwBfADUAXwBWAG8AbABhAHQAaQBsAGUAUwBvAGwAaQBkAFAAcgBvAGQAdQBjAHQAaQBvAG4AXwBOAEkAUgBSAGUAZgBlAHIAZQBuAGMAZQBcAG4AIAAgAD0ATABBAE0AQgBEAEEAKABcACIAXAAiACkAOwBcAG4AXABuAFYARQBFAFIARwBfADQAXwA2AF8AMQBfADEAXwBfADUAXwBWAG8AbABhAHQAaQBsAGUAUwBvAGwAaQBkAFAAcgBvAGQAdQBjAHQAaQBvAG4AXwBMAGEAdABlAHgARQBxAHUAYQB0AGkAbwBuAFwAbgAgACAAPQBMAEEATQBCAEQAQQAoAFwAIgBWAFMAXwB7AGoAawB9AD0ASQBfAHsAagBrAH0AXABcAHQAaQBtAGUAcwAgACgAMQAtAEQATQBEAF8AewBqAGsAfQApAFwAXAB0AGkAbQBlAHMAIAAoADEALQBBAF8AewBqAH0AKQBcACIAKQA7AFwAbgBcAG4AVgBFAEUAUgBHAF8ANABfADY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EAE0ARABfAGoAawBcACIALABcACIAZAByAHkAIABtAGEAdAB0AGUAcgAgAGQAaQBnAGUAcwB0AGkAYgBpAGwAaQB0AHkAIABmAG8AcgAgAGUAYQBjAGgAIABjAGwAYQBzAHMAIABhAG4AZAAgAHMAdQBiAGMAbABhAHMAcwBcACIALAAgAFwAIgBmAHIAYQBjAHQAaQBvAG4AXAAiACwAIABcACIASQBuAHAAdQB0AFwAIgA7AFwAbgAgACAAIAAgACAAIAAgACAAIAAgAFwAIgBBAF8AagBcACIALABcACIAYQBzAGgAIABjAG8AbgB0AGUAbgB0ACAAbwBmACAAbQBhAG4AdQByAGUAIABmAG8AcgAgAGUAYQBjAGgAIABjAGwAYQBzAHMAIABhAG4AZAAgAHMAdQBiAGMAbABhAHMAcwBcACIALAAgAFwAIgBmAHIAYQBjAHQAaQBvAG4AXAAiACwAIABcACIAQwBvAG4AcwB0AGEAbgB0AFwAIgBcAG4AIAAgACAAIAAgACAAIAAgAH0ALAAgAHIALAAgAGMAKQBcAG4AIAAgACAAIAAgACAAKQBcAG4AIAAgACAAIAApAFwAbgAgACAAKQA7AFwAbgAiAH0ALAB7ACIAcABhAHQAaAAiADoAIgAvAHAAcgBvAGoAZQBjAHQAcwAvAE0ATQBTAF8AUABvAHUAbAB0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xAF8ATQBhAHMAcwBPAGYATgBpAHQAcgBvAGcAZQBuAEEAcABwAGwAaQBlAGQAVABvAFMAbwBpAGwAcwBTAGMAbwBwAGUAMQ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FAARgBcAG4AIAAgACkAOwBcAG4AXABuAFYARQBFAFIARwBfADQAXwA2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gBfADEAXwA5AF8AXwAxAF8ATQBhAHMAcwBPAGYATgBpAHQAcgBvAGcAZQBuAEEAcABwAGwAaQBlAGQAVABvAFMAbwBpAGwAcwBTAGMAbwBwAGUAMQBfAFYAYQByAGkAYQBiAGwAZQBcAG4AIAAgAD0ATABBAE0AQgBEAEEAKABcACIATQBOAFMAbwBpAGwAXwBzAGMAbwBwAGUAMQBcACIAKQA7AFwAbgBcAG4AVgBFAEUAUgBHAF8ANABfADYAXwAxAF8AOQBfAF8AMQBfAE0AYQBzAHMATwBmAE4AaQB0AHIAbwBnAGUAbgBBAHAAcABsAGkAZQBkAFQAbwBTAG8AaQBsAHMAUwBjAG8AcABlADEAXwBVAG4AaQB0AFwAbgAgACAAPQBMAEEATQBCAEQAQQAoAFwAIgBrAGcAIABOAFwAIgApADsAXABuAFwAbgBWAEUARQBSAEcAXwA0AF8ANgBfADEAXwA5AF8AXwAxAF8ATQBhAHMAcwBPAGYATgBpAHQAcgBvAGcAZQBuAEEAcABwAGwAaQBlAGQAVABvAFMAbwBpAGwAcwBTAGMAbwBwAGUAMQBfAFMAbwB1AHIAYwBlAFwAbgAgACAAPQBMAEEATQBCAEQAQQAoAFwAIgBWAEUARQBSAEcAIAAyADAAMgA2ADoAIAA0AC4ANgAuADEALgA5ACwAIABFAHEAdQBhAHQAaQBvAG4AIAAoADEAKQBcACIAKQA7AFwAbgBcAG4AVgBFAEUAUgBHAF8ANABfADYAXwAxAF8AOQBfAF8AMQBfAE0AYQBzAHMATwBmAE4AaQB0AHIAbwBnAGUAbgBBAHAAcABsAGkAZQBkAFQAbwBTAG8AaQBsAHMAUwBjAG8AcABlADEAXwBOAEkAUgBSAGUAZgBlAHIAZQBuAGMAZQBcAG4AIAAgAD0ATABBAE0AQgBEAEEAKABcACIAXAAiACkAOwBcAG4AXABuAFYARQBFAFIARwBfADQAXwA2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IgApADsAXABuAFwAbgBWAEUARQBSAEcAXwA0AF8ANg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gBfAE0AYQBzAHMATwBmAE4AaQB0AHIAbwBnAGUAbgBBAHAAcABsAGkAZQBkAFQAbwBTAG8AaQBsAHMAUwBjAG8AcABlADM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AoADEAIAAtACAAUABGACkAXABuACAAIAApADsAXABuAFwAbgBWAEUARQBSAEcAXwA0AF8ANg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YAXwAxAF8AOQBfAF8AMgBfAE0AYQBzAHMATwBmAE4AaQB0AHIAbwBnAGUAbgBBAHAAcABsAGkAZQBkAFQAbwBTAG8AaQBsAHMAUwBjAG8AcABlADMAXwBWAGEAcgBpAGEAYgBsAGUAXABuACAAIAA9AEwAQQBNAEIARABBACgAXAAiAE0ATgBTAG8AaQBsAF8AcwBjAG8AcABlADMAXAAiACkAOwBcAG4AXABuAFYARQBFAFIARwBfADQAXwA2AF8AMQBfADkAXwBfADIAXwBNAGEAcwBzAE8AZgBOAGkAdAByAG8AZwBlAG4AQQBwAHAAbABpAGUAZABUAG8AUwBvAGkAbABzAFMAYwBvAHAAZQAzAF8AVQBuAGkAdABcAG4AIAAgAD0ATABBAE0AQgBEAEEAKABcACIAawBnACAATgBcACIAKQA7AFwAbgBcAG4AVgBFAEUAUgBHAF8ANABfADYAXwAxAF8AOQBfAF8AMgBfAE0AYQBzAHMATwBmAE4AaQB0AHIAbwBnAGUAbgBBAHAAcABsAGkAZQBkAFQAbwBTAG8AaQBsAHMAUwBjAG8AcABlADMAXwBTAG8AdQByAGMAZQBcAG4AIAAgAD0ATABBAE0AQgBEAEEAKABcACIAVgBFAEUAUgBHACAAMgAwADIANgA6ACAANAAuADYALgAxAC4AOQAsACAARQBxAHUAYQB0AGkAbwBuACAAKAAyACkAXAAiACkAOwBcAG4AXABuAFYARQBFAFIARwBfADQAXwA2AF8AMQBfADkAXwBfADIAXwBNAGEAcwBzAE8AZgBOAGkAdAByAG8AZwBlAG4AQQBwAHAAbABpAGUAZABUAG8AUwBvAGkAbABzAFMAYwBvAHAAZQAzAF8ATgBJAFIAUgBlAGYAZQByAGUAbgBjAGUAXABuACAAIAA9AEwAQQBNAEIARABBACgAXAAiAFwAIgApADsAXABuAFwAbgBWAEUARQBSAEcAXwA0AF8ANg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CIAKQA7AFwAbgBcAG4AVgBFAEUAUgBHAF8ANABfADY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QAG8AdQBsAHQ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AAIABNAGUAdABoAG8AZAAgADEAIAAtACAAUwBvAGkAbA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wAF8AXwAxAF8ARABpAHIAZQBjAHQATgBpAHQAcgBvAHUAcwBPAHgAaQBkAGUARQBtAGkAcwBzAGkAbwBuAHMARgByAG8AbQBQAG8AdQBsAHQAcgB5AE0AYQBuAHUAcgBlAFwAbgBEAGkAcgBlAGMAdAAgAG4AaQB0AHIAbwB1AHMAIABvAHgAaQBkAGUAIABlAG0AaQBzAHMAaQBvAG4AcwAgAGYAcgBvAG0AIABwAG8AdQBsAHQAcgB5ACAAbQBhAG4AdQByAGUAIABvAG4AIABwAGEAcwB0AHUAcgBlAFwAbgBFAE0AXwBOADIATwBQAFIAUABkAGkAcgBcAG4AdAAgAE4AMgBPAFwAbgBFAE0AXwB7AE4AMgBPACwAUABSAFAALABkAGkAcgB9AD0AXABcAHMAdQBtAF8AewBqAH0AXABcAHMAdQBtAF8AewBrAH0AKABNAE4AXwB7AGoAawBtAD0AMQA0ACwAVAA9ADEAfQBcAFwAdABpAG0AZQBzACAARQBGAF8AewBQAFIAUAB9AFwAXAB0AGkAbQBlAHMAIABDAF8AewBOADIATwB9ACkAXABcAHQAaQBtAGUAcwAgADEAMABeAHsALQAzAH0AXABuAE0ATgBfAGoAawBtADEANABUADEAIAA9ACAAbQBhAHMAcwAgAG8AZgAgAG4AaQB0AHIAbwBnAGUAbgAgAGUAeABjAHIAZQB0AGUAZAAgAGQAaQByAGUAYwB0AGwAeQAgAG8AbgAgAHAAYQBzAHQAdQByAGUAIABiAHkAIABwAG8AdQBsAHQAcgB5ACAAYwBsAGEAcwBzACAAYQBuAGQAIABzAHUAYgBjAGwAYQBzAHMAIAAoAGsAZwAgAE4AKQBcAG4ARQBGAF8AUABSAFAAIAA9ACAAbgBpAHQAcgBvAHUAcwAgAG8AeABpAGQAZQAgAGUAbQBpAHMAcwBpAG8AbgAgAGYAYQBjAHQAbwByACAAZgBvAHIAIABtAGEAbgB1AHIAZQAgAGQAZQBwAG8AcwBpAHQAZQBkACAAbwBuACAAcABhAHMAdAB1AHIAZQ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AAXwBfADEAXwBEAGkAcgBlAGMAdABOAGkAdAByAG8AdQBzAE8AeABpAGQAZQBFAG0AaQBzAHMAaQBvAG4AcwBGAHIAbwBtAFAAbwB1AGwAdAByAHkATQBhAG4AdQByAGUAXABuACAAIAA9AEwAQQBNAEIARABBACgAXABuACAAIAAgACAATQBOAF8AagBrAG0AMQA0AFQAMQAsACAARQBGAF8AUABSAFAALAAgAEMAXwBOADIATwAsAFwAbgAgACAAIAAgAE0ATgBfAGoAawBtADEANABUADEAIAAqACAARQBGAF8AUABSAFAAIAAqACAAQwBfAE4AMgBPACAAKgAgADEAMAAgAF4AIAAtADMAXABuACAAIAApADsAXABuAFwAbgBWAEUARQBSAEcAXwA0AF8ANgBfADEAXwAxADAAXwBfADEAXwBEAGkAcgBlAGMAdABOAGkAdAByAG8AdQBzAE8AeABpAGQAZQBFAG0AaQBzAHMAaQBvAG4AcwBGAHIAbwBtAFAAbwB1AGwAdAByAHkATQBhAG4AdQByAGUAXwBUAGkAdABsAGUAXABuACAAIAA9AEwAQQBNAEIARABBACgAXAAiAEQAaQByAGUAYwB0ACAAbgBpAHQAcgBvAHUAcwAgAG8AeABpAGQAZQAgAGUAbQBpAHMAcwBpAG8AbgBzACAAZgByAG8AbQAgAHAAbwB1AGwAdAByAHkAIABtAGEAbgB1AHIAZQAgAG8AbgAgAHAAYQBzAHQAdQByAGUAXAAiACkAOwBcAG4AXABuAFYARQBFAFIARwBfADQAXwA2AF8AMQBfADEAMABfAF8AMQBfAEQAaQByAGUAYwB0AE4AaQB0AHIAbwB1AHMATwB4AGkAZABlAEUAbQBpAHMAcwBpAG8AbgBzAEYAcgBvAG0AUABvAHUAbAB0AHIAeQBNAGEAbgB1AHIAZQBfAFYAYQByAGkAYQBiAGwAZQBcAG4AIAAgAD0ATABBAE0AQgBEAEEAKABcACIARQBNAF8ATgAyAE8AUABSAFAAZABpAHIAXAAiACkAOwBcAG4AXABuAFYARQBFAFIARwBfADQAXwA2AF8AMQBfADEAMABfAF8AMQBfAEQAaQByAGUAYwB0AE4AaQB0AHIAbwB1AHMATwB4AGkAZABlAEUAbQBpAHMAcwBpAG8AbgBzAEYAcgBvAG0AUABvAHUAbAB0AHIAeQBNAGEAbgB1AHIAZQBfAFUAbgBpAHQAXABuACAAIAA9AEwAQQBNAEIARABBACgAXAAiAHQAIABOADIATwBcACIAKQA7AFwAbgBcAG4AVgBFAEUAUgBHAF8ANABfADYAXwAxAF8AMQAwAF8AXwAxAF8ARABpAHIAZQBjAHQATgBpAHQAcgBvAHUAcwBPAHgAaQBkAGUARQBtAGkAcwBzAGkAbwBuAHMARgByAG8AbQBQAG8AdQBsAHQAcgB5AE0AYQBuAHUAcgBlAF8AUwBvAHUAcgBjAGUAXABuACAAIAA9AEwAQQBNAEIARABBACgAXAAiAFYARQBFAFIARwAgADIAMAAyADYAOgAgADQALgA2AC4AMQAuADEAMAAsACAARQBxAHUAYQB0AGkAbwBuACAAKAAxACkAXAAiACkAOwBcAG4AXABuAFYARQBFAFIARwBfADQAXwA2AF8AMQBfADEAMABfAF8AMQBfAEQAaQByAGUAYwB0AE4AaQB0AHIAbwB1AHMATwB4AGkAZABlAEUAbQBpAHMAcwBpAG8AbgBzAEYAcgBvAG0AUABvAHUAbAB0AHIAeQBNAGEAbgB1AHIAZQBfAE4ASQBSAFIAZQBmAGUAcgBlAG4AYwBlAFwAbgAgACAAPQBMAEEATQBCAEQAQQAoAFwAIgBcACIAKQA7AFwAbgBcAG4AVgBFAEUAUgBHAF8ANABfADYAXwAxAF8AMQAwAF8AXwAxAF8ARABpAHIAZQBjAHQATgBpAHQAcgBvAHUAcwBPAHgAaQBkAGUARQBtAGkAcwBzAGkAbwBuAHMARgByAG8AbQBQAG8AdQBsAHQAcgB5AE0AYQBuAHUAcgBlAF8ATABhAHQAZQB4AEUAcQB1AGEAdABpAG8AbgBcAG4AIAAgAD0ATABBAE0AQgBEAEEAKABcACIARQBNAF8AewBOADIATwAsAFAAUgBQACwAZABpAHIAfQA9AFwAXABzAHUAbQBfAHsAagB9AFwAXABzAHUAbQBfAHsAawB9ACgATQBOAF8AewBqAGsAbQA9ADEANAAsAFQAPQAxAH0AXABcAHQAaQBtAGUAcwAgAEUARgBfAHsAUABSAFAAfQBcAFwAdABpAG0AZQBzACAAQwBfAHsATgAyAE8AfQApAFwAXAB0AGkAbQBlAHMAIAAxADAAXgB7AC0AMwB9AFwAIgApADsAXABuAFwAbgBWAEUARQBSAEcAXwA0AF8ANgBfADEAXwAxADAAXwBfADEAXwBEAGkAcgBlAGMAdABOAGkAdAByAG8AdQBzAE8AeABpAGQAZQBFAG0AaQBzAHMAaQBvAG4AcwBGAHIAbwBtAFAAbwB1AGwAdAByAHkATQBhAG4AdQByAGUAXwBBAHIAZwB1AG0AZQBuAHQAcwBcAG4AIAAgAD0ATABBAE0AQgBEAEEAKABcAG4AIAAgACAAIABNAEEASwBFAEEAUgBSAEEAWQAoADM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FAEYAXwBQAFIAUABcACIALAAgAFwAIgBuAGkAdAByAG8AdQBzACAAbwB4AGkAZABlACAAZQBtAGkAcwBzAGkAbwBuACAAZgBhAGMAdABvAHIAIABmAG8AcgAgAG0AYQBuAHUAcgBlACAAZABlAHAAbwBzAGkAdABlAGQAIABvAG4AIABwAGEAcwB0AHUAcgBl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AiAH0ALAB7ACIAcABhAHQAaAAiADoAIgAvAHAAcgBvAGoAZQBjAHQAcwAvAE0ATQBTAF8AUABvAHUAbAB0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yACAATQBlAHQAaABvAGQAIAAxACAALQAgAFMAbwBpAGwAIABBAHQAbQBvAHMAcABoAGUAcgBpAGMAIABEAGUAcABvAHMAaQB0AGkAbwBu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yAF8AXwAxAF8AQQB0AG0AbwBzAHAAaABlAHIAaQBjAEQAZQBwAG8AcwBpAHQAaQBvAG4ARQBtAGkAcwBzAGkAbwBuAHMARgByAG8AbQBQAG8AdQBsAHQAcgB5AE0AYQBuAHUAcgBlAE8AbgBQAGEAcwB0AHUAcgBlAFwAbgBBAHQAbQBvAHMAcABoAGUAcgBpAGMAIABkAGUAcABvAHMAaQB0AGkAbwBuACAAZQBtAGkAcwBzAGkAbwBuAHMAIABmAHIAbwBtACAAcABvAHUAbAB0AHIAeQAgAG0AYQBuAHUAcgBl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G0AYQBuAHUAcgBl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IAXwBfADEAXwBBAHQAbQBvAHMAcABoAGUAcgBpAGMARABlAHAAbwBzAGkAdABpAG8AbgBFAG0AaQBzAHMAaQBvAG4AcwBGAHIAbwBtAFAAbwB1AGwAdAByAHkATQBhAG4AdQByAGU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2AF8AMQBfADEAMgBfAF8AMQBfAEEAdABtAG8AcwBwAGgAZQByAGkAYwBEAGUAcABvAHMAaQB0AGkAbwBuAEUAbQBpAHMAcwBpAG8AbgBzAEYAcgBvAG0AUABvAHUAbAB0AHIAeQBNAGEAbgB1AHIAZQBPAG4AUABhAHMAdAB1AHIAZQBfAFQAaQB0AGwAZQBcAG4AIAAgAD0ATABBAE0AQgBEAEEAKABcACIAQQB0AG0AbwBzAHAAaABlAHIAaQBjACAAZABlAHAAbwBzAGkAdABpAG8AbgAgAGUAbQBpAHMAcwBpAG8AbgBzACAAZgByAG8AbQAgAHAAbwB1AGwAdAByAHkAIABtAGEAbgB1AHIAZQAgAGQAZQBwAG8AcwBpAHQAZQBkACAAbwBuACAAcABhAHMAdAB1AHIAZQBcACIAKQA7AFwAbgBcAG4AVgBFAEUAUgBHAF8ANABfADYAXwAxAF8AMQAyAF8AXwAxAF8AQQB0AG0AbwBzAHAAaABlAHIAaQBjAEQAZQBwAG8AcwBpAHQAaQBvAG4ARQBtAGkAcwBzAGkAbwBuAHMARgByAG8AbQBQAG8AdQBsAHQAcgB5AE0AYQBuAHUAcgBlAE8AbgBQAGEAcwB0AHUAcgBlAF8AVgBhAHIAaQBhAGIAbABlAFwAbgAgACAAPQBMAEEATQBCAEQAQQAoAFwAIgBFAF8ATgAyAE8AYQBkAFwAIgApADsAXABuAFwAbgBWAEUARQBSAEcAXwA0AF8ANgBfADEAXwAxADIAXwBfADEAXwBBAHQAbQBvAHMAcABoAGUAcgBpAGMARABlAHAAbwBzAGkAdABpAG8AbgBFAG0AaQBzAHMAaQBvAG4AcwBGAHIAbwBtAFAAbwB1AGwAdAByAHkATQBhAG4AdQByAGUATwBuAFAAYQBzAHQAdQByAGUAXwBVAG4AaQB0AFwAbgAgACAAPQBMAEEATQBCAEQAQQAoAFwAIgB0ACAATgAyAE8AXAAiACkAOwBcAG4AXABuAFYARQBFAFIARwBfADQAXwA2AF8AMQBfADEAMgBfAF8AMQBfAEEAdABtAG8AcwBwAGgAZQByAGkAYwBEAGUAcABvAHMAaQB0AGkAbwBuAEUAbQBpAHMAcwBpAG8AbgBzAEYAcgBvAG0AUABvAHUAbAB0AHIAeQBNAGEAbgB1AHIAZQBPAG4AUABhAHMAdAB1AHIAZQBfAFMAbwB1AHIAYwBlAFwAbgAgACAAPQBMAEEATQBCAEQAQQAoAFwAIgBWAEUARQBSAEcAIAAyADAAMgA2ADoAIAA0AC4ANgAuADEALgAxADIALAAgAEUAcQB1AGEAdABpAG8AbgAgACgAMQApAFwAIgApADsAXABuAFwAbgBWAEUARQBSAEcAXwA0AF8ANgBfADEAXwAxADIAXwBfADEAXwBBAHQAbQBvAHMAcABoAGUAcgBpAGMARABlAHAAbwBzAGkAdABpAG8AbgBFAG0AaQBzAHMAaQBvAG4AcwBGAHIAbwBtAFAAbwB1AGwAdAByAHkATQBhAG4AdQByAGUATwBuAFAAYQBzAHQAdQByAGUAXwBOAEkAUgBSAGUAZgBlAHIAZQBuAGMAZQBcAG4AIAAgAD0ATABBAE0AQgBEAEEAKABcACIAXAAiACkAOwBcAG4AXABuAFYARQBFAFIARwBfADQAXwA2AF8AMQBfADEAMgBfAF8AMQBfAEEAdABtAG8AcwBwAGgAZQByAGkAYwBEAGUAcABvAHMAaQB0AGkAbwBuAEUAbQBpAHMAcwBpAG8AbgBzAEYAcgBvAG0AUABvAHUAbAB0AHIAeQBNAGEAbgB1AHIAZQ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NgBfADEAXwAxADIAXwBfADEAXwBBAHQAbQBvAHMAcABoAGUAcgBpAGMARABlAHAAbwBzAGkAdABpAG8AbgBFAG0AaQBzAHMAaQBvAG4Acw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tAGEAbgB1AHIAZQAgAGQAZQBwAG8AcwBpAHQAZQBkACAAbwBuACAAcABhAHMAdAB1AHIAZQBcACIALABcACIAawBnACAATgBcACIALAAgAFwAIgBDAGEAbABjAHUAbABhAHQAZQBkACAAZgByAG8AbQAgADQALgA2AC4AMQAuADEAMgAgACgAMgApAFwAIgA7AFwAbgAgACAAIAAgACAAIAAgACAAIAAgAFwAIgBFAEYAXwBOADIATwBcACIALAAgAFwAIgBlAG0AaQBzAHMAaQBvAG4AIABmAGEAYwB0AG8AcgAgAGYAbwByACAAYQB0AG0AbwBzAHAAaABlAHIAaQBjACAAZABlAHAAbwBzAGkAdABpAG8Ab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HAEEAUwBNAHMAbwBpAGwAXAAiACwAIABcACIAZgByAGEAYwB0AGkAbwBuACAAbwBmACAAbgBpAHQAcgBvAGcAZQBuACAAdgBvAGwAYQB0AGkAbABpAHMAZQBkACAAZgByAG8AbQAgAG0AYQBuAHUAcgBl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UwBvAGkAbA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0ACAATQBlAHQAaABvAGQAIAAxACAALQAgAFMAbwBpAGwAIABMAGUAYQBjAGgAaQBuAGcAIABB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0AF8AXwAxAF8ATABlAGEAYwBoAGkAbgBnAEEAbgBkAFIAdQBuAG8AZgBmAEUAbQBpAHMAcwBpAG8AbgBzAEYAcgBvAG0AUABvAHUAbAB0AHIAeQBNAGEAbgB1AHIAZQBPAG4AUABhAHMAdAB1AHIAZQBcAG4ATABlAGEAYwBoAGkAbgBnACAAYQBuAGQAIAByAHUAbgBvAGYAZgAgAGUAbQBpAHMAcwBpAG8AbgBzACAAZgByAG8AbQAgAHAAbwB1AGwAdAByAHkAIABtAGEAbgB1AHIAZQ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AAbwB1AGwAdAByAHkAIABtAGEAbgB1AHIAZQAgAGQAZQBwAG8AcwBpAHQAZQBkACAAbwBuACAAcABhAHMAdAB1AHIAZQ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NABfAF8AMQBfAEwAZQBhAGMAaABpAG4AZwBBAG4AZABSAHUAbgBvAGYAZgBFAG0AaQBzAHMAaQBvAG4AcwBGAHIAbwBtAFAAbwB1AGwAdAByAHkATQBhAG4AdQByAGU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NgBfADEAXwAxADQAXwBfADEAXwBMAGUAYQBjAGgAaQBuAGcAQQBuAGQAUgB1AG4AbwBmAGYARQBtAGkAcwBzAGkAbwBuAHMARgByAG8AbQBQAG8AdQBsAHQAcgB5AE0AYQBuAHUAcgBlAE8AbgBQAGEAcwB0AHUAcgBlAF8AVABpAHQAbABlAFwAbgAgACAAPQBMAEEATQBCAEQAQQAoAFwAIgBMAGUAYQBjAGgAaQBuAGcAIABhAG4AZAAgAHIAdQBuAG8AZgBmACAAZQBtAGkAcwBzAGkAbwBuAHMAIABmAHIAbwBtACAAcABvAHUAbAB0AHIAeQAgAG0AYQBuAHUAcgBlACAAZABlAHAAbwBzAGkAdABlAGQAIABvAG4AIABwAGEAcwB0AHUAcgBlAFwAIgApADsAXABuAFwAbgBWAEUARQBSAEcAXwA0AF8ANgBfADEAXwAxADQAXwBfADEAXwBMAGUAYQBjAGgAaQBuAGcAQQBuAGQAUgB1AG4AbwBmAGYARQBtAGkAcwBzAGkAbwBuAHMARgByAG8AbQBQAG8AdQBsAHQAcgB5AE0AYQBuAHUAcgBlAE8AbgBQAGEAcwB0AHUAcgBlAF8AVgBhAHIAaQBhAGIAbABlAFwAbgAgACAAPQBMAEEATQBCAEQAQQAoAFwAIgBFAF8ATgAyAE8AbABlAGEAYwBoAFwAIgApADsAXABuAFwAbgBWAEUARQBSAEcAXwA0AF8ANgBfADEAXwAxADQAXwBfADEAXwBMAGUAYQBjAGgAaQBuAGcAQQBuAGQAUgB1AG4AbwBmAGYARQBtAGkAcwBzAGkAbwBuAHMARgByAG8AbQBQAG8AdQBsAHQAcgB5AE0AYQBuAHUAcgBlAE8AbgBQAGEAcwB0AHUAcgBlAF8AVQBuAGkAdABcAG4AIAAgAD0ATABBAE0AQgBEAEEAKABcACIAdAAgAE4AMgBPAFwAIgApADsAXABuAFwAbgBWAEUARQBSAEcAXwA0AF8ANgBfADEAXwAxADQAXwBfADEAXwBMAGUAYQBjAGgAaQBuAGcAQQBuAGQAUgB1AG4AbwBmAGYARQBtAGkAcwBzAGkAbwBuAHMARgByAG8AbQBQAG8AdQBsAHQAcgB5AE0AYQBuAHUAcgBlAE8AbgBQAGEAcwB0AHUAcgBlAF8AUwBvAHUAcgBjAGUAXABuACAAIAA9AEwAQQBNAEIARABBACgAXAAiAFYARQBFAFIARwAgADIAMAAyADYAOgAgADQALgA2AC4AMQAuADEANAAsACAARQBxAHUAYQB0AGkAbwBuACAAKAAxACkAXAAiACkAOwBcAG4AXABuAFYARQBFAFIARwBfADQAXwA2AF8AMQBfADEANABfAF8AMQBfAEwAZQBhAGMAaABpAG4AZwBBAG4AZABSAHUAbgBvAGYAZgBFAG0AaQBzAHMAaQBvAG4AcwBGAHIAbwBtAFAAbwB1AGwAdAByAHkATQBhAG4AdQByAGUATwBuAFAAYQBzAHQAdQByAGUAXwBOAEkAUgBSAGUAZgBlAHIAZQBuAGMAZQBcAG4AIAAgAD0ATABBAE0AQgBEAEEAKABcACIAXAAiACkAOwBcAG4AXABuAFYARQBFAFIARwBfADQAXwA2AF8AMQBfADEANABfAF8AMQBfAEwAZQBhAGMAaABpAG4AZwBBAG4AZABSAHUAbgBvAGYAZgBFAG0AaQBzAHMAaQBvAG4AcwBGAHIAbwBtAFAAbwB1AGwAdAByAHkATQBhAG4AdQByAGU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NgBfADEAXwAxADQAXwBfADEAXwBMAGUAYQBjAGgAaQBuAGcAQQBuAGQAUgB1AG4AbwBmAGYARQBtAGkAcwBzAGkAbwBuAHMARgByAG8AbQBQAG8AdQBsAHQAcgB5AE0AYQBuAHUAcgBl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cABvAHUAbAB0AHIAeQAgAG0AYQBuAHUAcgBlACAAZABlAHAAbwBzAGkAdABlAGQAIABvAG4AIABwAGEAcwB0AHUAcgBlAFwAIgAsAFwAIgBrAGcAIABOAFwAIgAsACAAXAAiAEMAYQBsAGMAdQBsAGEAdABlAGQAIABmAHIAbwBtACAANAAuADYALgAxAC4AMQA0ACAAKAAyACkAXAAiADsAXABuACAAIAAgACAAIAAgACAAIAAgACAAXAAiAEUARgBfAGwAZQBhAGMAaABcACIALAAgAFwAIgBlAG0AaQBzAHMAaQBvAG4AIABmAGEAYwB0AG8AcgAgAGYAbwByACAAbABlAGEAYwBoAGkAbgBnACAAYQBuAGQAIAByAHUAbgBvAGYAZ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yAF8AUwB0AGEAZwBlADEATQBlAHQAaABhAG4AZQBQAHIAbwBkAHUAYwB0AGkAbwBuAF8AQQByAGcAdQBtAGUAbgB0AHMAXwBNAGUAdABoAG8AZAAyACIALAAiAE0ATQBTAF8AUABvAHUAbAB0AHIAeQBfAE0AZQB0AGgAYQBuAGUAXwBFAHEAdQBhAHQAaQBvAG4AcwAuAFYARQBFAFIARwBfADQAXwA2AF8AMQBfADEAXwBfADIAXwBTAHQAYQBnAGUAMQBNAGUAdABoAGEAbgBlAFAAcgBvAGQAdQBjAHQAaQBvAG4AXwBWAGEAcgBpAGEAdABpAG8Abg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zAF8AUwB0AGEAZwBlADIATQBlAHQAaABhAG4AZQBQAHIAbwBkAHUAYwB0AGkAbwBuAF8AQQByAGcAdQBtAGUAbgB0AHMAXwBNAGUAdABoAG8AZAAyACIALAAiAE0ATQBTAF8AUABvAHUAbAB0AHIAeQBfAE0AZQB0AGgAYQBuAGUAXwBFAHEAdQBhAHQAaQBvAG4AcwAuAFYARQBFAFIARwBfADQAXwA2AF8AMQBfADEAXwBfADMAXwBTAHQAYQBnAGUAMgBNAGUAdABoAGEAbgBlAFAAcgBvAGQAdQBjAHQAaQBvAG4AXwBWAGEAcgBpAGEAdABpAG8Abg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123</vt:i4>
      </vt:variant>
    </vt:vector>
  </HeadingPairs>
  <TitlesOfParts>
    <vt:vector size="139"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M1_Table_AE_j_k</vt:lpstr>
      <vt:lpstr>M1_Table_CP_j_k</vt:lpstr>
      <vt:lpstr>M1_Table_DMD_j_k</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Table_A_j</vt:lpstr>
      <vt:lpstr>Table_B_0_j</vt:lpstr>
      <vt:lpstr>Table_D_j_k</vt:lpstr>
      <vt:lpstr>Table_D_j_k_Consumer_1</vt:lpstr>
      <vt:lpstr>Table_EF_m</vt:lpstr>
      <vt:lpstr>Table_EF_m_Consumer_1</vt:lpstr>
      <vt:lpstr>Table_FracGASM_m_T</vt:lpstr>
      <vt:lpstr>Table_FracGASM_m_T_Consumer_1</vt:lpstr>
      <vt:lpstr>Table_FracGASM_m_T1</vt:lpstr>
      <vt:lpstr>Table_MMS_j_m_T1</vt:lpstr>
      <vt:lpstr>Table_MMS_j_m_T1_Consumer_1</vt:lpstr>
      <vt:lpstr>Table_MMS_j_m_T2</vt:lpstr>
      <vt:lpstr>Table_MMS_j_m_T2_Consumer_1</vt:lpstr>
      <vt:lpstr>Table_N_j_k</vt:lpstr>
      <vt:lpstr>Table_N_j_k_Consumer_1</vt:lpstr>
      <vt:lpstr>Table_NR_j_k</vt:lpstr>
      <vt:lpstr>Table_PF</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X_Cell_Dairy_ManureAppliedIrrigationMethod</vt:lpstr>
      <vt:lpstr>X_Cell_Dairy_ManureAppliedProductionSystem</vt:lpstr>
      <vt:lpstr>X_Cell_Poultry_ProductionSystem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