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9297710D-CBA7-4A43-A6C8-494BE58D6622}"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7"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1_1_1_1__1_MethaneEmissionsFromWastewaterTreatment_Result_Method1">'11.1.1-2 Wastewater CH4'!$E$30</definedName>
    <definedName name="VEERG_11_1_3_1__1_NitrousOxideEmissionsFromFlaredBiogas_Result_Method1">'11.1.3-4 Wastewater N2O'!$E$17</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 name="X_Cell_Wastewater_FractionCODRemovedAndTransferred">'Input - Wastewater'!$F$16</definedName>
    <definedName name="X_Cell_Wastewater_FractionCODRemovedAsSludge">'Input - Wastewater'!$F$15</definedName>
    <definedName name="X_Cell_Wastewater_InletCOD">'Input - Wastewater'!$F$14</definedName>
    <definedName name="X_Cell_Wastewater_OutletCOD">'Input - Wastewater'!$F$17</definedName>
    <definedName name="X_Cell_Wastewater_QuantityInM3">'Input - Wastewater'!$F$8</definedName>
    <definedName name="X_Cell_Wastewater_SludgeMethaneCapturedForCombustion">'Input - Wastewater'!$F$24</definedName>
    <definedName name="X_Cell_Wastewater_SludgeMethaneFlared">'Input - Wastewater'!$F$25</definedName>
    <definedName name="X_Cell_Wastewater_SludgeMethaneTransferred">'Input - Wastewater'!$F$26</definedName>
    <definedName name="X_Cell_Wastewater_TreatmentFacilityType">'Input - Wastewater'!$F$7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127" l="1"/>
  <c r="A18" i="127"/>
  <c r="A14" i="127"/>
  <c r="A13" i="127"/>
  <c r="A9" i="127"/>
  <c r="A5" i="127"/>
  <c r="A4" i="127"/>
  <c r="A3" i="127"/>
  <c r="A19" i="110"/>
  <c r="A18" i="110"/>
  <c r="A14" i="110"/>
  <c r="A13" i="110"/>
  <c r="A9" i="110"/>
  <c r="A5" i="110"/>
  <c r="A4" i="110"/>
  <c r="A3" i="110"/>
  <c r="A19" i="120"/>
  <c r="A18" i="120"/>
  <c r="A14" i="120"/>
  <c r="A13" i="120"/>
  <c r="A9" i="120"/>
  <c r="A5" i="120"/>
  <c r="A4" i="120"/>
  <c r="A3" i="120"/>
  <c r="A19" i="69"/>
  <c r="A18" i="69"/>
  <c r="A14" i="69"/>
  <c r="A13" i="69"/>
  <c r="A9" i="69"/>
  <c r="A5" i="69"/>
  <c r="A4" i="69"/>
  <c r="A3" i="69"/>
  <c r="A19" i="70"/>
  <c r="A18" i="70"/>
  <c r="A14" i="70"/>
  <c r="A13" i="70"/>
  <c r="A9" i="70"/>
  <c r="A5" i="70"/>
  <c r="A4" i="70"/>
  <c r="A3" i="70"/>
  <c r="A19" i="13"/>
  <c r="A18" i="13"/>
  <c r="A14" i="13"/>
  <c r="A13" i="13"/>
  <c r="A9" i="13"/>
  <c r="A5" i="13"/>
  <c r="A4" i="13"/>
  <c r="A3" i="13"/>
  <c r="A19" i="118"/>
  <c r="A18" i="118"/>
  <c r="A14" i="118"/>
  <c r="A13" i="118"/>
  <c r="A9" i="118"/>
  <c r="A5" i="118"/>
  <c r="A4" i="118"/>
  <c r="A3" i="118"/>
  <c r="A19" i="71"/>
  <c r="A18" i="71"/>
  <c r="A14" i="71"/>
  <c r="A13" i="71"/>
  <c r="A9" i="71"/>
  <c r="A5" i="71"/>
  <c r="A4" i="71"/>
  <c r="A3" i="71"/>
  <c r="E259" i="127" a="1"/>
  <c r="E259" i="127" s="1"/>
  <c r="D259" i="127" a="1"/>
  <c r="D259" i="127" s="1"/>
  <c r="E258" i="127" a="1"/>
  <c r="E258" i="127" s="1"/>
  <c r="D258" i="127" a="1"/>
  <c r="D258" i="127" s="1"/>
  <c r="D256" i="127" a="1"/>
  <c r="D256" i="127" s="1"/>
  <c r="D255" i="127" a="1"/>
  <c r="D255" i="127" s="1"/>
  <c r="D254" i="127" a="1"/>
  <c r="D254" i="127" s="1"/>
  <c r="D253" i="127" a="1"/>
  <c r="D253" i="127" s="1"/>
  <c r="S250" i="127" a="1"/>
  <c r="S250" i="127" s="1"/>
  <c r="R250" i="127" a="1"/>
  <c r="R250" i="127" s="1"/>
  <c r="Q250" i="127" a="1"/>
  <c r="Q250" i="127" s="1"/>
  <c r="P250" i="127" a="1"/>
  <c r="P250" i="127" s="1"/>
  <c r="O250" i="127" a="1"/>
  <c r="O250" i="127" s="1"/>
  <c r="N250" i="127" a="1"/>
  <c r="N250" i="127" s="1"/>
  <c r="M250" i="127" a="1"/>
  <c r="M250" i="127" s="1"/>
  <c r="L250" i="127" a="1"/>
  <c r="L250" i="127" s="1"/>
  <c r="K250" i="127" a="1"/>
  <c r="K250" i="127" s="1"/>
  <c r="J250" i="127" a="1"/>
  <c r="J250" i="127" s="1"/>
  <c r="I250" i="127" a="1"/>
  <c r="I250" i="127" s="1"/>
  <c r="H250" i="127" a="1"/>
  <c r="H250" i="127" s="1"/>
  <c r="G250" i="127" a="1"/>
  <c r="G250" i="127" s="1"/>
  <c r="F250" i="127" a="1"/>
  <c r="F250" i="127" s="1"/>
  <c r="E250" i="127" a="1"/>
  <c r="E250" i="127" s="1"/>
  <c r="D250" i="127" a="1"/>
  <c r="D250" i="127" s="1"/>
  <c r="S249" i="127" a="1"/>
  <c r="S249" i="127" s="1"/>
  <c r="R249" i="127" a="1"/>
  <c r="R249" i="127" s="1"/>
  <c r="Q249" i="127" a="1"/>
  <c r="Q249" i="127" s="1"/>
  <c r="P249" i="127" a="1"/>
  <c r="P249" i="127" s="1"/>
  <c r="O249" i="127" a="1"/>
  <c r="O249" i="127" s="1"/>
  <c r="N249" i="127" a="1"/>
  <c r="N249" i="127" s="1"/>
  <c r="M249" i="127" a="1"/>
  <c r="M249" i="127" s="1"/>
  <c r="L249" i="127" a="1"/>
  <c r="L249" i="127" s="1"/>
  <c r="K249" i="127" a="1"/>
  <c r="K249" i="127" s="1"/>
  <c r="J249" i="127" a="1"/>
  <c r="J249" i="127" s="1"/>
  <c r="I249" i="127" a="1"/>
  <c r="I249" i="127" s="1"/>
  <c r="H249" i="127" a="1"/>
  <c r="H249" i="127" s="1"/>
  <c r="G249" i="127" a="1"/>
  <c r="G249" i="127" s="1"/>
  <c r="F249" i="127" a="1"/>
  <c r="F249" i="127" s="1"/>
  <c r="E249" i="127" a="1"/>
  <c r="E249" i="127" s="1"/>
  <c r="D249" i="127" a="1"/>
  <c r="D249" i="127" s="1"/>
  <c r="S248" i="127" a="1"/>
  <c r="S248" i="127" s="1"/>
  <c r="R248" i="127" a="1"/>
  <c r="R248" i="127" s="1"/>
  <c r="Q248" i="127" a="1"/>
  <c r="Q248" i="127" s="1"/>
  <c r="P248" i="127" a="1"/>
  <c r="P248" i="127" s="1"/>
  <c r="O248" i="127" a="1"/>
  <c r="O248" i="127" s="1"/>
  <c r="N248" i="127" a="1"/>
  <c r="N248" i="127" s="1"/>
  <c r="M248" i="127" a="1"/>
  <c r="M248" i="127" s="1"/>
  <c r="L248" i="127" a="1"/>
  <c r="L248" i="127" s="1"/>
  <c r="K248" i="127" a="1"/>
  <c r="K248" i="127" s="1"/>
  <c r="J248" i="127" a="1"/>
  <c r="J248" i="127" s="1"/>
  <c r="I248" i="127" a="1"/>
  <c r="I248" i="127" s="1"/>
  <c r="H248" i="127" a="1"/>
  <c r="H248" i="127" s="1"/>
  <c r="G248" i="127" a="1"/>
  <c r="G248" i="127" s="1"/>
  <c r="F248" i="127" a="1"/>
  <c r="F248" i="127" s="1"/>
  <c r="E248" i="127" a="1"/>
  <c r="E248" i="127" s="1"/>
  <c r="D248" i="127" a="1"/>
  <c r="D248" i="127" s="1"/>
  <c r="S247" i="127" a="1"/>
  <c r="S247" i="127" s="1"/>
  <c r="R247" i="127" a="1"/>
  <c r="R247" i="127" s="1"/>
  <c r="Q247" i="127" a="1"/>
  <c r="Q247" i="127" s="1"/>
  <c r="P247" i="127" a="1"/>
  <c r="P247" i="127" s="1"/>
  <c r="O247" i="127" a="1"/>
  <c r="O247" i="127" s="1"/>
  <c r="N247" i="127" a="1"/>
  <c r="N247" i="127" s="1"/>
  <c r="M247" i="127" a="1"/>
  <c r="M247" i="127" s="1"/>
  <c r="L247" i="127" a="1"/>
  <c r="L247" i="127" s="1"/>
  <c r="K247" i="127" a="1"/>
  <c r="K247" i="127" s="1"/>
  <c r="J247" i="127" a="1"/>
  <c r="J247" i="127" s="1"/>
  <c r="I247" i="127" a="1"/>
  <c r="I247" i="127" s="1"/>
  <c r="H247" i="127" a="1"/>
  <c r="H247" i="127" s="1"/>
  <c r="G247" i="127" a="1"/>
  <c r="G247" i="127" s="1"/>
  <c r="F247" i="127" a="1"/>
  <c r="F247" i="127" s="1"/>
  <c r="E247" i="127" a="1"/>
  <c r="E247" i="127" s="1"/>
  <c r="D247" i="127" a="1"/>
  <c r="D247" i="127" s="1"/>
  <c r="S246" i="127" a="1"/>
  <c r="S246" i="127" s="1"/>
  <c r="R246" i="127" a="1"/>
  <c r="R246" i="127" s="1"/>
  <c r="Q246" i="127" a="1"/>
  <c r="Q246" i="127" s="1"/>
  <c r="P246" i="127" a="1"/>
  <c r="P246" i="127" s="1"/>
  <c r="O246" i="127" a="1"/>
  <c r="O246" i="127" s="1"/>
  <c r="N246" i="127" a="1"/>
  <c r="N246" i="127" s="1"/>
  <c r="M246" i="127" a="1"/>
  <c r="M246" i="127" s="1"/>
  <c r="L246" i="127" a="1"/>
  <c r="L246" i="127" s="1"/>
  <c r="K246" i="127" a="1"/>
  <c r="K246" i="127" s="1"/>
  <c r="J246" i="127" a="1"/>
  <c r="J246" i="127" s="1"/>
  <c r="I246" i="127" a="1"/>
  <c r="I246" i="127" s="1"/>
  <c r="H246" i="127" a="1"/>
  <c r="H246" i="127" s="1"/>
  <c r="G246" i="127" a="1"/>
  <c r="G246" i="127" s="1"/>
  <c r="F246" i="127" a="1"/>
  <c r="F246" i="127" s="1"/>
  <c r="E246" i="127" a="1"/>
  <c r="E246" i="127" s="1"/>
  <c r="D246" i="127" a="1"/>
  <c r="D246" i="127" s="1"/>
  <c r="S245" i="127" a="1"/>
  <c r="S245" i="127" s="1"/>
  <c r="R245" i="127" a="1"/>
  <c r="R245" i="127" s="1"/>
  <c r="Q245" i="127" a="1"/>
  <c r="Q245" i="127" s="1"/>
  <c r="P245" i="127" a="1"/>
  <c r="P245" i="127" s="1"/>
  <c r="O245" i="127" a="1"/>
  <c r="O245" i="127" s="1"/>
  <c r="N245" i="127" a="1"/>
  <c r="N245" i="127" s="1"/>
  <c r="M245" i="127" a="1"/>
  <c r="M245" i="127" s="1"/>
  <c r="L245" i="127" a="1"/>
  <c r="L245" i="127" s="1"/>
  <c r="K245" i="127" a="1"/>
  <c r="K245" i="127" s="1"/>
  <c r="J245" i="127" a="1"/>
  <c r="J245" i="127" s="1"/>
  <c r="I245" i="127" a="1"/>
  <c r="I245" i="127" s="1"/>
  <c r="H245" i="127" a="1"/>
  <c r="H245" i="127" s="1"/>
  <c r="G245" i="127" a="1"/>
  <c r="G245" i="127" s="1"/>
  <c r="F245" i="127" a="1"/>
  <c r="F245" i="127" s="1"/>
  <c r="E245" i="127" a="1"/>
  <c r="E245" i="127" s="1"/>
  <c r="D245" i="127" a="1"/>
  <c r="D245" i="127" s="1"/>
  <c r="S244" i="127" a="1"/>
  <c r="S244" i="127" s="1"/>
  <c r="R244" i="127" a="1"/>
  <c r="R244" i="127" s="1"/>
  <c r="Q244" i="127" a="1"/>
  <c r="Q244" i="127" s="1"/>
  <c r="P244" i="127" a="1"/>
  <c r="P244" i="127" s="1"/>
  <c r="O244" i="127" a="1"/>
  <c r="O244" i="127" s="1"/>
  <c r="N244" i="127" a="1"/>
  <c r="N244" i="127" s="1"/>
  <c r="M244" i="127" a="1"/>
  <c r="M244" i="127" s="1"/>
  <c r="L244" i="127" a="1"/>
  <c r="L244" i="127" s="1"/>
  <c r="K244" i="127" a="1"/>
  <c r="K244" i="127" s="1"/>
  <c r="J244" i="127" a="1"/>
  <c r="J244" i="127" s="1"/>
  <c r="I244" i="127" a="1"/>
  <c r="I244" i="127" s="1"/>
  <c r="H244" i="127" a="1"/>
  <c r="H244" i="127" s="1"/>
  <c r="G244" i="127" a="1"/>
  <c r="G244" i="127" s="1"/>
  <c r="F244" i="127" a="1"/>
  <c r="F244" i="127" s="1"/>
  <c r="E244" i="127" a="1"/>
  <c r="E244" i="127" s="1"/>
  <c r="D244" i="127" a="1"/>
  <c r="D244" i="127" s="1"/>
  <c r="S243" i="127" a="1"/>
  <c r="S243" i="127" s="1"/>
  <c r="R243" i="127" a="1"/>
  <c r="R243" i="127" s="1"/>
  <c r="Q243" i="127" a="1"/>
  <c r="Q243" i="127" s="1"/>
  <c r="P243" i="127" a="1"/>
  <c r="P243" i="127" s="1"/>
  <c r="O243" i="127" a="1"/>
  <c r="O243" i="127" s="1"/>
  <c r="N243" i="127" a="1"/>
  <c r="N243" i="127" s="1"/>
  <c r="M243" i="127" a="1"/>
  <c r="M243" i="127" s="1"/>
  <c r="L243" i="127" a="1"/>
  <c r="L243" i="127" s="1"/>
  <c r="K243" i="127" a="1"/>
  <c r="K243" i="127" s="1"/>
  <c r="J243" i="127" a="1"/>
  <c r="J243" i="127" s="1"/>
  <c r="I243" i="127" a="1"/>
  <c r="I243" i="127" s="1"/>
  <c r="H243" i="127" a="1"/>
  <c r="H243" i="127" s="1"/>
  <c r="G243" i="127" a="1"/>
  <c r="G243" i="127" s="1"/>
  <c r="F243" i="127" a="1"/>
  <c r="F243" i="127" s="1"/>
  <c r="E243" i="127" a="1"/>
  <c r="E243" i="127" s="1"/>
  <c r="D243" i="127" a="1"/>
  <c r="D243" i="127" s="1"/>
  <c r="S242" i="127" a="1"/>
  <c r="S242" i="127" s="1"/>
  <c r="R242" i="127" a="1"/>
  <c r="R242" i="127" s="1"/>
  <c r="Q242" i="127" a="1"/>
  <c r="Q242" i="127" s="1"/>
  <c r="P242" i="127" a="1"/>
  <c r="P242" i="127" s="1"/>
  <c r="O242" i="127" a="1"/>
  <c r="O242" i="127" s="1"/>
  <c r="N242" i="127" a="1"/>
  <c r="N242" i="127" s="1"/>
  <c r="M242" i="127" a="1"/>
  <c r="M242" i="127" s="1"/>
  <c r="L242" i="127" a="1"/>
  <c r="L242" i="127" s="1"/>
  <c r="K242" i="127" a="1"/>
  <c r="K242" i="127" s="1"/>
  <c r="J242" i="127" a="1"/>
  <c r="J242" i="127" s="1"/>
  <c r="I242" i="127" a="1"/>
  <c r="I242" i="127" s="1"/>
  <c r="H242" i="127" a="1"/>
  <c r="H242" i="127" s="1"/>
  <c r="G242" i="127" a="1"/>
  <c r="G242" i="127" s="1"/>
  <c r="F242" i="127" a="1"/>
  <c r="F242" i="127" s="1"/>
  <c r="E242" i="127" a="1"/>
  <c r="E242" i="127" s="1"/>
  <c r="D242" i="127" a="1"/>
  <c r="D242" i="127" s="1"/>
  <c r="S241" i="127" a="1"/>
  <c r="S241" i="127" s="1"/>
  <c r="R241" i="127" a="1"/>
  <c r="R241" i="127" s="1"/>
  <c r="Q241" i="127" a="1"/>
  <c r="Q241" i="127" s="1"/>
  <c r="P241" i="127" a="1"/>
  <c r="P241" i="127" s="1"/>
  <c r="O241" i="127" a="1"/>
  <c r="O241" i="127" s="1"/>
  <c r="N241" i="127" a="1"/>
  <c r="N241" i="127" s="1"/>
  <c r="M241" i="127" a="1"/>
  <c r="M241" i="127" s="1"/>
  <c r="L241" i="127" a="1"/>
  <c r="L241" i="127" s="1"/>
  <c r="K241" i="127" a="1"/>
  <c r="K241" i="127" s="1"/>
  <c r="J241" i="127" a="1"/>
  <c r="J241" i="127" s="1"/>
  <c r="I241" i="127" a="1"/>
  <c r="I241" i="127" s="1"/>
  <c r="H241" i="127" a="1"/>
  <c r="H241" i="127" s="1"/>
  <c r="G241" i="127" a="1"/>
  <c r="G241" i="127" s="1"/>
  <c r="F241" i="127" a="1"/>
  <c r="F241" i="127" s="1"/>
  <c r="E241" i="127" a="1"/>
  <c r="E241" i="127" s="1"/>
  <c r="D241" i="127" a="1"/>
  <c r="D241" i="127" s="1"/>
  <c r="S240" i="127" a="1"/>
  <c r="S240" i="127" s="1"/>
  <c r="R240" i="127" a="1"/>
  <c r="R240" i="127" s="1"/>
  <c r="Q240" i="127" a="1"/>
  <c r="Q240" i="127" s="1"/>
  <c r="P240" i="127" a="1"/>
  <c r="P240" i="127" s="1"/>
  <c r="O240" i="127" a="1"/>
  <c r="O240" i="127" s="1"/>
  <c r="N240" i="127" a="1"/>
  <c r="N240" i="127" s="1"/>
  <c r="M240" i="127" a="1"/>
  <c r="M240" i="127" s="1"/>
  <c r="L240" i="127" a="1"/>
  <c r="L240" i="127" s="1"/>
  <c r="K240" i="127" a="1"/>
  <c r="K240" i="127" s="1"/>
  <c r="J240" i="127" a="1"/>
  <c r="J240" i="127" s="1"/>
  <c r="I240" i="127" a="1"/>
  <c r="I240" i="127" s="1"/>
  <c r="H240" i="127" a="1"/>
  <c r="H240" i="127" s="1"/>
  <c r="G240" i="127" a="1"/>
  <c r="G240" i="127" s="1"/>
  <c r="F240" i="127" a="1"/>
  <c r="F240" i="127" s="1"/>
  <c r="E240" i="127" a="1"/>
  <c r="E240" i="127" s="1"/>
  <c r="D240" i="127" a="1"/>
  <c r="D240" i="127" s="1"/>
  <c r="S239" i="127" a="1"/>
  <c r="S239" i="127" s="1"/>
  <c r="R239" i="127" a="1"/>
  <c r="R239" i="127" s="1"/>
  <c r="Q239" i="127" a="1"/>
  <c r="Q239" i="127" s="1"/>
  <c r="P239" i="127" a="1"/>
  <c r="P239" i="127" s="1"/>
  <c r="O239" i="127" a="1"/>
  <c r="O239" i="127" s="1"/>
  <c r="N239" i="127" a="1"/>
  <c r="N239" i="127" s="1"/>
  <c r="M239" i="127" a="1"/>
  <c r="M239" i="127" s="1"/>
  <c r="L239" i="127" a="1"/>
  <c r="L239" i="127" s="1"/>
  <c r="K239" i="127" a="1"/>
  <c r="K239" i="127" s="1"/>
  <c r="J239" i="127" a="1"/>
  <c r="J239" i="127" s="1"/>
  <c r="I239" i="127" a="1"/>
  <c r="I239" i="127" s="1"/>
  <c r="H239" i="127" a="1"/>
  <c r="H239" i="127" s="1"/>
  <c r="G239" i="127" a="1"/>
  <c r="G239" i="127" s="1"/>
  <c r="F239" i="127" a="1"/>
  <c r="F239" i="127" s="1"/>
  <c r="E239" i="127" a="1"/>
  <c r="E239" i="127" s="1"/>
  <c r="D239" i="127" a="1"/>
  <c r="D239" i="127" s="1"/>
  <c r="S238" i="127" a="1"/>
  <c r="S238" i="127" s="1"/>
  <c r="R238" i="127" a="1"/>
  <c r="R238" i="127" s="1"/>
  <c r="Q238" i="127" a="1"/>
  <c r="Q238" i="127" s="1"/>
  <c r="P238" i="127" a="1"/>
  <c r="P238" i="127" s="1"/>
  <c r="O238" i="127" a="1"/>
  <c r="O238" i="127" s="1"/>
  <c r="N238" i="127" a="1"/>
  <c r="N238" i="127" s="1"/>
  <c r="M238" i="127" a="1"/>
  <c r="M238" i="127" s="1"/>
  <c r="L238" i="127" a="1"/>
  <c r="L238" i="127" s="1"/>
  <c r="K238" i="127" a="1"/>
  <c r="K238" i="127" s="1"/>
  <c r="J238" i="127" a="1"/>
  <c r="J238" i="127" s="1"/>
  <c r="I238" i="127" a="1"/>
  <c r="I238" i="127" s="1"/>
  <c r="H238" i="127" a="1"/>
  <c r="H238" i="127" s="1"/>
  <c r="G238" i="127" a="1"/>
  <c r="G238" i="127" s="1"/>
  <c r="F238" i="127" a="1"/>
  <c r="F238" i="127" s="1"/>
  <c r="E238" i="127" a="1"/>
  <c r="E238" i="127" s="1"/>
  <c r="D238" i="127" a="1"/>
  <c r="D238" i="127" s="1"/>
  <c r="S237" i="127" a="1"/>
  <c r="S237" i="127" s="1"/>
  <c r="R237" i="127" a="1"/>
  <c r="R237" i="127" s="1"/>
  <c r="Q237" i="127" a="1"/>
  <c r="Q237" i="127" s="1"/>
  <c r="P237" i="127" a="1"/>
  <c r="P237" i="127" s="1"/>
  <c r="O237" i="127" a="1"/>
  <c r="O237" i="127" s="1"/>
  <c r="N237" i="127" a="1"/>
  <c r="N237" i="127" s="1"/>
  <c r="M237" i="127" a="1"/>
  <c r="M237" i="127" s="1"/>
  <c r="L237" i="127" a="1"/>
  <c r="L237" i="127" s="1"/>
  <c r="K237" i="127" a="1"/>
  <c r="K237" i="127" s="1"/>
  <c r="J237" i="127" a="1"/>
  <c r="J237" i="127" s="1"/>
  <c r="I237" i="127" a="1"/>
  <c r="I237" i="127" s="1"/>
  <c r="H237" i="127" a="1"/>
  <c r="H237" i="127" s="1"/>
  <c r="G237" i="127" a="1"/>
  <c r="G237" i="127" s="1"/>
  <c r="F237" i="127" a="1"/>
  <c r="F237" i="127" s="1"/>
  <c r="E237" i="127" a="1"/>
  <c r="E237" i="127" s="1"/>
  <c r="D237" i="127" a="1"/>
  <c r="D237" i="127" s="1"/>
  <c r="S236" i="127" a="1"/>
  <c r="S236" i="127" s="1"/>
  <c r="R236" i="127" a="1"/>
  <c r="R236" i="127" s="1"/>
  <c r="Q236" i="127" a="1"/>
  <c r="Q236" i="127" s="1"/>
  <c r="P236" i="127" a="1"/>
  <c r="P236" i="127" s="1"/>
  <c r="O236" i="127" a="1"/>
  <c r="O236" i="127" s="1"/>
  <c r="N236" i="127" a="1"/>
  <c r="N236" i="127" s="1"/>
  <c r="M236" i="127" a="1"/>
  <c r="M236" i="127" s="1"/>
  <c r="L236" i="127" a="1"/>
  <c r="L236" i="127" s="1"/>
  <c r="K236" i="127" a="1"/>
  <c r="K236" i="127" s="1"/>
  <c r="J236" i="127" a="1"/>
  <c r="J236" i="127" s="1"/>
  <c r="I236" i="127" a="1"/>
  <c r="I236" i="127" s="1"/>
  <c r="H236" i="127" a="1"/>
  <c r="H236" i="127" s="1"/>
  <c r="G236" i="127" a="1"/>
  <c r="G236" i="127" s="1"/>
  <c r="F236" i="127" a="1"/>
  <c r="F236" i="127" s="1"/>
  <c r="E236" i="127" a="1"/>
  <c r="E236" i="127" s="1"/>
  <c r="D236" i="127" a="1"/>
  <c r="D236" i="127" s="1"/>
  <c r="S235" i="127" a="1"/>
  <c r="S235" i="127" s="1"/>
  <c r="R235" i="127" a="1"/>
  <c r="R235" i="127" s="1"/>
  <c r="Q235" i="127" a="1"/>
  <c r="Q235" i="127" s="1"/>
  <c r="P235" i="127" a="1"/>
  <c r="P235" i="127" s="1"/>
  <c r="O235" i="127" a="1"/>
  <c r="O235" i="127" s="1"/>
  <c r="N235" i="127" a="1"/>
  <c r="N235" i="127" s="1"/>
  <c r="M235" i="127" a="1"/>
  <c r="M235" i="127" s="1"/>
  <c r="L235" i="127" a="1"/>
  <c r="L235" i="127" s="1"/>
  <c r="K235" i="127" a="1"/>
  <c r="K235" i="127" s="1"/>
  <c r="J235" i="127" a="1"/>
  <c r="J235" i="127" s="1"/>
  <c r="I235" i="127" a="1"/>
  <c r="I235" i="127" s="1"/>
  <c r="H235" i="127" a="1"/>
  <c r="H235" i="127" s="1"/>
  <c r="G235" i="127" a="1"/>
  <c r="G235" i="127" s="1"/>
  <c r="F235" i="127" a="1"/>
  <c r="F235" i="127" s="1"/>
  <c r="E235" i="127" a="1"/>
  <c r="E235" i="127" s="1"/>
  <c r="D235" i="127" a="1"/>
  <c r="D235" i="127" s="1"/>
  <c r="S234" i="127" a="1"/>
  <c r="S234" i="127" s="1"/>
  <c r="R234" i="127" a="1"/>
  <c r="R234" i="127" s="1"/>
  <c r="Q234" i="127" a="1"/>
  <c r="Q234" i="127" s="1"/>
  <c r="P234" i="127" a="1"/>
  <c r="P234" i="127" s="1"/>
  <c r="O234" i="127" a="1"/>
  <c r="O234" i="127" s="1"/>
  <c r="N234" i="127" a="1"/>
  <c r="N234" i="127" s="1"/>
  <c r="M234" i="127" a="1"/>
  <c r="M234" i="127" s="1"/>
  <c r="L234" i="127" a="1"/>
  <c r="L234" i="127" s="1"/>
  <c r="K234" i="127" a="1"/>
  <c r="K234" i="127" s="1"/>
  <c r="J234" i="127" a="1"/>
  <c r="J234" i="127" s="1"/>
  <c r="I234" i="127" a="1"/>
  <c r="I234" i="127" s="1"/>
  <c r="H234" i="127" a="1"/>
  <c r="H234" i="127" s="1"/>
  <c r="G234" i="127" a="1"/>
  <c r="G234" i="127" s="1"/>
  <c r="F234" i="127" a="1"/>
  <c r="F234" i="127" s="1"/>
  <c r="E234" i="127" a="1"/>
  <c r="E234" i="127" s="1"/>
  <c r="D234" i="127" a="1"/>
  <c r="D234" i="127" s="1"/>
  <c r="S233" i="127" a="1"/>
  <c r="S233" i="127" s="1"/>
  <c r="R233" i="127" a="1"/>
  <c r="R233" i="127" s="1"/>
  <c r="Q233" i="127" a="1"/>
  <c r="Q233" i="127" s="1"/>
  <c r="P233" i="127" a="1"/>
  <c r="P233" i="127" s="1"/>
  <c r="O233" i="127" a="1"/>
  <c r="O233" i="127" s="1"/>
  <c r="N233" i="127" a="1"/>
  <c r="N233" i="127" s="1"/>
  <c r="M233" i="127" a="1"/>
  <c r="M233" i="127" s="1"/>
  <c r="L233" i="127" a="1"/>
  <c r="L233" i="127" s="1"/>
  <c r="K233" i="127" a="1"/>
  <c r="K233" i="127" s="1"/>
  <c r="J233" i="127" a="1"/>
  <c r="J233" i="127" s="1"/>
  <c r="I233" i="127" a="1"/>
  <c r="I233" i="127" s="1"/>
  <c r="H233" i="127" a="1"/>
  <c r="H233" i="127" s="1"/>
  <c r="G233" i="127" a="1"/>
  <c r="G233" i="127" s="1"/>
  <c r="F233" i="127" a="1"/>
  <c r="F233" i="127" s="1"/>
  <c r="E233" i="127" a="1"/>
  <c r="E233" i="127" s="1"/>
  <c r="D233" i="127" a="1"/>
  <c r="D233" i="127" s="1"/>
  <c r="S232" i="127" a="1"/>
  <c r="S232" i="127" s="1"/>
  <c r="R232" i="127" a="1"/>
  <c r="R232" i="127" s="1"/>
  <c r="Q232" i="127" a="1"/>
  <c r="Q232" i="127" s="1"/>
  <c r="P232" i="127" a="1"/>
  <c r="P232" i="127" s="1"/>
  <c r="O232" i="127" a="1"/>
  <c r="O232" i="127" s="1"/>
  <c r="N232" i="127" a="1"/>
  <c r="N232" i="127" s="1"/>
  <c r="M232" i="127" a="1"/>
  <c r="M232" i="127" s="1"/>
  <c r="L232" i="127" a="1"/>
  <c r="L232" i="127" s="1"/>
  <c r="K232" i="127" a="1"/>
  <c r="K232" i="127" s="1"/>
  <c r="J232" i="127" a="1"/>
  <c r="J232" i="127" s="1"/>
  <c r="I232" i="127" a="1"/>
  <c r="I232" i="127" s="1"/>
  <c r="H232" i="127" a="1"/>
  <c r="H232" i="127" s="1"/>
  <c r="G232" i="127" a="1"/>
  <c r="G232" i="127" s="1"/>
  <c r="F232" i="127" a="1"/>
  <c r="F232" i="127" s="1"/>
  <c r="E232" i="127" a="1"/>
  <c r="E232" i="127" s="1"/>
  <c r="D232" i="127" a="1"/>
  <c r="D232" i="127" s="1"/>
  <c r="D229" i="127" a="1"/>
  <c r="D229" i="127" s="1"/>
  <c r="D228" i="127" a="1"/>
  <c r="D228" i="127" s="1"/>
  <c r="D227" i="127" a="1"/>
  <c r="D227" i="127" s="1"/>
  <c r="E224" i="127" a="1"/>
  <c r="E224" i="127" s="1"/>
  <c r="D224" i="127" a="1"/>
  <c r="D224" i="127" s="1"/>
  <c r="E223" i="127" a="1"/>
  <c r="E223" i="127" s="1"/>
  <c r="D223" i="127" a="1"/>
  <c r="D223" i="127" s="1"/>
  <c r="E222" i="127" a="1"/>
  <c r="E222" i="127" s="1"/>
  <c r="D222" i="127" a="1"/>
  <c r="D222" i="127" s="1"/>
  <c r="E221" i="127" a="1"/>
  <c r="E221" i="127" s="1"/>
  <c r="D221" i="127" a="1"/>
  <c r="D221" i="127" s="1"/>
  <c r="E220" i="127" a="1"/>
  <c r="E220" i="127" s="1"/>
  <c r="D220" i="127" a="1"/>
  <c r="D220" i="127" s="1"/>
  <c r="E219" i="127" a="1"/>
  <c r="E219" i="127" s="1"/>
  <c r="D219" i="127" a="1"/>
  <c r="D219" i="127" s="1"/>
  <c r="E218" i="127" a="1"/>
  <c r="E218" i="127" s="1"/>
  <c r="D218" i="127" a="1"/>
  <c r="D218" i="127" s="1"/>
  <c r="E217" i="127" a="1"/>
  <c r="E217" i="127" s="1"/>
  <c r="D217" i="127" a="1"/>
  <c r="D217" i="127" s="1"/>
  <c r="E216" i="127" a="1"/>
  <c r="E216" i="127" s="1"/>
  <c r="D216" i="127" a="1"/>
  <c r="D216" i="127" s="1"/>
  <c r="E215" i="127" a="1"/>
  <c r="E215" i="127" s="1"/>
  <c r="D215" i="127" a="1"/>
  <c r="D215" i="127" s="1"/>
  <c r="E214" i="127" a="1"/>
  <c r="E214" i="127" s="1"/>
  <c r="D214" i="127" a="1"/>
  <c r="D214" i="127" s="1"/>
  <c r="E213" i="127" a="1"/>
  <c r="E213" i="127" s="1"/>
  <c r="D213" i="127" a="1"/>
  <c r="D213" i="127" s="1"/>
  <c r="D211" i="127" a="1"/>
  <c r="D211" i="127" s="1"/>
  <c r="E208" i="127" a="1"/>
  <c r="E208" i="127" s="1"/>
  <c r="D208" i="127" a="1"/>
  <c r="D208" i="127" s="1"/>
  <c r="E207" i="127" a="1"/>
  <c r="E207" i="127" s="1"/>
  <c r="D207" i="127" a="1"/>
  <c r="D207" i="127" s="1"/>
  <c r="D205" i="127" a="1"/>
  <c r="D205" i="127" s="1"/>
  <c r="D204" i="127" a="1"/>
  <c r="D204" i="127" s="1"/>
  <c r="D203" i="127" a="1"/>
  <c r="D203" i="127" s="1"/>
  <c r="D202" i="127" a="1"/>
  <c r="D202" i="127" s="1"/>
  <c r="H199" i="127" a="1"/>
  <c r="H199" i="127" s="1"/>
  <c r="G199" i="127" a="1"/>
  <c r="G199" i="127" s="1"/>
  <c r="F199" i="127" a="1"/>
  <c r="F199" i="127" s="1"/>
  <c r="E199" i="127" a="1"/>
  <c r="E199" i="127" s="1"/>
  <c r="D199" i="127" a="1"/>
  <c r="D199" i="127" s="1"/>
  <c r="H198" i="127" a="1"/>
  <c r="H198" i="127" s="1"/>
  <c r="G198" i="127" a="1"/>
  <c r="G198" i="127" s="1"/>
  <c r="F198" i="127" a="1"/>
  <c r="F198" i="127" s="1"/>
  <c r="E198" i="127" a="1"/>
  <c r="E198" i="127" s="1"/>
  <c r="D198" i="127" a="1"/>
  <c r="D198" i="127" s="1"/>
  <c r="H197" i="127" a="1"/>
  <c r="H197" i="127" s="1"/>
  <c r="G197" i="127" a="1"/>
  <c r="G197" i="127" s="1"/>
  <c r="F197" i="127" a="1"/>
  <c r="F197" i="127" s="1"/>
  <c r="E197" i="127" a="1"/>
  <c r="E197" i="127" s="1"/>
  <c r="D197" i="127" a="1"/>
  <c r="D197" i="127" s="1"/>
  <c r="H196" i="127" a="1"/>
  <c r="H196" i="127" s="1"/>
  <c r="G196" i="127" a="1"/>
  <c r="G196" i="127" s="1"/>
  <c r="F196" i="127" a="1"/>
  <c r="F196" i="127" s="1"/>
  <c r="E196" i="127" a="1"/>
  <c r="E196" i="127" s="1"/>
  <c r="D196" i="127" a="1"/>
  <c r="D196" i="127" s="1"/>
  <c r="H195" i="127" a="1"/>
  <c r="H195" i="127" s="1"/>
  <c r="G195" i="127" a="1"/>
  <c r="G195" i="127" s="1"/>
  <c r="F195" i="127" a="1"/>
  <c r="F195" i="127" s="1"/>
  <c r="E195" i="127" a="1"/>
  <c r="E195" i="127" s="1"/>
  <c r="D195" i="127" a="1"/>
  <c r="D195" i="127" s="1"/>
  <c r="H194" i="127" a="1"/>
  <c r="H194" i="127" s="1"/>
  <c r="G194" i="127" a="1"/>
  <c r="G194" i="127" s="1"/>
  <c r="F194" i="127" a="1"/>
  <c r="F194" i="127" s="1"/>
  <c r="E194" i="127" a="1"/>
  <c r="E194" i="127" s="1"/>
  <c r="D194" i="127" a="1"/>
  <c r="D194" i="127" s="1"/>
  <c r="H193" i="127" a="1"/>
  <c r="H193" i="127" s="1"/>
  <c r="G193" i="127" a="1"/>
  <c r="G193" i="127" s="1"/>
  <c r="F193" i="127" a="1"/>
  <c r="F193" i="127" s="1"/>
  <c r="E193" i="127" a="1"/>
  <c r="E193" i="127" s="1"/>
  <c r="D193" i="127" a="1"/>
  <c r="D193" i="127" s="1"/>
  <c r="H192" i="127" a="1"/>
  <c r="H192" i="127" s="1"/>
  <c r="G192" i="127" a="1"/>
  <c r="G192" i="127" s="1"/>
  <c r="F192" i="127" a="1"/>
  <c r="F192" i="127" s="1"/>
  <c r="E192" i="127" a="1"/>
  <c r="E192" i="127" s="1"/>
  <c r="D192" i="127" a="1"/>
  <c r="D192" i="127" s="1"/>
  <c r="H191" i="127" a="1"/>
  <c r="H191" i="127" s="1"/>
  <c r="G191" i="127" a="1"/>
  <c r="G191" i="127" s="1"/>
  <c r="F191" i="127" a="1"/>
  <c r="F191" i="127" s="1"/>
  <c r="E191" i="127" a="1"/>
  <c r="E191" i="127" s="1"/>
  <c r="D191" i="127" a="1"/>
  <c r="D191" i="127" s="1"/>
  <c r="H190" i="127" a="1"/>
  <c r="H190" i="127" s="1"/>
  <c r="G190" i="127" a="1"/>
  <c r="G190" i="127" s="1"/>
  <c r="F190" i="127" a="1"/>
  <c r="F190" i="127" s="1"/>
  <c r="E190" i="127" a="1"/>
  <c r="E190" i="127" s="1"/>
  <c r="D190" i="127" a="1"/>
  <c r="D190" i="127" s="1"/>
  <c r="H189" i="127" a="1"/>
  <c r="H189" i="127" s="1"/>
  <c r="G189" i="127" a="1"/>
  <c r="G189" i="127" s="1"/>
  <c r="F189" i="127" a="1"/>
  <c r="F189" i="127" s="1"/>
  <c r="E189" i="127" a="1"/>
  <c r="E189" i="127" s="1"/>
  <c r="D189" i="127" a="1"/>
  <c r="D189" i="127" s="1"/>
  <c r="H188" i="127" a="1"/>
  <c r="H188" i="127" s="1"/>
  <c r="G188" i="127" a="1"/>
  <c r="G188" i="127" s="1"/>
  <c r="F188" i="127" a="1"/>
  <c r="F188" i="127" s="1"/>
  <c r="E188" i="127" a="1"/>
  <c r="E188" i="127" s="1"/>
  <c r="D188" i="127" a="1"/>
  <c r="D188" i="127" s="1"/>
  <c r="H187" i="127" a="1"/>
  <c r="H187" i="127" s="1"/>
  <c r="G187" i="127" a="1"/>
  <c r="G187" i="127" s="1"/>
  <c r="F187" i="127" a="1"/>
  <c r="F187" i="127" s="1"/>
  <c r="E187" i="127" a="1"/>
  <c r="E187" i="127" s="1"/>
  <c r="D187" i="127" a="1"/>
  <c r="D187" i="127" s="1"/>
  <c r="D181" i="127" a="1"/>
  <c r="D181" i="127" s="1"/>
  <c r="D180" i="127" a="1"/>
  <c r="D180" i="127" s="1"/>
  <c r="D179" i="127" a="1"/>
  <c r="D179" i="127" s="1"/>
  <c r="D178" i="127" a="1"/>
  <c r="D178" i="127" s="1"/>
  <c r="E175" i="127" a="1"/>
  <c r="E175" i="127" s="1"/>
  <c r="D175" i="127" a="1"/>
  <c r="D175" i="127" s="1"/>
  <c r="D174" i="127" a="1"/>
  <c r="D174" i="127" s="1"/>
  <c r="D173" i="127" a="1"/>
  <c r="D173" i="127" s="1"/>
  <c r="D170" i="127" a="1"/>
  <c r="D170" i="127" s="1"/>
  <c r="D169" i="127"/>
  <c r="D169" i="127" a="1"/>
  <c r="D168" i="127" a="1"/>
  <c r="D168" i="127" s="1"/>
  <c r="D167" i="127"/>
  <c r="D167" i="127" a="1"/>
  <c r="D164" i="127" a="1"/>
  <c r="D164" i="127" s="1"/>
  <c r="D163" i="127" a="1"/>
  <c r="D163" i="127" s="1"/>
  <c r="D162" i="127" a="1"/>
  <c r="D162" i="127" s="1"/>
  <c r="D161" i="127" a="1"/>
  <c r="D161" i="127" s="1"/>
  <c r="E158" i="127" a="1"/>
  <c r="E158" i="127" s="1"/>
  <c r="D158" i="127" a="1"/>
  <c r="D158" i="127" s="1"/>
  <c r="E157" i="127" a="1"/>
  <c r="E157" i="127" s="1"/>
  <c r="D157" i="127" a="1"/>
  <c r="D157" i="127" s="1"/>
  <c r="E156" i="127" a="1"/>
  <c r="E156" i="127" s="1"/>
  <c r="D156" i="127" a="1"/>
  <c r="D156" i="127" s="1"/>
  <c r="E155" i="127" a="1"/>
  <c r="E155" i="127" s="1"/>
  <c r="D155" i="127" a="1"/>
  <c r="D155" i="127" s="1"/>
  <c r="E154" i="127" a="1"/>
  <c r="E154" i="127" s="1"/>
  <c r="D154" i="127" a="1"/>
  <c r="D154" i="127" s="1"/>
  <c r="D151" i="127" a="1"/>
  <c r="D151" i="127" s="1"/>
  <c r="D150" i="127" a="1"/>
  <c r="D150" i="127" s="1"/>
  <c r="E147" i="127" a="1"/>
  <c r="E147" i="127" s="1"/>
  <c r="D147" i="127" a="1"/>
  <c r="D147" i="127" s="1"/>
  <c r="E146" i="127" a="1"/>
  <c r="E146" i="127" s="1"/>
  <c r="D146" i="127" a="1"/>
  <c r="D146" i="127" s="1"/>
  <c r="E145" i="127"/>
  <c r="E145" i="127" a="1"/>
  <c r="D145" i="127" a="1"/>
  <c r="D145" i="127" s="1"/>
  <c r="E144" i="127" a="1"/>
  <c r="E144" i="127" s="1"/>
  <c r="D144" i="127" a="1"/>
  <c r="D144" i="127" s="1"/>
  <c r="E143" i="127" a="1"/>
  <c r="E143" i="127" s="1"/>
  <c r="D143" i="127" a="1"/>
  <c r="D143" i="127" s="1"/>
  <c r="D141" i="127" a="1"/>
  <c r="D141" i="127" s="1"/>
  <c r="D140" i="127" a="1"/>
  <c r="D140" i="127" s="1"/>
  <c r="D139" i="127" a="1"/>
  <c r="D139" i="127" s="1"/>
  <c r="E136" i="127" a="1"/>
  <c r="E136" i="127" s="1"/>
  <c r="D136" i="127" a="1"/>
  <c r="D136" i="127" s="1"/>
  <c r="E135" i="127" a="1"/>
  <c r="E135" i="127" s="1"/>
  <c r="D135" i="127" a="1"/>
  <c r="D135" i="127" s="1"/>
  <c r="D133" i="127" a="1"/>
  <c r="D133" i="127" s="1"/>
  <c r="D132" i="127"/>
  <c r="D132" i="127" a="1"/>
  <c r="E129" i="127" a="1"/>
  <c r="E129" i="127" s="1"/>
  <c r="D129" i="127" a="1"/>
  <c r="D129" i="127" s="1"/>
  <c r="E128" i="127" a="1"/>
  <c r="E128" i="127" s="1"/>
  <c r="D128" i="127" a="1"/>
  <c r="D128" i="127" s="1"/>
  <c r="D125" i="127" a="1"/>
  <c r="D125" i="127" s="1"/>
  <c r="D124" i="127" a="1"/>
  <c r="D124" i="127" s="1"/>
  <c r="G121" i="127" a="1"/>
  <c r="G121" i="127" s="1"/>
  <c r="F121" i="127" a="1"/>
  <c r="F121" i="127" s="1"/>
  <c r="E121" i="127" a="1"/>
  <c r="E121" i="127" s="1"/>
  <c r="D121" i="127" a="1"/>
  <c r="D121" i="127" s="1"/>
  <c r="G120" i="127" a="1"/>
  <c r="G120" i="127" s="1"/>
  <c r="F120" i="127" a="1"/>
  <c r="F120" i="127" s="1"/>
  <c r="E120" i="127" a="1"/>
  <c r="E120" i="127" s="1"/>
  <c r="D120" i="127" a="1"/>
  <c r="D120" i="127" s="1"/>
  <c r="D117" i="127" a="1"/>
  <c r="D117" i="127" s="1"/>
  <c r="D116" i="127" a="1"/>
  <c r="D116" i="127" s="1"/>
  <c r="D115" i="127" a="1"/>
  <c r="D115" i="127" s="1"/>
  <c r="G112" i="127" a="1"/>
  <c r="G112" i="127" s="1"/>
  <c r="F112" i="127" a="1"/>
  <c r="F112" i="127" s="1"/>
  <c r="E112" i="127" a="1"/>
  <c r="E112" i="127" s="1"/>
  <c r="D112" i="127" a="1"/>
  <c r="D112" i="127" s="1"/>
  <c r="G111" i="127" a="1"/>
  <c r="G111" i="127" s="1"/>
  <c r="F111" i="127" a="1"/>
  <c r="F111" i="127" s="1"/>
  <c r="E111" i="127" a="1"/>
  <c r="E111" i="127" s="1"/>
  <c r="D111" i="127" a="1"/>
  <c r="D111" i="127" s="1"/>
  <c r="G110" i="127" a="1"/>
  <c r="G110" i="127" s="1"/>
  <c r="F110" i="127" a="1"/>
  <c r="F110" i="127" s="1"/>
  <c r="E110" i="127" a="1"/>
  <c r="E110" i="127" s="1"/>
  <c r="D110" i="127" a="1"/>
  <c r="D110" i="127" s="1"/>
  <c r="D107" i="127" a="1"/>
  <c r="D107" i="127" s="1"/>
  <c r="D106" i="127"/>
  <c r="D106" i="127" a="1"/>
  <c r="D105" i="127" a="1"/>
  <c r="D105" i="127" s="1"/>
  <c r="D99" i="127" a="1"/>
  <c r="D99" i="127" s="1"/>
  <c r="S97" i="127" a="1"/>
  <c r="S97" i="127" s="1"/>
  <c r="R97" i="127" a="1"/>
  <c r="R97" i="127" s="1"/>
  <c r="Q97" i="127" a="1"/>
  <c r="Q97" i="127" s="1"/>
  <c r="P97" i="127" a="1"/>
  <c r="P97" i="127" s="1"/>
  <c r="O97" i="127" a="1"/>
  <c r="O97" i="127" s="1"/>
  <c r="N97" i="127" a="1"/>
  <c r="N97" i="127" s="1"/>
  <c r="M97" i="127" a="1"/>
  <c r="M97" i="127" s="1"/>
  <c r="L97" i="127" a="1"/>
  <c r="L97" i="127" s="1"/>
  <c r="K97" i="127" a="1"/>
  <c r="K97" i="127" s="1"/>
  <c r="J97" i="127" a="1"/>
  <c r="J97" i="127" s="1"/>
  <c r="I97" i="127" a="1"/>
  <c r="I97" i="127" s="1"/>
  <c r="H97" i="127" a="1"/>
  <c r="H97" i="127" s="1"/>
  <c r="G97" i="127" a="1"/>
  <c r="G97" i="127" s="1"/>
  <c r="F97" i="127" a="1"/>
  <c r="F97" i="127" s="1"/>
  <c r="E97" i="127" a="1"/>
  <c r="E97" i="127" s="1"/>
  <c r="D97" i="127" a="1"/>
  <c r="D97" i="127" s="1"/>
  <c r="S96" i="127" a="1"/>
  <c r="S96" i="127" s="1"/>
  <c r="R96" i="127" a="1"/>
  <c r="R96" i="127" s="1"/>
  <c r="Q96" i="127" a="1"/>
  <c r="Q96" i="127" s="1"/>
  <c r="P96" i="127" a="1"/>
  <c r="P96" i="127" s="1"/>
  <c r="O96" i="127" a="1"/>
  <c r="O96" i="127" s="1"/>
  <c r="N96" i="127" a="1"/>
  <c r="N96" i="127" s="1"/>
  <c r="M96" i="127" a="1"/>
  <c r="M96" i="127" s="1"/>
  <c r="L96" i="127" a="1"/>
  <c r="L96" i="127" s="1"/>
  <c r="K96" i="127" a="1"/>
  <c r="K96" i="127" s="1"/>
  <c r="J96" i="127" a="1"/>
  <c r="J96" i="127" s="1"/>
  <c r="I96" i="127" a="1"/>
  <c r="I96" i="127" s="1"/>
  <c r="H96" i="127" a="1"/>
  <c r="H96" i="127" s="1"/>
  <c r="G96" i="127" a="1"/>
  <c r="G96" i="127" s="1"/>
  <c r="F96" i="127" a="1"/>
  <c r="F96" i="127" s="1"/>
  <c r="E96" i="127" a="1"/>
  <c r="E96" i="127" s="1"/>
  <c r="D96" i="127" a="1"/>
  <c r="D96" i="127" s="1"/>
  <c r="S95" i="127" a="1"/>
  <c r="S95" i="127" s="1"/>
  <c r="R95" i="127" a="1"/>
  <c r="R95" i="127" s="1"/>
  <c r="Q95" i="127" a="1"/>
  <c r="Q95" i="127" s="1"/>
  <c r="P95" i="127" a="1"/>
  <c r="P95" i="127" s="1"/>
  <c r="O95" i="127" a="1"/>
  <c r="O95" i="127" s="1"/>
  <c r="N95" i="127" a="1"/>
  <c r="N95" i="127" s="1"/>
  <c r="M95" i="127" a="1"/>
  <c r="M95" i="127" s="1"/>
  <c r="L95" i="127" a="1"/>
  <c r="L95" i="127" s="1"/>
  <c r="K95" i="127" a="1"/>
  <c r="K95" i="127" s="1"/>
  <c r="J95" i="127" a="1"/>
  <c r="J95" i="127" s="1"/>
  <c r="I95" i="127" a="1"/>
  <c r="I95" i="127" s="1"/>
  <c r="H95" i="127" a="1"/>
  <c r="H95" i="127" s="1"/>
  <c r="G95" i="127" a="1"/>
  <c r="G95" i="127" s="1"/>
  <c r="F95" i="127" a="1"/>
  <c r="F95" i="127" s="1"/>
  <c r="E95" i="127" a="1"/>
  <c r="E95" i="127" s="1"/>
  <c r="D95" i="127" a="1"/>
  <c r="D95" i="127" s="1"/>
  <c r="S94" i="127" a="1"/>
  <c r="S94" i="127" s="1"/>
  <c r="R94" i="127" a="1"/>
  <c r="R94" i="127" s="1"/>
  <c r="Q94" i="127" a="1"/>
  <c r="Q94" i="127" s="1"/>
  <c r="P94" i="127" a="1"/>
  <c r="P94" i="127" s="1"/>
  <c r="O94" i="127" a="1"/>
  <c r="O94" i="127" s="1"/>
  <c r="N94" i="127" a="1"/>
  <c r="N94" i="127" s="1"/>
  <c r="M94" i="127" a="1"/>
  <c r="M94" i="127" s="1"/>
  <c r="L94" i="127" a="1"/>
  <c r="L94" i="127" s="1"/>
  <c r="K94" i="127" a="1"/>
  <c r="K94" i="127" s="1"/>
  <c r="J94" i="127" a="1"/>
  <c r="J94" i="127" s="1"/>
  <c r="I94" i="127" a="1"/>
  <c r="I94" i="127" s="1"/>
  <c r="H94" i="127" a="1"/>
  <c r="H94" i="127" s="1"/>
  <c r="G94" i="127" a="1"/>
  <c r="G94" i="127" s="1"/>
  <c r="F94" i="127" a="1"/>
  <c r="F94" i="127" s="1"/>
  <c r="E94" i="127" a="1"/>
  <c r="E94" i="127" s="1"/>
  <c r="D94" i="127" a="1"/>
  <c r="D94" i="127" s="1"/>
  <c r="S93" i="127" a="1"/>
  <c r="S93" i="127" s="1"/>
  <c r="R93" i="127" a="1"/>
  <c r="R93" i="127" s="1"/>
  <c r="Q93" i="127" a="1"/>
  <c r="Q93" i="127" s="1"/>
  <c r="P93" i="127" a="1"/>
  <c r="P93" i="127" s="1"/>
  <c r="O93" i="127" a="1"/>
  <c r="O93" i="127" s="1"/>
  <c r="N93" i="127" a="1"/>
  <c r="N93" i="127" s="1"/>
  <c r="M93" i="127" a="1"/>
  <c r="M93" i="127" s="1"/>
  <c r="L93" i="127" a="1"/>
  <c r="L93" i="127" s="1"/>
  <c r="K93" i="127" a="1"/>
  <c r="K93" i="127" s="1"/>
  <c r="J93" i="127" a="1"/>
  <c r="J93" i="127" s="1"/>
  <c r="I93" i="127" a="1"/>
  <c r="I93" i="127" s="1"/>
  <c r="H93" i="127" a="1"/>
  <c r="H93" i="127" s="1"/>
  <c r="G93" i="127" a="1"/>
  <c r="G93" i="127" s="1"/>
  <c r="F93" i="127" a="1"/>
  <c r="F93" i="127" s="1"/>
  <c r="E93" i="127" a="1"/>
  <c r="E93" i="127" s="1"/>
  <c r="D93" i="127" a="1"/>
  <c r="D93" i="127" s="1"/>
  <c r="S92" i="127" a="1"/>
  <c r="S92" i="127" s="1"/>
  <c r="R92" i="127" a="1"/>
  <c r="R92" i="127" s="1"/>
  <c r="Q92" i="127" a="1"/>
  <c r="Q92" i="127" s="1"/>
  <c r="P92" i="127" a="1"/>
  <c r="P92" i="127" s="1"/>
  <c r="O92" i="127" a="1"/>
  <c r="O92" i="127" s="1"/>
  <c r="N92" i="127" a="1"/>
  <c r="N92" i="127" s="1"/>
  <c r="M92" i="127" a="1"/>
  <c r="M92" i="127" s="1"/>
  <c r="L92" i="127" a="1"/>
  <c r="L92" i="127" s="1"/>
  <c r="K92" i="127" a="1"/>
  <c r="K92" i="127" s="1"/>
  <c r="J92" i="127" a="1"/>
  <c r="J92" i="127" s="1"/>
  <c r="I92" i="127" a="1"/>
  <c r="I92" i="127" s="1"/>
  <c r="H92" i="127" a="1"/>
  <c r="H92" i="127" s="1"/>
  <c r="G92" i="127" a="1"/>
  <c r="G92" i="127" s="1"/>
  <c r="F92" i="127" a="1"/>
  <c r="F92" i="127" s="1"/>
  <c r="E92" i="127" a="1"/>
  <c r="E92" i="127" s="1"/>
  <c r="D92" i="127" a="1"/>
  <c r="D92" i="127" s="1"/>
  <c r="S91" i="127" a="1"/>
  <c r="S91" i="127" s="1"/>
  <c r="R91" i="127" a="1"/>
  <c r="R91" i="127" s="1"/>
  <c r="Q91" i="127" a="1"/>
  <c r="Q91" i="127" s="1"/>
  <c r="P91" i="127" a="1"/>
  <c r="P91" i="127" s="1"/>
  <c r="O91" i="127" a="1"/>
  <c r="O91" i="127" s="1"/>
  <c r="N91" i="127" a="1"/>
  <c r="N91" i="127" s="1"/>
  <c r="M91" i="127" a="1"/>
  <c r="M91" i="127" s="1"/>
  <c r="L91" i="127" a="1"/>
  <c r="L91" i="127" s="1"/>
  <c r="K91" i="127" a="1"/>
  <c r="K91" i="127" s="1"/>
  <c r="J91" i="127" a="1"/>
  <c r="J91" i="127" s="1"/>
  <c r="I91" i="127" a="1"/>
  <c r="I91" i="127" s="1"/>
  <c r="H91" i="127" a="1"/>
  <c r="H91" i="127" s="1"/>
  <c r="G91" i="127" a="1"/>
  <c r="G91" i="127" s="1"/>
  <c r="F91" i="127" a="1"/>
  <c r="F91" i="127" s="1"/>
  <c r="E91" i="127" a="1"/>
  <c r="E91" i="127" s="1"/>
  <c r="D91" i="127" a="1"/>
  <c r="D91" i="127" s="1"/>
  <c r="S90" i="127" a="1"/>
  <c r="S90" i="127" s="1"/>
  <c r="R90" i="127" a="1"/>
  <c r="R90" i="127" s="1"/>
  <c r="Q90" i="127" a="1"/>
  <c r="Q90" i="127" s="1"/>
  <c r="P90" i="127" a="1"/>
  <c r="P90" i="127" s="1"/>
  <c r="O90" i="127" a="1"/>
  <c r="O90" i="127" s="1"/>
  <c r="N90" i="127" a="1"/>
  <c r="N90" i="127" s="1"/>
  <c r="M90" i="127" a="1"/>
  <c r="M90" i="127" s="1"/>
  <c r="L90" i="127" a="1"/>
  <c r="L90" i="127" s="1"/>
  <c r="K90" i="127" a="1"/>
  <c r="K90" i="127" s="1"/>
  <c r="J90" i="127" a="1"/>
  <c r="J90" i="127" s="1"/>
  <c r="I90" i="127" a="1"/>
  <c r="I90" i="127" s="1"/>
  <c r="H90" i="127" a="1"/>
  <c r="H90" i="127" s="1"/>
  <c r="G90" i="127" a="1"/>
  <c r="G90" i="127" s="1"/>
  <c r="F90" i="127" a="1"/>
  <c r="F90" i="127" s="1"/>
  <c r="E90" i="127" a="1"/>
  <c r="E90" i="127" s="1"/>
  <c r="D90" i="127" a="1"/>
  <c r="D90" i="127" s="1"/>
  <c r="D83" i="127" a="1"/>
  <c r="D83" i="127" s="1"/>
  <c r="D82" i="127" a="1"/>
  <c r="D82" i="127" s="1"/>
  <c r="D81" i="127" a="1"/>
  <c r="D81" i="127" s="1"/>
  <c r="E77" i="127" a="1"/>
  <c r="E77" i="127" s="1"/>
  <c r="D77" i="127" a="1"/>
  <c r="D77" i="127" s="1"/>
  <c r="E76" i="127" a="1"/>
  <c r="E76" i="127" s="1"/>
  <c r="D76" i="127" a="1"/>
  <c r="D76" i="127" s="1"/>
  <c r="E75" i="127" a="1"/>
  <c r="E75" i="127" s="1"/>
  <c r="D75" i="127" a="1"/>
  <c r="D75" i="127" s="1"/>
  <c r="E74" i="127" a="1"/>
  <c r="E74" i="127" s="1"/>
  <c r="D74" i="127" a="1"/>
  <c r="D74" i="127" s="1"/>
  <c r="E73" i="127" a="1"/>
  <c r="E73" i="127" s="1"/>
  <c r="D73" i="127" a="1"/>
  <c r="D73" i="127" s="1"/>
  <c r="E72" i="127" a="1"/>
  <c r="E72" i="127" s="1"/>
  <c r="D72" i="127" a="1"/>
  <c r="D72" i="127" s="1"/>
  <c r="E71" i="127" a="1"/>
  <c r="E71" i="127" s="1"/>
  <c r="D71" i="127" a="1"/>
  <c r="D71" i="127" s="1"/>
  <c r="E70" i="127" a="1"/>
  <c r="E70" i="127" s="1"/>
  <c r="D70" i="127" a="1"/>
  <c r="D70" i="127" s="1"/>
  <c r="E69" i="127" a="1"/>
  <c r="E69" i="127" s="1"/>
  <c r="D69" i="127" a="1"/>
  <c r="D69" i="127" s="1"/>
  <c r="E68" i="127" a="1"/>
  <c r="E68" i="127" s="1"/>
  <c r="D68" i="127" a="1"/>
  <c r="D68" i="127" s="1"/>
  <c r="E67" i="127" a="1"/>
  <c r="E67" i="127" s="1"/>
  <c r="D67" i="127" a="1"/>
  <c r="D67" i="127" s="1"/>
  <c r="E66" i="127" a="1"/>
  <c r="E66" i="127" s="1"/>
  <c r="D66" i="127" a="1"/>
  <c r="D66" i="127" s="1"/>
  <c r="E65" i="127" a="1"/>
  <c r="E65" i="127" s="1"/>
  <c r="D65" i="127" a="1"/>
  <c r="D65" i="127" s="1"/>
  <c r="E64" i="127" a="1"/>
  <c r="E64" i="127" s="1"/>
  <c r="D64" i="127" a="1"/>
  <c r="D64" i="127" s="1"/>
  <c r="D59" i="127" a="1"/>
  <c r="D59" i="127" s="1"/>
  <c r="D58" i="127" a="1"/>
  <c r="D58" i="127" s="1"/>
  <c r="D57" i="127" a="1"/>
  <c r="D57" i="127" s="1"/>
  <c r="G54" i="127" a="1"/>
  <c r="G54" i="127" s="1"/>
  <c r="F54" i="127" a="1"/>
  <c r="F54" i="127" s="1"/>
  <c r="E54" i="127" a="1"/>
  <c r="E54" i="127" s="1"/>
  <c r="D54" i="127" a="1"/>
  <c r="D54" i="127" s="1"/>
  <c r="G53" i="127" a="1"/>
  <c r="G53" i="127" s="1"/>
  <c r="F53" i="127" a="1"/>
  <c r="F53" i="127" s="1"/>
  <c r="E53" i="127" a="1"/>
  <c r="E53" i="127" s="1"/>
  <c r="D53" i="127" a="1"/>
  <c r="D53" i="127" s="1"/>
  <c r="G52" i="127" a="1"/>
  <c r="G52" i="127" s="1"/>
  <c r="F52" i="127" a="1"/>
  <c r="F52" i="127" s="1"/>
  <c r="E52" i="127" a="1"/>
  <c r="E52" i="127" s="1"/>
  <c r="D52" i="127" a="1"/>
  <c r="D52" i="127" s="1"/>
  <c r="G51" i="127" a="1"/>
  <c r="G51" i="127" s="1"/>
  <c r="F51" i="127" a="1"/>
  <c r="F51" i="127" s="1"/>
  <c r="E51" i="127" a="1"/>
  <c r="E51" i="127" s="1"/>
  <c r="D51" i="127" a="1"/>
  <c r="D51" i="127" s="1"/>
  <c r="G50" i="127" a="1"/>
  <c r="G50" i="127" s="1"/>
  <c r="F50" i="127" a="1"/>
  <c r="F50" i="127" s="1"/>
  <c r="E50" i="127" a="1"/>
  <c r="E50" i="127" s="1"/>
  <c r="D50" i="127" a="1"/>
  <c r="D50" i="127" s="1"/>
  <c r="G49" i="127" a="1"/>
  <c r="G49" i="127" s="1"/>
  <c r="F49" i="127" a="1"/>
  <c r="F49" i="127" s="1"/>
  <c r="E49" i="127" a="1"/>
  <c r="E49" i="127" s="1"/>
  <c r="D49" i="127" a="1"/>
  <c r="D49" i="127" s="1"/>
  <c r="G48" i="127" a="1"/>
  <c r="G48" i="127" s="1"/>
  <c r="F48" i="127" a="1"/>
  <c r="F48" i="127" s="1"/>
  <c r="E48" i="127" a="1"/>
  <c r="E48" i="127" s="1"/>
  <c r="D48" i="127" a="1"/>
  <c r="D48" i="127" s="1"/>
  <c r="D46" i="127" a="1"/>
  <c r="D46" i="127" s="1"/>
  <c r="D45" i="127"/>
  <c r="D45" i="127" a="1"/>
  <c r="E43" i="127" a="1"/>
  <c r="E43" i="127" s="1"/>
  <c r="D43" i="127" a="1"/>
  <c r="D43" i="127" s="1"/>
  <c r="E42" i="127" a="1"/>
  <c r="E42" i="127" s="1"/>
  <c r="D42" i="127" a="1"/>
  <c r="D42" i="127" s="1"/>
  <c r="E41" i="127" a="1"/>
  <c r="E41" i="127" s="1"/>
  <c r="D41" i="127" a="1"/>
  <c r="D41" i="127" s="1"/>
  <c r="E40" i="127" a="1"/>
  <c r="E40" i="127" s="1"/>
  <c r="D40" i="127" a="1"/>
  <c r="D40" i="127" s="1"/>
  <c r="E39" i="127" a="1"/>
  <c r="E39" i="127" s="1"/>
  <c r="D39" i="127" a="1"/>
  <c r="D39" i="127" s="1"/>
  <c r="E38" i="127" a="1"/>
  <c r="E38" i="127" s="1"/>
  <c r="D38" i="127" a="1"/>
  <c r="D38" i="127" s="1"/>
  <c r="E37" i="127" a="1"/>
  <c r="E37" i="127" s="1"/>
  <c r="D37" i="127" a="1"/>
  <c r="D37" i="127" s="1"/>
  <c r="D35" i="127"/>
  <c r="D35" i="127" a="1"/>
  <c r="D34" i="127" a="1"/>
  <c r="D34" i="127" s="1"/>
  <c r="D30" i="127" a="1"/>
  <c r="D30" i="127" s="1"/>
  <c r="D29" i="127" a="1"/>
  <c r="D29" i="127" s="1"/>
  <c r="D28" i="127" a="1"/>
  <c r="D28" i="127" s="1"/>
  <c r="D27" i="127" a="1"/>
  <c r="D27" i="127" s="1"/>
  <c r="D26" i="127" a="1"/>
  <c r="D26" i="127" s="1"/>
  <c r="D25" i="127" a="1"/>
  <c r="D25" i="127" s="1"/>
  <c r="D24" i="127" a="1"/>
  <c r="D24" i="127" s="1"/>
  <c r="D23" i="127" a="1"/>
  <c r="D23" i="127" s="1"/>
  <c r="D22" i="127" a="1"/>
  <c r="D22" i="127" s="1"/>
  <c r="D21" i="127" a="1"/>
  <c r="D21" i="127" s="1"/>
  <c r="D19" i="127"/>
  <c r="D19" i="127" a="1"/>
  <c r="D18" i="127" a="1"/>
  <c r="D18" i="127" s="1"/>
  <c r="F14" i="127" a="1"/>
  <c r="F14" i="127" s="1"/>
  <c r="E14" i="127" a="1"/>
  <c r="E14" i="127" s="1"/>
  <c r="D14" i="127" a="1"/>
  <c r="D14" i="127" s="1"/>
  <c r="F13" i="127" a="1"/>
  <c r="F13" i="127" s="1"/>
  <c r="E13" i="127" a="1"/>
  <c r="E13" i="127" s="1"/>
  <c r="D13" i="127" a="1"/>
  <c r="D13" i="127" s="1"/>
  <c r="F12" i="127" a="1"/>
  <c r="F12" i="127" s="1"/>
  <c r="E12" i="127" a="1"/>
  <c r="E12" i="127" s="1"/>
  <c r="D12" i="127" a="1"/>
  <c r="D12" i="127" s="1"/>
  <c r="F11" i="127" a="1"/>
  <c r="F11" i="127" s="1"/>
  <c r="E11" i="127" a="1"/>
  <c r="E11" i="127" s="1"/>
  <c r="D11" i="127" a="1"/>
  <c r="D11" i="127" s="1"/>
  <c r="F10" i="127" a="1"/>
  <c r="F10" i="127" s="1"/>
  <c r="E10" i="127" a="1"/>
  <c r="E10" i="127" s="1"/>
  <c r="D10" i="127" a="1"/>
  <c r="D10" i="127" s="1"/>
  <c r="F9" i="127" a="1"/>
  <c r="F9" i="127" s="1"/>
  <c r="E9" i="127" a="1"/>
  <c r="E9" i="127" s="1"/>
  <c r="D9" i="127" a="1"/>
  <c r="D9" i="127" s="1"/>
  <c r="F8" i="127" a="1"/>
  <c r="F8" i="127" s="1"/>
  <c r="E8" i="127" a="1"/>
  <c r="E8" i="127" s="1"/>
  <c r="D8" i="127" a="1"/>
  <c r="D8" i="127" s="1"/>
  <c r="F7" i="127" a="1"/>
  <c r="F7" i="127" s="1"/>
  <c r="E7" i="127" a="1"/>
  <c r="E7" i="127" s="1"/>
  <c r="D7" i="127" a="1"/>
  <c r="D7" i="127" s="1"/>
  <c r="D5" i="127" a="1"/>
  <c r="D5" i="127" s="1"/>
  <c r="I13" i="120"/>
  <c r="J28" i="69"/>
  <c r="J25" i="69"/>
  <c r="J24" i="69"/>
  <c r="J23" i="69"/>
  <c r="J20" i="69"/>
  <c r="J17" i="69"/>
  <c r="J16" i="69"/>
  <c r="J15" i="69"/>
  <c r="J14" i="69"/>
  <c r="D19" i="120" a="1"/>
  <c r="D19" i="120" s="1"/>
  <c r="F22" i="120" a="1"/>
  <c r="F22" i="120" s="1"/>
  <c r="G13" i="120" a="1"/>
  <c r="G13" i="120" s="1"/>
  <c r="D13" i="120" a="1"/>
  <c r="D13" i="120" s="1"/>
  <c r="E11" i="120" a="1"/>
  <c r="E11" i="120" s="1"/>
  <c r="F17" i="120" s="1"/>
  <c r="E10" i="120" a="1"/>
  <c r="E10" i="120" s="1"/>
  <c r="D6" i="120" a="1"/>
  <c r="D6" i="120" s="1"/>
  <c r="D5" i="120" a="1"/>
  <c r="D5" i="120" s="1"/>
  <c r="F51" i="110" a="1"/>
  <c r="F51" i="110" s="1"/>
  <c r="E51" i="110" a="1"/>
  <c r="E51" i="110" s="1"/>
  <c r="I15" i="120" s="1"/>
  <c r="D51" i="110" a="1"/>
  <c r="D51" i="110" s="1"/>
  <c r="D50" i="110" a="1"/>
  <c r="D50" i="110" s="1"/>
  <c r="D49" i="110" a="1"/>
  <c r="D49" i="110" s="1"/>
  <c r="F46" i="110" a="1"/>
  <c r="F46" i="110" s="1"/>
  <c r="E46" i="110" a="1"/>
  <c r="E46" i="110" s="1"/>
  <c r="D46" i="110" a="1"/>
  <c r="D46" i="110" s="1"/>
  <c r="D45" i="110" a="1"/>
  <c r="D45" i="110" s="1"/>
  <c r="D44" i="110" a="1"/>
  <c r="D44" i="110" s="1"/>
  <c r="F41" i="110" a="1"/>
  <c r="F41" i="110" s="1"/>
  <c r="E41" i="110" a="1"/>
  <c r="E41" i="110" s="1"/>
  <c r="J26" i="69" s="1"/>
  <c r="D41" i="110" a="1"/>
  <c r="D41" i="110" s="1"/>
  <c r="D40" i="110" a="1"/>
  <c r="D40" i="110" s="1"/>
  <c r="D39" i="110" a="1"/>
  <c r="D39" i="110" s="1"/>
  <c r="F36" i="110" a="1"/>
  <c r="F36" i="110" s="1"/>
  <c r="E36" i="110" a="1"/>
  <c r="E36" i="110" s="1"/>
  <c r="J22" i="69" s="1"/>
  <c r="D36" i="110" a="1"/>
  <c r="D36" i="110" s="1"/>
  <c r="D35" i="110" a="1"/>
  <c r="D35" i="110" s="1"/>
  <c r="D34" i="110" a="1"/>
  <c r="D34" i="110" s="1"/>
  <c r="E31" i="110" a="1"/>
  <c r="E31" i="110" s="1"/>
  <c r="J19" i="69"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F35" i="69" a="1"/>
  <c r="F35" i="69" s="1"/>
  <c r="D32" i="69" a="1"/>
  <c r="D32" i="69" s="1"/>
  <c r="E7" i="120" a="1"/>
  <c r="H53" i="127" l="1"/>
  <c r="H48" i="127"/>
  <c r="H51" i="127"/>
  <c r="H54" i="127"/>
  <c r="H49" i="127"/>
  <c r="H52" i="127"/>
  <c r="H50" i="127"/>
  <c r="I14" i="120"/>
  <c r="E17" i="120" a="1"/>
  <c r="E17" i="120" s="1"/>
  <c r="E10" i="13" s="1"/>
  <c r="E7" i="120"/>
  <c r="J27" i="69"/>
  <c r="G19" i="120" l="1"/>
  <c r="E22" i="120" s="1" a="1"/>
  <c r="E22" i="120" s="1"/>
  <c r="H10" i="13" s="1"/>
  <c r="I10" i="13" s="1"/>
  <c r="F10" i="13"/>
  <c r="D7" i="69" a="1"/>
  <c r="D7" i="69" s="1"/>
  <c r="J21" i="69" a="1"/>
  <c r="J21" i="69" s="1"/>
  <c r="J18" i="69" a="1"/>
  <c r="J18" i="69" s="1"/>
  <c r="H14" i="69" a="1"/>
  <c r="H14" i="69" s="1"/>
  <c r="D14" i="69" a="1"/>
  <c r="D14" i="69" s="1"/>
  <c r="E12" i="69" a="1"/>
  <c r="E12" i="69" s="1"/>
  <c r="F30" i="69" s="1"/>
  <c r="E11" i="69" a="1"/>
  <c r="E11" i="69" s="1"/>
  <c r="D6" i="69" a="1"/>
  <c r="D6" i="69" s="1"/>
  <c r="D5" i="69" a="1"/>
  <c r="D5" i="69" s="1"/>
  <c r="E8" i="69" a="1"/>
  <c r="E30" i="69" l="1" a="1"/>
  <c r="E30" i="69" s="1"/>
  <c r="E9" i="13" s="1"/>
  <c r="E8" i="69"/>
  <c r="G32" i="69" l="1"/>
  <c r="E35" i="69" s="1" a="1"/>
  <c r="E35" i="69" s="1"/>
  <c r="H9" i="13" s="1"/>
  <c r="D57" i="70"/>
  <c r="H11" i="13" l="1"/>
  <c r="I9" i="13"/>
  <c r="I11"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<sst xmlns="http://schemas.openxmlformats.org/spreadsheetml/2006/main" count="176" uniqueCount="131">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</sst>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3"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4"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9"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7" fillId="4" borderId="0">
      <alignment horizontal="left" vertical="center"/>
    </xf>
    <xf numFmtId="0" fontId="38" fillId="4" borderId="0">
      <alignment horizontal="left" vertical="center"/>
    </xf>
    <xf numFmtId="0" fontId="40" fillId="4" borderId="0">
      <alignment horizontal="left" vertical="center"/>
    </xf>
    <xf numFmtId="0" fontId="36" fillId="11" borderId="0">
      <alignment horizontal="center" vertical="center"/>
    </xf>
    <xf numFmtId="0" fontId="20" fillId="11" borderId="0">
      <alignment horizontal="left" vertical="center" indent="1"/>
    </xf>
    <xf numFmtId="0" fontId="42" fillId="14" borderId="2">
      <alignment horizontal="center" vertical="center"/>
    </xf>
    <xf numFmtId="0" fontId="41" fillId="15" borderId="2">
      <alignment horizontal="center" vertical="center"/>
    </xf>
    <xf numFmtId="0" fontId="43" fillId="4" borderId="2">
      <alignment horizontal="left" vertical="center"/>
    </xf>
    <xf numFmtId="0" fontId="26" fillId="4" borderId="2">
      <alignment horizontal="left" vertical="center"/>
    </xf>
    <xf numFmtId="0" fontId="44" fillId="0" borderId="0"/>
  </cellStyleXfs>
  <cellXfs count="75">
    <xf numFmtId="0" fontId="0" fillId="0" borderId="0" xfId="0"/>
    <xf numFmtId="0" fontId="30"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4"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1" fillId="4" borderId="0" xfId="8" applyFont="1">
      <alignment horizontal="left" vertical="center"/>
    </xf>
    <xf numFmtId="0" fontId="6" fillId="4" borderId="0" xfId="53">
      <alignment horizontal="left" vertical="center"/>
    </xf>
    <xf numFmtId="0" fontId="32" fillId="4" borderId="0" xfId="54">
      <alignment horizontal="left" vertical="center"/>
    </xf>
    <xf numFmtId="0" fontId="10" fillId="0" borderId="0" xfId="32"/>
    <xf numFmtId="0" fontId="34" fillId="13" borderId="9" xfId="39" applyBorder="1">
      <alignment horizontal="left" vertical="center"/>
    </xf>
    <xf numFmtId="0" fontId="34" fillId="13" borderId="11" xfId="39" applyBorder="1">
      <alignment horizontal="left" vertical="center"/>
    </xf>
    <xf numFmtId="0" fontId="34" fillId="13" borderId="12" xfId="39" applyBorder="1">
      <alignment horizontal="left" vertical="center"/>
    </xf>
    <xf numFmtId="0" fontId="34" fillId="13" borderId="13" xfId="39" applyBorder="1">
      <alignment horizontal="left" vertical="center"/>
    </xf>
    <xf numFmtId="0" fontId="40" fillId="4" borderId="0" xfId="59">
      <alignment horizontal="left" vertical="center"/>
    </xf>
    <xf numFmtId="0" fontId="36" fillId="11" borderId="0" xfId="60">
      <alignment horizontal="center" vertical="center"/>
    </xf>
    <xf numFmtId="0" fontId="34"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1" fillId="15" borderId="2" xfId="63">
      <alignment horizontal="center" vertical="center"/>
    </xf>
    <xf numFmtId="0" fontId="42"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5" fillId="13" borderId="10" xfId="39" applyFont="1" applyBorder="1">
      <alignment horizontal="left" vertical="center"/>
    </xf>
    <xf numFmtId="0" fontId="20" fillId="10" borderId="0" xfId="35">
      <alignment horizontal="left" vertical="center" indent="1"/>
    </xf>
    <xf numFmtId="0" fontId="34" fillId="13" borderId="14" xfId="39" applyBorder="1">
      <alignment horizontal="left" vertical="center"/>
    </xf>
    <xf numFmtId="0" fontId="34" fillId="13" borderId="15" xfId="39" applyBorder="1">
      <alignment horizontal="left" vertical="center"/>
    </xf>
    <xf numFmtId="0" fontId="47" fillId="4" borderId="1" xfId="8" applyFont="1" applyBorder="1">
      <alignment horizontal="left" vertical="center"/>
    </xf>
    <xf numFmtId="0" fontId="30" fillId="4" borderId="1" xfId="8" applyBorder="1">
      <alignment horizontal="left" vertical="center"/>
    </xf>
    <xf numFmtId="0" fontId="46"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49" fillId="4" borderId="1" xfId="53" applyFont="1" applyBorder="1">
      <alignment horizontal="left" vertical="center"/>
    </xf>
    <xf numFmtId="0" fontId="2" fillId="0" borderId="2" xfId="56">
      <alignment horizontal="center" vertical="center"/>
    </xf>
    <xf numFmtId="0" fontId="34" fillId="13" borderId="17" xfId="39" applyBorder="1">
      <alignment horizontal="left" vertical="center"/>
    </xf>
    <xf numFmtId="0" fontId="39" fillId="4" borderId="0" xfId="47">
      <alignment horizontal="left" vertical="center"/>
    </xf>
    <xf numFmtId="0" fontId="6" fillId="4" borderId="0" xfId="12">
      <alignment horizontal="left" vertical="center" indent="1"/>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xf numFmtId="0" fontId="51" fillId="9" borderId="4" xfId="34" applyFont="1">
      <alignment horizontal="left" vertical="center" indent="1"/>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22" dataCellStyle="Content normal">
  <autoFilter ref="D9:E14" xr:uid="{86752300-1056-4C92-8247-C96E2D7BEDD4}">
    <filterColumn colId="0" hiddenButton="1"/>
    <filterColumn colId="1" hiddenButton="1"/>
  </autoFilter>
  <tableColumns count="2">
    <tableColumn id="1" xr3:uid="{60322701-4B4B-459F-8E0D-E1FDA0005D7E}" name="Facility type t" dataDxfId="21"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20"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19" dataCellStyle="Content normal">
  <autoFilter ref="D21:E26" xr:uid="{CAC655BD-F756-4971-8D46-22867B90DE87}">
    <filterColumn colId="0" hiddenButton="1"/>
    <filterColumn colId="1" hiddenButton="1"/>
  </autoFilter>
  <tableColumns count="2">
    <tableColumn id="1" xr3:uid="{D1DF76B8-1010-4952-AD56-4DF4622F5028}" name="Facility type t" dataDxfId="18"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17"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310740-5886-4F26-8E26-D453895857B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BE6C3B3-85EE-4327-8A6F-10418E3FDBA4}" name="State/Territory">
      <calculatedColumnFormula array="1">Common_InputFunctions.Utility_DisplayArrayInTable(Common_SourceData.Common_SourceData_AustralianStatesTerritories_Data(),Table_AustralianStates[[#Headers],[State/Territory]],0)</calculatedColumnFormula>
    </tableColumn>
    <tableColumn id="2" xr3:uid="{657CA26E-C37E-4B3B-98C6-7BED5AB06C80}" name="Common Name">
      <calculatedColumnFormula array="1">Common_InputFunctions.Utility_DisplayArrayInTable(Common_SourceData.Common_SourceData_AustralianStatesTerritories_Data(),Table_AustralianStates[[#Headers],[State/Territory]],0)</calculatedColumnFormula>
    </tableColumn>
    <tableColumn id="3" xr3:uid="{ED2054A6-B729-4999-B575-5AC53774119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BD9B0A-7494-419C-8C0E-C2B7E29AC060}" name="Table_WASA4Areas" displayName="Table_WASA4Areas" ref="D20:D30" totalsRowShown="0">
  <autoFilter ref="D20:D30" xr:uid="{5FA81339-C6C8-4D36-BEEA-6C4AEDD9E676}">
    <filterColumn colId="0" hiddenButton="1"/>
  </autoFilter>
  <tableColumns count="1">
    <tableColumn id="1" xr3:uid="{484EFDF8-5661-4DCB-BA4A-C26C1CE4D05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3ECB1A-75C1-44A7-9484-0E1E52E72F96}" name="Table_GWPData" displayName="Table_GWPData" ref="D36:E43" totalsRowShown="0">
  <autoFilter ref="D36:E43" xr:uid="{B8E87A66-3E41-4AD3-925D-01EE21B43D7A}">
    <filterColumn colId="0" hiddenButton="1"/>
    <filterColumn colId="1" hiddenButton="1"/>
  </autoFilter>
  <tableColumns count="2">
    <tableColumn id="1" xr3:uid="{A3D2B92A-FC3A-463F-9E7E-82B2A77AB147}" name="Gas">
      <calculatedColumnFormula array="1">Common_InputFunctions.Utility_DisplayArrayInTable(Common_SourceData.Common_SourceData_GWP_Data(), Table_GWPData[[#Headers],[Gas]], 0)</calculatedColumnFormula>
    </tableColumn>
    <tableColumn id="2" xr3:uid="{95A84F3B-6F44-411A-86B8-6E64EFD36570}"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4E6A36-A966-4BF7-A9E4-705DBB7888E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C198FF8-733E-46BF-81A2-B0D78722D688}" name="Gas">
      <calculatedColumnFormula array="1">Common_InputFunctions.Utility_DisplayArrayInTable(Common_SourceData.Common_SourceData_ConvertGasElementalToMolecular_Data(),Table_GasToMolecularConversionFactor[[#Headers],[Gas]], 0)</calculatedColumnFormula>
    </tableColumn>
    <tableColumn id="5" xr3:uid="{20AFED79-4B40-4B0E-A99B-7F91615C1379}" name="Conversion factor">
      <calculatedColumnFormula array="1">Common_InputFunctions.Utility_DisplayArrayInTable(Common_SourceData.Common_SourceData_ConvertGasElementalToMolecular_Data(),Table_GasToMolecularConversionFactor[[#Headers],[Gas]], 0)</calculatedColumnFormula>
    </tableColumn>
    <tableColumn id="2" xr3:uid="{0C318BFB-2EDA-4E53-A2D3-62F69C15B8A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C32820B-1E07-4E09-AC74-8C661C1E44D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92684B6-DC34-40F4-A70B-354CB81E0D2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3B153B6-41ED-4C89-8A99-1130E123AB4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F5CE39F-22B0-49A1-B3E4-0355BE0D99F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9943293-560E-4412-83D9-D0A0880BABB8}"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1C6D6086-5E6E-4948-809B-1B679044D0F3}"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E637016B-41CB-4381-943D-8BEF2929F1D7}"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D9A2F0F2-1692-48AE-A5DB-279BBA8E6820}"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7F6B93F6-3B0A-4231-BFEA-D7F6DDF25D80}"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0B17F5EA-E83A-454D-9B08-6599D497EA0E}"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703FA166-6F32-4B63-B2FE-E91C9A7A304D}"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81DAFAC4-A0B6-4185-BDE1-614320AB2934}"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E03A1B17-B4FC-4FCA-BBF5-31181766E5C9}"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515FCAD1-8901-45CC-ACEF-C22676580F26}"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C1557A3C-8CF8-4F9C-8BA3-4787EE5F0417}"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C7EE21DF-10E1-49C7-A4F4-6A9A00FC253F}"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55C5D482-B74D-4A0E-99D1-562AB6BAD7E3}"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DD112C69-08AE-49D6-89E6-4FF4038192F2}"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5641B3CD-98FA-43C0-916F-85710AC6BC5E}"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4136810-34EA-455C-A54D-9DB715C1145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FC5C2DE-554C-42A3-AC38-8F028D4BEF5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ABEC6DD-4445-430B-8B5C-23DF66CFD572}"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F3E493-5068-42AE-8750-70278D60E23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69178F2-2D1D-4091-AF9D-F42662D206E9}" name="Temperature Zone">
      <calculatedColumnFormula array="1">Common_InputFunctions.Utility_DisplayArrayInTable(Common_SourceData.Common_SourceData_TemperatureZones_Data(),Table_SourceData_TemperatureZones[[#Headers],[Temperature Zone]],0)</calculatedColumnFormula>
    </tableColumn>
    <tableColumn id="2" xr3:uid="{FA2333D1-F299-4D46-9AEC-FB381BFF982E}" name="MAT">
      <calculatedColumnFormula array="1">Common_InputFunctions.Utility_DisplayArrayInTable(Common_SourceData.Common_SourceData_TemperatureZones_Data(),Table_SourceData_TemperatureZones[[#Headers],[Temperature Zone]],0)</calculatedColumnFormula>
    </tableColumn>
    <tableColumn id="3" xr3:uid="{8172341F-A412-4576-B34D-DE1A46531B7A}" name="Min MAT">
      <calculatedColumnFormula array="1">Common_InputFunctions.Utility_DisplayArrayInTable(Common_SourceData.Common_SourceData_TemperatureZones_Data(),Table_SourceData_TemperatureZones[[#Headers],[Temperature Zone]],0)</calculatedColumnFormula>
    </tableColumn>
    <tableColumn id="4" xr3:uid="{409CB111-50D3-47B3-87BB-97074B5D17A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4F93AA5-118C-4309-9C0F-01381581093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FA53AAC-E2A2-4B0F-836B-9C665BF91999}" name="Rainfall Zone">
      <calculatedColumnFormula array="1">Common_InputFunctions.Utility_DisplayArrayInTable(Common_SourceData.Common_SourceData_RainfallZones_Data(),Table_SourceData_RainfallZones[[#Headers],[Rainfall Zone]],0)</calculatedColumnFormula>
    </tableColumn>
    <tableColumn id="2" xr3:uid="{39ED269E-9F6F-4696-86EC-3C2AD533BAB7}" name="Annual rainfall">
      <calculatedColumnFormula array="1">Common_InputFunctions.Utility_DisplayArrayInTable(Common_SourceData.Common_SourceData_RainfallZones_Data(),Table_SourceData_RainfallZones[[#Headers],[Rainfall Zone]],0)</calculatedColumnFormula>
    </tableColumn>
    <tableColumn id="3" xr3:uid="{39101C93-2904-40A8-8A17-AE5C28A08F28}" name="Min rainfall">
      <calculatedColumnFormula array="1">Common_InputFunctions.Utility_DisplayArrayInTable(Common_SourceData.Common_SourceData_RainfallZones_Data(),Table_SourceData_RainfallZones[[#Headers],[Rainfall Zone]],0)</calculatedColumnFormula>
    </tableColumn>
    <tableColumn id="4" xr3:uid="{5A33BFE6-C93F-40B0-A277-58954F8C67A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32DE72D-9079-421A-AC06-EF0480E3E25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E0F5AF1-853B-4A10-9264-E0B7DCD7CBE4}" name="Leaching Zone">
      <calculatedColumnFormula array="1">Common_InputFunctions.Utility_DisplayArrayInTable(Common_SourceData.Common_SourceData_LeachingZones_Data(), Table_SourceData_LeachingZones[[#Headers],[Leaching Zone]], 0)</calculatedColumnFormula>
    </tableColumn>
    <tableColumn id="2" xr3:uid="{1B032057-1DA5-4B3E-88ED-94D098D0D8A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DB7734-CDCD-4AD4-9195-767D750D59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66E8DD3-92D2-4702-9BB0-1677117F7516}" name="Data source">
      <calculatedColumnFormula array="1">Common_InputFunctions.Utility_DisplayArrayInTable(Common_SourceData.Common_SourceData_DataScores_Scope3_Data(), Table_SourceData_DataScores_Scope3[[#Headers],[Data source]], 0)</calculatedColumnFormula>
    </tableColumn>
    <tableColumn id="2" xr3:uid="{307FFE45-46E9-467A-B702-9D2152AAB0F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3215EEF-0F66-46E8-8493-0C2ECB064A1D}" name="Table_SourceData_FracWET" displayName="Table_SourceData_FracWET" ref="D134:E136" totalsRowShown="0">
  <autoFilter ref="D134:E136" xr:uid="{308E99BE-FE1F-47A4-B2CA-97217277C4E9}">
    <filterColumn colId="0" hiddenButton="1"/>
    <filterColumn colId="1" hiddenButton="1"/>
  </autoFilter>
  <tableColumns count="2">
    <tableColumn id="1" xr3:uid="{6C1186E0-21C5-4237-B070-AB9EB32CF2D4}" name="Is in leaching zone">
      <calculatedColumnFormula array="1">Common_InputFunctions.Utility_DisplayArrayInTable(Common_SourceData.Common_SourceData_FracWET_Data(),Table_SourceData_FracWET[[#Headers],[Is in leaching zone]],0)</calculatedColumnFormula>
    </tableColumn>
    <tableColumn id="2" xr3:uid="{25E7B126-DAAB-4A7E-8D08-BBC472059358}"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CFE0685-2AD8-4C2D-81AE-58AF89682BA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6FDDE80-60A6-43F5-B8F2-852C30FFDDD4}" name="Production system j">
      <calculatedColumnFormula array="1">Common_InputFunctions.Utility_DisplayArrayInTable(Common_SourceData.Common_SourceData_EFN2O_Data(), Table_SourceData_Common_EFN2O[[#Headers],[Production system j]], 0)</calculatedColumnFormula>
    </tableColumn>
    <tableColumn id="2" xr3:uid="{AF7EE38D-2EA6-471E-AF48-94783A63C084}" name="EFN2O">
      <calculatedColumnFormula array="1">Common_InputFunctions.Utility_DisplayArrayInTable(Common_SourceData.Common_SourceData_EFN2O_Data(), Table_SourceData_Common_EFN2O[[#Headers],[Production system j]], 0)</calculatedColumnFormula>
    </tableColumn>
    <tableColumn id="3" xr3:uid="{FF099149-CB77-4055-A9F1-24C624BE731A}" name="Production system only">
      <calculatedColumnFormula array="1">Common_InputFunctions.Utility_DisplayArrayInTable(Common_SourceData.Common_SourceData_EFN2O_Data(), Table_SourceData_Common_EFN2O[[#Headers],[Production system j]], 0)</calculatedColumnFormula>
    </tableColumn>
    <tableColumn id="4" xr3:uid="{D923759D-64DA-4871-BC83-685A00270F3F}" name="Irrigation method">
      <calculatedColumnFormula array="1">Common_InputFunctions.Utility_DisplayArrayInTable(Common_SourceData.Common_SourceData_EFN2O_Data(), Table_SourceData_Common_EFN2O[[#Headers],[Production system j]], 0)</calculatedColumnFormula>
    </tableColumn>
    <tableColumn id="5" xr3:uid="{F8B21283-BD88-4E91-ACED-93E7D567F8D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E1E0388-8BE6-4AC3-BA48-F5850C4CCB5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0E771C9-793A-451E-9134-A621AA24F3A7}" name="Irrigation type i">
      <calculatedColumnFormula array="1">Common_InputFunctions.Utility_DisplayArrayInTable(Common_SourceData.Common_SourceData_FracWETIrrigation_Data(), Table_SourceData_FracWETIrrigation[[#Headers],[Irrigation type i]], 0)</calculatedColumnFormula>
    </tableColumn>
    <tableColumn id="2" xr3:uid="{D1715F6E-94A2-4313-A5CD-F60489481CC1}"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5681F27-3966-43CD-9F25-B93F717ED62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D7639FD-A66A-474D-A3A6-A58D9019C41D}"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8ABC40B-FC6F-422F-B488-06F01CEBE1E6}"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E5586BB-570A-459F-81DD-BD7B147EF32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846D73-F428-4903-9879-09547142816D}" name="Month">
      <calculatedColumnFormula array="1">Common_InputFunctions.Utility_DisplayArrayInTable(Common_SourceData.Common_SourceData_MonthsToSeasons_Data(), Table_SourceData_Common_MonthToSeason[[#Headers],[Month]], 0)</calculatedColumnFormula>
    </tableColumn>
    <tableColumn id="2" xr3:uid="{D9F4DA30-451D-40FA-BD4F-4A7E1A9E3791}"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EE8A284-553D-4435-8E34-C191AD888DC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DE3766-E17D-4A8F-B5D1-A6BEDF74F3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D9FF22-9919-49B7-9087-FEED4F33B186}"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156DECE-8836-4D51-AFA2-1ACC408F453A}"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1FA6607-0FB9-4A8F-A0B1-048D5F14FAD8}"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31F0F9E-F7E6-4B6E-AED1-6987159BDD16}"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3948707-84DB-4491-A4BA-77144368FA93}"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B7863FD-781F-44F0-86FA-D1F65A095B95}"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AE0A734-A0E5-4DE9-8F3A-C39D225AC6E6}"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2F058B3-A46E-4D93-966E-EF7A93050304}"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A187935-F0EA-44C3-8A90-EB2BF8EEDBC6}"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A6E3942-8BBA-455F-8A15-9AA83B98F5B9}"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B87AB1C-B894-4176-A9D3-C5F2B7B3C5F2}"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17F3C41-34B6-4E8B-BD75-ABC3FCE32300}"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35223C8-2C01-4905-B90E-D682FFA0E2BA}"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B535F7B-F2CE-4721-A81E-D78DCEBDBC99}"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799D307-CBDD-47DF-9BFB-86243FF1A72A}"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D9584B4-0C6F-4D05-89EA-5DCB7F7F88F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FE936E2-F1F6-460F-BD4F-F8D56C515AA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4BA3B32-6A2F-44C0-B9A3-B1F6116D396C}"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19"/>
  <sheetViews>
    <sheetView zoomScaleNormal="100" workbookViewId="0">
      <selection activeCell="A19" sqref="A19"/>
    </sheetView>
  </sheetViews>
  <sheetFormatPr defaultRowHeight="15" x14ac:dyDescent="0.25"/>
  <sheetData>
    <row r="1" spans="1:1" ht="25.5" x14ac:dyDescent="0.35">
      <c r="A1" s="30" t="e" vm="1">
        <v>#VALUE!</v>
      </c>
    </row>
    <row r="3" spans="1:1" ht="15.75" x14ac:dyDescent="0.25">
      <c r="A3" s="39" t="str">
        <f>HYPERLINK("#'Home'!A1", "Home")</f>
        <v>Home</v>
      </c>
    </row>
    <row r="4" spans="1:1" ht="15.75" x14ac:dyDescent="0.25">
      <c r="A4" s="12" t="str">
        <f>HYPERLINK("#'Overview'!A1", "Overview")</f>
        <v>Overview</v>
      </c>
    </row>
    <row r="5" spans="1:1" ht="15.75" x14ac:dyDescent="0.25">
      <c r="A5" s="12" t="str">
        <f>HYPERLINK("#'Results'!A1", "Results")</f>
        <v>Results</v>
      </c>
    </row>
    <row r="8" spans="1:1" x14ac:dyDescent="0.25">
      <c r="A8" s="14" t="s">
        <v>0</v>
      </c>
    </row>
    <row r="9" spans="1:1" ht="15.75" x14ac:dyDescent="0.25">
      <c r="A9" s="12" t="str">
        <f>HYPERLINK("#'Input - Wastewater'!A1", "Wastewater")</f>
        <v>Wastewater</v>
      </c>
    </row>
    <row r="12" spans="1:1" x14ac:dyDescent="0.25">
      <c r="A12" s="13" t="s">
        <v>44</v>
      </c>
    </row>
    <row r="13" spans="1:1" ht="15.75" x14ac:dyDescent="0.25">
      <c r="A13" s="12" t="str">
        <f>HYPERLINK("#'11.1.1-2 Wastewater CH4'!A1", "11.1.1-2 Wastewater CH4")</f>
        <v>11.1.1-2 Wastewater CH4</v>
      </c>
    </row>
    <row r="14" spans="1:1" ht="15.75" x14ac:dyDescent="0.25">
      <c r="A14" s="12" t="str">
        <f>HYPERLINK("#'11.1.3-4 Wastewater N2O'!A1", "11.1.3-4 Wastewater N2O")</f>
        <v>11.1.3-4 Wastewater N2O</v>
      </c>
    </row>
    <row r="17" spans="1:1" x14ac:dyDescent="0.25">
      <c r="A17" s="74" t="s">
        <v>1</v>
      </c>
    </row>
    <row r="18" spans="1:1" ht="15.75" x14ac:dyDescent="0.25">
      <c r="A18" s="12" t="str">
        <f>HYPERLINK("#'Constants - Wastewater'!A1", "Constants - Wastewater")</f>
        <v>Constants - Wastewater</v>
      </c>
    </row>
    <row r="19" spans="1:1" ht="15.75" x14ac:dyDescent="0.25">
      <c r="A19" s="12"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0" t="e" vm="1">
        <v>#VALUE!</v>
      </c>
      <c r="C1" s="48" t="s">
        <v>85</v>
      </c>
      <c r="D1" s="49"/>
      <c r="E1" s="49"/>
      <c r="F1" s="49"/>
      <c r="G1" s="49"/>
      <c r="H1" s="49"/>
      <c r="I1" s="49"/>
      <c r="J1" s="49"/>
      <c r="K1" s="49"/>
      <c r="L1" s="49"/>
      <c r="M1" s="49"/>
      <c r="N1" s="49"/>
      <c r="O1" s="49"/>
      <c r="P1" s="49"/>
    </row>
    <row r="2" spans="1:17" ht="20.100000000000001" customHeight="1" x14ac:dyDescent="0.25">
      <c r="C2" s="49"/>
      <c r="D2" s="49"/>
      <c r="E2" s="49"/>
      <c r="F2" s="49"/>
      <c r="G2" s="49"/>
      <c r="H2" s="49"/>
      <c r="I2" s="49"/>
      <c r="J2" s="49"/>
      <c r="K2" s="49"/>
      <c r="L2" s="49"/>
      <c r="M2" s="49"/>
      <c r="N2" s="49"/>
      <c r="O2" s="49"/>
      <c r="P2" s="49"/>
      <c r="Q2" s="50"/>
    </row>
    <row r="3" spans="1:17" ht="20.100000000000001" customHeight="1" x14ac:dyDescent="0.25">
      <c r="A3" s="12" t="str">
        <f>HYPERLINK("#'Home'!A1", "Home")</f>
        <v>Home</v>
      </c>
      <c r="C3" s="51"/>
      <c r="D3" s="51"/>
      <c r="E3" s="51"/>
      <c r="F3" s="51"/>
      <c r="G3" s="51"/>
      <c r="H3" s="51"/>
      <c r="I3" s="51"/>
      <c r="J3" s="51"/>
      <c r="K3" s="51"/>
      <c r="L3" s="51"/>
      <c r="M3" s="51"/>
      <c r="N3" s="51"/>
      <c r="O3" s="51"/>
      <c r="P3" s="51"/>
    </row>
    <row r="4" spans="1:17" ht="20.100000000000001" customHeight="1" x14ac:dyDescent="0.25">
      <c r="A4" s="39" t="str">
        <f>HYPERLINK("#'Overview'!A1", "Overview")</f>
        <v>Overview</v>
      </c>
    </row>
    <row r="5" spans="1:17" ht="20.100000000000001" customHeight="1" x14ac:dyDescent="0.25">
      <c r="A5" s="12" t="str">
        <f>HYPERLINK("#'Results'!A1", "Results")</f>
        <v>Results</v>
      </c>
      <c r="D5" s="37" t="s">
        <v>82</v>
      </c>
      <c r="E5" s="34"/>
      <c r="F5" s="34"/>
      <c r="G5" s="34"/>
      <c r="H5" s="34"/>
      <c r="I5" s="34"/>
      <c r="J5" s="34"/>
      <c r="K5" s="34"/>
      <c r="L5" s="34"/>
      <c r="M5" s="34"/>
      <c r="N5" s="34"/>
      <c r="O5" s="31"/>
    </row>
    <row r="6" spans="1:17" ht="20.100000000000001" customHeight="1" x14ac:dyDescent="0.25">
      <c r="D6" s="52" t="s">
        <v>83</v>
      </c>
      <c r="E6" s="33"/>
      <c r="F6" s="33"/>
      <c r="G6" s="33"/>
      <c r="H6" s="33"/>
      <c r="I6" s="33"/>
      <c r="J6" s="33"/>
      <c r="K6" s="33"/>
      <c r="L6" s="33"/>
      <c r="M6" s="33"/>
      <c r="N6" s="33"/>
      <c r="O6" s="32"/>
    </row>
    <row r="7" spans="1:17" ht="20.100000000000001" customHeight="1" x14ac:dyDescent="0.25"/>
    <row r="8" spans="1:17" ht="20.100000000000001" customHeight="1" x14ac:dyDescent="0.25">
      <c r="A8" s="14" t="s">
        <v>0</v>
      </c>
    </row>
    <row r="9" spans="1:17" ht="20.100000000000001" customHeight="1" x14ac:dyDescent="0.25">
      <c r="A9" s="12" t="str">
        <f>HYPERLINK("#'Input - Wastewater'!A1", "Wastewater")</f>
        <v>Wastewater</v>
      </c>
    </row>
    <row r="10" spans="1:17" ht="20.100000000000001" customHeight="1" x14ac:dyDescent="0.25"/>
    <row r="11" spans="1:17" ht="20.100000000000001" customHeight="1" x14ac:dyDescent="0.25"/>
    <row r="12" spans="1:17" ht="20.100000000000001" customHeight="1" x14ac:dyDescent="0.25">
      <c r="A12" s="13" t="s">
        <v>44</v>
      </c>
    </row>
    <row r="13" spans="1:17" ht="20.100000000000001" customHeight="1" x14ac:dyDescent="0.25">
      <c r="A13" s="12" t="str">
        <f>HYPERLINK("#'11.1.1-2 Wastewater CH4'!A1", "11.1.1-2 Wastewater CH4")</f>
        <v>11.1.1-2 Wastewater CH4</v>
      </c>
    </row>
    <row r="14" spans="1:17" ht="20.100000000000001" customHeight="1" x14ac:dyDescent="0.25">
      <c r="A14" s="12" t="str">
        <f>HYPERLINK("#'11.1.3-4 Wastewater N2O'!A1", "11.1.3-4 Wastewater N2O")</f>
        <v>11.1.3-4 Wastewater N2O</v>
      </c>
      <c r="O14" s="1" t="s">
        <v>84</v>
      </c>
    </row>
    <row r="15" spans="1:17" ht="20.100000000000001" customHeight="1" x14ac:dyDescent="0.25"/>
    <row r="16" spans="1:17" ht="20.100000000000001" customHeight="1" x14ac:dyDescent="0.25"/>
    <row r="17" spans="1:1" ht="20.100000000000001" customHeight="1" x14ac:dyDescent="0.25">
      <c r="A17" s="74" t="s">
        <v>1</v>
      </c>
    </row>
    <row r="18" spans="1:1" ht="20.100000000000001" customHeight="1" x14ac:dyDescent="0.25">
      <c r="A18" s="12" t="str">
        <f>HYPERLINK("#'Constants - Wastewater'!A1", "Constants - Wastewater")</f>
        <v>Constants - Wastewater</v>
      </c>
    </row>
    <row r="19" spans="1:1" ht="20.100000000000001" customHeight="1" x14ac:dyDescent="0.25">
      <c r="A19" s="12" t="str">
        <f>HYPERLINK("#'Constants - Common'!A1", "Constants - Common")</f>
        <v>Constants - Common</v>
      </c>
    </row>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9" sqref="A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0" t="e" vm="1">
        <v>#VALUE!</v>
      </c>
      <c r="C1" s="48" t="s">
        <v>86</v>
      </c>
    </row>
    <row r="2" spans="1:11" ht="20.100000000000001" customHeight="1" x14ac:dyDescent="0.25">
      <c r="C2" s="8"/>
    </row>
    <row r="3" spans="1:11" ht="20.100000000000001" customHeight="1" x14ac:dyDescent="0.25">
      <c r="A3" s="12" t="str">
        <f>HYPERLINK("#'Home'!A1", "Home")</f>
        <v>Home</v>
      </c>
      <c r="C3" s="16"/>
      <c r="D3" s="16"/>
      <c r="E3" s="16"/>
      <c r="F3" s="16"/>
      <c r="G3" s="16"/>
      <c r="H3" s="16"/>
      <c r="I3" s="16"/>
      <c r="J3" s="16"/>
      <c r="K3" s="16"/>
    </row>
    <row r="4" spans="1:11" ht="20.100000000000001" customHeight="1" x14ac:dyDescent="0.25">
      <c r="A4" s="12" t="str">
        <f>HYPERLINK("#'Overview'!A1", "Overview")</f>
        <v>Overview</v>
      </c>
      <c r="C4" s="16"/>
      <c r="D4" s="5" t="s">
        <v>2</v>
      </c>
      <c r="E4" s="17"/>
      <c r="F4" s="17"/>
      <c r="G4" s="17"/>
      <c r="H4" s="17"/>
      <c r="I4" s="17"/>
      <c r="J4" s="17"/>
      <c r="K4" s="18"/>
    </row>
    <row r="5" spans="1:11" ht="20.100000000000001" customHeight="1" x14ac:dyDescent="0.3">
      <c r="A5" s="39" t="str">
        <f>HYPERLINK("#'Results'!A1", "Results")</f>
        <v>Results</v>
      </c>
      <c r="C5" s="16"/>
      <c r="D5" s="19"/>
      <c r="E5" s="20"/>
      <c r="F5" s="20"/>
      <c r="G5" s="20"/>
      <c r="H5" s="20"/>
      <c r="I5" s="20"/>
      <c r="J5" s="20"/>
      <c r="K5" s="16"/>
    </row>
    <row r="6" spans="1:11" ht="20.100000000000001" customHeight="1" x14ac:dyDescent="0.25">
      <c r="C6" s="16"/>
      <c r="D6" s="15" t="s">
        <v>79</v>
      </c>
      <c r="E6" s="16"/>
      <c r="F6" s="16"/>
      <c r="G6" s="16"/>
      <c r="H6" s="16"/>
      <c r="I6" s="16"/>
      <c r="J6" s="16"/>
      <c r="K6" s="16"/>
    </row>
    <row r="7" spans="1:11" ht="20.100000000000001" customHeight="1" x14ac:dyDescent="0.25">
      <c r="C7" s="16"/>
      <c r="D7" s="16"/>
      <c r="E7" s="16"/>
      <c r="F7" s="16"/>
      <c r="G7" s="16"/>
      <c r="H7" s="16"/>
      <c r="I7" s="16"/>
      <c r="J7" s="16"/>
      <c r="K7" s="16"/>
    </row>
    <row r="8" spans="1:11" ht="20.100000000000001" customHeight="1" x14ac:dyDescent="0.25">
      <c r="A8" s="14" t="s">
        <v>0</v>
      </c>
      <c r="C8" s="16"/>
      <c r="D8" s="36" t="s">
        <v>49</v>
      </c>
      <c r="E8" s="36" t="s">
        <v>59</v>
      </c>
      <c r="F8" s="36" t="s">
        <v>60</v>
      </c>
      <c r="G8" s="36" t="s">
        <v>54</v>
      </c>
      <c r="H8" s="36" t="s">
        <v>127</v>
      </c>
      <c r="I8" s="36" t="s">
        <v>128</v>
      </c>
      <c r="J8" s="36" t="s">
        <v>129</v>
      </c>
      <c r="K8" s="16"/>
    </row>
    <row r="9" spans="1:11" ht="20.100000000000001" customHeight="1" x14ac:dyDescent="0.25">
      <c r="A9" s="12" t="str">
        <f>HYPERLINK("#'Input - Wastewater'!A1", "Wastewater")</f>
        <v>Wastewater</v>
      </c>
      <c r="C9" s="16"/>
      <c r="D9" s="1" t="s">
        <v>123</v>
      </c>
      <c r="E9" s="47">
        <f>VEERG_11_1_1_1__1_MethaneEmissionsFromWastewaterTreatment_Result_Method1</f>
        <v>4.7159433000000001E-2</v>
      </c>
      <c r="F9" s="47">
        <f>E9</f>
        <v>4.7159433000000001E-2</v>
      </c>
      <c r="G9" s="28" t="s">
        <v>125</v>
      </c>
      <c r="H9" s="47">
        <f>'11.1.1-2 Wastewater CH4'!E35</f>
        <v>1.3204641239999999</v>
      </c>
      <c r="I9" s="47">
        <f>H9</f>
        <v>1.3204641239999999</v>
      </c>
      <c r="J9" s="28" t="s">
        <v>57</v>
      </c>
      <c r="K9" s="16"/>
    </row>
    <row r="10" spans="1:11" ht="20.100000000000001" customHeight="1" x14ac:dyDescent="0.25">
      <c r="C10" s="16"/>
      <c r="D10" s="1" t="s">
        <v>124</v>
      </c>
      <c r="E10" s="70">
        <f>VEERG_11_1_3_1__1_NitrousOxideEmissionsFromFlaredBiogas_Result_Method1</f>
        <v>4.26764E-7</v>
      </c>
      <c r="F10" s="70">
        <f>E10</f>
        <v>4.26764E-7</v>
      </c>
      <c r="G10" s="28" t="s">
        <v>126</v>
      </c>
      <c r="H10" s="47">
        <f>'11.1.3-4 Wastewater N2O'!E22</f>
        <v>1.1309246E-4</v>
      </c>
      <c r="I10" s="47">
        <f>H10</f>
        <v>1.1309246E-4</v>
      </c>
      <c r="J10" s="28" t="s">
        <v>57</v>
      </c>
      <c r="K10" s="16"/>
    </row>
    <row r="11" spans="1:11" ht="20.100000000000001" customHeight="1" x14ac:dyDescent="0.3">
      <c r="C11" s="16"/>
      <c r="D11" s="71" t="s">
        <v>130</v>
      </c>
      <c r="E11" s="72"/>
      <c r="F11" s="72"/>
      <c r="G11" s="71"/>
      <c r="H11" s="73">
        <f>SUM(H9:H10)</f>
        <v>1.3205772164599998</v>
      </c>
      <c r="I11" s="73">
        <f>SUM(I9:I10)</f>
        <v>1.3205772164599998</v>
      </c>
      <c r="J11" s="69" t="s">
        <v>57</v>
      </c>
      <c r="K11" s="16"/>
    </row>
    <row r="12" spans="1:11" ht="20.100000000000001" customHeight="1" x14ac:dyDescent="0.25">
      <c r="A12" s="13" t="s">
        <v>44</v>
      </c>
      <c r="C12" s="16"/>
      <c r="D12" s="1"/>
      <c r="E12" s="1"/>
      <c r="F12" s="1"/>
      <c r="G12" s="1"/>
      <c r="H12" s="1"/>
      <c r="I12" s="1"/>
      <c r="J12" s="1"/>
      <c r="K12" s="16"/>
    </row>
    <row r="13" spans="1:11" ht="20.100000000000001" customHeight="1" x14ac:dyDescent="0.25">
      <c r="A13" s="12" t="str">
        <f>HYPERLINK("#'11.1.1-2 Wastewater CH4'!A1", "11.1.1-2 Wastewater CH4")</f>
        <v>11.1.1-2 Wastewater CH4</v>
      </c>
      <c r="C13" s="16"/>
      <c r="D13" s="1"/>
      <c r="E13" s="1"/>
      <c r="F13" s="1"/>
      <c r="G13" s="1"/>
      <c r="H13" s="1"/>
      <c r="I13" s="1"/>
      <c r="J13" s="1"/>
      <c r="K13" s="16"/>
    </row>
    <row r="14" spans="1:11" ht="20.100000000000001" customHeight="1" x14ac:dyDescent="0.25">
      <c r="A14" s="12" t="str">
        <f>HYPERLINK("#'11.1.3-4 Wastewater N2O'!A1", "11.1.3-4 Wastewater N2O")</f>
        <v>11.1.3-4 Wastewater N2O</v>
      </c>
      <c r="C14" s="16"/>
      <c r="D14" s="1"/>
      <c r="E14" s="1"/>
      <c r="F14" s="1"/>
      <c r="G14" s="1"/>
      <c r="H14" s="1"/>
      <c r="I14" s="1"/>
      <c r="J14" s="1"/>
      <c r="K14" s="16"/>
    </row>
    <row r="15" spans="1:11" ht="20.100000000000001" customHeight="1" x14ac:dyDescent="0.25">
      <c r="C15" s="16"/>
      <c r="D15" s="1"/>
      <c r="E15" s="1"/>
      <c r="F15" s="1"/>
      <c r="G15" s="1"/>
      <c r="H15" s="1"/>
      <c r="I15" s="1"/>
      <c r="J15" s="1"/>
      <c r="K15" s="16"/>
    </row>
    <row r="16" spans="1:11" ht="20.100000000000001" customHeight="1" x14ac:dyDescent="0.25">
      <c r="C16" s="16"/>
      <c r="D16" s="1"/>
      <c r="E16" s="1"/>
      <c r="F16" s="1"/>
      <c r="G16" s="1"/>
      <c r="H16" s="1"/>
      <c r="I16" s="1"/>
      <c r="J16" s="1"/>
      <c r="K16" s="16"/>
    </row>
    <row r="17" spans="1:11" ht="20.100000000000001" customHeight="1" x14ac:dyDescent="0.25">
      <c r="A17" s="74" t="s">
        <v>1</v>
      </c>
      <c r="C17" s="16"/>
      <c r="D17" s="1"/>
      <c r="E17" s="1"/>
      <c r="F17" s="1"/>
      <c r="G17" s="1"/>
      <c r="H17" s="1"/>
      <c r="I17" s="1"/>
      <c r="J17" s="1"/>
      <c r="K17" s="16"/>
    </row>
    <row r="18" spans="1:11" ht="20.100000000000001" customHeight="1" x14ac:dyDescent="0.25">
      <c r="A18" s="12" t="str">
        <f>HYPERLINK("#'Constants - Wastewater'!A1", "Constants - Wastewater")</f>
        <v>Constants - Wastewater</v>
      </c>
      <c r="C18" s="16"/>
      <c r="D18" s="1"/>
      <c r="E18" s="1"/>
      <c r="F18" s="1"/>
      <c r="G18" s="1"/>
      <c r="H18" s="1"/>
      <c r="I18" s="1"/>
      <c r="J18" s="1"/>
      <c r="K18" s="16"/>
    </row>
    <row r="19" spans="1:11" ht="20.100000000000001" customHeight="1" x14ac:dyDescent="0.25">
      <c r="A19" s="12" t="str">
        <f>HYPERLINK("#'Constants - Common'!A1", "Constants - Common")</f>
        <v>Constants - Common</v>
      </c>
      <c r="C19" s="16"/>
      <c r="D19" s="1"/>
      <c r="E19" s="1"/>
      <c r="F19" s="1"/>
      <c r="G19" s="1"/>
      <c r="H19" s="1"/>
      <c r="I19" s="1"/>
      <c r="J19" s="1"/>
      <c r="K19" s="16"/>
    </row>
    <row r="20" spans="1:11" ht="20.100000000000001" customHeight="1" x14ac:dyDescent="0.25">
      <c r="C20" s="16"/>
      <c r="D20" s="1"/>
      <c r="E20" s="1"/>
      <c r="F20" s="1"/>
      <c r="G20" s="1"/>
      <c r="H20" s="1"/>
      <c r="I20" s="1"/>
      <c r="J20" s="1"/>
      <c r="K20" s="16"/>
    </row>
    <row r="21" spans="1:11" ht="20.100000000000001" customHeight="1" x14ac:dyDescent="0.25">
      <c r="C21" s="16"/>
      <c r="D21" s="1"/>
      <c r="E21" s="1"/>
      <c r="F21" s="1"/>
      <c r="G21" s="1"/>
      <c r="H21" s="1"/>
      <c r="I21" s="1"/>
      <c r="J21" s="1"/>
      <c r="K21" s="16"/>
    </row>
    <row r="22" spans="1:11" ht="20.100000000000001" customHeight="1" x14ac:dyDescent="0.25">
      <c r="C22" s="16"/>
      <c r="D22" s="1"/>
      <c r="E22" s="1"/>
      <c r="F22" s="1"/>
      <c r="G22" s="1"/>
      <c r="H22" s="1"/>
      <c r="I22" s="1"/>
      <c r="J22" s="1"/>
      <c r="K22" s="16"/>
    </row>
    <row r="23" spans="1:11" ht="20.100000000000001" customHeight="1" x14ac:dyDescent="0.25">
      <c r="C23" s="16"/>
      <c r="D23" s="1"/>
      <c r="E23" s="1"/>
      <c r="F23" s="1"/>
      <c r="G23" s="1"/>
      <c r="H23" s="1"/>
      <c r="I23" s="1"/>
      <c r="J23" s="1"/>
      <c r="K23" s="16"/>
    </row>
    <row r="24" spans="1:11" ht="20.100000000000001" customHeight="1" x14ac:dyDescent="0.25">
      <c r="C24" s="16"/>
      <c r="D24" s="1"/>
      <c r="E24" s="1"/>
      <c r="F24" s="1"/>
      <c r="G24" s="1"/>
      <c r="H24" s="1"/>
      <c r="I24" s="1"/>
      <c r="J24" s="1"/>
      <c r="K24" s="16"/>
    </row>
    <row r="25" spans="1:11" ht="20.100000000000001" customHeight="1" x14ac:dyDescent="0.25">
      <c r="C25" s="16"/>
      <c r="D25" s="1"/>
      <c r="E25" s="1"/>
      <c r="F25" s="1"/>
      <c r="G25" s="1"/>
      <c r="H25" s="1"/>
      <c r="I25" s="1"/>
      <c r="J25" s="1"/>
      <c r="K25" s="16"/>
    </row>
    <row r="26" spans="1:11" ht="20.100000000000001" customHeight="1" x14ac:dyDescent="0.25">
      <c r="C26" s="16"/>
      <c r="D26" s="1"/>
      <c r="E26" s="1"/>
      <c r="F26" s="1"/>
      <c r="G26" s="1"/>
      <c r="H26" s="1"/>
      <c r="I26" s="1"/>
      <c r="J26" s="1"/>
      <c r="K26" s="16"/>
    </row>
    <row r="27" spans="1:11" ht="20.100000000000001" customHeight="1" x14ac:dyDescent="0.25">
      <c r="C27" s="16"/>
      <c r="D27" s="1"/>
      <c r="E27" s="1"/>
      <c r="F27" s="1"/>
      <c r="G27" s="1"/>
      <c r="H27" s="1"/>
      <c r="I27" s="1"/>
      <c r="J27" s="1"/>
      <c r="K27" s="16"/>
    </row>
    <row r="28" spans="1:11" ht="20.100000000000001" customHeight="1" x14ac:dyDescent="0.25">
      <c r="C28" s="16"/>
      <c r="D28" s="1"/>
      <c r="E28" s="1"/>
      <c r="F28" s="1"/>
      <c r="G28" s="1"/>
      <c r="H28" s="1"/>
      <c r="I28" s="1"/>
      <c r="J28" s="1"/>
      <c r="K28" s="16"/>
    </row>
    <row r="29" spans="1:11" ht="20.100000000000001" customHeight="1" x14ac:dyDescent="0.25">
      <c r="C29" s="16"/>
      <c r="D29" s="1"/>
      <c r="E29" s="1"/>
      <c r="F29" s="1"/>
      <c r="G29" s="1"/>
      <c r="H29" s="1"/>
      <c r="I29" s="1"/>
      <c r="J29" s="1"/>
      <c r="K29" s="16"/>
    </row>
    <row r="30" spans="1:11" ht="20.100000000000001" customHeight="1" x14ac:dyDescent="0.25">
      <c r="C30" s="16"/>
      <c r="D30" s="1"/>
      <c r="E30" s="1"/>
      <c r="F30" s="1"/>
      <c r="G30" s="1"/>
      <c r="H30" s="1"/>
      <c r="I30" s="1"/>
      <c r="J30" s="1"/>
      <c r="K30" s="16"/>
    </row>
    <row r="31" spans="1:11" ht="20.100000000000001" customHeight="1" x14ac:dyDescent="0.25">
      <c r="C31" s="16"/>
      <c r="D31" s="1"/>
      <c r="E31" s="1"/>
      <c r="F31" s="1"/>
      <c r="G31" s="1"/>
      <c r="H31" s="1"/>
      <c r="I31" s="1"/>
      <c r="J31" s="1"/>
      <c r="K31" s="16"/>
    </row>
    <row r="32" spans="1:11" ht="20.100000000000001" customHeight="1" x14ac:dyDescent="0.25">
      <c r="C32" s="16"/>
      <c r="D32" s="1"/>
      <c r="E32" s="1"/>
      <c r="F32" s="1"/>
      <c r="G32" s="1"/>
      <c r="H32" s="1"/>
      <c r="I32" s="1"/>
      <c r="J32" s="1"/>
      <c r="K32" s="16"/>
    </row>
    <row r="33" spans="3:11" ht="20.100000000000001" customHeight="1" x14ac:dyDescent="0.25">
      <c r="C33" s="16"/>
      <c r="D33" s="1"/>
      <c r="E33" s="1"/>
      <c r="F33" s="1"/>
      <c r="G33" s="1"/>
      <c r="H33" s="1"/>
      <c r="I33" s="1"/>
      <c r="J33" s="1"/>
      <c r="K33" s="16"/>
    </row>
    <row r="34" spans="3:11" ht="20.100000000000001" customHeight="1" x14ac:dyDescent="0.25">
      <c r="C34" s="16"/>
      <c r="D34" s="1"/>
      <c r="E34" s="1"/>
      <c r="F34" s="1"/>
      <c r="G34" s="1"/>
      <c r="H34" s="1"/>
      <c r="I34" s="1"/>
      <c r="J34" s="1"/>
      <c r="K34" s="16"/>
    </row>
    <row r="35" spans="3:11" ht="20.100000000000001" customHeight="1" x14ac:dyDescent="0.25">
      <c r="C35" s="16"/>
      <c r="D35" s="1"/>
      <c r="E35" s="1"/>
      <c r="F35" s="1"/>
      <c r="G35" s="1"/>
      <c r="H35" s="1"/>
      <c r="I35" s="1"/>
      <c r="J35" s="1"/>
      <c r="K35" s="16"/>
    </row>
    <row r="36" spans="3:11" ht="20.100000000000001" customHeight="1" x14ac:dyDescent="0.25">
      <c r="C36" s="16"/>
      <c r="D36" s="1"/>
      <c r="E36" s="1"/>
      <c r="F36" s="1"/>
      <c r="G36" s="1"/>
      <c r="H36" s="1"/>
      <c r="I36" s="1"/>
      <c r="J36" s="1"/>
      <c r="K36" s="16"/>
    </row>
    <row r="37" spans="3:11" ht="20.100000000000001" customHeight="1" x14ac:dyDescent="0.25">
      <c r="C37" s="16"/>
      <c r="D37" s="1"/>
      <c r="E37" s="1"/>
      <c r="F37" s="1"/>
      <c r="G37" s="1"/>
      <c r="H37" s="1"/>
      <c r="I37" s="1"/>
      <c r="J37" s="1"/>
      <c r="K37" s="16"/>
    </row>
    <row r="38" spans="3:11" ht="20.100000000000001" customHeight="1" x14ac:dyDescent="0.25">
      <c r="C38" s="16"/>
      <c r="D38" s="1"/>
      <c r="E38" s="1"/>
      <c r="F38" s="1"/>
      <c r="G38" s="1"/>
      <c r="H38" s="1"/>
      <c r="I38" s="1"/>
      <c r="J38" s="1"/>
      <c r="K38" s="16"/>
    </row>
    <row r="39" spans="3:11" ht="20.100000000000001" customHeight="1" x14ac:dyDescent="0.25">
      <c r="C39" s="16"/>
      <c r="D39" s="1"/>
      <c r="E39" s="1"/>
      <c r="F39" s="1"/>
      <c r="G39" s="1"/>
      <c r="H39" s="1"/>
      <c r="I39" s="1"/>
      <c r="J39" s="1"/>
      <c r="K39" s="16"/>
    </row>
    <row r="40" spans="3:11" ht="20.100000000000001" customHeight="1" x14ac:dyDescent="0.25">
      <c r="C40" s="16"/>
      <c r="D40" s="1"/>
      <c r="E40" s="1"/>
      <c r="F40" s="1"/>
      <c r="G40" s="1"/>
      <c r="H40" s="1"/>
      <c r="I40" s="1"/>
      <c r="J40" s="1"/>
      <c r="K40" s="16"/>
    </row>
    <row r="41" spans="3:11" ht="20.100000000000001" customHeight="1" x14ac:dyDescent="0.25">
      <c r="C41" s="16"/>
      <c r="D41" s="1"/>
      <c r="E41" s="1"/>
      <c r="F41" s="1"/>
      <c r="G41" s="1"/>
      <c r="H41" s="1"/>
      <c r="I41" s="1"/>
      <c r="J41" s="1"/>
      <c r="K41" s="16"/>
    </row>
    <row r="42" spans="3:11" ht="20.100000000000001" customHeight="1" x14ac:dyDescent="0.25">
      <c r="C42" s="16"/>
      <c r="D42" s="1"/>
      <c r="E42" s="1"/>
      <c r="F42" s="1"/>
      <c r="G42" s="1"/>
      <c r="H42" s="1"/>
      <c r="I42" s="1"/>
      <c r="J42" s="1"/>
      <c r="K42" s="16"/>
    </row>
    <row r="43" spans="3:11" ht="20.100000000000001" customHeight="1" x14ac:dyDescent="0.25">
      <c r="C43" s="16"/>
      <c r="D43" s="1"/>
      <c r="E43" s="1"/>
      <c r="F43" s="1"/>
      <c r="G43" s="1"/>
      <c r="H43" s="1"/>
      <c r="I43" s="1"/>
      <c r="J43" s="1"/>
      <c r="K43" s="16"/>
    </row>
    <row r="44" spans="3:11" ht="20.100000000000001" customHeight="1" x14ac:dyDescent="0.25">
      <c r="C44" s="16"/>
      <c r="D44" s="1"/>
      <c r="E44" s="1"/>
      <c r="F44" s="1"/>
      <c r="G44" s="1"/>
      <c r="H44" s="1"/>
      <c r="I44" s="1"/>
      <c r="J44" s="1"/>
      <c r="K44" s="16"/>
    </row>
    <row r="45" spans="3:11" ht="20.100000000000001" customHeight="1" x14ac:dyDescent="0.25">
      <c r="C45" s="16"/>
      <c r="D45" s="1"/>
      <c r="E45" s="1"/>
      <c r="F45" s="1"/>
      <c r="G45" s="1"/>
      <c r="H45" s="1"/>
      <c r="I45" s="1"/>
      <c r="J45" s="1"/>
      <c r="K45" s="16"/>
    </row>
    <row r="46" spans="3:11" ht="20.100000000000001" customHeight="1" x14ac:dyDescent="0.25">
      <c r="C46" s="16"/>
      <c r="D46" s="1"/>
      <c r="E46" s="1"/>
      <c r="F46" s="1"/>
      <c r="G46" s="1"/>
      <c r="H46" s="1"/>
      <c r="I46" s="1"/>
      <c r="J46" s="1"/>
      <c r="K46" s="16"/>
    </row>
    <row r="47" spans="3:11" ht="20.100000000000001" customHeight="1" x14ac:dyDescent="0.25">
      <c r="C47" s="16"/>
      <c r="D47" s="1"/>
      <c r="E47" s="1"/>
      <c r="F47" s="1"/>
      <c r="G47" s="1"/>
      <c r="H47" s="1"/>
      <c r="I47" s="1"/>
      <c r="J47" s="1"/>
      <c r="K47" s="16"/>
    </row>
    <row r="48" spans="3:11" ht="20.100000000000001" customHeight="1" x14ac:dyDescent="0.25">
      <c r="C48" s="16"/>
      <c r="D48" s="1"/>
      <c r="E48" s="1"/>
      <c r="F48" s="1"/>
      <c r="G48" s="1"/>
      <c r="H48" s="1"/>
      <c r="I48" s="1"/>
      <c r="J48" s="1"/>
      <c r="K48" s="16"/>
    </row>
    <row r="49" spans="3:11" ht="20.100000000000001" customHeight="1" x14ac:dyDescent="0.25">
      <c r="C49" s="16"/>
      <c r="D49" s="1"/>
      <c r="E49" s="1"/>
      <c r="F49" s="1"/>
      <c r="G49" s="1"/>
      <c r="H49" s="1"/>
      <c r="I49" s="1"/>
      <c r="J49" s="1"/>
      <c r="K49" s="16"/>
    </row>
    <row r="50" spans="3:11" ht="20.100000000000001" customHeight="1" x14ac:dyDescent="0.25">
      <c r="C50" s="16"/>
      <c r="D50" s="1"/>
      <c r="E50" s="1"/>
      <c r="F50" s="1"/>
      <c r="G50" s="1"/>
      <c r="H50" s="1"/>
      <c r="I50" s="1"/>
      <c r="J50" s="1"/>
      <c r="K50" s="16"/>
    </row>
    <row r="51" spans="3:11" ht="20.100000000000001" customHeight="1" x14ac:dyDescent="0.25">
      <c r="C51" s="16"/>
      <c r="D51" s="1"/>
      <c r="E51" s="1"/>
      <c r="F51" s="1"/>
      <c r="G51" s="1"/>
      <c r="H51" s="1"/>
      <c r="I51" s="1"/>
      <c r="J51" s="1"/>
      <c r="K51" s="16"/>
    </row>
    <row r="52" spans="3:11" ht="20.100000000000001" customHeight="1" x14ac:dyDescent="0.25">
      <c r="C52" s="16"/>
      <c r="D52" s="1"/>
      <c r="E52" s="1"/>
      <c r="F52" s="1"/>
      <c r="G52" s="1"/>
      <c r="H52" s="1"/>
      <c r="I52" s="1"/>
      <c r="J52" s="1"/>
      <c r="K52" s="16"/>
    </row>
    <row r="53" spans="3:11" ht="20.100000000000001" customHeight="1" x14ac:dyDescent="0.25">
      <c r="C53" s="16"/>
      <c r="D53" s="1"/>
      <c r="E53" s="1"/>
      <c r="F53" s="1"/>
      <c r="G53" s="1"/>
      <c r="H53" s="1"/>
      <c r="I53" s="1"/>
      <c r="J53" s="1"/>
      <c r="K53" s="16"/>
    </row>
    <row r="54" spans="3:11" ht="20.100000000000001" customHeight="1" x14ac:dyDescent="0.25">
      <c r="C54" s="16"/>
      <c r="D54" s="1"/>
      <c r="E54" s="1"/>
      <c r="F54" s="1"/>
      <c r="G54" s="1"/>
      <c r="H54" s="1"/>
      <c r="I54" s="1"/>
      <c r="J54" s="1"/>
      <c r="K54" s="16"/>
    </row>
    <row r="55" spans="3:11" ht="20.100000000000001" customHeight="1" x14ac:dyDescent="0.25">
      <c r="C55" s="16"/>
      <c r="D55" s="1"/>
      <c r="E55" s="1"/>
      <c r="F55" s="1"/>
      <c r="G55" s="1"/>
      <c r="H55" s="1"/>
      <c r="I55" s="1"/>
      <c r="J55" s="1"/>
      <c r="K55" s="16"/>
    </row>
    <row r="56" spans="3:11" ht="20.100000000000001" customHeight="1" x14ac:dyDescent="0.25">
      <c r="C56" s="16"/>
      <c r="D56" s="1"/>
      <c r="E56" s="1"/>
      <c r="F56" s="1"/>
      <c r="G56" s="1"/>
      <c r="H56" s="1"/>
      <c r="I56" s="1"/>
      <c r="J56" s="1"/>
      <c r="K56" s="16"/>
    </row>
    <row r="57" spans="3:11" ht="20.100000000000001" customHeight="1" x14ac:dyDescent="0.25">
      <c r="C57" s="16"/>
      <c r="D57" s="1"/>
      <c r="E57" s="1"/>
      <c r="F57" s="1"/>
      <c r="G57" s="1"/>
      <c r="H57" s="1"/>
      <c r="I57" s="1"/>
      <c r="J57" s="1"/>
      <c r="K57" s="16"/>
    </row>
    <row r="58" spans="3:11" ht="20.100000000000001" customHeight="1" x14ac:dyDescent="0.25">
      <c r="C58" s="16"/>
      <c r="D58" s="1"/>
      <c r="E58" s="22"/>
      <c r="F58" s="21"/>
      <c r="G58" s="16"/>
      <c r="H58" s="16"/>
      <c r="I58" s="16"/>
      <c r="J58" s="16"/>
      <c r="K58" s="16"/>
    </row>
    <row r="59" spans="3:11" ht="20.100000000000001" customHeight="1" x14ac:dyDescent="0.25">
      <c r="C59" s="16"/>
      <c r="D59" s="1"/>
      <c r="E59" s="1"/>
      <c r="F59" s="1"/>
      <c r="G59" s="1"/>
      <c r="H59" s="1"/>
      <c r="I59" s="1"/>
      <c r="J59" s="1"/>
      <c r="K59" s="16"/>
    </row>
    <row r="60" spans="3:11" ht="20.100000000000001" customHeight="1" x14ac:dyDescent="0.25">
      <c r="C60" s="16"/>
      <c r="D60" s="1"/>
      <c r="E60" s="1"/>
      <c r="F60" s="1"/>
      <c r="G60" s="1"/>
      <c r="H60" s="1"/>
      <c r="I60" s="1"/>
      <c r="J60" s="1"/>
      <c r="K60" s="16"/>
    </row>
    <row r="61" spans="3:11" ht="20.100000000000001" customHeight="1" x14ac:dyDescent="0.25">
      <c r="C61" s="16"/>
      <c r="D61" s="1"/>
      <c r="E61" s="1"/>
      <c r="F61" s="1"/>
      <c r="G61" s="1"/>
      <c r="H61" s="1"/>
      <c r="I61" s="1"/>
      <c r="J61" s="1"/>
      <c r="K61" s="16"/>
    </row>
    <row r="62" spans="3:11" ht="20.100000000000001" customHeight="1" x14ac:dyDescent="0.25">
      <c r="C62" s="16"/>
      <c r="D62" s="1"/>
      <c r="E62" s="1"/>
      <c r="F62" s="1"/>
      <c r="G62" s="1"/>
      <c r="H62" s="1"/>
      <c r="I62" s="1"/>
      <c r="J62" s="1"/>
      <c r="K62" s="16"/>
    </row>
    <row r="63" spans="3:11" ht="20.100000000000001" customHeight="1" x14ac:dyDescent="0.25">
      <c r="C63" s="16"/>
      <c r="D63" s="1"/>
      <c r="E63" s="1"/>
      <c r="F63" s="1"/>
      <c r="G63" s="1"/>
      <c r="H63" s="1"/>
      <c r="I63" s="1"/>
      <c r="J63" s="1"/>
      <c r="K63" s="16"/>
    </row>
    <row r="64" spans="3:11" ht="20.100000000000001" customHeight="1" x14ac:dyDescent="0.25">
      <c r="C64" s="16"/>
      <c r="D64" s="1"/>
      <c r="E64" s="1"/>
      <c r="F64" s="1"/>
      <c r="G64" s="1"/>
      <c r="H64" s="1"/>
      <c r="I64" s="1"/>
      <c r="J64" s="1"/>
      <c r="K64" s="16"/>
    </row>
    <row r="65" spans="3:11" ht="20.100000000000001" customHeight="1" x14ac:dyDescent="0.25">
      <c r="C65" s="16"/>
      <c r="D65" s="1"/>
      <c r="E65" s="1"/>
      <c r="F65" s="1"/>
      <c r="G65" s="1"/>
      <c r="H65" s="1"/>
      <c r="I65" s="1"/>
      <c r="J65" s="1"/>
      <c r="K65" s="16"/>
    </row>
    <row r="66" spans="3:11" ht="20.100000000000001" customHeight="1" x14ac:dyDescent="0.25">
      <c r="C66" s="16"/>
      <c r="D66" s="1"/>
      <c r="E66" s="1"/>
      <c r="F66" s="1"/>
      <c r="G66" s="1"/>
      <c r="H66" s="1"/>
      <c r="I66" s="1"/>
      <c r="J66" s="1"/>
      <c r="K66" s="16"/>
    </row>
    <row r="67" spans="3:11" ht="20.100000000000001" customHeight="1" x14ac:dyDescent="0.25">
      <c r="C67" s="16"/>
      <c r="D67" s="1"/>
      <c r="E67" s="1"/>
      <c r="F67" s="1"/>
      <c r="G67" s="1"/>
      <c r="H67" s="1"/>
      <c r="I67" s="1"/>
      <c r="J67" s="1"/>
      <c r="K67" s="16"/>
    </row>
    <row r="68" spans="3:11" ht="20.100000000000001" customHeight="1" x14ac:dyDescent="0.25">
      <c r="C68" s="16"/>
      <c r="D68" s="1"/>
      <c r="E68" s="1"/>
      <c r="F68" s="1"/>
      <c r="G68" s="1"/>
      <c r="H68" s="1"/>
      <c r="I68" s="1"/>
      <c r="J68" s="1"/>
      <c r="K68" s="16"/>
    </row>
    <row r="69" spans="3:11" ht="20.100000000000001" customHeight="1" x14ac:dyDescent="0.25">
      <c r="C69" s="16"/>
      <c r="D69" s="1"/>
      <c r="E69" s="1"/>
      <c r="F69" s="1"/>
      <c r="G69" s="1"/>
      <c r="H69" s="1"/>
      <c r="I69" s="1"/>
      <c r="J69" s="1"/>
      <c r="K69" s="16"/>
    </row>
    <row r="70" spans="3:11" ht="20.100000000000001" customHeight="1" x14ac:dyDescent="0.25">
      <c r="C70" s="16"/>
      <c r="D70" s="1"/>
      <c r="E70" s="1"/>
      <c r="F70" s="1"/>
      <c r="G70" s="1"/>
      <c r="H70" s="1"/>
      <c r="I70" s="1"/>
      <c r="J70" s="1"/>
      <c r="K70" s="16"/>
    </row>
    <row r="71" spans="3:11" ht="20.100000000000001" customHeight="1" x14ac:dyDescent="0.25">
      <c r="C71" s="16"/>
      <c r="D71" s="1"/>
      <c r="E71" s="1"/>
      <c r="F71" s="1"/>
      <c r="G71" s="1"/>
      <c r="H71" s="1"/>
      <c r="I71" s="1"/>
      <c r="J71" s="1"/>
      <c r="K71" s="16"/>
    </row>
    <row r="72" spans="3:11" ht="20.100000000000001" customHeight="1" x14ac:dyDescent="0.25">
      <c r="C72" s="16"/>
      <c r="D72" s="1"/>
      <c r="E72" s="1"/>
      <c r="F72" s="1"/>
      <c r="G72" s="1"/>
      <c r="H72" s="1"/>
      <c r="I72" s="1"/>
      <c r="J72" s="1"/>
      <c r="K72" s="16"/>
    </row>
    <row r="73" spans="3:11" ht="20.100000000000001" customHeight="1" x14ac:dyDescent="0.25">
      <c r="C73" s="16"/>
      <c r="D73" s="1"/>
      <c r="E73" s="1"/>
      <c r="F73" s="1"/>
      <c r="G73" s="1"/>
      <c r="H73" s="1"/>
      <c r="I73" s="1"/>
      <c r="J73" s="1"/>
      <c r="K73" s="16"/>
    </row>
    <row r="74" spans="3:11" ht="20.100000000000001" customHeight="1" x14ac:dyDescent="0.25">
      <c r="C74" s="16"/>
      <c r="D74" s="1"/>
      <c r="E74" s="1"/>
      <c r="F74" s="1"/>
      <c r="G74" s="1"/>
      <c r="H74" s="1"/>
      <c r="I74" s="1"/>
      <c r="J74" s="1"/>
      <c r="K74" s="16"/>
    </row>
    <row r="75" spans="3:11" ht="20.100000000000001" customHeight="1" x14ac:dyDescent="0.25">
      <c r="C75" s="16"/>
      <c r="D75" s="1"/>
      <c r="E75" s="1"/>
      <c r="F75" s="1"/>
      <c r="G75" s="1"/>
      <c r="H75" s="1"/>
      <c r="I75" s="1"/>
      <c r="J75" s="1"/>
      <c r="K75" s="16"/>
    </row>
    <row r="76" spans="3:11" ht="15.75" x14ac:dyDescent="0.25">
      <c r="C76" s="16"/>
      <c r="D76" s="1"/>
      <c r="E76" s="1"/>
      <c r="F76" s="1"/>
      <c r="G76" s="1"/>
      <c r="H76" s="1"/>
      <c r="I76" s="1"/>
      <c r="J76" s="1"/>
      <c r="K76" s="16"/>
    </row>
    <row r="77" spans="3:11" ht="15.75" x14ac:dyDescent="0.25">
      <c r="C77" s="16"/>
      <c r="D77" s="1"/>
      <c r="E77" s="1"/>
      <c r="F77" s="1"/>
      <c r="G77" s="1"/>
      <c r="H77" s="1"/>
      <c r="I77" s="1"/>
      <c r="J77" s="1"/>
      <c r="K77" s="16"/>
    </row>
    <row r="78" spans="3:11" ht="15.75" x14ac:dyDescent="0.25">
      <c r="C78" s="16"/>
      <c r="D78" s="1"/>
      <c r="E78" s="1"/>
      <c r="F78" s="1"/>
      <c r="G78" s="1"/>
      <c r="H78" s="1"/>
      <c r="I78" s="1"/>
      <c r="J78" s="1"/>
      <c r="K78" s="16"/>
    </row>
    <row r="79" spans="3:11" ht="15.75" x14ac:dyDescent="0.25">
      <c r="C79" s="16"/>
      <c r="D79" s="1"/>
      <c r="E79" s="1"/>
      <c r="F79" s="1"/>
      <c r="G79" s="1"/>
      <c r="H79" s="1"/>
      <c r="I79" s="1"/>
      <c r="J79" s="1"/>
      <c r="K79" s="16"/>
    </row>
    <row r="80" spans="3:11" ht="15.75" x14ac:dyDescent="0.25">
      <c r="C80" s="16"/>
      <c r="D80" s="1"/>
      <c r="E80" s="1"/>
      <c r="F80" s="1"/>
      <c r="G80" s="1"/>
      <c r="H80" s="1"/>
      <c r="I80" s="1"/>
      <c r="J80" s="1"/>
      <c r="K80" s="16"/>
    </row>
    <row r="81" spans="3:11" ht="15.75" x14ac:dyDescent="0.25">
      <c r="C81" s="16"/>
      <c r="D81" s="1"/>
      <c r="E81" s="1"/>
      <c r="F81" s="1"/>
      <c r="G81" s="1"/>
      <c r="H81" s="1"/>
      <c r="I81" s="1"/>
      <c r="J81" s="1"/>
      <c r="K81" s="16"/>
    </row>
    <row r="82" spans="3:11" ht="15.75" x14ac:dyDescent="0.25">
      <c r="C82" s="16"/>
      <c r="D82" s="1"/>
      <c r="E82" s="1"/>
      <c r="F82" s="1"/>
      <c r="G82" s="1"/>
      <c r="H82" s="1"/>
      <c r="I82" s="1"/>
      <c r="J82" s="1"/>
      <c r="K82" s="16"/>
    </row>
    <row r="83" spans="3:11" ht="15.75" x14ac:dyDescent="0.25">
      <c r="C83" s="16"/>
      <c r="D83" s="1"/>
      <c r="E83" s="1"/>
      <c r="F83" s="1"/>
      <c r="G83" s="1"/>
      <c r="H83" s="1"/>
      <c r="I83" s="1"/>
      <c r="J83" s="1"/>
      <c r="K83" s="16"/>
    </row>
    <row r="84" spans="3:11" ht="15.75" x14ac:dyDescent="0.25">
      <c r="C84" s="16"/>
      <c r="D84" s="1"/>
      <c r="E84" s="1"/>
      <c r="F84" s="1"/>
      <c r="G84" s="1"/>
      <c r="H84" s="1"/>
      <c r="I84" s="1"/>
      <c r="J84" s="1"/>
      <c r="K84" s="16"/>
    </row>
    <row r="85" spans="3:11" ht="15.75" x14ac:dyDescent="0.25">
      <c r="C85" s="16"/>
      <c r="D85" s="1"/>
      <c r="E85" s="1"/>
      <c r="F85" s="1"/>
      <c r="G85" s="1"/>
      <c r="H85" s="1"/>
      <c r="I85" s="1"/>
      <c r="J85" s="1"/>
      <c r="K85" s="16"/>
    </row>
    <row r="86" spans="3:11" x14ac:dyDescent="0.25">
      <c r="C86" s="16"/>
      <c r="D86" s="16"/>
      <c r="E86" s="16"/>
      <c r="F86" s="16"/>
      <c r="G86" s="16"/>
      <c r="H86" s="16"/>
      <c r="I86" s="16"/>
      <c r="J86" s="16"/>
      <c r="K86" s="16"/>
    </row>
    <row r="87" spans="3:11" x14ac:dyDescent="0.25">
      <c r="C87" s="16"/>
      <c r="D87" s="16"/>
      <c r="E87" s="16"/>
      <c r="F87" s="16"/>
      <c r="G87" s="16"/>
      <c r="H87" s="16"/>
      <c r="I87" s="16"/>
      <c r="J87" s="16"/>
      <c r="K8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0" customFormat="1" ht="30" customHeight="1" x14ac:dyDescent="0.35">
      <c r="A1" s="30" t="e" vm="1">
        <v>#VALUE!</v>
      </c>
      <c r="C1" s="30" t="s">
        <v>122</v>
      </c>
    </row>
    <row r="2" spans="1:10" s="8" customFormat="1" ht="20.100000000000001" customHeight="1" x14ac:dyDescent="0.25">
      <c r="A2"/>
    </row>
    <row r="3" spans="1:10" ht="20.100000000000001" customHeight="1" x14ac:dyDescent="0.25">
      <c r="A3" s="12" t="str">
        <f>HYPERLINK("#'Home'!A1", "Home")</f>
        <v>Home</v>
      </c>
      <c r="C3" s="11"/>
      <c r="D3" s="11"/>
      <c r="E3" s="11"/>
      <c r="F3" s="11"/>
      <c r="G3" s="11"/>
      <c r="H3" s="11"/>
      <c r="I3" s="11"/>
      <c r="J3" s="11"/>
    </row>
    <row r="4" spans="1:10" ht="20.100000000000001" customHeight="1" x14ac:dyDescent="0.25">
      <c r="A4" s="12" t="str">
        <f>HYPERLINK("#'Overview'!A1", "Overview")</f>
        <v>Overview</v>
      </c>
    </row>
    <row r="5" spans="1:10" ht="20.100000000000001" customHeight="1" x14ac:dyDescent="0.25">
      <c r="A5" s="12" t="str">
        <f>HYPERLINK("#'Results'!A1", "Results")</f>
        <v>Results</v>
      </c>
      <c r="D5" s="5" t="s">
        <v>90</v>
      </c>
    </row>
    <row r="6" spans="1:10" ht="20.100000000000001" customHeight="1" x14ac:dyDescent="0.25"/>
    <row r="7" spans="1:10" ht="20.100000000000001" customHeight="1" x14ac:dyDescent="0.25">
      <c r="D7" s="1" t="s">
        <v>116</v>
      </c>
      <c r="F7" s="25" t="s">
        <v>118</v>
      </c>
      <c r="G7" s="65" t="s">
        <v>117</v>
      </c>
    </row>
    <row r="8" spans="1:10" ht="20.100000000000001" customHeight="1" x14ac:dyDescent="0.25">
      <c r="A8" s="14" t="s">
        <v>0</v>
      </c>
      <c r="D8" s="1" t="s">
        <v>92</v>
      </c>
      <c r="F8" s="62">
        <v>1000</v>
      </c>
      <c r="G8" s="65" t="s">
        <v>91</v>
      </c>
    </row>
    <row r="9" spans="1:10" ht="20.100000000000001" customHeight="1" x14ac:dyDescent="0.25">
      <c r="A9" s="38" t="str">
        <f>HYPERLINK("#'Input - Wastewater'!A1", "Wastewater")</f>
        <v>Wastewater</v>
      </c>
    </row>
    <row r="10" spans="1:10" ht="20.100000000000001" customHeight="1" x14ac:dyDescent="0.25">
      <c r="D10" s="64" t="s">
        <v>114</v>
      </c>
    </row>
    <row r="11" spans="1:10" ht="20.100000000000001" customHeight="1" x14ac:dyDescent="0.25"/>
    <row r="12" spans="1:10" ht="20.100000000000001" customHeight="1" x14ac:dyDescent="0.25">
      <c r="A12" s="13" t="s">
        <v>44</v>
      </c>
      <c r="D12" s="54" t="s">
        <v>115</v>
      </c>
      <c r="E12" s="63"/>
      <c r="F12" s="55"/>
    </row>
    <row r="13" spans="1:10" ht="20.100000000000001" customHeight="1" x14ac:dyDescent="0.25">
      <c r="A13" s="12" t="str">
        <f>HYPERLINK("#'11.1.1-2 Wastewater CH4'!A1", "11.1.1-2 Wastewater CH4")</f>
        <v>11.1.1-2 Wastewater CH4</v>
      </c>
    </row>
    <row r="14" spans="1:10" ht="20.100000000000001" customHeight="1" x14ac:dyDescent="0.25">
      <c r="A14" s="12" t="str">
        <f>HYPERLINK("#'11.1.3-4 Wastewater N2O'!A1", "11.1.3-4 Wastewater N2O")</f>
        <v>11.1.3-4 Wastewater N2O</v>
      </c>
      <c r="D14" s="1" t="s">
        <v>93</v>
      </c>
      <c r="F14" s="62">
        <v>0.9</v>
      </c>
      <c r="G14" s="65" t="s">
        <v>94</v>
      </c>
    </row>
    <row r="15" spans="1:10" ht="20.100000000000001" customHeight="1" x14ac:dyDescent="0.25">
      <c r="D15" s="1" t="s">
        <v>101</v>
      </c>
      <c r="F15" s="62">
        <v>0.5</v>
      </c>
      <c r="G15" s="65" t="s">
        <v>100</v>
      </c>
    </row>
    <row r="16" spans="1:10" ht="20.100000000000001" customHeight="1" x14ac:dyDescent="0.25">
      <c r="D16" s="1" t="s">
        <v>113</v>
      </c>
      <c r="F16" s="62">
        <v>0.2</v>
      </c>
      <c r="G16" s="65" t="s">
        <v>100</v>
      </c>
    </row>
    <row r="17" spans="1:11" ht="20.100000000000001" customHeight="1" x14ac:dyDescent="0.25">
      <c r="A17" s="74" t="s">
        <v>1</v>
      </c>
      <c r="D17" s="1" t="s">
        <v>95</v>
      </c>
      <c r="F17" s="62">
        <v>0.1</v>
      </c>
      <c r="G17" s="65" t="s">
        <v>94</v>
      </c>
    </row>
    <row r="18" spans="1:11" ht="20.100000000000001" customHeight="1" x14ac:dyDescent="0.25">
      <c r="A18" s="12" t="str">
        <f>HYPERLINK("#'Constants - Wastewater'!A1", "Constants - Wastewater")</f>
        <v>Constants - Wastewater</v>
      </c>
    </row>
    <row r="19" spans="1:11" ht="20.100000000000001" customHeight="1" x14ac:dyDescent="0.25">
      <c r="A19" s="12" t="str">
        <f>HYPERLINK("#'Constants - Common'!A1", "Constants - Common")</f>
        <v>Constants - Common</v>
      </c>
    </row>
    <row r="20" spans="1:11" ht="20.100000000000001" customHeight="1" x14ac:dyDescent="0.25">
      <c r="D20" s="64" t="s">
        <v>112</v>
      </c>
    </row>
    <row r="21" spans="1:11" ht="20.100000000000001" customHeight="1" x14ac:dyDescent="0.25"/>
    <row r="22" spans="1:11" ht="20.100000000000001" customHeight="1" x14ac:dyDescent="0.25">
      <c r="D22" s="54" t="s">
        <v>111</v>
      </c>
      <c r="E22" s="63"/>
      <c r="F22" s="55"/>
    </row>
    <row r="23" spans="1:11" ht="20.100000000000001" customHeight="1" x14ac:dyDescent="0.25"/>
    <row r="24" spans="1:11" ht="20.100000000000001" customHeight="1" x14ac:dyDescent="0.25">
      <c r="D24" s="1" t="s">
        <v>96</v>
      </c>
      <c r="F24" s="62">
        <v>100</v>
      </c>
      <c r="G24" s="65" t="s">
        <v>99</v>
      </c>
    </row>
    <row r="25" spans="1:11" ht="20.100000000000001" customHeight="1" x14ac:dyDescent="0.25">
      <c r="D25" s="1" t="s">
        <v>97</v>
      </c>
      <c r="F25" s="62">
        <v>100</v>
      </c>
      <c r="G25" s="65" t="s">
        <v>99</v>
      </c>
    </row>
    <row r="26" spans="1:11" ht="20.100000000000001" customHeight="1" x14ac:dyDescent="0.25">
      <c r="D26" s="1" t="s">
        <v>98</v>
      </c>
      <c r="F26" s="62">
        <v>100</v>
      </c>
      <c r="G26" s="65" t="s">
        <v>99</v>
      </c>
    </row>
    <row r="27" spans="1:11" ht="20.100000000000001" customHeight="1" x14ac:dyDescent="0.25"/>
    <row r="28" spans="1:11" ht="20.100000000000001" customHeight="1" x14ac:dyDescent="0.25"/>
    <row r="29" spans="1:11" ht="20.100000000000001" customHeight="1" x14ac:dyDescent="0.25">
      <c r="K29" s="43"/>
    </row>
    <row r="30" spans="1:11" ht="20.100000000000001" customHeight="1" x14ac:dyDescent="0.25">
      <c r="K30" s="43"/>
    </row>
    <row r="31" spans="1:11" ht="20.100000000000001" customHeight="1" x14ac:dyDescent="0.25">
      <c r="K31" s="43"/>
    </row>
    <row r="32" spans="1:11" ht="20.100000000000001" customHeight="1" x14ac:dyDescent="0.25">
      <c r="K32" s="43"/>
    </row>
    <row r="33" spans="1:12" ht="20.100000000000001" customHeight="1" x14ac:dyDescent="0.25">
      <c r="K33" s="43"/>
    </row>
    <row r="34" spans="1:12" ht="20.100000000000001" customHeight="1" x14ac:dyDescent="0.25">
      <c r="K34" s="43"/>
    </row>
    <row r="35" spans="1:12" ht="20.100000000000001" customHeight="1" x14ac:dyDescent="0.25"/>
    <row r="36" spans="1:12" ht="20.100000000000001" customHeight="1" x14ac:dyDescent="0.25">
      <c r="L36" s="43"/>
    </row>
    <row r="37" spans="1:12" ht="20.100000000000001" customHeight="1" x14ac:dyDescent="0.25">
      <c r="L37" s="43"/>
    </row>
    <row r="38" spans="1:12" ht="20.100000000000001" customHeight="1" x14ac:dyDescent="0.25">
      <c r="C38" s="42"/>
    </row>
    <row r="39" spans="1:12" ht="20.100000000000001" customHeight="1" x14ac:dyDescent="0.25">
      <c r="C39" s="42"/>
      <c r="J39" s="42"/>
    </row>
    <row r="40" spans="1:12" s="43" customFormat="1" ht="20.100000000000001" customHeight="1" x14ac:dyDescent="0.25">
      <c r="A40"/>
      <c r="C40" s="1"/>
      <c r="D40" s="1"/>
      <c r="E40" s="1"/>
      <c r="F40" s="1"/>
      <c r="G40" s="1"/>
      <c r="H40" s="1"/>
      <c r="I40" s="1"/>
      <c r="J40" s="1"/>
    </row>
    <row r="41" spans="1:12" s="43" customFormat="1" ht="20.100000000000001" customHeight="1" x14ac:dyDescent="0.25">
      <c r="A41"/>
      <c r="C41" s="1"/>
      <c r="D41" s="1"/>
      <c r="E41" s="1"/>
      <c r="F41" s="1"/>
      <c r="G41" s="1"/>
      <c r="H41" s="1"/>
      <c r="I41" s="1"/>
      <c r="J41" s="1"/>
      <c r="L41" s="43" t="s">
        <v>84</v>
      </c>
    </row>
    <row r="42" spans="1:12" ht="20.100000000000001" customHeight="1" x14ac:dyDescent="0.25"/>
    <row r="43" spans="1:12" ht="20.100000000000001" customHeight="1" x14ac:dyDescent="0.25"/>
    <row r="44" spans="1:12" ht="20.100000000000001" customHeight="1" x14ac:dyDescent="0.25"/>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103</v>
      </c>
    </row>
    <row r="55" spans="4:5" ht="20.100000000000001" customHeight="1" x14ac:dyDescent="0.25">
      <c r="E55" s="1" t="s">
        <v>109</v>
      </c>
    </row>
    <row r="56" spans="4:5" ht="20.100000000000001" customHeight="1" x14ac:dyDescent="0.25">
      <c r="D56" s="1" t="s">
        <v>102</v>
      </c>
    </row>
    <row r="57" spans="4:5" ht="20.100000000000001" customHeight="1" x14ac:dyDescent="0.25">
      <c r="D57" s="1">
        <f>F8*(F14*(1-F15)-F17)</f>
        <v>350</v>
      </c>
    </row>
    <row r="58" spans="4:5" ht="20.100000000000001" customHeight="1" x14ac:dyDescent="0.25"/>
    <row r="59" spans="4:5" ht="20.100000000000001" customHeight="1" x14ac:dyDescent="0.25">
      <c r="E59" s="1" t="s">
        <v>109</v>
      </c>
    </row>
    <row r="60" spans="4:5" ht="20.100000000000001" customHeight="1" x14ac:dyDescent="0.25">
      <c r="D60" s="1" t="s">
        <v>104</v>
      </c>
    </row>
    <row r="61" spans="4:5" ht="20.100000000000001" customHeight="1" x14ac:dyDescent="0.25"/>
    <row r="62" spans="4:5" ht="20.100000000000001" customHeight="1" x14ac:dyDescent="0.25">
      <c r="D62" s="1" t="s">
        <v>107</v>
      </c>
    </row>
    <row r="63" spans="4:5" ht="20.100000000000001" customHeight="1" x14ac:dyDescent="0.25"/>
    <row r="64" spans="4:5" ht="20.100000000000001" customHeight="1" x14ac:dyDescent="0.25"/>
    <row r="65" spans="4:5" ht="20.100000000000001" customHeight="1" x14ac:dyDescent="0.25">
      <c r="D65" s="1" t="s">
        <v>106</v>
      </c>
      <c r="E65" s="1" t="s">
        <v>108</v>
      </c>
    </row>
    <row r="66" spans="4:5" ht="20.100000000000001" customHeight="1" x14ac:dyDescent="0.25"/>
    <row r="67" spans="4:5" ht="20.100000000000001" customHeight="1" x14ac:dyDescent="0.25"/>
    <row r="68" spans="4:5" ht="20.100000000000001" customHeight="1" x14ac:dyDescent="0.25">
      <c r="D68" s="1" t="s">
        <v>105</v>
      </c>
    </row>
    <row r="69" spans="4:5" ht="20.100000000000001" customHeight="1" x14ac:dyDescent="0.25"/>
    <row r="70" spans="4:5" ht="20.100000000000001" customHeight="1" x14ac:dyDescent="0.25">
      <c r="D70" s="1" t="s">
        <v>110</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5"/>
    </row>
  </sheetData>
  <conditionalFormatting sqref="D39:H43">
    <cfRule type="cellIs" dxfId="16" priority="1" operator="lessThan">
      <formula>0</formula>
    </cfRule>
  </conditionalFormatting>
  <conditionalFormatting sqref="F148:F149">
    <cfRule type="cellIs" dxfId="15" priority="21" operator="lessThan">
      <formula>0</formula>
    </cfRule>
  </conditionalFormatting>
  <conditionalFormatting sqref="F160:F161">
    <cfRule type="cellIs" dxfId="14" priority="20" operator="lessThan">
      <formula>0</formula>
    </cfRule>
  </conditionalFormatting>
  <conditionalFormatting sqref="F172:F173">
    <cfRule type="cellIs" dxfId="13" priority="19" operator="lessThan">
      <formula>0</formula>
    </cfRule>
  </conditionalFormatting>
  <conditionalFormatting sqref="F260:F261">
    <cfRule type="cellIs" dxfId="12" priority="94" operator="lessThan">
      <formula>0</formula>
    </cfRule>
  </conditionalFormatting>
  <conditionalFormatting sqref="F265:F266">
    <cfRule type="cellIs" dxfId="11" priority="93" operator="lessThan">
      <formula>0</formula>
    </cfRule>
  </conditionalFormatting>
  <conditionalFormatting sqref="F270:F271">
    <cfRule type="cellIs" dxfId="10" priority="92" operator="lessThan">
      <formula>0</formula>
    </cfRule>
  </conditionalFormatting>
  <conditionalFormatting sqref="F294:F295">
    <cfRule type="cellIs" dxfId="9" priority="86" operator="lessThan">
      <formula>0</formula>
    </cfRule>
  </conditionalFormatting>
  <conditionalFormatting sqref="F299:F300">
    <cfRule type="cellIs" dxfId="8" priority="85" operator="lessThan">
      <formula>0</formula>
    </cfRule>
  </conditionalFormatting>
  <conditionalFormatting sqref="F304:F305">
    <cfRule type="cellIs" dxfId="7" priority="84" operator="lessThan">
      <formula>0</formula>
    </cfRule>
  </conditionalFormatting>
  <conditionalFormatting sqref="I65:I69">
    <cfRule type="cellIs" dxfId="6" priority="6" operator="lessThan">
      <formula>0</formula>
    </cfRule>
  </conditionalFormatting>
  <conditionalFormatting sqref="I73 I132">
    <cfRule type="cellIs" dxfId="5" priority="75" operator="lessThan">
      <formula>0</formula>
    </cfRule>
  </conditionalFormatting>
  <conditionalFormatting sqref="I84:I86">
    <cfRule type="cellIs" dxfId="4" priority="5" operator="lessThan">
      <formula>0</formula>
    </cfRule>
  </conditionalFormatting>
  <conditionalFormatting sqref="I90:I93">
    <cfRule type="cellIs" dxfId="3" priority="4" operator="lessThan">
      <formula>0</formula>
    </cfRule>
  </conditionalFormatting>
  <conditionalFormatting sqref="I97:I101">
    <cfRule type="cellIs" dxfId="2" priority="2" operator="lessThan">
      <formula>0</formula>
    </cfRule>
  </conditionalFormatting>
  <conditionalFormatting sqref="J8 I51:I52 H53:H55 I54 I56:I58 I60:I61 I212 I218 E220:G220">
    <cfRule type="cellIs" dxfId="1" priority="80" operator="lessThan">
      <formula>0</formula>
    </cfRule>
  </conditionalFormatting>
  <conditionalFormatting sqref="J37 I45 F136:F137">
    <cfRule type="cellIs" dxfId="0" priority="22" operator="lessThan">
      <formula>0</formula>
    </cfRule>
  </conditionalFormatting>
  <dataValidations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0" t="e" vm="1">
        <v>#VALUE!</v>
      </c>
      <c r="C1" s="7" t="s">
        <v>123</v>
      </c>
    </row>
    <row r="2" spans="1:12" s="8" customFormat="1" ht="20.100000000000001" customHeight="1" x14ac:dyDescent="0.25">
      <c r="A2"/>
    </row>
    <row r="3" spans="1:12" ht="20.100000000000001" customHeight="1" x14ac:dyDescent="0.25">
      <c r="A3" s="12" t="str">
        <f>HYPERLINK("#'Home'!A1", "Home")</f>
        <v>Home</v>
      </c>
      <c r="C3" s="3"/>
      <c r="D3" s="3" t="s">
        <v>48</v>
      </c>
      <c r="E3" s="3"/>
      <c r="F3" s="3"/>
      <c r="G3" s="3"/>
      <c r="H3" s="3"/>
      <c r="I3" s="3"/>
      <c r="J3" s="3"/>
      <c r="K3" s="3"/>
      <c r="L3" s="3"/>
    </row>
    <row r="4" spans="1:12" ht="20.100000000000001" customHeight="1" x14ac:dyDescent="0.25">
      <c r="A4" s="12" t="str">
        <f>HYPERLINK("#'Overview'!A1", "Overview")</f>
        <v>Overview</v>
      </c>
    </row>
    <row r="5" spans="1:12" ht="20.100000000000001" customHeight="1" x14ac:dyDescent="0.25">
      <c r="A5" s="12" t="str">
        <f>HYPERLINK("#'Results'!A1", "Results")</f>
        <v>Results</v>
      </c>
      <c r="D5" s="5" t="str" cm="1">
        <f t="array" ref="D5">Wastewater_Methane_Equations.VEERG_11_1_1_1__1_MethaneEmissionsFromWastewaterTreatment_Title()</f>
        <v>Methane emissions from wastewater treatment</v>
      </c>
    </row>
    <row r="6" spans="1:12" ht="20.100000000000001" customHeight="1" x14ac:dyDescent="0.25">
      <c r="D6" s="4" t="str" cm="1">
        <f t="array" ref="D6">Wastewater_Methane_Equations.VEERG_11_1_1_1__1_MethaneEmissionsFromWastewaterTreatment_Source()</f>
        <v>VEERG 2026: 11.1.1.1, Equation (1)</v>
      </c>
    </row>
    <row r="7" spans="1:12" ht="20.100000000000001" customHeight="1" x14ac:dyDescent="0.25">
      <c r="D7" s="29" t="str" cm="1">
        <f t="array" ref="D7">Wastewater_Methane_Equations.VEERG_11_1_1_1__1_MethaneEmissionsFromWastewaterTreatment_Variation()</f>
        <v xml:space="preserve">VARIATION ON SOURCE: Changed units of EF_ww, EF_Sludge and EF_flared from CO2e to CH4 to match data in Table </v>
      </c>
    </row>
    <row r="8" spans="1:12" ht="20.100000000000001" customHeight="1" x14ac:dyDescent="0.25">
      <c r="A8" s="14" t="s">
        <v>0</v>
      </c>
      <c r="D8" s="10" t="s">
        <v>9</v>
      </c>
      <c r="E8" s="10" t="str" cm="1">
        <f t="array" aca="1" ref="E8" ca="1">Common_InputFunctions.Utility_DisplayFunctionName(E30)</f>
        <v>=Wastewater_Methane_Equations.VEERG_11_1_1_1__1_MethaneEmissionsFromWastewaterTreatment</v>
      </c>
    </row>
    <row r="9" spans="1:12" ht="20.100000000000001" customHeight="1" x14ac:dyDescent="0.25">
      <c r="A9" s="12" t="str">
        <f>HYPERLINK("#'Input - Wastewater'!A1", "Wastewater")</f>
        <v>Wastewater</v>
      </c>
    </row>
    <row r="10" spans="1:12" ht="20.100000000000001" customHeight="1" x14ac:dyDescent="0.25"/>
    <row r="11" spans="1:12" ht="20.100000000000001" customHeight="1" x14ac:dyDescent="0.25">
      <c r="D11" s="27" t="s">
        <v>12</v>
      </c>
      <c r="E11" s="1" t="str" cm="1">
        <f t="array" ref="E11">Wastewater_Methane_Equations.VEERG_11_1_1_1__1_MethaneEmissionsFromWastewaterTreatment_Variable()</f>
        <v>E_CH4</v>
      </c>
    </row>
    <row r="12" spans="1:12" ht="20.100000000000001" customHeight="1" x14ac:dyDescent="0.25">
      <c r="A12" s="13" t="s">
        <v>44</v>
      </c>
      <c r="D12" s="27" t="s">
        <v>4</v>
      </c>
      <c r="E12" s="28" t="str" cm="1">
        <f t="array" ref="E12">Wastewater_Methane_Equations.VEERG_11_1_1_1__1_MethaneEmissionsFromWastewaterTreatment_Unit()</f>
        <v>t CH4</v>
      </c>
    </row>
    <row r="13" spans="1:12" ht="20.100000000000001" customHeight="1" x14ac:dyDescent="0.25">
      <c r="A13" s="60" t="str">
        <f>HYPERLINK("#'11.1.1-2 Wastewater CH4'!A1", "11.1.1-2 Wastewater CH4")</f>
        <v>11.1.1-2 Wastewater CH4</v>
      </c>
    </row>
    <row r="14" spans="1:12" ht="20.100000000000001" customHeight="1" x14ac:dyDescent="0.25">
      <c r="A14" s="12" t="str">
        <f>HYPERLINK("#'11.1.3-4 Wastewater N2O'!A1", "11.1.3-4 Wastewater N2O")</f>
        <v>11.1.3-4 Wastewater N2O</v>
      </c>
      <c r="D14" s="44" t="str" cm="1">
        <f t="array" ref="D14:E28">_xlfn.CHOOSECOLS(Wastewater_Methane_Equations.VEERG_11_1_1_1__1_MethaneEmissionsFromWastewaterTreatment_Arguments(),1,2)</f>
        <v>W_t</v>
      </c>
      <c r="E14" s="46" t="str">
        <v>quantity of wastewater treated at facility type t</v>
      </c>
      <c r="F14" s="59"/>
      <c r="G14" s="45"/>
      <c r="H14" s="44" t="str" cm="1">
        <f t="array" ref="H14:I28">_xlfn.CHOOSECOLS(Wastewater_Methane_Equations.VEERG_11_1_1_1__1_MethaneEmissionsFromWastewaterTreatment_Arguments(),3,4)</f>
        <v>m3</v>
      </c>
      <c r="I14" s="41" t="str">
        <v>Input</v>
      </c>
      <c r="J14" s="44">
        <f>X_Cell_Wastewater_QuantityInM3</f>
        <v>1000</v>
      </c>
    </row>
    <row r="15" spans="1:12" ht="20.100000000000001" customHeight="1" x14ac:dyDescent="0.25">
      <c r="D15" s="44" t="str">
        <v>COD_in</v>
      </c>
      <c r="E15" s="46" t="str">
        <v>average inlet Chemical Oxygen Demand concentration of wastewater</v>
      </c>
      <c r="F15" s="59"/>
      <c r="G15" s="45"/>
      <c r="H15" s="44" t="str">
        <v>kg COD/m3</v>
      </c>
      <c r="I15" s="41" t="str">
        <v>Input</v>
      </c>
      <c r="J15" s="44">
        <f>X_Cell_Wastewater_InletCOD</f>
        <v>0.9</v>
      </c>
    </row>
    <row r="16" spans="1:12" ht="20.100000000000001" customHeight="1" x14ac:dyDescent="0.25">
      <c r="D16" s="44" t="str">
        <v>F_sludge</v>
      </c>
      <c r="E16" s="46" t="str">
        <v>fraction of COD removed from wastewater as sludge</v>
      </c>
      <c r="F16" s="59"/>
      <c r="G16" s="45"/>
      <c r="H16" s="44" t="str">
        <v>fraction</v>
      </c>
      <c r="I16" s="41" t="str">
        <v>Input</v>
      </c>
      <c r="J16" s="44">
        <f>X_Cell_Wastewater_FractionCODRemovedAsSludge</f>
        <v>0.5</v>
      </c>
    </row>
    <row r="17" spans="1:10" ht="20.100000000000001" customHeight="1" x14ac:dyDescent="0.25">
      <c r="A17" s="74" t="s">
        <v>1</v>
      </c>
      <c r="D17" s="44" t="str">
        <v>COD_out</v>
      </c>
      <c r="E17" s="46" t="str">
        <v>average outlet COD concentration of wastewater</v>
      </c>
      <c r="F17" s="59"/>
      <c r="G17" s="45"/>
      <c r="H17" s="44" t="str">
        <v>kg COD/m3</v>
      </c>
      <c r="I17" s="41" t="str">
        <v>Input</v>
      </c>
      <c r="J17" s="44">
        <f>X_Cell_Wastewater_OutletCOD</f>
        <v>0.1</v>
      </c>
    </row>
    <row r="18" spans="1:10" ht="20.100000000000001" customHeight="1" x14ac:dyDescent="0.25">
      <c r="A18" s="12" t="str">
        <f>HYPERLINK("#'Constants - Wastewater'!A1", "Constants - Wastewater")</f>
        <v>Constants - Wastewater</v>
      </c>
      <c r="D18" s="44" t="str">
        <v>CF_ww_t</v>
      </c>
      <c r="E18" s="46" t="str">
        <v>methane correction factor for facility type t used to treat wastewater</v>
      </c>
      <c r="F18" s="59"/>
      <c r="G18" s="45"/>
      <c r="H18" s="44" t="str">
        <v>fraction</v>
      </c>
      <c r="I18" s="40" t="str">
        <v>Constant</v>
      </c>
      <c r="J18" s="44" cm="1">
        <f t="array" ref="J18">Common_InputFunctions.Utility_LookupValueInTableNumber(J28,Table_SourceData_MCF_Wastewater[Facility type t],Table_SourceData_MCF_Wastewater[CFww,t])</f>
        <v>0.3</v>
      </c>
    </row>
    <row r="19" spans="1:10" ht="20.100000000000001" customHeight="1" x14ac:dyDescent="0.25">
      <c r="A19" s="12" t="str">
        <f>HYPERLINK("#'Constants - Common'!A1", "Constants - Common")</f>
        <v>Constants - Common</v>
      </c>
      <c r="D19" s="44" t="str">
        <v>EF_ww</v>
      </c>
      <c r="E19" s="46" t="str">
        <v>methane emission factor for wastewater</v>
      </c>
      <c r="F19" s="59"/>
      <c r="G19" s="45"/>
      <c r="H19" s="44" t="str">
        <v>kg CH4/kg COD</v>
      </c>
      <c r="I19" s="40" t="str">
        <v>Constant</v>
      </c>
      <c r="J19" s="44">
        <f>'Constants - Wastewater'!$E$31</f>
        <v>0.25</v>
      </c>
    </row>
    <row r="20" spans="1:10" ht="20.100000000000001" customHeight="1" x14ac:dyDescent="0.25">
      <c r="D20" s="44" t="str">
        <v>F_removed</v>
      </c>
      <c r="E20" s="46" t="str">
        <v>fraction of COD removed from the wastewater treatment facility and transferred elsewhere</v>
      </c>
      <c r="F20" s="59"/>
      <c r="G20" s="45"/>
      <c r="H20" s="44" t="str">
        <v>fraction</v>
      </c>
      <c r="I20" s="41" t="str">
        <v>Input</v>
      </c>
      <c r="J20" s="44">
        <f>X_Cell_Wastewater_FractionCODRemovedAndTransferred</f>
        <v>0.2</v>
      </c>
    </row>
    <row r="21" spans="1:10" ht="20.100000000000001" customHeight="1" x14ac:dyDescent="0.25">
      <c r="D21" s="44" t="str">
        <v>CF_sludge_t</v>
      </c>
      <c r="E21" s="46" t="str">
        <v>methane correction factor for facility type t used to treat sludge</v>
      </c>
      <c r="F21" s="59"/>
      <c r="G21" s="45"/>
      <c r="H21" s="44" t="str">
        <v>fraction</v>
      </c>
      <c r="I21" s="40" t="str">
        <v>Constant</v>
      </c>
      <c r="J21" s="44" cm="1">
        <f t="array" ref="J21">Common_InputFunctions.Utility_LookupValueInTableNumber(J28,Table_SourceData_MCF_Sludge[Facility type t],Table_SourceData_MCF_Sludge[CFsludge,t])</f>
        <v>0.3</v>
      </c>
    </row>
    <row r="22" spans="1:10" ht="20.100000000000001" customHeight="1" x14ac:dyDescent="0.25">
      <c r="D22" s="44" t="str">
        <v>EF_sludge</v>
      </c>
      <c r="E22" s="46" t="str">
        <v>methane emission factor for sludge</v>
      </c>
      <c r="F22" s="59"/>
      <c r="G22" s="45"/>
      <c r="H22" s="44" t="str">
        <v>kg CH4/kg COD</v>
      </c>
      <c r="I22" s="40" t="str">
        <v>Constant</v>
      </c>
      <c r="J22" s="44">
        <f>'Constants - Wastewater'!$E$36</f>
        <v>0.25</v>
      </c>
    </row>
    <row r="23" spans="1:10" ht="20.100000000000001" customHeight="1" x14ac:dyDescent="0.25">
      <c r="D23" s="44" t="str">
        <v>Q_cap</v>
      </c>
      <c r="E23" s="46" t="str">
        <v>quantity of methane in sludge biogas captured for combustion</v>
      </c>
      <c r="F23" s="59"/>
      <c r="G23" s="45"/>
      <c r="H23" s="44" t="str">
        <v>m3 CH4</v>
      </c>
      <c r="I23" s="41" t="str">
        <v>Input</v>
      </c>
      <c r="J23" s="44">
        <f>X_Cell_Wastewater_SludgeMethaneCapturedForCombustion</f>
        <v>100</v>
      </c>
    </row>
    <row r="24" spans="1:10" ht="20.100000000000001" customHeight="1" x14ac:dyDescent="0.25">
      <c r="D24" s="44" t="str">
        <v>Q_flared</v>
      </c>
      <c r="E24" s="46" t="str">
        <v>quantity of methane in sludge biogas flared by the treatment facility</v>
      </c>
      <c r="F24" s="59"/>
      <c r="G24" s="45"/>
      <c r="H24" s="44" t="str">
        <v>m3 CH4</v>
      </c>
      <c r="I24" s="41" t="str">
        <v>Input</v>
      </c>
      <c r="J24" s="44">
        <f>X_Cell_Wastewater_SludgeMethaneFlared</f>
        <v>100</v>
      </c>
    </row>
    <row r="25" spans="1:10" ht="20.100000000000001" customHeight="1" x14ac:dyDescent="0.25">
      <c r="D25" s="44" t="str">
        <v>Q_out</v>
      </c>
      <c r="E25" s="46" t="str">
        <v>quantity of methane in sludge biogas transferred out of the treatment facility</v>
      </c>
      <c r="F25" s="59"/>
      <c r="G25" s="45"/>
      <c r="H25" s="44" t="str">
        <v>m3 CH4</v>
      </c>
      <c r="I25" s="41" t="str">
        <v>Input</v>
      </c>
      <c r="J25" s="44">
        <f>X_Cell_Wastewater_SludgeMethaneTransferred</f>
        <v>100</v>
      </c>
    </row>
    <row r="26" spans="1:10" ht="20.100000000000001" customHeight="1" x14ac:dyDescent="0.25">
      <c r="D26" s="44" t="str">
        <v>EC_flared</v>
      </c>
      <c r="E26" s="46" t="str">
        <v>energy content factor of methane in sludge biogas flared</v>
      </c>
      <c r="F26" s="59"/>
      <c r="G26" s="45"/>
      <c r="H26" s="44" t="str">
        <v>GJ/m3</v>
      </c>
      <c r="I26" s="40" t="str">
        <v>Constant</v>
      </c>
      <c r="J26" s="44">
        <f>'Constants - Wastewater'!$E$41</f>
        <v>3.7699999999999997E-2</v>
      </c>
    </row>
    <row r="27" spans="1:10" ht="20.100000000000001" customHeight="1" x14ac:dyDescent="0.25">
      <c r="D27" s="44" t="str">
        <v>EF_flaredCH4</v>
      </c>
      <c r="E27" s="46" t="str">
        <v>methane emission factor for sludge biogas flared</v>
      </c>
      <c r="F27" s="59"/>
      <c r="G27" s="45"/>
      <c r="H27" s="44" t="str">
        <v>kg CH4/GJ</v>
      </c>
      <c r="I27" s="40" t="str">
        <v>Constant</v>
      </c>
      <c r="J27" s="44">
        <f>'Constants - Wastewater'!$E$46</f>
        <v>0.22889999999999999</v>
      </c>
    </row>
    <row r="28" spans="1:10" ht="20.100000000000001" customHeight="1" x14ac:dyDescent="0.25">
      <c r="D28" s="44" t="str">
        <v>t</v>
      </c>
      <c r="E28" s="46" t="str">
        <v>treatment facility type</v>
      </c>
      <c r="F28" s="59"/>
      <c r="G28" s="45"/>
      <c r="H28" s="44" t="str">
        <v/>
      </c>
      <c r="I28" s="41" t="str">
        <v>Input</v>
      </c>
      <c r="J28" s="44" t="str">
        <f>X_Cell_Wastewater_TreatmentFacilityType</f>
        <v>Unmanaged aerobic treatment</v>
      </c>
    </row>
    <row r="29" spans="1:10" ht="20.100000000000001" customHeight="1" x14ac:dyDescent="0.25"/>
    <row r="30" spans="1:10" ht="20.100000000000001" customHeight="1" x14ac:dyDescent="0.25">
      <c r="D30" s="56" t="s">
        <v>119</v>
      </c>
      <c r="E30" s="58" cm="1">
        <f t="array" ref="E30">Wastewater_Methane_Equations.VEERG_11_1_1_1__1_MethaneEmissionsFromWastewaterTreatment(J14,J15,J16,J17,J18,J19,J20,J21,J22,J23,J24,J25,J26,J27)</f>
        <v>4.7159433000000001E-2</v>
      </c>
      <c r="F30" s="61" t="str">
        <f>$E$12</f>
        <v>t CH4</v>
      </c>
    </row>
    <row r="31" spans="1:10" ht="20.100000000000001" customHeight="1" x14ac:dyDescent="0.25"/>
    <row r="32" spans="1:10" ht="20.100000000000001" customHeight="1" x14ac:dyDescent="0.25">
      <c r="D32" s="66" t="str" cm="1">
        <f t="array" ref="D32:E33">Common_Equations.Common_ConvertCH4ToCO2e_Arguments()</f>
        <v>ECH4</v>
      </c>
      <c r="E32" s="67" t="str">
        <v>Methane emissions (t CH4)</v>
      </c>
      <c r="F32" s="68"/>
      <c r="G32" s="26">
        <f>E30</f>
        <v>4.7159433000000001E-2</v>
      </c>
    </row>
    <row r="33" spans="4:7" ht="20.100000000000001" customHeight="1" x14ac:dyDescent="0.25">
      <c r="D33" s="66" t="str">
        <v>GWPCH4</v>
      </c>
      <c r="E33" s="67" t="str">
        <v>Global warming potential for methane (t CO2-e / t CH4)</v>
      </c>
      <c r="F33" s="68"/>
      <c r="G33" s="26">
        <v>28</v>
      </c>
    </row>
    <row r="34" spans="4:7" ht="20.100000000000001" customHeight="1" x14ac:dyDescent="0.25"/>
    <row r="35" spans="4:7" ht="20.100000000000001" customHeight="1" x14ac:dyDescent="0.25">
      <c r="D35" s="57" t="s">
        <v>120</v>
      </c>
      <c r="E35" s="57" cm="1">
        <f t="array" ref="E35">Common_Equations.Common_ConvertN2OToCO2e(G32,G33)</f>
        <v>1.3204641239999999</v>
      </c>
      <c r="F35" s="69"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6"/>
    </row>
    <row r="342" spans="8:8" x14ac:dyDescent="0.25">
      <c r="H342" s="16"/>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0" t="e" vm="1">
        <v>#VALUE!</v>
      </c>
      <c r="C1" s="7" t="s">
        <v>124</v>
      </c>
    </row>
    <row r="2" spans="1:10" s="8" customFormat="1" ht="20.100000000000001" customHeight="1" x14ac:dyDescent="0.25">
      <c r="A2"/>
    </row>
    <row r="3" spans="1:10" ht="20.100000000000001" customHeight="1" x14ac:dyDescent="0.25">
      <c r="A3" s="12" t="str">
        <f>HYPERLINK("#'Home'!A1", "Home")</f>
        <v>Home</v>
      </c>
      <c r="C3" s="3"/>
      <c r="D3" s="3" t="s">
        <v>48</v>
      </c>
      <c r="E3" s="3"/>
      <c r="F3" s="3"/>
      <c r="G3" s="3"/>
      <c r="H3" s="3"/>
      <c r="I3" s="3"/>
      <c r="J3" s="3"/>
    </row>
    <row r="4" spans="1:10" ht="20.100000000000001" customHeight="1" x14ac:dyDescent="0.25">
      <c r="A4" s="12" t="str">
        <f>HYPERLINK("#'Overview'!A1", "Overview")</f>
        <v>Overview</v>
      </c>
    </row>
    <row r="5" spans="1:10" ht="20.100000000000001" customHeight="1" x14ac:dyDescent="0.25">
      <c r="A5" s="12" t="str">
        <f>HYPERLINK("#'Results'!A1", "Results")</f>
        <v>Results</v>
      </c>
      <c r="D5" s="5" t="str" cm="1">
        <f t="array" ref="D5">Wastewater_N2O_Equations.VEERG_11_1_3_1__1_NitrousOxideEmissionsFromFlaredBiogas_Title()</f>
        <v>Nitrous oxide emissions from flared biogas</v>
      </c>
    </row>
    <row r="6" spans="1:10" ht="20.100000000000001" customHeight="1" x14ac:dyDescent="0.25">
      <c r="D6" s="4" t="str" cm="1">
        <f t="array" ref="D6">Wastewater_N2O_Equations.VEERG_11_1_3_1__1_NitrousOxideEmissionsFromFlaredBiogas_Source()</f>
        <v>VEERG 2026: 11.1.3.1, Equation (1)</v>
      </c>
    </row>
    <row r="7" spans="1:10" ht="20.100000000000001" customHeight="1" x14ac:dyDescent="0.25">
      <c r="D7" s="10" t="s">
        <v>9</v>
      </c>
      <c r="E7" s="10" t="str" cm="1">
        <f t="array" aca="1" ref="E7" ca="1">Common_InputFunctions.Utility_DisplayFunctionName(E17)</f>
        <v>=Wastewater_N2O_Equations.VEERG_11_1_3_1__1_NitrousOxideEmissionsFromFlaredBiogas</v>
      </c>
    </row>
    <row r="8" spans="1:10" ht="20.100000000000001" customHeight="1" x14ac:dyDescent="0.25">
      <c r="A8" s="14" t="s">
        <v>0</v>
      </c>
    </row>
    <row r="9" spans="1:10" ht="20.100000000000001" customHeight="1" x14ac:dyDescent="0.25">
      <c r="A9" s="12" t="str">
        <f>HYPERLINK("#'Input - Wastewater'!A1", "Wastewater")</f>
        <v>Wastewater</v>
      </c>
    </row>
    <row r="10" spans="1:10" ht="20.100000000000001" customHeight="1" x14ac:dyDescent="0.25">
      <c r="D10" s="27" t="s">
        <v>12</v>
      </c>
      <c r="E10" s="1" t="str" cm="1">
        <f t="array" ref="E10">Wastewater_N2O_Equations.VEERG_11_1_3_1__1_NitrousOxideEmissionsFromFlaredBiogas_Variable()</f>
        <v>E_N2O</v>
      </c>
    </row>
    <row r="11" spans="1:10" ht="20.100000000000001" customHeight="1" x14ac:dyDescent="0.25">
      <c r="D11" s="27" t="s">
        <v>4</v>
      </c>
      <c r="E11" s="28" t="str" cm="1">
        <f t="array" ref="E11">Wastewater_N2O_Equations.VEERG_11_1_3_1__1_NitrousOxideEmissionsFromFlaredBiogas_Unit()</f>
        <v>t N2O</v>
      </c>
    </row>
    <row r="12" spans="1:10" ht="20.100000000000001" customHeight="1" x14ac:dyDescent="0.25">
      <c r="A12" s="13" t="s">
        <v>44</v>
      </c>
    </row>
    <row r="13" spans="1:10" ht="20.100000000000001" customHeight="1" x14ac:dyDescent="0.25">
      <c r="A13" s="12" t="str">
        <f>HYPERLINK("#'11.1.1-2 Wastewater CH4'!A1", "11.1.1-2 Wastewater CH4")</f>
        <v>11.1.1-2 Wastewater CH4</v>
      </c>
      <c r="D13" s="44" t="str" cm="1">
        <f t="array" ref="D13:E15">_xlfn.CHOOSECOLS(Wastewater_N2O_Equations.VEERG_11_1_3_1__1_NitrousOxideEmissionsFromFlaredBiogas_Arguments(),1,2)</f>
        <v>Q_flared</v>
      </c>
      <c r="E13" s="46" t="str">
        <v>volume of biogas flared</v>
      </c>
      <c r="F13" s="45"/>
      <c r="G13" s="44" t="str" cm="1">
        <f t="array" ref="G13:H15">_xlfn.CHOOSECOLS(Wastewater_N2O_Equations.VEERG_11_1_3_1__1_NitrousOxideEmissionsFromFlaredBiogas_Arguments(),3,4)</f>
        <v>m3</v>
      </c>
      <c r="H13" s="41" t="str">
        <v>Input</v>
      </c>
      <c r="I13" s="44">
        <f>X_Cell_Wastewater_SludgeMethaneFlared</f>
        <v>100</v>
      </c>
    </row>
    <row r="14" spans="1:10" ht="20.100000000000001" customHeight="1" x14ac:dyDescent="0.25">
      <c r="A14" s="60" t="str">
        <f>HYPERLINK("#'11.1.3-4 Wastewater N2O'!A1", "11.1.3-4 Wastewater N2O")</f>
        <v>11.1.3-4 Wastewater N2O</v>
      </c>
      <c r="D14" s="44" t="str">
        <v>EC_flared</v>
      </c>
      <c r="E14" s="46" t="str">
        <v>energy content factor of sludge biogas flared</v>
      </c>
      <c r="F14" s="45"/>
      <c r="G14" s="44" t="str">
        <v>GJ/m3</v>
      </c>
      <c r="H14" s="40" t="str">
        <v>Constant</v>
      </c>
      <c r="I14" s="44">
        <f>'Constants - Wastewater'!E41</f>
        <v>3.7699999999999997E-2</v>
      </c>
    </row>
    <row r="15" spans="1:10" ht="20.100000000000001" customHeight="1" x14ac:dyDescent="0.25">
      <c r="D15" s="44" t="str">
        <v>EF_flaredN2O</v>
      </c>
      <c r="E15" s="46" t="str">
        <v>nitrous oxide emission factor for flared biogas</v>
      </c>
      <c r="F15" s="45"/>
      <c r="G15" s="44" t="str">
        <v>kg N2O/GJ</v>
      </c>
      <c r="H15" s="40" t="str">
        <v>Constant</v>
      </c>
      <c r="I15" s="44">
        <f>'Constants - Wastewater'!E51</f>
        <v>1.132E-4</v>
      </c>
    </row>
    <row r="16" spans="1:10" ht="20.100000000000001" customHeight="1" x14ac:dyDescent="0.25"/>
    <row r="17" spans="1:7" ht="20.100000000000001" customHeight="1" x14ac:dyDescent="0.25">
      <c r="A17" s="74" t="s">
        <v>1</v>
      </c>
      <c r="D17" s="56" t="s">
        <v>119</v>
      </c>
      <c r="E17" s="58" cm="1">
        <f t="array" ref="E17">Wastewater_N2O_Equations.VEERG_11_1_3_1__1_NitrousOxideEmissionsFromFlaredBiogas(I13,I14,I15)</f>
        <v>4.26764E-7</v>
      </c>
      <c r="F17" s="61" t="str">
        <f>$E$11</f>
        <v>t N2O</v>
      </c>
    </row>
    <row r="18" spans="1:7" ht="20.100000000000001" customHeight="1" x14ac:dyDescent="0.25">
      <c r="A18" s="12" t="str">
        <f>HYPERLINK("#'Constants - Wastewater'!A1", "Constants - Wastewater")</f>
        <v>Constants - Wastewater</v>
      </c>
    </row>
    <row r="19" spans="1:7" ht="20.100000000000001" customHeight="1" x14ac:dyDescent="0.25">
      <c r="A19" s="12" t="str">
        <f>HYPERLINK("#'Constants - Common'!A1", "Constants - Common")</f>
        <v>Constants - Common</v>
      </c>
      <c r="D19" s="66" t="str" cm="1">
        <f t="array" ref="D19:E20">Common_Equations.Common_ConvertN2OToCO2e_Arguments()</f>
        <v>EN2O</v>
      </c>
      <c r="E19" s="67" t="str">
        <v>Nitrous oxide emissions (t N2O)</v>
      </c>
      <c r="F19" s="68"/>
      <c r="G19" s="26">
        <f>E17</f>
        <v>4.26764E-7</v>
      </c>
    </row>
    <row r="20" spans="1:7" ht="20.100000000000001" customHeight="1" x14ac:dyDescent="0.25">
      <c r="D20" s="66" t="str">
        <v>GWPN2O</v>
      </c>
      <c r="E20" s="67" t="str">
        <v>Global warming potential for nitrous oxide (t CO2-e / t N2O)</v>
      </c>
      <c r="F20" s="68"/>
      <c r="G20" s="26">
        <v>265</v>
      </c>
    </row>
    <row r="21" spans="1:7" ht="20.100000000000001" customHeight="1" x14ac:dyDescent="0.25"/>
    <row r="22" spans="1:7" ht="20.100000000000001" customHeight="1" x14ac:dyDescent="0.25">
      <c r="D22" s="57" t="s">
        <v>120</v>
      </c>
      <c r="E22" s="57" cm="1">
        <f t="array" ref="E22">Common_Equations.Common_ConvertN2OToCO2e(G19,G20)</f>
        <v>1.1309246E-4</v>
      </c>
      <c r="F22" s="69" t="str" cm="1">
        <f t="array" ref="F22">Common_Equations.Common_ConvertN2OToCO2e_Unit()</f>
        <v>t CO2e</v>
      </c>
    </row>
    <row r="23" spans="1:7" ht="20.100000000000001" customHeight="1" x14ac:dyDescent="0.25"/>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6"/>
    </row>
    <row r="342" spans="8:8" x14ac:dyDescent="0.25">
      <c r="H342" s="16"/>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2"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30" t="e" vm="1">
        <v>#VALUE!</v>
      </c>
      <c r="C1" s="7" t="s">
        <v>121</v>
      </c>
      <c r="AG1"/>
      <c r="AH1"/>
      <c r="AI1"/>
    </row>
    <row r="2" spans="1:35" s="8" customFormat="1" ht="20.100000000000001" customHeight="1" x14ac:dyDescent="0.25">
      <c r="A2"/>
      <c r="AG2"/>
      <c r="AH2"/>
      <c r="AI2"/>
    </row>
    <row r="3" spans="1:35" ht="20.100000000000001" customHeight="1" x14ac:dyDescent="0.25">
      <c r="A3" s="12"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2" t="str">
        <f>HYPERLINK("#'Overview'!A1", "Overview")</f>
        <v>Overview</v>
      </c>
    </row>
    <row r="5" spans="1:35" ht="20.100000000000001" customHeight="1" x14ac:dyDescent="0.25">
      <c r="A5" s="12" t="str">
        <f>HYPERLINK("#'Results'!A1", "Results")</f>
        <v>Results</v>
      </c>
      <c r="D5" s="5" t="str" cm="1">
        <f t="array" ref="D5">Wastewater_SourceData.Waste_MethaneCorrectionFactorWastewater_Title()</f>
        <v>Methane correction factor for treatment facility type t used to treat wastewater</v>
      </c>
    </row>
    <row r="6" spans="1:35" ht="20.100000000000001" customHeight="1" x14ac:dyDescent="0.25">
      <c r="D6" s="4" t="str" cm="1">
        <f t="array" ref="D6">Wastewater_SourceData.Waste_MethaneCorrectionFactorWastewater_Source()</f>
        <v>VEERG 2026: Table A.4.1.3</v>
      </c>
    </row>
    <row r="7" spans="1:35" ht="20.100000000000001" customHeight="1" x14ac:dyDescent="0.25">
      <c r="D7" s="1" t="str" cm="1">
        <f t="array" ref="D7">Wastewater_SourceData.Waste_MethaneCorrectionFactorWastewater_Variable()</f>
        <v>CFww,t</v>
      </c>
    </row>
    <row r="8" spans="1:35" ht="20.100000000000001" customHeight="1" x14ac:dyDescent="0.25">
      <c r="A8" s="14" t="s">
        <v>0</v>
      </c>
      <c r="D8" s="28" t="str" cm="1">
        <f t="array" ref="D8">Wastewater_SourceData.Waste_MethaneCorrectionFactorWastewater_Unit()</f>
        <v>fraction</v>
      </c>
    </row>
    <row r="9" spans="1:35" ht="20.100000000000001" customHeight="1" x14ac:dyDescent="0.25">
      <c r="A9" s="12" t="str">
        <f>HYPERLINK("#'Input - Wastewater'!A1", "Wastewater")</f>
        <v>Wastewater</v>
      </c>
      <c r="D9" s="24" t="s">
        <v>87</v>
      </c>
      <c r="E9" s="24" t="s">
        <v>88</v>
      </c>
    </row>
    <row r="10" spans="1:35" ht="20.100000000000001" customHeight="1" x14ac:dyDescent="0.25">
      <c r="D10" s="24" t="str" cm="1">
        <f t="array" ref="D10">Common_InputFunctions.Utility_DisplayArrayInTable(Wastewater_SourceData.Waste_MethaneCorrectionFactorWastewater_Data(), Table_SourceData_MCF_Wastewater[[#Headers],[Facility type t]], 0)</f>
        <v>Managed aerobic treatment</v>
      </c>
      <c r="E10" s="24" cm="1">
        <f t="array" ref="E10">Common_InputFunctions.Utility_DisplayArrayInTable(Wastewater_SourceData.Waste_MethaneCorrectionFactorWastewater_Data(), Table_SourceData_MCF_Wastewater[[#Headers],[Facility type t]], 0)</f>
        <v>0</v>
      </c>
    </row>
    <row r="11" spans="1:35" ht="20.100000000000001" customHeight="1" x14ac:dyDescent="0.25">
      <c r="D11" s="24" t="str" cm="1">
        <f t="array" ref="D11">Common_InputFunctions.Utility_DisplayArrayInTable(Wastewater_SourceData.Waste_MethaneCorrectionFactorWastewater_Data(), Table_SourceData_MCF_Wastewater[[#Headers],[Facility type t]], 0)</f>
        <v>Unmanaged aerobic treatment</v>
      </c>
      <c r="E11" s="24" cm="1">
        <f t="array" ref="E11">Common_InputFunctions.Utility_DisplayArrayInTable(Wastewater_SourceData.Waste_MethaneCorrectionFactorWastewater_Data(), Table_SourceData_MCF_Wastewater[[#Headers],[Facility type t]], 0)</f>
        <v>0.3</v>
      </c>
    </row>
    <row r="12" spans="1:35" ht="20.100000000000001" customHeight="1" x14ac:dyDescent="0.25">
      <c r="A12" s="13" t="s">
        <v>44</v>
      </c>
      <c r="D12" s="24" t="str" cm="1">
        <f t="array" ref="D12">Common_InputFunctions.Utility_DisplayArrayInTable(Wastewater_SourceData.Waste_MethaneCorrectionFactorWastewater_Data(), Table_SourceData_MCF_Wastewater[[#Headers],[Facility type t]], 0)</f>
        <v>Anaerobic digestor/reactor</v>
      </c>
      <c r="E12" s="24" cm="1">
        <f t="array" ref="E12">Common_InputFunctions.Utility_DisplayArrayInTable(Wastewater_SourceData.Waste_MethaneCorrectionFactorWastewater_Data(), Table_SourceData_MCF_Wastewater[[#Headers],[Facility type t]], 0)</f>
        <v>0.8</v>
      </c>
    </row>
    <row r="13" spans="1:35" ht="20.100000000000001" customHeight="1" x14ac:dyDescent="0.25">
      <c r="A13" s="12" t="str">
        <f>HYPERLINK("#'11.1.1-2 Wastewater CH4'!A1", "11.1.1-2 Wastewater CH4")</f>
        <v>11.1.1-2 Wastewater CH4</v>
      </c>
      <c r="D13" s="24" t="str" cm="1">
        <f t="array" ref="D13">Common_InputFunctions.Utility_DisplayArrayInTable(Wastewater_SourceData.Waste_MethaneCorrectionFactorWastewater_Data(), Table_SourceData_MCF_Wastewater[[#Headers],[Facility type t]], 0)</f>
        <v>Shallow anaerobic lagoon (≤ 2 m)</v>
      </c>
      <c r="E13" s="24" cm="1">
        <f t="array" ref="E13">Common_InputFunctions.Utility_DisplayArrayInTable(Wastewater_SourceData.Waste_MethaneCorrectionFactorWastewater_Data(), Table_SourceData_MCF_Wastewater[[#Headers],[Facility type t]], 0)</f>
        <v>0.2</v>
      </c>
    </row>
    <row r="14" spans="1:35" ht="20.100000000000001" customHeight="1" x14ac:dyDescent="0.25">
      <c r="A14" s="12" t="str">
        <f>HYPERLINK("#'11.1.3-4 Wastewater N2O'!A1", "11.1.3-4 Wastewater N2O")</f>
        <v>11.1.3-4 Wastewater N2O</v>
      </c>
      <c r="D14" s="24" t="str" cm="1">
        <f t="array" ref="D14">Common_InputFunctions.Utility_DisplayArrayInTable(Wastewater_SourceData.Waste_MethaneCorrectionFactorWastewater_Data(), Table_SourceData_MCF_Wastewater[[#Headers],[Facility type t]], 0)</f>
        <v>Deep anaerobic lagoon (&gt; 2m)</v>
      </c>
      <c r="E14" s="24" cm="1">
        <f t="array" ref="E14">Common_InputFunctions.Utility_DisplayArrayInTable(Wastewater_SourceData.Waste_MethaneCorrectionFactorWastewater_Data(), Table_SourceData_MCF_Wastewater[[#Headers],[Facility type t]], 0)</f>
        <v>0.8</v>
      </c>
    </row>
    <row r="15" spans="1:35" ht="20.100000000000001" customHeight="1" x14ac:dyDescent="0.25"/>
    <row r="16" spans="1:35" ht="20.100000000000001" customHeight="1" x14ac:dyDescent="0.25"/>
    <row r="17" spans="1:6" ht="20.100000000000001" customHeight="1" x14ac:dyDescent="0.25">
      <c r="A17" s="74" t="s">
        <v>1</v>
      </c>
      <c r="D17" s="5" t="str" cm="1">
        <f t="array" ref="D17">Wastewater_SourceData.Waste_MethaneCorrectionFactorSludge_Title()</f>
        <v>Methane correction factor for treatment facility type t used to treat sludge</v>
      </c>
    </row>
    <row r="18" spans="1:6" ht="20.100000000000001" customHeight="1" x14ac:dyDescent="0.25">
      <c r="A18" s="53" t="str">
        <f>HYPERLINK("#'Constants - Wastewater'!A1", "Constants - Wastewater")</f>
        <v>Constants - Wastewater</v>
      </c>
      <c r="D18" s="4" t="str" cm="1">
        <f t="array" ref="D18">Wastewater_SourceData.Waste_MethaneCorrectionFactorSludge_Source()</f>
        <v>VEERG 2026: Table A.4.1.4</v>
      </c>
    </row>
    <row r="19" spans="1:6" ht="20.100000000000001" customHeight="1" x14ac:dyDescent="0.25">
      <c r="A19" s="12" t="str">
        <f>HYPERLINK("#'Constants - Common'!A1", "Constants - Common")</f>
        <v>Constants - Common</v>
      </c>
      <c r="D19" s="1" t="str" cm="1">
        <f t="array" ref="D19">Wastewater_SourceData.Waste_MethaneCorrectionFactorSludge_Variable()</f>
        <v>CFsludge,t</v>
      </c>
    </row>
    <row r="20" spans="1:6" ht="20.100000000000001" customHeight="1" x14ac:dyDescent="0.25">
      <c r="D20" s="28" t="str" cm="1">
        <f t="array" ref="D20">Wastewater_SourceData.Waste_MethaneCorrectionFactorSludge_Unit()</f>
        <v>fraction</v>
      </c>
    </row>
    <row r="21" spans="1:6" ht="20.100000000000001" customHeight="1" x14ac:dyDescent="0.25">
      <c r="D21" s="24" t="s">
        <v>87</v>
      </c>
      <c r="E21" s="24" t="s">
        <v>89</v>
      </c>
    </row>
    <row r="22" spans="1:6" ht="20.100000000000001" customHeight="1" x14ac:dyDescent="0.25">
      <c r="D22" s="24" t="str" cm="1">
        <f t="array" ref="D22">Common_InputFunctions.Utility_DisplayArrayInTable(Wastewater_SourceData.Waste_MethaneCorrectionFactorSludge_Data(), Table_SourceData_MCF_Sludge[[#Headers],[Facility type t]], 0)</f>
        <v>Managed aerobic treatment</v>
      </c>
      <c r="E22" s="24" cm="1">
        <f t="array" ref="E22">Common_InputFunctions.Utility_DisplayArrayInTable(Wastewater_SourceData.Waste_MethaneCorrectionFactorSludge_Data(), Table_SourceData_MCF_Sludge[[#Headers],[Facility type t]], 0)</f>
        <v>0</v>
      </c>
    </row>
    <row r="23" spans="1:6" ht="20.100000000000001" customHeight="1" x14ac:dyDescent="0.25">
      <c r="D23" s="24" t="str" cm="1">
        <f t="array" ref="D23">Common_InputFunctions.Utility_DisplayArrayInTable(Wastewater_SourceData.Waste_MethaneCorrectionFactorSludge_Data(), Table_SourceData_MCF_Sludge[[#Headers],[Facility type t]], 0)</f>
        <v>Unmanaged aerobic treatment</v>
      </c>
      <c r="E23" s="24" cm="1">
        <f t="array" ref="E23">Common_InputFunctions.Utility_DisplayArrayInTable(Wastewater_SourceData.Waste_MethaneCorrectionFactorSludge_Data(), Table_SourceData_MCF_Sludge[[#Headers],[Facility type t]], 0)</f>
        <v>0.3</v>
      </c>
    </row>
    <row r="24" spans="1:6" ht="20.100000000000001" customHeight="1" x14ac:dyDescent="0.25">
      <c r="D24" s="24" t="str" cm="1">
        <f t="array" ref="D24">Common_InputFunctions.Utility_DisplayArrayInTable(Wastewater_SourceData.Waste_MethaneCorrectionFactorSludge_Data(), Table_SourceData_MCF_Sludge[[#Headers],[Facility type t]], 0)</f>
        <v>Anaerobic digestor/reactor</v>
      </c>
      <c r="E24" s="24" cm="1">
        <f t="array" ref="E24">Common_InputFunctions.Utility_DisplayArrayInTable(Wastewater_SourceData.Waste_MethaneCorrectionFactorSludge_Data(), Table_SourceData_MCF_Sludge[[#Headers],[Facility type t]], 0)</f>
        <v>0.8</v>
      </c>
    </row>
    <row r="25" spans="1:6" ht="20.100000000000001" customHeight="1" x14ac:dyDescent="0.25">
      <c r="D25" s="24" t="str" cm="1">
        <f t="array" ref="D25">Common_InputFunctions.Utility_DisplayArrayInTable(Wastewater_SourceData.Waste_MethaneCorrectionFactorSludge_Data(), Table_SourceData_MCF_Sludge[[#Headers],[Facility type t]], 0)</f>
        <v>Shallow anaerobic lagoon (≤ 2 m)</v>
      </c>
      <c r="E25" s="24" cm="1">
        <f t="array" ref="E25">Common_InputFunctions.Utility_DisplayArrayInTable(Wastewater_SourceData.Waste_MethaneCorrectionFactorSludge_Data(), Table_SourceData_MCF_Sludge[[#Headers],[Facility type t]], 0)</f>
        <v>0.2</v>
      </c>
    </row>
    <row r="26" spans="1:6" ht="20.100000000000001" customHeight="1" x14ac:dyDescent="0.25">
      <c r="D26" s="24" t="str" cm="1">
        <f t="array" ref="D26">Common_InputFunctions.Utility_DisplayArrayInTable(Wastewater_SourceData.Waste_MethaneCorrectionFactorSludge_Data(), Table_SourceData_MCF_Sludge[[#Headers],[Facility type t]], 0)</f>
        <v>Deep anaerobic lagoon (&gt; 2m)</v>
      </c>
      <c r="E26" s="24" cm="1">
        <f t="array" ref="E26">Common_InputFunctions.Utility_DisplayArrayInTable(Wastewater_SourceData.Waste_MethaneCorrectionFactorSludge_Data(), Table_SourceData_MCF_Sludge[[#Headers],[Facility type t]], 0)</f>
        <v>0.8</v>
      </c>
    </row>
    <row r="27" spans="1:6" ht="20.100000000000001" customHeight="1" x14ac:dyDescent="0.25"/>
    <row r="28" spans="1:6" ht="20.100000000000001" customHeight="1" x14ac:dyDescent="0.25"/>
    <row r="29" spans="1:6" ht="20.100000000000001" customHeight="1" x14ac:dyDescent="0.25">
      <c r="D29" s="5" t="str" cm="1">
        <f t="array" ref="D29">Wastewater_SourceData.Waste_MethaneEmissionFactorWastewater_Title()</f>
        <v>Methane emission factor for wastewater</v>
      </c>
    </row>
    <row r="30" spans="1:6" ht="20.100000000000001" customHeight="1" x14ac:dyDescent="0.25">
      <c r="D30" s="4" t="str" cm="1">
        <f t="array" ref="D30">Wastewater_SourceData.Waste_MethaneEmissionFactorWastewater_Source()</f>
        <v>VEERG 2026: 11.2.3 Constants</v>
      </c>
    </row>
    <row r="31" spans="1:6" ht="20.100000000000001" customHeight="1" x14ac:dyDescent="0.25">
      <c r="D31" s="27" t="str" cm="1">
        <f t="array" ref="D31">Wastewater_SourceData.Waste_MethaneEmissionFactorWastewater_Variable()</f>
        <v>EFww</v>
      </c>
      <c r="E31" s="1" cm="1">
        <f t="array" ref="E31">Wastewater_SourceData.Waste_MethaneEmissionFactorWastewater_Data()</f>
        <v>0.25</v>
      </c>
      <c r="F31" s="28" t="str" cm="1">
        <f t="array" ref="F31">Wastewater_SourceData.Waste_MethaneEmissionFactorWastewater_Unit()</f>
        <v>kg CH4 / kg COD</v>
      </c>
    </row>
    <row r="32" spans="1:6" ht="20.100000000000001" customHeight="1" x14ac:dyDescent="0.25"/>
    <row r="33" spans="4:6" ht="20.100000000000001" customHeight="1" x14ac:dyDescent="0.25"/>
    <row r="34" spans="4:6" ht="20.100000000000001" customHeight="1" x14ac:dyDescent="0.25">
      <c r="D34" s="5" t="str" cm="1">
        <f t="array" ref="D34">Wastewater_SourceData.Waste_MethaneEmissionFactorSludge_Title()</f>
        <v>Methane emission factor for sludge</v>
      </c>
    </row>
    <row r="35" spans="4:6" ht="20.100000000000001" customHeight="1" x14ac:dyDescent="0.25">
      <c r="D35" s="4" t="str" cm="1">
        <f t="array" ref="D35">Wastewater_SourceData.Waste_MethaneEmissionFactorSludge_Source()</f>
        <v>VEERG 2026: 11.2.3 Constants</v>
      </c>
    </row>
    <row r="36" spans="4:6" ht="20.100000000000001" customHeight="1" x14ac:dyDescent="0.25">
      <c r="D36" s="27" t="str" cm="1">
        <f t="array" ref="D36">Wastewater_SourceData.Waste_MethaneEmissionFactorSludge_Variable()</f>
        <v>EFsludge</v>
      </c>
      <c r="E36" s="1" cm="1">
        <f t="array" ref="E36">Wastewater_SourceData.Waste_MethaneEmissionFactorSludge_Data()</f>
        <v>0.25</v>
      </c>
      <c r="F36" s="28" t="str" cm="1">
        <f t="array" ref="F36">Wastewater_SourceData.Waste_MethaneEmissionFactorSludge_Unit()</f>
        <v>kg CH4 / kg COD</v>
      </c>
    </row>
    <row r="37" spans="4:6" ht="20.100000000000001" customHeight="1" x14ac:dyDescent="0.25"/>
    <row r="38" spans="4:6" ht="20.100000000000001" customHeight="1" x14ac:dyDescent="0.25"/>
    <row r="39" spans="4:6" ht="20.100000000000001" customHeight="1" x14ac:dyDescent="0.25">
      <c r="D39" s="5" t="str" cm="1">
        <f t="array" ref="D39">Wastewater_SourceData.Waste_EnergyContentFactorSludgeBiogasFlared_Title()</f>
        <v>Energy content factor of sludge biogas flared</v>
      </c>
    </row>
    <row r="40" spans="4:6" ht="20.100000000000001" customHeight="1" x14ac:dyDescent="0.25">
      <c r="D40" s="4" t="str" cm="1">
        <f t="array" ref="D40">Wastewater_SourceData.Waste_EnergyContentFactorSludgeBiogasFlared_Source()</f>
        <v>VEERG 2026: 11.2.3 Constants</v>
      </c>
    </row>
    <row r="41" spans="4:6" ht="20.100000000000001" customHeight="1" x14ac:dyDescent="0.25">
      <c r="D41" s="27" t="str" cm="1">
        <f t="array" ref="D41">Wastewater_SourceData.Waste_EnergyContentFactorSludgeBiogasFlared_Variable()</f>
        <v>ECflared</v>
      </c>
      <c r="E41" s="1" cm="1">
        <f t="array" ref="E41">Wastewater_SourceData.Waste_EnergyContentFactorSludgeBiogasFlared_Data()</f>
        <v>3.7699999999999997E-2</v>
      </c>
      <c r="F41" s="28" t="str" cm="1">
        <f t="array" ref="F41">Wastewater_SourceData.Waste_EnergyContentFactorSludgeBiogasFlared_Unit()</f>
        <v>GJ / m3</v>
      </c>
    </row>
    <row r="42" spans="4:6" ht="20.100000000000001" customHeight="1" x14ac:dyDescent="0.25"/>
    <row r="43" spans="4:6" ht="20.100000000000001" customHeight="1" x14ac:dyDescent="0.25"/>
    <row r="44" spans="4:6" ht="20.100000000000001" customHeight="1" x14ac:dyDescent="0.25">
      <c r="D44" s="5" t="str" cm="1">
        <f t="array" ref="D44">Wastewater_SourceData.Waste_MethaneEmissionFactorSludgeBiogasFlared_Title()</f>
        <v>Methane emission factor for sludge biogas flared</v>
      </c>
    </row>
    <row r="45" spans="4:6" ht="20.100000000000001" customHeight="1" x14ac:dyDescent="0.25">
      <c r="D45" s="4" t="str" cm="1">
        <f t="array" ref="D45">Wastewater_SourceData.Waste_MethaneEmissionFactorSludgeBiogasFlared_Source()</f>
        <v>VEERG 2026: 11.2.3 Constants</v>
      </c>
    </row>
    <row r="46" spans="4:6" ht="20.100000000000001" customHeight="1" x14ac:dyDescent="0.25">
      <c r="D46" s="27" t="str" cm="1">
        <f t="array" ref="D46">Wastewater_SourceData.Waste_MethaneEmissionFactorSludgeBiogasFlared_Variable()</f>
        <v>EFflared,CH4</v>
      </c>
      <c r="E46" s="1" cm="1">
        <f t="array" ref="E46">Wastewater_SourceData.Waste_MethaneEmissionFactorSludgeBiogasFlared_Data()</f>
        <v>0.22889999999999999</v>
      </c>
      <c r="F46" s="28" t="str" cm="1">
        <f t="array" ref="F46">Wastewater_SourceData.Waste_MethaneEmissionFactorSludgeBiogasFlared_Unit()</f>
        <v>kg CH4 / GJ</v>
      </c>
    </row>
    <row r="47" spans="4:6" ht="20.100000000000001" customHeight="1" x14ac:dyDescent="0.25"/>
    <row r="48" spans="4:6" ht="20.100000000000001" customHeight="1" x14ac:dyDescent="0.25"/>
    <row r="49" spans="4:6" ht="20.100000000000001" customHeight="1" x14ac:dyDescent="0.25">
      <c r="D49" s="5" t="str" cm="1">
        <f t="array" ref="D49">Wastewater_SourceData.Waste_NitrousOxideEmissionFactorSludgeBiogasFlared_Title()</f>
        <v>Nitrous oxide emission factor for sludge biogas flared</v>
      </c>
    </row>
    <row r="50" spans="4:6" ht="20.100000000000001" customHeight="1" x14ac:dyDescent="0.25">
      <c r="D50" s="4" t="str" cm="1">
        <f t="array" ref="D50">Wastewater_SourceData.Waste_NitrousOxideEmissionFactorSludgeBiogasFlared_Source()</f>
        <v>VEERG 2026: 11.2.3 Constants</v>
      </c>
    </row>
    <row r="51" spans="4:6" ht="20.100000000000001" customHeight="1" x14ac:dyDescent="0.25">
      <c r="D51" s="27" t="str" cm="1">
        <f t="array" ref="D51">Wastewater_SourceData.Waste_NitrousOxideEmissionFactorSludgeBiogasFlared_Variable()</f>
        <v>EFflared,N2O</v>
      </c>
      <c r="E51" s="1" cm="1">
        <f t="array" ref="E51">Wastewater_SourceData.Waste_NitrousOxideEmissionFactorSludgeBiogasFlared_Data()</f>
        <v>1.132E-4</v>
      </c>
      <c r="F51" s="28" t="str" cm="1">
        <f t="array" ref="F51">Wastewater_SourceData.Waste_NitrousOxideEmissionFactorSludgeBiogasFlared_Unit()</f>
        <v>kg N2O / GJ</v>
      </c>
    </row>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53253-305C-4133-9D22-0F5CB91D3486}">
  <dimension ref="A1:BY259"/>
  <sheetViews>
    <sheetView showGridLines="0" tabSelected="1" topLeftCell="A86" zoomScaleNormal="100" workbookViewId="0">
      <selection activeCell="A18" sqref="A18"/>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30" t="e" vm="1">
        <v>#VALUE!</v>
      </c>
      <c r="C1" s="7" t="s">
        <v>45</v>
      </c>
    </row>
    <row r="2" spans="1:65" s="8" customFormat="1" ht="20.100000000000001" customHeight="1" x14ac:dyDescent="0.25">
      <c r="A2"/>
    </row>
    <row r="3" spans="1:65" ht="20.100000000000001"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100000000000001" customHeight="1" x14ac:dyDescent="0.25">
      <c r="A4" s="12" t="str">
        <f>HYPERLINK("#'Overview'!A1", "Overview")</f>
        <v>Overview</v>
      </c>
      <c r="BM4" s="2"/>
    </row>
    <row r="5" spans="1:65" ht="20.100000000000001" customHeight="1" x14ac:dyDescent="0.25">
      <c r="A5" s="12" t="str">
        <f>HYPERLINK("#'Results'!A1", "Results")</f>
        <v>Results</v>
      </c>
      <c r="D5" s="5" t="str" cm="1">
        <f t="array" ref="D5">Common_SourceData.Common_SourceData_AustralianStatesTerritories_Title()</f>
        <v>Australian states and territories</v>
      </c>
      <c r="BM5" s="2"/>
    </row>
    <row r="6" spans="1:65" ht="20.100000000000001" customHeight="1" x14ac:dyDescent="0.25">
      <c r="A6"/>
      <c r="D6" s="24" t="s">
        <v>5</v>
      </c>
      <c r="E6" s="24" t="s">
        <v>6</v>
      </c>
      <c r="F6" s="24" t="s">
        <v>7</v>
      </c>
    </row>
    <row r="7" spans="1:65" ht="20.100000000000001" customHeight="1" x14ac:dyDescent="0.25">
      <c r="A7"/>
      <c r="D7" s="24" t="str" cm="1">
        <f t="array" ref="D7">Common_InputFunctions.Utility_DisplayArrayInTable(Common_SourceData.Common_SourceData_AustralianStatesTerritories_Data(),Table_AustralianStates[[#Headers],[State/Territory]],0)</f>
        <v>New South Wales</v>
      </c>
      <c r="E7" s="24" t="str" cm="1">
        <f t="array" ref="E7">Common_InputFunctions.Utility_DisplayArrayInTable(Common_SourceData.Common_SourceData_AustralianStatesTerritories_Data(),Table_AustralianStates[[#Headers],[State/Territory]],0)</f>
        <v>New South Wales</v>
      </c>
      <c r="F7" s="24" t="str" cm="1">
        <f t="array" ref="F7">Common_InputFunctions.Utility_DisplayArrayInTable(Common_SourceData.Common_SourceData_AustralianStatesTerritories_Data(),Table_AustralianStates[[#Headers],[State/Territory]],0)</f>
        <v>NSW</v>
      </c>
    </row>
    <row r="8" spans="1:65" ht="20.100000000000001" customHeight="1" x14ac:dyDescent="0.25">
      <c r="A8" s="14" t="s">
        <v>0</v>
      </c>
      <c r="D8" s="24" t="str" cm="1">
        <f t="array" ref="D8">Common_InputFunctions.Utility_DisplayArrayInTable(Common_SourceData.Common_SourceData_AustralianStatesTerritories_Data(),Table_AustralianStates[[#Headers],[State/Territory]],0)</f>
        <v>Australian Capital Territory</v>
      </c>
      <c r="E8" s="24" t="str" cm="1">
        <f t="array" ref="E8">Common_InputFunctions.Utility_DisplayArrayInTable(Common_SourceData.Common_SourceData_AustralianStatesTerritories_Data(),Table_AustralianStates[[#Headers],[State/Territory]],0)</f>
        <v>ACT</v>
      </c>
      <c r="F8" s="24" t="str" cm="1">
        <f t="array" ref="F8">Common_InputFunctions.Utility_DisplayArrayInTable(Common_SourceData.Common_SourceData_AustralianStatesTerritories_Data(),Table_AustralianStates[[#Headers],[State/Territory]],0)</f>
        <v>ACT</v>
      </c>
    </row>
    <row r="9" spans="1:65" ht="20.100000000000001" customHeight="1" x14ac:dyDescent="0.25">
      <c r="A9" s="12" t="str">
        <f>HYPERLINK("#'Input - Wastewater'!A1", "Wastewater")</f>
        <v>Wastewater</v>
      </c>
      <c r="D9" s="24" t="str" cm="1">
        <f t="array" ref="D9">Common_InputFunctions.Utility_DisplayArrayInTable(Common_SourceData.Common_SourceData_AustralianStatesTerritories_Data(),Table_AustralianStates[[#Headers],[State/Territory]],0)</f>
        <v>Victoria</v>
      </c>
      <c r="E9" s="24" t="str" cm="1">
        <f t="array" ref="E9">Common_InputFunctions.Utility_DisplayArrayInTable(Common_SourceData.Common_SourceData_AustralianStatesTerritories_Data(),Table_AustralianStates[[#Headers],[State/Territory]],0)</f>
        <v>Victoria</v>
      </c>
      <c r="F9" s="2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4" t="str" cm="1">
        <f t="array" ref="D10">Common_InputFunctions.Utility_DisplayArrayInTable(Common_SourceData.Common_SourceData_AustralianStatesTerritories_Data(),Table_AustralianStates[[#Headers],[State/Territory]],0)</f>
        <v>Queensland</v>
      </c>
      <c r="E10" s="24" t="str" cm="1">
        <f t="array" ref="E10">Common_InputFunctions.Utility_DisplayArrayInTable(Common_SourceData.Common_SourceData_AustralianStatesTerritories_Data(),Table_AustralianStates[[#Headers],[State/Territory]],0)</f>
        <v>Queensland</v>
      </c>
      <c r="F10" s="2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4" t="str" cm="1">
        <f t="array" ref="D11">Common_InputFunctions.Utility_DisplayArrayInTable(Common_SourceData.Common_SourceData_AustralianStatesTerritories_Data(),Table_AustralianStates[[#Headers],[State/Territory]],0)</f>
        <v>South Australia</v>
      </c>
      <c r="E11" s="24" t="str" cm="1">
        <f t="array" ref="E11">Common_InputFunctions.Utility_DisplayArrayInTable(Common_SourceData.Common_SourceData_AustralianStatesTerritories_Data(),Table_AustralianStates[[#Headers],[State/Territory]],0)</f>
        <v>South Australia</v>
      </c>
      <c r="F11" s="24"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s="13" t="s">
        <v>44</v>
      </c>
      <c r="D12" s="24" t="str" cm="1">
        <f t="array" ref="D12">Common_InputFunctions.Utility_DisplayArrayInTable(Common_SourceData.Common_SourceData_AustralianStatesTerritories_Data(),Table_AustralianStates[[#Headers],[State/Territory]],0)</f>
        <v>Western Australia</v>
      </c>
      <c r="E12" s="24" t="str" cm="1">
        <f t="array" ref="E12">Common_InputFunctions.Utility_DisplayArrayInTable(Common_SourceData.Common_SourceData_AustralianStatesTerritories_Data(),Table_AustralianStates[[#Headers],[State/Territory]],0)</f>
        <v>Western Australia</v>
      </c>
      <c r="F12" s="24"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s="12" t="str">
        <f>HYPERLINK("#'11.1.1-2 Wastewater CH4'!A1", "11.1.1-2 Wastewater CH4")</f>
        <v>11.1.1-2 Wastewater CH4</v>
      </c>
      <c r="D13" s="24" t="str" cm="1">
        <f t="array" ref="D13">Common_InputFunctions.Utility_DisplayArrayInTable(Common_SourceData.Common_SourceData_AustralianStatesTerritories_Data(),Table_AustralianStates[[#Headers],[State/Territory]],0)</f>
        <v>Tasmania</v>
      </c>
      <c r="E13" s="24" t="str" cm="1">
        <f t="array" ref="E13">Common_InputFunctions.Utility_DisplayArrayInTable(Common_SourceData.Common_SourceData_AustralianStatesTerritories_Data(),Table_AustralianStates[[#Headers],[State/Territory]],0)</f>
        <v>Tasmania</v>
      </c>
      <c r="F13" s="24" t="str" cm="1">
        <f t="array" ref="F13">Common_InputFunctions.Utility_DisplayArrayInTable(Common_SourceData.Common_SourceData_AustralianStatesTerritories_Data(),Table_AustralianStates[[#Headers],[State/Territory]],0)</f>
        <v>TAS</v>
      </c>
    </row>
    <row r="14" spans="1:65" ht="20.100000000000001" customHeight="1" x14ac:dyDescent="0.25">
      <c r="A14" s="12" t="str">
        <f>HYPERLINK("#'11.1.3-4 Wastewater N2O'!A1", "11.1.3-4 Wastewater N2O")</f>
        <v>11.1.3-4 Wastewater N2O</v>
      </c>
      <c r="D14" s="24" t="str" cm="1">
        <f t="array" ref="D14">Common_InputFunctions.Utility_DisplayArrayInTable(Common_SourceData.Common_SourceData_AustralianStatesTerritories_Data(),Table_AustralianStates[[#Headers],[State/Territory]],0)</f>
        <v>Northern Territory</v>
      </c>
      <c r="E14" s="24" t="str" cm="1">
        <f t="array" ref="E14">Common_InputFunctions.Utility_DisplayArrayInTable(Common_SourceData.Common_SourceData_AustralianStatesTerritories_Data(),Table_AustralianStates[[#Headers],[State/Territory]],0)</f>
        <v>Northern Territory</v>
      </c>
      <c r="F14" s="2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74" t="s">
        <v>1</v>
      </c>
    </row>
    <row r="18" spans="1:4" ht="20.100000000000001" customHeight="1" x14ac:dyDescent="0.25">
      <c r="A18" s="12" t="str">
        <f>HYPERLINK("#'Constants - Wastewater'!A1", "Constants - Wastewater")</f>
        <v>Constants - Wastewater</v>
      </c>
      <c r="D18" s="5" t="str" cm="1">
        <f t="array" ref="D18">Common_SourceData.Common_SourceData_WASA4Areas_Title()</f>
        <v>ABS Statistcal Areas Level 4 - Western Australia</v>
      </c>
    </row>
    <row r="19" spans="1:4" ht="20.100000000000001" customHeight="1" x14ac:dyDescent="0.25">
      <c r="A19" s="53" t="str">
        <f>HYPERLINK("#'Constants - Common'!A1", "Constants - Common")</f>
        <v>Constants - Common</v>
      </c>
      <c r="D19" s="4" t="str" cm="1">
        <f t="array" ref="D19">Common_SourceData.Common_SourceData_WASA4Areas_Source()</f>
        <v>Australian Bureau of Statistics (ABS) - Statistical Areas Level 2 - 2021 - Shapefile</v>
      </c>
    </row>
    <row r="20" spans="1:4" ht="20.100000000000001" customHeight="1" x14ac:dyDescent="0.25">
      <c r="A20"/>
      <c r="D20" s="24" t="s">
        <v>8</v>
      </c>
    </row>
    <row r="21" spans="1:4" ht="20.100000000000001" customHeight="1" x14ac:dyDescent="0.25">
      <c r="A21"/>
      <c r="D21" s="24" t="str" cm="1">
        <f t="array" ref="D21">Common_InputFunctions.Utility_DisplayArrayInTable(Common_SourceData.Common_SourceData_WASA4Areas_Data(), Table_WASA4Areas[[#Headers],[SA 4 Name]], 0)</f>
        <v>Bunbury</v>
      </c>
    </row>
    <row r="22" spans="1:4" ht="20.100000000000001" customHeight="1" x14ac:dyDescent="0.25">
      <c r="A22"/>
      <c r="D22" s="24" t="str" cm="1">
        <f t="array" ref="D22">Common_InputFunctions.Utility_DisplayArrayInTable(Common_SourceData.Common_SourceData_WASA4Areas_Data(), Table_WASA4Areas[[#Headers],[SA 4 Name]], 0)</f>
        <v>Mandurah</v>
      </c>
    </row>
    <row r="23" spans="1:4" ht="20.100000000000001" customHeight="1" x14ac:dyDescent="0.25">
      <c r="A23"/>
      <c r="D23" s="24" t="str" cm="1">
        <f t="array" ref="D23">Common_InputFunctions.Utility_DisplayArrayInTable(Common_SourceData.Common_SourceData_WASA4Areas_Data(), Table_WASA4Areas[[#Headers],[SA 4 Name]], 0)</f>
        <v>Perth - Inner</v>
      </c>
    </row>
    <row r="24" spans="1:4" ht="20.100000000000001" customHeight="1" x14ac:dyDescent="0.25">
      <c r="A24"/>
      <c r="D24" s="24" t="str" cm="1">
        <f t="array" ref="D24">Common_InputFunctions.Utility_DisplayArrayInTable(Common_SourceData.Common_SourceData_WASA4Areas_Data(), Table_WASA4Areas[[#Headers],[SA 4 Name]], 0)</f>
        <v>Perth - North East</v>
      </c>
    </row>
    <row r="25" spans="1:4" ht="20.100000000000001" customHeight="1" x14ac:dyDescent="0.25">
      <c r="A25"/>
      <c r="D25" s="24" t="str" cm="1">
        <f t="array" ref="D25">Common_InputFunctions.Utility_DisplayArrayInTable(Common_SourceData.Common_SourceData_WASA4Areas_Data(), Table_WASA4Areas[[#Headers],[SA 4 Name]], 0)</f>
        <v>Perth - North West</v>
      </c>
    </row>
    <row r="26" spans="1:4" ht="20.100000000000001" customHeight="1" x14ac:dyDescent="0.25">
      <c r="A26"/>
      <c r="D26" s="24" t="str" cm="1">
        <f t="array" ref="D26">Common_InputFunctions.Utility_DisplayArrayInTable(Common_SourceData.Common_SourceData_WASA4Areas_Data(), Table_WASA4Areas[[#Headers],[SA 4 Name]], 0)</f>
        <v>Perth - South East</v>
      </c>
    </row>
    <row r="27" spans="1:4" ht="20.100000000000001" customHeight="1" x14ac:dyDescent="0.25">
      <c r="A27"/>
      <c r="D27" s="24" t="str" cm="1">
        <f t="array" ref="D27">Common_InputFunctions.Utility_DisplayArrayInTable(Common_SourceData.Common_SourceData_WASA4Areas_Data(), Table_WASA4Areas[[#Headers],[SA 4 Name]], 0)</f>
        <v>Perth - South West</v>
      </c>
    </row>
    <row r="28" spans="1:4" ht="20.100000000000001" customHeight="1" x14ac:dyDescent="0.25">
      <c r="A28"/>
      <c r="D28" s="2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4" t="s">
        <v>10</v>
      </c>
      <c r="E36" s="24" t="s">
        <v>11</v>
      </c>
    </row>
    <row r="37" spans="1:8" ht="20.100000000000001" customHeight="1" x14ac:dyDescent="0.25">
      <c r="A37"/>
      <c r="D37" s="24" t="str" cm="1">
        <f t="array" ref="D37">Common_InputFunctions.Utility_DisplayArrayInTable(Common_SourceData.Common_SourceData_GWP_Data(), Table_GWPData[[#Headers],[Gas]], 0)</f>
        <v>CO2</v>
      </c>
      <c r="E37" s="24" cm="1">
        <f t="array" ref="E37">Common_InputFunctions.Utility_DisplayArrayInTable(Common_SourceData.Common_SourceData_GWP_Data(), Table_GWPData[[#Headers],[Gas]], 0)</f>
        <v>1</v>
      </c>
    </row>
    <row r="38" spans="1:8" ht="20.100000000000001" customHeight="1" x14ac:dyDescent="0.25">
      <c r="A38"/>
      <c r="D38" s="24" t="str" cm="1">
        <f t="array" ref="D38">Common_InputFunctions.Utility_DisplayArrayInTable(Common_SourceData.Common_SourceData_GWP_Data(), Table_GWPData[[#Headers],[Gas]], 0)</f>
        <v>CH4</v>
      </c>
      <c r="E38" s="24" cm="1">
        <f t="array" ref="E38">Common_InputFunctions.Utility_DisplayArrayInTable(Common_SourceData.Common_SourceData_GWP_Data(), Table_GWPData[[#Headers],[Gas]], 0)</f>
        <v>28</v>
      </c>
    </row>
    <row r="39" spans="1:8" ht="20.100000000000001" customHeight="1" x14ac:dyDescent="0.25">
      <c r="A39"/>
      <c r="D39" s="24" t="str" cm="1">
        <f t="array" ref="D39">Common_InputFunctions.Utility_DisplayArrayInTable(Common_SourceData.Common_SourceData_GWP_Data(), Table_GWPData[[#Headers],[Gas]], 0)</f>
        <v>N2O</v>
      </c>
      <c r="E39" s="24" cm="1">
        <f t="array" ref="E39">Common_InputFunctions.Utility_DisplayArrayInTable(Common_SourceData.Common_SourceData_GWP_Data(), Table_GWPData[[#Headers],[Gas]], 0)</f>
        <v>265</v>
      </c>
    </row>
    <row r="40" spans="1:8" ht="20.100000000000001" customHeight="1" x14ac:dyDescent="0.25">
      <c r="A40"/>
      <c r="D40" s="24" t="str" cm="1">
        <f t="array" ref="D40">Common_InputFunctions.Utility_DisplayArrayInTable(Common_SourceData.Common_SourceData_GWP_Data(), Table_GWPData[[#Headers],[Gas]], 0)</f>
        <v>CF4</v>
      </c>
      <c r="E40" s="24" cm="1">
        <f t="array" ref="E40">Common_InputFunctions.Utility_DisplayArrayInTable(Common_SourceData.Common_SourceData_GWP_Data(), Table_GWPData[[#Headers],[Gas]], 0)</f>
        <v>6630</v>
      </c>
    </row>
    <row r="41" spans="1:8" ht="20.100000000000001" customHeight="1" x14ac:dyDescent="0.25">
      <c r="A41"/>
      <c r="D41" s="24" t="str" cm="1">
        <f t="array" ref="D41">Common_InputFunctions.Utility_DisplayArrayInTable(Common_SourceData.Common_SourceData_GWP_Data(), Table_GWPData[[#Headers],[Gas]], 0)</f>
        <v>C2F6</v>
      </c>
      <c r="E41" s="24" cm="1">
        <f t="array" ref="E41">Common_InputFunctions.Utility_DisplayArrayInTable(Common_SourceData.Common_SourceData_GWP_Data(), Table_GWPData[[#Headers],[Gas]], 0)</f>
        <v>12200</v>
      </c>
    </row>
    <row r="42" spans="1:8" ht="20.100000000000001" customHeight="1" x14ac:dyDescent="0.25">
      <c r="A42"/>
      <c r="D42" s="24" t="str" cm="1">
        <f t="array" ref="D42">Common_InputFunctions.Utility_DisplayArrayInTable(Common_SourceData.Common_SourceData_GWP_Data(), Table_GWPData[[#Headers],[Gas]], 0)</f>
        <v>SF6</v>
      </c>
      <c r="E42" s="24" cm="1">
        <f t="array" ref="E42">Common_InputFunctions.Utility_DisplayArrayInTable(Common_SourceData.Common_SourceData_GWP_Data(), Table_GWPData[[#Headers],[Gas]], 0)</f>
        <v>22800</v>
      </c>
    </row>
    <row r="43" spans="1:8" ht="20.100000000000001" customHeight="1" x14ac:dyDescent="0.25">
      <c r="A43"/>
      <c r="D43" s="24" t="str" cm="1">
        <f t="array" ref="D43">Common_InputFunctions.Utility_DisplayArrayInTable(Common_SourceData.Common_SourceData_GWP_Data(), Table_GWPData[[#Headers],[Gas]], 0)</f>
        <v>NF3</v>
      </c>
      <c r="E43" s="24"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5" t="str" cm="1">
        <f t="array" ref="D45">Common_SourceData.Common_SourceData_ConvertGasElementalToMolecular_Title()</f>
        <v>Factor to convert elemental mass of gas to molecular mass</v>
      </c>
    </row>
    <row r="46" spans="1:8" ht="20.100000000000001" customHeight="1" x14ac:dyDescent="0.25">
      <c r="A46"/>
      <c r="D46" s="4" t="str" cm="1">
        <f t="array" ref="D46">Common_SourceData.Common_SourceData_ConvertGasElementalToMolecular_Source()</f>
        <v>XXXXXXX</v>
      </c>
    </row>
    <row r="47" spans="1:8" ht="20.100000000000001" customHeight="1" x14ac:dyDescent="0.25">
      <c r="A47"/>
      <c r="D47" s="24" t="s">
        <v>10</v>
      </c>
      <c r="E47" s="24" t="s">
        <v>13</v>
      </c>
      <c r="F47" s="24" t="s">
        <v>14</v>
      </c>
      <c r="G47" s="24" t="s">
        <v>15</v>
      </c>
      <c r="H47" s="24" t="s">
        <v>16</v>
      </c>
    </row>
    <row r="48" spans="1:8" ht="20.100000000000001" customHeight="1" x14ac:dyDescent="0.25">
      <c r="A48"/>
      <c r="D48" s="24" t="str" cm="1">
        <f t="array" ref="D48">Common_InputFunctions.Utility_DisplayArrayInTable(Common_SourceData.Common_SourceData_ConvertGasElementalToMolecular_Data(),Table_GasToMolecularConversionFactor[[#Headers],[Gas]], 0)</f>
        <v>CO2</v>
      </c>
      <c r="E48" s="24" t="str" cm="1">
        <f t="array" ref="E48">Common_InputFunctions.Utility_DisplayArrayInTable(Common_SourceData.Common_SourceData_ConvertGasElementalToMolecular_Data(),Table_GasToMolecularConversionFactor[[#Headers],[Gas]], 0)</f>
        <v>44/12</v>
      </c>
      <c r="F48" s="24" cm="1">
        <f t="array" ref="F48">Common_InputFunctions.Utility_DisplayArrayInTable(Common_SourceData.Common_SourceData_ConvertGasElementalToMolecular_Data(),Table_GasToMolecularConversionFactor[[#Headers],[Gas]], 0)</f>
        <v>44</v>
      </c>
      <c r="G48" s="24" cm="1">
        <f t="array" ref="G48">Common_InputFunctions.Utility_DisplayArrayInTable(Common_SourceData.Common_SourceData_ConvertGasElementalToMolecular_Data(),Table_GasToMolecularConversionFactor[[#Headers],[Gas]], 0)</f>
        <v>12</v>
      </c>
      <c r="H48" s="24">
        <f>Table_GasToMolecularConversionFactor[[#This Row],[Conversion factor 1]]/Table_GasToMolecularConversionFactor[[#This Row],[Conversion factor 2]]</f>
        <v>3.6666666666666665</v>
      </c>
    </row>
    <row r="49" spans="1:8" ht="20.100000000000001" customHeight="1" x14ac:dyDescent="0.25">
      <c r="A49"/>
      <c r="D49" s="24" t="str" cm="1">
        <f t="array" ref="D49">Common_InputFunctions.Utility_DisplayArrayInTable(Common_SourceData.Common_SourceData_ConvertGasElementalToMolecular_Data(),Table_GasToMolecularConversionFactor[[#Headers],[Gas]], 0)</f>
        <v>CH4</v>
      </c>
      <c r="E49" s="24" t="str" cm="1">
        <f t="array" ref="E49">Common_InputFunctions.Utility_DisplayArrayInTable(Common_SourceData.Common_SourceData_ConvertGasElementalToMolecular_Data(),Table_GasToMolecularConversionFactor[[#Headers],[Gas]], 0)</f>
        <v>16/12</v>
      </c>
      <c r="F49" s="24" cm="1">
        <f t="array" ref="F49">Common_InputFunctions.Utility_DisplayArrayInTable(Common_SourceData.Common_SourceData_ConvertGasElementalToMolecular_Data(),Table_GasToMolecularConversionFactor[[#Headers],[Gas]], 0)</f>
        <v>16</v>
      </c>
      <c r="G49" s="24" cm="1">
        <f t="array" ref="G49">Common_InputFunctions.Utility_DisplayArrayInTable(Common_SourceData.Common_SourceData_ConvertGasElementalToMolecular_Data(),Table_GasToMolecularConversionFactor[[#Headers],[Gas]], 0)</f>
        <v>12</v>
      </c>
      <c r="H49" s="24">
        <f>Table_GasToMolecularConversionFactor[[#This Row],[Conversion factor 1]]/Table_GasToMolecularConversionFactor[[#This Row],[Conversion factor 2]]</f>
        <v>1.3333333333333333</v>
      </c>
    </row>
    <row r="50" spans="1:8" ht="20.100000000000001" customHeight="1" x14ac:dyDescent="0.25">
      <c r="A50"/>
      <c r="D50" s="24" t="str" cm="1">
        <f t="array" ref="D50">Common_InputFunctions.Utility_DisplayArrayInTable(Common_SourceData.Common_SourceData_ConvertGasElementalToMolecular_Data(),Table_GasToMolecularConversionFactor[[#Headers],[Gas]], 0)</f>
        <v>N2O</v>
      </c>
      <c r="E50" s="24" t="str" cm="1">
        <f t="array" ref="E50">Common_InputFunctions.Utility_DisplayArrayInTable(Common_SourceData.Common_SourceData_ConvertGasElementalToMolecular_Data(),Table_GasToMolecularConversionFactor[[#Headers],[Gas]], 0)</f>
        <v>44/28</v>
      </c>
      <c r="F50" s="24" cm="1">
        <f t="array" ref="F50">Common_InputFunctions.Utility_DisplayArrayInTable(Common_SourceData.Common_SourceData_ConvertGasElementalToMolecular_Data(),Table_GasToMolecularConversionFactor[[#Headers],[Gas]], 0)</f>
        <v>44</v>
      </c>
      <c r="G50" s="24" cm="1">
        <f t="array" ref="G50">Common_InputFunctions.Utility_DisplayArrayInTable(Common_SourceData.Common_SourceData_ConvertGasElementalToMolecular_Data(),Table_GasToMolecularConversionFactor[[#Headers],[Gas]], 0)</f>
        <v>28</v>
      </c>
      <c r="H50" s="24">
        <f>Table_GasToMolecularConversionFactor[[#This Row],[Conversion factor 1]]/Table_GasToMolecularConversionFactor[[#This Row],[Conversion factor 2]]</f>
        <v>1.5714285714285714</v>
      </c>
    </row>
    <row r="51" spans="1:8" ht="20.100000000000001" customHeight="1" x14ac:dyDescent="0.25">
      <c r="A51"/>
      <c r="D51" s="24" t="str" cm="1">
        <f t="array" ref="D51">Common_InputFunctions.Utility_DisplayArrayInTable(Common_SourceData.Common_SourceData_ConvertGasElementalToMolecular_Data(),Table_GasToMolecularConversionFactor[[#Headers],[Gas]], 0)</f>
        <v>Nox</v>
      </c>
      <c r="E51" s="24" t="str" cm="1">
        <f t="array" ref="E51">Common_InputFunctions.Utility_DisplayArrayInTable(Common_SourceData.Common_SourceData_ConvertGasElementalToMolecular_Data(),Table_GasToMolecularConversionFactor[[#Headers],[Gas]], 0)</f>
        <v>46/14</v>
      </c>
      <c r="F51" s="24" cm="1">
        <f t="array" ref="F51">Common_InputFunctions.Utility_DisplayArrayInTable(Common_SourceData.Common_SourceData_ConvertGasElementalToMolecular_Data(),Table_GasToMolecularConversionFactor[[#Headers],[Gas]], 0)</f>
        <v>46</v>
      </c>
      <c r="G51" s="24" cm="1">
        <f t="array" ref="G51">Common_InputFunctions.Utility_DisplayArrayInTable(Common_SourceData.Common_SourceData_ConvertGasElementalToMolecular_Data(),Table_GasToMolecularConversionFactor[[#Headers],[Gas]], 0)</f>
        <v>14</v>
      </c>
      <c r="H51" s="24">
        <f>Table_GasToMolecularConversionFactor[[#This Row],[Conversion factor 1]]/Table_GasToMolecularConversionFactor[[#This Row],[Conversion factor 2]]</f>
        <v>3.2857142857142856</v>
      </c>
    </row>
    <row r="52" spans="1:8" ht="20.100000000000001" customHeight="1" x14ac:dyDescent="0.25">
      <c r="A52"/>
      <c r="D52" s="24" t="str" cm="1">
        <f t="array" ref="D52">Common_InputFunctions.Utility_DisplayArrayInTable(Common_SourceData.Common_SourceData_ConvertGasElementalToMolecular_Data(),Table_GasToMolecularConversionFactor[[#Headers],[Gas]], 0)</f>
        <v>CO</v>
      </c>
      <c r="E52" s="24" t="str" cm="1">
        <f t="array" ref="E52">Common_InputFunctions.Utility_DisplayArrayInTable(Common_SourceData.Common_SourceData_ConvertGasElementalToMolecular_Data(),Table_GasToMolecularConversionFactor[[#Headers],[Gas]], 0)</f>
        <v>28/12</v>
      </c>
      <c r="F52" s="24" cm="1">
        <f t="array" ref="F52">Common_InputFunctions.Utility_DisplayArrayInTable(Common_SourceData.Common_SourceData_ConvertGasElementalToMolecular_Data(),Table_GasToMolecularConversionFactor[[#Headers],[Gas]], 0)</f>
        <v>28</v>
      </c>
      <c r="G52" s="24" cm="1">
        <f t="array" ref="G52">Common_InputFunctions.Utility_DisplayArrayInTable(Common_SourceData.Common_SourceData_ConvertGasElementalToMolecular_Data(),Table_GasToMolecularConversionFactor[[#Headers],[Gas]], 0)</f>
        <v>12</v>
      </c>
      <c r="H52" s="24">
        <f>Table_GasToMolecularConversionFactor[[#This Row],[Conversion factor 1]]/Table_GasToMolecularConversionFactor[[#This Row],[Conversion factor 2]]</f>
        <v>2.3333333333333335</v>
      </c>
    </row>
    <row r="53" spans="1:8" ht="20.100000000000001" customHeight="1" x14ac:dyDescent="0.25">
      <c r="A53"/>
      <c r="D53" s="24" t="str" cm="1">
        <f t="array" ref="D53">Common_InputFunctions.Utility_DisplayArrayInTable(Common_SourceData.Common_SourceData_ConvertGasElementalToMolecular_Data(),Table_GasToMolecularConversionFactor[[#Headers],[Gas]], 0)</f>
        <v>CO2 Lime</v>
      </c>
      <c r="E53" s="24" t="str" cm="1">
        <f t="array" ref="E53">Common_InputFunctions.Utility_DisplayArrayInTable(Common_SourceData.Common_SourceData_ConvertGasElementalToMolecular_Data(),Table_GasToMolecularConversionFactor[[#Headers],[Gas]], 0)</f>
        <v>44/12</v>
      </c>
      <c r="F53" s="24" cm="1">
        <f t="array" ref="F53">Common_InputFunctions.Utility_DisplayArrayInTable(Common_SourceData.Common_SourceData_ConvertGasElementalToMolecular_Data(),Table_GasToMolecularConversionFactor[[#Headers],[Gas]], 0)</f>
        <v>44</v>
      </c>
      <c r="G53" s="24" cm="1">
        <f t="array" ref="G53">Common_InputFunctions.Utility_DisplayArrayInTable(Common_SourceData.Common_SourceData_ConvertGasElementalToMolecular_Data(),Table_GasToMolecularConversionFactor[[#Headers],[Gas]], 0)</f>
        <v>12</v>
      </c>
      <c r="H53" s="24">
        <f>Table_GasToMolecularConversionFactor[[#This Row],[Conversion factor 1]]/Table_GasToMolecularConversionFactor[[#This Row],[Conversion factor 2]]</f>
        <v>3.6666666666666665</v>
      </c>
    </row>
    <row r="54" spans="1:8" ht="20.100000000000001" customHeight="1" x14ac:dyDescent="0.25">
      <c r="A54"/>
      <c r="D54" s="24" t="str" cm="1">
        <f t="array" ref="D54">Common_InputFunctions.Utility_DisplayArrayInTable(Common_SourceData.Common_SourceData_ConvertGasElementalToMolecular_Data(),Table_GasToMolecularConversionFactor[[#Headers],[Gas]], 0)</f>
        <v>NMVOC</v>
      </c>
      <c r="E54" s="24" t="str" cm="1">
        <f t="array" ref="E54">Common_InputFunctions.Utility_DisplayArrayInTable(Common_SourceData.Common_SourceData_ConvertGasElementalToMolecular_Data(),Table_GasToMolecularConversionFactor[[#Headers],[Gas]], 0)</f>
        <v>14/12</v>
      </c>
      <c r="F54" s="24" cm="1">
        <f t="array" ref="F54">Common_InputFunctions.Utility_DisplayArrayInTable(Common_SourceData.Common_SourceData_ConvertGasElementalToMolecular_Data(),Table_GasToMolecularConversionFactor[[#Headers],[Gas]], 0)</f>
        <v>14</v>
      </c>
      <c r="G54" s="24" cm="1">
        <f t="array" ref="G54">Common_InputFunctions.Utility_DisplayArrayInTable(Common_SourceData.Common_SourceData_ConvertGasElementalToMolecular_Data(),Table_GasToMolecularConversionFactor[[#Headers],[Gas]], 0)</f>
        <v>12</v>
      </c>
      <c r="H54" s="24">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5" t="str" cm="1">
        <f t="array" ref="D57">Common_SourceData.Common_SourceData_WetAndDryZones_Title()</f>
        <v>VEERG Australian wet and dry zones</v>
      </c>
    </row>
    <row r="58" spans="1:8" ht="20.100000000000001" customHeight="1" x14ac:dyDescent="0.25">
      <c r="A58"/>
      <c r="D58" s="4" t="str" cm="1">
        <f t="array" ref="D58">Common_SourceData.Common_SourceData_WetAndDryZones_Source()</f>
        <v>VEERG 2026: Table 1.2: Translating climate zones to wet and dry zones</v>
      </c>
    </row>
    <row r="59" spans="1:8" ht="20.100000000000001" customHeight="1" x14ac:dyDescent="0.25">
      <c r="A59"/>
      <c r="D59" s="29" t="str" cm="1">
        <f t="array" ref="D59:D61">"⚠️" &amp; Common_SourceData.Common_SourceData_WetAndDryZones_Variation()</f>
        <v>⚠️VARIATION OF SOURCE DATA:</v>
      </c>
    </row>
    <row r="60" spans="1:8" ht="20.100000000000001" customHeight="1" x14ac:dyDescent="0.25">
      <c r="A60"/>
      <c r="D60" s="29" t="str">
        <v>⚠️Added warm / cool temperate moist / dry - low frost and high temp classes to accommodate climate scenarios excluded by VEERG criteria.</v>
      </c>
    </row>
    <row r="61" spans="1:8" ht="20.100000000000001" customHeight="1" x14ac:dyDescent="0.25">
      <c r="A61"/>
      <c r="D61" s="29" t="str">
        <v>⚠️Fixed typo - Changed 'Fry' to 'Dry'.</v>
      </c>
    </row>
    <row r="62" spans="1:8" ht="20.100000000000001" customHeight="1" x14ac:dyDescent="0.25">
      <c r="A62"/>
    </row>
    <row r="63" spans="1:8" ht="20.100000000000001" customHeight="1" x14ac:dyDescent="0.25">
      <c r="A63"/>
      <c r="D63" s="24" t="s">
        <v>3</v>
      </c>
      <c r="E63" s="24" t="s">
        <v>30</v>
      </c>
    </row>
    <row r="64" spans="1:8" ht="20.100000000000001" customHeight="1" x14ac:dyDescent="0.25">
      <c r="A64"/>
      <c r="D64" s="24" t="str" cm="1">
        <f t="array" ref="D64">Common_InputFunctions.Utility_DisplayArrayInTable(Common_SourceData.Common_SourceData_WetAndDryZones_Data(), Table_SourceData_WetDryZones[[#Headers],[Climate zone]], 0)</f>
        <v>Tropical montane</v>
      </c>
      <c r="E64" s="24"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4" t="str" cm="1">
        <f t="array" ref="D65">Common_InputFunctions.Utility_DisplayArrayInTable(Common_SourceData.Common_SourceData_WetAndDryZones_Data(), Table_SourceData_WetDryZones[[#Headers],[Climate zone]], 0)</f>
        <v>Tropical wet</v>
      </c>
      <c r="E65" s="24"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4" t="str" cm="1">
        <f t="array" ref="D66">Common_InputFunctions.Utility_DisplayArrayInTable(Common_SourceData.Common_SourceData_WetAndDryZones_Data(), Table_SourceData_WetDryZones[[#Headers],[Climate zone]], 0)</f>
        <v>Tropical moist</v>
      </c>
      <c r="E66" s="24"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4" t="str" cm="1">
        <f t="array" ref="D67">Common_InputFunctions.Utility_DisplayArrayInTable(Common_SourceData.Common_SourceData_WetAndDryZones_Data(), Table_SourceData_WetDryZones[[#Headers],[Climate zone]], 0)</f>
        <v>Tropical dry</v>
      </c>
      <c r="E67" s="24"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4" t="str" cm="1">
        <f t="array" ref="D68">Common_InputFunctions.Utility_DisplayArrayInTable(Common_SourceData.Common_SourceData_WetAndDryZones_Data(), Table_SourceData_WetDryZones[[#Headers],[Climate zone]], 0)</f>
        <v>Warm temperate moist</v>
      </c>
      <c r="E68" s="24"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4" t="str" cm="1">
        <f t="array" ref="D69">Common_InputFunctions.Utility_DisplayArrayInTable(Common_SourceData.Common_SourceData_WetAndDryZones_Data(), Table_SourceData_WetDryZones[[#Headers],[Climate zone]], 0)</f>
        <v>Warm temperate dry</v>
      </c>
      <c r="E69" s="24"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4" t="str" cm="1">
        <f t="array" ref="D70">Common_InputFunctions.Utility_DisplayArrayInTable(Common_SourceData.Common_SourceData_WetAndDryZones_Data(), Table_SourceData_WetDryZones[[#Headers],[Climate zone]], 0)</f>
        <v>Cool temperate moist</v>
      </c>
      <c r="E70" s="24"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4" t="str" cm="1">
        <f t="array" ref="D71">Common_InputFunctions.Utility_DisplayArrayInTable(Common_SourceData.Common_SourceData_WetAndDryZones_Data(), Table_SourceData_WetDryZones[[#Headers],[Climate zone]], 0)</f>
        <v>Cool temperate dry</v>
      </c>
      <c r="E71" s="24"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4" t="str" cm="1">
        <f t="array" ref="D72">Common_InputFunctions.Utility_DisplayArrayInTable(Common_SourceData.Common_SourceData_WetAndDryZones_Data(), Table_SourceData_WetDryZones[[#Headers],[Climate zone]], 0)</f>
        <v>Warm temperate moist - low frost</v>
      </c>
      <c r="E72" s="24"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4" t="str" cm="1">
        <f t="array" ref="D73">Common_InputFunctions.Utility_DisplayArrayInTable(Common_SourceData.Common_SourceData_WetAndDryZones_Data(), Table_SourceData_WetDryZones[[#Headers],[Climate zone]], 0)</f>
        <v>Warm temperate dry - low frost</v>
      </c>
      <c r="E73" s="24"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4" t="str" cm="1">
        <f t="array" ref="D74">Common_InputFunctions.Utility_DisplayArrayInTable(Common_SourceData.Common_SourceData_WetAndDryZones_Data(), Table_SourceData_WetDryZones[[#Headers],[Climate zone]], 0)</f>
        <v>Warm temperate moist - high temp</v>
      </c>
      <c r="E74" s="24"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4" t="str" cm="1">
        <f t="array" ref="D75">Common_InputFunctions.Utility_DisplayArrayInTable(Common_SourceData.Common_SourceData_WetAndDryZones_Data(), Table_SourceData_WetDryZones[[#Headers],[Climate zone]], 0)</f>
        <v>Warm temperate dry - high temp</v>
      </c>
      <c r="E75" s="24"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4" t="str" cm="1">
        <f t="array" ref="D76">Common_InputFunctions.Utility_DisplayArrayInTable(Common_SourceData.Common_SourceData_WetAndDryZones_Data(), Table_SourceData_WetDryZones[[#Headers],[Climate zone]], 0)</f>
        <v>Cool temperate moist - low frost</v>
      </c>
      <c r="E76" s="24"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4" t="str" cm="1">
        <f t="array" ref="D77">Common_InputFunctions.Utility_DisplayArrayInTable(Common_SourceData.Common_SourceData_WetAndDryZones_Data(), Table_SourceData_WetDryZones[[#Headers],[Climate zone]], 0)</f>
        <v>Cool temperate dry - low frost</v>
      </c>
      <c r="E77" s="24"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5" t="str" cm="1">
        <f t="array" ref="D81">Common_SourceData.Common_SourceData_ClimateZones_Title()</f>
        <v>VEERG Australian climate zones</v>
      </c>
    </row>
    <row r="82" spans="1:20" ht="20.100000000000001" customHeight="1" x14ac:dyDescent="0.25">
      <c r="A82"/>
      <c r="D82" s="4" t="str" cm="1">
        <f t="array" ref="D82">Common_SourceData.Common_SourceData_ClimateZones_Source()</f>
        <v>VEERG 2026: Table 1.3: Climate and Rainfall zone classifications and definitions</v>
      </c>
    </row>
    <row r="83" spans="1:20" ht="20.100000000000001" customHeight="1" x14ac:dyDescent="0.25">
      <c r="A83"/>
      <c r="D83" s="29" t="str" cm="1">
        <f t="array" ref="D83:D87">"⚠️" &amp; Common_SourceData.Common_SourceData_ClimateZones_Variation()</f>
        <v>⚠️VARIATION OF SOURCE DATA:</v>
      </c>
    </row>
    <row r="84" spans="1:20" ht="20.100000000000001" customHeight="1" x14ac:dyDescent="0.25">
      <c r="A84"/>
      <c r="D84" s="29" t="str">
        <v>⚠️Added warm / cool temperate moist / dry - low frost and high temp classes to accommodate climate scenarios excluded by VEERG criteria.</v>
      </c>
    </row>
    <row r="85" spans="1:20" ht="20.100000000000001" customHeight="1" x14ac:dyDescent="0.25">
      <c r="A85"/>
      <c r="D85" s="29" t="str">
        <v>⚠️Fixed typo in MAT value for warm temperate dry - changed 10 to 11.</v>
      </c>
    </row>
    <row r="86" spans="1:20" ht="20.100000000000001" customHeight="1" x14ac:dyDescent="0.25">
      <c r="A86"/>
      <c r="D86" s="29" t="str">
        <v>⚠️Added min and max columns for MAT, MAP, frost days per year, elevation, MAP:PET to calculate zones from real climate data.</v>
      </c>
    </row>
    <row r="87" spans="1:20" ht="20.100000000000001" customHeight="1" x14ac:dyDescent="0.25">
      <c r="A87"/>
      <c r="D87" s="29" t="str">
        <v>⚠️GAF accepts rainfall as a proxy for precipitation.</v>
      </c>
    </row>
    <row r="88" spans="1:20" ht="20.100000000000001" customHeight="1" x14ac:dyDescent="0.25">
      <c r="A88"/>
    </row>
    <row r="89" spans="1:20" ht="20.100000000000001" customHeight="1" x14ac:dyDescent="0.25">
      <c r="A89"/>
      <c r="D89" s="24" t="s">
        <v>3</v>
      </c>
      <c r="E89" s="24" t="s">
        <v>18</v>
      </c>
      <c r="F89" s="24" t="s">
        <v>19</v>
      </c>
      <c r="G89" s="24" t="s">
        <v>20</v>
      </c>
      <c r="H89" s="24" t="s">
        <v>21</v>
      </c>
      <c r="I89" s="24" t="s">
        <v>22</v>
      </c>
      <c r="J89" s="24" t="s">
        <v>23</v>
      </c>
      <c r="K89" s="24" t="s">
        <v>24</v>
      </c>
      <c r="L89" s="24" t="s">
        <v>25</v>
      </c>
      <c r="M89" s="24" t="s">
        <v>26</v>
      </c>
      <c r="N89" s="24" t="s">
        <v>27</v>
      </c>
      <c r="O89" s="24" t="s">
        <v>31</v>
      </c>
      <c r="P89" s="24" t="s">
        <v>28</v>
      </c>
      <c r="Q89" s="24" t="s">
        <v>32</v>
      </c>
      <c r="R89" s="24" t="s">
        <v>29</v>
      </c>
      <c r="S89" s="24" t="s">
        <v>33</v>
      </c>
      <c r="T89" s="24"/>
    </row>
    <row r="90" spans="1:20" ht="20.100000000000001" customHeight="1" x14ac:dyDescent="0.25">
      <c r="A90"/>
      <c r="D90" s="24" t="str" cm="1">
        <f t="array" ref="D90">Common_InputFunctions.Utility_DisplayArrayInTable(Common_SourceData.Common_SourceData_ClimateZones_Data(), Table_SourceData_ClimateZones[[#Headers],[Climate zone]], 0)</f>
        <v>Tropical montane</v>
      </c>
      <c r="E90" s="24" t="str" cm="1">
        <f t="array" ref="E90">Common_InputFunctions.Utility_DisplayArrayInTable(Common_SourceData.Common_SourceData_ClimateZones_Data(), Table_SourceData_ClimateZones[[#Headers],[Climate zone]], 0)</f>
        <v>&gt; 18 C</v>
      </c>
      <c r="F90" s="24" t="str" cm="1">
        <f t="array" ref="F90">Common_InputFunctions.Utility_DisplayArrayInTable(Common_SourceData.Common_SourceData_ClimateZones_Data(), Table_SourceData_ClimateZones[[#Headers],[Climate zone]], 0)</f>
        <v>Any</v>
      </c>
      <c r="G90" s="24" t="str" cm="1">
        <f t="array" ref="G90">Common_InputFunctions.Utility_DisplayArrayInTable(Common_SourceData.Common_SourceData_ClimateZones_Data(), Table_SourceData_ClimateZones[[#Headers],[Climate zone]], 0)</f>
        <v>≤ 7</v>
      </c>
      <c r="H90" s="24" t="str" cm="1">
        <f t="array" ref="H90">Common_InputFunctions.Utility_DisplayArrayInTable(Common_SourceData.Common_SourceData_ClimateZones_Data(), Table_SourceData_ClimateZones[[#Headers],[Climate zone]], 0)</f>
        <v>&gt; 1000 m</v>
      </c>
      <c r="I90" s="24" t="str" cm="1">
        <f t="array" ref="I90">Common_InputFunctions.Utility_DisplayArrayInTable(Common_SourceData.Common_SourceData_ClimateZones_Data(), Table_SourceData_ClimateZones[[#Headers],[Climate zone]], 0)</f>
        <v>Any</v>
      </c>
      <c r="J90" s="24" cm="1">
        <f t="array" ref="J90">Common_InputFunctions.Utility_DisplayArrayInTable(Common_SourceData.Common_SourceData_ClimateZones_Data(), Table_SourceData_ClimateZones[[#Headers],[Climate zone]], 0)</f>
        <v>18.001000000000001</v>
      </c>
      <c r="K90" s="24" cm="1">
        <f t="array" ref="K90">Common_InputFunctions.Utility_DisplayArrayInTable(Common_SourceData.Common_SourceData_ClimateZones_Data(), Table_SourceData_ClimateZones[[#Headers],[Climate zone]], 0)</f>
        <v>999999</v>
      </c>
      <c r="L90" s="24" cm="1">
        <f t="array" ref="L90">Common_InputFunctions.Utility_DisplayArrayInTable(Common_SourceData.Common_SourceData_ClimateZones_Data(), Table_SourceData_ClimateZones[[#Headers],[Climate zone]], 0)</f>
        <v>-999999</v>
      </c>
      <c r="M90" s="24" cm="1">
        <f t="array" ref="M90">Common_InputFunctions.Utility_DisplayArrayInTable(Common_SourceData.Common_SourceData_ClimateZones_Data(), Table_SourceData_ClimateZones[[#Headers],[Climate zone]], 0)</f>
        <v>999999</v>
      </c>
      <c r="N90" s="24" cm="1">
        <f t="array" ref="N90">Common_InputFunctions.Utility_DisplayArrayInTable(Common_SourceData.Common_SourceData_ClimateZones_Data(), Table_SourceData_ClimateZones[[#Headers],[Climate zone]], 0)</f>
        <v>-999999</v>
      </c>
      <c r="O90" s="24" cm="1">
        <f t="array" ref="O90">Common_InputFunctions.Utility_DisplayArrayInTable(Common_SourceData.Common_SourceData_ClimateZones_Data(), Table_SourceData_ClimateZones[[#Headers],[Climate zone]], 0)</f>
        <v>7</v>
      </c>
      <c r="P90" s="24" cm="1">
        <f t="array" ref="P90">Common_InputFunctions.Utility_DisplayArrayInTable(Common_SourceData.Common_SourceData_ClimateZones_Data(), Table_SourceData_ClimateZones[[#Headers],[Climate zone]], 0)</f>
        <v>1000</v>
      </c>
      <c r="Q90" s="24" cm="1">
        <f t="array" ref="Q90">Common_InputFunctions.Utility_DisplayArrayInTable(Common_SourceData.Common_SourceData_ClimateZones_Data(), Table_SourceData_ClimateZones[[#Headers],[Climate zone]], 0)</f>
        <v>999999</v>
      </c>
      <c r="R90" s="24" cm="1">
        <f t="array" ref="R90">Common_InputFunctions.Utility_DisplayArrayInTable(Common_SourceData.Common_SourceData_ClimateZones_Data(), Table_SourceData_ClimateZones[[#Headers],[Climate zone]], 0)</f>
        <v>-999999</v>
      </c>
      <c r="S90" s="24" cm="1">
        <f t="array" ref="S90">Common_InputFunctions.Utility_DisplayArrayInTable(Common_SourceData.Common_SourceData_ClimateZones_Data(), Table_SourceData_ClimateZones[[#Headers],[Climate zone]], 0)</f>
        <v>999999</v>
      </c>
      <c r="T90" s="24"/>
    </row>
    <row r="91" spans="1:20" ht="20.100000000000001" customHeight="1" x14ac:dyDescent="0.25">
      <c r="A91"/>
      <c r="D91" s="24" t="str" cm="1">
        <f t="array" ref="D91">Common_InputFunctions.Utility_DisplayArrayInTable(Common_SourceData.Common_SourceData_ClimateZones_Data(), Table_SourceData_ClimateZones[[#Headers],[Climate zone]], 0)</f>
        <v>Tropical wet</v>
      </c>
      <c r="E91" s="24" t="str" cm="1">
        <f t="array" ref="E91">Common_InputFunctions.Utility_DisplayArrayInTable(Common_SourceData.Common_SourceData_ClimateZones_Data(), Table_SourceData_ClimateZones[[#Headers],[Climate zone]], 0)</f>
        <v>&gt; 18 C</v>
      </c>
      <c r="F91" s="24" t="str" cm="1">
        <f t="array" ref="F91">Common_InputFunctions.Utility_DisplayArrayInTable(Common_SourceData.Common_SourceData_ClimateZones_Data(), Table_SourceData_ClimateZones[[#Headers],[Climate zone]], 0)</f>
        <v>&gt; 2000 mm</v>
      </c>
      <c r="G91" s="24" t="str" cm="1">
        <f t="array" ref="G91">Common_InputFunctions.Utility_DisplayArrayInTable(Common_SourceData.Common_SourceData_ClimateZones_Data(), Table_SourceData_ClimateZones[[#Headers],[Climate zone]], 0)</f>
        <v>≤ 7</v>
      </c>
      <c r="H91" s="24" t="str" cm="1">
        <f t="array" ref="H91">Common_InputFunctions.Utility_DisplayArrayInTable(Common_SourceData.Common_SourceData_ClimateZones_Data(), Table_SourceData_ClimateZones[[#Headers],[Climate zone]], 0)</f>
        <v>≤ 1000 m</v>
      </c>
      <c r="I91" s="24" t="str" cm="1">
        <f t="array" ref="I91">Common_InputFunctions.Utility_DisplayArrayInTable(Common_SourceData.Common_SourceData_ClimateZones_Data(), Table_SourceData_ClimateZones[[#Headers],[Climate zone]], 0)</f>
        <v>Any</v>
      </c>
      <c r="J91" s="24" cm="1">
        <f t="array" ref="J91">Common_InputFunctions.Utility_DisplayArrayInTable(Common_SourceData.Common_SourceData_ClimateZones_Data(), Table_SourceData_ClimateZones[[#Headers],[Climate zone]], 0)</f>
        <v>18.001000000000001</v>
      </c>
      <c r="K91" s="24" cm="1">
        <f t="array" ref="K91">Common_InputFunctions.Utility_DisplayArrayInTable(Common_SourceData.Common_SourceData_ClimateZones_Data(), Table_SourceData_ClimateZones[[#Headers],[Climate zone]], 0)</f>
        <v>999999</v>
      </c>
      <c r="L91" s="24" cm="1">
        <f t="array" ref="L91">Common_InputFunctions.Utility_DisplayArrayInTable(Common_SourceData.Common_SourceData_ClimateZones_Data(), Table_SourceData_ClimateZones[[#Headers],[Climate zone]], 0)</f>
        <v>2000.001</v>
      </c>
      <c r="M91" s="24" cm="1">
        <f t="array" ref="M91">Common_InputFunctions.Utility_DisplayArrayInTable(Common_SourceData.Common_SourceData_ClimateZones_Data(), Table_SourceData_ClimateZones[[#Headers],[Climate zone]], 0)</f>
        <v>999999</v>
      </c>
      <c r="N91" s="24" cm="1">
        <f t="array" ref="N91">Common_InputFunctions.Utility_DisplayArrayInTable(Common_SourceData.Common_SourceData_ClimateZones_Data(), Table_SourceData_ClimateZones[[#Headers],[Climate zone]], 0)</f>
        <v>-999999</v>
      </c>
      <c r="O91" s="24" cm="1">
        <f t="array" ref="O91">Common_InputFunctions.Utility_DisplayArrayInTable(Common_SourceData.Common_SourceData_ClimateZones_Data(), Table_SourceData_ClimateZones[[#Headers],[Climate zone]], 0)</f>
        <v>7</v>
      </c>
      <c r="P91" s="24" cm="1">
        <f t="array" ref="P91">Common_InputFunctions.Utility_DisplayArrayInTable(Common_SourceData.Common_SourceData_ClimateZones_Data(), Table_SourceData_ClimateZones[[#Headers],[Climate zone]], 0)</f>
        <v>-999999</v>
      </c>
      <c r="Q91" s="24" cm="1">
        <f t="array" ref="Q91">Common_InputFunctions.Utility_DisplayArrayInTable(Common_SourceData.Common_SourceData_ClimateZones_Data(), Table_SourceData_ClimateZones[[#Headers],[Climate zone]], 0)</f>
        <v>999.99900000000002</v>
      </c>
      <c r="R91" s="24" cm="1">
        <f t="array" ref="R91">Common_InputFunctions.Utility_DisplayArrayInTable(Common_SourceData.Common_SourceData_ClimateZones_Data(), Table_SourceData_ClimateZones[[#Headers],[Climate zone]], 0)</f>
        <v>-999999</v>
      </c>
      <c r="S91" s="24" cm="1">
        <f t="array" ref="S91">Common_InputFunctions.Utility_DisplayArrayInTable(Common_SourceData.Common_SourceData_ClimateZones_Data(), Table_SourceData_ClimateZones[[#Headers],[Climate zone]], 0)</f>
        <v>999999</v>
      </c>
      <c r="T91" s="24"/>
    </row>
    <row r="92" spans="1:20" ht="20.100000000000001" customHeight="1" x14ac:dyDescent="0.25">
      <c r="A92"/>
      <c r="D92" s="24" t="str" cm="1">
        <f t="array" ref="D92">Common_InputFunctions.Utility_DisplayArrayInTable(Common_SourceData.Common_SourceData_ClimateZones_Data(), Table_SourceData_ClimateZones[[#Headers],[Climate zone]], 0)</f>
        <v>Tropical moist</v>
      </c>
      <c r="E92" s="24" t="str" cm="1">
        <f t="array" ref="E92">Common_InputFunctions.Utility_DisplayArrayInTable(Common_SourceData.Common_SourceData_ClimateZones_Data(), Table_SourceData_ClimateZones[[#Headers],[Climate zone]], 0)</f>
        <v>&gt; 18 C</v>
      </c>
      <c r="F92" s="24" t="str" cm="1">
        <f t="array" ref="F92">Common_InputFunctions.Utility_DisplayArrayInTable(Common_SourceData.Common_SourceData_ClimateZones_Data(), Table_SourceData_ClimateZones[[#Headers],[Climate zone]], 0)</f>
        <v>&gt; 1000 mm - ≤ 2000 mm</v>
      </c>
      <c r="G92" s="24" t="str" cm="1">
        <f t="array" ref="G92">Common_InputFunctions.Utility_DisplayArrayInTable(Common_SourceData.Common_SourceData_ClimateZones_Data(), Table_SourceData_ClimateZones[[#Headers],[Climate zone]], 0)</f>
        <v>≤ 7</v>
      </c>
      <c r="H92" s="24" t="str" cm="1">
        <f t="array" ref="H92">Common_InputFunctions.Utility_DisplayArrayInTable(Common_SourceData.Common_SourceData_ClimateZones_Data(), Table_SourceData_ClimateZones[[#Headers],[Climate zone]], 0)</f>
        <v>≤ 1000 m</v>
      </c>
      <c r="I92" s="24" t="str" cm="1">
        <f t="array" ref="I92">Common_InputFunctions.Utility_DisplayArrayInTable(Common_SourceData.Common_SourceData_ClimateZones_Data(), Table_SourceData_ClimateZones[[#Headers],[Climate zone]], 0)</f>
        <v>Any</v>
      </c>
      <c r="J92" s="24" cm="1">
        <f t="array" ref="J92">Common_InputFunctions.Utility_DisplayArrayInTable(Common_SourceData.Common_SourceData_ClimateZones_Data(), Table_SourceData_ClimateZones[[#Headers],[Climate zone]], 0)</f>
        <v>18.001000000000001</v>
      </c>
      <c r="K92" s="24" cm="1">
        <f t="array" ref="K92">Common_InputFunctions.Utility_DisplayArrayInTable(Common_SourceData.Common_SourceData_ClimateZones_Data(), Table_SourceData_ClimateZones[[#Headers],[Climate zone]], 0)</f>
        <v>999999</v>
      </c>
      <c r="L92" s="24" cm="1">
        <f t="array" ref="L92">Common_InputFunctions.Utility_DisplayArrayInTable(Common_SourceData.Common_SourceData_ClimateZones_Data(), Table_SourceData_ClimateZones[[#Headers],[Climate zone]], 0)</f>
        <v>1000.001</v>
      </c>
      <c r="M92" s="24" cm="1">
        <f t="array" ref="M92">Common_InputFunctions.Utility_DisplayArrayInTable(Common_SourceData.Common_SourceData_ClimateZones_Data(), Table_SourceData_ClimateZones[[#Headers],[Climate zone]], 0)</f>
        <v>2000</v>
      </c>
      <c r="N92" s="24" cm="1">
        <f t="array" ref="N92">Common_InputFunctions.Utility_DisplayArrayInTable(Common_SourceData.Common_SourceData_ClimateZones_Data(), Table_SourceData_ClimateZones[[#Headers],[Climate zone]], 0)</f>
        <v>-999999</v>
      </c>
      <c r="O92" s="24" cm="1">
        <f t="array" ref="O92">Common_InputFunctions.Utility_DisplayArrayInTable(Common_SourceData.Common_SourceData_ClimateZones_Data(), Table_SourceData_ClimateZones[[#Headers],[Climate zone]], 0)</f>
        <v>7</v>
      </c>
      <c r="P92" s="24" cm="1">
        <f t="array" ref="P92">Common_InputFunctions.Utility_DisplayArrayInTable(Common_SourceData.Common_SourceData_ClimateZones_Data(), Table_SourceData_ClimateZones[[#Headers],[Climate zone]], 0)</f>
        <v>-999999</v>
      </c>
      <c r="Q92" s="24" cm="1">
        <f t="array" ref="Q92">Common_InputFunctions.Utility_DisplayArrayInTable(Common_SourceData.Common_SourceData_ClimateZones_Data(), Table_SourceData_ClimateZones[[#Headers],[Climate zone]], 0)</f>
        <v>999.99900000000002</v>
      </c>
      <c r="R92" s="24" cm="1">
        <f t="array" ref="R92">Common_InputFunctions.Utility_DisplayArrayInTable(Common_SourceData.Common_SourceData_ClimateZones_Data(), Table_SourceData_ClimateZones[[#Headers],[Climate zone]], 0)</f>
        <v>-999999</v>
      </c>
      <c r="S92" s="24" cm="1">
        <f t="array" ref="S92">Common_InputFunctions.Utility_DisplayArrayInTable(Common_SourceData.Common_SourceData_ClimateZones_Data(), Table_SourceData_ClimateZones[[#Headers],[Climate zone]], 0)</f>
        <v>999999</v>
      </c>
      <c r="T92" s="24"/>
    </row>
    <row r="93" spans="1:20" ht="20.100000000000001" customHeight="1" x14ac:dyDescent="0.25">
      <c r="A93"/>
      <c r="D93" s="24" t="str" cm="1">
        <f t="array" ref="D93">Common_InputFunctions.Utility_DisplayArrayInTable(Common_SourceData.Common_SourceData_ClimateZones_Data(), Table_SourceData_ClimateZones[[#Headers],[Climate zone]], 0)</f>
        <v>Tropical dry</v>
      </c>
      <c r="E93" s="24" t="str" cm="1">
        <f t="array" ref="E93">Common_InputFunctions.Utility_DisplayArrayInTable(Common_SourceData.Common_SourceData_ClimateZones_Data(), Table_SourceData_ClimateZones[[#Headers],[Climate zone]], 0)</f>
        <v>&gt; 18 C</v>
      </c>
      <c r="F93" s="24" t="str" cm="1">
        <f t="array" ref="F93">Common_InputFunctions.Utility_DisplayArrayInTable(Common_SourceData.Common_SourceData_ClimateZones_Data(), Table_SourceData_ClimateZones[[#Headers],[Climate zone]], 0)</f>
        <v>≤ 1000 mm</v>
      </c>
      <c r="G93" s="24" t="str" cm="1">
        <f t="array" ref="G93">Common_InputFunctions.Utility_DisplayArrayInTable(Common_SourceData.Common_SourceData_ClimateZones_Data(), Table_SourceData_ClimateZones[[#Headers],[Climate zone]], 0)</f>
        <v>≤ 7</v>
      </c>
      <c r="H93" s="24" t="str" cm="1">
        <f t="array" ref="H93">Common_InputFunctions.Utility_DisplayArrayInTable(Common_SourceData.Common_SourceData_ClimateZones_Data(), Table_SourceData_ClimateZones[[#Headers],[Climate zone]], 0)</f>
        <v>≤ 1000 m</v>
      </c>
      <c r="I93" s="24" t="str" cm="1">
        <f t="array" ref="I93">Common_InputFunctions.Utility_DisplayArrayInTable(Common_SourceData.Common_SourceData_ClimateZones_Data(), Table_SourceData_ClimateZones[[#Headers],[Climate zone]], 0)</f>
        <v>Any</v>
      </c>
      <c r="J93" s="24" cm="1">
        <f t="array" ref="J93">Common_InputFunctions.Utility_DisplayArrayInTable(Common_SourceData.Common_SourceData_ClimateZones_Data(), Table_SourceData_ClimateZones[[#Headers],[Climate zone]], 0)</f>
        <v>18.001000000000001</v>
      </c>
      <c r="K93" s="24" cm="1">
        <f t="array" ref="K93">Common_InputFunctions.Utility_DisplayArrayInTable(Common_SourceData.Common_SourceData_ClimateZones_Data(), Table_SourceData_ClimateZones[[#Headers],[Climate zone]], 0)</f>
        <v>999999</v>
      </c>
      <c r="L93" s="24" cm="1">
        <f t="array" ref="L93">Common_InputFunctions.Utility_DisplayArrayInTable(Common_SourceData.Common_SourceData_ClimateZones_Data(), Table_SourceData_ClimateZones[[#Headers],[Climate zone]], 0)</f>
        <v>-999999</v>
      </c>
      <c r="M93" s="24" cm="1">
        <f t="array" ref="M93">Common_InputFunctions.Utility_DisplayArrayInTable(Common_SourceData.Common_SourceData_ClimateZones_Data(), Table_SourceData_ClimateZones[[#Headers],[Climate zone]], 0)</f>
        <v>1000</v>
      </c>
      <c r="N93" s="24" cm="1">
        <f t="array" ref="N93">Common_InputFunctions.Utility_DisplayArrayInTable(Common_SourceData.Common_SourceData_ClimateZones_Data(), Table_SourceData_ClimateZones[[#Headers],[Climate zone]], 0)</f>
        <v>-999999</v>
      </c>
      <c r="O93" s="24" cm="1">
        <f t="array" ref="O93">Common_InputFunctions.Utility_DisplayArrayInTable(Common_SourceData.Common_SourceData_ClimateZones_Data(), Table_SourceData_ClimateZones[[#Headers],[Climate zone]], 0)</f>
        <v>7</v>
      </c>
      <c r="P93" s="24" cm="1">
        <f t="array" ref="P93">Common_InputFunctions.Utility_DisplayArrayInTable(Common_SourceData.Common_SourceData_ClimateZones_Data(), Table_SourceData_ClimateZones[[#Headers],[Climate zone]], 0)</f>
        <v>-999999</v>
      </c>
      <c r="Q93" s="24" cm="1">
        <f t="array" ref="Q93">Common_InputFunctions.Utility_DisplayArrayInTable(Common_SourceData.Common_SourceData_ClimateZones_Data(), Table_SourceData_ClimateZones[[#Headers],[Climate zone]], 0)</f>
        <v>999.99900000000002</v>
      </c>
      <c r="R93" s="24" cm="1">
        <f t="array" ref="R93">Common_InputFunctions.Utility_DisplayArrayInTable(Common_SourceData.Common_SourceData_ClimateZones_Data(), Table_SourceData_ClimateZones[[#Headers],[Climate zone]], 0)</f>
        <v>-999999</v>
      </c>
      <c r="S93" s="24" cm="1">
        <f t="array" ref="S93">Common_InputFunctions.Utility_DisplayArrayInTable(Common_SourceData.Common_SourceData_ClimateZones_Data(), Table_SourceData_ClimateZones[[#Headers],[Climate zone]], 0)</f>
        <v>999999</v>
      </c>
      <c r="T93" s="24"/>
    </row>
    <row r="94" spans="1:20" ht="20.100000000000001" customHeight="1" x14ac:dyDescent="0.25">
      <c r="A94"/>
      <c r="D94" s="24" t="str" cm="1">
        <f t="array" ref="D94">Common_InputFunctions.Utility_DisplayArrayInTable(Common_SourceData.Common_SourceData_ClimateZones_Data(), Table_SourceData_ClimateZones[[#Headers],[Climate zone]], 0)</f>
        <v>Warm temperate moist</v>
      </c>
      <c r="E94" s="24" t="str" cm="1">
        <f t="array" ref="E94">Common_InputFunctions.Utility_DisplayArrayInTable(Common_SourceData.Common_SourceData_ClimateZones_Data(), Table_SourceData_ClimateZones[[#Headers],[Climate zone]], 0)</f>
        <v>&gt; 10 C</v>
      </c>
      <c r="F94" s="24" t="str" cm="1">
        <f t="array" ref="F94">Common_InputFunctions.Utility_DisplayArrayInTable(Common_SourceData.Common_SourceData_ClimateZones_Data(), Table_SourceData_ClimateZones[[#Headers],[Climate zone]], 0)</f>
        <v>Any</v>
      </c>
      <c r="G94" s="24" t="str" cm="1">
        <f t="array" ref="G94">Common_InputFunctions.Utility_DisplayArrayInTable(Common_SourceData.Common_SourceData_ClimateZones_Data(), Table_SourceData_ClimateZones[[#Headers],[Climate zone]], 0)</f>
        <v>Any</v>
      </c>
      <c r="H94" s="24" t="str" cm="1">
        <f t="array" ref="H94">Common_InputFunctions.Utility_DisplayArrayInTable(Common_SourceData.Common_SourceData_ClimateZones_Data(), Table_SourceData_ClimateZones[[#Headers],[Climate zone]], 0)</f>
        <v>Any</v>
      </c>
      <c r="I94" s="24" t="str" cm="1">
        <f t="array" ref="I94">Common_InputFunctions.Utility_DisplayArrayInTable(Common_SourceData.Common_SourceData_ClimateZones_Data(), Table_SourceData_ClimateZones[[#Headers],[Climate zone]], 0)</f>
        <v>&gt; 1</v>
      </c>
      <c r="J94" s="24" cm="1">
        <f t="array" ref="J94">Common_InputFunctions.Utility_DisplayArrayInTable(Common_SourceData.Common_SourceData_ClimateZones_Data(), Table_SourceData_ClimateZones[[#Headers],[Climate zone]], 0)</f>
        <v>10.000999999999999</v>
      </c>
      <c r="K94" s="24" cm="1">
        <f t="array" ref="K94">Common_InputFunctions.Utility_DisplayArrayInTable(Common_SourceData.Common_SourceData_ClimateZones_Data(), Table_SourceData_ClimateZones[[#Headers],[Climate zone]], 0)</f>
        <v>999999</v>
      </c>
      <c r="L94" s="24" cm="1">
        <f t="array" ref="L94">Common_InputFunctions.Utility_DisplayArrayInTable(Common_SourceData.Common_SourceData_ClimateZones_Data(), Table_SourceData_ClimateZones[[#Headers],[Climate zone]], 0)</f>
        <v>-999999</v>
      </c>
      <c r="M94" s="24" cm="1">
        <f t="array" ref="M94">Common_InputFunctions.Utility_DisplayArrayInTable(Common_SourceData.Common_SourceData_ClimateZones_Data(), Table_SourceData_ClimateZones[[#Headers],[Climate zone]], 0)</f>
        <v>999999</v>
      </c>
      <c r="N94" s="24" cm="1">
        <f t="array" ref="N94">Common_InputFunctions.Utility_DisplayArrayInTable(Common_SourceData.Common_SourceData_ClimateZones_Data(), Table_SourceData_ClimateZones[[#Headers],[Climate zone]], 0)</f>
        <v>-999999</v>
      </c>
      <c r="O94" s="24" cm="1">
        <f t="array" ref="O94">Common_InputFunctions.Utility_DisplayArrayInTable(Common_SourceData.Common_SourceData_ClimateZones_Data(), Table_SourceData_ClimateZones[[#Headers],[Climate zone]], 0)</f>
        <v>999999</v>
      </c>
      <c r="P94" s="24" cm="1">
        <f t="array" ref="P94">Common_InputFunctions.Utility_DisplayArrayInTable(Common_SourceData.Common_SourceData_ClimateZones_Data(), Table_SourceData_ClimateZones[[#Headers],[Climate zone]], 0)</f>
        <v>-999999</v>
      </c>
      <c r="Q94" s="24" cm="1">
        <f t="array" ref="Q94">Common_InputFunctions.Utility_DisplayArrayInTable(Common_SourceData.Common_SourceData_ClimateZones_Data(), Table_SourceData_ClimateZones[[#Headers],[Climate zone]], 0)</f>
        <v>999999</v>
      </c>
      <c r="R94" s="24" cm="1">
        <f t="array" ref="R94">Common_InputFunctions.Utility_DisplayArrayInTable(Common_SourceData.Common_SourceData_ClimateZones_Data(), Table_SourceData_ClimateZones[[#Headers],[Climate zone]], 0)</f>
        <v>1.0009999999999999</v>
      </c>
      <c r="S94" s="24" cm="1">
        <f t="array" ref="S94">Common_InputFunctions.Utility_DisplayArrayInTable(Common_SourceData.Common_SourceData_ClimateZones_Data(), Table_SourceData_ClimateZones[[#Headers],[Climate zone]], 0)</f>
        <v>999999</v>
      </c>
      <c r="T94" s="24"/>
    </row>
    <row r="95" spans="1:20" ht="20.100000000000001" customHeight="1" x14ac:dyDescent="0.25">
      <c r="A95"/>
      <c r="D95" s="24" t="str" cm="1">
        <f t="array" ref="D95">Common_InputFunctions.Utility_DisplayArrayInTable(Common_SourceData.Common_SourceData_ClimateZones_Data(), Table_SourceData_ClimateZones[[#Headers],[Climate zone]], 0)</f>
        <v>Warm temperate dry</v>
      </c>
      <c r="E95" s="24" t="str" cm="1">
        <f t="array" ref="E95">Common_InputFunctions.Utility_DisplayArrayInTable(Common_SourceData.Common_SourceData_ClimateZones_Data(), Table_SourceData_ClimateZones[[#Headers],[Climate zone]], 0)</f>
        <v>&gt; 10 C</v>
      </c>
      <c r="F95" s="24" t="str" cm="1">
        <f t="array" ref="F95">Common_InputFunctions.Utility_DisplayArrayInTable(Common_SourceData.Common_SourceData_ClimateZones_Data(), Table_SourceData_ClimateZones[[#Headers],[Climate zone]], 0)</f>
        <v>Any</v>
      </c>
      <c r="G95" s="24" t="str" cm="1">
        <f t="array" ref="G95">Common_InputFunctions.Utility_DisplayArrayInTable(Common_SourceData.Common_SourceData_ClimateZones_Data(), Table_SourceData_ClimateZones[[#Headers],[Climate zone]], 0)</f>
        <v>Any</v>
      </c>
      <c r="H95" s="24" t="str" cm="1">
        <f t="array" ref="H95">Common_InputFunctions.Utility_DisplayArrayInTable(Common_SourceData.Common_SourceData_ClimateZones_Data(), Table_SourceData_ClimateZones[[#Headers],[Climate zone]], 0)</f>
        <v>Any</v>
      </c>
      <c r="I95" s="24" t="str" cm="1">
        <f t="array" ref="I95">Common_InputFunctions.Utility_DisplayArrayInTable(Common_SourceData.Common_SourceData_ClimateZones_Data(), Table_SourceData_ClimateZones[[#Headers],[Climate zone]], 0)</f>
        <v>≤ 1</v>
      </c>
      <c r="J95" s="24" cm="1">
        <f t="array" ref="J95">Common_InputFunctions.Utility_DisplayArrayInTable(Common_SourceData.Common_SourceData_ClimateZones_Data(), Table_SourceData_ClimateZones[[#Headers],[Climate zone]], 0)</f>
        <v>10.000999999999999</v>
      </c>
      <c r="K95" s="24" cm="1">
        <f t="array" ref="K95">Common_InputFunctions.Utility_DisplayArrayInTable(Common_SourceData.Common_SourceData_ClimateZones_Data(), Table_SourceData_ClimateZones[[#Headers],[Climate zone]], 0)</f>
        <v>999999</v>
      </c>
      <c r="L95" s="24" cm="1">
        <f t="array" ref="L95">Common_InputFunctions.Utility_DisplayArrayInTable(Common_SourceData.Common_SourceData_ClimateZones_Data(), Table_SourceData_ClimateZones[[#Headers],[Climate zone]], 0)</f>
        <v>-999999</v>
      </c>
      <c r="M95" s="24" cm="1">
        <f t="array" ref="M95">Common_InputFunctions.Utility_DisplayArrayInTable(Common_SourceData.Common_SourceData_ClimateZones_Data(), Table_SourceData_ClimateZones[[#Headers],[Climate zone]], 0)</f>
        <v>999999</v>
      </c>
      <c r="N95" s="24" cm="1">
        <f t="array" ref="N95">Common_InputFunctions.Utility_DisplayArrayInTable(Common_SourceData.Common_SourceData_ClimateZones_Data(), Table_SourceData_ClimateZones[[#Headers],[Climate zone]], 0)</f>
        <v>-999999</v>
      </c>
      <c r="O95" s="24" cm="1">
        <f t="array" ref="O95">Common_InputFunctions.Utility_DisplayArrayInTable(Common_SourceData.Common_SourceData_ClimateZones_Data(), Table_SourceData_ClimateZones[[#Headers],[Climate zone]], 0)</f>
        <v>999999</v>
      </c>
      <c r="P95" s="24" cm="1">
        <f t="array" ref="P95">Common_InputFunctions.Utility_DisplayArrayInTable(Common_SourceData.Common_SourceData_ClimateZones_Data(), Table_SourceData_ClimateZones[[#Headers],[Climate zone]], 0)</f>
        <v>-999999</v>
      </c>
      <c r="Q95" s="24" cm="1">
        <f t="array" ref="Q95">Common_InputFunctions.Utility_DisplayArrayInTable(Common_SourceData.Common_SourceData_ClimateZones_Data(), Table_SourceData_ClimateZones[[#Headers],[Climate zone]], 0)</f>
        <v>999999</v>
      </c>
      <c r="R95" s="24" cm="1">
        <f t="array" ref="R95">Common_InputFunctions.Utility_DisplayArrayInTable(Common_SourceData.Common_SourceData_ClimateZones_Data(), Table_SourceData_ClimateZones[[#Headers],[Climate zone]], 0)</f>
        <v>-999999</v>
      </c>
      <c r="S95" s="24" cm="1">
        <f t="array" ref="S95">Common_InputFunctions.Utility_DisplayArrayInTable(Common_SourceData.Common_SourceData_ClimateZones_Data(), Table_SourceData_ClimateZones[[#Headers],[Climate zone]], 0)</f>
        <v>1</v>
      </c>
      <c r="T95" s="24"/>
    </row>
    <row r="96" spans="1:20" ht="20.100000000000001" customHeight="1" x14ac:dyDescent="0.25">
      <c r="A96"/>
      <c r="D96" s="24" t="str" cm="1">
        <f t="array" ref="D96">Common_InputFunctions.Utility_DisplayArrayInTable(Common_SourceData.Common_SourceData_ClimateZones_Data(), Table_SourceData_ClimateZones[[#Headers],[Climate zone]], 0)</f>
        <v>Cool temperate moist</v>
      </c>
      <c r="E96" s="24" t="str" cm="1">
        <f t="array" ref="E96">Common_InputFunctions.Utility_DisplayArrayInTable(Common_SourceData.Common_SourceData_ClimateZones_Data(), Table_SourceData_ClimateZones[[#Headers],[Climate zone]], 0)</f>
        <v>&gt; 0 C - ≤ 10 C</v>
      </c>
      <c r="F96" s="24" t="str" cm="1">
        <f t="array" ref="F96">Common_InputFunctions.Utility_DisplayArrayInTable(Common_SourceData.Common_SourceData_ClimateZones_Data(), Table_SourceData_ClimateZones[[#Headers],[Climate zone]], 0)</f>
        <v>Any</v>
      </c>
      <c r="G96" s="24" t="str" cm="1">
        <f t="array" ref="G96">Common_InputFunctions.Utility_DisplayArrayInTable(Common_SourceData.Common_SourceData_ClimateZones_Data(), Table_SourceData_ClimateZones[[#Headers],[Climate zone]], 0)</f>
        <v>Any</v>
      </c>
      <c r="H96" s="24" t="str" cm="1">
        <f t="array" ref="H96">Common_InputFunctions.Utility_DisplayArrayInTable(Common_SourceData.Common_SourceData_ClimateZones_Data(), Table_SourceData_ClimateZones[[#Headers],[Climate zone]], 0)</f>
        <v>Any</v>
      </c>
      <c r="I96" s="24" t="str" cm="1">
        <f t="array" ref="I96">Common_InputFunctions.Utility_DisplayArrayInTable(Common_SourceData.Common_SourceData_ClimateZones_Data(), Table_SourceData_ClimateZones[[#Headers],[Climate zone]], 0)</f>
        <v>&gt; 1</v>
      </c>
      <c r="J96" s="24" cm="1">
        <f t="array" ref="J96">Common_InputFunctions.Utility_DisplayArrayInTable(Common_SourceData.Common_SourceData_ClimateZones_Data(), Table_SourceData_ClimateZones[[#Headers],[Climate zone]], 0)</f>
        <v>-999999</v>
      </c>
      <c r="K96" s="24" cm="1">
        <f t="array" ref="K96">Common_InputFunctions.Utility_DisplayArrayInTable(Common_SourceData.Common_SourceData_ClimateZones_Data(), Table_SourceData_ClimateZones[[#Headers],[Climate zone]], 0)</f>
        <v>10</v>
      </c>
      <c r="L96" s="24" cm="1">
        <f t="array" ref="L96">Common_InputFunctions.Utility_DisplayArrayInTable(Common_SourceData.Common_SourceData_ClimateZones_Data(), Table_SourceData_ClimateZones[[#Headers],[Climate zone]], 0)</f>
        <v>-999999</v>
      </c>
      <c r="M96" s="24" cm="1">
        <f t="array" ref="M96">Common_InputFunctions.Utility_DisplayArrayInTable(Common_SourceData.Common_SourceData_ClimateZones_Data(), Table_SourceData_ClimateZones[[#Headers],[Climate zone]], 0)</f>
        <v>999999</v>
      </c>
      <c r="N96" s="24" cm="1">
        <f t="array" ref="N96">Common_InputFunctions.Utility_DisplayArrayInTable(Common_SourceData.Common_SourceData_ClimateZones_Data(), Table_SourceData_ClimateZones[[#Headers],[Climate zone]], 0)</f>
        <v>-999999</v>
      </c>
      <c r="O96" s="24" cm="1">
        <f t="array" ref="O96">Common_InputFunctions.Utility_DisplayArrayInTable(Common_SourceData.Common_SourceData_ClimateZones_Data(), Table_SourceData_ClimateZones[[#Headers],[Climate zone]], 0)</f>
        <v>999999</v>
      </c>
      <c r="P96" s="24" cm="1">
        <f t="array" ref="P96">Common_InputFunctions.Utility_DisplayArrayInTable(Common_SourceData.Common_SourceData_ClimateZones_Data(), Table_SourceData_ClimateZones[[#Headers],[Climate zone]], 0)</f>
        <v>-999999</v>
      </c>
      <c r="Q96" s="24" cm="1">
        <f t="array" ref="Q96">Common_InputFunctions.Utility_DisplayArrayInTable(Common_SourceData.Common_SourceData_ClimateZones_Data(), Table_SourceData_ClimateZones[[#Headers],[Climate zone]], 0)</f>
        <v>999999</v>
      </c>
      <c r="R96" s="24" cm="1">
        <f t="array" ref="R96">Common_InputFunctions.Utility_DisplayArrayInTable(Common_SourceData.Common_SourceData_ClimateZones_Data(), Table_SourceData_ClimateZones[[#Headers],[Climate zone]], 0)</f>
        <v>1.0009999999999999</v>
      </c>
      <c r="S96" s="24" cm="1">
        <f t="array" ref="S96">Common_InputFunctions.Utility_DisplayArrayInTable(Common_SourceData.Common_SourceData_ClimateZones_Data(), Table_SourceData_ClimateZones[[#Headers],[Climate zone]], 0)</f>
        <v>999999</v>
      </c>
      <c r="T96" s="24"/>
    </row>
    <row r="97" spans="1:20" ht="20.100000000000001" customHeight="1" x14ac:dyDescent="0.25">
      <c r="A97"/>
      <c r="D97" s="24" t="str" cm="1">
        <f t="array" ref="D97">Common_InputFunctions.Utility_DisplayArrayInTable(Common_SourceData.Common_SourceData_ClimateZones_Data(), Table_SourceData_ClimateZones[[#Headers],[Climate zone]], 0)</f>
        <v>Cool temperate dry</v>
      </c>
      <c r="E97" s="24" t="str" cm="1">
        <f t="array" ref="E97">Common_InputFunctions.Utility_DisplayArrayInTable(Common_SourceData.Common_SourceData_ClimateZones_Data(), Table_SourceData_ClimateZones[[#Headers],[Climate zone]], 0)</f>
        <v>&gt; 0 C - ≤ 10 C</v>
      </c>
      <c r="F97" s="24" t="str" cm="1">
        <f t="array" ref="F97">Common_InputFunctions.Utility_DisplayArrayInTable(Common_SourceData.Common_SourceData_ClimateZones_Data(), Table_SourceData_ClimateZones[[#Headers],[Climate zone]], 0)</f>
        <v>Any</v>
      </c>
      <c r="G97" s="24" t="str" cm="1">
        <f t="array" ref="G97">Common_InputFunctions.Utility_DisplayArrayInTable(Common_SourceData.Common_SourceData_ClimateZones_Data(), Table_SourceData_ClimateZones[[#Headers],[Climate zone]], 0)</f>
        <v>Any</v>
      </c>
      <c r="H97" s="24" t="str" cm="1">
        <f t="array" ref="H97">Common_InputFunctions.Utility_DisplayArrayInTable(Common_SourceData.Common_SourceData_ClimateZones_Data(), Table_SourceData_ClimateZones[[#Headers],[Climate zone]], 0)</f>
        <v>Any</v>
      </c>
      <c r="I97" s="24" t="str" cm="1">
        <f t="array" ref="I97">Common_InputFunctions.Utility_DisplayArrayInTable(Common_SourceData.Common_SourceData_ClimateZones_Data(), Table_SourceData_ClimateZones[[#Headers],[Climate zone]], 0)</f>
        <v>≤ 1</v>
      </c>
      <c r="J97" s="24" cm="1">
        <f t="array" ref="J97">Common_InputFunctions.Utility_DisplayArrayInTable(Common_SourceData.Common_SourceData_ClimateZones_Data(), Table_SourceData_ClimateZones[[#Headers],[Climate zone]], 0)</f>
        <v>-999999</v>
      </c>
      <c r="K97" s="24" cm="1">
        <f t="array" ref="K97">Common_InputFunctions.Utility_DisplayArrayInTable(Common_SourceData.Common_SourceData_ClimateZones_Data(), Table_SourceData_ClimateZones[[#Headers],[Climate zone]], 0)</f>
        <v>10</v>
      </c>
      <c r="L97" s="24" cm="1">
        <f t="array" ref="L97">Common_InputFunctions.Utility_DisplayArrayInTable(Common_SourceData.Common_SourceData_ClimateZones_Data(), Table_SourceData_ClimateZones[[#Headers],[Climate zone]], 0)</f>
        <v>-999999</v>
      </c>
      <c r="M97" s="24" cm="1">
        <f t="array" ref="M97">Common_InputFunctions.Utility_DisplayArrayInTable(Common_SourceData.Common_SourceData_ClimateZones_Data(), Table_SourceData_ClimateZones[[#Headers],[Climate zone]], 0)</f>
        <v>999999</v>
      </c>
      <c r="N97" s="24" cm="1">
        <f t="array" ref="N97">Common_InputFunctions.Utility_DisplayArrayInTable(Common_SourceData.Common_SourceData_ClimateZones_Data(), Table_SourceData_ClimateZones[[#Headers],[Climate zone]], 0)</f>
        <v>-999999</v>
      </c>
      <c r="O97" s="24" cm="1">
        <f t="array" ref="O97">Common_InputFunctions.Utility_DisplayArrayInTable(Common_SourceData.Common_SourceData_ClimateZones_Data(), Table_SourceData_ClimateZones[[#Headers],[Climate zone]], 0)</f>
        <v>999999</v>
      </c>
      <c r="P97" s="24" cm="1">
        <f t="array" ref="P97">Common_InputFunctions.Utility_DisplayArrayInTable(Common_SourceData.Common_SourceData_ClimateZones_Data(), Table_SourceData_ClimateZones[[#Headers],[Climate zone]], 0)</f>
        <v>-999999</v>
      </c>
      <c r="Q97" s="24" cm="1">
        <f t="array" ref="Q97">Common_InputFunctions.Utility_DisplayArrayInTable(Common_SourceData.Common_SourceData_ClimateZones_Data(), Table_SourceData_ClimateZones[[#Headers],[Climate zone]], 0)</f>
        <v>999999</v>
      </c>
      <c r="R97" s="24" cm="1">
        <f t="array" ref="R97">Common_InputFunctions.Utility_DisplayArrayInTable(Common_SourceData.Common_SourceData_ClimateZones_Data(), Table_SourceData_ClimateZones[[#Headers],[Climate zone]], 0)</f>
        <v>-999999</v>
      </c>
      <c r="S97" s="24" cm="1">
        <f t="array" ref="S97">Common_InputFunctions.Utility_DisplayArrayInTable(Common_SourceData.Common_SourceData_ClimateZones_Data(), Table_SourceData_ClimateZones[[#Headers],[Climate zone]], 0)</f>
        <v>1</v>
      </c>
      <c r="T97" s="24"/>
    </row>
    <row r="98" spans="1:20" ht="20.100000000000001" customHeight="1" x14ac:dyDescent="0.25">
      <c r="A98"/>
    </row>
    <row r="99" spans="1:20" ht="20.100000000000001" customHeight="1" x14ac:dyDescent="0.25">
      <c r="A99"/>
      <c r="D99" s="28" t="str" cm="1">
        <f t="array" ref="D99:D102">Common_SourceData.Common_SourceData_ClimateZones_Appendices()</f>
        <v>Note:</v>
      </c>
    </row>
    <row r="100" spans="1:20" ht="20.100000000000001" customHeight="1" x14ac:dyDescent="0.25">
      <c r="A100"/>
      <c r="D100" s="28" t="str">
        <v>MAT = mean annual temperature</v>
      </c>
    </row>
    <row r="101" spans="1:20" ht="20.100000000000001" customHeight="1" x14ac:dyDescent="0.25">
      <c r="A101"/>
      <c r="D101" s="28" t="str">
        <v>MAP = mean annual precipitation</v>
      </c>
    </row>
    <row r="102" spans="1:20" ht="20.100000000000001" customHeight="1" x14ac:dyDescent="0.25">
      <c r="A102"/>
      <c r="D102" s="28" t="str">
        <v>PET = potential evapotranspiration</v>
      </c>
    </row>
    <row r="103" spans="1:20" ht="20.100000000000001" customHeight="1" x14ac:dyDescent="0.25">
      <c r="A103"/>
      <c r="D103" s="28"/>
    </row>
    <row r="104" spans="1:20" ht="20.100000000000001" customHeight="1" x14ac:dyDescent="0.25">
      <c r="A104"/>
    </row>
    <row r="105" spans="1:20" ht="20.100000000000001" customHeight="1" x14ac:dyDescent="0.25">
      <c r="A105"/>
      <c r="D105" s="5" t="str" cm="1">
        <f t="array" ref="D105">Common_SourceData.Common_SourceData_TemperatureZones_Title()</f>
        <v>VEERG Australian temperature zones</v>
      </c>
    </row>
    <row r="106" spans="1:20" ht="20.100000000000001" customHeight="1" x14ac:dyDescent="0.25">
      <c r="A106"/>
      <c r="D106" s="4" t="str" cm="1">
        <f t="array" ref="D106">Common_SourceData.Common_SourceData_TemperatureZones_Source()</f>
        <v>VEERG 2026: Table 1.3: Climate and Rainfall zone classifications and definitions</v>
      </c>
    </row>
    <row r="107" spans="1:20" ht="20.100000000000001" customHeight="1" x14ac:dyDescent="0.25">
      <c r="A107"/>
      <c r="D107" s="2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4" t="s">
        <v>35</v>
      </c>
      <c r="E109" s="24" t="s">
        <v>18</v>
      </c>
      <c r="F109" s="24" t="s">
        <v>36</v>
      </c>
      <c r="G109" s="24" t="s">
        <v>37</v>
      </c>
    </row>
    <row r="110" spans="1:20" ht="20.100000000000001" customHeight="1" x14ac:dyDescent="0.25">
      <c r="A110"/>
      <c r="D110" s="24" t="str" cm="1">
        <f t="array" ref="D110">Common_InputFunctions.Utility_DisplayArrayInTable(Common_SourceData.Common_SourceData_TemperatureZones_Data(),Table_SourceData_TemperatureZones[[#Headers],[Temperature Zone]],0)</f>
        <v>Warm</v>
      </c>
      <c r="E110" s="24" t="str" cm="1">
        <f t="array" ref="E110">Common_InputFunctions.Utility_DisplayArrayInTable(Common_SourceData.Common_SourceData_TemperatureZones_Data(),Table_SourceData_TemperatureZones[[#Headers],[Temperature Zone]],0)</f>
        <v>≥ 26 C</v>
      </c>
      <c r="F110" s="24" cm="1">
        <f t="array" ref="F110">Common_InputFunctions.Utility_DisplayArrayInTable(Common_SourceData.Common_SourceData_TemperatureZones_Data(),Table_SourceData_TemperatureZones[[#Headers],[Temperature Zone]],0)</f>
        <v>26</v>
      </c>
      <c r="G110" s="24"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4" t="str" cm="1">
        <f t="array" ref="D111">Common_InputFunctions.Utility_DisplayArrayInTable(Common_SourceData.Common_SourceData_TemperatureZones_Data(),Table_SourceData_TemperatureZones[[#Headers],[Temperature Zone]],0)</f>
        <v>Temperate</v>
      </c>
      <c r="E111" s="24" t="str" cm="1">
        <f t="array" ref="E111">Common_InputFunctions.Utility_DisplayArrayInTable(Common_SourceData.Common_SourceData_TemperatureZones_Data(),Table_SourceData_TemperatureZones[[#Headers],[Temperature Zone]],0)</f>
        <v>15 - 25 C</v>
      </c>
      <c r="F111" s="24" cm="1">
        <f t="array" ref="F111">Common_InputFunctions.Utility_DisplayArrayInTable(Common_SourceData.Common_SourceData_TemperatureZones_Data(),Table_SourceData_TemperatureZones[[#Headers],[Temperature Zone]],0)</f>
        <v>15</v>
      </c>
      <c r="G111" s="24"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4" t="str" cm="1">
        <f t="array" ref="D112">Common_InputFunctions.Utility_DisplayArrayInTable(Common_SourceData.Common_SourceData_TemperatureZones_Data(),Table_SourceData_TemperatureZones[[#Headers],[Temperature Zone]],0)</f>
        <v>Cool</v>
      </c>
      <c r="E112" s="24" t="str" cm="1">
        <f t="array" ref="E112">Common_InputFunctions.Utility_DisplayArrayInTable(Common_SourceData.Common_SourceData_TemperatureZones_Data(),Table_SourceData_TemperatureZones[[#Headers],[Temperature Zone]],0)</f>
        <v>≤ 14 C</v>
      </c>
      <c r="F112" s="24" cm="1">
        <f t="array" ref="F112">Common_InputFunctions.Utility_DisplayArrayInTable(Common_SourceData.Common_SourceData_TemperatureZones_Data(),Table_SourceData_TemperatureZones[[#Headers],[Temperature Zone]],0)</f>
        <v>-999999</v>
      </c>
      <c r="G112" s="24"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5" t="str" cm="1">
        <f t="array" ref="D115">Common_SourceData.Common_SourceData_RainfallZones_Title()</f>
        <v>VEERG Australian rainfall zones</v>
      </c>
      <c r="BN115" s="6"/>
    </row>
    <row r="116" spans="1:66" ht="20.100000000000001" customHeight="1" x14ac:dyDescent="0.25">
      <c r="A116"/>
      <c r="D116" s="4" t="str" cm="1">
        <f t="array" ref="D116">Common_SourceData.Common_SourceData_RainfallZones_Source()</f>
        <v>VEERG 2026: Table 1.3: Climate and Rainfall zone classifications and definitions</v>
      </c>
      <c r="BN116" s="6"/>
    </row>
    <row r="117" spans="1:66" ht="20.100000000000001" customHeight="1" x14ac:dyDescent="0.25">
      <c r="A117"/>
      <c r="D117" s="29" t="str" cm="1">
        <f t="array" ref="D117">"⚠️" &amp; Common_SourceData.Common_SourceData_RainfallZones_Variation()</f>
        <v>⚠️VARIATION OF SOURCE DATA: Added extra Rainfall min and Rainfall max columns to calculate zone from real rainfall data.</v>
      </c>
      <c r="BN117" s="6"/>
    </row>
    <row r="118" spans="1:66" ht="20.100000000000001" customHeight="1" x14ac:dyDescent="0.25">
      <c r="A118"/>
      <c r="BN118" s="6"/>
    </row>
    <row r="119" spans="1:66" ht="20.100000000000001" customHeight="1" x14ac:dyDescent="0.25">
      <c r="A119"/>
      <c r="D119" s="24" t="s">
        <v>38</v>
      </c>
      <c r="E119" s="24" t="s">
        <v>39</v>
      </c>
      <c r="F119" s="24" t="s">
        <v>25</v>
      </c>
      <c r="G119" s="24" t="s">
        <v>26</v>
      </c>
      <c r="BN119" s="6"/>
    </row>
    <row r="120" spans="1:66" ht="20.100000000000001" customHeight="1" x14ac:dyDescent="0.25">
      <c r="A120"/>
      <c r="D120" s="24" t="str" cm="1">
        <f t="array" ref="D120">Common_InputFunctions.Utility_DisplayArrayInTable(Common_SourceData.Common_SourceData_RainfallZones_Data(),Table_SourceData_RainfallZones[[#Headers],[Rainfall Zone]],0)</f>
        <v>High rainfall</v>
      </c>
      <c r="E120" s="24" t="str" cm="1">
        <f t="array" ref="E120">Common_InputFunctions.Utility_DisplayArrayInTable(Common_SourceData.Common_SourceData_RainfallZones_Data(),Table_SourceData_RainfallZones[[#Headers],[Rainfall Zone]],0)</f>
        <v>Annual rainfall &gt; 600mm</v>
      </c>
      <c r="F120" s="24" cm="1">
        <f t="array" ref="F120">Common_InputFunctions.Utility_DisplayArrayInTable(Common_SourceData.Common_SourceData_RainfallZones_Data(),Table_SourceData_RainfallZones[[#Headers],[Rainfall Zone]],0)</f>
        <v>600.00099999999998</v>
      </c>
      <c r="G120" s="24" cm="1">
        <f t="array" ref="G120">Common_InputFunctions.Utility_DisplayArrayInTable(Common_SourceData.Common_SourceData_RainfallZones_Data(),Table_SourceData_RainfallZones[[#Headers],[Rainfall Zone]],0)</f>
        <v>999999</v>
      </c>
      <c r="BN120" s="6"/>
    </row>
    <row r="121" spans="1:66" ht="20.100000000000001" customHeight="1" x14ac:dyDescent="0.25">
      <c r="A121"/>
      <c r="D121" s="24" t="str" cm="1">
        <f t="array" ref="D121">Common_InputFunctions.Utility_DisplayArrayInTable(Common_SourceData.Common_SourceData_RainfallZones_Data(),Table_SourceData_RainfallZones[[#Headers],[Rainfall Zone]],0)</f>
        <v>Low rainfall</v>
      </c>
      <c r="E121" s="24" t="str" cm="1">
        <f t="array" ref="E121">Common_InputFunctions.Utility_DisplayArrayInTable(Common_SourceData.Common_SourceData_RainfallZones_Data(),Table_SourceData_RainfallZones[[#Headers],[Rainfall Zone]],0)</f>
        <v>Annual rainfall ≤ 600mm</v>
      </c>
      <c r="F121" s="24" cm="1">
        <f t="array" ref="F121">Common_InputFunctions.Utility_DisplayArrayInTable(Common_SourceData.Common_SourceData_RainfallZones_Data(),Table_SourceData_RainfallZones[[#Headers],[Rainfall Zone]],0)</f>
        <v>-999999</v>
      </c>
      <c r="G121" s="24" cm="1">
        <f t="array" ref="G121">Common_InputFunctions.Utility_DisplayArrayInTable(Common_SourceData.Common_SourceData_RainfallZones_Data(),Table_SourceData_RainfallZones[[#Headers],[Rainfall Zone]],0)</f>
        <v>600</v>
      </c>
      <c r="BN121" s="6"/>
    </row>
    <row r="122" spans="1:66" ht="20.100000000000001" customHeight="1" x14ac:dyDescent="0.25">
      <c r="A122"/>
      <c r="BN122" s="6"/>
    </row>
    <row r="123" spans="1:66" ht="20.100000000000001" customHeight="1" x14ac:dyDescent="0.25">
      <c r="A123"/>
    </row>
    <row r="124" spans="1:66" ht="20.100000000000001" customHeight="1" x14ac:dyDescent="0.25">
      <c r="A124"/>
      <c r="D124" s="5" t="str" cm="1">
        <f t="array" ref="D124">Common_SourceData.Common_SourceData_LeachingZones_Title()</f>
        <v>VEERG Australian leaching zones</v>
      </c>
    </row>
    <row r="125" spans="1:66" ht="20.100000000000001" customHeight="1" x14ac:dyDescent="0.25">
      <c r="A125"/>
      <c r="D125" s="4"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4" t="s">
        <v>40</v>
      </c>
      <c r="E127" s="24" t="s">
        <v>41</v>
      </c>
    </row>
    <row r="128" spans="1:66" ht="20.100000000000001" customHeight="1" x14ac:dyDescent="0.25">
      <c r="A128"/>
      <c r="D128" s="24" t="str" cm="1">
        <f t="array" ref="D128">Common_InputFunctions.Utility_DisplayArrayInTable(Common_SourceData.Common_SourceData_LeachingZones_Data(), Table_SourceData_LeachingZones[[#Headers],[Leaching Zone]], 0)</f>
        <v>Leaching occurs</v>
      </c>
      <c r="E128" s="2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4" t="str" cm="1">
        <f t="array" ref="D129">Common_InputFunctions.Utility_DisplayArrayInTable(Common_SourceData.Common_SourceData_LeachingZones_Data(), Table_SourceData_LeachingZones[[#Headers],[Leaching Zone]], 0)</f>
        <v>Leaching does not occur</v>
      </c>
      <c r="E129" s="2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5" t="str" cm="1">
        <f t="array" ref="D132">Common_SourceData.Common_SourceData_FracWET_Title()</f>
        <v>Fraction of N that is available for leaching and runoff</v>
      </c>
      <c r="E132" s="16"/>
    </row>
    <row r="133" spans="1:77" ht="20.100000000000001" customHeight="1" x14ac:dyDescent="0.25">
      <c r="A133"/>
      <c r="D133" s="4" t="str" cm="1">
        <f t="array" ref="D133">Common_SourceData.Common_SourceData_FracWET_Source()</f>
        <v>VEERG 2026:5.5.2.3 Constant Parameters</v>
      </c>
      <c r="E133" s="16"/>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4"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6"/>
      <c r="BO138" s="6"/>
      <c r="BP138" s="6"/>
      <c r="BQ138" s="6"/>
      <c r="BR138" s="6"/>
      <c r="BS138" s="6"/>
      <c r="BT138" s="6"/>
      <c r="BU138" s="6"/>
      <c r="BV138" s="6"/>
      <c r="BW138" s="6"/>
      <c r="BX138" s="6"/>
      <c r="BY138" s="6"/>
    </row>
    <row r="139" spans="1:77" ht="20.100000000000001"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100000000000001"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100000000000001" customHeight="1" x14ac:dyDescent="0.25">
      <c r="A141"/>
      <c r="D141" s="29"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100000000000001" customHeight="1" x14ac:dyDescent="0.25">
      <c r="A142"/>
      <c r="D142" s="24" t="s">
        <v>56</v>
      </c>
      <c r="E142" s="24" t="s">
        <v>47</v>
      </c>
      <c r="BN142" s="6"/>
    </row>
    <row r="143" spans="1:77" ht="20.100000000000001" customHeight="1" x14ac:dyDescent="0.25">
      <c r="A143"/>
      <c r="D143" s="24" t="str" cm="1">
        <f t="array" ref="D143">Common_InputFunctions.Utility_DisplayArrayInTable(Common_SourceData.Common_SourceData_FracWETIrrigation_Data(), Table_SourceData_FracWETIrrigation[[#Headers],[Irrigation type i]], 0)</f>
        <v>Not irrigated</v>
      </c>
      <c r="E143" s="24" cm="1">
        <f t="array" ref="E143">Common_InputFunctions.Utility_DisplayArrayInTable(Common_SourceData.Common_SourceData_FracWETIrrigation_Data(), Table_SourceData_FracWETIrrigation[[#Headers],[Irrigation type i]], 0)</f>
        <v>0</v>
      </c>
      <c r="BN143" s="6"/>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4" cm="1">
        <f t="array" ref="E144">Common_InputFunctions.Utility_DisplayArrayInTable(Common_SourceData.Common_SourceData_FracWETIrrigation_Data(), Table_SourceData_FracWETIrrigation[[#Headers],[Irrigation type i]], 0)</f>
        <v>0</v>
      </c>
      <c r="BN144" s="6"/>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4" cm="1">
        <f t="array" ref="E145">Common_InputFunctions.Utility_DisplayArrayInTable(Common_SourceData.Common_SourceData_FracWETIrrigation_Data(), Table_SourceData_FracWETIrrigation[[#Headers],[Irrigation type i]], 0)</f>
        <v>1</v>
      </c>
      <c r="BN145" s="6"/>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4" cm="1">
        <f t="array" ref="E146">Common_InputFunctions.Utility_DisplayArrayInTable(Common_SourceData.Common_SourceData_FracWETIrrigation_Data(), Table_SourceData_FracWETIrrigation[[#Headers],[Irrigation type i]], 0)</f>
        <v>1</v>
      </c>
      <c r="BN146" s="6"/>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4" cm="1">
        <f t="array" ref="E147">Common_InputFunctions.Utility_DisplayArrayInTable(Common_SourceData.Common_SourceData_FracWETIrrigation_Data(), Table_SourceData_FracWETIrrigation[[#Headers],[Irrigation type i]], 0)</f>
        <v>1</v>
      </c>
      <c r="BN147" s="6"/>
    </row>
    <row r="148" spans="1:66" ht="20.100000000000001" customHeight="1" x14ac:dyDescent="0.25">
      <c r="A148"/>
      <c r="BN148" s="6"/>
    </row>
    <row r="149" spans="1:66" ht="20.100000000000001" customHeight="1" x14ac:dyDescent="0.25">
      <c r="A149"/>
      <c r="BN149" s="6"/>
    </row>
    <row r="150" spans="1:66" ht="20.100000000000001" customHeight="1" x14ac:dyDescent="0.25">
      <c r="A150"/>
      <c r="D150" s="5" t="str" cm="1">
        <f t="array" ref="D150">Common_SourceData.Common_SourceData_DataScores_Scope3_Title()</f>
        <v>Australian data scores for scope 3</v>
      </c>
      <c r="BN150" s="6"/>
    </row>
    <row r="151" spans="1:66" ht="20.100000000000001" customHeight="1" x14ac:dyDescent="0.25">
      <c r="A151"/>
      <c r="D151" s="4" t="str" cm="1">
        <f t="array" ref="D151">Common_SourceData.Common_SourceData_DataScores_Scope3_Source()</f>
        <v>VEERG 2026: XXXXXXXX</v>
      </c>
      <c r="BN151" s="6"/>
    </row>
    <row r="152" spans="1:66" ht="20.100000000000001" customHeight="1" x14ac:dyDescent="0.25">
      <c r="A152"/>
      <c r="BN152" s="6"/>
    </row>
    <row r="153" spans="1:66" ht="20.100000000000001" customHeight="1" x14ac:dyDescent="0.25">
      <c r="A153"/>
      <c r="D153" s="24" t="s">
        <v>42</v>
      </c>
      <c r="E153" s="24" t="s">
        <v>43</v>
      </c>
      <c r="BC153" s="2"/>
      <c r="BD153" s="2"/>
      <c r="BE153" s="2"/>
      <c r="BF153" s="2"/>
      <c r="BG153" s="2"/>
      <c r="BH153" s="2"/>
      <c r="BI153" s="2"/>
      <c r="BJ153" s="2"/>
      <c r="BK153" s="2"/>
      <c r="BL153" s="2"/>
      <c r="BM153" s="2"/>
    </row>
    <row r="154" spans="1:66" ht="20.100000000000001" customHeight="1" x14ac:dyDescent="0.25">
      <c r="A154"/>
      <c r="D154" s="24" t="str" cm="1">
        <f t="array" ref="D154">Common_InputFunctions.Utility_DisplayArrayInTable(Common_SourceData.Common_SourceData_DataScores_Scope3_Data(), Table_SourceData_DataScores_Scope3[[#Headers],[Data source]], 0)</f>
        <v>International scope 3 database</v>
      </c>
      <c r="E154" s="24"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100000000000001" customHeight="1" x14ac:dyDescent="0.25">
      <c r="A155"/>
      <c r="D155" s="24" t="str" cm="1">
        <f t="array" ref="D155">Common_InputFunctions.Utility_DisplayArrayInTable(Common_SourceData.Common_SourceData_DataScores_Scope3_Data(), Table_SourceData_DataScores_Scope3[[#Headers],[Data source]], 0)</f>
        <v>Australian scope 3 database</v>
      </c>
      <c r="E155" s="24"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100000000000001" customHeight="1" x14ac:dyDescent="0.25">
      <c r="A156"/>
      <c r="D156" s="24" t="str" cm="1">
        <f t="array" ref="D156">Common_InputFunctions.Utility_DisplayArrayInTable(Common_SourceData.Common_SourceData_DataScores_Scope3_Data(), Table_SourceData_DataScores_Scope3[[#Headers],[Data source]], 0)</f>
        <v>State or regional scope 3 database</v>
      </c>
      <c r="E156" s="24"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4" t="str" cm="1">
        <f t="array" ref="D157">Common_InputFunctions.Utility_DisplayArrayInTable(Common_SourceData.Common_SourceData_DataScores_Scope3_Data(), Table_SourceData_DataScores_Scope3[[#Headers],[Data source]], 0)</f>
        <v>Emissions intensity calculated from approved method</v>
      </c>
      <c r="E157" s="24"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4" t="str" cm="1">
        <f t="array" ref="D158">Common_InputFunctions.Utility_DisplayArrayInTable(Common_SourceData.Common_SourceData_DataScores_Scope3_Data(), Table_SourceData_DataScores_Scope3[[#Headers],[Data source]], 0)</f>
        <v>Verified credential matching ISO14067</v>
      </c>
      <c r="E158" s="24"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5" t="str" cm="1">
        <f t="array" ref="D161">Common_SourceData.Common_SourceData_FracLEACH_Title()</f>
        <v>Fraction of N that is available for leaching and runoff</v>
      </c>
      <c r="E161" s="16"/>
    </row>
    <row r="162" spans="4:68" ht="20.100000000000001" customHeight="1" x14ac:dyDescent="0.25">
      <c r="D162" s="4" t="str" cm="1">
        <f t="array" ref="D162">Common_SourceData.Common_SourceData_FracLEACH_Source()</f>
        <v>VEERG 2026:5.5.2.3 Constant Parameters</v>
      </c>
      <c r="E162" s="16"/>
    </row>
    <row r="163" spans="4:68" ht="20.100000000000001" customHeight="1" x14ac:dyDescent="0.25">
      <c r="D163" s="4" t="str" cm="1">
        <f t="array" ref="D163">Common_SourceData.Common_SourceData_FracLEACH_NIRReference()</f>
        <v>National Inventory Report Volume 1: Leaching and runoff (3.D.b.2)</v>
      </c>
      <c r="E163" s="16"/>
    </row>
    <row r="164" spans="4:68" ht="20.100000000000001" customHeight="1" x14ac:dyDescent="0.25">
      <c r="D164" s="16" t="str" cm="1">
        <f t="array" ref="D164:E164">Common_SourceData.Common_SourceData_FracLEACH_Data()</f>
        <v>FracLEACH</v>
      </c>
      <c r="E164" s="16">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8"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8" t="str" cm="1">
        <f t="array" ref="D180">Common_SourceData.Common_SourceData_EFN2O_Unit()</f>
        <v>(kg N2O-N / kg N</v>
      </c>
    </row>
    <row r="181" spans="4:68" ht="20.100000000000001" customHeight="1" x14ac:dyDescent="0.25">
      <c r="D181" s="29" t="str" cm="1">
        <f t="array" ref="D181:D185">Common_SourceData.Common_SourceData_EFN2O_Variation()</f>
        <v>VARIATION OF SOURCE DATA:</v>
      </c>
    </row>
    <row r="182" spans="4:68" ht="20.100000000000001" customHeight="1" x14ac:dyDescent="0.25">
      <c r="D182" s="29" t="str">
        <v>Removed duplicate 'Aquaculture' row.</v>
      </c>
    </row>
    <row r="183" spans="4:68" ht="20.100000000000001" customHeight="1" x14ac:dyDescent="0.25">
      <c r="D183" s="29" t="str">
        <v>Removed asterisks to aid lookup.</v>
      </c>
    </row>
    <row r="184" spans="4:68" ht="20.100000000000001" customHeight="1" x14ac:dyDescent="0.25">
      <c r="D184" s="29" t="str">
        <v>Added 'production system only', 'rainfall zone' and 'irrigation method' columns to aid lookup.</v>
      </c>
    </row>
    <row r="185" spans="4:68" ht="20.100000000000001" customHeight="1" x14ac:dyDescent="0.25">
      <c r="D185" s="29" t="str">
        <v>Duplicated 'non-irrigated pasture' row with same EF for low and high rainfall zones to aid lookup.</v>
      </c>
    </row>
    <row r="186" spans="4:68" ht="20.100000000000001" customHeight="1" x14ac:dyDescent="0.25">
      <c r="D186" s="24" t="s">
        <v>50</v>
      </c>
      <c r="E186" s="24" t="s">
        <v>51</v>
      </c>
      <c r="F186" s="24" t="s">
        <v>52</v>
      </c>
      <c r="G186" s="24" t="s">
        <v>53</v>
      </c>
      <c r="H186" s="24" t="s">
        <v>17</v>
      </c>
    </row>
    <row r="187" spans="4:68" ht="20.100000000000001" customHeight="1" x14ac:dyDescent="0.25">
      <c r="D187" s="24" t="str" cm="1">
        <f t="array" ref="D187">Common_InputFunctions.Utility_DisplayArrayInTable(Common_SourceData.Common_SourceData_EFN2O_Data(), Table_SourceData_Common_EFN2O[[#Headers],[Production system j]], 0)</f>
        <v>Irrigated pasture</v>
      </c>
      <c r="E187" s="24" cm="1">
        <f t="array" ref="E187">Common_InputFunctions.Utility_DisplayArrayInTable(Common_SourceData.Common_SourceData_EFN2O_Data(), Table_SourceData_Common_EFN2O[[#Headers],[Production system j]], 0)</f>
        <v>5.8999999999999999E-3</v>
      </c>
      <c r="F187" s="24" t="str" cm="1">
        <f t="array" ref="F187">Common_InputFunctions.Utility_DisplayArrayInTable(Common_SourceData.Common_SourceData_EFN2O_Data(), Table_SourceData_Common_EFN2O[[#Headers],[Production system j]], 0)</f>
        <v>Pasture</v>
      </c>
      <c r="G187" s="24" t="str" cm="1">
        <f t="array" ref="G187">Common_InputFunctions.Utility_DisplayArrayInTable(Common_SourceData.Common_SourceData_EFN2O_Data(), Table_SourceData_Common_EFN2O[[#Headers],[Production system j]], 0)</f>
        <v>Any</v>
      </c>
      <c r="H187" s="24" t="str" cm="1">
        <f t="array" ref="H187">Common_InputFunctions.Utility_DisplayArrayInTable(Common_SourceData.Common_SourceData_EFN2O_Data(), Table_SourceData_Common_EFN2O[[#Headers],[Production system j]], 0)</f>
        <v>Any</v>
      </c>
    </row>
    <row r="188" spans="4:68" ht="20.100000000000001" customHeight="1" x14ac:dyDescent="0.25">
      <c r="D188" s="24" t="str" cm="1">
        <f t="array" ref="D188">Common_InputFunctions.Utility_DisplayArrayInTable(Common_SourceData.Common_SourceData_EFN2O_Data(), Table_SourceData_Common_EFN2O[[#Headers],[Production system j]], 0)</f>
        <v>Irrigated crop</v>
      </c>
      <c r="E188" s="24" cm="1">
        <f t="array" ref="E188">Common_InputFunctions.Utility_DisplayArrayInTable(Common_SourceData.Common_SourceData_EFN2O_Data(), Table_SourceData_Common_EFN2O[[#Headers],[Production system j]], 0)</f>
        <v>7.0000000000000001E-3</v>
      </c>
      <c r="F188" s="24" t="str" cm="1">
        <f t="array" ref="F188">Common_InputFunctions.Utility_DisplayArrayInTable(Common_SourceData.Common_SourceData_EFN2O_Data(), Table_SourceData_Common_EFN2O[[#Headers],[Production system j]], 0)</f>
        <v>Crop</v>
      </c>
      <c r="G188" s="24" t="str" cm="1">
        <f t="array" ref="G188">Common_InputFunctions.Utility_DisplayArrayInTable(Common_SourceData.Common_SourceData_EFN2O_Data(), Table_SourceData_Common_EFN2O[[#Headers],[Production system j]], 0)</f>
        <v>Any</v>
      </c>
      <c r="H188" s="24" t="str" cm="1">
        <f t="array" ref="H188">Common_InputFunctions.Utility_DisplayArrayInTable(Common_SourceData.Common_SourceData_EFN2O_Data(), Table_SourceData_Common_EFN2O[[#Headers],[Production system j]], 0)</f>
        <v>Any</v>
      </c>
    </row>
    <row r="189" spans="4:68" ht="20.100000000000001" customHeight="1" x14ac:dyDescent="0.25">
      <c r="D189" s="24" t="str" cm="1">
        <f t="array" ref="D189">Common_InputFunctions.Utility_DisplayArrayInTable(Common_SourceData.Common_SourceData_EFN2O_Data(), Table_SourceData_Common_EFN2O[[#Headers],[Production system j]], 0)</f>
        <v>Non-irrigated pasture</v>
      </c>
      <c r="E189" s="24" cm="1">
        <f t="array" ref="E189">Common_InputFunctions.Utility_DisplayArrayInTable(Common_SourceData.Common_SourceData_EFN2O_Data(), Table_SourceData_Common_EFN2O[[#Headers],[Production system j]], 0)</f>
        <v>1.8E-3</v>
      </c>
      <c r="F189" s="24" t="str" cm="1">
        <f t="array" ref="F189">Common_InputFunctions.Utility_DisplayArrayInTable(Common_SourceData.Common_SourceData_EFN2O_Data(), Table_SourceData_Common_EFN2O[[#Headers],[Production system j]], 0)</f>
        <v>Pasture</v>
      </c>
      <c r="G189" s="24" t="str" cm="1">
        <f t="array" ref="G189">Common_InputFunctions.Utility_DisplayArrayInTable(Common_SourceData.Common_SourceData_EFN2O_Data(), Table_SourceData_Common_EFN2O[[#Headers],[Production system j]], 0)</f>
        <v>Not irrigated</v>
      </c>
      <c r="H189" s="2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4" t="str" cm="1">
        <f t="array" ref="D190">Common_InputFunctions.Utility_DisplayArrayInTable(Common_SourceData.Common_SourceData_EFN2O_Data(), Table_SourceData_Common_EFN2O[[#Headers],[Production system j]], 0)</f>
        <v>Non-irrigated pasture</v>
      </c>
      <c r="E190" s="24" cm="1">
        <f t="array" ref="E190">Common_InputFunctions.Utility_DisplayArrayInTable(Common_SourceData.Common_SourceData_EFN2O_Data(), Table_SourceData_Common_EFN2O[[#Headers],[Production system j]], 0)</f>
        <v>1.8E-3</v>
      </c>
      <c r="F190" s="24" t="str" cm="1">
        <f t="array" ref="F190">Common_InputFunctions.Utility_DisplayArrayInTable(Common_SourceData.Common_SourceData_EFN2O_Data(), Table_SourceData_Common_EFN2O[[#Headers],[Production system j]], 0)</f>
        <v>Pasture</v>
      </c>
      <c r="G190" s="24" t="str" cm="1">
        <f t="array" ref="G190">Common_InputFunctions.Utility_DisplayArrayInTable(Common_SourceData.Common_SourceData_EFN2O_Data(), Table_SourceData_Common_EFN2O[[#Headers],[Production system j]], 0)</f>
        <v>Not irrigated</v>
      </c>
      <c r="H190" s="2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4" t="str" cm="1">
        <f t="array" ref="D191">Common_InputFunctions.Utility_DisplayArrayInTable(Common_SourceData.Common_SourceData_EFN2O_Data(), Table_SourceData_Common_EFN2O[[#Headers],[Production system j]], 0)</f>
        <v>Non-irrigated crop (low rainfall)</v>
      </c>
      <c r="E191" s="24" cm="1">
        <f t="array" ref="E191">Common_InputFunctions.Utility_DisplayArrayInTable(Common_SourceData.Common_SourceData_EFN2O_Data(), Table_SourceData_Common_EFN2O[[#Headers],[Production system j]], 0)</f>
        <v>2.8999999999999998E-3</v>
      </c>
      <c r="F191" s="24" t="str" cm="1">
        <f t="array" ref="F191">Common_InputFunctions.Utility_DisplayArrayInTable(Common_SourceData.Common_SourceData_EFN2O_Data(), Table_SourceData_Common_EFN2O[[#Headers],[Production system j]], 0)</f>
        <v>Crop</v>
      </c>
      <c r="G191" s="24" t="str" cm="1">
        <f t="array" ref="G191">Common_InputFunctions.Utility_DisplayArrayInTable(Common_SourceData.Common_SourceData_EFN2O_Data(), Table_SourceData_Common_EFN2O[[#Headers],[Production system j]], 0)</f>
        <v>Not irrigated</v>
      </c>
      <c r="H191" s="2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4" t="str" cm="1">
        <f t="array" ref="D192">Common_InputFunctions.Utility_DisplayArrayInTable(Common_SourceData.Common_SourceData_EFN2O_Data(), Table_SourceData_Common_EFN2O[[#Headers],[Production system j]], 0)</f>
        <v>Non-irrigated crop (high rainfall)</v>
      </c>
      <c r="E192" s="24" cm="1">
        <f t="array" ref="E192">Common_InputFunctions.Utility_DisplayArrayInTable(Common_SourceData.Common_SourceData_EFN2O_Data(), Table_SourceData_Common_EFN2O[[#Headers],[Production system j]], 0)</f>
        <v>8.0000000000000002E-3</v>
      </c>
      <c r="F192" s="24" t="str" cm="1">
        <f t="array" ref="F192">Common_InputFunctions.Utility_DisplayArrayInTable(Common_SourceData.Common_SourceData_EFN2O_Data(), Table_SourceData_Common_EFN2O[[#Headers],[Production system j]], 0)</f>
        <v>Crop</v>
      </c>
      <c r="G192" s="24" t="str" cm="1">
        <f t="array" ref="G192">Common_InputFunctions.Utility_DisplayArrayInTable(Common_SourceData.Common_SourceData_EFN2O_Data(), Table_SourceData_Common_EFN2O[[#Headers],[Production system j]], 0)</f>
        <v>Not irrigated</v>
      </c>
      <c r="H192" s="2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4" t="str" cm="1">
        <f t="array" ref="D193">Common_InputFunctions.Utility_DisplayArrayInTable(Common_SourceData.Common_SourceData_EFN2O_Data(), Table_SourceData_Common_EFN2O[[#Headers],[Production system j]], 0)</f>
        <v>Sugar</v>
      </c>
      <c r="E193" s="24" cm="1">
        <f t="array" ref="E193">Common_InputFunctions.Utility_DisplayArrayInTable(Common_SourceData.Common_SourceData_EFN2O_Data(), Table_SourceData_Common_EFN2O[[#Headers],[Production system j]], 0)</f>
        <v>1.9900000000000001E-2</v>
      </c>
      <c r="F193" s="24" t="str" cm="1">
        <f t="array" ref="F193">Common_InputFunctions.Utility_DisplayArrayInTable(Common_SourceData.Common_SourceData_EFN2O_Data(), Table_SourceData_Common_EFN2O[[#Headers],[Production system j]], 0)</f>
        <v>Sugar</v>
      </c>
      <c r="G193" s="24" t="str" cm="1">
        <f t="array" ref="G193">Common_InputFunctions.Utility_DisplayArrayInTable(Common_SourceData.Common_SourceData_EFN2O_Data(), Table_SourceData_Common_EFN2O[[#Headers],[Production system j]], 0)</f>
        <v>Any</v>
      </c>
      <c r="H193" s="24" t="str" cm="1">
        <f t="array" ref="H193">Common_InputFunctions.Utility_DisplayArrayInTable(Common_SourceData.Common_SourceData_EFN2O_Data(), Table_SourceData_Common_EFN2O[[#Headers],[Production system j]], 0)</f>
        <v>Any</v>
      </c>
    </row>
    <row r="194" spans="4:8" ht="20.100000000000001" customHeight="1" x14ac:dyDescent="0.25">
      <c r="D194" s="24" t="str" cm="1">
        <f t="array" ref="D194">Common_InputFunctions.Utility_DisplayArrayInTable(Common_SourceData.Common_SourceData_EFN2O_Data(), Table_SourceData_Common_EFN2O[[#Headers],[Production system j]], 0)</f>
        <v>Cotton</v>
      </c>
      <c r="E194" s="24" cm="1">
        <f t="array" ref="E194">Common_InputFunctions.Utility_DisplayArrayInTable(Common_SourceData.Common_SourceData_EFN2O_Data(), Table_SourceData_Common_EFN2O[[#Headers],[Production system j]], 0)</f>
        <v>5.3E-3</v>
      </c>
      <c r="F194" s="24" t="str" cm="1">
        <f t="array" ref="F194">Common_InputFunctions.Utility_DisplayArrayInTable(Common_SourceData.Common_SourceData_EFN2O_Data(), Table_SourceData_Common_EFN2O[[#Headers],[Production system j]], 0)</f>
        <v>Cotton</v>
      </c>
      <c r="G194" s="24" t="str" cm="1">
        <f t="array" ref="G194">Common_InputFunctions.Utility_DisplayArrayInTable(Common_SourceData.Common_SourceData_EFN2O_Data(), Table_SourceData_Common_EFN2O[[#Headers],[Production system j]], 0)</f>
        <v>Any</v>
      </c>
      <c r="H194" s="24" t="str" cm="1">
        <f t="array" ref="H194">Common_InputFunctions.Utility_DisplayArrayInTable(Common_SourceData.Common_SourceData_EFN2O_Data(), Table_SourceData_Common_EFN2O[[#Headers],[Production system j]], 0)</f>
        <v>Any</v>
      </c>
    </row>
    <row r="195" spans="4:8" ht="20.100000000000001" customHeight="1" x14ac:dyDescent="0.25">
      <c r="D195" s="24" t="str" cm="1">
        <f t="array" ref="D195">Common_InputFunctions.Utility_DisplayArrayInTable(Common_SourceData.Common_SourceData_EFN2O_Data(), Table_SourceData_Common_EFN2O[[#Headers],[Production system j]], 0)</f>
        <v>Horticultural crops</v>
      </c>
      <c r="E195" s="24" cm="1">
        <f t="array" ref="E195">Common_InputFunctions.Utility_DisplayArrayInTable(Common_SourceData.Common_SourceData_EFN2O_Data(), Table_SourceData_Common_EFN2O[[#Headers],[Production system j]], 0)</f>
        <v>6.4000000000000003E-3</v>
      </c>
      <c r="F195" s="24" t="str" cm="1">
        <f t="array" ref="F195">Common_InputFunctions.Utility_DisplayArrayInTable(Common_SourceData.Common_SourceData_EFN2O_Data(), Table_SourceData_Common_EFN2O[[#Headers],[Production system j]], 0)</f>
        <v>Horticultural crops</v>
      </c>
      <c r="G195" s="24" t="str" cm="1">
        <f t="array" ref="G195">Common_InputFunctions.Utility_DisplayArrayInTable(Common_SourceData.Common_SourceData_EFN2O_Data(), Table_SourceData_Common_EFN2O[[#Headers],[Production system j]], 0)</f>
        <v>Any</v>
      </c>
      <c r="H195" s="24" t="str" cm="1">
        <f t="array" ref="H195">Common_InputFunctions.Utility_DisplayArrayInTable(Common_SourceData.Common_SourceData_EFN2O_Data(), Table_SourceData_Common_EFN2O[[#Headers],[Production system j]], 0)</f>
        <v>Any</v>
      </c>
    </row>
    <row r="196" spans="4:8" ht="20.100000000000001" customHeight="1" x14ac:dyDescent="0.25">
      <c r="D196" s="24" t="str" cm="1">
        <f t="array" ref="D196">Common_InputFunctions.Utility_DisplayArrayInTable(Common_SourceData.Common_SourceData_EFN2O_Data(), Table_SourceData_Common_EFN2O[[#Headers],[Production system j]], 0)</f>
        <v>Rice (continuous flooding)</v>
      </c>
      <c r="E196" s="24" cm="1">
        <f t="array" ref="E196">Common_InputFunctions.Utility_DisplayArrayInTable(Common_SourceData.Common_SourceData_EFN2O_Data(), Table_SourceData_Common_EFN2O[[#Headers],[Production system j]], 0)</f>
        <v>3.0000000000000001E-3</v>
      </c>
      <c r="F196" s="24" t="str" cm="1">
        <f t="array" ref="F196">Common_InputFunctions.Utility_DisplayArrayInTable(Common_SourceData.Common_SourceData_EFN2O_Data(), Table_SourceData_Common_EFN2O[[#Headers],[Production system j]], 0)</f>
        <v>Rice</v>
      </c>
      <c r="G196" s="24" t="str" cm="1">
        <f t="array" ref="G196">Common_InputFunctions.Utility_DisplayArrayInTable(Common_SourceData.Common_SourceData_EFN2O_Data(), Table_SourceData_Common_EFN2O[[#Headers],[Production system j]], 0)</f>
        <v>Continuous flooding</v>
      </c>
      <c r="H196" s="24" t="str" cm="1">
        <f t="array" ref="H196">Common_InputFunctions.Utility_DisplayArrayInTable(Common_SourceData.Common_SourceData_EFN2O_Data(), Table_SourceData_Common_EFN2O[[#Headers],[Production system j]], 0)</f>
        <v>Any</v>
      </c>
    </row>
    <row r="197" spans="4:8" x14ac:dyDescent="0.25">
      <c r="D197" s="24" t="str" cm="1">
        <f t="array" ref="D197">Common_InputFunctions.Utility_DisplayArrayInTable(Common_SourceData.Common_SourceData_EFN2O_Data(), Table_SourceData_Common_EFN2O[[#Headers],[Production system j]], 0)</f>
        <v>Rice (single and multiple drainage, or alternate wetting and drying)</v>
      </c>
      <c r="E197" s="24" cm="1">
        <f t="array" ref="E197">Common_InputFunctions.Utility_DisplayArrayInTable(Common_SourceData.Common_SourceData_EFN2O_Data(), Table_SourceData_Common_EFN2O[[#Headers],[Production system j]], 0)</f>
        <v>5.0000000000000001E-3</v>
      </c>
      <c r="F197" s="24" t="str" cm="1">
        <f t="array" ref="F197">Common_InputFunctions.Utility_DisplayArrayInTable(Common_SourceData.Common_SourceData_EFN2O_Data(), Table_SourceData_Common_EFN2O[[#Headers],[Production system j]], 0)</f>
        <v>Rice</v>
      </c>
      <c r="G197" s="24" t="str" cm="1">
        <f t="array" ref="G197">Common_InputFunctions.Utility_DisplayArrayInTable(Common_SourceData.Common_SourceData_EFN2O_Data(), Table_SourceData_Common_EFN2O[[#Headers],[Production system j]], 0)</f>
        <v>Single and multiple drainage, or alternate wetting and drying</v>
      </c>
      <c r="H197" s="24" t="str" cm="1">
        <f t="array" ref="H197">Common_InputFunctions.Utility_DisplayArrayInTable(Common_SourceData.Common_SourceData_EFN2O_Data(), Table_SourceData_Common_EFN2O[[#Headers],[Production system j]], 0)</f>
        <v>Any</v>
      </c>
    </row>
    <row r="198" spans="4:8" x14ac:dyDescent="0.25">
      <c r="D198" s="24" t="str" cm="1">
        <f t="array" ref="D198">Common_InputFunctions.Utility_DisplayArrayInTable(Common_SourceData.Common_SourceData_EFN2O_Data(), Table_SourceData_Common_EFN2O[[#Headers],[Production system j]], 0)</f>
        <v>Aquaculture</v>
      </c>
      <c r="E198" s="24" cm="1">
        <f t="array" ref="E198">Common_InputFunctions.Utility_DisplayArrayInTable(Common_SourceData.Common_SourceData_EFN2O_Data(), Table_SourceData_Common_EFN2O[[#Headers],[Production system j]], 0)</f>
        <v>2.5999999999999999E-3</v>
      </c>
      <c r="F198" s="24" t="str" cm="1">
        <f t="array" ref="F198">Common_InputFunctions.Utility_DisplayArrayInTable(Common_SourceData.Common_SourceData_EFN2O_Data(), Table_SourceData_Common_EFN2O[[#Headers],[Production system j]], 0)</f>
        <v>Aquaculture</v>
      </c>
      <c r="G198" s="24" t="str" cm="1">
        <f t="array" ref="G198">Common_InputFunctions.Utility_DisplayArrayInTable(Common_SourceData.Common_SourceData_EFN2O_Data(), Table_SourceData_Common_EFN2O[[#Headers],[Production system j]], 0)</f>
        <v>Any</v>
      </c>
      <c r="H198" s="24" t="str" cm="1">
        <f t="array" ref="H198">Common_InputFunctions.Utility_DisplayArrayInTable(Common_SourceData.Common_SourceData_EFN2O_Data(), Table_SourceData_Common_EFN2O[[#Headers],[Production system j]], 0)</f>
        <v>Any</v>
      </c>
    </row>
    <row r="199" spans="4:8" x14ac:dyDescent="0.25">
      <c r="D199" s="24" t="str" cm="1">
        <f t="array" ref="D199">Common_InputFunctions.Utility_DisplayArrayInTable(Common_SourceData.Common_SourceData_EFN2O_Data(), Table_SourceData_Common_EFN2O[[#Headers],[Production system j]], 0)</f>
        <v>Forestry</v>
      </c>
      <c r="E199" s="24" cm="1">
        <f t="array" ref="E199">Common_InputFunctions.Utility_DisplayArrayInTable(Common_SourceData.Common_SourceData_EFN2O_Data(), Table_SourceData_Common_EFN2O[[#Headers],[Production system j]], 0)</f>
        <v>1.8E-3</v>
      </c>
      <c r="F199" s="24" t="str" cm="1">
        <f t="array" ref="F199">Common_InputFunctions.Utility_DisplayArrayInTable(Common_SourceData.Common_SourceData_EFN2O_Data(), Table_SourceData_Common_EFN2O[[#Headers],[Production system j]], 0)</f>
        <v>Forestry</v>
      </c>
      <c r="G199" s="24" t="str" cm="1">
        <f t="array" ref="G199">Common_InputFunctions.Utility_DisplayArrayInTable(Common_SourceData.Common_SourceData_EFN2O_Data(), Table_SourceData_Common_EFN2O[[#Headers],[Production system j]], 0)</f>
        <v>Any</v>
      </c>
      <c r="H199" s="24"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29" t="str" cm="1">
        <f t="array" ref="D204">Common_SourceData.Common_SourceData_EFPastureRangeAndPaddock_Variation()</f>
        <v>VARIATION FROM SOURCE DATA: Changed 'Dry climate zones' to singular 'Dry climate zone' to aid lookup.</v>
      </c>
    </row>
    <row r="205" spans="4:8" x14ac:dyDescent="0.25">
      <c r="D205" s="28" t="str" cm="1">
        <f t="array" ref="D205">Common_SourceData.Common_SourceData_EFPastureRangeAndPaddock_Unit()</f>
        <v>kg N2O - N / kg N</v>
      </c>
    </row>
    <row r="206" spans="4:8" x14ac:dyDescent="0.25">
      <c r="D206" s="24" t="s">
        <v>3</v>
      </c>
      <c r="E206" s="24" t="s">
        <v>58</v>
      </c>
    </row>
    <row r="207" spans="4:8" x14ac:dyDescent="0.25">
      <c r="D207" s="24" t="str" cm="1">
        <f t="array" ref="D207">Common_InputFunctions.Utility_DisplayArrayInTable(Common_SourceData.Common_SourceData_EFPastureRangeAndPaddock_Data(), Table_SourceData_EFPastureRangeAndPaddock[[#Headers],[Climate zone]], 0)</f>
        <v>Wet climate zone</v>
      </c>
      <c r="E207" s="2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4" t="s">
        <v>55</v>
      </c>
      <c r="E212" s="24" t="s">
        <v>61</v>
      </c>
    </row>
    <row r="213" spans="4:5" x14ac:dyDescent="0.25">
      <c r="D213" s="24" t="str" cm="1">
        <f t="array" ref="D213">Common_InputFunctions.Utility_DisplayArrayInTable(Common_SourceData.Common_SourceData_MonthsToSeasons_Data(), Table_SourceData_Common_MonthToSeason[[#Headers],[Month]], 0)</f>
        <v>January</v>
      </c>
      <c r="E213" s="2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4"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2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4" t="s">
        <v>34</v>
      </c>
      <c r="E231" s="24" t="s">
        <v>69</v>
      </c>
      <c r="F231" s="23" t="s">
        <v>70</v>
      </c>
      <c r="G231" s="24" t="s">
        <v>65</v>
      </c>
      <c r="H231" s="24" t="s">
        <v>71</v>
      </c>
      <c r="I231" s="24" t="s">
        <v>72</v>
      </c>
      <c r="J231" s="24" t="s">
        <v>64</v>
      </c>
      <c r="K231" s="24" t="s">
        <v>63</v>
      </c>
      <c r="L231" s="24" t="s">
        <v>73</v>
      </c>
      <c r="M231" s="24" t="s">
        <v>74</v>
      </c>
      <c r="N231" s="24" t="s">
        <v>62</v>
      </c>
      <c r="O231" s="24" t="s">
        <v>75</v>
      </c>
      <c r="P231" s="24" t="s">
        <v>67</v>
      </c>
      <c r="Q231" s="24" t="s">
        <v>68</v>
      </c>
      <c r="R231" s="24" t="s">
        <v>66</v>
      </c>
      <c r="S231" s="24" t="s">
        <v>76</v>
      </c>
    </row>
    <row r="232" spans="4:19" x14ac:dyDescent="0.25">
      <c r="D232" s="24" t="str" cm="1">
        <f t="array" ref="D232">Common_InputFunctions.Utility_DisplayArrayInTable(Common_SourceData.Common_SourceData_MCFTemperatureZone_Data(),Table_SourceData_Common_MCFTemperatureZone[[#Headers],[Temperature zone]],0)</f>
        <v>Cool</v>
      </c>
      <c r="E232" s="24" t="str" cm="1">
        <f t="array" ref="E232">Common_InputFunctions.Utility_DisplayArrayInTable(Common_SourceData.Common_SourceData_MCFTemperatureZone_Data(),Table_SourceData_Common_MCFTemperatureZone[[#Headers],[Temperature zone]],0)</f>
        <v>≤10</v>
      </c>
      <c r="F232" s="24" cm="1">
        <f t="array" ref="F232">Common_InputFunctions.Utility_DisplayArrayInTable(Common_SourceData.Common_SourceData_MCFTemperatureZone_Data(),Table_SourceData_Common_MCFTemperatureZone[[#Headers],[Temperature zone]],0)</f>
        <v>0.66</v>
      </c>
      <c r="G232" s="24" cm="1">
        <f t="array" ref="G232">Common_InputFunctions.Utility_DisplayArrayInTable(Common_SourceData.Common_SourceData_MCFTemperatureZone_Data(),Table_SourceData_Common_MCFTemperatureZone[[#Headers],[Temperature zone]],0)</f>
        <v>0.1</v>
      </c>
      <c r="H232" s="24" cm="1">
        <f t="array" ref="H232">Common_InputFunctions.Utility_DisplayArrayInTable(Common_SourceData.Common_SourceData_MCFTemperatureZone_Data(),Table_SourceData_Common_MCFTemperatureZone[[#Headers],[Temperature zone]],0)</f>
        <v>0.1</v>
      </c>
      <c r="I232" s="24" cm="1">
        <f t="array" ref="I232">Common_InputFunctions.Utility_DisplayArrayInTable(Common_SourceData.Common_SourceData_MCFTemperatureZone_Data(),Table_SourceData_Common_MCFTemperatureZone[[#Headers],[Temperature zone]],0)</f>
        <v>1E-3</v>
      </c>
      <c r="J232" s="24" cm="1">
        <f t="array" ref="J232">Common_InputFunctions.Utility_DisplayArrayInTable(Common_SourceData.Common_SourceData_MCFTemperatureZone_Data(),Table_SourceData_Common_MCFTemperatureZone[[#Headers],[Temperature zone]],0)</f>
        <v>5.0000000000000001E-3</v>
      </c>
      <c r="K232" s="24" cm="1">
        <f t="array" ref="K232">Common_InputFunctions.Utility_DisplayArrayInTable(Common_SourceData.Common_SourceData_MCFTemperatureZone_Data(),Table_SourceData_Common_MCFTemperatureZone[[#Headers],[Temperature zone]],0)</f>
        <v>0.02</v>
      </c>
      <c r="L232" s="24" cm="1">
        <f t="array" ref="L232">Common_InputFunctions.Utility_DisplayArrayInTable(Common_SourceData.Common_SourceData_MCFTemperatureZone_Data(),Table_SourceData_Common_MCFTemperatureZone[[#Headers],[Temperature zone]],0)</f>
        <v>0.03</v>
      </c>
      <c r="M232" s="24" cm="1">
        <f t="array" ref="M232">Common_InputFunctions.Utility_DisplayArrayInTable(Common_SourceData.Common_SourceData_MCFTemperatureZone_Data(),Table_SourceData_Common_MCFTemperatureZone[[#Headers],[Temperature zone]],0)</f>
        <v>0.04</v>
      </c>
      <c r="N232" s="24" cm="1">
        <f t="array" ref="N232">Common_InputFunctions.Utility_DisplayArrayInTable(Common_SourceData.Common_SourceData_MCFTemperatureZone_Data(),Table_SourceData_Common_MCFTemperatureZone[[#Headers],[Temperature zone]],0)</f>
        <v>1.4999999999999999E-2</v>
      </c>
      <c r="O232" s="24" cm="1">
        <f t="array" ref="O232">Common_InputFunctions.Utility_DisplayArrayInTable(Common_SourceData.Common_SourceData_MCFTemperatureZone_Data(),Table_SourceData_Common_MCFTemperatureZone[[#Headers],[Temperature zone]],0)</f>
        <v>1.4999999999999999E-2</v>
      </c>
      <c r="P232" s="24" cm="1">
        <f t="array" ref="P232">Common_InputFunctions.Utility_DisplayArrayInTable(Common_SourceData.Common_SourceData_MCFTemperatureZone_Data(),Table_SourceData_Common_MCFTemperatureZone[[#Headers],[Temperature zone]],0)</f>
        <v>0</v>
      </c>
      <c r="Q232" s="24" cm="1">
        <f t="array" ref="Q232">Common_InputFunctions.Utility_DisplayArrayInTable(Common_SourceData.Common_SourceData_MCFTemperatureZone_Data(),Table_SourceData_Common_MCFTemperatureZone[[#Headers],[Temperature zone]],0)</f>
        <v>0</v>
      </c>
      <c r="R232" s="24" cm="1">
        <f t="array" ref="R232">Common_InputFunctions.Utility_DisplayArrayInTable(Common_SourceData.Common_SourceData_MCFTemperatureZone_Data(),Table_SourceData_Common_MCFTemperatureZone[[#Headers],[Temperature zone]],0)</f>
        <v>4.7000000000000002E-3</v>
      </c>
      <c r="S232" s="2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4" cm="1">
        <f t="array" ref="E233">Common_InputFunctions.Utility_DisplayArrayInTable(Common_SourceData.Common_SourceData_MCFTemperatureZone_Data(),Table_SourceData_Common_MCFTemperatureZone[[#Headers],[Temperature zone]],0)</f>
        <v>11</v>
      </c>
      <c r="F233" s="24" cm="1">
        <f t="array" ref="F233">Common_InputFunctions.Utility_DisplayArrayInTable(Common_SourceData.Common_SourceData_MCFTemperatureZone_Data(),Table_SourceData_Common_MCFTemperatureZone[[#Headers],[Temperature zone]],0)</f>
        <v>0.68</v>
      </c>
      <c r="G233" s="24" cm="1">
        <f t="array" ref="G233">Common_InputFunctions.Utility_DisplayArrayInTable(Common_SourceData.Common_SourceData_MCFTemperatureZone_Data(),Table_SourceData_Common_MCFTemperatureZone[[#Headers],[Temperature zone]],0)</f>
        <v>0.1</v>
      </c>
      <c r="H233" s="24" cm="1">
        <f t="array" ref="H233">Common_InputFunctions.Utility_DisplayArrayInTable(Common_SourceData.Common_SourceData_MCFTemperatureZone_Data(),Table_SourceData_Common_MCFTemperatureZone[[#Headers],[Temperature zone]],0)</f>
        <v>0.11</v>
      </c>
      <c r="I233" s="24" cm="1">
        <f t="array" ref="I233">Common_InputFunctions.Utility_DisplayArrayInTable(Common_SourceData.Common_SourceData_MCFTemperatureZone_Data(),Table_SourceData_Common_MCFTemperatureZone[[#Headers],[Temperature zone]],0)</f>
        <v>1E-3</v>
      </c>
      <c r="J233" s="24" cm="1">
        <f t="array" ref="J233">Common_InputFunctions.Utility_DisplayArrayInTable(Common_SourceData.Common_SourceData_MCFTemperatureZone_Data(),Table_SourceData_Common_MCFTemperatureZone[[#Headers],[Temperature zone]],0)</f>
        <v>5.0000000000000001E-3</v>
      </c>
      <c r="K233" s="24" cm="1">
        <f t="array" ref="K233">Common_InputFunctions.Utility_DisplayArrayInTable(Common_SourceData.Common_SourceData_MCFTemperatureZone_Data(),Table_SourceData_Common_MCFTemperatureZone[[#Headers],[Temperature zone]],0)</f>
        <v>0.02</v>
      </c>
      <c r="L233" s="24" cm="1">
        <f t="array" ref="L233">Common_InputFunctions.Utility_DisplayArrayInTable(Common_SourceData.Common_SourceData_MCFTemperatureZone_Data(),Table_SourceData_Common_MCFTemperatureZone[[#Headers],[Temperature zone]],0)</f>
        <v>0.03</v>
      </c>
      <c r="M233" s="24" cm="1">
        <f t="array" ref="M233">Common_InputFunctions.Utility_DisplayArrayInTable(Common_SourceData.Common_SourceData_MCFTemperatureZone_Data(),Table_SourceData_Common_MCFTemperatureZone[[#Headers],[Temperature zone]],0)</f>
        <v>0.04</v>
      </c>
      <c r="N233" s="24" cm="1">
        <f t="array" ref="N233">Common_InputFunctions.Utility_DisplayArrayInTable(Common_SourceData.Common_SourceData_MCFTemperatureZone_Data(),Table_SourceData_Common_MCFTemperatureZone[[#Headers],[Temperature zone]],0)</f>
        <v>1.4999999999999999E-2</v>
      </c>
      <c r="O233" s="24" cm="1">
        <f t="array" ref="O233">Common_InputFunctions.Utility_DisplayArrayInTable(Common_SourceData.Common_SourceData_MCFTemperatureZone_Data(),Table_SourceData_Common_MCFTemperatureZone[[#Headers],[Temperature zone]],0)</f>
        <v>1.4999999999999999E-2</v>
      </c>
      <c r="P233" s="24" cm="1">
        <f t="array" ref="P233">Common_InputFunctions.Utility_DisplayArrayInTable(Common_SourceData.Common_SourceData_MCFTemperatureZone_Data(),Table_SourceData_Common_MCFTemperatureZone[[#Headers],[Temperature zone]],0)</f>
        <v>0</v>
      </c>
      <c r="Q233" s="24" cm="1">
        <f t="array" ref="Q233">Common_InputFunctions.Utility_DisplayArrayInTable(Common_SourceData.Common_SourceData_MCFTemperatureZone_Data(),Table_SourceData_Common_MCFTemperatureZone[[#Headers],[Temperature zone]],0)</f>
        <v>0</v>
      </c>
      <c r="R233" s="24" cm="1">
        <f t="array" ref="R233">Common_InputFunctions.Utility_DisplayArrayInTable(Common_SourceData.Common_SourceData_MCFTemperatureZone_Data(),Table_SourceData_Common_MCFTemperatureZone[[#Headers],[Temperature zone]],0)</f>
        <v>4.7000000000000002E-3</v>
      </c>
      <c r="S233" s="2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4" cm="1">
        <f t="array" ref="E234">Common_InputFunctions.Utility_DisplayArrayInTable(Common_SourceData.Common_SourceData_MCFTemperatureZone_Data(),Table_SourceData_Common_MCFTemperatureZone[[#Headers],[Temperature zone]],0)</f>
        <v>12</v>
      </c>
      <c r="F234" s="24" cm="1">
        <f t="array" ref="F234">Common_InputFunctions.Utility_DisplayArrayInTable(Common_SourceData.Common_SourceData_MCFTemperatureZone_Data(),Table_SourceData_Common_MCFTemperatureZone[[#Headers],[Temperature zone]],0)</f>
        <v>0.7</v>
      </c>
      <c r="G234" s="24" cm="1">
        <f t="array" ref="G234">Common_InputFunctions.Utility_DisplayArrayInTable(Common_SourceData.Common_SourceData_MCFTemperatureZone_Data(),Table_SourceData_Common_MCFTemperatureZone[[#Headers],[Temperature zone]],0)</f>
        <v>0.1</v>
      </c>
      <c r="H234" s="24" cm="1">
        <f t="array" ref="H234">Common_InputFunctions.Utility_DisplayArrayInTable(Common_SourceData.Common_SourceData_MCFTemperatureZone_Data(),Table_SourceData_Common_MCFTemperatureZone[[#Headers],[Temperature zone]],0)</f>
        <v>0.13</v>
      </c>
      <c r="I234" s="24" cm="1">
        <f t="array" ref="I234">Common_InputFunctions.Utility_DisplayArrayInTable(Common_SourceData.Common_SourceData_MCFTemperatureZone_Data(),Table_SourceData_Common_MCFTemperatureZone[[#Headers],[Temperature zone]],0)</f>
        <v>1E-3</v>
      </c>
      <c r="J234" s="24" cm="1">
        <f t="array" ref="J234">Common_InputFunctions.Utility_DisplayArrayInTable(Common_SourceData.Common_SourceData_MCFTemperatureZone_Data(),Table_SourceData_Common_MCFTemperatureZone[[#Headers],[Temperature zone]],0)</f>
        <v>5.0000000000000001E-3</v>
      </c>
      <c r="K234" s="24" cm="1">
        <f t="array" ref="K234">Common_InputFunctions.Utility_DisplayArrayInTable(Common_SourceData.Common_SourceData_MCFTemperatureZone_Data(),Table_SourceData_Common_MCFTemperatureZone[[#Headers],[Temperature zone]],0)</f>
        <v>0.02</v>
      </c>
      <c r="L234" s="24" cm="1">
        <f t="array" ref="L234">Common_InputFunctions.Utility_DisplayArrayInTable(Common_SourceData.Common_SourceData_MCFTemperatureZone_Data(),Table_SourceData_Common_MCFTemperatureZone[[#Headers],[Temperature zone]],0)</f>
        <v>0.03</v>
      </c>
      <c r="M234" s="24" cm="1">
        <f t="array" ref="M234">Common_InputFunctions.Utility_DisplayArrayInTable(Common_SourceData.Common_SourceData_MCFTemperatureZone_Data(),Table_SourceData_Common_MCFTemperatureZone[[#Headers],[Temperature zone]],0)</f>
        <v>0.04</v>
      </c>
      <c r="N234" s="24" cm="1">
        <f t="array" ref="N234">Common_InputFunctions.Utility_DisplayArrayInTable(Common_SourceData.Common_SourceData_MCFTemperatureZone_Data(),Table_SourceData_Common_MCFTemperatureZone[[#Headers],[Temperature zone]],0)</f>
        <v>1.4999999999999999E-2</v>
      </c>
      <c r="O234" s="24" cm="1">
        <f t="array" ref="O234">Common_InputFunctions.Utility_DisplayArrayInTable(Common_SourceData.Common_SourceData_MCFTemperatureZone_Data(),Table_SourceData_Common_MCFTemperatureZone[[#Headers],[Temperature zone]],0)</f>
        <v>1.4999999999999999E-2</v>
      </c>
      <c r="P234" s="24" cm="1">
        <f t="array" ref="P234">Common_InputFunctions.Utility_DisplayArrayInTable(Common_SourceData.Common_SourceData_MCFTemperatureZone_Data(),Table_SourceData_Common_MCFTemperatureZone[[#Headers],[Temperature zone]],0)</f>
        <v>0</v>
      </c>
      <c r="Q234" s="24" cm="1">
        <f t="array" ref="Q234">Common_InputFunctions.Utility_DisplayArrayInTable(Common_SourceData.Common_SourceData_MCFTemperatureZone_Data(),Table_SourceData_Common_MCFTemperatureZone[[#Headers],[Temperature zone]],0)</f>
        <v>0</v>
      </c>
      <c r="R234" s="24" cm="1">
        <f t="array" ref="R234">Common_InputFunctions.Utility_DisplayArrayInTable(Common_SourceData.Common_SourceData_MCFTemperatureZone_Data(),Table_SourceData_Common_MCFTemperatureZone[[#Headers],[Temperature zone]],0)</f>
        <v>4.7000000000000002E-3</v>
      </c>
      <c r="S234" s="2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4" cm="1">
        <f t="array" ref="E235">Common_InputFunctions.Utility_DisplayArrayInTable(Common_SourceData.Common_SourceData_MCFTemperatureZone_Data(),Table_SourceData_Common_MCFTemperatureZone[[#Headers],[Temperature zone]],0)</f>
        <v>13</v>
      </c>
      <c r="F235" s="24" cm="1">
        <f t="array" ref="F235">Common_InputFunctions.Utility_DisplayArrayInTable(Common_SourceData.Common_SourceData_MCFTemperatureZone_Data(),Table_SourceData_Common_MCFTemperatureZone[[#Headers],[Temperature zone]],0)</f>
        <v>0.71</v>
      </c>
      <c r="G235" s="24" cm="1">
        <f t="array" ref="G235">Common_InputFunctions.Utility_DisplayArrayInTable(Common_SourceData.Common_SourceData_MCFTemperatureZone_Data(),Table_SourceData_Common_MCFTemperatureZone[[#Headers],[Temperature zone]],0)</f>
        <v>0.1</v>
      </c>
      <c r="H235" s="24" cm="1">
        <f t="array" ref="H235">Common_InputFunctions.Utility_DisplayArrayInTable(Common_SourceData.Common_SourceData_MCFTemperatureZone_Data(),Table_SourceData_Common_MCFTemperatureZone[[#Headers],[Temperature zone]],0)</f>
        <v>0.14000000000000001</v>
      </c>
      <c r="I235" s="24" cm="1">
        <f t="array" ref="I235">Common_InputFunctions.Utility_DisplayArrayInTable(Common_SourceData.Common_SourceData_MCFTemperatureZone_Data(),Table_SourceData_Common_MCFTemperatureZone[[#Headers],[Temperature zone]],0)</f>
        <v>1E-3</v>
      </c>
      <c r="J235" s="24" cm="1">
        <f t="array" ref="J235">Common_InputFunctions.Utility_DisplayArrayInTable(Common_SourceData.Common_SourceData_MCFTemperatureZone_Data(),Table_SourceData_Common_MCFTemperatureZone[[#Headers],[Temperature zone]],0)</f>
        <v>5.0000000000000001E-3</v>
      </c>
      <c r="K235" s="24" cm="1">
        <f t="array" ref="K235">Common_InputFunctions.Utility_DisplayArrayInTable(Common_SourceData.Common_SourceData_MCFTemperatureZone_Data(),Table_SourceData_Common_MCFTemperatureZone[[#Headers],[Temperature zone]],0)</f>
        <v>0.02</v>
      </c>
      <c r="L235" s="24" cm="1">
        <f t="array" ref="L235">Common_InputFunctions.Utility_DisplayArrayInTable(Common_SourceData.Common_SourceData_MCFTemperatureZone_Data(),Table_SourceData_Common_MCFTemperatureZone[[#Headers],[Temperature zone]],0)</f>
        <v>0.03</v>
      </c>
      <c r="M235" s="24" cm="1">
        <f t="array" ref="M235">Common_InputFunctions.Utility_DisplayArrayInTable(Common_SourceData.Common_SourceData_MCFTemperatureZone_Data(),Table_SourceData_Common_MCFTemperatureZone[[#Headers],[Temperature zone]],0)</f>
        <v>0.04</v>
      </c>
      <c r="N235" s="24" cm="1">
        <f t="array" ref="N235">Common_InputFunctions.Utility_DisplayArrayInTable(Common_SourceData.Common_SourceData_MCFTemperatureZone_Data(),Table_SourceData_Common_MCFTemperatureZone[[#Headers],[Temperature zone]],0)</f>
        <v>1.4999999999999999E-2</v>
      </c>
      <c r="O235" s="24" cm="1">
        <f t="array" ref="O235">Common_InputFunctions.Utility_DisplayArrayInTable(Common_SourceData.Common_SourceData_MCFTemperatureZone_Data(),Table_SourceData_Common_MCFTemperatureZone[[#Headers],[Temperature zone]],0)</f>
        <v>1.4999999999999999E-2</v>
      </c>
      <c r="P235" s="24" cm="1">
        <f t="array" ref="P235">Common_InputFunctions.Utility_DisplayArrayInTable(Common_SourceData.Common_SourceData_MCFTemperatureZone_Data(),Table_SourceData_Common_MCFTemperatureZone[[#Headers],[Temperature zone]],0)</f>
        <v>0</v>
      </c>
      <c r="Q235" s="24" cm="1">
        <f t="array" ref="Q235">Common_InputFunctions.Utility_DisplayArrayInTable(Common_SourceData.Common_SourceData_MCFTemperatureZone_Data(),Table_SourceData_Common_MCFTemperatureZone[[#Headers],[Temperature zone]],0)</f>
        <v>0</v>
      </c>
      <c r="R235" s="24" cm="1">
        <f t="array" ref="R235">Common_InputFunctions.Utility_DisplayArrayInTable(Common_SourceData.Common_SourceData_MCFTemperatureZone_Data(),Table_SourceData_Common_MCFTemperatureZone[[#Headers],[Temperature zone]],0)</f>
        <v>4.7000000000000002E-3</v>
      </c>
      <c r="S235" s="2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4" cm="1">
        <f t="array" ref="E236">Common_InputFunctions.Utility_DisplayArrayInTable(Common_SourceData.Common_SourceData_MCFTemperatureZone_Data(),Table_SourceData_Common_MCFTemperatureZone[[#Headers],[Temperature zone]],0)</f>
        <v>14</v>
      </c>
      <c r="F236" s="24" cm="1">
        <f t="array" ref="F236">Common_InputFunctions.Utility_DisplayArrayInTable(Common_SourceData.Common_SourceData_MCFTemperatureZone_Data(),Table_SourceData_Common_MCFTemperatureZone[[#Headers],[Temperature zone]],0)</f>
        <v>0.73</v>
      </c>
      <c r="G236" s="24" cm="1">
        <f t="array" ref="G236">Common_InputFunctions.Utility_DisplayArrayInTable(Common_SourceData.Common_SourceData_MCFTemperatureZone_Data(),Table_SourceData_Common_MCFTemperatureZone[[#Headers],[Temperature zone]],0)</f>
        <v>0.1</v>
      </c>
      <c r="H236" s="24" cm="1">
        <f t="array" ref="H236">Common_InputFunctions.Utility_DisplayArrayInTable(Common_SourceData.Common_SourceData_MCFTemperatureZone_Data(),Table_SourceData_Common_MCFTemperatureZone[[#Headers],[Temperature zone]],0)</f>
        <v>0.15</v>
      </c>
      <c r="I236" s="24" cm="1">
        <f t="array" ref="I236">Common_InputFunctions.Utility_DisplayArrayInTable(Common_SourceData.Common_SourceData_MCFTemperatureZone_Data(),Table_SourceData_Common_MCFTemperatureZone[[#Headers],[Temperature zone]],0)</f>
        <v>1E-3</v>
      </c>
      <c r="J236" s="24" cm="1">
        <f t="array" ref="J236">Common_InputFunctions.Utility_DisplayArrayInTable(Common_SourceData.Common_SourceData_MCFTemperatureZone_Data(),Table_SourceData_Common_MCFTemperatureZone[[#Headers],[Temperature zone]],0)</f>
        <v>5.0000000000000001E-3</v>
      </c>
      <c r="K236" s="24" cm="1">
        <f t="array" ref="K236">Common_InputFunctions.Utility_DisplayArrayInTable(Common_SourceData.Common_SourceData_MCFTemperatureZone_Data(),Table_SourceData_Common_MCFTemperatureZone[[#Headers],[Temperature zone]],0)</f>
        <v>0.02</v>
      </c>
      <c r="L236" s="24" cm="1">
        <f t="array" ref="L236">Common_InputFunctions.Utility_DisplayArrayInTable(Common_SourceData.Common_SourceData_MCFTemperatureZone_Data(),Table_SourceData_Common_MCFTemperatureZone[[#Headers],[Temperature zone]],0)</f>
        <v>0.03</v>
      </c>
      <c r="M236" s="24" cm="1">
        <f t="array" ref="M236">Common_InputFunctions.Utility_DisplayArrayInTable(Common_SourceData.Common_SourceData_MCFTemperatureZone_Data(),Table_SourceData_Common_MCFTemperatureZone[[#Headers],[Temperature zone]],0)</f>
        <v>0.04</v>
      </c>
      <c r="N236" s="24" cm="1">
        <f t="array" ref="N236">Common_InputFunctions.Utility_DisplayArrayInTable(Common_SourceData.Common_SourceData_MCFTemperatureZone_Data(),Table_SourceData_Common_MCFTemperatureZone[[#Headers],[Temperature zone]],0)</f>
        <v>1.4999999999999999E-2</v>
      </c>
      <c r="O236" s="24" cm="1">
        <f t="array" ref="O236">Common_InputFunctions.Utility_DisplayArrayInTable(Common_SourceData.Common_SourceData_MCFTemperatureZone_Data(),Table_SourceData_Common_MCFTemperatureZone[[#Headers],[Temperature zone]],0)</f>
        <v>1.4999999999999999E-2</v>
      </c>
      <c r="P236" s="24" cm="1">
        <f t="array" ref="P236">Common_InputFunctions.Utility_DisplayArrayInTable(Common_SourceData.Common_SourceData_MCFTemperatureZone_Data(),Table_SourceData_Common_MCFTemperatureZone[[#Headers],[Temperature zone]],0)</f>
        <v>0</v>
      </c>
      <c r="Q236" s="24" cm="1">
        <f t="array" ref="Q236">Common_InputFunctions.Utility_DisplayArrayInTable(Common_SourceData.Common_SourceData_MCFTemperatureZone_Data(),Table_SourceData_Common_MCFTemperatureZone[[#Headers],[Temperature zone]],0)</f>
        <v>0</v>
      </c>
      <c r="R236" s="24" cm="1">
        <f t="array" ref="R236">Common_InputFunctions.Utility_DisplayArrayInTable(Common_SourceData.Common_SourceData_MCFTemperatureZone_Data(),Table_SourceData_Common_MCFTemperatureZone[[#Headers],[Temperature zone]],0)</f>
        <v>4.7000000000000002E-3</v>
      </c>
      <c r="S236" s="2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4" cm="1">
        <f t="array" ref="E237">Common_InputFunctions.Utility_DisplayArrayInTable(Common_SourceData.Common_SourceData_MCFTemperatureZone_Data(),Table_SourceData_Common_MCFTemperatureZone[[#Headers],[Temperature zone]],0)</f>
        <v>15</v>
      </c>
      <c r="F237" s="24" cm="1">
        <f t="array" ref="F237">Common_InputFunctions.Utility_DisplayArrayInTable(Common_SourceData.Common_SourceData_MCFTemperatureZone_Data(),Table_SourceData_Common_MCFTemperatureZone[[#Headers],[Temperature zone]],0)</f>
        <v>0.74</v>
      </c>
      <c r="G237" s="24" cm="1">
        <f t="array" ref="G237">Common_InputFunctions.Utility_DisplayArrayInTable(Common_SourceData.Common_SourceData_MCFTemperatureZone_Data(),Table_SourceData_Common_MCFTemperatureZone[[#Headers],[Temperature zone]],0)</f>
        <v>0.1</v>
      </c>
      <c r="H237" s="24" cm="1">
        <f t="array" ref="H237">Common_InputFunctions.Utility_DisplayArrayInTable(Common_SourceData.Common_SourceData_MCFTemperatureZone_Data(),Table_SourceData_Common_MCFTemperatureZone[[#Headers],[Temperature zone]],0)</f>
        <v>0.17</v>
      </c>
      <c r="I237" s="24" cm="1">
        <f t="array" ref="I237">Common_InputFunctions.Utility_DisplayArrayInTable(Common_SourceData.Common_SourceData_MCFTemperatureZone_Data(),Table_SourceData_Common_MCFTemperatureZone[[#Headers],[Temperature zone]],0)</f>
        <v>5.0000000000000001E-3</v>
      </c>
      <c r="J237" s="24" cm="1">
        <f t="array" ref="J237">Common_InputFunctions.Utility_DisplayArrayInTable(Common_SourceData.Common_SourceData_MCFTemperatureZone_Data(),Table_SourceData_Common_MCFTemperatureZone[[#Headers],[Temperature zone]],0)</f>
        <v>0.01</v>
      </c>
      <c r="K237" s="24" cm="1">
        <f t="array" ref="K237">Common_InputFunctions.Utility_DisplayArrayInTable(Common_SourceData.Common_SourceData_MCFTemperatureZone_Data(),Table_SourceData_Common_MCFTemperatureZone[[#Headers],[Temperature zone]],0)</f>
        <v>0.02</v>
      </c>
      <c r="L237" s="24" cm="1">
        <f t="array" ref="L237">Common_InputFunctions.Utility_DisplayArrayInTable(Common_SourceData.Common_SourceData_MCFTemperatureZone_Data(),Table_SourceData_Common_MCFTemperatureZone[[#Headers],[Temperature zone]],0)</f>
        <v>0.03</v>
      </c>
      <c r="M237" s="24" cm="1">
        <f t="array" ref="M237">Common_InputFunctions.Utility_DisplayArrayInTable(Common_SourceData.Common_SourceData_MCFTemperatureZone_Data(),Table_SourceData_Common_MCFTemperatureZone[[#Headers],[Temperature zone]],0)</f>
        <v>0.04</v>
      </c>
      <c r="N237" s="24" cm="1">
        <f t="array" ref="N237">Common_InputFunctions.Utility_DisplayArrayInTable(Common_SourceData.Common_SourceData_MCFTemperatureZone_Data(),Table_SourceData_Common_MCFTemperatureZone[[#Headers],[Temperature zone]],0)</f>
        <v>1.4999999999999999E-2</v>
      </c>
      <c r="O237" s="24" cm="1">
        <f t="array" ref="O237">Common_InputFunctions.Utility_DisplayArrayInTable(Common_SourceData.Common_SourceData_MCFTemperatureZone_Data(),Table_SourceData_Common_MCFTemperatureZone[[#Headers],[Temperature zone]],0)</f>
        <v>1.4999999999999999E-2</v>
      </c>
      <c r="P237" s="24" cm="1">
        <f t="array" ref="P237">Common_InputFunctions.Utility_DisplayArrayInTable(Common_SourceData.Common_SourceData_MCFTemperatureZone_Data(),Table_SourceData_Common_MCFTemperatureZone[[#Headers],[Temperature zone]],0)</f>
        <v>0</v>
      </c>
      <c r="Q237" s="24" cm="1">
        <f t="array" ref="Q237">Common_InputFunctions.Utility_DisplayArrayInTable(Common_SourceData.Common_SourceData_MCFTemperatureZone_Data(),Table_SourceData_Common_MCFTemperatureZone[[#Headers],[Temperature zone]],0)</f>
        <v>0</v>
      </c>
      <c r="R237" s="24" cm="1">
        <f t="array" ref="R237">Common_InputFunctions.Utility_DisplayArrayInTable(Common_SourceData.Common_SourceData_MCFTemperatureZone_Data(),Table_SourceData_Common_MCFTemperatureZone[[#Headers],[Temperature zone]],0)</f>
        <v>4.7000000000000002E-3</v>
      </c>
      <c r="S237" s="2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4" cm="1">
        <f t="array" ref="E238">Common_InputFunctions.Utility_DisplayArrayInTable(Common_SourceData.Common_SourceData_MCFTemperatureZone_Data(),Table_SourceData_Common_MCFTemperatureZone[[#Headers],[Temperature zone]],0)</f>
        <v>16</v>
      </c>
      <c r="F238" s="24" cm="1">
        <f t="array" ref="F238">Common_InputFunctions.Utility_DisplayArrayInTable(Common_SourceData.Common_SourceData_MCFTemperatureZone_Data(),Table_SourceData_Common_MCFTemperatureZone[[#Headers],[Temperature zone]],0)</f>
        <v>0.75</v>
      </c>
      <c r="G238" s="24" cm="1">
        <f t="array" ref="G238">Common_InputFunctions.Utility_DisplayArrayInTable(Common_SourceData.Common_SourceData_MCFTemperatureZone_Data(),Table_SourceData_Common_MCFTemperatureZone[[#Headers],[Temperature zone]],0)</f>
        <v>0.1</v>
      </c>
      <c r="H238" s="24" cm="1">
        <f t="array" ref="H238">Common_InputFunctions.Utility_DisplayArrayInTable(Common_SourceData.Common_SourceData_MCFTemperatureZone_Data(),Table_SourceData_Common_MCFTemperatureZone[[#Headers],[Temperature zone]],0)</f>
        <v>0.18</v>
      </c>
      <c r="I238" s="24" cm="1">
        <f t="array" ref="I238">Common_InputFunctions.Utility_DisplayArrayInTable(Common_SourceData.Common_SourceData_MCFTemperatureZone_Data(),Table_SourceData_Common_MCFTemperatureZone[[#Headers],[Temperature zone]],0)</f>
        <v>5.0000000000000001E-3</v>
      </c>
      <c r="J238" s="24" cm="1">
        <f t="array" ref="J238">Common_InputFunctions.Utility_DisplayArrayInTable(Common_SourceData.Common_SourceData_MCFTemperatureZone_Data(),Table_SourceData_Common_MCFTemperatureZone[[#Headers],[Temperature zone]],0)</f>
        <v>0.01</v>
      </c>
      <c r="K238" s="24" cm="1">
        <f t="array" ref="K238">Common_InputFunctions.Utility_DisplayArrayInTable(Common_SourceData.Common_SourceData_MCFTemperatureZone_Data(),Table_SourceData_Common_MCFTemperatureZone[[#Headers],[Temperature zone]],0)</f>
        <v>0.02</v>
      </c>
      <c r="L238" s="24" cm="1">
        <f t="array" ref="L238">Common_InputFunctions.Utility_DisplayArrayInTable(Common_SourceData.Common_SourceData_MCFTemperatureZone_Data(),Table_SourceData_Common_MCFTemperatureZone[[#Headers],[Temperature zone]],0)</f>
        <v>0.03</v>
      </c>
      <c r="M238" s="24" cm="1">
        <f t="array" ref="M238">Common_InputFunctions.Utility_DisplayArrayInTable(Common_SourceData.Common_SourceData_MCFTemperatureZone_Data(),Table_SourceData_Common_MCFTemperatureZone[[#Headers],[Temperature zone]],0)</f>
        <v>0.04</v>
      </c>
      <c r="N238" s="24" cm="1">
        <f t="array" ref="N238">Common_InputFunctions.Utility_DisplayArrayInTable(Common_SourceData.Common_SourceData_MCFTemperatureZone_Data(),Table_SourceData_Common_MCFTemperatureZone[[#Headers],[Temperature zone]],0)</f>
        <v>1.4999999999999999E-2</v>
      </c>
      <c r="O238" s="24" cm="1">
        <f t="array" ref="O238">Common_InputFunctions.Utility_DisplayArrayInTable(Common_SourceData.Common_SourceData_MCFTemperatureZone_Data(),Table_SourceData_Common_MCFTemperatureZone[[#Headers],[Temperature zone]],0)</f>
        <v>1.4999999999999999E-2</v>
      </c>
      <c r="P238" s="24" cm="1">
        <f t="array" ref="P238">Common_InputFunctions.Utility_DisplayArrayInTable(Common_SourceData.Common_SourceData_MCFTemperatureZone_Data(),Table_SourceData_Common_MCFTemperatureZone[[#Headers],[Temperature zone]],0)</f>
        <v>0</v>
      </c>
      <c r="Q238" s="24" cm="1">
        <f t="array" ref="Q238">Common_InputFunctions.Utility_DisplayArrayInTable(Common_SourceData.Common_SourceData_MCFTemperatureZone_Data(),Table_SourceData_Common_MCFTemperatureZone[[#Headers],[Temperature zone]],0)</f>
        <v>0</v>
      </c>
      <c r="R238" s="24" cm="1">
        <f t="array" ref="R238">Common_InputFunctions.Utility_DisplayArrayInTable(Common_SourceData.Common_SourceData_MCFTemperatureZone_Data(),Table_SourceData_Common_MCFTemperatureZone[[#Headers],[Temperature zone]],0)</f>
        <v>4.7000000000000002E-3</v>
      </c>
      <c r="S238" s="2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4" cm="1">
        <f t="array" ref="E239">Common_InputFunctions.Utility_DisplayArrayInTable(Common_SourceData.Common_SourceData_MCFTemperatureZone_Data(),Table_SourceData_Common_MCFTemperatureZone[[#Headers],[Temperature zone]],0)</f>
        <v>17</v>
      </c>
      <c r="F239" s="24" cm="1">
        <f t="array" ref="F239">Common_InputFunctions.Utility_DisplayArrayInTable(Common_SourceData.Common_SourceData_MCFTemperatureZone_Data(),Table_SourceData_Common_MCFTemperatureZone[[#Headers],[Temperature zone]],0)</f>
        <v>0.76</v>
      </c>
      <c r="G239" s="24" cm="1">
        <f t="array" ref="G239">Common_InputFunctions.Utility_DisplayArrayInTable(Common_SourceData.Common_SourceData_MCFTemperatureZone_Data(),Table_SourceData_Common_MCFTemperatureZone[[#Headers],[Temperature zone]],0)</f>
        <v>0.1</v>
      </c>
      <c r="H239" s="24" cm="1">
        <f t="array" ref="H239">Common_InputFunctions.Utility_DisplayArrayInTable(Common_SourceData.Common_SourceData_MCFTemperatureZone_Data(),Table_SourceData_Common_MCFTemperatureZone[[#Headers],[Temperature zone]],0)</f>
        <v>0.2</v>
      </c>
      <c r="I239" s="24" cm="1">
        <f t="array" ref="I239">Common_InputFunctions.Utility_DisplayArrayInTable(Common_SourceData.Common_SourceData_MCFTemperatureZone_Data(),Table_SourceData_Common_MCFTemperatureZone[[#Headers],[Temperature zone]],0)</f>
        <v>5.0000000000000001E-3</v>
      </c>
      <c r="J239" s="24" cm="1">
        <f t="array" ref="J239">Common_InputFunctions.Utility_DisplayArrayInTable(Common_SourceData.Common_SourceData_MCFTemperatureZone_Data(),Table_SourceData_Common_MCFTemperatureZone[[#Headers],[Temperature zone]],0)</f>
        <v>0.01</v>
      </c>
      <c r="K239" s="24" cm="1">
        <f t="array" ref="K239">Common_InputFunctions.Utility_DisplayArrayInTable(Common_SourceData.Common_SourceData_MCFTemperatureZone_Data(),Table_SourceData_Common_MCFTemperatureZone[[#Headers],[Temperature zone]],0)</f>
        <v>0.02</v>
      </c>
      <c r="L239" s="24" cm="1">
        <f t="array" ref="L239">Common_InputFunctions.Utility_DisplayArrayInTable(Common_SourceData.Common_SourceData_MCFTemperatureZone_Data(),Table_SourceData_Common_MCFTemperatureZone[[#Headers],[Temperature zone]],0)</f>
        <v>0.03</v>
      </c>
      <c r="M239" s="24" cm="1">
        <f t="array" ref="M239">Common_InputFunctions.Utility_DisplayArrayInTable(Common_SourceData.Common_SourceData_MCFTemperatureZone_Data(),Table_SourceData_Common_MCFTemperatureZone[[#Headers],[Temperature zone]],0)</f>
        <v>0.04</v>
      </c>
      <c r="N239" s="24" cm="1">
        <f t="array" ref="N239">Common_InputFunctions.Utility_DisplayArrayInTable(Common_SourceData.Common_SourceData_MCFTemperatureZone_Data(),Table_SourceData_Common_MCFTemperatureZone[[#Headers],[Temperature zone]],0)</f>
        <v>1.4999999999999999E-2</v>
      </c>
      <c r="O239" s="24" cm="1">
        <f t="array" ref="O239">Common_InputFunctions.Utility_DisplayArrayInTable(Common_SourceData.Common_SourceData_MCFTemperatureZone_Data(),Table_SourceData_Common_MCFTemperatureZone[[#Headers],[Temperature zone]],0)</f>
        <v>1.4999999999999999E-2</v>
      </c>
      <c r="P239" s="24" cm="1">
        <f t="array" ref="P239">Common_InputFunctions.Utility_DisplayArrayInTable(Common_SourceData.Common_SourceData_MCFTemperatureZone_Data(),Table_SourceData_Common_MCFTemperatureZone[[#Headers],[Temperature zone]],0)</f>
        <v>0</v>
      </c>
      <c r="Q239" s="24" cm="1">
        <f t="array" ref="Q239">Common_InputFunctions.Utility_DisplayArrayInTable(Common_SourceData.Common_SourceData_MCFTemperatureZone_Data(),Table_SourceData_Common_MCFTemperatureZone[[#Headers],[Temperature zone]],0)</f>
        <v>0</v>
      </c>
      <c r="R239" s="24" cm="1">
        <f t="array" ref="R239">Common_InputFunctions.Utility_DisplayArrayInTable(Common_SourceData.Common_SourceData_MCFTemperatureZone_Data(),Table_SourceData_Common_MCFTemperatureZone[[#Headers],[Temperature zone]],0)</f>
        <v>4.7000000000000002E-3</v>
      </c>
      <c r="S239" s="2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4" cm="1">
        <f t="array" ref="E240">Common_InputFunctions.Utility_DisplayArrayInTable(Common_SourceData.Common_SourceData_MCFTemperatureZone_Data(),Table_SourceData_Common_MCFTemperatureZone[[#Headers],[Temperature zone]],0)</f>
        <v>18</v>
      </c>
      <c r="F240" s="24" cm="1">
        <f t="array" ref="F240">Common_InputFunctions.Utility_DisplayArrayInTable(Common_SourceData.Common_SourceData_MCFTemperatureZone_Data(),Table_SourceData_Common_MCFTemperatureZone[[#Headers],[Temperature zone]],0)</f>
        <v>0.77</v>
      </c>
      <c r="G240" s="24" cm="1">
        <f t="array" ref="G240">Common_InputFunctions.Utility_DisplayArrayInTable(Common_SourceData.Common_SourceData_MCFTemperatureZone_Data(),Table_SourceData_Common_MCFTemperatureZone[[#Headers],[Temperature zone]],0)</f>
        <v>0.1</v>
      </c>
      <c r="H240" s="24" cm="1">
        <f t="array" ref="H240">Common_InputFunctions.Utility_DisplayArrayInTable(Common_SourceData.Common_SourceData_MCFTemperatureZone_Data(),Table_SourceData_Common_MCFTemperatureZone[[#Headers],[Temperature zone]],0)</f>
        <v>0.22</v>
      </c>
      <c r="I240" s="24" cm="1">
        <f t="array" ref="I240">Common_InputFunctions.Utility_DisplayArrayInTable(Common_SourceData.Common_SourceData_MCFTemperatureZone_Data(),Table_SourceData_Common_MCFTemperatureZone[[#Headers],[Temperature zone]],0)</f>
        <v>5.0000000000000001E-3</v>
      </c>
      <c r="J240" s="24" cm="1">
        <f t="array" ref="J240">Common_InputFunctions.Utility_DisplayArrayInTable(Common_SourceData.Common_SourceData_MCFTemperatureZone_Data(),Table_SourceData_Common_MCFTemperatureZone[[#Headers],[Temperature zone]],0)</f>
        <v>0.01</v>
      </c>
      <c r="K240" s="24" cm="1">
        <f t="array" ref="K240">Common_InputFunctions.Utility_DisplayArrayInTable(Common_SourceData.Common_SourceData_MCFTemperatureZone_Data(),Table_SourceData_Common_MCFTemperatureZone[[#Headers],[Temperature zone]],0)</f>
        <v>0.02</v>
      </c>
      <c r="L240" s="24" cm="1">
        <f t="array" ref="L240">Common_InputFunctions.Utility_DisplayArrayInTable(Common_SourceData.Common_SourceData_MCFTemperatureZone_Data(),Table_SourceData_Common_MCFTemperatureZone[[#Headers],[Temperature zone]],0)</f>
        <v>0.03</v>
      </c>
      <c r="M240" s="24" cm="1">
        <f t="array" ref="M240">Common_InputFunctions.Utility_DisplayArrayInTable(Common_SourceData.Common_SourceData_MCFTemperatureZone_Data(),Table_SourceData_Common_MCFTemperatureZone[[#Headers],[Temperature zone]],0)</f>
        <v>0.04</v>
      </c>
      <c r="N240" s="24" cm="1">
        <f t="array" ref="N240">Common_InputFunctions.Utility_DisplayArrayInTable(Common_SourceData.Common_SourceData_MCFTemperatureZone_Data(),Table_SourceData_Common_MCFTemperatureZone[[#Headers],[Temperature zone]],0)</f>
        <v>1.4999999999999999E-2</v>
      </c>
      <c r="O240" s="24" cm="1">
        <f t="array" ref="O240">Common_InputFunctions.Utility_DisplayArrayInTable(Common_SourceData.Common_SourceData_MCFTemperatureZone_Data(),Table_SourceData_Common_MCFTemperatureZone[[#Headers],[Temperature zone]],0)</f>
        <v>1.4999999999999999E-2</v>
      </c>
      <c r="P240" s="24" cm="1">
        <f t="array" ref="P240">Common_InputFunctions.Utility_DisplayArrayInTable(Common_SourceData.Common_SourceData_MCFTemperatureZone_Data(),Table_SourceData_Common_MCFTemperatureZone[[#Headers],[Temperature zone]],0)</f>
        <v>0</v>
      </c>
      <c r="Q240" s="24" cm="1">
        <f t="array" ref="Q240">Common_InputFunctions.Utility_DisplayArrayInTable(Common_SourceData.Common_SourceData_MCFTemperatureZone_Data(),Table_SourceData_Common_MCFTemperatureZone[[#Headers],[Temperature zone]],0)</f>
        <v>0</v>
      </c>
      <c r="R240" s="24" cm="1">
        <f t="array" ref="R240">Common_InputFunctions.Utility_DisplayArrayInTable(Common_SourceData.Common_SourceData_MCFTemperatureZone_Data(),Table_SourceData_Common_MCFTemperatureZone[[#Headers],[Temperature zone]],0)</f>
        <v>4.7000000000000002E-3</v>
      </c>
      <c r="S240" s="2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4" cm="1">
        <f t="array" ref="E241">Common_InputFunctions.Utility_DisplayArrayInTable(Common_SourceData.Common_SourceData_MCFTemperatureZone_Data(),Table_SourceData_Common_MCFTemperatureZone[[#Headers],[Temperature zone]],0)</f>
        <v>19</v>
      </c>
      <c r="F241" s="24" cm="1">
        <f t="array" ref="F241">Common_InputFunctions.Utility_DisplayArrayInTable(Common_SourceData.Common_SourceData_MCFTemperatureZone_Data(),Table_SourceData_Common_MCFTemperatureZone[[#Headers],[Temperature zone]],0)</f>
        <v>0.77</v>
      </c>
      <c r="G241" s="24" cm="1">
        <f t="array" ref="G241">Common_InputFunctions.Utility_DisplayArrayInTable(Common_SourceData.Common_SourceData_MCFTemperatureZone_Data(),Table_SourceData_Common_MCFTemperatureZone[[#Headers],[Temperature zone]],0)</f>
        <v>0.1</v>
      </c>
      <c r="H241" s="24" cm="1">
        <f t="array" ref="H241">Common_InputFunctions.Utility_DisplayArrayInTable(Common_SourceData.Common_SourceData_MCFTemperatureZone_Data(),Table_SourceData_Common_MCFTemperatureZone[[#Headers],[Temperature zone]],0)</f>
        <v>0.24</v>
      </c>
      <c r="I241" s="24" cm="1">
        <f t="array" ref="I241">Common_InputFunctions.Utility_DisplayArrayInTable(Common_SourceData.Common_SourceData_MCFTemperatureZone_Data(),Table_SourceData_Common_MCFTemperatureZone[[#Headers],[Temperature zone]],0)</f>
        <v>5.0000000000000001E-3</v>
      </c>
      <c r="J241" s="24" cm="1">
        <f t="array" ref="J241">Common_InputFunctions.Utility_DisplayArrayInTable(Common_SourceData.Common_SourceData_MCFTemperatureZone_Data(),Table_SourceData_Common_MCFTemperatureZone[[#Headers],[Temperature zone]],0)</f>
        <v>0.01</v>
      </c>
      <c r="K241" s="24" cm="1">
        <f t="array" ref="K241">Common_InputFunctions.Utility_DisplayArrayInTable(Common_SourceData.Common_SourceData_MCFTemperatureZone_Data(),Table_SourceData_Common_MCFTemperatureZone[[#Headers],[Temperature zone]],0)</f>
        <v>0.02</v>
      </c>
      <c r="L241" s="24" cm="1">
        <f t="array" ref="L241">Common_InputFunctions.Utility_DisplayArrayInTable(Common_SourceData.Common_SourceData_MCFTemperatureZone_Data(),Table_SourceData_Common_MCFTemperatureZone[[#Headers],[Temperature zone]],0)</f>
        <v>0.03</v>
      </c>
      <c r="M241" s="24" cm="1">
        <f t="array" ref="M241">Common_InputFunctions.Utility_DisplayArrayInTable(Common_SourceData.Common_SourceData_MCFTemperatureZone_Data(),Table_SourceData_Common_MCFTemperatureZone[[#Headers],[Temperature zone]],0)</f>
        <v>0.04</v>
      </c>
      <c r="N241" s="24" cm="1">
        <f t="array" ref="N241">Common_InputFunctions.Utility_DisplayArrayInTable(Common_SourceData.Common_SourceData_MCFTemperatureZone_Data(),Table_SourceData_Common_MCFTemperatureZone[[#Headers],[Temperature zone]],0)</f>
        <v>1.4999999999999999E-2</v>
      </c>
      <c r="O241" s="24" cm="1">
        <f t="array" ref="O241">Common_InputFunctions.Utility_DisplayArrayInTable(Common_SourceData.Common_SourceData_MCFTemperatureZone_Data(),Table_SourceData_Common_MCFTemperatureZone[[#Headers],[Temperature zone]],0)</f>
        <v>1.4999999999999999E-2</v>
      </c>
      <c r="P241" s="24" cm="1">
        <f t="array" ref="P241">Common_InputFunctions.Utility_DisplayArrayInTable(Common_SourceData.Common_SourceData_MCFTemperatureZone_Data(),Table_SourceData_Common_MCFTemperatureZone[[#Headers],[Temperature zone]],0)</f>
        <v>0</v>
      </c>
      <c r="Q241" s="24" cm="1">
        <f t="array" ref="Q241">Common_InputFunctions.Utility_DisplayArrayInTable(Common_SourceData.Common_SourceData_MCFTemperatureZone_Data(),Table_SourceData_Common_MCFTemperatureZone[[#Headers],[Temperature zone]],0)</f>
        <v>0</v>
      </c>
      <c r="R241" s="24" cm="1">
        <f t="array" ref="R241">Common_InputFunctions.Utility_DisplayArrayInTable(Common_SourceData.Common_SourceData_MCFTemperatureZone_Data(),Table_SourceData_Common_MCFTemperatureZone[[#Headers],[Temperature zone]],0)</f>
        <v>4.7000000000000002E-3</v>
      </c>
      <c r="S241" s="2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4" cm="1">
        <f t="array" ref="E242">Common_InputFunctions.Utility_DisplayArrayInTable(Common_SourceData.Common_SourceData_MCFTemperatureZone_Data(),Table_SourceData_Common_MCFTemperatureZone[[#Headers],[Temperature zone]],0)</f>
        <v>20</v>
      </c>
      <c r="F242" s="24" cm="1">
        <f t="array" ref="F242">Common_InputFunctions.Utility_DisplayArrayInTable(Common_SourceData.Common_SourceData_MCFTemperatureZone_Data(),Table_SourceData_Common_MCFTemperatureZone[[#Headers],[Temperature zone]],0)</f>
        <v>0.78</v>
      </c>
      <c r="G242" s="24" cm="1">
        <f t="array" ref="G242">Common_InputFunctions.Utility_DisplayArrayInTable(Common_SourceData.Common_SourceData_MCFTemperatureZone_Data(),Table_SourceData_Common_MCFTemperatureZone[[#Headers],[Temperature zone]],0)</f>
        <v>0.1</v>
      </c>
      <c r="H242" s="24" cm="1">
        <f t="array" ref="H242">Common_InputFunctions.Utility_DisplayArrayInTable(Common_SourceData.Common_SourceData_MCFTemperatureZone_Data(),Table_SourceData_Common_MCFTemperatureZone[[#Headers],[Temperature zone]],0)</f>
        <v>0.26</v>
      </c>
      <c r="I242" s="24" cm="1">
        <f t="array" ref="I242">Common_InputFunctions.Utility_DisplayArrayInTable(Common_SourceData.Common_SourceData_MCFTemperatureZone_Data(),Table_SourceData_Common_MCFTemperatureZone[[#Headers],[Temperature zone]],0)</f>
        <v>5.0000000000000001E-3</v>
      </c>
      <c r="J242" s="24" cm="1">
        <f t="array" ref="J242">Common_InputFunctions.Utility_DisplayArrayInTable(Common_SourceData.Common_SourceData_MCFTemperatureZone_Data(),Table_SourceData_Common_MCFTemperatureZone[[#Headers],[Temperature zone]],0)</f>
        <v>0.01</v>
      </c>
      <c r="K242" s="24" cm="1">
        <f t="array" ref="K242">Common_InputFunctions.Utility_DisplayArrayInTable(Common_SourceData.Common_SourceData_MCFTemperatureZone_Data(),Table_SourceData_Common_MCFTemperatureZone[[#Headers],[Temperature zone]],0)</f>
        <v>0.02</v>
      </c>
      <c r="L242" s="24" cm="1">
        <f t="array" ref="L242">Common_InputFunctions.Utility_DisplayArrayInTable(Common_SourceData.Common_SourceData_MCFTemperatureZone_Data(),Table_SourceData_Common_MCFTemperatureZone[[#Headers],[Temperature zone]],0)</f>
        <v>0.03</v>
      </c>
      <c r="M242" s="24" cm="1">
        <f t="array" ref="M242">Common_InputFunctions.Utility_DisplayArrayInTable(Common_SourceData.Common_SourceData_MCFTemperatureZone_Data(),Table_SourceData_Common_MCFTemperatureZone[[#Headers],[Temperature zone]],0)</f>
        <v>0.04</v>
      </c>
      <c r="N242" s="24" cm="1">
        <f t="array" ref="N242">Common_InputFunctions.Utility_DisplayArrayInTable(Common_SourceData.Common_SourceData_MCFTemperatureZone_Data(),Table_SourceData_Common_MCFTemperatureZone[[#Headers],[Temperature zone]],0)</f>
        <v>1.4999999999999999E-2</v>
      </c>
      <c r="O242" s="24" cm="1">
        <f t="array" ref="O242">Common_InputFunctions.Utility_DisplayArrayInTable(Common_SourceData.Common_SourceData_MCFTemperatureZone_Data(),Table_SourceData_Common_MCFTemperatureZone[[#Headers],[Temperature zone]],0)</f>
        <v>1.4999999999999999E-2</v>
      </c>
      <c r="P242" s="24" cm="1">
        <f t="array" ref="P242">Common_InputFunctions.Utility_DisplayArrayInTable(Common_SourceData.Common_SourceData_MCFTemperatureZone_Data(),Table_SourceData_Common_MCFTemperatureZone[[#Headers],[Temperature zone]],0)</f>
        <v>0</v>
      </c>
      <c r="Q242" s="24" cm="1">
        <f t="array" ref="Q242">Common_InputFunctions.Utility_DisplayArrayInTable(Common_SourceData.Common_SourceData_MCFTemperatureZone_Data(),Table_SourceData_Common_MCFTemperatureZone[[#Headers],[Temperature zone]],0)</f>
        <v>0</v>
      </c>
      <c r="R242" s="24" cm="1">
        <f t="array" ref="R242">Common_InputFunctions.Utility_DisplayArrayInTable(Common_SourceData.Common_SourceData_MCFTemperatureZone_Data(),Table_SourceData_Common_MCFTemperatureZone[[#Headers],[Temperature zone]],0)</f>
        <v>4.7000000000000002E-3</v>
      </c>
      <c r="S242" s="2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4" cm="1">
        <f t="array" ref="E243">Common_InputFunctions.Utility_DisplayArrayInTable(Common_SourceData.Common_SourceData_MCFTemperatureZone_Data(),Table_SourceData_Common_MCFTemperatureZone[[#Headers],[Temperature zone]],0)</f>
        <v>21</v>
      </c>
      <c r="F243" s="24" cm="1">
        <f t="array" ref="F243">Common_InputFunctions.Utility_DisplayArrayInTable(Common_SourceData.Common_SourceData_MCFTemperatureZone_Data(),Table_SourceData_Common_MCFTemperatureZone[[#Headers],[Temperature zone]],0)</f>
        <v>0.78</v>
      </c>
      <c r="G243" s="24" cm="1">
        <f t="array" ref="G243">Common_InputFunctions.Utility_DisplayArrayInTable(Common_SourceData.Common_SourceData_MCFTemperatureZone_Data(),Table_SourceData_Common_MCFTemperatureZone[[#Headers],[Temperature zone]],0)</f>
        <v>0.1</v>
      </c>
      <c r="H243" s="24" cm="1">
        <f t="array" ref="H243">Common_InputFunctions.Utility_DisplayArrayInTable(Common_SourceData.Common_SourceData_MCFTemperatureZone_Data(),Table_SourceData_Common_MCFTemperatureZone[[#Headers],[Temperature zone]],0)</f>
        <v>0.28999999999999998</v>
      </c>
      <c r="I243" s="24" cm="1">
        <f t="array" ref="I243">Common_InputFunctions.Utility_DisplayArrayInTable(Common_SourceData.Common_SourceData_MCFTemperatureZone_Data(),Table_SourceData_Common_MCFTemperatureZone[[#Headers],[Temperature zone]],0)</f>
        <v>5.0000000000000001E-3</v>
      </c>
      <c r="J243" s="24" cm="1">
        <f t="array" ref="J243">Common_InputFunctions.Utility_DisplayArrayInTable(Common_SourceData.Common_SourceData_MCFTemperatureZone_Data(),Table_SourceData_Common_MCFTemperatureZone[[#Headers],[Temperature zone]],0)</f>
        <v>0.01</v>
      </c>
      <c r="K243" s="24" cm="1">
        <f t="array" ref="K243">Common_InputFunctions.Utility_DisplayArrayInTable(Common_SourceData.Common_SourceData_MCFTemperatureZone_Data(),Table_SourceData_Common_MCFTemperatureZone[[#Headers],[Temperature zone]],0)</f>
        <v>0.02</v>
      </c>
      <c r="L243" s="24" cm="1">
        <f t="array" ref="L243">Common_InputFunctions.Utility_DisplayArrayInTable(Common_SourceData.Common_SourceData_MCFTemperatureZone_Data(),Table_SourceData_Common_MCFTemperatureZone[[#Headers],[Temperature zone]],0)</f>
        <v>0.03</v>
      </c>
      <c r="M243" s="24" cm="1">
        <f t="array" ref="M243">Common_InputFunctions.Utility_DisplayArrayInTable(Common_SourceData.Common_SourceData_MCFTemperatureZone_Data(),Table_SourceData_Common_MCFTemperatureZone[[#Headers],[Temperature zone]],0)</f>
        <v>0.04</v>
      </c>
      <c r="N243" s="24" cm="1">
        <f t="array" ref="N243">Common_InputFunctions.Utility_DisplayArrayInTable(Common_SourceData.Common_SourceData_MCFTemperatureZone_Data(),Table_SourceData_Common_MCFTemperatureZone[[#Headers],[Temperature zone]],0)</f>
        <v>1.4999999999999999E-2</v>
      </c>
      <c r="O243" s="24" cm="1">
        <f t="array" ref="O243">Common_InputFunctions.Utility_DisplayArrayInTable(Common_SourceData.Common_SourceData_MCFTemperatureZone_Data(),Table_SourceData_Common_MCFTemperatureZone[[#Headers],[Temperature zone]],0)</f>
        <v>1.4999999999999999E-2</v>
      </c>
      <c r="P243" s="24" cm="1">
        <f t="array" ref="P243">Common_InputFunctions.Utility_DisplayArrayInTable(Common_SourceData.Common_SourceData_MCFTemperatureZone_Data(),Table_SourceData_Common_MCFTemperatureZone[[#Headers],[Temperature zone]],0)</f>
        <v>0</v>
      </c>
      <c r="Q243" s="24" cm="1">
        <f t="array" ref="Q243">Common_InputFunctions.Utility_DisplayArrayInTable(Common_SourceData.Common_SourceData_MCFTemperatureZone_Data(),Table_SourceData_Common_MCFTemperatureZone[[#Headers],[Temperature zone]],0)</f>
        <v>0</v>
      </c>
      <c r="R243" s="24" cm="1">
        <f t="array" ref="R243">Common_InputFunctions.Utility_DisplayArrayInTable(Common_SourceData.Common_SourceData_MCFTemperatureZone_Data(),Table_SourceData_Common_MCFTemperatureZone[[#Headers],[Temperature zone]],0)</f>
        <v>4.7000000000000002E-3</v>
      </c>
      <c r="S243" s="2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4" cm="1">
        <f t="array" ref="E244">Common_InputFunctions.Utility_DisplayArrayInTable(Common_SourceData.Common_SourceData_MCFTemperatureZone_Data(),Table_SourceData_Common_MCFTemperatureZone[[#Headers],[Temperature zone]],0)</f>
        <v>22</v>
      </c>
      <c r="F244" s="24" cm="1">
        <f t="array" ref="F244">Common_InputFunctions.Utility_DisplayArrayInTable(Common_SourceData.Common_SourceData_MCFTemperatureZone_Data(),Table_SourceData_Common_MCFTemperatureZone[[#Headers],[Temperature zone]],0)</f>
        <v>0.78</v>
      </c>
      <c r="G244" s="24" cm="1">
        <f t="array" ref="G244">Common_InputFunctions.Utility_DisplayArrayInTable(Common_SourceData.Common_SourceData_MCFTemperatureZone_Data(),Table_SourceData_Common_MCFTemperatureZone[[#Headers],[Temperature zone]],0)</f>
        <v>0.1</v>
      </c>
      <c r="H244" s="24" cm="1">
        <f t="array" ref="H244">Common_InputFunctions.Utility_DisplayArrayInTable(Common_SourceData.Common_SourceData_MCFTemperatureZone_Data(),Table_SourceData_Common_MCFTemperatureZone[[#Headers],[Temperature zone]],0)</f>
        <v>0.31</v>
      </c>
      <c r="I244" s="24" cm="1">
        <f t="array" ref="I244">Common_InputFunctions.Utility_DisplayArrayInTable(Common_SourceData.Common_SourceData_MCFTemperatureZone_Data(),Table_SourceData_Common_MCFTemperatureZone[[#Headers],[Temperature zone]],0)</f>
        <v>5.0000000000000001E-3</v>
      </c>
      <c r="J244" s="24" cm="1">
        <f t="array" ref="J244">Common_InputFunctions.Utility_DisplayArrayInTable(Common_SourceData.Common_SourceData_MCFTemperatureZone_Data(),Table_SourceData_Common_MCFTemperatureZone[[#Headers],[Temperature zone]],0)</f>
        <v>0.01</v>
      </c>
      <c r="K244" s="24" cm="1">
        <f t="array" ref="K244">Common_InputFunctions.Utility_DisplayArrayInTable(Common_SourceData.Common_SourceData_MCFTemperatureZone_Data(),Table_SourceData_Common_MCFTemperatureZone[[#Headers],[Temperature zone]],0)</f>
        <v>0.02</v>
      </c>
      <c r="L244" s="24" cm="1">
        <f t="array" ref="L244">Common_InputFunctions.Utility_DisplayArrayInTable(Common_SourceData.Common_SourceData_MCFTemperatureZone_Data(),Table_SourceData_Common_MCFTemperatureZone[[#Headers],[Temperature zone]],0)</f>
        <v>0.03</v>
      </c>
      <c r="M244" s="24" cm="1">
        <f t="array" ref="M244">Common_InputFunctions.Utility_DisplayArrayInTable(Common_SourceData.Common_SourceData_MCFTemperatureZone_Data(),Table_SourceData_Common_MCFTemperatureZone[[#Headers],[Temperature zone]],0)</f>
        <v>0.04</v>
      </c>
      <c r="N244" s="24" cm="1">
        <f t="array" ref="N244">Common_InputFunctions.Utility_DisplayArrayInTable(Common_SourceData.Common_SourceData_MCFTemperatureZone_Data(),Table_SourceData_Common_MCFTemperatureZone[[#Headers],[Temperature zone]],0)</f>
        <v>1.4999999999999999E-2</v>
      </c>
      <c r="O244" s="24" cm="1">
        <f t="array" ref="O244">Common_InputFunctions.Utility_DisplayArrayInTable(Common_SourceData.Common_SourceData_MCFTemperatureZone_Data(),Table_SourceData_Common_MCFTemperatureZone[[#Headers],[Temperature zone]],0)</f>
        <v>1.4999999999999999E-2</v>
      </c>
      <c r="P244" s="24" cm="1">
        <f t="array" ref="P244">Common_InputFunctions.Utility_DisplayArrayInTable(Common_SourceData.Common_SourceData_MCFTemperatureZone_Data(),Table_SourceData_Common_MCFTemperatureZone[[#Headers],[Temperature zone]],0)</f>
        <v>0</v>
      </c>
      <c r="Q244" s="24" cm="1">
        <f t="array" ref="Q244">Common_InputFunctions.Utility_DisplayArrayInTable(Common_SourceData.Common_SourceData_MCFTemperatureZone_Data(),Table_SourceData_Common_MCFTemperatureZone[[#Headers],[Temperature zone]],0)</f>
        <v>0</v>
      </c>
      <c r="R244" s="24" cm="1">
        <f t="array" ref="R244">Common_InputFunctions.Utility_DisplayArrayInTable(Common_SourceData.Common_SourceData_MCFTemperatureZone_Data(),Table_SourceData_Common_MCFTemperatureZone[[#Headers],[Temperature zone]],0)</f>
        <v>4.7000000000000002E-3</v>
      </c>
      <c r="S244" s="2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4" cm="1">
        <f t="array" ref="E245">Common_InputFunctions.Utility_DisplayArrayInTable(Common_SourceData.Common_SourceData_MCFTemperatureZone_Data(),Table_SourceData_Common_MCFTemperatureZone[[#Headers],[Temperature zone]],0)</f>
        <v>23</v>
      </c>
      <c r="F245" s="24" cm="1">
        <f t="array" ref="F245">Common_InputFunctions.Utility_DisplayArrayInTable(Common_SourceData.Common_SourceData_MCFTemperatureZone_Data(),Table_SourceData_Common_MCFTemperatureZone[[#Headers],[Temperature zone]],0)</f>
        <v>0.79</v>
      </c>
      <c r="G245" s="24" cm="1">
        <f t="array" ref="G245">Common_InputFunctions.Utility_DisplayArrayInTable(Common_SourceData.Common_SourceData_MCFTemperatureZone_Data(),Table_SourceData_Common_MCFTemperatureZone[[#Headers],[Temperature zone]],0)</f>
        <v>0.1</v>
      </c>
      <c r="H245" s="24" cm="1">
        <f t="array" ref="H245">Common_InputFunctions.Utility_DisplayArrayInTable(Common_SourceData.Common_SourceData_MCFTemperatureZone_Data(),Table_SourceData_Common_MCFTemperatureZone[[#Headers],[Temperature zone]],0)</f>
        <v>0.34</v>
      </c>
      <c r="I245" s="24" cm="1">
        <f t="array" ref="I245">Common_InputFunctions.Utility_DisplayArrayInTable(Common_SourceData.Common_SourceData_MCFTemperatureZone_Data(),Table_SourceData_Common_MCFTemperatureZone[[#Headers],[Temperature zone]],0)</f>
        <v>5.0000000000000001E-3</v>
      </c>
      <c r="J245" s="24" cm="1">
        <f t="array" ref="J245">Common_InputFunctions.Utility_DisplayArrayInTable(Common_SourceData.Common_SourceData_MCFTemperatureZone_Data(),Table_SourceData_Common_MCFTemperatureZone[[#Headers],[Temperature zone]],0)</f>
        <v>0.01</v>
      </c>
      <c r="K245" s="24" cm="1">
        <f t="array" ref="K245">Common_InputFunctions.Utility_DisplayArrayInTable(Common_SourceData.Common_SourceData_MCFTemperatureZone_Data(),Table_SourceData_Common_MCFTemperatureZone[[#Headers],[Temperature zone]],0)</f>
        <v>0.02</v>
      </c>
      <c r="L245" s="24" cm="1">
        <f t="array" ref="L245">Common_InputFunctions.Utility_DisplayArrayInTable(Common_SourceData.Common_SourceData_MCFTemperatureZone_Data(),Table_SourceData_Common_MCFTemperatureZone[[#Headers],[Temperature zone]],0)</f>
        <v>0.03</v>
      </c>
      <c r="M245" s="24" cm="1">
        <f t="array" ref="M245">Common_InputFunctions.Utility_DisplayArrayInTable(Common_SourceData.Common_SourceData_MCFTemperatureZone_Data(),Table_SourceData_Common_MCFTemperatureZone[[#Headers],[Temperature zone]],0)</f>
        <v>0.04</v>
      </c>
      <c r="N245" s="24" cm="1">
        <f t="array" ref="N245">Common_InputFunctions.Utility_DisplayArrayInTable(Common_SourceData.Common_SourceData_MCFTemperatureZone_Data(),Table_SourceData_Common_MCFTemperatureZone[[#Headers],[Temperature zone]],0)</f>
        <v>1.4999999999999999E-2</v>
      </c>
      <c r="O245" s="24" cm="1">
        <f t="array" ref="O245">Common_InputFunctions.Utility_DisplayArrayInTable(Common_SourceData.Common_SourceData_MCFTemperatureZone_Data(),Table_SourceData_Common_MCFTemperatureZone[[#Headers],[Temperature zone]],0)</f>
        <v>1.4999999999999999E-2</v>
      </c>
      <c r="P245" s="24" cm="1">
        <f t="array" ref="P245">Common_InputFunctions.Utility_DisplayArrayInTable(Common_SourceData.Common_SourceData_MCFTemperatureZone_Data(),Table_SourceData_Common_MCFTemperatureZone[[#Headers],[Temperature zone]],0)</f>
        <v>0</v>
      </c>
      <c r="Q245" s="24" cm="1">
        <f t="array" ref="Q245">Common_InputFunctions.Utility_DisplayArrayInTable(Common_SourceData.Common_SourceData_MCFTemperatureZone_Data(),Table_SourceData_Common_MCFTemperatureZone[[#Headers],[Temperature zone]],0)</f>
        <v>0</v>
      </c>
      <c r="R245" s="24" cm="1">
        <f t="array" ref="R245">Common_InputFunctions.Utility_DisplayArrayInTable(Common_SourceData.Common_SourceData_MCFTemperatureZone_Data(),Table_SourceData_Common_MCFTemperatureZone[[#Headers],[Temperature zone]],0)</f>
        <v>4.7000000000000002E-3</v>
      </c>
      <c r="S245" s="2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4" cm="1">
        <f t="array" ref="E246">Common_InputFunctions.Utility_DisplayArrayInTable(Common_SourceData.Common_SourceData_MCFTemperatureZone_Data(),Table_SourceData_Common_MCFTemperatureZone[[#Headers],[Temperature zone]],0)</f>
        <v>24</v>
      </c>
      <c r="F246" s="24" cm="1">
        <f t="array" ref="F246">Common_InputFunctions.Utility_DisplayArrayInTable(Common_SourceData.Common_SourceData_MCFTemperatureZone_Data(),Table_SourceData_Common_MCFTemperatureZone[[#Headers],[Temperature zone]],0)</f>
        <v>0.79</v>
      </c>
      <c r="G246" s="24" cm="1">
        <f t="array" ref="G246">Common_InputFunctions.Utility_DisplayArrayInTable(Common_SourceData.Common_SourceData_MCFTemperatureZone_Data(),Table_SourceData_Common_MCFTemperatureZone[[#Headers],[Temperature zone]],0)</f>
        <v>0.1</v>
      </c>
      <c r="H246" s="24" cm="1">
        <f t="array" ref="H246">Common_InputFunctions.Utility_DisplayArrayInTable(Common_SourceData.Common_SourceData_MCFTemperatureZone_Data(),Table_SourceData_Common_MCFTemperatureZone[[#Headers],[Temperature zone]],0)</f>
        <v>0.37</v>
      </c>
      <c r="I246" s="24" cm="1">
        <f t="array" ref="I246">Common_InputFunctions.Utility_DisplayArrayInTable(Common_SourceData.Common_SourceData_MCFTemperatureZone_Data(),Table_SourceData_Common_MCFTemperatureZone[[#Headers],[Temperature zone]],0)</f>
        <v>5.0000000000000001E-3</v>
      </c>
      <c r="J246" s="24" cm="1">
        <f t="array" ref="J246">Common_InputFunctions.Utility_DisplayArrayInTable(Common_SourceData.Common_SourceData_MCFTemperatureZone_Data(),Table_SourceData_Common_MCFTemperatureZone[[#Headers],[Temperature zone]],0)</f>
        <v>0.01</v>
      </c>
      <c r="K246" s="24" cm="1">
        <f t="array" ref="K246">Common_InputFunctions.Utility_DisplayArrayInTable(Common_SourceData.Common_SourceData_MCFTemperatureZone_Data(),Table_SourceData_Common_MCFTemperatureZone[[#Headers],[Temperature zone]],0)</f>
        <v>0.02</v>
      </c>
      <c r="L246" s="24" cm="1">
        <f t="array" ref="L246">Common_InputFunctions.Utility_DisplayArrayInTable(Common_SourceData.Common_SourceData_MCFTemperatureZone_Data(),Table_SourceData_Common_MCFTemperatureZone[[#Headers],[Temperature zone]],0)</f>
        <v>0.03</v>
      </c>
      <c r="M246" s="24" cm="1">
        <f t="array" ref="M246">Common_InputFunctions.Utility_DisplayArrayInTable(Common_SourceData.Common_SourceData_MCFTemperatureZone_Data(),Table_SourceData_Common_MCFTemperatureZone[[#Headers],[Temperature zone]],0)</f>
        <v>0.04</v>
      </c>
      <c r="N246" s="24" cm="1">
        <f t="array" ref="N246">Common_InputFunctions.Utility_DisplayArrayInTable(Common_SourceData.Common_SourceData_MCFTemperatureZone_Data(),Table_SourceData_Common_MCFTemperatureZone[[#Headers],[Temperature zone]],0)</f>
        <v>1.4999999999999999E-2</v>
      </c>
      <c r="O246" s="24" cm="1">
        <f t="array" ref="O246">Common_InputFunctions.Utility_DisplayArrayInTable(Common_SourceData.Common_SourceData_MCFTemperatureZone_Data(),Table_SourceData_Common_MCFTemperatureZone[[#Headers],[Temperature zone]],0)</f>
        <v>1.4999999999999999E-2</v>
      </c>
      <c r="P246" s="24" cm="1">
        <f t="array" ref="P246">Common_InputFunctions.Utility_DisplayArrayInTable(Common_SourceData.Common_SourceData_MCFTemperatureZone_Data(),Table_SourceData_Common_MCFTemperatureZone[[#Headers],[Temperature zone]],0)</f>
        <v>0</v>
      </c>
      <c r="Q246" s="24" cm="1">
        <f t="array" ref="Q246">Common_InputFunctions.Utility_DisplayArrayInTable(Common_SourceData.Common_SourceData_MCFTemperatureZone_Data(),Table_SourceData_Common_MCFTemperatureZone[[#Headers],[Temperature zone]],0)</f>
        <v>0</v>
      </c>
      <c r="R246" s="24" cm="1">
        <f t="array" ref="R246">Common_InputFunctions.Utility_DisplayArrayInTable(Common_SourceData.Common_SourceData_MCFTemperatureZone_Data(),Table_SourceData_Common_MCFTemperatureZone[[#Headers],[Temperature zone]],0)</f>
        <v>4.7000000000000002E-3</v>
      </c>
      <c r="S246" s="2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4" cm="1">
        <f t="array" ref="E247">Common_InputFunctions.Utility_DisplayArrayInTable(Common_SourceData.Common_SourceData_MCFTemperatureZone_Data(),Table_SourceData_Common_MCFTemperatureZone[[#Headers],[Temperature zone]],0)</f>
        <v>25</v>
      </c>
      <c r="F247" s="24" cm="1">
        <f t="array" ref="F247">Common_InputFunctions.Utility_DisplayArrayInTable(Common_SourceData.Common_SourceData_MCFTemperatureZone_Data(),Table_SourceData_Common_MCFTemperatureZone[[#Headers],[Temperature zone]],0)</f>
        <v>0.79</v>
      </c>
      <c r="G247" s="24" cm="1">
        <f t="array" ref="G247">Common_InputFunctions.Utility_DisplayArrayInTable(Common_SourceData.Common_SourceData_MCFTemperatureZone_Data(),Table_SourceData_Common_MCFTemperatureZone[[#Headers],[Temperature zone]],0)</f>
        <v>0.1</v>
      </c>
      <c r="H247" s="24" cm="1">
        <f t="array" ref="H247">Common_InputFunctions.Utility_DisplayArrayInTable(Common_SourceData.Common_SourceData_MCFTemperatureZone_Data(),Table_SourceData_Common_MCFTemperatureZone[[#Headers],[Temperature zone]],0)</f>
        <v>0.41</v>
      </c>
      <c r="I247" s="24" cm="1">
        <f t="array" ref="I247">Common_InputFunctions.Utility_DisplayArrayInTable(Common_SourceData.Common_SourceData_MCFTemperatureZone_Data(),Table_SourceData_Common_MCFTemperatureZone[[#Headers],[Temperature zone]],0)</f>
        <v>5.0000000000000001E-3</v>
      </c>
      <c r="J247" s="24" cm="1">
        <f t="array" ref="J247">Common_InputFunctions.Utility_DisplayArrayInTable(Common_SourceData.Common_SourceData_MCFTemperatureZone_Data(),Table_SourceData_Common_MCFTemperatureZone[[#Headers],[Temperature zone]],0)</f>
        <v>0.01</v>
      </c>
      <c r="K247" s="24" cm="1">
        <f t="array" ref="K247">Common_InputFunctions.Utility_DisplayArrayInTable(Common_SourceData.Common_SourceData_MCFTemperatureZone_Data(),Table_SourceData_Common_MCFTemperatureZone[[#Headers],[Temperature zone]],0)</f>
        <v>0.02</v>
      </c>
      <c r="L247" s="24" cm="1">
        <f t="array" ref="L247">Common_InputFunctions.Utility_DisplayArrayInTable(Common_SourceData.Common_SourceData_MCFTemperatureZone_Data(),Table_SourceData_Common_MCFTemperatureZone[[#Headers],[Temperature zone]],0)</f>
        <v>0.03</v>
      </c>
      <c r="M247" s="24" cm="1">
        <f t="array" ref="M247">Common_InputFunctions.Utility_DisplayArrayInTable(Common_SourceData.Common_SourceData_MCFTemperatureZone_Data(),Table_SourceData_Common_MCFTemperatureZone[[#Headers],[Temperature zone]],0)</f>
        <v>0.04</v>
      </c>
      <c r="N247" s="24" cm="1">
        <f t="array" ref="N247">Common_InputFunctions.Utility_DisplayArrayInTable(Common_SourceData.Common_SourceData_MCFTemperatureZone_Data(),Table_SourceData_Common_MCFTemperatureZone[[#Headers],[Temperature zone]],0)</f>
        <v>1.4999999999999999E-2</v>
      </c>
      <c r="O247" s="24" cm="1">
        <f t="array" ref="O247">Common_InputFunctions.Utility_DisplayArrayInTable(Common_SourceData.Common_SourceData_MCFTemperatureZone_Data(),Table_SourceData_Common_MCFTemperatureZone[[#Headers],[Temperature zone]],0)</f>
        <v>1.4999999999999999E-2</v>
      </c>
      <c r="P247" s="24" cm="1">
        <f t="array" ref="P247">Common_InputFunctions.Utility_DisplayArrayInTable(Common_SourceData.Common_SourceData_MCFTemperatureZone_Data(),Table_SourceData_Common_MCFTemperatureZone[[#Headers],[Temperature zone]],0)</f>
        <v>0</v>
      </c>
      <c r="Q247" s="24" cm="1">
        <f t="array" ref="Q247">Common_InputFunctions.Utility_DisplayArrayInTable(Common_SourceData.Common_SourceData_MCFTemperatureZone_Data(),Table_SourceData_Common_MCFTemperatureZone[[#Headers],[Temperature zone]],0)</f>
        <v>0</v>
      </c>
      <c r="R247" s="24" cm="1">
        <f t="array" ref="R247">Common_InputFunctions.Utility_DisplayArrayInTable(Common_SourceData.Common_SourceData_MCFTemperatureZone_Data(),Table_SourceData_Common_MCFTemperatureZone[[#Headers],[Temperature zone]],0)</f>
        <v>4.7000000000000002E-3</v>
      </c>
      <c r="S247" s="2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4" cm="1">
        <f t="array" ref="E248">Common_InputFunctions.Utility_DisplayArrayInTable(Common_SourceData.Common_SourceData_MCFTemperatureZone_Data(),Table_SourceData_Common_MCFTemperatureZone[[#Headers],[Temperature zone]],0)</f>
        <v>26</v>
      </c>
      <c r="F248" s="24" cm="1">
        <f t="array" ref="F248">Common_InputFunctions.Utility_DisplayArrayInTable(Common_SourceData.Common_SourceData_MCFTemperatureZone_Data(),Table_SourceData_Common_MCFTemperatureZone[[#Headers],[Temperature zone]],0)</f>
        <v>0.79</v>
      </c>
      <c r="G248" s="24" cm="1">
        <f t="array" ref="G248">Common_InputFunctions.Utility_DisplayArrayInTable(Common_SourceData.Common_SourceData_MCFTemperatureZone_Data(),Table_SourceData_Common_MCFTemperatureZone[[#Headers],[Temperature zone]],0)</f>
        <v>0.1</v>
      </c>
      <c r="H248" s="24" cm="1">
        <f t="array" ref="H248">Common_InputFunctions.Utility_DisplayArrayInTable(Common_SourceData.Common_SourceData_MCFTemperatureZone_Data(),Table_SourceData_Common_MCFTemperatureZone[[#Headers],[Temperature zone]],0)</f>
        <v>0.44</v>
      </c>
      <c r="I248" s="24" cm="1">
        <f t="array" ref="I248">Common_InputFunctions.Utility_DisplayArrayInTable(Common_SourceData.Common_SourceData_MCFTemperatureZone_Data(),Table_SourceData_Common_MCFTemperatureZone[[#Headers],[Temperature zone]],0)</f>
        <v>0.01</v>
      </c>
      <c r="J248" s="24" cm="1">
        <f t="array" ref="J248">Common_InputFunctions.Utility_DisplayArrayInTable(Common_SourceData.Common_SourceData_MCFTemperatureZone_Data(),Table_SourceData_Common_MCFTemperatureZone[[#Headers],[Temperature zone]],0)</f>
        <v>1.4999999999999999E-2</v>
      </c>
      <c r="K248" s="24" cm="1">
        <f t="array" ref="K248">Common_InputFunctions.Utility_DisplayArrayInTable(Common_SourceData.Common_SourceData_MCFTemperatureZone_Data(),Table_SourceData_Common_MCFTemperatureZone[[#Headers],[Temperature zone]],0)</f>
        <v>0.02</v>
      </c>
      <c r="L248" s="24" cm="1">
        <f t="array" ref="L248">Common_InputFunctions.Utility_DisplayArrayInTable(Common_SourceData.Common_SourceData_MCFTemperatureZone_Data(),Table_SourceData_Common_MCFTemperatureZone[[#Headers],[Temperature zone]],0)</f>
        <v>0.03</v>
      </c>
      <c r="M248" s="24" cm="1">
        <f t="array" ref="M248">Common_InputFunctions.Utility_DisplayArrayInTable(Common_SourceData.Common_SourceData_MCFTemperatureZone_Data(),Table_SourceData_Common_MCFTemperatureZone[[#Headers],[Temperature zone]],0)</f>
        <v>0.04</v>
      </c>
      <c r="N248" s="24" cm="1">
        <f t="array" ref="N248">Common_InputFunctions.Utility_DisplayArrayInTable(Common_SourceData.Common_SourceData_MCFTemperatureZone_Data(),Table_SourceData_Common_MCFTemperatureZone[[#Headers],[Temperature zone]],0)</f>
        <v>1.4999999999999999E-2</v>
      </c>
      <c r="O248" s="24" cm="1">
        <f t="array" ref="O248">Common_InputFunctions.Utility_DisplayArrayInTable(Common_SourceData.Common_SourceData_MCFTemperatureZone_Data(),Table_SourceData_Common_MCFTemperatureZone[[#Headers],[Temperature zone]],0)</f>
        <v>1.4999999999999999E-2</v>
      </c>
      <c r="P248" s="24" cm="1">
        <f t="array" ref="P248">Common_InputFunctions.Utility_DisplayArrayInTable(Common_SourceData.Common_SourceData_MCFTemperatureZone_Data(),Table_SourceData_Common_MCFTemperatureZone[[#Headers],[Temperature zone]],0)</f>
        <v>0</v>
      </c>
      <c r="Q248" s="24" cm="1">
        <f t="array" ref="Q248">Common_InputFunctions.Utility_DisplayArrayInTable(Common_SourceData.Common_SourceData_MCFTemperatureZone_Data(),Table_SourceData_Common_MCFTemperatureZone[[#Headers],[Temperature zone]],0)</f>
        <v>0</v>
      </c>
      <c r="R248" s="24" cm="1">
        <f t="array" ref="R248">Common_InputFunctions.Utility_DisplayArrayInTable(Common_SourceData.Common_SourceData_MCFTemperatureZone_Data(),Table_SourceData_Common_MCFTemperatureZone[[#Headers],[Temperature zone]],0)</f>
        <v>4.7000000000000002E-3</v>
      </c>
      <c r="S248" s="2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4" cm="1">
        <f t="array" ref="E249">Common_InputFunctions.Utility_DisplayArrayInTable(Common_SourceData.Common_SourceData_MCFTemperatureZone_Data(),Table_SourceData_Common_MCFTemperatureZone[[#Headers],[Temperature zone]],0)</f>
        <v>27</v>
      </c>
      <c r="F249" s="24" cm="1">
        <f t="array" ref="F249">Common_InputFunctions.Utility_DisplayArrayInTable(Common_SourceData.Common_SourceData_MCFTemperatureZone_Data(),Table_SourceData_Common_MCFTemperatureZone[[#Headers],[Temperature zone]],0)</f>
        <v>0.8</v>
      </c>
      <c r="G249" s="24" cm="1">
        <f t="array" ref="G249">Common_InputFunctions.Utility_DisplayArrayInTable(Common_SourceData.Common_SourceData_MCFTemperatureZone_Data(),Table_SourceData_Common_MCFTemperatureZone[[#Headers],[Temperature zone]],0)</f>
        <v>0.1</v>
      </c>
      <c r="H249" s="24" cm="1">
        <f t="array" ref="H249">Common_InputFunctions.Utility_DisplayArrayInTable(Common_SourceData.Common_SourceData_MCFTemperatureZone_Data(),Table_SourceData_Common_MCFTemperatureZone[[#Headers],[Temperature zone]],0)</f>
        <v>0.48</v>
      </c>
      <c r="I249" s="24" cm="1">
        <f t="array" ref="I249">Common_InputFunctions.Utility_DisplayArrayInTable(Common_SourceData.Common_SourceData_MCFTemperatureZone_Data(),Table_SourceData_Common_MCFTemperatureZone[[#Headers],[Temperature zone]],0)</f>
        <v>0.01</v>
      </c>
      <c r="J249" s="24" cm="1">
        <f t="array" ref="J249">Common_InputFunctions.Utility_DisplayArrayInTable(Common_SourceData.Common_SourceData_MCFTemperatureZone_Data(),Table_SourceData_Common_MCFTemperatureZone[[#Headers],[Temperature zone]],0)</f>
        <v>1.4999999999999999E-2</v>
      </c>
      <c r="K249" s="24" cm="1">
        <f t="array" ref="K249">Common_InputFunctions.Utility_DisplayArrayInTable(Common_SourceData.Common_SourceData_MCFTemperatureZone_Data(),Table_SourceData_Common_MCFTemperatureZone[[#Headers],[Temperature zone]],0)</f>
        <v>0.02</v>
      </c>
      <c r="L249" s="24" cm="1">
        <f t="array" ref="L249">Common_InputFunctions.Utility_DisplayArrayInTable(Common_SourceData.Common_SourceData_MCFTemperatureZone_Data(),Table_SourceData_Common_MCFTemperatureZone[[#Headers],[Temperature zone]],0)</f>
        <v>0.03</v>
      </c>
      <c r="M249" s="24" cm="1">
        <f t="array" ref="M249">Common_InputFunctions.Utility_DisplayArrayInTable(Common_SourceData.Common_SourceData_MCFTemperatureZone_Data(),Table_SourceData_Common_MCFTemperatureZone[[#Headers],[Temperature zone]],0)</f>
        <v>0.04</v>
      </c>
      <c r="N249" s="24" cm="1">
        <f t="array" ref="N249">Common_InputFunctions.Utility_DisplayArrayInTable(Common_SourceData.Common_SourceData_MCFTemperatureZone_Data(),Table_SourceData_Common_MCFTemperatureZone[[#Headers],[Temperature zone]],0)</f>
        <v>1.4999999999999999E-2</v>
      </c>
      <c r="O249" s="24" cm="1">
        <f t="array" ref="O249">Common_InputFunctions.Utility_DisplayArrayInTable(Common_SourceData.Common_SourceData_MCFTemperatureZone_Data(),Table_SourceData_Common_MCFTemperatureZone[[#Headers],[Temperature zone]],0)</f>
        <v>1.4999999999999999E-2</v>
      </c>
      <c r="P249" s="24" cm="1">
        <f t="array" ref="P249">Common_InputFunctions.Utility_DisplayArrayInTable(Common_SourceData.Common_SourceData_MCFTemperatureZone_Data(),Table_SourceData_Common_MCFTemperatureZone[[#Headers],[Temperature zone]],0)</f>
        <v>0</v>
      </c>
      <c r="Q249" s="24" cm="1">
        <f t="array" ref="Q249">Common_InputFunctions.Utility_DisplayArrayInTable(Common_SourceData.Common_SourceData_MCFTemperatureZone_Data(),Table_SourceData_Common_MCFTemperatureZone[[#Headers],[Temperature zone]],0)</f>
        <v>0</v>
      </c>
      <c r="R249" s="24" cm="1">
        <f t="array" ref="R249">Common_InputFunctions.Utility_DisplayArrayInTable(Common_SourceData.Common_SourceData_MCFTemperatureZone_Data(),Table_SourceData_Common_MCFTemperatureZone[[#Headers],[Temperature zone]],0)</f>
        <v>4.7000000000000002E-3</v>
      </c>
      <c r="S249" s="2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4" t="str" cm="1">
        <f t="array" ref="E250">Common_InputFunctions.Utility_DisplayArrayInTable(Common_SourceData.Common_SourceData_MCFTemperatureZone_Data(),Table_SourceData_Common_MCFTemperatureZone[[#Headers],[Temperature zone]],0)</f>
        <v>≥28</v>
      </c>
      <c r="F250" s="24" cm="1">
        <f t="array" ref="F250">Common_InputFunctions.Utility_DisplayArrayInTable(Common_SourceData.Common_SourceData_MCFTemperatureZone_Data(),Table_SourceData_Common_MCFTemperatureZone[[#Headers],[Temperature zone]],0)</f>
        <v>0.8</v>
      </c>
      <c r="G250" s="24" cm="1">
        <f t="array" ref="G250">Common_InputFunctions.Utility_DisplayArrayInTable(Common_SourceData.Common_SourceData_MCFTemperatureZone_Data(),Table_SourceData_Common_MCFTemperatureZone[[#Headers],[Temperature zone]],0)</f>
        <v>0.1</v>
      </c>
      <c r="H250" s="24" cm="1">
        <f t="array" ref="H250">Common_InputFunctions.Utility_DisplayArrayInTable(Common_SourceData.Common_SourceData_MCFTemperatureZone_Data(),Table_SourceData_Common_MCFTemperatureZone[[#Headers],[Temperature zone]],0)</f>
        <v>0.5</v>
      </c>
      <c r="I250" s="24" cm="1">
        <f t="array" ref="I250">Common_InputFunctions.Utility_DisplayArrayInTable(Common_SourceData.Common_SourceData_MCFTemperatureZone_Data(),Table_SourceData_Common_MCFTemperatureZone[[#Headers],[Temperature zone]],0)</f>
        <v>0.01</v>
      </c>
      <c r="J250" s="24" cm="1">
        <f t="array" ref="J250">Common_InputFunctions.Utility_DisplayArrayInTable(Common_SourceData.Common_SourceData_MCFTemperatureZone_Data(),Table_SourceData_Common_MCFTemperatureZone[[#Headers],[Temperature zone]],0)</f>
        <v>1.4999999999999999E-2</v>
      </c>
      <c r="K250" s="24" cm="1">
        <f t="array" ref="K250">Common_InputFunctions.Utility_DisplayArrayInTable(Common_SourceData.Common_SourceData_MCFTemperatureZone_Data(),Table_SourceData_Common_MCFTemperatureZone[[#Headers],[Temperature zone]],0)</f>
        <v>0.02</v>
      </c>
      <c r="L250" s="24" cm="1">
        <f t="array" ref="L250">Common_InputFunctions.Utility_DisplayArrayInTable(Common_SourceData.Common_SourceData_MCFTemperatureZone_Data(),Table_SourceData_Common_MCFTemperatureZone[[#Headers],[Temperature zone]],0)</f>
        <v>0.03</v>
      </c>
      <c r="M250" s="24" cm="1">
        <f t="array" ref="M250">Common_InputFunctions.Utility_DisplayArrayInTable(Common_SourceData.Common_SourceData_MCFTemperatureZone_Data(),Table_SourceData_Common_MCFTemperatureZone[[#Headers],[Temperature zone]],0)</f>
        <v>0.04</v>
      </c>
      <c r="N250" s="24" cm="1">
        <f t="array" ref="N250">Common_InputFunctions.Utility_DisplayArrayInTable(Common_SourceData.Common_SourceData_MCFTemperatureZone_Data(),Table_SourceData_Common_MCFTemperatureZone[[#Headers],[Temperature zone]],0)</f>
        <v>1.4999999999999999E-2</v>
      </c>
      <c r="O250" s="24" cm="1">
        <f t="array" ref="O250">Common_InputFunctions.Utility_DisplayArrayInTable(Common_SourceData.Common_SourceData_MCFTemperatureZone_Data(),Table_SourceData_Common_MCFTemperatureZone[[#Headers],[Temperature zone]],0)</f>
        <v>1.4999999999999999E-2</v>
      </c>
      <c r="P250" s="24" cm="1">
        <f t="array" ref="P250">Common_InputFunctions.Utility_DisplayArrayInTable(Common_SourceData.Common_SourceData_MCFTemperatureZone_Data(),Table_SourceData_Common_MCFTemperatureZone[[#Headers],[Temperature zone]],0)</f>
        <v>0</v>
      </c>
      <c r="Q250" s="24" cm="1">
        <f t="array" ref="Q250">Common_InputFunctions.Utility_DisplayArrayInTable(Common_SourceData.Common_SourceData_MCFTemperatureZone_Data(),Table_SourceData_Common_MCFTemperatureZone[[#Headers],[Temperature zone]],0)</f>
        <v>0</v>
      </c>
      <c r="R250" s="24" cm="1">
        <f t="array" ref="R250">Common_InputFunctions.Utility_DisplayArrayInTable(Common_SourceData.Common_SourceData_MCFTemperatureZone_Data(),Table_SourceData_Common_MCFTemperatureZone[[#Headers],[Temperature zone]],0)</f>
        <v>4.7000000000000002E-3</v>
      </c>
      <c r="S250" s="24"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8" t="str" cm="1">
        <f t="array" ref="D256">Common_SourceData.Common_SourceData_EFOrganicFertiliserAndCropResidues_Unit()</f>
        <v>kg N2O - N / kg N</v>
      </c>
    </row>
    <row r="257" spans="4:5" x14ac:dyDescent="0.25">
      <c r="D257" s="24" t="s">
        <v>77</v>
      </c>
      <c r="E257" s="24" t="s">
        <v>78</v>
      </c>
    </row>
    <row r="258" spans="4:5" x14ac:dyDescent="0.25">
      <c r="D258" s="24" t="str" cm="1">
        <f t="array" ref="D258">Common_InputFunctions.Utility_DisplayArrayInTable(Common_SourceData.Common_SourceData_EFOrganicFertiliserAndCropResidues_Data(), Table_SourceData_Common_EFOrganicFertCropResidues[[#Headers],[Climate Zone]], 0)</f>
        <v>Wet climate zone</v>
      </c>
      <c r="E258" s="24"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4"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VwBhAHMAdABlAHcAYQB0AGUAc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EALgAxACAATQBlAHQAaABvAGQAIAAxACAALQAgAE0AZQB0AGgAYQBu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EAXwAxAF8AXwAxAF8ATQBlAHQAaABhAG4AZQBFAG0AaQBzAHMAaQBvAG4AcwBGAHIAbwBtAFcAYQBzAHQAZQB3AGEAdABlAHIAVAByAGUAYQB0AG0AZQBuAHQAXABuAE0AZQB0AGgAYQBuAGUAIABlAG0AaQBzAHMAaQBvAG4AcwAgAGYAcgBvAG0AIAB3AGEAcwB0AGUAdwBhAHQAZQByACAAdAByAGUAYQB0AG0AZQBuAHQAXABuAEUAXwBDAEgANABcAG4AdAAgAEMASAA0AFwAbgBFAF8AewBDAEgANAB9AD0AXABcAGYAcgBhAGMAewAxAH0AewAxADAAMAAwAH0AXABcAHQAaQBtAGUAcwBcAFwAbABlAGYAdABbAFwAXABsAGUAZgB0ACgAVwBfAHQAXABcAHQAaQBtAGUAcwBcAFwAbABlAGYAdAAoAEMATwBEAF8AewBpAG4AfQBcAFwAdABpAG0AZQBzACgAMQAtAEYAXwB7AHMAbAB1AGQAZwBlAH0AKQAtAEMATwBEAF8AewBvAHUAdAB9AFwAXAByAGkAZwBoAHQAKQBcAFwAdABpAG0AZQBzACAAQwBGAF8AewB3AHcALAB0AH0AXABcAHQAaQBtAGUAcwAgAEUARgBfAHsAdwB3AH0AXABcAHIAaQBnAGgAdAApACsAXABcAGwAZQBmAHQAKABXAF8AdABcAFwAdABpAG0AZQBzAFwAXABsAGUAZgB0ACgAQwBPAEQAXwB7AGkAbgB9AFwAXAB0AGkAbQBlAHMAKABGAF8AewBzAGwAdQBkAGcAZQB9AC0ARgBfAHsAcgBlAG0AbwB2AGUAZAB9ACkAXABcAHIAaQBnAGgAdAApAFwAXAB0AGkAbQBlAHMAIABDAEYAXwB7AHMAbAB1AGQAZwBlACwAdAB9AFwAXAB0AGkAbQBlAHMAIABFAEYAXwB7AHMAbAB1AGQAZwBlAH0AXABcAHIAaQBnAGgAdAApAC0AXABcAGwAZQBmAHQAKAA2AC4ANwA4ADQAXABcAHQAaQBtAGUAcwAgADEAMABeAHsALQA0AH0AXABcAHQAaQBtAGUAcwAoAFEAXwB7AGMAYQBwAH0AKwBRAF8AewBmAGwAYQByAGUAZAB9ACsAUQBfAHsAbwB1AHQAfQApAFwAXAByAGkAZwBoAHQAKQArAFwAXABsAGUAZgB0ACgAUQBfAHsAZgBsAGEAcgBlAGQAfQBcAFwAdABpAG0AZQBzACAARQBDAF8AewBmAGwAYQByAGUAZAB9AFwAXAB0AGkAbQBlAHMAIABFAEYAXwB7AGYAbABhAHIAZQBkACwAQwBIADQAfQBcAFwAcgBpAGcAaAB0ACkAXABcAHIAaQBnAGgAdABdAFwAbgBXAF8AdAAgAD0AIABxAHUAYQBuAHQAaQB0AHkAIABvAGYAIAB3AGEAcwB0AGUAdwBhAHQAZQByACAAdAByAGUAYQB0AGUAZAAgAGEAdAAgAGYAYQBjAGkAbABpAHQAeQAgAHQAeQBwAGUAIAB0ACAAKABtADMAKQBcAG4AQwBPAEQAXwBpAG4AIAA9ACAAYQB2AGUAcgBhAGcAZQAgAGkAbgBsAGUAdAAgAEMAaABlAG0AaQBjAGEAbAAgAE8AeAB5AGcAZQBuACAARABlAG0AYQBuAGQAIABjAG8AbgBjAGUAbgB0AHIAYQB0AGkAbwBuACAAbwBmACAAdwBhAHMAdABlAHcAYQB0AGUAcgAgACgAawBnACAAQwBPAEQALwBtADMAKQBcAG4ARgBfAHMAbAB1AGQAZwBlACAAPQAgAGYAcgBhAGMAdABpAG8AbgAgAG8AZgAgAEMATwBEACAAcgBlAG0AbwB2AGUAZAAgAGYAcgBvAG0AIAB3AGEAcwB0AGUAdwBhAHQAZQByACAAYQBzACAAcwBsAHUAZABnAGUAXABuAEMATwBEAF8AbwB1AHQAIAA9ACAAYQB2AGUAcgBhAGcAZQAgAG8AdQB0AGwAZQB0ACAAQwBPAEQAIABjAG8AbgBjAGUAbgB0AHIAYQB0AGkAbwBuACAAbwBmACAAdwBhAHMAdABlAHcAYQB0AGUAcgAgACgAawBnACAAQwBPAEQALwBtADMAKQBcAG4AQwBGAF8AdwB3AF8AdAAgAD0AIABtAGUAdABoAGEAbgBlACAAYwBvAHIAcgBlAGMAdABpAG8AbgAgAGYAYQBjAHQAbwByACAAZgBvAHIAIABmAGEAYwBpAGwAaQB0AHkAIAB0AHkAcABlACAAdAAgAHUAcwBlAGQAIAB0AG8AIAB0AHIAZQBhAHQAIAB3AGEAcwB0AGUAdwBhAHQAZQByAFwAbgBFAEYAXwB3AHcAIAA9ACAAbQBlAHQAaABhAG4AZQAgAGUAbQBpAHMAcwBpAG8AbgAgAGYAYQBjAHQAbwByACAAZgBvAHIAIAB3AGEAcwB0AGUAdwBhAHQAZQByACAAKABrAGcAIABDAE8AMgBlAC8AawBnACAAQwBPAEQAKQBcAG4ARgBfAHIAZQBtAG8AdgBlAGQAIAA9ACAAZgByAGEAYwB0AGkAbwBuACAAbwBmACAAQwBPAEQAIAByAGUAbQBvAHYAZQBkACAAZgByAG8AbQAgAHQAaABlACAAdwBhAHMAdABlAHcAYQB0AGUAcgAgAHQAcgBlAGEAdABtAGUAbgB0ACAAZgBhAGMAaQBsAGkAdAB5ACAAYQBuAGQAIAB0AHIAYQBuAHMAZgBlAHIAcgBlAGQAIABlAGwAcwBlAHcAaABlAHIAZQBcAG4AQwBGAF8AcwBsAHUAZABnAGUAXwB0ACAAPQAgAG0AZQB0AGgAYQBuAGUAIABjAG8AcgByAGUAYwB0AGkAbwBuACAAZgBhAGMAdABvAHIAIABmAG8AcgAgAGYAYQBjAGkAbABpAHQAeQAgAHQAeQBwAGUAIAB0ACAAdQBzAGUAZAAgAHQAbwAgAHQAcgBlAGEAdAAgAHMAbAB1AGQAZwBlAFwAbgBFAEYAXwBzAGwAdQBkAGcAZQAgAD0AIABtAGUAdABoAGEAbgBlACAAZQBtAGkAcwBzAGkAbwBuACAAZgBhAGMAdABvAHIAIABmAG8AcgAgAHMAbAB1AGQAZwBlACAAKABrAGcAIABDAE8AMgBlAC8AawBnACAAQwBPAEQAKQBcAG4AUQBfAGMAYQBwACAAPQAgAHEAdQBhAG4AdABpAHQAeQAgAG8AZgAgAG0AZQB0AGgAYQBuAGUAIABpAG4AIABzAGwAdQBkAGcAZQAgAGIAaQBvAGcAYQBzACAAYwBhAHAAdAB1AHIAZQBkACAAZgBvAHIAIABjAG8AbQBiAHUAcwB0AGkAbwBuACAAKABtADMAIABDAEgANAApAFwAbgBRAF8AZgBsAGEAcgBlAGQAIAA9ACAAcQB1AGEAbgB0AGkAdAB5ACAAbwBmACAAbQBlAHQAaABhAG4AZQAgAGkAbgAgAHMAbAB1AGQAZwBlACAAYgBpAG8AZwBhAHMAIABmAGwAYQByAGUAZAAgACgAbQAzACAAQwBIADQAKQBcAG4AUQBfAG8AdQB0ACAAPQAgAHEAdQBhAG4AdABpAHQAeQAgAG8AZgAgAG0AZQB0AGgAYQBuAGUAIABpAG4AIABzAGwAdQBkAGcAZQAgAGIAaQBvAGcAYQBzACAAdAByAGEAbgBzAGYAZQByAHIAZQBkACAAbwB1AHQAIABvAGYAIAB0AGgAZQAgAHQAcgBlAGEAdABtAGUAbgB0ACAAZgBhAGMAaQBsAGkAdAB5ACAAKABtADMAIABDAEgANAApAFwAbgBFAEMAXwBmAGwAYQByAGUAZAAgAD0AIABlAG4AZQByAGcAeQAgAGMAbwBuAHQAZQBuAHQAIABmAGEAYwB0AG8AcgAgAG8AZgAgAG0AZQB0AGgAYQBuAGUAIABpAG4AIABzAGwAdQBkAGcAZQAgAGIAaQBvAGcAYQBzACAAZgBsAGEAcgBlAGQAIAAoAEcASgAvAG0AMwApAFwAbgBFAEYAXwBmAGwAYQByAGUAZABfAEMASAA0ACAAPQAgAG0AZQB0AGgAYQBuAGUAIABlAG0AaQBzAHMAaQBvAG4AIABmAGEAYwB0AG8AcgAgAGYAbwByACAAcwBsAHUAZABnAGUAIABiAGkAbwBnAGEAcwAgAGYAbABhAHIAZQBkACAAKABrAGcAIABDAE8AMgBlAC8ARwBKACkAXABuAC0ALQAtAC0ALQAtAC0ALQAtAC0ALQAtAC0ALQAtAC0ALQAtAC0ALQAtAC0ALQAtAC0ALQAtAC0ALQAtAC0ALQAtAC0ALQAtAC0ALQBcAG4AKgAvAFwAbgBcAG4AVgBFAEUAUgBHAF8AMQAxAF8AMQBfADEAXwAxAF8AXwAxAF8ATQBlAHQAaABhAG4AZQBFAG0AaQBzAHMAaQBvAG4AcwBGAHIAbwBtAFcAYQBzAHQAZQB3AGEAdABlAHIAVAByAGUAYQB0AG0AZQBuAHQAXABuACAAIAA9AEwAQQBNAEIARABBACgAXABuACAAIAAgACAAVwBfAHQALAAgAEMATwBEAF8AaQBuACwAIABGAF8AcwBsAHUAZABnAGUALAAgAEMATwBEAF8AbwB1AHQALAAgAEMARgBfAHcAdwBfAHQALAAgAEUARgBfAHcAdwAsACAARgBfAHIAZQBtAG8AdgBlAGQALAAgAEMARgBfAHMAbAB1AGQAZwBlAF8AdAAsACAARQBGAF8AcwBsAHUAZABnAGUALAAgAFEAXwBjAGEAcAAsACAAUQBfAGYAbABhAHIAZQBkACwAIABRAF8AbwB1AHQALAAgAEUAQwBfAGYAbABhAHIAZQBkACwAIABFAEYAXwBmAGwAYQByAGUAZABDAEgANAAsAFwAbgAgACAAIAAgACgAMQAvADEAMAAwADAAKQAgACoAIAAoACgAVwBfAHQAIAAqACAAKABDAE8ARABfAGkAbgAgACoAIAAoADEAIAAtACAARgBfAHMAbAB1AGQAZwBlACkAIAAtACAAQwBPAEQAXwBvAHUAdAApACAAKgAgAEMARgBfAHcAdwBfAHQAIAAqACAARQBGAF8AdwB3ACkAIAArACAAKABXAF8AdAAgACoAIAAoAEMATwBEAF8AaQBuACAAKgAgACgARgBfAHMAbAB1AGQAZwBlACAALQAgAEYAXwByAGUAbQBvAHYAZQBkACkAKQAgACoAIABDAEYAXwBzAGwAdQBkAGcAZQBfAHQAIAAqACAARQBGAF8AcwBsAHUAZABnAGUAKQAgAC0AIAAoADYALgA3ADgANAAgACoAIAAxADAAXgAtADQAIAAqACAAKABRAF8AYwBhAHAAIAArACAAUQBfAGYAbABhAHIAZQBkACAAKwAgAFEAXwBvAHUAdAApACkAIAArACAAKABRAF8AZgBsAGEAcgBlAGQAIAAqACAAKABFAEMAXwBmAGwAYQByAGUAZAAgACoAIABFAEYAXwBmAGwAYQByAGUAZABDAEgANAApACkAKQBcAG4AIAAgACkAOwBcAG4AXABuAFYARQBFAFIARwBfADEAMQBfADEAXwAxAF8AMQBfAF8AMQBfAE0AZQB0AGgAYQBuAGUARQBtAGkAcwBzAGkAbwBuAHMARgByAG8AbQBXAGEAcwB0AGUAdwBhAHQAZQByAFQAcgBlAGEAdABtAGUAbgB0AF8AVABpAHQAbABlAFwAbgAgACAAPQBMAEEATQBCAEQAQQAoAFwAIgBNAGUAdABoAGEAbgBlACAAZQBtAGkAcwBzAGkAbwBuAHMAIABmAHIAbwBtACAAdwBhAHMAdABlAHcAYQB0AGUAcgAgAHQAcgBlAGEAdABtAGUAbgB0AFwAIgApADsAXABuAFwAbgBWAEUARQBSAEcAXwAxADEAXwAxAF8AMQBfADEAXwBfADEAXwBNAGUAdABoAGEAbgBlAEUAbQBpAHMAcwBpAG8AbgBzAEYAcgBvAG0AVwBhAHMAdABlAHcAYQB0AGUAcgBUAHIAZQBhAHQAbQBlAG4AdABfAFYAYQByAGkAYQBiAGwAZQBcAG4AIAAgAD0ATABBAE0AQgBEAEEAKABcACIARQBfAEMASAA0AFwAIgApADsAXABuAFwAbgBWAEUARQBSAEcAXwAxADEAXwAxAF8AMQBfADEAXwBfADEAXwBNAGUAdABoAGEAbgBlAEUAbQBpAHMAcwBpAG8AbgBzAEYAcgBvAG0AVwBhAHMAdABlAHcAYQB0AGUAcgBUAHIAZQBhAHQAbQBlAG4AdABfAFUAbgBpAHQAXABuACAAIAA9AEwAQQBNAEIARABBACgAXAAiAHQAIABDAEgANABcACIAKQA7AFwAbgBcAG4AVgBFAEUAUgBHAF8AMQAxAF8AMQBfADEAXwAxAF8AXwAxAF8ATQBlAHQAaABhAG4AZQBFAG0AaQBzAHMAaQBvAG4AcwBGAHIAbwBtAFcAYQBzAHQAZQB3AGEAdABlAHIAVAByAGUAYQB0AG0AZQBuAHQAXwBTAG8AdQByAGMAZQBcAG4AIAAgAD0ATABBAE0AQgBEAEEAKABcACIAVgBFAEUAUgBHACAAMgAwADIANgA6ACAAMQAxAC4AMQAuADEALgAxACwAIABFAHEAdQBhAHQAaQBvAG4AIAAoADEAKQBcACIAKQA7AFwAbgBcAG4AVgBFAEUAUgBHAF8AMQAxAF8AMQBfADEAXwAxAF8AXwAxAF8ATQBlAHQAaABhAG4AZQBFAG0AaQBzAHMAaQBvAG4AcwBGAHIAbwBtAFcAYQBzAHQAZQB3AGEAdABlAHIAVAByAGUAYQB0AG0AZQBuAHQAXwBOAEkAUgBSAGUAZgBlAHIAZQBuAGMAZQBcAG4AIAAgAD0ATABBAE0AQgBEAEEAKABcACIATgBhAHQAaQBvAG4AYQBsACAARwByAGUAZQBuAGgAbwB1AHMAZQAgAGEAbgBkACAARQBuAGUAcgBnAHkAIABSAGUAcABvAHIAdABpAG4AZwAgAE0AZQBhAHMAdQByAGUAbQBlAG4AdAAgAEQAZQB0AGUAcgBtAGkAbgBhAHQAaQBvAG4AIAAyADAAMAA4AFwAIgApADsAXABuAFwAbgBWAEUARQBSAEcAXwAxADEAXwAxAF8AMQBfADEAXwBfADEAXwBNAGUAdABoAGEAbgBlAEUAbQBpAHMAcwBpAG8AbgBzAEYAcgBvAG0AVwBhAHMAdABlAHcAYQB0AGUAcgBUAHIAZQBhAHQAbQBlAG4AdABfAEwAYQB0AGUAeABFAHEAdQBhAHQAaQBvAG4AXABuACAAIAA9AEwAQQBNAEIARABBACgAXAAiAEUAXwB7AEMASAA0AH0APQBcAFwAZgByAGEAYwB7ADEAfQB7ADEAMAAwADAAfQBcAFwAdABpAG0AZQBzAFwAXABsAGUAZgB0AHsAXABcAGwAZQBmAHQAewBXAF8AdABcAFwAdABpAG0AZQBzAFwAXABsAGUAZgB0AFsAQwBPAEQAXwB7AGkAbgB9AFwAXAB0AGkAbQBlAHMAKAAxAC0ARgBfAHsAcwBsAHUAZABnAGUAfQApAC0AQwBPAEQAXwB7AG8AdQB0AH0AXABcAHIAaQBnAGgAdABdAFwAXAB0AGkAbQBlAHMAIABDAEYAXwB7AHcAdwAsAHQAfQBcAFwAdABpAG0AZQBzACAARQBGAF8AewB3AHcAfQBcAFwAcgBpAGcAaAB0AH0AKwBcAFwAbABlAGYAdAB7AFcAXwB0AFwAXAB0AGkAbQBlAHMAXABcAGwAZQBmAHQAWwBDAE8ARABfAHsAaQBuAH0AXABcAHQAaQBtAGUAcwAoAEYAXwB7AHMAbAB1AGQAZwBlAH0ALQBGAF8AewByAGUAbQBvAHYAZQBkAH0AKQBcAFwAcgBpAGcAaAB0AF0AXABcAHQAaQBtAGUAcwAgAEMARgBfAHsAcwBsAHUAZABnAGUALAB0AH0AXABcAHQAaQBtAGUAcwAgAEUARgBfAHsAcwBsAHUAZABnAGUAfQBcAFwAcgBpAGcAaAB0AH0ALQBcAFwAbABlAGYAdAB7ADYALgA3ADgANABcAFwAdABpAG0AZQBzACAAMQAwAF4AewAtADQAfQBcAFwAdABpAG0AZQBzACAAXABcAGwAZQBmAHQAWwAgAFEAXwB7AGMAYQBwAH0AKwBRAF8AewBmAGwAYQByAGUAZAB9ACsAUQBfAHsAbwB1AHQAfQBcAFwAcgBpAGcAaAB0AF0AXABcAHIAaQBnAGgAdAB9ACsAXABcAGwAZQBmAHQAewBRAF8AewBmAGwAYQByAGUAZAB9AFwAXAB0AGkAbQBlAHMAIABcAFwAbABlAGYAdABbACAARQBDAF8AewBmAGwAYQByAGUAZAB9AFwAXAB0AGkAbQBlAHMAIABFAEYAXwB7AGYAbABhAHIAZQBkACwAQwBIADQAfQBcAFwAcgBpAGcAaAB0AF0AXABcAHIAaQBnAGgAdAB9AFwAXAByAGkAZwBoAHQAfQBcACIAKQA7AFwAbgBcAG4AVgBFAEUAUgBHAF8AMQAxAF8AMQBfADEAXwAxAF8AXwAxAF8ATQBlAHQAaABhAG4AZQBFAG0AaQBzAHMAaQBvAG4AcwBGAHIAbwBtAFcAYQBzAHQAZQB3AGEAdABlAHIAVAByAGUAYQB0AG0AZQBuAHQAXwBBAHIAZwB1AG0AZQBuAHQAcwBcAG4AIAAgAD0ATABBAE0AQgBEAEEAKABcAG4AIAAgACAAIABNAEEASwBFAEEAUgBSAEEAWQAoADEANQAsACAANAAsAFwAbgAgACAAIAAgACAAIABMAEEATQBCAEQAQQAoAHIALABjACwAXABuACAAIAAgACAAIAAgACAAIABJAE4ARABFAFgAKAB7AFwAbgAgACAAIAAgACAAIAAgACAAIAAgAFwAIgBXAF8AdABcACIALAAgAFwAIgBxAHUAYQBuAHQAaQB0AHkAIABvAGYAIAB3AGEAcwB0AGUAdwBhAHQAZQByACAAdAByAGUAYQB0AGUAZAAgAGEAdAAgAGYAYQBjAGkAbABpAHQAeQAgAHQAeQBwAGUAIAB0AFwAIgAsACAAXAAiAG0AMwBcACIALAAgAFwAIgBJAG4AcAB1AHQAXAAiADsAXABuACAAIAAgACAAIAAgACAAIAAgACAAXAAiAEMATwBEAF8AaQBuAFwAIgAsACAAXAAiAGEAdgBlAHIAYQBnAGUAIABpAG4AbABlAHQAIABDAGgAZQBtAGkAYwBhAGwAIABPAHgAeQBnAGUAbgAgAEQAZQBtAGEAbgBkACAAYwBvAG4AYwBlAG4AdAByAGEAdABpAG8AbgAgAG8AZgAgAHcAYQBzAHQAZQB3AGEAdABlAHIAXAAiACwAIABcACIAawBnACAAQwBPAEQALwBtADMAXAAiACwAIABcACIASQBuAHAAdQB0AFwAIgA7AFwAbgAgACAAIAAgACAAIAAgACAAIAAgAFwAIgBGAF8AcwBsAHUAZABnAGUAXAAiACwAIABcACIAZgByAGEAYwB0AGkAbwBuACAAbwBmACAAQwBPAEQAIAByAGUAbQBvAHYAZQBkACAAZgByAG8AbQAgAHcAYQBzAHQAZQB3AGEAdABlAHIAIABhAHMAIABzAGwAdQBkAGcAZQBcACIALAAgAFwAIgBmAHIAYQBjAHQAaQBvAG4AXAAiACwAIABcACIASQBuAHAAdQB0AFwAIgA7AFwAbgAgACAAIAAgACAAIAAgACAAIAAgAFwAIgBDAE8ARABfAG8AdQB0AFwAIgAsACAAXAAiAGEAdgBlAHIAYQBnAGUAIABvAHUAdABsAGUAdAAgAEMATwBEACAAYwBvAG4AYwBlAG4AdAByAGEAdABpAG8AbgAgAG8AZgAgAHcAYQBzAHQAZQB3AGEAdABlAHIAXAAiACwAIABcACIAawBnACAAQwBPAEQALwBtADMAXAAiACwAIABcACIASQBuAHAAdQB0AFwAIgA7AFwAbgAgACAAIAAgACAAIAAgACAAIAAgAFwAIgBDAEYAXwB3AHcAXwB0AFwAIgAsACAAXAAiAG0AZQB0AGgAYQBuAGUAIABjAG8AcgByAGUAYwB0AGkAbwBuACAAZgBhAGMAdABvAHIAIABmAG8AcgAgAGYAYQBjAGkAbABpAHQAeQAgAHQAeQBwAGUAIAB0ACAAdQBzAGUAZAAgAHQAbwAgAHQAcgBlAGEAdAAgAHcAYQBzAHQAZQB3AGEAdABlAHIAXAAiACwAIABcACIAZgByAGEAYwB0AGkAbwBuAFwAIgAsACAAXAAiAEMAbwBuAHMAdABhAG4AdABcACIAOwBcAG4AIAAgACAAIAAgACAAIAAgACAAIABcACIARQBGAF8AdwB3AFwAIgAsACAAXAAiAG0AZQB0AGgAYQBuAGUAIABlAG0AaQBzAHMAaQBvAG4AIABmAGEAYwB0AG8AcgAgAGYAbwByACAAdwBhAHMAdABlAHcAYQB0AGUAcgBcACIALAAgAFwAIgBrAGcAIABDAEgANAAvAGsAZwAgAEMATwBEAFwAIgAsACAAXAAiAEMAbwBuAHMAdABhAG4AdABcACIAOwBcAG4AIAAgACAAIAAgACAAIAAgACAAIABcACIARgBfAHIAZQBtAG8AdgBlAGQAXAAiACwAIABcACIAZgByAGEAYwB0AGkAbwBuACAAbwBmACAAQwBPAEQAIAByAGUAbQBvAHYAZQBkACAAZgByAG8AbQAgAHQAaABlACAAdwBhAHMAdABlAHcAYQB0AGUAcgAgAHQAcgBlAGEAdABtAGUAbgB0ACAAZgBhAGMAaQBsAGkAdAB5ACAAYQBuAGQAIAB0AHIAYQBuAHMAZgBlAHIAcgBlAGQAIABlAGwAcwBlAHcAaABlAHIAZQBcACIALAAgAFwAIgBmAHIAYQBjAHQAaQBvAG4AXAAiACwAIABcACIASQBuAHAAdQB0AFwAIgA7AFwAbgAgACAAIAAgACAAIAAgACAAIAAgAFwAIgBDAEYAXwBzAGwAdQBkAGcAZQBfAHQAXAAiACwAIABcACIAbQBlAHQAaABhAG4AZQAgAGMAbwByAHIAZQBjAHQAaQBvAG4AIABmAGEAYwB0AG8AcgAgAGYAbwByACAAZgBhAGMAaQBsAGkAdAB5ACAAdAB5AHAAZQAgAHQAIAB1AHMAZQBkACAAdABvACAAdAByAGUAYQB0ACAAcwBsAHUAZABnAGUAXAAiACwAIABcACIAZgByAGEAYwB0AGkAbwBuAFwAIgAsACAAXAAiAEMAbwBuAHMAdABhAG4AdABcACIAOwBcAG4AIAAgACAAIAAgACAAIAAgACAAIABcACIARQBGAF8AcwBsAHUAZABnAGUAXAAiACwAIABcACIAbQBlAHQAaABhAG4AZQAgAGUAbQBpAHMAcwBpAG8AbgAgAGYAYQBjAHQAbwByACAAZgBvAHIAIABzAGwAdQBkAGcAZQBcACIALAAgAFwAIgBrAGcAIABDAEgANAAvAGsAZwAgAEMATwBEAFwAIgAsACAAXAAiAEMAbwBuAHMAdABhAG4AdABcACIAOwBcAG4AIAAgACAAIAAgACAAIAAgACAAIABcACIAUQBfAGMAYQBwAFwAIgAsACAAXAAiAHEAdQBhAG4AdABpAHQAeQAgAG8AZgAgAG0AZQB0AGgAYQBuAGUAIABpAG4AIABzAGwAdQBkAGcAZQAgAGIAaQBvAGcAYQBzACAAYwBhAHAAdAB1AHIAZQBkACAAZgBvAHIAIABjAG8AbQBiAHUAcwB0AGkAbwBuAFwAIgAsACAAXAAiAG0AMwAgAEMASAA0AFwAIgAsACAAXAAiAEkAbgBwAHUAdABcACIAOwBcAG4AIAAgACAAIAAgACAAIAAgACAAIABcACIAUQBfAGYAbABhAHIAZQBkAFwAIgAsACAAXAAiAHEAdQBhAG4AdABpAHQAeQAgAG8AZgAgAG0AZQB0AGgAYQBuAGUAIABpAG4AIABzAGwAdQBkAGcAZQAgAGIAaQBvAGcAYQBzACAAZgBsAGEAcgBlAGQAIABiAHkAIAB0AGgAZQAgAHQAcgBlAGEAdABtAGUAbgB0ACAAZgBhAGMAaQBsAGkAdAB5AFwAIgAsACAAXAAiAG0AMwAgAEMASAA0AFwAIgAsACAAXAAiAEkAbgBwAHUAdABcACIAOwBcAG4AIAAgACAAIAAgACAAIAAgACAAIABcACIAUQBfAG8AdQB0AFwAIgAsACAAXAAiAHEAdQBhAG4AdABpAHQAeQAgAG8AZgAgAG0AZQB0AGgAYQBuAGUAIABpAG4AIABzAGwAdQBkAGcAZQAgAGIAaQBvAGcAYQBzACAAdAByAGEAbgBzAGYAZQByAHIAZQBkACAAbwB1AHQAIABvAGYAIAB0AGgAZQAgAHQAcgBlAGEAdABtAGUAbgB0ACAAZgBhAGMAaQBsAGkAdAB5AFwAIgAsACAAXAAiAG0AMwAgAEMASAA0AFwAIgAsACAAXAAiAEkAbgBwAHUAdABcACIAOwBcAG4AIAAgACAAIAAgACAAIAAgACAAIABcACIARQBDAF8AZgBsAGEAcgBlAGQAXAAiACwAIABcACIAZQBuAGUAcgBnAHkAIABjAG8AbgB0AGUAbgB0ACAAZgBhAGMAdABvAHIAIABvAGYAIABtAGUAdABoAGEAbgBlACAAaQBuACAAcwBsAHUAZABnAGUAIABiAGkAbwBnAGEAcwAgAGYAbABhAHIAZQBkAFwAIgAsACAAXAAiAEcASgAvAG0AMwBcACIALAAgAFwAIgBDAG8AbgBzAHQAYQBuAHQAXAAiADsAXABuACAAIAAgACAAIAAgACAAIAAgACAAXAAiAEUARgBfAGYAbABhAHIAZQBkAEMASAA0AFwAIgAsACAAXAAiAG0AZQB0AGgAYQBuAGUAIABlAG0AaQBzAHMAaQBvAG4AIABmAGEAYwB0AG8AcgAgAGYAbwByACAAcwBsAHUAZABnAGUAIABiAGkAbwBnAGEAcwAgAGYAbABhAHIAZQBkAFwAIgAsACAAXAAiAGsAZwAgAEMASAA0AC8ARwBKAFwAIgAsACAAXAAiAEMAbwBuAHMAdABhAG4AdABcACIAOwBcAG4AIAAgACAAIAAgACAAIAAgACAAIABcACIAdABcACIALAAgAFwAIgB0AHIAZQBhAHQAbQBlAG4AdAAgAGYAYQBjAGkAbABpAHQAeQAgAHQAeQBwAGUAXAAiACwAIABcACIAXAAiACwAIABcACIASQBuAHAAdQB0AFwAIgBcAG4AIAAgACAAIAAgACAAIAAgAH0ALAAgAHIALAAgAGMAKQBcAG4AIAAgACAAIAAgACAAKQBcAG4AIAAgACAAIAApAFwAbgAgACAAKQA7AFwAbgBcAG4AXABuAFYARQBFAFIARwBfADEAMQBfADEAXwAxAF8AMQBfAF8AMQBfAE0AZQB0AGgAYQBuAGUARQBtAGkAcwBzAGkAbwBuAHMARgByAG8AbQBXAGEAcwB0AGUAdwBhAHQAZQByAFQAcgBlAGEAdABtAGUAbgB0AF8AVgBhAHIAaQBhAHQAaQBvAG4AXABuACAAIAA9AEwAQQBNAEIARABBACgAXAAiAFYAQQBSAEkAQQBUAEkATwBOACAATwBOACAAUwBPAFUAUgBDAEUAOgAgAEMAaABhAG4AZwBlAGQAIAB1AG4AaQB0AHMAIABvAGYAIABFAEYAXwB3AHcALAAgAEUARgBfAFMAbAB1AGQAZwBlACAAYQBuAGQAIABFAEYAXwBmAGwAYQByAGUAZAAgAGYAcgBvAG0AIABDAE8AMgBlACAAdABvACAAQwBIADQAIAB0AG8AIABtAGEAdABjAGgAIABkAGEAdABhACAAaQBuACAAVABhAGIAbABlACAAXAAiACkAOwAiAH0ALAB7ACIAcABhAHQAaAAiADoAIgAvAHAAcgBvAGoAZQBjAHQAcwAvAFcAYQBzAHQAZQB3AGEAdA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UAGEAYgBsAGUAIABBAC4ANAAuADEALgAzADoAIABNAGUAdABoAGEAbgBlACAAYwBvAHIAcgBlAGMAdABpAG8AbgAgAGYAYQBjAHQAbwByACAAZgBvAHIAIAB0AHIAZQBhAHQAbQBlAG4AdAAgAGYAYQBjAGkAbABpAHQAeQAgAHQAeQBwAGUAIAB0ACAAdQBzAGUAZAAgAHQAbwAgAHQAcgBlAGEAdAAgAHcAYQBzAHQAZQB3AGEAdABlAHIAIAAoAGYAcgBhAGMAdABpAG8AbgApACAAKABDAEYAdwB3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VwBhAHMAdABlAHcAYQB0AGUAcgBfAFQAaQB0AGwAZQBcAG4APQBMAEEATQBCAEQAQQAoACgAXAAiAE0AZQB0AGgAYQBuAGUAIABjAG8AcgByAGUAYwB0AGkAbwBuACAAZgBhAGMAdABvAHIAIABmAG8AcgAgAHQAcgBlAGEAdABtAGUAbgB0ACAAZgBhAGMAaQBsAGkAdAB5ACAAdAB5AHAAZQAgAHQAIAB1AHMAZQBkACAAdABvACAAdAByAGUAYQB0ACAAdwBhAHMAdABlAHcAYQB0AGUAcgBcACIAKQApADsAXABuAFwAbgBXAGEAcwB0AGUAXwBNAGUAdABoAGEAbgBlAEMAbwByAHIAZQBjAHQAaQBvAG4ARgBhAGMAdABvAHIAVwBhAHMAdABlAHcAYQB0AGUAcgBfAFYAYQByAGkAYQBiAGwAZQBcAG4APQBMAEEATQBCAEQAQQAoACgAXAAiAEMARgB3AHcALAB0AFwAIgApACkAOwBcAG4AXABuAFcAYQBzAHQAZQBfAE0AZQB0AGgAYQBuAGUAQwBvAHIAcgBlAGMAdABpAG8AbgBGAGEAYwB0AG8AcgBXAGEAcwB0AGUAdwBhAHQAZQByAF8AVQBuAGkAdABcAG4APQBMAEEATQBCAEQAQQAoACgAXAAiAGYAcgBhAGMAdABpAG8AbgBcACIAKQApADsAXABuAFwAbgBXAGEAcwB0AGUAXwBNAGUAdABoAGEAbgBlAEMAbwByAHIAZQBjAHQAaQBvAG4ARgBhAGMAdABvAHIAVwBhAHMAdABlAHcAYQB0AGUAcgBfAFMAbwB1AHIAYwBlAFwAbgA9AEwAQQBNAEIARABBACgAKABcACIAVgBFAEUAUgBHACAAMgAwADIANgA6ACAAVABhAGIAbABlACAAQQAuADQALgAxAC4AMwBcACIAKQApADsAXABuAFwAbgBXAGEAcwB0AGUAXwBNAGUAdABoAGEAbgBlAEMAbwByAHIAZQBjAHQAaQBvAG4ARgBhAGMAdABvAHIAVwBhAHMAdABlAHcAYQB0AGUAcgBfAEQAYQB0AGEAXABuAD0ATABBAE0AQgBEAEEAKABcAG4AIAAgAE0AQQBLAEUAQQBSAFIAQQBZACgANgAsACAAMgAsAFwAbgAgACAAIAAgAEwAQQBNAEIARABBACgAcgAsAGMALABcAG4AIAAgACAAIAAgACAASQBOAEQARQBYACgAewBcAG4AIAAgACAAIAAgACAAIAAgAFwAIgBGAGEAYwBpAGwAaQB0AHkAIAB0AHkAcABlACAAdABcACIALAAgAFwAIgBDAEYAdwB3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cAYQBzAHQAZQB3AGEAdABlAHI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QAYQBiAGwAZQAgAEEALgA0AC4AMQAuADQAOgAgAE0AZQB0AGgAYQBuAGUAIABjAG8AcgByAGUAYwB0AGkAbwBuACAAZgBhAGMAdABvAHIAIABmAG8AcgAgAHQAcgBlAGEAdABtAGUAbgB0ACAAZgBhAGMAaQBsAGkAdAB5ACAAdAB5AHAAZQAgAHQAIAB1AHMAZQBkACAAdABvACAAdAByAGUAYQB0ACAAcwBsAHUAZABnAGUAIAAoAGYAcgBhAGMAdABpAG8AbgApACAAKABDAEYAcwBsAHUAZABnAGUALAB0ACkAXABuAD0APQA9AD0APQA9AD0APQA9AD0APQA9AD0APQA9AD0APQA9AD0APQA9AD0APQA9AD0APQA9AD0APQA9AD0APQA9AD0APQA9AD0APQA9AD0APQA9AD0APQA9AD0APQA9AD0APQA9AD0APQA9AD0APQA9AD0APQA9AD0APQA9AD0APQA9AD0APQA9AD0APQA9AD0APQA9AD0AXABuACoALwBcAG4AXABuAFcAYQBzAHQAZQBfAE0AZQB0AGgAYQBuAGUAQwBvAHIAcgBlAGMAdABpAG8AbgBGAGEAYwB0AG8AcgBTAGwAdQBkAGcAZQBfAFQAaQB0AGwAZQBcAG4APQBMAEEATQBCAEQAQQAoACgAXAAiAE0AZQB0AGgAYQBuAGUAIABjAG8AcgByAGUAYwB0AGkAbwBuACAAZgBhAGMAdABvAHIAIABmAG8AcgAgAHQAcgBlAGEAdABtAGUAbgB0ACAAZgBhAGMAaQBsAGkAdAB5ACAAdAB5AHAAZQAgAHQAIAB1AHMAZQBkACAAdABvACAAdAByAGUAYQB0ACAAcwBsAHUAZABnAGUAXAAiACkAKQA7AFwAbgBcAG4AVwBhAHMAdABlAF8ATQBlAHQAaABhAG4AZQBDAG8AcgByAGUAYwB0AGkAbwBuAEYAYQBjAHQAbwByAFMAbAB1AGQAZwBlAF8AVgBhAHIAaQBhAGIAbABlAFwAbgA9AEwAQQBNAEIARABBACgAKABcACIAQwBGAHMAbAB1AGQAZwBlACwAdABcACIAKQApADsAXABuAFwAbgBXAGEAcwB0AGUAXwBNAGUAdABoAGEAbgBlAEMAbwByAHIAZQBjAHQAaQBvAG4ARgBhAGMAdABvAHIAUwBsAHUAZABnAGUAXwBVAG4AaQB0AFwAbgA9AEwAQQBNAEIARABBACgAKABcACIAZgByAGEAYwB0AGkAbwBuAFwAIgApACkAOwBcAG4AXABuAFcAYQBzAHQAZQBfAE0AZQB0AGgAYQBuAGUAQwBvAHIAcgBlAGMAdABpAG8AbgBGAGEAYwB0AG8AcgBTAGwAdQBkAGcAZQBfAFMAbwB1AHIAYwBlAFwAbgA9AEwAQQBNAEIARABBACgAKABcACIAVgBFAEUAUgBHACAAMgAwADIANgA6ACAAVABhAGIAbABlACAAQQAuADQALgAxAC4ANABcACIAKQApADsAXABuAFwAbgBXAGEAcwB0AGUAXwBNAGUAdABoAGEAbgBlAEMAbwByAHIAZQBjAHQAaQBvAG4ARgBhAGMAdABvAHIAUwBsAHUAZABnAGUAXwBEAGEAdABhAFwAbgA9AEwAQQBNAEIARABBACgAXABuACAAIABNAEEASwBFAEEAUgBSAEEAWQAoADYALAAgADIALABcAG4AIAAgACAAIABMAEEATQBCAEQAQQAoAHIALABjACwAXABuACAAIAAgACAAIAAgAEkATgBEAEUAWAAoAHsAXABuACAAIAAgACAAIAAgACAAIABcACIARgBhAGMAaQBsAGkAdAB5ACAAdAB5AHAAZQAgAHQAXAAiACwAIABcACIAQwBGAHMAbAB1AGQAZwBl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MAbAB1AGQAZwBlAF8AVgBhAHIAaQBhAHQAaQBvAG4AXABuAD0ATABBAE0AQgBEAEEAKAAoAFwAIgBcACIAK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cAYQBzAHQAZQB3AGEAdABlAHIAXwBUAGkAdABsAGUAXABuAD0ATABBAE0AQgBEAEEAKAAoAFwAIgBNAGUAdABoAGEAbgBlACAAZQBtAGkAcwBzAGkAbwBuACAAZgBhAGMAdABvAHIAIABmAG8AcgAgAHcAYQBzAHQAZQB3AGEAdABlAHIAXAAiACkAKQA7AFwAbgBcAG4AVwBhAHMAdABlAF8ATQBlAHQAaABhAG4AZQBFAG0AaQBzAHMAaQBvAG4ARgBhAGMAdABvAHIAVwBhAHMAdABlAHcAYQB0AGUAcgBfAFYAYQByAGkAYQBiAGwAZQBcAG4APQBMAEEATQBCAEQAQQAoACgAXAAiAEUARgB3AHcAXAAiACkAKQA7AFwAbgBcAG4AVwBhAHMAdABlAF8ATQBlAHQAaABhAG4AZQBFAG0AaQBzAHMAaQBvAG4ARgBhAGMAdABvAHIAVwBhAHMAdABlAHcAYQB0AGUAcgBfAFUAbgBpAHQAXABuAD0ATABBAE0AQgBEAEEAKAAoAFwAIgBrAGcAIABDAEgANAAgAC8AIABrAGcAIABDAE8ARABcACIAKQApADsAXABuAFwAbgBXAGEAcwB0AGUAXwBNAGUAdABoAGEAbgBlAEUAbQBpAHMAcwBpAG8AbgBGAGEAYwB0AG8AcgBXAGEAcwB0AGUAdwBhAHQAZQByAF8AUwBvAHUAcgBjAGUAXABuAD0ATABBAE0AQgBEAEEAKAAoAFwAIgBWAEUARQBSAEcAIAAyADAAMgA2ADoAIAAxADEALgAyAC4AMwAgAEMAbwBuAHMAdABhAG4AdABzAFwAIgApACkAOwBcAG4AXABuAFcAYQBzAHQAZQBfAE0AZQB0AGgAYQBuAGUARQBtAGkAcwBzAGkAbwBuAEYAYQBjAHQAbwByAFcAYQBzAHQAZQB3AGEAdABlAHIAXwBEAGEAdABhAFwAbgA9AEwAQQBNAEIARABBACgAIAAwAC4AMgA1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XwBUAGkAdABsAGUAXABuAD0ATABBAE0AQgBEAEEAKAAoAFwAIgBNAGUAdABoAGEAbgBlACAAZQBtAGkAcwBzAGkAbwBuACAAZgBhAGMAdABvAHIAIABmAG8AcgAgAHMAbAB1AGQAZwBlAFwAIgApACkAOwBcAG4AXABuAFcAYQBzAHQAZQBfAE0AZQB0AGgAYQBuAGUARQBtAGkAcwBzAGkAbwBuAEYAYQBjAHQAbwByAFMAbAB1AGQAZwBlAF8AVgBhAHIAaQBhAGIAbABlAFwAbgA9AEwAQQBNAEIARABBACgAKABcACIARQBGAHMAbAB1AGQAZwBlAFwAIgApACkAOwBcAG4AXABuAFcAYQBzAHQAZQBfAE0AZQB0AGgAYQBuAGUARQBtAGkAcwBzAGkAbwBuAEYAYQBjAHQAbwByAFMAbAB1AGQAZwBlAF8AVQBuAGkAdABcAG4APQBMAEEATQBCAEQAQQAoACgAXAAiAGsAZwAgAEMASAA0ACAALwAgAGsAZwAgAEMATwBEAFwAIgApACkAOwBcAG4AXABuAFcAYQBzAHQAZQBfAE0AZQB0AGgAYQBuAGUARQBtAGkAcwBzAGkAbwBuAEYAYQBjAHQAbwByAFMAbAB1AGQAZwBlAF8AUwBvAHUAcgBjAGUAXABuAD0ATABBAE0AQgBEAEEAKAAoAFwAIgBWAEUARQBSAEcAIAAyADAAMgA2ADoAIAAxADEALgAyAC4AMwAgAEMAbwBuAHMAdABhAG4AdABzAFwAIgApACkAOwBcAG4AXABuAFcAYQBzAHQAZQBfAE0AZQB0AGgAYQBuAGUARQBtAGkAcwBzAGkAbwBuAEYAYQBjAHQAbwByAFMAbAB1AGQAZwBlAF8ARABhAHQAYQBcAG4APQBMAEEATQBCAEQAQQAoADAALgAyADUAKQA7AFwAbgBcAG4ALwAqAFwAbgA9AD0APQA9AD0APQA9AD0APQA9AD0APQA9AD0APQA9AD0APQA9AD0APQA9AD0APQA9AD0APQA9AD0APQA9AD0APQA9AD0APQA9AD0APQA9AD0APQA9AD0APQA9AD0APQA9AD0APQA9AD0APQA9AD0APQA9AD0APQA9AD0APQA9AD0APQA9AD0APQA9AD0APQA9AD0APQA9AFwAbgAqAC8AXABuAFwAbgBXAGEAcwB0AGUAXwBFAG4AZQByAGcAeQBDAG8AbgB0AGUAbgB0AEYAYQBjAHQAbwByAFMAbAB1AGQAZwBlAEIAaQBvAGcAYQBzAEYAbABhAHIAZQBkAF8AVABpAHQAbABlAFwAbgA9AEwAQQBNAEIARABBACgAKABcACIARQBuAGUAcgBnAHkAIABjAG8AbgB0AGUAbgB0ACAAZgBhAGMAdABvAHIAIABvAGYAIABzAGwAdQBkAGcAZQAgAGIAaQBvAGcAYQBzACAAZgBsAGEAcgBlAGQAXAAiACkAKQA7AFwAbgBcAG4AVwBhAHMAdABlAF8ARQBuAGUAcgBnAHkAQwBvAG4AdABlAG4AdABGAGEAYwB0AG8AcgBTAGwAdQBkAGcAZQBCAGkAbwBnAGEAcwBGAGwAYQByAGUAZABfAFYAYQByAGkAYQBiAGwAZQBcAG4APQBMAEEATQBCAEQAQQAoACgAXAAiAEUAQwBmAGwAYQByAGUAZABcACIAKQApADsAXABuAFwAbgBXAGEAcwB0AGUAXwBFAG4AZQByAGcAeQBDAG8AbgB0AGUAbgB0AEYAYQBjAHQAbwByAFMAbAB1AGQAZwBlAEIAaQBvAGcAYQBzAEYAbABhAHIAZQBkAF8AVQBuAGkAdABcAG4APQBMAEEATQBCAEQAQQAoACgAXAAiAEcASgAgAC8AIABtADMAXAAiACkAKQA7AFwAbgBcAG4AVwBhAHMAdABlAF8ARQBuAGUAcgBnAHkAQwBvAG4AdABlAG4AdABGAGEAYwB0AG8AcgBTAGwAdQBkAGcAZQBCAGkAbwBnAGEAcwBGAGwAYQByAGUAZABfAFMAbwB1AHIAYwBlAFwAbgA9AEwAQQBNAEIARABBACgAKABcACIAVgBFAEUAUgBHACAAMgAwADIANgA6ACAAMQAxAC4AMgAuADMAIABDAG8AbgBzAHQAYQBuAHQAcwBcACIAKQApADsAXABuAFwAbgBXAGEAcwB0AGUAXwBFAG4AZQByAGcAeQBDAG8AbgB0AGUAbgB0AEYAYQBjAHQAbwByAFMAbAB1AGQAZwBlAEIAaQBvAGcAYQBzAEYAbABhAHIAZQBkAF8ARABhAHQAYQBcAG4APQBMAEEATQBCAEQAQQAoADAALgAwADMANwA3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QgBpAG8AZwBhAHMARgBsAGEAcgBlAGQAXwBUAGkAdABsAGUAXABuAD0ATABBAE0AQgBEAEEAKAAoAFwAIgBNAGUAdABoAGEAbgBlACAAZQBtAGkAcwBzAGkAbwBuACAAZgBhAGMAdABvAHIAIABmAG8AcgAgAHMAbAB1AGQAZwBlACAAYgBpAG8AZwBhAHMAIABmAGwAYQByAGUAZABcACIAKQApADsAXABuAFwAbgBXAGEAcwB0AGUAXwBNAGUAdABoAGEAbgBlAEUAbQBpAHMAcwBpAG8AbgBGAGEAYwB0AG8AcgBTAGwAdQBkAGcAZQBCAGkAbwBnAGEAcwBGAGwAYQByAGUAZABfAFYAYQByAGkAYQBiAGwAZQBcAG4APQBMAEEATQBCAEQAQQAoACgAXAAiAEUARgBmAGwAYQByAGUAZAAsAEMASAA0AFwAIgApACkAOwBcAG4AXABuAFcAYQBzAHQAZQBfAE0AZQB0AGgAYQBuAGUARQBtAGkAcwBzAGkAbwBuAEYAYQBjAHQAbwByAFMAbAB1AGQAZwBlAEIAaQBvAGcAYQBzAEYAbABhAHIAZQBkAF8AVQBuAGkAdABcAG4APQBMAEEATQBCAEQAQQAoACgAXAAiAGsAZwAgAEMASAA0ACAALwAgAEcASgBcACIAKQApADsAXABuAFwAbgBXAGEAcwB0AGUAXwBNAGUAdABoAGEAbgBlAEUAbQBpAHMAcwBpAG8AbgBGAGEAYwB0AG8AcgBTAGwAdQBkAGcAZQBCAGkAbwBnAGEAcwBGAGwAYQByAGUAZABfAFMAbwB1AHIAYwBlAFwAbgA9AEwAQQBNAEIARABBACgAKABcACIAVgBFAEUAUgBHACAAMgAwADIANgA6ACAAMQAxAC4AMgAuADMAIABDAG8AbgBzAHQAYQBuAHQAcwBcACIAKQApADsAXABuAFwAbgBXAGEAcwB0AGUAXwBNAGUAdABoAGEAbgBlAEUAbQBpAHMAcwBpAG8AbgBGAGEAYwB0AG8AcgBTAGwAdQBkAGcAZQBCAGkAbwBnAGEAcwBGAGwAYQByAGUAZABfAEQAYQB0AGEAXABuAD0ATABBAE0AQgBEAEEAKAAwAC4AMgAyADgAOQApADsAXABuAFwAbgAvACoAXABuAD0APQA9AD0APQA9AD0APQA9AD0APQA9AD0APQA9AD0APQA9AD0APQA9AD0APQA9AD0APQA9AD0APQA9AD0APQA9AD0APQA9AD0APQA9AD0APQA9AD0APQA9AD0APQA9AD0APQA9AD0APQA9AD0APQA9AD0APQA9AD0APQA9AD0APQA9AD0APQA9AD0APQA9AD0APQA9AD0AXABuACoALwBcAG4AXABuAFcAYQBzAHQAZQBfAE4AaQB0AHIAbwB1AHMATwB4AGkAZABlAEUAbQBpAHMAcwBpAG8AbgBGAGEAYwB0AG8AcgBTAGwAdQBkAGcAZQBCAGkAbwBnAGEAcwBGAGwAYQByAGUAZABfAFQAaQB0AGwAZQBcAG4APQBMAEEATQBCAEQAQQAoACgAXAAiAE4AaQB0AHIAbwB1AHMAIABvAHgAaQBkAGUAIABlAG0AaQBzAHMAaQBvAG4AIABmAGEAYwB0AG8AcgAgAGYAbwByACAAcwBsAHUAZABnAGUAIABiAGkAbwBnAGEAcwAgAGYAbABhAHIAZQBkAFwAIgApACkAOwBcAG4AXABuAFcAYQBzAHQAZQBfAE4AaQB0AHIAbwB1AHMATwB4AGkAZABlAEUAbQBpAHMAcwBpAG8AbgBGAGEAYwB0AG8AcgBTAGwAdQBkAGcAZQBCAGkAbwBnAGEAcwBGAGwAYQByAGUAZABfAFYAYQByAGkAYQBiAGwAZQBcAG4APQBMAEEATQBCAEQAQQAoACgAXAAiAEUARgBmAGwAYQByAGUAZAAsAE4AMgBPAFwAIgApACkAOwBcAG4AXABuAFcAYQBzAHQAZQBfAE4AaQB0AHIAbwB1AHMATwB4AGkAZABlAEUAbQBpAHMAcwBpAG8AbgBGAGEAYwB0AG8AcgBTAGwAdQBkAGcAZQBCAGkAbwBnAGEAcwBGAGwAYQByAGUAZABfAFUAbgBpAHQAXABuAD0ATABBAE0AQgBEAEEAKAAoAFwAIgBrAGcAIABOADIATwAgAC8AIABHAEoAXAAiACkAKQA7AFwAbgBcAG4AVwBhAHMAdABlAF8ATgBpAHQAcgBvAHUAcwBPAHgAaQBkAGUARQBtAGkAcwBzAGkAbwBuAEYAYQBjAHQAbwByAFMAbAB1AGQAZwBlAEIAaQBvAGcAYQBzAEYAbABhAHIAZQBkAF8AUwBvAHUAcgBjAGUAXABuAD0ATABBAE0AQgBEAEEAKAAoAFwAIgBWAEUARQBSAEcAIAAyADAAMgA2ADoAIAAxADEALgAyAC4AMwAgAEMAbwBuAHMAdABhAG4AdABzAFwAIgApACkAOwBcAG4AXABuAFcAYQBzAHQAZQBfAE4AaQB0AHIAbwB1AHMATwB4AGkAZABlAEUAbQBpAHMAcwBpAG8AbgBGAGEAYwB0AG8AcgBTAGwAdQBkAGcAZQBCAGkAbwBnAGEAcwBGAGwAYQByAGUAZABfAEQAYQB0AGEAXABuAD0ATABBAE0AQgBEAEEAKAAxAC4AMQAzADIAZQAtADQAKQA7AFwAbgAiAH0ALAB7ACIAcABhAHQAaAAiADoAIgAvAHAAcgBvAGoAZQBjAHQAcwAvAFcAYQBzAHQAZQB3AGEAdABlAHIAXwBOADIATwBfAEUAcQB1AGEAdABpAG8AbgBzACIALAAiAHQAZQB4AHQAIgA6ACIALwAqAFwAbgA9AD0APQA9AD0APQA9AD0APQA9AD0APQA9AD0APQA9AD0APQA9AD0APQA9AD0APQA9AD0APQA9AD0APQA9AD0APQA9AD0APQA9AD0APQA9AD0APQA9AD0APQA9AD0APQA9AD0APQA9AD0APQA9AD0APQA9AD0APQA9AD0APQA9AD0APQA9AD0APQA9AD0APQA9AD0APQA9AFwAbgAxADEALgAxADoAIABXAGEAcwB0AGUAdwBhAHQAZQByAFwAbgA9AD0APQA9AD0APQA9AD0APQA9AD0APQA9AD0APQA9AD0APQA9AD0APQA9AD0APQA9AD0APQA9AD0APQA9AD0APQA9AD0APQA9AD0APQA9AD0APQA9AD0APQA9AD0APQA9AD0APQA9AD0APQA9AD0APQA9AD0APQA9AD0APQA9AD0APQA9AD0APQA9AD0APQA9AD0APQA9AFwAbgAxADEALgAxAC4AMwAuADEAIABNAGUAdABoAG8AZAAgADEAIAAtACAATgBpAHQAcgBvAHUAcwAgAG8AeABpAGQAZQAgAGUAbQBpAHMAcwBpAG8AbgBzACAAZgByAG8AbQAgAG8AbgBzAGkAdABlACAAVwBhAHMAdABlAHcAYQB0AGUAcgAgAE0AYQBuAGEAZwBl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EAXwAxAF8AMwBfADEAXwBfADEAXwBOAGkAdAByAG8AdQBzAE8AeABpAGQAZQBFAG0AaQBzAHMAaQBvAG4AcwBGAHIAbwBtAEYAbABhAHIAZQBkAEIAaQBvAGcAYQBzAFwAbgBOAGkAdAByAG8AdQBzACAAbwB4AGkAZABlACAAZQBtAGkAcwBzAGkAbwBuAHMAIABmAHIAbwBtACAAZgBsAGEAcgBlAGQAIABiAGkAbwBnAGEAcwBcAG4ARQBfAE4AMgBPAFwAbgB0ACAATgAyAE8AXABuAEUAXwB7AE4AMgBPAH0APQBcAFwAZgByAGEAYwB7AFEAXwB7AGYAbABhAHIAZQBkAH0AfQB7ADEAMAAwADAAfQBcAFwAdABpAG0AZQBzACAARQBGAF8AewBmAGwAYQByAGUAZAAsAE4AMgBPAH0AXABuAFEAXwBmAGwAYQByAGUAZAAgAD0AIAB2AG8AbAB1AG0AZQAgAG8AZgAgAGIAaQBvAGcAYQBzACAAZgBsAGEAcgBlAGQAIAAoAG0AMwAgAG8AcgAgAEcASgApAFwAbgBFAEYAXwBmAGwAYQByAGUAZABfAE4AMgBPACAAPQAgAG4AaQB0AHIAbwB1AHMAIABvAHgAaQBkAGUAIABlAG0AaQBzAHMAaQBvAG4AIABmAGEAYwB0AG8AcgAgAGYAbwByACAAZgBsAGEAcgBlAGQAIABiAGkAbwBnAGEAcwAgACgAawBnACAATgAyAE8ALwBHAEoAKQBcAG4ALQAtAC0ALQAtAC0ALQAtAC0ALQAtAC0ALQAtAC0ALQAtAC0ALQAtAC0ALQAtAC0ALQAtAC0ALQAtAC0ALQAtAC0ALQAtAC0ALQAtAFwAbgAqAC8AXABuAFwAbgBWAEUARQBSAEcAXwAxADEAXwAxAF8AMwBfADEAXwBfADEAXwBOAGkAdAByAG8AdQBzAE8AeABpAGQAZQBFAG0AaQBzAHMAaQBvAG4AcwBGAHIAbwBtAEYAbABhAHIAZQBkAEIAaQBvAGcAYQBzAFwAbgAgACAAPQBMAEEATQBCAEQAQQAoAFwAbgAgACAAIAAgAFEAXwBmAGwAYQByAGUAZAAsACAARQBDAF8AZgBsAGEAcgBlAGQALAAgAEUARgBfAGYAbABhAHIAZQBkAE4AMgBPACwAXABuACAAIAAgACAAKABRAF8AZgBsAGEAcgBlAGQAIAAvACAAMQAwADAAMAApACAAKgAgACgARQBDAF8AZgBsAGEAcgBlAGQAIAAqACAARQBGAF8AZgBsAGEAcgBlAGQATgAyAE8AKQBcAG4AIAAgACkAOwBcAG4AXABuAFYARQBFAFIARwBfADEAMQBfADEAXwAzAF8AMQBfAF8AMQBfAE4AaQB0AHIAbwB1AHMATwB4AGkAZABlAEUAbQBpAHMAcwBpAG8AbgBzAEYAcgBvAG0ARgBsAGEAcgBlAGQAQgBpAG8AZwBhAHMAXwBUAGkAdABsAGUAXABuACAAIAA9AEwAQQBNAEIARABBACgAXAAiAE4AaQB0AHIAbwB1AHMAIABvAHgAaQBkAGUAIABlAG0AaQBzAHMAaQBvAG4AcwAgAGYAcgBvAG0AIABmAGwAYQByAGUAZAAgAGIAaQBvAGcAYQBzAFwAIgApADsAXABuAFwAbgBWAEUARQBSAEcAXwAxADEAXwAxAF8AMwBfADEAXwBfADEAXwBOAGkAdAByAG8AdQBzAE8AeABpAGQAZQBFAG0AaQBzAHMAaQBvAG4AcwBGAHIAbwBtAEYAbABhAHIAZQBkAEIAaQBvAGcAYQBzAF8AVgBhAHIAaQBhAGIAbABlAFwAbgAgACAAPQBMAEEATQBCAEQAQQAoAFwAIgBFAF8ATgAyAE8AXAAiACkAOwBcAG4AXABuAFYARQBFAFIARwBfADEAMQBfADEAXwAzAF8AMQBfAF8AMQBfAE4AaQB0AHIAbwB1AHMATwB4AGkAZABlAEUAbQBpAHMAcwBpAG8AbgBzAEYAcgBvAG0ARgBsAGEAcgBlAGQAQgBpAG8AZwBhAHMAXwBVAG4AaQB0AFwAbgAgACAAPQBMAEEATQBCAEQAQQAoAFwAIgB0ACAATgAyAE8AXAAiACkAOwBcAG4AXABuAFYARQBFAFIARwBfADEAMQBfADEAXwAzAF8AMQBfAF8AMQBfAE4AaQB0AHIAbwB1AHMATwB4AGkAZABlAEUAbQBpAHMAcwBpAG8AbgBzAEYAcgBvAG0ARgBsAGEAcgBlAGQAQgBpAG8AZwBhAHMAXwBTAG8AdQByAGMAZQBcAG4AIAAgAD0ATABBAE0AQgBEAEEAKABcACIAVgBFAEUAUgBHACAAMgAwADIANgA6ACAAMQAxAC4AMQAuADMALgAxACwAIABFAHEAdQBhAHQAaQBvAG4AIAAoADEAKQBcACIAKQA7AFwAbgBcAG4AVgBFAEUAUgBHAF8AMQAxAF8AMQBfADMAXwAxAF8AXwAxAF8ATgBpAHQAcgBvAHUAcwBPAHgAaQBkAGUARQBtAGkAcwBzAGkAbwBuAHMARgByAG8AbQBGAGwAYQByAGUAZABCAGkAbwBnAGEAcwBfAE4ASQBSAFIAZQBmAGUAcgBlAG4AYwBlAFwAbgAgACAAPQBMAEEATQBCAEQAQQAoAFwAIgBcACIAKQA7AFwAbgBcAG4AVgBFAEUAUgBHAF8AMQAxAF8AMQBfADMAXwAxAF8AXwAxAF8ATgBpAHQAcgBvAHUAcwBPAHgAaQBkAGUARQBtAGkAcwBzAGkAbwBuAHMARgByAG8AbQBGAGwAYQByAGUAZABCAGkAbwBnAGEAcwBfAEwAYQB0AGUAeABFAHEAdQBhAHQAaQBvAG4AXABuACAAIAA9AEwAQQBNAEIARABBACgAXAAiAEUAXwB7AE4AMgBPAH0APQBcAFwAZgByAGEAYwB7AFEAXwB7AGYAbABhAHIAZQBkAH0AfQB7ADEAMAAwADAAfQBcAFwAdABpAG0AZQBzACAAXABcAGwAZQBmAHQAWwBFAEMAXwB7AGYAbABhAHIAZQBkAH0AIABcAFwAdABpAG0AZQBzACAARQBGAF8AewBmAGwAYQByAGUAZAAsAE4AMgBPAH0AXABcAHIAaQBnAGgAdABdAFwAIgApADsAXABuAFwAbgBWAEUARQBSAEcAXwAxADEAXwAxAF8AMwBfADEAXwBfADEAXwBOAGkAdAByAG8AdQBzAE8AeABpAGQAZQBFAG0AaQBzAHMAaQBvAG4AcwBGAHIAbwBtAEYAbABhAHIAZQBkAEIAaQBvAGcAYQBzAF8AQQByAGcAdQBtAGUAbgB0AHMAXABuACAAIAA9AEwAQQBNAEIARABBACgAXABuACAAIAAgACAATQBBAEsARQBBAFIAUgBBAFkAKAAzACwAIAA0ACwAXABuACAAIAAgACAAIAAgAEwAQQBNAEIARABBACgAcgAsAGMALABcAG4AIAAgACAAIAAgACAAIAAgAEkATgBEAEUAWAAoAHsAXABuACAAIAAgACAAIAAgACAAIAAgACAAXAAiAFEAXwBmAGwAYQByAGUAZABcACIALAAgAFwAIgB2AG8AbAB1AG0AZQAgAG8AZgAgAGIAaQBvAGcAYQBzACAAZgBsAGEAcgBlAGQAXAAiACwAIABcACIAbQAzAFwAIgAsACAAXAAiAEkAbgBwAHUAdABcACIAOwBcAG4AIAAgACAAIAAgACAAIAAgACAAIABcACIARQBDAF8AZgBsAGEAcgBlAGQAXAAiACwAIABcACIAZQBuAGUAcgBnAHkAIABjAG8AbgB0AGUAbgB0ACAAZgBhAGMAdABvAHIAIABvAGYAIABzAGwAdQBkAGcAZQAgAGIAaQBvAGcAYQBzACAAZgBsAGEAcgBlAGQAXAAiACwAIABcACIARwBKAC8AbQAzAFwAIgAsACAAXAAiAEMAbwBuAHMAdABhAG4AdABcACIAOwBcAG4AIAAgACAAIAAgACAAIAAgACAAIABcACIARQBGAF8AZgBsAGEAcgBlAGQATgAyAE8AXAAiACwAIABcACIAbgBpAHQAcgBvAHUAcwAgAG8AeABpAGQAZQAgAGUAbQBpAHMAcwBpAG8AbgAgAGYAYQBjAHQAbwByACAAZgBvAHIAIABmAGwAYQByAGUAZAAgAGIAaQBvAGcAYQBzAFwAIgAsACAAXAAiAGsAZwAgAE4AMgBPAC8ARwBKAFwAIgAsACAAXAAiAEMAbwBuAHMAdABhAG4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cAYQBzAHQAZQB3AGEAdABlAHIAXwBNAGUAdABoAGEAbgBlAF8ARQBxAHUAYQB0AGkAbwBuAHMALgBWAEUARQBSAEcAXwAxADEAXwAxAF8AMQBfADEAXwBfADEAXwBNAGUAdABoAGEAbgBlAEUAbQBpAHMAcwBpAG8AbgBzAEYAcgBvAG0AVwBhAHMAdABlAHcAYQB0AGUAcgBUAHIAZQBhAHQAbQBlAG4AdAAiACwAIgBXAGEAcwB0AGUAdwBhAHQAZQByAF8ATQBlAHQAaABhAG4AZQBfAEUAcQB1AGEAdABpAG8AbgBzAC4AVgBFAEUAUgBHAF8AMQAxAF8AMQBfADEAXwAxAF8AXwAxAF8ATQBlAHQAaABhAG4AZQBFAG0AaQBzAHMAaQBvAG4AcwBGAHIAbwBtAFcAYQBzAHQAZQB3AGEAdABlAHIAVAByAGUAYQB0AG0AZQBuAHQAXwBUAGkAdABsAGUAIgAsACIAVwBhAHMAdABlAHcAYQB0AGUAcgBfAE0AZQB0AGgAYQBuAGUAXwBFAHEAdQBhAHQAaQBvAG4AcwAuAFYARQBFAFIARwBfADEAMQBfADEAXwAxAF8AMQBfAF8AMQBfAE0AZQB0AGgAYQBuAGUARQBtAGkAcwBzAGkAbwBuAHMARgByAG8AbQBXAGEAcwB0AGUAdwBhAHQAZQByAFQAcgBlAGEAdABtAGUAbgB0AF8AVgBhAHIAaQBhAGIAbABlACIALAAiAFcAYQBzAHQAZQB3AGEAdABlAHIAXwBNAGUAdABoAGEAbgBlAF8ARQBxAHUAYQB0AGkAbwBuAHMALgBWAEUARQBSAEcAXwAxADEAXwAxAF8AMQBfADEAXwBfADEAXwBNAGUAdABoAGEAbgBlAEUAbQBpAHMAcwBpAG8AbgBzAEYAcgBvAG0AVwBhAHMAdABlAHcAYQB0AGUAcgBUAHIAZQBhAHQAbQBlAG4AdABfAFUAbgBpAHQAIgAsACIAVwBhAHMAdABlAHcAYQB0AGUAcgBfAE0AZQB0AGgAYQBuAGUAXwBFAHEAdQBhAHQAaQBvAG4AcwAuAFYARQBFAFIARwBfADEAMQBfADEAXwAxAF8AMQBfAF8AMQBfAE0AZQB0AGgAYQBuAGUARQBtAGkAcwBzAGkAbwBuAHMARgByAG8AbQBXAGEAcwB0AGUAdwBhAHQAZQByAFQAcgBlAGEAdABtAGUAbgB0AF8AUwBvAHUAcgBjAGUAIgAsACIAVwBhAHMAdABlAHcAYQB0AGUAcgBfAE0AZQB0AGgAYQBuAGUAXwBFAHEAdQBhAHQAaQBvAG4AcwAuAFYARQBFAFIARwBfADEAMQBfADEAXwAxAF8AMQBfAF8AMQBfAE0AZQB0AGgAYQBuAGUARQBtAGkAcwBzAGkAbwBuAHMARgByAG8AbQBXAGEAcwB0AGUAdwBhAHQAZQByAFQAcgBlAGEAdABtAGUAbgB0AF8ATgBJAFIAUgBlAGYAZQByAGUAbgBjAGUAIgAsACIAVwBhAHMAdABlAHcAYQB0AGUAcgBfAE0AZQB0AGgAYQBuAGUAXwBFAHEAdQBhAHQAaQBvAG4AcwAuAFYARQBFAFIARwBfADEAMQBfADEAXwAxAF8AMQBfAF8AMQBfAE0AZQB0AGgAYQBuAGUARQBtAGkAcwBzAGkAbwBuAHMARgByAG8AbQBXAGEAcwB0AGUAdwBhAHQAZQByAFQAcgBlAGEAdABtAGUAbgB0AF8ATABhAHQAZQB4AEUAcQB1AGEAdABpAG8AbgAiACwAIgBXAGEAcwB0AGUAdwBhAHQAZQByAF8ATQBlAHQAaABhAG4AZQBfAEUAcQB1AGEAdABpAG8AbgBzAC4AVgBFAEUAUgBHAF8AMQAxAF8AMQBfADEAXwAxAF8AXwAxAF8ATQBlAHQAaABhAG4AZQBFAG0AaQBzAHMAaQBvAG4AcwBGAHIAbwBtAFcAYQBzAHQAZQB3AGEAdABlAHIAVAByAGUAYQB0AG0AZQBuAHQAXwBBAHIAZwB1AG0AZQBuAHQAcwAiACwAIgBXAGEAcwB0AGUAdwBhAHQAZQByAF8ATQBlAHQAaABhAG4AZQBfAEUAcQB1AGEAdABpAG8AbgBzAC4AVgBFAEUAUgBHAF8AMQAxAF8AMQBfADEAXwAxAF8AXwAxAF8ATQBlAHQAaABhAG4AZQBFAG0AaQBzAHMAaQBvAG4AcwBGAHIAbwBtAFcAYQBzAHQAZQB3AGEAdABlAHIAVAByAGUAYQB0AG0AZQBuAHQAXwBWAGEAcgBpAGEAdABpAG8AbgAiACwAIgBXAGEAcwB0AGUAdwBhAHQAZQByAF8AUwBvAHUAcgBjAGUARABhAHQAYQAuAFcAYQBzAHQAZQBfAE0AZQB0AGgAYQBuAGUAQwBvAHIAcgBlAGMAdABpAG8AbgBGAGEAYwB0AG8AcgBXAGEAcwB0AGUAdwBhAHQAZQByAF8AVABpAHQAbABlACIALAAiAFcAYQBzAHQAZQB3AGEAdABlAHIAXwBTAG8AdQByAGMAZQBEAGEAdABhAC4AVwBhAHMAdABlAF8ATQBlAHQAaABhAG4AZQBDAG8AcgByAGUAYwB0AGkAbwBuAEYAYQBjAHQAbwByAFcAYQBzAHQAZQB3AGEAdABlAHIAXwBWAGEAcgBpAGEAYgBsAGUAIgAsACIAVwBhAHMAdABlAHcAYQB0AGUAcgBfAFMAbwB1AHIAYwBlAEQAYQB0AGEALgBXAGEAcwB0AGUAXwBNAGUAdABoAGEAbgBlAEMAbwByAHIAZQBjAHQAaQBvAG4ARgBhAGMAdABvAHIAVwBhAHMAdABlAHcAYQB0AGUAcgBfAFUAbgBpAHQAIgAsACIAVwBhAHMAdABlAHcAYQB0AGUAcgBfAFMAbwB1AHIAYwBlAEQAYQB0AGEALgBXAGEAcwB0AGUAXwBNAGUAdABoAGEAbgBlAEMAbwByAHIAZQBjAHQAaQBvAG4ARgBhAGMAdABvAHIAVwBhAHMAdABlAHcAYQB0AGUAcgBfAFMAbwB1AHIAYwBlACIALAAiAFcAYQBzAHQAZQB3AGEAdABlAHIAXwBTAG8AdQByAGMAZQBEAGEAdABhAC4AVwBhAHMAdABlAF8ATQBlAHQAaABhAG4AZQBDAG8AcgByAGUAYwB0AGkAbwBuAEYAYQBjAHQAbwByAFcAYQBzAHQAZQB3AGEAdABlAHIAXwBEAGEAdABhACIALAAiAFcAYQBzAHQAZQB3AGEAdABlAHIAXwBTAG8AdQByAGMAZQBEAGEAdABhAC4AVwBhAHMAdABlAF8ATQBlAHQAaABhAG4AZQBDAG8AcgByAGUAYwB0AGkAbwBuAEYAYQBjAHQAbwByAFcAYQBzAHQAZQB3AGEAdABlAHIAXwBWAGEAcgBpAGEAdABpAG8AbgAiACwAIgBXAGEAcwB0AGUAdwBhAHQAZQByAF8AUwBvAHUAcgBjAGUARABhAHQAYQAuAFcAYQBzAHQAZQBfAE0AZQB0AGgAYQBuAGUAQwBvAHIAcgBlAGMAdABpAG8AbgBGAGEAYwB0AG8AcgBTAGwAdQBkAGcAZQBfAFQAaQB0AGwAZQAiACwAIgBXAGEAcwB0AGUAdwBhAHQAZQByAF8AUwBvAHUAcgBjAGUARABhAHQAYQAuAFcAYQBzAHQAZQBfAE0AZQB0AGgAYQBuAGUAQwBvAHIAcgBlAGMAdABpAG8AbgBGAGEAYwB0AG8AcgBTAGwAdQBkAGcAZQBfAFYAYQByAGkAYQBiAGwAZQAiACwAIgBXAGEAcwB0AGUAdwBhAHQAZQByAF8AUwBvAHUAcgBjAGUARABhAHQAYQAuAFcAYQBzAHQAZQBfAE0AZQB0AGgAYQBuAGUAQwBvAHIAcgBlAGMAdABpAG8AbgBGAGEAYwB0AG8AcgBTAGwAdQBkAGcAZQBfAFUAbgBpAHQAIgAsACIAVwBhAHMAdABlAHcAYQB0AGUAcgBfAFMAbwB1AHIAYwBlAEQAYQB0AGEALgBXAGEAcwB0AGUAXwBNAGUAdABoAGEAbgBlAEMAbwByAHIAZQBjAHQAaQBvAG4ARgBhAGMAdABvAHIAUwBsAHUAZABnAGUAXwBTAG8AdQByAGMAZQAiACwAIgBXAGEAcwB0AGUAdwBhAHQAZQByAF8AUwBvAHUAcgBjAGUARABhAHQAYQAuAFcAYQBzAHQAZQBfAE0AZQB0AGgAYQBuAGUAQwBvAHIAcgBlAGMAdABpAG8AbgBGAGEAYwB0AG8AcgBTAGwAdQBkAGcAZQBfAEQAYQB0AGEAIgAsACIAVwBhAHMAdABlAHcAYQB0AGUAcgBfAFMAbwB1AHIAYwBlAEQAYQB0AGEALgBXAGEAcwB0AGUAXwBNAGUAdABoAGEAbgBlAEMAbwByAHIAZQBjAHQAaQBvAG4ARgBhAGMAdABvAHIAUwBsAHUAZABnAGUAXwBWAGEAcgBpAGEAdABpAG8AbgAiACwAIgBXAGEAcwB0AGUAdwBhAHQAZQByAF8AUwBvAHUAcgBjAGUARABhAHQAYQAuAFcAYQBzAHQAZQBfAE0AZQB0AGgAYQBuAGUARQBtAGkAcwBzAGkAbwBuAEYAYQBjAHQAbwByAFcAYQBzAHQAZQB3AGEAdABlAHIAXwBUAGkAdABsAGUAIgAsACIAVwBhAHMAdABlAHcAYQB0AGUAcgBfAFMAbwB1AHIAYwBlAEQAYQB0AGEALgBXAGEAcwB0AGUAXwBNAGUAdABoAGEAbgBlAEUAbQBpAHMAcwBpAG8AbgBGAGEAYwB0AG8AcgBXAGEAcwB0AGUAdwBhAHQAZQByAF8AVgBhAHIAaQBhAGIAbABlACIALAAiAFcAYQBzAHQAZQB3AGEAdABlAHIAXwBTAG8AdQByAGMAZQBEAGEAdABhAC4AVwBhAHMAdABlAF8ATQBlAHQAaABhAG4AZQBFAG0AaQBzAHMAaQBvAG4ARgBhAGMAdABvAHIAVwBhAHMAdABlAHcAYQB0AGUAcgBfAFUAbgBpAHQAIgAsACIAVwBhAHMAdABlAHcAYQB0AGUAcgBfAFMAbwB1AHIAYwBlAEQAYQB0AGEALgBXAGEAcwB0AGUAXwBNAGUAdABoAGEAbgBlAEUAbQBpAHMAcwBpAG8AbgBGAGEAYwB0AG8AcgBXAGEAcwB0AGUAdwBhAHQAZQByAF8AUwBvAHUAcgBjAGUAIgAsACIAVwBhAHMAdABlAHcAYQB0AGUAcgBfAFMAbwB1AHIAYwBlAEQAYQB0AGEALgBXAGEAcwB0AGUAXwBNAGUAdABoAGEAbgBlAEUAbQBpAHMAcwBpAG8AbgBGAGEAYwB0AG8AcgBXAGEAcwB0AGUAdwBhAHQAZQByAF8ARABhAHQAYQAiACwAIgBXAGEAcwB0AGUAdwBhAHQAZQByAF8AUwBvAHUAcgBjAGUARABhAHQAYQAuAFcAYQBzAHQAZQBfAE0AZQB0AGgAYQBuAGUARQBtAGkAcwBzAGkAbwBuAEYAYQBjAHQAbwByAFMAbAB1AGQAZwBlAF8AVABpAHQAbABlACIALAAiAFcAYQBzAHQAZQB3AGEAdABlAHIAXwBTAG8AdQByAGMAZQBEAGEAdABhAC4AVwBhAHMAdABlAF8ATQBlAHQAaABhAG4AZQBFAG0AaQBzAHMAaQBvAG4ARgBhAGMAdABvAHIAUwBsAHUAZABnAGUAXwBWAGEAcgBpAGEAYgBsAGUAIgAsACIAVwBhAHMAdABlAHcAYQB0AGUAcgBfAFMAbwB1AHIAYwBlAEQAYQB0AGEALgBXAGEAcwB0AGUAXwBNAGUAdABoAGEAbgBlAEUAbQBpAHMAcwBpAG8AbgBGAGEAYwB0AG8AcgBTAGwAdQBkAGcAZQBfAFUAbgBpAHQAIgAsACIAVwBhAHMAdABlAHcAYQB0AGUAcgBfAFMAbwB1AHIAYwBlAEQAYQB0AGEALgBXAGEAcwB0AGUAXwBNAGUAdABoAGEAbgBlAEUAbQBpAHMAcwBpAG8AbgBGAGEAYwB0AG8AcgBTAGwAdQBkAGcAZQBfAFMAbwB1AHIAYwBlACIALAAiAFcAYQBzAHQAZQB3AGEAdABlAHIAXwBTAG8AdQByAGMAZQBEAGEAdABhAC4AVwBhAHMAdABlAF8ATQBlAHQAaABhAG4AZQBFAG0AaQBzAHMAaQBvAG4ARgBhAGMAdABvAHIAUwBsAHUAZABnAGUAXwBEAGEAdABhACIALAAiAFcAYQBzAHQAZQB3AGEAdABlAHIAXwBTAG8AdQByAGMAZQBEAGEAdABhAC4AVwBhAHMAdABlAF8ARQBuAGUAcgBnAHkAQwBvAG4AdABlAG4AdABGAGEAYwB0AG8AcgBTAGwAdQBkAGcAZQBCAGkAbwBnAGEAcwBGAGwAYQByAGUAZABfAFQAaQB0AGwAZQAiACwAIgBXAGEAcwB0AGUAdwBhAHQAZQByAF8AUwBvAHUAcgBjAGUARABhAHQAYQAuAFcAYQBzAHQAZQBfAEUAbgBlAHIAZwB5AEMAbwBuAHQAZQBuAHQARgBhAGMAdABvAHIAUwBsAHUAZABnAGUAQgBpAG8AZwBhAHMARgBsAGEAcgBlAGQAXwBWAGEAcgBpAGEAYgBsAGUAIgAsACIAVwBhAHMAdABlAHcAYQB0AGUAcgBfAFMAbwB1AHIAYwBlAEQAYQB0AGEALgBXAGEAcwB0AGUAXwBFAG4AZQByAGcAeQBDAG8AbgB0AGUAbgB0AEYAYQBjAHQAbwByAFMAbAB1AGQAZwBlAEIAaQBvAGcAYQBzAEYAbABhAHIAZQBkAF8AVQBuAGkAdAAiACwAIgBXAGEAcwB0AGUAdwBhAHQAZQByAF8AUwBvAHUAcgBjAGUARABhAHQAYQAuAFcAYQBzAHQAZQBfAEUAbgBlAHIAZwB5AEMAbwBuAHQAZQBuAHQARgBhAGMAdABvAHIAUwBsAHUAZABnAGUAQgBpAG8AZwBhAHMARgBsAGEAcgBlAGQAXwBTAG8AdQByAGMAZQAiACwAIgBXAGEAcwB0AGUAdwBhAHQAZQByAF8AUwBvAHUAcgBjAGUARABhAHQAYQAuAFcAYQBzAHQAZQBfAEUAbgBlAHIAZwB5AEMAbwBuAHQAZQBuAHQARgBhAGMAdABvAHIAUwBsAHUAZABnAGUAQgBpAG8AZwBhAHMARgBsAGEAcgBlAGQAXwBEAGEAdABhACIALAAiAFcAYQBzAHQAZQB3AGEAdABlAHIAXwBTAG8AdQByAGMAZQBEAGEAdABhAC4AVwBhAHMAdABlAF8ATQBlAHQAaABhAG4AZQBFAG0AaQBzAHMAaQBvAG4ARgBhAGMAdABvAHIAUwBsAHUAZABnAGUAQgBpAG8AZwBhAHMARgBsAGEAcgBlAGQAXwBUAGkAdABsAGUAIgAsACIAVwBhAHMAdABlAHcAYQB0AGUAcgBfAFMAbwB1AHIAYwBlAEQAYQB0AGEALgBXAGEAcwB0AGUAXwBNAGUAdABoAGEAbgBlAEUAbQBpAHMAcwBpAG8AbgBGAGEAYwB0AG8AcgBTAGwAdQBkAGcAZQBCAGkAbwBnAGEAcwBGAGwAYQByAGUAZABfAFYAYQByAGkAYQBiAGwAZQAiACwAIgBXAGEAcwB0AGUAdwBhAHQAZQByAF8AUwBvAHUAcgBjAGUARABhAHQAYQAuAFcAYQBzAHQAZQBfAE0AZQB0AGgAYQBuAGUARQBtAGkAcwBzAGkAbwBuAEYAYQBjAHQAbwByAFMAbAB1AGQAZwBlAEIAaQBvAGcAYQBzAEYAbABhAHIAZQBkAF8AVQBuAGkAdAAiACwAIgBXAGEAcwB0AGUAdwBhAHQAZQByAF8AUwBvAHUAcgBjAGUARABhAHQAYQAuAFcAYQBzAHQAZQBfAE0AZQB0AGgAYQBuAGUARQBtAGkAcwBzAGkAbwBuAEYAYQBjAHQAbwByAFMAbAB1AGQAZwBlAEIAaQBvAGcAYQBzAEYAbABhAHIAZQBkAF8AUwBvAHUAcgBjAGUAIgAsACIAVwBhAHMAdABlAHcAYQB0AGUAcgBfAFMAbwB1AHIAYwBlAEQAYQB0AGEALgBXAGEAcwB0AGUAXwBNAGUAdABoAGEAbgBlAEUAbQBpAHMAcwBpAG8AbgBGAGEAYwB0AG8AcgBTAGwAdQBkAGcAZQBCAGkAbwBnAGEAcwBGAGwAYQByAGUAZABfAEQAYQB0AGEAIgAsACIAVwBhAHMAdABlAHcAYQB0AGUAcgBfAFMAbwB1AHIAYwBlAEQAYQB0AGEALgBXAGEAcwB0AGUAXwBOAGkAdAByAG8AdQBzAE8AeABpAGQAZQBFAG0AaQBzAHMAaQBvAG4ARgBhAGMAdABvAHIAUwBsAHUAZABnAGUAQgBpAG8AZwBhAHMARgBsAGEAcgBlAGQAXwBUAGkAdABsAGUAIgAsACIAVwBhAHMAdABlAHcAYQB0AGUAcgBfAFMAbwB1AHIAYwBlAEQAYQB0AGEALgBXAGEAcwB0AGUAXwBOAGkAdAByAG8AdQBzAE8AeABpAGQAZQBFAG0AaQBzAHMAaQBvAG4ARgBhAGMAdABvAHIAUwBsAHUAZABnAGUAQgBpAG8AZwBhAHMARgBsAGEAcgBlAGQAXwBWAGEAcgBpAGEAYgBsAGUAIgAsACIAVwBhAHMAdABlAHcAYQB0AGUAcgBfAFMAbwB1AHIAYwBlAEQAYQB0AGEALgBXAGEAcwB0AGUAXwBOAGkAdAByAG8AdQBzAE8AeABpAGQAZQBFAG0AaQBzAHMAaQBvAG4ARgBhAGMAdABvAHIAUwBsAHUAZABnAGUAQgBpAG8AZwBhAHMARgBsAGEAcgBlAGQAXwBVAG4AaQB0ACIALAAiAFcAYQBzAHQAZQB3AGEAdABlAHIAXwBTAG8AdQByAGMAZQBEAGEAdABhAC4AVwBhAHMAdABlAF8ATgBpAHQAcgBvAHUAcwBPAHgAaQBkAGUARQBtAGkAcwBzAGkAbwBuAEYAYQBjAHQAbwByAFMAbAB1AGQAZwBlAEIAaQBvAGcAYQBzAEYAbABhAHIAZQBkAF8AUwBvAHUAcgBjAGUAIgAsACIAVwBhAHMAdABlAHcAYQB0AGUAcgBfAFMAbwB1AHIAYwBlAEQAYQB0AGEALgBXAGEAcwB0AGUAXwBOAGkAdAByAG8AdQBzAE8AeABpAGQAZQBFAG0AaQBzAHMAaQBvAG4ARgBhAGMAdABvAHIAUwBsAHUAZABnAGUAQgBpAG8AZwBhAHMARgBsAGEAcgBlAGQAXwBEAGEAdABhACIALAAiAFcAYQBzAHQAZQB3AGEAdABlAHIAXwBOADIATwBfAEUAcQB1AGEAdABpAG8AbgBzAC4AVgBFAEUAUgBHAF8AMQAxAF8AMQBfADMAXwAxAF8AXwAxAF8ATgBpAHQAcgBvAHUAcwBPAHgAaQBkAGUARQBtAGkAcwBzAGkAbwBuAHMARgByAG8AbQBGAGwAYQByAGUAZABCAGkAbwBnAGEAcwAiACwAIgBXAGEAcwB0AGUAdwBhAHQAZQByAF8ATgAyAE8AXwBFAHEAdQBhAHQAaQBvAG4AcwAuAFYARQBFAFIARwBfADEAMQBfADEAXwAzAF8AMQBfAF8AMQBfAE4AaQB0AHIAbwB1AHMATwB4AGkAZABlAEUAbQBpAHMAcwBpAG8AbgBzAEYAcgBvAG0ARgBsAGEAcgBlAGQAQgBpAG8AZwBhAHMAXwBUAGkAdABsAGUAIgAsACIAVwBhAHMAdABlAHcAYQB0AGUAcgBfAE4AMgBPAF8ARQBxAHUAYQB0AGkAbwBuAHMALgBWAEUARQBSAEcAXwAxADEAXwAxAF8AMwBfADEAXwBfADEAXwBOAGkAdAByAG8AdQBzAE8AeABpAGQAZQBFAG0AaQBzAHMAaQBvAG4AcwBGAHIAbwBtAEYAbABhAHIAZQBkAEIAaQBvAGcAYQBzAF8AVgBhAHIAaQBhAGIAbABlACIALAAiAFcAYQBzAHQAZQB3AGEAdABlAHIAXwBOADIATwBfAEUAcQB1AGEAdABpAG8AbgBzAC4AVgBFAEUAUgBHAF8AMQAxAF8AMQBfADMAXwAxAF8AXwAxAF8ATgBpAHQAcgBvAHUAcwBPAHgAaQBkAGUARQBtAGkAcwBzAGkAbwBuAHMARgByAG8AbQBGAGwAYQByAGUAZABCAGkAbwBnAGEAcwBfAFUAbgBpAHQAIgAsACIAVwBhAHMAdABlAHcAYQB0AGUAcgBfAE4AMgBPAF8ARQBxAHUAYQB0AGkAbwBuAHMALgBWAEUARQBSAEcAXwAxADEAXwAxAF8AMwBfADEAXwBfADEAXwBOAGkAdAByAG8AdQBzAE8AeABpAGQAZQBFAG0AaQBzAHMAaQBvAG4AcwBGAHIAbwBtAEYAbABhAHIAZQBkAEIAaQBvAGcAYQBzAF8AUwBvAHUAcgBjAGUAIgAsACIAVwBhAHMAdABlAHcAYQB0AGUAcgBfAE4AMgBPAF8ARQBxAHUAYQB0AGkAbwBuAHMALgBWAEUARQBSAEcAXwAxADEAXwAxAF8AMwBfADEAXwBfADEAXwBOAGkAdAByAG8AdQBzAE8AeABpAGQAZQBFAG0AaQBzAHMAaQBvAG4AcwBGAHIAbwBtAEYAbABhAHIAZQBkAEIAaQBvAGcAYQBzAF8ATgBJAFIAUgBlAGYAZQByAGUAbgBjAGUAIgAsACIAVwBhAHMAdABlAHcAYQB0AGUAcgBfAE4AMgBPAF8ARQBxAHUAYQB0AGkAbwBuAHMALgBWAEUARQBSAEcAXwAxADEAXwAxAF8AMwBfADEAXwBfADEAXwBOAGkAdAByAG8AdQBzAE8AeABpAGQAZQBFAG0AaQBzAHMAaQBvAG4AcwBGAHIAbwBtAEYAbABhAHIAZQBkAEIAaQBvAGcAYQBzAF8ATABhAHQAZQB4AEUAcQB1AGEAdABpAG8AbgAiACwAIgBXAGEAcwB0AGUAdwBhAHQAZQByAF8ATgAyAE8AXwBFAHEAdQBhAHQAaQBvAG4AcwAuAFYARQBFAFIARwBfADEAMQBfADEAXwAzAF8AMQBfAF8AMQBfAE4AaQB0AHIAbwB1AHMATwB4AGkAZABlAEUAbQBpAHMAcwBpAG8AbgBzAEYAcgBvAG0ARgBsAGEAcgBlAGQAQgBpAG8AZwBhAH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Home</vt:lpstr>
      <vt:lpstr>Overview</vt:lpstr>
      <vt:lpstr>Results</vt:lpstr>
      <vt:lpstr>Input - Wastewater</vt:lpstr>
      <vt:lpstr>11.1.1-2 Wastewater CH4</vt:lpstr>
      <vt:lpstr>11.1.3-4 Wastewater N2O</vt:lpstr>
      <vt:lpstr>Constants - Wastewater</vt:lpstr>
      <vt:lpstr>Constants - Common</vt:lpstr>
      <vt:lpstr>Common_SourceData_DensityOfMethane_Data</vt:lpstr>
      <vt:lpstr>VEERG_11_1_1_1__1_MethaneEmissionsFromWastewaterTreatment_Result_Method1</vt:lpstr>
      <vt:lpstr>VEERG_11_1_3_1__1_NitrousOxideEmissionsFromFlaredBiogas_Result_Method1</vt:lpstr>
      <vt:lpstr>X_Cell_Wastewater_FractionCODRemovedAndTransferred</vt:lpstr>
      <vt:lpstr>X_Cell_Wastewater_FractionCODRemovedAsSludge</vt:lpstr>
      <vt:lpstr>X_Cell_Wastewater_InletCOD</vt:lpstr>
      <vt:lpstr>X_Cell_Wastewater_OutletCOD</vt:lpstr>
      <vt:lpstr>X_Cell_Wastewater_QuantityInM3</vt:lpstr>
      <vt:lpstr>X_Cell_Wastewater_SludgeMethaneCapturedForCombustion</vt:lpstr>
      <vt:lpstr>X_Cell_Wastewater_SludgeMethaneFlared</vt:lpstr>
      <vt:lpstr>X_Cell_Wastewater_SludgeMethaneTransferred</vt:lpstr>
      <vt:lpstr>X_Cell_Wastewater_TreatmentFacilityType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