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ADF3E4A-200B-456B-9501-067074B02610}" xr6:coauthVersionLast="47" xr6:coauthVersionMax="47" xr10:uidLastSave="{00000000-0000-0000-0000-000000000000}"/>
  <bookViews>
    <workbookView xWindow="795" yWindow="855" windowWidth="36900" windowHeight="18960" firstSheet="4" activeTab="4" xr2:uid="{992023F3-CAB7-4E5B-A348-08D563A0EF40}"/>
  </bookViews>
  <sheets>
    <sheet name="Home" sheetId="71" r:id="rId1"/>
    <sheet name="Overview" sheetId="118" r:id="rId2"/>
    <sheet name="Results" sheetId="13" r:id="rId3"/>
    <sheet name="Input - Fuel" sheetId="70" r:id="rId4"/>
    <sheet name="9.1.1.1-2 Refrigerant use" sheetId="69" r:id="rId5"/>
    <sheet name="Constants - Refrigerants" sheetId="110" r:id="rId6"/>
    <sheet name="Constants - Common" sheetId="111" r:id="rId7"/>
  </sheets>
  <externalReferences>
    <externalReference r:id="rId8"/>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Refrigerants_Equations.VEERG_9_1_1__1_RefrigerantLeaking">_xlfn.LAMBDA(_xlpm.GWPR,_xlpm.chargeRa,_xlpm.leakageratea, _xlpm.GWPR * _xlpm.chargeRa * (_xlpm.leakageratea / 100) * 10 ^ -3)</definedName>
    <definedName name="Refrigerants_Equations.VEERG_9_1_1__1_RefrigerantLeaking_Arguments">_xlfn.LAMBDA(_xlfn.MAKEARRAY(5, 3, _xlfn.LAMBDA(_xlpm.r,_xlpm.c, INDEX({"GWPR","Global warming potential of refrigerant R","Dimensionless";"chargeRa","Amount of refrigerant R contained in appliance a","kg";"leakageratea","Prcentage of total charge leaked from appliance a each year","Percent";"a","Appliance","";"R","Refrigerant",""}, _xlpm.r, _xlpm.c))))</definedName>
    <definedName name="Refrigerants_Equations.VEERG_9_1_1__1_RefrigerantLeaking_NIRReference">_xlfn.LAMBDA("Australian National Greenhouse Accounts Factors 2025 - 3.1 Estimating industrial processes emissions - Refrigerant leakage")</definedName>
    <definedName name="Refrigerants_Equations.VEERG_9_1_1__1_RefrigerantLeaking_ReadableEquation">_xlfn.LAMBDA("GWPR * chargeRa * (leakageratea/100)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CO2-e")</definedName>
    <definedName name="Refrigerants_Equations.VEERG_9_1_1__1_RefrigerantLeaking_Variable">_xlfn.LAMBDA("E")</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_xlfn.LAMBDA(_xlfn.MAKEARRAY(81,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1" i="110" l="1" a="1"/>
  <c r="L161" i="110" s="1"/>
  <c r="K161" i="110" a="1"/>
  <c r="K161" i="110" s="1"/>
  <c r="J161" i="110" a="1"/>
  <c r="J161" i="110" s="1"/>
  <c r="I161" i="110" a="1"/>
  <c r="I161" i="110" s="1"/>
  <c r="L160" i="110" a="1"/>
  <c r="L160" i="110" s="1"/>
  <c r="K160" i="110" a="1"/>
  <c r="K160" i="110" s="1"/>
  <c r="J160" i="110" a="1"/>
  <c r="J160" i="110" s="1"/>
  <c r="I160" i="110" a="1"/>
  <c r="I160" i="110" s="1"/>
  <c r="L159" i="110" a="1"/>
  <c r="L159" i="110" s="1"/>
  <c r="K159" i="110" a="1"/>
  <c r="K159" i="110" s="1"/>
  <c r="J159" i="110" a="1"/>
  <c r="J159" i="110" s="1"/>
  <c r="I159" i="110" a="1"/>
  <c r="I159" i="110" s="1"/>
  <c r="L158" i="110" a="1"/>
  <c r="L158" i="110" s="1"/>
  <c r="K158" i="110" a="1"/>
  <c r="K158" i="110" s="1"/>
  <c r="J158" i="110" a="1"/>
  <c r="J158" i="110" s="1"/>
  <c r="I158" i="110" a="1"/>
  <c r="I158" i="110" s="1"/>
  <c r="L157" i="110" a="1"/>
  <c r="L157" i="110" s="1"/>
  <c r="K157" i="110" a="1"/>
  <c r="K157" i="110" s="1"/>
  <c r="J157" i="110" a="1"/>
  <c r="J157" i="110" s="1"/>
  <c r="I157" i="110" a="1"/>
  <c r="I157" i="110" s="1"/>
  <c r="L156" i="110" a="1"/>
  <c r="L156" i="110" s="1"/>
  <c r="K156" i="110" a="1"/>
  <c r="K156" i="110" s="1"/>
  <c r="J156" i="110" a="1"/>
  <c r="J156" i="110" s="1"/>
  <c r="I156" i="110" a="1"/>
  <c r="I156" i="110" s="1"/>
  <c r="L155" i="110" a="1"/>
  <c r="L155" i="110" s="1"/>
  <c r="K155" i="110" a="1"/>
  <c r="K155" i="110" s="1"/>
  <c r="J155" i="110" a="1"/>
  <c r="J155" i="110" s="1"/>
  <c r="I155" i="110" a="1"/>
  <c r="I155" i="110" s="1"/>
  <c r="L154" i="110" a="1"/>
  <c r="L154" i="110" s="1"/>
  <c r="K154" i="110" a="1"/>
  <c r="K154" i="110" s="1"/>
  <c r="J154" i="110" a="1"/>
  <c r="J154" i="110" s="1"/>
  <c r="I154" i="110" a="1"/>
  <c r="I154" i="110" s="1"/>
  <c r="L153" i="110" a="1"/>
  <c r="L153" i="110" s="1"/>
  <c r="K153" i="110" a="1"/>
  <c r="K153" i="110" s="1"/>
  <c r="J153" i="110" a="1"/>
  <c r="J153" i="110" s="1"/>
  <c r="I153" i="110" a="1"/>
  <c r="I153" i="110" s="1"/>
  <c r="L152" i="110" a="1"/>
  <c r="L152" i="110" s="1"/>
  <c r="K152" i="110" a="1"/>
  <c r="K152" i="110" s="1"/>
  <c r="J152" i="110" a="1"/>
  <c r="J152" i="110" s="1"/>
  <c r="I152" i="110" a="1"/>
  <c r="I152" i="110" s="1"/>
  <c r="L151" i="110" a="1"/>
  <c r="L151" i="110" s="1"/>
  <c r="K151" i="110" a="1"/>
  <c r="K151" i="110" s="1"/>
  <c r="J151" i="110" a="1"/>
  <c r="J151" i="110" s="1"/>
  <c r="I151" i="110" a="1"/>
  <c r="I151" i="110" s="1"/>
  <c r="L150" i="110" a="1"/>
  <c r="L150" i="110" s="1"/>
  <c r="K150" i="110" a="1"/>
  <c r="K150" i="110" s="1"/>
  <c r="J150" i="110" a="1"/>
  <c r="J150" i="110" s="1"/>
  <c r="I150" i="110" a="1"/>
  <c r="I150" i="110" s="1"/>
  <c r="L149" i="110" a="1"/>
  <c r="L149" i="110" s="1"/>
  <c r="K149" i="110" a="1"/>
  <c r="K149" i="110" s="1"/>
  <c r="J149" i="110" a="1"/>
  <c r="J149" i="110" s="1"/>
  <c r="I149" i="110" a="1"/>
  <c r="I149" i="110" s="1"/>
  <c r="L148" i="110" a="1"/>
  <c r="L148" i="110" s="1"/>
  <c r="K148" i="110" a="1"/>
  <c r="K148" i="110" s="1"/>
  <c r="J148" i="110" a="1"/>
  <c r="J148" i="110" s="1"/>
  <c r="I148" i="110" a="1"/>
  <c r="I148" i="110" s="1"/>
  <c r="L147" i="110" a="1"/>
  <c r="L147" i="110" s="1"/>
  <c r="K147" i="110" a="1"/>
  <c r="K147" i="110" s="1"/>
  <c r="J147" i="110" a="1"/>
  <c r="J147" i="110" s="1"/>
  <c r="I147" i="110" a="1"/>
  <c r="I147" i="110" s="1"/>
  <c r="L146" i="110" a="1"/>
  <c r="L146" i="110" s="1"/>
  <c r="K146" i="110" a="1"/>
  <c r="K146" i="110" s="1"/>
  <c r="J146" i="110" a="1"/>
  <c r="J146" i="110" s="1"/>
  <c r="I146" i="110" a="1"/>
  <c r="I146" i="110" s="1"/>
  <c r="L145" i="110" a="1"/>
  <c r="L145" i="110" s="1"/>
  <c r="K145" i="110" a="1"/>
  <c r="K145" i="110" s="1"/>
  <c r="J145" i="110" a="1"/>
  <c r="J145" i="110" s="1"/>
  <c r="I145" i="110" a="1"/>
  <c r="I145" i="110" s="1"/>
  <c r="L144" i="110" a="1"/>
  <c r="L144" i="110" s="1"/>
  <c r="K144" i="110" a="1"/>
  <c r="K144" i="110" s="1"/>
  <c r="J144" i="110" a="1"/>
  <c r="J144" i="110" s="1"/>
  <c r="I144" i="110" a="1"/>
  <c r="I144" i="110" s="1"/>
  <c r="L143" i="110" a="1"/>
  <c r="L143" i="110" s="1"/>
  <c r="K143" i="110" a="1"/>
  <c r="K143" i="110" s="1"/>
  <c r="J143" i="110" a="1"/>
  <c r="J143" i="110" s="1"/>
  <c r="I143" i="110" a="1"/>
  <c r="I143" i="110" s="1"/>
  <c r="L142" i="110" a="1"/>
  <c r="L142" i="110" s="1"/>
  <c r="K142" i="110" a="1"/>
  <c r="K142" i="110" s="1"/>
  <c r="J142" i="110" a="1"/>
  <c r="J142" i="110" s="1"/>
  <c r="I142" i="110" a="1"/>
  <c r="I142" i="110" s="1"/>
  <c r="L141" i="110" a="1"/>
  <c r="L141" i="110" s="1"/>
  <c r="K141" i="110" a="1"/>
  <c r="K141" i="110" s="1"/>
  <c r="J141" i="110" a="1"/>
  <c r="J141" i="110" s="1"/>
  <c r="I141" i="110" a="1"/>
  <c r="I141" i="110" s="1"/>
  <c r="L140" i="110" a="1"/>
  <c r="L140" i="110" s="1"/>
  <c r="K140" i="110" a="1"/>
  <c r="K140" i="110" s="1"/>
  <c r="J140" i="110" a="1"/>
  <c r="J140" i="110" s="1"/>
  <c r="I140" i="110" a="1"/>
  <c r="I140" i="110" s="1"/>
  <c r="L139" i="110" a="1"/>
  <c r="L139" i="110" s="1"/>
  <c r="K139" i="110" a="1"/>
  <c r="K139" i="110" s="1"/>
  <c r="J139" i="110" a="1"/>
  <c r="J139" i="110" s="1"/>
  <c r="I139" i="110" a="1"/>
  <c r="I139" i="110" s="1"/>
  <c r="L138" i="110" a="1"/>
  <c r="L138" i="110" s="1"/>
  <c r="K138" i="110" a="1"/>
  <c r="K138" i="110" s="1"/>
  <c r="J138" i="110" a="1"/>
  <c r="J138" i="110" s="1"/>
  <c r="I138" i="110" a="1"/>
  <c r="I138" i="110" s="1"/>
  <c r="L137" i="110" a="1"/>
  <c r="L137" i="110" s="1"/>
  <c r="K137" i="110" a="1"/>
  <c r="K137" i="110" s="1"/>
  <c r="J137" i="110" a="1"/>
  <c r="J137" i="110" s="1"/>
  <c r="I137" i="110" a="1"/>
  <c r="I137" i="110" s="1"/>
  <c r="L136" i="110" a="1"/>
  <c r="L136" i="110" s="1"/>
  <c r="K136" i="110" a="1"/>
  <c r="K136" i="110" s="1"/>
  <c r="J136" i="110" a="1"/>
  <c r="J136" i="110" s="1"/>
  <c r="I136" i="110" a="1"/>
  <c r="I136" i="110" s="1"/>
  <c r="L135" i="110" a="1"/>
  <c r="L135" i="110" s="1"/>
  <c r="K135" i="110" a="1"/>
  <c r="K135" i="110" s="1"/>
  <c r="J135" i="110" a="1"/>
  <c r="J135" i="110" s="1"/>
  <c r="I135" i="110" a="1"/>
  <c r="I135" i="110" s="1"/>
  <c r="L134" i="110" a="1"/>
  <c r="L134" i="110" s="1"/>
  <c r="K134" i="110" a="1"/>
  <c r="K134" i="110" s="1"/>
  <c r="J134" i="110" a="1"/>
  <c r="J134" i="110" s="1"/>
  <c r="I134" i="110" a="1"/>
  <c r="I134" i="110" s="1"/>
  <c r="L133" i="110" a="1"/>
  <c r="L133" i="110" s="1"/>
  <c r="K133" i="110" a="1"/>
  <c r="K133" i="110" s="1"/>
  <c r="J133" i="110" a="1"/>
  <c r="J133" i="110" s="1"/>
  <c r="I133" i="110" a="1"/>
  <c r="I133" i="110" s="1"/>
  <c r="L132" i="110" a="1"/>
  <c r="L132" i="110" s="1"/>
  <c r="K132" i="110" a="1"/>
  <c r="K132" i="110" s="1"/>
  <c r="J132" i="110" a="1"/>
  <c r="J132" i="110" s="1"/>
  <c r="I132" i="110" a="1"/>
  <c r="I132" i="110" s="1"/>
  <c r="L131" i="110" a="1"/>
  <c r="L131" i="110" s="1"/>
  <c r="K131" i="110" a="1"/>
  <c r="K131" i="110" s="1"/>
  <c r="J131" i="110" a="1"/>
  <c r="J131" i="110" s="1"/>
  <c r="I131" i="110" a="1"/>
  <c r="I131" i="110" s="1"/>
  <c r="L130" i="110" a="1"/>
  <c r="L130" i="110" s="1"/>
  <c r="K130" i="110" a="1"/>
  <c r="K130" i="110" s="1"/>
  <c r="J130" i="110" a="1"/>
  <c r="J130" i="110" s="1"/>
  <c r="I130" i="110" a="1"/>
  <c r="I130" i="110" s="1"/>
  <c r="L129" i="110" a="1"/>
  <c r="L129" i="110" s="1"/>
  <c r="K129" i="110" a="1"/>
  <c r="K129" i="110" s="1"/>
  <c r="J129" i="110" a="1"/>
  <c r="J129" i="110" s="1"/>
  <c r="I129" i="110" a="1"/>
  <c r="I129" i="110" s="1"/>
  <c r="L128" i="110" a="1"/>
  <c r="L128" i="110" s="1"/>
  <c r="K128" i="110" a="1"/>
  <c r="K128" i="110" s="1"/>
  <c r="J128" i="110" a="1"/>
  <c r="J128" i="110" s="1"/>
  <c r="I128" i="110" a="1"/>
  <c r="I128" i="110" s="1"/>
  <c r="L127" i="110" a="1"/>
  <c r="L127" i="110" s="1"/>
  <c r="K127" i="110" a="1"/>
  <c r="K127" i="110" s="1"/>
  <c r="J127" i="110" a="1"/>
  <c r="J127" i="110" s="1"/>
  <c r="I127" i="110" a="1"/>
  <c r="I127" i="110" s="1"/>
  <c r="L126" i="110" a="1"/>
  <c r="L126" i="110" s="1"/>
  <c r="K126" i="110" a="1"/>
  <c r="K126" i="110" s="1"/>
  <c r="J126" i="110" a="1"/>
  <c r="J126" i="110" s="1"/>
  <c r="I126" i="110" a="1"/>
  <c r="I126" i="110" s="1"/>
  <c r="L125" i="110" a="1"/>
  <c r="L125" i="110" s="1"/>
  <c r="K125" i="110" a="1"/>
  <c r="K125" i="110" s="1"/>
  <c r="J125" i="110" a="1"/>
  <c r="J125" i="110" s="1"/>
  <c r="I125" i="110" a="1"/>
  <c r="I125" i="110" s="1"/>
  <c r="L124" i="110" a="1"/>
  <c r="L124" i="110" s="1"/>
  <c r="K124" i="110" a="1"/>
  <c r="K124" i="110" s="1"/>
  <c r="J124" i="110" a="1"/>
  <c r="J124" i="110" s="1"/>
  <c r="I124" i="110" a="1"/>
  <c r="I124" i="110" s="1"/>
  <c r="L123" i="110" a="1"/>
  <c r="L123" i="110" s="1"/>
  <c r="K123" i="110" a="1"/>
  <c r="K123" i="110" s="1"/>
  <c r="J123" i="110" a="1"/>
  <c r="J123" i="110" s="1"/>
  <c r="I123" i="110" a="1"/>
  <c r="I123" i="110" s="1"/>
  <c r="L122" i="110" a="1"/>
  <c r="L122" i="110" s="1"/>
  <c r="K122" i="110" a="1"/>
  <c r="K122" i="110" s="1"/>
  <c r="J122" i="110" a="1"/>
  <c r="J122" i="110" s="1"/>
  <c r="I122" i="110" a="1"/>
  <c r="I122" i="110" s="1"/>
  <c r="L121" i="110" a="1"/>
  <c r="L121" i="110" s="1"/>
  <c r="K121" i="110" a="1"/>
  <c r="K121" i="110" s="1"/>
  <c r="J121" i="110" a="1"/>
  <c r="J121" i="110" s="1"/>
  <c r="I121" i="110" a="1"/>
  <c r="I121" i="110" s="1"/>
  <c r="L120" i="110" a="1"/>
  <c r="L120" i="110" s="1"/>
  <c r="K120" i="110" a="1"/>
  <c r="K120" i="110" s="1"/>
  <c r="J120" i="110" a="1"/>
  <c r="J120" i="110" s="1"/>
  <c r="I120" i="110" a="1"/>
  <c r="I120" i="110" s="1"/>
  <c r="L119" i="110" a="1"/>
  <c r="L119" i="110" s="1"/>
  <c r="K119" i="110" a="1"/>
  <c r="K119" i="110" s="1"/>
  <c r="J119" i="110" a="1"/>
  <c r="J119" i="110" s="1"/>
  <c r="I119" i="110" a="1"/>
  <c r="I119" i="110" s="1"/>
  <c r="L118" i="110" a="1"/>
  <c r="L118" i="110" s="1"/>
  <c r="K118" i="110" a="1"/>
  <c r="K118" i="110" s="1"/>
  <c r="J118" i="110" a="1"/>
  <c r="J118" i="110" s="1"/>
  <c r="I118" i="110" a="1"/>
  <c r="I118" i="110" s="1"/>
  <c r="L117" i="110" a="1"/>
  <c r="L117" i="110" s="1"/>
  <c r="K117" i="110" a="1"/>
  <c r="K117" i="110" s="1"/>
  <c r="J117" i="110" a="1"/>
  <c r="J117" i="110" s="1"/>
  <c r="I117" i="110" a="1"/>
  <c r="I117" i="110" s="1"/>
  <c r="L116" i="110" a="1"/>
  <c r="L116" i="110" s="1"/>
  <c r="K116" i="110" a="1"/>
  <c r="K116" i="110" s="1"/>
  <c r="J116" i="110" a="1"/>
  <c r="J116" i="110" s="1"/>
  <c r="I116" i="110" a="1"/>
  <c r="I116" i="110" s="1"/>
  <c r="L115" i="110" a="1"/>
  <c r="L115" i="110" s="1"/>
  <c r="K115" i="110" a="1"/>
  <c r="K115" i="110" s="1"/>
  <c r="J115" i="110" a="1"/>
  <c r="J115" i="110" s="1"/>
  <c r="I115" i="110" a="1"/>
  <c r="I115" i="110" s="1"/>
  <c r="L114" i="110" a="1"/>
  <c r="L114" i="110" s="1"/>
  <c r="K114" i="110" a="1"/>
  <c r="K114" i="110" s="1"/>
  <c r="J114" i="110" a="1"/>
  <c r="J114" i="110" s="1"/>
  <c r="I114" i="110" a="1"/>
  <c r="I114" i="110" s="1"/>
  <c r="L113" i="110" a="1"/>
  <c r="L113" i="110" s="1"/>
  <c r="K113" i="110" a="1"/>
  <c r="K113" i="110" s="1"/>
  <c r="J113" i="110" a="1"/>
  <c r="J113" i="110" s="1"/>
  <c r="I113" i="110" a="1"/>
  <c r="I113" i="110" s="1"/>
  <c r="H161" i="110" a="1"/>
  <c r="H161" i="110" s="1"/>
  <c r="G161" i="110" a="1"/>
  <c r="G161" i="110" s="1"/>
  <c r="F161" i="110" a="1"/>
  <c r="F161" i="110" s="1"/>
  <c r="E161" i="110" a="1"/>
  <c r="E161" i="110" s="1"/>
  <c r="H160" i="110" a="1"/>
  <c r="H160" i="110" s="1"/>
  <c r="G160" i="110" a="1"/>
  <c r="G160" i="110" s="1"/>
  <c r="F160" i="110" a="1"/>
  <c r="F160" i="110" s="1"/>
  <c r="E160" i="110" a="1"/>
  <c r="E160" i="110" s="1"/>
  <c r="H159" i="110" a="1"/>
  <c r="H159" i="110" s="1"/>
  <c r="G159" i="110" a="1"/>
  <c r="G159" i="110" s="1"/>
  <c r="F159" i="110" a="1"/>
  <c r="F159" i="110" s="1"/>
  <c r="E159" i="110" a="1"/>
  <c r="E159" i="110" s="1"/>
  <c r="H158" i="110" a="1"/>
  <c r="H158" i="110" s="1"/>
  <c r="G158" i="110" a="1"/>
  <c r="G158" i="110" s="1"/>
  <c r="F158" i="110" a="1"/>
  <c r="F158" i="110" s="1"/>
  <c r="E158" i="110" a="1"/>
  <c r="E158" i="110" s="1"/>
  <c r="H157" i="110" a="1"/>
  <c r="H157" i="110" s="1"/>
  <c r="G157" i="110" a="1"/>
  <c r="G157" i="110" s="1"/>
  <c r="F157" i="110" a="1"/>
  <c r="F157" i="110" s="1"/>
  <c r="E157" i="110" a="1"/>
  <c r="E157" i="110" s="1"/>
  <c r="H156" i="110" a="1"/>
  <c r="H156" i="110" s="1"/>
  <c r="G156" i="110" a="1"/>
  <c r="G156" i="110" s="1"/>
  <c r="F156" i="110" a="1"/>
  <c r="F156" i="110" s="1"/>
  <c r="E156" i="110" a="1"/>
  <c r="E156" i="110" s="1"/>
  <c r="H155" i="110" a="1"/>
  <c r="H155" i="110" s="1"/>
  <c r="G155" i="110" a="1"/>
  <c r="G155" i="110" s="1"/>
  <c r="F155" i="110" a="1"/>
  <c r="F155" i="110" s="1"/>
  <c r="E155" i="110" a="1"/>
  <c r="E155" i="110" s="1"/>
  <c r="H154" i="110" a="1"/>
  <c r="H154" i="110" s="1"/>
  <c r="G154" i="110" a="1"/>
  <c r="G154" i="110" s="1"/>
  <c r="F154" i="110" a="1"/>
  <c r="F154" i="110" s="1"/>
  <c r="E154" i="110" a="1"/>
  <c r="E154" i="110" s="1"/>
  <c r="H153" i="110" a="1"/>
  <c r="H153" i="110" s="1"/>
  <c r="G153" i="110" a="1"/>
  <c r="G153" i="110" s="1"/>
  <c r="F153" i="110" a="1"/>
  <c r="F153" i="110" s="1"/>
  <c r="E153" i="110" a="1"/>
  <c r="E153" i="110" s="1"/>
  <c r="H152" i="110" a="1"/>
  <c r="H152" i="110" s="1"/>
  <c r="G152" i="110" a="1"/>
  <c r="G152" i="110" s="1"/>
  <c r="F152" i="110" a="1"/>
  <c r="F152" i="110" s="1"/>
  <c r="E152" i="110" a="1"/>
  <c r="E152" i="110" s="1"/>
  <c r="H151" i="110" a="1"/>
  <c r="H151" i="110" s="1"/>
  <c r="G151" i="110" a="1"/>
  <c r="G151" i="110" s="1"/>
  <c r="F151" i="110" a="1"/>
  <c r="F151" i="110" s="1"/>
  <c r="E151" i="110" a="1"/>
  <c r="E151" i="110" s="1"/>
  <c r="H150" i="110" a="1"/>
  <c r="H150" i="110" s="1"/>
  <c r="G150" i="110" a="1"/>
  <c r="G150" i="110" s="1"/>
  <c r="F150" i="110" a="1"/>
  <c r="F150" i="110" s="1"/>
  <c r="E150" i="110" a="1"/>
  <c r="E150" i="110" s="1"/>
  <c r="H149" i="110" a="1"/>
  <c r="H149" i="110" s="1"/>
  <c r="G149" i="110" a="1"/>
  <c r="G149" i="110" s="1"/>
  <c r="F149" i="110" a="1"/>
  <c r="F149" i="110" s="1"/>
  <c r="E149" i="110" a="1"/>
  <c r="E149" i="110" s="1"/>
  <c r="H148" i="110" a="1"/>
  <c r="H148" i="110" s="1"/>
  <c r="G148" i="110" a="1"/>
  <c r="G148" i="110" s="1"/>
  <c r="F148" i="110" a="1"/>
  <c r="F148" i="110" s="1"/>
  <c r="E148" i="110" a="1"/>
  <c r="E148" i="110" s="1"/>
  <c r="H147" i="110" a="1"/>
  <c r="H147" i="110" s="1"/>
  <c r="G147" i="110" a="1"/>
  <c r="G147" i="110" s="1"/>
  <c r="F147" i="110" a="1"/>
  <c r="F147" i="110" s="1"/>
  <c r="E147" i="110" a="1"/>
  <c r="E147" i="110" s="1"/>
  <c r="H146" i="110" a="1"/>
  <c r="H146" i="110" s="1"/>
  <c r="G146" i="110" a="1"/>
  <c r="G146" i="110" s="1"/>
  <c r="F146" i="110" a="1"/>
  <c r="F146" i="110" s="1"/>
  <c r="E146" i="110" a="1"/>
  <c r="E146" i="110" s="1"/>
  <c r="H145" i="110" a="1"/>
  <c r="H145" i="110" s="1"/>
  <c r="G145" i="110" a="1"/>
  <c r="G145" i="110" s="1"/>
  <c r="F145" i="110" a="1"/>
  <c r="F145" i="110" s="1"/>
  <c r="E145" i="110" a="1"/>
  <c r="E145" i="110" s="1"/>
  <c r="H144" i="110" a="1"/>
  <c r="H144" i="110" s="1"/>
  <c r="G144" i="110" a="1"/>
  <c r="G144" i="110" s="1"/>
  <c r="F144" i="110" a="1"/>
  <c r="F144" i="110" s="1"/>
  <c r="E144" i="110" a="1"/>
  <c r="E144" i="110" s="1"/>
  <c r="H143" i="110" a="1"/>
  <c r="H143" i="110" s="1"/>
  <c r="G143" i="110" a="1"/>
  <c r="G143" i="110" s="1"/>
  <c r="F143" i="110" a="1"/>
  <c r="F143" i="110" s="1"/>
  <c r="E143" i="110" a="1"/>
  <c r="E143" i="110" s="1"/>
  <c r="H142" i="110" a="1"/>
  <c r="H142" i="110" s="1"/>
  <c r="G142" i="110" a="1"/>
  <c r="G142" i="110" s="1"/>
  <c r="F142" i="110" a="1"/>
  <c r="F142" i="110" s="1"/>
  <c r="E142" i="110" a="1"/>
  <c r="E142" i="110" s="1"/>
  <c r="H141" i="110" a="1"/>
  <c r="H141" i="110" s="1"/>
  <c r="G141" i="110" a="1"/>
  <c r="G141" i="110" s="1"/>
  <c r="F141" i="110" a="1"/>
  <c r="F141" i="110" s="1"/>
  <c r="E141" i="110" a="1"/>
  <c r="E141" i="110" s="1"/>
  <c r="H140" i="110" a="1"/>
  <c r="H140" i="110" s="1"/>
  <c r="G140" i="110" a="1"/>
  <c r="G140" i="110" s="1"/>
  <c r="F140" i="110" a="1"/>
  <c r="F140" i="110" s="1"/>
  <c r="E140" i="110" a="1"/>
  <c r="E140" i="110" s="1"/>
  <c r="H139" i="110" a="1"/>
  <c r="H139" i="110" s="1"/>
  <c r="G139" i="110" a="1"/>
  <c r="G139" i="110" s="1"/>
  <c r="F139" i="110" a="1"/>
  <c r="F139" i="110" s="1"/>
  <c r="E139" i="110" a="1"/>
  <c r="E139" i="110" s="1"/>
  <c r="H138" i="110" a="1"/>
  <c r="H138" i="110" s="1"/>
  <c r="G138" i="110" a="1"/>
  <c r="G138" i="110" s="1"/>
  <c r="F138" i="110" a="1"/>
  <c r="F138" i="110" s="1"/>
  <c r="E138" i="110" a="1"/>
  <c r="E138" i="110" s="1"/>
  <c r="H137" i="110" a="1"/>
  <c r="H137" i="110" s="1"/>
  <c r="G137" i="110" a="1"/>
  <c r="G137" i="110" s="1"/>
  <c r="F137" i="110" a="1"/>
  <c r="F137" i="110" s="1"/>
  <c r="E137" i="110" a="1"/>
  <c r="E137" i="110" s="1"/>
  <c r="H136" i="110" a="1"/>
  <c r="H136" i="110" s="1"/>
  <c r="G136" i="110" a="1"/>
  <c r="G136" i="110" s="1"/>
  <c r="F136" i="110" a="1"/>
  <c r="F136" i="110" s="1"/>
  <c r="E136" i="110" a="1"/>
  <c r="E136" i="110" s="1"/>
  <c r="H135" i="110" a="1"/>
  <c r="H135" i="110" s="1"/>
  <c r="G135" i="110" a="1"/>
  <c r="G135" i="110" s="1"/>
  <c r="F135" i="110" a="1"/>
  <c r="F135" i="110" s="1"/>
  <c r="E135" i="110" a="1"/>
  <c r="E135" i="110" s="1"/>
  <c r="H134" i="110" a="1"/>
  <c r="H134" i="110" s="1"/>
  <c r="G134" i="110" a="1"/>
  <c r="G134" i="110" s="1"/>
  <c r="F134" i="110" a="1"/>
  <c r="F134" i="110" s="1"/>
  <c r="E134" i="110" a="1"/>
  <c r="E134" i="110" s="1"/>
  <c r="H133" i="110" a="1"/>
  <c r="H133" i="110" s="1"/>
  <c r="G133" i="110" a="1"/>
  <c r="G133" i="110" s="1"/>
  <c r="F133" i="110" a="1"/>
  <c r="F133" i="110" s="1"/>
  <c r="E133" i="110" a="1"/>
  <c r="E133" i="110" s="1"/>
  <c r="H132" i="110" a="1"/>
  <c r="H132" i="110" s="1"/>
  <c r="G132" i="110" a="1"/>
  <c r="G132" i="110" s="1"/>
  <c r="F132" i="110" a="1"/>
  <c r="F132" i="110" s="1"/>
  <c r="E132" i="110" a="1"/>
  <c r="E132" i="110" s="1"/>
  <c r="H131" i="110" a="1"/>
  <c r="H131" i="110" s="1"/>
  <c r="G131" i="110" a="1"/>
  <c r="G131" i="110" s="1"/>
  <c r="F131" i="110" a="1"/>
  <c r="F131" i="110" s="1"/>
  <c r="E131" i="110" a="1"/>
  <c r="E131" i="110" s="1"/>
  <c r="H130" i="110" a="1"/>
  <c r="H130" i="110" s="1"/>
  <c r="G130" i="110" a="1"/>
  <c r="G130" i="110" s="1"/>
  <c r="F130" i="110" a="1"/>
  <c r="F130" i="110" s="1"/>
  <c r="E130" i="110" a="1"/>
  <c r="E130" i="110" s="1"/>
  <c r="H129" i="110" a="1"/>
  <c r="H129" i="110" s="1"/>
  <c r="G129" i="110" a="1"/>
  <c r="G129" i="110" s="1"/>
  <c r="F129" i="110" a="1"/>
  <c r="F129" i="110" s="1"/>
  <c r="E129" i="110" a="1"/>
  <c r="E129" i="110" s="1"/>
  <c r="H128" i="110" a="1"/>
  <c r="H128" i="110" s="1"/>
  <c r="G128" i="110" a="1"/>
  <c r="G128" i="110" s="1"/>
  <c r="F128" i="110" a="1"/>
  <c r="F128" i="110" s="1"/>
  <c r="E128" i="110" a="1"/>
  <c r="E128" i="110" s="1"/>
  <c r="H127" i="110" a="1"/>
  <c r="H127" i="110" s="1"/>
  <c r="G127" i="110" a="1"/>
  <c r="G127" i="110" s="1"/>
  <c r="F127" i="110" a="1"/>
  <c r="F127" i="110" s="1"/>
  <c r="E127" i="110" a="1"/>
  <c r="E127" i="110" s="1"/>
  <c r="H126" i="110" a="1"/>
  <c r="H126" i="110" s="1"/>
  <c r="G126" i="110" a="1"/>
  <c r="G126" i="110" s="1"/>
  <c r="F126" i="110" a="1"/>
  <c r="F126" i="110" s="1"/>
  <c r="E126" i="110" a="1"/>
  <c r="E126" i="110" s="1"/>
  <c r="H125" i="110" a="1"/>
  <c r="H125" i="110" s="1"/>
  <c r="G125" i="110" a="1"/>
  <c r="G125" i="110" s="1"/>
  <c r="F125" i="110" a="1"/>
  <c r="F125" i="110" s="1"/>
  <c r="E125" i="110" a="1"/>
  <c r="E125" i="110" s="1"/>
  <c r="H124" i="110" a="1"/>
  <c r="H124" i="110" s="1"/>
  <c r="G124" i="110" a="1"/>
  <c r="G124" i="110" s="1"/>
  <c r="F124" i="110" a="1"/>
  <c r="F124" i="110" s="1"/>
  <c r="E124" i="110" a="1"/>
  <c r="E124" i="110" s="1"/>
  <c r="H123" i="110" a="1"/>
  <c r="H123" i="110" s="1"/>
  <c r="G123" i="110" a="1"/>
  <c r="G123" i="110" s="1"/>
  <c r="F123" i="110" a="1"/>
  <c r="F123" i="110" s="1"/>
  <c r="E123" i="110" a="1"/>
  <c r="E123" i="110" s="1"/>
  <c r="H122" i="110" a="1"/>
  <c r="H122" i="110" s="1"/>
  <c r="G122" i="110" a="1"/>
  <c r="G122" i="110" s="1"/>
  <c r="F122" i="110" a="1"/>
  <c r="F122" i="110" s="1"/>
  <c r="E122" i="110" a="1"/>
  <c r="E122" i="110" s="1"/>
  <c r="H121" i="110" a="1"/>
  <c r="H121" i="110" s="1"/>
  <c r="G121" i="110" a="1"/>
  <c r="G121" i="110" s="1"/>
  <c r="F121" i="110" a="1"/>
  <c r="F121" i="110" s="1"/>
  <c r="E121" i="110" a="1"/>
  <c r="E121" i="110" s="1"/>
  <c r="H120" i="110" a="1"/>
  <c r="H120" i="110" s="1"/>
  <c r="G120" i="110" a="1"/>
  <c r="G120" i="110" s="1"/>
  <c r="F120" i="110" a="1"/>
  <c r="F120" i="110" s="1"/>
  <c r="E120" i="110" a="1"/>
  <c r="E120" i="110" s="1"/>
  <c r="H119" i="110" a="1"/>
  <c r="H119" i="110" s="1"/>
  <c r="G119" i="110" a="1"/>
  <c r="G119" i="110" s="1"/>
  <c r="F119" i="110" a="1"/>
  <c r="F119" i="110" s="1"/>
  <c r="E119" i="110" a="1"/>
  <c r="E119" i="110" s="1"/>
  <c r="H118" i="110" a="1"/>
  <c r="H118" i="110" s="1"/>
  <c r="G118" i="110" a="1"/>
  <c r="G118" i="110" s="1"/>
  <c r="F118" i="110" a="1"/>
  <c r="F118" i="110" s="1"/>
  <c r="E118" i="110" a="1"/>
  <c r="E118" i="110" s="1"/>
  <c r="H117" i="110" a="1"/>
  <c r="H117" i="110" s="1"/>
  <c r="G117" i="110" a="1"/>
  <c r="G117" i="110" s="1"/>
  <c r="F117" i="110" a="1"/>
  <c r="F117" i="110" s="1"/>
  <c r="E117" i="110" a="1"/>
  <c r="E117" i="110" s="1"/>
  <c r="H116" i="110" a="1"/>
  <c r="H116" i="110" s="1"/>
  <c r="G116" i="110" a="1"/>
  <c r="G116" i="110" s="1"/>
  <c r="F116" i="110" a="1"/>
  <c r="F116" i="110" s="1"/>
  <c r="E116" i="110" a="1"/>
  <c r="E116" i="110" s="1"/>
  <c r="H115" i="110" a="1"/>
  <c r="H115" i="110" s="1"/>
  <c r="G115" i="110" a="1"/>
  <c r="G115" i="110" s="1"/>
  <c r="F115" i="110" a="1"/>
  <c r="F115" i="110" s="1"/>
  <c r="E115" i="110" a="1"/>
  <c r="E115" i="110" s="1"/>
  <c r="H114" i="110" a="1"/>
  <c r="H114" i="110" s="1"/>
  <c r="G114" i="110" a="1"/>
  <c r="G114" i="110" s="1"/>
  <c r="F114" i="110" a="1"/>
  <c r="F114" i="110" s="1"/>
  <c r="E114" i="110" a="1"/>
  <c r="E114" i="110" s="1"/>
  <c r="H113" i="110" a="1"/>
  <c r="H113" i="110" s="1"/>
  <c r="G113" i="110" a="1"/>
  <c r="G113" i="110" s="1"/>
  <c r="F113" i="110" a="1"/>
  <c r="F113" i="110" s="1"/>
  <c r="E113" i="110" a="1"/>
  <c r="E113" i="110" s="1"/>
  <c r="H112" i="110" a="1"/>
  <c r="H112" i="110" s="1"/>
  <c r="G112" i="110" a="1"/>
  <c r="G112" i="110" s="1"/>
  <c r="F112" i="110" a="1"/>
  <c r="F112" i="110" s="1"/>
  <c r="E112" i="110" a="1"/>
  <c r="E112" i="110" s="1"/>
  <c r="H111" i="110" a="1"/>
  <c r="H111" i="110" s="1"/>
  <c r="G111" i="110" a="1"/>
  <c r="G111" i="110" s="1"/>
  <c r="F111" i="110" a="1"/>
  <c r="F111" i="110" s="1"/>
  <c r="E111" i="110" a="1"/>
  <c r="E111" i="110" s="1"/>
  <c r="H110" i="110" a="1"/>
  <c r="H110" i="110" s="1"/>
  <c r="G110" i="110" a="1"/>
  <c r="G110" i="110" s="1"/>
  <c r="F110" i="110" a="1"/>
  <c r="F110" i="110" s="1"/>
  <c r="E110" i="110" a="1"/>
  <c r="E110" i="110" s="1"/>
  <c r="D112" i="110"/>
  <c r="D111" i="110"/>
  <c r="D110" i="110"/>
  <c r="K22" i="69" a="1"/>
  <c r="K22" i="69" s="1"/>
  <c r="K23" i="69" a="1"/>
  <c r="K23" i="69" s="1"/>
  <c r="K24" i="69" a="1"/>
  <c r="K24" i="69"/>
  <c r="K25" i="69" a="1"/>
  <c r="K25" i="69"/>
  <c r="K26" i="69" a="1"/>
  <c r="K26" i="69" s="1"/>
  <c r="K27" i="69" a="1"/>
  <c r="K27" i="69" s="1"/>
  <c r="K28" i="69" a="1"/>
  <c r="K28" i="69"/>
  <c r="K29" i="69" a="1"/>
  <c r="K29" i="69" s="1"/>
  <c r="K30" i="69" a="1"/>
  <c r="K30" i="69" s="1"/>
  <c r="K31" i="69" a="1"/>
  <c r="K31" i="69" s="1"/>
  <c r="K32" i="69" a="1"/>
  <c r="K32" i="69"/>
  <c r="K33" i="69" a="1"/>
  <c r="K33" i="69" s="1"/>
  <c r="K34" i="69" a="1"/>
  <c r="K34" i="69" s="1"/>
  <c r="L34" i="69" s="1" a="1"/>
  <c r="L34" i="69" s="1"/>
  <c r="K35" i="69" a="1"/>
  <c r="K35" i="69"/>
  <c r="J35" i="69" a="1"/>
  <c r="J35" i="69" s="1"/>
  <c r="J34" i="69"/>
  <c r="J34" i="69" a="1"/>
  <c r="J33" i="69" a="1"/>
  <c r="J33" i="69" s="1"/>
  <c r="J32" i="69" a="1"/>
  <c r="J32" i="69" s="1"/>
  <c r="J31" i="69"/>
  <c r="J31" i="69" a="1"/>
  <c r="J30" i="69" a="1"/>
  <c r="J30" i="69" s="1"/>
  <c r="J29" i="69" a="1"/>
  <c r="J29" i="69" s="1"/>
  <c r="J28" i="69" a="1"/>
  <c r="J28" i="69" s="1"/>
  <c r="J27" i="69"/>
  <c r="J27" i="69" a="1"/>
  <c r="J26" i="69" a="1"/>
  <c r="J26" i="69" s="1"/>
  <c r="J25" i="69" a="1"/>
  <c r="J25" i="69" s="1"/>
  <c r="J24" i="69"/>
  <c r="J24" i="69" a="1"/>
  <c r="J23" i="69" a="1"/>
  <c r="J23" i="69" s="1"/>
  <c r="J22" i="69" a="1"/>
  <c r="J22" i="69" s="1"/>
  <c r="J21" i="69" a="1"/>
  <c r="J21" i="69" s="1"/>
  <c r="H21" i="69" a="1"/>
  <c r="H21" i="69" s="1"/>
  <c r="G21" i="69" a="1"/>
  <c r="G21" i="69" s="1"/>
  <c r="F21" i="69" a="1"/>
  <c r="F21" i="69" s="1"/>
  <c r="E21" i="69" a="1"/>
  <c r="E21" i="69" s="1"/>
  <c r="D21" i="69" a="1"/>
  <c r="D21" i="69" s="1"/>
  <c r="I35" i="69"/>
  <c r="I34" i="69"/>
  <c r="I33" i="69"/>
  <c r="I32" i="69"/>
  <c r="I31" i="69"/>
  <c r="I30" i="69"/>
  <c r="I29" i="69"/>
  <c r="I28" i="69"/>
  <c r="I27" i="69"/>
  <c r="I26" i="69"/>
  <c r="I25" i="69"/>
  <c r="I24" i="69"/>
  <c r="I22" i="69"/>
  <c r="D14" i="69" a="1"/>
  <c r="D14" i="69" s="1"/>
  <c r="E12" i="69" a="1"/>
  <c r="E12" i="69" s="1"/>
  <c r="E11" i="69" a="1"/>
  <c r="E11" i="69" s="1"/>
  <c r="D6" i="69" a="1"/>
  <c r="D6" i="69" s="1"/>
  <c r="D5" i="69"/>
  <c r="D5" i="69" a="1"/>
  <c r="E174" i="110" a="1"/>
  <c r="E174" i="110" s="1"/>
  <c r="D174" i="110" a="1"/>
  <c r="D174" i="110" s="1"/>
  <c r="E173" i="110" a="1"/>
  <c r="E173" i="110" s="1"/>
  <c r="D173" i="110" a="1"/>
  <c r="D173" i="110" s="1"/>
  <c r="E172" i="110" a="1"/>
  <c r="E172" i="110" s="1"/>
  <c r="D172" i="110" a="1"/>
  <c r="D172" i="110" s="1"/>
  <c r="E171" i="110" a="1"/>
  <c r="E171" i="110" s="1"/>
  <c r="D171" i="110" a="1"/>
  <c r="D171" i="110" s="1"/>
  <c r="E170" i="110" a="1"/>
  <c r="E170" i="110" s="1"/>
  <c r="D170" i="110" a="1"/>
  <c r="D170" i="110" s="1"/>
  <c r="E169" i="110" a="1"/>
  <c r="E169" i="110" s="1"/>
  <c r="D169" i="110" a="1"/>
  <c r="D169" i="110" s="1"/>
  <c r="E168" i="110" a="1"/>
  <c r="E168" i="110" s="1"/>
  <c r="D168" i="110" a="1"/>
  <c r="D168" i="110" s="1"/>
  <c r="D165" i="110" a="1"/>
  <c r="D165" i="110" s="1"/>
  <c r="D164" i="110" a="1"/>
  <c r="D164" i="110" s="1"/>
  <c r="D115" i="110"/>
  <c r="F102" i="110"/>
  <c r="F102" i="110" a="1"/>
  <c r="E102" i="110"/>
  <c r="E102" i="110" a="1"/>
  <c r="D102" i="110"/>
  <c r="D161" i="110" s="1"/>
  <c r="D102" i="110" a="1"/>
  <c r="F101" i="110"/>
  <c r="F101" i="110" a="1"/>
  <c r="E101" i="110"/>
  <c r="E101" i="110" a="1"/>
  <c r="D101" i="110"/>
  <c r="D160" i="110" s="1"/>
  <c r="D101" i="110" a="1"/>
  <c r="F100" i="110"/>
  <c r="F100" i="110" a="1"/>
  <c r="E100" i="110"/>
  <c r="E100" i="110" a="1"/>
  <c r="D100" i="110"/>
  <c r="D159" i="110" s="1"/>
  <c r="D100" i="110" a="1"/>
  <c r="F99" i="110"/>
  <c r="F99" i="110" a="1"/>
  <c r="E99" i="110"/>
  <c r="E99" i="110" a="1"/>
  <c r="D99" i="110"/>
  <c r="D158" i="110" s="1"/>
  <c r="D99" i="110" a="1"/>
  <c r="F98" i="110"/>
  <c r="F98" i="110" a="1"/>
  <c r="E98" i="110"/>
  <c r="E98" i="110" a="1"/>
  <c r="D98" i="110"/>
  <c r="D157" i="110" s="1"/>
  <c r="D98" i="110" a="1"/>
  <c r="F97" i="110"/>
  <c r="F97" i="110" a="1"/>
  <c r="E97" i="110"/>
  <c r="E97" i="110" a="1"/>
  <c r="D97" i="110"/>
  <c r="D156" i="110" s="1"/>
  <c r="D97" i="110" a="1"/>
  <c r="F96" i="110"/>
  <c r="F96" i="110" a="1"/>
  <c r="E96" i="110"/>
  <c r="E96" i="110" a="1"/>
  <c r="D96" i="110"/>
  <c r="D155" i="110" s="1"/>
  <c r="D96" i="110" a="1"/>
  <c r="F95" i="110"/>
  <c r="F95" i="110" a="1"/>
  <c r="E95" i="110"/>
  <c r="E95" i="110" a="1"/>
  <c r="D95" i="110"/>
  <c r="D154" i="110" s="1"/>
  <c r="D95" i="110" a="1"/>
  <c r="F94" i="110"/>
  <c r="F94" i="110" a="1"/>
  <c r="E94" i="110"/>
  <c r="E94" i="110" a="1"/>
  <c r="D94" i="110"/>
  <c r="D153" i="110" s="1"/>
  <c r="D94" i="110" a="1"/>
  <c r="F93" i="110"/>
  <c r="F93" i="110" a="1"/>
  <c r="E93" i="110"/>
  <c r="E93" i="110" a="1"/>
  <c r="D93" i="110"/>
  <c r="D152" i="110" s="1"/>
  <c r="D93" i="110" a="1"/>
  <c r="F92" i="110"/>
  <c r="F92" i="110" a="1"/>
  <c r="E92" i="110"/>
  <c r="E92" i="110" a="1"/>
  <c r="D92" i="110"/>
  <c r="D151" i="110" s="1"/>
  <c r="D92" i="110" a="1"/>
  <c r="F91" i="110"/>
  <c r="F91" i="110" a="1"/>
  <c r="E91" i="110"/>
  <c r="E91" i="110" a="1"/>
  <c r="D91" i="110"/>
  <c r="D150" i="110" s="1"/>
  <c r="D91" i="110" a="1"/>
  <c r="F90" i="110"/>
  <c r="F90" i="110" a="1"/>
  <c r="E90" i="110"/>
  <c r="E90" i="110" a="1"/>
  <c r="D90" i="110"/>
  <c r="D149" i="110" s="1"/>
  <c r="D90" i="110" a="1"/>
  <c r="F89" i="110"/>
  <c r="F89" i="110" a="1"/>
  <c r="E89" i="110"/>
  <c r="E89" i="110" a="1"/>
  <c r="D89" i="110"/>
  <c r="D148" i="110" s="1"/>
  <c r="D89" i="110" a="1"/>
  <c r="F88" i="110"/>
  <c r="F88" i="110" a="1"/>
  <c r="E88" i="110"/>
  <c r="E88" i="110" a="1"/>
  <c r="D88" i="110"/>
  <c r="D147" i="110" s="1"/>
  <c r="D88" i="110" a="1"/>
  <c r="F87" i="110"/>
  <c r="F87" i="110" a="1"/>
  <c r="E87" i="110"/>
  <c r="E87" i="110" a="1"/>
  <c r="D87" i="110"/>
  <c r="D146" i="110" s="1"/>
  <c r="D87" i="110" a="1"/>
  <c r="F86" i="110"/>
  <c r="F86" i="110" a="1"/>
  <c r="E86" i="110"/>
  <c r="E86" i="110" a="1"/>
  <c r="D86" i="110"/>
  <c r="D145" i="110" s="1"/>
  <c r="D86" i="110" a="1"/>
  <c r="F85" i="110"/>
  <c r="F85" i="110" a="1"/>
  <c r="E85" i="110"/>
  <c r="E85" i="110" a="1"/>
  <c r="D85" i="110"/>
  <c r="D144" i="110" s="1"/>
  <c r="D85" i="110" a="1"/>
  <c r="F84" i="110"/>
  <c r="F84" i="110" a="1"/>
  <c r="E84" i="110"/>
  <c r="E84" i="110" a="1"/>
  <c r="D84" i="110"/>
  <c r="D143" i="110" s="1"/>
  <c r="D84" i="110" a="1"/>
  <c r="F83" i="110"/>
  <c r="F83" i="110" a="1"/>
  <c r="E83" i="110"/>
  <c r="E83" i="110" a="1"/>
  <c r="D83" i="110"/>
  <c r="D142" i="110" s="1"/>
  <c r="D83" i="110" a="1"/>
  <c r="F82" i="110"/>
  <c r="F82" i="110" a="1"/>
  <c r="E82" i="110"/>
  <c r="E82" i="110" a="1"/>
  <c r="D82" i="110"/>
  <c r="D141" i="110" s="1"/>
  <c r="D82" i="110" a="1"/>
  <c r="F81" i="110"/>
  <c r="F81" i="110" a="1"/>
  <c r="E81" i="110"/>
  <c r="E81" i="110" a="1"/>
  <c r="D81" i="110"/>
  <c r="D140" i="110" s="1"/>
  <c r="D81" i="110" a="1"/>
  <c r="F80" i="110"/>
  <c r="F80" i="110" a="1"/>
  <c r="E80" i="110"/>
  <c r="E80" i="110" a="1"/>
  <c r="D80" i="110"/>
  <c r="D139" i="110" s="1"/>
  <c r="D80" i="110" a="1"/>
  <c r="F79" i="110"/>
  <c r="F79" i="110" a="1"/>
  <c r="E79" i="110"/>
  <c r="E79" i="110" a="1"/>
  <c r="D79" i="110"/>
  <c r="D138" i="110" s="1"/>
  <c r="D79" i="110" a="1"/>
  <c r="F78" i="110"/>
  <c r="F78" i="110" a="1"/>
  <c r="E78" i="110"/>
  <c r="E78" i="110" a="1"/>
  <c r="D78" i="110"/>
  <c r="D137" i="110" s="1"/>
  <c r="D78" i="110" a="1"/>
  <c r="F77" i="110"/>
  <c r="F77" i="110" a="1"/>
  <c r="E77" i="110"/>
  <c r="E77" i="110" a="1"/>
  <c r="D77" i="110"/>
  <c r="D136" i="110" s="1"/>
  <c r="D77" i="110" a="1"/>
  <c r="F76" i="110"/>
  <c r="F76" i="110" a="1"/>
  <c r="E76" i="110"/>
  <c r="E76" i="110" a="1"/>
  <c r="D76" i="110"/>
  <c r="D135" i="110" s="1"/>
  <c r="D76" i="110" a="1"/>
  <c r="F75" i="110"/>
  <c r="F75" i="110" a="1"/>
  <c r="E75" i="110"/>
  <c r="E75" i="110" a="1"/>
  <c r="D75" i="110"/>
  <c r="D134" i="110" s="1"/>
  <c r="D75" i="110" a="1"/>
  <c r="F74" i="110"/>
  <c r="F74" i="110" a="1"/>
  <c r="E74" i="110"/>
  <c r="E74" i="110" a="1"/>
  <c r="D74" i="110"/>
  <c r="D133" i="110" s="1"/>
  <c r="D74" i="110" a="1"/>
  <c r="F73" i="110"/>
  <c r="F73" i="110" a="1"/>
  <c r="E73" i="110"/>
  <c r="E73" i="110" a="1"/>
  <c r="D73" i="110"/>
  <c r="D132" i="110" s="1"/>
  <c r="D73" i="110" a="1"/>
  <c r="F72" i="110"/>
  <c r="F72" i="110" a="1"/>
  <c r="E72" i="110"/>
  <c r="E72" i="110" a="1"/>
  <c r="D72" i="110"/>
  <c r="D131" i="110" s="1"/>
  <c r="D72" i="110" a="1"/>
  <c r="F71" i="110"/>
  <c r="F71" i="110" a="1"/>
  <c r="E71" i="110"/>
  <c r="E71" i="110" a="1"/>
  <c r="D71" i="110"/>
  <c r="D130" i="110" s="1"/>
  <c r="D71" i="110" a="1"/>
  <c r="F70" i="110"/>
  <c r="F70" i="110" a="1"/>
  <c r="E70" i="110"/>
  <c r="E70" i="110" a="1"/>
  <c r="D70" i="110"/>
  <c r="D129" i="110" s="1"/>
  <c r="D70" i="110" a="1"/>
  <c r="F69" i="110"/>
  <c r="F69" i="110" a="1"/>
  <c r="E69" i="110"/>
  <c r="E69" i="110" a="1"/>
  <c r="D69" i="110"/>
  <c r="D128" i="110" s="1"/>
  <c r="D69" i="110" a="1"/>
  <c r="F68" i="110"/>
  <c r="F68" i="110" a="1"/>
  <c r="E68" i="110"/>
  <c r="E68" i="110" a="1"/>
  <c r="D68" i="110"/>
  <c r="D127" i="110" s="1"/>
  <c r="D68" i="110" a="1"/>
  <c r="F67" i="110"/>
  <c r="F67" i="110" a="1"/>
  <c r="E67" i="110"/>
  <c r="E67" i="110" a="1"/>
  <c r="D67" i="110"/>
  <c r="D126" i="110" s="1"/>
  <c r="D67" i="110" a="1"/>
  <c r="F66" i="110"/>
  <c r="F66" i="110" a="1"/>
  <c r="E66" i="110"/>
  <c r="E66" i="110" a="1"/>
  <c r="D66" i="110"/>
  <c r="D125" i="110" s="1"/>
  <c r="D66" i="110" a="1"/>
  <c r="F65" i="110"/>
  <c r="F65" i="110" a="1"/>
  <c r="E65" i="110"/>
  <c r="E65" i="110" a="1"/>
  <c r="D65" i="110"/>
  <c r="D124" i="110" s="1"/>
  <c r="D65" i="110" a="1"/>
  <c r="F64" i="110"/>
  <c r="F64" i="110" a="1"/>
  <c r="E64" i="110"/>
  <c r="E64" i="110" a="1"/>
  <c r="D64" i="110"/>
  <c r="D123" i="110" s="1"/>
  <c r="D64" i="110" a="1"/>
  <c r="F63" i="110"/>
  <c r="F63" i="110" a="1"/>
  <c r="E63" i="110"/>
  <c r="E63" i="110" a="1"/>
  <c r="D63" i="110"/>
  <c r="D122" i="110" s="1"/>
  <c r="D63" i="110" a="1"/>
  <c r="F62" i="110"/>
  <c r="F62" i="110" a="1"/>
  <c r="E62" i="110"/>
  <c r="E62" i="110" a="1"/>
  <c r="D62" i="110"/>
  <c r="D121" i="110" s="1"/>
  <c r="D62" i="110" a="1"/>
  <c r="F61" i="110"/>
  <c r="F61" i="110" a="1"/>
  <c r="E61" i="110"/>
  <c r="E61" i="110" a="1"/>
  <c r="D61" i="110"/>
  <c r="D120" i="110" s="1"/>
  <c r="D61" i="110" a="1"/>
  <c r="F60" i="110"/>
  <c r="F60" i="110" a="1"/>
  <c r="E60" i="110"/>
  <c r="E60" i="110" a="1"/>
  <c r="D60" i="110"/>
  <c r="D119" i="110" s="1"/>
  <c r="D60" i="110" a="1"/>
  <c r="F59" i="110"/>
  <c r="F59" i="110" a="1"/>
  <c r="E59" i="110"/>
  <c r="E59" i="110" a="1"/>
  <c r="D59" i="110"/>
  <c r="D118" i="110" s="1"/>
  <c r="D59" i="110" a="1"/>
  <c r="F58" i="110"/>
  <c r="F58" i="110" a="1"/>
  <c r="E58" i="110"/>
  <c r="E58" i="110" a="1"/>
  <c r="D58" i="110"/>
  <c r="D117" i="110" s="1"/>
  <c r="D58" i="110" a="1"/>
  <c r="F57" i="110"/>
  <c r="F57" i="110" a="1"/>
  <c r="E57" i="110"/>
  <c r="E57" i="110" a="1"/>
  <c r="D57" i="110"/>
  <c r="D116" i="110" s="1"/>
  <c r="D57" i="110" a="1"/>
  <c r="F56" i="110"/>
  <c r="F56" i="110" a="1"/>
  <c r="E56" i="110"/>
  <c r="E56" i="110" a="1"/>
  <c r="D56" i="110"/>
  <c r="D56" i="110" a="1"/>
  <c r="F55" i="110"/>
  <c r="F55" i="110" a="1"/>
  <c r="E55" i="110"/>
  <c r="E55" i="110" a="1"/>
  <c r="D55" i="110"/>
  <c r="D114" i="110" s="1"/>
  <c r="D55" i="110" a="1"/>
  <c r="F54" i="110"/>
  <c r="F54" i="110" a="1"/>
  <c r="E54" i="110"/>
  <c r="E54" i="110" a="1"/>
  <c r="D54" i="110"/>
  <c r="D113" i="110" s="1"/>
  <c r="D54" i="110" a="1"/>
  <c r="F53" i="110"/>
  <c r="F53" i="110" a="1"/>
  <c r="E53" i="110"/>
  <c r="E53" i="110" a="1"/>
  <c r="D53" i="110"/>
  <c r="D53" i="110" a="1"/>
  <c r="D51" i="110"/>
  <c r="D51" i="110" a="1"/>
  <c r="D50" i="110"/>
  <c r="D50" i="110" a="1"/>
  <c r="D49" i="110"/>
  <c r="D108" i="110" s="1"/>
  <c r="D49" i="110" a="1"/>
  <c r="H46" i="110"/>
  <c r="H46" i="110" a="1"/>
  <c r="G46" i="110"/>
  <c r="G46" i="110" a="1"/>
  <c r="F46" i="110"/>
  <c r="F46" i="110" a="1"/>
  <c r="E46" i="110"/>
  <c r="E46" i="110" a="1"/>
  <c r="D46" i="110"/>
  <c r="D46" i="110" a="1"/>
  <c r="H45" i="110"/>
  <c r="H45" i="110" a="1"/>
  <c r="G45" i="110"/>
  <c r="G45" i="110" a="1"/>
  <c r="F45" i="110"/>
  <c r="F45" i="110" a="1"/>
  <c r="E45" i="110"/>
  <c r="E45" i="110" a="1"/>
  <c r="D45" i="110"/>
  <c r="D45" i="110" a="1"/>
  <c r="H44" i="110" a="1"/>
  <c r="H44" i="110" s="1"/>
  <c r="G44" i="110"/>
  <c r="G44" i="110" a="1"/>
  <c r="F44" i="110"/>
  <c r="F44" i="110" a="1"/>
  <c r="E44" i="110"/>
  <c r="E44" i="110" a="1"/>
  <c r="D44" i="110"/>
  <c r="D44" i="110" a="1"/>
  <c r="H43" i="110"/>
  <c r="H43" i="110" a="1"/>
  <c r="G43" i="110"/>
  <c r="G43" i="110" a="1"/>
  <c r="F43" i="110" a="1"/>
  <c r="F43" i="110" s="1"/>
  <c r="E43" i="110"/>
  <c r="E43" i="110" a="1"/>
  <c r="D43" i="110"/>
  <c r="D43" i="110" a="1"/>
  <c r="H42" i="110"/>
  <c r="H42" i="110" a="1"/>
  <c r="G42" i="110"/>
  <c r="G42" i="110" a="1"/>
  <c r="F42" i="110"/>
  <c r="F42" i="110" a="1"/>
  <c r="E42" i="110"/>
  <c r="E42" i="110" a="1"/>
  <c r="D42" i="110" a="1"/>
  <c r="D42" i="110" s="1"/>
  <c r="H41" i="110"/>
  <c r="H41" i="110" a="1"/>
  <c r="G41" i="110"/>
  <c r="G41" i="110" a="1"/>
  <c r="F41" i="110"/>
  <c r="F41" i="110" a="1"/>
  <c r="E41" i="110"/>
  <c r="E41" i="110" a="1"/>
  <c r="D41" i="110"/>
  <c r="D41" i="110" a="1"/>
  <c r="H40" i="110"/>
  <c r="H40" i="110" a="1"/>
  <c r="G40" i="110" a="1"/>
  <c r="G40" i="110" s="1"/>
  <c r="F40" i="110"/>
  <c r="F40" i="110" a="1"/>
  <c r="E40" i="110"/>
  <c r="E40" i="110" a="1"/>
  <c r="D40" i="110"/>
  <c r="D40" i="110" a="1"/>
  <c r="H39" i="110"/>
  <c r="H39" i="110" a="1"/>
  <c r="G39" i="110"/>
  <c r="G39" i="110" a="1"/>
  <c r="F39" i="110"/>
  <c r="F39" i="110" a="1"/>
  <c r="E39" i="110" a="1"/>
  <c r="E39" i="110" s="1"/>
  <c r="D39" i="110"/>
  <c r="D39" i="110" a="1"/>
  <c r="H38" i="110"/>
  <c r="H38" i="110" a="1"/>
  <c r="G38" i="110"/>
  <c r="G38" i="110" a="1"/>
  <c r="F38" i="110"/>
  <c r="F38" i="110" a="1"/>
  <c r="E38" i="110" a="1"/>
  <c r="E38" i="110" s="1"/>
  <c r="D38" i="110"/>
  <c r="D38" i="110" a="1"/>
  <c r="H37" i="110" a="1"/>
  <c r="H37" i="110" s="1"/>
  <c r="G37" i="110"/>
  <c r="G37" i="110" a="1"/>
  <c r="F37" i="110"/>
  <c r="F37" i="110" a="1"/>
  <c r="E37" i="110"/>
  <c r="E37" i="110" a="1"/>
  <c r="D37" i="110"/>
  <c r="D37" i="110" a="1"/>
  <c r="H36" i="110" a="1"/>
  <c r="H36" i="110" s="1"/>
  <c r="G36" i="110"/>
  <c r="G36" i="110" a="1"/>
  <c r="F36" i="110" a="1"/>
  <c r="F36" i="110" s="1"/>
  <c r="E36" i="110"/>
  <c r="E36" i="110" a="1"/>
  <c r="D36" i="110"/>
  <c r="D36" i="110" a="1"/>
  <c r="H35" i="110"/>
  <c r="H35" i="110" a="1"/>
  <c r="G35" i="110"/>
  <c r="G35" i="110" a="1"/>
  <c r="F35" i="110" a="1"/>
  <c r="F35" i="110" s="1"/>
  <c r="E35" i="110"/>
  <c r="E35" i="110" a="1"/>
  <c r="D35" i="110" a="1"/>
  <c r="D35" i="110" s="1"/>
  <c r="H34" i="110"/>
  <c r="H34" i="110" a="1"/>
  <c r="G34" i="110"/>
  <c r="G34" i="110" a="1"/>
  <c r="F34" i="110"/>
  <c r="F34" i="110" a="1"/>
  <c r="E34" i="110"/>
  <c r="E34" i="110" a="1"/>
  <c r="D34" i="110" a="1"/>
  <c r="D34" i="110" s="1"/>
  <c r="H33" i="110"/>
  <c r="H33" i="110" a="1"/>
  <c r="G33" i="110" a="1"/>
  <c r="G33" i="110" s="1"/>
  <c r="F33" i="110"/>
  <c r="F33" i="110" a="1"/>
  <c r="E33" i="110"/>
  <c r="E33" i="110" a="1"/>
  <c r="D33" i="110"/>
  <c r="D33" i="110" a="1"/>
  <c r="H32" i="110"/>
  <c r="H32" i="110" a="1"/>
  <c r="G32" i="110" a="1"/>
  <c r="G32" i="110" s="1"/>
  <c r="F32" i="110"/>
  <c r="F32" i="110" a="1"/>
  <c r="E32" i="110" a="1"/>
  <c r="E32" i="110" s="1"/>
  <c r="D32" i="110"/>
  <c r="D32" i="110" a="1"/>
  <c r="H31" i="110"/>
  <c r="H31" i="110" a="1"/>
  <c r="G31" i="110"/>
  <c r="G31" i="110" a="1"/>
  <c r="F31" i="110"/>
  <c r="F31" i="110" a="1"/>
  <c r="E31" i="110" a="1"/>
  <c r="E31" i="110" s="1"/>
  <c r="D31" i="110" a="1"/>
  <c r="D31" i="110" s="1"/>
  <c r="H30" i="110" a="1"/>
  <c r="H30" i="110" s="1"/>
  <c r="G30" i="110"/>
  <c r="G30" i="110" a="1"/>
  <c r="F30" i="110" a="1"/>
  <c r="F30" i="110" s="1"/>
  <c r="E30" i="110"/>
  <c r="E30" i="110" a="1"/>
  <c r="D30" i="110" a="1"/>
  <c r="D30" i="110" s="1"/>
  <c r="H29" i="110" a="1"/>
  <c r="H29" i="110" s="1"/>
  <c r="G29" i="110" a="1"/>
  <c r="G29" i="110" s="1"/>
  <c r="F29" i="110" a="1"/>
  <c r="F29" i="110" s="1"/>
  <c r="E29" i="110"/>
  <c r="E29" i="110" a="1"/>
  <c r="D29" i="110" a="1"/>
  <c r="D29" i="110" s="1"/>
  <c r="H28" i="110"/>
  <c r="H28" i="110" a="1"/>
  <c r="G28" i="110" a="1"/>
  <c r="G28" i="110" s="1"/>
  <c r="F28" i="110" a="1"/>
  <c r="F28" i="110" s="1"/>
  <c r="E28" i="110" a="1"/>
  <c r="E28" i="110" s="1"/>
  <c r="D28" i="110" a="1"/>
  <c r="D28" i="110" s="1"/>
  <c r="H27" i="110" a="1"/>
  <c r="H27" i="110" s="1"/>
  <c r="G27" i="110" a="1"/>
  <c r="G27" i="110" s="1"/>
  <c r="F27" i="110" a="1"/>
  <c r="F27" i="110" s="1"/>
  <c r="E27" i="110" a="1"/>
  <c r="E27" i="110" s="1"/>
  <c r="D27" i="110" a="1"/>
  <c r="D27" i="110" s="1"/>
  <c r="H26" i="110" a="1"/>
  <c r="H26" i="110" s="1"/>
  <c r="G26" i="110" a="1"/>
  <c r="G26" i="110" s="1"/>
  <c r="F26" i="110" a="1"/>
  <c r="F26" i="110" s="1"/>
  <c r="E26" i="110" a="1"/>
  <c r="E26" i="110" s="1"/>
  <c r="D26" i="110" a="1"/>
  <c r="D26" i="110" s="1"/>
  <c r="H25" i="110" a="1"/>
  <c r="H25" i="110" s="1"/>
  <c r="G25" i="110" a="1"/>
  <c r="G25" i="110" s="1"/>
  <c r="F25" i="110" a="1"/>
  <c r="F25" i="110" s="1"/>
  <c r="E25" i="110" a="1"/>
  <c r="E25" i="110" s="1"/>
  <c r="D25" i="110" a="1"/>
  <c r="D25" i="110" s="1"/>
  <c r="H24" i="110" a="1"/>
  <c r="H24" i="110" s="1"/>
  <c r="G24" i="110" a="1"/>
  <c r="G24" i="110" s="1"/>
  <c r="F24" i="110" a="1"/>
  <c r="F24" i="110" s="1"/>
  <c r="E24" i="110" a="1"/>
  <c r="E24" i="110" s="1"/>
  <c r="D24" i="110" a="1"/>
  <c r="D24" i="110" s="1"/>
  <c r="H23" i="110" a="1"/>
  <c r="H23" i="110" s="1"/>
  <c r="G23" i="110" a="1"/>
  <c r="G23" i="110" s="1"/>
  <c r="F23" i="110" a="1"/>
  <c r="F23" i="110" s="1"/>
  <c r="E23" i="110" a="1"/>
  <c r="E23" i="110" s="1"/>
  <c r="D23" i="110" a="1"/>
  <c r="D23" i="110" s="1"/>
  <c r="H22" i="110" a="1"/>
  <c r="H22" i="110" s="1"/>
  <c r="G22" i="110" a="1"/>
  <c r="G22" i="110" s="1"/>
  <c r="F22" i="110" a="1"/>
  <c r="F22" i="110" s="1"/>
  <c r="E22" i="110" a="1"/>
  <c r="E22" i="110" s="1"/>
  <c r="D22" i="110" a="1"/>
  <c r="D22" i="110" s="1"/>
  <c r="H21" i="110" a="1"/>
  <c r="H21" i="110" s="1"/>
  <c r="G21" i="110" a="1"/>
  <c r="G21" i="110" s="1"/>
  <c r="F21" i="110" a="1"/>
  <c r="F21" i="110" s="1"/>
  <c r="E21" i="110" a="1"/>
  <c r="E21" i="110" s="1"/>
  <c r="D21" i="110" a="1"/>
  <c r="D21" i="110" s="1"/>
  <c r="H20" i="110" a="1"/>
  <c r="H20" i="110" s="1"/>
  <c r="G20" i="110" a="1"/>
  <c r="G20" i="110" s="1"/>
  <c r="F20" i="110" a="1"/>
  <c r="F20" i="110" s="1"/>
  <c r="E20" i="110" a="1"/>
  <c r="E20" i="110" s="1"/>
  <c r="D20" i="110" a="1"/>
  <c r="D20" i="110" s="1"/>
  <c r="H19" i="110" a="1"/>
  <c r="H19" i="110" s="1"/>
  <c r="G19" i="110" a="1"/>
  <c r="G19" i="110" s="1"/>
  <c r="F19" i="110" a="1"/>
  <c r="F19" i="110" s="1"/>
  <c r="E19" i="110" a="1"/>
  <c r="E19" i="110" s="1"/>
  <c r="D19" i="110" a="1"/>
  <c r="D19" i="110" s="1"/>
  <c r="H18" i="110" a="1"/>
  <c r="H18" i="110" s="1"/>
  <c r="G18" i="110" a="1"/>
  <c r="G18" i="110" s="1"/>
  <c r="F18" i="110" a="1"/>
  <c r="F18" i="110" s="1"/>
  <c r="E18" i="110" a="1"/>
  <c r="E18" i="110" s="1"/>
  <c r="D18" i="110" a="1"/>
  <c r="D18" i="110" s="1"/>
  <c r="H17" i="110" a="1"/>
  <c r="H17" i="110" s="1"/>
  <c r="G17" i="110" a="1"/>
  <c r="G17" i="110" s="1"/>
  <c r="F17" i="110" a="1"/>
  <c r="F17" i="110" s="1"/>
  <c r="E17" i="110" a="1"/>
  <c r="E17" i="110" s="1"/>
  <c r="D17" i="110" a="1"/>
  <c r="D17" i="110" s="1"/>
  <c r="H16" i="110" a="1"/>
  <c r="H16" i="110" s="1"/>
  <c r="G16" i="110" a="1"/>
  <c r="G16" i="110" s="1"/>
  <c r="F16" i="110" a="1"/>
  <c r="F16" i="110" s="1"/>
  <c r="E16" i="110" a="1"/>
  <c r="E16" i="110" s="1"/>
  <c r="D16" i="110" a="1"/>
  <c r="D16" i="110" s="1"/>
  <c r="H15" i="110" a="1"/>
  <c r="H15" i="110" s="1"/>
  <c r="G15" i="110" a="1"/>
  <c r="G15" i="110" s="1"/>
  <c r="F15" i="110" a="1"/>
  <c r="F15" i="110" s="1"/>
  <c r="E15" i="110" a="1"/>
  <c r="E15" i="110" s="1"/>
  <c r="D15" i="110" a="1"/>
  <c r="D15" i="110" s="1"/>
  <c r="H14" i="110" a="1"/>
  <c r="H14" i="110" s="1"/>
  <c r="G14" i="110"/>
  <c r="G14" i="110" a="1"/>
  <c r="F14" i="110" a="1"/>
  <c r="F14" i="110" s="1"/>
  <c r="E14" i="110" a="1"/>
  <c r="E14" i="110" s="1"/>
  <c r="D14" i="110" a="1"/>
  <c r="D14" i="110" s="1"/>
  <c r="H13" i="110" a="1"/>
  <c r="H13" i="110" s="1"/>
  <c r="G13" i="110" a="1"/>
  <c r="G13" i="110" s="1"/>
  <c r="F13" i="110" a="1"/>
  <c r="F13" i="110" s="1"/>
  <c r="E13" i="110" a="1"/>
  <c r="E13" i="110" s="1"/>
  <c r="D13" i="110" a="1"/>
  <c r="D13" i="110" s="1"/>
  <c r="H12" i="110" a="1"/>
  <c r="H12" i="110" s="1"/>
  <c r="G12" i="110" a="1"/>
  <c r="G12" i="110" s="1"/>
  <c r="F12" i="110" a="1"/>
  <c r="F12" i="110" s="1"/>
  <c r="E12" i="110" a="1"/>
  <c r="E12" i="110" s="1"/>
  <c r="D12" i="110" a="1"/>
  <c r="D12" i="110" s="1"/>
  <c r="H11" i="110" a="1"/>
  <c r="H11" i="110" s="1"/>
  <c r="G11" i="110" a="1"/>
  <c r="G11" i="110" s="1"/>
  <c r="F11" i="110" a="1"/>
  <c r="F11" i="110" s="1"/>
  <c r="E11" i="110" a="1"/>
  <c r="E11" i="110" s="1"/>
  <c r="D11" i="110" a="1"/>
  <c r="D11" i="110" s="1"/>
  <c r="H10" i="110" a="1"/>
  <c r="H10" i="110" s="1"/>
  <c r="G10" i="110" a="1"/>
  <c r="G10" i="110" s="1"/>
  <c r="F10" i="110" a="1"/>
  <c r="F10" i="110" s="1"/>
  <c r="E10" i="110" a="1"/>
  <c r="E10" i="110" s="1"/>
  <c r="D10" i="110" a="1"/>
  <c r="D10" i="110" s="1"/>
  <c r="H9" i="110" a="1"/>
  <c r="H9" i="110" s="1"/>
  <c r="G9" i="110" a="1"/>
  <c r="G9" i="110" s="1"/>
  <c r="F9" i="110" a="1"/>
  <c r="F9" i="110" s="1"/>
  <c r="E9" i="110" a="1"/>
  <c r="E9" i="110" s="1"/>
  <c r="D9" i="110" a="1"/>
  <c r="D9" i="110" s="1"/>
  <c r="D7" i="110" a="1"/>
  <c r="D7" i="110" s="1"/>
  <c r="D6" i="110" a="1"/>
  <c r="D6" i="110" s="1"/>
  <c r="D5" i="110" a="1"/>
  <c r="D5" i="110" s="1"/>
  <c r="D107" i="110" s="1"/>
  <c r="E7" i="69" a="1"/>
  <c r="P122" i="110" l="1" a="1"/>
  <c r="P122" i="110" s="1"/>
  <c r="O129" i="110" a="1"/>
  <c r="O129" i="110" s="1"/>
  <c r="N136" i="110" a="1"/>
  <c r="N136" i="110" s="1"/>
  <c r="P139" i="110" a="1"/>
  <c r="P139" i="110" s="1"/>
  <c r="O124" i="110" a="1"/>
  <c r="O124" i="110" s="1"/>
  <c r="L26" i="69" a="1"/>
  <c r="L26" i="69" s="1"/>
  <c r="L32" i="69" a="1"/>
  <c r="L32" i="69" s="1"/>
  <c r="L28" i="69" a="1"/>
  <c r="L28" i="69" s="1"/>
  <c r="L30" i="69" a="1"/>
  <c r="L30" i="69" s="1"/>
  <c r="L24" i="69" a="1"/>
  <c r="L24" i="69" s="1"/>
  <c r="L22" i="69" a="1"/>
  <c r="L22" i="69" s="1"/>
  <c r="E7" i="69"/>
  <c r="L25" i="69" a="1"/>
  <c r="L25" i="69" s="1"/>
  <c r="L29" i="69" a="1"/>
  <c r="L29" i="69" s="1"/>
  <c r="L33" i="69" a="1"/>
  <c r="L33" i="69" s="1"/>
  <c r="L27" i="69" a="1"/>
  <c r="L27" i="69" s="1"/>
  <c r="L31" i="69" a="1"/>
  <c r="L31" i="69" s="1"/>
  <c r="L35" i="69" a="1"/>
  <c r="L35" i="69" s="1"/>
  <c r="I21" i="69"/>
  <c r="I23" i="69"/>
  <c r="L23" i="69" s="1" a="1"/>
  <c r="L23" i="69" s="1"/>
  <c r="M121" i="110" a="1"/>
  <c r="M121" i="110" s="1"/>
  <c r="M126" i="110" a="1"/>
  <c r="M126" i="110" s="1"/>
  <c r="O134" i="110" a="1"/>
  <c r="O134" i="110" s="1"/>
  <c r="P127" i="110" a="1"/>
  <c r="P127" i="110" s="1"/>
  <c r="M131" i="110" a="1"/>
  <c r="M131" i="110" s="1"/>
  <c r="P119" i="110" a="1"/>
  <c r="P119" i="110" s="1"/>
  <c r="N132" i="110" a="1"/>
  <c r="N132" i="110" s="1"/>
  <c r="P135" i="110" a="1"/>
  <c r="P135" i="110" s="1"/>
  <c r="M137" i="110" a="1"/>
  <c r="M137" i="110" s="1"/>
  <c r="O140" i="110" a="1"/>
  <c r="O140" i="110" s="1"/>
  <c r="M142" i="110" a="1"/>
  <c r="M142" i="110" s="1"/>
  <c r="O147" i="110" a="1"/>
  <c r="O147" i="110" s="1"/>
  <c r="M149" i="110" a="1"/>
  <c r="M149" i="110" s="1"/>
  <c r="O154" i="110" a="1"/>
  <c r="O154" i="110" s="1"/>
  <c r="M111" i="110" a="1"/>
  <c r="M111" i="110" s="1"/>
  <c r="O112" i="110" a="1"/>
  <c r="O112" i="110" s="1"/>
  <c r="N113" i="110" a="1"/>
  <c r="N113" i="110" s="1"/>
  <c r="P117" i="110" a="1"/>
  <c r="P117" i="110" s="1"/>
  <c r="N124" i="110" a="1"/>
  <c r="N124" i="110" s="1"/>
  <c r="M129" i="110" a="1"/>
  <c r="M129" i="110" s="1"/>
  <c r="O132" i="110" a="1"/>
  <c r="O132" i="110" s="1"/>
  <c r="N137" i="110" a="1"/>
  <c r="N137" i="110" s="1"/>
  <c r="P140" i="110" a="1"/>
  <c r="P140" i="110" s="1"/>
  <c r="N142" i="110" a="1"/>
  <c r="N142" i="110" s="1"/>
  <c r="P144" i="110" a="1"/>
  <c r="P144" i="110" s="1"/>
  <c r="P147" i="110" a="1"/>
  <c r="P147" i="110" s="1"/>
  <c r="N149" i="110" a="1"/>
  <c r="N149" i="110" s="1"/>
  <c r="P151" i="110" a="1"/>
  <c r="P151" i="110" s="1"/>
  <c r="P154" i="110" a="1"/>
  <c r="P154" i="110" s="1"/>
  <c r="P157" i="110" a="1"/>
  <c r="P157" i="110" s="1"/>
  <c r="N112" i="110" a="1"/>
  <c r="N112" i="110" s="1"/>
  <c r="M114" i="110" a="1"/>
  <c r="M114" i="110" s="1"/>
  <c r="N129" i="110" a="1"/>
  <c r="N129" i="110" s="1"/>
  <c r="P132" i="110" a="1"/>
  <c r="P132" i="110" s="1"/>
  <c r="O137" i="110" a="1"/>
  <c r="O137" i="110" s="1"/>
  <c r="M141" i="110" a="1"/>
  <c r="M141" i="110" s="1"/>
  <c r="M144" i="110" a="1"/>
  <c r="M144" i="110" s="1"/>
  <c r="M148" i="110" a="1"/>
  <c r="M148" i="110" s="1"/>
  <c r="M151" i="110" a="1"/>
  <c r="M151" i="110" s="1"/>
  <c r="M155" i="110" a="1"/>
  <c r="M155" i="110" s="1"/>
  <c r="M159" i="110" a="1"/>
  <c r="M159" i="110" s="1"/>
  <c r="N111" i="110" a="1"/>
  <c r="N111" i="110" s="1"/>
  <c r="P112" i="110" a="1"/>
  <c r="P112" i="110" s="1"/>
  <c r="O113" i="110" a="1"/>
  <c r="O113" i="110" s="1"/>
  <c r="N121" i="110" a="1"/>
  <c r="N121" i="110" s="1"/>
  <c r="P124" i="110" a="1"/>
  <c r="P124" i="110" s="1"/>
  <c r="M139" i="110" a="1"/>
  <c r="M139" i="110" s="1"/>
  <c r="N141" i="110" a="1"/>
  <c r="N141" i="110" s="1"/>
  <c r="P142" i="110" a="1"/>
  <c r="P142" i="110" s="1"/>
  <c r="N144" i="110" a="1"/>
  <c r="N144" i="110" s="1"/>
  <c r="N148" i="110" a="1"/>
  <c r="N148" i="110" s="1"/>
  <c r="P149" i="110" a="1"/>
  <c r="P149" i="110" s="1"/>
  <c r="N151" i="110" a="1"/>
  <c r="N151" i="110" s="1"/>
  <c r="M156" i="110" a="1"/>
  <c r="M156" i="110" s="1"/>
  <c r="N159" i="110" a="1"/>
  <c r="N159" i="110" s="1"/>
  <c r="O115" i="110" a="1"/>
  <c r="O115" i="110" s="1"/>
  <c r="N118" i="110" a="1"/>
  <c r="N118" i="110" s="1"/>
  <c r="M113" i="110" a="1"/>
  <c r="M113" i="110" s="1"/>
  <c r="O117" i="110" a="1"/>
  <c r="O117" i="110" s="1"/>
  <c r="N114" i="110" a="1"/>
  <c r="N114" i="110" s="1"/>
  <c r="N126" i="110" a="1"/>
  <c r="N126" i="110" s="1"/>
  <c r="N128" i="110" a="1"/>
  <c r="N128" i="110" s="1"/>
  <c r="M133" i="110" a="1"/>
  <c r="M133" i="110" s="1"/>
  <c r="P136" i="110" a="1"/>
  <c r="P136" i="110" s="1"/>
  <c r="N139" i="110" a="1"/>
  <c r="N139" i="110" s="1"/>
  <c r="O144" i="110" a="1"/>
  <c r="O144" i="110" s="1"/>
  <c r="M146" i="110" a="1"/>
  <c r="M146" i="110" s="1"/>
  <c r="O151" i="110" a="1"/>
  <c r="O151" i="110" s="1"/>
  <c r="M153" i="110" a="1"/>
  <c r="M153" i="110" s="1"/>
  <c r="N155" i="110" a="1"/>
  <c r="N155" i="110" s="1"/>
  <c r="N156" i="110" a="1"/>
  <c r="N156" i="110" s="1"/>
  <c r="O159" i="110" a="1"/>
  <c r="O159" i="110" s="1"/>
  <c r="P110" i="110" a="1"/>
  <c r="P110" i="110" s="1"/>
  <c r="M112" i="110" a="1"/>
  <c r="M112" i="110" s="1"/>
  <c r="N116" i="110" a="1"/>
  <c r="N116" i="110" s="1"/>
  <c r="N117" i="110" a="1"/>
  <c r="N117" i="110" s="1"/>
  <c r="O119" i="110" a="1"/>
  <c r="O119" i="110" s="1"/>
  <c r="P120" i="110" a="1"/>
  <c r="P120" i="110" s="1"/>
  <c r="M122" i="110" a="1"/>
  <c r="M122" i="110" s="1"/>
  <c r="M110" i="110" a="1"/>
  <c r="M110" i="110" s="1"/>
  <c r="O111" i="110" a="1"/>
  <c r="O111" i="110" s="1"/>
  <c r="P113" i="110" a="1"/>
  <c r="P113" i="110" s="1"/>
  <c r="O116" i="110" a="1"/>
  <c r="O116" i="110" s="1"/>
  <c r="M120" i="110" a="1"/>
  <c r="M120" i="110" s="1"/>
  <c r="P121" i="110" a="1"/>
  <c r="P121" i="110" s="1"/>
  <c r="O126" i="110" a="1"/>
  <c r="O126" i="110" s="1"/>
  <c r="O128" i="110" a="1"/>
  <c r="O128" i="110" s="1"/>
  <c r="N131" i="110" a="1"/>
  <c r="N131" i="110" s="1"/>
  <c r="P134" i="110" a="1"/>
  <c r="P134" i="110" s="1"/>
  <c r="M136" i="110" a="1"/>
  <c r="M136" i="110" s="1"/>
  <c r="O139" i="110" a="1"/>
  <c r="O139" i="110" s="1"/>
  <c r="N146" i="110" a="1"/>
  <c r="N146" i="110" s="1"/>
  <c r="N153" i="110" a="1"/>
  <c r="N153" i="110" s="1"/>
  <c r="O155" i="110" a="1"/>
  <c r="O155" i="110" s="1"/>
  <c r="O156" i="110" a="1"/>
  <c r="O156" i="110" s="1"/>
  <c r="P159" i="110" a="1"/>
  <c r="P159" i="110" s="1"/>
  <c r="P115" i="110" a="1"/>
  <c r="P115" i="110" s="1"/>
  <c r="O118" i="110" a="1"/>
  <c r="O118" i="110" s="1"/>
  <c r="O114" i="110" a="1"/>
  <c r="O114" i="110" s="1"/>
  <c r="M115" i="110" a="1"/>
  <c r="M115" i="110" s="1"/>
  <c r="P118" i="110" a="1"/>
  <c r="P118" i="110" s="1"/>
  <c r="M123" i="110" a="1"/>
  <c r="M123" i="110" s="1"/>
  <c r="P126" i="110" a="1"/>
  <c r="P126" i="110" s="1"/>
  <c r="O131" i="110" a="1"/>
  <c r="O131" i="110" s="1"/>
  <c r="O146" i="110" a="1"/>
  <c r="O146" i="110" s="1"/>
  <c r="O153" i="110" a="1"/>
  <c r="O153" i="110" s="1"/>
  <c r="P156" i="110" a="1"/>
  <c r="P156" i="110" s="1"/>
  <c r="O125" i="110" a="1"/>
  <c r="O125" i="110" s="1"/>
  <c r="O121" i="110" a="1"/>
  <c r="O121" i="110" s="1"/>
  <c r="M124" i="110" a="1"/>
  <c r="M124" i="110" s="1"/>
  <c r="O127" i="110" a="1"/>
  <c r="O127" i="110" s="1"/>
  <c r="P129" i="110" a="1"/>
  <c r="P129" i="110" s="1"/>
  <c r="N110" i="110" a="1"/>
  <c r="N110" i="110" s="1"/>
  <c r="P111" i="110" a="1"/>
  <c r="P111" i="110" s="1"/>
  <c r="P116" i="110" a="1"/>
  <c r="P116" i="110" s="1"/>
  <c r="M119" i="110" a="1"/>
  <c r="M119" i="110" s="1"/>
  <c r="N120" i="110" a="1"/>
  <c r="N120" i="110" s="1"/>
  <c r="N123" i="110" a="1"/>
  <c r="N123" i="110" s="1"/>
  <c r="M128" i="110" a="1"/>
  <c r="M128" i="110" s="1"/>
  <c r="P131" i="110" a="1"/>
  <c r="P131" i="110" s="1"/>
  <c r="O136" i="110" a="1"/>
  <c r="O136" i="110" s="1"/>
  <c r="P143" i="110" a="1"/>
  <c r="P143" i="110" s="1"/>
  <c r="P146" i="110" a="1"/>
  <c r="P146" i="110" s="1"/>
  <c r="P150" i="110" a="1"/>
  <c r="P150" i="110" s="1"/>
  <c r="P153" i="110" a="1"/>
  <c r="P153" i="110" s="1"/>
  <c r="M158" i="110" a="1"/>
  <c r="M158" i="110" s="1"/>
  <c r="N125" i="110" a="1"/>
  <c r="N125" i="110" s="1"/>
  <c r="O123" i="110" a="1"/>
  <c r="O123" i="110" s="1"/>
  <c r="M140" i="110" a="1"/>
  <c r="M140" i="110" s="1"/>
  <c r="O141" i="110" a="1"/>
  <c r="O141" i="110" s="1"/>
  <c r="M143" i="110" a="1"/>
  <c r="M143" i="110" s="1"/>
  <c r="M147" i="110" a="1"/>
  <c r="M147" i="110" s="1"/>
  <c r="O148" i="110" a="1"/>
  <c r="O148" i="110" s="1"/>
  <c r="M150" i="110" a="1"/>
  <c r="M150" i="110" s="1"/>
  <c r="N122" i="110" a="1"/>
  <c r="N122" i="110" s="1"/>
  <c r="P125" i="110" a="1"/>
  <c r="P125" i="110" s="1"/>
  <c r="M127" i="110" a="1"/>
  <c r="M127" i="110" s="1"/>
  <c r="O130" i="110" a="1"/>
  <c r="O130" i="110" s="1"/>
  <c r="M134" i="110" a="1"/>
  <c r="M134" i="110" s="1"/>
  <c r="P114" i="110" a="1"/>
  <c r="P114" i="110" s="1"/>
  <c r="N115" i="110" a="1"/>
  <c r="N115" i="110" s="1"/>
  <c r="M118" i="110" a="1"/>
  <c r="M118" i="110" s="1"/>
  <c r="O110" i="110" a="1"/>
  <c r="O110" i="110" s="1"/>
  <c r="M116" i="110" a="1"/>
  <c r="M116" i="110" s="1"/>
  <c r="M117" i="110" a="1"/>
  <c r="M117" i="110" s="1"/>
  <c r="N119" i="110" a="1"/>
  <c r="N119" i="110" s="1"/>
  <c r="O120" i="110" a="1"/>
  <c r="O120" i="110" s="1"/>
  <c r="O122" i="110" a="1"/>
  <c r="O122" i="110" s="1"/>
  <c r="P123" i="110" a="1"/>
  <c r="P123" i="110" s="1"/>
  <c r="M125" i="110" a="1"/>
  <c r="M125" i="110" s="1"/>
  <c r="N127" i="110" a="1"/>
  <c r="N127" i="110" s="1"/>
  <c r="P130" i="110" a="1"/>
  <c r="P130" i="110" s="1"/>
  <c r="N133" i="110" a="1"/>
  <c r="N133" i="110" s="1"/>
  <c r="O135" i="110" a="1"/>
  <c r="O135" i="110" s="1"/>
  <c r="M138" i="110" a="1"/>
  <c r="M138" i="110" s="1"/>
  <c r="P141" i="110" a="1"/>
  <c r="P141" i="110" s="1"/>
  <c r="N143" i="110" a="1"/>
  <c r="N143" i="110" s="1"/>
  <c r="P148" i="110" a="1"/>
  <c r="P148" i="110" s="1"/>
  <c r="N150" i="110" a="1"/>
  <c r="N150" i="110" s="1"/>
  <c r="N158" i="110" a="1"/>
  <c r="N158" i="110" s="1"/>
  <c r="P128" i="110" a="1"/>
  <c r="P128" i="110" s="1"/>
  <c r="M130" i="110" a="1"/>
  <c r="M130" i="110" s="1"/>
  <c r="O133" i="110" a="1"/>
  <c r="O133" i="110" s="1"/>
  <c r="N138" i="110" a="1"/>
  <c r="N138" i="110" s="1"/>
  <c r="O143" i="110" a="1"/>
  <c r="O143" i="110" s="1"/>
  <c r="M145" i="110" a="1"/>
  <c r="M145" i="110" s="1"/>
  <c r="O150" i="110" a="1"/>
  <c r="O150" i="110" s="1"/>
  <c r="M152" i="110" a="1"/>
  <c r="M152" i="110" s="1"/>
  <c r="O157" i="110" a="1"/>
  <c r="O157" i="110" s="1"/>
  <c r="O158" i="110" a="1"/>
  <c r="O158" i="110" s="1"/>
  <c r="M160" i="110" a="1"/>
  <c r="M160" i="110" s="1"/>
  <c r="N130" i="110" a="1"/>
  <c r="N130" i="110" s="1"/>
  <c r="P133" i="110" a="1"/>
  <c r="P133" i="110" s="1"/>
  <c r="M135" i="110" a="1"/>
  <c r="M135" i="110" s="1"/>
  <c r="O138" i="110" a="1"/>
  <c r="O138" i="110" s="1"/>
  <c r="N145" i="110" a="1"/>
  <c r="N145" i="110" s="1"/>
  <c r="N152" i="110" a="1"/>
  <c r="N152" i="110" s="1"/>
  <c r="P158" i="110" a="1"/>
  <c r="P158" i="110" s="1"/>
  <c r="N160" i="110" a="1"/>
  <c r="N160" i="110" s="1"/>
  <c r="N135" i="110" a="1"/>
  <c r="N135" i="110" s="1"/>
  <c r="P138" i="110" a="1"/>
  <c r="P138" i="110" s="1"/>
  <c r="O142" i="110" a="1"/>
  <c r="O142" i="110" s="1"/>
  <c r="O145" i="110" a="1"/>
  <c r="O145" i="110" s="1"/>
  <c r="O149" i="110" a="1"/>
  <c r="O149" i="110" s="1"/>
  <c r="O152" i="110" a="1"/>
  <c r="O152" i="110" s="1"/>
  <c r="M154" i="110" a="1"/>
  <c r="M154" i="110" s="1"/>
  <c r="P155" i="110" a="1"/>
  <c r="P155" i="110" s="1"/>
  <c r="M157" i="110" a="1"/>
  <c r="M157" i="110" s="1"/>
  <c r="O160" i="110" a="1"/>
  <c r="O160" i="110" s="1"/>
  <c r="M132" i="110" a="1"/>
  <c r="M132" i="110" s="1"/>
  <c r="N134" i="110" a="1"/>
  <c r="N134" i="110" s="1"/>
  <c r="P137" i="110" a="1"/>
  <c r="P137" i="110" s="1"/>
  <c r="N140" i="110" a="1"/>
  <c r="N140" i="110" s="1"/>
  <c r="P145" i="110" a="1"/>
  <c r="P145" i="110" s="1"/>
  <c r="N147" i="110" a="1"/>
  <c r="N147" i="110" s="1"/>
  <c r="P152" i="110" a="1"/>
  <c r="P152" i="110" s="1"/>
  <c r="N154" i="110" a="1"/>
  <c r="N154" i="110" s="1"/>
  <c r="N157" i="110" a="1"/>
  <c r="N157" i="110" s="1"/>
  <c r="P160" i="110" a="1"/>
  <c r="P160" i="110" s="1"/>
  <c r="M161" i="110" a="1"/>
  <c r="M161" i="110" s="1"/>
  <c r="N161" i="110" a="1"/>
  <c r="N161" i="110" s="1"/>
  <c r="D106" i="110"/>
  <c r="O161" i="110" a="1"/>
  <c r="O161" i="110" s="1"/>
  <c r="P161" i="110" a="1"/>
  <c r="P161" i="110" s="1"/>
  <c r="A17" i="110"/>
  <c r="A16" i="110"/>
  <c r="A13" i="110"/>
  <c r="A12" i="110"/>
  <c r="A11" i="110"/>
  <c r="A8" i="110"/>
  <c r="A5" i="110"/>
  <c r="A4" i="110"/>
  <c r="A3" i="110"/>
  <c r="A17" i="69"/>
  <c r="A16" i="69"/>
  <c r="A13" i="69"/>
  <c r="A12" i="69"/>
  <c r="A11" i="69"/>
  <c r="A8" i="69"/>
  <c r="A5" i="69"/>
  <c r="A4" i="69"/>
  <c r="A3" i="69"/>
  <c r="A17" i="70"/>
  <c r="A16" i="70"/>
  <c r="A13" i="70"/>
  <c r="A12" i="70"/>
  <c r="A11" i="70"/>
  <c r="A8" i="70"/>
  <c r="A5" i="70"/>
  <c r="A4" i="70"/>
  <c r="A3" i="70"/>
  <c r="A17" i="13"/>
  <c r="A16" i="13"/>
  <c r="A13" i="13"/>
  <c r="A12" i="13"/>
  <c r="A11" i="13"/>
  <c r="A8" i="13"/>
  <c r="A5" i="13"/>
  <c r="A4" i="13"/>
  <c r="A3" i="13"/>
  <c r="A8" i="118"/>
  <c r="A13" i="118"/>
  <c r="A12" i="118"/>
  <c r="A11" i="118"/>
  <c r="A16" i="118"/>
  <c r="A69" i="69"/>
  <c r="Q132" i="110" l="1"/>
  <c r="Q124" i="110"/>
  <c r="Q157" i="110"/>
  <c r="Q145" i="110"/>
  <c r="Q125" i="110"/>
  <c r="Q129" i="110"/>
  <c r="Q147" i="110"/>
  <c r="Q152" i="110"/>
  <c r="Q158" i="110"/>
  <c r="Q120" i="110"/>
  <c r="Q134" i="110"/>
  <c r="Q153" i="110"/>
  <c r="Q159" i="110"/>
  <c r="Q149" i="110"/>
  <c r="Q156" i="110"/>
  <c r="Q155" i="110"/>
  <c r="Q127" i="110"/>
  <c r="Q146" i="110"/>
  <c r="Q151" i="110"/>
  <c r="Q142" i="110"/>
  <c r="Q110" i="110"/>
  <c r="Q148" i="110"/>
  <c r="Q122" i="110"/>
  <c r="Q144" i="110"/>
  <c r="Q137" i="110"/>
  <c r="Q130" i="110"/>
  <c r="Q150" i="110"/>
  <c r="Q141" i="110"/>
  <c r="Q128" i="110"/>
  <c r="Q133" i="110"/>
  <c r="Q117" i="110"/>
  <c r="Q143" i="110"/>
  <c r="Q139" i="110"/>
  <c r="Q131" i="110"/>
  <c r="Q161" i="110"/>
  <c r="Q154" i="110"/>
  <c r="Q116" i="110"/>
  <c r="K21" i="69" s="1" a="1"/>
  <c r="K21" i="69" s="1"/>
  <c r="L21" i="69" s="1" a="1"/>
  <c r="L21" i="69" s="1"/>
  <c r="E37" i="69" s="1"/>
  <c r="Q119" i="110"/>
  <c r="Q123" i="110"/>
  <c r="Q112" i="110"/>
  <c r="Q114" i="110"/>
  <c r="Q135" i="110"/>
  <c r="Q136" i="110"/>
  <c r="Q160" i="110"/>
  <c r="Q140" i="110"/>
  <c r="Q118" i="110"/>
  <c r="Q115" i="110"/>
  <c r="Q113" i="110"/>
  <c r="Q126" i="110"/>
  <c r="Q138" i="110"/>
  <c r="Q111" i="110"/>
  <c r="Q121" i="110"/>
  <c r="E15" i="13" l="1"/>
  <c r="F15" i="13" s="1"/>
  <c r="E16" i="13"/>
  <c r="F16" i="13" s="1"/>
  <c r="E17" i="13"/>
  <c r="F17" i="13" s="1"/>
  <c r="E10" i="13"/>
  <c r="F10" i="13" s="1"/>
  <c r="E9" i="13"/>
  <c r="E11" i="13"/>
  <c r="F11" i="13" s="1"/>
  <c r="F9" i="13" l="1"/>
  <c r="E13" i="13"/>
  <c r="F13" i="13" s="1"/>
  <c r="E12" i="13"/>
  <c r="F12" i="13" s="1"/>
  <c r="E14" i="13"/>
  <c r="F14" i="13" s="1"/>
  <c r="E18" i="13" l="1"/>
  <c r="F18" i="13"/>
  <c r="A17" i="118" l="1"/>
  <c r="A5" i="118"/>
  <c r="A4" i="118"/>
  <c r="A3" i="118"/>
  <c r="A37" i="69" l="1"/>
  <c r="A83" i="69"/>
  <c r="E259" i="111" a="1"/>
  <c r="E259" i="111" s="1"/>
  <c r="D259" i="111" a="1"/>
  <c r="D259" i="111" s="1"/>
  <c r="E258" i="111" a="1"/>
  <c r="E258" i="111" s="1"/>
  <c r="D258" i="111" a="1"/>
  <c r="D258" i="111" s="1"/>
  <c r="D256" i="111" a="1"/>
  <c r="D256" i="111" s="1"/>
  <c r="D255" i="111" a="1"/>
  <c r="D255" i="111" s="1"/>
  <c r="D254" i="111" a="1"/>
  <c r="D254" i="111" s="1"/>
  <c r="D253" i="111" a="1"/>
  <c r="D253" i="111" s="1"/>
  <c r="S250" i="111" l="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H50" i="111" l="1"/>
  <c r="H51" i="111"/>
  <c r="H49" i="111"/>
  <c r="H53" i="111"/>
  <c r="H48" i="111"/>
  <c r="H54" i="111"/>
  <c r="H52" i="1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<sst xmlns="http://schemas.openxmlformats.org/spreadsheetml/2006/main" count="181" uniqueCount="147">
  <si>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</si>
  <si>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</si>
  <si>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</si>
  <si>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</si>
  <si>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</si>
  <si>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</si>
  <si>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</si>
  <si>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</si>
  <si>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</si>
  <si>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</si>
  <si>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</si>
  <si>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</si>
  <si>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</si>
  <si>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</si>
  <si>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</si>
  <si>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</si>
  <si>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</si>
  <si>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</si>
  <si>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</si>
  <si>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</si>
  <si>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</si>
  <si>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</si>
  <si>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</si>
  <si>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</si>
  <si>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</si>
  <si>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</si>
  <si>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</si>
  <si>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</si>
  <si>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</si>
  <si>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</si>
  <si>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</si>
  <si>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</si>
  <si>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</si>
  <si>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</si>
  <si>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</si>
  <si>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</si>
  <si>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</si>
  <si>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</si>
  <si>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</si>
  <si>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</si>
  <si>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</si>
  <si>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</si>
  <si>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</si>
  <si>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</si>
  <si>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</si>
  <si>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</si>
  <si>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</si>
  <si>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</si>
  <si>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</si>
  <si>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</si>
  <si>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</si>
  <si>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</si>
  <si>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</si>
  <si>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</si>
  <si>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</si>
  <si>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</si>
  <si>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</si>
  <si>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</si>
  <si>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</si>
  <si>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</si>
  <si>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</si>
  <si>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</si>
  <si>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</si>
  <si>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</si>
  <si>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</si>
  <si>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</si>
  <si>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</si>
  <si>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</si>
  <si>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</si>
  <si>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</si>
  <si>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</si>
  <si>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</si>
  <si>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</si>
  <si>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</si>
  <si>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</si>
  <si>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</si>
  <si>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</si>
  <si>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</si>
  <si>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</si>
  <si>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</si>
  <si>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</si>
  <si>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</si>
  <si>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</si>
  <si>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</si>
  <si>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</si>
  <si>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</si>
  <si>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</si>
  <si>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</si>
  <si>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8.1.1.1-2 Transport fuel: CO2</t>
  </si>
  <si>
    <t>8.1.1.1-2 Transport fuel: CH4</t>
  </si>
  <si>
    <t>8.1.1.1-2 Transport fuel: N2O</t>
  </si>
  <si>
    <t>8.2.1.1-2 Stationary fuel: CO2</t>
  </si>
  <si>
    <t>8.2.1.1-2 Stationary fuel: CH4</t>
  </si>
  <si>
    <t>8.2.1.1-2 Stationary fuel: N2O</t>
  </si>
  <si>
    <t>8.X General fuel: CO2</t>
  </si>
  <si>
    <t>8.X General fuel: CH4</t>
  </si>
  <si>
    <t>8.X General fuel: N2O</t>
  </si>
  <si>
    <t>8: Fuel use: Overview</t>
  </si>
  <si>
    <t>8: Fuel use: Results</t>
  </si>
  <si>
    <t xml:space="preserve"> </t>
  </si>
  <si>
    <t>Refrigerants</t>
  </si>
  <si>
    <t>Refrigeration unit name</t>
  </si>
  <si>
    <t>Appliance type (select)</t>
  </si>
  <si>
    <t>Refrigerant used (select)</t>
  </si>
  <si>
    <t>Unit refrigerant gas capacity (kg)</t>
  </si>
  <si>
    <t>Number of units in use</t>
  </si>
  <si>
    <t>Cool room</t>
  </si>
  <si>
    <t>Domestic refrigerators</t>
  </si>
  <si>
    <t>R-402A</t>
  </si>
  <si>
    <t>dfdsfdsfgg</t>
  </si>
  <si>
    <t>Domestic A/C portable</t>
  </si>
  <si>
    <t>R-422B</t>
  </si>
  <si>
    <t>Car AC</t>
  </si>
  <si>
    <t>Light vehicle A/C</t>
  </si>
  <si>
    <t>R-400 60/40</t>
  </si>
  <si>
    <t>Chemical formula</t>
  </si>
  <si>
    <t>Global warming potential (AR5)</t>
  </si>
  <si>
    <t>Gas - FC name</t>
  </si>
  <si>
    <t>Aditional data source</t>
  </si>
  <si>
    <t>Blend</t>
  </si>
  <si>
    <t>Constituents</t>
  </si>
  <si>
    <t>Composition (%)</t>
  </si>
  <si>
    <t>Blended refrigerants - Cleaned for calculations</t>
  </si>
  <si>
    <t>Constituent 1</t>
  </si>
  <si>
    <t>Constituent 2</t>
  </si>
  <si>
    <t>Constituent 3</t>
  </si>
  <si>
    <t>Constituent 4</t>
  </si>
  <si>
    <t>Constituent 1 fraction</t>
  </si>
  <si>
    <t>Constituent 2 fraction</t>
  </si>
  <si>
    <t>Constituent 3 fraction</t>
  </si>
  <si>
    <t>Constituent 4 fraction</t>
  </si>
  <si>
    <t>Constituent 1 GWP</t>
  </si>
  <si>
    <t>Constituent 2 GWP</t>
  </si>
  <si>
    <t>Constituent 3 GWP</t>
  </si>
  <si>
    <t>Constituent 4 GWP</t>
  </si>
  <si>
    <t>Blend GWP</t>
  </si>
  <si>
    <t>Product</t>
  </si>
  <si>
    <t>Annual leakage rate (%)</t>
  </si>
  <si>
    <t>Constants - Refrigerants</t>
  </si>
  <si>
    <t>9.1.1.1-2 Refrigerant use</t>
  </si>
  <si>
    <t>Appliance type</t>
  </si>
  <si>
    <t>Refrigerant blend</t>
  </si>
  <si>
    <t>Total capacity</t>
  </si>
  <si>
    <t>Leakage rate (percent)</t>
  </si>
  <si>
    <t>Refrigerant GWP</t>
  </si>
  <si>
    <t>Emissions (t CO2-e)</t>
  </si>
  <si>
    <t>t CO2-e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</si>
</sst>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d/mm/yyyy;@"/>
    <numFmt numFmtId="167" formatCode="[$-C09]dd\-mmmm\-yyyy;@"/>
    <numFmt numFmtId="168" formatCode="#,##0.000000"/>
    <numFmt numFmtId="169" formatCode="0.0000"/>
    <numFmt numFmtId="171" formatCode="_-* #,##0.0000000_-;\-* #,##0.0000000_-;_-* &quot;-&quot;?_-;_-@_-"/>
  </numFmts>
  <fonts count="5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name val="Times New Roman"/>
      <family val="1"/>
      <scheme val="minor"/>
    </font>
    <font>
      <b/>
      <sz val="16"/>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3"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5" fillId="13" borderId="5">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0"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2" fillId="4" borderId="0">
      <alignment horizontal="left" vertical="center"/>
    </xf>
    <xf numFmtId="0" fontId="9" fillId="0" borderId="0"/>
    <xf numFmtId="0" fontId="2" fillId="0" borderId="2">
      <alignment horizontal="center" vertical="center"/>
    </xf>
    <xf numFmtId="0" fontId="38" fillId="4" borderId="0">
      <alignment horizontal="left" vertical="center"/>
    </xf>
    <xf numFmtId="0" fontId="39" fillId="4" borderId="0">
      <alignment horizontal="left" vertical="center"/>
    </xf>
    <xf numFmtId="0" fontId="41" fillId="4" borderId="0">
      <alignment horizontal="left" vertical="center"/>
    </xf>
    <xf numFmtId="0" fontId="37" fillId="11" borderId="0">
      <alignment horizontal="center" vertical="center"/>
    </xf>
    <xf numFmtId="0" fontId="20" fillId="11" borderId="0">
      <alignment horizontal="left" vertical="center" indent="1"/>
    </xf>
    <xf numFmtId="0" fontId="43" fillId="14" borderId="2">
      <alignment horizontal="center" vertical="center"/>
    </xf>
    <xf numFmtId="0" fontId="42" fillId="15" borderId="2">
      <alignment horizontal="center" vertical="center"/>
    </xf>
    <xf numFmtId="0" fontId="44" fillId="4" borderId="2">
      <alignment horizontal="left" vertical="center"/>
    </xf>
    <xf numFmtId="0" fontId="26" fillId="4" borderId="2">
      <alignment horizontal="left" vertical="center"/>
    </xf>
    <xf numFmtId="0" fontId="45" fillId="0" borderId="0"/>
  </cellStyleXfs>
  <cellXfs count="73">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3"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5" fillId="13" borderId="5"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6" fillId="4" borderId="0" xfId="53">
      <alignment horizontal="left" vertical="center"/>
    </xf>
    <xf numFmtId="0" fontId="32" fillId="4" borderId="0" xfId="54">
      <alignment horizontal="left" vertical="center"/>
    </xf>
    <xf numFmtId="0" fontId="34" fillId="0" borderId="0" xfId="33" applyFont="1">
      <alignment horizontal="left" vertical="center" indent="1"/>
    </xf>
    <xf numFmtId="0" fontId="10" fillId="0" borderId="0" xfId="32"/>
    <xf numFmtId="0" fontId="35" fillId="13" borderId="7" xfId="39" applyBorder="1">
      <alignment horizontal="left" vertical="center"/>
    </xf>
    <xf numFmtId="0" fontId="35" fillId="13" borderId="9" xfId="39" applyBorder="1">
      <alignment horizontal="left" vertical="center"/>
    </xf>
    <xf numFmtId="0" fontId="35" fillId="13" borderId="10" xfId="39" applyBorder="1">
      <alignment horizontal="left" vertical="center"/>
    </xf>
    <xf numFmtId="0" fontId="35" fillId="13" borderId="11" xfId="39" applyBorder="1">
      <alignment horizontal="left" vertical="center"/>
    </xf>
    <xf numFmtId="0" fontId="6" fillId="4" borderId="1" xfId="53" applyBorder="1">
      <alignment horizontal="left" vertical="center"/>
    </xf>
    <xf numFmtId="0" fontId="41" fillId="4" borderId="0" xfId="59">
      <alignment horizontal="left" vertical="center"/>
    </xf>
    <xf numFmtId="2" fontId="24" fillId="4" borderId="1" xfId="0" applyNumberFormat="1" applyFont="1" applyFill="1" applyBorder="1" applyAlignment="1">
      <alignment horizontal="center"/>
    </xf>
    <xf numFmtId="0" fontId="37" fillId="11" borderId="0" xfId="60">
      <alignment horizontal="center" vertical="center"/>
    </xf>
    <xf numFmtId="0" fontId="31" fillId="4" borderId="0" xfId="8" applyAlignment="1">
      <alignment horizontal="center" vertical="center"/>
    </xf>
    <xf numFmtId="0" fontId="35" fillId="13" borderId="6"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12" fillId="6" borderId="0" xfId="29">
      <alignment horizontal="center" vertical="center"/>
      <protection locked="0"/>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5" fillId="0" borderId="0" xfId="66"/>
    <xf numFmtId="169" fontId="8" fillId="4" borderId="0" xfId="10" applyNumberFormat="1">
      <alignment horizontal="center" vertical="center"/>
    </xf>
    <xf numFmtId="0" fontId="46"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6" fillId="13" borderId="8"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35" fillId="13" borderId="12" xfId="39" applyBorder="1">
      <alignment horizontal="left" vertical="center"/>
    </xf>
    <xf numFmtId="0" fontId="35" fillId="13" borderId="13" xfId="39" applyBorder="1">
      <alignment horizontal="left" vertical="center"/>
    </xf>
    <xf numFmtId="0" fontId="35" fillId="13" borderId="14" xfId="39" applyBorder="1">
      <alignment horizontal="left" vertical="center"/>
    </xf>
    <xf numFmtId="0" fontId="2" fillId="0" borderId="2" xfId="56">
      <alignment horizontal="center" vertical="center"/>
    </xf>
    <xf numFmtId="0" fontId="9" fillId="4" borderId="0" xfId="55" applyFill="1"/>
    <xf numFmtId="0" fontId="0" fillId="0" borderId="0" xfId="55" applyFont="1" applyAlignment="1">
      <alignment vertical="center"/>
    </xf>
    <xf numFmtId="0" fontId="0" fillId="0" borderId="0" xfId="55" applyFont="1"/>
    <xf numFmtId="0" fontId="31" fillId="4" borderId="1" xfId="8" applyBorder="1">
      <alignment horizontal="left" vertical="center"/>
    </xf>
    <xf numFmtId="0" fontId="9" fillId="4" borderId="1" xfId="55" applyFill="1" applyBorder="1"/>
    <xf numFmtId="0" fontId="35" fillId="4" borderId="5" xfId="39" applyFill="1">
      <alignment horizontal="left" vertical="center"/>
    </xf>
    <xf numFmtId="0" fontId="47" fillId="4" borderId="1" xfId="55" applyFont="1" applyFill="1" applyBorder="1"/>
    <xf numFmtId="171" fontId="48" fillId="4" borderId="1" xfId="55" applyNumberFormat="1" applyFont="1" applyFill="1" applyBorder="1"/>
    <xf numFmtId="0" fontId="49" fillId="4" borderId="1" xfId="12" applyFont="1" applyBorder="1">
      <alignment horizontal="left" vertical="center" indent="1"/>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5">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Equation table" pivot="0" count="6" xr9:uid="{B247698E-E41D-4CCD-AA0A-C14817E9DE65}">
      <tableStyleElement type="wholeTable" dxfId="58"/>
      <tableStyleElement type="headerRow" dxfId="57"/>
      <tableStyleElement type="totalRow" dxfId="56"/>
      <tableStyleElement type="firstColumn" dxfId="55"/>
      <tableStyleElement type="firstRowStripe" dxfId="54"/>
      <tableStyleElement type="secondRowStripe" dxfId="53"/>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5.2.1.1-2 Organic Fert N2O'!D5"/><Relationship Id="rId1" Type="http://schemas.openxmlformats.org/officeDocument/2006/relationships/hyperlink" Target="#'5.1.1.3-4 Inorganic fert CO2'!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8.1.1.1-2 Transport</a:t>
          </a:r>
          <a:r>
            <a:rPr lang="en-AU" sz="1400" b="0" baseline="0">
              <a:solidFill>
                <a:srgbClr val="0C769E"/>
              </a:solidFill>
            </a:rPr>
            <a:t> </a:t>
          </a:r>
          <a:br>
            <a:rPr lang="en-AU" sz="1400" b="0" baseline="0">
              <a:solidFill>
                <a:srgbClr val="0C769E"/>
              </a:solidFill>
            </a:rPr>
          </a:br>
          <a:r>
            <a:rPr lang="en-AU" sz="1400" b="0" baseline="0">
              <a:solidFill>
                <a:srgbClr val="0C769E"/>
              </a:solidFill>
            </a:rPr>
            <a:t>fuel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9.1.1.1-2 Refrigerant use'!D5">
      <xdr:nvSpPr>
        <xdr:cNvPr id="5" name="TextBox 4">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The total emissions of refrigerant leaking during operation (not during installation or disposal)</a:t>
          </a:fld>
          <a:endParaRPr lang="en-AU" sz="1000">
            <a:solidFill>
              <a:srgbClr val="0C769E"/>
            </a:solidFill>
          </a:endParaRPr>
        </a:p>
      </xdr:txBody>
    </xdr:sp>
    <xdr:clientData/>
  </xdr:twoCellAnchor>
  <xdr:oneCellAnchor>
    <xdr:from>
      <xdr:col>7</xdr:col>
      <xdr:colOff>16012</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8.2.1.1-2 Stationary </a:t>
          </a:r>
          <a:br>
            <a:rPr lang="en-AU" sz="1400" b="0">
              <a:solidFill>
                <a:schemeClr val="accent5">
                  <a:lumMod val="75000"/>
                </a:schemeClr>
              </a:solidFill>
            </a:rPr>
          </a:br>
          <a:r>
            <a:rPr lang="en-AU" sz="1400" b="0">
              <a:solidFill>
                <a:schemeClr val="accent5">
                  <a:lumMod val="75000"/>
                </a:schemeClr>
              </a:solidFill>
            </a:rPr>
            <a:t>fuel use</a:t>
          </a:r>
        </a:p>
      </xdr:txBody>
    </xdr:sp>
    <xdr:clientData/>
  </xdr:oneCellAnchor>
  <xdr:twoCellAnchor>
    <xdr:from>
      <xdr:col>7</xdr:col>
      <xdr:colOff>175780</xdr:colOff>
      <xdr:row>9</xdr:row>
      <xdr:rowOff>122958</xdr:rowOff>
    </xdr:from>
    <xdr:to>
      <xdr:col>9</xdr:col>
      <xdr:colOff>468580</xdr:colOff>
      <xdr:row>12</xdr:row>
      <xdr:rowOff>100008</xdr:rowOff>
    </xdr:to>
    <xdr:sp macro="" textlink="#REF!">
      <xdr:nvSpPr>
        <xdr:cNvPr id="21" name="TextBox 20">
          <a:hlinkClick xmlns:r="http://schemas.openxmlformats.org/officeDocument/2006/relationships" r:id="rId1"/>
          <a:extLst>
            <a:ext uri="{FF2B5EF4-FFF2-40B4-BE49-F238E27FC236}">
              <a16:creationId xmlns:a16="http://schemas.microsoft.com/office/drawing/2014/main" id="{8C71CDED-7203-4C08-A42F-C497846ACCAF}"/>
            </a:ext>
          </a:extLst>
        </xdr:cNvPr>
        <xdr:cNvSpPr txBox="1"/>
      </xdr:nvSpPr>
      <xdr:spPr>
        <a:xfrm>
          <a:off x="5290705"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8C0AE-4801-4D03-B451-13BA8A29CF8D}" type="TxLink">
            <a:rPr lang="en-US" sz="1000" b="0" i="0" u="none" strike="noStrike">
              <a:solidFill>
                <a:srgbClr val="002060"/>
              </a:solidFill>
              <a:latin typeface="Times New Roman"/>
              <a:cs typeface="Times New Roman"/>
            </a:rPr>
            <a:pPr algn="ctr"/>
            <a:t>Emissions for each GHG from the stationary combustion of fuels</a:t>
          </a:fld>
          <a:endParaRPr lang="en-AU" sz="1000">
            <a:solidFill>
              <a:srgbClr val="002060"/>
            </a:solidFill>
          </a:endParaRPr>
        </a:p>
      </xdr:txBody>
    </xdr:sp>
    <xdr:clientData/>
  </xdr:twoCellAnchor>
  <xdr:oneCellAnchor>
    <xdr:from>
      <xdr:col>11</xdr:col>
      <xdr:colOff>19050</xdr:colOff>
      <xdr:row>7</xdr:row>
      <xdr:rowOff>3136</xdr:rowOff>
    </xdr:from>
    <xdr:ext cx="1838325" cy="298800"/>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8.X General fuel use</a:t>
          </a:r>
        </a:p>
      </xdr:txBody>
    </xdr:sp>
    <xdr:clientData/>
  </xdr:oneCellAnchor>
  <xdr:twoCellAnchor>
    <xdr:from>
      <xdr:col>11</xdr:col>
      <xdr:colOff>194829</xdr:colOff>
      <xdr:row>9</xdr:row>
      <xdr:rowOff>122958</xdr:rowOff>
    </xdr:from>
    <xdr:to>
      <xdr:col>13</xdr:col>
      <xdr:colOff>487629</xdr:colOff>
      <xdr:row>12</xdr:row>
      <xdr:rowOff>100008</xdr:rowOff>
    </xdr:to>
    <xdr:sp macro="" textlink="#REF!">
      <xdr:nvSpPr>
        <xdr:cNvPr id="26" name="TextBox 25">
          <a:hlinkClick xmlns:r="http://schemas.openxmlformats.org/officeDocument/2006/relationships" r:id="rId2"/>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CE9035-6D0C-4731-B79E-8FBC74FD3A4D}" type="TxLink">
            <a:rPr lang="en-US" sz="1000" b="0" i="0" u="none" strike="noStrike">
              <a:solidFill>
                <a:srgbClr val="7030A0"/>
              </a:solidFill>
              <a:latin typeface="Times New Roman"/>
              <a:cs typeface="Times New Roman"/>
            </a:rPr>
            <a:pPr algn="ctr"/>
            <a:t>Emissions for each GHG from the generic combustion of fuels</a:t>
          </a:fld>
          <a:endParaRPr lang="en-AU" sz="1000">
            <a:solidFill>
              <a:srgbClr val="7030A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13446</xdr:colOff>
      <xdr:row>7</xdr:row>
      <xdr:rowOff>144557</xdr:rowOff>
    </xdr:from>
    <xdr:ext cx="2898358" cy="380361"/>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691652" y="2004733"/>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𝑅</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𝑎</m:t>
                        </m:r>
                      </m:sub>
                      <m:sup/>
                      <m:e>
                        <m:d>
                          <m:dPr>
                            <m:ctrlPr>
                              <a:rPr lang="en-AU" sz="1100" i="1">
                                <a:solidFill>
                                  <a:schemeClr val="tx1"/>
                                </a:solidFill>
                                <a:effectLst/>
                                <a:latin typeface="Cambria Math" panose="02040503050406030204" pitchFamily="18" charset="0"/>
                                <a:ea typeface="+mn-ea"/>
                                <a:cs typeface="+mn-cs"/>
                              </a:rPr>
                            </m:ctrlPr>
                          </m:dPr>
                          <m:e>
                            <m:r>
                              <a:rPr lang="en-AU" sz="1100" i="1">
                                <a:solidFill>
                                  <a:schemeClr val="tx1"/>
                                </a:solidFill>
                                <a:effectLst/>
                                <a:latin typeface="Cambria Math" panose="02040503050406030204" pitchFamily="18" charset="0"/>
                                <a:ea typeface="+mn-ea"/>
                                <a:cs typeface="+mn-cs"/>
                              </a:rPr>
                              <m:t>𝑐h𝑎𝑟𝑔</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𝑅𝑎</m:t>
                                </m:r>
                              </m:sub>
                            </m:sSub>
                            <m:r>
                              <a:rPr lang="en-AU" sz="1100" i="1">
                                <a:solidFill>
                                  <a:schemeClr val="tx1"/>
                                </a:solidFill>
                                <a:effectLst/>
                                <a:latin typeface="Cambria Math" panose="02040503050406030204" pitchFamily="18" charset="0"/>
                                <a:ea typeface="+mn-ea"/>
                                <a:cs typeface="+mn-cs"/>
                              </a:rPr>
                              <m:t>×</m:t>
                            </m:r>
                            <m:f>
                              <m:fPr>
                                <m:ctrlPr>
                                  <a:rPr lang="en-AU" sz="1100" i="1">
                                    <a:solidFill>
                                      <a:schemeClr val="tx1"/>
                                    </a:solidFill>
                                    <a:effectLst/>
                                    <a:latin typeface="Cambria Math" panose="02040503050406030204" pitchFamily="18" charset="0"/>
                                    <a:ea typeface="+mn-ea"/>
                                    <a:cs typeface="+mn-cs"/>
                                  </a:rPr>
                                </m:ctrlPr>
                              </m:fPr>
                              <m:num>
                                <m:r>
                                  <a:rPr lang="en-AU" sz="1100" i="1">
                                    <a:solidFill>
                                      <a:schemeClr val="tx1"/>
                                    </a:solidFill>
                                    <a:effectLst/>
                                    <a:latin typeface="Cambria Math" panose="02040503050406030204" pitchFamily="18" charset="0"/>
                                    <a:ea typeface="+mn-ea"/>
                                    <a:cs typeface="+mn-cs"/>
                                  </a:rPr>
                                  <m:t>𝑙𝑒𝑎𝑘𝑎𝑔𝑒</m:t>
                                </m:r>
                                <m:r>
                                  <a:rPr lang="en-AU" sz="1100" i="1">
                                    <a:solidFill>
                                      <a:schemeClr val="tx1"/>
                                    </a:solidFill>
                                    <a:effectLst/>
                                    <a:latin typeface="Cambria Math" panose="02040503050406030204" pitchFamily="18" charset="0"/>
                                    <a:ea typeface="+mn-ea"/>
                                    <a:cs typeface="+mn-cs"/>
                                  </a:rPr>
                                  <m:t> </m:t>
                                </m:r>
                                <m:r>
                                  <a:rPr lang="en-AU" sz="1100" i="1">
                                    <a:solidFill>
                                      <a:schemeClr val="tx1"/>
                                    </a:solidFill>
                                    <a:effectLst/>
                                    <a:latin typeface="Cambria Math" panose="02040503050406030204" pitchFamily="18" charset="0"/>
                                    <a:ea typeface="+mn-ea"/>
                                    <a:cs typeface="+mn-cs"/>
                                  </a:rPr>
                                  <m:t>𝑟𝑎𝑡</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𝑎</m:t>
                                    </m:r>
                                  </m:sub>
                                </m:sSub>
                              </m:num>
                              <m:den>
                                <m:r>
                                  <a:rPr lang="en-AU" sz="1100" i="1">
                                    <a:solidFill>
                                      <a:schemeClr val="tx1"/>
                                    </a:solidFill>
                                    <a:effectLst/>
                                    <a:latin typeface="Cambria Math" panose="02040503050406030204" pitchFamily="18" charset="0"/>
                                    <a:ea typeface="+mn-ea"/>
                                    <a:cs typeface="+mn-cs"/>
                                  </a:rPr>
                                  <m:t>100</m:t>
                                </m:r>
                              </m:den>
                            </m:f>
                          </m:e>
                        </m:d>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691652" y="2004733"/>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𝐸_𝑅=∑10_𝑎▒(𝑐ℎ𝑎𝑟𝑔𝑒_𝑅𝑎×(𝑙𝑒𝑎𝑘𝑎𝑔𝑒 𝑟𝑎𝑡𝑒_𝑎)/100) ×10^(−3)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Old\GAF2-Template-WIP-v30.xlsx" TargetMode="External"/><Relationship Id="rId1" Type="http://schemas.openxmlformats.org/officeDocument/2006/relationships/externalLinkPath" Target="Old/GAF2-Template-WIP-v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 MMS - Feedlot"/>
      <sheetName val="Calcs - CH4 MMS Feedlot"/>
      <sheetName val="Input - MMS - Poultry"/>
      <sheetName val="Calcs - CH4 MMS Poultry"/>
      <sheetName val="Input - Herd - Swine"/>
      <sheetName val="Input - MMS - Swine"/>
      <sheetName val="Calcs - CH4 MMS Swine"/>
      <sheetName val="Tab template"/>
      <sheetName val="Results"/>
      <sheetName val="Input - Site"/>
      <sheetName val="Input - Production"/>
      <sheetName val="Input - Herd - Dairy"/>
      <sheetName val="Input - Feed - Dairy"/>
      <sheetName val="Input - Herd - Feedlot"/>
      <sheetName val="Input - Grains"/>
      <sheetName val="Input - Pasture"/>
      <sheetName val="Input - Fert Lime Chem"/>
      <sheetName val="Input - Fuel &amp; Energy"/>
      <sheetName val="Input - Other Farm Inputs"/>
      <sheetName val="Input - Aquaculture"/>
      <sheetName val="Input - Data Quality"/>
      <sheetName val="Input - LULUCF"/>
      <sheetName val="Calcs - Fert Lime"/>
      <sheetName val="Calcs - Residue mgmt - Crop"/>
      <sheetName val="Calcs - Residue mgmt - Pasture"/>
      <sheetName val="Calcs - Field burning"/>
      <sheetName val="Calcs - Fuel"/>
      <sheetName val="Calcs - Electricity"/>
      <sheetName val="Calcs - Refrigerants"/>
      <sheetName val="Calcs - Scope 3"/>
      <sheetName val="Constants - Common"/>
      <sheetName val="Constants - Cropping"/>
      <sheetName val="Constants - Livestock"/>
      <sheetName val="Constants - Dairy"/>
      <sheetName val="Constants - Feedlot"/>
      <sheetName val="Sty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2F53FC-4417-4684-906D-1EAA429D66BB}" name="Table_Input_Refrigerant" displayName="Table_Input_Refrigerant" ref="D9:H12" totalsRowShown="0" headerRowCellStyle="Input table column header">
  <autoFilter ref="D9:H12" xr:uid="{522F53FC-4417-4684-906D-1EAA429D66BB}"/>
  <tableColumns count="5">
    <tableColumn id="1" xr3:uid="{6746A01D-1612-49BB-8917-35F6F366E6B5}" name="Refrigeration unit name"/>
    <tableColumn id="2" xr3:uid="{B1D63EF0-427C-44C7-8981-52C505957D8D}" name="Appliance type (select)" dataCellStyle="Input select"/>
    <tableColumn id="3" xr3:uid="{7D4059A8-3C98-469C-A367-BB4FE7ACBFBE}" name="Refrigerant used (select)" dataCellStyle="Input select"/>
    <tableColumn id="4" xr3:uid="{B1F7D4BA-0515-4248-ACA9-0BB1E037D020}" name="Unit refrigerant gas capacity (kg)" dataCellStyle="Input number general"/>
    <tableColumn id="5" xr3:uid="{182DF297-F247-4D14-ADA2-B1F02A7B0864}" name="Number of units in use" dataCellStyle="Input number general"/>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C64E54-9C84-4DF0-963A-F003AFDF82BC}" name="Table_RefrigerantChemicalGWP" displayName="Table_RefrigerantChemicalGWP" ref="D8:H46" totalsRowShown="0">
  <autoFilter ref="D8:H46" xr:uid="{E1C64E54-9C84-4DF0-963A-F003AFDF82BC}">
    <filterColumn colId="0" hiddenButton="1"/>
    <filterColumn colId="1" hiddenButton="1"/>
    <filterColumn colId="2" hiddenButton="1"/>
    <filterColumn colId="3" hiddenButton="1"/>
    <filterColumn colId="4" hiddenButton="1"/>
  </autoFilter>
  <tableColumns count="5">
    <tableColumn id="1" xr3:uid="{62BDB88E-3527-479E-864F-466878FB5CB5}" name="Gas">
      <calculatedColumnFormula array="1">Common_InputFunctions.Utility_DisplayArrayInTable(Refrigerants_SourceData.Refrigerants_ChemicalGWP_Data(), Table_RefrigerantChemicalGWP[[#Headers],[Gas]], 0)</calculatedColumnFormula>
    </tableColumn>
    <tableColumn id="2" xr3:uid="{D8D63CD1-DF01-49A3-AC85-F733266FF8FC}" name="Chemical formula">
      <calculatedColumnFormula array="1">Common_InputFunctions.Utility_DisplayArrayInTable(Refrigerants_SourceData.Refrigerants_ChemicalGWP_Data(), Table_RefrigerantChemicalGWP[[#Headers],[Gas]], 0)</calculatedColumnFormula>
    </tableColumn>
    <tableColumn id="3" xr3:uid="{0AE39E77-03BA-4B47-ADF4-E2A6E6E104AC}" name="Global warming potential (AR5)">
      <calculatedColumnFormula array="1">Common_InputFunctions.Utility_DisplayArrayInTable(Refrigerants_SourceData.Refrigerants_ChemicalGWP_Data(), Table_RefrigerantChemicalGWP[[#Headers],[Gas]], 0)</calculatedColumnFormula>
    </tableColumn>
    <tableColumn id="4" xr3:uid="{67178165-2BEF-455C-9CCE-778089F09E4E}" name="Gas - FC name">
      <calculatedColumnFormula array="1">Common_InputFunctions.Utility_DisplayArrayInTable(Refrigerants_SourceData.Refrigerants_ChemicalGWP_Data(), Table_RefrigerantChemicalGWP[[#Headers],[Gas]], 0)</calculatedColumnFormula>
    </tableColumn>
    <tableColumn id="5" xr3:uid="{908FBD65-4827-409D-A484-36C9D83CED3F}" name="Aditional data source">
      <calculatedColumnFormula array="1">Common_InputFunctions.Utility_DisplayArrayInTable(Refrigerants_SourceData.Refrigerants_ChemicalGWP_Data(), Table_RefrigerantChemicalGWP[[#Headers],[Gas]],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425C18-C97A-4426-BBB3-EF366039709E}" name="Table_RefrigerantBlends" displayName="Table_RefrigerantBlends" ref="D52:F102" totalsRowShown="0">
  <autoFilter ref="D52:F102" xr:uid="{18425C18-C97A-4426-BBB3-EF366039709E}">
    <filterColumn colId="0" hiddenButton="1"/>
    <filterColumn colId="1" hiddenButton="1"/>
    <filterColumn colId="2" hiddenButton="1"/>
  </autoFilter>
  <tableColumns count="3">
    <tableColumn id="1" xr3:uid="{429F488B-CBBB-44C3-9090-A828E54D1599}" name="Blend">
      <calculatedColumnFormula array="1">Common_InputFunctions.Utility_DisplayArrayInTable(Refrigerants_SourceData.Refrigerants_ChemicalBlends_Data(), Table_RefrigerantBlends[[#Headers],[Blend]], 0)</calculatedColumnFormula>
    </tableColumn>
    <tableColumn id="2" xr3:uid="{CA69A4C4-12F9-46BC-85E7-8B615E52A4AC}" name="Constituents">
      <calculatedColumnFormula array="1">Common_InputFunctions.Utility_DisplayArrayInTable(Refrigerants_SourceData.Refrigerants_ChemicalBlends_Data(), Table_RefrigerantBlends[[#Headers],[Blend]], 0)</calculatedColumnFormula>
    </tableColumn>
    <tableColumn id="3" xr3:uid="{6963BC25-0EFC-4A8A-8B34-3E20B66DBF70}" name="Composition (%)">
      <calculatedColumnFormula array="1">Common_InputFunctions.Utility_DisplayArrayInTable(Refrigerants_SourceData.Refrigerants_ChemicalBlends_Data(), Table_RefrigerantBlends[[#Headers],[Blend]],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81EECF-2AA9-4F39-8881-1C4A3A770595}" name="Table_RefrigerantBlends_Cleaned" displayName="Table_RefrigerantBlends_Cleaned" ref="D109:Q161" totalsRowShown="0">
  <autoFilter ref="D109:Q161" xr:uid="{4B81EECF-2AA9-4F39-8881-1C4A3A7705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FDA6927-34AA-4D8B-8D4A-9DC7E3B40163}" name="Blend">
      <calculatedColumnFormula>D53</calculatedColumnFormula>
    </tableColumn>
    <tableColumn id="2" xr3:uid="{65A7B9C0-00D2-46A0-943C-B2C99DFEF2B7}" name="Constituent 1">
      <calculatedColumnFormula array="1">IFERROR(INDEX(TRANSPOSE(InputFunctions_Utilities.Utility_SplitStringIntoArray($Q53, "/")), 1), "")</calculatedColumnFormula>
    </tableColumn>
    <tableColumn id="3" xr3:uid="{A931BA68-0170-43A0-A3E8-29249EB960F2}" name="Constituent 2">
      <calculatedColumnFormula array="1">IFERROR(INDEX(TRANSPOSE(InputFunctions_Utilities.Utility_SplitStringIntoArray($Q53, "/")), 2), "")</calculatedColumnFormula>
    </tableColumn>
    <tableColumn id="4" xr3:uid="{7A9F3AE1-87A4-4A01-9E6B-CB9F47E15C21}" name="Constituent 3">
      <calculatedColumnFormula array="1">IFERROR(INDEX(TRANSPOSE(InputFunctions_Utilities.Utility_SplitStringIntoArray($Q53, "/")), 3), "")</calculatedColumnFormula>
    </tableColumn>
    <tableColumn id="5" xr3:uid="{A3032C3A-81A7-4174-B583-04C6DCFC6757}" name="Constituent 4">
      <calculatedColumnFormula array="1">IFERROR(INDEX(TRANSPOSE(InputFunctions_Utilities.Utility_SplitStringIntoArray($Q53, "/")), 4), "")</calculatedColumnFormula>
    </tableColumn>
    <tableColumn id="6" xr3:uid="{46A3C022-9AC8-4B0D-B58A-5C9EEA318F6C}" name="Constituent 1 fraction"/>
    <tableColumn id="7" xr3:uid="{EAB72211-F9D7-417D-B623-AEBAA9148550}" name="Constituent 2 fraction"/>
    <tableColumn id="8" xr3:uid="{8B1B0E22-1C60-4228-9330-E64FC3EE0C74}" name="Constituent 3 fraction"/>
    <tableColumn id="9" xr3:uid="{775A3347-24EF-4D44-8982-179D3FE9A37D}" name="Constituent 4 fraction"/>
    <tableColumn id="10" xr3:uid="{C725453B-6BBB-4499-96BD-CFF2FC1E2EBA}" name="Constituent 1 GWP">
      <calculatedColumnFormula array="1">IFERROR(Table_RefrigerantBlends_Cleaned[[#This Row],[Constituent 1 fraction]]*Common_InputFunctions.Utility_LookupValueInTableNumber(Table_RefrigerantBlends_Cleaned[[#This Row],[Constituent 1]], Table_RefrigerantChemicalGWP[Gas - FC name], Table_RefrigerantChemicalGWP[Global warming potential (AR5)]),"")</calculatedColumnFormula>
    </tableColumn>
    <tableColumn id="11" xr3:uid="{89F89010-2000-4060-A642-2E886DBD3F75}" name="Constituent 2 GWP"/>
    <tableColumn id="12" xr3:uid="{FD568896-2AC0-4F6D-8246-12A3FC672388}" name="Constituent 3 GWP"/>
    <tableColumn id="13" xr3:uid="{CA40B9B1-FAB0-49FA-A641-3A11045EA1C8}" name="Constituent 4 GWP"/>
    <tableColumn id="14" xr3:uid="{7AD87404-6129-41AD-89ED-4654E9148F3D}" name="Blend GWP">
      <calculatedColumnFormula>SUM(Table_RefrigerantBlends_Cleaned[[#This Row],[Constituent 1 GWP]],Table_RefrigerantBlends_Cleaned[[#This Row],[Constituent 2 GWP]],Table_RefrigerantBlends_Cleaned[[#This Row],[Constituent 3 GWP]],Table_RefrigerantBlends_Cleaned[[#This Row],[Constituent 4 GWP]])</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340411-0B16-4A11-B31A-8128F73C9D92}" name="Table_Refrigerants_LeakageRates" displayName="Table_Refrigerants_LeakageRates" ref="D167:E174" totalsRowShown="0">
  <autoFilter ref="D167:E174" xr:uid="{4B340411-0B16-4A11-B31A-8128F73C9D92}">
    <filterColumn colId="0" hiddenButton="1"/>
    <filterColumn colId="1" hiddenButton="1"/>
  </autoFilter>
  <tableColumns count="2">
    <tableColumn id="1" xr3:uid="{04ACE1EE-94B4-4983-B905-9C7EB5BF69CB}" name="Product">
      <calculatedColumnFormula array="1">Common_InputFunctions.Utility_DisplayArrayInTable(Refrigerants_SourceData.Refrigerants_LeakageRates_Data(), Table_Refrigerants_LeakageRates[[#Headers],[Product]], 0)</calculatedColumnFormula>
    </tableColumn>
    <tableColumn id="2" xr3:uid="{068B358B-F2C9-4A9B-9CE5-084E3BCF9BC4}" name="Annual leakage rate (%)">
      <calculatedColumnFormula array="1">Common_InputFunctions.Utility_DisplayArrayInTable(Refrigerants_SourceData.Refrigerants_LeakageRates_Data(), Table_Refrigerants_LeakageRates[[#Headers],[Product]],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2.xml"/><Relationship Id="rId13" Type="http://schemas.openxmlformats.org/officeDocument/2006/relationships/table" Target="../tables/table17.xml"/><Relationship Id="rId18" Type="http://schemas.openxmlformats.org/officeDocument/2006/relationships/table" Target="../tables/table2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 Type="http://schemas.openxmlformats.org/officeDocument/2006/relationships/table" Target="../tables/table6.xml"/><Relationship Id="rId16" Type="http://schemas.openxmlformats.org/officeDocument/2006/relationships/table" Target="../tables/table20.xml"/><Relationship Id="rId1" Type="http://schemas.openxmlformats.org/officeDocument/2006/relationships/printerSettings" Target="../printerSettings/printerSettings3.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5" Type="http://schemas.openxmlformats.org/officeDocument/2006/relationships/table" Target="../tables/table1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K20" sqref="K20"/>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4" t="e" vm="1">
        <v>#VALUE!</v>
      </c>
      <c r="C1" s="53" t="s">
        <v>97</v>
      </c>
      <c r="D1" s="54"/>
      <c r="E1" s="54"/>
      <c r="F1" s="54"/>
      <c r="G1" s="54"/>
      <c r="H1" s="54"/>
      <c r="I1" s="54"/>
      <c r="J1" s="54"/>
      <c r="K1" s="54"/>
      <c r="L1" s="54"/>
      <c r="M1" s="54"/>
      <c r="N1" s="54"/>
      <c r="O1" s="54"/>
      <c r="P1" s="54"/>
    </row>
    <row r="2" spans="1:17" ht="20.100000000000001" customHeight="1" x14ac:dyDescent="0.25">
      <c r="A2" s="8"/>
      <c r="C2" s="54"/>
      <c r="D2" s="54"/>
      <c r="E2" s="54"/>
      <c r="F2" s="54"/>
      <c r="G2" s="54"/>
      <c r="H2" s="54"/>
      <c r="I2" s="54"/>
      <c r="J2" s="54"/>
      <c r="K2" s="54"/>
      <c r="L2" s="54"/>
      <c r="M2" s="54"/>
      <c r="N2" s="54"/>
      <c r="O2" s="54"/>
      <c r="P2" s="54"/>
      <c r="Q2" s="55"/>
    </row>
    <row r="3" spans="1:17" ht="20.100000000000001" customHeight="1" x14ac:dyDescent="0.25">
      <c r="A3" s="13" t="str">
        <f>HYPERLINK("#'Home'!A1", "Home")</f>
        <v>Home</v>
      </c>
      <c r="C3" s="56"/>
      <c r="D3" s="56"/>
      <c r="E3" s="56"/>
      <c r="F3" s="56"/>
      <c r="G3" s="56"/>
      <c r="H3" s="56"/>
      <c r="I3" s="56"/>
      <c r="J3" s="56"/>
      <c r="K3" s="56"/>
      <c r="L3" s="56"/>
      <c r="M3" s="56"/>
      <c r="N3" s="56"/>
      <c r="O3" s="56"/>
      <c r="P3" s="56"/>
    </row>
    <row r="4" spans="1:17" ht="20.100000000000001" customHeight="1" x14ac:dyDescent="0.25">
      <c r="A4" s="46" t="str">
        <f>HYPERLINK("#'Overview'!A1", "Overview")</f>
        <v>Overview</v>
      </c>
    </row>
    <row r="5" spans="1:17" ht="20.100000000000001" customHeight="1" x14ac:dyDescent="0.25">
      <c r="A5" s="13" t="str">
        <f>HYPERLINK("#'Results'!A1", "Results")</f>
        <v>Results</v>
      </c>
      <c r="D5" s="44" t="s">
        <v>84</v>
      </c>
      <c r="E5" s="38"/>
      <c r="F5" s="38"/>
      <c r="G5" s="38"/>
      <c r="H5" s="38"/>
      <c r="I5" s="38"/>
      <c r="J5" s="38"/>
      <c r="K5" s="38"/>
      <c r="L5" s="38"/>
      <c r="M5" s="38"/>
      <c r="N5" s="38"/>
      <c r="O5" s="35"/>
    </row>
    <row r="6" spans="1:17" ht="20.100000000000001" customHeight="1" x14ac:dyDescent="0.25">
      <c r="A6" s="12"/>
      <c r="D6" s="57" t="s">
        <v>85</v>
      </c>
      <c r="E6" s="37"/>
      <c r="F6" s="37"/>
      <c r="G6" s="37"/>
      <c r="H6" s="37"/>
      <c r="I6" s="37"/>
      <c r="J6" s="37"/>
      <c r="K6" s="37"/>
      <c r="L6" s="37"/>
      <c r="M6" s="37"/>
      <c r="N6" s="37"/>
      <c r="O6" s="36"/>
    </row>
    <row r="7" spans="1:17" ht="20.100000000000001" customHeight="1" x14ac:dyDescent="0.25">
      <c r="A7" s="16" t="s">
        <v>1</v>
      </c>
    </row>
    <row r="8" spans="1:17" ht="20.100000000000001" customHeight="1" x14ac:dyDescent="0.25">
      <c r="A8" s="13" t="str">
        <f>HYPERLINK("#'Input - Fuel'!A1", "Fuel")</f>
        <v>Fuel</v>
      </c>
    </row>
    <row r="9" spans="1:17" ht="20.100000000000001" customHeight="1" x14ac:dyDescent="0.25">
      <c r="A9" s="13"/>
    </row>
    <row r="10" spans="1:17" ht="20.100000000000001" customHeight="1" x14ac:dyDescent="0.25">
      <c r="A10" s="15" t="s">
        <v>45</v>
      </c>
    </row>
    <row r="11" spans="1:17" ht="20.100000000000001" customHeight="1" x14ac:dyDescent="0.25">
      <c r="A11" s="13" t="str">
        <f>HYPERLINK("#'8.1.1.1-2 Transport fuel'!A1", "8.1.1.1-2 Transport fuel")</f>
        <v>8.1.1.1-2 Transport fuel</v>
      </c>
    </row>
    <row r="12" spans="1:17" ht="20.100000000000001" customHeight="1" x14ac:dyDescent="0.25">
      <c r="A12" s="13" t="str">
        <f>HYPERLINK("#'8.2.1.1-2 Stationary fuel'!A1", "8.2.1.1-2 Stationary fuel")</f>
        <v>8.2.1.1-2 Stationary fuel</v>
      </c>
    </row>
    <row r="13" spans="1:17" ht="20.100000000000001" customHeight="1" x14ac:dyDescent="0.25">
      <c r="A13" s="13" t="str">
        <f>HYPERLINK("#'8.X.1.1-2 General use fuel'!A1", "8.X.1.1-2 General use fuel")</f>
        <v>8.X.1.1-2 General use fuel</v>
      </c>
    </row>
    <row r="14" spans="1:17" ht="20.100000000000001" customHeight="1" x14ac:dyDescent="0.25">
      <c r="A14" s="13"/>
      <c r="O14" s="1" t="s">
        <v>99</v>
      </c>
    </row>
    <row r="15" spans="1:17" ht="20.100000000000001" customHeight="1" x14ac:dyDescent="0.25">
      <c r="A15" s="14" t="s">
        <v>2</v>
      </c>
    </row>
    <row r="16" spans="1:17" ht="20.100000000000001" customHeight="1" x14ac:dyDescent="0.25">
      <c r="A16" s="13" t="str">
        <f>HYPERLINK("#'Constants - Fuel'!A1", "Constants - Fuel")</f>
        <v>Constants - Fuel</v>
      </c>
    </row>
    <row r="17" spans="1:1" ht="20.100000000000001" customHeight="1" x14ac:dyDescent="0.25">
      <c r="A17" s="13"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82</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4" t="e" vm="1">
        <v>#VALUE!</v>
      </c>
      <c r="C1" s="53" t="s">
        <v>98</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6" t="str">
        <f>HYPERLINK("#'Results'!A1", "Results")</f>
        <v>Results</v>
      </c>
      <c r="C5" s="18"/>
      <c r="D5" s="21"/>
      <c r="E5" s="22"/>
      <c r="F5" s="22"/>
      <c r="G5" s="22"/>
      <c r="H5" s="18"/>
    </row>
    <row r="6" spans="1:8" ht="20.100000000000001" customHeight="1" x14ac:dyDescent="0.25">
      <c r="A6" s="12"/>
      <c r="C6" s="18"/>
      <c r="D6" s="17" t="s">
        <v>81</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Fuel'!A1", "Fuel")</f>
        <v>Fuel</v>
      </c>
      <c r="C8" s="18"/>
      <c r="D8" s="42" t="s">
        <v>50</v>
      </c>
      <c r="E8" s="42" t="s">
        <v>61</v>
      </c>
      <c r="F8" s="42" t="s">
        <v>62</v>
      </c>
      <c r="G8" s="42" t="s">
        <v>56</v>
      </c>
      <c r="H8" s="18"/>
    </row>
    <row r="9" spans="1:8" ht="20.100000000000001" customHeight="1" x14ac:dyDescent="0.25">
      <c r="A9" s="13"/>
      <c r="C9" s="18"/>
      <c r="D9" s="1" t="s">
        <v>88</v>
      </c>
      <c r="E9" s="52">
        <f>'9.1.1.1-2 Refrigerant use'!E67</f>
        <v>0</v>
      </c>
      <c r="F9" s="52">
        <f>E9</f>
        <v>0</v>
      </c>
      <c r="G9" s="31" t="s">
        <v>59</v>
      </c>
      <c r="H9" s="18"/>
    </row>
    <row r="10" spans="1:8" ht="20.100000000000001" customHeight="1" x14ac:dyDescent="0.25">
      <c r="A10" s="15" t="s">
        <v>45</v>
      </c>
      <c r="C10" s="18"/>
      <c r="D10" s="1" t="s">
        <v>89</v>
      </c>
      <c r="E10" s="52">
        <f>'9.1.1.1-2 Refrigerant use'!E68</f>
        <v>0</v>
      </c>
      <c r="F10" s="52">
        <f t="shared" ref="F10:F17" si="0">E10</f>
        <v>0</v>
      </c>
      <c r="G10" s="31" t="s">
        <v>59</v>
      </c>
      <c r="H10" s="18"/>
    </row>
    <row r="11" spans="1:8" ht="20.100000000000001" customHeight="1" x14ac:dyDescent="0.25">
      <c r="A11" s="13" t="str">
        <f>HYPERLINK("#'8.1.1.1-2 Transport fuel'!A1", "8.1.1.1-2 Transport fuel")</f>
        <v>8.1.1.1-2 Transport fuel</v>
      </c>
      <c r="C11" s="18"/>
      <c r="D11" s="1" t="s">
        <v>90</v>
      </c>
      <c r="E11" s="52">
        <f>'9.1.1.1-2 Refrigerant use'!E69</f>
        <v>0</v>
      </c>
      <c r="F11" s="52">
        <f t="shared" si="0"/>
        <v>0</v>
      </c>
      <c r="G11" s="31" t="s">
        <v>59</v>
      </c>
      <c r="H11" s="18"/>
    </row>
    <row r="12" spans="1:8" ht="20.100000000000001" customHeight="1" x14ac:dyDescent="0.25">
      <c r="A12" s="13" t="str">
        <f>HYPERLINK("#'8.2.1.1-2 Stationary fuel'!A1", "8.2.1.1-2 Stationary fuel")</f>
        <v>8.2.1.1-2 Stationary fuel</v>
      </c>
      <c r="C12" s="18"/>
      <c r="D12" s="1" t="s">
        <v>91</v>
      </c>
      <c r="E12" s="52" t="e">
        <f>#REF!</f>
        <v>#REF!</v>
      </c>
      <c r="F12" s="52" t="e">
        <f t="shared" si="0"/>
        <v>#REF!</v>
      </c>
      <c r="G12" s="31" t="s">
        <v>59</v>
      </c>
      <c r="H12" s="18"/>
    </row>
    <row r="13" spans="1:8" ht="20.100000000000001" customHeight="1" x14ac:dyDescent="0.25">
      <c r="A13" s="13" t="str">
        <f>HYPERLINK("#'8.X.1.1-2 General use fuel'!A1", "8.X.1.1-2 General use fuel")</f>
        <v>8.X.1.1-2 General use fuel</v>
      </c>
      <c r="C13" s="18"/>
      <c r="D13" s="1" t="s">
        <v>92</v>
      </c>
      <c r="E13" s="52" t="e">
        <f>#REF!</f>
        <v>#REF!</v>
      </c>
      <c r="F13" s="52" t="e">
        <f t="shared" si="0"/>
        <v>#REF!</v>
      </c>
      <c r="G13" s="31" t="s">
        <v>59</v>
      </c>
      <c r="H13" s="18"/>
    </row>
    <row r="14" spans="1:8" ht="20.100000000000001" customHeight="1" x14ac:dyDescent="0.25">
      <c r="A14" s="13"/>
      <c r="C14" s="18"/>
      <c r="D14" s="1" t="s">
        <v>93</v>
      </c>
      <c r="E14" s="52" t="e">
        <f>#REF!</f>
        <v>#REF!</v>
      </c>
      <c r="F14" s="52" t="e">
        <f t="shared" si="0"/>
        <v>#REF!</v>
      </c>
      <c r="G14" s="31" t="s">
        <v>59</v>
      </c>
      <c r="H14" s="18"/>
    </row>
    <row r="15" spans="1:8" ht="20.100000000000001" customHeight="1" x14ac:dyDescent="0.25">
      <c r="A15" s="14" t="s">
        <v>2</v>
      </c>
      <c r="C15" s="18"/>
      <c r="D15" s="1" t="s">
        <v>94</v>
      </c>
      <c r="E15" s="52" t="e">
        <f>#REF!</f>
        <v>#REF!</v>
      </c>
      <c r="F15" s="52" t="e">
        <f t="shared" si="0"/>
        <v>#REF!</v>
      </c>
      <c r="G15" s="31" t="s">
        <v>59</v>
      </c>
      <c r="H15" s="18"/>
    </row>
    <row r="16" spans="1:8" ht="20.100000000000001" customHeight="1" x14ac:dyDescent="0.25">
      <c r="A16" s="13" t="str">
        <f>HYPERLINK("#'Constants - Fuel'!A1", "Constants - Fuel")</f>
        <v>Constants - Fuel</v>
      </c>
      <c r="C16" s="18"/>
      <c r="D16" s="1" t="s">
        <v>95</v>
      </c>
      <c r="E16" s="52" t="e">
        <f>#REF!</f>
        <v>#REF!</v>
      </c>
      <c r="F16" s="52" t="e">
        <f t="shared" si="0"/>
        <v>#REF!</v>
      </c>
      <c r="G16" s="31" t="s">
        <v>59</v>
      </c>
      <c r="H16" s="18"/>
    </row>
    <row r="17" spans="1:8" ht="20.100000000000001" customHeight="1" x14ac:dyDescent="0.25">
      <c r="A17" s="13" t="str">
        <f>HYPERLINK("#'Constants - Common'!A1", "Constants - Common")</f>
        <v>Constants - Common</v>
      </c>
      <c r="C17" s="18"/>
      <c r="D17" s="1" t="s">
        <v>96</v>
      </c>
      <c r="E17" s="52" t="e">
        <f>#REF!</f>
        <v>#REF!</v>
      </c>
      <c r="F17" s="52" t="e">
        <f t="shared" si="0"/>
        <v>#REF!</v>
      </c>
      <c r="G17" s="31" t="s">
        <v>59</v>
      </c>
      <c r="H17" s="18"/>
    </row>
    <row r="18" spans="1:8" ht="20.100000000000001" customHeight="1" x14ac:dyDescent="0.3">
      <c r="C18" s="18"/>
      <c r="D18" s="24" t="s">
        <v>55</v>
      </c>
      <c r="E18" s="41" t="e">
        <f>SUM(E9:E17)</f>
        <v>#REF!</v>
      </c>
      <c r="F18" s="41" t="e">
        <f>SUM(F9:F17)</f>
        <v>#REF!</v>
      </c>
      <c r="G18" s="39" t="s">
        <v>59</v>
      </c>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43"/>
      <c r="F21" s="31"/>
      <c r="G21" s="1"/>
      <c r="H21" s="18"/>
    </row>
    <row r="22" spans="1:8" ht="20.100000000000001" customHeight="1" x14ac:dyDescent="0.25">
      <c r="C22" s="18"/>
      <c r="D22" s="1"/>
      <c r="E22" s="43"/>
      <c r="F22" s="31"/>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5"/>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I361"/>
  <sheetViews>
    <sheetView showGridLines="0" zoomScale="85" zoomScaleNormal="85" workbookViewId="0">
      <selection activeCell="F23" sqref="F23"/>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8" width="24.85546875" style="1" customWidth="1"/>
    <col min="9" max="9" width="4.7109375" style="1" customWidth="1"/>
    <col min="10" max="10" width="4.7109375" customWidth="1"/>
  </cols>
  <sheetData>
    <row r="1" spans="1:9" s="34" customFormat="1" ht="30" customHeight="1" x14ac:dyDescent="0.35">
      <c r="A1" s="34" t="e" vm="1">
        <v>#VALUE!</v>
      </c>
      <c r="C1" s="34" t="s">
        <v>86</v>
      </c>
    </row>
    <row r="2" spans="1:9" s="8" customFormat="1" ht="20.100000000000001" customHeight="1" x14ac:dyDescent="0.25"/>
    <row r="3" spans="1:9" ht="20.100000000000001" customHeight="1" x14ac:dyDescent="0.25">
      <c r="A3" s="13" t="str">
        <f>HYPERLINK("#'Home'!A1", "Home")</f>
        <v>Home</v>
      </c>
      <c r="C3" s="11"/>
      <c r="D3" s="11"/>
      <c r="E3" s="11"/>
      <c r="F3" s="11"/>
      <c r="G3" s="11"/>
      <c r="H3" s="11"/>
      <c r="I3" s="11"/>
    </row>
    <row r="4" spans="1:9" ht="20.100000000000001" customHeight="1" x14ac:dyDescent="0.25">
      <c r="A4" s="13" t="str">
        <f>HYPERLINK("#'Overview'!A1", "Overview")</f>
        <v>Overview</v>
      </c>
    </row>
    <row r="5" spans="1:9" ht="20.100000000000001" customHeight="1" x14ac:dyDescent="0.25">
      <c r="A5" s="13" t="str">
        <f>HYPERLINK("#'Results'!A1", "Results")</f>
        <v>Results</v>
      </c>
      <c r="D5" s="5" t="s">
        <v>100</v>
      </c>
    </row>
    <row r="6" spans="1:9" ht="20.100000000000001" customHeight="1" x14ac:dyDescent="0.25">
      <c r="A6" s="12"/>
      <c r="D6" s="18"/>
      <c r="E6" s="18"/>
      <c r="F6" s="18"/>
      <c r="G6" s="18"/>
      <c r="H6" s="18"/>
    </row>
    <row r="7" spans="1:9" ht="20.100000000000001" customHeight="1" x14ac:dyDescent="0.25">
      <c r="A7" s="16" t="s">
        <v>1</v>
      </c>
      <c r="D7" s="60" t="s">
        <v>87</v>
      </c>
      <c r="E7" s="61"/>
      <c r="F7" s="61"/>
      <c r="G7" s="62"/>
      <c r="H7" s="2"/>
    </row>
    <row r="8" spans="1:9" ht="20.100000000000001" customHeight="1" x14ac:dyDescent="0.25">
      <c r="A8" s="45" t="str">
        <f>HYPERLINK("#'Input - Fuel'!A1", "Fuel")</f>
        <v>Fuel</v>
      </c>
      <c r="E8" s="2"/>
      <c r="F8" s="2"/>
      <c r="G8" s="2"/>
      <c r="H8" s="2"/>
    </row>
    <row r="9" spans="1:9" ht="20.100000000000001" customHeight="1" x14ac:dyDescent="0.25">
      <c r="A9" s="13"/>
      <c r="D9" s="47" t="s">
        <v>101</v>
      </c>
      <c r="E9" s="47" t="s">
        <v>102</v>
      </c>
      <c r="F9" s="47" t="s">
        <v>103</v>
      </c>
      <c r="G9" s="47" t="s">
        <v>104</v>
      </c>
      <c r="H9" s="47" t="s">
        <v>105</v>
      </c>
    </row>
    <row r="10" spans="1:9" ht="20.100000000000001" customHeight="1" x14ac:dyDescent="0.25">
      <c r="A10" s="15" t="s">
        <v>45</v>
      </c>
      <c r="D10" t="s">
        <v>106</v>
      </c>
      <c r="E10" s="28" t="s">
        <v>107</v>
      </c>
      <c r="F10" s="28" t="s">
        <v>108</v>
      </c>
      <c r="G10" s="63">
        <v>10</v>
      </c>
      <c r="H10" s="63">
        <v>5</v>
      </c>
    </row>
    <row r="11" spans="1:9" ht="20.100000000000001" customHeight="1" x14ac:dyDescent="0.25">
      <c r="A11" s="13" t="str">
        <f>HYPERLINK("#'8.1.1.1-2 Transport fuel'!A1", "8.1.1.1-2 Transport fuel")</f>
        <v>8.1.1.1-2 Transport fuel</v>
      </c>
      <c r="D11" t="s">
        <v>109</v>
      </c>
      <c r="E11" s="28" t="s">
        <v>110</v>
      </c>
      <c r="F11" s="28" t="s">
        <v>111</v>
      </c>
      <c r="G11" s="63">
        <v>10</v>
      </c>
      <c r="H11" s="63">
        <v>5</v>
      </c>
    </row>
    <row r="12" spans="1:9" ht="20.100000000000001" customHeight="1" x14ac:dyDescent="0.25">
      <c r="A12" s="13" t="str">
        <f>HYPERLINK("#'8.2.1.1-2 Stationary fuel'!A1", "8.2.1.1-2 Stationary fuel")</f>
        <v>8.2.1.1-2 Stationary fuel</v>
      </c>
      <c r="D12" t="s">
        <v>112</v>
      </c>
      <c r="E12" s="28" t="s">
        <v>113</v>
      </c>
      <c r="F12" s="28" t="s">
        <v>114</v>
      </c>
      <c r="G12" s="63">
        <v>10</v>
      </c>
      <c r="H12" s="63">
        <v>13</v>
      </c>
    </row>
    <row r="13" spans="1:9" ht="20.100000000000001" customHeight="1" x14ac:dyDescent="0.25">
      <c r="A13" s="13" t="str">
        <f>HYPERLINK("#'8.X.1.1-2 General use fuel'!A1", "8.X.1.1-2 General use fuel")</f>
        <v>8.X.1.1-2 General use fuel</v>
      </c>
      <c r="D13" s="18"/>
      <c r="E13" s="18"/>
      <c r="F13" s="18"/>
      <c r="G13" s="18"/>
      <c r="H13" s="18"/>
    </row>
    <row r="14" spans="1:9" ht="20.100000000000001" customHeight="1" x14ac:dyDescent="0.25">
      <c r="A14" s="13"/>
    </row>
    <row r="15" spans="1:9" ht="20.100000000000001" customHeight="1" x14ac:dyDescent="0.25">
      <c r="A15" s="14" t="s">
        <v>2</v>
      </c>
    </row>
    <row r="16" spans="1:9" ht="20.100000000000001" customHeight="1" x14ac:dyDescent="0.25">
      <c r="A16" s="13" t="str">
        <f>HYPERLINK("#'Constants - Fuel'!A1", "Constants - Fuel")</f>
        <v>Constants - Fuel</v>
      </c>
    </row>
    <row r="17" spans="1:1" ht="20.100000000000001" customHeight="1" x14ac:dyDescent="0.25">
      <c r="A17" s="13"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3"/>
    </row>
    <row r="30" spans="1:1" ht="20.100000000000001" customHeight="1" x14ac:dyDescent="0.25">
      <c r="A30" s="13"/>
    </row>
    <row r="31" spans="1:1" ht="20.100000000000001" customHeight="1" x14ac:dyDescent="0.25">
      <c r="A31" s="33"/>
    </row>
    <row r="32" spans="1:1" ht="20.100000000000001" customHeight="1" x14ac:dyDescent="0.25">
      <c r="A32" s="33"/>
    </row>
    <row r="33" spans="1:9" ht="20.100000000000001" customHeight="1" x14ac:dyDescent="0.25">
      <c r="A33" s="13"/>
    </row>
    <row r="34" spans="1:9" ht="20.100000000000001" customHeight="1" x14ac:dyDescent="0.25"/>
    <row r="35" spans="1:9" ht="20.100000000000001" customHeight="1" x14ac:dyDescent="0.25"/>
    <row r="36" spans="1:9" ht="20.100000000000001" customHeight="1" x14ac:dyDescent="0.25"/>
    <row r="37" spans="1:9" ht="20.100000000000001" customHeight="1" x14ac:dyDescent="0.25"/>
    <row r="38" spans="1:9" ht="20.100000000000001" customHeight="1" x14ac:dyDescent="0.25">
      <c r="C38" s="48"/>
      <c r="I38" s="48"/>
    </row>
    <row r="39" spans="1:9" ht="20.100000000000001" customHeight="1" x14ac:dyDescent="0.25">
      <c r="A39" s="13"/>
      <c r="C39" s="48"/>
      <c r="I39" s="48"/>
    </row>
    <row r="40" spans="1:9" s="49" customFormat="1" ht="20.100000000000001" customHeight="1" x14ac:dyDescent="0.25">
      <c r="C40" s="1"/>
      <c r="D40" s="1"/>
      <c r="E40" s="1"/>
      <c r="F40" s="1"/>
      <c r="G40" s="1"/>
      <c r="H40" s="1"/>
      <c r="I40" s="1"/>
    </row>
    <row r="41" spans="1:9" s="49" customFormat="1" ht="20.100000000000001" customHeight="1" x14ac:dyDescent="0.25">
      <c r="A41" s="50"/>
      <c r="C41" s="1"/>
      <c r="D41" s="1"/>
      <c r="E41" s="1"/>
      <c r="F41" s="1"/>
      <c r="G41" s="1"/>
      <c r="H41" s="1"/>
      <c r="I41" s="1"/>
    </row>
    <row r="42" spans="1:9" ht="20.100000000000001" customHeight="1" x14ac:dyDescent="0.25"/>
    <row r="43" spans="1:9" ht="20.100000000000001" customHeight="1" x14ac:dyDescent="0.25"/>
    <row r="44" spans="1:9" ht="20.100000000000001" customHeight="1" x14ac:dyDescent="0.25">
      <c r="A44" s="51"/>
    </row>
    <row r="45" spans="1:9" ht="20.100000000000001" customHeight="1" x14ac:dyDescent="0.25"/>
    <row r="46" spans="1:9" ht="20.100000000000001" customHeight="1" x14ac:dyDescent="0.25"/>
    <row r="47" spans="1:9" ht="20.100000000000001" customHeight="1" x14ac:dyDescent="0.25"/>
    <row r="48" spans="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40"/>
    </row>
  </sheetData>
  <conditionalFormatting sqref="F47">
    <cfRule type="cellIs" dxfId="16" priority="62" operator="lessThan">
      <formula>0</formula>
    </cfRule>
  </conditionalFormatting>
  <conditionalFormatting sqref="F126:F127">
    <cfRule type="cellIs" dxfId="15" priority="21" operator="lessThan">
      <formula>0</formula>
    </cfRule>
  </conditionalFormatting>
  <conditionalFormatting sqref="F138:F139">
    <cfRule type="cellIs" dxfId="14" priority="20" operator="lessThan">
      <formula>0</formula>
    </cfRule>
  </conditionalFormatting>
  <conditionalFormatting sqref="F150:F151">
    <cfRule type="cellIs" dxfId="13" priority="19" operator="lessThan">
      <formula>0</formula>
    </cfRule>
  </conditionalFormatting>
  <conditionalFormatting sqref="F162:F163">
    <cfRule type="cellIs" dxfId="12" priority="18" operator="lessThan">
      <formula>0</formula>
    </cfRule>
  </conditionalFormatting>
  <conditionalFormatting sqref="F250:F251">
    <cfRule type="cellIs" dxfId="11" priority="93" operator="lessThan">
      <formula>0</formula>
    </cfRule>
  </conditionalFormatting>
  <conditionalFormatting sqref="F255:F256">
    <cfRule type="cellIs" dxfId="10" priority="92" operator="lessThan">
      <formula>0</formula>
    </cfRule>
  </conditionalFormatting>
  <conditionalFormatting sqref="F260:F261">
    <cfRule type="cellIs" dxfId="9" priority="91" operator="lessThan">
      <formula>0</formula>
    </cfRule>
  </conditionalFormatting>
  <conditionalFormatting sqref="F284:F285">
    <cfRule type="cellIs" dxfId="8" priority="85" operator="lessThan">
      <formula>0</formula>
    </cfRule>
  </conditionalFormatting>
  <conditionalFormatting sqref="F289:F290">
    <cfRule type="cellIs" dxfId="7" priority="84" operator="lessThan">
      <formula>0</formula>
    </cfRule>
  </conditionalFormatting>
  <conditionalFormatting sqref="F294:F295">
    <cfRule type="cellIs" dxfId="6" priority="83" operator="lessThan">
      <formula>0</formula>
    </cfRule>
  </conditionalFormatting>
  <conditionalFormatting sqref="H43:H45 E210:G210">
    <cfRule type="cellIs" dxfId="5" priority="79" operator="lessThan">
      <formula>0</formula>
    </cfRule>
  </conditionalFormatting>
  <dataValidations count="11">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H24:H25" xr:uid="{4A7ED0FB-DC6D-4B9E-B043-37B0C0BD600A}">
      <formula1>INDIRECT("Table_Fertiliser_ChemicalCompounds[Fertiliser type f]")</formula1>
    </dataValidation>
    <dataValidation type="list" allowBlank="1" showInputMessage="1" showErrorMessage="1" sqref="D44:D45" xr:uid="{23F8C720-A764-46DD-9B01-B7EA3D86E5AB}">
      <formula1>INDIRECT("Table_SourceData_OrganicFertiliserTypes[Organic fertiliser type]")</formula1>
    </dataValidation>
    <dataValidation type="list" allowBlank="1" showInputMessage="1" showErrorMessage="1" sqref="E14:E22" xr:uid="{76773934-728A-4512-A789-D38AF73B28FA}">
      <formula1>_xlfn.TRIMRANGE(INDIRECT("Table_FuelTypesPerUse["&amp;D14&amp;"]"))</formula1>
    </dataValidation>
    <dataValidation type="list" allowBlank="1" showInputMessage="1" showErrorMessage="1" sqref="D14:D22" xr:uid="{44BCE1B2-993E-4D7C-8172-C366FD07D726}">
      <formula1>INDIRECT("Table_FuelTypesPerUse[#Headers]")</formula1>
    </dataValidation>
    <dataValidation type="list" allowBlank="1" showInputMessage="1" showErrorMessage="1" sqref="F10:F12" xr:uid="{23277720-0332-4416-A6AF-2DA9CB20A246}">
      <formula1>INDIRECT("Table_RefrigerantBlends_Cleaned[Blend]")</formula1>
    </dataValidation>
    <dataValidation type="list" allowBlank="1" showInputMessage="1" showErrorMessage="1" sqref="E10:E12" xr:uid="{101D112D-006B-4A7F-919E-39E781ABCEE3}">
      <formula1>INDIRECT("Table_Refrigerants_LeakageRates[Product]")</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P342"/>
  <sheetViews>
    <sheetView showGridLines="0" tabSelected="1" topLeftCell="A2" zoomScale="85" zoomScaleNormal="85" workbookViewId="0">
      <selection activeCell="G16" sqref="G16"/>
    </sheetView>
  </sheetViews>
  <sheetFormatPr defaultRowHeight="15.75" x14ac:dyDescent="0.25"/>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7" customFormat="1" ht="30" customHeight="1" x14ac:dyDescent="0.35">
      <c r="A1" s="34" t="e" vm="1">
        <v>#VALUE!</v>
      </c>
      <c r="C1" s="7" t="s">
        <v>139</v>
      </c>
    </row>
    <row r="2" spans="1:16" s="8" customFormat="1" ht="20.100000000000001" customHeight="1" x14ac:dyDescent="0.25"/>
    <row r="3" spans="1:16" ht="20.100000000000001" customHeight="1" x14ac:dyDescent="0.25">
      <c r="A3" s="13" t="str">
        <f>HYPERLINK("#'Home'!A1", "Home")</f>
        <v>Home</v>
      </c>
      <c r="C3" s="3"/>
      <c r="D3" s="3" t="s">
        <v>49</v>
      </c>
      <c r="E3" s="3"/>
      <c r="F3" s="3"/>
      <c r="G3" s="3"/>
      <c r="H3" s="3"/>
      <c r="I3" s="3"/>
      <c r="J3" s="3"/>
      <c r="K3" s="3"/>
      <c r="L3" s="3"/>
      <c r="M3" s="3"/>
      <c r="N3" s="3"/>
      <c r="O3" s="3"/>
      <c r="P3" s="3"/>
    </row>
    <row r="4" spans="1:16" ht="20.100000000000001" customHeight="1" x14ac:dyDescent="0.25">
      <c r="A4" s="13" t="str">
        <f>HYPERLINK("#'Overview'!A1", "Overview")</f>
        <v>Overview</v>
      </c>
    </row>
    <row r="5" spans="1:16" ht="20.100000000000001" customHeight="1" x14ac:dyDescent="0.25">
      <c r="A5" s="13" t="str">
        <f>HYPERLINK("#'Results'!A1", "Results")</f>
        <v>Results</v>
      </c>
      <c r="D5" s="5" t="str" cm="1">
        <f t="array" ref="D5">Refrigerants_Equations.VEERG_9_1_1__1_RefrigerantLeaking_Title()</f>
        <v>The total emissions of refrigerant leaking during operation (not during installation or disposal)</v>
      </c>
    </row>
    <row r="6" spans="1:16" ht="20.100000000000001" customHeight="1" x14ac:dyDescent="0.25">
      <c r="A6" s="12"/>
      <c r="D6" s="4" t="str" cm="1">
        <f t="array" ref="D6">Refrigerants_Equations.VEERG_9_1_1__1_RefrigerantLeaking_Source()</f>
        <v>VEERG 2026: 9.1.1, Equation (1)</v>
      </c>
      <c r="E6" s="64"/>
      <c r="F6" s="64"/>
      <c r="G6" s="64"/>
      <c r="H6" s="64"/>
      <c r="I6" s="64"/>
      <c r="J6" s="64"/>
      <c r="K6" s="64"/>
      <c r="L6" s="64"/>
    </row>
    <row r="7" spans="1:16" ht="20.100000000000001" customHeight="1" x14ac:dyDescent="0.25">
      <c r="A7" s="16" t="s">
        <v>1</v>
      </c>
      <c r="D7" s="10" t="s">
        <v>10</v>
      </c>
      <c r="E7" s="10" t="str" cm="1">
        <f t="array" aca="1" ref="E7" ca="1">Common_InputFunctions.Utility_DisplayFunctionName(L21)</f>
        <v>=Refrigerants_Equations.VEERG_9_1_1__1_RefrigerantLeaking</v>
      </c>
      <c r="F7" s="64"/>
      <c r="G7" s="64"/>
      <c r="H7" s="64"/>
      <c r="I7" s="64"/>
      <c r="J7" s="64"/>
      <c r="K7" s="64"/>
      <c r="L7" s="64"/>
    </row>
    <row r="8" spans="1:16" ht="20.100000000000001" customHeight="1" x14ac:dyDescent="0.25">
      <c r="A8" s="13" t="str">
        <f>HYPERLINK("#'Input - Fuel'!A1", "Fuel")</f>
        <v>Fuel</v>
      </c>
      <c r="F8" s="64"/>
      <c r="G8" s="64"/>
      <c r="H8" s="64"/>
      <c r="I8" s="64"/>
      <c r="J8" s="64"/>
      <c r="K8" s="64"/>
      <c r="L8" s="64"/>
    </row>
    <row r="9" spans="1:16" ht="20.100000000000001" customHeight="1" x14ac:dyDescent="0.25">
      <c r="A9" s="13"/>
      <c r="G9" s="64"/>
      <c r="H9" s="64"/>
      <c r="I9" s="64"/>
      <c r="J9" s="64"/>
      <c r="K9" s="64"/>
      <c r="L9" s="64"/>
    </row>
    <row r="10" spans="1:16" ht="20.100000000000001" customHeight="1" x14ac:dyDescent="0.25">
      <c r="A10" s="15" t="s">
        <v>45</v>
      </c>
      <c r="G10" s="64"/>
      <c r="H10" s="64"/>
      <c r="I10" s="64"/>
      <c r="J10" s="64"/>
      <c r="K10" s="64"/>
      <c r="L10" s="64"/>
    </row>
    <row r="11" spans="1:16" ht="20.100000000000001" customHeight="1" x14ac:dyDescent="0.25">
      <c r="A11" s="58" t="str">
        <f>HYPERLINK("#'8.1.1.1-2 Transport fuel'!A1", "8.1.1.1-2 Transport fuel")</f>
        <v>8.1.1.1-2 Transport fuel</v>
      </c>
      <c r="D11" s="2" t="s">
        <v>13</v>
      </c>
      <c r="E11" s="1" t="str" cm="1">
        <f t="array" ref="E11">Refrigerants_Equations.VEERG_9_1_1__1_RefrigerantLeaking_Variable()</f>
        <v>E</v>
      </c>
      <c r="G11" s="64"/>
      <c r="H11" s="64"/>
      <c r="I11" s="64"/>
      <c r="J11" s="64"/>
      <c r="K11" s="64"/>
      <c r="L11" s="64"/>
    </row>
    <row r="12" spans="1:16" ht="20.100000000000001" customHeight="1" x14ac:dyDescent="0.25">
      <c r="A12" s="13" t="str">
        <f>HYPERLINK("#'8.2.1.1-2 Stationary fuel'!A1", "8.2.1.1-2 Stationary fuel")</f>
        <v>8.2.1.1-2 Stationary fuel</v>
      </c>
      <c r="D12" s="2" t="s">
        <v>5</v>
      </c>
      <c r="E12" s="31" t="str" cm="1">
        <f t="array" ref="E12">Refrigerants_Equations.VEERG_9_1_1__1_RefrigerantLeaking_Unit()</f>
        <v>t CO2-e</v>
      </c>
      <c r="F12" s="64"/>
      <c r="G12" s="64"/>
      <c r="H12" s="64"/>
      <c r="I12" s="64"/>
      <c r="J12" s="64"/>
      <c r="K12" s="64"/>
      <c r="L12" s="64"/>
    </row>
    <row r="13" spans="1:16" ht="20.100000000000001" customHeight="1" x14ac:dyDescent="0.25">
      <c r="A13" s="13" t="str">
        <f>HYPERLINK("#'8.X.1.1-2 General use fuel'!A1", "8.X.1.1-2 General use fuel")</f>
        <v>8.X.1.1-2 General use fuel</v>
      </c>
      <c r="D13" s="64"/>
      <c r="E13" s="64"/>
      <c r="F13" s="64"/>
      <c r="G13" s="64"/>
      <c r="H13" s="64"/>
      <c r="I13" s="64"/>
      <c r="J13" s="64"/>
      <c r="K13" s="64"/>
      <c r="L13" s="64"/>
    </row>
    <row r="14" spans="1:16" ht="20.100000000000001" customHeight="1" x14ac:dyDescent="0.25">
      <c r="A14" s="13"/>
      <c r="D14" s="1" t="str" cm="1">
        <f t="array" ref="D14:F18">Refrigerants_Equations.VEERG_9_1_1__1_RefrigerantLeaking_Arguments()</f>
        <v>GWPR</v>
      </c>
      <c r="E14" s="1" t="str">
        <v>Global warming potential of refrigerant R</v>
      </c>
      <c r="F14" s="1" t="str">
        <v>Dimensionless</v>
      </c>
      <c r="G14" s="64"/>
      <c r="H14" s="64"/>
      <c r="I14" s="64"/>
      <c r="J14" s="64"/>
      <c r="K14" s="64"/>
      <c r="L14" s="64"/>
    </row>
    <row r="15" spans="1:16" ht="20.100000000000001" customHeight="1" x14ac:dyDescent="0.25">
      <c r="A15" s="14" t="s">
        <v>2</v>
      </c>
      <c r="D15" s="1" t="str">
        <v>chargeRa</v>
      </c>
      <c r="E15" s="1" t="str">
        <v>Amount of refrigerant R contained in appliance a</v>
      </c>
      <c r="F15" s="1" t="str">
        <v>kg</v>
      </c>
      <c r="G15" s="64"/>
      <c r="H15" s="64"/>
      <c r="I15" s="64"/>
      <c r="J15" s="64"/>
      <c r="K15" s="64"/>
      <c r="L15" s="64"/>
    </row>
    <row r="16" spans="1:16" ht="20.100000000000001" customHeight="1" x14ac:dyDescent="0.25">
      <c r="A16" s="13" t="str">
        <f>HYPERLINK("#'Constants - Fuel'!A1", "Constants - Fuel")</f>
        <v>Constants - Fuel</v>
      </c>
      <c r="D16" s="1" t="str">
        <v>leakageratea</v>
      </c>
      <c r="E16" s="1" t="str">
        <v>Prcentage of total charge leaked from appliance a each year</v>
      </c>
      <c r="F16" s="1" t="str">
        <v>Percent</v>
      </c>
      <c r="G16" s="64"/>
      <c r="H16" s="64"/>
      <c r="I16" s="64"/>
      <c r="J16" s="64"/>
      <c r="K16" s="64"/>
      <c r="L16" s="64"/>
    </row>
    <row r="17" spans="1:12" ht="20.100000000000001" customHeight="1" x14ac:dyDescent="0.25">
      <c r="A17" s="13" t="str">
        <f>HYPERLINK("#'Constants - Common'!A1", "Constants - Common")</f>
        <v>Constants - Common</v>
      </c>
      <c r="D17" s="1" t="str">
        <v>a</v>
      </c>
      <c r="E17" s="1" t="str">
        <v>Appliance</v>
      </c>
      <c r="F17" s="1" t="str">
        <v/>
      </c>
      <c r="G17" s="64"/>
      <c r="H17" s="64"/>
      <c r="I17" s="64"/>
      <c r="J17" s="64"/>
      <c r="K17" s="64"/>
      <c r="L17" s="64"/>
    </row>
    <row r="18" spans="1:12" ht="20.100000000000001" customHeight="1" x14ac:dyDescent="0.25">
      <c r="D18" s="1" t="str">
        <v>R</v>
      </c>
      <c r="E18" s="1" t="str">
        <v>Refrigerant</v>
      </c>
      <c r="F18" s="1" t="str">
        <v/>
      </c>
      <c r="G18" s="64"/>
      <c r="H18" s="64"/>
      <c r="I18" s="64"/>
      <c r="J18" s="64"/>
      <c r="K18" s="64"/>
      <c r="L18" s="64"/>
    </row>
    <row r="19" spans="1:12" ht="20.100000000000001" customHeight="1" x14ac:dyDescent="0.25">
      <c r="D19" s="64"/>
      <c r="E19" s="64"/>
      <c r="F19" s="64"/>
      <c r="G19" s="64"/>
      <c r="H19" s="64"/>
      <c r="I19" s="64"/>
      <c r="J19" s="64"/>
      <c r="K19" s="64"/>
      <c r="L19" s="64"/>
    </row>
    <row r="20" spans="1:12" ht="20.100000000000001" customHeight="1" x14ac:dyDescent="0.25">
      <c r="A20" s="13"/>
      <c r="D20" s="29" t="s">
        <v>101</v>
      </c>
      <c r="E20" s="47" t="s">
        <v>140</v>
      </c>
      <c r="F20" s="47" t="s">
        <v>141</v>
      </c>
      <c r="G20" s="47" t="s">
        <v>104</v>
      </c>
      <c r="H20" s="47" t="s">
        <v>105</v>
      </c>
      <c r="I20" s="29" t="s">
        <v>142</v>
      </c>
      <c r="J20" s="29" t="s">
        <v>143</v>
      </c>
      <c r="K20" s="29" t="s">
        <v>144</v>
      </c>
      <c r="L20" s="29" t="s">
        <v>145</v>
      </c>
    </row>
    <row r="21" spans="1:12" ht="20.100000000000001" customHeight="1" x14ac:dyDescent="0.25">
      <c r="A21" s="13"/>
      <c r="D21" s="30" t="str" cm="1">
        <f t="array" ref="D21:D23">Table_Input_Refrigerant[Refrigeration unit name]</f>
        <v>Cool room</v>
      </c>
      <c r="E21" s="30" t="str" cm="1">
        <f t="array" ref="E21:E23">Table_Input_Refrigerant[Appliance type (select)]</f>
        <v>Domestic refrigerators</v>
      </c>
      <c r="F21" s="30" t="str" cm="1">
        <f t="array" ref="F21:F23">Table_Input_Refrigerant[Refrigerant used (select)]</f>
        <v>R-402A</v>
      </c>
      <c r="G21" s="30" cm="1">
        <f t="array" ref="G21:G23">Table_Input_Refrigerant[Unit refrigerant gas capacity (kg)]</f>
        <v>10</v>
      </c>
      <c r="H21" s="30" cm="1">
        <f t="array" ref="H21:H23">Table_Input_Refrigerant[Number of units in use]</f>
        <v>5</v>
      </c>
      <c r="I21" s="30">
        <f t="shared" ref="I21:I35" si="0">G21*H21</f>
        <v>50</v>
      </c>
      <c r="J21" s="30" cm="1">
        <f t="array" ref="J21">Common_InputFunctions.Utility_LookupValueInTableNumber(E21,Table_Refrigerants_LeakageRates[Product],Table_Refrigerants_LeakageRates[Annual leakage rate (%)])</f>
        <v>1.7</v>
      </c>
      <c r="K21" s="30" cm="1">
        <f t="array" ref="K21">Common_InputFunctions.Utility_LookupValueInTableNumber(F21,Table_RefrigerantBlends_Cleaned[Blend],Table_RefrigerantBlends_Cleaned[Blend GWP])</f>
        <v>2570.8000000000002</v>
      </c>
      <c r="L21" s="30" cm="1">
        <f t="array" ref="L21">Refrigerants_Equations.VEERG_9_1_1__1_RefrigerantLeaking(K21,I21,J21)</f>
        <v>2.1851800000000003</v>
      </c>
    </row>
    <row r="22" spans="1:12" ht="20.100000000000001" customHeight="1" x14ac:dyDescent="0.25">
      <c r="D22" s="30" t="str">
        <v>dfdsfdsfgg</v>
      </c>
      <c r="E22" s="30" t="str">
        <v>Domestic A/C portable</v>
      </c>
      <c r="F22" s="30" t="str">
        <v>R-422B</v>
      </c>
      <c r="G22" s="30">
        <v>10</v>
      </c>
      <c r="H22" s="30">
        <v>5</v>
      </c>
      <c r="I22" s="30">
        <f t="shared" si="0"/>
        <v>50</v>
      </c>
      <c r="J22" s="30" cm="1">
        <f t="array" ref="J22">Common_InputFunctions.Utility_LookupValueInTableNumber(E22,Table_Refrigerants_LeakageRates[Product],Table_Refrigerants_LeakageRates[Annual leakage rate (%)])</f>
        <v>2.5</v>
      </c>
      <c r="K22" s="30" cm="1">
        <f t="array" ref="K22">Common_InputFunctions.Utility_LookupValueInTableNumber(F22,[1]!Table_RefrigerantBlends_Cleaned[Blend],[1]!Table_RefrigerantBlends_Cleaned[Blend GWP])</f>
        <v>2289.5</v>
      </c>
      <c r="L22" s="30" cm="1">
        <f t="array" ref="L22">Refrigerants_Equations.VEERG_9_1_1__1_RefrigerantLeaking(K22,I22,J22)</f>
        <v>2.8618749999999999</v>
      </c>
    </row>
    <row r="23" spans="1:12" ht="20.100000000000001" customHeight="1" x14ac:dyDescent="0.25">
      <c r="A23" s="13"/>
      <c r="D23" s="30" t="str">
        <v>Car AC</v>
      </c>
      <c r="E23" s="30" t="str">
        <v>Light vehicle A/C</v>
      </c>
      <c r="F23" s="30" t="str">
        <v>R-400 60/40</v>
      </c>
      <c r="G23" s="30">
        <v>10</v>
      </c>
      <c r="H23" s="30">
        <v>13</v>
      </c>
      <c r="I23" s="30">
        <f t="shared" si="0"/>
        <v>130</v>
      </c>
      <c r="J23" s="30" cm="1">
        <f t="array" ref="J23">Common_InputFunctions.Utility_LookupValueInTableNumber(E23,Table_Refrigerants_LeakageRates[Product],Table_Refrigerants_LeakageRates[Annual leakage rate (%)])</f>
        <v>6.7</v>
      </c>
      <c r="K23" s="30" cm="1">
        <f t="array" ref="K23">Common_InputFunctions.Utility_LookupValueInTableNumber(F23,[1]!Table_RefrigerantBlends_Cleaned[Blend],[1]!Table_RefrigerantBlends_Cleaned[Blend GWP])</f>
        <v>11274</v>
      </c>
      <c r="L23" s="30" cm="1">
        <f t="array" ref="L23">Refrigerants_Equations.VEERG_9_1_1__1_RefrigerantLeaking(K23,I23,J23)</f>
        <v>98.196540000000013</v>
      </c>
    </row>
    <row r="24" spans="1:12" ht="20.100000000000001" customHeight="1" x14ac:dyDescent="0.25">
      <c r="D24" s="30"/>
      <c r="E24" s="30"/>
      <c r="F24" s="30"/>
      <c r="G24" s="30"/>
      <c r="H24" s="30"/>
      <c r="I24" s="30">
        <f t="shared" si="0"/>
        <v>0</v>
      </c>
      <c r="J24" s="30" cm="1">
        <f t="array" ref="J24">Common_InputFunctions.Utility_LookupValueInTableNumber(E24,Table_Refrigerants_LeakageRates[Product],Table_Refrigerants_LeakageRates[Annual leakage rate (%)])</f>
        <v>0</v>
      </c>
      <c r="K24" s="30" cm="1">
        <f t="array" ref="K24">Common_InputFunctions.Utility_LookupValueInTableNumber(F24,[1]!Table_RefrigerantBlends_Cleaned[Blend],[1]!Table_RefrigerantBlends_Cleaned[Blend GWP])</f>
        <v>0</v>
      </c>
      <c r="L24" s="30" cm="1">
        <f t="array" ref="L24">Refrigerants_Equations.VEERG_9_1_1__1_RefrigerantLeaking(K24,I24,J24)</f>
        <v>0</v>
      </c>
    </row>
    <row r="25" spans="1:12" ht="20.100000000000001" customHeight="1" x14ac:dyDescent="0.25">
      <c r="D25" s="30"/>
      <c r="E25" s="30"/>
      <c r="F25" s="30"/>
      <c r="G25" s="30"/>
      <c r="H25" s="30"/>
      <c r="I25" s="30">
        <f t="shared" si="0"/>
        <v>0</v>
      </c>
      <c r="J25" s="30" cm="1">
        <f t="array" ref="J25">Common_InputFunctions.Utility_LookupValueInTableNumber(E25,Table_Refrigerants_LeakageRates[Product],Table_Refrigerants_LeakageRates[Annual leakage rate (%)])</f>
        <v>0</v>
      </c>
      <c r="K25" s="30" cm="1">
        <f t="array" ref="K25">Common_InputFunctions.Utility_LookupValueInTableNumber(F25,[1]!Table_RefrigerantBlends_Cleaned[Blend],[1]!Table_RefrigerantBlends_Cleaned[Blend GWP])</f>
        <v>0</v>
      </c>
      <c r="L25" s="30" cm="1">
        <f t="array" ref="L25">Refrigerants_Equations.VEERG_9_1_1__1_RefrigerantLeaking(K25,I25,J25)</f>
        <v>0</v>
      </c>
    </row>
    <row r="26" spans="1:12" ht="20.100000000000001" customHeight="1" x14ac:dyDescent="0.25">
      <c r="D26" s="30"/>
      <c r="E26" s="30"/>
      <c r="F26" s="30"/>
      <c r="G26" s="30"/>
      <c r="H26" s="30"/>
      <c r="I26" s="30">
        <f t="shared" si="0"/>
        <v>0</v>
      </c>
      <c r="J26" s="30" cm="1">
        <f t="array" ref="J26">Common_InputFunctions.Utility_LookupValueInTableNumber(E26,Table_Refrigerants_LeakageRates[Product],Table_Refrigerants_LeakageRates[Annual leakage rate (%)])</f>
        <v>0</v>
      </c>
      <c r="K26" s="30" cm="1">
        <f t="array" ref="K26">Common_InputFunctions.Utility_LookupValueInTableNumber(F26,[1]!Table_RefrigerantBlends_Cleaned[Blend],[1]!Table_RefrigerantBlends_Cleaned[Blend GWP])</f>
        <v>0</v>
      </c>
      <c r="L26" s="30" cm="1">
        <f t="array" ref="L26">Refrigerants_Equations.VEERG_9_1_1__1_RefrigerantLeaking(K26,I26,J26)</f>
        <v>0</v>
      </c>
    </row>
    <row r="27" spans="1:12" ht="20.100000000000001" customHeight="1" x14ac:dyDescent="0.25">
      <c r="D27" s="30"/>
      <c r="E27" s="30"/>
      <c r="F27" s="30"/>
      <c r="G27" s="30"/>
      <c r="H27" s="30"/>
      <c r="I27" s="30">
        <f t="shared" si="0"/>
        <v>0</v>
      </c>
      <c r="J27" s="30" cm="1">
        <f t="array" ref="J27">Common_InputFunctions.Utility_LookupValueInTableNumber(E27,Table_Refrigerants_LeakageRates[Product],Table_Refrigerants_LeakageRates[Annual leakage rate (%)])</f>
        <v>0</v>
      </c>
      <c r="K27" s="30" cm="1">
        <f t="array" ref="K27">Common_InputFunctions.Utility_LookupValueInTableNumber(F27,[1]!Table_RefrigerantBlends_Cleaned[Blend],[1]!Table_RefrigerantBlends_Cleaned[Blend GWP])</f>
        <v>0</v>
      </c>
      <c r="L27" s="30" cm="1">
        <f t="array" ref="L27">Refrigerants_Equations.VEERG_9_1_1__1_RefrigerantLeaking(K27,I27,J27)</f>
        <v>0</v>
      </c>
    </row>
    <row r="28" spans="1:12" ht="20.100000000000001" customHeight="1" x14ac:dyDescent="0.25">
      <c r="D28" s="30"/>
      <c r="E28" s="30"/>
      <c r="F28" s="30"/>
      <c r="G28" s="30"/>
      <c r="H28" s="30"/>
      <c r="I28" s="30">
        <f t="shared" si="0"/>
        <v>0</v>
      </c>
      <c r="J28" s="30" cm="1">
        <f t="array" ref="J28">Common_InputFunctions.Utility_LookupValueInTableNumber(E28,Table_Refrigerants_LeakageRates[Product],Table_Refrigerants_LeakageRates[Annual leakage rate (%)])</f>
        <v>0</v>
      </c>
      <c r="K28" s="30" cm="1">
        <f t="array" ref="K28">Common_InputFunctions.Utility_LookupValueInTableNumber(F28,[1]!Table_RefrigerantBlends_Cleaned[Blend],[1]!Table_RefrigerantBlends_Cleaned[Blend GWP])</f>
        <v>0</v>
      </c>
      <c r="L28" s="30" cm="1">
        <f t="array" ref="L28">Refrigerants_Equations.VEERG_9_1_1__1_RefrigerantLeaking(K28,I28,J28)</f>
        <v>0</v>
      </c>
    </row>
    <row r="29" spans="1:12" ht="20.100000000000001" customHeight="1" x14ac:dyDescent="0.25">
      <c r="D29" s="30"/>
      <c r="E29" s="30"/>
      <c r="F29" s="30"/>
      <c r="G29" s="30"/>
      <c r="H29" s="30"/>
      <c r="I29" s="30">
        <f t="shared" si="0"/>
        <v>0</v>
      </c>
      <c r="J29" s="30" cm="1">
        <f t="array" ref="J29">Common_InputFunctions.Utility_LookupValueInTableNumber(E29,Table_Refrigerants_LeakageRates[Product],Table_Refrigerants_LeakageRates[Annual leakage rate (%)])</f>
        <v>0</v>
      </c>
      <c r="K29" s="30" cm="1">
        <f t="array" ref="K29">Common_InputFunctions.Utility_LookupValueInTableNumber(F29,[1]!Table_RefrigerantBlends_Cleaned[Blend],[1]!Table_RefrigerantBlends_Cleaned[Blend GWP])</f>
        <v>0</v>
      </c>
      <c r="L29" s="30" cm="1">
        <f t="array" ref="L29">Refrigerants_Equations.VEERG_9_1_1__1_RefrigerantLeaking(K29,I29,J29)</f>
        <v>0</v>
      </c>
    </row>
    <row r="30" spans="1:12" ht="20.100000000000001" customHeight="1" x14ac:dyDescent="0.25">
      <c r="D30" s="30"/>
      <c r="E30" s="30"/>
      <c r="F30" s="30"/>
      <c r="G30" s="30"/>
      <c r="H30" s="30"/>
      <c r="I30" s="30">
        <f t="shared" si="0"/>
        <v>0</v>
      </c>
      <c r="J30" s="30" cm="1">
        <f t="array" ref="J30">Common_InputFunctions.Utility_LookupValueInTableNumber(E30,Table_Refrigerants_LeakageRates[Product],Table_Refrigerants_LeakageRates[Annual leakage rate (%)])</f>
        <v>0</v>
      </c>
      <c r="K30" s="30" cm="1">
        <f t="array" ref="K30">Common_InputFunctions.Utility_LookupValueInTableNumber(F30,[1]!Table_RefrigerantBlends_Cleaned[Blend],[1]!Table_RefrigerantBlends_Cleaned[Blend GWP])</f>
        <v>0</v>
      </c>
      <c r="L30" s="30" cm="1">
        <f t="array" ref="L30">Refrigerants_Equations.VEERG_9_1_1__1_RefrigerantLeaking(K30,I30,J30)</f>
        <v>0</v>
      </c>
    </row>
    <row r="31" spans="1:12" ht="20.100000000000001" customHeight="1" x14ac:dyDescent="0.25">
      <c r="D31" s="30"/>
      <c r="E31" s="30"/>
      <c r="F31" s="30"/>
      <c r="G31" s="30"/>
      <c r="H31" s="30"/>
      <c r="I31" s="30">
        <f t="shared" si="0"/>
        <v>0</v>
      </c>
      <c r="J31" s="30" cm="1">
        <f t="array" ref="J31">Common_InputFunctions.Utility_LookupValueInTableNumber(E31,Table_Refrigerants_LeakageRates[Product],Table_Refrigerants_LeakageRates[Annual leakage rate (%)])</f>
        <v>0</v>
      </c>
      <c r="K31" s="30" cm="1">
        <f t="array" ref="K31">Common_InputFunctions.Utility_LookupValueInTableNumber(F31,[1]!Table_RefrigerantBlends_Cleaned[Blend],[1]!Table_RefrigerantBlends_Cleaned[Blend GWP])</f>
        <v>0</v>
      </c>
      <c r="L31" s="30" cm="1">
        <f t="array" ref="L31">Refrigerants_Equations.VEERG_9_1_1__1_RefrigerantLeaking(K31,I31,J31)</f>
        <v>0</v>
      </c>
    </row>
    <row r="32" spans="1:12" ht="20.100000000000001" customHeight="1" x14ac:dyDescent="0.25">
      <c r="D32" s="30"/>
      <c r="E32" s="30"/>
      <c r="F32" s="30"/>
      <c r="G32" s="30"/>
      <c r="H32" s="30"/>
      <c r="I32" s="30">
        <f t="shared" si="0"/>
        <v>0</v>
      </c>
      <c r="J32" s="30" cm="1">
        <f t="array" ref="J32">Common_InputFunctions.Utility_LookupValueInTableNumber(E32,Table_Refrigerants_LeakageRates[Product],Table_Refrigerants_LeakageRates[Annual leakage rate (%)])</f>
        <v>0</v>
      </c>
      <c r="K32" s="30" cm="1">
        <f t="array" ref="K32">Common_InputFunctions.Utility_LookupValueInTableNumber(F32,[1]!Table_RefrigerantBlends_Cleaned[Blend],[1]!Table_RefrigerantBlends_Cleaned[Blend GWP])</f>
        <v>0</v>
      </c>
      <c r="L32" s="30" cm="1">
        <f t="array" ref="L32">Refrigerants_Equations.VEERG_9_1_1__1_RefrigerantLeaking(K32,I32,J32)</f>
        <v>0</v>
      </c>
    </row>
    <row r="33" spans="1:12" ht="20.100000000000001" customHeight="1" x14ac:dyDescent="0.25">
      <c r="D33" s="30"/>
      <c r="E33" s="30"/>
      <c r="F33" s="30"/>
      <c r="G33" s="30"/>
      <c r="H33" s="30"/>
      <c r="I33" s="30">
        <f t="shared" si="0"/>
        <v>0</v>
      </c>
      <c r="J33" s="30" cm="1">
        <f t="array" ref="J33">Common_InputFunctions.Utility_LookupValueInTableNumber(E33,Table_Refrigerants_LeakageRates[Product],Table_Refrigerants_LeakageRates[Annual leakage rate (%)])</f>
        <v>0</v>
      </c>
      <c r="K33" s="30" cm="1">
        <f t="array" ref="K33">Common_InputFunctions.Utility_LookupValueInTableNumber(F33,[1]!Table_RefrigerantBlends_Cleaned[Blend],[1]!Table_RefrigerantBlends_Cleaned[Blend GWP])</f>
        <v>0</v>
      </c>
      <c r="L33" s="30" cm="1">
        <f t="array" ref="L33">Refrigerants_Equations.VEERG_9_1_1__1_RefrigerantLeaking(K33,I33,J33)</f>
        <v>0</v>
      </c>
    </row>
    <row r="34" spans="1:12" ht="20.100000000000001" customHeight="1" x14ac:dyDescent="0.25">
      <c r="D34" s="30"/>
      <c r="E34" s="30"/>
      <c r="F34" s="30"/>
      <c r="G34" s="30"/>
      <c r="H34" s="30"/>
      <c r="I34" s="30">
        <f t="shared" si="0"/>
        <v>0</v>
      </c>
      <c r="J34" s="30" cm="1">
        <f t="array" ref="J34">Common_InputFunctions.Utility_LookupValueInTableNumber(E34,Table_Refrigerants_LeakageRates[Product],Table_Refrigerants_LeakageRates[Annual leakage rate (%)])</f>
        <v>0</v>
      </c>
      <c r="K34" s="30" cm="1">
        <f t="array" ref="K34">Common_InputFunctions.Utility_LookupValueInTableNumber(F34,[1]!Table_RefrigerantBlends_Cleaned[Blend],[1]!Table_RefrigerantBlends_Cleaned[Blend GWP])</f>
        <v>0</v>
      </c>
      <c r="L34" s="30" cm="1">
        <f t="array" ref="L34">Refrigerants_Equations.VEERG_9_1_1__1_RefrigerantLeaking(K34,I34,J34)</f>
        <v>0</v>
      </c>
    </row>
    <row r="35" spans="1:12" ht="20.100000000000001" customHeight="1" x14ac:dyDescent="0.25">
      <c r="D35" s="30"/>
      <c r="E35" s="30"/>
      <c r="F35" s="30"/>
      <c r="G35" s="30"/>
      <c r="H35" s="30"/>
      <c r="I35" s="30">
        <f t="shared" si="0"/>
        <v>0</v>
      </c>
      <c r="J35" s="30" cm="1">
        <f t="array" ref="J35">Common_InputFunctions.Utility_LookupValueInTableNumber(E35,Table_Refrigerants_LeakageRates[Product],Table_Refrigerants_LeakageRates[Annual leakage rate (%)])</f>
        <v>0</v>
      </c>
      <c r="K35" s="30" cm="1">
        <f t="array" ref="K35">Common_InputFunctions.Utility_LookupValueInTableNumber(F35,[1]!Table_RefrigerantBlends_Cleaned[Blend],[1]!Table_RefrigerantBlends_Cleaned[Blend GWP])</f>
        <v>0</v>
      </c>
      <c r="L35" s="30" cm="1">
        <f t="array" ref="L35">Refrigerants_Equations.VEERG_9_1_1__1_RefrigerantLeaking(K35,I35,J35)</f>
        <v>0</v>
      </c>
    </row>
    <row r="36" spans="1:12" ht="20.100000000000001" customHeight="1" x14ac:dyDescent="0.25">
      <c r="D36" s="64"/>
      <c r="E36" s="64"/>
      <c r="F36" s="64"/>
      <c r="G36" s="64"/>
      <c r="H36" s="64"/>
      <c r="I36" s="64"/>
      <c r="J36" s="64"/>
      <c r="K36" s="64"/>
      <c r="L36" s="64"/>
    </row>
    <row r="37" spans="1:12" ht="20.100000000000001" customHeight="1" x14ac:dyDescent="0.3">
      <c r="A37" s="51" t="str">
        <f>HYPERLINK("#A1", "▲ Back to top")</f>
        <v>▲ Back to top</v>
      </c>
      <c r="D37" s="70" t="s">
        <v>55</v>
      </c>
      <c r="E37" s="71">
        <f>SUM(L21:L35)</f>
        <v>103.24359500000001</v>
      </c>
      <c r="F37" s="72" t="s">
        <v>146</v>
      </c>
      <c r="G37" s="64"/>
      <c r="H37" s="64"/>
      <c r="I37" s="64"/>
      <c r="J37" s="64"/>
      <c r="K37" s="64"/>
      <c r="L37" s="64"/>
    </row>
    <row r="38" spans="1:12" ht="20.100000000000001" customHeight="1" x14ac:dyDescent="0.25">
      <c r="D38" s="64"/>
      <c r="E38" s="64"/>
      <c r="F38" s="64"/>
      <c r="G38" s="64"/>
      <c r="H38" s="64"/>
      <c r="I38" s="64"/>
      <c r="J38" s="64"/>
      <c r="K38" s="64"/>
      <c r="L38" s="64"/>
    </row>
    <row r="39" spans="1:12" ht="20.100000000000001" customHeight="1" x14ac:dyDescent="0.25"/>
    <row r="40" spans="1:12" ht="20.100000000000001" customHeight="1" x14ac:dyDescent="0.25"/>
    <row r="41" spans="1:12" ht="20.100000000000001" customHeight="1" x14ac:dyDescent="0.25"/>
    <row r="42" spans="1:12" ht="20.100000000000001" customHeight="1" x14ac:dyDescent="0.25"/>
    <row r="43" spans="1:12" ht="20.100000000000001" customHeight="1" x14ac:dyDescent="0.25"/>
    <row r="44" spans="1:12" ht="20.100000000000001" customHeight="1" x14ac:dyDescent="0.25"/>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c r="A69" s="51" t="str">
        <f>HYPERLINK("#A1", "▲ Back to top")</f>
        <v>▲ Back to top</v>
      </c>
    </row>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spans="1:1" ht="20.100000000000001" customHeight="1" x14ac:dyDescent="0.25"/>
    <row r="82" spans="1:1" ht="20.100000000000001" customHeight="1" x14ac:dyDescent="0.25"/>
    <row r="83" spans="1:1" ht="20.100000000000001" customHeight="1" x14ac:dyDescent="0.25">
      <c r="A83" s="51"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80"/>
  <sheetViews>
    <sheetView showGridLines="0" topLeftCell="A137" zoomScaleNormal="100" workbookViewId="0">
      <selection activeCell="G170" sqref="G170"/>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138</v>
      </c>
      <c r="AG1"/>
      <c r="AH1"/>
      <c r="AI1"/>
    </row>
    <row r="2" spans="1:35" s="8" customFormat="1" ht="20.100000000000001" customHeight="1" x14ac:dyDescent="0.25">
      <c r="A2"/>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Refrigerants_SourceData.Refrigerants_ChemicalGWP_Title()</f>
        <v>Global Warming Potentials</v>
      </c>
      <c r="H5" s="64"/>
      <c r="I5" s="64"/>
      <c r="J5" s="64"/>
      <c r="K5" s="64"/>
      <c r="L5" s="64"/>
      <c r="M5" s="64"/>
      <c r="N5" s="64"/>
      <c r="O5" s="64"/>
      <c r="P5" s="64"/>
      <c r="Q5" s="64"/>
    </row>
    <row r="6" spans="1:35" ht="20.100000000000001" customHeight="1" x14ac:dyDescent="0.25">
      <c r="A6" s="12"/>
      <c r="D6" s="4" t="str" cm="1">
        <f t="array" ref="D6">Refrigerants_SourceData.Refrigerants_ChemicalGWP_Source()</f>
        <v>Australian National Greenhouse Accounts Factors 2025 - Appendix 2 - Table 23</v>
      </c>
      <c r="E6" s="64"/>
      <c r="F6" s="64"/>
      <c r="G6" s="64"/>
      <c r="H6" s="64"/>
      <c r="I6" s="64"/>
      <c r="J6" s="64"/>
      <c r="K6" s="64"/>
      <c r="L6" s="64"/>
      <c r="M6" s="64"/>
      <c r="N6" s="64"/>
      <c r="O6" s="64"/>
      <c r="P6" s="64"/>
      <c r="Q6" s="64"/>
    </row>
    <row r="7" spans="1:35" ht="20.100000000000001" customHeight="1" x14ac:dyDescent="0.25">
      <c r="A7" s="16" t="s">
        <v>1</v>
      </c>
      <c r="D7" s="32" t="str" cm="1">
        <f t="array" ref="D7">"⚠️" &amp; Refrigerants_SourceData.Refrigerants_ChemicalGWP_Variation()</f>
        <v>⚠️VARIATION OF SOURCE DATA: Added 'GAS - FC name' column with truncated gas name to allow matching with other tables. Added extra gases from IPCC Global Warming Potential Values v2.0 - (AR5). Added 'Additional data source' column.</v>
      </c>
      <c r="H7" s="64"/>
      <c r="I7" s="64"/>
      <c r="J7" s="64"/>
      <c r="K7" s="64"/>
      <c r="L7" s="64"/>
      <c r="M7" s="64"/>
      <c r="N7" s="64"/>
      <c r="O7" s="64"/>
      <c r="P7" s="64"/>
      <c r="Q7" s="64"/>
    </row>
    <row r="8" spans="1:35" ht="20.100000000000001" customHeight="1" x14ac:dyDescent="0.25">
      <c r="A8" s="13" t="str">
        <f>HYPERLINK("#'Input - Fuel'!A1", "Fuel")</f>
        <v>Fuel</v>
      </c>
      <c r="D8" s="27" t="s">
        <v>11</v>
      </c>
      <c r="E8" s="27" t="s">
        <v>115</v>
      </c>
      <c r="F8" s="27" t="s">
        <v>116</v>
      </c>
      <c r="G8" s="65" t="s">
        <v>117</v>
      </c>
      <c r="H8" s="66" t="s">
        <v>118</v>
      </c>
      <c r="I8" s="64"/>
      <c r="J8" s="64"/>
      <c r="K8" s="64"/>
      <c r="L8" s="64"/>
      <c r="M8" s="64"/>
      <c r="N8" s="64"/>
      <c r="O8" s="64"/>
      <c r="P8" s="64"/>
      <c r="Q8" s="64"/>
    </row>
    <row r="9" spans="1:35" ht="20.100000000000001" customHeight="1" x14ac:dyDescent="0.25">
      <c r="A9" s="13"/>
      <c r="D9" s="27" t="str" cm="1">
        <f t="array" ref="D9">Common_InputFunctions.Utility_DisplayArrayInTable(Refrigerants_SourceData.Refrigerants_ChemicalGWP_Data(), Table_RefrigerantChemicalGWP[[#Headers],[Gas]], 0)</f>
        <v>Carbon dioxide</v>
      </c>
      <c r="E9" s="27" t="str" cm="1">
        <f t="array" ref="E9">Common_InputFunctions.Utility_DisplayArrayInTable(Refrigerants_SourceData.Refrigerants_ChemicalGWP_Data(), Table_RefrigerantChemicalGWP[[#Headers],[Gas]], 0)</f>
        <v>CO2</v>
      </c>
      <c r="F9" s="27" cm="1">
        <f t="array" ref="F9">Common_InputFunctions.Utility_DisplayArrayInTable(Refrigerants_SourceData.Refrigerants_ChemicalGWP_Data(), Table_RefrigerantChemicalGWP[[#Headers],[Gas]], 0)</f>
        <v>1</v>
      </c>
      <c r="G9" s="27" t="str" cm="1">
        <f t="array" ref="G9">Common_InputFunctions.Utility_DisplayArrayInTable(Refrigerants_SourceData.Refrigerants_ChemicalGWP_Data(), Table_RefrigerantChemicalGWP[[#Headers],[Gas]], 0)</f>
        <v>CO2</v>
      </c>
      <c r="H9" s="66" t="str" cm="1">
        <f t="array" ref="H9">Common_InputFunctions.Utility_DisplayArrayInTable(Refrigerants_SourceData.Refrigerants_ChemicalGWP_Data(), Table_RefrigerantChemicalGWP[[#Headers],[Gas]], 0)</f>
        <v/>
      </c>
      <c r="I9" s="64"/>
      <c r="J9" s="64"/>
      <c r="K9" s="64"/>
      <c r="L9" s="64"/>
      <c r="M9" s="64"/>
      <c r="N9" s="64"/>
      <c r="O9" s="64"/>
      <c r="P9" s="64"/>
      <c r="Q9" s="64"/>
    </row>
    <row r="10" spans="1:35" ht="20.100000000000001" customHeight="1" x14ac:dyDescent="0.25">
      <c r="A10" s="15" t="s">
        <v>45</v>
      </c>
      <c r="D10" s="27" t="str" cm="1">
        <f t="array" ref="D10">Common_InputFunctions.Utility_DisplayArrayInTable(Refrigerants_SourceData.Refrigerants_ChemicalGWP_Data(), Table_RefrigerantChemicalGWP[[#Headers],[Gas]], 0)</f>
        <v>Methane</v>
      </c>
      <c r="E10" s="27" t="str" cm="1">
        <f t="array" ref="E10">Common_InputFunctions.Utility_DisplayArrayInTable(Refrigerants_SourceData.Refrigerants_ChemicalGWP_Data(), Table_RefrigerantChemicalGWP[[#Headers],[Gas]], 0)</f>
        <v>CH4</v>
      </c>
      <c r="F10" s="27" cm="1">
        <f t="array" ref="F10">Common_InputFunctions.Utility_DisplayArrayInTable(Refrigerants_SourceData.Refrigerants_ChemicalGWP_Data(), Table_RefrigerantChemicalGWP[[#Headers],[Gas]], 0)</f>
        <v>28</v>
      </c>
      <c r="G10" s="27" t="str" cm="1">
        <f t="array" ref="G10">Common_InputFunctions.Utility_DisplayArrayInTable(Refrigerants_SourceData.Refrigerants_ChemicalGWP_Data(), Table_RefrigerantChemicalGWP[[#Headers],[Gas]], 0)</f>
        <v>CH4</v>
      </c>
      <c r="H10" s="66" t="str" cm="1">
        <f t="array" ref="H10">Common_InputFunctions.Utility_DisplayArrayInTable(Refrigerants_SourceData.Refrigerants_ChemicalGWP_Data(), Table_RefrigerantChemicalGWP[[#Headers],[Gas]], 0)</f>
        <v/>
      </c>
      <c r="I10" s="64"/>
      <c r="J10" s="64"/>
      <c r="K10" s="64"/>
      <c r="L10" s="64"/>
      <c r="M10" s="64"/>
      <c r="N10" s="64"/>
      <c r="O10" s="64"/>
      <c r="P10" s="64"/>
      <c r="Q10" s="64"/>
    </row>
    <row r="11" spans="1:35" ht="20.100000000000001" customHeight="1" x14ac:dyDescent="0.25">
      <c r="A11" s="13" t="str">
        <f>HYPERLINK("#'8.1.1.1-2 Transport fuel'!A1", "8.1.1.1-2 Transport fuel")</f>
        <v>8.1.1.1-2 Transport fuel</v>
      </c>
      <c r="D11" s="27" t="str" cm="1">
        <f t="array" ref="D11">Common_InputFunctions.Utility_DisplayArrayInTable(Refrigerants_SourceData.Refrigerants_ChemicalGWP_Data(), Table_RefrigerantChemicalGWP[[#Headers],[Gas]], 0)</f>
        <v>Nitrous oxide</v>
      </c>
      <c r="E11" s="27" t="str" cm="1">
        <f t="array" ref="E11">Common_InputFunctions.Utility_DisplayArrayInTable(Refrigerants_SourceData.Refrigerants_ChemicalGWP_Data(), Table_RefrigerantChemicalGWP[[#Headers],[Gas]], 0)</f>
        <v>N2O</v>
      </c>
      <c r="F11" s="27" cm="1">
        <f t="array" ref="F11">Common_InputFunctions.Utility_DisplayArrayInTable(Refrigerants_SourceData.Refrigerants_ChemicalGWP_Data(), Table_RefrigerantChemicalGWP[[#Headers],[Gas]], 0)</f>
        <v>265</v>
      </c>
      <c r="G11" s="27" t="str" cm="1">
        <f t="array" ref="G11">Common_InputFunctions.Utility_DisplayArrayInTable(Refrigerants_SourceData.Refrigerants_ChemicalGWP_Data(), Table_RefrigerantChemicalGWP[[#Headers],[Gas]], 0)</f>
        <v>N2O</v>
      </c>
      <c r="H11" s="66" t="str" cm="1">
        <f t="array" ref="H11">Common_InputFunctions.Utility_DisplayArrayInTable(Refrigerants_SourceData.Refrigerants_ChemicalGWP_Data(), Table_RefrigerantChemicalGWP[[#Headers],[Gas]], 0)</f>
        <v/>
      </c>
      <c r="I11" s="64"/>
      <c r="J11" s="64"/>
      <c r="K11" s="64"/>
      <c r="L11" s="64"/>
      <c r="M11" s="64"/>
      <c r="N11" s="64"/>
      <c r="O11" s="64"/>
      <c r="P11" s="64"/>
      <c r="Q11" s="64"/>
    </row>
    <row r="12" spans="1:35" ht="20.100000000000001" customHeight="1" x14ac:dyDescent="0.25">
      <c r="A12" s="13" t="str">
        <f>HYPERLINK("#'8.2.1.1-2 Stationary fuel'!A1", "8.2.1.1-2 Stationary fuel")</f>
        <v>8.2.1.1-2 Stationary fuel</v>
      </c>
      <c r="D12" s="27" t="str" cm="1">
        <f t="array" ref="D12">Common_InputFunctions.Utility_DisplayArrayInTable(Refrigerants_SourceData.Refrigerants_ChemicalGWP_Data(), Table_RefrigerantChemicalGWP[[#Headers],[Gas]], 0)</f>
        <v>Sulphur hexafluoride</v>
      </c>
      <c r="E12" s="27" t="str" cm="1">
        <f t="array" ref="E12">Common_InputFunctions.Utility_DisplayArrayInTable(Refrigerants_SourceData.Refrigerants_ChemicalGWP_Data(), Table_RefrigerantChemicalGWP[[#Headers],[Gas]], 0)</f>
        <v>SF6</v>
      </c>
      <c r="F12" s="27" cm="1">
        <f t="array" ref="F12">Common_InputFunctions.Utility_DisplayArrayInTable(Refrigerants_SourceData.Refrigerants_ChemicalGWP_Data(), Table_RefrigerantChemicalGWP[[#Headers],[Gas]], 0)</f>
        <v>23500</v>
      </c>
      <c r="G12" s="27" t="str" cm="1">
        <f t="array" ref="G12">Common_InputFunctions.Utility_DisplayArrayInTable(Refrigerants_SourceData.Refrigerants_ChemicalGWP_Data(), Table_RefrigerantChemicalGWP[[#Headers],[Gas]], 0)</f>
        <v>SF6</v>
      </c>
      <c r="H12" s="66" t="str" cm="1">
        <f t="array" ref="H12">Common_InputFunctions.Utility_DisplayArrayInTable(Refrigerants_SourceData.Refrigerants_ChemicalGWP_Data(), Table_RefrigerantChemicalGWP[[#Headers],[Gas]], 0)</f>
        <v/>
      </c>
      <c r="I12" s="64"/>
      <c r="J12" s="64"/>
      <c r="K12" s="64"/>
      <c r="L12" s="64"/>
      <c r="M12" s="64"/>
      <c r="N12" s="64"/>
      <c r="O12" s="64"/>
      <c r="P12" s="64"/>
      <c r="Q12" s="64"/>
    </row>
    <row r="13" spans="1:35" ht="20.100000000000001" customHeight="1" x14ac:dyDescent="0.25">
      <c r="A13" s="13" t="str">
        <f>HYPERLINK("#'8.X.1.1-2 General use fuel'!A1", "8.X.1.1-2 General use fuel")</f>
        <v>8.X.1.1-2 General use fuel</v>
      </c>
      <c r="D13" s="27" t="str" cm="1">
        <f t="array" ref="D13">Common_InputFunctions.Utility_DisplayArrayInTable(Refrigerants_SourceData.Refrigerants_ChemicalGWP_Data(), Table_RefrigerantChemicalGWP[[#Headers],[Gas]], 0)</f>
        <v>HFC-23 (R-23)</v>
      </c>
      <c r="E13" s="27" t="str" cm="1">
        <f t="array" ref="E13">Common_InputFunctions.Utility_DisplayArrayInTable(Refrigerants_SourceData.Refrigerants_ChemicalGWP_Data(), Table_RefrigerantChemicalGWP[[#Headers],[Gas]], 0)</f>
        <v>CHF3</v>
      </c>
      <c r="F13" s="27" cm="1">
        <f t="array" ref="F13">Common_InputFunctions.Utility_DisplayArrayInTable(Refrigerants_SourceData.Refrigerants_ChemicalGWP_Data(), Table_RefrigerantChemicalGWP[[#Headers],[Gas]], 0)</f>
        <v>12400</v>
      </c>
      <c r="G13" s="27" t="str" cm="1">
        <f t="array" ref="G13">Common_InputFunctions.Utility_DisplayArrayInTable(Refrigerants_SourceData.Refrigerants_ChemicalGWP_Data(), Table_RefrigerantChemicalGWP[[#Headers],[Gas]], 0)</f>
        <v>HFC-23</v>
      </c>
      <c r="H13" s="66" t="str" cm="1">
        <f t="array" ref="H13">Common_InputFunctions.Utility_DisplayArrayInTable(Refrigerants_SourceData.Refrigerants_ChemicalGWP_Data(), Table_RefrigerantChemicalGWP[[#Headers],[Gas]], 0)</f>
        <v/>
      </c>
      <c r="I13" s="64"/>
      <c r="J13" s="64"/>
      <c r="K13" s="64"/>
      <c r="L13" s="64"/>
      <c r="M13" s="64"/>
      <c r="N13" s="64"/>
      <c r="O13" s="64"/>
      <c r="P13" s="64"/>
      <c r="Q13" s="64"/>
    </row>
    <row r="14" spans="1:35" ht="20.100000000000001" customHeight="1" x14ac:dyDescent="0.25">
      <c r="A14" s="13"/>
      <c r="D14" s="27" t="str" cm="1">
        <f t="array" ref="D14">Common_InputFunctions.Utility_DisplayArrayInTable(Refrigerants_SourceData.Refrigerants_ChemicalGWP_Data(), Table_RefrigerantChemicalGWP[[#Headers],[Gas]], 0)</f>
        <v>HFC-32 (R-32)</v>
      </c>
      <c r="E14" s="27" t="str" cm="1">
        <f t="array" ref="E14">Common_InputFunctions.Utility_DisplayArrayInTable(Refrigerants_SourceData.Refrigerants_ChemicalGWP_Data(), Table_RefrigerantChemicalGWP[[#Headers],[Gas]], 0)</f>
        <v>CH2F2</v>
      </c>
      <c r="F14" s="27" cm="1">
        <f t="array" ref="F14">Common_InputFunctions.Utility_DisplayArrayInTable(Refrigerants_SourceData.Refrigerants_ChemicalGWP_Data(), Table_RefrigerantChemicalGWP[[#Headers],[Gas]], 0)</f>
        <v>677</v>
      </c>
      <c r="G14" s="27" t="str" cm="1">
        <f t="array" ref="G14">Common_InputFunctions.Utility_DisplayArrayInTable(Refrigerants_SourceData.Refrigerants_ChemicalGWP_Data(), Table_RefrigerantChemicalGWP[[#Headers],[Gas]], 0)</f>
        <v>HFC-32</v>
      </c>
      <c r="H14" s="66" t="str" cm="1">
        <f t="array" ref="H14">Common_InputFunctions.Utility_DisplayArrayInTable(Refrigerants_SourceData.Refrigerants_ChemicalGWP_Data(), Table_RefrigerantChemicalGWP[[#Headers],[Gas]], 0)</f>
        <v/>
      </c>
      <c r="I14" s="64"/>
      <c r="J14" s="64"/>
      <c r="K14" s="64"/>
      <c r="L14" s="64"/>
      <c r="M14" s="64"/>
      <c r="N14" s="64"/>
      <c r="O14" s="64"/>
      <c r="P14" s="64"/>
      <c r="Q14" s="64"/>
    </row>
    <row r="15" spans="1:35" ht="20.100000000000001" customHeight="1" x14ac:dyDescent="0.25">
      <c r="A15" s="14" t="s">
        <v>2</v>
      </c>
      <c r="D15" s="27" t="str" cm="1">
        <f t="array" ref="D15">Common_InputFunctions.Utility_DisplayArrayInTable(Refrigerants_SourceData.Refrigerants_ChemicalGWP_Data(), Table_RefrigerantChemicalGWP[[#Headers],[Gas]], 0)</f>
        <v>HFC-41 (R-41)</v>
      </c>
      <c r="E15" s="27" t="str" cm="1">
        <f t="array" ref="E15">Common_InputFunctions.Utility_DisplayArrayInTable(Refrigerants_SourceData.Refrigerants_ChemicalGWP_Data(), Table_RefrigerantChemicalGWP[[#Headers],[Gas]], 0)</f>
        <v>CH3F</v>
      </c>
      <c r="F15" s="27" cm="1">
        <f t="array" ref="F15">Common_InputFunctions.Utility_DisplayArrayInTable(Refrigerants_SourceData.Refrigerants_ChemicalGWP_Data(), Table_RefrigerantChemicalGWP[[#Headers],[Gas]], 0)</f>
        <v>116</v>
      </c>
      <c r="G15" s="27" t="str" cm="1">
        <f t="array" ref="G15">Common_InputFunctions.Utility_DisplayArrayInTable(Refrigerants_SourceData.Refrigerants_ChemicalGWP_Data(), Table_RefrigerantChemicalGWP[[#Headers],[Gas]], 0)</f>
        <v>HFC-41</v>
      </c>
      <c r="H15" s="66" t="str" cm="1">
        <f t="array" ref="H15">Common_InputFunctions.Utility_DisplayArrayInTable(Refrigerants_SourceData.Refrigerants_ChemicalGWP_Data(), Table_RefrigerantChemicalGWP[[#Headers],[Gas]], 0)</f>
        <v/>
      </c>
      <c r="I15" s="64"/>
      <c r="J15" s="64"/>
      <c r="K15" s="64"/>
      <c r="L15" s="64"/>
      <c r="M15" s="64"/>
      <c r="N15" s="64"/>
      <c r="O15" s="64"/>
      <c r="P15" s="64"/>
      <c r="Q15" s="64"/>
    </row>
    <row r="16" spans="1:35" ht="20.100000000000001" customHeight="1" x14ac:dyDescent="0.25">
      <c r="A16" s="59" t="str">
        <f>HYPERLINK("#'Constants - Fuel'!A1", "Constants - Fuel")</f>
        <v>Constants - Fuel</v>
      </c>
      <c r="D16" s="27" t="str" cm="1">
        <f t="array" ref="D16">Common_InputFunctions.Utility_DisplayArrayInTable(Refrigerants_SourceData.Refrigerants_ChemicalGWP_Data(), Table_RefrigerantChemicalGWP[[#Headers],[Gas]], 0)</f>
        <v>HFC-43-10mee (R-4310mee)</v>
      </c>
      <c r="E16" s="27" t="str" cm="1">
        <f t="array" ref="E16">Common_InputFunctions.Utility_DisplayArrayInTable(Refrigerants_SourceData.Refrigerants_ChemicalGWP_Data(), Table_RefrigerantChemicalGWP[[#Headers],[Gas]], 0)</f>
        <v>C5H2F10</v>
      </c>
      <c r="F16" s="27" cm="1">
        <f t="array" ref="F16">Common_InputFunctions.Utility_DisplayArrayInTable(Refrigerants_SourceData.Refrigerants_ChemicalGWP_Data(), Table_RefrigerantChemicalGWP[[#Headers],[Gas]], 0)</f>
        <v>1650</v>
      </c>
      <c r="G16" s="27" t="str" cm="1">
        <f t="array" ref="G16">Common_InputFunctions.Utility_DisplayArrayInTable(Refrigerants_SourceData.Refrigerants_ChemicalGWP_Data(), Table_RefrigerantChemicalGWP[[#Headers],[Gas]], 0)</f>
        <v>HFC-43-10mee</v>
      </c>
      <c r="H16" s="66" t="str" cm="1">
        <f t="array" ref="H16">Common_InputFunctions.Utility_DisplayArrayInTable(Refrigerants_SourceData.Refrigerants_ChemicalGWP_Data(), Table_RefrigerantChemicalGWP[[#Headers],[Gas]], 0)</f>
        <v/>
      </c>
      <c r="I16" s="64"/>
      <c r="J16" s="64"/>
      <c r="K16" s="64"/>
      <c r="L16" s="64"/>
      <c r="M16" s="64"/>
      <c r="N16" s="64"/>
      <c r="O16" s="64"/>
      <c r="P16" s="64"/>
      <c r="Q16" s="64"/>
    </row>
    <row r="17" spans="1:17" ht="20.100000000000001" customHeight="1" x14ac:dyDescent="0.25">
      <c r="A17" s="13" t="str">
        <f>HYPERLINK("#'Constants - Common'!A1", "Constants - Common")</f>
        <v>Constants - Common</v>
      </c>
      <c r="D17" s="27" t="str" cm="1">
        <f t="array" ref="D17">Common_InputFunctions.Utility_DisplayArrayInTable(Refrigerants_SourceData.Refrigerants_ChemicalGWP_Data(), Table_RefrigerantChemicalGWP[[#Headers],[Gas]], 0)</f>
        <v>HFC-125 (R-125)</v>
      </c>
      <c r="E17" s="27" t="str" cm="1">
        <f t="array" ref="E17">Common_InputFunctions.Utility_DisplayArrayInTable(Refrigerants_SourceData.Refrigerants_ChemicalGWP_Data(), Table_RefrigerantChemicalGWP[[#Headers],[Gas]], 0)</f>
        <v>C2HF5</v>
      </c>
      <c r="F17" s="27" cm="1">
        <f t="array" ref="F17">Common_InputFunctions.Utility_DisplayArrayInTable(Refrigerants_SourceData.Refrigerants_ChemicalGWP_Data(), Table_RefrigerantChemicalGWP[[#Headers],[Gas]], 0)</f>
        <v>3170</v>
      </c>
      <c r="G17" s="27" t="str" cm="1">
        <f t="array" ref="G17">Common_InputFunctions.Utility_DisplayArrayInTable(Refrigerants_SourceData.Refrigerants_ChemicalGWP_Data(), Table_RefrigerantChemicalGWP[[#Headers],[Gas]], 0)</f>
        <v>HFC-125</v>
      </c>
      <c r="H17" s="66" t="str" cm="1">
        <f t="array" ref="H17">Common_InputFunctions.Utility_DisplayArrayInTable(Refrigerants_SourceData.Refrigerants_ChemicalGWP_Data(), Table_RefrigerantChemicalGWP[[#Headers],[Gas]], 0)</f>
        <v/>
      </c>
      <c r="I17" s="64"/>
      <c r="J17" s="64"/>
      <c r="K17" s="64"/>
      <c r="L17" s="64"/>
      <c r="M17" s="64"/>
      <c r="N17" s="64"/>
      <c r="O17" s="64"/>
      <c r="P17" s="64"/>
      <c r="Q17" s="64"/>
    </row>
    <row r="18" spans="1:17" ht="20.100000000000001" customHeight="1" x14ac:dyDescent="0.25">
      <c r="D18" s="27" t="str" cm="1">
        <f t="array" ref="D18">Common_InputFunctions.Utility_DisplayArrayInTable(Refrigerants_SourceData.Refrigerants_ChemicalGWP_Data(), Table_RefrigerantChemicalGWP[[#Headers],[Gas]], 0)</f>
        <v>HFC-134 (R-134)</v>
      </c>
      <c r="E18" s="27" t="str" cm="1">
        <f t="array" ref="E18">Common_InputFunctions.Utility_DisplayArrayInTable(Refrigerants_SourceData.Refrigerants_ChemicalGWP_Data(), Table_RefrigerantChemicalGWP[[#Headers],[Gas]], 0)</f>
        <v>C2H2F4 (CHF2CHF2)</v>
      </c>
      <c r="F18" s="27" cm="1">
        <f t="array" ref="F18">Common_InputFunctions.Utility_DisplayArrayInTable(Refrigerants_SourceData.Refrigerants_ChemicalGWP_Data(), Table_RefrigerantChemicalGWP[[#Headers],[Gas]], 0)</f>
        <v>1120</v>
      </c>
      <c r="G18" s="27" t="str" cm="1">
        <f t="array" ref="G18">Common_InputFunctions.Utility_DisplayArrayInTable(Refrigerants_SourceData.Refrigerants_ChemicalGWP_Data(), Table_RefrigerantChemicalGWP[[#Headers],[Gas]], 0)</f>
        <v>HFC-134</v>
      </c>
      <c r="H18" s="66" t="str" cm="1">
        <f t="array" ref="H18">Common_InputFunctions.Utility_DisplayArrayInTable(Refrigerants_SourceData.Refrigerants_ChemicalGWP_Data(), Table_RefrigerantChemicalGWP[[#Headers],[Gas]], 0)</f>
        <v/>
      </c>
      <c r="I18" s="64"/>
      <c r="J18" s="64"/>
      <c r="K18" s="64"/>
      <c r="L18" s="64"/>
      <c r="M18" s="64"/>
      <c r="N18" s="64"/>
      <c r="O18" s="64"/>
      <c r="P18" s="64"/>
      <c r="Q18" s="64"/>
    </row>
    <row r="19" spans="1:17" ht="20.100000000000001" customHeight="1" x14ac:dyDescent="0.25">
      <c r="D19" s="27" t="str" cm="1">
        <f t="array" ref="D19">Common_InputFunctions.Utility_DisplayArrayInTable(Refrigerants_SourceData.Refrigerants_ChemicalGWP_Data(), Table_RefrigerantChemicalGWP[[#Headers],[Gas]], 0)</f>
        <v>HFC-134a (R-134a)</v>
      </c>
      <c r="E19" s="27" t="str" cm="1">
        <f t="array" ref="E19">Common_InputFunctions.Utility_DisplayArrayInTable(Refrigerants_SourceData.Refrigerants_ChemicalGWP_Data(), Table_RefrigerantChemicalGWP[[#Headers],[Gas]], 0)</f>
        <v>C2H2F4 (CH2FCF3)</v>
      </c>
      <c r="F19" s="27" cm="1">
        <f t="array" ref="F19">Common_InputFunctions.Utility_DisplayArrayInTable(Refrigerants_SourceData.Refrigerants_ChemicalGWP_Data(), Table_RefrigerantChemicalGWP[[#Headers],[Gas]], 0)</f>
        <v>1300</v>
      </c>
      <c r="G19" s="27" t="str" cm="1">
        <f t="array" ref="G19">Common_InputFunctions.Utility_DisplayArrayInTable(Refrigerants_SourceData.Refrigerants_ChemicalGWP_Data(), Table_RefrigerantChemicalGWP[[#Headers],[Gas]], 0)</f>
        <v>HFC-134a</v>
      </c>
      <c r="H19" s="66" t="str" cm="1">
        <f t="array" ref="H19">Common_InputFunctions.Utility_DisplayArrayInTable(Refrigerants_SourceData.Refrigerants_ChemicalGWP_Data(), Table_RefrigerantChemicalGWP[[#Headers],[Gas]], 0)</f>
        <v/>
      </c>
      <c r="I19" s="64"/>
      <c r="J19" s="64"/>
      <c r="K19" s="64"/>
      <c r="L19" s="64"/>
      <c r="M19" s="64"/>
      <c r="N19" s="64"/>
      <c r="O19" s="64"/>
      <c r="P19" s="64"/>
      <c r="Q19" s="64"/>
    </row>
    <row r="20" spans="1:17" ht="20.100000000000001" customHeight="1" x14ac:dyDescent="0.25">
      <c r="A20" s="13"/>
      <c r="D20" s="27" t="str" cm="1">
        <f t="array" ref="D20">Common_InputFunctions.Utility_DisplayArrayInTable(Refrigerants_SourceData.Refrigerants_ChemicalGWP_Data(), Table_RefrigerantChemicalGWP[[#Headers],[Gas]], 0)</f>
        <v>HFC-143 (R-143)</v>
      </c>
      <c r="E20" s="27" t="str" cm="1">
        <f t="array" ref="E20">Common_InputFunctions.Utility_DisplayArrayInTable(Refrigerants_SourceData.Refrigerants_ChemicalGWP_Data(), Table_RefrigerantChemicalGWP[[#Headers],[Gas]], 0)</f>
        <v>C2H3F3 (CHF2CH2F)</v>
      </c>
      <c r="F20" s="27" cm="1">
        <f t="array" ref="F20">Common_InputFunctions.Utility_DisplayArrayInTable(Refrigerants_SourceData.Refrigerants_ChemicalGWP_Data(), Table_RefrigerantChemicalGWP[[#Headers],[Gas]], 0)</f>
        <v>328</v>
      </c>
      <c r="G20" s="27" t="str" cm="1">
        <f t="array" ref="G20">Common_InputFunctions.Utility_DisplayArrayInTable(Refrigerants_SourceData.Refrigerants_ChemicalGWP_Data(), Table_RefrigerantChemicalGWP[[#Headers],[Gas]], 0)</f>
        <v>HFC-143</v>
      </c>
      <c r="H20" s="66" t="str" cm="1">
        <f t="array" ref="H20">Common_InputFunctions.Utility_DisplayArrayInTable(Refrigerants_SourceData.Refrigerants_ChemicalGWP_Data(), Table_RefrigerantChemicalGWP[[#Headers],[Gas]], 0)</f>
        <v/>
      </c>
      <c r="I20" s="64"/>
      <c r="J20" s="64"/>
      <c r="K20" s="64"/>
      <c r="L20" s="64"/>
      <c r="M20" s="64"/>
      <c r="N20" s="64"/>
      <c r="O20" s="64"/>
      <c r="P20" s="64"/>
      <c r="Q20" s="64"/>
    </row>
    <row r="21" spans="1:17" ht="20.100000000000001" customHeight="1" x14ac:dyDescent="0.25">
      <c r="A21" s="13"/>
      <c r="D21" s="27" t="str" cm="1">
        <f t="array" ref="D21">Common_InputFunctions.Utility_DisplayArrayInTable(Refrigerants_SourceData.Refrigerants_ChemicalGWP_Data(), Table_RefrigerantChemicalGWP[[#Headers],[Gas]], 0)</f>
        <v>HFC-143a (R-143a)</v>
      </c>
      <c r="E21" s="27" t="str" cm="1">
        <f t="array" ref="E21">Common_InputFunctions.Utility_DisplayArrayInTable(Refrigerants_SourceData.Refrigerants_ChemicalGWP_Data(), Table_RefrigerantChemicalGWP[[#Headers],[Gas]], 0)</f>
        <v>C2H3F3 (CF3CH3)</v>
      </c>
      <c r="F21" s="27" cm="1">
        <f t="array" ref="F21">Common_InputFunctions.Utility_DisplayArrayInTable(Refrigerants_SourceData.Refrigerants_ChemicalGWP_Data(), Table_RefrigerantChemicalGWP[[#Headers],[Gas]], 0)</f>
        <v>4800</v>
      </c>
      <c r="G21" s="27" t="str" cm="1">
        <f t="array" ref="G21">Common_InputFunctions.Utility_DisplayArrayInTable(Refrigerants_SourceData.Refrigerants_ChemicalGWP_Data(), Table_RefrigerantChemicalGWP[[#Headers],[Gas]], 0)</f>
        <v>HFC-143a</v>
      </c>
      <c r="H21" s="66" t="str" cm="1">
        <f t="array" ref="H21">Common_InputFunctions.Utility_DisplayArrayInTable(Refrigerants_SourceData.Refrigerants_ChemicalGWP_Data(), Table_RefrigerantChemicalGWP[[#Headers],[Gas]], 0)</f>
        <v/>
      </c>
      <c r="I21" s="64"/>
      <c r="J21" s="64"/>
      <c r="K21" s="64"/>
      <c r="L21" s="64"/>
      <c r="M21" s="64"/>
      <c r="N21" s="64"/>
      <c r="O21" s="64"/>
      <c r="P21" s="64"/>
      <c r="Q21" s="64"/>
    </row>
    <row r="22" spans="1:17" ht="20.100000000000001" customHeight="1" x14ac:dyDescent="0.25">
      <c r="D22" s="27" t="str" cm="1">
        <f t="array" ref="D22">Common_InputFunctions.Utility_DisplayArrayInTable(Refrigerants_SourceData.Refrigerants_ChemicalGWP_Data(), Table_RefrigerantChemicalGWP[[#Headers],[Gas]], 0)</f>
        <v>HFC-152a (R-152a)</v>
      </c>
      <c r="E22" s="27" t="str" cm="1">
        <f t="array" ref="E22">Common_InputFunctions.Utility_DisplayArrayInTable(Refrigerants_SourceData.Refrigerants_ChemicalGWP_Data(), Table_RefrigerantChemicalGWP[[#Headers],[Gas]], 0)</f>
        <v>C2H4F2 (CH3CHF2)</v>
      </c>
      <c r="F22" s="27" cm="1">
        <f t="array" ref="F22">Common_InputFunctions.Utility_DisplayArrayInTable(Refrigerants_SourceData.Refrigerants_ChemicalGWP_Data(), Table_RefrigerantChemicalGWP[[#Headers],[Gas]], 0)</f>
        <v>138</v>
      </c>
      <c r="G22" s="27" t="str" cm="1">
        <f t="array" ref="G22">Common_InputFunctions.Utility_DisplayArrayInTable(Refrigerants_SourceData.Refrigerants_ChemicalGWP_Data(), Table_RefrigerantChemicalGWP[[#Headers],[Gas]], 0)</f>
        <v>HFC-152a</v>
      </c>
      <c r="H22" s="66" t="str" cm="1">
        <f t="array" ref="H22">Common_InputFunctions.Utility_DisplayArrayInTable(Refrigerants_SourceData.Refrigerants_ChemicalGWP_Data(), Table_RefrigerantChemicalGWP[[#Headers],[Gas]], 0)</f>
        <v/>
      </c>
      <c r="I22" s="64"/>
      <c r="J22" s="64"/>
      <c r="K22" s="64"/>
      <c r="L22" s="64"/>
      <c r="M22" s="64"/>
      <c r="N22" s="64"/>
      <c r="O22" s="64"/>
      <c r="P22" s="64"/>
      <c r="Q22" s="64"/>
    </row>
    <row r="23" spans="1:17" ht="20.100000000000001" customHeight="1" x14ac:dyDescent="0.25">
      <c r="A23" s="13"/>
      <c r="D23" s="27" t="str" cm="1">
        <f t="array" ref="D23">Common_InputFunctions.Utility_DisplayArrayInTable(Refrigerants_SourceData.Refrigerants_ChemicalGWP_Data(), Table_RefrigerantChemicalGWP[[#Headers],[Gas]], 0)</f>
        <v>HFC-227ea (R-227ea)</v>
      </c>
      <c r="E23" s="27" t="str" cm="1">
        <f t="array" ref="E23">Common_InputFunctions.Utility_DisplayArrayInTable(Refrigerants_SourceData.Refrigerants_ChemicalGWP_Data(), Table_RefrigerantChemicalGWP[[#Headers],[Gas]], 0)</f>
        <v>C3HF7</v>
      </c>
      <c r="F23" s="27" cm="1">
        <f t="array" ref="F23">Common_InputFunctions.Utility_DisplayArrayInTable(Refrigerants_SourceData.Refrigerants_ChemicalGWP_Data(), Table_RefrigerantChemicalGWP[[#Headers],[Gas]], 0)</f>
        <v>3350</v>
      </c>
      <c r="G23" s="27" t="str" cm="1">
        <f t="array" ref="G23">Common_InputFunctions.Utility_DisplayArrayInTable(Refrigerants_SourceData.Refrigerants_ChemicalGWP_Data(), Table_RefrigerantChemicalGWP[[#Headers],[Gas]], 0)</f>
        <v>HFC-227ea</v>
      </c>
      <c r="H23" s="66" t="str" cm="1">
        <f t="array" ref="H23">Common_InputFunctions.Utility_DisplayArrayInTable(Refrigerants_SourceData.Refrigerants_ChemicalGWP_Data(), Table_RefrigerantChemicalGWP[[#Headers],[Gas]], 0)</f>
        <v/>
      </c>
      <c r="I23" s="64"/>
      <c r="J23" s="64"/>
      <c r="K23" s="64"/>
      <c r="L23" s="64"/>
      <c r="M23" s="64"/>
      <c r="N23" s="64"/>
      <c r="O23" s="64"/>
      <c r="P23" s="64"/>
      <c r="Q23" s="64"/>
    </row>
    <row r="24" spans="1:17" ht="20.100000000000001" customHeight="1" x14ac:dyDescent="0.25">
      <c r="D24" s="27" t="str" cm="1">
        <f t="array" ref="D24">Common_InputFunctions.Utility_DisplayArrayInTable(Refrigerants_SourceData.Refrigerants_ChemicalGWP_Data(), Table_RefrigerantChemicalGWP[[#Headers],[Gas]], 0)</f>
        <v>HFC-236fa (R-236fa)</v>
      </c>
      <c r="E24" s="27" t="str" cm="1">
        <f t="array" ref="E24">Common_InputFunctions.Utility_DisplayArrayInTable(Refrigerants_SourceData.Refrigerants_ChemicalGWP_Data(), Table_RefrigerantChemicalGWP[[#Headers],[Gas]], 0)</f>
        <v>C3H2F6</v>
      </c>
      <c r="F24" s="27" cm="1">
        <f t="array" ref="F24">Common_InputFunctions.Utility_DisplayArrayInTable(Refrigerants_SourceData.Refrigerants_ChemicalGWP_Data(), Table_RefrigerantChemicalGWP[[#Headers],[Gas]], 0)</f>
        <v>8060</v>
      </c>
      <c r="G24" s="27" t="str" cm="1">
        <f t="array" ref="G24">Common_InputFunctions.Utility_DisplayArrayInTable(Refrigerants_SourceData.Refrigerants_ChemicalGWP_Data(), Table_RefrigerantChemicalGWP[[#Headers],[Gas]], 0)</f>
        <v>HFC-236fa</v>
      </c>
      <c r="H24" s="66" t="str" cm="1">
        <f t="array" ref="H24">Common_InputFunctions.Utility_DisplayArrayInTable(Refrigerants_SourceData.Refrigerants_ChemicalGWP_Data(), Table_RefrigerantChemicalGWP[[#Headers],[Gas]], 0)</f>
        <v/>
      </c>
      <c r="I24" s="64"/>
      <c r="J24" s="64"/>
      <c r="K24" s="64"/>
      <c r="L24" s="64"/>
      <c r="M24" s="64"/>
      <c r="N24" s="64"/>
      <c r="O24" s="64"/>
      <c r="P24" s="64"/>
      <c r="Q24" s="64"/>
    </row>
    <row r="25" spans="1:17" ht="20.100000000000001" customHeight="1" x14ac:dyDescent="0.25">
      <c r="D25" s="27" t="str" cm="1">
        <f t="array" ref="D25">Common_InputFunctions.Utility_DisplayArrayInTable(Refrigerants_SourceData.Refrigerants_ChemicalGWP_Data(), Table_RefrigerantChemicalGWP[[#Headers],[Gas]], 0)</f>
        <v>HFC-245ca (R-245ca)</v>
      </c>
      <c r="E25" s="27" t="str" cm="1">
        <f t="array" ref="E25">Common_InputFunctions.Utility_DisplayArrayInTable(Refrigerants_SourceData.Refrigerants_ChemicalGWP_Data(), Table_RefrigerantChemicalGWP[[#Headers],[Gas]], 0)</f>
        <v>C3H3F5</v>
      </c>
      <c r="F25" s="27" cm="1">
        <f t="array" ref="F25">Common_InputFunctions.Utility_DisplayArrayInTable(Refrigerants_SourceData.Refrigerants_ChemicalGWP_Data(), Table_RefrigerantChemicalGWP[[#Headers],[Gas]], 0)</f>
        <v>716</v>
      </c>
      <c r="G25" s="27" t="str" cm="1">
        <f t="array" ref="G25">Common_InputFunctions.Utility_DisplayArrayInTable(Refrigerants_SourceData.Refrigerants_ChemicalGWP_Data(), Table_RefrigerantChemicalGWP[[#Headers],[Gas]], 0)</f>
        <v>HFC-245ca</v>
      </c>
      <c r="H25" s="66" t="str" cm="1">
        <f t="array" ref="H25">Common_InputFunctions.Utility_DisplayArrayInTable(Refrigerants_SourceData.Refrigerants_ChemicalGWP_Data(), Table_RefrigerantChemicalGWP[[#Headers],[Gas]], 0)</f>
        <v/>
      </c>
      <c r="I25" s="64"/>
      <c r="J25" s="64"/>
      <c r="K25" s="64"/>
      <c r="L25" s="64"/>
      <c r="M25" s="64"/>
      <c r="N25" s="64"/>
      <c r="O25" s="64"/>
      <c r="P25" s="64"/>
      <c r="Q25" s="64"/>
    </row>
    <row r="26" spans="1:17" ht="20.100000000000001" customHeight="1" x14ac:dyDescent="0.25">
      <c r="D26" s="27" t="str" cm="1">
        <f t="array" ref="D26">Common_InputFunctions.Utility_DisplayArrayInTable(Refrigerants_SourceData.Refrigerants_ChemicalGWP_Data(), Table_RefrigerantChemicalGWP[[#Headers],[Gas]], 0)</f>
        <v>HFC-245fa (R-245fa)</v>
      </c>
      <c r="E26" s="27" t="str" cm="1">
        <f t="array" ref="E26">Common_InputFunctions.Utility_DisplayArrayInTable(Refrigerants_SourceData.Refrigerants_ChemicalGWP_Data(), Table_RefrigerantChemicalGWP[[#Headers],[Gas]], 0)</f>
        <v>CHF2CH2CF3</v>
      </c>
      <c r="F26" s="27" cm="1">
        <f t="array" ref="F26">Common_InputFunctions.Utility_DisplayArrayInTable(Refrigerants_SourceData.Refrigerants_ChemicalGWP_Data(), Table_RefrigerantChemicalGWP[[#Headers],[Gas]], 0)</f>
        <v>858</v>
      </c>
      <c r="G26" s="27" t="str" cm="1">
        <f t="array" ref="G26">Common_InputFunctions.Utility_DisplayArrayInTable(Refrigerants_SourceData.Refrigerants_ChemicalGWP_Data(), Table_RefrigerantChemicalGWP[[#Headers],[Gas]], 0)</f>
        <v>HFC-245fa</v>
      </c>
      <c r="H26" s="66" t="str" cm="1">
        <f t="array" ref="H26">Common_InputFunctions.Utility_DisplayArrayInTable(Refrigerants_SourceData.Refrigerants_ChemicalGWP_Data(), Table_RefrigerantChemicalGWP[[#Headers],[Gas]], 0)</f>
        <v/>
      </c>
      <c r="I26" s="64"/>
      <c r="J26" s="64"/>
      <c r="K26" s="64"/>
      <c r="L26" s="64"/>
      <c r="M26" s="64"/>
      <c r="N26" s="64"/>
      <c r="O26" s="64"/>
      <c r="P26" s="64"/>
      <c r="Q26" s="64"/>
    </row>
    <row r="27" spans="1:17" ht="20.100000000000001" customHeight="1" x14ac:dyDescent="0.25">
      <c r="D27" s="27" t="str" cm="1">
        <f t="array" ref="D27">Common_InputFunctions.Utility_DisplayArrayInTable(Refrigerants_SourceData.Refrigerants_ChemicalGWP_Data(), Table_RefrigerantChemicalGWP[[#Headers],[Gas]], 0)</f>
        <v>HFC-365mfc (R-365mfc)</v>
      </c>
      <c r="E27" s="27" t="str" cm="1">
        <f t="array" ref="E27">Common_InputFunctions.Utility_DisplayArrayInTable(Refrigerants_SourceData.Refrigerants_ChemicalGWP_Data(), Table_RefrigerantChemicalGWP[[#Headers],[Gas]], 0)</f>
        <v>CH3CF2CH2CF3</v>
      </c>
      <c r="F27" s="27" cm="1">
        <f t="array" ref="F27">Common_InputFunctions.Utility_DisplayArrayInTable(Refrigerants_SourceData.Refrigerants_ChemicalGWP_Data(), Table_RefrigerantChemicalGWP[[#Headers],[Gas]], 0)</f>
        <v>804</v>
      </c>
      <c r="G27" s="27" t="str" cm="1">
        <f t="array" ref="G27">Common_InputFunctions.Utility_DisplayArrayInTable(Refrigerants_SourceData.Refrigerants_ChemicalGWP_Data(), Table_RefrigerantChemicalGWP[[#Headers],[Gas]], 0)</f>
        <v>HFC-365mfc</v>
      </c>
      <c r="H27" s="66" t="str" cm="1">
        <f t="array" ref="H27">Common_InputFunctions.Utility_DisplayArrayInTable(Refrigerants_SourceData.Refrigerants_ChemicalGWP_Data(), Table_RefrigerantChemicalGWP[[#Headers],[Gas]], 0)</f>
        <v/>
      </c>
      <c r="I27" s="64"/>
      <c r="J27" s="64"/>
      <c r="K27" s="64"/>
      <c r="L27" s="64"/>
      <c r="M27" s="64"/>
      <c r="N27" s="64"/>
      <c r="O27" s="64"/>
      <c r="P27" s="64"/>
      <c r="Q27" s="64"/>
    </row>
    <row r="28" spans="1:17" ht="20.100000000000001" customHeight="1" x14ac:dyDescent="0.25">
      <c r="D28" s="27" t="str" cm="1">
        <f t="array" ref="D28">Common_InputFunctions.Utility_DisplayArrayInTable(Refrigerants_SourceData.Refrigerants_ChemicalGWP_Data(), Table_RefrigerantChemicalGWP[[#Headers],[Gas]], 0)</f>
        <v>HCFC-22 (R-22)</v>
      </c>
      <c r="E28" s="27" t="str" cm="1">
        <f t="array" ref="E28">Common_InputFunctions.Utility_DisplayArrayInTable(Refrigerants_SourceData.Refrigerants_ChemicalGWP_Data(), Table_RefrigerantChemicalGWP[[#Headers],[Gas]], 0)</f>
        <v>CHClF2</v>
      </c>
      <c r="F28" s="27" cm="1">
        <f t="array" ref="F28">Common_InputFunctions.Utility_DisplayArrayInTable(Refrigerants_SourceData.Refrigerants_ChemicalGWP_Data(), Table_RefrigerantChemicalGWP[[#Headers],[Gas]], 0)</f>
        <v>1760</v>
      </c>
      <c r="G28" s="27" t="str" cm="1">
        <f t="array" ref="G28">Common_InputFunctions.Utility_DisplayArrayInTable(Refrigerants_SourceData.Refrigerants_ChemicalGWP_Data(), Table_RefrigerantChemicalGWP[[#Headers],[Gas]], 0)</f>
        <v>HCFC-22</v>
      </c>
      <c r="H28" s="66" t="str" cm="1">
        <f t="array" ref="H28">Common_InputFunctions.Utility_DisplayArrayInTable(Refrigerants_SourceData.Refrigerants_ChemicalGWP_Data(), Table_RefrigerantChemicalGWP[[#Headers],[Gas]], 0)</f>
        <v/>
      </c>
      <c r="I28" s="64"/>
      <c r="J28" s="64"/>
      <c r="K28" s="64"/>
      <c r="L28" s="64"/>
      <c r="M28" s="64"/>
      <c r="N28" s="64"/>
      <c r="O28" s="64"/>
      <c r="P28" s="64"/>
      <c r="Q28" s="64"/>
    </row>
    <row r="29" spans="1:17" ht="20.100000000000001" customHeight="1" x14ac:dyDescent="0.25">
      <c r="D29" s="66" t="str" cm="1">
        <f t="array" ref="D29">Common_InputFunctions.Utility_DisplayArrayInTable(Refrigerants_SourceData.Refrigerants_ChemicalGWP_Data(), Table_RefrigerantChemicalGWP[[#Headers],[Gas]], 0)</f>
        <v>HCFC-123 (R-123)</v>
      </c>
      <c r="E29" s="27" t="str" cm="1">
        <f t="array" ref="E29">Common_InputFunctions.Utility_DisplayArrayInTable(Refrigerants_SourceData.Refrigerants_ChemicalGWP_Data(), Table_RefrigerantChemicalGWP[[#Headers],[Gas]], 0)</f>
        <v>CHCl22CF3</v>
      </c>
      <c r="F29" s="27" cm="1">
        <f t="array" ref="F29">Common_InputFunctions.Utility_DisplayArrayInTable(Refrigerants_SourceData.Refrigerants_ChemicalGWP_Data(), Table_RefrigerantChemicalGWP[[#Headers],[Gas]], 0)</f>
        <v>79</v>
      </c>
      <c r="G29" s="27" t="str" cm="1">
        <f t="array" ref="G29">Common_InputFunctions.Utility_DisplayArrayInTable(Refrigerants_SourceData.Refrigerants_ChemicalGWP_Data(), Table_RefrigerantChemicalGWP[[#Headers],[Gas]], 0)</f>
        <v>HCFC-123</v>
      </c>
      <c r="H29" s="66" t="str" cm="1">
        <f t="array" ref="H29">Common_InputFunctions.Utility_DisplayArrayInTable(Refrigerants_SourceData.Refrigerants_ChemicalGWP_Data(), Table_RefrigerantChemicalGWP[[#Headers],[Gas]], 0)</f>
        <v/>
      </c>
      <c r="I29" s="64"/>
      <c r="J29" s="64"/>
      <c r="K29" s="64"/>
      <c r="L29" s="64"/>
      <c r="M29" s="64"/>
      <c r="N29" s="64"/>
      <c r="O29" s="64"/>
      <c r="P29" s="64"/>
      <c r="Q29" s="64"/>
    </row>
    <row r="30" spans="1:17" ht="20.100000000000001" customHeight="1" x14ac:dyDescent="0.25">
      <c r="D30" s="66" t="str" cm="1">
        <f t="array" ref="D30">Common_InputFunctions.Utility_DisplayArrayInTable(Refrigerants_SourceData.Refrigerants_ChemicalGWP_Data(), Table_RefrigerantChemicalGWP[[#Headers],[Gas]], 0)</f>
        <v>HCFC-124 (R-124)</v>
      </c>
      <c r="E30" s="27" t="str" cm="1">
        <f t="array" ref="E30">Common_InputFunctions.Utility_DisplayArrayInTable(Refrigerants_SourceData.Refrigerants_ChemicalGWP_Data(), Table_RefrigerantChemicalGWP[[#Headers],[Gas]], 0)</f>
        <v>CHClFCF3</v>
      </c>
      <c r="F30" s="27" cm="1">
        <f t="array" ref="F30">Common_InputFunctions.Utility_DisplayArrayInTable(Refrigerants_SourceData.Refrigerants_ChemicalGWP_Data(), Table_RefrigerantChemicalGWP[[#Headers],[Gas]], 0)</f>
        <v>527</v>
      </c>
      <c r="G30" s="27" t="str" cm="1">
        <f t="array" ref="G30">Common_InputFunctions.Utility_DisplayArrayInTable(Refrigerants_SourceData.Refrigerants_ChemicalGWP_Data(), Table_RefrigerantChemicalGWP[[#Headers],[Gas]], 0)</f>
        <v>HCFC-124</v>
      </c>
      <c r="H30" s="66" t="str" cm="1">
        <f t="array" ref="H30">Common_InputFunctions.Utility_DisplayArrayInTable(Refrigerants_SourceData.Refrigerants_ChemicalGWP_Data(), Table_RefrigerantChemicalGWP[[#Headers],[Gas]], 0)</f>
        <v/>
      </c>
      <c r="I30" s="64"/>
      <c r="J30" s="64"/>
      <c r="K30" s="64"/>
      <c r="L30" s="64"/>
      <c r="M30" s="64"/>
      <c r="N30" s="64"/>
      <c r="O30" s="64"/>
      <c r="P30" s="64"/>
      <c r="Q30" s="64"/>
    </row>
    <row r="31" spans="1:17" ht="20.100000000000001" customHeight="1" x14ac:dyDescent="0.25">
      <c r="D31" s="66" t="str" cm="1">
        <f t="array" ref="D31">Common_InputFunctions.Utility_DisplayArrayInTable(Refrigerants_SourceData.Refrigerants_ChemicalGWP_Data(), Table_RefrigerantChemicalGWP[[#Headers],[Gas]], 0)</f>
        <v>HCFC-141b (R-141b)</v>
      </c>
      <c r="E31" s="27" t="str" cm="1">
        <f t="array" ref="E31">Common_InputFunctions.Utility_DisplayArrayInTable(Refrigerants_SourceData.Refrigerants_ChemicalGWP_Data(), Table_RefrigerantChemicalGWP[[#Headers],[Gas]], 0)</f>
        <v>CH3CCl2F</v>
      </c>
      <c r="F31" s="27" cm="1">
        <f t="array" ref="F31">Common_InputFunctions.Utility_DisplayArrayInTable(Refrigerants_SourceData.Refrigerants_ChemicalGWP_Data(), Table_RefrigerantChemicalGWP[[#Headers],[Gas]], 0)</f>
        <v>782</v>
      </c>
      <c r="G31" s="27" t="str" cm="1">
        <f t="array" ref="G31">Common_InputFunctions.Utility_DisplayArrayInTable(Refrigerants_SourceData.Refrigerants_ChemicalGWP_Data(), Table_RefrigerantChemicalGWP[[#Headers],[Gas]], 0)</f>
        <v>HCFC-141b</v>
      </c>
      <c r="H31" s="66" t="str" cm="1">
        <f t="array" ref="H31">Common_InputFunctions.Utility_DisplayArrayInTable(Refrigerants_SourceData.Refrigerants_ChemicalGWP_Data(), Table_RefrigerantChemicalGWP[[#Headers],[Gas]], 0)</f>
        <v/>
      </c>
      <c r="I31" s="64"/>
      <c r="J31" s="64"/>
      <c r="K31" s="64"/>
      <c r="L31" s="64"/>
      <c r="M31" s="64"/>
      <c r="N31" s="64"/>
      <c r="O31" s="64"/>
      <c r="P31" s="64"/>
      <c r="Q31" s="64"/>
    </row>
    <row r="32" spans="1:17" ht="20.100000000000001" customHeight="1" x14ac:dyDescent="0.25">
      <c r="D32" s="66" t="str" cm="1">
        <f t="array" ref="D32">Common_InputFunctions.Utility_DisplayArrayInTable(Refrigerants_SourceData.Refrigerants_ChemicalGWP_Data(), Table_RefrigerantChemicalGWP[[#Headers],[Gas]], 0)</f>
        <v>HCFC-142b (R-142b)</v>
      </c>
      <c r="E32" s="27" t="str" cm="1">
        <f t="array" ref="E32">Common_InputFunctions.Utility_DisplayArrayInTable(Refrigerants_SourceData.Refrigerants_ChemicalGWP_Data(), Table_RefrigerantChemicalGWP[[#Headers],[Gas]], 0)</f>
        <v>CH2CClF2</v>
      </c>
      <c r="F32" s="27" cm="1">
        <f t="array" ref="F32">Common_InputFunctions.Utility_DisplayArrayInTable(Refrigerants_SourceData.Refrigerants_ChemicalGWP_Data(), Table_RefrigerantChemicalGWP[[#Headers],[Gas]], 0)</f>
        <v>1980</v>
      </c>
      <c r="G32" s="27" t="str" cm="1">
        <f t="array" ref="G32">Common_InputFunctions.Utility_DisplayArrayInTable(Refrigerants_SourceData.Refrigerants_ChemicalGWP_Data(), Table_RefrigerantChemicalGWP[[#Headers],[Gas]], 0)</f>
        <v>HCFC-142b</v>
      </c>
      <c r="H32" s="66" t="str" cm="1">
        <f t="array" ref="H32">Common_InputFunctions.Utility_DisplayArrayInTable(Refrigerants_SourceData.Refrigerants_ChemicalGWP_Data(), Table_RefrigerantChemicalGWP[[#Headers],[Gas]], 0)</f>
        <v/>
      </c>
      <c r="I32" s="64"/>
      <c r="J32" s="64"/>
      <c r="K32" s="64"/>
      <c r="L32" s="64"/>
      <c r="M32" s="64"/>
      <c r="N32" s="64"/>
      <c r="O32" s="64"/>
      <c r="P32" s="64"/>
      <c r="Q32" s="64"/>
    </row>
    <row r="33" spans="4:17" ht="20.100000000000001" customHeight="1" x14ac:dyDescent="0.25">
      <c r="D33" s="66" t="str" cm="1">
        <f t="array" ref="D33">Common_InputFunctions.Utility_DisplayArrayInTable(Refrigerants_SourceData.Refrigerants_ChemicalGWP_Data(), Table_RefrigerantChemicalGWP[[#Headers],[Gas]], 0)</f>
        <v>HCFC-225ca (R-225ca)</v>
      </c>
      <c r="E33" s="27" t="str" cm="1">
        <f t="array" ref="E33">Common_InputFunctions.Utility_DisplayArrayInTable(Refrigerants_SourceData.Refrigerants_ChemicalGWP_Data(), Table_RefrigerantChemicalGWP[[#Headers],[Gas]], 0)</f>
        <v>CHCl2CF2CF3</v>
      </c>
      <c r="F33" s="27" cm="1">
        <f t="array" ref="F33">Common_InputFunctions.Utility_DisplayArrayInTable(Refrigerants_SourceData.Refrigerants_ChemicalGWP_Data(), Table_RefrigerantChemicalGWP[[#Headers],[Gas]], 0)</f>
        <v>127</v>
      </c>
      <c r="G33" s="27" t="str" cm="1">
        <f t="array" ref="G33">Common_InputFunctions.Utility_DisplayArrayInTable(Refrigerants_SourceData.Refrigerants_ChemicalGWP_Data(), Table_RefrigerantChemicalGWP[[#Headers],[Gas]], 0)</f>
        <v>HCFC-225ca</v>
      </c>
      <c r="H33" s="66" t="str" cm="1">
        <f t="array" ref="H33">Common_InputFunctions.Utility_DisplayArrayInTable(Refrigerants_SourceData.Refrigerants_ChemicalGWP_Data(), Table_RefrigerantChemicalGWP[[#Headers],[Gas]], 0)</f>
        <v/>
      </c>
      <c r="I33" s="64"/>
      <c r="J33" s="64"/>
      <c r="K33" s="64"/>
      <c r="L33" s="64"/>
      <c r="M33" s="64"/>
      <c r="N33" s="64"/>
      <c r="O33" s="64"/>
      <c r="P33" s="64"/>
      <c r="Q33" s="64"/>
    </row>
    <row r="34" spans="4:17" ht="20.100000000000001" customHeight="1" x14ac:dyDescent="0.25">
      <c r="D34" s="66" t="str" cm="1">
        <f t="array" ref="D34">Common_InputFunctions.Utility_DisplayArrayInTable(Refrigerants_SourceData.Refrigerants_ChemicalGWP_Data(), Table_RefrigerantChemicalGWP[[#Headers],[Gas]], 0)</f>
        <v>HCFC-225cb (R-225cb)</v>
      </c>
      <c r="E34" s="27" t="str" cm="1">
        <f t="array" ref="E34">Common_InputFunctions.Utility_DisplayArrayInTable(Refrigerants_SourceData.Refrigerants_ChemicalGWP_Data(), Table_RefrigerantChemicalGWP[[#Headers],[Gas]], 0)</f>
        <v>CHClFCF2CCIF2</v>
      </c>
      <c r="F34" s="27" cm="1">
        <f t="array" ref="F34">Common_InputFunctions.Utility_DisplayArrayInTable(Refrigerants_SourceData.Refrigerants_ChemicalGWP_Data(), Table_RefrigerantChemicalGWP[[#Headers],[Gas]], 0)</f>
        <v>525</v>
      </c>
      <c r="G34" s="27" t="str" cm="1">
        <f t="array" ref="G34">Common_InputFunctions.Utility_DisplayArrayInTable(Refrigerants_SourceData.Refrigerants_ChemicalGWP_Data(), Table_RefrigerantChemicalGWP[[#Headers],[Gas]], 0)</f>
        <v>HCFC-225cb</v>
      </c>
      <c r="H34" s="66" t="str" cm="1">
        <f t="array" ref="H34">Common_InputFunctions.Utility_DisplayArrayInTable(Refrigerants_SourceData.Refrigerants_ChemicalGWP_Data(), Table_RefrigerantChemicalGWP[[#Headers],[Gas]], 0)</f>
        <v/>
      </c>
      <c r="I34" s="64"/>
      <c r="J34" s="64"/>
      <c r="K34" s="64"/>
      <c r="L34" s="64"/>
      <c r="M34" s="64"/>
      <c r="N34" s="64"/>
      <c r="O34" s="64"/>
      <c r="P34" s="64"/>
      <c r="Q34" s="64"/>
    </row>
    <row r="35" spans="4:17" ht="20.100000000000001" customHeight="1" x14ac:dyDescent="0.25">
      <c r="D35" s="66" t="str" cm="1">
        <f t="array" ref="D35">Common_InputFunctions.Utility_DisplayArrayInTable(Refrigerants_SourceData.Refrigerants_ChemicalGWP_Data(), Table_RefrigerantChemicalGWP[[#Headers],[Gas]], 0)</f>
        <v>PFC-14 Perfluoromethane (tetrafluoromethane)</v>
      </c>
      <c r="E35" s="27" t="str" cm="1">
        <f t="array" ref="E35">Common_InputFunctions.Utility_DisplayArrayInTable(Refrigerants_SourceData.Refrigerants_ChemicalGWP_Data(), Table_RefrigerantChemicalGWP[[#Headers],[Gas]], 0)</f>
        <v>CF4</v>
      </c>
      <c r="F35" s="27" cm="1">
        <f t="array" ref="F35">Common_InputFunctions.Utility_DisplayArrayInTable(Refrigerants_SourceData.Refrigerants_ChemicalGWP_Data(), Table_RefrigerantChemicalGWP[[#Headers],[Gas]], 0)</f>
        <v>6630</v>
      </c>
      <c r="G35" s="27" t="str" cm="1">
        <f t="array" ref="G35">Common_InputFunctions.Utility_DisplayArrayInTable(Refrigerants_SourceData.Refrigerants_ChemicalGWP_Data(), Table_RefrigerantChemicalGWP[[#Headers],[Gas]], 0)</f>
        <v>PFC-14</v>
      </c>
      <c r="H35" s="66" t="str" cm="1">
        <f t="array" ref="H35">Common_InputFunctions.Utility_DisplayArrayInTable(Refrigerants_SourceData.Refrigerants_ChemicalGWP_Data(), Table_RefrigerantChemicalGWP[[#Headers],[Gas]], 0)</f>
        <v/>
      </c>
      <c r="I35" s="64"/>
      <c r="J35" s="64"/>
      <c r="K35" s="64"/>
      <c r="L35" s="64"/>
      <c r="M35" s="64"/>
      <c r="N35" s="64"/>
      <c r="O35" s="64"/>
      <c r="P35" s="64"/>
      <c r="Q35" s="64"/>
    </row>
    <row r="36" spans="4:17" ht="20.100000000000001" customHeight="1" x14ac:dyDescent="0.25">
      <c r="D36" s="66" t="str" cm="1">
        <f t="array" ref="D36">Common_InputFunctions.Utility_DisplayArrayInTable(Refrigerants_SourceData.Refrigerants_ChemicalGWP_Data(), Table_RefrigerantChemicalGWP[[#Headers],[Gas]], 0)</f>
        <v>PFC-116 Perfluoroethane (hexafluoroethane)</v>
      </c>
      <c r="E36" s="27" t="str" cm="1">
        <f t="array" ref="E36">Common_InputFunctions.Utility_DisplayArrayInTable(Refrigerants_SourceData.Refrigerants_ChemicalGWP_Data(), Table_RefrigerantChemicalGWP[[#Headers],[Gas]], 0)</f>
        <v>C2F6</v>
      </c>
      <c r="F36" s="27" cm="1">
        <f t="array" ref="F36">Common_InputFunctions.Utility_DisplayArrayInTable(Refrigerants_SourceData.Refrigerants_ChemicalGWP_Data(), Table_RefrigerantChemicalGWP[[#Headers],[Gas]], 0)</f>
        <v>11100</v>
      </c>
      <c r="G36" s="27" t="str" cm="1">
        <f t="array" ref="G36">Common_InputFunctions.Utility_DisplayArrayInTable(Refrigerants_SourceData.Refrigerants_ChemicalGWP_Data(), Table_RefrigerantChemicalGWP[[#Headers],[Gas]], 0)</f>
        <v>PFC-116</v>
      </c>
      <c r="H36" s="66" t="str" cm="1">
        <f t="array" ref="H36">Common_InputFunctions.Utility_DisplayArrayInTable(Refrigerants_SourceData.Refrigerants_ChemicalGWP_Data(), Table_RefrigerantChemicalGWP[[#Headers],[Gas]], 0)</f>
        <v/>
      </c>
      <c r="I36" s="64"/>
      <c r="J36" s="64"/>
      <c r="K36" s="64"/>
      <c r="L36" s="64"/>
      <c r="M36" s="64"/>
      <c r="N36" s="64"/>
      <c r="O36" s="64"/>
      <c r="P36" s="64"/>
      <c r="Q36" s="64"/>
    </row>
    <row r="37" spans="4:17" ht="20.100000000000001" customHeight="1" x14ac:dyDescent="0.25">
      <c r="D37" s="66" t="str" cm="1">
        <f t="array" ref="D37">Common_InputFunctions.Utility_DisplayArrayInTable(Refrigerants_SourceData.Refrigerants_ChemicalGWP_Data(), Table_RefrigerantChemicalGWP[[#Headers],[Gas]], 0)</f>
        <v>PFC-218 Perfluoropropane</v>
      </c>
      <c r="E37" s="27" t="str" cm="1">
        <f t="array" ref="E37">Common_InputFunctions.Utility_DisplayArrayInTable(Refrigerants_SourceData.Refrigerants_ChemicalGWP_Data(), Table_RefrigerantChemicalGWP[[#Headers],[Gas]], 0)</f>
        <v>C3F8</v>
      </c>
      <c r="F37" s="27" cm="1">
        <f t="array" ref="F37">Common_InputFunctions.Utility_DisplayArrayInTable(Refrigerants_SourceData.Refrigerants_ChemicalGWP_Data(), Table_RefrigerantChemicalGWP[[#Headers],[Gas]], 0)</f>
        <v>8900</v>
      </c>
      <c r="G37" s="27" t="str" cm="1">
        <f t="array" ref="G37">Common_InputFunctions.Utility_DisplayArrayInTable(Refrigerants_SourceData.Refrigerants_ChemicalGWP_Data(), Table_RefrigerantChemicalGWP[[#Headers],[Gas]], 0)</f>
        <v>PFC-218</v>
      </c>
      <c r="H37" s="66" t="str" cm="1">
        <f t="array" ref="H37">Common_InputFunctions.Utility_DisplayArrayInTable(Refrigerants_SourceData.Refrigerants_ChemicalGWP_Data(), Table_RefrigerantChemicalGWP[[#Headers],[Gas]], 0)</f>
        <v/>
      </c>
      <c r="I37" s="64"/>
      <c r="J37" s="64"/>
      <c r="K37" s="64"/>
      <c r="L37" s="64"/>
      <c r="M37" s="64"/>
      <c r="N37" s="64"/>
      <c r="O37" s="64"/>
      <c r="P37" s="64"/>
      <c r="Q37" s="64"/>
    </row>
    <row r="38" spans="4:17" ht="20.100000000000001" customHeight="1" x14ac:dyDescent="0.25">
      <c r="D38" s="66" t="str" cm="1">
        <f t="array" ref="D38">Common_InputFunctions.Utility_DisplayArrayInTable(Refrigerants_SourceData.Refrigerants_ChemicalGWP_Data(), Table_RefrigerantChemicalGWP[[#Headers],[Gas]], 0)</f>
        <v>PFC-31-10 Perfluorobutane</v>
      </c>
      <c r="E38" s="27" t="str" cm="1">
        <f t="array" ref="E38">Common_InputFunctions.Utility_DisplayArrayInTable(Refrigerants_SourceData.Refrigerants_ChemicalGWP_Data(), Table_RefrigerantChemicalGWP[[#Headers],[Gas]], 0)</f>
        <v>C4F10</v>
      </c>
      <c r="F38" s="27" cm="1">
        <f t="array" ref="F38">Common_InputFunctions.Utility_DisplayArrayInTable(Refrigerants_SourceData.Refrigerants_ChemicalGWP_Data(), Table_RefrigerantChemicalGWP[[#Headers],[Gas]], 0)</f>
        <v>9200</v>
      </c>
      <c r="G38" s="27" t="str" cm="1">
        <f t="array" ref="G38">Common_InputFunctions.Utility_DisplayArrayInTable(Refrigerants_SourceData.Refrigerants_ChemicalGWP_Data(), Table_RefrigerantChemicalGWP[[#Headers],[Gas]], 0)</f>
        <v>PFC-31-10</v>
      </c>
      <c r="H38" s="66" t="str" cm="1">
        <f t="array" ref="H38">Common_InputFunctions.Utility_DisplayArrayInTable(Refrigerants_SourceData.Refrigerants_ChemicalGWP_Data(), Table_RefrigerantChemicalGWP[[#Headers],[Gas]], 0)</f>
        <v/>
      </c>
      <c r="I38" s="64"/>
      <c r="J38" s="64"/>
      <c r="K38" s="64"/>
      <c r="L38" s="64"/>
      <c r="M38" s="64"/>
      <c r="N38" s="64"/>
      <c r="O38" s="64"/>
      <c r="P38" s="64"/>
      <c r="Q38" s="64"/>
    </row>
    <row r="39" spans="4:17" ht="20.100000000000001" customHeight="1" x14ac:dyDescent="0.25">
      <c r="D39" s="66" t="str" cm="1">
        <f t="array" ref="D39">Common_InputFunctions.Utility_DisplayArrayInTable(Refrigerants_SourceData.Refrigerants_ChemicalGWP_Data(), Table_RefrigerantChemicalGWP[[#Headers],[Gas]], 0)</f>
        <v>PFC-318 Perfluorocyclobutane</v>
      </c>
      <c r="E39" s="27" t="str" cm="1">
        <f t="array" ref="E39">Common_InputFunctions.Utility_DisplayArrayInTable(Refrigerants_SourceData.Refrigerants_ChemicalGWP_Data(), Table_RefrigerantChemicalGWP[[#Headers],[Gas]], 0)</f>
        <v>c-C4F8</v>
      </c>
      <c r="F39" s="27" cm="1">
        <f t="array" ref="F39">Common_InputFunctions.Utility_DisplayArrayInTable(Refrigerants_SourceData.Refrigerants_ChemicalGWP_Data(), Table_RefrigerantChemicalGWP[[#Headers],[Gas]], 0)</f>
        <v>9540</v>
      </c>
      <c r="G39" s="27" t="str" cm="1">
        <f t="array" ref="G39">Common_InputFunctions.Utility_DisplayArrayInTable(Refrigerants_SourceData.Refrigerants_ChemicalGWP_Data(), Table_RefrigerantChemicalGWP[[#Headers],[Gas]], 0)</f>
        <v>PFC-318</v>
      </c>
      <c r="H39" s="66" t="str" cm="1">
        <f t="array" ref="H39">Common_InputFunctions.Utility_DisplayArrayInTable(Refrigerants_SourceData.Refrigerants_ChemicalGWP_Data(), Table_RefrigerantChemicalGWP[[#Headers],[Gas]], 0)</f>
        <v/>
      </c>
      <c r="I39" s="64"/>
      <c r="J39" s="64"/>
      <c r="K39" s="64"/>
      <c r="L39" s="64"/>
      <c r="M39" s="64"/>
      <c r="N39" s="64"/>
      <c r="O39" s="64"/>
      <c r="P39" s="64"/>
      <c r="Q39" s="64"/>
    </row>
    <row r="40" spans="4:17" ht="20.100000000000001" customHeight="1" x14ac:dyDescent="0.25">
      <c r="D40" s="66" t="str" cm="1">
        <f t="array" ref="D40">Common_InputFunctions.Utility_DisplayArrayInTable(Refrigerants_SourceData.Refrigerants_ChemicalGWP_Data(), Table_RefrigerantChemicalGWP[[#Headers],[Gas]], 0)</f>
        <v>PFC-41-12 Perfluoropentane</v>
      </c>
      <c r="E40" s="27" t="str" cm="1">
        <f t="array" ref="E40">Common_InputFunctions.Utility_DisplayArrayInTable(Refrigerants_SourceData.Refrigerants_ChemicalGWP_Data(), Table_RefrigerantChemicalGWP[[#Headers],[Gas]], 0)</f>
        <v>C5F12</v>
      </c>
      <c r="F40" s="27" cm="1">
        <f t="array" ref="F40">Common_InputFunctions.Utility_DisplayArrayInTable(Refrigerants_SourceData.Refrigerants_ChemicalGWP_Data(), Table_RefrigerantChemicalGWP[[#Headers],[Gas]], 0)</f>
        <v>8550</v>
      </c>
      <c r="G40" s="27" t="str" cm="1">
        <f t="array" ref="G40">Common_InputFunctions.Utility_DisplayArrayInTable(Refrigerants_SourceData.Refrigerants_ChemicalGWP_Data(), Table_RefrigerantChemicalGWP[[#Headers],[Gas]], 0)</f>
        <v>PFC-41-12</v>
      </c>
      <c r="H40" s="66" t="str" cm="1">
        <f t="array" ref="H40">Common_InputFunctions.Utility_DisplayArrayInTable(Refrigerants_SourceData.Refrigerants_ChemicalGWP_Data(), Table_RefrigerantChemicalGWP[[#Headers],[Gas]], 0)</f>
        <v/>
      </c>
      <c r="I40" s="64"/>
      <c r="J40" s="64"/>
      <c r="K40" s="64"/>
      <c r="L40" s="64"/>
      <c r="M40" s="64"/>
      <c r="N40" s="64"/>
      <c r="O40" s="64"/>
      <c r="P40" s="64"/>
      <c r="Q40" s="64"/>
    </row>
    <row r="41" spans="4:17" ht="20.100000000000001" customHeight="1" x14ac:dyDescent="0.25">
      <c r="D41" s="66" t="str" cm="1">
        <f t="array" ref="D41">Common_InputFunctions.Utility_DisplayArrayInTable(Refrigerants_SourceData.Refrigerants_ChemicalGWP_Data(), Table_RefrigerantChemicalGWP[[#Headers],[Gas]], 0)</f>
        <v>PFC-51-14 Perfluorohexane</v>
      </c>
      <c r="E41" s="27" t="str" cm="1">
        <f t="array" ref="E41">Common_InputFunctions.Utility_DisplayArrayInTable(Refrigerants_SourceData.Refrigerants_ChemicalGWP_Data(), Table_RefrigerantChemicalGWP[[#Headers],[Gas]], 0)</f>
        <v>C6F14</v>
      </c>
      <c r="F41" s="27" cm="1">
        <f t="array" ref="F41">Common_InputFunctions.Utility_DisplayArrayInTable(Refrigerants_SourceData.Refrigerants_ChemicalGWP_Data(), Table_RefrigerantChemicalGWP[[#Headers],[Gas]], 0)</f>
        <v>7910</v>
      </c>
      <c r="G41" s="27" t="str" cm="1">
        <f t="array" ref="G41">Common_InputFunctions.Utility_DisplayArrayInTable(Refrigerants_SourceData.Refrigerants_ChemicalGWP_Data(), Table_RefrigerantChemicalGWP[[#Headers],[Gas]], 0)</f>
        <v>PFC-51-14</v>
      </c>
      <c r="H41" s="66" t="str" cm="1">
        <f t="array" ref="H41">Common_InputFunctions.Utility_DisplayArrayInTable(Refrigerants_SourceData.Refrigerants_ChemicalGWP_Data(), Table_RefrigerantChemicalGWP[[#Headers],[Gas]], 0)</f>
        <v/>
      </c>
      <c r="I41" s="64"/>
      <c r="J41" s="64"/>
      <c r="K41" s="64"/>
      <c r="L41" s="64"/>
      <c r="M41" s="64"/>
      <c r="N41" s="64"/>
      <c r="O41" s="64"/>
      <c r="P41" s="64"/>
      <c r="Q41" s="64"/>
    </row>
    <row r="42" spans="4:17" ht="20.100000000000001" customHeight="1" x14ac:dyDescent="0.25">
      <c r="D42" s="66" t="str" cm="1">
        <f t="array" ref="D42">Common_InputFunctions.Utility_DisplayArrayInTable(Refrigerants_SourceData.Refrigerants_ChemicalGWP_Data(), Table_RefrigerantChemicalGWP[[#Headers],[Gas]], 0)</f>
        <v>PFC-91-18 Perflunafene</v>
      </c>
      <c r="E42" s="27" t="str" cm="1">
        <f t="array" ref="E42">Common_InputFunctions.Utility_DisplayArrayInTable(Refrigerants_SourceData.Refrigerants_ChemicalGWP_Data(), Table_RefrigerantChemicalGWP[[#Headers],[Gas]], 0)</f>
        <v>C10F18</v>
      </c>
      <c r="F42" s="27" cm="1">
        <f t="array" ref="F42">Common_InputFunctions.Utility_DisplayArrayInTable(Refrigerants_SourceData.Refrigerants_ChemicalGWP_Data(), Table_RefrigerantChemicalGWP[[#Headers],[Gas]], 0)</f>
        <v>7190</v>
      </c>
      <c r="G42" s="27" t="str" cm="1">
        <f t="array" ref="G42">Common_InputFunctions.Utility_DisplayArrayInTable(Refrigerants_SourceData.Refrigerants_ChemicalGWP_Data(), Table_RefrigerantChemicalGWP[[#Headers],[Gas]], 0)</f>
        <v>PFC-91-18</v>
      </c>
      <c r="H42" s="66" t="str" cm="1">
        <f t="array" ref="H42">Common_InputFunctions.Utility_DisplayArrayInTable(Refrigerants_SourceData.Refrigerants_ChemicalGWP_Data(), Table_RefrigerantChemicalGWP[[#Headers],[Gas]], 0)</f>
        <v/>
      </c>
      <c r="I42" s="64"/>
      <c r="J42" s="64"/>
      <c r="K42" s="64"/>
      <c r="L42" s="64"/>
      <c r="M42" s="64"/>
      <c r="N42" s="64"/>
      <c r="O42" s="64"/>
      <c r="P42" s="64"/>
      <c r="Q42" s="64"/>
    </row>
    <row r="43" spans="4:17" ht="20.100000000000001" customHeight="1" x14ac:dyDescent="0.25">
      <c r="D43" s="66" t="str" cm="1">
        <f t="array" ref="D43">Common_InputFunctions.Utility_DisplayArrayInTable(Refrigerants_SourceData.Refrigerants_ChemicalGWP_Data(), Table_RefrigerantChemicalGWP[[#Headers],[Gas]], 0)</f>
        <v>CFC-12</v>
      </c>
      <c r="E43" s="66" t="str" cm="1">
        <f t="array" ref="E43">Common_InputFunctions.Utility_DisplayArrayInTable(Refrigerants_SourceData.Refrigerants_ChemicalGWP_Data(), Table_RefrigerantChemicalGWP[[#Headers],[Gas]], 0)</f>
        <v>CCl2F2</v>
      </c>
      <c r="F43" s="66" cm="1">
        <f t="array" ref="F43">Common_InputFunctions.Utility_DisplayArrayInTable(Refrigerants_SourceData.Refrigerants_ChemicalGWP_Data(), Table_RefrigerantChemicalGWP[[#Headers],[Gas]], 0)</f>
        <v>10200</v>
      </c>
      <c r="G43" s="66" t="str" cm="1">
        <f t="array" ref="G43">Common_InputFunctions.Utility_DisplayArrayInTable(Refrigerants_SourceData.Refrigerants_ChemicalGWP_Data(), Table_RefrigerantChemicalGWP[[#Headers],[Gas]], 0)</f>
        <v>CFC-12</v>
      </c>
      <c r="H43" s="66" t="str" cm="1">
        <f t="array" ref="H43">Common_InputFunctions.Utility_DisplayArrayInTable(Refrigerants_SourceData.Refrigerants_ChemicalGWP_Data(), Table_RefrigerantChemicalGWP[[#Headers],[Gas]], 0)</f>
        <v>IPCC Global Warming Potential Values v2.0 - (AR5)</v>
      </c>
      <c r="I43" s="64"/>
      <c r="J43" s="64"/>
      <c r="K43" s="64"/>
      <c r="L43" s="64"/>
      <c r="M43" s="64"/>
      <c r="N43" s="64"/>
      <c r="O43" s="64"/>
      <c r="P43" s="64"/>
      <c r="Q43" s="64"/>
    </row>
    <row r="44" spans="4:17" ht="20.100000000000001" customHeight="1" x14ac:dyDescent="0.25">
      <c r="D44" s="66" t="str" cm="1">
        <f t="array" ref="D44">Common_InputFunctions.Utility_DisplayArrayInTable(Refrigerants_SourceData.Refrigerants_ChemicalGWP_Data(), Table_RefrigerantChemicalGWP[[#Headers],[Gas]], 0)</f>
        <v>CFC-13</v>
      </c>
      <c r="E44" s="66" t="str" cm="1">
        <f t="array" ref="E44">Common_InputFunctions.Utility_DisplayArrayInTable(Refrigerants_SourceData.Refrigerants_ChemicalGWP_Data(), Table_RefrigerantChemicalGWP[[#Headers],[Gas]], 0)</f>
        <v>CClF3</v>
      </c>
      <c r="F44" s="66" cm="1">
        <f t="array" ref="F44">Common_InputFunctions.Utility_DisplayArrayInTable(Refrigerants_SourceData.Refrigerants_ChemicalGWP_Data(), Table_RefrigerantChemicalGWP[[#Headers],[Gas]], 0)</f>
        <v>13900</v>
      </c>
      <c r="G44" s="66" t="str" cm="1">
        <f t="array" ref="G44">Common_InputFunctions.Utility_DisplayArrayInTable(Refrigerants_SourceData.Refrigerants_ChemicalGWP_Data(), Table_RefrigerantChemicalGWP[[#Headers],[Gas]], 0)</f>
        <v>CFC-13</v>
      </c>
      <c r="H44" s="66" t="str" cm="1">
        <f t="array" ref="H44">Common_InputFunctions.Utility_DisplayArrayInTable(Refrigerants_SourceData.Refrigerants_ChemicalGWP_Data(), Table_RefrigerantChemicalGWP[[#Headers],[Gas]], 0)</f>
        <v>IPCC Global Warming Potential Values v2.0 - (AR5)</v>
      </c>
      <c r="I44" s="64"/>
      <c r="J44" s="64"/>
      <c r="K44" s="64"/>
      <c r="L44" s="64"/>
      <c r="M44" s="64"/>
      <c r="N44" s="64"/>
      <c r="O44" s="64"/>
      <c r="P44" s="64"/>
      <c r="Q44" s="64"/>
    </row>
    <row r="45" spans="4:17" ht="20.100000000000001" customHeight="1" x14ac:dyDescent="0.25">
      <c r="D45" s="66" t="str" cm="1">
        <f t="array" ref="D45">Common_InputFunctions.Utility_DisplayArrayInTable(Refrigerants_SourceData.Refrigerants_ChemicalGWP_Data(), Table_RefrigerantChemicalGWP[[#Headers],[Gas]], 0)</f>
        <v>CFC-114</v>
      </c>
      <c r="E45" s="66" t="str" cm="1">
        <f t="array" ref="E45">Common_InputFunctions.Utility_DisplayArrayInTable(Refrigerants_SourceData.Refrigerants_ChemicalGWP_Data(), Table_RefrigerantChemicalGWP[[#Headers],[Gas]], 0)</f>
        <v>CClF2CClF2</v>
      </c>
      <c r="F45" s="66" cm="1">
        <f t="array" ref="F45">Common_InputFunctions.Utility_DisplayArrayInTable(Refrigerants_SourceData.Refrigerants_ChemicalGWP_Data(), Table_RefrigerantChemicalGWP[[#Headers],[Gas]], 0)</f>
        <v>8590</v>
      </c>
      <c r="G45" s="66" t="str" cm="1">
        <f t="array" ref="G45">Common_InputFunctions.Utility_DisplayArrayInTable(Refrigerants_SourceData.Refrigerants_ChemicalGWP_Data(), Table_RefrigerantChemicalGWP[[#Headers],[Gas]], 0)</f>
        <v>CFC-114</v>
      </c>
      <c r="H45" s="66" t="str" cm="1">
        <f t="array" ref="H45">Common_InputFunctions.Utility_DisplayArrayInTable(Refrigerants_SourceData.Refrigerants_ChemicalGWP_Data(), Table_RefrigerantChemicalGWP[[#Headers],[Gas]], 0)</f>
        <v>IPCC Global Warming Potential Values v2.0 - (AR5)</v>
      </c>
      <c r="I45" s="64"/>
      <c r="J45" s="64"/>
      <c r="K45" s="64"/>
      <c r="L45" s="64"/>
      <c r="M45" s="64"/>
      <c r="N45" s="64"/>
      <c r="O45" s="64"/>
      <c r="P45" s="64"/>
      <c r="Q45" s="64"/>
    </row>
    <row r="46" spans="4:17" ht="20.100000000000001" customHeight="1" x14ac:dyDescent="0.25">
      <c r="D46" s="66" t="str" cm="1">
        <f t="array" ref="D46">Common_InputFunctions.Utility_DisplayArrayInTable(Refrigerants_SourceData.Refrigerants_ChemicalGWP_Data(), Table_RefrigerantChemicalGWP[[#Headers],[Gas]], 0)</f>
        <v>CFC-115</v>
      </c>
      <c r="E46" s="66" t="str" cm="1">
        <f t="array" ref="E46">Common_InputFunctions.Utility_DisplayArrayInTable(Refrigerants_SourceData.Refrigerants_ChemicalGWP_Data(), Table_RefrigerantChemicalGWP[[#Headers],[Gas]], 0)</f>
        <v>CClF2CF3</v>
      </c>
      <c r="F46" s="66" cm="1">
        <f t="array" ref="F46">Common_InputFunctions.Utility_DisplayArrayInTable(Refrigerants_SourceData.Refrigerants_ChemicalGWP_Data(), Table_RefrigerantChemicalGWP[[#Headers],[Gas]], 0)</f>
        <v>7670</v>
      </c>
      <c r="G46" s="66" t="str" cm="1">
        <f t="array" ref="G46">Common_InputFunctions.Utility_DisplayArrayInTable(Refrigerants_SourceData.Refrigerants_ChemicalGWP_Data(), Table_RefrigerantChemicalGWP[[#Headers],[Gas]], 0)</f>
        <v>CFC-115</v>
      </c>
      <c r="H46" s="66" t="str" cm="1">
        <f t="array" ref="H46">Common_InputFunctions.Utility_DisplayArrayInTable(Refrigerants_SourceData.Refrigerants_ChemicalGWP_Data(), Table_RefrigerantChemicalGWP[[#Headers],[Gas]], 0)</f>
        <v>IPCC Global Warming Potential Values v2.0 - (AR5)</v>
      </c>
      <c r="I46" s="64"/>
      <c r="J46" s="64"/>
      <c r="K46" s="64"/>
      <c r="L46" s="64"/>
      <c r="M46" s="64"/>
      <c r="N46" s="64"/>
      <c r="O46" s="64"/>
      <c r="P46" s="64"/>
      <c r="Q46" s="64"/>
    </row>
    <row r="47" spans="4:17" ht="20.100000000000001" customHeight="1" x14ac:dyDescent="0.25">
      <c r="D47" s="64"/>
      <c r="E47" s="64"/>
      <c r="F47" s="64"/>
      <c r="G47" s="64"/>
      <c r="H47" s="64"/>
      <c r="I47" s="64"/>
      <c r="J47" s="64"/>
      <c r="K47" s="64"/>
      <c r="L47" s="64"/>
      <c r="M47" s="64"/>
      <c r="N47" s="64"/>
      <c r="O47" s="64"/>
      <c r="P47" s="64"/>
      <c r="Q47" s="64"/>
    </row>
    <row r="48" spans="4:17" ht="20.100000000000001" customHeight="1" x14ac:dyDescent="0.25">
      <c r="D48" s="67"/>
      <c r="E48" s="67"/>
      <c r="F48" s="67"/>
      <c r="G48" s="67"/>
      <c r="H48" s="68"/>
      <c r="I48" s="68"/>
      <c r="J48" s="68"/>
      <c r="K48" s="68"/>
      <c r="L48" s="68"/>
      <c r="M48" s="68"/>
      <c r="N48" s="68"/>
      <c r="O48" s="68"/>
      <c r="P48" s="68"/>
      <c r="Q48" s="68"/>
    </row>
    <row r="49" spans="4:17" ht="20.100000000000001" customHeight="1" x14ac:dyDescent="0.25">
      <c r="D49" s="5" t="str" cm="1">
        <f t="array" ref="D49">Refrigerants_SourceData.Refrigerants_ChemicalBlends_Title()</f>
        <v>Blended refrigerants (many containing HFCS and/or PFCS)</v>
      </c>
      <c r="H49" s="64"/>
      <c r="I49" s="64"/>
      <c r="J49" s="64"/>
      <c r="K49" s="64"/>
      <c r="L49" s="64"/>
      <c r="M49" s="64"/>
      <c r="N49" s="64"/>
      <c r="O49" s="64"/>
      <c r="P49" s="64"/>
      <c r="Q49" s="64"/>
    </row>
    <row r="50" spans="4:17" ht="20.100000000000001" customHeight="1" x14ac:dyDescent="0.25">
      <c r="D50" s="4" t="str" cm="1">
        <f t="array" ref="D50">Refrigerants_SourceData.Refrigerants_ChemicalBlends_Source()</f>
        <v>Australian National Greenhouse Accounts Factors 2025 - Appendix 2 - Table 24</v>
      </c>
      <c r="E50" s="64"/>
      <c r="F50" s="64"/>
      <c r="G50" s="64"/>
      <c r="H50" s="64"/>
      <c r="I50" s="64"/>
      <c r="J50" s="64"/>
      <c r="K50" s="64"/>
      <c r="L50" s="64"/>
      <c r="M50" s="64"/>
      <c r="N50" s="64"/>
      <c r="O50" s="64"/>
      <c r="P50" s="64"/>
      <c r="Q50" s="64"/>
    </row>
    <row r="51" spans="4:17" ht="20.100000000000001" customHeight="1" x14ac:dyDescent="0.25">
      <c r="D51" s="32" t="str" cm="1">
        <f t="array" ref="D51">"⚠️" &amp; Refrigerants_SourceData.Refrigerants_ChemicalBlends_Variation()</f>
        <v>⚠️VARIATION OF SOURCE DATA: Fixed typo - changed HC600a to HC-600a for blend R-414B. Fixed typo for blend R-405A - Changed HCFC142b to HCFC-142b.</v>
      </c>
      <c r="H51" s="64"/>
      <c r="I51" s="64"/>
      <c r="J51" s="64"/>
      <c r="K51" s="64"/>
      <c r="L51" s="64"/>
      <c r="M51" s="64"/>
      <c r="N51" s="64"/>
      <c r="O51" s="64"/>
      <c r="P51" s="64"/>
      <c r="Q51" s="64"/>
    </row>
    <row r="52" spans="4:17" ht="20.100000000000001" customHeight="1" x14ac:dyDescent="0.25">
      <c r="D52" s="66" t="s">
        <v>119</v>
      </c>
      <c r="E52" s="66" t="s">
        <v>120</v>
      </c>
      <c r="F52" s="66" t="s">
        <v>121</v>
      </c>
      <c r="G52" s="64"/>
      <c r="H52" s="64"/>
      <c r="I52" s="64"/>
      <c r="J52" s="64"/>
      <c r="K52" s="64"/>
      <c r="L52" s="64"/>
      <c r="M52" s="64"/>
      <c r="N52" s="64"/>
      <c r="O52" s="64"/>
      <c r="P52" s="64"/>
      <c r="Q52" s="64"/>
    </row>
    <row r="53" spans="4:17" ht="20.100000000000001" customHeight="1" x14ac:dyDescent="0.25">
      <c r="D53" s="66" t="str" cm="1">
        <f t="array" ref="D53">Common_InputFunctions.Utility_DisplayArrayInTable(Refrigerants_SourceData.Refrigerants_ChemicalBlends_Data(), Table_RefrigerantBlends[[#Headers],[Blend]], 0)</f>
        <v>R-400</v>
      </c>
      <c r="E53" s="66" t="str" cm="1">
        <f t="array" ref="E53">Common_InputFunctions.Utility_DisplayArrayInTable(Refrigerants_SourceData.Refrigerants_ChemicalBlends_Data(), Table_RefrigerantBlends[[#Headers],[Blend]], 0)</f>
        <v>CFC-12/CFC-114</v>
      </c>
      <c r="F53" s="66" t="str" cm="1">
        <f t="array" ref="F53">Common_InputFunctions.Utility_DisplayArrayInTable(Refrigerants_SourceData.Refrigerants_ChemicalBlends_Data(), Table_RefrigerantBlends[[#Headers],[Blend]], 0)</f>
        <v>R-400 can have various proportions of CFC-12 and CFC-114. The exact composition needs to be specified, e.g., R-400 (60/40).</v>
      </c>
      <c r="G53" s="64"/>
      <c r="H53" s="64"/>
      <c r="I53" s="64"/>
      <c r="J53" s="64"/>
      <c r="K53" s="64"/>
      <c r="L53" s="64"/>
      <c r="M53" s="64"/>
      <c r="N53" s="64"/>
      <c r="O53" s="64"/>
      <c r="P53" s="64"/>
      <c r="Q53" s="64"/>
    </row>
    <row r="54" spans="4:17" ht="20.100000000000001" customHeight="1" x14ac:dyDescent="0.25">
      <c r="D54" s="66" t="str" cm="1">
        <f t="array" ref="D54">Common_InputFunctions.Utility_DisplayArrayInTable(Refrigerants_SourceData.Refrigerants_ChemicalBlends_Data(), Table_RefrigerantBlends[[#Headers],[Blend]], 0)</f>
        <v>R-401A</v>
      </c>
      <c r="E54" s="66" t="str" cm="1">
        <f t="array" ref="E54">Common_InputFunctions.Utility_DisplayArrayInTable(Refrigerants_SourceData.Refrigerants_ChemicalBlends_Data(), Table_RefrigerantBlends[[#Headers],[Blend]], 0)</f>
        <v>HCFC-22/HFC-152a/HCFC-124</v>
      </c>
      <c r="F54" s="66" t="str" cm="1">
        <f t="array" ref="F54">Common_InputFunctions.Utility_DisplayArrayInTable(Refrigerants_SourceData.Refrigerants_ChemicalBlends_Data(), Table_RefrigerantBlends[[#Headers],[Blend]], 0)</f>
        <v>(53.0/13.0/34.0)</v>
      </c>
      <c r="G54" s="64"/>
      <c r="H54" s="64"/>
      <c r="I54" s="64"/>
      <c r="J54" s="64"/>
      <c r="K54" s="64"/>
      <c r="L54" s="64"/>
      <c r="M54" s="64"/>
      <c r="N54" s="64"/>
      <c r="O54" s="64"/>
      <c r="P54" s="64"/>
      <c r="Q54" s="64"/>
    </row>
    <row r="55" spans="4:17" ht="20.100000000000001" customHeight="1" x14ac:dyDescent="0.25">
      <c r="D55" s="66" t="str" cm="1">
        <f t="array" ref="D55">Common_InputFunctions.Utility_DisplayArrayInTable(Refrigerants_SourceData.Refrigerants_ChemicalBlends_Data(), Table_RefrigerantBlends[[#Headers],[Blend]], 0)</f>
        <v>R-401B</v>
      </c>
      <c r="E55" s="66" t="str" cm="1">
        <f t="array" ref="E55">Common_InputFunctions.Utility_DisplayArrayInTable(Refrigerants_SourceData.Refrigerants_ChemicalBlends_Data(), Table_RefrigerantBlends[[#Headers],[Blend]], 0)</f>
        <v>HCFC-22/HFC-152a/HCFC-124</v>
      </c>
      <c r="F55" s="66" t="str" cm="1">
        <f t="array" ref="F55">Common_InputFunctions.Utility_DisplayArrayInTable(Refrigerants_SourceData.Refrigerants_ChemicalBlends_Data(), Table_RefrigerantBlends[[#Headers],[Blend]], 0)</f>
        <v>(61.0/11.0/28.0)</v>
      </c>
      <c r="G55" s="64"/>
      <c r="H55" s="64"/>
      <c r="I55" s="64"/>
      <c r="J55" s="64"/>
      <c r="K55" s="64"/>
      <c r="L55" s="64"/>
      <c r="M55" s="64"/>
      <c r="N55" s="64"/>
      <c r="O55" s="64"/>
      <c r="P55" s="64"/>
      <c r="Q55" s="64"/>
    </row>
    <row r="56" spans="4:17" ht="20.100000000000001" customHeight="1" x14ac:dyDescent="0.25">
      <c r="D56" s="66" t="str" cm="1">
        <f t="array" ref="D56">Common_InputFunctions.Utility_DisplayArrayInTable(Refrigerants_SourceData.Refrigerants_ChemicalBlends_Data(), Table_RefrigerantBlends[[#Headers],[Blend]], 0)</f>
        <v>R-401C</v>
      </c>
      <c r="E56" s="66" t="str" cm="1">
        <f t="array" ref="E56">Common_InputFunctions.Utility_DisplayArrayInTable(Refrigerants_SourceData.Refrigerants_ChemicalBlends_Data(), Table_RefrigerantBlends[[#Headers],[Blend]], 0)</f>
        <v>HCFC-22/HFC-152a/HCFC-124</v>
      </c>
      <c r="F56" s="66" t="str" cm="1">
        <f t="array" ref="F56">Common_InputFunctions.Utility_DisplayArrayInTable(Refrigerants_SourceData.Refrigerants_ChemicalBlends_Data(), Table_RefrigerantBlends[[#Headers],[Blend]], 0)</f>
        <v>(33.0/15.0/52.0)</v>
      </c>
      <c r="G56" s="64"/>
      <c r="H56" s="64"/>
      <c r="I56" s="64"/>
      <c r="J56" s="64"/>
      <c r="K56" s="64"/>
      <c r="L56" s="64"/>
      <c r="M56" s="64"/>
      <c r="N56" s="64"/>
      <c r="O56" s="64"/>
      <c r="P56" s="64"/>
      <c r="Q56" s="64"/>
    </row>
    <row r="57" spans="4:17" ht="20.100000000000001" customHeight="1" x14ac:dyDescent="0.25">
      <c r="D57" s="66" t="str" cm="1">
        <f t="array" ref="D57">Common_InputFunctions.Utility_DisplayArrayInTable(Refrigerants_SourceData.Refrigerants_ChemicalBlends_Data(), Table_RefrigerantBlends[[#Headers],[Blend]], 0)</f>
        <v>R-402A</v>
      </c>
      <c r="E57" s="66" t="str" cm="1">
        <f t="array" ref="E57">Common_InputFunctions.Utility_DisplayArrayInTable(Refrigerants_SourceData.Refrigerants_ChemicalBlends_Data(), Table_RefrigerantBlends[[#Headers],[Blend]], 0)</f>
        <v>HFC-125/HC-290/HCFC-22</v>
      </c>
      <c r="F57" s="66" t="str" cm="1">
        <f t="array" ref="F57">Common_InputFunctions.Utility_DisplayArrayInTable(Refrigerants_SourceData.Refrigerants_ChemicalBlends_Data(), Table_RefrigerantBlends[[#Headers],[Blend]], 0)</f>
        <v>(60.0/2.0/38.0)</v>
      </c>
      <c r="G57" s="64"/>
      <c r="H57" s="64"/>
      <c r="I57" s="64"/>
      <c r="J57" s="64"/>
      <c r="K57" s="64"/>
      <c r="L57" s="64"/>
      <c r="M57" s="64"/>
      <c r="N57" s="64"/>
      <c r="O57" s="64"/>
      <c r="P57" s="64"/>
      <c r="Q57" s="64"/>
    </row>
    <row r="58" spans="4:17" ht="20.100000000000001" customHeight="1" x14ac:dyDescent="0.25">
      <c r="D58" s="66" t="str" cm="1">
        <f t="array" ref="D58">Common_InputFunctions.Utility_DisplayArrayInTable(Refrigerants_SourceData.Refrigerants_ChemicalBlends_Data(), Table_RefrigerantBlends[[#Headers],[Blend]], 0)</f>
        <v>R-402B</v>
      </c>
      <c r="E58" s="66" t="str" cm="1">
        <f t="array" ref="E58">Common_InputFunctions.Utility_DisplayArrayInTable(Refrigerants_SourceData.Refrigerants_ChemicalBlends_Data(), Table_RefrigerantBlends[[#Headers],[Blend]], 0)</f>
        <v>HFC-125/HC-290/HCFC-22</v>
      </c>
      <c r="F58" s="66" t="str" cm="1">
        <f t="array" ref="F58">Common_InputFunctions.Utility_DisplayArrayInTable(Refrigerants_SourceData.Refrigerants_ChemicalBlends_Data(), Table_RefrigerantBlends[[#Headers],[Blend]], 0)</f>
        <v>(38.0/2.0/60.0)</v>
      </c>
      <c r="G58" s="64"/>
      <c r="H58" s="64"/>
      <c r="I58" s="64"/>
      <c r="J58" s="64"/>
      <c r="K58" s="64"/>
      <c r="L58" s="64"/>
      <c r="M58" s="64"/>
      <c r="N58" s="64"/>
      <c r="O58" s="64"/>
      <c r="P58" s="64"/>
      <c r="Q58" s="64"/>
    </row>
    <row r="59" spans="4:17" ht="20.100000000000001" customHeight="1" x14ac:dyDescent="0.25">
      <c r="D59" s="66" t="str" cm="1">
        <f t="array" ref="D59">Common_InputFunctions.Utility_DisplayArrayInTable(Refrigerants_SourceData.Refrigerants_ChemicalBlends_Data(), Table_RefrigerantBlends[[#Headers],[Blend]], 0)</f>
        <v>R-403A</v>
      </c>
      <c r="E59" s="66" t="str" cm="1">
        <f t="array" ref="E59">Common_InputFunctions.Utility_DisplayArrayInTable(Refrigerants_SourceData.Refrigerants_ChemicalBlends_Data(), Table_RefrigerantBlends[[#Headers],[Blend]], 0)</f>
        <v>HC-290/HCFC-22/PFC-218</v>
      </c>
      <c r="F59" s="66" t="str" cm="1">
        <f t="array" ref="F59">Common_InputFunctions.Utility_DisplayArrayInTable(Refrigerants_SourceData.Refrigerants_ChemicalBlends_Data(), Table_RefrigerantBlends[[#Headers],[Blend]], 0)</f>
        <v>(5.0/75.0/20.0)</v>
      </c>
      <c r="G59" s="64"/>
      <c r="H59" s="64"/>
      <c r="I59" s="64"/>
      <c r="J59" s="64"/>
      <c r="K59" s="64"/>
      <c r="L59" s="64"/>
      <c r="M59" s="64"/>
      <c r="N59" s="64"/>
      <c r="O59" s="64"/>
      <c r="P59" s="64"/>
      <c r="Q59" s="64"/>
    </row>
    <row r="60" spans="4:17" ht="20.100000000000001" customHeight="1" x14ac:dyDescent="0.25">
      <c r="D60" s="66" t="str" cm="1">
        <f t="array" ref="D60">Common_InputFunctions.Utility_DisplayArrayInTable(Refrigerants_SourceData.Refrigerants_ChemicalBlends_Data(), Table_RefrigerantBlends[[#Headers],[Blend]], 0)</f>
        <v>R-403B</v>
      </c>
      <c r="E60" s="66" t="str" cm="1">
        <f t="array" ref="E60">Common_InputFunctions.Utility_DisplayArrayInTable(Refrigerants_SourceData.Refrigerants_ChemicalBlends_Data(), Table_RefrigerantBlends[[#Headers],[Blend]], 0)</f>
        <v>HC-290/HCFC-22/PFC-218</v>
      </c>
      <c r="F60" s="66" t="str" cm="1">
        <f t="array" ref="F60">Common_InputFunctions.Utility_DisplayArrayInTable(Refrigerants_SourceData.Refrigerants_ChemicalBlends_Data(), Table_RefrigerantBlends[[#Headers],[Blend]], 0)</f>
        <v>(5.0/56.0/39.0)</v>
      </c>
      <c r="G60" s="64"/>
      <c r="H60" s="64"/>
      <c r="I60" s="64"/>
      <c r="J60" s="64"/>
      <c r="K60" s="64"/>
      <c r="L60" s="64"/>
      <c r="M60" s="64"/>
      <c r="N60" s="64"/>
      <c r="O60" s="64"/>
      <c r="P60" s="64"/>
      <c r="Q60" s="64"/>
    </row>
    <row r="61" spans="4:17" ht="20.100000000000001" customHeight="1" x14ac:dyDescent="0.25">
      <c r="D61" s="66" t="str" cm="1">
        <f t="array" ref="D61">Common_InputFunctions.Utility_DisplayArrayInTable(Refrigerants_SourceData.Refrigerants_ChemicalBlends_Data(), Table_RefrigerantBlends[[#Headers],[Blend]], 0)</f>
        <v>R-404A</v>
      </c>
      <c r="E61" s="66" t="str" cm="1">
        <f t="array" ref="E61">Common_InputFunctions.Utility_DisplayArrayInTable(Refrigerants_SourceData.Refrigerants_ChemicalBlends_Data(), Table_RefrigerantBlends[[#Headers],[Blend]], 0)</f>
        <v>HFC-125/HFC-143a/HFC-134a</v>
      </c>
      <c r="F61" s="66" t="str" cm="1">
        <f t="array" ref="F61">Common_InputFunctions.Utility_DisplayArrayInTable(Refrigerants_SourceData.Refrigerants_ChemicalBlends_Data(), Table_RefrigerantBlends[[#Headers],[Blend]], 0)</f>
        <v>(44.0/52.0/4.0)</v>
      </c>
      <c r="G61" s="64"/>
      <c r="H61" s="64"/>
      <c r="I61" s="64"/>
      <c r="J61" s="64"/>
      <c r="K61" s="64"/>
      <c r="L61" s="64"/>
      <c r="M61" s="64"/>
      <c r="N61" s="64"/>
      <c r="O61" s="64"/>
      <c r="P61" s="64"/>
      <c r="Q61" s="64"/>
    </row>
    <row r="62" spans="4:17" ht="20.100000000000001" customHeight="1" x14ac:dyDescent="0.25">
      <c r="D62" s="66" t="str" cm="1">
        <f t="array" ref="D62">Common_InputFunctions.Utility_DisplayArrayInTable(Refrigerants_SourceData.Refrigerants_ChemicalBlends_Data(), Table_RefrigerantBlends[[#Headers],[Blend]], 0)</f>
        <v>R-405A</v>
      </c>
      <c r="E62" s="66" t="str" cm="1">
        <f t="array" ref="E62">Common_InputFunctions.Utility_DisplayArrayInTable(Refrigerants_SourceData.Refrigerants_ChemicalBlends_Data(), Table_RefrigerantBlends[[#Headers],[Blend]], 0)</f>
        <v>HCFC-22/ HFC-152a/HCFC-142b/PFC-318</v>
      </c>
      <c r="F62" s="66" t="str" cm="1">
        <f t="array" ref="F62">Common_InputFunctions.Utility_DisplayArrayInTable(Refrigerants_SourceData.Refrigerants_ChemicalBlends_Data(), Table_RefrigerantBlends[[#Headers],[Blend]], 0)</f>
        <v>(45.0/7.0/5.5/42.5)</v>
      </c>
      <c r="G62" s="64"/>
      <c r="H62" s="64"/>
      <c r="I62" s="64"/>
      <c r="J62" s="64"/>
      <c r="K62" s="64"/>
      <c r="L62" s="64"/>
      <c r="M62" s="64"/>
      <c r="N62" s="64"/>
      <c r="O62" s="64"/>
      <c r="P62" s="64"/>
      <c r="Q62" s="64"/>
    </row>
    <row r="63" spans="4:17" ht="20.100000000000001" customHeight="1" x14ac:dyDescent="0.25">
      <c r="D63" s="66" t="str" cm="1">
        <f t="array" ref="D63">Common_InputFunctions.Utility_DisplayArrayInTable(Refrigerants_SourceData.Refrigerants_ChemicalBlends_Data(), Table_RefrigerantBlends[[#Headers],[Blend]], 0)</f>
        <v>R-406A</v>
      </c>
      <c r="E63" s="66" t="str" cm="1">
        <f t="array" ref="E63">Common_InputFunctions.Utility_DisplayArrayInTable(Refrigerants_SourceData.Refrigerants_ChemicalBlends_Data(), Table_RefrigerantBlends[[#Headers],[Blend]], 0)</f>
        <v>HCFC-22/HC-600a/HCFC-142b</v>
      </c>
      <c r="F63" s="66" t="str" cm="1">
        <f t="array" ref="F63">Common_InputFunctions.Utility_DisplayArrayInTable(Refrigerants_SourceData.Refrigerants_ChemicalBlends_Data(), Table_RefrigerantBlends[[#Headers],[Blend]], 0)</f>
        <v>(55.0/14.0/41.0)</v>
      </c>
      <c r="G63" s="64"/>
      <c r="H63" s="64"/>
      <c r="I63" s="64"/>
      <c r="J63" s="64"/>
      <c r="K63" s="64"/>
      <c r="L63" s="64"/>
      <c r="M63" s="64"/>
      <c r="N63" s="64"/>
      <c r="O63" s="64"/>
      <c r="P63" s="64"/>
      <c r="Q63" s="64"/>
    </row>
    <row r="64" spans="4:17" ht="20.100000000000001" customHeight="1" x14ac:dyDescent="0.25">
      <c r="D64" s="66" t="str" cm="1">
        <f t="array" ref="D64">Common_InputFunctions.Utility_DisplayArrayInTable(Refrigerants_SourceData.Refrigerants_ChemicalBlends_Data(), Table_RefrigerantBlends[[#Headers],[Blend]], 0)</f>
        <v>R-407A</v>
      </c>
      <c r="E64" s="66" t="str" cm="1">
        <f t="array" ref="E64">Common_InputFunctions.Utility_DisplayArrayInTable(Refrigerants_SourceData.Refrigerants_ChemicalBlends_Data(), Table_RefrigerantBlends[[#Headers],[Blend]], 0)</f>
        <v>HFC-32/HFC-125/HFC-134a</v>
      </c>
      <c r="F64" s="66" t="str" cm="1">
        <f t="array" ref="F64">Common_InputFunctions.Utility_DisplayArrayInTable(Refrigerants_SourceData.Refrigerants_ChemicalBlends_Data(), Table_RefrigerantBlends[[#Headers],[Blend]], 0)</f>
        <v>(20.0/40.0/40.0)</v>
      </c>
      <c r="G64" s="64"/>
      <c r="H64" s="64"/>
      <c r="I64" s="64"/>
      <c r="J64" s="64"/>
      <c r="K64" s="64"/>
      <c r="L64" s="64"/>
      <c r="M64" s="64"/>
      <c r="N64" s="64"/>
      <c r="O64" s="64"/>
      <c r="P64" s="64"/>
      <c r="Q64" s="64"/>
    </row>
    <row r="65" spans="4:17" ht="20.100000000000001" customHeight="1" x14ac:dyDescent="0.25">
      <c r="D65" s="66" t="str" cm="1">
        <f t="array" ref="D65">Common_InputFunctions.Utility_DisplayArrayInTable(Refrigerants_SourceData.Refrigerants_ChemicalBlends_Data(), Table_RefrigerantBlends[[#Headers],[Blend]], 0)</f>
        <v>R-407B</v>
      </c>
      <c r="E65" s="66" t="str" cm="1">
        <f t="array" ref="E65">Common_InputFunctions.Utility_DisplayArrayInTable(Refrigerants_SourceData.Refrigerants_ChemicalBlends_Data(), Table_RefrigerantBlends[[#Headers],[Blend]], 0)</f>
        <v>HFC-32/HFC-125/HFC-134a</v>
      </c>
      <c r="F65" s="66" t="str" cm="1">
        <f t="array" ref="F65">Common_InputFunctions.Utility_DisplayArrayInTable(Refrigerants_SourceData.Refrigerants_ChemicalBlends_Data(), Table_RefrigerantBlends[[#Headers],[Blend]], 0)</f>
        <v>(10.0/70.0/20.0)</v>
      </c>
      <c r="G65" s="64"/>
      <c r="H65" s="64"/>
      <c r="I65" s="64"/>
      <c r="J65" s="64"/>
      <c r="K65" s="64"/>
      <c r="L65" s="64"/>
      <c r="M65" s="64"/>
      <c r="N65" s="64"/>
      <c r="O65" s="64"/>
      <c r="P65" s="64"/>
      <c r="Q65" s="64"/>
    </row>
    <row r="66" spans="4:17" ht="20.100000000000001" customHeight="1" x14ac:dyDescent="0.25">
      <c r="D66" s="66" t="str" cm="1">
        <f t="array" ref="D66">Common_InputFunctions.Utility_DisplayArrayInTable(Refrigerants_SourceData.Refrigerants_ChemicalBlends_Data(), Table_RefrigerantBlends[[#Headers],[Blend]], 0)</f>
        <v>R-407C</v>
      </c>
      <c r="E66" s="66" t="str" cm="1">
        <f t="array" ref="E66">Common_InputFunctions.Utility_DisplayArrayInTable(Refrigerants_SourceData.Refrigerants_ChemicalBlends_Data(), Table_RefrigerantBlends[[#Headers],[Blend]], 0)</f>
        <v>HFC-32/HFC-125/HFC-134a</v>
      </c>
      <c r="F66" s="66" t="str" cm="1">
        <f t="array" ref="F66">Common_InputFunctions.Utility_DisplayArrayInTable(Refrigerants_SourceData.Refrigerants_ChemicalBlends_Data(), Table_RefrigerantBlends[[#Headers],[Blend]], 0)</f>
        <v>(23.0/25.0/52.0)</v>
      </c>
      <c r="G66" s="64"/>
      <c r="H66" s="64"/>
      <c r="I66" s="64"/>
      <c r="J66" s="64"/>
      <c r="K66" s="64"/>
      <c r="L66" s="64"/>
      <c r="M66" s="64"/>
      <c r="N66" s="64"/>
      <c r="O66" s="64"/>
      <c r="P66" s="64"/>
      <c r="Q66" s="64"/>
    </row>
    <row r="67" spans="4:17" ht="20.100000000000001" customHeight="1" x14ac:dyDescent="0.25">
      <c r="D67" s="66" t="str" cm="1">
        <f t="array" ref="D67">Common_InputFunctions.Utility_DisplayArrayInTable(Refrigerants_SourceData.Refrigerants_ChemicalBlends_Data(), Table_RefrigerantBlends[[#Headers],[Blend]], 0)</f>
        <v>R-407D</v>
      </c>
      <c r="E67" s="66" t="str" cm="1">
        <f t="array" ref="E67">Common_InputFunctions.Utility_DisplayArrayInTable(Refrigerants_SourceData.Refrigerants_ChemicalBlends_Data(), Table_RefrigerantBlends[[#Headers],[Blend]], 0)</f>
        <v>HFC-32/HFC-125/HFC-134a</v>
      </c>
      <c r="F67" s="66" t="str" cm="1">
        <f t="array" ref="F67">Common_InputFunctions.Utility_DisplayArrayInTable(Refrigerants_SourceData.Refrigerants_ChemicalBlends_Data(), Table_RefrigerantBlends[[#Headers],[Blend]], 0)</f>
        <v>(15.0/15.0/70.0)</v>
      </c>
      <c r="G67" s="64"/>
      <c r="H67" s="64"/>
      <c r="I67" s="64"/>
      <c r="J67" s="64"/>
      <c r="K67" s="64"/>
      <c r="L67" s="64"/>
      <c r="M67" s="64"/>
      <c r="N67" s="64"/>
      <c r="O67" s="64"/>
      <c r="P67" s="64"/>
      <c r="Q67" s="64"/>
    </row>
    <row r="68" spans="4:17" ht="20.100000000000001" customHeight="1" x14ac:dyDescent="0.25">
      <c r="D68" s="66" t="str" cm="1">
        <f t="array" ref="D68">Common_InputFunctions.Utility_DisplayArrayInTable(Refrigerants_SourceData.Refrigerants_ChemicalBlends_Data(), Table_RefrigerantBlends[[#Headers],[Blend]], 0)</f>
        <v>R-407E</v>
      </c>
      <c r="E68" s="66" t="str" cm="1">
        <f t="array" ref="E68">Common_InputFunctions.Utility_DisplayArrayInTable(Refrigerants_SourceData.Refrigerants_ChemicalBlends_Data(), Table_RefrigerantBlends[[#Headers],[Blend]], 0)</f>
        <v>HFC-32/HFC-125/HFC-134a</v>
      </c>
      <c r="F68" s="66" t="str" cm="1">
        <f t="array" ref="F68">Common_InputFunctions.Utility_DisplayArrayInTable(Refrigerants_SourceData.Refrigerants_ChemicalBlends_Data(), Table_RefrigerantBlends[[#Headers],[Blend]], 0)</f>
        <v>(25.0/15.0/60.0)</v>
      </c>
      <c r="G68" s="64"/>
      <c r="H68" s="64"/>
      <c r="I68" s="64"/>
      <c r="J68" s="64"/>
      <c r="K68" s="64"/>
      <c r="L68" s="64"/>
      <c r="M68" s="64"/>
      <c r="N68" s="64"/>
      <c r="O68" s="64"/>
      <c r="P68" s="64"/>
      <c r="Q68" s="64"/>
    </row>
    <row r="69" spans="4:17" ht="20.100000000000001" customHeight="1" x14ac:dyDescent="0.25">
      <c r="D69" s="66" t="str" cm="1">
        <f t="array" ref="D69">Common_InputFunctions.Utility_DisplayArrayInTable(Refrigerants_SourceData.Refrigerants_ChemicalBlends_Data(), Table_RefrigerantBlends[[#Headers],[Blend]], 0)</f>
        <v>R-408A</v>
      </c>
      <c r="E69" s="66" t="str" cm="1">
        <f t="array" ref="E69">Common_InputFunctions.Utility_DisplayArrayInTable(Refrigerants_SourceData.Refrigerants_ChemicalBlends_Data(), Table_RefrigerantBlends[[#Headers],[Blend]], 0)</f>
        <v>HFC-125/HFC-143a/HCFC-22</v>
      </c>
      <c r="F69" s="66" t="str" cm="1">
        <f t="array" ref="F69">Common_InputFunctions.Utility_DisplayArrayInTable(Refrigerants_SourceData.Refrigerants_ChemicalBlends_Data(), Table_RefrigerantBlends[[#Headers],[Blend]], 0)</f>
        <v>(7.0/46.0/47.0)</v>
      </c>
      <c r="G69" s="64"/>
      <c r="H69" s="64"/>
      <c r="I69" s="64"/>
      <c r="J69" s="64"/>
      <c r="K69" s="64"/>
      <c r="L69" s="64"/>
      <c r="M69" s="64"/>
      <c r="N69" s="64"/>
      <c r="O69" s="64"/>
      <c r="P69" s="64"/>
      <c r="Q69" s="64"/>
    </row>
    <row r="70" spans="4:17" ht="20.100000000000001" customHeight="1" x14ac:dyDescent="0.25">
      <c r="D70" s="66" t="str" cm="1">
        <f t="array" ref="D70">Common_InputFunctions.Utility_DisplayArrayInTable(Refrigerants_SourceData.Refrigerants_ChemicalBlends_Data(), Table_RefrigerantBlends[[#Headers],[Blend]], 0)</f>
        <v>R-409A</v>
      </c>
      <c r="E70" s="66" t="str" cm="1">
        <f t="array" ref="E70">Common_InputFunctions.Utility_DisplayArrayInTable(Refrigerants_SourceData.Refrigerants_ChemicalBlends_Data(), Table_RefrigerantBlends[[#Headers],[Blend]], 0)</f>
        <v>HCFC-22/HCFC-124/HCFC-142b</v>
      </c>
      <c r="F70" s="66" t="str" cm="1">
        <f t="array" ref="F70">Common_InputFunctions.Utility_DisplayArrayInTable(Refrigerants_SourceData.Refrigerants_ChemicalBlends_Data(), Table_RefrigerantBlends[[#Headers],[Blend]], 0)</f>
        <v>(60.0/25.0/15.0)</v>
      </c>
      <c r="G70" s="64"/>
      <c r="H70" s="64"/>
      <c r="I70" s="64"/>
      <c r="J70" s="64"/>
      <c r="K70" s="64"/>
      <c r="L70" s="64"/>
      <c r="M70" s="64"/>
      <c r="N70" s="64"/>
      <c r="O70" s="64"/>
      <c r="P70" s="64"/>
      <c r="Q70" s="64"/>
    </row>
    <row r="71" spans="4:17" ht="20.100000000000001" customHeight="1" x14ac:dyDescent="0.25">
      <c r="D71" s="66" t="str" cm="1">
        <f t="array" ref="D71">Common_InputFunctions.Utility_DisplayArrayInTable(Refrigerants_SourceData.Refrigerants_ChemicalBlends_Data(), Table_RefrigerantBlends[[#Headers],[Blend]], 0)</f>
        <v>R-409B</v>
      </c>
      <c r="E71" s="66" t="str" cm="1">
        <f t="array" ref="E71">Common_InputFunctions.Utility_DisplayArrayInTable(Refrigerants_SourceData.Refrigerants_ChemicalBlends_Data(), Table_RefrigerantBlends[[#Headers],[Blend]], 0)</f>
        <v>HCFC-22/HCFC-124/HCFC-142b</v>
      </c>
      <c r="F71" s="66" t="str" cm="1">
        <f t="array" ref="F71">Common_InputFunctions.Utility_DisplayArrayInTable(Refrigerants_SourceData.Refrigerants_ChemicalBlends_Data(), Table_RefrigerantBlends[[#Headers],[Blend]], 0)</f>
        <v>(65.0/25.0/10.0)</v>
      </c>
      <c r="G71" s="64"/>
      <c r="H71" s="64"/>
      <c r="I71" s="64"/>
      <c r="J71" s="64"/>
      <c r="K71" s="64"/>
      <c r="L71" s="64"/>
      <c r="M71" s="64"/>
      <c r="N71" s="64"/>
      <c r="O71" s="64"/>
      <c r="P71" s="64"/>
      <c r="Q71" s="64"/>
    </row>
    <row r="72" spans="4:17" ht="20.100000000000001" customHeight="1" x14ac:dyDescent="0.25">
      <c r="D72" s="66" t="str" cm="1">
        <f t="array" ref="D72">Common_InputFunctions.Utility_DisplayArrayInTable(Refrigerants_SourceData.Refrigerants_ChemicalBlends_Data(), Table_RefrigerantBlends[[#Headers],[Blend]], 0)</f>
        <v>R-410A</v>
      </c>
      <c r="E72" s="66" t="str" cm="1">
        <f t="array" ref="E72">Common_InputFunctions.Utility_DisplayArrayInTable(Refrigerants_SourceData.Refrigerants_ChemicalBlends_Data(), Table_RefrigerantBlends[[#Headers],[Blend]], 0)</f>
        <v>HFC-32/HFC-125</v>
      </c>
      <c r="F72" s="66" t="str" cm="1">
        <f t="array" ref="F72">Common_InputFunctions.Utility_DisplayArrayInTable(Refrigerants_SourceData.Refrigerants_ChemicalBlends_Data(), Table_RefrigerantBlends[[#Headers],[Blend]], 0)</f>
        <v>(50.0/50.0)</v>
      </c>
      <c r="G72" s="64"/>
      <c r="H72" s="64"/>
      <c r="I72" s="64"/>
      <c r="J72" s="64"/>
      <c r="K72" s="64"/>
      <c r="L72" s="64"/>
      <c r="M72" s="64"/>
      <c r="N72" s="64"/>
      <c r="O72" s="64"/>
      <c r="P72" s="64"/>
      <c r="Q72" s="64"/>
    </row>
    <row r="73" spans="4:17" ht="20.100000000000001" customHeight="1" x14ac:dyDescent="0.25">
      <c r="D73" s="66" t="str" cm="1">
        <f t="array" ref="D73">Common_InputFunctions.Utility_DisplayArrayInTable(Refrigerants_SourceData.Refrigerants_ChemicalBlends_Data(), Table_RefrigerantBlends[[#Headers],[Blend]], 0)</f>
        <v>R-410B</v>
      </c>
      <c r="E73" s="66" t="str" cm="1">
        <f t="array" ref="E73">Common_InputFunctions.Utility_DisplayArrayInTable(Refrigerants_SourceData.Refrigerants_ChemicalBlends_Data(), Table_RefrigerantBlends[[#Headers],[Blend]], 0)</f>
        <v>HFC-32/HFC-125</v>
      </c>
      <c r="F73" s="66" t="str" cm="1">
        <f t="array" ref="F73">Common_InputFunctions.Utility_DisplayArrayInTable(Refrigerants_SourceData.Refrigerants_ChemicalBlends_Data(), Table_RefrigerantBlends[[#Headers],[Blend]], 0)</f>
        <v>(45.0/55.0)</v>
      </c>
      <c r="G73" s="64"/>
      <c r="H73" s="64"/>
      <c r="I73" s="64"/>
      <c r="J73" s="64"/>
      <c r="K73" s="64"/>
      <c r="L73" s="64"/>
      <c r="M73" s="64"/>
      <c r="N73" s="64"/>
      <c r="O73" s="64"/>
      <c r="P73" s="64"/>
      <c r="Q73" s="64"/>
    </row>
    <row r="74" spans="4:17" ht="20.100000000000001" customHeight="1" x14ac:dyDescent="0.25">
      <c r="D74" s="66" t="str" cm="1">
        <f t="array" ref="D74">Common_InputFunctions.Utility_DisplayArrayInTable(Refrigerants_SourceData.Refrigerants_ChemicalBlends_Data(), Table_RefrigerantBlends[[#Headers],[Blend]], 0)</f>
        <v>R-411A</v>
      </c>
      <c r="E74" s="66" t="str" cm="1">
        <f t="array" ref="E74">Common_InputFunctions.Utility_DisplayArrayInTable(Refrigerants_SourceData.Refrigerants_ChemicalBlends_Data(), Table_RefrigerantBlends[[#Headers],[Blend]], 0)</f>
        <v>HC-1270/HCFC-22/HFC-152a</v>
      </c>
      <c r="F74" s="66" t="str" cm="1">
        <f t="array" ref="F74">Common_InputFunctions.Utility_DisplayArrayInTable(Refrigerants_SourceData.Refrigerants_ChemicalBlends_Data(), Table_RefrigerantBlends[[#Headers],[Blend]], 0)</f>
        <v>(1.5/87.5/11.0)</v>
      </c>
      <c r="G74" s="64"/>
      <c r="H74" s="64"/>
      <c r="I74" s="64"/>
      <c r="J74" s="64"/>
      <c r="K74" s="64"/>
      <c r="L74" s="64"/>
      <c r="M74" s="64"/>
      <c r="N74" s="64"/>
      <c r="O74" s="64"/>
      <c r="P74" s="64"/>
      <c r="Q74" s="64"/>
    </row>
    <row r="75" spans="4:17" ht="20.100000000000001" customHeight="1" x14ac:dyDescent="0.25">
      <c r="D75" s="66" t="str" cm="1">
        <f t="array" ref="D75">Common_InputFunctions.Utility_DisplayArrayInTable(Refrigerants_SourceData.Refrigerants_ChemicalBlends_Data(), Table_RefrigerantBlends[[#Headers],[Blend]], 0)</f>
        <v>R-411B</v>
      </c>
      <c r="E75" s="66" t="str" cm="1">
        <f t="array" ref="E75">Common_InputFunctions.Utility_DisplayArrayInTable(Refrigerants_SourceData.Refrigerants_ChemicalBlends_Data(), Table_RefrigerantBlends[[#Headers],[Blend]], 0)</f>
        <v>HC-1270/HCFC-22/HFC-152a</v>
      </c>
      <c r="F75" s="66" t="str" cm="1">
        <f t="array" ref="F75">Common_InputFunctions.Utility_DisplayArrayInTable(Refrigerants_SourceData.Refrigerants_ChemicalBlends_Data(), Table_RefrigerantBlends[[#Headers],[Blend]], 0)</f>
        <v>(3.0/94.0/3.0)</v>
      </c>
      <c r="G75" s="64"/>
      <c r="H75" s="64"/>
      <c r="I75" s="64"/>
      <c r="J75" s="64"/>
      <c r="K75" s="64"/>
      <c r="L75" s="64"/>
      <c r="M75" s="64"/>
      <c r="N75" s="64"/>
      <c r="O75" s="64"/>
      <c r="P75" s="64"/>
      <c r="Q75" s="64"/>
    </row>
    <row r="76" spans="4:17" ht="20.100000000000001" customHeight="1" x14ac:dyDescent="0.25">
      <c r="D76" s="66" t="str" cm="1">
        <f t="array" ref="D76">Common_InputFunctions.Utility_DisplayArrayInTable(Refrigerants_SourceData.Refrigerants_ChemicalBlends_Data(), Table_RefrigerantBlends[[#Headers],[Blend]], 0)</f>
        <v>R-411C</v>
      </c>
      <c r="E76" s="66" t="str" cm="1">
        <f t="array" ref="E76">Common_InputFunctions.Utility_DisplayArrayInTable(Refrigerants_SourceData.Refrigerants_ChemicalBlends_Data(), Table_RefrigerantBlends[[#Headers],[Blend]], 0)</f>
        <v>HC-1270/HCFC-22/HFC-152a</v>
      </c>
      <c r="F76" s="66" t="str" cm="1">
        <f t="array" ref="F76">Common_InputFunctions.Utility_DisplayArrayInTable(Refrigerants_SourceData.Refrigerants_ChemicalBlends_Data(), Table_RefrigerantBlends[[#Headers],[Blend]], 0)</f>
        <v>(3.0/95.5/1.5)</v>
      </c>
      <c r="G76" s="64"/>
      <c r="H76" s="64"/>
      <c r="I76" s="64"/>
      <c r="J76" s="64"/>
      <c r="K76" s="64"/>
      <c r="L76" s="64"/>
      <c r="M76" s="64"/>
      <c r="N76" s="64"/>
      <c r="O76" s="64"/>
      <c r="P76" s="64"/>
      <c r="Q76" s="64"/>
    </row>
    <row r="77" spans="4:17" ht="20.100000000000001" customHeight="1" x14ac:dyDescent="0.25">
      <c r="D77" s="66" t="str" cm="1">
        <f t="array" ref="D77">Common_InputFunctions.Utility_DisplayArrayInTable(Refrigerants_SourceData.Refrigerants_ChemicalBlends_Data(), Table_RefrigerantBlends[[#Headers],[Blend]], 0)</f>
        <v>R-412A</v>
      </c>
      <c r="E77" s="66" t="str" cm="1">
        <f t="array" ref="E77">Common_InputFunctions.Utility_DisplayArrayInTable(Refrigerants_SourceData.Refrigerants_ChemicalBlends_Data(), Table_RefrigerantBlends[[#Headers],[Blend]], 0)</f>
        <v>HCFC-22/PFC-218/HCFC-142b</v>
      </c>
      <c r="F77" s="66" t="str" cm="1">
        <f t="array" ref="F77">Common_InputFunctions.Utility_DisplayArrayInTable(Refrigerants_SourceData.Refrigerants_ChemicalBlends_Data(), Table_RefrigerantBlends[[#Headers],[Blend]], 0)</f>
        <v>(70.0/5.0/25.0)</v>
      </c>
      <c r="G77" s="64"/>
      <c r="H77" s="64"/>
      <c r="I77" s="64"/>
      <c r="J77" s="64"/>
      <c r="K77" s="64"/>
      <c r="L77" s="64"/>
      <c r="M77" s="64"/>
      <c r="N77" s="64"/>
      <c r="O77" s="64"/>
      <c r="P77" s="64"/>
      <c r="Q77" s="64"/>
    </row>
    <row r="78" spans="4:17" ht="20.100000000000001" customHeight="1" x14ac:dyDescent="0.25">
      <c r="D78" s="66" t="str" cm="1">
        <f t="array" ref="D78">Common_InputFunctions.Utility_DisplayArrayInTable(Refrigerants_SourceData.Refrigerants_ChemicalBlends_Data(), Table_RefrigerantBlends[[#Headers],[Blend]], 0)</f>
        <v>R-413A</v>
      </c>
      <c r="E78" s="66" t="str" cm="1">
        <f t="array" ref="E78">Common_InputFunctions.Utility_DisplayArrayInTable(Refrigerants_SourceData.Refrigerants_ChemicalBlends_Data(), Table_RefrigerantBlends[[#Headers],[Blend]], 0)</f>
        <v>PFC-218/HFC-134a/HC-600a</v>
      </c>
      <c r="F78" s="66" t="str" cm="1">
        <f t="array" ref="F78">Common_InputFunctions.Utility_DisplayArrayInTable(Refrigerants_SourceData.Refrigerants_ChemicalBlends_Data(), Table_RefrigerantBlends[[#Headers],[Blend]], 0)</f>
        <v>(9.0/88.0/3.0)</v>
      </c>
      <c r="G78" s="64"/>
      <c r="H78" s="64"/>
      <c r="I78" s="64"/>
      <c r="J78" s="64"/>
      <c r="K78" s="64"/>
      <c r="L78" s="64"/>
      <c r="M78" s="64"/>
      <c r="N78" s="64"/>
      <c r="O78" s="64"/>
      <c r="P78" s="64"/>
      <c r="Q78" s="64"/>
    </row>
    <row r="79" spans="4:17" ht="20.100000000000001" customHeight="1" x14ac:dyDescent="0.25">
      <c r="D79" s="66" t="str" cm="1">
        <f t="array" ref="D79">Common_InputFunctions.Utility_DisplayArrayInTable(Refrigerants_SourceData.Refrigerants_ChemicalBlends_Data(), Table_RefrigerantBlends[[#Headers],[Blend]], 0)</f>
        <v>R-414A</v>
      </c>
      <c r="E79" s="66" t="str" cm="1">
        <f t="array" ref="E79">Common_InputFunctions.Utility_DisplayArrayInTable(Refrigerants_SourceData.Refrigerants_ChemicalBlends_Data(), Table_RefrigerantBlends[[#Headers],[Blend]], 0)</f>
        <v>HCFC-22/HCFC-124/HC-600a/HCFC-142b</v>
      </c>
      <c r="F79" s="66" t="str" cm="1">
        <f t="array" ref="F79">Common_InputFunctions.Utility_DisplayArrayInTable(Refrigerants_SourceData.Refrigerants_ChemicalBlends_Data(), Table_RefrigerantBlends[[#Headers],[Blend]], 0)</f>
        <v>(51.0/28.5/4.0/16.5)</v>
      </c>
      <c r="G79" s="64"/>
      <c r="H79" s="64"/>
      <c r="I79" s="64"/>
      <c r="J79" s="64"/>
      <c r="K79" s="64"/>
      <c r="L79" s="64"/>
      <c r="M79" s="64"/>
      <c r="N79" s="64"/>
      <c r="O79" s="64"/>
      <c r="P79" s="64"/>
      <c r="Q79" s="64"/>
    </row>
    <row r="80" spans="4:17" ht="20.100000000000001" customHeight="1" x14ac:dyDescent="0.25">
      <c r="D80" s="66" t="str" cm="1">
        <f t="array" ref="D80">Common_InputFunctions.Utility_DisplayArrayInTable(Refrigerants_SourceData.Refrigerants_ChemicalBlends_Data(), Table_RefrigerantBlends[[#Headers],[Blend]], 0)</f>
        <v>R-414B</v>
      </c>
      <c r="E80" s="66" t="str" cm="1">
        <f t="array" ref="E80">Common_InputFunctions.Utility_DisplayArrayInTable(Refrigerants_SourceData.Refrigerants_ChemicalBlends_Data(), Table_RefrigerantBlends[[#Headers],[Blend]], 0)</f>
        <v>HCFC-22/HCFC-124/HC-600a/HCFC-142b</v>
      </c>
      <c r="F80" s="66" t="str" cm="1">
        <f t="array" ref="F80">Common_InputFunctions.Utility_DisplayArrayInTable(Refrigerants_SourceData.Refrigerants_ChemicalBlends_Data(), Table_RefrigerantBlends[[#Headers],[Blend]], 0)</f>
        <v>(50.0/39.0/1.5/9.5)</v>
      </c>
      <c r="G80" s="64"/>
      <c r="H80" s="64"/>
      <c r="I80" s="64"/>
      <c r="J80" s="64"/>
      <c r="K80" s="64"/>
      <c r="L80" s="64"/>
      <c r="M80" s="64"/>
      <c r="N80" s="64"/>
      <c r="O80" s="64"/>
      <c r="P80" s="64"/>
      <c r="Q80" s="64"/>
    </row>
    <row r="81" spans="4:17" ht="20.100000000000001" customHeight="1" x14ac:dyDescent="0.25">
      <c r="D81" s="66" t="str" cm="1">
        <f t="array" ref="D81">Common_InputFunctions.Utility_DisplayArrayInTable(Refrigerants_SourceData.Refrigerants_ChemicalBlends_Data(), Table_RefrigerantBlends[[#Headers],[Blend]], 0)</f>
        <v>R-415A</v>
      </c>
      <c r="E81" s="66" t="str" cm="1">
        <f t="array" ref="E81">Common_InputFunctions.Utility_DisplayArrayInTable(Refrigerants_SourceData.Refrigerants_ChemicalBlends_Data(), Table_RefrigerantBlends[[#Headers],[Blend]], 0)</f>
        <v>HCFC-22/HFC-152a</v>
      </c>
      <c r="F81" s="66" t="str" cm="1">
        <f t="array" ref="F81">Common_InputFunctions.Utility_DisplayArrayInTable(Refrigerants_SourceData.Refrigerants_ChemicalBlends_Data(), Table_RefrigerantBlends[[#Headers],[Blend]], 0)</f>
        <v>(82.0/18.0)</v>
      </c>
      <c r="G81" s="64"/>
      <c r="H81" s="64"/>
      <c r="I81" s="64"/>
      <c r="J81" s="64"/>
      <c r="K81" s="64"/>
      <c r="L81" s="64"/>
      <c r="M81" s="64"/>
      <c r="N81" s="64"/>
      <c r="O81" s="64"/>
      <c r="P81" s="64"/>
      <c r="Q81" s="64"/>
    </row>
    <row r="82" spans="4:17" ht="20.100000000000001" customHeight="1" x14ac:dyDescent="0.25">
      <c r="D82" s="66" t="str" cm="1">
        <f t="array" ref="D82">Common_InputFunctions.Utility_DisplayArrayInTable(Refrigerants_SourceData.Refrigerants_ChemicalBlends_Data(), Table_RefrigerantBlends[[#Headers],[Blend]], 0)</f>
        <v>R-415B</v>
      </c>
      <c r="E82" s="66" t="str" cm="1">
        <f t="array" ref="E82">Common_InputFunctions.Utility_DisplayArrayInTable(Refrigerants_SourceData.Refrigerants_ChemicalBlends_Data(), Table_RefrigerantBlends[[#Headers],[Blend]], 0)</f>
        <v>HCFC-22/HFC-152a</v>
      </c>
      <c r="F82" s="66" t="str" cm="1">
        <f t="array" ref="F82">Common_InputFunctions.Utility_DisplayArrayInTable(Refrigerants_SourceData.Refrigerants_ChemicalBlends_Data(), Table_RefrigerantBlends[[#Headers],[Blend]], 0)</f>
        <v>(25.0/75.0)</v>
      </c>
      <c r="G82" s="64"/>
      <c r="H82" s="64"/>
      <c r="I82" s="64"/>
      <c r="J82" s="64"/>
      <c r="K82" s="64"/>
      <c r="L82" s="64"/>
      <c r="M82" s="64"/>
      <c r="N82" s="64"/>
      <c r="O82" s="64"/>
      <c r="P82" s="64"/>
      <c r="Q82" s="64"/>
    </row>
    <row r="83" spans="4:17" ht="20.100000000000001" customHeight="1" x14ac:dyDescent="0.25">
      <c r="D83" s="66" t="str" cm="1">
        <f t="array" ref="D83">Common_InputFunctions.Utility_DisplayArrayInTable(Refrigerants_SourceData.Refrigerants_ChemicalBlends_Data(), Table_RefrigerantBlends[[#Headers],[Blend]], 0)</f>
        <v>R-416A</v>
      </c>
      <c r="E83" s="66" t="str" cm="1">
        <f t="array" ref="E83">Common_InputFunctions.Utility_DisplayArrayInTable(Refrigerants_SourceData.Refrigerants_ChemicalBlends_Data(), Table_RefrigerantBlends[[#Headers],[Blend]], 0)</f>
        <v>HFC-134a/HCFC-124/HC-600</v>
      </c>
      <c r="F83" s="66" t="str" cm="1">
        <f t="array" ref="F83">Common_InputFunctions.Utility_DisplayArrayInTable(Refrigerants_SourceData.Refrigerants_ChemicalBlends_Data(), Table_RefrigerantBlends[[#Headers],[Blend]], 0)</f>
        <v>(59.0/39.5/1.5)</v>
      </c>
      <c r="G83" s="64"/>
      <c r="H83" s="64"/>
      <c r="I83" s="64"/>
      <c r="J83" s="64"/>
      <c r="K83" s="64"/>
      <c r="L83" s="64"/>
      <c r="M83" s="64"/>
      <c r="N83" s="64"/>
      <c r="O83" s="64"/>
      <c r="P83" s="64"/>
      <c r="Q83" s="64"/>
    </row>
    <row r="84" spans="4:17" ht="20.100000000000001" customHeight="1" x14ac:dyDescent="0.25">
      <c r="D84" s="66" t="str" cm="1">
        <f t="array" ref="D84">Common_InputFunctions.Utility_DisplayArrayInTable(Refrigerants_SourceData.Refrigerants_ChemicalBlends_Data(), Table_RefrigerantBlends[[#Headers],[Blend]], 0)</f>
        <v>R-417A</v>
      </c>
      <c r="E84" s="66" t="str" cm="1">
        <f t="array" ref="E84">Common_InputFunctions.Utility_DisplayArrayInTable(Refrigerants_SourceData.Refrigerants_ChemicalBlends_Data(), Table_RefrigerantBlends[[#Headers],[Blend]], 0)</f>
        <v>HFC-125/HFC-134a/HC-600</v>
      </c>
      <c r="F84" s="66" t="str" cm="1">
        <f t="array" ref="F84">Common_InputFunctions.Utility_DisplayArrayInTable(Refrigerants_SourceData.Refrigerants_ChemicalBlends_Data(), Table_RefrigerantBlends[[#Headers],[Blend]], 0)</f>
        <v>(46.6/50.0/3.4)</v>
      </c>
      <c r="G84" s="64"/>
      <c r="H84" s="64"/>
      <c r="I84" s="64"/>
      <c r="J84" s="64"/>
      <c r="K84" s="64"/>
      <c r="L84" s="64"/>
      <c r="M84" s="64"/>
      <c r="N84" s="64"/>
      <c r="O84" s="64"/>
      <c r="P84" s="64"/>
      <c r="Q84" s="64"/>
    </row>
    <row r="85" spans="4:17" ht="20.100000000000001" customHeight="1" x14ac:dyDescent="0.25">
      <c r="D85" s="66" t="str" cm="1">
        <f t="array" ref="D85">Common_InputFunctions.Utility_DisplayArrayInTable(Refrigerants_SourceData.Refrigerants_ChemicalBlends_Data(), Table_RefrigerantBlends[[#Headers],[Blend]], 0)</f>
        <v>R-418A</v>
      </c>
      <c r="E85" s="66" t="str" cm="1">
        <f t="array" ref="E85">Common_InputFunctions.Utility_DisplayArrayInTable(Refrigerants_SourceData.Refrigerants_ChemicalBlends_Data(), Table_RefrigerantBlends[[#Headers],[Blend]], 0)</f>
        <v>HC-290/HCFC-22/HFC-152a</v>
      </c>
      <c r="F85" s="66" t="str" cm="1">
        <f t="array" ref="F85">Common_InputFunctions.Utility_DisplayArrayInTable(Refrigerants_SourceData.Refrigerants_ChemicalBlends_Data(), Table_RefrigerantBlends[[#Headers],[Blend]], 0)</f>
        <v>(1.5/96.0/2.5)</v>
      </c>
      <c r="G85" s="64"/>
      <c r="H85" s="64"/>
      <c r="I85" s="64"/>
      <c r="J85" s="64"/>
      <c r="K85" s="64"/>
      <c r="L85" s="64"/>
      <c r="M85" s="64"/>
      <c r="N85" s="64"/>
      <c r="O85" s="64"/>
      <c r="P85" s="64"/>
      <c r="Q85" s="64"/>
    </row>
    <row r="86" spans="4:17" ht="20.100000000000001" customHeight="1" x14ac:dyDescent="0.25">
      <c r="D86" s="66" t="str" cm="1">
        <f t="array" ref="D86">Common_InputFunctions.Utility_DisplayArrayInTable(Refrigerants_SourceData.Refrigerants_ChemicalBlends_Data(), Table_RefrigerantBlends[[#Headers],[Blend]], 0)</f>
        <v>R-419A</v>
      </c>
      <c r="E86" s="66" t="str" cm="1">
        <f t="array" ref="E86">Common_InputFunctions.Utility_DisplayArrayInTable(Refrigerants_SourceData.Refrigerants_ChemicalBlends_Data(), Table_RefrigerantBlends[[#Headers],[Blend]], 0)</f>
        <v>HFC-125/HFC-134a/HE-E170</v>
      </c>
      <c r="F86" s="66" t="str" cm="1">
        <f t="array" ref="F86">Common_InputFunctions.Utility_DisplayArrayInTable(Refrigerants_SourceData.Refrigerants_ChemicalBlends_Data(), Table_RefrigerantBlends[[#Headers],[Blend]], 0)</f>
        <v>(77.0/19.0/4.0)</v>
      </c>
      <c r="G86" s="64"/>
      <c r="H86" s="64"/>
      <c r="I86" s="64"/>
      <c r="J86" s="64"/>
      <c r="K86" s="64"/>
      <c r="L86" s="64"/>
      <c r="M86" s="64"/>
      <c r="N86" s="64"/>
      <c r="O86" s="64"/>
      <c r="P86" s="64"/>
      <c r="Q86" s="64"/>
    </row>
    <row r="87" spans="4:17" ht="20.100000000000001" customHeight="1" x14ac:dyDescent="0.25">
      <c r="D87" s="66" t="str" cm="1">
        <f t="array" ref="D87">Common_InputFunctions.Utility_DisplayArrayInTable(Refrigerants_SourceData.Refrigerants_ChemicalBlends_Data(), Table_RefrigerantBlends[[#Headers],[Blend]], 0)</f>
        <v>R-420A</v>
      </c>
      <c r="E87" s="66" t="str" cm="1">
        <f t="array" ref="E87">Common_InputFunctions.Utility_DisplayArrayInTable(Refrigerants_SourceData.Refrigerants_ChemicalBlends_Data(), Table_RefrigerantBlends[[#Headers],[Blend]], 0)</f>
        <v>HFC-134a/HCFC-142b</v>
      </c>
      <c r="F87" s="66" t="str" cm="1">
        <f t="array" ref="F87">Common_InputFunctions.Utility_DisplayArrayInTable(Refrigerants_SourceData.Refrigerants_ChemicalBlends_Data(), Table_RefrigerantBlends[[#Headers],[Blend]], 0)</f>
        <v>(88.0/12.0)</v>
      </c>
      <c r="G87" s="64"/>
      <c r="H87" s="64"/>
      <c r="I87" s="64"/>
      <c r="J87" s="64"/>
      <c r="K87" s="64"/>
      <c r="L87" s="64"/>
      <c r="M87" s="64"/>
      <c r="N87" s="64"/>
      <c r="O87" s="64"/>
      <c r="P87" s="64"/>
      <c r="Q87" s="64"/>
    </row>
    <row r="88" spans="4:17" ht="20.100000000000001" customHeight="1" x14ac:dyDescent="0.25">
      <c r="D88" s="66" t="str" cm="1">
        <f t="array" ref="D88">Common_InputFunctions.Utility_DisplayArrayInTable(Refrigerants_SourceData.Refrigerants_ChemicalBlends_Data(), Table_RefrigerantBlends[[#Headers],[Blend]], 0)</f>
        <v>R-421A</v>
      </c>
      <c r="E88" s="66" t="str" cm="1">
        <f t="array" ref="E88">Common_InputFunctions.Utility_DisplayArrayInTable(Refrigerants_SourceData.Refrigerants_ChemicalBlends_Data(), Table_RefrigerantBlends[[#Headers],[Blend]], 0)</f>
        <v>HFC-125/HFC-134a</v>
      </c>
      <c r="F88" s="66" t="str" cm="1">
        <f t="array" ref="F88">Common_InputFunctions.Utility_DisplayArrayInTable(Refrigerants_SourceData.Refrigerants_ChemicalBlends_Data(), Table_RefrigerantBlends[[#Headers],[Blend]], 0)</f>
        <v>(58.0/42.0)</v>
      </c>
      <c r="G88" s="64"/>
      <c r="H88" s="64"/>
      <c r="I88" s="64"/>
      <c r="J88" s="64"/>
      <c r="K88" s="64"/>
      <c r="L88" s="64"/>
      <c r="M88" s="64"/>
      <c r="N88" s="64"/>
      <c r="O88" s="64"/>
      <c r="P88" s="64"/>
      <c r="Q88" s="64"/>
    </row>
    <row r="89" spans="4:17" ht="20.100000000000001" customHeight="1" x14ac:dyDescent="0.25">
      <c r="D89" s="66" t="str" cm="1">
        <f t="array" ref="D89">Common_InputFunctions.Utility_DisplayArrayInTable(Refrigerants_SourceData.Refrigerants_ChemicalBlends_Data(), Table_RefrigerantBlends[[#Headers],[Blend]], 0)</f>
        <v>R-422A</v>
      </c>
      <c r="E89" s="66" t="str" cm="1">
        <f t="array" ref="E89">Common_InputFunctions.Utility_DisplayArrayInTable(Refrigerants_SourceData.Refrigerants_ChemicalBlends_Data(), Table_RefrigerantBlends[[#Headers],[Blend]], 0)</f>
        <v>HFC-125/HFC-134a/HC-600a</v>
      </c>
      <c r="F89" s="66" t="str" cm="1">
        <f t="array" ref="F89">Common_InputFunctions.Utility_DisplayArrayInTable(Refrigerants_SourceData.Refrigerants_ChemicalBlends_Data(), Table_RefrigerantBlends[[#Headers],[Blend]], 0)</f>
        <v>(85.1/11.5/3.4)</v>
      </c>
      <c r="G89" s="64"/>
      <c r="H89" s="64"/>
      <c r="I89" s="64"/>
      <c r="J89" s="64"/>
      <c r="K89" s="64"/>
      <c r="L89" s="64"/>
      <c r="M89" s="64"/>
      <c r="N89" s="64"/>
      <c r="O89" s="64"/>
      <c r="P89" s="64"/>
      <c r="Q89" s="64"/>
    </row>
    <row r="90" spans="4:17" ht="20.100000000000001" customHeight="1" x14ac:dyDescent="0.25">
      <c r="D90" s="66" t="str" cm="1">
        <f t="array" ref="D90">Common_InputFunctions.Utility_DisplayArrayInTable(Refrigerants_SourceData.Refrigerants_ChemicalBlends_Data(), Table_RefrigerantBlends[[#Headers],[Blend]], 0)</f>
        <v>R-422B</v>
      </c>
      <c r="E90" s="66" t="str" cm="1">
        <f t="array" ref="E90">Common_InputFunctions.Utility_DisplayArrayInTable(Refrigerants_SourceData.Refrigerants_ChemicalBlends_Data(), Table_RefrigerantBlends[[#Headers],[Blend]], 0)</f>
        <v>HFC-125/HFC-134a/HC-600a</v>
      </c>
      <c r="F90" s="66" t="str" cm="1">
        <f t="array" ref="F90">Common_InputFunctions.Utility_DisplayArrayInTable(Refrigerants_SourceData.Refrigerants_ChemicalBlends_Data(), Table_RefrigerantBlends[[#Headers],[Blend]], 0)</f>
        <v>(55.0/42.0/3.0)</v>
      </c>
      <c r="G90" s="64"/>
      <c r="H90" s="64"/>
      <c r="I90" s="64"/>
      <c r="J90" s="64"/>
      <c r="K90" s="64"/>
      <c r="L90" s="64"/>
      <c r="M90" s="64"/>
      <c r="N90" s="64"/>
      <c r="O90" s="64"/>
      <c r="P90" s="64"/>
      <c r="Q90" s="64"/>
    </row>
    <row r="91" spans="4:17" ht="20.100000000000001" customHeight="1" x14ac:dyDescent="0.25">
      <c r="D91" s="66" t="str" cm="1">
        <f t="array" ref="D91">Common_InputFunctions.Utility_DisplayArrayInTable(Refrigerants_SourceData.Refrigerants_ChemicalBlends_Data(), Table_RefrigerantBlends[[#Headers],[Blend]], 0)</f>
        <v>R-422C</v>
      </c>
      <c r="E91" s="66" t="str" cm="1">
        <f t="array" ref="E91">Common_InputFunctions.Utility_DisplayArrayInTable(Refrigerants_SourceData.Refrigerants_ChemicalBlends_Data(), Table_RefrigerantBlends[[#Headers],[Blend]], 0)</f>
        <v>HFC-125/HFC-134a/HC-600a</v>
      </c>
      <c r="F91" s="66" t="str" cm="1">
        <f t="array" ref="F91">Common_InputFunctions.Utility_DisplayArrayInTable(Refrigerants_SourceData.Refrigerants_ChemicalBlends_Data(), Table_RefrigerantBlends[[#Headers],[Blend]], 0)</f>
        <v>(82.0/15.0/3.0)</v>
      </c>
      <c r="G91" s="64"/>
      <c r="H91" s="64"/>
      <c r="I91" s="64"/>
      <c r="J91" s="64"/>
      <c r="K91" s="64"/>
      <c r="L91" s="64"/>
      <c r="M91" s="64"/>
      <c r="N91" s="64"/>
      <c r="O91" s="64"/>
      <c r="P91" s="64"/>
      <c r="Q91" s="64"/>
    </row>
    <row r="92" spans="4:17" ht="20.100000000000001" customHeight="1" x14ac:dyDescent="0.25">
      <c r="D92" s="66" t="str" cm="1">
        <f t="array" ref="D92">Common_InputFunctions.Utility_DisplayArrayInTable(Refrigerants_SourceData.Refrigerants_ChemicalBlends_Data(), Table_RefrigerantBlends[[#Headers],[Blend]], 0)</f>
        <v>R-500</v>
      </c>
      <c r="E92" s="66" t="str" cm="1">
        <f t="array" ref="E92">Common_InputFunctions.Utility_DisplayArrayInTable(Refrigerants_SourceData.Refrigerants_ChemicalBlends_Data(), Table_RefrigerantBlends[[#Headers],[Blend]], 0)</f>
        <v>CFC-12/HFC-152a</v>
      </c>
      <c r="F92" s="66" t="str" cm="1">
        <f t="array" ref="F92">Common_InputFunctions.Utility_DisplayArrayInTable(Refrigerants_SourceData.Refrigerants_ChemicalBlends_Data(), Table_RefrigerantBlends[[#Headers],[Blend]], 0)</f>
        <v>(73.8/26.2)</v>
      </c>
      <c r="G92" s="64"/>
      <c r="H92" s="64"/>
      <c r="I92" s="64"/>
      <c r="J92" s="64"/>
      <c r="K92" s="64"/>
      <c r="L92" s="64"/>
      <c r="M92" s="64"/>
      <c r="N92" s="64"/>
      <c r="O92" s="64"/>
      <c r="P92" s="64"/>
      <c r="Q92" s="64"/>
    </row>
    <row r="93" spans="4:17" ht="20.100000000000001" customHeight="1" x14ac:dyDescent="0.25">
      <c r="D93" s="66" t="str" cm="1">
        <f t="array" ref="D93">Common_InputFunctions.Utility_DisplayArrayInTable(Refrigerants_SourceData.Refrigerants_ChemicalBlends_Data(), Table_RefrigerantBlends[[#Headers],[Blend]], 0)</f>
        <v>R-501</v>
      </c>
      <c r="E93" s="66" t="str" cm="1">
        <f t="array" ref="E93">Common_InputFunctions.Utility_DisplayArrayInTable(Refrigerants_SourceData.Refrigerants_ChemicalBlends_Data(), Table_RefrigerantBlends[[#Headers],[Blend]], 0)</f>
        <v>HCFC-22/CFC-12</v>
      </c>
      <c r="F93" s="66" t="str" cm="1">
        <f t="array" ref="F93">Common_InputFunctions.Utility_DisplayArrayInTable(Refrigerants_SourceData.Refrigerants_ChemicalBlends_Data(), Table_RefrigerantBlends[[#Headers],[Blend]], 0)</f>
        <v>(75.0/25.0)</v>
      </c>
      <c r="G93" s="64"/>
      <c r="H93" s="64"/>
      <c r="I93" s="64"/>
      <c r="J93" s="64"/>
      <c r="K93" s="64"/>
      <c r="L93" s="64"/>
      <c r="M93" s="64"/>
      <c r="N93" s="64"/>
      <c r="O93" s="64"/>
      <c r="P93" s="64"/>
      <c r="Q93" s="64"/>
    </row>
    <row r="94" spans="4:17" ht="20.100000000000001" customHeight="1" x14ac:dyDescent="0.25">
      <c r="D94" s="66" t="str" cm="1">
        <f t="array" ref="D94">Common_InputFunctions.Utility_DisplayArrayInTable(Refrigerants_SourceData.Refrigerants_ChemicalBlends_Data(), Table_RefrigerantBlends[[#Headers],[Blend]], 0)</f>
        <v>R-502</v>
      </c>
      <c r="E94" s="66" t="str" cm="1">
        <f t="array" ref="E94">Common_InputFunctions.Utility_DisplayArrayInTable(Refrigerants_SourceData.Refrigerants_ChemicalBlends_Data(), Table_RefrigerantBlends[[#Headers],[Blend]], 0)</f>
        <v>HCFC-22/CFC-115</v>
      </c>
      <c r="F94" s="66" t="str" cm="1">
        <f t="array" ref="F94">Common_InputFunctions.Utility_DisplayArrayInTable(Refrigerants_SourceData.Refrigerants_ChemicalBlends_Data(), Table_RefrigerantBlends[[#Headers],[Blend]], 0)</f>
        <v>(48.8/51.2)</v>
      </c>
      <c r="G94" s="64"/>
      <c r="H94" s="64"/>
      <c r="I94" s="64"/>
      <c r="J94" s="64"/>
      <c r="K94" s="64"/>
      <c r="L94" s="64"/>
      <c r="M94" s="64"/>
      <c r="N94" s="64"/>
      <c r="O94" s="64"/>
      <c r="P94" s="64"/>
      <c r="Q94" s="64"/>
    </row>
    <row r="95" spans="4:17" ht="20.100000000000001" customHeight="1" x14ac:dyDescent="0.25">
      <c r="D95" s="66" t="str" cm="1">
        <f t="array" ref="D95">Common_InputFunctions.Utility_DisplayArrayInTable(Refrigerants_SourceData.Refrigerants_ChemicalBlends_Data(), Table_RefrigerantBlends[[#Headers],[Blend]], 0)</f>
        <v>R-503</v>
      </c>
      <c r="E95" s="66" t="str" cm="1">
        <f t="array" ref="E95">Common_InputFunctions.Utility_DisplayArrayInTable(Refrigerants_SourceData.Refrigerants_ChemicalBlends_Data(), Table_RefrigerantBlends[[#Headers],[Blend]], 0)</f>
        <v>HFC-23/CFC-13</v>
      </c>
      <c r="F95" s="66" t="str" cm="1">
        <f t="array" ref="F95">Common_InputFunctions.Utility_DisplayArrayInTable(Refrigerants_SourceData.Refrigerants_ChemicalBlends_Data(), Table_RefrigerantBlends[[#Headers],[Blend]], 0)</f>
        <v>(40.1/59.9)</v>
      </c>
      <c r="G95" s="64"/>
      <c r="H95" s="64"/>
      <c r="I95" s="64"/>
      <c r="J95" s="64"/>
      <c r="K95" s="64"/>
      <c r="L95" s="64"/>
      <c r="M95" s="64"/>
      <c r="N95" s="64"/>
      <c r="O95" s="64"/>
      <c r="P95" s="64"/>
      <c r="Q95" s="64"/>
    </row>
    <row r="96" spans="4:17" ht="20.100000000000001" customHeight="1" x14ac:dyDescent="0.25">
      <c r="D96" s="66" t="str" cm="1">
        <f t="array" ref="D96">Common_InputFunctions.Utility_DisplayArrayInTable(Refrigerants_SourceData.Refrigerants_ChemicalBlends_Data(), Table_RefrigerantBlends[[#Headers],[Blend]], 0)</f>
        <v>R-504</v>
      </c>
      <c r="E96" s="66" t="str" cm="1">
        <f t="array" ref="E96">Common_InputFunctions.Utility_DisplayArrayInTable(Refrigerants_SourceData.Refrigerants_ChemicalBlends_Data(), Table_RefrigerantBlends[[#Headers],[Blend]], 0)</f>
        <v>HFC-32/CFC-115</v>
      </c>
      <c r="F96" s="66" t="str" cm="1">
        <f t="array" ref="F96">Common_InputFunctions.Utility_DisplayArrayInTable(Refrigerants_SourceData.Refrigerants_ChemicalBlends_Data(), Table_RefrigerantBlends[[#Headers],[Blend]], 0)</f>
        <v>(48.2/51.8)</v>
      </c>
      <c r="G96" s="64"/>
      <c r="H96" s="64"/>
      <c r="I96" s="64"/>
      <c r="J96" s="64"/>
      <c r="K96" s="64"/>
      <c r="L96" s="64"/>
      <c r="M96" s="64"/>
      <c r="N96" s="64"/>
      <c r="O96" s="64"/>
      <c r="P96" s="64"/>
      <c r="Q96" s="64"/>
    </row>
    <row r="97" spans="4:17" ht="20.100000000000001" customHeight="1" x14ac:dyDescent="0.25">
      <c r="D97" s="66" t="str" cm="1">
        <f t="array" ref="D97">Common_InputFunctions.Utility_DisplayArrayInTable(Refrigerants_SourceData.Refrigerants_ChemicalBlends_Data(), Table_RefrigerantBlends[[#Headers],[Blend]], 0)</f>
        <v>R-505</v>
      </c>
      <c r="E97" s="66" t="str" cm="1">
        <f t="array" ref="E97">Common_InputFunctions.Utility_DisplayArrayInTable(Refrigerants_SourceData.Refrigerants_ChemicalBlends_Data(), Table_RefrigerantBlends[[#Headers],[Blend]], 0)</f>
        <v>CFC-12/HCFC-31</v>
      </c>
      <c r="F97" s="66" t="str" cm="1">
        <f t="array" ref="F97">Common_InputFunctions.Utility_DisplayArrayInTable(Refrigerants_SourceData.Refrigerants_ChemicalBlends_Data(), Table_RefrigerantBlends[[#Headers],[Blend]], 0)</f>
        <v>(78.0/22.0)</v>
      </c>
      <c r="G97" s="64"/>
      <c r="H97" s="64"/>
      <c r="I97" s="64"/>
      <c r="J97" s="64"/>
      <c r="K97" s="64"/>
      <c r="L97" s="64"/>
      <c r="M97" s="64"/>
      <c r="N97" s="64"/>
      <c r="O97" s="64"/>
      <c r="P97" s="64"/>
      <c r="Q97" s="64"/>
    </row>
    <row r="98" spans="4:17" ht="20.100000000000001" customHeight="1" x14ac:dyDescent="0.25">
      <c r="D98" s="66" t="str" cm="1">
        <f t="array" ref="D98">Common_InputFunctions.Utility_DisplayArrayInTable(Refrigerants_SourceData.Refrigerants_ChemicalBlends_Data(), Table_RefrigerantBlends[[#Headers],[Blend]], 0)</f>
        <v>R-506</v>
      </c>
      <c r="E98" s="66" t="str" cm="1">
        <f t="array" ref="E98">Common_InputFunctions.Utility_DisplayArrayInTable(Refrigerants_SourceData.Refrigerants_ChemicalBlends_Data(), Table_RefrigerantBlends[[#Headers],[Blend]], 0)</f>
        <v>CFC-31/CFC-114</v>
      </c>
      <c r="F98" s="66" t="str" cm="1">
        <f t="array" ref="F98">Common_InputFunctions.Utility_DisplayArrayInTable(Refrigerants_SourceData.Refrigerants_ChemicalBlends_Data(), Table_RefrigerantBlends[[#Headers],[Blend]], 0)</f>
        <v>(55.1/44.9)</v>
      </c>
      <c r="G98" s="64"/>
      <c r="H98" s="64"/>
      <c r="I98" s="64"/>
      <c r="J98" s="64"/>
      <c r="K98" s="64"/>
      <c r="L98" s="64"/>
      <c r="M98" s="64"/>
      <c r="N98" s="64"/>
      <c r="O98" s="64"/>
      <c r="P98" s="64"/>
      <c r="Q98" s="64"/>
    </row>
    <row r="99" spans="4:17" ht="20.100000000000001" customHeight="1" x14ac:dyDescent="0.25">
      <c r="D99" s="66" t="str" cm="1">
        <f t="array" ref="D99">Common_InputFunctions.Utility_DisplayArrayInTable(Refrigerants_SourceData.Refrigerants_ChemicalBlends_Data(), Table_RefrigerantBlends[[#Headers],[Blend]], 0)</f>
        <v>R-507A</v>
      </c>
      <c r="E99" s="66" t="str" cm="1">
        <f t="array" ref="E99">Common_InputFunctions.Utility_DisplayArrayInTable(Refrigerants_SourceData.Refrigerants_ChemicalBlends_Data(), Table_RefrigerantBlends[[#Headers],[Blend]], 0)</f>
        <v>HFC-125/HFC-143a</v>
      </c>
      <c r="F99" s="66" t="str" cm="1">
        <f t="array" ref="F99">Common_InputFunctions.Utility_DisplayArrayInTable(Refrigerants_SourceData.Refrigerants_ChemicalBlends_Data(), Table_RefrigerantBlends[[#Headers],[Blend]], 0)</f>
        <v>(50.0/50.0)</v>
      </c>
      <c r="G99" s="64"/>
      <c r="H99" s="64"/>
      <c r="I99" s="64"/>
      <c r="J99" s="64"/>
      <c r="K99" s="64"/>
      <c r="L99" s="64"/>
      <c r="M99" s="64"/>
      <c r="N99" s="64"/>
      <c r="O99" s="64"/>
      <c r="P99" s="64"/>
      <c r="Q99" s="64"/>
    </row>
    <row r="100" spans="4:17" ht="20.100000000000001" customHeight="1" x14ac:dyDescent="0.25">
      <c r="D100" s="66" t="str" cm="1">
        <f t="array" ref="D100">Common_InputFunctions.Utility_DisplayArrayInTable(Refrigerants_SourceData.Refrigerants_ChemicalBlends_Data(), Table_RefrigerantBlends[[#Headers],[Blend]], 0)</f>
        <v>R-508A</v>
      </c>
      <c r="E100" s="66" t="str" cm="1">
        <f t="array" ref="E100">Common_InputFunctions.Utility_DisplayArrayInTable(Refrigerants_SourceData.Refrigerants_ChemicalBlends_Data(), Table_RefrigerantBlends[[#Headers],[Blend]], 0)</f>
        <v>HFC-23/PFC-116</v>
      </c>
      <c r="F100" s="66" t="str" cm="1">
        <f t="array" ref="F100">Common_InputFunctions.Utility_DisplayArrayInTable(Refrigerants_SourceData.Refrigerants_ChemicalBlends_Data(), Table_RefrigerantBlends[[#Headers],[Blend]], 0)</f>
        <v>(39.0/61.0)</v>
      </c>
      <c r="G100" s="64"/>
      <c r="H100" s="64"/>
      <c r="I100" s="64"/>
      <c r="J100" s="64"/>
      <c r="K100" s="64"/>
      <c r="L100" s="64"/>
      <c r="M100" s="64"/>
      <c r="N100" s="64"/>
      <c r="O100" s="64"/>
      <c r="P100" s="64"/>
      <c r="Q100" s="64"/>
    </row>
    <row r="101" spans="4:17" ht="20.100000000000001" customHeight="1" x14ac:dyDescent="0.25">
      <c r="D101" s="66" t="str" cm="1">
        <f t="array" ref="D101">Common_InputFunctions.Utility_DisplayArrayInTable(Refrigerants_SourceData.Refrigerants_ChemicalBlends_Data(), Table_RefrigerantBlends[[#Headers],[Blend]], 0)</f>
        <v>R-508B</v>
      </c>
      <c r="E101" s="66" t="str" cm="1">
        <f t="array" ref="E101">Common_InputFunctions.Utility_DisplayArrayInTable(Refrigerants_SourceData.Refrigerants_ChemicalBlends_Data(), Table_RefrigerantBlends[[#Headers],[Blend]], 0)</f>
        <v>HFC-23/PFC-116</v>
      </c>
      <c r="F101" s="66" t="str" cm="1">
        <f t="array" ref="F101">Common_InputFunctions.Utility_DisplayArrayInTable(Refrigerants_SourceData.Refrigerants_ChemicalBlends_Data(), Table_RefrigerantBlends[[#Headers],[Blend]], 0)</f>
        <v>(46.0/54.0)</v>
      </c>
      <c r="G101" s="64"/>
      <c r="H101" s="64"/>
      <c r="I101" s="64"/>
      <c r="J101" s="64"/>
      <c r="K101" s="64"/>
      <c r="L101" s="64"/>
      <c r="M101" s="64"/>
      <c r="N101" s="64"/>
      <c r="O101" s="64"/>
      <c r="P101" s="64"/>
      <c r="Q101" s="64"/>
    </row>
    <row r="102" spans="4:17" ht="20.100000000000001" customHeight="1" x14ac:dyDescent="0.25">
      <c r="D102" s="66" t="str" cm="1">
        <f t="array" ref="D102">Common_InputFunctions.Utility_DisplayArrayInTable(Refrigerants_SourceData.Refrigerants_ChemicalBlends_Data(), Table_RefrigerantBlends[[#Headers],[Blend]], 0)</f>
        <v>R-509A</v>
      </c>
      <c r="E102" s="66" t="str" cm="1">
        <f t="array" ref="E102">Common_InputFunctions.Utility_DisplayArrayInTable(Refrigerants_SourceData.Refrigerants_ChemicalBlends_Data(), Table_RefrigerantBlends[[#Headers],[Blend]], 0)</f>
        <v>HCFC-22/PFC-218</v>
      </c>
      <c r="F102" s="66" t="str" cm="1">
        <f t="array" ref="F102">Common_InputFunctions.Utility_DisplayArrayInTable(Refrigerants_SourceData.Refrigerants_ChemicalBlends_Data(), Table_RefrigerantBlends[[#Headers],[Blend]], 0)</f>
        <v>(44.0/56.0)</v>
      </c>
      <c r="G102" s="64"/>
      <c r="H102" s="64"/>
      <c r="I102" s="64"/>
      <c r="J102" s="64"/>
      <c r="K102" s="64"/>
      <c r="L102" s="64"/>
      <c r="M102" s="64"/>
      <c r="N102" s="64"/>
      <c r="O102" s="64"/>
      <c r="P102" s="64"/>
      <c r="Q102" s="64"/>
    </row>
    <row r="103" spans="4:17" ht="20.100000000000001" customHeight="1" x14ac:dyDescent="0.25">
      <c r="D103" s="64"/>
      <c r="E103" s="64"/>
      <c r="F103" s="64"/>
      <c r="G103" s="64"/>
      <c r="H103" s="64"/>
      <c r="I103" s="64"/>
      <c r="J103" s="64"/>
      <c r="K103" s="64"/>
      <c r="L103" s="64"/>
      <c r="M103" s="64"/>
      <c r="N103" s="64"/>
      <c r="O103" s="64"/>
      <c r="P103" s="64"/>
      <c r="Q103" s="64"/>
    </row>
    <row r="104" spans="4:17" ht="20.100000000000001" customHeight="1" x14ac:dyDescent="0.25">
      <c r="D104" s="68"/>
      <c r="E104" s="68"/>
      <c r="F104" s="68"/>
      <c r="G104" s="68"/>
      <c r="H104" s="68"/>
      <c r="I104" s="68"/>
      <c r="J104" s="68"/>
      <c r="K104" s="68"/>
      <c r="L104" s="68"/>
      <c r="M104" s="68"/>
      <c r="N104" s="68"/>
      <c r="O104" s="68"/>
      <c r="P104" s="68"/>
      <c r="Q104" s="68"/>
    </row>
    <row r="105" spans="4:17" ht="20.100000000000001" customHeight="1" x14ac:dyDescent="0.25">
      <c r="D105" s="5" t="s">
        <v>122</v>
      </c>
      <c r="E105" s="64"/>
      <c r="F105" s="64"/>
      <c r="G105" s="64"/>
      <c r="H105" s="64"/>
      <c r="I105" s="64"/>
      <c r="J105" s="64"/>
      <c r="K105" s="64"/>
      <c r="L105" s="64"/>
      <c r="M105" s="64"/>
      <c r="N105" s="64"/>
      <c r="O105" s="64"/>
      <c r="P105" s="64"/>
      <c r="Q105" s="64"/>
    </row>
    <row r="106" spans="4:17" ht="20.100000000000001" customHeight="1" x14ac:dyDescent="0.25">
      <c r="D106" s="69" t="str">
        <f>"  ℹ️  This table lists the refrigerant blends from the table '"&amp;D49&amp;"' and each constituent gas in separate cells. For each constituent gas, it GWP value is found from the '"&amp;D5&amp;"' table. Then the GWPs for each constituent gas are miltiplied by their blend fraction, and added together to make a GWP for the blend."</f>
        <v xml:space="preserve">  ℹ️  This table lists the refrigerant blends from the table 'Blended refrigerants (many containing HFCS and/or PFCS)' and each constituent gas in separate cells. For each constituent gas, it GWP value is found from the 'Global Warming Potentials' table. Then the GWPs for each constituent gas are miltiplied by their blend fraction, and added together to make a GWP for the blend.</v>
      </c>
      <c r="E106" s="64"/>
      <c r="F106" s="64"/>
      <c r="G106" s="64"/>
      <c r="H106" s="64"/>
      <c r="I106" s="64"/>
      <c r="J106" s="64"/>
      <c r="K106" s="64"/>
      <c r="L106" s="64"/>
      <c r="M106" s="64"/>
      <c r="N106" s="64"/>
      <c r="O106" s="64"/>
      <c r="P106" s="64"/>
      <c r="Q106" s="64"/>
    </row>
    <row r="107" spans="4:17" ht="20.100000000000001" customHeight="1" x14ac:dyDescent="0.25">
      <c r="D107" s="32" t="str">
        <f>"⚠️NOTE: Some constituent gases are not listed in the '" &amp; D5 &amp; "' table. This is because those gases are not reportable under AR5."</f>
        <v>⚠️NOTE: Some constituent gases are not listed in the 'Global Warming Potentials' table. This is because those gases are not reportable under AR5.</v>
      </c>
      <c r="E107" s="64"/>
      <c r="F107" s="64"/>
      <c r="G107" s="64"/>
      <c r="H107" s="64"/>
      <c r="I107" s="64"/>
      <c r="J107" s="64"/>
      <c r="K107" s="64"/>
      <c r="L107" s="64"/>
      <c r="M107" s="64"/>
      <c r="N107" s="64"/>
      <c r="O107" s="64"/>
      <c r="P107" s="64"/>
      <c r="Q107" s="64"/>
    </row>
    <row r="108" spans="4:17" ht="20.100000000000001" customHeight="1" x14ac:dyDescent="0.25">
      <c r="D108" s="32" t="str">
        <f>"⚠️NOTE: Because there are no specified blends of R-400 in the table '" &amp; D49 &amp; "' We have specified three blends: 'R-400 50/50', 'R-400 60/40' and 'R-400 80/20'"</f>
        <v>⚠️NOTE: Because there are no specified blends of R-400 in the table 'Blended refrigerants (many containing HFCS and/or PFCS)' We have specified three blends: 'R-400 50/50', 'R-400 60/40' and 'R-400 80/20'</v>
      </c>
      <c r="E108" s="64"/>
      <c r="F108" s="64"/>
      <c r="G108" s="64"/>
      <c r="H108" s="64"/>
      <c r="I108" s="64"/>
      <c r="J108" s="64"/>
      <c r="K108" s="64"/>
      <c r="L108" s="64"/>
      <c r="M108" s="64"/>
      <c r="N108" s="64"/>
      <c r="O108" s="64"/>
      <c r="P108" s="64"/>
      <c r="Q108" s="64"/>
    </row>
    <row r="109" spans="4:17" ht="20.100000000000001" customHeight="1" x14ac:dyDescent="0.25">
      <c r="D109" s="66" t="s">
        <v>119</v>
      </c>
      <c r="E109" s="66" t="s">
        <v>123</v>
      </c>
      <c r="F109" s="66" t="s">
        <v>124</v>
      </c>
      <c r="G109" s="66" t="s">
        <v>125</v>
      </c>
      <c r="H109" s="66" t="s">
        <v>126</v>
      </c>
      <c r="I109" s="66" t="s">
        <v>127</v>
      </c>
      <c r="J109" s="66" t="s">
        <v>128</v>
      </c>
      <c r="K109" s="66" t="s">
        <v>129</v>
      </c>
      <c r="L109" s="66" t="s">
        <v>130</v>
      </c>
      <c r="M109" s="66" t="s">
        <v>131</v>
      </c>
      <c r="N109" s="66" t="s">
        <v>132</v>
      </c>
      <c r="O109" s="66" t="s">
        <v>133</v>
      </c>
      <c r="P109" s="66" t="s">
        <v>134</v>
      </c>
      <c r="Q109" s="66" t="s">
        <v>135</v>
      </c>
    </row>
    <row r="110" spans="4:17" ht="20.100000000000001" customHeight="1" x14ac:dyDescent="0.25">
      <c r="D110" s="66" t="str">
        <f>$D$53 &amp; " 50/50"</f>
        <v>R-400 50/50</v>
      </c>
      <c r="E110" s="66" t="str" cm="1">
        <f t="array" ref="E110">IFERROR(INDEX(TRANSPOSE(Common_InputFunctions.Utility_SplitStringIntoArray($E$53, "/")), 1), "")</f>
        <v>CFC-12</v>
      </c>
      <c r="F110" s="66" t="str" cm="1">
        <f t="array" ref="F110">IFERROR(INDEX(TRANSPOSE(Common_InputFunctions.Utility_SplitStringIntoArray($E$53, "/")), 2), "")</f>
        <v>CFC-114</v>
      </c>
      <c r="G110" s="66" t="str" cm="1">
        <f t="array" ref="G110">IFERROR(INDEX(TRANSPOSE(Common_InputFunctions.Utility_SplitStringIntoArray($E$53, "/")), 3), "")</f>
        <v/>
      </c>
      <c r="H110" s="66" t="str" cm="1">
        <f t="array" ref="H110">IFERROR(INDEX(TRANSPOSE(Common_InputFunctions.Utility_SplitStringIntoArray($E$53, "/")), 4), "")</f>
        <v/>
      </c>
      <c r="I110" s="66">
        <v>0.5</v>
      </c>
      <c r="J110" s="66">
        <v>0.5</v>
      </c>
      <c r="K110" s="66"/>
      <c r="L110" s="66"/>
      <c r="M110" s="66" cm="1">
        <f t="array" ref="M110">IFERROR(Table_RefrigerantBlends_Cleaned[[#This Row],[Constituent 1 fraction]]*Common_InputFunctions.Utility_LookupValueInTableNumber(Table_RefrigerantBlends_Cleaned[[#This Row],[Constituent 1]], Table_RefrigerantChemicalGWP[Gas - FC name], Table_RefrigerantChemicalGWP[Global warming potential (AR5)]),"")</f>
        <v>5100</v>
      </c>
      <c r="N110" s="66" cm="1">
        <f t="array" ref="N110">IFERROR(Table_RefrigerantBlends_Cleaned[[#This Row],[Constituent 1 fraction]]*Common_InputFunctions.Utility_LookupValueInTableNumber(Table_RefrigerantBlends_Cleaned[[#This Row],[Constituent 2]], Table_RefrigerantChemicalGWP[Gas - FC name], Table_RefrigerantChemicalGWP[Global warming potential (AR5)]),"")</f>
        <v>4295</v>
      </c>
      <c r="O110" s="66" cm="1">
        <f t="array" ref="O110">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0" s="66" cm="1">
        <f t="array" ref="P110">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0" s="66">
        <f>SUM(Table_RefrigerantBlends_Cleaned[[#This Row],[Constituent 1 GWP]],Table_RefrigerantBlends_Cleaned[[#This Row],[Constituent 2 GWP]],Table_RefrigerantBlends_Cleaned[[#This Row],[Constituent 3 GWP]],Table_RefrigerantBlends_Cleaned[[#This Row],[Constituent 4 GWP]])</f>
        <v>9395</v>
      </c>
    </row>
    <row r="111" spans="4:17" ht="20.100000000000001" customHeight="1" x14ac:dyDescent="0.25">
      <c r="D111" s="66" t="str">
        <f>$D$53 &amp; " 60/40"</f>
        <v>R-400 60/40</v>
      </c>
      <c r="E111" s="66" t="str" cm="1">
        <f t="array" ref="E111">IFERROR(INDEX(TRANSPOSE(Common_InputFunctions.Utility_SplitStringIntoArray($E$53, "/")), 1), "")</f>
        <v>CFC-12</v>
      </c>
      <c r="F111" s="66" t="str" cm="1">
        <f t="array" ref="F111">IFERROR(INDEX(TRANSPOSE(Common_InputFunctions.Utility_SplitStringIntoArray($E$53, "/")), 2), "")</f>
        <v>CFC-114</v>
      </c>
      <c r="G111" s="66" t="str" cm="1">
        <f t="array" ref="G111">IFERROR(INDEX(TRANSPOSE(Common_InputFunctions.Utility_SplitStringIntoArray($E$53, "/")), 3), "")</f>
        <v/>
      </c>
      <c r="H111" s="66" t="str" cm="1">
        <f t="array" ref="H111">IFERROR(INDEX(TRANSPOSE(Common_InputFunctions.Utility_SplitStringIntoArray($E$53, "/")), 4), "")</f>
        <v/>
      </c>
      <c r="I111" s="66">
        <v>0.6</v>
      </c>
      <c r="J111" s="66">
        <v>0.4</v>
      </c>
      <c r="K111" s="66"/>
      <c r="L111" s="66"/>
      <c r="M111" s="66" cm="1">
        <f t="array" ref="M111">IFERROR(Table_RefrigerantBlends_Cleaned[[#This Row],[Constituent 1 fraction]]*Common_InputFunctions.Utility_LookupValueInTableNumber(Table_RefrigerantBlends_Cleaned[[#This Row],[Constituent 1]], Table_RefrigerantChemicalGWP[Gas - FC name], Table_RefrigerantChemicalGWP[Global warming potential (AR5)]),"")</f>
        <v>6120</v>
      </c>
      <c r="N111" s="66" cm="1">
        <f t="array" ref="N111">IFERROR(Table_RefrigerantBlends_Cleaned[[#This Row],[Constituent 1 fraction]]*Common_InputFunctions.Utility_LookupValueInTableNumber(Table_RefrigerantBlends_Cleaned[[#This Row],[Constituent 2]], Table_RefrigerantChemicalGWP[Gas - FC name], Table_RefrigerantChemicalGWP[Global warming potential (AR5)]),"")</f>
        <v>5154</v>
      </c>
      <c r="O111" s="66" cm="1">
        <f t="array" ref="O111">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1" s="66" cm="1">
        <f t="array" ref="P111">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1" s="66">
        <f>SUM(Table_RefrigerantBlends_Cleaned[[#This Row],[Constituent 1 GWP]],Table_RefrigerantBlends_Cleaned[[#This Row],[Constituent 2 GWP]],Table_RefrigerantBlends_Cleaned[[#This Row],[Constituent 3 GWP]],Table_RefrigerantBlends_Cleaned[[#This Row],[Constituent 4 GWP]])</f>
        <v>11274</v>
      </c>
    </row>
    <row r="112" spans="4:17" ht="20.100000000000001" customHeight="1" x14ac:dyDescent="0.25">
      <c r="D112" s="66" t="str">
        <f>$D$53 &amp; " 80/20"</f>
        <v>R-400 80/20</v>
      </c>
      <c r="E112" s="66" t="str" cm="1">
        <f t="array" ref="E112">IFERROR(INDEX(TRANSPOSE(Common_InputFunctions.Utility_SplitStringIntoArray($E$53, "/")), 1), "")</f>
        <v>CFC-12</v>
      </c>
      <c r="F112" s="66" t="str" cm="1">
        <f t="array" ref="F112">IFERROR(INDEX(TRANSPOSE(Common_InputFunctions.Utility_SplitStringIntoArray($E$53, "/")), 2), "")</f>
        <v>CFC-114</v>
      </c>
      <c r="G112" s="66" t="str" cm="1">
        <f t="array" ref="G112">IFERROR(INDEX(TRANSPOSE(Common_InputFunctions.Utility_SplitStringIntoArray($E$53, "/")), 3), "")</f>
        <v/>
      </c>
      <c r="H112" s="66" t="str" cm="1">
        <f t="array" ref="H112">IFERROR(INDEX(TRANSPOSE(Common_InputFunctions.Utility_SplitStringIntoArray($E$53, "/")), 4), "")</f>
        <v/>
      </c>
      <c r="I112" s="66">
        <v>0.8</v>
      </c>
      <c r="J112" s="66">
        <v>0.2</v>
      </c>
      <c r="K112" s="66"/>
      <c r="L112" s="66"/>
      <c r="M112" s="66" cm="1">
        <f t="array" ref="M112">IFERROR(Table_RefrigerantBlends_Cleaned[[#This Row],[Constituent 1 fraction]]*Common_InputFunctions.Utility_LookupValueInTableNumber(Table_RefrigerantBlends_Cleaned[[#This Row],[Constituent 1]], Table_RefrigerantChemicalGWP[Gas - FC name], Table_RefrigerantChemicalGWP[Global warming potential (AR5)]),"")</f>
        <v>8160</v>
      </c>
      <c r="N112" s="66" cm="1">
        <f t="array" ref="N112">IFERROR(Table_RefrigerantBlends_Cleaned[[#This Row],[Constituent 1 fraction]]*Common_InputFunctions.Utility_LookupValueInTableNumber(Table_RefrigerantBlends_Cleaned[[#This Row],[Constituent 2]], Table_RefrigerantChemicalGWP[Gas - FC name], Table_RefrigerantChemicalGWP[Global warming potential (AR5)]),"")</f>
        <v>6872</v>
      </c>
      <c r="O112" s="66" cm="1">
        <f t="array" ref="O112">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2" s="66" cm="1">
        <f t="array" ref="P112">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2" s="66">
        <f>SUM(Table_RefrigerantBlends_Cleaned[[#This Row],[Constituent 1 GWP]],Table_RefrigerantBlends_Cleaned[[#This Row],[Constituent 2 GWP]],Table_RefrigerantBlends_Cleaned[[#This Row],[Constituent 3 GWP]],Table_RefrigerantBlends_Cleaned[[#This Row],[Constituent 4 GWP]])</f>
        <v>15032</v>
      </c>
    </row>
    <row r="113" spans="4:17" ht="20.100000000000001" customHeight="1" x14ac:dyDescent="0.25">
      <c r="D113" s="66" t="str">
        <f t="shared" ref="D113:D161" si="0">D54</f>
        <v>R-401A</v>
      </c>
      <c r="E113" s="66" t="str" cm="1">
        <f t="array" ref="E113">IFERROR(INDEX(TRANSPOSE(Common_InputFunctions.Utility_SplitStringIntoArray($E54, "/")), 1), "")</f>
        <v>HCFC-22</v>
      </c>
      <c r="F113" s="66" t="str" cm="1">
        <f t="array" ref="F113">IFERROR(INDEX(TRANSPOSE(Common_InputFunctions.Utility_SplitStringIntoArray($E54, "/")), 2), "")</f>
        <v>HFC-152a</v>
      </c>
      <c r="G113" s="66" t="str" cm="1">
        <f t="array" ref="G113">IFERROR(INDEX(TRANSPOSE(Common_InputFunctions.Utility_SplitStringIntoArray($E54, "/")), 3), "")</f>
        <v>HCFC-124</v>
      </c>
      <c r="H113" s="66" t="str" cm="1">
        <f t="array" ref="H113">IFERROR(INDEX(TRANSPOSE(Common_InputFunctions.Utility_SplitStringIntoArray($E54, "/")), 4), "")</f>
        <v/>
      </c>
      <c r="I113" s="66" cm="1">
        <f t="array" ref="I113">IFERROR(INDEX(TRANSPOSE(Common_InputFunctions.Utility_SplitStringIntoArray($F54, "/", "(", ")")), 1)*0.01, "")</f>
        <v>0.53</v>
      </c>
      <c r="J113" s="66" cm="1">
        <f t="array" ref="J113">IFERROR(INDEX(TRANSPOSE(Common_InputFunctions.Utility_SplitStringIntoArray($F54, "/", "(", ")")), 2)*0.01, "")</f>
        <v>0.13</v>
      </c>
      <c r="K113" s="66" cm="1">
        <f t="array" ref="K113">IFERROR(INDEX(TRANSPOSE(Common_InputFunctions.Utility_SplitStringIntoArray($F54, "/", "(", ")")), 3)*0.01, "")</f>
        <v>0.34</v>
      </c>
      <c r="L113" s="66" t="str" cm="1">
        <f t="array" ref="L113">IFERROR(INDEX(TRANSPOSE(Common_InputFunctions.Utility_SplitStringIntoArray($F54, "/", "(", ")")), 4)*0.01, "")</f>
        <v/>
      </c>
      <c r="M113" s="66" cm="1">
        <f t="array" ref="M113">IFERROR(Table_RefrigerantBlends_Cleaned[[#This Row],[Constituent 1 fraction]]*Common_InputFunctions.Utility_LookupValueInTableNumber(Table_RefrigerantBlends_Cleaned[[#This Row],[Constituent 1]], Table_RefrigerantChemicalGWP[Gas - FC name], Table_RefrigerantChemicalGWP[Global warming potential (AR5)]),"")</f>
        <v>932.80000000000007</v>
      </c>
      <c r="N113" s="66" cm="1">
        <f t="array" ref="N113">IFERROR(Table_RefrigerantBlends_Cleaned[[#This Row],[Constituent 2 fraction]]*Common_InputFunctions.Utility_LookupValueInTableNumber(Table_RefrigerantBlends_Cleaned[[#This Row],[Constituent 2]], Table_RefrigerantChemicalGWP[Gas - FC name], Table_RefrigerantChemicalGWP[Global warming potential (AR5)]), "")</f>
        <v>17.940000000000001</v>
      </c>
      <c r="O113" s="66" cm="1">
        <f t="array" ref="O113">IFERROR(Table_RefrigerantBlends_Cleaned[[#This Row],[Constituent 3 fraction]]*Common_InputFunctions.Utility_LookupValueInTableNumber(Table_RefrigerantBlends_Cleaned[[#This Row],[Constituent 3]], Table_RefrigerantChemicalGWP[Gas - FC name], Table_RefrigerantChemicalGWP[Global warming potential (AR5)]), "")</f>
        <v>179.18</v>
      </c>
      <c r="P113" s="66" t="str" cm="1">
        <f t="array" ref="P11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13" s="66">
        <f>SUM(Table_RefrigerantBlends_Cleaned[[#This Row],[Constituent 1 GWP]],Table_RefrigerantBlends_Cleaned[[#This Row],[Constituent 2 GWP]],Table_RefrigerantBlends_Cleaned[[#This Row],[Constituent 3 GWP]],Table_RefrigerantBlends_Cleaned[[#This Row],[Constituent 4 GWP]])</f>
        <v>1129.92</v>
      </c>
    </row>
    <row r="114" spans="4:17" ht="20.100000000000001" customHeight="1" x14ac:dyDescent="0.25">
      <c r="D114" s="66" t="str">
        <f t="shared" si="0"/>
        <v>R-401B</v>
      </c>
      <c r="E114" s="66" t="str" cm="1">
        <f t="array" ref="E114">IFERROR(INDEX(TRANSPOSE(Common_InputFunctions.Utility_SplitStringIntoArray($E55, "/")), 1), "")</f>
        <v>HCFC-22</v>
      </c>
      <c r="F114" s="66" t="str" cm="1">
        <f t="array" ref="F114">IFERROR(INDEX(TRANSPOSE(Common_InputFunctions.Utility_SplitStringIntoArray($E55, "/")), 2), "")</f>
        <v>HFC-152a</v>
      </c>
      <c r="G114" s="66" t="str" cm="1">
        <f t="array" ref="G114">IFERROR(INDEX(TRANSPOSE(Common_InputFunctions.Utility_SplitStringIntoArray($E55, "/")), 3), "")</f>
        <v>HCFC-124</v>
      </c>
      <c r="H114" s="66" t="str" cm="1">
        <f t="array" ref="H114">IFERROR(INDEX(TRANSPOSE(Common_InputFunctions.Utility_SplitStringIntoArray($E55, "/")), 4), "")</f>
        <v/>
      </c>
      <c r="I114" s="66" cm="1">
        <f t="array" ref="I114">IFERROR(INDEX(TRANSPOSE(Common_InputFunctions.Utility_SplitStringIntoArray($F55, "/", "(", ")")), 1)*0.01, "")</f>
        <v>0.61</v>
      </c>
      <c r="J114" s="66" cm="1">
        <f t="array" ref="J114">IFERROR(INDEX(TRANSPOSE(Common_InputFunctions.Utility_SplitStringIntoArray($F55, "/", "(", ")")), 2)*0.01, "")</f>
        <v>0.11</v>
      </c>
      <c r="K114" s="66" cm="1">
        <f t="array" ref="K114">IFERROR(INDEX(TRANSPOSE(Common_InputFunctions.Utility_SplitStringIntoArray($F55, "/", "(", ")")), 3)*0.01, "")</f>
        <v>0.28000000000000003</v>
      </c>
      <c r="L114" s="66" t="str" cm="1">
        <f t="array" ref="L114">IFERROR(INDEX(TRANSPOSE(Common_InputFunctions.Utility_SplitStringIntoArray($F55, "/", "(", ")")), 4)*0.01, "")</f>
        <v/>
      </c>
      <c r="M114" s="66" cm="1">
        <f t="array" ref="M114">IFERROR(Table_RefrigerantBlends_Cleaned[[#This Row],[Constituent 1 fraction]]*Common_InputFunctions.Utility_LookupValueInTableNumber(Table_RefrigerantBlends_Cleaned[[#This Row],[Constituent 1]], Table_RefrigerantChemicalGWP[Gas - FC name], Table_RefrigerantChemicalGWP[Global warming potential (AR5)]),"")</f>
        <v>1073.5999999999999</v>
      </c>
      <c r="N114" s="66" cm="1">
        <f t="array" ref="N114">IFERROR(Table_RefrigerantBlends_Cleaned[[#This Row],[Constituent 2 fraction]]*Common_InputFunctions.Utility_LookupValueInTableNumber(Table_RefrigerantBlends_Cleaned[[#This Row],[Constituent 2]], Table_RefrigerantChemicalGWP[Gas - FC name], Table_RefrigerantChemicalGWP[Global warming potential (AR5)]), "")</f>
        <v>15.18</v>
      </c>
      <c r="O114" s="66" cm="1">
        <f t="array" ref="O114">IFERROR(Table_RefrigerantBlends_Cleaned[[#This Row],[Constituent 3 fraction]]*Common_InputFunctions.Utility_LookupValueInTableNumber(Table_RefrigerantBlends_Cleaned[[#This Row],[Constituent 3]], Table_RefrigerantChemicalGWP[Gas - FC name], Table_RefrigerantChemicalGWP[Global warming potential (AR5)]), "")</f>
        <v>147.56</v>
      </c>
      <c r="P114" s="66" t="str" cm="1">
        <f t="array" ref="P11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14" s="66">
        <f>SUM(Table_RefrigerantBlends_Cleaned[[#This Row],[Constituent 1 GWP]],Table_RefrigerantBlends_Cleaned[[#This Row],[Constituent 2 GWP]],Table_RefrigerantBlends_Cleaned[[#This Row],[Constituent 3 GWP]],Table_RefrigerantBlends_Cleaned[[#This Row],[Constituent 4 GWP]])</f>
        <v>1236.3399999999999</v>
      </c>
    </row>
    <row r="115" spans="4:17" ht="20.100000000000001" customHeight="1" x14ac:dyDescent="0.25">
      <c r="D115" s="66" t="str">
        <f t="shared" si="0"/>
        <v>R-401C</v>
      </c>
      <c r="E115" s="66" t="str" cm="1">
        <f t="array" ref="E115">IFERROR(INDEX(TRANSPOSE(Common_InputFunctions.Utility_SplitStringIntoArray($E56, "/")), 1), "")</f>
        <v>HCFC-22</v>
      </c>
      <c r="F115" s="66" t="str" cm="1">
        <f t="array" ref="F115">IFERROR(INDEX(TRANSPOSE(Common_InputFunctions.Utility_SplitStringIntoArray($E56, "/")), 2), "")</f>
        <v>HFC-152a</v>
      </c>
      <c r="G115" s="66" t="str" cm="1">
        <f t="array" ref="G115">IFERROR(INDEX(TRANSPOSE(Common_InputFunctions.Utility_SplitStringIntoArray($E56, "/")), 3), "")</f>
        <v>HCFC-124</v>
      </c>
      <c r="H115" s="66" t="str" cm="1">
        <f t="array" ref="H115">IFERROR(INDEX(TRANSPOSE(Common_InputFunctions.Utility_SplitStringIntoArray($E56, "/")), 4), "")</f>
        <v/>
      </c>
      <c r="I115" s="66" cm="1">
        <f t="array" ref="I115">IFERROR(INDEX(TRANSPOSE(Common_InputFunctions.Utility_SplitStringIntoArray($F56, "/", "(", ")")), 1)*0.01, "")</f>
        <v>0.33</v>
      </c>
      <c r="J115" s="66" cm="1">
        <f t="array" ref="J115">IFERROR(INDEX(TRANSPOSE(Common_InputFunctions.Utility_SplitStringIntoArray($F56, "/", "(", ")")), 2)*0.01, "")</f>
        <v>0.15</v>
      </c>
      <c r="K115" s="66" cm="1">
        <f t="array" ref="K115">IFERROR(INDEX(TRANSPOSE(Common_InputFunctions.Utility_SplitStringIntoArray($F56, "/", "(", ")")), 3)*0.01, "")</f>
        <v>0.52</v>
      </c>
      <c r="L115" s="66" t="str" cm="1">
        <f t="array" ref="L115">IFERROR(INDEX(TRANSPOSE(Common_InputFunctions.Utility_SplitStringIntoArray($F56, "/", "(", ")")), 4)*0.01, "")</f>
        <v/>
      </c>
      <c r="M115" s="66" cm="1">
        <f t="array" ref="M115">IFERROR(Table_RefrigerantBlends_Cleaned[[#This Row],[Constituent 1 fraction]]*Common_InputFunctions.Utility_LookupValueInTableNumber(Table_RefrigerantBlends_Cleaned[[#This Row],[Constituent 1]], Table_RefrigerantChemicalGWP[Gas - FC name], Table_RefrigerantChemicalGWP[Global warming potential (AR5)]),"")</f>
        <v>580.80000000000007</v>
      </c>
      <c r="N115" s="66" cm="1">
        <f t="array" ref="N115">IFERROR(Table_RefrigerantBlends_Cleaned[[#This Row],[Constituent 2 fraction]]*Common_InputFunctions.Utility_LookupValueInTableNumber(Table_RefrigerantBlends_Cleaned[[#This Row],[Constituent 2]], Table_RefrigerantChemicalGWP[Gas - FC name], Table_RefrigerantChemicalGWP[Global warming potential (AR5)]), "")</f>
        <v>20.7</v>
      </c>
      <c r="O115" s="66" cm="1">
        <f t="array" ref="O115">IFERROR(Table_RefrigerantBlends_Cleaned[[#This Row],[Constituent 3 fraction]]*Common_InputFunctions.Utility_LookupValueInTableNumber(Table_RefrigerantBlends_Cleaned[[#This Row],[Constituent 3]], Table_RefrigerantChemicalGWP[Gas - FC name], Table_RefrigerantChemicalGWP[Global warming potential (AR5)]), "")</f>
        <v>274.04000000000002</v>
      </c>
      <c r="P115" s="66" t="str" cm="1">
        <f t="array" ref="P11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15" s="66">
        <f>SUM(Table_RefrigerantBlends_Cleaned[[#This Row],[Constituent 1 GWP]],Table_RefrigerantBlends_Cleaned[[#This Row],[Constituent 2 GWP]],Table_RefrigerantBlends_Cleaned[[#This Row],[Constituent 3 GWP]],Table_RefrigerantBlends_Cleaned[[#This Row],[Constituent 4 GWP]])</f>
        <v>875.54000000000019</v>
      </c>
    </row>
    <row r="116" spans="4:17" ht="20.100000000000001" customHeight="1" x14ac:dyDescent="0.25">
      <c r="D116" s="66" t="str">
        <f t="shared" si="0"/>
        <v>R-402A</v>
      </c>
      <c r="E116" s="66" t="str" cm="1">
        <f t="array" ref="E116">IFERROR(INDEX(TRANSPOSE(Common_InputFunctions.Utility_SplitStringIntoArray($E57, "/")), 1), "")</f>
        <v>HFC-125</v>
      </c>
      <c r="F116" s="66" t="str" cm="1">
        <f t="array" ref="F116">IFERROR(INDEX(TRANSPOSE(Common_InputFunctions.Utility_SplitStringIntoArray($E57, "/")), 2), "")</f>
        <v>HC-290</v>
      </c>
      <c r="G116" s="66" t="str" cm="1">
        <f t="array" ref="G116">IFERROR(INDEX(TRANSPOSE(Common_InputFunctions.Utility_SplitStringIntoArray($E57, "/")), 3), "")</f>
        <v>HCFC-22</v>
      </c>
      <c r="H116" s="66" t="str" cm="1">
        <f t="array" ref="H116">IFERROR(INDEX(TRANSPOSE(Common_InputFunctions.Utility_SplitStringIntoArray($E57, "/")), 4), "")</f>
        <v/>
      </c>
      <c r="I116" s="66" cm="1">
        <f t="array" ref="I116">IFERROR(INDEX(TRANSPOSE(Common_InputFunctions.Utility_SplitStringIntoArray($F57, "/", "(", ")")), 1)*0.01, "")</f>
        <v>0.6</v>
      </c>
      <c r="J116" s="66" cm="1">
        <f t="array" ref="J116">IFERROR(INDEX(TRANSPOSE(Common_InputFunctions.Utility_SplitStringIntoArray($F57, "/", "(", ")")), 2)*0.01, "")</f>
        <v>0.02</v>
      </c>
      <c r="K116" s="66" cm="1">
        <f t="array" ref="K116">IFERROR(INDEX(TRANSPOSE(Common_InputFunctions.Utility_SplitStringIntoArray($F57, "/", "(", ")")), 3)*0.01, "")</f>
        <v>0.38</v>
      </c>
      <c r="L116" s="66" t="str" cm="1">
        <f t="array" ref="L116">IFERROR(INDEX(TRANSPOSE(Common_InputFunctions.Utility_SplitStringIntoArray($F57, "/", "(", ")")), 4)*0.01, "")</f>
        <v/>
      </c>
      <c r="M116" s="66" cm="1">
        <f t="array" ref="M116">IFERROR(Table_RefrigerantBlends_Cleaned[[#This Row],[Constituent 1 fraction]]*Common_InputFunctions.Utility_LookupValueInTableNumber(Table_RefrigerantBlends_Cleaned[[#This Row],[Constituent 1]], Table_RefrigerantChemicalGWP[Gas - FC name], Table_RefrigerantChemicalGWP[Global warming potential (AR5)]),"")</f>
        <v>1902</v>
      </c>
      <c r="N116" s="66" cm="1">
        <f t="array" ref="N11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6" s="66" cm="1">
        <f t="array" ref="O116">IFERROR(Table_RefrigerantBlends_Cleaned[[#This Row],[Constituent 3 fraction]]*Common_InputFunctions.Utility_LookupValueInTableNumber(Table_RefrigerantBlends_Cleaned[[#This Row],[Constituent 3]], Table_RefrigerantChemicalGWP[Gas - FC name], Table_RefrigerantChemicalGWP[Global warming potential (AR5)]), "")</f>
        <v>668.8</v>
      </c>
      <c r="P116" s="66" t="str" cm="1">
        <f t="array" ref="P11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16" s="66">
        <f>SUM(Table_RefrigerantBlends_Cleaned[[#This Row],[Constituent 1 GWP]],Table_RefrigerantBlends_Cleaned[[#This Row],[Constituent 2 GWP]],Table_RefrigerantBlends_Cleaned[[#This Row],[Constituent 3 GWP]],Table_RefrigerantBlends_Cleaned[[#This Row],[Constituent 4 GWP]])</f>
        <v>2570.8000000000002</v>
      </c>
    </row>
    <row r="117" spans="4:17" ht="20.100000000000001" customHeight="1" x14ac:dyDescent="0.25">
      <c r="D117" s="66" t="str">
        <f t="shared" si="0"/>
        <v>R-402B</v>
      </c>
      <c r="E117" s="66" t="str" cm="1">
        <f t="array" ref="E117">IFERROR(INDEX(TRANSPOSE(Common_InputFunctions.Utility_SplitStringIntoArray($E58, "/")), 1), "")</f>
        <v>HFC-125</v>
      </c>
      <c r="F117" s="66" t="str" cm="1">
        <f t="array" ref="F117">IFERROR(INDEX(TRANSPOSE(Common_InputFunctions.Utility_SplitStringIntoArray($E58, "/")), 2), "")</f>
        <v>HC-290</v>
      </c>
      <c r="G117" s="66" t="str" cm="1">
        <f t="array" ref="G117">IFERROR(INDEX(TRANSPOSE(Common_InputFunctions.Utility_SplitStringIntoArray($E58, "/")), 3), "")</f>
        <v>HCFC-22</v>
      </c>
      <c r="H117" s="66" t="str" cm="1">
        <f t="array" ref="H117">IFERROR(INDEX(TRANSPOSE(Common_InputFunctions.Utility_SplitStringIntoArray($E58, "/")), 4), "")</f>
        <v/>
      </c>
      <c r="I117" s="66" cm="1">
        <f t="array" ref="I117">IFERROR(INDEX(TRANSPOSE(Common_InputFunctions.Utility_SplitStringIntoArray($F58, "/", "(", ")")), 1)*0.01, "")</f>
        <v>0.38</v>
      </c>
      <c r="J117" s="66" cm="1">
        <f t="array" ref="J117">IFERROR(INDEX(TRANSPOSE(Common_InputFunctions.Utility_SplitStringIntoArray($F58, "/", "(", ")")), 2)*0.01, "")</f>
        <v>0.02</v>
      </c>
      <c r="K117" s="66" cm="1">
        <f t="array" ref="K117">IFERROR(INDEX(TRANSPOSE(Common_InputFunctions.Utility_SplitStringIntoArray($F58, "/", "(", ")")), 3)*0.01, "")</f>
        <v>0.6</v>
      </c>
      <c r="L117" s="66" t="str" cm="1">
        <f t="array" ref="L117">IFERROR(INDEX(TRANSPOSE(Common_InputFunctions.Utility_SplitStringIntoArray($F58, "/", "(", ")")), 4)*0.01, "")</f>
        <v/>
      </c>
      <c r="M117" s="66" cm="1">
        <f t="array" ref="M117">IFERROR(Table_RefrigerantBlends_Cleaned[[#This Row],[Constituent 1 fraction]]*Common_InputFunctions.Utility_LookupValueInTableNumber(Table_RefrigerantBlends_Cleaned[[#This Row],[Constituent 1]], Table_RefrigerantChemicalGWP[Gas - FC name], Table_RefrigerantChemicalGWP[Global warming potential (AR5)]),"")</f>
        <v>1204.5999999999999</v>
      </c>
      <c r="N117" s="66" cm="1">
        <f t="array" ref="N117">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7" s="66" cm="1">
        <f t="array" ref="O117">IFERROR(Table_RefrigerantBlends_Cleaned[[#This Row],[Constituent 3 fraction]]*Common_InputFunctions.Utility_LookupValueInTableNumber(Table_RefrigerantBlends_Cleaned[[#This Row],[Constituent 3]], Table_RefrigerantChemicalGWP[Gas - FC name], Table_RefrigerantChemicalGWP[Global warming potential (AR5)]), "")</f>
        <v>1056</v>
      </c>
      <c r="P117" s="66" t="str" cm="1">
        <f t="array" ref="P11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17" s="66">
        <f>SUM(Table_RefrigerantBlends_Cleaned[[#This Row],[Constituent 1 GWP]],Table_RefrigerantBlends_Cleaned[[#This Row],[Constituent 2 GWP]],Table_RefrigerantBlends_Cleaned[[#This Row],[Constituent 3 GWP]],Table_RefrigerantBlends_Cleaned[[#This Row],[Constituent 4 GWP]])</f>
        <v>2260.6</v>
      </c>
    </row>
    <row r="118" spans="4:17" ht="20.100000000000001" customHeight="1" x14ac:dyDescent="0.25">
      <c r="D118" s="66" t="str">
        <f t="shared" si="0"/>
        <v>R-403A</v>
      </c>
      <c r="E118" s="66" t="str" cm="1">
        <f t="array" ref="E118">IFERROR(INDEX(TRANSPOSE(Common_InputFunctions.Utility_SplitStringIntoArray($E59, "/")), 1), "")</f>
        <v>HC-290</v>
      </c>
      <c r="F118" s="66" t="str" cm="1">
        <f t="array" ref="F118">IFERROR(INDEX(TRANSPOSE(Common_InputFunctions.Utility_SplitStringIntoArray($E59, "/")), 2), "")</f>
        <v>HCFC-22</v>
      </c>
      <c r="G118" s="66" t="str" cm="1">
        <f t="array" ref="G118">IFERROR(INDEX(TRANSPOSE(Common_InputFunctions.Utility_SplitStringIntoArray($E59, "/")), 3), "")</f>
        <v>PFC-218</v>
      </c>
      <c r="H118" s="66" t="str" cm="1">
        <f t="array" ref="H118">IFERROR(INDEX(TRANSPOSE(Common_InputFunctions.Utility_SplitStringIntoArray($E59, "/")), 4), "")</f>
        <v/>
      </c>
      <c r="I118" s="66" cm="1">
        <f t="array" ref="I118">IFERROR(INDEX(TRANSPOSE(Common_InputFunctions.Utility_SplitStringIntoArray($F59, "/", "(", ")")), 1)*0.01, "")</f>
        <v>0.05</v>
      </c>
      <c r="J118" s="66" cm="1">
        <f t="array" ref="J118">IFERROR(INDEX(TRANSPOSE(Common_InputFunctions.Utility_SplitStringIntoArray($F59, "/", "(", ")")), 2)*0.01, "")</f>
        <v>0.75</v>
      </c>
      <c r="K118" s="66" cm="1">
        <f t="array" ref="K118">IFERROR(INDEX(TRANSPOSE(Common_InputFunctions.Utility_SplitStringIntoArray($F59, "/", "(", ")")), 3)*0.01, "")</f>
        <v>0.2</v>
      </c>
      <c r="L118" s="66" t="str" cm="1">
        <f t="array" ref="L118">IFERROR(INDEX(TRANSPOSE(Common_InputFunctions.Utility_SplitStringIntoArray($F59, "/", "(", ")")), 4)*0.01, "")</f>
        <v/>
      </c>
      <c r="M118" s="66" cm="1">
        <f t="array" ref="M118">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8" s="66" cm="1">
        <f t="array" ref="N118">IFERROR(Table_RefrigerantBlends_Cleaned[[#This Row],[Constituent 2 fraction]]*Common_InputFunctions.Utility_LookupValueInTableNumber(Table_RefrigerantBlends_Cleaned[[#This Row],[Constituent 2]], Table_RefrigerantChemicalGWP[Gas - FC name], Table_RefrigerantChemicalGWP[Global warming potential (AR5)]), "")</f>
        <v>1320</v>
      </c>
      <c r="O118" s="66" cm="1">
        <f t="array" ref="O118">IFERROR(Table_RefrigerantBlends_Cleaned[[#This Row],[Constituent 3 fraction]]*Common_InputFunctions.Utility_LookupValueInTableNumber(Table_RefrigerantBlends_Cleaned[[#This Row],[Constituent 3]], Table_RefrigerantChemicalGWP[Gas - FC name], Table_RefrigerantChemicalGWP[Global warming potential (AR5)]), "")</f>
        <v>1780</v>
      </c>
      <c r="P118" s="66" t="str" cm="1">
        <f t="array" ref="P118">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18" s="66">
        <f>SUM(Table_RefrigerantBlends_Cleaned[[#This Row],[Constituent 1 GWP]],Table_RefrigerantBlends_Cleaned[[#This Row],[Constituent 2 GWP]],Table_RefrigerantBlends_Cleaned[[#This Row],[Constituent 3 GWP]],Table_RefrigerantBlends_Cleaned[[#This Row],[Constituent 4 GWP]])</f>
        <v>3100</v>
      </c>
    </row>
    <row r="119" spans="4:17" ht="20.100000000000001" customHeight="1" x14ac:dyDescent="0.25">
      <c r="D119" s="66" t="str">
        <f t="shared" si="0"/>
        <v>R-403B</v>
      </c>
      <c r="E119" s="66" t="str" cm="1">
        <f t="array" ref="E119">IFERROR(INDEX(TRANSPOSE(Common_InputFunctions.Utility_SplitStringIntoArray($E60, "/")), 1), "")</f>
        <v>HC-290</v>
      </c>
      <c r="F119" s="66" t="str" cm="1">
        <f t="array" ref="F119">IFERROR(INDEX(TRANSPOSE(Common_InputFunctions.Utility_SplitStringIntoArray($E60, "/")), 2), "")</f>
        <v>HCFC-22</v>
      </c>
      <c r="G119" s="66" t="str" cm="1">
        <f t="array" ref="G119">IFERROR(INDEX(TRANSPOSE(Common_InputFunctions.Utility_SplitStringIntoArray($E60, "/")), 3), "")</f>
        <v>PFC-218</v>
      </c>
      <c r="H119" s="66" t="str" cm="1">
        <f t="array" ref="H119">IFERROR(INDEX(TRANSPOSE(Common_InputFunctions.Utility_SplitStringIntoArray($E60, "/")), 4), "")</f>
        <v/>
      </c>
      <c r="I119" s="66" cm="1">
        <f t="array" ref="I119">IFERROR(INDEX(TRANSPOSE(Common_InputFunctions.Utility_SplitStringIntoArray($F60, "/", "(", ")")), 1)*0.01, "")</f>
        <v>0.05</v>
      </c>
      <c r="J119" s="66" cm="1">
        <f t="array" ref="J119">IFERROR(INDEX(TRANSPOSE(Common_InputFunctions.Utility_SplitStringIntoArray($F60, "/", "(", ")")), 2)*0.01, "")</f>
        <v>0.56000000000000005</v>
      </c>
      <c r="K119" s="66" cm="1">
        <f t="array" ref="K119">IFERROR(INDEX(TRANSPOSE(Common_InputFunctions.Utility_SplitStringIntoArray($F60, "/", "(", ")")), 3)*0.01, "")</f>
        <v>0.39</v>
      </c>
      <c r="L119" s="66" t="str" cm="1">
        <f t="array" ref="L119">IFERROR(INDEX(TRANSPOSE(Common_InputFunctions.Utility_SplitStringIntoArray($F60, "/", "(", ")")), 4)*0.01, "")</f>
        <v/>
      </c>
      <c r="M119" s="66" cm="1">
        <f t="array" ref="M119">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9" s="66" cm="1">
        <f t="array" ref="N119">IFERROR(Table_RefrigerantBlends_Cleaned[[#This Row],[Constituent 2 fraction]]*Common_InputFunctions.Utility_LookupValueInTableNumber(Table_RefrigerantBlends_Cleaned[[#This Row],[Constituent 2]], Table_RefrigerantChemicalGWP[Gas - FC name], Table_RefrigerantChemicalGWP[Global warming potential (AR5)]), "")</f>
        <v>985.60000000000014</v>
      </c>
      <c r="O119" s="66" cm="1">
        <f t="array" ref="O119">IFERROR(Table_RefrigerantBlends_Cleaned[[#This Row],[Constituent 3 fraction]]*Common_InputFunctions.Utility_LookupValueInTableNumber(Table_RefrigerantBlends_Cleaned[[#This Row],[Constituent 3]], Table_RefrigerantChemicalGWP[Gas - FC name], Table_RefrigerantChemicalGWP[Global warming potential (AR5)]), "")</f>
        <v>3471</v>
      </c>
      <c r="P119" s="66" t="str" cm="1">
        <f t="array" ref="P119">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19" s="66">
        <f>SUM(Table_RefrigerantBlends_Cleaned[[#This Row],[Constituent 1 GWP]],Table_RefrigerantBlends_Cleaned[[#This Row],[Constituent 2 GWP]],Table_RefrigerantBlends_Cleaned[[#This Row],[Constituent 3 GWP]],Table_RefrigerantBlends_Cleaned[[#This Row],[Constituent 4 GWP]])</f>
        <v>4456.6000000000004</v>
      </c>
    </row>
    <row r="120" spans="4:17" ht="20.100000000000001" customHeight="1" x14ac:dyDescent="0.25">
      <c r="D120" s="66" t="str">
        <f t="shared" si="0"/>
        <v>R-404A</v>
      </c>
      <c r="E120" s="66" t="str" cm="1">
        <f t="array" ref="E120">IFERROR(INDEX(TRANSPOSE(Common_InputFunctions.Utility_SplitStringIntoArray($E61, "/")), 1), "")</f>
        <v>HFC-125</v>
      </c>
      <c r="F120" s="66" t="str" cm="1">
        <f t="array" ref="F120">IFERROR(INDEX(TRANSPOSE(Common_InputFunctions.Utility_SplitStringIntoArray($E61, "/")), 2), "")</f>
        <v>HFC-143a</v>
      </c>
      <c r="G120" s="66" t="str" cm="1">
        <f t="array" ref="G120">IFERROR(INDEX(TRANSPOSE(Common_InputFunctions.Utility_SplitStringIntoArray($E61, "/")), 3), "")</f>
        <v>HFC-134a</v>
      </c>
      <c r="H120" s="66" t="str" cm="1">
        <f t="array" ref="H120">IFERROR(INDEX(TRANSPOSE(Common_InputFunctions.Utility_SplitStringIntoArray($E61, "/")), 4), "")</f>
        <v/>
      </c>
      <c r="I120" s="66" cm="1">
        <f t="array" ref="I120">IFERROR(INDEX(TRANSPOSE(Common_InputFunctions.Utility_SplitStringIntoArray($F61, "/", "(", ")")), 1)*0.01, "")</f>
        <v>0.44</v>
      </c>
      <c r="J120" s="66" cm="1">
        <f t="array" ref="J120">IFERROR(INDEX(TRANSPOSE(Common_InputFunctions.Utility_SplitStringIntoArray($F61, "/", "(", ")")), 2)*0.01, "")</f>
        <v>0.52</v>
      </c>
      <c r="K120" s="66" cm="1">
        <f t="array" ref="K120">IFERROR(INDEX(TRANSPOSE(Common_InputFunctions.Utility_SplitStringIntoArray($F61, "/", "(", ")")), 3)*0.01, "")</f>
        <v>0.04</v>
      </c>
      <c r="L120" s="66" t="str" cm="1">
        <f t="array" ref="L120">IFERROR(INDEX(TRANSPOSE(Common_InputFunctions.Utility_SplitStringIntoArray($F61, "/", "(", ")")), 4)*0.01, "")</f>
        <v/>
      </c>
      <c r="M120" s="66" cm="1">
        <f t="array" ref="M120">IFERROR(Table_RefrigerantBlends_Cleaned[[#This Row],[Constituent 1 fraction]]*Common_InputFunctions.Utility_LookupValueInTableNumber(Table_RefrigerantBlends_Cleaned[[#This Row],[Constituent 1]], Table_RefrigerantChemicalGWP[Gas - FC name], Table_RefrigerantChemicalGWP[Global warming potential (AR5)]),"")</f>
        <v>1394.8</v>
      </c>
      <c r="N120" s="66" cm="1">
        <f t="array" ref="N120">IFERROR(Table_RefrigerantBlends_Cleaned[[#This Row],[Constituent 2 fraction]]*Common_InputFunctions.Utility_LookupValueInTableNumber(Table_RefrigerantBlends_Cleaned[[#This Row],[Constituent 2]], Table_RefrigerantChemicalGWP[Gas - FC name], Table_RefrigerantChemicalGWP[Global warming potential (AR5)]), "")</f>
        <v>2496</v>
      </c>
      <c r="O120" s="66" cm="1">
        <f t="array" ref="O120">IFERROR(Table_RefrigerantBlends_Cleaned[[#This Row],[Constituent 3 fraction]]*Common_InputFunctions.Utility_LookupValueInTableNumber(Table_RefrigerantBlends_Cleaned[[#This Row],[Constituent 3]], Table_RefrigerantChemicalGWP[Gas - FC name], Table_RefrigerantChemicalGWP[Global warming potential (AR5)]), "")</f>
        <v>52</v>
      </c>
      <c r="P120" s="66" t="str" cm="1">
        <f t="array" ref="P12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20" s="66">
        <f>SUM(Table_RefrigerantBlends_Cleaned[[#This Row],[Constituent 1 GWP]],Table_RefrigerantBlends_Cleaned[[#This Row],[Constituent 2 GWP]],Table_RefrigerantBlends_Cleaned[[#This Row],[Constituent 3 GWP]],Table_RefrigerantBlends_Cleaned[[#This Row],[Constituent 4 GWP]])</f>
        <v>3942.8</v>
      </c>
    </row>
    <row r="121" spans="4:17" ht="20.100000000000001" customHeight="1" x14ac:dyDescent="0.25">
      <c r="D121" s="66" t="str">
        <f t="shared" si="0"/>
        <v>R-405A</v>
      </c>
      <c r="E121" s="66" t="str" cm="1">
        <f t="array" ref="E121">IFERROR(INDEX(TRANSPOSE(Common_InputFunctions.Utility_SplitStringIntoArray($E62, "/")), 1), "")</f>
        <v>HCFC-22</v>
      </c>
      <c r="F121" s="66" t="str" cm="1">
        <f t="array" ref="F121">IFERROR(INDEX(TRANSPOSE(Common_InputFunctions.Utility_SplitStringIntoArray($E62, "/")), 2), "")</f>
        <v>HFC-152a</v>
      </c>
      <c r="G121" s="66" t="str" cm="1">
        <f t="array" ref="G121">IFERROR(INDEX(TRANSPOSE(Common_InputFunctions.Utility_SplitStringIntoArray($E62, "/")), 3), "")</f>
        <v>HCFC-142b</v>
      </c>
      <c r="H121" s="66" t="str" cm="1">
        <f t="array" ref="H121">IFERROR(INDEX(TRANSPOSE(Common_InputFunctions.Utility_SplitStringIntoArray($E62, "/")), 4), "")</f>
        <v>PFC-318</v>
      </c>
      <c r="I121" s="66" cm="1">
        <f t="array" ref="I121">IFERROR(INDEX(TRANSPOSE(Common_InputFunctions.Utility_SplitStringIntoArray($F62, "/", "(", ")")), 1)*0.01, "")</f>
        <v>0.45</v>
      </c>
      <c r="J121" s="66" cm="1">
        <f t="array" ref="J121">IFERROR(INDEX(TRANSPOSE(Common_InputFunctions.Utility_SplitStringIntoArray($F62, "/", "(", ")")), 2)*0.01, "")</f>
        <v>7.0000000000000007E-2</v>
      </c>
      <c r="K121" s="66" cm="1">
        <f t="array" ref="K121">IFERROR(INDEX(TRANSPOSE(Common_InputFunctions.Utility_SplitStringIntoArray($F62, "/", "(", ")")), 3)*0.01, "")</f>
        <v>5.5E-2</v>
      </c>
      <c r="L121" s="66" cm="1">
        <f t="array" ref="L121">IFERROR(INDEX(TRANSPOSE(Common_InputFunctions.Utility_SplitStringIntoArray($F62, "/", "(", ")")), 4)*0.01, "")</f>
        <v>0.42499999999999999</v>
      </c>
      <c r="M121" s="66" cm="1">
        <f t="array" ref="M121">IFERROR(Table_RefrigerantBlends_Cleaned[[#This Row],[Constituent 1 fraction]]*Common_InputFunctions.Utility_LookupValueInTableNumber(Table_RefrigerantBlends_Cleaned[[#This Row],[Constituent 1]], Table_RefrigerantChemicalGWP[Gas - FC name], Table_RefrigerantChemicalGWP[Global warming potential (AR5)]),"")</f>
        <v>792</v>
      </c>
      <c r="N121" s="66" cm="1">
        <f t="array" ref="N121">IFERROR(Table_RefrigerantBlends_Cleaned[[#This Row],[Constituent 2 fraction]]*Common_InputFunctions.Utility_LookupValueInTableNumber(Table_RefrigerantBlends_Cleaned[[#This Row],[Constituent 2]], Table_RefrigerantChemicalGWP[Gas - FC name], Table_RefrigerantChemicalGWP[Global warming potential (AR5)]), "")</f>
        <v>9.66</v>
      </c>
      <c r="O121" s="66" cm="1">
        <f t="array" ref="O121">IFERROR(Table_RefrigerantBlends_Cleaned[[#This Row],[Constituent 3 fraction]]*Common_InputFunctions.Utility_LookupValueInTableNumber(Table_RefrigerantBlends_Cleaned[[#This Row],[Constituent 3]], Table_RefrigerantChemicalGWP[Gas - FC name], Table_RefrigerantChemicalGWP[Global warming potential (AR5)]), "")</f>
        <v>108.9</v>
      </c>
      <c r="P121" s="66" cm="1">
        <f t="array" ref="P121">IFERROR(Table_RefrigerantBlends_Cleaned[[#This Row],[Constituent 4 fraction]]*Common_InputFunctions.Utility_LookupValueInTableNumber(Table_RefrigerantBlends_Cleaned[[#This Row],[Constituent 4]], Table_RefrigerantChemicalGWP[Gas - FC name], Table_RefrigerantChemicalGWP[Global warming potential (AR5)]), "")</f>
        <v>4054.5</v>
      </c>
      <c r="Q121" s="66">
        <f>SUM(Table_RefrigerantBlends_Cleaned[[#This Row],[Constituent 1 GWP]],Table_RefrigerantBlends_Cleaned[[#This Row],[Constituent 2 GWP]],Table_RefrigerantBlends_Cleaned[[#This Row],[Constituent 3 GWP]],Table_RefrigerantBlends_Cleaned[[#This Row],[Constituent 4 GWP]])</f>
        <v>4965.0599999999995</v>
      </c>
    </row>
    <row r="122" spans="4:17" ht="20.100000000000001" customHeight="1" x14ac:dyDescent="0.25">
      <c r="D122" s="66" t="str">
        <f t="shared" si="0"/>
        <v>R-406A</v>
      </c>
      <c r="E122" s="66" t="str" cm="1">
        <f t="array" ref="E122">IFERROR(INDEX(TRANSPOSE(Common_InputFunctions.Utility_SplitStringIntoArray($E63, "/")), 1), "")</f>
        <v>HCFC-22</v>
      </c>
      <c r="F122" s="66" t="str" cm="1">
        <f t="array" ref="F122">IFERROR(INDEX(TRANSPOSE(Common_InputFunctions.Utility_SplitStringIntoArray($E63, "/")), 2), "")</f>
        <v>HC-600a</v>
      </c>
      <c r="G122" s="66" t="str" cm="1">
        <f t="array" ref="G122">IFERROR(INDEX(TRANSPOSE(Common_InputFunctions.Utility_SplitStringIntoArray($E63, "/")), 3), "")</f>
        <v>HCFC-142b</v>
      </c>
      <c r="H122" s="66" t="str" cm="1">
        <f t="array" ref="H122">IFERROR(INDEX(TRANSPOSE(Common_InputFunctions.Utility_SplitStringIntoArray($E63, "/")), 4), "")</f>
        <v/>
      </c>
      <c r="I122" s="66" cm="1">
        <f t="array" ref="I122">IFERROR(INDEX(TRANSPOSE(Common_InputFunctions.Utility_SplitStringIntoArray($F63, "/", "(", ")")), 1)*0.01, "")</f>
        <v>0.55000000000000004</v>
      </c>
      <c r="J122" s="66" cm="1">
        <f t="array" ref="J122">IFERROR(INDEX(TRANSPOSE(Common_InputFunctions.Utility_SplitStringIntoArray($F63, "/", "(", ")")), 2)*0.01, "")</f>
        <v>0.14000000000000001</v>
      </c>
      <c r="K122" s="66" cm="1">
        <f t="array" ref="K122">IFERROR(INDEX(TRANSPOSE(Common_InputFunctions.Utility_SplitStringIntoArray($F63, "/", "(", ")")), 3)*0.01, "")</f>
        <v>0.41000000000000003</v>
      </c>
      <c r="L122" s="66" t="str" cm="1">
        <f t="array" ref="L122">IFERROR(INDEX(TRANSPOSE(Common_InputFunctions.Utility_SplitStringIntoArray($F63, "/", "(", ")")), 4)*0.01, "")</f>
        <v/>
      </c>
      <c r="M122" s="66" cm="1">
        <f t="array" ref="M122">IFERROR(Table_RefrigerantBlends_Cleaned[[#This Row],[Constituent 1 fraction]]*Common_InputFunctions.Utility_LookupValueInTableNumber(Table_RefrigerantBlends_Cleaned[[#This Row],[Constituent 1]], Table_RefrigerantChemicalGWP[Gas - FC name], Table_RefrigerantChemicalGWP[Global warming potential (AR5)]),"")</f>
        <v>968.00000000000011</v>
      </c>
      <c r="N122" s="66" cm="1">
        <f t="array" ref="N122">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22" s="66" cm="1">
        <f t="array" ref="O122">IFERROR(Table_RefrigerantBlends_Cleaned[[#This Row],[Constituent 3 fraction]]*Common_InputFunctions.Utility_LookupValueInTableNumber(Table_RefrigerantBlends_Cleaned[[#This Row],[Constituent 3]], Table_RefrigerantChemicalGWP[Gas - FC name], Table_RefrigerantChemicalGWP[Global warming potential (AR5)]), "")</f>
        <v>811.80000000000007</v>
      </c>
      <c r="P122" s="66" t="str" cm="1">
        <f t="array" ref="P122">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22" s="66">
        <f>SUM(Table_RefrigerantBlends_Cleaned[[#This Row],[Constituent 1 GWP]],Table_RefrigerantBlends_Cleaned[[#This Row],[Constituent 2 GWP]],Table_RefrigerantBlends_Cleaned[[#This Row],[Constituent 3 GWP]],Table_RefrigerantBlends_Cleaned[[#This Row],[Constituent 4 GWP]])</f>
        <v>1779.8000000000002</v>
      </c>
    </row>
    <row r="123" spans="4:17" ht="20.100000000000001" customHeight="1" x14ac:dyDescent="0.25">
      <c r="D123" s="66" t="str">
        <f t="shared" si="0"/>
        <v>R-407A</v>
      </c>
      <c r="E123" s="66" t="str" cm="1">
        <f t="array" ref="E123">IFERROR(INDEX(TRANSPOSE(Common_InputFunctions.Utility_SplitStringIntoArray($E64, "/")), 1), "")</f>
        <v>HFC-32</v>
      </c>
      <c r="F123" s="66" t="str" cm="1">
        <f t="array" ref="F123">IFERROR(INDEX(TRANSPOSE(Common_InputFunctions.Utility_SplitStringIntoArray($E64, "/")), 2), "")</f>
        <v>HFC-125</v>
      </c>
      <c r="G123" s="66" t="str" cm="1">
        <f t="array" ref="G123">IFERROR(INDEX(TRANSPOSE(Common_InputFunctions.Utility_SplitStringIntoArray($E64, "/")), 3), "")</f>
        <v>HFC-134a</v>
      </c>
      <c r="H123" s="66" t="str" cm="1">
        <f t="array" ref="H123">IFERROR(INDEX(TRANSPOSE(Common_InputFunctions.Utility_SplitStringIntoArray($E64, "/")), 4), "")</f>
        <v/>
      </c>
      <c r="I123" s="66" cm="1">
        <f t="array" ref="I123">IFERROR(INDEX(TRANSPOSE(Common_InputFunctions.Utility_SplitStringIntoArray($F64, "/", "(", ")")), 1)*0.01, "")</f>
        <v>0.2</v>
      </c>
      <c r="J123" s="66" cm="1">
        <f t="array" ref="J123">IFERROR(INDEX(TRANSPOSE(Common_InputFunctions.Utility_SplitStringIntoArray($F64, "/", "(", ")")), 2)*0.01, "")</f>
        <v>0.4</v>
      </c>
      <c r="K123" s="66" cm="1">
        <f t="array" ref="K123">IFERROR(INDEX(TRANSPOSE(Common_InputFunctions.Utility_SplitStringIntoArray($F64, "/", "(", ")")), 3)*0.01, "")</f>
        <v>0.4</v>
      </c>
      <c r="L123" s="66" t="str" cm="1">
        <f t="array" ref="L123">IFERROR(INDEX(TRANSPOSE(Common_InputFunctions.Utility_SplitStringIntoArray($F64, "/", "(", ")")), 4)*0.01, "")</f>
        <v/>
      </c>
      <c r="M123" s="66" cm="1">
        <f t="array" ref="M123">IFERROR(Table_RefrigerantBlends_Cleaned[[#This Row],[Constituent 1 fraction]]*Common_InputFunctions.Utility_LookupValueInTableNumber(Table_RefrigerantBlends_Cleaned[[#This Row],[Constituent 1]], Table_RefrigerantChemicalGWP[Gas - FC name], Table_RefrigerantChemicalGWP[Global warming potential (AR5)]),"")</f>
        <v>135.4</v>
      </c>
      <c r="N123" s="66" cm="1">
        <f t="array" ref="N123">IFERROR(Table_RefrigerantBlends_Cleaned[[#This Row],[Constituent 2 fraction]]*Common_InputFunctions.Utility_LookupValueInTableNumber(Table_RefrigerantBlends_Cleaned[[#This Row],[Constituent 2]], Table_RefrigerantChemicalGWP[Gas - FC name], Table_RefrigerantChemicalGWP[Global warming potential (AR5)]), "")</f>
        <v>1268</v>
      </c>
      <c r="O123" s="66" cm="1">
        <f t="array" ref="O123">IFERROR(Table_RefrigerantBlends_Cleaned[[#This Row],[Constituent 3 fraction]]*Common_InputFunctions.Utility_LookupValueInTableNumber(Table_RefrigerantBlends_Cleaned[[#This Row],[Constituent 3]], Table_RefrigerantChemicalGWP[Gas - FC name], Table_RefrigerantChemicalGWP[Global warming potential (AR5)]), "")</f>
        <v>520</v>
      </c>
      <c r="P123" s="66" t="str" cm="1">
        <f t="array" ref="P12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23" s="66">
        <f>SUM(Table_RefrigerantBlends_Cleaned[[#This Row],[Constituent 1 GWP]],Table_RefrigerantBlends_Cleaned[[#This Row],[Constituent 2 GWP]],Table_RefrigerantBlends_Cleaned[[#This Row],[Constituent 3 GWP]],Table_RefrigerantBlends_Cleaned[[#This Row],[Constituent 4 GWP]])</f>
        <v>1923.4</v>
      </c>
    </row>
    <row r="124" spans="4:17" ht="20.100000000000001" customHeight="1" x14ac:dyDescent="0.25">
      <c r="D124" s="66" t="str">
        <f t="shared" si="0"/>
        <v>R-407B</v>
      </c>
      <c r="E124" s="66" t="str" cm="1">
        <f t="array" ref="E124">IFERROR(INDEX(TRANSPOSE(Common_InputFunctions.Utility_SplitStringIntoArray($E65, "/")), 1), "")</f>
        <v>HFC-32</v>
      </c>
      <c r="F124" s="66" t="str" cm="1">
        <f t="array" ref="F124">IFERROR(INDEX(TRANSPOSE(Common_InputFunctions.Utility_SplitStringIntoArray($E65, "/")), 2), "")</f>
        <v>HFC-125</v>
      </c>
      <c r="G124" s="66" t="str" cm="1">
        <f t="array" ref="G124">IFERROR(INDEX(TRANSPOSE(Common_InputFunctions.Utility_SplitStringIntoArray($E65, "/")), 3), "")</f>
        <v>HFC-134a</v>
      </c>
      <c r="H124" s="66" t="str" cm="1">
        <f t="array" ref="H124">IFERROR(INDEX(TRANSPOSE(Common_InputFunctions.Utility_SplitStringIntoArray($E65, "/")), 4), "")</f>
        <v/>
      </c>
      <c r="I124" s="66" cm="1">
        <f t="array" ref="I124">IFERROR(INDEX(TRANSPOSE(Common_InputFunctions.Utility_SplitStringIntoArray($F65, "/", "(", ")")), 1)*0.01, "")</f>
        <v>0.1</v>
      </c>
      <c r="J124" s="66" cm="1">
        <f t="array" ref="J124">IFERROR(INDEX(TRANSPOSE(Common_InputFunctions.Utility_SplitStringIntoArray($F65, "/", "(", ")")), 2)*0.01, "")</f>
        <v>0.70000000000000007</v>
      </c>
      <c r="K124" s="66" cm="1">
        <f t="array" ref="K124">IFERROR(INDEX(TRANSPOSE(Common_InputFunctions.Utility_SplitStringIntoArray($F65, "/", "(", ")")), 3)*0.01, "")</f>
        <v>0.2</v>
      </c>
      <c r="L124" s="66" t="str" cm="1">
        <f t="array" ref="L124">IFERROR(INDEX(TRANSPOSE(Common_InputFunctions.Utility_SplitStringIntoArray($F65, "/", "(", ")")), 4)*0.01, "")</f>
        <v/>
      </c>
      <c r="M124" s="66" cm="1">
        <f t="array" ref="M124">IFERROR(Table_RefrigerantBlends_Cleaned[[#This Row],[Constituent 1 fraction]]*Common_InputFunctions.Utility_LookupValueInTableNumber(Table_RefrigerantBlends_Cleaned[[#This Row],[Constituent 1]], Table_RefrigerantChemicalGWP[Gas - FC name], Table_RefrigerantChemicalGWP[Global warming potential (AR5)]),"")</f>
        <v>67.7</v>
      </c>
      <c r="N124" s="66" cm="1">
        <f t="array" ref="N124">IFERROR(Table_RefrigerantBlends_Cleaned[[#This Row],[Constituent 2 fraction]]*Common_InputFunctions.Utility_LookupValueInTableNumber(Table_RefrigerantBlends_Cleaned[[#This Row],[Constituent 2]], Table_RefrigerantChemicalGWP[Gas - FC name], Table_RefrigerantChemicalGWP[Global warming potential (AR5)]), "")</f>
        <v>2219</v>
      </c>
      <c r="O124" s="66" cm="1">
        <f t="array" ref="O124">IFERROR(Table_RefrigerantBlends_Cleaned[[#This Row],[Constituent 3 fraction]]*Common_InputFunctions.Utility_LookupValueInTableNumber(Table_RefrigerantBlends_Cleaned[[#This Row],[Constituent 3]], Table_RefrigerantChemicalGWP[Gas - FC name], Table_RefrigerantChemicalGWP[Global warming potential (AR5)]), "")</f>
        <v>260</v>
      </c>
      <c r="P124" s="66" t="str" cm="1">
        <f t="array" ref="P12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24" s="66">
        <f>SUM(Table_RefrigerantBlends_Cleaned[[#This Row],[Constituent 1 GWP]],Table_RefrigerantBlends_Cleaned[[#This Row],[Constituent 2 GWP]],Table_RefrigerantBlends_Cleaned[[#This Row],[Constituent 3 GWP]],Table_RefrigerantBlends_Cleaned[[#This Row],[Constituent 4 GWP]])</f>
        <v>2546.6999999999998</v>
      </c>
    </row>
    <row r="125" spans="4:17" ht="20.100000000000001" customHeight="1" x14ac:dyDescent="0.25">
      <c r="D125" s="66" t="str">
        <f t="shared" si="0"/>
        <v>R-407C</v>
      </c>
      <c r="E125" s="66" t="str" cm="1">
        <f t="array" ref="E125">IFERROR(INDEX(TRANSPOSE(Common_InputFunctions.Utility_SplitStringIntoArray($E66, "/")), 1), "")</f>
        <v>HFC-32</v>
      </c>
      <c r="F125" s="66" t="str" cm="1">
        <f t="array" ref="F125">IFERROR(INDEX(TRANSPOSE(Common_InputFunctions.Utility_SplitStringIntoArray($E66, "/")), 2), "")</f>
        <v>HFC-125</v>
      </c>
      <c r="G125" s="66" t="str" cm="1">
        <f t="array" ref="G125">IFERROR(INDEX(TRANSPOSE(Common_InputFunctions.Utility_SplitStringIntoArray($E66, "/")), 3), "")</f>
        <v>HFC-134a</v>
      </c>
      <c r="H125" s="66" t="str" cm="1">
        <f t="array" ref="H125">IFERROR(INDEX(TRANSPOSE(Common_InputFunctions.Utility_SplitStringIntoArray($E66, "/")), 4), "")</f>
        <v/>
      </c>
      <c r="I125" s="66" cm="1">
        <f t="array" ref="I125">IFERROR(INDEX(TRANSPOSE(Common_InputFunctions.Utility_SplitStringIntoArray($F66, "/", "(", ")")), 1)*0.01, "")</f>
        <v>0.23</v>
      </c>
      <c r="J125" s="66" cm="1">
        <f t="array" ref="J125">IFERROR(INDEX(TRANSPOSE(Common_InputFunctions.Utility_SplitStringIntoArray($F66, "/", "(", ")")), 2)*0.01, "")</f>
        <v>0.25</v>
      </c>
      <c r="K125" s="66" cm="1">
        <f t="array" ref="K125">IFERROR(INDEX(TRANSPOSE(Common_InputFunctions.Utility_SplitStringIntoArray($F66, "/", "(", ")")), 3)*0.01, "")</f>
        <v>0.52</v>
      </c>
      <c r="L125" s="66" t="str" cm="1">
        <f t="array" ref="L125">IFERROR(INDEX(TRANSPOSE(Common_InputFunctions.Utility_SplitStringIntoArray($F66, "/", "(", ")")), 4)*0.01, "")</f>
        <v/>
      </c>
      <c r="M125" s="66" cm="1">
        <f t="array" ref="M125">IFERROR(Table_RefrigerantBlends_Cleaned[[#This Row],[Constituent 1 fraction]]*Common_InputFunctions.Utility_LookupValueInTableNumber(Table_RefrigerantBlends_Cleaned[[#This Row],[Constituent 1]], Table_RefrigerantChemicalGWP[Gas - FC name], Table_RefrigerantChemicalGWP[Global warming potential (AR5)]),"")</f>
        <v>155.71</v>
      </c>
      <c r="N125" s="66" cm="1">
        <f t="array" ref="N125">IFERROR(Table_RefrigerantBlends_Cleaned[[#This Row],[Constituent 2 fraction]]*Common_InputFunctions.Utility_LookupValueInTableNumber(Table_RefrigerantBlends_Cleaned[[#This Row],[Constituent 2]], Table_RefrigerantChemicalGWP[Gas - FC name], Table_RefrigerantChemicalGWP[Global warming potential (AR5)]), "")</f>
        <v>792.5</v>
      </c>
      <c r="O125" s="66" cm="1">
        <f t="array" ref="O125">IFERROR(Table_RefrigerantBlends_Cleaned[[#This Row],[Constituent 3 fraction]]*Common_InputFunctions.Utility_LookupValueInTableNumber(Table_RefrigerantBlends_Cleaned[[#This Row],[Constituent 3]], Table_RefrigerantChemicalGWP[Gas - FC name], Table_RefrigerantChemicalGWP[Global warming potential (AR5)]), "")</f>
        <v>676</v>
      </c>
      <c r="P125" s="66" t="str" cm="1">
        <f t="array" ref="P12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25" s="66">
        <f>SUM(Table_RefrigerantBlends_Cleaned[[#This Row],[Constituent 1 GWP]],Table_RefrigerantBlends_Cleaned[[#This Row],[Constituent 2 GWP]],Table_RefrigerantBlends_Cleaned[[#This Row],[Constituent 3 GWP]],Table_RefrigerantBlends_Cleaned[[#This Row],[Constituent 4 GWP]])</f>
        <v>1624.21</v>
      </c>
    </row>
    <row r="126" spans="4:17" ht="20.100000000000001" customHeight="1" x14ac:dyDescent="0.25">
      <c r="D126" s="66" t="str">
        <f t="shared" si="0"/>
        <v>R-407D</v>
      </c>
      <c r="E126" s="66" t="str" cm="1">
        <f t="array" ref="E126">IFERROR(INDEX(TRANSPOSE(Common_InputFunctions.Utility_SplitStringIntoArray($E67, "/")), 1), "")</f>
        <v>HFC-32</v>
      </c>
      <c r="F126" s="66" t="str" cm="1">
        <f t="array" ref="F126">IFERROR(INDEX(TRANSPOSE(Common_InputFunctions.Utility_SplitStringIntoArray($E67, "/")), 2), "")</f>
        <v>HFC-125</v>
      </c>
      <c r="G126" s="66" t="str" cm="1">
        <f t="array" ref="G126">IFERROR(INDEX(TRANSPOSE(Common_InputFunctions.Utility_SplitStringIntoArray($E67, "/")), 3), "")</f>
        <v>HFC-134a</v>
      </c>
      <c r="H126" s="66" t="str" cm="1">
        <f t="array" ref="H126">IFERROR(INDEX(TRANSPOSE(Common_InputFunctions.Utility_SplitStringIntoArray($E67, "/")), 4), "")</f>
        <v/>
      </c>
      <c r="I126" s="66" cm="1">
        <f t="array" ref="I126">IFERROR(INDEX(TRANSPOSE(Common_InputFunctions.Utility_SplitStringIntoArray($F67, "/", "(", ")")), 1)*0.01, "")</f>
        <v>0.15</v>
      </c>
      <c r="J126" s="66" cm="1">
        <f t="array" ref="J126">IFERROR(INDEX(TRANSPOSE(Common_InputFunctions.Utility_SplitStringIntoArray($F67, "/", "(", ")")), 2)*0.01, "")</f>
        <v>0.15</v>
      </c>
      <c r="K126" s="66" cm="1">
        <f t="array" ref="K126">IFERROR(INDEX(TRANSPOSE(Common_InputFunctions.Utility_SplitStringIntoArray($F67, "/", "(", ")")), 3)*0.01, "")</f>
        <v>0.70000000000000007</v>
      </c>
      <c r="L126" s="66" t="str" cm="1">
        <f t="array" ref="L126">IFERROR(INDEX(TRANSPOSE(Common_InputFunctions.Utility_SplitStringIntoArray($F67, "/", "(", ")")), 4)*0.01, "")</f>
        <v/>
      </c>
      <c r="M126" s="66" cm="1">
        <f t="array" ref="M126">IFERROR(Table_RefrigerantBlends_Cleaned[[#This Row],[Constituent 1 fraction]]*Common_InputFunctions.Utility_LookupValueInTableNumber(Table_RefrigerantBlends_Cleaned[[#This Row],[Constituent 1]], Table_RefrigerantChemicalGWP[Gas - FC name], Table_RefrigerantChemicalGWP[Global warming potential (AR5)]),"")</f>
        <v>101.55</v>
      </c>
      <c r="N126" s="66" cm="1">
        <f t="array" ref="N126">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6" s="66" cm="1">
        <f t="array" ref="O126">IFERROR(Table_RefrigerantBlends_Cleaned[[#This Row],[Constituent 3 fraction]]*Common_InputFunctions.Utility_LookupValueInTableNumber(Table_RefrigerantBlends_Cleaned[[#This Row],[Constituent 3]], Table_RefrigerantChemicalGWP[Gas - FC name], Table_RefrigerantChemicalGWP[Global warming potential (AR5)]), "")</f>
        <v>910.00000000000011</v>
      </c>
      <c r="P126" s="66" t="str" cm="1">
        <f t="array" ref="P12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26" s="66">
        <f>SUM(Table_RefrigerantBlends_Cleaned[[#This Row],[Constituent 1 GWP]],Table_RefrigerantBlends_Cleaned[[#This Row],[Constituent 2 GWP]],Table_RefrigerantBlends_Cleaned[[#This Row],[Constituent 3 GWP]],Table_RefrigerantBlends_Cleaned[[#This Row],[Constituent 4 GWP]])</f>
        <v>1487.0500000000002</v>
      </c>
    </row>
    <row r="127" spans="4:17" ht="20.100000000000001" customHeight="1" x14ac:dyDescent="0.25">
      <c r="D127" s="66" t="str">
        <f t="shared" si="0"/>
        <v>R-407E</v>
      </c>
      <c r="E127" s="66" t="str" cm="1">
        <f t="array" ref="E127">IFERROR(INDEX(TRANSPOSE(Common_InputFunctions.Utility_SplitStringIntoArray($E68, "/")), 1), "")</f>
        <v>HFC-32</v>
      </c>
      <c r="F127" s="66" t="str" cm="1">
        <f t="array" ref="F127">IFERROR(INDEX(TRANSPOSE(Common_InputFunctions.Utility_SplitStringIntoArray($E68, "/")), 2), "")</f>
        <v>HFC-125</v>
      </c>
      <c r="G127" s="66" t="str" cm="1">
        <f t="array" ref="G127">IFERROR(INDEX(TRANSPOSE(Common_InputFunctions.Utility_SplitStringIntoArray($E68, "/")), 3), "")</f>
        <v>HFC-134a</v>
      </c>
      <c r="H127" s="66" t="str" cm="1">
        <f t="array" ref="H127">IFERROR(INDEX(TRANSPOSE(Common_InputFunctions.Utility_SplitStringIntoArray($E68, "/")), 4), "")</f>
        <v/>
      </c>
      <c r="I127" s="66" cm="1">
        <f t="array" ref="I127">IFERROR(INDEX(TRANSPOSE(Common_InputFunctions.Utility_SplitStringIntoArray($F68, "/", "(", ")")), 1)*0.01, "")</f>
        <v>0.25</v>
      </c>
      <c r="J127" s="66" cm="1">
        <f t="array" ref="J127">IFERROR(INDEX(TRANSPOSE(Common_InputFunctions.Utility_SplitStringIntoArray($F68, "/", "(", ")")), 2)*0.01, "")</f>
        <v>0.15</v>
      </c>
      <c r="K127" s="66" cm="1">
        <f t="array" ref="K127">IFERROR(INDEX(TRANSPOSE(Common_InputFunctions.Utility_SplitStringIntoArray($F68, "/", "(", ")")), 3)*0.01, "")</f>
        <v>0.6</v>
      </c>
      <c r="L127" s="66" t="str" cm="1">
        <f t="array" ref="L127">IFERROR(INDEX(TRANSPOSE(Common_InputFunctions.Utility_SplitStringIntoArray($F68, "/", "(", ")")), 4)*0.01, "")</f>
        <v/>
      </c>
      <c r="M127" s="66" cm="1">
        <f t="array" ref="M127">IFERROR(Table_RefrigerantBlends_Cleaned[[#This Row],[Constituent 1 fraction]]*Common_InputFunctions.Utility_LookupValueInTableNumber(Table_RefrigerantBlends_Cleaned[[#This Row],[Constituent 1]], Table_RefrigerantChemicalGWP[Gas - FC name], Table_RefrigerantChemicalGWP[Global warming potential (AR5)]),"")</f>
        <v>169.25</v>
      </c>
      <c r="N127" s="66" cm="1">
        <f t="array" ref="N127">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7" s="66" cm="1">
        <f t="array" ref="O127">IFERROR(Table_RefrigerantBlends_Cleaned[[#This Row],[Constituent 3 fraction]]*Common_InputFunctions.Utility_LookupValueInTableNumber(Table_RefrigerantBlends_Cleaned[[#This Row],[Constituent 3]], Table_RefrigerantChemicalGWP[Gas - FC name], Table_RefrigerantChemicalGWP[Global warming potential (AR5)]), "")</f>
        <v>780</v>
      </c>
      <c r="P127" s="66" t="str" cm="1">
        <f t="array" ref="P12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27" s="66">
        <f>SUM(Table_RefrigerantBlends_Cleaned[[#This Row],[Constituent 1 GWP]],Table_RefrigerantBlends_Cleaned[[#This Row],[Constituent 2 GWP]],Table_RefrigerantBlends_Cleaned[[#This Row],[Constituent 3 GWP]],Table_RefrigerantBlends_Cleaned[[#This Row],[Constituent 4 GWP]])</f>
        <v>1424.75</v>
      </c>
    </row>
    <row r="128" spans="4:17" ht="20.100000000000001" customHeight="1" x14ac:dyDescent="0.25">
      <c r="D128" s="66" t="str">
        <f t="shared" si="0"/>
        <v>R-408A</v>
      </c>
      <c r="E128" s="66" t="str" cm="1">
        <f t="array" ref="E128">IFERROR(INDEX(TRANSPOSE(Common_InputFunctions.Utility_SplitStringIntoArray($E69, "/")), 1), "")</f>
        <v>HFC-125</v>
      </c>
      <c r="F128" s="66" t="str" cm="1">
        <f t="array" ref="F128">IFERROR(INDEX(TRANSPOSE(Common_InputFunctions.Utility_SplitStringIntoArray($E69, "/")), 2), "")</f>
        <v>HFC-143a</v>
      </c>
      <c r="G128" s="66" t="str" cm="1">
        <f t="array" ref="G128">IFERROR(INDEX(TRANSPOSE(Common_InputFunctions.Utility_SplitStringIntoArray($E69, "/")), 3), "")</f>
        <v>HCFC-22</v>
      </c>
      <c r="H128" s="66" t="str" cm="1">
        <f t="array" ref="H128">IFERROR(INDEX(TRANSPOSE(Common_InputFunctions.Utility_SplitStringIntoArray($E69, "/")), 4), "")</f>
        <v/>
      </c>
      <c r="I128" s="66" cm="1">
        <f t="array" ref="I128">IFERROR(INDEX(TRANSPOSE(Common_InputFunctions.Utility_SplitStringIntoArray($F69, "/", "(", ")")), 1)*0.01, "")</f>
        <v>7.0000000000000007E-2</v>
      </c>
      <c r="J128" s="66" cm="1">
        <f t="array" ref="J128">IFERROR(INDEX(TRANSPOSE(Common_InputFunctions.Utility_SplitStringIntoArray($F69, "/", "(", ")")), 2)*0.01, "")</f>
        <v>0.46</v>
      </c>
      <c r="K128" s="66" cm="1">
        <f t="array" ref="K128">IFERROR(INDEX(TRANSPOSE(Common_InputFunctions.Utility_SplitStringIntoArray($F69, "/", "(", ")")), 3)*0.01, "")</f>
        <v>0.47000000000000003</v>
      </c>
      <c r="L128" s="66" t="str" cm="1">
        <f t="array" ref="L128">IFERROR(INDEX(TRANSPOSE(Common_InputFunctions.Utility_SplitStringIntoArray($F69, "/", "(", ")")), 4)*0.01, "")</f>
        <v/>
      </c>
      <c r="M128" s="66" cm="1">
        <f t="array" ref="M128">IFERROR(Table_RefrigerantBlends_Cleaned[[#This Row],[Constituent 1 fraction]]*Common_InputFunctions.Utility_LookupValueInTableNumber(Table_RefrigerantBlends_Cleaned[[#This Row],[Constituent 1]], Table_RefrigerantChemicalGWP[Gas - FC name], Table_RefrigerantChemicalGWP[Global warming potential (AR5)]),"")</f>
        <v>221.90000000000003</v>
      </c>
      <c r="N128" s="66" cm="1">
        <f t="array" ref="N128">IFERROR(Table_RefrigerantBlends_Cleaned[[#This Row],[Constituent 2 fraction]]*Common_InputFunctions.Utility_LookupValueInTableNumber(Table_RefrigerantBlends_Cleaned[[#This Row],[Constituent 2]], Table_RefrigerantChemicalGWP[Gas - FC name], Table_RefrigerantChemicalGWP[Global warming potential (AR5)]), "")</f>
        <v>2208</v>
      </c>
      <c r="O128" s="66" cm="1">
        <f t="array" ref="O128">IFERROR(Table_RefrigerantBlends_Cleaned[[#This Row],[Constituent 3 fraction]]*Common_InputFunctions.Utility_LookupValueInTableNumber(Table_RefrigerantBlends_Cleaned[[#This Row],[Constituent 3]], Table_RefrigerantChemicalGWP[Gas - FC name], Table_RefrigerantChemicalGWP[Global warming potential (AR5)]), "")</f>
        <v>827.2</v>
      </c>
      <c r="P128" s="66" t="str" cm="1">
        <f t="array" ref="P128">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28" s="66">
        <f>SUM(Table_RefrigerantBlends_Cleaned[[#This Row],[Constituent 1 GWP]],Table_RefrigerantBlends_Cleaned[[#This Row],[Constituent 2 GWP]],Table_RefrigerantBlends_Cleaned[[#This Row],[Constituent 3 GWP]],Table_RefrigerantBlends_Cleaned[[#This Row],[Constituent 4 GWP]])</f>
        <v>3257.1000000000004</v>
      </c>
    </row>
    <row r="129" spans="4:33" ht="20.100000000000001" customHeight="1" x14ac:dyDescent="0.25">
      <c r="D129" s="66" t="str">
        <f t="shared" si="0"/>
        <v>R-409A</v>
      </c>
      <c r="E129" s="66" t="str" cm="1">
        <f t="array" ref="E129">IFERROR(INDEX(TRANSPOSE(Common_InputFunctions.Utility_SplitStringIntoArray($E70, "/")), 1), "")</f>
        <v>HCFC-22</v>
      </c>
      <c r="F129" s="66" t="str" cm="1">
        <f t="array" ref="F129">IFERROR(INDEX(TRANSPOSE(Common_InputFunctions.Utility_SplitStringIntoArray($E70, "/")), 2), "")</f>
        <v>HCFC-124</v>
      </c>
      <c r="G129" s="66" t="str" cm="1">
        <f t="array" ref="G129">IFERROR(INDEX(TRANSPOSE(Common_InputFunctions.Utility_SplitStringIntoArray($E70, "/")), 3), "")</f>
        <v>HCFC-142b</v>
      </c>
      <c r="H129" s="66" t="str" cm="1">
        <f t="array" ref="H129">IFERROR(INDEX(TRANSPOSE(Common_InputFunctions.Utility_SplitStringIntoArray($E70, "/")), 4), "")</f>
        <v/>
      </c>
      <c r="I129" s="66" cm="1">
        <f t="array" ref="I129">IFERROR(INDEX(TRANSPOSE(Common_InputFunctions.Utility_SplitStringIntoArray($F70, "/", "(", ")")), 1)*0.01, "")</f>
        <v>0.6</v>
      </c>
      <c r="J129" s="66" cm="1">
        <f t="array" ref="J129">IFERROR(INDEX(TRANSPOSE(Common_InputFunctions.Utility_SplitStringIntoArray($F70, "/", "(", ")")), 2)*0.01, "")</f>
        <v>0.25</v>
      </c>
      <c r="K129" s="66" cm="1">
        <f t="array" ref="K129">IFERROR(INDEX(TRANSPOSE(Common_InputFunctions.Utility_SplitStringIntoArray($F70, "/", "(", ")")), 3)*0.01, "")</f>
        <v>0.15</v>
      </c>
      <c r="L129" s="66" t="str" cm="1">
        <f t="array" ref="L129">IFERROR(INDEX(TRANSPOSE(Common_InputFunctions.Utility_SplitStringIntoArray($F70, "/", "(", ")")), 4)*0.01, "")</f>
        <v/>
      </c>
      <c r="M129" s="66" cm="1">
        <f t="array" ref="M129">IFERROR(Table_RefrigerantBlends_Cleaned[[#This Row],[Constituent 1 fraction]]*Common_InputFunctions.Utility_LookupValueInTableNumber(Table_RefrigerantBlends_Cleaned[[#This Row],[Constituent 1]], Table_RefrigerantChemicalGWP[Gas - FC name], Table_RefrigerantChemicalGWP[Global warming potential (AR5)]),"")</f>
        <v>1056</v>
      </c>
      <c r="N129" s="66" cm="1">
        <f t="array" ref="N129">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29" s="66" cm="1">
        <f t="array" ref="O129">IFERROR(Table_RefrigerantBlends_Cleaned[[#This Row],[Constituent 3 fraction]]*Common_InputFunctions.Utility_LookupValueInTableNumber(Table_RefrigerantBlends_Cleaned[[#This Row],[Constituent 3]], Table_RefrigerantChemicalGWP[Gas - FC name], Table_RefrigerantChemicalGWP[Global warming potential (AR5)]), "")</f>
        <v>297</v>
      </c>
      <c r="P129" s="66" t="str" cm="1">
        <f t="array" ref="P129">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29" s="66">
        <f>SUM(Table_RefrigerantBlends_Cleaned[[#This Row],[Constituent 1 GWP]],Table_RefrigerantBlends_Cleaned[[#This Row],[Constituent 2 GWP]],Table_RefrigerantBlends_Cleaned[[#This Row],[Constituent 3 GWP]],Table_RefrigerantBlends_Cleaned[[#This Row],[Constituent 4 GWP]])</f>
        <v>1484.75</v>
      </c>
    </row>
    <row r="130" spans="4:33" ht="20.100000000000001" customHeight="1" x14ac:dyDescent="0.25">
      <c r="D130" s="66" t="str">
        <f t="shared" si="0"/>
        <v>R-409B</v>
      </c>
      <c r="E130" s="66" t="str" cm="1">
        <f t="array" ref="E130">IFERROR(INDEX(TRANSPOSE(Common_InputFunctions.Utility_SplitStringIntoArray($E71, "/")), 1), "")</f>
        <v>HCFC-22</v>
      </c>
      <c r="F130" s="66" t="str" cm="1">
        <f t="array" ref="F130">IFERROR(INDEX(TRANSPOSE(Common_InputFunctions.Utility_SplitStringIntoArray($E71, "/")), 2), "")</f>
        <v>HCFC-124</v>
      </c>
      <c r="G130" s="66" t="str" cm="1">
        <f t="array" ref="G130">IFERROR(INDEX(TRANSPOSE(Common_InputFunctions.Utility_SplitStringIntoArray($E71, "/")), 3), "")</f>
        <v>HCFC-142b</v>
      </c>
      <c r="H130" s="66" t="str" cm="1">
        <f t="array" ref="H130">IFERROR(INDEX(TRANSPOSE(Common_InputFunctions.Utility_SplitStringIntoArray($E71, "/")), 4), "")</f>
        <v/>
      </c>
      <c r="I130" s="66" cm="1">
        <f t="array" ref="I130">IFERROR(INDEX(TRANSPOSE(Common_InputFunctions.Utility_SplitStringIntoArray($F71, "/", "(", ")")), 1)*0.01, "")</f>
        <v>0.65</v>
      </c>
      <c r="J130" s="66" cm="1">
        <f t="array" ref="J130">IFERROR(INDEX(TRANSPOSE(Common_InputFunctions.Utility_SplitStringIntoArray($F71, "/", "(", ")")), 2)*0.01, "")</f>
        <v>0.25</v>
      </c>
      <c r="K130" s="66" cm="1">
        <f t="array" ref="K130">IFERROR(INDEX(TRANSPOSE(Common_InputFunctions.Utility_SplitStringIntoArray($F71, "/", "(", ")")), 3)*0.01, "")</f>
        <v>0.1</v>
      </c>
      <c r="L130" s="66" t="str" cm="1">
        <f t="array" ref="L130">IFERROR(INDEX(TRANSPOSE(Common_InputFunctions.Utility_SplitStringIntoArray($F71, "/", "(", ")")), 4)*0.01, "")</f>
        <v/>
      </c>
      <c r="M130" s="66" cm="1">
        <f t="array" ref="M130">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30" s="66" cm="1">
        <f t="array" ref="N130">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30" s="66" cm="1">
        <f t="array" ref="O130">IFERROR(Table_RefrigerantBlends_Cleaned[[#This Row],[Constituent 3 fraction]]*Common_InputFunctions.Utility_LookupValueInTableNumber(Table_RefrigerantBlends_Cleaned[[#This Row],[Constituent 3]], Table_RefrigerantChemicalGWP[Gas - FC name], Table_RefrigerantChemicalGWP[Global warming potential (AR5)]), "")</f>
        <v>198</v>
      </c>
      <c r="P130" s="66" t="str" cm="1">
        <f t="array" ref="P13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30" s="66">
        <f>SUM(Table_RefrigerantBlends_Cleaned[[#This Row],[Constituent 1 GWP]],Table_RefrigerantBlends_Cleaned[[#This Row],[Constituent 2 GWP]],Table_RefrigerantBlends_Cleaned[[#This Row],[Constituent 3 GWP]],Table_RefrigerantBlends_Cleaned[[#This Row],[Constituent 4 GWP]])</f>
        <v>1473.75</v>
      </c>
      <c r="AG130" s="1"/>
    </row>
    <row r="131" spans="4:33" ht="20.100000000000001" customHeight="1" x14ac:dyDescent="0.25">
      <c r="D131" s="66" t="str">
        <f t="shared" si="0"/>
        <v>R-410A</v>
      </c>
      <c r="E131" s="66" t="str" cm="1">
        <f t="array" ref="E131">IFERROR(INDEX(TRANSPOSE(Common_InputFunctions.Utility_SplitStringIntoArray($E72, "/")), 1), "")</f>
        <v>HFC-32</v>
      </c>
      <c r="F131" s="66" t="str" cm="1">
        <f t="array" ref="F131">IFERROR(INDEX(TRANSPOSE(Common_InputFunctions.Utility_SplitStringIntoArray($E72, "/")), 2), "")</f>
        <v>HFC-125</v>
      </c>
      <c r="G131" s="66" t="str" cm="1">
        <f t="array" ref="G131">IFERROR(INDEX(TRANSPOSE(Common_InputFunctions.Utility_SplitStringIntoArray($E72, "/")), 3), "")</f>
        <v/>
      </c>
      <c r="H131" s="66" t="str" cm="1">
        <f t="array" ref="H131">IFERROR(INDEX(TRANSPOSE(Common_InputFunctions.Utility_SplitStringIntoArray($E72, "/")), 4), "")</f>
        <v/>
      </c>
      <c r="I131" s="66" cm="1">
        <f t="array" ref="I131">IFERROR(INDEX(TRANSPOSE(Common_InputFunctions.Utility_SplitStringIntoArray($F72, "/", "(", ")")), 1)*0.01, "")</f>
        <v>0.5</v>
      </c>
      <c r="J131" s="66" cm="1">
        <f t="array" ref="J131">IFERROR(INDEX(TRANSPOSE(Common_InputFunctions.Utility_SplitStringIntoArray($F72, "/", "(", ")")), 2)*0.01, "")</f>
        <v>0.5</v>
      </c>
      <c r="K131" s="66" t="str" cm="1">
        <f t="array" ref="K131">IFERROR(INDEX(TRANSPOSE(Common_InputFunctions.Utility_SplitStringIntoArray($F72, "/", "(", ")")), 3)*0.01, "")</f>
        <v/>
      </c>
      <c r="L131" s="66" t="str" cm="1">
        <f t="array" ref="L131">IFERROR(INDEX(TRANSPOSE(Common_InputFunctions.Utility_SplitStringIntoArray($F72, "/", "(", ")")), 4)*0.01, "")</f>
        <v/>
      </c>
      <c r="M131" s="66" cm="1">
        <f t="array" ref="M131">IFERROR(Table_RefrigerantBlends_Cleaned[[#This Row],[Constituent 1 fraction]]*Common_InputFunctions.Utility_LookupValueInTableNumber(Table_RefrigerantBlends_Cleaned[[#This Row],[Constituent 1]], Table_RefrigerantChemicalGWP[Gas - FC name], Table_RefrigerantChemicalGWP[Global warming potential (AR5)]),"")</f>
        <v>338.5</v>
      </c>
      <c r="N131" s="66" cm="1">
        <f t="array" ref="N131">IFERROR(Table_RefrigerantBlends_Cleaned[[#This Row],[Constituent 2 fraction]]*Common_InputFunctions.Utility_LookupValueInTableNumber(Table_RefrigerantBlends_Cleaned[[#This Row],[Constituent 2]], Table_RefrigerantChemicalGWP[Gas - FC name], Table_RefrigerantChemicalGWP[Global warming potential (AR5)]), "")</f>
        <v>1585</v>
      </c>
      <c r="O131" s="66" t="str" cm="1">
        <f t="array" ref="O131">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31" s="66" t="str" cm="1">
        <f t="array" ref="P131">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31" s="66">
        <f>SUM(Table_RefrigerantBlends_Cleaned[[#This Row],[Constituent 1 GWP]],Table_RefrigerantBlends_Cleaned[[#This Row],[Constituent 2 GWP]],Table_RefrigerantBlends_Cleaned[[#This Row],[Constituent 3 GWP]],Table_RefrigerantBlends_Cleaned[[#This Row],[Constituent 4 GWP]])</f>
        <v>1923.5</v>
      </c>
      <c r="AG131" s="1"/>
    </row>
    <row r="132" spans="4:33" ht="20.100000000000001" customHeight="1" x14ac:dyDescent="0.25">
      <c r="D132" s="66" t="str">
        <f t="shared" si="0"/>
        <v>R-410B</v>
      </c>
      <c r="E132" s="66" t="str" cm="1">
        <f t="array" ref="E132">IFERROR(INDEX(TRANSPOSE(Common_InputFunctions.Utility_SplitStringIntoArray($E73, "/")), 1), "")</f>
        <v>HFC-32</v>
      </c>
      <c r="F132" s="66" t="str" cm="1">
        <f t="array" ref="F132">IFERROR(INDEX(TRANSPOSE(Common_InputFunctions.Utility_SplitStringIntoArray($E73, "/")), 2), "")</f>
        <v>HFC-125</v>
      </c>
      <c r="G132" s="66" t="str" cm="1">
        <f t="array" ref="G132">IFERROR(INDEX(TRANSPOSE(Common_InputFunctions.Utility_SplitStringIntoArray($E73, "/")), 3), "")</f>
        <v/>
      </c>
      <c r="H132" s="66" t="str" cm="1">
        <f t="array" ref="H132">IFERROR(INDEX(TRANSPOSE(Common_InputFunctions.Utility_SplitStringIntoArray($E73, "/")), 4), "")</f>
        <v/>
      </c>
      <c r="I132" s="66" cm="1">
        <f t="array" ref="I132">IFERROR(INDEX(TRANSPOSE(Common_InputFunctions.Utility_SplitStringIntoArray($F73, "/", "(", ")")), 1)*0.01, "")</f>
        <v>0.45</v>
      </c>
      <c r="J132" s="66" cm="1">
        <f t="array" ref="J132">IFERROR(INDEX(TRANSPOSE(Common_InputFunctions.Utility_SplitStringIntoArray($F73, "/", "(", ")")), 2)*0.01, "")</f>
        <v>0.55000000000000004</v>
      </c>
      <c r="K132" s="66" t="str" cm="1">
        <f t="array" ref="K132">IFERROR(INDEX(TRANSPOSE(Common_InputFunctions.Utility_SplitStringIntoArray($F73, "/", "(", ")")), 3)*0.01, "")</f>
        <v/>
      </c>
      <c r="L132" s="66" t="str" cm="1">
        <f t="array" ref="L132">IFERROR(INDEX(TRANSPOSE(Common_InputFunctions.Utility_SplitStringIntoArray($F73, "/", "(", ")")), 4)*0.01, "")</f>
        <v/>
      </c>
      <c r="M132" s="66" cm="1">
        <f t="array" ref="M132">IFERROR(Table_RefrigerantBlends_Cleaned[[#This Row],[Constituent 1 fraction]]*Common_InputFunctions.Utility_LookupValueInTableNumber(Table_RefrigerantBlends_Cleaned[[#This Row],[Constituent 1]], Table_RefrigerantChemicalGWP[Gas - FC name], Table_RefrigerantChemicalGWP[Global warming potential (AR5)]),"")</f>
        <v>304.65000000000003</v>
      </c>
      <c r="N132" s="66" cm="1">
        <f t="array" ref="N132">IFERROR(Table_RefrigerantBlends_Cleaned[[#This Row],[Constituent 2 fraction]]*Common_InputFunctions.Utility_LookupValueInTableNumber(Table_RefrigerantBlends_Cleaned[[#This Row],[Constituent 2]], Table_RefrigerantChemicalGWP[Gas - FC name], Table_RefrigerantChemicalGWP[Global warming potential (AR5)]), "")</f>
        <v>1743.5000000000002</v>
      </c>
      <c r="O132" s="66" t="str" cm="1">
        <f t="array" ref="O132">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32" s="66" t="str" cm="1">
        <f t="array" ref="P132">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32" s="66">
        <f>SUM(Table_RefrigerantBlends_Cleaned[[#This Row],[Constituent 1 GWP]],Table_RefrigerantBlends_Cleaned[[#This Row],[Constituent 2 GWP]],Table_RefrigerantBlends_Cleaned[[#This Row],[Constituent 3 GWP]],Table_RefrigerantBlends_Cleaned[[#This Row],[Constituent 4 GWP]])</f>
        <v>2048.15</v>
      </c>
      <c r="AG132" s="1"/>
    </row>
    <row r="133" spans="4:33" ht="20.100000000000001" customHeight="1" x14ac:dyDescent="0.25">
      <c r="D133" s="66" t="str">
        <f t="shared" si="0"/>
        <v>R-411A</v>
      </c>
      <c r="E133" s="66" t="str" cm="1">
        <f t="array" ref="E133">IFERROR(INDEX(TRANSPOSE(Common_InputFunctions.Utility_SplitStringIntoArray($E74, "/")), 1), "")</f>
        <v>HC-1270</v>
      </c>
      <c r="F133" s="66" t="str" cm="1">
        <f t="array" ref="F133">IFERROR(INDEX(TRANSPOSE(Common_InputFunctions.Utility_SplitStringIntoArray($E74, "/")), 2), "")</f>
        <v>HCFC-22</v>
      </c>
      <c r="G133" s="66" t="str" cm="1">
        <f t="array" ref="G133">IFERROR(INDEX(TRANSPOSE(Common_InputFunctions.Utility_SplitStringIntoArray($E74, "/")), 3), "")</f>
        <v>HFC-152a</v>
      </c>
      <c r="H133" s="66" t="str" cm="1">
        <f t="array" ref="H133">IFERROR(INDEX(TRANSPOSE(Common_InputFunctions.Utility_SplitStringIntoArray($E74, "/")), 4), "")</f>
        <v/>
      </c>
      <c r="I133" s="66" cm="1">
        <f t="array" ref="I133">IFERROR(INDEX(TRANSPOSE(Common_InputFunctions.Utility_SplitStringIntoArray($F74, "/", "(", ")")), 1)*0.01, "")</f>
        <v>1.4999999999999999E-2</v>
      </c>
      <c r="J133" s="66" cm="1">
        <f t="array" ref="J133">IFERROR(INDEX(TRANSPOSE(Common_InputFunctions.Utility_SplitStringIntoArray($F74, "/", "(", ")")), 2)*0.01, "")</f>
        <v>0.875</v>
      </c>
      <c r="K133" s="66" cm="1">
        <f t="array" ref="K133">IFERROR(INDEX(TRANSPOSE(Common_InputFunctions.Utility_SplitStringIntoArray($F74, "/", "(", ")")), 3)*0.01, "")</f>
        <v>0.11</v>
      </c>
      <c r="L133" s="66" t="str" cm="1">
        <f t="array" ref="L133">IFERROR(INDEX(TRANSPOSE(Common_InputFunctions.Utility_SplitStringIntoArray($F74, "/", "(", ")")), 4)*0.01, "")</f>
        <v/>
      </c>
      <c r="M133" s="66" cm="1">
        <f t="array" ref="M133">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3" s="66" cm="1">
        <f t="array" ref="N133">IFERROR(Table_RefrigerantBlends_Cleaned[[#This Row],[Constituent 2 fraction]]*Common_InputFunctions.Utility_LookupValueInTableNumber(Table_RefrigerantBlends_Cleaned[[#This Row],[Constituent 2]], Table_RefrigerantChemicalGWP[Gas - FC name], Table_RefrigerantChemicalGWP[Global warming potential (AR5)]), "")</f>
        <v>1540</v>
      </c>
      <c r="O133" s="66" cm="1">
        <f t="array" ref="O133">IFERROR(Table_RefrigerantBlends_Cleaned[[#This Row],[Constituent 3 fraction]]*Common_InputFunctions.Utility_LookupValueInTableNumber(Table_RefrigerantBlends_Cleaned[[#This Row],[Constituent 3]], Table_RefrigerantChemicalGWP[Gas - FC name], Table_RefrigerantChemicalGWP[Global warming potential (AR5)]), "")</f>
        <v>15.18</v>
      </c>
      <c r="P133" s="66" t="str" cm="1">
        <f t="array" ref="P13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33" s="66">
        <f>SUM(Table_RefrigerantBlends_Cleaned[[#This Row],[Constituent 1 GWP]],Table_RefrigerantBlends_Cleaned[[#This Row],[Constituent 2 GWP]],Table_RefrigerantBlends_Cleaned[[#This Row],[Constituent 3 GWP]],Table_RefrigerantBlends_Cleaned[[#This Row],[Constituent 4 GWP]])</f>
        <v>1555.18</v>
      </c>
      <c r="AG133" s="1"/>
    </row>
    <row r="134" spans="4:33" ht="20.100000000000001" customHeight="1" x14ac:dyDescent="0.25">
      <c r="D134" s="66" t="str">
        <f t="shared" si="0"/>
        <v>R-411B</v>
      </c>
      <c r="E134" s="66" t="str" cm="1">
        <f t="array" ref="E134">IFERROR(INDEX(TRANSPOSE(Common_InputFunctions.Utility_SplitStringIntoArray($E75, "/")), 1), "")</f>
        <v>HC-1270</v>
      </c>
      <c r="F134" s="66" t="str" cm="1">
        <f t="array" ref="F134">IFERROR(INDEX(TRANSPOSE(Common_InputFunctions.Utility_SplitStringIntoArray($E75, "/")), 2), "")</f>
        <v>HCFC-22</v>
      </c>
      <c r="G134" s="66" t="str" cm="1">
        <f t="array" ref="G134">IFERROR(INDEX(TRANSPOSE(Common_InputFunctions.Utility_SplitStringIntoArray($E75, "/")), 3), "")</f>
        <v>HFC-152a</v>
      </c>
      <c r="H134" s="66" t="str" cm="1">
        <f t="array" ref="H134">IFERROR(INDEX(TRANSPOSE(Common_InputFunctions.Utility_SplitStringIntoArray($E75, "/")), 4), "")</f>
        <v/>
      </c>
      <c r="I134" s="66" cm="1">
        <f t="array" ref="I134">IFERROR(INDEX(TRANSPOSE(Common_InputFunctions.Utility_SplitStringIntoArray($F75, "/", "(", ")")), 1)*0.01, "")</f>
        <v>0.03</v>
      </c>
      <c r="J134" s="66" cm="1">
        <f t="array" ref="J134">IFERROR(INDEX(TRANSPOSE(Common_InputFunctions.Utility_SplitStringIntoArray($F75, "/", "(", ")")), 2)*0.01, "")</f>
        <v>0.94000000000000006</v>
      </c>
      <c r="K134" s="66" cm="1">
        <f t="array" ref="K134">IFERROR(INDEX(TRANSPOSE(Common_InputFunctions.Utility_SplitStringIntoArray($F75, "/", "(", ")")), 3)*0.01, "")</f>
        <v>0.03</v>
      </c>
      <c r="L134" s="66" t="str" cm="1">
        <f t="array" ref="L134">IFERROR(INDEX(TRANSPOSE(Common_InputFunctions.Utility_SplitStringIntoArray($F75, "/", "(", ")")), 4)*0.01, "")</f>
        <v/>
      </c>
      <c r="M134" s="66" cm="1">
        <f t="array" ref="M13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4" s="66" cm="1">
        <f t="array" ref="N134">IFERROR(Table_RefrigerantBlends_Cleaned[[#This Row],[Constituent 2 fraction]]*Common_InputFunctions.Utility_LookupValueInTableNumber(Table_RefrigerantBlends_Cleaned[[#This Row],[Constituent 2]], Table_RefrigerantChemicalGWP[Gas - FC name], Table_RefrigerantChemicalGWP[Global warming potential (AR5)]), "")</f>
        <v>1654.4</v>
      </c>
      <c r="O134" s="66" cm="1">
        <f t="array" ref="O134">IFERROR(Table_RefrigerantBlends_Cleaned[[#This Row],[Constituent 3 fraction]]*Common_InputFunctions.Utility_LookupValueInTableNumber(Table_RefrigerantBlends_Cleaned[[#This Row],[Constituent 3]], Table_RefrigerantChemicalGWP[Gas - FC name], Table_RefrigerantChemicalGWP[Global warming potential (AR5)]), "")</f>
        <v>4.1399999999999997</v>
      </c>
      <c r="P134" s="66" t="str" cm="1">
        <f t="array" ref="P13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34" s="66">
        <f>SUM(Table_RefrigerantBlends_Cleaned[[#This Row],[Constituent 1 GWP]],Table_RefrigerantBlends_Cleaned[[#This Row],[Constituent 2 GWP]],Table_RefrigerantBlends_Cleaned[[#This Row],[Constituent 3 GWP]],Table_RefrigerantBlends_Cleaned[[#This Row],[Constituent 4 GWP]])</f>
        <v>1658.5400000000002</v>
      </c>
      <c r="AG134" s="1"/>
    </row>
    <row r="135" spans="4:33" ht="20.100000000000001" customHeight="1" x14ac:dyDescent="0.25">
      <c r="D135" s="66" t="str">
        <f t="shared" si="0"/>
        <v>R-411C</v>
      </c>
      <c r="E135" s="66" t="str" cm="1">
        <f t="array" ref="E135">IFERROR(INDEX(TRANSPOSE(Common_InputFunctions.Utility_SplitStringIntoArray($E76, "/")), 1), "")</f>
        <v>HC-1270</v>
      </c>
      <c r="F135" s="66" t="str" cm="1">
        <f t="array" ref="F135">IFERROR(INDEX(TRANSPOSE(Common_InputFunctions.Utility_SplitStringIntoArray($E76, "/")), 2), "")</f>
        <v>HCFC-22</v>
      </c>
      <c r="G135" s="66" t="str" cm="1">
        <f t="array" ref="G135">IFERROR(INDEX(TRANSPOSE(Common_InputFunctions.Utility_SplitStringIntoArray($E76, "/")), 3), "")</f>
        <v>HFC-152a</v>
      </c>
      <c r="H135" s="66" t="str" cm="1">
        <f t="array" ref="H135">IFERROR(INDEX(TRANSPOSE(Common_InputFunctions.Utility_SplitStringIntoArray($E76, "/")), 4), "")</f>
        <v/>
      </c>
      <c r="I135" s="66" cm="1">
        <f t="array" ref="I135">IFERROR(INDEX(TRANSPOSE(Common_InputFunctions.Utility_SplitStringIntoArray($F76, "/", "(", ")")), 1)*0.01, "")</f>
        <v>0.03</v>
      </c>
      <c r="J135" s="66" cm="1">
        <f t="array" ref="J135">IFERROR(INDEX(TRANSPOSE(Common_InputFunctions.Utility_SplitStringIntoArray($F76, "/", "(", ")")), 2)*0.01, "")</f>
        <v>0.95500000000000007</v>
      </c>
      <c r="K135" s="66" cm="1">
        <f t="array" ref="K135">IFERROR(INDEX(TRANSPOSE(Common_InputFunctions.Utility_SplitStringIntoArray($F76, "/", "(", ")")), 3)*0.01, "")</f>
        <v>1.4999999999999999E-2</v>
      </c>
      <c r="L135" s="66" t="str" cm="1">
        <f t="array" ref="L135">IFERROR(INDEX(TRANSPOSE(Common_InputFunctions.Utility_SplitStringIntoArray($F76, "/", "(", ")")), 4)*0.01, "")</f>
        <v/>
      </c>
      <c r="M135" s="66" cm="1">
        <f t="array" ref="M135">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5" s="66" cm="1">
        <f t="array" ref="N135">IFERROR(Table_RefrigerantBlends_Cleaned[[#This Row],[Constituent 2 fraction]]*Common_InputFunctions.Utility_LookupValueInTableNumber(Table_RefrigerantBlends_Cleaned[[#This Row],[Constituent 2]], Table_RefrigerantChemicalGWP[Gas - FC name], Table_RefrigerantChemicalGWP[Global warming potential (AR5)]), "")</f>
        <v>1680.8000000000002</v>
      </c>
      <c r="O135" s="66" cm="1">
        <f t="array" ref="O135">IFERROR(Table_RefrigerantBlends_Cleaned[[#This Row],[Constituent 3 fraction]]*Common_InputFunctions.Utility_LookupValueInTableNumber(Table_RefrigerantBlends_Cleaned[[#This Row],[Constituent 3]], Table_RefrigerantChemicalGWP[Gas - FC name], Table_RefrigerantChemicalGWP[Global warming potential (AR5)]), "")</f>
        <v>2.0699999999999998</v>
      </c>
      <c r="P135" s="66" t="str" cm="1">
        <f t="array" ref="P13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35" s="66">
        <f>SUM(Table_RefrigerantBlends_Cleaned[[#This Row],[Constituent 1 GWP]],Table_RefrigerantBlends_Cleaned[[#This Row],[Constituent 2 GWP]],Table_RefrigerantBlends_Cleaned[[#This Row],[Constituent 3 GWP]],Table_RefrigerantBlends_Cleaned[[#This Row],[Constituent 4 GWP]])</f>
        <v>1682.8700000000001</v>
      </c>
      <c r="AG135" s="1"/>
    </row>
    <row r="136" spans="4:33" ht="20.100000000000001" customHeight="1" x14ac:dyDescent="0.25">
      <c r="D136" s="66" t="str">
        <f t="shared" si="0"/>
        <v>R-412A</v>
      </c>
      <c r="E136" s="66" t="str" cm="1">
        <f t="array" ref="E136">IFERROR(INDEX(TRANSPOSE(Common_InputFunctions.Utility_SplitStringIntoArray($E77, "/")), 1), "")</f>
        <v>HCFC-22</v>
      </c>
      <c r="F136" s="66" t="str" cm="1">
        <f t="array" ref="F136">IFERROR(INDEX(TRANSPOSE(Common_InputFunctions.Utility_SplitStringIntoArray($E77, "/")), 2), "")</f>
        <v>PFC-218</v>
      </c>
      <c r="G136" s="66" t="str" cm="1">
        <f t="array" ref="G136">IFERROR(INDEX(TRANSPOSE(Common_InputFunctions.Utility_SplitStringIntoArray($E77, "/")), 3), "")</f>
        <v>HCFC-142b</v>
      </c>
      <c r="H136" s="66" t="str" cm="1">
        <f t="array" ref="H136">IFERROR(INDEX(TRANSPOSE(Common_InputFunctions.Utility_SplitStringIntoArray($E77, "/")), 4), "")</f>
        <v/>
      </c>
      <c r="I136" s="66" cm="1">
        <f t="array" ref="I136">IFERROR(INDEX(TRANSPOSE(Common_InputFunctions.Utility_SplitStringIntoArray($F77, "/", "(", ")")), 1)*0.01, "")</f>
        <v>0.70000000000000007</v>
      </c>
      <c r="J136" s="66" cm="1">
        <f t="array" ref="J136">IFERROR(INDEX(TRANSPOSE(Common_InputFunctions.Utility_SplitStringIntoArray($F77, "/", "(", ")")), 2)*0.01, "")</f>
        <v>0.05</v>
      </c>
      <c r="K136" s="66" cm="1">
        <f t="array" ref="K136">IFERROR(INDEX(TRANSPOSE(Common_InputFunctions.Utility_SplitStringIntoArray($F77, "/", "(", ")")), 3)*0.01, "")</f>
        <v>0.25</v>
      </c>
      <c r="L136" s="66" t="str" cm="1">
        <f t="array" ref="L136">IFERROR(INDEX(TRANSPOSE(Common_InputFunctions.Utility_SplitStringIntoArray($F77, "/", "(", ")")), 4)*0.01, "")</f>
        <v/>
      </c>
      <c r="M136" s="66" cm="1">
        <f t="array" ref="M136">IFERROR(Table_RefrigerantBlends_Cleaned[[#This Row],[Constituent 1 fraction]]*Common_InputFunctions.Utility_LookupValueInTableNumber(Table_RefrigerantBlends_Cleaned[[#This Row],[Constituent 1]], Table_RefrigerantChemicalGWP[Gas - FC name], Table_RefrigerantChemicalGWP[Global warming potential (AR5)]),"")</f>
        <v>1232.0000000000002</v>
      </c>
      <c r="N136" s="66" cm="1">
        <f t="array" ref="N136">IFERROR(Table_RefrigerantBlends_Cleaned[[#This Row],[Constituent 2 fraction]]*Common_InputFunctions.Utility_LookupValueInTableNumber(Table_RefrigerantBlends_Cleaned[[#This Row],[Constituent 2]], Table_RefrigerantChemicalGWP[Gas - FC name], Table_RefrigerantChemicalGWP[Global warming potential (AR5)]), "")</f>
        <v>445</v>
      </c>
      <c r="O136" s="66" cm="1">
        <f t="array" ref="O136">IFERROR(Table_RefrigerantBlends_Cleaned[[#This Row],[Constituent 3 fraction]]*Common_InputFunctions.Utility_LookupValueInTableNumber(Table_RefrigerantBlends_Cleaned[[#This Row],[Constituent 3]], Table_RefrigerantChemicalGWP[Gas - FC name], Table_RefrigerantChemicalGWP[Global warming potential (AR5)]), "")</f>
        <v>495</v>
      </c>
      <c r="P136" s="66" t="str" cm="1">
        <f t="array" ref="P13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36" s="66">
        <f>SUM(Table_RefrigerantBlends_Cleaned[[#This Row],[Constituent 1 GWP]],Table_RefrigerantBlends_Cleaned[[#This Row],[Constituent 2 GWP]],Table_RefrigerantBlends_Cleaned[[#This Row],[Constituent 3 GWP]],Table_RefrigerantBlends_Cleaned[[#This Row],[Constituent 4 GWP]])</f>
        <v>2172</v>
      </c>
      <c r="AG136" s="1"/>
    </row>
    <row r="137" spans="4:33" ht="20.100000000000001" customHeight="1" x14ac:dyDescent="0.25">
      <c r="D137" s="66" t="str">
        <f t="shared" si="0"/>
        <v>R-413A</v>
      </c>
      <c r="E137" s="66" t="str" cm="1">
        <f t="array" ref="E137">IFERROR(INDEX(TRANSPOSE(Common_InputFunctions.Utility_SplitStringIntoArray($E78, "/")), 1), "")</f>
        <v>PFC-218</v>
      </c>
      <c r="F137" s="66" t="str" cm="1">
        <f t="array" ref="F137">IFERROR(INDEX(TRANSPOSE(Common_InputFunctions.Utility_SplitStringIntoArray($E78, "/")), 2), "")</f>
        <v>HFC-134a</v>
      </c>
      <c r="G137" s="66" t="str" cm="1">
        <f t="array" ref="G137">IFERROR(INDEX(TRANSPOSE(Common_InputFunctions.Utility_SplitStringIntoArray($E78, "/")), 3), "")</f>
        <v>HC-600a</v>
      </c>
      <c r="H137" s="66" t="str" cm="1">
        <f t="array" ref="H137">IFERROR(INDEX(TRANSPOSE(Common_InputFunctions.Utility_SplitStringIntoArray($E78, "/")), 4), "")</f>
        <v/>
      </c>
      <c r="I137" s="66" cm="1">
        <f t="array" ref="I137">IFERROR(INDEX(TRANSPOSE(Common_InputFunctions.Utility_SplitStringIntoArray($F78, "/", "(", ")")), 1)*0.01, "")</f>
        <v>0.09</v>
      </c>
      <c r="J137" s="66" cm="1">
        <f t="array" ref="J137">IFERROR(INDEX(TRANSPOSE(Common_InputFunctions.Utility_SplitStringIntoArray($F78, "/", "(", ")")), 2)*0.01, "")</f>
        <v>0.88</v>
      </c>
      <c r="K137" s="66" cm="1">
        <f t="array" ref="K137">IFERROR(INDEX(TRANSPOSE(Common_InputFunctions.Utility_SplitStringIntoArray($F78, "/", "(", ")")), 3)*0.01, "")</f>
        <v>0.03</v>
      </c>
      <c r="L137" s="66" t="str" cm="1">
        <f t="array" ref="L137">IFERROR(INDEX(TRANSPOSE(Common_InputFunctions.Utility_SplitStringIntoArray($F78, "/", "(", ")")), 4)*0.01, "")</f>
        <v/>
      </c>
      <c r="M137" s="66" cm="1">
        <f t="array" ref="M137">IFERROR(Table_RefrigerantBlends_Cleaned[[#This Row],[Constituent 1 fraction]]*Common_InputFunctions.Utility_LookupValueInTableNumber(Table_RefrigerantBlends_Cleaned[[#This Row],[Constituent 1]], Table_RefrigerantChemicalGWP[Gas - FC name], Table_RefrigerantChemicalGWP[Global warming potential (AR5)]),"")</f>
        <v>801</v>
      </c>
      <c r="N137" s="66" cm="1">
        <f t="array" ref="N137">IFERROR(Table_RefrigerantBlends_Cleaned[[#This Row],[Constituent 2 fraction]]*Common_InputFunctions.Utility_LookupValueInTableNumber(Table_RefrigerantBlends_Cleaned[[#This Row],[Constituent 2]], Table_RefrigerantChemicalGWP[Gas - FC name], Table_RefrigerantChemicalGWP[Global warming potential (AR5)]), "")</f>
        <v>1144</v>
      </c>
      <c r="O137" s="66" cm="1">
        <f t="array" ref="O13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7" s="66" t="str" cm="1">
        <f t="array" ref="P13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37" s="66">
        <f>SUM(Table_RefrigerantBlends_Cleaned[[#This Row],[Constituent 1 GWP]],Table_RefrigerantBlends_Cleaned[[#This Row],[Constituent 2 GWP]],Table_RefrigerantBlends_Cleaned[[#This Row],[Constituent 3 GWP]],Table_RefrigerantBlends_Cleaned[[#This Row],[Constituent 4 GWP]])</f>
        <v>1945</v>
      </c>
      <c r="AG137" s="1"/>
    </row>
    <row r="138" spans="4:33" ht="20.100000000000001" customHeight="1" x14ac:dyDescent="0.25">
      <c r="D138" s="66" t="str">
        <f t="shared" si="0"/>
        <v>R-414A</v>
      </c>
      <c r="E138" s="66" t="str" cm="1">
        <f t="array" ref="E138">IFERROR(INDEX(TRANSPOSE(Common_InputFunctions.Utility_SplitStringIntoArray($E79, "/")), 1), "")</f>
        <v>HCFC-22</v>
      </c>
      <c r="F138" s="66" t="str" cm="1">
        <f t="array" ref="F138">IFERROR(INDEX(TRANSPOSE(Common_InputFunctions.Utility_SplitStringIntoArray($E79, "/")), 2), "")</f>
        <v>HCFC-124</v>
      </c>
      <c r="G138" s="66" t="str" cm="1">
        <f t="array" ref="G138">IFERROR(INDEX(TRANSPOSE(Common_InputFunctions.Utility_SplitStringIntoArray($E79, "/")), 3), "")</f>
        <v>HC-600a</v>
      </c>
      <c r="H138" s="66" t="str" cm="1">
        <f t="array" ref="H138">IFERROR(INDEX(TRANSPOSE(Common_InputFunctions.Utility_SplitStringIntoArray($E79, "/")), 4), "")</f>
        <v>HCFC-142b</v>
      </c>
      <c r="I138" s="66" cm="1">
        <f t="array" ref="I138">IFERROR(INDEX(TRANSPOSE(Common_InputFunctions.Utility_SplitStringIntoArray($F79, "/", "(", ")")), 1)*0.01, "")</f>
        <v>0.51</v>
      </c>
      <c r="J138" s="66" cm="1">
        <f t="array" ref="J138">IFERROR(INDEX(TRANSPOSE(Common_InputFunctions.Utility_SplitStringIntoArray($F79, "/", "(", ")")), 2)*0.01, "")</f>
        <v>0.28500000000000003</v>
      </c>
      <c r="K138" s="66" cm="1">
        <f t="array" ref="K138">IFERROR(INDEX(TRANSPOSE(Common_InputFunctions.Utility_SplitStringIntoArray($F79, "/", "(", ")")), 3)*0.01, "")</f>
        <v>0.04</v>
      </c>
      <c r="L138" s="66" cm="1">
        <f t="array" ref="L138">IFERROR(INDEX(TRANSPOSE(Common_InputFunctions.Utility_SplitStringIntoArray($F79, "/", "(", ")")), 4)*0.01, "")</f>
        <v>0.16500000000000001</v>
      </c>
      <c r="M138" s="66" cm="1">
        <f t="array" ref="M138">IFERROR(Table_RefrigerantBlends_Cleaned[[#This Row],[Constituent 1 fraction]]*Common_InputFunctions.Utility_LookupValueInTableNumber(Table_RefrigerantBlends_Cleaned[[#This Row],[Constituent 1]], Table_RefrigerantChemicalGWP[Gas - FC name], Table_RefrigerantChemicalGWP[Global warming potential (AR5)]),"")</f>
        <v>897.6</v>
      </c>
      <c r="N138" s="66" cm="1">
        <f t="array" ref="N138">IFERROR(Table_RefrigerantBlends_Cleaned[[#This Row],[Constituent 2 fraction]]*Common_InputFunctions.Utility_LookupValueInTableNumber(Table_RefrigerantBlends_Cleaned[[#This Row],[Constituent 2]], Table_RefrigerantChemicalGWP[Gas - FC name], Table_RefrigerantChemicalGWP[Global warming potential (AR5)]), "")</f>
        <v>150.19500000000002</v>
      </c>
      <c r="O138" s="66" cm="1">
        <f t="array" ref="O13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8" s="66" cm="1">
        <f t="array" ref="P138">IFERROR(Table_RefrigerantBlends_Cleaned[[#This Row],[Constituent 4 fraction]]*Common_InputFunctions.Utility_LookupValueInTableNumber(Table_RefrigerantBlends_Cleaned[[#This Row],[Constituent 4]], Table_RefrigerantChemicalGWP[Gas - FC name], Table_RefrigerantChemicalGWP[Global warming potential (AR5)]), "")</f>
        <v>326.7</v>
      </c>
      <c r="Q138" s="66">
        <f>SUM(Table_RefrigerantBlends_Cleaned[[#This Row],[Constituent 1 GWP]],Table_RefrigerantBlends_Cleaned[[#This Row],[Constituent 2 GWP]],Table_RefrigerantBlends_Cleaned[[#This Row],[Constituent 3 GWP]],Table_RefrigerantBlends_Cleaned[[#This Row],[Constituent 4 GWP]])</f>
        <v>1374.4950000000001</v>
      </c>
      <c r="AG138" s="1"/>
    </row>
    <row r="139" spans="4:33" ht="20.100000000000001" customHeight="1" x14ac:dyDescent="0.25">
      <c r="D139" s="66" t="str">
        <f t="shared" si="0"/>
        <v>R-414B</v>
      </c>
      <c r="E139" s="66" t="str" cm="1">
        <f t="array" ref="E139">IFERROR(INDEX(TRANSPOSE(Common_InputFunctions.Utility_SplitStringIntoArray($E80, "/")), 1), "")</f>
        <v>HCFC-22</v>
      </c>
      <c r="F139" s="66" t="str" cm="1">
        <f t="array" ref="F139">IFERROR(INDEX(TRANSPOSE(Common_InputFunctions.Utility_SplitStringIntoArray($E80, "/")), 2), "")</f>
        <v>HCFC-124</v>
      </c>
      <c r="G139" s="66" t="str" cm="1">
        <f t="array" ref="G139">IFERROR(INDEX(TRANSPOSE(Common_InputFunctions.Utility_SplitStringIntoArray($E80, "/")), 3), "")</f>
        <v>HC-600a</v>
      </c>
      <c r="H139" s="66" t="str" cm="1">
        <f t="array" ref="H139">IFERROR(INDEX(TRANSPOSE(Common_InputFunctions.Utility_SplitStringIntoArray($E80, "/")), 4), "")</f>
        <v>HCFC-142b</v>
      </c>
      <c r="I139" s="66" cm="1">
        <f t="array" ref="I139">IFERROR(INDEX(TRANSPOSE(Common_InputFunctions.Utility_SplitStringIntoArray($F80, "/", "(", ")")), 1)*0.01, "")</f>
        <v>0.5</v>
      </c>
      <c r="J139" s="66" cm="1">
        <f t="array" ref="J139">IFERROR(INDEX(TRANSPOSE(Common_InputFunctions.Utility_SplitStringIntoArray($F80, "/", "(", ")")), 2)*0.01, "")</f>
        <v>0.39</v>
      </c>
      <c r="K139" s="66" cm="1">
        <f t="array" ref="K139">IFERROR(INDEX(TRANSPOSE(Common_InputFunctions.Utility_SplitStringIntoArray($F80, "/", "(", ")")), 3)*0.01, "")</f>
        <v>1.4999999999999999E-2</v>
      </c>
      <c r="L139" s="66" cm="1">
        <f t="array" ref="L139">IFERROR(INDEX(TRANSPOSE(Common_InputFunctions.Utility_SplitStringIntoArray($F80, "/", "(", ")")), 4)*0.01, "")</f>
        <v>9.5000000000000001E-2</v>
      </c>
      <c r="M139" s="66" cm="1">
        <f t="array" ref="M139">IFERROR(Table_RefrigerantBlends_Cleaned[[#This Row],[Constituent 1 fraction]]*Common_InputFunctions.Utility_LookupValueInTableNumber(Table_RefrigerantBlends_Cleaned[[#This Row],[Constituent 1]], Table_RefrigerantChemicalGWP[Gas - FC name], Table_RefrigerantChemicalGWP[Global warming potential (AR5)]),"")</f>
        <v>880</v>
      </c>
      <c r="N139" s="66" cm="1">
        <f t="array" ref="N139">IFERROR(Table_RefrigerantBlends_Cleaned[[#This Row],[Constituent 2 fraction]]*Common_InputFunctions.Utility_LookupValueInTableNumber(Table_RefrigerantBlends_Cleaned[[#This Row],[Constituent 2]], Table_RefrigerantChemicalGWP[Gas - FC name], Table_RefrigerantChemicalGWP[Global warming potential (AR5)]), "")</f>
        <v>205.53</v>
      </c>
      <c r="O139" s="66" cm="1">
        <f t="array" ref="O13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9" s="66" cm="1">
        <f t="array" ref="P139">IFERROR(Table_RefrigerantBlends_Cleaned[[#This Row],[Constituent 4 fraction]]*Common_InputFunctions.Utility_LookupValueInTableNumber(Table_RefrigerantBlends_Cleaned[[#This Row],[Constituent 4]], Table_RefrigerantChemicalGWP[Gas - FC name], Table_RefrigerantChemicalGWP[Global warming potential (AR5)]), "")</f>
        <v>188.1</v>
      </c>
      <c r="Q139" s="66">
        <f>SUM(Table_RefrigerantBlends_Cleaned[[#This Row],[Constituent 1 GWP]],Table_RefrigerantBlends_Cleaned[[#This Row],[Constituent 2 GWP]],Table_RefrigerantBlends_Cleaned[[#This Row],[Constituent 3 GWP]],Table_RefrigerantBlends_Cleaned[[#This Row],[Constituent 4 GWP]])</f>
        <v>1273.6299999999999</v>
      </c>
      <c r="AG139" s="1"/>
    </row>
    <row r="140" spans="4:33" ht="20.100000000000001" customHeight="1" x14ac:dyDescent="0.25">
      <c r="D140" s="66" t="str">
        <f t="shared" si="0"/>
        <v>R-415A</v>
      </c>
      <c r="E140" s="66" t="str" cm="1">
        <f t="array" ref="E140">IFERROR(INDEX(TRANSPOSE(Common_InputFunctions.Utility_SplitStringIntoArray($E81, "/")), 1), "")</f>
        <v>HCFC-22</v>
      </c>
      <c r="F140" s="66" t="str" cm="1">
        <f t="array" ref="F140">IFERROR(INDEX(TRANSPOSE(Common_InputFunctions.Utility_SplitStringIntoArray($E81, "/")), 2), "")</f>
        <v>HFC-152a</v>
      </c>
      <c r="G140" s="66" t="str" cm="1">
        <f t="array" ref="G140">IFERROR(INDEX(TRANSPOSE(Common_InputFunctions.Utility_SplitStringIntoArray($E81, "/")), 3), "")</f>
        <v/>
      </c>
      <c r="H140" s="66" t="str" cm="1">
        <f t="array" ref="H140">IFERROR(INDEX(TRANSPOSE(Common_InputFunctions.Utility_SplitStringIntoArray($E81, "/")), 4), "")</f>
        <v/>
      </c>
      <c r="I140" s="66" cm="1">
        <f t="array" ref="I140">IFERROR(INDEX(TRANSPOSE(Common_InputFunctions.Utility_SplitStringIntoArray($F81, "/", "(", ")")), 1)*0.01, "")</f>
        <v>0.82000000000000006</v>
      </c>
      <c r="J140" s="66" cm="1">
        <f t="array" ref="J140">IFERROR(INDEX(TRANSPOSE(Common_InputFunctions.Utility_SplitStringIntoArray($F81, "/", "(", ")")), 2)*0.01, "")</f>
        <v>0.18</v>
      </c>
      <c r="K140" s="66" t="str" cm="1">
        <f t="array" ref="K140">IFERROR(INDEX(TRANSPOSE(Common_InputFunctions.Utility_SplitStringIntoArray($F81, "/", "(", ")")), 3)*0.01, "")</f>
        <v/>
      </c>
      <c r="L140" s="66" t="str" cm="1">
        <f t="array" ref="L140">IFERROR(INDEX(TRANSPOSE(Common_InputFunctions.Utility_SplitStringIntoArray($F81, "/", "(", ")")), 4)*0.01, "")</f>
        <v/>
      </c>
      <c r="M140" s="66" cm="1">
        <f t="array" ref="M140">IFERROR(Table_RefrigerantBlends_Cleaned[[#This Row],[Constituent 1 fraction]]*Common_InputFunctions.Utility_LookupValueInTableNumber(Table_RefrigerantBlends_Cleaned[[#This Row],[Constituent 1]], Table_RefrigerantChemicalGWP[Gas - FC name], Table_RefrigerantChemicalGWP[Global warming potential (AR5)]),"")</f>
        <v>1443.2</v>
      </c>
      <c r="N140" s="66" cm="1">
        <f t="array" ref="N140">IFERROR(Table_RefrigerantBlends_Cleaned[[#This Row],[Constituent 2 fraction]]*Common_InputFunctions.Utility_LookupValueInTableNumber(Table_RefrigerantBlends_Cleaned[[#This Row],[Constituent 2]], Table_RefrigerantChemicalGWP[Gas - FC name], Table_RefrigerantChemicalGWP[Global warming potential (AR5)]), "")</f>
        <v>24.84</v>
      </c>
      <c r="O140" s="66" t="str" cm="1">
        <f t="array" ref="O140">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40" s="66" t="str" cm="1">
        <f t="array" ref="P14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40" s="66">
        <f>SUM(Table_RefrigerantBlends_Cleaned[[#This Row],[Constituent 1 GWP]],Table_RefrigerantBlends_Cleaned[[#This Row],[Constituent 2 GWP]],Table_RefrigerantBlends_Cleaned[[#This Row],[Constituent 3 GWP]],Table_RefrigerantBlends_Cleaned[[#This Row],[Constituent 4 GWP]])</f>
        <v>1468.04</v>
      </c>
    </row>
    <row r="141" spans="4:33" ht="20.100000000000001" customHeight="1" x14ac:dyDescent="0.25">
      <c r="D141" s="66" t="str">
        <f t="shared" si="0"/>
        <v>R-415B</v>
      </c>
      <c r="E141" s="66" t="str" cm="1">
        <f t="array" ref="E141">IFERROR(INDEX(TRANSPOSE(Common_InputFunctions.Utility_SplitStringIntoArray($E82, "/")), 1), "")</f>
        <v>HCFC-22</v>
      </c>
      <c r="F141" s="66" t="str" cm="1">
        <f t="array" ref="F141">IFERROR(INDEX(TRANSPOSE(Common_InputFunctions.Utility_SplitStringIntoArray($E82, "/")), 2), "")</f>
        <v>HFC-152a</v>
      </c>
      <c r="G141" s="66" t="str" cm="1">
        <f t="array" ref="G141">IFERROR(INDEX(TRANSPOSE(Common_InputFunctions.Utility_SplitStringIntoArray($E82, "/")), 3), "")</f>
        <v/>
      </c>
      <c r="H141" s="66" t="str" cm="1">
        <f t="array" ref="H141">IFERROR(INDEX(TRANSPOSE(Common_InputFunctions.Utility_SplitStringIntoArray($E82, "/")), 4), "")</f>
        <v/>
      </c>
      <c r="I141" s="66" cm="1">
        <f t="array" ref="I141">IFERROR(INDEX(TRANSPOSE(Common_InputFunctions.Utility_SplitStringIntoArray($F82, "/", "(", ")")), 1)*0.01, "")</f>
        <v>0.25</v>
      </c>
      <c r="J141" s="66" cm="1">
        <f t="array" ref="J141">IFERROR(INDEX(TRANSPOSE(Common_InputFunctions.Utility_SplitStringIntoArray($F82, "/", "(", ")")), 2)*0.01, "")</f>
        <v>0.75</v>
      </c>
      <c r="K141" s="66" t="str" cm="1">
        <f t="array" ref="K141">IFERROR(INDEX(TRANSPOSE(Common_InputFunctions.Utility_SplitStringIntoArray($F82, "/", "(", ")")), 3)*0.01, "")</f>
        <v/>
      </c>
      <c r="L141" s="66" t="str" cm="1">
        <f t="array" ref="L141">IFERROR(INDEX(TRANSPOSE(Common_InputFunctions.Utility_SplitStringIntoArray($F82, "/", "(", ")")), 4)*0.01, "")</f>
        <v/>
      </c>
      <c r="M141" s="66" cm="1">
        <f t="array" ref="M141">IFERROR(Table_RefrigerantBlends_Cleaned[[#This Row],[Constituent 1 fraction]]*Common_InputFunctions.Utility_LookupValueInTableNumber(Table_RefrigerantBlends_Cleaned[[#This Row],[Constituent 1]], Table_RefrigerantChemicalGWP[Gas - FC name], Table_RefrigerantChemicalGWP[Global warming potential (AR5)]),"")</f>
        <v>440</v>
      </c>
      <c r="N141" s="66" cm="1">
        <f t="array" ref="N141">IFERROR(Table_RefrigerantBlends_Cleaned[[#This Row],[Constituent 2 fraction]]*Common_InputFunctions.Utility_LookupValueInTableNumber(Table_RefrigerantBlends_Cleaned[[#This Row],[Constituent 2]], Table_RefrigerantChemicalGWP[Gas - FC name], Table_RefrigerantChemicalGWP[Global warming potential (AR5)]), "")</f>
        <v>103.5</v>
      </c>
      <c r="O141" s="66" t="str" cm="1">
        <f t="array" ref="O141">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41" s="66" t="str" cm="1">
        <f t="array" ref="P141">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41" s="66">
        <f>SUM(Table_RefrigerantBlends_Cleaned[[#This Row],[Constituent 1 GWP]],Table_RefrigerantBlends_Cleaned[[#This Row],[Constituent 2 GWP]],Table_RefrigerantBlends_Cleaned[[#This Row],[Constituent 3 GWP]],Table_RefrigerantBlends_Cleaned[[#This Row],[Constituent 4 GWP]])</f>
        <v>543.5</v>
      </c>
    </row>
    <row r="142" spans="4:33" ht="20.100000000000001" customHeight="1" x14ac:dyDescent="0.25">
      <c r="D142" s="66" t="str">
        <f t="shared" si="0"/>
        <v>R-416A</v>
      </c>
      <c r="E142" s="66" t="str" cm="1">
        <f t="array" ref="E142">IFERROR(INDEX(TRANSPOSE(Common_InputFunctions.Utility_SplitStringIntoArray($E83, "/")), 1), "")</f>
        <v>HFC-134a</v>
      </c>
      <c r="F142" s="66" t="str" cm="1">
        <f t="array" ref="F142">IFERROR(INDEX(TRANSPOSE(Common_InputFunctions.Utility_SplitStringIntoArray($E83, "/")), 2), "")</f>
        <v>HCFC-124</v>
      </c>
      <c r="G142" s="66" t="str" cm="1">
        <f t="array" ref="G142">IFERROR(INDEX(TRANSPOSE(Common_InputFunctions.Utility_SplitStringIntoArray($E83, "/")), 3), "")</f>
        <v>HC-600</v>
      </c>
      <c r="H142" s="66" t="str" cm="1">
        <f t="array" ref="H142">IFERROR(INDEX(TRANSPOSE(Common_InputFunctions.Utility_SplitStringIntoArray($E83, "/")), 4), "")</f>
        <v/>
      </c>
      <c r="I142" s="66" cm="1">
        <f t="array" ref="I142">IFERROR(INDEX(TRANSPOSE(Common_InputFunctions.Utility_SplitStringIntoArray($F83, "/", "(", ")")), 1)*0.01, "")</f>
        <v>0.59</v>
      </c>
      <c r="J142" s="66" cm="1">
        <f t="array" ref="J142">IFERROR(INDEX(TRANSPOSE(Common_InputFunctions.Utility_SplitStringIntoArray($F83, "/", "(", ")")), 2)*0.01, "")</f>
        <v>0.39500000000000002</v>
      </c>
      <c r="K142" s="66" cm="1">
        <f t="array" ref="K142">IFERROR(INDEX(TRANSPOSE(Common_InputFunctions.Utility_SplitStringIntoArray($F83, "/", "(", ")")), 3)*0.01, "")</f>
        <v>1.4999999999999999E-2</v>
      </c>
      <c r="L142" s="66" t="str" cm="1">
        <f t="array" ref="L142">IFERROR(INDEX(TRANSPOSE(Common_InputFunctions.Utility_SplitStringIntoArray($F83, "/", "(", ")")), 4)*0.01, "")</f>
        <v/>
      </c>
      <c r="M142" s="66" cm="1">
        <f t="array" ref="M142">IFERROR(Table_RefrigerantBlends_Cleaned[[#This Row],[Constituent 1 fraction]]*Common_InputFunctions.Utility_LookupValueInTableNumber(Table_RefrigerantBlends_Cleaned[[#This Row],[Constituent 1]], Table_RefrigerantChemicalGWP[Gas - FC name], Table_RefrigerantChemicalGWP[Global warming potential (AR5)]),"")</f>
        <v>767</v>
      </c>
      <c r="N142" s="66" cm="1">
        <f t="array" ref="N142">IFERROR(Table_RefrigerantBlends_Cleaned[[#This Row],[Constituent 2 fraction]]*Common_InputFunctions.Utility_LookupValueInTableNumber(Table_RefrigerantBlends_Cleaned[[#This Row],[Constituent 2]], Table_RefrigerantChemicalGWP[Gas - FC name], Table_RefrigerantChemicalGWP[Global warming potential (AR5)]), "")</f>
        <v>208.16500000000002</v>
      </c>
      <c r="O142" s="66" cm="1">
        <f t="array" ref="O14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2" s="66" t="str" cm="1">
        <f t="array" ref="P142">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42" s="66">
        <f>SUM(Table_RefrigerantBlends_Cleaned[[#This Row],[Constituent 1 GWP]],Table_RefrigerantBlends_Cleaned[[#This Row],[Constituent 2 GWP]],Table_RefrigerantBlends_Cleaned[[#This Row],[Constituent 3 GWP]],Table_RefrigerantBlends_Cleaned[[#This Row],[Constituent 4 GWP]])</f>
        <v>975.16499999999996</v>
      </c>
    </row>
    <row r="143" spans="4:33" ht="20.100000000000001" customHeight="1" x14ac:dyDescent="0.25">
      <c r="D143" s="66" t="str">
        <f t="shared" si="0"/>
        <v>R-417A</v>
      </c>
      <c r="E143" s="66" t="str" cm="1">
        <f t="array" ref="E143">IFERROR(INDEX(TRANSPOSE(Common_InputFunctions.Utility_SplitStringIntoArray($E84, "/")), 1), "")</f>
        <v>HFC-125</v>
      </c>
      <c r="F143" s="66" t="str" cm="1">
        <f t="array" ref="F143">IFERROR(INDEX(TRANSPOSE(Common_InputFunctions.Utility_SplitStringIntoArray($E84, "/")), 2), "")</f>
        <v>HFC-134a</v>
      </c>
      <c r="G143" s="66" t="str" cm="1">
        <f t="array" ref="G143">IFERROR(INDEX(TRANSPOSE(Common_InputFunctions.Utility_SplitStringIntoArray($E84, "/")), 3), "")</f>
        <v>HC-600</v>
      </c>
      <c r="H143" s="66" t="str" cm="1">
        <f t="array" ref="H143">IFERROR(INDEX(TRANSPOSE(Common_InputFunctions.Utility_SplitStringIntoArray($E84, "/")), 4), "")</f>
        <v/>
      </c>
      <c r="I143" s="66" cm="1">
        <f t="array" ref="I143">IFERROR(INDEX(TRANSPOSE(Common_InputFunctions.Utility_SplitStringIntoArray($F84, "/", "(", ")")), 1)*0.01, "")</f>
        <v>0.46600000000000003</v>
      </c>
      <c r="J143" s="66" cm="1">
        <f t="array" ref="J143">IFERROR(INDEX(TRANSPOSE(Common_InputFunctions.Utility_SplitStringIntoArray($F84, "/", "(", ")")), 2)*0.01, "")</f>
        <v>0.5</v>
      </c>
      <c r="K143" s="66" cm="1">
        <f t="array" ref="K143">IFERROR(INDEX(TRANSPOSE(Common_InputFunctions.Utility_SplitStringIntoArray($F84, "/", "(", ")")), 3)*0.01, "")</f>
        <v>3.4000000000000002E-2</v>
      </c>
      <c r="L143" s="66" t="str" cm="1">
        <f t="array" ref="L143">IFERROR(INDEX(TRANSPOSE(Common_InputFunctions.Utility_SplitStringIntoArray($F84, "/", "(", ")")), 4)*0.01, "")</f>
        <v/>
      </c>
      <c r="M143" s="66" cm="1">
        <f t="array" ref="M143">IFERROR(Table_RefrigerantBlends_Cleaned[[#This Row],[Constituent 1 fraction]]*Common_InputFunctions.Utility_LookupValueInTableNumber(Table_RefrigerantBlends_Cleaned[[#This Row],[Constituent 1]], Table_RefrigerantChemicalGWP[Gas - FC name], Table_RefrigerantChemicalGWP[Global warming potential (AR5)]),"")</f>
        <v>1477.22</v>
      </c>
      <c r="N143" s="66" cm="1">
        <f t="array" ref="N143">IFERROR(Table_RefrigerantBlends_Cleaned[[#This Row],[Constituent 2 fraction]]*Common_InputFunctions.Utility_LookupValueInTableNumber(Table_RefrigerantBlends_Cleaned[[#This Row],[Constituent 2]], Table_RefrigerantChemicalGWP[Gas - FC name], Table_RefrigerantChemicalGWP[Global warming potential (AR5)]), "")</f>
        <v>650</v>
      </c>
      <c r="O143" s="66" cm="1">
        <f t="array" ref="O14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3" s="66" t="str" cm="1">
        <f t="array" ref="P14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43" s="66">
        <f>SUM(Table_RefrigerantBlends_Cleaned[[#This Row],[Constituent 1 GWP]],Table_RefrigerantBlends_Cleaned[[#This Row],[Constituent 2 GWP]],Table_RefrigerantBlends_Cleaned[[#This Row],[Constituent 3 GWP]],Table_RefrigerantBlends_Cleaned[[#This Row],[Constituent 4 GWP]])</f>
        <v>2127.2200000000003</v>
      </c>
    </row>
    <row r="144" spans="4:33" ht="20.100000000000001" customHeight="1" x14ac:dyDescent="0.25">
      <c r="D144" s="66" t="str">
        <f t="shared" si="0"/>
        <v>R-418A</v>
      </c>
      <c r="E144" s="66" t="str" cm="1">
        <f t="array" ref="E144">IFERROR(INDEX(TRANSPOSE(Common_InputFunctions.Utility_SplitStringIntoArray($E85, "/")), 1), "")</f>
        <v>HC-290</v>
      </c>
      <c r="F144" s="66" t="str" cm="1">
        <f t="array" ref="F144">IFERROR(INDEX(TRANSPOSE(Common_InputFunctions.Utility_SplitStringIntoArray($E85, "/")), 2), "")</f>
        <v>HCFC-22</v>
      </c>
      <c r="G144" s="66" t="str" cm="1">
        <f t="array" ref="G144">IFERROR(INDEX(TRANSPOSE(Common_InputFunctions.Utility_SplitStringIntoArray($E85, "/")), 3), "")</f>
        <v>HFC-152a</v>
      </c>
      <c r="H144" s="66" t="str" cm="1">
        <f t="array" ref="H144">IFERROR(INDEX(TRANSPOSE(Common_InputFunctions.Utility_SplitStringIntoArray($E85, "/")), 4), "")</f>
        <v/>
      </c>
      <c r="I144" s="66" cm="1">
        <f t="array" ref="I144">IFERROR(INDEX(TRANSPOSE(Common_InputFunctions.Utility_SplitStringIntoArray($F85, "/", "(", ")")), 1)*0.01, "")</f>
        <v>1.4999999999999999E-2</v>
      </c>
      <c r="J144" s="66" cm="1">
        <f t="array" ref="J144">IFERROR(INDEX(TRANSPOSE(Common_InputFunctions.Utility_SplitStringIntoArray($F85, "/", "(", ")")), 2)*0.01, "")</f>
        <v>0.96</v>
      </c>
      <c r="K144" s="66" cm="1">
        <f t="array" ref="K144">IFERROR(INDEX(TRANSPOSE(Common_InputFunctions.Utility_SplitStringIntoArray($F85, "/", "(", ")")), 3)*0.01, "")</f>
        <v>2.5000000000000001E-2</v>
      </c>
      <c r="L144" s="66" t="str" cm="1">
        <f t="array" ref="L144">IFERROR(INDEX(TRANSPOSE(Common_InputFunctions.Utility_SplitStringIntoArray($F85, "/", "(", ")")), 4)*0.01, "")</f>
        <v/>
      </c>
      <c r="M144" s="66" cm="1">
        <f t="array" ref="M14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44" s="66" cm="1">
        <f t="array" ref="N144">IFERROR(Table_RefrigerantBlends_Cleaned[[#This Row],[Constituent 2 fraction]]*Common_InputFunctions.Utility_LookupValueInTableNumber(Table_RefrigerantBlends_Cleaned[[#This Row],[Constituent 2]], Table_RefrigerantChemicalGWP[Gas - FC name], Table_RefrigerantChemicalGWP[Global warming potential (AR5)]), "")</f>
        <v>1689.6</v>
      </c>
      <c r="O144" s="66" cm="1">
        <f t="array" ref="O144">IFERROR(Table_RefrigerantBlends_Cleaned[[#This Row],[Constituent 3 fraction]]*Common_InputFunctions.Utility_LookupValueInTableNumber(Table_RefrigerantBlends_Cleaned[[#This Row],[Constituent 3]], Table_RefrigerantChemicalGWP[Gas - FC name], Table_RefrigerantChemicalGWP[Global warming potential (AR5)]), "")</f>
        <v>3.45</v>
      </c>
      <c r="P144" s="66" t="str" cm="1">
        <f t="array" ref="P14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44" s="66">
        <f>SUM(Table_RefrigerantBlends_Cleaned[[#This Row],[Constituent 1 GWP]],Table_RefrigerantBlends_Cleaned[[#This Row],[Constituent 2 GWP]],Table_RefrigerantBlends_Cleaned[[#This Row],[Constituent 3 GWP]],Table_RefrigerantBlends_Cleaned[[#This Row],[Constituent 4 GWP]])</f>
        <v>1693.05</v>
      </c>
    </row>
    <row r="145" spans="4:17" ht="20.100000000000001" customHeight="1" x14ac:dyDescent="0.25">
      <c r="D145" s="66" t="str">
        <f t="shared" si="0"/>
        <v>R-419A</v>
      </c>
      <c r="E145" s="66" t="str" cm="1">
        <f t="array" ref="E145">IFERROR(INDEX(TRANSPOSE(Common_InputFunctions.Utility_SplitStringIntoArray($E86, "/")), 1), "")</f>
        <v>HFC-125</v>
      </c>
      <c r="F145" s="66" t="str" cm="1">
        <f t="array" ref="F145">IFERROR(INDEX(TRANSPOSE(Common_InputFunctions.Utility_SplitStringIntoArray($E86, "/")), 2), "")</f>
        <v>HFC-134a</v>
      </c>
      <c r="G145" s="66" t="str" cm="1">
        <f t="array" ref="G145">IFERROR(INDEX(TRANSPOSE(Common_InputFunctions.Utility_SplitStringIntoArray($E86, "/")), 3), "")</f>
        <v>HE-E170</v>
      </c>
      <c r="H145" s="66" t="str" cm="1">
        <f t="array" ref="H145">IFERROR(INDEX(TRANSPOSE(Common_InputFunctions.Utility_SplitStringIntoArray($E86, "/")), 4), "")</f>
        <v/>
      </c>
      <c r="I145" s="66" cm="1">
        <f t="array" ref="I145">IFERROR(INDEX(TRANSPOSE(Common_InputFunctions.Utility_SplitStringIntoArray($F86, "/", "(", ")")), 1)*0.01, "")</f>
        <v>0.77</v>
      </c>
      <c r="J145" s="66" cm="1">
        <f t="array" ref="J145">IFERROR(INDEX(TRANSPOSE(Common_InputFunctions.Utility_SplitStringIntoArray($F86, "/", "(", ")")), 2)*0.01, "")</f>
        <v>0.19</v>
      </c>
      <c r="K145" s="66" cm="1">
        <f t="array" ref="K145">IFERROR(INDEX(TRANSPOSE(Common_InputFunctions.Utility_SplitStringIntoArray($F86, "/", "(", ")")), 3)*0.01, "")</f>
        <v>0.04</v>
      </c>
      <c r="L145" s="66" t="str" cm="1">
        <f t="array" ref="L145">IFERROR(INDEX(TRANSPOSE(Common_InputFunctions.Utility_SplitStringIntoArray($F86, "/", "(", ")")), 4)*0.01, "")</f>
        <v/>
      </c>
      <c r="M145" s="66" cm="1">
        <f t="array" ref="M145">IFERROR(Table_RefrigerantBlends_Cleaned[[#This Row],[Constituent 1 fraction]]*Common_InputFunctions.Utility_LookupValueInTableNumber(Table_RefrigerantBlends_Cleaned[[#This Row],[Constituent 1]], Table_RefrigerantChemicalGWP[Gas - FC name], Table_RefrigerantChemicalGWP[Global warming potential (AR5)]),"")</f>
        <v>2440.9</v>
      </c>
      <c r="N145" s="66" cm="1">
        <f t="array" ref="N145">IFERROR(Table_RefrigerantBlends_Cleaned[[#This Row],[Constituent 2 fraction]]*Common_InputFunctions.Utility_LookupValueInTableNumber(Table_RefrigerantBlends_Cleaned[[#This Row],[Constituent 2]], Table_RefrigerantChemicalGWP[Gas - FC name], Table_RefrigerantChemicalGWP[Global warming potential (AR5)]), "")</f>
        <v>247</v>
      </c>
      <c r="O145" s="66" cm="1">
        <f t="array" ref="O14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5" s="66" t="str" cm="1">
        <f t="array" ref="P14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45" s="66">
        <f>SUM(Table_RefrigerantBlends_Cleaned[[#This Row],[Constituent 1 GWP]],Table_RefrigerantBlends_Cleaned[[#This Row],[Constituent 2 GWP]],Table_RefrigerantBlends_Cleaned[[#This Row],[Constituent 3 GWP]],Table_RefrigerantBlends_Cleaned[[#This Row],[Constituent 4 GWP]])</f>
        <v>2687.9</v>
      </c>
    </row>
    <row r="146" spans="4:17" ht="20.100000000000001" customHeight="1" x14ac:dyDescent="0.25">
      <c r="D146" s="66" t="str">
        <f t="shared" si="0"/>
        <v>R-420A</v>
      </c>
      <c r="E146" s="66" t="str" cm="1">
        <f t="array" ref="E146">IFERROR(INDEX(TRANSPOSE(Common_InputFunctions.Utility_SplitStringIntoArray($E87, "/")), 1), "")</f>
        <v>HFC-134a</v>
      </c>
      <c r="F146" s="66" t="str" cm="1">
        <f t="array" ref="F146">IFERROR(INDEX(TRANSPOSE(Common_InputFunctions.Utility_SplitStringIntoArray($E87, "/")), 2), "")</f>
        <v>HCFC-142b</v>
      </c>
      <c r="G146" s="66" t="str" cm="1">
        <f t="array" ref="G146">IFERROR(INDEX(TRANSPOSE(Common_InputFunctions.Utility_SplitStringIntoArray($E87, "/")), 3), "")</f>
        <v/>
      </c>
      <c r="H146" s="66" t="str" cm="1">
        <f t="array" ref="H146">IFERROR(INDEX(TRANSPOSE(Common_InputFunctions.Utility_SplitStringIntoArray($E87, "/")), 4), "")</f>
        <v/>
      </c>
      <c r="I146" s="66" cm="1">
        <f t="array" ref="I146">IFERROR(INDEX(TRANSPOSE(Common_InputFunctions.Utility_SplitStringIntoArray($F87, "/", "(", ")")), 1)*0.01, "")</f>
        <v>0.88</v>
      </c>
      <c r="J146" s="66" cm="1">
        <f t="array" ref="J146">IFERROR(INDEX(TRANSPOSE(Common_InputFunctions.Utility_SplitStringIntoArray($F87, "/", "(", ")")), 2)*0.01, "")</f>
        <v>0.12</v>
      </c>
      <c r="K146" s="66" t="str" cm="1">
        <f t="array" ref="K146">IFERROR(INDEX(TRANSPOSE(Common_InputFunctions.Utility_SplitStringIntoArray($F87, "/", "(", ")")), 3)*0.01, "")</f>
        <v/>
      </c>
      <c r="L146" s="66" t="str" cm="1">
        <f t="array" ref="L146">IFERROR(INDEX(TRANSPOSE(Common_InputFunctions.Utility_SplitStringIntoArray($F87, "/", "(", ")")), 4)*0.01, "")</f>
        <v/>
      </c>
      <c r="M146" s="66" cm="1">
        <f t="array" ref="M146">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46" s="66" cm="1">
        <f t="array" ref="N146">IFERROR(Table_RefrigerantBlends_Cleaned[[#This Row],[Constituent 2 fraction]]*Common_InputFunctions.Utility_LookupValueInTableNumber(Table_RefrigerantBlends_Cleaned[[#This Row],[Constituent 2]], Table_RefrigerantChemicalGWP[Gas - FC name], Table_RefrigerantChemicalGWP[Global warming potential (AR5)]), "")</f>
        <v>237.6</v>
      </c>
      <c r="O146" s="66" t="str" cm="1">
        <f t="array" ref="O146">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46" s="66" t="str" cm="1">
        <f t="array" ref="P14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46" s="66">
        <f>SUM(Table_RefrigerantBlends_Cleaned[[#This Row],[Constituent 1 GWP]],Table_RefrigerantBlends_Cleaned[[#This Row],[Constituent 2 GWP]],Table_RefrigerantBlends_Cleaned[[#This Row],[Constituent 3 GWP]],Table_RefrigerantBlends_Cleaned[[#This Row],[Constituent 4 GWP]])</f>
        <v>1381.6</v>
      </c>
    </row>
    <row r="147" spans="4:17" ht="20.100000000000001" customHeight="1" x14ac:dyDescent="0.25">
      <c r="D147" s="66" t="str">
        <f t="shared" si="0"/>
        <v>R-421A</v>
      </c>
      <c r="E147" s="66" t="str" cm="1">
        <f t="array" ref="E147">IFERROR(INDEX(TRANSPOSE(Common_InputFunctions.Utility_SplitStringIntoArray($E88, "/")), 1), "")</f>
        <v>HFC-125</v>
      </c>
      <c r="F147" s="66" t="str" cm="1">
        <f t="array" ref="F147">IFERROR(INDEX(TRANSPOSE(Common_InputFunctions.Utility_SplitStringIntoArray($E88, "/")), 2), "")</f>
        <v>HFC-134a</v>
      </c>
      <c r="G147" s="66" t="str" cm="1">
        <f t="array" ref="G147">IFERROR(INDEX(TRANSPOSE(Common_InputFunctions.Utility_SplitStringIntoArray($E88, "/")), 3), "")</f>
        <v/>
      </c>
      <c r="H147" s="66" t="str" cm="1">
        <f t="array" ref="H147">IFERROR(INDEX(TRANSPOSE(Common_InputFunctions.Utility_SplitStringIntoArray($E88, "/")), 4), "")</f>
        <v/>
      </c>
      <c r="I147" s="66" cm="1">
        <f t="array" ref="I147">IFERROR(INDEX(TRANSPOSE(Common_InputFunctions.Utility_SplitStringIntoArray($F88, "/", "(", ")")), 1)*0.01, "")</f>
        <v>0.57999999999999996</v>
      </c>
      <c r="J147" s="66" cm="1">
        <f t="array" ref="J147">IFERROR(INDEX(TRANSPOSE(Common_InputFunctions.Utility_SplitStringIntoArray($F88, "/", "(", ")")), 2)*0.01, "")</f>
        <v>0.42</v>
      </c>
      <c r="K147" s="66" t="str" cm="1">
        <f t="array" ref="K147">IFERROR(INDEX(TRANSPOSE(Common_InputFunctions.Utility_SplitStringIntoArray($F88, "/", "(", ")")), 3)*0.01, "")</f>
        <v/>
      </c>
      <c r="L147" s="66" t="str" cm="1">
        <f t="array" ref="L147">IFERROR(INDEX(TRANSPOSE(Common_InputFunctions.Utility_SplitStringIntoArray($F88, "/", "(", ")")), 4)*0.01, "")</f>
        <v/>
      </c>
      <c r="M147" s="66" cm="1">
        <f t="array" ref="M147">IFERROR(Table_RefrigerantBlends_Cleaned[[#This Row],[Constituent 1 fraction]]*Common_InputFunctions.Utility_LookupValueInTableNumber(Table_RefrigerantBlends_Cleaned[[#This Row],[Constituent 1]], Table_RefrigerantChemicalGWP[Gas - FC name], Table_RefrigerantChemicalGWP[Global warming potential (AR5)]),"")</f>
        <v>1838.6</v>
      </c>
      <c r="N147" s="66" cm="1">
        <f t="array" ref="N147">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7" s="66" t="str" cm="1">
        <f t="array" ref="O147">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47" s="66" t="str" cm="1">
        <f t="array" ref="P14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47" s="66">
        <f>SUM(Table_RefrigerantBlends_Cleaned[[#This Row],[Constituent 1 GWP]],Table_RefrigerantBlends_Cleaned[[#This Row],[Constituent 2 GWP]],Table_RefrigerantBlends_Cleaned[[#This Row],[Constituent 3 GWP]],Table_RefrigerantBlends_Cleaned[[#This Row],[Constituent 4 GWP]])</f>
        <v>2384.6</v>
      </c>
    </row>
    <row r="148" spans="4:17" ht="20.100000000000001" customHeight="1" x14ac:dyDescent="0.25">
      <c r="D148" s="66" t="str">
        <f t="shared" si="0"/>
        <v>R-422A</v>
      </c>
      <c r="E148" s="66" t="str" cm="1">
        <f t="array" ref="E148">IFERROR(INDEX(TRANSPOSE(Common_InputFunctions.Utility_SplitStringIntoArray($E89, "/")), 1), "")</f>
        <v>HFC-125</v>
      </c>
      <c r="F148" s="66" t="str" cm="1">
        <f t="array" ref="F148">IFERROR(INDEX(TRANSPOSE(Common_InputFunctions.Utility_SplitStringIntoArray($E89, "/")), 2), "")</f>
        <v>HFC-134a</v>
      </c>
      <c r="G148" s="66" t="str" cm="1">
        <f t="array" ref="G148">IFERROR(INDEX(TRANSPOSE(Common_InputFunctions.Utility_SplitStringIntoArray($E89, "/")), 3), "")</f>
        <v>HC-600a</v>
      </c>
      <c r="H148" s="66" t="str" cm="1">
        <f t="array" ref="H148">IFERROR(INDEX(TRANSPOSE(Common_InputFunctions.Utility_SplitStringIntoArray($E89, "/")), 4), "")</f>
        <v/>
      </c>
      <c r="I148" s="66" cm="1">
        <f t="array" ref="I148">IFERROR(INDEX(TRANSPOSE(Common_InputFunctions.Utility_SplitStringIntoArray($F89, "/", "(", ")")), 1)*0.01, "")</f>
        <v>0.85099999999999998</v>
      </c>
      <c r="J148" s="66" cm="1">
        <f t="array" ref="J148">IFERROR(INDEX(TRANSPOSE(Common_InputFunctions.Utility_SplitStringIntoArray($F89, "/", "(", ")")), 2)*0.01, "")</f>
        <v>0.115</v>
      </c>
      <c r="K148" s="66" cm="1">
        <f t="array" ref="K148">IFERROR(INDEX(TRANSPOSE(Common_InputFunctions.Utility_SplitStringIntoArray($F89, "/", "(", ")")), 3)*0.01, "")</f>
        <v>3.4000000000000002E-2</v>
      </c>
      <c r="L148" s="66" t="str" cm="1">
        <f t="array" ref="L148">IFERROR(INDEX(TRANSPOSE(Common_InputFunctions.Utility_SplitStringIntoArray($F89, "/", "(", ")")), 4)*0.01, "")</f>
        <v/>
      </c>
      <c r="M148" s="66" cm="1">
        <f t="array" ref="M148">IFERROR(Table_RefrigerantBlends_Cleaned[[#This Row],[Constituent 1 fraction]]*Common_InputFunctions.Utility_LookupValueInTableNumber(Table_RefrigerantBlends_Cleaned[[#This Row],[Constituent 1]], Table_RefrigerantChemicalGWP[Gas - FC name], Table_RefrigerantChemicalGWP[Global warming potential (AR5)]),"")</f>
        <v>2697.67</v>
      </c>
      <c r="N148" s="66" cm="1">
        <f t="array" ref="N148">IFERROR(Table_RefrigerantBlends_Cleaned[[#This Row],[Constituent 2 fraction]]*Common_InputFunctions.Utility_LookupValueInTableNumber(Table_RefrigerantBlends_Cleaned[[#This Row],[Constituent 2]], Table_RefrigerantChemicalGWP[Gas - FC name], Table_RefrigerantChemicalGWP[Global warming potential (AR5)]), "")</f>
        <v>149.5</v>
      </c>
      <c r="O148" s="66" cm="1">
        <f t="array" ref="O14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8" s="66" t="str" cm="1">
        <f t="array" ref="P148">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48" s="66">
        <f>SUM(Table_RefrigerantBlends_Cleaned[[#This Row],[Constituent 1 GWP]],Table_RefrigerantBlends_Cleaned[[#This Row],[Constituent 2 GWP]],Table_RefrigerantBlends_Cleaned[[#This Row],[Constituent 3 GWP]],Table_RefrigerantBlends_Cleaned[[#This Row],[Constituent 4 GWP]])</f>
        <v>2847.17</v>
      </c>
    </row>
    <row r="149" spans="4:17" ht="20.100000000000001" customHeight="1" x14ac:dyDescent="0.25">
      <c r="D149" s="66" t="str">
        <f t="shared" si="0"/>
        <v>R-422B</v>
      </c>
      <c r="E149" s="66" t="str" cm="1">
        <f t="array" ref="E149">IFERROR(INDEX(TRANSPOSE(Common_InputFunctions.Utility_SplitStringIntoArray($E90, "/")), 1), "")</f>
        <v>HFC-125</v>
      </c>
      <c r="F149" s="66" t="str" cm="1">
        <f t="array" ref="F149">IFERROR(INDEX(TRANSPOSE(Common_InputFunctions.Utility_SplitStringIntoArray($E90, "/")), 2), "")</f>
        <v>HFC-134a</v>
      </c>
      <c r="G149" s="66" t="str" cm="1">
        <f t="array" ref="G149">IFERROR(INDEX(TRANSPOSE(Common_InputFunctions.Utility_SplitStringIntoArray($E90, "/")), 3), "")</f>
        <v>HC-600a</v>
      </c>
      <c r="H149" s="66" t="str" cm="1">
        <f t="array" ref="H149">IFERROR(INDEX(TRANSPOSE(Common_InputFunctions.Utility_SplitStringIntoArray($E90, "/")), 4), "")</f>
        <v/>
      </c>
      <c r="I149" s="66" cm="1">
        <f t="array" ref="I149">IFERROR(INDEX(TRANSPOSE(Common_InputFunctions.Utility_SplitStringIntoArray($F90, "/", "(", ")")), 1)*0.01, "")</f>
        <v>0.55000000000000004</v>
      </c>
      <c r="J149" s="66" cm="1">
        <f t="array" ref="J149">IFERROR(INDEX(TRANSPOSE(Common_InputFunctions.Utility_SplitStringIntoArray($F90, "/", "(", ")")), 2)*0.01, "")</f>
        <v>0.42</v>
      </c>
      <c r="K149" s="66" cm="1">
        <f t="array" ref="K149">IFERROR(INDEX(TRANSPOSE(Common_InputFunctions.Utility_SplitStringIntoArray($F90, "/", "(", ")")), 3)*0.01, "")</f>
        <v>0.03</v>
      </c>
      <c r="L149" s="66" t="str" cm="1">
        <f t="array" ref="L149">IFERROR(INDEX(TRANSPOSE(Common_InputFunctions.Utility_SplitStringIntoArray($F90, "/", "(", ")")), 4)*0.01, "")</f>
        <v/>
      </c>
      <c r="M149" s="66" cm="1">
        <f t="array" ref="M149">IFERROR(Table_RefrigerantBlends_Cleaned[[#This Row],[Constituent 1 fraction]]*Common_InputFunctions.Utility_LookupValueInTableNumber(Table_RefrigerantBlends_Cleaned[[#This Row],[Constituent 1]], Table_RefrigerantChemicalGWP[Gas - FC name], Table_RefrigerantChemicalGWP[Global warming potential (AR5)]),"")</f>
        <v>1743.5000000000002</v>
      </c>
      <c r="N149" s="66" cm="1">
        <f t="array" ref="N149">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9" s="66" cm="1">
        <f t="array" ref="O14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9" s="66" t="str" cm="1">
        <f t="array" ref="P149">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49" s="66">
        <f>SUM(Table_RefrigerantBlends_Cleaned[[#This Row],[Constituent 1 GWP]],Table_RefrigerantBlends_Cleaned[[#This Row],[Constituent 2 GWP]],Table_RefrigerantBlends_Cleaned[[#This Row],[Constituent 3 GWP]],Table_RefrigerantBlends_Cleaned[[#This Row],[Constituent 4 GWP]])</f>
        <v>2289.5</v>
      </c>
    </row>
    <row r="150" spans="4:17" ht="20.100000000000001" customHeight="1" x14ac:dyDescent="0.25">
      <c r="D150" s="66" t="str">
        <f t="shared" si="0"/>
        <v>R-422C</v>
      </c>
      <c r="E150" s="66" t="str" cm="1">
        <f t="array" ref="E150">IFERROR(INDEX(TRANSPOSE(Common_InputFunctions.Utility_SplitStringIntoArray($E91, "/")), 1), "")</f>
        <v>HFC-125</v>
      </c>
      <c r="F150" s="66" t="str" cm="1">
        <f t="array" ref="F150">IFERROR(INDEX(TRANSPOSE(Common_InputFunctions.Utility_SplitStringIntoArray($E91, "/")), 2), "")</f>
        <v>HFC-134a</v>
      </c>
      <c r="G150" s="66" t="str" cm="1">
        <f t="array" ref="G150">IFERROR(INDEX(TRANSPOSE(Common_InputFunctions.Utility_SplitStringIntoArray($E91, "/")), 3), "")</f>
        <v>HC-600a</v>
      </c>
      <c r="H150" s="66" t="str" cm="1">
        <f t="array" ref="H150">IFERROR(INDEX(TRANSPOSE(Common_InputFunctions.Utility_SplitStringIntoArray($E91, "/")), 4), "")</f>
        <v/>
      </c>
      <c r="I150" s="66" cm="1">
        <f t="array" ref="I150">IFERROR(INDEX(TRANSPOSE(Common_InputFunctions.Utility_SplitStringIntoArray($F91, "/", "(", ")")), 1)*0.01, "")</f>
        <v>0.82000000000000006</v>
      </c>
      <c r="J150" s="66" cm="1">
        <f t="array" ref="J150">IFERROR(INDEX(TRANSPOSE(Common_InputFunctions.Utility_SplitStringIntoArray($F91, "/", "(", ")")), 2)*0.01, "")</f>
        <v>0.15</v>
      </c>
      <c r="K150" s="66" cm="1">
        <f t="array" ref="K150">IFERROR(INDEX(TRANSPOSE(Common_InputFunctions.Utility_SplitStringIntoArray($F91, "/", "(", ")")), 3)*0.01, "")</f>
        <v>0.03</v>
      </c>
      <c r="L150" s="66" t="str" cm="1">
        <f t="array" ref="L150">IFERROR(INDEX(TRANSPOSE(Common_InputFunctions.Utility_SplitStringIntoArray($F91, "/", "(", ")")), 4)*0.01, "")</f>
        <v/>
      </c>
      <c r="M150" s="66" cm="1">
        <f t="array" ref="M150">IFERROR(Table_RefrigerantBlends_Cleaned[[#This Row],[Constituent 1 fraction]]*Common_InputFunctions.Utility_LookupValueInTableNumber(Table_RefrigerantBlends_Cleaned[[#This Row],[Constituent 1]], Table_RefrigerantChemicalGWP[Gas - FC name], Table_RefrigerantChemicalGWP[Global warming potential (AR5)]),"")</f>
        <v>2599.4</v>
      </c>
      <c r="N150" s="66" cm="1">
        <f t="array" ref="N150">IFERROR(Table_RefrigerantBlends_Cleaned[[#This Row],[Constituent 2 fraction]]*Common_InputFunctions.Utility_LookupValueInTableNumber(Table_RefrigerantBlends_Cleaned[[#This Row],[Constituent 2]], Table_RefrigerantChemicalGWP[Gas - FC name], Table_RefrigerantChemicalGWP[Global warming potential (AR5)]), "")</f>
        <v>195</v>
      </c>
      <c r="O150" s="66" cm="1">
        <f t="array" ref="O15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0" s="66" t="str" cm="1">
        <f t="array" ref="P15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50" s="66">
        <f>SUM(Table_RefrigerantBlends_Cleaned[[#This Row],[Constituent 1 GWP]],Table_RefrigerantBlends_Cleaned[[#This Row],[Constituent 2 GWP]],Table_RefrigerantBlends_Cleaned[[#This Row],[Constituent 3 GWP]],Table_RefrigerantBlends_Cleaned[[#This Row],[Constituent 4 GWP]])</f>
        <v>2794.4</v>
      </c>
    </row>
    <row r="151" spans="4:17" ht="20.100000000000001" customHeight="1" x14ac:dyDescent="0.25">
      <c r="D151" s="66" t="str">
        <f t="shared" si="0"/>
        <v>R-500</v>
      </c>
      <c r="E151" s="66" t="str" cm="1">
        <f t="array" ref="E151">IFERROR(INDEX(TRANSPOSE(Common_InputFunctions.Utility_SplitStringIntoArray($E92, "/")), 1), "")</f>
        <v>CFC-12</v>
      </c>
      <c r="F151" s="66" t="str" cm="1">
        <f t="array" ref="F151">IFERROR(INDEX(TRANSPOSE(Common_InputFunctions.Utility_SplitStringIntoArray($E92, "/")), 2), "")</f>
        <v>HFC-152a</v>
      </c>
      <c r="G151" s="66" t="str" cm="1">
        <f t="array" ref="G151">IFERROR(INDEX(TRANSPOSE(Common_InputFunctions.Utility_SplitStringIntoArray($E92, "/")), 3), "")</f>
        <v/>
      </c>
      <c r="H151" s="66" t="str" cm="1">
        <f t="array" ref="H151">IFERROR(INDEX(TRANSPOSE(Common_InputFunctions.Utility_SplitStringIntoArray($E92, "/")), 4), "")</f>
        <v/>
      </c>
      <c r="I151" s="66" cm="1">
        <f t="array" ref="I151">IFERROR(INDEX(TRANSPOSE(Common_InputFunctions.Utility_SplitStringIntoArray($F92, "/", "(", ")")), 1)*0.01, "")</f>
        <v>0.73799999999999999</v>
      </c>
      <c r="J151" s="66" cm="1">
        <f t="array" ref="J151">IFERROR(INDEX(TRANSPOSE(Common_InputFunctions.Utility_SplitStringIntoArray($F92, "/", "(", ")")), 2)*0.01, "")</f>
        <v>0.26200000000000001</v>
      </c>
      <c r="K151" s="66" t="str" cm="1">
        <f t="array" ref="K151">IFERROR(INDEX(TRANSPOSE(Common_InputFunctions.Utility_SplitStringIntoArray($F92, "/", "(", ")")), 3)*0.01, "")</f>
        <v/>
      </c>
      <c r="L151" s="66" t="str" cm="1">
        <f t="array" ref="L151">IFERROR(INDEX(TRANSPOSE(Common_InputFunctions.Utility_SplitStringIntoArray($F92, "/", "(", ")")), 4)*0.01, "")</f>
        <v/>
      </c>
      <c r="M151" s="66" cm="1">
        <f t="array" ref="M151">IFERROR(Table_RefrigerantBlends_Cleaned[[#This Row],[Constituent 1 fraction]]*Common_InputFunctions.Utility_LookupValueInTableNumber(Table_RefrigerantBlends_Cleaned[[#This Row],[Constituent 1]], Table_RefrigerantChemicalGWP[Gas - FC name], Table_RefrigerantChemicalGWP[Global warming potential (AR5)]),"")</f>
        <v>7527.5999999999995</v>
      </c>
      <c r="N151" s="66" cm="1">
        <f t="array" ref="N151">IFERROR(Table_RefrigerantBlends_Cleaned[[#This Row],[Constituent 2 fraction]]*Common_InputFunctions.Utility_LookupValueInTableNumber(Table_RefrigerantBlends_Cleaned[[#This Row],[Constituent 2]], Table_RefrigerantChemicalGWP[Gas - FC name], Table_RefrigerantChemicalGWP[Global warming potential (AR5)]), "")</f>
        <v>36.155999999999999</v>
      </c>
      <c r="O151" s="66" t="str" cm="1">
        <f t="array" ref="O151">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51" s="66" t="str" cm="1">
        <f t="array" ref="P151">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51" s="66">
        <f>SUM(Table_RefrigerantBlends_Cleaned[[#This Row],[Constituent 1 GWP]],Table_RefrigerantBlends_Cleaned[[#This Row],[Constituent 2 GWP]],Table_RefrigerantBlends_Cleaned[[#This Row],[Constituent 3 GWP]],Table_RefrigerantBlends_Cleaned[[#This Row],[Constituent 4 GWP]])</f>
        <v>7563.7559999999994</v>
      </c>
    </row>
    <row r="152" spans="4:17" ht="20.100000000000001" customHeight="1" x14ac:dyDescent="0.25">
      <c r="D152" s="66" t="str">
        <f t="shared" si="0"/>
        <v>R-501</v>
      </c>
      <c r="E152" s="66" t="str" cm="1">
        <f t="array" ref="E152">IFERROR(INDEX(TRANSPOSE(Common_InputFunctions.Utility_SplitStringIntoArray($E93, "/")), 1), "")</f>
        <v>HCFC-22</v>
      </c>
      <c r="F152" s="66" t="str" cm="1">
        <f t="array" ref="F152">IFERROR(INDEX(TRANSPOSE(Common_InputFunctions.Utility_SplitStringIntoArray($E93, "/")), 2), "")</f>
        <v>CFC-12</v>
      </c>
      <c r="G152" s="66" t="str" cm="1">
        <f t="array" ref="G152">IFERROR(INDEX(TRANSPOSE(Common_InputFunctions.Utility_SplitStringIntoArray($E93, "/")), 3), "")</f>
        <v/>
      </c>
      <c r="H152" s="66" t="str" cm="1">
        <f t="array" ref="H152">IFERROR(INDEX(TRANSPOSE(Common_InputFunctions.Utility_SplitStringIntoArray($E93, "/")), 4), "")</f>
        <v/>
      </c>
      <c r="I152" s="66" cm="1">
        <f t="array" ref="I152">IFERROR(INDEX(TRANSPOSE(Common_InputFunctions.Utility_SplitStringIntoArray($F93, "/", "(", ")")), 1)*0.01, "")</f>
        <v>0.75</v>
      </c>
      <c r="J152" s="66" cm="1">
        <f t="array" ref="J152">IFERROR(INDEX(TRANSPOSE(Common_InputFunctions.Utility_SplitStringIntoArray($F93, "/", "(", ")")), 2)*0.01, "")</f>
        <v>0.25</v>
      </c>
      <c r="K152" s="66" t="str" cm="1">
        <f t="array" ref="K152">IFERROR(INDEX(TRANSPOSE(Common_InputFunctions.Utility_SplitStringIntoArray($F93, "/", "(", ")")), 3)*0.01, "")</f>
        <v/>
      </c>
      <c r="L152" s="66" t="str" cm="1">
        <f t="array" ref="L152">IFERROR(INDEX(TRANSPOSE(Common_InputFunctions.Utility_SplitStringIntoArray($F93, "/", "(", ")")), 4)*0.01, "")</f>
        <v/>
      </c>
      <c r="M152" s="66" cm="1">
        <f t="array" ref="M152">IFERROR(Table_RefrigerantBlends_Cleaned[[#This Row],[Constituent 1 fraction]]*Common_InputFunctions.Utility_LookupValueInTableNumber(Table_RefrigerantBlends_Cleaned[[#This Row],[Constituent 1]], Table_RefrigerantChemicalGWP[Gas - FC name], Table_RefrigerantChemicalGWP[Global warming potential (AR5)]),"")</f>
        <v>1320</v>
      </c>
      <c r="N152" s="66" cm="1">
        <f t="array" ref="N152">IFERROR(Table_RefrigerantBlends_Cleaned[[#This Row],[Constituent 2 fraction]]*Common_InputFunctions.Utility_LookupValueInTableNumber(Table_RefrigerantBlends_Cleaned[[#This Row],[Constituent 2]], Table_RefrigerantChemicalGWP[Gas - FC name], Table_RefrigerantChemicalGWP[Global warming potential (AR5)]), "")</f>
        <v>2550</v>
      </c>
      <c r="O152" s="66" t="str" cm="1">
        <f t="array" ref="O152">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52" s="66" t="str" cm="1">
        <f t="array" ref="P152">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52" s="66">
        <f>SUM(Table_RefrigerantBlends_Cleaned[[#This Row],[Constituent 1 GWP]],Table_RefrigerantBlends_Cleaned[[#This Row],[Constituent 2 GWP]],Table_RefrigerantBlends_Cleaned[[#This Row],[Constituent 3 GWP]],Table_RefrigerantBlends_Cleaned[[#This Row],[Constituent 4 GWP]])</f>
        <v>3870</v>
      </c>
    </row>
    <row r="153" spans="4:17" ht="20.100000000000001" customHeight="1" x14ac:dyDescent="0.25">
      <c r="D153" s="66" t="str">
        <f t="shared" si="0"/>
        <v>R-502</v>
      </c>
      <c r="E153" s="66" t="str" cm="1">
        <f t="array" ref="E153">IFERROR(INDEX(TRANSPOSE(Common_InputFunctions.Utility_SplitStringIntoArray($E94, "/")), 1), "")</f>
        <v>HCFC-22</v>
      </c>
      <c r="F153" s="66" t="str" cm="1">
        <f t="array" ref="F153">IFERROR(INDEX(TRANSPOSE(Common_InputFunctions.Utility_SplitStringIntoArray($E94, "/")), 2), "")</f>
        <v>CFC-115</v>
      </c>
      <c r="G153" s="66" t="str" cm="1">
        <f t="array" ref="G153">IFERROR(INDEX(TRANSPOSE(Common_InputFunctions.Utility_SplitStringIntoArray($E94, "/")), 3), "")</f>
        <v/>
      </c>
      <c r="H153" s="66" t="str" cm="1">
        <f t="array" ref="H153">IFERROR(INDEX(TRANSPOSE(Common_InputFunctions.Utility_SplitStringIntoArray($E94, "/")), 4), "")</f>
        <v/>
      </c>
      <c r="I153" s="66" cm="1">
        <f t="array" ref="I153">IFERROR(INDEX(TRANSPOSE(Common_InputFunctions.Utility_SplitStringIntoArray($F94, "/", "(", ")")), 1)*0.01, "")</f>
        <v>0.48799999999999999</v>
      </c>
      <c r="J153" s="66" cm="1">
        <f t="array" ref="J153">IFERROR(INDEX(TRANSPOSE(Common_InputFunctions.Utility_SplitStringIntoArray($F94, "/", "(", ")")), 2)*0.01, "")</f>
        <v>0.51200000000000001</v>
      </c>
      <c r="K153" s="66" t="str" cm="1">
        <f t="array" ref="K153">IFERROR(INDEX(TRANSPOSE(Common_InputFunctions.Utility_SplitStringIntoArray($F94, "/", "(", ")")), 3)*0.01, "")</f>
        <v/>
      </c>
      <c r="L153" s="66" t="str" cm="1">
        <f t="array" ref="L153">IFERROR(INDEX(TRANSPOSE(Common_InputFunctions.Utility_SplitStringIntoArray($F94, "/", "(", ")")), 4)*0.01, "")</f>
        <v/>
      </c>
      <c r="M153" s="66" cm="1">
        <f t="array" ref="M153">IFERROR(Table_RefrigerantBlends_Cleaned[[#This Row],[Constituent 1 fraction]]*Common_InputFunctions.Utility_LookupValueInTableNumber(Table_RefrigerantBlends_Cleaned[[#This Row],[Constituent 1]], Table_RefrigerantChemicalGWP[Gas - FC name], Table_RefrigerantChemicalGWP[Global warming potential (AR5)]),"")</f>
        <v>858.88</v>
      </c>
      <c r="N153" s="66" cm="1">
        <f t="array" ref="N153">IFERROR(Table_RefrigerantBlends_Cleaned[[#This Row],[Constituent 2 fraction]]*Common_InputFunctions.Utility_LookupValueInTableNumber(Table_RefrigerantBlends_Cleaned[[#This Row],[Constituent 2]], Table_RefrigerantChemicalGWP[Gas - FC name], Table_RefrigerantChemicalGWP[Global warming potential (AR5)]), "")</f>
        <v>3927.04</v>
      </c>
      <c r="O153" s="66" t="str" cm="1">
        <f t="array" ref="O153">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53" s="66" t="str" cm="1">
        <f t="array" ref="P15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53" s="66">
        <f>SUM(Table_RefrigerantBlends_Cleaned[[#This Row],[Constituent 1 GWP]],Table_RefrigerantBlends_Cleaned[[#This Row],[Constituent 2 GWP]],Table_RefrigerantBlends_Cleaned[[#This Row],[Constituent 3 GWP]],Table_RefrigerantBlends_Cleaned[[#This Row],[Constituent 4 GWP]])</f>
        <v>4785.92</v>
      </c>
    </row>
    <row r="154" spans="4:17" ht="20.100000000000001" customHeight="1" x14ac:dyDescent="0.25">
      <c r="D154" s="66" t="str">
        <f t="shared" si="0"/>
        <v>R-503</v>
      </c>
      <c r="E154" s="66" t="str" cm="1">
        <f t="array" ref="E154">IFERROR(INDEX(TRANSPOSE(Common_InputFunctions.Utility_SplitStringIntoArray($E95, "/")), 1), "")</f>
        <v>HFC-23</v>
      </c>
      <c r="F154" s="66" t="str" cm="1">
        <f t="array" ref="F154">IFERROR(INDEX(TRANSPOSE(Common_InputFunctions.Utility_SplitStringIntoArray($E95, "/")), 2), "")</f>
        <v>CFC-13</v>
      </c>
      <c r="G154" s="66" t="str" cm="1">
        <f t="array" ref="G154">IFERROR(INDEX(TRANSPOSE(Common_InputFunctions.Utility_SplitStringIntoArray($E95, "/")), 3), "")</f>
        <v/>
      </c>
      <c r="H154" s="66" t="str" cm="1">
        <f t="array" ref="H154">IFERROR(INDEX(TRANSPOSE(Common_InputFunctions.Utility_SplitStringIntoArray($E95, "/")), 4), "")</f>
        <v/>
      </c>
      <c r="I154" s="66" cm="1">
        <f t="array" ref="I154">IFERROR(INDEX(TRANSPOSE(Common_InputFunctions.Utility_SplitStringIntoArray($F95, "/", "(", ")")), 1)*0.01, "")</f>
        <v>0.40100000000000002</v>
      </c>
      <c r="J154" s="66" cm="1">
        <f t="array" ref="J154">IFERROR(INDEX(TRANSPOSE(Common_InputFunctions.Utility_SplitStringIntoArray($F95, "/", "(", ")")), 2)*0.01, "")</f>
        <v>0.59899999999999998</v>
      </c>
      <c r="K154" s="66" t="str" cm="1">
        <f t="array" ref="K154">IFERROR(INDEX(TRANSPOSE(Common_InputFunctions.Utility_SplitStringIntoArray($F95, "/", "(", ")")), 3)*0.01, "")</f>
        <v/>
      </c>
      <c r="L154" s="66" t="str" cm="1">
        <f t="array" ref="L154">IFERROR(INDEX(TRANSPOSE(Common_InputFunctions.Utility_SplitStringIntoArray($F95, "/", "(", ")")), 4)*0.01, "")</f>
        <v/>
      </c>
      <c r="M154" s="66" cm="1">
        <f t="array" ref="M154">IFERROR(Table_RefrigerantBlends_Cleaned[[#This Row],[Constituent 1 fraction]]*Common_InputFunctions.Utility_LookupValueInTableNumber(Table_RefrigerantBlends_Cleaned[[#This Row],[Constituent 1]], Table_RefrigerantChemicalGWP[Gas - FC name], Table_RefrigerantChemicalGWP[Global warming potential (AR5)]),"")</f>
        <v>4972.4000000000005</v>
      </c>
      <c r="N154" s="66" cm="1">
        <f t="array" ref="N154">IFERROR(Table_RefrigerantBlends_Cleaned[[#This Row],[Constituent 2 fraction]]*Common_InputFunctions.Utility_LookupValueInTableNumber(Table_RefrigerantBlends_Cleaned[[#This Row],[Constituent 2]], Table_RefrigerantChemicalGWP[Gas - FC name], Table_RefrigerantChemicalGWP[Global warming potential (AR5)]), "")</f>
        <v>8326.1</v>
      </c>
      <c r="O154" s="66" t="str" cm="1">
        <f t="array" ref="O154">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54" s="66" t="str" cm="1">
        <f t="array" ref="P15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54" s="66">
        <f>SUM(Table_RefrigerantBlends_Cleaned[[#This Row],[Constituent 1 GWP]],Table_RefrigerantBlends_Cleaned[[#This Row],[Constituent 2 GWP]],Table_RefrigerantBlends_Cleaned[[#This Row],[Constituent 3 GWP]],Table_RefrigerantBlends_Cleaned[[#This Row],[Constituent 4 GWP]])</f>
        <v>13298.5</v>
      </c>
    </row>
    <row r="155" spans="4:17" ht="20.100000000000001" customHeight="1" x14ac:dyDescent="0.25">
      <c r="D155" s="66" t="str">
        <f t="shared" si="0"/>
        <v>R-504</v>
      </c>
      <c r="E155" s="66" t="str" cm="1">
        <f t="array" ref="E155">IFERROR(INDEX(TRANSPOSE(Common_InputFunctions.Utility_SplitStringIntoArray($E96, "/")), 1), "")</f>
        <v>HFC-32</v>
      </c>
      <c r="F155" s="66" t="str" cm="1">
        <f t="array" ref="F155">IFERROR(INDEX(TRANSPOSE(Common_InputFunctions.Utility_SplitStringIntoArray($E96, "/")), 2), "")</f>
        <v>CFC-115</v>
      </c>
      <c r="G155" s="66" t="str" cm="1">
        <f t="array" ref="G155">IFERROR(INDEX(TRANSPOSE(Common_InputFunctions.Utility_SplitStringIntoArray($E96, "/")), 3), "")</f>
        <v/>
      </c>
      <c r="H155" s="66" t="str" cm="1">
        <f t="array" ref="H155">IFERROR(INDEX(TRANSPOSE(Common_InputFunctions.Utility_SplitStringIntoArray($E96, "/")), 4), "")</f>
        <v/>
      </c>
      <c r="I155" s="66" cm="1">
        <f t="array" ref="I155">IFERROR(INDEX(TRANSPOSE(Common_InputFunctions.Utility_SplitStringIntoArray($F96, "/", "(", ")")), 1)*0.01, "")</f>
        <v>0.48200000000000004</v>
      </c>
      <c r="J155" s="66" cm="1">
        <f t="array" ref="J155">IFERROR(INDEX(TRANSPOSE(Common_InputFunctions.Utility_SplitStringIntoArray($F96, "/", "(", ")")), 2)*0.01, "")</f>
        <v>0.51800000000000002</v>
      </c>
      <c r="K155" s="66" t="str" cm="1">
        <f t="array" ref="K155">IFERROR(INDEX(TRANSPOSE(Common_InputFunctions.Utility_SplitStringIntoArray($F96, "/", "(", ")")), 3)*0.01, "")</f>
        <v/>
      </c>
      <c r="L155" s="66" t="str" cm="1">
        <f t="array" ref="L155">IFERROR(INDEX(TRANSPOSE(Common_InputFunctions.Utility_SplitStringIntoArray($F96, "/", "(", ")")), 4)*0.01, "")</f>
        <v/>
      </c>
      <c r="M155" s="66" cm="1">
        <f t="array" ref="M155">IFERROR(Table_RefrigerantBlends_Cleaned[[#This Row],[Constituent 1 fraction]]*Common_InputFunctions.Utility_LookupValueInTableNumber(Table_RefrigerantBlends_Cleaned[[#This Row],[Constituent 1]], Table_RefrigerantChemicalGWP[Gas - FC name], Table_RefrigerantChemicalGWP[Global warming potential (AR5)]),"")</f>
        <v>326.31400000000002</v>
      </c>
      <c r="N155" s="66" cm="1">
        <f t="array" ref="N155">IFERROR(Table_RefrigerantBlends_Cleaned[[#This Row],[Constituent 2 fraction]]*Common_InputFunctions.Utility_LookupValueInTableNumber(Table_RefrigerantBlends_Cleaned[[#This Row],[Constituent 2]], Table_RefrigerantChemicalGWP[Gas - FC name], Table_RefrigerantChemicalGWP[Global warming potential (AR5)]), "")</f>
        <v>3973.06</v>
      </c>
      <c r="O155" s="66" t="str" cm="1">
        <f t="array" ref="O155">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55" s="66" t="str" cm="1">
        <f t="array" ref="P15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55" s="66">
        <f>SUM(Table_RefrigerantBlends_Cleaned[[#This Row],[Constituent 1 GWP]],Table_RefrigerantBlends_Cleaned[[#This Row],[Constituent 2 GWP]],Table_RefrigerantBlends_Cleaned[[#This Row],[Constituent 3 GWP]],Table_RefrigerantBlends_Cleaned[[#This Row],[Constituent 4 GWP]])</f>
        <v>4299.3739999999998</v>
      </c>
    </row>
    <row r="156" spans="4:17" ht="20.100000000000001" customHeight="1" x14ac:dyDescent="0.25">
      <c r="D156" s="66" t="str">
        <f t="shared" si="0"/>
        <v>R-505</v>
      </c>
      <c r="E156" s="66" t="str" cm="1">
        <f t="array" ref="E156">IFERROR(INDEX(TRANSPOSE(Common_InputFunctions.Utility_SplitStringIntoArray($E97, "/")), 1), "")</f>
        <v>CFC-12</v>
      </c>
      <c r="F156" s="66" t="str" cm="1">
        <f t="array" ref="F156">IFERROR(INDEX(TRANSPOSE(Common_InputFunctions.Utility_SplitStringIntoArray($E97, "/")), 2), "")</f>
        <v>HCFC-31</v>
      </c>
      <c r="G156" s="66" t="str" cm="1">
        <f t="array" ref="G156">IFERROR(INDEX(TRANSPOSE(Common_InputFunctions.Utility_SplitStringIntoArray($E97, "/")), 3), "")</f>
        <v/>
      </c>
      <c r="H156" s="66" t="str" cm="1">
        <f t="array" ref="H156">IFERROR(INDEX(TRANSPOSE(Common_InputFunctions.Utility_SplitStringIntoArray($E97, "/")), 4), "")</f>
        <v/>
      </c>
      <c r="I156" s="66" cm="1">
        <f t="array" ref="I156">IFERROR(INDEX(TRANSPOSE(Common_InputFunctions.Utility_SplitStringIntoArray($F97, "/", "(", ")")), 1)*0.01, "")</f>
        <v>0.78</v>
      </c>
      <c r="J156" s="66" cm="1">
        <f t="array" ref="J156">IFERROR(INDEX(TRANSPOSE(Common_InputFunctions.Utility_SplitStringIntoArray($F97, "/", "(", ")")), 2)*0.01, "")</f>
        <v>0.22</v>
      </c>
      <c r="K156" s="66" t="str" cm="1">
        <f t="array" ref="K156">IFERROR(INDEX(TRANSPOSE(Common_InputFunctions.Utility_SplitStringIntoArray($F97, "/", "(", ")")), 3)*0.01, "")</f>
        <v/>
      </c>
      <c r="L156" s="66" t="str" cm="1">
        <f t="array" ref="L156">IFERROR(INDEX(TRANSPOSE(Common_InputFunctions.Utility_SplitStringIntoArray($F97, "/", "(", ")")), 4)*0.01, "")</f>
        <v/>
      </c>
      <c r="M156" s="66" cm="1">
        <f t="array" ref="M156">IFERROR(Table_RefrigerantBlends_Cleaned[[#This Row],[Constituent 1 fraction]]*Common_InputFunctions.Utility_LookupValueInTableNumber(Table_RefrigerantBlends_Cleaned[[#This Row],[Constituent 1]], Table_RefrigerantChemicalGWP[Gas - FC name], Table_RefrigerantChemicalGWP[Global warming potential (AR5)]),"")</f>
        <v>7956</v>
      </c>
      <c r="N156" s="66" cm="1">
        <f t="array" ref="N15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56" s="66" t="str" cm="1">
        <f t="array" ref="O156">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56" s="66" t="str" cm="1">
        <f t="array" ref="P15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56" s="66">
        <f>SUM(Table_RefrigerantBlends_Cleaned[[#This Row],[Constituent 1 GWP]],Table_RefrigerantBlends_Cleaned[[#This Row],[Constituent 2 GWP]],Table_RefrigerantBlends_Cleaned[[#This Row],[Constituent 3 GWP]],Table_RefrigerantBlends_Cleaned[[#This Row],[Constituent 4 GWP]])</f>
        <v>7956</v>
      </c>
    </row>
    <row r="157" spans="4:17" ht="20.100000000000001" customHeight="1" x14ac:dyDescent="0.25">
      <c r="D157" s="66" t="str">
        <f t="shared" si="0"/>
        <v>R-506</v>
      </c>
      <c r="E157" s="66" t="str" cm="1">
        <f t="array" ref="E157">IFERROR(INDEX(TRANSPOSE(Common_InputFunctions.Utility_SplitStringIntoArray($E98, "/")), 1), "")</f>
        <v>CFC-31</v>
      </c>
      <c r="F157" s="66" t="str" cm="1">
        <f t="array" ref="F157">IFERROR(INDEX(TRANSPOSE(Common_InputFunctions.Utility_SplitStringIntoArray($E98, "/")), 2), "")</f>
        <v>CFC-114</v>
      </c>
      <c r="G157" s="66" t="str" cm="1">
        <f t="array" ref="G157">IFERROR(INDEX(TRANSPOSE(Common_InputFunctions.Utility_SplitStringIntoArray($E98, "/")), 3), "")</f>
        <v/>
      </c>
      <c r="H157" s="66" t="str" cm="1">
        <f t="array" ref="H157">IFERROR(INDEX(TRANSPOSE(Common_InputFunctions.Utility_SplitStringIntoArray($E98, "/")), 4), "")</f>
        <v/>
      </c>
      <c r="I157" s="66" cm="1">
        <f t="array" ref="I157">IFERROR(INDEX(TRANSPOSE(Common_InputFunctions.Utility_SplitStringIntoArray($F98, "/", "(", ")")), 1)*0.01, "")</f>
        <v>0.55100000000000005</v>
      </c>
      <c r="J157" s="66" cm="1">
        <f t="array" ref="J157">IFERROR(INDEX(TRANSPOSE(Common_InputFunctions.Utility_SplitStringIntoArray($F98, "/", "(", ")")), 2)*0.01, "")</f>
        <v>0.44900000000000001</v>
      </c>
      <c r="K157" s="66" t="str" cm="1">
        <f t="array" ref="K157">IFERROR(INDEX(TRANSPOSE(Common_InputFunctions.Utility_SplitStringIntoArray($F98, "/", "(", ")")), 3)*0.01, "")</f>
        <v/>
      </c>
      <c r="L157" s="66" t="str" cm="1">
        <f t="array" ref="L157">IFERROR(INDEX(TRANSPOSE(Common_InputFunctions.Utility_SplitStringIntoArray($F98, "/", "(", ")")), 4)*0.01, "")</f>
        <v/>
      </c>
      <c r="M157" s="66" cm="1">
        <f t="array" ref="M157">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57" s="66" cm="1">
        <f t="array" ref="N157">IFERROR(Table_RefrigerantBlends_Cleaned[[#This Row],[Constituent 2 fraction]]*Common_InputFunctions.Utility_LookupValueInTableNumber(Table_RefrigerantBlends_Cleaned[[#This Row],[Constituent 2]], Table_RefrigerantChemicalGWP[Gas - FC name], Table_RefrigerantChemicalGWP[Global warming potential (AR5)]), "")</f>
        <v>3856.9100000000003</v>
      </c>
      <c r="O157" s="66" t="str" cm="1">
        <f t="array" ref="O157">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57" s="66" t="str" cm="1">
        <f t="array" ref="P15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57" s="66">
        <f>SUM(Table_RefrigerantBlends_Cleaned[[#This Row],[Constituent 1 GWP]],Table_RefrigerantBlends_Cleaned[[#This Row],[Constituent 2 GWP]],Table_RefrigerantBlends_Cleaned[[#This Row],[Constituent 3 GWP]],Table_RefrigerantBlends_Cleaned[[#This Row],[Constituent 4 GWP]])</f>
        <v>3856.9100000000003</v>
      </c>
    </row>
    <row r="158" spans="4:17" ht="20.100000000000001" customHeight="1" x14ac:dyDescent="0.25">
      <c r="D158" s="66" t="str">
        <f t="shared" si="0"/>
        <v>R-507A</v>
      </c>
      <c r="E158" s="66" t="str" cm="1">
        <f t="array" ref="E158">IFERROR(INDEX(TRANSPOSE(Common_InputFunctions.Utility_SplitStringIntoArray($E99, "/")), 1), "")</f>
        <v>HFC-125</v>
      </c>
      <c r="F158" s="66" t="str" cm="1">
        <f t="array" ref="F158">IFERROR(INDEX(TRANSPOSE(Common_InputFunctions.Utility_SplitStringIntoArray($E99, "/")), 2), "")</f>
        <v>HFC-143a</v>
      </c>
      <c r="G158" s="66" t="str" cm="1">
        <f t="array" ref="G158">IFERROR(INDEX(TRANSPOSE(Common_InputFunctions.Utility_SplitStringIntoArray($E99, "/")), 3), "")</f>
        <v/>
      </c>
      <c r="H158" s="66" t="str" cm="1">
        <f t="array" ref="H158">IFERROR(INDEX(TRANSPOSE(Common_InputFunctions.Utility_SplitStringIntoArray($E99, "/")), 4), "")</f>
        <v/>
      </c>
      <c r="I158" s="66" cm="1">
        <f t="array" ref="I158">IFERROR(INDEX(TRANSPOSE(Common_InputFunctions.Utility_SplitStringIntoArray($F99, "/", "(", ")")), 1)*0.01, "")</f>
        <v>0.5</v>
      </c>
      <c r="J158" s="66" cm="1">
        <f t="array" ref="J158">IFERROR(INDEX(TRANSPOSE(Common_InputFunctions.Utility_SplitStringIntoArray($F99, "/", "(", ")")), 2)*0.01, "")</f>
        <v>0.5</v>
      </c>
      <c r="K158" s="66" t="str" cm="1">
        <f t="array" ref="K158">IFERROR(INDEX(TRANSPOSE(Common_InputFunctions.Utility_SplitStringIntoArray($F99, "/", "(", ")")), 3)*0.01, "")</f>
        <v/>
      </c>
      <c r="L158" s="66" t="str" cm="1">
        <f t="array" ref="L158">IFERROR(INDEX(TRANSPOSE(Common_InputFunctions.Utility_SplitStringIntoArray($F99, "/", "(", ")")), 4)*0.01, "")</f>
        <v/>
      </c>
      <c r="M158" s="66" cm="1">
        <f t="array" ref="M158">IFERROR(Table_RefrigerantBlends_Cleaned[[#This Row],[Constituent 1 fraction]]*Common_InputFunctions.Utility_LookupValueInTableNumber(Table_RefrigerantBlends_Cleaned[[#This Row],[Constituent 1]], Table_RefrigerantChemicalGWP[Gas - FC name], Table_RefrigerantChemicalGWP[Global warming potential (AR5)]),"")</f>
        <v>1585</v>
      </c>
      <c r="N158" s="66" cm="1">
        <f t="array" ref="N158">IFERROR(Table_RefrigerantBlends_Cleaned[[#This Row],[Constituent 2 fraction]]*Common_InputFunctions.Utility_LookupValueInTableNumber(Table_RefrigerantBlends_Cleaned[[#This Row],[Constituent 2]], Table_RefrigerantChemicalGWP[Gas - FC name], Table_RefrigerantChemicalGWP[Global warming potential (AR5)]), "")</f>
        <v>2400</v>
      </c>
      <c r="O158" s="66" t="str" cm="1">
        <f t="array" ref="O158">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58" s="66" t="str" cm="1">
        <f t="array" ref="P158">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58" s="66">
        <f>SUM(Table_RefrigerantBlends_Cleaned[[#This Row],[Constituent 1 GWP]],Table_RefrigerantBlends_Cleaned[[#This Row],[Constituent 2 GWP]],Table_RefrigerantBlends_Cleaned[[#This Row],[Constituent 3 GWP]],Table_RefrigerantBlends_Cleaned[[#This Row],[Constituent 4 GWP]])</f>
        <v>3985</v>
      </c>
    </row>
    <row r="159" spans="4:17" ht="20.100000000000001" customHeight="1" x14ac:dyDescent="0.25">
      <c r="D159" s="66" t="str">
        <f t="shared" si="0"/>
        <v>R-508A</v>
      </c>
      <c r="E159" s="66" t="str" cm="1">
        <f t="array" ref="E159">IFERROR(INDEX(TRANSPOSE(Common_InputFunctions.Utility_SplitStringIntoArray($E100, "/")), 1), "")</f>
        <v>HFC-23</v>
      </c>
      <c r="F159" s="66" t="str" cm="1">
        <f t="array" ref="F159">IFERROR(INDEX(TRANSPOSE(Common_InputFunctions.Utility_SplitStringIntoArray($E100, "/")), 2), "")</f>
        <v>PFC-116</v>
      </c>
      <c r="G159" s="66" t="str" cm="1">
        <f t="array" ref="G159">IFERROR(INDEX(TRANSPOSE(Common_InputFunctions.Utility_SplitStringIntoArray($E100, "/")), 3), "")</f>
        <v/>
      </c>
      <c r="H159" s="66" t="str" cm="1">
        <f t="array" ref="H159">IFERROR(INDEX(TRANSPOSE(Common_InputFunctions.Utility_SplitStringIntoArray($E100, "/")), 4), "")</f>
        <v/>
      </c>
      <c r="I159" s="66" cm="1">
        <f t="array" ref="I159">IFERROR(INDEX(TRANSPOSE(Common_InputFunctions.Utility_SplitStringIntoArray($F100, "/", "(", ")")), 1)*0.01, "")</f>
        <v>0.39</v>
      </c>
      <c r="J159" s="66" cm="1">
        <f t="array" ref="J159">IFERROR(INDEX(TRANSPOSE(Common_InputFunctions.Utility_SplitStringIntoArray($F100, "/", "(", ")")), 2)*0.01, "")</f>
        <v>0.61</v>
      </c>
      <c r="K159" s="66" t="str" cm="1">
        <f t="array" ref="K159">IFERROR(INDEX(TRANSPOSE(Common_InputFunctions.Utility_SplitStringIntoArray($F100, "/", "(", ")")), 3)*0.01, "")</f>
        <v/>
      </c>
      <c r="L159" s="66" t="str" cm="1">
        <f t="array" ref="L159">IFERROR(INDEX(TRANSPOSE(Common_InputFunctions.Utility_SplitStringIntoArray($F100, "/", "(", ")")), 4)*0.01, "")</f>
        <v/>
      </c>
      <c r="M159" s="66" cm="1">
        <f t="array" ref="M159">IFERROR(Table_RefrigerantBlends_Cleaned[[#This Row],[Constituent 1 fraction]]*Common_InputFunctions.Utility_LookupValueInTableNumber(Table_RefrigerantBlends_Cleaned[[#This Row],[Constituent 1]], Table_RefrigerantChemicalGWP[Gas - FC name], Table_RefrigerantChemicalGWP[Global warming potential (AR5)]),"")</f>
        <v>4836</v>
      </c>
      <c r="N159" s="66" cm="1">
        <f t="array" ref="N159">IFERROR(Table_RefrigerantBlends_Cleaned[[#This Row],[Constituent 2 fraction]]*Common_InputFunctions.Utility_LookupValueInTableNumber(Table_RefrigerantBlends_Cleaned[[#This Row],[Constituent 2]], Table_RefrigerantChemicalGWP[Gas - FC name], Table_RefrigerantChemicalGWP[Global warming potential (AR5)]), "")</f>
        <v>6771</v>
      </c>
      <c r="O159" s="66" t="str" cm="1">
        <f t="array" ref="O159">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59" s="66" t="str" cm="1">
        <f t="array" ref="P159">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59" s="66">
        <f>SUM(Table_RefrigerantBlends_Cleaned[[#This Row],[Constituent 1 GWP]],Table_RefrigerantBlends_Cleaned[[#This Row],[Constituent 2 GWP]],Table_RefrigerantBlends_Cleaned[[#This Row],[Constituent 3 GWP]],Table_RefrigerantBlends_Cleaned[[#This Row],[Constituent 4 GWP]])</f>
        <v>11607</v>
      </c>
    </row>
    <row r="160" spans="4:17" ht="20.100000000000001" customHeight="1" x14ac:dyDescent="0.25">
      <c r="D160" s="66" t="str">
        <f t="shared" si="0"/>
        <v>R-508B</v>
      </c>
      <c r="E160" s="66" t="str" cm="1">
        <f t="array" ref="E160">IFERROR(INDEX(TRANSPOSE(Common_InputFunctions.Utility_SplitStringIntoArray($E101, "/")), 1), "")</f>
        <v>HFC-23</v>
      </c>
      <c r="F160" s="66" t="str" cm="1">
        <f t="array" ref="F160">IFERROR(INDEX(TRANSPOSE(Common_InputFunctions.Utility_SplitStringIntoArray($E101, "/")), 2), "")</f>
        <v>PFC-116</v>
      </c>
      <c r="G160" s="66" t="str" cm="1">
        <f t="array" ref="G160">IFERROR(INDEX(TRANSPOSE(Common_InputFunctions.Utility_SplitStringIntoArray($E101, "/")), 3), "")</f>
        <v/>
      </c>
      <c r="H160" s="66" t="str" cm="1">
        <f t="array" ref="H160">IFERROR(INDEX(TRANSPOSE(Common_InputFunctions.Utility_SplitStringIntoArray($E101, "/")), 4), "")</f>
        <v/>
      </c>
      <c r="I160" s="66" cm="1">
        <f t="array" ref="I160">IFERROR(INDEX(TRANSPOSE(Common_InputFunctions.Utility_SplitStringIntoArray($F101, "/", "(", ")")), 1)*0.01, "")</f>
        <v>0.46</v>
      </c>
      <c r="J160" s="66" cm="1">
        <f t="array" ref="J160">IFERROR(INDEX(TRANSPOSE(Common_InputFunctions.Utility_SplitStringIntoArray($F101, "/", "(", ")")), 2)*0.01, "")</f>
        <v>0.54</v>
      </c>
      <c r="K160" s="66" t="str" cm="1">
        <f t="array" ref="K160">IFERROR(INDEX(TRANSPOSE(Common_InputFunctions.Utility_SplitStringIntoArray($F101, "/", "(", ")")), 3)*0.01, "")</f>
        <v/>
      </c>
      <c r="L160" s="66" t="str" cm="1">
        <f t="array" ref="L160">IFERROR(INDEX(TRANSPOSE(Common_InputFunctions.Utility_SplitStringIntoArray($F101, "/", "(", ")")), 4)*0.01, "")</f>
        <v/>
      </c>
      <c r="M160" s="66" cm="1">
        <f t="array" ref="M160">IFERROR(Table_RefrigerantBlends_Cleaned[[#This Row],[Constituent 1 fraction]]*Common_InputFunctions.Utility_LookupValueInTableNumber(Table_RefrigerantBlends_Cleaned[[#This Row],[Constituent 1]], Table_RefrigerantChemicalGWP[Gas - FC name], Table_RefrigerantChemicalGWP[Global warming potential (AR5)]),"")</f>
        <v>5704</v>
      </c>
      <c r="N160" s="66" cm="1">
        <f t="array" ref="N160">IFERROR(Table_RefrigerantBlends_Cleaned[[#This Row],[Constituent 2 fraction]]*Common_InputFunctions.Utility_LookupValueInTableNumber(Table_RefrigerantBlends_Cleaned[[#This Row],[Constituent 2]], Table_RefrigerantChemicalGWP[Gas - FC name], Table_RefrigerantChemicalGWP[Global warming potential (AR5)]), "")</f>
        <v>5994</v>
      </c>
      <c r="O160" s="66" t="str" cm="1">
        <f t="array" ref="O160">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60" s="66" t="str" cm="1">
        <f t="array" ref="P16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60" s="66">
        <f>SUM(Table_RefrigerantBlends_Cleaned[[#This Row],[Constituent 1 GWP]],Table_RefrigerantBlends_Cleaned[[#This Row],[Constituent 2 GWP]],Table_RefrigerantBlends_Cleaned[[#This Row],[Constituent 3 GWP]],Table_RefrigerantBlends_Cleaned[[#This Row],[Constituent 4 GWP]])</f>
        <v>11698</v>
      </c>
    </row>
    <row r="161" spans="4:17" ht="20.100000000000001" customHeight="1" x14ac:dyDescent="0.25">
      <c r="D161" s="66" t="str">
        <f t="shared" si="0"/>
        <v>R-509A</v>
      </c>
      <c r="E161" s="66" t="str" cm="1">
        <f t="array" ref="E161">IFERROR(INDEX(TRANSPOSE(Common_InputFunctions.Utility_SplitStringIntoArray($E102, "/")), 1), "")</f>
        <v>HCFC-22</v>
      </c>
      <c r="F161" s="66" t="str" cm="1">
        <f t="array" ref="F161">IFERROR(INDEX(TRANSPOSE(Common_InputFunctions.Utility_SplitStringIntoArray($E102, "/")), 2), "")</f>
        <v>PFC-218</v>
      </c>
      <c r="G161" s="66" t="str" cm="1">
        <f t="array" ref="G161">IFERROR(INDEX(TRANSPOSE(Common_InputFunctions.Utility_SplitStringIntoArray($E102, "/")), 3), "")</f>
        <v/>
      </c>
      <c r="H161" s="66" t="str" cm="1">
        <f t="array" ref="H161">IFERROR(INDEX(TRANSPOSE(Common_InputFunctions.Utility_SplitStringIntoArray($E102, "/")), 4), "")</f>
        <v/>
      </c>
      <c r="I161" s="66" cm="1">
        <f t="array" ref="I161">IFERROR(INDEX(TRANSPOSE(Common_InputFunctions.Utility_SplitStringIntoArray($F102, "/", "(", ")")), 1)*0.01, "")</f>
        <v>0.44</v>
      </c>
      <c r="J161" s="66" cm="1">
        <f t="array" ref="J161">IFERROR(INDEX(TRANSPOSE(Common_InputFunctions.Utility_SplitStringIntoArray($F102, "/", "(", ")")), 2)*0.01, "")</f>
        <v>0.56000000000000005</v>
      </c>
      <c r="K161" s="66" t="str" cm="1">
        <f t="array" ref="K161">IFERROR(INDEX(TRANSPOSE(Common_InputFunctions.Utility_SplitStringIntoArray($F102, "/", "(", ")")), 3)*0.01, "")</f>
        <v/>
      </c>
      <c r="L161" s="66" t="str" cm="1">
        <f t="array" ref="L161">IFERROR(INDEX(TRANSPOSE(Common_InputFunctions.Utility_SplitStringIntoArray($F102, "/", "(", ")")), 4)*0.01, "")</f>
        <v/>
      </c>
      <c r="M161" s="66" cm="1">
        <f t="array" ref="M161">IFERROR(Table_RefrigerantBlends_Cleaned[[#This Row],[Constituent 1 fraction]]*Common_InputFunctions.Utility_LookupValueInTableNumber(Table_RefrigerantBlends_Cleaned[[#This Row],[Constituent 1]], Table_RefrigerantChemicalGWP[Gas - FC name], Table_RefrigerantChemicalGWP[Global warming potential (AR5)]),"")</f>
        <v>774.4</v>
      </c>
      <c r="N161" s="66" cm="1">
        <f t="array" ref="N161">IFERROR(Table_RefrigerantBlends_Cleaned[[#This Row],[Constituent 2 fraction]]*Common_InputFunctions.Utility_LookupValueInTableNumber(Table_RefrigerantBlends_Cleaned[[#This Row],[Constituent 2]], Table_RefrigerantChemicalGWP[Gas - FC name], Table_RefrigerantChemicalGWP[Global warming potential (AR5)]), "")</f>
        <v>4984.0000000000009</v>
      </c>
      <c r="O161" s="66" t="str" cm="1">
        <f t="array" ref="O161">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P161" s="66" t="str" cm="1">
        <f t="array" ref="P161">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Q161" s="66">
        <f>SUM(Table_RefrigerantBlends_Cleaned[[#This Row],[Constituent 1 GWP]],Table_RefrigerantBlends_Cleaned[[#This Row],[Constituent 2 GWP]],Table_RefrigerantBlends_Cleaned[[#This Row],[Constituent 3 GWP]],Table_RefrigerantBlends_Cleaned[[#This Row],[Constituent 4 GWP]])</f>
        <v>5758.4000000000005</v>
      </c>
    </row>
    <row r="162" spans="4:17" ht="20.100000000000001" customHeight="1" x14ac:dyDescent="0.25">
      <c r="D162" s="64"/>
      <c r="E162" s="64"/>
      <c r="F162" s="64"/>
      <c r="G162" s="64"/>
      <c r="H162" s="64"/>
      <c r="I162" s="64"/>
      <c r="J162" s="64"/>
      <c r="K162" s="64"/>
      <c r="L162" s="64"/>
      <c r="M162" s="64"/>
      <c r="N162" s="64"/>
      <c r="O162" s="64"/>
      <c r="P162" s="64"/>
      <c r="Q162" s="64"/>
    </row>
    <row r="163" spans="4:17" ht="20.100000000000001" customHeight="1" x14ac:dyDescent="0.25">
      <c r="D163" s="68"/>
      <c r="E163" s="68"/>
      <c r="F163" s="68"/>
      <c r="G163" s="68"/>
      <c r="H163" s="68"/>
      <c r="I163" s="68"/>
      <c r="J163" s="68"/>
      <c r="K163" s="68"/>
      <c r="L163" s="68"/>
      <c r="M163" s="68"/>
      <c r="N163" s="68"/>
      <c r="O163" s="68"/>
      <c r="P163" s="68"/>
      <c r="Q163" s="68"/>
    </row>
    <row r="164" spans="4:17" ht="20.100000000000001" customHeight="1" x14ac:dyDescent="0.25">
      <c r="D164" s="5" t="str" cm="1">
        <f t="array" ref="D164">Refrigerants_SourceData.Refrigerants_LeakageRates_Title()</f>
        <v>Indicative leakage rates for common refrigeration and air - conditioning equipment</v>
      </c>
      <c r="E164" s="64"/>
      <c r="F164" s="64"/>
      <c r="G164" s="64"/>
      <c r="H164" s="64"/>
      <c r="I164" s="64"/>
      <c r="J164" s="64"/>
      <c r="K164" s="64"/>
      <c r="L164" s="64"/>
      <c r="M164" s="64"/>
      <c r="N164" s="64"/>
      <c r="O164" s="64"/>
      <c r="P164" s="64"/>
      <c r="Q164" s="64"/>
    </row>
    <row r="165" spans="4:17" ht="20.100000000000001" customHeight="1" x14ac:dyDescent="0.25">
      <c r="D165" s="4" t="str" cm="1">
        <f t="array" ref="D165">Refrigerants_SourceData.Refrigerants_LeakageRates_Source()</f>
        <v>Australian National Greenhouse Accounts Factors 2025 - Table 10</v>
      </c>
      <c r="E165" s="64"/>
      <c r="F165" s="64"/>
      <c r="G165" s="64"/>
      <c r="H165" s="64"/>
      <c r="I165" s="64"/>
      <c r="J165" s="64"/>
      <c r="K165" s="64"/>
      <c r="L165" s="64"/>
      <c r="M165" s="64"/>
      <c r="N165" s="64"/>
      <c r="O165" s="64"/>
      <c r="P165" s="64"/>
      <c r="Q165" s="64"/>
    </row>
    <row r="166" spans="4:17" x14ac:dyDescent="0.25">
      <c r="D166" s="64"/>
      <c r="E166" s="64"/>
      <c r="F166" s="64"/>
      <c r="G166" s="64"/>
      <c r="H166" s="64"/>
      <c r="I166" s="64"/>
      <c r="J166" s="64"/>
      <c r="K166" s="64"/>
      <c r="L166" s="64"/>
      <c r="M166" s="64"/>
      <c r="N166" s="64"/>
      <c r="O166" s="64"/>
      <c r="P166" s="64"/>
      <c r="Q166" s="64"/>
    </row>
    <row r="167" spans="4:17" x14ac:dyDescent="0.25">
      <c r="D167" s="66" t="s">
        <v>136</v>
      </c>
      <c r="E167" s="65" t="s">
        <v>137</v>
      </c>
      <c r="F167" s="64"/>
      <c r="G167" s="64"/>
      <c r="H167" s="64"/>
      <c r="I167" s="64"/>
      <c r="J167" s="64"/>
      <c r="K167" s="64"/>
      <c r="L167" s="64"/>
      <c r="M167" s="64"/>
      <c r="N167" s="64"/>
      <c r="O167" s="64"/>
      <c r="P167" s="64"/>
      <c r="Q167" s="64"/>
    </row>
    <row r="168" spans="4:17" x14ac:dyDescent="0.25">
      <c r="D168" s="66" t="str" cm="1">
        <f t="array" ref="D168">Common_InputFunctions.Utility_DisplayArrayInTable(Refrigerants_SourceData.Refrigerants_LeakageRates_Data(), Table_Refrigerants_LeakageRates[[#Headers],[Product]], 0)</f>
        <v>Domestic refrigerators</v>
      </c>
      <c r="E168" s="66" cm="1">
        <f t="array" ref="E168">Common_InputFunctions.Utility_DisplayArrayInTable(Refrigerants_SourceData.Refrigerants_LeakageRates_Data(), Table_Refrigerants_LeakageRates[[#Headers],[Product]], 0)</f>
        <v>1.7</v>
      </c>
      <c r="F168" s="64"/>
      <c r="G168" s="64"/>
      <c r="H168" s="64"/>
      <c r="I168" s="64"/>
      <c r="J168" s="64"/>
      <c r="K168" s="64"/>
      <c r="L168" s="64"/>
      <c r="M168" s="64"/>
      <c r="N168" s="64"/>
      <c r="O168" s="64"/>
      <c r="P168" s="64"/>
      <c r="Q168" s="64"/>
    </row>
    <row r="169" spans="4:17" x14ac:dyDescent="0.25">
      <c r="D169" s="66" t="str" cm="1">
        <f t="array" ref="D169">Common_InputFunctions.Utility_DisplayArrayInTable(Refrigerants_SourceData.Refrigerants_LeakageRates_Data(), Table_Refrigerants_LeakageRates[[#Headers],[Product]], 0)</f>
        <v>Transport refrigeration</v>
      </c>
      <c r="E169" s="66" cm="1">
        <f t="array" ref="E169">Common_InputFunctions.Utility_DisplayArrayInTable(Refrigerants_SourceData.Refrigerants_LeakageRates_Data(), Table_Refrigerants_LeakageRates[[#Headers],[Product]], 0)</f>
        <v>15.7</v>
      </c>
      <c r="F169" s="64"/>
      <c r="G169" s="64"/>
      <c r="H169" s="64"/>
      <c r="I169" s="64"/>
      <c r="J169" s="64"/>
      <c r="K169" s="64"/>
      <c r="L169" s="64"/>
      <c r="M169" s="64"/>
      <c r="N169" s="64"/>
      <c r="O169" s="64"/>
      <c r="P169" s="64"/>
      <c r="Q169" s="64"/>
    </row>
    <row r="170" spans="4:17" x14ac:dyDescent="0.25">
      <c r="D170" s="66" t="str" cm="1">
        <f t="array" ref="D170">Common_InputFunctions.Utility_DisplayArrayInTable(Refrigerants_SourceData.Refrigerants_LeakageRates_Data(), Table_Refrigerants_LeakageRates[[#Headers],[Product]], 0)</f>
        <v>Domestic A/C portable</v>
      </c>
      <c r="E170" s="66" cm="1">
        <f t="array" ref="E170">Common_InputFunctions.Utility_DisplayArrayInTable(Refrigerants_SourceData.Refrigerants_LeakageRates_Data(), Table_Refrigerants_LeakageRates[[#Headers],[Product]], 0)</f>
        <v>2.5</v>
      </c>
      <c r="F170" s="64"/>
      <c r="G170" s="64"/>
      <c r="H170" s="64"/>
      <c r="I170" s="64"/>
      <c r="J170" s="64"/>
      <c r="K170" s="64"/>
      <c r="L170" s="64"/>
      <c r="M170" s="64"/>
      <c r="N170" s="64"/>
      <c r="O170" s="64"/>
      <c r="P170" s="64"/>
      <c r="Q170" s="64"/>
    </row>
    <row r="171" spans="4:17" x14ac:dyDescent="0.25">
      <c r="D171" s="66" t="str" cm="1">
        <f t="array" ref="D171">Common_InputFunctions.Utility_DisplayArrayInTable(Refrigerants_SourceData.Refrigerants_LeakageRates_Data(), Table_Refrigerants_LeakageRates[[#Headers],[Product]], 0)</f>
        <v>Domestic A/C split</v>
      </c>
      <c r="E171" s="66" cm="1">
        <f t="array" ref="E171">Common_InputFunctions.Utility_DisplayArrayInTable(Refrigerants_SourceData.Refrigerants_LeakageRates_Data(), Table_Refrigerants_LeakageRates[[#Headers],[Product]], 0)</f>
        <v>3.5</v>
      </c>
      <c r="F171" s="64"/>
      <c r="G171" s="64"/>
      <c r="H171" s="64"/>
      <c r="I171" s="64"/>
      <c r="J171" s="64"/>
      <c r="K171" s="64"/>
      <c r="L171" s="64"/>
      <c r="M171" s="64"/>
      <c r="N171" s="64"/>
      <c r="O171" s="64"/>
      <c r="P171" s="64"/>
      <c r="Q171" s="64"/>
    </row>
    <row r="172" spans="4:17" x14ac:dyDescent="0.25">
      <c r="D172" s="66" t="str" cm="1">
        <f t="array" ref="D172">Common_InputFunctions.Utility_DisplayArrayInTable(Refrigerants_SourceData.Refrigerants_LeakageRates_Data(), Table_Refrigerants_LeakageRates[[#Headers],[Product]], 0)</f>
        <v>Domestic A/C packaged</v>
      </c>
      <c r="E172" s="66" cm="1">
        <f t="array" ref="E172">Common_InputFunctions.Utility_DisplayArrayInTable(Refrigerants_SourceData.Refrigerants_LeakageRates_Data(), Table_Refrigerants_LeakageRates[[#Headers],[Product]], 0)</f>
        <v>2.5</v>
      </c>
      <c r="F172" s="64"/>
      <c r="G172" s="64"/>
      <c r="H172" s="64"/>
      <c r="I172" s="64"/>
      <c r="J172" s="64"/>
      <c r="K172" s="64"/>
      <c r="L172" s="64"/>
      <c r="M172" s="64"/>
      <c r="N172" s="64"/>
      <c r="O172" s="64"/>
      <c r="P172" s="64"/>
      <c r="Q172" s="64"/>
    </row>
    <row r="173" spans="4:17" x14ac:dyDescent="0.25">
      <c r="D173" s="66" t="str" cm="1">
        <f t="array" ref="D173">Common_InputFunctions.Utility_DisplayArrayInTable(Refrigerants_SourceData.Refrigerants_LeakageRates_Data(), Table_Refrigerants_LeakageRates[[#Headers],[Product]], 0)</f>
        <v>Light vehicle A/C</v>
      </c>
      <c r="E173" s="66" cm="1">
        <f t="array" ref="E173">Common_InputFunctions.Utility_DisplayArrayInTable(Refrigerants_SourceData.Refrigerants_LeakageRates_Data(), Table_Refrigerants_LeakageRates[[#Headers],[Product]], 0)</f>
        <v>6.7</v>
      </c>
      <c r="F173" s="64"/>
      <c r="G173" s="64"/>
      <c r="H173" s="64"/>
      <c r="I173" s="64"/>
      <c r="J173" s="64"/>
      <c r="K173" s="64"/>
      <c r="L173" s="64"/>
      <c r="M173" s="64"/>
      <c r="N173" s="64"/>
      <c r="O173" s="64"/>
      <c r="P173" s="64"/>
      <c r="Q173" s="64"/>
    </row>
    <row r="174" spans="4:17" x14ac:dyDescent="0.25">
      <c r="D174" s="66" t="str" cm="1">
        <f t="array" ref="D174">Common_InputFunctions.Utility_DisplayArrayInTable(Refrigerants_SourceData.Refrigerants_LeakageRates_Data(), Table_Refrigerants_LeakageRates[[#Headers],[Product]], 0)</f>
        <v>Heavy vehicle A/C</v>
      </c>
      <c r="E174" s="66" cm="1">
        <f t="array" ref="E174">Common_InputFunctions.Utility_DisplayArrayInTable(Refrigerants_SourceData.Refrigerants_LeakageRates_Data(), Table_Refrigerants_LeakageRates[[#Headers],[Product]], 0)</f>
        <v>10.8</v>
      </c>
      <c r="F174" s="64"/>
      <c r="G174" s="64"/>
      <c r="H174" s="64"/>
      <c r="I174" s="64"/>
      <c r="J174" s="64"/>
      <c r="K174" s="64"/>
      <c r="L174" s="64"/>
      <c r="M174" s="64"/>
      <c r="N174" s="64"/>
      <c r="O174" s="64"/>
      <c r="P174" s="64"/>
      <c r="Q174" s="64"/>
    </row>
    <row r="175" spans="4:17" x14ac:dyDescent="0.25">
      <c r="D175" s="64"/>
      <c r="E175" s="64"/>
      <c r="F175" s="64"/>
      <c r="G175" s="64"/>
      <c r="H175" s="64"/>
      <c r="I175" s="64"/>
      <c r="J175" s="64"/>
      <c r="K175" s="64"/>
      <c r="L175" s="64"/>
      <c r="M175" s="64"/>
      <c r="N175" s="64"/>
      <c r="O175" s="64"/>
      <c r="P175" s="64"/>
      <c r="Q175" s="64"/>
    </row>
    <row r="176" spans="4:17" x14ac:dyDescent="0.25">
      <c r="D176" s="64"/>
      <c r="E176" s="64"/>
      <c r="F176" s="64"/>
      <c r="G176" s="64"/>
      <c r="H176" s="64"/>
      <c r="I176" s="64"/>
      <c r="J176" s="64"/>
      <c r="K176" s="64"/>
      <c r="L176" s="64"/>
      <c r="M176" s="64"/>
      <c r="N176" s="64"/>
      <c r="O176" s="64"/>
      <c r="P176" s="64"/>
      <c r="Q176" s="64"/>
    </row>
    <row r="177" spans="4:17" x14ac:dyDescent="0.25">
      <c r="D177" s="64"/>
      <c r="E177" s="64"/>
      <c r="F177" s="64"/>
      <c r="G177" s="64"/>
      <c r="H177" s="64"/>
      <c r="I177" s="64"/>
      <c r="J177" s="64"/>
      <c r="K177" s="64"/>
      <c r="L177" s="64"/>
      <c r="M177" s="64"/>
      <c r="N177" s="64"/>
      <c r="O177" s="64"/>
      <c r="P177" s="64"/>
      <c r="Q177" s="64"/>
    </row>
    <row r="178" spans="4:17" x14ac:dyDescent="0.25">
      <c r="D178" s="64"/>
      <c r="E178" s="64"/>
      <c r="F178" s="64"/>
      <c r="G178" s="64"/>
      <c r="H178" s="64"/>
      <c r="I178" s="64"/>
      <c r="J178" s="64"/>
      <c r="K178" s="64"/>
      <c r="L178" s="64"/>
      <c r="M178" s="64"/>
      <c r="N178" s="64"/>
      <c r="O178" s="64"/>
      <c r="P178" s="64"/>
      <c r="Q178" s="64"/>
    </row>
    <row r="179" spans="4:17" x14ac:dyDescent="0.25">
      <c r="D179" s="64"/>
      <c r="E179" s="64"/>
      <c r="F179" s="64"/>
      <c r="G179" s="64"/>
      <c r="H179" s="64"/>
      <c r="I179" s="64"/>
      <c r="J179" s="64"/>
      <c r="K179" s="64"/>
      <c r="L179" s="64"/>
      <c r="M179" s="64"/>
      <c r="N179" s="64"/>
      <c r="O179" s="64"/>
      <c r="P179" s="64"/>
      <c r="Q179" s="64"/>
    </row>
    <row r="180" spans="4:17" x14ac:dyDescent="0.25">
      <c r="D180" s="64"/>
      <c r="E180" s="64"/>
      <c r="F180" s="64"/>
      <c r="G180" s="64"/>
      <c r="H180" s="64"/>
      <c r="I180" s="64"/>
      <c r="J180" s="64"/>
      <c r="K180" s="64"/>
      <c r="L180" s="64"/>
      <c r="M180" s="64"/>
      <c r="N180" s="64"/>
      <c r="O180" s="64"/>
      <c r="P180" s="64"/>
      <c r="Q180" s="64"/>
    </row>
  </sheetData>
  <phoneticPr fontId="21" type="noConversion"/>
  <pageMargins left="0.7" right="0.7" top="0.75" bottom="0.75" header="0.3" footer="0.3"/>
  <tableParts count="4">
    <tablePart r:id="rId1"/>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topLeftCell="A123" zoomScale="85" zoomScaleNormal="85" workbookViewId="0">
      <selection activeCell="E191" sqref="E191"/>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2" t="str" cm="1">
        <f t="array" ref="D59:D61">"⚠️" &amp; Common_SourceData.Common_SourceData_WetAndDryZones_Variation()</f>
        <v>⚠️VARIATION OF SOURCE DATA:</v>
      </c>
    </row>
    <row r="60" spans="4:8" ht="20.100000000000001" customHeight="1" x14ac:dyDescent="0.25">
      <c r="D60" s="32" t="str">
        <v>⚠️Added warm / cool temperate moist / dry - low frost and high temp classes to accommodate climate scenarios excluded by VEERG criteria.</v>
      </c>
    </row>
    <row r="61" spans="4:8" ht="20.100000000000001" customHeight="1" x14ac:dyDescent="0.25">
      <c r="D61" s="32"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2" t="str" cm="1">
        <f t="array" ref="D83:D87">"⚠️" &amp; Common_SourceData.Common_SourceData_ClimateZones_Variation()</f>
        <v>⚠️VARIATION OF SOURCE DATA:</v>
      </c>
    </row>
    <row r="84" spans="4:20" ht="20.100000000000001" customHeight="1" x14ac:dyDescent="0.25">
      <c r="D84" s="32" t="str">
        <v>⚠️Added warm / cool temperate moist / dry - low frost and high temp classes to accommodate climate scenarios excluded by VEERG criteria.</v>
      </c>
    </row>
    <row r="85" spans="4:20" ht="20.100000000000001" customHeight="1" x14ac:dyDescent="0.25">
      <c r="D85" s="32" t="str">
        <v>⚠️Fixed typo in MAT value for warm temperate dry - changed 10 to 11.</v>
      </c>
    </row>
    <row r="86" spans="4:20" ht="20.100000000000001" customHeight="1" x14ac:dyDescent="0.25">
      <c r="D86" s="32" t="str">
        <v>⚠️Added min and max columns for MAT, MAP, frost days per year, elevation, MAP:PET to calculate zones from real climate data.</v>
      </c>
    </row>
    <row r="87" spans="4:20" ht="20.100000000000001" customHeight="1" x14ac:dyDescent="0.25">
      <c r="D87" s="32"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c r="D98" s="31" t="str" cm="1">
        <f t="array" ref="D98:D101">Common_SourceData.Common_SourceData_ClimateZones_Appendices()</f>
        <v>Note:</v>
      </c>
    </row>
    <row r="99" spans="4:20" ht="20.100000000000001" customHeight="1" x14ac:dyDescent="0.25">
      <c r="D99" s="31" t="str">
        <v>MAT = mean annual temperature</v>
      </c>
    </row>
    <row r="100" spans="4:20" ht="20.100000000000001" customHeight="1" x14ac:dyDescent="0.25">
      <c r="D100" s="31" t="str">
        <v>MAP = mean annual precipitation</v>
      </c>
    </row>
    <row r="101" spans="4:20" ht="20.100000000000001" customHeight="1" x14ac:dyDescent="0.25">
      <c r="D101" s="31" t="str">
        <v>PET = potential evapotranspiration</v>
      </c>
    </row>
    <row r="102" spans="4:20" ht="20.100000000000001" customHeight="1" x14ac:dyDescent="0.25">
      <c r="D102" s="31"/>
    </row>
    <row r="103" spans="4:20" ht="20.100000000000001" customHeight="1" x14ac:dyDescent="0.25"/>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2"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7" t="s">
        <v>39</v>
      </c>
      <c r="E119" s="27" t="s">
        <v>40</v>
      </c>
      <c r="F119" s="27" t="s">
        <v>26</v>
      </c>
      <c r="G119" s="27" t="s">
        <v>27</v>
      </c>
      <c r="BN119" s="6"/>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2"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7" t="s">
        <v>58</v>
      </c>
      <c r="E142" s="27" t="s">
        <v>48</v>
      </c>
      <c r="BN142" s="6"/>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7" t="s">
        <v>43</v>
      </c>
      <c r="E153" s="27" t="s">
        <v>44</v>
      </c>
      <c r="BC153" s="2"/>
      <c r="BD153" s="2"/>
      <c r="BE153" s="2"/>
      <c r="BF153" s="2"/>
      <c r="BG153" s="2"/>
      <c r="BH153" s="2"/>
      <c r="BI153" s="2"/>
      <c r="BJ153" s="2"/>
      <c r="BK153" s="2"/>
      <c r="BL153" s="2"/>
      <c r="BM153" s="2"/>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1"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1" t="str" cm="1">
        <f t="array" ref="D180">Common_SourceData.Common_SourceData_EFN2O_Unit()</f>
        <v>(kg N2O-N / kg N</v>
      </c>
    </row>
    <row r="181" spans="4:68" ht="20.100000000000001" customHeight="1" x14ac:dyDescent="0.25">
      <c r="D181" s="32" t="str" cm="1">
        <f t="array" ref="D181:D185">Common_SourceData.Common_SourceData_EFN2O_Variation()</f>
        <v>VARIATION OF SOURCE DATA:</v>
      </c>
    </row>
    <row r="182" spans="4:68" ht="20.100000000000001" customHeight="1" x14ac:dyDescent="0.25">
      <c r="D182" s="32" t="str">
        <v>Removed duplicate 'Aquaculture' row.</v>
      </c>
    </row>
    <row r="183" spans="4:68" ht="20.100000000000001" customHeight="1" x14ac:dyDescent="0.25">
      <c r="D183" s="32" t="str">
        <v>Removed asterisks to aid lookup.</v>
      </c>
    </row>
    <row r="184" spans="4:68" ht="20.100000000000001" customHeight="1" x14ac:dyDescent="0.25">
      <c r="D184" s="32" t="str">
        <v>Added 'production system only', 'rainfall zone' and 'irrigation method' columns to aid lookup.</v>
      </c>
    </row>
    <row r="185" spans="4:68" ht="20.100000000000001" customHeight="1" x14ac:dyDescent="0.25">
      <c r="D185" s="32"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2" t="str" cm="1">
        <f t="array" ref="D204">Common_SourceData.Common_SourceData_EFPastureRangeAndPaddock_Variation()</f>
        <v>VARIATION FROM SOURCE DATA: Changed 'Dry climate zones' to singular 'Dry climate zone' to aid lookup.</v>
      </c>
    </row>
    <row r="205" spans="4:8" x14ac:dyDescent="0.25">
      <c r="D205" s="31" t="str" cm="1">
        <f t="array" ref="D205">Common_SourceData.Common_SourceData_EFPastureRangeAndPaddock_Unit()</f>
        <v>kg N2O - N / kg N</v>
      </c>
    </row>
    <row r="206" spans="4:8" x14ac:dyDescent="0.25">
      <c r="D206" s="27" t="s">
        <v>4</v>
      </c>
      <c r="E206" s="27" t="s">
        <v>60</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57</v>
      </c>
      <c r="E212" s="27" t="s">
        <v>63</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71</v>
      </c>
      <c r="F231" s="26" t="s">
        <v>72</v>
      </c>
      <c r="G231" s="27" t="s">
        <v>67</v>
      </c>
      <c r="H231" s="27" t="s">
        <v>73</v>
      </c>
      <c r="I231" s="27" t="s">
        <v>74</v>
      </c>
      <c r="J231" s="27" t="s">
        <v>66</v>
      </c>
      <c r="K231" s="27" t="s">
        <v>65</v>
      </c>
      <c r="L231" s="27" t="s">
        <v>75</v>
      </c>
      <c r="M231" s="27" t="s">
        <v>76</v>
      </c>
      <c r="N231" s="27" t="s">
        <v>64</v>
      </c>
      <c r="O231" s="27" t="s">
        <v>77</v>
      </c>
      <c r="P231" s="27" t="s">
        <v>69</v>
      </c>
      <c r="Q231" s="27" t="s">
        <v>70</v>
      </c>
      <c r="R231" s="27" t="s">
        <v>68</v>
      </c>
      <c r="S231" s="27" t="s">
        <v>78</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1" t="str" cm="1">
        <f t="array" ref="D256">Common_SourceData.Common_SourceData_EFOrganicFertiliserAndCropResidues_Unit()</f>
        <v>kg N2O - N / kg N</v>
      </c>
    </row>
    <row r="257" spans="4:5" x14ac:dyDescent="0.25">
      <c r="D257" s="27" t="s">
        <v>79</v>
      </c>
      <c r="E257" s="27" t="s">
        <v>80</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CcATgBhAHQAdQByAGEAbAAgAGcAYQBzACAAZABpAHMAdAByAGkAYgB1AHQAZQBkACAAaQBuACAAYQAgAHAAaQBwAGUAbABpAG4AZQAgAC0AIABHAGkAZwBhAGoAbwB1AGwAZQBzACcAIABhAG4AZAAgACcAVABvAHcAbgAgAGcAYQBzACAALQAgAEcAaQBnAGEAagBvAHUAbABlAHMAJ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CcAQwAn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JwBOAEUAJ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CcATgBFAC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IABMAEUATgAoAEMAZQBsAGwAKQAgAC0AIABGAEkATgBEACgAXAAiACwAIABcACIALAAgAEMAZQBsAGwAKQAgAC0AIAAx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AAgAC8AKgAgAFwAbgAtAC0ALQAtAC0ALQAtAC0ALQAtAC0ALQAtAC0ALQAtAC0ALQAtAC0ALQAtAC0ALQAtAC0ALQAtAC0ALQAtAC0ALQAtAC0ALQAtAC0AXABuAFYARQBFAFIARwBfADgAXwAyAF8AMQBfADEAXwBfADIAXwBGAHUAZQBsAEMAbwBtAGIAdQBzAHQAaQBvAG4ARwBlAG4AZQByAGkAYwBcAG4ARQBtAGkAcwBzAGkAbwBuAHMAIABmAG8AcgAgAGUAYQBjAGgAIABHAEgARwAgAGYAcgBvAG0AIABnAGUAbgBlAHIAaQBjACAAZgB1AGUAbAAgAGMAbwBtAGIAdQBzAHQAaQBvAG4AIAB3AGgAZQByAGUAIAB0AGgAZQAgAHUAcwBhAGcAZQAgAGkAcwAgAG4AbwB0ACAAawBuAG8AdwBuAFwAbgBRACAAOgAgAEEAbQBvAHUAbgB0ACAAbwBmACAAZgB1AGUAbAAgAHQAeQBwAGUAIABxACAAdQBzAGUAZAAgAGYAbwByACAAZwBlAG4AZQByAGkAYwAgAGMAbwBtAGIAdQBzAHQAaQBvAG4AIABvAHAAZQByAGEAdABpAG8AbgBzACAAOgAgAGsATABcAG4ARQBDACAAOgAgAEUAbgBlAHIAZwB5ACAAYwBvAG4AdABlAG4AdAAgAGYAYQBjAHQAbwByACAAZgBvAHIAIABnAGUAbgBlAHIAaQBjACAAYwBvAG0AYgB1AHMAdABpAG8AbgAgAG8AcABlAHIAYQB0AGkAbwBuAHMAIAA6ACAARwBKAC8AawBMAFwAbgBFAEYAIAA6ACAAUwBjAG8AcABlACAAMQAgAGUAbQBpAHMAcwBpAG8AbgAgAGYAYQBjAHQAbwByACAAZgBvAHIAIABnAGUAbgBlAHIAaQBj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FgAXwBGAHUAZQBsAEMAbwBtAGIAdQBzAHQAaQBvAG4ARwBlAG4AZQByAGkAYwBcAG4AIAAgAD0ATABBAE0AQgBEAEEAKABcAG4AIAAgACAAIABRAF8ARwBDAHEALAAgAEUAQwBfAEcAQwBxACwAIABFAEYAXwBHAEMAMQBxAGcALABcAG4AIAAgACAAIABWAEUARQBSAEcAXwA4AF8ARgB1AGUAbABDAG8AbQBiAHUAcwB0AGkAbwBuACgAUQBfAEcAQwBxACwAIABFAEMAXwBHAEMAcQAsACAARQBGAF8ARwBDADEAcQBnACkAXABuACAAIAApAFwAbgA7AFwAbgBcAG4AVgBFAEUAUgBHAF8AOABfAFgAXwBGAHUAZQBsAEMAbwBtAGIAdQBzAHQAaQBvAG4ARwBlAG4AZQByAGkAYwBfAFQAaQB0AGwAZQBcAG4AIAAgAD0ATABBAE0AQgBEAEEAKABcACIARQBtAGkAcwBzAGkAbwBuAHMAIABmAG8AcgAgAGUAYQBjAGgAIABHAEgARwAgAGYAcgBvAG0AIAB0AGgAZQAgAGcAZQBuAGUAcgBpAGMAIABjAG8AbQBiAHUAcwB0AGkAbwBuACAAbwBmACAAZgB1AGUAbABzAFwAIgApADsAXABuAFwAbgBWAEUARQBSAEcAXwA4AF8AWABfAEYAdQBlAGwAQwBvAG0AYgB1AHMAdABpAG8AbgBHAGUAbgBlAHIAaQBjAF8AVgBhAHIAaQBhAGIAbABlAFwAbgAgACAAPQBMAEEATQBCAEQAQQAoAFwAIgBFAF8AZwBcACIAKQA7AFwAbgBcAG4AVgBFAEUAUgBHAF8AOABfAFgAXwBGAHUAZQBsAEMAbwBtAGIAdQBzAHQAaQBvAG4ARwBlAG4AZQByAGkAYwBfAFUAbgBpAHQAXABuACAAIAA9AEwAQQBNAEIARABBACgAXAAiAHQAIABDAE8AMgAtAGUAXAAiACkAOwBcAG4AXABuAFYARQBFAFIARwBfADgAXwBYAF8ARgB1AGUAbABDAG8AbQBiAHUAcwB0AGkAbwBuAEcAZQBuAGUAcgBpAGMAXwBTAG8AdQByAGMAZQBcAG4AIAAgAD0ATABBAE0AQgBEAEEAKABcACIAVQBzAGUAcwAgAFYARQBFAFIARwAgADIAMAAyADYAOgAgADgALgAxAC4AMQAuADEALAAgAEUAcQB1AGEAdABpAG8AbgAgACgAMQApACwAIAA4AC4AMgAuADEALgAxACwAIABFAHEAdQBhAHQAaQBvAG4AIAAoADEAKQAgAGEAbgBkACAAZQB2AGUAcgBhAGcAZQBzACAAdABoAGUAIABBAHUAcwB0AHIAYQBsAGkAYQBuACAATgBhAHQAaQBvAG4AYQBsACAARwByAGUAZQBuAGgAbwB1AHMAZQAgAEEAYwBjAG8AdQBuAHQAcwAgAEYAYQBjAHQAbwByAHMAIAAyADAAMgA1ACAAZgBvAHIAIAB0AHIAYQBuAHMAcABvAHIAdAAgAGEAbgBkACAAcwB0AGEAdABpAG8AbgBhAHIAeQAgAGYAdQBlAGwAIABjAG8AbQBiAHUAcwB0AGkAbwBuAFwAIgApADsAXABuAFwAbgBWAEUARQBSAEcAXwA4AF8AWABfAEYAdQBlAGwAQwBvAG0AYgB1AHMAdABpAG8AbgBHAGUAbgBlAHIAaQBj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ZwBlAG4AZQByAGkAYwAgAGUAbgBlAHIAZwB5ACAAcwBvAHUAcgBjAGUAcwAgAC0AIABDAGEAbABjAHUAbABhAHQAaQBuAGcAIABlAG0AaQBzAHMAaQBvAG4AcwAgAGYAcgBvAG0AIABnAGUAbgBlAHIAaQBjACAAYwBvAG0AYgB1AHMAdABpAG8AbgAgAG8AZgAgAGwAaQBxAHUAaQBkACAAZgB1AGUAbABzACAAYQBuAGQAIAAyAC4AMwAgAEUAcwB0AGkAbQBhAHQAaQBuAGcAIABlAG0AaQBzAHMAaQBvAG4AcwAgAGYAcgBvAG0AIAB0AHIAYQBuAHMAcABvAHIAdAAgAGYAdQBlAGwAcwBcACIAKQA7AFwAbgBcAG4AVgBFAEUAUgBHAF8AOABfAFgAXwBGAHUAZQBsAEMAbwBtAGIAdQBzAHQAaQBvAG4ARwBlAG4AZQByAGkAYwBfAEwAYQB0AGUAeABFAHEAdQBhAHQAaQBvAG4AXABuACAAIAA9AEwAQQBNAEIARABBACgAXAAiAEUAXwBnAD0AXABcAHMAdQBtAFwAXABuAG8AbABpAG0AaQB0AHMAXwB0ACAAXABcAHMAdQBtAFwAXABuAG8AbABpAG0AaQB0AHMAXwBxAFwAXABsAGUAZgB0ACgAUQBfAHsARwBDACwAcQB9AFwAXAB0AGkAbQBlAHMAIABFAEMAXwB7AEcAQwAsAHEAfQBcAFwAdABpAG0AZQBzACAARQBGAF8AewBHAEMALAAxACwAcQBnAH0AXABcAHIAaQBnAGgAdAApAFwAXAB0AGkAbQBlAHMAIAAxADAAXgB7AC0AMwB9AFwAIgApADsAXABuAFwAbgBWAEUARQBSAEcAXwA4AF8AWABfAEYAdQBlAGwAQwBvAG0AYgB1AHMAdABpAG8AbgBHAGUAbgBlAHIAaQBjAF8AQQByAGcAdQBtAGUAbgB0AHMAXABuACAAIAA9AEwAQQBNAEIARABBACgAXABuACAAIAAgACAATQBBAEsARQBBAFIAUgBBAFkAKAA3ACwAIAA0ACwAIABcAG4AIAAgACAAIAAgACAATABBAE0AQgBEAEEAKAByACwAYwAsACAAXABuACAAIAAgACAAIAAgACAAIABJAE4ARABFAFgAKAB7AFwAbgAgACAAIAAgACAAIAAgACAAIAAgAFwAIgBRAF8ARwBDAHEAXAAiACwAIABcACIAQQBtAG8AdQBuAHQAIABvAGYAIABmAHUAZQBsACAAdAB5AHAAZQAgAHEAIAB1AHMAZQBkACAAZgBvAHIAIABnAGUAbgBlAHIAaQBjACAAYwBvAG0AYgB1AHMAdABpAG8AbgAgAG8AcABlAHIAYQB0AGkAbwBuAHMAXAAiACwAIABcACIAVgBhAHIAaQBlAHMAIABiAGEAcwBlAGQAIABvAG4AIABmAHUAZQBsACAAdAB5AHAAZQA6ACAAawBMACwAIABtADMALAAgAEcASgBcACIALAAgAFwAIgBJAG4AcAB1AHQAXAAiADsAXABuACAAIAAgACAAIAAgACAAIAAgACAAXAAiAEUAQwBfAEcAQwBxAFwAIgAsACAAXAAiAEUAbgBlAHIAZwB5ACAAYwBvAG4AdABlAG4AdAAgAGYAYQBjAHQAbwByACAAZgBvAHIAIABnAGUAbgBlAHIAaQBjACAAYwBvAG0AYgB1AHMAdABpAG8AbgAgAG8AcABlAHIAYQB0AGkAbwBuAHMAXAAiACwAIABcACIARwBKACAALwAgAHUAbgBpAHQAIABvAGYAIABmAHUAZQBsAFwAIgAsACAAXAAiAEMAbwBuAHMAdABhAG4AdABcACIAOwBcAG4AIAAgACAAIAAgACAAIAAgACAAIABcACIARQBGAF8ARwBDADEAcQBnAFwAIgAsACAAXAAiAFMAYwBvAHAAZQAgADEAIABlAG0AaQBzAHMAaQBvAG4AIABmAGEAYwB0AG8AcgAgAGYAbwByACAAZwBlAG4AZQByAGkAYw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RwBDAFwAIgAsACAAXAAiAEcAZQBuAGUAcgBpAGM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AAgAFYARQBFAFIARwBfADgAXwBYAF8ARgB1AGUAbABDAG8AbQBiAHUAcwB0AGkAbwBuAEcAZQBuAGUAcgBpAGMAXwBWAGEAcgBpAGEAdABpAG8AbgBcAG4AIAAgAD0ATABBAE0AQgBEAEEAKABcACIAVgBBAFIASQBBAFQASQBPAE4AIABPAE4AIABTAE8AVQBSAEMARQA6ACAAVABoAGkAcwAgAGMAYQBsAGMAdQBsAGEAdABpAG8AbgAgAHUAcwBlAHMAIABhAHYAZQByAGEAZwBlAHMAIABvAGYAIAB0AHIAYQBuAHMAcABvAHIAdAAgAGEAbgBkACAAcwB0AGEAdABpAG8AbgBhAHIAeQAgAGUAbQBpAHMAcwBpAG8AbgAgAGYAYQBjAHQAbwByAHMAIABmAG8AcgAgAGYAdQBlAGwAIABjAG8AbQBiAHUAcwB0AGkAbwBuACAAdwBoAGUAcgBlACAAdABoAGUAIAB1AHMAYQBnAGUAIABpAHMAIABuAG8AdAAgAGsAbgBvAHcAbgAuAFwAIgApADsAIgB9ACwAewAiAHAAYQB0AGgAIgA6ACIALwBwAHIAbwBqAGUAYwB0AHMALwBSAGUAZgByAGkAZwBlAHIAYQBuAHQAcwBfAEUAcQB1AGEAdABpAG8AbgBzACIALAAiAHQAZQB4AHQAIgA6ACIALwAqAFwAbgA9AD0APQA9AD0APQA9AD0APQA9AD0APQA9AD0APQA9AD0APQA9AD0APQA9AD0APQA9AD0APQA9AD0APQA9AD0APQA9AD0APQA9AD0AXABuADkAOgAgAFIAZQBmAHIAaQBnAGUAcgBhAG4AdAAgAFUAcwBlAFwAbgA9AD0APQA9AD0APQA9AD0APQA9AD0APQA9AD0APQA9AD0APQA9AD0APQA9AD0APQA9AD0APQA9AD0APQA9AD0APQA9AD0APQA9AD0AXABuADkALgAxACAAUgBlAGYAcgBpAGcAZQByAGEAbgB0ACAAVQBzAGUAXABuAD0APQA9AD0APQA9AD0APQA9AD0APQA9AD0APQA9AD0APQA9AD0APQA9AD0APQA9AD0APQA9AD0APQA9AD0APQA9AD0APQA9AD0APQBcAG4AKgAvAFwAbgBcAG4ALwAqACAAXABuAC0ALQAtAC0ALQAtAC0ALQAtAC0ALQAtAC0ALQAtAC0ALQAtAC0ALQAtAC0ALQAtAC0ALQAtAC0ALQAtAC0ALQAtAC0ALQAtAC0ALQBcAG4AVgBFAEUAUgBHAF8AOQBfADEAXwAxAF8AXwAxAF8AUgBlAGYAcgBpAGcAZQByAGEAbgB0AEwAZQBhAGsAaQBuAGcAXABuAFQAaABlACAAdABvAHQAYQBsACAAZQBtAGkAcwBzAGkAbwBuAHMAIABvAGYAIAByAGUAZgByAGkAZwBlAHIAYQBuAHQAIABsAGUAYQBrAGkAbgBnACAAZAB1AHIAaQBuAGcAIABvAHAAZQByAGEAdABpAG8AbgAgACgAbgBvAHQAIABkAHUAcgBpAG4AZwAgAGkAbgBzAHQAYQBsAGwAYQB0AGkAbwBuACAAbwByACAAZABpAHMAcABvAHMAYQBsACkAXABuAEcAVwBQAFIAIAA6ACAARwBsAG8AYgBhAGwAIAB3AGEAcgBtAGkAbgBnACAAcABvAHQAZQBuAHQAaQBhAGwAIABvAGYAIAByAGUAZgByAGkAZwBlAHIAYQBuAHQAIABSACAAOgAgAEQAaQBtAGUAbgBzAGkAbwBuAGwAZQBzAHMAXABuAGMAaABhAHIAZwBlAFIAYQAgADoAIABBAG0AbwB1AG4AdAAgAG8AZgAgAHIAZQBmAHIAaQBnAGUAcgBhAG4AdAAgAFIAIABjAG8AbgB0AGEAaQBuAGUAZAAgAGkAbgAgAGEAcABwAGwAaQBhAG4AYwBlACAAYQAgADoAIABrAGcAXABuAGwAZQBhAGsAYQBnAGUAcgBhAHQAZQBhACAAOgAgAFAAcgBjAGUAbgB0AGEAZwBlACAAbwBmACAAdABvAHQAYQBsACAAYwBoAGEAcgBnAGUAIABsAGUAYQBrAGUAZAAgAGYAcgBvAG0AIABhAHAAcABsAGkAYQBuAGMAZQAgAGEAIABlAGEAYwBoACAAeQBlAGEAcgAgADoAIABQAGUAcgBjAGUAbgB0AFwAbgAtAC0ALQAtAC0ALQAtAC0ALQAtAC0ALQAtAC0ALQAtAC0ALQAtAC0ALQAtAC0ALQAtAC0ALQAtAC0ALQAtAC0ALQAtAC0ALQAtAC0AXABuACoALwBcAG4AXABuAFwAbgBWAEUARQBSAEcAXwA5AF8AMQBfADEAXwBfADEAXwBSAGUAZgByAGkAZwBlAHIAYQBuAHQATABlAGEAawBpAG4AZwBcAG4AIAAgAD0ATABBAE0AQgBEAEEAKABcAG4AIAAgACAAIABHAFcAUABSACwAIABjAGgAYQByAGcAZQBSAGEALAAgAGwAZQBhAGsAYQBnAGUAcgBhAHQAZQBhACwAXABuACAAIAAgACAARwBXAFAAUgAgACoAIABjAGgAYQByAGcAZQBSAGEAIAAqACAAKABsAGUAYQBrAGEAZwBlAHIAYQB0AGUAYQAvADEAMAAwACkAIAAqACAAMQAwACAAXgAgAC0AIAAzAFwAbgAgACAAKQBcAG4AOwBcAG4AXABuAFYARQBFAFIARwBfADkAXwAxAF8AMQBfAF8AMQBfAFIAZQBmAHIAaQBnAGUAcgBhAG4AdABMAGUAYQBrAGkAbgBnAF8AVABpAHQAbABlAFwAbgAgACAAPQBMAEEATQBCAEQAQQAoAFwAIgBUAGgAZQAgAHQAbwB0AGEAbAAgAGUAbQBpAHMAcwBpAG8AbgBzACAAbwBmACAAcgBlAGYAcgBpAGcAZQByAGEAbgB0ACAAbABlAGEAawBpAG4AZwAgAGQAdQByAGkAbgBnACAAbwBwAGUAcgBhAHQAaQBvAG4AIAAoAG4AbwB0ACAAZAB1AHIAaQBuAGcAIABpAG4AcwB0AGEAbABsAGEAdABpAG8AbgAgAG8AcgAgAGQAaQBzAHAAbwBzAGEAbAApAFwAIgApADsAXABuAFwAbgBWAEUARQBSAEcAXwA5AF8AMQBfADEAXwBfADEAXwBSAGUAZgByAGkAZwBlAHIAYQBuAHQATABlAGEAawBpAG4AZwBfAFYAYQByAGkAYQBiAGwAZQBcAG4AIAAgAD0ATABBAE0AQgBEAEEAKABcACIARQBcACIAKQA7AFwAbgBcAG4AVgBFAEUAUgBHAF8AOQBfADEAXwAxAF8AXwAxAF8AUgBlAGYAcgBpAGcAZQByAGEAbgB0AEwAZQBhAGsAaQBuAGcAXwBVAG4AaQB0AFwAbgAgACAAPQBMAEEATQBCAEQAQQAoAFwAIgB0ACAAQwBPADIALQBlAFwAIgApADsAXABuAFwAbgBWAEUARQBSAEcAXwA5AF8AMQBfADEAXwBfADEAXwBSAGUAZgByAGkAZwBlAHIAYQBuAHQATABlAGEAawBpAG4AZwBfAFMAbwB1AHIAYwBlAFwAbgAgACAAPQBMAEEATQBCAEQAQQAoAFwAIgBWAEUARQBSAEcAIAAyADAAMgA2ADoAIAA5AC4AMQAuADEALAAgAEUAcQB1AGEAdABpAG8AbgAgACgAMQApAFwAIgApADsAXABuAFwAbgBWAEUARQBSAEcAXwA5AF8AMQBfADEAXwBfADEAXwBSAGUAZgByAGkAZwBlAHIAYQBuAHQATABlAGEAawBpAG4AZwBfAE4ASQBSAFIAZQBmAGUAcgBlAG4AYwBlAFwAbgAgACAAPQBMAEEATQBCAEQAQQAoAFwAIgBBAHUAcwB0AHIAYQBsAGkAYQBuACAATgBhAHQAaQBvAG4AYQBsACAARwByAGUAZQBuAGgAbwB1AHMAZQAgAEEAYwBjAG8AdQBuAHQAcwAgAEYAYQBjAHQAbwByAHMAIAAyADAAMgA1ACAALQAgADMALgAxACAARQBzAHQAaQBtAGEAdABpAG4AZwAgAGkAbgBkAHUAcwB0AHIAaQBhAGwAIABwAHIAbwBjAGUAcwBzAGUAcwAgAGUAbQBpAHMAcwBpAG8AbgBzACAALQAgAFIAZQBmAHIAaQBnAGUAcgBhAG4AdAAgAGwAZQBhAGsAYQBnAGUAXAAiACkAOwBcAG4AXABuAFYARQBFAFIARwBfADkAXwAxAF8AMQBfAF8AMQBfAFIAZQBmAHIAaQBnAGUAcgBhAG4AdABMAGUAYQBrAGkAbgBnAF8AUgBlAGEAZABhAGIAbABlAEUAcQB1AGEAdABpAG8AbgBcAG4AIAAgAD0ATABBAE0AQgBEAEEAKABcACIARwBXAFAAUgAgACoAIABjAGgAYQByAGcAZQBSAGEAIAAqACAAKABsAGUAYQBrAGEAZwBlAHIAYQB0AGUAYQAvADEAMAAwACkAIAAqACAAMQAwACAAXgAgAC0AIAAzAFwAIgApADsAXABuAFwAbgBWAEUARQBSAEcAXwA5AF8AMQBfADEAXwBfADEAXwBSAGUAZgByAGkAZwBlAHIAYQBuAHQATABlAGEAawBpAG4AZwBfAEEAcgBnAHUAbQBlAG4AdABzAFwAbgAgACAAPQBMAEEATQBCAEQAQQAoAFwAbgAgACAAIAAgAE0AQQBLAEUAQQBSAFIAQQBZACgANQAsACAAMwAsACAAXABuACAAIAAgACAAIAAgAEwAQQBNAEIARABBACgAcgAsAGMALAAgAFwAbgAgACAAIAAgACAAIAAgACAASQBOAEQARQBYACgAewBcAG4AIAAgACAAIAAgACAAIAAgACAAIABcACIARwBXAFAAUgBcACIALAAgAFwAIgBHAGwAbwBiAGEAbAAgAHcAYQByAG0AaQBuAGcAIABwAG8AdABlAG4AdABpAGEAbAAgAG8AZgAgAHIAZQBmAHIAaQBnAGUAcgBhAG4AdAAgAFIAXAAiACwAIABcACIARABpAG0AZQBuAHMAaQBvAG4AbABlAHMAcwBcACIAOwBcAG4AIAAgACAAIAAgACAAIAAgACAAIABcACIAYwBoAGEAcgBnAGUAUgBhAFwAIgAsACAAXAAiAEEAbQBvAHUAbgB0ACAAbwBmACAAcgBlAGYAcgBpAGcAZQByAGEAbgB0ACAAUgAgAGMAbwBuAHQAYQBpAG4AZQBkACAAaQBuACAAYQBwAHAAbABpAGEAbgBjAGUAIABhAFwAIgAsACAAXAAiAGsAZwBcACIAOwBcAG4AIAAgACAAIAAgACAAIAAgACAAIABcACIAbABlAGEAawBhAGcAZQByAGEAdABlAGEAXAAiACwAIABcACIAUAByAGMAZQBuAHQAYQBnAGUAIABvAGYAIAB0AG8AdABhAGwAIABjAGgAYQByAGcAZQAgAGwAZQBhAGsAZQBkACAAZgByAG8AbQAgAGEAcABwAGwAaQBhAG4AYwBlACAAYQAgAGUAYQBjAGgAIAB5AGUAYQByAFwAIgAsACAAXAAiAFAAZQByAGMAZQBuAHQAXAAiADsAXABuACAAIAAgACAAIAAgACAAIAAgACAAXAAiAGEAXAAiACwAIABcACIAQQBwAHAAbABpAGEAbgBjAGUAXAAiACwAIABcACIAXAAiADsAXABuACAAIAAgACAAIAAgACAAIAAgACAAXAAiAFIAXAAiACwAIABcACIAUgBlAGYAcgBpAGcAZQByAGEAbgB0AFwAIgAsACAAXAAiAFwAIgBcAG4AIAAgACAAIAAgACAAIAAgAH0ALAAgAHIALAAgAGMAKQBcAG4AIAAgACAAIAAgACAAKQBcAG4AIAAgACAAIAApAFwAbgAgACAAKQA7ACIAfQAsAHsAIgBwAGEAdABoACIAOgAiAC8AcAByAG8AagBlAGMAdABzAC8AUgBlAGYAcgBpAGcAZQByAGEAbgB0AHMAXwBTAG8AdQByAGMAZQBEAGEAdABhACIALAAiAHQAZQB4AHQAIgA6ACIALwAqAFwAbgA9AD0APQA9AD0APQA9AD0APQA9AD0APQA9AD0APQA9AD0APQA9AD0APQA9AD0APQA9AD0APQA9AD0APQA9AD0APQA9AD0APQA9AD0APQA9AD0APQA9AD0APQA9AD0APQA9AD0APQA9AD0APQA9AD0APQA9AD0APQA9AD0APQA9AD0APQA9AD0APQA9AD0APQA9AD0APQA9AFwAbgBBAHAAcABlAG4AZABpAHgAIAAyACAARwBsAG8AYgBhAGwAIABXAGEAcgBtAGkAbgBnACAAUABvAHQAZQBuAHQAaQBhAGwAcwA6ACAAVABhAGIAbABlACAAMgAzACAARwBsAG8AYgBhAGwAIABXAGEAcgBtAGkAbgBnACAAUABvAHQAZQBuAHQAaQBhAGwAcwBcAG4APQA9AD0APQA9AD0APQA9AD0APQA9AD0APQA9AD0APQA9AD0APQA9AD0APQA9AD0APQA9AD0APQA9AD0APQA9AD0APQA9AD0APQA9AD0APQA9AD0APQA9AD0APQA9AD0APQA9AD0APQA9AD0APQA9AD0APQA9AD0APQA9AD0APQA9AD0APQA9AD0APQA9AD0APQA9AD0APQBcAG4AKgAvAFwAbgBcAG4AUgBlAGYAcgBpAGcAZQByAGEAbgB0AHMAXwBDAGgAZQBtAGkAYwBhAGwARwBXAFAAXwBUAGkAdABsAGUAXABuAD0ATABBAE0AQgBEAEEAKAAoAFwAIgBHAGwAbwBiAGEAbAAgAFcAYQByAG0AaQBuAGcAIABQAG8AdABlAG4AdABpAGEAbABzAFwAIgApACkAOwBcAG4AXABuAFIAZQBmAHIAaQBnAGUAcgBhAG4AdABzAF8AQwBoAGUAbQBpAGMAYQBsAEcAVwBQAF8ARABlAHMAYwByAGkAcAB0AGkAbwBuAFwAbgA9AEwAQQBNAEIARABBACgAKABcACIAXAAiACkAKQA7AFwAbgBcAG4AUgBlAGYAcgBpAGcAZQByAGEAbgB0AHMAXwBDAGgAZQBtAGkAYwBhAGwARwBXAFAAXwBTAG8AdQByAGMAZQBcAG4APQBMAEEATQBCAEQAQQAoACgAXAAiAEEAdQBzAHQAcgBhAGwAaQBhAG4AIABOAGEAdABpAG8AbgBhAGwAIABHAHIAZQBlAG4AaABvAHUAcwBlACAAQQBjAGMAbwB1AG4AdABzACAARgBhAGMAdABvAHIAcwAgADIAMAAyADUAIAAtACAAQQBwAHAAZQBuAGQAaQB4ACAAMgAgAC0AIABUAGEAYgBsAGUAIAAyADMAXAAiACkAKQA7AFwAbgBcAG4AUgBlAGYAcgBpAGcAZQByAGEAbgB0AHMAXwBDAGgAZQBtAGkAYwBhAGwARwBXAFAAXwBEAGEAdABhAFwAbgA9AEwAQQBNAEIARABBACgAXABuACAAIABNAEEASwBFAEEAUgBSAEEAWQAoADMAOQAsACAANQAsAFwAbgAgACAAIAAgAEwAQQBNAEIARABBACgAcgAsAGMALABcAG4AIAAgACAAIAAgACAASQBOAEQARQBYACgAewBcAG4AIAAgACAAIAAgACAAIAAgAFwAIgBHAGEAcwBcACIALAAgAFwAIgBDAGgAZQBtAGkAYwBhAGwAIABmAG8AcgBtAHUAbABhAFwAIgAsACAAXAAiAEcAbABvAGIAYQBsACAAVwBhAHIAbQBpAG4AZwAgAFAAbwB0AGUAbgB0AGkAYQBsACAAKABBAFIANQApAFwAIgAsACAAXAAiAEcAYQBzACAALQAgAEYAQwAgAG4AYQBtAGUAXAAiACwAIABcACIAQQBkAGkAdABpAG8AbgBhAGwAIABkAGEAdABhACAAcwBvAHUAcgBjAGUAXAAiADsAXABuACAAIAAgACAAIAAgACAAIABcACIAQwBhAHIAYgBvAG4AIABkAGkAbwB4AGkAZABlAFwAIgAsACAAXAAiAEMATwAyAFwAIgAsACAAMQAsACAAXAAiAEMATwAyAFwAIgAsACAAXAAiAFwAIgA7AFwAbgAgACAAIAAgACAAIAAgACAAXAAiAE0AZQB0AGgAYQBuAGUAXAAiACwAIABcACIAQwBIADQAXAAiACwAIAAyADgALAAgAFwAIgBDAEgANABcACIALAAgAFwAIgBcACIAOwBcAG4AIAAgACAAIAAgACAAIAAgAFwAIgBOAGkAdAByAG8AdQBzACAAbwB4AGkAZABlAFwAIgAsACAAXAAiAE4AMgBPAFwAIgAsACAAMgA2ADUALAAgAFwAIgBOADIATwBcACIALAAgAFwAIgBcACIAOwBcAG4AIAAgACAAIAAgACAAIAAgAFwAIgBTAHUAbABwAGgAdQByACAAaABlAHgAYQBmAGwAdQBvAHIAaQBkAGUAXAAiACwAIABcACIAUwBGADYAXAAiACwAIAAyADMANQAwADAALAAgAFwAIgBTAEYANgBcACIALAAgAFwAIgBcACIAOwBcAG4AIAAgACAAIAAgACAAIAAgAFwAIgBIAEYAQwAtADIAMwAgACgAUgAtADIAMwApAFwAIgAsACAAXAAiAEMASABGADMAXAAiACwAIAAgADEAMgA0ADAAMAAsACAAXAAiAEgARgBDAC0AMgAzAFwAIgAsACAAXAAiAFwAIgA7AFwAbgAgACAAIAAgACAAIAAgACAAXAAiAEgARgBDAC0AMwAyACAAKABSAC0AMwAyACkAXAAiACwAIABcACIAQwBIADIARgAyAFwAIgAsACAANgA3ADcALAAgAFwAIgBIAEYAQwAtADMAMgBcACIALAAgAFwAIgBcACIAOwBcAG4AIAAgACAAIAAgACAAIAAgAFwAIgBIAEYAQwAtADQAMQAgACgAUgAtADQAMQApAFwAIgAsACAAXAAiAEMASAAzAEYAXAAiACwAIAAgADEAMQA2ACwAIABcACIASABGAEMALQA0ADEAXAAiACwAIABcACIAXAAiADsAXABuACAAIAAgACAAIAAgACAAIABcACIASABGAEMALQA0ADMALQAxADAAbQBlAGUAIAAoAFIALQA0ADMAMQAwAG0AZQBlACkAXAAiACwAIABcACIAQwA1AEgAMgBGADEAMABcACIALAAgADEANgA1ADAALAAgAFwAIgBIAEYAQwAtADQAMwAtADEAMABtAGUAZQBcACIALAAgAFwAIgBcACIAOwBcAG4AIAAgACAAIAAgACAAIAAgAFwAIgBIAEYAQwAtADEAMgA1ACAAKABSAC0AMQAyADUAKQBcACIALAAgAFwAIgBDADIASABGADUAXAAiACwAIAAgADMAMQA3ADAALAAgAFwAIgBIAEYAQwAtADEAMgA1AFwAIgAsACAAXAAiAFwAIgA7AFwAbgAgACAAIAAgACAAIAAgACAAXAAiAEgARgBDAC0AMQAzADQAIAAoAFIALQAxADMANAApAFwAIgAsACAAXAAiAEMAMgBIADIARgA0ACAAKABDAEgARgAyAEMASABGADIAKQBcACIALAAgACAAMQAxADIAMAAsACAAXAAiAEgARgBDAC0AMQAzADQAXAAiACwAIABcACIAXAAiADsAXABuACAAIAAgACAAIAAgACAAIABcACIASABGAEMALQAxADMANABhACAAKABSAC0AMQAzADQAYQApAFwAIgAsACAAXAAiAEMAMgBIADIARgA0ACAAKABDAEgAMgBGAEMARgAzACkAXAAiACwAIAAxADMAMAAwACwAIABcACIASABGAEMALQAxADMANABhAFwAIgAsACAAXAAiAFwAIgA7AFwAbgAgACAAIAAgACAAIAAgACAAXAAiAEgARgBDAC0AMQA0ADMAIAAoAFIALQAxADQAMwApAFwAIgAsACAAXAAiAEMAMgBIADMARgAzACAAKABDAEgARgAyAEMASAAyAEYAKQBcACIALAAgADMAMgA4ACwAIABcACIASABGAEMALQAxADQAMwBcACIALAAgAFwAIgBcACIAOwBcAG4AIAAgACAAIAAgACAAIAAgAFwAIgBIAEYAQwAtADEANAAzAGEAIAAoAFIALQAxADQAMwBhACkAXAAiACwAIABcACIAQwAyAEgAMwBGADMAIAAoAEMARgAzAEMASAAzACkAXAAiACwAIAA0ADgAMAAwACwAIABcACIASABGAEMALQAxADQAMwBhAFwAIgAsACAAXAAiAFwAIgA7AFwAbgAgACAAIAAgACAAIAAgACAAXAAiAEgARgBDAC0AMQA1ADIAYQAgACgAUgAtADEANQAyAGEAKQBcACIALAAgAFwAIgBDADIASAA0AEYAMgAgACgAQwBIADMAQwBIAEYAMgApAFwAIgAsACAAMQAzADgALAAgAFwAIgBIAEYAQwAtADEANQAyAGEAXAAiACwAIABcACIAXAAiADsAXABuACAAIAAgACAAIAAgACAAIABcACIASABGAEMALQAyADIANwBlAGEAIAAoAFIALQAyADIANwBlAGEAKQBcACIALAAgAFwAIgBDADMASABGADcAXAAiACwAIAAzADMANQAwACwAIABcACIASABGAEMALQAyADIANwBlAGEAXAAiACwAIABcACIAXAAiADsAXABuACAAIAAgACAAIAAgACAAIABcACIASABGAEMALQAyADMANgBmAGEAIAAoAFIALQAyADMANgBmAGEAKQBcACIALAAgAFwAIgBDADMASAAyAEYANgBcACIALAAgADgAMAA2ADAALAAgAFwAIgBIAEYAQwAtADIAMwA2AGYAYQBcACIALAAgAFwAIgBcACIAOwBcAG4AIAAgACAAIAAgACAAIAAgAFwAIgBIAEYAQwAtADIANAA1AGMAYQAgACgAUgAtADIANAA1AGMAYQApAFwAIgAsACAAXAAiAEMAMwBIADMARgA1AFwAIgAsACAANwAxADYALAAgAFwAIgBIAEYAQwAtADIANAA1AGMAYQBcACIALAAgAFwAIgBcACIAOwBcAG4AIAAgACAAIAAgACAAIAAgAFwAIgBIAEYAQwAtADIANAA1AGYAYQAgACgAUgAtADIANAA1AGYAYQApAFwAIgAsACAAXAAiAEMASABGADIAQwBIADIAQwBGADMAXAAiACwAIAA4ADUAOAAsACAAXAAiAEgARgBDAC0AMgA0ADUAZgBhAFwAIgAsACAAXAAiAFwAIgA7AFwAbgAgACAAIAAgACAAIAAgACAAXAAiAEgARgBDAC0AMwA2ADUAbQBmAGMAIAAoAFIALQAzADYANQBtAGYAYwApAFwAIgAsACAAXAAiAEMASAAzAEMARgAyAEMASAAyAEMARgAzAFwAIgAsACAAOAAwADQALAAgAFwAIgBIAEYAQwAtADMANgA1AG0AZgBjAFwAIgAsACAAXAAiAFwAIgA7AFwAbgAgACAAIAAgACAAIAAgACAAXAAiAEgAQwBGAEMALQAyADIAIAAoAFIALQAyADIAKQBcACIALAAgAFwAIgBDAEgAQwBsAEYAMgBcACIALAAgADEANwA2ADAALAAgAFwAIgBIAEMARgBDAC0AMgAyAFwAIgAsACAAXAAiAFwAIgA7AFwAbgAgACAAIAAgACAAIAAgACAAXAAiAEgAQwBGAEMALQAxADIAMwAgACgAUgAtADEAMgAzACkAXAAiACwAIABcACIAQwBIAEMAbAAyADIAQwBGADMAXAAiACwAIAA3ADkALAAgAFwAIgBIAEMARgBDAC0AMQAyADMAXAAiACwAIABcACIAXAAiADsAXABuACAAIAAgACAAIAAgACAAIABcACIASABDAEYAQwAtADEAMgA0ACAAKABSAC0AMQAyADQAKQBcACIALAAgAFwAIgBDAEgAQwBsAEYAQwBGADMAXAAiACwAIAA1ADIANwAsACAAXAAiAEgAQwBGAEMALQAxADIANABcACIALAAgAFwAIgBcACIAOwBcAG4AIAAgACAAIAAgACAAIAAgAFwAIgBIAEMARgBDAC0AMQA0ADEAYgAgACgAUgAtADEANAAxAGIAKQBcACIALAAgAFwAIgBDAEgAMwBDAEMAbAAyAEYAXAAiACwAIAA3ADgAMgAsACAAXAAiAEgAQwBGAEMALQAxADQAMQBiAFwAIgAsACAAXAAiAFwAIgA7AFwAbgAgACAAIAAgACAAIAAgACAAXAAiAEgAQwBGAEMALQAxADQAMgBiACAAKABSAC0AMQA0ADIAYgApAFwAIgAsACAAXAAiAEMASAAyAEMAQwBsAEYAMgBcACIALAAgADEAOQA4ADAALAAgAFwAIgBIAEMARgBDAC0AMQA0ADIAYgBcACIALAAgAFwAIgBcACIAOwBcAG4AIAAgACAAIAAgACAAIAAgAFwAIgBIAEMARgBDAC0AMgAyADUAYwBhACAAKABSAC0AMgAyADUAYwBhACkAXAAiACwAIABcACIAQwBIAEMAbAAyAEMARgAyAEMARgAzAFwAIgAsACAAMQAyADcALAAgAFwAIgBIAEMARgBDAC0AMgAyADUAYwBhAFwAIgAsACAAXAAiAFwAIgA7AFwAbgAgACAAIAAgACAAIAAgACAAXAAiAEgAQwBGAEMALQAyADIANQBjAGIAIAAoAFIALQAyADIANQBjAGIAKQBcACIALAAgAFwAIgBDAEgAQwBsAEYAQwBGADIAQwBDAEkARgAyAFwAIgAsACAANQAyADUALAAgAFwAIgBIAEMARgBDAC0AMgAyADUAYwBiAFwAIgAsACAAXAAiAFwAIgA7AFwAbgAgACAAIAAgACAAIAAgACAAXAAiAFAARgBDAC0AMQA0ACAAUABlAHIAZgBsAHUAbwByAG8AbQBlAHQAaABhAG4AZQAgACgAdABlAHQAcgBhAGYAbAB1AG8AcgBvAG0AZQB0AGgAYQBuAGUAKQBcACIALAAgAFwAIgBDAEYANABcACIALAAgADYANgAzADAALAAgAFwAIgBQAEYAQwAtADEANABcACIALAAgAFwAIgBcACIAOwBcAG4AIAAgACAAIAAgACAAIAAgAFwAIgBQAEYAQwAtADEAMQA2ACAAUABlAHIAZgBsAHUAbwByAG8AZQB0AGgAYQBuAGUAIAAoAGgAZQB4AGEAZgBsAHUAbwByAG8AZQB0AGgAYQBuAGUAKQBcACIALAAgAFwAIgBDADIARgA2AFwAIgAsACAAMQAxADEAMAAwACwAIABcACIAUABGAEMALQAxADEANgBcACIALAAgAFwAIgBcACIAOwBcAG4AIAAgACAAIAAgACAAIAAgAFwAIgBQAEYAQwAtADIAMQA4ACAAUABlAHIAZgBsAHUAbwByAG8AcAByAG8AcABhAG4AZQBcACIALAAgAFwAIgBDADMARgA4AFwAIgAsACAAOAA5ADAAMAAsACAAXAAiAFAARgBDAC0AMgAxADgAXAAiACwAIABcACIAXAAiADsAXABuACAAIAAgACAAIAAgACAAIABcACIAUABGAEMALQAzADEALQAxADAAIABQAGUAcgBmAGwAdQBvAHIAbwBiAHUAdABhAG4AZQBcACIALAAgAFwAIgBDADQARgAxADAAXAAiACwAIAA5ADIAMAAwACwAIABcACIAUABGAEMALQAzADEALQAxADAAXAAiACwAIABcACIAXAAiADsAXABuACAAIAAgACAAIAAgACAAIABcACIAUABGAEMALQAzADEAOAAgAFAAZQByAGYAbAB1AG8AcgBvAGMAeQBjAGwAbwBiAHUAdABhAG4AZQBcACIALAAgAFwAIgBjAC0AQwA0AEYAOABcACIALAAgADkANQA0ADAALAAgAFwAIgBQAEYAQwAtADMAMQA4AFwAIgAsACAAXAAiAFwAIgA7AFwAbgAgACAAIAAgACAAIAAgACAAXAAiAFAARgBDAC0ANAAxAC0AMQAyACAAUABlAHIAZgBsAHUAbwByAG8AcABlAG4AdABhAG4AZQBcACIALAAgAFwAIgBDADUARgAxADIAXAAiACwAIAA4ADUANQAwACwAIABcACIAUABGAEMALQA0ADEALQAxADIAXAAiACwAIABcACIAXAAiADsAXABuACAAIAAgACAAIAAgACAAIABcACIAUABGAEMALQA1ADEALQAxADQAIABQAGUAcgBmAGwAdQBvAHIAbwBoAGUAeABhAG4AZQBcACIALAAgAFwAIgBDADYARgAxADQAXAAiACwAIAA3ADkAMQAwACwAIABcACIAUABGAEMALQA1ADEALQAxADQAXAAiACwAIABcACIAXAAiADsAXABuACAAIAAgACAAIAAgACAAIABcACIAUABGAEMALQA5ADEALQAxADgAIABQAGUAcgBmAGwAdQBuAGEAZgBlAG4AZQBcACIALAAgAFwAIgBDADEAMABGADEAOABcACIALAAgADcAMQA5ADAALAAgAFwAIgBQAEYAQwAtADkAMQAtADEAOABcACIALAAgAFwAIgBcACIAOwBcAG4AIAAgACAAIAAgACAAIAAgAFwAIgBDAEYAQwAtADEAMgBcACIALAAgAFwAIgBDAEMAbAAyAEYAMgBcACIALAAgADEAMAAyADAAMAAsACAAXAAiAEMARgBDAC0AMQAyAFwAIgAsACAAXAAiAEkAUABDAEMAIABHAGwAbwBiAGEAbAAgAFcAYQByAG0AaQBuAGcAIABQAG8AdABlAG4AdABpAGEAbAAgAFYAYQBsAHUAZQBzACAAdgAyAC4AMAAgAC0AIAAoAEEAUgA1ACkAXAAiADsAXABuACAAIAAgACAAIAAgACAAIABcACIAQwBGAEMALQAxADMAXAAiACwAIABcACIAQwBDAGwARgAzAFwAIgAsACAAMQAzADkAMAAwACwAIABcACIAQwBGAEMALQAxADMAXAAiACwAIABcACIASQBQAEMAQwAgAEcAbABvAGIAYQBsACAAVwBhAHIAbQBpAG4AZwAgAFAAbwB0AGUAbgB0AGkAYQBsACAAVgBhAGwAdQBlAHMAIAB2ADIALgAwACAALQAgACgAQQBSADUAKQBcACIAOwBcAG4AIAAgACAAIAAgACAAIAAgAFwAIgBDAEYAQwAtADEAMQA0AFwAIgAsACAAXAAiAEMAQwBsAEYAMgBDAEMAbABGADIAXAAiACwAIAA4ADUAOQAwACwAIABcACIAQwBGAEMALQAxADEANABcACIALAAgAFwAIgBJAFAAQwBDACAARwBsAG8AYgBhAGwAIABXAGEAcgBtAGkAbgBnACAAUABvAHQAZQBuAHQAaQBhAGwAIABWAGEAbAB1AGUAcwAgAHYAMgAuADAAIAAtACAAKABBAFIANQApAFwAIgA7AFwAbgAgACAAIAAgACAAIAAgACAAXAAiAEMARgBDAC0AMQAxADUAXAAiACwAIABcACIAQwBDAGwARgAyAEMARgAzAFwAIgAsACAANwA2ADcAMAAsACAAXAAiAEMARgBDAC0AMQAxADUAXAAiACwAIABcACIASQBQAEMAQwAgAEcAbABvAGIAYQBsACAAVwBhAHIAbQBpAG4AZwAgAFAAbwB0AGUAbgB0AGkAYQBsACAAVgBhAGwAdQBlAHMAIAB2ADIALgAwACAALQAgACgAQQBSADUAKQBcACIAXABuACAAIAAgACAAIAAgAH0ALAAgAHIALAAgAGMAKQBcAG4AKQApACkAOwBcAG4AXABuAFIAZQBmAHIAaQBnAGUAcgBhAG4AdABzAF8AQwBoAGUAbQBpAGMAYQBsAEcAVwBQAF8AVgBhAHIAaQBhAHQAaQBvAG4AXABuAD0ATABBAE0AQgBEAEEAKAAoAFwAIgBWAEEAUgBJAEEAVABJAE8ATgAgAE8ARgAgAFMATwBVAFIAQwBFACAARABBAFQAQQA6ACAAQQBkAGQAZQBkACAAJwBHAEEAUwAgAC0AIABGAEMAIABuAGEAbQBlACcAIABjAG8AbAB1AG0AbgAgAHcAaQB0AGgAIAB0AHIAdQBuAGMAYQB0AGUAZAAgAGcAYQBzACAAbgBhAG0AZQAgAHQAbwAgAGEAbABsAG8AdwAgAG0AYQB0AGMAaABpAG4AZwAgAHcAaQB0AGgAIABvAHQAaABlAHIAIAB0AGEAYgBsAGUAcwAuACAAQQBkAGQAZQBkACAAZQB4AHQAcgBhACAAZwBhAHMAZQBzACAAZgByAG8AbQAgAEkAUABDAEMAIABHAGwAbwBiAGEAbAAgAFcAYQByAG0AaQBuAGcAIABQAG8AdABlAG4AdABpAGEAbAAgAFYAYQBsAHUAZQBzACAAdgAyAC4AMAAgAC0AIAAoAEEAUgA1ACkALgAgAEEAZABkAGUAZAAgACcAQQBkAGQAaQB0AGkAbwBuAGEAbAAgAGQAYQB0AGEAIABzAG8AdQByAGMAZQAnACAAYwBvAGwAdQBtAG4ALgBcACIAKQApADsAXABuAFwAbgAvACoAXABuAD0APQA9AD0APQA9AD0APQA9AD0APQA9AD0APQA9AD0APQA9AD0APQA9AD0APQA9AD0APQA9AD0APQA9AD0APQA9AD0APQA9AD0APQA9AD0APQA9AD0APQA9AD0APQA9AD0APQA9AD0APQA9AD0APQA9AD0APQA9AD0APQA9AD0APQA9AD0APQA9AD0APQA9AD0APQA9AD0AXABuAEEAcABwAGUAbgBkAGkAeAAgADIAIABHAGwAbwBiAGEAbAAgAFcAYQByAG0AaQBuAGcAIABQAG8AdABlAG4AdABpAGEAbABzADoAIABCAGwAZQBuAGQAZQBkACAAcgBlAGYAcgBpAGcAZQByAGEAbgB0AHMAXABuAD0APQA9AD0APQA9AD0APQA9AD0APQA9AD0APQA9AD0APQA9AD0APQA9AD0APQA9AD0APQA9AD0APQA9AD0APQA9AD0APQA9AD0APQA9AD0APQA9AD0APQA9AD0APQA9AD0APQA9AD0APQA9AD0APQA9AD0APQA9AD0APQA9AD0APQA9AD0APQA9AD0APQA9AD0APQA9AD0AXABuACoALwBcAG4AXABuAFIAZQBmAHIAaQBnAGUAcgBhAG4AdABzAF8AQwBoAGUAbQBpAGMAYQBsAEIAbABlAG4AZABzAF8AVABpAHQAbABlAFwAbgA9AEwAQQBNAEIARABBACgAKABcACIAQgBsAGUAbgBkAGUAZAAgAHIAZQBmAHIAaQBnAGUAcgBhAG4AdABzACAAKABtAGEAbgB5ACAAYwBvAG4AdABhAGkAbgBpAG4AZwAgAEgARgBDAFMAIABhAG4AZAAvAG8AcgAgAFAARgBDAFMAKQBcACIAKQApADsAXABuAFwAbgBSAGUAZgByAGkAZwBlAHIAYQBuAHQAcwBfAEMAaABlAG0AaQBjAGEAbABCAGwAZQBuAGQAcwBfAEQAZQBzAGMAcgBpAHAAdABpAG8AbgBcAG4APQBMAEEATQBCAEQAQQAoACgAXAAiAFwAIgApACkAOwBcAG4AXABuAFIAZQBmAHIAaQBnAGUAcgBhAG4AdABzAF8AQwBoAGUAbQBpAGMAYQBsAEIAbABlAG4AZABzAF8AUwBvAHUAcgBjAGUAXABuAD0ATABBAE0AQgBEAEEAKAAoAFwAIgBBAHUAcwB0AHIAYQBsAGkAYQBuACAATgBhAHQAaQBvAG4AYQBsACAARwByAGUAZQBuAGgAbwB1AHMAZQAgAEEAYwBjAG8AdQBuAHQAcwAgAEYAYQBjAHQAbwByAHMAIAAyADAAMgA1ACAALQAgAEEAcABwAGUAbgBkAGkAeAAgADIAIAAtACAAVABhAGIAbABlACAAMgA0AFwAIgApACkAOwBcAG4AXABuAFIAZQBmAHIAaQBnAGUAcgBhAG4AdABzAF8AQwBoAGUAbQBpAGMAYQBsAEIAbABlAG4AZABzAF8ARABhAHQAYQBcAG4APQBMAEEATQBCAEQAQQAoAFwAbgAgACAATQBBAEsARQBBAFIAUgBBAFkAKAA1ADEALAAgADMALABcAG4AIAAgACAAIABMAEEATQBCAEQAQQAoAHIALABjACwAXABuACAAIAAgACAAIAAgAEkATgBEAEUAWAAoAHsAXABuACAAIAAgACAAIAAgACAAIABcACIAQgBsAGUAbgBkAFwAIgAsACAAXAAiAEMAbwBuAHMAdABpAHQAdQBlAG4AdABzAFwAIgAsACAAXAAiAEMAbwBtAHAAbwBzAGkAdABpAG8AbgAgACgAJQApAFwAIgA7AFwAbgAgACAAIAAgACAAIAAgACAAXAAiAFIALQA0ADAAMABcACIALAAgAFwAIgBDAEYAQwAtADEAMgAvAEMARgBDAC0AMQAxADQAXAAiACwAIABcACIAUgAtADQAMAAwACAAYwBhAG4AIABoAGEAdgBlACAAdgBhAHIAaQBvAHUAcwAgAHAAcgBvAHAAbwByAHQAaQBvAG4AcwAgAG8AZgAgAEMARgBDAC0AMQAyACAAYQBuAGQAIABDAEYAQwAtADEAMQA0AC4AIABUAGgAZQAgAGUAeABhAGMAdAAgAGMAbwBtAHAAbwBzAGkAdABpAG8AbgAgAG4AZQBlAGQAcwAgAHQAbwAgAGIAZQAgAHMAcABlAGMAaQBmAGkAZQBkACwAIABlAC4AZwAuACwAIABSAC0ANAAwADAAIAAoADYAMAAvADQAMAApAC4AXAAiADsAXABuACAAIAAgACAAIAAgACAAIABcACIAUgAtADQAMAAxAEEAXAAiACwAIABcACIASABDAEYAQwAtADIAMgAvAEgARgBDAC0AMQA1ADIAYQAvAEgAQwBGAEMALQAxADIANABcACIALAAgAFwAIgAoADUAMwAuADAALwAxADMALgAwAC8AMwA0AC4AMAApAFwAIgA7AFwAbgAgACAAIAAgACAAIAAgACAAXAAiAFIALQA0ADAAMQBCAFwAIgAsACAAXAAiAEgAQwBGAEMALQAyADIALwBIAEYAQwAtADEANQAyAGEALwBIAEMARgBDAC0AMQAyADQAXAAiACwAIABcACIAKAA2ADEALgAwAC8AMQAxAC4AMAAvADIAOAAuADAAKQBcACIAOwBcAG4AIAAgACAAIAAgACAAIAAgAFwAIgBSAC0ANAAwADEAQwBcACIALAAgAFwAIgBIAEMARgBDAC0AMgAyAC8ASABGAEMALQAxADUAMgBhAC8ASABDAEYAQwAtADEAMgA0AFwAIgAsACAAXAAiACgAMwAzAC4AMAAvADEANQAuADAALwA1ADIALgAwACkAXAAiADsAXABuACAAIAAgACAAIAAgACAAIABcACIAUgAtADQAMAAyAEEAXAAiACwAIABcACIASABGAEMALQAxADIANQAvAEgAQwAtADIAOQAwAC8ASABDAEYAQwAtADIAMgBcACIALAAgAFwAIgAoADYAMAAuADAALwAyAC4AMAAvADMAOAAuADAAKQBcACIAOwBcAG4AIAAgACAAIAAgACAAIAAgAFwAIgBSAC0ANAAwADIAQgBcACIALAAgAFwAIgBIAEYAQwAtADEAMgA1AC8ASABDAC0AMgA5ADAALwBIAEMARgBDAC0AMgAyAFwAIgAsACAAXAAiACgAMwA4AC4AMAAvADIALgAwAC8ANgAwAC4AMAApAFwAIgA7AFwAbgAgACAAIAAgACAAIAAgACAAXAAiAFIALQA0ADAAMwBBAFwAIgAsACAAXAAiAEgAQwAtADIAOQAwAC8ASABDAEYAQwAtADIAMgAvAFAARgBDAC0AMgAxADgAXAAiACwAIABcACIAKAA1AC4AMAAvADcANQAuADAALwAyADAALgAwACkAXAAiADsAXABuACAAIAAgACAAIAAgACAAIABcACIAUgAtADQAMAAzAEIAXAAiACwAIABcACIASABDAC0AMgA5ADAALwBIAEMARgBDAC0AMgAyAC8AUABGAEMALQAyADEAOABcACIALAAgAFwAIgAoADUALgAwAC8ANQA2AC4AMAAvADMAOQAuADAAKQBcACIAOwBcAG4AIAAgACAAIAAgACAAIAAgAFwAIgBSAC0ANAAwADQAQQBcACIALAAgAFwAIgBIAEYAQwAtADEAMgA1AC8ASABGAEMALQAxADQAMwBhAC8ASABGAEMALQAxADMANABhAFwAIgAsACAAXAAiACgANAA0AC4AMAAvADUAMgAuADAALwA0AC4AMAApAFwAIgA7AFwAbgAgACAAIAAgACAAIAAgACAAXAAiAFIALQA0ADAANQBBAFwAIgAsACAAXAAiAEgAQwBGAEMALQAyADIALwAgAEgARgBDAC0AMQA1ADIAYQAvAEgAQwBGAEMALQAxADQAMgBiAC8AUABGAEMALQAzADEAOABcACIALAAgAFwAIgAoADQANQAuADAALwA3AC4AMAAvADUALgA1AC8ANAAyAC4ANQApAFwAIgA7AFwAbgAgACAAIAAgACAAIAAgACAAXAAiAFIALQA0ADAANgBBAFwAIgAsACAAXAAiAEgAQwBGAEMALQAyADIALwBIAEMALQA2ADAAMABhAC8ASABDAEYAQwAtADEANAAyAGIAXAAiACwAIABcACIAKAA1ADUALgAwAC8AMQA0AC4AMAAvADQAMQAuADAAKQBcACIAOwBcAG4AIAAgACAAIAAgACAAIAAgAFwAIgBSAC0ANAAwADcAQQBcACIALAAgAFwAIgBIAEYAQwAtADMAMgAvAEgARgBDAC0AMQAyADUALwBIAEYAQwAtADEAMwA0AGEAXAAiACwAIABcACIAKAAyADAALgAwAC8ANAAwAC4AMAAvADQAMAAuADAAKQBcACIAOwBcAG4AIAAgACAAIAAgACAAIAAgAFwAIgBSAC0ANAAwADcAQgBcACIALAAgAFwAIgBIAEYAQwAtADMAMgAvAEgARgBDAC0AMQAyADUALwBIAEYAQwAtADEAMwA0AGEAXAAiACwAIABcACIAKAAxADAALgAwAC8ANwAwAC4AMAAvADIAMAAuADAAKQBcACIAOwBcAG4AIAAgACAAIAAgACAAIAAgAFwAIgBSAC0ANAAwADcAQwBcACIALAAgAFwAIgBIAEYAQwAtADMAMgAvAEgARgBDAC0AMQAyADUALwBIAEYAQwAtADEAMwA0AGEAXAAiACwAIABcACIAKAAyADMALgAwAC8AMgA1AC4AMAAvADUAMgAuADAAKQBcACIAOwBcAG4AIAAgACAAIAAgACAAIAAgAFwAIgBSAC0ANAAwADcARABcACIALAAgAFwAIgBIAEYAQwAtADMAMgAvAEgARgBDAC0AMQAyADUALwBIAEYAQwAtADEAMwA0AGEAXAAiACwAIABcACIAKAAxADUALgAwAC8AMQA1AC4AMAAvADcAMAAuADAAKQBcACIAOwBcAG4AIAAgACAAIAAgACAAIAAgAFwAIgBSAC0ANAAwADcARQBcACIALAAgAFwAIgBIAEYAQwAtADMAMgAvAEgARgBDAC0AMQAyADUALwBIAEYAQwAtADEAMwA0AGEAXAAiACwAIABcACIAKAAyADUALgAwAC8AMQA1AC4AMAAvADYAMAAuADAAKQBcACIAOwBcAG4AIAAgACAAIAAgACAAIAAgAFwAIgBSAC0ANAAwADgAQQBcACIALAAgAFwAIgBIAEYAQwAtADEAMgA1AC8ASABGAEMALQAxADQAMwBhAC8ASABDAEYAQwAtADIAMgBcACIALAAgAFwAIgAoADcALgAwAC8ANAA2AC4AMAAvADQANwAuADAAKQBcACIAOwBcAG4AIAAgACAAIAAgACAAIAAgAFwAIgBSAC0ANAAwADkAQQBcACIALAAgAFwAIgBIAEMARgBDAC0AMgAyAC8ASABDAEYAQwAtADEAMgA0AC8ASABDAEYAQwAtADEANAAyAGIAXAAiACwAIABcACIAKAA2ADAALgAwAC8AMgA1AC4AMAAvADEANQAuADAAKQBcACIAOwBcAG4AIAAgACAAIAAgACAAIAAgAFwAIgBSAC0ANAAwADkAQgBcACIALAAgAFwAIgBIAEMARgBDAC0AMgAyAC8ASABDAEYAQwAtADEAMgA0AC8ASABDAEYAQwAtADEANAAyAGIAXAAiACwAIABcACIAKAA2ADUALgAwAC8AMgA1AC4AMAAvADEAMAAuADAAKQBcACIAOwBcAG4AIAAgACAAIAAgACAAIAAgAFwAIgBSAC0ANAAxADAAQQBcACIALAAgAFwAIgBIAEYAQwAtADMAMgAvAEgARgBDAC0AMQAyADUAXAAiACwAIABcACIAKAA1ADAALgAwAC8ANQAwAC4AMAApAFwAIgA7AFwAbgAgACAAIAAgACAAIAAgACAAXAAiAFIALQA0ADEAMABCAFwAIgAsACAAXAAiAEgARgBDAC0AMwAyAC8ASABGAEMALQAxADIANQBcACIALAAgAFwAIgAoADQANQAuADAALwA1ADUALgAwACkAXAAiADsAXABuACAAIAAgACAAIAAgACAAIABcACIAUgAtADQAMQAxAEEAXAAiACwAIABcACIASABDAC0AMQAyADcAMAAvAEgAQwBGAEMALQAyADIALwBIAEYAQwAtADEANQAyAGEAXAAiACwAIABcACIAKAAxAC4ANQAvADgANwAuADUALwAxADEALgAwACkAXAAiADsAXABuACAAIAAgACAAIAAgACAAIABcACIAUgAtADQAMQAxAEIAXAAiACwAIABcACIASABDAC0AMQAyADcAMAAvAEgAQwBGAEMALQAyADIALwBIAEYAQwAtADEANQAyAGEAXAAiACwAIABcACIAKAAzAC4AMAAvADkANAAuADAALwAzAC4AMAApAFwAIgA7AFwAbgAgACAAIAAgACAAIAAgACAAXAAiAFIALQA0ADEAMQBDAFwAIgAsACAAXAAiAEgAQwAtADEAMgA3ADAALwBIAEMARgBDAC0AMgAyAC8ASABGAEMALQAxADUAMgBhAFwAIgAsACAAXAAiACgAMwAuADAALwA5ADUALgA1AC8AMQAuADUAKQBcACIAOwBcAG4AIAAgACAAIAAgACAAIAAgAFwAIgBSAC0ANAAxADIAQQBcACIALAAgAFwAIgBIAEMARgBDAC0AMgAyAC8AUABGAEMALQAyADEAOAAvAEgAQwBGAEMALQAxADQAMgBiAFwAIgAsACAAXAAiACgANwAwAC4AMAAvADUALgAwAC8AMgA1AC4AMAApAFwAIgA7AFwAbgAgACAAIAAgACAAIAAgACAAXAAiAFIALQA0ADEAMwBBAFwAIgAsACAAXAAiAFAARgBDAC0AMgAxADgALwBIAEYAQwAtADEAMwA0AGEALwBIAEMALQA2ADAAMABhAFwAIgAsACAAXAAiACgAOQAuADAALwA4ADgALgAwAC8AMwAuADAAKQBcACIAOwBcAG4AIAAgACAAIAAgACAAIAAgAFwAIgBSAC0ANAAxADQAQQBcACIALAAgAFwAIgBIAEMARgBDAC0AMgAyAC8ASABDAEYAQwAtADEAMgA0AC8ASABDAC0ANgAwADAAYQAvAEgAQwBGAEMALQAxADQAMgBiAFwAIgAsACAAXAAiACgANQAxAC4AMAAvADIAOAAuADUALwA0AC4AMAAvADEANgAuADUAKQBcACIAOwBcAG4AIAAgACAAIAAgACAAIAAgAFwAIgBSAC0ANAAxADQAQgBcACIALAAgAFwAIgBIAEMARgBDAC0AMgAyAC8ASABDAEYAQwAtADEAMgA0AC8ASABDAC0ANgAwADAAYQAvAEgAQwBGAEMALQAxADQAMgBiAFwAIgAsACAAXAAiACgANQAwAC4AMAAvADMAOQAuADAALwAxAC4ANQAvADkALgA1ACkAXAAiADsAXABuACAAIAAgACAAIAAgACAAIABcACIAUgAtADQAMQA1AEEAXAAiACwAIABcACIASABDAEYAQwAtADIAMgAvAEgARgBDAC0AMQA1ADIAYQBcACIALAAgAFwAIgAoADgAMgAuADAALwAxADgALgAwACkAXAAiADsAXABuACAAIAAgACAAIAAgACAAIABcACIAUgAtADQAMQA1AEIAXAAiACwAIABcACIASABDAEYAQwAtADIAMgAvAEgARgBDAC0AMQA1ADIAYQBcACIALAAgAFwAIgAoADIANQAuADAALwA3ADUALgAwACkAXAAiADsAXABuACAAIAAgACAAIAAgACAAIABcACIAUgAtADQAMQA2AEEAXAAiACwAIABcACIASABGAEMALQAxADMANABhAC8ASABDAEYAQwAtADEAMgA0AC8ASABDAC0ANgAwADAAXAAiACwAIABcACIAKAA1ADkALgAwAC8AMwA5AC4ANQAvADEALgA1ACkAXAAiADsAXABuACAAIAAgACAAIAAgACAAIABcACIAUgAtADQAMQA3AEEAXAAiACwAIABcACIASABGAEMALQAxADIANQAvAEgARgBDAC0AMQAzADQAYQAvAEgAQwAtADYAMAAwAFwAIgAsACAAXAAiACgANAA2AC4ANgAvADUAMAAuADAALwAzAC4ANAApAFwAIgA7AFwAbgAgACAAIAAgACAAIAAgACAAXAAiAFIALQA0ADEAOABBAFwAIgAsACAAXAAiAEgAQwAtADIAOQAwAC8ASABDAEYAQwAtADIAMgAvAEgARgBDAC0AMQA1ADIAYQBcACIALAAgAFwAIgAoADEALgA1AC8AOQA2AC4AMAAvADIALgA1ACkAXAAiADsAXABuACAAIAAgACAAIAAgACAAIABcACIAUgAtADQAMQA5AEEAXAAiACwAIABcACIASABGAEMALQAxADIANQAvAEgARgBDAC0AMQAzADQAYQAvAEgARQAtAEUAMQA3ADAAXAAiACwAIABcACIAKAA3ADcALgAwAC8AMQA5AC4AMAAvADQALgAwACkAXAAiADsAXABuACAAIAAgACAAIAAgACAAIABcACIAUgAtADQAMgAwAEEAXAAiACwAIABcACIASABGAEMALQAxADMANABhAC8ASABDAEYAQwAtADEANAAyAGIAXAAiACwAIABcACIAKAA4ADgALgAwAC8AMQAyAC4AMAApAFwAIgA7AFwAbgAgACAAIAAgACAAIAAgACAAXAAiAFIALQA0ADIAMQBBAFwAIgAsACAAXAAiAEgARgBDAC0AMQAyADUALwBIAEYAQwAtADEAMwA0AGEAXAAiACwAIABcACIAKAA1ADgALgAwAC8ANAAyAC4AMAApAFwAIgA7AFwAbgAgACAAIAAgACAAIAAgACAAXAAiAFIALQA0ADIAMgBBAFwAIgAsACAAXAAiAEgARgBDAC0AMQAyADUALwBIAEYAQwAtADEAMwA0AGEALwBIAEMALQA2ADAAMABhAFwAIgAsACAAXAAiACgAOAA1AC4AMQAvADEAMQAuADUALwAzAC4ANAApAFwAIgA7AFwAbgAgACAAIAAgACAAIAAgACAAXAAiAFIALQA0ADIAMgBCAFwAIgAsACAAXAAiAEgARgBDAC0AMQAyADUALwBIAEYAQwAtADEAMwA0AGEALwBIAEMALQA2ADAAMABhAFwAIgAsACAAXAAiACgANQA1AC4AMAAvADQAMgAuADAALwAzAC4AMAApAFwAIgA7AFwAbgAgACAAIAAgACAAIAAgACAAXAAiAFIALQA0ADIAMgBDAFwAIgAsACAAXAAiAEgARgBDAC0AMQAyADUALwBIAEYAQwAtADEAMwA0AGEALwBIAEMALQA2ADAAMABhAFwAIgAsACAAXAAiACgAOAAyAC4AMAAvADEANQAuADAALwAzAC4AMAApAFwAIgA7AFwAbgAgACAAIAAgACAAIAAgACAAXAAiAFIALQA1ADAAMABcACIALAAgAFwAIgBDAEYAQwAtADEAMgAvAEgARgBDAC0AMQA1ADIAYQBcACIALAAgAFwAIgAoADcAMwAuADgALwAyADYALgAyACkAXAAiADsAXABuACAAIAAgACAAIAAgACAAIABcACIAUgAtADUAMAAxAFwAIgAsACAAXAAiAEgAQwBGAEMALQAyADIALwBDAEYAQwAtADEAMgBcACIALAAgAFwAIgAoADcANQAuADAALwAyADUALgAwACkAXAAiADsAXABuACAAIAAgACAAIAAgACAAIABcACIAUgAtADUAMAAyAFwAIgAsACAAXAAiAEgAQwBGAEMALQAyADIALwBDAEYAQwAtADEAMQA1AFwAIgAsACAAXAAiACgANAA4AC4AOAAvADUAMQAuADIAKQBcACIAOwBcAG4AIAAgACAAIAAgACAAIAAgAFwAIgBSAC0ANQAwADMAXAAiACwAIABcACIASABGAEMALQAyADMALwBDAEYAQwAtADEAMwBcACIALAAgAFwAIgAoADQAMAAuADEALwA1ADkALgA5ACkAXAAiADsAXABuACAAIAAgACAAIAAgACAAIABcACIAUgAtADUAMAA0AFwAIgAsACAAXAAiAEgARgBDAC0AMwAyAC8AQwBGAEMALQAxADEANQBcACIALAAgAFwAIgAoADQAOAAuADIALwA1ADEALgA4ACkAXAAiADsAXABuACAAIAAgACAAIAAgACAAIABcACIAUgAtADUAMAA1AFwAIgAsACAAXAAiAEMARgBDAC0AMQAyAC8ASABDAEYAQwAtADMAMQBcACIALAAgAFwAIgAoADcAOAAuADAALwAyADIALgAwACkAXAAiADsAXABuACAAIAAgACAAIAAgACAAIABcACIAUgAtADUAMAA2AFwAIgAsACAAXAAiAEMARgBDAC0AMwAxAC8AQwBGAEMALQAxADEANABcACIALAAgAFwAIgAoADUANQAuADEALwA0ADQALgA5ACkAXAAiADsAXABuACAAIAAgACAAIAAgACAAIABcACIAUgAtADUAMAA3AEEAXAAiACwAIABcACIASABGAEMALQAxADIANQAvAEgARgBDAC0AMQA0ADMAYQBcACIALAAgAFwAIgAoADUAMAAuADAALwA1ADAALgAwACkAXAAiADsAXABuACAAIAAgACAAIAAgACAAIABcACIAUgAtADUAMAA4AEEAXAAiACwAIABcACIASABGAEMALQAyADMALwBQAEYAQwAtADEAMQA2AFwAIgAsACAAXAAiACgAMwA5AC4AMAAvADYAMQAuADAAKQBcACIAOwBcAG4AIAAgACAAIAAgACAAIAAgAFwAIgBSAC0ANQAwADgAQgBcACIALAAgAFwAIgBIAEYAQwAtADIAMwAvAFAARgBDAC0AMQAxADYAXAAiACwAIABcACIAKAA0ADYALgAwAC8ANQA0AC4AMAApAFwAIgA7AFwAbgAgACAAIAAgACAAIAAgACAAXAAiAFIALQA1ADAAOQBBAFwAIgAsACAAXAAiAEgAQwBGAEMALQAyADIALwBQAEYAQwAtADIAMQA4AFwAIgAsACAAXAAiACgANAA0AC4AMAAvADUANgAuADAAKQBcACIAXABuACAAIAAgACAAIAAgAH0ALAAgAHIALAAgAGMAKQBcAG4AKQApACkAOwBcAG4AXABuAFIAZQBmAHIAaQBnAGUAcgBhAG4AdABzAF8AQwBoAGUAbQBpAGMAYQBsAEIAbABlAG4AZABzAF8AVgBhAHIAaQBhAHQAaQBvAG4AXABuAD0ATABBAE0AQgBEAEEAKAAoAFwAIgBWAEEAUgBJAEEAVABJAE8ATgAgAE8ARgAgAFMATwBVAFIAQwBFACAARABBAFQAQQA6ACAARgBpAHgAZQBkACAAdAB5AHAAbwAgAC0AIABjAGgAYQBuAGcAZQBkACAASABDADYAMAAwAGEAIAB0AG8AIABIAEMALQA2ADAAMABhACAAZgBvAHIAIABiAGwAZQBuAGQAIABSAC0ANAAxADQAQgAuACAARgBpAHgAZQBkACAAdAB5AHAAbwAgAGYAbwByACAAYgBsAGUAbgBkACAAUgAtADQAMAA1AEEAIAAtACAAQwBoAGEAbgBnAGUAZAAgAEgAQwBGAEMAMQA0ADIAYgAgAHQAbwAgAEgAQwBGAEMALQAxADQAMgBiAC4AXAAiACkAKQA7AFwAbgBcAG4AXABuAC8AKgBcAG4APQA9AD0APQA9AD0APQA9AD0APQA9AD0APQA9AD0APQA9AD0APQA9AD0APQA9AD0APQA9AD0APQA9AD0APQA9AD0APQA9AD0APQA9AD0APQA9AD0APQA9AD0APQA9AD0APQA9AD0APQA9AD0APQA9AD0APQA9AD0APQA9AD0APQA9AD0APQA9AD0APQA9AD0APQA9AD0APQBcAG4ATABlAGEAawBhAGcAZQAgAHIAYQB0AGUAcwAgAGYAbwByACAAYwBvAG0AbQBvAG4AIAByAGUAZgByAGkAZwBlAHIAYQB0AGkAbwBuACAAYQBuAGQAIABhAGkAcgBcAG4APQA9AD0APQA9AD0APQA9AD0APQA9AD0APQA9AD0APQA9AD0APQA9AD0APQA9AD0APQA9AD0APQA9AD0APQA9AD0APQA9AD0APQA9AD0APQA9AD0APQA9AD0APQA9AD0APQA9AD0APQA9AD0APQA9AD0APQA9AD0APQA9AD0APQA9AD0APQA9AD0APQA9AD0APQA9AD0APQBcAG4AKgAvAFwAbgBcAG4AUgBlAGYAcgBpAGcAZQByAGEAbgB0AHMAXwBMAGUAYQBrAGEAZwBlAFIAYQB0AGUAcwBfAFQAaQB0AGwAZQBcAG4APQBMAEEATQBCAEQAQQAoACgAXAAiAEkAbgBkAGkAYwBhAHQAaQB2AGUAIABsAGUAYQBrAGEAZwBlACAAcgBhAHQAZQBzACAAZgBvAHIAIABjAG8AbQBtAG8AbgAgAHIAZQBmAHIAaQBnAGUAcgBhAHQAaQBvAG4AIABhAG4AZAAgAGEAaQByACAALQAgAGMAbwBuAGQAaQB0AGkAbwBuAGkAbgBnACAAZQBxAHUAaQBwAG0AZQBuAHQAXAAiACkAKQA7AFwAbgBcAG4AUgBlAGYAcgBpAGcAZQByAGEAbgB0AHMAXwBMAGUAYQBrAGEAZwBlAFIAYQB0AGUAcwBfAEQAZQBzAGMAcgBpAHAAdABpAG8AbgBcAG4APQBMAEEATQBCAEQAQQAoACgAXAAiAFwAIgApACkAOwBcAG4AXABuAFIAZQBmAHIAaQBnAGUAcgBhAG4AdABzAF8ATABlAGEAawBhAGcAZQBSAGEAdABlAHMAXwBTAG8AdQByAGMAZQBcAG4APQBMAEEATQBCAEQAQQAoACgAXAAiAEEAdQBzAHQAcgBhAGwAaQBhAG4AIABOAGEAdABpAG8AbgBhAGwAIABHAHIAZQBlAG4AaABvAHUAcwBlACAAQQBjAGMAbwB1AG4AdABzACAARgBhAGMAdABvAHIAcwAgADIAMAAyADUAIAAtACAAVABhAGIAbABlACAAMQAwAFwAIgApACkAOwBcAG4AXABuAFIAZQBmAHIAaQBnAGUAcgBhAG4AdABzAF8ATABlAGEAawBhAGcAZQBSAGEAdABlAHMAXwBEAGEAdABhAFwAbgA9AEwAQQBNAEIARABBACgAXABuACAAIABNAEEASwBFAEEAUgBSAEEAWQAoADgAMQAsACAAMgAsAFwAbgAgACAAIAAgAEwAQQBNAEIARABBACgAcgAsAGMALABcAG4AIAAgACAAIAAgACAASQBOAEQARQBYACgAewBcAG4AIAAgACAAIAAgACAAIAAgAFwAIgBQAHIAbwBkAHUAYwB0AFwAIgAsACAAXAAiAEEAbgBuAHUAYQBsACAAbABlAGEAawBhAGcAZQAgAHIAYQB0AGUAIAAoACUAKQBcACIAOwBcAG4AIAAgACAAIAAgACAAIAAgAFwAIgBEAG8AbQBlAHMAdABpAGMAIAByAGUAZgByAGkAZwBlAHIAYQB0AG8AcgBzAFwAIgAsACAAMQAuADcAOwBcAG4AIAAgACAAIAAgACAAIAAgAFwAIgBUAHIAYQBuAHMAcABvAHIAdAAgAHIAZQBmAHIAaQBnAGUAcgBhAHQAaQBvAG4AXAAiACwAIAAxADUALgA3ADsAXABuACAAIAAgACAAIAAgACAAIABcACIARABvAG0AZQBzAHQAaQBjACAAQQAvAEMAIABwAG8AcgB0AGEAYgBsAGUAXAAiACwAIAAyAC4ANQA7AFwAbgAgACAAIAAgACAAIAAgACAAXAAiAEQAbwBtAGUAcwB0AGkAYwAgAEEALwBDACAAcwBwAGwAaQB0AFwAIgAsACAAMwAuADUAOwBcAG4AIAAgACAAIAAgACAAIAAgAFwAIgBEAG8AbQBlAHMAdABpAGMAIABBAC8AQwAgAHAAYQBjAGsAYQBnAGUAZABcACIALAAgADIALgA1ADsAXABuACAAIAAgACAAIAAgACAAIABcACIATABpAGcAaAB0ACAAdgBlAGgAaQBjAGwAZQAgAEEALwBDAFwAIgAsACAANgAuADcAOwBcAG4AIAAgACAAIAAgACAAIAAgAFwAIgBIAGUAYQB2AHkAIAB2AGUAaABpAGMAbABlACAAQQAvAEMAXAAiACwAIAAxADAALgA4AFwAbgAgACAAIAAgACAAIAB9ACwAIAByACwAIABjACkAXABuACkAKQApADsAXABuAFwAbgBSAGUAZgByAGkAZwBlAHIAYQBuAHQAcwBfAEwAZQBhAGsAYQBnAGUAUgBhAHQAZQBzAF8AVgBhAHIAaQBhAHQAaQBvAG4AXABuAD0ATABBAE0AQgBEAEEAKAAoAFwAIgBcACIAKQ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GAHUAZQBsAF8ASQBuAHAAdQB0AEYAdQBuAGMAdABpAG8AbgBzAC4ARgB1AGUAbABfAEcAZQB0AFQAcgBhAG4AcwBwAG8AcgB0AEYAdQBlAGwAUwB0AHIAaQBuAGcAIgAsACIARgB1AGUAbABfAEkAbgBwAHUAdABGAHUAbgBjAHQAaQBvAG4AcwAuAEYAdQBlAGwAXwBHAGUAdABTAHQAYQB0AGkAbwBuAGEAcgB5AEYAdQBlAGwAUwB0AHIAaQBuAGcAIgAsACIARgB1AGUAbABfAEkAbgBwAHUAdABGAHUAbgBjAHQAaQBvAG4AcwAuAEYAdQBlAGwAXwBUAG8AdABhAGwAQwBvAG4AcwB1AG0AcAB0AGkAbwBu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dQBlAGwAXwBFAHEAdQBhAHQAaQBvAG4AcwAuAFYARQBFAFIARwBfADgAXwBYAF8ARgB1AGUAbABDAG8AbQBiAHUAcwB0AGkAbwBuAEcAZQBuAGUAcgBpAGMAIgAsACIARgB1AGUAbABfAEUAcQB1AGEAdABpAG8AbgBzAC4AVgBFAEUAUgBHAF8AOABfAFgAXwBGAHUAZQBsAEMAbwBtAGIAdQBzAHQAaQBvAG4ARwBlAG4AZQByAGkAYwBfAFQAaQB0AGwAZQAiACwAIgBGAHUAZQBsAF8ARQBxAHUAYQB0AGkAbwBuAHMALgBWAEUARQBSAEcAXwA4AF8AWABfAEYAdQBlAGwAQwBvAG0AYgB1AHMAdABpAG8AbgBHAGUAbgBlAHIAaQBjAF8AVgBhAHIAaQBhAGIAbABlACIALAAiAEYAdQBlAGwAXwBFAHEAdQBhAHQAaQBvAG4AcwAuAFYARQBFAFIARwBfADgAXwBYAF8ARgB1AGUAbABDAG8AbQBiAHUAcwB0AGkAbwBuAEcAZQBuAGUAcgBpAGMAXwBVAG4AaQB0ACIALAAiAEYAdQBlAGwAXwBFAHEAdQBhAHQAaQBvAG4AcwAuAFYARQBFAFIARwBfADgAXwBYAF8ARgB1AGUAbABDAG8AbQBiAHUAcwB0AGkAbwBuAEcAZQBuAGUAcgBpAGMAXwBTAG8AdQByAGMAZQAiACwAIgBGAHUAZQBsAF8ARQBxAHUAYQB0AGkAbwBuAHMALgBWAEUARQBSAEcAXwA4AF8AWABfAEYAdQBlAGwAQwBvAG0AYgB1AHMAdABpAG8AbgBHAGUAbgBlAHIAaQBjAF8ATgBJAFIAUgBlAGYAZQByAGUAbgBjAGUAIgAsACIARgB1AGUAbABfAEUAcQB1AGEAdABpAG8AbgBzAC4AVgBFAEUAUgBHAF8AOABfAFgAXwBGAHUAZQBsAEMAbwBtAGIAdQBzAHQAaQBvAG4ARwBlAG4AZQByAGkAYwBfAEwAYQB0AGUAeABFAHEAdQBhAHQAaQBvAG4AIgAsACIARgB1AGUAbABfAEUAcQB1AGEAdABpAG8AbgBzAC4AVgBFAEUAUgBHAF8AOABfAFgAXwBGAHUAZQBsAEMAbwBtAGIAdQBzAHQAaQBvAG4ARwBlAG4AZQByAGkAYwBfAEEAcgBnAHUAbQBlAG4AdABzACIALAAiAEYAdQBlAGwAXwBFAHEAdQBhAHQAaQBvAG4AcwAuAFYARQBFAFIARwBfADgAXwBYAF8ARgB1AGUAbABDAG8AbQBiAHUAcwB0AGkAbwBuAEcAZQBuAGUAcgBpAGMAXwBWAGEAcgBpAGEAdABpAG8AbgAiACwAIgBSAGUAZgByAGkAZwBlAHIAYQBuAHQAcwBfAEUAcQB1AGEAdABpAG8AbgBzAC4AVgBFAEUAUgBHAF8AOQBfADEAXwAxAF8AXwAxAF8AUgBlAGYAcgBpAGcAZQByAGEAbgB0AEwAZQBhAGsAaQBuAGcAIgAsACIAUgBlAGYAcgBpAGcAZQByAGEAbgB0AHMAXwBFAHEAdQBhAHQAaQBvAG4AcwAuAFYARQBFAFIARwBfADkAXwAxAF8AMQBfAF8AMQBfAFIAZQBmAHIAaQBnAGUAcgBhAG4AdABMAGUAYQBrAGkAbgBnAF8AVABpAHQAbABlACIALAAiAFIAZQBmAHIAaQBnAGUAcgBhAG4AdABzAF8ARQBxAHUAYQB0AGkAbwBuAHMALgBWAEUARQBSAEcAXwA5AF8AMQBfADEAXwBfADEAXwBSAGUAZgByAGkAZwBlAHIAYQBuAHQATABlAGEAawBpAG4AZwBfAFYAYQByAGkAYQBiAGwAZQAiACwAIgBSAGUAZgByAGkAZwBlAHIAYQBuAHQAcwBfAEUAcQB1AGEAdABpAG8AbgBzAC4AVgBFAEUAUgBHAF8AOQBfADEAXwAxAF8AXwAxAF8AUgBlAGYAcgBpAGcAZQByAGEAbgB0AEwAZQBhAGsAaQBuAGcAXwBVAG4AaQB0ACIALAAiAFIAZQBmAHIAaQBnAGUAcgBhAG4AdABzAF8ARQBxAHUAYQB0AGkAbwBuAHMALgBWAEUARQBSAEcAXwA5AF8AMQBfADEAXwBfADEAXwBSAGUAZgByAGkAZwBlAHIAYQBuAHQATABlAGEAawBpAG4AZwBfAFMAbwB1AHIAYwBlACIALAAiAFIAZQBmAHIAaQBnAGUAcgBhAG4AdABzAF8ARQBxAHUAYQB0AGkAbwBuAHMALgBWAEUARQBSAEcAXwA5AF8AMQBfADEAXwBfADEAXwBSAGUAZgByAGkAZwBlAHIAYQBuAHQATABlAGEAawBpAG4AZwBfAE4ASQBSAFIAZQBmAGUAcgBlAG4AYwBlACIALAAiAFIAZQBmAHIAaQBnAGUAcgBhAG4AdABzAF8ARQBxAHUAYQB0AGkAbwBuAHMALgBWAEUARQBSAEcAXwA5AF8AMQBfADEAXwBfADEAXwBSAGUAZgByAGkAZwBlAHIAYQBuAHQATABlAGEAawBpAG4AZwBfAFIAZQBhAGQAYQBiAGwAZQBFAHEAdQBhAHQAaQBvAG4AIgAsACIAUgBlAGYAcgBpAGcAZQByAGEAbgB0AHMAXwBFAHEAdQBhAHQAaQBvAG4AcwAuAFYARQBFAFIARwBfADkAXwAxAF8AMQBfAF8AMQBfAFIAZQBmAHIAaQBnAGUAcgBhAG4AdABMAGUAYQBrAGkAbgBnAF8AQQByAGcAdQBtAGUAbgB0AHMAIgAsACIAUgBlAGYAcgBpAGcAZQByAGEAbgB0AHMAXwBTAG8AdQByAGMAZQBEAGEAdABhAC4AUgBlAGYAcgBpAGcAZQByAGEAbgB0AHMAXwBDAGgAZQBtAGkAYwBhAGwARwBXAFAAXwBUAGkAdABsAGUAIgAsACIAUgBlAGYAcgBpAGcAZQByAGEAbgB0AHMAXwBTAG8AdQByAGMAZQBEAGEAdABhAC4AUgBlAGYAcgBpAGcAZQByAGEAbgB0AHMAXwBDAGgAZQBtAGkAYwBhAGwARwBXAFAAXwBEAGUAcwBjAHIAaQBwAHQAaQBvAG4AIgAsACIAUgBlAGYAcgBpAGcAZQByAGEAbgB0AHMAXwBTAG8AdQByAGMAZQBEAGEAdABhAC4AUgBlAGYAcgBpAGcAZQByAGEAbgB0AHMAXwBDAGgAZQBtAGkAYwBhAGwARwBXAFAAXwBTAG8AdQByAGMAZQAiACwAIgBSAGUAZgByAGkAZwBlAHIAYQBuAHQAcwBfAFMAbwB1AHIAYwBlAEQAYQB0AGEALgBSAGUAZgByAGkAZwBlAHIAYQBuAHQAcwBfAEMAaABlAG0AaQBjAGEAbABHAFcAUABfAEQAYQB0AGEAIgAsACIAUgBlAGYAcgBpAGcAZQByAGEAbgB0AHMAXwBTAG8AdQByAGMAZQBEAGEAdABhAC4AUgBlAGYAcgBpAGcAZQByAGEAbgB0AHMAXwBDAGgAZQBtAGkAYwBhAGwARwBXAFAAXwBWAGEAcgBpAGEAdABpAG8AbgAiACwAIgBSAGUAZgByAGkAZwBlAHIAYQBuAHQAcwBfAFMAbwB1AHIAYwBlAEQAYQB0AGEALgBSAGUAZgByAGkAZwBlAHIAYQBuAHQAcwBfAEMAaABlAG0AaQBjAGEAbABCAGwAZQBuAGQAcwBfAFQAaQB0AGwAZQAiACwAIgBSAGUAZgByAGkAZwBlAHIAYQBuAHQAcwBfAFMAbwB1AHIAYwBlAEQAYQB0AGEALgBSAGUAZgByAGkAZwBlAHIAYQBuAHQAcwBfAEMAaABlAG0AaQBjAGEAbABCAGwAZQBuAGQAcwBfAEQAZQBzAGMAcgBpAHAAdABpAG8AbgAiACwAIgBSAGUAZgByAGkAZwBlAHIAYQBuAHQAcwBfAFMAbwB1AHIAYwBlAEQAYQB0AGEALgBSAGUAZgByAGkAZwBlAHIAYQBuAHQAcwBfAEMAaABlAG0AaQBjAGEAbABCAGwAZQBuAGQAcwBfAFMAbwB1AHIAYwBlACIALAAiAFIAZQBmAHIAaQBnAGUAcgBhAG4AdABzAF8AUwBvAHUAcgBjAGUARABhAHQAYQAuAFIAZQBmAHIAaQBnAGUAcgBhAG4AdABzAF8AQwBoAGUAbQBpAGMAYQBsAEIAbABlAG4AZABzAF8ARABhAHQAYQAiACwAIgBSAGUAZgByAGkAZwBlAHIAYQBuAHQAcwBfAFMAbwB1AHIAYwBlAEQAYQB0AGEALgBSAGUAZgByAGkAZwBlAHIAYQBuAHQAcwBfAEMAaABlAG0AaQBjAGEAbABCAGwAZQBuAGQAcwBfAFYAYQByAGkAYQB0AGkAbwBuACIALAAiAFIAZQBmAHIAaQBnAGUAcgBhAG4AdABzAF8AUwBvAHUAcgBjAGUARABhAHQAYQAuAFIAZQBmAHIAaQBnAGUAcgBhAG4AdABzAF8ATABlAGEAawBhAGcAZQBSAGEAdABlAHMAXwBUAGkAdABsAGUAIgAsACIAUgBlAGYAcgBpAGcAZQByAGEAbgB0AHMAXwBTAG8AdQByAGMAZQBEAGEAdABhAC4AUgBlAGYAcgBpAGcAZQByAGEAbgB0AHMAXwBMAGUAYQBrAGEAZwBlAFIAYQB0AGUAcwBfAEQAZQBzAGMAcgBpAHAAdABpAG8AbgAiACwAIgBSAGUAZgByAGkAZwBlAHIAYQBuAHQAcwBfAFMAbwB1AHIAYwBlAEQAYQB0AGEALgBSAGUAZgByAGkAZwBlAHIAYQBuAHQAcwBfAEwAZQBhAGsAYQBnAGUAUgBhAHQAZQBzAF8AUwBvAHUAcgBjAGUAIgAsACIAUgBlAGYAcgBpAGcAZQByAGEAbgB0AHMAXwBTAG8AdQByAGMAZQBEAGEAdABhAC4AUgBlAGYAcgBpAGcAZQByAGEAbgB0AHMAXwBMAGUAYQBrAGEAZwBlAFIAYQB0AGUAcwBfAEQAYQB0AGEAIgAsACIAUgBlAGYAcgBpAGcAZQByAGEAbgB0AHMAXwBTAG8AdQByAGMAZQBEAGEAdABhAC4AUgBlAGYAcgBpAGcAZQByAGEAbgB0AHMAXwBMAGUAYQBrAGEAZwBlAFIAYQB0AGU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Overview</vt:lpstr>
      <vt:lpstr>Results</vt:lpstr>
      <vt:lpstr>Input - Fuel</vt:lpstr>
      <vt:lpstr>9.1.1.1-2 Refrigerant use</vt:lpstr>
      <vt:lpstr>Constants - Refrigerants</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2026-05-04T00:16:28Z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