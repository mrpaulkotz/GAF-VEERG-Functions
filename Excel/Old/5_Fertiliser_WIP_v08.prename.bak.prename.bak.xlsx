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B980F9A-1F79-44BC-809A-94A079077BA0}" xr6:coauthVersionLast="47" xr6:coauthVersionMax="47" xr10:uidLastSave="{00000000-0000-0000-0000-000000000000}"/>
  <bookViews>
    <workbookView xWindow="3120" yWindow="3120" windowWidth="28800" windowHeight="15345" firstSheet="2" activeTab="5"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1"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6" i="116" l="1"/>
  <c r="G148" i="115"/>
  <c r="G81" i="115"/>
  <c r="G52" i="113"/>
  <c r="P90" i="69"/>
  <c r="G82" i="69"/>
  <c r="E33" i="15"/>
  <c r="E32" i="15"/>
  <c r="E31" i="15"/>
  <c r="E30" i="15"/>
  <c r="E29" i="15"/>
  <c r="E13" i="15"/>
  <c r="H12" i="70"/>
  <c r="X16" i="70"/>
  <c r="W16" i="70"/>
  <c r="U16" i="70" a="1"/>
  <c r="U16" i="70" s="1"/>
  <c r="T16" i="70" a="1"/>
  <c r="T16" i="70" s="1"/>
  <c r="S16" i="70" a="1"/>
  <c r="S16" i="70" s="1"/>
  <c r="R16" i="70" a="1"/>
  <c r="R16" i="70" s="1"/>
  <c r="Q16" i="70" a="1"/>
  <c r="Q16" i="70" s="1"/>
  <c r="P16" i="70" a="1"/>
  <c r="P16" i="70" s="1"/>
  <c r="O16" i="70" a="1"/>
  <c r="O16" i="70" s="1"/>
  <c r="N16" i="70" a="1"/>
  <c r="N16" i="70" s="1"/>
  <c r="M16" i="70" a="1"/>
  <c r="M16" i="70" s="1"/>
  <c r="L16" i="70" a="1"/>
  <c r="L16" i="70" s="1"/>
  <c r="K16" i="70" a="1"/>
  <c r="K16" i="70" s="1"/>
  <c r="J16" i="70" a="1"/>
  <c r="J16" i="70" s="1"/>
  <c r="I16" i="70"/>
  <c r="H16" i="70"/>
  <c r="G16" i="70"/>
  <c r="V16" i="70" s="1"/>
  <c r="F16" i="70"/>
  <c r="X15" i="70"/>
  <c r="W15" i="70"/>
  <c r="U15" i="70" a="1"/>
  <c r="U15" i="70" s="1"/>
  <c r="T15" i="70" a="1"/>
  <c r="T15" i="70" s="1"/>
  <c r="S15" i="70" a="1"/>
  <c r="S15" i="70" s="1"/>
  <c r="R15" i="70" a="1"/>
  <c r="R15" i="70" s="1"/>
  <c r="Q15" i="70" a="1"/>
  <c r="Q15" i="70" s="1"/>
  <c r="P15" i="70" a="1"/>
  <c r="P15" i="70" s="1"/>
  <c r="O15" i="70" a="1"/>
  <c r="O15" i="70" s="1"/>
  <c r="N15" i="70" a="1"/>
  <c r="N15" i="70" s="1"/>
  <c r="M15" i="70" a="1"/>
  <c r="M15" i="70" s="1"/>
  <c r="L15" i="70" a="1"/>
  <c r="L15" i="70" s="1"/>
  <c r="K15" i="70" a="1"/>
  <c r="K15" i="70" s="1"/>
  <c r="J15" i="70" a="1"/>
  <c r="J15" i="70" s="1"/>
  <c r="H15" i="70"/>
  <c r="G15" i="70"/>
  <c r="I15" i="70" s="1"/>
  <c r="F15" i="70"/>
  <c r="X14" i="70"/>
  <c r="W14" i="70"/>
  <c r="V14" i="70"/>
  <c r="U14" i="70" a="1"/>
  <c r="U14" i="70" s="1"/>
  <c r="T14" i="70" a="1"/>
  <c r="T14" i="70" s="1"/>
  <c r="S14" i="70" a="1"/>
  <c r="S14" i="70" s="1"/>
  <c r="R14" i="70" a="1"/>
  <c r="R14" i="70" s="1"/>
  <c r="Q14" i="70" a="1"/>
  <c r="Q14" i="70" s="1"/>
  <c r="P14" i="70" a="1"/>
  <c r="P14" i="70" s="1"/>
  <c r="O14" i="70" a="1"/>
  <c r="O14" i="70" s="1"/>
  <c r="N14" i="70" a="1"/>
  <c r="N14" i="70" s="1"/>
  <c r="M14" i="70" a="1"/>
  <c r="M14" i="70" s="1"/>
  <c r="L14" i="70" a="1"/>
  <c r="L14" i="70" s="1"/>
  <c r="K14" i="70" a="1"/>
  <c r="K14" i="70" s="1"/>
  <c r="J14" i="70" a="1"/>
  <c r="J14" i="70" s="1"/>
  <c r="I14" i="70"/>
  <c r="H14" i="70"/>
  <c r="G14" i="70"/>
  <c r="F14" i="70"/>
  <c r="X13" i="70"/>
  <c r="W13" i="70"/>
  <c r="U13" i="70" a="1"/>
  <c r="U13" i="70" s="1"/>
  <c r="T13" i="70" a="1"/>
  <c r="T13" i="70" s="1"/>
  <c r="S13" i="70" a="1"/>
  <c r="S13" i="70" s="1"/>
  <c r="R13" i="70" a="1"/>
  <c r="R13" i="70" s="1"/>
  <c r="Q13" i="70" a="1"/>
  <c r="Q13" i="70" s="1"/>
  <c r="P13" i="70" a="1"/>
  <c r="P13" i="70" s="1"/>
  <c r="O13" i="70" a="1"/>
  <c r="O13" i="70" s="1"/>
  <c r="N13" i="70" a="1"/>
  <c r="N13" i="70" s="1"/>
  <c r="M13" i="70" a="1"/>
  <c r="M13" i="70" s="1"/>
  <c r="L13" i="70" a="1"/>
  <c r="L13" i="70" s="1"/>
  <c r="K13" i="70" a="1"/>
  <c r="K13" i="70" s="1"/>
  <c r="J13" i="70" a="1"/>
  <c r="J13" i="70" s="1"/>
  <c r="V13" i="70" s="1"/>
  <c r="I13" i="70"/>
  <c r="H13" i="70"/>
  <c r="G13" i="70"/>
  <c r="F13" i="70"/>
  <c r="H44" i="70"/>
  <c r="H43" i="70"/>
  <c r="H42" i="70"/>
  <c r="F33" i="70"/>
  <c r="F32" i="70"/>
  <c r="F31" i="70"/>
  <c r="F22" i="70"/>
  <c r="F21" i="70"/>
  <c r="F20" i="70"/>
  <c r="A24" i="121"/>
  <c r="A23" i="121"/>
  <c r="A19" i="121"/>
  <c r="A18" i="121"/>
  <c r="A17" i="121"/>
  <c r="A16" i="121"/>
  <c r="A15" i="121"/>
  <c r="A14" i="121"/>
  <c r="A10" i="121"/>
  <c r="A9" i="121"/>
  <c r="A5" i="121"/>
  <c r="A4" i="121"/>
  <c r="A3" i="121"/>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A24" i="71"/>
  <c r="A23" i="71"/>
  <c r="A19" i="71"/>
  <c r="A18" i="71"/>
  <c r="A17" i="71"/>
  <c r="A16" i="71"/>
  <c r="A15" i="71"/>
  <c r="A14" i="71"/>
  <c r="A10" i="71"/>
  <c r="A9" i="71"/>
  <c r="A5" i="71"/>
  <c r="A4" i="71"/>
  <c r="A3" i="71"/>
  <c r="J50" i="115"/>
  <c r="I50" i="69"/>
  <c r="W54" i="69"/>
  <c r="W53" i="69"/>
  <c r="J92" i="116"/>
  <c r="I126" i="115"/>
  <c r="J51" i="115"/>
  <c r="I20" i="114"/>
  <c r="K46" i="113"/>
  <c r="I51" i="74"/>
  <c r="S69" i="69"/>
  <c r="I51" i="69"/>
  <c r="G97" i="116"/>
  <c r="G149" i="115"/>
  <c r="G82" i="115"/>
  <c r="G53" i="113"/>
  <c r="P91" i="69"/>
  <c r="G8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c r="D82" i="121" a="1"/>
  <c r="D81" i="121"/>
  <c r="D81" i="121" a="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c r="D58" i="121" a="1"/>
  <c r="D57" i="121"/>
  <c r="D57" i="121" a="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I60" i="116"/>
  <c r="I56" i="116" s="1"/>
  <c r="I59" i="116"/>
  <c r="I58" i="116"/>
  <c r="I18" i="116"/>
  <c r="I14" i="116" s="1"/>
  <c r="I17" i="116"/>
  <c r="I16" i="116"/>
  <c r="J53" i="115"/>
  <c r="J52" i="115"/>
  <c r="I128" i="115"/>
  <c r="I125" i="115" s="1"/>
  <c r="I127" i="115"/>
  <c r="K47" i="113"/>
  <c r="I52" i="74"/>
  <c r="S73" i="69"/>
  <c r="S71" i="69"/>
  <c r="S70" i="69"/>
  <c r="I54" i="69"/>
  <c r="I52" i="69"/>
  <c r="E83" i="116"/>
  <c r="V15" i="70" l="1"/>
  <c r="H54" i="121"/>
  <c r="H53" i="121"/>
  <c r="H49" i="121"/>
  <c r="H52" i="121"/>
  <c r="H48" i="121"/>
  <c r="H50" i="121"/>
  <c r="H51" i="121"/>
  <c r="G33" i="70"/>
  <c r="K33" i="70"/>
  <c r="G22" i="70"/>
  <c r="G44" i="70"/>
  <c r="I44" i="70"/>
  <c r="I129" i="115" l="1"/>
  <c r="K48" i="113"/>
  <c r="K45" i="113" s="1"/>
  <c r="I55" i="69"/>
  <c r="J54" i="115"/>
  <c r="S74" i="69"/>
  <c r="J44"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G32" i="70" l="1"/>
  <c r="K32" i="70"/>
  <c r="K31" i="70"/>
  <c r="D38" i="110" a="1"/>
  <c r="D38" i="110" s="1"/>
  <c r="E38" i="110" a="1"/>
  <c r="E38" i="110" s="1"/>
  <c r="F38" i="110" a="1"/>
  <c r="F38" i="110" s="1"/>
  <c r="G38" i="110" a="1"/>
  <c r="G38" i="110" s="1"/>
  <c r="H38" i="110" a="1"/>
  <c r="H38" i="110" s="1"/>
  <c r="I38" i="110" a="1"/>
  <c r="I38" i="110" s="1"/>
  <c r="G21"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E49" i="116" a="1"/>
  <c r="E7" i="116" a="1"/>
  <c r="I57" i="116" l="1"/>
  <c r="E49" i="116"/>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3" i="70"/>
  <c r="I43" i="70"/>
  <c r="G42"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5" a="1"/>
  <c r="E38" i="113" a="1"/>
  <c r="E90" i="115" a="1"/>
  <c r="E118" i="115" a="1"/>
  <c r="E7" i="114" a="1"/>
  <c r="E43" i="115" a="1"/>
  <c r="E7" i="113"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3" i="70"/>
  <c r="E65" i="116" l="1"/>
  <c r="E102" i="115"/>
  <c r="F102" i="115" s="1" a="1"/>
  <c r="F102" i="115" s="1"/>
  <c r="E134" i="115" s="1"/>
  <c r="I22" i="113" a="1"/>
  <c r="I22" i="113" s="1"/>
  <c r="I21" i="113" a="1"/>
  <c r="I21" i="113" s="1"/>
  <c r="E66" i="116" l="1"/>
  <c r="E103" i="115"/>
  <c r="E67" i="116"/>
  <c r="E104" i="115"/>
  <c r="F104" i="115" s="1" a="1"/>
  <c r="F104" i="115" s="1"/>
  <c r="E136" i="115" s="1"/>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2" i="70"/>
  <c r="G31" i="70"/>
  <c r="E25" i="114" s="1" a="1"/>
  <c r="E25" i="114" s="1"/>
  <c r="Q54" i="69"/>
  <c r="Q53" i="69"/>
  <c r="O93" i="69" a="1"/>
  <c r="O93" i="69" s="1"/>
  <c r="M90" i="69" a="1"/>
  <c r="M90" i="69" s="1"/>
  <c r="N82" i="69" a="1"/>
  <c r="N82" i="69" s="1"/>
  <c r="N77" i="69" a="1"/>
  <c r="N77" i="69" s="1"/>
  <c r="T54" i="69"/>
  <c r="T53" i="69"/>
  <c r="N50" i="69" a="1"/>
  <c r="N50" i="69" s="1"/>
  <c r="N45" i="69" a="1"/>
  <c r="N45" i="69" s="1"/>
  <c r="F85" i="69" a="1"/>
  <c r="F85" i="69" s="1"/>
  <c r="D82" i="69" a="1"/>
  <c r="D82" i="69" s="1"/>
  <c r="E7" i="74" a="1"/>
  <c r="E42" i="69" a="1"/>
  <c r="N60" i="69" a="1"/>
  <c r="F58" i="74" l="1"/>
  <c r="F78" i="74"/>
  <c r="J42"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0" i="70"/>
  <c r="P50" i="69" a="1"/>
  <c r="P50" i="69" s="1"/>
  <c r="F80" i="69"/>
  <c r="E7" i="69"/>
  <c r="E146" i="115" l="1"/>
  <c r="E151" i="115" s="1" a="1"/>
  <c r="E151" i="115" s="1"/>
  <c r="E31" i="114"/>
  <c r="P45" i="69"/>
  <c r="E12" i="13" l="1"/>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2" i="70" l="1"/>
  <c r="U12" i="70" a="1"/>
  <c r="U12" i="70" s="1"/>
  <c r="J12" i="70" a="1"/>
  <c r="J12" i="70" s="1"/>
  <c r="T12" i="70" a="1"/>
  <c r="T12" i="70" s="1"/>
  <c r="Q12" i="70" a="1"/>
  <c r="Q12" i="70" s="1"/>
  <c r="L12" i="70" a="1"/>
  <c r="L12" i="70" s="1"/>
  <c r="S12" i="70" a="1"/>
  <c r="S12" i="70" s="1"/>
  <c r="N12" i="70" a="1"/>
  <c r="N12" i="70" s="1"/>
  <c r="R12" i="70" a="1"/>
  <c r="R12" i="70" s="1"/>
  <c r="M12" i="70" a="1"/>
  <c r="M12" i="70" s="1"/>
  <c r="W12" i="70"/>
  <c r="F12" i="70"/>
  <c r="P12" i="70" a="1"/>
  <c r="P12" i="70" s="1"/>
  <c r="O12" i="70" a="1"/>
  <c r="O12" i="70" s="1"/>
  <c r="G12" i="70"/>
  <c r="I12" i="70" s="1"/>
  <c r="K12" i="70" a="1"/>
  <c r="K12" i="70" s="1"/>
  <c r="X12" i="70"/>
  <c r="P21" i="70"/>
  <c r="D23" i="116" a="1"/>
  <c r="D23" i="116" s="1"/>
  <c r="D59" i="115" a="1"/>
  <c r="D59" i="115" s="1"/>
  <c r="D19" i="115" a="1"/>
  <c r="F37" i="115" s="1" a="1"/>
  <c r="F37" i="115" s="1"/>
  <c r="G37" i="115" s="1" a="1"/>
  <c r="G37" i="115" s="1"/>
  <c r="P20" i="70"/>
  <c r="D58" i="74" a="1"/>
  <c r="D58" i="74" s="1"/>
  <c r="D60" i="69" a="1"/>
  <c r="D60" i="69" s="1"/>
  <c r="D19" i="74" a="1"/>
  <c r="F37" i="74" s="1" a="1"/>
  <c r="F37" i="74" s="1"/>
  <c r="D19" i="69" a="1"/>
  <c r="F37" i="69" s="1" a="1"/>
  <c r="F37" i="69" s="1"/>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12"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7" i="69" l="1"/>
  <c r="W46" i="69"/>
  <c r="W49" i="69"/>
  <c r="W48"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4" i="13" s="1"/>
  <c r="F14" i="13" s="1"/>
  <c r="E10" i="13"/>
  <c r="F10" i="13" s="1"/>
  <c r="H10" i="13"/>
  <c r="I10" i="13" s="1"/>
  <c r="V48" i="69" a="1"/>
  <c r="V48" i="69" s="1"/>
  <c r="V49" i="69" a="1"/>
  <c r="V49" i="69" s="1"/>
  <c r="S45" i="69" a="1"/>
  <c r="S45" i="69" s="1"/>
  <c r="V50" i="69" a="1"/>
  <c r="V50" i="69" s="1"/>
  <c r="E79" i="115"/>
  <c r="T45" i="69"/>
  <c r="U45" i="69" s="1"/>
  <c r="Q45" i="69"/>
  <c r="R45" i="69" a="1"/>
  <c r="R45" i="69" s="1"/>
  <c r="V46" i="69" a="1"/>
  <c r="V46" i="69" s="1"/>
  <c r="V47" i="69" a="1"/>
  <c r="V47" i="69" s="1"/>
  <c r="E78" i="69" a="1"/>
  <c r="E78" i="69" s="1"/>
  <c r="E13" i="13" l="1"/>
  <c r="F13" i="13" s="1"/>
  <c r="E99" i="116" a="1"/>
  <c r="E99" i="116" s="1"/>
  <c r="H14" i="13" s="1"/>
  <c r="I14" i="13" s="1"/>
  <c r="E84" i="115"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50" i="113" a="1"/>
  <c r="E50" i="113" s="1"/>
  <c r="E11" i="13" s="1"/>
  <c r="E80" i="69" l="1"/>
  <c r="E9" i="13" s="1"/>
  <c r="E55" i="113"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85" i="69" l="1" a="1"/>
  <c r="E85" i="69" s="1"/>
  <c r="H9" i="13" s="1"/>
  <c r="H15" i="13" s="1"/>
  <c r="N88" i="69"/>
  <c r="F9" i="13" s="1"/>
  <c r="N93" i="69" l="1" a="1"/>
  <c r="N93" i="69" s="1"/>
  <c r="I9" i="13" s="1"/>
  <c r="I15" i="13" s="1"/>
  <c r="D29"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<sst xmlns="http://schemas.openxmlformats.org/spreadsheetml/2006/main" count="553" uniqueCount="328">
  <si>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</si>
  <si>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</si>
  <si>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</si>
  <si>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</si>
  <si>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</si>
  <si>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</si>
  <si>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</si>
  <si>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</si>
  <si>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</si>
  <si>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</si>
  <si>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</si>
  <si>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</si>
  <si>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</si>
  <si>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</si>
  <si>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</si>
  <si>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</si>
  <si>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</si>
  <si>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</si>
  <si>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</si>
  <si>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</si>
  <si>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</si>
  <si>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</si>
  <si>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</si>
  <si>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</si>
  <si>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</si>
  <si>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</si>
  <si>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</si>
  <si>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</si>
  <si>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</si>
  <si>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</si>
  <si>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</si>
  <si>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</si>
  <si>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</si>
  <si>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</si>
  <si>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</si>
  <si>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</si>
  <si>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</si>
  <si>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</si>
  <si>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</si>
  <si>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</si>
  <si>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</si>
  <si>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</si>
  <si>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</si>
  <si>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</si>
  <si>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</si>
  <si>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</si>
  <si>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</si>
  <si>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</si>
  <si>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</si>
  <si>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</si>
  <si>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</si>
  <si>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</si>
  <si>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</si>
  <si>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</si>
  <si>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</si>
  <si>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</si>
  <si>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</si>
  <si>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</si>
  <si>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</si>
  <si>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</si>
  <si>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</si>
  <si>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</si>
  <si>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</si>
  <si>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</si>
  <si>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</si>
  <si>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</si>
  <si>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</si>
  <si>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</si>
  <si>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</si>
  <si>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</si>
  <si>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</si>
  <si>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</si>
  <si>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</si>
  <si>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</si>
  <si>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</si>
  <si>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</si>
  <si>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</si>
  <si>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</si>
  <si>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</si>
  <si>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</si>
  <si>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</si>
  <si>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</si>
  <si>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</si>
  <si>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</si>
  <si>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</si>
  <si>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</si>
  <si>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</si>
  <si>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</si>
  <si>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</si>
  <si>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</si>
  <si>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</si>
  <si>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</si>
  <si>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</si>
  <si>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</si>
  <si>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</si>
  <si>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</si>
  <si>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</si>
  <si>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</si>
  <si>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</si>
  <si>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</si>
  <si>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</si>
  <si>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</si>
  <si>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</si>
  <si>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</si>
  <si>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</si>
  <si>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</si>
  <si>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</si>
  <si>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</si>
  <si>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</si>
  <si>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</si>
  <si>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</si>
  <si>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</si>
  <si>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</si>
  <si>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</si>
  <si>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</si>
  <si>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</si>
  <si>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</si>
  <si>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</si>
  <si>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</si>
  <si>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</si>
  <si>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</si>
  <si>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</si>
  <si>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</si>
  <si>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</si>
  <si>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</si>
  <si>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</si>
  <si>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</si>
  <si>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</si>
  <si>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</si>
  <si>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</si>
  <si>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</si>
  <si>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</si>
  <si>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</si>
  <si>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</si>
  <si>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</si>
  <si>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</si>
  <si>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</si>
  <si>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</si>
  <si>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</si>
  <si>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</si>
  <si>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</si>
  <si>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</si>
  <si>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</si>
  <si>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</si>
  <si>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</si>
  <si>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</si>
  <si>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</si>
  <si>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</si>
  <si>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</si>
  <si>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</si>
  <si>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</si>
  <si>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</si>
  <si>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</si>
  <si>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</si>
  <si>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</si>
  <si>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</si>
  <si>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</si>
  <si>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</si>
  <si>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</si>
  <si>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</si>
  <si>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</si>
  <si>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</si>
  <si>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</si>
  <si>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</si>
  <si>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</si>
  <si>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</si>
  <si>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</si>
  <si>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</si>
  <si>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</si>
  <si>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</si>
  <si>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</si>
  <si>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</si>
  <si>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</si>
  <si>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</si>
  <si>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</si>
  <si>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</si>
  <si>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</si>
  <si>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</si>
  <si>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</si>
  <si>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</si>
  <si>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</si>
  <si>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</si>
  <si>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</si>
  <si>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</si>
  <si>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</si>
  <si>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</si>
  <si>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</si>
  <si>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</si>
  <si>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</si>
  <si>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</si>
  <si>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</si>
  <si>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</si>
  <si>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</si>
  <si>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</si>
  <si>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</si>
  <si>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</si>
  <si>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</si>
  <si>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</si>
  <si>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</si>
  <si>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</si>
  <si>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</si>
  <si>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</si>
  <si>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</si>
  <si>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</si>
  <si>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</si>
  <si>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</si>
  <si>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</si>
  <si>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</si>
  <si>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</si>
  <si>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</si>
  <si>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</si>
  <si>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</si>
  <si>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</si>
  <si>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</si>
  <si>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</si>
  <si>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</si>
  <si>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</si>
  <si>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</si>
  <si>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</si>
  <si>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</si>
  <si>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</si>
  <si>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</si>
  <si>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</si>
  <si>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</si>
  <si>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</si>
  <si>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</si>
  <si>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</si>
  <si>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</si>
  <si>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</si>
  <si>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</si>
  <si>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</si>
  <si>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</si>
  <si>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</si>
  <si>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</si>
  <si>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</si>
  <si>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</si>
  <si>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</si>
  <si>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</si>
  <si>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</si>
  <si>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</si>
  <si>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</si>
  <si>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</si>
  <si>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</si>
  <si>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</si>
  <si>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</si>
  <si>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</si>
  <si>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</si>
  <si>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</si>
  <si>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</si>
  <si>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</si>
  <si>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</si>
  <si>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</si>
  <si>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</si>
  <si>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</si>
  <si>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</si>
  <si>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</si>
  <si>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</si>
  <si>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</si>
  <si>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</si>
  <si>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</si>
  <si>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</si>
  <si>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</si>
  <si>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</si>
  <si>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</si>
  <si>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</si>
  <si>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</si>
  <si>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</si>
  <si>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</si>
  <si>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</si>
  <si>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</si>
  <si>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</si>
  <si>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</si>
  <si>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</si>
  <si>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</si>
  <si>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</si>
  <si>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</si>
  <si>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</si>
  <si>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</si>
  <si>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</si>
  <si>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</si>
  <si>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</si>
  <si>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</si>
  <si>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</si>
  <si>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</si>
  <si>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</si>
  <si>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</si>
  <si>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</si>
  <si>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</si>
  <si>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</si>
  <si>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</si>
  <si>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</si>
  <si>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</si>
  <si>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</si>
  <si>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</si>
  <si>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</si>
  <si>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</si>
  <si>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</si>
  <si>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</si>
  <si>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</si>
  <si>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</si>
  <si>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</si>
  <si>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</si>
  <si>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</si>
  <si>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</si>
  <si>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</si>
  <si>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</si>
  <si>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</si>
  <si>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</si>
  <si>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</si>
  <si>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</si>
  <si>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</si>
  <si>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</si>
  <si>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</si>
  <si>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</si>
  <si>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</si>
  <si>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</si>
  <si>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</si>
  <si>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</si>
  <si>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</si>
  <si>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</si>
  <si>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</si>
  <si>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</si>
  <si>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</si>
  <si>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</si>
  <si>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</si>
  <si>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</si>
  <si>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</si>
  <si>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Input - Fertiliser Production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</si>
</sst>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0" fillId="0" borderId="0" xfId="0" applyAlignment="1">
      <alignment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3" fillId="9" borderId="2" xfId="16" applyFill="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2"/>
      <tableStyleElement type="headerRow" dxfId="201"/>
      <tableStyleElement type="totalRow" dxfId="200"/>
      <tableStyleElement type="firstColumn" dxfId="199"/>
      <tableStyleElement type="firstRowStripe" dxfId="198"/>
      <tableStyleElement type="secondRowStripe" dxfId="197"/>
    </tableStyle>
    <tableStyle name="Equation table" pivot="0" count="6" xr9:uid="{B247698E-E41D-4CCD-AA0A-C14817E9DE65}">
      <tableStyleElement type="wholeTable" dxfId="196"/>
      <tableStyleElement type="headerRow" dxfId="195"/>
      <tableStyleElement type="totalRow" dxfId="194"/>
      <tableStyleElement type="firstColumn" dxfId="193"/>
      <tableStyleElement type="firstRowStripe" dxfId="192"/>
      <tableStyleElement type="secondRowStripe" dxfId="19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X16" headerRowDxfId="190" dataDxfId="189" totalsRowDxfId="188">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7" totalsRowDxfId="186" dataCellStyle="Input select"/>
    <tableColumn id="23" xr3:uid="{59B08BC3-EF27-48EB-BCEA-84F2987787EF}" name="Amount applied per hectare" totalsRowFunction="custom" dataDxfId="185" totalsRowDxfId="184">
      <totalsRowFormula>SUM(Table_Input_InorganicFertiliser_Brands[[#Headers],[#Data],[Amount applied per hectare]])</totalsRowFormula>
    </tableColumn>
    <tableColumn id="12" xr3:uid="{80233E62-DDAA-41E2-908D-8BF8A861A382}" name="Application unit" dataDxfId="183" totalsRowDxfId="182"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1" totalsRowDxfId="180"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79" totalsRowDxfId="178">
      <calculatedColumnFormula>X_Cell_Fertiliser_AreaUnderCropping</calculatedColumnFormula>
    </tableColumn>
    <tableColumn id="1" xr3:uid="{3BF774D0-ADA2-40B3-9242-8DFBBB9443B7}" name="Total applied (kg)" dataDxfId="177" totalsRowDxfId="17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5" totalsRowDxfId="17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3" totalsRowDxfId="17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0" totalsRowDxfId="16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8" totalsRowDxfId="16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6" totalsRowDxfId="16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4" totalsRowDxfId="16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5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7" totalsRowDxfId="15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5" totalsRowDxfId="154"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3" totalsRowDxfId="152"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19:R22" totalsRowShown="0" headerRowDxfId="151" dataDxfId="150">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49"/>
    <tableColumn id="3" xr3:uid="{7EF8A17B-D965-4D18-A7A2-D90F9F680015}" name="Application area (ha)" dataDxfId="148" dataCellStyle="Input number 2 decimal places">
      <calculatedColumnFormula>X_Cell_Fertiliser_AreaUnderCropping</calculatedColumnFormula>
    </tableColumn>
    <tableColumn id="4" xr3:uid="{B5004E38-6D68-4E13-BED4-CB556D548532}" name="Total applied (kg)" dataDxfId="147"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6" dataCellStyle="Input select"/>
    <tableColumn id="6" xr3:uid="{E4FC8E72-0059-40E6-A5E8-C29893BBF371}" name="Ingredient 1 percent" dataDxfId="145"/>
    <tableColumn id="8" xr3:uid="{3568E299-41D5-4DA4-822C-91EFC2C68B68}" name="Ingredient 2" dataDxfId="144" dataCellStyle="Input select"/>
    <tableColumn id="9" xr3:uid="{9DFD8E7A-8101-4927-89BF-3E994EB31F96}" name="Ingredient 2 percent" dataDxfId="143"/>
    <tableColumn id="11" xr3:uid="{A7F2C8C6-1FC3-42D4-A36B-254F6E195571}" name="Ingredient 3" dataDxfId="142" dataCellStyle="Input select"/>
    <tableColumn id="12" xr3:uid="{43F6AA9D-3E97-4BA6-8E27-81AE530E1428}" name="Ingredient 3 percent" dataDxfId="141"/>
    <tableColumn id="14" xr3:uid="{AAE79728-DB2A-45E8-B9AB-496D82682D02}" name="Ingredient 4" dataDxfId="140" dataCellStyle="Input select"/>
    <tableColumn id="15" xr3:uid="{48BA5E25-4596-49E4-8F81-BC0D52974ECA}" name="Ingredient 4 percent" dataCellStyle="Input percent"/>
    <tableColumn id="7" xr3:uid="{8A68B805-7FB6-49A9-B9BB-58ADF30E43B7}" name="N application rate (kg/ha)" dataDxfId="139"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0:K33" totalsRowShown="0" headerRowDxfId="138" dataDxfId="137"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6"/>
    <tableColumn id="2" xr3:uid="{B4EAD8A0-4563-4BA4-8C32-F444D747B623}" name="Amount applied (t/hectare)" dataDxfId="135"/>
    <tableColumn id="4" xr3:uid="{AEB6AB68-6478-4B2B-9B85-2B6FAFAF4B19}" name="Application area (ha)" dataDxfId="134" dataCellStyle="Input number 2 decimal places">
      <calculatedColumnFormula>X_Cell_Fertiliser_AreaUnderCropping</calculatedColumnFormula>
    </tableColumn>
    <tableColumn id="3" xr3:uid="{CB52F796-ECF9-4D56-B08E-72C1A090ECED}" name="Total amount applied (t)" dataDxfId="133"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2"/>
    <tableColumn id="8" xr3:uid="{E6AC5B83-E41F-4CA3-8CB5-DAE2C8D31386}" name="Percent Dolomite CaMg(CO3)2" dataDxfId="131"/>
    <tableColumn id="7" xr3:uid="{C2FA7C98-73DF-4B0B-9D0B-AF335608BA35}" name="Percent Gypsum" dataDxfId="130"/>
    <tableColumn id="10" xr3:uid="{4BF71EEB-80F3-4DB1-B0D1-D4D93983D919}" name="Total" dataDxfId="12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1:J44" totalsRowShown="0" headerRowDxfId="128" dataDxfId="127"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6" dataCellStyle="Input select"/>
    <tableColumn id="5" xr3:uid="{A4835DDC-D01F-4121-BA81-061BD582AD81}" name="Percentage of N in fertiliser" dataDxfId="125"/>
    <tableColumn id="2" xr3:uid="{78F23607-4221-4C96-AE58-1738D148B281}" name="Amount applied (kg/hectare)" dataDxfId="124"/>
    <tableColumn id="11" xr3:uid="{743E34BE-5366-4C2E-A066-60503FC1C110}" name="Amount N applied (kg/hectare)" dataDxfId="123"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2" dataCellStyle="Input number 2 decimal places">
      <calculatedColumnFormula>X_Cell_Fertiliser_AreaUnderCropping</calculatedColumnFormula>
    </tableColumn>
    <tableColumn id="7" xr3:uid="{7CBB769C-0807-447F-BE25-34DAD65EC446}" name="Total organic fertliser applied" dataDxfId="121"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19" totalsRowDxfId="118">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7" totalsRowDxfId="116">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5" totalsRowDxfId="114">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3" totalsRowDxfId="112">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1" totalsRowDxfId="110">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09" totalsRowDxfId="108">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7" totalsRowDxfId="106">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5" totalsRowDxfId="104">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3" totalsRowDxfId="102">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1" totalsRowDxfId="100">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99" totalsRowDxfId="98">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7" totalsRowDxfId="96">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5" totalsRowDxfId="94">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3" totalsRowDxfId="92">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1" totalsRowDxfId="90">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89" totalsRowDxfId="88">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7" totalsRowDxfId="86">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5" totalsRowDxfId="84">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3" totalsRowDxfId="82">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1" totalsRowDxfId="80">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79">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8">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7">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6">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5">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4">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3">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2">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6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8" dataCellStyle="Content normal">
  <autoFilter ref="K19:L28" xr:uid="{27B93029-EB1F-4C4A-A946-CD673A8A6C46}">
    <filterColumn colId="0" hiddenButton="1"/>
    <filterColumn colId="1" hiddenButton="1"/>
  </autoFilter>
  <tableColumns count="2">
    <tableColumn id="1" xr3:uid="{7C622051-66CC-4C8F-B655-8BA4CF50466E}" name="Fertiliser type f" dataDxfId="67"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5" dataCellStyle="Content normal">
  <autoFilter ref="Q19:R28" xr:uid="{791CEA59-796C-47AB-86BC-41E8F699030C}">
    <filterColumn colId="0" hiddenButton="1"/>
    <filterColumn colId="1" hiddenButton="1"/>
  </autoFilter>
  <tableColumns count="2">
    <tableColumn id="1" xr3:uid="{31D81A30-DB50-4875-A5AB-DFA2E5C18375}" name="Fertiliser type f" dataDxfId="64"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36C50-6B35-4CEA-A37A-770A472661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E31B0F2-FA93-4175-A107-3DB459C0AD51}" name="State/Territory">
      <calculatedColumnFormula array="1">Common_InputFunctions.Utility_DisplayArrayInTable(Common_SourceData.Common_SourceData_AustralianStatesTerritories_Data(),Table_AustralianStates[[#Headers],[State/Territory]],0)</calculatedColumnFormula>
    </tableColumn>
    <tableColumn id="2" xr3:uid="{AD243FB1-6AC4-43CD-BD86-4ED0CE68E650}" name="Common Name">
      <calculatedColumnFormula array="1">Common_InputFunctions.Utility_DisplayArrayInTable(Common_SourceData.Common_SourceData_AustralianStatesTerritories_Data(),Table_AustralianStates[[#Headers],[State/Territory]],0)</calculatedColumnFormula>
    </tableColumn>
    <tableColumn id="3" xr3:uid="{4C71E225-851B-4A60-B9E2-7024414CEFA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6474B2-B2F7-476B-B666-41F1CEAF6125}" name="Table_WASA4Areas" displayName="Table_WASA4Areas" ref="D20:D30" totalsRowShown="0">
  <autoFilter ref="D20:D30" xr:uid="{5FA81339-C6C8-4D36-BEEA-6C4AEDD9E676}">
    <filterColumn colId="0" hiddenButton="1"/>
  </autoFilter>
  <tableColumns count="1">
    <tableColumn id="1" xr3:uid="{02409691-46AE-4777-BAD5-49AB62FD1E5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E2F07-348A-425D-A5A8-B3A4FA1E879D}" name="Table_GWPData" displayName="Table_GWPData" ref="D36:E43" totalsRowShown="0">
  <autoFilter ref="D36:E43" xr:uid="{B8E87A66-3E41-4AD3-925D-01EE21B43D7A}">
    <filterColumn colId="0" hiddenButton="1"/>
    <filterColumn colId="1" hiddenButton="1"/>
  </autoFilter>
  <tableColumns count="2">
    <tableColumn id="1" xr3:uid="{AD5FF6D3-3E5A-4B0E-8D4C-3B9B3874250F}" name="Gas">
      <calculatedColumnFormula array="1">Common_InputFunctions.Utility_DisplayArrayInTable(Common_SourceData.Common_SourceData_GWP_Data(), Table_GWPData[[#Headers],[Gas]], 0)</calculatedColumnFormula>
    </tableColumn>
    <tableColumn id="2" xr3:uid="{D1810BFF-0BF7-4602-9DD9-D56FFF7798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51CC9-F57B-473E-8695-35068A1E11E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89B38A-CC6A-4831-BF3B-12FA7E8BAD76}" name="Gas">
      <calculatedColumnFormula array="1">Common_InputFunctions.Utility_DisplayArrayInTable(Common_SourceData.Common_SourceData_ConvertGasElementalToMolecular_Data(),Table_GasToMolecularConversionFactor[[#Headers],[Gas]], 0)</calculatedColumnFormula>
    </tableColumn>
    <tableColumn id="5" xr3:uid="{56BD8408-0B78-4B7B-A6B8-5BF8DDFA00EE}" name="Conversion factor">
      <calculatedColumnFormula array="1">Common_InputFunctions.Utility_DisplayArrayInTable(Common_SourceData.Common_SourceData_ConvertGasElementalToMolecular_Data(),Table_GasToMolecularConversionFactor[[#Headers],[Gas]], 0)</calculatedColumnFormula>
    </tableColumn>
    <tableColumn id="2" xr3:uid="{839DC53D-E947-4E7A-9138-9367EBDED2E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EF3B211-58F3-47E6-94AC-7356CBE1527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172FABA-0E16-4E75-A4E2-A19AEDEADD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A155F7-66E6-4075-BA8C-F206DE33D57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0AD7F4-5BF6-4736-86B4-111A987D291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89D374-EE53-41E3-9C7D-45BBB41076C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289DBF35-D492-4D79-AA31-E7CF15FCA524}"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0EF1F5A1-D1E5-411B-AA8F-8ED1DD868C0A}"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D5D5418-525A-48E1-9287-75F701182532}"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2F84BAA3-CD06-4F2F-9893-C267728CBC6F}"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13D03436-4E99-4A58-B24D-29077D800E44}"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E3FDAECA-B7E5-443D-BB55-E6888B4B364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8E21012A-1AE1-4A31-9450-5D53FEBDBFA8}"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2E7B8FC9-DF99-4718-A959-7F475731FBA7}"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3CF57CC3-B210-4A89-8E5D-3BAF745AE1A0}"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D076DB1-42A7-4B7B-A511-3A74EB71619A}"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EA85DA97-24B4-47C7-84A9-90CF9E9435F8}"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B22CD18D-17AF-4823-809D-23916C30591E}"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059A6344-A0F0-4D96-9663-33D2BF2E3255}"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0704B981-DE68-4F61-A6A9-48724C2F0524}"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654876-F9FD-46FA-9218-F135FF7C228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0201A04-2817-44B1-BBFE-8EEDA68AC8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EA15A93-4FDB-4D2C-AF17-A4F7A46E492D}"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23524-C161-4554-B28A-28A70ABEF2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3D40246-5687-4238-B1F5-B60BA648608A}" name="Temperature Zone">
      <calculatedColumnFormula array="1">Common_InputFunctions.Utility_DisplayArrayInTable(Common_SourceData.Common_SourceData_TemperatureZones_Data(),Table_SourceData_TemperatureZones[[#Headers],[Temperature Zone]],0)</calculatedColumnFormula>
    </tableColumn>
    <tableColumn id="2" xr3:uid="{F39BE1FA-407A-4834-9DA9-FCCAE45D30CE}" name="MAT">
      <calculatedColumnFormula array="1">Common_InputFunctions.Utility_DisplayArrayInTable(Common_SourceData.Common_SourceData_TemperatureZones_Data(),Table_SourceData_TemperatureZones[[#Headers],[Temperature Zone]],0)</calculatedColumnFormula>
    </tableColumn>
    <tableColumn id="3" xr3:uid="{64024A17-1B10-4CCB-A96D-398935835CB0}" name="Min MAT">
      <calculatedColumnFormula array="1">Common_InputFunctions.Utility_DisplayArrayInTable(Common_SourceData.Common_SourceData_TemperatureZones_Data(),Table_SourceData_TemperatureZones[[#Headers],[Temperature Zone]],0)</calculatedColumnFormula>
    </tableColumn>
    <tableColumn id="4" xr3:uid="{BC13C96A-A5D5-4776-B0C8-D0B7A3AD6A9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FD8F74-583E-46C9-873A-99763FDF7CE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609333-5318-45FC-9B7D-1BBE2FE36CF8}" name="Rainfall Zone">
      <calculatedColumnFormula array="1">Common_InputFunctions.Utility_DisplayArrayInTable(Common_SourceData.Common_SourceData_RainfallZones_Data(),Table_SourceData_RainfallZones[[#Headers],[Rainfall Zone]],0)</calculatedColumnFormula>
    </tableColumn>
    <tableColumn id="2" xr3:uid="{44E62296-A2CB-429E-B2CF-E83C33907857}" name="Annual rainfall">
      <calculatedColumnFormula array="1">Common_InputFunctions.Utility_DisplayArrayInTable(Common_SourceData.Common_SourceData_RainfallZones_Data(),Table_SourceData_RainfallZones[[#Headers],[Rainfall Zone]],0)</calculatedColumnFormula>
    </tableColumn>
    <tableColumn id="3" xr3:uid="{6B9AFDB1-0E0D-4D75-9ACB-77D8EBBE306B}" name="Min rainfall">
      <calculatedColumnFormula array="1">Common_InputFunctions.Utility_DisplayArrayInTable(Common_SourceData.Common_SourceData_RainfallZones_Data(),Table_SourceData_RainfallZones[[#Headers],[Rainfall Zone]],0)</calculatedColumnFormula>
    </tableColumn>
    <tableColumn id="4" xr3:uid="{63016575-7BCA-4E0A-84D4-36F34E8457B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E22ED3-78CB-4168-A928-6828FEAC4BC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AF040F6-9720-4FA8-B26E-4F8CA80D2A93}" name="Leaching Zone">
      <calculatedColumnFormula array="1">Common_InputFunctions.Utility_DisplayArrayInTable(Common_SourceData.Common_SourceData_LeachingZones_Data(), Table_SourceData_LeachingZones[[#Headers],[Leaching Zone]], 0)</calculatedColumnFormula>
    </tableColumn>
    <tableColumn id="2" xr3:uid="{31CD02CD-5613-4FB6-AE08-CB61A8948BB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C134FF-3B1E-444A-9F55-BBF6FA9DDCC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F2A3AB-BCF6-49C0-B398-FCB2CD6495E2}" name="Data source">
      <calculatedColumnFormula array="1">Common_InputFunctions.Utility_DisplayArrayInTable(Common_SourceData.Common_SourceData_DataScores_Scope3_Data(), Table_SourceData_DataScores_Scope3[[#Headers],[Data source]], 0)</calculatedColumnFormula>
    </tableColumn>
    <tableColumn id="2" xr3:uid="{BD3C78FC-9638-4FFF-8EFE-7DF73C9C638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D09DB6-634A-4556-8B78-A13770A8D6FE}" name="Table_SourceData_FracWET" displayName="Table_SourceData_FracWET" ref="D134:E136" totalsRowShown="0">
  <autoFilter ref="D134:E136" xr:uid="{308E99BE-FE1F-47A4-B2CA-97217277C4E9}">
    <filterColumn colId="0" hiddenButton="1"/>
    <filterColumn colId="1" hiddenButton="1"/>
  </autoFilter>
  <tableColumns count="2">
    <tableColumn id="1" xr3:uid="{4CCA52B4-9848-4FA3-A168-37A2CB85D95C}" name="Is in leaching zone">
      <calculatedColumnFormula array="1">Common_InputFunctions.Utility_DisplayArrayInTable(Common_SourceData.Common_SourceData_FracWET_Data(),Table_SourceData_FracWET[[#Headers],[Is in leaching zone]],0)</calculatedColumnFormula>
    </tableColumn>
    <tableColumn id="2" xr3:uid="{933A18CC-3D79-4C50-AC37-F269F84F6F80}"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BFA2FD9-6472-497F-AAEA-B0CB2E4A4EB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4088E-0CFD-4E7B-9589-9DF930BEF59E}" name="Production system j">
      <calculatedColumnFormula array="1">Common_InputFunctions.Utility_DisplayArrayInTable(Common_SourceData.Common_SourceData_EFN2O_Data(), Table_SourceData_Common_EFN2O[[#Headers],[Production system j]], 0)</calculatedColumnFormula>
    </tableColumn>
    <tableColumn id="2" xr3:uid="{495D24A6-AC74-49C7-8243-5472B0FB8844}" name="EFN2O">
      <calculatedColumnFormula array="1">Common_InputFunctions.Utility_DisplayArrayInTable(Common_SourceData.Common_SourceData_EFN2O_Data(), Table_SourceData_Common_EFN2O[[#Headers],[Production system j]], 0)</calculatedColumnFormula>
    </tableColumn>
    <tableColumn id="3" xr3:uid="{62A6A7F1-8BE9-44AD-B001-2CBC4221BAF8}" name="Production system only">
      <calculatedColumnFormula array="1">Common_InputFunctions.Utility_DisplayArrayInTable(Common_SourceData.Common_SourceData_EFN2O_Data(), Table_SourceData_Common_EFN2O[[#Headers],[Production system j]], 0)</calculatedColumnFormula>
    </tableColumn>
    <tableColumn id="4" xr3:uid="{B09CA474-195B-468A-A933-8A1C9D61036F}" name="Irrigation method">
      <calculatedColumnFormula array="1">Common_InputFunctions.Utility_DisplayArrayInTable(Common_SourceData.Common_SourceData_EFN2O_Data(), Table_SourceData_Common_EFN2O[[#Headers],[Production system j]], 0)</calculatedColumnFormula>
    </tableColumn>
    <tableColumn id="5" xr3:uid="{C1434108-45E0-4AFD-9D2F-F09C81F028B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54BA-716F-4C52-86B2-BDC2CE84127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C3635F-0112-41EC-989C-6E5136788FE7}" name="Irrigation type i">
      <calculatedColumnFormula array="1">Common_InputFunctions.Utility_DisplayArrayInTable(Common_SourceData.Common_SourceData_FracWETIrrigation_Data(), Table_SourceData_FracWETIrrigation[[#Headers],[Irrigation type i]], 0)</calculatedColumnFormula>
    </tableColumn>
    <tableColumn id="2" xr3:uid="{B01B7E76-8674-4BF9-83CC-9ABF34773330}"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5F13439-3218-4BE7-BEFD-D715A122A8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1B43EB-2EC4-4A37-916C-8EEE2C50BC5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389DC3-BAE0-485C-AF67-6B00F337FD3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9A60E28-6240-42EB-B57B-AA52EE1BB5D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382C0F2-2C88-4CB0-A127-B6E29E038C5A}" name="Month">
      <calculatedColumnFormula array="1">Common_InputFunctions.Utility_DisplayArrayInTable(Common_SourceData.Common_SourceData_MonthsToSeasons_Data(), Table_SourceData_Common_MonthToSeason[[#Headers],[Month]], 0)</calculatedColumnFormula>
    </tableColumn>
    <tableColumn id="2" xr3:uid="{9EA3BB4B-3EC5-4FD9-B5FC-9B1555D56547}"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53ACA83-2A10-4A08-A7B8-693D8353267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189BA4-93DA-45C8-8C85-F9AC3ABCF0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9092EA3-64E8-4305-A177-90887F11E55C}"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ED38CC-3E19-4E06-8412-F10885293A2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1D5869-6EEE-44CE-B494-E3AC14F487A4}"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35DABB4-2029-4B44-A334-C6E8C0A5FF9D}"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28A3A-2AFB-43CB-B6B6-FA9A2FD3E12E}"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A652732-3B57-445E-A83D-CF6C1988EEA0}"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65A4176-6FAA-4B4D-A8E9-F054B2A8ACB3}"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9D9DBF8-05AC-4284-B1C7-BFCF60280C45}"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48BB42-E5BE-4012-B43C-2ED67BE1603E}"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491D8DB-D1B8-483F-ABF5-B7FB73367352}"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F275FB-2E08-4D2E-987A-875DDB0C24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A24A9F-93CD-4770-A26A-97A81BF2B679}"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9B4CC4B-19D3-4A9A-827F-A489EE4E60C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9A5F7F-2AC2-478C-BB04-4F6AAD7F0AB6}"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0256F4-0758-4364-9E13-EB74245E0FEC}"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C95F090-C542-4465-AB52-C6AF64DCF5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235628D-7C45-4601-8356-09C602D0E29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2474F0-7CA1-402A-AF45-FD48D8330151}"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0" t="e" vm="1">
        <v>#VALUE!</v>
      </c>
    </row>
    <row r="3" spans="1:1" ht="15.75" x14ac:dyDescent="0.25">
      <c r="A3" s="10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Fertiliser'!A1", "Fertiliser")</f>
        <v>Fertiliser</v>
      </c>
    </row>
    <row r="13" spans="1:1" x14ac:dyDescent="0.25">
      <c r="A13" s="18" t="s">
        <v>68</v>
      </c>
    </row>
    <row r="14" spans="1:1" ht="15.75" x14ac:dyDescent="0.25">
      <c r="A14" s="17" t="str">
        <f>HYPERLINK("#'5.1.1.1-2 Inorganic fert N2O'!A1", "5.1.1.1-2 Inorganic fert N2O")</f>
        <v>5.1.1.1-2 Inorganic fert N2O</v>
      </c>
    </row>
    <row r="15" spans="1:1" ht="15.75" x14ac:dyDescent="0.25">
      <c r="A15" s="17" t="str">
        <f>HYPERLINK("#'5.1.1.3-4 Inorganic fert CO2'!A1", "5.1.1.3-4 Inorganic fert CO2")</f>
        <v>5.1.1.3-4 Inorganic fert CO2</v>
      </c>
    </row>
    <row r="16" spans="1:1" ht="15.75" x14ac:dyDescent="0.25">
      <c r="A16" s="17" t="str">
        <f>HYPERLINK("#'5.2.1.1-2 Organic Fert N2O'!A1", "5.2.1.1-2 Organic Fert N2O")</f>
        <v>5.2.1.1-2 Organic Fert N2O</v>
      </c>
    </row>
    <row r="17" spans="1:1" ht="15.75" x14ac:dyDescent="0.25">
      <c r="A17" s="17" t="str">
        <f>HYPERLINK("#'5.3.1.1-2 Lime CO2'!A1", "5.3.1.1-2 Lime CO2")</f>
        <v>5.3.1.1-2 Lime CO2</v>
      </c>
    </row>
    <row r="18" spans="1:1" ht="15.75" x14ac:dyDescent="0.25">
      <c r="A18" s="17" t="str">
        <f>HYPERLINK("#'5.4.1.1-4 Atmos deposition'!A1", "5.4.1.1-4 Atmos deposition")</f>
        <v>5.4.1.1-4 Atmos deposition</v>
      </c>
    </row>
    <row r="19" spans="1:1" ht="15.75" x14ac:dyDescent="0.25">
      <c r="A19" s="17" t="str">
        <f>HYPERLINK("#'5.5.1.1-2 Leaching and runoff'!A1", "5.5.1.1-2 Leaching and runoff")</f>
        <v>5.5.1.1-2 Leaching and runoff</v>
      </c>
    </row>
    <row r="22" spans="1:1" x14ac:dyDescent="0.25">
      <c r="A22" s="176" t="s">
        <v>1</v>
      </c>
    </row>
    <row r="23" spans="1:1" ht="15.75" x14ac:dyDescent="0.25">
      <c r="A23" s="17" t="str">
        <f>HYPERLINK("#'Constants - Fertiliser'!A1", "Constants - Fertiliser")</f>
        <v>Constants - Fertiliser</v>
      </c>
    </row>
    <row r="24" spans="1:1" ht="15.75" x14ac:dyDescent="0.25">
      <c r="A24"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7" t="s">
        <v>305</v>
      </c>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row>
    <row r="2" spans="1:42" ht="20.100000000000001" customHeight="1" x14ac:dyDescent="0.25">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9"/>
    </row>
    <row r="3" spans="1:42" ht="20.100000000000001" customHeight="1" x14ac:dyDescent="0.25">
      <c r="A3" s="17" t="str">
        <f>HYPERLINK("#'Home'!A1", "Home")</f>
        <v>Home</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row>
    <row r="4" spans="1:42" ht="20.100000000000001" customHeight="1" x14ac:dyDescent="0.25">
      <c r="A4" s="107" t="str">
        <f>HYPERLINK("#'Overview'!A1", "Overview")</f>
        <v>Overview</v>
      </c>
    </row>
    <row r="5" spans="1:42" ht="20.100000000000001" customHeight="1" x14ac:dyDescent="0.25">
      <c r="A5" s="17" t="str">
        <f>HYPERLINK("#'Results'!A1", "Results")</f>
        <v>Results</v>
      </c>
      <c r="D5" s="104" t="s">
        <v>307</v>
      </c>
      <c r="E5" s="83"/>
      <c r="F5" s="83"/>
      <c r="G5" s="83"/>
      <c r="H5" s="83"/>
      <c r="I5" s="83"/>
      <c r="J5" s="83"/>
      <c r="K5" s="83"/>
      <c r="L5" s="83"/>
      <c r="M5" s="83"/>
      <c r="N5" s="83"/>
      <c r="O5" s="79"/>
    </row>
    <row r="6" spans="1:42" ht="20.100000000000001" customHeight="1" x14ac:dyDescent="0.25">
      <c r="D6" s="171" t="s">
        <v>308</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68</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6"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7" t="s">
        <v>306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301</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81</v>
      </c>
      <c r="E8" s="102" t="s">
        <v>94</v>
      </c>
      <c r="F8" s="102" t="s">
        <v>95</v>
      </c>
      <c r="G8" s="102" t="s">
        <v>88</v>
      </c>
      <c r="H8" s="102" t="s">
        <v>96</v>
      </c>
      <c r="I8" s="102" t="s">
        <v>97</v>
      </c>
      <c r="J8" s="102" t="s">
        <v>89</v>
      </c>
      <c r="K8" s="21"/>
    </row>
    <row r="9" spans="1:11" ht="20.100000000000001" customHeight="1" x14ac:dyDescent="0.25">
      <c r="A9" s="17" t="str">
        <f>HYPERLINK("#'Input - Site'!A1", "Site")</f>
        <v>Site</v>
      </c>
      <c r="C9" s="21"/>
      <c r="D9" s="1" t="s">
        <v>294</v>
      </c>
      <c r="E9" s="166">
        <f>VEERG_5_1_1_1__1_InorganicFertiliserApplicationN2OEmissions_Result_Method1</f>
        <v>0.1431067</v>
      </c>
      <c r="F9" s="166">
        <f>VEERG_5_1_1_1__1_InorganicFertiliserApplicationN2OEmissions_Result_Method2</f>
        <v>0.1431067</v>
      </c>
      <c r="G9" s="51" t="s">
        <v>100</v>
      </c>
      <c r="H9" s="100">
        <f>'5.1.1.1-2 Inorganic fert N2O'!E85</f>
        <v>37.923275500000003</v>
      </c>
      <c r="I9" s="100">
        <f>'5.1.1.1-2 Inorganic fert N2O'!N93</f>
        <v>37.923275500000003</v>
      </c>
      <c r="J9" s="51" t="s">
        <v>92</v>
      </c>
      <c r="K9" s="21"/>
    </row>
    <row r="10" spans="1:11" ht="20.100000000000001" customHeight="1" x14ac:dyDescent="0.25">
      <c r="A10" s="17" t="str">
        <f>HYPERLINK("#'Input - Fertiliser'!A1", "Fertiliser")</f>
        <v>Fertiliser</v>
      </c>
      <c r="C10" s="21"/>
      <c r="D10" s="1" t="s">
        <v>295</v>
      </c>
      <c r="E10" s="166">
        <f>VEERG_5_1_1_3__1_InorganicFertiliserApplicationCO2Emissions_Result_Method1</f>
        <v>7.333333333333333</v>
      </c>
      <c r="F10" s="166">
        <f>E10</f>
        <v>7.333333333333333</v>
      </c>
      <c r="G10" s="51" t="s">
        <v>259</v>
      </c>
      <c r="H10" s="100">
        <f>VEERG_5_1_1_3__1_InorganicFertiliserApplicationCO2Emissions_Result_Method1</f>
        <v>7.333333333333333</v>
      </c>
      <c r="I10" s="100">
        <f>H10</f>
        <v>7.333333333333333</v>
      </c>
      <c r="J10" s="51" t="s">
        <v>92</v>
      </c>
      <c r="K10" s="21"/>
    </row>
    <row r="11" spans="1:11" ht="20.100000000000001" customHeight="1" x14ac:dyDescent="0.25">
      <c r="C11" s="21"/>
      <c r="D11" s="1" t="s">
        <v>296</v>
      </c>
      <c r="E11" s="166">
        <f>VEERG_5_2_1_1__2_MassOfNitrogenInOrganicFertiliser_Result_Method1</f>
        <v>5.5785714285714293E-3</v>
      </c>
      <c r="F11" s="166">
        <f>E11</f>
        <v>5.5785714285714293E-3</v>
      </c>
      <c r="G11" s="51" t="s">
        <v>100</v>
      </c>
      <c r="H11" s="100">
        <f>'5.2.1.1-2 Organic Fert N2O'!$E$55</f>
        <v>1.4783214285714288</v>
      </c>
      <c r="I11" s="100">
        <f>H11</f>
        <v>1.4783214285714288</v>
      </c>
      <c r="J11" s="51" t="s">
        <v>92</v>
      </c>
      <c r="K11" s="21"/>
    </row>
    <row r="12" spans="1:11" ht="20.100000000000001" customHeight="1" x14ac:dyDescent="0.25">
      <c r="C12" s="21"/>
      <c r="D12" s="1" t="s">
        <v>297</v>
      </c>
      <c r="E12" s="166">
        <f>VEERG_5_3_1_1__1_LimeApplicationCO2Emissions_Result_Method1</f>
        <v>75.808333333333337</v>
      </c>
      <c r="F12" s="166">
        <f>E12</f>
        <v>75.808333333333337</v>
      </c>
      <c r="G12" s="51" t="s">
        <v>259</v>
      </c>
      <c r="H12" s="100">
        <f>VEERG_5_3_1_1__1_LimeApplicationCO2Emissions_Result_Method1</f>
        <v>75.808333333333337</v>
      </c>
      <c r="I12" s="100">
        <f>H12</f>
        <v>75.808333333333337</v>
      </c>
      <c r="J12" s="51" t="s">
        <v>92</v>
      </c>
      <c r="K12" s="21"/>
    </row>
    <row r="13" spans="1:11" ht="20.100000000000001" customHeight="1" x14ac:dyDescent="0.25">
      <c r="A13" s="18" t="s">
        <v>68</v>
      </c>
      <c r="C13" s="21"/>
      <c r="D13" s="1" t="s">
        <v>298</v>
      </c>
      <c r="E13" s="166">
        <f>VEERG_5_4_1_1__1_InorganicFertiliserAtmosphericDepositionN2OEmissions_Result_Method1 + VEERG_5_4_1_3__1_OrganicFertiliserAtmosphericDepositionN2OEmissions_Result_Method1</f>
        <v>1.5692930000000001E-2</v>
      </c>
      <c r="F13" s="166">
        <f>E13</f>
        <v>1.5692930000000001E-2</v>
      </c>
      <c r="G13" s="51" t="s">
        <v>100</v>
      </c>
      <c r="H13" s="100">
        <f>'5.4.1.1-4 Atmos deposition'!E84 + '5.4.1.1-4 Atmos deposition'!$E$151</f>
        <v>4.1586264499999999</v>
      </c>
      <c r="I13" s="100">
        <f>H13</f>
        <v>4.1586264499999999</v>
      </c>
      <c r="J13" s="51" t="s">
        <v>92</v>
      </c>
      <c r="K13" s="21"/>
    </row>
    <row r="14" spans="1:11" ht="20.100000000000001" customHeight="1" x14ac:dyDescent="0.25">
      <c r="A14" s="17" t="str">
        <f>HYPERLINK("#'5.1.1.1-2 Inorganic fert N2O'!A1", "5.1.1.1-2 Inorganic fert N2O")</f>
        <v>5.1.1.1-2 Inorganic fert N2O</v>
      </c>
      <c r="C14" s="21"/>
      <c r="D14" s="1" t="s">
        <v>299</v>
      </c>
      <c r="E14" s="166">
        <f>VEERG_5_5_1_1__1_FertiliserLeachingAndRunoffN2OEmissions_Result_Method1</f>
        <v>5.6917155428571425E-2</v>
      </c>
      <c r="F14" s="166">
        <f>E14</f>
        <v>5.6917155428571425E-2</v>
      </c>
      <c r="G14" s="51" t="s">
        <v>100</v>
      </c>
      <c r="H14" s="100">
        <f>'5.5.1.1-2 Leaching and runoff'!$E$99</f>
        <v>15.083046188571428</v>
      </c>
      <c r="I14" s="100">
        <f>H14</f>
        <v>15.083046188571428</v>
      </c>
      <c r="J14" s="51" t="s">
        <v>92</v>
      </c>
      <c r="K14" s="21"/>
    </row>
    <row r="15" spans="1:11" ht="20.100000000000001" customHeight="1" x14ac:dyDescent="0.3">
      <c r="A15" s="17" t="str">
        <f>HYPERLINK("#'5.1.1.3-4 Inorganic fert CO2'!A1", "5.1.1.3-4 Inorganic fert CO2")</f>
        <v>5.1.1.3-4 Inorganic fert CO2</v>
      </c>
      <c r="C15" s="21"/>
      <c r="D15" s="28" t="s">
        <v>87</v>
      </c>
      <c r="E15" s="22"/>
      <c r="F15" s="22"/>
      <c r="G15" s="28"/>
      <c r="H15" s="101">
        <f>SUM(H9:H14)</f>
        <v>141.78493623380953</v>
      </c>
      <c r="I15" s="101">
        <f>SUM(I9:I14)</f>
        <v>141.78493623380953</v>
      </c>
      <c r="J15" s="96" t="s">
        <v>92</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6"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70</v>
      </c>
      <c r="E10" s="84"/>
      <c r="F10" s="87"/>
      <c r="G10" s="81"/>
      <c r="N10" s="41"/>
    </row>
    <row r="11" spans="1:24" ht="20.100000000000001" customHeight="1" x14ac:dyDescent="0.25">
      <c r="A11"/>
      <c r="N11" s="42"/>
    </row>
    <row r="12" spans="1:24" ht="20.100000000000001" customHeight="1" x14ac:dyDescent="0.25">
      <c r="A12"/>
      <c r="D12" s="10" t="s">
        <v>76</v>
      </c>
      <c r="E12" s="59">
        <v>45292</v>
      </c>
      <c r="F12" s="2" t="s">
        <v>64</v>
      </c>
    </row>
    <row r="13" spans="1:24" ht="20.100000000000001" customHeight="1" x14ac:dyDescent="0.25">
      <c r="A13" s="18" t="s">
        <v>68</v>
      </c>
      <c r="D13" s="10" t="s">
        <v>77</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65</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99</v>
      </c>
      <c r="F21" s="2" t="s">
        <v>8</v>
      </c>
    </row>
    <row r="22" spans="1:25" ht="20.100000000000001" customHeight="1" x14ac:dyDescent="0.25">
      <c r="A22" s="176" t="s">
        <v>1</v>
      </c>
      <c r="D22" s="1" t="s">
        <v>20</v>
      </c>
      <c r="E22" s="38" t="s">
        <v>29</v>
      </c>
      <c r="F22" s="2" t="s">
        <v>8</v>
      </c>
      <c r="G22" s="1"/>
    </row>
    <row r="23" spans="1:25" ht="20.100000000000001" customHeight="1" x14ac:dyDescent="0.25">
      <c r="A23" s="17" t="str">
        <f>HYPERLINK("#'Constants - Fertiliser'!A1", "Constants - Fertiliser")</f>
        <v>Constants - Fertiliser</v>
      </c>
      <c r="D23" s="1" t="s">
        <v>6</v>
      </c>
      <c r="E23" s="38" t="s">
        <v>75</v>
      </c>
      <c r="F23" s="2" t="s">
        <v>8</v>
      </c>
    </row>
    <row r="24" spans="1:25" ht="20.100000000000001" customHeight="1" x14ac:dyDescent="0.25">
      <c r="A24" s="17" t="str">
        <f>HYPERLINK("#'Constants - Common'!A1", "Constants - Common")</f>
        <v>Constants - Common</v>
      </c>
      <c r="D24" s="1" t="s">
        <v>34</v>
      </c>
      <c r="E24" s="32">
        <v>307.7</v>
      </c>
      <c r="F24" s="2" t="s">
        <v>48</v>
      </c>
    </row>
    <row r="25" spans="1:25" ht="20.100000000000001" customHeight="1" x14ac:dyDescent="0.25">
      <c r="A25"/>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0.45173453996983409</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workbookViewId="0">
      <selection activeCell="E28" sqref="E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327</v>
      </c>
    </row>
    <row r="2" spans="1:11" s="9" customFormat="1" x14ac:dyDescent="0.25"/>
    <row r="3" spans="1:11" ht="20.25" x14ac:dyDescent="0.25">
      <c r="C3" s="15"/>
      <c r="D3" s="15"/>
      <c r="E3" s="15"/>
      <c r="F3" s="15"/>
      <c r="G3" s="15"/>
      <c r="H3" s="15"/>
      <c r="I3" s="15"/>
      <c r="J3" s="15"/>
      <c r="K3" s="15"/>
    </row>
    <row r="5" spans="1:11" x14ac:dyDescent="0.25">
      <c r="D5" s="1" t="s">
        <v>86</v>
      </c>
      <c r="E5" s="38" t="s">
        <v>130</v>
      </c>
      <c r="F5" s="2" t="s">
        <v>8</v>
      </c>
    </row>
    <row r="6" spans="1:11" x14ac:dyDescent="0.25">
      <c r="D6" s="1" t="s">
        <v>163</v>
      </c>
      <c r="E6" s="38" t="s">
        <v>140</v>
      </c>
      <c r="F6" s="2" t="s">
        <v>8</v>
      </c>
    </row>
    <row r="7" spans="1:11" x14ac:dyDescent="0.25">
      <c r="D7" s="1" t="s">
        <v>85</v>
      </c>
      <c r="E7" s="38" t="s">
        <v>131</v>
      </c>
      <c r="F7" s="2" t="s">
        <v>8</v>
      </c>
    </row>
    <row r="8" spans="1:11" x14ac:dyDescent="0.25">
      <c r="D8" s="1" t="s">
        <v>185</v>
      </c>
      <c r="E8" s="134">
        <v>100</v>
      </c>
      <c r="F8" s="2" t="s">
        <v>177</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23" zoomScaleNormal="100" workbookViewId="0">
      <selection activeCell="D13" sqref="D13:X1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0" customFormat="1" ht="30" customHeight="1" x14ac:dyDescent="0.35">
      <c r="A1" s="60" t="e" vm="1">
        <v>#VALUE!</v>
      </c>
      <c r="C1" s="60" t="s">
        <v>304</v>
      </c>
    </row>
    <row r="2" spans="1:25" s="9" customFormat="1" ht="20.100000000000001" customHeight="1" x14ac:dyDescent="0.25">
      <c r="A2"/>
    </row>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c r="D5" s="6" t="s">
        <v>145</v>
      </c>
      <c r="E5" s="3"/>
      <c r="F5" s="3"/>
      <c r="G5" s="3"/>
      <c r="H5" s="3"/>
      <c r="I5" s="3"/>
      <c r="J5" s="3"/>
      <c r="K5" s="3"/>
      <c r="L5" s="3"/>
      <c r="M5" s="3"/>
    </row>
    <row r="6" spans="1:25" ht="20.100000000000001" customHeight="1" x14ac:dyDescent="0.25">
      <c r="D6" s="21"/>
      <c r="E6" s="21"/>
      <c r="F6" s="21"/>
      <c r="G6" s="21"/>
      <c r="H6" s="21"/>
      <c r="I6" s="21"/>
      <c r="J6" s="21"/>
      <c r="K6" s="21"/>
      <c r="L6" s="21"/>
      <c r="M6" s="21"/>
    </row>
    <row r="7" spans="1:25" ht="20.100000000000001" customHeight="1" x14ac:dyDescent="0.25">
      <c r="D7" s="104" t="s">
        <v>146</v>
      </c>
      <c r="E7" s="83"/>
      <c r="F7" s="83"/>
      <c r="G7" s="83"/>
      <c r="H7" s="79"/>
      <c r="I7" s="111"/>
      <c r="J7" s="112"/>
      <c r="K7" s="113"/>
      <c r="L7" s="113"/>
      <c r="M7" s="113"/>
    </row>
    <row r="8" spans="1:25" ht="20.100000000000001" customHeight="1" x14ac:dyDescent="0.25">
      <c r="A8" s="19" t="s">
        <v>0</v>
      </c>
      <c r="D8" s="85" t="s">
        <v>147</v>
      </c>
      <c r="E8" s="82"/>
      <c r="F8" s="82"/>
      <c r="G8" s="80"/>
      <c r="H8" s="136"/>
      <c r="I8" s="21"/>
      <c r="J8" s="21"/>
      <c r="K8" s="21"/>
      <c r="L8" s="21"/>
      <c r="M8" s="21"/>
    </row>
    <row r="9" spans="1:25" ht="20.100000000000001" customHeight="1" x14ac:dyDescent="0.25">
      <c r="A9" s="17" t="str">
        <f>HYPERLINK("#'Input - Site'!A1", "Site")</f>
        <v>Site</v>
      </c>
      <c r="D9" s="21"/>
      <c r="E9" s="21"/>
      <c r="F9" s="21"/>
      <c r="G9" s="21"/>
      <c r="H9" s="21"/>
      <c r="I9" s="21"/>
      <c r="J9" s="21"/>
      <c r="K9" s="21"/>
      <c r="L9" s="21"/>
      <c r="M9" s="21"/>
    </row>
    <row r="10" spans="1:25" ht="20.100000000000001" customHeight="1" x14ac:dyDescent="0.25">
      <c r="A10" s="106" t="str">
        <f>HYPERLINK("#'Input - Fertiliser'!A1", "Fertiliser")</f>
        <v>Fertiliser</v>
      </c>
      <c r="D10" s="45" t="s">
        <v>148</v>
      </c>
      <c r="E10" s="21"/>
      <c r="F10" s="21"/>
      <c r="G10" s="21"/>
      <c r="H10" s="21"/>
      <c r="I10" s="21"/>
      <c r="J10" s="21"/>
      <c r="K10" s="21"/>
      <c r="L10" s="21"/>
      <c r="M10" s="21"/>
    </row>
    <row r="11" spans="1:25" ht="20.100000000000001" customHeight="1" x14ac:dyDescent="0.25">
      <c r="D11" s="114" t="s">
        <v>149</v>
      </c>
      <c r="E11" s="115" t="s">
        <v>319</v>
      </c>
      <c r="F11" s="175" t="s">
        <v>310</v>
      </c>
      <c r="G11" s="175" t="s">
        <v>311</v>
      </c>
      <c r="H11" s="115" t="s">
        <v>150</v>
      </c>
      <c r="I11" s="115" t="s">
        <v>151</v>
      </c>
      <c r="J11" s="114" t="s">
        <v>114</v>
      </c>
      <c r="K11" s="114" t="s">
        <v>115</v>
      </c>
      <c r="L11" s="114" t="s">
        <v>116</v>
      </c>
      <c r="M11" s="114" t="s">
        <v>117</v>
      </c>
      <c r="N11" s="114" t="s">
        <v>118</v>
      </c>
      <c r="O11" s="114" t="s">
        <v>119</v>
      </c>
      <c r="P11" s="114" t="s">
        <v>120</v>
      </c>
      <c r="Q11" s="114" t="s">
        <v>121</v>
      </c>
      <c r="R11" s="114" t="s">
        <v>122</v>
      </c>
      <c r="S11" s="114" t="s">
        <v>123</v>
      </c>
      <c r="T11" s="114" t="s">
        <v>124</v>
      </c>
      <c r="U11" s="114" t="s">
        <v>125</v>
      </c>
      <c r="V11" s="114" t="s">
        <v>164</v>
      </c>
      <c r="W11" s="174" t="s">
        <v>230</v>
      </c>
      <c r="X11" s="174" t="s">
        <v>231</v>
      </c>
    </row>
    <row r="12" spans="1:25" ht="20.100000000000001" customHeight="1" x14ac:dyDescent="0.25">
      <c r="D12" s="120" t="s">
        <v>300</v>
      </c>
      <c r="E12" s="121">
        <v>100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121">
        <f>X_Cell_Fertiliser_AreaUnderCropping</f>
        <v>100</v>
      </c>
      <c r="I12" s="122">
        <f>(Table_Input_InorganicFertiliser_Brands[[#This Row],[Amount applied per hectare]]*Table_Input_InorganicFertiliser_Brands[[#This Row],[Density]])*Table_Input_InorganicFertiliser_Brands[[#This Row],[Application area (ha)]]</f>
        <v>12600</v>
      </c>
      <c r="J12" s="122"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22"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22"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22"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22"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22"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22"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8" t="s">
        <v>68</v>
      </c>
      <c r="D13" s="177" t="s">
        <v>320</v>
      </c>
      <c r="E13" s="178">
        <v>100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178">
        <f>X_Cell_Fertiliser_AreaUnderCropping</f>
        <v>100</v>
      </c>
      <c r="I13" s="122">
        <f>(Table_Input_InorganicFertiliser_Brands[[#This Row],[Amount applied per hectare]]*Table_Input_InorganicFertiliser_Brands[[#This Row],[Density]])*Table_Input_InorganicFertiliser_Brands[[#This Row],[Application area (ha)]]</f>
        <v>12850</v>
      </c>
      <c r="J13" s="122"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22"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22"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22"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22"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22"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22"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22"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22"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22"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22"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22" t="str">
        <f>_xlfn.XLOOKUP(Table_Input_InorganicFertiliser_Brands[[#This Row],[Product (select)]],FertiliserProducts[Product name],FertiliserProducts[Urea source])</f>
        <v/>
      </c>
      <c r="X13" s="122" t="str">
        <f>_xlfn.XLOOKUP(Table_Input_InorganicFertiliser_Brands[[#This Row],[Product (select)]],FertiliserProducts[Product name],FertiliserProducts[Ammonia source])</f>
        <v/>
      </c>
    </row>
    <row r="14" spans="1:25" ht="20.100000000000001" customHeight="1" x14ac:dyDescent="0.25">
      <c r="A14" s="17" t="str">
        <f>HYPERLINK("#'5.1.1.1-2 Inorganic fert N2O'!A1", "5.1.1.1-2 Inorganic fert N2O")</f>
        <v>5.1.1.1-2 Inorganic fert N2O</v>
      </c>
      <c r="D14" s="177" t="s">
        <v>320</v>
      </c>
      <c r="E14" s="178">
        <v>100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178">
        <f>X_Cell_Fertiliser_AreaUnderCropping</f>
        <v>100</v>
      </c>
      <c r="I14" s="122">
        <f>(Table_Input_InorganicFertiliser_Brands[[#This Row],[Amount applied per hectare]]*Table_Input_InorganicFertiliser_Brands[[#This Row],[Density]])*Table_Input_InorganicFertiliser_Brands[[#This Row],[Application area (ha)]]</f>
        <v>12850</v>
      </c>
      <c r="J14" s="122"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22"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22"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22"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22"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22"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22"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22"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22"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22"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22"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22" t="str">
        <f>_xlfn.XLOOKUP(Table_Input_InorganicFertiliser_Brands[[#This Row],[Product (select)]],FertiliserProducts[Product name],FertiliserProducts[Urea source])</f>
        <v/>
      </c>
      <c r="X14" s="122" t="str">
        <f>_xlfn.XLOOKUP(Table_Input_InorganicFertiliser_Brands[[#This Row],[Product (select)]],FertiliserProducts[Product name],FertiliserProducts[Ammonia source])</f>
        <v/>
      </c>
    </row>
    <row r="15" spans="1:25" ht="20.100000000000001" customHeight="1" x14ac:dyDescent="0.25">
      <c r="A15" s="17" t="str">
        <f>HYPERLINK("#'5.1.1.3-4 Inorganic fert CO2'!A1", "5.1.1.3-4 Inorganic fert CO2")</f>
        <v>5.1.1.3-4 Inorganic fert CO2</v>
      </c>
      <c r="D15" s="177" t="s">
        <v>322</v>
      </c>
      <c r="E15" s="178">
        <v>100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178">
        <f>X_Cell_Fertiliser_AreaUnderCropping</f>
        <v>100</v>
      </c>
      <c r="I15" s="122">
        <f>(Table_Input_InorganicFertiliser_Brands[[#This Row],[Amount applied per hectare]]*Table_Input_InorganicFertiliser_Brands[[#This Row],[Density]])*Table_Input_InorganicFertiliser_Brands[[#This Row],[Application area (ha)]]</f>
        <v>12600</v>
      </c>
      <c r="J15" s="122"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22"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22"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22"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22"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22"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22"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122" t="str">
        <f>_xlfn.XLOOKUP(Table_Input_InorganicFertiliser_Brands[[#This Row],[Product (select)]],FertiliserProducts[Product name],FertiliserProducts[Urea source])</f>
        <v/>
      </c>
      <c r="X15" s="122" t="str">
        <f>_xlfn.XLOOKUP(Table_Input_InorganicFertiliser_Brands[[#This Row],[Product (select)]],FertiliserProducts[Product name],FertiliserProducts[Ammonia source])</f>
        <v/>
      </c>
    </row>
    <row r="16" spans="1:25" ht="20.100000000000001" customHeight="1" x14ac:dyDescent="0.25">
      <c r="A16" s="17" t="str">
        <f>HYPERLINK("#'5.2.1.1-2 Organic Fert N2O'!A1", "5.2.1.1-2 Organic Fert N2O")</f>
        <v>5.2.1.1-2 Organic Fert N2O</v>
      </c>
      <c r="D16" s="177" t="s">
        <v>321</v>
      </c>
      <c r="E16" s="178">
        <v>100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178">
        <f>X_Cell_Fertiliser_AreaUnderCropping</f>
        <v>100</v>
      </c>
      <c r="I16" s="122">
        <f>(Table_Input_InorganicFertiliser_Brands[[#This Row],[Amount applied per hectare]]*Table_Input_InorganicFertiliser_Brands[[#This Row],[Density]])*Table_Input_InorganicFertiliser_Brands[[#This Row],[Application area (ha)]]</f>
        <v>15000</v>
      </c>
      <c r="J16" s="122"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22"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22"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22"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22"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122" t="str">
        <f>_xlfn.XLOOKUP(Table_Input_InorganicFertiliser_Brands[[#This Row],[Product (select)]],FertiliserProducts[Product name],FertiliserProducts[Urea source])</f>
        <v/>
      </c>
      <c r="X16" s="122" t="str">
        <f>_xlfn.XLOOKUP(Table_Input_InorganicFertiliser_Brands[[#This Row],[Product (select)]],FertiliserProducts[Product name],FertiliserProducts[Ammonia source])</f>
        <v/>
      </c>
    </row>
    <row r="17" spans="1:24" ht="36" customHeight="1" x14ac:dyDescent="0.25">
      <c r="A17" s="17" t="str">
        <f>HYPERLINK("#'5.3.1.1-2 Lime CO2'!A1", "5.3.1.1-2 Lime CO2")</f>
        <v>5.3.1.1-2 Lime CO2</v>
      </c>
      <c r="D17" s="123"/>
      <c r="E17" s="124"/>
      <c r="F17" s="125"/>
      <c r="G17" s="125"/>
      <c r="H17" s="125"/>
      <c r="I17" s="125"/>
      <c r="J17" s="126"/>
      <c r="K17" s="126"/>
      <c r="L17" s="127"/>
      <c r="M17" s="127"/>
      <c r="N17" s="128"/>
      <c r="O17" s="128"/>
      <c r="P17" s="128"/>
      <c r="Q17" s="128"/>
      <c r="R17" s="128"/>
      <c r="S17" s="128"/>
      <c r="T17" s="128"/>
      <c r="U17" s="128"/>
      <c r="V17" s="128"/>
      <c r="W17" s="128"/>
      <c r="X17" s="128"/>
    </row>
    <row r="18" spans="1:24" ht="36" customHeight="1" x14ac:dyDescent="0.25">
      <c r="A18" s="17" t="str">
        <f>HYPERLINK("#'5.4.1.1-4 Atmos deposition'!A1", "5.4.1.1-4 Atmos deposition")</f>
        <v>5.4.1.1-4 Atmos deposition</v>
      </c>
      <c r="D18" s="129" t="s">
        <v>152</v>
      </c>
      <c r="E18" s="130"/>
      <c r="F18" s="130"/>
      <c r="G18" s="130"/>
      <c r="H18" s="130"/>
      <c r="I18" s="130"/>
      <c r="J18" s="130"/>
      <c r="K18" s="130"/>
      <c r="L18" s="130"/>
      <c r="M18" s="130"/>
      <c r="N18" s="128"/>
      <c r="O18" s="128"/>
      <c r="P18" s="128"/>
      <c r="Q18" s="128"/>
      <c r="R18" s="128"/>
      <c r="S18" s="128"/>
      <c r="T18" s="128"/>
      <c r="V18" s="128"/>
      <c r="W18" s="128"/>
      <c r="X18" s="128"/>
    </row>
    <row r="19" spans="1:24" ht="36" customHeight="1" x14ac:dyDescent="0.25">
      <c r="A19" s="17" t="str">
        <f>HYPERLINK("#'5.5.1.1-2 Leaching and runoff'!A1", "5.5.1.1-2 Leaching and runoff")</f>
        <v>5.5.1.1-2 Leaching and runoff</v>
      </c>
      <c r="D19" s="115" t="s">
        <v>153</v>
      </c>
      <c r="E19" s="115" t="s">
        <v>158</v>
      </c>
      <c r="F19" s="115" t="s">
        <v>150</v>
      </c>
      <c r="G19" s="115" t="s">
        <v>151</v>
      </c>
      <c r="H19" s="115" t="s">
        <v>154</v>
      </c>
      <c r="I19" s="115" t="s">
        <v>115</v>
      </c>
      <c r="J19" s="115" t="s">
        <v>116</v>
      </c>
      <c r="K19" s="115" t="s">
        <v>117</v>
      </c>
      <c r="L19" s="115" t="s">
        <v>118</v>
      </c>
      <c r="M19" s="115" t="s">
        <v>119</v>
      </c>
      <c r="N19" s="115" t="s">
        <v>120</v>
      </c>
      <c r="O19" s="115" t="s">
        <v>121</v>
      </c>
      <c r="P19" s="115" t="s">
        <v>164</v>
      </c>
      <c r="Q19" s="174" t="s">
        <v>312</v>
      </c>
      <c r="R19" s="174" t="s">
        <v>313</v>
      </c>
      <c r="S19" s="128"/>
      <c r="T19" s="128"/>
      <c r="V19" s="128"/>
      <c r="W19" s="128"/>
      <c r="X19" s="128"/>
    </row>
    <row r="20" spans="1:24" ht="36" customHeight="1" x14ac:dyDescent="0.25">
      <c r="D20" s="32" t="s">
        <v>155</v>
      </c>
      <c r="E20" s="115">
        <v>100</v>
      </c>
      <c r="F20" s="121">
        <f>X_Cell_Fertiliser_AreaUnderCropping</f>
        <v>100</v>
      </c>
      <c r="G20" s="122">
        <f>Table_Input_InorganicFertiliser_Custom[[#This Row],[Amount applied (kg / ha)]]*Table_Input_InorganicFertiliser_Custom[[#This Row],[Application area (ha)]]</f>
        <v>10000</v>
      </c>
      <c r="H20" s="132" t="s">
        <v>314</v>
      </c>
      <c r="I20" s="135">
        <v>0.5</v>
      </c>
      <c r="J20" s="132" t="s">
        <v>315</v>
      </c>
      <c r="K20" s="135">
        <v>0.2</v>
      </c>
      <c r="L20" s="132" t="s">
        <v>156</v>
      </c>
      <c r="M20" s="135">
        <v>0.2</v>
      </c>
      <c r="N20" s="133" t="s">
        <v>157</v>
      </c>
      <c r="O20" s="164">
        <v>0.1</v>
      </c>
      <c r="P2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38"/>
      <c r="R20" s="38"/>
      <c r="T20" s="50"/>
    </row>
    <row r="21" spans="1:24" ht="36" customHeight="1" x14ac:dyDescent="0.25">
      <c r="D21" s="32" t="s">
        <v>317</v>
      </c>
      <c r="E21" s="115">
        <v>100</v>
      </c>
      <c r="F21" s="121">
        <f>X_Cell_Fertiliser_AreaUnderCropping</f>
        <v>100</v>
      </c>
      <c r="G21" s="122">
        <f>Table_Input_InorganicFertiliser_Custom[[#This Row],[Amount applied (kg / ha)]]*Table_Input_InorganicFertiliser_Custom[[#This Row],[Application area (ha)]]</f>
        <v>10000</v>
      </c>
      <c r="H21" s="132" t="s">
        <v>318</v>
      </c>
      <c r="I21" s="165">
        <v>1</v>
      </c>
      <c r="J21" s="132"/>
      <c r="K21" s="165"/>
      <c r="L21" s="132"/>
      <c r="M21" s="165"/>
      <c r="N21" s="133"/>
      <c r="O21" s="164"/>
      <c r="P2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38"/>
      <c r="R21" s="38"/>
      <c r="W21" s="50"/>
    </row>
    <row r="22" spans="1:24" ht="36" customHeight="1" x14ac:dyDescent="0.25">
      <c r="A22" s="176" t="s">
        <v>1</v>
      </c>
      <c r="D22" s="32" t="s">
        <v>324</v>
      </c>
      <c r="E22" s="115">
        <v>100</v>
      </c>
      <c r="F22" s="121">
        <f>X_Cell_Fertiliser_AreaUnderCropping</f>
        <v>100</v>
      </c>
      <c r="G22" s="122">
        <f>Table_Input_InorganicFertiliser_Custom[[#This Row],[Amount applied (kg / ha)]]*Table_Input_InorganicFertiliser_Custom[[#This Row],[Application area (ha)]]</f>
        <v>10000</v>
      </c>
      <c r="H22" s="132" t="s">
        <v>325</v>
      </c>
      <c r="I22" s="165">
        <v>0.5</v>
      </c>
      <c r="J22" s="132"/>
      <c r="K22" s="165"/>
      <c r="L22" s="132"/>
      <c r="M22" s="165"/>
      <c r="N22" s="133"/>
      <c r="O22" s="164"/>
      <c r="P2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38"/>
      <c r="R22" s="38"/>
    </row>
    <row r="23" spans="1:24" ht="36" customHeight="1" x14ac:dyDescent="0.25">
      <c r="A23" s="17" t="str">
        <f>HYPERLINK("#'Constants - Fertiliser'!A1", "Constants - Fertiliser")</f>
        <v>Constants - Fertiliser</v>
      </c>
      <c r="V23" s="50"/>
    </row>
    <row r="24" spans="1:24" ht="36" customHeight="1" x14ac:dyDescent="0.25">
      <c r="A24" s="17" t="str">
        <f>HYPERLINK("#'Constants - Common'!A1", "Constants - Common")</f>
        <v>Constants - Common</v>
      </c>
      <c r="D24" s="6" t="s">
        <v>316</v>
      </c>
      <c r="E24" s="3"/>
      <c r="F24" s="3"/>
      <c r="G24" s="3"/>
      <c r="H24" s="3"/>
      <c r="I24" s="3"/>
      <c r="J24" s="3"/>
      <c r="K24" s="21"/>
      <c r="L24" s="21"/>
      <c r="M24" s="21"/>
    </row>
    <row r="25" spans="1:24" ht="36" customHeight="1" x14ac:dyDescent="0.25">
      <c r="D25" s="21"/>
      <c r="E25" s="21"/>
      <c r="F25" s="21"/>
      <c r="G25" s="21"/>
      <c r="H25" s="21"/>
      <c r="I25" s="21"/>
      <c r="J25" s="21"/>
      <c r="K25" s="21"/>
      <c r="L25" s="21"/>
      <c r="M25" s="3"/>
    </row>
    <row r="26" spans="1:24" ht="36" customHeight="1" x14ac:dyDescent="0.25">
      <c r="D26" s="104" t="s">
        <v>186</v>
      </c>
      <c r="E26" s="83"/>
      <c r="F26" s="79"/>
      <c r="G26" s="104"/>
      <c r="H26" s="79"/>
      <c r="I26" s="3"/>
      <c r="J26" s="3"/>
      <c r="K26" s="21"/>
      <c r="L26" s="21"/>
      <c r="M26" s="21"/>
    </row>
    <row r="27" spans="1:24" ht="20.100000000000001" customHeight="1" x14ac:dyDescent="0.25">
      <c r="D27" s="157" t="s">
        <v>187</v>
      </c>
      <c r="E27" s="158"/>
      <c r="F27" s="159"/>
      <c r="G27" s="157"/>
      <c r="H27" s="159"/>
      <c r="I27" s="21"/>
      <c r="J27" s="21"/>
      <c r="K27" s="21"/>
      <c r="L27" s="21"/>
      <c r="M27" s="3"/>
    </row>
    <row r="28" spans="1:24" ht="20.100000000000001" customHeight="1" x14ac:dyDescent="0.25">
      <c r="D28" s="85" t="s">
        <v>147</v>
      </c>
      <c r="E28" s="82"/>
      <c r="F28" s="82"/>
      <c r="G28" s="82"/>
      <c r="H28" s="80"/>
      <c r="I28" s="21"/>
      <c r="J28" s="21"/>
      <c r="K28" s="21"/>
      <c r="L28" s="21"/>
      <c r="M28" s="3"/>
    </row>
    <row r="29" spans="1:24" ht="20.100000000000001" customHeight="1" x14ac:dyDescent="0.25">
      <c r="D29" s="97" t="str">
        <f>IF(MAX(Table_Input_Lime[Total]) &gt; 1, "There can not be more than 100% ingredients in a product. Check the table below.", "")</f>
        <v/>
      </c>
    </row>
    <row r="30" spans="1:24" ht="20.100000000000001" customHeight="1" x14ac:dyDescent="0.25">
      <c r="D30" s="138" t="s">
        <v>113</v>
      </c>
      <c r="E30" s="138" t="s">
        <v>188</v>
      </c>
      <c r="F30" s="138" t="s">
        <v>150</v>
      </c>
      <c r="G30" s="138" t="s">
        <v>189</v>
      </c>
      <c r="H30" s="138" t="s">
        <v>190</v>
      </c>
      <c r="I30" s="138" t="s">
        <v>191</v>
      </c>
      <c r="J30" s="138" t="s">
        <v>192</v>
      </c>
      <c r="K30" s="138" t="s">
        <v>87</v>
      </c>
    </row>
    <row r="31" spans="1:24" ht="20.100000000000001" customHeight="1" x14ac:dyDescent="0.25">
      <c r="D31" s="139" t="s">
        <v>263</v>
      </c>
      <c r="E31" s="121">
        <v>1</v>
      </c>
      <c r="F31" s="121">
        <f>X_Cell_Fertiliser_AreaUnderCropping</f>
        <v>100</v>
      </c>
      <c r="G31" s="122">
        <f>IFERROR(Table_Input_Lime[[#This Row],[Amount applied (t/hectare)]]*Table_Input_Lime[[#This Row],[Application area (ha)]], 0)</f>
        <v>100</v>
      </c>
      <c r="H31" s="140">
        <v>0.8</v>
      </c>
      <c r="I31" s="140">
        <v>0.1</v>
      </c>
      <c r="J31" s="140">
        <v>0.1</v>
      </c>
      <c r="K31" s="160">
        <f>SUM(Table_Input_Lime[[#This Row],[Percent Lime CaCO3]:[Percent Gypsum]])</f>
        <v>1</v>
      </c>
    </row>
    <row r="32" spans="1:24" ht="30" customHeight="1" x14ac:dyDescent="0.25">
      <c r="D32" s="139" t="s">
        <v>264</v>
      </c>
      <c r="E32" s="121">
        <v>1</v>
      </c>
      <c r="F32" s="121">
        <f>X_Cell_Fertiliser_AreaUnderCropping</f>
        <v>100</v>
      </c>
      <c r="G32" s="122">
        <f>IFERROR(Table_Input_Lime[[#This Row],[Amount applied (t/hectare)]]*Table_Input_Lime[[#This Row],[Application area (ha)]], 0)</f>
        <v>100</v>
      </c>
      <c r="H32" s="140">
        <v>1</v>
      </c>
      <c r="I32" s="140"/>
      <c r="J32" s="140"/>
      <c r="K32" s="160">
        <f>SUM(Table_Input_Lime[[#This Row],[Percent Lime CaCO3]:[Percent Gypsum]])</f>
        <v>1</v>
      </c>
      <c r="L32" s="3"/>
    </row>
    <row r="33" spans="1:25" ht="36" customHeight="1" x14ac:dyDescent="0.25">
      <c r="D33" s="139" t="s">
        <v>326</v>
      </c>
      <c r="E33" s="121">
        <v>1</v>
      </c>
      <c r="F33" s="121">
        <f>X_Cell_Fertiliser_AreaUnderCropping</f>
        <v>100</v>
      </c>
      <c r="G33" s="122">
        <f>IFERROR(Table_Input_Lime[[#This Row],[Amount applied (t/hectare)]]*Table_Input_Lime[[#This Row],[Application area (ha)]], 0)</f>
        <v>100</v>
      </c>
      <c r="H33" s="140">
        <v>0</v>
      </c>
      <c r="I33" s="140"/>
      <c r="J33" s="140">
        <v>1</v>
      </c>
      <c r="K33" s="160">
        <f>SUM(Table_Input_Lime[[#This Row],[Percent Lime CaCO3]:[Percent Gypsum]])</f>
        <v>1</v>
      </c>
      <c r="L33" s="3"/>
      <c r="M33" s="3"/>
    </row>
    <row r="34" spans="1:25" ht="36" customHeight="1" x14ac:dyDescent="0.25">
      <c r="D34" s="21"/>
      <c r="E34" s="21"/>
      <c r="F34" s="21"/>
      <c r="G34" s="21"/>
      <c r="H34" s="21"/>
      <c r="I34" s="21"/>
      <c r="J34" s="21"/>
      <c r="L34" s="21"/>
      <c r="M34" s="3"/>
    </row>
    <row r="35" spans="1:25" ht="36" customHeight="1" x14ac:dyDescent="0.25">
      <c r="D35" s="21"/>
      <c r="E35" s="21"/>
      <c r="F35" s="21"/>
      <c r="G35" s="21"/>
      <c r="H35" s="21"/>
      <c r="I35" s="21"/>
      <c r="J35" s="137"/>
      <c r="K35" s="3"/>
      <c r="L35" s="21"/>
      <c r="M35" s="21"/>
    </row>
    <row r="36" spans="1:25" ht="36" customHeight="1" x14ac:dyDescent="0.25">
      <c r="D36" s="6" t="s">
        <v>193</v>
      </c>
      <c r="E36" s="3"/>
      <c r="F36" s="3"/>
      <c r="G36" s="3"/>
      <c r="H36" s="21"/>
      <c r="I36" s="21"/>
      <c r="J36" s="21"/>
      <c r="K36" s="21"/>
      <c r="L36" s="21"/>
      <c r="M36" s="21"/>
      <c r="S36" s="128"/>
    </row>
    <row r="37" spans="1:25" ht="20.100000000000001" customHeight="1" x14ac:dyDescent="0.25">
      <c r="D37" s="21"/>
      <c r="E37" s="21"/>
      <c r="F37" s="21"/>
      <c r="G37" s="21"/>
      <c r="H37" s="21"/>
      <c r="I37" s="21"/>
      <c r="J37" s="21"/>
      <c r="K37" s="21"/>
      <c r="L37" s="21"/>
      <c r="M37" s="21"/>
      <c r="Q37" s="128"/>
      <c r="R37" s="128"/>
      <c r="S37" s="128"/>
    </row>
    <row r="38" spans="1:25" ht="20.100000000000001" customHeight="1" x14ac:dyDescent="0.25">
      <c r="C38" s="128"/>
      <c r="D38" s="104" t="s">
        <v>186</v>
      </c>
      <c r="E38" s="83"/>
      <c r="F38" s="83"/>
      <c r="G38" s="83"/>
      <c r="H38" s="79"/>
      <c r="I38" s="21"/>
      <c r="J38" s="21"/>
      <c r="K38" s="21"/>
      <c r="L38" s="21"/>
      <c r="M38" s="21"/>
      <c r="O38" s="128"/>
      <c r="P38" s="128"/>
      <c r="Q38" s="128"/>
      <c r="R38" s="128"/>
    </row>
    <row r="39" spans="1:25" ht="20.100000000000001" customHeight="1" x14ac:dyDescent="0.25">
      <c r="C39" s="128"/>
      <c r="D39" s="85" t="s">
        <v>147</v>
      </c>
      <c r="E39" s="82"/>
      <c r="F39" s="82"/>
      <c r="G39" s="82"/>
      <c r="H39" s="80"/>
      <c r="I39" s="21"/>
      <c r="J39" s="21"/>
      <c r="K39" s="21"/>
      <c r="L39" s="130"/>
      <c r="M39" s="128"/>
      <c r="N39" s="128"/>
      <c r="O39" s="128"/>
      <c r="P39" s="128"/>
    </row>
    <row r="40" spans="1:25" s="131" customFormat="1" ht="20.100000000000001" customHeight="1" x14ac:dyDescent="0.25">
      <c r="A40"/>
      <c r="C40" s="1"/>
      <c r="D40" s="21"/>
      <c r="E40" s="21"/>
      <c r="F40" s="21"/>
      <c r="G40" s="21"/>
      <c r="H40" s="21"/>
      <c r="I40" s="21"/>
      <c r="J40" s="21"/>
      <c r="K40" s="21"/>
      <c r="L40" s="130"/>
      <c r="M40" s="128"/>
      <c r="N40" s="128"/>
      <c r="O40" s="1"/>
      <c r="P40" s="1"/>
      <c r="Q40" s="1"/>
      <c r="R40" s="1"/>
      <c r="S40" s="1"/>
      <c r="T40" s="1"/>
      <c r="U40" s="1"/>
      <c r="V40" s="1"/>
      <c r="W40" s="1"/>
      <c r="X40" s="1"/>
      <c r="Y40" s="1"/>
    </row>
    <row r="41" spans="1:25" s="131" customFormat="1" ht="20.100000000000001" customHeight="1" x14ac:dyDescent="0.25">
      <c r="A41"/>
      <c r="C41" s="1"/>
      <c r="D41" s="138" t="s">
        <v>194</v>
      </c>
      <c r="E41" s="138" t="s">
        <v>195</v>
      </c>
      <c r="F41" s="138" t="s">
        <v>196</v>
      </c>
      <c r="G41" s="138" t="s">
        <v>197</v>
      </c>
      <c r="H41" s="138" t="s">
        <v>150</v>
      </c>
      <c r="I41" s="138" t="s">
        <v>198</v>
      </c>
      <c r="J41" s="138" t="s">
        <v>199</v>
      </c>
      <c r="K41" s="130"/>
      <c r="L41" s="1"/>
      <c r="M41" s="1"/>
      <c r="N41" s="1"/>
      <c r="O41" s="1"/>
      <c r="P41" s="1"/>
      <c r="Q41" s="1"/>
      <c r="R41" s="1"/>
      <c r="S41" s="1"/>
      <c r="T41" s="1"/>
      <c r="U41" s="1"/>
      <c r="V41" s="1"/>
      <c r="W41" s="1"/>
      <c r="X41" s="1"/>
      <c r="Y41" s="1"/>
    </row>
    <row r="42" spans="1:25" ht="30" customHeight="1" x14ac:dyDescent="0.25">
      <c r="D42" s="120" t="s">
        <v>240</v>
      </c>
      <c r="E42" s="140">
        <v>0.3</v>
      </c>
      <c r="F42" s="121">
        <v>10</v>
      </c>
      <c r="G42" s="122">
        <f>Table_Input_OrganicFertiliser[[#This Row],[Amount applied (kg/hectare)]]*Table_Input_OrganicFertiliser[[#This Row],[Percentage of N in fertiliser]]</f>
        <v>3</v>
      </c>
      <c r="H42" s="121">
        <f>X_Cell_Fertiliser_AreaUnderCropping</f>
        <v>100</v>
      </c>
      <c r="I42" s="122">
        <f>Table_Input_OrganicFertiliser[[#This Row],[Amount applied (kg/hectare)]]*Table_Input_OrganicFertiliser[[#This Row],[Application area (ha)]]</f>
        <v>1000</v>
      </c>
      <c r="J42" s="122">
        <f>IFERROR(Table_Input_OrganicFertiliser[[#This Row],[Amount N applied (kg/hectare)]]*Table_Input_OrganicFertiliser[[#This Row],[Application area (ha)]], 0)</f>
        <v>300</v>
      </c>
      <c r="K42" s="130"/>
    </row>
    <row r="43" spans="1:25" ht="36" customHeight="1" x14ac:dyDescent="0.25">
      <c r="D43" s="120" t="s">
        <v>238</v>
      </c>
      <c r="E43" s="140">
        <v>0.25</v>
      </c>
      <c r="F43" s="121">
        <v>10</v>
      </c>
      <c r="G43" s="122">
        <f>Table_Input_OrganicFertiliser[[#This Row],[Amount applied (kg/hectare)]]*Table_Input_OrganicFertiliser[[#This Row],[Percentage of N in fertiliser]]</f>
        <v>2.5</v>
      </c>
      <c r="H43" s="121">
        <f>X_Cell_Fertiliser_AreaUnderCropping</f>
        <v>100</v>
      </c>
      <c r="I43" s="122">
        <f>Table_Input_OrganicFertiliser[[#This Row],[Amount applied (kg/hectare)]]*Table_Input_OrganicFertiliser[[#This Row],[Application area (ha)]]</f>
        <v>1000</v>
      </c>
      <c r="J43" s="122">
        <f>IFERROR(Table_Input_OrganicFertiliser[[#This Row],[Amount N applied (kg/hectare)]]*Table_Input_OrganicFertiliser[[#This Row],[Application area (ha)]], 0)</f>
        <v>250</v>
      </c>
    </row>
    <row r="44" spans="1:25" ht="36" customHeight="1" x14ac:dyDescent="0.25">
      <c r="D44" s="120" t="s">
        <v>241</v>
      </c>
      <c r="E44" s="140">
        <v>0.16</v>
      </c>
      <c r="F44" s="121">
        <v>10</v>
      </c>
      <c r="G44" s="122">
        <f>Table_Input_OrganicFertiliser[[#This Row],[Amount applied (kg/hectare)]]*Table_Input_OrganicFertiliser[[#This Row],[Percentage of N in fertiliser]]</f>
        <v>1.6</v>
      </c>
      <c r="H44" s="121">
        <f>X_Cell_Fertiliser_AreaUnderCropping</f>
        <v>100</v>
      </c>
      <c r="I44" s="122">
        <f>Table_Input_OrganicFertiliser[[#This Row],[Amount applied (kg/hectare)]]*Table_Input_OrganicFertiliser[[#This Row],[Application area (ha)]]</f>
        <v>1000</v>
      </c>
      <c r="J44" s="122">
        <f>IFERROR(Table_Input_OrganicFertiliser[[#This Row],[Amount N applied (kg/hectare)]]*Table_Input_OrganicFertiliser[[#This Row],[Application area (ha)]], 0)</f>
        <v>160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7"/>
    </row>
  </sheetData>
  <conditionalFormatting sqref="F46 I63:I66 L186 K188 L190:L191 K192:K193 L194:L195 K196:K197 L200:L201 K202:K203 L204:L205 K206:K207 L211:L216 K213">
    <cfRule type="cellIs" dxfId="26" priority="62" operator="lessThan">
      <formula>0</formula>
    </cfRule>
  </conditionalFormatting>
  <conditionalFormatting sqref="F155:F156">
    <cfRule type="cellIs" dxfId="25" priority="19" operator="lessThan">
      <formula>0</formula>
    </cfRule>
  </conditionalFormatting>
  <conditionalFormatting sqref="F167:F168">
    <cfRule type="cellIs" dxfId="24" priority="18" operator="lessThan">
      <formula>0</formula>
    </cfRule>
  </conditionalFormatting>
  <conditionalFormatting sqref="F255:F256">
    <cfRule type="cellIs" dxfId="23" priority="93" operator="lessThan">
      <formula>0</formula>
    </cfRule>
  </conditionalFormatting>
  <conditionalFormatting sqref="F260:F261">
    <cfRule type="cellIs" dxfId="22" priority="92" operator="lessThan">
      <formula>0</formula>
    </cfRule>
  </conditionalFormatting>
  <conditionalFormatting sqref="F265:F266">
    <cfRule type="cellIs" dxfId="21" priority="91" operator="lessThan">
      <formula>0</formula>
    </cfRule>
  </conditionalFormatting>
  <conditionalFormatting sqref="F289:F290">
    <cfRule type="cellIs" dxfId="20" priority="85" operator="lessThan">
      <formula>0</formula>
    </cfRule>
  </conditionalFormatting>
  <conditionalFormatting sqref="F294:F295">
    <cfRule type="cellIs" dxfId="19" priority="84" operator="lessThan">
      <formula>0</formula>
    </cfRule>
  </conditionalFormatting>
  <conditionalFormatting sqref="F299:F300">
    <cfRule type="cellIs" dxfId="18" priority="83" operator="lessThan">
      <formula>0</formula>
    </cfRule>
  </conditionalFormatting>
  <conditionalFormatting sqref="H41 F131:F132">
    <cfRule type="cellIs" dxfId="17" priority="21"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16" priority="79" operator="lessThan">
      <formula>0</formula>
    </cfRule>
  </conditionalFormatting>
  <conditionalFormatting sqref="I30:I35 F143:F144">
    <cfRule type="cellIs" dxfId="15" priority="20"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9">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H20:H22 J20:J22 L20:L22 N20:N22" xr:uid="{4A7ED0FB-DC6D-4B9E-B043-37B0C0BD600A}">
      <formula1>INDIRECT("Table_Fertiliser_ChemicalCompounds[Fertiliser type f]")</formula1>
    </dataValidation>
    <dataValidation type="list" allowBlank="1" showInputMessage="1" showErrorMessage="1" sqref="D42:D44" xr:uid="{23F8C720-A764-46DD-9B01-B7EA3D86E5AB}">
      <formula1>INDIRECT("Table_SourceData_OrganicFertiliserTypes[Organic fertiliser type]")</formula1>
    </dataValidation>
    <dataValidation type="list" allowBlank="1" showInputMessage="1" showErrorMessage="1" sqref="D13:D16 D12:D16" xr:uid="{B23B57EC-703F-4AE4-9B1D-0AF66025057C}">
      <formula1>INDIRECT("FertiliserProducts[Product Name]")</formula1>
    </dataValidation>
    <dataValidation type="list" allowBlank="1" showInputMessage="1" showErrorMessage="1" sqref="Q20:R22"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201</v>
      </c>
      <c r="K1"/>
    </row>
    <row r="2" spans="1:24" s="9" customFormat="1" ht="20.100000000000001" customHeight="1" x14ac:dyDescent="0.25">
      <c r="A2"/>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3" t="str" cm="1">
        <f t="array" aca="1" ref="R12" ca="1">HYPERLINK(Common_InputFunctions.Utility_SourceHyperlink($M$41), $M$41)</f>
        <v>M2_Table_FertApplications</v>
      </c>
      <c r="S12" s="119"/>
    </row>
    <row r="13" spans="1:24" ht="20.100000000000001"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2" t="str" cm="1">
        <f t="array" aca="1" ref="I13" ca="1">HYPERLINK(Common_InputFunctions.Utility_SourceHyperlink($D$16), $D$16)</f>
        <v>Table_MN_j_f</v>
      </c>
      <c r="M13" s="53" t="str">
        <v>f</v>
      </c>
      <c r="N13" s="54" t="str">
        <v>Inorganic fertiliser type</v>
      </c>
      <c r="O13" s="91"/>
      <c r="P13" s="53" t="str">
        <v/>
      </c>
      <c r="Q13" s="117" t="str">
        <v>Constant</v>
      </c>
      <c r="R13" s="54" t="s">
        <v>172</v>
      </c>
      <c r="S13" s="119"/>
    </row>
    <row r="14" spans="1:24" ht="20.100000000000001" customHeight="1" x14ac:dyDescent="0.25">
      <c r="A14" s="172"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2"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144</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160</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111</v>
      </c>
      <c r="E18" s="110" t="s">
        <v>143</v>
      </c>
      <c r="F18" s="48" t="s">
        <v>142</v>
      </c>
      <c r="G18" s="48" t="s">
        <v>159</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4600</v>
      </c>
      <c r="M21" s="50" t="s">
        <v>15</v>
      </c>
      <c r="N21" s="51" t="str" cm="1">
        <f t="array" ref="N21">Fertiliser_Equations_InorganicN2O.VEERG_5_1_1_2__2_EmissionFactorNonIrrigatedGrainsHighRainfall_Unit()</f>
        <v>kg N2O-N/kg N applied</v>
      </c>
    </row>
    <row r="22" spans="1:19"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3"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I24" s="2"/>
      <c r="M24" s="53" t="str">
        <v>f</v>
      </c>
      <c r="N24" s="54" t="str">
        <v>Inorganic fertiliser type</v>
      </c>
      <c r="O24" s="91"/>
      <c r="P24" s="53" t="str">
        <v/>
      </c>
      <c r="Q24" s="117" t="str">
        <v>Constant</v>
      </c>
      <c r="R24" s="54" t="s">
        <v>172</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I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0</v>
      </c>
      <c r="I26" s="2"/>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I29" s="2"/>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I30" s="2"/>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c r="I31" s="2"/>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I32" s="2"/>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I33" s="2"/>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I34" s="2"/>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I35" s="2"/>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3"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c r="I36" s="2"/>
      <c r="M36" s="53" t="str">
        <v>f</v>
      </c>
      <c r="N36" s="54" t="str">
        <v>Inorganic fertiliser type</v>
      </c>
      <c r="O36" s="91"/>
      <c r="P36" s="54" t="str">
        <v/>
      </c>
      <c r="Q36" s="117" t="str">
        <v>Constant</v>
      </c>
      <c r="R36" s="54" t="s">
        <v>172</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c r="H37" s="50"/>
      <c r="I37" s="2"/>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181</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3:23" ht="20.100000000000001" customHeight="1" x14ac:dyDescent="0.25">
      <c r="D41" s="5" t="str" cm="1">
        <f t="array" ref="D41">Fertiliser_Equations_InorganicN2O.VEERG_5_1_1_1__1_InorganicFertiliserApplicationN2OEmissions_Source()</f>
        <v>VEERG 2026: 5.1.1.1, Equation (1)</v>
      </c>
      <c r="M41" s="90" t="s">
        <v>173</v>
      </c>
      <c r="T41" s="98" t="s">
        <v>200</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171</v>
      </c>
    </row>
    <row r="43" spans="3:23" ht="20.100000000000001" customHeight="1" x14ac:dyDescent="0.25">
      <c r="F43" s="2"/>
      <c r="O43" s="116" t="s">
        <v>178</v>
      </c>
      <c r="P43" s="116" t="s">
        <v>177</v>
      </c>
      <c r="Q43" s="116" t="s">
        <v>141</v>
      </c>
      <c r="R43" s="116" t="str">
        <f>$N$10</f>
        <v>kg N2O-N/kg N applied</v>
      </c>
      <c r="S43" s="116" t="str">
        <f>$N$21</f>
        <v>kg N2O-N/kg N applied</v>
      </c>
      <c r="T43" s="116" t="s">
        <v>178</v>
      </c>
      <c r="U43" s="116" t="s">
        <v>141</v>
      </c>
      <c r="V43" s="116" t="str">
        <f>$N$33</f>
        <v>kg N2O-N/kg N applied</v>
      </c>
      <c r="W43" s="116" t="s">
        <v>179</v>
      </c>
    </row>
    <row r="44" spans="3:23" ht="20.100000000000001" customHeight="1" x14ac:dyDescent="0.25">
      <c r="F44" s="2"/>
      <c r="M44" s="48" t="s">
        <v>170</v>
      </c>
      <c r="N44" s="110" t="s">
        <v>170</v>
      </c>
      <c r="O44" s="110" t="s">
        <v>165</v>
      </c>
      <c r="P44" s="110" t="s">
        <v>166</v>
      </c>
      <c r="Q44" s="48" t="s">
        <v>167</v>
      </c>
      <c r="R44" s="48" t="str">
        <f>N9</f>
        <v>EF_fjIrrigatedMaizeN2O</v>
      </c>
      <c r="S44" s="48" t="str">
        <f>N20</f>
        <v>EF_fjNonIrrigatedGrainsN2O</v>
      </c>
      <c r="T44" s="48" t="s">
        <v>180</v>
      </c>
      <c r="U44" s="48" t="s">
        <v>176</v>
      </c>
      <c r="V44" s="48" t="str">
        <f>N32</f>
        <v>EF_fjCottonN2O</v>
      </c>
      <c r="W44" s="48" t="s">
        <v>232</v>
      </c>
    </row>
    <row r="45" spans="3:23" ht="20.100000000000001" customHeight="1" x14ac:dyDescent="0.25">
      <c r="F45" s="2"/>
      <c r="M45" s="49" t="s">
        <v>175</v>
      </c>
      <c r="N45" s="49" t="str" cm="1">
        <f t="array" ref="N45:N49">Table_Input_InorganicFertiliser_Brands[Product (select)]</f>
        <v>Aqua Finish</v>
      </c>
      <c r="O45" s="49" cm="1">
        <f t="array" ref="O45:O49">Table_Input_InorganicFertiliser_Brands[N application rate (kg/ha)]</f>
        <v>3.2759999999999998</v>
      </c>
      <c r="P45" s="49" cm="1">
        <f t="array" ref="P45:P49">Table_Input_InorganicFertiliser_Brands[Application area (ha)]</f>
        <v>100</v>
      </c>
      <c r="Q45" s="49">
        <f>O45*P45</f>
        <v>327.59999999999997</v>
      </c>
      <c r="R45" s="49" cm="1">
        <f t="array" ref="R45">IF(O45&gt;0, Fertiliser_Equations_InorganicN2O.VEERG_5_1_1_2__1_EmissionFactorIrrigatedMaize(O45), 0)</f>
        <v>-1.2741640000000002E-3</v>
      </c>
      <c r="S45" s="49" cm="1">
        <f t="array" ref="S45">IF(O45&gt;0, Fertiliser_Equations_InorganicN2O.VEERG_5_1_1_2__2_EmissionFactorNonIrrigatedGrainsHighRainfall(O45), 0)</f>
        <v>1.0267E-3</v>
      </c>
      <c r="T45" s="49">
        <f>IF(O45&gt;0, MIN(300, O45), 0)</f>
        <v>3.2759999999999998</v>
      </c>
      <c r="U45" s="49">
        <f>P45*T45</f>
        <v>327.59999999999997</v>
      </c>
      <c r="V45" s="49" cm="1">
        <f t="array" ref="V45">IF(O45&gt;0, Fertiliser_Equations_InorganicN2O.VEERG_5_1_1_2__3_EmissionFactorCotton(T45), 0)</f>
        <v>2.902753508679765E-5</v>
      </c>
      <c r="W45" s="49">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3:23" ht="20.100000000000001" customHeight="1" x14ac:dyDescent="0.25">
      <c r="D46" s="50" t="s">
        <v>24</v>
      </c>
      <c r="E46" s="1" t="str" cm="1">
        <f t="array" ref="E46">Fertiliser_Equations_InorganicN2O.VEERG_5_1_1_1__1_InorganicFertiliserApplicationN2OEmissions_Variable()</f>
        <v>E_N2O</v>
      </c>
      <c r="F46" s="2"/>
      <c r="M46" s="49" t="s">
        <v>175</v>
      </c>
      <c r="N46" s="49" t="str">
        <v>CalPhos</v>
      </c>
      <c r="O46" s="49">
        <v>0</v>
      </c>
      <c r="P46" s="49">
        <v>100</v>
      </c>
      <c r="Q46" s="49">
        <f>O46*P46</f>
        <v>0</v>
      </c>
      <c r="R46" s="49" cm="1">
        <f t="array" ref="R46">IF(O46&gt;0, Fertiliser_Equations_InorganicN2O.VEERG_5_1_1_2__1_EmissionFactorIrrigatedMaize(O46), 0)</f>
        <v>0</v>
      </c>
      <c r="S46" s="49" cm="1">
        <f t="array" ref="S46">IF(O46&gt;0, Fertiliser_Equations_InorganicN2O.VEERG_5_1_1_2__2_EmissionFactorNonIrrigatedGrainsHighRainfall(O46), 0)</f>
        <v>0</v>
      </c>
      <c r="T46" s="49">
        <f t="shared" ref="T46:T54" si="0">IF(O46&gt;0, MIN(300, O46), 0)</f>
        <v>0</v>
      </c>
      <c r="U46" s="49">
        <f t="shared" ref="U46:U54" si="1">P46*T46</f>
        <v>0</v>
      </c>
      <c r="V46" s="49" cm="1">
        <f t="array" ref="V46">IF(O46&gt;0, Fertiliser_Equations_InorganicN2O.VEERG_5_1_1_2__3_EmissionFactorCotton(T46), 0)</f>
        <v>0</v>
      </c>
      <c r="W46" s="49">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3:23" ht="20.100000000000001" customHeight="1" x14ac:dyDescent="0.25">
      <c r="D47" s="50" t="s">
        <v>15</v>
      </c>
      <c r="E47" s="51" t="str" cm="1">
        <f t="array" ref="E47">Fertiliser_Equations_InorganicN2O.VEERG_5_1_1_1__1_InorganicFertiliserApplicationN2OEmissions_Unit()</f>
        <v>t N2O</v>
      </c>
      <c r="F47" s="2"/>
      <c r="M47" s="49" t="s">
        <v>175</v>
      </c>
      <c r="N47" s="49" t="str">
        <v>CalPhos</v>
      </c>
      <c r="O47" s="49">
        <v>0</v>
      </c>
      <c r="P47" s="49">
        <v>100</v>
      </c>
      <c r="Q47" s="49">
        <f t="shared" ref="Q47:Q54" si="2">O47*P47</f>
        <v>0</v>
      </c>
      <c r="R47" s="49" cm="1">
        <f t="array" ref="R47">IF(O47&gt;0, Fertiliser_Equations_InorganicN2O.VEERG_5_1_1_2__1_EmissionFactorIrrigatedMaize(O47), 0)</f>
        <v>0</v>
      </c>
      <c r="S47" s="49" cm="1">
        <f t="array" ref="S47">IF(O47&gt;0, Fertiliser_Equations_InorganicN2O.VEERG_5_1_1_2__2_EmissionFactorNonIrrigatedGrainsHighRainfall(O47), 0)</f>
        <v>0</v>
      </c>
      <c r="T47" s="49">
        <f t="shared" si="0"/>
        <v>0</v>
      </c>
      <c r="U47" s="49">
        <f t="shared" si="1"/>
        <v>0</v>
      </c>
      <c r="V47" s="49" cm="1">
        <f t="array" ref="V47">IF(O47&gt;0, Fertiliser_Equations_InorganicN2O.VEERG_5_1_1_2__3_EmissionFactorCotton(T47), 0)</f>
        <v>0</v>
      </c>
      <c r="W47" s="49">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3:23" ht="20.100000000000001" customHeight="1" x14ac:dyDescent="0.25">
      <c r="F48" s="2"/>
      <c r="M48" s="49" t="s">
        <v>175</v>
      </c>
      <c r="N48" s="49" t="str">
        <v>Aqua Grow</v>
      </c>
      <c r="O48" s="49">
        <v>12.096</v>
      </c>
      <c r="P48" s="49">
        <v>100</v>
      </c>
      <c r="Q48" s="49">
        <f t="shared" si="2"/>
        <v>1209.5999999999999</v>
      </c>
      <c r="R48" s="49" cm="1">
        <f t="array" ref="R48">IF(O48&gt;0, Fertiliser_Equations_InorganicN2O.VEERG_5_1_1_2__1_EmissionFactorIrrigatedMaize(O48), 0)</f>
        <v>-7.3614399999999999E-4</v>
      </c>
      <c r="S48" s="49" cm="1">
        <f t="array" ref="S48">IF(O48&gt;0, Fertiliser_Equations_InorganicN2O.VEERG_5_1_1_2__2_EmissionFactorNonIrrigatedGrainsHighRainfall(O48), 0)</f>
        <v>1.6881999999999999E-3</v>
      </c>
      <c r="T48" s="49">
        <f t="shared" si="0"/>
        <v>12.096</v>
      </c>
      <c r="U48" s="49">
        <f t="shared" si="1"/>
        <v>1209.5999999999999</v>
      </c>
      <c r="V48" s="49" cm="1">
        <f t="array" ref="V48">IF(O48&gt;0, Fertiliser_Equations_InorganicN2O.VEERG_5_1_1_2__3_EmissionFactorCotton(T48), 0)</f>
        <v>2.903266653082426E-5</v>
      </c>
      <c r="W48" s="49">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2" t="str" cm="1">
        <f t="array" aca="1" ref="I49" ca="1">HYPERLINK(Common_InputFunctions.Utility_SourceHyperlink(D16), D16)</f>
        <v>Table_MN_j_f</v>
      </c>
      <c r="M49" s="49" t="s">
        <v>175</v>
      </c>
      <c r="N49" s="49" t="str">
        <v>Aqua NitroCal</v>
      </c>
      <c r="O49" s="49">
        <v>19.8</v>
      </c>
      <c r="P49" s="49">
        <v>100</v>
      </c>
      <c r="Q49" s="49">
        <f t="shared" si="2"/>
        <v>1980</v>
      </c>
      <c r="R49" s="49" cm="1">
        <f t="array" ref="R49">IF(O49&gt;0, Fertiliser_Equations_InorganicN2O.VEERG_5_1_1_2__1_EmissionFactorIrrigatedMaize(O49), 0)</f>
        <v>-2.6619999999999991E-4</v>
      </c>
      <c r="S49" s="49" cm="1">
        <f t="array" ref="S49">IF(O49&gt;0, Fertiliser_Equations_InorganicN2O.VEERG_5_1_1_2__2_EmissionFactorNonIrrigatedGrainsHighRainfall(O49), 0)</f>
        <v>2.2660000000000002E-3</v>
      </c>
      <c r="T49" s="49">
        <f t="shared" si="0"/>
        <v>19.8</v>
      </c>
      <c r="U49" s="49">
        <f t="shared" si="1"/>
        <v>1980</v>
      </c>
      <c r="V49" s="49" cm="1">
        <f t="array" ref="V49">IF(O49&gt;0, Fertiliser_Equations_InorganicN2O.VEERG_5_1_1_2__3_EmissionFactorCotton(T49), 0)</f>
        <v>2.9038198888180622E-5</v>
      </c>
      <c r="W49" s="49">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9" t="s">
        <v>174</v>
      </c>
      <c r="N50" s="49" t="str" cm="1">
        <f t="array" ref="N50:N52">Table_Input_InorganicFertiliser_Custom[Custom blend name]</f>
        <v>My first custom blend</v>
      </c>
      <c r="O50" s="49" cm="1">
        <f t="array" ref="O50:O52">Table_Input_InorganicFertiliser_Custom[N application rate (kg/ha)]</f>
        <v>7.75</v>
      </c>
      <c r="P50" s="49" cm="1">
        <f t="array" ref="P50:P52">Table_Input_InorganicFertiliser_Custom[Application area (ha)]</f>
        <v>100</v>
      </c>
      <c r="Q50" s="49">
        <f t="shared" si="2"/>
        <v>775</v>
      </c>
      <c r="R50" s="49" cm="1">
        <f t="array" ref="R50">IF(O50&gt;0, Fertiliser_Equations_InorganicN2O.VEERG_5_1_1_2__1_EmissionFactorIrrigatedMaize(O50), 0)</f>
        <v>-1.00125E-3</v>
      </c>
      <c r="S50" s="49" cm="1">
        <f t="array" ref="S50">IF(O50&gt;0, Fertiliser_Equations_InorganicN2O.VEERG_5_1_1_2__2_EmissionFactorNonIrrigatedGrainsHighRainfall(O50), 0)</f>
        <v>1.36225E-3</v>
      </c>
      <c r="T50" s="49">
        <f t="shared" si="0"/>
        <v>7.75</v>
      </c>
      <c r="U50" s="49">
        <f t="shared" si="1"/>
        <v>775</v>
      </c>
      <c r="V50" s="49" cm="1">
        <f t="array" ref="V50">IF(O50&gt;0, Fertiliser_Equations_InorganicN2O.VEERG_5_1_1_2__3_EmissionFactorCotton(T50), 0)</f>
        <v>2.9029995329592254E-5</v>
      </c>
      <c r="W50" s="49">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174</v>
      </c>
      <c r="N51" s="49" t="str">
        <v>My second custom blend</v>
      </c>
      <c r="O51" s="49">
        <v>46</v>
      </c>
      <c r="P51" s="49">
        <v>100</v>
      </c>
      <c r="Q51" s="49">
        <f t="shared" si="2"/>
        <v>4600</v>
      </c>
      <c r="R51" s="49" cm="1">
        <f t="array" ref="R51">IF(O51&gt;0, Fertiliser_Equations_InorganicN2O.VEERG_5_1_1_2__1_EmissionFactorIrrigatedMaize(O51), 0)</f>
        <v>1.3320000000000001E-3</v>
      </c>
      <c r="S51" s="49" cm="1">
        <f t="array" ref="S51">IF(O51&gt;0, Fertiliser_Equations_InorganicN2O.VEERG_5_1_1_2__2_EmissionFactorNonIrrigatedGrainsHighRainfall(O51), 0)</f>
        <v>4.2309999999999995E-3</v>
      </c>
      <c r="T51" s="49">
        <f t="shared" si="0"/>
        <v>46</v>
      </c>
      <c r="U51" s="49">
        <f t="shared" si="1"/>
        <v>4600</v>
      </c>
      <c r="V51" s="49" cm="1">
        <f t="array" ref="V51">IF(O51&gt;0, Fertiliser_Equations_InorganicN2O.VEERG_5_1_1_2__3_EmissionFactorCotton(T51), 0)</f>
        <v>2.9068248573243379E-5</v>
      </c>
      <c r="W51" s="49">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3" t="str">
        <v>j</v>
      </c>
      <c r="E52" s="54" t="str">
        <v>Production system</v>
      </c>
      <c r="F52" s="91"/>
      <c r="G52" s="53" t="str">
        <v/>
      </c>
      <c r="H52" s="118" t="str">
        <v>Input</v>
      </c>
      <c r="I52" s="53" t="str">
        <f>X_Cell_Fertiliser_ProductionSystem</f>
        <v>Crop</v>
      </c>
      <c r="M52" s="49" t="s">
        <v>174</v>
      </c>
      <c r="N52" s="49" t="str">
        <v>My third custom blend</v>
      </c>
      <c r="O52" s="49">
        <v>41.174999999999997</v>
      </c>
      <c r="P52" s="49">
        <v>100</v>
      </c>
      <c r="Q52" s="49">
        <f t="shared" si="2"/>
        <v>4117.5</v>
      </c>
      <c r="R52" s="49" cm="1">
        <f t="array" ref="R52">IF(O52&gt;0, Fertiliser_Equations_InorganicN2O.VEERG_5_1_1_2__1_EmissionFactorIrrigatedMaize(O52), 0)</f>
        <v>1.0376749999999998E-3</v>
      </c>
      <c r="S52" s="49" cm="1">
        <f t="array" ref="S52">IF(O52&gt;0, Fertiliser_Equations_InorganicN2O.VEERG_5_1_1_2__2_EmissionFactorNonIrrigatedGrainsHighRainfall(O52), 0)</f>
        <v>3.8691250000000002E-3</v>
      </c>
      <c r="T52" s="49">
        <f t="shared" si="0"/>
        <v>41.174999999999997</v>
      </c>
      <c r="U52" s="49">
        <f t="shared" si="1"/>
        <v>4117.5</v>
      </c>
      <c r="V52" s="49" cm="1">
        <f t="array" ref="V52">IF(O52&gt;0, Fertiliser_Equations_InorganicN2O.VEERG_5_1_1_2__3_EmissionFactorCotton(T52), 0)</f>
        <v>2.9061000580963132E-5</v>
      </c>
      <c r="W52" s="49">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3" t="str">
        <v>f</v>
      </c>
      <c r="E53" s="54" t="str">
        <v>Inorganic fertiliser type</v>
      </c>
      <c r="F53" s="91"/>
      <c r="G53" s="53" t="str">
        <v/>
      </c>
      <c r="H53" s="117" t="str">
        <v>Constant</v>
      </c>
      <c r="I53" s="53" t="str">
        <f>"See " &amp; D57</f>
        <v>See M1_Table_E_N2O</v>
      </c>
      <c r="M53" s="49" t="s">
        <v>174</v>
      </c>
      <c r="N53" s="49"/>
      <c r="O53" s="49"/>
      <c r="P53" s="49"/>
      <c r="Q53" s="49">
        <f t="shared" si="2"/>
        <v>0</v>
      </c>
      <c r="R53" s="49" cm="1">
        <f t="array" ref="R53">IF(O53&gt;0, Fertiliser_Equations_InorganicN2O.VEERG_5_1_1_2__1_EmissionFactorIrrigatedMaize(O53), 0)</f>
        <v>0</v>
      </c>
      <c r="S53" s="49" cm="1">
        <f t="array" ref="S53">IF(O53&gt;0, Fertiliser_Equations_InorganicN2O.VEERG_5_1_1_2__2_EmissionFactorNonIrrigatedGrainsHighRainfall(O53), 0)</f>
        <v>0</v>
      </c>
      <c r="T53" s="49">
        <f t="shared" si="0"/>
        <v>0</v>
      </c>
      <c r="U53" s="49">
        <f t="shared" si="1"/>
        <v>0</v>
      </c>
      <c r="V53" s="49" cm="1">
        <f t="array" ref="V53">IF(O53&gt;0, Fertiliser_Equations_InorganicN2O.VEERG_5_1_1_2__3_EmissionFactorCotton(T53), 0)</f>
        <v>0</v>
      </c>
      <c r="W53" s="49">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3" t="str">
        <v>ir</v>
      </c>
      <c r="E54" s="54" t="str">
        <v>irrigation method</v>
      </c>
      <c r="F54" s="91"/>
      <c r="G54" s="53" t="str">
        <v/>
      </c>
      <c r="H54" s="118" t="str">
        <v>Input</v>
      </c>
      <c r="I54" s="53" t="str">
        <f>X_Cell_Fertiliser_IrrigationMethod</f>
        <v>Sprinkler irrigation</v>
      </c>
      <c r="M54" s="49" t="s">
        <v>174</v>
      </c>
      <c r="N54" s="49"/>
      <c r="O54" s="49"/>
      <c r="P54" s="49"/>
      <c r="Q54" s="49">
        <f t="shared" si="2"/>
        <v>0</v>
      </c>
      <c r="R54" s="49" cm="1">
        <f t="array" ref="R54">IF(O54&gt;0, Fertiliser_Equations_InorganicN2O.VEERG_5_1_1_2__1_EmissionFactorIrrigatedMaize(O54), 0)</f>
        <v>0</v>
      </c>
      <c r="S54" s="49" cm="1">
        <f t="array" ref="S54">IF(O54&gt;0, Fertiliser_Equations_InorganicN2O.VEERG_5_1_1_2__2_EmissionFactorNonIrrigatedGrainsHighRainfall(O54), 0)</f>
        <v>0</v>
      </c>
      <c r="T54" s="49">
        <f t="shared" si="0"/>
        <v>0</v>
      </c>
      <c r="U54" s="49">
        <f t="shared" si="1"/>
        <v>0</v>
      </c>
      <c r="V54" s="49" cm="1">
        <f t="array" ref="V54">IF(O54&gt;0, Fertiliser_Equations_InorganicN2O.VEERG_5_1_1_2__3_EmissionFactorCotton(T54), 0)</f>
        <v>0</v>
      </c>
      <c r="W54" s="49">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3" t="str">
        <v>z</v>
      </c>
      <c r="E55" s="54" t="str">
        <v>rainfall zone</v>
      </c>
      <c r="F55" s="91"/>
      <c r="G55" s="53" t="str">
        <v/>
      </c>
      <c r="H55" s="118" t="str">
        <v>Input</v>
      </c>
      <c r="I55" s="53" t="str">
        <f>X_Cell_Site_RainfallZone</f>
        <v>Low rainfall</v>
      </c>
    </row>
    <row r="56" spans="4:24" ht="20.100000000000001" customHeight="1" x14ac:dyDescent="0.25">
      <c r="F56" s="2"/>
    </row>
    <row r="57" spans="4:24" ht="20.100000000000001" customHeight="1" x14ac:dyDescent="0.25">
      <c r="D57" s="90" t="s">
        <v>168</v>
      </c>
      <c r="F57" s="2"/>
      <c r="L57" s="43"/>
      <c r="M57" s="43"/>
      <c r="N57" s="43"/>
      <c r="O57" s="43"/>
      <c r="P57" s="43"/>
      <c r="Q57" s="43"/>
      <c r="R57" s="43"/>
      <c r="S57" s="43"/>
      <c r="T57" s="43"/>
      <c r="U57" s="43"/>
      <c r="V57" s="43"/>
      <c r="W57" s="43"/>
      <c r="X57" s="43"/>
    </row>
    <row r="58" spans="4:24" ht="20.100000000000001" customHeight="1" x14ac:dyDescent="0.25">
      <c r="D58" s="89" t="s">
        <v>169</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8" t="s">
        <v>111</v>
      </c>
      <c r="E59" s="48" t="s">
        <v>182</v>
      </c>
      <c r="M59" s="5" t="str" cm="1">
        <f t="array" ref="M59">Fertiliser_Equations_InorganicN2O.VEERG_5_1_1_1__1_InorganicFertiliserApplicationN2OEmissions_Source()</f>
        <v>VEERG 2026: 5.1.1.1, Equation (1)</v>
      </c>
    </row>
    <row r="60" spans="4:24"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49" t="str">
        <v>Diammonium phosphate (DAP)</v>
      </c>
      <c r="E61" s="49" cm="1">
        <f t="array" ref="E61">Fertiliser_Equations_InorganicN2O.VEERG_5_1_1_1__1_InorganicFertiliserApplicationN2OEmissions(G20,$I$50,$I$51)</f>
        <v>0</v>
      </c>
    </row>
    <row r="62" spans="4:24" ht="20.100000000000001" customHeight="1" x14ac:dyDescent="0.25">
      <c r="D62" s="49" t="str">
        <v>Urea</v>
      </c>
      <c r="E62" s="49" cm="1">
        <f t="array" ref="E62">Fertiliser_Equations_InorganicN2O.VEERG_5_1_1_1__1_InorganicFertiliserApplicationN2OEmissions(G21,$I$50,$I$51)</f>
        <v>5.0599999999999999E-2</v>
      </c>
    </row>
    <row r="63" spans="4:24" ht="20.100000000000001" customHeight="1" x14ac:dyDescent="0.25">
      <c r="D63" s="49" t="str">
        <v>Sulphate of ammonia (SOA)</v>
      </c>
      <c r="E63" s="49" cm="1">
        <f t="array" ref="E63">Fertiliser_Equations_InorganicN2O.VEERG_5_1_1_1__1_InorganicFertiliserApplicationN2OEmissions(G22,$I$50,$I$51)</f>
        <v>0</v>
      </c>
    </row>
    <row r="64" spans="4:24" ht="20.100000000000001" customHeight="1" x14ac:dyDescent="0.25">
      <c r="D64" s="49" t="str">
        <v>Urea-ammonium nitrate (UAN)</v>
      </c>
      <c r="E64" s="49" cm="1">
        <f t="array" ref="E64">Fertiliser_Equations_InorganicN2O.VEERG_5_1_1_1__1_InorganicFertiliserApplicationN2OEmissions(G23,$I$50,$I$51)</f>
        <v>0</v>
      </c>
      <c r="M64" s="50" t="s">
        <v>24</v>
      </c>
      <c r="N64" s="1" t="str" cm="1">
        <f t="array" ref="N64">Fertiliser_Equations_InorganicN2O.VEERG_5_1_1_1__1_InorganicFertiliserApplicationN2OEmissions_Variable()</f>
        <v>E_N2O</v>
      </c>
    </row>
    <row r="65" spans="4:19" ht="20.100000000000001" customHeight="1" x14ac:dyDescent="0.25">
      <c r="D65" s="49" t="str">
        <v>Ammonium nitrate (AN)</v>
      </c>
      <c r="E65" s="49" cm="1">
        <f t="array" ref="E65">Fertiliser_Equations_InorganicN2O.VEERG_5_1_1_1__1_InorganicFertiliserApplicationN2OEmissions(G24,$I$50,$I$51)</f>
        <v>0</v>
      </c>
      <c r="M65" s="50" t="s">
        <v>15</v>
      </c>
      <c r="N65" s="51" t="str" cm="1">
        <f t="array" ref="N65">Fertiliser_Equations_InorganicN2O.VEERG_5_1_1_1__1_InorganicFertiliserApplicationN2OEmissions_Unit()</f>
        <v>t N2O</v>
      </c>
    </row>
    <row r="66" spans="4:19" ht="20.100000000000001" customHeight="1" x14ac:dyDescent="0.25">
      <c r="D66" s="49" t="str">
        <v>Calcium ammonium nitrate (CAN)</v>
      </c>
      <c r="E66" s="49" cm="1">
        <f t="array" ref="E66">Fertiliser_Equations_InorganicN2O.VEERG_5_1_1_1__1_InorganicFertiliserApplicationN2OEmissions(G25,$I$50,$I$51)</f>
        <v>0</v>
      </c>
    </row>
    <row r="67" spans="4:19" ht="20.100000000000001" customHeight="1" x14ac:dyDescent="0.25">
      <c r="D67" s="49" t="str">
        <v>Nitrogen - Ammoniacal</v>
      </c>
      <c r="E67" s="49" cm="1">
        <f t="array" ref="E67">Fertiliser_Equations_InorganicN2O.VEERG_5_1_1_1__1_InorganicFertiliserApplicationN2OEmissions(G26,$I$50,$I$51)</f>
        <v>0</v>
      </c>
      <c r="M67" s="53" t="str" cm="1">
        <f t="array" ref="M67:N74">_xlfn.CHOOSECOLS(Fertiliser_Equations_InorganicN2O.VEERG_5_1_1_1__1_InorganicFertiliserApplicationN2OEmissions_Arguments_Method2(), 1, 2)</f>
        <v>MN_jf</v>
      </c>
      <c r="N67" s="54" t="str">
        <v>mass of nitrogen in inorganic fertiliser type f applied to production system j</v>
      </c>
      <c r="O67" s="91"/>
      <c r="P67" s="55"/>
      <c r="Q67" s="53" t="str" cm="1">
        <f t="array" ref="Q67:R74">_xlfn.CHOOSECOLS(Fertiliser_Equations_InorganicN2O.VEERG_5_1_1_1__1_InorganicFertiliserApplicationN2OEmissions_Arguments_Method2(), 3,4)</f>
        <v>kg N</v>
      </c>
      <c r="R67" s="117" t="str">
        <v>Calculated from 5.1.1.1 (2)</v>
      </c>
      <c r="S67" s="142" t="str" cm="1">
        <f t="array" aca="1" ref="S67" ca="1">HYPERLINK(Common_InputFunctions.Utility_SourceHyperlink(M41), M41)</f>
        <v>M2_Table_FertApplications</v>
      </c>
    </row>
    <row r="68" spans="4:19" ht="20.100000000000001" customHeight="1" x14ac:dyDescent="0.25">
      <c r="D68" s="49" t="str">
        <v>Nitrogen - Nitrate</v>
      </c>
      <c r="E68" s="49" cm="1">
        <f t="array" ref="E68">Fertiliser_Equations_InorganicN2O.VEERG_5_1_1_1__1_InorganicFertiliserApplicationN2OEmissions(G27,$I$50,$I$51)</f>
        <v>2.1779999999999997E-2</v>
      </c>
      <c r="M68" s="53" t="str">
        <v>EF_jN2O</v>
      </c>
      <c r="N68" s="54" t="str">
        <v>emission factor for nitrous oxide for inorganic fertilisers</v>
      </c>
      <c r="O68" s="91"/>
      <c r="P68" s="55"/>
      <c r="Q68" s="53" t="str">
        <v>kg N2O-N/kg N applied</v>
      </c>
      <c r="R68" s="117" t="str">
        <v>Calculated from 5.1.1.2 (1)(2)(3)</v>
      </c>
      <c r="S68" s="53" t="str" cm="1">
        <f t="array" ref="S68">_xlfn.IFS(
  AND(S70="crop", S71="grains", S73="not irrigated", S74="high rainfall"), $S$44,
  AND(S70="Crop", S71="maize", S73&lt;&gt;"not irrigated"), $R$44,
  AND(S70="Crop", S71="cotton"), $V$44,
  TRUE, $W$44
)</f>
        <v>EF_jN2O</v>
      </c>
    </row>
    <row r="69" spans="4:19" ht="20.100000000000001" customHeight="1" x14ac:dyDescent="0.25">
      <c r="D69" s="49" t="str">
        <v>Nitrogen - Generic</v>
      </c>
      <c r="E69" s="49" cm="1">
        <f t="array" ref="E69">Fertiliser_Equations_InorganicN2O.VEERG_5_1_1_1__1_InorganicFertiliserApplicationN2OEmissions(G28,$I$50,$I$51)</f>
        <v>1.6909200000000003E-2</v>
      </c>
      <c r="M69" s="53" t="str">
        <v>C_N2O</v>
      </c>
      <c r="N69" s="54" t="str">
        <v>factor to convert elemental mass of nitrous oxide to molecular mass</v>
      </c>
      <c r="O69" s="91"/>
      <c r="P69" s="55"/>
      <c r="Q69" s="53" t="str">
        <v/>
      </c>
      <c r="R69" s="117" t="str">
        <v>Constant</v>
      </c>
      <c r="S69" s="53">
        <f>Common_InputFunctions.Utility_LookupValueInTableNumber("N2O",Table_GasToMolecularConversionFactor[Gas],Table_GasToMolecularConversionFactor[Conversion factor combined])</f>
        <v>1.5714285714285714</v>
      </c>
    </row>
    <row r="70" spans="4:19" ht="20.100000000000001" customHeight="1" x14ac:dyDescent="0.25">
      <c r="D70" s="49" t="str">
        <v>Phosphorus - Generic</v>
      </c>
      <c r="E70" s="49" cm="1">
        <f t="array" ref="E70">Fertiliser_Equations_InorganicN2O.VEERG_5_1_1_1__1_InorganicFertiliserApplicationN2OEmissions(G29,$I$50,$I$51)</f>
        <v>0</v>
      </c>
      <c r="M70" s="53" t="str">
        <v>j</v>
      </c>
      <c r="N70" s="54" t="str">
        <v>Production system</v>
      </c>
      <c r="O70" s="91"/>
      <c r="P70" s="55"/>
      <c r="Q70" s="53" t="str">
        <v/>
      </c>
      <c r="R70" s="118" t="str">
        <v>Input</v>
      </c>
      <c r="S70" s="53" t="str">
        <f>X_Cell_Fertiliser_ProductionSystem</f>
        <v>Crop</v>
      </c>
    </row>
    <row r="71" spans="4:19" ht="20.100000000000001" customHeight="1" x14ac:dyDescent="0.25">
      <c r="D71" s="49" t="str">
        <v>Potassium - Generic</v>
      </c>
      <c r="E71" s="49" cm="1">
        <f t="array" ref="E71">Fertiliser_Equations_InorganicN2O.VEERG_5_1_1_1__1_InorganicFertiliserApplicationN2OEmissions(G30,$I$50,$I$51)</f>
        <v>0</v>
      </c>
      <c r="M71" s="53" t="str">
        <v>c</v>
      </c>
      <c r="N71" s="54" t="str">
        <v>Crop type</v>
      </c>
      <c r="O71" s="91"/>
      <c r="P71" s="55"/>
      <c r="Q71" s="53" t="str">
        <v/>
      </c>
      <c r="R71" s="118" t="str">
        <v>Input</v>
      </c>
      <c r="S71" s="53" t="str">
        <f>X_Cell_Fertiliser_CropType</f>
        <v>Grains</v>
      </c>
    </row>
    <row r="72" spans="4:19" ht="20.100000000000001" customHeight="1" x14ac:dyDescent="0.25">
      <c r="D72" s="49" t="str">
        <v>Sulfur - Generic</v>
      </c>
      <c r="E72" s="49" cm="1">
        <f t="array" ref="E72">Fertiliser_Equations_InorganicN2O.VEERG_5_1_1_1__1_InorganicFertiliserApplicationN2OEmissions(G31,$I$50,$I$51)</f>
        <v>0</v>
      </c>
      <c r="M72" s="53" t="str">
        <v>f</v>
      </c>
      <c r="N72" s="54" t="str">
        <v>Inorganic fertiliser type</v>
      </c>
      <c r="O72" s="91"/>
      <c r="P72" s="55"/>
      <c r="Q72" s="53" t="str">
        <v/>
      </c>
      <c r="R72" s="117" t="str">
        <v>Constant</v>
      </c>
      <c r="S72" s="53" t="s">
        <v>184</v>
      </c>
    </row>
    <row r="73" spans="4:19" ht="20.100000000000001" customHeight="1" x14ac:dyDescent="0.25">
      <c r="D73" s="49" t="str">
        <v>Zinc - Generic</v>
      </c>
      <c r="E73" s="49" cm="1">
        <f t="array" ref="E73">Fertiliser_Equations_InorganicN2O.VEERG_5_1_1_1__1_InorganicFertiliserApplicationN2OEmissions(G32,$I$50,$I$51)</f>
        <v>0</v>
      </c>
      <c r="M73" s="53" t="str">
        <v>ir</v>
      </c>
      <c r="N73" s="54" t="str">
        <v>irrigation method</v>
      </c>
      <c r="O73" s="91"/>
      <c r="P73" s="55"/>
      <c r="Q73" s="53" t="str">
        <v/>
      </c>
      <c r="R73" s="118" t="str">
        <v>Input</v>
      </c>
      <c r="S73" s="53" t="str">
        <f>X_Cell_Fertiliser_IrrigationMethod</f>
        <v>Sprinkler irrigation</v>
      </c>
    </row>
    <row r="74" spans="4:19" ht="20.100000000000001" customHeight="1" x14ac:dyDescent="0.25">
      <c r="D74" s="49" t="str">
        <v>Muriate of potash (MOP)</v>
      </c>
      <c r="E74" s="49" cm="1">
        <f t="array" ref="E74">Fertiliser_Equations_InorganicN2O.VEERG_5_1_1_1__1_InorganicFertiliserApplicationN2OEmissions(G33,$I$50,$I$51)</f>
        <v>0</v>
      </c>
      <c r="M74" s="54" t="str">
        <v>z</v>
      </c>
      <c r="N74" s="54" t="str">
        <v>rainfall zone</v>
      </c>
      <c r="O74" s="91"/>
      <c r="P74" s="91"/>
      <c r="Q74" s="53" t="str">
        <v/>
      </c>
      <c r="R74" s="118" t="str">
        <v>Input</v>
      </c>
      <c r="S74" s="53" t="str">
        <f>X_Cell_Site_RainfallZone</f>
        <v>Low rainfall</v>
      </c>
    </row>
    <row r="75" spans="4:19" ht="20.100000000000001" customHeight="1" x14ac:dyDescent="0.25">
      <c r="D75" s="49" t="str">
        <v>Double superphosphate</v>
      </c>
      <c r="E75" s="49" cm="1">
        <f t="array" ref="E75">Fertiliser_Equations_InorganicN2O.VEERG_5_1_1_1__1_InorganicFertiliserApplicationN2OEmissions(G34,$I$50,$I$51)</f>
        <v>0</v>
      </c>
    </row>
    <row r="76" spans="4:19" ht="20.100000000000001" customHeight="1" x14ac:dyDescent="0.25">
      <c r="D76" s="49" t="str">
        <v>Single superphosphate (SSP)</v>
      </c>
      <c r="E76" s="49" cm="1">
        <f t="array" ref="E76">Fertiliser_Equations_InorganicN2O.VEERG_5_1_1_1__1_InorganicFertiliserApplicationN2OEmissions(G35,$I$50,$I$51)</f>
        <v>0</v>
      </c>
      <c r="M76" s="48" t="s">
        <v>170</v>
      </c>
      <c r="N76" s="48" t="s">
        <v>170</v>
      </c>
      <c r="O76" s="48" t="s">
        <v>183</v>
      </c>
      <c r="P76" s="48" t="s">
        <v>182</v>
      </c>
    </row>
    <row r="77" spans="4:19" ht="20.100000000000001" customHeight="1" x14ac:dyDescent="0.25">
      <c r="D77" s="49" t="str">
        <v>Ammonia</v>
      </c>
      <c r="E77" s="49" cm="1">
        <f t="array" ref="E77">Fertiliser_Equations_InorganicN2O.VEERG_5_1_1_1__1_InorganicFertiliserApplicationN2OEmissions(G36,$I$50,$I$51)</f>
        <v>4.5292500000000006E-2</v>
      </c>
      <c r="M77" s="49" t="s">
        <v>175</v>
      </c>
      <c r="N77" s="49" t="str" cm="1">
        <f t="array" ref="N77:N81">Table_Input_InorganicFertiliser_Brands[Product (select)]</f>
        <v>Aqua Finish</v>
      </c>
      <c r="O77" s="49" cm="1">
        <f t="array" ref="O77">_xlfn.XLOOKUP(N77,$N$45:$N$54,_xlfn.XLOOKUP($S$68,$R$44:$W$44,$R$45:$W$54), "")</f>
        <v>7.0000000000000001E-3</v>
      </c>
      <c r="P77" s="49" cm="1">
        <f t="array" ref="P77">Fertiliser_Equations_InorganicN2O.VEERG_5_1_1_1__1_InorganicFertiliserApplicationN2OEmissions(Q45,O77,$S$69)</f>
        <v>3.6035999999999993E-3</v>
      </c>
    </row>
    <row r="78" spans="4:19" ht="20.100000000000001" customHeight="1" x14ac:dyDescent="0.25">
      <c r="D78" s="49" t="str">
        <v>Calcium nitrate</v>
      </c>
      <c r="E78" s="49" cm="1">
        <f t="array" ref="E78">Fertiliser_Equations_InorganicN2O.VEERG_5_1_1_1__1_InorganicFertiliserApplicationN2OEmissions(G37,$I$50,$I$51)</f>
        <v>8.5250000000000013E-3</v>
      </c>
      <c r="M78" s="49" t="s">
        <v>175</v>
      </c>
      <c r="N78" s="49" t="str">
        <v>CalPhos</v>
      </c>
      <c r="O78" s="49" cm="1">
        <f t="array" ref="O78">_xlfn.XLOOKUP(N78,$N$45:$N$54,_xlfn.XLOOKUP($S$68,$R$44:$W$44,$R$45:$W$54), FALSE)</f>
        <v>0</v>
      </c>
      <c r="P78" s="49" cm="1">
        <f t="array" ref="P78">Fertiliser_Equations_InorganicN2O.VEERG_5_1_1_1__1_InorganicFertiliserApplicationN2OEmissions(Q46,O78,$S$69)</f>
        <v>0</v>
      </c>
    </row>
    <row r="79" spans="4:19" ht="20.100000000000001" customHeight="1" x14ac:dyDescent="0.25">
      <c r="M79" s="49" t="s">
        <v>175</v>
      </c>
      <c r="N79" s="49" t="str">
        <v>CalPhos</v>
      </c>
      <c r="O79" s="49" cm="1">
        <f t="array" ref="O79">_xlfn.XLOOKUP(N79,$N$45:$N$54,_xlfn.XLOOKUP($S$68,$R$44:$W$44,$R$45:$W$54))</f>
        <v>0</v>
      </c>
      <c r="P79" s="49" cm="1">
        <f t="array" ref="P79">Fertiliser_Equations_InorganicN2O.VEERG_5_1_1_1__1_InorganicFertiliserApplicationN2OEmissions(Q47,O79,$S$69)</f>
        <v>0</v>
      </c>
    </row>
    <row r="80" spans="4:19" ht="20.100000000000001" customHeight="1" x14ac:dyDescent="0.25">
      <c r="D80" s="92" t="s">
        <v>161</v>
      </c>
      <c r="E80" s="93">
        <f>SUM(E60:E78)</f>
        <v>0.1431067</v>
      </c>
      <c r="F80" s="94" t="str">
        <f>$E$47</f>
        <v>t N2O</v>
      </c>
      <c r="M80" s="49" t="s">
        <v>175</v>
      </c>
      <c r="N80" s="49" t="str">
        <v>Aqua Grow</v>
      </c>
      <c r="O80" s="49" cm="1">
        <f t="array" ref="O80">_xlfn.XLOOKUP(N80,$N$45:$N$54,_xlfn.XLOOKUP($S$68,$R$44:$W$44,$R$45:$W$54))</f>
        <v>7.0000000000000001E-3</v>
      </c>
      <c r="P80" s="49" cm="1">
        <f t="array" ref="P80">Fertiliser_Equations_InorganicN2O.VEERG_5_1_1_1__1_InorganicFertiliserApplicationN2OEmissions(Q48,O80,$S$69)</f>
        <v>1.3305600000000001E-2</v>
      </c>
    </row>
    <row r="81" spans="4:16" ht="20.100000000000001" customHeight="1" x14ac:dyDescent="0.25">
      <c r="M81" s="49" t="s">
        <v>175</v>
      </c>
      <c r="N81" s="49" t="str">
        <v>Aqua NitroCal</v>
      </c>
      <c r="O81" s="49" cm="1">
        <f t="array" ref="O81">_xlfn.XLOOKUP(N81,$N$45:$N$54,_xlfn.XLOOKUP($S$68,$R$44:$W$44,$R$45:$W$54))</f>
        <v>7.0000000000000001E-3</v>
      </c>
      <c r="P81" s="49" cm="1">
        <f t="array" ref="P81">Fertiliser_Equations_InorganicN2O.VEERG_5_1_1_1__1_InorganicFertiliserApplicationN2OEmissions(Q49,O81,$S$69)</f>
        <v>2.1779999999999997E-2</v>
      </c>
    </row>
    <row r="82" spans="4:16"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0.1431067</v>
      </c>
      <c r="M82" s="49" t="s">
        <v>174</v>
      </c>
      <c r="N82" s="49" t="str" cm="1">
        <f t="array" ref="N82:N84">Table_Input_InorganicFertiliser_Custom[Custom blend name]</f>
        <v>My first custom blend</v>
      </c>
      <c r="O82" s="49" cm="1">
        <f t="array" ref="O82">_xlfn.XLOOKUP(N82,$N$45:$N$54,_xlfn.XLOOKUP($S$68,$R$44:$W$44,$R$45:$W$54))</f>
        <v>7.0000000000000001E-3</v>
      </c>
      <c r="P82" s="49" cm="1">
        <f t="array" ref="P82">Fertiliser_Equations_InorganicN2O.VEERG_5_1_1_1__1_InorganicFertiliserApplicationN2OEmissions(Q50,O82,$S$69)</f>
        <v>8.5250000000000013E-3</v>
      </c>
    </row>
    <row r="83" spans="4:16"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49" t="s">
        <v>174</v>
      </c>
      <c r="N83" s="49" t="str">
        <v>My second custom blend</v>
      </c>
      <c r="O83" s="49" cm="1">
        <f t="array" ref="O83">_xlfn.XLOOKUP(N83,$N$45:$N$54,_xlfn.XLOOKUP($S$68,$R$44:$W$44,$R$45:$W$54))</f>
        <v>7.0000000000000001E-3</v>
      </c>
      <c r="P83" s="49" cm="1">
        <f t="array" ref="P83">Fertiliser_Equations_InorganicN2O.VEERG_5_1_1_1__1_InorganicFertiliserApplicationN2OEmissions(Q51,O83,$S$69)</f>
        <v>5.0599999999999999E-2</v>
      </c>
    </row>
    <row r="84" spans="4:16" ht="20.100000000000001" customHeight="1" x14ac:dyDescent="0.25">
      <c r="M84" s="49" t="s">
        <v>174</v>
      </c>
      <c r="N84" s="49" t="str">
        <v>My third custom blend</v>
      </c>
      <c r="O84" s="49" cm="1">
        <f t="array" ref="O84">_xlfn.XLOOKUP(N84,$N$45:$N$54,_xlfn.XLOOKUP($S$68,$R$44:$W$44,$R$45:$W$54))</f>
        <v>7.0000000000000001E-3</v>
      </c>
      <c r="P84" s="49" cm="1">
        <f t="array" ref="P84">Fertiliser_Equations_InorganicN2O.VEERG_5_1_1_1__1_InorganicFertiliserApplicationN2OEmissions(Q52,O84,$S$69)</f>
        <v>4.5292500000000006E-2</v>
      </c>
    </row>
    <row r="85" spans="4:16" ht="20.100000000000001" customHeight="1" x14ac:dyDescent="0.25">
      <c r="D85" s="43" t="s">
        <v>78</v>
      </c>
      <c r="E85" s="43" cm="1">
        <f t="array" ref="E85">Common_Equations.Common_ConvertN2OToCO2e(G82,G83)</f>
        <v>37.923275500000003</v>
      </c>
      <c r="F85" s="96" t="str" cm="1">
        <f t="array" ref="F85">Common_Equations.Common_ConvertN2OToCO2e_Unit()</f>
        <v>t CO2e</v>
      </c>
      <c r="M85" s="49" t="s">
        <v>174</v>
      </c>
      <c r="N85" s="49"/>
      <c r="O85" s="49" cm="1">
        <f t="array" ref="O85">_xlfn.XLOOKUP(N85,$N$45:$N$54,_xlfn.XLOOKUP($S$68,$R$44:$W$44,$R$45:$W$54))</f>
        <v>0</v>
      </c>
      <c r="P85" s="49" cm="1">
        <f t="array" ref="P85">Fertiliser_Equations_InorganicN2O.VEERG_5_1_1_1__1_InorganicFertiliserApplicationN2OEmissions(Q53,O85,$S$69)</f>
        <v>0</v>
      </c>
    </row>
    <row r="86" spans="4:16" ht="20.100000000000001" customHeight="1" x14ac:dyDescent="0.25">
      <c r="M86" s="49" t="s">
        <v>174</v>
      </c>
      <c r="N86" s="49"/>
      <c r="O86" s="49" cm="1">
        <f t="array" ref="O86">_xlfn.XLOOKUP(N86,$N$45:$N$54,_xlfn.XLOOKUP($S$68,$R$44:$W$44,$R$45:$W$54))</f>
        <v>0</v>
      </c>
      <c r="P86" s="49" cm="1">
        <f t="array" ref="P86">Fertiliser_Equations_InorganicN2O.VEERG_5_1_1_1__1_InorganicFertiliserApplicationN2OEmissions(Q54,O86,$S$69)</f>
        <v>0</v>
      </c>
    </row>
    <row r="87" spans="4:16" ht="20.100000000000001" customHeight="1" x14ac:dyDescent="0.25"/>
    <row r="88" spans="4:16" ht="20.100000000000001" customHeight="1" x14ac:dyDescent="0.25">
      <c r="M88" s="92" t="s">
        <v>161</v>
      </c>
      <c r="N88" s="93">
        <f>SUM(P77:P86)</f>
        <v>0.1431067</v>
      </c>
      <c r="O88" s="94" t="str">
        <f>$E$47</f>
        <v>t N2O</v>
      </c>
    </row>
    <row r="89" spans="4:16" ht="20.100000000000001" customHeight="1" x14ac:dyDescent="0.25"/>
    <row r="90" spans="4:16" ht="20.100000000000001" customHeight="1" x14ac:dyDescent="0.25">
      <c r="M90" s="53" t="str" cm="1">
        <f t="array" ref="M90:N91">Common_Equations.Common_ConvertN2OToCO2e_Arguments()</f>
        <v>EN2O</v>
      </c>
      <c r="N90" s="54" t="str">
        <v>Nitrous oxide emissions (t N2O)</v>
      </c>
      <c r="O90" s="95"/>
      <c r="P90" s="49">
        <f>VEERG_5_1_1_1__1_InorganicFertiliserApplicationN2OEmissions_Result_Method2</f>
        <v>0.1431067</v>
      </c>
    </row>
    <row r="91" spans="4:16" ht="20.100000000000001" customHeight="1" x14ac:dyDescent="0.25">
      <c r="M91" s="53" t="str">
        <v>GWPN2O</v>
      </c>
      <c r="N91" s="54" t="str">
        <v>Global warming potential for nitrous oxide (t CO2-e / t N2O)</v>
      </c>
      <c r="O91" s="95"/>
      <c r="P91" s="49">
        <f>Common_InputFunctions.Utility_LookupValueInTableNumber("N2O",Table_GWPData[Gas],Table_GWPData[CO2-e factor])</f>
        <v>265</v>
      </c>
    </row>
    <row r="92" spans="4:16" ht="20.100000000000001" customHeight="1" x14ac:dyDescent="0.25"/>
    <row r="93" spans="4:16" ht="20.100000000000001" customHeight="1" x14ac:dyDescent="0.25">
      <c r="M93" s="43" t="s">
        <v>78</v>
      </c>
      <c r="N93" s="43" cm="1">
        <f t="array" ref="N93">Common_Equations.Common_ConvertN2OToCO2e(P90,P91)</f>
        <v>37.923275500000003</v>
      </c>
      <c r="O93" s="96"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202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2"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2" t="str" cm="1">
        <f t="array" aca="1" ref="I14" ca="1">HYPERLINK(Common_InputFunctions.Utility_SourceHyperlink($D$16), $D$16)</f>
        <v>Table_MU_j_f</v>
      </c>
    </row>
    <row r="15" spans="1:21" ht="20.100000000000001" customHeight="1" x14ac:dyDescent="0.25">
      <c r="A15" s="172"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203</v>
      </c>
    </row>
    <row r="17" spans="1:7" ht="20.100000000000001" customHeight="1" x14ac:dyDescent="0.25">
      <c r="A17" s="17" t="str">
        <f>HYPERLINK("#'5.3.1.1-2 Lime CO2'!A1", "5.3.1.1-2 Lime CO2")</f>
        <v>5.3.1.1-2 Lime CO2</v>
      </c>
      <c r="D17" s="89" t="s">
        <v>204</v>
      </c>
    </row>
    <row r="18" spans="1:7" ht="20.100000000000001" customHeight="1" x14ac:dyDescent="0.25">
      <c r="A18" s="17" t="str">
        <f>HYPERLINK("#'5.4.1.1-4 Atmos deposition'!A1", "5.4.1.1-4 Atmos deposition")</f>
        <v>5.4.1.1-4 Atmos deposition</v>
      </c>
      <c r="D18" s="48" t="s">
        <v>111</v>
      </c>
      <c r="E18" s="110" t="s">
        <v>143</v>
      </c>
      <c r="F18" s="48" t="s">
        <v>205</v>
      </c>
      <c r="G18" s="48" t="s">
        <v>208</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10000</v>
      </c>
    </row>
    <row r="22" spans="1:7"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2"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'Constants - Fertiliser'!$E$60</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Crop</v>
      </c>
    </row>
    <row r="53" spans="4:9" ht="20.100000000000001" customHeight="1" x14ac:dyDescent="0.25">
      <c r="D53" s="53" t="str">
        <v>f</v>
      </c>
      <c r="E53" s="54" t="str">
        <v>Inorganic fertiliser type</v>
      </c>
      <c r="F53" s="55"/>
      <c r="G53" s="53" t="str">
        <v/>
      </c>
      <c r="H53" s="117" t="str">
        <v>Lookup</v>
      </c>
      <c r="I53" s="142" t="str" cm="1">
        <f t="array" aca="1" ref="I53" ca="1">HYPERLINK(Common_InputFunctions.Utility_SourceHyperlink($D$16), $D$16)</f>
        <v>Table_MU_j_f</v>
      </c>
    </row>
    <row r="54" spans="4:9" ht="20.100000000000001" customHeight="1" x14ac:dyDescent="0.25"/>
    <row r="55" spans="4:9" ht="20.100000000000001" customHeight="1" x14ac:dyDescent="0.25">
      <c r="D55" s="90" t="s">
        <v>206</v>
      </c>
    </row>
    <row r="56" spans="4:9" ht="20.100000000000001" customHeight="1" x14ac:dyDescent="0.25">
      <c r="D56" s="89" t="s">
        <v>207</v>
      </c>
    </row>
    <row r="57" spans="4:9" ht="20.100000000000001" customHeight="1" x14ac:dyDescent="0.25">
      <c r="D57" s="48" t="s">
        <v>111</v>
      </c>
      <c r="E57" s="48" t="s">
        <v>182</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7.333333333333333</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233</v>
      </c>
      <c r="E78" s="93">
        <f>SUM(E58:E76)</f>
        <v>7.333333333333333</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234</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4" t="str" cm="1">
        <f t="array" ref="G13:H15">_xlfn.CHOOSECOLS(Fertiliser_Equations_OrganicN2O.VEERG_5_2_1_1__2_MassOfNitrogenInOrganicFertiliser_Arguments(), 3,4)</f>
        <v>kg</v>
      </c>
      <c r="H13" s="118" t="str">
        <v>Input</v>
      </c>
      <c r="I13" s="142"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4" t="str">
        <v>kg N/kg</v>
      </c>
      <c r="H14" s="118" t="str">
        <v>Input</v>
      </c>
      <c r="I14" s="142"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4" t="str">
        <v/>
      </c>
      <c r="H15" s="118" t="str">
        <v>Input</v>
      </c>
      <c r="I15" s="142" t="str" cm="1">
        <f t="array" aca="1" ref="I15" ca="1">HYPERLINK(Common_InputFunctions.Utility_SourceHyperlink($D$17), $D$17)</f>
        <v>Table_MNSoil_j_f</v>
      </c>
    </row>
    <row r="16" spans="1:21" ht="20.100000000000001" customHeight="1" x14ac:dyDescent="0.25">
      <c r="A16" s="172" t="str">
        <f>HYPERLINK("#'5.2.1.1-2 Organic Fert N2O'!A1", "5.2.1.1-2 Organic Fert N2O")</f>
        <v>5.2.1.1-2 Organic Fert N2O</v>
      </c>
    </row>
    <row r="17" spans="1:10" ht="20.100000000000001" customHeight="1" x14ac:dyDescent="0.25">
      <c r="A17" s="17" t="str">
        <f>HYPERLINK("#'5.3.1.1-2 Lime CO2'!A1", "5.3.1.1-2 Lime CO2")</f>
        <v>5.3.1.1-2 Lime CO2</v>
      </c>
      <c r="D17" s="90" t="s">
        <v>242</v>
      </c>
    </row>
    <row r="18" spans="1:10" ht="20.100000000000001" customHeight="1" x14ac:dyDescent="0.25">
      <c r="A18" s="17" t="str">
        <f>HYPERLINK("#'5.4.1.1-4 Atmos deposition'!A1", "5.4.1.1-4 Atmos deposition")</f>
        <v>5.4.1.1-4 Atmos deposition</v>
      </c>
      <c r="D18" s="89" t="s">
        <v>249</v>
      </c>
    </row>
    <row r="19" spans="1:10" ht="20.100000000000001" customHeight="1" x14ac:dyDescent="0.25">
      <c r="A19" s="17" t="str">
        <f>HYPERLINK("#'5.5.1.1-2 Leaching and runoff'!A1", "5.5.1.1-2 Leaching and runoff")</f>
        <v>5.5.1.1-2 Leaching and runoff</v>
      </c>
      <c r="D19" s="110" t="s">
        <v>243</v>
      </c>
      <c r="E19" s="110" t="s">
        <v>244</v>
      </c>
      <c r="F19" s="110" t="s">
        <v>150</v>
      </c>
      <c r="G19" s="145" t="s">
        <v>245</v>
      </c>
      <c r="H19" s="145" t="s">
        <v>246</v>
      </c>
      <c r="I19" s="145" t="s">
        <v>247</v>
      </c>
    </row>
    <row r="20" spans="1:10" ht="20.100000000000001" customHeight="1" x14ac:dyDescent="0.25">
      <c r="D20" s="49" t="str" cm="1">
        <f t="array" ref="D20:D22">Table_Input_OrganicFertiliser[Organic fertiliser type (select)]</f>
        <v>Manure - Other</v>
      </c>
      <c r="E20" s="148" cm="1">
        <f t="array" ref="E20:E22">Table_Input_OrganicFertiliser[Amount applied (kg/hectare)]</f>
        <v>10</v>
      </c>
      <c r="F20" s="148" cm="1">
        <f t="array" ref="F20:F22">Table_Input_OrganicFertiliser[Application area (ha)]</f>
        <v>100</v>
      </c>
      <c r="G20" s="49" cm="1">
        <f t="array" ref="G20:G22">Table_Input_OrganicFertiliser[Amount applied (kg/hectare)]*Table_Input_OrganicFertiliser[Application area (ha)]</f>
        <v>1000</v>
      </c>
      <c r="H20" s="149" cm="1">
        <f t="array" ref="H20:H22">Table_Input_OrganicFertiliser[Percentage of N in fertiliser]</f>
        <v>0.3</v>
      </c>
      <c r="I20" s="49" cm="1">
        <f t="array" ref="I20">Fertiliser_Equations_OrganicN2O.VEERG_5_2_1_1__2_MassOfNitrogenInOrganicFertiliser(G20,H20)</f>
        <v>300</v>
      </c>
    </row>
    <row r="21" spans="1:10" ht="20.100000000000001"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100000000000001" customHeight="1" x14ac:dyDescent="0.25">
      <c r="A22" s="176"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6" t="s">
        <v>248</v>
      </c>
      <c r="E32" s="146">
        <f>SUM(I20:I30)</f>
        <v>710</v>
      </c>
      <c r="F32" s="147"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3"/>
      <c r="D35" s="153"/>
      <c r="E35" s="153"/>
      <c r="F35" s="153"/>
      <c r="G35" s="153"/>
      <c r="H35" s="153"/>
      <c r="I35" s="153"/>
      <c r="J35" s="153"/>
      <c r="K35" s="153"/>
      <c r="L35" s="153"/>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4" t="str" cm="1">
        <f t="array" ref="D44:E48">_xlfn.CHOOSECOLS(Fertiliser_Equations_OrganicN2O.VEERG_5_2_1_1__1_OrganicFertiliserApplicationN2OEmissions_Arguments(), 1, 2)</f>
        <v>MNSoil_jf</v>
      </c>
      <c r="E44" s="151" t="str">
        <v>mass of nitrogen in organic fertiliser type f applied to production system j</v>
      </c>
      <c r="F44" s="152"/>
      <c r="G44" s="152"/>
      <c r="H44" s="150"/>
      <c r="I44" s="144" t="str" cm="1">
        <f t="array" ref="I44:J48">_xlfn.CHOOSECOLS(Fertiliser_Equations_OrganicN2O.VEERG_5_2_1_1__1_OrganicFertiliserApplicationN2OEmissions_Arguments(), 3,4)</f>
        <v>kg N</v>
      </c>
      <c r="J44" s="117" t="str">
        <v>Calculated from 5.2.1.1 (2)</v>
      </c>
      <c r="K44" s="144">
        <f>$E$32</f>
        <v>710</v>
      </c>
    </row>
    <row r="45" spans="3:12" ht="20.100000000000001" customHeight="1" x14ac:dyDescent="0.25">
      <c r="D45" s="144" t="str">
        <v>EF_N2Oi</v>
      </c>
      <c r="E45" s="151" t="str">
        <v>emission factor for direct nitrous oxide emissions from organic fertiliser applied to soils and aquatic systems in climate zone i</v>
      </c>
      <c r="F45" s="152"/>
      <c r="G45" s="152"/>
      <c r="H45" s="150"/>
      <c r="I45" s="144" t="str">
        <v>kg N2O-N/kg N</v>
      </c>
      <c r="J45" s="117" t="str">
        <v>Lookup</v>
      </c>
      <c r="K45" s="144">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4" t="str">
        <v>C_N2O</v>
      </c>
      <c r="E46" s="151" t="str">
        <v>factor to convert elemental mass of nitrous oxide to molecular mass</v>
      </c>
      <c r="F46" s="152"/>
      <c r="G46" s="152"/>
      <c r="H46" s="150"/>
      <c r="I46" s="144"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4" t="str">
        <v>j</v>
      </c>
      <c r="E47" s="151" t="str">
        <v>Production system</v>
      </c>
      <c r="F47" s="152"/>
      <c r="G47" s="152"/>
      <c r="H47" s="150"/>
      <c r="I47" s="144" t="str">
        <v/>
      </c>
      <c r="J47" s="118" t="str">
        <v>Input</v>
      </c>
      <c r="K47" s="144" t="str">
        <f>X_Cell_Fertiliser_ProductionSystem</f>
        <v>Crop</v>
      </c>
    </row>
    <row r="48" spans="3:12" ht="20.100000000000001" customHeight="1" x14ac:dyDescent="0.25">
      <c r="D48" s="144" t="str">
        <v>i</v>
      </c>
      <c r="E48" s="151" t="str">
        <v>Wet or dry climate zone</v>
      </c>
      <c r="F48" s="152"/>
      <c r="G48" s="152"/>
      <c r="H48" s="150"/>
      <c r="I48" s="144" t="str">
        <v/>
      </c>
      <c r="J48" s="118" t="str">
        <v>Input</v>
      </c>
      <c r="K48" s="144" t="str">
        <f>X_Cell_Site_WetOrDryClimateZone</f>
        <v>Dry climate zone</v>
      </c>
    </row>
    <row r="49" spans="4:7" ht="20.100000000000001" customHeight="1" x14ac:dyDescent="0.25"/>
    <row r="50" spans="4:7" ht="20.100000000000001" customHeight="1" x14ac:dyDescent="0.25">
      <c r="D50" s="92" t="s">
        <v>161</v>
      </c>
      <c r="E50" s="93" cm="1">
        <f t="array" ref="E50">Fertiliser_Equations_OrganicN2O.VEERG_5_2_1_1__1_OrganicFertiliserApplicationN2OEmissions(K44,K45,K46)</f>
        <v>5.5785714285714293E-3</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5.5785714285714293E-3</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78</v>
      </c>
      <c r="E55" s="43" cm="1">
        <f t="array" ref="E55">Common_Equations.Common_ConvertN2OToCO2e(G52,G53)</f>
        <v>1.4783214285714288</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252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68</v>
      </c>
      <c r="D13" s="144" t="str" cm="1">
        <f t="array" ref="D13:E20">_xlfn.CHOOSECOLS(Fertiliser_Equations_Lime.VEERG_5_3_1_1__1_LimeApplicationCO2Emissions_Arguments(), 1, 2)</f>
        <v>M_lime</v>
      </c>
      <c r="E13" s="151" t="str">
        <v>total mass of lime applied to production system</v>
      </c>
      <c r="F13" s="150"/>
      <c r="G13" s="144" t="str" cm="1">
        <f t="array" ref="G13:H20">_xlfn.CHOOSECOLS(Fertiliser_Equations_Lime.VEERG_5_3_1_1__1_LimeApplicationCO2Emissions_Arguments(), 3,4)</f>
        <v>kg</v>
      </c>
      <c r="H13" s="118" t="str">
        <v>Input</v>
      </c>
      <c r="I13" s="142"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4" t="str">
        <v>FracLime</v>
      </c>
      <c r="E14" s="151" t="str">
        <v>fraction of lime as limestone (CaCO3)</v>
      </c>
      <c r="F14" s="150"/>
      <c r="G14" s="144" t="str">
        <v>fraction</v>
      </c>
      <c r="H14" s="118" t="str">
        <v>Input</v>
      </c>
      <c r="I14" s="142"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4" t="str">
        <v>P_lime</v>
      </c>
      <c r="E15" s="151" t="str">
        <v>fractional purity of limestone</v>
      </c>
      <c r="F15" s="150"/>
      <c r="G15" s="144" t="str">
        <v>fraction</v>
      </c>
      <c r="H15" s="117" t="str">
        <v>Constant</v>
      </c>
      <c r="I15" s="144">
        <f>'Constants - Fertiliser'!$E$66</f>
        <v>0.9</v>
      </c>
    </row>
    <row r="16" spans="1:21" ht="20.100000000000001" customHeight="1" x14ac:dyDescent="0.25">
      <c r="A16" s="17" t="str">
        <f>HYPERLINK("#'5.2.1.1-2 Organic Fert N2O'!A1", "5.2.1.1-2 Organic Fert N2O")</f>
        <v>5.2.1.1-2 Organic Fert N2O</v>
      </c>
      <c r="D16" s="144" t="str">
        <v>EF_lime</v>
      </c>
      <c r="E16" s="151" t="str">
        <v>emission factor for limestone fraction of lime</v>
      </c>
      <c r="F16" s="150"/>
      <c r="G16" s="144" t="str">
        <v>kg C/kg</v>
      </c>
      <c r="H16" s="117" t="str">
        <v>Constant</v>
      </c>
      <c r="I16" s="144">
        <f>'Constants - Fertiliser'!$F$66</f>
        <v>0.12</v>
      </c>
    </row>
    <row r="17" spans="1:9" ht="20.100000000000001" customHeight="1" x14ac:dyDescent="0.25">
      <c r="A17" s="172" t="str">
        <f>HYPERLINK("#'5.3.1.1-2 Lime CO2'!A1", "5.3.1.1-2 Lime CO2")</f>
        <v>5.3.1.1-2 Lime CO2</v>
      </c>
      <c r="D17" s="144" t="str">
        <v>FracDol</v>
      </c>
      <c r="E17" s="151" t="str">
        <v>fraction of lime as dolomite</v>
      </c>
      <c r="F17" s="150"/>
      <c r="G17" s="144" t="str">
        <v>fraction</v>
      </c>
      <c r="H17" s="118" t="str">
        <v>Input</v>
      </c>
      <c r="I17" s="142"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4" t="str">
        <v>P_dol</v>
      </c>
      <c r="E18" s="151" t="str">
        <v>fractional purity of dolomite</v>
      </c>
      <c r="F18" s="150"/>
      <c r="G18" s="144" t="str">
        <v>fraction</v>
      </c>
      <c r="H18" s="117" t="str">
        <v>Constant</v>
      </c>
      <c r="I18" s="144">
        <f>'Constants - Fertiliser'!$E$67</f>
        <v>0.95</v>
      </c>
    </row>
    <row r="19" spans="1:9" ht="20.100000000000001" customHeight="1" x14ac:dyDescent="0.25">
      <c r="A19" s="17" t="str">
        <f>HYPERLINK("#'5.5.1.1-2 Leaching and runoff'!A1", "5.5.1.1-2 Leaching and runoff")</f>
        <v>5.5.1.1-2 Leaching and runoff</v>
      </c>
      <c r="D19" s="144" t="str">
        <v>EF_dol</v>
      </c>
      <c r="E19" s="151" t="str">
        <v>emission factor for dolomite fraction of lime</v>
      </c>
      <c r="F19" s="150"/>
      <c r="G19" s="144" t="str">
        <v>kg C/kg</v>
      </c>
      <c r="H19" s="117" t="str">
        <v>Constant</v>
      </c>
      <c r="I19" s="144">
        <f>'Constants - Fertiliser'!$F$67</f>
        <v>0.13</v>
      </c>
    </row>
    <row r="20" spans="1:9" ht="20.100000000000001" customHeight="1" x14ac:dyDescent="0.25">
      <c r="D20" s="144" t="str">
        <v>C_CO2</v>
      </c>
      <c r="E20" s="151" t="str">
        <v>factor to convert elemental mass of carbon dioxide to molecular mass</v>
      </c>
      <c r="F20" s="150"/>
      <c r="G20" s="144"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6" t="s">
        <v>1</v>
      </c>
      <c r="D22" s="90" t="s">
        <v>260</v>
      </c>
    </row>
    <row r="23" spans="1:9" ht="20.100000000000001" customHeight="1" x14ac:dyDescent="0.25">
      <c r="A23" s="17" t="str">
        <f>HYPERLINK("#'Constants - Fertiliser'!A1", "Constants - Fertiliser")</f>
        <v>Constants - Fertiliser</v>
      </c>
      <c r="D23" s="89" t="s">
        <v>265</v>
      </c>
    </row>
    <row r="24" spans="1:9" ht="20.100000000000001" customHeight="1" x14ac:dyDescent="0.25">
      <c r="A24" s="17" t="str">
        <f>HYPERLINK("#'Constants - Common'!A1", "Constants - Common")</f>
        <v>Constants - Common</v>
      </c>
      <c r="D24" s="110" t="s">
        <v>253</v>
      </c>
      <c r="E24" s="110" t="s">
        <v>254</v>
      </c>
      <c r="F24" s="110" t="s">
        <v>255</v>
      </c>
      <c r="G24" s="110" t="s">
        <v>256</v>
      </c>
      <c r="H24" s="48" t="s">
        <v>257</v>
      </c>
    </row>
    <row r="25" spans="1:9" ht="20.100000000000001" customHeight="1" x14ac:dyDescent="0.25">
      <c r="D25" s="49" t="str" cm="1">
        <f t="array" ref="D25:D27">Table_Input_Lime[Product]</f>
        <v>Lime product 1</v>
      </c>
      <c r="E25" s="154" cm="1">
        <f t="array" ref="E25:E27">Table_Input_Lime[Total amount applied (t)]*10^3</f>
        <v>100000</v>
      </c>
      <c r="F25" s="155" cm="1">
        <f t="array" ref="F25:F27">Table_Input_Lime[Percent Lime CaCO3]</f>
        <v>0.8</v>
      </c>
      <c r="G25" s="155" cm="1">
        <f t="array" ref="G25:G27">Table_Input_Lime[Percent Dolomite CaMg(CO3)2]</f>
        <v>0.1</v>
      </c>
      <c r="H25" s="49" cm="1">
        <f t="array" ref="H25">Fertiliser_Equations_Lime.VEERG_5_3_1_1__1_LimeApplicationCO2Emissions(E25,F25,$I$15,$I$16,G25,$I$18,$I$19,$I$20)</f>
        <v>36.208333333333329</v>
      </c>
    </row>
    <row r="26" spans="1:9" ht="20.100000000000001"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100000000000001" customHeight="1" x14ac:dyDescent="0.25">
      <c r="D27" s="49" t="str">
        <v>Lime product 3</v>
      </c>
      <c r="E27" s="49">
        <v>100000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258</v>
      </c>
      <c r="E31" s="93">
        <f>SUM(H25:H29)</f>
        <v>75.808333333333337</v>
      </c>
      <c r="F31" s="156" t="s">
        <v>259</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07"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283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68</v>
      </c>
      <c r="D13" s="144" t="str" cm="1">
        <f t="array" ref="D13:E14">_xlfn.CHOOSECOLS(Fertiliser_Equations_AtmosphericDeposition.VEERG_5_4_1_1__2_MassOfNitrogenVolatilisedFromInorganicFertiliser_Arguments(), 1, 2)</f>
        <v>MN_jf</v>
      </c>
      <c r="E13" s="151" t="str">
        <v>mass of nitrogen in inorganic fertiliser applied</v>
      </c>
      <c r="F13" s="150"/>
      <c r="G13" s="144" t="str" cm="1">
        <f t="array" ref="G13:H14">_xlfn.CHOOSECOLS(Fertiliser_Equations_AtmosphericDeposition.VEERG_5_4_1_1__2_MassOfNitrogenVolatilisedFromInorganicFertiliser_Arguments(), 3,4)</f>
        <v>kg N</v>
      </c>
      <c r="H13" s="117" t="str">
        <v>Calculated from 5.1.1.1 (2)</v>
      </c>
      <c r="I13" s="142"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4" t="str">
        <v>FracGASF_f</v>
      </c>
      <c r="E14" s="151" t="str">
        <v>fraction of inorganic fertiliser that volatilises</v>
      </c>
      <c r="F14" s="150"/>
      <c r="G14" s="144" t="str">
        <v>(kg NH3-N + NOx-N)/kg N</v>
      </c>
      <c r="H14" s="117" t="str">
        <v>Constant</v>
      </c>
      <c r="I14" s="142"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270</v>
      </c>
    </row>
    <row r="17" spans="1:8" ht="20.100000000000001" customHeight="1" x14ac:dyDescent="0.25">
      <c r="A17" s="17" t="str">
        <f>HYPERLINK("#'5.3.1.1-2 Lime CO2'!A1", "5.3.1.1-2 Lime CO2")</f>
        <v>5.3.1.1-2 Lime CO2</v>
      </c>
      <c r="D17" s="89" t="s">
        <v>271</v>
      </c>
    </row>
    <row r="18" spans="1:8" ht="20.100000000000001" customHeight="1" x14ac:dyDescent="0.25">
      <c r="A18" s="172" t="str">
        <f>HYPERLINK("#'5.4.1.1-4 Atmos deposition'!A1", "5.4.1.1-4 Atmos deposition")</f>
        <v>5.4.1.1-4 Atmos deposition</v>
      </c>
      <c r="D18" s="48" t="s">
        <v>266</v>
      </c>
      <c r="E18" s="48" t="s">
        <v>267</v>
      </c>
      <c r="F18" s="48" t="s">
        <v>109</v>
      </c>
      <c r="G18" s="161" t="s">
        <v>268</v>
      </c>
      <c r="H18" s="161" t="s">
        <v>269</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4600</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690</v>
      </c>
    </row>
    <row r="22" spans="1:8" ht="20.100000000000001" customHeight="1" x14ac:dyDescent="0.25">
      <c r="A22" s="176"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0</v>
      </c>
    </row>
    <row r="27" spans="1:8" ht="20.100000000000001" customHeight="1" x14ac:dyDescent="0.25">
      <c r="D27" s="49" t="str">
        <v>Nitrogen - Nitrate</v>
      </c>
      <c r="E27" s="49">
        <f>INDEX(Table_MN_j_f,10,4)</f>
        <v>1980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19.8</v>
      </c>
    </row>
    <row r="28" spans="1:8" ht="20.100000000000001" customHeight="1" x14ac:dyDescent="0.25">
      <c r="D28" s="49" t="str">
        <v>Nitrogen - Generic</v>
      </c>
      <c r="E28" s="49">
        <f>INDEX(Table_MN_j_f,11,4)</f>
        <v>1537.2</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230.57999999999998</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100000000000001"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100000000000001" customHeight="1" x14ac:dyDescent="0.25"/>
    <row r="39" spans="3:12" ht="20.100000000000001" customHeight="1" x14ac:dyDescent="0.25"/>
    <row r="40" spans="3:12" ht="20.100000000000001" customHeight="1" x14ac:dyDescent="0.25">
      <c r="C40" s="153"/>
      <c r="D40" s="153"/>
      <c r="E40" s="153"/>
      <c r="F40" s="153"/>
      <c r="G40" s="153"/>
      <c r="H40" s="153"/>
      <c r="I40" s="153"/>
      <c r="J40" s="153"/>
      <c r="K40" s="153"/>
      <c r="L40" s="153"/>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4" t="str" cm="1">
        <f t="array" ref="D49:E54">_xlfn.CHOOSECOLS(Fertiliser_Equations_AtmosphericDeposition.VEERG_5_4_1_1__1_InorganicFertiliserAtmosphericDepositionN2OEmissions_Arguments(), 1, 2)</f>
        <v>M_volinorganicjf</v>
      </c>
      <c r="E49" s="151" t="str">
        <v>mass of nitrogen volatilised from inorganic fertiliser applied to production system</v>
      </c>
      <c r="F49" s="152"/>
      <c r="G49" s="150"/>
      <c r="H49" s="144" t="str" cm="1">
        <f t="array" ref="H49:I54">_xlfn.CHOOSECOLS(Fertiliser_Equations_AtmosphericDeposition.VEERG_5_4_1_1__1_InorganicFertiliserAtmosphericDepositionN2OEmissions_Arguments(), 3,4)</f>
        <v>kg N</v>
      </c>
      <c r="I49" s="117" t="str">
        <v>Calculated from 5.4.1.1 (2)</v>
      </c>
      <c r="J49" s="142" t="str" cm="1">
        <f t="array" aca="1" ref="J49" ca="1">HYPERLINK(Common_InputFunctions.Utility_SourceHyperlink($D$16),$D$16)</f>
        <v>Table_M_vol_inorganic_j_f</v>
      </c>
    </row>
    <row r="50" spans="4:10" ht="20.100000000000001" customHeight="1" x14ac:dyDescent="0.25">
      <c r="D50" s="144" t="str">
        <v>EF_N2Oj</v>
      </c>
      <c r="E50" s="151" t="str">
        <v>emission factor for atmospheric deposition</v>
      </c>
      <c r="F50" s="152"/>
      <c r="G50" s="150"/>
      <c r="H50" s="144" t="str">
        <v>kg N2O-N/kg N</v>
      </c>
      <c r="I50" s="117" t="str">
        <v>Constant</v>
      </c>
      <c r="J50" s="144">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4" t="str">
        <v>C_N2O</v>
      </c>
      <c r="E51" s="151" t="str">
        <v>factor to convert elemental mass of nitrous oxide to molecular mass</v>
      </c>
      <c r="F51" s="152"/>
      <c r="G51" s="150"/>
      <c r="H51" s="144"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4" t="str">
        <v>j</v>
      </c>
      <c r="E52" s="151" t="str">
        <v>Production system</v>
      </c>
      <c r="F52" s="152"/>
      <c r="G52" s="150"/>
      <c r="H52" s="144" t="str">
        <v/>
      </c>
      <c r="I52" s="118" t="str">
        <v>Input</v>
      </c>
      <c r="J52" s="144" t="str">
        <f>X_Cell_Fertiliser_ProductionSystem</f>
        <v>Crop</v>
      </c>
    </row>
    <row r="53" spans="4:10" ht="20.100000000000001" customHeight="1" x14ac:dyDescent="0.25">
      <c r="D53" s="144" t="str">
        <v>ir</v>
      </c>
      <c r="E53" s="151" t="str">
        <v>irrigation method</v>
      </c>
      <c r="F53" s="152"/>
      <c r="G53" s="150"/>
      <c r="H53" s="144" t="str">
        <v/>
      </c>
      <c r="I53" s="118" t="str">
        <v>Input</v>
      </c>
      <c r="J53" s="144" t="str">
        <f>X_Cell_Fertiliser_IrrigationMethod</f>
        <v>Sprinkler irrigation</v>
      </c>
    </row>
    <row r="54" spans="4:10" ht="20.100000000000001" customHeight="1" x14ac:dyDescent="0.25">
      <c r="D54" s="144" t="str">
        <v>r</v>
      </c>
      <c r="E54" s="151" t="str">
        <v>rainfall region</v>
      </c>
      <c r="F54" s="152"/>
      <c r="G54" s="150"/>
      <c r="H54" s="144" t="str">
        <v/>
      </c>
      <c r="I54" s="118" t="str">
        <v>Input</v>
      </c>
      <c r="J54" s="144" t="str">
        <f>X_Cell_Site_RainfallZone</f>
        <v>Low rainfall</v>
      </c>
    </row>
    <row r="55" spans="4:10" ht="20.100000000000001" customHeight="1" x14ac:dyDescent="0.25"/>
    <row r="56" spans="4:10" ht="20.100000000000001" customHeight="1" x14ac:dyDescent="0.25">
      <c r="D56" s="90" t="s">
        <v>279</v>
      </c>
    </row>
    <row r="57" spans="4:10" ht="20.100000000000001" customHeight="1" x14ac:dyDescent="0.25">
      <c r="D57" s="89" t="s">
        <v>280</v>
      </c>
    </row>
    <row r="58" spans="4:10" ht="20.100000000000001" customHeight="1" x14ac:dyDescent="0.25">
      <c r="D58" s="48" t="s">
        <v>266</v>
      </c>
      <c r="E58" s="161" t="s">
        <v>269</v>
      </c>
      <c r="F58" s="161" t="s">
        <v>272</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690</v>
      </c>
      <c r="F61" s="49" cm="1">
        <f t="array" ref="F61">Fertiliser_Equations_AtmosphericDeposition.VEERG_5_4_1_1__1_InorganicFertiliserAtmosphericDepositionN2OEmissions(E61,$J$50,$J$51)</f>
        <v>7.5900000000000004E-3</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0</v>
      </c>
      <c r="F66" s="49" cm="1">
        <f t="array" ref="F66">Fertiliser_Equations_AtmosphericDeposition.VEERG_5_4_1_1__1_InorganicFertiliserAtmosphericDepositionN2OEmissions(E66,$J$50,$J$51)</f>
        <v>0</v>
      </c>
    </row>
    <row r="67" spans="4:6" ht="20.100000000000001" customHeight="1" x14ac:dyDescent="0.25">
      <c r="D67" s="49" t="str">
        <v>Nitrogen - Nitrate</v>
      </c>
      <c r="E67" s="49">
        <f t="shared" si="0"/>
        <v>19.8</v>
      </c>
      <c r="F67" s="49" cm="1">
        <f t="array" ref="F67">Fertiliser_Equations_AtmosphericDeposition.VEERG_5_4_1_1__1_InorganicFertiliserAtmosphericDepositionN2OEmissions(E67,$J$50,$J$51)</f>
        <v>2.1780000000000001E-4</v>
      </c>
    </row>
    <row r="68" spans="4:6" ht="20.100000000000001" customHeight="1" x14ac:dyDescent="0.25">
      <c r="D68" s="49" t="str">
        <v>Nitrogen - Generic</v>
      </c>
      <c r="E68" s="49">
        <f t="shared" si="0"/>
        <v>230.57999999999998</v>
      </c>
      <c r="F68" s="49" cm="1">
        <f t="array" ref="F68">Fertiliser_Equations_AtmosphericDeposition.VEERG_5_4_1_1__1_InorganicFertiliserAtmosphericDepositionN2OEmissions(E68,$J$50,$J$51)</f>
        <v>2.53638E-3</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100000000000001"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2" t="s">
        <v>277</v>
      </c>
      <c r="E79" s="93">
        <f>SUM(F59:F77)</f>
        <v>1.4052830000000001E-2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1.4052830000000001E-2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78</v>
      </c>
      <c r="E84" s="43" cm="1">
        <f t="array" ref="E84">Common_Equations.Common_ConvertN2OToCO2e(G81,G82)</f>
        <v>3.7239999500000001</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3"/>
      <c r="D87" s="153"/>
      <c r="E87" s="153"/>
      <c r="F87" s="153"/>
      <c r="G87" s="153"/>
      <c r="H87" s="153"/>
      <c r="I87" s="153"/>
      <c r="J87" s="153"/>
      <c r="K87" s="153"/>
      <c r="L87" s="153"/>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4" t="str" cm="1">
        <f t="array" ref="D96:E97">_xlfn.CHOOSECOLS(Fertiliser_Equations_AtmosphericDeposition.VEERG_5_4_1_3__2_MassOfNitrogenVolatilisedFromOrganicFertiliser_Arguments(), 1, 2)</f>
        <v>MNSoil_jf</v>
      </c>
      <c r="E96" s="144" t="str">
        <v>mass of nitrogen in organic fertiliser type f applied to production system j</v>
      </c>
      <c r="F96" s="144"/>
      <c r="G96" s="144" t="str" cm="1">
        <f t="array" ref="G96:H97">_xlfn.CHOOSECOLS(Fertiliser_Equations_AtmosphericDeposition.VEERG_5_4_1_3__2_MassOfNitrogenVolatilisedFromOrganicFertiliser_Arguments(), 3,4)</f>
        <v>kg N</v>
      </c>
      <c r="H96" s="117" t="str">
        <v>Calculated from 5.2.1.1 (2)</v>
      </c>
      <c r="I96" s="142" t="str" cm="1">
        <f t="array" aca="1" ref="I96" ca="1">HYPERLINK(Common_InputFunctions.Utility_SourceHyperlink($D$99), $D$99)</f>
        <v>Table_M_vol_organic_j_f</v>
      </c>
    </row>
    <row r="97" spans="4:9" ht="20.100000000000001" customHeight="1" x14ac:dyDescent="0.25">
      <c r="D97" s="144" t="str">
        <v>FracGASM_soil</v>
      </c>
      <c r="E97" s="144" t="str">
        <v>fraction of organic fertiliser N that volatilises</v>
      </c>
      <c r="F97" s="144"/>
      <c r="G97" s="144" t="str">
        <v>(kg NH3-N + NOx-N)/kg N</v>
      </c>
      <c r="H97" s="117" t="str">
        <v>Constant</v>
      </c>
      <c r="I97" s="144">
        <f>'Constants - Fertiliser'!$E$73</f>
        <v>0.21</v>
      </c>
    </row>
    <row r="98" spans="4:9" ht="20.100000000000001" customHeight="1" x14ac:dyDescent="0.25"/>
    <row r="99" spans="4:9" ht="20.100000000000001" customHeight="1" x14ac:dyDescent="0.25">
      <c r="D99" s="90" t="s">
        <v>273</v>
      </c>
    </row>
    <row r="100" spans="4:9" ht="20.100000000000001" customHeight="1" x14ac:dyDescent="0.25">
      <c r="D100" s="89" t="s">
        <v>274</v>
      </c>
    </row>
    <row r="101" spans="4:9" ht="20.100000000000001" customHeight="1" x14ac:dyDescent="0.25">
      <c r="D101" s="110" t="s">
        <v>243</v>
      </c>
      <c r="E101" s="145" t="s">
        <v>247</v>
      </c>
      <c r="F101" s="145" t="s">
        <v>276</v>
      </c>
    </row>
    <row r="102" spans="4:9" ht="20.100000000000001"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100000000000001"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100000000000001"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3"/>
      <c r="D115" s="153"/>
      <c r="E115" s="153"/>
      <c r="F115" s="153"/>
      <c r="G115" s="153"/>
      <c r="H115" s="153"/>
      <c r="I115" s="153"/>
      <c r="J115" s="153"/>
      <c r="K115" s="153"/>
      <c r="L115" s="153"/>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4" t="str" cm="1">
        <f t="array" ref="D124:E129">_xlfn.CHOOSECOLS(Fertiliser_Equations_AtmosphericDeposition.VEERG_5_4_1_3__1_OrganicFertiliserAtmosphericDepositionN2OEmissions_Arguments(), 1, 2)</f>
        <v>M_volorganicjf</v>
      </c>
      <c r="E124" s="151" t="str">
        <v>mass of nitrogen volatilised from organic fertiliser applied to production system</v>
      </c>
      <c r="F124" s="150"/>
      <c r="G124" s="144" t="str" cm="1">
        <f t="array" ref="G124:H129">_xlfn.CHOOSECOLS(Fertiliser_Equations_AtmosphericDeposition.VEERG_5_4_1_3__1_OrganicFertiliserAtmosphericDepositionN2OEmissions_Arguments(), 3,4)</f>
        <v>kg N</v>
      </c>
      <c r="H124" s="117" t="str">
        <v>Calculated from 5.4.1.3 (2)</v>
      </c>
      <c r="I124" s="142" t="str" cm="1">
        <f t="array" aca="1" ref="I124" ca="1">HYPERLINK(Common_InputFunctions.Utility_SourceHyperlink($D$99), $D$99)</f>
        <v>Table_M_vol_organic_j_f</v>
      </c>
    </row>
    <row r="125" spans="3:12" ht="20.100000000000001" customHeight="1" x14ac:dyDescent="0.25">
      <c r="D125" s="144" t="str">
        <v>EF_N2Oj</v>
      </c>
      <c r="E125" s="151" t="str">
        <v>emission factor for atmospheric deposition in production system j</v>
      </c>
      <c r="F125" s="150"/>
      <c r="G125" s="144" t="str">
        <v>kg N2O-N/kg N</v>
      </c>
      <c r="H125" s="117" t="str">
        <v>Constant</v>
      </c>
      <c r="I125" s="144">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4" t="str">
        <v>C_N2O</v>
      </c>
      <c r="E126" s="151" t="str">
        <v>factor to convert elemental mass of nitrous oxide to molecular mass</v>
      </c>
      <c r="F126" s="150"/>
      <c r="G126" s="144"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4" t="str">
        <v>j</v>
      </c>
      <c r="E127" s="151" t="str">
        <v>Production system</v>
      </c>
      <c r="F127" s="150"/>
      <c r="G127" s="144" t="str">
        <v/>
      </c>
      <c r="H127" s="118" t="str">
        <v>Input</v>
      </c>
      <c r="I127" s="144" t="str">
        <f>X_Cell_Fertiliser_ProductionSystem</f>
        <v>Crop</v>
      </c>
    </row>
    <row r="128" spans="3:12" ht="20.100000000000001" customHeight="1" x14ac:dyDescent="0.25">
      <c r="D128" s="144" t="str">
        <v>ir</v>
      </c>
      <c r="E128" s="151" t="str">
        <v>irrigation method</v>
      </c>
      <c r="F128" s="150"/>
      <c r="G128" s="144" t="str">
        <v/>
      </c>
      <c r="H128" s="118" t="str">
        <v>Input</v>
      </c>
      <c r="I128" s="144" t="str">
        <f>X_Cell_Fertiliser_IrrigationMethod</f>
        <v>Sprinkler irrigation</v>
      </c>
    </row>
    <row r="129" spans="4:9" ht="20.100000000000001" customHeight="1" x14ac:dyDescent="0.25">
      <c r="D129" s="144" t="str">
        <v>r</v>
      </c>
      <c r="E129" s="151" t="str">
        <v>rainfall region</v>
      </c>
      <c r="F129" s="150"/>
      <c r="G129" s="144" t="str">
        <v/>
      </c>
      <c r="H129" s="118" t="str">
        <v>Input</v>
      </c>
      <c r="I129" s="144" t="str">
        <f>X_Cell_Site_RainfallZone</f>
        <v>Low rainfall</v>
      </c>
    </row>
    <row r="130" spans="4:9" ht="20.100000000000001" customHeight="1" x14ac:dyDescent="0.25"/>
    <row r="131" spans="4:9" ht="20.100000000000001" customHeight="1" x14ac:dyDescent="0.25">
      <c r="D131" s="90" t="s">
        <v>281</v>
      </c>
    </row>
    <row r="132" spans="4:9" ht="20.100000000000001" customHeight="1" x14ac:dyDescent="0.25">
      <c r="D132" s="89" t="s">
        <v>282</v>
      </c>
    </row>
    <row r="133" spans="4:9" ht="20.100000000000001" customHeight="1" x14ac:dyDescent="0.25">
      <c r="D133" s="110" t="s">
        <v>243</v>
      </c>
      <c r="E133" s="145" t="s">
        <v>276</v>
      </c>
      <c r="F133" s="145" t="s">
        <v>275</v>
      </c>
    </row>
    <row r="134" spans="4:9" ht="20.100000000000001"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100000000000001"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100000000000001"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278</v>
      </c>
      <c r="E146" s="93">
        <f>SUM(F134:F144)</f>
        <v>1.6401E-3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1.6401E-3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78</v>
      </c>
      <c r="E151" s="43" cm="1">
        <f t="array" ref="E151">Common_Equations.Common_ConvertN2OToCO2e(G148,G149)</f>
        <v>0.43462650000000003</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5"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284</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68</v>
      </c>
      <c r="D13" s="144" t="str" cm="1">
        <f t="array" ref="D13:E18">_xlfn.CHOOSECOLS(Fertiliser_Equations_LeachingAndRunoff.VEERG_5_5_1_1__2_MassOfNitrogenLeachedFromInorganicFertiliser_Arguments(), 1, 2)</f>
        <v>MN_jf</v>
      </c>
      <c r="E13" s="151" t="str">
        <v>mass of nitrogen in inorganic fertiliser</v>
      </c>
      <c r="F13" s="150"/>
      <c r="G13" s="144" t="str" cm="1">
        <f t="array" ref="G13:H18">_xlfn.CHOOSECOLS(Fertiliser_Equations_LeachingAndRunoff.VEERG_5_5_1_1__2_MassOfNitrogenLeachedFromInorganicFertiliser_Arguments(), 3,4)</f>
        <v>kg N</v>
      </c>
      <c r="H13" s="117" t="str">
        <v>Calculated from 5.1.1.1 (2)</v>
      </c>
      <c r="I13" s="142"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4" t="str">
        <v>FracWETj</v>
      </c>
      <c r="E14" s="151" t="str">
        <v>fraction of N available for leaching and runoff</v>
      </c>
      <c r="F14" s="150"/>
      <c r="G14" s="144" t="str">
        <v>fraction</v>
      </c>
      <c r="H14" s="117" t="str">
        <v>Constant</v>
      </c>
      <c r="I14" s="144">
        <f>Common_InputFunctions.CommonCropping_GetFracWET(I16,I18,#REF!,#REF!,Table_SourceData_FracWETIrrigation[Irrigation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4" t="str">
        <v>FracLEACH</v>
      </c>
      <c r="E15" s="151" t="str">
        <v>fraction of N that is lost through leaching and runoff</v>
      </c>
      <c r="F15" s="150"/>
      <c r="G15" s="144" t="str">
        <v>fraction</v>
      </c>
      <c r="H15" s="117" t="str">
        <v>Constant</v>
      </c>
      <c r="I15" s="144">
        <f>'Constants - Fertiliser'!$E$78</f>
        <v>0.24</v>
      </c>
    </row>
    <row r="16" spans="1:20" ht="20.100000000000001" customHeight="1" x14ac:dyDescent="0.25">
      <c r="A16" s="17" t="str">
        <f>HYPERLINK("#'5.2.1.1-2 Organic Fert N2O'!A1", "5.2.1.1-2 Organic Fert N2O")</f>
        <v>5.2.1.1-2 Organic Fert N2O</v>
      </c>
      <c r="D16" s="144" t="str">
        <v>z</v>
      </c>
      <c r="E16" s="151" t="str">
        <v>location in leaching zone</v>
      </c>
      <c r="F16" s="150"/>
      <c r="G16" s="144" t="str">
        <v/>
      </c>
      <c r="H16" s="118" t="str">
        <v>Input</v>
      </c>
      <c r="I16" s="144" t="str">
        <f>X_Cell_Site_LeachingZone</f>
        <v>NO - Not in leaching zone</v>
      </c>
    </row>
    <row r="17" spans="1:9" ht="20.100000000000001" customHeight="1" x14ac:dyDescent="0.25">
      <c r="A17" s="17" t="str">
        <f>HYPERLINK("#'5.3.1.1-2 Lime CO2'!A1", "5.3.1.1-2 Lime CO2")</f>
        <v>5.3.1.1-2 Lime CO2</v>
      </c>
      <c r="D17" s="144" t="str">
        <v>j</v>
      </c>
      <c r="E17" s="151" t="str">
        <v>production system</v>
      </c>
      <c r="F17" s="150"/>
      <c r="G17" s="144" t="str">
        <v/>
      </c>
      <c r="H17" s="118" t="str">
        <v>Input</v>
      </c>
      <c r="I17" s="144" t="str">
        <f>X_Cell_Fertiliser_ProductionSystem</f>
        <v>Crop</v>
      </c>
    </row>
    <row r="18" spans="1:9" ht="20.100000000000001" customHeight="1" x14ac:dyDescent="0.25">
      <c r="A18" s="17" t="str">
        <f>HYPERLINK("#'5.4.1.1-4 Atmos deposition'!A1", "5.4.1.1-4 Atmos deposition")</f>
        <v>5.4.1.1-4 Atmos deposition</v>
      </c>
      <c r="D18" s="144" t="str">
        <v>ir</v>
      </c>
      <c r="E18" s="151" t="str">
        <v>irrigation method</v>
      </c>
      <c r="F18" s="150"/>
      <c r="G18" s="144" t="str">
        <v/>
      </c>
      <c r="H18" s="118" t="str">
        <v>Input</v>
      </c>
      <c r="I18" s="144" t="str">
        <f>X_Cell_Fertiliser_IrrigationMethod</f>
        <v>Sprinkler irrigation</v>
      </c>
    </row>
    <row r="19" spans="1:9" ht="20.100000000000001" customHeight="1" x14ac:dyDescent="0.25">
      <c r="A19" s="172" t="str">
        <f>HYPERLINK("#'5.5.1.1-2 Leaching and runoff'!A1", "5.5.1.1-2 Leaching and runoff")</f>
        <v>5.5.1.1-2 Leaching and runoff</v>
      </c>
    </row>
    <row r="20" spans="1:9" ht="20.100000000000001" customHeight="1" x14ac:dyDescent="0.25">
      <c r="D20" s="90" t="s">
        <v>286</v>
      </c>
    </row>
    <row r="21" spans="1:9" ht="20.100000000000001" customHeight="1" x14ac:dyDescent="0.25">
      <c r="D21" s="89" t="s">
        <v>289</v>
      </c>
    </row>
    <row r="22" spans="1:9" ht="20.100000000000001" customHeight="1" x14ac:dyDescent="0.25">
      <c r="A22" s="176" t="s">
        <v>1</v>
      </c>
      <c r="D22" s="48" t="s">
        <v>111</v>
      </c>
      <c r="E22" s="48" t="s">
        <v>267</v>
      </c>
      <c r="F22" s="48" t="s">
        <v>285</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4600</v>
      </c>
      <c r="F25" s="49" cm="1">
        <f t="array" ref="F25">Fertiliser_Equations_LeachingAndRunoff.VEERG_5_5_1_1__2_MassOfNitrogenLeachedFromInorganicFertiliser(E25, $I$14, $I$15)</f>
        <v>1104</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0</v>
      </c>
      <c r="F30" s="49" cm="1">
        <f t="array" ref="F30">Fertiliser_Equations_LeachingAndRunoff.VEERG_5_5_1_1__2_MassOfNitrogenLeachedFromInorganicFertiliser(E30, $I$14, $I$15)</f>
        <v>0</v>
      </c>
    </row>
    <row r="31" spans="1:9" ht="20.100000000000001" customHeight="1" x14ac:dyDescent="0.25">
      <c r="D31" s="49" t="str">
        <v>Nitrogen - Nitrate</v>
      </c>
      <c r="E31" s="49">
        <f>INDEX(Table_MN_j_f,10,4)</f>
        <v>1980</v>
      </c>
      <c r="F31" s="49" cm="1">
        <f t="array" ref="F31">Fertiliser_Equations_LeachingAndRunoff.VEERG_5_5_1_1__2_MassOfNitrogenLeachedFromInorganicFertiliser(E31, $I$14, $I$15)</f>
        <v>475.2</v>
      </c>
    </row>
    <row r="32" spans="1:9" ht="20.100000000000001" customHeight="1" x14ac:dyDescent="0.25">
      <c r="D32" s="49" t="str">
        <v>Nitrogen - Generic</v>
      </c>
      <c r="E32" s="49">
        <f>INDEX(Table_MN_j_f,11,4)</f>
        <v>1537.2</v>
      </c>
      <c r="F32" s="49" cm="1">
        <f t="array" ref="F32">Fertiliser_Equations_LeachingAndRunoff.VEERG_5_5_1_1__2_MassOfNitrogenLeachedFromInorganicFertiliser(E32, $I$14, $I$15)</f>
        <v>368.928</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4117.5</v>
      </c>
      <c r="F40" s="49" cm="1">
        <f t="array" ref="F40">Fertiliser_Equations_LeachingAndRunoff.VEERG_5_5_1_1__2_MassOfNitrogenLeachedFromInorganicFertiliser(E40, $I$14, $I$15)</f>
        <v>988.19999999999993</v>
      </c>
    </row>
    <row r="41" spans="3:11" ht="20.100000000000001" customHeight="1" x14ac:dyDescent="0.25">
      <c r="D41" s="49" t="str">
        <v>Calcium nitrate</v>
      </c>
      <c r="E41" s="49">
        <f>INDEX(Table_MN_j_f,20,4)</f>
        <v>775</v>
      </c>
      <c r="F41" s="49" cm="1">
        <f t="array" ref="F41">Fertiliser_Equations_LeachingAndRunoff.VEERG_5_5_1_1__2_MassOfNitrogenLeachedFromInorganicFertiliser(E41, $I$14, $I$15)</f>
        <v>186</v>
      </c>
    </row>
    <row r="42" spans="3:11" ht="20.100000000000001" customHeight="1" x14ac:dyDescent="0.25"/>
    <row r="43" spans="3:11" ht="20.100000000000001" customHeight="1" x14ac:dyDescent="0.25">
      <c r="D43" s="146" t="s">
        <v>287</v>
      </c>
      <c r="E43" s="43">
        <f>SUM(F23:F41)</f>
        <v>3122.328</v>
      </c>
      <c r="F43" s="96" t="str">
        <f>$E$11</f>
        <v>kg N</v>
      </c>
    </row>
    <row r="44" spans="3:11" ht="20.100000000000001" customHeight="1" x14ac:dyDescent="0.25"/>
    <row r="45" spans="3:11" ht="20.100000000000001" customHeight="1" x14ac:dyDescent="0.25">
      <c r="C45" s="162"/>
      <c r="D45" s="162"/>
      <c r="E45" s="162"/>
      <c r="F45" s="162"/>
      <c r="G45" s="162"/>
      <c r="H45" s="162"/>
      <c r="I45" s="162"/>
      <c r="J45" s="162"/>
      <c r="K45" s="162"/>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4" t="str" cm="1">
        <f t="array" ref="D55:E60">_xlfn.CHOOSECOLS(Fertiliser_Equations_LeachingAndRunoff.VEERG_5_5_1_1__3_MassOfNitrogenLeachedFromOrganicFertiliser_Arguments(), 1, 2)</f>
        <v>MNSoil_jf</v>
      </c>
      <c r="E55" s="151" t="str">
        <v>mass of nitrogen in organic fertiliser</v>
      </c>
      <c r="F55" s="150"/>
      <c r="G55" s="144" t="str" cm="1">
        <f t="array" ref="G55:H60">_xlfn.CHOOSECOLS(Fertiliser_Equations_LeachingAndRunoff.VEERG_5_5_1_1__3_MassOfNitrogenLeachedFromOrganicFertiliser_Arguments(), 3,4)</f>
        <v>kg N</v>
      </c>
      <c r="H55" s="117" t="str">
        <v>Calculated from 5.2.1.1 (2)</v>
      </c>
      <c r="I55" s="142" t="str" cm="1">
        <f t="array" aca="1" ref="I55" ca="1">HYPERLINK(Common_InputFunctions.Utility_SourceHyperlink(D62), D62)</f>
        <v>Table_M_leach_organic_j</v>
      </c>
    </row>
    <row r="56" spans="4:9" ht="20.100000000000001" customHeight="1" x14ac:dyDescent="0.25">
      <c r="D56" s="144" t="str">
        <v>FracWETj</v>
      </c>
      <c r="E56" s="151" t="str">
        <v>fraction of N available for leaching and runoff</v>
      </c>
      <c r="F56" s="150"/>
      <c r="G56" s="144" t="str">
        <v>fraction</v>
      </c>
      <c r="H56" s="117" t="str">
        <v>Constant</v>
      </c>
      <c r="I56" s="144">
        <f>Common_InputFunctions.CommonCropping_GetFracWET(I58,I60,#REF!,#REF!,Table_SourceData_FracWETIrrigation[Irrigation type i],Table_SourceData_FracWETIrrigation[FracWET])</f>
        <v>1</v>
      </c>
    </row>
    <row r="57" spans="4:9" ht="20.100000000000001" customHeight="1" x14ac:dyDescent="0.25">
      <c r="D57" s="144" t="str">
        <v>FracLEACH</v>
      </c>
      <c r="E57" s="151" t="str">
        <v>fraction of N that is lost through leaching and runoff</v>
      </c>
      <c r="F57" s="150"/>
      <c r="G57" s="144" t="str">
        <v>fraction</v>
      </c>
      <c r="H57" s="117" t="str">
        <v>Constant</v>
      </c>
      <c r="I57" s="144">
        <f>'Constants - Fertiliser'!$E$78</f>
        <v>0.24</v>
      </c>
    </row>
    <row r="58" spans="4:9" ht="20.100000000000001" customHeight="1" x14ac:dyDescent="0.25">
      <c r="D58" s="144" t="str">
        <v>z</v>
      </c>
      <c r="E58" s="151" t="str">
        <v>location in leaching zone</v>
      </c>
      <c r="F58" s="150"/>
      <c r="G58" s="144" t="str">
        <v/>
      </c>
      <c r="H58" s="118" t="str">
        <v>Input</v>
      </c>
      <c r="I58" s="144" t="str">
        <f>X_Cell_Site_LeachingZone</f>
        <v>NO - Not in leaching zone</v>
      </c>
    </row>
    <row r="59" spans="4:9" ht="20.100000000000001" customHeight="1" x14ac:dyDescent="0.25">
      <c r="D59" s="144" t="str">
        <v>j</v>
      </c>
      <c r="E59" s="151" t="str">
        <v>production system</v>
      </c>
      <c r="F59" s="150"/>
      <c r="G59" s="144" t="str">
        <v/>
      </c>
      <c r="H59" s="118" t="str">
        <v>Input</v>
      </c>
      <c r="I59" s="144" t="str">
        <f>X_Cell_Fertiliser_ProductionSystem</f>
        <v>Crop</v>
      </c>
    </row>
    <row r="60" spans="4:9" ht="20.100000000000001" customHeight="1" x14ac:dyDescent="0.25">
      <c r="D60" s="144" t="str">
        <v>ir</v>
      </c>
      <c r="E60" s="151" t="str">
        <v>irrigation method</v>
      </c>
      <c r="F60" s="150"/>
      <c r="G60" s="144" t="str">
        <v/>
      </c>
      <c r="H60" s="118" t="str">
        <v>Input</v>
      </c>
      <c r="I60" s="144" t="str">
        <f>X_Cell_Fertiliser_IrrigationMethod</f>
        <v>Sprinkler irrigation</v>
      </c>
    </row>
    <row r="61" spans="4:9" ht="20.100000000000001" customHeight="1" x14ac:dyDescent="0.25"/>
    <row r="62" spans="4:9" ht="20.100000000000001" customHeight="1" x14ac:dyDescent="0.25">
      <c r="D62" s="90" t="s">
        <v>288</v>
      </c>
    </row>
    <row r="63" spans="4:9" ht="20.100000000000001" customHeight="1" x14ac:dyDescent="0.25">
      <c r="D63" s="89" t="s">
        <v>290</v>
      </c>
    </row>
    <row r="64" spans="4:9" ht="20.100000000000001" customHeight="1" x14ac:dyDescent="0.25">
      <c r="D64" s="110" t="s">
        <v>243</v>
      </c>
      <c r="E64" s="163" t="s">
        <v>247</v>
      </c>
      <c r="F64" s="48" t="s">
        <v>291</v>
      </c>
    </row>
    <row r="65" spans="3:11" ht="20.100000000000001" customHeight="1" x14ac:dyDescent="0.25">
      <c r="D65" s="49" t="str">
        <f>INDEX(Table_MNSoil_j_f,2,1)</f>
        <v>Manure - Other</v>
      </c>
      <c r="E65" s="49">
        <f>INDEX(Table_MNSoil_j_f,2,6)</f>
        <v>300</v>
      </c>
      <c r="F65" s="49" cm="1">
        <f t="array" ref="F65">Fertiliser_Equations_LeachingAndRunoff.VEERG_5_5_1_1__3_MassOfNitrogenLeachedFromOrganicFertiliser(E65,$I$56, $I$57)</f>
        <v>72</v>
      </c>
    </row>
    <row r="66" spans="3:11" ht="20.100000000000001"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60</v>
      </c>
    </row>
    <row r="67" spans="3:11" ht="20.100000000000001"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38.4</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6" t="s">
        <v>292</v>
      </c>
      <c r="E77" s="43">
        <f>SUM(F65:F75)</f>
        <v>170.4</v>
      </c>
      <c r="F77" s="96" t="str">
        <f>$E$53</f>
        <v>kg N</v>
      </c>
    </row>
    <row r="78" spans="3:11" ht="20.100000000000001" customHeight="1" x14ac:dyDescent="0.25"/>
    <row r="79" spans="3:11" ht="20.100000000000001" customHeight="1" x14ac:dyDescent="0.25">
      <c r="C79" s="162"/>
      <c r="D79" s="162"/>
      <c r="E79" s="162"/>
      <c r="F79" s="162"/>
      <c r="G79" s="162"/>
      <c r="H79" s="162"/>
      <c r="I79" s="162"/>
      <c r="J79" s="162"/>
      <c r="K79" s="162"/>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4" t="str" cm="1">
        <f t="array" ref="D89:E92">_xlfn.CHOOSECOLS(Fertiliser_Equations_LeachingAndRunoff.VEERG_5_5_1_1__1_FertiliserLeachingAndRunoffN2OEmissions_Arguments(), 1, 2)</f>
        <v>M_leachinorganicj</v>
      </c>
      <c r="E89" s="151" t="str">
        <v>mass of nitrogen lost through leaching and runoff from inorganic fertiliser application in production system j</v>
      </c>
      <c r="F89" s="152"/>
      <c r="G89" s="150"/>
      <c r="H89" s="144" t="str" cm="1">
        <f t="array" ref="H89:I92">_xlfn.CHOOSECOLS(Fertiliser_Equations_LeachingAndRunoff.VEERG_5_5_1_1__1_FertiliserLeachingAndRunoffN2OEmissions_Arguments(), 3,4)</f>
        <v>kg N</v>
      </c>
      <c r="I89" s="117" t="str">
        <v>Calculated from 5.5.1.1 (2)</v>
      </c>
      <c r="J89" s="144">
        <f>$E$43</f>
        <v>3122.328</v>
      </c>
    </row>
    <row r="90" spans="4:10" ht="20.100000000000001" customHeight="1" x14ac:dyDescent="0.25">
      <c r="D90" s="144" t="str">
        <v>M_leachorganicj</v>
      </c>
      <c r="E90" s="151" t="str">
        <v>mass of nitrogen lost through leaching and runoff from organic fertiliser application</v>
      </c>
      <c r="F90" s="152"/>
      <c r="G90" s="150"/>
      <c r="H90" s="144" t="str">
        <v>kg N</v>
      </c>
      <c r="I90" s="117" t="str">
        <v>Calculated from 5.5.1.1 (3)</v>
      </c>
      <c r="J90" s="144">
        <f>$E$77</f>
        <v>170.4</v>
      </c>
    </row>
    <row r="91" spans="4:10" ht="20.100000000000001" customHeight="1" x14ac:dyDescent="0.25">
      <c r="D91" s="144" t="str">
        <v>EF_leach</v>
      </c>
      <c r="E91" s="151" t="str">
        <v>emission factor for nitrogen leaching and runoff</v>
      </c>
      <c r="F91" s="152"/>
      <c r="G91" s="150"/>
      <c r="H91" s="144" t="str">
        <v>kg N2O-N/kg N</v>
      </c>
      <c r="I91" s="117" t="str">
        <v>Constant</v>
      </c>
      <c r="J91" s="144">
        <f>'Constants - Fertiliser'!$E$83</f>
        <v>1.0999999999999999E-2</v>
      </c>
    </row>
    <row r="92" spans="4:10" ht="20.100000000000001" customHeight="1" x14ac:dyDescent="0.25">
      <c r="D92" s="144" t="str">
        <v>C_N2O</v>
      </c>
      <c r="E92" s="151" t="str">
        <v>factor to convert elemental mass of nitrous oxide to molecular mass</v>
      </c>
      <c r="F92" s="152"/>
      <c r="G92" s="150"/>
      <c r="H92" s="144"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293</v>
      </c>
      <c r="E94" s="93" cm="1">
        <f t="array" ref="E94">Fertiliser_Equations_LeachingAndRunoff.VEERG_5_5_1_1__1_FertiliserLeachingAndRunoffN2OEmissions(J89,J90,J91,J92)</f>
        <v>5.6917155428571425E-2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5.6917155428571425E-2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78</v>
      </c>
      <c r="E99" s="43" cm="1">
        <f t="array" ref="E99">Common_Equations.Common_ConvertN2OToCO2e(G96,G97)</f>
        <v>15.083046188571428</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7"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108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5"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52" t="str" cm="1">
        <f t="array" ref="D7:D18">Fertiliser_SourceData.Fertiliser_ChemicalCompoundElements_Variation()</f>
        <v>VARIATION ON SOURCE</v>
      </c>
    </row>
    <row r="8" spans="1:35" ht="20.100000000000001" customHeight="1" x14ac:dyDescent="0.25">
      <c r="A8" s="19" t="s">
        <v>0</v>
      </c>
      <c r="D8" s="52" t="str">
        <v>Added 'Basis' column to allow cross-referencing with table Table A.2.2.6: Fraction of inorganic fertiliser f that volatilises as NH3 and NOx ((kg NH3-N + NOx-N)/kg N) (FracGASFf)</v>
      </c>
    </row>
    <row r="9" spans="1:35" ht="20.100000000000001" customHeight="1" x14ac:dyDescent="0.25">
      <c r="A9" s="17" t="str">
        <f>HYPERLINK("#'Input - Site'!A1", "Site")</f>
        <v>Site</v>
      </c>
      <c r="D9" s="52" t="str">
        <v>Added extra fertiliser types and generic chemical compounds to allow for custom NPKS blends</v>
      </c>
    </row>
    <row r="10" spans="1:35" ht="20.100000000000001" customHeight="1" x14ac:dyDescent="0.25">
      <c r="A10" s="17" t="str">
        <f>HYPERLINK("#'Input - Fertiliser'!A1", "Fertiliser")</f>
        <v>Fertiliser</v>
      </c>
      <c r="D10" s="52" t="str">
        <v>Added extra 'Scope 3 definition' column to allow mapping with scope 3 data</v>
      </c>
    </row>
    <row r="11" spans="1:35" ht="20.100000000000001" customHeight="1" x14ac:dyDescent="0.25">
      <c r="D11" s="52" t="str">
        <v>Added 'Source' column</v>
      </c>
    </row>
    <row r="12" spans="1:35" ht="20.100000000000001" customHeight="1" x14ac:dyDescent="0.25">
      <c r="D12" s="52" t="str">
        <v>Combined data from Table A.2.2.3 and Table A.2.2.4 into one table to aid lookup.</v>
      </c>
    </row>
    <row r="13" spans="1:35" ht="20.100000000000001" customHeight="1" x14ac:dyDescent="0.25">
      <c r="A13" s="18" t="s">
        <v>68</v>
      </c>
      <c r="D13" s="52" t="str">
        <v>Excluded 'References' column</v>
      </c>
    </row>
    <row r="14" spans="1:35" ht="20.100000000000001" customHeight="1" x14ac:dyDescent="0.25">
      <c r="A14" s="17" t="str">
        <f>HYPERLINK("#'5.1.1.1-2 Inorganic fert N2O'!A1", "5.1.1.1-2 Inorganic fert N2O")</f>
        <v>5.1.1.1-2 Inorganic fert N2O</v>
      </c>
      <c r="D14" s="52" t="str">
        <v>Excluded 'Ammonium sulfate' as it is a duplicate of 'Sulphate of ammonia (SOA)'</v>
      </c>
    </row>
    <row r="15" spans="1:35" ht="20.100000000000001" customHeight="1" x14ac:dyDescent="0.25">
      <c r="A15" s="17" t="str">
        <f>HYPERLINK("#'5.1.1.3-4 Inorganic fert CO2'!A1", "5.1.1.3-4 Inorganic fert CO2")</f>
        <v>5.1.1.3-4 Inorganic fert CO2</v>
      </c>
      <c r="D15" s="52" t="str">
        <v>Excluded 'Calcium nitrate' as no scope 3 value available.</v>
      </c>
    </row>
    <row r="16" spans="1:35"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6"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3"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309</v>
      </c>
      <c r="F40" s="6" t="s">
        <v>162</v>
      </c>
      <c r="H40" s="6" t="s">
        <v>132</v>
      </c>
      <c r="J40" s="6" t="s">
        <v>235</v>
      </c>
    </row>
    <row r="41" spans="4:10" ht="20.100000000000001" customHeight="1" x14ac:dyDescent="0.25">
      <c r="D41" s="36" t="s">
        <v>86</v>
      </c>
      <c r="F41" s="36" t="s">
        <v>86</v>
      </c>
      <c r="H41" s="36" t="s">
        <v>85</v>
      </c>
      <c r="J41" s="36" t="s">
        <v>236</v>
      </c>
    </row>
    <row r="42" spans="4:10" ht="20.100000000000001" customHeight="1" x14ac:dyDescent="0.25">
      <c r="D42" s="36" t="s">
        <v>133</v>
      </c>
      <c r="F42" s="36" t="s">
        <v>133</v>
      </c>
      <c r="H42" s="36" t="s">
        <v>134</v>
      </c>
      <c r="J42" s="36" t="s">
        <v>237</v>
      </c>
    </row>
    <row r="43" spans="4:10" ht="20.100000000000001" customHeight="1" x14ac:dyDescent="0.25">
      <c r="D43" s="1" t="s">
        <v>130</v>
      </c>
      <c r="F43" s="1" t="s">
        <v>140</v>
      </c>
      <c r="H43" s="36" t="s">
        <v>135</v>
      </c>
      <c r="J43" s="1" t="s">
        <v>238</v>
      </c>
    </row>
    <row r="44" spans="4:10" ht="20.100000000000001" customHeight="1" x14ac:dyDescent="0.25">
      <c r="F44" s="1" t="s">
        <v>138</v>
      </c>
      <c r="H44" s="1" t="s">
        <v>131</v>
      </c>
      <c r="J44" s="1" t="s">
        <v>239</v>
      </c>
    </row>
    <row r="45" spans="4:10" ht="20.100000000000001" customHeight="1" x14ac:dyDescent="0.25">
      <c r="F45" s="1" t="s">
        <v>139</v>
      </c>
      <c r="H45" s="1" t="s">
        <v>136</v>
      </c>
      <c r="J45" s="1" t="s">
        <v>240</v>
      </c>
    </row>
    <row r="46" spans="4:10" ht="20.100000000000001" customHeight="1" x14ac:dyDescent="0.25">
      <c r="H46" s="1" t="s">
        <v>137</v>
      </c>
      <c r="J46" s="1" t="s">
        <v>241</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111</v>
      </c>
      <c r="E50" s="36" t="s">
        <v>129</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253</v>
      </c>
      <c r="E65" s="36" t="s">
        <v>261</v>
      </c>
      <c r="F65" s="36" t="s">
        <v>262</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323</v>
      </c>
    </row>
    <row r="87" spans="4:31" ht="20.100000000000001" customHeight="1" x14ac:dyDescent="0.25">
      <c r="D87" s="6" t="s">
        <v>112</v>
      </c>
      <c r="E87" s="108"/>
      <c r="F87" s="108"/>
      <c r="G87" s="108"/>
      <c r="H87" s="108"/>
      <c r="I87" s="108"/>
      <c r="J87" s="108"/>
      <c r="K87" s="108"/>
      <c r="L87" s="108"/>
      <c r="N87" s="108" t="s">
        <v>323</v>
      </c>
      <c r="O87" s="108"/>
      <c r="P87" s="108"/>
      <c r="Q87" s="108"/>
      <c r="R87" s="108"/>
      <c r="S87" s="108"/>
      <c r="T87" s="108"/>
      <c r="U87" s="108"/>
    </row>
    <row r="88" spans="4:31" ht="20.100000000000001" customHeight="1" x14ac:dyDescent="0.25">
      <c r="D88" s="108"/>
    </row>
    <row r="89" spans="4:31" ht="20.100000000000001" customHeight="1" x14ac:dyDescent="0.25">
      <c r="D89" s="141" t="s">
        <v>225</v>
      </c>
      <c r="E89" s="36" t="s">
        <v>226</v>
      </c>
      <c r="F89" s="36" t="s">
        <v>227</v>
      </c>
      <c r="G89" s="115" t="s">
        <v>228</v>
      </c>
      <c r="H89" s="115" t="s">
        <v>15</v>
      </c>
      <c r="I89" s="115" t="s">
        <v>229</v>
      </c>
      <c r="J89" s="115" t="s">
        <v>230</v>
      </c>
      <c r="K89" s="115" t="s">
        <v>231</v>
      </c>
      <c r="L89" s="115" t="s">
        <v>114</v>
      </c>
      <c r="M89" s="115" t="s">
        <v>115</v>
      </c>
      <c r="N89" s="115" t="s">
        <v>116</v>
      </c>
      <c r="O89" s="36" t="s">
        <v>117</v>
      </c>
      <c r="P89" s="36" t="s">
        <v>118</v>
      </c>
      <c r="Q89" s="36" t="s">
        <v>119</v>
      </c>
      <c r="R89" s="115" t="s">
        <v>120</v>
      </c>
      <c r="S89" s="115" t="s">
        <v>121</v>
      </c>
      <c r="T89" s="36" t="s">
        <v>122</v>
      </c>
      <c r="U89" s="115" t="s">
        <v>123</v>
      </c>
      <c r="V89" s="115" t="s">
        <v>124</v>
      </c>
      <c r="W89" s="115" t="s">
        <v>125</v>
      </c>
      <c r="X89" s="115" t="s">
        <v>217</v>
      </c>
      <c r="Y89" s="115" t="s">
        <v>218</v>
      </c>
      <c r="Z89" s="36" t="s">
        <v>219</v>
      </c>
      <c r="AA89" s="36" t="s">
        <v>220</v>
      </c>
      <c r="AB89" s="36" t="s">
        <v>221</v>
      </c>
      <c r="AC89" s="36" t="s">
        <v>222</v>
      </c>
      <c r="AD89" s="36" t="s">
        <v>223</v>
      </c>
      <c r="AE89" s="36" t="s">
        <v>224</v>
      </c>
    </row>
    <row r="90" spans="4:31" ht="20.100000000000001" customHeight="1" x14ac:dyDescent="0.25">
      <c r="D90" s="109" t="str" cm="1">
        <f t="array" ref="D90">Common_InputFunctions.Utility_DisplayArrayInTable(Fertiliser_SourceData.Fertiliser_Products_Data1(),FertiliserProducts[[#Headers],[Include or Exclude]], -1)</f>
        <v>Include</v>
      </c>
      <c r="E90" s="109" t="str" cm="1">
        <f t="array" ref="E90">Common_InputFunctions.Utility_DisplayArrayInTable(Fertiliser_SourceData.Fertiliser_Products_Data1(),FertiliserProducts[[#Headers],[Include or Exclude]], 0)</f>
        <v/>
      </c>
      <c r="F90" s="109" t="str" cm="1">
        <f t="array" ref="F90">Common_InputFunctions.Utility_DisplayArrayInTable(Fertiliser_SourceData.Fertiliser_Products_Data1(),FertiliserProducts[[#Headers],[Include or Exclude]], 0)</f>
        <v>Campbells fertilisers Australia</v>
      </c>
      <c r="G90" s="109" t="str" cm="1">
        <f t="array" ref="G90">Common_InputFunctions.Utility_DisplayArrayInTable(Fertiliser_SourceData.Fertiliser_Products_Data1(),FertiliserProducts[[#Headers],[Include or Exclude]], 0)</f>
        <v>Aqua Finish</v>
      </c>
      <c r="H90" s="109" t="str" cm="1">
        <f t="array" ref="H90">Common_InputFunctions.Utility_DisplayArrayInTable(Fertiliser_SourceData.Fertiliser_Products_Data1(),FertiliserProducts[[#Headers],[Include or Exclude]], 0,4)</f>
        <v>L</v>
      </c>
      <c r="I90" s="109" cm="1">
        <f t="array" ref="I90">Common_InputFunctions.Utility_DisplayArrayInTable(Fertiliser_SourceData.Fertiliser_Products_Data1(),FertiliserProducts[[#Headers],[Include or Exclude]], 0,4)</f>
        <v>1.26</v>
      </c>
      <c r="J90" s="109" t="str" cm="1">
        <f t="array" ref="J90">Common_InputFunctions.Utility_DisplayArrayInTable(Fertiliser_SourceData.Fertiliser_Products_Data1(),FertiliserProducts[[#Headers],[Include or Exclude]], 0,4)</f>
        <v/>
      </c>
      <c r="K90" s="109" t="str" cm="1">
        <f t="array" ref="K90">Common_InputFunctions.Utility_DisplayArrayInTable(Fertiliser_SourceData.Fertiliser_Products_Data1(),FertiliserProducts[[#Headers],[Include or Exclude]], 0,4)</f>
        <v/>
      </c>
      <c r="L90" s="109" t="str" cm="1">
        <f t="array" ref="L90">Common_InputFunctions.Utility_DisplayArrayInTable(Fertiliser_SourceData.Fertiliser_Products_Data1(),FertiliserProducts[[#Headers],[Include or Exclude]], 0,4)</f>
        <v>Potassium - Generic</v>
      </c>
      <c r="M90" s="109" cm="1">
        <f t="array" ref="M90">Common_InputFunctions.Utility_DisplayArrayInTable(Fertiliser_SourceData.Fertiliser_Products_Data1(),FertiliserProducts[[#Headers],[Include or Exclude]], 0,4)</f>
        <v>0.22500000000000001</v>
      </c>
      <c r="N90" s="109" t="str" cm="1">
        <f t="array" ref="N90">Common_InputFunctions.Utility_DisplayArrayInTable(Fertiliser_SourceData.Fertiliser_Products_Data1(),FertiliserProducts[[#Headers],[Include or Exclude]], 0,4)</f>
        <v>Phosphorus - Generic</v>
      </c>
      <c r="O90" s="109" cm="1">
        <f t="array" ref="O90">Common_InputFunctions.Utility_DisplayArrayInTable(Fertiliser_SourceData.Fertiliser_Products_Data1(),FertiliserProducts[[#Headers],[Include or Exclude]], 0,4)</f>
        <v>0.04</v>
      </c>
      <c r="P90" s="109" t="str" cm="1">
        <f t="array" ref="P90">Common_InputFunctions.Utility_DisplayArrayInTable(Fertiliser_SourceData.Fertiliser_Products_Data1(),FertiliserProducts[[#Headers],[Include or Exclude]], 0,4)</f>
        <v>Nitrogen - Generic</v>
      </c>
      <c r="Q90" s="109" cm="1">
        <f t="array" ref="Q90">Common_InputFunctions.Utility_DisplayArrayInTable(Fertiliser_SourceData.Fertiliser_Products_Data1(),FertiliserProducts[[#Headers],[Include or Exclude]], 0,4)</f>
        <v>2.5999999999999999E-2</v>
      </c>
      <c r="R90" s="109" t="str" cm="1">
        <f t="array" ref="R90">Common_InputFunctions.Utility_DisplayArrayInTable(Fertiliser_SourceData.Fertiliser_Products_Data1(),FertiliserProducts[[#Headers],[Include or Exclude]], 0,4)</f>
        <v/>
      </c>
      <c r="S90" s="109" t="str" cm="1">
        <f t="array" ref="S90">Common_InputFunctions.Utility_DisplayArrayInTable(Fertiliser_SourceData.Fertiliser_Products_Data1(),FertiliserProducts[[#Headers],[Include or Exclude]], 0,4)</f>
        <v/>
      </c>
      <c r="T90" s="109" t="str" cm="1">
        <f t="array" ref="T90">Common_InputFunctions.Utility_DisplayArrayInTable(Fertiliser_SourceData.Fertiliser_Products_Data1(),FertiliserProducts[[#Headers],[Include or Exclude]], 0,4)</f>
        <v/>
      </c>
      <c r="U90" s="109" t="str" cm="1">
        <f t="array" ref="U90">Common_InputFunctions.Utility_DisplayArrayInTable(Fertiliser_SourceData.Fertiliser_Products_Data1(),FertiliserProducts[[#Headers],[Include or Exclude]], 0,4)</f>
        <v/>
      </c>
      <c r="V90" s="109" t="str" cm="1">
        <f t="array" ref="V90">Common_InputFunctions.Utility_DisplayArrayInTable(Fertiliser_SourceData.Fertiliser_Products_Data1(),FertiliserProducts[[#Headers],[Include or Exclude]], 0,4)</f>
        <v/>
      </c>
      <c r="W90" s="109" t="str" cm="1">
        <f t="array" ref="W90">Common_InputFunctions.Utility_DisplayArrayInTable(Fertiliser_SourceData.Fertiliser_Products_Data1(),FertiliserProducts[[#Headers],[Include or Exclude]], 0,4)</f>
        <v/>
      </c>
      <c r="X90" s="109" t="str" cm="1">
        <f t="array" ref="X90">Common_InputFunctions.Utility_DisplayArrayInTable(Fertiliser_SourceData.Fertiliser_Products_Data1(),FertiliserProducts[[#Headers],[Include or Exclude]], 0,4)</f>
        <v/>
      </c>
      <c r="Y90" s="109" t="str" cm="1">
        <f t="array" ref="Y90">Common_InputFunctions.Utility_DisplayArrayInTable(Fertiliser_SourceData.Fertiliser_Products_Data1(),FertiliserProducts[[#Headers],[Include or Exclude]], 0,4)</f>
        <v/>
      </c>
      <c r="Z90" s="109" t="str" cm="1">
        <f t="array" ref="Z90">Common_InputFunctions.Utility_DisplayArrayInTable(Fertiliser_SourceData.Fertiliser_Products_Data1(),FertiliserProducts[[#Headers],[Include or Exclude]], 0,4)</f>
        <v/>
      </c>
      <c r="AA90" s="109" t="str" cm="1">
        <f t="array" ref="AA90">Common_InputFunctions.Utility_DisplayArrayInTable(Fertiliser_SourceData.Fertiliser_Products_Data1(),FertiliserProducts[[#Headers],[Include or Exclude]], 0,4)</f>
        <v/>
      </c>
      <c r="AB90" s="109" t="str" cm="1">
        <f t="array" ref="AB90">Common_InputFunctions.Utility_DisplayArrayInTable(Fertiliser_SourceData.Fertiliser_Products_Data1(),FertiliserProducts[[#Headers],[Include or Exclude]], 0,4)</f>
        <v/>
      </c>
      <c r="AC90" s="109" t="str" cm="1">
        <f t="array" ref="AC90">Common_InputFunctions.Utility_DisplayArrayInTable(Fertiliser_SourceData.Fertiliser_Products_Data1(),FertiliserProducts[[#Headers],[Include or Exclude]], 0,4)</f>
        <v/>
      </c>
      <c r="AD90" s="109" t="str" cm="1">
        <f t="array" ref="AD90">Common_InputFunctions.Utility_DisplayArrayInTable(Fertiliser_SourceData.Fertiliser_Products_Data1(),FertiliserProducts[[#Headers],[Include or Exclude]], 0,4)</f>
        <v/>
      </c>
      <c r="AE90" s="109" t="str" cm="1">
        <f t="array" ref="AE90">Common_InputFunctions.Utility_DisplayArrayInTable(Fertiliser_SourceData.Fertiliser_Products_Data1(),FertiliserProducts[[#Headers],[Include or Exclude]], 0,4)</f>
        <v/>
      </c>
    </row>
    <row r="91" spans="4:31" ht="20.100000000000001" customHeight="1" x14ac:dyDescent="0.25">
      <c r="D91" s="109" t="str" cm="1">
        <f t="array" ref="D91">Common_InputFunctions.Utility_DisplayArrayInTable(Fertiliser_SourceData.Fertiliser_Products_Data1(),FertiliserProducts[[#Headers],[Include or Exclude]], -1)</f>
        <v>Include</v>
      </c>
      <c r="E91" s="109" t="str" cm="1">
        <f t="array" ref="E91">Common_InputFunctions.Utility_DisplayArrayInTable(Fertiliser_SourceData.Fertiliser_Products_Data1(),FertiliserProducts[[#Headers],[Include or Exclude]], 0)</f>
        <v/>
      </c>
      <c r="F91" s="109" t="str" cm="1">
        <f t="array" ref="F91">Common_InputFunctions.Utility_DisplayArrayInTable(Fertiliser_SourceData.Fertiliser_Products_Data1(),FertiliserProducts[[#Headers],[Include or Exclude]], 0)</f>
        <v>Campbells fertilisers Australia</v>
      </c>
      <c r="G91" s="109" t="str" cm="1">
        <f t="array" ref="G91">Common_InputFunctions.Utility_DisplayArrayInTable(Fertiliser_SourceData.Fertiliser_Products_Data1(),FertiliserProducts[[#Headers],[Include or Exclude]], 0)</f>
        <v>Aqua Grow</v>
      </c>
      <c r="H91" s="109" t="str" cm="1">
        <f t="array" ref="H91">Common_InputFunctions.Utility_DisplayArrayInTable(Fertiliser_SourceData.Fertiliser_Products_Data1(),FertiliserProducts[[#Headers],[Include or Exclude]], 0,4)</f>
        <v>L</v>
      </c>
      <c r="I91" s="109" cm="1">
        <f t="array" ref="I91">Common_InputFunctions.Utility_DisplayArrayInTable(Fertiliser_SourceData.Fertiliser_Products_Data1(),FertiliserProducts[[#Headers],[Include or Exclude]], 0,4)</f>
        <v>1.26</v>
      </c>
      <c r="J91" s="109" t="str" cm="1">
        <f t="array" ref="J91">Common_InputFunctions.Utility_DisplayArrayInTable(Fertiliser_SourceData.Fertiliser_Products_Data1(),FertiliserProducts[[#Headers],[Include or Exclude]], 0,4)</f>
        <v/>
      </c>
      <c r="K91" s="109" t="str" cm="1">
        <f t="array" ref="K91">Common_InputFunctions.Utility_DisplayArrayInTable(Fertiliser_SourceData.Fertiliser_Products_Data1(),FertiliserProducts[[#Headers],[Include or Exclude]], 0,4)</f>
        <v/>
      </c>
      <c r="L91" s="109" t="str" cm="1">
        <f t="array" ref="L91">Common_InputFunctions.Utility_DisplayArrayInTable(Fertiliser_SourceData.Fertiliser_Products_Data1(),FertiliserProducts[[#Headers],[Include or Exclude]], 0,4)</f>
        <v>Potassium - Generic</v>
      </c>
      <c r="M91" s="109" cm="1">
        <f t="array" ref="M91">Common_InputFunctions.Utility_DisplayArrayInTable(Fertiliser_SourceData.Fertiliser_Products_Data1(),FertiliserProducts[[#Headers],[Include or Exclude]], 0,4)</f>
        <v>0.105</v>
      </c>
      <c r="N91" s="109" t="str" cm="1">
        <f t="array" ref="N91">Common_InputFunctions.Utility_DisplayArrayInTable(Fertiliser_SourceData.Fertiliser_Products_Data1(),FertiliserProducts[[#Headers],[Include or Exclude]], 0,4)</f>
        <v>Nitrogen - Generic</v>
      </c>
      <c r="O91" s="109" cm="1">
        <f t="array" ref="O91">Common_InputFunctions.Utility_DisplayArrayInTable(Fertiliser_SourceData.Fertiliser_Products_Data1(),FertiliserProducts[[#Headers],[Include or Exclude]], 0,4)</f>
        <v>9.6000000000000002E-2</v>
      </c>
      <c r="P91" s="109" t="str" cm="1">
        <f t="array" ref="P91">Common_InputFunctions.Utility_DisplayArrayInTable(Fertiliser_SourceData.Fertiliser_Products_Data1(),FertiliserProducts[[#Headers],[Include or Exclude]], 0,4)</f>
        <v>Phosphorus - Generic</v>
      </c>
      <c r="Q91" s="109" cm="1">
        <f t="array" ref="Q91">Common_InputFunctions.Utility_DisplayArrayInTable(Fertiliser_SourceData.Fertiliser_Products_Data1(),FertiliserProducts[[#Headers],[Include or Exclude]], 0,4)</f>
        <v>0.05</v>
      </c>
      <c r="R91" s="109" t="str" cm="1">
        <f t="array" ref="R91">Common_InputFunctions.Utility_DisplayArrayInTable(Fertiliser_SourceData.Fertiliser_Products_Data1(),FertiliserProducts[[#Headers],[Include or Exclude]], 0,4)</f>
        <v/>
      </c>
      <c r="S91" s="109" t="str" cm="1">
        <f t="array" ref="S91">Common_InputFunctions.Utility_DisplayArrayInTable(Fertiliser_SourceData.Fertiliser_Products_Data1(),FertiliserProducts[[#Headers],[Include or Exclude]], 0,4)</f>
        <v/>
      </c>
      <c r="T91" s="109" t="str" cm="1">
        <f t="array" ref="T91">Common_InputFunctions.Utility_DisplayArrayInTable(Fertiliser_SourceData.Fertiliser_Products_Data1(),FertiliserProducts[[#Headers],[Include or Exclude]], 0,4)</f>
        <v/>
      </c>
      <c r="U91" s="109" t="str" cm="1">
        <f t="array" ref="U91">Common_InputFunctions.Utility_DisplayArrayInTable(Fertiliser_SourceData.Fertiliser_Products_Data1(),FertiliserProducts[[#Headers],[Include or Exclude]], 0,4)</f>
        <v/>
      </c>
      <c r="V91" s="109" t="str" cm="1">
        <f t="array" ref="V91">Common_InputFunctions.Utility_DisplayArrayInTable(Fertiliser_SourceData.Fertiliser_Products_Data1(),FertiliserProducts[[#Headers],[Include or Exclude]], 0,4)</f>
        <v/>
      </c>
      <c r="W91" s="109" t="str" cm="1">
        <f t="array" ref="W91">Common_InputFunctions.Utility_DisplayArrayInTable(Fertiliser_SourceData.Fertiliser_Products_Data1(),FertiliserProducts[[#Headers],[Include or Exclude]], 0,4)</f>
        <v/>
      </c>
      <c r="X91" s="109" t="str" cm="1">
        <f t="array" ref="X91">Common_InputFunctions.Utility_DisplayArrayInTable(Fertiliser_SourceData.Fertiliser_Products_Data1(),FertiliserProducts[[#Headers],[Include or Exclude]], 0,4)</f>
        <v/>
      </c>
      <c r="Y91" s="109" t="str" cm="1">
        <f t="array" ref="Y91">Common_InputFunctions.Utility_DisplayArrayInTable(Fertiliser_SourceData.Fertiliser_Products_Data1(),FertiliserProducts[[#Headers],[Include or Exclude]], 0,4)</f>
        <v/>
      </c>
      <c r="Z91" s="109" t="str" cm="1">
        <f t="array" ref="Z91">Common_InputFunctions.Utility_DisplayArrayInTable(Fertiliser_SourceData.Fertiliser_Products_Data1(),FertiliserProducts[[#Headers],[Include or Exclude]], 0,4)</f>
        <v/>
      </c>
      <c r="AA91" s="109" t="str" cm="1">
        <f t="array" ref="AA91">Common_InputFunctions.Utility_DisplayArrayInTable(Fertiliser_SourceData.Fertiliser_Products_Data1(),FertiliserProducts[[#Headers],[Include or Exclude]], 0,4)</f>
        <v/>
      </c>
      <c r="AB91" s="109" t="str" cm="1">
        <f t="array" ref="AB91">Common_InputFunctions.Utility_DisplayArrayInTable(Fertiliser_SourceData.Fertiliser_Products_Data1(),FertiliserProducts[[#Headers],[Include or Exclude]], 0,4)</f>
        <v/>
      </c>
      <c r="AC91" s="109" t="str" cm="1">
        <f t="array" ref="AC91">Common_InputFunctions.Utility_DisplayArrayInTable(Fertiliser_SourceData.Fertiliser_Products_Data1(),FertiliserProducts[[#Headers],[Include or Exclude]], 0,4)</f>
        <v/>
      </c>
      <c r="AD91" s="109" t="str" cm="1">
        <f t="array" ref="AD91">Common_InputFunctions.Utility_DisplayArrayInTable(Fertiliser_SourceData.Fertiliser_Products_Data1(),FertiliserProducts[[#Headers],[Include or Exclude]], 0,4)</f>
        <v/>
      </c>
      <c r="AE91" s="109" t="str" cm="1">
        <f t="array" ref="AE91">Common_InputFunctions.Utility_DisplayArrayInTable(Fertiliser_SourceData.Fertiliser_Products_Data1(),FertiliserProducts[[#Headers],[Include or Exclude]], 0,4)</f>
        <v/>
      </c>
    </row>
    <row r="92" spans="4:31" ht="20.100000000000001" customHeight="1" x14ac:dyDescent="0.25">
      <c r="D92" s="109" t="str" cm="1">
        <f t="array" ref="D92">Common_InputFunctions.Utility_DisplayArrayInTable(Fertiliser_SourceData.Fertiliser_Products_Data1(),FertiliserProducts[[#Headers],[Include or Exclude]], -1)</f>
        <v>Include</v>
      </c>
      <c r="E92" s="109" t="str" cm="1">
        <f t="array" ref="E92">Common_InputFunctions.Utility_DisplayArrayInTable(Fertiliser_SourceData.Fertiliser_Products_Data1(),FertiliserProducts[[#Headers],[Include or Exclude]], 0)</f>
        <v/>
      </c>
      <c r="F92" s="109" t="str" cm="1">
        <f t="array" ref="F92">Common_InputFunctions.Utility_DisplayArrayInTable(Fertiliser_SourceData.Fertiliser_Products_Data1(),FertiliserProducts[[#Headers],[Include or Exclude]], 0)</f>
        <v>Campbells fertilisers Australia</v>
      </c>
      <c r="G92" s="109" t="str" cm="1">
        <f t="array" ref="G92">Common_InputFunctions.Utility_DisplayArrayInTable(Fertiliser_SourceData.Fertiliser_Products_Data1(),FertiliserProducts[[#Headers],[Include or Exclude]], 0)</f>
        <v>Aqua Nitro AN</v>
      </c>
      <c r="H92" s="109" t="str" cm="1">
        <f t="array" ref="H92">Common_InputFunctions.Utility_DisplayArrayInTable(Fertiliser_SourceData.Fertiliser_Products_Data1(),FertiliserProducts[[#Headers],[Include or Exclude]], 0,4)</f>
        <v>L</v>
      </c>
      <c r="I92" s="109" cm="1">
        <f t="array" ref="I92">Common_InputFunctions.Utility_DisplayArrayInTable(Fertiliser_SourceData.Fertiliser_Products_Data1(),FertiliserProducts[[#Headers],[Include or Exclude]], 0,4)</f>
        <v>1.24</v>
      </c>
      <c r="J92" s="109" t="str" cm="1">
        <f t="array" ref="J92">Common_InputFunctions.Utility_DisplayArrayInTable(Fertiliser_SourceData.Fertiliser_Products_Data1(),FertiliserProducts[[#Headers],[Include or Exclude]], 0,4)</f>
        <v/>
      </c>
      <c r="K92" s="109" t="str" cm="1">
        <f t="array" ref="K92">Common_InputFunctions.Utility_DisplayArrayInTable(Fertiliser_SourceData.Fertiliser_Products_Data1(),FertiliserProducts[[#Headers],[Include or Exclude]], 0,4)</f>
        <v/>
      </c>
      <c r="L92" s="109" t="str" cm="1">
        <f t="array" ref="L92">Common_InputFunctions.Utility_DisplayArrayInTable(Fertiliser_SourceData.Fertiliser_Products_Data1(),FertiliserProducts[[#Headers],[Include or Exclude]], 0,4)</f>
        <v>Nitrogen - Ammoniacal</v>
      </c>
      <c r="M92" s="109" cm="1">
        <f t="array" ref="M92">Common_InputFunctions.Utility_DisplayArrayInTable(Fertiliser_SourceData.Fertiliser_Products_Data1(),FertiliserProducts[[#Headers],[Include or Exclude]], 0,4)</f>
        <v>0.223</v>
      </c>
      <c r="N92" s="109" t="str" cm="1">
        <f t="array" ref="N92">Common_InputFunctions.Utility_DisplayArrayInTable(Fertiliser_SourceData.Fertiliser_Products_Data1(),FertiliserProducts[[#Headers],[Include or Exclude]], 0,4)</f>
        <v/>
      </c>
      <c r="O92" s="109" t="str" cm="1">
        <f t="array" ref="O92">Common_InputFunctions.Utility_DisplayArrayInTable(Fertiliser_SourceData.Fertiliser_Products_Data1(),FertiliserProducts[[#Headers],[Include or Exclude]], 0,4)</f>
        <v/>
      </c>
      <c r="P92" s="109" t="str" cm="1">
        <f t="array" ref="P92">Common_InputFunctions.Utility_DisplayArrayInTable(Fertiliser_SourceData.Fertiliser_Products_Data1(),FertiliserProducts[[#Headers],[Include or Exclude]], 0,4)</f>
        <v/>
      </c>
      <c r="Q92" s="109" t="str" cm="1">
        <f t="array" ref="Q92">Common_InputFunctions.Utility_DisplayArrayInTable(Fertiliser_SourceData.Fertiliser_Products_Data1(),FertiliserProducts[[#Headers],[Include or Exclude]], 0,4)</f>
        <v/>
      </c>
      <c r="R92" s="109" t="str" cm="1">
        <f t="array" ref="R92">Common_InputFunctions.Utility_DisplayArrayInTable(Fertiliser_SourceData.Fertiliser_Products_Data1(),FertiliserProducts[[#Headers],[Include or Exclude]], 0,4)</f>
        <v/>
      </c>
      <c r="S92" s="109" t="str" cm="1">
        <f t="array" ref="S92">Common_InputFunctions.Utility_DisplayArrayInTable(Fertiliser_SourceData.Fertiliser_Products_Data1(),FertiliserProducts[[#Headers],[Include or Exclude]], 0,4)</f>
        <v/>
      </c>
      <c r="T92" s="109" t="str" cm="1">
        <f t="array" ref="T92">Common_InputFunctions.Utility_DisplayArrayInTable(Fertiliser_SourceData.Fertiliser_Products_Data1(),FertiliserProducts[[#Headers],[Include or Exclude]], 0,4)</f>
        <v/>
      </c>
      <c r="U92" s="109" t="str" cm="1">
        <f t="array" ref="U92">Common_InputFunctions.Utility_DisplayArrayInTable(Fertiliser_SourceData.Fertiliser_Products_Data1(),FertiliserProducts[[#Headers],[Include or Exclude]], 0,4)</f>
        <v/>
      </c>
      <c r="V92" s="109" t="str" cm="1">
        <f t="array" ref="V92">Common_InputFunctions.Utility_DisplayArrayInTable(Fertiliser_SourceData.Fertiliser_Products_Data1(),FertiliserProducts[[#Headers],[Include or Exclude]], 0,4)</f>
        <v/>
      </c>
      <c r="W92" s="109" t="str" cm="1">
        <f t="array" ref="W92">Common_InputFunctions.Utility_DisplayArrayInTable(Fertiliser_SourceData.Fertiliser_Products_Data1(),FertiliserProducts[[#Headers],[Include or Exclude]], 0,4)</f>
        <v/>
      </c>
      <c r="X92" s="109" t="str" cm="1">
        <f t="array" ref="X92">Common_InputFunctions.Utility_DisplayArrayInTable(Fertiliser_SourceData.Fertiliser_Products_Data1(),FertiliserProducts[[#Headers],[Include or Exclude]], 0,4)</f>
        <v/>
      </c>
      <c r="Y92" s="109" t="str" cm="1">
        <f t="array" ref="Y92">Common_InputFunctions.Utility_DisplayArrayInTable(Fertiliser_SourceData.Fertiliser_Products_Data1(),FertiliserProducts[[#Headers],[Include or Exclude]], 0,4)</f>
        <v/>
      </c>
      <c r="Z92" s="109" t="str" cm="1">
        <f t="array" ref="Z92">Common_InputFunctions.Utility_DisplayArrayInTable(Fertiliser_SourceData.Fertiliser_Products_Data1(),FertiliserProducts[[#Headers],[Include or Exclude]], 0,4)</f>
        <v/>
      </c>
      <c r="AA92" s="109" t="str" cm="1">
        <f t="array" ref="AA92">Common_InputFunctions.Utility_DisplayArrayInTable(Fertiliser_SourceData.Fertiliser_Products_Data1(),FertiliserProducts[[#Headers],[Include or Exclude]], 0,4)</f>
        <v/>
      </c>
      <c r="AB92" s="109" t="str" cm="1">
        <f t="array" ref="AB92">Common_InputFunctions.Utility_DisplayArrayInTable(Fertiliser_SourceData.Fertiliser_Products_Data1(),FertiliserProducts[[#Headers],[Include or Exclude]], 0,4)</f>
        <v/>
      </c>
      <c r="AC92" s="109" t="str" cm="1">
        <f t="array" ref="AC92">Common_InputFunctions.Utility_DisplayArrayInTable(Fertiliser_SourceData.Fertiliser_Products_Data1(),FertiliserProducts[[#Headers],[Include or Exclude]], 0,4)</f>
        <v/>
      </c>
      <c r="AD92" s="109" t="str" cm="1">
        <f t="array" ref="AD92">Common_InputFunctions.Utility_DisplayArrayInTable(Fertiliser_SourceData.Fertiliser_Products_Data1(),FertiliserProducts[[#Headers],[Include or Exclude]], 0,4)</f>
        <v/>
      </c>
      <c r="AE92" s="109" t="str" cm="1">
        <f t="array" ref="AE92">Common_InputFunctions.Utility_DisplayArrayInTable(Fertiliser_SourceData.Fertiliser_Products_Data1(),FertiliserProducts[[#Headers],[Include or Exclude]], 0,4)</f>
        <v/>
      </c>
    </row>
    <row r="93" spans="4:31" ht="20.100000000000001" customHeight="1" x14ac:dyDescent="0.25">
      <c r="D93" s="109" t="str" cm="1">
        <f t="array" ref="D93">Common_InputFunctions.Utility_DisplayArrayInTable(Fertiliser_SourceData.Fertiliser_Products_Data1(),FertiliserProducts[[#Headers],[Include or Exclude]], -1)</f>
        <v>Include</v>
      </c>
      <c r="E93" s="109" t="str" cm="1">
        <f t="array" ref="E93">Common_InputFunctions.Utility_DisplayArrayInTable(Fertiliser_SourceData.Fertiliser_Products_Data1(),FertiliserProducts[[#Headers],[Include or Exclude]], 0)</f>
        <v>Use Lime EF for calcium</v>
      </c>
      <c r="F93" s="109" t="str" cm="1">
        <f t="array" ref="F93">Common_InputFunctions.Utility_DisplayArrayInTable(Fertiliser_SourceData.Fertiliser_Products_Data1(),FertiliserProducts[[#Headers],[Include or Exclude]], 0)</f>
        <v>Campbells fertilisers Australia</v>
      </c>
      <c r="G93" s="109" t="str" cm="1">
        <f t="array" ref="G93">Common_InputFunctions.Utility_DisplayArrayInTable(Fertiliser_SourceData.Fertiliser_Products_Data1(),FertiliserProducts[[#Headers],[Include or Exclude]], 0)</f>
        <v>Aqua NitroCal</v>
      </c>
      <c r="H93" s="109" t="str" cm="1">
        <f t="array" ref="H93">Common_InputFunctions.Utility_DisplayArrayInTable(Fertiliser_SourceData.Fertiliser_Products_Data1(),FertiliserProducts[[#Headers],[Include or Exclude]], 0,4)</f>
        <v>L</v>
      </c>
      <c r="I93" s="109" cm="1">
        <f t="array" ref="I93">Common_InputFunctions.Utility_DisplayArrayInTable(Fertiliser_SourceData.Fertiliser_Products_Data1(),FertiliserProducts[[#Headers],[Include or Exclude]], 0,4)</f>
        <v>1.5</v>
      </c>
      <c r="J93" s="109" t="str" cm="1">
        <f t="array" ref="J93">Common_InputFunctions.Utility_DisplayArrayInTable(Fertiliser_SourceData.Fertiliser_Products_Data1(),FertiliserProducts[[#Headers],[Include or Exclude]], 0,4)</f>
        <v/>
      </c>
      <c r="K93" s="109" t="str" cm="1">
        <f t="array" ref="K93">Common_InputFunctions.Utility_DisplayArrayInTable(Fertiliser_SourceData.Fertiliser_Products_Data1(),FertiliserProducts[[#Headers],[Include or Exclude]], 0,4)</f>
        <v/>
      </c>
      <c r="L93" s="109" t="str" cm="1">
        <f t="array" ref="L93">Common_InputFunctions.Utility_DisplayArrayInTable(Fertiliser_SourceData.Fertiliser_Products_Data1(),FertiliserProducts[[#Headers],[Include or Exclude]], 0,4)</f>
        <v>Calcium - Generic</v>
      </c>
      <c r="M93" s="109" cm="1">
        <f t="array" ref="M93">Common_InputFunctions.Utility_DisplayArrayInTable(Fertiliser_SourceData.Fertiliser_Products_Data1(),FertiliserProducts[[#Headers],[Include or Exclude]], 0,4)</f>
        <v>0.16200000000000001</v>
      </c>
      <c r="N93" s="109" t="str" cm="1">
        <f t="array" ref="N93">Common_InputFunctions.Utility_DisplayArrayInTable(Fertiliser_SourceData.Fertiliser_Products_Data1(),FertiliserProducts[[#Headers],[Include or Exclude]], 0,4)</f>
        <v>Nitrogen - Nitrate</v>
      </c>
      <c r="O93" s="109" cm="1">
        <f t="array" ref="O93">Common_InputFunctions.Utility_DisplayArrayInTable(Fertiliser_SourceData.Fertiliser_Products_Data1(),FertiliserProducts[[#Headers],[Include or Exclude]], 0,4)</f>
        <v>0.13200000000000001</v>
      </c>
      <c r="P93" s="109" t="str" cm="1">
        <f t="array" ref="P93">Common_InputFunctions.Utility_DisplayArrayInTable(Fertiliser_SourceData.Fertiliser_Products_Data1(),FertiliserProducts[[#Headers],[Include or Exclude]], 0,4)</f>
        <v/>
      </c>
      <c r="Q93" s="109" t="str" cm="1">
        <f t="array" ref="Q93">Common_InputFunctions.Utility_DisplayArrayInTable(Fertiliser_SourceData.Fertiliser_Products_Data1(),FertiliserProducts[[#Headers],[Include or Exclude]], 0,4)</f>
        <v/>
      </c>
      <c r="R93" s="109" t="str" cm="1">
        <f t="array" ref="R93">Common_InputFunctions.Utility_DisplayArrayInTable(Fertiliser_SourceData.Fertiliser_Products_Data1(),FertiliserProducts[[#Headers],[Include or Exclude]], 0,4)</f>
        <v/>
      </c>
      <c r="S93" s="109" t="str" cm="1">
        <f t="array" ref="S93">Common_InputFunctions.Utility_DisplayArrayInTable(Fertiliser_SourceData.Fertiliser_Products_Data1(),FertiliserProducts[[#Headers],[Include or Exclude]], 0,4)</f>
        <v/>
      </c>
      <c r="T93" s="109" t="str" cm="1">
        <f t="array" ref="T93">Common_InputFunctions.Utility_DisplayArrayInTable(Fertiliser_SourceData.Fertiliser_Products_Data1(),FertiliserProducts[[#Headers],[Include or Exclude]], 0,4)</f>
        <v/>
      </c>
      <c r="U93" s="109" t="str" cm="1">
        <f t="array" ref="U93">Common_InputFunctions.Utility_DisplayArrayInTable(Fertiliser_SourceData.Fertiliser_Products_Data1(),FertiliserProducts[[#Headers],[Include or Exclude]], 0,4)</f>
        <v/>
      </c>
      <c r="V93" s="109" t="str" cm="1">
        <f t="array" ref="V93">Common_InputFunctions.Utility_DisplayArrayInTable(Fertiliser_SourceData.Fertiliser_Products_Data1(),FertiliserProducts[[#Headers],[Include or Exclude]], 0,4)</f>
        <v/>
      </c>
      <c r="W93" s="109" t="str" cm="1">
        <f t="array" ref="W93">Common_InputFunctions.Utility_DisplayArrayInTable(Fertiliser_SourceData.Fertiliser_Products_Data1(),FertiliserProducts[[#Headers],[Include or Exclude]], 0,4)</f>
        <v/>
      </c>
      <c r="X93" s="109" t="str" cm="1">
        <f t="array" ref="X93">Common_InputFunctions.Utility_DisplayArrayInTable(Fertiliser_SourceData.Fertiliser_Products_Data1(),FertiliserProducts[[#Headers],[Include or Exclude]], 0,4)</f>
        <v/>
      </c>
      <c r="Y93" s="109" t="str" cm="1">
        <f t="array" ref="Y93">Common_InputFunctions.Utility_DisplayArrayInTable(Fertiliser_SourceData.Fertiliser_Products_Data1(),FertiliserProducts[[#Headers],[Include or Exclude]], 0,4)</f>
        <v/>
      </c>
      <c r="Z93" s="109" t="str" cm="1">
        <f t="array" ref="Z93">Common_InputFunctions.Utility_DisplayArrayInTable(Fertiliser_SourceData.Fertiliser_Products_Data1(),FertiliserProducts[[#Headers],[Include or Exclude]], 0,4)</f>
        <v/>
      </c>
      <c r="AA93" s="109" t="str" cm="1">
        <f t="array" ref="AA93">Common_InputFunctions.Utility_DisplayArrayInTable(Fertiliser_SourceData.Fertiliser_Products_Data1(),FertiliserProducts[[#Headers],[Include or Exclude]], 0,4)</f>
        <v/>
      </c>
      <c r="AB93" s="109" t="str" cm="1">
        <f t="array" ref="AB93">Common_InputFunctions.Utility_DisplayArrayInTable(Fertiliser_SourceData.Fertiliser_Products_Data1(),FertiliserProducts[[#Headers],[Include or Exclude]], 0,4)</f>
        <v/>
      </c>
      <c r="AC93" s="109" t="str" cm="1">
        <f t="array" ref="AC93">Common_InputFunctions.Utility_DisplayArrayInTable(Fertiliser_SourceData.Fertiliser_Products_Data1(),FertiliserProducts[[#Headers],[Include or Exclude]], 0,4)</f>
        <v/>
      </c>
      <c r="AD93" s="109" t="str" cm="1">
        <f t="array" ref="AD93">Common_InputFunctions.Utility_DisplayArrayInTable(Fertiliser_SourceData.Fertiliser_Products_Data1(),FertiliserProducts[[#Headers],[Include or Exclude]], 0,4)</f>
        <v/>
      </c>
      <c r="AE93" s="109" t="str" cm="1">
        <f t="array" ref="AE93">Common_InputFunctions.Utility_DisplayArrayInTable(Fertiliser_SourceData.Fertiliser_Products_Data1(),FertiliserProducts[[#Headers],[Include or Exclude]], 0,4)</f>
        <v/>
      </c>
    </row>
    <row r="94" spans="4:31" ht="20.100000000000001" customHeight="1" x14ac:dyDescent="0.25">
      <c r="D94" s="109" t="str" cm="1">
        <f t="array" ref="D94">Common_InputFunctions.Utility_DisplayArrayInTable(Fertiliser_SourceData.Fertiliser_Products_Data1(),FertiliserProducts[[#Headers],[Include or Exclude]], -1)</f>
        <v>Include</v>
      </c>
      <c r="E94" s="109" t="str" cm="1">
        <f t="array" ref="E94">Common_InputFunctions.Utility_DisplayArrayInTable(Fertiliser_SourceData.Fertiliser_Products_Data1(),FertiliserProducts[[#Headers],[Include or Exclude]], 0)</f>
        <v>Use Lime EF for calcium</v>
      </c>
      <c r="F94" s="109" t="str" cm="1">
        <f t="array" ref="F94">Common_InputFunctions.Utility_DisplayArrayInTable(Fertiliser_SourceData.Fertiliser_Products_Data1(),FertiliserProducts[[#Headers],[Include or Exclude]], 0)</f>
        <v>Campbells fertilisers Australia</v>
      </c>
      <c r="G94" s="109" t="str" cm="1">
        <f t="array" ref="G94">Common_InputFunctions.Utility_DisplayArrayInTable(Fertiliser_SourceData.Fertiliser_Products_Data1(),FertiliserProducts[[#Headers],[Include or Exclude]], 0)</f>
        <v>Aqua NitroCal (VI)</v>
      </c>
      <c r="H94" s="109" t="str" cm="1">
        <f t="array" ref="H94">Common_InputFunctions.Utility_DisplayArrayInTable(Fertiliser_SourceData.Fertiliser_Products_Data1(),FertiliserProducts[[#Headers],[Include or Exclude]], 0,4)</f>
        <v>L</v>
      </c>
      <c r="I94" s="109" cm="1">
        <f t="array" ref="I94">Common_InputFunctions.Utility_DisplayArrayInTable(Fertiliser_SourceData.Fertiliser_Products_Data1(),FertiliserProducts[[#Headers],[Include or Exclude]], 0,4)</f>
        <v>1.5</v>
      </c>
      <c r="J94" s="109" t="str" cm="1">
        <f t="array" ref="J94">Common_InputFunctions.Utility_DisplayArrayInTable(Fertiliser_SourceData.Fertiliser_Products_Data1(),FertiliserProducts[[#Headers],[Include or Exclude]], 0,4)</f>
        <v/>
      </c>
      <c r="K94" s="109" t="str" cm="1">
        <f t="array" ref="K94">Common_InputFunctions.Utility_DisplayArrayInTable(Fertiliser_SourceData.Fertiliser_Products_Data1(),FertiliserProducts[[#Headers],[Include or Exclude]], 0,4)</f>
        <v/>
      </c>
      <c r="L94" s="109" t="str" cm="1">
        <f t="array" ref="L94">Common_InputFunctions.Utility_DisplayArrayInTable(Fertiliser_SourceData.Fertiliser_Products_Data1(),FertiliserProducts[[#Headers],[Include or Exclude]], 0,4)</f>
        <v>Calcium - Generic</v>
      </c>
      <c r="M94" s="109" cm="1">
        <f t="array" ref="M94">Common_InputFunctions.Utility_DisplayArrayInTable(Fertiliser_SourceData.Fertiliser_Products_Data1(),FertiliserProducts[[#Headers],[Include or Exclude]], 0,4)</f>
        <v>0.187</v>
      </c>
      <c r="N94" s="109" t="str" cm="1">
        <f t="array" ref="N94">Common_InputFunctions.Utility_DisplayArrayInTable(Fertiliser_SourceData.Fertiliser_Products_Data1(),FertiliserProducts[[#Headers],[Include or Exclude]], 0,4)</f>
        <v>Nitrogen - Nitrate</v>
      </c>
      <c r="O94" s="109" cm="1">
        <f t="array" ref="O94">Common_InputFunctions.Utility_DisplayArrayInTable(Fertiliser_SourceData.Fertiliser_Products_Data1(),FertiliserProducts[[#Headers],[Include or Exclude]], 0,4)</f>
        <v>0.13200000000000001</v>
      </c>
      <c r="P94" s="109" t="str" cm="1">
        <f t="array" ref="P94">Common_InputFunctions.Utility_DisplayArrayInTable(Fertiliser_SourceData.Fertiliser_Products_Data1(),FertiliserProducts[[#Headers],[Include or Exclude]], 0,4)</f>
        <v/>
      </c>
      <c r="Q94" s="109" t="str" cm="1">
        <f t="array" ref="Q94">Common_InputFunctions.Utility_DisplayArrayInTable(Fertiliser_SourceData.Fertiliser_Products_Data1(),FertiliserProducts[[#Headers],[Include or Exclude]], 0,4)</f>
        <v/>
      </c>
      <c r="R94" s="109" t="str" cm="1">
        <f t="array" ref="R94">Common_InputFunctions.Utility_DisplayArrayInTable(Fertiliser_SourceData.Fertiliser_Products_Data1(),FertiliserProducts[[#Headers],[Include or Exclude]], 0,4)</f>
        <v/>
      </c>
      <c r="S94" s="109" t="str" cm="1">
        <f t="array" ref="S94">Common_InputFunctions.Utility_DisplayArrayInTable(Fertiliser_SourceData.Fertiliser_Products_Data1(),FertiliserProducts[[#Headers],[Include or Exclude]], 0,4)</f>
        <v/>
      </c>
      <c r="T94" s="109" t="str" cm="1">
        <f t="array" ref="T94">Common_InputFunctions.Utility_DisplayArrayInTable(Fertiliser_SourceData.Fertiliser_Products_Data1(),FertiliserProducts[[#Headers],[Include or Exclude]], 0,4)</f>
        <v/>
      </c>
      <c r="U94" s="109" t="str" cm="1">
        <f t="array" ref="U94">Common_InputFunctions.Utility_DisplayArrayInTable(Fertiliser_SourceData.Fertiliser_Products_Data1(),FertiliserProducts[[#Headers],[Include or Exclude]], 0,4)</f>
        <v/>
      </c>
      <c r="V94" s="109" t="str" cm="1">
        <f t="array" ref="V94">Common_InputFunctions.Utility_DisplayArrayInTable(Fertiliser_SourceData.Fertiliser_Products_Data1(),FertiliserProducts[[#Headers],[Include or Exclude]], 0,4)</f>
        <v/>
      </c>
      <c r="W94" s="109" t="str" cm="1">
        <f t="array" ref="W94">Common_InputFunctions.Utility_DisplayArrayInTable(Fertiliser_SourceData.Fertiliser_Products_Data1(),FertiliserProducts[[#Headers],[Include or Exclude]], 0,4)</f>
        <v/>
      </c>
      <c r="X94" s="109" t="str" cm="1">
        <f t="array" ref="X94">Common_InputFunctions.Utility_DisplayArrayInTable(Fertiliser_SourceData.Fertiliser_Products_Data1(),FertiliserProducts[[#Headers],[Include or Exclude]], 0,4)</f>
        <v/>
      </c>
      <c r="Y94" s="109" t="str" cm="1">
        <f t="array" ref="Y94">Common_InputFunctions.Utility_DisplayArrayInTable(Fertiliser_SourceData.Fertiliser_Products_Data1(),FertiliserProducts[[#Headers],[Include or Exclude]], 0,4)</f>
        <v/>
      </c>
      <c r="Z94" s="109" t="str" cm="1">
        <f t="array" ref="Z94">Common_InputFunctions.Utility_DisplayArrayInTable(Fertiliser_SourceData.Fertiliser_Products_Data1(),FertiliserProducts[[#Headers],[Include or Exclude]], 0,4)</f>
        <v/>
      </c>
      <c r="AA94" s="109" t="str" cm="1">
        <f t="array" ref="AA94">Common_InputFunctions.Utility_DisplayArrayInTable(Fertiliser_SourceData.Fertiliser_Products_Data1(),FertiliserProducts[[#Headers],[Include or Exclude]], 0,4)</f>
        <v/>
      </c>
      <c r="AB94" s="109" t="str" cm="1">
        <f t="array" ref="AB94">Common_InputFunctions.Utility_DisplayArrayInTable(Fertiliser_SourceData.Fertiliser_Products_Data1(),FertiliserProducts[[#Headers],[Include or Exclude]], 0,4)</f>
        <v/>
      </c>
      <c r="AC94" s="109" t="str" cm="1">
        <f t="array" ref="AC94">Common_InputFunctions.Utility_DisplayArrayInTable(Fertiliser_SourceData.Fertiliser_Products_Data1(),FertiliserProducts[[#Headers],[Include or Exclude]], 0,4)</f>
        <v/>
      </c>
      <c r="AD94" s="109" t="str" cm="1">
        <f t="array" ref="AD94">Common_InputFunctions.Utility_DisplayArrayInTable(Fertiliser_SourceData.Fertiliser_Products_Data1(),FertiliserProducts[[#Headers],[Include or Exclude]], 0,4)</f>
        <v/>
      </c>
      <c r="AE94" s="109" t="str" cm="1">
        <f t="array" ref="AE94">Common_InputFunctions.Utility_DisplayArrayInTable(Fertiliser_SourceData.Fertiliser_Products_Data1(),FertiliserProducts[[#Headers],[Include or Exclude]], 0,4)</f>
        <v/>
      </c>
    </row>
    <row r="95" spans="4:31" ht="20.100000000000001" customHeight="1" x14ac:dyDescent="0.25">
      <c r="D95" s="109" t="str" cm="1">
        <f t="array" ref="D95">Common_InputFunctions.Utility_DisplayArrayInTable(Fertiliser_SourceData.Fertiliser_Products_Data1(),FertiliserProducts[[#Headers],[Include or Exclude]], -1)</f>
        <v>Include</v>
      </c>
      <c r="E95" s="109" t="str" cm="1">
        <f t="array" ref="E95">Common_InputFunctions.Utility_DisplayArrayInTable(Fertiliser_SourceData.Fertiliser_Products_Data1(),FertiliserProducts[[#Headers],[Include or Exclude]], 0)</f>
        <v>Use Lime EF for calcium</v>
      </c>
      <c r="F95" s="109" t="str" cm="1">
        <f t="array" ref="F95">Common_InputFunctions.Utility_DisplayArrayInTable(Fertiliser_SourceData.Fertiliser_Products_Data1(),FertiliserProducts[[#Headers],[Include or Exclude]], 0)</f>
        <v>Campbells fertilisers Australia</v>
      </c>
      <c r="G95" s="109" t="str" cm="1">
        <f t="array" ref="G95">Common_InputFunctions.Utility_DisplayArrayInTable(Fertiliser_SourceData.Fertiliser_Products_Data1(),FertiliserProducts[[#Headers],[Include or Exclude]], 0)</f>
        <v>Aqua NitroCal Ultimate</v>
      </c>
      <c r="H95" s="109" t="str" cm="1">
        <f t="array" ref="H95">Common_InputFunctions.Utility_DisplayArrayInTable(Fertiliser_SourceData.Fertiliser_Products_Data1(),FertiliserProducts[[#Headers],[Include or Exclude]], 0,4)</f>
        <v>L</v>
      </c>
      <c r="I95" s="109" cm="1">
        <f t="array" ref="I95">Common_InputFunctions.Utility_DisplayArrayInTable(Fertiliser_SourceData.Fertiliser_Products_Data1(),FertiliserProducts[[#Headers],[Include or Exclude]], 0,4)</f>
        <v>1.5</v>
      </c>
      <c r="J95" s="109" t="str" cm="1">
        <f t="array" ref="J95">Common_InputFunctions.Utility_DisplayArrayInTable(Fertiliser_SourceData.Fertiliser_Products_Data1(),FertiliserProducts[[#Headers],[Include or Exclude]], 0,4)</f>
        <v/>
      </c>
      <c r="K95" s="109" t="str" cm="1">
        <f t="array" ref="K95">Common_InputFunctions.Utility_DisplayArrayInTable(Fertiliser_SourceData.Fertiliser_Products_Data1(),FertiliserProducts[[#Headers],[Include or Exclude]], 0,4)</f>
        <v/>
      </c>
      <c r="L95" s="109" t="str" cm="1">
        <f t="array" ref="L95">Common_InputFunctions.Utility_DisplayArrayInTable(Fertiliser_SourceData.Fertiliser_Products_Data1(),FertiliserProducts[[#Headers],[Include or Exclude]], 0,4)</f>
        <v>Calcium - Generic</v>
      </c>
      <c r="M95" s="109" cm="1">
        <f t="array" ref="M95">Common_InputFunctions.Utility_DisplayArrayInTable(Fertiliser_SourceData.Fertiliser_Products_Data1(),FertiliserProducts[[#Headers],[Include or Exclude]], 0,4)</f>
        <v>0.183</v>
      </c>
      <c r="N95" s="109" t="str" cm="1">
        <f t="array" ref="N95">Common_InputFunctions.Utility_DisplayArrayInTable(Fertiliser_SourceData.Fertiliser_Products_Data1(),FertiliserProducts[[#Headers],[Include or Exclude]], 0,4)</f>
        <v>Nitrogen  - Nitrate</v>
      </c>
      <c r="O95" s="109" cm="1">
        <f t="array" ref="O95">Common_InputFunctions.Utility_DisplayArrayInTable(Fertiliser_SourceData.Fertiliser_Products_Data1(),FertiliserProducts[[#Headers],[Include or Exclude]], 0,4)</f>
        <v>0.13200000000000001</v>
      </c>
      <c r="P95" s="109" t="str" cm="1">
        <f t="array" ref="P95">Common_InputFunctions.Utility_DisplayArrayInTable(Fertiliser_SourceData.Fertiliser_Products_Data1(),FertiliserProducts[[#Headers],[Include or Exclude]], 0,4)</f>
        <v/>
      </c>
      <c r="Q95" s="109" t="str" cm="1">
        <f t="array" ref="Q95">Common_InputFunctions.Utility_DisplayArrayInTable(Fertiliser_SourceData.Fertiliser_Products_Data1(),FertiliserProducts[[#Headers],[Include or Exclude]], 0,4)</f>
        <v/>
      </c>
      <c r="R95" s="109" t="str" cm="1">
        <f t="array" ref="R95">Common_InputFunctions.Utility_DisplayArrayInTable(Fertiliser_SourceData.Fertiliser_Products_Data1(),FertiliserProducts[[#Headers],[Include or Exclude]], 0,4)</f>
        <v/>
      </c>
      <c r="S95" s="109" t="str" cm="1">
        <f t="array" ref="S95">Common_InputFunctions.Utility_DisplayArrayInTable(Fertiliser_SourceData.Fertiliser_Products_Data1(),FertiliserProducts[[#Headers],[Include or Exclude]], 0,4)</f>
        <v/>
      </c>
      <c r="T95" s="109" t="str" cm="1">
        <f t="array" ref="T95">Common_InputFunctions.Utility_DisplayArrayInTable(Fertiliser_SourceData.Fertiliser_Products_Data1(),FertiliserProducts[[#Headers],[Include or Exclude]], 0,4)</f>
        <v/>
      </c>
      <c r="U95" s="109" t="str" cm="1">
        <f t="array" ref="U95">Common_InputFunctions.Utility_DisplayArrayInTable(Fertiliser_SourceData.Fertiliser_Products_Data1(),FertiliserProducts[[#Headers],[Include or Exclude]], 0,4)</f>
        <v/>
      </c>
      <c r="V95" s="109" t="str" cm="1">
        <f t="array" ref="V95">Common_InputFunctions.Utility_DisplayArrayInTable(Fertiliser_SourceData.Fertiliser_Products_Data1(),FertiliserProducts[[#Headers],[Include or Exclude]], 0,4)</f>
        <v/>
      </c>
      <c r="W95" s="109" t="str" cm="1">
        <f t="array" ref="W95">Common_InputFunctions.Utility_DisplayArrayInTable(Fertiliser_SourceData.Fertiliser_Products_Data1(),FertiliserProducts[[#Headers],[Include or Exclude]], 0,4)</f>
        <v/>
      </c>
      <c r="X95" s="109" t="str" cm="1">
        <f t="array" ref="X95">Common_InputFunctions.Utility_DisplayArrayInTable(Fertiliser_SourceData.Fertiliser_Products_Data1(),FertiliserProducts[[#Headers],[Include or Exclude]], 0,4)</f>
        <v/>
      </c>
      <c r="Y95" s="109" t="str" cm="1">
        <f t="array" ref="Y95">Common_InputFunctions.Utility_DisplayArrayInTable(Fertiliser_SourceData.Fertiliser_Products_Data1(),FertiliserProducts[[#Headers],[Include or Exclude]], 0,4)</f>
        <v/>
      </c>
      <c r="Z95" s="109" t="str" cm="1">
        <f t="array" ref="Z95">Common_InputFunctions.Utility_DisplayArrayInTable(Fertiliser_SourceData.Fertiliser_Products_Data1(),FertiliserProducts[[#Headers],[Include or Exclude]], 0,4)</f>
        <v/>
      </c>
      <c r="AA95" s="109" t="str" cm="1">
        <f t="array" ref="AA95">Common_InputFunctions.Utility_DisplayArrayInTable(Fertiliser_SourceData.Fertiliser_Products_Data1(),FertiliserProducts[[#Headers],[Include or Exclude]], 0,4)</f>
        <v/>
      </c>
      <c r="AB95" s="109" t="str" cm="1">
        <f t="array" ref="AB95">Common_InputFunctions.Utility_DisplayArrayInTable(Fertiliser_SourceData.Fertiliser_Products_Data1(),FertiliserProducts[[#Headers],[Include or Exclude]], 0,4)</f>
        <v/>
      </c>
      <c r="AC95" s="109" t="str" cm="1">
        <f t="array" ref="AC95">Common_InputFunctions.Utility_DisplayArrayInTable(Fertiliser_SourceData.Fertiliser_Products_Data1(),FertiliserProducts[[#Headers],[Include or Exclude]], 0,4)</f>
        <v/>
      </c>
      <c r="AD95" s="109" t="str" cm="1">
        <f t="array" ref="AD95">Common_InputFunctions.Utility_DisplayArrayInTable(Fertiliser_SourceData.Fertiliser_Products_Data1(),FertiliserProducts[[#Headers],[Include or Exclude]], 0,4)</f>
        <v/>
      </c>
      <c r="AE95" s="109" t="str" cm="1">
        <f t="array" ref="AE95">Common_InputFunctions.Utility_DisplayArrayInTable(Fertiliser_SourceData.Fertiliser_Products_Data1(),FertiliserProducts[[#Headers],[Include or Exclude]], 0,4)</f>
        <v/>
      </c>
    </row>
    <row r="96" spans="4:31" ht="20.100000000000001" customHeight="1" x14ac:dyDescent="0.25">
      <c r="D96" s="109" t="str" cm="1">
        <f t="array" ref="D96">Common_InputFunctions.Utility_DisplayArrayInTable(Fertiliser_SourceData.Fertiliser_Products_Data1(),FertiliserProducts[[#Headers],[Include or Exclude]], -1)</f>
        <v>Include</v>
      </c>
      <c r="E96" s="109" t="str" cm="1">
        <f t="array" ref="E96">Common_InputFunctions.Utility_DisplayArrayInTable(Fertiliser_SourceData.Fertiliser_Products_Data1(),FertiliserProducts[[#Headers],[Include or Exclude]], 0)</f>
        <v/>
      </c>
      <c r="F96" s="109" t="str" cm="1">
        <f t="array" ref="F96">Common_InputFunctions.Utility_DisplayArrayInTable(Fertiliser_SourceData.Fertiliser_Products_Data1(),FertiliserProducts[[#Headers],[Include or Exclude]], 0)</f>
        <v>Campbells fertilisers Australia</v>
      </c>
      <c r="G96" s="109" t="str" cm="1">
        <f t="array" ref="G96">Common_InputFunctions.Utility_DisplayArrayInTable(Fertiliser_SourceData.Fertiliser_Products_Data1(),FertiliserProducts[[#Headers],[Include or Exclude]], 0)</f>
        <v>Aqua Start</v>
      </c>
      <c r="H96" s="109" t="str" cm="1">
        <f t="array" ref="H96">Common_InputFunctions.Utility_DisplayArrayInTable(Fertiliser_SourceData.Fertiliser_Products_Data1(),FertiliserProducts[[#Headers],[Include or Exclude]], 0,4)</f>
        <v>L</v>
      </c>
      <c r="I96" s="109" cm="1">
        <f t="array" ref="I96">Common_InputFunctions.Utility_DisplayArrayInTable(Fertiliser_SourceData.Fertiliser_Products_Data1(),FertiliserProducts[[#Headers],[Include or Exclude]], 0,4)</f>
        <v>1.25</v>
      </c>
      <c r="J96" s="109" t="str" cm="1">
        <f t="array" ref="J96">Common_InputFunctions.Utility_DisplayArrayInTable(Fertiliser_SourceData.Fertiliser_Products_Data1(),FertiliserProducts[[#Headers],[Include or Exclude]], 0,4)</f>
        <v/>
      </c>
      <c r="K96" s="109" t="str" cm="1">
        <f t="array" ref="K96">Common_InputFunctions.Utility_DisplayArrayInTable(Fertiliser_SourceData.Fertiliser_Products_Data1(),FertiliserProducts[[#Headers],[Include or Exclude]], 0,4)</f>
        <v/>
      </c>
      <c r="L96" s="109" t="str" cm="1">
        <f t="array" ref="L96">Common_InputFunctions.Utility_DisplayArrayInTable(Fertiliser_SourceData.Fertiliser_Products_Data1(),FertiliserProducts[[#Headers],[Include or Exclude]], 0,4)</f>
        <v>Nitrogen - Generic</v>
      </c>
      <c r="M96" s="109" cm="1">
        <f t="array" ref="M96">Common_InputFunctions.Utility_DisplayArrayInTable(Fertiliser_SourceData.Fertiliser_Products_Data1(),FertiliserProducts[[#Headers],[Include or Exclude]], 0,4)</f>
        <v>0.10299999999999999</v>
      </c>
      <c r="N96" s="109" t="str" cm="1">
        <f t="array" ref="N96">Common_InputFunctions.Utility_DisplayArrayInTable(Fertiliser_SourceData.Fertiliser_Products_Data1(),FertiliserProducts[[#Headers],[Include or Exclude]], 0,4)</f>
        <v>Phosphorus - Generic</v>
      </c>
      <c r="O96" s="109" cm="1">
        <f t="array" ref="O96">Common_InputFunctions.Utility_DisplayArrayInTable(Fertiliser_SourceData.Fertiliser_Products_Data1(),FertiliserProducts[[#Headers],[Include or Exclude]], 0,4)</f>
        <v>0.1</v>
      </c>
      <c r="P96" s="109" t="str" cm="1">
        <f t="array" ref="P96">Common_InputFunctions.Utility_DisplayArrayInTable(Fertiliser_SourceData.Fertiliser_Products_Data1(),FertiliserProducts[[#Headers],[Include or Exclude]], 0,4)</f>
        <v>Potassium - Generic</v>
      </c>
      <c r="Q96" s="109" cm="1">
        <f t="array" ref="Q96">Common_InputFunctions.Utility_DisplayArrayInTable(Fertiliser_SourceData.Fertiliser_Products_Data1(),FertiliserProducts[[#Headers],[Include or Exclude]], 0,4)</f>
        <v>3.4000000000000002E-2</v>
      </c>
      <c r="R96" s="109" t="str" cm="1">
        <f t="array" ref="R96">Common_InputFunctions.Utility_DisplayArrayInTable(Fertiliser_SourceData.Fertiliser_Products_Data1(),FertiliserProducts[[#Headers],[Include or Exclude]], 0,4)</f>
        <v/>
      </c>
      <c r="S96" s="109" t="str" cm="1">
        <f t="array" ref="S96">Common_InputFunctions.Utility_DisplayArrayInTable(Fertiliser_SourceData.Fertiliser_Products_Data1(),FertiliserProducts[[#Headers],[Include or Exclude]], 0,4)</f>
        <v/>
      </c>
      <c r="T96" s="109" t="str" cm="1">
        <f t="array" ref="T96">Common_InputFunctions.Utility_DisplayArrayInTable(Fertiliser_SourceData.Fertiliser_Products_Data1(),FertiliserProducts[[#Headers],[Include or Exclude]], 0,4)</f>
        <v/>
      </c>
      <c r="U96" s="109" t="str" cm="1">
        <f t="array" ref="U96">Common_InputFunctions.Utility_DisplayArrayInTable(Fertiliser_SourceData.Fertiliser_Products_Data1(),FertiliserProducts[[#Headers],[Include or Exclude]], 0,4)</f>
        <v/>
      </c>
      <c r="V96" s="109" t="str" cm="1">
        <f t="array" ref="V96">Common_InputFunctions.Utility_DisplayArrayInTable(Fertiliser_SourceData.Fertiliser_Products_Data1(),FertiliserProducts[[#Headers],[Include or Exclude]], 0,4)</f>
        <v/>
      </c>
      <c r="W96" s="109" t="str" cm="1">
        <f t="array" ref="W96">Common_InputFunctions.Utility_DisplayArrayInTable(Fertiliser_SourceData.Fertiliser_Products_Data1(),FertiliserProducts[[#Headers],[Include or Exclude]], 0,4)</f>
        <v/>
      </c>
      <c r="X96" s="109" t="str" cm="1">
        <f t="array" ref="X96">Common_InputFunctions.Utility_DisplayArrayInTable(Fertiliser_SourceData.Fertiliser_Products_Data1(),FertiliserProducts[[#Headers],[Include or Exclude]], 0,4)</f>
        <v/>
      </c>
      <c r="Y96" s="109" t="str" cm="1">
        <f t="array" ref="Y96">Common_InputFunctions.Utility_DisplayArrayInTable(Fertiliser_SourceData.Fertiliser_Products_Data1(),FertiliserProducts[[#Headers],[Include or Exclude]], 0,4)</f>
        <v/>
      </c>
      <c r="Z96" s="109" t="str" cm="1">
        <f t="array" ref="Z96">Common_InputFunctions.Utility_DisplayArrayInTable(Fertiliser_SourceData.Fertiliser_Products_Data1(),FertiliserProducts[[#Headers],[Include or Exclude]], 0,4)</f>
        <v/>
      </c>
      <c r="AA96" s="109" t="str" cm="1">
        <f t="array" ref="AA96">Common_InputFunctions.Utility_DisplayArrayInTable(Fertiliser_SourceData.Fertiliser_Products_Data1(),FertiliserProducts[[#Headers],[Include or Exclude]], 0,4)</f>
        <v/>
      </c>
      <c r="AB96" s="109" t="str" cm="1">
        <f t="array" ref="AB96">Common_InputFunctions.Utility_DisplayArrayInTable(Fertiliser_SourceData.Fertiliser_Products_Data1(),FertiliserProducts[[#Headers],[Include or Exclude]], 0,4)</f>
        <v/>
      </c>
      <c r="AC96" s="109" t="str" cm="1">
        <f t="array" ref="AC96">Common_InputFunctions.Utility_DisplayArrayInTable(Fertiliser_SourceData.Fertiliser_Products_Data1(),FertiliserProducts[[#Headers],[Include or Exclude]], 0,4)</f>
        <v/>
      </c>
      <c r="AD96" s="109" t="str" cm="1">
        <f t="array" ref="AD96">Common_InputFunctions.Utility_DisplayArrayInTable(Fertiliser_SourceData.Fertiliser_Products_Data1(),FertiliserProducts[[#Headers],[Include or Exclude]], 0,4)</f>
        <v/>
      </c>
      <c r="AE96" s="109" t="str" cm="1">
        <f t="array" ref="AE96">Common_InputFunctions.Utility_DisplayArrayInTable(Fertiliser_SourceData.Fertiliser_Products_Data1(),FertiliserProducts[[#Headers],[Include or Exclude]], 0,4)</f>
        <v/>
      </c>
    </row>
    <row r="97" spans="4:31" ht="20.100000000000001" customHeight="1" x14ac:dyDescent="0.25">
      <c r="D97" s="109" t="str" cm="1">
        <f t="array" ref="D97">Common_InputFunctions.Utility_DisplayArrayInTable(Fertiliser_SourceData.Fertiliser_Products_Data1(),FertiliserProducts[[#Headers],[Include or Exclude]], -1)</f>
        <v>Include</v>
      </c>
      <c r="E97" s="109" t="str" cm="1">
        <f t="array" ref="E97">Common_InputFunctions.Utility_DisplayArrayInTable(Fertiliser_SourceData.Fertiliser_Products_Data1(),FertiliserProducts[[#Headers],[Include or Exclude]], 0)</f>
        <v/>
      </c>
      <c r="F97" s="109" t="str" cm="1">
        <f t="array" ref="F97">Common_InputFunctions.Utility_DisplayArrayInTable(Fertiliser_SourceData.Fertiliser_Products_Data1(),FertiliserProducts[[#Headers],[Include or Exclude]], 0)</f>
        <v>Campbells fertilisers Australia</v>
      </c>
      <c r="G97" s="109" t="str" cm="1">
        <f t="array" ref="G97">Common_InputFunctions.Utility_DisplayArrayInTable(Fertiliser_SourceData.Fertiliser_Products_Data1(),FertiliserProducts[[#Headers],[Include or Exclude]], 0)</f>
        <v>Aqua Thio-Complete</v>
      </c>
      <c r="H97" s="109" t="str" cm="1">
        <f t="array" ref="H97">Common_InputFunctions.Utility_DisplayArrayInTable(Fertiliser_SourceData.Fertiliser_Products_Data1(),FertiliserProducts[[#Headers],[Include or Exclude]], 0,4)</f>
        <v>L</v>
      </c>
      <c r="I97" s="109" cm="1">
        <f t="array" ref="I97">Common_InputFunctions.Utility_DisplayArrayInTable(Fertiliser_SourceData.Fertiliser_Products_Data1(),FertiliserProducts[[#Headers],[Include or Exclude]], 0,4)</f>
        <v>1.43</v>
      </c>
      <c r="J97" s="109" t="str" cm="1">
        <f t="array" ref="J97">Common_InputFunctions.Utility_DisplayArrayInTable(Fertiliser_SourceData.Fertiliser_Products_Data1(),FertiliserProducts[[#Headers],[Include or Exclude]], 0,4)</f>
        <v/>
      </c>
      <c r="K97" s="109" t="str" cm="1">
        <f t="array" ref="K97">Common_InputFunctions.Utility_DisplayArrayInTable(Fertiliser_SourceData.Fertiliser_Products_Data1(),FertiliserProducts[[#Headers],[Include or Exclude]], 0,4)</f>
        <v/>
      </c>
      <c r="L97" s="109" t="str" cm="1">
        <f t="array" ref="L97">Common_InputFunctions.Utility_DisplayArrayInTable(Fertiliser_SourceData.Fertiliser_Products_Data1(),FertiliserProducts[[#Headers],[Include or Exclude]], 0,4)</f>
        <v>Potassium - Generic</v>
      </c>
      <c r="M97" s="109" cm="1">
        <f t="array" ref="M97">Common_InputFunctions.Utility_DisplayArrayInTable(Fertiliser_SourceData.Fertiliser_Products_Data1(),FertiliserProducts[[#Headers],[Include or Exclude]], 0,4)</f>
        <v>0.22500000000000001</v>
      </c>
      <c r="N97" s="109" t="str" cm="1">
        <f t="array" ref="N97">Common_InputFunctions.Utility_DisplayArrayInTable(Fertiliser_SourceData.Fertiliser_Products_Data1(),FertiliserProducts[[#Headers],[Include or Exclude]], 0,4)</f>
        <v>Phosphorus - Generic</v>
      </c>
      <c r="O97" s="109" cm="1">
        <f t="array" ref="O97">Common_InputFunctions.Utility_DisplayArrayInTable(Fertiliser_SourceData.Fertiliser_Products_Data1(),FertiliserProducts[[#Headers],[Include or Exclude]], 0,4)</f>
        <v>3.7999999999999999E-2</v>
      </c>
      <c r="P97" s="109" t="str" cm="1">
        <f t="array" ref="P97">Common_InputFunctions.Utility_DisplayArrayInTable(Fertiliser_SourceData.Fertiliser_Products_Data1(),FertiliserProducts[[#Headers],[Include or Exclude]], 0,4)</f>
        <v>Nitrogen - Generic</v>
      </c>
      <c r="Q97" s="109" cm="1">
        <f t="array" ref="Q97">Common_InputFunctions.Utility_DisplayArrayInTable(Fertiliser_SourceData.Fertiliser_Products_Data1(),FertiliserProducts[[#Headers],[Include or Exclude]], 0,4)</f>
        <v>2.5000000000000001E-2</v>
      </c>
      <c r="R97" s="109" t="str" cm="1">
        <f t="array" ref="R97">Common_InputFunctions.Utility_DisplayArrayInTable(Fertiliser_SourceData.Fertiliser_Products_Data1(),FertiliserProducts[[#Headers],[Include or Exclude]], 0,4)</f>
        <v/>
      </c>
      <c r="S97" s="109" t="str" cm="1">
        <f t="array" ref="S97">Common_InputFunctions.Utility_DisplayArrayInTable(Fertiliser_SourceData.Fertiliser_Products_Data1(),FertiliserProducts[[#Headers],[Include or Exclude]], 0,4)</f>
        <v/>
      </c>
      <c r="T97" s="109" t="str" cm="1">
        <f t="array" ref="T97">Common_InputFunctions.Utility_DisplayArrayInTable(Fertiliser_SourceData.Fertiliser_Products_Data1(),FertiliserProducts[[#Headers],[Include or Exclude]], 0,4)</f>
        <v/>
      </c>
      <c r="U97" s="109" t="str" cm="1">
        <f t="array" ref="U97">Common_InputFunctions.Utility_DisplayArrayInTable(Fertiliser_SourceData.Fertiliser_Products_Data1(),FertiliserProducts[[#Headers],[Include or Exclude]], 0,4)</f>
        <v/>
      </c>
      <c r="V97" s="109" t="str" cm="1">
        <f t="array" ref="V97">Common_InputFunctions.Utility_DisplayArrayInTable(Fertiliser_SourceData.Fertiliser_Products_Data1(),FertiliserProducts[[#Headers],[Include or Exclude]], 0,4)</f>
        <v/>
      </c>
      <c r="W97" s="109" t="str" cm="1">
        <f t="array" ref="W97">Common_InputFunctions.Utility_DisplayArrayInTable(Fertiliser_SourceData.Fertiliser_Products_Data1(),FertiliserProducts[[#Headers],[Include or Exclude]], 0,4)</f>
        <v/>
      </c>
      <c r="X97" s="109" t="str" cm="1">
        <f t="array" ref="X97">Common_InputFunctions.Utility_DisplayArrayInTable(Fertiliser_SourceData.Fertiliser_Products_Data1(),FertiliserProducts[[#Headers],[Include or Exclude]], 0,4)</f>
        <v/>
      </c>
      <c r="Y97" s="109" t="str" cm="1">
        <f t="array" ref="Y97">Common_InputFunctions.Utility_DisplayArrayInTable(Fertiliser_SourceData.Fertiliser_Products_Data1(),FertiliserProducts[[#Headers],[Include or Exclude]], 0,4)</f>
        <v/>
      </c>
      <c r="Z97" s="109" t="str" cm="1">
        <f t="array" ref="Z97">Common_InputFunctions.Utility_DisplayArrayInTable(Fertiliser_SourceData.Fertiliser_Products_Data1(),FertiliserProducts[[#Headers],[Include or Exclude]], 0,4)</f>
        <v/>
      </c>
      <c r="AA97" s="109" t="str" cm="1">
        <f t="array" ref="AA97">Common_InputFunctions.Utility_DisplayArrayInTable(Fertiliser_SourceData.Fertiliser_Products_Data1(),FertiliserProducts[[#Headers],[Include or Exclude]], 0,4)</f>
        <v/>
      </c>
      <c r="AB97" s="109" t="str" cm="1">
        <f t="array" ref="AB97">Common_InputFunctions.Utility_DisplayArrayInTable(Fertiliser_SourceData.Fertiliser_Products_Data1(),FertiliserProducts[[#Headers],[Include or Exclude]], 0,4)</f>
        <v/>
      </c>
      <c r="AC97" s="109" t="str" cm="1">
        <f t="array" ref="AC97">Common_InputFunctions.Utility_DisplayArrayInTable(Fertiliser_SourceData.Fertiliser_Products_Data1(),FertiliserProducts[[#Headers],[Include or Exclude]], 0,4)</f>
        <v/>
      </c>
      <c r="AD97" s="109" t="str" cm="1">
        <f t="array" ref="AD97">Common_InputFunctions.Utility_DisplayArrayInTable(Fertiliser_SourceData.Fertiliser_Products_Data1(),FertiliserProducts[[#Headers],[Include or Exclude]], 0,4)</f>
        <v/>
      </c>
      <c r="AE97" s="109" t="str" cm="1">
        <f t="array" ref="AE97">Common_InputFunctions.Utility_DisplayArrayInTable(Fertiliser_SourceData.Fertiliser_Products_Data1(),FertiliserProducts[[#Headers],[Include or Exclude]], 0,4)</f>
        <v/>
      </c>
    </row>
    <row r="98" spans="4:31" ht="20.100000000000001" customHeight="1" x14ac:dyDescent="0.25">
      <c r="D98" s="109" t="str" cm="1">
        <f t="array" ref="D98">Common_InputFunctions.Utility_DisplayArrayInTable(Fertiliser_SourceData.Fertiliser_Products_Data1(),FertiliserProducts[[#Headers],[Include or Exclude]], -1)</f>
        <v>Include</v>
      </c>
      <c r="E98" s="109" t="str" cm="1">
        <f t="array" ref="E98">Common_InputFunctions.Utility_DisplayArrayInTable(Fertiliser_SourceData.Fertiliser_Products_Data1(),FertiliserProducts[[#Headers],[Include or Exclude]], 0)</f>
        <v/>
      </c>
      <c r="F98" s="109" t="str" cm="1">
        <f t="array" ref="F98">Common_InputFunctions.Utility_DisplayArrayInTable(Fertiliser_SourceData.Fertiliser_Products_Data1(),FertiliserProducts[[#Headers],[Include or Exclude]], 0)</f>
        <v>Campbells fertilisers Australia</v>
      </c>
      <c r="G98" s="109" t="str" cm="1">
        <f t="array" ref="G98">Common_InputFunctions.Utility_DisplayArrayInTable(Fertiliser_SourceData.Fertiliser_Products_Data1(),FertiliserProducts[[#Headers],[Include or Exclude]], 0)</f>
        <v>Aqua Thio-Emerge</v>
      </c>
      <c r="H98" s="109" t="str" cm="1">
        <f t="array" ref="H98">Common_InputFunctions.Utility_DisplayArrayInTable(Fertiliser_SourceData.Fertiliser_Products_Data1(),FertiliserProducts[[#Headers],[Include or Exclude]], 0,4)</f>
        <v>L</v>
      </c>
      <c r="I98" s="109" cm="1">
        <f t="array" ref="I98">Common_InputFunctions.Utility_DisplayArrayInTable(Fertiliser_SourceData.Fertiliser_Products_Data1(),FertiliserProducts[[#Headers],[Include or Exclude]], 0,4)</f>
        <v>1.29</v>
      </c>
      <c r="J98" s="109" t="str" cm="1">
        <f t="array" ref="J98">Common_InputFunctions.Utility_DisplayArrayInTable(Fertiliser_SourceData.Fertiliser_Products_Data1(),FertiliserProducts[[#Headers],[Include or Exclude]], 0,4)</f>
        <v/>
      </c>
      <c r="K98" s="109" t="str" cm="1">
        <f t="array" ref="K98">Common_InputFunctions.Utility_DisplayArrayInTable(Fertiliser_SourceData.Fertiliser_Products_Data1(),FertiliserProducts[[#Headers],[Include or Exclude]], 0,4)</f>
        <v/>
      </c>
      <c r="L98" s="109" t="str" cm="1">
        <f t="array" ref="L98">Common_InputFunctions.Utility_DisplayArrayInTable(Fertiliser_SourceData.Fertiliser_Products_Data1(),FertiliserProducts[[#Headers],[Include or Exclude]], 0,4)</f>
        <v>Nitrogen - Generic</v>
      </c>
      <c r="M98" s="109" cm="1">
        <f t="array" ref="M98">Common_InputFunctions.Utility_DisplayArrayInTable(Fertiliser_SourceData.Fertiliser_Products_Data1(),FertiliserProducts[[#Headers],[Include or Exclude]], 0,4)</f>
        <v>0.105</v>
      </c>
      <c r="N98" s="109" t="str" cm="1">
        <f t="array" ref="N98">Common_InputFunctions.Utility_DisplayArrayInTable(Fertiliser_SourceData.Fertiliser_Products_Data1(),FertiliserProducts[[#Headers],[Include or Exclude]], 0,4)</f>
        <v>Phosphorus - Generic</v>
      </c>
      <c r="O98" s="109" cm="1">
        <f t="array" ref="O98">Common_InputFunctions.Utility_DisplayArrayInTable(Fertiliser_SourceData.Fertiliser_Products_Data1(),FertiliserProducts[[#Headers],[Include or Exclude]], 0,4)</f>
        <v>9.4E-2</v>
      </c>
      <c r="P98" s="109" t="str" cm="1">
        <f t="array" ref="P98">Common_InputFunctions.Utility_DisplayArrayInTable(Fertiliser_SourceData.Fertiliser_Products_Data1(),FertiliserProducts[[#Headers],[Include or Exclude]], 0,4)</f>
        <v>Potassium - Generic</v>
      </c>
      <c r="Q98" s="109" cm="1">
        <f t="array" ref="Q98">Common_InputFunctions.Utility_DisplayArrayInTable(Fertiliser_SourceData.Fertiliser_Products_Data1(),FertiliserProducts[[#Headers],[Include or Exclude]], 0,4)</f>
        <v>0.04</v>
      </c>
      <c r="R98" s="109" t="str" cm="1">
        <f t="array" ref="R98">Common_InputFunctions.Utility_DisplayArrayInTable(Fertiliser_SourceData.Fertiliser_Products_Data1(),FertiliserProducts[[#Headers],[Include or Exclude]], 0,4)</f>
        <v>Sulfur - Generic</v>
      </c>
      <c r="S98" s="109" cm="1">
        <f t="array" ref="S98">Common_InputFunctions.Utility_DisplayArrayInTable(Fertiliser_SourceData.Fertiliser_Products_Data1(),FertiliserProducts[[#Headers],[Include or Exclude]], 0,4)</f>
        <v>0.03</v>
      </c>
      <c r="T98" s="109" t="str" cm="1">
        <f t="array" ref="T98">Common_InputFunctions.Utility_DisplayArrayInTable(Fertiliser_SourceData.Fertiliser_Products_Data1(),FertiliserProducts[[#Headers],[Include or Exclude]], 0,4)</f>
        <v/>
      </c>
      <c r="U98" s="109" t="str" cm="1">
        <f t="array" ref="U98">Common_InputFunctions.Utility_DisplayArrayInTable(Fertiliser_SourceData.Fertiliser_Products_Data1(),FertiliserProducts[[#Headers],[Include or Exclude]], 0,4)</f>
        <v/>
      </c>
      <c r="V98" s="109" t="str" cm="1">
        <f t="array" ref="V98">Common_InputFunctions.Utility_DisplayArrayInTable(Fertiliser_SourceData.Fertiliser_Products_Data1(),FertiliserProducts[[#Headers],[Include or Exclude]], 0,4)</f>
        <v/>
      </c>
      <c r="W98" s="109" t="str" cm="1">
        <f t="array" ref="W98">Common_InputFunctions.Utility_DisplayArrayInTable(Fertiliser_SourceData.Fertiliser_Products_Data1(),FertiliserProducts[[#Headers],[Include or Exclude]], 0,4)</f>
        <v/>
      </c>
      <c r="X98" s="109" t="str" cm="1">
        <f t="array" ref="X98">Common_InputFunctions.Utility_DisplayArrayInTable(Fertiliser_SourceData.Fertiliser_Products_Data1(),FertiliserProducts[[#Headers],[Include or Exclude]], 0,4)</f>
        <v/>
      </c>
      <c r="Y98" s="109" t="str" cm="1">
        <f t="array" ref="Y98">Common_InputFunctions.Utility_DisplayArrayInTable(Fertiliser_SourceData.Fertiliser_Products_Data1(),FertiliserProducts[[#Headers],[Include or Exclude]], 0,4)</f>
        <v/>
      </c>
      <c r="Z98" s="109" t="str" cm="1">
        <f t="array" ref="Z98">Common_InputFunctions.Utility_DisplayArrayInTable(Fertiliser_SourceData.Fertiliser_Products_Data1(),FertiliserProducts[[#Headers],[Include or Exclude]], 0,4)</f>
        <v/>
      </c>
      <c r="AA98" s="109" t="str" cm="1">
        <f t="array" ref="AA98">Common_InputFunctions.Utility_DisplayArrayInTable(Fertiliser_SourceData.Fertiliser_Products_Data1(),FertiliserProducts[[#Headers],[Include or Exclude]], 0,4)</f>
        <v/>
      </c>
      <c r="AB98" s="109" t="str" cm="1">
        <f t="array" ref="AB98">Common_InputFunctions.Utility_DisplayArrayInTable(Fertiliser_SourceData.Fertiliser_Products_Data1(),FertiliserProducts[[#Headers],[Include or Exclude]], 0,4)</f>
        <v/>
      </c>
      <c r="AC98" s="109" t="str" cm="1">
        <f t="array" ref="AC98">Common_InputFunctions.Utility_DisplayArrayInTable(Fertiliser_SourceData.Fertiliser_Products_Data1(),FertiliserProducts[[#Headers],[Include or Exclude]], 0,4)</f>
        <v/>
      </c>
      <c r="AD98" s="109" t="str" cm="1">
        <f t="array" ref="AD98">Common_InputFunctions.Utility_DisplayArrayInTable(Fertiliser_SourceData.Fertiliser_Products_Data1(),FertiliserProducts[[#Headers],[Include or Exclude]], 0,4)</f>
        <v/>
      </c>
      <c r="AE98" s="109" t="str" cm="1">
        <f t="array" ref="AE98">Common_InputFunctions.Utility_DisplayArrayInTable(Fertiliser_SourceData.Fertiliser_Products_Data1(),FertiliserProducts[[#Headers],[Include or Exclude]], 0,4)</f>
        <v/>
      </c>
    </row>
    <row r="99" spans="4:31" ht="20.100000000000001" customHeight="1" x14ac:dyDescent="0.25">
      <c r="D99" s="109" t="str" cm="1">
        <f t="array" ref="D99">Common_InputFunctions.Utility_DisplayArrayInTable(Fertiliser_SourceData.Fertiliser_Products_Data1(),FertiliserProducts[[#Headers],[Include or Exclude]], -1)</f>
        <v>Exclude - Not relevant</v>
      </c>
      <c r="E99" s="109" t="str" cm="1">
        <f t="array" ref="E99">Common_InputFunctions.Utility_DisplayArrayInTable(Fertiliser_SourceData.Fertiliser_Products_Data1(),FertiliserProducts[[#Headers],[Include or Exclude]], 0)</f>
        <v/>
      </c>
      <c r="F99" s="109" t="str" cm="1">
        <f t="array" ref="F99">Common_InputFunctions.Utility_DisplayArrayInTable(Fertiliser_SourceData.Fertiliser_Products_Data1(),FertiliserProducts[[#Headers],[Include or Exclude]], 0)</f>
        <v>Campbells fertilisers Australia</v>
      </c>
      <c r="G99" s="109" t="str" cm="1">
        <f t="array" ref="G99">Common_InputFunctions.Utility_DisplayArrayInTable(Fertiliser_SourceData.Fertiliser_Products_Data1(),FertiliserProducts[[#Headers],[Include or Exclude]], 0)</f>
        <v>Aqua Thio-Flourish</v>
      </c>
      <c r="H99" s="109" t="str" cm="1">
        <f t="array" ref="H99">Common_InputFunctions.Utility_DisplayArrayInTable(Fertiliser_SourceData.Fertiliser_Products_Data1(),FertiliserProducts[[#Headers],[Include or Exclude]], 0,4)</f>
        <v>L</v>
      </c>
      <c r="I99" s="109" cm="1">
        <f t="array" ref="I99">Common_InputFunctions.Utility_DisplayArrayInTable(Fertiliser_SourceData.Fertiliser_Products_Data1(),FertiliserProducts[[#Headers],[Include or Exclude]], 0,4)</f>
        <v>1.32</v>
      </c>
      <c r="J99" s="109" t="str" cm="1">
        <f t="array" ref="J99">Common_InputFunctions.Utility_DisplayArrayInTable(Fertiliser_SourceData.Fertiliser_Products_Data1(),FertiliserProducts[[#Headers],[Include or Exclude]], 0,4)</f>
        <v/>
      </c>
      <c r="K99" s="109" t="str" cm="1">
        <f t="array" ref="K99">Common_InputFunctions.Utility_DisplayArrayInTable(Fertiliser_SourceData.Fertiliser_Products_Data1(),FertiliserProducts[[#Headers],[Include or Exclude]], 0,4)</f>
        <v/>
      </c>
      <c r="L99" s="109" t="str" cm="1">
        <f t="array" ref="L99">Common_InputFunctions.Utility_DisplayArrayInTable(Fertiliser_SourceData.Fertiliser_Products_Data1(),FertiliserProducts[[#Headers],[Include or Exclude]], 0,4)</f>
        <v>Potassium - Generic</v>
      </c>
      <c r="M99" s="109" cm="1">
        <f t="array" ref="M99">Common_InputFunctions.Utility_DisplayArrayInTable(Fertiliser_SourceData.Fertiliser_Products_Data1(),FertiliserProducts[[#Headers],[Include or Exclude]], 0,4)</f>
        <v>0.108</v>
      </c>
      <c r="N99" s="109" t="str" cm="1">
        <f t="array" ref="N99">Common_InputFunctions.Utility_DisplayArrayInTable(Fertiliser_SourceData.Fertiliser_Products_Data1(),FertiliserProducts[[#Headers],[Include or Exclude]], 0,4)</f>
        <v>Nitrogen - Generic</v>
      </c>
      <c r="O99" s="109" cm="1">
        <f t="array" ref="O99">Common_InputFunctions.Utility_DisplayArrayInTable(Fertiliser_SourceData.Fertiliser_Products_Data1(),FertiliserProducts[[#Headers],[Include or Exclude]], 0,4)</f>
        <v>9.5000000000000001E-2</v>
      </c>
      <c r="P99" s="109" t="str" cm="1">
        <f t="array" ref="P99">Common_InputFunctions.Utility_DisplayArrayInTable(Fertiliser_SourceData.Fertiliser_Products_Data1(),FertiliserProducts[[#Headers],[Include or Exclude]], 0,4)</f>
        <v>Sulfur - Generic</v>
      </c>
      <c r="Q99" s="109" cm="1">
        <f t="array" ref="Q99">Common_InputFunctions.Utility_DisplayArrayInTable(Fertiliser_SourceData.Fertiliser_Products_Data1(),FertiliserProducts[[#Headers],[Include or Exclude]], 0,4)</f>
        <v>8.1000000000000003E-2</v>
      </c>
      <c r="R99" s="109" t="str" cm="1">
        <f t="array" ref="R99">Common_InputFunctions.Utility_DisplayArrayInTable(Fertiliser_SourceData.Fertiliser_Products_Data1(),FertiliserProducts[[#Headers],[Include or Exclude]], 0,4)</f>
        <v>Phosphorus - Generic</v>
      </c>
      <c r="S99" s="109" cm="1">
        <f t="array" ref="S99">Common_InputFunctions.Utility_DisplayArrayInTable(Fertiliser_SourceData.Fertiliser_Products_Data1(),FertiliserProducts[[#Headers],[Include or Exclude]], 0,4)</f>
        <v>4.7E-2</v>
      </c>
      <c r="T99" s="109" t="str" cm="1">
        <f t="array" ref="T99">Common_InputFunctions.Utility_DisplayArrayInTable(Fertiliser_SourceData.Fertiliser_Products_Data1(),FertiliserProducts[[#Headers],[Include or Exclude]], 0,4)</f>
        <v/>
      </c>
      <c r="U99" s="109" t="str" cm="1">
        <f t="array" ref="U99">Common_InputFunctions.Utility_DisplayArrayInTable(Fertiliser_SourceData.Fertiliser_Products_Data1(),FertiliserProducts[[#Headers],[Include or Exclude]], 0,4)</f>
        <v/>
      </c>
      <c r="V99" s="109" t="str" cm="1">
        <f t="array" ref="V99">Common_InputFunctions.Utility_DisplayArrayInTable(Fertiliser_SourceData.Fertiliser_Products_Data1(),FertiliserProducts[[#Headers],[Include or Exclude]], 0,4)</f>
        <v/>
      </c>
      <c r="W99" s="109" t="str" cm="1">
        <f t="array" ref="W99">Common_InputFunctions.Utility_DisplayArrayInTable(Fertiliser_SourceData.Fertiliser_Products_Data1(),FertiliserProducts[[#Headers],[Include or Exclude]], 0,4)</f>
        <v/>
      </c>
      <c r="X99" s="109" t="str" cm="1">
        <f t="array" ref="X99">Common_InputFunctions.Utility_DisplayArrayInTable(Fertiliser_SourceData.Fertiliser_Products_Data1(),FertiliserProducts[[#Headers],[Include or Exclude]], 0,4)</f>
        <v/>
      </c>
      <c r="Y99" s="109" t="str" cm="1">
        <f t="array" ref="Y99">Common_InputFunctions.Utility_DisplayArrayInTable(Fertiliser_SourceData.Fertiliser_Products_Data1(),FertiliserProducts[[#Headers],[Include or Exclude]], 0,4)</f>
        <v/>
      </c>
      <c r="Z99" s="109" t="str" cm="1">
        <f t="array" ref="Z99">Common_InputFunctions.Utility_DisplayArrayInTable(Fertiliser_SourceData.Fertiliser_Products_Data1(),FertiliserProducts[[#Headers],[Include or Exclude]], 0,4)</f>
        <v/>
      </c>
      <c r="AA99" s="109" t="str" cm="1">
        <f t="array" ref="AA99">Common_InputFunctions.Utility_DisplayArrayInTable(Fertiliser_SourceData.Fertiliser_Products_Data1(),FertiliserProducts[[#Headers],[Include or Exclude]], 0,4)</f>
        <v/>
      </c>
      <c r="AB99" s="109" t="str" cm="1">
        <f t="array" ref="AB99">Common_InputFunctions.Utility_DisplayArrayInTable(Fertiliser_SourceData.Fertiliser_Products_Data1(),FertiliserProducts[[#Headers],[Include or Exclude]], 0,4)</f>
        <v/>
      </c>
      <c r="AC99" s="109" t="str" cm="1">
        <f t="array" ref="AC99">Common_InputFunctions.Utility_DisplayArrayInTable(Fertiliser_SourceData.Fertiliser_Products_Data1(),FertiliserProducts[[#Headers],[Include or Exclude]], 0,4)</f>
        <v/>
      </c>
      <c r="AD99" s="109" t="str" cm="1">
        <f t="array" ref="AD99">Common_InputFunctions.Utility_DisplayArrayInTable(Fertiliser_SourceData.Fertiliser_Products_Data1(),FertiliserProducts[[#Headers],[Include or Exclude]], 0,4)</f>
        <v/>
      </c>
      <c r="AE99" s="109" t="str" cm="1">
        <f t="array" ref="AE99">Common_InputFunctions.Utility_DisplayArrayInTable(Fertiliser_SourceData.Fertiliser_Products_Data1(),FertiliserProducts[[#Headers],[Include or Exclude]], 0,4)</f>
        <v/>
      </c>
    </row>
    <row r="100" spans="4:31" ht="20.100000000000001" customHeight="1" x14ac:dyDescent="0.25">
      <c r="D100" s="109" t="str" cm="1">
        <f t="array" ref="D100">Common_InputFunctions.Utility_DisplayArrayInTable(Fertiliser_SourceData.Fertiliser_Products_Data1(),FertiliserProducts[[#Headers],[Include or Exclude]], -1)</f>
        <v>Exclude - Not relevant</v>
      </c>
      <c r="E100" s="109" t="str" cm="1">
        <f t="array" ref="E100">Common_InputFunctions.Utility_DisplayArrayInTable(Fertiliser_SourceData.Fertiliser_Products_Data1(),FertiliserProducts[[#Headers],[Include or Exclude]], 0)</f>
        <v/>
      </c>
      <c r="F100" s="109" t="str" cm="1">
        <f t="array" ref="F100">Common_InputFunctions.Utility_DisplayArrayInTable(Fertiliser_SourceData.Fertiliser_Products_Data1(),FertiliserProducts[[#Headers],[Include or Exclude]], 0)</f>
        <v>Campbells fertilisers Australia</v>
      </c>
      <c r="G100" s="109" t="str" cm="1">
        <f t="array" ref="G100">Common_InputFunctions.Utility_DisplayArrayInTable(Fertiliser_SourceData.Fertiliser_Products_Data1(),FertiliserProducts[[#Headers],[Include or Exclude]], 0)</f>
        <v>Asco Fol Plus</v>
      </c>
      <c r="H100" s="109" t="str" cm="1">
        <f t="array" ref="H100">Common_InputFunctions.Utility_DisplayArrayInTable(Fertiliser_SourceData.Fertiliser_Products_Data1(),FertiliserProducts[[#Headers],[Include or Exclude]], 0,4)</f>
        <v/>
      </c>
      <c r="I100" s="109" t="str" cm="1">
        <f t="array" ref="I100">Common_InputFunctions.Utility_DisplayArrayInTable(Fertiliser_SourceData.Fertiliser_Products_Data1(),FertiliserProducts[[#Headers],[Include or Exclude]], 0,4)</f>
        <v/>
      </c>
      <c r="J100" s="109" t="str" cm="1">
        <f t="array" ref="J100">Common_InputFunctions.Utility_DisplayArrayInTable(Fertiliser_SourceData.Fertiliser_Products_Data1(),FertiliserProducts[[#Headers],[Include or Exclude]], 0,4)</f>
        <v/>
      </c>
      <c r="K100" s="109" t="str" cm="1">
        <f t="array" ref="K100">Common_InputFunctions.Utility_DisplayArrayInTable(Fertiliser_SourceData.Fertiliser_Products_Data1(),FertiliserProducts[[#Headers],[Include or Exclude]], 0,4)</f>
        <v/>
      </c>
      <c r="L100" s="109" t="str" cm="1">
        <f t="array" ref="L100">Common_InputFunctions.Utility_DisplayArrayInTable(Fertiliser_SourceData.Fertiliser_Products_Data1(),FertiliserProducts[[#Headers],[Include or Exclude]], 0,4)</f>
        <v/>
      </c>
      <c r="M100" s="109" t="str" cm="1">
        <f t="array" ref="M100">Common_InputFunctions.Utility_DisplayArrayInTable(Fertiliser_SourceData.Fertiliser_Products_Data1(),FertiliserProducts[[#Headers],[Include or Exclude]], 0,4)</f>
        <v/>
      </c>
      <c r="N100" s="109" t="str" cm="1">
        <f t="array" ref="N100">Common_InputFunctions.Utility_DisplayArrayInTable(Fertiliser_SourceData.Fertiliser_Products_Data1(),FertiliserProducts[[#Headers],[Include or Exclude]], 0,4)</f>
        <v/>
      </c>
      <c r="O100" s="109" t="str" cm="1">
        <f t="array" ref="O100">Common_InputFunctions.Utility_DisplayArrayInTable(Fertiliser_SourceData.Fertiliser_Products_Data1(),FertiliserProducts[[#Headers],[Include or Exclude]], 0,4)</f>
        <v/>
      </c>
      <c r="P100" s="109" t="str" cm="1">
        <f t="array" ref="P100">Common_InputFunctions.Utility_DisplayArrayInTable(Fertiliser_SourceData.Fertiliser_Products_Data1(),FertiliserProducts[[#Headers],[Include or Exclude]], 0,4)</f>
        <v/>
      </c>
      <c r="Q100" s="109" t="str" cm="1">
        <f t="array" ref="Q100">Common_InputFunctions.Utility_DisplayArrayInTable(Fertiliser_SourceData.Fertiliser_Products_Data1(),FertiliserProducts[[#Headers],[Include or Exclude]], 0,4)</f>
        <v/>
      </c>
      <c r="R100" s="109" t="str" cm="1">
        <f t="array" ref="R100">Common_InputFunctions.Utility_DisplayArrayInTable(Fertiliser_SourceData.Fertiliser_Products_Data1(),FertiliserProducts[[#Headers],[Include or Exclude]], 0,4)</f>
        <v/>
      </c>
      <c r="S100" s="109" t="str" cm="1">
        <f t="array" ref="S100">Common_InputFunctions.Utility_DisplayArrayInTable(Fertiliser_SourceData.Fertiliser_Products_Data1(),FertiliserProducts[[#Headers],[Include or Exclude]], 0,4)</f>
        <v/>
      </c>
      <c r="T100" s="109" t="str" cm="1">
        <f t="array" ref="T100">Common_InputFunctions.Utility_DisplayArrayInTable(Fertiliser_SourceData.Fertiliser_Products_Data1(),FertiliserProducts[[#Headers],[Include or Exclude]], 0,4)</f>
        <v/>
      </c>
      <c r="U100" s="109" t="str" cm="1">
        <f t="array" ref="U100">Common_InputFunctions.Utility_DisplayArrayInTable(Fertiliser_SourceData.Fertiliser_Products_Data1(),FertiliserProducts[[#Headers],[Include or Exclude]], 0,4)</f>
        <v/>
      </c>
      <c r="V100" s="109" t="str" cm="1">
        <f t="array" ref="V100">Common_InputFunctions.Utility_DisplayArrayInTable(Fertiliser_SourceData.Fertiliser_Products_Data1(),FertiliserProducts[[#Headers],[Include or Exclude]], 0,4)</f>
        <v/>
      </c>
      <c r="W100" s="109" t="str" cm="1">
        <f t="array" ref="W100">Common_InputFunctions.Utility_DisplayArrayInTable(Fertiliser_SourceData.Fertiliser_Products_Data1(),FertiliserProducts[[#Headers],[Include or Exclude]], 0,4)</f>
        <v/>
      </c>
      <c r="X100" s="109" t="str" cm="1">
        <f t="array" ref="X100">Common_InputFunctions.Utility_DisplayArrayInTable(Fertiliser_SourceData.Fertiliser_Products_Data1(),FertiliserProducts[[#Headers],[Include or Exclude]], 0,4)</f>
        <v/>
      </c>
      <c r="Y100" s="109" t="str" cm="1">
        <f t="array" ref="Y100">Common_InputFunctions.Utility_DisplayArrayInTable(Fertiliser_SourceData.Fertiliser_Products_Data1(),FertiliserProducts[[#Headers],[Include or Exclude]], 0,4)</f>
        <v/>
      </c>
      <c r="Z100" s="109" t="str" cm="1">
        <f t="array" ref="Z100">Common_InputFunctions.Utility_DisplayArrayInTable(Fertiliser_SourceData.Fertiliser_Products_Data1(),FertiliserProducts[[#Headers],[Include or Exclude]], 0,4)</f>
        <v/>
      </c>
      <c r="AA100" s="109" t="str" cm="1">
        <f t="array" ref="AA100">Common_InputFunctions.Utility_DisplayArrayInTable(Fertiliser_SourceData.Fertiliser_Products_Data1(),FertiliserProducts[[#Headers],[Include or Exclude]], 0,4)</f>
        <v/>
      </c>
      <c r="AB100" s="109" t="str" cm="1">
        <f t="array" ref="AB100">Common_InputFunctions.Utility_DisplayArrayInTable(Fertiliser_SourceData.Fertiliser_Products_Data1(),FertiliserProducts[[#Headers],[Include or Exclude]], 0,4)</f>
        <v/>
      </c>
      <c r="AC100" s="109" t="str" cm="1">
        <f t="array" ref="AC100">Common_InputFunctions.Utility_DisplayArrayInTable(Fertiliser_SourceData.Fertiliser_Products_Data1(),FertiliserProducts[[#Headers],[Include or Exclude]], 0,4)</f>
        <v/>
      </c>
      <c r="AD100" s="109" t="str" cm="1">
        <f t="array" ref="AD100">Common_InputFunctions.Utility_DisplayArrayInTable(Fertiliser_SourceData.Fertiliser_Products_Data1(),FertiliserProducts[[#Headers],[Include or Exclude]], 0,4)</f>
        <v/>
      </c>
      <c r="AE100" s="109" t="str" cm="1">
        <f t="array" ref="AE100">Common_InputFunctions.Utility_DisplayArrayInTable(Fertiliser_SourceData.Fertiliser_Products_Data1(),FertiliserProducts[[#Headers],[Include or Exclude]], 0,4)</f>
        <v/>
      </c>
    </row>
    <row r="101" spans="4:31" ht="20.100000000000001" customHeight="1" x14ac:dyDescent="0.25">
      <c r="D101" s="109" t="str" cm="1">
        <f t="array" ref="D101">Common_InputFunctions.Utility_DisplayArrayInTable(Fertiliser_SourceData.Fertiliser_Products_Data1(),FertiliserProducts[[#Headers],[Include or Exclude]], -1)</f>
        <v>Exclude - Not relevant</v>
      </c>
      <c r="E101" s="109" t="str" cm="1">
        <f t="array" ref="E101">Common_InputFunctions.Utility_DisplayArrayInTable(Fertiliser_SourceData.Fertiliser_Products_Data1(),FertiliserProducts[[#Headers],[Include or Exclude]], 0)</f>
        <v/>
      </c>
      <c r="F101" s="109" t="str" cm="1">
        <f t="array" ref="F101">Common_InputFunctions.Utility_DisplayArrayInTable(Fertiliser_SourceData.Fertiliser_Products_Data1(),FertiliserProducts[[#Headers],[Include or Exclude]], 0)</f>
        <v>Campbells fertilisers Australia</v>
      </c>
      <c r="G101" s="109" t="str" cm="1">
        <f t="array" ref="G101">Common_InputFunctions.Utility_DisplayArrayInTable(Fertiliser_SourceData.Fertiliser_Products_Data1(),FertiliserProducts[[#Headers],[Include or Exclude]], 0)</f>
        <v>Asco Plus</v>
      </c>
      <c r="H101" s="109" t="str" cm="1">
        <f t="array" ref="H101">Common_InputFunctions.Utility_DisplayArrayInTable(Fertiliser_SourceData.Fertiliser_Products_Data1(),FertiliserProducts[[#Headers],[Include or Exclude]], 0,4)</f>
        <v/>
      </c>
      <c r="I101" s="109" t="str" cm="1">
        <f t="array" ref="I101">Common_InputFunctions.Utility_DisplayArrayInTable(Fertiliser_SourceData.Fertiliser_Products_Data1(),FertiliserProducts[[#Headers],[Include or Exclude]], 0,4)</f>
        <v/>
      </c>
      <c r="J101" s="109" t="str" cm="1">
        <f t="array" ref="J101">Common_InputFunctions.Utility_DisplayArrayInTable(Fertiliser_SourceData.Fertiliser_Products_Data1(),FertiliserProducts[[#Headers],[Include or Exclude]], 0,4)</f>
        <v/>
      </c>
      <c r="K101" s="109" t="str" cm="1">
        <f t="array" ref="K101">Common_InputFunctions.Utility_DisplayArrayInTable(Fertiliser_SourceData.Fertiliser_Products_Data1(),FertiliserProducts[[#Headers],[Include or Exclude]], 0,4)</f>
        <v/>
      </c>
      <c r="L101" s="109" t="str" cm="1">
        <f t="array" ref="L101">Common_InputFunctions.Utility_DisplayArrayInTable(Fertiliser_SourceData.Fertiliser_Products_Data1(),FertiliserProducts[[#Headers],[Include or Exclude]], 0,4)</f>
        <v/>
      </c>
      <c r="M101" s="109" t="str" cm="1">
        <f t="array" ref="M101">Common_InputFunctions.Utility_DisplayArrayInTable(Fertiliser_SourceData.Fertiliser_Products_Data1(),FertiliserProducts[[#Headers],[Include or Exclude]], 0,4)</f>
        <v/>
      </c>
      <c r="N101" s="109" t="str" cm="1">
        <f t="array" ref="N101">Common_InputFunctions.Utility_DisplayArrayInTable(Fertiliser_SourceData.Fertiliser_Products_Data1(),FertiliserProducts[[#Headers],[Include or Exclude]], 0,4)</f>
        <v/>
      </c>
      <c r="O101" s="109" t="str" cm="1">
        <f t="array" ref="O101">Common_InputFunctions.Utility_DisplayArrayInTable(Fertiliser_SourceData.Fertiliser_Products_Data1(),FertiliserProducts[[#Headers],[Include or Exclude]], 0,4)</f>
        <v/>
      </c>
      <c r="P101" s="109" t="str" cm="1">
        <f t="array" ref="P101">Common_InputFunctions.Utility_DisplayArrayInTable(Fertiliser_SourceData.Fertiliser_Products_Data1(),FertiliserProducts[[#Headers],[Include or Exclude]], 0,4)</f>
        <v/>
      </c>
      <c r="Q101" s="109" t="str" cm="1">
        <f t="array" ref="Q101">Common_InputFunctions.Utility_DisplayArrayInTable(Fertiliser_SourceData.Fertiliser_Products_Data1(),FertiliserProducts[[#Headers],[Include or Exclude]], 0,4)</f>
        <v/>
      </c>
      <c r="R101" s="109" t="str" cm="1">
        <f t="array" ref="R101">Common_InputFunctions.Utility_DisplayArrayInTable(Fertiliser_SourceData.Fertiliser_Products_Data1(),FertiliserProducts[[#Headers],[Include or Exclude]], 0,4)</f>
        <v/>
      </c>
      <c r="S101" s="109" t="str" cm="1">
        <f t="array" ref="S101">Common_InputFunctions.Utility_DisplayArrayInTable(Fertiliser_SourceData.Fertiliser_Products_Data1(),FertiliserProducts[[#Headers],[Include or Exclude]], 0,4)</f>
        <v/>
      </c>
      <c r="T101" s="109" t="str" cm="1">
        <f t="array" ref="T101">Common_InputFunctions.Utility_DisplayArrayInTable(Fertiliser_SourceData.Fertiliser_Products_Data1(),FertiliserProducts[[#Headers],[Include or Exclude]], 0,4)</f>
        <v/>
      </c>
      <c r="U101" s="109" t="str" cm="1">
        <f t="array" ref="U101">Common_InputFunctions.Utility_DisplayArrayInTable(Fertiliser_SourceData.Fertiliser_Products_Data1(),FertiliserProducts[[#Headers],[Include or Exclude]], 0,4)</f>
        <v/>
      </c>
      <c r="V101" s="109" t="str" cm="1">
        <f t="array" ref="V101">Common_InputFunctions.Utility_DisplayArrayInTable(Fertiliser_SourceData.Fertiliser_Products_Data1(),FertiliserProducts[[#Headers],[Include or Exclude]], 0,4)</f>
        <v/>
      </c>
      <c r="W101" s="109" t="str" cm="1">
        <f t="array" ref="W101">Common_InputFunctions.Utility_DisplayArrayInTable(Fertiliser_SourceData.Fertiliser_Products_Data1(),FertiliserProducts[[#Headers],[Include or Exclude]], 0,4)</f>
        <v/>
      </c>
      <c r="X101" s="109" t="str" cm="1">
        <f t="array" ref="X101">Common_InputFunctions.Utility_DisplayArrayInTable(Fertiliser_SourceData.Fertiliser_Products_Data1(),FertiliserProducts[[#Headers],[Include or Exclude]], 0,4)</f>
        <v/>
      </c>
      <c r="Y101" s="109" t="str" cm="1">
        <f t="array" ref="Y101">Common_InputFunctions.Utility_DisplayArrayInTable(Fertiliser_SourceData.Fertiliser_Products_Data1(),FertiliserProducts[[#Headers],[Include or Exclude]], 0,4)</f>
        <v/>
      </c>
      <c r="Z101" s="109" t="str" cm="1">
        <f t="array" ref="Z101">Common_InputFunctions.Utility_DisplayArrayInTable(Fertiliser_SourceData.Fertiliser_Products_Data1(),FertiliserProducts[[#Headers],[Include or Exclude]], 0,4)</f>
        <v/>
      </c>
      <c r="AA101" s="109" t="str" cm="1">
        <f t="array" ref="AA101">Common_InputFunctions.Utility_DisplayArrayInTable(Fertiliser_SourceData.Fertiliser_Products_Data1(),FertiliserProducts[[#Headers],[Include or Exclude]], 0,4)</f>
        <v/>
      </c>
      <c r="AB101" s="109" t="str" cm="1">
        <f t="array" ref="AB101">Common_InputFunctions.Utility_DisplayArrayInTable(Fertiliser_SourceData.Fertiliser_Products_Data1(),FertiliserProducts[[#Headers],[Include or Exclude]], 0,4)</f>
        <v/>
      </c>
      <c r="AC101" s="109" t="str" cm="1">
        <f t="array" ref="AC101">Common_InputFunctions.Utility_DisplayArrayInTable(Fertiliser_SourceData.Fertiliser_Products_Data1(),FertiliserProducts[[#Headers],[Include or Exclude]], 0,4)</f>
        <v/>
      </c>
      <c r="AD101" s="109" t="str" cm="1">
        <f t="array" ref="AD101">Common_InputFunctions.Utility_DisplayArrayInTable(Fertiliser_SourceData.Fertiliser_Products_Data1(),FertiliserProducts[[#Headers],[Include or Exclude]], 0,4)</f>
        <v/>
      </c>
      <c r="AE101" s="109" t="str" cm="1">
        <f t="array" ref="AE101">Common_InputFunctions.Utility_DisplayArrayInTable(Fertiliser_SourceData.Fertiliser_Products_Data1(),FertiliserProducts[[#Headers],[Include or Exclude]], 0,4)</f>
        <v/>
      </c>
    </row>
    <row r="102" spans="4:31" ht="20.100000000000001" customHeight="1" x14ac:dyDescent="0.25">
      <c r="D102" s="109" t="str" cm="1">
        <f t="array" ref="D102">Common_InputFunctions.Utility_DisplayArrayInTable(Fertiliser_SourceData.Fertiliser_Products_Data1(),FertiliserProducts[[#Headers],[Include or Exclude]], -1)</f>
        <v>Exclude - Not relevant</v>
      </c>
      <c r="E102" s="109" t="str" cm="1">
        <f t="array" ref="E102">Common_InputFunctions.Utility_DisplayArrayInTable(Fertiliser_SourceData.Fertiliser_Products_Data1(),FertiliserProducts[[#Headers],[Include or Exclude]], 0)</f>
        <v/>
      </c>
      <c r="F102" s="109" t="str" cm="1">
        <f t="array" ref="F102">Common_InputFunctions.Utility_DisplayArrayInTable(Fertiliser_SourceData.Fertiliser_Products_Data1(),FertiliserProducts[[#Headers],[Include or Exclude]], 0)</f>
        <v>Campbells fertilisers Australia</v>
      </c>
      <c r="G102" s="109" t="str" cm="1">
        <f t="array" ref="G102">Common_InputFunctions.Utility_DisplayArrayInTable(Fertiliser_SourceData.Fertiliser_Products_Data1(),FertiliserProducts[[#Headers],[Include or Exclude]], 0)</f>
        <v>Asco Rhizo Plus</v>
      </c>
      <c r="H102" s="109" t="str" cm="1">
        <f t="array" ref="H102">Common_InputFunctions.Utility_DisplayArrayInTable(Fertiliser_SourceData.Fertiliser_Products_Data1(),FertiliserProducts[[#Headers],[Include or Exclude]], 0,4)</f>
        <v/>
      </c>
      <c r="I102" s="109" t="str" cm="1">
        <f t="array" ref="I102">Common_InputFunctions.Utility_DisplayArrayInTable(Fertiliser_SourceData.Fertiliser_Products_Data1(),FertiliserProducts[[#Headers],[Include or Exclude]], 0,4)</f>
        <v/>
      </c>
      <c r="J102" s="109" t="str" cm="1">
        <f t="array" ref="J102">Common_InputFunctions.Utility_DisplayArrayInTable(Fertiliser_SourceData.Fertiliser_Products_Data1(),FertiliserProducts[[#Headers],[Include or Exclude]], 0,4)</f>
        <v/>
      </c>
      <c r="K102" s="109" t="str" cm="1">
        <f t="array" ref="K102">Common_InputFunctions.Utility_DisplayArrayInTable(Fertiliser_SourceData.Fertiliser_Products_Data1(),FertiliserProducts[[#Headers],[Include or Exclude]], 0,4)</f>
        <v/>
      </c>
      <c r="L102" s="109" t="str" cm="1">
        <f t="array" ref="L102">Common_InputFunctions.Utility_DisplayArrayInTable(Fertiliser_SourceData.Fertiliser_Products_Data1(),FertiliserProducts[[#Headers],[Include or Exclude]], 0,4)</f>
        <v/>
      </c>
      <c r="M102" s="109" t="str" cm="1">
        <f t="array" ref="M102">Common_InputFunctions.Utility_DisplayArrayInTable(Fertiliser_SourceData.Fertiliser_Products_Data1(),FertiliserProducts[[#Headers],[Include or Exclude]], 0,4)</f>
        <v/>
      </c>
      <c r="N102" s="109" t="str" cm="1">
        <f t="array" ref="N102">Common_InputFunctions.Utility_DisplayArrayInTable(Fertiliser_SourceData.Fertiliser_Products_Data1(),FertiliserProducts[[#Headers],[Include or Exclude]], 0,4)</f>
        <v/>
      </c>
      <c r="O102" s="109" t="str" cm="1">
        <f t="array" ref="O102">Common_InputFunctions.Utility_DisplayArrayInTable(Fertiliser_SourceData.Fertiliser_Products_Data1(),FertiliserProducts[[#Headers],[Include or Exclude]], 0,4)</f>
        <v/>
      </c>
      <c r="P102" s="109" t="str" cm="1">
        <f t="array" ref="P102">Common_InputFunctions.Utility_DisplayArrayInTable(Fertiliser_SourceData.Fertiliser_Products_Data1(),FertiliserProducts[[#Headers],[Include or Exclude]], 0,4)</f>
        <v/>
      </c>
      <c r="Q102" s="109" t="str" cm="1">
        <f t="array" ref="Q102">Common_InputFunctions.Utility_DisplayArrayInTable(Fertiliser_SourceData.Fertiliser_Products_Data1(),FertiliserProducts[[#Headers],[Include or Exclude]], 0,4)</f>
        <v/>
      </c>
      <c r="R102" s="109" t="str" cm="1">
        <f t="array" ref="R102">Common_InputFunctions.Utility_DisplayArrayInTable(Fertiliser_SourceData.Fertiliser_Products_Data1(),FertiliserProducts[[#Headers],[Include or Exclude]], 0,4)</f>
        <v/>
      </c>
      <c r="S102" s="109" t="str" cm="1">
        <f t="array" ref="S102">Common_InputFunctions.Utility_DisplayArrayInTable(Fertiliser_SourceData.Fertiliser_Products_Data1(),FertiliserProducts[[#Headers],[Include or Exclude]], 0,4)</f>
        <v/>
      </c>
      <c r="T102" s="109" t="str" cm="1">
        <f t="array" ref="T102">Common_InputFunctions.Utility_DisplayArrayInTable(Fertiliser_SourceData.Fertiliser_Products_Data1(),FertiliserProducts[[#Headers],[Include or Exclude]], 0,4)</f>
        <v/>
      </c>
      <c r="U102" s="109" t="str" cm="1">
        <f t="array" ref="U102">Common_InputFunctions.Utility_DisplayArrayInTable(Fertiliser_SourceData.Fertiliser_Products_Data1(),FertiliserProducts[[#Headers],[Include or Exclude]], 0,4)</f>
        <v/>
      </c>
      <c r="V102" s="109" t="str" cm="1">
        <f t="array" ref="V102">Common_InputFunctions.Utility_DisplayArrayInTable(Fertiliser_SourceData.Fertiliser_Products_Data1(),FertiliserProducts[[#Headers],[Include or Exclude]], 0,4)</f>
        <v/>
      </c>
      <c r="W102" s="109" t="str" cm="1">
        <f t="array" ref="W102">Common_InputFunctions.Utility_DisplayArrayInTable(Fertiliser_SourceData.Fertiliser_Products_Data1(),FertiliserProducts[[#Headers],[Include or Exclude]], 0,4)</f>
        <v/>
      </c>
      <c r="X102" s="109" t="str" cm="1">
        <f t="array" ref="X102">Common_InputFunctions.Utility_DisplayArrayInTable(Fertiliser_SourceData.Fertiliser_Products_Data1(),FertiliserProducts[[#Headers],[Include or Exclude]], 0,4)</f>
        <v/>
      </c>
      <c r="Y102" s="109" t="str" cm="1">
        <f t="array" ref="Y102">Common_InputFunctions.Utility_DisplayArrayInTable(Fertiliser_SourceData.Fertiliser_Products_Data1(),FertiliserProducts[[#Headers],[Include or Exclude]], 0,4)</f>
        <v/>
      </c>
      <c r="Z102" s="109" t="str" cm="1">
        <f t="array" ref="Z102">Common_InputFunctions.Utility_DisplayArrayInTable(Fertiliser_SourceData.Fertiliser_Products_Data1(),FertiliserProducts[[#Headers],[Include or Exclude]], 0,4)</f>
        <v/>
      </c>
      <c r="AA102" s="109" t="str" cm="1">
        <f t="array" ref="AA102">Common_InputFunctions.Utility_DisplayArrayInTable(Fertiliser_SourceData.Fertiliser_Products_Data1(),FertiliserProducts[[#Headers],[Include or Exclude]], 0,4)</f>
        <v/>
      </c>
      <c r="AB102" s="109" t="str" cm="1">
        <f t="array" ref="AB102">Common_InputFunctions.Utility_DisplayArrayInTable(Fertiliser_SourceData.Fertiliser_Products_Data1(),FertiliserProducts[[#Headers],[Include or Exclude]], 0,4)</f>
        <v/>
      </c>
      <c r="AC102" s="109" t="str" cm="1">
        <f t="array" ref="AC102">Common_InputFunctions.Utility_DisplayArrayInTable(Fertiliser_SourceData.Fertiliser_Products_Data1(),FertiliserProducts[[#Headers],[Include or Exclude]], 0,4)</f>
        <v/>
      </c>
      <c r="AD102" s="109" t="str" cm="1">
        <f t="array" ref="AD102">Common_InputFunctions.Utility_DisplayArrayInTable(Fertiliser_SourceData.Fertiliser_Products_Data1(),FertiliserProducts[[#Headers],[Include or Exclude]], 0,4)</f>
        <v/>
      </c>
      <c r="AE102" s="109" t="str" cm="1">
        <f t="array" ref="AE102">Common_InputFunctions.Utility_DisplayArrayInTable(Fertiliser_SourceData.Fertiliser_Products_Data1(),FertiliserProducts[[#Headers],[Include or Exclude]], 0,4)</f>
        <v/>
      </c>
    </row>
    <row r="103" spans="4:31" ht="20.100000000000001" customHeight="1" x14ac:dyDescent="0.25">
      <c r="D103" s="109" t="str" cm="1">
        <f t="array" ref="D103">Common_InputFunctions.Utility_DisplayArrayInTable(Fertiliser_SourceData.Fertiliser_Products_Data1(),FertiliserProducts[[#Headers],[Include or Exclude]], -1)</f>
        <v>Include - Absent ingredients &lt; 2%</v>
      </c>
      <c r="E103" s="109" t="str" cm="1">
        <f t="array" ref="E103">Common_InputFunctions.Utility_DisplayArrayInTable(Fertiliser_SourceData.Fertiliser_Products_Data1(),FertiliserProducts[[#Headers],[Include or Exclude]], 0)</f>
        <v/>
      </c>
      <c r="F103" s="109" t="str" cm="1">
        <f t="array" ref="F103">Common_InputFunctions.Utility_DisplayArrayInTable(Fertiliser_SourceData.Fertiliser_Products_Data1(),FertiliserProducts[[#Headers],[Include or Exclude]], 0)</f>
        <v>Campbells fertilisers Australia</v>
      </c>
      <c r="G103" s="109" t="str" cm="1">
        <f t="array" ref="G103">Common_InputFunctions.Utility_DisplayArrayInTable(Fertiliser_SourceData.Fertiliser_Products_Data1(),FertiliserProducts[[#Headers],[Include or Exclude]], 0)</f>
        <v>Benefit PZ</v>
      </c>
      <c r="H103" s="109" t="str" cm="1">
        <f t="array" ref="H103">Common_InputFunctions.Utility_DisplayArrayInTable(Fertiliser_SourceData.Fertiliser_Products_Data1(),FertiliserProducts[[#Headers],[Include or Exclude]], 0,4)</f>
        <v/>
      </c>
      <c r="I103" s="109" t="str" cm="1">
        <f t="array" ref="I103">Common_InputFunctions.Utility_DisplayArrayInTable(Fertiliser_SourceData.Fertiliser_Products_Data1(),FertiliserProducts[[#Headers],[Include or Exclude]], 0,4)</f>
        <v/>
      </c>
      <c r="J103" s="109" t="str" cm="1">
        <f t="array" ref="J103">Common_InputFunctions.Utility_DisplayArrayInTable(Fertiliser_SourceData.Fertiliser_Products_Data1(),FertiliserProducts[[#Headers],[Include or Exclude]], 0,4)</f>
        <v/>
      </c>
      <c r="K103" s="109" t="str" cm="1">
        <f t="array" ref="K103">Common_InputFunctions.Utility_DisplayArrayInTable(Fertiliser_SourceData.Fertiliser_Products_Data1(),FertiliserProducts[[#Headers],[Include or Exclude]], 0,4)</f>
        <v/>
      </c>
      <c r="L103" s="109" t="str" cm="1">
        <f t="array" ref="L103">Common_InputFunctions.Utility_DisplayArrayInTable(Fertiliser_SourceData.Fertiliser_Products_Data1(),FertiliserProducts[[#Headers],[Include or Exclude]], 0,4)</f>
        <v/>
      </c>
      <c r="M103" s="109" t="str" cm="1">
        <f t="array" ref="M103">Common_InputFunctions.Utility_DisplayArrayInTable(Fertiliser_SourceData.Fertiliser_Products_Data1(),FertiliserProducts[[#Headers],[Include or Exclude]], 0,4)</f>
        <v/>
      </c>
      <c r="N103" s="109" t="str" cm="1">
        <f t="array" ref="N103">Common_InputFunctions.Utility_DisplayArrayInTable(Fertiliser_SourceData.Fertiliser_Products_Data1(),FertiliserProducts[[#Headers],[Include or Exclude]], 0,4)</f>
        <v/>
      </c>
      <c r="O103" s="109" t="str" cm="1">
        <f t="array" ref="O103">Common_InputFunctions.Utility_DisplayArrayInTable(Fertiliser_SourceData.Fertiliser_Products_Data1(),FertiliserProducts[[#Headers],[Include or Exclude]], 0,4)</f>
        <v/>
      </c>
      <c r="P103" s="109" t="str" cm="1">
        <f t="array" ref="P103">Common_InputFunctions.Utility_DisplayArrayInTable(Fertiliser_SourceData.Fertiliser_Products_Data1(),FertiliserProducts[[#Headers],[Include or Exclude]], 0,4)</f>
        <v/>
      </c>
      <c r="Q103" s="109" t="str" cm="1">
        <f t="array" ref="Q103">Common_InputFunctions.Utility_DisplayArrayInTable(Fertiliser_SourceData.Fertiliser_Products_Data1(),FertiliserProducts[[#Headers],[Include or Exclude]], 0,4)</f>
        <v/>
      </c>
      <c r="R103" s="109" t="str" cm="1">
        <f t="array" ref="R103">Common_InputFunctions.Utility_DisplayArrayInTable(Fertiliser_SourceData.Fertiliser_Products_Data1(),FertiliserProducts[[#Headers],[Include or Exclude]], 0,4)</f>
        <v/>
      </c>
      <c r="S103" s="109" t="str" cm="1">
        <f t="array" ref="S103">Common_InputFunctions.Utility_DisplayArrayInTable(Fertiliser_SourceData.Fertiliser_Products_Data1(),FertiliserProducts[[#Headers],[Include or Exclude]], 0,4)</f>
        <v/>
      </c>
      <c r="T103" s="109" t="str" cm="1">
        <f t="array" ref="T103">Common_InputFunctions.Utility_DisplayArrayInTable(Fertiliser_SourceData.Fertiliser_Products_Data1(),FertiliserProducts[[#Headers],[Include or Exclude]], 0,4)</f>
        <v/>
      </c>
      <c r="U103" s="109" t="str" cm="1">
        <f t="array" ref="U103">Common_InputFunctions.Utility_DisplayArrayInTable(Fertiliser_SourceData.Fertiliser_Products_Data1(),FertiliserProducts[[#Headers],[Include or Exclude]], 0,4)</f>
        <v/>
      </c>
      <c r="V103" s="109" t="str" cm="1">
        <f t="array" ref="V103">Common_InputFunctions.Utility_DisplayArrayInTable(Fertiliser_SourceData.Fertiliser_Products_Data1(),FertiliserProducts[[#Headers],[Include or Exclude]], 0,4)</f>
        <v/>
      </c>
      <c r="W103" s="109" t="str" cm="1">
        <f t="array" ref="W103">Common_InputFunctions.Utility_DisplayArrayInTable(Fertiliser_SourceData.Fertiliser_Products_Data1(),FertiliserProducts[[#Headers],[Include or Exclude]], 0,4)</f>
        <v/>
      </c>
      <c r="X103" s="109" t="str" cm="1">
        <f t="array" ref="X103">Common_InputFunctions.Utility_DisplayArrayInTable(Fertiliser_SourceData.Fertiliser_Products_Data1(),FertiliserProducts[[#Headers],[Include or Exclude]], 0,4)</f>
        <v/>
      </c>
      <c r="Y103" s="109" t="str" cm="1">
        <f t="array" ref="Y103">Common_InputFunctions.Utility_DisplayArrayInTable(Fertiliser_SourceData.Fertiliser_Products_Data1(),FertiliserProducts[[#Headers],[Include or Exclude]], 0,4)</f>
        <v/>
      </c>
      <c r="Z103" s="109" t="str" cm="1">
        <f t="array" ref="Z103">Common_InputFunctions.Utility_DisplayArrayInTable(Fertiliser_SourceData.Fertiliser_Products_Data1(),FertiliserProducts[[#Headers],[Include or Exclude]], 0,4)</f>
        <v/>
      </c>
      <c r="AA103" s="109" t="str" cm="1">
        <f t="array" ref="AA103">Common_InputFunctions.Utility_DisplayArrayInTable(Fertiliser_SourceData.Fertiliser_Products_Data1(),FertiliserProducts[[#Headers],[Include or Exclude]], 0,4)</f>
        <v/>
      </c>
      <c r="AB103" s="109" t="str" cm="1">
        <f t="array" ref="AB103">Common_InputFunctions.Utility_DisplayArrayInTable(Fertiliser_SourceData.Fertiliser_Products_Data1(),FertiliserProducts[[#Headers],[Include or Exclude]], 0,4)</f>
        <v/>
      </c>
      <c r="AC103" s="109" t="str" cm="1">
        <f t="array" ref="AC103">Common_InputFunctions.Utility_DisplayArrayInTable(Fertiliser_SourceData.Fertiliser_Products_Data1(),FertiliserProducts[[#Headers],[Include or Exclude]], 0,4)</f>
        <v/>
      </c>
      <c r="AD103" s="109" t="str" cm="1">
        <f t="array" ref="AD103">Common_InputFunctions.Utility_DisplayArrayInTable(Fertiliser_SourceData.Fertiliser_Products_Data1(),FertiliserProducts[[#Headers],[Include or Exclude]], 0,4)</f>
        <v/>
      </c>
      <c r="AE103" s="109" t="str" cm="1">
        <f t="array" ref="AE103">Common_InputFunctions.Utility_DisplayArrayInTable(Fertiliser_SourceData.Fertiliser_Products_Data1(),FertiliserProducts[[#Headers],[Include or Exclude]], 0,4)</f>
        <v/>
      </c>
    </row>
    <row r="104" spans="4:31" ht="20.100000000000001" customHeight="1" x14ac:dyDescent="0.25">
      <c r="D104" s="109" t="str" cm="1">
        <f t="array" ref="D104">Common_InputFunctions.Utility_DisplayArrayInTable(Fertiliser_SourceData.Fertiliser_Products_Data1(),FertiliserProducts[[#Headers],[Include or Exclude]], -1)</f>
        <v>Exclude - Not relevant</v>
      </c>
      <c r="E104" s="109" t="str" cm="1">
        <f t="array" ref="E104">Common_InputFunctions.Utility_DisplayArrayInTable(Fertiliser_SourceData.Fertiliser_Products_Data1(),FertiliserProducts[[#Headers],[Include or Exclude]], 0)</f>
        <v>Amount of urea calculated from urea nitrogen amount</v>
      </c>
      <c r="F104" s="109" t="str" cm="1">
        <f t="array" ref="F104">Common_InputFunctions.Utility_DisplayArrayInTable(Fertiliser_SourceData.Fertiliser_Products_Data1(),FertiliserProducts[[#Headers],[Include or Exclude]], 0)</f>
        <v>Campbells fertilisers Australia</v>
      </c>
      <c r="G104" s="109" t="str" cm="1">
        <f t="array" ref="G104">Common_InputFunctions.Utility_DisplayArrayInTable(Fertiliser_SourceData.Fertiliser_Products_Data1(),FertiliserProducts[[#Headers],[Include or Exclude]], 0)</f>
        <v>Boost-It</v>
      </c>
      <c r="H104" s="109" t="str" cm="1">
        <f t="array" ref="H104">Common_InputFunctions.Utility_DisplayArrayInTable(Fertiliser_SourceData.Fertiliser_Products_Data1(),FertiliserProducts[[#Headers],[Include or Exclude]], 0,4)</f>
        <v>kg</v>
      </c>
      <c r="I104" s="109" cm="1">
        <f t="array" ref="I104">Common_InputFunctions.Utility_DisplayArrayInTable(Fertiliser_SourceData.Fertiliser_Products_Data1(),FertiliserProducts[[#Headers],[Include or Exclude]], 0,4)</f>
        <v>1</v>
      </c>
      <c r="J104" s="109" t="str" cm="1">
        <f t="array" ref="J104">Common_InputFunctions.Utility_DisplayArrayInTable(Fertiliser_SourceData.Fertiliser_Products_Data1(),FertiliserProducts[[#Headers],[Include or Exclude]], 0,4)</f>
        <v/>
      </c>
      <c r="K104" s="109" t="str" cm="1">
        <f t="array" ref="K104">Common_InputFunctions.Utility_DisplayArrayInTable(Fertiliser_SourceData.Fertiliser_Products_Data1(),FertiliserProducts[[#Headers],[Include or Exclude]], 0,4)</f>
        <v/>
      </c>
      <c r="L104" s="109" t="str" cm="1">
        <f t="array" ref="L104">Common_InputFunctions.Utility_DisplayArrayInTable(Fertiliser_SourceData.Fertiliser_Products_Data1(),FertiliserProducts[[#Headers],[Include or Exclude]], 0,4)</f>
        <v>Urea</v>
      </c>
      <c r="M104" s="109" cm="1">
        <f t="array" ref="M104">Common_InputFunctions.Utility_DisplayArrayInTable(Fertiliser_SourceData.Fertiliser_Products_Data1(),FertiliserProducts[[#Headers],[Include or Exclude]], 0,4)</f>
        <v>0.52173913000000005</v>
      </c>
      <c r="N104" s="109" t="str" cm="1">
        <f t="array" ref="N104">Common_InputFunctions.Utility_DisplayArrayInTable(Fertiliser_SourceData.Fertiliser_Products_Data1(),FertiliserProducts[[#Headers],[Include or Exclude]], 0,4)</f>
        <v>Potassium - Generic</v>
      </c>
      <c r="O104" s="109" cm="1">
        <f t="array" ref="O104">Common_InputFunctions.Utility_DisplayArrayInTable(Fertiliser_SourceData.Fertiliser_Products_Data1(),FertiliserProducts[[#Headers],[Include or Exclude]], 0,4)</f>
        <v>0.08</v>
      </c>
      <c r="P104" s="109" t="str" cm="1">
        <f t="array" ref="P104">Common_InputFunctions.Utility_DisplayArrayInTable(Fertiliser_SourceData.Fertiliser_Products_Data1(),FertiliserProducts[[#Headers],[Include or Exclude]], 0,4)</f>
        <v>Sulfur - Generic</v>
      </c>
      <c r="Q104" s="109" cm="1">
        <f t="array" ref="Q104">Common_InputFunctions.Utility_DisplayArrayInTable(Fertiliser_SourceData.Fertiliser_Products_Data1(),FertiliserProducts[[#Headers],[Include or Exclude]], 0,4)</f>
        <v>5.2999999999999999E-2</v>
      </c>
      <c r="R104" s="109" t="str" cm="1">
        <f t="array" ref="R104">Common_InputFunctions.Utility_DisplayArrayInTable(Fertiliser_SourceData.Fertiliser_Products_Data1(),FertiliserProducts[[#Headers],[Include or Exclude]], 0,4)</f>
        <v>Phosphorus - Generic</v>
      </c>
      <c r="S104" s="109" cm="1">
        <f t="array" ref="S104">Common_InputFunctions.Utility_DisplayArrayInTable(Fertiliser_SourceData.Fertiliser_Products_Data1(),FertiliserProducts[[#Headers],[Include or Exclude]], 0,4)</f>
        <v>5.1999999999999998E-2</v>
      </c>
      <c r="T104" s="109" t="str" cm="1">
        <f t="array" ref="T104">Common_InputFunctions.Utility_DisplayArrayInTable(Fertiliser_SourceData.Fertiliser_Products_Data1(),FertiliserProducts[[#Headers],[Include or Exclude]], 0,4)</f>
        <v>Magnesium</v>
      </c>
      <c r="U104" s="109" cm="1">
        <f t="array" ref="U104">Common_InputFunctions.Utility_DisplayArrayInTable(Fertiliser_SourceData.Fertiliser_Products_Data1(),FertiliserProducts[[#Headers],[Include or Exclude]], 0,4)</f>
        <v>1.2999999999999999E-2</v>
      </c>
      <c r="V104" s="109" t="str" cm="1">
        <f t="array" ref="V104">Common_InputFunctions.Utility_DisplayArrayInTable(Fertiliser_SourceData.Fertiliser_Products_Data1(),FertiliserProducts[[#Headers],[Include or Exclude]], 0,4)</f>
        <v>Zinc</v>
      </c>
      <c r="W104" s="109" cm="1">
        <f t="array" ref="W104">Common_InputFunctions.Utility_DisplayArrayInTable(Fertiliser_SourceData.Fertiliser_Products_Data1(),FertiliserProducts[[#Headers],[Include or Exclude]], 0,4)</f>
        <v>2E-3</v>
      </c>
      <c r="X104" s="109" t="str" cm="1">
        <f t="array" ref="X104">Common_InputFunctions.Utility_DisplayArrayInTable(Fertiliser_SourceData.Fertiliser_Products_Data1(),FertiliserProducts[[#Headers],[Include or Exclude]], 0,4)</f>
        <v>Manganese</v>
      </c>
      <c r="Y104" s="109" cm="1">
        <f t="array" ref="Y104">Common_InputFunctions.Utility_DisplayArrayInTable(Fertiliser_SourceData.Fertiliser_Products_Data1(),FertiliserProducts[[#Headers],[Include or Exclude]], 0,4)</f>
        <v>3.5000000000000001E-3</v>
      </c>
      <c r="Z104" s="109" t="str" cm="1">
        <f t="array" ref="Z104">Common_InputFunctions.Utility_DisplayArrayInTable(Fertiliser_SourceData.Fertiliser_Products_Data1(),FertiliserProducts[[#Headers],[Include or Exclude]], 0,4)</f>
        <v>Iron</v>
      </c>
      <c r="AA104" s="109" cm="1">
        <f t="array" ref="AA104">Common_InputFunctions.Utility_DisplayArrayInTable(Fertiliser_SourceData.Fertiliser_Products_Data1(),FertiliserProducts[[#Headers],[Include or Exclude]], 0,4)</f>
        <v>1.2999999999999999E-3</v>
      </c>
      <c r="AB104" s="109" t="str" cm="1">
        <f t="array" ref="AB104">Common_InputFunctions.Utility_DisplayArrayInTable(Fertiliser_SourceData.Fertiliser_Products_Data1(),FertiliserProducts[[#Headers],[Include or Exclude]], 0,4)</f>
        <v>Copper</v>
      </c>
      <c r="AC104" s="109" cm="1">
        <f t="array" ref="AC104">Common_InputFunctions.Utility_DisplayArrayInTable(Fertiliser_SourceData.Fertiliser_Products_Data1(),FertiliserProducts[[#Headers],[Include or Exclude]], 0,4)</f>
        <v>6.9999999999999999E-4</v>
      </c>
      <c r="AD104" s="109" t="str" cm="1">
        <f t="array" ref="AD104">Common_InputFunctions.Utility_DisplayArrayInTable(Fertiliser_SourceData.Fertiliser_Products_Data1(),FertiliserProducts[[#Headers],[Include or Exclude]], 0,4)</f>
        <v>Boron</v>
      </c>
      <c r="AE104" s="109" cm="1">
        <f t="array" ref="AE104">Common_InputFunctions.Utility_DisplayArrayInTable(Fertiliser_SourceData.Fertiliser_Products_Data1(),FertiliserProducts[[#Headers],[Include or Exclude]], 0,4)</f>
        <v>6.9999999999999999E-4</v>
      </c>
    </row>
    <row r="105" spans="4:31" ht="20.100000000000001" customHeight="1" x14ac:dyDescent="0.25">
      <c r="D105" s="109" t="str" cm="1">
        <f t="array" ref="D105">Common_InputFunctions.Utility_DisplayArrayInTable(Fertiliser_SourceData.Fertiliser_Products_Data1(),FertiliserProducts[[#Headers],[Include or Exclude]], -1)</f>
        <v>Exclude - Not relevant</v>
      </c>
      <c r="E105" s="109" t="str" cm="1">
        <f t="array" ref="E105">Common_InputFunctions.Utility_DisplayArrayInTable(Fertiliser_SourceData.Fertiliser_Products_Data1(),FertiliserProducts[[#Headers],[Include or Exclude]], 0)</f>
        <v/>
      </c>
      <c r="F105" s="109" t="str" cm="1">
        <f t="array" ref="F105">Common_InputFunctions.Utility_DisplayArrayInTable(Fertiliser_SourceData.Fertiliser_Products_Data1(),FertiliserProducts[[#Headers],[Include or Exclude]], 0)</f>
        <v>Campbells fertilisers Australia</v>
      </c>
      <c r="G105" s="109" t="str" cm="1">
        <f t="array" ref="G105">Common_InputFunctions.Utility_DisplayArrayInTable(Fertiliser_SourceData.Fertiliser_Products_Data1(),FertiliserProducts[[#Headers],[Include or Exclude]], 0)</f>
        <v>Boroplus</v>
      </c>
      <c r="H105" s="109" t="str" cm="1">
        <f t="array" ref="H105">Common_InputFunctions.Utility_DisplayArrayInTable(Fertiliser_SourceData.Fertiliser_Products_Data1(),FertiliserProducts[[#Headers],[Include or Exclude]], 0,4)</f>
        <v/>
      </c>
      <c r="I105" s="109" t="str" cm="1">
        <f t="array" ref="I105">Common_InputFunctions.Utility_DisplayArrayInTable(Fertiliser_SourceData.Fertiliser_Products_Data1(),FertiliserProducts[[#Headers],[Include or Exclude]], 0,4)</f>
        <v/>
      </c>
      <c r="J105" s="109" t="str" cm="1">
        <f t="array" ref="J105">Common_InputFunctions.Utility_DisplayArrayInTable(Fertiliser_SourceData.Fertiliser_Products_Data1(),FertiliserProducts[[#Headers],[Include or Exclude]], 0,4)</f>
        <v/>
      </c>
      <c r="K105" s="109" t="str" cm="1">
        <f t="array" ref="K105">Common_InputFunctions.Utility_DisplayArrayInTable(Fertiliser_SourceData.Fertiliser_Products_Data1(),FertiliserProducts[[#Headers],[Include or Exclude]], 0,4)</f>
        <v/>
      </c>
      <c r="L105" s="109" t="str" cm="1">
        <f t="array" ref="L105">Common_InputFunctions.Utility_DisplayArrayInTable(Fertiliser_SourceData.Fertiliser_Products_Data1(),FertiliserProducts[[#Headers],[Include or Exclude]], 0,4)</f>
        <v/>
      </c>
      <c r="M105" s="109" t="str" cm="1">
        <f t="array" ref="M105">Common_InputFunctions.Utility_DisplayArrayInTable(Fertiliser_SourceData.Fertiliser_Products_Data1(),FertiliserProducts[[#Headers],[Include or Exclude]], 0,4)</f>
        <v/>
      </c>
      <c r="N105" s="109" t="str" cm="1">
        <f t="array" ref="N105">Common_InputFunctions.Utility_DisplayArrayInTable(Fertiliser_SourceData.Fertiliser_Products_Data1(),FertiliserProducts[[#Headers],[Include or Exclude]], 0,4)</f>
        <v/>
      </c>
      <c r="O105" s="109" t="str" cm="1">
        <f t="array" ref="O105">Common_InputFunctions.Utility_DisplayArrayInTable(Fertiliser_SourceData.Fertiliser_Products_Data1(),FertiliserProducts[[#Headers],[Include or Exclude]], 0,4)</f>
        <v/>
      </c>
      <c r="P105" s="109" t="str" cm="1">
        <f t="array" ref="P105">Common_InputFunctions.Utility_DisplayArrayInTable(Fertiliser_SourceData.Fertiliser_Products_Data1(),FertiliserProducts[[#Headers],[Include or Exclude]], 0,4)</f>
        <v/>
      </c>
      <c r="Q105" s="109" t="str" cm="1">
        <f t="array" ref="Q105">Common_InputFunctions.Utility_DisplayArrayInTable(Fertiliser_SourceData.Fertiliser_Products_Data1(),FertiliserProducts[[#Headers],[Include or Exclude]], 0,4)</f>
        <v/>
      </c>
      <c r="R105" s="109" t="str" cm="1">
        <f t="array" ref="R105">Common_InputFunctions.Utility_DisplayArrayInTable(Fertiliser_SourceData.Fertiliser_Products_Data1(),FertiliserProducts[[#Headers],[Include or Exclude]], 0,4)</f>
        <v/>
      </c>
      <c r="S105" s="109" t="str" cm="1">
        <f t="array" ref="S105">Common_InputFunctions.Utility_DisplayArrayInTable(Fertiliser_SourceData.Fertiliser_Products_Data1(),FertiliserProducts[[#Headers],[Include or Exclude]], 0,4)</f>
        <v/>
      </c>
      <c r="T105" s="109" t="str" cm="1">
        <f t="array" ref="T105">Common_InputFunctions.Utility_DisplayArrayInTable(Fertiliser_SourceData.Fertiliser_Products_Data1(),FertiliserProducts[[#Headers],[Include or Exclude]], 0,4)</f>
        <v/>
      </c>
      <c r="U105" s="109" t="str" cm="1">
        <f t="array" ref="U105">Common_InputFunctions.Utility_DisplayArrayInTable(Fertiliser_SourceData.Fertiliser_Products_Data1(),FertiliserProducts[[#Headers],[Include or Exclude]], 0,4)</f>
        <v/>
      </c>
      <c r="V105" s="109" t="str" cm="1">
        <f t="array" ref="V105">Common_InputFunctions.Utility_DisplayArrayInTable(Fertiliser_SourceData.Fertiliser_Products_Data1(),FertiliserProducts[[#Headers],[Include or Exclude]], 0,4)</f>
        <v/>
      </c>
      <c r="W105" s="109" t="str" cm="1">
        <f t="array" ref="W105">Common_InputFunctions.Utility_DisplayArrayInTable(Fertiliser_SourceData.Fertiliser_Products_Data1(),FertiliserProducts[[#Headers],[Include or Exclude]], 0,4)</f>
        <v/>
      </c>
      <c r="X105" s="109" t="str" cm="1">
        <f t="array" ref="X105">Common_InputFunctions.Utility_DisplayArrayInTable(Fertiliser_SourceData.Fertiliser_Products_Data1(),FertiliserProducts[[#Headers],[Include or Exclude]], 0,4)</f>
        <v/>
      </c>
      <c r="Y105" s="109" t="str" cm="1">
        <f t="array" ref="Y105">Common_InputFunctions.Utility_DisplayArrayInTable(Fertiliser_SourceData.Fertiliser_Products_Data1(),FertiliserProducts[[#Headers],[Include or Exclude]], 0,4)</f>
        <v/>
      </c>
      <c r="Z105" s="109" t="str" cm="1">
        <f t="array" ref="Z105">Common_InputFunctions.Utility_DisplayArrayInTable(Fertiliser_SourceData.Fertiliser_Products_Data1(),FertiliserProducts[[#Headers],[Include or Exclude]], 0,4)</f>
        <v/>
      </c>
      <c r="AA105" s="109" t="str" cm="1">
        <f t="array" ref="AA105">Common_InputFunctions.Utility_DisplayArrayInTable(Fertiliser_SourceData.Fertiliser_Products_Data1(),FertiliserProducts[[#Headers],[Include or Exclude]], 0,4)</f>
        <v/>
      </c>
      <c r="AB105" s="109" t="str" cm="1">
        <f t="array" ref="AB105">Common_InputFunctions.Utility_DisplayArrayInTable(Fertiliser_SourceData.Fertiliser_Products_Data1(),FertiliserProducts[[#Headers],[Include or Exclude]], 0,4)</f>
        <v/>
      </c>
      <c r="AC105" s="109" t="str" cm="1">
        <f t="array" ref="AC105">Common_InputFunctions.Utility_DisplayArrayInTable(Fertiliser_SourceData.Fertiliser_Products_Data1(),FertiliserProducts[[#Headers],[Include or Exclude]], 0,4)</f>
        <v/>
      </c>
      <c r="AD105" s="109" t="str" cm="1">
        <f t="array" ref="AD105">Common_InputFunctions.Utility_DisplayArrayInTable(Fertiliser_SourceData.Fertiliser_Products_Data1(),FertiliserProducts[[#Headers],[Include or Exclude]], 0,4)</f>
        <v/>
      </c>
      <c r="AE105" s="109" t="str" cm="1">
        <f t="array" ref="AE105">Common_InputFunctions.Utility_DisplayArrayInTable(Fertiliser_SourceData.Fertiliser_Products_Data1(),FertiliserProducts[[#Headers],[Include or Exclude]], 0,4)</f>
        <v/>
      </c>
    </row>
    <row r="106" spans="4:31" ht="20.100000000000001" customHeight="1" x14ac:dyDescent="0.25">
      <c r="D106" s="109" t="str" cm="1">
        <f t="array" ref="D106">Common_InputFunctions.Utility_DisplayArrayInTable(Fertiliser_SourceData.Fertiliser_Products_Data1(),FertiliserProducts[[#Headers],[Include or Exclude]], -1)</f>
        <v>Exclude - Not relevant</v>
      </c>
      <c r="E106" s="109" t="str" cm="1">
        <f t="array" ref="E106">Common_InputFunctions.Utility_DisplayArrayInTable(Fertiliser_SourceData.Fertiliser_Products_Data1(),FertiliserProducts[[#Headers],[Include or Exclude]], 0)</f>
        <v/>
      </c>
      <c r="F106" s="109" t="str" cm="1">
        <f t="array" ref="F106">Common_InputFunctions.Utility_DisplayArrayInTable(Fertiliser_SourceData.Fertiliser_Products_Data1(),FertiliserProducts[[#Headers],[Include or Exclude]], 0)</f>
        <v>Campbells fertilisers Australia</v>
      </c>
      <c r="G106" s="109" t="str" cm="1">
        <f t="array" ref="G106">Common_InputFunctions.Utility_DisplayArrayInTable(Fertiliser_SourceData.Fertiliser_Products_Data1(),FertiliserProducts[[#Headers],[Include or Exclude]], 0)</f>
        <v>Brevisol Range</v>
      </c>
      <c r="H106" s="109" t="str" cm="1">
        <f t="array" ref="H106">Common_InputFunctions.Utility_DisplayArrayInTable(Fertiliser_SourceData.Fertiliser_Products_Data1(),FertiliserProducts[[#Headers],[Include or Exclude]], 0,4)</f>
        <v/>
      </c>
      <c r="I106" s="109" t="str" cm="1">
        <f t="array" ref="I106">Common_InputFunctions.Utility_DisplayArrayInTable(Fertiliser_SourceData.Fertiliser_Products_Data1(),FertiliserProducts[[#Headers],[Include or Exclude]], 0,4)</f>
        <v/>
      </c>
      <c r="J106" s="109" t="str" cm="1">
        <f t="array" ref="J106">Common_InputFunctions.Utility_DisplayArrayInTable(Fertiliser_SourceData.Fertiliser_Products_Data1(),FertiliserProducts[[#Headers],[Include or Exclude]], 0,4)</f>
        <v/>
      </c>
      <c r="K106" s="109" t="str" cm="1">
        <f t="array" ref="K106">Common_InputFunctions.Utility_DisplayArrayInTable(Fertiliser_SourceData.Fertiliser_Products_Data1(),FertiliserProducts[[#Headers],[Include or Exclude]], 0,4)</f>
        <v/>
      </c>
      <c r="L106" s="109" t="str" cm="1">
        <f t="array" ref="L106">Common_InputFunctions.Utility_DisplayArrayInTable(Fertiliser_SourceData.Fertiliser_Products_Data1(),FertiliserProducts[[#Headers],[Include or Exclude]], 0,4)</f>
        <v/>
      </c>
      <c r="M106" s="109" t="str" cm="1">
        <f t="array" ref="M106">Common_InputFunctions.Utility_DisplayArrayInTable(Fertiliser_SourceData.Fertiliser_Products_Data1(),FertiliserProducts[[#Headers],[Include or Exclude]], 0,4)</f>
        <v/>
      </c>
      <c r="N106" s="109" t="str" cm="1">
        <f t="array" ref="N106">Common_InputFunctions.Utility_DisplayArrayInTable(Fertiliser_SourceData.Fertiliser_Products_Data1(),FertiliserProducts[[#Headers],[Include or Exclude]], 0,4)</f>
        <v/>
      </c>
      <c r="O106" s="109" t="str" cm="1">
        <f t="array" ref="O106">Common_InputFunctions.Utility_DisplayArrayInTable(Fertiliser_SourceData.Fertiliser_Products_Data1(),FertiliserProducts[[#Headers],[Include or Exclude]], 0,4)</f>
        <v/>
      </c>
      <c r="P106" s="109" t="str" cm="1">
        <f t="array" ref="P106">Common_InputFunctions.Utility_DisplayArrayInTable(Fertiliser_SourceData.Fertiliser_Products_Data1(),FertiliserProducts[[#Headers],[Include or Exclude]], 0,4)</f>
        <v/>
      </c>
      <c r="Q106" s="109" t="str" cm="1">
        <f t="array" ref="Q106">Common_InputFunctions.Utility_DisplayArrayInTable(Fertiliser_SourceData.Fertiliser_Products_Data1(),FertiliserProducts[[#Headers],[Include or Exclude]], 0,4)</f>
        <v/>
      </c>
      <c r="R106" s="109" t="str" cm="1">
        <f t="array" ref="R106">Common_InputFunctions.Utility_DisplayArrayInTable(Fertiliser_SourceData.Fertiliser_Products_Data1(),FertiliserProducts[[#Headers],[Include or Exclude]], 0,4)</f>
        <v/>
      </c>
      <c r="S106" s="109" t="str" cm="1">
        <f t="array" ref="S106">Common_InputFunctions.Utility_DisplayArrayInTable(Fertiliser_SourceData.Fertiliser_Products_Data1(),FertiliserProducts[[#Headers],[Include or Exclude]], 0,4)</f>
        <v/>
      </c>
      <c r="T106" s="109" t="str" cm="1">
        <f t="array" ref="T106">Common_InputFunctions.Utility_DisplayArrayInTable(Fertiliser_SourceData.Fertiliser_Products_Data1(),FertiliserProducts[[#Headers],[Include or Exclude]], 0,4)</f>
        <v/>
      </c>
      <c r="U106" s="109" t="str" cm="1">
        <f t="array" ref="U106">Common_InputFunctions.Utility_DisplayArrayInTable(Fertiliser_SourceData.Fertiliser_Products_Data1(),FertiliserProducts[[#Headers],[Include or Exclude]], 0,4)</f>
        <v/>
      </c>
      <c r="V106" s="109" t="str" cm="1">
        <f t="array" ref="V106">Common_InputFunctions.Utility_DisplayArrayInTable(Fertiliser_SourceData.Fertiliser_Products_Data1(),FertiliserProducts[[#Headers],[Include or Exclude]], 0,4)</f>
        <v/>
      </c>
      <c r="W106" s="109" t="str" cm="1">
        <f t="array" ref="W106">Common_InputFunctions.Utility_DisplayArrayInTable(Fertiliser_SourceData.Fertiliser_Products_Data1(),FertiliserProducts[[#Headers],[Include or Exclude]], 0,4)</f>
        <v/>
      </c>
      <c r="X106" s="109" t="str" cm="1">
        <f t="array" ref="X106">Common_InputFunctions.Utility_DisplayArrayInTable(Fertiliser_SourceData.Fertiliser_Products_Data1(),FertiliserProducts[[#Headers],[Include or Exclude]], 0,4)</f>
        <v/>
      </c>
      <c r="Y106" s="109" t="str" cm="1">
        <f t="array" ref="Y106">Common_InputFunctions.Utility_DisplayArrayInTable(Fertiliser_SourceData.Fertiliser_Products_Data1(),FertiliserProducts[[#Headers],[Include or Exclude]], 0,4)</f>
        <v/>
      </c>
      <c r="Z106" s="109" t="str" cm="1">
        <f t="array" ref="Z106">Common_InputFunctions.Utility_DisplayArrayInTable(Fertiliser_SourceData.Fertiliser_Products_Data1(),FertiliserProducts[[#Headers],[Include or Exclude]], 0,4)</f>
        <v/>
      </c>
      <c r="AA106" s="109" t="str" cm="1">
        <f t="array" ref="AA106">Common_InputFunctions.Utility_DisplayArrayInTable(Fertiliser_SourceData.Fertiliser_Products_Data1(),FertiliserProducts[[#Headers],[Include or Exclude]], 0,4)</f>
        <v/>
      </c>
      <c r="AB106" s="109" t="str" cm="1">
        <f t="array" ref="AB106">Common_InputFunctions.Utility_DisplayArrayInTable(Fertiliser_SourceData.Fertiliser_Products_Data1(),FertiliserProducts[[#Headers],[Include or Exclude]], 0,4)</f>
        <v/>
      </c>
      <c r="AC106" s="109" t="str" cm="1">
        <f t="array" ref="AC106">Common_InputFunctions.Utility_DisplayArrayInTable(Fertiliser_SourceData.Fertiliser_Products_Data1(),FertiliserProducts[[#Headers],[Include or Exclude]], 0,4)</f>
        <v/>
      </c>
      <c r="AD106" s="109" t="str" cm="1">
        <f t="array" ref="AD106">Common_InputFunctions.Utility_DisplayArrayInTable(Fertiliser_SourceData.Fertiliser_Products_Data1(),FertiliserProducts[[#Headers],[Include or Exclude]], 0,4)</f>
        <v/>
      </c>
      <c r="AE106" s="109" t="str" cm="1">
        <f t="array" ref="AE106">Common_InputFunctions.Utility_DisplayArrayInTable(Fertiliser_SourceData.Fertiliser_Products_Data1(),FertiliserProducts[[#Headers],[Include or Exclude]], 0,4)</f>
        <v/>
      </c>
    </row>
    <row r="107" spans="4:31" ht="20.100000000000001" customHeight="1" x14ac:dyDescent="0.25">
      <c r="D107" s="109" t="str" cm="1">
        <f t="array" ref="D107">Common_InputFunctions.Utility_DisplayArrayInTable(Fertiliser_SourceData.Fertiliser_Products_Data1(),FertiliserProducts[[#Headers],[Include or Exclude]], -1)</f>
        <v>Include</v>
      </c>
      <c r="E107" s="109" t="str" cm="1">
        <f t="array" ref="E107">Common_InputFunctions.Utility_DisplayArrayInTable(Fertiliser_SourceData.Fertiliser_Products_Data1(),FertiliserProducts[[#Headers],[Include or Exclude]], 0)</f>
        <v/>
      </c>
      <c r="F107" s="109" t="str" cm="1">
        <f t="array" ref="F107">Common_InputFunctions.Utility_DisplayArrayInTable(Fertiliser_SourceData.Fertiliser_Products_Data1(),FertiliserProducts[[#Headers],[Include or Exclude]], 0)</f>
        <v>Campbells fertilisers Australia</v>
      </c>
      <c r="G107" s="109" t="str" cm="1">
        <f t="array" ref="G107">Common_InputFunctions.Utility_DisplayArrayInTable(Fertiliser_SourceData.Fertiliser_Products_Data1(),FertiliserProducts[[#Headers],[Include or Exclude]], 0)</f>
        <v>Brexil Line</v>
      </c>
      <c r="H107" s="109" t="str" cm="1">
        <f t="array" ref="H107">Common_InputFunctions.Utility_DisplayArrayInTable(Fertiliser_SourceData.Fertiliser_Products_Data1(),FertiliserProducts[[#Headers],[Include or Exclude]], 0,4)</f>
        <v/>
      </c>
      <c r="I107" s="109" t="str" cm="1">
        <f t="array" ref="I107">Common_InputFunctions.Utility_DisplayArrayInTable(Fertiliser_SourceData.Fertiliser_Products_Data1(),FertiliserProducts[[#Headers],[Include or Exclude]], 0,4)</f>
        <v/>
      </c>
      <c r="J107" s="109" t="str" cm="1">
        <f t="array" ref="J107">Common_InputFunctions.Utility_DisplayArrayInTable(Fertiliser_SourceData.Fertiliser_Products_Data1(),FertiliserProducts[[#Headers],[Include or Exclude]], 0,4)</f>
        <v/>
      </c>
      <c r="K107" s="109" t="str" cm="1">
        <f t="array" ref="K107">Common_InputFunctions.Utility_DisplayArrayInTable(Fertiliser_SourceData.Fertiliser_Products_Data1(),FertiliserProducts[[#Headers],[Include or Exclude]], 0,4)</f>
        <v/>
      </c>
      <c r="L107" s="109" t="str" cm="1">
        <f t="array" ref="L107">Common_InputFunctions.Utility_DisplayArrayInTable(Fertiliser_SourceData.Fertiliser_Products_Data1(),FertiliserProducts[[#Headers],[Include or Exclude]], 0,4)</f>
        <v/>
      </c>
      <c r="M107" s="109" t="str" cm="1">
        <f t="array" ref="M107">Common_InputFunctions.Utility_DisplayArrayInTable(Fertiliser_SourceData.Fertiliser_Products_Data1(),FertiliserProducts[[#Headers],[Include or Exclude]], 0,4)</f>
        <v/>
      </c>
      <c r="N107" s="109" t="str" cm="1">
        <f t="array" ref="N107">Common_InputFunctions.Utility_DisplayArrayInTable(Fertiliser_SourceData.Fertiliser_Products_Data1(),FertiliserProducts[[#Headers],[Include or Exclude]], 0,4)</f>
        <v/>
      </c>
      <c r="O107" s="109" t="str" cm="1">
        <f t="array" ref="O107">Common_InputFunctions.Utility_DisplayArrayInTable(Fertiliser_SourceData.Fertiliser_Products_Data1(),FertiliserProducts[[#Headers],[Include or Exclude]], 0,4)</f>
        <v/>
      </c>
      <c r="P107" s="109" t="str" cm="1">
        <f t="array" ref="P107">Common_InputFunctions.Utility_DisplayArrayInTable(Fertiliser_SourceData.Fertiliser_Products_Data1(),FertiliserProducts[[#Headers],[Include or Exclude]], 0,4)</f>
        <v/>
      </c>
      <c r="Q107" s="109" t="str" cm="1">
        <f t="array" ref="Q107">Common_InputFunctions.Utility_DisplayArrayInTable(Fertiliser_SourceData.Fertiliser_Products_Data1(),FertiliserProducts[[#Headers],[Include or Exclude]], 0,4)</f>
        <v/>
      </c>
      <c r="R107" s="109" t="str" cm="1">
        <f t="array" ref="R107">Common_InputFunctions.Utility_DisplayArrayInTable(Fertiliser_SourceData.Fertiliser_Products_Data1(),FertiliserProducts[[#Headers],[Include or Exclude]], 0,4)</f>
        <v/>
      </c>
      <c r="S107" s="109" t="str" cm="1">
        <f t="array" ref="S107">Common_InputFunctions.Utility_DisplayArrayInTable(Fertiliser_SourceData.Fertiliser_Products_Data1(),FertiliserProducts[[#Headers],[Include or Exclude]], 0,4)</f>
        <v/>
      </c>
      <c r="T107" s="109" t="str" cm="1">
        <f t="array" ref="T107">Common_InputFunctions.Utility_DisplayArrayInTable(Fertiliser_SourceData.Fertiliser_Products_Data1(),FertiliserProducts[[#Headers],[Include or Exclude]], 0,4)</f>
        <v/>
      </c>
      <c r="U107" s="109" t="str" cm="1">
        <f t="array" ref="U107">Common_InputFunctions.Utility_DisplayArrayInTable(Fertiliser_SourceData.Fertiliser_Products_Data1(),FertiliserProducts[[#Headers],[Include or Exclude]], 0,4)</f>
        <v/>
      </c>
      <c r="V107" s="109" t="str" cm="1">
        <f t="array" ref="V107">Common_InputFunctions.Utility_DisplayArrayInTable(Fertiliser_SourceData.Fertiliser_Products_Data1(),FertiliserProducts[[#Headers],[Include or Exclude]], 0,4)</f>
        <v/>
      </c>
      <c r="W107" s="109" t="str" cm="1">
        <f t="array" ref="W107">Common_InputFunctions.Utility_DisplayArrayInTable(Fertiliser_SourceData.Fertiliser_Products_Data1(),FertiliserProducts[[#Headers],[Include or Exclude]], 0,4)</f>
        <v/>
      </c>
      <c r="X107" s="109" t="str" cm="1">
        <f t="array" ref="X107">Common_InputFunctions.Utility_DisplayArrayInTable(Fertiliser_SourceData.Fertiliser_Products_Data1(),FertiliserProducts[[#Headers],[Include or Exclude]], 0,4)</f>
        <v/>
      </c>
      <c r="Y107" s="109" t="str" cm="1">
        <f t="array" ref="Y107">Common_InputFunctions.Utility_DisplayArrayInTable(Fertiliser_SourceData.Fertiliser_Products_Data1(),FertiliserProducts[[#Headers],[Include or Exclude]], 0,4)</f>
        <v/>
      </c>
      <c r="Z107" s="109" t="str" cm="1">
        <f t="array" ref="Z107">Common_InputFunctions.Utility_DisplayArrayInTable(Fertiliser_SourceData.Fertiliser_Products_Data1(),FertiliserProducts[[#Headers],[Include or Exclude]], 0,4)</f>
        <v/>
      </c>
      <c r="AA107" s="109" t="str" cm="1">
        <f t="array" ref="AA107">Common_InputFunctions.Utility_DisplayArrayInTable(Fertiliser_SourceData.Fertiliser_Products_Data1(),FertiliserProducts[[#Headers],[Include or Exclude]], 0,4)</f>
        <v/>
      </c>
      <c r="AB107" s="109" t="str" cm="1">
        <f t="array" ref="AB107">Common_InputFunctions.Utility_DisplayArrayInTable(Fertiliser_SourceData.Fertiliser_Products_Data1(),FertiliserProducts[[#Headers],[Include or Exclude]], 0,4)</f>
        <v/>
      </c>
      <c r="AC107" s="109" t="str" cm="1">
        <f t="array" ref="AC107">Common_InputFunctions.Utility_DisplayArrayInTable(Fertiliser_SourceData.Fertiliser_Products_Data1(),FertiliserProducts[[#Headers],[Include or Exclude]], 0,4)</f>
        <v/>
      </c>
      <c r="AD107" s="109" t="str" cm="1">
        <f t="array" ref="AD107">Common_InputFunctions.Utility_DisplayArrayInTable(Fertiliser_SourceData.Fertiliser_Products_Data1(),FertiliserProducts[[#Headers],[Include or Exclude]], 0,4)</f>
        <v/>
      </c>
      <c r="AE107" s="109" t="str" cm="1">
        <f t="array" ref="AE107">Common_InputFunctions.Utility_DisplayArrayInTable(Fertiliser_SourceData.Fertiliser_Products_Data1(),FertiliserProducts[[#Headers],[Include or Exclude]], 0,4)</f>
        <v/>
      </c>
    </row>
    <row r="108" spans="4:31" ht="20.100000000000001" customHeight="1" x14ac:dyDescent="0.25">
      <c r="D108" s="109" t="str" cm="1">
        <f t="array" ref="D108">Common_InputFunctions.Utility_DisplayArrayInTable(Fertiliser_SourceData.Fertiliser_Products_Data1(),FertiliserProducts[[#Headers],[Include or Exclude]], -1)</f>
        <v>Exclude - Absent ingredients &gt; 2%</v>
      </c>
      <c r="E108" s="109" t="str" cm="1">
        <f t="array" ref="E108">Common_InputFunctions.Utility_DisplayArrayInTable(Fertiliser_SourceData.Fertiliser_Products_Data1(),FertiliserProducts[[#Headers],[Include or Exclude]], 0)</f>
        <v/>
      </c>
      <c r="F108" s="109" t="str" cm="1">
        <f t="array" ref="F108">Common_InputFunctions.Utility_DisplayArrayInTable(Fertiliser_SourceData.Fertiliser_Products_Data1(),FertiliserProducts[[#Headers],[Include or Exclude]], 0)</f>
        <v>Campbells fertilisers Australia</v>
      </c>
      <c r="G108" s="109" t="str" cm="1">
        <f t="array" ref="G108">Common_InputFunctions.Utility_DisplayArrayInTable(Fertiliser_SourceData.Fertiliser_Products_Data1(),FertiliserProducts[[#Headers],[Include or Exclude]], 0)</f>
        <v>Bronze</v>
      </c>
      <c r="H108" s="109" t="str" cm="1">
        <f t="array" ref="H108">Common_InputFunctions.Utility_DisplayArrayInTable(Fertiliser_SourceData.Fertiliser_Products_Data1(),FertiliserProducts[[#Headers],[Include or Exclude]], 0,4)</f>
        <v>kg</v>
      </c>
      <c r="I108" s="109" t="str" cm="1">
        <f t="array" ref="I108">Common_InputFunctions.Utility_DisplayArrayInTable(Fertiliser_SourceData.Fertiliser_Products_Data1(),FertiliserProducts[[#Headers],[Include or Exclude]], 0,4)</f>
        <v/>
      </c>
      <c r="J108" s="109" t="str" cm="1">
        <f t="array" ref="J108">Common_InputFunctions.Utility_DisplayArrayInTable(Fertiliser_SourceData.Fertiliser_Products_Data1(),FertiliserProducts[[#Headers],[Include or Exclude]], 0,4)</f>
        <v/>
      </c>
      <c r="K108" s="109" t="str" cm="1">
        <f t="array" ref="K108">Common_InputFunctions.Utility_DisplayArrayInTable(Fertiliser_SourceData.Fertiliser_Products_Data1(),FertiliserProducts[[#Headers],[Include or Exclude]], 0,4)</f>
        <v/>
      </c>
      <c r="L108" s="109" t="str" cm="1">
        <f t="array" ref="L108">Common_InputFunctions.Utility_DisplayArrayInTable(Fertiliser_SourceData.Fertiliser_Products_Data1(),FertiliserProducts[[#Headers],[Include or Exclude]], 0,4)</f>
        <v>Muriate of Potash (MOP)</v>
      </c>
      <c r="M108" s="109" cm="1">
        <f t="array" ref="M108">Common_InputFunctions.Utility_DisplayArrayInTable(Fertiliser_SourceData.Fertiliser_Products_Data1(),FertiliserProducts[[#Headers],[Include or Exclude]], 0,4)</f>
        <v>0.23200000000000001</v>
      </c>
      <c r="N108" s="109" t="str" cm="1">
        <f t="array" ref="N108">Common_InputFunctions.Utility_DisplayArrayInTable(Fertiliser_SourceData.Fertiliser_Products_Data1(),FertiliserProducts[[#Headers],[Include or Exclude]], 0,4)</f>
        <v>Nitrogen - Generic</v>
      </c>
      <c r="O108" s="109" cm="1">
        <f t="array" ref="O108">Common_InputFunctions.Utility_DisplayArrayInTable(Fertiliser_SourceData.Fertiliser_Products_Data1(),FertiliserProducts[[#Headers],[Include or Exclude]], 0,4)</f>
        <v>0.17</v>
      </c>
      <c r="P108" s="109" t="str" cm="1">
        <f t="array" ref="P108">Common_InputFunctions.Utility_DisplayArrayInTable(Fertiliser_SourceData.Fertiliser_Products_Data1(),FertiliserProducts[[#Headers],[Include or Exclude]], 0,4)</f>
        <v>Sulfur - Generic</v>
      </c>
      <c r="Q108" s="109" cm="1">
        <f t="array" ref="Q108">Common_InputFunctions.Utility_DisplayArrayInTable(Fertiliser_SourceData.Fertiliser_Products_Data1(),FertiliserProducts[[#Headers],[Include or Exclude]], 0,4)</f>
        <v>5.0000000000000001E-3</v>
      </c>
      <c r="R108" s="109" t="str" cm="1">
        <f t="array" ref="R108">Common_InputFunctions.Utility_DisplayArrayInTable(Fertiliser_SourceData.Fertiliser_Products_Data1(),FertiliserProducts[[#Headers],[Include or Exclude]], 0,4)</f>
        <v>Magnesium</v>
      </c>
      <c r="S108" s="109" cm="1">
        <f t="array" ref="S108">Common_InputFunctions.Utility_DisplayArrayInTable(Fertiliser_SourceData.Fertiliser_Products_Data1(),FertiliserProducts[[#Headers],[Include or Exclude]], 0,4)</f>
        <v>2.3999999999999998E-3</v>
      </c>
      <c r="T108" s="109" t="str" cm="1">
        <f t="array" ref="T108">Common_InputFunctions.Utility_DisplayArrayInTable(Fertiliser_SourceData.Fertiliser_Products_Data1(),FertiliserProducts[[#Headers],[Include or Exclude]], 0,4)</f>
        <v>Phosphorus - Generic</v>
      </c>
      <c r="U108" s="109" cm="1">
        <f t="array" ref="U108">Common_InputFunctions.Utility_DisplayArrayInTable(Fertiliser_SourceData.Fertiliser_Products_Data1(),FertiliserProducts[[#Headers],[Include or Exclude]], 0,4)</f>
        <v>4.0000000000000002E-4</v>
      </c>
      <c r="V108" s="109" t="str" cm="1">
        <f t="array" ref="V108">Common_InputFunctions.Utility_DisplayArrayInTable(Fertiliser_SourceData.Fertiliser_Products_Data1(),FertiliserProducts[[#Headers],[Include or Exclude]], 0,4)</f>
        <v/>
      </c>
      <c r="W108" s="109" t="str" cm="1">
        <f t="array" ref="W108">Common_InputFunctions.Utility_DisplayArrayInTable(Fertiliser_SourceData.Fertiliser_Products_Data1(),FertiliserProducts[[#Headers],[Include or Exclude]], 0,4)</f>
        <v/>
      </c>
      <c r="X108" s="109" t="str" cm="1">
        <f t="array" ref="X108">Common_InputFunctions.Utility_DisplayArrayInTable(Fertiliser_SourceData.Fertiliser_Products_Data1(),FertiliserProducts[[#Headers],[Include or Exclude]], 0,4)</f>
        <v/>
      </c>
      <c r="Y108" s="109" t="str" cm="1">
        <f t="array" ref="Y108">Common_InputFunctions.Utility_DisplayArrayInTable(Fertiliser_SourceData.Fertiliser_Products_Data1(),FertiliserProducts[[#Headers],[Include or Exclude]], 0,4)</f>
        <v/>
      </c>
      <c r="Z108" s="109" t="str" cm="1">
        <f t="array" ref="Z108">Common_InputFunctions.Utility_DisplayArrayInTable(Fertiliser_SourceData.Fertiliser_Products_Data1(),FertiliserProducts[[#Headers],[Include or Exclude]], 0,4)</f>
        <v/>
      </c>
      <c r="AA108" s="109" t="str" cm="1">
        <f t="array" ref="AA108">Common_InputFunctions.Utility_DisplayArrayInTable(Fertiliser_SourceData.Fertiliser_Products_Data1(),FertiliserProducts[[#Headers],[Include or Exclude]], 0,4)</f>
        <v/>
      </c>
      <c r="AB108" s="109" t="str" cm="1">
        <f t="array" ref="AB108">Common_InputFunctions.Utility_DisplayArrayInTable(Fertiliser_SourceData.Fertiliser_Products_Data1(),FertiliserProducts[[#Headers],[Include or Exclude]], 0,4)</f>
        <v/>
      </c>
      <c r="AC108" s="109" t="str" cm="1">
        <f t="array" ref="AC108">Common_InputFunctions.Utility_DisplayArrayInTable(Fertiliser_SourceData.Fertiliser_Products_Data1(),FertiliserProducts[[#Headers],[Include or Exclude]], 0,4)</f>
        <v/>
      </c>
      <c r="AD108" s="109" t="str" cm="1">
        <f t="array" ref="AD108">Common_InputFunctions.Utility_DisplayArrayInTable(Fertiliser_SourceData.Fertiliser_Products_Data1(),FertiliserProducts[[#Headers],[Include or Exclude]], 0,4)</f>
        <v/>
      </c>
      <c r="AE108" s="109" t="str" cm="1">
        <f t="array" ref="AE108">Common_InputFunctions.Utility_DisplayArrayInTable(Fertiliser_SourceData.Fertiliser_Products_Data1(),FertiliserProducts[[#Headers],[Include or Exclude]], 0,4)</f>
        <v/>
      </c>
    </row>
    <row r="109" spans="4:31" ht="20.100000000000001" customHeight="1" x14ac:dyDescent="0.25">
      <c r="D109" s="109" t="str" cm="1">
        <f t="array" ref="D109">Common_InputFunctions.Utility_DisplayArrayInTable(Fertiliser_SourceData.Fertiliser_Products_Data1(),FertiliserProducts[[#Headers],[Include or Exclude]], -1)</f>
        <v>Exclude - Not relevant</v>
      </c>
      <c r="E109" s="109" t="str" cm="1">
        <f t="array" ref="E109">Common_InputFunctions.Utility_DisplayArrayInTable(Fertiliser_SourceData.Fertiliser_Products_Data1(),FertiliserProducts[[#Headers],[Include or Exclude]], 0)</f>
        <v/>
      </c>
      <c r="F109" s="109" t="str" cm="1">
        <f t="array" ref="F109">Common_InputFunctions.Utility_DisplayArrayInTable(Fertiliser_SourceData.Fertiliser_Products_Data1(),FertiliserProducts[[#Headers],[Include or Exclude]], 0)</f>
        <v>Campbells fertilisers Australia</v>
      </c>
      <c r="G109" s="109" t="str" cm="1">
        <f t="array" ref="G109">Common_InputFunctions.Utility_DisplayArrayInTable(Fertiliser_SourceData.Fertiliser_Products_Data1(),FertiliserProducts[[#Headers],[Include or Exclude]], 0)</f>
        <v>Bud-Wiser Dry</v>
      </c>
      <c r="H109" s="109" t="str" cm="1">
        <f t="array" ref="H109">Common_InputFunctions.Utility_DisplayArrayInTable(Fertiliser_SourceData.Fertiliser_Products_Data1(),FertiliserProducts[[#Headers],[Include or Exclude]], 0,4)</f>
        <v>kg</v>
      </c>
      <c r="I109" s="109" t="str" cm="1">
        <f t="array" ref="I109">Common_InputFunctions.Utility_DisplayArrayInTable(Fertiliser_SourceData.Fertiliser_Products_Data1(),FertiliserProducts[[#Headers],[Include or Exclude]], 0,4)</f>
        <v/>
      </c>
      <c r="J109" s="109" t="str" cm="1">
        <f t="array" ref="J109">Common_InputFunctions.Utility_DisplayArrayInTable(Fertiliser_SourceData.Fertiliser_Products_Data1(),FertiliserProducts[[#Headers],[Include or Exclude]], 0,4)</f>
        <v/>
      </c>
      <c r="K109" s="109" t="str" cm="1">
        <f t="array" ref="K109">Common_InputFunctions.Utility_DisplayArrayInTable(Fertiliser_SourceData.Fertiliser_Products_Data1(),FertiliserProducts[[#Headers],[Include or Exclude]], 0,4)</f>
        <v/>
      </c>
      <c r="L109" s="109" t="str" cm="1">
        <f t="array" ref="L109">Common_InputFunctions.Utility_DisplayArrayInTable(Fertiliser_SourceData.Fertiliser_Products_Data1(),FertiliserProducts[[#Headers],[Include or Exclude]], 0,4)</f>
        <v>Sulfur - Generic</v>
      </c>
      <c r="M109" s="109" cm="1">
        <f t="array" ref="M109">Common_InputFunctions.Utility_DisplayArrayInTable(Fertiliser_SourceData.Fertiliser_Products_Data1(),FertiliserProducts[[#Headers],[Include or Exclude]], 0,4)</f>
        <v>9.4E-2</v>
      </c>
      <c r="N109" s="109" t="str" cm="1">
        <f t="array" ref="N109">Common_InputFunctions.Utility_DisplayArrayInTable(Fertiliser_SourceData.Fertiliser_Products_Data1(),FertiliserProducts[[#Headers],[Include or Exclude]], 0,4)</f>
        <v>Magnesium</v>
      </c>
      <c r="O109" s="109" cm="1">
        <f t="array" ref="O109">Common_InputFunctions.Utility_DisplayArrayInTable(Fertiliser_SourceData.Fertiliser_Products_Data1(),FertiliserProducts[[#Headers],[Include or Exclude]], 0,4)</f>
        <v>0.06</v>
      </c>
      <c r="P109" s="109" t="str" cm="1">
        <f t="array" ref="P109">Common_InputFunctions.Utility_DisplayArrayInTable(Fertiliser_SourceData.Fertiliser_Products_Data1(),FertiliserProducts[[#Headers],[Include or Exclude]], 0,4)</f>
        <v>Boron</v>
      </c>
      <c r="Q109" s="109" cm="1">
        <f t="array" ref="Q109">Common_InputFunctions.Utility_DisplayArrayInTable(Fertiliser_SourceData.Fertiliser_Products_Data1(),FertiliserProducts[[#Headers],[Include or Exclude]], 0,4)</f>
        <v>4.4999999999999998E-2</v>
      </c>
      <c r="R109" s="109" t="str" cm="1">
        <f t="array" ref="R109">Common_InputFunctions.Utility_DisplayArrayInTable(Fertiliser_SourceData.Fertiliser_Products_Data1(),FertiliserProducts[[#Headers],[Include or Exclude]], 0,4)</f>
        <v>Zinc</v>
      </c>
      <c r="S109" s="109" cm="1">
        <f t="array" ref="S109">Common_InputFunctions.Utility_DisplayArrayInTable(Fertiliser_SourceData.Fertiliser_Products_Data1(),FertiliserProducts[[#Headers],[Include or Exclude]], 0,4)</f>
        <v>2.7E-2</v>
      </c>
      <c r="T109" s="109" t="str" cm="1">
        <f t="array" ref="T109">Common_InputFunctions.Utility_DisplayArrayInTable(Fertiliser_SourceData.Fertiliser_Products_Data1(),FertiliserProducts[[#Headers],[Include or Exclude]], 0,4)</f>
        <v/>
      </c>
      <c r="U109" s="109" t="str" cm="1">
        <f t="array" ref="U109">Common_InputFunctions.Utility_DisplayArrayInTable(Fertiliser_SourceData.Fertiliser_Products_Data1(),FertiliserProducts[[#Headers],[Include or Exclude]], 0,4)</f>
        <v/>
      </c>
      <c r="V109" s="109" t="str" cm="1">
        <f t="array" ref="V109">Common_InputFunctions.Utility_DisplayArrayInTable(Fertiliser_SourceData.Fertiliser_Products_Data1(),FertiliserProducts[[#Headers],[Include or Exclude]], 0,4)</f>
        <v/>
      </c>
      <c r="W109" s="109" t="str" cm="1">
        <f t="array" ref="W109">Common_InputFunctions.Utility_DisplayArrayInTable(Fertiliser_SourceData.Fertiliser_Products_Data1(),FertiliserProducts[[#Headers],[Include or Exclude]], 0,4)</f>
        <v/>
      </c>
      <c r="X109" s="109" t="str" cm="1">
        <f t="array" ref="X109">Common_InputFunctions.Utility_DisplayArrayInTable(Fertiliser_SourceData.Fertiliser_Products_Data1(),FertiliserProducts[[#Headers],[Include or Exclude]], 0,4)</f>
        <v/>
      </c>
      <c r="Y109" s="109" t="str" cm="1">
        <f t="array" ref="Y109">Common_InputFunctions.Utility_DisplayArrayInTable(Fertiliser_SourceData.Fertiliser_Products_Data1(),FertiliserProducts[[#Headers],[Include or Exclude]], 0,4)</f>
        <v/>
      </c>
      <c r="Z109" s="109" t="str" cm="1">
        <f t="array" ref="Z109">Common_InputFunctions.Utility_DisplayArrayInTable(Fertiliser_SourceData.Fertiliser_Products_Data1(),FertiliserProducts[[#Headers],[Include or Exclude]], 0,4)</f>
        <v/>
      </c>
      <c r="AA109" s="109" t="str" cm="1">
        <f t="array" ref="AA109">Common_InputFunctions.Utility_DisplayArrayInTable(Fertiliser_SourceData.Fertiliser_Products_Data1(),FertiliserProducts[[#Headers],[Include or Exclude]], 0,4)</f>
        <v/>
      </c>
      <c r="AB109" s="109" t="str" cm="1">
        <f t="array" ref="AB109">Common_InputFunctions.Utility_DisplayArrayInTable(Fertiliser_SourceData.Fertiliser_Products_Data1(),FertiliserProducts[[#Headers],[Include or Exclude]], 0,4)</f>
        <v/>
      </c>
      <c r="AC109" s="109" t="str" cm="1">
        <f t="array" ref="AC109">Common_InputFunctions.Utility_DisplayArrayInTable(Fertiliser_SourceData.Fertiliser_Products_Data1(),FertiliserProducts[[#Headers],[Include or Exclude]], 0,4)</f>
        <v/>
      </c>
      <c r="AD109" s="109" t="str" cm="1">
        <f t="array" ref="AD109">Common_InputFunctions.Utility_DisplayArrayInTable(Fertiliser_SourceData.Fertiliser_Products_Data1(),FertiliserProducts[[#Headers],[Include or Exclude]], 0,4)</f>
        <v/>
      </c>
      <c r="AE109" s="109" t="str" cm="1">
        <f t="array" ref="AE109">Common_InputFunctions.Utility_DisplayArrayInTable(Fertiliser_SourceData.Fertiliser_Products_Data1(),FertiliserProducts[[#Headers],[Include or Exclude]], 0,4)</f>
        <v/>
      </c>
    </row>
    <row r="110" spans="4:31" ht="20.100000000000001" customHeight="1" x14ac:dyDescent="0.25">
      <c r="D110" s="109" t="str" cm="1">
        <f t="array" ref="D110">Common_InputFunctions.Utility_DisplayArrayInTable(Fertiliser_SourceData.Fertiliser_Products_Data1(),FertiliserProducts[[#Headers],[Include or Exclude]], -1)</f>
        <v>Exclude - Not relevant</v>
      </c>
      <c r="E110" s="109" t="str" cm="1">
        <f t="array" ref="E110">Common_InputFunctions.Utility_DisplayArrayInTable(Fertiliser_SourceData.Fertiliser_Products_Data1(),FertiliserProducts[[#Headers],[Include or Exclude]], 0)</f>
        <v/>
      </c>
      <c r="F110" s="109" t="str" cm="1">
        <f t="array" ref="F110">Common_InputFunctions.Utility_DisplayArrayInTable(Fertiliser_SourceData.Fertiliser_Products_Data1(),FertiliserProducts[[#Headers],[Include or Exclude]], 0)</f>
        <v>Campbells fertilisers Australia</v>
      </c>
      <c r="G110" s="109" t="str" cm="1">
        <f t="array" ref="G110">Common_InputFunctions.Utility_DisplayArrayInTable(Fertiliser_SourceData.Fertiliser_Products_Data1(),FertiliserProducts[[#Headers],[Include or Exclude]], 0)</f>
        <v>Calbit C</v>
      </c>
      <c r="H110" s="109" t="str" cm="1">
        <f t="array" ref="H110">Common_InputFunctions.Utility_DisplayArrayInTable(Fertiliser_SourceData.Fertiliser_Products_Data1(),FertiliserProducts[[#Headers],[Include or Exclude]], 0,4)</f>
        <v>L</v>
      </c>
      <c r="I110" s="109" t="str" cm="1">
        <f t="array" ref="I110">Common_InputFunctions.Utility_DisplayArrayInTable(Fertiliser_SourceData.Fertiliser_Products_Data1(),FertiliserProducts[[#Headers],[Include or Exclude]], 0,4)</f>
        <v/>
      </c>
      <c r="J110" s="109" t="str" cm="1">
        <f t="array" ref="J110">Common_InputFunctions.Utility_DisplayArrayInTable(Fertiliser_SourceData.Fertiliser_Products_Data1(),FertiliserProducts[[#Headers],[Include or Exclude]], 0,4)</f>
        <v/>
      </c>
      <c r="K110" s="109" t="str" cm="1">
        <f t="array" ref="K110">Common_InputFunctions.Utility_DisplayArrayInTable(Fertiliser_SourceData.Fertiliser_Products_Data1(),FertiliserProducts[[#Headers],[Include or Exclude]], 0,4)</f>
        <v/>
      </c>
      <c r="L110" s="109" t="str" cm="1">
        <f t="array" ref="L110">Common_InputFunctions.Utility_DisplayArrayInTable(Fertiliser_SourceData.Fertiliser_Products_Data1(),FertiliserProducts[[#Headers],[Include or Exclude]], 0,4)</f>
        <v/>
      </c>
      <c r="M110" s="109" t="str" cm="1">
        <f t="array" ref="M110">Common_InputFunctions.Utility_DisplayArrayInTable(Fertiliser_SourceData.Fertiliser_Products_Data1(),FertiliserProducts[[#Headers],[Include or Exclude]], 0,4)</f>
        <v/>
      </c>
      <c r="N110" s="109" t="str" cm="1">
        <f t="array" ref="N110">Common_InputFunctions.Utility_DisplayArrayInTable(Fertiliser_SourceData.Fertiliser_Products_Data1(),FertiliserProducts[[#Headers],[Include or Exclude]], 0,4)</f>
        <v/>
      </c>
      <c r="O110" s="109" t="str" cm="1">
        <f t="array" ref="O110">Common_InputFunctions.Utility_DisplayArrayInTable(Fertiliser_SourceData.Fertiliser_Products_Data1(),FertiliserProducts[[#Headers],[Include or Exclude]], 0,4)</f>
        <v/>
      </c>
      <c r="P110" s="109" t="str" cm="1">
        <f t="array" ref="P110">Common_InputFunctions.Utility_DisplayArrayInTable(Fertiliser_SourceData.Fertiliser_Products_Data1(),FertiliserProducts[[#Headers],[Include or Exclude]], 0,4)</f>
        <v/>
      </c>
      <c r="Q110" s="109" t="str" cm="1">
        <f t="array" ref="Q110">Common_InputFunctions.Utility_DisplayArrayInTable(Fertiliser_SourceData.Fertiliser_Products_Data1(),FertiliserProducts[[#Headers],[Include or Exclude]], 0,4)</f>
        <v/>
      </c>
      <c r="R110" s="109" t="str" cm="1">
        <f t="array" ref="R110">Common_InputFunctions.Utility_DisplayArrayInTable(Fertiliser_SourceData.Fertiliser_Products_Data1(),FertiliserProducts[[#Headers],[Include or Exclude]], 0,4)</f>
        <v/>
      </c>
      <c r="S110" s="109" t="str" cm="1">
        <f t="array" ref="S110">Common_InputFunctions.Utility_DisplayArrayInTable(Fertiliser_SourceData.Fertiliser_Products_Data1(),FertiliserProducts[[#Headers],[Include or Exclude]], 0,4)</f>
        <v/>
      </c>
      <c r="T110" s="109" t="str" cm="1">
        <f t="array" ref="T110">Common_InputFunctions.Utility_DisplayArrayInTable(Fertiliser_SourceData.Fertiliser_Products_Data1(),FertiliserProducts[[#Headers],[Include or Exclude]], 0,4)</f>
        <v/>
      </c>
      <c r="U110" s="109" t="str" cm="1">
        <f t="array" ref="U110">Common_InputFunctions.Utility_DisplayArrayInTable(Fertiliser_SourceData.Fertiliser_Products_Data1(),FertiliserProducts[[#Headers],[Include or Exclude]], 0,4)</f>
        <v/>
      </c>
      <c r="V110" s="109" t="str" cm="1">
        <f t="array" ref="V110">Common_InputFunctions.Utility_DisplayArrayInTable(Fertiliser_SourceData.Fertiliser_Products_Data1(),FertiliserProducts[[#Headers],[Include or Exclude]], 0,4)</f>
        <v/>
      </c>
      <c r="W110" s="109" t="str" cm="1">
        <f t="array" ref="W110">Common_InputFunctions.Utility_DisplayArrayInTable(Fertiliser_SourceData.Fertiliser_Products_Data1(),FertiliserProducts[[#Headers],[Include or Exclude]], 0,4)</f>
        <v/>
      </c>
      <c r="X110" s="109" t="str" cm="1">
        <f t="array" ref="X110">Common_InputFunctions.Utility_DisplayArrayInTable(Fertiliser_SourceData.Fertiliser_Products_Data1(),FertiliserProducts[[#Headers],[Include or Exclude]], 0,4)</f>
        <v/>
      </c>
      <c r="Y110" s="109" t="str" cm="1">
        <f t="array" ref="Y110">Common_InputFunctions.Utility_DisplayArrayInTable(Fertiliser_SourceData.Fertiliser_Products_Data1(),FertiliserProducts[[#Headers],[Include or Exclude]], 0,4)</f>
        <v/>
      </c>
      <c r="Z110" s="109" t="str" cm="1">
        <f t="array" ref="Z110">Common_InputFunctions.Utility_DisplayArrayInTable(Fertiliser_SourceData.Fertiliser_Products_Data1(),FertiliserProducts[[#Headers],[Include or Exclude]], 0,4)</f>
        <v/>
      </c>
      <c r="AA110" s="109" t="str" cm="1">
        <f t="array" ref="AA110">Common_InputFunctions.Utility_DisplayArrayInTable(Fertiliser_SourceData.Fertiliser_Products_Data1(),FertiliserProducts[[#Headers],[Include or Exclude]], 0,4)</f>
        <v/>
      </c>
      <c r="AB110" s="109" t="str" cm="1">
        <f t="array" ref="AB110">Common_InputFunctions.Utility_DisplayArrayInTable(Fertiliser_SourceData.Fertiliser_Products_Data1(),FertiliserProducts[[#Headers],[Include or Exclude]], 0,4)</f>
        <v/>
      </c>
      <c r="AC110" s="109" t="str" cm="1">
        <f t="array" ref="AC110">Common_InputFunctions.Utility_DisplayArrayInTable(Fertiliser_SourceData.Fertiliser_Products_Data1(),FertiliserProducts[[#Headers],[Include or Exclude]], 0,4)</f>
        <v/>
      </c>
      <c r="AD110" s="109" t="str" cm="1">
        <f t="array" ref="AD110">Common_InputFunctions.Utility_DisplayArrayInTable(Fertiliser_SourceData.Fertiliser_Products_Data1(),FertiliserProducts[[#Headers],[Include or Exclude]], 0,4)</f>
        <v/>
      </c>
      <c r="AE110" s="109" t="str" cm="1">
        <f t="array" ref="AE110">Common_InputFunctions.Utility_DisplayArrayInTable(Fertiliser_SourceData.Fertiliser_Products_Data1(),FertiliserProducts[[#Headers],[Include or Exclude]], 0,4)</f>
        <v/>
      </c>
    </row>
    <row r="111" spans="4:31" ht="20.100000000000001" customHeight="1" x14ac:dyDescent="0.25">
      <c r="D111" s="109" t="str" cm="1">
        <f t="array" ref="D111">Common_InputFunctions.Utility_DisplayArrayInTable(Fertiliser_SourceData.Fertiliser_Products_Data1(),FertiliserProducts[[#Headers],[Include or Exclude]], -1)</f>
        <v>Include</v>
      </c>
      <c r="E111" s="109" t="str" cm="1">
        <f t="array" ref="E111">Common_InputFunctions.Utility_DisplayArrayInTable(Fertiliser_SourceData.Fertiliser_Products_Data1(),FertiliserProducts[[#Headers],[Include or Exclude]], 0)</f>
        <v/>
      </c>
      <c r="F111" s="109" t="str" cm="1">
        <f t="array" ref="F111">Common_InputFunctions.Utility_DisplayArrayInTable(Fertiliser_SourceData.Fertiliser_Products_Data1(),FertiliserProducts[[#Headers],[Include or Exclude]], 0)</f>
        <v>Campbells fertilisers Australia</v>
      </c>
      <c r="G111" s="109" t="str" cm="1">
        <f t="array" ref="G111">Common_InputFunctions.Utility_DisplayArrayInTable(Fertiliser_SourceData.Fertiliser_Products_Data1(),FertiliserProducts[[#Headers],[Include or Exclude]], 0)</f>
        <v>Calcium 175</v>
      </c>
      <c r="H111" s="109" t="str" cm="1">
        <f t="array" ref="H111">Common_InputFunctions.Utility_DisplayArrayInTable(Fertiliser_SourceData.Fertiliser_Products_Data1(),FertiliserProducts[[#Headers],[Include or Exclude]], 0,4)</f>
        <v>L</v>
      </c>
      <c r="I111" s="109" t="str" cm="1">
        <f t="array" ref="I111">Common_InputFunctions.Utility_DisplayArrayInTable(Fertiliser_SourceData.Fertiliser_Products_Data1(),FertiliserProducts[[#Headers],[Include or Exclude]], 0,4)</f>
        <v/>
      </c>
      <c r="J111" s="109" t="str" cm="1">
        <f t="array" ref="J111">Common_InputFunctions.Utility_DisplayArrayInTable(Fertiliser_SourceData.Fertiliser_Products_Data1(),FertiliserProducts[[#Headers],[Include or Exclude]], 0,4)</f>
        <v/>
      </c>
      <c r="K111" s="109" t="str" cm="1">
        <f t="array" ref="K111">Common_InputFunctions.Utility_DisplayArrayInTable(Fertiliser_SourceData.Fertiliser_Products_Data1(),FertiliserProducts[[#Headers],[Include or Exclude]], 0,4)</f>
        <v/>
      </c>
      <c r="L111" s="109" t="str" cm="1">
        <f t="array" ref="L111">Common_InputFunctions.Utility_DisplayArrayInTable(Fertiliser_SourceData.Fertiliser_Products_Data1(),FertiliserProducts[[#Headers],[Include or Exclude]], 0,4)</f>
        <v/>
      </c>
      <c r="M111" s="109" t="str" cm="1">
        <f t="array" ref="M111">Common_InputFunctions.Utility_DisplayArrayInTable(Fertiliser_SourceData.Fertiliser_Products_Data1(),FertiliserProducts[[#Headers],[Include or Exclude]], 0,4)</f>
        <v/>
      </c>
      <c r="N111" s="109" t="str" cm="1">
        <f t="array" ref="N111">Common_InputFunctions.Utility_DisplayArrayInTable(Fertiliser_SourceData.Fertiliser_Products_Data1(),FertiliserProducts[[#Headers],[Include or Exclude]], 0,4)</f>
        <v/>
      </c>
      <c r="O111" s="109" t="str" cm="1">
        <f t="array" ref="O111">Common_InputFunctions.Utility_DisplayArrayInTable(Fertiliser_SourceData.Fertiliser_Products_Data1(),FertiliserProducts[[#Headers],[Include or Exclude]], 0,4)</f>
        <v/>
      </c>
      <c r="P111" s="109" t="str" cm="1">
        <f t="array" ref="P111">Common_InputFunctions.Utility_DisplayArrayInTable(Fertiliser_SourceData.Fertiliser_Products_Data1(),FertiliserProducts[[#Headers],[Include or Exclude]], 0,4)</f>
        <v/>
      </c>
      <c r="Q111" s="109" t="str" cm="1">
        <f t="array" ref="Q111">Common_InputFunctions.Utility_DisplayArrayInTable(Fertiliser_SourceData.Fertiliser_Products_Data1(),FertiliserProducts[[#Headers],[Include or Exclude]], 0,4)</f>
        <v/>
      </c>
      <c r="R111" s="109" t="str" cm="1">
        <f t="array" ref="R111">Common_InputFunctions.Utility_DisplayArrayInTable(Fertiliser_SourceData.Fertiliser_Products_Data1(),FertiliserProducts[[#Headers],[Include or Exclude]], 0,4)</f>
        <v/>
      </c>
      <c r="S111" s="109" t="str" cm="1">
        <f t="array" ref="S111">Common_InputFunctions.Utility_DisplayArrayInTable(Fertiliser_SourceData.Fertiliser_Products_Data1(),FertiliserProducts[[#Headers],[Include or Exclude]], 0,4)</f>
        <v/>
      </c>
      <c r="T111" s="109" t="str" cm="1">
        <f t="array" ref="T111">Common_InputFunctions.Utility_DisplayArrayInTable(Fertiliser_SourceData.Fertiliser_Products_Data1(),FertiliserProducts[[#Headers],[Include or Exclude]], 0,4)</f>
        <v/>
      </c>
      <c r="U111" s="109" t="str" cm="1">
        <f t="array" ref="U111">Common_InputFunctions.Utility_DisplayArrayInTable(Fertiliser_SourceData.Fertiliser_Products_Data1(),FertiliserProducts[[#Headers],[Include or Exclude]], 0,4)</f>
        <v/>
      </c>
      <c r="V111" s="109" t="str" cm="1">
        <f t="array" ref="V111">Common_InputFunctions.Utility_DisplayArrayInTable(Fertiliser_SourceData.Fertiliser_Products_Data1(),FertiliserProducts[[#Headers],[Include or Exclude]], 0,4)</f>
        <v/>
      </c>
      <c r="W111" s="109" t="str" cm="1">
        <f t="array" ref="W111">Common_InputFunctions.Utility_DisplayArrayInTable(Fertiliser_SourceData.Fertiliser_Products_Data1(),FertiliserProducts[[#Headers],[Include or Exclude]], 0,4)</f>
        <v/>
      </c>
      <c r="X111" s="109" t="str" cm="1">
        <f t="array" ref="X111">Common_InputFunctions.Utility_DisplayArrayInTable(Fertiliser_SourceData.Fertiliser_Products_Data1(),FertiliserProducts[[#Headers],[Include or Exclude]], 0,4)</f>
        <v/>
      </c>
      <c r="Y111" s="109" t="str" cm="1">
        <f t="array" ref="Y111">Common_InputFunctions.Utility_DisplayArrayInTable(Fertiliser_SourceData.Fertiliser_Products_Data1(),FertiliserProducts[[#Headers],[Include or Exclude]], 0,4)</f>
        <v/>
      </c>
      <c r="Z111" s="109" t="str" cm="1">
        <f t="array" ref="Z111">Common_InputFunctions.Utility_DisplayArrayInTable(Fertiliser_SourceData.Fertiliser_Products_Data1(),FertiliserProducts[[#Headers],[Include or Exclude]], 0,4)</f>
        <v/>
      </c>
      <c r="AA111" s="109" t="str" cm="1">
        <f t="array" ref="AA111">Common_InputFunctions.Utility_DisplayArrayInTable(Fertiliser_SourceData.Fertiliser_Products_Data1(),FertiliserProducts[[#Headers],[Include or Exclude]], 0,4)</f>
        <v/>
      </c>
      <c r="AB111" s="109" t="str" cm="1">
        <f t="array" ref="AB111">Common_InputFunctions.Utility_DisplayArrayInTable(Fertiliser_SourceData.Fertiliser_Products_Data1(),FertiliserProducts[[#Headers],[Include or Exclude]], 0,4)</f>
        <v/>
      </c>
      <c r="AC111" s="109" t="str" cm="1">
        <f t="array" ref="AC111">Common_InputFunctions.Utility_DisplayArrayInTable(Fertiliser_SourceData.Fertiliser_Products_Data1(),FertiliserProducts[[#Headers],[Include or Exclude]], 0,4)</f>
        <v/>
      </c>
      <c r="AD111" s="109" t="str" cm="1">
        <f t="array" ref="AD111">Common_InputFunctions.Utility_DisplayArrayInTable(Fertiliser_SourceData.Fertiliser_Products_Data1(),FertiliserProducts[[#Headers],[Include or Exclude]], 0,4)</f>
        <v/>
      </c>
      <c r="AE111" s="109" t="str" cm="1">
        <f t="array" ref="AE111">Common_InputFunctions.Utility_DisplayArrayInTable(Fertiliser_SourceData.Fertiliser_Products_Data1(),FertiliserProducts[[#Headers],[Include or Exclude]], 0,4)</f>
        <v/>
      </c>
    </row>
    <row r="112" spans="4:31" ht="20.100000000000001" customHeight="1" x14ac:dyDescent="0.25">
      <c r="D112" s="109" t="str" cm="1">
        <f t="array" ref="D112">Common_InputFunctions.Utility_DisplayArrayInTable(Fertiliser_SourceData.Fertiliser_Products_Data1(),FertiliserProducts[[#Headers],[Include or Exclude]], -1)</f>
        <v/>
      </c>
      <c r="E112" s="109" t="str" cm="1">
        <f t="array" ref="E112">Common_InputFunctions.Utility_DisplayArrayInTable(Fertiliser_SourceData.Fertiliser_Products_Data1(),FertiliserProducts[[#Headers],[Include or Exclude]], 0)</f>
        <v>Use Lime EF for calcium</v>
      </c>
      <c r="F112" s="109" t="str" cm="1">
        <f t="array" ref="F112">Common_InputFunctions.Utility_DisplayArrayInTable(Fertiliser_SourceData.Fertiliser_Products_Data1(),FertiliserProducts[[#Headers],[Include or Exclude]], 0)</f>
        <v>Campbells fertilisers Australia</v>
      </c>
      <c r="G112" s="109" t="str" cm="1">
        <f t="array" ref="G112">Common_InputFunctions.Utility_DisplayArrayInTable(Fertiliser_SourceData.Fertiliser_Products_Data1(),FertiliserProducts[[#Headers],[Include or Exclude]], 0)</f>
        <v>CalPhos</v>
      </c>
      <c r="H112" s="109" t="str" cm="1">
        <f t="array" ref="H112">Common_InputFunctions.Utility_DisplayArrayInTable(Fertiliser_SourceData.Fertiliser_Products_Data1(),FertiliserProducts[[#Headers],[Include or Exclude]], 0,4)</f>
        <v>L</v>
      </c>
      <c r="I112" s="109" cm="1">
        <f t="array" ref="I112">Common_InputFunctions.Utility_DisplayArrayInTable(Fertiliser_SourceData.Fertiliser_Products_Data1(),FertiliserProducts[[#Headers],[Include or Exclude]], 0,4)</f>
        <v>1.2849999999999999</v>
      </c>
      <c r="J112" s="109" t="str" cm="1">
        <f t="array" ref="J112">Common_InputFunctions.Utility_DisplayArrayInTable(Fertiliser_SourceData.Fertiliser_Products_Data1(),FertiliserProducts[[#Headers],[Include or Exclude]], 0,4)</f>
        <v/>
      </c>
      <c r="K112" s="109" t="str" cm="1">
        <f t="array" ref="K112">Common_InputFunctions.Utility_DisplayArrayInTable(Fertiliser_SourceData.Fertiliser_Products_Data1(),FertiliserProducts[[#Headers],[Include or Exclude]], 0,4)</f>
        <v/>
      </c>
      <c r="L112" s="109" t="str" cm="1">
        <f t="array" ref="L112">Common_InputFunctions.Utility_DisplayArrayInTable(Fertiliser_SourceData.Fertiliser_Products_Data1(),FertiliserProducts[[#Headers],[Include or Exclude]], 0,4)</f>
        <v>Phosphorus - Generic</v>
      </c>
      <c r="M112" s="109" cm="1">
        <f t="array" ref="M112">Common_InputFunctions.Utility_DisplayArrayInTable(Fertiliser_SourceData.Fertiliser_Products_Data1(),FertiliserProducts[[#Headers],[Include or Exclude]], 0,4)</f>
        <v>0.13500000000000001</v>
      </c>
      <c r="N112" s="109" t="str" cm="1">
        <f t="array" ref="N112">Common_InputFunctions.Utility_DisplayArrayInTable(Fertiliser_SourceData.Fertiliser_Products_Data1(),FertiliserProducts[[#Headers],[Include or Exclude]], 0,4)</f>
        <v>Calcium - Generic</v>
      </c>
      <c r="O112" s="109" cm="1">
        <f t="array" ref="O112">Common_InputFunctions.Utility_DisplayArrayInTable(Fertiliser_SourceData.Fertiliser_Products_Data1(),FertiliserProducts[[#Headers],[Include or Exclude]], 0,4)</f>
        <v>0.04</v>
      </c>
      <c r="P112" s="109" t="str" cm="1">
        <f t="array" ref="P112">Common_InputFunctions.Utility_DisplayArrayInTable(Fertiliser_SourceData.Fertiliser_Products_Data1(),FertiliserProducts[[#Headers],[Include or Exclude]], 0,4)</f>
        <v/>
      </c>
      <c r="Q112" s="109" t="str" cm="1">
        <f t="array" ref="Q112">Common_InputFunctions.Utility_DisplayArrayInTable(Fertiliser_SourceData.Fertiliser_Products_Data1(),FertiliserProducts[[#Headers],[Include or Exclude]], 0,4)</f>
        <v/>
      </c>
      <c r="R112" s="109" t="str" cm="1">
        <f t="array" ref="R112">Common_InputFunctions.Utility_DisplayArrayInTable(Fertiliser_SourceData.Fertiliser_Products_Data1(),FertiliserProducts[[#Headers],[Include or Exclude]], 0,4)</f>
        <v/>
      </c>
      <c r="S112" s="109" t="str" cm="1">
        <f t="array" ref="S112">Common_InputFunctions.Utility_DisplayArrayInTable(Fertiliser_SourceData.Fertiliser_Products_Data1(),FertiliserProducts[[#Headers],[Include or Exclude]], 0,4)</f>
        <v/>
      </c>
      <c r="T112" s="109" t="str" cm="1">
        <f t="array" ref="T112">Common_InputFunctions.Utility_DisplayArrayInTable(Fertiliser_SourceData.Fertiliser_Products_Data1(),FertiliserProducts[[#Headers],[Include or Exclude]], 0,4)</f>
        <v/>
      </c>
      <c r="U112" s="109" t="str" cm="1">
        <f t="array" ref="U112">Common_InputFunctions.Utility_DisplayArrayInTable(Fertiliser_SourceData.Fertiliser_Products_Data1(),FertiliserProducts[[#Headers],[Include or Exclude]], 0,4)</f>
        <v/>
      </c>
      <c r="V112" s="109" t="str" cm="1">
        <f t="array" ref="V112">Common_InputFunctions.Utility_DisplayArrayInTable(Fertiliser_SourceData.Fertiliser_Products_Data1(),FertiliserProducts[[#Headers],[Include or Exclude]], 0,4)</f>
        <v/>
      </c>
      <c r="W112" s="109" t="str" cm="1">
        <f t="array" ref="W112">Common_InputFunctions.Utility_DisplayArrayInTable(Fertiliser_SourceData.Fertiliser_Products_Data1(),FertiliserProducts[[#Headers],[Include or Exclude]], 0,4)</f>
        <v/>
      </c>
      <c r="X112" s="109" t="str" cm="1">
        <f t="array" ref="X112">Common_InputFunctions.Utility_DisplayArrayInTable(Fertiliser_SourceData.Fertiliser_Products_Data1(),FertiliserProducts[[#Headers],[Include or Exclude]], 0,4)</f>
        <v/>
      </c>
      <c r="Y112" s="109" t="str" cm="1">
        <f t="array" ref="Y112">Common_InputFunctions.Utility_DisplayArrayInTable(Fertiliser_SourceData.Fertiliser_Products_Data1(),FertiliserProducts[[#Headers],[Include or Exclude]], 0,4)</f>
        <v/>
      </c>
      <c r="Z112" s="109" t="str" cm="1">
        <f t="array" ref="Z112">Common_InputFunctions.Utility_DisplayArrayInTable(Fertiliser_SourceData.Fertiliser_Products_Data1(),FertiliserProducts[[#Headers],[Include or Exclude]], 0,4)</f>
        <v/>
      </c>
      <c r="AA112" s="109" t="str" cm="1">
        <f t="array" ref="AA112">Common_InputFunctions.Utility_DisplayArrayInTable(Fertiliser_SourceData.Fertiliser_Products_Data1(),FertiliserProducts[[#Headers],[Include or Exclude]], 0,4)</f>
        <v/>
      </c>
      <c r="AB112" s="109" t="str" cm="1">
        <f t="array" ref="AB112">Common_InputFunctions.Utility_DisplayArrayInTable(Fertiliser_SourceData.Fertiliser_Products_Data1(),FertiliserProducts[[#Headers],[Include or Exclude]], 0,4)</f>
        <v/>
      </c>
      <c r="AC112" s="109" t="str" cm="1">
        <f t="array" ref="AC112">Common_InputFunctions.Utility_DisplayArrayInTable(Fertiliser_SourceData.Fertiliser_Products_Data1(),FertiliserProducts[[#Headers],[Include or Exclude]], 0,4)</f>
        <v/>
      </c>
      <c r="AD112" s="109" t="str" cm="1">
        <f t="array" ref="AD112">Common_InputFunctions.Utility_DisplayArrayInTable(Fertiliser_SourceData.Fertiliser_Products_Data1(),FertiliserProducts[[#Headers],[Include or Exclude]], 0,4)</f>
        <v/>
      </c>
      <c r="AE112" s="109" t="str" cm="1">
        <f t="array" ref="AE112">Common_InputFunctions.Utility_DisplayArrayInTable(Fertiliser_SourceData.Fertiliser_Products_Data1(),FertiliserProducts[[#Headers],[Include or Exclude]], 0,4)</f>
        <v/>
      </c>
    </row>
    <row r="113" spans="4:31" ht="20.100000000000001" customHeight="1" x14ac:dyDescent="0.25">
      <c r="D113" s="109" t="str" cm="1">
        <f t="array" ref="D113">Common_InputFunctions.Utility_DisplayArrayInTable(Fertiliser_SourceData.Fertiliser_Products_Data1(),FertiliserProducts[[#Headers],[Include or Exclude]], -1)</f>
        <v/>
      </c>
      <c r="E113" s="109" t="str" cm="1">
        <f t="array" ref="E113">Common_InputFunctions.Utility_DisplayArrayInTable(Fertiliser_SourceData.Fertiliser_Products_Data1(),FertiliserProducts[[#Headers],[Include or Exclude]], 0)</f>
        <v/>
      </c>
      <c r="F113" s="109" t="str" cm="1">
        <f t="array" ref="F113">Common_InputFunctions.Utility_DisplayArrayInTable(Fertiliser_SourceData.Fertiliser_Products_Data1(),FertiliserProducts[[#Headers],[Include or Exclude]], 0)</f>
        <v/>
      </c>
      <c r="G113" s="109" t="str" cm="1">
        <f t="array" ref="G113">Common_InputFunctions.Utility_DisplayArrayInTable(Fertiliser_SourceData.Fertiliser_Products_Data1(),FertiliserProducts[[#Headers],[Include or Exclude]], 0)</f>
        <v/>
      </c>
      <c r="H113" s="109" t="str" cm="1">
        <f t="array" ref="H113">Common_InputFunctions.Utility_DisplayArrayInTable(Fertiliser_SourceData.Fertiliser_Products_Data1(),FertiliserProducts[[#Headers],[Include or Exclude]], 0,4)</f>
        <v/>
      </c>
      <c r="I113" s="109" t="str" cm="1">
        <f t="array" ref="I113">Common_InputFunctions.Utility_DisplayArrayInTable(Fertiliser_SourceData.Fertiliser_Products_Data1(),FertiliserProducts[[#Headers],[Include or Exclude]], 0,4)</f>
        <v/>
      </c>
      <c r="J113" s="109" t="str" cm="1">
        <f t="array" ref="J113">Common_InputFunctions.Utility_DisplayArrayInTable(Fertiliser_SourceData.Fertiliser_Products_Data1(),FertiliserProducts[[#Headers],[Include or Exclude]], 0,4)</f>
        <v/>
      </c>
      <c r="K113" s="109" t="str" cm="1">
        <f t="array" ref="K113">Common_InputFunctions.Utility_DisplayArrayInTable(Fertiliser_SourceData.Fertiliser_Products_Data1(),FertiliserProducts[[#Headers],[Include or Exclude]], 0,4)</f>
        <v/>
      </c>
      <c r="L113" s="109" t="str" cm="1">
        <f t="array" ref="L113">Common_InputFunctions.Utility_DisplayArrayInTable(Fertiliser_SourceData.Fertiliser_Products_Data1(),FertiliserProducts[[#Headers],[Include or Exclude]], 0,4)</f>
        <v/>
      </c>
      <c r="M113" s="109" t="str" cm="1">
        <f t="array" ref="M113">Common_InputFunctions.Utility_DisplayArrayInTable(Fertiliser_SourceData.Fertiliser_Products_Data1(),FertiliserProducts[[#Headers],[Include or Exclude]], 0,4)</f>
        <v/>
      </c>
      <c r="N113" s="109" t="str" cm="1">
        <f t="array" ref="N113">Common_InputFunctions.Utility_DisplayArrayInTable(Fertiliser_SourceData.Fertiliser_Products_Data1(),FertiliserProducts[[#Headers],[Include or Exclude]], 0,4)</f>
        <v/>
      </c>
      <c r="O113" s="109" t="str" cm="1">
        <f t="array" ref="O113">Common_InputFunctions.Utility_DisplayArrayInTable(Fertiliser_SourceData.Fertiliser_Products_Data1(),FertiliserProducts[[#Headers],[Include or Exclude]], 0,4)</f>
        <v/>
      </c>
      <c r="P113" s="109" t="str" cm="1">
        <f t="array" ref="P113">Common_InputFunctions.Utility_DisplayArrayInTable(Fertiliser_SourceData.Fertiliser_Products_Data1(),FertiliserProducts[[#Headers],[Include or Exclude]], 0,4)</f>
        <v/>
      </c>
      <c r="Q113" s="109" t="str" cm="1">
        <f t="array" ref="Q113">Common_InputFunctions.Utility_DisplayArrayInTable(Fertiliser_SourceData.Fertiliser_Products_Data1(),FertiliserProducts[[#Headers],[Include or Exclude]], 0,4)</f>
        <v/>
      </c>
      <c r="R113" s="109" t="str" cm="1">
        <f t="array" ref="R113">Common_InputFunctions.Utility_DisplayArrayInTable(Fertiliser_SourceData.Fertiliser_Products_Data1(),FertiliserProducts[[#Headers],[Include or Exclude]], 0,4)</f>
        <v/>
      </c>
      <c r="S113" s="109" t="str" cm="1">
        <f t="array" ref="S113">Common_InputFunctions.Utility_DisplayArrayInTable(Fertiliser_SourceData.Fertiliser_Products_Data1(),FertiliserProducts[[#Headers],[Include or Exclude]], 0,4)</f>
        <v/>
      </c>
      <c r="T113" s="109" t="str" cm="1">
        <f t="array" ref="T113">Common_InputFunctions.Utility_DisplayArrayInTable(Fertiliser_SourceData.Fertiliser_Products_Data1(),FertiliserProducts[[#Headers],[Include or Exclude]], 0,4)</f>
        <v/>
      </c>
      <c r="U113" s="109" t="str" cm="1">
        <f t="array" ref="U113">Common_InputFunctions.Utility_DisplayArrayInTable(Fertiliser_SourceData.Fertiliser_Products_Data1(),FertiliserProducts[[#Headers],[Include or Exclude]], 0,4)</f>
        <v/>
      </c>
      <c r="V113" s="109" t="str" cm="1">
        <f t="array" ref="V113">Common_InputFunctions.Utility_DisplayArrayInTable(Fertiliser_SourceData.Fertiliser_Products_Data1(),FertiliserProducts[[#Headers],[Include or Exclude]], 0,4)</f>
        <v/>
      </c>
      <c r="W113" s="109" t="str" cm="1">
        <f t="array" ref="W113">Common_InputFunctions.Utility_DisplayArrayInTable(Fertiliser_SourceData.Fertiliser_Products_Data1(),FertiliserProducts[[#Headers],[Include or Exclude]], 0,4)</f>
        <v/>
      </c>
      <c r="X113" s="109" t="str" cm="1">
        <f t="array" ref="X113">Common_InputFunctions.Utility_DisplayArrayInTable(Fertiliser_SourceData.Fertiliser_Products_Data1(),FertiliserProducts[[#Headers],[Include or Exclude]], 0,4)</f>
        <v/>
      </c>
      <c r="Y113" s="109" t="str" cm="1">
        <f t="array" ref="Y113">Common_InputFunctions.Utility_DisplayArrayInTable(Fertiliser_SourceData.Fertiliser_Products_Data1(),FertiliserProducts[[#Headers],[Include or Exclude]], 0,4)</f>
        <v/>
      </c>
      <c r="Z113" s="109" t="str" cm="1">
        <f t="array" ref="Z113">Common_InputFunctions.Utility_DisplayArrayInTable(Fertiliser_SourceData.Fertiliser_Products_Data1(),FertiliserProducts[[#Headers],[Include or Exclude]], 0,4)</f>
        <v/>
      </c>
      <c r="AA113" s="109" t="str" cm="1">
        <f t="array" ref="AA113">Common_InputFunctions.Utility_DisplayArrayInTable(Fertiliser_SourceData.Fertiliser_Products_Data1(),FertiliserProducts[[#Headers],[Include or Exclude]], 0,4)</f>
        <v/>
      </c>
      <c r="AB113" s="109" t="str" cm="1">
        <f t="array" ref="AB113">Common_InputFunctions.Utility_DisplayArrayInTable(Fertiliser_SourceData.Fertiliser_Products_Data1(),FertiliserProducts[[#Headers],[Include or Exclude]], 0,4)</f>
        <v/>
      </c>
      <c r="AC113" s="109" t="str" cm="1">
        <f t="array" ref="AC113">Common_InputFunctions.Utility_DisplayArrayInTable(Fertiliser_SourceData.Fertiliser_Products_Data1(),FertiliserProducts[[#Headers],[Include or Exclude]], 0,4)</f>
        <v/>
      </c>
      <c r="AD113" s="109" t="str" cm="1">
        <f t="array" ref="AD113">Common_InputFunctions.Utility_DisplayArrayInTable(Fertiliser_SourceData.Fertiliser_Products_Data1(),FertiliserProducts[[#Headers],[Include or Exclude]], 0,4)</f>
        <v/>
      </c>
      <c r="AE113" s="109" t="str" cm="1">
        <f t="array" ref="AE113">Common_InputFunctions.Utility_DisplayArrayInTable(Fertiliser_SourceData.Fertiliser_Products_Data1(),FertiliserProducts[[#Headers],[Include or Exclude]], 0,4)</f>
        <v/>
      </c>
    </row>
    <row r="114" spans="4:31" ht="20.100000000000001" customHeight="1" x14ac:dyDescent="0.25">
      <c r="D114" s="109" t="str" cm="1">
        <f t="array" ref="D114">Common_InputFunctions.Utility_DisplayArrayInTable(Fertiliser_SourceData.Fertiliser_Products_Data1(),FertiliserProducts[[#Headers],[Include or Exclude]], -1)</f>
        <v/>
      </c>
      <c r="E114" s="109" t="str" cm="1">
        <f t="array" ref="E114">Common_InputFunctions.Utility_DisplayArrayInTable(Fertiliser_SourceData.Fertiliser_Products_Data1(),FertiliserProducts[[#Headers],[Include or Exclude]], 0)</f>
        <v/>
      </c>
      <c r="F114" s="109" t="str" cm="1">
        <f t="array" ref="F114">Common_InputFunctions.Utility_DisplayArrayInTable(Fertiliser_SourceData.Fertiliser_Products_Data1(),FertiliserProducts[[#Headers],[Include or Exclude]], 0)</f>
        <v/>
      </c>
      <c r="G114" s="109" t="str" cm="1">
        <f t="array" ref="G114">Common_InputFunctions.Utility_DisplayArrayInTable(Fertiliser_SourceData.Fertiliser_Products_Data1(),FertiliserProducts[[#Headers],[Include or Exclude]], 0)</f>
        <v/>
      </c>
      <c r="H114" s="109" t="str" cm="1">
        <f t="array" ref="H114">Common_InputFunctions.Utility_DisplayArrayInTable(Fertiliser_SourceData.Fertiliser_Products_Data1(),FertiliserProducts[[#Headers],[Include or Exclude]], 0,4)</f>
        <v/>
      </c>
      <c r="I114" s="109" t="str" cm="1">
        <f t="array" ref="I114">Common_InputFunctions.Utility_DisplayArrayInTable(Fertiliser_SourceData.Fertiliser_Products_Data1(),FertiliserProducts[[#Headers],[Include or Exclude]], 0,4)</f>
        <v/>
      </c>
      <c r="J114" s="109" t="str" cm="1">
        <f t="array" ref="J114">Common_InputFunctions.Utility_DisplayArrayInTable(Fertiliser_SourceData.Fertiliser_Products_Data1(),FertiliserProducts[[#Headers],[Include or Exclude]], 0,4)</f>
        <v/>
      </c>
      <c r="K114" s="109" t="str" cm="1">
        <f t="array" ref="K114">Common_InputFunctions.Utility_DisplayArrayInTable(Fertiliser_SourceData.Fertiliser_Products_Data1(),FertiliserProducts[[#Headers],[Include or Exclude]], 0,4)</f>
        <v/>
      </c>
      <c r="L114" s="109" t="str" cm="1">
        <f t="array" ref="L114">Common_InputFunctions.Utility_DisplayArrayInTable(Fertiliser_SourceData.Fertiliser_Products_Data1(),FertiliserProducts[[#Headers],[Include or Exclude]], 0,4)</f>
        <v/>
      </c>
      <c r="M114" s="109" t="str" cm="1">
        <f t="array" ref="M114">Common_InputFunctions.Utility_DisplayArrayInTable(Fertiliser_SourceData.Fertiliser_Products_Data1(),FertiliserProducts[[#Headers],[Include or Exclude]], 0,4)</f>
        <v/>
      </c>
      <c r="N114" s="109" t="str" cm="1">
        <f t="array" ref="N114">Common_InputFunctions.Utility_DisplayArrayInTable(Fertiliser_SourceData.Fertiliser_Products_Data1(),FertiliserProducts[[#Headers],[Include or Exclude]], 0,4)</f>
        <v/>
      </c>
      <c r="O114" s="109" t="str" cm="1">
        <f t="array" ref="O114">Common_InputFunctions.Utility_DisplayArrayInTable(Fertiliser_SourceData.Fertiliser_Products_Data1(),FertiliserProducts[[#Headers],[Include or Exclude]], 0,4)</f>
        <v/>
      </c>
      <c r="P114" s="109" t="str" cm="1">
        <f t="array" ref="P114">Common_InputFunctions.Utility_DisplayArrayInTable(Fertiliser_SourceData.Fertiliser_Products_Data1(),FertiliserProducts[[#Headers],[Include or Exclude]], 0,4)</f>
        <v/>
      </c>
      <c r="Q114" s="109" t="str" cm="1">
        <f t="array" ref="Q114">Common_InputFunctions.Utility_DisplayArrayInTable(Fertiliser_SourceData.Fertiliser_Products_Data1(),FertiliserProducts[[#Headers],[Include or Exclude]], 0,4)</f>
        <v/>
      </c>
      <c r="R114" s="109" t="str" cm="1">
        <f t="array" ref="R114">Common_InputFunctions.Utility_DisplayArrayInTable(Fertiliser_SourceData.Fertiliser_Products_Data1(),FertiliserProducts[[#Headers],[Include or Exclude]], 0,4)</f>
        <v/>
      </c>
      <c r="S114" s="109" t="str" cm="1">
        <f t="array" ref="S114">Common_InputFunctions.Utility_DisplayArrayInTable(Fertiliser_SourceData.Fertiliser_Products_Data1(),FertiliserProducts[[#Headers],[Include or Exclude]], 0,4)</f>
        <v/>
      </c>
      <c r="T114" s="109" t="str" cm="1">
        <f t="array" ref="T114">Common_InputFunctions.Utility_DisplayArrayInTable(Fertiliser_SourceData.Fertiliser_Products_Data1(),FertiliserProducts[[#Headers],[Include or Exclude]], 0,4)</f>
        <v/>
      </c>
      <c r="U114" s="109" t="str" cm="1">
        <f t="array" ref="U114">Common_InputFunctions.Utility_DisplayArrayInTable(Fertiliser_SourceData.Fertiliser_Products_Data1(),FertiliserProducts[[#Headers],[Include or Exclude]], 0,4)</f>
        <v/>
      </c>
      <c r="V114" s="109" t="str" cm="1">
        <f t="array" ref="V114">Common_InputFunctions.Utility_DisplayArrayInTable(Fertiliser_SourceData.Fertiliser_Products_Data1(),FertiliserProducts[[#Headers],[Include or Exclude]], 0,4)</f>
        <v/>
      </c>
      <c r="W114" s="109" t="str" cm="1">
        <f t="array" ref="W114">Common_InputFunctions.Utility_DisplayArrayInTable(Fertiliser_SourceData.Fertiliser_Products_Data1(),FertiliserProducts[[#Headers],[Include or Exclude]], 0,4)</f>
        <v/>
      </c>
      <c r="X114" s="109" t="str" cm="1">
        <f t="array" ref="X114">Common_InputFunctions.Utility_DisplayArrayInTable(Fertiliser_SourceData.Fertiliser_Products_Data1(),FertiliserProducts[[#Headers],[Include or Exclude]], 0,4)</f>
        <v/>
      </c>
      <c r="Y114" s="109" t="str" cm="1">
        <f t="array" ref="Y114">Common_InputFunctions.Utility_DisplayArrayInTable(Fertiliser_SourceData.Fertiliser_Products_Data1(),FertiliserProducts[[#Headers],[Include or Exclude]], 0,4)</f>
        <v/>
      </c>
      <c r="Z114" s="109" t="str" cm="1">
        <f t="array" ref="Z114">Common_InputFunctions.Utility_DisplayArrayInTable(Fertiliser_SourceData.Fertiliser_Products_Data1(),FertiliserProducts[[#Headers],[Include or Exclude]], 0,4)</f>
        <v/>
      </c>
      <c r="AA114" s="109" t="str" cm="1">
        <f t="array" ref="AA114">Common_InputFunctions.Utility_DisplayArrayInTable(Fertiliser_SourceData.Fertiliser_Products_Data1(),FertiliserProducts[[#Headers],[Include or Exclude]], 0,4)</f>
        <v/>
      </c>
      <c r="AB114" s="109" t="str" cm="1">
        <f t="array" ref="AB114">Common_InputFunctions.Utility_DisplayArrayInTable(Fertiliser_SourceData.Fertiliser_Products_Data1(),FertiliserProducts[[#Headers],[Include or Exclude]], 0,4)</f>
        <v/>
      </c>
      <c r="AC114" s="109" t="str" cm="1">
        <f t="array" ref="AC114">Common_InputFunctions.Utility_DisplayArrayInTable(Fertiliser_SourceData.Fertiliser_Products_Data1(),FertiliserProducts[[#Headers],[Include or Exclude]], 0,4)</f>
        <v/>
      </c>
      <c r="AD114" s="109" t="str" cm="1">
        <f t="array" ref="AD114">Common_InputFunctions.Utility_DisplayArrayInTable(Fertiliser_SourceData.Fertiliser_Products_Data1(),FertiliserProducts[[#Headers],[Include or Exclude]], 0,4)</f>
        <v/>
      </c>
      <c r="AE114" s="109" t="str" cm="1">
        <f t="array" ref="AE114">Common_InputFunctions.Utility_DisplayArrayInTable(Fertiliser_SourceData.Fertiliser_Products_Data1(),FertiliserProducts[[#Headers],[Include or Exclude]], 0,4)</f>
        <v/>
      </c>
    </row>
    <row r="115" spans="4:31" ht="20.100000000000001" customHeight="1" x14ac:dyDescent="0.25">
      <c r="D115" s="109" t="str" cm="1">
        <f t="array" ref="D115">Common_InputFunctions.Utility_DisplayArrayInTable(Fertiliser_SourceData.Fertiliser_Products_Data1(),FertiliserProducts[[#Headers],[Include or Exclude]], -1)</f>
        <v/>
      </c>
      <c r="E115" s="109" t="str" cm="1">
        <f t="array" ref="E115">Common_InputFunctions.Utility_DisplayArrayInTable(Fertiliser_SourceData.Fertiliser_Products_Data1(),FertiliserProducts[[#Headers],[Include or Exclude]], 0)</f>
        <v/>
      </c>
      <c r="F115" s="109" t="str" cm="1">
        <f t="array" ref="F115">Common_InputFunctions.Utility_DisplayArrayInTable(Fertiliser_SourceData.Fertiliser_Products_Data1(),FertiliserProducts[[#Headers],[Include or Exclude]], 0)</f>
        <v/>
      </c>
      <c r="G115" s="109" t="str" cm="1">
        <f t="array" ref="G115">Common_InputFunctions.Utility_DisplayArrayInTable(Fertiliser_SourceData.Fertiliser_Products_Data1(),FertiliserProducts[[#Headers],[Include or Exclude]], 0)</f>
        <v/>
      </c>
      <c r="H115" s="109" t="str" cm="1">
        <f t="array" ref="H115">Common_InputFunctions.Utility_DisplayArrayInTable(Fertiliser_SourceData.Fertiliser_Products_Data1(),FertiliserProducts[[#Headers],[Include or Exclude]], 0,4)</f>
        <v/>
      </c>
      <c r="I115" s="109" t="str" cm="1">
        <f t="array" ref="I115">Common_InputFunctions.Utility_DisplayArrayInTable(Fertiliser_SourceData.Fertiliser_Products_Data1(),FertiliserProducts[[#Headers],[Include or Exclude]], 0,4)</f>
        <v/>
      </c>
      <c r="J115" s="109" t="str" cm="1">
        <f t="array" ref="J115">Common_InputFunctions.Utility_DisplayArrayInTable(Fertiliser_SourceData.Fertiliser_Products_Data1(),FertiliserProducts[[#Headers],[Include or Exclude]], 0,4)</f>
        <v/>
      </c>
      <c r="K115" s="109" t="str" cm="1">
        <f t="array" ref="K115">Common_InputFunctions.Utility_DisplayArrayInTable(Fertiliser_SourceData.Fertiliser_Products_Data1(),FertiliserProducts[[#Headers],[Include or Exclude]], 0,4)</f>
        <v/>
      </c>
      <c r="L115" s="109" t="str" cm="1">
        <f t="array" ref="L115">Common_InputFunctions.Utility_DisplayArrayInTable(Fertiliser_SourceData.Fertiliser_Products_Data1(),FertiliserProducts[[#Headers],[Include or Exclude]], 0,4)</f>
        <v/>
      </c>
      <c r="M115" s="109" t="str" cm="1">
        <f t="array" ref="M115">Common_InputFunctions.Utility_DisplayArrayInTable(Fertiliser_SourceData.Fertiliser_Products_Data1(),FertiliserProducts[[#Headers],[Include or Exclude]], 0,4)</f>
        <v/>
      </c>
      <c r="N115" s="109" t="str" cm="1">
        <f t="array" ref="N115">Common_InputFunctions.Utility_DisplayArrayInTable(Fertiliser_SourceData.Fertiliser_Products_Data1(),FertiliserProducts[[#Headers],[Include or Exclude]], 0,4)</f>
        <v/>
      </c>
      <c r="O115" s="109" t="str" cm="1">
        <f t="array" ref="O115">Common_InputFunctions.Utility_DisplayArrayInTable(Fertiliser_SourceData.Fertiliser_Products_Data1(),FertiliserProducts[[#Headers],[Include or Exclude]], 0,4)</f>
        <v/>
      </c>
      <c r="P115" s="109" t="str" cm="1">
        <f t="array" ref="P115">Common_InputFunctions.Utility_DisplayArrayInTable(Fertiliser_SourceData.Fertiliser_Products_Data1(),FertiliserProducts[[#Headers],[Include or Exclude]], 0,4)</f>
        <v/>
      </c>
      <c r="Q115" s="109" t="str" cm="1">
        <f t="array" ref="Q115">Common_InputFunctions.Utility_DisplayArrayInTable(Fertiliser_SourceData.Fertiliser_Products_Data1(),FertiliserProducts[[#Headers],[Include or Exclude]], 0,4)</f>
        <v/>
      </c>
      <c r="R115" s="109" t="str" cm="1">
        <f t="array" ref="R115">Common_InputFunctions.Utility_DisplayArrayInTable(Fertiliser_SourceData.Fertiliser_Products_Data1(),FertiliserProducts[[#Headers],[Include or Exclude]], 0,4)</f>
        <v/>
      </c>
      <c r="S115" s="109" t="str" cm="1">
        <f t="array" ref="S115">Common_InputFunctions.Utility_DisplayArrayInTable(Fertiliser_SourceData.Fertiliser_Products_Data1(),FertiliserProducts[[#Headers],[Include or Exclude]], 0,4)</f>
        <v/>
      </c>
      <c r="T115" s="109" t="str" cm="1">
        <f t="array" ref="T115">Common_InputFunctions.Utility_DisplayArrayInTable(Fertiliser_SourceData.Fertiliser_Products_Data1(),FertiliserProducts[[#Headers],[Include or Exclude]], 0,4)</f>
        <v/>
      </c>
      <c r="U115" s="109" t="str" cm="1">
        <f t="array" ref="U115">Common_InputFunctions.Utility_DisplayArrayInTable(Fertiliser_SourceData.Fertiliser_Products_Data1(),FertiliserProducts[[#Headers],[Include or Exclude]], 0,4)</f>
        <v/>
      </c>
      <c r="V115" s="109" t="str" cm="1">
        <f t="array" ref="V115">Common_InputFunctions.Utility_DisplayArrayInTable(Fertiliser_SourceData.Fertiliser_Products_Data1(),FertiliserProducts[[#Headers],[Include or Exclude]], 0,4)</f>
        <v/>
      </c>
      <c r="W115" s="109" t="str" cm="1">
        <f t="array" ref="W115">Common_InputFunctions.Utility_DisplayArrayInTable(Fertiliser_SourceData.Fertiliser_Products_Data1(),FertiliserProducts[[#Headers],[Include or Exclude]], 0,4)</f>
        <v/>
      </c>
      <c r="X115" s="109" t="str" cm="1">
        <f t="array" ref="X115">Common_InputFunctions.Utility_DisplayArrayInTable(Fertiliser_SourceData.Fertiliser_Products_Data1(),FertiliserProducts[[#Headers],[Include or Exclude]], 0,4)</f>
        <v/>
      </c>
      <c r="Y115" s="109" t="str" cm="1">
        <f t="array" ref="Y115">Common_InputFunctions.Utility_DisplayArrayInTable(Fertiliser_SourceData.Fertiliser_Products_Data1(),FertiliserProducts[[#Headers],[Include or Exclude]], 0,4)</f>
        <v/>
      </c>
      <c r="Z115" s="109" t="str" cm="1">
        <f t="array" ref="Z115">Common_InputFunctions.Utility_DisplayArrayInTable(Fertiliser_SourceData.Fertiliser_Products_Data1(),FertiliserProducts[[#Headers],[Include or Exclude]], 0,4)</f>
        <v/>
      </c>
      <c r="AA115" s="109" t="str" cm="1">
        <f t="array" ref="AA115">Common_InputFunctions.Utility_DisplayArrayInTable(Fertiliser_SourceData.Fertiliser_Products_Data1(),FertiliserProducts[[#Headers],[Include or Exclude]], 0,4)</f>
        <v/>
      </c>
      <c r="AB115" s="109" t="str" cm="1">
        <f t="array" ref="AB115">Common_InputFunctions.Utility_DisplayArrayInTable(Fertiliser_SourceData.Fertiliser_Products_Data1(),FertiliserProducts[[#Headers],[Include or Exclude]], 0,4)</f>
        <v/>
      </c>
      <c r="AC115" s="109" t="str" cm="1">
        <f t="array" ref="AC115">Common_InputFunctions.Utility_DisplayArrayInTable(Fertiliser_SourceData.Fertiliser_Products_Data1(),FertiliserProducts[[#Headers],[Include or Exclude]], 0,4)</f>
        <v/>
      </c>
      <c r="AD115" s="109" t="str" cm="1">
        <f t="array" ref="AD115">Common_InputFunctions.Utility_DisplayArrayInTable(Fertiliser_SourceData.Fertiliser_Products_Data1(),FertiliserProducts[[#Headers],[Include or Exclude]], 0,4)</f>
        <v/>
      </c>
      <c r="AE115" s="109" t="str" cm="1">
        <f t="array" ref="AE115">Common_InputFunctions.Utility_DisplayArrayInTable(Fertiliser_SourceData.Fertiliser_Products_Data1(),FertiliserProducts[[#Headers],[Include or Exclude]], 0,4)</f>
        <v/>
      </c>
    </row>
    <row r="116" spans="4:31" ht="20.100000000000001" customHeight="1" x14ac:dyDescent="0.25">
      <c r="D116" s="109" t="str" cm="1">
        <f t="array" ref="D116">Common_InputFunctions.Utility_DisplayArrayInTable(Fertiliser_SourceData.Fertiliser_Products_Data1(),FertiliserProducts[[#Headers],[Include or Exclude]], -1)</f>
        <v/>
      </c>
      <c r="E116" s="109" t="str" cm="1">
        <f t="array" ref="E116">Common_InputFunctions.Utility_DisplayArrayInTable(Fertiliser_SourceData.Fertiliser_Products_Data1(),FertiliserProducts[[#Headers],[Include or Exclude]], 0)</f>
        <v/>
      </c>
      <c r="F116" s="109" t="str" cm="1">
        <f t="array" ref="F116">Common_InputFunctions.Utility_DisplayArrayInTable(Fertiliser_SourceData.Fertiliser_Products_Data1(),FertiliserProducts[[#Headers],[Include or Exclude]], 0)</f>
        <v/>
      </c>
      <c r="G116" s="109" t="str" cm="1">
        <f t="array" ref="G116">Common_InputFunctions.Utility_DisplayArrayInTable(Fertiliser_SourceData.Fertiliser_Products_Data1(),FertiliserProducts[[#Headers],[Include or Exclude]], 0)</f>
        <v/>
      </c>
      <c r="H116" s="109" t="str" cm="1">
        <f t="array" ref="H116">Common_InputFunctions.Utility_DisplayArrayInTable(Fertiliser_SourceData.Fertiliser_Products_Data1(),FertiliserProducts[[#Headers],[Include or Exclude]], 0,4)</f>
        <v/>
      </c>
      <c r="I116" s="109" t="str" cm="1">
        <f t="array" ref="I116">Common_InputFunctions.Utility_DisplayArrayInTable(Fertiliser_SourceData.Fertiliser_Products_Data1(),FertiliserProducts[[#Headers],[Include or Exclude]], 0,4)</f>
        <v/>
      </c>
      <c r="J116" s="109" t="str" cm="1">
        <f t="array" ref="J116">Common_InputFunctions.Utility_DisplayArrayInTable(Fertiliser_SourceData.Fertiliser_Products_Data1(),FertiliserProducts[[#Headers],[Include or Exclude]], 0,4)</f>
        <v/>
      </c>
      <c r="K116" s="109" t="str" cm="1">
        <f t="array" ref="K116">Common_InputFunctions.Utility_DisplayArrayInTable(Fertiliser_SourceData.Fertiliser_Products_Data1(),FertiliserProducts[[#Headers],[Include or Exclude]], 0,4)</f>
        <v/>
      </c>
      <c r="L116" s="109" t="str" cm="1">
        <f t="array" ref="L116">Common_InputFunctions.Utility_DisplayArrayInTable(Fertiliser_SourceData.Fertiliser_Products_Data1(),FertiliserProducts[[#Headers],[Include or Exclude]], 0,4)</f>
        <v/>
      </c>
      <c r="M116" s="109" t="str" cm="1">
        <f t="array" ref="M116">Common_InputFunctions.Utility_DisplayArrayInTable(Fertiliser_SourceData.Fertiliser_Products_Data1(),FertiliserProducts[[#Headers],[Include or Exclude]], 0,4)</f>
        <v/>
      </c>
      <c r="N116" s="109" t="str" cm="1">
        <f t="array" ref="N116">Common_InputFunctions.Utility_DisplayArrayInTable(Fertiliser_SourceData.Fertiliser_Products_Data1(),FertiliserProducts[[#Headers],[Include or Exclude]], 0,4)</f>
        <v/>
      </c>
      <c r="O116" s="109" t="str" cm="1">
        <f t="array" ref="O116">Common_InputFunctions.Utility_DisplayArrayInTable(Fertiliser_SourceData.Fertiliser_Products_Data1(),FertiliserProducts[[#Headers],[Include or Exclude]], 0,4)</f>
        <v/>
      </c>
      <c r="P116" s="109" t="str" cm="1">
        <f t="array" ref="P116">Common_InputFunctions.Utility_DisplayArrayInTable(Fertiliser_SourceData.Fertiliser_Products_Data1(),FertiliserProducts[[#Headers],[Include or Exclude]], 0,4)</f>
        <v/>
      </c>
      <c r="Q116" s="109" t="str" cm="1">
        <f t="array" ref="Q116">Common_InputFunctions.Utility_DisplayArrayInTable(Fertiliser_SourceData.Fertiliser_Products_Data1(),FertiliserProducts[[#Headers],[Include or Exclude]], 0,4)</f>
        <v/>
      </c>
      <c r="R116" s="109" t="str" cm="1">
        <f t="array" ref="R116">Common_InputFunctions.Utility_DisplayArrayInTable(Fertiliser_SourceData.Fertiliser_Products_Data1(),FertiliserProducts[[#Headers],[Include or Exclude]], 0,4)</f>
        <v/>
      </c>
      <c r="S116" s="109" t="str" cm="1">
        <f t="array" ref="S116">Common_InputFunctions.Utility_DisplayArrayInTable(Fertiliser_SourceData.Fertiliser_Products_Data1(),FertiliserProducts[[#Headers],[Include or Exclude]], 0,4)</f>
        <v/>
      </c>
      <c r="T116" s="109" t="str" cm="1">
        <f t="array" ref="T116">Common_InputFunctions.Utility_DisplayArrayInTable(Fertiliser_SourceData.Fertiliser_Products_Data1(),FertiliserProducts[[#Headers],[Include or Exclude]], 0,4)</f>
        <v/>
      </c>
      <c r="U116" s="109" t="str" cm="1">
        <f t="array" ref="U116">Common_InputFunctions.Utility_DisplayArrayInTable(Fertiliser_SourceData.Fertiliser_Products_Data1(),FertiliserProducts[[#Headers],[Include or Exclude]], 0,4)</f>
        <v/>
      </c>
      <c r="V116" s="109" t="str" cm="1">
        <f t="array" ref="V116">Common_InputFunctions.Utility_DisplayArrayInTable(Fertiliser_SourceData.Fertiliser_Products_Data1(),FertiliserProducts[[#Headers],[Include or Exclude]], 0,4)</f>
        <v/>
      </c>
      <c r="W116" s="109" t="str" cm="1">
        <f t="array" ref="W116">Common_InputFunctions.Utility_DisplayArrayInTable(Fertiliser_SourceData.Fertiliser_Products_Data1(),FertiliserProducts[[#Headers],[Include or Exclude]], 0,4)</f>
        <v/>
      </c>
      <c r="X116" s="109" t="str" cm="1">
        <f t="array" ref="X116">Common_InputFunctions.Utility_DisplayArrayInTable(Fertiliser_SourceData.Fertiliser_Products_Data1(),FertiliserProducts[[#Headers],[Include or Exclude]], 0,4)</f>
        <v/>
      </c>
      <c r="Y116" s="109" t="str" cm="1">
        <f t="array" ref="Y116">Common_InputFunctions.Utility_DisplayArrayInTable(Fertiliser_SourceData.Fertiliser_Products_Data1(),FertiliserProducts[[#Headers],[Include or Exclude]], 0,4)</f>
        <v/>
      </c>
      <c r="Z116" s="109" t="str" cm="1">
        <f t="array" ref="Z116">Common_InputFunctions.Utility_DisplayArrayInTable(Fertiliser_SourceData.Fertiliser_Products_Data1(),FertiliserProducts[[#Headers],[Include or Exclude]], 0,4)</f>
        <v/>
      </c>
      <c r="AA116" s="109" t="str" cm="1">
        <f t="array" ref="AA116">Common_InputFunctions.Utility_DisplayArrayInTable(Fertiliser_SourceData.Fertiliser_Products_Data1(),FertiliserProducts[[#Headers],[Include or Exclude]], 0,4)</f>
        <v/>
      </c>
      <c r="AB116" s="109" t="str" cm="1">
        <f t="array" ref="AB116">Common_InputFunctions.Utility_DisplayArrayInTable(Fertiliser_SourceData.Fertiliser_Products_Data1(),FertiliserProducts[[#Headers],[Include or Exclude]], 0,4)</f>
        <v/>
      </c>
      <c r="AC116" s="109" t="str" cm="1">
        <f t="array" ref="AC116">Common_InputFunctions.Utility_DisplayArrayInTable(Fertiliser_SourceData.Fertiliser_Products_Data1(),FertiliserProducts[[#Headers],[Include or Exclude]], 0,4)</f>
        <v/>
      </c>
      <c r="AD116" s="109" t="str" cm="1">
        <f t="array" ref="AD116">Common_InputFunctions.Utility_DisplayArrayInTable(Fertiliser_SourceData.Fertiliser_Products_Data1(),FertiliserProducts[[#Headers],[Include or Exclude]], 0,4)</f>
        <v/>
      </c>
      <c r="AE116" s="109" t="str" cm="1">
        <f t="array" ref="AE116">Common_InputFunctions.Utility_DisplayArrayInTable(Fertiliser_SourceData.Fertiliser_Products_Data1(),FertiliserProducts[[#Headers],[Include or Exclude]], 0,4)</f>
        <v/>
      </c>
    </row>
    <row r="117" spans="4:31" ht="20.100000000000001" customHeight="1" x14ac:dyDescent="0.25">
      <c r="D117" s="109" t="str" cm="1">
        <f t="array" ref="D117">Common_InputFunctions.Utility_DisplayArrayInTable(Fertiliser_SourceData.Fertiliser_Products_Data1(),FertiliserProducts[[#Headers],[Include or Exclude]], -1)</f>
        <v/>
      </c>
      <c r="E117" s="109" t="str" cm="1">
        <f t="array" ref="E117">Common_InputFunctions.Utility_DisplayArrayInTable(Fertiliser_SourceData.Fertiliser_Products_Data1(),FertiliserProducts[[#Headers],[Include or Exclude]], 0)</f>
        <v/>
      </c>
      <c r="F117" s="109" t="str" cm="1">
        <f t="array" ref="F117">Common_InputFunctions.Utility_DisplayArrayInTable(Fertiliser_SourceData.Fertiliser_Products_Data1(),FertiliserProducts[[#Headers],[Include or Exclude]], 0)</f>
        <v/>
      </c>
      <c r="G117" s="109" t="str" cm="1">
        <f t="array" ref="G117">Common_InputFunctions.Utility_DisplayArrayInTable(Fertiliser_SourceData.Fertiliser_Products_Data1(),FertiliserProducts[[#Headers],[Include or Exclude]], 0)</f>
        <v/>
      </c>
      <c r="H117" s="109" t="str" cm="1">
        <f t="array" ref="H117">Common_InputFunctions.Utility_DisplayArrayInTable(Fertiliser_SourceData.Fertiliser_Products_Data1(),FertiliserProducts[[#Headers],[Include or Exclude]], 0,4)</f>
        <v/>
      </c>
      <c r="I117" s="109" t="str" cm="1">
        <f t="array" ref="I117">Common_InputFunctions.Utility_DisplayArrayInTable(Fertiliser_SourceData.Fertiliser_Products_Data1(),FertiliserProducts[[#Headers],[Include or Exclude]], 0,4)</f>
        <v/>
      </c>
      <c r="J117" s="109" t="str" cm="1">
        <f t="array" ref="J117">Common_InputFunctions.Utility_DisplayArrayInTable(Fertiliser_SourceData.Fertiliser_Products_Data1(),FertiliserProducts[[#Headers],[Include or Exclude]], 0,4)</f>
        <v/>
      </c>
      <c r="K117" s="109" t="str" cm="1">
        <f t="array" ref="K117">Common_InputFunctions.Utility_DisplayArrayInTable(Fertiliser_SourceData.Fertiliser_Products_Data1(),FertiliserProducts[[#Headers],[Include or Exclude]], 0,4)</f>
        <v/>
      </c>
      <c r="L117" s="109" t="str" cm="1">
        <f t="array" ref="L117">Common_InputFunctions.Utility_DisplayArrayInTable(Fertiliser_SourceData.Fertiliser_Products_Data1(),FertiliserProducts[[#Headers],[Include or Exclude]], 0,4)</f>
        <v/>
      </c>
      <c r="M117" s="109" t="str" cm="1">
        <f t="array" ref="M117">Common_InputFunctions.Utility_DisplayArrayInTable(Fertiliser_SourceData.Fertiliser_Products_Data1(),FertiliserProducts[[#Headers],[Include or Exclude]], 0,4)</f>
        <v/>
      </c>
      <c r="N117" s="109" t="str" cm="1">
        <f t="array" ref="N117">Common_InputFunctions.Utility_DisplayArrayInTable(Fertiliser_SourceData.Fertiliser_Products_Data1(),FertiliserProducts[[#Headers],[Include or Exclude]], 0,4)</f>
        <v/>
      </c>
      <c r="O117" s="109" t="str" cm="1">
        <f t="array" ref="O117">Common_InputFunctions.Utility_DisplayArrayInTable(Fertiliser_SourceData.Fertiliser_Products_Data1(),FertiliserProducts[[#Headers],[Include or Exclude]], 0,4)</f>
        <v/>
      </c>
      <c r="P117" s="109" t="str" cm="1">
        <f t="array" ref="P117">Common_InputFunctions.Utility_DisplayArrayInTable(Fertiliser_SourceData.Fertiliser_Products_Data1(),FertiliserProducts[[#Headers],[Include or Exclude]], 0,4)</f>
        <v/>
      </c>
      <c r="Q117" s="109" t="str" cm="1">
        <f t="array" ref="Q117">Common_InputFunctions.Utility_DisplayArrayInTable(Fertiliser_SourceData.Fertiliser_Products_Data1(),FertiliserProducts[[#Headers],[Include or Exclude]], 0,4)</f>
        <v/>
      </c>
      <c r="R117" s="109" t="str" cm="1">
        <f t="array" ref="R117">Common_InputFunctions.Utility_DisplayArrayInTable(Fertiliser_SourceData.Fertiliser_Products_Data1(),FertiliserProducts[[#Headers],[Include or Exclude]], 0,4)</f>
        <v/>
      </c>
      <c r="S117" s="109" t="str" cm="1">
        <f t="array" ref="S117">Common_InputFunctions.Utility_DisplayArrayInTable(Fertiliser_SourceData.Fertiliser_Products_Data1(),FertiliserProducts[[#Headers],[Include or Exclude]], 0,4)</f>
        <v/>
      </c>
      <c r="T117" s="109" t="str" cm="1">
        <f t="array" ref="T117">Common_InputFunctions.Utility_DisplayArrayInTable(Fertiliser_SourceData.Fertiliser_Products_Data1(),FertiliserProducts[[#Headers],[Include or Exclude]], 0,4)</f>
        <v/>
      </c>
      <c r="U117" s="109" t="str" cm="1">
        <f t="array" ref="U117">Common_InputFunctions.Utility_DisplayArrayInTable(Fertiliser_SourceData.Fertiliser_Products_Data1(),FertiliserProducts[[#Headers],[Include or Exclude]], 0,4)</f>
        <v/>
      </c>
      <c r="V117" s="109" t="str" cm="1">
        <f t="array" ref="V117">Common_InputFunctions.Utility_DisplayArrayInTable(Fertiliser_SourceData.Fertiliser_Products_Data1(),FertiliserProducts[[#Headers],[Include or Exclude]], 0,4)</f>
        <v/>
      </c>
      <c r="W117" s="109" t="str" cm="1">
        <f t="array" ref="W117">Common_InputFunctions.Utility_DisplayArrayInTable(Fertiliser_SourceData.Fertiliser_Products_Data1(),FertiliserProducts[[#Headers],[Include or Exclude]], 0,4)</f>
        <v/>
      </c>
      <c r="X117" s="109" t="str" cm="1">
        <f t="array" ref="X117">Common_InputFunctions.Utility_DisplayArrayInTable(Fertiliser_SourceData.Fertiliser_Products_Data1(),FertiliserProducts[[#Headers],[Include or Exclude]], 0,4)</f>
        <v/>
      </c>
      <c r="Y117" s="109" t="str" cm="1">
        <f t="array" ref="Y117">Common_InputFunctions.Utility_DisplayArrayInTable(Fertiliser_SourceData.Fertiliser_Products_Data1(),FertiliserProducts[[#Headers],[Include or Exclude]], 0,4)</f>
        <v/>
      </c>
      <c r="Z117" s="109" t="str" cm="1">
        <f t="array" ref="Z117">Common_InputFunctions.Utility_DisplayArrayInTable(Fertiliser_SourceData.Fertiliser_Products_Data1(),FertiliserProducts[[#Headers],[Include or Exclude]], 0,4)</f>
        <v/>
      </c>
      <c r="AA117" s="109" t="str" cm="1">
        <f t="array" ref="AA117">Common_InputFunctions.Utility_DisplayArrayInTable(Fertiliser_SourceData.Fertiliser_Products_Data1(),FertiliserProducts[[#Headers],[Include or Exclude]], 0,4)</f>
        <v/>
      </c>
      <c r="AB117" s="109" t="str" cm="1">
        <f t="array" ref="AB117">Common_InputFunctions.Utility_DisplayArrayInTable(Fertiliser_SourceData.Fertiliser_Products_Data1(),FertiliserProducts[[#Headers],[Include or Exclude]], 0,4)</f>
        <v/>
      </c>
      <c r="AC117" s="109" t="str" cm="1">
        <f t="array" ref="AC117">Common_InputFunctions.Utility_DisplayArrayInTable(Fertiliser_SourceData.Fertiliser_Products_Data1(),FertiliserProducts[[#Headers],[Include or Exclude]], 0,4)</f>
        <v/>
      </c>
      <c r="AD117" s="109" t="str" cm="1">
        <f t="array" ref="AD117">Common_InputFunctions.Utility_DisplayArrayInTable(Fertiliser_SourceData.Fertiliser_Products_Data1(),FertiliserProducts[[#Headers],[Include or Exclude]], 0,4)</f>
        <v/>
      </c>
      <c r="AE117" s="109" t="str" cm="1">
        <f t="array" ref="AE117">Common_InputFunctions.Utility_DisplayArrayInTable(Fertiliser_SourceData.Fertiliser_Products_Data1(),FertiliserProducts[[#Headers],[Include or Exclude]], 0,4)</f>
        <v/>
      </c>
    </row>
    <row r="118" spans="4:31" ht="20.100000000000001" customHeight="1" x14ac:dyDescent="0.25">
      <c r="D118" s="109" t="str" cm="1">
        <f t="array" ref="D118">Common_InputFunctions.Utility_DisplayArrayInTable(Fertiliser_SourceData.Fertiliser_Products_Data1(),FertiliserProducts[[#Headers],[Include or Exclude]], -1)</f>
        <v/>
      </c>
      <c r="E118" s="109" t="str" cm="1">
        <f t="array" ref="E118">Common_InputFunctions.Utility_DisplayArrayInTable(Fertiliser_SourceData.Fertiliser_Products_Data1(),FertiliserProducts[[#Headers],[Include or Exclude]], 0)</f>
        <v/>
      </c>
      <c r="F118" s="109" t="str" cm="1">
        <f t="array" ref="F118">Common_InputFunctions.Utility_DisplayArrayInTable(Fertiliser_SourceData.Fertiliser_Products_Data1(),FertiliserProducts[[#Headers],[Include or Exclude]], 0)</f>
        <v/>
      </c>
      <c r="G118" s="109" t="str" cm="1">
        <f t="array" ref="G118">Common_InputFunctions.Utility_DisplayArrayInTable(Fertiliser_SourceData.Fertiliser_Products_Data1(),FertiliserProducts[[#Headers],[Include or Exclude]], 0)</f>
        <v/>
      </c>
      <c r="H118" s="109" t="str" cm="1">
        <f t="array" ref="H118">Common_InputFunctions.Utility_DisplayArrayInTable(Fertiliser_SourceData.Fertiliser_Products_Data1(),FertiliserProducts[[#Headers],[Include or Exclude]], 0,4)</f>
        <v/>
      </c>
      <c r="I118" s="109" t="str" cm="1">
        <f t="array" ref="I118">Common_InputFunctions.Utility_DisplayArrayInTable(Fertiliser_SourceData.Fertiliser_Products_Data1(),FertiliserProducts[[#Headers],[Include or Exclude]], 0,4)</f>
        <v/>
      </c>
      <c r="J118" s="109" t="str" cm="1">
        <f t="array" ref="J118">Common_InputFunctions.Utility_DisplayArrayInTable(Fertiliser_SourceData.Fertiliser_Products_Data1(),FertiliserProducts[[#Headers],[Include or Exclude]], 0,4)</f>
        <v/>
      </c>
      <c r="K118" s="109" t="str" cm="1">
        <f t="array" ref="K118">Common_InputFunctions.Utility_DisplayArrayInTable(Fertiliser_SourceData.Fertiliser_Products_Data1(),FertiliserProducts[[#Headers],[Include or Exclude]], 0,4)</f>
        <v/>
      </c>
      <c r="L118" s="109" t="str" cm="1">
        <f t="array" ref="L118">Common_InputFunctions.Utility_DisplayArrayInTable(Fertiliser_SourceData.Fertiliser_Products_Data1(),FertiliserProducts[[#Headers],[Include or Exclude]], 0,4)</f>
        <v/>
      </c>
      <c r="M118" s="109" t="str" cm="1">
        <f t="array" ref="M118">Common_InputFunctions.Utility_DisplayArrayInTable(Fertiliser_SourceData.Fertiliser_Products_Data1(),FertiliserProducts[[#Headers],[Include or Exclude]], 0,4)</f>
        <v/>
      </c>
      <c r="N118" s="109" t="str" cm="1">
        <f t="array" ref="N118">Common_InputFunctions.Utility_DisplayArrayInTable(Fertiliser_SourceData.Fertiliser_Products_Data1(),FertiliserProducts[[#Headers],[Include or Exclude]], 0,4)</f>
        <v/>
      </c>
      <c r="O118" s="109" t="str" cm="1">
        <f t="array" ref="O118">Common_InputFunctions.Utility_DisplayArrayInTable(Fertiliser_SourceData.Fertiliser_Products_Data1(),FertiliserProducts[[#Headers],[Include or Exclude]], 0,4)</f>
        <v/>
      </c>
      <c r="P118" s="109" t="str" cm="1">
        <f t="array" ref="P118">Common_InputFunctions.Utility_DisplayArrayInTable(Fertiliser_SourceData.Fertiliser_Products_Data1(),FertiliserProducts[[#Headers],[Include or Exclude]], 0,4)</f>
        <v/>
      </c>
      <c r="Q118" s="109" t="str" cm="1">
        <f t="array" ref="Q118">Common_InputFunctions.Utility_DisplayArrayInTable(Fertiliser_SourceData.Fertiliser_Products_Data1(),FertiliserProducts[[#Headers],[Include or Exclude]], 0,4)</f>
        <v/>
      </c>
      <c r="R118" s="109" t="str" cm="1">
        <f t="array" ref="R118">Common_InputFunctions.Utility_DisplayArrayInTable(Fertiliser_SourceData.Fertiliser_Products_Data1(),FertiliserProducts[[#Headers],[Include or Exclude]], 0,4)</f>
        <v/>
      </c>
      <c r="S118" s="109" t="str" cm="1">
        <f t="array" ref="S118">Common_InputFunctions.Utility_DisplayArrayInTable(Fertiliser_SourceData.Fertiliser_Products_Data1(),FertiliserProducts[[#Headers],[Include or Exclude]], 0,4)</f>
        <v/>
      </c>
      <c r="T118" s="109" t="str" cm="1">
        <f t="array" ref="T118">Common_InputFunctions.Utility_DisplayArrayInTable(Fertiliser_SourceData.Fertiliser_Products_Data1(),FertiliserProducts[[#Headers],[Include or Exclude]], 0,4)</f>
        <v/>
      </c>
      <c r="U118" s="109" t="str" cm="1">
        <f t="array" ref="U118">Common_InputFunctions.Utility_DisplayArrayInTable(Fertiliser_SourceData.Fertiliser_Products_Data1(),FertiliserProducts[[#Headers],[Include or Exclude]], 0,4)</f>
        <v/>
      </c>
      <c r="V118" s="109" t="str" cm="1">
        <f t="array" ref="V118">Common_InputFunctions.Utility_DisplayArrayInTable(Fertiliser_SourceData.Fertiliser_Products_Data1(),FertiliserProducts[[#Headers],[Include or Exclude]], 0,4)</f>
        <v/>
      </c>
      <c r="W118" s="109" t="str" cm="1">
        <f t="array" ref="W118">Common_InputFunctions.Utility_DisplayArrayInTable(Fertiliser_SourceData.Fertiliser_Products_Data1(),FertiliserProducts[[#Headers],[Include or Exclude]], 0,4)</f>
        <v/>
      </c>
      <c r="X118" s="109" t="str" cm="1">
        <f t="array" ref="X118">Common_InputFunctions.Utility_DisplayArrayInTable(Fertiliser_SourceData.Fertiliser_Products_Data1(),FertiliserProducts[[#Headers],[Include or Exclude]], 0,4)</f>
        <v/>
      </c>
      <c r="Y118" s="109" t="str" cm="1">
        <f t="array" ref="Y118">Common_InputFunctions.Utility_DisplayArrayInTable(Fertiliser_SourceData.Fertiliser_Products_Data1(),FertiliserProducts[[#Headers],[Include or Exclude]], 0,4)</f>
        <v/>
      </c>
      <c r="Z118" s="109" t="str" cm="1">
        <f t="array" ref="Z118">Common_InputFunctions.Utility_DisplayArrayInTable(Fertiliser_SourceData.Fertiliser_Products_Data1(),FertiliserProducts[[#Headers],[Include or Exclude]], 0,4)</f>
        <v/>
      </c>
      <c r="AA118" s="109" t="str" cm="1">
        <f t="array" ref="AA118">Common_InputFunctions.Utility_DisplayArrayInTable(Fertiliser_SourceData.Fertiliser_Products_Data1(),FertiliserProducts[[#Headers],[Include or Exclude]], 0,4)</f>
        <v/>
      </c>
      <c r="AB118" s="109" t="str" cm="1">
        <f t="array" ref="AB118">Common_InputFunctions.Utility_DisplayArrayInTable(Fertiliser_SourceData.Fertiliser_Products_Data1(),FertiliserProducts[[#Headers],[Include or Exclude]], 0,4)</f>
        <v/>
      </c>
      <c r="AC118" s="109" t="str" cm="1">
        <f t="array" ref="AC118">Common_InputFunctions.Utility_DisplayArrayInTable(Fertiliser_SourceData.Fertiliser_Products_Data1(),FertiliserProducts[[#Headers],[Include or Exclude]], 0,4)</f>
        <v/>
      </c>
      <c r="AD118" s="109" t="str" cm="1">
        <f t="array" ref="AD118">Common_InputFunctions.Utility_DisplayArrayInTable(Fertiliser_SourceData.Fertiliser_Products_Data1(),FertiliserProducts[[#Headers],[Include or Exclude]], 0,4)</f>
        <v/>
      </c>
      <c r="AE118" s="109" t="str" cm="1">
        <f t="array" ref="AE118">Common_InputFunctions.Utility_DisplayArrayInTable(Fertiliser_SourceData.Fertiliser_Products_Data1(),FertiliserProducts[[#Headers],[Include or Exclude]], 0,4)</f>
        <v/>
      </c>
    </row>
    <row r="119" spans="4:31" ht="20.100000000000001" customHeight="1" x14ac:dyDescent="0.25">
      <c r="D119" s="109" t="str" cm="1">
        <f t="array" ref="D119">Common_InputFunctions.Utility_DisplayArrayInTable(Fertiliser_SourceData.Fertiliser_Products_Data1(),FertiliserProducts[[#Headers],[Include or Exclude]], -1)</f>
        <v/>
      </c>
      <c r="E119" s="109" t="str" cm="1">
        <f t="array" ref="E119">Common_InputFunctions.Utility_DisplayArrayInTable(Fertiliser_SourceData.Fertiliser_Products_Data1(),FertiliserProducts[[#Headers],[Include or Exclude]], 0)</f>
        <v/>
      </c>
      <c r="F119" s="109" t="str" cm="1">
        <f t="array" ref="F119">Common_InputFunctions.Utility_DisplayArrayInTable(Fertiliser_SourceData.Fertiliser_Products_Data1(),FertiliserProducts[[#Headers],[Include or Exclude]], 0)</f>
        <v/>
      </c>
      <c r="G119" s="109" t="str" cm="1">
        <f t="array" ref="G119">Common_InputFunctions.Utility_DisplayArrayInTable(Fertiliser_SourceData.Fertiliser_Products_Data1(),FertiliserProducts[[#Headers],[Include or Exclude]], 0)</f>
        <v/>
      </c>
      <c r="H119" s="109" t="str" cm="1">
        <f t="array" ref="H119">Common_InputFunctions.Utility_DisplayArrayInTable(Fertiliser_SourceData.Fertiliser_Products_Data1(),FertiliserProducts[[#Headers],[Include or Exclude]], 0,4)</f>
        <v/>
      </c>
      <c r="I119" s="109" t="str" cm="1">
        <f t="array" ref="I119">Common_InputFunctions.Utility_DisplayArrayInTable(Fertiliser_SourceData.Fertiliser_Products_Data1(),FertiliserProducts[[#Headers],[Include or Exclude]], 0,4)</f>
        <v/>
      </c>
      <c r="J119" s="109" t="str" cm="1">
        <f t="array" ref="J119">Common_InputFunctions.Utility_DisplayArrayInTable(Fertiliser_SourceData.Fertiliser_Products_Data1(),FertiliserProducts[[#Headers],[Include or Exclude]], 0,4)</f>
        <v/>
      </c>
      <c r="K119" s="109" t="str" cm="1">
        <f t="array" ref="K119">Common_InputFunctions.Utility_DisplayArrayInTable(Fertiliser_SourceData.Fertiliser_Products_Data1(),FertiliserProducts[[#Headers],[Include or Exclude]], 0,4)</f>
        <v/>
      </c>
      <c r="L119" s="109" t="str" cm="1">
        <f t="array" ref="L119">Common_InputFunctions.Utility_DisplayArrayInTable(Fertiliser_SourceData.Fertiliser_Products_Data1(),FertiliserProducts[[#Headers],[Include or Exclude]], 0,4)</f>
        <v/>
      </c>
      <c r="M119" s="109" t="str" cm="1">
        <f t="array" ref="M119">Common_InputFunctions.Utility_DisplayArrayInTable(Fertiliser_SourceData.Fertiliser_Products_Data1(),FertiliserProducts[[#Headers],[Include or Exclude]], 0,4)</f>
        <v/>
      </c>
      <c r="N119" s="109" t="str" cm="1">
        <f t="array" ref="N119">Common_InputFunctions.Utility_DisplayArrayInTable(Fertiliser_SourceData.Fertiliser_Products_Data1(),FertiliserProducts[[#Headers],[Include or Exclude]], 0,4)</f>
        <v/>
      </c>
      <c r="O119" s="109" t="str" cm="1">
        <f t="array" ref="O119">Common_InputFunctions.Utility_DisplayArrayInTable(Fertiliser_SourceData.Fertiliser_Products_Data1(),FertiliserProducts[[#Headers],[Include or Exclude]], 0,4)</f>
        <v/>
      </c>
      <c r="P119" s="109" t="str" cm="1">
        <f t="array" ref="P119">Common_InputFunctions.Utility_DisplayArrayInTable(Fertiliser_SourceData.Fertiliser_Products_Data1(),FertiliserProducts[[#Headers],[Include or Exclude]], 0,4)</f>
        <v/>
      </c>
      <c r="Q119" s="109" t="str" cm="1">
        <f t="array" ref="Q119">Common_InputFunctions.Utility_DisplayArrayInTable(Fertiliser_SourceData.Fertiliser_Products_Data1(),FertiliserProducts[[#Headers],[Include or Exclude]], 0,4)</f>
        <v/>
      </c>
      <c r="R119" s="109" t="str" cm="1">
        <f t="array" ref="R119">Common_InputFunctions.Utility_DisplayArrayInTable(Fertiliser_SourceData.Fertiliser_Products_Data1(),FertiliserProducts[[#Headers],[Include or Exclude]], 0,4)</f>
        <v/>
      </c>
      <c r="S119" s="109" t="str" cm="1">
        <f t="array" ref="S119">Common_InputFunctions.Utility_DisplayArrayInTable(Fertiliser_SourceData.Fertiliser_Products_Data1(),FertiliserProducts[[#Headers],[Include or Exclude]], 0,4)</f>
        <v/>
      </c>
      <c r="T119" s="109" t="str" cm="1">
        <f t="array" ref="T119">Common_InputFunctions.Utility_DisplayArrayInTable(Fertiliser_SourceData.Fertiliser_Products_Data1(),FertiliserProducts[[#Headers],[Include or Exclude]], 0,4)</f>
        <v/>
      </c>
      <c r="U119" s="109" t="str" cm="1">
        <f t="array" ref="U119">Common_InputFunctions.Utility_DisplayArrayInTable(Fertiliser_SourceData.Fertiliser_Products_Data1(),FertiliserProducts[[#Headers],[Include or Exclude]], 0,4)</f>
        <v/>
      </c>
      <c r="V119" s="109" t="str" cm="1">
        <f t="array" ref="V119">Common_InputFunctions.Utility_DisplayArrayInTable(Fertiliser_SourceData.Fertiliser_Products_Data1(),FertiliserProducts[[#Headers],[Include or Exclude]], 0,4)</f>
        <v/>
      </c>
      <c r="W119" s="109" t="str" cm="1">
        <f t="array" ref="W119">Common_InputFunctions.Utility_DisplayArrayInTable(Fertiliser_SourceData.Fertiliser_Products_Data1(),FertiliserProducts[[#Headers],[Include or Exclude]], 0,4)</f>
        <v/>
      </c>
      <c r="X119" s="109" t="str" cm="1">
        <f t="array" ref="X119">Common_InputFunctions.Utility_DisplayArrayInTable(Fertiliser_SourceData.Fertiliser_Products_Data1(),FertiliserProducts[[#Headers],[Include or Exclude]], 0,4)</f>
        <v/>
      </c>
      <c r="Y119" s="109" t="str" cm="1">
        <f t="array" ref="Y119">Common_InputFunctions.Utility_DisplayArrayInTable(Fertiliser_SourceData.Fertiliser_Products_Data1(),FertiliserProducts[[#Headers],[Include or Exclude]], 0,4)</f>
        <v/>
      </c>
      <c r="Z119" s="109" t="str" cm="1">
        <f t="array" ref="Z119">Common_InputFunctions.Utility_DisplayArrayInTable(Fertiliser_SourceData.Fertiliser_Products_Data1(),FertiliserProducts[[#Headers],[Include or Exclude]], 0,4)</f>
        <v/>
      </c>
      <c r="AA119" s="109" t="str" cm="1">
        <f t="array" ref="AA119">Common_InputFunctions.Utility_DisplayArrayInTable(Fertiliser_SourceData.Fertiliser_Products_Data1(),FertiliserProducts[[#Headers],[Include or Exclude]], 0,4)</f>
        <v/>
      </c>
      <c r="AB119" s="109" t="str" cm="1">
        <f t="array" ref="AB119">Common_InputFunctions.Utility_DisplayArrayInTable(Fertiliser_SourceData.Fertiliser_Products_Data1(),FertiliserProducts[[#Headers],[Include or Exclude]], 0,4)</f>
        <v/>
      </c>
      <c r="AC119" s="109" t="str" cm="1">
        <f t="array" ref="AC119">Common_InputFunctions.Utility_DisplayArrayInTable(Fertiliser_SourceData.Fertiliser_Products_Data1(),FertiliserProducts[[#Headers],[Include or Exclude]], 0,4)</f>
        <v/>
      </c>
      <c r="AD119" s="109" t="str" cm="1">
        <f t="array" ref="AD119">Common_InputFunctions.Utility_DisplayArrayInTable(Fertiliser_SourceData.Fertiliser_Products_Data1(),FertiliserProducts[[#Headers],[Include or Exclude]], 0,4)</f>
        <v/>
      </c>
      <c r="AE119" s="109" t="str" cm="1">
        <f t="array" ref="AE119">Common_InputFunctions.Utility_DisplayArrayInTable(Fertiliser_SourceData.Fertiliser_Products_Data1(),FertiliserProducts[[#Headers],[Include or Exclude]], 0,4)</f>
        <v/>
      </c>
    </row>
    <row r="120" spans="4:31" ht="20.100000000000001" customHeight="1" x14ac:dyDescent="0.25">
      <c r="D120" s="109" t="str" cm="1">
        <f t="array" ref="D120">Common_InputFunctions.Utility_DisplayArrayInTable(Fertiliser_SourceData.Fertiliser_Products_Data1(),FertiliserProducts[[#Headers],[Include or Exclude]], -1)</f>
        <v/>
      </c>
      <c r="E120" s="109" t="str" cm="1">
        <f t="array" ref="E120">Common_InputFunctions.Utility_DisplayArrayInTable(Fertiliser_SourceData.Fertiliser_Products_Data1(),FertiliserProducts[[#Headers],[Include or Exclude]], 0)</f>
        <v/>
      </c>
      <c r="F120" s="109" t="str" cm="1">
        <f t="array" ref="F120">Common_InputFunctions.Utility_DisplayArrayInTable(Fertiliser_SourceData.Fertiliser_Products_Data1(),FertiliserProducts[[#Headers],[Include or Exclude]], 0)</f>
        <v/>
      </c>
      <c r="G120" s="109" t="str" cm="1">
        <f t="array" ref="G120">Common_InputFunctions.Utility_DisplayArrayInTable(Fertiliser_SourceData.Fertiliser_Products_Data1(),FertiliserProducts[[#Headers],[Include or Exclude]], 0)</f>
        <v/>
      </c>
      <c r="H120" s="109" t="str" cm="1">
        <f t="array" ref="H120">Common_InputFunctions.Utility_DisplayArrayInTable(Fertiliser_SourceData.Fertiliser_Products_Data1(),FertiliserProducts[[#Headers],[Include or Exclude]], 0,4)</f>
        <v/>
      </c>
      <c r="I120" s="109" t="str" cm="1">
        <f t="array" ref="I120">Common_InputFunctions.Utility_DisplayArrayInTable(Fertiliser_SourceData.Fertiliser_Products_Data1(),FertiliserProducts[[#Headers],[Include or Exclude]], 0,4)</f>
        <v/>
      </c>
      <c r="J120" s="109" t="str" cm="1">
        <f t="array" ref="J120">Common_InputFunctions.Utility_DisplayArrayInTable(Fertiliser_SourceData.Fertiliser_Products_Data1(),FertiliserProducts[[#Headers],[Include or Exclude]], 0,4)</f>
        <v/>
      </c>
      <c r="K120" s="109" t="str" cm="1">
        <f t="array" ref="K120">Common_InputFunctions.Utility_DisplayArrayInTable(Fertiliser_SourceData.Fertiliser_Products_Data1(),FertiliserProducts[[#Headers],[Include or Exclude]], 0,4)</f>
        <v/>
      </c>
      <c r="L120" s="109" t="str" cm="1">
        <f t="array" ref="L120">Common_InputFunctions.Utility_DisplayArrayInTable(Fertiliser_SourceData.Fertiliser_Products_Data1(),FertiliserProducts[[#Headers],[Include or Exclude]], 0,4)</f>
        <v/>
      </c>
      <c r="M120" s="109" t="str" cm="1">
        <f t="array" ref="M120">Common_InputFunctions.Utility_DisplayArrayInTable(Fertiliser_SourceData.Fertiliser_Products_Data1(),FertiliserProducts[[#Headers],[Include or Exclude]], 0,4)</f>
        <v/>
      </c>
      <c r="N120" s="109" t="str" cm="1">
        <f t="array" ref="N120">Common_InputFunctions.Utility_DisplayArrayInTable(Fertiliser_SourceData.Fertiliser_Products_Data1(),FertiliserProducts[[#Headers],[Include or Exclude]], 0,4)</f>
        <v/>
      </c>
      <c r="O120" s="109" t="str" cm="1">
        <f t="array" ref="O120">Common_InputFunctions.Utility_DisplayArrayInTable(Fertiliser_SourceData.Fertiliser_Products_Data1(),FertiliserProducts[[#Headers],[Include or Exclude]], 0,4)</f>
        <v/>
      </c>
      <c r="P120" s="109" t="str" cm="1">
        <f t="array" ref="P120">Common_InputFunctions.Utility_DisplayArrayInTable(Fertiliser_SourceData.Fertiliser_Products_Data1(),FertiliserProducts[[#Headers],[Include or Exclude]], 0,4)</f>
        <v/>
      </c>
      <c r="Q120" s="109" t="str" cm="1">
        <f t="array" ref="Q120">Common_InputFunctions.Utility_DisplayArrayInTable(Fertiliser_SourceData.Fertiliser_Products_Data1(),FertiliserProducts[[#Headers],[Include or Exclude]], 0,4)</f>
        <v/>
      </c>
      <c r="R120" s="109" t="str" cm="1">
        <f t="array" ref="R120">Common_InputFunctions.Utility_DisplayArrayInTable(Fertiliser_SourceData.Fertiliser_Products_Data1(),FertiliserProducts[[#Headers],[Include or Exclude]], 0,4)</f>
        <v/>
      </c>
      <c r="S120" s="109" t="str" cm="1">
        <f t="array" ref="S120">Common_InputFunctions.Utility_DisplayArrayInTable(Fertiliser_SourceData.Fertiliser_Products_Data1(),FertiliserProducts[[#Headers],[Include or Exclude]], 0,4)</f>
        <v/>
      </c>
      <c r="T120" s="109" t="str" cm="1">
        <f t="array" ref="T120">Common_InputFunctions.Utility_DisplayArrayInTable(Fertiliser_SourceData.Fertiliser_Products_Data1(),FertiliserProducts[[#Headers],[Include or Exclude]], 0,4)</f>
        <v/>
      </c>
      <c r="U120" s="109" t="str" cm="1">
        <f t="array" ref="U120">Common_InputFunctions.Utility_DisplayArrayInTable(Fertiliser_SourceData.Fertiliser_Products_Data1(),FertiliserProducts[[#Headers],[Include or Exclude]], 0,4)</f>
        <v/>
      </c>
      <c r="V120" s="109" t="str" cm="1">
        <f t="array" ref="V120">Common_InputFunctions.Utility_DisplayArrayInTable(Fertiliser_SourceData.Fertiliser_Products_Data1(),FertiliserProducts[[#Headers],[Include or Exclude]], 0,4)</f>
        <v/>
      </c>
      <c r="W120" s="109" t="str" cm="1">
        <f t="array" ref="W120">Common_InputFunctions.Utility_DisplayArrayInTable(Fertiliser_SourceData.Fertiliser_Products_Data1(),FertiliserProducts[[#Headers],[Include or Exclude]], 0,4)</f>
        <v/>
      </c>
      <c r="X120" s="109" t="str" cm="1">
        <f t="array" ref="X120">Common_InputFunctions.Utility_DisplayArrayInTable(Fertiliser_SourceData.Fertiliser_Products_Data1(),FertiliserProducts[[#Headers],[Include or Exclude]], 0,4)</f>
        <v/>
      </c>
      <c r="Y120" s="109" t="str" cm="1">
        <f t="array" ref="Y120">Common_InputFunctions.Utility_DisplayArrayInTable(Fertiliser_SourceData.Fertiliser_Products_Data1(),FertiliserProducts[[#Headers],[Include or Exclude]], 0,4)</f>
        <v/>
      </c>
      <c r="Z120" s="109" t="str" cm="1">
        <f t="array" ref="Z120">Common_InputFunctions.Utility_DisplayArrayInTable(Fertiliser_SourceData.Fertiliser_Products_Data1(),FertiliserProducts[[#Headers],[Include or Exclude]], 0,4)</f>
        <v/>
      </c>
      <c r="AA120" s="109" t="str" cm="1">
        <f t="array" ref="AA120">Common_InputFunctions.Utility_DisplayArrayInTable(Fertiliser_SourceData.Fertiliser_Products_Data1(),FertiliserProducts[[#Headers],[Include or Exclude]], 0,4)</f>
        <v/>
      </c>
      <c r="AB120" s="109" t="str" cm="1">
        <f t="array" ref="AB120">Common_InputFunctions.Utility_DisplayArrayInTable(Fertiliser_SourceData.Fertiliser_Products_Data1(),FertiliserProducts[[#Headers],[Include or Exclude]], 0,4)</f>
        <v/>
      </c>
      <c r="AC120" s="109" t="str" cm="1">
        <f t="array" ref="AC120">Common_InputFunctions.Utility_DisplayArrayInTable(Fertiliser_SourceData.Fertiliser_Products_Data1(),FertiliserProducts[[#Headers],[Include or Exclude]], 0,4)</f>
        <v/>
      </c>
      <c r="AD120" s="109" t="str" cm="1">
        <f t="array" ref="AD120">Common_InputFunctions.Utility_DisplayArrayInTable(Fertiliser_SourceData.Fertiliser_Products_Data1(),FertiliserProducts[[#Headers],[Include or Exclude]], 0,4)</f>
        <v/>
      </c>
      <c r="AE120" s="109" t="str" cm="1">
        <f t="array" ref="AE120">Common_InputFunctions.Utility_DisplayArrayInTable(Fertiliser_SourceData.Fertiliser_Products_Data1(),FertiliserProducts[[#Headers],[Include or Exclude]], 0,4)</f>
        <v/>
      </c>
    </row>
    <row r="121" spans="4:31" ht="20.100000000000001" customHeight="1" x14ac:dyDescent="0.25">
      <c r="D121" s="109" t="str" cm="1">
        <f t="array" ref="D121">Common_InputFunctions.Utility_DisplayArrayInTable(Fertiliser_SourceData.Fertiliser_Products_Data1(),FertiliserProducts[[#Headers],[Include or Exclude]], -1)</f>
        <v/>
      </c>
      <c r="E121" s="109" t="str" cm="1">
        <f t="array" ref="E121">Common_InputFunctions.Utility_DisplayArrayInTable(Fertiliser_SourceData.Fertiliser_Products_Data1(),FertiliserProducts[[#Headers],[Include or Exclude]], 0)</f>
        <v/>
      </c>
      <c r="F121" s="109" t="str" cm="1">
        <f t="array" ref="F121">Common_InputFunctions.Utility_DisplayArrayInTable(Fertiliser_SourceData.Fertiliser_Products_Data1(),FertiliserProducts[[#Headers],[Include or Exclude]], 0)</f>
        <v/>
      </c>
      <c r="G121" s="109" t="str" cm="1">
        <f t="array" ref="G121">Common_InputFunctions.Utility_DisplayArrayInTable(Fertiliser_SourceData.Fertiliser_Products_Data1(),FertiliserProducts[[#Headers],[Include or Exclude]], 0)</f>
        <v/>
      </c>
      <c r="H121" s="109" t="str" cm="1">
        <f t="array" ref="H121">Common_InputFunctions.Utility_DisplayArrayInTable(Fertiliser_SourceData.Fertiliser_Products_Data1(),FertiliserProducts[[#Headers],[Include or Exclude]], 0,4)</f>
        <v/>
      </c>
      <c r="I121" s="109" t="str" cm="1">
        <f t="array" ref="I121">Common_InputFunctions.Utility_DisplayArrayInTable(Fertiliser_SourceData.Fertiliser_Products_Data1(),FertiliserProducts[[#Headers],[Include or Exclude]], 0,4)</f>
        <v/>
      </c>
      <c r="J121" s="109" t="str" cm="1">
        <f t="array" ref="J121">Common_InputFunctions.Utility_DisplayArrayInTable(Fertiliser_SourceData.Fertiliser_Products_Data1(),FertiliserProducts[[#Headers],[Include or Exclude]], 0,4)</f>
        <v/>
      </c>
      <c r="K121" s="109" t="str" cm="1">
        <f t="array" ref="K121">Common_InputFunctions.Utility_DisplayArrayInTable(Fertiliser_SourceData.Fertiliser_Products_Data1(),FertiliserProducts[[#Headers],[Include or Exclude]], 0,4)</f>
        <v/>
      </c>
      <c r="L121" s="109" t="str" cm="1">
        <f t="array" ref="L121">Common_InputFunctions.Utility_DisplayArrayInTable(Fertiliser_SourceData.Fertiliser_Products_Data1(),FertiliserProducts[[#Headers],[Include or Exclude]], 0,4)</f>
        <v/>
      </c>
      <c r="M121" s="109" t="str" cm="1">
        <f t="array" ref="M121">Common_InputFunctions.Utility_DisplayArrayInTable(Fertiliser_SourceData.Fertiliser_Products_Data1(),FertiliserProducts[[#Headers],[Include or Exclude]], 0,4)</f>
        <v/>
      </c>
      <c r="N121" s="109" t="str" cm="1">
        <f t="array" ref="N121">Common_InputFunctions.Utility_DisplayArrayInTable(Fertiliser_SourceData.Fertiliser_Products_Data1(),FertiliserProducts[[#Headers],[Include or Exclude]], 0,4)</f>
        <v/>
      </c>
      <c r="O121" s="109" t="str" cm="1">
        <f t="array" ref="O121">Common_InputFunctions.Utility_DisplayArrayInTable(Fertiliser_SourceData.Fertiliser_Products_Data1(),FertiliserProducts[[#Headers],[Include or Exclude]], 0,4)</f>
        <v/>
      </c>
      <c r="P121" s="109" t="str" cm="1">
        <f t="array" ref="P121">Common_InputFunctions.Utility_DisplayArrayInTable(Fertiliser_SourceData.Fertiliser_Products_Data1(),FertiliserProducts[[#Headers],[Include or Exclude]], 0,4)</f>
        <v/>
      </c>
      <c r="Q121" s="109" t="str" cm="1">
        <f t="array" ref="Q121">Common_InputFunctions.Utility_DisplayArrayInTable(Fertiliser_SourceData.Fertiliser_Products_Data1(),FertiliserProducts[[#Headers],[Include or Exclude]], 0,4)</f>
        <v/>
      </c>
      <c r="R121" s="109" t="str" cm="1">
        <f t="array" ref="R121">Common_InputFunctions.Utility_DisplayArrayInTable(Fertiliser_SourceData.Fertiliser_Products_Data1(),FertiliserProducts[[#Headers],[Include or Exclude]], 0,4)</f>
        <v/>
      </c>
      <c r="S121" s="109" t="str" cm="1">
        <f t="array" ref="S121">Common_InputFunctions.Utility_DisplayArrayInTable(Fertiliser_SourceData.Fertiliser_Products_Data1(),FertiliserProducts[[#Headers],[Include or Exclude]], 0,4)</f>
        <v/>
      </c>
      <c r="T121" s="109" t="str" cm="1">
        <f t="array" ref="T121">Common_InputFunctions.Utility_DisplayArrayInTable(Fertiliser_SourceData.Fertiliser_Products_Data1(),FertiliserProducts[[#Headers],[Include or Exclude]], 0,4)</f>
        <v/>
      </c>
      <c r="U121" s="109" t="str" cm="1">
        <f t="array" ref="U121">Common_InputFunctions.Utility_DisplayArrayInTable(Fertiliser_SourceData.Fertiliser_Products_Data1(),FertiliserProducts[[#Headers],[Include or Exclude]], 0,4)</f>
        <v/>
      </c>
      <c r="V121" s="109" t="str" cm="1">
        <f t="array" ref="V121">Common_InputFunctions.Utility_DisplayArrayInTable(Fertiliser_SourceData.Fertiliser_Products_Data1(),FertiliserProducts[[#Headers],[Include or Exclude]], 0,4)</f>
        <v/>
      </c>
      <c r="W121" s="109" t="str" cm="1">
        <f t="array" ref="W121">Common_InputFunctions.Utility_DisplayArrayInTable(Fertiliser_SourceData.Fertiliser_Products_Data1(),FertiliserProducts[[#Headers],[Include or Exclude]], 0,4)</f>
        <v/>
      </c>
      <c r="X121" s="109" t="str" cm="1">
        <f t="array" ref="X121">Common_InputFunctions.Utility_DisplayArrayInTable(Fertiliser_SourceData.Fertiliser_Products_Data1(),FertiliserProducts[[#Headers],[Include or Exclude]], 0,4)</f>
        <v/>
      </c>
      <c r="Y121" s="109" t="str" cm="1">
        <f t="array" ref="Y121">Common_InputFunctions.Utility_DisplayArrayInTable(Fertiliser_SourceData.Fertiliser_Products_Data1(),FertiliserProducts[[#Headers],[Include or Exclude]], 0,4)</f>
        <v/>
      </c>
      <c r="Z121" s="109" t="str" cm="1">
        <f t="array" ref="Z121">Common_InputFunctions.Utility_DisplayArrayInTable(Fertiliser_SourceData.Fertiliser_Products_Data1(),FertiliserProducts[[#Headers],[Include or Exclude]], 0,4)</f>
        <v/>
      </c>
      <c r="AA121" s="109" t="str" cm="1">
        <f t="array" ref="AA121">Common_InputFunctions.Utility_DisplayArrayInTable(Fertiliser_SourceData.Fertiliser_Products_Data1(),FertiliserProducts[[#Headers],[Include or Exclude]], 0,4)</f>
        <v/>
      </c>
      <c r="AB121" s="109" t="str" cm="1">
        <f t="array" ref="AB121">Common_InputFunctions.Utility_DisplayArrayInTable(Fertiliser_SourceData.Fertiliser_Products_Data1(),FertiliserProducts[[#Headers],[Include or Exclude]], 0,4)</f>
        <v/>
      </c>
      <c r="AC121" s="109" t="str" cm="1">
        <f t="array" ref="AC121">Common_InputFunctions.Utility_DisplayArrayInTable(Fertiliser_SourceData.Fertiliser_Products_Data1(),FertiliserProducts[[#Headers],[Include or Exclude]], 0,4)</f>
        <v/>
      </c>
      <c r="AD121" s="109" t="str" cm="1">
        <f t="array" ref="AD121">Common_InputFunctions.Utility_DisplayArrayInTable(Fertiliser_SourceData.Fertiliser_Products_Data1(),FertiliserProducts[[#Headers],[Include or Exclude]], 0,4)</f>
        <v/>
      </c>
      <c r="AE121" s="109" t="str" cm="1">
        <f t="array" ref="AE121">Common_InputFunctions.Utility_DisplayArrayInTable(Fertiliser_SourceData.Fertiliser_Products_Data1(),FertiliserProducts[[#Headers],[Include or Exclude]], 0,4)</f>
        <v/>
      </c>
    </row>
    <row r="122" spans="4:31" ht="20.100000000000001" customHeight="1" x14ac:dyDescent="0.25">
      <c r="D122" s="109" t="str" cm="1">
        <f t="array" ref="D122">Common_InputFunctions.Utility_DisplayArrayInTable(Fertiliser_SourceData.Fertiliser_Products_Data1(),FertiliserProducts[[#Headers],[Include or Exclude]], -1)</f>
        <v/>
      </c>
      <c r="E122" s="109" t="str" cm="1">
        <f t="array" ref="E122">Common_InputFunctions.Utility_DisplayArrayInTable(Fertiliser_SourceData.Fertiliser_Products_Data1(),FertiliserProducts[[#Headers],[Include or Exclude]], 0)</f>
        <v/>
      </c>
      <c r="F122" s="109" t="str" cm="1">
        <f t="array" ref="F122">Common_InputFunctions.Utility_DisplayArrayInTable(Fertiliser_SourceData.Fertiliser_Products_Data1(),FertiliserProducts[[#Headers],[Include or Exclude]], 0)</f>
        <v/>
      </c>
      <c r="G122" s="109" t="str" cm="1">
        <f t="array" ref="G122">Common_InputFunctions.Utility_DisplayArrayInTable(Fertiliser_SourceData.Fertiliser_Products_Data1(),FertiliserProducts[[#Headers],[Include or Exclude]], 0)</f>
        <v/>
      </c>
      <c r="H122" s="109" t="str" cm="1">
        <f t="array" ref="H122">Common_InputFunctions.Utility_DisplayArrayInTable(Fertiliser_SourceData.Fertiliser_Products_Data1(),FertiliserProducts[[#Headers],[Include or Exclude]], 0,4)</f>
        <v/>
      </c>
      <c r="I122" s="109" t="str" cm="1">
        <f t="array" ref="I122">Common_InputFunctions.Utility_DisplayArrayInTable(Fertiliser_SourceData.Fertiliser_Products_Data1(),FertiliserProducts[[#Headers],[Include or Exclude]], 0,4)</f>
        <v/>
      </c>
      <c r="J122" s="109" t="str" cm="1">
        <f t="array" ref="J122">Common_InputFunctions.Utility_DisplayArrayInTable(Fertiliser_SourceData.Fertiliser_Products_Data1(),FertiliserProducts[[#Headers],[Include or Exclude]], 0,4)</f>
        <v/>
      </c>
      <c r="K122" s="109" t="str" cm="1">
        <f t="array" ref="K122">Common_InputFunctions.Utility_DisplayArrayInTable(Fertiliser_SourceData.Fertiliser_Products_Data1(),FertiliserProducts[[#Headers],[Include or Exclude]], 0,4)</f>
        <v/>
      </c>
      <c r="L122" s="109" t="str" cm="1">
        <f t="array" ref="L122">Common_InputFunctions.Utility_DisplayArrayInTable(Fertiliser_SourceData.Fertiliser_Products_Data1(),FertiliserProducts[[#Headers],[Include or Exclude]], 0,4)</f>
        <v/>
      </c>
      <c r="M122" s="109" t="str" cm="1">
        <f t="array" ref="M122">Common_InputFunctions.Utility_DisplayArrayInTable(Fertiliser_SourceData.Fertiliser_Products_Data1(),FertiliserProducts[[#Headers],[Include or Exclude]], 0,4)</f>
        <v/>
      </c>
      <c r="N122" s="109" t="str" cm="1">
        <f t="array" ref="N122">Common_InputFunctions.Utility_DisplayArrayInTable(Fertiliser_SourceData.Fertiliser_Products_Data1(),FertiliserProducts[[#Headers],[Include or Exclude]], 0,4)</f>
        <v/>
      </c>
      <c r="O122" s="109" t="str" cm="1">
        <f t="array" ref="O122">Common_InputFunctions.Utility_DisplayArrayInTable(Fertiliser_SourceData.Fertiliser_Products_Data1(),FertiliserProducts[[#Headers],[Include or Exclude]], 0,4)</f>
        <v/>
      </c>
      <c r="P122" s="109" t="str" cm="1">
        <f t="array" ref="P122">Common_InputFunctions.Utility_DisplayArrayInTable(Fertiliser_SourceData.Fertiliser_Products_Data1(),FertiliserProducts[[#Headers],[Include or Exclude]], 0,4)</f>
        <v/>
      </c>
      <c r="Q122" s="109" t="str" cm="1">
        <f t="array" ref="Q122">Common_InputFunctions.Utility_DisplayArrayInTable(Fertiliser_SourceData.Fertiliser_Products_Data1(),FertiliserProducts[[#Headers],[Include or Exclude]], 0,4)</f>
        <v/>
      </c>
      <c r="R122" s="109" t="str" cm="1">
        <f t="array" ref="R122">Common_InputFunctions.Utility_DisplayArrayInTable(Fertiliser_SourceData.Fertiliser_Products_Data1(),FertiliserProducts[[#Headers],[Include or Exclude]], 0,4)</f>
        <v/>
      </c>
      <c r="S122" s="109" t="str" cm="1">
        <f t="array" ref="S122">Common_InputFunctions.Utility_DisplayArrayInTable(Fertiliser_SourceData.Fertiliser_Products_Data1(),FertiliserProducts[[#Headers],[Include or Exclude]], 0,4)</f>
        <v/>
      </c>
      <c r="T122" s="109" t="str" cm="1">
        <f t="array" ref="T122">Common_InputFunctions.Utility_DisplayArrayInTable(Fertiliser_SourceData.Fertiliser_Products_Data1(),FertiliserProducts[[#Headers],[Include or Exclude]], 0,4)</f>
        <v/>
      </c>
      <c r="U122" s="109" t="str" cm="1">
        <f t="array" ref="U122">Common_InputFunctions.Utility_DisplayArrayInTable(Fertiliser_SourceData.Fertiliser_Products_Data1(),FertiliserProducts[[#Headers],[Include or Exclude]], 0,4)</f>
        <v/>
      </c>
      <c r="V122" s="109" t="str" cm="1">
        <f t="array" ref="V122">Common_InputFunctions.Utility_DisplayArrayInTable(Fertiliser_SourceData.Fertiliser_Products_Data1(),FertiliserProducts[[#Headers],[Include or Exclude]], 0,4)</f>
        <v/>
      </c>
      <c r="W122" s="109" t="str" cm="1">
        <f t="array" ref="W122">Common_InputFunctions.Utility_DisplayArrayInTable(Fertiliser_SourceData.Fertiliser_Products_Data1(),FertiliserProducts[[#Headers],[Include or Exclude]], 0,4)</f>
        <v/>
      </c>
      <c r="X122" s="109" t="str" cm="1">
        <f t="array" ref="X122">Common_InputFunctions.Utility_DisplayArrayInTable(Fertiliser_SourceData.Fertiliser_Products_Data1(),FertiliserProducts[[#Headers],[Include or Exclude]], 0,4)</f>
        <v/>
      </c>
      <c r="Y122" s="109" t="str" cm="1">
        <f t="array" ref="Y122">Common_InputFunctions.Utility_DisplayArrayInTable(Fertiliser_SourceData.Fertiliser_Products_Data1(),FertiliserProducts[[#Headers],[Include or Exclude]], 0,4)</f>
        <v/>
      </c>
      <c r="Z122" s="109" t="str" cm="1">
        <f t="array" ref="Z122">Common_InputFunctions.Utility_DisplayArrayInTable(Fertiliser_SourceData.Fertiliser_Products_Data1(),FertiliserProducts[[#Headers],[Include or Exclude]], 0,4)</f>
        <v/>
      </c>
      <c r="AA122" s="109" t="str" cm="1">
        <f t="array" ref="AA122">Common_InputFunctions.Utility_DisplayArrayInTable(Fertiliser_SourceData.Fertiliser_Products_Data1(),FertiliserProducts[[#Headers],[Include or Exclude]], 0,4)</f>
        <v/>
      </c>
      <c r="AB122" s="109" t="str" cm="1">
        <f t="array" ref="AB122">Common_InputFunctions.Utility_DisplayArrayInTable(Fertiliser_SourceData.Fertiliser_Products_Data1(),FertiliserProducts[[#Headers],[Include or Exclude]], 0,4)</f>
        <v/>
      </c>
      <c r="AC122" s="109" t="str" cm="1">
        <f t="array" ref="AC122">Common_InputFunctions.Utility_DisplayArrayInTable(Fertiliser_SourceData.Fertiliser_Products_Data1(),FertiliserProducts[[#Headers],[Include or Exclude]], 0,4)</f>
        <v/>
      </c>
      <c r="AD122" s="109" t="str" cm="1">
        <f t="array" ref="AD122">Common_InputFunctions.Utility_DisplayArrayInTable(Fertiliser_SourceData.Fertiliser_Products_Data1(),FertiliserProducts[[#Headers],[Include or Exclude]], 0,4)</f>
        <v/>
      </c>
      <c r="AE122" s="109" t="str" cm="1">
        <f t="array" ref="AE122">Common_InputFunctions.Utility_DisplayArrayInTable(Fertiliser_SourceData.Fertiliser_Products_Data1(),FertiliserProducts[[#Headers],[Include or Exclude]], 0,4)</f>
        <v/>
      </c>
    </row>
    <row r="123" spans="4:31" ht="20.100000000000001" customHeight="1" x14ac:dyDescent="0.25">
      <c r="D123" s="109" t="str" cm="1">
        <f t="array" ref="D123">Common_InputFunctions.Utility_DisplayArrayInTable(Fertiliser_SourceData.Fertiliser_Products_Data1(),FertiliserProducts[[#Headers],[Include or Exclude]], -1)</f>
        <v/>
      </c>
      <c r="E123" s="109" t="str" cm="1">
        <f t="array" ref="E123">Common_InputFunctions.Utility_DisplayArrayInTable(Fertiliser_SourceData.Fertiliser_Products_Data1(),FertiliserProducts[[#Headers],[Include or Exclude]], 0)</f>
        <v/>
      </c>
      <c r="F123" s="109" t="str" cm="1">
        <f t="array" ref="F123">Common_InputFunctions.Utility_DisplayArrayInTable(Fertiliser_SourceData.Fertiliser_Products_Data1(),FertiliserProducts[[#Headers],[Include or Exclude]], 0)</f>
        <v/>
      </c>
      <c r="G123" s="109" t="str" cm="1">
        <f t="array" ref="G123">Common_InputFunctions.Utility_DisplayArrayInTable(Fertiliser_SourceData.Fertiliser_Products_Data1(),FertiliserProducts[[#Headers],[Include or Exclude]], 0)</f>
        <v/>
      </c>
      <c r="H123" s="109" t="str" cm="1">
        <f t="array" ref="H123">Common_InputFunctions.Utility_DisplayArrayInTable(Fertiliser_SourceData.Fertiliser_Products_Data1(),FertiliserProducts[[#Headers],[Include or Exclude]], 0,4)</f>
        <v/>
      </c>
      <c r="I123" s="109" t="str" cm="1">
        <f t="array" ref="I123">Common_InputFunctions.Utility_DisplayArrayInTable(Fertiliser_SourceData.Fertiliser_Products_Data1(),FertiliserProducts[[#Headers],[Include or Exclude]], 0,4)</f>
        <v/>
      </c>
      <c r="J123" s="109" t="str" cm="1">
        <f t="array" ref="J123">Common_InputFunctions.Utility_DisplayArrayInTable(Fertiliser_SourceData.Fertiliser_Products_Data1(),FertiliserProducts[[#Headers],[Include or Exclude]], 0,4)</f>
        <v/>
      </c>
      <c r="K123" s="109" t="str" cm="1">
        <f t="array" ref="K123">Common_InputFunctions.Utility_DisplayArrayInTable(Fertiliser_SourceData.Fertiliser_Products_Data1(),FertiliserProducts[[#Headers],[Include or Exclude]], 0,4)</f>
        <v/>
      </c>
      <c r="L123" s="109" t="str" cm="1">
        <f t="array" ref="L123">Common_InputFunctions.Utility_DisplayArrayInTable(Fertiliser_SourceData.Fertiliser_Products_Data1(),FertiliserProducts[[#Headers],[Include or Exclude]], 0,4)</f>
        <v/>
      </c>
      <c r="M123" s="109" t="str" cm="1">
        <f t="array" ref="M123">Common_InputFunctions.Utility_DisplayArrayInTable(Fertiliser_SourceData.Fertiliser_Products_Data1(),FertiliserProducts[[#Headers],[Include or Exclude]], 0,4)</f>
        <v/>
      </c>
      <c r="N123" s="109" t="str" cm="1">
        <f t="array" ref="N123">Common_InputFunctions.Utility_DisplayArrayInTable(Fertiliser_SourceData.Fertiliser_Products_Data1(),FertiliserProducts[[#Headers],[Include or Exclude]], 0,4)</f>
        <v/>
      </c>
      <c r="O123" s="109" t="str" cm="1">
        <f t="array" ref="O123">Common_InputFunctions.Utility_DisplayArrayInTable(Fertiliser_SourceData.Fertiliser_Products_Data1(),FertiliserProducts[[#Headers],[Include or Exclude]], 0,4)</f>
        <v/>
      </c>
      <c r="P123" s="109" t="str" cm="1">
        <f t="array" ref="P123">Common_InputFunctions.Utility_DisplayArrayInTable(Fertiliser_SourceData.Fertiliser_Products_Data1(),FertiliserProducts[[#Headers],[Include or Exclude]], 0,4)</f>
        <v/>
      </c>
      <c r="Q123" s="109" t="str" cm="1">
        <f t="array" ref="Q123">Common_InputFunctions.Utility_DisplayArrayInTable(Fertiliser_SourceData.Fertiliser_Products_Data1(),FertiliserProducts[[#Headers],[Include or Exclude]], 0,4)</f>
        <v/>
      </c>
      <c r="R123" s="109" t="str" cm="1">
        <f t="array" ref="R123">Common_InputFunctions.Utility_DisplayArrayInTable(Fertiliser_SourceData.Fertiliser_Products_Data1(),FertiliserProducts[[#Headers],[Include or Exclude]], 0,4)</f>
        <v/>
      </c>
      <c r="S123" s="109" t="str" cm="1">
        <f t="array" ref="S123">Common_InputFunctions.Utility_DisplayArrayInTable(Fertiliser_SourceData.Fertiliser_Products_Data1(),FertiliserProducts[[#Headers],[Include or Exclude]], 0,4)</f>
        <v/>
      </c>
      <c r="T123" s="109" t="str" cm="1">
        <f t="array" ref="T123">Common_InputFunctions.Utility_DisplayArrayInTable(Fertiliser_SourceData.Fertiliser_Products_Data1(),FertiliserProducts[[#Headers],[Include or Exclude]], 0,4)</f>
        <v/>
      </c>
      <c r="U123" s="109" t="str" cm="1">
        <f t="array" ref="U123">Common_InputFunctions.Utility_DisplayArrayInTable(Fertiliser_SourceData.Fertiliser_Products_Data1(),FertiliserProducts[[#Headers],[Include or Exclude]], 0,4)</f>
        <v/>
      </c>
      <c r="V123" s="109" t="str" cm="1">
        <f t="array" ref="V123">Common_InputFunctions.Utility_DisplayArrayInTable(Fertiliser_SourceData.Fertiliser_Products_Data1(),FertiliserProducts[[#Headers],[Include or Exclude]], 0,4)</f>
        <v/>
      </c>
      <c r="W123" s="109" t="str" cm="1">
        <f t="array" ref="W123">Common_InputFunctions.Utility_DisplayArrayInTable(Fertiliser_SourceData.Fertiliser_Products_Data1(),FertiliserProducts[[#Headers],[Include or Exclude]], 0,4)</f>
        <v/>
      </c>
      <c r="X123" s="109" t="str" cm="1">
        <f t="array" ref="X123">Common_InputFunctions.Utility_DisplayArrayInTable(Fertiliser_SourceData.Fertiliser_Products_Data1(),FertiliserProducts[[#Headers],[Include or Exclude]], 0,4)</f>
        <v/>
      </c>
      <c r="Y123" s="109" t="str" cm="1">
        <f t="array" ref="Y123">Common_InputFunctions.Utility_DisplayArrayInTable(Fertiliser_SourceData.Fertiliser_Products_Data1(),FertiliserProducts[[#Headers],[Include or Exclude]], 0,4)</f>
        <v/>
      </c>
      <c r="Z123" s="109" t="str" cm="1">
        <f t="array" ref="Z123">Common_InputFunctions.Utility_DisplayArrayInTable(Fertiliser_SourceData.Fertiliser_Products_Data1(),FertiliserProducts[[#Headers],[Include or Exclude]], 0,4)</f>
        <v/>
      </c>
      <c r="AA123" s="109" t="str" cm="1">
        <f t="array" ref="AA123">Common_InputFunctions.Utility_DisplayArrayInTable(Fertiliser_SourceData.Fertiliser_Products_Data1(),FertiliserProducts[[#Headers],[Include or Exclude]], 0,4)</f>
        <v/>
      </c>
      <c r="AB123" s="109" t="str" cm="1">
        <f t="array" ref="AB123">Common_InputFunctions.Utility_DisplayArrayInTable(Fertiliser_SourceData.Fertiliser_Products_Data1(),FertiliserProducts[[#Headers],[Include or Exclude]], 0,4)</f>
        <v/>
      </c>
      <c r="AC123" s="109" t="str" cm="1">
        <f t="array" ref="AC123">Common_InputFunctions.Utility_DisplayArrayInTable(Fertiliser_SourceData.Fertiliser_Products_Data1(),FertiliserProducts[[#Headers],[Include or Exclude]], 0,4)</f>
        <v/>
      </c>
      <c r="AD123" s="109" t="str" cm="1">
        <f t="array" ref="AD123">Common_InputFunctions.Utility_DisplayArrayInTable(Fertiliser_SourceData.Fertiliser_Products_Data1(),FertiliserProducts[[#Headers],[Include or Exclude]], 0,4)</f>
        <v/>
      </c>
      <c r="AE123" s="109" t="str" cm="1">
        <f t="array" ref="AE123">Common_InputFunctions.Utility_DisplayArrayInTable(Fertiliser_SourceData.Fertiliser_Products_Data1(),FertiliserProducts[[#Headers],[Include or Exclude]], 0,4)</f>
        <v/>
      </c>
    </row>
    <row r="124" spans="4:31" ht="20.100000000000001" customHeight="1" x14ac:dyDescent="0.25">
      <c r="D124" s="109" t="str" cm="1">
        <f t="array" ref="D124">Common_InputFunctions.Utility_DisplayArrayInTable(Fertiliser_SourceData.Fertiliser_Products_Data1(),FertiliserProducts[[#Headers],[Include or Exclude]], -1)</f>
        <v/>
      </c>
      <c r="E124" s="109" t="str" cm="1">
        <f t="array" ref="E124">Common_InputFunctions.Utility_DisplayArrayInTable(Fertiliser_SourceData.Fertiliser_Products_Data1(),FertiliserProducts[[#Headers],[Include or Exclude]], 0)</f>
        <v/>
      </c>
      <c r="F124" s="109" t="str" cm="1">
        <f t="array" ref="F124">Common_InputFunctions.Utility_DisplayArrayInTable(Fertiliser_SourceData.Fertiliser_Products_Data1(),FertiliserProducts[[#Headers],[Include or Exclude]], 0)</f>
        <v/>
      </c>
      <c r="G124" s="109" t="str" cm="1">
        <f t="array" ref="G124">Common_InputFunctions.Utility_DisplayArrayInTable(Fertiliser_SourceData.Fertiliser_Products_Data1(),FertiliserProducts[[#Headers],[Include or Exclude]], 0)</f>
        <v/>
      </c>
      <c r="H124" s="109" t="str" cm="1">
        <f t="array" ref="H124">Common_InputFunctions.Utility_DisplayArrayInTable(Fertiliser_SourceData.Fertiliser_Products_Data1(),FertiliserProducts[[#Headers],[Include or Exclude]], 0,4)</f>
        <v/>
      </c>
      <c r="I124" s="109" t="str" cm="1">
        <f t="array" ref="I124">Common_InputFunctions.Utility_DisplayArrayInTable(Fertiliser_SourceData.Fertiliser_Products_Data1(),FertiliserProducts[[#Headers],[Include or Exclude]], 0,4)</f>
        <v/>
      </c>
      <c r="J124" s="109" t="str" cm="1">
        <f t="array" ref="J124">Common_InputFunctions.Utility_DisplayArrayInTable(Fertiliser_SourceData.Fertiliser_Products_Data1(),FertiliserProducts[[#Headers],[Include or Exclude]], 0,4)</f>
        <v/>
      </c>
      <c r="K124" s="109" t="str" cm="1">
        <f t="array" ref="K124">Common_InputFunctions.Utility_DisplayArrayInTable(Fertiliser_SourceData.Fertiliser_Products_Data1(),FertiliserProducts[[#Headers],[Include or Exclude]], 0,4)</f>
        <v/>
      </c>
      <c r="L124" s="109" t="str" cm="1">
        <f t="array" ref="L124">Common_InputFunctions.Utility_DisplayArrayInTable(Fertiliser_SourceData.Fertiliser_Products_Data1(),FertiliserProducts[[#Headers],[Include or Exclude]], 0,4)</f>
        <v/>
      </c>
      <c r="M124" s="109" t="str" cm="1">
        <f t="array" ref="M124">Common_InputFunctions.Utility_DisplayArrayInTable(Fertiliser_SourceData.Fertiliser_Products_Data1(),FertiliserProducts[[#Headers],[Include or Exclude]], 0,4)</f>
        <v/>
      </c>
      <c r="N124" s="109" t="str" cm="1">
        <f t="array" ref="N124">Common_InputFunctions.Utility_DisplayArrayInTable(Fertiliser_SourceData.Fertiliser_Products_Data1(),FertiliserProducts[[#Headers],[Include or Exclude]], 0,4)</f>
        <v/>
      </c>
      <c r="O124" s="109" t="str" cm="1">
        <f t="array" ref="O124">Common_InputFunctions.Utility_DisplayArrayInTable(Fertiliser_SourceData.Fertiliser_Products_Data1(),FertiliserProducts[[#Headers],[Include or Exclude]], 0,4)</f>
        <v/>
      </c>
      <c r="P124" s="109" t="str" cm="1">
        <f t="array" ref="P124">Common_InputFunctions.Utility_DisplayArrayInTable(Fertiliser_SourceData.Fertiliser_Products_Data1(),FertiliserProducts[[#Headers],[Include or Exclude]], 0,4)</f>
        <v/>
      </c>
      <c r="Q124" s="109" t="str" cm="1">
        <f t="array" ref="Q124">Common_InputFunctions.Utility_DisplayArrayInTable(Fertiliser_SourceData.Fertiliser_Products_Data1(),FertiliserProducts[[#Headers],[Include or Exclude]], 0,4)</f>
        <v/>
      </c>
      <c r="R124" s="109" t="str" cm="1">
        <f t="array" ref="R124">Common_InputFunctions.Utility_DisplayArrayInTable(Fertiliser_SourceData.Fertiliser_Products_Data1(),FertiliserProducts[[#Headers],[Include or Exclude]], 0,4)</f>
        <v/>
      </c>
      <c r="S124" s="109" t="str" cm="1">
        <f t="array" ref="S124">Common_InputFunctions.Utility_DisplayArrayInTable(Fertiliser_SourceData.Fertiliser_Products_Data1(),FertiliserProducts[[#Headers],[Include or Exclude]], 0,4)</f>
        <v/>
      </c>
      <c r="T124" s="109" t="str" cm="1">
        <f t="array" ref="T124">Common_InputFunctions.Utility_DisplayArrayInTable(Fertiliser_SourceData.Fertiliser_Products_Data1(),FertiliserProducts[[#Headers],[Include or Exclude]], 0,4)</f>
        <v/>
      </c>
      <c r="U124" s="109" t="str" cm="1">
        <f t="array" ref="U124">Common_InputFunctions.Utility_DisplayArrayInTable(Fertiliser_SourceData.Fertiliser_Products_Data1(),FertiliserProducts[[#Headers],[Include or Exclude]], 0,4)</f>
        <v/>
      </c>
      <c r="V124" s="109" t="str" cm="1">
        <f t="array" ref="V124">Common_InputFunctions.Utility_DisplayArrayInTable(Fertiliser_SourceData.Fertiliser_Products_Data1(),FertiliserProducts[[#Headers],[Include or Exclude]], 0,4)</f>
        <v/>
      </c>
      <c r="W124" s="109" t="str" cm="1">
        <f t="array" ref="W124">Common_InputFunctions.Utility_DisplayArrayInTable(Fertiliser_SourceData.Fertiliser_Products_Data1(),FertiliserProducts[[#Headers],[Include or Exclude]], 0,4)</f>
        <v/>
      </c>
      <c r="X124" s="109" t="str" cm="1">
        <f t="array" ref="X124">Common_InputFunctions.Utility_DisplayArrayInTable(Fertiliser_SourceData.Fertiliser_Products_Data1(),FertiliserProducts[[#Headers],[Include or Exclude]], 0,4)</f>
        <v/>
      </c>
      <c r="Y124" s="109" t="str" cm="1">
        <f t="array" ref="Y124">Common_InputFunctions.Utility_DisplayArrayInTable(Fertiliser_SourceData.Fertiliser_Products_Data1(),FertiliserProducts[[#Headers],[Include or Exclude]], 0,4)</f>
        <v/>
      </c>
      <c r="Z124" s="109" t="str" cm="1">
        <f t="array" ref="Z124">Common_InputFunctions.Utility_DisplayArrayInTable(Fertiliser_SourceData.Fertiliser_Products_Data1(),FertiliserProducts[[#Headers],[Include or Exclude]], 0,4)</f>
        <v/>
      </c>
      <c r="AA124" s="109" t="str" cm="1">
        <f t="array" ref="AA124">Common_InputFunctions.Utility_DisplayArrayInTable(Fertiliser_SourceData.Fertiliser_Products_Data1(),FertiliserProducts[[#Headers],[Include or Exclude]], 0,4)</f>
        <v/>
      </c>
      <c r="AB124" s="109" t="str" cm="1">
        <f t="array" ref="AB124">Common_InputFunctions.Utility_DisplayArrayInTable(Fertiliser_SourceData.Fertiliser_Products_Data1(),FertiliserProducts[[#Headers],[Include or Exclude]], 0,4)</f>
        <v/>
      </c>
      <c r="AC124" s="109" t="str" cm="1">
        <f t="array" ref="AC124">Common_InputFunctions.Utility_DisplayArrayInTable(Fertiliser_SourceData.Fertiliser_Products_Data1(),FertiliserProducts[[#Headers],[Include or Exclude]], 0,4)</f>
        <v/>
      </c>
      <c r="AD124" s="109" t="str" cm="1">
        <f t="array" ref="AD124">Common_InputFunctions.Utility_DisplayArrayInTable(Fertiliser_SourceData.Fertiliser_Products_Data1(),FertiliserProducts[[#Headers],[Include or Exclude]], 0,4)</f>
        <v/>
      </c>
      <c r="AE124" s="109" t="str" cm="1">
        <f t="array" ref="AE124">Common_InputFunctions.Utility_DisplayArrayInTable(Fertiliser_SourceData.Fertiliser_Products_Data1(),FertiliserProducts[[#Headers],[Include or Exclude]], 0,4)</f>
        <v/>
      </c>
    </row>
    <row r="125" spans="4:31" ht="20.100000000000001" customHeight="1" x14ac:dyDescent="0.25">
      <c r="D125" s="109" t="str" cm="1">
        <f t="array" ref="D125">Common_InputFunctions.Utility_DisplayArrayInTable(Fertiliser_SourceData.Fertiliser_Products_Data1(),FertiliserProducts[[#Headers],[Include or Exclude]], -1)</f>
        <v/>
      </c>
      <c r="E125" s="109" t="str" cm="1">
        <f t="array" ref="E125">Common_InputFunctions.Utility_DisplayArrayInTable(Fertiliser_SourceData.Fertiliser_Products_Data1(),FertiliserProducts[[#Headers],[Include or Exclude]], 0)</f>
        <v/>
      </c>
      <c r="F125" s="109" t="str" cm="1">
        <f t="array" ref="F125">Common_InputFunctions.Utility_DisplayArrayInTable(Fertiliser_SourceData.Fertiliser_Products_Data1(),FertiliserProducts[[#Headers],[Include or Exclude]], 0)</f>
        <v/>
      </c>
      <c r="G125" s="109" t="str" cm="1">
        <f t="array" ref="G125">Common_InputFunctions.Utility_DisplayArrayInTable(Fertiliser_SourceData.Fertiliser_Products_Data1(),FertiliserProducts[[#Headers],[Include or Exclude]], 0)</f>
        <v/>
      </c>
      <c r="H125" s="109" t="str" cm="1">
        <f t="array" ref="H125">Common_InputFunctions.Utility_DisplayArrayInTable(Fertiliser_SourceData.Fertiliser_Products_Data1(),FertiliserProducts[[#Headers],[Include or Exclude]], 0,4)</f>
        <v/>
      </c>
      <c r="I125" s="109" t="str" cm="1">
        <f t="array" ref="I125">Common_InputFunctions.Utility_DisplayArrayInTable(Fertiliser_SourceData.Fertiliser_Products_Data1(),FertiliserProducts[[#Headers],[Include or Exclude]], 0,4)</f>
        <v/>
      </c>
      <c r="J125" s="109" t="str" cm="1">
        <f t="array" ref="J125">Common_InputFunctions.Utility_DisplayArrayInTable(Fertiliser_SourceData.Fertiliser_Products_Data1(),FertiliserProducts[[#Headers],[Include or Exclude]], 0,4)</f>
        <v/>
      </c>
      <c r="K125" s="109" t="str" cm="1">
        <f t="array" ref="K125">Common_InputFunctions.Utility_DisplayArrayInTable(Fertiliser_SourceData.Fertiliser_Products_Data1(),FertiliserProducts[[#Headers],[Include or Exclude]], 0,4)</f>
        <v/>
      </c>
      <c r="L125" s="109" t="str" cm="1">
        <f t="array" ref="L125">Common_InputFunctions.Utility_DisplayArrayInTable(Fertiliser_SourceData.Fertiliser_Products_Data1(),FertiliserProducts[[#Headers],[Include or Exclude]], 0,4)</f>
        <v/>
      </c>
      <c r="M125" s="109" t="str" cm="1">
        <f t="array" ref="M125">Common_InputFunctions.Utility_DisplayArrayInTable(Fertiliser_SourceData.Fertiliser_Products_Data1(),FertiliserProducts[[#Headers],[Include or Exclude]], 0,4)</f>
        <v/>
      </c>
      <c r="N125" s="109" t="str" cm="1">
        <f t="array" ref="N125">Common_InputFunctions.Utility_DisplayArrayInTable(Fertiliser_SourceData.Fertiliser_Products_Data1(),FertiliserProducts[[#Headers],[Include or Exclude]], 0,4)</f>
        <v/>
      </c>
      <c r="O125" s="109" t="str" cm="1">
        <f t="array" ref="O125">Common_InputFunctions.Utility_DisplayArrayInTable(Fertiliser_SourceData.Fertiliser_Products_Data1(),FertiliserProducts[[#Headers],[Include or Exclude]], 0,4)</f>
        <v/>
      </c>
      <c r="P125" s="109" t="str" cm="1">
        <f t="array" ref="P125">Common_InputFunctions.Utility_DisplayArrayInTable(Fertiliser_SourceData.Fertiliser_Products_Data1(),FertiliserProducts[[#Headers],[Include or Exclude]], 0,4)</f>
        <v/>
      </c>
      <c r="Q125" s="109" t="str" cm="1">
        <f t="array" ref="Q125">Common_InputFunctions.Utility_DisplayArrayInTable(Fertiliser_SourceData.Fertiliser_Products_Data1(),FertiliserProducts[[#Headers],[Include or Exclude]], 0,4)</f>
        <v/>
      </c>
      <c r="R125" s="109" t="str" cm="1">
        <f t="array" ref="R125">Common_InputFunctions.Utility_DisplayArrayInTable(Fertiliser_SourceData.Fertiliser_Products_Data1(),FertiliserProducts[[#Headers],[Include or Exclude]], 0,4)</f>
        <v/>
      </c>
      <c r="S125" s="109" t="str" cm="1">
        <f t="array" ref="S125">Common_InputFunctions.Utility_DisplayArrayInTable(Fertiliser_SourceData.Fertiliser_Products_Data1(),FertiliserProducts[[#Headers],[Include or Exclude]], 0,4)</f>
        <v/>
      </c>
      <c r="T125" s="109" t="str" cm="1">
        <f t="array" ref="T125">Common_InputFunctions.Utility_DisplayArrayInTable(Fertiliser_SourceData.Fertiliser_Products_Data1(),FertiliserProducts[[#Headers],[Include or Exclude]], 0,4)</f>
        <v/>
      </c>
      <c r="U125" s="109" t="str" cm="1">
        <f t="array" ref="U125">Common_InputFunctions.Utility_DisplayArrayInTable(Fertiliser_SourceData.Fertiliser_Products_Data1(),FertiliserProducts[[#Headers],[Include or Exclude]], 0,4)</f>
        <v/>
      </c>
      <c r="V125" s="109" t="str" cm="1">
        <f t="array" ref="V125">Common_InputFunctions.Utility_DisplayArrayInTable(Fertiliser_SourceData.Fertiliser_Products_Data1(),FertiliserProducts[[#Headers],[Include or Exclude]], 0,4)</f>
        <v/>
      </c>
      <c r="W125" s="109" t="str" cm="1">
        <f t="array" ref="W125">Common_InputFunctions.Utility_DisplayArrayInTable(Fertiliser_SourceData.Fertiliser_Products_Data1(),FertiliserProducts[[#Headers],[Include or Exclude]], 0,4)</f>
        <v/>
      </c>
      <c r="X125" s="109" t="str" cm="1">
        <f t="array" ref="X125">Common_InputFunctions.Utility_DisplayArrayInTable(Fertiliser_SourceData.Fertiliser_Products_Data1(),FertiliserProducts[[#Headers],[Include or Exclude]], 0,4)</f>
        <v/>
      </c>
      <c r="Y125" s="109" t="str" cm="1">
        <f t="array" ref="Y125">Common_InputFunctions.Utility_DisplayArrayInTable(Fertiliser_SourceData.Fertiliser_Products_Data1(),FertiliserProducts[[#Headers],[Include or Exclude]], 0,4)</f>
        <v/>
      </c>
      <c r="Z125" s="109" t="str" cm="1">
        <f t="array" ref="Z125">Common_InputFunctions.Utility_DisplayArrayInTable(Fertiliser_SourceData.Fertiliser_Products_Data1(),FertiliserProducts[[#Headers],[Include or Exclude]], 0,4)</f>
        <v/>
      </c>
      <c r="AA125" s="109" t="str" cm="1">
        <f t="array" ref="AA125">Common_InputFunctions.Utility_DisplayArrayInTable(Fertiliser_SourceData.Fertiliser_Products_Data1(),FertiliserProducts[[#Headers],[Include or Exclude]], 0,4)</f>
        <v/>
      </c>
      <c r="AB125" s="109" t="str" cm="1">
        <f t="array" ref="AB125">Common_InputFunctions.Utility_DisplayArrayInTable(Fertiliser_SourceData.Fertiliser_Products_Data1(),FertiliserProducts[[#Headers],[Include or Exclude]], 0,4)</f>
        <v/>
      </c>
      <c r="AC125" s="109" t="str" cm="1">
        <f t="array" ref="AC125">Common_InputFunctions.Utility_DisplayArrayInTable(Fertiliser_SourceData.Fertiliser_Products_Data1(),FertiliserProducts[[#Headers],[Include or Exclude]], 0,4)</f>
        <v/>
      </c>
      <c r="AD125" s="109" t="str" cm="1">
        <f t="array" ref="AD125">Common_InputFunctions.Utility_DisplayArrayInTable(Fertiliser_SourceData.Fertiliser_Products_Data1(),FertiliserProducts[[#Headers],[Include or Exclude]], 0,4)</f>
        <v/>
      </c>
      <c r="AE125" s="109" t="str" cm="1">
        <f t="array" ref="AE125">Common_InputFunctions.Utility_DisplayArrayInTable(Fertiliser_SourceData.Fertiliser_Products_Data1(),FertiliserProducts[[#Headers],[Include or Exclude]], 0,4)</f>
        <v/>
      </c>
    </row>
    <row r="126" spans="4:31" ht="20.100000000000001" customHeight="1" x14ac:dyDescent="0.25">
      <c r="D126" s="109" t="str" cm="1">
        <f t="array" ref="D126">Common_InputFunctions.Utility_DisplayArrayInTable(Fertiliser_SourceData.Fertiliser_Products_Data1(),FertiliserProducts[[#Headers],[Include or Exclude]], -1)</f>
        <v/>
      </c>
      <c r="E126" s="109" t="str" cm="1">
        <f t="array" ref="E126">Common_InputFunctions.Utility_DisplayArrayInTable(Fertiliser_SourceData.Fertiliser_Products_Data1(),FertiliserProducts[[#Headers],[Include or Exclude]], 0)</f>
        <v/>
      </c>
      <c r="F126" s="109" t="str" cm="1">
        <f t="array" ref="F126">Common_InputFunctions.Utility_DisplayArrayInTable(Fertiliser_SourceData.Fertiliser_Products_Data1(),FertiliserProducts[[#Headers],[Include or Exclude]], 0)</f>
        <v/>
      </c>
      <c r="G126" s="109" t="str" cm="1">
        <f t="array" ref="G126">Common_InputFunctions.Utility_DisplayArrayInTable(Fertiliser_SourceData.Fertiliser_Products_Data1(),FertiliserProducts[[#Headers],[Include or Exclude]], 0)</f>
        <v/>
      </c>
      <c r="H126" s="109" t="str" cm="1">
        <f t="array" ref="H126">Common_InputFunctions.Utility_DisplayArrayInTable(Fertiliser_SourceData.Fertiliser_Products_Data1(),FertiliserProducts[[#Headers],[Include or Exclude]], 0,4)</f>
        <v/>
      </c>
      <c r="I126" s="109" t="str" cm="1">
        <f t="array" ref="I126">Common_InputFunctions.Utility_DisplayArrayInTable(Fertiliser_SourceData.Fertiliser_Products_Data1(),FertiliserProducts[[#Headers],[Include or Exclude]], 0,4)</f>
        <v/>
      </c>
      <c r="J126" s="109" t="str" cm="1">
        <f t="array" ref="J126">Common_InputFunctions.Utility_DisplayArrayInTable(Fertiliser_SourceData.Fertiliser_Products_Data1(),FertiliserProducts[[#Headers],[Include or Exclude]], 0,4)</f>
        <v/>
      </c>
      <c r="K126" s="109" t="str" cm="1">
        <f t="array" ref="K126">Common_InputFunctions.Utility_DisplayArrayInTable(Fertiliser_SourceData.Fertiliser_Products_Data1(),FertiliserProducts[[#Headers],[Include or Exclude]], 0,4)</f>
        <v/>
      </c>
      <c r="L126" s="109" t="str" cm="1">
        <f t="array" ref="L126">Common_InputFunctions.Utility_DisplayArrayInTable(Fertiliser_SourceData.Fertiliser_Products_Data1(),FertiliserProducts[[#Headers],[Include or Exclude]], 0,4)</f>
        <v/>
      </c>
      <c r="M126" s="109" t="str" cm="1">
        <f t="array" ref="M126">Common_InputFunctions.Utility_DisplayArrayInTable(Fertiliser_SourceData.Fertiliser_Products_Data1(),FertiliserProducts[[#Headers],[Include or Exclude]], 0,4)</f>
        <v/>
      </c>
      <c r="N126" s="109" t="str" cm="1">
        <f t="array" ref="N126">Common_InputFunctions.Utility_DisplayArrayInTable(Fertiliser_SourceData.Fertiliser_Products_Data1(),FertiliserProducts[[#Headers],[Include or Exclude]], 0,4)</f>
        <v/>
      </c>
      <c r="O126" s="109" t="str" cm="1">
        <f t="array" ref="O126">Common_InputFunctions.Utility_DisplayArrayInTable(Fertiliser_SourceData.Fertiliser_Products_Data1(),FertiliserProducts[[#Headers],[Include or Exclude]], 0,4)</f>
        <v/>
      </c>
      <c r="P126" s="109" t="str" cm="1">
        <f t="array" ref="P126">Common_InputFunctions.Utility_DisplayArrayInTable(Fertiliser_SourceData.Fertiliser_Products_Data1(),FertiliserProducts[[#Headers],[Include or Exclude]], 0,4)</f>
        <v/>
      </c>
      <c r="Q126" s="109" t="str" cm="1">
        <f t="array" ref="Q126">Common_InputFunctions.Utility_DisplayArrayInTable(Fertiliser_SourceData.Fertiliser_Products_Data1(),FertiliserProducts[[#Headers],[Include or Exclude]], 0,4)</f>
        <v/>
      </c>
      <c r="R126" s="109" t="str" cm="1">
        <f t="array" ref="R126">Common_InputFunctions.Utility_DisplayArrayInTable(Fertiliser_SourceData.Fertiliser_Products_Data1(),FertiliserProducts[[#Headers],[Include or Exclude]], 0,4)</f>
        <v/>
      </c>
      <c r="S126" s="109" t="str" cm="1">
        <f t="array" ref="S126">Common_InputFunctions.Utility_DisplayArrayInTable(Fertiliser_SourceData.Fertiliser_Products_Data1(),FertiliserProducts[[#Headers],[Include or Exclude]], 0,4)</f>
        <v/>
      </c>
      <c r="T126" s="109" t="str" cm="1">
        <f t="array" ref="T126">Common_InputFunctions.Utility_DisplayArrayInTable(Fertiliser_SourceData.Fertiliser_Products_Data1(),FertiliserProducts[[#Headers],[Include or Exclude]], 0,4)</f>
        <v/>
      </c>
      <c r="U126" s="109" t="str" cm="1">
        <f t="array" ref="U126">Common_InputFunctions.Utility_DisplayArrayInTable(Fertiliser_SourceData.Fertiliser_Products_Data1(),FertiliserProducts[[#Headers],[Include or Exclude]], 0,4)</f>
        <v/>
      </c>
      <c r="V126" s="109" t="str" cm="1">
        <f t="array" ref="V126">Common_InputFunctions.Utility_DisplayArrayInTable(Fertiliser_SourceData.Fertiliser_Products_Data1(),FertiliserProducts[[#Headers],[Include or Exclude]], 0,4)</f>
        <v/>
      </c>
      <c r="W126" s="109" t="str" cm="1">
        <f t="array" ref="W126">Common_InputFunctions.Utility_DisplayArrayInTable(Fertiliser_SourceData.Fertiliser_Products_Data1(),FertiliserProducts[[#Headers],[Include or Exclude]], 0,4)</f>
        <v/>
      </c>
      <c r="X126" s="109" t="str" cm="1">
        <f t="array" ref="X126">Common_InputFunctions.Utility_DisplayArrayInTable(Fertiliser_SourceData.Fertiliser_Products_Data1(),FertiliserProducts[[#Headers],[Include or Exclude]], 0,4)</f>
        <v/>
      </c>
      <c r="Y126" s="109" t="str" cm="1">
        <f t="array" ref="Y126">Common_InputFunctions.Utility_DisplayArrayInTable(Fertiliser_SourceData.Fertiliser_Products_Data1(),FertiliserProducts[[#Headers],[Include or Exclude]], 0,4)</f>
        <v/>
      </c>
      <c r="Z126" s="109" t="str" cm="1">
        <f t="array" ref="Z126">Common_InputFunctions.Utility_DisplayArrayInTable(Fertiliser_SourceData.Fertiliser_Products_Data1(),FertiliserProducts[[#Headers],[Include or Exclude]], 0,4)</f>
        <v/>
      </c>
      <c r="AA126" s="109" t="str" cm="1">
        <f t="array" ref="AA126">Common_InputFunctions.Utility_DisplayArrayInTable(Fertiliser_SourceData.Fertiliser_Products_Data1(),FertiliserProducts[[#Headers],[Include or Exclude]], 0,4)</f>
        <v/>
      </c>
      <c r="AB126" s="109" t="str" cm="1">
        <f t="array" ref="AB126">Common_InputFunctions.Utility_DisplayArrayInTable(Fertiliser_SourceData.Fertiliser_Products_Data1(),FertiliserProducts[[#Headers],[Include or Exclude]], 0,4)</f>
        <v/>
      </c>
      <c r="AC126" s="109" t="str" cm="1">
        <f t="array" ref="AC126">Common_InputFunctions.Utility_DisplayArrayInTable(Fertiliser_SourceData.Fertiliser_Products_Data1(),FertiliserProducts[[#Headers],[Include or Exclude]], 0,4)</f>
        <v/>
      </c>
      <c r="AD126" s="109" t="str" cm="1">
        <f t="array" ref="AD126">Common_InputFunctions.Utility_DisplayArrayInTable(Fertiliser_SourceData.Fertiliser_Products_Data1(),FertiliserProducts[[#Headers],[Include or Exclude]], 0,4)</f>
        <v/>
      </c>
      <c r="AE126" s="109" t="str" cm="1">
        <f t="array" ref="AE126">Common_InputFunctions.Utility_DisplayArrayInTable(Fertiliser_SourceData.Fertiliser_Products_Data1(),FertiliserProducts[[#Headers],[Include or Exclude]], 0,4)</f>
        <v/>
      </c>
    </row>
    <row r="127" spans="4:31" ht="20.100000000000001" customHeight="1" x14ac:dyDescent="0.25">
      <c r="D127" s="109" t="str" cm="1">
        <f t="array" ref="D127">Common_InputFunctions.Utility_DisplayArrayInTable(Fertiliser_SourceData.Fertiliser_Products_Data1(),FertiliserProducts[[#Headers],[Include or Exclude]], -1)</f>
        <v/>
      </c>
      <c r="E127" s="109" t="str" cm="1">
        <f t="array" ref="E127">Common_InputFunctions.Utility_DisplayArrayInTable(Fertiliser_SourceData.Fertiliser_Products_Data1(),FertiliserProducts[[#Headers],[Include or Exclude]], 0)</f>
        <v/>
      </c>
      <c r="F127" s="109" t="str" cm="1">
        <f t="array" ref="F127">Common_InputFunctions.Utility_DisplayArrayInTable(Fertiliser_SourceData.Fertiliser_Products_Data1(),FertiliserProducts[[#Headers],[Include or Exclude]], 0)</f>
        <v/>
      </c>
      <c r="G127" s="109" t="str" cm="1">
        <f t="array" ref="G127">Common_InputFunctions.Utility_DisplayArrayInTable(Fertiliser_SourceData.Fertiliser_Products_Data1(),FertiliserProducts[[#Headers],[Include or Exclude]], 0)</f>
        <v/>
      </c>
      <c r="H127" s="109" t="str" cm="1">
        <f t="array" ref="H127">Common_InputFunctions.Utility_DisplayArrayInTable(Fertiliser_SourceData.Fertiliser_Products_Data1(),FertiliserProducts[[#Headers],[Include or Exclude]], 0,4)</f>
        <v/>
      </c>
      <c r="I127" s="109" t="str" cm="1">
        <f t="array" ref="I127">Common_InputFunctions.Utility_DisplayArrayInTable(Fertiliser_SourceData.Fertiliser_Products_Data1(),FertiliserProducts[[#Headers],[Include or Exclude]], 0,4)</f>
        <v/>
      </c>
      <c r="J127" s="109" t="str" cm="1">
        <f t="array" ref="J127">Common_InputFunctions.Utility_DisplayArrayInTable(Fertiliser_SourceData.Fertiliser_Products_Data1(),FertiliserProducts[[#Headers],[Include or Exclude]], 0,4)</f>
        <v/>
      </c>
      <c r="K127" s="109" t="str" cm="1">
        <f t="array" ref="K127">Common_InputFunctions.Utility_DisplayArrayInTable(Fertiliser_SourceData.Fertiliser_Products_Data1(),FertiliserProducts[[#Headers],[Include or Exclude]], 0,4)</f>
        <v/>
      </c>
      <c r="L127" s="109" t="str" cm="1">
        <f t="array" ref="L127">Common_InputFunctions.Utility_DisplayArrayInTable(Fertiliser_SourceData.Fertiliser_Products_Data1(),FertiliserProducts[[#Headers],[Include or Exclude]], 0,4)</f>
        <v/>
      </c>
      <c r="M127" s="109" t="str" cm="1">
        <f t="array" ref="M127">Common_InputFunctions.Utility_DisplayArrayInTable(Fertiliser_SourceData.Fertiliser_Products_Data1(),FertiliserProducts[[#Headers],[Include or Exclude]], 0,4)</f>
        <v/>
      </c>
      <c r="N127" s="109" t="str" cm="1">
        <f t="array" ref="N127">Common_InputFunctions.Utility_DisplayArrayInTable(Fertiliser_SourceData.Fertiliser_Products_Data1(),FertiliserProducts[[#Headers],[Include or Exclude]], 0,4)</f>
        <v/>
      </c>
      <c r="O127" s="109" t="str" cm="1">
        <f t="array" ref="O127">Common_InputFunctions.Utility_DisplayArrayInTable(Fertiliser_SourceData.Fertiliser_Products_Data1(),FertiliserProducts[[#Headers],[Include or Exclude]], 0,4)</f>
        <v/>
      </c>
      <c r="P127" s="109" t="str" cm="1">
        <f t="array" ref="P127">Common_InputFunctions.Utility_DisplayArrayInTable(Fertiliser_SourceData.Fertiliser_Products_Data1(),FertiliserProducts[[#Headers],[Include or Exclude]], 0,4)</f>
        <v/>
      </c>
      <c r="Q127" s="109" t="str" cm="1">
        <f t="array" ref="Q127">Common_InputFunctions.Utility_DisplayArrayInTable(Fertiliser_SourceData.Fertiliser_Products_Data1(),FertiliserProducts[[#Headers],[Include or Exclude]], 0,4)</f>
        <v/>
      </c>
      <c r="R127" s="109" t="str" cm="1">
        <f t="array" ref="R127">Common_InputFunctions.Utility_DisplayArrayInTable(Fertiliser_SourceData.Fertiliser_Products_Data1(),FertiliserProducts[[#Headers],[Include or Exclude]], 0,4)</f>
        <v/>
      </c>
      <c r="S127" s="109" t="str" cm="1">
        <f t="array" ref="S127">Common_InputFunctions.Utility_DisplayArrayInTable(Fertiliser_SourceData.Fertiliser_Products_Data1(),FertiliserProducts[[#Headers],[Include or Exclude]], 0,4)</f>
        <v/>
      </c>
      <c r="T127" s="109" t="str" cm="1">
        <f t="array" ref="T127">Common_InputFunctions.Utility_DisplayArrayInTable(Fertiliser_SourceData.Fertiliser_Products_Data1(),FertiliserProducts[[#Headers],[Include or Exclude]], 0,4)</f>
        <v/>
      </c>
      <c r="U127" s="109" t="str" cm="1">
        <f t="array" ref="U127">Common_InputFunctions.Utility_DisplayArrayInTable(Fertiliser_SourceData.Fertiliser_Products_Data1(),FertiliserProducts[[#Headers],[Include or Exclude]], 0,4)</f>
        <v/>
      </c>
      <c r="V127" s="109" t="str" cm="1">
        <f t="array" ref="V127">Common_InputFunctions.Utility_DisplayArrayInTable(Fertiliser_SourceData.Fertiliser_Products_Data1(),FertiliserProducts[[#Headers],[Include or Exclude]], 0,4)</f>
        <v/>
      </c>
      <c r="W127" s="109" t="str" cm="1">
        <f t="array" ref="W127">Common_InputFunctions.Utility_DisplayArrayInTable(Fertiliser_SourceData.Fertiliser_Products_Data1(),FertiliserProducts[[#Headers],[Include or Exclude]], 0,4)</f>
        <v/>
      </c>
      <c r="X127" s="109" t="str" cm="1">
        <f t="array" ref="X127">Common_InputFunctions.Utility_DisplayArrayInTable(Fertiliser_SourceData.Fertiliser_Products_Data1(),FertiliserProducts[[#Headers],[Include or Exclude]], 0,4)</f>
        <v/>
      </c>
      <c r="Y127" s="109" t="str" cm="1">
        <f t="array" ref="Y127">Common_InputFunctions.Utility_DisplayArrayInTable(Fertiliser_SourceData.Fertiliser_Products_Data1(),FertiliserProducts[[#Headers],[Include or Exclude]], 0,4)</f>
        <v/>
      </c>
      <c r="Z127" s="109" t="str" cm="1">
        <f t="array" ref="Z127">Common_InputFunctions.Utility_DisplayArrayInTable(Fertiliser_SourceData.Fertiliser_Products_Data1(),FertiliserProducts[[#Headers],[Include or Exclude]], 0,4)</f>
        <v/>
      </c>
      <c r="AA127" s="109" t="str" cm="1">
        <f t="array" ref="AA127">Common_InputFunctions.Utility_DisplayArrayInTable(Fertiliser_SourceData.Fertiliser_Products_Data1(),FertiliserProducts[[#Headers],[Include or Exclude]], 0,4)</f>
        <v/>
      </c>
      <c r="AB127" s="109" t="str" cm="1">
        <f t="array" ref="AB127">Common_InputFunctions.Utility_DisplayArrayInTable(Fertiliser_SourceData.Fertiliser_Products_Data1(),FertiliserProducts[[#Headers],[Include or Exclude]], 0,4)</f>
        <v/>
      </c>
      <c r="AC127" s="109" t="str" cm="1">
        <f t="array" ref="AC127">Common_InputFunctions.Utility_DisplayArrayInTable(Fertiliser_SourceData.Fertiliser_Products_Data1(),FertiliserProducts[[#Headers],[Include or Exclude]], 0,4)</f>
        <v/>
      </c>
      <c r="AD127" s="109" t="str" cm="1">
        <f t="array" ref="AD127">Common_InputFunctions.Utility_DisplayArrayInTable(Fertiliser_SourceData.Fertiliser_Products_Data1(),FertiliserProducts[[#Headers],[Include or Exclude]], 0,4)</f>
        <v/>
      </c>
      <c r="AE127" s="109" t="str" cm="1">
        <f t="array" ref="AE127">Common_InputFunctions.Utility_DisplayArrayInTable(Fertiliser_SourceData.Fertiliser_Products_Data1(),FertiliserProducts[[#Headers],[Include or Exclude]], 0,4)</f>
        <v/>
      </c>
    </row>
    <row r="128" spans="4:31" ht="20.100000000000001" customHeight="1" x14ac:dyDescent="0.25">
      <c r="D128" s="109" t="str" cm="1">
        <f t="array" ref="D128">Common_InputFunctions.Utility_DisplayArrayInTable(Fertiliser_SourceData.Fertiliser_Products_Data1(),FertiliserProducts[[#Headers],[Include or Exclude]], -1)</f>
        <v/>
      </c>
      <c r="E128" s="109" t="str" cm="1">
        <f t="array" ref="E128">Common_InputFunctions.Utility_DisplayArrayInTable(Fertiliser_SourceData.Fertiliser_Products_Data1(),FertiliserProducts[[#Headers],[Include or Exclude]], 0)</f>
        <v/>
      </c>
      <c r="F128" s="109" t="str" cm="1">
        <f t="array" ref="F128">Common_InputFunctions.Utility_DisplayArrayInTable(Fertiliser_SourceData.Fertiliser_Products_Data1(),FertiliserProducts[[#Headers],[Include or Exclude]], 0)</f>
        <v/>
      </c>
      <c r="G128" s="109" t="str" cm="1">
        <f t="array" ref="G128">Common_InputFunctions.Utility_DisplayArrayInTable(Fertiliser_SourceData.Fertiliser_Products_Data1(),FertiliserProducts[[#Headers],[Include or Exclude]], 0)</f>
        <v/>
      </c>
      <c r="H128" s="109" t="str" cm="1">
        <f t="array" ref="H128">Common_InputFunctions.Utility_DisplayArrayInTable(Fertiliser_SourceData.Fertiliser_Products_Data1(),FertiliserProducts[[#Headers],[Include or Exclude]], 0,4)</f>
        <v/>
      </c>
      <c r="I128" s="109" t="str" cm="1">
        <f t="array" ref="I128">Common_InputFunctions.Utility_DisplayArrayInTable(Fertiliser_SourceData.Fertiliser_Products_Data1(),FertiliserProducts[[#Headers],[Include or Exclude]], 0,4)</f>
        <v/>
      </c>
      <c r="J128" s="109" t="str" cm="1">
        <f t="array" ref="J128">Common_InputFunctions.Utility_DisplayArrayInTable(Fertiliser_SourceData.Fertiliser_Products_Data1(),FertiliserProducts[[#Headers],[Include or Exclude]], 0,4)</f>
        <v/>
      </c>
      <c r="K128" s="109" t="str" cm="1">
        <f t="array" ref="K128">Common_InputFunctions.Utility_DisplayArrayInTable(Fertiliser_SourceData.Fertiliser_Products_Data1(),FertiliserProducts[[#Headers],[Include or Exclude]], 0,4)</f>
        <v/>
      </c>
      <c r="L128" s="109" t="str" cm="1">
        <f t="array" ref="L128">Common_InputFunctions.Utility_DisplayArrayInTable(Fertiliser_SourceData.Fertiliser_Products_Data1(),FertiliserProducts[[#Headers],[Include or Exclude]], 0,4)</f>
        <v/>
      </c>
      <c r="M128" s="109" t="str" cm="1">
        <f t="array" ref="M128">Common_InputFunctions.Utility_DisplayArrayInTable(Fertiliser_SourceData.Fertiliser_Products_Data1(),FertiliserProducts[[#Headers],[Include or Exclude]], 0,4)</f>
        <v/>
      </c>
      <c r="N128" s="109" t="str" cm="1">
        <f t="array" ref="N128">Common_InputFunctions.Utility_DisplayArrayInTable(Fertiliser_SourceData.Fertiliser_Products_Data1(),FertiliserProducts[[#Headers],[Include or Exclude]], 0,4)</f>
        <v/>
      </c>
      <c r="O128" s="109" t="str" cm="1">
        <f t="array" ref="O128">Common_InputFunctions.Utility_DisplayArrayInTable(Fertiliser_SourceData.Fertiliser_Products_Data1(),FertiliserProducts[[#Headers],[Include or Exclude]], 0,4)</f>
        <v/>
      </c>
      <c r="P128" s="109" t="str" cm="1">
        <f t="array" ref="P128">Common_InputFunctions.Utility_DisplayArrayInTable(Fertiliser_SourceData.Fertiliser_Products_Data1(),FertiliserProducts[[#Headers],[Include or Exclude]], 0,4)</f>
        <v/>
      </c>
      <c r="Q128" s="109" t="str" cm="1">
        <f t="array" ref="Q128">Common_InputFunctions.Utility_DisplayArrayInTable(Fertiliser_SourceData.Fertiliser_Products_Data1(),FertiliserProducts[[#Headers],[Include or Exclude]], 0,4)</f>
        <v/>
      </c>
      <c r="R128" s="109" t="str" cm="1">
        <f t="array" ref="R128">Common_InputFunctions.Utility_DisplayArrayInTable(Fertiliser_SourceData.Fertiliser_Products_Data1(),FertiliserProducts[[#Headers],[Include or Exclude]], 0,4)</f>
        <v/>
      </c>
      <c r="S128" s="109" t="str" cm="1">
        <f t="array" ref="S128">Common_InputFunctions.Utility_DisplayArrayInTable(Fertiliser_SourceData.Fertiliser_Products_Data1(),FertiliserProducts[[#Headers],[Include or Exclude]], 0,4)</f>
        <v/>
      </c>
      <c r="T128" s="109" t="str" cm="1">
        <f t="array" ref="T128">Common_InputFunctions.Utility_DisplayArrayInTable(Fertiliser_SourceData.Fertiliser_Products_Data1(),FertiliserProducts[[#Headers],[Include or Exclude]], 0,4)</f>
        <v/>
      </c>
      <c r="U128" s="109" t="str" cm="1">
        <f t="array" ref="U128">Common_InputFunctions.Utility_DisplayArrayInTable(Fertiliser_SourceData.Fertiliser_Products_Data1(),FertiliserProducts[[#Headers],[Include or Exclude]], 0,4)</f>
        <v/>
      </c>
      <c r="V128" s="109" t="str" cm="1">
        <f t="array" ref="V128">Common_InputFunctions.Utility_DisplayArrayInTable(Fertiliser_SourceData.Fertiliser_Products_Data1(),FertiliserProducts[[#Headers],[Include or Exclude]], 0,4)</f>
        <v/>
      </c>
      <c r="W128" s="109" t="str" cm="1">
        <f t="array" ref="W128">Common_InputFunctions.Utility_DisplayArrayInTable(Fertiliser_SourceData.Fertiliser_Products_Data1(),FertiliserProducts[[#Headers],[Include or Exclude]], 0,4)</f>
        <v/>
      </c>
      <c r="X128" s="109" t="str" cm="1">
        <f t="array" ref="X128">Common_InputFunctions.Utility_DisplayArrayInTable(Fertiliser_SourceData.Fertiliser_Products_Data1(),FertiliserProducts[[#Headers],[Include or Exclude]], 0,4)</f>
        <v/>
      </c>
      <c r="Y128" s="109" t="str" cm="1">
        <f t="array" ref="Y128">Common_InputFunctions.Utility_DisplayArrayInTable(Fertiliser_SourceData.Fertiliser_Products_Data1(),FertiliserProducts[[#Headers],[Include or Exclude]], 0,4)</f>
        <v/>
      </c>
      <c r="Z128" s="109" t="str" cm="1">
        <f t="array" ref="Z128">Common_InputFunctions.Utility_DisplayArrayInTable(Fertiliser_SourceData.Fertiliser_Products_Data1(),FertiliserProducts[[#Headers],[Include or Exclude]], 0,4)</f>
        <v/>
      </c>
      <c r="AA128" s="109" t="str" cm="1">
        <f t="array" ref="AA128">Common_InputFunctions.Utility_DisplayArrayInTable(Fertiliser_SourceData.Fertiliser_Products_Data1(),FertiliserProducts[[#Headers],[Include or Exclude]], 0,4)</f>
        <v/>
      </c>
      <c r="AB128" s="109" t="str" cm="1">
        <f t="array" ref="AB128">Common_InputFunctions.Utility_DisplayArrayInTable(Fertiliser_SourceData.Fertiliser_Products_Data1(),FertiliserProducts[[#Headers],[Include or Exclude]], 0,4)</f>
        <v/>
      </c>
      <c r="AC128" s="109" t="str" cm="1">
        <f t="array" ref="AC128">Common_InputFunctions.Utility_DisplayArrayInTable(Fertiliser_SourceData.Fertiliser_Products_Data1(),FertiliserProducts[[#Headers],[Include or Exclude]], 0,4)</f>
        <v/>
      </c>
      <c r="AD128" s="109" t="str" cm="1">
        <f t="array" ref="AD128">Common_InputFunctions.Utility_DisplayArrayInTable(Fertiliser_SourceData.Fertiliser_Products_Data1(),FertiliserProducts[[#Headers],[Include or Exclude]], 0,4)</f>
        <v/>
      </c>
      <c r="AE128" s="109" t="str" cm="1">
        <f t="array" ref="AE128">Common_InputFunctions.Utility_DisplayArrayInTable(Fertiliser_SourceData.Fertiliser_Products_Data1(),FertiliserProducts[[#Headers],[Include or Exclude]], 0,4)</f>
        <v/>
      </c>
    </row>
    <row r="129" spans="4:31" ht="20.100000000000001" customHeight="1" x14ac:dyDescent="0.25">
      <c r="D129" s="109" t="str" cm="1">
        <f t="array" ref="D129">Common_InputFunctions.Utility_DisplayArrayInTable(Fertiliser_SourceData.Fertiliser_Products_Data1(),FertiliserProducts[[#Headers],[Include or Exclude]], -1)</f>
        <v/>
      </c>
      <c r="E129" s="109" t="str" cm="1">
        <f t="array" ref="E129">Common_InputFunctions.Utility_DisplayArrayInTable(Fertiliser_SourceData.Fertiliser_Products_Data1(),FertiliserProducts[[#Headers],[Include or Exclude]], 0)</f>
        <v/>
      </c>
      <c r="F129" s="109" t="str" cm="1">
        <f t="array" ref="F129">Common_InputFunctions.Utility_DisplayArrayInTable(Fertiliser_SourceData.Fertiliser_Products_Data1(),FertiliserProducts[[#Headers],[Include or Exclude]], 0)</f>
        <v/>
      </c>
      <c r="G129" s="109" t="str" cm="1">
        <f t="array" ref="G129">Common_InputFunctions.Utility_DisplayArrayInTable(Fertiliser_SourceData.Fertiliser_Products_Data1(),FertiliserProducts[[#Headers],[Include or Exclude]], 0)</f>
        <v/>
      </c>
      <c r="H129" s="109" t="str" cm="1">
        <f t="array" ref="H129">Common_InputFunctions.Utility_DisplayArrayInTable(Fertiliser_SourceData.Fertiliser_Products_Data1(),FertiliserProducts[[#Headers],[Include or Exclude]], 0,4)</f>
        <v/>
      </c>
      <c r="I129" s="109" t="str" cm="1">
        <f t="array" ref="I129">Common_InputFunctions.Utility_DisplayArrayInTable(Fertiliser_SourceData.Fertiliser_Products_Data1(),FertiliserProducts[[#Headers],[Include or Exclude]], 0,4)</f>
        <v/>
      </c>
      <c r="J129" s="109" t="str" cm="1">
        <f t="array" ref="J129">Common_InputFunctions.Utility_DisplayArrayInTable(Fertiliser_SourceData.Fertiliser_Products_Data1(),FertiliserProducts[[#Headers],[Include or Exclude]], 0,4)</f>
        <v/>
      </c>
      <c r="K129" s="109" t="str" cm="1">
        <f t="array" ref="K129">Common_InputFunctions.Utility_DisplayArrayInTable(Fertiliser_SourceData.Fertiliser_Products_Data1(),FertiliserProducts[[#Headers],[Include or Exclude]], 0,4)</f>
        <v/>
      </c>
      <c r="L129" s="109" t="str" cm="1">
        <f t="array" ref="L129">Common_InputFunctions.Utility_DisplayArrayInTable(Fertiliser_SourceData.Fertiliser_Products_Data1(),FertiliserProducts[[#Headers],[Include or Exclude]], 0,4)</f>
        <v/>
      </c>
      <c r="M129" s="109" t="str" cm="1">
        <f t="array" ref="M129">Common_InputFunctions.Utility_DisplayArrayInTable(Fertiliser_SourceData.Fertiliser_Products_Data1(),FertiliserProducts[[#Headers],[Include or Exclude]], 0,4)</f>
        <v/>
      </c>
      <c r="N129" s="109" t="str" cm="1">
        <f t="array" ref="N129">Common_InputFunctions.Utility_DisplayArrayInTable(Fertiliser_SourceData.Fertiliser_Products_Data1(),FertiliserProducts[[#Headers],[Include or Exclude]], 0,4)</f>
        <v/>
      </c>
      <c r="O129" s="109" t="str" cm="1">
        <f t="array" ref="O129">Common_InputFunctions.Utility_DisplayArrayInTable(Fertiliser_SourceData.Fertiliser_Products_Data1(),FertiliserProducts[[#Headers],[Include or Exclude]], 0,4)</f>
        <v/>
      </c>
      <c r="P129" s="109" t="str" cm="1">
        <f t="array" ref="P129">Common_InputFunctions.Utility_DisplayArrayInTable(Fertiliser_SourceData.Fertiliser_Products_Data1(),FertiliserProducts[[#Headers],[Include or Exclude]], 0,4)</f>
        <v/>
      </c>
      <c r="Q129" s="109" t="str" cm="1">
        <f t="array" ref="Q129">Common_InputFunctions.Utility_DisplayArrayInTable(Fertiliser_SourceData.Fertiliser_Products_Data1(),FertiliserProducts[[#Headers],[Include or Exclude]], 0,4)</f>
        <v/>
      </c>
      <c r="R129" s="109" t="str" cm="1">
        <f t="array" ref="R129">Common_InputFunctions.Utility_DisplayArrayInTable(Fertiliser_SourceData.Fertiliser_Products_Data1(),FertiliserProducts[[#Headers],[Include or Exclude]], 0,4)</f>
        <v/>
      </c>
      <c r="S129" s="109" t="str" cm="1">
        <f t="array" ref="S129">Common_InputFunctions.Utility_DisplayArrayInTable(Fertiliser_SourceData.Fertiliser_Products_Data1(),FertiliserProducts[[#Headers],[Include or Exclude]], 0,4)</f>
        <v/>
      </c>
      <c r="T129" s="109" t="str" cm="1">
        <f t="array" ref="T129">Common_InputFunctions.Utility_DisplayArrayInTable(Fertiliser_SourceData.Fertiliser_Products_Data1(),FertiliserProducts[[#Headers],[Include or Exclude]], 0,4)</f>
        <v/>
      </c>
      <c r="U129" s="109" t="str" cm="1">
        <f t="array" ref="U129">Common_InputFunctions.Utility_DisplayArrayInTable(Fertiliser_SourceData.Fertiliser_Products_Data1(),FertiliserProducts[[#Headers],[Include or Exclude]], 0,4)</f>
        <v/>
      </c>
      <c r="V129" s="109" t="str" cm="1">
        <f t="array" ref="V129">Common_InputFunctions.Utility_DisplayArrayInTable(Fertiliser_SourceData.Fertiliser_Products_Data1(),FertiliserProducts[[#Headers],[Include or Exclude]], 0,4)</f>
        <v/>
      </c>
      <c r="W129" s="109" t="str" cm="1">
        <f t="array" ref="W129">Common_InputFunctions.Utility_DisplayArrayInTable(Fertiliser_SourceData.Fertiliser_Products_Data1(),FertiliserProducts[[#Headers],[Include or Exclude]], 0,4)</f>
        <v/>
      </c>
      <c r="X129" s="109" t="str" cm="1">
        <f t="array" ref="X129">Common_InputFunctions.Utility_DisplayArrayInTable(Fertiliser_SourceData.Fertiliser_Products_Data1(),FertiliserProducts[[#Headers],[Include or Exclude]], 0,4)</f>
        <v/>
      </c>
      <c r="Y129" s="109" t="str" cm="1">
        <f t="array" ref="Y129">Common_InputFunctions.Utility_DisplayArrayInTable(Fertiliser_SourceData.Fertiliser_Products_Data1(),FertiliserProducts[[#Headers],[Include or Exclude]], 0,4)</f>
        <v/>
      </c>
      <c r="Z129" s="109" t="str" cm="1">
        <f t="array" ref="Z129">Common_InputFunctions.Utility_DisplayArrayInTable(Fertiliser_SourceData.Fertiliser_Products_Data1(),FertiliserProducts[[#Headers],[Include or Exclude]], 0,4)</f>
        <v/>
      </c>
      <c r="AA129" s="109" t="str" cm="1">
        <f t="array" ref="AA129">Common_InputFunctions.Utility_DisplayArrayInTable(Fertiliser_SourceData.Fertiliser_Products_Data1(),FertiliserProducts[[#Headers],[Include or Exclude]], 0,4)</f>
        <v/>
      </c>
      <c r="AB129" s="109" t="str" cm="1">
        <f t="array" ref="AB129">Common_InputFunctions.Utility_DisplayArrayInTable(Fertiliser_SourceData.Fertiliser_Products_Data1(),FertiliserProducts[[#Headers],[Include or Exclude]], 0,4)</f>
        <v/>
      </c>
      <c r="AC129" s="109" t="str" cm="1">
        <f t="array" ref="AC129">Common_InputFunctions.Utility_DisplayArrayInTable(Fertiliser_SourceData.Fertiliser_Products_Data1(),FertiliserProducts[[#Headers],[Include or Exclude]], 0,4)</f>
        <v/>
      </c>
      <c r="AD129" s="109" t="str" cm="1">
        <f t="array" ref="AD129">Common_InputFunctions.Utility_DisplayArrayInTable(Fertiliser_SourceData.Fertiliser_Products_Data1(),FertiliserProducts[[#Headers],[Include or Exclude]], 0,4)</f>
        <v/>
      </c>
      <c r="AE129" s="109" t="str" cm="1">
        <f t="array" ref="AE129">Common_InputFunctions.Utility_DisplayArrayInTable(Fertiliser_SourceData.Fertiliser_Products_Data1(),FertiliserProducts[[#Headers],[Include or Exclude]], 0,4)</f>
        <v/>
      </c>
    </row>
    <row r="130" spans="4:31" ht="20.100000000000001" customHeight="1" x14ac:dyDescent="0.25">
      <c r="D130" s="109" t="str" cm="1">
        <f t="array" ref="D130">Common_InputFunctions.Utility_DisplayArrayInTable(Fertiliser_SourceData.Fertiliser_Products_Data1(),FertiliserProducts[[#Headers],[Include or Exclude]], -1)</f>
        <v/>
      </c>
      <c r="E130" s="109" t="str" cm="1">
        <f t="array" ref="E130">Common_InputFunctions.Utility_DisplayArrayInTable(Fertiliser_SourceData.Fertiliser_Products_Data1(),FertiliserProducts[[#Headers],[Include or Exclude]], 0)</f>
        <v/>
      </c>
      <c r="F130" s="109" t="str" cm="1">
        <f t="array" ref="F130">Common_InputFunctions.Utility_DisplayArrayInTable(Fertiliser_SourceData.Fertiliser_Products_Data1(),FertiliserProducts[[#Headers],[Include or Exclude]], 0)</f>
        <v/>
      </c>
      <c r="G130" s="109" t="str" cm="1">
        <f t="array" ref="G130">Common_InputFunctions.Utility_DisplayArrayInTable(Fertiliser_SourceData.Fertiliser_Products_Data1(),FertiliserProducts[[#Headers],[Include or Exclude]], 0)</f>
        <v/>
      </c>
      <c r="H130" s="109" t="str" cm="1">
        <f t="array" ref="H130">Common_InputFunctions.Utility_DisplayArrayInTable(Fertiliser_SourceData.Fertiliser_Products_Data1(),FertiliserProducts[[#Headers],[Include or Exclude]], 0,4)</f>
        <v/>
      </c>
      <c r="I130" s="109" t="str" cm="1">
        <f t="array" ref="I130">Common_InputFunctions.Utility_DisplayArrayInTable(Fertiliser_SourceData.Fertiliser_Products_Data1(),FertiliserProducts[[#Headers],[Include or Exclude]], 0,4)</f>
        <v/>
      </c>
      <c r="J130" s="109" t="str" cm="1">
        <f t="array" ref="J130">Common_InputFunctions.Utility_DisplayArrayInTable(Fertiliser_SourceData.Fertiliser_Products_Data1(),FertiliserProducts[[#Headers],[Include or Exclude]], 0,4)</f>
        <v/>
      </c>
      <c r="K130" s="109" t="str" cm="1">
        <f t="array" ref="K130">Common_InputFunctions.Utility_DisplayArrayInTable(Fertiliser_SourceData.Fertiliser_Products_Data1(),FertiliserProducts[[#Headers],[Include or Exclude]], 0,4)</f>
        <v/>
      </c>
      <c r="L130" s="109" t="str" cm="1">
        <f t="array" ref="L130">Common_InputFunctions.Utility_DisplayArrayInTable(Fertiliser_SourceData.Fertiliser_Products_Data1(),FertiliserProducts[[#Headers],[Include or Exclude]], 0,4)</f>
        <v/>
      </c>
      <c r="M130" s="109" t="str" cm="1">
        <f t="array" ref="M130">Common_InputFunctions.Utility_DisplayArrayInTable(Fertiliser_SourceData.Fertiliser_Products_Data1(),FertiliserProducts[[#Headers],[Include or Exclude]], 0,4)</f>
        <v/>
      </c>
      <c r="N130" s="109" t="str" cm="1">
        <f t="array" ref="N130">Common_InputFunctions.Utility_DisplayArrayInTable(Fertiliser_SourceData.Fertiliser_Products_Data1(),FertiliserProducts[[#Headers],[Include or Exclude]], 0,4)</f>
        <v/>
      </c>
      <c r="O130" s="109" t="str" cm="1">
        <f t="array" ref="O130">Common_InputFunctions.Utility_DisplayArrayInTable(Fertiliser_SourceData.Fertiliser_Products_Data1(),FertiliserProducts[[#Headers],[Include or Exclude]], 0,4)</f>
        <v/>
      </c>
      <c r="P130" s="109" t="str" cm="1">
        <f t="array" ref="P130">Common_InputFunctions.Utility_DisplayArrayInTable(Fertiliser_SourceData.Fertiliser_Products_Data1(),FertiliserProducts[[#Headers],[Include or Exclude]], 0,4)</f>
        <v/>
      </c>
      <c r="Q130" s="109" t="str" cm="1">
        <f t="array" ref="Q130">Common_InputFunctions.Utility_DisplayArrayInTable(Fertiliser_SourceData.Fertiliser_Products_Data1(),FertiliserProducts[[#Headers],[Include or Exclude]], 0,4)</f>
        <v/>
      </c>
      <c r="R130" s="109" t="str" cm="1">
        <f t="array" ref="R130">Common_InputFunctions.Utility_DisplayArrayInTable(Fertiliser_SourceData.Fertiliser_Products_Data1(),FertiliserProducts[[#Headers],[Include or Exclude]], 0,4)</f>
        <v/>
      </c>
      <c r="S130" s="109" t="str" cm="1">
        <f t="array" ref="S130">Common_InputFunctions.Utility_DisplayArrayInTable(Fertiliser_SourceData.Fertiliser_Products_Data1(),FertiliserProducts[[#Headers],[Include or Exclude]], 0,4)</f>
        <v/>
      </c>
      <c r="T130" s="109" t="str" cm="1">
        <f t="array" ref="T130">Common_InputFunctions.Utility_DisplayArrayInTable(Fertiliser_SourceData.Fertiliser_Products_Data1(),FertiliserProducts[[#Headers],[Include or Exclude]], 0,4)</f>
        <v/>
      </c>
      <c r="U130" s="109" t="str" cm="1">
        <f t="array" ref="U130">Common_InputFunctions.Utility_DisplayArrayInTable(Fertiliser_SourceData.Fertiliser_Products_Data1(),FertiliserProducts[[#Headers],[Include or Exclude]], 0,4)</f>
        <v/>
      </c>
      <c r="V130" s="109" t="str" cm="1">
        <f t="array" ref="V130">Common_InputFunctions.Utility_DisplayArrayInTable(Fertiliser_SourceData.Fertiliser_Products_Data1(),FertiliserProducts[[#Headers],[Include or Exclude]], 0,4)</f>
        <v/>
      </c>
      <c r="W130" s="109" t="str" cm="1">
        <f t="array" ref="W130">Common_InputFunctions.Utility_DisplayArrayInTable(Fertiliser_SourceData.Fertiliser_Products_Data1(),FertiliserProducts[[#Headers],[Include or Exclude]], 0,4)</f>
        <v/>
      </c>
      <c r="X130" s="109" t="str" cm="1">
        <f t="array" ref="X130">Common_InputFunctions.Utility_DisplayArrayInTable(Fertiliser_SourceData.Fertiliser_Products_Data1(),FertiliserProducts[[#Headers],[Include or Exclude]], 0,4)</f>
        <v/>
      </c>
      <c r="Y130" s="109" t="str" cm="1">
        <f t="array" ref="Y130">Common_InputFunctions.Utility_DisplayArrayInTable(Fertiliser_SourceData.Fertiliser_Products_Data1(),FertiliserProducts[[#Headers],[Include or Exclude]], 0,4)</f>
        <v/>
      </c>
      <c r="Z130" s="109" t="str" cm="1">
        <f t="array" ref="Z130">Common_InputFunctions.Utility_DisplayArrayInTable(Fertiliser_SourceData.Fertiliser_Products_Data1(),FertiliserProducts[[#Headers],[Include or Exclude]], 0,4)</f>
        <v/>
      </c>
      <c r="AA130" s="109" t="str" cm="1">
        <f t="array" ref="AA130">Common_InputFunctions.Utility_DisplayArrayInTable(Fertiliser_SourceData.Fertiliser_Products_Data1(),FertiliserProducts[[#Headers],[Include or Exclude]], 0,4)</f>
        <v/>
      </c>
      <c r="AB130" s="109" t="str" cm="1">
        <f t="array" ref="AB130">Common_InputFunctions.Utility_DisplayArrayInTable(Fertiliser_SourceData.Fertiliser_Products_Data1(),FertiliserProducts[[#Headers],[Include or Exclude]], 0,4)</f>
        <v/>
      </c>
      <c r="AC130" s="109" t="str" cm="1">
        <f t="array" ref="AC130">Common_InputFunctions.Utility_DisplayArrayInTable(Fertiliser_SourceData.Fertiliser_Products_Data1(),FertiliserProducts[[#Headers],[Include or Exclude]], 0,4)</f>
        <v/>
      </c>
      <c r="AD130" s="109" t="str" cm="1">
        <f t="array" ref="AD130">Common_InputFunctions.Utility_DisplayArrayInTable(Fertiliser_SourceData.Fertiliser_Products_Data1(),FertiliserProducts[[#Headers],[Include or Exclude]], 0,4)</f>
        <v/>
      </c>
      <c r="AE130" s="109" t="str" cm="1">
        <f t="array" ref="AE130">Common_InputFunctions.Utility_DisplayArrayInTable(Fertiliser_SourceData.Fertiliser_Products_Data1(),FertiliserProducts[[#Headers],[Include or Exclude]], 0,4)</f>
        <v/>
      </c>
    </row>
    <row r="131" spans="4:31" ht="20.100000000000001" customHeight="1" x14ac:dyDescent="0.25">
      <c r="D131" s="109" t="str" cm="1">
        <f t="array" ref="D131">Common_InputFunctions.Utility_DisplayArrayInTable(Fertiliser_SourceData.Fertiliser_Products_Data1(),FertiliserProducts[[#Headers],[Include or Exclude]], -1)</f>
        <v/>
      </c>
      <c r="E131" s="109" t="str" cm="1">
        <f t="array" ref="E131">Common_InputFunctions.Utility_DisplayArrayInTable(Fertiliser_SourceData.Fertiliser_Products_Data1(),FertiliserProducts[[#Headers],[Include or Exclude]], 0)</f>
        <v/>
      </c>
      <c r="F131" s="109" t="str" cm="1">
        <f t="array" ref="F131">Common_InputFunctions.Utility_DisplayArrayInTable(Fertiliser_SourceData.Fertiliser_Products_Data1(),FertiliserProducts[[#Headers],[Include or Exclude]], 0)</f>
        <v/>
      </c>
      <c r="G131" s="109" t="str" cm="1">
        <f t="array" ref="G131">Common_InputFunctions.Utility_DisplayArrayInTable(Fertiliser_SourceData.Fertiliser_Products_Data1(),FertiliserProducts[[#Headers],[Include or Exclude]], 0)</f>
        <v/>
      </c>
      <c r="H131" s="109" t="str" cm="1">
        <f t="array" ref="H131">Common_InputFunctions.Utility_DisplayArrayInTable(Fertiliser_SourceData.Fertiliser_Products_Data1(),FertiliserProducts[[#Headers],[Include or Exclude]], 0,4)</f>
        <v/>
      </c>
      <c r="I131" s="109" t="str" cm="1">
        <f t="array" ref="I131">Common_InputFunctions.Utility_DisplayArrayInTable(Fertiliser_SourceData.Fertiliser_Products_Data1(),FertiliserProducts[[#Headers],[Include or Exclude]], 0,4)</f>
        <v/>
      </c>
      <c r="J131" s="109" t="str" cm="1">
        <f t="array" ref="J131">Common_InputFunctions.Utility_DisplayArrayInTable(Fertiliser_SourceData.Fertiliser_Products_Data1(),FertiliserProducts[[#Headers],[Include or Exclude]], 0,4)</f>
        <v/>
      </c>
      <c r="K131" s="109" t="str" cm="1">
        <f t="array" ref="K131">Common_InputFunctions.Utility_DisplayArrayInTable(Fertiliser_SourceData.Fertiliser_Products_Data1(),FertiliserProducts[[#Headers],[Include or Exclude]], 0,4)</f>
        <v/>
      </c>
      <c r="L131" s="109" t="str" cm="1">
        <f t="array" ref="L131">Common_InputFunctions.Utility_DisplayArrayInTable(Fertiliser_SourceData.Fertiliser_Products_Data1(),FertiliserProducts[[#Headers],[Include or Exclude]], 0,4)</f>
        <v/>
      </c>
      <c r="M131" s="109" t="str" cm="1">
        <f t="array" ref="M131">Common_InputFunctions.Utility_DisplayArrayInTable(Fertiliser_SourceData.Fertiliser_Products_Data1(),FertiliserProducts[[#Headers],[Include or Exclude]], 0,4)</f>
        <v/>
      </c>
      <c r="N131" s="109" t="str" cm="1">
        <f t="array" ref="N131">Common_InputFunctions.Utility_DisplayArrayInTable(Fertiliser_SourceData.Fertiliser_Products_Data1(),FertiliserProducts[[#Headers],[Include or Exclude]], 0,4)</f>
        <v/>
      </c>
      <c r="O131" s="109" t="str" cm="1">
        <f t="array" ref="O131">Common_InputFunctions.Utility_DisplayArrayInTable(Fertiliser_SourceData.Fertiliser_Products_Data1(),FertiliserProducts[[#Headers],[Include or Exclude]], 0,4)</f>
        <v/>
      </c>
      <c r="P131" s="109" t="str" cm="1">
        <f t="array" ref="P131">Common_InputFunctions.Utility_DisplayArrayInTable(Fertiliser_SourceData.Fertiliser_Products_Data1(),FertiliserProducts[[#Headers],[Include or Exclude]], 0,4)</f>
        <v/>
      </c>
      <c r="Q131" s="109" t="str" cm="1">
        <f t="array" ref="Q131">Common_InputFunctions.Utility_DisplayArrayInTable(Fertiliser_SourceData.Fertiliser_Products_Data1(),FertiliserProducts[[#Headers],[Include or Exclude]], 0,4)</f>
        <v/>
      </c>
      <c r="R131" s="109" t="str" cm="1">
        <f t="array" ref="R131">Common_InputFunctions.Utility_DisplayArrayInTable(Fertiliser_SourceData.Fertiliser_Products_Data1(),FertiliserProducts[[#Headers],[Include or Exclude]], 0,4)</f>
        <v/>
      </c>
      <c r="S131" s="109" t="str" cm="1">
        <f t="array" ref="S131">Common_InputFunctions.Utility_DisplayArrayInTable(Fertiliser_SourceData.Fertiliser_Products_Data1(),FertiliserProducts[[#Headers],[Include or Exclude]], 0,4)</f>
        <v/>
      </c>
      <c r="T131" s="109" t="str" cm="1">
        <f t="array" ref="T131">Common_InputFunctions.Utility_DisplayArrayInTable(Fertiliser_SourceData.Fertiliser_Products_Data1(),FertiliserProducts[[#Headers],[Include or Exclude]], 0,4)</f>
        <v/>
      </c>
      <c r="U131" s="109" t="str" cm="1">
        <f t="array" ref="U131">Common_InputFunctions.Utility_DisplayArrayInTable(Fertiliser_SourceData.Fertiliser_Products_Data1(),FertiliserProducts[[#Headers],[Include or Exclude]], 0,4)</f>
        <v/>
      </c>
      <c r="V131" s="109" t="str" cm="1">
        <f t="array" ref="V131">Common_InputFunctions.Utility_DisplayArrayInTable(Fertiliser_SourceData.Fertiliser_Products_Data1(),FertiliserProducts[[#Headers],[Include or Exclude]], 0,4)</f>
        <v/>
      </c>
      <c r="W131" s="109" t="str" cm="1">
        <f t="array" ref="W131">Common_InputFunctions.Utility_DisplayArrayInTable(Fertiliser_SourceData.Fertiliser_Products_Data1(),FertiliserProducts[[#Headers],[Include or Exclude]], 0,4)</f>
        <v/>
      </c>
      <c r="X131" s="109" t="str" cm="1">
        <f t="array" ref="X131">Common_InputFunctions.Utility_DisplayArrayInTable(Fertiliser_SourceData.Fertiliser_Products_Data1(),FertiliserProducts[[#Headers],[Include or Exclude]], 0,4)</f>
        <v/>
      </c>
      <c r="Y131" s="109" t="str" cm="1">
        <f t="array" ref="Y131">Common_InputFunctions.Utility_DisplayArrayInTable(Fertiliser_SourceData.Fertiliser_Products_Data1(),FertiliserProducts[[#Headers],[Include or Exclude]], 0,4)</f>
        <v/>
      </c>
      <c r="Z131" s="109" t="str" cm="1">
        <f t="array" ref="Z131">Common_InputFunctions.Utility_DisplayArrayInTable(Fertiliser_SourceData.Fertiliser_Products_Data1(),FertiliserProducts[[#Headers],[Include or Exclude]], 0,4)</f>
        <v/>
      </c>
      <c r="AA131" s="109" t="str" cm="1">
        <f t="array" ref="AA131">Common_InputFunctions.Utility_DisplayArrayInTable(Fertiliser_SourceData.Fertiliser_Products_Data1(),FertiliserProducts[[#Headers],[Include or Exclude]], 0,4)</f>
        <v/>
      </c>
      <c r="AB131" s="109" t="str" cm="1">
        <f t="array" ref="AB131">Common_InputFunctions.Utility_DisplayArrayInTable(Fertiliser_SourceData.Fertiliser_Products_Data1(),FertiliserProducts[[#Headers],[Include or Exclude]], 0,4)</f>
        <v/>
      </c>
      <c r="AC131" s="109" t="str" cm="1">
        <f t="array" ref="AC131">Common_InputFunctions.Utility_DisplayArrayInTable(Fertiliser_SourceData.Fertiliser_Products_Data1(),FertiliserProducts[[#Headers],[Include or Exclude]], 0,4)</f>
        <v/>
      </c>
      <c r="AD131" s="109" t="str" cm="1">
        <f t="array" ref="AD131">Common_InputFunctions.Utility_DisplayArrayInTable(Fertiliser_SourceData.Fertiliser_Products_Data1(),FertiliserProducts[[#Headers],[Include or Exclude]], 0,4)</f>
        <v/>
      </c>
      <c r="AE131" s="109" t="str" cm="1">
        <f t="array" ref="AE131">Common_InputFunctions.Utility_DisplayArrayInTable(Fertiliser_SourceData.Fertiliser_Products_Data1(),FertiliserProducts[[#Headers],[Include or Exclude]], 0,4)</f>
        <v/>
      </c>
    </row>
    <row r="132" spans="4:31" ht="20.100000000000001" customHeight="1" x14ac:dyDescent="0.25">
      <c r="D132" s="109" t="str" cm="1">
        <f t="array" ref="D132">Common_InputFunctions.Utility_DisplayArrayInTable(Fertiliser_SourceData.Fertiliser_Products_Data1(),FertiliserProducts[[#Headers],[Include or Exclude]], -1)</f>
        <v/>
      </c>
      <c r="E132" s="109" t="str" cm="1">
        <f t="array" ref="E132">Common_InputFunctions.Utility_DisplayArrayInTable(Fertiliser_SourceData.Fertiliser_Products_Data1(),FertiliserProducts[[#Headers],[Include or Exclude]], 0)</f>
        <v/>
      </c>
      <c r="F132" s="109" t="str" cm="1">
        <f t="array" ref="F132">Common_InputFunctions.Utility_DisplayArrayInTable(Fertiliser_SourceData.Fertiliser_Products_Data1(),FertiliserProducts[[#Headers],[Include or Exclude]], 0)</f>
        <v/>
      </c>
      <c r="G132" s="109" t="str" cm="1">
        <f t="array" ref="G132">Common_InputFunctions.Utility_DisplayArrayInTable(Fertiliser_SourceData.Fertiliser_Products_Data1(),FertiliserProducts[[#Headers],[Include or Exclude]], 0)</f>
        <v/>
      </c>
      <c r="H132" s="109" t="str" cm="1">
        <f t="array" ref="H132">Common_InputFunctions.Utility_DisplayArrayInTable(Fertiliser_SourceData.Fertiliser_Products_Data1(),FertiliserProducts[[#Headers],[Include or Exclude]], 0,4)</f>
        <v/>
      </c>
      <c r="I132" s="109" t="str" cm="1">
        <f t="array" ref="I132">Common_InputFunctions.Utility_DisplayArrayInTable(Fertiliser_SourceData.Fertiliser_Products_Data1(),FertiliserProducts[[#Headers],[Include or Exclude]], 0,4)</f>
        <v/>
      </c>
      <c r="J132" s="109" t="str" cm="1">
        <f t="array" ref="J132">Common_InputFunctions.Utility_DisplayArrayInTable(Fertiliser_SourceData.Fertiliser_Products_Data1(),FertiliserProducts[[#Headers],[Include or Exclude]], 0,4)</f>
        <v/>
      </c>
      <c r="K132" s="109" t="str" cm="1">
        <f t="array" ref="K132">Common_InputFunctions.Utility_DisplayArrayInTable(Fertiliser_SourceData.Fertiliser_Products_Data1(),FertiliserProducts[[#Headers],[Include or Exclude]], 0,4)</f>
        <v/>
      </c>
      <c r="L132" s="109" t="str" cm="1">
        <f t="array" ref="L132">Common_InputFunctions.Utility_DisplayArrayInTable(Fertiliser_SourceData.Fertiliser_Products_Data1(),FertiliserProducts[[#Headers],[Include or Exclude]], 0,4)</f>
        <v/>
      </c>
      <c r="M132" s="109" t="str" cm="1">
        <f t="array" ref="M132">Common_InputFunctions.Utility_DisplayArrayInTable(Fertiliser_SourceData.Fertiliser_Products_Data1(),FertiliserProducts[[#Headers],[Include or Exclude]], 0,4)</f>
        <v/>
      </c>
      <c r="N132" s="109" t="str" cm="1">
        <f t="array" ref="N132">Common_InputFunctions.Utility_DisplayArrayInTable(Fertiliser_SourceData.Fertiliser_Products_Data1(),FertiliserProducts[[#Headers],[Include or Exclude]], 0,4)</f>
        <v/>
      </c>
      <c r="O132" s="109" t="str" cm="1">
        <f t="array" ref="O132">Common_InputFunctions.Utility_DisplayArrayInTable(Fertiliser_SourceData.Fertiliser_Products_Data1(),FertiliserProducts[[#Headers],[Include or Exclude]], 0,4)</f>
        <v/>
      </c>
      <c r="P132" s="109" t="str" cm="1">
        <f t="array" ref="P132">Common_InputFunctions.Utility_DisplayArrayInTable(Fertiliser_SourceData.Fertiliser_Products_Data1(),FertiliserProducts[[#Headers],[Include or Exclude]], 0,4)</f>
        <v/>
      </c>
      <c r="Q132" s="109" t="str" cm="1">
        <f t="array" ref="Q132">Common_InputFunctions.Utility_DisplayArrayInTable(Fertiliser_SourceData.Fertiliser_Products_Data1(),FertiliserProducts[[#Headers],[Include or Exclude]], 0,4)</f>
        <v/>
      </c>
      <c r="R132" s="109" t="str" cm="1">
        <f t="array" ref="R132">Common_InputFunctions.Utility_DisplayArrayInTable(Fertiliser_SourceData.Fertiliser_Products_Data1(),FertiliserProducts[[#Headers],[Include or Exclude]], 0,4)</f>
        <v/>
      </c>
      <c r="S132" s="109" t="str" cm="1">
        <f t="array" ref="S132">Common_InputFunctions.Utility_DisplayArrayInTable(Fertiliser_SourceData.Fertiliser_Products_Data1(),FertiliserProducts[[#Headers],[Include or Exclude]], 0,4)</f>
        <v/>
      </c>
      <c r="T132" s="109" t="str" cm="1">
        <f t="array" ref="T132">Common_InputFunctions.Utility_DisplayArrayInTable(Fertiliser_SourceData.Fertiliser_Products_Data1(),FertiliserProducts[[#Headers],[Include or Exclude]], 0,4)</f>
        <v/>
      </c>
      <c r="U132" s="109" t="str" cm="1">
        <f t="array" ref="U132">Common_InputFunctions.Utility_DisplayArrayInTable(Fertiliser_SourceData.Fertiliser_Products_Data1(),FertiliserProducts[[#Headers],[Include or Exclude]], 0,4)</f>
        <v/>
      </c>
      <c r="V132" s="109" t="str" cm="1">
        <f t="array" ref="V132">Common_InputFunctions.Utility_DisplayArrayInTable(Fertiliser_SourceData.Fertiliser_Products_Data1(),FertiliserProducts[[#Headers],[Include or Exclude]], 0,4)</f>
        <v/>
      </c>
      <c r="W132" s="109" t="str" cm="1">
        <f t="array" ref="W132">Common_InputFunctions.Utility_DisplayArrayInTable(Fertiliser_SourceData.Fertiliser_Products_Data1(),FertiliserProducts[[#Headers],[Include or Exclude]], 0,4)</f>
        <v/>
      </c>
      <c r="X132" s="109" t="str" cm="1">
        <f t="array" ref="X132">Common_InputFunctions.Utility_DisplayArrayInTable(Fertiliser_SourceData.Fertiliser_Products_Data1(),FertiliserProducts[[#Headers],[Include or Exclude]], 0,4)</f>
        <v/>
      </c>
      <c r="Y132" s="109" t="str" cm="1">
        <f t="array" ref="Y132">Common_InputFunctions.Utility_DisplayArrayInTable(Fertiliser_SourceData.Fertiliser_Products_Data1(),FertiliserProducts[[#Headers],[Include or Exclude]], 0,4)</f>
        <v/>
      </c>
      <c r="Z132" s="109" t="str" cm="1">
        <f t="array" ref="Z132">Common_InputFunctions.Utility_DisplayArrayInTable(Fertiliser_SourceData.Fertiliser_Products_Data1(),FertiliserProducts[[#Headers],[Include or Exclude]], 0,4)</f>
        <v/>
      </c>
      <c r="AA132" s="109" t="str" cm="1">
        <f t="array" ref="AA132">Common_InputFunctions.Utility_DisplayArrayInTable(Fertiliser_SourceData.Fertiliser_Products_Data1(),FertiliserProducts[[#Headers],[Include or Exclude]], 0,4)</f>
        <v/>
      </c>
      <c r="AB132" s="109" t="str" cm="1">
        <f t="array" ref="AB132">Common_InputFunctions.Utility_DisplayArrayInTable(Fertiliser_SourceData.Fertiliser_Products_Data1(),FertiliserProducts[[#Headers],[Include or Exclude]], 0,4)</f>
        <v/>
      </c>
      <c r="AC132" s="109" t="str" cm="1">
        <f t="array" ref="AC132">Common_InputFunctions.Utility_DisplayArrayInTable(Fertiliser_SourceData.Fertiliser_Products_Data1(),FertiliserProducts[[#Headers],[Include or Exclude]], 0,4)</f>
        <v/>
      </c>
      <c r="AD132" s="109" t="str" cm="1">
        <f t="array" ref="AD132">Common_InputFunctions.Utility_DisplayArrayInTable(Fertiliser_SourceData.Fertiliser_Products_Data1(),FertiliserProducts[[#Headers],[Include or Exclude]], 0,4)</f>
        <v/>
      </c>
      <c r="AE132" s="109" t="str" cm="1">
        <f t="array" ref="AE132">Common_InputFunctions.Utility_DisplayArrayInTable(Fertiliser_SourceData.Fertiliser_Products_Data1(),FertiliserProducts[[#Headers],[Include or Exclude]], 0,4)</f>
        <v/>
      </c>
    </row>
    <row r="133" spans="4:31" ht="20.100000000000001" customHeight="1" x14ac:dyDescent="0.25">
      <c r="D133" s="109" t="str" cm="1">
        <f t="array" ref="D133">Common_InputFunctions.Utility_DisplayArrayInTable(Fertiliser_SourceData.Fertiliser_Products_Data1(),FertiliserProducts[[#Headers],[Include or Exclude]], -1)</f>
        <v/>
      </c>
      <c r="E133" s="109" t="str" cm="1">
        <f t="array" ref="E133">Common_InputFunctions.Utility_DisplayArrayInTable(Fertiliser_SourceData.Fertiliser_Products_Data1(),FertiliserProducts[[#Headers],[Include or Exclude]], 0)</f>
        <v/>
      </c>
      <c r="F133" s="109" t="str" cm="1">
        <f t="array" ref="F133">Common_InputFunctions.Utility_DisplayArrayInTable(Fertiliser_SourceData.Fertiliser_Products_Data1(),FertiliserProducts[[#Headers],[Include or Exclude]], 0)</f>
        <v/>
      </c>
      <c r="G133" s="109" t="str" cm="1">
        <f t="array" ref="G133">Common_InputFunctions.Utility_DisplayArrayInTable(Fertiliser_SourceData.Fertiliser_Products_Data1(),FertiliserProducts[[#Headers],[Include or Exclude]], 0)</f>
        <v/>
      </c>
      <c r="H133" s="109" t="str" cm="1">
        <f t="array" ref="H133">Common_InputFunctions.Utility_DisplayArrayInTable(Fertiliser_SourceData.Fertiliser_Products_Data1(),FertiliserProducts[[#Headers],[Include or Exclude]], 0,4)</f>
        <v/>
      </c>
      <c r="I133" s="109" t="str" cm="1">
        <f t="array" ref="I133">Common_InputFunctions.Utility_DisplayArrayInTable(Fertiliser_SourceData.Fertiliser_Products_Data1(),FertiliserProducts[[#Headers],[Include or Exclude]], 0,4)</f>
        <v/>
      </c>
      <c r="J133" s="109" t="str" cm="1">
        <f t="array" ref="J133">Common_InputFunctions.Utility_DisplayArrayInTable(Fertiliser_SourceData.Fertiliser_Products_Data1(),FertiliserProducts[[#Headers],[Include or Exclude]], 0,4)</f>
        <v/>
      </c>
      <c r="K133" s="109" t="str" cm="1">
        <f t="array" ref="K133">Common_InputFunctions.Utility_DisplayArrayInTable(Fertiliser_SourceData.Fertiliser_Products_Data1(),FertiliserProducts[[#Headers],[Include or Exclude]], 0,4)</f>
        <v/>
      </c>
      <c r="L133" s="109" t="str" cm="1">
        <f t="array" ref="L133">Common_InputFunctions.Utility_DisplayArrayInTable(Fertiliser_SourceData.Fertiliser_Products_Data1(),FertiliserProducts[[#Headers],[Include or Exclude]], 0,4)</f>
        <v/>
      </c>
      <c r="M133" s="109" t="str" cm="1">
        <f t="array" ref="M133">Common_InputFunctions.Utility_DisplayArrayInTable(Fertiliser_SourceData.Fertiliser_Products_Data1(),FertiliserProducts[[#Headers],[Include or Exclude]], 0,4)</f>
        <v/>
      </c>
      <c r="N133" s="109" t="str" cm="1">
        <f t="array" ref="N133">Common_InputFunctions.Utility_DisplayArrayInTable(Fertiliser_SourceData.Fertiliser_Products_Data1(),FertiliserProducts[[#Headers],[Include or Exclude]], 0,4)</f>
        <v/>
      </c>
      <c r="O133" s="109" t="str" cm="1">
        <f t="array" ref="O133">Common_InputFunctions.Utility_DisplayArrayInTable(Fertiliser_SourceData.Fertiliser_Products_Data1(),FertiliserProducts[[#Headers],[Include or Exclude]], 0,4)</f>
        <v/>
      </c>
      <c r="P133" s="109" t="str" cm="1">
        <f t="array" ref="P133">Common_InputFunctions.Utility_DisplayArrayInTable(Fertiliser_SourceData.Fertiliser_Products_Data1(),FertiliserProducts[[#Headers],[Include or Exclude]], 0,4)</f>
        <v/>
      </c>
      <c r="Q133" s="109" t="str" cm="1">
        <f t="array" ref="Q133">Common_InputFunctions.Utility_DisplayArrayInTable(Fertiliser_SourceData.Fertiliser_Products_Data1(),FertiliserProducts[[#Headers],[Include or Exclude]], 0,4)</f>
        <v/>
      </c>
      <c r="R133" s="109" t="str" cm="1">
        <f t="array" ref="R133">Common_InputFunctions.Utility_DisplayArrayInTable(Fertiliser_SourceData.Fertiliser_Products_Data1(),FertiliserProducts[[#Headers],[Include or Exclude]], 0,4)</f>
        <v/>
      </c>
      <c r="S133" s="109" t="str" cm="1">
        <f t="array" ref="S133">Common_InputFunctions.Utility_DisplayArrayInTable(Fertiliser_SourceData.Fertiliser_Products_Data1(),FertiliserProducts[[#Headers],[Include or Exclude]], 0,4)</f>
        <v/>
      </c>
      <c r="T133" s="109" t="str" cm="1">
        <f t="array" ref="T133">Common_InputFunctions.Utility_DisplayArrayInTable(Fertiliser_SourceData.Fertiliser_Products_Data1(),FertiliserProducts[[#Headers],[Include or Exclude]], 0,4)</f>
        <v/>
      </c>
      <c r="U133" s="109" t="str" cm="1">
        <f t="array" ref="U133">Common_InputFunctions.Utility_DisplayArrayInTable(Fertiliser_SourceData.Fertiliser_Products_Data1(),FertiliserProducts[[#Headers],[Include or Exclude]], 0,4)</f>
        <v/>
      </c>
      <c r="V133" s="109" t="str" cm="1">
        <f t="array" ref="V133">Common_InputFunctions.Utility_DisplayArrayInTable(Fertiliser_SourceData.Fertiliser_Products_Data1(),FertiliserProducts[[#Headers],[Include or Exclude]], 0,4)</f>
        <v/>
      </c>
      <c r="W133" s="109" t="str" cm="1">
        <f t="array" ref="W133">Common_InputFunctions.Utility_DisplayArrayInTable(Fertiliser_SourceData.Fertiliser_Products_Data1(),FertiliserProducts[[#Headers],[Include or Exclude]], 0,4)</f>
        <v/>
      </c>
      <c r="X133" s="109" t="str" cm="1">
        <f t="array" ref="X133">Common_InputFunctions.Utility_DisplayArrayInTable(Fertiliser_SourceData.Fertiliser_Products_Data1(),FertiliserProducts[[#Headers],[Include or Exclude]], 0,4)</f>
        <v/>
      </c>
      <c r="Y133" s="109" t="str" cm="1">
        <f t="array" ref="Y133">Common_InputFunctions.Utility_DisplayArrayInTable(Fertiliser_SourceData.Fertiliser_Products_Data1(),FertiliserProducts[[#Headers],[Include or Exclude]], 0,4)</f>
        <v/>
      </c>
      <c r="Z133" s="109" t="str" cm="1">
        <f t="array" ref="Z133">Common_InputFunctions.Utility_DisplayArrayInTable(Fertiliser_SourceData.Fertiliser_Products_Data1(),FertiliserProducts[[#Headers],[Include or Exclude]], 0,4)</f>
        <v/>
      </c>
      <c r="AA133" s="109" t="str" cm="1">
        <f t="array" ref="AA133">Common_InputFunctions.Utility_DisplayArrayInTable(Fertiliser_SourceData.Fertiliser_Products_Data1(),FertiliserProducts[[#Headers],[Include or Exclude]], 0,4)</f>
        <v/>
      </c>
      <c r="AB133" s="109" t="str" cm="1">
        <f t="array" ref="AB133">Common_InputFunctions.Utility_DisplayArrayInTable(Fertiliser_SourceData.Fertiliser_Products_Data1(),FertiliserProducts[[#Headers],[Include or Exclude]], 0,4)</f>
        <v/>
      </c>
      <c r="AC133" s="109" t="str" cm="1">
        <f t="array" ref="AC133">Common_InputFunctions.Utility_DisplayArrayInTable(Fertiliser_SourceData.Fertiliser_Products_Data1(),FertiliserProducts[[#Headers],[Include or Exclude]], 0,4)</f>
        <v/>
      </c>
      <c r="AD133" s="109" t="str" cm="1">
        <f t="array" ref="AD133">Common_InputFunctions.Utility_DisplayArrayInTable(Fertiliser_SourceData.Fertiliser_Products_Data1(),FertiliserProducts[[#Headers],[Include or Exclude]], 0,4)</f>
        <v/>
      </c>
      <c r="AE133" s="109" t="str" cm="1">
        <f t="array" ref="AE133">Common_InputFunctions.Utility_DisplayArrayInTable(Fertiliser_SourceData.Fertiliser_Products_Data1(),FertiliserProducts[[#Headers],[Include or Exclude]], 0,4)</f>
        <v/>
      </c>
    </row>
    <row r="134" spans="4:31" ht="20.100000000000001" customHeight="1" x14ac:dyDescent="0.25">
      <c r="D134" s="109" t="str" cm="1">
        <f t="array" ref="D134">Common_InputFunctions.Utility_DisplayArrayInTable(Fertiliser_SourceData.Fertiliser_Products_Data1(),FertiliserProducts[[#Headers],[Include or Exclude]], -1)</f>
        <v/>
      </c>
      <c r="E134" s="109" t="str" cm="1">
        <f t="array" ref="E134">Common_InputFunctions.Utility_DisplayArrayInTable(Fertiliser_SourceData.Fertiliser_Products_Data1(),FertiliserProducts[[#Headers],[Include or Exclude]], 0)</f>
        <v/>
      </c>
      <c r="F134" s="109" t="str" cm="1">
        <f t="array" ref="F134">Common_InputFunctions.Utility_DisplayArrayInTable(Fertiliser_SourceData.Fertiliser_Products_Data1(),FertiliserProducts[[#Headers],[Include or Exclude]], 0)</f>
        <v/>
      </c>
      <c r="G134" s="109" t="str" cm="1">
        <f t="array" ref="G134">Common_InputFunctions.Utility_DisplayArrayInTable(Fertiliser_SourceData.Fertiliser_Products_Data1(),FertiliserProducts[[#Headers],[Include or Exclude]], 0)</f>
        <v/>
      </c>
      <c r="H134" s="109" t="str" cm="1">
        <f t="array" ref="H134">Common_InputFunctions.Utility_DisplayArrayInTable(Fertiliser_SourceData.Fertiliser_Products_Data1(),FertiliserProducts[[#Headers],[Include or Exclude]], 0,4)</f>
        <v/>
      </c>
      <c r="I134" s="109" t="str" cm="1">
        <f t="array" ref="I134">Common_InputFunctions.Utility_DisplayArrayInTable(Fertiliser_SourceData.Fertiliser_Products_Data1(),FertiliserProducts[[#Headers],[Include or Exclude]], 0,4)</f>
        <v/>
      </c>
      <c r="J134" s="109" t="str" cm="1">
        <f t="array" ref="J134">Common_InputFunctions.Utility_DisplayArrayInTable(Fertiliser_SourceData.Fertiliser_Products_Data1(),FertiliserProducts[[#Headers],[Include or Exclude]], 0,4)</f>
        <v/>
      </c>
      <c r="K134" s="109" t="str" cm="1">
        <f t="array" ref="K134">Common_InputFunctions.Utility_DisplayArrayInTable(Fertiliser_SourceData.Fertiliser_Products_Data1(),FertiliserProducts[[#Headers],[Include or Exclude]], 0,4)</f>
        <v/>
      </c>
      <c r="L134" s="109" t="str" cm="1">
        <f t="array" ref="L134">Common_InputFunctions.Utility_DisplayArrayInTable(Fertiliser_SourceData.Fertiliser_Products_Data1(),FertiliserProducts[[#Headers],[Include or Exclude]], 0,4)</f>
        <v/>
      </c>
      <c r="M134" s="109" t="str" cm="1">
        <f t="array" ref="M134">Common_InputFunctions.Utility_DisplayArrayInTable(Fertiliser_SourceData.Fertiliser_Products_Data1(),FertiliserProducts[[#Headers],[Include or Exclude]], 0,4)</f>
        <v/>
      </c>
      <c r="N134" s="109" t="str" cm="1">
        <f t="array" ref="N134">Common_InputFunctions.Utility_DisplayArrayInTable(Fertiliser_SourceData.Fertiliser_Products_Data1(),FertiliserProducts[[#Headers],[Include or Exclude]], 0,4)</f>
        <v/>
      </c>
      <c r="O134" s="109" t="str" cm="1">
        <f t="array" ref="O134">Common_InputFunctions.Utility_DisplayArrayInTable(Fertiliser_SourceData.Fertiliser_Products_Data1(),FertiliserProducts[[#Headers],[Include or Exclude]], 0,4)</f>
        <v/>
      </c>
      <c r="P134" s="109" t="str" cm="1">
        <f t="array" ref="P134">Common_InputFunctions.Utility_DisplayArrayInTable(Fertiliser_SourceData.Fertiliser_Products_Data1(),FertiliserProducts[[#Headers],[Include or Exclude]], 0,4)</f>
        <v/>
      </c>
      <c r="Q134" s="109" t="str" cm="1">
        <f t="array" ref="Q134">Common_InputFunctions.Utility_DisplayArrayInTable(Fertiliser_SourceData.Fertiliser_Products_Data1(),FertiliserProducts[[#Headers],[Include or Exclude]], 0,4)</f>
        <v/>
      </c>
      <c r="R134" s="109" t="str" cm="1">
        <f t="array" ref="R134">Common_InputFunctions.Utility_DisplayArrayInTable(Fertiliser_SourceData.Fertiliser_Products_Data1(),FertiliserProducts[[#Headers],[Include or Exclude]], 0,4)</f>
        <v/>
      </c>
      <c r="S134" s="109" t="str" cm="1">
        <f t="array" ref="S134">Common_InputFunctions.Utility_DisplayArrayInTable(Fertiliser_SourceData.Fertiliser_Products_Data1(),FertiliserProducts[[#Headers],[Include or Exclude]], 0,4)</f>
        <v/>
      </c>
      <c r="T134" s="109" t="str" cm="1">
        <f t="array" ref="T134">Common_InputFunctions.Utility_DisplayArrayInTable(Fertiliser_SourceData.Fertiliser_Products_Data1(),FertiliserProducts[[#Headers],[Include or Exclude]], 0,4)</f>
        <v/>
      </c>
      <c r="U134" s="109" t="str" cm="1">
        <f t="array" ref="U134">Common_InputFunctions.Utility_DisplayArrayInTable(Fertiliser_SourceData.Fertiliser_Products_Data1(),FertiliserProducts[[#Headers],[Include or Exclude]], 0,4)</f>
        <v/>
      </c>
      <c r="V134" s="109" t="str" cm="1">
        <f t="array" ref="V134">Common_InputFunctions.Utility_DisplayArrayInTable(Fertiliser_SourceData.Fertiliser_Products_Data1(),FertiliserProducts[[#Headers],[Include or Exclude]], 0,4)</f>
        <v/>
      </c>
      <c r="W134" s="109" t="str" cm="1">
        <f t="array" ref="W134">Common_InputFunctions.Utility_DisplayArrayInTable(Fertiliser_SourceData.Fertiliser_Products_Data1(),FertiliserProducts[[#Headers],[Include or Exclude]], 0,4)</f>
        <v/>
      </c>
      <c r="X134" s="109" t="str" cm="1">
        <f t="array" ref="X134">Common_InputFunctions.Utility_DisplayArrayInTable(Fertiliser_SourceData.Fertiliser_Products_Data1(),FertiliserProducts[[#Headers],[Include or Exclude]], 0,4)</f>
        <v/>
      </c>
      <c r="Y134" s="109" t="str" cm="1">
        <f t="array" ref="Y134">Common_InputFunctions.Utility_DisplayArrayInTable(Fertiliser_SourceData.Fertiliser_Products_Data1(),FertiliserProducts[[#Headers],[Include or Exclude]], 0,4)</f>
        <v/>
      </c>
      <c r="Z134" s="109" t="str" cm="1">
        <f t="array" ref="Z134">Common_InputFunctions.Utility_DisplayArrayInTable(Fertiliser_SourceData.Fertiliser_Products_Data1(),FertiliserProducts[[#Headers],[Include or Exclude]], 0,4)</f>
        <v/>
      </c>
      <c r="AA134" s="109" t="str" cm="1">
        <f t="array" ref="AA134">Common_InputFunctions.Utility_DisplayArrayInTable(Fertiliser_SourceData.Fertiliser_Products_Data1(),FertiliserProducts[[#Headers],[Include or Exclude]], 0,4)</f>
        <v/>
      </c>
      <c r="AB134" s="109" t="str" cm="1">
        <f t="array" ref="AB134">Common_InputFunctions.Utility_DisplayArrayInTable(Fertiliser_SourceData.Fertiliser_Products_Data1(),FertiliserProducts[[#Headers],[Include or Exclude]], 0,4)</f>
        <v/>
      </c>
      <c r="AC134" s="109" t="str" cm="1">
        <f t="array" ref="AC134">Common_InputFunctions.Utility_DisplayArrayInTable(Fertiliser_SourceData.Fertiliser_Products_Data1(),FertiliserProducts[[#Headers],[Include or Exclude]], 0,4)</f>
        <v/>
      </c>
      <c r="AD134" s="109" t="str" cm="1">
        <f t="array" ref="AD134">Common_InputFunctions.Utility_DisplayArrayInTable(Fertiliser_SourceData.Fertiliser_Products_Data1(),FertiliserProducts[[#Headers],[Include or Exclude]], 0,4)</f>
        <v/>
      </c>
      <c r="AE134" s="109" t="str" cm="1">
        <f t="array" ref="AE134">Common_InputFunctions.Utility_DisplayArrayInTable(Fertiliser_SourceData.Fertiliser_Products_Data1(),FertiliserProducts[[#Headers],[Include or Exclude]], 0,4)</f>
        <v/>
      </c>
    </row>
    <row r="135" spans="4:31" ht="20.100000000000001" customHeight="1" x14ac:dyDescent="0.25">
      <c r="D135" s="109" t="str" cm="1">
        <f t="array" ref="D135">Common_InputFunctions.Utility_DisplayArrayInTable(Fertiliser_SourceData.Fertiliser_Products_Data1(),FertiliserProducts[[#Headers],[Include or Exclude]], -1)</f>
        <v/>
      </c>
      <c r="E135" s="109" t="str" cm="1">
        <f t="array" ref="E135">Common_InputFunctions.Utility_DisplayArrayInTable(Fertiliser_SourceData.Fertiliser_Products_Data1(),FertiliserProducts[[#Headers],[Include or Exclude]], 0)</f>
        <v/>
      </c>
      <c r="F135" s="109" t="str" cm="1">
        <f t="array" ref="F135">Common_InputFunctions.Utility_DisplayArrayInTable(Fertiliser_SourceData.Fertiliser_Products_Data1(),FertiliserProducts[[#Headers],[Include or Exclude]], 0)</f>
        <v/>
      </c>
      <c r="G135" s="109" t="str" cm="1">
        <f t="array" ref="G135">Common_InputFunctions.Utility_DisplayArrayInTable(Fertiliser_SourceData.Fertiliser_Products_Data1(),FertiliserProducts[[#Headers],[Include or Exclude]], 0)</f>
        <v/>
      </c>
      <c r="H135" s="109" t="str" cm="1">
        <f t="array" ref="H135">Common_InputFunctions.Utility_DisplayArrayInTable(Fertiliser_SourceData.Fertiliser_Products_Data1(),FertiliserProducts[[#Headers],[Include or Exclude]], 0,4)</f>
        <v/>
      </c>
      <c r="I135" s="109" t="str" cm="1">
        <f t="array" ref="I135">Common_InputFunctions.Utility_DisplayArrayInTable(Fertiliser_SourceData.Fertiliser_Products_Data1(),FertiliserProducts[[#Headers],[Include or Exclude]], 0,4)</f>
        <v/>
      </c>
      <c r="J135" s="109" t="str" cm="1">
        <f t="array" ref="J135">Common_InputFunctions.Utility_DisplayArrayInTable(Fertiliser_SourceData.Fertiliser_Products_Data1(),FertiliserProducts[[#Headers],[Include or Exclude]], 0,4)</f>
        <v/>
      </c>
      <c r="K135" s="109" t="str" cm="1">
        <f t="array" ref="K135">Common_InputFunctions.Utility_DisplayArrayInTable(Fertiliser_SourceData.Fertiliser_Products_Data1(),FertiliserProducts[[#Headers],[Include or Exclude]], 0,4)</f>
        <v/>
      </c>
      <c r="L135" s="109" t="str" cm="1">
        <f t="array" ref="L135">Common_InputFunctions.Utility_DisplayArrayInTable(Fertiliser_SourceData.Fertiliser_Products_Data1(),FertiliserProducts[[#Headers],[Include or Exclude]], 0,4)</f>
        <v/>
      </c>
      <c r="M135" s="109" t="str" cm="1">
        <f t="array" ref="M135">Common_InputFunctions.Utility_DisplayArrayInTable(Fertiliser_SourceData.Fertiliser_Products_Data1(),FertiliserProducts[[#Headers],[Include or Exclude]], 0,4)</f>
        <v/>
      </c>
      <c r="N135" s="109" t="str" cm="1">
        <f t="array" ref="N135">Common_InputFunctions.Utility_DisplayArrayInTable(Fertiliser_SourceData.Fertiliser_Products_Data1(),FertiliserProducts[[#Headers],[Include or Exclude]], 0,4)</f>
        <v/>
      </c>
      <c r="O135" s="109" t="str" cm="1">
        <f t="array" ref="O135">Common_InputFunctions.Utility_DisplayArrayInTable(Fertiliser_SourceData.Fertiliser_Products_Data1(),FertiliserProducts[[#Headers],[Include or Exclude]], 0,4)</f>
        <v/>
      </c>
      <c r="P135" s="109" t="str" cm="1">
        <f t="array" ref="P135">Common_InputFunctions.Utility_DisplayArrayInTable(Fertiliser_SourceData.Fertiliser_Products_Data1(),FertiliserProducts[[#Headers],[Include or Exclude]], 0,4)</f>
        <v/>
      </c>
      <c r="Q135" s="109" t="str" cm="1">
        <f t="array" ref="Q135">Common_InputFunctions.Utility_DisplayArrayInTable(Fertiliser_SourceData.Fertiliser_Products_Data1(),FertiliserProducts[[#Headers],[Include or Exclude]], 0,4)</f>
        <v/>
      </c>
      <c r="R135" s="109" t="str" cm="1">
        <f t="array" ref="R135">Common_InputFunctions.Utility_DisplayArrayInTable(Fertiliser_SourceData.Fertiliser_Products_Data1(),FertiliserProducts[[#Headers],[Include or Exclude]], 0,4)</f>
        <v/>
      </c>
      <c r="S135" s="109" t="str" cm="1">
        <f t="array" ref="S135">Common_InputFunctions.Utility_DisplayArrayInTable(Fertiliser_SourceData.Fertiliser_Products_Data1(),FertiliserProducts[[#Headers],[Include or Exclude]], 0,4)</f>
        <v/>
      </c>
      <c r="T135" s="109" t="str" cm="1">
        <f t="array" ref="T135">Common_InputFunctions.Utility_DisplayArrayInTable(Fertiliser_SourceData.Fertiliser_Products_Data1(),FertiliserProducts[[#Headers],[Include or Exclude]], 0,4)</f>
        <v/>
      </c>
      <c r="U135" s="109" t="str" cm="1">
        <f t="array" ref="U135">Common_InputFunctions.Utility_DisplayArrayInTable(Fertiliser_SourceData.Fertiliser_Products_Data1(),FertiliserProducts[[#Headers],[Include or Exclude]], 0,4)</f>
        <v/>
      </c>
      <c r="V135" s="109" t="str" cm="1">
        <f t="array" ref="V135">Common_InputFunctions.Utility_DisplayArrayInTable(Fertiliser_SourceData.Fertiliser_Products_Data1(),FertiliserProducts[[#Headers],[Include or Exclude]], 0,4)</f>
        <v/>
      </c>
      <c r="W135" s="109" t="str" cm="1">
        <f t="array" ref="W135">Common_InputFunctions.Utility_DisplayArrayInTable(Fertiliser_SourceData.Fertiliser_Products_Data1(),FertiliserProducts[[#Headers],[Include or Exclude]], 0,4)</f>
        <v/>
      </c>
      <c r="X135" s="109" t="str" cm="1">
        <f t="array" ref="X135">Common_InputFunctions.Utility_DisplayArrayInTable(Fertiliser_SourceData.Fertiliser_Products_Data1(),FertiliserProducts[[#Headers],[Include or Exclude]], 0,4)</f>
        <v/>
      </c>
      <c r="Y135" s="109" t="str" cm="1">
        <f t="array" ref="Y135">Common_InputFunctions.Utility_DisplayArrayInTable(Fertiliser_SourceData.Fertiliser_Products_Data1(),FertiliserProducts[[#Headers],[Include or Exclude]], 0,4)</f>
        <v/>
      </c>
      <c r="Z135" s="109" t="str" cm="1">
        <f t="array" ref="Z135">Common_InputFunctions.Utility_DisplayArrayInTable(Fertiliser_SourceData.Fertiliser_Products_Data1(),FertiliserProducts[[#Headers],[Include or Exclude]], 0,4)</f>
        <v/>
      </c>
      <c r="AA135" s="109" t="str" cm="1">
        <f t="array" ref="AA135">Common_InputFunctions.Utility_DisplayArrayInTable(Fertiliser_SourceData.Fertiliser_Products_Data1(),FertiliserProducts[[#Headers],[Include or Exclude]], 0,4)</f>
        <v/>
      </c>
      <c r="AB135" s="109" t="str" cm="1">
        <f t="array" ref="AB135">Common_InputFunctions.Utility_DisplayArrayInTable(Fertiliser_SourceData.Fertiliser_Products_Data1(),FertiliserProducts[[#Headers],[Include or Exclude]], 0,4)</f>
        <v/>
      </c>
      <c r="AC135" s="109" t="str" cm="1">
        <f t="array" ref="AC135">Common_InputFunctions.Utility_DisplayArrayInTable(Fertiliser_SourceData.Fertiliser_Products_Data1(),FertiliserProducts[[#Headers],[Include or Exclude]], 0,4)</f>
        <v/>
      </c>
      <c r="AD135" s="109" t="str" cm="1">
        <f t="array" ref="AD135">Common_InputFunctions.Utility_DisplayArrayInTable(Fertiliser_SourceData.Fertiliser_Products_Data1(),FertiliserProducts[[#Headers],[Include or Exclude]], 0,4)</f>
        <v/>
      </c>
      <c r="AE135" s="109" t="str" cm="1">
        <f t="array" ref="AE135">Common_InputFunctions.Utility_DisplayArrayInTable(Fertiliser_SourceData.Fertiliser_Products_Data1(),FertiliserProducts[[#Headers],[Include or Exclude]], 0,4)</f>
        <v/>
      </c>
    </row>
    <row r="136" spans="4:31" ht="20.100000000000001" customHeight="1" x14ac:dyDescent="0.25">
      <c r="D136" s="109" t="str" cm="1">
        <f t="array" ref="D136">Common_InputFunctions.Utility_DisplayArrayInTable(Fertiliser_SourceData.Fertiliser_Products_Data1(),FertiliserProducts[[#Headers],[Include or Exclude]], -1)</f>
        <v/>
      </c>
      <c r="E136" s="109" t="str" cm="1">
        <f t="array" ref="E136">Common_InputFunctions.Utility_DisplayArrayInTable(Fertiliser_SourceData.Fertiliser_Products_Data1(),FertiliserProducts[[#Headers],[Include or Exclude]], 0)</f>
        <v/>
      </c>
      <c r="F136" s="109" t="str" cm="1">
        <f t="array" ref="F136">Common_InputFunctions.Utility_DisplayArrayInTable(Fertiliser_SourceData.Fertiliser_Products_Data1(),FertiliserProducts[[#Headers],[Include or Exclude]], 0)</f>
        <v/>
      </c>
      <c r="G136" s="109" t="str" cm="1">
        <f t="array" ref="G136">Common_InputFunctions.Utility_DisplayArrayInTable(Fertiliser_SourceData.Fertiliser_Products_Data1(),FertiliserProducts[[#Headers],[Include or Exclude]], 0)</f>
        <v/>
      </c>
      <c r="H136" s="109" t="str" cm="1">
        <f t="array" ref="H136">Common_InputFunctions.Utility_DisplayArrayInTable(Fertiliser_SourceData.Fertiliser_Products_Data1(),FertiliserProducts[[#Headers],[Include or Exclude]], 0,4)</f>
        <v/>
      </c>
      <c r="I136" s="109" t="str" cm="1">
        <f t="array" ref="I136">Common_InputFunctions.Utility_DisplayArrayInTable(Fertiliser_SourceData.Fertiliser_Products_Data1(),FertiliserProducts[[#Headers],[Include or Exclude]], 0,4)</f>
        <v/>
      </c>
      <c r="J136" s="109" t="str" cm="1">
        <f t="array" ref="J136">Common_InputFunctions.Utility_DisplayArrayInTable(Fertiliser_SourceData.Fertiliser_Products_Data1(),FertiliserProducts[[#Headers],[Include or Exclude]], 0,4)</f>
        <v/>
      </c>
      <c r="K136" s="109" t="str" cm="1">
        <f t="array" ref="K136">Common_InputFunctions.Utility_DisplayArrayInTable(Fertiliser_SourceData.Fertiliser_Products_Data1(),FertiliserProducts[[#Headers],[Include or Exclude]], 0,4)</f>
        <v/>
      </c>
      <c r="L136" s="109" t="str" cm="1">
        <f t="array" ref="L136">Common_InputFunctions.Utility_DisplayArrayInTable(Fertiliser_SourceData.Fertiliser_Products_Data1(),FertiliserProducts[[#Headers],[Include or Exclude]], 0,4)</f>
        <v/>
      </c>
      <c r="M136" s="109" t="str" cm="1">
        <f t="array" ref="M136">Common_InputFunctions.Utility_DisplayArrayInTable(Fertiliser_SourceData.Fertiliser_Products_Data1(),FertiliserProducts[[#Headers],[Include or Exclude]], 0,4)</f>
        <v/>
      </c>
      <c r="N136" s="109" t="str" cm="1">
        <f t="array" ref="N136">Common_InputFunctions.Utility_DisplayArrayInTable(Fertiliser_SourceData.Fertiliser_Products_Data1(),FertiliserProducts[[#Headers],[Include or Exclude]], 0,4)</f>
        <v/>
      </c>
      <c r="O136" s="109" t="str" cm="1">
        <f t="array" ref="O136">Common_InputFunctions.Utility_DisplayArrayInTable(Fertiliser_SourceData.Fertiliser_Products_Data1(),FertiliserProducts[[#Headers],[Include or Exclude]], 0,4)</f>
        <v/>
      </c>
      <c r="P136" s="109" t="str" cm="1">
        <f t="array" ref="P136">Common_InputFunctions.Utility_DisplayArrayInTable(Fertiliser_SourceData.Fertiliser_Products_Data1(),FertiliserProducts[[#Headers],[Include or Exclude]], 0,4)</f>
        <v/>
      </c>
      <c r="Q136" s="109" t="str" cm="1">
        <f t="array" ref="Q136">Common_InputFunctions.Utility_DisplayArrayInTable(Fertiliser_SourceData.Fertiliser_Products_Data1(),FertiliserProducts[[#Headers],[Include or Exclude]], 0,4)</f>
        <v/>
      </c>
      <c r="R136" s="109" t="str" cm="1">
        <f t="array" ref="R136">Common_InputFunctions.Utility_DisplayArrayInTable(Fertiliser_SourceData.Fertiliser_Products_Data1(),FertiliserProducts[[#Headers],[Include or Exclude]], 0,4)</f>
        <v/>
      </c>
      <c r="S136" s="109" t="str" cm="1">
        <f t="array" ref="S136">Common_InputFunctions.Utility_DisplayArrayInTable(Fertiliser_SourceData.Fertiliser_Products_Data1(),FertiliserProducts[[#Headers],[Include or Exclude]], 0,4)</f>
        <v/>
      </c>
      <c r="T136" s="109" t="str" cm="1">
        <f t="array" ref="T136">Common_InputFunctions.Utility_DisplayArrayInTable(Fertiliser_SourceData.Fertiliser_Products_Data1(),FertiliserProducts[[#Headers],[Include or Exclude]], 0,4)</f>
        <v/>
      </c>
      <c r="U136" s="109" t="str" cm="1">
        <f t="array" ref="U136">Common_InputFunctions.Utility_DisplayArrayInTable(Fertiliser_SourceData.Fertiliser_Products_Data1(),FertiliserProducts[[#Headers],[Include or Exclude]], 0,4)</f>
        <v/>
      </c>
      <c r="V136" s="109" t="str" cm="1">
        <f t="array" ref="V136">Common_InputFunctions.Utility_DisplayArrayInTable(Fertiliser_SourceData.Fertiliser_Products_Data1(),FertiliserProducts[[#Headers],[Include or Exclude]], 0,4)</f>
        <v/>
      </c>
      <c r="W136" s="109" t="str" cm="1">
        <f t="array" ref="W136">Common_InputFunctions.Utility_DisplayArrayInTable(Fertiliser_SourceData.Fertiliser_Products_Data1(),FertiliserProducts[[#Headers],[Include or Exclude]], 0,4)</f>
        <v/>
      </c>
      <c r="X136" s="109" t="str" cm="1">
        <f t="array" ref="X136">Common_InputFunctions.Utility_DisplayArrayInTable(Fertiliser_SourceData.Fertiliser_Products_Data1(),FertiliserProducts[[#Headers],[Include or Exclude]], 0,4)</f>
        <v/>
      </c>
      <c r="Y136" s="109" t="str" cm="1">
        <f t="array" ref="Y136">Common_InputFunctions.Utility_DisplayArrayInTable(Fertiliser_SourceData.Fertiliser_Products_Data1(),FertiliserProducts[[#Headers],[Include or Exclude]], 0,4)</f>
        <v/>
      </c>
      <c r="Z136" s="109" t="str" cm="1">
        <f t="array" ref="Z136">Common_InputFunctions.Utility_DisplayArrayInTable(Fertiliser_SourceData.Fertiliser_Products_Data1(),FertiliserProducts[[#Headers],[Include or Exclude]], 0,4)</f>
        <v/>
      </c>
      <c r="AA136" s="109" t="str" cm="1">
        <f t="array" ref="AA136">Common_InputFunctions.Utility_DisplayArrayInTable(Fertiliser_SourceData.Fertiliser_Products_Data1(),FertiliserProducts[[#Headers],[Include or Exclude]], 0,4)</f>
        <v/>
      </c>
      <c r="AB136" s="109" t="str" cm="1">
        <f t="array" ref="AB136">Common_InputFunctions.Utility_DisplayArrayInTable(Fertiliser_SourceData.Fertiliser_Products_Data1(),FertiliserProducts[[#Headers],[Include or Exclude]], 0,4)</f>
        <v/>
      </c>
      <c r="AC136" s="109" t="str" cm="1">
        <f t="array" ref="AC136">Common_InputFunctions.Utility_DisplayArrayInTable(Fertiliser_SourceData.Fertiliser_Products_Data1(),FertiliserProducts[[#Headers],[Include or Exclude]], 0,4)</f>
        <v/>
      </c>
      <c r="AD136" s="109" t="str" cm="1">
        <f t="array" ref="AD136">Common_InputFunctions.Utility_DisplayArrayInTable(Fertiliser_SourceData.Fertiliser_Products_Data1(),FertiliserProducts[[#Headers],[Include or Exclude]], 0,4)</f>
        <v/>
      </c>
      <c r="AE136" s="109" t="str" cm="1">
        <f t="array" ref="AE136">Common_InputFunctions.Utility_DisplayArrayInTable(Fertiliser_SourceData.Fertiliser_Products_Data1(),FertiliserProducts[[#Headers],[Include or Exclude]], 0,4)</f>
        <v/>
      </c>
    </row>
    <row r="137" spans="4:31" ht="20.100000000000001" customHeight="1" x14ac:dyDescent="0.25">
      <c r="D137" s="109" t="str" cm="1">
        <f t="array" ref="D137">Common_InputFunctions.Utility_DisplayArrayInTable(Fertiliser_SourceData.Fertiliser_Products_Data1(),FertiliserProducts[[#Headers],[Include or Exclude]], -1)</f>
        <v/>
      </c>
      <c r="E137" s="109" t="str" cm="1">
        <f t="array" ref="E137">Common_InputFunctions.Utility_DisplayArrayInTable(Fertiliser_SourceData.Fertiliser_Products_Data1(),FertiliserProducts[[#Headers],[Include or Exclude]], 0)</f>
        <v/>
      </c>
      <c r="F137" s="109" t="str" cm="1">
        <f t="array" ref="F137">Common_InputFunctions.Utility_DisplayArrayInTable(Fertiliser_SourceData.Fertiliser_Products_Data1(),FertiliserProducts[[#Headers],[Include or Exclude]], 0)</f>
        <v/>
      </c>
      <c r="G137" s="109" t="str" cm="1">
        <f t="array" ref="G137">Common_InputFunctions.Utility_DisplayArrayInTable(Fertiliser_SourceData.Fertiliser_Products_Data1(),FertiliserProducts[[#Headers],[Include or Exclude]], 0)</f>
        <v/>
      </c>
      <c r="H137" s="109" t="str" cm="1">
        <f t="array" ref="H137">Common_InputFunctions.Utility_DisplayArrayInTable(Fertiliser_SourceData.Fertiliser_Products_Data1(),FertiliserProducts[[#Headers],[Include or Exclude]], 0,4)</f>
        <v/>
      </c>
      <c r="I137" s="109" t="str" cm="1">
        <f t="array" ref="I137">Common_InputFunctions.Utility_DisplayArrayInTable(Fertiliser_SourceData.Fertiliser_Products_Data1(),FertiliserProducts[[#Headers],[Include or Exclude]], 0,4)</f>
        <v/>
      </c>
      <c r="J137" s="109" t="str" cm="1">
        <f t="array" ref="J137">Common_InputFunctions.Utility_DisplayArrayInTable(Fertiliser_SourceData.Fertiliser_Products_Data1(),FertiliserProducts[[#Headers],[Include or Exclude]], 0,4)</f>
        <v/>
      </c>
      <c r="K137" s="109" t="str" cm="1">
        <f t="array" ref="K137">Common_InputFunctions.Utility_DisplayArrayInTable(Fertiliser_SourceData.Fertiliser_Products_Data1(),FertiliserProducts[[#Headers],[Include or Exclude]], 0,4)</f>
        <v/>
      </c>
      <c r="L137" s="109" t="str" cm="1">
        <f t="array" ref="L137">Common_InputFunctions.Utility_DisplayArrayInTable(Fertiliser_SourceData.Fertiliser_Products_Data1(),FertiliserProducts[[#Headers],[Include or Exclude]], 0,4)</f>
        <v/>
      </c>
      <c r="M137" s="109" t="str" cm="1">
        <f t="array" ref="M137">Common_InputFunctions.Utility_DisplayArrayInTable(Fertiliser_SourceData.Fertiliser_Products_Data1(),FertiliserProducts[[#Headers],[Include or Exclude]], 0,4)</f>
        <v/>
      </c>
      <c r="N137" s="109" t="str" cm="1">
        <f t="array" ref="N137">Common_InputFunctions.Utility_DisplayArrayInTable(Fertiliser_SourceData.Fertiliser_Products_Data1(),FertiliserProducts[[#Headers],[Include or Exclude]], 0,4)</f>
        <v/>
      </c>
      <c r="O137" s="109" t="str" cm="1">
        <f t="array" ref="O137">Common_InputFunctions.Utility_DisplayArrayInTable(Fertiliser_SourceData.Fertiliser_Products_Data1(),FertiliserProducts[[#Headers],[Include or Exclude]], 0,4)</f>
        <v/>
      </c>
      <c r="P137" s="109" t="str" cm="1">
        <f t="array" ref="P137">Common_InputFunctions.Utility_DisplayArrayInTable(Fertiliser_SourceData.Fertiliser_Products_Data1(),FertiliserProducts[[#Headers],[Include or Exclude]], 0,4)</f>
        <v/>
      </c>
      <c r="Q137" s="109" t="str" cm="1">
        <f t="array" ref="Q137">Common_InputFunctions.Utility_DisplayArrayInTable(Fertiliser_SourceData.Fertiliser_Products_Data1(),FertiliserProducts[[#Headers],[Include or Exclude]], 0,4)</f>
        <v/>
      </c>
      <c r="R137" s="109" t="str" cm="1">
        <f t="array" ref="R137">Common_InputFunctions.Utility_DisplayArrayInTable(Fertiliser_SourceData.Fertiliser_Products_Data1(),FertiliserProducts[[#Headers],[Include or Exclude]], 0,4)</f>
        <v/>
      </c>
      <c r="S137" s="109" t="str" cm="1">
        <f t="array" ref="S137">Common_InputFunctions.Utility_DisplayArrayInTable(Fertiliser_SourceData.Fertiliser_Products_Data1(),FertiliserProducts[[#Headers],[Include or Exclude]], 0,4)</f>
        <v/>
      </c>
      <c r="T137" s="109" t="str" cm="1">
        <f t="array" ref="T137">Common_InputFunctions.Utility_DisplayArrayInTable(Fertiliser_SourceData.Fertiliser_Products_Data1(),FertiliserProducts[[#Headers],[Include or Exclude]], 0,4)</f>
        <v/>
      </c>
      <c r="U137" s="109" t="str" cm="1">
        <f t="array" ref="U137">Common_InputFunctions.Utility_DisplayArrayInTable(Fertiliser_SourceData.Fertiliser_Products_Data1(),FertiliserProducts[[#Headers],[Include or Exclude]], 0,4)</f>
        <v/>
      </c>
      <c r="V137" s="109" t="str" cm="1">
        <f t="array" ref="V137">Common_InputFunctions.Utility_DisplayArrayInTable(Fertiliser_SourceData.Fertiliser_Products_Data1(),FertiliserProducts[[#Headers],[Include or Exclude]], 0,4)</f>
        <v/>
      </c>
      <c r="W137" s="109" t="str" cm="1">
        <f t="array" ref="W137">Common_InputFunctions.Utility_DisplayArrayInTable(Fertiliser_SourceData.Fertiliser_Products_Data1(),FertiliserProducts[[#Headers],[Include or Exclude]], 0,4)</f>
        <v/>
      </c>
      <c r="X137" s="109" t="str" cm="1">
        <f t="array" ref="X137">Common_InputFunctions.Utility_DisplayArrayInTable(Fertiliser_SourceData.Fertiliser_Products_Data1(),FertiliserProducts[[#Headers],[Include or Exclude]], 0,4)</f>
        <v/>
      </c>
      <c r="Y137" s="109" t="str" cm="1">
        <f t="array" ref="Y137">Common_InputFunctions.Utility_DisplayArrayInTable(Fertiliser_SourceData.Fertiliser_Products_Data1(),FertiliserProducts[[#Headers],[Include or Exclude]], 0,4)</f>
        <v/>
      </c>
      <c r="Z137" s="109" t="str" cm="1">
        <f t="array" ref="Z137">Common_InputFunctions.Utility_DisplayArrayInTable(Fertiliser_SourceData.Fertiliser_Products_Data1(),FertiliserProducts[[#Headers],[Include or Exclude]], 0,4)</f>
        <v/>
      </c>
      <c r="AA137" s="109" t="str" cm="1">
        <f t="array" ref="AA137">Common_InputFunctions.Utility_DisplayArrayInTable(Fertiliser_SourceData.Fertiliser_Products_Data1(),FertiliserProducts[[#Headers],[Include or Exclude]], 0,4)</f>
        <v/>
      </c>
      <c r="AB137" s="109" t="str" cm="1">
        <f t="array" ref="AB137">Common_InputFunctions.Utility_DisplayArrayInTable(Fertiliser_SourceData.Fertiliser_Products_Data1(),FertiliserProducts[[#Headers],[Include or Exclude]], 0,4)</f>
        <v/>
      </c>
      <c r="AC137" s="109" t="str" cm="1">
        <f t="array" ref="AC137">Common_InputFunctions.Utility_DisplayArrayInTable(Fertiliser_SourceData.Fertiliser_Products_Data1(),FertiliserProducts[[#Headers],[Include or Exclude]], 0,4)</f>
        <v/>
      </c>
      <c r="AD137" s="109" t="str" cm="1">
        <f t="array" ref="AD137">Common_InputFunctions.Utility_DisplayArrayInTable(Fertiliser_SourceData.Fertiliser_Products_Data1(),FertiliserProducts[[#Headers],[Include or Exclude]], 0,4)</f>
        <v/>
      </c>
      <c r="AE137" s="109" t="str" cm="1">
        <f t="array" ref="AE137">Common_InputFunctions.Utility_DisplayArrayInTable(Fertiliser_SourceData.Fertiliser_Products_Data1(),FertiliserProducts[[#Headers],[Include or Exclude]], 0,4)</f>
        <v/>
      </c>
    </row>
    <row r="138" spans="4:31" ht="20.100000000000001" customHeight="1" x14ac:dyDescent="0.25">
      <c r="D138" s="109" t="str" cm="1">
        <f t="array" ref="D138">Common_InputFunctions.Utility_DisplayArrayInTable(Fertiliser_SourceData.Fertiliser_Products_Data1(),FertiliserProducts[[#Headers],[Include or Exclude]], -1)</f>
        <v/>
      </c>
      <c r="E138" s="109" t="str" cm="1">
        <f t="array" ref="E138">Common_InputFunctions.Utility_DisplayArrayInTable(Fertiliser_SourceData.Fertiliser_Products_Data1(),FertiliserProducts[[#Headers],[Include or Exclude]], 0)</f>
        <v/>
      </c>
      <c r="F138" s="109" t="str" cm="1">
        <f t="array" ref="F138">Common_InputFunctions.Utility_DisplayArrayInTable(Fertiliser_SourceData.Fertiliser_Products_Data1(),FertiliserProducts[[#Headers],[Include or Exclude]], 0)</f>
        <v/>
      </c>
      <c r="G138" s="109" t="str" cm="1">
        <f t="array" ref="G138">Common_InputFunctions.Utility_DisplayArrayInTable(Fertiliser_SourceData.Fertiliser_Products_Data1(),FertiliserProducts[[#Headers],[Include or Exclude]], 0)</f>
        <v/>
      </c>
      <c r="H138" s="109" t="str" cm="1">
        <f t="array" ref="H138">Common_InputFunctions.Utility_DisplayArrayInTable(Fertiliser_SourceData.Fertiliser_Products_Data1(),FertiliserProducts[[#Headers],[Include or Exclude]], 0,4)</f>
        <v/>
      </c>
      <c r="I138" s="109" t="str" cm="1">
        <f t="array" ref="I138">Common_InputFunctions.Utility_DisplayArrayInTable(Fertiliser_SourceData.Fertiliser_Products_Data1(),FertiliserProducts[[#Headers],[Include or Exclude]], 0,4)</f>
        <v/>
      </c>
      <c r="J138" s="109" t="str" cm="1">
        <f t="array" ref="J138">Common_InputFunctions.Utility_DisplayArrayInTable(Fertiliser_SourceData.Fertiliser_Products_Data1(),FertiliserProducts[[#Headers],[Include or Exclude]], 0,4)</f>
        <v/>
      </c>
      <c r="K138" s="109" t="str" cm="1">
        <f t="array" ref="K138">Common_InputFunctions.Utility_DisplayArrayInTable(Fertiliser_SourceData.Fertiliser_Products_Data1(),FertiliserProducts[[#Headers],[Include or Exclude]], 0,4)</f>
        <v/>
      </c>
      <c r="L138" s="109" t="str" cm="1">
        <f t="array" ref="L138">Common_InputFunctions.Utility_DisplayArrayInTable(Fertiliser_SourceData.Fertiliser_Products_Data1(),FertiliserProducts[[#Headers],[Include or Exclude]], 0,4)</f>
        <v/>
      </c>
      <c r="M138" s="109" t="str" cm="1">
        <f t="array" ref="M138">Common_InputFunctions.Utility_DisplayArrayInTable(Fertiliser_SourceData.Fertiliser_Products_Data1(),FertiliserProducts[[#Headers],[Include or Exclude]], 0,4)</f>
        <v/>
      </c>
      <c r="N138" s="109" t="str" cm="1">
        <f t="array" ref="N138">Common_InputFunctions.Utility_DisplayArrayInTable(Fertiliser_SourceData.Fertiliser_Products_Data1(),FertiliserProducts[[#Headers],[Include or Exclude]], 0,4)</f>
        <v/>
      </c>
      <c r="O138" s="109" t="str" cm="1">
        <f t="array" ref="O138">Common_InputFunctions.Utility_DisplayArrayInTable(Fertiliser_SourceData.Fertiliser_Products_Data1(),FertiliserProducts[[#Headers],[Include or Exclude]], 0,4)</f>
        <v/>
      </c>
      <c r="P138" s="109" t="str" cm="1">
        <f t="array" ref="P138">Common_InputFunctions.Utility_DisplayArrayInTable(Fertiliser_SourceData.Fertiliser_Products_Data1(),FertiliserProducts[[#Headers],[Include or Exclude]], 0,4)</f>
        <v/>
      </c>
      <c r="Q138" s="109" t="str" cm="1">
        <f t="array" ref="Q138">Common_InputFunctions.Utility_DisplayArrayInTable(Fertiliser_SourceData.Fertiliser_Products_Data1(),FertiliserProducts[[#Headers],[Include or Exclude]], 0,4)</f>
        <v/>
      </c>
      <c r="R138" s="109" t="str" cm="1">
        <f t="array" ref="R138">Common_InputFunctions.Utility_DisplayArrayInTable(Fertiliser_SourceData.Fertiliser_Products_Data1(),FertiliserProducts[[#Headers],[Include or Exclude]], 0,4)</f>
        <v/>
      </c>
      <c r="S138" s="109" t="str" cm="1">
        <f t="array" ref="S138">Common_InputFunctions.Utility_DisplayArrayInTable(Fertiliser_SourceData.Fertiliser_Products_Data1(),FertiliserProducts[[#Headers],[Include or Exclude]], 0,4)</f>
        <v/>
      </c>
      <c r="T138" s="109" t="str" cm="1">
        <f t="array" ref="T138">Common_InputFunctions.Utility_DisplayArrayInTable(Fertiliser_SourceData.Fertiliser_Products_Data1(),FertiliserProducts[[#Headers],[Include or Exclude]], 0,4)</f>
        <v/>
      </c>
      <c r="U138" s="109" t="str" cm="1">
        <f t="array" ref="U138">Common_InputFunctions.Utility_DisplayArrayInTable(Fertiliser_SourceData.Fertiliser_Products_Data1(),FertiliserProducts[[#Headers],[Include or Exclude]], 0,4)</f>
        <v/>
      </c>
      <c r="V138" s="109" t="str" cm="1">
        <f t="array" ref="V138">Common_InputFunctions.Utility_DisplayArrayInTable(Fertiliser_SourceData.Fertiliser_Products_Data1(),FertiliserProducts[[#Headers],[Include or Exclude]], 0,4)</f>
        <v/>
      </c>
      <c r="W138" s="109" t="str" cm="1">
        <f t="array" ref="W138">Common_InputFunctions.Utility_DisplayArrayInTable(Fertiliser_SourceData.Fertiliser_Products_Data1(),FertiliserProducts[[#Headers],[Include or Exclude]], 0,4)</f>
        <v/>
      </c>
      <c r="X138" s="109" t="str" cm="1">
        <f t="array" ref="X138">Common_InputFunctions.Utility_DisplayArrayInTable(Fertiliser_SourceData.Fertiliser_Products_Data1(),FertiliserProducts[[#Headers],[Include or Exclude]], 0,4)</f>
        <v/>
      </c>
      <c r="Y138" s="109" t="str" cm="1">
        <f t="array" ref="Y138">Common_InputFunctions.Utility_DisplayArrayInTable(Fertiliser_SourceData.Fertiliser_Products_Data1(),FertiliserProducts[[#Headers],[Include or Exclude]], 0,4)</f>
        <v/>
      </c>
      <c r="Z138" s="109" t="str" cm="1">
        <f t="array" ref="Z138">Common_InputFunctions.Utility_DisplayArrayInTable(Fertiliser_SourceData.Fertiliser_Products_Data1(),FertiliserProducts[[#Headers],[Include or Exclude]], 0,4)</f>
        <v/>
      </c>
      <c r="AA138" s="109" t="str" cm="1">
        <f t="array" ref="AA138">Common_InputFunctions.Utility_DisplayArrayInTable(Fertiliser_SourceData.Fertiliser_Products_Data1(),FertiliserProducts[[#Headers],[Include or Exclude]], 0,4)</f>
        <v/>
      </c>
      <c r="AB138" s="109" t="str" cm="1">
        <f t="array" ref="AB138">Common_InputFunctions.Utility_DisplayArrayInTable(Fertiliser_SourceData.Fertiliser_Products_Data1(),FertiliserProducts[[#Headers],[Include or Exclude]], 0,4)</f>
        <v/>
      </c>
      <c r="AC138" s="109" t="str" cm="1">
        <f t="array" ref="AC138">Common_InputFunctions.Utility_DisplayArrayInTable(Fertiliser_SourceData.Fertiliser_Products_Data1(),FertiliserProducts[[#Headers],[Include or Exclude]], 0,4)</f>
        <v/>
      </c>
      <c r="AD138" s="109" t="str" cm="1">
        <f t="array" ref="AD138">Common_InputFunctions.Utility_DisplayArrayInTable(Fertiliser_SourceData.Fertiliser_Products_Data1(),FertiliserProducts[[#Headers],[Include or Exclude]], 0,4)</f>
        <v/>
      </c>
      <c r="AE138" s="109" t="str" cm="1">
        <f t="array" ref="AE138">Common_InputFunctions.Utility_DisplayArrayInTable(Fertiliser_SourceData.Fertiliser_Products_Data1(),FertiliserProducts[[#Headers],[Include or Exclude]], 0,4)</f>
        <v/>
      </c>
    </row>
    <row r="139" spans="4:31" ht="20.100000000000001" customHeight="1" x14ac:dyDescent="0.25">
      <c r="D139" s="109" t="str" cm="1">
        <f t="array" ref="D139">Common_InputFunctions.Utility_DisplayArrayInTable(Fertiliser_SourceData.Fertiliser_Products_Data1(),FertiliserProducts[[#Headers],[Include or Exclude]], -1)</f>
        <v/>
      </c>
      <c r="E139" s="109" t="str" cm="1">
        <f t="array" ref="E139">Common_InputFunctions.Utility_DisplayArrayInTable(Fertiliser_SourceData.Fertiliser_Products_Data1(),FertiliserProducts[[#Headers],[Include or Exclude]], 0)</f>
        <v/>
      </c>
      <c r="F139" s="109" t="str" cm="1">
        <f t="array" ref="F139">Common_InputFunctions.Utility_DisplayArrayInTable(Fertiliser_SourceData.Fertiliser_Products_Data1(),FertiliserProducts[[#Headers],[Include or Exclude]], 0)</f>
        <v/>
      </c>
      <c r="G139" s="109" t="str" cm="1">
        <f t="array" ref="G139">Common_InputFunctions.Utility_DisplayArrayInTable(Fertiliser_SourceData.Fertiliser_Products_Data1(),FertiliserProducts[[#Headers],[Include or Exclude]], 0)</f>
        <v/>
      </c>
      <c r="H139" s="109" t="str" cm="1">
        <f t="array" ref="H139">Common_InputFunctions.Utility_DisplayArrayInTable(Fertiliser_SourceData.Fertiliser_Products_Data1(),FertiliserProducts[[#Headers],[Include or Exclude]], 0,4)</f>
        <v/>
      </c>
      <c r="I139" s="109" t="str" cm="1">
        <f t="array" ref="I139">Common_InputFunctions.Utility_DisplayArrayInTable(Fertiliser_SourceData.Fertiliser_Products_Data1(),FertiliserProducts[[#Headers],[Include or Exclude]], 0,4)</f>
        <v/>
      </c>
      <c r="J139" s="109" t="str" cm="1">
        <f t="array" ref="J139">Common_InputFunctions.Utility_DisplayArrayInTable(Fertiliser_SourceData.Fertiliser_Products_Data1(),FertiliserProducts[[#Headers],[Include or Exclude]], 0,4)</f>
        <v/>
      </c>
      <c r="K139" s="109" t="str" cm="1">
        <f t="array" ref="K139">Common_InputFunctions.Utility_DisplayArrayInTable(Fertiliser_SourceData.Fertiliser_Products_Data1(),FertiliserProducts[[#Headers],[Include or Exclude]], 0,4)</f>
        <v/>
      </c>
      <c r="L139" s="109" t="str" cm="1">
        <f t="array" ref="L139">Common_InputFunctions.Utility_DisplayArrayInTable(Fertiliser_SourceData.Fertiliser_Products_Data1(),FertiliserProducts[[#Headers],[Include or Exclude]], 0,4)</f>
        <v/>
      </c>
      <c r="M139" s="109" t="str" cm="1">
        <f t="array" ref="M139">Common_InputFunctions.Utility_DisplayArrayInTable(Fertiliser_SourceData.Fertiliser_Products_Data1(),FertiliserProducts[[#Headers],[Include or Exclude]], 0,4)</f>
        <v/>
      </c>
      <c r="N139" s="109" t="str" cm="1">
        <f t="array" ref="N139">Common_InputFunctions.Utility_DisplayArrayInTable(Fertiliser_SourceData.Fertiliser_Products_Data1(),FertiliserProducts[[#Headers],[Include or Exclude]], 0,4)</f>
        <v/>
      </c>
      <c r="O139" s="109" t="str" cm="1">
        <f t="array" ref="O139">Common_InputFunctions.Utility_DisplayArrayInTable(Fertiliser_SourceData.Fertiliser_Products_Data1(),FertiliserProducts[[#Headers],[Include or Exclude]], 0,4)</f>
        <v/>
      </c>
      <c r="P139" s="109" t="str" cm="1">
        <f t="array" ref="P139">Common_InputFunctions.Utility_DisplayArrayInTable(Fertiliser_SourceData.Fertiliser_Products_Data1(),FertiliserProducts[[#Headers],[Include or Exclude]], 0,4)</f>
        <v/>
      </c>
      <c r="Q139" s="109" t="str" cm="1">
        <f t="array" ref="Q139">Common_InputFunctions.Utility_DisplayArrayInTable(Fertiliser_SourceData.Fertiliser_Products_Data1(),FertiliserProducts[[#Headers],[Include or Exclude]], 0,4)</f>
        <v/>
      </c>
      <c r="R139" s="109" t="str" cm="1">
        <f t="array" ref="R139">Common_InputFunctions.Utility_DisplayArrayInTable(Fertiliser_SourceData.Fertiliser_Products_Data1(),FertiliserProducts[[#Headers],[Include or Exclude]], 0,4)</f>
        <v/>
      </c>
      <c r="S139" s="109" t="str" cm="1">
        <f t="array" ref="S139">Common_InputFunctions.Utility_DisplayArrayInTable(Fertiliser_SourceData.Fertiliser_Products_Data1(),FertiliserProducts[[#Headers],[Include or Exclude]], 0,4)</f>
        <v/>
      </c>
      <c r="T139" s="109" t="str" cm="1">
        <f t="array" ref="T139">Common_InputFunctions.Utility_DisplayArrayInTable(Fertiliser_SourceData.Fertiliser_Products_Data1(),FertiliserProducts[[#Headers],[Include or Exclude]], 0,4)</f>
        <v/>
      </c>
      <c r="U139" s="109" t="str" cm="1">
        <f t="array" ref="U139">Common_InputFunctions.Utility_DisplayArrayInTable(Fertiliser_SourceData.Fertiliser_Products_Data1(),FertiliserProducts[[#Headers],[Include or Exclude]], 0,4)</f>
        <v/>
      </c>
      <c r="V139" s="109" t="str" cm="1">
        <f t="array" ref="V139">Common_InputFunctions.Utility_DisplayArrayInTable(Fertiliser_SourceData.Fertiliser_Products_Data1(),FertiliserProducts[[#Headers],[Include or Exclude]], 0,4)</f>
        <v/>
      </c>
      <c r="W139" s="109" t="str" cm="1">
        <f t="array" ref="W139">Common_InputFunctions.Utility_DisplayArrayInTable(Fertiliser_SourceData.Fertiliser_Products_Data1(),FertiliserProducts[[#Headers],[Include or Exclude]], 0,4)</f>
        <v/>
      </c>
      <c r="X139" s="109" t="str" cm="1">
        <f t="array" ref="X139">Common_InputFunctions.Utility_DisplayArrayInTable(Fertiliser_SourceData.Fertiliser_Products_Data1(),FertiliserProducts[[#Headers],[Include or Exclude]], 0,4)</f>
        <v/>
      </c>
      <c r="Y139" s="109" t="str" cm="1">
        <f t="array" ref="Y139">Common_InputFunctions.Utility_DisplayArrayInTable(Fertiliser_SourceData.Fertiliser_Products_Data1(),FertiliserProducts[[#Headers],[Include or Exclude]], 0,4)</f>
        <v/>
      </c>
      <c r="Z139" s="109" t="str" cm="1">
        <f t="array" ref="Z139">Common_InputFunctions.Utility_DisplayArrayInTable(Fertiliser_SourceData.Fertiliser_Products_Data1(),FertiliserProducts[[#Headers],[Include or Exclude]], 0,4)</f>
        <v/>
      </c>
      <c r="AA139" s="109" t="str" cm="1">
        <f t="array" ref="AA139">Common_InputFunctions.Utility_DisplayArrayInTable(Fertiliser_SourceData.Fertiliser_Products_Data1(),FertiliserProducts[[#Headers],[Include or Exclude]], 0,4)</f>
        <v/>
      </c>
      <c r="AB139" s="109" t="str" cm="1">
        <f t="array" ref="AB139">Common_InputFunctions.Utility_DisplayArrayInTable(Fertiliser_SourceData.Fertiliser_Products_Data1(),FertiliserProducts[[#Headers],[Include or Exclude]], 0,4)</f>
        <v/>
      </c>
      <c r="AC139" s="109" t="str" cm="1">
        <f t="array" ref="AC139">Common_InputFunctions.Utility_DisplayArrayInTable(Fertiliser_SourceData.Fertiliser_Products_Data1(),FertiliserProducts[[#Headers],[Include or Exclude]], 0,4)</f>
        <v/>
      </c>
      <c r="AD139" s="109" t="str" cm="1">
        <f t="array" ref="AD139">Common_InputFunctions.Utility_DisplayArrayInTable(Fertiliser_SourceData.Fertiliser_Products_Data1(),FertiliserProducts[[#Headers],[Include or Exclude]], 0,4)</f>
        <v/>
      </c>
      <c r="AE139" s="109" t="str" cm="1">
        <f t="array" ref="AE139">Common_InputFunctions.Utility_DisplayArrayInTable(Fertiliser_SourceData.Fertiliser_Products_Data1(),FertiliserProducts[[#Headers],[Include or Exclude]], 0,4)</f>
        <v/>
      </c>
    </row>
    <row r="140" spans="4:31" ht="20.100000000000001" customHeight="1" x14ac:dyDescent="0.25">
      <c r="D140" s="109" t="str" cm="1">
        <f t="array" ref="D140">Common_InputFunctions.Utility_DisplayArrayInTable(Fertiliser_SourceData.Fertiliser_Products_Data1(),FertiliserProducts[[#Headers],[Include or Exclude]], -1)</f>
        <v/>
      </c>
      <c r="E140" s="109" t="str" cm="1">
        <f t="array" ref="E140">Common_InputFunctions.Utility_DisplayArrayInTable(Fertiliser_SourceData.Fertiliser_Products_Data1(),FertiliserProducts[[#Headers],[Include or Exclude]], 0)</f>
        <v/>
      </c>
      <c r="F140" s="109" t="str" cm="1">
        <f t="array" ref="F140">Common_InputFunctions.Utility_DisplayArrayInTable(Fertiliser_SourceData.Fertiliser_Products_Data1(),FertiliserProducts[[#Headers],[Include or Exclude]], 0)</f>
        <v/>
      </c>
      <c r="G140" s="109" t="str" cm="1">
        <f t="array" ref="G140">Common_InputFunctions.Utility_DisplayArrayInTable(Fertiliser_SourceData.Fertiliser_Products_Data1(),FertiliserProducts[[#Headers],[Include or Exclude]], 0)</f>
        <v/>
      </c>
      <c r="H140" s="109" t="str" cm="1">
        <f t="array" ref="H140">Common_InputFunctions.Utility_DisplayArrayInTable(Fertiliser_SourceData.Fertiliser_Products_Data1(),FertiliserProducts[[#Headers],[Include or Exclude]], 0,4)</f>
        <v/>
      </c>
      <c r="I140" s="109" t="str" cm="1">
        <f t="array" ref="I140">Common_InputFunctions.Utility_DisplayArrayInTable(Fertiliser_SourceData.Fertiliser_Products_Data1(),FertiliserProducts[[#Headers],[Include or Exclude]], 0,4)</f>
        <v/>
      </c>
      <c r="J140" s="109" t="str" cm="1">
        <f t="array" ref="J140">Common_InputFunctions.Utility_DisplayArrayInTable(Fertiliser_SourceData.Fertiliser_Products_Data1(),FertiliserProducts[[#Headers],[Include or Exclude]], 0,4)</f>
        <v/>
      </c>
      <c r="K140" s="109" t="str" cm="1">
        <f t="array" ref="K140">Common_InputFunctions.Utility_DisplayArrayInTable(Fertiliser_SourceData.Fertiliser_Products_Data1(),FertiliserProducts[[#Headers],[Include or Exclude]], 0,4)</f>
        <v/>
      </c>
      <c r="L140" s="109" t="str" cm="1">
        <f t="array" ref="L140">Common_InputFunctions.Utility_DisplayArrayInTable(Fertiliser_SourceData.Fertiliser_Products_Data1(),FertiliserProducts[[#Headers],[Include or Exclude]], 0,4)</f>
        <v/>
      </c>
      <c r="M140" s="109" t="str" cm="1">
        <f t="array" ref="M140">Common_InputFunctions.Utility_DisplayArrayInTable(Fertiliser_SourceData.Fertiliser_Products_Data1(),FertiliserProducts[[#Headers],[Include or Exclude]], 0,4)</f>
        <v/>
      </c>
      <c r="N140" s="109" t="str" cm="1">
        <f t="array" ref="N140">Common_InputFunctions.Utility_DisplayArrayInTable(Fertiliser_SourceData.Fertiliser_Products_Data1(),FertiliserProducts[[#Headers],[Include or Exclude]], 0,4)</f>
        <v/>
      </c>
      <c r="O140" s="109" t="str" cm="1">
        <f t="array" ref="O140">Common_InputFunctions.Utility_DisplayArrayInTable(Fertiliser_SourceData.Fertiliser_Products_Data1(),FertiliserProducts[[#Headers],[Include or Exclude]], 0,4)</f>
        <v/>
      </c>
      <c r="P140" s="109" t="str" cm="1">
        <f t="array" ref="P140">Common_InputFunctions.Utility_DisplayArrayInTable(Fertiliser_SourceData.Fertiliser_Products_Data1(),FertiliserProducts[[#Headers],[Include or Exclude]], 0,4)</f>
        <v/>
      </c>
      <c r="Q140" s="109" t="str" cm="1">
        <f t="array" ref="Q140">Common_InputFunctions.Utility_DisplayArrayInTable(Fertiliser_SourceData.Fertiliser_Products_Data1(),FertiliserProducts[[#Headers],[Include or Exclude]], 0,4)</f>
        <v/>
      </c>
      <c r="R140" s="109" t="str" cm="1">
        <f t="array" ref="R140">Common_InputFunctions.Utility_DisplayArrayInTable(Fertiliser_SourceData.Fertiliser_Products_Data1(),FertiliserProducts[[#Headers],[Include or Exclude]], 0,4)</f>
        <v/>
      </c>
      <c r="S140" s="109" t="str" cm="1">
        <f t="array" ref="S140">Common_InputFunctions.Utility_DisplayArrayInTable(Fertiliser_SourceData.Fertiliser_Products_Data1(),FertiliserProducts[[#Headers],[Include or Exclude]], 0,4)</f>
        <v/>
      </c>
      <c r="T140" s="109" t="str" cm="1">
        <f t="array" ref="T140">Common_InputFunctions.Utility_DisplayArrayInTable(Fertiliser_SourceData.Fertiliser_Products_Data1(),FertiliserProducts[[#Headers],[Include or Exclude]], 0,4)</f>
        <v/>
      </c>
      <c r="U140" s="109" t="str" cm="1">
        <f t="array" ref="U140">Common_InputFunctions.Utility_DisplayArrayInTable(Fertiliser_SourceData.Fertiliser_Products_Data1(),FertiliserProducts[[#Headers],[Include or Exclude]], 0,4)</f>
        <v/>
      </c>
      <c r="V140" s="109" t="str" cm="1">
        <f t="array" ref="V140">Common_InputFunctions.Utility_DisplayArrayInTable(Fertiliser_SourceData.Fertiliser_Products_Data1(),FertiliserProducts[[#Headers],[Include or Exclude]], 0,4)</f>
        <v/>
      </c>
      <c r="W140" s="109" t="str" cm="1">
        <f t="array" ref="W140">Common_InputFunctions.Utility_DisplayArrayInTable(Fertiliser_SourceData.Fertiliser_Products_Data1(),FertiliserProducts[[#Headers],[Include or Exclude]], 0,4)</f>
        <v/>
      </c>
      <c r="X140" s="109" t="str" cm="1">
        <f t="array" ref="X140">Common_InputFunctions.Utility_DisplayArrayInTable(Fertiliser_SourceData.Fertiliser_Products_Data1(),FertiliserProducts[[#Headers],[Include or Exclude]], 0,4)</f>
        <v/>
      </c>
      <c r="Y140" s="109" t="str" cm="1">
        <f t="array" ref="Y140">Common_InputFunctions.Utility_DisplayArrayInTable(Fertiliser_SourceData.Fertiliser_Products_Data1(),FertiliserProducts[[#Headers],[Include or Exclude]], 0,4)</f>
        <v/>
      </c>
      <c r="Z140" s="109" t="str" cm="1">
        <f t="array" ref="Z140">Common_InputFunctions.Utility_DisplayArrayInTable(Fertiliser_SourceData.Fertiliser_Products_Data1(),FertiliserProducts[[#Headers],[Include or Exclude]], 0,4)</f>
        <v/>
      </c>
      <c r="AA140" s="109" t="str" cm="1">
        <f t="array" ref="AA140">Common_InputFunctions.Utility_DisplayArrayInTable(Fertiliser_SourceData.Fertiliser_Products_Data1(),FertiliserProducts[[#Headers],[Include or Exclude]], 0,4)</f>
        <v/>
      </c>
      <c r="AB140" s="109" t="str" cm="1">
        <f t="array" ref="AB140">Common_InputFunctions.Utility_DisplayArrayInTable(Fertiliser_SourceData.Fertiliser_Products_Data1(),FertiliserProducts[[#Headers],[Include or Exclude]], 0,4)</f>
        <v/>
      </c>
      <c r="AC140" s="109" t="str" cm="1">
        <f t="array" ref="AC140">Common_InputFunctions.Utility_DisplayArrayInTable(Fertiliser_SourceData.Fertiliser_Products_Data1(),FertiliserProducts[[#Headers],[Include or Exclude]], 0,4)</f>
        <v/>
      </c>
      <c r="AD140" s="109" t="str" cm="1">
        <f t="array" ref="AD140">Common_InputFunctions.Utility_DisplayArrayInTable(Fertiliser_SourceData.Fertiliser_Products_Data1(),FertiliserProducts[[#Headers],[Include or Exclude]], 0,4)</f>
        <v/>
      </c>
      <c r="AE140" s="109" t="str" cm="1">
        <f t="array" ref="AE140">Common_InputFunctions.Utility_DisplayArrayInTable(Fertiliser_SourceData.Fertiliser_Products_Data1(),FertiliserProducts[[#Headers],[Include or Exclude]], 0,4)</f>
        <v/>
      </c>
    </row>
    <row r="141" spans="4:31" ht="20.100000000000001" customHeight="1" x14ac:dyDescent="0.25">
      <c r="D141" s="109" t="str" cm="1">
        <f t="array" ref="D141">Common_InputFunctions.Utility_DisplayArrayInTable(Fertiliser_SourceData.Fertiliser_Products_Data1(),FertiliserProducts[[#Headers],[Include or Exclude]], -1)</f>
        <v/>
      </c>
      <c r="E141" s="109" t="str" cm="1">
        <f t="array" ref="E141">Common_InputFunctions.Utility_DisplayArrayInTable(Fertiliser_SourceData.Fertiliser_Products_Data1(),FertiliserProducts[[#Headers],[Include or Exclude]], 0)</f>
        <v/>
      </c>
      <c r="F141" s="109" t="str" cm="1">
        <f t="array" ref="F141">Common_InputFunctions.Utility_DisplayArrayInTable(Fertiliser_SourceData.Fertiliser_Products_Data1(),FertiliserProducts[[#Headers],[Include or Exclude]], 0)</f>
        <v/>
      </c>
      <c r="G141" s="109" t="str" cm="1">
        <f t="array" ref="G141">Common_InputFunctions.Utility_DisplayArrayInTable(Fertiliser_SourceData.Fertiliser_Products_Data1(),FertiliserProducts[[#Headers],[Include or Exclude]], 0)</f>
        <v/>
      </c>
      <c r="H141" s="109" t="str" cm="1">
        <f t="array" ref="H141">Common_InputFunctions.Utility_DisplayArrayInTable(Fertiliser_SourceData.Fertiliser_Products_Data1(),FertiliserProducts[[#Headers],[Include or Exclude]], 0,4)</f>
        <v/>
      </c>
      <c r="I141" s="109" t="str" cm="1">
        <f t="array" ref="I141">Common_InputFunctions.Utility_DisplayArrayInTable(Fertiliser_SourceData.Fertiliser_Products_Data1(),FertiliserProducts[[#Headers],[Include or Exclude]], 0,4)</f>
        <v/>
      </c>
      <c r="J141" s="109" t="str" cm="1">
        <f t="array" ref="J141">Common_InputFunctions.Utility_DisplayArrayInTable(Fertiliser_SourceData.Fertiliser_Products_Data1(),FertiliserProducts[[#Headers],[Include or Exclude]], 0,4)</f>
        <v/>
      </c>
      <c r="K141" s="109" t="str" cm="1">
        <f t="array" ref="K141">Common_InputFunctions.Utility_DisplayArrayInTable(Fertiliser_SourceData.Fertiliser_Products_Data1(),FertiliserProducts[[#Headers],[Include or Exclude]], 0,4)</f>
        <v/>
      </c>
      <c r="L141" s="109" t="str" cm="1">
        <f t="array" ref="L141">Common_InputFunctions.Utility_DisplayArrayInTable(Fertiliser_SourceData.Fertiliser_Products_Data1(),FertiliserProducts[[#Headers],[Include or Exclude]], 0,4)</f>
        <v/>
      </c>
      <c r="M141" s="109" t="str" cm="1">
        <f t="array" ref="M141">Common_InputFunctions.Utility_DisplayArrayInTable(Fertiliser_SourceData.Fertiliser_Products_Data1(),FertiliserProducts[[#Headers],[Include or Exclude]], 0,4)</f>
        <v/>
      </c>
      <c r="N141" s="109" t="str" cm="1">
        <f t="array" ref="N141">Common_InputFunctions.Utility_DisplayArrayInTable(Fertiliser_SourceData.Fertiliser_Products_Data1(),FertiliserProducts[[#Headers],[Include or Exclude]], 0,4)</f>
        <v/>
      </c>
      <c r="O141" s="109" t="str" cm="1">
        <f t="array" ref="O141">Common_InputFunctions.Utility_DisplayArrayInTable(Fertiliser_SourceData.Fertiliser_Products_Data1(),FertiliserProducts[[#Headers],[Include or Exclude]], 0,4)</f>
        <v/>
      </c>
      <c r="P141" s="109" t="str" cm="1">
        <f t="array" ref="P141">Common_InputFunctions.Utility_DisplayArrayInTable(Fertiliser_SourceData.Fertiliser_Products_Data1(),FertiliserProducts[[#Headers],[Include or Exclude]], 0,4)</f>
        <v/>
      </c>
      <c r="Q141" s="109" t="str" cm="1">
        <f t="array" ref="Q141">Common_InputFunctions.Utility_DisplayArrayInTable(Fertiliser_SourceData.Fertiliser_Products_Data1(),FertiliserProducts[[#Headers],[Include or Exclude]], 0,4)</f>
        <v/>
      </c>
      <c r="R141" s="109" t="str" cm="1">
        <f t="array" ref="R141">Common_InputFunctions.Utility_DisplayArrayInTable(Fertiliser_SourceData.Fertiliser_Products_Data1(),FertiliserProducts[[#Headers],[Include or Exclude]], 0,4)</f>
        <v/>
      </c>
      <c r="S141" s="109" t="str" cm="1">
        <f t="array" ref="S141">Common_InputFunctions.Utility_DisplayArrayInTable(Fertiliser_SourceData.Fertiliser_Products_Data1(),FertiliserProducts[[#Headers],[Include or Exclude]], 0,4)</f>
        <v/>
      </c>
      <c r="T141" s="109" t="str" cm="1">
        <f t="array" ref="T141">Common_InputFunctions.Utility_DisplayArrayInTable(Fertiliser_SourceData.Fertiliser_Products_Data1(),FertiliserProducts[[#Headers],[Include or Exclude]], 0,4)</f>
        <v/>
      </c>
      <c r="U141" s="109" t="str" cm="1">
        <f t="array" ref="U141">Common_InputFunctions.Utility_DisplayArrayInTable(Fertiliser_SourceData.Fertiliser_Products_Data1(),FertiliserProducts[[#Headers],[Include or Exclude]], 0,4)</f>
        <v/>
      </c>
      <c r="V141" s="109" t="str" cm="1">
        <f t="array" ref="V141">Common_InputFunctions.Utility_DisplayArrayInTable(Fertiliser_SourceData.Fertiliser_Products_Data1(),FertiliserProducts[[#Headers],[Include or Exclude]], 0,4)</f>
        <v/>
      </c>
      <c r="W141" s="109" t="str" cm="1">
        <f t="array" ref="W141">Common_InputFunctions.Utility_DisplayArrayInTable(Fertiliser_SourceData.Fertiliser_Products_Data1(),FertiliserProducts[[#Headers],[Include or Exclude]], 0,4)</f>
        <v/>
      </c>
      <c r="X141" s="109" t="str" cm="1">
        <f t="array" ref="X141">Common_InputFunctions.Utility_DisplayArrayInTable(Fertiliser_SourceData.Fertiliser_Products_Data1(),FertiliserProducts[[#Headers],[Include or Exclude]], 0,4)</f>
        <v/>
      </c>
      <c r="Y141" s="109" t="str" cm="1">
        <f t="array" ref="Y141">Common_InputFunctions.Utility_DisplayArrayInTable(Fertiliser_SourceData.Fertiliser_Products_Data1(),FertiliserProducts[[#Headers],[Include or Exclude]], 0,4)</f>
        <v/>
      </c>
      <c r="Z141" s="109" t="str" cm="1">
        <f t="array" ref="Z141">Common_InputFunctions.Utility_DisplayArrayInTable(Fertiliser_SourceData.Fertiliser_Products_Data1(),FertiliserProducts[[#Headers],[Include or Exclude]], 0,4)</f>
        <v/>
      </c>
      <c r="AA141" s="109" t="str" cm="1">
        <f t="array" ref="AA141">Common_InputFunctions.Utility_DisplayArrayInTable(Fertiliser_SourceData.Fertiliser_Products_Data1(),FertiliserProducts[[#Headers],[Include or Exclude]], 0,4)</f>
        <v/>
      </c>
      <c r="AB141" s="109" t="str" cm="1">
        <f t="array" ref="AB141">Common_InputFunctions.Utility_DisplayArrayInTable(Fertiliser_SourceData.Fertiliser_Products_Data1(),FertiliserProducts[[#Headers],[Include or Exclude]], 0,4)</f>
        <v/>
      </c>
      <c r="AC141" s="109" t="str" cm="1">
        <f t="array" ref="AC141">Common_InputFunctions.Utility_DisplayArrayInTable(Fertiliser_SourceData.Fertiliser_Products_Data1(),FertiliserProducts[[#Headers],[Include or Exclude]], 0,4)</f>
        <v/>
      </c>
      <c r="AD141" s="109" t="str" cm="1">
        <f t="array" ref="AD141">Common_InputFunctions.Utility_DisplayArrayInTable(Fertiliser_SourceData.Fertiliser_Products_Data1(),FertiliserProducts[[#Headers],[Include or Exclude]], 0,4)</f>
        <v/>
      </c>
      <c r="AE141" s="109" t="str" cm="1">
        <f t="array" ref="AE141">Common_InputFunctions.Utility_DisplayArrayInTable(Fertiliser_SourceData.Fertiliser_Products_Data1(),FertiliserProducts[[#Headers],[Include or Exclude]], 0,4)</f>
        <v/>
      </c>
    </row>
    <row r="142" spans="4:31" ht="20.100000000000001" customHeight="1" x14ac:dyDescent="0.25">
      <c r="D142" s="109" t="str" cm="1">
        <f t="array" ref="D142">Common_InputFunctions.Utility_DisplayArrayInTable(Fertiliser_SourceData.Fertiliser_Products_Data1(),FertiliserProducts[[#Headers],[Include or Exclude]], -1)</f>
        <v/>
      </c>
      <c r="E142" s="109" t="str" cm="1">
        <f t="array" ref="E142">Common_InputFunctions.Utility_DisplayArrayInTable(Fertiliser_SourceData.Fertiliser_Products_Data1(),FertiliserProducts[[#Headers],[Include or Exclude]], 0)</f>
        <v/>
      </c>
      <c r="F142" s="109" t="str" cm="1">
        <f t="array" ref="F142">Common_InputFunctions.Utility_DisplayArrayInTable(Fertiliser_SourceData.Fertiliser_Products_Data1(),FertiliserProducts[[#Headers],[Include or Exclude]], 0)</f>
        <v/>
      </c>
      <c r="G142" s="109" t="str" cm="1">
        <f t="array" ref="G142">Common_InputFunctions.Utility_DisplayArrayInTable(Fertiliser_SourceData.Fertiliser_Products_Data1(),FertiliserProducts[[#Headers],[Include or Exclude]], 0)</f>
        <v/>
      </c>
      <c r="H142" s="109" t="str" cm="1">
        <f t="array" ref="H142">Common_InputFunctions.Utility_DisplayArrayInTable(Fertiliser_SourceData.Fertiliser_Products_Data1(),FertiliserProducts[[#Headers],[Include or Exclude]], 0,4)</f>
        <v/>
      </c>
      <c r="I142" s="109" t="str" cm="1">
        <f t="array" ref="I142">Common_InputFunctions.Utility_DisplayArrayInTable(Fertiliser_SourceData.Fertiliser_Products_Data1(),FertiliserProducts[[#Headers],[Include or Exclude]], 0,4)</f>
        <v/>
      </c>
      <c r="J142" s="109" t="str" cm="1">
        <f t="array" ref="J142">Common_InputFunctions.Utility_DisplayArrayInTable(Fertiliser_SourceData.Fertiliser_Products_Data1(),FertiliserProducts[[#Headers],[Include or Exclude]], 0,4)</f>
        <v/>
      </c>
      <c r="K142" s="109" t="str" cm="1">
        <f t="array" ref="K142">Common_InputFunctions.Utility_DisplayArrayInTable(Fertiliser_SourceData.Fertiliser_Products_Data1(),FertiliserProducts[[#Headers],[Include or Exclude]], 0,4)</f>
        <v/>
      </c>
      <c r="L142" s="109" t="str" cm="1">
        <f t="array" ref="L142">Common_InputFunctions.Utility_DisplayArrayInTable(Fertiliser_SourceData.Fertiliser_Products_Data1(),FertiliserProducts[[#Headers],[Include or Exclude]], 0,4)</f>
        <v/>
      </c>
      <c r="M142" s="109" t="str" cm="1">
        <f t="array" ref="M142">Common_InputFunctions.Utility_DisplayArrayInTable(Fertiliser_SourceData.Fertiliser_Products_Data1(),FertiliserProducts[[#Headers],[Include or Exclude]], 0,4)</f>
        <v/>
      </c>
      <c r="N142" s="109" t="str" cm="1">
        <f t="array" ref="N142">Common_InputFunctions.Utility_DisplayArrayInTable(Fertiliser_SourceData.Fertiliser_Products_Data1(),FertiliserProducts[[#Headers],[Include or Exclude]], 0,4)</f>
        <v/>
      </c>
      <c r="O142" s="109" t="str" cm="1">
        <f t="array" ref="O142">Common_InputFunctions.Utility_DisplayArrayInTable(Fertiliser_SourceData.Fertiliser_Products_Data1(),FertiliserProducts[[#Headers],[Include or Exclude]], 0,4)</f>
        <v/>
      </c>
      <c r="P142" s="109" t="str" cm="1">
        <f t="array" ref="P142">Common_InputFunctions.Utility_DisplayArrayInTable(Fertiliser_SourceData.Fertiliser_Products_Data1(),FertiliserProducts[[#Headers],[Include or Exclude]], 0,4)</f>
        <v/>
      </c>
      <c r="Q142" s="109" t="str" cm="1">
        <f t="array" ref="Q142">Common_InputFunctions.Utility_DisplayArrayInTable(Fertiliser_SourceData.Fertiliser_Products_Data1(),FertiliserProducts[[#Headers],[Include or Exclude]], 0,4)</f>
        <v/>
      </c>
      <c r="R142" s="109" t="str" cm="1">
        <f t="array" ref="R142">Common_InputFunctions.Utility_DisplayArrayInTable(Fertiliser_SourceData.Fertiliser_Products_Data1(),FertiliserProducts[[#Headers],[Include or Exclude]], 0,4)</f>
        <v/>
      </c>
      <c r="S142" s="109" t="str" cm="1">
        <f t="array" ref="S142">Common_InputFunctions.Utility_DisplayArrayInTable(Fertiliser_SourceData.Fertiliser_Products_Data1(),FertiliserProducts[[#Headers],[Include or Exclude]], 0,4)</f>
        <v/>
      </c>
      <c r="T142" s="109" t="str" cm="1">
        <f t="array" ref="T142">Common_InputFunctions.Utility_DisplayArrayInTable(Fertiliser_SourceData.Fertiliser_Products_Data1(),FertiliserProducts[[#Headers],[Include or Exclude]], 0,4)</f>
        <v/>
      </c>
      <c r="U142" s="109" t="str" cm="1">
        <f t="array" ref="U142">Common_InputFunctions.Utility_DisplayArrayInTable(Fertiliser_SourceData.Fertiliser_Products_Data1(),FertiliserProducts[[#Headers],[Include or Exclude]], 0,4)</f>
        <v/>
      </c>
      <c r="V142" s="109" t="str" cm="1">
        <f t="array" ref="V142">Common_InputFunctions.Utility_DisplayArrayInTable(Fertiliser_SourceData.Fertiliser_Products_Data1(),FertiliserProducts[[#Headers],[Include or Exclude]], 0,4)</f>
        <v/>
      </c>
      <c r="W142" s="109" t="str" cm="1">
        <f t="array" ref="W142">Common_InputFunctions.Utility_DisplayArrayInTable(Fertiliser_SourceData.Fertiliser_Products_Data1(),FertiliserProducts[[#Headers],[Include or Exclude]], 0,4)</f>
        <v/>
      </c>
      <c r="X142" s="109" t="str" cm="1">
        <f t="array" ref="X142">Common_InputFunctions.Utility_DisplayArrayInTable(Fertiliser_SourceData.Fertiliser_Products_Data1(),FertiliserProducts[[#Headers],[Include or Exclude]], 0,4)</f>
        <v/>
      </c>
      <c r="Y142" s="109" t="str" cm="1">
        <f t="array" ref="Y142">Common_InputFunctions.Utility_DisplayArrayInTable(Fertiliser_SourceData.Fertiliser_Products_Data1(),FertiliserProducts[[#Headers],[Include or Exclude]], 0,4)</f>
        <v/>
      </c>
      <c r="Z142" s="109" t="str" cm="1">
        <f t="array" ref="Z142">Common_InputFunctions.Utility_DisplayArrayInTable(Fertiliser_SourceData.Fertiliser_Products_Data1(),FertiliserProducts[[#Headers],[Include or Exclude]], 0,4)</f>
        <v/>
      </c>
      <c r="AA142" s="109" t="str" cm="1">
        <f t="array" ref="AA142">Common_InputFunctions.Utility_DisplayArrayInTable(Fertiliser_SourceData.Fertiliser_Products_Data1(),FertiliserProducts[[#Headers],[Include or Exclude]], 0,4)</f>
        <v/>
      </c>
      <c r="AB142" s="109" t="str" cm="1">
        <f t="array" ref="AB142">Common_InputFunctions.Utility_DisplayArrayInTable(Fertiliser_SourceData.Fertiliser_Products_Data1(),FertiliserProducts[[#Headers],[Include or Exclude]], 0,4)</f>
        <v/>
      </c>
      <c r="AC142" s="109" t="str" cm="1">
        <f t="array" ref="AC142">Common_InputFunctions.Utility_DisplayArrayInTable(Fertiliser_SourceData.Fertiliser_Products_Data1(),FertiliserProducts[[#Headers],[Include or Exclude]], 0,4)</f>
        <v/>
      </c>
      <c r="AD142" s="109" t="str" cm="1">
        <f t="array" ref="AD142">Common_InputFunctions.Utility_DisplayArrayInTable(Fertiliser_SourceData.Fertiliser_Products_Data1(),FertiliserProducts[[#Headers],[Include or Exclude]], 0,4)</f>
        <v/>
      </c>
      <c r="AE142" s="109" t="str" cm="1">
        <f t="array" ref="AE142">Common_InputFunctions.Utility_DisplayArrayInTable(Fertiliser_SourceData.Fertiliser_Products_Data1(),FertiliserProducts[[#Headers],[Include or Exclude]], 0,4)</f>
        <v/>
      </c>
    </row>
    <row r="143" spans="4:31" ht="20.100000000000001" customHeight="1" x14ac:dyDescent="0.25">
      <c r="D143" s="109" t="str" cm="1">
        <f t="array" ref="D143">Common_InputFunctions.Utility_DisplayArrayInTable(Fertiliser_SourceData.Fertiliser_Products_Data1(),FertiliserProducts[[#Headers],[Include or Exclude]], -1)</f>
        <v/>
      </c>
      <c r="E143" s="109" t="str" cm="1">
        <f t="array" ref="E143">Common_InputFunctions.Utility_DisplayArrayInTable(Fertiliser_SourceData.Fertiliser_Products_Data1(),FertiliserProducts[[#Headers],[Include or Exclude]], 0)</f>
        <v/>
      </c>
      <c r="F143" s="109" t="str" cm="1">
        <f t="array" ref="F143">Common_InputFunctions.Utility_DisplayArrayInTable(Fertiliser_SourceData.Fertiliser_Products_Data1(),FertiliserProducts[[#Headers],[Include or Exclude]], 0)</f>
        <v/>
      </c>
      <c r="G143" s="109" t="str" cm="1">
        <f t="array" ref="G143">Common_InputFunctions.Utility_DisplayArrayInTable(Fertiliser_SourceData.Fertiliser_Products_Data1(),FertiliserProducts[[#Headers],[Include or Exclude]], 0)</f>
        <v/>
      </c>
      <c r="H143" s="109" t="str" cm="1">
        <f t="array" ref="H143">Common_InputFunctions.Utility_DisplayArrayInTable(Fertiliser_SourceData.Fertiliser_Products_Data1(),FertiliserProducts[[#Headers],[Include or Exclude]], 0,4)</f>
        <v/>
      </c>
      <c r="I143" s="109" t="str" cm="1">
        <f t="array" ref="I143">Common_InputFunctions.Utility_DisplayArrayInTable(Fertiliser_SourceData.Fertiliser_Products_Data1(),FertiliserProducts[[#Headers],[Include or Exclude]], 0,4)</f>
        <v/>
      </c>
      <c r="J143" s="109" t="str" cm="1">
        <f t="array" ref="J143">Common_InputFunctions.Utility_DisplayArrayInTable(Fertiliser_SourceData.Fertiliser_Products_Data1(),FertiliserProducts[[#Headers],[Include or Exclude]], 0,4)</f>
        <v/>
      </c>
      <c r="K143" s="109" t="str" cm="1">
        <f t="array" ref="K143">Common_InputFunctions.Utility_DisplayArrayInTable(Fertiliser_SourceData.Fertiliser_Products_Data1(),FertiliserProducts[[#Headers],[Include or Exclude]], 0,4)</f>
        <v/>
      </c>
      <c r="L143" s="109" t="str" cm="1">
        <f t="array" ref="L143">Common_InputFunctions.Utility_DisplayArrayInTable(Fertiliser_SourceData.Fertiliser_Products_Data1(),FertiliserProducts[[#Headers],[Include or Exclude]], 0,4)</f>
        <v/>
      </c>
      <c r="M143" s="109" t="str" cm="1">
        <f t="array" ref="M143">Common_InputFunctions.Utility_DisplayArrayInTable(Fertiliser_SourceData.Fertiliser_Products_Data1(),FertiliserProducts[[#Headers],[Include or Exclude]], 0,4)</f>
        <v/>
      </c>
      <c r="N143" s="109" t="str" cm="1">
        <f t="array" ref="N143">Common_InputFunctions.Utility_DisplayArrayInTable(Fertiliser_SourceData.Fertiliser_Products_Data1(),FertiliserProducts[[#Headers],[Include or Exclude]], 0,4)</f>
        <v/>
      </c>
      <c r="O143" s="109" t="str" cm="1">
        <f t="array" ref="O143">Common_InputFunctions.Utility_DisplayArrayInTable(Fertiliser_SourceData.Fertiliser_Products_Data1(),FertiliserProducts[[#Headers],[Include or Exclude]], 0,4)</f>
        <v/>
      </c>
      <c r="P143" s="109" t="str" cm="1">
        <f t="array" ref="P143">Common_InputFunctions.Utility_DisplayArrayInTable(Fertiliser_SourceData.Fertiliser_Products_Data1(),FertiliserProducts[[#Headers],[Include or Exclude]], 0,4)</f>
        <v/>
      </c>
      <c r="Q143" s="109" t="str" cm="1">
        <f t="array" ref="Q143">Common_InputFunctions.Utility_DisplayArrayInTable(Fertiliser_SourceData.Fertiliser_Products_Data1(),FertiliserProducts[[#Headers],[Include or Exclude]], 0,4)</f>
        <v/>
      </c>
      <c r="R143" s="109" t="str" cm="1">
        <f t="array" ref="R143">Common_InputFunctions.Utility_DisplayArrayInTable(Fertiliser_SourceData.Fertiliser_Products_Data1(),FertiliserProducts[[#Headers],[Include or Exclude]], 0,4)</f>
        <v/>
      </c>
      <c r="S143" s="109" t="str" cm="1">
        <f t="array" ref="S143">Common_InputFunctions.Utility_DisplayArrayInTable(Fertiliser_SourceData.Fertiliser_Products_Data1(),FertiliserProducts[[#Headers],[Include or Exclude]], 0,4)</f>
        <v/>
      </c>
      <c r="T143" s="109" t="str" cm="1">
        <f t="array" ref="T143">Common_InputFunctions.Utility_DisplayArrayInTable(Fertiliser_SourceData.Fertiliser_Products_Data1(),FertiliserProducts[[#Headers],[Include or Exclude]], 0,4)</f>
        <v/>
      </c>
      <c r="U143" s="109" t="str" cm="1">
        <f t="array" ref="U143">Common_InputFunctions.Utility_DisplayArrayInTable(Fertiliser_SourceData.Fertiliser_Products_Data1(),FertiliserProducts[[#Headers],[Include or Exclude]], 0,4)</f>
        <v/>
      </c>
      <c r="V143" s="109" t="str" cm="1">
        <f t="array" ref="V143">Common_InputFunctions.Utility_DisplayArrayInTable(Fertiliser_SourceData.Fertiliser_Products_Data1(),FertiliserProducts[[#Headers],[Include or Exclude]], 0,4)</f>
        <v/>
      </c>
      <c r="W143" s="109" t="str" cm="1">
        <f t="array" ref="W143">Common_InputFunctions.Utility_DisplayArrayInTable(Fertiliser_SourceData.Fertiliser_Products_Data1(),FertiliserProducts[[#Headers],[Include or Exclude]], 0,4)</f>
        <v/>
      </c>
      <c r="X143" s="109" t="str" cm="1">
        <f t="array" ref="X143">Common_InputFunctions.Utility_DisplayArrayInTable(Fertiliser_SourceData.Fertiliser_Products_Data1(),FertiliserProducts[[#Headers],[Include or Exclude]], 0,4)</f>
        <v/>
      </c>
      <c r="Y143" s="109" t="str" cm="1">
        <f t="array" ref="Y143">Common_InputFunctions.Utility_DisplayArrayInTable(Fertiliser_SourceData.Fertiliser_Products_Data1(),FertiliserProducts[[#Headers],[Include or Exclude]], 0,4)</f>
        <v/>
      </c>
      <c r="Z143" s="109" t="str" cm="1">
        <f t="array" ref="Z143">Common_InputFunctions.Utility_DisplayArrayInTable(Fertiliser_SourceData.Fertiliser_Products_Data1(),FertiliserProducts[[#Headers],[Include or Exclude]], 0,4)</f>
        <v/>
      </c>
      <c r="AA143" s="109" t="str" cm="1">
        <f t="array" ref="AA143">Common_InputFunctions.Utility_DisplayArrayInTable(Fertiliser_SourceData.Fertiliser_Products_Data1(),FertiliserProducts[[#Headers],[Include or Exclude]], 0,4)</f>
        <v/>
      </c>
      <c r="AB143" s="109" t="str" cm="1">
        <f t="array" ref="AB143">Common_InputFunctions.Utility_DisplayArrayInTable(Fertiliser_SourceData.Fertiliser_Products_Data1(),FertiliserProducts[[#Headers],[Include or Exclude]], 0,4)</f>
        <v/>
      </c>
      <c r="AC143" s="109" t="str" cm="1">
        <f t="array" ref="AC143">Common_InputFunctions.Utility_DisplayArrayInTable(Fertiliser_SourceData.Fertiliser_Products_Data1(),FertiliserProducts[[#Headers],[Include or Exclude]], 0,4)</f>
        <v/>
      </c>
      <c r="AD143" s="109" t="str" cm="1">
        <f t="array" ref="AD143">Common_InputFunctions.Utility_DisplayArrayInTable(Fertiliser_SourceData.Fertiliser_Products_Data1(),FertiliserProducts[[#Headers],[Include or Exclude]], 0,4)</f>
        <v/>
      </c>
      <c r="AE143" s="109" t="str" cm="1">
        <f t="array" ref="AE143">Common_InputFunctions.Utility_DisplayArrayInTable(Fertiliser_SourceData.Fertiliser_Products_Data1(),FertiliserProducts[[#Headers],[Include or Exclude]], 0,4)</f>
        <v/>
      </c>
    </row>
    <row r="144" spans="4:31" ht="20.100000000000001" customHeight="1" x14ac:dyDescent="0.25">
      <c r="D144" s="109" t="str" cm="1">
        <f t="array" ref="D144">Common_InputFunctions.Utility_DisplayArrayInTable(Fertiliser_SourceData.Fertiliser_Products_Data1(),FertiliserProducts[[#Headers],[Include or Exclude]], -1)</f>
        <v/>
      </c>
      <c r="E144" s="109" t="str" cm="1">
        <f t="array" ref="E144">Common_InputFunctions.Utility_DisplayArrayInTable(Fertiliser_SourceData.Fertiliser_Products_Data1(),FertiliserProducts[[#Headers],[Include or Exclude]], 0)</f>
        <v/>
      </c>
      <c r="F144" s="109" t="str" cm="1">
        <f t="array" ref="F144">Common_InputFunctions.Utility_DisplayArrayInTable(Fertiliser_SourceData.Fertiliser_Products_Data1(),FertiliserProducts[[#Headers],[Include or Exclude]], 0)</f>
        <v/>
      </c>
      <c r="G144" s="109" t="str" cm="1">
        <f t="array" ref="G144">Common_InputFunctions.Utility_DisplayArrayInTable(Fertiliser_SourceData.Fertiliser_Products_Data1(),FertiliserProducts[[#Headers],[Include or Exclude]], 0)</f>
        <v/>
      </c>
      <c r="H144" s="109" t="str" cm="1">
        <f t="array" ref="H144">Common_InputFunctions.Utility_DisplayArrayInTable(Fertiliser_SourceData.Fertiliser_Products_Data1(),FertiliserProducts[[#Headers],[Include or Exclude]], 0,4)</f>
        <v/>
      </c>
      <c r="I144" s="109" t="str" cm="1">
        <f t="array" ref="I144">Common_InputFunctions.Utility_DisplayArrayInTable(Fertiliser_SourceData.Fertiliser_Products_Data1(),FertiliserProducts[[#Headers],[Include or Exclude]], 0,4)</f>
        <v/>
      </c>
      <c r="J144" s="109" t="str" cm="1">
        <f t="array" ref="J144">Common_InputFunctions.Utility_DisplayArrayInTable(Fertiliser_SourceData.Fertiliser_Products_Data1(),FertiliserProducts[[#Headers],[Include or Exclude]], 0,4)</f>
        <v/>
      </c>
      <c r="K144" s="109" t="str" cm="1">
        <f t="array" ref="K144">Common_InputFunctions.Utility_DisplayArrayInTable(Fertiliser_SourceData.Fertiliser_Products_Data1(),FertiliserProducts[[#Headers],[Include or Exclude]], 0,4)</f>
        <v/>
      </c>
      <c r="L144" s="109" t="str" cm="1">
        <f t="array" ref="L144">Common_InputFunctions.Utility_DisplayArrayInTable(Fertiliser_SourceData.Fertiliser_Products_Data1(),FertiliserProducts[[#Headers],[Include or Exclude]], 0,4)</f>
        <v/>
      </c>
      <c r="M144" s="109" t="str" cm="1">
        <f t="array" ref="M144">Common_InputFunctions.Utility_DisplayArrayInTable(Fertiliser_SourceData.Fertiliser_Products_Data1(),FertiliserProducts[[#Headers],[Include or Exclude]], 0,4)</f>
        <v/>
      </c>
      <c r="N144" s="109" t="str" cm="1">
        <f t="array" ref="N144">Common_InputFunctions.Utility_DisplayArrayInTable(Fertiliser_SourceData.Fertiliser_Products_Data1(),FertiliserProducts[[#Headers],[Include or Exclude]], 0,4)</f>
        <v/>
      </c>
      <c r="O144" s="109" t="str" cm="1">
        <f t="array" ref="O144">Common_InputFunctions.Utility_DisplayArrayInTable(Fertiliser_SourceData.Fertiliser_Products_Data1(),FertiliserProducts[[#Headers],[Include or Exclude]], 0,4)</f>
        <v/>
      </c>
      <c r="P144" s="109" t="str" cm="1">
        <f t="array" ref="P144">Common_InputFunctions.Utility_DisplayArrayInTable(Fertiliser_SourceData.Fertiliser_Products_Data1(),FertiliserProducts[[#Headers],[Include or Exclude]], 0,4)</f>
        <v/>
      </c>
      <c r="Q144" s="109" t="str" cm="1">
        <f t="array" ref="Q144">Common_InputFunctions.Utility_DisplayArrayInTable(Fertiliser_SourceData.Fertiliser_Products_Data1(),FertiliserProducts[[#Headers],[Include or Exclude]], 0,4)</f>
        <v/>
      </c>
      <c r="R144" s="109" t="str" cm="1">
        <f t="array" ref="R144">Common_InputFunctions.Utility_DisplayArrayInTable(Fertiliser_SourceData.Fertiliser_Products_Data1(),FertiliserProducts[[#Headers],[Include or Exclude]], 0,4)</f>
        <v/>
      </c>
      <c r="S144" s="109" t="str" cm="1">
        <f t="array" ref="S144">Common_InputFunctions.Utility_DisplayArrayInTable(Fertiliser_SourceData.Fertiliser_Products_Data1(),FertiliserProducts[[#Headers],[Include or Exclude]], 0,4)</f>
        <v/>
      </c>
      <c r="T144" s="109" t="str" cm="1">
        <f t="array" ref="T144">Common_InputFunctions.Utility_DisplayArrayInTable(Fertiliser_SourceData.Fertiliser_Products_Data1(),FertiliserProducts[[#Headers],[Include or Exclude]], 0,4)</f>
        <v/>
      </c>
      <c r="U144" s="109" t="str" cm="1">
        <f t="array" ref="U144">Common_InputFunctions.Utility_DisplayArrayInTable(Fertiliser_SourceData.Fertiliser_Products_Data1(),FertiliserProducts[[#Headers],[Include or Exclude]], 0,4)</f>
        <v/>
      </c>
      <c r="V144" s="109" t="str" cm="1">
        <f t="array" ref="V144">Common_InputFunctions.Utility_DisplayArrayInTable(Fertiliser_SourceData.Fertiliser_Products_Data1(),FertiliserProducts[[#Headers],[Include or Exclude]], 0,4)</f>
        <v/>
      </c>
      <c r="W144" s="109" t="str" cm="1">
        <f t="array" ref="W144">Common_InputFunctions.Utility_DisplayArrayInTable(Fertiliser_SourceData.Fertiliser_Products_Data1(),FertiliserProducts[[#Headers],[Include or Exclude]], 0,4)</f>
        <v/>
      </c>
      <c r="X144" s="109" t="str" cm="1">
        <f t="array" ref="X144">Common_InputFunctions.Utility_DisplayArrayInTable(Fertiliser_SourceData.Fertiliser_Products_Data1(),FertiliserProducts[[#Headers],[Include or Exclude]], 0,4)</f>
        <v/>
      </c>
      <c r="Y144" s="109" t="str" cm="1">
        <f t="array" ref="Y144">Common_InputFunctions.Utility_DisplayArrayInTable(Fertiliser_SourceData.Fertiliser_Products_Data1(),FertiliserProducts[[#Headers],[Include or Exclude]], 0,4)</f>
        <v/>
      </c>
      <c r="Z144" s="109" t="str" cm="1">
        <f t="array" ref="Z144">Common_InputFunctions.Utility_DisplayArrayInTable(Fertiliser_SourceData.Fertiliser_Products_Data1(),FertiliserProducts[[#Headers],[Include or Exclude]], 0,4)</f>
        <v/>
      </c>
      <c r="AA144" s="109" t="str" cm="1">
        <f t="array" ref="AA144">Common_InputFunctions.Utility_DisplayArrayInTable(Fertiliser_SourceData.Fertiliser_Products_Data1(),FertiliserProducts[[#Headers],[Include or Exclude]], 0,4)</f>
        <v/>
      </c>
      <c r="AB144" s="109" t="str" cm="1">
        <f t="array" ref="AB144">Common_InputFunctions.Utility_DisplayArrayInTable(Fertiliser_SourceData.Fertiliser_Products_Data1(),FertiliserProducts[[#Headers],[Include or Exclude]], 0,4)</f>
        <v/>
      </c>
      <c r="AC144" s="109" t="str" cm="1">
        <f t="array" ref="AC144">Common_InputFunctions.Utility_DisplayArrayInTable(Fertiliser_SourceData.Fertiliser_Products_Data1(),FertiliserProducts[[#Headers],[Include or Exclude]], 0,4)</f>
        <v/>
      </c>
      <c r="AD144" s="109" t="str" cm="1">
        <f t="array" ref="AD144">Common_InputFunctions.Utility_DisplayArrayInTable(Fertiliser_SourceData.Fertiliser_Products_Data1(),FertiliserProducts[[#Headers],[Include or Exclude]], 0,4)</f>
        <v/>
      </c>
      <c r="AE144" s="109" t="str" cm="1">
        <f t="array" ref="AE144">Common_InputFunctions.Utility_DisplayArrayInTable(Fertiliser_SourceData.Fertiliser_Products_Data1(),FertiliserProducts[[#Headers],[Include or Exclude]], 0,4)</f>
        <v/>
      </c>
    </row>
    <row r="145" spans="4:31" ht="20.100000000000001" customHeight="1" x14ac:dyDescent="0.25">
      <c r="D145" s="109" t="str" cm="1">
        <f t="array" ref="D145">Common_InputFunctions.Utility_DisplayArrayInTable(Fertiliser_SourceData.Fertiliser_Products_Data1(),FertiliserProducts[[#Headers],[Include or Exclude]], -1)</f>
        <v/>
      </c>
      <c r="E145" s="109" t="str" cm="1">
        <f t="array" ref="E145">Common_InputFunctions.Utility_DisplayArrayInTable(Fertiliser_SourceData.Fertiliser_Products_Data1(),FertiliserProducts[[#Headers],[Include or Exclude]], 0)</f>
        <v/>
      </c>
      <c r="F145" s="109" t="str" cm="1">
        <f t="array" ref="F145">Common_InputFunctions.Utility_DisplayArrayInTable(Fertiliser_SourceData.Fertiliser_Products_Data1(),FertiliserProducts[[#Headers],[Include or Exclude]], 0)</f>
        <v/>
      </c>
      <c r="G145" s="109" t="str" cm="1">
        <f t="array" ref="G145">Common_InputFunctions.Utility_DisplayArrayInTable(Fertiliser_SourceData.Fertiliser_Products_Data1(),FertiliserProducts[[#Headers],[Include or Exclude]], 0)</f>
        <v/>
      </c>
      <c r="H145" s="109" t="str" cm="1">
        <f t="array" ref="H145">Common_InputFunctions.Utility_DisplayArrayInTable(Fertiliser_SourceData.Fertiliser_Products_Data1(),FertiliserProducts[[#Headers],[Include or Exclude]], 0,4)</f>
        <v/>
      </c>
      <c r="I145" s="109" t="str" cm="1">
        <f t="array" ref="I145">Common_InputFunctions.Utility_DisplayArrayInTable(Fertiliser_SourceData.Fertiliser_Products_Data1(),FertiliserProducts[[#Headers],[Include or Exclude]], 0,4)</f>
        <v/>
      </c>
      <c r="J145" s="109" t="str" cm="1">
        <f t="array" ref="J145">Common_InputFunctions.Utility_DisplayArrayInTable(Fertiliser_SourceData.Fertiliser_Products_Data1(),FertiliserProducts[[#Headers],[Include or Exclude]], 0,4)</f>
        <v/>
      </c>
      <c r="K145" s="109" t="str" cm="1">
        <f t="array" ref="K145">Common_InputFunctions.Utility_DisplayArrayInTable(Fertiliser_SourceData.Fertiliser_Products_Data1(),FertiliserProducts[[#Headers],[Include or Exclude]], 0,4)</f>
        <v/>
      </c>
      <c r="L145" s="109" t="str" cm="1">
        <f t="array" ref="L145">Common_InputFunctions.Utility_DisplayArrayInTable(Fertiliser_SourceData.Fertiliser_Products_Data1(),FertiliserProducts[[#Headers],[Include or Exclude]], 0,4)</f>
        <v/>
      </c>
      <c r="M145" s="109" t="str" cm="1">
        <f t="array" ref="M145">Common_InputFunctions.Utility_DisplayArrayInTable(Fertiliser_SourceData.Fertiliser_Products_Data1(),FertiliserProducts[[#Headers],[Include or Exclude]], 0,4)</f>
        <v/>
      </c>
      <c r="N145" s="109" t="str" cm="1">
        <f t="array" ref="N145">Common_InputFunctions.Utility_DisplayArrayInTable(Fertiliser_SourceData.Fertiliser_Products_Data1(),FertiliserProducts[[#Headers],[Include or Exclude]], 0,4)</f>
        <v/>
      </c>
      <c r="O145" s="109" t="str" cm="1">
        <f t="array" ref="O145">Common_InputFunctions.Utility_DisplayArrayInTable(Fertiliser_SourceData.Fertiliser_Products_Data1(),FertiliserProducts[[#Headers],[Include or Exclude]], 0,4)</f>
        <v/>
      </c>
      <c r="P145" s="109" t="str" cm="1">
        <f t="array" ref="P145">Common_InputFunctions.Utility_DisplayArrayInTable(Fertiliser_SourceData.Fertiliser_Products_Data1(),FertiliserProducts[[#Headers],[Include or Exclude]], 0,4)</f>
        <v/>
      </c>
      <c r="Q145" s="109" t="str" cm="1">
        <f t="array" ref="Q145">Common_InputFunctions.Utility_DisplayArrayInTable(Fertiliser_SourceData.Fertiliser_Products_Data1(),FertiliserProducts[[#Headers],[Include or Exclude]], 0,4)</f>
        <v/>
      </c>
      <c r="R145" s="109" t="str" cm="1">
        <f t="array" ref="R145">Common_InputFunctions.Utility_DisplayArrayInTable(Fertiliser_SourceData.Fertiliser_Products_Data1(),FertiliserProducts[[#Headers],[Include or Exclude]], 0,4)</f>
        <v/>
      </c>
      <c r="S145" s="109" t="str" cm="1">
        <f t="array" ref="S145">Common_InputFunctions.Utility_DisplayArrayInTable(Fertiliser_SourceData.Fertiliser_Products_Data1(),FertiliserProducts[[#Headers],[Include or Exclude]], 0,4)</f>
        <v/>
      </c>
      <c r="T145" s="109" t="str" cm="1">
        <f t="array" ref="T145">Common_InputFunctions.Utility_DisplayArrayInTable(Fertiliser_SourceData.Fertiliser_Products_Data1(),FertiliserProducts[[#Headers],[Include or Exclude]], 0,4)</f>
        <v/>
      </c>
      <c r="U145" s="109" t="str" cm="1">
        <f t="array" ref="U145">Common_InputFunctions.Utility_DisplayArrayInTable(Fertiliser_SourceData.Fertiliser_Products_Data1(),FertiliserProducts[[#Headers],[Include or Exclude]], 0,4)</f>
        <v/>
      </c>
      <c r="V145" s="109" t="str" cm="1">
        <f t="array" ref="V145">Common_InputFunctions.Utility_DisplayArrayInTable(Fertiliser_SourceData.Fertiliser_Products_Data1(),FertiliserProducts[[#Headers],[Include or Exclude]], 0,4)</f>
        <v/>
      </c>
      <c r="W145" s="109" t="str" cm="1">
        <f t="array" ref="W145">Common_InputFunctions.Utility_DisplayArrayInTable(Fertiliser_SourceData.Fertiliser_Products_Data1(),FertiliserProducts[[#Headers],[Include or Exclude]], 0,4)</f>
        <v/>
      </c>
      <c r="X145" s="109" t="str" cm="1">
        <f t="array" ref="X145">Common_InputFunctions.Utility_DisplayArrayInTable(Fertiliser_SourceData.Fertiliser_Products_Data1(),FertiliserProducts[[#Headers],[Include or Exclude]], 0,4)</f>
        <v/>
      </c>
      <c r="Y145" s="109" t="str" cm="1">
        <f t="array" ref="Y145">Common_InputFunctions.Utility_DisplayArrayInTable(Fertiliser_SourceData.Fertiliser_Products_Data1(),FertiliserProducts[[#Headers],[Include or Exclude]], 0,4)</f>
        <v/>
      </c>
      <c r="Z145" s="109" t="str" cm="1">
        <f t="array" ref="Z145">Common_InputFunctions.Utility_DisplayArrayInTable(Fertiliser_SourceData.Fertiliser_Products_Data1(),FertiliserProducts[[#Headers],[Include or Exclude]], 0,4)</f>
        <v/>
      </c>
      <c r="AA145" s="109" t="str" cm="1">
        <f t="array" ref="AA145">Common_InputFunctions.Utility_DisplayArrayInTable(Fertiliser_SourceData.Fertiliser_Products_Data1(),FertiliserProducts[[#Headers],[Include or Exclude]], 0,4)</f>
        <v/>
      </c>
      <c r="AB145" s="109" t="str" cm="1">
        <f t="array" ref="AB145">Common_InputFunctions.Utility_DisplayArrayInTable(Fertiliser_SourceData.Fertiliser_Products_Data1(),FertiliserProducts[[#Headers],[Include or Exclude]], 0,4)</f>
        <v/>
      </c>
      <c r="AC145" s="109" t="str" cm="1">
        <f t="array" ref="AC145">Common_InputFunctions.Utility_DisplayArrayInTable(Fertiliser_SourceData.Fertiliser_Products_Data1(),FertiliserProducts[[#Headers],[Include or Exclude]], 0,4)</f>
        <v/>
      </c>
      <c r="AD145" s="109" t="str" cm="1">
        <f t="array" ref="AD145">Common_InputFunctions.Utility_DisplayArrayInTable(Fertiliser_SourceData.Fertiliser_Products_Data1(),FertiliserProducts[[#Headers],[Include or Exclude]], 0,4)</f>
        <v/>
      </c>
      <c r="AE145" s="109" t="str" cm="1">
        <f t="array" ref="AE145">Common_InputFunctions.Utility_DisplayArrayInTable(Fertiliser_SourceData.Fertiliser_Products_Data1(),FertiliserProducts[[#Headers],[Include or Exclude]], 0,4)</f>
        <v/>
      </c>
    </row>
    <row r="146" spans="4:31" ht="20.100000000000001" customHeight="1" x14ac:dyDescent="0.25">
      <c r="D146" s="109" t="str" cm="1">
        <f t="array" ref="D146">Common_InputFunctions.Utility_DisplayArrayInTable(Fertiliser_SourceData.Fertiliser_Products_Data1(),FertiliserProducts[[#Headers],[Include or Exclude]], -1)</f>
        <v/>
      </c>
      <c r="E146" s="109" t="str" cm="1">
        <f t="array" ref="E146">Common_InputFunctions.Utility_DisplayArrayInTable(Fertiliser_SourceData.Fertiliser_Products_Data1(),FertiliserProducts[[#Headers],[Include or Exclude]], 0)</f>
        <v/>
      </c>
      <c r="F146" s="109" t="str" cm="1">
        <f t="array" ref="F146">Common_InputFunctions.Utility_DisplayArrayInTable(Fertiliser_SourceData.Fertiliser_Products_Data1(),FertiliserProducts[[#Headers],[Include or Exclude]], 0)</f>
        <v/>
      </c>
      <c r="G146" s="109" t="str" cm="1">
        <f t="array" ref="G146">Common_InputFunctions.Utility_DisplayArrayInTable(Fertiliser_SourceData.Fertiliser_Products_Data1(),FertiliserProducts[[#Headers],[Include or Exclude]], 0)</f>
        <v/>
      </c>
      <c r="H146" s="109" t="str" cm="1">
        <f t="array" ref="H146">Common_InputFunctions.Utility_DisplayArrayInTable(Fertiliser_SourceData.Fertiliser_Products_Data1(),FertiliserProducts[[#Headers],[Include or Exclude]], 0,4)</f>
        <v/>
      </c>
      <c r="I146" s="109" t="str" cm="1">
        <f t="array" ref="I146">Common_InputFunctions.Utility_DisplayArrayInTable(Fertiliser_SourceData.Fertiliser_Products_Data1(),FertiliserProducts[[#Headers],[Include or Exclude]], 0,4)</f>
        <v/>
      </c>
      <c r="J146" s="109" t="str" cm="1">
        <f t="array" ref="J146">Common_InputFunctions.Utility_DisplayArrayInTable(Fertiliser_SourceData.Fertiliser_Products_Data1(),FertiliserProducts[[#Headers],[Include or Exclude]], 0,4)</f>
        <v/>
      </c>
      <c r="K146" s="109" t="str" cm="1">
        <f t="array" ref="K146">Common_InputFunctions.Utility_DisplayArrayInTable(Fertiliser_SourceData.Fertiliser_Products_Data1(),FertiliserProducts[[#Headers],[Include or Exclude]], 0,4)</f>
        <v/>
      </c>
      <c r="L146" s="109" t="str" cm="1">
        <f t="array" ref="L146">Common_InputFunctions.Utility_DisplayArrayInTable(Fertiliser_SourceData.Fertiliser_Products_Data1(),FertiliserProducts[[#Headers],[Include or Exclude]], 0,4)</f>
        <v/>
      </c>
      <c r="M146" s="109" t="str" cm="1">
        <f t="array" ref="M146">Common_InputFunctions.Utility_DisplayArrayInTable(Fertiliser_SourceData.Fertiliser_Products_Data1(),FertiliserProducts[[#Headers],[Include or Exclude]], 0,4)</f>
        <v/>
      </c>
      <c r="N146" s="109" t="str" cm="1">
        <f t="array" ref="N146">Common_InputFunctions.Utility_DisplayArrayInTable(Fertiliser_SourceData.Fertiliser_Products_Data1(),FertiliserProducts[[#Headers],[Include or Exclude]], 0,4)</f>
        <v/>
      </c>
      <c r="O146" s="109" t="str" cm="1">
        <f t="array" ref="O146">Common_InputFunctions.Utility_DisplayArrayInTable(Fertiliser_SourceData.Fertiliser_Products_Data1(),FertiliserProducts[[#Headers],[Include or Exclude]], 0,4)</f>
        <v/>
      </c>
      <c r="P146" s="109" t="str" cm="1">
        <f t="array" ref="P146">Common_InputFunctions.Utility_DisplayArrayInTable(Fertiliser_SourceData.Fertiliser_Products_Data1(),FertiliserProducts[[#Headers],[Include or Exclude]], 0,4)</f>
        <v/>
      </c>
      <c r="Q146" s="109" t="str" cm="1">
        <f t="array" ref="Q146">Common_InputFunctions.Utility_DisplayArrayInTable(Fertiliser_SourceData.Fertiliser_Products_Data1(),FertiliserProducts[[#Headers],[Include or Exclude]], 0,4)</f>
        <v/>
      </c>
      <c r="R146" s="109" t="str" cm="1">
        <f t="array" ref="R146">Common_InputFunctions.Utility_DisplayArrayInTable(Fertiliser_SourceData.Fertiliser_Products_Data1(),FertiliserProducts[[#Headers],[Include or Exclude]], 0,4)</f>
        <v/>
      </c>
      <c r="S146" s="109" t="str" cm="1">
        <f t="array" ref="S146">Common_InputFunctions.Utility_DisplayArrayInTable(Fertiliser_SourceData.Fertiliser_Products_Data1(),FertiliserProducts[[#Headers],[Include or Exclude]], 0,4)</f>
        <v/>
      </c>
      <c r="T146" s="109" t="str" cm="1">
        <f t="array" ref="T146">Common_InputFunctions.Utility_DisplayArrayInTable(Fertiliser_SourceData.Fertiliser_Products_Data1(),FertiliserProducts[[#Headers],[Include or Exclude]], 0,4)</f>
        <v/>
      </c>
      <c r="U146" s="109" t="str" cm="1">
        <f t="array" ref="U146">Common_InputFunctions.Utility_DisplayArrayInTable(Fertiliser_SourceData.Fertiliser_Products_Data1(),FertiliserProducts[[#Headers],[Include or Exclude]], 0,4)</f>
        <v/>
      </c>
      <c r="V146" s="109" t="str" cm="1">
        <f t="array" ref="V146">Common_InputFunctions.Utility_DisplayArrayInTable(Fertiliser_SourceData.Fertiliser_Products_Data1(),FertiliserProducts[[#Headers],[Include or Exclude]], 0,4)</f>
        <v/>
      </c>
      <c r="W146" s="109" t="str" cm="1">
        <f t="array" ref="W146">Common_InputFunctions.Utility_DisplayArrayInTable(Fertiliser_SourceData.Fertiliser_Products_Data1(),FertiliserProducts[[#Headers],[Include or Exclude]], 0,4)</f>
        <v/>
      </c>
      <c r="X146" s="109" t="str" cm="1">
        <f t="array" ref="X146">Common_InputFunctions.Utility_DisplayArrayInTable(Fertiliser_SourceData.Fertiliser_Products_Data1(),FertiliserProducts[[#Headers],[Include or Exclude]], 0,4)</f>
        <v/>
      </c>
      <c r="Y146" s="109" t="str" cm="1">
        <f t="array" ref="Y146">Common_InputFunctions.Utility_DisplayArrayInTable(Fertiliser_SourceData.Fertiliser_Products_Data1(),FertiliserProducts[[#Headers],[Include or Exclude]], 0,4)</f>
        <v/>
      </c>
      <c r="Z146" s="109" t="str" cm="1">
        <f t="array" ref="Z146">Common_InputFunctions.Utility_DisplayArrayInTable(Fertiliser_SourceData.Fertiliser_Products_Data1(),FertiliserProducts[[#Headers],[Include or Exclude]], 0,4)</f>
        <v/>
      </c>
      <c r="AA146" s="109" t="str" cm="1">
        <f t="array" ref="AA146">Common_InputFunctions.Utility_DisplayArrayInTable(Fertiliser_SourceData.Fertiliser_Products_Data1(),FertiliserProducts[[#Headers],[Include or Exclude]], 0,4)</f>
        <v/>
      </c>
      <c r="AB146" s="109" t="str" cm="1">
        <f t="array" ref="AB146">Common_InputFunctions.Utility_DisplayArrayInTable(Fertiliser_SourceData.Fertiliser_Products_Data1(),FertiliserProducts[[#Headers],[Include or Exclude]], 0,4)</f>
        <v/>
      </c>
      <c r="AC146" s="109" t="str" cm="1">
        <f t="array" ref="AC146">Common_InputFunctions.Utility_DisplayArrayInTable(Fertiliser_SourceData.Fertiliser_Products_Data1(),FertiliserProducts[[#Headers],[Include or Exclude]], 0,4)</f>
        <v/>
      </c>
      <c r="AD146" s="109" t="str" cm="1">
        <f t="array" ref="AD146">Common_InputFunctions.Utility_DisplayArrayInTable(Fertiliser_SourceData.Fertiliser_Products_Data1(),FertiliserProducts[[#Headers],[Include or Exclude]], 0,4)</f>
        <v/>
      </c>
      <c r="AE146" s="109" t="str" cm="1">
        <f t="array" ref="AE146">Common_InputFunctions.Utility_DisplayArrayInTable(Fertiliser_SourceData.Fertiliser_Products_Data1(),FertiliserProducts[[#Headers],[Include or Exclude]], 0,4)</f>
        <v/>
      </c>
    </row>
    <row r="147" spans="4:31" ht="20.100000000000001" customHeight="1" x14ac:dyDescent="0.25">
      <c r="D147" s="109" t="str" cm="1">
        <f t="array" ref="D147">Common_InputFunctions.Utility_DisplayArrayInTable(Fertiliser_SourceData.Fertiliser_Products_Data1(),FertiliserProducts[[#Headers],[Include or Exclude]], -1)</f>
        <v/>
      </c>
      <c r="E147" s="109" t="str" cm="1">
        <f t="array" ref="E147">Common_InputFunctions.Utility_DisplayArrayInTable(Fertiliser_SourceData.Fertiliser_Products_Data1(),FertiliserProducts[[#Headers],[Include or Exclude]], 0)</f>
        <v/>
      </c>
      <c r="F147" s="109" t="str" cm="1">
        <f t="array" ref="F147">Common_InputFunctions.Utility_DisplayArrayInTable(Fertiliser_SourceData.Fertiliser_Products_Data1(),FertiliserProducts[[#Headers],[Include or Exclude]], 0)</f>
        <v/>
      </c>
      <c r="G147" s="109" t="str" cm="1">
        <f t="array" ref="G147">Common_InputFunctions.Utility_DisplayArrayInTable(Fertiliser_SourceData.Fertiliser_Products_Data1(),FertiliserProducts[[#Headers],[Include or Exclude]], 0)</f>
        <v/>
      </c>
      <c r="H147" s="109" t="str" cm="1">
        <f t="array" ref="H147">Common_InputFunctions.Utility_DisplayArrayInTable(Fertiliser_SourceData.Fertiliser_Products_Data1(),FertiliserProducts[[#Headers],[Include or Exclude]], 0,4)</f>
        <v/>
      </c>
      <c r="I147" s="109" t="str" cm="1">
        <f t="array" ref="I147">Common_InputFunctions.Utility_DisplayArrayInTable(Fertiliser_SourceData.Fertiliser_Products_Data1(),FertiliserProducts[[#Headers],[Include or Exclude]], 0,4)</f>
        <v/>
      </c>
      <c r="J147" s="109" t="str" cm="1">
        <f t="array" ref="J147">Common_InputFunctions.Utility_DisplayArrayInTable(Fertiliser_SourceData.Fertiliser_Products_Data1(),FertiliserProducts[[#Headers],[Include or Exclude]], 0,4)</f>
        <v/>
      </c>
      <c r="K147" s="109" t="str" cm="1">
        <f t="array" ref="K147">Common_InputFunctions.Utility_DisplayArrayInTable(Fertiliser_SourceData.Fertiliser_Products_Data1(),FertiliserProducts[[#Headers],[Include or Exclude]], 0,4)</f>
        <v/>
      </c>
      <c r="L147" s="109" t="str" cm="1">
        <f t="array" ref="L147">Common_InputFunctions.Utility_DisplayArrayInTable(Fertiliser_SourceData.Fertiliser_Products_Data1(),FertiliserProducts[[#Headers],[Include or Exclude]], 0,4)</f>
        <v/>
      </c>
      <c r="M147" s="109" t="str" cm="1">
        <f t="array" ref="M147">Common_InputFunctions.Utility_DisplayArrayInTable(Fertiliser_SourceData.Fertiliser_Products_Data1(),FertiliserProducts[[#Headers],[Include or Exclude]], 0,4)</f>
        <v/>
      </c>
      <c r="N147" s="109" t="str" cm="1">
        <f t="array" ref="N147">Common_InputFunctions.Utility_DisplayArrayInTable(Fertiliser_SourceData.Fertiliser_Products_Data1(),FertiliserProducts[[#Headers],[Include or Exclude]], 0,4)</f>
        <v/>
      </c>
      <c r="O147" s="109" t="str" cm="1">
        <f t="array" ref="O147">Common_InputFunctions.Utility_DisplayArrayInTable(Fertiliser_SourceData.Fertiliser_Products_Data1(),FertiliserProducts[[#Headers],[Include or Exclude]], 0,4)</f>
        <v/>
      </c>
      <c r="P147" s="109" t="str" cm="1">
        <f t="array" ref="P147">Common_InputFunctions.Utility_DisplayArrayInTable(Fertiliser_SourceData.Fertiliser_Products_Data1(),FertiliserProducts[[#Headers],[Include or Exclude]], 0,4)</f>
        <v/>
      </c>
      <c r="Q147" s="109" t="str" cm="1">
        <f t="array" ref="Q147">Common_InputFunctions.Utility_DisplayArrayInTable(Fertiliser_SourceData.Fertiliser_Products_Data1(),FertiliserProducts[[#Headers],[Include or Exclude]], 0,4)</f>
        <v/>
      </c>
      <c r="R147" s="109" t="str" cm="1">
        <f t="array" ref="R147">Common_InputFunctions.Utility_DisplayArrayInTable(Fertiliser_SourceData.Fertiliser_Products_Data1(),FertiliserProducts[[#Headers],[Include or Exclude]], 0,4)</f>
        <v/>
      </c>
      <c r="S147" s="109" t="str" cm="1">
        <f t="array" ref="S147">Common_InputFunctions.Utility_DisplayArrayInTable(Fertiliser_SourceData.Fertiliser_Products_Data1(),FertiliserProducts[[#Headers],[Include or Exclude]], 0,4)</f>
        <v/>
      </c>
      <c r="T147" s="109" t="str" cm="1">
        <f t="array" ref="T147">Common_InputFunctions.Utility_DisplayArrayInTable(Fertiliser_SourceData.Fertiliser_Products_Data1(),FertiliserProducts[[#Headers],[Include or Exclude]], 0,4)</f>
        <v/>
      </c>
      <c r="U147" s="109" t="str" cm="1">
        <f t="array" ref="U147">Common_InputFunctions.Utility_DisplayArrayInTable(Fertiliser_SourceData.Fertiliser_Products_Data1(),FertiliserProducts[[#Headers],[Include or Exclude]], 0,4)</f>
        <v/>
      </c>
      <c r="V147" s="109" t="str" cm="1">
        <f t="array" ref="V147">Common_InputFunctions.Utility_DisplayArrayInTable(Fertiliser_SourceData.Fertiliser_Products_Data1(),FertiliserProducts[[#Headers],[Include or Exclude]], 0,4)</f>
        <v/>
      </c>
      <c r="W147" s="109" t="str" cm="1">
        <f t="array" ref="W147">Common_InputFunctions.Utility_DisplayArrayInTable(Fertiliser_SourceData.Fertiliser_Products_Data1(),FertiliserProducts[[#Headers],[Include or Exclude]], 0,4)</f>
        <v/>
      </c>
      <c r="X147" s="109" t="str" cm="1">
        <f t="array" ref="X147">Common_InputFunctions.Utility_DisplayArrayInTable(Fertiliser_SourceData.Fertiliser_Products_Data1(),FertiliserProducts[[#Headers],[Include or Exclude]], 0,4)</f>
        <v/>
      </c>
      <c r="Y147" s="109" t="str" cm="1">
        <f t="array" ref="Y147">Common_InputFunctions.Utility_DisplayArrayInTable(Fertiliser_SourceData.Fertiliser_Products_Data1(),FertiliserProducts[[#Headers],[Include or Exclude]], 0,4)</f>
        <v/>
      </c>
      <c r="Z147" s="109" t="str" cm="1">
        <f t="array" ref="Z147">Common_InputFunctions.Utility_DisplayArrayInTable(Fertiliser_SourceData.Fertiliser_Products_Data1(),FertiliserProducts[[#Headers],[Include or Exclude]], 0,4)</f>
        <v/>
      </c>
      <c r="AA147" s="109" t="str" cm="1">
        <f t="array" ref="AA147">Common_InputFunctions.Utility_DisplayArrayInTable(Fertiliser_SourceData.Fertiliser_Products_Data1(),FertiliserProducts[[#Headers],[Include or Exclude]], 0,4)</f>
        <v/>
      </c>
      <c r="AB147" s="109" t="str" cm="1">
        <f t="array" ref="AB147">Common_InputFunctions.Utility_DisplayArrayInTable(Fertiliser_SourceData.Fertiliser_Products_Data1(),FertiliserProducts[[#Headers],[Include or Exclude]], 0,4)</f>
        <v/>
      </c>
      <c r="AC147" s="109" t="str" cm="1">
        <f t="array" ref="AC147">Common_InputFunctions.Utility_DisplayArrayInTable(Fertiliser_SourceData.Fertiliser_Products_Data1(),FertiliserProducts[[#Headers],[Include or Exclude]], 0,4)</f>
        <v/>
      </c>
      <c r="AD147" s="109" t="str" cm="1">
        <f t="array" ref="AD147">Common_InputFunctions.Utility_DisplayArrayInTable(Fertiliser_SourceData.Fertiliser_Products_Data1(),FertiliserProducts[[#Headers],[Include or Exclude]], 0,4)</f>
        <v/>
      </c>
      <c r="AE147" s="109" t="str" cm="1">
        <f t="array" ref="AE147">Common_InputFunctions.Utility_DisplayArrayInTable(Fertiliser_SourceData.Fertiliser_Products_Data1(),FertiliserProducts[[#Headers],[Include or Exclude]], 0,4)</f>
        <v/>
      </c>
    </row>
    <row r="148" spans="4:31" ht="20.100000000000001" customHeight="1" x14ac:dyDescent="0.25">
      <c r="D148" s="109" t="str" cm="1">
        <f t="array" ref="D148">Common_InputFunctions.Utility_DisplayArrayInTable(Fertiliser_SourceData.Fertiliser_Products_Data1(),FertiliserProducts[[#Headers],[Include or Exclude]], -1)</f>
        <v/>
      </c>
      <c r="E148" s="109" t="str" cm="1">
        <f t="array" ref="E148">Common_InputFunctions.Utility_DisplayArrayInTable(Fertiliser_SourceData.Fertiliser_Products_Data1(),FertiliserProducts[[#Headers],[Include or Exclude]], 0)</f>
        <v/>
      </c>
      <c r="F148" s="109" t="str" cm="1">
        <f t="array" ref="F148">Common_InputFunctions.Utility_DisplayArrayInTable(Fertiliser_SourceData.Fertiliser_Products_Data1(),FertiliserProducts[[#Headers],[Include or Exclude]], 0)</f>
        <v/>
      </c>
      <c r="G148" s="109" t="str" cm="1">
        <f t="array" ref="G148">Common_InputFunctions.Utility_DisplayArrayInTable(Fertiliser_SourceData.Fertiliser_Products_Data1(),FertiliserProducts[[#Headers],[Include or Exclude]], 0)</f>
        <v/>
      </c>
      <c r="H148" s="109" t="str" cm="1">
        <f t="array" ref="H148">Common_InputFunctions.Utility_DisplayArrayInTable(Fertiliser_SourceData.Fertiliser_Products_Data1(),FertiliserProducts[[#Headers],[Include or Exclude]], 0,4)</f>
        <v/>
      </c>
      <c r="I148" s="109" t="str" cm="1">
        <f t="array" ref="I148">Common_InputFunctions.Utility_DisplayArrayInTable(Fertiliser_SourceData.Fertiliser_Products_Data1(),FertiliserProducts[[#Headers],[Include or Exclude]], 0,4)</f>
        <v/>
      </c>
      <c r="J148" s="109" t="str" cm="1">
        <f t="array" ref="J148">Common_InputFunctions.Utility_DisplayArrayInTable(Fertiliser_SourceData.Fertiliser_Products_Data1(),FertiliserProducts[[#Headers],[Include or Exclude]], 0,4)</f>
        <v/>
      </c>
      <c r="K148" s="109" t="str" cm="1">
        <f t="array" ref="K148">Common_InputFunctions.Utility_DisplayArrayInTable(Fertiliser_SourceData.Fertiliser_Products_Data1(),FertiliserProducts[[#Headers],[Include or Exclude]], 0,4)</f>
        <v/>
      </c>
      <c r="L148" s="109" t="str" cm="1">
        <f t="array" ref="L148">Common_InputFunctions.Utility_DisplayArrayInTable(Fertiliser_SourceData.Fertiliser_Products_Data1(),FertiliserProducts[[#Headers],[Include or Exclude]], 0,4)</f>
        <v/>
      </c>
      <c r="M148" s="109" t="str" cm="1">
        <f t="array" ref="M148">Common_InputFunctions.Utility_DisplayArrayInTable(Fertiliser_SourceData.Fertiliser_Products_Data1(),FertiliserProducts[[#Headers],[Include or Exclude]], 0,4)</f>
        <v/>
      </c>
      <c r="N148" s="109" t="str" cm="1">
        <f t="array" ref="N148">Common_InputFunctions.Utility_DisplayArrayInTable(Fertiliser_SourceData.Fertiliser_Products_Data1(),FertiliserProducts[[#Headers],[Include or Exclude]], 0,4)</f>
        <v/>
      </c>
      <c r="O148" s="109" t="str" cm="1">
        <f t="array" ref="O148">Common_InputFunctions.Utility_DisplayArrayInTable(Fertiliser_SourceData.Fertiliser_Products_Data1(),FertiliserProducts[[#Headers],[Include or Exclude]], 0,4)</f>
        <v/>
      </c>
      <c r="P148" s="109" t="str" cm="1">
        <f t="array" ref="P148">Common_InputFunctions.Utility_DisplayArrayInTable(Fertiliser_SourceData.Fertiliser_Products_Data1(),FertiliserProducts[[#Headers],[Include or Exclude]], 0,4)</f>
        <v/>
      </c>
      <c r="Q148" s="109" t="str" cm="1">
        <f t="array" ref="Q148">Common_InputFunctions.Utility_DisplayArrayInTable(Fertiliser_SourceData.Fertiliser_Products_Data1(),FertiliserProducts[[#Headers],[Include or Exclude]], 0,4)</f>
        <v/>
      </c>
      <c r="R148" s="109" t="str" cm="1">
        <f t="array" ref="R148">Common_InputFunctions.Utility_DisplayArrayInTable(Fertiliser_SourceData.Fertiliser_Products_Data1(),FertiliserProducts[[#Headers],[Include or Exclude]], 0,4)</f>
        <v/>
      </c>
      <c r="S148" s="109" t="str" cm="1">
        <f t="array" ref="S148">Common_InputFunctions.Utility_DisplayArrayInTable(Fertiliser_SourceData.Fertiliser_Products_Data1(),FertiliserProducts[[#Headers],[Include or Exclude]], 0,4)</f>
        <v/>
      </c>
      <c r="T148" s="109" t="str" cm="1">
        <f t="array" ref="T148">Common_InputFunctions.Utility_DisplayArrayInTable(Fertiliser_SourceData.Fertiliser_Products_Data1(),FertiliserProducts[[#Headers],[Include or Exclude]], 0,4)</f>
        <v/>
      </c>
      <c r="U148" s="109" t="str" cm="1">
        <f t="array" ref="U148">Common_InputFunctions.Utility_DisplayArrayInTable(Fertiliser_SourceData.Fertiliser_Products_Data1(),FertiliserProducts[[#Headers],[Include or Exclude]], 0,4)</f>
        <v/>
      </c>
      <c r="V148" s="109" t="str" cm="1">
        <f t="array" ref="V148">Common_InputFunctions.Utility_DisplayArrayInTable(Fertiliser_SourceData.Fertiliser_Products_Data1(),FertiliserProducts[[#Headers],[Include or Exclude]], 0,4)</f>
        <v/>
      </c>
      <c r="W148" s="109" t="str" cm="1">
        <f t="array" ref="W148">Common_InputFunctions.Utility_DisplayArrayInTable(Fertiliser_SourceData.Fertiliser_Products_Data1(),FertiliserProducts[[#Headers],[Include or Exclude]], 0,4)</f>
        <v/>
      </c>
      <c r="X148" s="109" t="str" cm="1">
        <f t="array" ref="X148">Common_InputFunctions.Utility_DisplayArrayInTable(Fertiliser_SourceData.Fertiliser_Products_Data1(),FertiliserProducts[[#Headers],[Include or Exclude]], 0,4)</f>
        <v/>
      </c>
      <c r="Y148" s="109" t="str" cm="1">
        <f t="array" ref="Y148">Common_InputFunctions.Utility_DisplayArrayInTable(Fertiliser_SourceData.Fertiliser_Products_Data1(),FertiliserProducts[[#Headers],[Include or Exclude]], 0,4)</f>
        <v/>
      </c>
      <c r="Z148" s="109" t="str" cm="1">
        <f t="array" ref="Z148">Common_InputFunctions.Utility_DisplayArrayInTable(Fertiliser_SourceData.Fertiliser_Products_Data1(),FertiliserProducts[[#Headers],[Include or Exclude]], 0,4)</f>
        <v/>
      </c>
      <c r="AA148" s="109" t="str" cm="1">
        <f t="array" ref="AA148">Common_InputFunctions.Utility_DisplayArrayInTable(Fertiliser_SourceData.Fertiliser_Products_Data1(),FertiliserProducts[[#Headers],[Include or Exclude]], 0,4)</f>
        <v/>
      </c>
      <c r="AB148" s="109" t="str" cm="1">
        <f t="array" ref="AB148">Common_InputFunctions.Utility_DisplayArrayInTable(Fertiliser_SourceData.Fertiliser_Products_Data1(),FertiliserProducts[[#Headers],[Include or Exclude]], 0,4)</f>
        <v/>
      </c>
      <c r="AC148" s="109" t="str" cm="1">
        <f t="array" ref="AC148">Common_InputFunctions.Utility_DisplayArrayInTable(Fertiliser_SourceData.Fertiliser_Products_Data1(),FertiliserProducts[[#Headers],[Include or Exclude]], 0,4)</f>
        <v/>
      </c>
      <c r="AD148" s="109" t="str" cm="1">
        <f t="array" ref="AD148">Common_InputFunctions.Utility_DisplayArrayInTable(Fertiliser_SourceData.Fertiliser_Products_Data1(),FertiliserProducts[[#Headers],[Include or Exclude]], 0,4)</f>
        <v/>
      </c>
      <c r="AE148" s="109" t="str" cm="1">
        <f t="array" ref="AE148">Common_InputFunctions.Utility_DisplayArrayInTable(Fertiliser_SourceData.Fertiliser_Products_Data1(),FertiliserProducts[[#Headers],[Include or Exclude]], 0,4)</f>
        <v/>
      </c>
    </row>
    <row r="149" spans="4:31" ht="20.100000000000001" customHeight="1" x14ac:dyDescent="0.25">
      <c r="D149" s="109" t="str" cm="1">
        <f t="array" ref="D149">Common_InputFunctions.Utility_DisplayArrayInTable(Fertiliser_SourceData.Fertiliser_Products_Data1(),FertiliserProducts[[#Headers],[Include or Exclude]], -1)</f>
        <v/>
      </c>
      <c r="E149" s="109" t="str" cm="1">
        <f t="array" ref="E149">Common_InputFunctions.Utility_DisplayArrayInTable(Fertiliser_SourceData.Fertiliser_Products_Data1(),FertiliserProducts[[#Headers],[Include or Exclude]], 0)</f>
        <v/>
      </c>
      <c r="F149" s="109" t="str" cm="1">
        <f t="array" ref="F149">Common_InputFunctions.Utility_DisplayArrayInTable(Fertiliser_SourceData.Fertiliser_Products_Data1(),FertiliserProducts[[#Headers],[Include or Exclude]], 0)</f>
        <v/>
      </c>
      <c r="G149" s="109" t="str" cm="1">
        <f t="array" ref="G149">Common_InputFunctions.Utility_DisplayArrayInTable(Fertiliser_SourceData.Fertiliser_Products_Data1(),FertiliserProducts[[#Headers],[Include or Exclude]], 0)</f>
        <v/>
      </c>
      <c r="H149" s="109" t="str" cm="1">
        <f t="array" ref="H149">Common_InputFunctions.Utility_DisplayArrayInTable(Fertiliser_SourceData.Fertiliser_Products_Data1(),FertiliserProducts[[#Headers],[Include or Exclude]], 0,4)</f>
        <v/>
      </c>
      <c r="I149" s="109" t="str" cm="1">
        <f t="array" ref="I149">Common_InputFunctions.Utility_DisplayArrayInTable(Fertiliser_SourceData.Fertiliser_Products_Data1(),FertiliserProducts[[#Headers],[Include or Exclude]], 0,4)</f>
        <v/>
      </c>
      <c r="J149" s="109" t="str" cm="1">
        <f t="array" ref="J149">Common_InputFunctions.Utility_DisplayArrayInTable(Fertiliser_SourceData.Fertiliser_Products_Data1(),FertiliserProducts[[#Headers],[Include or Exclude]], 0,4)</f>
        <v/>
      </c>
      <c r="K149" s="109" t="str" cm="1">
        <f t="array" ref="K149">Common_InputFunctions.Utility_DisplayArrayInTable(Fertiliser_SourceData.Fertiliser_Products_Data1(),FertiliserProducts[[#Headers],[Include or Exclude]], 0,4)</f>
        <v/>
      </c>
      <c r="L149" s="109" t="str" cm="1">
        <f t="array" ref="L149">Common_InputFunctions.Utility_DisplayArrayInTable(Fertiliser_SourceData.Fertiliser_Products_Data1(),FertiliserProducts[[#Headers],[Include or Exclude]], 0,4)</f>
        <v/>
      </c>
      <c r="M149" s="109" t="str" cm="1">
        <f t="array" ref="M149">Common_InputFunctions.Utility_DisplayArrayInTable(Fertiliser_SourceData.Fertiliser_Products_Data1(),FertiliserProducts[[#Headers],[Include or Exclude]], 0,4)</f>
        <v/>
      </c>
      <c r="N149" s="109" t="str" cm="1">
        <f t="array" ref="N149">Common_InputFunctions.Utility_DisplayArrayInTable(Fertiliser_SourceData.Fertiliser_Products_Data1(),FertiliserProducts[[#Headers],[Include or Exclude]], 0,4)</f>
        <v/>
      </c>
      <c r="O149" s="109" t="str" cm="1">
        <f t="array" ref="O149">Common_InputFunctions.Utility_DisplayArrayInTable(Fertiliser_SourceData.Fertiliser_Products_Data1(),FertiliserProducts[[#Headers],[Include or Exclude]], 0,4)</f>
        <v/>
      </c>
      <c r="P149" s="109" t="str" cm="1">
        <f t="array" ref="P149">Common_InputFunctions.Utility_DisplayArrayInTable(Fertiliser_SourceData.Fertiliser_Products_Data1(),FertiliserProducts[[#Headers],[Include or Exclude]], 0,4)</f>
        <v/>
      </c>
      <c r="Q149" s="109" t="str" cm="1">
        <f t="array" ref="Q149">Common_InputFunctions.Utility_DisplayArrayInTable(Fertiliser_SourceData.Fertiliser_Products_Data1(),FertiliserProducts[[#Headers],[Include or Exclude]], 0,4)</f>
        <v/>
      </c>
      <c r="R149" s="109" t="str" cm="1">
        <f t="array" ref="R149">Common_InputFunctions.Utility_DisplayArrayInTable(Fertiliser_SourceData.Fertiliser_Products_Data1(),FertiliserProducts[[#Headers],[Include or Exclude]], 0,4)</f>
        <v/>
      </c>
      <c r="S149" s="109" t="str" cm="1">
        <f t="array" ref="S149">Common_InputFunctions.Utility_DisplayArrayInTable(Fertiliser_SourceData.Fertiliser_Products_Data1(),FertiliserProducts[[#Headers],[Include or Exclude]], 0,4)</f>
        <v/>
      </c>
      <c r="T149" s="109" t="str" cm="1">
        <f t="array" ref="T149">Common_InputFunctions.Utility_DisplayArrayInTable(Fertiliser_SourceData.Fertiliser_Products_Data1(),FertiliserProducts[[#Headers],[Include or Exclude]], 0,4)</f>
        <v/>
      </c>
      <c r="U149" s="109" t="str" cm="1">
        <f t="array" ref="U149">Common_InputFunctions.Utility_DisplayArrayInTable(Fertiliser_SourceData.Fertiliser_Products_Data1(),FertiliserProducts[[#Headers],[Include or Exclude]], 0,4)</f>
        <v/>
      </c>
      <c r="V149" s="109" t="str" cm="1">
        <f t="array" ref="V149">Common_InputFunctions.Utility_DisplayArrayInTable(Fertiliser_SourceData.Fertiliser_Products_Data1(),FertiliserProducts[[#Headers],[Include or Exclude]], 0,4)</f>
        <v/>
      </c>
      <c r="W149" s="109" t="str" cm="1">
        <f t="array" ref="W149">Common_InputFunctions.Utility_DisplayArrayInTable(Fertiliser_SourceData.Fertiliser_Products_Data1(),FertiliserProducts[[#Headers],[Include or Exclude]], 0,4)</f>
        <v/>
      </c>
      <c r="X149" s="109" t="str" cm="1">
        <f t="array" ref="X149">Common_InputFunctions.Utility_DisplayArrayInTable(Fertiliser_SourceData.Fertiliser_Products_Data1(),FertiliserProducts[[#Headers],[Include or Exclude]], 0,4)</f>
        <v/>
      </c>
      <c r="Y149" s="109" t="str" cm="1">
        <f t="array" ref="Y149">Common_InputFunctions.Utility_DisplayArrayInTable(Fertiliser_SourceData.Fertiliser_Products_Data1(),FertiliserProducts[[#Headers],[Include or Exclude]], 0,4)</f>
        <v/>
      </c>
      <c r="Z149" s="109" t="str" cm="1">
        <f t="array" ref="Z149">Common_InputFunctions.Utility_DisplayArrayInTable(Fertiliser_SourceData.Fertiliser_Products_Data1(),FertiliserProducts[[#Headers],[Include or Exclude]], 0,4)</f>
        <v/>
      </c>
      <c r="AA149" s="109" t="str" cm="1">
        <f t="array" ref="AA149">Common_InputFunctions.Utility_DisplayArrayInTable(Fertiliser_SourceData.Fertiliser_Products_Data1(),FertiliserProducts[[#Headers],[Include or Exclude]], 0,4)</f>
        <v/>
      </c>
      <c r="AB149" s="109" t="str" cm="1">
        <f t="array" ref="AB149">Common_InputFunctions.Utility_DisplayArrayInTable(Fertiliser_SourceData.Fertiliser_Products_Data1(),FertiliserProducts[[#Headers],[Include or Exclude]], 0,4)</f>
        <v/>
      </c>
      <c r="AC149" s="109" t="str" cm="1">
        <f t="array" ref="AC149">Common_InputFunctions.Utility_DisplayArrayInTable(Fertiliser_SourceData.Fertiliser_Products_Data1(),FertiliserProducts[[#Headers],[Include or Exclude]], 0,4)</f>
        <v/>
      </c>
      <c r="AD149" s="109" t="str" cm="1">
        <f t="array" ref="AD149">Common_InputFunctions.Utility_DisplayArrayInTable(Fertiliser_SourceData.Fertiliser_Products_Data1(),FertiliserProducts[[#Headers],[Include or Exclude]], 0,4)</f>
        <v/>
      </c>
      <c r="AE149" s="109" t="str" cm="1">
        <f t="array" ref="AE149">Common_InputFunctions.Utility_DisplayArrayInTable(Fertiliser_SourceData.Fertiliser_Products_Data1(),FertiliserProducts[[#Headers],[Include or Exclude]], 0,4)</f>
        <v/>
      </c>
    </row>
    <row r="150" spans="4:31" ht="20.100000000000001" customHeight="1" x14ac:dyDescent="0.25">
      <c r="D150" s="109" t="str" cm="1">
        <f t="array" ref="D150">Common_InputFunctions.Utility_DisplayArrayInTable(Fertiliser_SourceData.Fertiliser_Products_Data1(),FertiliserProducts[[#Headers],[Include or Exclude]], -1)</f>
        <v/>
      </c>
      <c r="E150" s="109" t="str" cm="1">
        <f t="array" ref="E150">Common_InputFunctions.Utility_DisplayArrayInTable(Fertiliser_SourceData.Fertiliser_Products_Data1(),FertiliserProducts[[#Headers],[Include or Exclude]], 0)</f>
        <v/>
      </c>
      <c r="F150" s="109" t="str" cm="1">
        <f t="array" ref="F150">Common_InputFunctions.Utility_DisplayArrayInTable(Fertiliser_SourceData.Fertiliser_Products_Data1(),FertiliserProducts[[#Headers],[Include or Exclude]], 0)</f>
        <v/>
      </c>
      <c r="G150" s="109" t="str" cm="1">
        <f t="array" ref="G150">Common_InputFunctions.Utility_DisplayArrayInTable(Fertiliser_SourceData.Fertiliser_Products_Data1(),FertiliserProducts[[#Headers],[Include or Exclude]], 0)</f>
        <v/>
      </c>
      <c r="H150" s="109" t="str" cm="1">
        <f t="array" ref="H150">Common_InputFunctions.Utility_DisplayArrayInTable(Fertiliser_SourceData.Fertiliser_Products_Data1(),FertiliserProducts[[#Headers],[Include or Exclude]], 0,4)</f>
        <v/>
      </c>
      <c r="I150" s="109" t="str" cm="1">
        <f t="array" ref="I150">Common_InputFunctions.Utility_DisplayArrayInTable(Fertiliser_SourceData.Fertiliser_Products_Data1(),FertiliserProducts[[#Headers],[Include or Exclude]], 0,4)</f>
        <v/>
      </c>
      <c r="J150" s="109" t="str" cm="1">
        <f t="array" ref="J150">Common_InputFunctions.Utility_DisplayArrayInTable(Fertiliser_SourceData.Fertiliser_Products_Data1(),FertiliserProducts[[#Headers],[Include or Exclude]], 0,4)</f>
        <v/>
      </c>
      <c r="K150" s="109" t="str" cm="1">
        <f t="array" ref="K150">Common_InputFunctions.Utility_DisplayArrayInTable(Fertiliser_SourceData.Fertiliser_Products_Data1(),FertiliserProducts[[#Headers],[Include or Exclude]], 0,4)</f>
        <v/>
      </c>
      <c r="L150" s="109" t="str" cm="1">
        <f t="array" ref="L150">Common_InputFunctions.Utility_DisplayArrayInTable(Fertiliser_SourceData.Fertiliser_Products_Data1(),FertiliserProducts[[#Headers],[Include or Exclude]], 0,4)</f>
        <v/>
      </c>
      <c r="M150" s="109" t="str" cm="1">
        <f t="array" ref="M150">Common_InputFunctions.Utility_DisplayArrayInTable(Fertiliser_SourceData.Fertiliser_Products_Data1(),FertiliserProducts[[#Headers],[Include or Exclude]], 0,4)</f>
        <v/>
      </c>
      <c r="N150" s="109" t="str" cm="1">
        <f t="array" ref="N150">Common_InputFunctions.Utility_DisplayArrayInTable(Fertiliser_SourceData.Fertiliser_Products_Data1(),FertiliserProducts[[#Headers],[Include or Exclude]], 0,4)</f>
        <v/>
      </c>
      <c r="O150" s="109" t="str" cm="1">
        <f t="array" ref="O150">Common_InputFunctions.Utility_DisplayArrayInTable(Fertiliser_SourceData.Fertiliser_Products_Data1(),FertiliserProducts[[#Headers],[Include or Exclude]], 0,4)</f>
        <v/>
      </c>
      <c r="P150" s="109" t="str" cm="1">
        <f t="array" ref="P150">Common_InputFunctions.Utility_DisplayArrayInTable(Fertiliser_SourceData.Fertiliser_Products_Data1(),FertiliserProducts[[#Headers],[Include or Exclude]], 0,4)</f>
        <v/>
      </c>
      <c r="Q150" s="109" t="str" cm="1">
        <f t="array" ref="Q150">Common_InputFunctions.Utility_DisplayArrayInTable(Fertiliser_SourceData.Fertiliser_Products_Data1(),FertiliserProducts[[#Headers],[Include or Exclude]], 0,4)</f>
        <v/>
      </c>
      <c r="R150" s="109" t="str" cm="1">
        <f t="array" ref="R150">Common_InputFunctions.Utility_DisplayArrayInTable(Fertiliser_SourceData.Fertiliser_Products_Data1(),FertiliserProducts[[#Headers],[Include or Exclude]], 0,4)</f>
        <v/>
      </c>
      <c r="S150" s="109" t="str" cm="1">
        <f t="array" ref="S150">Common_InputFunctions.Utility_DisplayArrayInTable(Fertiliser_SourceData.Fertiliser_Products_Data1(),FertiliserProducts[[#Headers],[Include or Exclude]], 0,4)</f>
        <v/>
      </c>
      <c r="T150" s="109" t="str" cm="1">
        <f t="array" ref="T150">Common_InputFunctions.Utility_DisplayArrayInTable(Fertiliser_SourceData.Fertiliser_Products_Data1(),FertiliserProducts[[#Headers],[Include or Exclude]], 0,4)</f>
        <v/>
      </c>
      <c r="U150" s="109" t="str" cm="1">
        <f t="array" ref="U150">Common_InputFunctions.Utility_DisplayArrayInTable(Fertiliser_SourceData.Fertiliser_Products_Data1(),FertiliserProducts[[#Headers],[Include or Exclude]], 0,4)</f>
        <v/>
      </c>
      <c r="V150" s="109" t="str" cm="1">
        <f t="array" ref="V150">Common_InputFunctions.Utility_DisplayArrayInTable(Fertiliser_SourceData.Fertiliser_Products_Data1(),FertiliserProducts[[#Headers],[Include or Exclude]], 0,4)</f>
        <v/>
      </c>
      <c r="W150" s="109" t="str" cm="1">
        <f t="array" ref="W150">Common_InputFunctions.Utility_DisplayArrayInTable(Fertiliser_SourceData.Fertiliser_Products_Data1(),FertiliserProducts[[#Headers],[Include or Exclude]], 0,4)</f>
        <v/>
      </c>
      <c r="X150" s="109" t="str" cm="1">
        <f t="array" ref="X150">Common_InputFunctions.Utility_DisplayArrayInTable(Fertiliser_SourceData.Fertiliser_Products_Data1(),FertiliserProducts[[#Headers],[Include or Exclude]], 0,4)</f>
        <v/>
      </c>
      <c r="Y150" s="109" t="str" cm="1">
        <f t="array" ref="Y150">Common_InputFunctions.Utility_DisplayArrayInTable(Fertiliser_SourceData.Fertiliser_Products_Data1(),FertiliserProducts[[#Headers],[Include or Exclude]], 0,4)</f>
        <v/>
      </c>
      <c r="Z150" s="109" t="str" cm="1">
        <f t="array" ref="Z150">Common_InputFunctions.Utility_DisplayArrayInTable(Fertiliser_SourceData.Fertiliser_Products_Data1(),FertiliserProducts[[#Headers],[Include or Exclude]], 0,4)</f>
        <v/>
      </c>
      <c r="AA150" s="109" t="str" cm="1">
        <f t="array" ref="AA150">Common_InputFunctions.Utility_DisplayArrayInTable(Fertiliser_SourceData.Fertiliser_Products_Data1(),FertiliserProducts[[#Headers],[Include or Exclude]], 0,4)</f>
        <v/>
      </c>
      <c r="AB150" s="109" t="str" cm="1">
        <f t="array" ref="AB150">Common_InputFunctions.Utility_DisplayArrayInTable(Fertiliser_SourceData.Fertiliser_Products_Data1(),FertiliserProducts[[#Headers],[Include or Exclude]], 0,4)</f>
        <v/>
      </c>
      <c r="AC150" s="109" t="str" cm="1">
        <f t="array" ref="AC150">Common_InputFunctions.Utility_DisplayArrayInTable(Fertiliser_SourceData.Fertiliser_Products_Data1(),FertiliserProducts[[#Headers],[Include or Exclude]], 0,4)</f>
        <v/>
      </c>
      <c r="AD150" s="109" t="str" cm="1">
        <f t="array" ref="AD150">Common_InputFunctions.Utility_DisplayArrayInTable(Fertiliser_SourceData.Fertiliser_Products_Data1(),FertiliserProducts[[#Headers],[Include or Exclude]], 0,4)</f>
        <v/>
      </c>
      <c r="AE150" s="109" t="str" cm="1">
        <f t="array" ref="AE150">Common_InputFunctions.Utility_DisplayArrayInTable(Fertiliser_SourceData.Fertiliser_Products_Data1(),FertiliserProducts[[#Headers],[Include or Exclude]], 0,4)</f>
        <v/>
      </c>
    </row>
    <row r="151" spans="4:31" ht="20.100000000000001" customHeight="1" x14ac:dyDescent="0.25">
      <c r="D151" s="109" t="str" cm="1">
        <f t="array" ref="D151">Common_InputFunctions.Utility_DisplayArrayInTable(Fertiliser_SourceData.Fertiliser_Products_Data1(),FertiliserProducts[[#Headers],[Include or Exclude]], -1)</f>
        <v/>
      </c>
      <c r="E151" s="109" t="str" cm="1">
        <f t="array" ref="E151">Common_InputFunctions.Utility_DisplayArrayInTable(Fertiliser_SourceData.Fertiliser_Products_Data1(),FertiliserProducts[[#Headers],[Include or Exclude]], 0)</f>
        <v/>
      </c>
      <c r="F151" s="109" t="str" cm="1">
        <f t="array" ref="F151">Common_InputFunctions.Utility_DisplayArrayInTable(Fertiliser_SourceData.Fertiliser_Products_Data1(),FertiliserProducts[[#Headers],[Include or Exclude]], 0)</f>
        <v/>
      </c>
      <c r="G151" s="109" t="str" cm="1">
        <f t="array" ref="G151">Common_InputFunctions.Utility_DisplayArrayInTable(Fertiliser_SourceData.Fertiliser_Products_Data1(),FertiliserProducts[[#Headers],[Include or Exclude]], 0)</f>
        <v/>
      </c>
      <c r="H151" s="109" t="str" cm="1">
        <f t="array" ref="H151">Common_InputFunctions.Utility_DisplayArrayInTable(Fertiliser_SourceData.Fertiliser_Products_Data1(),FertiliserProducts[[#Headers],[Include or Exclude]], 0,4)</f>
        <v/>
      </c>
      <c r="I151" s="109" t="str" cm="1">
        <f t="array" ref="I151">Common_InputFunctions.Utility_DisplayArrayInTable(Fertiliser_SourceData.Fertiliser_Products_Data1(),FertiliserProducts[[#Headers],[Include or Exclude]], 0,4)</f>
        <v/>
      </c>
      <c r="J151" s="109" t="str" cm="1">
        <f t="array" ref="J151">Common_InputFunctions.Utility_DisplayArrayInTable(Fertiliser_SourceData.Fertiliser_Products_Data1(),FertiliserProducts[[#Headers],[Include or Exclude]], 0,4)</f>
        <v/>
      </c>
      <c r="K151" s="109" t="str" cm="1">
        <f t="array" ref="K151">Common_InputFunctions.Utility_DisplayArrayInTable(Fertiliser_SourceData.Fertiliser_Products_Data1(),FertiliserProducts[[#Headers],[Include or Exclude]], 0,4)</f>
        <v/>
      </c>
      <c r="L151" s="109" t="str" cm="1">
        <f t="array" ref="L151">Common_InputFunctions.Utility_DisplayArrayInTable(Fertiliser_SourceData.Fertiliser_Products_Data1(),FertiliserProducts[[#Headers],[Include or Exclude]], 0,4)</f>
        <v/>
      </c>
      <c r="M151" s="109" t="str" cm="1">
        <f t="array" ref="M151">Common_InputFunctions.Utility_DisplayArrayInTable(Fertiliser_SourceData.Fertiliser_Products_Data1(),FertiliserProducts[[#Headers],[Include or Exclude]], 0,4)</f>
        <v/>
      </c>
      <c r="N151" s="109" t="str" cm="1">
        <f t="array" ref="N151">Common_InputFunctions.Utility_DisplayArrayInTable(Fertiliser_SourceData.Fertiliser_Products_Data1(),FertiliserProducts[[#Headers],[Include or Exclude]], 0,4)</f>
        <v/>
      </c>
      <c r="O151" s="109" t="str" cm="1">
        <f t="array" ref="O151">Common_InputFunctions.Utility_DisplayArrayInTable(Fertiliser_SourceData.Fertiliser_Products_Data1(),FertiliserProducts[[#Headers],[Include or Exclude]], 0,4)</f>
        <v/>
      </c>
      <c r="P151" s="109" t="str" cm="1">
        <f t="array" ref="P151">Common_InputFunctions.Utility_DisplayArrayInTable(Fertiliser_SourceData.Fertiliser_Products_Data1(),FertiliserProducts[[#Headers],[Include or Exclude]], 0,4)</f>
        <v/>
      </c>
      <c r="Q151" s="109" t="str" cm="1">
        <f t="array" ref="Q151">Common_InputFunctions.Utility_DisplayArrayInTable(Fertiliser_SourceData.Fertiliser_Products_Data1(),FertiliserProducts[[#Headers],[Include or Exclude]], 0,4)</f>
        <v/>
      </c>
      <c r="R151" s="109" t="str" cm="1">
        <f t="array" ref="R151">Common_InputFunctions.Utility_DisplayArrayInTable(Fertiliser_SourceData.Fertiliser_Products_Data1(),FertiliserProducts[[#Headers],[Include or Exclude]], 0,4)</f>
        <v/>
      </c>
      <c r="S151" s="109" t="str" cm="1">
        <f t="array" ref="S151">Common_InputFunctions.Utility_DisplayArrayInTable(Fertiliser_SourceData.Fertiliser_Products_Data1(),FertiliserProducts[[#Headers],[Include or Exclude]], 0,4)</f>
        <v/>
      </c>
      <c r="T151" s="109" t="str" cm="1">
        <f t="array" ref="T151">Common_InputFunctions.Utility_DisplayArrayInTable(Fertiliser_SourceData.Fertiliser_Products_Data1(),FertiliserProducts[[#Headers],[Include or Exclude]], 0,4)</f>
        <v/>
      </c>
      <c r="U151" s="109" t="str" cm="1">
        <f t="array" ref="U151">Common_InputFunctions.Utility_DisplayArrayInTable(Fertiliser_SourceData.Fertiliser_Products_Data1(),FertiliserProducts[[#Headers],[Include or Exclude]], 0,4)</f>
        <v/>
      </c>
      <c r="V151" s="109" t="str" cm="1">
        <f t="array" ref="V151">Common_InputFunctions.Utility_DisplayArrayInTable(Fertiliser_SourceData.Fertiliser_Products_Data1(),FertiliserProducts[[#Headers],[Include or Exclude]], 0,4)</f>
        <v/>
      </c>
      <c r="W151" s="109" t="str" cm="1">
        <f t="array" ref="W151">Common_InputFunctions.Utility_DisplayArrayInTable(Fertiliser_SourceData.Fertiliser_Products_Data1(),FertiliserProducts[[#Headers],[Include or Exclude]], 0,4)</f>
        <v/>
      </c>
      <c r="X151" s="109" t="str" cm="1">
        <f t="array" ref="X151">Common_InputFunctions.Utility_DisplayArrayInTable(Fertiliser_SourceData.Fertiliser_Products_Data1(),FertiliserProducts[[#Headers],[Include or Exclude]], 0,4)</f>
        <v/>
      </c>
      <c r="Y151" s="109" t="str" cm="1">
        <f t="array" ref="Y151">Common_InputFunctions.Utility_DisplayArrayInTable(Fertiliser_SourceData.Fertiliser_Products_Data1(),FertiliserProducts[[#Headers],[Include or Exclude]], 0,4)</f>
        <v/>
      </c>
      <c r="Z151" s="109" t="str" cm="1">
        <f t="array" ref="Z151">Common_InputFunctions.Utility_DisplayArrayInTable(Fertiliser_SourceData.Fertiliser_Products_Data1(),FertiliserProducts[[#Headers],[Include or Exclude]], 0,4)</f>
        <v/>
      </c>
      <c r="AA151" s="109" t="str" cm="1">
        <f t="array" ref="AA151">Common_InputFunctions.Utility_DisplayArrayInTable(Fertiliser_SourceData.Fertiliser_Products_Data1(),FertiliserProducts[[#Headers],[Include or Exclude]], 0,4)</f>
        <v/>
      </c>
      <c r="AB151" s="109" t="str" cm="1">
        <f t="array" ref="AB151">Common_InputFunctions.Utility_DisplayArrayInTable(Fertiliser_SourceData.Fertiliser_Products_Data1(),FertiliserProducts[[#Headers],[Include or Exclude]], 0,4)</f>
        <v/>
      </c>
      <c r="AC151" s="109" t="str" cm="1">
        <f t="array" ref="AC151">Common_InputFunctions.Utility_DisplayArrayInTable(Fertiliser_SourceData.Fertiliser_Products_Data1(),FertiliserProducts[[#Headers],[Include or Exclude]], 0,4)</f>
        <v/>
      </c>
      <c r="AD151" s="109" t="str" cm="1">
        <f t="array" ref="AD151">Common_InputFunctions.Utility_DisplayArrayInTable(Fertiliser_SourceData.Fertiliser_Products_Data1(),FertiliserProducts[[#Headers],[Include or Exclude]], 0,4)</f>
        <v/>
      </c>
      <c r="AE151" s="109" t="str" cm="1">
        <f t="array" ref="AE151">Common_InputFunctions.Utility_DisplayArrayInTable(Fertiliser_SourceData.Fertiliser_Products_Data1(),FertiliserProducts[[#Headers],[Include or Exclude]], 0,4)</f>
        <v/>
      </c>
    </row>
    <row r="152" spans="4:31" ht="20.100000000000001" customHeight="1" x14ac:dyDescent="0.25">
      <c r="D152" s="109" t="str" cm="1">
        <f t="array" ref="D152">Common_InputFunctions.Utility_DisplayArrayInTable(Fertiliser_SourceData.Fertiliser_Products_Data1(),FertiliserProducts[[#Headers],[Include or Exclude]], -1)</f>
        <v/>
      </c>
      <c r="E152" s="109" t="str" cm="1">
        <f t="array" ref="E152">Common_InputFunctions.Utility_DisplayArrayInTable(Fertiliser_SourceData.Fertiliser_Products_Data1(),FertiliserProducts[[#Headers],[Include or Exclude]], 0)</f>
        <v/>
      </c>
      <c r="F152" s="109" t="str" cm="1">
        <f t="array" ref="F152">Common_InputFunctions.Utility_DisplayArrayInTable(Fertiliser_SourceData.Fertiliser_Products_Data1(),FertiliserProducts[[#Headers],[Include or Exclude]], 0)</f>
        <v/>
      </c>
      <c r="G152" s="109" t="str" cm="1">
        <f t="array" ref="G152">Common_InputFunctions.Utility_DisplayArrayInTable(Fertiliser_SourceData.Fertiliser_Products_Data1(),FertiliserProducts[[#Headers],[Include or Exclude]], 0)</f>
        <v/>
      </c>
      <c r="H152" s="109" t="str" cm="1">
        <f t="array" ref="H152">Common_InputFunctions.Utility_DisplayArrayInTable(Fertiliser_SourceData.Fertiliser_Products_Data1(),FertiliserProducts[[#Headers],[Include or Exclude]], 0,4)</f>
        <v/>
      </c>
      <c r="I152" s="109" t="str" cm="1">
        <f t="array" ref="I152">Common_InputFunctions.Utility_DisplayArrayInTable(Fertiliser_SourceData.Fertiliser_Products_Data1(),FertiliserProducts[[#Headers],[Include or Exclude]], 0,4)</f>
        <v/>
      </c>
      <c r="J152" s="109" t="str" cm="1">
        <f t="array" ref="J152">Common_InputFunctions.Utility_DisplayArrayInTable(Fertiliser_SourceData.Fertiliser_Products_Data1(),FertiliserProducts[[#Headers],[Include or Exclude]], 0,4)</f>
        <v/>
      </c>
      <c r="K152" s="109" t="str" cm="1">
        <f t="array" ref="K152">Common_InputFunctions.Utility_DisplayArrayInTable(Fertiliser_SourceData.Fertiliser_Products_Data1(),FertiliserProducts[[#Headers],[Include or Exclude]], 0,4)</f>
        <v/>
      </c>
      <c r="L152" s="109" t="str" cm="1">
        <f t="array" ref="L152">Common_InputFunctions.Utility_DisplayArrayInTable(Fertiliser_SourceData.Fertiliser_Products_Data1(),FertiliserProducts[[#Headers],[Include or Exclude]], 0,4)</f>
        <v/>
      </c>
      <c r="M152" s="109" t="str" cm="1">
        <f t="array" ref="M152">Common_InputFunctions.Utility_DisplayArrayInTable(Fertiliser_SourceData.Fertiliser_Products_Data1(),FertiliserProducts[[#Headers],[Include or Exclude]], 0,4)</f>
        <v/>
      </c>
      <c r="N152" s="109" t="str" cm="1">
        <f t="array" ref="N152">Common_InputFunctions.Utility_DisplayArrayInTable(Fertiliser_SourceData.Fertiliser_Products_Data1(),FertiliserProducts[[#Headers],[Include or Exclude]], 0,4)</f>
        <v/>
      </c>
      <c r="O152" s="109" t="str" cm="1">
        <f t="array" ref="O152">Common_InputFunctions.Utility_DisplayArrayInTable(Fertiliser_SourceData.Fertiliser_Products_Data1(),FertiliserProducts[[#Headers],[Include or Exclude]], 0,4)</f>
        <v/>
      </c>
      <c r="P152" s="109" t="str" cm="1">
        <f t="array" ref="P152">Common_InputFunctions.Utility_DisplayArrayInTable(Fertiliser_SourceData.Fertiliser_Products_Data1(),FertiliserProducts[[#Headers],[Include or Exclude]], 0,4)</f>
        <v/>
      </c>
      <c r="Q152" s="109" t="str" cm="1">
        <f t="array" ref="Q152">Common_InputFunctions.Utility_DisplayArrayInTable(Fertiliser_SourceData.Fertiliser_Products_Data1(),FertiliserProducts[[#Headers],[Include or Exclude]], 0,4)</f>
        <v/>
      </c>
      <c r="R152" s="109" t="str" cm="1">
        <f t="array" ref="R152">Common_InputFunctions.Utility_DisplayArrayInTable(Fertiliser_SourceData.Fertiliser_Products_Data1(),FertiliserProducts[[#Headers],[Include or Exclude]], 0,4)</f>
        <v/>
      </c>
      <c r="S152" s="109" t="str" cm="1">
        <f t="array" ref="S152">Common_InputFunctions.Utility_DisplayArrayInTable(Fertiliser_SourceData.Fertiliser_Products_Data1(),FertiliserProducts[[#Headers],[Include or Exclude]], 0,4)</f>
        <v/>
      </c>
      <c r="T152" s="109" t="str" cm="1">
        <f t="array" ref="T152">Common_InputFunctions.Utility_DisplayArrayInTable(Fertiliser_SourceData.Fertiliser_Products_Data1(),FertiliserProducts[[#Headers],[Include or Exclude]], 0,4)</f>
        <v/>
      </c>
      <c r="U152" s="109" t="str" cm="1">
        <f t="array" ref="U152">Common_InputFunctions.Utility_DisplayArrayInTable(Fertiliser_SourceData.Fertiliser_Products_Data1(),FertiliserProducts[[#Headers],[Include or Exclude]], 0,4)</f>
        <v/>
      </c>
      <c r="V152" s="109" t="str" cm="1">
        <f t="array" ref="V152">Common_InputFunctions.Utility_DisplayArrayInTable(Fertiliser_SourceData.Fertiliser_Products_Data1(),FertiliserProducts[[#Headers],[Include or Exclude]], 0,4)</f>
        <v/>
      </c>
      <c r="W152" s="109" t="str" cm="1">
        <f t="array" ref="W152">Common_InputFunctions.Utility_DisplayArrayInTable(Fertiliser_SourceData.Fertiliser_Products_Data1(),FertiliserProducts[[#Headers],[Include or Exclude]], 0,4)</f>
        <v/>
      </c>
      <c r="X152" s="109" t="str" cm="1">
        <f t="array" ref="X152">Common_InputFunctions.Utility_DisplayArrayInTable(Fertiliser_SourceData.Fertiliser_Products_Data1(),FertiliserProducts[[#Headers],[Include or Exclude]], 0,4)</f>
        <v/>
      </c>
      <c r="Y152" s="109" t="str" cm="1">
        <f t="array" ref="Y152">Common_InputFunctions.Utility_DisplayArrayInTable(Fertiliser_SourceData.Fertiliser_Products_Data1(),FertiliserProducts[[#Headers],[Include or Exclude]], 0,4)</f>
        <v/>
      </c>
      <c r="Z152" s="109" t="str" cm="1">
        <f t="array" ref="Z152">Common_InputFunctions.Utility_DisplayArrayInTable(Fertiliser_SourceData.Fertiliser_Products_Data1(),FertiliserProducts[[#Headers],[Include or Exclude]], 0,4)</f>
        <v/>
      </c>
      <c r="AA152" s="109" t="str" cm="1">
        <f t="array" ref="AA152">Common_InputFunctions.Utility_DisplayArrayInTable(Fertiliser_SourceData.Fertiliser_Products_Data1(),FertiliserProducts[[#Headers],[Include or Exclude]], 0,4)</f>
        <v/>
      </c>
      <c r="AB152" s="109" t="str" cm="1">
        <f t="array" ref="AB152">Common_InputFunctions.Utility_DisplayArrayInTable(Fertiliser_SourceData.Fertiliser_Products_Data1(),FertiliserProducts[[#Headers],[Include or Exclude]], 0,4)</f>
        <v/>
      </c>
      <c r="AC152" s="109" t="str" cm="1">
        <f t="array" ref="AC152">Common_InputFunctions.Utility_DisplayArrayInTable(Fertiliser_SourceData.Fertiliser_Products_Data1(),FertiliserProducts[[#Headers],[Include or Exclude]], 0,4)</f>
        <v/>
      </c>
      <c r="AD152" s="109" t="str" cm="1">
        <f t="array" ref="AD152">Common_InputFunctions.Utility_DisplayArrayInTable(Fertiliser_SourceData.Fertiliser_Products_Data1(),FertiliserProducts[[#Headers],[Include or Exclude]], 0,4)</f>
        <v/>
      </c>
      <c r="AE152" s="109" t="str" cm="1">
        <f t="array" ref="AE152">Common_InputFunctions.Utility_DisplayArrayInTable(Fertiliser_SourceData.Fertiliser_Products_Data1(),FertiliserProducts[[#Headers],[Include or Exclude]], 0,4)</f>
        <v/>
      </c>
    </row>
    <row r="153" spans="4:31" ht="20.100000000000001" customHeight="1" x14ac:dyDescent="0.25">
      <c r="D153" s="109" t="str" cm="1">
        <f t="array" ref="D153">Common_InputFunctions.Utility_DisplayArrayInTable(Fertiliser_SourceData.Fertiliser_Products_Data1(),FertiliserProducts[[#Headers],[Include or Exclude]], -1)</f>
        <v/>
      </c>
      <c r="E153" s="109" t="str" cm="1">
        <f t="array" ref="E153">Common_InputFunctions.Utility_DisplayArrayInTable(Fertiliser_SourceData.Fertiliser_Products_Data1(),FertiliserProducts[[#Headers],[Include or Exclude]], 0)</f>
        <v/>
      </c>
      <c r="F153" s="109" t="str" cm="1">
        <f t="array" ref="F153">Common_InputFunctions.Utility_DisplayArrayInTable(Fertiliser_SourceData.Fertiliser_Products_Data1(),FertiliserProducts[[#Headers],[Include or Exclude]], 0)</f>
        <v/>
      </c>
      <c r="G153" s="109" t="str" cm="1">
        <f t="array" ref="G153">Common_InputFunctions.Utility_DisplayArrayInTable(Fertiliser_SourceData.Fertiliser_Products_Data1(),FertiliserProducts[[#Headers],[Include or Exclude]], 0)</f>
        <v/>
      </c>
      <c r="H153" s="109" t="str" cm="1">
        <f t="array" ref="H153">Common_InputFunctions.Utility_DisplayArrayInTable(Fertiliser_SourceData.Fertiliser_Products_Data1(),FertiliserProducts[[#Headers],[Include or Exclude]], 0,4)</f>
        <v/>
      </c>
      <c r="I153" s="109" t="str" cm="1">
        <f t="array" ref="I153">Common_InputFunctions.Utility_DisplayArrayInTable(Fertiliser_SourceData.Fertiliser_Products_Data1(),FertiliserProducts[[#Headers],[Include or Exclude]], 0,4)</f>
        <v/>
      </c>
      <c r="J153" s="109" t="str" cm="1">
        <f t="array" ref="J153">Common_InputFunctions.Utility_DisplayArrayInTable(Fertiliser_SourceData.Fertiliser_Products_Data1(),FertiliserProducts[[#Headers],[Include or Exclude]], 0,4)</f>
        <v/>
      </c>
      <c r="K153" s="109" t="str" cm="1">
        <f t="array" ref="K153">Common_InputFunctions.Utility_DisplayArrayInTable(Fertiliser_SourceData.Fertiliser_Products_Data1(),FertiliserProducts[[#Headers],[Include or Exclude]], 0,4)</f>
        <v/>
      </c>
      <c r="L153" s="109" t="str" cm="1">
        <f t="array" ref="L153">Common_InputFunctions.Utility_DisplayArrayInTable(Fertiliser_SourceData.Fertiliser_Products_Data1(),FertiliserProducts[[#Headers],[Include or Exclude]], 0,4)</f>
        <v/>
      </c>
      <c r="M153" s="109" t="str" cm="1">
        <f t="array" ref="M153">Common_InputFunctions.Utility_DisplayArrayInTable(Fertiliser_SourceData.Fertiliser_Products_Data1(),FertiliserProducts[[#Headers],[Include or Exclude]], 0,4)</f>
        <v/>
      </c>
      <c r="N153" s="109" t="str" cm="1">
        <f t="array" ref="N153">Common_InputFunctions.Utility_DisplayArrayInTable(Fertiliser_SourceData.Fertiliser_Products_Data1(),FertiliserProducts[[#Headers],[Include or Exclude]], 0,4)</f>
        <v/>
      </c>
      <c r="O153" s="109" t="str" cm="1">
        <f t="array" ref="O153">Common_InputFunctions.Utility_DisplayArrayInTable(Fertiliser_SourceData.Fertiliser_Products_Data1(),FertiliserProducts[[#Headers],[Include or Exclude]], 0,4)</f>
        <v/>
      </c>
      <c r="P153" s="109" t="str" cm="1">
        <f t="array" ref="P153">Common_InputFunctions.Utility_DisplayArrayInTable(Fertiliser_SourceData.Fertiliser_Products_Data1(),FertiliserProducts[[#Headers],[Include or Exclude]], 0,4)</f>
        <v/>
      </c>
      <c r="Q153" s="109" t="str" cm="1">
        <f t="array" ref="Q153">Common_InputFunctions.Utility_DisplayArrayInTable(Fertiliser_SourceData.Fertiliser_Products_Data1(),FertiliserProducts[[#Headers],[Include or Exclude]], 0,4)</f>
        <v/>
      </c>
      <c r="R153" s="109" t="str" cm="1">
        <f t="array" ref="R153">Common_InputFunctions.Utility_DisplayArrayInTable(Fertiliser_SourceData.Fertiliser_Products_Data1(),FertiliserProducts[[#Headers],[Include or Exclude]], 0,4)</f>
        <v/>
      </c>
      <c r="S153" s="109" t="str" cm="1">
        <f t="array" ref="S153">Common_InputFunctions.Utility_DisplayArrayInTable(Fertiliser_SourceData.Fertiliser_Products_Data1(),FertiliserProducts[[#Headers],[Include or Exclude]], 0,4)</f>
        <v/>
      </c>
      <c r="T153" s="109" t="str" cm="1">
        <f t="array" ref="T153">Common_InputFunctions.Utility_DisplayArrayInTable(Fertiliser_SourceData.Fertiliser_Products_Data1(),FertiliserProducts[[#Headers],[Include or Exclude]], 0,4)</f>
        <v/>
      </c>
      <c r="U153" s="109" t="str" cm="1">
        <f t="array" ref="U153">Common_InputFunctions.Utility_DisplayArrayInTable(Fertiliser_SourceData.Fertiliser_Products_Data1(),FertiliserProducts[[#Headers],[Include or Exclude]], 0,4)</f>
        <v/>
      </c>
      <c r="V153" s="109" t="str" cm="1">
        <f t="array" ref="V153">Common_InputFunctions.Utility_DisplayArrayInTable(Fertiliser_SourceData.Fertiliser_Products_Data1(),FertiliserProducts[[#Headers],[Include or Exclude]], 0,4)</f>
        <v/>
      </c>
      <c r="W153" s="109" t="str" cm="1">
        <f t="array" ref="W153">Common_InputFunctions.Utility_DisplayArrayInTable(Fertiliser_SourceData.Fertiliser_Products_Data1(),FertiliserProducts[[#Headers],[Include or Exclude]], 0,4)</f>
        <v/>
      </c>
      <c r="X153" s="109" t="str" cm="1">
        <f t="array" ref="X153">Common_InputFunctions.Utility_DisplayArrayInTable(Fertiliser_SourceData.Fertiliser_Products_Data1(),FertiliserProducts[[#Headers],[Include or Exclude]], 0,4)</f>
        <v/>
      </c>
      <c r="Y153" s="109" t="str" cm="1">
        <f t="array" ref="Y153">Common_InputFunctions.Utility_DisplayArrayInTable(Fertiliser_SourceData.Fertiliser_Products_Data1(),FertiliserProducts[[#Headers],[Include or Exclude]], 0,4)</f>
        <v/>
      </c>
      <c r="Z153" s="109" t="str" cm="1">
        <f t="array" ref="Z153">Common_InputFunctions.Utility_DisplayArrayInTable(Fertiliser_SourceData.Fertiliser_Products_Data1(),FertiliserProducts[[#Headers],[Include or Exclude]], 0,4)</f>
        <v/>
      </c>
      <c r="AA153" s="109" t="str" cm="1">
        <f t="array" ref="AA153">Common_InputFunctions.Utility_DisplayArrayInTable(Fertiliser_SourceData.Fertiliser_Products_Data1(),FertiliserProducts[[#Headers],[Include or Exclude]], 0,4)</f>
        <v/>
      </c>
      <c r="AB153" s="109" t="str" cm="1">
        <f t="array" ref="AB153">Common_InputFunctions.Utility_DisplayArrayInTable(Fertiliser_SourceData.Fertiliser_Products_Data1(),FertiliserProducts[[#Headers],[Include or Exclude]], 0,4)</f>
        <v/>
      </c>
      <c r="AC153" s="109" t="str" cm="1">
        <f t="array" ref="AC153">Common_InputFunctions.Utility_DisplayArrayInTable(Fertiliser_SourceData.Fertiliser_Products_Data1(),FertiliserProducts[[#Headers],[Include or Exclude]], 0,4)</f>
        <v/>
      </c>
      <c r="AD153" s="109" t="str" cm="1">
        <f t="array" ref="AD153">Common_InputFunctions.Utility_DisplayArrayInTable(Fertiliser_SourceData.Fertiliser_Products_Data1(),FertiliserProducts[[#Headers],[Include or Exclude]], 0,4)</f>
        <v/>
      </c>
      <c r="AE153" s="10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6AD-ECB7-41F4-BB79-2B3A272EC97C}">
  <dimension ref="A1:BY259"/>
  <sheetViews>
    <sheetView showGridLines="0" zoomScaleNormal="100" workbookViewId="0">
      <selection activeCell="A10" sqref="A1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Fertiliser'!A1", "Fertiliser")</f>
        <v>Fertiliser</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68</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HYPERLINK("#'5.1.1.1-2 Inorganic fert N2O'!A1", "5.1.1.1-2 Inorganic fert N2O")</f>
        <v>5.1.1.1-2 Inorganic fert N2O</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HYPERLINK("#'5.1.1.3-4 Inorganic fert CO2'!A1", "5.1.1.3-4 Inorganic fert CO2")</f>
        <v>5.1.1.3-4 Inorganic fert CO2</v>
      </c>
    </row>
    <row r="16" spans="1:65" ht="20.100000000000001" customHeight="1" x14ac:dyDescent="0.25">
      <c r="A16" s="17" t="str">
        <f>HYPERLINK("#'5.2.1.1-2 Organic Fert N2O'!A1", "5.2.1.1-2 Organic Fert N2O")</f>
        <v>5.2.1.1-2 Organic Fert N2O</v>
      </c>
    </row>
    <row r="17" spans="1:4" ht="20.100000000000001" customHeight="1" x14ac:dyDescent="0.25">
      <c r="A17" s="17" t="str">
        <f>HYPERLINK("#'5.3.1.1-2 Lime CO2'!A1", "5.3.1.1-2 Lime CO2")</f>
        <v>5.3.1.1-2 Lime CO2</v>
      </c>
    </row>
    <row r="18" spans="1:4" ht="20.100000000000001" customHeight="1" x14ac:dyDescent="0.25">
      <c r="A18" s="17" t="str">
        <f>HYPERLINK("#'5.4.1.1-4 Atmos deposition'!A1", "5.4.1.1-4 Atmos deposition")</f>
        <v>5.4.1.1-4 Atmos deposition</v>
      </c>
      <c r="D18" s="6" t="str" cm="1">
        <f t="array" ref="D18">Common_SourceData.Common_SourceData_WASA4Areas_Title()</f>
        <v>ABS Statistcal Areas Level 4 - Western Australia</v>
      </c>
    </row>
    <row r="19" spans="1:4" ht="20.100000000000001" customHeight="1" x14ac:dyDescent="0.25">
      <c r="A19" s="17" t="str">
        <f>HYPERLINK("#'5.5.1.1-2 Leaching and runoff'!A1", "5.5.1.1-2 Leaching and runoff")</f>
        <v>5.5.1.1-2 Leaching and runoff</v>
      </c>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s="176" t="s">
        <v>1</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Fertiliser'!A1", "Constants - Fertiliser")</f>
        <v>Constants - Fertiliser</v>
      </c>
      <c r="D23" s="36" t="str" cm="1">
        <f t="array" ref="D23">Common_InputFunctions.Utility_DisplayArrayInTable(Common_SourceData.Common_SourceData_WASA4Areas_Data(), Table_WASA4Areas[[#Headers],[SA 4 Name]], 0)</f>
        <v>Perth - Inner</v>
      </c>
    </row>
    <row r="24" spans="1:4" ht="20.100000000000001" customHeight="1" x14ac:dyDescent="0.25">
      <c r="A24" s="173" t="str">
        <f>HYPERLINK("#'Constants - Common'!A1", "Constants - Common")</f>
        <v>Constants - Common</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91</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93</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90</v>
      </c>
      <c r="E212" s="36" t="s">
        <v>98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209</v>
      </c>
      <c r="F231" s="35" t="s">
        <v>210</v>
      </c>
      <c r="G231" s="36" t="s">
        <v>104</v>
      </c>
      <c r="H231" s="36" t="s">
        <v>211</v>
      </c>
      <c r="I231" s="36" t="s">
        <v>212</v>
      </c>
      <c r="J231" s="36" t="s">
        <v>103</v>
      </c>
      <c r="K231" s="36" t="s">
        <v>102</v>
      </c>
      <c r="L231" s="36" t="s">
        <v>213</v>
      </c>
      <c r="M231" s="36" t="s">
        <v>214</v>
      </c>
      <c r="N231" s="36" t="s">
        <v>101</v>
      </c>
      <c r="O231" s="36" t="s">
        <v>215</v>
      </c>
      <c r="P231" s="36" t="s">
        <v>106</v>
      </c>
      <c r="Q231" s="36" t="s">
        <v>107</v>
      </c>
      <c r="R231" s="36" t="s">
        <v>105</v>
      </c>
      <c r="S231" s="36" t="s">
        <v>216</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250</v>
      </c>
      <c r="E257" s="36" t="s">
        <v>251</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vt:i4>
      </vt:variant>
    </vt:vector>
  </HeadingPairs>
  <TitlesOfParts>
    <vt:vector size="59"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2026-07-31T06:33:09Z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